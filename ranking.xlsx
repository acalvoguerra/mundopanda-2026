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wmf" ContentType="image/x-wmf"/>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me" sheetId="1" state="visible" r:id="rId3"/>
    <sheet name="WORLDCUP" sheetId="2" state="visible" r:id="rId4"/>
    <sheet name="ADMIN" sheetId="3" state="visible" r:id="rId5"/>
    <sheet name="Goleadores" sheetId="4" state="visible" r:id="rId6"/>
    <sheet name="CLAS" sheetId="5" state="visible" r:id="rId7"/>
    <sheet name="DailyPrediction" sheetId="6" state="visible" r:id="rId8"/>
    <sheet name="DailyClas" sheetId="7" state="visible" r:id="rId9"/>
    <sheet name="Idiomas" sheetId="8" state="hidden" r:id="rId10"/>
    <sheet name="Stats" sheetId="9" state="visible" r:id="rId11"/>
    <sheet name="Fixture" sheetId="10" state="visible" r:id="rId12"/>
    <sheet name="Credits" sheetId="11" state="hidden" r:id="rId13"/>
    <sheet name="Equipos" sheetId="12" state="hidden" r:id="rId14"/>
    <sheet name="Horarios" sheetId="13" state="hidden" r:id="rId15"/>
    <sheet name="Combinaciones3" sheetId="14" state="hidden" r:id="rId16"/>
    <sheet name="Graf" sheetId="15" state="visible" r:id="rId17"/>
  </sheets>
  <definedNames>
    <definedName function="false" hidden="false" name="FGLocal" vbProcedure="false">WORLDCUP!$AA$4:$AA$97</definedName>
    <definedName function="false" hidden="false" name="FGVisitante" vbProcedure="false">WORLDCUP!$AF$4:$AF$97</definedName>
    <definedName function="false" hidden="false" name="FG_GolesLocal" vbProcedure="false">WORLDCUP!$AC$4:$AC$97</definedName>
    <definedName function="false" hidden="false" name="FG_GolesVisitante" vbProcedure="false">WORLDCUP!$AD$4:$AD$97</definedName>
    <definedName function="false" hidden="false" name="Ganador" vbProcedure="false">WORLDCUP!$D$4:$D$97</definedName>
    <definedName function="false" hidden="false" name="Grafico" vbProcedure="false">Graf!$A$1:$C$11</definedName>
    <definedName function="false" hidden="false" name="Grafico1X2" vbProcedure="false">IF(Stats!$D$34,Grafico,Grafico_vacio)</definedName>
    <definedName function="false" hidden="false" name="Grafico_vacio" vbProcedure="false">Graf!$F$1</definedName>
    <definedName function="false" hidden="false" name="Grafico_range" vbProcedure="false">_xlfn.anchorarray(Stats!$H$8)</definedName>
    <definedName function="false" hidden="false" name="Lista_fechas_rondas" vbProcedure="false">Equipos!$Q$40:INDEX(Equipos!$Q$40:$Q$63,SUMPRODUCT((NOT(ISERROR(Equipos!$Q$40:$Q$63)))*(Equipos!$Q$40:$Q$63&lt;&gt;"")))</definedName>
    <definedName function="false" hidden="false" name="Part1Empate1L" vbProcedure="false">WORLDCUP!$E$4:$E$97</definedName>
    <definedName function="false" hidden="false" name="Part1Empate1V" vbProcedure="false">WORLDCUP!$F$4:$F$97</definedName>
    <definedName function="false" hidden="false" name="Part1Empate2L" vbProcedure="false">WORLDCUP!$H$4:$H$97</definedName>
    <definedName function="false" hidden="false" name="Part1Empate2V" vbProcedure="false">WORLDCUP!$I$4:$I$97</definedName>
    <definedName function="false" hidden="false" name="Part1Empate3L" vbProcedure="false">WORLDCUP!$K$4:$K$97</definedName>
    <definedName function="false" hidden="false" name="Part1Empate3V" vbProcedure="false">WORLDCUP!$L$4:$L$97</definedName>
    <definedName function="false" hidden="false" name="Part2Empate4L" vbProcedure="false">WORLDCUP!$N$4:$N$97</definedName>
    <definedName function="false" hidden="false" name="Part2Empate4V" vbProcedure="false">WORLDCUP!$O$4:$O$97</definedName>
    <definedName function="false" hidden="false" name="Part2Empate5L" vbProcedure="false">WORLDCUP!$Q$4:$Q$97</definedName>
    <definedName function="false" hidden="false" name="Part2Empate5V" vbProcedure="false">WORLDCUP!$R$4:$R$97</definedName>
    <definedName function="false" hidden="false" name="Part2Empate6L" vbProcedure="false">WORLDCUP!$T$4:$T$97</definedName>
    <definedName function="false" hidden="false" name="Part2Empate6V" vbProcedure="false">WORLDCUP!$U$4:$U$97</definedName>
    <definedName function="false" hidden="false" name="Rango_Admin_Clas" vbProcedure="false">INDEX(ADMIN!$S$1:$FQ$5,1,1):INDEX(ADMIN!$S$1:$FQ$5,5,ADMIN!$D$5*3)</definedName>
    <definedName function="false" hidden="false" name="Rango_Admin_Clas_Primera" vbProcedure="false">INDEX(ADMIN!$S$1:$FQ$1,1,1):INDEX(ADMIN!$S$1:$FQ$1,1,ADMIN!$D$5*3)</definedName>
    <definedName function="false" hidden="false" name="Rango_Admin_Clas_Total" vbProcedure="false">INDEX(ADMIN!$S$1:$FQ$300,1,1):INDEX(ADMIN!$S$1:$FQ$300,300,ADMIN!$D$5*3)</definedName>
    <definedName function="false" hidden="false" name="Rango_Admin_DailyClas" vbProcedure="false">INDEX(ADMIN!$S$263:$FQ$267,1,1):INDEX(ADMIN!$S$263:$FQ$267,5,ADMIN!$D$5*3)</definedName>
    <definedName function="false" hidden="false" name="Rango_Admin_DailyClas_Primera" vbProcedure="false">INDEX(ADMIN!$S$263:$FQ$263,1,1):INDEX(ADMIN!$S$263:$FQ$263,1,ADMIN!$D$5*3)</definedName>
    <definedName function="false" hidden="false" name="Rango_Admin_DailyPred" vbProcedure="false">INDEX(ADMIN!$K$5:$FQ$300,1,1):INDEX(ADMIN!$K$5:$FQ$300,296,ADMIN!$D$5*3+8)</definedName>
    <definedName function="false" hidden="false" name="Rango_Admin_DailyPred_Primera" vbProcedure="false">INDEX(ADMIN!$K$5:$FQ$300,1,1):INDEX(ADMIN!$K$5:$FQ$300,1,ADMIN!$D$5*3+8)</definedName>
    <definedName function="false" hidden="false" name="Ver_flag_local" vbProcedure="false">IFERROR(IF(TYPE(Equipos!$M$2)=128,IF(ISNUMBER(SEARCH("Mac",INFO("sistema"))),INDEX(Equipos!$L$2:$L$49,MATCH(WORLDCUP!XFD1,Equipos!$K$2:$K$49,0)),INDEX(Equipos!$M$2:$M$49,MATCH(WORLDCUP!XFD1,Equipos!$K$2:$K$49,0))),""),"")</definedName>
    <definedName function="false" hidden="false" name="Ver_flag_visit" vbProcedure="false">IFERROR(IF(TYPE(Equipos!$M$2)=128,IF(ISNUMBER(SEARCH("Mac",INFO("sistema"))),INDEX(Equipos!$L$2:$L$49,MATCH(WORLDCUP!B1,Equipos!$K$2:$K$49,0)),INDEX(Equipos!$M$2:$M$49,MATCH(WORLDCUP!B1,Equipos!$K$2:$K$49,0))),""),"")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<sst xmlns="http://schemas.openxmlformats.org/spreadsheetml/2006/main" count="11668" uniqueCount="2015">
  <si>
    <t xml:space="preserve">Español</t>
  </si>
  <si>
    <t xml:space="preserve">Admin</t>
  </si>
  <si>
    <t xml:space="preserve">España</t>
  </si>
  <si>
    <t xml:space="preserve">MUNDOPANDA</t>
  </si>
  <si>
    <t xml:space="preserve">Help</t>
  </si>
  <si>
    <t xml:space="preserve"> </t>
  </si>
  <si>
    <t xml:space="preserve">© Miguel Angel Tejero. 2026</t>
  </si>
  <si>
    <t xml:space="preserve">Horarios!$P$3</t>
  </si>
  <si>
    <t xml:space="preserve">WINNER</t>
  </si>
  <si>
    <t xml:space="preserve">Empate1L</t>
  </si>
  <si>
    <t xml:space="preserve">Empate1V</t>
  </si>
  <si>
    <t xml:space="preserve">Empate2L</t>
  </si>
  <si>
    <t xml:space="preserve">Empate2V</t>
  </si>
  <si>
    <t xml:space="preserve">Empate3L</t>
  </si>
  <si>
    <t xml:space="preserve">Empate3V</t>
  </si>
  <si>
    <t xml:space="preserve">Empate4L</t>
  </si>
  <si>
    <t xml:space="preserve">Empate4V</t>
  </si>
  <si>
    <t xml:space="preserve">Empate5L</t>
  </si>
  <si>
    <t xml:space="preserve">Empate5V</t>
  </si>
  <si>
    <t xml:space="preserve">Empate6L</t>
  </si>
  <si>
    <t xml:space="preserve">Empate6V</t>
  </si>
  <si>
    <t xml:space="preserve">No</t>
  </si>
  <si>
    <t xml:space="preserve">Esta esta solo en admin para calculo de fechas en prediccion y clas diaria</t>
  </si>
  <si>
    <t xml:space="preserve">NombreEquipo</t>
  </si>
  <si>
    <t xml:space="preserve">A</t>
  </si>
  <si>
    <t xml:space="preserve">En Grupos por bombo, en terceros por orden alfa</t>
  </si>
  <si>
    <t xml:space="preserve">PosF1</t>
  </si>
  <si>
    <t xml:space="preserve">PosF3</t>
  </si>
  <si>
    <t xml:space="preserve">Participa</t>
  </si>
  <si>
    <t xml:space="preserve">Pos0</t>
  </si>
  <si>
    <t xml:space="preserve">Empate0</t>
  </si>
  <si>
    <t xml:space="preserve">PTS</t>
  </si>
  <si>
    <t xml:space="preserve">Posicion1</t>
  </si>
  <si>
    <t xml:space="preserve">Empate1</t>
  </si>
  <si>
    <t xml:space="preserve">PGPart1</t>
  </si>
  <si>
    <t xml:space="preserve">PEPart1</t>
  </si>
  <si>
    <t xml:space="preserve">PPPart1</t>
  </si>
  <si>
    <t xml:space="preserve">PTSPart1</t>
  </si>
  <si>
    <t xml:space="preserve">Posicion2</t>
  </si>
  <si>
    <t xml:space="preserve">Empate2</t>
  </si>
  <si>
    <t xml:space="preserve">GFPart1</t>
  </si>
  <si>
    <t xml:space="preserve">GCPart1</t>
  </si>
  <si>
    <t xml:space="preserve">DGPArt1</t>
  </si>
  <si>
    <t xml:space="preserve">Posicion3</t>
  </si>
  <si>
    <t xml:space="preserve">Empate3</t>
  </si>
  <si>
    <t xml:space="preserve">Posicion4</t>
  </si>
  <si>
    <t xml:space="preserve">Empate4</t>
  </si>
  <si>
    <t xml:space="preserve">PGPart2</t>
  </si>
  <si>
    <t xml:space="preserve">PEPart2</t>
  </si>
  <si>
    <t xml:space="preserve">PPPart2</t>
  </si>
  <si>
    <t xml:space="preserve">PTSPart2</t>
  </si>
  <si>
    <t xml:space="preserve">Posicion5</t>
  </si>
  <si>
    <t xml:space="preserve">Empate5</t>
  </si>
  <si>
    <t xml:space="preserve">GFPart2</t>
  </si>
  <si>
    <t xml:space="preserve">GCPart2</t>
  </si>
  <si>
    <t xml:space="preserve">DGPArt2</t>
  </si>
  <si>
    <t xml:space="preserve">Posicion6</t>
  </si>
  <si>
    <t xml:space="preserve">Empate6</t>
  </si>
  <si>
    <t xml:space="preserve">Posicion7</t>
  </si>
  <si>
    <t xml:space="preserve">Empate7</t>
  </si>
  <si>
    <t xml:space="preserve">DG</t>
  </si>
  <si>
    <t xml:space="preserve">Posicion8</t>
  </si>
  <si>
    <t xml:space="preserve">Empate8</t>
  </si>
  <si>
    <t xml:space="preserve">GF</t>
  </si>
  <si>
    <t xml:space="preserve">Posicion9</t>
  </si>
  <si>
    <t xml:space="preserve">Empate9</t>
  </si>
  <si>
    <t xml:space="preserve">OrdenAlfa/Bombo</t>
  </si>
  <si>
    <t xml:space="preserve">PosicionF1</t>
  </si>
  <si>
    <t xml:space="preserve">PosicionF2</t>
  </si>
  <si>
    <t xml:space="preserve">Criterio/Fila</t>
  </si>
  <si>
    <t xml:space="preserve">PosicionF3</t>
  </si>
  <si>
    <t xml:space="preserve">POS</t>
  </si>
  <si>
    <t xml:space="preserve">Numero Partidos disputados grupo</t>
  </si>
  <si>
    <t xml:space="preserve">CANT</t>
  </si>
  <si>
    <t xml:space="preserve">CONCAT</t>
  </si>
  <si>
    <t xml:space="preserve">DESEMPATE EN SELECTOR</t>
  </si>
  <si>
    <t xml:space="preserve">POSGRUPO</t>
  </si>
  <si>
    <t xml:space="preserve">PAIS</t>
  </si>
  <si>
    <t xml:space="preserve">1A</t>
  </si>
  <si>
    <t xml:space="preserve">2A</t>
  </si>
  <si>
    <t xml:space="preserve">3A</t>
  </si>
  <si>
    <t xml:space="preserve">4A</t>
  </si>
  <si>
    <t xml:space="preserve">1B</t>
  </si>
  <si>
    <t xml:space="preserve">2B</t>
  </si>
  <si>
    <t xml:space="preserve">B</t>
  </si>
  <si>
    <t xml:space="preserve">3B</t>
  </si>
  <si>
    <t xml:space="preserve">4B</t>
  </si>
  <si>
    <t xml:space="preserve">1C</t>
  </si>
  <si>
    <t xml:space="preserve">2C</t>
  </si>
  <si>
    <t xml:space="preserve">3C</t>
  </si>
  <si>
    <t xml:space="preserve">4C</t>
  </si>
  <si>
    <t xml:space="preserve">1D</t>
  </si>
  <si>
    <t xml:space="preserve">2D</t>
  </si>
  <si>
    <t xml:space="preserve">C</t>
  </si>
  <si>
    <t xml:space="preserve">3D</t>
  </si>
  <si>
    <t xml:space="preserve">4D</t>
  </si>
  <si>
    <t xml:space="preserve">1E</t>
  </si>
  <si>
    <t xml:space="preserve">2E</t>
  </si>
  <si>
    <t xml:space="preserve">3E</t>
  </si>
  <si>
    <t xml:space="preserve">4E</t>
  </si>
  <si>
    <t xml:space="preserve">1F</t>
  </si>
  <si>
    <t xml:space="preserve">2F</t>
  </si>
  <si>
    <t xml:space="preserve">D</t>
  </si>
  <si>
    <t xml:space="preserve">3F</t>
  </si>
  <si>
    <t xml:space="preserve">4F</t>
  </si>
  <si>
    <t xml:space="preserve">1G</t>
  </si>
  <si>
    <t xml:space="preserve">2G</t>
  </si>
  <si>
    <t xml:space="preserve">3G</t>
  </si>
  <si>
    <t xml:space="preserve">4G</t>
  </si>
  <si>
    <t xml:space="preserve">1H</t>
  </si>
  <si>
    <t xml:space="preserve">2H</t>
  </si>
  <si>
    <t xml:space="preserve">E</t>
  </si>
  <si>
    <t xml:space="preserve">3H</t>
  </si>
  <si>
    <t xml:space="preserve">4H</t>
  </si>
  <si>
    <t xml:space="preserve">1I</t>
  </si>
  <si>
    <t xml:space="preserve">2I</t>
  </si>
  <si>
    <t xml:space="preserve">3I</t>
  </si>
  <si>
    <t xml:space="preserve">4I</t>
  </si>
  <si>
    <t xml:space="preserve">1J</t>
  </si>
  <si>
    <t xml:space="preserve">2J</t>
  </si>
  <si>
    <t xml:space="preserve">F</t>
  </si>
  <si>
    <t xml:space="preserve">3J</t>
  </si>
  <si>
    <t xml:space="preserve">4J</t>
  </si>
  <si>
    <t xml:space="preserve">1K</t>
  </si>
  <si>
    <t xml:space="preserve">2K</t>
  </si>
  <si>
    <t xml:space="preserve">3K</t>
  </si>
  <si>
    <t xml:space="preserve">4K</t>
  </si>
  <si>
    <t xml:space="preserve">1L</t>
  </si>
  <si>
    <t xml:space="preserve">2L</t>
  </si>
  <si>
    <t xml:space="preserve">G</t>
  </si>
  <si>
    <t xml:space="preserve">3L</t>
  </si>
  <si>
    <t xml:space="preserve">4L</t>
  </si>
  <si>
    <t xml:space="preserve">OrdenAlfa</t>
  </si>
  <si>
    <t xml:space="preserve">H</t>
  </si>
  <si>
    <t xml:space="preserve">I</t>
  </si>
  <si>
    <t xml:space="preserve">J</t>
  </si>
  <si>
    <t xml:space="preserve">K</t>
  </si>
  <si>
    <t xml:space="preserve">L</t>
  </si>
  <si>
    <t xml:space="preserve">EN 16 y en el 3ºy4º puesto son diferentes</t>
  </si>
  <si>
    <t xml:space="preserve">NO BORRAR ESTO EN 16S</t>
  </si>
  <si>
    <t xml:space="preserve">PARTIDO</t>
  </si>
  <si>
    <t xml:space="preserve">FECHA</t>
  </si>
  <si>
    <t xml:space="preserve">LOCAL</t>
  </si>
  <si>
    <t xml:space="preserve">VISITANTE</t>
  </si>
  <si>
    <t xml:space="preserve">#</t>
  </si>
  <si>
    <t xml:space="preserve">X</t>
  </si>
  <si>
    <t xml:space="preserve">2A-2B</t>
  </si>
  <si>
    <t xml:space="preserve">1/16</t>
  </si>
  <si>
    <t xml:space="preserve">3ABCDF</t>
  </si>
  <si>
    <t xml:space="preserve">TOTAL</t>
  </si>
  <si>
    <t xml:space="preserve">1E-3ABCDF</t>
  </si>
  <si>
    <t xml:space="preserve">Los 8 mejores terceros son…</t>
  </si>
  <si>
    <t xml:space="preserve">GRUPO</t>
  </si>
  <si>
    <t xml:space="preserve">ORDEN</t>
  </si>
  <si>
    <t xml:space="preserve">Por orden alfabetico</t>
  </si>
  <si>
    <t xml:space="preserve">1F-2C</t>
  </si>
  <si>
    <t xml:space="preserve">1C-2F</t>
  </si>
  <si>
    <t xml:space="preserve">3CDFGH</t>
  </si>
  <si>
    <t xml:space="preserve">1I-3CDFGH</t>
  </si>
  <si>
    <t xml:space="preserve">2E-2I</t>
  </si>
  <si>
    <t xml:space="preserve">3CEFHI</t>
  </si>
  <si>
    <t xml:space="preserve">1A-3CEFHI</t>
  </si>
  <si>
    <t xml:space="preserve">3EHIJK</t>
  </si>
  <si>
    <t xml:space="preserve">1L-3EHIJK</t>
  </si>
  <si>
    <t xml:space="preserve">3BEFIJ</t>
  </si>
  <si>
    <t xml:space="preserve">1D-3BEFIJ</t>
  </si>
  <si>
    <t xml:space="preserve">3AEHIJ</t>
  </si>
  <si>
    <t xml:space="preserve">1G-3AEHIJ</t>
  </si>
  <si>
    <t xml:space="preserve">2K-2L</t>
  </si>
  <si>
    <t xml:space="preserve">Corresponde a los grupos…</t>
  </si>
  <si>
    <t xml:space="preserve">1H-2J</t>
  </si>
  <si>
    <t xml:space="preserve">3EFGIJ</t>
  </si>
  <si>
    <t xml:space="preserve">1B-3EFGIJ</t>
  </si>
  <si>
    <t xml:space="preserve">1J-2H</t>
  </si>
  <si>
    <t xml:space="preserve">3DEIJL</t>
  </si>
  <si>
    <t xml:space="preserve">1K-3DEIJL</t>
  </si>
  <si>
    <t xml:space="preserve">2D-2G</t>
  </si>
  <si>
    <t xml:space="preserve">Normal</t>
  </si>
  <si>
    <t xml:space="preserve">W74</t>
  </si>
  <si>
    <t xml:space="preserve">W77</t>
  </si>
  <si>
    <t xml:space="preserve">W74-W77</t>
  </si>
  <si>
    <t xml:space="preserve">1/8</t>
  </si>
  <si>
    <t xml:space="preserve">W73</t>
  </si>
  <si>
    <t xml:space="preserve">W75</t>
  </si>
  <si>
    <t xml:space="preserve">W73-W75</t>
  </si>
  <si>
    <t xml:space="preserve">W76</t>
  </si>
  <si>
    <t xml:space="preserve">W78</t>
  </si>
  <si>
    <t xml:space="preserve">W76-W78</t>
  </si>
  <si>
    <t xml:space="preserve">W79</t>
  </si>
  <si>
    <t xml:space="preserve">W80</t>
  </si>
  <si>
    <t xml:space="preserve">W79-W80</t>
  </si>
  <si>
    <t xml:space="preserve">W83</t>
  </si>
  <si>
    <t xml:space="preserve">W84</t>
  </si>
  <si>
    <t xml:space="preserve">W83-W84</t>
  </si>
  <si>
    <t xml:space="preserve">W81</t>
  </si>
  <si>
    <t xml:space="preserve">W82</t>
  </si>
  <si>
    <t xml:space="preserve">W81-W82</t>
  </si>
  <si>
    <t xml:space="preserve">W86</t>
  </si>
  <si>
    <t xml:space="preserve">W88</t>
  </si>
  <si>
    <t xml:space="preserve">W86-W88</t>
  </si>
  <si>
    <t xml:space="preserve">W85</t>
  </si>
  <si>
    <t xml:space="preserve">W87</t>
  </si>
  <si>
    <t xml:space="preserve">W85-W87</t>
  </si>
  <si>
    <t xml:space="preserve">W89</t>
  </si>
  <si>
    <t xml:space="preserve">W90</t>
  </si>
  <si>
    <t xml:space="preserve">W89-W90</t>
  </si>
  <si>
    <t xml:space="preserve">1/4</t>
  </si>
  <si>
    <t xml:space="preserve">W93</t>
  </si>
  <si>
    <t xml:space="preserve">W94</t>
  </si>
  <si>
    <t xml:space="preserve">W93-W94</t>
  </si>
  <si>
    <t xml:space="preserve">W91</t>
  </si>
  <si>
    <t xml:space="preserve">W92</t>
  </si>
  <si>
    <t xml:space="preserve">W91-W92</t>
  </si>
  <si>
    <t xml:space="preserve">W95</t>
  </si>
  <si>
    <t xml:space="preserve">W96</t>
  </si>
  <si>
    <t xml:space="preserve">W95-W96</t>
  </si>
  <si>
    <t xml:space="preserve">EL 34 y la FINAL van diferentes como cogen los equipos, van directos, sin formulas previas</t>
  </si>
  <si>
    <t xml:space="preserve">LOSERS</t>
  </si>
  <si>
    <t xml:space="preserve">Gol</t>
  </si>
  <si>
    <t xml:space="preserve">W97</t>
  </si>
  <si>
    <t xml:space="preserve">W98</t>
  </si>
  <si>
    <t xml:space="preserve">W97-W98</t>
  </si>
  <si>
    <t xml:space="preserve">1/2</t>
  </si>
  <si>
    <t xml:space="preserve">W99</t>
  </si>
  <si>
    <t xml:space="preserve">W100</t>
  </si>
  <si>
    <t xml:space="preserve">W99-W100</t>
  </si>
  <si>
    <t xml:space="preserve">L101</t>
  </si>
  <si>
    <t xml:space="preserve">L102</t>
  </si>
  <si>
    <t xml:space="preserve">L101-L102</t>
  </si>
  <si>
    <t xml:space="preserve">3-4</t>
  </si>
  <si>
    <t xml:space="preserve">W101</t>
  </si>
  <si>
    <t xml:space="preserve">W102</t>
  </si>
  <si>
    <t xml:space="preserve">W101-W102</t>
  </si>
  <si>
    <t xml:space="preserve">Fixture</t>
  </si>
  <si>
    <t xml:space="preserve">m</t>
  </si>
  <si>
    <t xml:space="preserve">a</t>
  </si>
  <si>
    <t xml:space="preserve">t</t>
  </si>
  <si>
    <t xml:space="preserve">e</t>
  </si>
  <si>
    <t xml:space="preserve">j</t>
  </si>
  <si>
    <t xml:space="preserve">r</t>
  </si>
  <si>
    <t xml:space="preserve">o</t>
  </si>
  <si>
    <t xml:space="preserve">Max puntos partido</t>
  </si>
  <si>
    <t xml:space="preserve">Ref fecha</t>
  </si>
  <si>
    <t xml:space="preserve">Fecha</t>
  </si>
  <si>
    <t xml:space="preserve">Bonus</t>
  </si>
  <si>
    <t xml:space="preserve">GORKA</t>
  </si>
  <si>
    <t xml:space="preserve">NOVE</t>
  </si>
  <si>
    <t xml:space="preserve">SERGIO</t>
  </si>
  <si>
    <t xml:space="preserve">JUANJO</t>
  </si>
  <si>
    <t xml:space="preserve">GARBAN</t>
  </si>
  <si>
    <t xml:space="preserve">JAVI</t>
  </si>
  <si>
    <t xml:space="preserve">LAURA</t>
  </si>
  <si>
    <t xml:space="preserve">JUANMI</t>
  </si>
  <si>
    <t xml:space="preserve">JORGE</t>
  </si>
  <si>
    <t xml:space="preserve">ANDER</t>
  </si>
  <si>
    <t xml:space="preserve">BORJA</t>
  </si>
  <si>
    <t xml:space="preserve">MIKEL</t>
  </si>
  <si>
    <t xml:space="preserve">JON</t>
  </si>
  <si>
    <t xml:space="preserve">GALDER</t>
  </si>
  <si>
    <t xml:space="preserve">ASIER</t>
  </si>
  <si>
    <t xml:space="preserve">PEIO</t>
  </si>
  <si>
    <t xml:space="preserve">GANEKO</t>
  </si>
  <si>
    <t xml:space="preserve">AITOR</t>
  </si>
  <si>
    <t xml:space="preserve">A1</t>
  </si>
  <si>
    <t xml:space="preserve">1|2-1</t>
  </si>
  <si>
    <t xml:space="preserve">1|1-0</t>
  </si>
  <si>
    <t xml:space="preserve">1|2-0</t>
  </si>
  <si>
    <t xml:space="preserve">X|1-1</t>
  </si>
  <si>
    <t xml:space="preserve">2|1-2</t>
  </si>
  <si>
    <t xml:space="preserve">X|2-2</t>
  </si>
  <si>
    <t xml:space="preserve">B1</t>
  </si>
  <si>
    <t xml:space="preserve">2|0-1</t>
  </si>
  <si>
    <t xml:space="preserve">1|3-0</t>
  </si>
  <si>
    <t xml:space="preserve">2|0-3</t>
  </si>
  <si>
    <t xml:space="preserve">2|0-2</t>
  </si>
  <si>
    <t xml:space="preserve">X|0-0</t>
  </si>
  <si>
    <t xml:space="preserve">2|0-5</t>
  </si>
  <si>
    <t xml:space="preserve">2|1-3</t>
  </si>
  <si>
    <t xml:space="preserve">C1</t>
  </si>
  <si>
    <t xml:space="preserve">1|3-2</t>
  </si>
  <si>
    <t xml:space="preserve">D1</t>
  </si>
  <si>
    <t xml:space="preserve">2|0-4</t>
  </si>
  <si>
    <t xml:space="preserve">E1</t>
  </si>
  <si>
    <t xml:space="preserve">1|4-0</t>
  </si>
  <si>
    <t xml:space="preserve">1|5-0</t>
  </si>
  <si>
    <t xml:space="preserve">1|6-0</t>
  </si>
  <si>
    <t xml:space="preserve">1|9-0</t>
  </si>
  <si>
    <t xml:space="preserve">F1</t>
  </si>
  <si>
    <t xml:space="preserve">1|3-1</t>
  </si>
  <si>
    <t xml:space="preserve">G1</t>
  </si>
  <si>
    <t xml:space="preserve">H1</t>
  </si>
  <si>
    <t xml:space="preserve">I1</t>
  </si>
  <si>
    <t xml:space="preserve">J1</t>
  </si>
  <si>
    <t xml:space="preserve">K1</t>
  </si>
  <si>
    <t xml:space="preserve">1|6-1</t>
  </si>
  <si>
    <t xml:space="preserve">L1</t>
  </si>
  <si>
    <t xml:space="preserve">A2</t>
  </si>
  <si>
    <t xml:space="preserve">B2</t>
  </si>
  <si>
    <t xml:space="preserve">C2</t>
  </si>
  <si>
    <t xml:space="preserve">1|5-1</t>
  </si>
  <si>
    <t xml:space="preserve">1|8-0</t>
  </si>
  <si>
    <t xml:space="preserve">D2</t>
  </si>
  <si>
    <t xml:space="preserve">E2</t>
  </si>
  <si>
    <t xml:space="preserve">F2</t>
  </si>
  <si>
    <t xml:space="preserve">X|3-3</t>
  </si>
  <si>
    <t xml:space="preserve">G2</t>
  </si>
  <si>
    <t xml:space="preserve">H2</t>
  </si>
  <si>
    <t xml:space="preserve">I2</t>
  </si>
  <si>
    <t xml:space="preserve">J2</t>
  </si>
  <si>
    <t xml:space="preserve">None</t>
  </si>
  <si>
    <t xml:space="preserve">K2</t>
  </si>
  <si>
    <t xml:space="preserve">L2</t>
  </si>
  <si>
    <t xml:space="preserve">2|1-4</t>
  </si>
  <si>
    <t xml:space="preserve">A3</t>
  </si>
  <si>
    <t xml:space="preserve">B3</t>
  </si>
  <si>
    <t xml:space="preserve">C3</t>
  </si>
  <si>
    <t xml:space="preserve">1|4-1</t>
  </si>
  <si>
    <t xml:space="preserve">D3</t>
  </si>
  <si>
    <t xml:space="preserve">2|2-3</t>
  </si>
  <si>
    <t xml:space="preserve">E3</t>
  </si>
  <si>
    <t xml:space="preserve">2|0-7</t>
  </si>
  <si>
    <t xml:space="preserve">F3</t>
  </si>
  <si>
    <t xml:space="preserve">MAX KO</t>
  </si>
  <si>
    <t xml:space="preserve">G3</t>
  </si>
  <si>
    <t xml:space="preserve">H3</t>
  </si>
  <si>
    <t xml:space="preserve">2|2-4</t>
  </si>
  <si>
    <t xml:space="preserve">I3</t>
  </si>
  <si>
    <t xml:space="preserve">J3</t>
  </si>
  <si>
    <t xml:space="preserve">2|0-6</t>
  </si>
  <si>
    <t xml:space="preserve">K3</t>
  </si>
  <si>
    <t xml:space="preserve">L3</t>
  </si>
  <si>
    <t xml:space="preserve">México</t>
  </si>
  <si>
    <t xml:space="preserve">República Checa</t>
  </si>
  <si>
    <t xml:space="preserve">Corea del Sur</t>
  </si>
  <si>
    <t xml:space="preserve">Sudáfrica</t>
  </si>
  <si>
    <t xml:space="preserve">Bosnia y Herzegovina</t>
  </si>
  <si>
    <t xml:space="preserve">Suiza</t>
  </si>
  <si>
    <t xml:space="preserve">Canadá</t>
  </si>
  <si>
    <t xml:space="preserve">Catar</t>
  </si>
  <si>
    <t xml:space="preserve">Brasil</t>
  </si>
  <si>
    <t xml:space="preserve">Marruecos</t>
  </si>
  <si>
    <t xml:space="preserve">Escocia</t>
  </si>
  <si>
    <t xml:space="preserve">Haití</t>
  </si>
  <si>
    <t xml:space="preserve">Turquía</t>
  </si>
  <si>
    <t xml:space="preserve">Estados Unidos</t>
  </si>
  <si>
    <t xml:space="preserve">Paraguay</t>
  </si>
  <si>
    <t xml:space="preserve">Australia</t>
  </si>
  <si>
    <t xml:space="preserve">Alemania</t>
  </si>
  <si>
    <t xml:space="preserve">Costa de Marfil</t>
  </si>
  <si>
    <t xml:space="preserve">Ecuador</t>
  </si>
  <si>
    <t xml:space="preserve">Curazao</t>
  </si>
  <si>
    <t xml:space="preserve">Países Bajos</t>
  </si>
  <si>
    <t xml:space="preserve">Suecia</t>
  </si>
  <si>
    <t xml:space="preserve">Japón</t>
  </si>
  <si>
    <t xml:space="preserve">Túnez</t>
  </si>
  <si>
    <t xml:space="preserve">Bélgica</t>
  </si>
  <si>
    <t xml:space="preserve">Egipto</t>
  </si>
  <si>
    <t xml:space="preserve">Irán</t>
  </si>
  <si>
    <t xml:space="preserve">Nueva Zelanda</t>
  </si>
  <si>
    <t xml:space="preserve">Uruguay</t>
  </si>
  <si>
    <t xml:space="preserve">Cabo Verde</t>
  </si>
  <si>
    <t xml:space="preserve">Arabia Saudita</t>
  </si>
  <si>
    <t xml:space="preserve">Francia</t>
  </si>
  <si>
    <t xml:space="preserve">Senegal</t>
  </si>
  <si>
    <t xml:space="preserve">Noruega</t>
  </si>
  <si>
    <t xml:space="preserve">Irak</t>
  </si>
  <si>
    <t xml:space="preserve">Argentina</t>
  </si>
  <si>
    <t xml:space="preserve">Austria</t>
  </si>
  <si>
    <t xml:space="preserve">Argelia</t>
  </si>
  <si>
    <t xml:space="preserve">Jordania</t>
  </si>
  <si>
    <t xml:space="preserve">Portugal</t>
  </si>
  <si>
    <t xml:space="preserve">Colombia</t>
  </si>
  <si>
    <t xml:space="preserve">RD Congo</t>
  </si>
  <si>
    <t xml:space="preserve">Uzbekistán</t>
  </si>
  <si>
    <t xml:space="preserve">Inglaterra</t>
  </si>
  <si>
    <t xml:space="preserve">Croacia</t>
  </si>
  <si>
    <t xml:space="preserve">Ghana</t>
  </si>
  <si>
    <t xml:space="preserve">Panamá</t>
  </si>
  <si>
    <t xml:space="preserve">Max: 96</t>
  </si>
  <si>
    <t xml:space="preserve">Gol loinv</t>
  </si>
  <si>
    <t xml:space="preserve">golvisinv</t>
  </si>
  <si>
    <t xml:space="preserve">partidoinv</t>
  </si>
  <si>
    <t xml:space="preserve">signoinv</t>
  </si>
  <si>
    <t xml:space="preserve">resultadoinv</t>
  </si>
  <si>
    <t xml:space="preserve">Max: 272</t>
  </si>
  <si>
    <t xml:space="preserve">COPIAR Y PEGAR FORMULAS A LA DERECHA DESDE EL 1</t>
  </si>
  <si>
    <t xml:space="preserve">Mbappé</t>
  </si>
  <si>
    <t xml:space="preserve">Dembelè</t>
  </si>
  <si>
    <t xml:space="preserve">Messi</t>
  </si>
  <si>
    <t xml:space="preserve">Mbappe</t>
  </si>
  <si>
    <t xml:space="preserve">Romelu Lukaku</t>
  </si>
  <si>
    <t xml:space="preserve">Cristiano Ronaldo</t>
  </si>
  <si>
    <t xml:space="preserve">Julián Alvarez</t>
  </si>
  <si>
    <t xml:space="preserve">Oyarzabal</t>
  </si>
  <si>
    <t xml:space="preserve">Kane</t>
  </si>
  <si>
    <t xml:space="preserve">Lamine Yamal</t>
  </si>
  <si>
    <t xml:space="preserve">Julian Alvarez</t>
  </si>
  <si>
    <t xml:space="preserve">Havertz</t>
  </si>
  <si>
    <t xml:space="preserve">Oliseh</t>
  </si>
  <si>
    <t xml:space="preserve">Woltemade</t>
  </si>
  <si>
    <t xml:space="preserve">Halland</t>
  </si>
  <si>
    <t xml:space="preserve">Dumfries</t>
  </si>
  <si>
    <t xml:space="preserve">Haaland</t>
  </si>
  <si>
    <t xml:space="preserve">Portugal </t>
  </si>
  <si>
    <t xml:space="preserve">DIARIA</t>
  </si>
  <si>
    <t xml:space="preserve">JERQ1</t>
  </si>
  <si>
    <t xml:space="preserve">COL</t>
  </si>
  <si>
    <t xml:space="preserve">JERQ2</t>
  </si>
  <si>
    <t xml:space="preserve">Name</t>
  </si>
  <si>
    <t xml:space="preserve">nombre</t>
  </si>
  <si>
    <t xml:space="preserve">partido1</t>
  </si>
  <si>
    <t xml:space="preserve">partido2</t>
  </si>
  <si>
    <t xml:space="preserve">partido3</t>
  </si>
  <si>
    <t xml:space="preserve">dieciseisavos</t>
  </si>
  <si>
    <t xml:space="preserve">octavos</t>
  </si>
  <si>
    <t xml:space="preserve">cuartos</t>
  </si>
  <si>
    <t xml:space="preserve">semifinales</t>
  </si>
  <si>
    <t xml:space="preserve">final</t>
  </si>
  <si>
    <t xml:space="preserve">goles</t>
  </si>
  <si>
    <t xml:space="preserve">English</t>
  </si>
  <si>
    <t xml:space="preserve">HOJA</t>
  </si>
  <si>
    <t xml:space="preserve">Celda</t>
  </si>
  <si>
    <t xml:space="preserve">Inglés</t>
  </si>
  <si>
    <t xml:space="preserve">Inicio</t>
  </si>
  <si>
    <t xml:space="preserve">G4</t>
  </si>
  <si>
    <t xml:space="preserve">Introducir resultados</t>
  </si>
  <si>
    <t xml:space="preserve">Introduce Results</t>
  </si>
  <si>
    <t xml:space="preserve">L5</t>
  </si>
  <si>
    <t xml:space="preserve">Esta versión es para un maximo de 5 participantes. Puedes descargar versiones para más participantes desde el enlace de abajo</t>
  </si>
  <si>
    <t xml:space="preserve">This version is for a maximum of 5 participants. You can download versions for more participants from the link below</t>
  </si>
  <si>
    <t xml:space="preserve">Predictor Equipos</t>
  </si>
  <si>
    <t xml:space="preserve">Team Predictor</t>
  </si>
  <si>
    <t xml:space="preserve">F12</t>
  </si>
  <si>
    <t xml:space="preserve">Selecciona idioma</t>
  </si>
  <si>
    <t xml:space="preserve">Select languaje</t>
  </si>
  <si>
    <t xml:space="preserve">B7</t>
  </si>
  <si>
    <t xml:space="preserve">XXIII Mundial USA/MEX/CAN 2026</t>
  </si>
  <si>
    <t xml:space="preserve">XXIII World Cup USA/MEX/CAN 2026</t>
  </si>
  <si>
    <t xml:space="preserve">L11</t>
  </si>
  <si>
    <t xml:space="preserve">Versiones para más participantes</t>
  </si>
  <si>
    <t xml:space="preserve">Versions for more participants</t>
  </si>
  <si>
    <t xml:space="preserve">L12</t>
  </si>
  <si>
    <t xml:space="preserve">https://matejero.es/administrador-excel-mundial-2026/</t>
  </si>
  <si>
    <t xml:space="preserve">https://matejero.com/world-cup-excel-administrator-2026/</t>
  </si>
  <si>
    <t xml:space="preserve">Si en la hoja WorldCup no ves las banderas, puedes usar el otro archivo que venia en el .zip</t>
  </si>
  <si>
    <t xml:space="preserve">If you don't see flags in the WorldCup sheet, you can use the other file that came in the .zip file</t>
  </si>
  <si>
    <t xml:space="preserve">Donar</t>
  </si>
  <si>
    <t xml:space="preserve">Donate</t>
  </si>
  <si>
    <t xml:space="preserve">https://matejero.es/faq-porra-mundial-2026-excel/</t>
  </si>
  <si>
    <t xml:space="preserve">https://matejero.com/faq-world-cup-2026-excel-predictor/</t>
  </si>
  <si>
    <t xml:space="preserve">WORLDCUP</t>
  </si>
  <si>
    <t xml:space="preserve">Selecciona horario</t>
  </si>
  <si>
    <t xml:space="preserve">Select timetable</t>
  </si>
  <si>
    <t xml:space="preserve">Date</t>
  </si>
  <si>
    <t xml:space="preserve">Hora</t>
  </si>
  <si>
    <t xml:space="preserve">Hour</t>
  </si>
  <si>
    <t xml:space="preserve">Jor.</t>
  </si>
  <si>
    <t xml:space="preserve">R</t>
  </si>
  <si>
    <t xml:space="preserve">Casa</t>
  </si>
  <si>
    <t xml:space="preserve">Home</t>
  </si>
  <si>
    <t xml:space="preserve">Goal</t>
  </si>
  <si>
    <t xml:space="preserve">N3</t>
  </si>
  <si>
    <t xml:space="preserve">Fuera</t>
  </si>
  <si>
    <t xml:space="preserve">Away</t>
  </si>
  <si>
    <t xml:space="preserve">Q3</t>
  </si>
  <si>
    <t xml:space="preserve">Grupo</t>
  </si>
  <si>
    <t xml:space="preserve">Group</t>
  </si>
  <si>
    <t xml:space="preserve">AB3</t>
  </si>
  <si>
    <t xml:space="preserve">¡EMPATE! Puedes seleccionar el orden de los empatados.</t>
  </si>
  <si>
    <t xml:space="preserve">IT'S A DRAW! Choose the order of the Nations to determine their rankings.</t>
  </si>
  <si>
    <t xml:space="preserve">E53</t>
  </si>
  <si>
    <t xml:space="preserve">Mejores terceros</t>
  </si>
  <si>
    <t xml:space="preserve">Best third-placed</t>
  </si>
  <si>
    <t xml:space="preserve">Dieciseisavos de final</t>
  </si>
  <si>
    <t xml:space="preserve">Round of 32</t>
  </si>
  <si>
    <t xml:space="preserve">E63</t>
  </si>
  <si>
    <t xml:space="preserve">Octavos de final</t>
  </si>
  <si>
    <t xml:space="preserve">Round of 16</t>
  </si>
  <si>
    <t xml:space="preserve">E74</t>
  </si>
  <si>
    <t xml:space="preserve">Cuartos de final</t>
  </si>
  <si>
    <t xml:space="preserve">Quarterfinals</t>
  </si>
  <si>
    <t xml:space="preserve">E80</t>
  </si>
  <si>
    <t xml:space="preserve">Semifinales</t>
  </si>
  <si>
    <t xml:space="preserve">Semifinals</t>
  </si>
  <si>
    <t xml:space="preserve">3º y 4º puesto</t>
  </si>
  <si>
    <t xml:space="preserve">3rd-4th place</t>
  </si>
  <si>
    <t xml:space="preserve">E84</t>
  </si>
  <si>
    <t xml:space="preserve">Final</t>
  </si>
  <si>
    <t xml:space="preserve">I88</t>
  </si>
  <si>
    <t xml:space="preserve">Cuadro de honor</t>
  </si>
  <si>
    <t xml:space="preserve">Honor box</t>
  </si>
  <si>
    <t xml:space="preserve">E89</t>
  </si>
  <si>
    <t xml:space="preserve">Campeón</t>
  </si>
  <si>
    <t xml:space="preserve">Winner</t>
  </si>
  <si>
    <t xml:space="preserve">E90</t>
  </si>
  <si>
    <t xml:space="preserve">Subcampeón</t>
  </si>
  <si>
    <t xml:space="preserve">Runner-up</t>
  </si>
  <si>
    <t xml:space="preserve">3º puesto</t>
  </si>
  <si>
    <t xml:space="preserve">3rd place</t>
  </si>
  <si>
    <t xml:space="preserve">E93</t>
  </si>
  <si>
    <t xml:space="preserve">Bota de Oro  (máximo goleador)</t>
  </si>
  <si>
    <t xml:space="preserve">Golden Boot  (Top Scorer)</t>
  </si>
  <si>
    <t xml:space="preserve">E94</t>
  </si>
  <si>
    <t xml:space="preserve">Bota de Plata (2º máximo goleador)</t>
  </si>
  <si>
    <t xml:space="preserve">Silver Boot  (2nd Top Scorer)</t>
  </si>
  <si>
    <t xml:space="preserve">Bota de Bronce (3º máximo goleador)</t>
  </si>
  <si>
    <t xml:space="preserve">Bronze Boot (3rd Top Scorer)</t>
  </si>
  <si>
    <t xml:space="preserve">Balón de Oro  (mejor jugador)</t>
  </si>
  <si>
    <t xml:space="preserve">Golden Ball (Best Player)</t>
  </si>
  <si>
    <t xml:space="preserve">Balón de Plata (2º mejor jugador)</t>
  </si>
  <si>
    <t xml:space="preserve">Silver Ball (2nd Best Player)</t>
  </si>
  <si>
    <t xml:space="preserve">Balón de Bronce (3º mejor jugador)</t>
  </si>
  <si>
    <t xml:space="preserve">Bronze Ball (3rd Best Player))</t>
  </si>
  <si>
    <t xml:space="preserve">I93</t>
  </si>
  <si>
    <t xml:space="preserve">Escribe el jugador Bota de Oro</t>
  </si>
  <si>
    <t xml:space="preserve">Write the Golden Boot player</t>
  </si>
  <si>
    <t xml:space="preserve">I94</t>
  </si>
  <si>
    <t xml:space="preserve">Escribe el jugador Bota de Plata</t>
  </si>
  <si>
    <t xml:space="preserve">Write the Silver Boot player</t>
  </si>
  <si>
    <t xml:space="preserve">Escribe el jugador Bota de Bronce</t>
  </si>
  <si>
    <t xml:space="preserve">Write the Bronze Boot player</t>
  </si>
  <si>
    <t xml:space="preserve">Escribe el equipo máximo goleador</t>
  </si>
  <si>
    <t xml:space="preserve">Write the Golden Ball player</t>
  </si>
  <si>
    <t xml:space="preserve">Escribe el jugador Balón de Plata</t>
  </si>
  <si>
    <t xml:space="preserve">Write the Silver Ball player</t>
  </si>
  <si>
    <t xml:space="preserve">Escribe el jugador Balón de Bronce</t>
  </si>
  <si>
    <t xml:space="preserve">Write the Bronze Ball player</t>
  </si>
  <si>
    <t xml:space="preserve">E97</t>
  </si>
  <si>
    <t xml:space="preserve">NombreGrupo</t>
  </si>
  <si>
    <t xml:space="preserve">GroupName</t>
  </si>
  <si>
    <t xml:space="preserve">home</t>
  </si>
  <si>
    <t xml:space="preserve">I97</t>
  </si>
  <si>
    <t xml:space="preserve">Escribe el nombre del grupo</t>
  </si>
  <si>
    <t xml:space="preserve">Write the name of the group</t>
  </si>
  <si>
    <t xml:space="preserve">R86</t>
  </si>
  <si>
    <t xml:space="preserve">MUNDIAL EN CURSO</t>
  </si>
  <si>
    <t xml:space="preserve">WORLD CUP IN PROGRESS</t>
  </si>
  <si>
    <t xml:space="preserve">S86</t>
  </si>
  <si>
    <t xml:space="preserve">Todavía hay emoción</t>
  </si>
  <si>
    <t xml:space="preserve">The race is still on</t>
  </si>
  <si>
    <t xml:space="preserve">R87</t>
  </si>
  <si>
    <t xml:space="preserve">MUNDIAL FINALIZADO</t>
  </si>
  <si>
    <t xml:space="preserve">WORLD CUP FINISHED</t>
  </si>
  <si>
    <t xml:space="preserve">S87</t>
  </si>
  <si>
    <t xml:space="preserve">¿Quién habrá ganado?</t>
  </si>
  <si>
    <t xml:space="preserve">Who has won the pool?</t>
  </si>
  <si>
    <t xml:space="preserve">Q5</t>
  </si>
  <si>
    <t xml:space="preserve">Pos</t>
  </si>
  <si>
    <t xml:space="preserve">R5</t>
  </si>
  <si>
    <t xml:space="preserve">Selección</t>
  </si>
  <si>
    <t xml:space="preserve">Nation</t>
  </si>
  <si>
    <t xml:space="preserve">S5</t>
  </si>
  <si>
    <t xml:space="preserve">Pts</t>
  </si>
  <si>
    <t xml:space="preserve">T5</t>
  </si>
  <si>
    <t xml:space="preserve">P</t>
  </si>
  <si>
    <t xml:space="preserve">U5</t>
  </si>
  <si>
    <t xml:space="preserve">W</t>
  </si>
  <si>
    <t xml:space="preserve">V5</t>
  </si>
  <si>
    <t xml:space="preserve">W5</t>
  </si>
  <si>
    <t xml:space="preserve">X5</t>
  </si>
  <si>
    <t xml:space="preserve">Y5</t>
  </si>
  <si>
    <t xml:space="preserve">GC</t>
  </si>
  <si>
    <t xml:space="preserve">Z5</t>
  </si>
  <si>
    <t xml:space="preserve">GD</t>
  </si>
  <si>
    <t xml:space="preserve">R1</t>
  </si>
  <si>
    <t xml:space="preserve">R2</t>
  </si>
  <si>
    <t xml:space="preserve">R3</t>
  </si>
  <si>
    <t xml:space="preserve">Borrar</t>
  </si>
  <si>
    <t xml:space="preserve">Z6</t>
  </si>
  <si>
    <t xml:space="preserve">Instrucciones en video</t>
  </si>
  <si>
    <t xml:space="preserve">Show the best third-placed teams before the group stage ends?</t>
  </si>
  <si>
    <t xml:space="preserve">Sí</t>
  </si>
  <si>
    <t xml:space="preserve">Yes</t>
  </si>
  <si>
    <t xml:space="preserve">Puntos penalizados</t>
  </si>
  <si>
    <t xml:space="preserve">Deducted Points</t>
  </si>
  <si>
    <t xml:space="preserve">Grupos mejores 3ºs: </t>
  </si>
  <si>
    <t xml:space="preserve">Best 3-placed groups: </t>
  </si>
  <si>
    <t xml:space="preserve">La clasificación de los mejores terceros aparece al final de la J1</t>
  </si>
  <si>
    <t xml:space="preserve">The ranking of the best third places appears at the end of J1</t>
  </si>
  <si>
    <t xml:space="preserve">¿Hay equipos penalizados?</t>
  </si>
  <si>
    <t xml:space="preserve">Are there penalized teams?</t>
  </si>
  <si>
    <t xml:space="preserve">No cuenta el partido contra el último</t>
  </si>
  <si>
    <t xml:space="preserve">Matches against the bottom team are excluded.</t>
  </si>
  <si>
    <t xml:space="preserve">Media por partido</t>
  </si>
  <si>
    <t xml:space="preserve">Average per match</t>
  </si>
  <si>
    <t xml:space="preserve">Selecciona criterio:</t>
  </si>
  <si>
    <t xml:space="preserve">Select criteria:</t>
  </si>
  <si>
    <t xml:space="preserve">Credits</t>
  </si>
  <si>
    <t xml:space="preserve">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</si>
  <si>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 xml:space="preserve">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</si>
  <si>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 xml:space="preserve">B14</t>
  </si>
  <si>
    <t xml:space="preserve">Autor:</t>
  </si>
  <si>
    <t xml:space="preserve">Author:</t>
  </si>
  <si>
    <t xml:space="preserve">B15</t>
  </si>
  <si>
    <t xml:space="preserve">Útima versión</t>
  </si>
  <si>
    <t xml:space="preserve">Last version:</t>
  </si>
  <si>
    <t xml:space="preserve">Limitación de responsabilidad:</t>
  </si>
  <si>
    <t xml:space="preserve">Disclaimer:</t>
  </si>
  <si>
    <t xml:space="preserve">PARA DESCARGAR, CLICK EN</t>
  </si>
  <si>
    <t xml:space="preserve">TO DOWNLOAD, CLICK ON</t>
  </si>
  <si>
    <t xml:space="preserve">· Selecciona el idioma en el que quieras hacer la porra y la zona horaria</t>
  </si>
  <si>
    <t xml:space="preserve">· Select the language and time zone</t>
  </si>
  <si>
    <t xml:space="preserve">· Escribe el nombre del grupo de la porra/quiniela</t>
  </si>
  <si>
    <t xml:space="preserve">· Write the pool's group name</t>
  </si>
  <si>
    <t xml:space="preserve">· El archivo de participante lo puedes descargar desde aquí</t>
  </si>
  <si>
    <t xml:space="preserve">· You can download the participant file frome here</t>
  </si>
  <si>
    <t xml:space="preserve">(Antes de empezar el mundial)</t>
  </si>
  <si>
    <t xml:space="preserve">(Before the World Cup starts)</t>
  </si>
  <si>
    <t xml:space="preserve">· Las instrucciones de uso de esta hoja se encuentran en la misma hoja</t>
  </si>
  <si>
    <t xml:space="preserve">· The instructions for use of this sheet are on the same sheet</t>
  </si>
  <si>
    <t xml:space="preserve">· Esta hoja sirve para administrar la porra/quiniela</t>
  </si>
  <si>
    <t xml:space="preserve">· This sheet is used to manage the tournament pool</t>
  </si>
  <si>
    <t xml:space="preserve">· Lo primero, establece la puntuación para cada criterio y comparte la puntuación con los participantes</t>
  </si>
  <si>
    <t xml:space="preserve">· First, set the points for each criterion and share the scoring with the participants</t>
  </si>
  <si>
    <t xml:space="preserve">· Aquí explicamos cada criterio de puntuación</t>
  </si>
  <si>
    <t xml:space="preserve">· Here’s an explanation of each scoring rule</t>
  </si>
  <si>
    <t xml:space="preserve">· Cuando los participantes te envíen su archivo, copia sus pronósticos de la hoja “Pool”, en esta hoja ADMIN</t>
  </si>
  <si>
    <t xml:space="preserve">· Once participants send their file, copy their picks from the 'Pool' tab into this ADMIN tab</t>
  </si>
  <si>
    <t xml:space="preserve">· Cuando tengas todos los pronósticos, selecciona el número de jugadores en la hoja ADMIN</t>
  </si>
  <si>
    <t xml:space="preserve">· Once all picks are in, select the number of players on the ADMIN sheet</t>
  </si>
  <si>
    <t xml:space="preserve">(Una vez ha empezado el mundial)</t>
  </si>
  <si>
    <t xml:space="preserve">(Once the World Cup has started)</t>
  </si>
  <si>
    <t xml:space="preserve">· Cuando empiece el mundial, rellena los cuadros grises con los resultados reales de la fase de grupos</t>
  </si>
  <si>
    <t xml:space="preserve">· When the World Cup begins, fill in the gray boxes with the real group stage results</t>
  </si>
  <si>
    <t xml:space="preserve">· En caso de empate en la posición de un grupo o en los mejores terceros, selcciona el orden de los empatados</t>
  </si>
  <si>
    <t xml:space="preserve">· In case of a tie in the position of a group or in the best third-placed teams, select the order of the drawed nations</t>
  </si>
  <si>
    <t xml:space="preserve">· Las eliminatorias se establecen de forma automática</t>
  </si>
  <si>
    <t xml:space="preserve">· Playoffs are set automatically</t>
  </si>
  <si>
    <t xml:space="preserve">· Rellena los resultados de las fases eliminatorias. En caso de empate, se abren dos celdas a los lados para poner el resultado de los penaltis</t>
  </si>
  <si>
    <t xml:space="preserve">· Fill in the results of the knockout stages. In the event of a tie, two cells are opened on the sides to introduce the result of the penalties</t>
  </si>
  <si>
    <t xml:space="preserve">· Rellenar los mejores jugadores y los máximos goleadores</t>
  </si>
  <si>
    <t xml:space="preserve">· Fill in the best players and top scorers</t>
  </si>
  <si>
    <t xml:space="preserve">· En esta hoja se muestran de un vistazo todos los resultados introducidos en la hoja WORLDCUP, en esta hoja no se rellena nada</t>
  </si>
  <si>
    <t xml:space="preserve">· This sheet shows a view of all the results entered in the WORLDCUP sheet, nothing is filled in on this sheet</t>
  </si>
  <si>
    <t xml:space="preserve">https://matejero.es/download/excel-mundial-2026/</t>
  </si>
  <si>
    <t xml:space="preserve">https://matejero.com/download/excel-world-cup-2026/</t>
  </si>
  <si>
    <t xml:space="preserve">· En esta hoja se puede ver la clasificación general según se vayan introduciendo los resultados de los partidos</t>
  </si>
  <si>
    <t xml:space="preserve">· The overall standings will be updated on this sheet as match results are entered</t>
  </si>
  <si>
    <t xml:space="preserve">· Esta hoja permite filtrar los pronósticos por día de la fase de grupos o por eliminatoria.</t>
  </si>
  <si>
    <t xml:space="preserve">· Use this sheet to filter predictions by group stage day or knockout round</t>
  </si>
  <si>
    <t xml:space="preserve"> · Aquí puedes ver la clasificación del dia/ronda seleccionado en la hoja "DailyPredcition"</t>
  </si>
  <si>
    <t xml:space="preserve">· Here you can see the standings for the day/round selected on the "DailyPrediction" sheet</t>
  </si>
  <si>
    <t xml:space="preserve">Si Irán no participa en el mundial y le sustituye otra selección, selecciona el país sustituto en el desplegable. Si no aparece, elige 'Otro' e ingresa manualmente el nombre (español e inglés), su zona UTC y, opcionalmente, la imagen de su bandera.</t>
  </si>
  <si>
    <t xml:space="preserve">If Iran doesn't participate in the World Cup and is replaced by another team, select the substitute nation from the dropdown menu. If it doesn't appear, choose 'Other' and manually enter the name (Spanish and English), its UTC zone and, optionally, its flag image.</t>
  </si>
  <si>
    <t xml:space="preserve">· En estas hoja podrás ver diferentes estadísticas generales y por partido</t>
  </si>
  <si>
    <t xml:space="preserve">· On this sheet, you can view various overall and per-game statistics.</t>
  </si>
  <si>
    <t xml:space="preserve">· Para verlas correctamente necesitas una versión posterior a excel 2021</t>
  </si>
  <si>
    <t xml:space="preserve">· A version of Excel later than 2021 is required to view these correctly.</t>
  </si>
  <si>
    <t xml:space="preserve">· En esta hoja puedes ver de un vistazo el cuadro del mundial </t>
  </si>
  <si>
    <t xml:space="preserve">· On this sheet, you can see the World Cup bracket at a glance</t>
  </si>
  <si>
    <t xml:space="preserve">Pool</t>
  </si>
  <si>
    <t xml:space="preserve">Para el administrador de la porra</t>
  </si>
  <si>
    <t xml:space="preserve">For the administrator of the pool</t>
  </si>
  <si>
    <t xml:space="preserve">PARTICIPANTE</t>
  </si>
  <si>
    <t xml:space="preserve">PLAYER</t>
  </si>
  <si>
    <t xml:space="preserve">Nombre</t>
  </si>
  <si>
    <t xml:space="preserve">C4</t>
  </si>
  <si>
    <t xml:space="preserve">¡No tocar nada, se rellena solo!</t>
  </si>
  <si>
    <t xml:space="preserve">PLAYER: DO NOT TOUCH, IT'S AUTOMATIC!</t>
  </si>
  <si>
    <t xml:space="preserve">EL ADMINISTRADOR DE LA PORRA SEGUIRÁ LAS INSTRUCCIONES DE AQUÍ ABAJO</t>
  </si>
  <si>
    <t xml:space="preserve">THE POOL ADMINISTRATOR SHOULD FOLLOW THE INSTRUCTIONS BELOW				</t>
  </si>
  <si>
    <r>
      <rPr>
        <sz val="11"/>
        <rFont val="Calibri"/>
        <family val="2"/>
        <charset val="1"/>
      </rPr>
      <t xml:space="preserve">·Si haceis todo el Mundial de golpe, </t>
    </r>
    <r>
      <rPr>
        <b val="true"/>
        <sz val="11"/>
        <rFont val="Calibri"/>
        <family val="2"/>
        <charset val="1"/>
      </rPr>
      <t xml:space="preserve">incluido el predictor</t>
    </r>
    <r>
      <rPr>
        <sz val="11"/>
        <rFont val="Calibri"/>
        <family val="2"/>
        <charset val="1"/>
      </rPr>
      <t xml:space="preserve">, copiar de la </t>
    </r>
    <r>
      <rPr>
        <b val="true"/>
        <sz val="11"/>
        <rFont val="Calibri"/>
        <family val="2"/>
        <charset val="1"/>
      </rPr>
      <t xml:space="preserve">C5 a la C308 </t>
    </r>
    <r>
      <rPr>
        <sz val="11"/>
        <rFont val="Calibri"/>
        <family val="2"/>
        <charset val="1"/>
      </rPr>
      <t xml:space="preserve">y pegar valores en la plantilla de Administrador.</t>
    </r>
  </si>
  <si>
    <t xml:space="preserve">·If you play the whole tournament at once de golpe select from C5 to C308 and paste in the Administrator template.			</t>
  </si>
  <si>
    <t xml:space="preserve">E4</t>
  </si>
  <si>
    <t xml:space="preserve">·Si haceis toda la fase de grupos de golpe y las eliminatorias aparte, copiar primero de la C5 a la C161 y pegar valores en la plantilla de Administrador. Y también copiar y pegar valores de la C253 a la C308. En dieciseisavos seguir las instrucciones de abajo.</t>
  </si>
  <si>
    <t xml:space="preserve">·If you play the whole Group Stage at the begining and later the KO rounds select from C5 to C161 and paste in the Administrator template. Also copy and paste values form C253 to C308. For the round of 32 follow the instructions.</t>
  </si>
  <si>
    <t xml:space="preserve">E5</t>
  </si>
  <si>
    <t xml:space="preserve">·Si haceis jornada a jornada seguir las instrucciones de cada jornada</t>
  </si>
  <si>
    <t xml:space="preserve">·If you play by Rounds, follow de instuctions of every round.</t>
  </si>
  <si>
    <t xml:space="preserve">E6</t>
  </si>
  <si>
    <t xml:space="preserve">·Para la primera jornada copiar de la C5 a la C29 y pega valores en la plantilla de administrador. ¡OJO! COPIAR TAMBIÉN de la C253 a la C308.</t>
  </si>
  <si>
    <t xml:space="preserve">·For the 1st Round copy from C5 to C29 an paste as values in the Administrator Pool. CAUTION. Also copy and paste values form C253 to C308.</t>
  </si>
  <si>
    <t xml:space="preserve">E18</t>
  </si>
  <si>
    <t xml:space="preserve">·Para la segunda jornada copiar de la C30 a la C53 y pega valores en la plantilla de administrador.</t>
  </si>
  <si>
    <t xml:space="preserve">·For the 2nd Round copy from C30 to C53 an paste as values in the Administrator Pool.</t>
  </si>
  <si>
    <t xml:space="preserve">E30</t>
  </si>
  <si>
    <t xml:space="preserve">·Para la tercera jornada copiar de la C54 a la C161 y pega valores en la plantilla de administrador.</t>
  </si>
  <si>
    <t xml:space="preserve">·For the 3rd Round copy from C54 to C161 an paste as values in the Administrator Pool.</t>
  </si>
  <si>
    <t xml:space="preserve">E86</t>
  </si>
  <si>
    <t xml:space="preserve">·Si haceis todas las eliminatorias de golpe, copiar de la C164 a la C252 y pegar valores en la plantilla de Administrador.</t>
  </si>
  <si>
    <t xml:space="preserve">·If you play the KO rounds at once copy from C164 to C252 and paste in the Administrator template.</t>
  </si>
  <si>
    <t xml:space="preserve">E87</t>
  </si>
  <si>
    <t xml:space="preserve">·Si haceis eliminatoria a eliminatoria seguir las instrucciones de cada eliminatoria.</t>
  </si>
  <si>
    <t xml:space="preserve">·If you play de KO phase, round by round, follow the instructions of every KO round.</t>
  </si>
  <si>
    <t xml:space="preserve">E88</t>
  </si>
  <si>
    <t xml:space="preserve">·Para los dieciseisavos copiar de la C164 a la C197 y pega valores en la plantilla de administrador.</t>
  </si>
  <si>
    <t xml:space="preserve">·For de round of 32 matches, copy from C164 to C197 and paste in the administrator template in "Paste Values Round of 32"</t>
  </si>
  <si>
    <t xml:space="preserve">E108</t>
  </si>
  <si>
    <t xml:space="preserve">·Para los octavos de final copiar de la C200 a la C217 y pega valores en la plantilla de administrador.</t>
  </si>
  <si>
    <t xml:space="preserve">·For the round of 16 matches, copy from C200 to C217 and paste in the administrator template in "Paste Values Round of 16"</t>
  </si>
  <si>
    <t xml:space="preserve">·Para los cuartos de final copiar de la C220 a la C229 y pega valores en la plantilla de administrador.</t>
  </si>
  <si>
    <t xml:space="preserve">·For the round of Quarterfinals matches, copy from C220 to C229 and paste in the administrator template in "Paste Values Quarterfinals"</t>
  </si>
  <si>
    <t xml:space="preserve">E120</t>
  </si>
  <si>
    <t xml:space="preserve">·Para las semifinales copiar de la C232 a la C241 y pega valores en la plantilla de administrador.</t>
  </si>
  <si>
    <t xml:space="preserve">·For the round of Semi-Finals matches, copy from C232 to C241 and paste in the administrator template in "Paste Values Semifinals"</t>
  </si>
  <si>
    <t xml:space="preserve">E128</t>
  </si>
  <si>
    <t xml:space="preserve">·Para el 3º y 4º puesto y la Final copiar de la C244 a la C252 y pega valores en la plantilla de administrador.</t>
  </si>
  <si>
    <t xml:space="preserve">·For the Final and 3-4 place matches, copy from C244 to C252 and paste in the administrator template in "Paste Values Final"</t>
  </si>
  <si>
    <t xml:space="preserve">E133</t>
  </si>
  <si>
    <t xml:space="preserve">·Al inicio de la competición si se hace por fases copiar de la C253 a la C308 y pegarla al final del jugador en el archivo de administrador.</t>
  </si>
  <si>
    <t xml:space="preserve">·At the beginning of the competition, if it is done in phases, copy from C253 to C308 and paste it at the end of the player in the administrator file.</t>
  </si>
  <si>
    <t xml:space="preserve">·Copiar de la C261 a la C308 y pegar valores en el administrador donde el Predictor</t>
  </si>
  <si>
    <t xml:space="preserve">·Copy from C261 to C308 and paste it in the administrator template in "Paste Values Predictor"</t>
  </si>
  <si>
    <t xml:space="preserve">D6</t>
  </si>
  <si>
    <t xml:space="preserve">D18</t>
  </si>
  <si>
    <t xml:space="preserve">D30</t>
  </si>
  <si>
    <t xml:space="preserve">B5</t>
  </si>
  <si>
    <t xml:space="preserve">FASE DE GRUPOS</t>
  </si>
  <si>
    <t xml:space="preserve">GROUP STAGE</t>
  </si>
  <si>
    <t xml:space="preserve">B43</t>
  </si>
  <si>
    <t xml:space="preserve">POSICIÓN GRUPOS</t>
  </si>
  <si>
    <t xml:space="preserve">GROUP POSITION</t>
  </si>
  <si>
    <t xml:space="preserve">B69</t>
  </si>
  <si>
    <t xml:space="preserve">CLASIFICADOS PARA DIECISEISAVOS</t>
  </si>
  <si>
    <t xml:space="preserve">QUALIFIED FOR ROUND OF 32</t>
  </si>
  <si>
    <t xml:space="preserve">B87</t>
  </si>
  <si>
    <t xml:space="preserve">ENFRENTAMIENTOS DIECISEISAVOS</t>
  </si>
  <si>
    <t xml:space="preserve">ROUND OF 32</t>
  </si>
  <si>
    <t xml:space="preserve">CLASIFICADOS PARA OCTAVOS</t>
  </si>
  <si>
    <t xml:space="preserve">QUALIFIED FOR ROUND OF 16</t>
  </si>
  <si>
    <t xml:space="preserve">ENFRENTAMIENTOS OCTAVOS</t>
  </si>
  <si>
    <t xml:space="preserve">ROUND OF 16</t>
  </si>
  <si>
    <t xml:space="preserve">B97</t>
  </si>
  <si>
    <t xml:space="preserve">CLASIFICADOS PARA CUARTOS</t>
  </si>
  <si>
    <t xml:space="preserve">QUARTER-FINALISTS</t>
  </si>
  <si>
    <t xml:space="preserve">B107</t>
  </si>
  <si>
    <t xml:space="preserve">ENFRENTAMIENTOS CUARTOS</t>
  </si>
  <si>
    <t xml:space="preserve">QUARTERFINALS</t>
  </si>
  <si>
    <t xml:space="preserve">B113</t>
  </si>
  <si>
    <t xml:space="preserve">CLASIFICADOS PARA SEMIFINALES</t>
  </si>
  <si>
    <t xml:space="preserve">QUALIFIED FOR SEMIFINALS</t>
  </si>
  <si>
    <t xml:space="preserve">B119</t>
  </si>
  <si>
    <t xml:space="preserve">ENFRENTAMIENTOS SEMIFINALES</t>
  </si>
  <si>
    <t xml:space="preserve">SEMIFINALS</t>
  </si>
  <si>
    <t xml:space="preserve">CLASIFICADOS PARA EL 3º y 4º PUESTO</t>
  </si>
  <si>
    <t xml:space="preserve">QUALIFIED FOR 3rd-4th PLACE</t>
  </si>
  <si>
    <t xml:space="preserve">B123</t>
  </si>
  <si>
    <t xml:space="preserve">CLASIFICADOS PARA LA FINAL</t>
  </si>
  <si>
    <t xml:space="preserve">QUALIFIED FOR THE FINAL</t>
  </si>
  <si>
    <t xml:space="preserve">3º-4º puesto</t>
  </si>
  <si>
    <t xml:space="preserve">B127</t>
  </si>
  <si>
    <t xml:space="preserve">ENFRENTAMIENTO FINAL</t>
  </si>
  <si>
    <t xml:space="preserve">FINAL</t>
  </si>
  <si>
    <t xml:space="preserve">B130</t>
  </si>
  <si>
    <t xml:space="preserve">CUADRO DE HONOR</t>
  </si>
  <si>
    <t xml:space="preserve">HONOR BOX</t>
  </si>
  <si>
    <t xml:space="preserve">B44</t>
  </si>
  <si>
    <t xml:space="preserve">1º GRUPO A</t>
  </si>
  <si>
    <t xml:space="preserve">1st GROUP A</t>
  </si>
  <si>
    <t xml:space="preserve">B45</t>
  </si>
  <si>
    <t xml:space="preserve">2º GRUPO A</t>
  </si>
  <si>
    <t xml:space="preserve">2nd GROUP A</t>
  </si>
  <si>
    <t xml:space="preserve">B46</t>
  </si>
  <si>
    <t xml:space="preserve">3º GRUPO A</t>
  </si>
  <si>
    <t xml:space="preserve">3rd GROUP A</t>
  </si>
  <si>
    <t xml:space="preserve">B47</t>
  </si>
  <si>
    <t xml:space="preserve">4º GRUPO A</t>
  </si>
  <si>
    <t xml:space="preserve">4th GROUP A</t>
  </si>
  <si>
    <t xml:space="preserve">B48</t>
  </si>
  <si>
    <t xml:space="preserve">1º GRUPO B</t>
  </si>
  <si>
    <t xml:space="preserve">1st GROUP B</t>
  </si>
  <si>
    <t xml:space="preserve">B49</t>
  </si>
  <si>
    <t xml:space="preserve">2º GRUPO B</t>
  </si>
  <si>
    <t xml:space="preserve">2nd GROUP B</t>
  </si>
  <si>
    <t xml:space="preserve">B50</t>
  </si>
  <si>
    <t xml:space="preserve">3º GRUPO B</t>
  </si>
  <si>
    <t xml:space="preserve">3rd GROUP B</t>
  </si>
  <si>
    <t xml:space="preserve">B51</t>
  </si>
  <si>
    <t xml:space="preserve">4º GRUPO B</t>
  </si>
  <si>
    <t xml:space="preserve">4th GROUP B</t>
  </si>
  <si>
    <t xml:space="preserve">B52</t>
  </si>
  <si>
    <t xml:space="preserve">1º GRUPO C</t>
  </si>
  <si>
    <t xml:space="preserve">1st GROUP C</t>
  </si>
  <si>
    <t xml:space="preserve">B53</t>
  </si>
  <si>
    <t xml:space="preserve">2º GRUPO C</t>
  </si>
  <si>
    <t xml:space="preserve">2nd GROUP C</t>
  </si>
  <si>
    <t xml:space="preserve">B54</t>
  </si>
  <si>
    <t xml:space="preserve">3º GRUPO C</t>
  </si>
  <si>
    <t xml:space="preserve">3rd GROUP C</t>
  </si>
  <si>
    <t xml:space="preserve">B55</t>
  </si>
  <si>
    <t xml:space="preserve">4º GRUPO C</t>
  </si>
  <si>
    <t xml:space="preserve">4th GROUP C</t>
  </si>
  <si>
    <t xml:space="preserve">B56</t>
  </si>
  <si>
    <t xml:space="preserve">1º GRUPO D</t>
  </si>
  <si>
    <t xml:space="preserve">1st GROUP D</t>
  </si>
  <si>
    <t xml:space="preserve">B57</t>
  </si>
  <si>
    <t xml:space="preserve">2º GRUPO D</t>
  </si>
  <si>
    <t xml:space="preserve">2nd GROUP D</t>
  </si>
  <si>
    <t xml:space="preserve">B58</t>
  </si>
  <si>
    <t xml:space="preserve">3º GRUPO D</t>
  </si>
  <si>
    <t xml:space="preserve">3rd GROUP D</t>
  </si>
  <si>
    <t xml:space="preserve">B59</t>
  </si>
  <si>
    <t xml:space="preserve">4º GRUPO D</t>
  </si>
  <si>
    <t xml:space="preserve">4th GROUP D</t>
  </si>
  <si>
    <t xml:space="preserve">B60</t>
  </si>
  <si>
    <t xml:space="preserve">1º GRUPO E</t>
  </si>
  <si>
    <t xml:space="preserve">1st GROUP E</t>
  </si>
  <si>
    <t xml:space="preserve">B61</t>
  </si>
  <si>
    <t xml:space="preserve">2º GRUPO E</t>
  </si>
  <si>
    <t xml:space="preserve">2nd GROUP E</t>
  </si>
  <si>
    <t xml:space="preserve">B62</t>
  </si>
  <si>
    <t xml:space="preserve">3º GRUPO E</t>
  </si>
  <si>
    <t xml:space="preserve">3rd GROUP E</t>
  </si>
  <si>
    <t xml:space="preserve">B63</t>
  </si>
  <si>
    <t xml:space="preserve">4º GRUPO E</t>
  </si>
  <si>
    <t xml:space="preserve">4th GROUP E</t>
  </si>
  <si>
    <t xml:space="preserve">B64</t>
  </si>
  <si>
    <t xml:space="preserve">1º GRUPO F</t>
  </si>
  <si>
    <t xml:space="preserve">1st GROUP F</t>
  </si>
  <si>
    <t xml:space="preserve">B65</t>
  </si>
  <si>
    <t xml:space="preserve">2º GRUPO F</t>
  </si>
  <si>
    <t xml:space="preserve">2nd GROUP F</t>
  </si>
  <si>
    <t xml:space="preserve">B66</t>
  </si>
  <si>
    <t xml:space="preserve">3º GRUPO F</t>
  </si>
  <si>
    <t xml:space="preserve">3rd GROUP F</t>
  </si>
  <si>
    <t xml:space="preserve">B67</t>
  </si>
  <si>
    <t xml:space="preserve">4º GRUPO F</t>
  </si>
  <si>
    <t xml:space="preserve">4th GROUP F</t>
  </si>
  <si>
    <t xml:space="preserve">1º GRUPO G</t>
  </si>
  <si>
    <t xml:space="preserve">1st GROUP G</t>
  </si>
  <si>
    <t xml:space="preserve">2º GRUPO G</t>
  </si>
  <si>
    <t xml:space="preserve">2nd GROUP G</t>
  </si>
  <si>
    <t xml:space="preserve">3º GRUPO G</t>
  </si>
  <si>
    <t xml:space="preserve">3rd GROUP G</t>
  </si>
  <si>
    <t xml:space="preserve">4º GRUPO G</t>
  </si>
  <si>
    <t xml:space="preserve">4th GROUP G</t>
  </si>
  <si>
    <t xml:space="preserve">1º GRUPO H</t>
  </si>
  <si>
    <t xml:space="preserve">1st GROUP H</t>
  </si>
  <si>
    <t xml:space="preserve">2º GRUPO H</t>
  </si>
  <si>
    <t xml:space="preserve">2nd GROUP H</t>
  </si>
  <si>
    <t xml:space="preserve">3º GRUPO H</t>
  </si>
  <si>
    <t xml:space="preserve">3rd GROUP H</t>
  </si>
  <si>
    <t xml:space="preserve">4º GRUPO H</t>
  </si>
  <si>
    <t xml:space="preserve">4th GROUP H</t>
  </si>
  <si>
    <t xml:space="preserve">1º GRUPO I</t>
  </si>
  <si>
    <t xml:space="preserve">1st GROUP I</t>
  </si>
  <si>
    <t xml:space="preserve">2º GRUPO I</t>
  </si>
  <si>
    <t xml:space="preserve">2nd GROUP I</t>
  </si>
  <si>
    <t xml:space="preserve">3º GRUPO I</t>
  </si>
  <si>
    <t xml:space="preserve">3rd GROUP I</t>
  </si>
  <si>
    <t xml:space="preserve">4º GRUPO I</t>
  </si>
  <si>
    <t xml:space="preserve">4th GROUP I</t>
  </si>
  <si>
    <t xml:space="preserve">1º GRUPO J</t>
  </si>
  <si>
    <t xml:space="preserve">1st GROUP J</t>
  </si>
  <si>
    <t xml:space="preserve">2º GRUPO J</t>
  </si>
  <si>
    <t xml:space="preserve">2nd GROUP J</t>
  </si>
  <si>
    <t xml:space="preserve">3º GRUPO J</t>
  </si>
  <si>
    <t xml:space="preserve">3rd GROUP J</t>
  </si>
  <si>
    <t xml:space="preserve">4º GRUPO J</t>
  </si>
  <si>
    <t xml:space="preserve">4th GROUP J</t>
  </si>
  <si>
    <t xml:space="preserve">1º GRUPO K</t>
  </si>
  <si>
    <t xml:space="preserve">1st GROUP K</t>
  </si>
  <si>
    <t xml:space="preserve">2º GRUPO K</t>
  </si>
  <si>
    <t xml:space="preserve">2nd GROUP K</t>
  </si>
  <si>
    <t xml:space="preserve">3º GRUPO K</t>
  </si>
  <si>
    <t xml:space="preserve">3rd GROUP K</t>
  </si>
  <si>
    <t xml:space="preserve">4º GRUPO K</t>
  </si>
  <si>
    <t xml:space="preserve">4th GROUP K</t>
  </si>
  <si>
    <t xml:space="preserve">1º GRUPO L</t>
  </si>
  <si>
    <t xml:space="preserve">1st GROUP L</t>
  </si>
  <si>
    <t xml:space="preserve">2º GRUPO L</t>
  </si>
  <si>
    <t xml:space="preserve">2nd GROUP L</t>
  </si>
  <si>
    <t xml:space="preserve">3º GRUPO L</t>
  </si>
  <si>
    <t xml:space="preserve">3rd GROUP L</t>
  </si>
  <si>
    <t xml:space="preserve">4º GRUPO L</t>
  </si>
  <si>
    <t xml:space="preserve">4th GROUP L</t>
  </si>
  <si>
    <t xml:space="preserve">B70</t>
  </si>
  <si>
    <t xml:space="preserve">Dieciseisavofinalista</t>
  </si>
  <si>
    <t xml:space="preserve">16-Finalist</t>
  </si>
  <si>
    <t xml:space="preserve">Octavofinalista</t>
  </si>
  <si>
    <t xml:space="preserve">8-Finalist</t>
  </si>
  <si>
    <t xml:space="preserve">B98</t>
  </si>
  <si>
    <t xml:space="preserve">Cuartofinalista</t>
  </si>
  <si>
    <t xml:space="preserve">Quarterfinalist</t>
  </si>
  <si>
    <t xml:space="preserve">B114</t>
  </si>
  <si>
    <t xml:space="preserve">Semifinalista</t>
  </si>
  <si>
    <t xml:space="preserve">Semifinalist</t>
  </si>
  <si>
    <t xml:space="preserve">B124</t>
  </si>
  <si>
    <t xml:space="preserve">Finalista</t>
  </si>
  <si>
    <t xml:space="preserve">Finalist</t>
  </si>
  <si>
    <t xml:space="preserve">Nombrar del 1 al 48 (A 1 al 4, B: 5 al 8….</t>
  </si>
  <si>
    <t xml:space="preserve">List</t>
  </si>
  <si>
    <t xml:space="preserve">Equipos</t>
  </si>
  <si>
    <t xml:space="preserve">Germany</t>
  </si>
  <si>
    <t xml:space="preserve">Saudi Arabia</t>
  </si>
  <si>
    <t xml:space="preserve">K4</t>
  </si>
  <si>
    <t xml:space="preserve">Algeria</t>
  </si>
  <si>
    <t xml:space="preserve">K5</t>
  </si>
  <si>
    <t xml:space="preserve">K6</t>
  </si>
  <si>
    <t xml:space="preserve">K7</t>
  </si>
  <si>
    <t xml:space="preserve">A4</t>
  </si>
  <si>
    <t xml:space="preserve">K8</t>
  </si>
  <si>
    <t xml:space="preserve">Belgium</t>
  </si>
  <si>
    <t xml:space="preserve">K9</t>
  </si>
  <si>
    <t xml:space="preserve">J4</t>
  </si>
  <si>
    <t xml:space="preserve">Brazil</t>
  </si>
  <si>
    <t xml:space="preserve">K10</t>
  </si>
  <si>
    <t xml:space="preserve">Cape Verde</t>
  </si>
  <si>
    <t xml:space="preserve">K11</t>
  </si>
  <si>
    <t xml:space="preserve">Canada</t>
  </si>
  <si>
    <t xml:space="preserve">K12</t>
  </si>
  <si>
    <t xml:space="preserve">Qatar</t>
  </si>
  <si>
    <t xml:space="preserve">K13</t>
  </si>
  <si>
    <t xml:space="preserve">K14</t>
  </si>
  <si>
    <t xml:space="preserve">South Korea</t>
  </si>
  <si>
    <t xml:space="preserve">K15</t>
  </si>
  <si>
    <t xml:space="preserve">Ivory Coast</t>
  </si>
  <si>
    <t xml:space="preserve">K16</t>
  </si>
  <si>
    <t xml:space="preserve">Croatia</t>
  </si>
  <si>
    <t xml:space="preserve">K17</t>
  </si>
  <si>
    <t xml:space="preserve">L4</t>
  </si>
  <si>
    <t xml:space="preserve">Curaçao</t>
  </si>
  <si>
    <t xml:space="preserve">K19</t>
  </si>
  <si>
    <t xml:space="preserve">K20</t>
  </si>
  <si>
    <t xml:space="preserve">Egypt</t>
  </si>
  <si>
    <t xml:space="preserve">K21</t>
  </si>
  <si>
    <t xml:space="preserve">B4</t>
  </si>
  <si>
    <t xml:space="preserve">Scotland</t>
  </si>
  <si>
    <t xml:space="preserve">K22</t>
  </si>
  <si>
    <t xml:space="preserve">Spain</t>
  </si>
  <si>
    <t xml:space="preserve">K23</t>
  </si>
  <si>
    <t xml:space="preserve">United States</t>
  </si>
  <si>
    <t xml:space="preserve">K26</t>
  </si>
  <si>
    <t xml:space="preserve">France</t>
  </si>
  <si>
    <t xml:space="preserve">K27</t>
  </si>
  <si>
    <t xml:space="preserve">K28</t>
  </si>
  <si>
    <t xml:space="preserve">Haiti</t>
  </si>
  <si>
    <t xml:space="preserve">K29</t>
  </si>
  <si>
    <t xml:space="preserve">England</t>
  </si>
  <si>
    <t xml:space="preserve">K30</t>
  </si>
  <si>
    <t xml:space="preserve">K33</t>
  </si>
  <si>
    <t xml:space="preserve">D4</t>
  </si>
  <si>
    <t xml:space="preserve">Japan</t>
  </si>
  <si>
    <t xml:space="preserve">K34</t>
  </si>
  <si>
    <t xml:space="preserve">Jordan</t>
  </si>
  <si>
    <t xml:space="preserve">K35</t>
  </si>
  <si>
    <t xml:space="preserve">Morocco</t>
  </si>
  <si>
    <t xml:space="preserve">K36</t>
  </si>
  <si>
    <t xml:space="preserve">Mexico</t>
  </si>
  <si>
    <t xml:space="preserve">K38</t>
  </si>
  <si>
    <t xml:space="preserve">Norway</t>
  </si>
  <si>
    <t xml:space="preserve">K39</t>
  </si>
  <si>
    <t xml:space="preserve">New Zealand</t>
  </si>
  <si>
    <t xml:space="preserve">K40</t>
  </si>
  <si>
    <t xml:space="preserve">Netherlands</t>
  </si>
  <si>
    <t xml:space="preserve">K41</t>
  </si>
  <si>
    <t xml:space="preserve">Panama</t>
  </si>
  <si>
    <t xml:space="preserve">K42</t>
  </si>
  <si>
    <t xml:space="preserve">F4</t>
  </si>
  <si>
    <t xml:space="preserve">K44</t>
  </si>
  <si>
    <t xml:space="preserve">K45</t>
  </si>
  <si>
    <t xml:space="preserve">K46</t>
  </si>
  <si>
    <t xml:space="preserve">South Africa</t>
  </si>
  <si>
    <t xml:space="preserve">K47</t>
  </si>
  <si>
    <t xml:space="preserve">Switzerland</t>
  </si>
  <si>
    <t xml:space="preserve">K48</t>
  </si>
  <si>
    <t xml:space="preserve">Tunisia</t>
  </si>
  <si>
    <t xml:space="preserve">K49</t>
  </si>
  <si>
    <t xml:space="preserve">K50</t>
  </si>
  <si>
    <t xml:space="preserve">Uzbekistan</t>
  </si>
  <si>
    <t xml:space="preserve">K51</t>
  </si>
  <si>
    <t xml:space="preserve">H4</t>
  </si>
  <si>
    <t xml:space="preserve">DR Congo</t>
  </si>
  <si>
    <t xml:space="preserve">K52</t>
  </si>
  <si>
    <t xml:space="preserve">Iraq</t>
  </si>
  <si>
    <t xml:space="preserve">K53</t>
  </si>
  <si>
    <t xml:space="preserve">Bosnia and Herzegovina</t>
  </si>
  <si>
    <t xml:space="preserve">K54</t>
  </si>
  <si>
    <t xml:space="preserve">Sweden</t>
  </si>
  <si>
    <t xml:space="preserve">K55</t>
  </si>
  <si>
    <t xml:space="preserve">I4</t>
  </si>
  <si>
    <t xml:space="preserve">Turkey</t>
  </si>
  <si>
    <t xml:space="preserve">K56</t>
  </si>
  <si>
    <t xml:space="preserve">Czech Republic</t>
  </si>
  <si>
    <t xml:space="preserve">Round Of 16</t>
  </si>
  <si>
    <t xml:space="preserve">3-4 &amp; Final</t>
  </si>
  <si>
    <t xml:space="preserve">PAIS ORGANIZADOR (ESCRIBIR)</t>
  </si>
  <si>
    <t xml:space="preserve">Horarios</t>
  </si>
  <si>
    <t xml:space="preserve">W2</t>
  </si>
  <si>
    <t xml:space="preserve">Predictor</t>
  </si>
  <si>
    <t xml:space="preserve">Fase de grupos</t>
  </si>
  <si>
    <t xml:space="preserve">Group stage</t>
  </si>
  <si>
    <t xml:space="preserve">Pronóstica la ronda</t>
  </si>
  <si>
    <t xml:space="preserve">Predict the round</t>
  </si>
  <si>
    <t xml:space="preserve">Predice la selección</t>
  </si>
  <si>
    <t xml:space="preserve">Predict nation</t>
  </si>
  <si>
    <t xml:space="preserve">Ronda</t>
  </si>
  <si>
    <t xml:space="preserve">Round</t>
  </si>
  <si>
    <t xml:space="preserve">·Selecciona para cada ronda el la selección o selecciones que crees que van a llegar hasta esa ronda.</t>
  </si>
  <si>
    <t xml:space="preserve">·Select for each round the nation or nations that you think will reach that round.</t>
  </si>
  <si>
    <t xml:space="preserve">·Una vez elijas una selección, dejará de aparecer en la lista</t>
  </si>
  <si>
    <t xml:space="preserve">·Once you select a nation, it will no longer appear in the selector.</t>
  </si>
  <si>
    <t xml:space="preserve">·Si has rellenado todos y quieres hacer un cambio, </t>
  </si>
  <si>
    <t xml:space="preserve">·If you've filled everything out and want to make a change,</t>
  </si>
  <si>
    <t xml:space="preserve"> borra las selecciones que quieras cambiar y podrás volver a elegirlas</t>
  </si>
  <si>
    <t xml:space="preserve"> delete the nations you want to change and you can select them again.</t>
  </si>
  <si>
    <t xml:space="preserve">Rellenar antes del comienzo del Mundial</t>
  </si>
  <si>
    <t xml:space="preserve">Complete before World Cup begins</t>
  </si>
  <si>
    <t xml:space="preserve">·Si en tu grupo no vais a usar el predictor, puedes dejarlo sin rellenar</t>
  </si>
  <si>
    <t xml:space="preserve">·If you are not going to use the predictor in your group, you can leave it unfilled</t>
  </si>
  <si>
    <t xml:space="preserve">ADMIN</t>
  </si>
  <si>
    <t xml:space="preserve">Selecciona el Nº de Jugadores</t>
  </si>
  <si>
    <t xml:space="preserve">Select the number of players:</t>
  </si>
  <si>
    <t xml:space="preserve">↓↓ Resultados reales ↓↓</t>
  </si>
  <si>
    <t xml:space="preserve">↓↓ Results ↓↓</t>
  </si>
  <si>
    <t xml:space="preserve">C7</t>
  </si>
  <si>
    <t xml:space="preserve">Regla* (Click para ver la explicación)</t>
  </si>
  <si>
    <t xml:space="preserve">Rule* (Click for explanation)</t>
  </si>
  <si>
    <t xml:space="preserve">https://matejero.es/puntuaciones-excel-mundial-2026/</t>
  </si>
  <si>
    <t xml:space="preserve">https://matejero.com/scoring-system-excel-world-cup-2026/</t>
  </si>
  <si>
    <t xml:space="preserve">D7</t>
  </si>
  <si>
    <t xml:space="preserve">Puntos</t>
  </si>
  <si>
    <t xml:space="preserve">Points</t>
  </si>
  <si>
    <t xml:space="preserve">C8</t>
  </si>
  <si>
    <t xml:space="preserve">FASE DE GRUPOS - Signo 1X2 (local, empate, visitante)</t>
  </si>
  <si>
    <t xml:space="preserve">GROUP STAGE- 1X2 (home, draw, away)</t>
  </si>
  <si>
    <t xml:space="preserve">C9</t>
  </si>
  <si>
    <t xml:space="preserve">FASE DE GRUPOS - Diferencia/Distancia de goles (Con 1X2 acertado)</t>
  </si>
  <si>
    <t xml:space="preserve">GROUP STAGE - Goal Difference (with 1X2 correct)</t>
  </si>
  <si>
    <t xml:space="preserve">C10</t>
  </si>
  <si>
    <t xml:space="preserve">FASE DE GRUPOS - Resultado exacto</t>
  </si>
  <si>
    <t xml:space="preserve">GROUP STAGE - Exact result</t>
  </si>
  <si>
    <t xml:space="preserve">C11</t>
  </si>
  <si>
    <t xml:space="preserve">FASE DE GRUPOS - Posición exacta (1º)</t>
  </si>
  <si>
    <t xml:space="preserve">GROUP STAGE - Exact position  (1º)</t>
  </si>
  <si>
    <t xml:space="preserve">C15</t>
  </si>
  <si>
    <t xml:space="preserve">FASE DE GRUPOS - Posición exacta (2º)</t>
  </si>
  <si>
    <t xml:space="preserve">GROUP STAGE - Exact position  (2º)</t>
  </si>
  <si>
    <t xml:space="preserve">FASE DE GRUPOS - Posición exacta (3º)</t>
  </si>
  <si>
    <t xml:space="preserve">GROUP STAGE - Exact position  (3º)</t>
  </si>
  <si>
    <t xml:space="preserve">C16</t>
  </si>
  <si>
    <t xml:space="preserve">FASE DE GRUPOS - Posición exacta (4º)</t>
  </si>
  <si>
    <t xml:space="preserve">GROUP STAGE - Exact position  (4º)</t>
  </si>
  <si>
    <t xml:space="preserve">C17</t>
  </si>
  <si>
    <t xml:space="preserve">Equipo clasificado para DIECISEISAVOS</t>
  </si>
  <si>
    <t xml:space="preserve">Nation Qualified for ROUND OF 32</t>
  </si>
  <si>
    <t xml:space="preserve">C18</t>
  </si>
  <si>
    <t xml:space="preserve">DIECISEISAVOS - Signo 1X2 (local, empate, visitante)</t>
  </si>
  <si>
    <t xml:space="preserve">ROUND OF 32 - 1X2* (home, draw, away)</t>
  </si>
  <si>
    <t xml:space="preserve">DIECISEISAVOS - Diferencia/Distancia de goles (Con 1X2 acertado)</t>
  </si>
  <si>
    <t xml:space="preserve">ROUND OF 32 - Goal Difference (with 1X2 correct)</t>
  </si>
  <si>
    <t xml:space="preserve">DIECISEISAVOS - Resultado exacto</t>
  </si>
  <si>
    <t xml:space="preserve">ROUND OF 32 - Exact Result</t>
  </si>
  <si>
    <t xml:space="preserve">Equipo clasificado para OCTAVOS</t>
  </si>
  <si>
    <t xml:space="preserve">Nation Qualified for ROUND OF 16</t>
  </si>
  <si>
    <t xml:space="preserve">C19</t>
  </si>
  <si>
    <t xml:space="preserve">OCTAVOS - Signo 1X2  (local, empate, visitante)</t>
  </si>
  <si>
    <t xml:space="preserve">ROUND OF 16- 1X2* (home, draw, away)</t>
  </si>
  <si>
    <t xml:space="preserve">C20</t>
  </si>
  <si>
    <t xml:space="preserve">OCTAVOS -Diferencia/Distancia de goles (Con 1X2 acertado)</t>
  </si>
  <si>
    <t xml:space="preserve">ROUND OF 16 - Goal Difference (with 1X2 correct)</t>
  </si>
  <si>
    <t xml:space="preserve">C21</t>
  </si>
  <si>
    <t xml:space="preserve">OCTAVOS - Resultado exacto</t>
  </si>
  <si>
    <t xml:space="preserve">ROUND OF 16 - Exact Result</t>
  </si>
  <si>
    <t xml:space="preserve">C22</t>
  </si>
  <si>
    <t xml:space="preserve">Equipo clasificado para CUARTOS</t>
  </si>
  <si>
    <t xml:space="preserve">Team Qualified for QUARTERFINALS</t>
  </si>
  <si>
    <t xml:space="preserve">C23</t>
  </si>
  <si>
    <t xml:space="preserve">CUARTOS - Signo 1X2  (local, empate, visitante)</t>
  </si>
  <si>
    <t xml:space="preserve">QUARTERFINALS- 1X2* (home, draw, away)</t>
  </si>
  <si>
    <t xml:space="preserve">C24</t>
  </si>
  <si>
    <t xml:space="preserve">CUARTOS -Diferencia/Distancia de goles (Con 1X2 acertado)</t>
  </si>
  <si>
    <t xml:space="preserve">QUARTERFINALS - Goal Difference (with 1X2 correct)</t>
  </si>
  <si>
    <t xml:space="preserve">C25</t>
  </si>
  <si>
    <t xml:space="preserve">CUARTOS - Resultado exacto</t>
  </si>
  <si>
    <t xml:space="preserve">QUARTERFINALS - Exact Result</t>
  </si>
  <si>
    <t xml:space="preserve">C26</t>
  </si>
  <si>
    <t xml:space="preserve">Equipo clasificado para SEMIFINALES</t>
  </si>
  <si>
    <t xml:space="preserve">Nation Qualified for SEMIFINALS</t>
  </si>
  <si>
    <t xml:space="preserve">C27</t>
  </si>
  <si>
    <t xml:space="preserve">SEMIFINALES - Signo 1X2  (local, empate, visitante)</t>
  </si>
  <si>
    <t xml:space="preserve">SEMIFINALS- 1X2* (home, draw, away)</t>
  </si>
  <si>
    <t xml:space="preserve">SEMIFINALES -Diferencia/Distancia de goles (Con 1X2 acertado)</t>
  </si>
  <si>
    <t xml:space="preserve">SEMIFINALS - Goal Difference (with 1X2 correct)</t>
  </si>
  <si>
    <t xml:space="preserve">C28</t>
  </si>
  <si>
    <t xml:space="preserve">SEMIFINALES - Resultado exacto</t>
  </si>
  <si>
    <t xml:space="preserve">SEMIFINALS - Exact Result</t>
  </si>
  <si>
    <t xml:space="preserve">C29</t>
  </si>
  <si>
    <t xml:space="preserve">Equipo clasificado para 3º y 4º puesto</t>
  </si>
  <si>
    <t xml:space="preserve">Nation Qualified for 3-4 place</t>
  </si>
  <si>
    <t xml:space="preserve">C30</t>
  </si>
  <si>
    <t xml:space="preserve">Equipo clasificado para FINAL</t>
  </si>
  <si>
    <t xml:space="preserve">Nation Qualified for the FINAL</t>
  </si>
  <si>
    <t xml:space="preserve">C31</t>
  </si>
  <si>
    <t xml:space="preserve">3ºy4º PUESTO - Signo 1X2  (local, empate, visitante)</t>
  </si>
  <si>
    <t xml:space="preserve">3-4 place - 1X2* (home, draw, away)</t>
  </si>
  <si>
    <t xml:space="preserve">C32</t>
  </si>
  <si>
    <t xml:space="preserve">3ºy4º PUESTO - Diferencia/Distancia de goles (Con 1X2 acertado)</t>
  </si>
  <si>
    <t xml:space="preserve">3-4 place - Goal Difference (with 1X2 correct)</t>
  </si>
  <si>
    <t xml:space="preserve">C33</t>
  </si>
  <si>
    <t xml:space="preserve">3ºy4º PUESTO - Resultado exacto</t>
  </si>
  <si>
    <t xml:space="preserve">3-4 place - Exact Result</t>
  </si>
  <si>
    <t xml:space="preserve">C34</t>
  </si>
  <si>
    <t xml:space="preserve">FINAL - Signo 1X2  (local, empate, visitante)</t>
  </si>
  <si>
    <t xml:space="preserve">FINAL- 1X2* (home, draw, away)</t>
  </si>
  <si>
    <t xml:space="preserve">H7</t>
  </si>
  <si>
    <t xml:space="preserve">FINAL - Diferencia/Distancia de goles (Con 1X2 acertado)</t>
  </si>
  <si>
    <t xml:space="preserve">FINAL - Goal Difference (with 1X2 correct)</t>
  </si>
  <si>
    <t xml:space="preserve">H45</t>
  </si>
  <si>
    <t xml:space="preserve">FINAL - Resultado exacto</t>
  </si>
  <si>
    <t xml:space="preserve">FINAL - Exact Result</t>
  </si>
  <si>
    <t xml:space="preserve">H71</t>
  </si>
  <si>
    <t xml:space="preserve">Golden Boot (Top Scorer)</t>
  </si>
  <si>
    <t xml:space="preserve">Equipos/ADMIN</t>
  </si>
  <si>
    <t xml:space="preserve">H89</t>
  </si>
  <si>
    <t xml:space="preserve">Silver Boot (2º Top scorer)</t>
  </si>
  <si>
    <t xml:space="preserve">H115</t>
  </si>
  <si>
    <t xml:space="preserve">Bronze Boot (3º Top scorer)</t>
  </si>
  <si>
    <t xml:space="preserve">H99</t>
  </si>
  <si>
    <t xml:space="preserve">Equipo máximo goleador</t>
  </si>
  <si>
    <t xml:space="preserve">Golden Ball  (Best player)</t>
  </si>
  <si>
    <t xml:space="preserve">H109</t>
  </si>
  <si>
    <t xml:space="preserve">Silver Ball (2nd Best player)</t>
  </si>
  <si>
    <t xml:space="preserve">Bronze Ball (3º Best player)</t>
  </si>
  <si>
    <t xml:space="preserve">H121</t>
  </si>
  <si>
    <t xml:space="preserve">Group Stage</t>
  </si>
  <si>
    <t xml:space="preserve">H125</t>
  </si>
  <si>
    <t xml:space="preserve">Posición grupos</t>
  </si>
  <si>
    <t xml:space="preserve">Group Position</t>
  </si>
  <si>
    <t xml:space="preserve">H129</t>
  </si>
  <si>
    <t xml:space="preserve">CLASIFICADOS PARA PLAYOFFS</t>
  </si>
  <si>
    <t xml:space="preserve">QUALIFIED FOR PLAYOFFS</t>
  </si>
  <si>
    <t xml:space="preserve">H132</t>
  </si>
  <si>
    <t xml:space="preserve">CLASIFICADOS PARA OCTAVOS (Desde Fase Liga)</t>
  </si>
  <si>
    <t xml:space="preserve">QUALIFIED FOR ROUND OF 16 (From League Phase)</t>
  </si>
  <si>
    <t xml:space="preserve">H133</t>
  </si>
  <si>
    <t xml:space="preserve">CLASIFICADOS PARA OCTAVOS (DESDE PLAYOFFS)</t>
  </si>
  <si>
    <t xml:space="preserve">QUALIFIED FOR ROUND OF 16 (From Playoffs)</t>
  </si>
  <si>
    <t xml:space="preserve">H134</t>
  </si>
  <si>
    <t xml:space="preserve">Clasificados para Octavos de Final</t>
  </si>
  <si>
    <t xml:space="preserve">Qualified For Round Of 16</t>
  </si>
  <si>
    <t xml:space="preserve">H135</t>
  </si>
  <si>
    <t xml:space="preserve">Enfrentamientos Octavos de Final</t>
  </si>
  <si>
    <t xml:space="preserve">H136</t>
  </si>
  <si>
    <t xml:space="preserve">Clasificados para Cuartos de Final</t>
  </si>
  <si>
    <t xml:space="preserve">Qualified for Quarterfinals</t>
  </si>
  <si>
    <t xml:space="preserve">Quarter-Finalists</t>
  </si>
  <si>
    <t xml:space="preserve">Enfrentamientos Cuartos de Final</t>
  </si>
  <si>
    <t xml:space="preserve">Clasificados para Semifinales</t>
  </si>
  <si>
    <t xml:space="preserve">Qualified For Semifinals</t>
  </si>
  <si>
    <t xml:space="preserve">Enfrentamientos Semifinales</t>
  </si>
  <si>
    <t xml:space="preserve">Clasificados para la Final</t>
  </si>
  <si>
    <t xml:space="preserve">Qualified For The Final</t>
  </si>
  <si>
    <t xml:space="preserve">Partido Final</t>
  </si>
  <si>
    <t xml:space="preserve">Honor Box</t>
  </si>
  <si>
    <t xml:space="preserve">Goleador del torneo</t>
  </si>
  <si>
    <t xml:space="preserve">Top Scorer</t>
  </si>
  <si>
    <t xml:space="preserve">Mejor jugador del torneo</t>
  </si>
  <si>
    <t xml:space="preserve">Best Tournament player</t>
  </si>
  <si>
    <t xml:space="preserve">Pegar Valores Nombre J</t>
  </si>
  <si>
    <t xml:space="preserve">Paste Values Name P</t>
  </si>
  <si>
    <t xml:space="preserve">Pegar Valores (J1)</t>
  </si>
  <si>
    <t xml:space="preserve">Paste Values (R1)</t>
  </si>
  <si>
    <t xml:space="preserve">Pegar Valores (J2)</t>
  </si>
  <si>
    <t xml:space="preserve">Paste Values (R2)</t>
  </si>
  <si>
    <t xml:space="preserve">Pegar Valores (J3)</t>
  </si>
  <si>
    <t xml:space="preserve">Paste Values (R3)</t>
  </si>
  <si>
    <t xml:space="preserve">H51</t>
  </si>
  <si>
    <t xml:space="preserve">Pegar Valores Dieciseisavos</t>
  </si>
  <si>
    <t xml:space="preserve">Paste Values Round of 32'</t>
  </si>
  <si>
    <t xml:space="preserve">H52</t>
  </si>
  <si>
    <t xml:space="preserve">Pegar Valores Octavos</t>
  </si>
  <si>
    <t xml:space="preserve">Paste Values Round of 16'</t>
  </si>
  <si>
    <t xml:space="preserve">H53</t>
  </si>
  <si>
    <t xml:space="preserve">Pegar valores Cuartos</t>
  </si>
  <si>
    <t xml:space="preserve">Paste Values Quarterfinals</t>
  </si>
  <si>
    <t xml:space="preserve">H54</t>
  </si>
  <si>
    <t xml:space="preserve">Pegar valores Semifinales</t>
  </si>
  <si>
    <t xml:space="preserve">Paste Values Semifinals</t>
  </si>
  <si>
    <t xml:space="preserve">H55</t>
  </si>
  <si>
    <t xml:space="preserve">Pegar valores 3º-4º puesto y Final</t>
  </si>
  <si>
    <t xml:space="preserve">Paste Values 3rd-4th place &amp; Final</t>
  </si>
  <si>
    <t xml:space="preserve">H56</t>
  </si>
  <si>
    <t xml:space="preserve">Pegar valores Predictor</t>
  </si>
  <si>
    <t xml:space="preserve">Paste Predictor Values</t>
  </si>
  <si>
    <t xml:space="preserve">Pegar Valores Cuadro de Honor</t>
  </si>
  <si>
    <t xml:space="preserve">Paste Values Honor Box</t>
  </si>
  <si>
    <t xml:space="preserve">H57</t>
  </si>
  <si>
    <t xml:space="preserve">H58</t>
  </si>
  <si>
    <t xml:space="preserve">H59</t>
  </si>
  <si>
    <t xml:space="preserve">H60</t>
  </si>
  <si>
    <t xml:space="preserve">H61</t>
  </si>
  <si>
    <t xml:space="preserve">H62</t>
  </si>
  <si>
    <t xml:space="preserve">H63</t>
  </si>
  <si>
    <t xml:space="preserve">H64</t>
  </si>
  <si>
    <t xml:space="preserve">H65</t>
  </si>
  <si>
    <t xml:space="preserve">H66</t>
  </si>
  <si>
    <t xml:space="preserve">H67</t>
  </si>
  <si>
    <t xml:space="preserve">H68</t>
  </si>
  <si>
    <t xml:space="preserve">H69</t>
  </si>
  <si>
    <t xml:space="preserve">H72</t>
  </si>
  <si>
    <t xml:space="preserve">H100</t>
  </si>
  <si>
    <t xml:space="preserve">H116</t>
  </si>
  <si>
    <t xml:space="preserve">H126</t>
  </si>
  <si>
    <t xml:space="preserve">F8</t>
  </si>
  <si>
    <t xml:space="preserve">F20</t>
  </si>
  <si>
    <t xml:space="preserve">F32</t>
  </si>
  <si>
    <t xml:space="preserve">C36</t>
  </si>
  <si>
    <t xml:space="preserve">C37</t>
  </si>
  <si>
    <t xml:space="preserve">Sistema de puntuación</t>
  </si>
  <si>
    <t xml:space="preserve">Scoring system</t>
  </si>
  <si>
    <t xml:space="preserve">PREDICTOR - Campeón</t>
  </si>
  <si>
    <t xml:space="preserve">PREDICTOR - Winner</t>
  </si>
  <si>
    <t xml:space="preserve">PREDICTOR - Subcampeón</t>
  </si>
  <si>
    <t xml:space="preserve">PREDICTOR - Runner-up</t>
  </si>
  <si>
    <t xml:space="preserve">PREDICTOR- 3º puesto</t>
  </si>
  <si>
    <t xml:space="preserve">PREDICTOR- 3rd place</t>
  </si>
  <si>
    <t xml:space="preserve">PREDICTOR - Semifinales</t>
  </si>
  <si>
    <t xml:space="preserve">PREDICTOR - Semifinals</t>
  </si>
  <si>
    <t xml:space="preserve">PREDICTOR - Cuartos de final</t>
  </si>
  <si>
    <t xml:space="preserve">PREDICTOR - Quartefinals</t>
  </si>
  <si>
    <t xml:space="preserve">PREDICTOR - Octavos de final</t>
  </si>
  <si>
    <t xml:space="preserve">PREDICTOR - Round of 16</t>
  </si>
  <si>
    <t xml:space="preserve">PREDICTOR - Dieciseisavos de final</t>
  </si>
  <si>
    <t xml:space="preserve">PREDICTOR - Round of 32</t>
  </si>
  <si>
    <t xml:space="preserve">PREDICTOR- Fase de Liga</t>
  </si>
  <si>
    <t xml:space="preserve">PREDICTOR - League Phase</t>
  </si>
  <si>
    <t xml:space="preserve">% Ajuste por desvío en Diferencia/Distancia de goles</t>
  </si>
  <si>
    <t xml:space="preserve">% Goal difference/distance desviation adjustment</t>
  </si>
  <si>
    <t xml:space="preserve">**¿Qué es esto y cómo funciona?</t>
  </si>
  <si>
    <t xml:space="preserve">**What it is and how it works?</t>
  </si>
  <si>
    <t xml:space="preserve">https://matejero.es/puntuaciones-excel-mundial-2026/#%C2%BFQue_es_y_como_funciona_el_ajuste_por_desvio_en_diferenciadistancia_de_goles</t>
  </si>
  <si>
    <t xml:space="preserve">https://matejero.com/scoring-system-excel-world-cup-2026/#What_is_the_goal_differencedistance_deviation_adjustment_and_how_does_it_work</t>
  </si>
  <si>
    <t xml:space="preserve">?</t>
  </si>
  <si>
    <t xml:space="preserve">https://matejero.es/puntuaciones-excel-mundial-2026/#%C2%BFQue_es_un_BONUS</t>
  </si>
  <si>
    <t xml:space="preserve">https://matejero.com/scoring-system-excel-world-cup-2026/#What_is_a_BONUS</t>
  </si>
  <si>
    <t xml:space="preserve">Clasificación</t>
  </si>
  <si>
    <t xml:space="preserve">En Objeto</t>
  </si>
  <si>
    <t xml:space="preserve">CLASIFICACIÓN MUNDIAL 2026</t>
  </si>
  <si>
    <t xml:space="preserve">STANDINGS WORLD CUP 2026</t>
  </si>
  <si>
    <t xml:space="preserve">Jugador</t>
  </si>
  <si>
    <t xml:space="preserve">Player</t>
  </si>
  <si>
    <t xml:space="preserve">Puntos Totales</t>
  </si>
  <si>
    <t xml:space="preserve">Total points</t>
  </si>
  <si>
    <t xml:space="preserve">F. Grupos</t>
  </si>
  <si>
    <t xml:space="preserve">Group stage </t>
  </si>
  <si>
    <t xml:space="preserve">Pos. Grupos</t>
  </si>
  <si>
    <t xml:space="preserve">Group pos.</t>
  </si>
  <si>
    <t xml:space="preserve">Equipos 1/16</t>
  </si>
  <si>
    <t xml:space="preserve">R32 Teams</t>
  </si>
  <si>
    <t xml:space="preserve">Partidos 1/16</t>
  </si>
  <si>
    <t xml:space="preserve">R32 Match-ups</t>
  </si>
  <si>
    <t xml:space="preserve">Equipos 1/8</t>
  </si>
  <si>
    <t xml:space="preserve">R16 Teams</t>
  </si>
  <si>
    <t xml:space="preserve">Partidos 1/8</t>
  </si>
  <si>
    <t xml:space="preserve">R16 Match-ups</t>
  </si>
  <si>
    <t xml:space="preserve">Equipos 1/4</t>
  </si>
  <si>
    <t xml:space="preserve">QF Teams</t>
  </si>
  <si>
    <t xml:space="preserve">Partidos 1/4</t>
  </si>
  <si>
    <t xml:space="preserve">QF Match-ups</t>
  </si>
  <si>
    <t xml:space="preserve">Equipos 1/2</t>
  </si>
  <si>
    <t xml:space="preserve">SF Teams</t>
  </si>
  <si>
    <t xml:space="preserve">Partidos 1/2</t>
  </si>
  <si>
    <t xml:space="preserve">SF Match-ups</t>
  </si>
  <si>
    <t xml:space="preserve">Equipos 3-4</t>
  </si>
  <si>
    <t xml:space="preserve">3-4 Teams</t>
  </si>
  <si>
    <t xml:space="preserve">M3</t>
  </si>
  <si>
    <t xml:space="preserve">Equipos Final</t>
  </si>
  <si>
    <t xml:space="preserve">Final Teams</t>
  </si>
  <si>
    <t xml:space="preserve">Partido 3-4</t>
  </si>
  <si>
    <t xml:space="preserve">3-4 Match-up</t>
  </si>
  <si>
    <t xml:space="preserve">Final Match-up</t>
  </si>
  <si>
    <t xml:space="preserve">O3</t>
  </si>
  <si>
    <t xml:space="preserve">Cuadro de Honor </t>
  </si>
  <si>
    <t xml:space="preserve">Honor Box </t>
  </si>
  <si>
    <t xml:space="preserve">Predictor </t>
  </si>
  <si>
    <t xml:space="preserve">Pronostico Diario</t>
  </si>
  <si>
    <t xml:space="preserve">Selecciona día:</t>
  </si>
  <si>
    <t xml:space="preserve">Select day:</t>
  </si>
  <si>
    <t xml:space="preserve">ClasificacionDiaria</t>
  </si>
  <si>
    <t xml:space="preserve">Puntos Día / Eliminatoria</t>
  </si>
  <si>
    <t xml:space="preserve">Points Day / Round</t>
  </si>
  <si>
    <t xml:space="preserve">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</si>
  <si>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</si>
  <si>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</si>
  <si>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</si>
  <si>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</si>
  <si>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</si>
  <si>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</si>
  <si>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</si>
  <si>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</si>
  <si>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 xml:space="preserve">Puntos máximos totales a repartir hoy (Global):</t>
  </si>
  <si>
    <t xml:space="preserve">Total maximum points to be distributed today (Global):</t>
  </si>
  <si>
    <t xml:space="preserve">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</si>
  <si>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</si>
  <si>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</si>
  <si>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</si>
  <si>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</si>
  <si>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</si>
  <si>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</si>
  <si>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</si>
  <si>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</si>
  <si>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</si>
  <si>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 xml:space="preserve">Para que funcionen bien las estadísticas tienes que tener una de las últimas versiones de Excel (2021 en adelante), si no algunas de las funciones pueden dar error. No obstante esta hoja no es necesaria para el correcto funcionamiento de las demás partes del archivo.</t>
  </si>
  <si>
    <t xml:space="preserve">For the statistics to work properly, you need to have one of the latest versions of Excel (2021 onwards). Otherwise, some of the functions may return an error. However, this sheet is not necessary for the correct functioning of the other parts of the file.</t>
  </si>
  <si>
    <t xml:space="preserve">Para que calcule bien las estadísticas, en la hoja ADMIN selecciona el nº de participantes que sois exactamente, si no algunas estádísticas pueden ser incorrectas</t>
  </si>
  <si>
    <t xml:space="preserve">In order for the statistics to work properly, in the ADMIN sheet select the exact number of participants, otherwise some statistics may be incorrect.</t>
  </si>
  <si>
    <t xml:space="preserve">Dia seleccionado en "Daily Prediction"</t>
  </si>
  <si>
    <t xml:space="preserve">Day selected in "Daily Prediction"</t>
  </si>
  <si>
    <t xml:space="preserve">Resultados más pronósticados</t>
  </si>
  <si>
    <t xml:space="preserve">Top picks</t>
  </si>
  <si>
    <t xml:space="preserve">Resultado</t>
  </si>
  <si>
    <t xml:space="preserve">Result</t>
  </si>
  <si>
    <t xml:space="preserve">Nº de veces</t>
  </si>
  <si>
    <t xml:space="preserve">Count</t>
  </si>
  <si>
    <t xml:space="preserve">Selecciona un partido de hoy:↗</t>
  </si>
  <si>
    <t xml:space="preserve">Select a match from today:↗</t>
  </si>
  <si>
    <t xml:space="preserve">(No cuentan los resultados no predichos)*</t>
  </si>
  <si>
    <t xml:space="preserve">(Unpredicted results do not count).*</t>
  </si>
  <si>
    <t xml:space="preserve">*Si alguno de los participantes no ha predicho este resultado, no se cuenta ni en la tabla ni en el gráfico</t>
  </si>
  <si>
    <t xml:space="preserve">*If any of the participants have not predicted this result, it will not be counted in the table or the graph.</t>
  </si>
  <si>
    <t xml:space="preserve">Este gráfico de abajo solo aparece en los partidos de la fase de grupos</t>
  </si>
  <si>
    <t xml:space="preserve">This chart below only appears for matches in the group stage.</t>
  </si>
  <si>
    <t xml:space="preserve">Faltan</t>
  </si>
  <si>
    <t xml:space="preserve">There are</t>
  </si>
  <si>
    <t xml:space="preserve">días para que empiece el Mundial 2026</t>
  </si>
  <si>
    <t xml:space="preserve">days left until the 2026 World Cup starts</t>
  </si>
  <si>
    <t xml:space="preserve">Es el día</t>
  </si>
  <si>
    <t xml:space="preserve">It's World cup Day</t>
  </si>
  <si>
    <t xml:space="preserve">del Mundial 2026</t>
  </si>
  <si>
    <t xml:space="preserve">Quedan</t>
  </si>
  <si>
    <t xml:space="preserve">Only</t>
  </si>
  <si>
    <t xml:space="preserve">días para que acabe el Mundial 2026</t>
  </si>
  <si>
    <t xml:space="preserve">days left until the end of World Cup 2026</t>
  </si>
  <si>
    <t xml:space="preserve">Se han marcado un total de</t>
  </si>
  <si>
    <t xml:space="preserve">A total of</t>
  </si>
  <si>
    <t xml:space="preserve">goles en el Mundial de Clubes sin contar tandas de penalti</t>
  </si>
  <si>
    <t xml:space="preserve">goals have been scored in Club World Cup, not including penalty shootouts.</t>
  </si>
  <si>
    <t xml:space="preserve">Espero que disfrutéis del Excel del Mundial de Clubes</t>
  </si>
  <si>
    <t xml:space="preserve">I hope you enjoy Club World Cup Excel sheet!</t>
  </si>
  <si>
    <t xml:space="preserve">Gráfico solo en fase de grupos</t>
  </si>
  <si>
    <t xml:space="preserve">Group stage chart only</t>
  </si>
  <si>
    <t xml:space="preserve">Original: matejero.es</t>
  </si>
  <si>
    <t xml:space="preserve">Beta</t>
  </si>
  <si>
    <t xml:space="preserve">México-Sudáfrica</t>
  </si>
  <si>
    <t xml:space="preserve">Stat</t>
  </si>
  <si>
    <t xml:space="preserve">%</t>
  </si>
  <si>
    <t xml:space="preserve">Ac</t>
  </si>
  <si>
    <t xml:space="preserve">1/16s</t>
  </si>
  <si>
    <t xml:space="preserve">1/8s</t>
  </si>
  <si>
    <t xml:space="preserve">1/4s</t>
  </si>
  <si>
    <t xml:space="preserve">1/2s</t>
  </si>
  <si>
    <t xml:space="preserve">DIA COMPET</t>
  </si>
  <si>
    <t xml:space="preserve">PUNTOS/DIA</t>
  </si>
  <si>
    <t xml:space="preserve">nuevas (Z)</t>
  </si>
  <si>
    <t xml:space="preserve">nuevas (Y)</t>
  </si>
  <si>
    <t xml:space="preserve">ACIERTO NORMAL OCTAVOS</t>
  </si>
  <si>
    <t xml:space="preserve">ACIERTO AL REVES OCTAVOS</t>
  </si>
  <si>
    <t xml:space="preserve">Ordenado x nº de veces (las 3columnas)</t>
  </si>
  <si>
    <t xml:space="preserve">Selección partido</t>
  </si>
  <si>
    <t xml:space="preserve">1x2</t>
  </si>
  <si>
    <t xml:space="preserve">con filtro</t>
  </si>
  <si>
    <t xml:space="preserve">Sin filtro de "no predicho)</t>
  </si>
  <si>
    <t xml:space="preserve">listado con filtro</t>
  </si>
  <si>
    <t xml:space="preserve">listado sin filtro</t>
  </si>
  <si>
    <t xml:space="preserve">DADOS LA VUELTA</t>
  </si>
  <si>
    <t xml:space="preserve">stats f5 dado la vuelta</t>
  </si>
  <si>
    <t xml:space="preserve">FG</t>
  </si>
  <si>
    <t xml:space="preserve">3º</t>
  </si>
  <si>
    <t xml:space="preserve">2º</t>
  </si>
  <si>
    <t xml:space="preserve">1º</t>
  </si>
  <si>
    <t xml:space="preserve">Miguel Angel Tejero</t>
  </si>
  <si>
    <t xml:space="preserve">matejero.es</t>
  </si>
  <si>
    <t xml:space="preserve">matejero.com</t>
  </si>
  <si>
    <t xml:space="preserve">File</t>
  </si>
  <si>
    <t xml:space="preserve">Excel World Cup 2026</t>
  </si>
  <si>
    <t xml:space="preserve">Excel Champions League 2025-2026</t>
  </si>
  <si>
    <t xml:space="preserve">Excel Liga Española 1ª División 2025-2026</t>
  </si>
  <si>
    <t xml:space="preserve">Excel Liga Española 2ª División 2025-2026</t>
  </si>
  <si>
    <t xml:space="preserve">Excel Premier League 2025-2026</t>
  </si>
  <si>
    <t xml:space="preserve">Excel Libertadores/Sudamericana 2026</t>
  </si>
  <si>
    <t xml:space="preserve">CLAS</t>
  </si>
  <si>
    <t xml:space="preserve">DailyPrediction</t>
  </si>
  <si>
    <t xml:space="preserve">Video►Tutorial</t>
  </si>
  <si>
    <t xml:space="preserve">DailyClas</t>
  </si>
  <si>
    <t xml:space="preserve">Select Nation</t>
  </si>
  <si>
    <t xml:space="preserve">ID</t>
  </si>
  <si>
    <t xml:space="preserve">ESP</t>
  </si>
  <si>
    <t xml:space="preserve">ENG</t>
  </si>
  <si>
    <t xml:space="preserve">Emoji (mac)</t>
  </si>
  <si>
    <t xml:space="preserve">Flag image (Windows)</t>
  </si>
  <si>
    <t xml:space="preserve">Time (UTC)</t>
  </si>
  <si>
    <t xml:space="preserve">Irán/Iran</t>
  </si>
  <si>
    <t xml:space="preserve">Iran</t>
  </si>
  <si>
    <t xml:space="preserve">🇮🇷</t>
  </si>
  <si>
    <t xml:space="preserve">Emiratos Árabes Unidos/United Arab Emirates</t>
  </si>
  <si>
    <t xml:space="preserve">Emiratos Árabes Unidos</t>
  </si>
  <si>
    <t xml:space="preserve">United Arab Emirates</t>
  </si>
  <si>
    <t xml:space="preserve">🇦🇪</t>
  </si>
  <si>
    <t xml:space="preserve">Bolivia/Bolivia</t>
  </si>
  <si>
    <t xml:space="preserve">Bolivia</t>
  </si>
  <si>
    <t xml:space="preserve">🇧🇴</t>
  </si>
  <si>
    <t xml:space="preserve">Surinam/Suriname</t>
  </si>
  <si>
    <t xml:space="preserve">Surinam</t>
  </si>
  <si>
    <t xml:space="preserve">Suriname</t>
  </si>
  <si>
    <t xml:space="preserve">🇸🇷</t>
  </si>
  <si>
    <t xml:space="preserve">Otro/Other</t>
  </si>
  <si>
    <t xml:space="preserve">Select Time (UTC)</t>
  </si>
  <si>
    <t xml:space="preserve">Flag emoji (mac)</t>
  </si>
  <si>
    <t xml:space="preserve">Escribe la selección</t>
  </si>
  <si>
    <t xml:space="preserve">Write the nation</t>
  </si>
  <si>
    <t xml:space="preserve">Num</t>
  </si>
  <si>
    <t xml:space="preserve">Rank</t>
  </si>
  <si>
    <t xml:space="preserve">GRUPOS</t>
  </si>
  <si>
    <t xml:space="preserve">Bandera</t>
  </si>
  <si>
    <t xml:space="preserve">Selecciona fecha</t>
  </si>
  <si>
    <t xml:space="preserve">Referencia</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</si>
  <si>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</si>
  <si>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</si>
  <si>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</si>
  <si>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</si>
  <si>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</si>
  <si>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</si>
  <si>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</si>
  <si>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</si>
  <si>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</si>
  <si>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</si>
  <si>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</si>
  <si>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</si>
  <si>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</si>
  <si>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</si>
  <si>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</si>
  <si>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</si>
  <si>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</si>
  <si>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</si>
  <si>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</si>
  <si>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</si>
  <si>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</si>
  <si>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</si>
  <si>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</si>
  <si>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</si>
  <si>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</si>
  <si>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</si>
  <si>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</si>
  <si>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</si>
  <si>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</si>
  <si>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</si>
  <si>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</si>
  <si>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</si>
  <si>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</si>
  <si>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</si>
  <si>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</si>
  <si>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</si>
  <si>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</si>
  <si>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Lista sin errores</t>
  </si>
  <si>
    <t xml:space="preserve">Validacion de datos</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</si>
  <si>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</si>
  <si>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</si>
  <si>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</si>
  <si>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</si>
  <si>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</si>
  <si>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</si>
  <si>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</si>
  <si>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</si>
  <si>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</si>
  <si>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</si>
  <si>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Escribir el pais en idiomas</t>
  </si>
  <si>
    <t xml:space="preserve">País</t>
  </si>
  <si>
    <t xml:space="preserve">UTC</t>
  </si>
  <si>
    <t xml:space="preserve">en horas</t>
  </si>
  <si>
    <t xml:space="preserve">Se usa en desempates el num</t>
  </si>
  <si>
    <t xml:space="preserve">Organizador:</t>
  </si>
  <si>
    <t xml:space="preserve">UTC (Verano)</t>
  </si>
  <si>
    <t xml:space="preserve">UTC en horas</t>
  </si>
  <si>
    <t xml:space="preserve">Organizador</t>
  </si>
  <si>
    <t xml:space="preserve">Diferencia con organizador</t>
  </si>
  <si>
    <t xml:space="preserve">Dif  en horas</t>
  </si>
  <si>
    <t xml:space="preserve">+/-</t>
  </si>
  <si>
    <t xml:space="preserve">Orden</t>
  </si>
  <si>
    <t xml:space="preserve">GA</t>
  </si>
  <si>
    <t xml:space="preserve">https://www.zeitverschiebung.net/es/country/vn</t>
  </si>
  <si>
    <t xml:space="preserve">GB</t>
  </si>
  <si>
    <t xml:space="preserve">GE</t>
  </si>
  <si>
    <t xml:space="preserve">GG</t>
  </si>
  <si>
    <t xml:space="preserve">UTC -12</t>
  </si>
  <si>
    <t xml:space="preserve">UTC -11</t>
  </si>
  <si>
    <t xml:space="preserve">UTC -10</t>
  </si>
  <si>
    <t xml:space="preserve">UTC -9</t>
  </si>
  <si>
    <t xml:space="preserve">UTC -8</t>
  </si>
  <si>
    <t xml:space="preserve">UTC -7</t>
  </si>
  <si>
    <t xml:space="preserve">UTC -6</t>
  </si>
  <si>
    <t xml:space="preserve">UTC -5</t>
  </si>
  <si>
    <t xml:space="preserve">GH</t>
  </si>
  <si>
    <t xml:space="preserve">UTC -4</t>
  </si>
  <si>
    <t xml:space="preserve">UTC -3:30</t>
  </si>
  <si>
    <t xml:space="preserve">UTC -3</t>
  </si>
  <si>
    <t xml:space="preserve">UTC -2</t>
  </si>
  <si>
    <t xml:space="preserve">UTC -1</t>
  </si>
  <si>
    <t xml:space="preserve">UTC +1</t>
  </si>
  <si>
    <t xml:space="preserve">UTC +2</t>
  </si>
  <si>
    <t xml:space="preserve">GI</t>
  </si>
  <si>
    <t xml:space="preserve">UTC +3</t>
  </si>
  <si>
    <t xml:space="preserve">UTC +3:30</t>
  </si>
  <si>
    <t xml:space="preserve">UTC +4</t>
  </si>
  <si>
    <t xml:space="preserve">UTC +4:30</t>
  </si>
  <si>
    <t xml:space="preserve">UTC +5</t>
  </si>
  <si>
    <t xml:space="preserve">UTC +5:30</t>
  </si>
  <si>
    <t xml:space="preserve">UTC +5:45</t>
  </si>
  <si>
    <t xml:space="preserve">UTC +6</t>
  </si>
  <si>
    <t xml:space="preserve">GJ</t>
  </si>
  <si>
    <t xml:space="preserve">UTC +6:30</t>
  </si>
  <si>
    <t xml:space="preserve">UTC +7</t>
  </si>
  <si>
    <t xml:space="preserve">UTC +8</t>
  </si>
  <si>
    <t xml:space="preserve">UTC +9</t>
  </si>
  <si>
    <t xml:space="preserve">UTC +9:30</t>
  </si>
  <si>
    <t xml:space="preserve">UTC +10</t>
  </si>
  <si>
    <t xml:space="preserve">UTC +10:30</t>
  </si>
  <si>
    <t xml:space="preserve">UTC +11</t>
  </si>
  <si>
    <t xml:space="preserve">GK</t>
  </si>
  <si>
    <t xml:space="preserve">UTC +12</t>
  </si>
  <si>
    <t xml:space="preserve">UTC +12:45</t>
  </si>
  <si>
    <t xml:space="preserve">UTC +13</t>
  </si>
  <si>
    <t xml:space="preserve">UTC +14</t>
  </si>
  <si>
    <t xml:space="preserve">GL</t>
  </si>
  <si>
    <t xml:space="preserve">DIECISEISAVOS</t>
  </si>
  <si>
    <t xml:space="preserve">OCTAVOS</t>
  </si>
  <si>
    <t xml:space="preserve">CUARTOS</t>
  </si>
  <si>
    <t xml:space="preserve">SF</t>
  </si>
  <si>
    <t xml:space="preserve">V/F</t>
  </si>
  <si>
    <t xml:space="preserve">Option</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</si>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</sst>
</file>

<file path=xl/styles.xml><?xml version="1.0" encoding="utf-8"?>
<styleSheet xmlns="http://schemas.openxmlformats.org/spreadsheetml/2006/main">
  <numFmts count="11">
    <numFmt numFmtId="164" formatCode="0.00"/>
    <numFmt numFmtId="165" formatCode="General"/>
    <numFmt numFmtId="166" formatCode="dd/mm/yyyy"/>
    <numFmt numFmtId="167" formatCode=";;;"/>
    <numFmt numFmtId="168" formatCode="h:mm;@"/>
    <numFmt numFmtId="169" formatCode="dd\-mmm"/>
    <numFmt numFmtId="170" formatCode="0\ %"/>
    <numFmt numFmtId="171" formatCode="dd/mm/yyyy\ h:mm"/>
    <numFmt numFmtId="172" formatCode="0.00\ %"/>
    <numFmt numFmtId="173" formatCode="&quot;&quot;;;;"/>
    <numFmt numFmtId="174" formatCode="h:mm"/>
  </numFmts>
  <fonts count="106">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sz val="12"/>
      <color theme="1"/>
      <name val="Calibri"/>
      <family val="2"/>
      <charset val="1"/>
    </font>
    <font>
      <sz val="11"/>
      <color theme="1"/>
      <name val="Arial"/>
      <family val="2"/>
      <charset val="1"/>
    </font>
    <font>
      <u val="single"/>
      <sz val="11"/>
      <color theme="1"/>
      <name val="Arial"/>
      <family val="2"/>
      <charset val="1"/>
    </font>
    <font>
      <b val="true"/>
      <sz val="26"/>
      <color rgb="FF133461"/>
      <name val="Cambria"/>
      <family val="1"/>
      <charset val="1"/>
    </font>
    <font>
      <u val="single"/>
      <sz val="11"/>
      <color theme="10"/>
      <name val="Arial"/>
      <family val="2"/>
      <charset val="1"/>
    </font>
    <font>
      <sz val="11"/>
      <color rgb="FF1B4066"/>
      <name val="Arial"/>
      <family val="2"/>
      <charset val="1"/>
    </font>
    <font>
      <sz val="14"/>
      <color theme="1" tint="0.2499"/>
      <name val="Arial"/>
      <family val="2"/>
      <charset val="1"/>
    </font>
    <font>
      <sz val="11"/>
      <color theme="0" tint="-0.35"/>
      <name val="Arial"/>
      <family val="2"/>
      <charset val="1"/>
    </font>
    <font>
      <sz val="14"/>
      <color rgb="FF1B4066"/>
      <name val="Arial"/>
      <family val="2"/>
      <charset val="1"/>
    </font>
    <font>
      <sz val="14"/>
      <color rgb="FFEEEEEE"/>
      <name val="Arial"/>
      <family val="2"/>
      <charset val="1"/>
    </font>
    <font>
      <sz val="11"/>
      <name val="Arial"/>
      <family val="2"/>
      <charset val="1"/>
    </font>
    <font>
      <sz val="12"/>
      <name val="Arial"/>
      <family val="2"/>
      <charset val="1"/>
    </font>
    <font>
      <sz val="11"/>
      <color theme="0"/>
      <name val="Arial"/>
      <family val="2"/>
      <charset val="1"/>
    </font>
    <font>
      <sz val="11"/>
      <color rgb="FF828081"/>
      <name val="Arial"/>
      <family val="2"/>
      <charset val="1"/>
    </font>
    <font>
      <sz val="26"/>
      <color rgb="FFFF0000"/>
      <name val="Arial"/>
      <family val="2"/>
      <charset val="1"/>
    </font>
    <font>
      <sz val="48"/>
      <color rgb="FFFF0000"/>
      <name val="Arial"/>
      <family val="2"/>
      <charset val="1"/>
    </font>
    <font>
      <sz val="20"/>
      <color rgb="FFFF0000"/>
      <name val="Arial"/>
      <family val="2"/>
      <charset val="1"/>
    </font>
    <font>
      <sz val="11"/>
      <color rgb="FF1B4066"/>
      <name val="Calibri"/>
      <family val="2"/>
      <charset val="1"/>
    </font>
    <font>
      <sz val="11"/>
      <color rgb="FF003087"/>
      <name val="Arial"/>
      <family val="2"/>
      <charset val="1"/>
    </font>
    <font>
      <sz val="10"/>
      <color rgb="FF828081"/>
      <name val="Arial"/>
      <family val="2"/>
      <charset val="1"/>
    </font>
    <font>
      <sz val="11"/>
      <color rgb="FFEEEEEE"/>
      <name val="Calibri"/>
      <family val="2"/>
      <charset val="1"/>
    </font>
    <font>
      <sz val="11"/>
      <name val="Calibri"/>
      <family val="2"/>
      <charset val="1"/>
    </font>
    <font>
      <b val="true"/>
      <sz val="11"/>
      <name val="Calibri"/>
      <family val="2"/>
      <charset val="1"/>
    </font>
    <font>
      <b val="true"/>
      <sz val="20"/>
      <color rgb="FF133461"/>
      <name val="Cambria"/>
      <family val="1"/>
      <charset val="1"/>
    </font>
    <font>
      <b val="true"/>
      <sz val="11"/>
      <color theme="1"/>
      <name val="Calibri"/>
      <family val="2"/>
      <charset val="1"/>
    </font>
    <font>
      <b val="true"/>
      <sz val="11"/>
      <color rgb="FFEEEEEE"/>
      <name val="Calibri"/>
      <family val="2"/>
      <charset val="1"/>
    </font>
    <font>
      <sz val="11"/>
      <color theme="0"/>
      <name val="Calibri"/>
      <family val="2"/>
      <charset val="1"/>
    </font>
    <font>
      <b val="true"/>
      <sz val="11"/>
      <color rgb="FF1B4066"/>
      <name val="Cambria"/>
      <family val="1"/>
      <charset val="1"/>
    </font>
    <font>
      <b val="true"/>
      <sz val="11"/>
      <color rgb="FF0056A4"/>
      <name val="Calibri"/>
      <family val="2"/>
      <charset val="1"/>
    </font>
    <font>
      <b val="true"/>
      <sz val="11"/>
      <color theme="3"/>
      <name val="Calibri"/>
      <family val="2"/>
      <charset val="1"/>
    </font>
    <font>
      <sz val="8"/>
      <color rgb="FFEEEEEE"/>
      <name val="Calibri"/>
      <family val="2"/>
      <charset val="1"/>
    </font>
    <font>
      <sz val="10"/>
      <color rgb="FF1B4066"/>
      <name val="Calibri"/>
      <family val="2"/>
      <charset val="1"/>
    </font>
    <font>
      <sz val="10"/>
      <color rgb="FF1B4066"/>
      <name val="Arial"/>
      <family val="2"/>
      <charset val="1"/>
    </font>
    <font>
      <b val="true"/>
      <sz val="36"/>
      <color theme="0"/>
      <name val="Calibri"/>
      <family val="2"/>
      <charset val="1"/>
    </font>
    <font>
      <sz val="7"/>
      <color theme="1"/>
      <name val="Calibri"/>
      <family val="2"/>
      <charset val="1"/>
    </font>
    <font>
      <sz val="10"/>
      <color rgb="FFEEEEEE"/>
      <name val="Calibri"/>
      <family val="2"/>
      <charset val="1"/>
    </font>
    <font>
      <sz val="8"/>
      <color rgb="FF1B4066"/>
      <name val="Calibri"/>
      <family val="2"/>
      <charset val="1"/>
    </font>
    <font>
      <sz val="8"/>
      <color rgb="FF0056A3"/>
      <name val="Calibri"/>
      <family val="2"/>
      <charset val="1"/>
    </font>
    <font>
      <b val="true"/>
      <sz val="10"/>
      <color rgb="FF1B4066"/>
      <name val="Cambria"/>
      <family val="1"/>
      <charset val="1"/>
    </font>
    <font>
      <b val="true"/>
      <sz val="10"/>
      <name val="Calibri"/>
      <family val="2"/>
      <charset val="1"/>
    </font>
    <font>
      <b val="true"/>
      <sz val="11"/>
      <color rgb="FF1B4066"/>
      <name val="Calibri"/>
      <family val="2"/>
      <charset val="1"/>
    </font>
    <font>
      <b val="true"/>
      <sz val="8"/>
      <color rgb="FFEEEEEE"/>
      <name val="Calibri"/>
      <family val="2"/>
      <charset val="1"/>
    </font>
    <font>
      <b val="true"/>
      <sz val="10"/>
      <color rgb="FFEEEEEE"/>
      <name val="Calibri"/>
      <family val="2"/>
      <charset val="1"/>
    </font>
    <font>
      <b val="true"/>
      <sz val="10"/>
      <color theme="1" tint="0.2499"/>
      <name val="Calibri"/>
      <family val="2"/>
      <charset val="1"/>
    </font>
    <font>
      <sz val="9"/>
      <name val="Calibri"/>
      <family val="2"/>
      <charset val="1"/>
    </font>
    <font>
      <sz val="10"/>
      <name val="Calibri"/>
      <family val="2"/>
      <charset val="1"/>
    </font>
    <font>
      <sz val="8"/>
      <color theme="0"/>
      <name val="Calibri"/>
      <family val="2"/>
      <charset val="1"/>
    </font>
    <font>
      <b val="true"/>
      <sz val="11"/>
      <color theme="0"/>
      <name val="Calibri"/>
      <family val="2"/>
      <charset val="1"/>
    </font>
    <font>
      <b val="true"/>
      <sz val="7"/>
      <color theme="1"/>
      <name val="Calibri"/>
      <family val="2"/>
      <charset val="1"/>
    </font>
    <font>
      <b val="true"/>
      <sz val="11"/>
      <color theme="1" tint="0.2499"/>
      <name val="Calibri"/>
      <family val="2"/>
      <charset val="1"/>
    </font>
    <font>
      <sz val="8"/>
      <color theme="1" tint="0.2499"/>
      <name val="Calibri"/>
      <family val="2"/>
      <charset val="1"/>
    </font>
    <font>
      <b val="true"/>
      <sz val="10"/>
      <color theme="0"/>
      <name val="Calibri"/>
      <family val="2"/>
      <charset val="1"/>
    </font>
    <font>
      <sz val="11"/>
      <color theme="3"/>
      <name val="Calibri"/>
      <family val="2"/>
      <charset val="1"/>
    </font>
    <font>
      <b val="true"/>
      <sz val="18"/>
      <color theme="0"/>
      <name val="Calibri"/>
      <family val="2"/>
      <charset val="1"/>
    </font>
    <font>
      <b val="true"/>
      <sz val="10"/>
      <color rgb="FF0056A3"/>
      <name val="Calibri"/>
      <family val="2"/>
      <charset val="1"/>
    </font>
    <font>
      <b val="true"/>
      <sz val="11"/>
      <color rgb="FF0056A3"/>
      <name val="Calibri"/>
      <family val="2"/>
      <charset val="1"/>
    </font>
    <font>
      <b val="true"/>
      <sz val="20"/>
      <color theme="0"/>
      <name val="Calibri"/>
      <family val="2"/>
      <charset val="1"/>
    </font>
    <font>
      <b val="true"/>
      <sz val="16"/>
      <color theme="0"/>
      <name val="Calibri"/>
      <family val="2"/>
      <charset val="1"/>
    </font>
    <font>
      <b val="true"/>
      <sz val="14"/>
      <color theme="0"/>
      <name val="Calibri"/>
      <family val="2"/>
      <charset val="1"/>
    </font>
    <font>
      <b val="true"/>
      <sz val="11"/>
      <color theme="1" tint="0.2499"/>
      <name val="Cambria"/>
      <family val="1"/>
      <charset val="1"/>
    </font>
    <font>
      <b val="true"/>
      <sz val="24"/>
      <color theme="0"/>
      <name val="Calibri"/>
      <family val="2"/>
      <charset val="1"/>
    </font>
    <font>
      <sz val="16"/>
      <color theme="0"/>
      <name val="Calibri"/>
      <family val="2"/>
      <charset val="1"/>
    </font>
    <font>
      <sz val="14"/>
      <color rgb="FFEEEEEE"/>
      <name val="Calibri"/>
      <family val="2"/>
      <charset val="1"/>
    </font>
    <font>
      <sz val="11"/>
      <color rgb="FFFF0000"/>
      <name val="Calibri"/>
      <family val="2"/>
      <charset val="1"/>
    </font>
    <font>
      <sz val="11"/>
      <color rgb="FF1B4066"/>
      <name val="Cambria"/>
      <family val="1"/>
      <charset val="1"/>
    </font>
    <font>
      <sz val="11"/>
      <name val="Cambria"/>
      <family val="1"/>
      <charset val="1"/>
    </font>
    <font>
      <sz val="11"/>
      <color rgb="FFEEEEEE"/>
      <name val="Cambria"/>
      <family val="1"/>
      <charset val="1"/>
    </font>
    <font>
      <b val="true"/>
      <sz val="16"/>
      <color rgb="FF1B4066"/>
      <name val="Calibri"/>
      <family val="2"/>
      <charset val="1"/>
    </font>
    <font>
      <b val="true"/>
      <sz val="10"/>
      <color rgb="FF1B4066"/>
      <name val="Calibri"/>
      <family val="2"/>
      <charset val="1"/>
    </font>
    <font>
      <sz val="10"/>
      <color rgb="FFEEEEEE"/>
      <name val="Arial"/>
      <family val="2"/>
      <charset val="1"/>
    </font>
    <font>
      <b val="true"/>
      <sz val="36"/>
      <color rgb="FF1B4066"/>
      <name val="Cambria"/>
      <family val="1"/>
      <charset val="1"/>
    </font>
    <font>
      <sz val="11"/>
      <color theme="2"/>
      <name val="Calibri"/>
      <family val="2"/>
      <charset val="1"/>
    </font>
    <font>
      <b val="true"/>
      <sz val="20"/>
      <color rgb="FF1B4066"/>
      <name val="Cambria"/>
      <family val="1"/>
      <charset val="1"/>
    </font>
    <font>
      <b val="true"/>
      <sz val="11"/>
      <color theme="2"/>
      <name val="Cambria"/>
      <family val="1"/>
      <charset val="1"/>
    </font>
    <font>
      <b val="true"/>
      <sz val="16"/>
      <color rgb="FF1B4066"/>
      <name val="Cambria"/>
      <family val="1"/>
      <charset val="1"/>
    </font>
    <font>
      <sz val="14"/>
      <color rgb="FF1B4066"/>
      <name val="Cambria"/>
      <family val="1"/>
      <charset val="1"/>
    </font>
    <font>
      <sz val="12"/>
      <color rgb="FF1B4066"/>
      <name val="Cambria"/>
      <family val="1"/>
      <charset val="1"/>
    </font>
    <font>
      <b val="true"/>
      <sz val="9"/>
      <color rgb="FF1B4066"/>
      <name val="Cambria"/>
      <family val="1"/>
      <charset val="1"/>
    </font>
    <font>
      <i val="true"/>
      <sz val="9"/>
      <color rgb="FF1B4066"/>
      <name val="Cambria"/>
      <family val="1"/>
      <charset val="1"/>
    </font>
    <font>
      <b val="true"/>
      <sz val="14"/>
      <color rgb="FF1B4066"/>
      <name val="Calibri"/>
      <family val="2"/>
      <charset val="1"/>
    </font>
    <font>
      <b val="true"/>
      <sz val="11"/>
      <color rgb="FFF2F4F6"/>
      <name val="Calibri"/>
      <family val="2"/>
      <charset val="1"/>
    </font>
    <font>
      <b val="true"/>
      <sz val="12"/>
      <color rgb="FF1B4066"/>
      <name val="Calibri"/>
      <family val="2"/>
      <charset val="1"/>
    </font>
    <font>
      <u val="single"/>
      <sz val="11"/>
      <color rgb="FF0000FF"/>
      <name val="Calibri"/>
      <family val="2"/>
      <charset val="1"/>
    </font>
    <font>
      <b val="true"/>
      <sz val="14"/>
      <name val="Calibri"/>
      <family val="2"/>
      <charset val="1"/>
    </font>
    <font>
      <sz val="11"/>
      <name val="Calibri (Cuerpo)"/>
      <family val="0"/>
      <charset val="1"/>
    </font>
    <font>
      <u val="single"/>
      <sz val="11"/>
      <name val="Calibri"/>
      <family val="2"/>
      <charset val="1"/>
    </font>
    <font>
      <sz val="11"/>
      <color rgb="FF0000FF"/>
      <name val="Calibri"/>
      <family val="2"/>
      <charset val="1"/>
    </font>
    <font>
      <b val="true"/>
      <sz val="16"/>
      <color rgb="FF595959"/>
      <name val="Calibri"/>
      <family val="2"/>
    </font>
    <font>
      <sz val="9"/>
      <color rgb="FF404040"/>
      <name val="Calibri"/>
      <family val="2"/>
    </font>
    <font>
      <sz val="9"/>
      <color rgb="FF595959"/>
      <name val="Calibri"/>
      <family val="2"/>
    </font>
    <font>
      <u val="single"/>
      <sz val="11"/>
      <color rgb="FF1B4066"/>
      <name val="Calibri"/>
      <family val="2"/>
      <charset val="1"/>
    </font>
    <font>
      <u val="single"/>
      <sz val="11"/>
      <color theme="3" tint="0.3999"/>
      <name val="Calibri"/>
      <family val="2"/>
      <charset val="1"/>
    </font>
    <font>
      <b val="true"/>
      <sz val="11"/>
      <color rgb="FF58B771"/>
      <name val="Calibri"/>
      <family val="2"/>
      <charset val="1"/>
    </font>
    <font>
      <b val="true"/>
      <sz val="18"/>
      <color theme="0"/>
      <name val="Arial"/>
      <family val="2"/>
      <charset val="1"/>
    </font>
    <font>
      <sz val="14"/>
      <color rgb="FFFF0000"/>
      <name val="Arial"/>
      <family val="2"/>
      <charset val="1"/>
    </font>
    <font>
      <sz val="11"/>
      <color theme="0"/>
      <name val="Calibri (Cuerpo)"/>
      <family val="0"/>
      <charset val="1"/>
    </font>
    <font>
      <sz val="12"/>
      <color theme="0"/>
      <name val="Calibri"/>
      <family val="2"/>
      <charset val="1"/>
    </font>
    <font>
      <b val="true"/>
      <sz val="8"/>
      <name val="Calibri"/>
      <family val="2"/>
      <charset val="1"/>
    </font>
    <font>
      <sz val="8"/>
      <name val="Calibri"/>
      <family val="2"/>
      <charset val="1"/>
    </font>
    <font>
      <b val="true"/>
      <sz val="10"/>
      <color rgb="FF595959"/>
      <name val="Calibri"/>
      <family val="2"/>
    </font>
    <font>
      <b val="true"/>
      <sz val="9"/>
      <color rgb="FFFFFFFF"/>
      <name val="Calibri"/>
      <family val="2"/>
    </font>
  </fonts>
  <fills count="41">
    <fill>
      <patternFill patternType="none"/>
    </fill>
    <fill>
      <patternFill patternType="gray125"/>
    </fill>
    <fill>
      <patternFill patternType="solid">
        <fgColor rgb="FFEEEEEE"/>
        <bgColor rgb="FFF0F1F3"/>
      </patternFill>
    </fill>
    <fill>
      <patternFill patternType="solid">
        <fgColor theme="0"/>
        <bgColor rgb="FFF8F9FA"/>
      </patternFill>
    </fill>
    <fill>
      <patternFill patternType="darkGray">
        <fgColor rgb="FF3C71B6"/>
        <bgColor rgb="FF2E5DA6"/>
      </patternFill>
    </fill>
    <fill>
      <patternFill patternType="solid">
        <fgColor theme="0" tint="-0.25"/>
        <bgColor rgb="FFC0C0C0"/>
      </patternFill>
    </fill>
    <fill>
      <patternFill patternType="solid">
        <fgColor theme="0" tint="-0.05"/>
        <bgColor rgb="FFF0F1F3"/>
      </patternFill>
    </fill>
    <fill>
      <patternFill patternType="solid">
        <fgColor rgb="FFE7E6E6"/>
        <bgColor rgb="FFE9E6E6"/>
      </patternFill>
    </fill>
    <fill>
      <patternFill patternType="solid">
        <fgColor rgb="FFE50009"/>
        <bgColor rgb="FFFF0000"/>
      </patternFill>
    </fill>
    <fill>
      <patternFill patternType="solid">
        <fgColor rgb="FFFCEA7E"/>
        <bgColor rgb="FFFCD5B5"/>
      </patternFill>
    </fill>
    <fill>
      <patternFill patternType="solid">
        <fgColor rgb="FF2E5DA6"/>
        <bgColor rgb="FF3C71B6"/>
      </patternFill>
    </fill>
    <fill>
      <patternFill patternType="solid">
        <fgColor rgb="FFF87C06"/>
        <bgColor rgb="FFEE7701"/>
      </patternFill>
    </fill>
    <fill>
      <patternFill patternType="darkGray">
        <fgColor rgb="FF00783A"/>
        <bgColor rgb="FF0056A3"/>
      </patternFill>
    </fill>
    <fill>
      <patternFill patternType="solid">
        <fgColor rgb="FFB9AFD2"/>
        <bgColor rgb="FFBEBEBE"/>
      </patternFill>
    </fill>
    <fill>
      <patternFill patternType="solid">
        <fgColor rgb="FF6DBBB7"/>
        <bgColor rgb="FF65BBB0"/>
      </patternFill>
    </fill>
    <fill>
      <patternFill patternType="solid">
        <fgColor rgb="FF532C92"/>
        <bgColor rgb="FF404040"/>
      </patternFill>
    </fill>
    <fill>
      <patternFill patternType="solid">
        <fgColor rgb="FFF6AB9E"/>
        <bgColor rgb="FFFAC090"/>
      </patternFill>
    </fill>
    <fill>
      <patternFill patternType="solid">
        <fgColor rgb="FFEA3270"/>
        <bgColor rgb="FFE50009"/>
      </patternFill>
    </fill>
    <fill>
      <patternFill patternType="solid">
        <fgColor rgb="FF8E000D"/>
        <bgColor rgb="FFE50009"/>
      </patternFill>
    </fill>
    <fill>
      <patternFill patternType="solid">
        <fgColor rgb="FFEE7701"/>
        <bgColor rgb="FFF87C06"/>
      </patternFill>
    </fill>
    <fill>
      <patternFill patternType="solid">
        <fgColor rgb="FF65BBB0"/>
        <bgColor rgb="FF6DBBB7"/>
      </patternFill>
    </fill>
    <fill>
      <patternFill patternType="solid">
        <fgColor theme="0" tint="-0.15"/>
        <bgColor rgb="FFD9DCE0"/>
      </patternFill>
    </fill>
    <fill>
      <patternFill patternType="solid">
        <fgColor theme="9" tint="0.5999"/>
        <bgColor rgb="FFFFC7CE"/>
      </patternFill>
    </fill>
    <fill>
      <patternFill patternType="solid">
        <fgColor theme="9" tint="0.3999"/>
        <bgColor rgb="FFF6AB9E"/>
      </patternFill>
    </fill>
    <fill>
      <patternFill patternType="solid">
        <fgColor rgb="FFF2F4F6"/>
        <bgColor rgb="FFF2F2F2"/>
      </patternFill>
    </fill>
    <fill>
      <patternFill patternType="solid">
        <fgColor rgb="FF0D6EFD"/>
        <bgColor rgb="FF3C71B6"/>
      </patternFill>
    </fill>
    <fill>
      <patternFill patternType="solid">
        <fgColor rgb="FFFFC7CE"/>
        <bgColor rgb="FFFCD5B5"/>
      </patternFill>
    </fill>
    <fill>
      <patternFill patternType="solid">
        <fgColor theme="9" tint="0.7999"/>
        <bgColor rgb="FFEEECE1"/>
      </patternFill>
    </fill>
    <fill>
      <patternFill patternType="solid">
        <fgColor theme="4" tint="0.7999"/>
        <bgColor rgb="FFDEE2E6"/>
      </patternFill>
    </fill>
    <fill>
      <patternFill patternType="solid">
        <fgColor theme="6" tint="0.7999"/>
        <bgColor rgb="FFEEECE1"/>
      </patternFill>
    </fill>
    <fill>
      <patternFill patternType="solid">
        <fgColor theme="7" tint="0.7999"/>
        <bgColor rgb="FFE7E6E6"/>
      </patternFill>
    </fill>
    <fill>
      <patternFill patternType="solid">
        <fgColor rgb="FFC97516"/>
        <bgColor rgb="FFEE7701"/>
      </patternFill>
    </fill>
    <fill>
      <patternFill patternType="solid">
        <fgColor rgb="FFC0C0C0"/>
        <bgColor rgb="FFBFBFBF"/>
      </patternFill>
    </fill>
    <fill>
      <patternFill patternType="solid">
        <fgColor rgb="FFEFB810"/>
        <bgColor rgb="FFFAC090"/>
      </patternFill>
    </fill>
    <fill>
      <patternFill patternType="solid">
        <fgColor rgb="FFF8F9FA"/>
        <bgColor rgb="FFF7F8F9"/>
      </patternFill>
    </fill>
    <fill>
      <patternFill patternType="solid">
        <fgColor rgb="FFD4E9DF"/>
        <bgColor rgb="FFCEEDDA"/>
      </patternFill>
    </fill>
    <fill>
      <patternFill patternType="solid">
        <fgColor rgb="FFF7F8F9"/>
        <bgColor rgb="FFF8F9FA"/>
      </patternFill>
    </fill>
    <fill>
      <patternFill patternType="solid">
        <fgColor rgb="FFF0F1F3"/>
        <bgColor rgb="FFF2F2F2"/>
      </patternFill>
    </fill>
    <fill>
      <patternFill patternType="solid">
        <fgColor rgb="FF71BA69"/>
        <bgColor rgb="FF65BBB0"/>
      </patternFill>
    </fill>
    <fill>
      <patternFill patternType="solid">
        <fgColor theme="5" tint="0.7999"/>
        <bgColor rgb="FFE6E0EC"/>
      </patternFill>
    </fill>
    <fill>
      <patternFill patternType="solid">
        <fgColor rgb="FFF87C06"/>
        <bgColor rgb="FFEE7701"/>
      </patternFill>
    </fill>
  </fills>
  <borders count="172">
    <border diagonalUp="false" diagonalDown="false">
      <left/>
      <right/>
      <top/>
      <bottom/>
      <diagonal/>
    </border>
    <border diagonalUp="false" diagonalDown="false">
      <left style="thin">
        <color rgb="FF3C71B6"/>
      </left>
      <right/>
      <top style="thin">
        <color rgb="FF3C71B6"/>
      </top>
      <bottom/>
      <diagonal/>
    </border>
    <border diagonalUp="false" diagonalDown="false">
      <left/>
      <right style="medium">
        <color rgb="FF204A7B"/>
      </right>
      <top style="medium">
        <color theme="0"/>
      </top>
      <bottom style="medium">
        <color rgb="FF204A7B"/>
      </bottom>
      <diagonal/>
    </border>
    <border diagonalUp="false" diagonalDown="false">
      <left style="thin">
        <color theme="0"/>
      </left>
      <right/>
      <top style="thin">
        <color theme="0"/>
      </top>
      <bottom style="thin">
        <color theme="0"/>
      </bottom>
      <diagonal/>
    </border>
    <border diagonalUp="false" diagonalDown="false">
      <left style="medium">
        <color theme="0" tint="-0.25"/>
      </left>
      <right/>
      <top style="medium">
        <color theme="0" tint="-0.25"/>
      </top>
      <bottom/>
      <diagonal/>
    </border>
    <border diagonalUp="false" diagonalDown="false">
      <left/>
      <right/>
      <top style="medium">
        <color theme="0" tint="-0.25"/>
      </top>
      <bottom/>
      <diagonal/>
    </border>
    <border diagonalUp="false" diagonalDown="false">
      <left/>
      <right style="medium">
        <color theme="0" tint="-0.25"/>
      </right>
      <top style="medium">
        <color theme="0" tint="-0.25"/>
      </top>
      <bottom/>
      <diagonal/>
    </border>
    <border diagonalUp="false" diagonalDown="false">
      <left style="medium">
        <color theme="0" tint="-0.25"/>
      </left>
      <right/>
      <top/>
      <bottom style="medium">
        <color theme="0" tint="-0.25"/>
      </bottom>
      <diagonal/>
    </border>
    <border diagonalUp="false" diagonalDown="false">
      <left/>
      <right style="thin">
        <color theme="0" tint="-0.25"/>
      </right>
      <top/>
      <bottom/>
      <diagonal/>
    </border>
    <border diagonalUp="false" diagonalDown="false">
      <left/>
      <right style="thin">
        <color theme="0" tint="-0.25"/>
      </right>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medium">
        <color theme="0" tint="-0.25"/>
      </right>
      <top/>
      <bottom/>
      <diagonal/>
    </border>
    <border diagonalUp="false" diagonalDown="false">
      <left style="medium">
        <color theme="0" tint="-0.25"/>
      </left>
      <right style="medium">
        <color theme="0" tint="-0.25"/>
      </right>
      <top style="medium">
        <color theme="0" tint="-0.25"/>
      </top>
      <bottom/>
      <diagonal/>
    </border>
    <border diagonalUp="false" diagonalDown="false">
      <left style="medium">
        <color theme="0" tint="-0.25"/>
      </left>
      <right/>
      <top/>
      <bottom style="thin">
        <color rgb="FFC7D5AE"/>
      </bottom>
      <diagonal/>
    </border>
    <border diagonalUp="false" diagonalDown="false">
      <left/>
      <right/>
      <top/>
      <bottom style="thin">
        <color rgb="FFC7D5AE"/>
      </bottom>
      <diagonal/>
    </border>
    <border diagonalUp="false" diagonalDown="false">
      <left/>
      <right style="medium">
        <color theme="0" tint="-0.25"/>
      </right>
      <top/>
      <bottom style="thin">
        <color rgb="FFC7D5AE"/>
      </bottom>
      <diagonal/>
    </border>
    <border diagonalUp="false" diagonalDown="false">
      <left style="medium">
        <color rgb="FFBFBFBF"/>
      </left>
      <right/>
      <top style="medium">
        <color rgb="FFBFBFBF"/>
      </top>
      <bottom style="thin">
        <color theme="2"/>
      </bottom>
      <diagonal/>
    </border>
    <border diagonalUp="false" diagonalDown="false">
      <left/>
      <right style="medium">
        <color rgb="FFBFBFBF"/>
      </right>
      <top style="medium">
        <color rgb="FFBFBFBF"/>
      </top>
      <bottom style="thin">
        <color theme="2"/>
      </bottom>
      <diagonal/>
    </border>
    <border diagonalUp="false" diagonalDown="false">
      <left style="medium">
        <color theme="0" tint="-0.25"/>
      </left>
      <right/>
      <top style="thin">
        <color rgb="FFC7D5AE"/>
      </top>
      <bottom/>
      <diagonal/>
    </border>
    <border diagonalUp="false" diagonalDown="false">
      <left/>
      <right/>
      <top style="thin">
        <color rgb="FFC7D5AE"/>
      </top>
      <bottom/>
      <diagonal/>
    </border>
    <border diagonalUp="false" diagonalDown="false">
      <left/>
      <right style="medium">
        <color theme="0" tint="-0.25"/>
      </right>
      <top style="thin">
        <color rgb="FFC7D5AE"/>
      </top>
      <bottom/>
      <diagonal/>
    </border>
    <border diagonalUp="false" diagonalDown="false">
      <left style="medium">
        <color rgb="FFBFBFBF"/>
      </left>
      <right style="thin">
        <color rgb="FFBFBFBF"/>
      </right>
      <top style="thin">
        <color theme="2"/>
      </top>
      <bottom style="thin">
        <color theme="2"/>
      </bottom>
      <diagonal/>
    </border>
    <border diagonalUp="false" diagonalDown="false">
      <left/>
      <right style="medium">
        <color rgb="FFBFBFBF"/>
      </right>
      <top style="thin">
        <color theme="2"/>
      </top>
      <bottom style="thin">
        <color theme="2"/>
      </bottom>
      <diagonal/>
    </border>
    <border diagonalUp="false" diagonalDown="false">
      <left style="medium">
        <color theme="0" tint="-0.25"/>
      </left>
      <right/>
      <top/>
      <bottom/>
      <diagonal/>
    </border>
    <border diagonalUp="false" diagonalDown="false">
      <left/>
      <right/>
      <top/>
      <bottom style="medium">
        <color theme="0" tint="-0.25"/>
      </bottom>
      <diagonal/>
    </border>
    <border diagonalUp="false" diagonalDown="false">
      <left/>
      <right style="thin">
        <color theme="0" tint="-0.25"/>
      </right>
      <top/>
      <bottom style="medium">
        <color theme="0" tint="-0.25"/>
      </bottom>
      <diagonal/>
    </border>
    <border diagonalUp="false" diagonalDown="false">
      <left/>
      <right style="thin">
        <color theme="0" tint="-0.25"/>
      </right>
      <top style="thin">
        <color theme="0" tint="-0.25"/>
      </top>
      <bottom style="medium">
        <color theme="0" tint="-0.25"/>
      </bottom>
      <diagonal/>
    </border>
    <border diagonalUp="false" diagonalDown="false">
      <left style="thin">
        <color theme="0" tint="-0.25"/>
      </left>
      <right style="thin">
        <color theme="0" tint="-0.25"/>
      </right>
      <top style="thin">
        <color theme="0" tint="-0.25"/>
      </top>
      <bottom style="medium">
        <color theme="0" tint="-0.25"/>
      </bottom>
      <diagonal/>
    </border>
    <border diagonalUp="false" diagonalDown="false">
      <left/>
      <right style="medium">
        <color theme="0" tint="-0.25"/>
      </right>
      <top/>
      <bottom style="medium">
        <color theme="0" tint="-0.25"/>
      </bottom>
      <diagonal/>
    </border>
    <border diagonalUp="false" diagonalDown="false">
      <left style="medium">
        <color rgb="FFBFBFBF"/>
      </left>
      <right style="thin">
        <color rgb="FFBFBFBF"/>
      </right>
      <top style="thin">
        <color theme="2"/>
      </top>
      <bottom style="medium">
        <color rgb="FFBFBFBF"/>
      </bottom>
      <diagonal/>
    </border>
    <border diagonalUp="false" diagonalDown="false">
      <left/>
      <right style="medium">
        <color rgb="FFBFBFBF"/>
      </right>
      <top style="thin">
        <color theme="2"/>
      </top>
      <bottom style="medium">
        <color rgb="FFBFBFBF"/>
      </bottom>
      <diagonal/>
    </border>
    <border diagonalUp="false" diagonalDown="false">
      <left style="medium">
        <color rgb="FFA9A9A9"/>
      </left>
      <right/>
      <top style="thin">
        <color rgb="FFC7D5AE"/>
      </top>
      <bottom/>
      <diagonal/>
    </border>
    <border diagonalUp="false" diagonalDown="false">
      <left/>
      <right style="medium">
        <color rgb="FFA9A9A9"/>
      </right>
      <top style="thin">
        <color rgb="FFC7D5AE"/>
      </top>
      <bottom/>
      <diagonal/>
    </border>
    <border diagonalUp="false" diagonalDown="false">
      <left style="medium">
        <color rgb="FFA9A9A9"/>
      </left>
      <right/>
      <top/>
      <bottom/>
      <diagonal/>
    </border>
    <border diagonalUp="false" diagonalDown="false">
      <left/>
      <right style="medium">
        <color rgb="FFA9A9A9"/>
      </right>
      <top/>
      <bottom/>
      <diagonal/>
    </border>
    <border diagonalUp="false" diagonalDown="false">
      <left style="medium">
        <color rgb="FFA9A9A9"/>
      </left>
      <right/>
      <top/>
      <bottom style="medium">
        <color rgb="FFA9A9A9"/>
      </bottom>
      <diagonal/>
    </border>
    <border diagonalUp="false" diagonalDown="false">
      <left/>
      <right/>
      <top/>
      <bottom style="medium">
        <color rgb="FFA9A9A9"/>
      </bottom>
      <diagonal/>
    </border>
    <border diagonalUp="false" diagonalDown="false">
      <left/>
      <right style="medium">
        <color rgb="FFA9A9A9"/>
      </right>
      <top/>
      <bottom style="medium">
        <color rgb="FFA9A9A9"/>
      </bottom>
      <diagonal/>
    </border>
    <border diagonalUp="false" diagonalDown="false">
      <left style="thin">
        <color theme="0"/>
      </left>
      <right/>
      <top/>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medium">
        <color theme="0" tint="-0.25"/>
      </left>
      <right style="medium">
        <color theme="0" tint="-0.25"/>
      </right>
      <top/>
      <bottom style="medium">
        <color theme="0" tint="-0.2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op>
      <bottom/>
      <diagonal/>
    </border>
    <border diagonalUp="false" diagonalDown="false">
      <left/>
      <right style="thin">
        <color theme="0"/>
      </right>
      <top/>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style="thin">
        <color theme="0"/>
      </right>
      <top style="thin">
        <color theme="0"/>
      </top>
      <bottom style="medium">
        <color rgb="FFBFBFBF"/>
      </bottom>
      <diagonal/>
    </border>
    <border diagonalUp="false" diagonalDown="false">
      <left/>
      <right style="thin">
        <color theme="0" tint="-0.15"/>
      </right>
      <top/>
      <bottom/>
      <diagonal/>
    </border>
    <border diagonalUp="false" diagonalDown="false">
      <left/>
      <right style="thin">
        <color theme="0" tint="-0.15"/>
      </right>
      <top/>
      <bottom style="medium">
        <color theme="0" tint="-0.25"/>
      </bottom>
      <diagonal/>
    </border>
    <border diagonalUp="false" diagonalDown="false">
      <left style="thin">
        <color theme="0"/>
      </left>
      <right style="thin">
        <color theme="0"/>
      </right>
      <top/>
      <bottom style="thin">
        <color theme="0"/>
      </bottom>
      <diagonal/>
    </border>
    <border diagonalUp="false" diagonalDown="false">
      <left style="thin">
        <color theme="0" tint="-0.15"/>
      </left>
      <right/>
      <top/>
      <bottom style="medium">
        <color rgb="FFBFBFBF"/>
      </bottom>
      <diagonal/>
    </border>
    <border diagonalUp="false" diagonalDown="false">
      <left style="thin">
        <color theme="0"/>
      </left>
      <right style="thin">
        <color theme="0"/>
      </right>
      <top/>
      <bottom style="medium">
        <color rgb="FFBFBFBF"/>
      </bottom>
      <diagonal/>
    </border>
    <border diagonalUp="false" diagonalDown="false">
      <left style="medium">
        <color theme="0"/>
      </left>
      <right style="medium">
        <color theme="0"/>
      </right>
      <top style="medium">
        <color theme="0"/>
      </top>
      <bottom/>
      <diagonal/>
    </border>
    <border diagonalUp="false" diagonalDown="false">
      <left style="medium">
        <color theme="0"/>
      </left>
      <right style="medium">
        <color theme="0"/>
      </right>
      <top/>
      <bottom style="medium">
        <color theme="0"/>
      </bottom>
      <diagonal/>
    </border>
    <border diagonalUp="false" diagonalDown="false">
      <left/>
      <right/>
      <top/>
      <bottom style="medium">
        <color theme="0" tint="-0.15"/>
      </bottom>
      <diagonal/>
    </border>
    <border diagonalUp="false" diagonalDown="false">
      <left style="medium">
        <color rgb="FF1B4066"/>
      </left>
      <right style="medium">
        <color rgb="FF1B4066"/>
      </right>
      <top style="medium">
        <color rgb="FF1B4066"/>
      </top>
      <bottom style="medium">
        <color rgb="FF1B4066"/>
      </bottom>
      <diagonal/>
    </border>
    <border diagonalUp="false" diagonalDown="false">
      <left/>
      <right/>
      <top style="medium">
        <color theme="0" tint="-0.15"/>
      </top>
      <bottom style="medium">
        <color theme="0" tint="-0.15"/>
      </bottom>
      <diagonal/>
    </border>
    <border diagonalUp="false" diagonalDown="false">
      <left/>
      <right style="thin">
        <color rgb="FFE9E6E6"/>
      </right>
      <top/>
      <bottom style="thin">
        <color rgb="FFE9E6E6"/>
      </bottom>
      <diagonal/>
    </border>
    <border diagonalUp="false" diagonalDown="false">
      <left/>
      <right style="thin">
        <color theme="0" tint="-0.15"/>
      </right>
      <top style="thin">
        <color theme="0" tint="-0.15"/>
      </top>
      <bottom style="thin">
        <color theme="0" tint="-0.15"/>
      </bottom>
      <diagonal/>
    </border>
    <border diagonalUp="false" diagonalDown="false">
      <left style="thin">
        <color theme="0" tint="-0.15"/>
      </left>
      <right/>
      <top style="thin">
        <color theme="0" tint="-0.15"/>
      </top>
      <bottom style="thin">
        <color theme="0" tint="-0.15"/>
      </bottom>
      <diagonal/>
    </border>
    <border diagonalUp="false" diagonalDown="false">
      <left/>
      <right style="thin">
        <color rgb="FFBFBFBF"/>
      </right>
      <top style="medium">
        <color theme="0" tint="-0.25"/>
      </top>
      <bottom/>
      <diagonal/>
    </border>
    <border diagonalUp="false" diagonalDown="false">
      <left/>
      <right/>
      <top/>
      <bottom style="thin">
        <color rgb="FFE9E6E6"/>
      </bottom>
      <diagonal/>
    </border>
    <border diagonalUp="false" diagonalDown="false">
      <left style="thin">
        <color rgb="FFBEBEBE"/>
      </left>
      <right/>
      <top/>
      <bottom/>
      <diagonal/>
    </border>
    <border diagonalUp="false" diagonalDown="false">
      <left/>
      <right style="thin">
        <color rgb="FFE9E6E6"/>
      </right>
      <top style="thin">
        <color rgb="FFE9E6E6"/>
      </top>
      <bottom style="thin">
        <color rgb="FFE9E6E6"/>
      </bottom>
      <diagonal/>
    </border>
    <border diagonalUp="false" diagonalDown="false">
      <left style="thin">
        <color rgb="FFBEBEBE"/>
      </left>
      <right/>
      <top/>
      <bottom style="thin">
        <color rgb="FFBFBFBF"/>
      </bottom>
      <diagonal/>
    </border>
    <border diagonalUp="false" diagonalDown="false">
      <left/>
      <right style="thin">
        <color theme="0" tint="-0.15"/>
      </right>
      <top/>
      <bottom style="thin">
        <color theme="0" tint="-0.15"/>
      </bottom>
      <diagonal/>
    </border>
    <border diagonalUp="false" diagonalDown="false">
      <left style="thin">
        <color theme="0" tint="-0.15"/>
      </left>
      <right/>
      <top/>
      <bottom style="thin">
        <color theme="0" tint="-0.15"/>
      </bottom>
      <diagonal/>
    </border>
    <border diagonalUp="false" diagonalDown="false">
      <left/>
      <right style="thin">
        <color rgb="FFE9E6E6"/>
      </right>
      <top style="thin">
        <color rgb="FFE9E6E6"/>
      </top>
      <bottom style="thin">
        <color rgb="FF1B4066"/>
      </bottom>
      <diagonal/>
    </border>
    <border diagonalUp="false" diagonalDown="false">
      <left style="thin">
        <color rgb="FFE9E6E6"/>
      </left>
      <right style="thin">
        <color rgb="FFE9E6E6"/>
      </right>
      <top style="thin">
        <color rgb="FFE9E6E6"/>
      </top>
      <bottom style="thin">
        <color rgb="FF1B4066"/>
      </bottom>
      <diagonal/>
    </border>
    <border diagonalUp="false" diagonalDown="false">
      <left/>
      <right/>
      <top style="thin">
        <color rgb="FFE9E6E6"/>
      </top>
      <bottom style="thin">
        <color rgb="FF1B4066"/>
      </bottom>
      <diagonal/>
    </border>
    <border diagonalUp="false" diagonalDown="false">
      <left/>
      <right style="thin">
        <color theme="0" tint="-0.15"/>
      </right>
      <top style="thin">
        <color theme="0" tint="-0.15"/>
      </top>
      <bottom style="thin">
        <color rgb="FF1B4066"/>
      </bottom>
      <diagonal/>
    </border>
    <border diagonalUp="false" diagonalDown="false">
      <left style="thin">
        <color theme="0" tint="-0.15"/>
      </left>
      <right/>
      <top style="thin">
        <color theme="0" tint="-0.15"/>
      </top>
      <bottom style="thin">
        <color rgb="FF1B4066"/>
      </bottom>
      <diagonal/>
    </border>
    <border diagonalUp="false" diagonalDown="false">
      <left style="thin">
        <color rgb="FF1B4066"/>
      </left>
      <right style="thin">
        <color rgb="FF1B4066"/>
      </right>
      <top style="thin">
        <color rgb="FF1B4066"/>
      </top>
      <bottom style="thin">
        <color rgb="FF1B4066"/>
      </bottom>
      <diagonal/>
    </border>
    <border diagonalUp="false" diagonalDown="false">
      <left style="thin">
        <color rgb="FFBFBFBF"/>
      </left>
      <right/>
      <top style="thin">
        <color rgb="FFBFBFBF"/>
      </top>
      <bottom/>
      <diagonal/>
    </border>
    <border diagonalUp="false" diagonalDown="false">
      <left/>
      <right style="thin">
        <color rgb="FFBFBFBF"/>
      </right>
      <top style="thin">
        <color rgb="FFBFBFBF"/>
      </top>
      <bottom/>
      <diagonal/>
    </border>
    <border diagonalUp="false" diagonalDown="false">
      <left style="thin">
        <color rgb="FFBFBFBF"/>
      </left>
      <right/>
      <top/>
      <bottom/>
      <diagonal/>
    </border>
    <border diagonalUp="false" diagonalDown="false">
      <left style="thin">
        <color rgb="FFBFBFBF"/>
      </left>
      <right/>
      <top/>
      <bottom style="thin">
        <color rgb="FFBFBFBF"/>
      </bottom>
      <diagonal/>
    </border>
    <border diagonalUp="false" diagonalDown="false">
      <left/>
      <right style="thin">
        <color rgb="FFE9E6E6"/>
      </right>
      <top style="thin">
        <color rgb="FFE9E6E6"/>
      </top>
      <bottom/>
      <diagonal/>
    </border>
    <border diagonalUp="false" diagonalDown="false">
      <left/>
      <right/>
      <top style="thin">
        <color rgb="FFE9E6E6"/>
      </top>
      <bottom/>
      <diagonal/>
    </border>
    <border diagonalUp="false" diagonalDown="false">
      <left/>
      <right style="thin">
        <color theme="0" tint="-0.15"/>
      </right>
      <top style="thin">
        <color theme="0" tint="-0.15"/>
      </top>
      <bottom/>
      <diagonal/>
    </border>
    <border diagonalUp="false" diagonalDown="false">
      <left style="thin">
        <color theme="0" tint="-0.15"/>
      </left>
      <right/>
      <top style="thin">
        <color theme="0" tint="-0.15"/>
      </top>
      <bottom/>
      <diagonal/>
    </border>
    <border diagonalUp="false" diagonalDown="false">
      <left/>
      <right/>
      <top/>
      <bottom style="thin">
        <color theme="0" tint="-0.25"/>
      </bottom>
      <diagonal/>
    </border>
    <border diagonalUp="false" diagonalDown="false">
      <left/>
      <right style="thin">
        <color rgb="FFE9E6E6"/>
      </right>
      <top/>
      <bottom/>
      <diagonal/>
    </border>
    <border diagonalUp="false" diagonalDown="false">
      <left style="medium"/>
      <right style="medium"/>
      <top style="medium"/>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medium"/>
      <right style="medium"/>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medium"/>
      <right style="medium"/>
      <top/>
      <bottom style="medium"/>
      <diagonal/>
    </border>
    <border diagonalUp="false" diagonalDown="false">
      <left style="medium">
        <color rgb="FFEEEEEE"/>
      </left>
      <right/>
      <top style="medium">
        <color rgb="FFEEEEEE"/>
      </top>
      <bottom style="medium">
        <color rgb="FFEEEEEE"/>
      </bottom>
      <diagonal/>
    </border>
    <border diagonalUp="false" diagonalDown="false">
      <left/>
      <right/>
      <top style="medium">
        <color rgb="FFEEEEEE"/>
      </top>
      <bottom/>
      <diagonal/>
    </border>
    <border diagonalUp="false" diagonalDown="false">
      <left/>
      <right/>
      <top/>
      <bottom style="thick">
        <color theme="0"/>
      </bottom>
      <diagonal/>
    </border>
    <border diagonalUp="false" diagonalDown="false">
      <left style="medium">
        <color rgb="FFD9DCE0"/>
      </left>
      <right style="medium">
        <color rgb="FFD9DCE0"/>
      </right>
      <top style="medium">
        <color rgb="FFD9DCE0"/>
      </top>
      <bottom style="medium">
        <color rgb="FFD9DCE0"/>
      </bottom>
      <diagonal/>
    </border>
    <border diagonalUp="false" diagonalDown="false">
      <left style="hair">
        <color rgb="FFDEE2E6"/>
      </left>
      <right/>
      <top style="hair">
        <color rgb="FFDEE2E6"/>
      </top>
      <bottom/>
      <diagonal/>
    </border>
    <border diagonalUp="false" diagonalDown="false">
      <left/>
      <right/>
      <top style="hair">
        <color rgb="FFDEE2E6"/>
      </top>
      <bottom/>
      <diagonal/>
    </border>
    <border diagonalUp="false" diagonalDown="false">
      <left/>
      <right style="hair">
        <color rgb="FFDEE2E6"/>
      </right>
      <top style="hair">
        <color rgb="FFDEE2E6"/>
      </top>
      <bottom/>
      <diagonal/>
    </border>
    <border diagonalUp="false" diagonalDown="false">
      <left style="medium">
        <color rgb="FFD9DCE0"/>
      </left>
      <right/>
      <top style="medium">
        <color rgb="FFD9DCE0"/>
      </top>
      <bottom/>
      <diagonal/>
    </border>
    <border diagonalUp="false" diagonalDown="false">
      <left/>
      <right/>
      <top style="medium">
        <color rgb="FFD9DCE0"/>
      </top>
      <bottom style="thin">
        <color rgb="FFF2F2F2"/>
      </bottom>
      <diagonal/>
    </border>
    <border diagonalUp="false" diagonalDown="false">
      <left/>
      <right style="medium">
        <color rgb="FFD9DCE0"/>
      </right>
      <top style="medium">
        <color rgb="FFD9DCE0"/>
      </top>
      <bottom style="thin">
        <color rgb="FFF2F2F2"/>
      </bottom>
      <diagonal/>
    </border>
    <border diagonalUp="false" diagonalDown="false">
      <left style="hair">
        <color rgb="FFDEE2E6"/>
      </left>
      <right/>
      <top/>
      <bottom/>
      <diagonal/>
    </border>
    <border diagonalUp="false" diagonalDown="false">
      <left/>
      <right style="hair">
        <color rgb="FFDEE2E6"/>
      </right>
      <top/>
      <bottom/>
      <diagonal/>
    </border>
    <border diagonalUp="false" diagonalDown="false">
      <left style="medium">
        <color rgb="FFD9DCE0"/>
      </left>
      <right/>
      <top style="thin">
        <color theme="2"/>
      </top>
      <bottom/>
      <diagonal/>
    </border>
    <border diagonalUp="false" diagonalDown="false">
      <left/>
      <right style="medium">
        <color rgb="FFD9DCE0"/>
      </right>
      <top/>
      <bottom/>
      <diagonal/>
    </border>
    <border diagonalUp="false" diagonalDown="false">
      <left style="medium">
        <color rgb="FFD9DCE0"/>
      </left>
      <right/>
      <top/>
      <bottom/>
      <diagonal/>
    </border>
    <border diagonalUp="false" diagonalDown="false">
      <left style="hair">
        <color rgb="FFDEE2E6"/>
      </left>
      <right/>
      <top/>
      <bottom style="hair">
        <color rgb="FFDEE2E6"/>
      </bottom>
      <diagonal/>
    </border>
    <border diagonalUp="false" diagonalDown="false">
      <left/>
      <right/>
      <top/>
      <bottom style="hair">
        <color rgb="FFDEE2E6"/>
      </bottom>
      <diagonal/>
    </border>
    <border diagonalUp="false" diagonalDown="false">
      <left/>
      <right style="hair">
        <color rgb="FFDEE2E6"/>
      </right>
      <top/>
      <bottom style="hair">
        <color rgb="FFDEE2E6"/>
      </bottom>
      <diagonal/>
    </border>
    <border diagonalUp="false" diagonalDown="false">
      <left style="medium">
        <color rgb="FFD9DCE0"/>
      </left>
      <right/>
      <top/>
      <bottom style="medium">
        <color rgb="FFD9DCE0"/>
      </bottom>
      <diagonal/>
    </border>
    <border diagonalUp="false" diagonalDown="false">
      <left/>
      <right/>
      <top/>
      <bottom style="medium">
        <color rgb="FFD9DCE0"/>
      </bottom>
      <diagonal/>
    </border>
    <border diagonalUp="false" diagonalDown="false">
      <left/>
      <right style="medium">
        <color rgb="FFD9DCE0"/>
      </right>
      <top/>
      <bottom style="medium">
        <color rgb="FFD9DCE0"/>
      </bottom>
      <diagonal/>
    </border>
    <border diagonalUp="false" diagonalDown="false">
      <left style="thin">
        <color theme="0" tint="-0.25"/>
      </left>
      <right style="thin">
        <color theme="0" tint="-0.25"/>
      </right>
      <top style="medium">
        <color theme="0" tint="-0.25"/>
      </top>
      <bottom style="thin">
        <color theme="0" tint="-0.25"/>
      </bottom>
      <diagonal/>
    </border>
    <border diagonalUp="false" diagonalDown="false">
      <left style="thin">
        <color theme="0" tint="-0.25"/>
      </left>
      <right/>
      <top style="medium">
        <color theme="0" tint="-0.25"/>
      </top>
      <bottom style="thin">
        <color theme="0" tint="-0.25"/>
      </bottom>
      <diagonal/>
    </border>
    <border diagonalUp="false" diagonalDown="false">
      <left/>
      <right/>
      <top style="medium">
        <color theme="0" tint="-0.25"/>
      </top>
      <bottom style="thin">
        <color theme="0" tint="-0.25"/>
      </bottom>
      <diagonal/>
    </border>
    <border diagonalUp="false" diagonalDown="false">
      <left/>
      <right style="medium">
        <color theme="0" tint="-0.25"/>
      </right>
      <top style="medium">
        <color theme="0" tint="-0.25"/>
      </top>
      <bottom style="thin">
        <color theme="0" tint="-0.2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35"/>
      </left>
      <right/>
      <top/>
      <bottom style="mediumDashed">
        <color theme="0" tint="-0.35"/>
      </bottom>
      <diagonal/>
    </border>
    <border diagonalUp="false" diagonalDown="false">
      <left style="thin">
        <color theme="0" tint="-0.15"/>
      </left>
      <right/>
      <top style="thin">
        <color theme="0" tint="-0.15"/>
      </top>
      <bottom style="thin">
        <color rgb="FFF2F2F2"/>
      </bottom>
      <diagonal/>
    </border>
    <border diagonalUp="false" diagonalDown="false">
      <left/>
      <right/>
      <top style="thin">
        <color theme="0" tint="-0.15"/>
      </top>
      <bottom style="thin">
        <color rgb="FFF2F2F2"/>
      </bottom>
      <diagonal/>
    </border>
    <border diagonalUp="false" diagonalDown="false">
      <left/>
      <right style="thin">
        <color theme="0" tint="-0.15"/>
      </right>
      <top style="thin">
        <color theme="0" tint="-0.15"/>
      </top>
      <bottom style="thin">
        <color rgb="FFF2F2F2"/>
      </bottom>
      <diagonal/>
    </border>
    <border diagonalUp="false" diagonalDown="false">
      <left/>
      <right/>
      <top style="thin">
        <color theme="0" tint="-0.25"/>
      </top>
      <bottom/>
      <diagonal/>
    </border>
    <border diagonalUp="false" diagonalDown="false">
      <left/>
      <right style="medium">
        <color theme="0" tint="-0.25"/>
      </right>
      <top style="thin">
        <color theme="0" tint="-0.25"/>
      </top>
      <bottom/>
      <diagonal/>
    </border>
    <border diagonalUp="false" diagonalDown="false">
      <left style="thin">
        <color theme="0" tint="-0.35"/>
      </left>
      <right style="thin">
        <color theme="0" tint="-0.35"/>
      </right>
      <top/>
      <bottom style="thin">
        <color theme="0" tint="-0.35"/>
      </bottom>
      <diagonal/>
    </border>
    <border diagonalUp="false" diagonalDown="false">
      <left/>
      <right style="mediumDashed">
        <color theme="0" tint="-0.35"/>
      </right>
      <top style="mediumDashed">
        <color theme="0" tint="-0.35"/>
      </top>
      <bottom/>
      <diagonal/>
    </border>
    <border diagonalUp="false" diagonalDown="false">
      <left style="mediumDashed">
        <color theme="0" tint="-0.35"/>
      </left>
      <right style="thin">
        <color theme="0" tint="-0.35"/>
      </right>
      <top/>
      <bottom style="mediumDashed">
        <color theme="0" tint="-0.35"/>
      </bottom>
      <diagonal/>
    </border>
    <border diagonalUp="false" diagonalDown="false">
      <left style="thin">
        <color theme="0" tint="-0.15"/>
      </left>
      <right/>
      <top/>
      <bottom style="thin">
        <color rgb="FFF2F2F2"/>
      </bottom>
      <diagonal/>
    </border>
    <border diagonalUp="false" diagonalDown="false">
      <left/>
      <right/>
      <top/>
      <bottom style="thin">
        <color theme="0" tint="-0.05"/>
      </bottom>
      <diagonal/>
    </border>
    <border diagonalUp="false" diagonalDown="false">
      <left/>
      <right style="thin">
        <color theme="0" tint="-0.15"/>
      </right>
      <top/>
      <bottom style="thin">
        <color theme="0" tint="-0.05"/>
      </bottom>
      <diagonal/>
    </border>
    <border diagonalUp="false" diagonalDown="false">
      <left/>
      <right/>
      <top style="thin">
        <color theme="0" tint="-0.35"/>
      </top>
      <bottom style="thin">
        <color theme="0" tint="-0.35"/>
      </bottom>
      <diagonal/>
    </border>
    <border diagonalUp="false" diagonalDown="false">
      <left/>
      <right style="mediumDashed">
        <color theme="0" tint="-0.35"/>
      </right>
      <top/>
      <bottom/>
      <diagonal/>
    </border>
    <border diagonalUp="false" diagonalDown="false">
      <left style="thin">
        <color theme="0" tint="-0.35"/>
      </left>
      <right style="mediumDashed">
        <color theme="0" tint="-0.35"/>
      </right>
      <top/>
      <bottom/>
      <diagonal/>
    </border>
    <border diagonalUp="false" diagonalDown="false">
      <left/>
      <right style="thin">
        <color theme="0" tint="-0.35"/>
      </right>
      <top style="thin">
        <color theme="0" tint="-0.35"/>
      </top>
      <bottom style="thin">
        <color theme="0" tint="-0.35"/>
      </bottom>
      <diagonal/>
    </border>
    <border diagonalUp="false" diagonalDown="false">
      <left style="thin">
        <color theme="0" tint="-0.35"/>
      </left>
      <right style="mediumDashed">
        <color theme="0" tint="-0.35"/>
      </right>
      <top/>
      <bottom style="mediumDashed">
        <color theme="0" tint="-0.35"/>
      </bottom>
      <diagonal/>
    </border>
    <border diagonalUp="false" diagonalDown="false">
      <left/>
      <right style="medium">
        <color theme="0" tint="-0.25"/>
      </right>
      <top/>
      <bottom style="thin">
        <color theme="0" tint="-0.25"/>
      </bottom>
      <diagonal/>
    </border>
    <border diagonalUp="false" diagonalDown="false">
      <left/>
      <right style="thin">
        <color theme="0" tint="-0.35"/>
      </right>
      <top/>
      <bottom style="thin">
        <color theme="0" tint="-0.35"/>
      </bottom>
      <diagonal/>
    </border>
    <border diagonalUp="false" diagonalDown="false">
      <left/>
      <right style="thin">
        <color theme="0" tint="-0.35"/>
      </right>
      <top/>
      <bottom style="mediumDashed">
        <color theme="0" tint="-0.35"/>
      </bottom>
      <diagonal/>
    </border>
    <border diagonalUp="false" diagonalDown="false">
      <left style="thin">
        <color theme="0" tint="-0.35"/>
      </left>
      <right style="mediumDashed">
        <color theme="0" tint="-0.35"/>
      </right>
      <top style="mediumDashed">
        <color theme="0" tint="-0.35"/>
      </top>
      <bottom/>
      <diagonal/>
    </border>
    <border diagonalUp="false" diagonalDown="false">
      <left style="mediumDashed">
        <color rgb="FFA3A3A3"/>
      </left>
      <right/>
      <top style="mediumDashed">
        <color rgb="FFA3A3A3"/>
      </top>
      <bottom/>
      <diagonal/>
    </border>
    <border diagonalUp="false" diagonalDown="false">
      <left/>
      <right/>
      <top style="mediumDashed">
        <color rgb="FFA3A3A3"/>
      </top>
      <bottom/>
      <diagonal/>
    </border>
    <border diagonalUp="false" diagonalDown="false">
      <left style="mediumDashed">
        <color rgb="FFA3A3A3"/>
      </left>
      <right/>
      <top/>
      <bottom/>
      <diagonal/>
    </border>
    <border diagonalUp="false" diagonalDown="false">
      <left style="mediumDashed">
        <color theme="0" tint="-0.35"/>
      </left>
      <right/>
      <top/>
      <bottom style="mediumDashed">
        <color theme="0" tint="-0.35"/>
      </bottom>
      <diagonal/>
    </border>
    <border diagonalUp="false" diagonalDown="false">
      <left/>
      <right/>
      <top/>
      <bottom style="mediumDashed">
        <color theme="0" tint="-0.35"/>
      </bottom>
      <diagonal/>
    </border>
    <border diagonalUp="false" diagonalDown="false">
      <left/>
      <right style="mediumDashed">
        <color rgb="FFA3A3A3"/>
      </right>
      <top/>
      <bottom style="mediumDashed">
        <color rgb="FFA3A3A3"/>
      </bottom>
      <diagonal/>
    </border>
    <border diagonalUp="false" diagonalDown="false">
      <left/>
      <right/>
      <top/>
      <bottom style="thin">
        <color theme="0" tint="-0.15"/>
      </bottom>
      <diagonal/>
    </border>
    <border diagonalUp="false" diagonalDown="false">
      <left style="thin">
        <color rgb="FF1B4066"/>
      </left>
      <right/>
      <top style="thin">
        <color rgb="FF1B4066"/>
      </top>
      <bottom/>
      <diagonal/>
    </border>
    <border diagonalUp="false" diagonalDown="false">
      <left/>
      <right/>
      <top style="thin">
        <color rgb="FF1B4066"/>
      </top>
      <bottom/>
      <diagonal/>
    </border>
    <border diagonalUp="false" diagonalDown="false">
      <left/>
      <right style="thin">
        <color rgb="FF1B4066"/>
      </right>
      <top style="thin">
        <color rgb="FF1B4066"/>
      </top>
      <bottom/>
      <diagonal/>
    </border>
    <border diagonalUp="false" diagonalDown="false">
      <left style="thin">
        <color rgb="FF1B4066"/>
      </left>
      <right/>
      <top/>
      <bottom/>
      <diagonal/>
    </border>
    <border diagonalUp="false" diagonalDown="false">
      <left/>
      <right style="thin">
        <color rgb="FF1B4066"/>
      </right>
      <top/>
      <bottom/>
      <diagonal/>
    </border>
    <border diagonalUp="false" diagonalDown="false">
      <left style="thin">
        <color rgb="FF1B4066"/>
      </left>
      <right/>
      <top/>
      <bottom style="thin">
        <color rgb="FF1B4066"/>
      </bottom>
      <diagonal/>
    </border>
    <border diagonalUp="false" diagonalDown="false">
      <left/>
      <right/>
      <top/>
      <bottom style="thin">
        <color rgb="FF1B4066"/>
      </bottom>
      <diagonal/>
    </border>
    <border diagonalUp="false" diagonalDown="false">
      <left/>
      <right style="thin">
        <color rgb="FF1B4066"/>
      </right>
      <top/>
      <bottom style="thin">
        <color rgb="FF1B4066"/>
      </bottom>
      <diagonal/>
    </border>
    <border diagonalUp="false" diagonalDown="false">
      <left style="thin">
        <color theme="0" tint="-0.25"/>
      </left>
      <right style="thin">
        <color theme="0" tint="-0.25"/>
      </right>
      <top/>
      <bottom/>
      <diagonal/>
    </border>
    <border diagonalUp="false" diagonalDown="false">
      <left style="thin">
        <color rgb="FF1B4066"/>
      </left>
      <right/>
      <top style="thin">
        <color rgb="FF1B4066"/>
      </top>
      <bottom style="thin">
        <color rgb="FF1B4066"/>
      </bottom>
      <diagonal/>
    </border>
    <border diagonalUp="false" diagonalDown="false">
      <left/>
      <right/>
      <top style="thin">
        <color rgb="FF1B4066"/>
      </top>
      <bottom style="thin">
        <color rgb="FF1B4066"/>
      </bottom>
      <diagonal/>
    </border>
    <border diagonalUp="false" diagonalDown="false">
      <left/>
      <right style="thin">
        <color rgb="FF1B4066"/>
      </right>
      <top style="thin">
        <color rgb="FF1B4066"/>
      </top>
      <bottom style="thin">
        <color rgb="FF1B4066"/>
      </bottom>
      <diagonal/>
    </border>
    <border diagonalUp="false" diagonalDown="false">
      <left style="medium">
        <color theme="0"/>
      </left>
      <right/>
      <top style="medium">
        <color theme="0"/>
      </top>
      <bottom style="medium">
        <color theme="0" tint="-0.5"/>
      </bottom>
      <diagonal/>
    </border>
    <border diagonalUp="false" diagonalDown="false">
      <left style="medium">
        <color theme="0"/>
      </left>
      <right style="medium">
        <color theme="0" tint="-0.5"/>
      </right>
      <top style="medium">
        <color theme="0"/>
      </top>
      <bottom style="medium">
        <color theme="0" tint="-0.5"/>
      </bottom>
      <diagonal/>
    </border>
    <border diagonalUp="false" diagonalDown="false">
      <left style="medium">
        <color theme="3" tint="-0.5"/>
      </left>
      <right style="medium">
        <color theme="3" tint="-0.5"/>
      </right>
      <top style="medium">
        <color theme="3" tint="-0.5"/>
      </top>
      <bottom style="medium">
        <color theme="3" tint="-0.5"/>
      </bottom>
      <diagonal/>
    </border>
    <border diagonalUp="false" diagonalDown="false">
      <left/>
      <right/>
      <top style="thin">
        <color rgb="FFEEEEEE"/>
      </top>
      <bottom/>
      <diagonal/>
    </border>
    <border diagonalUp="false" diagonalDown="false">
      <left style="thin">
        <color rgb="FFF2F4F6"/>
      </left>
      <right/>
      <top/>
      <bottom/>
      <diagonal/>
    </border>
    <border diagonalUp="false" diagonalDown="false">
      <left style="thin">
        <color rgb="FFF2F4F6"/>
      </left>
      <right/>
      <top/>
      <bottom style="thin">
        <color rgb="FFF2F4F6"/>
      </bottom>
      <diagonal/>
    </border>
    <border diagonalUp="false" diagonalDown="false">
      <left/>
      <right/>
      <top/>
      <bottom style="thin">
        <color rgb="FFF2F4F6"/>
      </bottom>
      <diagonal/>
    </border>
  </borders>
  <cellStyleXfs count="30">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816">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6" fillId="2" borderId="0" xfId="0" applyFont="true" applyBorder="false" applyAlignment="true" applyProtection="true">
      <alignment horizontal="general" vertical="bottom" textRotation="0" wrapText="false" indent="0" shrinkToFit="false"/>
      <protection locked="true" hidden="true"/>
    </xf>
    <xf numFmtId="165" fontId="7" fillId="2" borderId="0" xfId="0" applyFont="true" applyBorder="false" applyAlignment="tru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center" textRotation="0" wrapText="false" indent="0" shrinkToFit="false"/>
      <protection locked="true" hidden="true"/>
    </xf>
    <xf numFmtId="165" fontId="8" fillId="2" borderId="0" xfId="0" applyFont="true" applyBorder="true" applyAlignment="true" applyProtection="true">
      <alignment horizontal="center" vertical="center" textRotation="0" wrapText="false" indent="0" shrinkToFit="false"/>
      <protection locked="true" hidden="true"/>
    </xf>
    <xf numFmtId="165" fontId="9" fillId="2" borderId="0" xfId="20" applyFont="true" applyBorder="true" applyAlignment="true" applyProtection="true">
      <alignment horizontal="general" vertical="bottom" textRotation="0" wrapText="false" indent="0" shrinkToFit="false"/>
      <protection locked="true" hidden="true"/>
    </xf>
    <xf numFmtId="165" fontId="10" fillId="2" borderId="0" xfId="0" applyFont="true" applyBorder="false" applyAlignment="tru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false" indent="0" shrinkToFit="false"/>
      <protection locked="true" hidden="true"/>
    </xf>
    <xf numFmtId="165" fontId="11" fillId="2" borderId="0" xfId="0" applyFont="true" applyBorder="false" applyAlignment="true" applyProtection="true">
      <alignment horizontal="center"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true" indent="0" shrinkToFit="false"/>
      <protection locked="true" hidden="true"/>
    </xf>
    <xf numFmtId="165" fontId="12" fillId="2" borderId="0" xfId="0" applyFont="true" applyBorder="false" applyAlignment="true" applyProtection="true">
      <alignment horizontal="left" vertical="center" textRotation="0" wrapText="false" indent="0" shrinkToFit="false"/>
      <protection locked="true" hidden="true"/>
    </xf>
    <xf numFmtId="165" fontId="13" fillId="3" borderId="1" xfId="0" applyFont="true" applyBorder="true" applyAlignment="true" applyProtection="true">
      <alignment horizontal="left" vertical="center" textRotation="0" wrapText="false" indent="0" shrinkToFit="false"/>
      <protection locked="false" hidden="true"/>
    </xf>
    <xf numFmtId="165" fontId="14" fillId="4" borderId="2" xfId="0" applyFont="true" applyBorder="true" applyAlignment="true" applyProtection="true">
      <alignment horizontal="center" vertical="center" textRotation="0" wrapText="false" indent="0" shrinkToFit="false"/>
      <protection locked="true" hidden="true"/>
    </xf>
    <xf numFmtId="165" fontId="12" fillId="2" borderId="0" xfId="0" applyFont="true" applyBorder="false" applyAlignment="true" applyProtection="true">
      <alignment horizontal="left" vertical="bottom" textRotation="0" wrapText="false" indent="0" shrinkToFit="false"/>
      <protection locked="true" hidden="true"/>
    </xf>
    <xf numFmtId="165" fontId="15" fillId="2" borderId="0" xfId="0" applyFont="true" applyBorder="false" applyAlignment="true" applyProtection="true">
      <alignment horizontal="general" vertical="bottom" textRotation="0" wrapText="false" indent="0" shrinkToFit="false"/>
      <protection locked="true" hidden="true"/>
    </xf>
    <xf numFmtId="165" fontId="16" fillId="2" borderId="0" xfId="20" applyFont="true" applyBorder="true" applyAlignment="true" applyProtection="true">
      <alignment horizontal="general" vertical="center" textRotation="0" wrapText="true" indent="0" shrinkToFit="false"/>
      <protection locked="true" hidden="true"/>
    </xf>
    <xf numFmtId="165" fontId="16" fillId="2" borderId="0" xfId="20" applyFont="true" applyBorder="true" applyAlignment="true" applyProtection="true">
      <alignment horizontal="general" vertical="center" textRotation="0" wrapText="false" indent="0" shrinkToFit="false"/>
      <protection locked="true" hidden="true"/>
    </xf>
    <xf numFmtId="165" fontId="17" fillId="2" borderId="0" xfId="0" applyFont="true" applyBorder="false" applyAlignment="true" applyProtection="true">
      <alignment horizontal="general" vertical="bottom" textRotation="0" wrapText="false" indent="0" shrinkToFit="false"/>
      <protection locked="true" hidden="true"/>
    </xf>
    <xf numFmtId="165" fontId="18" fillId="2" borderId="0" xfId="20" applyFont="true" applyBorder="true" applyAlignment="true" applyProtection="true">
      <alignment horizontal="center" vertical="center" textRotation="0" wrapText="true" indent="0" shrinkToFit="false"/>
      <protection locked="true" hidden="true"/>
    </xf>
    <xf numFmtId="165" fontId="19" fillId="2" borderId="0" xfId="0" applyFont="true" applyBorder="false" applyAlignment="true" applyProtection="true">
      <alignment horizontal="center" vertical="center" textRotation="0" wrapText="false" indent="0" shrinkToFit="false"/>
      <protection locked="true" hidden="true"/>
    </xf>
    <xf numFmtId="165" fontId="20" fillId="2" borderId="0" xfId="0" applyFont="true" applyBorder="false" applyAlignment="true" applyProtection="true">
      <alignment horizontal="center" vertical="center" textRotation="0" wrapText="false" indent="0" shrinkToFit="false"/>
      <protection locked="true" hidden="true"/>
    </xf>
    <xf numFmtId="165" fontId="21" fillId="2" borderId="0" xfId="0" applyFont="true" applyBorder="false" applyAlignment="true" applyProtection="true">
      <alignment horizontal="center" vertical="center" textRotation="0" wrapText="false" indent="0" shrinkToFit="false"/>
      <protection locked="true" hidden="true"/>
    </xf>
    <xf numFmtId="165" fontId="22" fillId="2" borderId="0" xfId="0" applyFont="true" applyBorder="false" applyAlignment="true" applyProtection="true">
      <alignment horizontal="center" vertical="bottom" textRotation="0" wrapText="false" indent="0" shrinkToFit="false"/>
      <protection locked="true" hidden="false"/>
    </xf>
    <xf numFmtId="165" fontId="18" fillId="2" borderId="0" xfId="20" applyFont="true" applyBorder="true" applyAlignment="true" applyProtection="true">
      <alignment horizontal="left" vertical="center" textRotation="0" wrapText="false" indent="0" shrinkToFit="false"/>
      <protection locked="true" hidden="true"/>
    </xf>
    <xf numFmtId="165" fontId="23" fillId="2" borderId="3" xfId="20" applyFont="true" applyBorder="true" applyAlignment="true" applyProtection="true">
      <alignment horizontal="general" vertical="center" textRotation="0" wrapText="false" indent="0" shrinkToFit="false"/>
      <protection locked="true" hidden="true"/>
    </xf>
    <xf numFmtId="165" fontId="24" fillId="2" borderId="0" xfId="20" applyFont="true" applyBorder="true" applyAlignment="true" applyProtection="true">
      <alignment horizontal="left" vertical="center" textRotation="0" wrapText="true" indent="0" shrinkToFit="false"/>
      <protection locked="true" hidden="true"/>
    </xf>
    <xf numFmtId="165" fontId="15" fillId="2" borderId="0" xfId="0" applyFont="true" applyBorder="false" applyAlignment="true" applyProtection="true">
      <alignment horizontal="center" vertical="center" textRotation="0" wrapText="false" indent="0" shrinkToFit="false"/>
      <protection locked="true" hidden="true"/>
    </xf>
    <xf numFmtId="166" fontId="25" fillId="2" borderId="0" xfId="0" applyFont="true" applyBorder="false" applyAlignment="true" applyProtection="true">
      <alignment horizontal="general" vertical="bottom" textRotation="0" wrapText="false" indent="0" shrinkToFit="false"/>
      <protection locked="true" hidden="false"/>
    </xf>
    <xf numFmtId="165" fontId="22" fillId="2" borderId="0" xfId="0" applyFont="true" applyBorder="false" applyAlignment="true" applyProtection="true">
      <alignment horizontal="general" vertical="bottom" textRotation="0" wrapText="false" indent="0" shrinkToFit="false"/>
      <protection locked="true" hidden="false"/>
    </xf>
    <xf numFmtId="165" fontId="26" fillId="0" borderId="0" xfId="0" applyFont="true" applyBorder="false" applyAlignment="true" applyProtection="true">
      <alignment horizontal="general" vertical="bottom" textRotation="0" wrapText="false" indent="0" shrinkToFit="false"/>
      <protection locked="true" hidden="true"/>
    </xf>
    <xf numFmtId="165" fontId="26" fillId="0" borderId="0" xfId="0" applyFont="true" applyBorder="false" applyAlignment="true" applyProtection="true">
      <alignment horizontal="general" vertical="bottom" textRotation="0" wrapText="false" indent="0" shrinkToFit="false"/>
      <protection locked="true" hidden="false"/>
    </xf>
    <xf numFmtId="165" fontId="25" fillId="0" borderId="0" xfId="0" applyFont="true" applyBorder="false" applyAlignment="true" applyProtection="true">
      <alignment horizontal="general" vertical="bottom" textRotation="0" wrapText="false" indent="0" shrinkToFit="false"/>
      <protection locked="true" hidden="false"/>
    </xf>
    <xf numFmtId="165" fontId="25" fillId="0" borderId="0" xfId="0" applyFont="true" applyBorder="false" applyAlignment="true" applyProtection="true">
      <alignment horizontal="center" vertical="bottom" textRotation="0" wrapText="false" indent="0" shrinkToFit="false"/>
      <protection locked="true" hidden="false"/>
    </xf>
    <xf numFmtId="165" fontId="25" fillId="0" borderId="0" xfId="0" applyFont="true" applyBorder="false" applyAlignment="true" applyProtection="true">
      <alignment horizontal="center" vertical="bottom" textRotation="0" wrapText="false" indent="0" shrinkToFit="false"/>
      <protection locked="true" hidden="true"/>
    </xf>
    <xf numFmtId="165" fontId="0" fillId="0" borderId="0" xfId="0" applyFont="false" applyBorder="fals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true"/>
    </xf>
    <xf numFmtId="165" fontId="26"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true"/>
    </xf>
    <xf numFmtId="167" fontId="27" fillId="0" borderId="0" xfId="0" applyFont="true" applyBorder="false" applyAlignment="true" applyProtection="true">
      <alignment horizontal="general" vertical="center" textRotation="0" wrapText="false" indent="0" shrinkToFit="false"/>
      <protection locked="true" hidden="true"/>
    </xf>
    <xf numFmtId="165" fontId="6" fillId="2" borderId="0" xfId="0" applyFont="true" applyBorder="false" applyAlignment="true" applyProtection="true">
      <alignment horizontal="general" vertical="center" textRotation="0" wrapText="false" indent="0" shrinkToFit="false"/>
      <protection locked="true" hidden="false"/>
    </xf>
    <xf numFmtId="165" fontId="28" fillId="2" borderId="0" xfId="0" applyFont="true" applyBorder="true" applyAlignment="true" applyProtection="true">
      <alignment horizontal="center" vertical="center" textRotation="0" wrapText="false" indent="0" shrinkToFit="false"/>
      <protection locked="true" hidden="true"/>
    </xf>
    <xf numFmtId="165" fontId="29" fillId="2" borderId="0" xfId="0" applyFont="true" applyBorder="false" applyAlignment="true" applyProtection="true">
      <alignment horizontal="general" vertical="center" textRotation="0" wrapText="false" indent="0" shrinkToFit="false"/>
      <protection locked="true" hidden="true"/>
    </xf>
    <xf numFmtId="165" fontId="30" fillId="2" borderId="0" xfId="0" applyFont="true" applyBorder="false" applyAlignment="true" applyProtection="true">
      <alignment horizontal="general" vertical="center" textRotation="0" wrapText="false" indent="0" shrinkToFit="false"/>
      <protection locked="true" hidden="true"/>
    </xf>
    <xf numFmtId="167" fontId="26" fillId="0" borderId="0" xfId="0" applyFont="true" applyBorder="false" applyAlignment="true" applyProtection="true">
      <alignment horizontal="general" vertical="center" textRotation="0" wrapText="false" indent="0" shrinkToFit="false"/>
      <protection locked="true" hidden="true"/>
    </xf>
    <xf numFmtId="165" fontId="31" fillId="0" borderId="0" xfId="0" applyFont="true" applyBorder="false" applyAlignment="true" applyProtection="true">
      <alignment horizontal="general" vertical="center" textRotation="0" wrapText="false" indent="0" shrinkToFit="false"/>
      <protection locked="true" hidden="true"/>
    </xf>
    <xf numFmtId="165" fontId="6" fillId="2" borderId="0" xfId="0" applyFont="true" applyBorder="false" applyAlignment="true" applyProtection="true">
      <alignment horizontal="general" vertical="bottom" textRotation="0" wrapText="false" indent="0" shrinkToFit="false"/>
      <protection locked="true" hidden="false"/>
    </xf>
    <xf numFmtId="165" fontId="29" fillId="2" borderId="0" xfId="0" applyFont="true" applyBorder="false" applyAlignment="true" applyProtection="true">
      <alignment horizontal="center" vertical="center" textRotation="0" wrapText="false" indent="0" shrinkToFit="false"/>
      <protection locked="true" hidden="true"/>
    </xf>
    <xf numFmtId="165" fontId="29" fillId="2" borderId="0" xfId="0" applyFont="true" applyBorder="false" applyAlignment="true" applyProtection="true">
      <alignment horizontal="center" vertical="center" textRotation="0" wrapText="false" indent="0" shrinkToFit="false"/>
      <protection locked="true" hidden="false"/>
    </xf>
    <xf numFmtId="165" fontId="29" fillId="2" borderId="0" xfId="0" applyFont="true" applyBorder="false" applyAlignment="true" applyProtection="true">
      <alignment horizontal="general" vertical="bottom" textRotation="0" wrapText="false" indent="0" shrinkToFit="false"/>
      <protection locked="true" hidden="true"/>
    </xf>
    <xf numFmtId="165" fontId="30" fillId="2" borderId="0" xfId="0" applyFont="true" applyBorder="false" applyAlignment="true" applyProtection="true">
      <alignment horizontal="general" vertical="bottom" textRotation="0" wrapText="false" indent="0" shrinkToFit="false"/>
      <protection locked="true" hidden="true"/>
    </xf>
    <xf numFmtId="165" fontId="30" fillId="2" borderId="0" xfId="0" applyFont="true" applyBorder="false" applyAlignment="true" applyProtection="true">
      <alignment horizontal="center" vertical="bottom" textRotation="0" wrapText="false" indent="0" shrinkToFit="false"/>
      <protection locked="true" hidden="true"/>
    </xf>
    <xf numFmtId="165" fontId="29" fillId="2" borderId="0" xfId="0" applyFont="true" applyBorder="false" applyAlignment="true" applyProtection="true">
      <alignment horizontal="left" vertical="bottom" textRotation="0" wrapText="false" indent="0" shrinkToFit="false"/>
      <protection locked="true" hidden="true"/>
    </xf>
    <xf numFmtId="165" fontId="27" fillId="2" borderId="0" xfId="0" applyFont="true" applyBorder="false" applyAlignment="true" applyProtection="true">
      <alignment horizontal="center" vertical="bottom" textRotation="0" wrapText="false" indent="0" shrinkToFit="false"/>
      <protection locked="true" hidden="true"/>
    </xf>
    <xf numFmtId="165" fontId="29" fillId="2" borderId="0" xfId="0" applyFont="true" applyBorder="false" applyAlignment="true" applyProtection="true">
      <alignment horizontal="center" vertical="bottom" textRotation="0" wrapText="false" indent="0" shrinkToFit="false"/>
      <protection locked="true" hidden="true"/>
    </xf>
    <xf numFmtId="167" fontId="26" fillId="0" borderId="0" xfId="0" applyFont="true" applyBorder="false" applyAlignment="true" applyProtection="true">
      <alignment horizontal="general" vertical="bottom" textRotation="0" wrapText="false" indent="0" shrinkToFit="false"/>
      <protection locked="true" hidden="true"/>
    </xf>
    <xf numFmtId="167" fontId="26" fillId="0" borderId="0" xfId="0" applyFont="true" applyBorder="false" applyAlignment="true" applyProtection="true">
      <alignment horizontal="general" vertical="bottom" textRotation="0" wrapText="true" indent="0" shrinkToFit="false"/>
      <protection locked="true" hidden="true"/>
    </xf>
    <xf numFmtId="165" fontId="31" fillId="0" borderId="0" xfId="0" applyFont="true" applyBorder="false" applyAlignment="true" applyProtection="true">
      <alignment horizontal="general" vertical="bottom" textRotation="0" wrapText="false" indent="0" shrinkToFit="false"/>
      <protection locked="true" hidden="true"/>
    </xf>
    <xf numFmtId="167" fontId="27" fillId="0" borderId="0" xfId="0" applyFont="true" applyBorder="false" applyAlignment="true" applyProtection="true">
      <alignment horizontal="center" vertical="top" textRotation="0" wrapText="false" indent="0" shrinkToFit="false"/>
      <protection locked="true" hidden="false"/>
    </xf>
    <xf numFmtId="165" fontId="29" fillId="5" borderId="4" xfId="0" applyFont="true" applyBorder="true" applyAlignment="true" applyProtection="true">
      <alignment horizontal="left" vertical="top" textRotation="0" wrapText="false" indent="0" shrinkToFit="false"/>
      <protection locked="true" hidden="false"/>
    </xf>
    <xf numFmtId="165" fontId="32" fillId="5" borderId="5" xfId="0" applyFont="true" applyBorder="true" applyAlignment="true" applyProtection="true">
      <alignment horizontal="center" vertical="top" textRotation="0" wrapText="false" indent="0" shrinkToFit="false"/>
      <protection locked="true" hidden="false"/>
    </xf>
    <xf numFmtId="165" fontId="32" fillId="5" borderId="5" xfId="0" applyFont="true" applyBorder="true" applyAlignment="true" applyProtection="true">
      <alignment horizontal="center" vertical="bottom" textRotation="0" wrapText="false" indent="0" shrinkToFit="false"/>
      <protection locked="true" hidden="false"/>
    </xf>
    <xf numFmtId="165" fontId="32" fillId="5" borderId="5" xfId="0" applyFont="true" applyBorder="true" applyAlignment="true" applyProtection="true">
      <alignment horizontal="right" vertical="bottom" textRotation="0" wrapText="false" indent="0" shrinkToFit="false"/>
      <protection locked="true" hidden="false"/>
    </xf>
    <xf numFmtId="165" fontId="32" fillId="5" borderId="5" xfId="0" applyFont="true" applyBorder="true" applyAlignment="true" applyProtection="true">
      <alignment horizontal="left" vertical="bottom" textRotation="0" wrapText="false" indent="0" shrinkToFit="false"/>
      <protection locked="true" hidden="false"/>
    </xf>
    <xf numFmtId="165" fontId="32" fillId="5" borderId="6" xfId="0" applyFont="true" applyBorder="true" applyAlignment="true" applyProtection="true">
      <alignment horizontal="left" vertical="bottom" textRotation="0" wrapText="false" indent="0" shrinkToFit="false"/>
      <protection locked="true" hidden="false"/>
    </xf>
    <xf numFmtId="165" fontId="33" fillId="2" borderId="0" xfId="0" applyFont="true" applyBorder="false" applyAlignment="true" applyProtection="true">
      <alignment horizontal="general" vertical="bottom" textRotation="0" wrapText="false" indent="0" shrinkToFit="false"/>
      <protection locked="true" hidden="true"/>
    </xf>
    <xf numFmtId="165" fontId="34" fillId="2" borderId="0" xfId="0" applyFont="true" applyBorder="false" applyAlignment="true" applyProtection="true">
      <alignment horizontal="general" vertical="bottom" textRotation="0" wrapText="false" indent="0" shrinkToFit="false"/>
      <protection locked="true" hidden="true"/>
    </xf>
    <xf numFmtId="165" fontId="35" fillId="2" borderId="0" xfId="0" applyFont="true" applyBorder="false" applyAlignment="true" applyProtection="true">
      <alignment horizontal="left" vertical="bottom" textRotation="0" wrapText="false" indent="0" shrinkToFit="false"/>
      <protection locked="true" hidden="true"/>
    </xf>
    <xf numFmtId="165" fontId="34" fillId="2" borderId="0" xfId="0" applyFont="true" applyBorder="false" applyAlignment="true" applyProtection="true">
      <alignment horizontal="center" vertical="bottom" textRotation="0" wrapText="false" indent="0" shrinkToFit="false"/>
      <protection locked="true" hidden="true"/>
    </xf>
    <xf numFmtId="165" fontId="36" fillId="2" borderId="0" xfId="0" applyFont="true" applyBorder="false" applyAlignment="true" applyProtection="true">
      <alignment horizontal="right" vertical="center" textRotation="0" wrapText="false" indent="0" shrinkToFit="false"/>
      <protection locked="true" hidden="true"/>
    </xf>
    <xf numFmtId="165" fontId="37" fillId="3" borderId="1" xfId="0" applyFont="true" applyBorder="true" applyAlignment="true" applyProtection="true">
      <alignment horizontal="center" vertical="center" textRotation="0" wrapText="false" indent="0" shrinkToFit="false"/>
      <protection locked="false" hidden="true"/>
    </xf>
    <xf numFmtId="167" fontId="27" fillId="0" borderId="0" xfId="0" applyFont="true" applyBorder="false" applyAlignment="true" applyProtection="true">
      <alignment horizontal="left" vertical="center" textRotation="0" wrapText="false" indent="0" shrinkToFit="false"/>
      <protection locked="true" hidden="true"/>
    </xf>
    <xf numFmtId="167" fontId="27" fillId="0" borderId="0" xfId="0" applyFont="true" applyBorder="false" applyAlignment="true" applyProtection="true">
      <alignment horizontal="center" vertical="center" textRotation="0" wrapText="false" indent="0" shrinkToFit="false"/>
      <protection locked="true" hidden="true"/>
    </xf>
    <xf numFmtId="166" fontId="38" fillId="5" borderId="7" xfId="0" applyFont="true" applyBorder="true" applyAlignment="true" applyProtection="true">
      <alignment horizontal="center" vertical="center" textRotation="2" wrapText="false" indent="0" shrinkToFit="false"/>
      <protection locked="true" hidden="true"/>
    </xf>
    <xf numFmtId="166" fontId="36" fillId="6" borderId="0" xfId="0" applyFont="true" applyBorder="false" applyAlignment="true" applyProtection="true">
      <alignment horizontal="center" vertical="center" textRotation="0" wrapText="false" indent="0" shrinkToFit="false"/>
      <protection locked="true" hidden="true"/>
    </xf>
    <xf numFmtId="168" fontId="36" fillId="6" borderId="0" xfId="0" applyFont="true" applyBorder="false" applyAlignment="true" applyProtection="true">
      <alignment horizontal="center" vertical="center" textRotation="0" wrapText="false" indent="0" shrinkToFit="false"/>
      <protection locked="true" hidden="true"/>
    </xf>
    <xf numFmtId="166" fontId="36" fillId="6" borderId="8" xfId="0" applyFont="true" applyBorder="true" applyAlignment="true" applyProtection="true">
      <alignment horizontal="center" vertical="center" textRotation="0" wrapText="false" indent="0" shrinkToFit="false"/>
      <protection locked="true" hidden="true"/>
    </xf>
    <xf numFmtId="165" fontId="22" fillId="6" borderId="0" xfId="0" applyFont="true" applyBorder="false" applyAlignment="true" applyProtection="true">
      <alignment horizontal="right" vertical="bottom" textRotation="0" wrapText="false" indent="0" shrinkToFit="false"/>
      <protection locked="true" hidden="true"/>
    </xf>
    <xf numFmtId="165" fontId="22" fillId="6" borderId="8" xfId="0" applyFont="true" applyBorder="true" applyAlignment="true" applyProtection="true">
      <alignment horizontal="center" vertical="center" textRotation="0" wrapText="true" indent="0" shrinkToFit="false"/>
      <protection locked="true" hidden="true"/>
    </xf>
    <xf numFmtId="165" fontId="22" fillId="6" borderId="9" xfId="0" applyFont="true" applyBorder="true" applyAlignment="true" applyProtection="true">
      <alignment horizontal="center" vertical="bottom" textRotation="0" wrapText="false" indent="0" shrinkToFit="false"/>
      <protection locked="false" hidden="false"/>
    </xf>
    <xf numFmtId="165" fontId="22" fillId="6" borderId="10" xfId="0" applyFont="true" applyBorder="true" applyAlignment="true" applyProtection="true">
      <alignment horizontal="center" vertical="bottom" textRotation="0" wrapText="false" indent="0" shrinkToFit="false"/>
      <protection locked="false" hidden="false"/>
    </xf>
    <xf numFmtId="165" fontId="22" fillId="6" borderId="0" xfId="0" applyFont="true" applyBorder="false" applyAlignment="true" applyProtection="true">
      <alignment horizontal="center" vertical="bottom" textRotation="0" wrapText="true" indent="0" shrinkToFit="false"/>
      <protection locked="true" hidden="true"/>
    </xf>
    <xf numFmtId="165" fontId="22" fillId="6" borderId="11" xfId="0" applyFont="true" applyBorder="true" applyAlignment="true" applyProtection="true">
      <alignment horizontal="left" vertical="bottom" textRotation="0" wrapText="false" indent="0" shrinkToFit="false"/>
      <protection locked="true" hidden="true"/>
    </xf>
    <xf numFmtId="165" fontId="39" fillId="2" borderId="0" xfId="0" applyFont="true" applyBorder="fals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left" vertical="center" textRotation="0" wrapText="false" indent="0" shrinkToFit="false"/>
      <protection locked="true" hidden="true"/>
    </xf>
    <xf numFmtId="165" fontId="25" fillId="2" borderId="0" xfId="0" applyFont="true" applyBorder="false" applyAlignment="true" applyProtection="true">
      <alignment horizontal="general" vertical="bottom" textRotation="0" wrapText="false" indent="0" shrinkToFit="false"/>
      <protection locked="true" hidden="true"/>
    </xf>
    <xf numFmtId="165" fontId="32" fillId="5" borderId="12" xfId="0" applyFont="true" applyBorder="true" applyAlignment="true" applyProtection="true">
      <alignment horizontal="center" vertical="bottom" textRotation="0" wrapText="false" indent="0" shrinkToFit="false"/>
      <protection locked="true" hidden="true"/>
    </xf>
    <xf numFmtId="165" fontId="41" fillId="2" borderId="0" xfId="0" applyFont="true" applyBorder="false" applyAlignment="true" applyProtection="true">
      <alignment horizontal="general" vertical="center" textRotation="0" wrapText="false" indent="0" shrinkToFit="false"/>
      <protection locked="true" hidden="true"/>
    </xf>
    <xf numFmtId="165" fontId="42" fillId="2" borderId="0" xfId="0" applyFont="true" applyBorder="false" applyAlignment="true" applyProtection="true">
      <alignment horizontal="general" vertical="center" textRotation="0" wrapText="false" indent="0" shrinkToFit="false"/>
      <protection locked="true" hidden="true"/>
    </xf>
    <xf numFmtId="165" fontId="26" fillId="2" borderId="0" xfId="0" applyFont="true" applyBorder="false" applyAlignment="true" applyProtection="true">
      <alignment horizontal="center" vertical="bottom" textRotation="0" wrapText="false" indent="0" shrinkToFit="false"/>
      <protection locked="true" hidden="false"/>
    </xf>
    <xf numFmtId="165" fontId="0" fillId="2" borderId="0" xfId="0" applyFont="false" applyBorder="false" applyAlignment="true" applyProtection="true">
      <alignment horizontal="center" vertical="bottom" textRotation="0" wrapText="false" indent="0" shrinkToFit="false"/>
      <protection locked="true" hidden="false"/>
    </xf>
    <xf numFmtId="167" fontId="26" fillId="0" borderId="0" xfId="0" applyFont="true" applyBorder="false" applyAlignment="true" applyProtection="true">
      <alignment horizontal="center" vertical="bottom" textRotation="0" wrapText="false" indent="0" shrinkToFit="false"/>
      <protection locked="true" hidden="true"/>
    </xf>
    <xf numFmtId="167" fontId="26" fillId="0" borderId="0" xfId="0" applyFont="true" applyBorder="false" applyAlignment="true" applyProtection="true">
      <alignment horizontal="left" vertical="center" textRotation="0" wrapText="false" indent="0" shrinkToFit="false"/>
      <protection locked="true" hidden="true"/>
    </xf>
    <xf numFmtId="165" fontId="32" fillId="5" borderId="13" xfId="0" applyFont="true" applyBorder="true" applyAlignment="true" applyProtection="true">
      <alignment horizontal="center" vertical="center" textRotation="0" wrapText="false" indent="0" shrinkToFit="false"/>
      <protection locked="true" hidden="true"/>
    </xf>
    <xf numFmtId="165" fontId="32" fillId="5" borderId="14" xfId="0" applyFont="true" applyBorder="true" applyAlignment="true" applyProtection="true">
      <alignment horizontal="center" vertical="center" textRotation="0" wrapText="false" indent="0" shrinkToFit="false"/>
      <protection locked="true" hidden="true"/>
    </xf>
    <xf numFmtId="165" fontId="32" fillId="5" borderId="14" xfId="0" applyFont="true" applyBorder="true" applyAlignment="true" applyProtection="true">
      <alignment horizontal="left" vertical="center" textRotation="0" wrapText="false" indent="0" shrinkToFit="false"/>
      <protection locked="true" hidden="true"/>
    </xf>
    <xf numFmtId="165" fontId="32" fillId="5" borderId="15" xfId="0" applyFont="true" applyBorder="true" applyAlignment="true" applyProtection="true">
      <alignment horizontal="center" vertical="center" textRotation="0" wrapText="false" indent="0" shrinkToFit="false"/>
      <protection locked="true" hidden="true"/>
    </xf>
    <xf numFmtId="165" fontId="35" fillId="2" borderId="0" xfId="0" applyFont="true" applyBorder="false" applyAlignment="true" applyProtection="true">
      <alignment horizontal="general" vertical="center" textRotation="0" wrapText="false" indent="0" shrinkToFit="false"/>
      <protection locked="true" hidden="true"/>
    </xf>
    <xf numFmtId="165" fontId="43" fillId="5" borderId="16" xfId="0" applyFont="true" applyBorder="true" applyAlignment="true" applyProtection="true">
      <alignment horizontal="left" vertical="center" textRotation="0" wrapText="false" indent="0" shrinkToFit="false"/>
      <protection locked="true" hidden="true"/>
    </xf>
    <xf numFmtId="165" fontId="43" fillId="5" borderId="17" xfId="0" applyFont="true" applyBorder="true" applyAlignment="true" applyProtection="true">
      <alignment horizontal="center" vertical="center" textRotation="0" wrapText="false" indent="0" shrinkToFit="false"/>
      <protection locked="true" hidden="true"/>
    </xf>
    <xf numFmtId="167" fontId="44" fillId="0" borderId="0" xfId="0" applyFont="true" applyBorder="false" applyAlignment="true" applyProtection="true">
      <alignment horizontal="center" vertical="center" textRotation="0"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false"/>
    </xf>
    <xf numFmtId="167" fontId="27" fillId="0" borderId="0" xfId="0" applyFont="true" applyBorder="false" applyAlignment="true" applyProtection="true">
      <alignment horizontal="center" vertical="bottom" textRotation="0" wrapText="true" indent="0" shrinkToFit="false"/>
      <protection locked="true" hidden="false"/>
    </xf>
    <xf numFmtId="167" fontId="27" fillId="0" borderId="0" xfId="0" applyFont="true" applyBorder="false" applyAlignment="true" applyProtection="true">
      <alignment horizontal="general" vertical="bottom" textRotation="0" wrapText="false" indent="0" shrinkToFit="false"/>
      <protection locked="true" hidden="true"/>
    </xf>
    <xf numFmtId="165" fontId="22" fillId="6" borderId="18" xfId="0" applyFont="true" applyBorder="true" applyAlignment="true" applyProtection="true">
      <alignment horizontal="center" vertical="center" textRotation="0" wrapText="false" indent="0" shrinkToFit="false"/>
      <protection locked="true" hidden="true"/>
    </xf>
    <xf numFmtId="165" fontId="22" fillId="6" borderId="19" xfId="0" applyFont="true" applyBorder="true" applyAlignment="true" applyProtection="true">
      <alignment horizontal="general" vertical="center" textRotation="0" wrapText="true" indent="0" shrinkToFit="false"/>
      <protection locked="true" hidden="true"/>
    </xf>
    <xf numFmtId="165" fontId="22" fillId="6" borderId="19" xfId="0" applyFont="true" applyBorder="true" applyAlignment="true" applyProtection="true">
      <alignment horizontal="left" vertical="center" textRotation="0" wrapText="false" indent="0" shrinkToFit="false"/>
      <protection locked="true" hidden="true"/>
    </xf>
    <xf numFmtId="167" fontId="45" fillId="6" borderId="19" xfId="0" applyFont="true" applyBorder="true" applyAlignment="true" applyProtection="true">
      <alignment horizontal="center" vertical="center" textRotation="0" wrapText="false" indent="0" shrinkToFit="false"/>
      <protection locked="true" hidden="true"/>
    </xf>
    <xf numFmtId="167" fontId="22" fillId="6" borderId="19" xfId="0" applyFont="true" applyBorder="true" applyAlignment="true" applyProtection="true">
      <alignment horizontal="center" vertical="center" textRotation="0" wrapText="false" indent="0" shrinkToFit="false"/>
      <protection locked="true" hidden="true"/>
    </xf>
    <xf numFmtId="167" fontId="22" fillId="6" borderId="20" xfId="0" applyFont="true" applyBorder="true" applyAlignment="true" applyProtection="true">
      <alignment horizontal="center" vertical="center" textRotation="0" wrapText="false" indent="0" shrinkToFit="false"/>
      <protection locked="true" hidden="true"/>
    </xf>
    <xf numFmtId="167" fontId="46" fillId="2" borderId="0" xfId="0" applyFont="true" applyBorder="false" applyAlignment="true" applyProtection="true">
      <alignment horizontal="center" vertical="center" textRotation="0" wrapText="false" indent="0" shrinkToFit="false"/>
      <protection locked="true" hidden="true"/>
    </xf>
    <xf numFmtId="165" fontId="47" fillId="2" borderId="0" xfId="0" applyFont="true" applyBorder="false" applyAlignment="true" applyProtection="true">
      <alignment horizontal="left" vertical="center" textRotation="0" wrapText="false" indent="0" shrinkToFit="false"/>
      <protection locked="true" hidden="true"/>
    </xf>
    <xf numFmtId="165" fontId="40" fillId="2" borderId="0" xfId="0" applyFont="true" applyBorder="false" applyAlignment="true" applyProtection="true">
      <alignment horizontal="center" vertical="center" textRotation="0" wrapText="false" indent="0" shrinkToFit="false"/>
      <protection locked="false" hidden="true"/>
    </xf>
    <xf numFmtId="165" fontId="48" fillId="2" borderId="0" xfId="0" applyFont="true" applyBorder="false" applyAlignment="true" applyProtection="true">
      <alignment horizontal="center" vertical="center" textRotation="0" wrapText="false" indent="0" shrinkToFit="false"/>
      <protection locked="true" hidden="true"/>
    </xf>
    <xf numFmtId="165" fontId="22" fillId="0" borderId="21" xfId="0" applyFont="true" applyBorder="true" applyAlignment="true" applyProtection="true">
      <alignment horizontal="left" vertical="center" textRotation="0" wrapText="false" indent="0" shrinkToFit="false"/>
      <protection locked="true" hidden="true"/>
    </xf>
    <xf numFmtId="165" fontId="22" fillId="0" borderId="22" xfId="0" applyFont="true" applyBorder="true" applyAlignment="true" applyProtection="true">
      <alignment horizontal="center" vertical="center" textRotation="0" wrapText="false" indent="0" shrinkToFit="false"/>
      <protection locked="false" hidden="true"/>
    </xf>
    <xf numFmtId="167" fontId="49" fillId="0" borderId="0" xfId="0" applyFont="true" applyBorder="false" applyAlignment="true" applyProtection="true">
      <alignment horizontal="center" vertical="bottom" textRotation="0" wrapText="false" indent="0" shrinkToFit="false"/>
      <protection locked="true" hidden="true"/>
    </xf>
    <xf numFmtId="167" fontId="26" fillId="0" borderId="0" xfId="0" applyFont="true" applyBorder="false" applyAlignment="true" applyProtection="true">
      <alignment horizontal="center" vertical="center" textRotation="0" wrapText="false" indent="0" shrinkToFit="false"/>
      <protection locked="true" hidden="true"/>
    </xf>
    <xf numFmtId="167" fontId="50" fillId="0" borderId="0" xfId="0" applyFont="true" applyBorder="false" applyAlignment="true" applyProtection="true">
      <alignment horizontal="center" vertical="center" textRotation="0" wrapText="false" indent="0" shrinkToFit="false"/>
      <protection locked="true" hidden="true"/>
    </xf>
    <xf numFmtId="167" fontId="49" fillId="0" borderId="0" xfId="0" applyFont="true" applyBorder="false" applyAlignment="true" applyProtection="true">
      <alignment horizontal="center" vertical="center" textRotation="0" wrapText="false" indent="0" shrinkToFit="false"/>
      <protection locked="true" hidden="true"/>
    </xf>
    <xf numFmtId="167" fontId="26" fillId="0" borderId="0" xfId="0" applyFont="true" applyBorder="false" applyAlignment="true" applyProtection="true">
      <alignment horizontal="general" vertical="bottom" textRotation="0" wrapText="false" indent="0" shrinkToFit="false"/>
      <protection locked="true" hidden="false"/>
    </xf>
    <xf numFmtId="165" fontId="22" fillId="6" borderId="23" xfId="0" applyFont="true" applyBorder="true" applyAlignment="true" applyProtection="true">
      <alignment horizontal="center" vertical="center" textRotation="0" wrapText="false" indent="0" shrinkToFit="false"/>
      <protection locked="true" hidden="true"/>
    </xf>
    <xf numFmtId="165" fontId="22" fillId="6" borderId="0" xfId="0" applyFont="true" applyBorder="false" applyAlignment="true" applyProtection="true">
      <alignment horizontal="general" vertical="center" textRotation="0" wrapText="true" indent="0" shrinkToFit="false"/>
      <protection locked="true" hidden="true"/>
    </xf>
    <xf numFmtId="165" fontId="22" fillId="6" borderId="0" xfId="0" applyFont="true" applyBorder="false" applyAlignment="true" applyProtection="true">
      <alignment horizontal="left" vertical="center" textRotation="0" wrapText="false" indent="0" shrinkToFit="false"/>
      <protection locked="true" hidden="true"/>
    </xf>
    <xf numFmtId="167" fontId="45" fillId="6" borderId="0" xfId="0" applyFont="true" applyBorder="false" applyAlignment="true" applyProtection="true">
      <alignment horizontal="center" vertical="center" textRotation="0" wrapText="false" indent="0" shrinkToFit="false"/>
      <protection locked="true" hidden="true"/>
    </xf>
    <xf numFmtId="167" fontId="22" fillId="6" borderId="0" xfId="0" applyFont="true" applyBorder="false" applyAlignment="true" applyProtection="true">
      <alignment horizontal="center" vertical="center" textRotation="0" wrapText="false" indent="0" shrinkToFit="false"/>
      <protection locked="true" hidden="true"/>
    </xf>
    <xf numFmtId="167" fontId="22" fillId="6" borderId="11" xfId="0" applyFont="true" applyBorder="true" applyAlignment="true" applyProtection="true">
      <alignment horizontal="center" vertical="center" textRotation="0" wrapText="false" indent="0" shrinkToFit="false"/>
      <protection locked="true" hidden="true"/>
    </xf>
    <xf numFmtId="165" fontId="22" fillId="7" borderId="21" xfId="0" applyFont="true" applyBorder="true" applyAlignment="true" applyProtection="true">
      <alignment horizontal="left" vertical="center" textRotation="0" wrapText="false" indent="0" shrinkToFit="false"/>
      <protection locked="true" hidden="true"/>
    </xf>
    <xf numFmtId="165" fontId="22" fillId="7" borderId="22" xfId="0" applyFont="true" applyBorder="true" applyAlignment="true" applyProtection="true">
      <alignment horizontal="center" vertical="center" textRotation="0" wrapText="false" indent="0" shrinkToFit="false"/>
      <protection locked="false" hidden="true"/>
    </xf>
    <xf numFmtId="166" fontId="36" fillId="6" borderId="24" xfId="0" applyFont="true" applyBorder="true" applyAlignment="true" applyProtection="true">
      <alignment horizontal="center" vertical="center" textRotation="0" wrapText="false" indent="0" shrinkToFit="false"/>
      <protection locked="true" hidden="true"/>
    </xf>
    <xf numFmtId="168" fontId="36" fillId="6" borderId="24" xfId="0" applyFont="true" applyBorder="true" applyAlignment="true" applyProtection="true">
      <alignment horizontal="center" vertical="center" textRotation="0" wrapText="false" indent="0" shrinkToFit="false"/>
      <protection locked="true" hidden="true"/>
    </xf>
    <xf numFmtId="166" fontId="36" fillId="6" borderId="25" xfId="0" applyFont="true" applyBorder="true" applyAlignment="true" applyProtection="true">
      <alignment horizontal="center" vertical="center" textRotation="0" wrapText="false" indent="0" shrinkToFit="false"/>
      <protection locked="true" hidden="true"/>
    </xf>
    <xf numFmtId="165" fontId="22" fillId="6" borderId="24" xfId="0" applyFont="true" applyBorder="true" applyAlignment="true" applyProtection="true">
      <alignment horizontal="right" vertical="bottom" textRotation="0" wrapText="false" indent="0" shrinkToFit="false"/>
      <protection locked="true" hidden="true"/>
    </xf>
    <xf numFmtId="165" fontId="22" fillId="6" borderId="25" xfId="0" applyFont="true" applyBorder="true" applyAlignment="true" applyProtection="true">
      <alignment horizontal="center" vertical="center" textRotation="0" wrapText="true" indent="0" shrinkToFit="false"/>
      <protection locked="true" hidden="true"/>
    </xf>
    <xf numFmtId="165" fontId="22" fillId="6" borderId="26" xfId="0" applyFont="true" applyBorder="true" applyAlignment="true" applyProtection="true">
      <alignment horizontal="center" vertical="bottom" textRotation="0" wrapText="false" indent="0" shrinkToFit="false"/>
      <protection locked="false" hidden="false"/>
    </xf>
    <xf numFmtId="165" fontId="22" fillId="6" borderId="27" xfId="0" applyFont="true" applyBorder="true" applyAlignment="true" applyProtection="true">
      <alignment horizontal="center" vertical="bottom" textRotation="0" wrapText="false" indent="0" shrinkToFit="false"/>
      <protection locked="false" hidden="false"/>
    </xf>
    <xf numFmtId="165" fontId="22" fillId="6" borderId="24" xfId="0" applyFont="true" applyBorder="true" applyAlignment="true" applyProtection="true">
      <alignment horizontal="center" vertical="bottom" textRotation="0" wrapText="true" indent="0" shrinkToFit="false"/>
      <protection locked="true" hidden="true"/>
    </xf>
    <xf numFmtId="165" fontId="22" fillId="6" borderId="28" xfId="0" applyFont="true" applyBorder="true" applyAlignment="true" applyProtection="true">
      <alignment horizontal="left" vertical="bottom" textRotation="0" wrapText="false" indent="0" shrinkToFit="false"/>
      <protection locked="true" hidden="true"/>
    </xf>
    <xf numFmtId="165" fontId="22" fillId="6" borderId="7" xfId="0" applyFont="true" applyBorder="true" applyAlignment="true" applyProtection="true">
      <alignment horizontal="center" vertical="center" textRotation="0" wrapText="false" indent="0" shrinkToFit="false"/>
      <protection locked="true" hidden="true"/>
    </xf>
    <xf numFmtId="165" fontId="22" fillId="6" borderId="24" xfId="0" applyFont="true" applyBorder="true" applyAlignment="true" applyProtection="true">
      <alignment horizontal="general" vertical="center" textRotation="0" wrapText="true" indent="0" shrinkToFit="false"/>
      <protection locked="true" hidden="true"/>
    </xf>
    <xf numFmtId="165" fontId="22" fillId="6" borderId="24" xfId="0" applyFont="true" applyBorder="true" applyAlignment="true" applyProtection="true">
      <alignment horizontal="left" vertical="center" textRotation="0" wrapText="false" indent="0" shrinkToFit="false"/>
      <protection locked="true" hidden="true"/>
    </xf>
    <xf numFmtId="167" fontId="45" fillId="6" borderId="24" xfId="0" applyFont="true" applyBorder="true" applyAlignment="true" applyProtection="true">
      <alignment horizontal="center" vertical="center" textRotation="0" wrapText="false" indent="0" shrinkToFit="false"/>
      <protection locked="true" hidden="true"/>
    </xf>
    <xf numFmtId="167" fontId="22" fillId="6" borderId="24" xfId="0" applyFont="true" applyBorder="true" applyAlignment="true" applyProtection="true">
      <alignment horizontal="center" vertical="center" textRotation="0" wrapText="false" indent="0" shrinkToFit="false"/>
      <protection locked="true" hidden="true"/>
    </xf>
    <xf numFmtId="167" fontId="22" fillId="6" borderId="28" xfId="0" applyFont="true" applyBorder="true" applyAlignment="true" applyProtection="true">
      <alignment horizontal="center" vertical="center" textRotation="0" wrapText="false" indent="0" shrinkToFit="false"/>
      <protection locked="true" hidden="true"/>
    </xf>
    <xf numFmtId="165" fontId="22" fillId="7" borderId="29" xfId="0" applyFont="true" applyBorder="true" applyAlignment="true" applyProtection="true">
      <alignment horizontal="left" vertical="center" textRotation="0" wrapText="false" indent="0" shrinkToFit="false"/>
      <protection locked="true" hidden="true"/>
    </xf>
    <xf numFmtId="165" fontId="22" fillId="7" borderId="30" xfId="0" applyFont="true" applyBorder="true" applyAlignment="true" applyProtection="true">
      <alignment horizontal="center" vertical="center" textRotation="0" wrapText="false" indent="0" shrinkToFit="false"/>
      <protection locked="false" hidden="true"/>
    </xf>
    <xf numFmtId="166" fontId="31" fillId="2" borderId="0" xfId="0" applyFont="true" applyBorder="false" applyAlignment="true" applyProtection="true">
      <alignment horizontal="general" vertical="bottom" textRotation="0" wrapText="false" indent="0" shrinkToFit="false"/>
      <protection locked="true" hidden="true"/>
    </xf>
    <xf numFmtId="166" fontId="51" fillId="2" borderId="0" xfId="0" applyFont="true" applyBorder="false" applyAlignment="true" applyProtection="true">
      <alignment horizontal="general" vertical="bottom" textRotation="0" wrapText="false" indent="0" shrinkToFit="false"/>
      <protection locked="true" hidden="true"/>
    </xf>
    <xf numFmtId="166" fontId="31" fillId="2" borderId="0" xfId="0" applyFont="true" applyBorder="false" applyAlignment="true" applyProtection="true">
      <alignment horizontal="center" vertical="center" textRotation="0" wrapText="false" indent="0" shrinkToFit="false"/>
      <protection locked="true" hidden="true"/>
    </xf>
    <xf numFmtId="165" fontId="31" fillId="2" borderId="0" xfId="0" applyFont="true" applyBorder="false" applyAlignment="true" applyProtection="true">
      <alignment horizontal="right" vertical="bottom" textRotation="0" wrapText="false" indent="0" shrinkToFit="false"/>
      <protection locked="true" hidden="true"/>
    </xf>
    <xf numFmtId="165" fontId="31" fillId="2" borderId="0" xfId="0" applyFont="true" applyBorder="false" applyAlignment="true" applyProtection="true">
      <alignment horizontal="center" vertical="bottom" textRotation="0" wrapText="true" indent="0" shrinkToFit="false"/>
      <protection locked="true" hidden="true"/>
    </xf>
    <xf numFmtId="165" fontId="31" fillId="2" borderId="0" xfId="0" applyFont="true" applyBorder="false" applyAlignment="true" applyProtection="true">
      <alignment horizontal="general" vertical="bottom" textRotation="0" wrapText="false" indent="0" shrinkToFit="false"/>
      <protection locked="true" hidden="true"/>
    </xf>
    <xf numFmtId="165" fontId="31" fillId="2" borderId="0" xfId="0" applyFont="true" applyBorder="false" applyAlignment="true" applyProtection="true">
      <alignment horizontal="left" vertical="bottom" textRotation="0" wrapText="false" indent="0" shrinkToFit="false"/>
      <protection locked="true" hidden="true"/>
    </xf>
    <xf numFmtId="165" fontId="31" fillId="2" borderId="0" xfId="0" applyFont="true" applyBorder="false" applyAlignment="true" applyProtection="true">
      <alignment horizontal="center" vertical="center" textRotation="0" wrapText="false" indent="0" shrinkToFit="false"/>
      <protection locked="true" hidden="true"/>
    </xf>
    <xf numFmtId="165" fontId="31" fillId="2" borderId="0" xfId="0" applyFont="true" applyBorder="false" applyAlignment="true" applyProtection="true">
      <alignment horizontal="center" vertical="center" textRotation="0" wrapText="true" indent="0" shrinkToFit="false"/>
      <protection locked="true" hidden="true"/>
    </xf>
    <xf numFmtId="165" fontId="52" fillId="2" borderId="0" xfId="0" applyFont="true" applyBorder="fals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true">
      <alignment horizontal="center" vertical="center" textRotation="0" wrapText="false" indent="0" shrinkToFit="false"/>
      <protection locked="true" hidden="true"/>
    </xf>
    <xf numFmtId="165" fontId="47" fillId="2" borderId="0" xfId="0" applyFont="true" applyBorder="fals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general" vertical="bottom" textRotation="0" wrapText="false" indent="0" shrinkToFit="false"/>
      <protection locked="true" hidden="true"/>
    </xf>
    <xf numFmtId="165" fontId="34" fillId="2" borderId="0" xfId="0" applyFont="true" applyBorder="false" applyAlignment="true" applyProtection="true">
      <alignment horizontal="general" vertical="bottom" textRotation="0" wrapText="true" indent="0" shrinkToFit="false"/>
      <protection locked="true" hidden="true"/>
    </xf>
    <xf numFmtId="165" fontId="46" fillId="2" borderId="0" xfId="0" applyFont="true" applyBorder="false" applyAlignment="true" applyProtection="true">
      <alignment horizontal="center" vertical="bottom" textRotation="0" wrapText="false" indent="0" shrinkToFit="false"/>
      <protection locked="true" hidden="true"/>
    </xf>
    <xf numFmtId="165" fontId="25" fillId="2" borderId="0" xfId="0" applyFont="true" applyBorder="false" applyAlignment="true" applyProtection="true">
      <alignment horizontal="center" vertical="bottom" textRotation="0" wrapText="false" indent="0" shrinkToFit="false"/>
      <protection locked="true" hidden="true"/>
    </xf>
    <xf numFmtId="165" fontId="54" fillId="2" borderId="0" xfId="0" applyFont="true" applyBorder="false" applyAlignment="true" applyProtection="true">
      <alignment horizontal="center" vertical="bottom" textRotation="0" wrapText="false" indent="0" shrinkToFit="false"/>
      <protection locked="true" hidden="true"/>
    </xf>
    <xf numFmtId="166" fontId="38" fillId="8" borderId="7" xfId="0" applyFont="true" applyBorder="true" applyAlignment="true" applyProtection="true">
      <alignment horizontal="center" vertical="center" textRotation="2" wrapText="false" indent="0" shrinkToFit="false"/>
      <protection locked="true" hidden="true"/>
    </xf>
    <xf numFmtId="165" fontId="22" fillId="6" borderId="8" xfId="0" applyFont="true" applyBorder="true" applyAlignment="true" applyProtection="true">
      <alignment horizontal="center" vertical="bottom" textRotation="0" wrapText="true" indent="0" shrinkToFit="false"/>
      <protection locked="true" hidden="true"/>
    </xf>
    <xf numFmtId="165" fontId="35" fillId="2" borderId="0" xfId="0" applyFont="true" applyBorder="false" applyAlignment="true" applyProtection="true">
      <alignment horizontal="general" vertical="center" textRotation="0" wrapText="true" indent="0" shrinkToFit="false"/>
      <protection locked="true" hidden="true"/>
    </xf>
    <xf numFmtId="165" fontId="55" fillId="2" borderId="0" xfId="0" applyFont="true" applyBorder="false" applyAlignment="true" applyProtection="true">
      <alignment horizontal="general" vertical="center" textRotation="0" wrapText="true" indent="0" shrinkToFit="false"/>
      <protection locked="true" hidden="true"/>
    </xf>
    <xf numFmtId="165" fontId="55" fillId="2" borderId="0" xfId="0" applyFont="true" applyBorder="false" applyAlignment="true" applyProtection="true">
      <alignment horizontal="general" vertical="center" textRotation="0" wrapText="false" indent="0" shrinkToFit="false"/>
      <protection locked="true" hidden="true"/>
    </xf>
    <xf numFmtId="165" fontId="22" fillId="6" borderId="31" xfId="0" applyFont="true" applyBorder="true" applyAlignment="true" applyProtection="true">
      <alignment horizontal="center" vertical="center" textRotation="0" wrapText="false" indent="0" shrinkToFit="false"/>
      <protection locked="true" hidden="true"/>
    </xf>
    <xf numFmtId="165" fontId="22" fillId="6" borderId="19" xfId="0" applyFont="true" applyBorder="true" applyAlignment="true" applyProtection="true">
      <alignment horizontal="general" vertical="center" textRotation="0" wrapText="false" indent="0" shrinkToFit="false"/>
      <protection locked="true" hidden="true"/>
    </xf>
    <xf numFmtId="167" fontId="22" fillId="6" borderId="32" xfId="0" applyFont="true" applyBorder="true" applyAlignment="true" applyProtection="true">
      <alignment horizontal="center" vertical="center" textRotation="0" wrapText="false" indent="0" shrinkToFit="false"/>
      <protection locked="true" hidden="true"/>
    </xf>
    <xf numFmtId="165" fontId="22" fillId="6" borderId="33" xfId="0" applyFont="true" applyBorder="true" applyAlignment="true" applyProtection="true">
      <alignment horizontal="center" vertical="center" textRotation="0" wrapText="false" indent="0" shrinkToFit="false"/>
      <protection locked="true" hidden="true"/>
    </xf>
    <xf numFmtId="165" fontId="22" fillId="6" borderId="0" xfId="0" applyFont="true" applyBorder="false" applyAlignment="true" applyProtection="true">
      <alignment horizontal="general" vertical="center" textRotation="0" wrapText="false" indent="0" shrinkToFit="false"/>
      <protection locked="true" hidden="true"/>
    </xf>
    <xf numFmtId="167" fontId="22" fillId="6" borderId="34" xfId="0" applyFont="true" applyBorder="true" applyAlignment="true" applyProtection="true">
      <alignment horizontal="center" vertical="center" textRotation="0" wrapText="false" indent="0" shrinkToFit="false"/>
      <protection locked="true" hidden="true"/>
    </xf>
    <xf numFmtId="165" fontId="22" fillId="6" borderId="25" xfId="0" applyFont="true" applyBorder="true" applyAlignment="true" applyProtection="true">
      <alignment horizontal="center" vertical="bottom" textRotation="0" wrapText="true" indent="0" shrinkToFit="false"/>
      <protection locked="true" hidden="true"/>
    </xf>
    <xf numFmtId="165" fontId="22" fillId="6" borderId="35" xfId="0" applyFont="true" applyBorder="true" applyAlignment="true" applyProtection="true">
      <alignment horizontal="center" vertical="center" textRotation="0" wrapText="false" indent="0" shrinkToFit="false"/>
      <protection locked="true" hidden="true"/>
    </xf>
    <xf numFmtId="165" fontId="22" fillId="6" borderId="36" xfId="0" applyFont="true" applyBorder="true" applyAlignment="true" applyProtection="true">
      <alignment horizontal="general" vertical="center" textRotation="0" wrapText="false" indent="0" shrinkToFit="false"/>
      <protection locked="true" hidden="true"/>
    </xf>
    <xf numFmtId="165" fontId="22" fillId="6" borderId="36" xfId="0" applyFont="true" applyBorder="true" applyAlignment="true" applyProtection="true">
      <alignment horizontal="left" vertical="center" textRotation="0" wrapText="false" indent="0" shrinkToFit="false"/>
      <protection locked="true" hidden="true"/>
    </xf>
    <xf numFmtId="167" fontId="45" fillId="6" borderId="36" xfId="0" applyFont="true" applyBorder="true" applyAlignment="true" applyProtection="true">
      <alignment horizontal="center" vertical="center" textRotation="0" wrapText="false" indent="0" shrinkToFit="false"/>
      <protection locked="true" hidden="true"/>
    </xf>
    <xf numFmtId="167" fontId="22" fillId="6" borderId="36" xfId="0" applyFont="true" applyBorder="true" applyAlignment="true" applyProtection="true">
      <alignment horizontal="center" vertical="center" textRotation="0" wrapText="false" indent="0" shrinkToFit="false"/>
      <protection locked="true" hidden="true"/>
    </xf>
    <xf numFmtId="167" fontId="22" fillId="6" borderId="37" xfId="0" applyFont="true" applyBorder="tru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general" vertical="center" textRotation="0" wrapText="false" indent="0" shrinkToFit="false"/>
      <protection locked="true" hidden="true"/>
    </xf>
    <xf numFmtId="166" fontId="38" fillId="9" borderId="7" xfId="0" applyFont="true" applyBorder="true" applyAlignment="true" applyProtection="true">
      <alignment horizontal="center" vertical="center" textRotation="2" wrapText="false" indent="0" shrinkToFit="false"/>
      <protection locked="true" hidden="true"/>
    </xf>
    <xf numFmtId="165" fontId="22" fillId="6" borderId="24" xfId="0" applyFont="true" applyBorder="true" applyAlignment="true" applyProtection="true">
      <alignment horizontal="general" vertical="center" textRotation="0" wrapText="false" indent="0" shrinkToFit="false"/>
      <protection locked="true" hidden="true"/>
    </xf>
    <xf numFmtId="166" fontId="38" fillId="10" borderId="7" xfId="0" applyFont="true" applyBorder="true" applyAlignment="true" applyProtection="true">
      <alignment horizontal="center" vertical="center" textRotation="2" wrapText="false" indent="0" shrinkToFit="false"/>
      <protection locked="true" hidden="true"/>
    </xf>
    <xf numFmtId="166" fontId="38" fillId="11" borderId="7" xfId="0" applyFont="true" applyBorder="true" applyAlignment="true" applyProtection="true">
      <alignment horizontal="center" vertical="center" textRotation="2" wrapText="false" indent="0" shrinkToFit="false"/>
      <protection locked="true" hidden="true"/>
    </xf>
    <xf numFmtId="166" fontId="38" fillId="12" borderId="7" xfId="0" applyFont="true" applyBorder="true" applyAlignment="true" applyProtection="true">
      <alignment horizontal="center" vertical="center" textRotation="2" wrapText="false" indent="0" shrinkToFit="false"/>
      <protection locked="true" hidden="true"/>
    </xf>
    <xf numFmtId="165" fontId="22" fillId="6" borderId="0" xfId="0" applyFont="true" applyBorder="false" applyAlignment="true" applyProtection="true">
      <alignment horizontal="center" vertical="center" textRotation="0" wrapText="false" indent="0" shrinkToFit="false"/>
      <protection locked="true" hidden="true"/>
    </xf>
    <xf numFmtId="165" fontId="22" fillId="6" borderId="24" xfId="0" applyFont="true" applyBorder="true" applyAlignment="true" applyProtection="true">
      <alignment horizontal="center" vertical="center" textRotation="0" wrapText="false" indent="0" shrinkToFit="false"/>
      <protection locked="true" hidden="true"/>
    </xf>
    <xf numFmtId="166" fontId="38" fillId="13" borderId="7" xfId="0" applyFont="true" applyBorder="true" applyAlignment="true" applyProtection="true">
      <alignment horizontal="center" vertical="center" textRotation="2" wrapText="false" indent="0" shrinkToFit="false"/>
      <protection locked="true" hidden="true"/>
    </xf>
    <xf numFmtId="167" fontId="26" fillId="0" borderId="0" xfId="0" applyFont="true" applyBorder="false" applyAlignment="true" applyProtection="true">
      <alignment horizontal="right" vertical="bottom" textRotation="0" wrapText="false" indent="0" shrinkToFit="false"/>
      <protection locked="true" hidden="true"/>
    </xf>
    <xf numFmtId="166" fontId="38" fillId="14" borderId="7" xfId="0" applyFont="true" applyBorder="true" applyAlignment="true" applyProtection="true">
      <alignment horizontal="center" vertical="center" textRotation="2" wrapText="false" indent="0" shrinkToFit="false"/>
      <protection locked="true" hidden="true"/>
    </xf>
    <xf numFmtId="166" fontId="38" fillId="15" borderId="7" xfId="0" applyFont="true" applyBorder="true" applyAlignment="true" applyProtection="true">
      <alignment horizontal="center" vertical="center" textRotation="2" wrapText="false" indent="0" shrinkToFit="false"/>
      <protection locked="true" hidden="true"/>
    </xf>
    <xf numFmtId="166" fontId="38" fillId="16" borderId="7" xfId="0" applyFont="true" applyBorder="true" applyAlignment="true" applyProtection="true">
      <alignment horizontal="center" vertical="center" textRotation="2"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true"/>
    </xf>
    <xf numFmtId="166" fontId="38" fillId="17" borderId="7" xfId="0" applyFont="true" applyBorder="true" applyAlignment="true" applyProtection="true">
      <alignment horizontal="center" vertical="center" textRotation="2" wrapText="false" indent="0" shrinkToFit="false"/>
      <protection locked="true" hidden="true"/>
    </xf>
    <xf numFmtId="165" fontId="32" fillId="5" borderId="5" xfId="0" applyFont="true" applyBorder="true" applyAlignment="true" applyProtection="true">
      <alignment horizontal="left" vertical="top" textRotation="0" wrapText="false" indent="0" shrinkToFit="false"/>
      <protection locked="true" hidden="false"/>
    </xf>
    <xf numFmtId="165" fontId="32" fillId="5" borderId="5" xfId="0" applyFont="true" applyBorder="true" applyAlignment="true" applyProtection="true">
      <alignment horizontal="right" vertical="top" textRotation="0" wrapText="false" indent="0" shrinkToFit="false"/>
      <protection locked="true" hidden="false"/>
    </xf>
    <xf numFmtId="165" fontId="32" fillId="5" borderId="6" xfId="0" applyFont="true" applyBorder="true" applyAlignment="true" applyProtection="true">
      <alignment horizontal="left" vertical="top" textRotation="0" wrapText="false" indent="0" shrinkToFit="false"/>
      <protection locked="true" hidden="false"/>
    </xf>
    <xf numFmtId="166" fontId="38" fillId="18" borderId="7" xfId="0" applyFont="true" applyBorder="true" applyAlignment="true" applyProtection="true">
      <alignment horizontal="center" vertical="center" textRotation="2" wrapText="false" indent="0" shrinkToFit="false"/>
      <protection locked="true" hidden="true"/>
    </xf>
    <xf numFmtId="165" fontId="31" fillId="2" borderId="0" xfId="0" applyFont="true" applyBorder="false" applyAlignment="true" applyProtection="true">
      <alignment horizontal="general" vertical="bottom" textRotation="0" wrapText="true" indent="0" shrinkToFit="false"/>
      <protection locked="true" hidden="true"/>
    </xf>
    <xf numFmtId="165" fontId="56" fillId="2" borderId="0" xfId="0" applyFont="true" applyBorder="false" applyAlignment="true" applyProtection="true">
      <alignment horizontal="center" vertical="center" textRotation="0" wrapText="false" indent="0" shrinkToFit="false"/>
      <protection locked="true" hidden="true"/>
    </xf>
    <xf numFmtId="165" fontId="32" fillId="5" borderId="12" xfId="0" applyFont="true" applyBorder="tru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general" vertical="bottom" textRotation="0" wrapText="false" indent="0" shrinkToFit="false"/>
      <protection locked="false" hidden="true"/>
    </xf>
    <xf numFmtId="165" fontId="57" fillId="2" borderId="0" xfId="0" applyFont="true" applyBorder="false" applyAlignment="true" applyProtection="true">
      <alignment horizontal="general" vertical="bottom" textRotation="0" wrapText="false" indent="0" shrinkToFit="false"/>
      <protection locked="true" hidden="true"/>
    </xf>
    <xf numFmtId="165" fontId="52" fillId="2" borderId="0" xfId="0" applyFont="true" applyBorder="false" applyAlignment="true" applyProtection="true">
      <alignment horizontal="center" vertical="bottom" textRotation="0" wrapText="false" indent="0" shrinkToFit="false"/>
      <protection locked="true" hidden="true"/>
    </xf>
    <xf numFmtId="165" fontId="52" fillId="0" borderId="0" xfId="0" applyFont="true" applyBorder="false" applyAlignment="true" applyProtection="true">
      <alignment horizontal="general" vertical="bottom" textRotation="0" wrapText="false" indent="0" shrinkToFit="false"/>
      <protection locked="true" hidden="true"/>
    </xf>
    <xf numFmtId="165" fontId="35" fillId="2" borderId="0" xfId="0" applyFont="true" applyBorder="false" applyAlignment="true" applyProtection="true">
      <alignment horizontal="general" vertical="bottom" textRotation="0" wrapText="false" indent="0" shrinkToFit="false"/>
      <protection locked="true" hidden="true"/>
    </xf>
    <xf numFmtId="165" fontId="31" fillId="0" borderId="0" xfId="0" applyFont="true" applyBorder="false" applyAlignment="true" applyProtection="true">
      <alignment horizontal="general" vertical="bottom" textRotation="0" wrapText="false" indent="0" shrinkToFit="false"/>
      <protection locked="true" hidden="false"/>
    </xf>
    <xf numFmtId="166" fontId="58" fillId="19" borderId="7" xfId="0" applyFont="true" applyBorder="true" applyAlignment="true" applyProtection="true">
      <alignment horizontal="center" vertical="center" textRotation="2" wrapText="false" indent="0" shrinkToFit="false"/>
      <protection locked="true" hidden="true"/>
    </xf>
    <xf numFmtId="165" fontId="36" fillId="6" borderId="8" xfId="0" applyFont="true" applyBorder="true" applyAlignment="true" applyProtection="true">
      <alignment horizontal="center" vertical="center" textRotation="0" wrapText="false" indent="0" shrinkToFit="false"/>
      <protection locked="true" hidden="true"/>
    </xf>
    <xf numFmtId="165" fontId="22" fillId="6" borderId="0" xfId="0" applyFont="true" applyBorder="false" applyAlignment="true" applyProtection="true">
      <alignment horizontal="right" vertical="center" textRotation="0" wrapText="false" indent="0" shrinkToFit="false"/>
      <protection locked="true" hidden="true"/>
    </xf>
    <xf numFmtId="165" fontId="22" fillId="6" borderId="0" xfId="0" applyFont="true" applyBorder="false" applyAlignment="true" applyProtection="true">
      <alignment horizontal="center" vertical="bottom" textRotation="0" wrapText="false" indent="0" shrinkToFit="false"/>
      <protection locked="false" hidden="true"/>
    </xf>
    <xf numFmtId="165" fontId="22" fillId="6" borderId="38" xfId="0" applyFont="true" applyBorder="true" applyAlignment="true" applyProtection="true">
      <alignment horizontal="center" vertical="bottom" textRotation="0" wrapText="false" indent="0" shrinkToFit="false"/>
      <protection locked="false" hidden="true"/>
    </xf>
    <xf numFmtId="165" fontId="22" fillId="6" borderId="11" xfId="0" applyFont="true" applyBorder="true" applyAlignment="true" applyProtection="true">
      <alignment horizontal="left" vertical="center" textRotation="0" wrapText="false" indent="0" shrinkToFit="false"/>
      <protection locked="true" hidden="false"/>
    </xf>
    <xf numFmtId="165" fontId="39" fillId="2" borderId="0" xfId="0" applyFont="true" applyBorder="false" applyAlignment="true" applyProtection="true">
      <alignment horizontal="center" vertical="center" textRotation="0" wrapText="false" indent="0" shrinkToFit="false"/>
      <protection locked="true" hidden="false"/>
    </xf>
    <xf numFmtId="165" fontId="31" fillId="2" borderId="0" xfId="0" applyFont="true" applyBorder="false" applyAlignment="true" applyProtection="true">
      <alignment horizontal="center" vertical="bottom" textRotation="0" wrapText="false" indent="0" shrinkToFit="false"/>
      <protection locked="true" hidden="true"/>
    </xf>
    <xf numFmtId="165" fontId="45" fillId="2" borderId="0" xfId="0" applyFont="true" applyBorder="false" applyAlignment="true" applyProtection="true">
      <alignment horizontal="general" vertical="bottom" textRotation="0" wrapText="false" indent="0" shrinkToFit="false"/>
      <protection locked="true" hidden="true"/>
    </xf>
    <xf numFmtId="166" fontId="22" fillId="2" borderId="0" xfId="0" applyFont="true" applyBorder="false" applyAlignment="true" applyProtection="true">
      <alignment horizontal="center" vertical="bottom" textRotation="0" wrapText="false" indent="0" shrinkToFit="false"/>
      <protection locked="true" hidden="true"/>
    </xf>
    <xf numFmtId="165" fontId="22" fillId="6" borderId="39" xfId="0" applyFont="true" applyBorder="true" applyAlignment="true" applyProtection="true">
      <alignment horizontal="center" vertical="bottom" textRotation="0" wrapText="false" indent="0" shrinkToFit="false"/>
      <protection locked="false" hidden="false"/>
    </xf>
    <xf numFmtId="165" fontId="22" fillId="6" borderId="4" xfId="0" applyFont="true" applyBorder="true" applyAlignment="true" applyProtection="true">
      <alignment horizontal="center" vertical="center" textRotation="0" wrapText="false" indent="0" shrinkToFit="false"/>
      <protection locked="true" hidden="true"/>
    </xf>
    <xf numFmtId="165" fontId="22" fillId="6" borderId="5" xfId="0" applyFont="true" applyBorder="true" applyAlignment="true" applyProtection="true">
      <alignment horizontal="general" vertical="center" textRotation="0" wrapText="false" indent="0" shrinkToFit="false"/>
      <protection locked="true" hidden="true"/>
    </xf>
    <xf numFmtId="165" fontId="22" fillId="6" borderId="5" xfId="0" applyFont="true" applyBorder="true" applyAlignment="true" applyProtection="true">
      <alignment horizontal="left" vertical="center" textRotation="0" wrapText="false" indent="0" shrinkToFit="false"/>
      <protection locked="true" hidden="true"/>
    </xf>
    <xf numFmtId="165" fontId="45" fillId="6" borderId="5" xfId="0" applyFont="true" applyBorder="true" applyAlignment="true" applyProtection="true">
      <alignment horizontal="center" vertical="center" textRotation="0" wrapText="false" indent="0" shrinkToFit="false"/>
      <protection locked="true" hidden="true"/>
    </xf>
    <xf numFmtId="165" fontId="22" fillId="6" borderId="5" xfId="0" applyFont="true" applyBorder="true" applyAlignment="true" applyProtection="true">
      <alignment horizontal="center" vertical="center" textRotation="0" wrapText="false" indent="0" shrinkToFit="false"/>
      <protection locked="true" hidden="true"/>
    </xf>
    <xf numFmtId="165" fontId="22" fillId="6" borderId="6" xfId="0" applyFont="true" applyBorder="true" applyAlignment="true" applyProtection="true">
      <alignment horizontal="center" vertical="center" textRotation="0" wrapText="false" indent="0" shrinkToFit="false"/>
      <protection locked="true" hidden="true"/>
    </xf>
    <xf numFmtId="165" fontId="44" fillId="2" borderId="0" xfId="0" applyFont="true" applyBorder="false" applyAlignment="true" applyProtection="true">
      <alignment horizontal="center" vertical="center" textRotation="0" wrapText="false" indent="0" shrinkToFit="false"/>
      <protection locked="true" hidden="true"/>
    </xf>
    <xf numFmtId="167" fontId="26" fillId="0" borderId="0" xfId="0" applyFont="true" applyBorder="false" applyAlignment="true" applyProtection="true">
      <alignment horizontal="right" vertical="bottom" textRotation="0" wrapText="false" indent="0" shrinkToFit="false"/>
      <protection locked="true" hidden="false"/>
    </xf>
    <xf numFmtId="165" fontId="45" fillId="6" borderId="0" xfId="0" applyFont="true" applyBorder="false" applyAlignment="true" applyProtection="true">
      <alignment horizontal="center" vertical="center" textRotation="0" wrapText="false" indent="0" shrinkToFit="false"/>
      <protection locked="true" hidden="true"/>
    </xf>
    <xf numFmtId="165" fontId="22" fillId="6" borderId="11" xfId="0" applyFont="true" applyBorder="true" applyAlignment="true" applyProtection="true">
      <alignment horizontal="center" vertical="center" textRotation="0" wrapText="false" indent="0" shrinkToFit="false"/>
      <protection locked="true" hidden="true"/>
    </xf>
    <xf numFmtId="166" fontId="22" fillId="2" borderId="0" xfId="0" applyFont="true" applyBorder="false" applyAlignment="true" applyProtection="true">
      <alignment horizontal="right" vertical="bottom" textRotation="0" wrapText="false" indent="0" shrinkToFit="false"/>
      <protection locked="true" hidden="true"/>
    </xf>
    <xf numFmtId="166" fontId="22" fillId="2" borderId="0" xfId="0" applyFont="true" applyBorder="false" applyAlignment="true" applyProtection="true">
      <alignment horizontal="left" vertical="bottom" textRotation="0" wrapText="false" indent="0" shrinkToFit="false"/>
      <protection locked="true" hidden="true"/>
    </xf>
    <xf numFmtId="166" fontId="22" fillId="2" borderId="0" xfId="0" applyFont="true" applyBorder="false" applyAlignment="true" applyProtection="true">
      <alignment horizontal="general" vertical="bottom" textRotation="0" wrapText="false" indent="0" shrinkToFit="false"/>
      <protection locked="true" hidden="true"/>
    </xf>
    <xf numFmtId="165" fontId="45" fillId="6" borderId="24" xfId="0" applyFont="true" applyBorder="true" applyAlignment="true" applyProtection="true">
      <alignment horizontal="center" vertical="center" textRotation="0" wrapText="false" indent="0" shrinkToFit="false"/>
      <protection locked="true" hidden="true"/>
    </xf>
    <xf numFmtId="165" fontId="22" fillId="6" borderId="28" xfId="0" applyFont="true" applyBorder="true" applyAlignment="true" applyProtection="true">
      <alignment horizontal="center" vertical="center" textRotation="0" wrapText="false" indent="0" shrinkToFit="false"/>
      <protection locked="true" hidden="true"/>
    </xf>
    <xf numFmtId="165" fontId="59" fillId="2" borderId="0" xfId="0" applyFont="true" applyBorder="false" applyAlignment="true" applyProtection="true">
      <alignment horizontal="center" vertical="center" textRotation="0" wrapText="false" indent="0" shrinkToFit="false"/>
      <protection locked="true" hidden="true"/>
    </xf>
    <xf numFmtId="165" fontId="60" fillId="2" borderId="0" xfId="0" applyFont="true" applyBorder="false" applyAlignment="true" applyProtection="true">
      <alignment horizontal="center" vertical="bottom" textRotation="0" wrapText="false" indent="0" shrinkToFit="false"/>
      <protection locked="true" hidden="true"/>
    </xf>
    <xf numFmtId="165" fontId="36" fillId="6" borderId="25" xfId="0" applyFont="true" applyBorder="true" applyAlignment="true" applyProtection="true">
      <alignment horizontal="center" vertical="center" textRotation="0" wrapText="false" indent="0" shrinkToFit="false"/>
      <protection locked="true" hidden="true"/>
    </xf>
    <xf numFmtId="165" fontId="22" fillId="6" borderId="24" xfId="0" applyFont="true" applyBorder="true" applyAlignment="true" applyProtection="true">
      <alignment horizontal="right" vertical="center" textRotation="0" wrapText="false" indent="0" shrinkToFit="false"/>
      <protection locked="true" hidden="true"/>
    </xf>
    <xf numFmtId="165" fontId="22" fillId="6" borderId="24" xfId="0" applyFont="true" applyBorder="true" applyAlignment="true" applyProtection="true">
      <alignment horizontal="center" vertical="bottom" textRotation="0" wrapText="false" indent="0" shrinkToFit="false"/>
      <protection locked="false" hidden="true"/>
    </xf>
    <xf numFmtId="165" fontId="22" fillId="6" borderId="28" xfId="0" applyFont="true" applyBorder="true" applyAlignment="true" applyProtection="true">
      <alignment horizontal="left" vertical="center" textRotation="0" wrapText="false" indent="0" shrinkToFit="false"/>
      <protection locked="true" hidden="false"/>
    </xf>
    <xf numFmtId="165" fontId="25" fillId="2" borderId="0" xfId="0" applyFont="true" applyBorder="false" applyAlignment="true" applyProtection="true">
      <alignment horizontal="left" vertical="bottom" textRotation="0" wrapText="false" indent="0" shrinkToFit="false"/>
      <protection locked="false" hidden="false"/>
    </xf>
    <xf numFmtId="165" fontId="0" fillId="2" borderId="0" xfId="0" applyFont="false" applyBorder="false" applyAlignment="true" applyProtection="true">
      <alignment horizontal="general" vertical="bottom" textRotation="0" wrapText="false" indent="0" shrinkToFit="false"/>
      <protection locked="true" hidden="true"/>
    </xf>
    <xf numFmtId="167" fontId="44" fillId="0" borderId="0" xfId="0" applyFont="true" applyBorder="false" applyAlignment="true" applyProtection="true">
      <alignment horizontal="left" vertical="center" textRotation="0" wrapText="false" indent="0" shrinkToFit="false"/>
      <protection locked="true" hidden="true"/>
    </xf>
    <xf numFmtId="167" fontId="27" fillId="0" borderId="0" xfId="0" applyFont="true" applyBorder="false" applyAlignment="true" applyProtection="true">
      <alignment horizontal="center" vertical="center" textRotation="0" wrapText="false" indent="0" shrinkToFit="false"/>
      <protection locked="true" hidden="false"/>
    </xf>
    <xf numFmtId="165" fontId="22" fillId="2" borderId="0" xfId="0" applyFont="true" applyBorder="false" applyAlignment="true" applyProtection="true">
      <alignment horizontal="left" vertical="bottom" textRotation="0" wrapText="false" indent="0" shrinkToFit="false"/>
      <protection locked="true" hidden="true"/>
    </xf>
    <xf numFmtId="165" fontId="0" fillId="2" borderId="0" xfId="0" applyFont="false" applyBorder="false" applyAlignment="true" applyProtection="true">
      <alignment horizontal="general" vertical="bottom" textRotation="0" wrapText="false" indent="0" shrinkToFit="false"/>
      <protection locked="true" hidden="false"/>
    </xf>
    <xf numFmtId="166" fontId="61" fillId="20" borderId="40" xfId="0" applyFont="true" applyBorder="true" applyAlignment="true" applyProtection="true">
      <alignment horizontal="center" vertical="center" textRotation="0" wrapText="false" indent="0" shrinkToFit="false"/>
      <protection locked="true" hidden="true"/>
    </xf>
    <xf numFmtId="165" fontId="22" fillId="6" borderId="41" xfId="0" applyFont="true" applyBorder="true" applyAlignment="true" applyProtection="true">
      <alignment horizontal="center" vertical="bottom" textRotation="0" wrapText="false" indent="0" shrinkToFit="false"/>
      <protection locked="false" hidden="false"/>
    </xf>
    <xf numFmtId="165" fontId="4" fillId="2" borderId="0" xfId="20" applyFont="true" applyBorder="true" applyAlignment="true" applyProtection="true">
      <alignment horizontal="center" vertical="bottom" textRotation="0" wrapText="false" indent="0" shrinkToFit="false"/>
      <protection locked="true" hidden="true"/>
    </xf>
    <xf numFmtId="165" fontId="22" fillId="6" borderId="42" xfId="0" applyFont="true" applyBorder="true" applyAlignment="true" applyProtection="true">
      <alignment horizontal="center" vertical="bottom" textRotation="0" wrapText="false" indent="0" shrinkToFit="false"/>
      <protection locked="false" hidden="false"/>
    </xf>
    <xf numFmtId="165" fontId="22" fillId="6" borderId="43" xfId="0" applyFont="true" applyBorder="true" applyAlignment="true" applyProtection="true">
      <alignment horizontal="center" vertical="bottom" textRotation="0" wrapText="false" indent="0" shrinkToFit="false"/>
      <protection locked="false" hidden="true"/>
    </xf>
    <xf numFmtId="165" fontId="22" fillId="6" borderId="44" xfId="0" applyFont="true" applyBorder="true" applyAlignment="true" applyProtection="true">
      <alignment horizontal="center" vertical="bottom" textRotation="0" wrapText="false" indent="0" shrinkToFit="false"/>
      <protection locked="false" hidden="false"/>
    </xf>
    <xf numFmtId="165" fontId="22" fillId="6" borderId="45" xfId="0" applyFont="true" applyBorder="true" applyAlignment="true" applyProtection="true">
      <alignment horizontal="center" vertical="bottom" textRotation="0" wrapText="false" indent="0" shrinkToFit="false"/>
      <protection locked="false" hidden="false"/>
    </xf>
    <xf numFmtId="166" fontId="61" fillId="19" borderId="40" xfId="0" applyFont="true" applyBorder="true" applyAlignment="true" applyProtection="true">
      <alignment horizontal="center" vertical="center" textRotation="0" wrapText="false" indent="0" shrinkToFit="false"/>
      <protection locked="true" hidden="true"/>
    </xf>
    <xf numFmtId="165" fontId="36" fillId="6" borderId="46" xfId="0" applyFont="true" applyBorder="tru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left" vertical="center" textRotation="0" wrapText="false" indent="0" shrinkToFit="false"/>
      <protection locked="true" hidden="false"/>
    </xf>
    <xf numFmtId="165" fontId="36" fillId="6" borderId="47" xfId="0" applyFont="true" applyBorder="tru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true" hidden="false"/>
    </xf>
    <xf numFmtId="165" fontId="40" fillId="2" borderId="0" xfId="0" applyFont="true" applyBorder="false" applyAlignment="true" applyProtection="true">
      <alignment horizontal="center" vertical="center" textRotation="0" wrapText="false" indent="0" shrinkToFit="false"/>
      <protection locked="true" hidden="false"/>
    </xf>
    <xf numFmtId="166" fontId="62" fillId="20" borderId="40" xfId="0" applyFont="true" applyBorder="true" applyAlignment="true" applyProtection="true">
      <alignment horizontal="center" vertical="center" textRotation="0" wrapText="false" indent="0" shrinkToFit="false"/>
      <protection locked="true" hidden="true"/>
    </xf>
    <xf numFmtId="165" fontId="22" fillId="6" borderId="48" xfId="0" applyFont="true" applyBorder="true" applyAlignment="true" applyProtection="true">
      <alignment horizontal="center" vertical="bottom" textRotation="0" wrapText="false" indent="0" shrinkToFit="false"/>
      <protection locked="false" hidden="false"/>
    </xf>
    <xf numFmtId="165" fontId="54" fillId="5" borderId="4" xfId="0" applyFont="true" applyBorder="true" applyAlignment="true" applyProtection="true">
      <alignment horizontal="left" vertical="top" textRotation="0" wrapText="false" indent="0" shrinkToFit="false"/>
      <protection locked="true" hidden="false"/>
    </xf>
    <xf numFmtId="166" fontId="63" fillId="19" borderId="40" xfId="0" applyFont="true" applyBorder="true" applyAlignment="true" applyProtection="true">
      <alignment horizontal="center" vertical="center" textRotation="0" wrapText="false" indent="0" shrinkToFit="false"/>
      <protection locked="true" hidden="true"/>
    </xf>
    <xf numFmtId="165" fontId="36" fillId="6" borderId="24" xfId="0" applyFont="true" applyBorder="true" applyAlignment="true" applyProtection="true">
      <alignment horizontal="center" vertical="center" textRotation="0" wrapText="false" indent="0" shrinkToFit="false"/>
      <protection locked="true" hidden="true"/>
    </xf>
    <xf numFmtId="165" fontId="22" fillId="6" borderId="49" xfId="0" applyFont="true" applyBorder="true" applyAlignment="true" applyProtection="true">
      <alignment horizontal="right" vertical="center" textRotation="0" wrapText="false" indent="0" shrinkToFit="false"/>
      <protection locked="true" hidden="true"/>
    </xf>
    <xf numFmtId="165" fontId="22" fillId="6" borderId="24" xfId="0" applyFont="true" applyBorder="true" applyAlignment="true" applyProtection="true">
      <alignment horizontal="center" vertical="center" textRotation="0" wrapText="false" indent="0" shrinkToFit="false"/>
      <protection locked="false" hidden="false"/>
    </xf>
    <xf numFmtId="165" fontId="22" fillId="6" borderId="50" xfId="0" applyFont="true" applyBorder="true" applyAlignment="true" applyProtection="true">
      <alignment horizontal="center" vertical="center" textRotation="0" wrapText="false" indent="0" shrinkToFit="false"/>
      <protection locked="false" hidden="false"/>
    </xf>
    <xf numFmtId="165" fontId="22" fillId="6" borderId="28" xfId="0" applyFont="true" applyBorder="true" applyAlignment="true" applyProtection="true">
      <alignment horizontal="general" vertical="center" textRotation="0" wrapText="false" indent="0" shrinkToFit="false"/>
      <protection locked="true" hidden="false"/>
    </xf>
    <xf numFmtId="166" fontId="62" fillId="19" borderId="40" xfId="0" applyFont="true" applyBorder="true" applyAlignment="true" applyProtection="true">
      <alignment horizontal="center" vertical="center" textRotation="0" wrapText="false" indent="0" shrinkToFit="false"/>
      <protection locked="true" hidden="true"/>
    </xf>
    <xf numFmtId="165" fontId="47" fillId="2" borderId="0" xfId="0" applyFont="true" applyBorder="false" applyAlignment="true" applyProtection="true">
      <alignment horizontal="center" vertical="center" textRotation="0" wrapText="false" indent="0" shrinkToFit="false"/>
      <protection locked="true" hidden="false"/>
    </xf>
    <xf numFmtId="165" fontId="27" fillId="0" borderId="0" xfId="0" applyFont="true" applyBorder="false" applyAlignment="true" applyProtection="true">
      <alignment horizontal="center" vertical="center" textRotation="0" wrapText="false" indent="0" shrinkToFit="false"/>
      <protection locked="true" hidden="true"/>
    </xf>
    <xf numFmtId="165" fontId="32" fillId="5" borderId="4" xfId="0" applyFont="true" applyBorder="true" applyAlignment="true" applyProtection="true">
      <alignment horizontal="left" vertical="center" textRotation="0" wrapText="false" indent="0" shrinkToFit="false"/>
      <protection locked="true" hidden="true"/>
    </xf>
    <xf numFmtId="165" fontId="54" fillId="5" borderId="5" xfId="0" applyFont="true" applyBorder="true" applyAlignment="true" applyProtection="true">
      <alignment horizontal="center" vertical="bottom" textRotation="0" wrapText="false" indent="0" shrinkToFit="false"/>
      <protection locked="true" hidden="false"/>
    </xf>
    <xf numFmtId="165" fontId="54" fillId="5" borderId="5" xfId="0" applyFont="true" applyBorder="true" applyAlignment="true" applyProtection="true">
      <alignment horizontal="left" vertical="bottom" textRotation="0" wrapText="false" indent="0" shrinkToFit="false"/>
      <protection locked="true" hidden="false"/>
    </xf>
    <xf numFmtId="165" fontId="54" fillId="5" borderId="6" xfId="0" applyFont="true" applyBorder="true" applyAlignment="true" applyProtection="true">
      <alignment horizontal="left" vertical="bottom" textRotation="0" wrapText="false" indent="0" shrinkToFit="false"/>
      <protection locked="true" hidden="false"/>
    </xf>
    <xf numFmtId="165" fontId="53" fillId="2" borderId="0" xfId="0" applyFont="true" applyBorder="false" applyAlignment="true" applyProtection="true">
      <alignment horizontal="left" vertical="center" textRotation="0" wrapText="false" indent="0" shrinkToFit="false"/>
      <protection locked="true" hidden="true"/>
    </xf>
    <xf numFmtId="165" fontId="30" fillId="2" borderId="0" xfId="0" applyFont="true" applyBorder="false" applyAlignment="true" applyProtection="true">
      <alignment horizontal="center" vertical="center" textRotation="0" wrapText="false" indent="0" shrinkToFit="false"/>
      <protection locked="true" hidden="true"/>
    </xf>
    <xf numFmtId="165" fontId="43" fillId="5" borderId="23" xfId="0" applyFont="true" applyBorder="true" applyAlignment="true" applyProtection="true">
      <alignment horizontal="left" vertical="center" textRotation="0" wrapText="false" indent="0" shrinkToFit="false"/>
      <protection locked="true" hidden="true"/>
    </xf>
    <xf numFmtId="165" fontId="64" fillId="5" borderId="0" xfId="0" applyFont="true" applyBorder="false" applyAlignment="true" applyProtection="true">
      <alignment horizontal="left" vertical="center" textRotation="0" wrapText="false" indent="0" shrinkToFit="false"/>
      <protection locked="true" hidden="true"/>
    </xf>
    <xf numFmtId="165" fontId="54" fillId="5" borderId="0" xfId="0" applyFont="true" applyBorder="false" applyAlignment="true" applyProtection="true">
      <alignment horizontal="left" vertical="center" textRotation="0" wrapText="false" indent="0" shrinkToFit="false"/>
      <protection locked="true" hidden="true"/>
    </xf>
    <xf numFmtId="165" fontId="22" fillId="6" borderId="4" xfId="0" applyFont="true" applyBorder="true" applyAlignment="true" applyProtection="true">
      <alignment horizontal="general" vertical="center" textRotation="0" wrapText="false" indent="0" shrinkToFit="false"/>
      <protection locked="true" hidden="false"/>
    </xf>
    <xf numFmtId="165" fontId="0" fillId="6" borderId="5" xfId="0" applyFont="false" applyBorder="true" applyAlignment="true" applyProtection="true">
      <alignment horizontal="general" vertical="center" textRotation="0" wrapText="false" indent="0" shrinkToFit="false"/>
      <protection locked="true" hidden="false"/>
    </xf>
    <xf numFmtId="165" fontId="0" fillId="6" borderId="6" xfId="0" applyFont="false" applyBorder="true" applyAlignment="true" applyProtection="true">
      <alignment horizontal="general" vertical="center" textRotation="0" wrapText="false" indent="0" shrinkToFit="false"/>
      <protection locked="true" hidden="false"/>
    </xf>
    <xf numFmtId="165" fontId="22" fillId="6" borderId="23" xfId="0" applyFont="true" applyBorder="true" applyAlignment="true" applyProtection="true">
      <alignment horizontal="general" vertical="center" textRotation="0" wrapText="false" indent="0" shrinkToFit="false"/>
      <protection locked="true" hidden="false"/>
    </xf>
    <xf numFmtId="165" fontId="0" fillId="6" borderId="0" xfId="0" applyFont="false" applyBorder="false" applyAlignment="true" applyProtection="true">
      <alignment horizontal="general" vertical="center" textRotation="0" wrapText="false" indent="0" shrinkToFit="false"/>
      <protection locked="true" hidden="false"/>
    </xf>
    <xf numFmtId="165" fontId="0" fillId="6" borderId="11" xfId="0" applyFont="false" applyBorder="true" applyAlignment="true" applyProtection="true">
      <alignment horizontal="general" vertical="center" textRotation="0" wrapText="false" indent="0" shrinkToFit="false"/>
      <protection locked="true" hidden="false"/>
    </xf>
    <xf numFmtId="165" fontId="65" fillId="5" borderId="51" xfId="0" applyFont="true" applyBorder="true" applyAlignment="true" applyProtection="true">
      <alignment horizontal="center" vertical="center" textRotation="0" wrapText="true" indent="0" shrinkToFit="false"/>
      <protection locked="true" hidden="true"/>
    </xf>
    <xf numFmtId="166" fontId="25" fillId="2" borderId="0" xfId="0" applyFont="true" applyBorder="false" applyAlignment="true" applyProtection="true">
      <alignment horizontal="general" vertical="bottom" textRotation="0" wrapText="false" indent="0" shrinkToFit="false"/>
      <protection locked="true" hidden="true"/>
    </xf>
    <xf numFmtId="165" fontId="43" fillId="5" borderId="7" xfId="0" applyFont="true" applyBorder="true" applyAlignment="true" applyProtection="true">
      <alignment horizontal="left" vertical="center" textRotation="0" wrapText="false" indent="0" shrinkToFit="false"/>
      <protection locked="true" hidden="true"/>
    </xf>
    <xf numFmtId="165" fontId="64" fillId="5" borderId="24" xfId="0" applyFont="true" applyBorder="true" applyAlignment="true" applyProtection="true">
      <alignment horizontal="left" vertical="center" textRotation="0" wrapText="false" indent="0" shrinkToFit="false"/>
      <protection locked="true" hidden="true"/>
    </xf>
    <xf numFmtId="165" fontId="54" fillId="5" borderId="24" xfId="0" applyFont="true" applyBorder="true" applyAlignment="true" applyProtection="true">
      <alignment horizontal="left" vertical="center" textRotation="0" wrapText="false" indent="0" shrinkToFit="false"/>
      <protection locked="true" hidden="true"/>
    </xf>
    <xf numFmtId="165" fontId="22" fillId="6" borderId="7" xfId="0" applyFont="true" applyBorder="true" applyAlignment="true" applyProtection="true">
      <alignment horizontal="general" vertical="center" textRotation="0" wrapText="false" indent="0" shrinkToFit="false"/>
      <protection locked="true" hidden="false"/>
    </xf>
    <xf numFmtId="165" fontId="0" fillId="6" borderId="24" xfId="0" applyFont="false" applyBorder="true" applyAlignment="true" applyProtection="true">
      <alignment horizontal="general" vertical="center" textRotation="0" wrapText="false" indent="0" shrinkToFit="false"/>
      <protection locked="true" hidden="false"/>
    </xf>
    <xf numFmtId="165" fontId="0" fillId="6" borderId="28" xfId="0" applyFont="false" applyBorder="true" applyAlignment="true" applyProtection="true">
      <alignment horizontal="general" vertical="center" textRotation="0" wrapText="false" indent="0" shrinkToFit="false"/>
      <protection locked="true" hidden="false"/>
    </xf>
    <xf numFmtId="165" fontId="43" fillId="5" borderId="4" xfId="0" applyFont="true" applyBorder="true" applyAlignment="true" applyProtection="true">
      <alignment horizontal="left" vertical="center" textRotation="0" wrapText="false" indent="0" shrinkToFit="false"/>
      <protection locked="true" hidden="true"/>
    </xf>
    <xf numFmtId="165" fontId="54" fillId="5" borderId="5" xfId="0" applyFont="true" applyBorder="true" applyAlignment="true" applyProtection="true">
      <alignment horizontal="left" vertical="center" textRotation="0" wrapText="false" indent="0" shrinkToFit="false"/>
      <protection locked="true" hidden="true"/>
    </xf>
    <xf numFmtId="165" fontId="54" fillId="5" borderId="6" xfId="0" applyFont="true" applyBorder="true" applyAlignment="true" applyProtection="true">
      <alignment horizontal="left" vertical="center" textRotation="0" wrapText="false" indent="0" shrinkToFit="false"/>
      <protection locked="true" hidden="true"/>
    </xf>
    <xf numFmtId="165" fontId="22" fillId="6" borderId="5" xfId="0" applyFont="true" applyBorder="true" applyAlignment="true" applyProtection="true">
      <alignment horizontal="general" vertical="center" textRotation="0" wrapText="false" indent="0" shrinkToFit="false"/>
      <protection locked="false" hidden="true"/>
    </xf>
    <xf numFmtId="165" fontId="0" fillId="6" borderId="5" xfId="0" applyFont="false" applyBorder="true" applyAlignment="true" applyProtection="true">
      <alignment horizontal="general" vertical="center" textRotation="0" wrapText="false" indent="0" shrinkToFit="false"/>
      <protection locked="false" hidden="true"/>
    </xf>
    <xf numFmtId="165" fontId="0" fillId="6" borderId="6" xfId="0" applyFont="false" applyBorder="true" applyAlignment="true" applyProtection="true">
      <alignment horizontal="general" vertical="center" textRotation="0" wrapText="false" indent="0" shrinkToFit="false"/>
      <protection locked="false" hidden="true"/>
    </xf>
    <xf numFmtId="165" fontId="25" fillId="2" borderId="0" xfId="0" applyFont="true" applyBorder="true" applyAlignment="true" applyProtection="true">
      <alignment horizontal="center" vertical="center" textRotation="0" wrapText="false" indent="0" shrinkToFit="false"/>
      <protection locked="true" hidden="true"/>
    </xf>
    <xf numFmtId="165" fontId="54" fillId="5" borderId="11" xfId="0" applyFont="true" applyBorder="true" applyAlignment="true" applyProtection="true">
      <alignment horizontal="left" vertical="center" textRotation="0" wrapText="false" indent="0" shrinkToFit="false"/>
      <protection locked="true" hidden="true"/>
    </xf>
    <xf numFmtId="165" fontId="22" fillId="6" borderId="0" xfId="0" applyFont="true" applyBorder="false" applyAlignment="true" applyProtection="true">
      <alignment horizontal="general" vertical="center" textRotation="0" wrapText="false" indent="0" shrinkToFit="false"/>
      <protection locked="false" hidden="true"/>
    </xf>
    <xf numFmtId="165" fontId="0" fillId="6" borderId="0" xfId="0" applyFont="false" applyBorder="false" applyAlignment="true" applyProtection="true">
      <alignment horizontal="general" vertical="center" textRotation="0" wrapText="false" indent="0" shrinkToFit="false"/>
      <protection locked="false" hidden="true"/>
    </xf>
    <xf numFmtId="165" fontId="0" fillId="6" borderId="11" xfId="0" applyFont="false" applyBorder="true" applyAlignment="true" applyProtection="true">
      <alignment horizontal="general" vertical="center" textRotation="0" wrapText="false" indent="0" shrinkToFit="false"/>
      <protection locked="false" hidden="true"/>
    </xf>
    <xf numFmtId="165" fontId="30" fillId="2" borderId="0" xfId="0" applyFont="true" applyBorder="true" applyAlignment="true" applyProtection="true">
      <alignment horizontal="center" vertical="center" textRotation="0" wrapText="false" indent="0" shrinkToFit="false"/>
      <protection locked="true" hidden="true"/>
    </xf>
    <xf numFmtId="165" fontId="66" fillId="5" borderId="52" xfId="0" applyFont="true" applyBorder="true" applyAlignment="true" applyProtection="true">
      <alignment horizontal="center" vertical="center" textRotation="0" wrapText="true" indent="0" shrinkToFit="false"/>
      <protection locked="true" hidden="false"/>
    </xf>
    <xf numFmtId="165" fontId="29" fillId="2" borderId="0" xfId="0" applyFont="true" applyBorder="false" applyAlignment="true" applyProtection="true">
      <alignment horizontal="center" vertical="bottom" textRotation="0" wrapText="true" indent="0" shrinkToFit="false"/>
      <protection locked="true" hidden="true"/>
    </xf>
    <xf numFmtId="165" fontId="54" fillId="5" borderId="28" xfId="0" applyFont="true" applyBorder="true" applyAlignment="true" applyProtection="true">
      <alignment horizontal="left" vertical="center" textRotation="0" wrapText="false" indent="0" shrinkToFit="false"/>
      <protection locked="true" hidden="true"/>
    </xf>
    <xf numFmtId="165" fontId="22" fillId="6" borderId="24" xfId="0" applyFont="true" applyBorder="true" applyAlignment="true" applyProtection="true">
      <alignment horizontal="general" vertical="center" textRotation="0" wrapText="false" indent="0" shrinkToFit="false"/>
      <protection locked="false" hidden="true"/>
    </xf>
    <xf numFmtId="165" fontId="0" fillId="6" borderId="24" xfId="0" applyFont="false" applyBorder="true" applyAlignment="true" applyProtection="true">
      <alignment horizontal="general" vertical="center" textRotation="0" wrapText="false" indent="0" shrinkToFit="false"/>
      <protection locked="false" hidden="true"/>
    </xf>
    <xf numFmtId="165" fontId="0" fillId="6" borderId="28" xfId="0" applyFont="false" applyBorder="true" applyAlignment="true" applyProtection="true">
      <alignment horizontal="general" vertical="center" textRotation="0" wrapText="false" indent="0" shrinkToFit="false"/>
      <protection locked="false" hidden="true"/>
    </xf>
    <xf numFmtId="165" fontId="25" fillId="2" borderId="0" xfId="0" applyFont="true" applyBorder="false" applyAlignment="true" applyProtection="true">
      <alignment horizontal="general" vertical="bottom" textRotation="0" wrapText="false" indent="0" shrinkToFit="false"/>
      <protection locked="true" hidden="false"/>
    </xf>
    <xf numFmtId="165" fontId="30" fillId="2" borderId="0" xfId="0" applyFont="true" applyBorder="false" applyAlignment="true" applyProtection="true">
      <alignment horizontal="left" vertical="center" textRotation="0" wrapText="false" indent="0" shrinkToFit="false"/>
      <protection locked="true" hidden="true"/>
    </xf>
    <xf numFmtId="165" fontId="67" fillId="4" borderId="2"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true" applyProtection="true">
      <alignment horizontal="general" vertical="center" textRotation="0" wrapText="false" indent="0" shrinkToFit="false"/>
      <protection locked="true" hidden="true"/>
    </xf>
    <xf numFmtId="165" fontId="25" fillId="2" borderId="0" xfId="0" applyFont="true" applyBorder="false" applyAlignment="true" applyProtection="true">
      <alignment horizontal="left" vertical="center" textRotation="0" wrapText="false" indent="0" shrinkToFit="false"/>
      <protection locked="true" hidden="true"/>
    </xf>
    <xf numFmtId="165" fontId="25" fillId="0" borderId="0" xfId="0" applyFont="true" applyBorder="false" applyAlignment="true" applyProtection="true">
      <alignment horizontal="general" vertical="bottom" textRotation="0" wrapText="false" indent="0" shrinkToFit="false"/>
      <protection locked="true" hidden="true"/>
    </xf>
    <xf numFmtId="165" fontId="68" fillId="0" borderId="0" xfId="0" applyFont="true" applyBorder="false" applyAlignment="true" applyProtection="true">
      <alignment horizontal="general" vertical="bottom" textRotation="0" wrapText="false" indent="0" shrinkToFit="false"/>
      <protection locked="true" hidden="true"/>
    </xf>
    <xf numFmtId="165" fontId="26" fillId="0" borderId="0" xfId="0" applyFont="true" applyBorder="false" applyAlignment="true" applyProtection="true">
      <alignment horizontal="center" vertical="bottom" textRotation="0" wrapText="false" indent="0" shrinkToFit="false"/>
      <protection locked="true" hidden="true"/>
    </xf>
    <xf numFmtId="165" fontId="22" fillId="0" borderId="0" xfId="0" applyFont="true" applyBorder="false" applyAlignment="true" applyProtection="true">
      <alignment horizontal="general" vertical="bottom" textRotation="0" wrapText="false" indent="0" shrinkToFit="false"/>
      <protection locked="true" hidden="true"/>
    </xf>
    <xf numFmtId="165" fontId="69" fillId="0" borderId="0" xfId="0" applyFont="true" applyBorder="false" applyAlignment="true" applyProtection="true">
      <alignment horizontal="general" vertical="bottom" textRotation="0" wrapText="false" indent="0" shrinkToFit="false"/>
      <protection locked="true" hidden="true"/>
    </xf>
    <xf numFmtId="165" fontId="22" fillId="0" borderId="0" xfId="0" applyFont="true" applyBorder="false" applyAlignment="true" applyProtection="true">
      <alignment horizontal="general" vertical="center" textRotation="0" wrapText="false" indent="0" shrinkToFit="false"/>
      <protection locked="true" hidden="true"/>
    </xf>
    <xf numFmtId="165" fontId="26" fillId="0" borderId="0" xfId="0" applyFont="true" applyBorder="false" applyAlignment="true" applyProtection="true">
      <alignment horizontal="general" vertical="center" textRotation="0" wrapText="false" indent="0" shrinkToFit="false"/>
      <protection locked="true" hidden="true"/>
    </xf>
    <xf numFmtId="165" fontId="26" fillId="2" borderId="0" xfId="26" applyFont="true" applyBorder="false" applyAlignment="true" applyProtection="true">
      <alignment horizontal="general" vertical="bottom" textRotation="0" wrapText="false" indent="0" shrinkToFit="false"/>
      <protection locked="true" hidden="true"/>
    </xf>
    <xf numFmtId="165" fontId="26" fillId="2" borderId="0" xfId="26" applyFont="true" applyBorder="false" applyAlignment="true" applyProtection="true">
      <alignment horizontal="center" vertical="bottom" textRotation="0" wrapText="false" indent="0" shrinkToFit="false"/>
      <protection locked="true" hidden="true"/>
    </xf>
    <xf numFmtId="165" fontId="70" fillId="2" borderId="0" xfId="26" applyFont="true" applyBorder="false" applyAlignment="true" applyProtection="true">
      <alignment horizontal="general" vertical="bottom" textRotation="0" wrapText="false" indent="0" shrinkToFit="false"/>
      <protection locked="true" hidden="true"/>
    </xf>
    <xf numFmtId="165" fontId="26" fillId="2" borderId="0" xfId="26" applyFont="true" applyBorder="false" applyAlignment="true" applyProtection="true">
      <alignment horizontal="general" vertical="center" textRotation="0" wrapText="true" indent="0" shrinkToFit="false"/>
      <protection locked="true" hidden="true"/>
    </xf>
    <xf numFmtId="165" fontId="26" fillId="2" borderId="0" xfId="26" applyFont="true" applyBorder="false" applyAlignment="true" applyProtection="true">
      <alignment horizontal="general" vertical="center" textRotation="0" wrapText="false" indent="0" shrinkToFit="false"/>
      <protection locked="true" hidden="true"/>
    </xf>
    <xf numFmtId="165" fontId="26" fillId="2" borderId="0" xfId="0" applyFont="true" applyBorder="false" applyAlignment="true" applyProtection="true">
      <alignment horizontal="general" vertical="bottom" textRotation="0" wrapText="false" indent="0" shrinkToFit="false"/>
      <protection locked="true" hidden="false"/>
    </xf>
    <xf numFmtId="165" fontId="22" fillId="2" borderId="0" xfId="26" applyFont="true" applyBorder="false" applyAlignment="true" applyProtection="true">
      <alignment horizontal="general" vertical="bottom" textRotation="0" wrapText="false" indent="0" shrinkToFit="false"/>
      <protection locked="true" hidden="true"/>
    </xf>
    <xf numFmtId="165" fontId="68" fillId="2" borderId="0" xfId="26" applyFont="true" applyBorder="false" applyAlignment="true" applyProtection="true">
      <alignment horizontal="general" vertical="bottom" textRotation="0" wrapText="false" indent="0" shrinkToFit="false"/>
      <protection locked="true" hidden="true"/>
    </xf>
    <xf numFmtId="165" fontId="25" fillId="2" borderId="0" xfId="26" applyFont="true" applyBorder="false" applyAlignment="true" applyProtection="true">
      <alignment horizontal="center" vertical="center" textRotation="0" wrapText="false" indent="0" shrinkToFit="false"/>
      <protection locked="true" hidden="true"/>
    </xf>
    <xf numFmtId="165" fontId="71" fillId="2" borderId="0" xfId="26" applyFont="true" applyBorder="false" applyAlignment="true" applyProtection="true">
      <alignment horizontal="general" vertical="bottom" textRotation="0" wrapText="false" indent="0" shrinkToFit="false"/>
      <protection locked="true" hidden="true"/>
    </xf>
    <xf numFmtId="165" fontId="25" fillId="2" borderId="0" xfId="26" applyFont="true" applyBorder="false" applyAlignment="true" applyProtection="true">
      <alignment horizontal="general" vertical="center" textRotation="0" wrapText="false" indent="0" shrinkToFit="false"/>
      <protection locked="true" hidden="true"/>
    </xf>
    <xf numFmtId="165" fontId="25" fillId="2" borderId="0" xfId="26" applyFont="true" applyBorder="false" applyAlignment="true" applyProtection="true">
      <alignment horizontal="general" vertical="bottom" textRotation="0" wrapText="false" indent="0" shrinkToFit="false"/>
      <protection locked="true" hidden="true"/>
    </xf>
    <xf numFmtId="165" fontId="45" fillId="0" borderId="53" xfId="22" applyFont="true" applyBorder="true" applyAlignment="true" applyProtection="true">
      <alignment horizontal="center" vertical="center" textRotation="0" wrapText="false" indent="0" shrinkToFit="false"/>
      <protection locked="true" hidden="true"/>
    </xf>
    <xf numFmtId="165" fontId="22" fillId="0" borderId="53" xfId="22" applyFont="true" applyBorder="true" applyAlignment="true" applyProtection="true">
      <alignment horizontal="center" vertical="center" textRotation="0" wrapText="false" indent="0" shrinkToFit="false"/>
      <protection locked="true" hidden="true"/>
    </xf>
    <xf numFmtId="165" fontId="72" fillId="2" borderId="0" xfId="26" applyFont="true" applyBorder="false" applyAlignment="true" applyProtection="true">
      <alignment horizontal="center" vertical="center" textRotation="0" wrapText="false" indent="0" shrinkToFit="false"/>
      <protection locked="true" hidden="true"/>
    </xf>
    <xf numFmtId="165" fontId="72" fillId="3" borderId="54" xfId="22" applyFont="true" applyBorder="true" applyAlignment="true" applyProtection="true">
      <alignment horizontal="center" vertical="center" textRotation="0" wrapText="false" indent="0" shrinkToFit="false"/>
      <protection locked="false" hidden="true"/>
    </xf>
    <xf numFmtId="165" fontId="25" fillId="2" borderId="0" xfId="27" applyFont="true" applyBorder="false" applyAlignment="true" applyProtection="true">
      <alignment horizontal="center" vertical="bottom" textRotation="0" wrapText="false" indent="0" shrinkToFit="false"/>
      <protection locked="true" hidden="true"/>
    </xf>
    <xf numFmtId="165" fontId="32" fillId="2" borderId="0" xfId="27" applyFont="true" applyBorder="false" applyAlignment="true" applyProtection="true">
      <alignment horizontal="general" vertical="center" textRotation="0" wrapText="false" indent="0" shrinkToFit="false"/>
      <protection locked="true" hidden="true"/>
    </xf>
    <xf numFmtId="165" fontId="45" fillId="2" borderId="0" xfId="20" applyFont="true" applyBorder="true" applyAlignment="true" applyProtection="true">
      <alignment horizontal="general" vertical="center" textRotation="0" wrapText="false" indent="0" shrinkToFit="false"/>
      <protection locked="false" hidden="true"/>
    </xf>
    <xf numFmtId="165" fontId="32" fillId="2" borderId="0" xfId="26" applyFont="true" applyBorder="false" applyAlignment="true" applyProtection="true">
      <alignment horizontal="general" vertical="center" textRotation="0" wrapText="false" indent="0" shrinkToFit="false"/>
      <protection locked="true" hidden="true"/>
    </xf>
    <xf numFmtId="165" fontId="22" fillId="2" borderId="0" xfId="26" applyFont="true" applyBorder="false" applyAlignment="true" applyProtection="true">
      <alignment horizontal="general" vertical="center" textRotation="0" wrapText="false" indent="0" shrinkToFit="false"/>
      <protection locked="true" hidden="true"/>
    </xf>
    <xf numFmtId="165" fontId="45" fillId="0" borderId="55" xfId="22" applyFont="true" applyBorder="true" applyAlignment="true" applyProtection="true">
      <alignment horizontal="center" vertical="center" textRotation="0" wrapText="false" indent="0" shrinkToFit="false"/>
      <protection locked="false" hidden="true"/>
    </xf>
    <xf numFmtId="165" fontId="22" fillId="0" borderId="55" xfId="22" applyFont="true" applyBorder="true" applyAlignment="true" applyProtection="true">
      <alignment horizontal="center" vertical="center" textRotation="0" wrapText="false" indent="0" shrinkToFit="false"/>
      <protection locked="true" hidden="true"/>
    </xf>
    <xf numFmtId="165" fontId="26" fillId="2" borderId="24" xfId="26" applyFont="true" applyBorder="true" applyAlignment="true" applyProtection="true">
      <alignment horizontal="general" vertical="bottom" textRotation="0" wrapText="false" indent="0" shrinkToFit="false"/>
      <protection locked="true" hidden="true"/>
    </xf>
    <xf numFmtId="166" fontId="25" fillId="2" borderId="0" xfId="27" applyFont="true" applyBorder="false" applyAlignment="true" applyProtection="true">
      <alignment horizontal="center" vertical="bottom" textRotation="0" wrapText="false" indent="0" shrinkToFit="false"/>
      <protection locked="true" hidden="true"/>
    </xf>
    <xf numFmtId="165" fontId="22" fillId="5" borderId="44" xfId="0" applyFont="true" applyBorder="true" applyAlignment="true" applyProtection="true">
      <alignment horizontal="center" vertical="center" textRotation="0" wrapText="false" indent="0" shrinkToFit="false"/>
      <protection locked="false" hidden="true"/>
    </xf>
    <xf numFmtId="165" fontId="32" fillId="21" borderId="0" xfId="0" applyFont="true" applyBorder="false" applyAlignment="true" applyProtection="true">
      <alignment horizontal="center" vertical="center" textRotation="0" wrapText="false" indent="0" shrinkToFit="false"/>
      <protection locked="true" hidden="true"/>
    </xf>
    <xf numFmtId="165" fontId="22" fillId="0" borderId="56" xfId="29" applyFont="true" applyBorder="true" applyAlignment="true" applyProtection="true">
      <alignment horizontal="left" vertical="center" textRotation="0" wrapText="false" indent="0" shrinkToFit="false"/>
      <protection locked="true" hidden="true"/>
    </xf>
    <xf numFmtId="165" fontId="22" fillId="3" borderId="57" xfId="27" applyFont="true" applyBorder="true" applyAlignment="true" applyProtection="true">
      <alignment horizontal="left" vertical="center" textRotation="0" wrapText="false" indent="0" shrinkToFit="false"/>
      <protection locked="false" hidden="true"/>
    </xf>
    <xf numFmtId="165" fontId="22" fillId="3" borderId="58" xfId="27" applyFont="true" applyBorder="true" applyAlignment="true" applyProtection="true">
      <alignment horizontal="general" vertical="center" textRotation="0" wrapText="false" indent="0" shrinkToFit="false"/>
      <protection locked="true" hidden="true"/>
    </xf>
    <xf numFmtId="165" fontId="32" fillId="5" borderId="0" xfId="0" applyFont="true" applyBorder="false" applyAlignment="true" applyProtection="true">
      <alignment horizontal="left" vertical="bottom" textRotation="0" wrapText="false" indent="0" shrinkToFit="false"/>
      <protection locked="false" hidden="true"/>
    </xf>
    <xf numFmtId="165" fontId="32" fillId="5" borderId="59" xfId="0" applyFont="true" applyBorder="true" applyAlignment="true" applyProtection="true">
      <alignment horizontal="center" vertical="top" textRotation="0" wrapText="false" indent="0" shrinkToFit="false"/>
      <protection locked="true" hidden="true"/>
    </xf>
    <xf numFmtId="165" fontId="22" fillId="0" borderId="60" xfId="29" applyFont="true" applyBorder="true" applyAlignment="true" applyProtection="true">
      <alignment horizontal="left" vertical="center" textRotation="0" wrapText="false" indent="0" shrinkToFit="false"/>
      <protection locked="true" hidden="true"/>
    </xf>
    <xf numFmtId="165" fontId="36" fillId="6" borderId="61" xfId="0" applyFont="true" applyBorder="true" applyAlignment="true" applyProtection="true">
      <alignment horizontal="left" vertical="center" textRotation="0" wrapText="false" indent="0" shrinkToFit="false"/>
      <protection locked="true" hidden="true"/>
    </xf>
    <xf numFmtId="165" fontId="22" fillId="6" borderId="8" xfId="0" applyFont="true" applyBorder="true" applyAlignment="true" applyProtection="true">
      <alignment horizontal="center" vertical="center" textRotation="0" wrapText="false" indent="0" shrinkToFit="false"/>
      <protection locked="false" hidden="true"/>
    </xf>
    <xf numFmtId="165" fontId="32" fillId="6" borderId="0" xfId="0" applyFont="true" applyBorder="false" applyAlignment="true" applyProtection="true">
      <alignment horizontal="center" vertical="center" textRotation="0" wrapText="false" indent="0" shrinkToFit="false"/>
      <protection locked="true" hidden="true"/>
    </xf>
    <xf numFmtId="165" fontId="22" fillId="3" borderId="57" xfId="27" applyFont="true" applyBorder="true" applyAlignment="true" applyProtection="true">
      <alignment horizontal="general" vertical="center" textRotation="0" wrapText="false" indent="0" shrinkToFit="false"/>
      <protection locked="false" hidden="true"/>
    </xf>
    <xf numFmtId="165" fontId="36" fillId="0" borderId="61" xfId="0" applyFont="true" applyBorder="true" applyAlignment="true" applyProtection="true">
      <alignment horizontal="left" vertical="center" textRotation="0" wrapText="false" indent="0" shrinkToFit="false"/>
      <protection locked="true" hidden="true"/>
    </xf>
    <xf numFmtId="165" fontId="22" fillId="3" borderId="8" xfId="0" applyFont="true" applyBorder="true" applyAlignment="true" applyProtection="true">
      <alignment horizontal="center" vertical="center" textRotation="0" wrapText="false" indent="0" shrinkToFit="false"/>
      <protection locked="false" hidden="true"/>
    </xf>
    <xf numFmtId="169" fontId="22" fillId="3" borderId="57" xfId="27" applyFont="true" applyBorder="true" applyAlignment="true" applyProtection="true">
      <alignment horizontal="general" vertical="center" textRotation="0" wrapText="false" indent="0" shrinkToFit="false"/>
      <protection locked="false" hidden="true"/>
    </xf>
    <xf numFmtId="165" fontId="22" fillId="0" borderId="62" xfId="29" applyFont="true" applyBorder="true" applyAlignment="true" applyProtection="true">
      <alignment horizontal="left" vertical="center" textRotation="0" wrapText="false" indent="0" shrinkToFit="false"/>
      <protection locked="true" hidden="true"/>
    </xf>
    <xf numFmtId="165" fontId="36" fillId="0" borderId="63" xfId="0" applyFont="true" applyBorder="true" applyAlignment="true" applyProtection="true">
      <alignment horizontal="left" vertical="center" textRotation="0" wrapText="false" indent="0" shrinkToFit="false"/>
      <protection locked="true" hidden="true"/>
    </xf>
    <xf numFmtId="165" fontId="22" fillId="3" borderId="9" xfId="0" applyFont="true" applyBorder="true" applyAlignment="true" applyProtection="true">
      <alignment horizontal="center" vertical="center" textRotation="0" wrapText="false" indent="0" shrinkToFit="false"/>
      <protection locked="false" hidden="true"/>
    </xf>
    <xf numFmtId="165" fontId="22" fillId="3" borderId="64" xfId="27" applyFont="true" applyBorder="true" applyAlignment="true" applyProtection="true">
      <alignment horizontal="general" vertical="center" textRotation="0" wrapText="false" indent="0" shrinkToFit="false"/>
      <protection locked="false" hidden="true"/>
    </xf>
    <xf numFmtId="165" fontId="22" fillId="3" borderId="65" xfId="27" applyFont="true" applyBorder="true" applyAlignment="true" applyProtection="true">
      <alignment horizontal="general" vertical="center" textRotation="0" wrapText="false" indent="0" shrinkToFit="false"/>
      <protection locked="true" hidden="true"/>
    </xf>
    <xf numFmtId="165" fontId="22" fillId="0" borderId="66" xfId="29" applyFont="true" applyBorder="true" applyAlignment="true" applyProtection="true">
      <alignment horizontal="left" vertical="center" textRotation="0" wrapText="false" indent="0" shrinkToFit="false"/>
      <protection locked="true" hidden="true"/>
    </xf>
    <xf numFmtId="165" fontId="22" fillId="0" borderId="67" xfId="29" applyFont="true" applyBorder="true" applyAlignment="true" applyProtection="true">
      <alignment horizontal="left" vertical="center" textRotation="0" wrapText="false" indent="0" shrinkToFit="false"/>
      <protection locked="true" hidden="true"/>
    </xf>
    <xf numFmtId="165" fontId="22" fillId="0" borderId="68" xfId="29" applyFont="true" applyBorder="true" applyAlignment="true" applyProtection="true">
      <alignment horizontal="left" vertical="center" textRotation="0" wrapText="false" indent="0" shrinkToFit="false"/>
      <protection locked="true" hidden="true"/>
    </xf>
    <xf numFmtId="165" fontId="22" fillId="3" borderId="69" xfId="27" applyFont="true" applyBorder="true" applyAlignment="true" applyProtection="true">
      <alignment horizontal="general" vertical="center" textRotation="0" wrapText="false" indent="0" shrinkToFit="false"/>
      <protection locked="false" hidden="true"/>
    </xf>
    <xf numFmtId="165" fontId="22" fillId="3" borderId="70" xfId="27" applyFont="true" applyBorder="true" applyAlignment="true" applyProtection="true">
      <alignment horizontal="general" vertical="center" textRotation="0" wrapText="false" indent="0" shrinkToFit="false"/>
      <protection locked="true" hidden="true"/>
    </xf>
    <xf numFmtId="165" fontId="36" fillId="6" borderId="63" xfId="0" applyFont="true" applyBorder="true" applyAlignment="true" applyProtection="true">
      <alignment horizontal="left" vertical="center" textRotation="0" wrapText="false" indent="0" shrinkToFit="false"/>
      <protection locked="true" hidden="true"/>
    </xf>
    <xf numFmtId="165" fontId="22" fillId="6" borderId="9" xfId="0" applyFont="true" applyBorder="true" applyAlignment="true" applyProtection="true">
      <alignment horizontal="center" vertical="center" textRotation="0" wrapText="false" indent="0" shrinkToFit="false"/>
      <protection locked="false" hidden="true"/>
    </xf>
    <xf numFmtId="165" fontId="68" fillId="2" borderId="0" xfId="0" applyFont="true" applyBorder="false" applyAlignment="true" applyProtection="true">
      <alignment horizontal="general" vertical="bottom" textRotation="0" wrapText="false" indent="0" shrinkToFit="false"/>
      <protection locked="true" hidden="false"/>
    </xf>
    <xf numFmtId="165" fontId="22" fillId="2" borderId="0" xfId="26" applyFont="true" applyBorder="false" applyAlignment="true" applyProtection="true">
      <alignment horizontal="right" vertical="bottom" textRotation="0" wrapText="false" indent="0" shrinkToFit="false"/>
      <protection locked="true" hidden="true"/>
    </xf>
    <xf numFmtId="165" fontId="43" fillId="2" borderId="0" xfId="26" applyFont="true" applyBorder="false" applyAlignment="true" applyProtection="true">
      <alignment horizontal="left" vertical="top" textRotation="0" wrapText="false" indent="0" shrinkToFit="false"/>
      <protection locked="true" hidden="true"/>
    </xf>
    <xf numFmtId="170" fontId="73" fillId="0" borderId="71" xfId="0" applyFont="true" applyBorder="true" applyAlignment="true" applyProtection="true">
      <alignment horizontal="center" vertical="top" textRotation="0" wrapText="false" indent="0" shrinkToFit="false"/>
      <protection locked="false" hidden="true"/>
    </xf>
    <xf numFmtId="165" fontId="74" fillId="4" borderId="2" xfId="0" applyFont="true" applyBorder="true" applyAlignment="true" applyProtection="true">
      <alignment horizontal="center" vertical="center" textRotation="0" wrapText="false" indent="0" shrinkToFit="false"/>
      <protection locked="false" hidden="true"/>
    </xf>
    <xf numFmtId="165" fontId="36" fillId="6" borderId="72" xfId="0" applyFont="true" applyBorder="true" applyAlignment="true" applyProtection="true">
      <alignment horizontal="left" vertical="center" textRotation="0" wrapText="false" indent="0" shrinkToFit="false"/>
      <protection locked="true" hidden="true"/>
    </xf>
    <xf numFmtId="165" fontId="22" fillId="6" borderId="73" xfId="0" applyFont="true" applyBorder="true" applyAlignment="true" applyProtection="true">
      <alignment horizontal="center" vertical="center" textRotation="0" wrapText="false" indent="0" shrinkToFit="false"/>
      <protection locked="true" hidden="true"/>
    </xf>
    <xf numFmtId="165" fontId="36" fillId="0" borderId="74" xfId="0" applyFont="true" applyBorder="true" applyAlignment="true" applyProtection="true">
      <alignment horizontal="left" vertical="center" textRotation="0" wrapText="false" indent="0" shrinkToFit="false"/>
      <protection locked="true" hidden="true"/>
    </xf>
    <xf numFmtId="165" fontId="22" fillId="3" borderId="8" xfId="0" applyFont="true" applyBorder="true" applyAlignment="true" applyProtection="true">
      <alignment horizontal="center" vertical="center" textRotation="0" wrapText="false" indent="0" shrinkToFit="false"/>
      <protection locked="true" hidden="true"/>
    </xf>
    <xf numFmtId="165" fontId="36" fillId="6" borderId="74" xfId="0" applyFont="true" applyBorder="true" applyAlignment="true" applyProtection="true">
      <alignment horizontal="left" vertical="center" textRotation="0" wrapText="false" indent="0" shrinkToFit="false"/>
      <protection locked="true" hidden="true"/>
    </xf>
    <xf numFmtId="165" fontId="22" fillId="6" borderId="8" xfId="0" applyFont="true" applyBorder="true" applyAlignment="true" applyProtection="true">
      <alignment horizontal="center" vertical="center" textRotation="0" wrapText="false" indent="0" shrinkToFit="false"/>
      <protection locked="true" hidden="true"/>
    </xf>
    <xf numFmtId="165" fontId="36" fillId="6" borderId="75" xfId="0" applyFont="true" applyBorder="true" applyAlignment="true" applyProtection="true">
      <alignment horizontal="left" vertical="center" textRotation="0" wrapText="false" indent="0" shrinkToFit="false"/>
      <protection locked="true" hidden="true"/>
    </xf>
    <xf numFmtId="165" fontId="22" fillId="6" borderId="9" xfId="0" applyFont="true" applyBorder="true" applyAlignment="true" applyProtection="true">
      <alignment horizontal="center" vertical="center" textRotation="0" wrapText="false" indent="0" shrinkToFit="false"/>
      <protection locked="true" hidden="true"/>
    </xf>
    <xf numFmtId="165" fontId="36" fillId="0" borderId="75" xfId="0" applyFont="true" applyBorder="true" applyAlignment="true" applyProtection="true">
      <alignment horizontal="left" vertical="center" textRotation="0" wrapText="false" indent="0" shrinkToFit="false"/>
      <protection locked="true" hidden="true"/>
    </xf>
    <xf numFmtId="165" fontId="22" fillId="3" borderId="9" xfId="0" applyFont="true" applyBorder="true" applyAlignment="true" applyProtection="true">
      <alignment horizontal="center" vertical="center" textRotation="0" wrapText="false" indent="0" shrinkToFit="false"/>
      <protection locked="true" hidden="true"/>
    </xf>
    <xf numFmtId="165" fontId="26" fillId="2" borderId="0" xfId="27" applyFont="true" applyBorder="false" applyAlignment="true" applyProtection="true">
      <alignment horizontal="center" vertical="bottom" textRotation="0" wrapText="false" indent="0" shrinkToFit="false"/>
      <protection locked="true" hidden="true"/>
    </xf>
    <xf numFmtId="166" fontId="26" fillId="2" borderId="0" xfId="27" applyFont="true" applyBorder="false" applyAlignment="true" applyProtection="true">
      <alignment horizontal="center" vertical="bottom" textRotation="0" wrapText="false" indent="0" shrinkToFit="false"/>
      <protection locked="true" hidden="true"/>
    </xf>
    <xf numFmtId="165" fontId="22" fillId="0" borderId="76" xfId="29" applyFont="true" applyBorder="true" applyAlignment="true" applyProtection="true">
      <alignment horizontal="left" vertical="center" textRotation="0" wrapText="false" indent="0" shrinkToFit="false"/>
      <protection locked="true" hidden="true"/>
    </xf>
    <xf numFmtId="165" fontId="22" fillId="0" borderId="77" xfId="29" applyFont="true" applyBorder="true" applyAlignment="true" applyProtection="true">
      <alignment horizontal="left" vertical="center" textRotation="0" wrapText="false" indent="0" shrinkToFit="false"/>
      <protection locked="true" hidden="true"/>
    </xf>
    <xf numFmtId="165" fontId="22" fillId="3" borderId="78" xfId="27" applyFont="true" applyBorder="true" applyAlignment="true" applyProtection="true">
      <alignment horizontal="general" vertical="center" textRotation="0" wrapText="false" indent="0" shrinkToFit="false"/>
      <protection locked="false" hidden="true"/>
    </xf>
    <xf numFmtId="165" fontId="22" fillId="3" borderId="79" xfId="27" applyFont="true" applyBorder="true" applyAlignment="true" applyProtection="true">
      <alignment horizontal="general" vertical="center" textRotation="0" wrapText="false" indent="0" shrinkToFit="false"/>
      <protection locked="true" hidden="true"/>
    </xf>
    <xf numFmtId="165" fontId="22" fillId="2" borderId="0" xfId="27" applyFont="true" applyBorder="false" applyAlignment="true" applyProtection="true">
      <alignment horizontal="general" vertical="bottom" textRotation="0" wrapText="false" indent="0" shrinkToFit="false"/>
      <protection locked="true" hidden="true"/>
    </xf>
    <xf numFmtId="165" fontId="69" fillId="2" borderId="0" xfId="27" applyFont="true" applyBorder="false" applyAlignment="true" applyProtection="true">
      <alignment horizontal="general" vertical="bottom" textRotation="0" wrapText="false" indent="0" shrinkToFit="false"/>
      <protection locked="true" hidden="true"/>
    </xf>
    <xf numFmtId="165" fontId="22" fillId="2" borderId="80" xfId="27" applyFont="true" applyBorder="true" applyAlignment="true" applyProtection="true">
      <alignment horizontal="general" vertical="center" textRotation="0" wrapText="false" indent="0" shrinkToFit="false"/>
      <protection locked="true" hidden="true"/>
    </xf>
    <xf numFmtId="165" fontId="22" fillId="2" borderId="80" xfId="27" applyFont="true" applyBorder="true" applyAlignment="true" applyProtection="true">
      <alignment horizontal="general" vertical="bottom" textRotation="0" wrapText="false" indent="0" shrinkToFit="false"/>
      <protection locked="true" hidden="true"/>
    </xf>
    <xf numFmtId="165" fontId="26" fillId="2" borderId="0" xfId="27" applyFont="true" applyBorder="false" applyAlignment="true" applyProtection="true">
      <alignment horizontal="general" vertical="bottom" textRotation="0" wrapText="false" indent="0" shrinkToFit="false"/>
      <protection locked="true" hidden="true"/>
    </xf>
    <xf numFmtId="165" fontId="22" fillId="2" borderId="0" xfId="27" applyFont="true" applyBorder="false" applyAlignment="true" applyProtection="true">
      <alignment horizontal="general" vertical="center" textRotation="0" wrapText="false" indent="0" shrinkToFit="false"/>
      <protection locked="false" hidden="true"/>
    </xf>
    <xf numFmtId="165" fontId="22" fillId="2" borderId="0" xfId="27" applyFont="true" applyBorder="false" applyAlignment="true" applyProtection="true">
      <alignment horizontal="general" vertical="center" textRotation="0" wrapText="false" indent="0" shrinkToFit="false"/>
      <protection locked="true" hidden="true"/>
    </xf>
    <xf numFmtId="165" fontId="25" fillId="2" borderId="0" xfId="27" applyFont="true" applyBorder="false" applyAlignment="true" applyProtection="true">
      <alignment horizontal="general" vertical="bottom" textRotation="0" wrapText="false" indent="0" shrinkToFit="false"/>
      <protection locked="true" hidden="true"/>
    </xf>
    <xf numFmtId="166" fontId="75" fillId="5" borderId="0" xfId="0" applyFont="true" applyBorder="true" applyAlignment="true" applyProtection="true">
      <alignment horizontal="center" vertical="center" textRotation="2" wrapText="false" indent="0" shrinkToFit="false"/>
      <protection locked="true" hidden="true"/>
    </xf>
    <xf numFmtId="165" fontId="75" fillId="21" borderId="0" xfId="0" applyFont="true" applyBorder="true" applyAlignment="true" applyProtection="true">
      <alignment horizontal="center" vertical="center" textRotation="0" wrapText="false" indent="0" shrinkToFit="false"/>
      <protection locked="true" hidden="true"/>
    </xf>
    <xf numFmtId="165" fontId="76" fillId="2" borderId="0" xfId="26" applyFont="true" applyBorder="false" applyAlignment="true" applyProtection="true">
      <alignment horizontal="general" vertical="bottom" textRotation="0" wrapText="false" indent="0" shrinkToFit="false"/>
      <protection locked="true" hidden="true"/>
    </xf>
    <xf numFmtId="165" fontId="76" fillId="2" borderId="0" xfId="26" applyFont="true" applyBorder="false" applyAlignment="true" applyProtection="true">
      <alignment horizontal="center" vertical="bottom" textRotation="0" wrapText="false" indent="0" shrinkToFit="false"/>
      <protection locked="true" hidden="true"/>
    </xf>
    <xf numFmtId="165" fontId="76" fillId="2" borderId="0" xfId="27" applyFont="true" applyBorder="false" applyAlignment="true" applyProtection="true">
      <alignment horizontal="center" vertical="bottom" textRotation="0" wrapText="false" indent="0" shrinkToFit="false"/>
      <protection locked="true" hidden="true"/>
    </xf>
    <xf numFmtId="165" fontId="69" fillId="2" borderId="0" xfId="26" applyFont="true" applyBorder="false" applyAlignment="true" applyProtection="true">
      <alignment horizontal="general" vertical="bottom" textRotation="0" wrapText="false" indent="0" shrinkToFit="false"/>
      <protection locked="true" hidden="true"/>
    </xf>
    <xf numFmtId="165" fontId="22" fillId="2" borderId="80" xfId="26" applyFont="true" applyBorder="true" applyAlignment="true" applyProtection="true">
      <alignment horizontal="general" vertical="center" textRotation="0" wrapText="false" indent="0" shrinkToFit="false"/>
      <protection locked="true" hidden="true"/>
    </xf>
    <xf numFmtId="165" fontId="22" fillId="2" borderId="80" xfId="26" applyFont="true" applyBorder="true" applyAlignment="true" applyProtection="true">
      <alignment horizontal="general" vertical="bottom" textRotation="0" wrapText="false" indent="0" shrinkToFit="false"/>
      <protection locked="true" hidden="true"/>
    </xf>
    <xf numFmtId="165" fontId="22" fillId="2" borderId="0" xfId="26" applyFont="true" applyBorder="false" applyAlignment="true" applyProtection="true">
      <alignment horizontal="general" vertical="center" textRotation="0" wrapText="false" indent="0" shrinkToFit="false"/>
      <protection locked="false" hidden="true"/>
    </xf>
    <xf numFmtId="166" fontId="76" fillId="2" borderId="0" xfId="26" applyFont="true" applyBorder="false" applyAlignment="true" applyProtection="true">
      <alignment horizontal="center" vertical="bottom" textRotation="0" wrapText="false" indent="0" shrinkToFit="false"/>
      <protection locked="true" hidden="true"/>
    </xf>
    <xf numFmtId="166" fontId="77" fillId="5" borderId="0" xfId="0" applyFont="true" applyBorder="true" applyAlignment="true" applyProtection="true">
      <alignment horizontal="center" vertical="center" textRotation="0" wrapText="false" indent="0" shrinkToFit="false"/>
      <protection locked="true" hidden="true"/>
    </xf>
    <xf numFmtId="165" fontId="78" fillId="2" borderId="0" xfId="27" applyFont="true" applyBorder="false" applyAlignment="true" applyProtection="true">
      <alignment horizontal="general" vertical="bottom" textRotation="0" wrapText="false" indent="0" shrinkToFit="false"/>
      <protection locked="true" hidden="true"/>
    </xf>
    <xf numFmtId="165" fontId="22" fillId="2" borderId="0" xfId="26" applyFont="true" applyBorder="false" applyAlignment="true" applyProtection="true">
      <alignment horizontal="general" vertical="center" textRotation="0" wrapText="true" indent="0" shrinkToFit="false"/>
      <protection locked="true" hidden="true"/>
    </xf>
    <xf numFmtId="165" fontId="22" fillId="2" borderId="0" xfId="26" applyFont="true" applyBorder="false" applyAlignment="true" applyProtection="true">
      <alignment horizontal="general" vertical="center" textRotation="0" wrapText="true" indent="0" shrinkToFit="false"/>
      <protection locked="false" hidden="true"/>
    </xf>
    <xf numFmtId="165" fontId="76" fillId="2" borderId="0" xfId="0" applyFont="true" applyBorder="false" applyAlignment="true" applyProtection="true">
      <alignment horizontal="general" vertical="bottom" textRotation="0" wrapText="false" indent="0" shrinkToFit="false"/>
      <protection locked="true" hidden="false"/>
    </xf>
    <xf numFmtId="165" fontId="76" fillId="2" borderId="0" xfId="0" applyFont="true" applyBorder="false" applyAlignment="true" applyProtection="true">
      <alignment horizontal="center" vertical="bottom" textRotation="0" wrapText="false" indent="0" shrinkToFit="false"/>
      <protection locked="true" hidden="false"/>
    </xf>
    <xf numFmtId="166" fontId="76" fillId="2" borderId="0" xfId="27" applyFont="true" applyBorder="false" applyAlignment="true" applyProtection="true">
      <alignment horizontal="center" vertical="bottom" textRotation="0" wrapText="false" indent="0" shrinkToFit="false"/>
      <protection locked="true" hidden="true"/>
    </xf>
    <xf numFmtId="165" fontId="76" fillId="21" borderId="44" xfId="0" applyFont="true" applyBorder="true" applyAlignment="true" applyProtection="true">
      <alignment horizontal="center" vertical="center" textRotation="0" wrapText="false" indent="0" shrinkToFit="false"/>
      <protection locked="false" hidden="true"/>
    </xf>
    <xf numFmtId="165" fontId="22" fillId="3" borderId="46" xfId="27" applyFont="true" applyBorder="true" applyAlignment="true" applyProtection="true">
      <alignment horizontal="general" vertical="center" textRotation="0" wrapText="false" indent="0" shrinkToFit="false"/>
      <protection locked="false" hidden="true"/>
    </xf>
    <xf numFmtId="165" fontId="68" fillId="2" borderId="0" xfId="26" applyFont="true" applyBorder="false" applyAlignment="true" applyProtection="true">
      <alignment horizontal="general" vertical="bottom" textRotation="0" wrapText="false" indent="0" shrinkToFit="false"/>
      <protection locked="false" hidden="true"/>
    </xf>
    <xf numFmtId="166" fontId="79" fillId="5" borderId="0" xfId="0" applyFont="true" applyBorder="true" applyAlignment="true" applyProtection="true">
      <alignment horizontal="center" vertical="center" textRotation="0" wrapText="false" indent="0" shrinkToFit="false"/>
      <protection locked="true" hidden="true"/>
    </xf>
    <xf numFmtId="166" fontId="79" fillId="5" borderId="0" xfId="0" applyFont="true" applyBorder="false" applyAlignment="true" applyProtection="true">
      <alignment horizontal="center" vertical="center" textRotation="0" wrapText="false" indent="0" shrinkToFit="false"/>
      <protection locked="true" hidden="true"/>
    </xf>
    <xf numFmtId="165" fontId="22" fillId="0" borderId="81" xfId="29" applyFont="true" applyBorder="true" applyAlignment="true" applyProtection="true">
      <alignment horizontal="left" vertical="center" textRotation="0" wrapText="false" indent="0" shrinkToFit="false"/>
      <protection locked="true" hidden="true"/>
    </xf>
    <xf numFmtId="165" fontId="26" fillId="2" borderId="0" xfId="27" applyFont="true" applyBorder="false" applyAlignment="true" applyProtection="true">
      <alignment horizontal="general" vertical="bottom" textRotation="0" wrapText="true" indent="0" shrinkToFit="false"/>
      <protection locked="true" hidden="true"/>
    </xf>
    <xf numFmtId="165" fontId="69" fillId="6" borderId="0" xfId="26" applyFont="true" applyBorder="false" applyAlignment="true" applyProtection="true">
      <alignment horizontal="general" vertical="bottom" textRotation="0" wrapText="false" indent="0" shrinkToFit="false"/>
      <protection locked="true" hidden="true"/>
    </xf>
    <xf numFmtId="165" fontId="80" fillId="21" borderId="0" xfId="0" applyFont="true" applyBorder="false" applyAlignment="true" applyProtection="true">
      <alignment horizontal="left" vertical="center" textRotation="0" wrapText="false" indent="0" shrinkToFit="false"/>
      <protection locked="true" hidden="true"/>
    </xf>
    <xf numFmtId="165" fontId="81" fillId="21" borderId="0" xfId="0" applyFont="true" applyBorder="false" applyAlignment="true" applyProtection="true">
      <alignment horizontal="left" vertical="center" textRotation="0" wrapText="false" indent="0" shrinkToFit="false"/>
      <protection locked="true" hidden="true"/>
    </xf>
    <xf numFmtId="165" fontId="80" fillId="5" borderId="0" xfId="0" applyFont="true" applyBorder="false" applyAlignment="true" applyProtection="true">
      <alignment horizontal="left" vertical="center" textRotation="0" wrapText="false" indent="0" shrinkToFit="false"/>
      <protection locked="true" hidden="true"/>
    </xf>
    <xf numFmtId="165" fontId="81" fillId="5" borderId="0" xfId="0" applyFont="true" applyBorder="false" applyAlignment="true" applyProtection="true">
      <alignment horizontal="left" vertical="center" textRotation="0" wrapText="false" indent="0" shrinkToFit="false"/>
      <protection locked="true" hidden="true"/>
    </xf>
    <xf numFmtId="165" fontId="26" fillId="2" borderId="0" xfId="0" applyFont="true" applyBorder="false" applyAlignment="true" applyProtection="true">
      <alignment horizontal="general" vertical="bottom" textRotation="0" wrapText="false" indent="0" shrinkToFit="false"/>
      <protection locked="true" hidden="true"/>
    </xf>
    <xf numFmtId="165" fontId="29" fillId="22" borderId="82" xfId="0" applyFont="true" applyBorder="true" applyAlignment="true" applyProtection="true">
      <alignment horizontal="center" vertical="bottom" textRotation="0" wrapText="false" indent="0" shrinkToFit="false"/>
      <protection locked="true" hidden="false"/>
    </xf>
    <xf numFmtId="165" fontId="29" fillId="22" borderId="83" xfId="0" applyFont="true" applyBorder="true" applyAlignment="true" applyProtection="true">
      <alignment horizontal="center" vertical="bottom" textRotation="0" wrapText="false" indent="0" shrinkToFit="false"/>
      <protection locked="true" hidden="false"/>
    </xf>
    <xf numFmtId="165" fontId="29" fillId="22" borderId="84" xfId="0" applyFont="true" applyBorder="true" applyAlignment="true" applyProtection="true">
      <alignment horizontal="center" vertical="bottom" textRotation="0" wrapText="false" indent="0" shrinkToFit="false"/>
      <protection locked="true" hidden="false"/>
    </xf>
    <xf numFmtId="165" fontId="29" fillId="22" borderId="85" xfId="0" applyFont="true" applyBorder="true" applyAlignment="true" applyProtection="true">
      <alignment horizontal="center" vertical="bottom" textRotation="0" wrapText="false" indent="0" shrinkToFit="false"/>
      <protection locked="true" hidden="false"/>
    </xf>
    <xf numFmtId="165" fontId="29" fillId="22" borderId="82" xfId="0" applyFont="true" applyBorder="true" applyAlignment="true" applyProtection="true">
      <alignment horizontal="left" vertical="bottom" textRotation="0" wrapText="false" indent="0" shrinkToFit="false"/>
      <protection locked="true" hidden="false"/>
    </xf>
    <xf numFmtId="165" fontId="0" fillId="23" borderId="86" xfId="0" applyFont="false" applyBorder="true" applyAlignment="true" applyProtection="true">
      <alignment horizontal="right" vertical="bottom" textRotation="0" wrapText="false" indent="0" shrinkToFit="false"/>
      <protection locked="true" hidden="false"/>
    </xf>
    <xf numFmtId="165" fontId="0" fillId="0" borderId="87" xfId="0" applyFont="false" applyBorder="true" applyAlignment="true" applyProtection="true">
      <alignment horizontal="center" vertical="bottom" textRotation="0" wrapText="false" indent="0" shrinkToFit="false"/>
      <protection locked="true" hidden="false"/>
    </xf>
    <xf numFmtId="165" fontId="0" fillId="0" borderId="88" xfId="0" applyFont="false" applyBorder="true" applyAlignment="true" applyProtection="true">
      <alignment horizontal="center" vertical="bottom" textRotation="0" wrapText="false" indent="0" shrinkToFit="false"/>
      <protection locked="true" hidden="false"/>
    </xf>
    <xf numFmtId="165" fontId="0" fillId="0" borderId="89" xfId="0" applyFont="false" applyBorder="true" applyAlignment="true" applyProtection="true">
      <alignment horizontal="center" vertical="bottom" textRotation="0" wrapText="false" indent="0" shrinkToFit="false"/>
      <protection locked="true" hidden="false"/>
    </xf>
    <xf numFmtId="165" fontId="0" fillId="0" borderId="86" xfId="0" applyFont="false" applyBorder="true" applyAlignment="true" applyProtection="true">
      <alignment horizontal="center" vertical="bottom" textRotation="0" wrapText="false" indent="0" shrinkToFit="false"/>
      <protection locked="true" hidden="false"/>
    </xf>
    <xf numFmtId="165" fontId="0" fillId="23" borderId="86" xfId="0" applyFont="false" applyBorder="true" applyAlignment="true" applyProtection="true">
      <alignment horizontal="left" vertical="bottom" textRotation="0" wrapText="false" indent="0" shrinkToFit="false"/>
      <protection locked="true" hidden="false"/>
    </xf>
    <xf numFmtId="165" fontId="0" fillId="0" borderId="90" xfId="0" applyFont="false" applyBorder="true" applyAlignment="true" applyProtection="true">
      <alignment horizontal="center" vertical="bottom" textRotation="0" wrapText="false" indent="0" shrinkToFit="false"/>
      <protection locked="true" hidden="false"/>
    </xf>
    <xf numFmtId="165" fontId="0" fillId="0" borderId="91" xfId="0" applyFont="false" applyBorder="true" applyAlignment="true" applyProtection="true">
      <alignment horizontal="center" vertical="bottom" textRotation="0" wrapText="false" indent="0" shrinkToFit="false"/>
      <protection locked="true" hidden="false"/>
    </xf>
    <xf numFmtId="165" fontId="0" fillId="0" borderId="92" xfId="0" applyFont="false" applyBorder="true" applyAlignment="true" applyProtection="true">
      <alignment horizontal="center" vertical="bottom" textRotation="0" wrapText="false" indent="0" shrinkToFit="false"/>
      <protection locked="true" hidden="false"/>
    </xf>
    <xf numFmtId="165" fontId="0" fillId="0" borderId="93" xfId="0" applyFont="false" applyBorder="true" applyAlignment="true" applyProtection="true">
      <alignment horizontal="center" vertical="bottom" textRotation="0" wrapText="false" indent="0" shrinkToFit="false"/>
      <protection locked="true" hidden="false"/>
    </xf>
    <xf numFmtId="165" fontId="0" fillId="23" borderId="93" xfId="0" applyFont="false" applyBorder="true" applyAlignment="true" applyProtection="true">
      <alignment horizontal="left" vertical="bottom" textRotation="0" wrapText="false" indent="0" shrinkToFit="false"/>
      <protection locked="true" hidden="false"/>
    </xf>
    <xf numFmtId="165" fontId="0" fillId="23" borderId="93" xfId="0" applyFont="false" applyBorder="true" applyAlignment="true" applyProtection="true">
      <alignment horizontal="right" vertical="bottom" textRotation="0" wrapText="false" indent="0" shrinkToFit="false"/>
      <protection locked="true" hidden="false"/>
    </xf>
    <xf numFmtId="165" fontId="0" fillId="23" borderId="94" xfId="0" applyFont="false" applyBorder="true" applyAlignment="true" applyProtection="true">
      <alignment horizontal="right" vertical="bottom" textRotation="0" wrapText="false" indent="0" shrinkToFit="false"/>
      <protection locked="true" hidden="false"/>
    </xf>
    <xf numFmtId="165" fontId="0" fillId="0" borderId="95" xfId="0" applyFont="false" applyBorder="true" applyAlignment="true" applyProtection="true">
      <alignment horizontal="center" vertical="bottom" textRotation="0" wrapText="false" indent="0" shrinkToFit="false"/>
      <protection locked="true" hidden="false"/>
    </xf>
    <xf numFmtId="165" fontId="0" fillId="0" borderId="96" xfId="0" applyFont="false" applyBorder="true" applyAlignment="true" applyProtection="true">
      <alignment horizontal="center" vertical="bottom" textRotation="0" wrapText="false" indent="0" shrinkToFit="false"/>
      <protection locked="true" hidden="false"/>
    </xf>
    <xf numFmtId="165" fontId="0" fillId="0" borderId="97" xfId="0" applyFont="false" applyBorder="true" applyAlignment="true" applyProtection="true">
      <alignment horizontal="center" vertical="bottom" textRotation="0" wrapText="false" indent="0" shrinkToFit="false"/>
      <protection locked="true" hidden="false"/>
    </xf>
    <xf numFmtId="165" fontId="0" fillId="0" borderId="94" xfId="0" applyFont="false" applyBorder="true" applyAlignment="true" applyProtection="true">
      <alignment horizontal="center" vertical="bottom" textRotation="0" wrapText="false" indent="0" shrinkToFit="false"/>
      <protection locked="true" hidden="false"/>
    </xf>
    <xf numFmtId="165" fontId="0" fillId="23" borderId="94" xfId="0" applyFont="false" applyBorder="true" applyAlignment="true" applyProtection="true">
      <alignment horizontal="left" vertical="bottom" textRotation="0" wrapText="false" indent="0" shrinkToFit="false"/>
      <protection locked="true" hidden="false"/>
    </xf>
    <xf numFmtId="165" fontId="0" fillId="0" borderId="98" xfId="0" applyFont="false" applyBorder="true" applyAlignment="true" applyProtection="true">
      <alignment horizontal="center" vertical="bottom" textRotation="0" wrapText="false" indent="0" shrinkToFit="false"/>
      <protection locked="true" hidden="false"/>
    </xf>
    <xf numFmtId="165" fontId="0" fillId="23" borderId="98" xfId="0" applyFont="false" applyBorder="true" applyAlignment="true" applyProtection="true">
      <alignment horizontal="left" vertical="bottom" textRotation="0" wrapText="false" indent="0" shrinkToFit="false"/>
      <protection locked="true" hidden="false"/>
    </xf>
    <xf numFmtId="165" fontId="68" fillId="2" borderId="0" xfId="0" applyFont="true" applyBorder="false" applyAlignment="true" applyProtection="true">
      <alignment horizontal="general" vertical="bottom" textRotation="0" wrapText="false" indent="0" shrinkToFit="false"/>
      <protection locked="true" hidden="true"/>
    </xf>
    <xf numFmtId="165" fontId="75" fillId="0" borderId="99" xfId="27" applyFont="true" applyBorder="true" applyAlignment="true" applyProtection="true">
      <alignment horizontal="center" vertical="center" textRotation="0" wrapText="false" indent="0" shrinkToFit="false"/>
      <protection locked="true" hidden="true"/>
    </xf>
    <xf numFmtId="165" fontId="0" fillId="2" borderId="100" xfId="0" applyFont="false" applyBorder="true" applyAlignment="true" applyProtection="true">
      <alignment horizontal="general" vertical="bottom" textRotation="0" wrapText="false" indent="0" shrinkToFit="false"/>
      <protection locked="true" hidden="true"/>
    </xf>
    <xf numFmtId="165" fontId="25" fillId="2" borderId="100" xfId="0" applyFont="true" applyBorder="true" applyAlignment="true" applyProtection="true">
      <alignment horizontal="general" vertical="bottom" textRotation="0" wrapText="false" indent="0" shrinkToFit="false"/>
      <protection locked="true" hidden="true"/>
    </xf>
    <xf numFmtId="165" fontId="82" fillId="2" borderId="101" xfId="22" applyFont="true" applyBorder="true" applyAlignment="true" applyProtection="true">
      <alignment horizontal="center" vertical="center" textRotation="0" wrapText="true" indent="0" shrinkToFit="false"/>
      <protection locked="true" hidden="true"/>
    </xf>
    <xf numFmtId="165" fontId="83" fillId="2" borderId="101" xfId="22" applyFont="true" applyBorder="true" applyAlignment="true" applyProtection="true">
      <alignment horizontal="center" vertical="center" textRotation="0" wrapText="true" indent="0" shrinkToFit="false"/>
      <protection locked="true" hidden="true"/>
    </xf>
    <xf numFmtId="165" fontId="32" fillId="2" borderId="101" xfId="22" applyFont="true" applyBorder="true" applyAlignment="true" applyProtection="true">
      <alignment horizontal="center" vertical="center" textRotation="0" wrapText="true" indent="0" shrinkToFit="false"/>
      <protection locked="true" hidden="true"/>
    </xf>
    <xf numFmtId="165" fontId="32" fillId="2" borderId="101" xfId="22" applyFont="true" applyBorder="true" applyAlignment="true" applyProtection="true">
      <alignment horizontal="left" vertical="center" textRotation="0" wrapText="true" indent="0" shrinkToFit="false"/>
      <protection locked="true" hidden="true"/>
    </xf>
    <xf numFmtId="165" fontId="25" fillId="2" borderId="0" xfId="0" applyFont="true" applyBorder="false" applyAlignment="true" applyProtection="true">
      <alignment horizontal="center" vertical="center" textRotation="0" wrapText="false" indent="0" shrinkToFit="false"/>
      <protection locked="true" hidden="true"/>
    </xf>
    <xf numFmtId="165" fontId="72" fillId="2" borderId="0" xfId="0" applyFont="true" applyBorder="false" applyAlignment="true" applyProtection="true">
      <alignment horizontal="center" vertical="center" textRotation="0" wrapText="false" indent="0" shrinkToFit="false"/>
      <protection locked="true" hidden="false"/>
    </xf>
    <xf numFmtId="166" fontId="84" fillId="3" borderId="54" xfId="22" applyFont="true" applyBorder="true" applyAlignment="true" applyProtection="true">
      <alignment horizontal="center" vertical="center" textRotation="0" wrapText="true" indent="0" shrinkToFit="false"/>
      <protection locked="false" hidden="true"/>
    </xf>
    <xf numFmtId="165" fontId="32" fillId="2" borderId="101" xfId="22" applyFont="true" applyBorder="true" applyAlignment="true" applyProtection="true">
      <alignment horizontal="center" vertical="bottom" textRotation="0" wrapText="true" indent="0" shrinkToFit="false"/>
      <protection locked="true" hidden="true"/>
    </xf>
    <xf numFmtId="165" fontId="26" fillId="0" borderId="0" xfId="0" applyFont="true" applyBorder="false" applyAlignment="true" applyProtection="true">
      <alignment horizontal="general" vertical="bottom" textRotation="0" wrapText="true" indent="0" shrinkToFit="false"/>
      <protection locked="true" hidden="true"/>
    </xf>
    <xf numFmtId="165" fontId="85" fillId="2" borderId="0" xfId="0" applyFont="true" applyBorder="false" applyAlignment="true" applyProtection="true">
      <alignment horizontal="left" vertical="bottom" textRotation="0" wrapText="false" indent="0" shrinkToFit="false"/>
      <protection locked="true" hidden="true"/>
    </xf>
    <xf numFmtId="165" fontId="72" fillId="2" borderId="0" xfId="26" applyFont="true" applyBorder="false" applyAlignment="true" applyProtection="true">
      <alignment horizontal="center" vertical="center" textRotation="0" wrapText="true" indent="0" shrinkToFit="false"/>
      <protection locked="true" hidden="true"/>
    </xf>
    <xf numFmtId="166" fontId="86" fillId="3" borderId="54" xfId="22" applyFont="true" applyBorder="true" applyAlignment="true" applyProtection="true">
      <alignment horizontal="center" vertical="center" textRotation="0" wrapText="true" indent="0" shrinkToFit="false"/>
      <protection locked="true" hidden="true"/>
    </xf>
    <xf numFmtId="165" fontId="30" fillId="2" borderId="0" xfId="0" applyFont="true" applyBorder="false" applyAlignment="true" applyProtection="true">
      <alignment horizontal="right" vertical="bottom" textRotation="0" wrapText="false" indent="0" shrinkToFit="false"/>
      <protection locked="true" hidden="true"/>
    </xf>
    <xf numFmtId="165" fontId="30" fillId="2" borderId="0" xfId="0" applyFont="true" applyBorder="false" applyAlignment="true" applyProtection="true">
      <alignment horizontal="left" vertical="bottom" textRotation="0" wrapText="false" indent="0" shrinkToFit="false"/>
      <protection locked="true" hidden="true"/>
    </xf>
    <xf numFmtId="165" fontId="26" fillId="0" borderId="0" xfId="0" applyFont="true" applyBorder="false" applyAlignment="true" applyProtection="true">
      <alignment horizontal="general" vertical="bottom" textRotation="0" wrapText="true" indent="0" shrinkToFit="false"/>
      <protection locked="true" hidden="false"/>
    </xf>
    <xf numFmtId="166" fontId="26" fillId="0" borderId="0" xfId="0" applyFont="true" applyBorder="false" applyAlignment="true" applyProtection="true">
      <alignment horizontal="general" vertical="bottom" textRotation="0" wrapText="true" indent="0" shrinkToFit="false"/>
      <protection locked="true" hidden="false"/>
    </xf>
    <xf numFmtId="165" fontId="26" fillId="0" borderId="0" xfId="22" applyFont="true" applyBorder="false" applyAlignment="true" applyProtection="true">
      <alignment horizontal="general" vertical="bottom" textRotation="0" wrapText="false" indent="0" shrinkToFit="false"/>
      <protection locked="true" hidden="false"/>
    </xf>
    <xf numFmtId="165" fontId="26" fillId="0" borderId="0" xfId="22" applyFont="true" applyBorder="false" applyAlignment="true" applyProtection="true">
      <alignment horizontal="general" vertical="bottom" textRotation="0" wrapText="true" indent="0" shrinkToFit="false"/>
      <protection locked="true" hidden="false"/>
    </xf>
    <xf numFmtId="165" fontId="26" fillId="0" borderId="0" xfId="0" applyFont="true" applyBorder="false" applyAlignment="true" applyProtection="true">
      <alignment horizontal="general" vertical="center" textRotation="0" wrapText="true" indent="0" shrinkToFit="false"/>
      <protection locked="true" hidden="true"/>
    </xf>
    <xf numFmtId="165" fontId="87" fillId="0" borderId="0" xfId="20" applyFont="true" applyBorder="true" applyAlignment="true" applyProtection="true">
      <alignment horizontal="general" vertical="bottom" textRotation="0" wrapText="true" indent="0" shrinkToFit="false"/>
      <protection locked="true" hidden="false"/>
    </xf>
    <xf numFmtId="165" fontId="88" fillId="0" borderId="0" xfId="0" applyFont="true" applyBorder="false" applyAlignment="true" applyProtection="true">
      <alignment horizontal="general" vertical="center" textRotation="0" wrapText="false" indent="0" shrinkToFit="false"/>
      <protection locked="true" hidden="true"/>
    </xf>
    <xf numFmtId="165" fontId="50" fillId="0" borderId="0" xfId="0" applyFont="true" applyBorder="false" applyAlignment="true" applyProtection="true">
      <alignment horizontal="general" vertical="center" textRotation="0" wrapText="true" indent="0" shrinkToFit="false"/>
      <protection locked="true" hidden="false"/>
    </xf>
    <xf numFmtId="166" fontId="26" fillId="0" borderId="0" xfId="0" applyFont="true" applyBorder="false" applyAlignment="true" applyProtection="true">
      <alignment horizontal="general" vertical="bottom" textRotation="0" wrapText="false" indent="0" shrinkToFit="false"/>
      <protection locked="true" hidden="false"/>
    </xf>
    <xf numFmtId="171" fontId="26" fillId="0" borderId="0" xfId="0" applyFont="true" applyBorder="false" applyAlignment="true" applyProtection="true">
      <alignment horizontal="general" vertical="bottom" textRotation="0" wrapText="false" indent="0" shrinkToFit="false"/>
      <protection locked="true" hidden="false"/>
    </xf>
    <xf numFmtId="167" fontId="89" fillId="0" borderId="0" xfId="0" applyFont="true" applyBorder="false" applyAlignment="true" applyProtection="true">
      <alignment horizontal="general" vertical="bottom" textRotation="0" wrapText="false" indent="0" shrinkToFit="false"/>
      <protection locked="true" hidden="false"/>
    </xf>
    <xf numFmtId="165" fontId="26" fillId="0" borderId="0" xfId="22" applyFont="true" applyBorder="false" applyAlignment="true" applyProtection="true">
      <alignment horizontal="general" vertical="bottom" textRotation="0" wrapText="true" indent="0" shrinkToFit="false"/>
      <protection locked="true" hidden="true"/>
    </xf>
    <xf numFmtId="165" fontId="90" fillId="0" borderId="0" xfId="20" applyFont="true" applyBorder="true" applyAlignment="true" applyProtection="true">
      <alignment horizontal="general" vertical="bottom" textRotation="0" wrapText="true" indent="0" shrinkToFit="false"/>
      <protection locked="true" hidden="true"/>
    </xf>
    <xf numFmtId="165" fontId="87" fillId="0" borderId="0" xfId="20" applyFont="true" applyBorder="true" applyAlignment="true" applyProtection="true">
      <alignment horizontal="general" vertical="bottom" textRotation="0" wrapText="true" indent="0" shrinkToFit="false"/>
      <protection locked="true" hidden="true"/>
    </xf>
    <xf numFmtId="165" fontId="91" fillId="0" borderId="0" xfId="20" applyFont="true" applyBorder="true" applyAlignment="true" applyProtection="true">
      <alignment horizontal="general" vertical="bottom" textRotation="0" wrapText="true" indent="0" shrinkToFit="false"/>
      <protection locked="true" hidden="true"/>
    </xf>
    <xf numFmtId="165" fontId="26" fillId="0" borderId="0" xfId="0" applyFont="true" applyBorder="false" applyAlignment="true" applyProtection="true">
      <alignment horizontal="general" vertical="bottom" textRotation="0" wrapText="true" indent="0" shrinkToFit="false"/>
      <protection locked="false" hidden="false"/>
    </xf>
    <xf numFmtId="165" fontId="22" fillId="2" borderId="0" xfId="0" applyFont="true" applyBorder="false" applyAlignment="true" applyProtection="true">
      <alignment horizontal="right" vertical="center" textRotation="0" wrapText="false" indent="0" shrinkToFit="false"/>
      <protection locked="true" hidden="false"/>
    </xf>
    <xf numFmtId="166" fontId="73" fillId="2" borderId="0" xfId="0" applyFont="true" applyBorder="false" applyAlignment="true" applyProtection="true">
      <alignment horizontal="left" vertical="center" textRotation="0" wrapText="true" indent="0" shrinkToFit="false"/>
      <protection locked="true" hidden="false"/>
    </xf>
    <xf numFmtId="165" fontId="25" fillId="2" borderId="0" xfId="0" applyFont="true" applyBorder="false" applyAlignment="true" applyProtection="true">
      <alignment horizontal="center" vertical="center" textRotation="0" wrapText="false" indent="0" shrinkToFit="false"/>
      <protection locked="true" hidden="false"/>
    </xf>
    <xf numFmtId="165" fontId="22" fillId="2" borderId="0" xfId="0" applyFont="true" applyBorder="false" applyAlignment="true" applyProtection="true">
      <alignment horizontal="center" vertical="center" textRotation="0" wrapText="false" indent="0" shrinkToFit="false"/>
      <protection locked="true" hidden="false"/>
    </xf>
    <xf numFmtId="166" fontId="45" fillId="3" borderId="54" xfId="22" applyFont="true" applyBorder="true" applyAlignment="true" applyProtection="true">
      <alignment horizontal="center" vertical="center" textRotation="0" wrapText="false" indent="0" shrinkToFit="false"/>
      <protection locked="false" hidden="true"/>
    </xf>
    <xf numFmtId="170" fontId="72" fillId="24" borderId="102" xfId="19" applyFont="true" applyBorder="true" applyAlignment="true" applyProtection="true">
      <alignment horizontal="center" vertical="center" textRotation="0" wrapText="false" indent="0" shrinkToFit="false"/>
      <protection locked="true" hidden="false"/>
    </xf>
    <xf numFmtId="165" fontId="31" fillId="25" borderId="103" xfId="0" applyFont="true" applyBorder="true" applyAlignment="true" applyProtection="true">
      <alignment horizontal="general" vertical="bottom" textRotation="0" wrapText="false" indent="0" shrinkToFit="false"/>
      <protection locked="true" hidden="false"/>
    </xf>
    <xf numFmtId="165" fontId="31" fillId="25" borderId="104" xfId="0" applyFont="true" applyBorder="true" applyAlignment="true" applyProtection="true">
      <alignment horizontal="general" vertical="bottom" textRotation="0" wrapText="false" indent="0" shrinkToFit="false"/>
      <protection locked="true" hidden="false"/>
    </xf>
    <xf numFmtId="165" fontId="31" fillId="25" borderId="105" xfId="0" applyFont="true" applyBorder="true" applyAlignment="true" applyProtection="true">
      <alignment horizontal="general" vertical="bottom" textRotation="0" wrapText="false" indent="0" shrinkToFit="false"/>
      <protection locked="true" hidden="false"/>
    </xf>
    <xf numFmtId="165" fontId="25" fillId="2" borderId="105" xfId="0" applyFont="true" applyBorder="true" applyAlignment="true" applyProtection="true">
      <alignment horizontal="general" vertical="bottom" textRotation="0" wrapText="false" indent="0" shrinkToFit="false"/>
      <protection locked="true" hidden="false"/>
    </xf>
    <xf numFmtId="165" fontId="0" fillId="24" borderId="106" xfId="0" applyFont="false" applyBorder="true" applyAlignment="true" applyProtection="true">
      <alignment horizontal="general" vertical="bottom" textRotation="0" wrapText="false" indent="0" shrinkToFit="false"/>
      <protection locked="true" hidden="false"/>
    </xf>
    <xf numFmtId="165" fontId="73" fillId="26" borderId="107" xfId="0" applyFont="true" applyBorder="true" applyAlignment="true" applyProtection="true">
      <alignment horizontal="center" vertical="bottom" textRotation="0" wrapText="false" indent="0" shrinkToFit="false"/>
      <protection locked="true" hidden="false"/>
    </xf>
    <xf numFmtId="165" fontId="73" fillId="27" borderId="107" xfId="0" applyFont="true" applyBorder="true" applyAlignment="true" applyProtection="true">
      <alignment horizontal="center" vertical="bottom" textRotation="0" wrapText="false" indent="0" shrinkToFit="false"/>
      <protection locked="true" hidden="false"/>
    </xf>
    <xf numFmtId="165" fontId="73" fillId="28" borderId="107" xfId="0" applyFont="true" applyBorder="true" applyAlignment="true" applyProtection="true">
      <alignment horizontal="center" vertical="bottom" textRotation="0" wrapText="false" indent="0" shrinkToFit="false"/>
      <protection locked="true" hidden="false"/>
    </xf>
    <xf numFmtId="165" fontId="73" fillId="29" borderId="107" xfId="0" applyFont="true" applyBorder="true" applyAlignment="true" applyProtection="true">
      <alignment horizontal="center" vertical="bottom" textRotation="0" wrapText="false" indent="0" shrinkToFit="false"/>
      <protection locked="true" hidden="false"/>
    </xf>
    <xf numFmtId="165" fontId="73" fillId="30" borderId="107" xfId="0" applyFont="true" applyBorder="true" applyAlignment="true" applyProtection="true">
      <alignment horizontal="center" vertical="bottom" textRotation="0" wrapText="false" indent="0" shrinkToFit="false"/>
      <protection locked="true" hidden="false"/>
    </xf>
    <xf numFmtId="165" fontId="73" fillId="31" borderId="107" xfId="0" applyFont="true" applyBorder="true" applyAlignment="true" applyProtection="true">
      <alignment horizontal="center" vertical="bottom" textRotation="0" wrapText="false" indent="0" shrinkToFit="false"/>
      <protection locked="true" hidden="false"/>
    </xf>
    <xf numFmtId="165" fontId="73" fillId="32" borderId="107" xfId="0" applyFont="true" applyBorder="true" applyAlignment="true" applyProtection="true">
      <alignment horizontal="center" vertical="bottom" textRotation="0" wrapText="false" indent="0" shrinkToFit="false"/>
      <protection locked="true" hidden="false"/>
    </xf>
    <xf numFmtId="165" fontId="73" fillId="33" borderId="108" xfId="0" applyFont="true" applyBorder="true" applyAlignment="true" applyProtection="true">
      <alignment horizontal="center" vertical="bottom" textRotation="0" wrapText="false" indent="0" shrinkToFit="false"/>
      <protection locked="true" hidden="false"/>
    </xf>
    <xf numFmtId="165" fontId="22" fillId="34" borderId="109" xfId="0" applyFont="true" applyBorder="true" applyAlignment="true" applyProtection="true">
      <alignment horizontal="general" vertical="center" textRotation="0" wrapText="false" indent="0" shrinkToFit="false"/>
      <protection locked="true" hidden="false"/>
    </xf>
    <xf numFmtId="165" fontId="22" fillId="3" borderId="0" xfId="0" applyFont="true" applyBorder="false" applyAlignment="true" applyProtection="true">
      <alignment horizontal="general" vertical="center" textRotation="0" wrapText="false" indent="0" shrinkToFit="false"/>
      <protection locked="true" hidden="false"/>
    </xf>
    <xf numFmtId="172" fontId="22" fillId="35" borderId="110" xfId="19" applyFont="true" applyBorder="true" applyAlignment="true" applyProtection="true">
      <alignment horizontal="general" vertical="center" textRotation="0" wrapText="false" indent="0" shrinkToFit="false"/>
      <protection locked="true" hidden="false"/>
    </xf>
    <xf numFmtId="165" fontId="0" fillId="3" borderId="0" xfId="0" applyFont="false" applyBorder="false" applyAlignment="true" applyProtection="true">
      <alignment horizontal="general" vertical="center" textRotation="0" wrapText="false" indent="0" shrinkToFit="false"/>
      <protection locked="true" hidden="false"/>
    </xf>
    <xf numFmtId="165" fontId="25" fillId="2" borderId="110" xfId="19" applyFont="true" applyBorder="true" applyAlignment="true" applyProtection="true">
      <alignment horizontal="center" vertical="center" textRotation="0" wrapText="false" indent="0" shrinkToFit="false"/>
      <protection locked="true" hidden="false"/>
    </xf>
    <xf numFmtId="165" fontId="22" fillId="36" borderId="111" xfId="0" applyFont="true" applyBorder="true" applyAlignment="true" applyProtection="true">
      <alignment horizontal="left" vertical="center" textRotation="0" wrapText="false" indent="0" shrinkToFit="false"/>
      <protection locked="true" hidden="true"/>
    </xf>
    <xf numFmtId="165" fontId="22" fillId="36" borderId="0" xfId="0" applyFont="true" applyBorder="false" applyAlignment="true" applyProtection="true">
      <alignment horizontal="center" vertical="center" textRotation="0" wrapText="false" indent="0" shrinkToFit="false"/>
      <protection locked="true" hidden="false"/>
    </xf>
    <xf numFmtId="165" fontId="22" fillId="36" borderId="112" xfId="0" applyFont="true" applyBorder="true" applyAlignment="true" applyProtection="true">
      <alignment horizontal="center" vertical="center" textRotation="0" wrapText="false" indent="0" shrinkToFit="false"/>
      <protection locked="true" hidden="false"/>
    </xf>
    <xf numFmtId="165" fontId="22" fillId="24" borderId="109" xfId="0" applyFont="true" applyBorder="true" applyAlignment="true" applyProtection="true">
      <alignment horizontal="general" vertical="center" textRotation="0" wrapText="false" indent="0" shrinkToFit="false"/>
      <protection locked="true" hidden="false"/>
    </xf>
    <xf numFmtId="165" fontId="22" fillId="37" borderId="113" xfId="0" applyFont="true" applyBorder="true" applyAlignment="true" applyProtection="true">
      <alignment horizontal="left" vertical="center" textRotation="0" wrapText="false" indent="0" shrinkToFit="false"/>
      <protection locked="true" hidden="true"/>
    </xf>
    <xf numFmtId="165" fontId="22" fillId="37" borderId="0" xfId="0" applyFont="true" applyBorder="false" applyAlignment="true" applyProtection="true">
      <alignment horizontal="center" vertical="center" textRotation="0" wrapText="false" indent="0" shrinkToFit="false"/>
      <protection locked="true" hidden="false"/>
    </xf>
    <xf numFmtId="165" fontId="22" fillId="37" borderId="112" xfId="0" applyFont="true" applyBorder="true" applyAlignment="true" applyProtection="true">
      <alignment horizontal="center" vertical="center" textRotation="0" wrapText="false" indent="0" shrinkToFit="false"/>
      <protection locked="true" hidden="false"/>
    </xf>
    <xf numFmtId="165" fontId="22" fillId="36" borderId="113" xfId="0" applyFont="true" applyBorder="true" applyAlignment="true" applyProtection="true">
      <alignment horizontal="left" vertical="center" textRotation="0" wrapText="false" indent="0" shrinkToFit="false"/>
      <protection locked="true" hidden="true"/>
    </xf>
    <xf numFmtId="165" fontId="22" fillId="24" borderId="114" xfId="0" applyFont="true" applyBorder="true" applyAlignment="true" applyProtection="true">
      <alignment horizontal="general" vertical="center" textRotation="0" wrapText="false" indent="0" shrinkToFit="false"/>
      <protection locked="true" hidden="false"/>
    </xf>
    <xf numFmtId="164" fontId="22" fillId="3" borderId="115" xfId="0" applyFont="true" applyBorder="true" applyAlignment="true" applyProtection="true">
      <alignment horizontal="general" vertical="center" textRotation="0" wrapText="false" indent="0" shrinkToFit="false"/>
      <protection locked="true" hidden="false"/>
    </xf>
    <xf numFmtId="165" fontId="22" fillId="35" borderId="116" xfId="0" applyFont="true" applyBorder="true" applyAlignment="true" applyProtection="true">
      <alignment horizontal="general" vertical="center" textRotation="0" wrapText="false" indent="0" shrinkToFit="false"/>
      <protection locked="true" hidden="false"/>
    </xf>
    <xf numFmtId="165" fontId="25" fillId="2" borderId="116" xfId="0" applyFont="true" applyBorder="true" applyAlignment="true" applyProtection="true">
      <alignment horizontal="center" vertical="center" textRotation="0" wrapText="false" indent="0" shrinkToFit="false"/>
      <protection locked="true" hidden="false"/>
    </xf>
    <xf numFmtId="165" fontId="22" fillId="2" borderId="109" xfId="0" applyFont="true" applyBorder="true" applyAlignment="true" applyProtection="true">
      <alignment horizontal="general" vertical="center" textRotation="0" wrapText="false" indent="0" shrinkToFit="false"/>
      <protection locked="true" hidden="false"/>
    </xf>
    <xf numFmtId="165" fontId="0" fillId="2" borderId="0" xfId="0" applyFont="false" applyBorder="false" applyAlignment="true" applyProtection="true">
      <alignment horizontal="general" vertical="center" textRotation="0" wrapText="false" indent="0" shrinkToFit="false"/>
      <protection locked="true" hidden="false"/>
    </xf>
    <xf numFmtId="165" fontId="25" fillId="2" borderId="0" xfId="0" applyFont="true" applyBorder="false" applyAlignment="true" applyProtection="true">
      <alignment horizontal="general" vertical="center" textRotation="0" wrapText="false" indent="0" shrinkToFit="false"/>
      <protection locked="true" hidden="false"/>
    </xf>
    <xf numFmtId="165" fontId="22" fillId="2" borderId="114" xfId="0" applyFont="true" applyBorder="true" applyAlignment="true" applyProtection="true">
      <alignment horizontal="general" vertical="center" textRotation="0" wrapText="false" indent="0" shrinkToFit="false"/>
      <protection locked="true" hidden="false"/>
    </xf>
    <xf numFmtId="165" fontId="0" fillId="2" borderId="115" xfId="0" applyFont="false" applyBorder="true" applyAlignment="true" applyProtection="true">
      <alignment horizontal="general" vertical="center" textRotation="0" wrapText="false" indent="0" shrinkToFit="false"/>
      <protection locked="true" hidden="false"/>
    </xf>
    <xf numFmtId="165" fontId="30" fillId="2" borderId="0" xfId="0" applyFont="true" applyBorder="false" applyAlignment="true" applyProtection="true">
      <alignment horizontal="general" vertical="bottom" textRotation="0" wrapText="false" indent="0" shrinkToFit="false"/>
      <protection locked="true" hidden="false"/>
    </xf>
    <xf numFmtId="165" fontId="22" fillId="37" borderId="117" xfId="0" applyFont="true" applyBorder="true" applyAlignment="true" applyProtection="true">
      <alignment horizontal="left" vertical="center" textRotation="0" wrapText="false" indent="0" shrinkToFit="false"/>
      <protection locked="true" hidden="true"/>
    </xf>
    <xf numFmtId="165" fontId="22" fillId="37" borderId="118" xfId="0" applyFont="true" applyBorder="true" applyAlignment="true" applyProtection="true">
      <alignment horizontal="center" vertical="center" textRotation="0" wrapText="false" indent="0" shrinkToFit="false"/>
      <protection locked="true" hidden="false"/>
    </xf>
    <xf numFmtId="165" fontId="22" fillId="37" borderId="119" xfId="0" applyFont="true" applyBorder="true" applyAlignment="true" applyProtection="true">
      <alignment horizontal="center" vertical="center" textRotation="0" wrapText="false" indent="0" shrinkToFit="false"/>
      <protection locked="true" hidden="false"/>
    </xf>
    <xf numFmtId="165" fontId="52" fillId="2" borderId="0" xfId="0" applyFont="true" applyBorder="false" applyAlignment="true" applyProtection="true">
      <alignment horizontal="general" vertical="bottom" textRotation="0" wrapText="false" indent="0" shrinkToFit="false"/>
      <protection locked="true" hidden="true"/>
    </xf>
    <xf numFmtId="169" fontId="29" fillId="2" borderId="0" xfId="0" applyFont="true" applyBorder="false" applyAlignment="true" applyProtection="true">
      <alignment horizontal="general" vertical="bottom" textRotation="0" wrapText="false" indent="0" shrinkToFit="false"/>
      <protection locked="true" hidden="true"/>
    </xf>
    <xf numFmtId="165" fontId="0" fillId="2" borderId="0" xfId="0" applyFont="false" applyBorder="false" applyAlignment="true" applyProtection="true">
      <alignment horizontal="center" vertical="center" textRotation="0" wrapText="false" indent="0" shrinkToFit="false"/>
      <protection locked="true" hidden="true"/>
    </xf>
    <xf numFmtId="165" fontId="52" fillId="38" borderId="4" xfId="0" applyFont="true" applyBorder="true" applyAlignment="true" applyProtection="true">
      <alignment horizontal="center" vertical="center" textRotation="0" wrapText="false" indent="0" shrinkToFit="false"/>
      <protection locked="true" hidden="true"/>
    </xf>
    <xf numFmtId="165" fontId="22" fillId="6" borderId="120" xfId="0" applyFont="true" applyBorder="true" applyAlignment="true" applyProtection="true">
      <alignment horizontal="left" vertical="bottom" textRotation="0" wrapText="false" indent="0" shrinkToFit="false"/>
      <protection locked="true" hidden="true"/>
    </xf>
    <xf numFmtId="165" fontId="22" fillId="6" borderId="120" xfId="0" applyFont="true" applyBorder="true" applyAlignment="true" applyProtection="true">
      <alignment horizontal="center" vertical="bottom" textRotation="0" wrapText="false" indent="0" shrinkToFit="false"/>
      <protection locked="true" hidden="true"/>
    </xf>
    <xf numFmtId="165" fontId="22" fillId="6" borderId="120" xfId="0" applyFont="true" applyBorder="true" applyAlignment="true" applyProtection="true">
      <alignment horizontal="general" vertical="bottom" textRotation="0" wrapText="false" indent="0" shrinkToFit="false"/>
      <protection locked="true" hidden="true"/>
    </xf>
    <xf numFmtId="165" fontId="45" fillId="21" borderId="121" xfId="0" applyFont="true" applyBorder="true" applyAlignment="true" applyProtection="true">
      <alignment horizontal="left" vertical="center" textRotation="0" wrapText="false" indent="0" shrinkToFit="false"/>
      <protection locked="true" hidden="true"/>
    </xf>
    <xf numFmtId="165" fontId="45" fillId="21" borderId="122" xfId="0" applyFont="true" applyBorder="true" applyAlignment="true" applyProtection="true">
      <alignment horizontal="left" vertical="center" textRotation="0" wrapText="false" indent="0" shrinkToFit="false"/>
      <protection locked="true" hidden="true"/>
    </xf>
    <xf numFmtId="165" fontId="45" fillId="21" borderId="122" xfId="0" applyFont="true" applyBorder="true" applyAlignment="true" applyProtection="true">
      <alignment horizontal="center" vertical="center" textRotation="0" wrapText="false" indent="0" shrinkToFit="false"/>
      <protection locked="true" hidden="true"/>
    </xf>
    <xf numFmtId="165" fontId="45" fillId="21" borderId="123" xfId="0" applyFont="true" applyBorder="true" applyAlignment="true" applyProtection="true">
      <alignment horizontal="center" vertical="center" textRotation="0" wrapText="false" indent="0" shrinkToFit="false"/>
      <protection locked="true" hidden="true"/>
    </xf>
    <xf numFmtId="165" fontId="52" fillId="13" borderId="4" xfId="0" applyFont="true" applyBorder="true" applyAlignment="true" applyProtection="true">
      <alignment horizontal="center" vertical="center" textRotation="0" wrapText="false" indent="0" shrinkToFit="false"/>
      <protection locked="true" hidden="true"/>
    </xf>
    <xf numFmtId="165" fontId="22" fillId="2" borderId="0" xfId="0" applyFont="true" applyBorder="false" applyAlignment="true" applyProtection="true">
      <alignment horizontal="center" vertical="bottom" textRotation="0" wrapText="false" indent="0" shrinkToFit="false"/>
      <protection locked="true" hidden="true"/>
    </xf>
    <xf numFmtId="165" fontId="45" fillId="27" borderId="124" xfId="0" applyFont="true" applyBorder="true" applyAlignment="true" applyProtection="true">
      <alignment horizontal="center" vertical="center" textRotation="0" wrapText="false" indent="0" shrinkToFit="false"/>
      <protection locked="true" hidden="true"/>
    </xf>
    <xf numFmtId="165" fontId="22" fillId="27" borderId="124" xfId="0" applyFont="true" applyBorder="true" applyAlignment="true" applyProtection="true">
      <alignment horizontal="center" vertical="center" textRotation="0" wrapText="false" indent="0" shrinkToFit="false"/>
      <protection locked="true" hidden="true"/>
    </xf>
    <xf numFmtId="165" fontId="22" fillId="27" borderId="125" xfId="0" applyFont="true" applyBorder="true" applyAlignment="true" applyProtection="true">
      <alignment horizontal="center" vertical="top" textRotation="0" wrapText="false" indent="0" shrinkToFit="false"/>
      <protection locked="true" hidden="true"/>
    </xf>
    <xf numFmtId="165" fontId="22" fillId="28" borderId="0" xfId="0" applyFont="true" applyBorder="false" applyAlignment="true" applyProtection="true">
      <alignment horizontal="general" vertical="bottom" textRotation="0" wrapText="false" indent="0" shrinkToFit="false"/>
      <protection locked="true" hidden="true"/>
    </xf>
    <xf numFmtId="165" fontId="0" fillId="29" borderId="0" xfId="0" applyFont="false" applyBorder="false" applyAlignment="true" applyProtection="true">
      <alignment horizontal="center" vertical="center" textRotation="0" wrapText="false" indent="0" shrinkToFit="false"/>
      <protection locked="true" hidden="true"/>
    </xf>
    <xf numFmtId="165" fontId="22" fillId="30" borderId="0" xfId="0" applyFont="true" applyBorder="false" applyAlignment="true" applyProtection="true">
      <alignment horizontal="center" vertical="center" textRotation="0" wrapText="false" indent="0" shrinkToFit="false"/>
      <protection locked="true" hidden="true"/>
    </xf>
    <xf numFmtId="165" fontId="0" fillId="39" borderId="0" xfId="0" applyFont="false" applyBorder="false" applyAlignment="true" applyProtection="true">
      <alignment horizontal="center" vertical="center" textRotation="0" wrapText="false" indent="0" shrinkToFit="false"/>
      <protection locked="true" hidden="true"/>
    </xf>
    <xf numFmtId="165" fontId="22" fillId="21" borderId="0" xfId="0" applyFont="true" applyBorder="false" applyAlignment="true" applyProtection="true">
      <alignment horizontal="center" vertical="center" textRotation="0" wrapText="false" indent="0" shrinkToFit="false"/>
      <protection locked="true" hidden="true"/>
    </xf>
    <xf numFmtId="165" fontId="0" fillId="0" borderId="126" xfId="0" applyFont="false" applyBorder="true" applyAlignment="true" applyProtection="true">
      <alignment horizontal="right" vertical="bottom" textRotation="0" wrapText="false" indent="0" shrinkToFit="false"/>
      <protection locked="true" hidden="true"/>
    </xf>
    <xf numFmtId="165" fontId="29" fillId="26" borderId="127" xfId="0" applyFont="true" applyBorder="true" applyAlignment="true" applyProtection="true">
      <alignment horizontal="center" vertical="bottom" textRotation="0" wrapText="false" indent="0" shrinkToFit="false"/>
      <protection locked="true" hidden="true"/>
    </xf>
    <xf numFmtId="165" fontId="29" fillId="27" borderId="127" xfId="0" applyFont="true" applyBorder="true" applyAlignment="true" applyProtection="true">
      <alignment horizontal="center" vertical="bottom" textRotation="0" wrapText="false" indent="0" shrinkToFit="false"/>
      <protection locked="true" hidden="true"/>
    </xf>
    <xf numFmtId="165" fontId="29" fillId="28" borderId="127" xfId="0" applyFont="true" applyBorder="true" applyAlignment="true" applyProtection="true">
      <alignment horizontal="center" vertical="bottom" textRotation="0" wrapText="false" indent="0" shrinkToFit="false"/>
      <protection locked="true" hidden="true"/>
    </xf>
    <xf numFmtId="165" fontId="29" fillId="29" borderId="127" xfId="0" applyFont="true" applyBorder="true" applyAlignment="true" applyProtection="true">
      <alignment horizontal="center" vertical="bottom" textRotation="0" wrapText="false" indent="0" shrinkToFit="false"/>
      <protection locked="true" hidden="true"/>
    </xf>
    <xf numFmtId="165" fontId="29" fillId="30" borderId="127" xfId="0" applyFont="true" applyBorder="true" applyAlignment="true" applyProtection="true">
      <alignment horizontal="center" vertical="bottom" textRotation="0" wrapText="false" indent="0" shrinkToFit="false"/>
      <protection locked="true" hidden="true"/>
    </xf>
    <xf numFmtId="165" fontId="29" fillId="31" borderId="127" xfId="0" applyFont="true" applyBorder="true" applyAlignment="true" applyProtection="true">
      <alignment horizontal="center" vertical="bottom" textRotation="0" wrapText="false" indent="0" shrinkToFit="false"/>
      <protection locked="true" hidden="true"/>
    </xf>
    <xf numFmtId="165" fontId="29" fillId="32" borderId="127" xfId="0" applyFont="true" applyBorder="true" applyAlignment="true" applyProtection="true">
      <alignment horizontal="center" vertical="bottom" textRotation="0" wrapText="false" indent="0" shrinkToFit="false"/>
      <protection locked="true" hidden="true"/>
    </xf>
    <xf numFmtId="165" fontId="29" fillId="33" borderId="128" xfId="0" applyFont="true" applyBorder="true" applyAlignment="true" applyProtection="true">
      <alignment horizontal="center" vertical="bottom" textRotation="0" wrapText="false" indent="0" shrinkToFit="false"/>
      <protection locked="true" hidden="true"/>
    </xf>
    <xf numFmtId="165" fontId="52" fillId="38" borderId="23" xfId="0" applyFont="true" applyBorder="true" applyAlignment="true" applyProtection="true">
      <alignment horizontal="center" vertical="center" textRotation="0" wrapText="false" indent="0" shrinkToFit="false"/>
      <protection locked="true" hidden="true"/>
    </xf>
    <xf numFmtId="165" fontId="22" fillId="6" borderId="39" xfId="0" applyFont="true" applyBorder="true" applyAlignment="true" applyProtection="true">
      <alignment horizontal="left" vertical="bottom" textRotation="0" wrapText="false" indent="0" shrinkToFit="false"/>
      <protection locked="true" hidden="true"/>
    </xf>
    <xf numFmtId="165" fontId="22" fillId="6" borderId="39" xfId="0" applyFont="true" applyBorder="true" applyAlignment="true" applyProtection="true">
      <alignment horizontal="center" vertical="bottom" textRotation="0" wrapText="false" indent="0" shrinkToFit="false"/>
      <protection locked="true" hidden="true"/>
    </xf>
    <xf numFmtId="165" fontId="22" fillId="6" borderId="39" xfId="0" applyFont="true" applyBorder="true" applyAlignment="true" applyProtection="true">
      <alignment horizontal="general" vertical="bottom" textRotation="0" wrapText="false" indent="0" shrinkToFit="false"/>
      <protection locked="true" hidden="true"/>
    </xf>
    <xf numFmtId="165" fontId="22" fillId="6" borderId="72" xfId="0" applyFont="true" applyBorder="true" applyAlignment="true" applyProtection="true">
      <alignment horizontal="general" vertical="bottom" textRotation="0" wrapText="false" indent="0" shrinkToFit="false"/>
      <protection locked="true" hidden="true"/>
    </xf>
    <xf numFmtId="165" fontId="45" fillId="6" borderId="129" xfId="0" applyFont="true" applyBorder="true" applyAlignment="true" applyProtection="true">
      <alignment horizontal="left" vertical="bottom" textRotation="0" wrapText="false" indent="0" shrinkToFit="false"/>
      <protection locked="true" hidden="true"/>
    </xf>
    <xf numFmtId="167" fontId="45" fillId="6" borderId="129" xfId="0" applyFont="true" applyBorder="true" applyAlignment="true" applyProtection="true">
      <alignment horizontal="center" vertical="center" textRotation="0" wrapText="false" indent="0" shrinkToFit="false"/>
      <protection locked="true" hidden="true"/>
    </xf>
    <xf numFmtId="167" fontId="22" fillId="6" borderId="129" xfId="0" applyFont="true" applyBorder="true" applyAlignment="true" applyProtection="true">
      <alignment horizontal="center" vertical="center" textRotation="0" wrapText="false" indent="0" shrinkToFit="false"/>
      <protection locked="true" hidden="true"/>
    </xf>
    <xf numFmtId="165" fontId="22" fillId="6" borderId="130" xfId="0" applyFont="true" applyBorder="true" applyAlignment="true" applyProtection="true">
      <alignment horizontal="center" vertical="center" textRotation="0" wrapText="false" indent="0" shrinkToFit="false"/>
      <protection locked="true" hidden="true"/>
    </xf>
    <xf numFmtId="165" fontId="52" fillId="13" borderId="23" xfId="0" applyFont="true" applyBorder="true" applyAlignment="true" applyProtection="true">
      <alignment horizontal="center" vertical="center" textRotation="0" wrapText="false" indent="0" shrinkToFit="false"/>
      <protection locked="true" hidden="true"/>
    </xf>
    <xf numFmtId="165" fontId="22" fillId="27" borderId="131" xfId="0" applyFont="true" applyBorder="true" applyAlignment="true" applyProtection="true">
      <alignment horizontal="center" vertical="center" textRotation="0" wrapText="false" indent="0" shrinkToFit="false"/>
      <protection locked="true" hidden="true"/>
    </xf>
    <xf numFmtId="165" fontId="22" fillId="27" borderId="132" xfId="0" applyFont="true" applyBorder="true" applyAlignment="true" applyProtection="true">
      <alignment horizontal="center" vertical="center" textRotation="0" wrapText="false" indent="0" shrinkToFit="false"/>
      <protection locked="true" hidden="true"/>
    </xf>
    <xf numFmtId="165" fontId="25" fillId="2" borderId="133" xfId="0" applyFont="true" applyBorder="true" applyAlignment="true" applyProtection="true">
      <alignment horizontal="right" vertical="center" textRotation="0" wrapText="false" indent="0" shrinkToFit="false"/>
      <protection locked="true" hidden="true"/>
    </xf>
    <xf numFmtId="165" fontId="45" fillId="28" borderId="124" xfId="0" applyFont="true" applyBorder="true" applyAlignment="true" applyProtection="true">
      <alignment horizontal="center" vertical="center" textRotation="0" wrapText="false" indent="0" shrinkToFit="false"/>
      <protection locked="true" hidden="true"/>
    </xf>
    <xf numFmtId="165" fontId="22" fillId="28" borderId="124" xfId="0" applyFont="true" applyBorder="true" applyAlignment="true" applyProtection="true">
      <alignment horizontal="center" vertical="center" textRotation="0" wrapText="false" indent="0" shrinkToFit="false"/>
      <protection locked="true" hidden="true"/>
    </xf>
    <xf numFmtId="165" fontId="22" fillId="28" borderId="125" xfId="0" applyFont="true" applyBorder="true" applyAlignment="true" applyProtection="true">
      <alignment horizontal="center" vertical="center" textRotation="0" wrapText="false" indent="0" shrinkToFit="false"/>
      <protection locked="true" hidden="true"/>
    </xf>
    <xf numFmtId="165" fontId="22" fillId="29" borderId="0" xfId="0" applyFont="true" applyBorder="false" applyAlignment="true" applyProtection="true">
      <alignment horizontal="center" vertical="center" textRotation="0" wrapText="false" indent="0" shrinkToFit="false"/>
      <protection locked="true" hidden="true"/>
    </xf>
    <xf numFmtId="165" fontId="22" fillId="39" borderId="0" xfId="0" applyFont="true" applyBorder="false" applyAlignment="true" applyProtection="true">
      <alignment horizontal="center" vertical="center" textRotation="0" wrapText="false" indent="0" shrinkToFit="false"/>
      <protection locked="true" hidden="true"/>
    </xf>
    <xf numFmtId="165" fontId="32" fillId="2" borderId="0" xfId="0" applyFont="true" applyBorder="false" applyAlignment="true" applyProtection="true">
      <alignment horizontal="general" vertical="bottom" textRotation="0" wrapText="false" indent="0" shrinkToFit="false"/>
      <protection locked="true" hidden="true"/>
    </xf>
    <xf numFmtId="165" fontId="0" fillId="0" borderId="134" xfId="0" applyFont="false" applyBorder="true" applyAlignment="true" applyProtection="true">
      <alignment horizontal="right" vertical="bottom" textRotation="0" wrapText="false" indent="0" shrinkToFit="false"/>
      <protection locked="true" hidden="true"/>
    </xf>
    <xf numFmtId="173" fontId="0" fillId="0" borderId="135" xfId="0" applyFont="false" applyBorder="true" applyAlignment="true" applyProtection="true">
      <alignment horizontal="general" vertical="bottom" textRotation="0" wrapText="false" indent="0" shrinkToFit="false"/>
      <protection locked="true" hidden="true"/>
    </xf>
    <xf numFmtId="173" fontId="25" fillId="0" borderId="135" xfId="0" applyFont="true" applyBorder="true" applyAlignment="true" applyProtection="true">
      <alignment horizontal="general" vertical="bottom" textRotation="0" wrapText="false" indent="0" shrinkToFit="false"/>
      <protection locked="true" hidden="true"/>
    </xf>
    <xf numFmtId="173" fontId="31" fillId="0" borderId="135" xfId="0" applyFont="true" applyBorder="true" applyAlignment="true" applyProtection="true">
      <alignment horizontal="general" vertical="bottom" textRotation="0" wrapText="false" indent="0" shrinkToFit="false"/>
      <protection locked="true" hidden="true"/>
    </xf>
    <xf numFmtId="173" fontId="0" fillId="0" borderId="136" xfId="0" applyFont="false" applyBorder="true" applyAlignment="true" applyProtection="true">
      <alignment horizontal="general" vertical="bottom" textRotation="0" wrapText="false" indent="0" shrinkToFit="false"/>
      <protection locked="true" hidden="true"/>
    </xf>
    <xf numFmtId="165" fontId="22" fillId="6" borderId="74" xfId="0" applyFont="true" applyBorder="true" applyAlignment="true" applyProtection="true">
      <alignment horizontal="general" vertical="bottom" textRotation="0" wrapText="false" indent="0" shrinkToFit="false"/>
      <protection locked="true" hidden="true"/>
    </xf>
    <xf numFmtId="165" fontId="45" fillId="6" borderId="0" xfId="0" applyFont="true" applyBorder="false" applyAlignment="true" applyProtection="true">
      <alignment horizontal="left" vertical="bottom" textRotation="0" wrapText="false" indent="0" shrinkToFit="false"/>
      <protection locked="true" hidden="true"/>
    </xf>
    <xf numFmtId="165" fontId="22" fillId="27" borderId="137" xfId="0" applyFont="true" applyBorder="true" applyAlignment="true" applyProtection="true">
      <alignment horizontal="center" vertical="center" textRotation="0" wrapText="false" indent="0" shrinkToFit="false"/>
      <protection locked="true" hidden="true"/>
    </xf>
    <xf numFmtId="165" fontId="22" fillId="27" borderId="138" xfId="0" applyFont="true" applyBorder="true" applyAlignment="true" applyProtection="true">
      <alignment horizontal="center" vertical="center" textRotation="0" wrapText="false" indent="0" shrinkToFit="false"/>
      <protection locked="true" hidden="true"/>
    </xf>
    <xf numFmtId="165" fontId="22" fillId="28" borderId="139" xfId="0" applyFont="true" applyBorder="true" applyAlignment="true" applyProtection="true">
      <alignment horizontal="center" vertical="center" textRotation="0" wrapText="false" indent="0" shrinkToFit="false"/>
      <protection locked="true" hidden="true"/>
    </xf>
    <xf numFmtId="165" fontId="22" fillId="27" borderId="140" xfId="0" applyFont="true" applyBorder="true" applyAlignment="true" applyProtection="true">
      <alignment horizontal="center" vertical="center" textRotation="0" wrapText="false" indent="0" shrinkToFit="false"/>
      <protection locked="true" hidden="true"/>
    </xf>
    <xf numFmtId="165" fontId="22" fillId="27" borderId="141" xfId="0" applyFont="true" applyBorder="true" applyAlignment="true" applyProtection="true">
      <alignment horizontal="center" vertical="top" textRotation="0" wrapText="false" indent="0" shrinkToFit="false"/>
      <protection locked="true" hidden="true"/>
    </xf>
    <xf numFmtId="165" fontId="22" fillId="28" borderId="0" xfId="0" applyFont="true" applyBorder="false" applyAlignment="true" applyProtection="true">
      <alignment horizontal="center" vertical="center" textRotation="0" wrapText="false" indent="0" shrinkToFit="false"/>
      <protection locked="true" hidden="true"/>
    </xf>
    <xf numFmtId="165" fontId="22" fillId="28" borderId="138" xfId="0" applyFont="true" applyBorder="true" applyAlignment="true" applyProtection="true">
      <alignment horizontal="center" vertical="center" textRotation="0" wrapText="false" indent="0" shrinkToFit="false"/>
      <protection locked="true" hidden="true"/>
    </xf>
    <xf numFmtId="165" fontId="45" fillId="6" borderId="80" xfId="0" applyFont="true" applyBorder="true" applyAlignment="true" applyProtection="true">
      <alignment horizontal="left" vertical="bottom" textRotation="0" wrapText="false" indent="0" shrinkToFit="false"/>
      <protection locked="true" hidden="true"/>
    </xf>
    <xf numFmtId="167" fontId="45" fillId="6" borderId="80" xfId="0" applyFont="true" applyBorder="true" applyAlignment="true" applyProtection="true">
      <alignment horizontal="center" vertical="center" textRotation="0" wrapText="false" indent="0" shrinkToFit="false"/>
      <protection locked="true" hidden="true"/>
    </xf>
    <xf numFmtId="167" fontId="22" fillId="6" borderId="80" xfId="0" applyFont="true" applyBorder="true" applyAlignment="true" applyProtection="true">
      <alignment horizontal="center" vertical="center" textRotation="0" wrapText="false" indent="0" shrinkToFit="false"/>
      <protection locked="true" hidden="true"/>
    </xf>
    <xf numFmtId="165" fontId="22" fillId="6" borderId="142" xfId="0" applyFont="true" applyBorder="true" applyAlignment="true" applyProtection="true">
      <alignment horizontal="center" vertical="center" textRotation="0" wrapText="false" indent="0" shrinkToFit="false"/>
      <protection locked="true" hidden="true"/>
    </xf>
    <xf numFmtId="165" fontId="45" fillId="27" borderId="131" xfId="0" applyFont="true" applyBorder="true" applyAlignment="true" applyProtection="true">
      <alignment horizontal="center" vertical="center" textRotation="0" wrapText="false" indent="0" shrinkToFit="false"/>
      <protection locked="true" hidden="true"/>
    </xf>
    <xf numFmtId="165" fontId="22" fillId="27" borderId="143" xfId="0" applyFont="true" applyBorder="true" applyAlignment="true" applyProtection="true">
      <alignment horizontal="center" vertical="center" textRotation="0" wrapText="false" indent="0" shrinkToFit="false"/>
      <protection locked="true" hidden="true"/>
    </xf>
    <xf numFmtId="165" fontId="22" fillId="27" borderId="0" xfId="0" applyFont="true" applyBorder="false" applyAlignment="true" applyProtection="true">
      <alignment horizontal="center" vertical="bottom" textRotation="0" wrapText="false" indent="0" shrinkToFit="false"/>
      <protection locked="true" hidden="true"/>
    </xf>
    <xf numFmtId="165" fontId="45" fillId="29" borderId="124" xfId="0" applyFont="true" applyBorder="true" applyAlignment="true" applyProtection="true">
      <alignment horizontal="center" vertical="center" textRotation="0" wrapText="false" indent="0" shrinkToFit="false"/>
      <protection locked="true" hidden="true"/>
    </xf>
    <xf numFmtId="165" fontId="22" fillId="29" borderId="124" xfId="0" applyFont="true" applyBorder="true" applyAlignment="true" applyProtection="true">
      <alignment horizontal="center" vertical="center" textRotation="0" wrapText="false" indent="0" shrinkToFit="false"/>
      <protection locked="true" hidden="true"/>
    </xf>
    <xf numFmtId="165" fontId="22" fillId="29" borderId="125" xfId="0" applyFont="true" applyBorder="true" applyAlignment="true" applyProtection="true">
      <alignment horizontal="center" vertical="center" textRotation="0" wrapText="false" indent="0" shrinkToFit="false"/>
      <protection locked="true" hidden="true"/>
    </xf>
    <xf numFmtId="165" fontId="52" fillId="38" borderId="7" xfId="0" applyFont="true" applyBorder="true" applyAlignment="true" applyProtection="true">
      <alignment horizontal="center" vertical="center" textRotation="0" wrapText="false" indent="0" shrinkToFit="false"/>
      <protection locked="true" hidden="true"/>
    </xf>
    <xf numFmtId="165" fontId="22" fillId="6" borderId="27" xfId="0" applyFont="true" applyBorder="true" applyAlignment="true" applyProtection="true">
      <alignment horizontal="left" vertical="bottom" textRotation="0" wrapText="false" indent="0" shrinkToFit="false"/>
      <protection locked="true" hidden="true"/>
    </xf>
    <xf numFmtId="165" fontId="22" fillId="6" borderId="27" xfId="0" applyFont="true" applyBorder="true" applyAlignment="true" applyProtection="true">
      <alignment horizontal="center" vertical="bottom" textRotation="0" wrapText="false" indent="0" shrinkToFit="false"/>
      <protection locked="true" hidden="true"/>
    </xf>
    <xf numFmtId="165" fontId="22" fillId="6" borderId="27" xfId="0" applyFont="true" applyBorder="true" applyAlignment="true" applyProtection="true">
      <alignment horizontal="general" vertical="bottom" textRotation="0" wrapText="false" indent="0" shrinkToFit="false"/>
      <protection locked="true" hidden="true"/>
    </xf>
    <xf numFmtId="165" fontId="22" fillId="21" borderId="24" xfId="0" applyFont="true" applyBorder="true" applyAlignment="true" applyProtection="true">
      <alignment horizontal="left" vertical="bottom" textRotation="0" wrapText="false" indent="0" shrinkToFit="false"/>
      <protection locked="true" hidden="true"/>
    </xf>
    <xf numFmtId="165" fontId="22" fillId="21" borderId="24" xfId="0" applyFont="true" applyBorder="true" applyAlignment="true" applyProtection="true">
      <alignment horizontal="general" vertical="bottom" textRotation="0" wrapText="false" indent="0" shrinkToFit="false"/>
      <protection locked="true" hidden="true"/>
    </xf>
    <xf numFmtId="165" fontId="22" fillId="21" borderId="28" xfId="0" applyFont="true" applyBorder="true" applyAlignment="true" applyProtection="true">
      <alignment horizontal="general" vertical="bottom" textRotation="0" wrapText="false" indent="0" shrinkToFit="false"/>
      <protection locked="true" hidden="true"/>
    </xf>
    <xf numFmtId="165" fontId="52" fillId="13" borderId="7" xfId="0" applyFont="true" applyBorder="true" applyAlignment="true" applyProtection="true">
      <alignment horizontal="center" vertical="center" textRotation="0" wrapText="false" indent="0" shrinkToFit="false"/>
      <protection locked="true" hidden="true"/>
    </xf>
    <xf numFmtId="165" fontId="22" fillId="27" borderId="0" xfId="0" applyFont="true" applyBorder="false" applyAlignment="true" applyProtection="true">
      <alignment horizontal="general" vertical="bottom" textRotation="0" wrapText="false" indent="0" shrinkToFit="false"/>
      <protection locked="true" hidden="true"/>
    </xf>
    <xf numFmtId="165" fontId="22" fillId="29" borderId="132" xfId="0" applyFont="true" applyBorder="true" applyAlignment="true" applyProtection="true">
      <alignment horizontal="center" vertical="center" textRotation="0" wrapText="false" indent="0" shrinkToFit="false"/>
      <protection locked="true" hidden="true"/>
    </xf>
    <xf numFmtId="165" fontId="0" fillId="2" borderId="0" xfId="0" applyFont="false" applyBorder="false" applyAlignment="true" applyProtection="true">
      <alignment horizontal="left" vertical="bottom" textRotation="0" wrapText="false" indent="0" shrinkToFit="false"/>
      <protection locked="true" hidden="true"/>
    </xf>
    <xf numFmtId="165" fontId="0" fillId="2" borderId="0" xfId="0" applyFont="false" applyBorder="false" applyAlignment="true" applyProtection="true">
      <alignment horizontal="center" vertical="bottom" textRotation="0" wrapText="false" indent="0" shrinkToFit="false"/>
      <protection locked="true" hidden="true"/>
    </xf>
    <xf numFmtId="165" fontId="22" fillId="27" borderId="125" xfId="0" applyFont="true" applyBorder="true" applyAlignment="true" applyProtection="true">
      <alignment horizontal="center" vertical="center" textRotation="0" wrapText="false" indent="0" shrinkToFit="false"/>
      <protection locked="true" hidden="true"/>
    </xf>
    <xf numFmtId="165" fontId="22" fillId="29" borderId="138" xfId="0" applyFont="true" applyBorder="true" applyAlignment="true" applyProtection="true">
      <alignment horizontal="center" vertical="center" textRotation="0" wrapText="false" indent="0" shrinkToFit="false"/>
      <protection locked="true" hidden="true"/>
    </xf>
    <xf numFmtId="165" fontId="25" fillId="2" borderId="144" xfId="0" applyFont="true" applyBorder="true" applyAlignment="true" applyProtection="true">
      <alignment horizontal="right" vertical="center" textRotation="0" wrapText="false" indent="0" shrinkToFit="false"/>
      <protection locked="true" hidden="true"/>
    </xf>
    <xf numFmtId="165" fontId="22" fillId="28" borderId="141" xfId="0" applyFont="true" applyBorder="true" applyAlignment="true" applyProtection="true">
      <alignment horizontal="center" vertical="center" textRotation="0" wrapText="false" indent="0" shrinkToFit="false"/>
      <protection locked="true" hidden="true"/>
    </xf>
    <xf numFmtId="165" fontId="0" fillId="3" borderId="0" xfId="0" applyFont="false" applyBorder="false" applyAlignment="true" applyProtection="true">
      <alignment horizontal="general" vertical="bottom" textRotation="0" wrapText="false" indent="0" shrinkToFit="false"/>
      <protection locked="true" hidden="true"/>
    </xf>
    <xf numFmtId="165" fontId="52" fillId="8" borderId="4" xfId="0" applyFont="true" applyBorder="true" applyAlignment="true" applyProtection="true">
      <alignment horizontal="center" vertical="center" textRotation="0" wrapText="false" indent="0" shrinkToFit="false"/>
      <protection locked="true" hidden="true"/>
    </xf>
    <xf numFmtId="165" fontId="52" fillId="14" borderId="4" xfId="0" applyFont="true" applyBorder="true" applyAlignment="true" applyProtection="true">
      <alignment horizontal="center" vertical="center" textRotation="0" wrapText="false" indent="0" shrinkToFit="false"/>
      <protection locked="true" hidden="true"/>
    </xf>
    <xf numFmtId="165" fontId="52" fillId="8" borderId="23" xfId="0" applyFont="true" applyBorder="true" applyAlignment="true" applyProtection="true">
      <alignment horizontal="center" vertical="center" textRotation="0" wrapText="false" indent="0" shrinkToFit="false"/>
      <protection locked="true" hidden="true"/>
    </xf>
    <xf numFmtId="165" fontId="52" fillId="14" borderId="23" xfId="0" applyFont="true" applyBorder="true" applyAlignment="true" applyProtection="true">
      <alignment horizontal="center" vertical="center" textRotation="0" wrapText="false" indent="0" shrinkToFit="false"/>
      <protection locked="true" hidden="true"/>
    </xf>
    <xf numFmtId="165" fontId="22" fillId="27" borderId="141" xfId="0" applyFont="true" applyBorder="true" applyAlignment="true" applyProtection="true">
      <alignment horizontal="center" vertical="center" textRotation="0" wrapText="false" indent="0" shrinkToFit="false"/>
      <protection locked="true" hidden="true"/>
    </xf>
    <xf numFmtId="165" fontId="22" fillId="27" borderId="0" xfId="0" applyFont="true" applyBorder="false" applyAlignment="true" applyProtection="true">
      <alignment horizontal="center" vertical="center" textRotation="0" wrapText="false" indent="0" shrinkToFit="false"/>
      <protection locked="true" hidden="true"/>
    </xf>
    <xf numFmtId="165" fontId="45" fillId="30" borderId="124" xfId="0" applyFont="true" applyBorder="true" applyAlignment="true" applyProtection="true">
      <alignment horizontal="center" vertical="center" textRotation="0" wrapText="false" indent="0" shrinkToFit="false"/>
      <protection locked="true" hidden="true"/>
    </xf>
    <xf numFmtId="165" fontId="22" fillId="30" borderId="124" xfId="0" applyFont="true" applyBorder="true" applyAlignment="true" applyProtection="true">
      <alignment horizontal="center" vertical="center" textRotation="0" wrapText="false" indent="0" shrinkToFit="false"/>
      <protection locked="true" hidden="true"/>
    </xf>
    <xf numFmtId="165" fontId="22" fillId="30" borderId="125" xfId="0" applyFont="true" applyBorder="true" applyAlignment="true" applyProtection="true">
      <alignment horizontal="center" vertical="center" textRotation="0" wrapText="false" indent="0" shrinkToFit="false"/>
      <protection locked="true" hidden="true"/>
    </xf>
    <xf numFmtId="165" fontId="22" fillId="30" borderId="132" xfId="0" applyFont="true" applyBorder="true" applyAlignment="true" applyProtection="true">
      <alignment horizontal="center" vertical="center" textRotation="0" wrapText="false" indent="0" shrinkToFit="false"/>
      <protection locked="true" hidden="true"/>
    </xf>
    <xf numFmtId="165" fontId="22" fillId="30" borderId="138" xfId="0" applyFont="true" applyBorder="true" applyAlignment="true" applyProtection="true">
      <alignment horizontal="center" vertical="center" textRotation="0" wrapText="false" indent="0" shrinkToFit="false"/>
      <protection locked="true" hidden="true"/>
    </xf>
    <xf numFmtId="165" fontId="52" fillId="8" borderId="7" xfId="0" applyFont="true" applyBorder="true" applyAlignment="true" applyProtection="true">
      <alignment horizontal="center" vertical="center" textRotation="0" wrapText="false" indent="0" shrinkToFit="false"/>
      <protection locked="true" hidden="true"/>
    </xf>
    <xf numFmtId="165" fontId="52" fillId="14" borderId="7" xfId="0" applyFont="true" applyBorder="true" applyAlignment="true" applyProtection="true">
      <alignment horizontal="center" vertical="center" textRotation="0" wrapText="false" indent="0" shrinkToFit="false"/>
      <protection locked="true" hidden="true"/>
    </xf>
    <xf numFmtId="165" fontId="22" fillId="28" borderId="145" xfId="0" applyFont="true" applyBorder="true" applyAlignment="true" applyProtection="true">
      <alignment horizontal="center" vertical="center" textRotation="0" wrapText="false" indent="0" shrinkToFit="false"/>
      <protection locked="true" hidden="true"/>
    </xf>
    <xf numFmtId="165" fontId="32" fillId="2" borderId="0" xfId="0" applyFont="true" applyBorder="true" applyAlignment="true" applyProtection="true">
      <alignment horizontal="center" vertical="bottom" textRotation="0" wrapText="false" indent="0" shrinkToFit="false"/>
      <protection locked="true" hidden="true"/>
    </xf>
    <xf numFmtId="165" fontId="52" fillId="9" borderId="4" xfId="0" applyFont="true" applyBorder="true" applyAlignment="true" applyProtection="true">
      <alignment horizontal="center" vertical="center" textRotation="0" wrapText="false" indent="0" shrinkToFit="false"/>
      <protection locked="true" hidden="true"/>
    </xf>
    <xf numFmtId="165" fontId="52" fillId="15" borderId="4" xfId="0" applyFont="true" applyBorder="true" applyAlignment="true" applyProtection="true">
      <alignment horizontal="center" vertical="center" textRotation="0" wrapText="false" indent="0" shrinkToFit="false"/>
      <protection locked="true" hidden="true"/>
    </xf>
    <xf numFmtId="165" fontId="22" fillId="29" borderId="141" xfId="0" applyFont="true" applyBorder="true" applyAlignment="true" applyProtection="true">
      <alignment horizontal="center" vertical="center" textRotation="0" wrapText="false" indent="0" shrinkToFit="false"/>
      <protection locked="true" hidden="true"/>
    </xf>
    <xf numFmtId="165" fontId="52" fillId="9" borderId="23" xfId="0" applyFont="true" applyBorder="true" applyAlignment="true" applyProtection="true">
      <alignment horizontal="center" vertical="center" textRotation="0" wrapText="false" indent="0" shrinkToFit="false"/>
      <protection locked="true" hidden="true"/>
    </xf>
    <xf numFmtId="165" fontId="52" fillId="15" borderId="23" xfId="0" applyFont="true" applyBorder="true" applyAlignment="true" applyProtection="true">
      <alignment horizontal="center" vertical="center" textRotation="0" wrapText="false" indent="0" shrinkToFit="false"/>
      <protection locked="true" hidden="true"/>
    </xf>
    <xf numFmtId="165" fontId="95" fillId="21" borderId="0" xfId="0" applyFont="true" applyBorder="false" applyAlignment="true" applyProtection="true">
      <alignment horizontal="center" vertical="center" textRotation="0" wrapText="false" indent="0" shrinkToFit="false"/>
      <protection locked="true" hidden="true"/>
    </xf>
    <xf numFmtId="165" fontId="22" fillId="21" borderId="0" xfId="0" applyFont="true" applyBorder="false" applyAlignment="true" applyProtection="true">
      <alignment horizontal="general" vertical="bottom" textRotation="0" wrapText="false" indent="0" shrinkToFit="false"/>
      <protection locked="true" hidden="true"/>
    </xf>
    <xf numFmtId="165" fontId="0" fillId="6" borderId="146" xfId="0" applyFont="false" applyBorder="true" applyAlignment="true" applyProtection="true">
      <alignment horizontal="center" vertical="bottom" textRotation="0" wrapText="false" indent="0" shrinkToFit="false"/>
      <protection locked="true" hidden="true"/>
    </xf>
    <xf numFmtId="165" fontId="0" fillId="6" borderId="147" xfId="0" applyFont="false" applyBorder="true" applyAlignment="true" applyProtection="true">
      <alignment horizontal="center" vertical="bottom" textRotation="0" wrapText="false" indent="0" shrinkToFit="false"/>
      <protection locked="true" hidden="true"/>
    </xf>
    <xf numFmtId="165" fontId="0" fillId="6" borderId="132" xfId="0" applyFont="false" applyBorder="true" applyAlignment="true" applyProtection="true">
      <alignment horizontal="center" vertical="bottom" textRotation="0" wrapText="false" indent="0" shrinkToFit="false"/>
      <protection locked="true" hidden="true"/>
    </xf>
    <xf numFmtId="165" fontId="0" fillId="6" borderId="148" xfId="0" applyFont="false" applyBorder="true" applyAlignment="true" applyProtection="true">
      <alignment horizontal="center" vertical="bottom" textRotation="0" wrapText="false" indent="0" shrinkToFit="false"/>
      <protection locked="true" hidden="true"/>
    </xf>
    <xf numFmtId="165" fontId="22" fillId="6" borderId="0" xfId="0" applyFont="true" applyBorder="false" applyAlignment="true" applyProtection="true">
      <alignment horizontal="center" vertical="bottom" textRotation="0" wrapText="false" indent="0" shrinkToFit="false"/>
      <protection locked="true" hidden="true"/>
    </xf>
    <xf numFmtId="165" fontId="0" fillId="6" borderId="138" xfId="0" applyFont="false" applyBorder="true" applyAlignment="true" applyProtection="true">
      <alignment horizontal="center" vertical="bottom" textRotation="0" wrapText="false" indent="0" shrinkToFit="false"/>
      <protection locked="true" hidden="true"/>
    </xf>
    <xf numFmtId="165" fontId="22" fillId="33" borderId="0" xfId="0" applyFont="true" applyBorder="false" applyAlignment="true" applyProtection="true">
      <alignment horizontal="center" vertical="bottom" textRotation="0" wrapText="false" indent="0" shrinkToFit="false"/>
      <protection locked="true" hidden="true"/>
    </xf>
    <xf numFmtId="165" fontId="52" fillId="9" borderId="7" xfId="0" applyFont="true" applyBorder="true" applyAlignment="true" applyProtection="true">
      <alignment horizontal="center" vertical="center" textRotation="0" wrapText="false" indent="0" shrinkToFit="false"/>
      <protection locked="true" hidden="true"/>
    </xf>
    <xf numFmtId="165" fontId="52" fillId="15" borderId="7" xfId="0" applyFont="true" applyBorder="true" applyAlignment="true" applyProtection="true">
      <alignment horizontal="center" vertical="center" textRotation="0" wrapText="false" indent="0" shrinkToFit="false"/>
      <protection locked="true" hidden="true"/>
    </xf>
    <xf numFmtId="165" fontId="22" fillId="32" borderId="0" xfId="0" applyFont="true" applyBorder="false" applyAlignment="true" applyProtection="true">
      <alignment horizontal="center" vertical="bottom" textRotation="0" wrapText="false" indent="0" shrinkToFit="false"/>
      <protection locked="true" hidden="true"/>
    </xf>
    <xf numFmtId="165" fontId="25" fillId="2" borderId="149" xfId="0" applyFont="true" applyBorder="true" applyAlignment="true" applyProtection="true">
      <alignment horizontal="general" vertical="bottom" textRotation="0" wrapText="false" indent="0" shrinkToFit="false"/>
      <protection locked="true" hidden="true"/>
    </xf>
    <xf numFmtId="165" fontId="22" fillId="39" borderId="150" xfId="0" applyFont="true" applyBorder="true" applyAlignment="true" applyProtection="true">
      <alignment horizontal="center" vertical="center" textRotation="0" wrapText="false" indent="0" shrinkToFit="false"/>
      <protection locked="true" hidden="true"/>
    </xf>
    <xf numFmtId="165" fontId="25" fillId="2" borderId="144" xfId="0" applyFont="true" applyBorder="true" applyAlignment="true" applyProtection="true">
      <alignment horizontal="general" vertical="bottom" textRotation="0" wrapText="false" indent="0" shrinkToFit="false"/>
      <protection locked="true" hidden="true"/>
    </xf>
    <xf numFmtId="165" fontId="45" fillId="21" borderId="124" xfId="0" applyFont="true" applyBorder="true" applyAlignment="true" applyProtection="true">
      <alignment horizontal="center" vertical="center" textRotation="0" wrapText="false" indent="0" shrinkToFit="false"/>
      <protection locked="true" hidden="true"/>
    </xf>
    <xf numFmtId="165" fontId="22" fillId="21" borderId="124" xfId="0" applyFont="true" applyBorder="true" applyAlignment="true" applyProtection="true">
      <alignment horizontal="center" vertical="center" textRotation="0" wrapText="false" indent="0" shrinkToFit="false"/>
      <protection locked="true" hidden="true"/>
    </xf>
    <xf numFmtId="165" fontId="22" fillId="21" borderId="125" xfId="0" applyFont="true" applyBorder="true" applyAlignment="true" applyProtection="true">
      <alignment horizontal="center" vertical="center" textRotation="0" wrapText="false" indent="0" shrinkToFit="false"/>
      <protection locked="true" hidden="true"/>
    </xf>
    <xf numFmtId="165" fontId="25" fillId="2" borderId="150" xfId="0" applyFont="true" applyBorder="true" applyAlignment="true" applyProtection="true">
      <alignment horizontal="general" vertical="bottom" textRotation="0" wrapText="false" indent="0" shrinkToFit="false"/>
      <protection locked="true" hidden="true"/>
    </xf>
    <xf numFmtId="165" fontId="22" fillId="31" borderId="0" xfId="0" applyFont="true" applyBorder="false" applyAlignment="true" applyProtection="true">
      <alignment horizontal="center" vertical="bottom" textRotation="0" wrapText="false" indent="0" shrinkToFit="false"/>
      <protection locked="true" hidden="true"/>
    </xf>
    <xf numFmtId="165" fontId="52" fillId="10" borderId="4" xfId="0" applyFont="true" applyBorder="true" applyAlignment="true" applyProtection="true">
      <alignment horizontal="center" vertical="center" textRotation="0" wrapText="false" indent="0" shrinkToFit="false"/>
      <protection locked="true" hidden="true"/>
    </xf>
    <xf numFmtId="165" fontId="52" fillId="16" borderId="4" xfId="0" applyFont="true" applyBorder="true" applyAlignment="true" applyProtection="true">
      <alignment horizontal="center" vertical="center" textRotation="0" wrapText="false" indent="0" shrinkToFit="false"/>
      <protection locked="true" hidden="true"/>
    </xf>
    <xf numFmtId="165" fontId="52" fillId="10" borderId="23" xfId="0" applyFont="true" applyBorder="true" applyAlignment="true" applyProtection="true">
      <alignment horizontal="center" vertical="center" textRotation="0" wrapText="false" indent="0" shrinkToFit="false"/>
      <protection locked="true" hidden="true"/>
    </xf>
    <xf numFmtId="165" fontId="52" fillId="16" borderId="23" xfId="0" applyFont="true" applyBorder="true" applyAlignment="true" applyProtection="true">
      <alignment horizontal="center" vertical="center" textRotation="0" wrapText="false" indent="0" shrinkToFit="false"/>
      <protection locked="true" hidden="true"/>
    </xf>
    <xf numFmtId="165" fontId="25" fillId="2" borderId="133" xfId="0" applyFont="true" applyBorder="true" applyAlignment="true" applyProtection="true">
      <alignment horizontal="center" vertical="center" textRotation="0" wrapText="false" indent="0" shrinkToFit="false"/>
      <protection locked="true" hidden="true"/>
    </xf>
    <xf numFmtId="165" fontId="45" fillId="39" borderId="124" xfId="0" applyFont="true" applyBorder="true" applyAlignment="true" applyProtection="true">
      <alignment horizontal="center" vertical="center" textRotation="0" wrapText="false" indent="0" shrinkToFit="false"/>
      <protection locked="true" hidden="true"/>
    </xf>
    <xf numFmtId="165" fontId="22" fillId="39" borderId="124" xfId="0" applyFont="true" applyBorder="true" applyAlignment="true" applyProtection="true">
      <alignment horizontal="center" vertical="center" textRotation="0" wrapText="false" indent="0" shrinkToFit="false"/>
      <protection locked="true" hidden="true"/>
    </xf>
    <xf numFmtId="165" fontId="22" fillId="39" borderId="125" xfId="0" applyFont="true" applyBorder="true" applyAlignment="true" applyProtection="true">
      <alignment horizontal="center" vertical="center" textRotation="0" wrapText="false" indent="0" shrinkToFit="false"/>
      <protection locked="true" hidden="true"/>
    </xf>
    <xf numFmtId="165" fontId="22" fillId="21" borderId="150" xfId="0" applyFont="true" applyBorder="true" applyAlignment="true" applyProtection="true">
      <alignment horizontal="center" vertical="center" textRotation="0" wrapText="false" indent="0" shrinkToFit="false"/>
      <protection locked="true" hidden="true"/>
    </xf>
    <xf numFmtId="165" fontId="0" fillId="6" borderId="149" xfId="0" applyFont="false" applyBorder="true" applyAlignment="true" applyProtection="true">
      <alignment horizontal="center" vertical="bottom" textRotation="0" wrapText="false" indent="0" shrinkToFit="false"/>
      <protection locked="true" hidden="true"/>
    </xf>
    <xf numFmtId="165" fontId="0" fillId="6" borderId="150" xfId="0" applyFont="false" applyBorder="true" applyAlignment="true" applyProtection="true">
      <alignment horizontal="center" vertical="bottom" textRotation="0" wrapText="false" indent="0" shrinkToFit="false"/>
      <protection locked="true" hidden="true"/>
    </xf>
    <xf numFmtId="165" fontId="0" fillId="6" borderId="151" xfId="0" applyFont="false" applyBorder="true" applyAlignment="true" applyProtection="true">
      <alignment horizontal="center" vertical="bottom" textRotation="0" wrapText="false" indent="0" shrinkToFit="false"/>
      <protection locked="true" hidden="true"/>
    </xf>
    <xf numFmtId="165" fontId="52" fillId="10" borderId="7" xfId="0" applyFont="true" applyBorder="true" applyAlignment="true" applyProtection="true">
      <alignment horizontal="center" vertical="center" textRotation="0" wrapText="false" indent="0" shrinkToFit="false"/>
      <protection locked="true" hidden="true"/>
    </xf>
    <xf numFmtId="165" fontId="52" fillId="16" borderId="7" xfId="0" applyFont="true" applyBorder="true" applyAlignment="true" applyProtection="true">
      <alignment horizontal="center" vertical="center" textRotation="0" wrapText="false" indent="0" shrinkToFit="false"/>
      <protection locked="true" hidden="true"/>
    </xf>
    <xf numFmtId="165" fontId="52" fillId="11" borderId="4" xfId="0" applyFont="true" applyBorder="true" applyAlignment="true" applyProtection="true">
      <alignment horizontal="center" vertical="center" textRotation="0" wrapText="false" indent="0" shrinkToFit="false"/>
      <protection locked="true" hidden="true"/>
    </xf>
    <xf numFmtId="165" fontId="52" fillId="17" borderId="4" xfId="0" applyFont="true" applyBorder="true" applyAlignment="true" applyProtection="true">
      <alignment horizontal="center" vertical="center" textRotation="0" wrapText="false" indent="0" shrinkToFit="false"/>
      <protection locked="true" hidden="true"/>
    </xf>
    <xf numFmtId="165" fontId="22" fillId="30" borderId="0" xfId="0" applyFont="true" applyBorder="false" applyAlignment="true" applyProtection="true">
      <alignment horizontal="left" vertical="center" textRotation="0" wrapText="false" indent="0" shrinkToFit="false"/>
      <protection locked="true" hidden="true"/>
    </xf>
    <xf numFmtId="165" fontId="52" fillId="11" borderId="23" xfId="0" applyFont="true" applyBorder="true" applyAlignment="true" applyProtection="true">
      <alignment horizontal="center" vertical="center" textRotation="0" wrapText="false" indent="0" shrinkToFit="false"/>
      <protection locked="true" hidden="true"/>
    </xf>
    <xf numFmtId="165" fontId="52" fillId="17" borderId="23" xfId="0" applyFont="true" applyBorder="true" applyAlignment="true" applyProtection="true">
      <alignment horizontal="center" vertical="center" textRotation="0" wrapText="false" indent="0" shrinkToFit="false"/>
      <protection locked="true" hidden="true"/>
    </xf>
    <xf numFmtId="165" fontId="22" fillId="30" borderId="141" xfId="0" applyFont="true" applyBorder="true" applyAlignment="true" applyProtection="true">
      <alignment horizontal="center" vertical="center" textRotation="0" wrapText="false" indent="0" shrinkToFit="false"/>
      <protection locked="true" hidden="true"/>
    </xf>
    <xf numFmtId="165" fontId="52" fillId="11" borderId="7" xfId="0" applyFont="true" applyBorder="true" applyAlignment="true" applyProtection="true">
      <alignment horizontal="center" vertical="center" textRotation="0" wrapText="false" indent="0" shrinkToFit="false"/>
      <protection locked="true" hidden="true"/>
    </xf>
    <xf numFmtId="165" fontId="52" fillId="17" borderId="7" xfId="0" applyFont="true" applyBorder="true" applyAlignment="true" applyProtection="true">
      <alignment horizontal="center" vertical="center" textRotation="0" wrapText="false" indent="0" shrinkToFit="false"/>
      <protection locked="true" hidden="true"/>
    </xf>
    <xf numFmtId="165" fontId="52" fillId="12" borderId="4" xfId="0" applyFont="true" applyBorder="true" applyAlignment="true" applyProtection="true">
      <alignment horizontal="center" vertical="center" textRotation="0" wrapText="false" indent="0" shrinkToFit="false"/>
      <protection locked="true" hidden="true"/>
    </xf>
    <xf numFmtId="165" fontId="52" fillId="18" borderId="4" xfId="0" applyFont="true" applyBorder="true" applyAlignment="true" applyProtection="true">
      <alignment horizontal="center" vertical="center" textRotation="0" wrapText="false" indent="0" shrinkToFit="false"/>
      <protection locked="true" hidden="true"/>
    </xf>
    <xf numFmtId="165" fontId="52" fillId="12" borderId="23" xfId="0" applyFont="true" applyBorder="true" applyAlignment="true" applyProtection="true">
      <alignment horizontal="center" vertical="center" textRotation="0" wrapText="false" indent="0" shrinkToFit="false"/>
      <protection locked="true" hidden="true"/>
    </xf>
    <xf numFmtId="165" fontId="52" fillId="18" borderId="23" xfId="0" applyFont="true" applyBorder="true" applyAlignment="true" applyProtection="true">
      <alignment horizontal="center" vertical="center" textRotation="0" wrapText="false" indent="0" shrinkToFit="false"/>
      <protection locked="true" hidden="true"/>
    </xf>
    <xf numFmtId="165" fontId="52" fillId="12" borderId="7" xfId="0" applyFont="true" applyBorder="true" applyAlignment="true" applyProtection="true">
      <alignment horizontal="center" vertical="center" textRotation="0" wrapText="false" indent="0" shrinkToFit="false"/>
      <protection locked="true" hidden="true"/>
    </xf>
    <xf numFmtId="165" fontId="52" fillId="18" borderId="7" xfId="0" applyFont="true" applyBorder="true" applyAlignment="true" applyProtection="true">
      <alignment horizontal="center" vertical="center" textRotation="0" wrapText="false" indent="0" shrinkToFit="false"/>
      <protection locked="true" hidden="true"/>
    </xf>
    <xf numFmtId="165" fontId="0" fillId="27" borderId="0" xfId="0" applyFont="false" applyBorder="false" applyAlignment="true" applyProtection="true">
      <alignment horizontal="general" vertical="bottom" textRotation="0" wrapText="false" indent="0" shrinkToFit="false"/>
      <protection locked="true" hidden="true"/>
    </xf>
    <xf numFmtId="165" fontId="0" fillId="28" borderId="0" xfId="0" applyFont="false" applyBorder="false" applyAlignment="true" applyProtection="true">
      <alignment horizontal="general" vertical="bottom" textRotation="0" wrapText="false" indent="0" shrinkToFit="false"/>
      <protection locked="true" hidden="true"/>
    </xf>
    <xf numFmtId="165" fontId="0" fillId="21" borderId="0" xfId="0" applyFont="false" applyBorder="false" applyAlignment="true" applyProtection="true">
      <alignment horizontal="center" vertical="center" textRotation="0" wrapText="false" indent="0" shrinkToFit="false"/>
      <protection locked="true" hidden="true"/>
    </xf>
    <xf numFmtId="165" fontId="0" fillId="0" borderId="65" xfId="0" applyFont="false" applyBorder="true" applyAlignment="true" applyProtection="true">
      <alignment horizontal="right" vertical="bottom" textRotation="0" wrapText="false" indent="0" shrinkToFit="false"/>
      <protection locked="true" hidden="true"/>
    </xf>
    <xf numFmtId="173" fontId="0" fillId="0" borderId="152" xfId="0" applyFont="false" applyBorder="true" applyAlignment="true" applyProtection="true">
      <alignment horizontal="general" vertical="bottom" textRotation="0" wrapText="false" indent="0" shrinkToFit="false"/>
      <protection locked="true" hidden="true"/>
    </xf>
    <xf numFmtId="173" fontId="25" fillId="0" borderId="152" xfId="0" applyFont="true" applyBorder="true" applyAlignment="true" applyProtection="true">
      <alignment horizontal="general" vertical="bottom" textRotation="0" wrapText="false" indent="0" shrinkToFit="false"/>
      <protection locked="true" hidden="true"/>
    </xf>
    <xf numFmtId="173" fontId="31" fillId="0" borderId="152" xfId="0" applyFont="true" applyBorder="true" applyAlignment="true" applyProtection="true">
      <alignment horizontal="general" vertical="bottom" textRotation="0" wrapText="false" indent="0" shrinkToFit="false"/>
      <protection locked="true" hidden="true"/>
    </xf>
    <xf numFmtId="173" fontId="0" fillId="0" borderId="64" xfId="0" applyFont="false" applyBorder="true" applyAlignment="true" applyProtection="true">
      <alignment horizontal="general" vertical="bottom" textRotation="0" wrapText="false" indent="0" shrinkToFit="false"/>
      <protection locked="true" hidden="true"/>
    </xf>
    <xf numFmtId="165" fontId="22" fillId="0" borderId="0" xfId="22" applyFont="true" applyBorder="false" applyAlignment="true" applyProtection="true">
      <alignment horizontal="general" vertical="bottom" textRotation="0" wrapText="false" indent="0" shrinkToFit="false"/>
      <protection locked="true" hidden="true"/>
    </xf>
    <xf numFmtId="165" fontId="22" fillId="0" borderId="0" xfId="22" applyFont="true" applyBorder="false" applyAlignment="true" applyProtection="true">
      <alignment horizontal="general" vertical="top" textRotation="0" wrapText="true" indent="0" shrinkToFit="false"/>
      <protection locked="true" hidden="true"/>
    </xf>
    <xf numFmtId="165" fontId="22" fillId="0" borderId="0" xfId="22" applyFont="true" applyBorder="false" applyAlignment="true" applyProtection="true">
      <alignment horizontal="general" vertical="bottom" textRotation="0" wrapText="false" indent="0" shrinkToFit="false"/>
      <protection locked="true" hidden="false"/>
    </xf>
    <xf numFmtId="165" fontId="32" fillId="0" borderId="0" xfId="22" applyFont="true" applyBorder="false" applyAlignment="true" applyProtection="true">
      <alignment horizontal="general" vertical="top" textRotation="0" wrapText="false" indent="0" shrinkToFit="false"/>
      <protection locked="true" hidden="true"/>
    </xf>
    <xf numFmtId="165" fontId="45" fillId="0" borderId="0" xfId="22" applyFont="true" applyBorder="false" applyAlignment="true" applyProtection="true">
      <alignment horizontal="general" vertical="top" textRotation="0" wrapText="false" indent="0" shrinkToFit="false"/>
      <protection locked="true" hidden="true"/>
    </xf>
    <xf numFmtId="165" fontId="22" fillId="0" borderId="0" xfId="22" applyFont="true" applyBorder="false" applyAlignment="true" applyProtection="true">
      <alignment horizontal="general" vertical="top" textRotation="0" wrapText="false" indent="0" shrinkToFit="false"/>
      <protection locked="true" hidden="true"/>
    </xf>
    <xf numFmtId="165" fontId="0" fillId="0" borderId="0" xfId="22" applyFont="true" applyBorder="false" applyAlignment="true" applyProtection="true">
      <alignment horizontal="general" vertical="bottom" textRotation="0" wrapText="false" indent="0" shrinkToFit="false"/>
      <protection locked="true" hidden="false"/>
    </xf>
    <xf numFmtId="165" fontId="31" fillId="0" borderId="0" xfId="22" applyFont="true" applyBorder="false" applyAlignment="true" applyProtection="true">
      <alignment horizontal="general" vertical="bottom" textRotation="0" wrapText="false" indent="0" shrinkToFit="false"/>
      <protection locked="true" hidden="false"/>
    </xf>
    <xf numFmtId="165" fontId="22" fillId="2" borderId="71" xfId="22" applyFont="true" applyBorder="true" applyAlignment="true" applyProtection="true">
      <alignment horizontal="left" vertical="center" textRotation="0" wrapText="true" indent="0" shrinkToFit="false"/>
      <protection locked="true" hidden="true"/>
    </xf>
    <xf numFmtId="165" fontId="22" fillId="2" borderId="153" xfId="22" applyFont="true" applyBorder="true" applyAlignment="true" applyProtection="true">
      <alignment horizontal="general" vertical="center" textRotation="0" wrapText="false" indent="0" shrinkToFit="false"/>
      <protection locked="true" hidden="true"/>
    </xf>
    <xf numFmtId="165" fontId="22" fillId="2" borderId="154" xfId="22" applyFont="true" applyBorder="true" applyAlignment="true" applyProtection="true">
      <alignment horizontal="general" vertical="center" textRotation="0" wrapText="false" indent="0" shrinkToFit="false"/>
      <protection locked="true" hidden="true"/>
    </xf>
    <xf numFmtId="165" fontId="31" fillId="2" borderId="154" xfId="22" applyFont="true" applyBorder="true" applyAlignment="true" applyProtection="true">
      <alignment horizontal="general" vertical="center" textRotation="0" wrapText="false" indent="0" shrinkToFit="false"/>
      <protection locked="true" hidden="true"/>
    </xf>
    <xf numFmtId="165" fontId="31" fillId="2" borderId="155" xfId="22" applyFont="true" applyBorder="true" applyAlignment="true" applyProtection="true">
      <alignment horizontal="general" vertical="center" textRotation="0" wrapText="false" indent="0" shrinkToFit="false"/>
      <protection locked="true" hidden="true"/>
    </xf>
    <xf numFmtId="165" fontId="22" fillId="2" borderId="156" xfId="22" applyFont="true" applyBorder="true" applyAlignment="true" applyProtection="true">
      <alignment horizontal="general" vertical="center" textRotation="0" wrapText="false" indent="0" shrinkToFit="false"/>
      <protection locked="true" hidden="true"/>
    </xf>
    <xf numFmtId="165" fontId="22" fillId="2" borderId="0" xfId="22" applyFont="true" applyBorder="false" applyAlignment="true" applyProtection="true">
      <alignment horizontal="general" vertical="center" textRotation="0" wrapText="false" indent="0" shrinkToFit="false"/>
      <protection locked="true" hidden="true"/>
    </xf>
    <xf numFmtId="165" fontId="31" fillId="2" borderId="0" xfId="22" applyFont="true" applyBorder="false" applyAlignment="true" applyProtection="true">
      <alignment horizontal="general" vertical="center" textRotation="0" wrapText="false" indent="0" shrinkToFit="false"/>
      <protection locked="true" hidden="true"/>
    </xf>
    <xf numFmtId="165" fontId="31" fillId="2" borderId="157" xfId="22" applyFont="true" applyBorder="true" applyAlignment="true" applyProtection="true">
      <alignment horizontal="general" vertical="center" textRotation="0" wrapText="false" indent="0" shrinkToFit="false"/>
      <protection locked="true" hidden="true"/>
    </xf>
    <xf numFmtId="165" fontId="96" fillId="2" borderId="156" xfId="20" applyFont="true" applyBorder="true" applyAlignment="true" applyProtection="true">
      <alignment horizontal="left" vertical="center" textRotation="0" wrapText="false" indent="0" shrinkToFit="false"/>
      <protection locked="true" hidden="true"/>
    </xf>
    <xf numFmtId="165" fontId="22" fillId="2" borderId="158" xfId="22" applyFont="true" applyBorder="true" applyAlignment="true" applyProtection="true">
      <alignment horizontal="general" vertical="center" textRotation="0" wrapText="false" indent="0" shrinkToFit="false"/>
      <protection locked="true" hidden="true"/>
    </xf>
    <xf numFmtId="165" fontId="22" fillId="2" borderId="159" xfId="22" applyFont="true" applyBorder="true" applyAlignment="true" applyProtection="true">
      <alignment horizontal="general" vertical="center" textRotation="0" wrapText="false" indent="0" shrinkToFit="false"/>
      <protection locked="true" hidden="true"/>
    </xf>
    <xf numFmtId="165" fontId="31" fillId="2" borderId="159" xfId="22" applyFont="true" applyBorder="true" applyAlignment="true" applyProtection="true">
      <alignment horizontal="general" vertical="center" textRotation="0" wrapText="false" indent="0" shrinkToFit="false"/>
      <protection locked="true" hidden="true"/>
    </xf>
    <xf numFmtId="165" fontId="31" fillId="2" borderId="160" xfId="22" applyFont="true" applyBorder="true" applyAlignment="true" applyProtection="true">
      <alignment horizontal="general" vertical="center" textRotation="0" wrapText="false" indent="0" shrinkToFit="false"/>
      <protection locked="true" hidden="true"/>
    </xf>
    <xf numFmtId="165" fontId="69" fillId="0" borderId="0" xfId="22" applyFont="true" applyBorder="false" applyAlignment="true" applyProtection="true">
      <alignment horizontal="general" vertical="top" textRotation="0" wrapText="false" indent="0" shrinkToFit="false"/>
      <protection locked="true" hidden="true"/>
    </xf>
    <xf numFmtId="165" fontId="4" fillId="2" borderId="0" xfId="20" applyFont="true" applyBorder="true" applyAlignment="true" applyProtection="true">
      <alignment horizontal="general" vertical="center" textRotation="0" wrapText="false" indent="0" shrinkToFit="false"/>
      <protection locked="true" hidden="true"/>
    </xf>
    <xf numFmtId="165" fontId="22" fillId="0" borderId="0" xfId="22" applyFont="true" applyBorder="false" applyAlignment="true" applyProtection="true">
      <alignment horizontal="general" vertical="center" textRotation="0" wrapText="true" indent="0" shrinkToFit="false"/>
      <protection locked="true" hidden="true"/>
    </xf>
    <xf numFmtId="165" fontId="0" fillId="2" borderId="153" xfId="22" applyFont="true" applyBorder="true" applyAlignment="true" applyProtection="true">
      <alignment horizontal="general" vertical="bottom" textRotation="0" wrapText="false" indent="0" shrinkToFit="false"/>
      <protection locked="true" hidden="false"/>
    </xf>
    <xf numFmtId="165" fontId="0" fillId="2" borderId="154" xfId="22" applyFont="true" applyBorder="true" applyAlignment="true" applyProtection="true">
      <alignment horizontal="general" vertical="bottom" textRotation="0" wrapText="false" indent="0" shrinkToFit="false"/>
      <protection locked="true" hidden="false"/>
    </xf>
    <xf numFmtId="165" fontId="0" fillId="2" borderId="155" xfId="22" applyFont="true" applyBorder="true" applyAlignment="true" applyProtection="true">
      <alignment horizontal="general" vertical="bottom" textRotation="0" wrapText="false" indent="0" shrinkToFit="false"/>
      <protection locked="true" hidden="false"/>
    </xf>
    <xf numFmtId="165" fontId="22" fillId="2" borderId="156" xfId="20" applyFont="true" applyBorder="true" applyAlignment="true" applyProtection="true">
      <alignment horizontal="general" vertical="center" textRotation="0" wrapText="false" indent="0" shrinkToFit="false"/>
      <protection locked="true" hidden="true"/>
    </xf>
    <xf numFmtId="165" fontId="32" fillId="2" borderId="156" xfId="22" applyFont="true" applyBorder="true" applyAlignment="true" applyProtection="true">
      <alignment horizontal="right" vertical="center" textRotation="0" wrapText="false" indent="0" shrinkToFit="false"/>
      <protection locked="true" hidden="true"/>
    </xf>
    <xf numFmtId="165" fontId="22" fillId="2" borderId="0" xfId="20" applyFont="true" applyBorder="true" applyAlignment="true" applyProtection="true">
      <alignment horizontal="general" vertical="center" textRotation="0" wrapText="false" indent="0" shrinkToFit="false"/>
      <protection locked="true" hidden="true"/>
    </xf>
    <xf numFmtId="165" fontId="22" fillId="2" borderId="0" xfId="22" applyFont="true" applyBorder="false" applyAlignment="true" applyProtection="true">
      <alignment horizontal="general" vertical="center" textRotation="0" wrapText="true" indent="0" shrinkToFit="false"/>
      <protection locked="true" hidden="true"/>
    </xf>
    <xf numFmtId="165" fontId="22" fillId="2" borderId="157" xfId="22" applyFont="true" applyBorder="true" applyAlignment="true" applyProtection="true">
      <alignment horizontal="general" vertical="center" textRotation="0" wrapText="true" indent="0" shrinkToFit="false"/>
      <protection locked="true" hidden="true"/>
    </xf>
    <xf numFmtId="165" fontId="32" fillId="2" borderId="156" xfId="22" applyFont="true" applyBorder="true" applyAlignment="true" applyProtection="true">
      <alignment horizontal="right" vertical="top" textRotation="0" wrapText="false" indent="0" shrinkToFit="false"/>
      <protection locked="true" hidden="true"/>
    </xf>
    <xf numFmtId="166" fontId="22" fillId="2" borderId="0" xfId="22" applyFont="true" applyBorder="false" applyAlignment="true" applyProtection="true">
      <alignment horizontal="left" vertical="top" textRotation="0" wrapText="false" indent="0" shrinkToFit="false"/>
      <protection locked="true" hidden="true"/>
    </xf>
    <xf numFmtId="165" fontId="22" fillId="2" borderId="0" xfId="22" applyFont="true" applyBorder="false" applyAlignment="true" applyProtection="true">
      <alignment horizontal="general" vertical="top" textRotation="0" wrapText="false" indent="0" shrinkToFit="false"/>
      <protection locked="true" hidden="true"/>
    </xf>
    <xf numFmtId="165" fontId="22" fillId="2" borderId="0" xfId="22" applyFont="true" applyBorder="false" applyAlignment="true" applyProtection="true">
      <alignment horizontal="general" vertical="top" textRotation="0" wrapText="true" indent="0" shrinkToFit="false"/>
      <protection locked="true" hidden="true"/>
    </xf>
    <xf numFmtId="165" fontId="22" fillId="2" borderId="157" xfId="22" applyFont="true" applyBorder="true" applyAlignment="true" applyProtection="true">
      <alignment horizontal="general" vertical="bottom" textRotation="0" wrapText="false" indent="0" shrinkToFit="false"/>
      <protection locked="true" hidden="false"/>
    </xf>
    <xf numFmtId="165" fontId="22" fillId="2" borderId="158" xfId="22" applyFont="true" applyBorder="true" applyAlignment="true" applyProtection="true">
      <alignment horizontal="general" vertical="bottom" textRotation="0" wrapText="false" indent="0" shrinkToFit="false"/>
      <protection locked="true" hidden="true"/>
    </xf>
    <xf numFmtId="165" fontId="22" fillId="2" borderId="159" xfId="22" applyFont="true" applyBorder="true" applyAlignment="true" applyProtection="true">
      <alignment horizontal="general" vertical="bottom" textRotation="0" wrapText="false" indent="0" shrinkToFit="false"/>
      <protection locked="true" hidden="true"/>
    </xf>
    <xf numFmtId="165" fontId="22" fillId="2" borderId="160" xfId="22" applyFont="true" applyBorder="true" applyAlignment="true" applyProtection="true">
      <alignment horizontal="general" vertical="bottom" textRotation="0" wrapText="false" indent="0" shrinkToFit="false"/>
      <protection locked="true" hidden="true"/>
    </xf>
    <xf numFmtId="165" fontId="22" fillId="0" borderId="0" xfId="20" applyFont="true" applyBorder="true" applyAlignment="true" applyProtection="true">
      <alignment horizontal="general" vertical="bottom" textRotation="0" wrapText="false" indent="0" shrinkToFit="false"/>
      <protection locked="true" hidden="true"/>
    </xf>
    <xf numFmtId="165" fontId="22" fillId="0" borderId="0" xfId="20" applyFont="true" applyBorder="true" applyAlignment="true" applyProtection="true">
      <alignment horizontal="general" vertical="bottom" textRotation="0" wrapText="false" indent="0" shrinkToFit="false"/>
      <protection locked="true" hidden="false"/>
    </xf>
    <xf numFmtId="165" fontId="22" fillId="0" borderId="0" xfId="22" applyFont="true" applyBorder="false" applyAlignment="true" applyProtection="true">
      <alignment horizontal="general" vertical="bottom" textRotation="0" wrapText="false" indent="0" shrinkToFit="false"/>
      <protection locked="false" hidden="true"/>
    </xf>
    <xf numFmtId="165" fontId="22" fillId="2" borderId="153" xfId="22" applyFont="true" applyBorder="true" applyAlignment="true" applyProtection="true">
      <alignment horizontal="right" vertical="bottom" textRotation="0" wrapText="false" indent="0" shrinkToFit="false"/>
      <protection locked="true" hidden="true"/>
    </xf>
    <xf numFmtId="165" fontId="22" fillId="2" borderId="154" xfId="22" applyFont="true" applyBorder="true" applyAlignment="true" applyProtection="true">
      <alignment horizontal="right" vertical="bottom" textRotation="0" wrapText="false" indent="0" shrinkToFit="false"/>
      <protection locked="true" hidden="true"/>
    </xf>
    <xf numFmtId="165" fontId="97" fillId="2" borderId="154" xfId="22" applyFont="true" applyBorder="true" applyAlignment="true" applyProtection="true">
      <alignment horizontal="left" vertical="bottom" textRotation="0" wrapText="false" indent="0" shrinkToFit="false"/>
      <protection locked="true" hidden="true"/>
    </xf>
    <xf numFmtId="165" fontId="22" fillId="2" borderId="154" xfId="22" applyFont="true" applyBorder="true" applyAlignment="true" applyProtection="true">
      <alignment horizontal="left" vertical="bottom" textRotation="0" wrapText="false" indent="0" shrinkToFit="false"/>
      <protection locked="true" hidden="true"/>
    </xf>
    <xf numFmtId="165" fontId="22" fillId="2" borderId="154" xfId="22" applyFont="true" applyBorder="true" applyAlignment="true" applyProtection="true">
      <alignment horizontal="general" vertical="bottom" textRotation="0" wrapText="false" indent="0" shrinkToFit="false"/>
      <protection locked="true" hidden="false"/>
    </xf>
    <xf numFmtId="165" fontId="22" fillId="2" borderId="155" xfId="22" applyFont="true" applyBorder="true" applyAlignment="true" applyProtection="true">
      <alignment horizontal="general" vertical="bottom" textRotation="0" wrapText="false" indent="0" shrinkToFit="false"/>
      <protection locked="true" hidden="false"/>
    </xf>
    <xf numFmtId="165" fontId="0" fillId="2" borderId="156" xfId="22" applyFont="true" applyBorder="true" applyAlignment="true" applyProtection="true">
      <alignment horizontal="general" vertical="bottom" textRotation="0" wrapText="false" indent="0" shrinkToFit="false"/>
      <protection locked="true" hidden="false"/>
    </xf>
    <xf numFmtId="165" fontId="32" fillId="2" borderId="0" xfId="22" applyFont="true" applyBorder="false" applyAlignment="true" applyProtection="true">
      <alignment horizontal="left" vertical="center" textRotation="0" wrapText="false" indent="0" shrinkToFit="false"/>
      <protection locked="true" hidden="true"/>
    </xf>
    <xf numFmtId="165" fontId="32" fillId="2" borderId="0" xfId="22" applyFont="true" applyBorder="false" applyAlignment="true" applyProtection="true">
      <alignment horizontal="center" vertical="center" textRotation="0" wrapText="false" indent="0" shrinkToFit="false"/>
      <protection locked="true" hidden="true"/>
    </xf>
    <xf numFmtId="165" fontId="22" fillId="2" borderId="0" xfId="22" applyFont="true" applyBorder="false" applyAlignment="true" applyProtection="true">
      <alignment horizontal="general" vertical="bottom" textRotation="0" wrapText="false" indent="0" shrinkToFit="false"/>
      <protection locked="true" hidden="false"/>
    </xf>
    <xf numFmtId="165" fontId="22" fillId="0" borderId="0" xfId="22" applyFont="true" applyBorder="false" applyAlignment="true" applyProtection="true">
      <alignment horizontal="general" vertical="center" textRotation="0" wrapText="false" indent="0" shrinkToFit="false"/>
      <protection locked="true" hidden="false"/>
    </xf>
    <xf numFmtId="165" fontId="0" fillId="2" borderId="156" xfId="22" applyFont="true" applyBorder="true" applyAlignment="true" applyProtection="true">
      <alignment horizontal="general" vertical="center" textRotation="0" wrapText="false" indent="0" shrinkToFit="false"/>
      <protection locked="true" hidden="false"/>
    </xf>
    <xf numFmtId="165" fontId="22" fillId="2" borderId="39" xfId="22" applyFont="true" applyBorder="true" applyAlignment="true" applyProtection="true">
      <alignment horizontal="general" vertical="center" textRotation="0" wrapText="false" indent="0" shrinkToFit="false"/>
      <protection locked="true" hidden="true"/>
    </xf>
    <xf numFmtId="165" fontId="22" fillId="2" borderId="161" xfId="22" applyFont="true" applyBorder="true" applyAlignment="true" applyProtection="true">
      <alignment horizontal="general" vertical="center" textRotation="0" wrapText="false" indent="0" shrinkToFit="false"/>
      <protection locked="true" hidden="true"/>
    </xf>
    <xf numFmtId="165" fontId="4" fillId="0" borderId="39" xfId="20" applyFont="true" applyBorder="true" applyAlignment="true" applyProtection="true">
      <alignment horizontal="center" vertical="center" textRotation="0" wrapText="false" indent="0" shrinkToFit="false"/>
      <protection locked="true" hidden="true"/>
    </xf>
    <xf numFmtId="165" fontId="22" fillId="2" borderId="0" xfId="22" applyFont="true" applyBorder="false" applyAlignment="true" applyProtection="true">
      <alignment horizontal="general" vertical="center" textRotation="0" wrapText="false" indent="0" shrinkToFit="false"/>
      <protection locked="true" hidden="false"/>
    </xf>
    <xf numFmtId="165" fontId="22" fillId="2" borderId="157" xfId="22" applyFont="true" applyBorder="true" applyAlignment="true" applyProtection="true">
      <alignment horizontal="general" vertical="center" textRotation="0" wrapText="false" indent="0" shrinkToFit="false"/>
      <protection locked="true" hidden="false"/>
    </xf>
    <xf numFmtId="165" fontId="95" fillId="0" borderId="39" xfId="20" applyFont="true" applyBorder="true" applyAlignment="true" applyProtection="true">
      <alignment horizontal="center" vertical="center" textRotation="0" wrapText="false" indent="0" shrinkToFit="false"/>
      <protection locked="true" hidden="true"/>
    </xf>
    <xf numFmtId="165" fontId="22" fillId="0" borderId="39" xfId="22" applyFont="true" applyBorder="true" applyAlignment="true" applyProtection="true">
      <alignment horizontal="center" vertical="center" textRotation="0" wrapText="false" indent="0" shrinkToFit="false"/>
      <protection locked="true" hidden="true"/>
    </xf>
    <xf numFmtId="165" fontId="32" fillId="0" borderId="0" xfId="22" applyFont="true" applyBorder="false" applyAlignment="true" applyProtection="true">
      <alignment horizontal="general" vertical="bottom" textRotation="0" wrapText="false" indent="0" shrinkToFit="false"/>
      <protection locked="true" hidden="true"/>
    </xf>
    <xf numFmtId="165" fontId="22" fillId="2" borderId="158" xfId="22" applyFont="true" applyBorder="true" applyAlignment="true" applyProtection="true">
      <alignment horizontal="general" vertical="bottom" textRotation="0" wrapText="false" indent="0" shrinkToFit="false"/>
      <protection locked="true" hidden="false"/>
    </xf>
    <xf numFmtId="165" fontId="22" fillId="2" borderId="159" xfId="22" applyFont="true" applyBorder="true" applyAlignment="true" applyProtection="true">
      <alignment horizontal="general" vertical="bottom" textRotation="0" wrapText="false" indent="0" shrinkToFit="false"/>
      <protection locked="true" hidden="false"/>
    </xf>
    <xf numFmtId="165" fontId="22" fillId="2" borderId="160" xfId="22" applyFont="true" applyBorder="true" applyAlignment="true" applyProtection="true">
      <alignment horizontal="general" vertical="bottom" textRotation="0" wrapText="false" indent="0" shrinkToFit="false"/>
      <protection locked="true" hidden="false"/>
    </xf>
    <xf numFmtId="165" fontId="22" fillId="2" borderId="162" xfId="22" applyFont="true" applyBorder="true" applyAlignment="true" applyProtection="true">
      <alignment horizontal="general" vertical="center" textRotation="0" wrapText="false" indent="0" shrinkToFit="false"/>
      <protection locked="true" hidden="true"/>
    </xf>
    <xf numFmtId="165" fontId="22" fillId="2" borderId="163" xfId="22" applyFont="true" applyBorder="true" applyAlignment="true" applyProtection="true">
      <alignment horizontal="general" vertical="center" textRotation="0" wrapText="false" indent="0" shrinkToFit="false"/>
      <protection locked="true" hidden="true"/>
    </xf>
    <xf numFmtId="165" fontId="31" fillId="2" borderId="163" xfId="22" applyFont="true" applyBorder="true" applyAlignment="true" applyProtection="true">
      <alignment horizontal="general" vertical="center" textRotation="0" wrapText="false" indent="0" shrinkToFit="false"/>
      <protection locked="true" hidden="true"/>
    </xf>
    <xf numFmtId="165" fontId="31" fillId="2" borderId="164" xfId="22" applyFont="true" applyBorder="true" applyAlignment="true" applyProtection="true">
      <alignment horizontal="general" vertical="center" textRotation="0" wrapText="false" indent="0" shrinkToFit="false"/>
      <protection locked="true" hidden="true"/>
    </xf>
    <xf numFmtId="165" fontId="0" fillId="3" borderId="0" xfId="22" applyFont="true" applyBorder="false" applyAlignment="true" applyProtection="true">
      <alignment horizontal="general" vertical="bottom" textRotation="0" wrapText="false" indent="0" shrinkToFit="false"/>
      <protection locked="true" hidden="false"/>
    </xf>
    <xf numFmtId="165" fontId="98" fillId="40" borderId="165" xfId="0" applyFont="true" applyBorder="true" applyAlignment="true" applyProtection="true">
      <alignment horizontal="center" vertical="center" textRotation="0" wrapText="false" indent="0" shrinkToFit="false"/>
      <protection locked="false" hidden="true"/>
    </xf>
    <xf numFmtId="165" fontId="99" fillId="21" borderId="166" xfId="0" applyFont="true" applyBorder="true" applyAlignment="true" applyProtection="true">
      <alignment horizontal="center" vertical="center" textRotation="0" wrapText="false" indent="0" shrinkToFit="false"/>
      <protection locked="true" hidden="false"/>
    </xf>
    <xf numFmtId="165" fontId="0" fillId="0" borderId="0" xfId="22" applyFont="true" applyBorder="false" applyAlignment="true" applyProtection="true">
      <alignment horizontal="general" vertical="center" textRotation="0" wrapText="false" indent="0" shrinkToFit="false"/>
      <protection locked="true" hidden="false"/>
    </xf>
    <xf numFmtId="165" fontId="31" fillId="0" borderId="0" xfId="22" applyFont="true" applyBorder="false" applyAlignment="true" applyProtection="true">
      <alignment horizontal="general" vertical="center" textRotation="0" wrapText="false" indent="0" shrinkToFit="false"/>
      <protection locked="true" hidden="false"/>
    </xf>
    <xf numFmtId="165" fontId="22" fillId="2" borderId="158" xfId="0" applyFont="true" applyBorder="true" applyAlignment="true" applyProtection="true">
      <alignment horizontal="general" vertical="bottom" textRotation="0" wrapText="false" indent="0" shrinkToFit="false"/>
      <protection locked="true" hidden="false"/>
    </xf>
    <xf numFmtId="165" fontId="22" fillId="2" borderId="159" xfId="0" applyFont="true" applyBorder="true" applyAlignment="true" applyProtection="true">
      <alignment horizontal="general" vertical="bottom" textRotation="0" wrapText="false" indent="0" shrinkToFit="false"/>
      <protection locked="true" hidden="false"/>
    </xf>
    <xf numFmtId="165" fontId="31" fillId="2" borderId="159" xfId="0" applyFont="true" applyBorder="true" applyAlignment="true" applyProtection="true">
      <alignment horizontal="general" vertical="bottom" textRotation="0" wrapText="false" indent="0" shrinkToFit="false"/>
      <protection locked="true" hidden="false"/>
    </xf>
    <xf numFmtId="165" fontId="31" fillId="2" borderId="160" xfId="0" applyFont="true" applyBorder="true" applyAlignment="true" applyProtection="true">
      <alignment horizontal="general" vertical="bottom" textRotation="0" wrapText="false" indent="0" shrinkToFit="false"/>
      <protection locked="true" hidden="false"/>
    </xf>
    <xf numFmtId="165" fontId="31" fillId="0" borderId="0" xfId="0" applyFont="true" applyBorder="true" applyAlignment="true" applyProtection="true">
      <alignment horizontal="left" vertical="center" textRotation="0" wrapText="true" indent="0" shrinkToFit="false"/>
      <protection locked="true" hidden="true"/>
    </xf>
    <xf numFmtId="165" fontId="31" fillId="0" borderId="0" xfId="0" applyFont="true" applyBorder="false" applyAlignment="true" applyProtection="true">
      <alignment horizontal="general" vertical="bottom" textRotation="0" wrapText="false" indent="0" shrinkToFit="false"/>
      <protection locked="false" hidden="true"/>
    </xf>
    <xf numFmtId="165" fontId="100" fillId="0" borderId="0" xfId="0" applyFont="true" applyBorder="false" applyAlignment="true" applyProtection="true">
      <alignment horizontal="general" vertical="bottom" textRotation="0" wrapText="false" indent="0" shrinkToFit="false"/>
      <protection locked="true" hidden="true"/>
    </xf>
    <xf numFmtId="165" fontId="101" fillId="0" borderId="0" xfId="0" applyFont="true" applyBorder="false" applyAlignment="true" applyProtection="true">
      <alignment horizontal="general" vertical="bottom" textRotation="0" wrapText="false" indent="0" shrinkToFit="false"/>
      <protection locked="true" hidden="true"/>
    </xf>
    <xf numFmtId="165" fontId="31" fillId="0" borderId="0" xfId="0" applyFont="true" applyBorder="false" applyAlignment="true" applyProtection="true">
      <alignment horizontal="left" vertical="center" textRotation="0" wrapText="false" indent="0" shrinkToFit="false"/>
      <protection locked="false" hidden="false"/>
    </xf>
    <xf numFmtId="165" fontId="26" fillId="0" borderId="0" xfId="0" applyFont="true" applyBorder="false" applyAlignment="true" applyProtection="true">
      <alignment horizontal="left" vertical="bottom" textRotation="0" wrapText="false" indent="1" shrinkToFit="false"/>
      <protection locked="true" hidden="true"/>
    </xf>
    <xf numFmtId="165" fontId="27" fillId="0" borderId="0" xfId="0" applyFont="true" applyBorder="false" applyAlignment="true" applyProtection="true">
      <alignment horizontal="general" vertical="bottom" textRotation="0" wrapText="false" indent="0" shrinkToFit="false"/>
      <protection locked="true" hidden="true"/>
    </xf>
    <xf numFmtId="165" fontId="26" fillId="0" borderId="0" xfId="0" applyFont="true" applyBorder="false" applyAlignment="true" applyProtection="true">
      <alignment horizontal="left" vertical="bottom" textRotation="0" wrapText="false" indent="0" shrinkToFit="false"/>
      <protection locked="true" hidden="false"/>
    </xf>
    <xf numFmtId="170" fontId="26" fillId="0" borderId="0" xfId="0" applyFont="true" applyBorder="false" applyAlignment="true" applyProtection="true">
      <alignment horizontal="left" vertical="bottom" textRotation="0" wrapText="false" indent="1" shrinkToFit="false"/>
      <protection locked="true" hidden="true"/>
    </xf>
    <xf numFmtId="165" fontId="26" fillId="0" borderId="0" xfId="0" applyFont="true" applyBorder="false" applyAlignment="true" applyProtection="true">
      <alignment horizontal="left" vertical="bottom" textRotation="0" wrapText="false" indent="0" shrinkToFit="false"/>
      <protection locked="true" hidden="true"/>
    </xf>
    <xf numFmtId="166" fontId="26" fillId="0" borderId="0" xfId="0" applyFont="true" applyBorder="false" applyAlignment="true" applyProtection="true">
      <alignment horizontal="left" vertical="bottom" textRotation="0" wrapText="false" indent="0" shrinkToFit="false"/>
      <protection locked="true" hidden="true"/>
    </xf>
    <xf numFmtId="166" fontId="26" fillId="0" borderId="0" xfId="0" applyFont="true" applyBorder="false" applyAlignment="true" applyProtection="true">
      <alignment horizontal="left" vertical="bottom" textRotation="0" wrapText="false" indent="1" shrinkToFit="false"/>
      <protection locked="true" hidden="true"/>
    </xf>
    <xf numFmtId="165" fontId="26" fillId="0" borderId="0" xfId="0" applyFont="true" applyBorder="false" applyAlignment="true" applyProtection="true">
      <alignment horizontal="left" vertical="center" textRotation="0" wrapText="false" indent="0" shrinkToFit="false"/>
      <protection locked="true" hidden="true"/>
    </xf>
    <xf numFmtId="165" fontId="26" fillId="0" borderId="167" xfId="0" applyFont="true" applyBorder="true" applyAlignment="true" applyProtection="true">
      <alignment horizontal="general" vertical="bottom" textRotation="0" wrapText="false" indent="0" shrinkToFit="false"/>
      <protection locked="true" hidden="false"/>
    </xf>
    <xf numFmtId="174" fontId="26" fillId="0" borderId="167" xfId="0" applyFont="true" applyBorder="true" applyAlignment="true" applyProtection="true">
      <alignment horizontal="general" vertical="bottom" textRotation="0" wrapText="false" indent="0" shrinkToFit="false"/>
      <protection locked="true" hidden="false"/>
    </xf>
    <xf numFmtId="165" fontId="27" fillId="0" borderId="0" xfId="0" applyFont="true" applyBorder="false" applyAlignment="true" applyProtection="true">
      <alignment horizontal="general" vertical="bottom" textRotation="0" wrapText="false" indent="0" shrinkToFit="false"/>
      <protection locked="true" hidden="false"/>
    </xf>
    <xf numFmtId="174" fontId="26" fillId="0" borderId="0" xfId="0" applyFont="true" applyBorder="false" applyAlignment="true" applyProtection="true">
      <alignment horizontal="general" vertical="bottom" textRotation="0" wrapText="false" indent="0" shrinkToFit="false"/>
      <protection locked="true" hidden="false"/>
    </xf>
    <xf numFmtId="171" fontId="102" fillId="0" borderId="0" xfId="0" applyFont="true" applyBorder="false" applyAlignment="true" applyProtection="true">
      <alignment horizontal="general" vertical="center" textRotation="0" wrapText="false" indent="0" shrinkToFit="false"/>
      <protection locked="true" hidden="true"/>
    </xf>
    <xf numFmtId="171" fontId="102" fillId="0" borderId="0" xfId="0" applyFont="true" applyBorder="false" applyAlignment="true" applyProtection="true">
      <alignment horizontal="center" vertical="center" textRotation="0" wrapText="false" indent="0" shrinkToFit="false"/>
      <protection locked="true" hidden="true"/>
    </xf>
    <xf numFmtId="169" fontId="26" fillId="0" borderId="0" xfId="0" applyFont="true" applyBorder="false" applyAlignment="true" applyProtection="true">
      <alignment horizontal="general" vertical="bottom" textRotation="0" wrapText="false" indent="0" shrinkToFit="false"/>
      <protection locked="true" hidden="true"/>
    </xf>
    <xf numFmtId="165" fontId="26" fillId="2" borderId="168" xfId="0" applyFont="true" applyBorder="true" applyAlignment="true" applyProtection="true">
      <alignment horizontal="general" vertical="bottom" textRotation="0" wrapText="false" indent="0" shrinkToFit="false"/>
      <protection locked="true" hidden="false"/>
    </xf>
    <xf numFmtId="165" fontId="103" fillId="2" borderId="168" xfId="0" applyFont="true" applyBorder="true" applyAlignment="true" applyProtection="true">
      <alignment horizontal="center" vertical="bottom" textRotation="0" wrapText="false" indent="0" shrinkToFit="false"/>
      <protection locked="true" hidden="false"/>
    </xf>
    <xf numFmtId="165" fontId="26" fillId="2" borderId="169" xfId="0" applyFont="true" applyBorder="true" applyAlignment="true" applyProtection="true">
      <alignment horizontal="general" vertical="bottom" textRotation="0" wrapText="false" indent="0" shrinkToFit="false"/>
      <protection locked="true" hidden="false"/>
    </xf>
    <xf numFmtId="165" fontId="26" fillId="2" borderId="170" xfId="0" applyFont="true" applyBorder="true" applyAlignment="true" applyProtection="true">
      <alignment horizontal="general" vertical="bottom" textRotation="0" wrapText="false" indent="0" shrinkToFit="false"/>
      <protection locked="true" hidden="false"/>
    </xf>
    <xf numFmtId="165" fontId="26" fillId="2" borderId="171" xfId="0" applyFont="true" applyBorder="true" applyAlignment="true" applyProtection="true">
      <alignment horizontal="general" vertical="bottom" textRotation="0" wrapText="false" indent="0" shrinkToFit="false"/>
      <protection locked="true" hidden="false"/>
    </xf>
    <xf numFmtId="165" fontId="26" fillId="0" borderId="0" xfId="22" applyFont="true" applyBorder="false" applyAlignment="true" applyProtection="true">
      <alignment horizontal="general" vertical="center" textRotation="0" wrapText="false" indent="0" shrinkToFit="false"/>
      <protection locked="true" hidden="true"/>
    </xf>
    <xf numFmtId="165" fontId="26" fillId="0" borderId="0" xfId="22" applyFont="true" applyBorder="false" applyAlignment="true" applyProtection="true">
      <alignment horizontal="general" vertical="center" textRotation="0" wrapText="false" indent="0" shrinkToFit="false"/>
      <protection locked="true" hidden="false"/>
    </xf>
    <xf numFmtId="165" fontId="26" fillId="0" borderId="0" xfId="22" applyFont="true" applyBorder="false" applyAlignment="true" applyProtection="true">
      <alignment horizontal="general" vertical="bottom" textRotation="0" wrapText="false" indent="0" shrinkToFit="false"/>
      <protection locked="true" hidden="tru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Hipervínculo 2" xfId="21"/>
    <cellStyle name="Normal 2" xfId="22"/>
    <cellStyle name="Normal 3" xfId="23"/>
    <cellStyle name="Normal 3 2" xfId="24"/>
    <cellStyle name="Normal 3 3" xfId="25"/>
    <cellStyle name="Normal 4" xfId="26"/>
    <cellStyle name="Normal 4 2" xfId="27"/>
    <cellStyle name="Normal 4 3" xfId="28"/>
    <cellStyle name="Normal 5" xfId="29"/>
    <cellStyle name="*unknown*" xfId="20" builtinId="8"/>
  </cellStyles>
  <dxfs count="39">
    <dxf>
      <font>
        <b val="0"/>
        <i val="0"/>
        <color rgb="FF1B4066"/>
      </font>
      <fill>
        <patternFill>
          <bgColor rgb="FFBFBFBF"/>
        </patternFill>
      </fill>
      <border diagonalUp="false" diagonalDown="false">
        <left style="thin">
          <color theme="0"/>
        </left>
        <right style="thin">
          <color theme="0"/>
        </right>
        <top style="thin">
          <color theme="0"/>
        </top>
        <bottom style="thin">
          <color theme="0"/>
        </bottom>
        <diagonal/>
      </border>
    </dxf>
    <dxf>
      <font>
        <b val="1"/>
        <i val="0"/>
        <color rgb="FF1B4066"/>
      </font>
    </dxf>
    <dxf>
      <font>
        <b val="0"/>
        <i val="0"/>
        <color rgb="FF1B4066"/>
      </font>
      <fill>
        <patternFill>
          <bgColor theme="0" tint="-0.25"/>
        </patternFill>
      </fill>
    </dxf>
    <dxf>
      <font>
        <color rgb="FFEEEEEE"/>
      </font>
      <fill>
        <patternFill>
          <bgColor rgb="FFEEEEEE"/>
        </patternFill>
      </fill>
      <border diagonalUp="false" diagonalDown="false">
        <left/>
        <right/>
        <top/>
        <bottom/>
        <diagonal/>
      </border>
    </dxf>
    <dxf>
      <fill>
        <patternFill>
          <bgColor rgb="FFBEBEBE"/>
        </patternFill>
      </fill>
    </dxf>
    <dxf>
      <fill>
        <patternFill>
          <bgColor theme="0" tint="-0.15"/>
        </patternFill>
      </fill>
      <border diagonalUp="false" diagonalDown="false">
        <left style="thin">
          <color theme="0" tint="-0.05"/>
        </left>
        <right style="thin">
          <color theme="0" tint="-0.05"/>
        </right>
        <top style="thin">
          <color theme="0" tint="-0.05"/>
        </top>
        <bottom style="thin">
          <color theme="0" tint="-0.05"/>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ill>
        <patternFill>
          <bgColor rgb="FFC4D79B"/>
        </patternFill>
      </fill>
    </dxf>
    <dxf>
      <font>
        <b val="0"/>
        <i val="0"/>
        <color rgb="FF1B4066"/>
      </font>
      <fill>
        <patternFill>
          <bgColor theme="0" tint="-0.25"/>
        </patternFill>
      </fill>
    </dxf>
    <dxf>
      <numFmt numFmtId="164" formatCode="0.00"/>
    </dxf>
    <dxf>
      <font>
        <color rgb="FF1B4066"/>
      </font>
    </dxf>
    <dxf>
      <font>
        <color rgb="FF1B4066"/>
      </font>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006100"/>
      </font>
      <fill>
        <patternFill>
          <bgColor rgb="FFC6EFCE"/>
        </patternFill>
      </fill>
    </dxf>
    <dxf>
      <font>
        <color rgb="FF9C5700"/>
      </font>
      <fill>
        <patternFill>
          <bgColor rgb="FFFFEB9C"/>
        </patternFill>
      </fill>
    </dxf>
    <dxf>
      <font>
        <color rgb="FF1B4066"/>
      </font>
      <fill>
        <patternFill>
          <bgColor theme="0" tint="-0.15"/>
        </patternFill>
      </fill>
    </dxf>
    <dxf>
      <font>
        <color rgb="FF1B4066"/>
      </font>
      <fill>
        <patternFill>
          <bgColor theme="0"/>
        </patternFill>
      </fill>
    </dxf>
    <dxf>
      <font>
        <color rgb="FF1B4066"/>
      </font>
      <fill>
        <patternFill>
          <bgColor theme="0" tint="-0.15"/>
        </patternFill>
      </fill>
    </dxf>
    <dxf>
      <font>
        <color rgb="FF1B4066"/>
      </font>
      <fill>
        <patternFill>
          <bgColor theme="0"/>
        </patternFill>
      </fill>
    </dxf>
    <dxf>
      <font>
        <color rgb="FF1B4066"/>
      </font>
      <fill>
        <patternFill>
          <bgColor theme="0" tint="-0.15"/>
        </patternFill>
      </fill>
    </dxf>
    <dxf>
      <font>
        <color rgb="FF1B4066"/>
      </font>
      <fill>
        <patternFill>
          <bgColor theme="0"/>
        </patternFill>
      </fill>
    </dxf>
    <dxf>
      <fill>
        <patternFill>
          <bgColor theme="9" tint="0.7999"/>
        </patternFill>
      </fill>
    </dxf>
    <dxf>
      <fill>
        <patternFill>
          <bgColor rgb="FF00B050"/>
        </patternFill>
      </fill>
    </dxf>
    <dxf>
      <fill>
        <patternFill>
          <bgColor rgb="FFD1E7DE"/>
        </patternFill>
      </fill>
    </dxf>
    <dxf>
      <font>
        <color rgb="FF1B4066"/>
      </font>
      <fill>
        <patternFill>
          <bgColor theme="0" tint="-0.15"/>
        </patternFill>
      </fill>
    </dxf>
    <dxf>
      <font>
        <color rgb="FF9C0006"/>
      </font>
      <fill>
        <patternFill>
          <bgColor rgb="FFFFC7CE"/>
        </patternFill>
      </fill>
    </dxf>
    <dxf>
      <fill>
        <patternFill>
          <bgColor theme="9" tint="0.7999"/>
        </patternFill>
      </fill>
    </dxf>
    <dxf>
      <fill>
        <patternFill>
          <bgColor theme="4" tint="0.7999"/>
        </patternFill>
      </fill>
    </dxf>
    <dxf>
      <fill>
        <patternFill>
          <bgColor theme="6" tint="0.7999"/>
        </patternFill>
      </fill>
    </dxf>
    <dxf>
      <fill>
        <patternFill>
          <bgColor theme="7" tint="0.7999"/>
        </patternFill>
      </fill>
    </dxf>
    <dxf>
      <fill>
        <patternFill>
          <bgColor rgb="FFCD7F32"/>
        </patternFill>
      </fill>
    </dxf>
    <dxf>
      <fill>
        <patternFill>
          <bgColor rgb="FFC0C0C0"/>
        </patternFill>
      </fill>
    </dxf>
    <dxf>
      <fill>
        <patternFill>
          <bgColor rgb="FFEFB810"/>
        </patternFill>
      </fill>
    </dxf>
    <dxf>
      <font>
        <b val="1"/>
        <i val="0"/>
        <color rgb="FF1B4066"/>
      </font>
    </dxf>
    <dxf>
      <font>
        <color rgb="FF1B4066"/>
      </font>
      <fill>
        <patternFill>
          <bgColor rgb="FFEEEEEE"/>
        </patternFill>
      </fill>
      <border diagonalUp="false" diagonalDown="false">
        <left style="thin">
          <color rgb="FF1B4066"/>
        </left>
        <right style="thin">
          <color rgb="FF1B4066"/>
        </right>
        <top style="thin">
          <color rgb="FF1B4066"/>
        </top>
        <bottom style="thin">
          <color rgb="FF1B4066"/>
        </bottom>
        <diagonal/>
      </border>
    </dxf>
    <dxf>
      <font>
        <color rgb="FF1B4066"/>
      </font>
      <fill>
        <patternFill>
          <bgColor rgb="FFEEEEEE"/>
        </patternFill>
      </fill>
      <border diagonalUp="false" diagonalDown="false">
        <left style="thin">
          <color theme="0"/>
        </left>
        <right style="thin">
          <color theme="0"/>
        </right>
        <top style="thin">
          <color theme="0"/>
        </top>
        <bottom style="thin">
          <color theme="0"/>
        </bottom>
        <diagonal/>
      </border>
    </dxf>
    <dxf>
      <fill>
        <patternFill patternType="solid">
          <bgColor rgb="FF000000"/>
        </patternFill>
      </fill>
    </dxf>
    <dxf>
      <font>
        <color rgb="FF9C0006"/>
      </font>
      <fill>
        <patternFill>
          <bgColor rgb="FFFFC7CE"/>
        </patternFill>
      </fill>
    </dxf>
  </dxfs>
  <colors>
    <indexedColors>
      <rgbColor rgb="FF000000"/>
      <rgbColor rgb="FFFFFFFF"/>
      <rgbColor rgb="FFFF0000"/>
      <rgbColor rgb="FFEBF1DE"/>
      <rgbColor rgb="FF0000FF"/>
      <rgbColor rgb="FFFCD5B5"/>
      <rgbColor rgb="FFE9E6E6"/>
      <rgbColor rgb="FFD9D9D9"/>
      <rgbColor rgb="FF8E000D"/>
      <rgbColor rgb="FF00783A"/>
      <rgbColor rgb="FFF2F4F6"/>
      <rgbColor rgb="FFC97516"/>
      <rgbColor rgb="FFEEECE1"/>
      <rgbColor rgb="FF2E5DA6"/>
      <rgbColor rgb="FFC0C0C0"/>
      <rgbColor rgb="FF6DBBB7"/>
      <rgbColor rgb="FFA9A9A9"/>
      <rgbColor rgb="FFEA3270"/>
      <rgbColor rgb="FFF8F9FA"/>
      <rgbColor rgb="FFD4E9DF"/>
      <rgbColor rgb="FFF0F1F3"/>
      <rgbColor rgb="FFFFC7CE"/>
      <rgbColor rgb="FF0056A3"/>
      <rgbColor rgb="FFD9DCE0"/>
      <rgbColor rgb="FFF7F8F9"/>
      <rgbColor rgb="FFE7E6E6"/>
      <rgbColor rgb="FFFDEADA"/>
      <rgbColor rgb="FFDEE2E6"/>
      <rgbColor rgb="FFEEEEEE"/>
      <rgbColor rgb="FFE50009"/>
      <rgbColor rgb="FF3C71B6"/>
      <rgbColor rgb="FFF2F2F2"/>
      <rgbColor rgb="FFBEBEBE"/>
      <rgbColor rgb="FFDCE6F2"/>
      <rgbColor rgb="FFCEEDDA"/>
      <rgbColor rgb="FFFCEA7E"/>
      <rgbColor rgb="FFBFBFBF"/>
      <rgbColor rgb="FFF6AB9E"/>
      <rgbColor rgb="FFB9AFD2"/>
      <rgbColor rgb="FFFAC090"/>
      <rgbColor rgb="FF0D6EFD"/>
      <rgbColor rgb="FF65BBB0"/>
      <rgbColor rgb="FFC7D5AE"/>
      <rgbColor rgb="FFEFB810"/>
      <rgbColor rgb="FFF87C06"/>
      <rgbColor rgb="FFEE7701"/>
      <rgbColor rgb="FF595959"/>
      <rgbColor rgb="FFA3A3A3"/>
      <rgbColor rgb="FF072955"/>
      <rgbColor rgb="FF71BA69"/>
      <rgbColor rgb="FF204A7B"/>
      <rgbColor rgb="FF1B4066"/>
      <rgbColor rgb="FFE6E0EC"/>
      <rgbColor rgb="FFF2DCDB"/>
      <rgbColor rgb="FF532C92"/>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600" strike="noStrike" u="none">
                <a:solidFill>
                  <a:srgbClr val="595959"/>
                </a:solidFill>
                <a:uFillTx/>
                <a:latin typeface="Calibri"/>
              </a:rPr>
              <a:t>México-Sudáfrica</a:t>
            </a:r>
          </a:p>
        </c:rich>
      </c:tx>
      <c:overlay val="0"/>
      <c:spPr>
        <a:noFill/>
        <a:ln w="0">
          <a:noFill/>
        </a:ln>
      </c:spPr>
    </c:title>
    <c:autoTitleDeleted val="0"/>
    <c:plotArea>
      <c:barChart>
        <c:barDir val="col"/>
        <c:grouping val="clustered"/>
        <c:varyColors val="0"/>
        <c:ser>
          <c:idx val="0"/>
          <c:order val="0"/>
          <c:tx>
            <c:strRef>
              <c:f>Stats!$I$7</c:f>
              <c:strCache>
                <c:ptCount val="1"/>
                <c:pt idx="0">
                  <c:v>Nº de veces</c:v>
                </c:pt>
              </c:strCache>
            </c:strRef>
          </c:tx>
          <c:spPr>
            <a:solidFill>
              <a:srgbClr val="d9dce0"/>
            </a:solidFill>
            <a:ln w="0">
              <a:noFill/>
            </a:ln>
          </c:spPr>
          <c:invertIfNegative val="0"/>
          <c:dLbls>
            <c:numFmt formatCode="General" sourceLinked="1"/>
            <c:txPr>
              <a:bodyPr wrap="square"/>
              <a:lstStyle/>
              <a:p>
                <a:pPr>
                  <a:defRPr b="0" sz="900" strike="noStrike" u="none">
                    <a:solidFill>
                      <a:srgbClr val="404040"/>
                    </a:solidFill>
                    <a:uFillTx/>
                    <a:latin typeface="Calibri"/>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Stats!$H$8:$H$31</c:f>
              <c:strCache>
                <c:ptCount val="24"/>
                <c:pt idx="0">
                  <c:v>Selecciona un partido de hoy:↗</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strCache>
            </c:strRef>
          </c:cat>
          <c:val>
            <c:numRef>
              <c:f>Stats!$I$8:$I$31</c:f>
              <c:numCache>
                <c:formatCode>General</c:formatCode>
                <c:ptCount val="24"/>
              </c:numCache>
            </c:numRef>
          </c:val>
        </c:ser>
        <c:ser>
          <c:idx val="1"/>
          <c:order val="1"/>
          <c:tx>
            <c:strRef>
              <c:f>Stats!$J$7</c:f>
              <c:strCache>
                <c:ptCount val="1"/>
                <c:pt idx="0">
                  <c:v>Ac</c:v>
                </c:pt>
              </c:strCache>
            </c:strRef>
          </c:tx>
          <c:spPr>
            <a:solidFill>
              <a:srgbClr val="d1e7dd"/>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Stats!$H$8:$H$31</c:f>
              <c:strCache>
                <c:ptCount val="24"/>
                <c:pt idx="0">
                  <c:v>Selecciona un partido de hoy:↗</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strCache>
            </c:strRef>
          </c:cat>
          <c:val>
            <c:numRef>
              <c:f>Stats!$J$8:$J$31</c:f>
              <c:numCache>
                <c:formatCode>General</c:formatCode>
                <c:ptCount val="24"/>
                <c:pt idx="0">
                  <c:v>0</c:v>
                </c:pt>
              </c:numCache>
            </c:numRef>
          </c:val>
        </c:ser>
        <c:ser>
          <c:idx val="2"/>
          <c:order val="2"/>
          <c:tx>
            <c:strRef>
              <c:f>Stats!$K$7</c:f>
              <c:strCache>
                <c:ptCount val="1"/>
                <c:pt idx="0">
                  <c:v/>
                </c:pt>
              </c:strCache>
            </c:strRef>
          </c:tx>
          <c:spPr>
            <a:solidFill>
              <a:srgbClr val="ffe9db"/>
            </a:solidFill>
            <a:ln w="0">
              <a:noFill/>
            </a:ln>
          </c:spPr>
          <c:invertIfNegative val="0"/>
          <c:dLbls>
            <c:txPr>
              <a:bodyPr wrap="square"/>
              <a:lstStyle/>
              <a:p>
                <a:pPr>
                  <a:defRPr b="0" sz="1000" strike="noStrike" u="non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Stats!$H$8:$H$31</c:f>
              <c:strCache>
                <c:ptCount val="24"/>
                <c:pt idx="0">
                  <c:v>Selecciona un partido de hoy:↗</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strCache>
            </c:strRef>
          </c:cat>
          <c:val>
            <c:numRef>
              <c:f>Stats!$K$8:$K$31</c:f>
              <c:numCache>
                <c:formatCode>General</c:formatCode>
                <c:ptCount val="24"/>
                <c:pt idx="0">
                  <c:v>0</c:v>
                </c:pt>
              </c:numCache>
            </c:numRef>
          </c:val>
        </c:ser>
        <c:gapWidth val="227"/>
        <c:overlap val="100"/>
        <c:axId val="23393537"/>
        <c:axId val="80290268"/>
      </c:barChart>
      <c:catAx>
        <c:axId val="23393537"/>
        <c:scaling>
          <c:orientation val="minMax"/>
        </c:scaling>
        <c:delete val="0"/>
        <c:axPos val="b"/>
        <c:numFmt formatCode="General" sourceLinked="0"/>
        <c:majorTickMark val="none"/>
        <c:minorTickMark val="none"/>
        <c:tickLblPos val="nextTo"/>
        <c:spPr>
          <a:ln w="9360">
            <a:solidFill>
              <a:srgbClr val="d9d9d9"/>
            </a:solidFill>
            <a:round/>
          </a:ln>
        </c:spPr>
        <c:txPr>
          <a:bodyPr rot="-2700000"/>
          <a:lstStyle/>
          <a:p>
            <a:pPr>
              <a:defRPr b="0" sz="900" strike="noStrike" u="none">
                <a:solidFill>
                  <a:srgbClr val="595959"/>
                </a:solidFill>
                <a:uFillTx/>
                <a:latin typeface="Calibri"/>
              </a:defRPr>
            </a:pPr>
          </a:p>
        </c:txPr>
        <c:crossAx val="80290268"/>
        <c:crosses val="autoZero"/>
        <c:auto val="1"/>
        <c:lblAlgn val="ctr"/>
        <c:lblOffset val="100"/>
        <c:noMultiLvlLbl val="0"/>
      </c:catAx>
      <c:valAx>
        <c:axId val="80290268"/>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0" sz="900" strike="noStrike" u="none">
                <a:solidFill>
                  <a:srgbClr val="595959"/>
                </a:solidFill>
                <a:uFillTx/>
                <a:latin typeface="Calibri"/>
              </a:defRPr>
            </a:pPr>
          </a:p>
        </c:txPr>
        <c:crossAx val="23393537"/>
        <c:crosses val="autoZero"/>
        <c:crossBetween val="between"/>
      </c:valAx>
      <c:spPr>
        <a:noFill/>
        <a:ln w="0">
          <a:noFill/>
        </a:ln>
      </c:spPr>
    </c:plotArea>
    <c:plotVisOnly val="1"/>
    <c:dispBlanksAs val="gap"/>
  </c:chart>
  <c:spPr>
    <a:solidFill>
      <a:srgbClr val="eeeeee"/>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000" spc="51" strike="noStrike" u="none">
                <a:solidFill>
                  <a:srgbClr val="595959"/>
                </a:solidFill>
                <a:uFillTx/>
                <a:latin typeface="Calibri"/>
              </a:rPr>
              <a:t>México-Sudáfrica</a:t>
            </a:r>
          </a:p>
        </c:rich>
      </c:tx>
      <c:overlay val="0"/>
      <c:spPr>
        <a:noFill/>
        <a:ln w="0">
          <a:noFill/>
        </a:ln>
      </c:spPr>
    </c:title>
    <c:autoTitleDeleted val="0"/>
    <c:plotArea>
      <c:pieChart>
        <c:varyColors val="1"/>
        <c:ser>
          <c:idx val="0"/>
          <c:order val="0"/>
          <c:spPr>
            <a:solidFill>
              <a:srgbClr val="c0504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1" sz="900" strike="noStrike" u="none">
                      <a:solidFill>
                        <a:srgbClr val="ffffff"/>
                      </a:solidFill>
                      <a:uFillTx/>
                      <a:latin typeface="Calibri"/>
                    </a:defRPr>
                  </a:pPr>
                </a:p>
              </c:txPr>
              <c:dLblPos val="inEnd"/>
              <c:showLegendKey val="0"/>
              <c:showVal val="0"/>
              <c:showCatName val="0"/>
              <c:showSerName val="0"/>
              <c:showPercent val="1"/>
              <c:separator>
</c:separator>
            </c:dLbl>
            <c:dLbl>
              <c:idx val="1"/>
              <c:txPr>
                <a:bodyPr wrap="square"/>
                <a:lstStyle/>
                <a:p>
                  <a:pPr>
                    <a:defRPr b="1" sz="900" strike="noStrike" u="none">
                      <a:solidFill>
                        <a:srgbClr val="ffffff"/>
                      </a:solidFill>
                      <a:uFillTx/>
                      <a:latin typeface="Calibri"/>
                    </a:defRPr>
                  </a:pPr>
                </a:p>
              </c:txPr>
              <c:dLblPos val="inEnd"/>
              <c:showLegendKey val="0"/>
              <c:showVal val="0"/>
              <c:showCatName val="0"/>
              <c:showSerName val="0"/>
              <c:showPercent val="1"/>
              <c:separator>
</c:separator>
            </c:dLbl>
            <c:dLbl>
              <c:idx val="2"/>
              <c:txPr>
                <a:bodyPr wrap="square"/>
                <a:lstStyle/>
                <a:p>
                  <a:pPr>
                    <a:defRPr b="1" sz="900" strike="noStrike" u="none">
                      <a:solidFill>
                        <a:srgbClr val="ffffff"/>
                      </a:solidFill>
                      <a:uFillTx/>
                      <a:latin typeface="Calibri"/>
                    </a:defRPr>
                  </a:pPr>
                </a:p>
              </c:txPr>
              <c:dLblPos val="inEnd"/>
              <c:showLegendKey val="0"/>
              <c:showVal val="0"/>
              <c:showCatName val="0"/>
              <c:showSerName val="0"/>
              <c:showPercent val="1"/>
              <c:separator>
</c:separator>
            </c:dLbl>
            <c:txPr>
              <a:bodyPr wrap="square"/>
              <a:lstStyle/>
              <a:p>
                <a:pPr>
                  <a:defRPr b="1" sz="900" strike="noStrike" u="none">
                    <a:solidFill>
                      <a:srgbClr val="ffffff"/>
                    </a:solidFill>
                    <a:uFillTx/>
                    <a:latin typeface="Calibri"/>
                  </a:defRPr>
                </a:pPr>
              </a:p>
            </c:txPr>
            <c:dLblPos val="inEnd"/>
            <c:showLegendKey val="0"/>
            <c:showVal val="0"/>
            <c:showCatName val="0"/>
            <c:showSerName val="0"/>
            <c:showPercent val="1"/>
            <c:separator>
</c:separator>
            <c:showLeaderLines val="1"/>
            <c:leaderLines>
              <c:spPr>
                <a:ln w="9360">
                  <a:solidFill>
                    <a:srgbClr val="a6a6a6"/>
                  </a:solidFill>
                </a:ln>
              </c:spPr>
            </c:leaderLines>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ser>
        <c:firstSliceAng val="0"/>
      </c:pieChart>
      <c:spPr>
        <a:noFill/>
        <a:ln w="0">
          <a:noFill/>
        </a:ln>
      </c:spPr>
    </c:plotArea>
    <c:legend>
      <c:legendPos val="r"/>
      <c:overlay val="0"/>
      <c:spPr>
        <a:noFill/>
        <a:ln w="0">
          <a:noFill/>
        </a:ln>
      </c:spPr>
      <c:txPr>
        <a:bodyPr/>
        <a:lstStyle/>
        <a:p>
          <a:pPr>
            <a:defRPr b="0" sz="900" strike="noStrike" u="none">
              <a:solidFill>
                <a:srgbClr val="595959"/>
              </a:solidFill>
              <a:uFillTx/>
              <a:latin typeface="Calibri"/>
            </a:defRPr>
          </a:pPr>
        </a:p>
      </c:txPr>
    </c:legend>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wmf"/>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584280</xdr:colOff>
      <xdr:row>4</xdr:row>
      <xdr:rowOff>0</xdr:rowOff>
    </xdr:from>
    <xdr:to>
      <xdr:col>7</xdr:col>
      <xdr:colOff>138960</xdr:colOff>
      <xdr:row>13</xdr:row>
      <xdr:rowOff>88200</xdr:rowOff>
    </xdr:to>
    <xdr:pic>
      <xdr:nvPicPr>
        <xdr:cNvPr id="0" name="Imagen 19" descr=""/>
        <xdr:cNvPicPr/>
      </xdr:nvPicPr>
      <xdr:blipFill>
        <a:blip r:embed="rId1"/>
        <a:stretch/>
      </xdr:blipFill>
      <xdr:spPr>
        <a:xfrm>
          <a:off x="4338360" y="1009800"/>
          <a:ext cx="1085040" cy="2583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17</xdr:row>
      <xdr:rowOff>158760</xdr:rowOff>
    </xdr:from>
    <xdr:to>
      <xdr:col>6</xdr:col>
      <xdr:colOff>145440</xdr:colOff>
      <xdr:row>31</xdr:row>
      <xdr:rowOff>43920</xdr:rowOff>
    </xdr:to>
    <xdr:graphicFrame>
      <xdr:nvGraphicFramePr>
        <xdr:cNvPr id="1" name="Gráfico 8"/>
        <xdr:cNvGraphicFramePr/>
      </xdr:nvGraphicFramePr>
      <xdr:xfrm>
        <a:off x="161280" y="3406680"/>
        <a:ext cx="5211000" cy="2552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771480</xdr:colOff>
      <xdr:row>35</xdr:row>
      <xdr:rowOff>171360</xdr:rowOff>
    </xdr:from>
    <xdr:to>
      <xdr:col>4</xdr:col>
      <xdr:colOff>533160</xdr:colOff>
      <xdr:row>51</xdr:row>
      <xdr:rowOff>56880</xdr:rowOff>
    </xdr:to>
    <xdr:pic>
      <xdr:nvPicPr>
        <xdr:cNvPr id="2" name="Imagen 7" descr=""/>
        <xdr:cNvPicPr/>
      </xdr:nvPicPr>
      <xdr:blipFill>
        <a:blip r:embed="rId2"/>
        <a:srcRect l="3372" t="0" r="0" b="0"/>
        <a:stretch/>
      </xdr:blipFill>
      <xdr:spPr>
        <a:xfrm>
          <a:off x="932760" y="6848280"/>
          <a:ext cx="3014640" cy="2933640"/>
        </a:xfrm>
        <a:prstGeom prst="rect">
          <a:avLst/>
        </a:prstGeom>
        <a:solidFill>
          <a:srgbClr val="eeeeee"/>
        </a:solid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63360</xdr:colOff>
      <xdr:row>0</xdr:row>
      <xdr:rowOff>50760</xdr:rowOff>
    </xdr:from>
    <xdr:to>
      <xdr:col>3</xdr:col>
      <xdr:colOff>50040</xdr:colOff>
      <xdr:row>11</xdr:row>
      <xdr:rowOff>87840</xdr:rowOff>
    </xdr:to>
    <xdr:graphicFrame>
      <xdr:nvGraphicFramePr>
        <xdr:cNvPr id="3" name="Gráfico 1"/>
        <xdr:cNvGraphicFramePr/>
      </xdr:nvGraphicFramePr>
      <xdr:xfrm>
        <a:off x="63360" y="50760"/>
        <a:ext cx="2404080" cy="2132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_Equipos" displayName="T_Equipos" ref="A1:D49" headerRowCount="1" totalsRowCount="0" totalsRowShown="0">
  <tableColumns count="4">
    <tableColumn id="1" name="Num"/>
    <tableColumn id="2" name="NombreEquipo"/>
    <tableColumn id="3" name="Grupo"/>
    <tableColumn id="4" name="Rank"/>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hyperlink" Target="https://matejero.es/download/excel-mundial-2026/" TargetMode="External"/><Relationship Id="rId2" Type="http://schemas.openxmlformats.org/officeDocument/2006/relationships/hyperlink" Target="https://matejero.com/scoring-system-excel-world-cup-2026/" TargetMode="External"/><Relationship Id="rId3" Type="http://schemas.openxmlformats.org/officeDocument/2006/relationships/hyperlink" Target="https://matejero.es/puntuaciones-excel-mundial-2026/" TargetMode="External"/><Relationship Id="rId4" Type="http://schemas.openxmlformats.org/officeDocument/2006/relationships/hyperlink" Target="https://matejero.com/scoring-system-excel-world-cup-2026/" TargetMode="External"/><Relationship Id="rId5" Type="http://schemas.openxmlformats.org/officeDocument/2006/relationships/hyperlink" Target="https://matejero.es/puntuaciones-excel-mundial-2026/" TargetMode="External"/><Relationship Id="rId6" Type="http://schemas.openxmlformats.org/officeDocument/2006/relationships/hyperlink" Target="https://matejero.com/scoring-system-excel-world-cup-2026/" TargetMode="Externa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hyperlink" Target="https://www.linkedin.com/in/matejero" TargetMode="External"/><Relationship Id="rId2" Type="http://schemas.openxmlformats.org/officeDocument/2006/relationships/hyperlink" Target="https://www.matejero.es/" TargetMode="External"/><Relationship Id="rId3" Type="http://schemas.openxmlformats.org/officeDocument/2006/relationships/hyperlink" Target="https://www.matejero.com/" TargetMode="External"/><Relationship Id="rId4" Type="http://schemas.openxmlformats.org/officeDocument/2006/relationships/hyperlink" Target="https://matejero.es/download/excel-mundial-2026/" TargetMode="External"/><Relationship Id="rId5" Type="http://schemas.openxmlformats.org/officeDocument/2006/relationships/hyperlink" Target="https://matejero.com/download/excel-world-cup-2026" TargetMode="External"/><Relationship Id="rId6" Type="http://schemas.openxmlformats.org/officeDocument/2006/relationships/hyperlink" Target="https://matejero.es/excel-champions-league/" TargetMode="External"/><Relationship Id="rId7" Type="http://schemas.openxmlformats.org/officeDocument/2006/relationships/hyperlink" Target="https://matejero.com/excel-champions-league/" TargetMode="External"/><Relationship Id="rId8" Type="http://schemas.openxmlformats.org/officeDocument/2006/relationships/hyperlink" Target="https://matejero.es/calendario-excel-liga/" TargetMode="External"/><Relationship Id="rId9" Type="http://schemas.openxmlformats.org/officeDocument/2006/relationships/hyperlink" Target="https://matejero.es/calendario-excel-liga/" TargetMode="External"/><Relationship Id="rId10" Type="http://schemas.openxmlformats.org/officeDocument/2006/relationships/hyperlink" Target="https://matejero.com/premier-league-excel-schedule/" TargetMode="External"/><Relationship Id="rId11" Type="http://schemas.openxmlformats.org/officeDocument/2006/relationships/hyperlink" Target="https://matejero.es/excel-copa-libertadores/" TargetMode="External"/><Relationship Id="rId12" Type="http://schemas.openxmlformats.org/officeDocument/2006/relationships/hyperlink" Target="https://youtu.be/D-oCnWDX9us" TargetMode="External"/>
</Relationships>
</file>

<file path=xl/worksheets/_rels/sheet12.xml.rels><?xml version="1.0" encoding="UTF-8"?>
<Relationships xmlns="http://schemas.openxmlformats.org/package/2006/relationships"><Relationship Id="rId1" Type="http://schemas.openxmlformats.org/officeDocument/2006/relationships/table" Target="../tables/table1.xml"/>
</Relationships>
</file>

<file path=xl/worksheets/_rels/sheet1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7" activeCellId="0" sqref="E17"/>
    </sheetView>
  </sheetViews>
  <sheetFormatPr defaultColWidth="10.859375" defaultRowHeight="15" customHeight="true" zeroHeight="false" outlineLevelRow="0" outlineLevelCol="0"/>
  <cols>
    <col collapsed="false" customWidth="true" hidden="false" outlineLevel="0" max="1" min="1" style="1" width="3.86"/>
    <col collapsed="false" customWidth="true" hidden="false" outlineLevel="0" max="2" min="2" style="1" width="6.85"/>
    <col collapsed="false" customWidth="true" hidden="false" outlineLevel="0" max="3" min="3" style="1" width="25.85"/>
    <col collapsed="false" customWidth="true" hidden="false" outlineLevel="0" max="4" min="4" style="1" width="5.86"/>
    <col collapsed="false" customWidth="true" hidden="false" outlineLevel="0" max="10" min="10" style="1" width="5.86"/>
    <col collapsed="false" customWidth="true" hidden="false" outlineLevel="0" max="11" min="11" style="1" width="29.14"/>
    <col collapsed="false" customWidth="true" hidden="false" outlineLevel="0" max="12" min="12" style="1" width="15.85"/>
    <col collapsed="false" customWidth="true" hidden="false" outlineLevel="0" max="13" min="13" style="1" width="10.42"/>
    <col collapsed="false" customWidth="true" hidden="false" outlineLevel="0" max="16" min="16" style="1" width="12.15"/>
    <col collapsed="false" customWidth="true" hidden="false" outlineLevel="0" max="17" min="17" style="1" width="6.14"/>
  </cols>
  <sheetData>
    <row r="1" customFormat="false" ht="15" hidden="false" customHeight="fals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customFormat="false" ht="15" hidden="false" customHeight="false" outlineLevel="0" collapsed="false">
      <c r="A2" s="2"/>
      <c r="B2" s="2"/>
      <c r="C2" s="3"/>
      <c r="D2" s="2"/>
      <c r="E2" s="4"/>
      <c r="F2" s="4"/>
      <c r="G2" s="4"/>
      <c r="H2" s="4"/>
      <c r="I2" s="4"/>
      <c r="J2" s="4"/>
      <c r="K2" s="4"/>
      <c r="L2" s="2"/>
      <c r="M2" s="2"/>
      <c r="N2" s="2"/>
      <c r="O2" s="2"/>
      <c r="P2" s="2"/>
      <c r="Q2" s="2"/>
      <c r="R2" s="2"/>
      <c r="S2" s="2"/>
      <c r="T2" s="2"/>
      <c r="U2" s="2"/>
      <c r="V2" s="2"/>
      <c r="W2" s="2"/>
      <c r="X2" s="2"/>
      <c r="Y2" s="2"/>
      <c r="Z2" s="2"/>
      <c r="AA2" s="2"/>
      <c r="AB2" s="2"/>
      <c r="AC2" s="2"/>
      <c r="AD2" s="2"/>
      <c r="AE2" s="2"/>
    </row>
    <row r="3" customFormat="false" ht="34.5" hidden="false" customHeight="true" outlineLevel="0" collapsed="false">
      <c r="A3" s="2"/>
      <c r="B3" s="5" t="str">
        <f aca="false">Idiomas!D8</f>
        <v>XXIII Mundial USA/MEX/CAN 2026</v>
      </c>
      <c r="C3" s="5"/>
      <c r="D3" s="5"/>
      <c r="E3" s="5"/>
      <c r="F3" s="5"/>
      <c r="G3" s="5"/>
      <c r="H3" s="5"/>
      <c r="I3" s="5"/>
      <c r="J3" s="5"/>
      <c r="K3" s="5"/>
      <c r="L3" s="5"/>
      <c r="M3" s="2"/>
      <c r="N3" s="2"/>
      <c r="O3" s="2"/>
      <c r="P3" s="2"/>
      <c r="Q3" s="2"/>
      <c r="R3" s="2"/>
      <c r="S3" s="2"/>
      <c r="T3" s="2"/>
      <c r="U3" s="2"/>
      <c r="V3" s="2"/>
      <c r="W3" s="2"/>
      <c r="X3" s="2"/>
      <c r="Y3" s="2"/>
      <c r="Z3" s="2"/>
      <c r="AA3" s="2"/>
      <c r="AB3" s="2"/>
      <c r="AC3" s="2"/>
      <c r="AD3" s="2"/>
      <c r="AE3" s="2"/>
    </row>
    <row r="4" customFormat="false" ht="15" hidden="false" customHeight="true" outlineLevel="0" collapsed="false">
      <c r="A4" s="2"/>
      <c r="B4" s="2"/>
      <c r="C4" s="2"/>
      <c r="D4" s="2"/>
      <c r="E4" s="4"/>
      <c r="F4" s="4"/>
      <c r="G4" s="4"/>
      <c r="H4" s="4"/>
      <c r="I4" s="4"/>
      <c r="J4" s="4"/>
      <c r="K4" s="4"/>
      <c r="L4" s="6"/>
      <c r="M4" s="2"/>
      <c r="N4" s="2"/>
      <c r="O4" s="2"/>
      <c r="P4" s="2"/>
      <c r="Q4" s="2"/>
      <c r="R4" s="2"/>
      <c r="S4" s="2"/>
      <c r="T4" s="2"/>
      <c r="U4" s="2"/>
      <c r="V4" s="2"/>
      <c r="W4" s="2"/>
      <c r="X4" s="2"/>
      <c r="Y4" s="2"/>
      <c r="Z4" s="2"/>
      <c r="AA4" s="2"/>
      <c r="AB4" s="2"/>
      <c r="AC4" s="2"/>
      <c r="AD4" s="2"/>
      <c r="AE4" s="2"/>
    </row>
    <row r="5" customFormat="false" ht="19.5" hidden="false" customHeight="true" outlineLevel="0" collapsed="false">
      <c r="A5" s="2"/>
      <c r="B5" s="2"/>
      <c r="C5" s="7"/>
      <c r="D5" s="2"/>
      <c r="E5" s="8"/>
      <c r="F5" s="8"/>
      <c r="G5" s="8"/>
      <c r="H5" s="8"/>
      <c r="I5" s="8"/>
      <c r="J5" s="8"/>
      <c r="K5" s="8"/>
      <c r="L5" s="9"/>
      <c r="M5" s="10"/>
      <c r="N5" s="10"/>
      <c r="O5" s="10"/>
      <c r="P5" s="2"/>
      <c r="Q5" s="2"/>
      <c r="R5" s="2"/>
      <c r="S5" s="2"/>
      <c r="T5" s="2"/>
      <c r="U5" s="2"/>
      <c r="V5" s="2"/>
      <c r="W5" s="2"/>
      <c r="X5" s="2"/>
      <c r="Y5" s="2"/>
      <c r="Z5" s="2"/>
      <c r="AA5" s="2"/>
      <c r="AB5" s="2"/>
      <c r="AC5" s="2"/>
      <c r="AD5" s="2"/>
      <c r="AE5" s="2"/>
    </row>
    <row r="6" customFormat="false" ht="24.75" hidden="false" customHeight="true" outlineLevel="0" collapsed="false">
      <c r="A6" s="2"/>
      <c r="B6" s="11"/>
      <c r="C6" s="12" t="s">
        <v>0</v>
      </c>
      <c r="D6" s="2"/>
      <c r="E6" s="4"/>
      <c r="F6" s="4"/>
      <c r="G6" s="4"/>
      <c r="H6" s="4"/>
      <c r="I6" s="4"/>
      <c r="J6" s="4"/>
      <c r="K6" s="13" t="s">
        <v>1</v>
      </c>
      <c r="L6" s="2"/>
      <c r="M6" s="2"/>
      <c r="N6" s="2"/>
      <c r="O6" s="2"/>
      <c r="P6" s="2"/>
      <c r="Q6" s="2"/>
      <c r="R6" s="2"/>
      <c r="S6" s="2"/>
      <c r="T6" s="2"/>
      <c r="U6" s="2"/>
      <c r="V6" s="2"/>
      <c r="W6" s="2"/>
      <c r="X6" s="2"/>
      <c r="Y6" s="2"/>
      <c r="Z6" s="2"/>
      <c r="AA6" s="2"/>
      <c r="AB6" s="2"/>
      <c r="AC6" s="2"/>
      <c r="AD6" s="2"/>
      <c r="AE6" s="2"/>
    </row>
    <row r="7" customFormat="false" ht="19.5" hidden="false" customHeight="true" outlineLevel="0" collapsed="false">
      <c r="A7" s="2"/>
      <c r="B7" s="14"/>
      <c r="C7" s="7" t="str">
        <f aca="false">"🕒 "&amp;Idiomas!D15</f>
        <v>🕒 Selecciona horario</v>
      </c>
      <c r="D7" s="2"/>
      <c r="E7" s="4"/>
      <c r="F7" s="4"/>
      <c r="G7" s="4"/>
      <c r="H7" s="4"/>
      <c r="I7" s="4"/>
      <c r="J7" s="4"/>
      <c r="K7" s="4"/>
      <c r="L7" s="2"/>
      <c r="M7" s="2"/>
      <c r="N7" s="2"/>
      <c r="O7" s="2"/>
      <c r="P7" s="2"/>
      <c r="Q7" s="2"/>
      <c r="R7" s="2"/>
      <c r="S7" s="2"/>
      <c r="T7" s="2"/>
      <c r="U7" s="2"/>
      <c r="V7" s="2"/>
      <c r="W7" s="2"/>
      <c r="X7" s="2"/>
      <c r="Y7" s="2"/>
      <c r="Z7" s="2"/>
      <c r="AA7" s="2"/>
      <c r="AB7" s="2"/>
      <c r="AC7" s="2"/>
      <c r="AD7" s="2"/>
      <c r="AE7" s="2"/>
    </row>
    <row r="8" customFormat="false" ht="24.75" hidden="false" customHeight="true" outlineLevel="0" collapsed="false">
      <c r="A8" s="2"/>
      <c r="B8" s="11"/>
      <c r="C8" s="12" t="s">
        <v>2</v>
      </c>
      <c r="D8" s="2"/>
      <c r="E8" s="4"/>
      <c r="F8" s="4"/>
      <c r="G8" s="4"/>
      <c r="H8" s="4"/>
      <c r="I8" s="4"/>
      <c r="J8" s="4"/>
      <c r="K8" s="13" t="str">
        <f aca="false">Idiomas!D4</f>
        <v>Introducir resultados</v>
      </c>
      <c r="L8" s="2"/>
      <c r="M8" s="2"/>
      <c r="N8" s="2"/>
      <c r="O8" s="2"/>
      <c r="P8" s="2"/>
      <c r="Q8" s="2"/>
      <c r="R8" s="2"/>
      <c r="S8" s="2"/>
      <c r="T8" s="2"/>
      <c r="U8" s="2"/>
      <c r="V8" s="2"/>
      <c r="W8" s="2"/>
      <c r="X8" s="2"/>
      <c r="Y8" s="2"/>
      <c r="Z8" s="2"/>
      <c r="AA8" s="2"/>
      <c r="AB8" s="2"/>
      <c r="AC8" s="2"/>
      <c r="AD8" s="2"/>
      <c r="AE8" s="2"/>
    </row>
    <row r="9" customFormat="false" ht="19.5" hidden="false" customHeight="true" outlineLevel="0" collapsed="false">
      <c r="A9" s="2"/>
      <c r="B9" s="14"/>
      <c r="C9" s="7" t="str">
        <f aca="false">"✍️ "&amp;Idiomas!D48</f>
        <v>✍️ Escribe el nombre del grupo</v>
      </c>
      <c r="D9" s="2"/>
      <c r="E9" s="4"/>
      <c r="F9" s="4"/>
      <c r="G9" s="4"/>
      <c r="H9" s="4"/>
      <c r="I9" s="4"/>
      <c r="J9" s="4"/>
      <c r="K9" s="4"/>
      <c r="L9" s="2"/>
      <c r="M9" s="2"/>
      <c r="N9" s="2"/>
      <c r="O9" s="2"/>
      <c r="P9" s="2"/>
      <c r="Q9" s="2"/>
      <c r="R9" s="2"/>
      <c r="S9" s="2"/>
      <c r="T9" s="2"/>
      <c r="U9" s="2"/>
      <c r="V9" s="2"/>
      <c r="W9" s="2"/>
      <c r="X9" s="2"/>
      <c r="Y9" s="2"/>
      <c r="Z9" s="2"/>
      <c r="AA9" s="2"/>
      <c r="AB9" s="2"/>
      <c r="AC9" s="2"/>
      <c r="AD9" s="2"/>
      <c r="AE9" s="2"/>
    </row>
    <row r="10" customFormat="false" ht="24.75" hidden="false" customHeight="true" outlineLevel="0" collapsed="false">
      <c r="A10" s="2"/>
      <c r="B10" s="11"/>
      <c r="C10" s="12" t="s">
        <v>3</v>
      </c>
      <c r="D10" s="2"/>
      <c r="E10" s="4"/>
      <c r="F10" s="4"/>
      <c r="G10" s="4"/>
      <c r="H10" s="4"/>
      <c r="I10" s="4"/>
      <c r="J10" s="4"/>
      <c r="K10" s="13" t="s">
        <v>4</v>
      </c>
      <c r="L10" s="2"/>
      <c r="M10" s="2"/>
      <c r="N10" s="2"/>
      <c r="O10" s="2"/>
      <c r="P10" s="2"/>
      <c r="Q10" s="2"/>
      <c r="R10" s="2"/>
      <c r="S10" s="2"/>
      <c r="T10" s="2"/>
      <c r="U10" s="2"/>
      <c r="V10" s="2"/>
      <c r="W10" s="2"/>
      <c r="X10" s="2"/>
      <c r="Y10" s="2"/>
      <c r="Z10" s="2"/>
      <c r="AA10" s="2"/>
      <c r="AB10" s="2"/>
      <c r="AC10" s="2"/>
      <c r="AD10" s="2"/>
      <c r="AE10" s="2"/>
    </row>
    <row r="11" customFormat="false" ht="19.5" hidden="false" customHeight="true" outlineLevel="0" collapsed="false">
      <c r="A11" s="2"/>
      <c r="B11" s="2"/>
      <c r="C11" s="2"/>
      <c r="D11" s="2"/>
      <c r="E11" s="4"/>
      <c r="F11" s="4"/>
      <c r="G11" s="4"/>
      <c r="H11" s="4"/>
      <c r="I11" s="4"/>
      <c r="J11" s="4"/>
      <c r="K11" s="4"/>
      <c r="L11" s="2"/>
      <c r="M11" s="2"/>
      <c r="N11" s="2"/>
      <c r="O11" s="2"/>
      <c r="P11" s="2"/>
      <c r="Q11" s="2"/>
      <c r="R11" s="2"/>
      <c r="S11" s="2"/>
      <c r="T11" s="2"/>
      <c r="U11" s="2"/>
      <c r="V11" s="2"/>
      <c r="W11" s="2"/>
      <c r="X11" s="2"/>
      <c r="Y11" s="2"/>
      <c r="Z11" s="2"/>
      <c r="AA11" s="2"/>
      <c r="AB11" s="2"/>
      <c r="AC11" s="2"/>
      <c r="AD11" s="2"/>
      <c r="AE11" s="2"/>
    </row>
    <row r="12" customFormat="false" ht="24.75" hidden="false" customHeight="true" outlineLevel="0" collapsed="false">
      <c r="A12" s="2"/>
      <c r="B12" s="2"/>
      <c r="C12" s="2"/>
      <c r="D12" s="2"/>
      <c r="E12" s="4"/>
      <c r="F12" s="4"/>
      <c r="G12" s="4"/>
      <c r="H12" s="4"/>
      <c r="I12" s="4"/>
      <c r="J12" s="4"/>
      <c r="K12" s="13" t="str">
        <f aca="false">HYPERLINK(Idiomas!D302,Idiomas!D431)</f>
        <v>Sistema de puntuación</v>
      </c>
      <c r="L12" s="15"/>
      <c r="M12" s="2"/>
      <c r="N12" s="2"/>
      <c r="O12" s="2"/>
      <c r="P12" s="2"/>
      <c r="Q12" s="2"/>
      <c r="R12" s="2"/>
      <c r="S12" s="2"/>
      <c r="T12" s="2"/>
      <c r="U12" s="2"/>
      <c r="V12" s="2"/>
      <c r="W12" s="2"/>
      <c r="X12" s="2"/>
      <c r="Y12" s="2"/>
      <c r="Z12" s="2"/>
      <c r="AA12" s="2"/>
      <c r="AB12" s="2"/>
      <c r="AC12" s="2"/>
      <c r="AD12" s="2"/>
      <c r="AE12" s="2"/>
    </row>
    <row r="13" customFormat="false" ht="19.5" hidden="false" customHeight="true" outlineLevel="0" collapsed="false">
      <c r="A13" s="2"/>
      <c r="B13" s="2"/>
      <c r="C13" s="16"/>
      <c r="D13" s="2"/>
      <c r="E13" s="4"/>
      <c r="F13" s="4"/>
      <c r="G13" s="4"/>
      <c r="H13" s="4"/>
      <c r="I13" s="4"/>
      <c r="J13" s="4"/>
      <c r="K13" s="4"/>
      <c r="L13" s="2"/>
      <c r="M13" s="2"/>
      <c r="N13" s="2"/>
      <c r="O13" s="2"/>
      <c r="P13" s="2"/>
      <c r="Q13" s="2"/>
      <c r="R13" s="2"/>
      <c r="S13" s="2"/>
      <c r="T13" s="2"/>
      <c r="U13" s="2"/>
      <c r="V13" s="2"/>
      <c r="W13" s="2"/>
      <c r="X13" s="2"/>
      <c r="Y13" s="2"/>
      <c r="Z13" s="2"/>
      <c r="AA13" s="2"/>
      <c r="AB13" s="2"/>
      <c r="AC13" s="2"/>
      <c r="AD13" s="2"/>
      <c r="AE13" s="2"/>
    </row>
    <row r="14" customFormat="false" ht="24.75" hidden="false" customHeight="true" outlineLevel="0" collapsed="false">
      <c r="A14" s="2"/>
      <c r="B14" s="17"/>
      <c r="C14" s="17"/>
      <c r="D14" s="2"/>
      <c r="E14" s="4"/>
      <c r="F14" s="4"/>
      <c r="G14" s="4"/>
      <c r="H14" s="4"/>
      <c r="I14" s="4"/>
      <c r="J14" s="4"/>
      <c r="K14" s="13" t="str">
        <f aca="false">HYPERLINK(Idiomas!D13,"FAQ")</f>
        <v>FAQ</v>
      </c>
      <c r="L14" s="18"/>
      <c r="M14" s="2"/>
      <c r="N14" s="2"/>
      <c r="O14" s="2"/>
      <c r="P14" s="2"/>
      <c r="Q14" s="2"/>
      <c r="R14" s="2"/>
      <c r="S14" s="2"/>
      <c r="T14" s="2"/>
      <c r="U14" s="2"/>
      <c r="V14" s="2"/>
      <c r="W14" s="2"/>
      <c r="X14" s="2"/>
      <c r="Y14" s="2"/>
      <c r="Z14" s="2"/>
      <c r="AA14" s="2"/>
      <c r="AB14" s="2"/>
      <c r="AC14" s="2"/>
      <c r="AD14" s="2"/>
      <c r="AE14" s="2"/>
    </row>
    <row r="15" customFormat="false" ht="15" hidden="false" customHeight="true" outlineLevel="0" collapsed="false">
      <c r="A15" s="2"/>
      <c r="B15" s="17"/>
      <c r="C15" s="17"/>
      <c r="D15" s="2"/>
      <c r="E15" s="4"/>
      <c r="F15" s="4"/>
      <c r="G15" s="4"/>
      <c r="H15" s="4"/>
      <c r="I15" s="4"/>
      <c r="J15" s="4"/>
      <c r="K15" s="4"/>
      <c r="L15" s="15"/>
      <c r="M15" s="2"/>
      <c r="N15" s="2"/>
      <c r="O15" s="2"/>
      <c r="P15" s="2"/>
      <c r="Q15" s="2"/>
      <c r="R15" s="2"/>
      <c r="S15" s="2"/>
      <c r="T15" s="2"/>
      <c r="U15" s="2"/>
      <c r="V15" s="2"/>
      <c r="W15" s="2"/>
      <c r="X15" s="2"/>
      <c r="Y15" s="2"/>
      <c r="Z15" s="2"/>
      <c r="AA15" s="2"/>
      <c r="AB15" s="2"/>
      <c r="AC15" s="2"/>
      <c r="AD15" s="2"/>
      <c r="AE15" s="2"/>
    </row>
    <row r="16" customFormat="false" ht="39.75" hidden="false" customHeight="true" outlineLevel="0" collapsed="false">
      <c r="A16" s="2"/>
      <c r="B16" s="2"/>
      <c r="C16" s="2"/>
      <c r="D16" s="2"/>
      <c r="E16" s="19"/>
      <c r="F16" s="19"/>
      <c r="G16" s="19"/>
      <c r="H16" s="19"/>
      <c r="I16" s="19"/>
      <c r="J16" s="4"/>
      <c r="K16" s="2"/>
      <c r="L16" s="2"/>
      <c r="M16" s="2"/>
      <c r="N16" s="2"/>
      <c r="O16" s="2"/>
      <c r="P16" s="2"/>
      <c r="Q16" s="2"/>
      <c r="R16" s="2"/>
      <c r="S16" s="2"/>
      <c r="T16" s="2"/>
      <c r="U16" s="2"/>
      <c r="V16" s="2"/>
      <c r="W16" s="2"/>
      <c r="X16" s="2"/>
      <c r="Y16" s="2"/>
      <c r="Z16" s="2"/>
      <c r="AA16" s="2"/>
      <c r="AB16" s="2"/>
      <c r="AC16" s="2"/>
      <c r="AD16" s="2"/>
      <c r="AE16" s="2"/>
    </row>
    <row r="17" customFormat="false" ht="39.75" hidden="false" customHeight="true" outlineLevel="0" collapsed="false">
      <c r="A17" s="2"/>
      <c r="B17" s="2"/>
      <c r="C17" s="2"/>
      <c r="D17" s="2"/>
      <c r="E17" s="19"/>
      <c r="F17" s="19"/>
      <c r="G17" s="19"/>
      <c r="H17" s="19"/>
      <c r="I17" s="19"/>
      <c r="J17" s="4"/>
      <c r="K17" s="2"/>
      <c r="L17" s="20"/>
      <c r="M17" s="2"/>
      <c r="N17" s="21"/>
      <c r="O17" s="22"/>
      <c r="P17" s="2"/>
      <c r="Q17" s="2"/>
      <c r="R17" s="2"/>
      <c r="S17" s="2"/>
      <c r="T17" s="2"/>
      <c r="U17" s="2"/>
      <c r="V17" s="2"/>
      <c r="W17" s="2"/>
      <c r="X17" s="2"/>
      <c r="Y17" s="2"/>
      <c r="Z17" s="2"/>
      <c r="AA17" s="2"/>
      <c r="AB17" s="2"/>
      <c r="AC17" s="2"/>
      <c r="AD17" s="2"/>
      <c r="AE17" s="2"/>
    </row>
    <row r="18" customFormat="false" ht="15" hidden="false" customHeight="true" outlineLevel="0" collapsed="false">
      <c r="A18" s="2"/>
      <c r="B18" s="2"/>
      <c r="C18" s="2"/>
      <c r="D18" s="2"/>
      <c r="E18" s="4"/>
      <c r="F18" s="4"/>
      <c r="G18" s="4"/>
      <c r="H18" s="4"/>
      <c r="I18" s="4"/>
      <c r="J18" s="4"/>
      <c r="K18" s="2"/>
      <c r="L18" s="2"/>
      <c r="M18" s="2"/>
      <c r="N18" s="2"/>
      <c r="O18" s="2"/>
      <c r="P18" s="2"/>
      <c r="Q18" s="2"/>
      <c r="R18" s="2"/>
      <c r="S18" s="2"/>
      <c r="T18" s="2"/>
      <c r="U18" s="2"/>
      <c r="V18" s="2"/>
      <c r="W18" s="2"/>
      <c r="X18" s="2"/>
      <c r="Y18" s="2"/>
      <c r="Z18" s="2"/>
      <c r="AA18" s="2"/>
      <c r="AB18" s="2"/>
      <c r="AC18" s="2"/>
      <c r="AD18" s="2"/>
      <c r="AE18" s="2"/>
    </row>
    <row r="19" customFormat="false" ht="15" hidden="false" customHeight="false" outlineLevel="0" collapsed="false">
      <c r="A19" s="2"/>
      <c r="B19" s="2"/>
      <c r="C19" s="2"/>
      <c r="D19" s="2"/>
      <c r="E19" s="2"/>
      <c r="F19" s="4"/>
      <c r="G19" s="23" t="str">
        <f aca="false">IFERROR(IF(E41&lt;E42,Idiomas!D505,IF(AND(E41&gt;=E42,E41&lt;=E43),Idiomas!D507,""))&amp;" "&amp;IF(E41&lt;E42,DATEDIF(E41,E42,"D"),IF(E41=E42,1,IF(AND(E41&gt;E42,E41&lt;=E43),DATEDIF(E42,E41,"D")+1,IF(E41&gt;E43,"",""))))&amp;" "&amp;IF(E41&lt;E42,Idiomas!D506,IF(AND(E41&gt;=E42,E41&lt;=E43),Idiomas!D508,"")),"")</f>
        <v>Es el día 6 del Mundial 2026</v>
      </c>
      <c r="H19" s="4"/>
      <c r="I19" s="4"/>
      <c r="J19" s="4"/>
      <c r="K19" s="2"/>
      <c r="L19" s="2"/>
      <c r="M19" s="2"/>
      <c r="N19" s="2"/>
      <c r="O19" s="2"/>
      <c r="P19" s="2"/>
      <c r="Q19" s="2"/>
      <c r="R19" s="2"/>
      <c r="S19" s="2"/>
      <c r="T19" s="2"/>
      <c r="U19" s="2"/>
      <c r="V19" s="2"/>
      <c r="W19" s="2"/>
      <c r="X19" s="2"/>
      <c r="Y19" s="2"/>
      <c r="Z19" s="2"/>
      <c r="AA19" s="2"/>
      <c r="AB19" s="2"/>
      <c r="AC19" s="2"/>
      <c r="AD19" s="2"/>
      <c r="AE19" s="2"/>
    </row>
    <row r="20" customFormat="false" ht="15" hidden="false" customHeight="false" outlineLevel="0" collapsed="false">
      <c r="A20" s="2"/>
      <c r="B20" s="2" t="s">
        <v>5</v>
      </c>
      <c r="C20" s="2"/>
      <c r="D20" s="2"/>
      <c r="E20" s="4"/>
      <c r="F20" s="4"/>
      <c r="G20" s="23" t="str">
        <f aca="false">IFERROR(IF(E41&lt;E42,"",IF(AND(E41&gt;=E42,E41&lt;=E43),Idiomas!D509,IF(E41&gt;E43,"",)))&amp;" "&amp;IF(E41&lt;E42,"",IF(AND(E41&gt;=E42,E41&lt;=E43),DATEDIF(E41,E43,"D"),IF(E41&gt;E43,"",)))&amp;" "&amp;IF(E41&lt;E42,"",IF(AND(E41&gt;=E42,E41&lt;=E43),Idiomas!D510,IF(E41&gt;E43,"",))),"")</f>
        <v>Quedan 33 días para que acabe el Mundial 2026</v>
      </c>
      <c r="H20" s="4"/>
      <c r="I20" s="4"/>
      <c r="J20" s="4"/>
      <c r="K20" s="2"/>
      <c r="L20" s="2"/>
      <c r="M20" s="2"/>
      <c r="N20" s="2"/>
      <c r="O20" s="2"/>
      <c r="P20" s="2"/>
      <c r="Q20" s="2"/>
      <c r="R20" s="2"/>
      <c r="S20" s="2"/>
      <c r="T20" s="2"/>
      <c r="U20" s="2"/>
      <c r="V20" s="2"/>
      <c r="W20" s="2"/>
      <c r="X20" s="2"/>
      <c r="Y20" s="2"/>
      <c r="Z20" s="2"/>
      <c r="AA20" s="2"/>
      <c r="AB20" s="2"/>
      <c r="AC20" s="2"/>
      <c r="AD20" s="2"/>
      <c r="AE20" s="2"/>
    </row>
    <row r="21" customFormat="false" ht="15" hidden="false" customHeight="true" outlineLevel="0" collapsed="false">
      <c r="A21" s="2"/>
      <c r="B21" s="2" t="s">
        <v>5</v>
      </c>
      <c r="C21" s="2"/>
      <c r="D21" s="2"/>
      <c r="E21" s="24"/>
      <c r="F21" s="24"/>
      <c r="G21" s="24"/>
      <c r="H21" s="24"/>
      <c r="I21" s="24"/>
      <c r="J21" s="4"/>
      <c r="K21" s="4"/>
      <c r="L21" s="2"/>
      <c r="M21" s="2"/>
      <c r="N21" s="2"/>
      <c r="O21" s="15"/>
      <c r="P21" s="2"/>
      <c r="Q21" s="2"/>
      <c r="R21" s="2"/>
      <c r="S21" s="2"/>
      <c r="T21" s="2"/>
      <c r="U21" s="2"/>
      <c r="V21" s="2"/>
      <c r="W21" s="2"/>
      <c r="X21" s="2"/>
      <c r="Y21" s="2"/>
      <c r="Z21" s="2"/>
      <c r="AA21" s="2"/>
      <c r="AB21" s="2"/>
      <c r="AC21" s="2"/>
      <c r="AD21" s="2"/>
      <c r="AE21" s="2"/>
    </row>
    <row r="22" customFormat="false" ht="30.75" hidden="false" customHeight="true" outlineLevel="0" collapsed="false">
      <c r="A22" s="2"/>
      <c r="B22" s="2" t="s">
        <v>5</v>
      </c>
      <c r="C22" s="2"/>
      <c r="D22" s="2"/>
      <c r="E22" s="24"/>
      <c r="F22" s="24"/>
      <c r="G22" s="24"/>
      <c r="H22" s="24"/>
      <c r="I22" s="24"/>
      <c r="J22" s="4"/>
      <c r="K22" s="4"/>
      <c r="L22" s="2"/>
      <c r="M22" s="2"/>
      <c r="N22" s="2"/>
      <c r="O22" s="15"/>
      <c r="P22" s="2"/>
      <c r="Q22" s="2"/>
      <c r="R22" s="2"/>
      <c r="S22" s="2"/>
      <c r="T22" s="2"/>
      <c r="U22" s="2"/>
      <c r="V22" s="2"/>
      <c r="W22" s="2"/>
      <c r="X22" s="2"/>
      <c r="Y22" s="2"/>
      <c r="Z22" s="2"/>
      <c r="AA22" s="2"/>
      <c r="AB22" s="2"/>
      <c r="AC22" s="2"/>
      <c r="AD22" s="2"/>
      <c r="AE22" s="2"/>
    </row>
    <row r="23" customFormat="false" ht="19.5" hidden="false" customHeight="true" outlineLevel="0" collapsed="false">
      <c r="A23" s="2"/>
      <c r="B23" s="2" t="s">
        <v>5</v>
      </c>
      <c r="C23" s="2"/>
      <c r="D23" s="2"/>
      <c r="E23" s="4"/>
      <c r="F23" s="4"/>
      <c r="G23" s="4"/>
      <c r="H23" s="4"/>
      <c r="I23" s="4"/>
      <c r="J23" s="4"/>
      <c r="K23" s="25" t="s">
        <v>6</v>
      </c>
      <c r="L23" s="2"/>
      <c r="M23" s="2"/>
      <c r="N23" s="15"/>
      <c r="O23" s="15"/>
      <c r="P23" s="2"/>
      <c r="Q23" s="2"/>
      <c r="R23" s="2"/>
      <c r="S23" s="2"/>
      <c r="T23" s="2"/>
      <c r="U23" s="2"/>
      <c r="V23" s="2"/>
      <c r="W23" s="2"/>
      <c r="X23" s="2"/>
      <c r="Y23" s="2"/>
      <c r="Z23" s="2"/>
      <c r="AA23" s="2"/>
      <c r="AB23" s="2"/>
      <c r="AC23" s="2"/>
      <c r="AD23" s="2"/>
      <c r="AE23" s="2"/>
    </row>
    <row r="24" customFormat="false" ht="30" hidden="false" customHeight="true" outlineLevel="0" collapsed="false">
      <c r="A24" s="2"/>
      <c r="B24" s="26"/>
      <c r="C24" s="26"/>
      <c r="D24" s="2"/>
      <c r="E24" s="4"/>
      <c r="F24" s="4"/>
      <c r="G24" s="4"/>
      <c r="H24" s="27"/>
      <c r="I24" s="27"/>
      <c r="J24" s="4"/>
      <c r="K24" s="27"/>
      <c r="L24" s="15"/>
      <c r="M24" s="15"/>
      <c r="N24" s="15"/>
      <c r="O24" s="15"/>
      <c r="P24" s="2"/>
      <c r="Q24" s="2"/>
      <c r="R24" s="2"/>
      <c r="S24" s="2"/>
      <c r="T24" s="2"/>
      <c r="U24" s="2"/>
      <c r="V24" s="2"/>
      <c r="W24" s="2"/>
      <c r="X24" s="2"/>
      <c r="Y24" s="2"/>
      <c r="Z24" s="2"/>
      <c r="AA24" s="2"/>
      <c r="AB24" s="2"/>
      <c r="AC24" s="2"/>
      <c r="AD24" s="2"/>
      <c r="AE24" s="2"/>
    </row>
    <row r="25" customFormat="false" ht="15" hidden="false" customHeight="false" outlineLevel="0" collapsed="false">
      <c r="A25" s="2"/>
      <c r="B25" s="2"/>
      <c r="C25" s="2"/>
      <c r="D25" s="2"/>
      <c r="E25" s="4"/>
      <c r="F25" s="4"/>
      <c r="G25" s="4"/>
      <c r="H25" s="27"/>
      <c r="I25" s="27"/>
      <c r="J25" s="4"/>
      <c r="K25" s="27"/>
      <c r="L25" s="15"/>
      <c r="M25" s="15"/>
      <c r="N25" s="15"/>
      <c r="O25" s="15"/>
      <c r="P25" s="2"/>
      <c r="Q25" s="2"/>
      <c r="R25" s="2"/>
      <c r="S25" s="2"/>
      <c r="T25" s="2"/>
      <c r="U25" s="2"/>
      <c r="V25" s="2"/>
      <c r="W25" s="2"/>
      <c r="X25" s="2"/>
      <c r="Y25" s="2"/>
      <c r="Z25" s="2"/>
      <c r="AA25" s="2"/>
      <c r="AB25" s="2"/>
      <c r="AC25" s="2"/>
      <c r="AD25" s="2"/>
      <c r="AE25" s="2"/>
    </row>
    <row r="26" customFormat="false" ht="15" hidden="false" customHeight="false" outlineLevel="0" collapsed="false">
      <c r="A26" s="2"/>
      <c r="B26" s="2"/>
      <c r="C26" s="2"/>
      <c r="D26" s="2"/>
      <c r="E26" s="2"/>
      <c r="F26" s="2"/>
      <c r="G26" s="2"/>
      <c r="H26" s="2"/>
      <c r="I26" s="2"/>
      <c r="J26" s="4"/>
      <c r="K26" s="2"/>
      <c r="L26" s="2"/>
      <c r="M26" s="2"/>
      <c r="N26" s="2"/>
      <c r="O26" s="2"/>
      <c r="P26" s="2"/>
      <c r="Q26" s="2"/>
      <c r="R26" s="2"/>
      <c r="S26" s="2"/>
      <c r="T26" s="2"/>
      <c r="U26" s="2"/>
      <c r="V26" s="2"/>
      <c r="W26" s="2"/>
      <c r="X26" s="2"/>
      <c r="Y26" s="2"/>
      <c r="Z26" s="2"/>
      <c r="AA26" s="2"/>
      <c r="AB26" s="2"/>
      <c r="AC26" s="2"/>
      <c r="AD26" s="2"/>
      <c r="AE26" s="2"/>
    </row>
    <row r="27" customFormat="false" ht="15" hidden="false" customHeight="false" outlineLevel="0" collapsed="false">
      <c r="A27" s="2"/>
      <c r="B27" s="2"/>
      <c r="C27" s="2"/>
      <c r="D27" s="2"/>
      <c r="E27" s="2"/>
      <c r="F27" s="2"/>
      <c r="G27" s="2"/>
      <c r="H27" s="2"/>
      <c r="I27" s="2"/>
      <c r="J27" s="4"/>
      <c r="K27" s="2"/>
      <c r="L27" s="2"/>
      <c r="M27" s="2"/>
      <c r="N27" s="2"/>
      <c r="O27" s="2"/>
      <c r="P27" s="2"/>
      <c r="Q27" s="2"/>
      <c r="R27" s="2"/>
      <c r="S27" s="2"/>
      <c r="T27" s="2"/>
      <c r="U27" s="2"/>
      <c r="V27" s="2"/>
      <c r="W27" s="2"/>
      <c r="X27" s="2"/>
      <c r="Y27" s="2"/>
      <c r="Z27" s="2"/>
      <c r="AA27" s="2"/>
      <c r="AB27" s="2"/>
      <c r="AC27" s="2"/>
      <c r="AD27" s="2"/>
      <c r="AE27" s="2"/>
    </row>
    <row r="28" customFormat="false" ht="15" hidden="false" customHeight="false" outlineLevel="0" collapsed="false">
      <c r="A28" s="2"/>
      <c r="B28" s="2"/>
      <c r="C28" s="2"/>
      <c r="D28" s="2"/>
      <c r="E28" s="2"/>
      <c r="F28" s="2"/>
      <c r="G28" s="2"/>
      <c r="H28" s="2"/>
      <c r="I28" s="2"/>
      <c r="J28" s="4"/>
      <c r="K28" s="2"/>
      <c r="L28" s="2"/>
      <c r="M28" s="2"/>
      <c r="N28" s="2"/>
      <c r="O28" s="2"/>
      <c r="P28" s="2"/>
      <c r="Q28" s="2"/>
      <c r="R28" s="2"/>
      <c r="S28" s="2"/>
      <c r="T28" s="2"/>
      <c r="U28" s="2"/>
      <c r="V28" s="2"/>
      <c r="W28" s="2"/>
      <c r="X28" s="2"/>
      <c r="Y28" s="2"/>
      <c r="Z28" s="2"/>
      <c r="AA28" s="2"/>
      <c r="AB28" s="2"/>
      <c r="AC28" s="2"/>
      <c r="AD28" s="2"/>
      <c r="AE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customFormat="false" ht="15" hidden="false" customHeight="false" outlineLevel="0" collapsed="false">
      <c r="A41" s="2"/>
      <c r="B41" s="2"/>
      <c r="C41" s="2"/>
      <c r="D41" s="2"/>
      <c r="E41" s="28" t="n">
        <f aca="true">TODAY()</f>
        <v>46189</v>
      </c>
      <c r="F41" s="2"/>
      <c r="G41" s="2"/>
      <c r="H41" s="2"/>
      <c r="I41" s="2"/>
      <c r="J41" s="2"/>
      <c r="K41" s="2"/>
      <c r="L41" s="2"/>
      <c r="M41" s="2"/>
      <c r="N41" s="2"/>
      <c r="O41" s="2"/>
      <c r="P41" s="2"/>
      <c r="Q41" s="2"/>
      <c r="R41" s="2"/>
      <c r="S41" s="2"/>
      <c r="T41" s="2"/>
      <c r="U41" s="2"/>
      <c r="V41" s="2"/>
      <c r="W41" s="2"/>
      <c r="X41" s="2"/>
      <c r="Y41" s="2"/>
      <c r="Z41" s="2"/>
      <c r="AA41" s="2"/>
      <c r="AB41" s="2"/>
      <c r="AC41" s="2"/>
      <c r="AD41" s="2"/>
      <c r="AE41" s="2"/>
    </row>
    <row r="42" customFormat="false" ht="15" hidden="false" customHeight="false" outlineLevel="0" collapsed="false">
      <c r="A42" s="2"/>
      <c r="B42" s="2"/>
      <c r="C42" s="2"/>
      <c r="D42" s="2"/>
      <c r="E42" s="28" t="n">
        <f aca="false">INT(Horarios!C4)</f>
        <v>46184</v>
      </c>
      <c r="F42" s="29"/>
      <c r="G42" s="2"/>
      <c r="H42" s="2"/>
      <c r="I42" s="2"/>
      <c r="J42" s="2"/>
      <c r="K42" s="2"/>
      <c r="L42" s="2"/>
      <c r="M42" s="2"/>
      <c r="N42" s="2"/>
      <c r="O42" s="2"/>
      <c r="P42" s="2"/>
      <c r="Q42" s="2"/>
      <c r="R42" s="2"/>
      <c r="S42" s="2"/>
      <c r="T42" s="2"/>
      <c r="U42" s="2"/>
      <c r="V42" s="2"/>
      <c r="W42" s="2"/>
      <c r="X42" s="2"/>
      <c r="Y42" s="2"/>
      <c r="Z42" s="2"/>
      <c r="AA42" s="2"/>
      <c r="AB42" s="2"/>
      <c r="AC42" s="2"/>
      <c r="AD42" s="2"/>
      <c r="AE42" s="2"/>
    </row>
    <row r="43" customFormat="false" ht="15" hidden="false" customHeight="false" outlineLevel="0" collapsed="false">
      <c r="A43" s="2"/>
      <c r="B43" s="2"/>
      <c r="C43" s="2"/>
      <c r="D43" s="2"/>
      <c r="E43" s="28" t="n">
        <f aca="false">INT(Horarios!C147)</f>
        <v>46222</v>
      </c>
      <c r="F43" s="29"/>
      <c r="G43" s="2"/>
      <c r="H43" s="2"/>
      <c r="I43" s="2"/>
      <c r="J43" s="2"/>
      <c r="K43" s="2"/>
      <c r="L43" s="2"/>
      <c r="M43" s="2"/>
      <c r="N43" s="2"/>
      <c r="O43" s="2"/>
      <c r="P43" s="2"/>
      <c r="Q43" s="2"/>
      <c r="R43" s="2"/>
      <c r="S43" s="2"/>
      <c r="T43" s="2"/>
      <c r="U43" s="2"/>
      <c r="V43" s="2"/>
      <c r="W43" s="2"/>
      <c r="X43" s="2"/>
      <c r="Y43" s="2"/>
      <c r="Z43" s="2"/>
      <c r="AA43" s="2"/>
      <c r="AB43" s="2"/>
      <c r="AC43" s="2"/>
      <c r="AD43" s="2"/>
      <c r="AE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sheetData>
  <mergeCells count="4">
    <mergeCell ref="B3:L3"/>
    <mergeCell ref="E16:I16"/>
    <mergeCell ref="E17:I17"/>
    <mergeCell ref="B24:C24"/>
  </mergeCells>
  <dataValidations count="2">
    <dataValidation allowBlank="true" errorStyle="stop" operator="between" showDropDown="false" showErrorMessage="true" showInputMessage="true" sqref="C6" type="list">
      <formula1>Idiomas!$A$2:$A$3</formula1>
      <formula2>0</formula2>
    </dataValidation>
    <dataValidation allowBlank="true" errorStyle="stop" operator="between" showDropDown="false" showErrorMessage="true" showInputMessage="true" sqref="C8" type="list">
      <formula1>Horarios!$Q$3:$Q$86</formula1>
      <formula2>0</formula2>
    </dataValidation>
  </dataValidations>
  <hyperlinks>
    <hyperlink ref="K6" location="ADMIN!D5" display="Admin"/>
    <hyperlink ref="K8" location="WORLDCUP!AC4" display="#WORLDCUP.AC4"/>
    <hyperlink ref="K10" location="Credits!L1" display="Hel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W192"/>
  <sheetViews>
    <sheetView showFormulas="false" showGridLines="true" showRowColHeaders="true" showZeros="true" rightToLeft="false" tabSelected="true" showOutlineSymbols="true" defaultGridColor="true" view="normal" topLeftCell="V88" colorId="64" zoomScale="100" zoomScaleNormal="100" zoomScalePageLayoutView="100" workbookViewId="0">
      <selection pane="topLeft" activeCell="AF53" activeCellId="0" sqref="AF53"/>
    </sheetView>
  </sheetViews>
  <sheetFormatPr defaultColWidth="10.84765625" defaultRowHeight="15" customHeight="true" zeroHeight="false" outlineLevelRow="0" outlineLevelCol="0"/>
  <cols>
    <col collapsed="false" customWidth="false" hidden="true" outlineLevel="0" max="2" min="1" style="30" width="10.85"/>
    <col collapsed="false" customWidth="true" hidden="true" outlineLevel="0" max="3" min="3" style="31" width="2.16"/>
    <col collapsed="false" customWidth="true" hidden="true" outlineLevel="0" max="10" min="4" style="31" width="8.86"/>
    <col collapsed="false" customWidth="true" hidden="true" outlineLevel="0" max="11" min="11" style="31" width="12.86"/>
    <col collapsed="false" customWidth="true" hidden="true" outlineLevel="0" max="21" min="12" style="31" width="8.86"/>
    <col collapsed="false" customWidth="true" hidden="false" outlineLevel="0" max="22" min="22" style="1" width="3.42"/>
    <col collapsed="false" customWidth="true" hidden="false" outlineLevel="0" max="23" min="23" style="1" width="6.71"/>
    <col collapsed="false" customWidth="true" hidden="false" outlineLevel="0" max="24" min="24" style="1" width="12.86"/>
    <col collapsed="false" customWidth="true" hidden="false" outlineLevel="0" max="25" min="25" style="1" width="6.85"/>
    <col collapsed="false" customWidth="true" hidden="false" outlineLevel="0" max="26" min="26" style="1" width="4.71"/>
    <col collapsed="false" customWidth="true" hidden="false" outlineLevel="0" max="27" min="27" style="1" width="20.85"/>
    <col collapsed="false" customWidth="true" hidden="false" outlineLevel="0" max="28" min="28" style="1" width="3.86"/>
    <col collapsed="false" customWidth="true" hidden="false" outlineLevel="0" max="30" min="29" style="1" width="5.29"/>
    <col collapsed="false" customWidth="true" hidden="false" outlineLevel="0" max="31" min="31" style="1" width="3.86"/>
    <col collapsed="false" customWidth="true" hidden="false" outlineLevel="0" max="32" min="32" style="1" width="20.85"/>
    <col collapsed="false" customWidth="true" hidden="false" outlineLevel="0" max="33" min="33" style="1" width="3.42"/>
    <col collapsed="false" customWidth="true" hidden="false" outlineLevel="0" max="34" min="34" style="32" width="3.86"/>
    <col collapsed="false" customWidth="true" hidden="false" outlineLevel="0" max="35" min="35" style="32" width="3.29"/>
    <col collapsed="false" customWidth="true" hidden="false" outlineLevel="0" max="36" min="36" style="1" width="4.29"/>
    <col collapsed="false" customWidth="true" hidden="false" outlineLevel="0" max="37" min="37" style="1" width="3.29"/>
    <col collapsed="false" customWidth="true" hidden="false" outlineLevel="0" max="38" min="38" style="1" width="20.85"/>
    <col collapsed="false" customWidth="true" hidden="false" outlineLevel="0" max="39" min="39" style="1" width="5.86"/>
    <col collapsed="false" customWidth="true" hidden="false" outlineLevel="0" max="43" min="40" style="1" width="4.29"/>
    <col collapsed="false" customWidth="true" hidden="false" outlineLevel="0" max="45" min="44" style="1" width="5.42"/>
    <col collapsed="false" customWidth="true" hidden="false" outlineLevel="0" max="46" min="46" style="1" width="6"/>
    <col collapsed="false" customWidth="true" hidden="false" outlineLevel="0" max="47" min="47" style="33" width="3.29"/>
    <col collapsed="false" customWidth="true" hidden="false" outlineLevel="0" max="48" min="48" style="34" width="18.42"/>
    <col collapsed="false" customWidth="true" hidden="false" outlineLevel="0" max="49" min="49" style="35" width="3.42"/>
    <col collapsed="false" customWidth="true" hidden="false" outlineLevel="0" max="50" min="50" style="36" width="3.42"/>
    <col collapsed="false" customWidth="true" hidden="false" outlineLevel="0" max="51" min="51" style="37" width="17"/>
    <col collapsed="false" customWidth="true" hidden="false" outlineLevel="0" max="52" min="52" style="35" width="15.85"/>
    <col collapsed="false" customWidth="true" hidden="false" outlineLevel="0" max="53" min="53" style="1" width="3"/>
    <col collapsed="false" customWidth="false" hidden="true" outlineLevel="0" max="54" min="54" style="30" width="10.85"/>
    <col collapsed="false" customWidth="true" hidden="true" outlineLevel="0" max="55" min="55" style="30" width="6"/>
    <col collapsed="false" customWidth="true" hidden="true" outlineLevel="0" max="56" min="56" style="30" width="17"/>
    <col collapsed="false" customWidth="true" hidden="true" outlineLevel="0" max="57" min="57" style="30" width="3.42"/>
    <col collapsed="false" customWidth="true" hidden="true" outlineLevel="0" max="58" min="58" style="30" width="2.16"/>
    <col collapsed="false" customWidth="true" hidden="true" outlineLevel="0" max="59" min="59" style="30" width="7.86"/>
    <col collapsed="false" customWidth="true" hidden="true" outlineLevel="0" max="61" min="60" style="30" width="2.16"/>
    <col collapsed="false" customWidth="true" hidden="true" outlineLevel="0" max="63" min="62" style="30" width="4.14"/>
    <col collapsed="false" customWidth="true" hidden="true" outlineLevel="0" max="64" min="64" style="30" width="3.29"/>
    <col collapsed="false" customWidth="true" hidden="true" outlineLevel="0" max="66" min="65" style="30" width="5.71"/>
    <col collapsed="false" customWidth="true" hidden="true" outlineLevel="0" max="67" min="67" style="30" width="7"/>
    <col collapsed="false" customWidth="true" hidden="true" outlineLevel="0" max="68" min="68" style="30" width="4.29"/>
    <col collapsed="false" customWidth="true" hidden="true" outlineLevel="0" max="69" min="69" style="30" width="7.16"/>
    <col collapsed="false" customWidth="true" hidden="true" outlineLevel="0" max="71" min="70" style="30" width="7.29"/>
    <col collapsed="false" customWidth="true" hidden="true" outlineLevel="0" max="100" min="72" style="30" width="8"/>
    <col collapsed="false" customWidth="true" hidden="true" outlineLevel="0" max="101" min="101" style="30" width="4.14"/>
    <col collapsed="false" customWidth="true" hidden="true" outlineLevel="0" max="102" min="102" style="30" width="7.29"/>
    <col collapsed="false" customWidth="false" hidden="true" outlineLevel="0" max="103" min="103" style="30" width="10.85"/>
    <col collapsed="false" customWidth="true" hidden="true" outlineLevel="0" max="104" min="104" style="30" width="3.15"/>
    <col collapsed="false" customWidth="true" hidden="true" outlineLevel="0" max="105" min="105" style="30" width="8.71"/>
    <col collapsed="false" customWidth="true" hidden="true" outlineLevel="0" max="106" min="106" style="30" width="8"/>
    <col collapsed="false" customWidth="true" hidden="true" outlineLevel="0" max="107" min="107" style="30" width="15.85"/>
    <col collapsed="false" customWidth="false" hidden="true" outlineLevel="0" max="108" min="108" style="30" width="10.85"/>
    <col collapsed="false" customWidth="true" hidden="true" outlineLevel="0" max="109" min="109" style="30" width="2.71"/>
    <col collapsed="false" customWidth="false" hidden="true" outlineLevel="0" max="126" min="110" style="30" width="10.85"/>
    <col collapsed="false" customWidth="false" hidden="true" outlineLevel="0" max="127" min="127" style="38" width="10.85"/>
    <col collapsed="false" customWidth="false" hidden="true" outlineLevel="0" max="16384" min="128" style="1" width="10.85"/>
  </cols>
  <sheetData>
    <row r="1" customFormat="false" ht="30" hidden="false" customHeight="true" outlineLevel="0" collapsed="false">
      <c r="A1" s="39"/>
      <c r="B1" s="39"/>
      <c r="C1" s="39"/>
      <c r="D1" s="39"/>
      <c r="E1" s="39"/>
      <c r="F1" s="39"/>
      <c r="G1" s="39"/>
      <c r="H1" s="39"/>
      <c r="I1" s="39"/>
      <c r="J1" s="39"/>
      <c r="K1" s="39"/>
      <c r="L1" s="39"/>
      <c r="M1" s="39"/>
      <c r="N1" s="39"/>
      <c r="O1" s="39"/>
      <c r="P1" s="39"/>
      <c r="Q1" s="39"/>
      <c r="R1" s="39"/>
      <c r="S1" s="39"/>
      <c r="T1" s="39"/>
      <c r="U1" s="39"/>
      <c r="V1" s="40"/>
      <c r="W1" s="41" t="str">
        <f aca="false">Idiomas!D8</f>
        <v>XXIII Mundial USA/MEX/CAN 2026</v>
      </c>
      <c r="X1" s="41"/>
      <c r="Y1" s="41"/>
      <c r="Z1" s="41"/>
      <c r="AA1" s="41"/>
      <c r="AB1" s="41"/>
      <c r="AC1" s="41"/>
      <c r="AD1" s="41"/>
      <c r="AE1" s="41"/>
      <c r="AF1" s="41"/>
      <c r="AG1" s="42"/>
      <c r="AH1" s="43"/>
      <c r="AI1" s="43"/>
      <c r="AJ1" s="42"/>
      <c r="AK1" s="42"/>
      <c r="AL1" s="42"/>
      <c r="AM1" s="42"/>
      <c r="AN1" s="42"/>
      <c r="AO1" s="42"/>
      <c r="AP1" s="42"/>
      <c r="AQ1" s="42"/>
      <c r="AR1" s="42"/>
      <c r="AS1" s="42"/>
      <c r="AT1" s="42"/>
      <c r="AU1" s="43"/>
      <c r="AV1" s="42"/>
      <c r="AW1" s="42"/>
      <c r="AX1" s="42"/>
      <c r="AY1" s="42"/>
      <c r="AZ1" s="42"/>
      <c r="BA1" s="42"/>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t="s">
        <v>7</v>
      </c>
      <c r="DO1" s="44"/>
      <c r="DP1" s="44"/>
      <c r="DQ1" s="44"/>
      <c r="DR1" s="44"/>
      <c r="DS1" s="44"/>
      <c r="DT1" s="44"/>
      <c r="DU1" s="44"/>
      <c r="DV1" s="44"/>
      <c r="DW1" s="45"/>
    </row>
    <row r="2" customFormat="false" ht="9.75" hidden="false" customHeight="true" outlineLevel="0" collapsed="false">
      <c r="A2" s="39"/>
      <c r="B2" s="39"/>
      <c r="C2" s="39"/>
      <c r="D2" s="39"/>
      <c r="E2" s="39"/>
      <c r="F2" s="39"/>
      <c r="G2" s="39"/>
      <c r="H2" s="39"/>
      <c r="I2" s="39"/>
      <c r="J2" s="39"/>
      <c r="K2" s="39"/>
      <c r="L2" s="39"/>
      <c r="M2" s="39"/>
      <c r="N2" s="39"/>
      <c r="O2" s="39"/>
      <c r="P2" s="39"/>
      <c r="Q2" s="39"/>
      <c r="R2" s="39"/>
      <c r="S2" s="39"/>
      <c r="T2" s="39"/>
      <c r="U2" s="39"/>
      <c r="V2" s="46"/>
      <c r="W2" s="47"/>
      <c r="X2" s="47"/>
      <c r="Y2" s="42"/>
      <c r="Z2" s="47"/>
      <c r="AA2" s="48"/>
      <c r="AB2" s="47"/>
      <c r="AC2" s="48"/>
      <c r="AD2" s="48"/>
      <c r="AE2" s="48"/>
      <c r="AF2" s="48"/>
      <c r="AG2" s="49"/>
      <c r="AH2" s="50"/>
      <c r="AI2" s="50"/>
      <c r="AJ2" s="49"/>
      <c r="AK2" s="49"/>
      <c r="AL2" s="49"/>
      <c r="AM2" s="49"/>
      <c r="AN2" s="49"/>
      <c r="AO2" s="49"/>
      <c r="AP2" s="49"/>
      <c r="AQ2" s="49"/>
      <c r="AR2" s="49"/>
      <c r="AS2" s="49"/>
      <c r="AT2" s="49"/>
      <c r="AU2" s="51"/>
      <c r="AV2" s="51"/>
      <c r="AW2" s="52"/>
      <c r="AX2" s="52"/>
      <c r="AY2" s="53"/>
      <c r="AZ2" s="54"/>
      <c r="BA2" s="49"/>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6"/>
      <c r="DD2" s="55"/>
      <c r="DE2" s="55"/>
      <c r="DF2" s="55"/>
      <c r="DG2" s="55"/>
      <c r="DH2" s="55"/>
      <c r="DI2" s="55"/>
      <c r="DJ2" s="55"/>
      <c r="DK2" s="55"/>
      <c r="DL2" s="55"/>
      <c r="DM2" s="55"/>
      <c r="DN2" s="55"/>
      <c r="DO2" s="55"/>
      <c r="DP2" s="55"/>
      <c r="DQ2" s="55"/>
      <c r="DR2" s="55"/>
      <c r="DS2" s="55"/>
      <c r="DT2" s="55"/>
      <c r="DU2" s="55"/>
      <c r="DV2" s="55"/>
      <c r="DW2" s="57"/>
    </row>
    <row r="3" customFormat="false" ht="15" hidden="false" customHeight="false" outlineLevel="0" collapsed="false">
      <c r="A3" s="39"/>
      <c r="B3" s="39"/>
      <c r="C3" s="39"/>
      <c r="D3" s="39" t="s">
        <v>8</v>
      </c>
      <c r="E3" s="58" t="s">
        <v>9</v>
      </c>
      <c r="F3" s="58" t="s">
        <v>10</v>
      </c>
      <c r="G3" s="39"/>
      <c r="H3" s="58" t="s">
        <v>11</v>
      </c>
      <c r="I3" s="58" t="s">
        <v>12</v>
      </c>
      <c r="J3" s="39"/>
      <c r="K3" s="58" t="s">
        <v>13</v>
      </c>
      <c r="L3" s="58" t="s">
        <v>14</v>
      </c>
      <c r="M3" s="58"/>
      <c r="N3" s="58" t="s">
        <v>15</v>
      </c>
      <c r="O3" s="58" t="s">
        <v>16</v>
      </c>
      <c r="P3" s="39"/>
      <c r="Q3" s="58" t="s">
        <v>17</v>
      </c>
      <c r="R3" s="58" t="s">
        <v>18</v>
      </c>
      <c r="S3" s="39"/>
      <c r="T3" s="58" t="s">
        <v>19</v>
      </c>
      <c r="U3" s="58" t="s">
        <v>20</v>
      </c>
      <c r="V3" s="46"/>
      <c r="W3" s="59"/>
      <c r="X3" s="60" t="str">
        <f aca="false">Idiomas!D16</f>
        <v>Fecha</v>
      </c>
      <c r="Y3" s="60" t="str">
        <f aca="false">Idiomas!D17</f>
        <v>Hora</v>
      </c>
      <c r="Z3" s="61" t="str">
        <f aca="false">Idiomas!D18</f>
        <v>Jor.</v>
      </c>
      <c r="AA3" s="62" t="str">
        <f aca="false">Idiomas!D19</f>
        <v>Casa</v>
      </c>
      <c r="AB3" s="63"/>
      <c r="AC3" s="61" t="str">
        <f aca="false">Idiomas!D20</f>
        <v>Gol</v>
      </c>
      <c r="AD3" s="61" t="str">
        <f aca="false">Idiomas!D20</f>
        <v>Gol</v>
      </c>
      <c r="AE3" s="63"/>
      <c r="AF3" s="64" t="str">
        <f aca="false">Idiomas!D21</f>
        <v>Fuera</v>
      </c>
      <c r="AG3" s="49"/>
      <c r="AH3" s="50"/>
      <c r="AI3" s="50"/>
      <c r="AJ3" s="50" t="str">
        <f aca="false">Idiomas!D22</f>
        <v>Grupo</v>
      </c>
      <c r="AK3" s="65"/>
      <c r="AL3" s="66"/>
      <c r="AM3" s="66"/>
      <c r="AN3" s="66"/>
      <c r="AO3" s="66"/>
      <c r="AP3" s="66"/>
      <c r="AQ3" s="66"/>
      <c r="AR3" s="66"/>
      <c r="AS3" s="66"/>
      <c r="AT3" s="66"/>
      <c r="AU3" s="51"/>
      <c r="AV3" s="67" t="str">
        <f aca="false">Idiomas!D23</f>
        <v>¡EMPATE! Puedes seleccionar el orden de los empatados.</v>
      </c>
      <c r="AW3" s="68"/>
      <c r="AX3" s="68"/>
      <c r="AY3" s="69" t="str">
        <f aca="false">Idiomas!D74</f>
        <v>¿Hay equipos penalizados?</v>
      </c>
      <c r="AZ3" s="70" t="s">
        <v>21</v>
      </c>
      <c r="BA3" s="49"/>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t="s">
        <v>22</v>
      </c>
      <c r="DU3" s="55"/>
      <c r="DV3" s="55"/>
      <c r="DW3" s="57"/>
    </row>
    <row r="4" customFormat="false" ht="15" hidden="false" customHeight="true" outlineLevel="0" collapsed="false">
      <c r="A4" s="71" t="s">
        <v>23</v>
      </c>
      <c r="B4" s="72" t="s">
        <v>24</v>
      </c>
      <c r="C4" s="44" t="n">
        <f aca="false">COUNTIF(Equipos!$C$2:$C$49,WORLDCUP!B4)</f>
        <v>4</v>
      </c>
      <c r="D4" s="55" t="str">
        <f aca="false">IF(OR(AC4="",AD4=""),"Pendiente",IF(AC4&gt;AD4,"Local",IF(AC4&lt;AD4,"Visitante","Empate")))</f>
        <v>Local</v>
      </c>
      <c r="E4" s="55" t="str">
        <f aca="false">IF(D4="Pendiente","-",INDEX($BT$6:$BT$53,MATCH($AA4,$BD$6:$BD$53,0)))</f>
        <v>P.1 (2)</v>
      </c>
      <c r="F4" s="55" t="str">
        <f aca="false">IF(D4="Pendiente","-",INDEX($BT$6:$BT$53,MATCH($AF4,$BD$6:$BD$53,0)))</f>
        <v>P.3 (2)</v>
      </c>
      <c r="G4" s="55"/>
      <c r="H4" s="55" t="str">
        <f aca="false">IF(D4="Pendiente","-",INDEX($BZ$6:$BZ$53,MATCH($AA4,$BD$6:$BD$53,0)))</f>
        <v>P.1 (2)</v>
      </c>
      <c r="I4" s="55" t="str">
        <f aca="false">IF(D4="Pendiente","-",INDEX($BZ$6:$BZ$53,MATCH($AF4,$BD$6:$BD$53,0)))</f>
        <v>P.3 (2)</v>
      </c>
      <c r="J4" s="55"/>
      <c r="K4" s="55" t="str">
        <f aca="false">IF(D4="Pendiente","-",INDEX($CE$6:$CE$53,MATCH($AA4,$BD$6:$BD$53,0)))</f>
        <v>P.1 (2)</v>
      </c>
      <c r="L4" s="55" t="str">
        <f aca="false">IF(D4="Pendiente","-",INDEX($CE$6:$CE$53,MATCH($AF4,$BD$6:$BD$53,0)))</f>
        <v>P.3 (2)</v>
      </c>
      <c r="M4" s="55"/>
      <c r="N4" s="55" t="str">
        <f aca="false">IF(D4="Pendiente","-",INDEX($CH$6:$CH$53,MATCH($AA4,$BD$6:$BD$53,0)))</f>
        <v>P.1 (2)</v>
      </c>
      <c r="O4" s="55" t="str">
        <f aca="false">IF(D4="Pendiente","-",INDEX($CH$6:$CH$53,MATCH($AF4,$BD$6:$BD$53,0)))</f>
        <v>P.3 (2)</v>
      </c>
      <c r="P4" s="55"/>
      <c r="Q4" s="55" t="str">
        <f aca="false">IF(D4="Pendiente","-",INDEX($CN$6:$CN$53,MATCH($AA4,$BD$6:$BD$53,0)))</f>
        <v>P.1 (2)</v>
      </c>
      <c r="R4" s="55" t="str">
        <f aca="false">IF(D4="Pendiente","-",INDEX($CN$6:$CN$53,MATCH($AF4,$BD$6:$BD$53,0)))</f>
        <v>P.3 (2)</v>
      </c>
      <c r="S4" s="55"/>
      <c r="T4" s="55" t="str">
        <f aca="false">IF(D4="Pendiente","-",INDEX($CS$6:$CS$53,MATCH($AA4,$BD$6:$BD$53,0)))</f>
        <v>P.1 (2)</v>
      </c>
      <c r="U4" s="55" t="str">
        <f aca="false">IF(D4="Pendiente","-",INDEX($CS$6:$CS$53,MATCH($AF4,$BD$6:$BD$53,0)))</f>
        <v>P.3 (2)</v>
      </c>
      <c r="V4" s="46"/>
      <c r="W4" s="73" t="s">
        <v>24</v>
      </c>
      <c r="X4" s="74" t="n">
        <f aca="false">Horarios!C4</f>
        <v>46184.875</v>
      </c>
      <c r="Y4" s="75" t="n">
        <f aca="false">Horarios!C4</f>
        <v>46184.875</v>
      </c>
      <c r="Z4" s="76" t="str">
        <f aca="false">Idiomas!D63</f>
        <v>J1</v>
      </c>
      <c r="AA4" s="77" t="str">
        <f aca="false">+A5</f>
        <v>México</v>
      </c>
      <c r="AB4" s="78" t="str">
        <f aca="true" t="array" ref="AB4:AB4">Ver_flag_local</f>
        <v/>
      </c>
      <c r="AC4" s="79" t="n">
        <v>2</v>
      </c>
      <c r="AD4" s="80" t="n">
        <v>0</v>
      </c>
      <c r="AE4" s="81" t="str">
        <f aca="true" t="array" ref="AE4:AE4">Ver_flag_visit</f>
        <v/>
      </c>
      <c r="AF4" s="82" t="str">
        <f aca="false">A6</f>
        <v>Sudáfrica</v>
      </c>
      <c r="AG4" s="83" t="n">
        <f aca="false">IF(NOT(OR(ISBLANK(AC4),ISBLANK(AD4))),1,0)</f>
        <v>1</v>
      </c>
      <c r="AH4" s="84" t="n">
        <v>1</v>
      </c>
      <c r="AI4" s="85"/>
      <c r="AJ4" s="86" t="str">
        <f aca="false">CONCATENATE(AJ3," ",B4)</f>
        <v>Grupo A</v>
      </c>
      <c r="AK4" s="86"/>
      <c r="AL4" s="86"/>
      <c r="AM4" s="86"/>
      <c r="AN4" s="86"/>
      <c r="AO4" s="86"/>
      <c r="AP4" s="86"/>
      <c r="AQ4" s="86"/>
      <c r="AR4" s="86"/>
      <c r="AS4" s="86"/>
      <c r="AT4" s="86"/>
      <c r="AU4" s="51"/>
      <c r="AV4" s="87" t="str">
        <f aca="false">IF(AU5&gt;0,$AV$3,"")</f>
        <v/>
      </c>
      <c r="AW4" s="88"/>
      <c r="AX4" s="88"/>
      <c r="AY4" s="89"/>
      <c r="AZ4" s="90"/>
      <c r="BA4" s="49"/>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91"/>
      <c r="CZ4" s="55"/>
      <c r="DA4" s="55"/>
      <c r="DB4" s="55"/>
      <c r="DC4" s="55" t="s">
        <v>25</v>
      </c>
      <c r="DD4" s="55"/>
      <c r="DE4" s="55"/>
      <c r="DF4" s="55"/>
      <c r="DG4" s="55"/>
      <c r="DH4" s="55"/>
      <c r="DI4" s="55"/>
      <c r="DJ4" s="55"/>
      <c r="DK4" s="55"/>
      <c r="DL4" s="55"/>
      <c r="DM4" s="55"/>
      <c r="DN4" s="55"/>
      <c r="DO4" s="55"/>
      <c r="DP4" s="55"/>
      <c r="DQ4" s="55"/>
      <c r="DR4" s="55"/>
      <c r="DS4" s="55"/>
      <c r="DT4" s="55" t="str">
        <f aca="false">AA4&amp;"-"&amp;AF4</f>
        <v>México-Sudáfrica</v>
      </c>
      <c r="DU4" s="55"/>
      <c r="DV4" s="55"/>
      <c r="DW4" s="57"/>
    </row>
    <row r="5" customFormat="false" ht="16.5" hidden="false" customHeight="true" outlineLevel="0" collapsed="false">
      <c r="A5" s="92" t="str">
        <f aca="false">+Equipos!B2</f>
        <v>México</v>
      </c>
      <c r="B5" s="72"/>
      <c r="C5" s="72"/>
      <c r="D5" s="55" t="str">
        <f aca="false">IF(OR(AC5="",AD5=""),"Pendiente",IF(AC5&gt;AD5,"Local",IF(AC5&lt;AD5,"Visitante","Empate")))</f>
        <v>Local</v>
      </c>
      <c r="E5" s="55" t="str">
        <f aca="false">IF(D5="Pendiente","-",INDEX($BT$6:$BT$53,MATCH($AA5,$BD$6:$BD$53,0)))</f>
        <v>P.1 (2)</v>
      </c>
      <c r="F5" s="55" t="str">
        <f aca="false">IF(D5="Pendiente","-",INDEX($BT$6:$BT$53,MATCH($AF5,$BD$6:$BD$53,0)))</f>
        <v>P.3 (2)</v>
      </c>
      <c r="G5" s="55"/>
      <c r="H5" s="55" t="str">
        <f aca="false">IF(D5="Pendiente","-",INDEX($BZ$6:$BZ$53,MATCH($AA5,$BD$6:$BD$53,0)))</f>
        <v>P.1 (2)</v>
      </c>
      <c r="I5" s="55" t="str">
        <f aca="false">IF(D5="Pendiente","-",INDEX($BZ$6:$BZ$53,MATCH($AF5,$BD$6:$BD$53,0)))</f>
        <v>P.3 (2)</v>
      </c>
      <c r="J5" s="55"/>
      <c r="K5" s="55" t="str">
        <f aca="false">IF(D5="Pendiente","-",INDEX($CE$6:$CE$53,MATCH($AA5,$BD$6:$BD$53,0)))</f>
        <v>P.1 (2)</v>
      </c>
      <c r="L5" s="55" t="str">
        <f aca="false">IF(D5="Pendiente","-",INDEX($CE$6:$CE$53,MATCH($AF5,$BD$6:$BD$53,0)))</f>
        <v>P.3 (2)</v>
      </c>
      <c r="M5" s="55"/>
      <c r="N5" s="55" t="str">
        <f aca="false">IF(D5="Pendiente","-",INDEX($CH$6:$CH$53,MATCH($AA5,$BD$6:$BD$53,0)))</f>
        <v>P.1 (2)</v>
      </c>
      <c r="O5" s="55" t="str">
        <f aca="false">IF(D5="Pendiente","-",INDEX($CH$6:$CH$53,MATCH($AF5,$BD$6:$BD$53,0)))</f>
        <v>P.3 (2)</v>
      </c>
      <c r="P5" s="55"/>
      <c r="Q5" s="55" t="str">
        <f aca="false">IF(D5="Pendiente","-",INDEX($CN$6:$CN$53,MATCH($AA5,$BD$6:$BD$53,0)))</f>
        <v>P.1 (2)</v>
      </c>
      <c r="R5" s="55" t="str">
        <f aca="false">IF(D5="Pendiente","-",INDEX($CN$6:$CN$53,MATCH($AF5,$BD$6:$BD$53,0)))</f>
        <v>P.3 (2)</v>
      </c>
      <c r="S5" s="55"/>
      <c r="T5" s="55" t="str">
        <f aca="false">IF(D5="Pendiente","-",INDEX($CS$6:$CS$53,MATCH($AA5,$BD$6:$BD$53,0)))</f>
        <v>P.1 (2)</v>
      </c>
      <c r="U5" s="55" t="str">
        <f aca="false">IF(D5="Pendiente","-",INDEX($CS$6:$CS$53,MATCH($AF5,$BD$6:$BD$53,0)))</f>
        <v>P.3 (2)</v>
      </c>
      <c r="V5" s="46"/>
      <c r="W5" s="73"/>
      <c r="X5" s="74" t="n">
        <f aca="false">Horarios!C5</f>
        <v>46185.1666666667</v>
      </c>
      <c r="Y5" s="75" t="n">
        <f aca="false">Horarios!C5</f>
        <v>46185.1666666667</v>
      </c>
      <c r="Z5" s="76" t="str">
        <f aca="false">$Z$4</f>
        <v>J1</v>
      </c>
      <c r="AA5" s="77" t="str">
        <f aca="false">A7</f>
        <v>Corea del Sur</v>
      </c>
      <c r="AB5" s="78" t="str">
        <f aca="true" t="array" ref="AB5:AB5">Ver_flag_local</f>
        <v/>
      </c>
      <c r="AC5" s="79" t="n">
        <v>2</v>
      </c>
      <c r="AD5" s="80" t="n">
        <v>1</v>
      </c>
      <c r="AE5" s="81" t="str">
        <f aca="true" t="array" ref="AE5:AE5">Ver_flag_visit</f>
        <v/>
      </c>
      <c r="AF5" s="82" t="str">
        <f aca="false">A8</f>
        <v>República Checa</v>
      </c>
      <c r="AG5" s="83" t="n">
        <f aca="false">IF(NOT(OR(ISBLANK(AC5),ISBLANK(AD5))),1,0)</f>
        <v>1</v>
      </c>
      <c r="AH5" s="84" t="n">
        <v>2</v>
      </c>
      <c r="AI5" s="85"/>
      <c r="AJ5" s="93" t="str">
        <f aca="false">Idiomas!D53</f>
        <v>Pos</v>
      </c>
      <c r="AK5" s="94"/>
      <c r="AL5" s="95" t="str">
        <f aca="false">Idiomas!D54</f>
        <v>Selección</v>
      </c>
      <c r="AM5" s="94" t="str">
        <f aca="false">Idiomas!D55</f>
        <v>Pts</v>
      </c>
      <c r="AN5" s="94" t="str">
        <f aca="false">Idiomas!D56</f>
        <v>J</v>
      </c>
      <c r="AO5" s="94" t="str">
        <f aca="false">Idiomas!D57</f>
        <v>G</v>
      </c>
      <c r="AP5" s="94" t="str">
        <f aca="false">Idiomas!D58</f>
        <v>E</v>
      </c>
      <c r="AQ5" s="94" t="str">
        <f aca="false">Idiomas!D59</f>
        <v>P</v>
      </c>
      <c r="AR5" s="94" t="str">
        <f aca="false">Idiomas!D60</f>
        <v>GF</v>
      </c>
      <c r="AS5" s="94" t="str">
        <f aca="false">Idiomas!D61</f>
        <v>GC</v>
      </c>
      <c r="AT5" s="96" t="str">
        <f aca="false">Idiomas!D62</f>
        <v>DG</v>
      </c>
      <c r="AU5" s="51" t="n">
        <f aca="false">COUNTIF(AU6:AU9,"&gt;1")</f>
        <v>0</v>
      </c>
      <c r="AV5" s="97"/>
      <c r="AW5" s="88"/>
      <c r="AX5" s="88"/>
      <c r="AY5" s="98" t="str">
        <f aca="false">AL5</f>
        <v>Selección</v>
      </c>
      <c r="AZ5" s="99" t="str">
        <f aca="false">+Idiomas!$D$69</f>
        <v>Puntos penalizados</v>
      </c>
      <c r="BA5" s="49"/>
      <c r="BB5" s="55"/>
      <c r="BC5" s="72" t="str">
        <f aca="false">Idiomas!D22</f>
        <v>Grupo</v>
      </c>
      <c r="BD5" s="72" t="str">
        <f aca="false">Idiomas!D54</f>
        <v>Selección</v>
      </c>
      <c r="BE5" s="72" t="str">
        <f aca="false">+AM5</f>
        <v>Pts</v>
      </c>
      <c r="BF5" s="72" t="str">
        <f aca="false">+AN5</f>
        <v>J</v>
      </c>
      <c r="BG5" s="72" t="str">
        <f aca="false">+AO5</f>
        <v>G</v>
      </c>
      <c r="BH5" s="72" t="str">
        <f aca="false">+AP5</f>
        <v>E</v>
      </c>
      <c r="BI5" s="72" t="str">
        <f aca="false">+AQ5</f>
        <v>P</v>
      </c>
      <c r="BJ5" s="72" t="str">
        <f aca="false">+AR5</f>
        <v>GF</v>
      </c>
      <c r="BK5" s="72" t="str">
        <f aca="false">+AS5</f>
        <v>GC</v>
      </c>
      <c r="BL5" s="72" t="str">
        <f aca="false">+AT5</f>
        <v>DG</v>
      </c>
      <c r="BM5" s="72" t="s">
        <v>26</v>
      </c>
      <c r="BN5" s="72" t="s">
        <v>27</v>
      </c>
      <c r="BO5" s="100" t="s">
        <v>28</v>
      </c>
      <c r="BP5" s="100" t="s">
        <v>29</v>
      </c>
      <c r="BQ5" s="100" t="s">
        <v>30</v>
      </c>
      <c r="BR5" s="100" t="s">
        <v>31</v>
      </c>
      <c r="BS5" s="100" t="s">
        <v>32</v>
      </c>
      <c r="BT5" s="100" t="s">
        <v>33</v>
      </c>
      <c r="BU5" s="72" t="s">
        <v>34</v>
      </c>
      <c r="BV5" s="72" t="s">
        <v>35</v>
      </c>
      <c r="BW5" s="72" t="s">
        <v>36</v>
      </c>
      <c r="BX5" s="72" t="s">
        <v>37</v>
      </c>
      <c r="BY5" s="72" t="s">
        <v>38</v>
      </c>
      <c r="BZ5" s="100" t="s">
        <v>39</v>
      </c>
      <c r="CA5" s="100" t="s">
        <v>40</v>
      </c>
      <c r="CB5" s="100" t="s">
        <v>41</v>
      </c>
      <c r="CC5" s="100" t="s">
        <v>42</v>
      </c>
      <c r="CD5" s="100" t="s">
        <v>43</v>
      </c>
      <c r="CE5" s="100" t="s">
        <v>44</v>
      </c>
      <c r="CF5" s="72" t="s">
        <v>40</v>
      </c>
      <c r="CG5" s="72" t="s">
        <v>45</v>
      </c>
      <c r="CH5" s="100" t="s">
        <v>46</v>
      </c>
      <c r="CI5" s="72" t="s">
        <v>47</v>
      </c>
      <c r="CJ5" s="72" t="s">
        <v>48</v>
      </c>
      <c r="CK5" s="72" t="s">
        <v>49</v>
      </c>
      <c r="CL5" s="72" t="s">
        <v>50</v>
      </c>
      <c r="CM5" s="72" t="s">
        <v>51</v>
      </c>
      <c r="CN5" s="100" t="s">
        <v>52</v>
      </c>
      <c r="CO5" s="100" t="s">
        <v>53</v>
      </c>
      <c r="CP5" s="100" t="s">
        <v>54</v>
      </c>
      <c r="CQ5" s="100" t="s">
        <v>55</v>
      </c>
      <c r="CR5" s="100" t="s">
        <v>56</v>
      </c>
      <c r="CS5" s="100" t="s">
        <v>57</v>
      </c>
      <c r="CT5" s="72" t="s">
        <v>53</v>
      </c>
      <c r="CU5" s="72" t="s">
        <v>58</v>
      </c>
      <c r="CV5" s="100" t="s">
        <v>59</v>
      </c>
      <c r="CW5" s="100" t="s">
        <v>60</v>
      </c>
      <c r="CX5" s="100" t="s">
        <v>61</v>
      </c>
      <c r="CY5" s="100" t="s">
        <v>62</v>
      </c>
      <c r="CZ5" s="100" t="s">
        <v>63</v>
      </c>
      <c r="DA5" s="100" t="s">
        <v>64</v>
      </c>
      <c r="DB5" s="100" t="s">
        <v>65</v>
      </c>
      <c r="DC5" s="101" t="s">
        <v>66</v>
      </c>
      <c r="DD5" s="101" t="s">
        <v>67</v>
      </c>
      <c r="DE5" s="102"/>
      <c r="DF5" s="101" t="s">
        <v>68</v>
      </c>
      <c r="DG5" s="101" t="s">
        <v>69</v>
      </c>
      <c r="DH5" s="101" t="s">
        <v>70</v>
      </c>
      <c r="DI5" s="55"/>
      <c r="DJ5" s="103" t="s">
        <v>71</v>
      </c>
      <c r="DK5" s="103" t="s">
        <v>72</v>
      </c>
      <c r="DL5" s="103" t="s">
        <v>73</v>
      </c>
      <c r="DM5" s="103" t="s">
        <v>74</v>
      </c>
      <c r="DN5" s="103" t="s">
        <v>75</v>
      </c>
      <c r="DO5" s="103"/>
      <c r="DP5" s="103" t="s">
        <v>76</v>
      </c>
      <c r="DQ5" s="103" t="s">
        <v>77</v>
      </c>
      <c r="DR5" s="55"/>
      <c r="DS5" s="55"/>
      <c r="DT5" s="55" t="str">
        <f aca="false">AA5&amp;"-"&amp;AF5</f>
        <v>Corea del Sur-República Checa</v>
      </c>
      <c r="DU5" s="55"/>
      <c r="DV5" s="55"/>
      <c r="DW5" s="57"/>
    </row>
    <row r="6" customFormat="false" ht="16.5" hidden="false" customHeight="true" outlineLevel="0" collapsed="false">
      <c r="A6" s="92" t="str">
        <f aca="false">+Equipos!B3</f>
        <v>Sudáfrica</v>
      </c>
      <c r="B6" s="72"/>
      <c r="C6" s="103"/>
      <c r="D6" s="55" t="str">
        <f aca="false">IF(OR(AC6="",AD6=""),"Pendiente",IF(AC6&gt;AD6,"Local",IF(AC6&lt;AD6,"Visitante","Empate")))</f>
        <v>Pendiente</v>
      </c>
      <c r="E6" s="55" t="str">
        <f aca="false">IF(D6="Pendiente","-",INDEX($BT$6:$BT$53,MATCH($AA6,$BD$6:$BD$53,0)))</f>
        <v>-</v>
      </c>
      <c r="F6" s="55" t="str">
        <f aca="false">IF(D6="Pendiente","-",INDEX($BT$6:$BT$53,MATCH($AF6,$BD$6:$BD$53,0)))</f>
        <v>-</v>
      </c>
      <c r="G6" s="55"/>
      <c r="H6" s="55" t="str">
        <f aca="false">IF(D6="Pendiente","-",INDEX($BZ$6:$BZ$53,MATCH($AA6,$BD$6:$BD$53,0)))</f>
        <v>-</v>
      </c>
      <c r="I6" s="55" t="str">
        <f aca="false">IF(D6="Pendiente","-",INDEX($BZ$6:$BZ$53,MATCH($AF6,$BD$6:$BD$53,0)))</f>
        <v>-</v>
      </c>
      <c r="J6" s="55"/>
      <c r="K6" s="55" t="str">
        <f aca="false">IF(D6="Pendiente","-",INDEX($CE$6:$CE$53,MATCH($AA6,$BD$6:$BD$53,0)))</f>
        <v>-</v>
      </c>
      <c r="L6" s="55" t="str">
        <f aca="false">IF(D6="Pendiente","-",INDEX($CE$6:$CE$53,MATCH($AF6,$BD$6:$BD$53,0)))</f>
        <v>-</v>
      </c>
      <c r="M6" s="55"/>
      <c r="N6" s="55" t="str">
        <f aca="false">IF(D6="Pendiente","-",INDEX($CH$6:$CH$53,MATCH($AA6,$BD$6:$BD$53,0)))</f>
        <v>-</v>
      </c>
      <c r="O6" s="55" t="str">
        <f aca="false">IF(D6="Pendiente","-",INDEX($CH$6:$CH$53,MATCH($AF6,$BD$6:$BD$53,0)))</f>
        <v>-</v>
      </c>
      <c r="P6" s="55"/>
      <c r="Q6" s="55" t="str">
        <f aca="false">IF(D6="Pendiente","-",INDEX($CN$6:$CN$53,MATCH($AA6,$BD$6:$BD$53,0)))</f>
        <v>-</v>
      </c>
      <c r="R6" s="55" t="str">
        <f aca="false">IF(D6="Pendiente","-",INDEX($CN$6:$CN$53,MATCH($AF6,$BD$6:$BD$53,0)))</f>
        <v>-</v>
      </c>
      <c r="S6" s="55"/>
      <c r="T6" s="55" t="str">
        <f aca="false">IF(D6="Pendiente","-",INDEX($CS$6:$CS$53,MATCH($AA6,$BD$6:$BD$53,0)))</f>
        <v>-</v>
      </c>
      <c r="U6" s="55" t="str">
        <f aca="false">IF(D6="Pendiente","-",INDEX($CS$6:$CS$53,MATCH($AF6,$BD$6:$BD$53,0)))</f>
        <v>-</v>
      </c>
      <c r="V6" s="46"/>
      <c r="W6" s="73"/>
      <c r="X6" s="74" t="n">
        <f aca="false">Horarios!C6</f>
        <v>46191.75</v>
      </c>
      <c r="Y6" s="75" t="n">
        <f aca="false">Horarios!C6</f>
        <v>46191.75</v>
      </c>
      <c r="Z6" s="76" t="str">
        <f aca="false">Idiomas!D64</f>
        <v>J2</v>
      </c>
      <c r="AA6" s="77" t="str">
        <f aca="false">A8</f>
        <v>República Checa</v>
      </c>
      <c r="AB6" s="78" t="str">
        <f aca="true" t="array" ref="AB6:AB6">Ver_flag_local</f>
        <v/>
      </c>
      <c r="AC6" s="79"/>
      <c r="AD6" s="80"/>
      <c r="AE6" s="81" t="str">
        <f aca="true" t="array" ref="AE6:AE6">Ver_flag_visit</f>
        <v/>
      </c>
      <c r="AF6" s="82" t="str">
        <f aca="false">A6</f>
        <v>Sudáfrica</v>
      </c>
      <c r="AG6" s="83" t="n">
        <f aca="false">IF(NOT(OR(ISBLANK(AC6),ISBLANK(AD6))),1,0)</f>
        <v>0</v>
      </c>
      <c r="AH6" s="84" t="n">
        <v>25</v>
      </c>
      <c r="AI6" s="85" t="str">
        <f aca="false">AJ6&amp;$B$4</f>
        <v>1A</v>
      </c>
      <c r="AJ6" s="104" t="n">
        <v>1</v>
      </c>
      <c r="AK6" s="105" t="str">
        <f aca="true" t="array" ref="AK6:AK6">Ver_flag_visit</f>
        <v/>
      </c>
      <c r="AL6" s="106" t="str">
        <f aca="false">IFERROR(INDEX($BD$6:$BD$53,MATCH(AI6,$BN$6:$BN$53,0)),"")</f>
        <v>México</v>
      </c>
      <c r="AM6" s="107" t="n">
        <f aca="false">INDEX($BE$6:$BN$53,MATCH($AL6,$BD$6:$BD$53,0),MATCH(AM$5,$BE$5:$BN$5,0))</f>
        <v>3</v>
      </c>
      <c r="AN6" s="108" t="n">
        <f aca="false">INDEX($BE$6:$BN$53,MATCH($AL6,$BD$6:$BD$53,0),MATCH(AN$5,$BE$5:$BN$5,0))</f>
        <v>1</v>
      </c>
      <c r="AO6" s="108" t="n">
        <f aca="false">INDEX($BE$6:$BN$53,MATCH($AL6,$BD$6:$BD$53,0),MATCH(AO$5,$BE$5:$BN$5,0))</f>
        <v>1</v>
      </c>
      <c r="AP6" s="108" t="n">
        <f aca="false">INDEX($BE$6:$BN$53,MATCH($AL6,$BD$6:$BD$53,0),MATCH(AP$5,$BE$5:$BN$5,0))</f>
        <v>0</v>
      </c>
      <c r="AQ6" s="108" t="n">
        <f aca="false">INDEX($BE$6:$BN$53,MATCH($AL6,$BD$6:$BD$53,0),MATCH(AQ$5,$BE$5:$BN$5,0))</f>
        <v>0</v>
      </c>
      <c r="AR6" s="108" t="n">
        <f aca="false">INDEX($BE$6:$BN$53,MATCH($AL6,$BD$6:$BD$53,0),MATCH(AR$5,$BE$5:$BN$5,0))</f>
        <v>2</v>
      </c>
      <c r="AS6" s="108" t="n">
        <f aca="false">INDEX($BE$6:$BN$53,MATCH($AL6,$BD$6:$BD$53,0),MATCH(AS$5,$BE$5:$BN$5,0))</f>
        <v>0</v>
      </c>
      <c r="AT6" s="109" t="n">
        <f aca="false">INDEX($BE$6:$BN$53,MATCH($AL6,$BD$6:$BD$53,0),MATCH(AT$5,$BE$5:$BN$5,0))</f>
        <v>2</v>
      </c>
      <c r="AU6" s="110" t="n">
        <f aca="false">INDEX($DL$6:$DL$53,MATCH(AI6,$DP$6:$DP$53,0))</f>
        <v>1</v>
      </c>
      <c r="AV6" s="111" t="str">
        <f aca="false">INDEX($BD$6:$BD$53,MATCH(AI6,$BM$6:$BM$53,0))</f>
        <v>México</v>
      </c>
      <c r="AW6" s="112" t="n">
        <v>1</v>
      </c>
      <c r="AX6" s="113"/>
      <c r="AY6" s="114" t="str">
        <f aca="false">+A5</f>
        <v>México</v>
      </c>
      <c r="AZ6" s="115"/>
      <c r="BA6" s="49"/>
      <c r="BB6" s="55"/>
      <c r="BC6" s="116" t="str">
        <f aca="false">+INDEX(T_Equipos[Grupo],MATCH(WORLDCUP!BD6,T_Equipos[NombreEquipo],0))</f>
        <v>A</v>
      </c>
      <c r="BD6" s="55" t="str">
        <f aca="false">+Equipos!B2</f>
        <v>México</v>
      </c>
      <c r="BE6" s="117" t="n">
        <f aca="false">+BG6*3+BH6+IF($AZ$3="no",0,INDEX($AZ$6:$AZ$97,MATCH(BD6,$AY$6:$AY$97,0)))</f>
        <v>3</v>
      </c>
      <c r="BF6" s="117" t="n">
        <f aca="false">+BG6+BH6+BI6</f>
        <v>1</v>
      </c>
      <c r="BG6" s="117" t="n">
        <f aca="false">+COUNTIFS(FGLocal,BD6,Ganador,"Local")+COUNTIFS(FGVisitante,BD6,Ganador,"Visitante")</f>
        <v>1</v>
      </c>
      <c r="BH6" s="117" t="n">
        <f aca="false">+COUNTIFS(FGLocal,BD6,Ganador,"Empate")+COUNTIFS(FGVisitante,BD6,Ganador,"Empate")</f>
        <v>0</v>
      </c>
      <c r="BI6" s="117" t="n">
        <f aca="false">+COUNTIFS(FGVisitante,BD6,Ganador,"Local")+COUNTIFS(FGLocal,BD6,Ganador,"Visitante")</f>
        <v>0</v>
      </c>
      <c r="BJ6" s="117" t="n">
        <f aca="false">+SUMIFS(FG_GolesLocal,FGLocal,BD6,Ganador,"&lt;&gt;"&amp;"Pendiente",FG_GolesLocal,"&lt;&gt;"&amp;"",FG_GolesVisitante,"&lt;&gt;"&amp;"")+SUMIFS(FG_GolesVisitante,FGVisitante,BD6,Ganador,"&lt;&gt;"&amp;"Pendiente",FG_GolesLocal,"&lt;&gt;"&amp;"",FG_GolesVisitante,"&lt;&gt;"&amp;"")</f>
        <v>2</v>
      </c>
      <c r="BK6" s="117" t="n">
        <f aca="false">+SUMIFS(FG_GolesLocal,FGVisitante,BD6,Ganador,"&lt;&gt;"&amp;"Pendiente",FG_GolesLocal,"&lt;&gt;"&amp;"",FG_GolesVisitante,"&lt;&gt;"&amp;"")+SUMIFS(FG_GolesVisitante,FGLocal,BD6,Ganador,"&lt;&gt;"&amp;"Pendiente",FG_GolesLocal,"&lt;&gt;"&amp;"",FG_GolesVisitante,"&lt;&gt;"&amp;"")</f>
        <v>0</v>
      </c>
      <c r="BL6" s="117" t="n">
        <f aca="false">+BJ6-BK6</f>
        <v>2</v>
      </c>
      <c r="BM6" s="117" t="str">
        <f aca="false">DD6&amp;BC6</f>
        <v>1A</v>
      </c>
      <c r="BN6" s="117" t="str">
        <f aca="false">DH6&amp;BC6</f>
        <v>1A</v>
      </c>
      <c r="BO6" s="118" t="n">
        <f aca="false">IF(AND($AJ$99=144,BF6&gt;=1),1,0)</f>
        <v>0</v>
      </c>
      <c r="BP6" s="118" t="n">
        <f aca="false">COUNTIFS($BO$6:$BO$53,"&gt;"&amp;BO6,$BC$6:$BC$53,INDEX(T_Equipos[Grupo],MATCH(BD6,T_Equipos[NombreEquipo],0)))+1</f>
        <v>1</v>
      </c>
      <c r="BQ6" s="118" t="str">
        <f aca="false">IF(COUNTIFS($BP$6:$BP$53,BP6,$BC$6:$BC$53,INDEX(T_Equipos[Grupo],MATCH(BD6,T_Equipos[NombreEquipo],0)))=1,"-","P."&amp;BP6&amp;" ("&amp;COUNTIFS($BP$6:$BP$53,BP6,$BC$6:$BC$53,INDEX(T_Equipos[Grupo],MATCH(BD6,T_Equipos[NombreEquipo],0)))&amp;")")</f>
        <v>P.1 (4)</v>
      </c>
      <c r="BR6" s="118" t="n">
        <f aca="false">IF($BQ6="-","-",BE6)</f>
        <v>3</v>
      </c>
      <c r="BS6" s="118" t="n">
        <f aca="false">BP6+COUNTIFS($BQ$6:$BQ$53,BQ6,$BR$6:BR$53,"&gt;"&amp;BR6,$BC$6:$BC$53,INDEX(T_Equipos[Grupo],MATCH(BD6,T_Equipos[NombreEquipo],0)))</f>
        <v>1</v>
      </c>
      <c r="BT6" s="118" t="str">
        <f aca="false">IF(COUNTIFS($BS$6:$BS$53,BS6,$BC$6:$BC$53,INDEX(T_Equipos[Grupo],MATCH(BD6,T_Equipos[NombreEquipo],0)))=1,"-","P."&amp;BS6&amp;" ("&amp;COUNTIFS($BS$6:$BS$53,BS6,$BC$6:$BC$53,INDEX(T_Equipos[Grupo],MATCH(BD6,T_Equipos[NombreEquipo],0)))&amp;")")</f>
        <v>P.1 (2)</v>
      </c>
      <c r="BU6" s="119" t="n">
        <f aca="false">IF($BT6="-","-",COUNTIFS(FGLocal,$BD6,Ganador,"Local",Part1Empate1V,$BT6)+COUNTIFS(FGVisitante,$BD6,Ganador,"Visitante",Part1Empate1L,$BT6))</f>
        <v>0</v>
      </c>
      <c r="BV6" s="119" t="n">
        <f aca="false">IF($BT6="-","-",COUNTIFS(FGLocal,$BD6,Ganador,"Empate",Part1Empate1V,$BT6)+COUNTIFS(FGVisitante,$BD6,Ganador,"Empate",Part1Empate1L,$BT6))</f>
        <v>0</v>
      </c>
      <c r="BW6" s="119" t="n">
        <f aca="false">IF($BT6="-","-",COUNTIFS(FGLocal,$BD6,Ganador,"Visitante",Part1Empate1V,$BT6)+COUNTIFS(FGVisitante,$BD6,Ganador,"Local",Part1Empate1L,$BT6))</f>
        <v>0</v>
      </c>
      <c r="BX6" s="119" t="n">
        <f aca="false">IF($BT6="-","-",BU6*3+BV6)</f>
        <v>0</v>
      </c>
      <c r="BY6" s="119" t="n">
        <f aca="false">BS6+COUNTIFS($BT$6:$BT$53,BT6,$BX$6:BX$53,"&gt;"&amp;BX6,$BC$6:$BC$53,INDEX(T_Equipos[Grupo],MATCH(BD6,T_Equipos[NombreEquipo],0)))</f>
        <v>1</v>
      </c>
      <c r="BZ6" s="118" t="str">
        <f aca="false">IF(COUNTIFS($BY$6:$BY$53,BY6,$BC$6:$BC$53,INDEX(T_Equipos[Grupo],MATCH(BD6,T_Equipos[NombreEquipo],0)))=1,"-","P."&amp;BY6&amp;" ("&amp;COUNTIFS($BY$6:$BY$53,BY6,$BC$6:$BC$53,INDEX(T_Equipos[Grupo],MATCH(BD6,T_Equipos[NombreEquipo],0)))&amp;")")</f>
        <v>P.1 (2)</v>
      </c>
      <c r="CA6" s="119" t="n">
        <f aca="false">IF($BZ6="-","-",SUMIFS(FG_GolesLocal,FGLocal,$BD6,Part1Empate2V,$BZ6)+SUMIFS(FG_GolesVisitante,FGVisitante,$BD6,Part1Empate2L,$BZ6))</f>
        <v>0</v>
      </c>
      <c r="CB6" s="119" t="n">
        <f aca="false">IF($BZ6="-","-",SUMIFS(FG_GolesVisitante,FGLocal,$BD6,Part1Empate2V,$BZ6)+SUMIFS(FG_GolesLocal,FGVisitante,$BD6,Part1Empate2L,$BZ6))</f>
        <v>0</v>
      </c>
      <c r="CC6" s="119" t="n">
        <f aca="false">IF($BZ6="-","-",CA6-CB6)</f>
        <v>0</v>
      </c>
      <c r="CD6" s="119" t="n">
        <f aca="false">BY6+COUNTIFS($BZ$6:$BZ$53,BZ6,$CC$6:CC$53,"&gt;"&amp;CC6,$BC$6:$BC$53,INDEX(T_Equipos[Grupo],MATCH(BD6,T_Equipos[NombreEquipo],0)))</f>
        <v>1</v>
      </c>
      <c r="CE6" s="118" t="str">
        <f aca="false">IF(COUNTIFS($CD$6:$CD$53,CD6,$BC$6:$BC$53,INDEX(T_Equipos[Grupo],MATCH(BD6,T_Equipos[NombreEquipo],0)))=1,"-","P."&amp;CD6&amp;" ("&amp;COUNTIFS($CD$6:$CD$53,CD6,$BC$6:$BC$53,INDEX(T_Equipos[Grupo],MATCH(BD6,T_Equipos[NombreEquipo],0)))&amp;")")</f>
        <v>P.1 (2)</v>
      </c>
      <c r="CF6" s="119" t="n">
        <f aca="false">IF($CE6="-","-",SUMIFS(FG_GolesLocal,FGLocal,$BD6,Part1Empate3V,$CE6)+SUMIFS(FG_GolesVisitante,FGVisitante,$BD6,Part1Empate3L,$CE6))</f>
        <v>0</v>
      </c>
      <c r="CG6" s="119" t="n">
        <f aca="false">CD6+COUNTIFS($CE$6:$CE$53,CE6,$CF$6:CF$53,"&gt;"&amp;CF6,$BC$6:$BC$53,INDEX(T_Equipos[Grupo],MATCH(BD6,T_Equipos[NombreEquipo],0)))</f>
        <v>1</v>
      </c>
      <c r="CH6" s="118" t="str">
        <f aca="false">IF(COUNTIFS($CG$6:$CG$53,CG6,$BC$6:$BC$53,INDEX(T_Equipos[Grupo],MATCH(BD6,T_Equipos[NombreEquipo],0)))=1,"-","P."&amp;CG6&amp;" ("&amp;COUNTIFS($CG$6:$CG$53,CG6,$BC$6:$BC$53,INDEX(T_Equipos[Grupo],MATCH(BD6,T_Equipos[NombreEquipo],0)))&amp;")")</f>
        <v>P.1 (2)</v>
      </c>
      <c r="CI6" s="119" t="n">
        <f aca="false">IF($CH6="-","-",COUNTIFS(FGLocal,$BD6,Ganador,"Local",Part2Empate4V,$CH6)+COUNTIFS(FGVisitante,$BD6,Ganador,"Visitante",Part2Empate4L,$CH6))</f>
        <v>0</v>
      </c>
      <c r="CJ6" s="119" t="n">
        <f aca="false">IF($CH6="-","-",COUNTIFS(FGLocal,$BD6,Ganador,"Empate",Part2Empate4V,$CH6)+COUNTIFS(FGVisitante,$BD6,Ganador,"Empate",Part2Empate4L,$CH6))</f>
        <v>0</v>
      </c>
      <c r="CK6" s="119" t="n">
        <f aca="false">IF($CH6="-","-",COUNTIFS(FGLocal,$BD6,Ganador,"Visitante",Part2Empate4V,$CH6)+COUNTIFS(FGVisitante,$BD6,Ganador,"Local",Part2Empate4L,$CH6))</f>
        <v>0</v>
      </c>
      <c r="CL6" s="119" t="n">
        <f aca="false">IF($CH6="-","-",CI6*3+CJ6)</f>
        <v>0</v>
      </c>
      <c r="CM6" s="119" t="n">
        <f aca="false">CG6+COUNTIFS($CH$6:$CH$53,CH6,$CL$6:CL$53,"&gt;"&amp;CL6,$BC$6:$BC$53,INDEX(T_Equipos[Grupo],MATCH(BD6,T_Equipos[NombreEquipo],0)))</f>
        <v>1</v>
      </c>
      <c r="CN6" s="118" t="str">
        <f aca="false">IF(COUNTIFS($CM$6:$CM$53,CM6,$BC$6:$BC$53,INDEX(T_Equipos[Grupo],MATCH(BD6,T_Equipos[NombreEquipo],0)))=1,"-","P."&amp;CM6&amp;" ("&amp;COUNTIFS($CM$6:$CM$53,CM6,$BC$6:$BC$53,INDEX(T_Equipos[Grupo],MATCH(BD6,T_Equipos[NombreEquipo],0)))&amp;")")</f>
        <v>P.1 (2)</v>
      </c>
      <c r="CO6" s="119" t="n">
        <f aca="false">IF($CN6="-","-",SUMIFS(FG_GolesLocal,FGLocal,$BD6,Part2Empate5V,$CN6)+SUMIFS(FG_GolesVisitante,FGVisitante,$BD6,Part2Empate5L,$CN6))</f>
        <v>0</v>
      </c>
      <c r="CP6" s="119" t="n">
        <f aca="false">IF($CN6="-","-",SUMIFS(FG_GolesVisitante,FGLocal,$BD6,Part2Empate5V,$CN6)+SUMIFS(FG_GolesLocal,FGVisitante,$BD6,Part2Empate5L,$CN6))</f>
        <v>0</v>
      </c>
      <c r="CQ6" s="119" t="n">
        <f aca="false">IF($CN6="-","-",CO6-CP6)</f>
        <v>0</v>
      </c>
      <c r="CR6" s="119" t="n">
        <f aca="false">CM6+COUNTIFS($CN$6:$CN$53,CN6,$CQ$6:CQ$53,"&gt;"&amp;CQ6,$BC$6:$BC$53,INDEX(T_Equipos[Grupo],MATCH(BD6,T_Equipos[NombreEquipo],0)))</f>
        <v>1</v>
      </c>
      <c r="CS6" s="118" t="str">
        <f aca="false">IF(COUNTIFS($CR$6:$CR$53,CR6,$BC$6:$BC$53,INDEX(T_Equipos[Grupo],MATCH(BD6,T_Equipos[NombreEquipo],0)))=1,"-","P."&amp;CR6&amp;" ("&amp;COUNTIFS($CR$6:$CR$53,CR6,$BC$6:$BC$53,INDEX(T_Equipos[Grupo],MATCH(BD6,T_Equipos[NombreEquipo],0)))&amp;")")</f>
        <v>P.1 (2)</v>
      </c>
      <c r="CT6" s="119" t="n">
        <f aca="false">IF($CS6="-","-",SUMIFS(FG_GolesLocal,FGLocal,$BD6,Part2Empate6V,$CS6)+SUMIFS(FG_GolesVisitante,FGVisitante,$BD6,Part2Empate6L,$CS6))</f>
        <v>0</v>
      </c>
      <c r="CU6" s="119" t="n">
        <f aca="false">CR6+COUNTIFS($CS$6:$CS$53,CS6,$CT$6:CT$53,"&gt;"&amp;CT6,$BC$6:$BC$53,INDEX(T_Equipos[Grupo],MATCH(BD6,T_Equipos[NombreEquipo],0)))</f>
        <v>1</v>
      </c>
      <c r="CV6" s="118" t="str">
        <f aca="false">IF(COUNTIFS($CU$6:$CU$53,CU6,$BC$6:$BC$53,INDEX(T_Equipos[Grupo],MATCH(BD6,T_Equipos[NombreEquipo],0)))=1,"-","P."&amp;CU6&amp;" ("&amp;COUNTIFS($CU$6:$CU$53,CU6,$BC$6:$BC$53,INDEX(T_Equipos[Grupo],MATCH(BD6,T_Equipos[NombreEquipo],0)))&amp;")")</f>
        <v>P.1 (2)</v>
      </c>
      <c r="CW6" s="118" t="n">
        <f aca="false">IF(CV6="-","-",BL6)</f>
        <v>2</v>
      </c>
      <c r="CX6" s="118" t="n">
        <f aca="false">CU6+COUNTIFS($CV$6:$CV$53,CV6,$CW$6:CW$53,"&gt;"&amp;CW6,$BC$6:$BC$53,INDEX(T_Equipos[Grupo],MATCH(BD6,T_Equipos[NombreEquipo],0)))</f>
        <v>1</v>
      </c>
      <c r="CY6" s="118" t="str">
        <f aca="false">IF(COUNTIFS($CX$6:$CX$53,CX6,$BC$6:$BC$53,INDEX(T_Equipos[Grupo],MATCH(BD6,T_Equipos[NombreEquipo],0)))=1,"-","P."&amp;CX6&amp;" ("&amp;COUNTIFS($CX$6:$CX$53,CX6,$BC$6:$BC$53,INDEX(T_Equipos[Grupo],MATCH(BD6,T_Equipos[NombreEquipo],0)))&amp;")")</f>
        <v>-</v>
      </c>
      <c r="CZ6" s="118" t="str">
        <f aca="false">IF(CY6="-","-",BJ6)</f>
        <v>-</v>
      </c>
      <c r="DA6" s="119" t="n">
        <f aca="false">CX6+COUNTIFS($CY$6:$CY$53,CY6,$CZ$6:CZ$53,"&gt;"&amp;CZ6,$BC$6:$BC$53,INDEX(T_Equipos[Grupo],MATCH(BD6,T_Equipos[NombreEquipo],0)))</f>
        <v>1</v>
      </c>
      <c r="DB6" s="118" t="str">
        <f aca="false">IF(COUNTIFS($DA$6:$DA$53,DA6,$BC$6:$BC$53,INDEX(T_Equipos[Grupo],MATCH(BD6,T_Equipos[NombreEquipo],0)))=1,"-","P."&amp;DA6&amp;" ("&amp;COUNTIFS($DA$6:$DA$53,DA6,$BC$6:$BC$53,INDEX(T_Equipos[Grupo],MATCH(BD6,T_Equipos[NombreEquipo],0)))&amp;")")</f>
        <v>-</v>
      </c>
      <c r="DC6" s="116" t="str">
        <f aca="false">IF(DB6="-","-",COUNTIFS(T_Equipos[Rank],"&lt;"&amp;INDEX(T_Equipos[Rank],MATCH(BD6,T_Equipos[NombreEquipo],0)),$BC$6:$BC$53,INDEX(T_Equipos[Grupo],MATCH(BD6,T_Equipos[NombreEquipo],0)))+1)</f>
        <v>-</v>
      </c>
      <c r="DD6" s="116" t="n">
        <f aca="false">DA6+COUNTIFS($DB$6:$DB$53,DB6,$DC$6:DC$53,"&lt;"&amp;DC6,$BC$6:$BC$53,INDEX(T_Equipos[Grupo],MATCH(BD6,T_Equipos[NombreEquipo],0)))</f>
        <v>1</v>
      </c>
      <c r="DE6" s="116"/>
      <c r="DF6" s="116" t="n">
        <f aca="false">IF(OR(INDEX($AW$6:$AW$97,MATCH($BD6,$AV$6:$AV$97,0))="",DB6="-"),DD6,INDEX($AW$6:$AW$97,MATCH($BD6,$AV$6:$AV$97,0))+DD6/1000)</f>
        <v>1</v>
      </c>
      <c r="DG6" s="116" t="str">
        <f aca="false">IF(DB6="-","-",COUNTIFS(DF$6:DF$53,"&lt;"&amp;DF6,$BC$6:$BC$53,INDEX(T_Equipos[Grupo],MATCH(BD6,T_Equipos[NombreEquipo],0))))</f>
        <v>-</v>
      </c>
      <c r="DH6" s="116" t="n">
        <f aca="false">DA6+COUNTIFS(DB$6:DB$53,DB6,DG$6:DG$53,"&lt;"&amp;DG6,$BC$6:$BC$53,INDEX(T_Equipos[Grupo],MATCH(BD6,T_Equipos[NombreEquipo],0)))</f>
        <v>1</v>
      </c>
      <c r="DI6" s="55"/>
      <c r="DJ6" s="55" t="n">
        <f aca="false">INDEX($DA$6:$DA$53,MATCH($DQ6,$BD$6:$BD$53,0))</f>
        <v>1</v>
      </c>
      <c r="DK6" s="55" t="n">
        <f aca="false">+SUMIF($BC$6:$BC$53,BC6,$BF$6:$BF$53)</f>
        <v>4</v>
      </c>
      <c r="DL6" s="55" t="n">
        <f aca="false">IF(OR(DK6=12,$AJ$99=144),COUNTIFS($DJ$6:$DJ$53,DJ6,$BC$6:$BC$53,BC6),1)</f>
        <v>1</v>
      </c>
      <c r="DM6" s="120" t="str">
        <f aca="false">DJ6&amp;"."&amp;DL6</f>
        <v>1.1</v>
      </c>
      <c r="DN6" s="55" t="n">
        <f aca="true" t="array" ref="DN6:DN6">OFFSET(Horarios!$P$3,DJ6-1,0,DL6,1)</f>
        <v>1</v>
      </c>
      <c r="DO6" s="55"/>
      <c r="DP6" s="55" t="s">
        <v>78</v>
      </c>
      <c r="DQ6" s="55" t="str">
        <f aca="false">INDEX($BD$6:$BD$53,MATCH(DP6,$BM$6:$BM$53,0))</f>
        <v>México</v>
      </c>
      <c r="DR6" s="55"/>
      <c r="DS6" s="55"/>
      <c r="DT6" s="55" t="str">
        <f aca="false">AA6&amp;"-"&amp;AF6</f>
        <v>República Checa-Sudáfrica</v>
      </c>
      <c r="DU6" s="55"/>
      <c r="DV6" s="55"/>
      <c r="DW6" s="57"/>
    </row>
    <row r="7" customFormat="false" ht="16.5" hidden="false" customHeight="true" outlineLevel="0" collapsed="false">
      <c r="A7" s="92" t="str">
        <f aca="false">+Equipos!B4</f>
        <v>Corea del Sur</v>
      </c>
      <c r="B7" s="72"/>
      <c r="C7" s="55"/>
      <c r="D7" s="55" t="str">
        <f aca="false">IF(OR(AC7="",AD7=""),"Pendiente",IF(AC7&gt;AD7,"Local",IF(AC7&lt;AD7,"Visitante","Empate")))</f>
        <v>Pendiente</v>
      </c>
      <c r="E7" s="55" t="str">
        <f aca="false">IF(D7="Pendiente","-",INDEX($BT$6:$BT$53,MATCH($AA7,$BD$6:$BD$53,0)))</f>
        <v>-</v>
      </c>
      <c r="F7" s="55" t="str">
        <f aca="false">IF(D7="Pendiente","-",INDEX($BT$6:$BT$53,MATCH($AF7,$BD$6:$BD$53,0)))</f>
        <v>-</v>
      </c>
      <c r="G7" s="55"/>
      <c r="H7" s="55" t="str">
        <f aca="false">IF(D7="Pendiente","-",INDEX($BZ$6:$BZ$53,MATCH($AA7,$BD$6:$BD$53,0)))</f>
        <v>-</v>
      </c>
      <c r="I7" s="55" t="str">
        <f aca="false">IF(D7="Pendiente","-",INDEX($BZ$6:$BZ$53,MATCH($AF7,$BD$6:$BD$53,0)))</f>
        <v>-</v>
      </c>
      <c r="J7" s="55"/>
      <c r="K7" s="55" t="str">
        <f aca="false">IF(D7="Pendiente","-",INDEX($CE$6:$CE$53,MATCH($AA7,$BD$6:$BD$53,0)))</f>
        <v>-</v>
      </c>
      <c r="L7" s="55" t="str">
        <f aca="false">IF(D7="Pendiente","-",INDEX($CE$6:$CE$53,MATCH($AF7,$BD$6:$BD$53,0)))</f>
        <v>-</v>
      </c>
      <c r="M7" s="55"/>
      <c r="N7" s="55" t="str">
        <f aca="false">IF(D7="Pendiente","-",INDEX($CH$6:$CH$53,MATCH($AA7,$BD$6:$BD$53,0)))</f>
        <v>-</v>
      </c>
      <c r="O7" s="55" t="str">
        <f aca="false">IF(D7="Pendiente","-",INDEX($CH$6:$CH$53,MATCH($AF7,$BD$6:$BD$53,0)))</f>
        <v>-</v>
      </c>
      <c r="P7" s="55"/>
      <c r="Q7" s="55" t="str">
        <f aca="false">IF(D7="Pendiente","-",INDEX($CN$6:$CN$53,MATCH($AA7,$BD$6:$BD$53,0)))</f>
        <v>-</v>
      </c>
      <c r="R7" s="55" t="str">
        <f aca="false">IF(D7="Pendiente","-",INDEX($CN$6:$CN$53,MATCH($AF7,$BD$6:$BD$53,0)))</f>
        <v>-</v>
      </c>
      <c r="S7" s="55"/>
      <c r="T7" s="55" t="str">
        <f aca="false">IF(D7="Pendiente","-",INDEX($CS$6:$CS$53,MATCH($AA7,$BD$6:$BD$53,0)))</f>
        <v>-</v>
      </c>
      <c r="U7" s="55" t="str">
        <f aca="false">IF(D7="Pendiente","-",INDEX($CS$6:$CS$53,MATCH($AF7,$BD$6:$BD$53,0)))</f>
        <v>-</v>
      </c>
      <c r="V7" s="46"/>
      <c r="W7" s="73"/>
      <c r="X7" s="74" t="n">
        <f aca="false">Horarios!C7</f>
        <v>46192.125</v>
      </c>
      <c r="Y7" s="75" t="n">
        <f aca="false">Horarios!C7</f>
        <v>46192.125</v>
      </c>
      <c r="Z7" s="76" t="str">
        <f aca="false">$Z$6</f>
        <v>J2</v>
      </c>
      <c r="AA7" s="77" t="str">
        <f aca="false">A5</f>
        <v>México</v>
      </c>
      <c r="AB7" s="78" t="str">
        <f aca="true" t="array" ref="AB7:AB7">Ver_flag_local</f>
        <v/>
      </c>
      <c r="AC7" s="79"/>
      <c r="AD7" s="80"/>
      <c r="AE7" s="81" t="str">
        <f aca="true" t="array" ref="AE7:AE7">Ver_flag_visit</f>
        <v/>
      </c>
      <c r="AF7" s="82" t="str">
        <f aca="false">A7</f>
        <v>Corea del Sur</v>
      </c>
      <c r="AG7" s="83" t="n">
        <f aca="false">IF(NOT(OR(ISBLANK(AC7),ISBLANK(AD7))),1,0)</f>
        <v>0</v>
      </c>
      <c r="AH7" s="84" t="n">
        <v>28</v>
      </c>
      <c r="AI7" s="85" t="str">
        <f aca="false">AJ7&amp;$B$4</f>
        <v>2A</v>
      </c>
      <c r="AJ7" s="121" t="n">
        <v>2</v>
      </c>
      <c r="AK7" s="122" t="str">
        <f aca="true" t="array" ref="AK7:AK7">Ver_flag_visit</f>
        <v/>
      </c>
      <c r="AL7" s="123" t="str">
        <f aca="false">IFERROR(INDEX($BD$6:$BD$53,MATCH(AI7,$BN$6:$BN$53,0)),"")</f>
        <v>Corea del Sur</v>
      </c>
      <c r="AM7" s="124" t="n">
        <f aca="false">INDEX($BE$6:$BN$53,MATCH($AL7,$BD$6:$BD$53,0),MATCH(AM$5,$BE$5:$BN$5,0))</f>
        <v>3</v>
      </c>
      <c r="AN7" s="125" t="n">
        <f aca="false">INDEX($BE$6:$BN$53,MATCH($AL7,$BD$6:$BD$53,0),MATCH(AN$5,$BE$5:$BN$5,0))</f>
        <v>1</v>
      </c>
      <c r="AO7" s="125" t="n">
        <f aca="false">INDEX($BE$6:$BN$53,MATCH($AL7,$BD$6:$BD$53,0),MATCH(AO$5,$BE$5:$BN$5,0))</f>
        <v>1</v>
      </c>
      <c r="AP7" s="125" t="n">
        <f aca="false">INDEX($BE$6:$BN$53,MATCH($AL7,$BD$6:$BD$53,0),MATCH(AP$5,$BE$5:$BN$5,0))</f>
        <v>0</v>
      </c>
      <c r="AQ7" s="125" t="n">
        <f aca="false">INDEX($BE$6:$BN$53,MATCH($AL7,$BD$6:$BD$53,0),MATCH(AQ$5,$BE$5:$BN$5,0))</f>
        <v>0</v>
      </c>
      <c r="AR7" s="125" t="n">
        <f aca="false">INDEX($BE$6:$BN$53,MATCH($AL7,$BD$6:$BD$53,0),MATCH(AR$5,$BE$5:$BN$5,0))</f>
        <v>2</v>
      </c>
      <c r="AS7" s="125" t="n">
        <f aca="false">INDEX($BE$6:$BN$53,MATCH($AL7,$BD$6:$BD$53,0),MATCH(AS$5,$BE$5:$BN$5,0))</f>
        <v>1</v>
      </c>
      <c r="AT7" s="126" t="n">
        <f aca="false">INDEX($BE$6:$BN$53,MATCH($AL7,$BD$6:$BD$53,0),MATCH(AT$5,$BE$5:$BN$5,0))</f>
        <v>1</v>
      </c>
      <c r="AU7" s="110" t="n">
        <f aca="false">INDEX($DL$6:$DL$53,MATCH(AI7,$DP$6:$DP$53,0))</f>
        <v>1</v>
      </c>
      <c r="AV7" s="111" t="str">
        <f aca="false">INDEX($BD$6:$BD$53,MATCH(AI7,$BM$6:$BM$53,0))</f>
        <v>Corea del Sur</v>
      </c>
      <c r="AW7" s="112" t="n">
        <v>2</v>
      </c>
      <c r="AX7" s="113"/>
      <c r="AY7" s="127" t="str">
        <f aca="false">+A6</f>
        <v>Sudáfrica</v>
      </c>
      <c r="AZ7" s="128"/>
      <c r="BA7" s="49"/>
      <c r="BB7" s="55"/>
      <c r="BC7" s="116" t="str">
        <f aca="false">+INDEX(T_Equipos[Grupo],MATCH(WORLDCUP!BD7,T_Equipos[NombreEquipo],0))</f>
        <v>A</v>
      </c>
      <c r="BD7" s="55" t="str">
        <f aca="false">+Equipos!B3</f>
        <v>Sudáfrica</v>
      </c>
      <c r="BE7" s="117" t="n">
        <f aca="false">+BG7*3+BH7+IF($AZ$3="no",0,INDEX($AZ$6:$AZ$97,MATCH(BD7,$AY$6:$AY$97,0)))</f>
        <v>0</v>
      </c>
      <c r="BF7" s="117" t="n">
        <f aca="false">+BG7+BH7+BI7</f>
        <v>1</v>
      </c>
      <c r="BG7" s="117" t="n">
        <f aca="false">+COUNTIFS(FGLocal,BD7,Ganador,"Local")+COUNTIFS(FGVisitante,BD7,Ganador,"Visitante")</f>
        <v>0</v>
      </c>
      <c r="BH7" s="117" t="n">
        <f aca="false">+COUNTIFS(FGLocal,BD7,Ganador,"Empate")+COUNTIFS(FGVisitante,BD7,Ganador,"Empate")</f>
        <v>0</v>
      </c>
      <c r="BI7" s="117" t="n">
        <f aca="false">+COUNTIFS(FGVisitante,BD7,Ganador,"Local")+COUNTIFS(FGLocal,BD7,Ganador,"Visitante")</f>
        <v>1</v>
      </c>
      <c r="BJ7" s="117" t="n">
        <f aca="false">+SUMIFS(FG_GolesLocal,FGLocal,BD7,Ganador,"&lt;&gt;"&amp;"Pendiente",FG_GolesLocal,"&lt;&gt;"&amp;"",FG_GolesVisitante,"&lt;&gt;"&amp;"")+SUMIFS(FG_GolesVisitante,FGVisitante,BD7,Ganador,"&lt;&gt;"&amp;"Pendiente",FG_GolesLocal,"&lt;&gt;"&amp;"",FG_GolesVisitante,"&lt;&gt;"&amp;"")</f>
        <v>0</v>
      </c>
      <c r="BK7" s="117" t="n">
        <f aca="false">+SUMIFS(FG_GolesLocal,FGVisitante,BD7,Ganador,"&lt;&gt;"&amp;"Pendiente",FG_GolesLocal,"&lt;&gt;"&amp;"",FG_GolesVisitante,"&lt;&gt;"&amp;"")+SUMIFS(FG_GolesVisitante,FGLocal,BD7,Ganador,"&lt;&gt;"&amp;"Pendiente",FG_GolesLocal,"&lt;&gt;"&amp;"",FG_GolesVisitante,"&lt;&gt;"&amp;"")</f>
        <v>2</v>
      </c>
      <c r="BL7" s="117" t="n">
        <f aca="false">+BJ7-BK7</f>
        <v>-2</v>
      </c>
      <c r="BM7" s="117" t="str">
        <f aca="false">DD7&amp;BC7</f>
        <v>4A</v>
      </c>
      <c r="BN7" s="117" t="str">
        <f aca="false">DH7&amp;BC7</f>
        <v>4A</v>
      </c>
      <c r="BO7" s="118" t="n">
        <f aca="false">IF(AND($AJ$99=144,BF7&gt;=1),1,0)</f>
        <v>0</v>
      </c>
      <c r="BP7" s="118" t="n">
        <f aca="false">COUNTIFS($BO$6:$BO$53,"&gt;"&amp;BO7,$BC$6:$BC$53,INDEX(T_Equipos[Grupo],MATCH(BD7,T_Equipos[NombreEquipo],0)))+1</f>
        <v>1</v>
      </c>
      <c r="BQ7" s="118" t="str">
        <f aca="false">IF(COUNTIFS($BP$6:$BP$53,BP7,$BC$6:$BC$53,INDEX(T_Equipos[Grupo],MATCH(BD7,T_Equipos[NombreEquipo],0)))=1,"-","P."&amp;BP7&amp;" ("&amp;COUNTIFS($BP$6:$BP$53,BP7,$BC$6:$BC$53,INDEX(T_Equipos[Grupo],MATCH(BD7,T_Equipos[NombreEquipo],0)))&amp;")")</f>
        <v>P.1 (4)</v>
      </c>
      <c r="BR7" s="118" t="n">
        <f aca="false">IF($BQ7="-","-",BE7)</f>
        <v>0</v>
      </c>
      <c r="BS7" s="118" t="n">
        <f aca="false">BP7+COUNTIFS($BQ$6:$BQ$53,BQ7,$BR$6:BR$53,"&gt;"&amp;BR7,$BC$6:$BC$53,INDEX(T_Equipos[Grupo],MATCH(BD7,T_Equipos[NombreEquipo],0)))</f>
        <v>3</v>
      </c>
      <c r="BT7" s="118" t="str">
        <f aca="false">IF(COUNTIFS($BS$6:$BS$53,BS7,$BC$6:$BC$53,INDEX(T_Equipos[Grupo],MATCH(BD7,T_Equipos[NombreEquipo],0)))=1,"-","P."&amp;BS7&amp;" ("&amp;COUNTIFS($BS$6:$BS$53,BS7,$BC$6:$BC$53,INDEX(T_Equipos[Grupo],MATCH(BD7,T_Equipos[NombreEquipo],0)))&amp;")")</f>
        <v>P.3 (2)</v>
      </c>
      <c r="BU7" s="119" t="n">
        <f aca="false">IF($BT7="-","-",COUNTIFS(FGLocal,$BD7,Ganador,"Local",Part1Empate1V,$BT7)+COUNTIFS(FGVisitante,$BD7,Ganador,"Visitante",Part1Empate1L,$BT7))</f>
        <v>0</v>
      </c>
      <c r="BV7" s="119" t="n">
        <f aca="false">IF($BT7="-","-",COUNTIFS(FGLocal,$BD7,Ganador,"Empate",Part1Empate1V,$BT7)+COUNTIFS(FGVisitante,$BD7,Ganador,"Empate",Part1Empate1L,$BT7))</f>
        <v>0</v>
      </c>
      <c r="BW7" s="119" t="n">
        <f aca="false">IF($BT7="-","-",COUNTIFS(FGLocal,$BD7,Ganador,"Visitante",Part1Empate1V,$BT7)+COUNTIFS(FGVisitante,$BD7,Ganador,"Local",Part1Empate1L,$BT7))</f>
        <v>0</v>
      </c>
      <c r="BX7" s="119" t="n">
        <f aca="false">IF($BT7="-","-",BU7*3+BV7)</f>
        <v>0</v>
      </c>
      <c r="BY7" s="119" t="n">
        <f aca="false">BS7+COUNTIFS($BT$6:$BT$53,BT7,$BX$6:BX$53,"&gt;"&amp;BX7,$BC$6:$BC$53,INDEX(T_Equipos[Grupo],MATCH(BD7,T_Equipos[NombreEquipo],0)))</f>
        <v>3</v>
      </c>
      <c r="BZ7" s="118" t="str">
        <f aca="false">IF(COUNTIFS($BY$6:$BY$53,BY7,$BC$6:$BC$53,INDEX(T_Equipos[Grupo],MATCH(BD7,T_Equipos[NombreEquipo],0)))=1,"-","P."&amp;BY7&amp;" ("&amp;COUNTIFS($BY$6:$BY$53,BY7,$BC$6:$BC$53,INDEX(T_Equipos[Grupo],MATCH(BD7,T_Equipos[NombreEquipo],0)))&amp;")")</f>
        <v>P.3 (2)</v>
      </c>
      <c r="CA7" s="119" t="n">
        <f aca="false">IF($BZ7="-","-",SUMIFS(FG_GolesLocal,FGLocal,$BD7,Part1Empate2V,$BZ7)+SUMIFS(FG_GolesVisitante,FGVisitante,$BD7,Part1Empate2L,$BZ7))</f>
        <v>0</v>
      </c>
      <c r="CB7" s="119" t="n">
        <f aca="false">IF($BZ7="-","-",SUMIFS(FG_GolesVisitante,FGLocal,$BD7,Part1Empate2V,$BZ7)+SUMIFS(FG_GolesLocal,FGVisitante,$BD7,Part1Empate2L,$BZ7))</f>
        <v>0</v>
      </c>
      <c r="CC7" s="119" t="n">
        <f aca="false">IF($BZ7="-","-",CA7-CB7)</f>
        <v>0</v>
      </c>
      <c r="CD7" s="119" t="n">
        <f aca="false">BY7+COUNTIFS($BZ$6:$BZ$53,BZ7,$CC$6:CC$53,"&gt;"&amp;CC7,$BC$6:$BC$53,INDEX(T_Equipos[Grupo],MATCH(BD7,T_Equipos[NombreEquipo],0)))</f>
        <v>3</v>
      </c>
      <c r="CE7" s="118" t="str">
        <f aca="false">IF(COUNTIFS($CD$6:$CD$53,CD7,$BC$6:$BC$53,INDEX(T_Equipos[Grupo],MATCH(BD7,T_Equipos[NombreEquipo],0)))=1,"-","P."&amp;CD7&amp;" ("&amp;COUNTIFS($CD$6:$CD$53,CD7,$BC$6:$BC$53,INDEX(T_Equipos[Grupo],MATCH(BD7,T_Equipos[NombreEquipo],0)))&amp;")")</f>
        <v>P.3 (2)</v>
      </c>
      <c r="CF7" s="119" t="n">
        <f aca="false">IF($CE7="-","-",SUMIFS(FG_GolesLocal,FGLocal,$BD7,Part1Empate3V,$CE7)+SUMIFS(FG_GolesVisitante,FGVisitante,$BD7,Part1Empate3L,$CE7))</f>
        <v>0</v>
      </c>
      <c r="CG7" s="119" t="n">
        <f aca="false">CD7+COUNTIFS($CE$6:$CE$53,CE7,$CF$6:CF$53,"&gt;"&amp;CF7,$BC$6:$BC$53,INDEX(T_Equipos[Grupo],MATCH(BD7,T_Equipos[NombreEquipo],0)))</f>
        <v>3</v>
      </c>
      <c r="CH7" s="118" t="str">
        <f aca="false">IF(COUNTIFS($CG$6:$CG$53,CG7,$BC$6:$BC$53,INDEX(T_Equipos[Grupo],MATCH(BD7,T_Equipos[NombreEquipo],0)))=1,"-","P."&amp;CG7&amp;" ("&amp;COUNTIFS($CG$6:$CG$53,CG7,$BC$6:$BC$53,INDEX(T_Equipos[Grupo],MATCH(BD7,T_Equipos[NombreEquipo],0)))&amp;")")</f>
        <v>P.3 (2)</v>
      </c>
      <c r="CI7" s="119" t="n">
        <f aca="false">IF($CH7="-","-",COUNTIFS(FGLocal,$BD7,Ganador,"Local",Part2Empate4V,$CH7)+COUNTIFS(FGVisitante,$BD7,Ganador,"Visitante",Part2Empate4L,$CH7))</f>
        <v>0</v>
      </c>
      <c r="CJ7" s="119" t="n">
        <f aca="false">IF($CH7="-","-",COUNTIFS(FGLocal,$BD7,Ganador,"Empate",Part2Empate4V,$CH7)+COUNTIFS(FGVisitante,$BD7,Ganador,"Empate",Part2Empate4L,$CH7))</f>
        <v>0</v>
      </c>
      <c r="CK7" s="119" t="n">
        <f aca="false">IF($CH7="-","-",COUNTIFS(FGLocal,$BD7,Ganador,"Visitante",Part2Empate4V,$CH7)+COUNTIFS(FGVisitante,$BD7,Ganador,"Local",Part2Empate4L,$CH7))</f>
        <v>0</v>
      </c>
      <c r="CL7" s="119" t="n">
        <f aca="false">IF($CH7="-","-",CI7*3+CJ7)</f>
        <v>0</v>
      </c>
      <c r="CM7" s="119" t="n">
        <f aca="false">CG7+COUNTIFS($CH$6:$CH$53,CH7,$CL$6:CL$53,"&gt;"&amp;CL7,$BC$6:$BC$53,INDEX(T_Equipos[Grupo],MATCH(BD7,T_Equipos[NombreEquipo],0)))</f>
        <v>3</v>
      </c>
      <c r="CN7" s="118" t="str">
        <f aca="false">IF(COUNTIFS($CM$6:$CM$53,CM7,$BC$6:$BC$53,INDEX(T_Equipos[Grupo],MATCH(BD7,T_Equipos[NombreEquipo],0)))=1,"-","P."&amp;CM7&amp;" ("&amp;COUNTIFS($CM$6:$CM$53,CM7,$BC$6:$BC$53,INDEX(T_Equipos[Grupo],MATCH(BD7,T_Equipos[NombreEquipo],0)))&amp;")")</f>
        <v>P.3 (2)</v>
      </c>
      <c r="CO7" s="119" t="n">
        <f aca="false">IF($CN7="-","-",SUMIFS(FG_GolesLocal,FGLocal,$BD7,Part2Empate5V,$CN7)+SUMIFS(FG_GolesVisitante,FGVisitante,$BD7,Part2Empate5L,$CN7))</f>
        <v>0</v>
      </c>
      <c r="CP7" s="119" t="n">
        <f aca="false">IF($CN7="-","-",SUMIFS(FG_GolesVisitante,FGLocal,$BD7,Part2Empate5V,$CN7)+SUMIFS(FG_GolesLocal,FGVisitante,$BD7,Part2Empate5L,$CN7))</f>
        <v>0</v>
      </c>
      <c r="CQ7" s="119" t="n">
        <f aca="false">IF($CN7="-","-",CO7-CP7)</f>
        <v>0</v>
      </c>
      <c r="CR7" s="119" t="n">
        <f aca="false">CM7+COUNTIFS($CN$6:$CN$53,CN7,$CQ$6:CQ$53,"&gt;"&amp;CQ7,$BC$6:$BC$53,INDEX(T_Equipos[Grupo],MATCH(BD7,T_Equipos[NombreEquipo],0)))</f>
        <v>3</v>
      </c>
      <c r="CS7" s="118" t="str">
        <f aca="false">IF(COUNTIFS($CR$6:$CR$53,CR7,$BC$6:$BC$53,INDEX(T_Equipos[Grupo],MATCH(BD7,T_Equipos[NombreEquipo],0)))=1,"-","P."&amp;CR7&amp;" ("&amp;COUNTIFS($CR$6:$CR$53,CR7,$BC$6:$BC$53,INDEX(T_Equipos[Grupo],MATCH(BD7,T_Equipos[NombreEquipo],0)))&amp;")")</f>
        <v>P.3 (2)</v>
      </c>
      <c r="CT7" s="119" t="n">
        <f aca="false">IF($CS7="-","-",SUMIFS(FG_GolesLocal,FGLocal,$BD7,Part2Empate6V,$CS7)+SUMIFS(FG_GolesVisitante,FGVisitante,$BD7,Part2Empate6L,$CS7))</f>
        <v>0</v>
      </c>
      <c r="CU7" s="119" t="n">
        <f aca="false">CR7+COUNTIFS($CS$6:$CS$53,CS7,$CT$6:CT$53,"&gt;"&amp;CT7,$BC$6:$BC$53,INDEX(T_Equipos[Grupo],MATCH(BD7,T_Equipos[NombreEquipo],0)))</f>
        <v>3</v>
      </c>
      <c r="CV7" s="118" t="str">
        <f aca="false">IF(COUNTIFS($CU$6:$CU$53,CU7,$BC$6:$BC$53,INDEX(T_Equipos[Grupo],MATCH(BD7,T_Equipos[NombreEquipo],0)))=1,"-","P."&amp;CU7&amp;" ("&amp;COUNTIFS($CU$6:$CU$53,CU7,$BC$6:$BC$53,INDEX(T_Equipos[Grupo],MATCH(BD7,T_Equipos[NombreEquipo],0)))&amp;")")</f>
        <v>P.3 (2)</v>
      </c>
      <c r="CW7" s="118" t="n">
        <f aca="false">IF(CV7="-","-",BL7)</f>
        <v>-2</v>
      </c>
      <c r="CX7" s="118" t="n">
        <f aca="false">CU7+COUNTIFS($CV$6:$CV$53,CV7,$CW$6:CW$53,"&gt;"&amp;CW7,$BC$6:$BC$53,INDEX(T_Equipos[Grupo],MATCH(BD7,T_Equipos[NombreEquipo],0)))</f>
        <v>4</v>
      </c>
      <c r="CY7" s="118" t="str">
        <f aca="false">IF(COUNTIFS($CX$6:$CX$53,CX7,$BC$6:$BC$53,INDEX(T_Equipos[Grupo],MATCH(BD7,T_Equipos[NombreEquipo],0)))=1,"-","P."&amp;CX7&amp;" ("&amp;COUNTIFS($CX$6:$CX$53,CX7,$BC$6:$BC$53,INDEX(T_Equipos[Grupo],MATCH(BD7,T_Equipos[NombreEquipo],0)))&amp;")")</f>
        <v>-</v>
      </c>
      <c r="CZ7" s="118" t="str">
        <f aca="false">IF(CY7="-","-",BJ7)</f>
        <v>-</v>
      </c>
      <c r="DA7" s="119" t="n">
        <f aca="false">CX7+COUNTIFS($CY$6:$CY$53,CY7,$CZ$6:CZ$53,"&gt;"&amp;CZ7,$BC$6:$BC$53,INDEX(T_Equipos[Grupo],MATCH(BD7,T_Equipos[NombreEquipo],0)))</f>
        <v>4</v>
      </c>
      <c r="DB7" s="118" t="str">
        <f aca="false">IF(COUNTIFS($DA$6:$DA$53,DA7,$BC$6:$BC$53,INDEX(T_Equipos[Grupo],MATCH(BD7,T_Equipos[NombreEquipo],0)))=1,"-","P."&amp;DA7&amp;" ("&amp;COUNTIFS($DA$6:$DA$53,DA7,$BC$6:$BC$53,INDEX(T_Equipos[Grupo],MATCH(BD7,T_Equipos[NombreEquipo],0)))&amp;")")</f>
        <v>-</v>
      </c>
      <c r="DC7" s="116" t="str">
        <f aca="false">IF(DB7="-","-",COUNTIFS(T_Equipos[Rank],"&lt;"&amp;INDEX(T_Equipos[Rank],MATCH(BD7,T_Equipos[NombreEquipo],0)),$BC$6:$BC$53,INDEX(T_Equipos[Grupo],MATCH(BD7,T_Equipos[NombreEquipo],0)))+1)</f>
        <v>-</v>
      </c>
      <c r="DD7" s="116" t="n">
        <f aca="false">DA7+COUNTIFS($DB$6:$DB$53,DB7,$DC$6:DC$53,"&lt;"&amp;DC7,$BC$6:$BC$53,INDEX(T_Equipos[Grupo],MATCH(BD7,T_Equipos[NombreEquipo],0)))</f>
        <v>4</v>
      </c>
      <c r="DE7" s="116"/>
      <c r="DF7" s="116" t="n">
        <f aca="false">IF(OR(INDEX($AW$6:$AW$97,MATCH($BD7,$AV$6:$AV$97,0))="",DB7="-"),DD7,INDEX($AW$6:$AW$97,MATCH($BD7,$AV$6:$AV$97,0))+DD7/1000)</f>
        <v>4</v>
      </c>
      <c r="DG7" s="116" t="str">
        <f aca="false">IF(DB7="-","-",COUNTIFS(DF$6:DF$53,"&lt;"&amp;DF7,$BC$6:$BC$53,INDEX(T_Equipos[Grupo],MATCH(BD7,T_Equipos[NombreEquipo],0))))</f>
        <v>-</v>
      </c>
      <c r="DH7" s="116" t="n">
        <f aca="false">DA7+COUNTIFS(DB$6:DB$53,DB7,DG$6:DG$53,"&lt;"&amp;DG7,$BC$6:$BC$53,INDEX(T_Equipos[Grupo],MATCH(BD7,T_Equipos[NombreEquipo],0)))</f>
        <v>4</v>
      </c>
      <c r="DI7" s="55"/>
      <c r="DJ7" s="55" t="n">
        <f aca="false">INDEX($DA$6:$DA$53,MATCH($DQ7,$BD$6:$BD$53,0))</f>
        <v>2</v>
      </c>
      <c r="DK7" s="55" t="n">
        <f aca="false">+SUMIF($BC$6:$BC$53,BC7,$BF$6:$BF$53)</f>
        <v>4</v>
      </c>
      <c r="DL7" s="55" t="n">
        <f aca="false">IF(OR(DK7=12,$AJ$99=144),COUNTIFS($DJ$6:$DJ$53,DJ7,$BC$6:$BC$53,BC7),1)</f>
        <v>1</v>
      </c>
      <c r="DM7" s="120" t="str">
        <f aca="false">DJ7&amp;"."&amp;DL7</f>
        <v>2.1</v>
      </c>
      <c r="DN7" s="55" t="n">
        <f aca="true" t="array" ref="DN7:DN7">OFFSET(Horarios!$P$3,DJ7-1,0,DL7,1)</f>
        <v>2</v>
      </c>
      <c r="DO7" s="55"/>
      <c r="DP7" s="55" t="s">
        <v>79</v>
      </c>
      <c r="DQ7" s="55" t="str">
        <f aca="false">INDEX($BD$6:$BD$53,MATCH(DP7,$BM$6:$BM$53,0))</f>
        <v>Corea del Sur</v>
      </c>
      <c r="DR7" s="55"/>
      <c r="DS7" s="55"/>
      <c r="DT7" s="55" t="str">
        <f aca="false">AA7&amp;"-"&amp;AF7</f>
        <v>México-Corea del Sur</v>
      </c>
      <c r="DU7" s="55"/>
      <c r="DV7" s="55"/>
      <c r="DW7" s="57"/>
    </row>
    <row r="8" customFormat="false" ht="16.5" hidden="false" customHeight="true" outlineLevel="0" collapsed="false">
      <c r="A8" s="92" t="str">
        <f aca="false">+Equipos!B5</f>
        <v>República Checa</v>
      </c>
      <c r="B8" s="72"/>
      <c r="C8" s="55"/>
      <c r="D8" s="55" t="str">
        <f aca="false">IF(OR(AC8="",AD8=""),"Pendiente",IF(AC8&gt;AD8,"Local",IF(AC8&lt;AD8,"Visitante","Empate")))</f>
        <v>Pendiente</v>
      </c>
      <c r="E8" s="55" t="str">
        <f aca="false">IF(D8="Pendiente","-",INDEX($BT$6:$BT$53,MATCH($AA8,$BD$6:$BD$53,0)))</f>
        <v>-</v>
      </c>
      <c r="F8" s="55" t="str">
        <f aca="false">IF(D8="Pendiente","-",INDEX($BT$6:$BT$53,MATCH($AF8,$BD$6:$BD$53,0)))</f>
        <v>-</v>
      </c>
      <c r="G8" s="55"/>
      <c r="H8" s="55" t="str">
        <f aca="false">IF(D8="Pendiente","-",INDEX($BZ$6:$BZ$53,MATCH($AA8,$BD$6:$BD$53,0)))</f>
        <v>-</v>
      </c>
      <c r="I8" s="55" t="str">
        <f aca="false">IF(D8="Pendiente","-",INDEX($BZ$6:$BZ$53,MATCH($AF8,$BD$6:$BD$53,0)))</f>
        <v>-</v>
      </c>
      <c r="J8" s="55"/>
      <c r="K8" s="55" t="str">
        <f aca="false">IF(D8="Pendiente","-",INDEX($CE$6:$CE$53,MATCH($AA8,$BD$6:$BD$53,0)))</f>
        <v>-</v>
      </c>
      <c r="L8" s="55" t="str">
        <f aca="false">IF(D8="Pendiente","-",INDEX($CE$6:$CE$53,MATCH($AF8,$BD$6:$BD$53,0)))</f>
        <v>-</v>
      </c>
      <c r="M8" s="55"/>
      <c r="N8" s="55" t="str">
        <f aca="false">IF(D8="Pendiente","-",INDEX($CH$6:$CH$53,MATCH($AA8,$BD$6:$BD$53,0)))</f>
        <v>-</v>
      </c>
      <c r="O8" s="55" t="str">
        <f aca="false">IF(D8="Pendiente","-",INDEX($CH$6:$CH$53,MATCH($AF8,$BD$6:$BD$53,0)))</f>
        <v>-</v>
      </c>
      <c r="P8" s="55"/>
      <c r="Q8" s="55" t="str">
        <f aca="false">IF(D8="Pendiente","-",INDEX($CN$6:$CN$53,MATCH($AA8,$BD$6:$BD$53,0)))</f>
        <v>-</v>
      </c>
      <c r="R8" s="55" t="str">
        <f aca="false">IF(D8="Pendiente","-",INDEX($CN$6:$CN$53,MATCH($AF8,$BD$6:$BD$53,0)))</f>
        <v>-</v>
      </c>
      <c r="S8" s="55"/>
      <c r="T8" s="55" t="str">
        <f aca="false">IF(D8="Pendiente","-",INDEX($CS$6:$CS$53,MATCH($AA8,$BD$6:$BD$53,0)))</f>
        <v>-</v>
      </c>
      <c r="U8" s="55" t="str">
        <f aca="false">IF(D8="Pendiente","-",INDEX($CS$6:$CS$53,MATCH($AF8,$BD$6:$BD$53,0)))</f>
        <v>-</v>
      </c>
      <c r="V8" s="46"/>
      <c r="W8" s="73"/>
      <c r="X8" s="74" t="n">
        <f aca="false">Horarios!C8</f>
        <v>46198.125</v>
      </c>
      <c r="Y8" s="75" t="n">
        <f aca="false">Horarios!C8</f>
        <v>46198.125</v>
      </c>
      <c r="Z8" s="76" t="str">
        <f aca="false">Idiomas!D65</f>
        <v>J3</v>
      </c>
      <c r="AA8" s="77" t="str">
        <f aca="false">A8</f>
        <v>República Checa</v>
      </c>
      <c r="AB8" s="78" t="str">
        <f aca="true" t="array" ref="AB8:AB8">Ver_flag_local</f>
        <v/>
      </c>
      <c r="AC8" s="79"/>
      <c r="AD8" s="80"/>
      <c r="AE8" s="81" t="str">
        <f aca="true" t="array" ref="AE8:AE8">Ver_flag_visit</f>
        <v/>
      </c>
      <c r="AF8" s="82" t="str">
        <f aca="false">A5</f>
        <v>México</v>
      </c>
      <c r="AG8" s="83" t="n">
        <f aca="false">IF(NOT(OR(ISBLANK(AC8),ISBLANK(AD8))),1,0)</f>
        <v>0</v>
      </c>
      <c r="AH8" s="84" t="n">
        <v>53</v>
      </c>
      <c r="AI8" s="85" t="str">
        <f aca="false">AJ8&amp;$B$4</f>
        <v>3A</v>
      </c>
      <c r="AJ8" s="121" t="n">
        <v>3</v>
      </c>
      <c r="AK8" s="122" t="str">
        <f aca="true" t="array" ref="AK8:AK8">Ver_flag_visit</f>
        <v/>
      </c>
      <c r="AL8" s="123" t="str">
        <f aca="false">IFERROR(INDEX($BD$6:$BD$53,MATCH(AI8,$BN$6:$BN$53,0)),"")</f>
        <v>República Checa</v>
      </c>
      <c r="AM8" s="124" t="n">
        <f aca="false">INDEX($BE$6:$BN$53,MATCH($AL8,$BD$6:$BD$53,0),MATCH(AM$5,$BE$5:$BN$5,0))</f>
        <v>0</v>
      </c>
      <c r="AN8" s="125" t="n">
        <f aca="false">INDEX($BE$6:$BN$53,MATCH($AL8,$BD$6:$BD$53,0),MATCH(AN$5,$BE$5:$BN$5,0))</f>
        <v>1</v>
      </c>
      <c r="AO8" s="125" t="n">
        <f aca="false">INDEX($BE$6:$BN$53,MATCH($AL8,$BD$6:$BD$53,0),MATCH(AO$5,$BE$5:$BN$5,0))</f>
        <v>0</v>
      </c>
      <c r="AP8" s="125" t="n">
        <f aca="false">INDEX($BE$6:$BN$53,MATCH($AL8,$BD$6:$BD$53,0),MATCH(AP$5,$BE$5:$BN$5,0))</f>
        <v>0</v>
      </c>
      <c r="AQ8" s="125" t="n">
        <f aca="false">INDEX($BE$6:$BN$53,MATCH($AL8,$BD$6:$BD$53,0),MATCH(AQ$5,$BE$5:$BN$5,0))</f>
        <v>1</v>
      </c>
      <c r="AR8" s="125" t="n">
        <f aca="false">INDEX($BE$6:$BN$53,MATCH($AL8,$BD$6:$BD$53,0),MATCH(AR$5,$BE$5:$BN$5,0))</f>
        <v>1</v>
      </c>
      <c r="AS8" s="125" t="n">
        <f aca="false">INDEX($BE$6:$BN$53,MATCH($AL8,$BD$6:$BD$53,0),MATCH(AS$5,$BE$5:$BN$5,0))</f>
        <v>2</v>
      </c>
      <c r="AT8" s="126" t="n">
        <f aca="false">INDEX($BE$6:$BN$53,MATCH($AL8,$BD$6:$BD$53,0),MATCH(AT$5,$BE$5:$BN$5,0))</f>
        <v>-1</v>
      </c>
      <c r="AU8" s="110" t="n">
        <f aca="false">INDEX($DL$6:$DL$53,MATCH(AI8,$DP$6:$DP$53,0))</f>
        <v>1</v>
      </c>
      <c r="AV8" s="111" t="str">
        <f aca="false">INDEX($BD$6:$BD$53,MATCH(AI8,$BM$6:$BM$53,0))</f>
        <v>República Checa</v>
      </c>
      <c r="AW8" s="112" t="n">
        <v>3</v>
      </c>
      <c r="AX8" s="113"/>
      <c r="AY8" s="114" t="str">
        <f aca="false">+A7</f>
        <v>Corea del Sur</v>
      </c>
      <c r="AZ8" s="115"/>
      <c r="BA8" s="49"/>
      <c r="BB8" s="55"/>
      <c r="BC8" s="116" t="str">
        <f aca="false">+INDEX(T_Equipos[Grupo],MATCH(WORLDCUP!BD8,T_Equipos[NombreEquipo],0))</f>
        <v>A</v>
      </c>
      <c r="BD8" s="55" t="str">
        <f aca="false">+Equipos!B4</f>
        <v>Corea del Sur</v>
      </c>
      <c r="BE8" s="117" t="n">
        <f aca="false">+BG8*3+BH8+IF($AZ$3="no",0,INDEX($AZ$6:$AZ$97,MATCH(BD8,$AY$6:$AY$97,0)))</f>
        <v>3</v>
      </c>
      <c r="BF8" s="117" t="n">
        <f aca="false">+BG8+BH8+BI8</f>
        <v>1</v>
      </c>
      <c r="BG8" s="117" t="n">
        <f aca="false">+COUNTIFS(FGLocal,BD8,Ganador,"Local")+COUNTIFS(FGVisitante,BD8,Ganador,"Visitante")</f>
        <v>1</v>
      </c>
      <c r="BH8" s="117" t="n">
        <f aca="false">+COUNTIFS(FGLocal,BD8,Ganador,"Empate")+COUNTIFS(FGVisitante,BD8,Ganador,"Empate")</f>
        <v>0</v>
      </c>
      <c r="BI8" s="117" t="n">
        <f aca="false">+COUNTIFS(FGVisitante,BD8,Ganador,"Local")+COUNTIFS(FGLocal,BD8,Ganador,"Visitante")</f>
        <v>0</v>
      </c>
      <c r="BJ8" s="117" t="n">
        <f aca="false">+SUMIFS(FG_GolesLocal,FGLocal,BD8,Ganador,"&lt;&gt;"&amp;"Pendiente",FG_GolesLocal,"&lt;&gt;"&amp;"",FG_GolesVisitante,"&lt;&gt;"&amp;"")+SUMIFS(FG_GolesVisitante,FGVisitante,BD8,Ganador,"&lt;&gt;"&amp;"Pendiente",FG_GolesLocal,"&lt;&gt;"&amp;"",FG_GolesVisitante,"&lt;&gt;"&amp;"")</f>
        <v>2</v>
      </c>
      <c r="BK8" s="117" t="n">
        <f aca="false">+SUMIFS(FG_GolesLocal,FGVisitante,BD8,Ganador,"&lt;&gt;"&amp;"Pendiente",FG_GolesLocal,"&lt;&gt;"&amp;"",FG_GolesVisitante,"&lt;&gt;"&amp;"")+SUMIFS(FG_GolesVisitante,FGLocal,BD8,Ganador,"&lt;&gt;"&amp;"Pendiente",FG_GolesLocal,"&lt;&gt;"&amp;"",FG_GolesVisitante,"&lt;&gt;"&amp;"")</f>
        <v>1</v>
      </c>
      <c r="BL8" s="117" t="n">
        <f aca="false">+BJ8-BK8</f>
        <v>1</v>
      </c>
      <c r="BM8" s="117" t="str">
        <f aca="false">DD8&amp;BC8</f>
        <v>2A</v>
      </c>
      <c r="BN8" s="117" t="str">
        <f aca="false">DH8&amp;BC8</f>
        <v>2A</v>
      </c>
      <c r="BO8" s="118" t="n">
        <f aca="false">IF(AND($AJ$99=144,BF8&gt;=1),1,0)</f>
        <v>0</v>
      </c>
      <c r="BP8" s="118" t="n">
        <f aca="false">COUNTIFS($BO$6:$BO$53,"&gt;"&amp;BO8,$BC$6:$BC$53,INDEX(T_Equipos[Grupo],MATCH(BD8,T_Equipos[NombreEquipo],0)))+1</f>
        <v>1</v>
      </c>
      <c r="BQ8" s="118" t="str">
        <f aca="false">IF(COUNTIFS($BP$6:$BP$53,BP8,$BC$6:$BC$53,INDEX(T_Equipos[Grupo],MATCH(BD8,T_Equipos[NombreEquipo],0)))=1,"-","P."&amp;BP8&amp;" ("&amp;COUNTIFS($BP$6:$BP$53,BP8,$BC$6:$BC$53,INDEX(T_Equipos[Grupo],MATCH(BD8,T_Equipos[NombreEquipo],0)))&amp;")")</f>
        <v>P.1 (4)</v>
      </c>
      <c r="BR8" s="118" t="n">
        <f aca="false">IF($BQ8="-","-",BE8)</f>
        <v>3</v>
      </c>
      <c r="BS8" s="118" t="n">
        <f aca="false">BP8+COUNTIFS($BQ$6:$BQ$53,BQ8,$BR$6:BR$53,"&gt;"&amp;BR8,$BC$6:$BC$53,INDEX(T_Equipos[Grupo],MATCH(BD8,T_Equipos[NombreEquipo],0)))</f>
        <v>1</v>
      </c>
      <c r="BT8" s="118" t="str">
        <f aca="false">IF(COUNTIFS($BS$6:$BS$53,BS8,$BC$6:$BC$53,INDEX(T_Equipos[Grupo],MATCH(BD8,T_Equipos[NombreEquipo],0)))=1,"-","P."&amp;BS8&amp;" ("&amp;COUNTIFS($BS$6:$BS$53,BS8,$BC$6:$BC$53,INDEX(T_Equipos[Grupo],MATCH(BD8,T_Equipos[NombreEquipo],0)))&amp;")")</f>
        <v>P.1 (2)</v>
      </c>
      <c r="BU8" s="119" t="n">
        <f aca="false">IF($BT8="-","-",COUNTIFS(FGLocal,$BD8,Ganador,"Local",Part1Empate1V,$BT8)+COUNTIFS(FGVisitante,$BD8,Ganador,"Visitante",Part1Empate1L,$BT8))</f>
        <v>0</v>
      </c>
      <c r="BV8" s="119" t="n">
        <f aca="false">IF($BT8="-","-",COUNTIFS(FGLocal,$BD8,Ganador,"Empate",Part1Empate1V,$BT8)+COUNTIFS(FGVisitante,$BD8,Ganador,"Empate",Part1Empate1L,$BT8))</f>
        <v>0</v>
      </c>
      <c r="BW8" s="119" t="n">
        <f aca="false">IF($BT8="-","-",COUNTIFS(FGLocal,$BD8,Ganador,"Visitante",Part1Empate1V,$BT8)+COUNTIFS(FGVisitante,$BD8,Ganador,"Local",Part1Empate1L,$BT8))</f>
        <v>0</v>
      </c>
      <c r="BX8" s="119" t="n">
        <f aca="false">IF($BT8="-","-",BU8*3+BV8)</f>
        <v>0</v>
      </c>
      <c r="BY8" s="119" t="n">
        <f aca="false">BS8+COUNTIFS($BT$6:$BT$53,BT8,$BX$6:BX$53,"&gt;"&amp;BX8,$BC$6:$BC$53,INDEX(T_Equipos[Grupo],MATCH(BD8,T_Equipos[NombreEquipo],0)))</f>
        <v>1</v>
      </c>
      <c r="BZ8" s="118" t="str">
        <f aca="false">IF(COUNTIFS($BY$6:$BY$53,BY8,$BC$6:$BC$53,INDEX(T_Equipos[Grupo],MATCH(BD8,T_Equipos[NombreEquipo],0)))=1,"-","P."&amp;BY8&amp;" ("&amp;COUNTIFS($BY$6:$BY$53,BY8,$BC$6:$BC$53,INDEX(T_Equipos[Grupo],MATCH(BD8,T_Equipos[NombreEquipo],0)))&amp;")")</f>
        <v>P.1 (2)</v>
      </c>
      <c r="CA8" s="119" t="n">
        <f aca="false">IF($BZ8="-","-",SUMIFS(FG_GolesLocal,FGLocal,$BD8,Part1Empate2V,$BZ8)+SUMIFS(FG_GolesVisitante,FGVisitante,$BD8,Part1Empate2L,$BZ8))</f>
        <v>0</v>
      </c>
      <c r="CB8" s="119" t="n">
        <f aca="false">IF($BZ8="-","-",SUMIFS(FG_GolesVisitante,FGLocal,$BD8,Part1Empate2V,$BZ8)+SUMIFS(FG_GolesLocal,FGVisitante,$BD8,Part1Empate2L,$BZ8))</f>
        <v>0</v>
      </c>
      <c r="CC8" s="119" t="n">
        <f aca="false">IF($BZ8="-","-",CA8-CB8)</f>
        <v>0</v>
      </c>
      <c r="CD8" s="119" t="n">
        <f aca="false">BY8+COUNTIFS($BZ$6:$BZ$53,BZ8,$CC$6:CC$53,"&gt;"&amp;CC8,$BC$6:$BC$53,INDEX(T_Equipos[Grupo],MATCH(BD8,T_Equipos[NombreEquipo],0)))</f>
        <v>1</v>
      </c>
      <c r="CE8" s="118" t="str">
        <f aca="false">IF(COUNTIFS($CD$6:$CD$53,CD8,$BC$6:$BC$53,INDEX(T_Equipos[Grupo],MATCH(BD8,T_Equipos[NombreEquipo],0)))=1,"-","P."&amp;CD8&amp;" ("&amp;COUNTIFS($CD$6:$CD$53,CD8,$BC$6:$BC$53,INDEX(T_Equipos[Grupo],MATCH(BD8,T_Equipos[NombreEquipo],0)))&amp;")")</f>
        <v>P.1 (2)</v>
      </c>
      <c r="CF8" s="119" t="n">
        <f aca="false">IF($CE8="-","-",SUMIFS(FG_GolesLocal,FGLocal,$BD8,Part1Empate3V,$CE8)+SUMIFS(FG_GolesVisitante,FGVisitante,$BD8,Part1Empate3L,$CE8))</f>
        <v>0</v>
      </c>
      <c r="CG8" s="119" t="n">
        <f aca="false">CD8+COUNTIFS($CE$6:$CE$53,CE8,$CF$6:CF$53,"&gt;"&amp;CF8,$BC$6:$BC$53,INDEX(T_Equipos[Grupo],MATCH(BD8,T_Equipos[NombreEquipo],0)))</f>
        <v>1</v>
      </c>
      <c r="CH8" s="118" t="str">
        <f aca="false">IF(COUNTIFS($CG$6:$CG$53,CG8,$BC$6:$BC$53,INDEX(T_Equipos[Grupo],MATCH(BD8,T_Equipos[NombreEquipo],0)))=1,"-","P."&amp;CG8&amp;" ("&amp;COUNTIFS($CG$6:$CG$53,CG8,$BC$6:$BC$53,INDEX(T_Equipos[Grupo],MATCH(BD8,T_Equipos[NombreEquipo],0)))&amp;")")</f>
        <v>P.1 (2)</v>
      </c>
      <c r="CI8" s="119" t="n">
        <f aca="false">IF($CH8="-","-",COUNTIFS(FGLocal,$BD8,Ganador,"Local",Part2Empate4V,$CH8)+COUNTIFS(FGVisitante,$BD8,Ganador,"Visitante",Part2Empate4L,$CH8))</f>
        <v>0</v>
      </c>
      <c r="CJ8" s="119" t="n">
        <f aca="false">IF($CH8="-","-",COUNTIFS(FGLocal,$BD8,Ganador,"Empate",Part2Empate4V,$CH8)+COUNTIFS(FGVisitante,$BD8,Ganador,"Empate",Part2Empate4L,$CH8))</f>
        <v>0</v>
      </c>
      <c r="CK8" s="119" t="n">
        <f aca="false">IF($CH8="-","-",COUNTIFS(FGLocal,$BD8,Ganador,"Visitante",Part2Empate4V,$CH8)+COUNTIFS(FGVisitante,$BD8,Ganador,"Local",Part2Empate4L,$CH8))</f>
        <v>0</v>
      </c>
      <c r="CL8" s="119" t="n">
        <f aca="false">IF($CH8="-","-",CI8*3+CJ8)</f>
        <v>0</v>
      </c>
      <c r="CM8" s="119" t="n">
        <f aca="false">CG8+COUNTIFS($CH$6:$CH$53,CH8,$CL$6:CL$53,"&gt;"&amp;CL8,$BC$6:$BC$53,INDEX(T_Equipos[Grupo],MATCH(BD8,T_Equipos[NombreEquipo],0)))</f>
        <v>1</v>
      </c>
      <c r="CN8" s="118" t="str">
        <f aca="false">IF(COUNTIFS($CM$6:$CM$53,CM8,$BC$6:$BC$53,INDEX(T_Equipos[Grupo],MATCH(BD8,T_Equipos[NombreEquipo],0)))=1,"-","P."&amp;CM8&amp;" ("&amp;COUNTIFS($CM$6:$CM$53,CM8,$BC$6:$BC$53,INDEX(T_Equipos[Grupo],MATCH(BD8,T_Equipos[NombreEquipo],0)))&amp;")")</f>
        <v>P.1 (2)</v>
      </c>
      <c r="CO8" s="119" t="n">
        <f aca="false">IF($CN8="-","-",SUMIFS(FG_GolesLocal,FGLocal,$BD8,Part2Empate5V,$CN8)+SUMIFS(FG_GolesVisitante,FGVisitante,$BD8,Part2Empate5L,$CN8))</f>
        <v>0</v>
      </c>
      <c r="CP8" s="119" t="n">
        <f aca="false">IF($CN8="-","-",SUMIFS(FG_GolesVisitante,FGLocal,$BD8,Part2Empate5V,$CN8)+SUMIFS(FG_GolesLocal,FGVisitante,$BD8,Part2Empate5L,$CN8))</f>
        <v>0</v>
      </c>
      <c r="CQ8" s="119" t="n">
        <f aca="false">IF($CN8="-","-",CO8-CP8)</f>
        <v>0</v>
      </c>
      <c r="CR8" s="119" t="n">
        <f aca="false">CM8+COUNTIFS($CN$6:$CN$53,CN8,$CQ$6:CQ$53,"&gt;"&amp;CQ8,$BC$6:$BC$53,INDEX(T_Equipos[Grupo],MATCH(BD8,T_Equipos[NombreEquipo],0)))</f>
        <v>1</v>
      </c>
      <c r="CS8" s="118" t="str">
        <f aca="false">IF(COUNTIFS($CR$6:$CR$53,CR8,$BC$6:$BC$53,INDEX(T_Equipos[Grupo],MATCH(BD8,T_Equipos[NombreEquipo],0)))=1,"-","P."&amp;CR8&amp;" ("&amp;COUNTIFS($CR$6:$CR$53,CR8,$BC$6:$BC$53,INDEX(T_Equipos[Grupo],MATCH(BD8,T_Equipos[NombreEquipo],0)))&amp;")")</f>
        <v>P.1 (2)</v>
      </c>
      <c r="CT8" s="119" t="n">
        <f aca="false">IF($CS8="-","-",SUMIFS(FG_GolesLocal,FGLocal,$BD8,Part2Empate6V,$CS8)+SUMIFS(FG_GolesVisitante,FGVisitante,$BD8,Part2Empate6L,$CS8))</f>
        <v>0</v>
      </c>
      <c r="CU8" s="119" t="n">
        <f aca="false">CR8+COUNTIFS($CS$6:$CS$53,CS8,$CT$6:CT$53,"&gt;"&amp;CT8,$BC$6:$BC$53,INDEX(T_Equipos[Grupo],MATCH(BD8,T_Equipos[NombreEquipo],0)))</f>
        <v>1</v>
      </c>
      <c r="CV8" s="118" t="str">
        <f aca="false">IF(COUNTIFS($CU$6:$CU$53,CU8,$BC$6:$BC$53,INDEX(T_Equipos[Grupo],MATCH(BD8,T_Equipos[NombreEquipo],0)))=1,"-","P."&amp;CU8&amp;" ("&amp;COUNTIFS($CU$6:$CU$53,CU8,$BC$6:$BC$53,INDEX(T_Equipos[Grupo],MATCH(BD8,T_Equipos[NombreEquipo],0)))&amp;")")</f>
        <v>P.1 (2)</v>
      </c>
      <c r="CW8" s="118" t="n">
        <f aca="false">IF(CV8="-","-",BL8)</f>
        <v>1</v>
      </c>
      <c r="CX8" s="118" t="n">
        <f aca="false">CU8+COUNTIFS($CV$6:$CV$53,CV8,$CW$6:CW$53,"&gt;"&amp;CW8,$BC$6:$BC$53,INDEX(T_Equipos[Grupo],MATCH(BD8,T_Equipos[NombreEquipo],0)))</f>
        <v>2</v>
      </c>
      <c r="CY8" s="118" t="str">
        <f aca="false">IF(COUNTIFS($CX$6:$CX$53,CX8,$BC$6:$BC$53,INDEX(T_Equipos[Grupo],MATCH(BD8,T_Equipos[NombreEquipo],0)))=1,"-","P."&amp;CX8&amp;" ("&amp;COUNTIFS($CX$6:$CX$53,CX8,$BC$6:$BC$53,INDEX(T_Equipos[Grupo],MATCH(BD8,T_Equipos[NombreEquipo],0)))&amp;")")</f>
        <v>-</v>
      </c>
      <c r="CZ8" s="118" t="str">
        <f aca="false">IF(CY8="-","-",BJ8)</f>
        <v>-</v>
      </c>
      <c r="DA8" s="119" t="n">
        <f aca="false">CX8+COUNTIFS($CY$6:$CY$53,CY8,$CZ$6:CZ$53,"&gt;"&amp;CZ8,$BC$6:$BC$53,INDEX(T_Equipos[Grupo],MATCH(BD8,T_Equipos[NombreEquipo],0)))</f>
        <v>2</v>
      </c>
      <c r="DB8" s="118" t="str">
        <f aca="false">IF(COUNTIFS($DA$6:$DA$53,DA8,$BC$6:$BC$53,INDEX(T_Equipos[Grupo],MATCH(BD8,T_Equipos[NombreEquipo],0)))=1,"-","P."&amp;DA8&amp;" ("&amp;COUNTIFS($DA$6:$DA$53,DA8,$BC$6:$BC$53,INDEX(T_Equipos[Grupo],MATCH(BD8,T_Equipos[NombreEquipo],0)))&amp;")")</f>
        <v>-</v>
      </c>
      <c r="DC8" s="116" t="str">
        <f aca="false">IF(DB8="-","-",COUNTIFS(T_Equipos[Rank],"&lt;"&amp;INDEX(T_Equipos[Rank],MATCH(BD8,T_Equipos[NombreEquipo],0)),$BC$6:$BC$53,INDEX(T_Equipos[Grupo],MATCH(BD8,T_Equipos[NombreEquipo],0)))+1)</f>
        <v>-</v>
      </c>
      <c r="DD8" s="116" t="n">
        <f aca="false">DA8+COUNTIFS($DB$6:$DB$53,DB8,$DC$6:DC$53,"&lt;"&amp;DC8,$BC$6:$BC$53,INDEX(T_Equipos[Grupo],MATCH(BD8,T_Equipos[NombreEquipo],0)))</f>
        <v>2</v>
      </c>
      <c r="DE8" s="116"/>
      <c r="DF8" s="116" t="n">
        <f aca="false">IF(OR(INDEX($AW$6:$AW$97,MATCH($BD8,$AV$6:$AV$97,0))="",DB8="-"),DD8,INDEX($AW$6:$AW$97,MATCH($BD8,$AV$6:$AV$97,0))+DD8/1000)</f>
        <v>2</v>
      </c>
      <c r="DG8" s="116" t="str">
        <f aca="false">IF(DB8="-","-",COUNTIFS(DF$6:DF$53,"&lt;"&amp;DF8,$BC$6:$BC$53,INDEX(T_Equipos[Grupo],MATCH(BD8,T_Equipos[NombreEquipo],0))))</f>
        <v>-</v>
      </c>
      <c r="DH8" s="116" t="n">
        <f aca="false">DA8+COUNTIFS(DB$6:DB$53,DB8,DG$6:DG$53,"&lt;"&amp;DG8,$BC$6:$BC$53,INDEX(T_Equipos[Grupo],MATCH(BD8,T_Equipos[NombreEquipo],0)))</f>
        <v>2</v>
      </c>
      <c r="DI8" s="55"/>
      <c r="DJ8" s="55" t="n">
        <f aca="false">INDEX($DA$6:$DA$53,MATCH($DQ8,$BD$6:$BD$53,0))</f>
        <v>3</v>
      </c>
      <c r="DK8" s="55" t="n">
        <f aca="false">+SUMIF($BC$6:$BC$53,BC8,$BF$6:$BF$53)</f>
        <v>4</v>
      </c>
      <c r="DL8" s="55" t="n">
        <f aca="false">IF(OR(DK8=12,$AJ$99=144),COUNTIFS($DJ$6:$DJ$53,DJ8,$BC$6:$BC$53,BC8),1)</f>
        <v>1</v>
      </c>
      <c r="DM8" s="120" t="str">
        <f aca="false">DJ8&amp;"."&amp;DL8</f>
        <v>3.1</v>
      </c>
      <c r="DN8" s="55" t="n">
        <f aca="true" t="array" ref="DN8:DN8">OFFSET(Horarios!$P$3,DJ8-1,0,DL8,1)</f>
        <v>3</v>
      </c>
      <c r="DO8" s="55"/>
      <c r="DP8" s="55" t="s">
        <v>80</v>
      </c>
      <c r="DQ8" s="55" t="str">
        <f aca="false">INDEX($BD$6:$BD$53,MATCH(DP8,$BM$6:$BM$53,0))</f>
        <v>República Checa</v>
      </c>
      <c r="DR8" s="55"/>
      <c r="DS8" s="55"/>
      <c r="DT8" s="55" t="str">
        <f aca="false">AA8&amp;"-"&amp;AF8</f>
        <v>República Checa-México</v>
      </c>
      <c r="DU8" s="55"/>
      <c r="DV8" s="55"/>
      <c r="DW8" s="57"/>
    </row>
    <row r="9" customFormat="false" ht="18" hidden="false" customHeight="true" outlineLevel="0" collapsed="false">
      <c r="A9" s="39"/>
      <c r="B9" s="72"/>
      <c r="C9" s="39"/>
      <c r="D9" s="55" t="str">
        <f aca="false">IF(OR(AC9="",AD9=""),"Pendiente",IF(AC9&gt;AD9,"Local",IF(AC9&lt;AD9,"Visitante","Empate")))</f>
        <v>Pendiente</v>
      </c>
      <c r="E9" s="55" t="str">
        <f aca="false">IF(D9="Pendiente","-",INDEX($BT$6:$BT$53,MATCH($AA9,$BD$6:$BD$53,0)))</f>
        <v>-</v>
      </c>
      <c r="F9" s="55" t="str">
        <f aca="false">IF(D9="Pendiente","-",INDEX($BT$6:$BT$53,MATCH($AF9,$BD$6:$BD$53,0)))</f>
        <v>-</v>
      </c>
      <c r="G9" s="55"/>
      <c r="H9" s="55" t="str">
        <f aca="false">IF(D9="Pendiente","-",INDEX($BZ$6:$BZ$53,MATCH($AA9,$BD$6:$BD$53,0)))</f>
        <v>-</v>
      </c>
      <c r="I9" s="55" t="str">
        <f aca="false">IF(D9="Pendiente","-",INDEX($BZ$6:$BZ$53,MATCH($AF9,$BD$6:$BD$53,0)))</f>
        <v>-</v>
      </c>
      <c r="J9" s="55"/>
      <c r="K9" s="55" t="str">
        <f aca="false">IF(D9="Pendiente","-",INDEX($CE$6:$CE$53,MATCH($AA9,$BD$6:$BD$53,0)))</f>
        <v>-</v>
      </c>
      <c r="L9" s="55" t="str">
        <f aca="false">IF(D9="Pendiente","-",INDEX($CE$6:$CE$53,MATCH($AF9,$BD$6:$BD$53,0)))</f>
        <v>-</v>
      </c>
      <c r="M9" s="55"/>
      <c r="N9" s="55" t="str">
        <f aca="false">IF(D9="Pendiente","-",INDEX($CH$6:$CH$53,MATCH($AA9,$BD$6:$BD$53,0)))</f>
        <v>-</v>
      </c>
      <c r="O9" s="55" t="str">
        <f aca="false">IF(D9="Pendiente","-",INDEX($CH$6:$CH$53,MATCH($AF9,$BD$6:$BD$53,0)))</f>
        <v>-</v>
      </c>
      <c r="P9" s="55"/>
      <c r="Q9" s="55" t="str">
        <f aca="false">IF(D9="Pendiente","-",INDEX($CN$6:$CN$53,MATCH($AA9,$BD$6:$BD$53,0)))</f>
        <v>-</v>
      </c>
      <c r="R9" s="55" t="str">
        <f aca="false">IF(D9="Pendiente","-",INDEX($CN$6:$CN$53,MATCH($AF9,$BD$6:$BD$53,0)))</f>
        <v>-</v>
      </c>
      <c r="S9" s="55"/>
      <c r="T9" s="55" t="str">
        <f aca="false">IF(D9="Pendiente","-",INDEX($CS$6:$CS$53,MATCH($AA9,$BD$6:$BD$53,0)))</f>
        <v>-</v>
      </c>
      <c r="U9" s="55" t="str">
        <f aca="false">IF(D9="Pendiente","-",INDEX($CS$6:$CS$53,MATCH($AF9,$BD$6:$BD$53,0)))</f>
        <v>-</v>
      </c>
      <c r="V9" s="46"/>
      <c r="W9" s="73"/>
      <c r="X9" s="129" t="n">
        <f aca="false">Horarios!C9</f>
        <v>46198.125</v>
      </c>
      <c r="Y9" s="130" t="n">
        <f aca="false">Horarios!C9</f>
        <v>46198.125</v>
      </c>
      <c r="Z9" s="131" t="str">
        <f aca="false">$Z$8</f>
        <v>J3</v>
      </c>
      <c r="AA9" s="132" t="str">
        <f aca="false">A6</f>
        <v>Sudáfrica</v>
      </c>
      <c r="AB9" s="133" t="str">
        <f aca="true" t="array" ref="AB9:AB9">Ver_flag_local</f>
        <v/>
      </c>
      <c r="AC9" s="134"/>
      <c r="AD9" s="135"/>
      <c r="AE9" s="136" t="str">
        <f aca="true" t="array" ref="AE9:AE9">Ver_flag_visit</f>
        <v/>
      </c>
      <c r="AF9" s="137" t="str">
        <f aca="false">A7</f>
        <v>Corea del Sur</v>
      </c>
      <c r="AG9" s="83" t="n">
        <f aca="false">IF(NOT(OR(ISBLANK(AC9),ISBLANK(AD9))),1,0)</f>
        <v>0</v>
      </c>
      <c r="AH9" s="84" t="n">
        <v>54</v>
      </c>
      <c r="AI9" s="85" t="str">
        <f aca="false">AJ9&amp;$B$4</f>
        <v>4A</v>
      </c>
      <c r="AJ9" s="138" t="n">
        <v>4</v>
      </c>
      <c r="AK9" s="139" t="str">
        <f aca="true" t="array" ref="AK9:AK9">Ver_flag_visit</f>
        <v/>
      </c>
      <c r="AL9" s="140" t="str">
        <f aca="false">IFERROR(INDEX($BD$6:$BD$53,MATCH(AI9,$BN$6:$BN$53,0)),"")</f>
        <v>Sudáfrica</v>
      </c>
      <c r="AM9" s="141" t="n">
        <f aca="false">INDEX($BE$6:$BN$53,MATCH($AL9,$BD$6:$BD$53,0),MATCH(AM$5,$BE$5:$BN$5,0))</f>
        <v>0</v>
      </c>
      <c r="AN9" s="142" t="n">
        <f aca="false">INDEX($BE$6:$BN$53,MATCH($AL9,$BD$6:$BD$53,0),MATCH(AN$5,$BE$5:$BN$5,0))</f>
        <v>1</v>
      </c>
      <c r="AO9" s="142" t="n">
        <f aca="false">INDEX($BE$6:$BN$53,MATCH($AL9,$BD$6:$BD$53,0),MATCH(AO$5,$BE$5:$BN$5,0))</f>
        <v>0</v>
      </c>
      <c r="AP9" s="142" t="n">
        <f aca="false">INDEX($BE$6:$BN$53,MATCH($AL9,$BD$6:$BD$53,0),MATCH(AP$5,$BE$5:$BN$5,0))</f>
        <v>0</v>
      </c>
      <c r="AQ9" s="142" t="n">
        <f aca="false">INDEX($BE$6:$BN$53,MATCH($AL9,$BD$6:$BD$53,0),MATCH(AQ$5,$BE$5:$BN$5,0))</f>
        <v>1</v>
      </c>
      <c r="AR9" s="142" t="n">
        <f aca="false">INDEX($BE$6:$BN$53,MATCH($AL9,$BD$6:$BD$53,0),MATCH(AR$5,$BE$5:$BN$5,0))</f>
        <v>0</v>
      </c>
      <c r="AS9" s="142" t="n">
        <f aca="false">INDEX($BE$6:$BN$53,MATCH($AL9,$BD$6:$BD$53,0),MATCH(AS$5,$BE$5:$BN$5,0))</f>
        <v>2</v>
      </c>
      <c r="AT9" s="143" t="n">
        <f aca="false">INDEX($BE$6:$BN$53,MATCH($AL9,$BD$6:$BD$53,0),MATCH(AT$5,$BE$5:$BN$5,0))</f>
        <v>-2</v>
      </c>
      <c r="AU9" s="110" t="n">
        <f aca="false">INDEX($DL$6:$DL$53,MATCH(AI9,$DP$6:$DP$53,0))</f>
        <v>1</v>
      </c>
      <c r="AV9" s="111" t="str">
        <f aca="false">INDEX($BD$6:$BD$53,MATCH(AI9,$BM$6:$BM$53,0))</f>
        <v>Sudáfrica</v>
      </c>
      <c r="AW9" s="112" t="n">
        <v>4</v>
      </c>
      <c r="AX9" s="113"/>
      <c r="AY9" s="144" t="str">
        <f aca="false">+A8</f>
        <v>República Checa</v>
      </c>
      <c r="AZ9" s="145"/>
      <c r="BA9" s="49"/>
      <c r="BB9" s="55"/>
      <c r="BC9" s="116" t="str">
        <f aca="false">+INDEX(T_Equipos[Grupo],MATCH(WORLDCUP!BD9,T_Equipos[NombreEquipo],0))</f>
        <v>A</v>
      </c>
      <c r="BD9" s="55" t="str">
        <f aca="false">+Equipos!B5</f>
        <v>República Checa</v>
      </c>
      <c r="BE9" s="117" t="n">
        <f aca="false">+BG9*3+BH9+IF($AZ$3="no",0,INDEX($AZ$6:$AZ$97,MATCH(BD9,$AY$6:$AY$97,0)))</f>
        <v>0</v>
      </c>
      <c r="BF9" s="117" t="n">
        <f aca="false">+BG9+BH9+BI9</f>
        <v>1</v>
      </c>
      <c r="BG9" s="117" t="n">
        <f aca="false">+COUNTIFS(FGLocal,BD9,Ganador,"Local")+COUNTIFS(FGVisitante,BD9,Ganador,"Visitante")</f>
        <v>0</v>
      </c>
      <c r="BH9" s="117" t="n">
        <f aca="false">+COUNTIFS(FGLocal,BD9,Ganador,"Empate")+COUNTIFS(FGVisitante,BD9,Ganador,"Empate")</f>
        <v>0</v>
      </c>
      <c r="BI9" s="117" t="n">
        <f aca="false">+COUNTIFS(FGVisitante,BD9,Ganador,"Local")+COUNTIFS(FGLocal,BD9,Ganador,"Visitante")</f>
        <v>1</v>
      </c>
      <c r="BJ9" s="117" t="n">
        <f aca="false">+SUMIFS(FG_GolesLocal,FGLocal,BD9,Ganador,"&lt;&gt;"&amp;"Pendiente",FG_GolesLocal,"&lt;&gt;"&amp;"",FG_GolesVisitante,"&lt;&gt;"&amp;"")+SUMIFS(FG_GolesVisitante,FGVisitante,BD9,Ganador,"&lt;&gt;"&amp;"Pendiente",FG_GolesLocal,"&lt;&gt;"&amp;"",FG_GolesVisitante,"&lt;&gt;"&amp;"")</f>
        <v>1</v>
      </c>
      <c r="BK9" s="117" t="n">
        <f aca="false">+SUMIFS(FG_GolesLocal,FGVisitante,BD9,Ganador,"&lt;&gt;"&amp;"Pendiente",FG_GolesLocal,"&lt;&gt;"&amp;"",FG_GolesVisitante,"&lt;&gt;"&amp;"")+SUMIFS(FG_GolesVisitante,FGLocal,BD9,Ganador,"&lt;&gt;"&amp;"Pendiente",FG_GolesLocal,"&lt;&gt;"&amp;"",FG_GolesVisitante,"&lt;&gt;"&amp;"")</f>
        <v>2</v>
      </c>
      <c r="BL9" s="117" t="n">
        <f aca="false">+BJ9-BK9</f>
        <v>-1</v>
      </c>
      <c r="BM9" s="117" t="str">
        <f aca="false">DD9&amp;BC9</f>
        <v>3A</v>
      </c>
      <c r="BN9" s="117" t="str">
        <f aca="false">DH9&amp;BC9</f>
        <v>3A</v>
      </c>
      <c r="BO9" s="118" t="n">
        <f aca="false">IF(AND($AJ$99=144,BF9&gt;=1),1,0)</f>
        <v>0</v>
      </c>
      <c r="BP9" s="118" t="n">
        <f aca="false">COUNTIFS($BO$6:$BO$53,"&gt;"&amp;BO9,$BC$6:$BC$53,INDEX(T_Equipos[Grupo],MATCH(BD9,T_Equipos[NombreEquipo],0)))+1</f>
        <v>1</v>
      </c>
      <c r="BQ9" s="118" t="str">
        <f aca="false">IF(COUNTIFS($BP$6:$BP$53,BP9,$BC$6:$BC$53,INDEX(T_Equipos[Grupo],MATCH(BD9,T_Equipos[NombreEquipo],0)))=1,"-","P."&amp;BP9&amp;" ("&amp;COUNTIFS($BP$6:$BP$53,BP9,$BC$6:$BC$53,INDEX(T_Equipos[Grupo],MATCH(BD9,T_Equipos[NombreEquipo],0)))&amp;")")</f>
        <v>P.1 (4)</v>
      </c>
      <c r="BR9" s="118" t="n">
        <f aca="false">IF($BQ9="-","-",BE9)</f>
        <v>0</v>
      </c>
      <c r="BS9" s="118" t="n">
        <f aca="false">BP9+COUNTIFS($BQ$6:$BQ$53,BQ9,$BR$6:BR$53,"&gt;"&amp;BR9,$BC$6:$BC$53,INDEX(T_Equipos[Grupo],MATCH(BD9,T_Equipos[NombreEquipo],0)))</f>
        <v>3</v>
      </c>
      <c r="BT9" s="118" t="str">
        <f aca="false">IF(COUNTIFS($BS$6:$BS$53,BS9,$BC$6:$BC$53,INDEX(T_Equipos[Grupo],MATCH(BD9,T_Equipos[NombreEquipo],0)))=1,"-","P."&amp;BS9&amp;" ("&amp;COUNTIFS($BS$6:$BS$53,BS9,$BC$6:$BC$53,INDEX(T_Equipos[Grupo],MATCH(BD9,T_Equipos[NombreEquipo],0)))&amp;")")</f>
        <v>P.3 (2)</v>
      </c>
      <c r="BU9" s="119" t="n">
        <f aca="false">IF($BT9="-","-",COUNTIFS(FGLocal,$BD9,Ganador,"Local",Part1Empate1V,$BT9)+COUNTIFS(FGVisitante,$BD9,Ganador,"Visitante",Part1Empate1L,$BT9))</f>
        <v>0</v>
      </c>
      <c r="BV9" s="119" t="n">
        <f aca="false">IF($BT9="-","-",COUNTIFS(FGLocal,$BD9,Ganador,"Empate",Part1Empate1V,$BT9)+COUNTIFS(FGVisitante,$BD9,Ganador,"Empate",Part1Empate1L,$BT9))</f>
        <v>0</v>
      </c>
      <c r="BW9" s="119" t="n">
        <f aca="false">IF($BT9="-","-",COUNTIFS(FGLocal,$BD9,Ganador,"Visitante",Part1Empate1V,$BT9)+COUNTIFS(FGVisitante,$BD9,Ganador,"Local",Part1Empate1L,$BT9))</f>
        <v>0</v>
      </c>
      <c r="BX9" s="119" t="n">
        <f aca="false">IF($BT9="-","-",BU9*3+BV9)</f>
        <v>0</v>
      </c>
      <c r="BY9" s="119" t="n">
        <f aca="false">BS9+COUNTIFS($BT$6:$BT$53,BT9,$BX$6:BX$53,"&gt;"&amp;BX9,$BC$6:$BC$53,INDEX(T_Equipos[Grupo],MATCH(BD9,T_Equipos[NombreEquipo],0)))</f>
        <v>3</v>
      </c>
      <c r="BZ9" s="118" t="str">
        <f aca="false">IF(COUNTIFS($BY$6:$BY$53,BY9,$BC$6:$BC$53,INDEX(T_Equipos[Grupo],MATCH(BD9,T_Equipos[NombreEquipo],0)))=1,"-","P."&amp;BY9&amp;" ("&amp;COUNTIFS($BY$6:$BY$53,BY9,$BC$6:$BC$53,INDEX(T_Equipos[Grupo],MATCH(BD9,T_Equipos[NombreEquipo],0)))&amp;")")</f>
        <v>P.3 (2)</v>
      </c>
      <c r="CA9" s="119" t="n">
        <f aca="false">IF($BZ9="-","-",SUMIFS(FG_GolesLocal,FGLocal,$BD9,Part1Empate2V,$BZ9)+SUMIFS(FG_GolesVisitante,FGVisitante,$BD9,Part1Empate2L,$BZ9))</f>
        <v>0</v>
      </c>
      <c r="CB9" s="119" t="n">
        <f aca="false">IF($BZ9="-","-",SUMIFS(FG_GolesVisitante,FGLocal,$BD9,Part1Empate2V,$BZ9)+SUMIFS(FG_GolesLocal,FGVisitante,$BD9,Part1Empate2L,$BZ9))</f>
        <v>0</v>
      </c>
      <c r="CC9" s="119" t="n">
        <f aca="false">IF($BZ9="-","-",CA9-CB9)</f>
        <v>0</v>
      </c>
      <c r="CD9" s="119" t="n">
        <f aca="false">BY9+COUNTIFS($BZ$6:$BZ$53,BZ9,$CC$6:CC$53,"&gt;"&amp;CC9,$BC$6:$BC$53,INDEX(T_Equipos[Grupo],MATCH(BD9,T_Equipos[NombreEquipo],0)))</f>
        <v>3</v>
      </c>
      <c r="CE9" s="118" t="str">
        <f aca="false">IF(COUNTIFS($CD$6:$CD$53,CD9,$BC$6:$BC$53,INDEX(T_Equipos[Grupo],MATCH(BD9,T_Equipos[NombreEquipo],0)))=1,"-","P."&amp;CD9&amp;" ("&amp;COUNTIFS($CD$6:$CD$53,CD9,$BC$6:$BC$53,INDEX(T_Equipos[Grupo],MATCH(BD9,T_Equipos[NombreEquipo],0)))&amp;")")</f>
        <v>P.3 (2)</v>
      </c>
      <c r="CF9" s="119" t="n">
        <f aca="false">IF($CE9="-","-",SUMIFS(FG_GolesLocal,FGLocal,$BD9,Part1Empate3V,$CE9)+SUMIFS(FG_GolesVisitante,FGVisitante,$BD9,Part1Empate3L,$CE9))</f>
        <v>0</v>
      </c>
      <c r="CG9" s="119" t="n">
        <f aca="false">CD9+COUNTIFS($CE$6:$CE$53,CE9,$CF$6:CF$53,"&gt;"&amp;CF9,$BC$6:$BC$53,INDEX(T_Equipos[Grupo],MATCH(BD9,T_Equipos[NombreEquipo],0)))</f>
        <v>3</v>
      </c>
      <c r="CH9" s="118" t="str">
        <f aca="false">IF(COUNTIFS($CG$6:$CG$53,CG9,$BC$6:$BC$53,INDEX(T_Equipos[Grupo],MATCH(BD9,T_Equipos[NombreEquipo],0)))=1,"-","P."&amp;CG9&amp;" ("&amp;COUNTIFS($CG$6:$CG$53,CG9,$BC$6:$BC$53,INDEX(T_Equipos[Grupo],MATCH(BD9,T_Equipos[NombreEquipo],0)))&amp;")")</f>
        <v>P.3 (2)</v>
      </c>
      <c r="CI9" s="119" t="n">
        <f aca="false">IF($CH9="-","-",COUNTIFS(FGLocal,$BD9,Ganador,"Local",Part2Empate4V,$CH9)+COUNTIFS(FGVisitante,$BD9,Ganador,"Visitante",Part2Empate4L,$CH9))</f>
        <v>0</v>
      </c>
      <c r="CJ9" s="119" t="n">
        <f aca="false">IF($CH9="-","-",COUNTIFS(FGLocal,$BD9,Ganador,"Empate",Part2Empate4V,$CH9)+COUNTIFS(FGVisitante,$BD9,Ganador,"Empate",Part2Empate4L,$CH9))</f>
        <v>0</v>
      </c>
      <c r="CK9" s="119" t="n">
        <f aca="false">IF($CH9="-","-",COUNTIFS(FGLocal,$BD9,Ganador,"Visitante",Part2Empate4V,$CH9)+COUNTIFS(FGVisitante,$BD9,Ganador,"Local",Part2Empate4L,$CH9))</f>
        <v>0</v>
      </c>
      <c r="CL9" s="119" t="n">
        <f aca="false">IF($CH9="-","-",CI9*3+CJ9)</f>
        <v>0</v>
      </c>
      <c r="CM9" s="119" t="n">
        <f aca="false">CG9+COUNTIFS($CH$6:$CH$53,CH9,$CL$6:CL$53,"&gt;"&amp;CL9,$BC$6:$BC$53,INDEX(T_Equipos[Grupo],MATCH(BD9,T_Equipos[NombreEquipo],0)))</f>
        <v>3</v>
      </c>
      <c r="CN9" s="118" t="str">
        <f aca="false">IF(COUNTIFS($CM$6:$CM$53,CM9,$BC$6:$BC$53,INDEX(T_Equipos[Grupo],MATCH(BD9,T_Equipos[NombreEquipo],0)))=1,"-","P."&amp;CM9&amp;" ("&amp;COUNTIFS($CM$6:$CM$53,CM9,$BC$6:$BC$53,INDEX(T_Equipos[Grupo],MATCH(BD9,T_Equipos[NombreEquipo],0)))&amp;")")</f>
        <v>P.3 (2)</v>
      </c>
      <c r="CO9" s="119" t="n">
        <f aca="false">IF($CN9="-","-",SUMIFS(FG_GolesLocal,FGLocal,$BD9,Part2Empate5V,$CN9)+SUMIFS(FG_GolesVisitante,FGVisitante,$BD9,Part2Empate5L,$CN9))</f>
        <v>0</v>
      </c>
      <c r="CP9" s="119" t="n">
        <f aca="false">IF($CN9="-","-",SUMIFS(FG_GolesVisitante,FGLocal,$BD9,Part2Empate5V,$CN9)+SUMIFS(FG_GolesLocal,FGVisitante,$BD9,Part2Empate5L,$CN9))</f>
        <v>0</v>
      </c>
      <c r="CQ9" s="119" t="n">
        <f aca="false">IF($CN9="-","-",CO9-CP9)</f>
        <v>0</v>
      </c>
      <c r="CR9" s="119" t="n">
        <f aca="false">CM9+COUNTIFS($CN$6:$CN$53,CN9,$CQ$6:CQ$53,"&gt;"&amp;CQ9,$BC$6:$BC$53,INDEX(T_Equipos[Grupo],MATCH(BD9,T_Equipos[NombreEquipo],0)))</f>
        <v>3</v>
      </c>
      <c r="CS9" s="118" t="str">
        <f aca="false">IF(COUNTIFS($CR$6:$CR$53,CR9,$BC$6:$BC$53,INDEX(T_Equipos[Grupo],MATCH(BD9,T_Equipos[NombreEquipo],0)))=1,"-","P."&amp;CR9&amp;" ("&amp;COUNTIFS($CR$6:$CR$53,CR9,$BC$6:$BC$53,INDEX(T_Equipos[Grupo],MATCH(BD9,T_Equipos[NombreEquipo],0)))&amp;")")</f>
        <v>P.3 (2)</v>
      </c>
      <c r="CT9" s="119" t="n">
        <f aca="false">IF($CS9="-","-",SUMIFS(FG_GolesLocal,FGLocal,$BD9,Part2Empate6V,$CS9)+SUMIFS(FG_GolesVisitante,FGVisitante,$BD9,Part2Empate6L,$CS9))</f>
        <v>0</v>
      </c>
      <c r="CU9" s="119" t="n">
        <f aca="false">CR9+COUNTIFS($CS$6:$CS$53,CS9,$CT$6:CT$53,"&gt;"&amp;CT9,$BC$6:$BC$53,INDEX(T_Equipos[Grupo],MATCH(BD9,T_Equipos[NombreEquipo],0)))</f>
        <v>3</v>
      </c>
      <c r="CV9" s="118" t="str">
        <f aca="false">IF(COUNTIFS($CU$6:$CU$53,CU9,$BC$6:$BC$53,INDEX(T_Equipos[Grupo],MATCH(BD9,T_Equipos[NombreEquipo],0)))=1,"-","P."&amp;CU9&amp;" ("&amp;COUNTIFS($CU$6:$CU$53,CU9,$BC$6:$BC$53,INDEX(T_Equipos[Grupo],MATCH(BD9,T_Equipos[NombreEquipo],0)))&amp;")")</f>
        <v>P.3 (2)</v>
      </c>
      <c r="CW9" s="118" t="n">
        <f aca="false">IF(CV9="-","-",BL9)</f>
        <v>-1</v>
      </c>
      <c r="CX9" s="118" t="n">
        <f aca="false">CU9+COUNTIFS($CV$6:$CV$53,CV9,$CW$6:CW$53,"&gt;"&amp;CW9,$BC$6:$BC$53,INDEX(T_Equipos[Grupo],MATCH(BD9,T_Equipos[NombreEquipo],0)))</f>
        <v>3</v>
      </c>
      <c r="CY9" s="118" t="str">
        <f aca="false">IF(COUNTIFS($CX$6:$CX$53,CX9,$BC$6:$BC$53,INDEX(T_Equipos[Grupo],MATCH(BD9,T_Equipos[NombreEquipo],0)))=1,"-","P."&amp;CX9&amp;" ("&amp;COUNTIFS($CX$6:$CX$53,CX9,$BC$6:$BC$53,INDEX(T_Equipos[Grupo],MATCH(BD9,T_Equipos[NombreEquipo],0)))&amp;")")</f>
        <v>-</v>
      </c>
      <c r="CZ9" s="118" t="str">
        <f aca="false">IF(CY9="-","-",BJ9)</f>
        <v>-</v>
      </c>
      <c r="DA9" s="119" t="n">
        <f aca="false">CX9+COUNTIFS($CY$6:$CY$53,CY9,$CZ$6:CZ$53,"&gt;"&amp;CZ9,$BC$6:$BC$53,INDEX(T_Equipos[Grupo],MATCH(BD9,T_Equipos[NombreEquipo],0)))</f>
        <v>3</v>
      </c>
      <c r="DB9" s="118" t="str">
        <f aca="false">IF(COUNTIFS($DA$6:$DA$53,DA9,$BC$6:$BC$53,INDEX(T_Equipos[Grupo],MATCH(BD9,T_Equipos[NombreEquipo],0)))=1,"-","P."&amp;DA9&amp;" ("&amp;COUNTIFS($DA$6:$DA$53,DA9,$BC$6:$BC$53,INDEX(T_Equipos[Grupo],MATCH(BD9,T_Equipos[NombreEquipo],0)))&amp;")")</f>
        <v>-</v>
      </c>
      <c r="DC9" s="116" t="str">
        <f aca="false">IF(DB9="-","-",COUNTIFS(T_Equipos[Rank],"&lt;"&amp;INDEX(T_Equipos[Rank],MATCH(BD9,T_Equipos[NombreEquipo],0)),$BC$6:$BC$53,INDEX(T_Equipos[Grupo],MATCH(BD9,T_Equipos[NombreEquipo],0)))+1)</f>
        <v>-</v>
      </c>
      <c r="DD9" s="116" t="n">
        <f aca="false">DA9+COUNTIFS($DB$6:$DB$53,DB9,$DC$6:DC$53,"&lt;"&amp;DC9,$BC$6:$BC$53,INDEX(T_Equipos[Grupo],MATCH(BD9,T_Equipos[NombreEquipo],0)))</f>
        <v>3</v>
      </c>
      <c r="DE9" s="116"/>
      <c r="DF9" s="116" t="n">
        <f aca="false">IF(OR(INDEX($AW$6:$AW$97,MATCH($BD9,$AV$6:$AV$97,0))="",DB9="-"),DD9,INDEX($AW$6:$AW$97,MATCH($BD9,$AV$6:$AV$97,0))+DD9/1000)</f>
        <v>3</v>
      </c>
      <c r="DG9" s="116" t="str">
        <f aca="false">IF(DB9="-","-",COUNTIFS(DF$6:DF$53,"&lt;"&amp;DF9,$BC$6:$BC$53,INDEX(T_Equipos[Grupo],MATCH(BD9,T_Equipos[NombreEquipo],0))))</f>
        <v>-</v>
      </c>
      <c r="DH9" s="116" t="n">
        <f aca="false">DA9+COUNTIFS(DB$6:DB$53,DB9,DG$6:DG$53,"&lt;"&amp;DG9,$BC$6:$BC$53,INDEX(T_Equipos[Grupo],MATCH(BD9,T_Equipos[NombreEquipo],0)))</f>
        <v>3</v>
      </c>
      <c r="DI9" s="55"/>
      <c r="DJ9" s="55" t="n">
        <f aca="false">INDEX($DA$6:$DA$53,MATCH($DQ9,$BD$6:$BD$53,0))</f>
        <v>4</v>
      </c>
      <c r="DK9" s="55" t="n">
        <f aca="false">+SUMIF($BC$6:$BC$53,BC9,$BF$6:$BF$53)</f>
        <v>4</v>
      </c>
      <c r="DL9" s="55" t="n">
        <f aca="false">IF(OR(DK9=12,$AJ$99=144),COUNTIFS($DJ$6:$DJ$53,DJ9,$BC$6:$BC$53,BC9),1)</f>
        <v>1</v>
      </c>
      <c r="DM9" s="120" t="str">
        <f aca="false">DJ9&amp;"."&amp;DL9</f>
        <v>4.1</v>
      </c>
      <c r="DN9" s="55" t="n">
        <f aca="true" t="array" ref="DN9:DN9">OFFSET(Horarios!$P$3,DJ9-1,0,DL9,1)</f>
        <v>4</v>
      </c>
      <c r="DO9" s="55"/>
      <c r="DP9" s="55" t="s">
        <v>81</v>
      </c>
      <c r="DQ9" s="55" t="str">
        <f aca="false">INDEX($BD$6:$BD$53,MATCH(DP9,$BM$6:$BM$53,0))</f>
        <v>Sudáfrica</v>
      </c>
      <c r="DR9" s="55"/>
      <c r="DS9" s="55"/>
      <c r="DT9" s="55" t="str">
        <f aca="false">AA9&amp;"-"&amp;AF9</f>
        <v>Sudáfrica-Corea del Sur</v>
      </c>
      <c r="DU9" s="55"/>
      <c r="DV9" s="55"/>
      <c r="DW9" s="57"/>
    </row>
    <row r="10" customFormat="false" ht="15" hidden="false" customHeight="true" outlineLevel="0" collapsed="false">
      <c r="A10" s="39"/>
      <c r="B10" s="72"/>
      <c r="C10" s="39"/>
      <c r="D10" s="55"/>
      <c r="E10" s="55"/>
      <c r="F10" s="55"/>
      <c r="G10" s="55"/>
      <c r="H10" s="55"/>
      <c r="I10" s="55"/>
      <c r="J10" s="55"/>
      <c r="K10" s="55"/>
      <c r="L10" s="55"/>
      <c r="M10" s="55"/>
      <c r="N10" s="55"/>
      <c r="O10" s="55"/>
      <c r="P10" s="55"/>
      <c r="Q10" s="55"/>
      <c r="R10" s="55"/>
      <c r="S10" s="55"/>
      <c r="T10" s="55"/>
      <c r="U10" s="55"/>
      <c r="V10" s="46"/>
      <c r="W10" s="146"/>
      <c r="X10" s="147"/>
      <c r="Y10" s="146"/>
      <c r="Z10" s="148"/>
      <c r="AA10" s="149"/>
      <c r="AB10" s="150"/>
      <c r="AC10" s="151"/>
      <c r="AD10" s="151"/>
      <c r="AE10" s="150"/>
      <c r="AF10" s="152"/>
      <c r="AG10" s="83"/>
      <c r="AH10" s="84"/>
      <c r="AI10" s="85"/>
      <c r="AJ10" s="153"/>
      <c r="AK10" s="154"/>
      <c r="AL10" s="66"/>
      <c r="AM10" s="155"/>
      <c r="AN10" s="153"/>
      <c r="AO10" s="153"/>
      <c r="AP10" s="153"/>
      <c r="AQ10" s="153"/>
      <c r="AR10" s="153"/>
      <c r="AS10" s="153"/>
      <c r="AT10" s="153"/>
      <c r="AU10" s="156"/>
      <c r="AV10" s="157"/>
      <c r="AW10" s="158"/>
      <c r="AX10" s="113"/>
      <c r="AY10" s="146"/>
      <c r="AZ10" s="147"/>
      <c r="BA10" s="49"/>
      <c r="BB10" s="55"/>
      <c r="BC10" s="116" t="str">
        <f aca="false">+INDEX(T_Equipos[Grupo],MATCH(WORLDCUP!BD10,T_Equipos[NombreEquipo],0))</f>
        <v>B</v>
      </c>
      <c r="BD10" s="55" t="str">
        <f aca="false">+Equipos!B6</f>
        <v>Canadá</v>
      </c>
      <c r="BE10" s="117" t="n">
        <f aca="false">+BG10*3+BH10+IF($AZ$3="no",0,INDEX($AZ$6:$AZ$97,MATCH(BD10,$AY$6:$AY$97,0)))</f>
        <v>1</v>
      </c>
      <c r="BF10" s="117" t="n">
        <f aca="false">+BG10+BH10+BI10</f>
        <v>1</v>
      </c>
      <c r="BG10" s="117" t="n">
        <f aca="false">+COUNTIFS(FGLocal,BD10,Ganador,"Local")+COUNTIFS(FGVisitante,BD10,Ganador,"Visitante")</f>
        <v>0</v>
      </c>
      <c r="BH10" s="117" t="n">
        <f aca="false">+COUNTIFS(FGLocal,BD10,Ganador,"Empate")+COUNTIFS(FGVisitante,BD10,Ganador,"Empate")</f>
        <v>1</v>
      </c>
      <c r="BI10" s="117" t="n">
        <f aca="false">+COUNTIFS(FGVisitante,BD10,Ganador,"Local")+COUNTIFS(FGLocal,BD10,Ganador,"Visitante")</f>
        <v>0</v>
      </c>
      <c r="BJ10" s="117" t="n">
        <f aca="false">+SUMIFS(FG_GolesLocal,FGLocal,BD10,Ganador,"&lt;&gt;"&amp;"Pendiente",FG_GolesLocal,"&lt;&gt;"&amp;"",FG_GolesVisitante,"&lt;&gt;"&amp;"")+SUMIFS(FG_GolesVisitante,FGVisitante,BD10,Ganador,"&lt;&gt;"&amp;"Pendiente",FG_GolesLocal,"&lt;&gt;"&amp;"",FG_GolesVisitante,"&lt;&gt;"&amp;"")</f>
        <v>1</v>
      </c>
      <c r="BK10" s="117" t="n">
        <f aca="false">+SUMIFS(FG_GolesLocal,FGVisitante,BD10,Ganador,"&lt;&gt;"&amp;"Pendiente",FG_GolesLocal,"&lt;&gt;"&amp;"",FG_GolesVisitante,"&lt;&gt;"&amp;"")+SUMIFS(FG_GolesVisitante,FGLocal,BD10,Ganador,"&lt;&gt;"&amp;"Pendiente",FG_GolesLocal,"&lt;&gt;"&amp;"",FG_GolesVisitante,"&lt;&gt;"&amp;"")</f>
        <v>1</v>
      </c>
      <c r="BL10" s="117" t="n">
        <f aca="false">+BJ10-BK10</f>
        <v>0</v>
      </c>
      <c r="BM10" s="117" t="str">
        <f aca="false">DD10&amp;BC10</f>
        <v>1B</v>
      </c>
      <c r="BN10" s="117" t="str">
        <f aca="false">DH10&amp;BC10</f>
        <v>1B</v>
      </c>
      <c r="BO10" s="119" t="n">
        <f aca="false">IF(AND($AJ$99=144,BF10&gt;=1),1,0)</f>
        <v>0</v>
      </c>
      <c r="BP10" s="118" t="n">
        <f aca="false">COUNTIFS($BO$6:$BO$53,"&gt;"&amp;BO10,$BC$6:$BC$53,INDEX(T_Equipos[Grupo],MATCH(BD10,T_Equipos[NombreEquipo],0)))+1</f>
        <v>1</v>
      </c>
      <c r="BQ10" s="118" t="str">
        <f aca="false">IF(COUNTIFS($BP$6:$BP$53,BP10,$BC$6:$BC$53,INDEX(T_Equipos[Grupo],MATCH(BD10,T_Equipos[NombreEquipo],0)))=1,"-","P."&amp;BP10&amp;" ("&amp;COUNTIFS($BP$6:$BP$53,BP10,$BC$6:$BC$53,INDEX(T_Equipos[Grupo],MATCH(BD10,T_Equipos[NombreEquipo],0)))&amp;")")</f>
        <v>P.1 (4)</v>
      </c>
      <c r="BR10" s="119" t="n">
        <f aca="false">IF($BQ10="-","-",BE10)</f>
        <v>1</v>
      </c>
      <c r="BS10" s="118" t="n">
        <f aca="false">BP10+COUNTIFS($BQ$6:$BQ$53,BQ10,$BR$6:BR$53,"&gt;"&amp;BR10,$BC$6:$BC$53,INDEX(T_Equipos[Grupo],MATCH(BD10,T_Equipos[NombreEquipo],0)))</f>
        <v>1</v>
      </c>
      <c r="BT10" s="118" t="str">
        <f aca="false">IF(COUNTIFS($BS$6:$BS$53,BS10,$BC$6:$BC$53,INDEX(T_Equipos[Grupo],MATCH(BD10,T_Equipos[NombreEquipo],0)))=1,"-","P."&amp;BS10&amp;" ("&amp;COUNTIFS($BS$6:$BS$53,BS10,$BC$6:$BC$53,INDEX(T_Equipos[Grupo],MATCH(BD10,T_Equipos[NombreEquipo],0)))&amp;")")</f>
        <v>P.1 (4)</v>
      </c>
      <c r="BU10" s="119" t="n">
        <f aca="false">IF($BT10="-","-",COUNTIFS(FGLocal,$BD10,Ganador,"Local",Part1Empate1V,$BT10)+COUNTIFS(FGVisitante,$BD10,Ganador,"Visitante",Part1Empate1L,$BT10))</f>
        <v>0</v>
      </c>
      <c r="BV10" s="119" t="n">
        <f aca="false">IF($BT10="-","-",COUNTIFS(FGLocal,$BD10,Ganador,"Empate",Part1Empate1V,$BT10)+COUNTIFS(FGVisitante,$BD10,Ganador,"Empate",Part1Empate1L,$BT10))</f>
        <v>1</v>
      </c>
      <c r="BW10" s="119" t="n">
        <f aca="false">IF($BT10="-","-",COUNTIFS(FGLocal,$BD10,Ganador,"Visitante",Part1Empate1V,$BT10)+COUNTIFS(FGVisitante,$BD10,Ganador,"Local",Part1Empate1L,$BT10))</f>
        <v>0</v>
      </c>
      <c r="BX10" s="119" t="n">
        <f aca="false">IF($BT10="-","-",BU10*3+BV10)</f>
        <v>1</v>
      </c>
      <c r="BY10" s="119" t="n">
        <f aca="false">BS10+COUNTIFS($BT$6:$BT$53,BT10,$BX$6:BX$53,"&gt;"&amp;BX10,$BC$6:$BC$53,INDEX(T_Equipos[Grupo],MATCH(BD10,T_Equipos[NombreEquipo],0)))</f>
        <v>1</v>
      </c>
      <c r="BZ10" s="118" t="str">
        <f aca="false">IF(COUNTIFS($BY$6:$BY$53,BY10,$BC$6:$BC$53,INDEX(T_Equipos[Grupo],MATCH(BD10,T_Equipos[NombreEquipo],0)))=1,"-","P."&amp;BY10&amp;" ("&amp;COUNTIFS($BY$6:$BY$53,BY10,$BC$6:$BC$53,INDEX(T_Equipos[Grupo],MATCH(BD10,T_Equipos[NombreEquipo],0)))&amp;")")</f>
        <v>P.1 (4)</v>
      </c>
      <c r="CA10" s="119" t="n">
        <f aca="false">IF($BZ10="-","-",SUMIFS(FG_GolesLocal,FGLocal,$BD10,Part1Empate2V,$BZ10)+SUMIFS(FG_GolesVisitante,FGVisitante,$BD10,Part1Empate2L,$BZ10))</f>
        <v>1</v>
      </c>
      <c r="CB10" s="119" t="n">
        <f aca="false">IF($BZ10="-","-",SUMIFS(FG_GolesVisitante,FGLocal,$BD10,Part1Empate2V,$BZ10)+SUMIFS(FG_GolesLocal,FGVisitante,$BD10,Part1Empate2L,$BZ10))</f>
        <v>1</v>
      </c>
      <c r="CC10" s="119" t="n">
        <f aca="false">IF($BZ10="-","-",CA10-CB10)</f>
        <v>0</v>
      </c>
      <c r="CD10" s="119" t="n">
        <f aca="false">BY10+COUNTIFS($BZ$6:$BZ$53,BZ10,$CC$6:CC$53,"&gt;"&amp;CC10,$BC$6:$BC$53,INDEX(T_Equipos[Grupo],MATCH(BD10,T_Equipos[NombreEquipo],0)))</f>
        <v>1</v>
      </c>
      <c r="CE10" s="118" t="str">
        <f aca="false">IF(COUNTIFS($CD$6:$CD$53,CD10,$BC$6:$BC$53,INDEX(T_Equipos[Grupo],MATCH(BD10,T_Equipos[NombreEquipo],0)))=1,"-","P."&amp;CD10&amp;" ("&amp;COUNTIFS($CD$6:$CD$53,CD10,$BC$6:$BC$53,INDEX(T_Equipos[Grupo],MATCH(BD10,T_Equipos[NombreEquipo],0)))&amp;")")</f>
        <v>P.1 (4)</v>
      </c>
      <c r="CF10" s="119" t="n">
        <f aca="false">IF($CE10="-","-",SUMIFS(FG_GolesLocal,FGLocal,$BD10,Part1Empate3V,$CE10)+SUMIFS(FG_GolesVisitante,FGVisitante,$BD10,Part1Empate3L,$CE10))</f>
        <v>1</v>
      </c>
      <c r="CG10" s="119" t="n">
        <f aca="false">CD10+COUNTIFS($CE$6:$CE$53,CE10,$CF$6:CF$53,"&gt;"&amp;CF10,$BC$6:$BC$53,INDEX(T_Equipos[Grupo],MATCH(BD10,T_Equipos[NombreEquipo],0)))</f>
        <v>1</v>
      </c>
      <c r="CH10" s="118" t="str">
        <f aca="false">IF(COUNTIFS($CG$6:$CG$53,CG10,$BC$6:$BC$53,INDEX(T_Equipos[Grupo],MATCH(BD10,T_Equipos[NombreEquipo],0)))=1,"-","P."&amp;CG10&amp;" ("&amp;COUNTIFS($CG$6:$CG$53,CG10,$BC$6:$BC$53,INDEX(T_Equipos[Grupo],MATCH(BD10,T_Equipos[NombreEquipo],0)))&amp;")")</f>
        <v>P.1 (4)</v>
      </c>
      <c r="CI10" s="119" t="n">
        <f aca="false">IF($CH10="-","-",COUNTIFS(FGLocal,$BD10,Ganador,"Local",Part2Empate4V,$CH10)+COUNTIFS(FGVisitante,$BD10,Ganador,"Visitante",Part2Empate4L,$CH10))</f>
        <v>0</v>
      </c>
      <c r="CJ10" s="119" t="n">
        <f aca="false">IF($CH10="-","-",COUNTIFS(FGLocal,$BD10,Ganador,"Empate",Part2Empate4V,$CH10)+COUNTIFS(FGVisitante,$BD10,Ganador,"Empate",Part2Empate4L,$CH10))</f>
        <v>1</v>
      </c>
      <c r="CK10" s="119" t="n">
        <f aca="false">IF($CH10="-","-",COUNTIFS(FGLocal,$BD10,Ganador,"Visitante",Part2Empate4V,$CH10)+COUNTIFS(FGVisitante,$BD10,Ganador,"Local",Part2Empate4L,$CH10))</f>
        <v>0</v>
      </c>
      <c r="CL10" s="119" t="n">
        <f aca="false">IF($CH10="-","-",CI10*3+CJ10)</f>
        <v>1</v>
      </c>
      <c r="CM10" s="119" t="n">
        <f aca="false">CG10+COUNTIFS($CH$6:$CH$53,CH10,$CL$6:CL$53,"&gt;"&amp;CL10,$BC$6:$BC$53,INDEX(T_Equipos[Grupo],MATCH(BD10,T_Equipos[NombreEquipo],0)))</f>
        <v>1</v>
      </c>
      <c r="CN10" s="118" t="str">
        <f aca="false">IF(COUNTIFS($CM$6:$CM$53,CM10,$BC$6:$BC$53,INDEX(T_Equipos[Grupo],MATCH(BD10,T_Equipos[NombreEquipo],0)))=1,"-","P."&amp;CM10&amp;" ("&amp;COUNTIFS($CM$6:$CM$53,CM10,$BC$6:$BC$53,INDEX(T_Equipos[Grupo],MATCH(BD10,T_Equipos[NombreEquipo],0)))&amp;")")</f>
        <v>P.1 (4)</v>
      </c>
      <c r="CO10" s="119" t="n">
        <f aca="false">IF($CN10="-","-",SUMIFS(FG_GolesLocal,FGLocal,$BD10,Part2Empate5V,$CN10)+SUMIFS(FG_GolesVisitante,FGVisitante,$BD10,Part2Empate5L,$CN10))</f>
        <v>1</v>
      </c>
      <c r="CP10" s="119" t="n">
        <f aca="false">IF($CN10="-","-",SUMIFS(FG_GolesVisitante,FGLocal,$BD10,Part2Empate5V,$CN10)+SUMIFS(FG_GolesLocal,FGVisitante,$BD10,Part2Empate5L,$CN10))</f>
        <v>1</v>
      </c>
      <c r="CQ10" s="119" t="n">
        <f aca="false">IF($CN10="-","-",CO10-CP10)</f>
        <v>0</v>
      </c>
      <c r="CR10" s="119" t="n">
        <f aca="false">CM10+COUNTIFS($CN$6:$CN$53,CN10,$CQ$6:CQ$53,"&gt;"&amp;CQ10,$BC$6:$BC$53,INDEX(T_Equipos[Grupo],MATCH(BD10,T_Equipos[NombreEquipo],0)))</f>
        <v>1</v>
      </c>
      <c r="CS10" s="118" t="str">
        <f aca="false">IF(COUNTIFS($CR$6:$CR$53,CR10,$BC$6:$BC$53,INDEX(T_Equipos[Grupo],MATCH(BD10,T_Equipos[NombreEquipo],0)))=1,"-","P."&amp;CR10&amp;" ("&amp;COUNTIFS($CR$6:$CR$53,CR10,$BC$6:$BC$53,INDEX(T_Equipos[Grupo],MATCH(BD10,T_Equipos[NombreEquipo],0)))&amp;")")</f>
        <v>P.1 (4)</v>
      </c>
      <c r="CT10" s="119" t="n">
        <f aca="false">IF($CS10="-","-",SUMIFS(FG_GolesLocal,FGLocal,$BD10,Part2Empate6V,$CS10)+SUMIFS(FG_GolesVisitante,FGVisitante,$BD10,Part2Empate6L,$CS10))</f>
        <v>1</v>
      </c>
      <c r="CU10" s="119" t="n">
        <f aca="false">CR10+COUNTIFS($CS$6:$CS$53,CS10,$CT$6:CT$53,"&gt;"&amp;CT10,$BC$6:$BC$53,INDEX(T_Equipos[Grupo],MATCH(BD10,T_Equipos[NombreEquipo],0)))</f>
        <v>1</v>
      </c>
      <c r="CV10" s="118" t="str">
        <f aca="false">IF(COUNTIFS($CU$6:$CU$53,CU10,$BC$6:$BC$53,INDEX(T_Equipos[Grupo],MATCH(BD10,T_Equipos[NombreEquipo],0)))=1,"-","P."&amp;CU10&amp;" ("&amp;COUNTIFS($CU$6:$CU$53,CU10,$BC$6:$BC$53,INDEX(T_Equipos[Grupo],MATCH(BD10,T_Equipos[NombreEquipo],0)))&amp;")")</f>
        <v>P.1 (4)</v>
      </c>
      <c r="CW10" s="118" t="n">
        <f aca="false">IF(CV10="-","-",BL10)</f>
        <v>0</v>
      </c>
      <c r="CX10" s="118" t="n">
        <f aca="false">CU10+COUNTIFS($CV$6:$CV$53,CV10,$CW$6:CW$53,"&gt;"&amp;CW10,$BC$6:$BC$53,INDEX(T_Equipos[Grupo],MATCH(BD10,T_Equipos[NombreEquipo],0)))</f>
        <v>1</v>
      </c>
      <c r="CY10" s="118" t="str">
        <f aca="false">IF(COUNTIFS($CX$6:$CX$53,CX10,$BC$6:$BC$53,INDEX(T_Equipos[Grupo],MATCH(BD10,T_Equipos[NombreEquipo],0)))=1,"-","P."&amp;CX10&amp;" ("&amp;COUNTIFS($CX$6:$CX$53,CX10,$BC$6:$BC$53,INDEX(T_Equipos[Grupo],MATCH(BD10,T_Equipos[NombreEquipo],0)))&amp;")")</f>
        <v>P.1 (4)</v>
      </c>
      <c r="CZ10" s="118" t="n">
        <f aca="false">IF(CY10="-","-",BJ10)</f>
        <v>1</v>
      </c>
      <c r="DA10" s="119" t="n">
        <f aca="false">CX10+COUNTIFS($CY$6:$CY$53,CY10,$CZ$6:CZ$53,"&gt;"&amp;CZ10,$BC$6:$BC$53,INDEX(T_Equipos[Grupo],MATCH(BD10,T_Equipos[NombreEquipo],0)))</f>
        <v>1</v>
      </c>
      <c r="DB10" s="118" t="str">
        <f aca="false">IF(COUNTIFS($DA$6:$DA$53,DA10,$BC$6:$BC$53,INDEX(T_Equipos[Grupo],MATCH(BD10,T_Equipos[NombreEquipo],0)))=1,"-","P."&amp;DA10&amp;" ("&amp;COUNTIFS($DA$6:$DA$53,DA10,$BC$6:$BC$53,INDEX(T_Equipos[Grupo],MATCH(BD10,T_Equipos[NombreEquipo],0)))&amp;")")</f>
        <v>P.1 (4)</v>
      </c>
      <c r="DC10" s="116" t="n">
        <f aca="false">IF(DB10="-","-",COUNTIFS(T_Equipos[Rank],"&lt;"&amp;INDEX(T_Equipos[Rank],MATCH(BD10,T_Equipos[NombreEquipo],0)),$BC$6:$BC$53,INDEX(T_Equipos[Grupo],MATCH(BD10,T_Equipos[NombreEquipo],0)))+1)</f>
        <v>1</v>
      </c>
      <c r="DD10" s="116" t="n">
        <f aca="false">DA10+COUNTIFS($DB$6:$DB$53,DB10,$DC$6:DC$53,"&lt;"&amp;DC10,$BC$6:$BC$53,INDEX(T_Equipos[Grupo],MATCH(BD10,T_Equipos[NombreEquipo],0)))</f>
        <v>1</v>
      </c>
      <c r="DE10" s="116"/>
      <c r="DF10" s="116" t="n">
        <f aca="false">IF(OR(INDEX($AW$6:$AW$97,MATCH($BD10,$AV$6:$AV$97,0))="",DB10="-"),DD10,INDEX($AW$6:$AW$97,MATCH($BD10,$AV$6:$AV$97,0))+DD10/1000)</f>
        <v>1</v>
      </c>
      <c r="DG10" s="116" t="n">
        <f aca="false">IF(DB10="-","-",COUNTIFS(DF$6:DF$53,"&lt;"&amp;DF10,$BC$6:$BC$53,INDEX(T_Equipos[Grupo],MATCH(BD10,T_Equipos[NombreEquipo],0))))</f>
        <v>0</v>
      </c>
      <c r="DH10" s="116" t="n">
        <f aca="false">DA10+COUNTIFS(DB$6:DB$53,DB10,DG$6:DG$53,"&lt;"&amp;DG10,$BC$6:$BC$53,INDEX(T_Equipos[Grupo],MATCH(BD10,T_Equipos[NombreEquipo],0)))</f>
        <v>1</v>
      </c>
      <c r="DI10" s="55"/>
      <c r="DJ10" s="55" t="n">
        <f aca="false">INDEX($DA$6:$DA$53,MATCH($DQ10,$BD$6:$BD$53,0))</f>
        <v>1</v>
      </c>
      <c r="DK10" s="55" t="n">
        <f aca="false">+SUMIF($BC$6:$BC$53,BC10,$BF$6:$BF$53)</f>
        <v>4</v>
      </c>
      <c r="DL10" s="55" t="n">
        <f aca="false">IF(OR(DK10=12,$AJ$99=144),COUNTIFS($DJ$6:$DJ$53,DJ10,$BC$6:$BC$53,BC10),1)</f>
        <v>1</v>
      </c>
      <c r="DM10" s="120" t="str">
        <f aca="false">DJ10&amp;"."&amp;DL10</f>
        <v>1.1</v>
      </c>
      <c r="DN10" s="55" t="n">
        <f aca="true" t="array" ref="DN10:DN10">OFFSET(Horarios!$P$3,DJ10-1,0,DL10,1)</f>
        <v>1</v>
      </c>
      <c r="DO10" s="55"/>
      <c r="DP10" s="55" t="s">
        <v>82</v>
      </c>
      <c r="DQ10" s="55" t="str">
        <f aca="false">INDEX($BD$6:$BD$53,MATCH(DP10,$BM$6:$BM$53,0))</f>
        <v>Canadá</v>
      </c>
      <c r="DR10" s="55"/>
      <c r="DS10" s="55"/>
      <c r="DT10" s="55" t="str">
        <f aca="false">AA10&amp;"-"&amp;AF10</f>
        <v>-</v>
      </c>
      <c r="DU10" s="55"/>
      <c r="DV10" s="55"/>
      <c r="DW10" s="57"/>
    </row>
    <row r="11" customFormat="false" ht="15.75" hidden="false" customHeight="true" outlineLevel="0" collapsed="false">
      <c r="A11" s="39"/>
      <c r="B11" s="72"/>
      <c r="C11" s="39"/>
      <c r="D11" s="39"/>
      <c r="E11" s="39"/>
      <c r="F11" s="39"/>
      <c r="G11" s="39"/>
      <c r="H11" s="39"/>
      <c r="I11" s="39"/>
      <c r="J11" s="39"/>
      <c r="K11" s="39"/>
      <c r="L11" s="39"/>
      <c r="M11" s="39"/>
      <c r="N11" s="55"/>
      <c r="O11" s="55"/>
      <c r="P11" s="55"/>
      <c r="Q11" s="55"/>
      <c r="R11" s="55"/>
      <c r="S11" s="55"/>
      <c r="T11" s="55"/>
      <c r="U11" s="55"/>
      <c r="V11" s="46"/>
      <c r="W11" s="59"/>
      <c r="X11" s="60" t="str">
        <f aca="false">X3</f>
        <v>Fecha</v>
      </c>
      <c r="Y11" s="60" t="str">
        <f aca="false">Y3</f>
        <v>Hora</v>
      </c>
      <c r="Z11" s="61" t="str">
        <f aca="false">Z3</f>
        <v>Jor.</v>
      </c>
      <c r="AA11" s="62" t="str">
        <f aca="false">AA3</f>
        <v>Casa</v>
      </c>
      <c r="AB11" s="61"/>
      <c r="AC11" s="61" t="str">
        <f aca="false">AC3</f>
        <v>Gol</v>
      </c>
      <c r="AD11" s="61" t="str">
        <f aca="false">AD3</f>
        <v>Gol</v>
      </c>
      <c r="AE11" s="61"/>
      <c r="AF11" s="64" t="str">
        <f aca="false">AF3</f>
        <v>Fuera</v>
      </c>
      <c r="AG11" s="159"/>
      <c r="AH11" s="84"/>
      <c r="AI11" s="50"/>
      <c r="AJ11" s="66"/>
      <c r="AK11" s="160"/>
      <c r="AL11" s="66"/>
      <c r="AM11" s="66"/>
      <c r="AN11" s="66"/>
      <c r="AO11" s="66"/>
      <c r="AP11" s="66"/>
      <c r="AQ11" s="66"/>
      <c r="AR11" s="66"/>
      <c r="AS11" s="66"/>
      <c r="AT11" s="66"/>
      <c r="AU11" s="161"/>
      <c r="AV11" s="51"/>
      <c r="AW11" s="162"/>
      <c r="AX11" s="163"/>
      <c r="AY11" s="146"/>
      <c r="AZ11" s="147"/>
      <c r="BA11" s="49"/>
      <c r="BB11" s="55"/>
      <c r="BC11" s="116" t="str">
        <f aca="false">+INDEX(T_Equipos[Grupo],MATCH(WORLDCUP!BD11,T_Equipos[NombreEquipo],0))</f>
        <v>B</v>
      </c>
      <c r="BD11" s="55" t="str">
        <f aca="false">+Equipos!B7</f>
        <v>Bosnia y Herzegovina</v>
      </c>
      <c r="BE11" s="117" t="n">
        <f aca="false">+BG11*3+BH11+IF($AZ$3="no",0,INDEX($AZ$6:$AZ$97,MATCH(BD11,$AY$6:$AY$97,0)))</f>
        <v>1</v>
      </c>
      <c r="BF11" s="117" t="n">
        <f aca="false">+BG11+BH11+BI11</f>
        <v>1</v>
      </c>
      <c r="BG11" s="117" t="n">
        <f aca="false">+COUNTIFS(FGLocal,BD11,Ganador,"Local")+COUNTIFS(FGVisitante,BD11,Ganador,"Visitante")</f>
        <v>0</v>
      </c>
      <c r="BH11" s="117" t="n">
        <f aca="false">+COUNTIFS(FGLocal,BD11,Ganador,"Empate")+COUNTIFS(FGVisitante,BD11,Ganador,"Empate")</f>
        <v>1</v>
      </c>
      <c r="BI11" s="117" t="n">
        <f aca="false">+COUNTIFS(FGVisitante,BD11,Ganador,"Local")+COUNTIFS(FGLocal,BD11,Ganador,"Visitante")</f>
        <v>0</v>
      </c>
      <c r="BJ11" s="117" t="n">
        <f aca="false">+SUMIFS(FG_GolesLocal,FGLocal,BD11,Ganador,"&lt;&gt;"&amp;"Pendiente",FG_GolesLocal,"&lt;&gt;"&amp;"",FG_GolesVisitante,"&lt;&gt;"&amp;"")+SUMIFS(FG_GolesVisitante,FGVisitante,BD11,Ganador,"&lt;&gt;"&amp;"Pendiente",FG_GolesLocal,"&lt;&gt;"&amp;"",FG_GolesVisitante,"&lt;&gt;"&amp;"")</f>
        <v>1</v>
      </c>
      <c r="BK11" s="117" t="n">
        <f aca="false">+SUMIFS(FG_GolesLocal,FGVisitante,BD11,Ganador,"&lt;&gt;"&amp;"Pendiente",FG_GolesLocal,"&lt;&gt;"&amp;"",FG_GolesVisitante,"&lt;&gt;"&amp;"")+SUMIFS(FG_GolesVisitante,FGLocal,BD11,Ganador,"&lt;&gt;"&amp;"Pendiente",FG_GolesLocal,"&lt;&gt;"&amp;"",FG_GolesVisitante,"&lt;&gt;"&amp;"")</f>
        <v>1</v>
      </c>
      <c r="BL11" s="117" t="n">
        <f aca="false">+BJ11-BK11</f>
        <v>0</v>
      </c>
      <c r="BM11" s="117" t="str">
        <f aca="false">DD11&amp;BC11</f>
        <v>2B</v>
      </c>
      <c r="BN11" s="117" t="str">
        <f aca="false">DH11&amp;BC11</f>
        <v>2B</v>
      </c>
      <c r="BO11" s="119" t="n">
        <f aca="false">IF(AND($AJ$99=144,BF11&gt;=1),1,0)</f>
        <v>0</v>
      </c>
      <c r="BP11" s="118" t="n">
        <f aca="false">COUNTIFS($BO$6:$BO$53,"&gt;"&amp;BO11,$BC$6:$BC$53,INDEX(T_Equipos[Grupo],MATCH(BD11,T_Equipos[NombreEquipo],0)))+1</f>
        <v>1</v>
      </c>
      <c r="BQ11" s="118" t="str">
        <f aca="false">IF(COUNTIFS($BP$6:$BP$53,BP11,$BC$6:$BC$53,INDEX(T_Equipos[Grupo],MATCH(BD11,T_Equipos[NombreEquipo],0)))=1,"-","P."&amp;BP11&amp;" ("&amp;COUNTIFS($BP$6:$BP$53,BP11,$BC$6:$BC$53,INDEX(T_Equipos[Grupo],MATCH(BD11,T_Equipos[NombreEquipo],0)))&amp;")")</f>
        <v>P.1 (4)</v>
      </c>
      <c r="BR11" s="119" t="n">
        <f aca="false">IF($BQ11="-","-",BE11)</f>
        <v>1</v>
      </c>
      <c r="BS11" s="118" t="n">
        <f aca="false">BP11+COUNTIFS($BQ$6:$BQ$53,BQ11,$BR$6:BR$53,"&gt;"&amp;BR11,$BC$6:$BC$53,INDEX(T_Equipos[Grupo],MATCH(BD11,T_Equipos[NombreEquipo],0)))</f>
        <v>1</v>
      </c>
      <c r="BT11" s="118" t="str">
        <f aca="false">IF(COUNTIFS($BS$6:$BS$53,BS11,$BC$6:$BC$53,INDEX(T_Equipos[Grupo],MATCH(BD11,T_Equipos[NombreEquipo],0)))=1,"-","P."&amp;BS11&amp;" ("&amp;COUNTIFS($BS$6:$BS$53,BS11,$BC$6:$BC$53,INDEX(T_Equipos[Grupo],MATCH(BD11,T_Equipos[NombreEquipo],0)))&amp;")")</f>
        <v>P.1 (4)</v>
      </c>
      <c r="BU11" s="119" t="n">
        <f aca="false">IF($BT11="-","-",COUNTIFS(FGLocal,$BD11,Ganador,"Local",Part1Empate1V,$BT11)+COUNTIFS(FGVisitante,$BD11,Ganador,"Visitante",Part1Empate1L,$BT11))</f>
        <v>0</v>
      </c>
      <c r="BV11" s="119" t="n">
        <f aca="false">IF($BT11="-","-",COUNTIFS(FGLocal,$BD11,Ganador,"Empate",Part1Empate1V,$BT11)+COUNTIFS(FGVisitante,$BD11,Ganador,"Empate",Part1Empate1L,$BT11))</f>
        <v>1</v>
      </c>
      <c r="BW11" s="119" t="n">
        <f aca="false">IF($BT11="-","-",COUNTIFS(FGLocal,$BD11,Ganador,"Visitante",Part1Empate1V,$BT11)+COUNTIFS(FGVisitante,$BD11,Ganador,"Local",Part1Empate1L,$BT11))</f>
        <v>0</v>
      </c>
      <c r="BX11" s="119" t="n">
        <f aca="false">IF($BT11="-","-",BU11*3+BV11)</f>
        <v>1</v>
      </c>
      <c r="BY11" s="119" t="n">
        <f aca="false">BS11+COUNTIFS($BT$6:$BT$53,BT11,$BX$6:BX$53,"&gt;"&amp;BX11,$BC$6:$BC$53,INDEX(T_Equipos[Grupo],MATCH(BD11,T_Equipos[NombreEquipo],0)))</f>
        <v>1</v>
      </c>
      <c r="BZ11" s="118" t="str">
        <f aca="false">IF(COUNTIFS($BY$6:$BY$53,BY11,$BC$6:$BC$53,INDEX(T_Equipos[Grupo],MATCH(BD11,T_Equipos[NombreEquipo],0)))=1,"-","P."&amp;BY11&amp;" ("&amp;COUNTIFS($BY$6:$BY$53,BY11,$BC$6:$BC$53,INDEX(T_Equipos[Grupo],MATCH(BD11,T_Equipos[NombreEquipo],0)))&amp;")")</f>
        <v>P.1 (4)</v>
      </c>
      <c r="CA11" s="119" t="n">
        <f aca="false">IF($BZ11="-","-",SUMIFS(FG_GolesLocal,FGLocal,$BD11,Part1Empate2V,$BZ11)+SUMIFS(FG_GolesVisitante,FGVisitante,$BD11,Part1Empate2L,$BZ11))</f>
        <v>1</v>
      </c>
      <c r="CB11" s="119" t="n">
        <f aca="false">IF($BZ11="-","-",SUMIFS(FG_GolesVisitante,FGLocal,$BD11,Part1Empate2V,$BZ11)+SUMIFS(FG_GolesLocal,FGVisitante,$BD11,Part1Empate2L,$BZ11))</f>
        <v>1</v>
      </c>
      <c r="CC11" s="119" t="n">
        <f aca="false">IF($BZ11="-","-",CA11-CB11)</f>
        <v>0</v>
      </c>
      <c r="CD11" s="119" t="n">
        <f aca="false">BY11+COUNTIFS($BZ$6:$BZ$53,BZ11,$CC$6:CC$53,"&gt;"&amp;CC11,$BC$6:$BC$53,INDEX(T_Equipos[Grupo],MATCH(BD11,T_Equipos[NombreEquipo],0)))</f>
        <v>1</v>
      </c>
      <c r="CE11" s="118" t="str">
        <f aca="false">IF(COUNTIFS($CD$6:$CD$53,CD11,$BC$6:$BC$53,INDEX(T_Equipos[Grupo],MATCH(BD11,T_Equipos[NombreEquipo],0)))=1,"-","P."&amp;CD11&amp;" ("&amp;COUNTIFS($CD$6:$CD$53,CD11,$BC$6:$BC$53,INDEX(T_Equipos[Grupo],MATCH(BD11,T_Equipos[NombreEquipo],0)))&amp;")")</f>
        <v>P.1 (4)</v>
      </c>
      <c r="CF11" s="119" t="n">
        <f aca="false">IF($CE11="-","-",SUMIFS(FG_GolesLocal,FGLocal,$BD11,Part1Empate3V,$CE11)+SUMIFS(FG_GolesVisitante,FGVisitante,$BD11,Part1Empate3L,$CE11))</f>
        <v>1</v>
      </c>
      <c r="CG11" s="119" t="n">
        <f aca="false">CD11+COUNTIFS($CE$6:$CE$53,CE11,$CF$6:CF$53,"&gt;"&amp;CF11,$BC$6:$BC$53,INDEX(T_Equipos[Grupo],MATCH(BD11,T_Equipos[NombreEquipo],0)))</f>
        <v>1</v>
      </c>
      <c r="CH11" s="118" t="str">
        <f aca="false">IF(COUNTIFS($CG$6:$CG$53,CG11,$BC$6:$BC$53,INDEX(T_Equipos[Grupo],MATCH(BD11,T_Equipos[NombreEquipo],0)))=1,"-","P."&amp;CG11&amp;" ("&amp;COUNTIFS($CG$6:$CG$53,CG11,$BC$6:$BC$53,INDEX(T_Equipos[Grupo],MATCH(BD11,T_Equipos[NombreEquipo],0)))&amp;")")</f>
        <v>P.1 (4)</v>
      </c>
      <c r="CI11" s="119" t="n">
        <f aca="false">IF($CH11="-","-",COUNTIFS(FGLocal,$BD11,Ganador,"Local",Part2Empate4V,$CH11)+COUNTIFS(FGVisitante,$BD11,Ganador,"Visitante",Part2Empate4L,$CH11))</f>
        <v>0</v>
      </c>
      <c r="CJ11" s="119" t="n">
        <f aca="false">IF($CH11="-","-",COUNTIFS(FGLocal,$BD11,Ganador,"Empate",Part2Empate4V,$CH11)+COUNTIFS(FGVisitante,$BD11,Ganador,"Empate",Part2Empate4L,$CH11))</f>
        <v>1</v>
      </c>
      <c r="CK11" s="119" t="n">
        <f aca="false">IF($CH11="-","-",COUNTIFS(FGLocal,$BD11,Ganador,"Visitante",Part2Empate4V,$CH11)+COUNTIFS(FGVisitante,$BD11,Ganador,"Local",Part2Empate4L,$CH11))</f>
        <v>0</v>
      </c>
      <c r="CL11" s="119" t="n">
        <f aca="false">IF($CH11="-","-",CI11*3+CJ11)</f>
        <v>1</v>
      </c>
      <c r="CM11" s="119" t="n">
        <f aca="false">CG11+COUNTIFS($CH$6:$CH$53,CH11,$CL$6:CL$53,"&gt;"&amp;CL11,$BC$6:$BC$53,INDEX(T_Equipos[Grupo],MATCH(BD11,T_Equipos[NombreEquipo],0)))</f>
        <v>1</v>
      </c>
      <c r="CN11" s="118" t="str">
        <f aca="false">IF(COUNTIFS($CM$6:$CM$53,CM11,$BC$6:$BC$53,INDEX(T_Equipos[Grupo],MATCH(BD11,T_Equipos[NombreEquipo],0)))=1,"-","P."&amp;CM11&amp;" ("&amp;COUNTIFS($CM$6:$CM$53,CM11,$BC$6:$BC$53,INDEX(T_Equipos[Grupo],MATCH(BD11,T_Equipos[NombreEquipo],0)))&amp;")")</f>
        <v>P.1 (4)</v>
      </c>
      <c r="CO11" s="119" t="n">
        <f aca="false">IF($CN11="-","-",SUMIFS(FG_GolesLocal,FGLocal,$BD11,Part2Empate5V,$CN11)+SUMIFS(FG_GolesVisitante,FGVisitante,$BD11,Part2Empate5L,$CN11))</f>
        <v>1</v>
      </c>
      <c r="CP11" s="119" t="n">
        <f aca="false">IF($CN11="-","-",SUMIFS(FG_GolesVisitante,FGLocal,$BD11,Part2Empate5V,$CN11)+SUMIFS(FG_GolesLocal,FGVisitante,$BD11,Part2Empate5L,$CN11))</f>
        <v>1</v>
      </c>
      <c r="CQ11" s="119" t="n">
        <f aca="false">IF($CN11="-","-",CO11-CP11)</f>
        <v>0</v>
      </c>
      <c r="CR11" s="119" t="n">
        <f aca="false">CM11+COUNTIFS($CN$6:$CN$53,CN11,$CQ$6:CQ$53,"&gt;"&amp;CQ11,$BC$6:$BC$53,INDEX(T_Equipos[Grupo],MATCH(BD11,T_Equipos[NombreEquipo],0)))</f>
        <v>1</v>
      </c>
      <c r="CS11" s="118" t="str">
        <f aca="false">IF(COUNTIFS($CR$6:$CR$53,CR11,$BC$6:$BC$53,INDEX(T_Equipos[Grupo],MATCH(BD11,T_Equipos[NombreEquipo],0)))=1,"-","P."&amp;CR11&amp;" ("&amp;COUNTIFS($CR$6:$CR$53,CR11,$BC$6:$BC$53,INDEX(T_Equipos[Grupo],MATCH(BD11,T_Equipos[NombreEquipo],0)))&amp;")")</f>
        <v>P.1 (4)</v>
      </c>
      <c r="CT11" s="119" t="n">
        <f aca="false">IF($CS11="-","-",SUMIFS(FG_GolesLocal,FGLocal,$BD11,Part2Empate6V,$CS11)+SUMIFS(FG_GolesVisitante,FGVisitante,$BD11,Part2Empate6L,$CS11))</f>
        <v>1</v>
      </c>
      <c r="CU11" s="119" t="n">
        <f aca="false">CR11+COUNTIFS($CS$6:$CS$53,CS11,$CT$6:CT$53,"&gt;"&amp;CT11,$BC$6:$BC$53,INDEX(T_Equipos[Grupo],MATCH(BD11,T_Equipos[NombreEquipo],0)))</f>
        <v>1</v>
      </c>
      <c r="CV11" s="118" t="str">
        <f aca="false">IF(COUNTIFS($CU$6:$CU$53,CU11,$BC$6:$BC$53,INDEX(T_Equipos[Grupo],MATCH(BD11,T_Equipos[NombreEquipo],0)))=1,"-","P."&amp;CU11&amp;" ("&amp;COUNTIFS($CU$6:$CU$53,CU11,$BC$6:$BC$53,INDEX(T_Equipos[Grupo],MATCH(BD11,T_Equipos[NombreEquipo],0)))&amp;")")</f>
        <v>P.1 (4)</v>
      </c>
      <c r="CW11" s="118" t="n">
        <f aca="false">IF(CV11="-","-",BL11)</f>
        <v>0</v>
      </c>
      <c r="CX11" s="118" t="n">
        <f aca="false">CU11+COUNTIFS($CV$6:$CV$53,CV11,$CW$6:CW$53,"&gt;"&amp;CW11,$BC$6:$BC$53,INDEX(T_Equipos[Grupo],MATCH(BD11,T_Equipos[NombreEquipo],0)))</f>
        <v>1</v>
      </c>
      <c r="CY11" s="118" t="str">
        <f aca="false">IF(COUNTIFS($CX$6:$CX$53,CX11,$BC$6:$BC$53,INDEX(T_Equipos[Grupo],MATCH(BD11,T_Equipos[NombreEquipo],0)))=1,"-","P."&amp;CX11&amp;" ("&amp;COUNTIFS($CX$6:$CX$53,CX11,$BC$6:$BC$53,INDEX(T_Equipos[Grupo],MATCH(BD11,T_Equipos[NombreEquipo],0)))&amp;")")</f>
        <v>P.1 (4)</v>
      </c>
      <c r="CZ11" s="118" t="n">
        <f aca="false">IF(CY11="-","-",BJ11)</f>
        <v>1</v>
      </c>
      <c r="DA11" s="119" t="n">
        <f aca="false">CX11+COUNTIFS($CY$6:$CY$53,CY11,$CZ$6:CZ$53,"&gt;"&amp;CZ11,$BC$6:$BC$53,INDEX(T_Equipos[Grupo],MATCH(BD11,T_Equipos[NombreEquipo],0)))</f>
        <v>1</v>
      </c>
      <c r="DB11" s="118" t="str">
        <f aca="false">IF(COUNTIFS($DA$6:$DA$53,DA11,$BC$6:$BC$53,INDEX(T_Equipos[Grupo],MATCH(BD11,T_Equipos[NombreEquipo],0)))=1,"-","P."&amp;DA11&amp;" ("&amp;COUNTIFS($DA$6:$DA$53,DA11,$BC$6:$BC$53,INDEX(T_Equipos[Grupo],MATCH(BD11,T_Equipos[NombreEquipo],0)))&amp;")")</f>
        <v>P.1 (4)</v>
      </c>
      <c r="DC11" s="116" t="n">
        <f aca="false">IF(DB11="-","-",COUNTIFS(T_Equipos[Rank],"&lt;"&amp;INDEX(T_Equipos[Rank],MATCH(BD11,T_Equipos[NombreEquipo],0)),$BC$6:$BC$53,INDEX(T_Equipos[Grupo],MATCH(BD11,T_Equipos[NombreEquipo],0)))+1)</f>
        <v>2</v>
      </c>
      <c r="DD11" s="116" t="n">
        <f aca="false">DA11+COUNTIFS($DB$6:$DB$53,DB11,$DC$6:DC$53,"&lt;"&amp;DC11,$BC$6:$BC$53,INDEX(T_Equipos[Grupo],MATCH(BD11,T_Equipos[NombreEquipo],0)))</f>
        <v>2</v>
      </c>
      <c r="DE11" s="116"/>
      <c r="DF11" s="116" t="n">
        <f aca="false">IF(OR(INDEX($AW$6:$AW$97,MATCH($BD11,$AV$6:$AV$97,0))="",DB11="-"),DD11,INDEX($AW$6:$AW$97,MATCH($BD11,$AV$6:$AV$97,0))+DD11/1000)</f>
        <v>2</v>
      </c>
      <c r="DG11" s="116" t="n">
        <f aca="false">IF(DB11="-","-",COUNTIFS(DF$6:DF$53,"&lt;"&amp;DF11,$BC$6:$BC$53,INDEX(T_Equipos[Grupo],MATCH(BD11,T_Equipos[NombreEquipo],0))))</f>
        <v>1</v>
      </c>
      <c r="DH11" s="116" t="n">
        <f aca="false">DA11+COUNTIFS(DB$6:DB$53,DB11,DG$6:DG$53,"&lt;"&amp;DG11,$BC$6:$BC$53,INDEX(T_Equipos[Grupo],MATCH(BD11,T_Equipos[NombreEquipo],0)))</f>
        <v>2</v>
      </c>
      <c r="DI11" s="55"/>
      <c r="DJ11" s="55" t="n">
        <f aca="false">INDEX($DA$6:$DA$53,MATCH($DQ11,$BD$6:$BD$53,0))</f>
        <v>1</v>
      </c>
      <c r="DK11" s="55" t="n">
        <f aca="false">+SUMIF($BC$6:$BC$53,BC11,$BF$6:$BF$53)</f>
        <v>4</v>
      </c>
      <c r="DL11" s="55" t="n">
        <f aca="false">IF(OR(DK11=12,$AJ$99=144),COUNTIFS($DJ$6:$DJ$53,DJ11,$BC$6:$BC$53,BC11),1)</f>
        <v>1</v>
      </c>
      <c r="DM11" s="120" t="str">
        <f aca="false">DJ11&amp;"."&amp;DL11</f>
        <v>1.1</v>
      </c>
      <c r="DN11" s="55" t="n">
        <f aca="true" t="array" ref="DN11:DN11">OFFSET(Horarios!$P$3,DJ11-1,0,DL11,1)</f>
        <v>1</v>
      </c>
      <c r="DO11" s="55"/>
      <c r="DP11" s="55" t="s">
        <v>83</v>
      </c>
      <c r="DQ11" s="55" t="str">
        <f aca="false">INDEX($BD$6:$BD$53,MATCH(DP11,$BM$6:$BM$53,0))</f>
        <v>Bosnia y Herzegovina</v>
      </c>
      <c r="DR11" s="55"/>
      <c r="DS11" s="55"/>
      <c r="DT11" s="55" t="str">
        <f aca="false">AA11&amp;"-"&amp;AF11</f>
        <v>Casa-Fuera</v>
      </c>
      <c r="DU11" s="55"/>
      <c r="DV11" s="55"/>
      <c r="DW11" s="57"/>
    </row>
    <row r="12" customFormat="false" ht="15" hidden="false" customHeight="true" outlineLevel="0" collapsed="false">
      <c r="A12" s="71" t="s">
        <v>23</v>
      </c>
      <c r="B12" s="72" t="s">
        <v>84</v>
      </c>
      <c r="C12" s="44" t="n">
        <f aca="false">COUNTIF(Equipos!$C$2:$C$49,WORLDCUP!B12)</f>
        <v>4</v>
      </c>
      <c r="D12" s="55" t="str">
        <f aca="false">IF(OR(AC12="",AD12=""),"Pendiente",IF(AC12&gt;AD12,"Local",IF(AC12&lt;AD12,"Visitante","Empate")))</f>
        <v>Empate</v>
      </c>
      <c r="E12" s="55" t="str">
        <f aca="false">IF(D12="Pendiente","-",INDEX($BT$6:$BT$53,MATCH($AA12,$BD$6:$BD$53,0)))</f>
        <v>P.1 (4)</v>
      </c>
      <c r="F12" s="55" t="str">
        <f aca="false">IF(D12="Pendiente","-",INDEX($BT$6:$BT$53,MATCH($AF12,$BD$6:$BD$53,0)))</f>
        <v>P.1 (4)</v>
      </c>
      <c r="G12" s="55"/>
      <c r="H12" s="55" t="str">
        <f aca="false">IF(D12="Pendiente","-",INDEX($BZ$6:$BZ$53,MATCH($AA12,$BD$6:$BD$53,0)))</f>
        <v>P.1 (4)</v>
      </c>
      <c r="I12" s="55" t="str">
        <f aca="false">IF(D12="Pendiente","-",INDEX($BZ$6:$BZ$53,MATCH($AF12,$BD$6:$BD$53,0)))</f>
        <v>P.1 (4)</v>
      </c>
      <c r="J12" s="55"/>
      <c r="K12" s="55" t="str">
        <f aca="false">IF(D12="Pendiente","-",INDEX($CE$6:$CE$53,MATCH($AA12,$BD$6:$BD$53,0)))</f>
        <v>P.1 (4)</v>
      </c>
      <c r="L12" s="55" t="str">
        <f aca="false">IF(D12="Pendiente","-",INDEX($CE$6:$CE$53,MATCH($AF12,$BD$6:$BD$53,0)))</f>
        <v>P.1 (4)</v>
      </c>
      <c r="M12" s="55"/>
      <c r="N12" s="55" t="str">
        <f aca="false">IF(D12="Pendiente","-",INDEX($CH$6:$CH$53,MATCH($AA12,$BD$6:$BD$53,0)))</f>
        <v>P.1 (4)</v>
      </c>
      <c r="O12" s="55" t="str">
        <f aca="false">IF(D12="Pendiente","-",INDEX($CH$6:$CH$53,MATCH($AF12,$BD$6:$BD$53,0)))</f>
        <v>P.1 (4)</v>
      </c>
      <c r="P12" s="55"/>
      <c r="Q12" s="55" t="str">
        <f aca="false">IF(D12="Pendiente","-",INDEX($CN$6:$CN$53,MATCH($AA12,$BD$6:$BD$53,0)))</f>
        <v>P.1 (4)</v>
      </c>
      <c r="R12" s="55" t="str">
        <f aca="false">IF(D12="Pendiente","-",INDEX($CN$6:$CN$53,MATCH($AF12,$BD$6:$BD$53,0)))</f>
        <v>P.1 (4)</v>
      </c>
      <c r="S12" s="55"/>
      <c r="T12" s="55" t="str">
        <f aca="false">IF(D12="Pendiente","-",INDEX($CS$6:$CS$53,MATCH($AA12,$BD$6:$BD$53,0)))</f>
        <v>P.1 (4)</v>
      </c>
      <c r="U12" s="55" t="str">
        <f aca="false">IF(D12="Pendiente","-",INDEX($CS$6:$CS$53,MATCH($AF12,$BD$6:$BD$53,0)))</f>
        <v>P.1 (4)</v>
      </c>
      <c r="V12" s="46"/>
      <c r="W12" s="164" t="s">
        <v>84</v>
      </c>
      <c r="X12" s="74" t="n">
        <f aca="false">Horarios!C12</f>
        <v>46185.875</v>
      </c>
      <c r="Y12" s="75" t="n">
        <f aca="false">Horarios!C12</f>
        <v>46185.875</v>
      </c>
      <c r="Z12" s="76" t="str">
        <f aca="false">$Z$4</f>
        <v>J1</v>
      </c>
      <c r="AA12" s="77" t="str">
        <f aca="false">A13</f>
        <v>Canadá</v>
      </c>
      <c r="AB12" s="165" t="str">
        <f aca="true" t="array" ref="AB12:AB12">Ver_flag_local</f>
        <v/>
      </c>
      <c r="AC12" s="79" t="n">
        <v>1</v>
      </c>
      <c r="AD12" s="80" t="n">
        <v>1</v>
      </c>
      <c r="AE12" s="81" t="str">
        <f aca="true" t="array" ref="AE12:AE12">Ver_flag_visit</f>
        <v/>
      </c>
      <c r="AF12" s="82" t="str">
        <f aca="false">A14</f>
        <v>Bosnia y Herzegovina</v>
      </c>
      <c r="AG12" s="83" t="n">
        <f aca="false">IF(NOT(OR(ISBLANK(AC12),ISBLANK(AD12))),1,0)</f>
        <v>1</v>
      </c>
      <c r="AH12" s="84" t="n">
        <v>3</v>
      </c>
      <c r="AI12" s="85"/>
      <c r="AJ12" s="86" t="str">
        <f aca="false">CONCATENATE(AJ3," ",B12)</f>
        <v>Grupo B</v>
      </c>
      <c r="AK12" s="86"/>
      <c r="AL12" s="86"/>
      <c r="AM12" s="86"/>
      <c r="AN12" s="86"/>
      <c r="AO12" s="86"/>
      <c r="AP12" s="86"/>
      <c r="AQ12" s="86"/>
      <c r="AR12" s="86"/>
      <c r="AS12" s="86"/>
      <c r="AT12" s="86"/>
      <c r="AU12" s="161"/>
      <c r="AV12" s="87" t="str">
        <f aca="false">IF(AU13&gt;0,$AV$3,"")</f>
        <v/>
      </c>
      <c r="AW12" s="166"/>
      <c r="AX12" s="167"/>
      <c r="AY12" s="146"/>
      <c r="AZ12" s="147"/>
      <c r="BA12" s="49"/>
      <c r="BB12" s="55"/>
      <c r="BC12" s="116" t="str">
        <f aca="false">+INDEX(T_Equipos[Grupo],MATCH(WORLDCUP!BD12,T_Equipos[NombreEquipo],0))</f>
        <v>B</v>
      </c>
      <c r="BD12" s="55" t="str">
        <f aca="false">+Equipos!B8</f>
        <v>Catar</v>
      </c>
      <c r="BE12" s="117" t="n">
        <f aca="false">+BG12*3+BH12+IF($AZ$3="no",0,INDEX($AZ$6:$AZ$97,MATCH(BD12,$AY$6:$AY$97,0)))</f>
        <v>1</v>
      </c>
      <c r="BF12" s="117" t="n">
        <f aca="false">+BG12+BH12+BI12</f>
        <v>1</v>
      </c>
      <c r="BG12" s="117" t="n">
        <f aca="false">+COUNTIFS(FGLocal,BD12,Ganador,"Local")+COUNTIFS(FGVisitante,BD12,Ganador,"Visitante")</f>
        <v>0</v>
      </c>
      <c r="BH12" s="117" t="n">
        <f aca="false">+COUNTIFS(FGLocal,BD12,Ganador,"Empate")+COUNTIFS(FGVisitante,BD12,Ganador,"Empate")</f>
        <v>1</v>
      </c>
      <c r="BI12" s="117" t="n">
        <f aca="false">+COUNTIFS(FGVisitante,BD12,Ganador,"Local")+COUNTIFS(FGLocal,BD12,Ganador,"Visitante")</f>
        <v>0</v>
      </c>
      <c r="BJ12" s="117" t="n">
        <f aca="false">+SUMIFS(FG_GolesLocal,FGLocal,BD12,Ganador,"&lt;&gt;"&amp;"Pendiente",FG_GolesLocal,"&lt;&gt;"&amp;"",FG_GolesVisitante,"&lt;&gt;"&amp;"")+SUMIFS(FG_GolesVisitante,FGVisitante,BD12,Ganador,"&lt;&gt;"&amp;"Pendiente",FG_GolesLocal,"&lt;&gt;"&amp;"",FG_GolesVisitante,"&lt;&gt;"&amp;"")</f>
        <v>1</v>
      </c>
      <c r="BK12" s="117" t="n">
        <f aca="false">+SUMIFS(FG_GolesLocal,FGVisitante,BD12,Ganador,"&lt;&gt;"&amp;"Pendiente",FG_GolesLocal,"&lt;&gt;"&amp;"",FG_GolesVisitante,"&lt;&gt;"&amp;"")+SUMIFS(FG_GolesVisitante,FGLocal,BD12,Ganador,"&lt;&gt;"&amp;"Pendiente",FG_GolesLocal,"&lt;&gt;"&amp;"",FG_GolesVisitante,"&lt;&gt;"&amp;"")</f>
        <v>1</v>
      </c>
      <c r="BL12" s="117" t="n">
        <f aca="false">+BJ12-BK12</f>
        <v>0</v>
      </c>
      <c r="BM12" s="117" t="str">
        <f aca="false">DD12&amp;BC12</f>
        <v>3B</v>
      </c>
      <c r="BN12" s="117" t="str">
        <f aca="false">DH12&amp;BC12</f>
        <v>3B</v>
      </c>
      <c r="BO12" s="119" t="n">
        <f aca="false">IF(AND($AJ$99=144,BF12&gt;=1),1,0)</f>
        <v>0</v>
      </c>
      <c r="BP12" s="118" t="n">
        <f aca="false">COUNTIFS($BO$6:$BO$53,"&gt;"&amp;BO12,$BC$6:$BC$53,INDEX(T_Equipos[Grupo],MATCH(BD12,T_Equipos[NombreEquipo],0)))+1</f>
        <v>1</v>
      </c>
      <c r="BQ12" s="118" t="str">
        <f aca="false">IF(COUNTIFS($BP$6:$BP$53,BP12,$BC$6:$BC$53,INDEX(T_Equipos[Grupo],MATCH(BD12,T_Equipos[NombreEquipo],0)))=1,"-","P."&amp;BP12&amp;" ("&amp;COUNTIFS($BP$6:$BP$53,BP12,$BC$6:$BC$53,INDEX(T_Equipos[Grupo],MATCH(BD12,T_Equipos[NombreEquipo],0)))&amp;")")</f>
        <v>P.1 (4)</v>
      </c>
      <c r="BR12" s="119" t="n">
        <f aca="false">IF($BQ12="-","-",BE12)</f>
        <v>1</v>
      </c>
      <c r="BS12" s="118" t="n">
        <f aca="false">BP12+COUNTIFS($BQ$6:$BQ$53,BQ12,$BR$6:BR$53,"&gt;"&amp;BR12,$BC$6:$BC$53,INDEX(T_Equipos[Grupo],MATCH(BD12,T_Equipos[NombreEquipo],0)))</f>
        <v>1</v>
      </c>
      <c r="BT12" s="118" t="str">
        <f aca="false">IF(COUNTIFS($BS$6:$BS$53,BS12,$BC$6:$BC$53,INDEX(T_Equipos[Grupo],MATCH(BD12,T_Equipos[NombreEquipo],0)))=1,"-","P."&amp;BS12&amp;" ("&amp;COUNTIFS($BS$6:$BS$53,BS12,$BC$6:$BC$53,INDEX(T_Equipos[Grupo],MATCH(BD12,T_Equipos[NombreEquipo],0)))&amp;")")</f>
        <v>P.1 (4)</v>
      </c>
      <c r="BU12" s="119" t="n">
        <f aca="false">IF($BT12="-","-",COUNTIFS(FGLocal,$BD12,Ganador,"Local",Part1Empate1V,$BT12)+COUNTIFS(FGVisitante,$BD12,Ganador,"Visitante",Part1Empate1L,$BT12))</f>
        <v>0</v>
      </c>
      <c r="BV12" s="119" t="n">
        <f aca="false">IF($BT12="-","-",COUNTIFS(FGLocal,$BD12,Ganador,"Empate",Part1Empate1V,$BT12)+COUNTIFS(FGVisitante,$BD12,Ganador,"Empate",Part1Empate1L,$BT12))</f>
        <v>1</v>
      </c>
      <c r="BW12" s="119" t="n">
        <f aca="false">IF($BT12="-","-",COUNTIFS(FGLocal,$BD12,Ganador,"Visitante",Part1Empate1V,$BT12)+COUNTIFS(FGVisitante,$BD12,Ganador,"Local",Part1Empate1L,$BT12))</f>
        <v>0</v>
      </c>
      <c r="BX12" s="119" t="n">
        <f aca="false">IF($BT12="-","-",BU12*3+BV12)</f>
        <v>1</v>
      </c>
      <c r="BY12" s="119" t="n">
        <f aca="false">BS12+COUNTIFS($BT$6:$BT$53,BT12,$BX$6:BX$53,"&gt;"&amp;BX12,$BC$6:$BC$53,INDEX(T_Equipos[Grupo],MATCH(BD12,T_Equipos[NombreEquipo],0)))</f>
        <v>1</v>
      </c>
      <c r="BZ12" s="118" t="str">
        <f aca="false">IF(COUNTIFS($BY$6:$BY$53,BY12,$BC$6:$BC$53,INDEX(T_Equipos[Grupo],MATCH(BD12,T_Equipos[NombreEquipo],0)))=1,"-","P."&amp;BY12&amp;" ("&amp;COUNTIFS($BY$6:$BY$53,BY12,$BC$6:$BC$53,INDEX(T_Equipos[Grupo],MATCH(BD12,T_Equipos[NombreEquipo],0)))&amp;")")</f>
        <v>P.1 (4)</v>
      </c>
      <c r="CA12" s="119" t="n">
        <f aca="false">IF($BZ12="-","-",SUMIFS(FG_GolesLocal,FGLocal,$BD12,Part1Empate2V,$BZ12)+SUMIFS(FG_GolesVisitante,FGVisitante,$BD12,Part1Empate2L,$BZ12))</f>
        <v>1</v>
      </c>
      <c r="CB12" s="119" t="n">
        <f aca="false">IF($BZ12="-","-",SUMIFS(FG_GolesVisitante,FGLocal,$BD12,Part1Empate2V,$BZ12)+SUMIFS(FG_GolesLocal,FGVisitante,$BD12,Part1Empate2L,$BZ12))</f>
        <v>1</v>
      </c>
      <c r="CC12" s="119" t="n">
        <f aca="false">IF($BZ12="-","-",CA12-CB12)</f>
        <v>0</v>
      </c>
      <c r="CD12" s="119" t="n">
        <f aca="false">BY12+COUNTIFS($BZ$6:$BZ$53,BZ12,$CC$6:CC$53,"&gt;"&amp;CC12,$BC$6:$BC$53,INDEX(T_Equipos[Grupo],MATCH(BD12,T_Equipos[NombreEquipo],0)))</f>
        <v>1</v>
      </c>
      <c r="CE12" s="118" t="str">
        <f aca="false">IF(COUNTIFS($CD$6:$CD$53,CD12,$BC$6:$BC$53,INDEX(T_Equipos[Grupo],MATCH(BD12,T_Equipos[NombreEquipo],0)))=1,"-","P."&amp;CD12&amp;" ("&amp;COUNTIFS($CD$6:$CD$53,CD12,$BC$6:$BC$53,INDEX(T_Equipos[Grupo],MATCH(BD12,T_Equipos[NombreEquipo],0)))&amp;")")</f>
        <v>P.1 (4)</v>
      </c>
      <c r="CF12" s="119" t="n">
        <f aca="false">IF($CE12="-","-",SUMIFS(FG_GolesLocal,FGLocal,$BD12,Part1Empate3V,$CE12)+SUMIFS(FG_GolesVisitante,FGVisitante,$BD12,Part1Empate3L,$CE12))</f>
        <v>1</v>
      </c>
      <c r="CG12" s="119" t="n">
        <f aca="false">CD12+COUNTIFS($CE$6:$CE$53,CE12,$CF$6:CF$53,"&gt;"&amp;CF12,$BC$6:$BC$53,INDEX(T_Equipos[Grupo],MATCH(BD12,T_Equipos[NombreEquipo],0)))</f>
        <v>1</v>
      </c>
      <c r="CH12" s="118" t="str">
        <f aca="false">IF(COUNTIFS($CG$6:$CG$53,CG12,$BC$6:$BC$53,INDEX(T_Equipos[Grupo],MATCH(BD12,T_Equipos[NombreEquipo],0)))=1,"-","P."&amp;CG12&amp;" ("&amp;COUNTIFS($CG$6:$CG$53,CG12,$BC$6:$BC$53,INDEX(T_Equipos[Grupo],MATCH(BD12,T_Equipos[NombreEquipo],0)))&amp;")")</f>
        <v>P.1 (4)</v>
      </c>
      <c r="CI12" s="119" t="n">
        <f aca="false">IF($CH12="-","-",COUNTIFS(FGLocal,$BD12,Ganador,"Local",Part2Empate4V,$CH12)+COUNTIFS(FGVisitante,$BD12,Ganador,"Visitante",Part2Empate4L,$CH12))</f>
        <v>0</v>
      </c>
      <c r="CJ12" s="119" t="n">
        <f aca="false">IF($CH12="-","-",COUNTIFS(FGLocal,$BD12,Ganador,"Empate",Part2Empate4V,$CH12)+COUNTIFS(FGVisitante,$BD12,Ganador,"Empate",Part2Empate4L,$CH12))</f>
        <v>1</v>
      </c>
      <c r="CK12" s="119" t="n">
        <f aca="false">IF($CH12="-","-",COUNTIFS(FGLocal,$BD12,Ganador,"Visitante",Part2Empate4V,$CH12)+COUNTIFS(FGVisitante,$BD12,Ganador,"Local",Part2Empate4L,$CH12))</f>
        <v>0</v>
      </c>
      <c r="CL12" s="119" t="n">
        <f aca="false">IF($CH12="-","-",CI12*3+CJ12)</f>
        <v>1</v>
      </c>
      <c r="CM12" s="119" t="n">
        <f aca="false">CG12+COUNTIFS($CH$6:$CH$53,CH12,$CL$6:CL$53,"&gt;"&amp;CL12,$BC$6:$BC$53,INDEX(T_Equipos[Grupo],MATCH(BD12,T_Equipos[NombreEquipo],0)))</f>
        <v>1</v>
      </c>
      <c r="CN12" s="118" t="str">
        <f aca="false">IF(COUNTIFS($CM$6:$CM$53,CM12,$BC$6:$BC$53,INDEX(T_Equipos[Grupo],MATCH(BD12,T_Equipos[NombreEquipo],0)))=1,"-","P."&amp;CM12&amp;" ("&amp;COUNTIFS($CM$6:$CM$53,CM12,$BC$6:$BC$53,INDEX(T_Equipos[Grupo],MATCH(BD12,T_Equipos[NombreEquipo],0)))&amp;")")</f>
        <v>P.1 (4)</v>
      </c>
      <c r="CO12" s="119" t="n">
        <f aca="false">IF($CN12="-","-",SUMIFS(FG_GolesLocal,FGLocal,$BD12,Part2Empate5V,$CN12)+SUMIFS(FG_GolesVisitante,FGVisitante,$BD12,Part2Empate5L,$CN12))</f>
        <v>1</v>
      </c>
      <c r="CP12" s="119" t="n">
        <f aca="false">IF($CN12="-","-",SUMIFS(FG_GolesVisitante,FGLocal,$BD12,Part2Empate5V,$CN12)+SUMIFS(FG_GolesLocal,FGVisitante,$BD12,Part2Empate5L,$CN12))</f>
        <v>1</v>
      </c>
      <c r="CQ12" s="119" t="n">
        <f aca="false">IF($CN12="-","-",CO12-CP12)</f>
        <v>0</v>
      </c>
      <c r="CR12" s="119" t="n">
        <f aca="false">CM12+COUNTIFS($CN$6:$CN$53,CN12,$CQ$6:CQ$53,"&gt;"&amp;CQ12,$BC$6:$BC$53,INDEX(T_Equipos[Grupo],MATCH(BD12,T_Equipos[NombreEquipo],0)))</f>
        <v>1</v>
      </c>
      <c r="CS12" s="118" t="str">
        <f aca="false">IF(COUNTIFS($CR$6:$CR$53,CR12,$BC$6:$BC$53,INDEX(T_Equipos[Grupo],MATCH(BD12,T_Equipos[NombreEquipo],0)))=1,"-","P."&amp;CR12&amp;" ("&amp;COUNTIFS($CR$6:$CR$53,CR12,$BC$6:$BC$53,INDEX(T_Equipos[Grupo],MATCH(BD12,T_Equipos[NombreEquipo],0)))&amp;")")</f>
        <v>P.1 (4)</v>
      </c>
      <c r="CT12" s="119" t="n">
        <f aca="false">IF($CS12="-","-",SUMIFS(FG_GolesLocal,FGLocal,$BD12,Part2Empate6V,$CS12)+SUMIFS(FG_GolesVisitante,FGVisitante,$BD12,Part2Empate6L,$CS12))</f>
        <v>1</v>
      </c>
      <c r="CU12" s="119" t="n">
        <f aca="false">CR12+COUNTIFS($CS$6:$CS$53,CS12,$CT$6:CT$53,"&gt;"&amp;CT12,$BC$6:$BC$53,INDEX(T_Equipos[Grupo],MATCH(BD12,T_Equipos[NombreEquipo],0)))</f>
        <v>1</v>
      </c>
      <c r="CV12" s="118" t="str">
        <f aca="false">IF(COUNTIFS($CU$6:$CU$53,CU12,$BC$6:$BC$53,INDEX(T_Equipos[Grupo],MATCH(BD12,T_Equipos[NombreEquipo],0)))=1,"-","P."&amp;CU12&amp;" ("&amp;COUNTIFS($CU$6:$CU$53,CU12,$BC$6:$BC$53,INDEX(T_Equipos[Grupo],MATCH(BD12,T_Equipos[NombreEquipo],0)))&amp;")")</f>
        <v>P.1 (4)</v>
      </c>
      <c r="CW12" s="118" t="n">
        <f aca="false">IF(CV12="-","-",BL12)</f>
        <v>0</v>
      </c>
      <c r="CX12" s="118" t="n">
        <f aca="false">CU12+COUNTIFS($CV$6:$CV$53,CV12,$CW$6:CW$53,"&gt;"&amp;CW12,$BC$6:$BC$53,INDEX(T_Equipos[Grupo],MATCH(BD12,T_Equipos[NombreEquipo],0)))</f>
        <v>1</v>
      </c>
      <c r="CY12" s="118" t="str">
        <f aca="false">IF(COUNTIFS($CX$6:$CX$53,CX12,$BC$6:$BC$53,INDEX(T_Equipos[Grupo],MATCH(BD12,T_Equipos[NombreEquipo],0)))=1,"-","P."&amp;CX12&amp;" ("&amp;COUNTIFS($CX$6:$CX$53,CX12,$BC$6:$BC$53,INDEX(T_Equipos[Grupo],MATCH(BD12,T_Equipos[NombreEquipo],0)))&amp;")")</f>
        <v>P.1 (4)</v>
      </c>
      <c r="CZ12" s="118" t="n">
        <f aca="false">IF(CY12="-","-",BJ12)</f>
        <v>1</v>
      </c>
      <c r="DA12" s="119" t="n">
        <f aca="false">CX12+COUNTIFS($CY$6:$CY$53,CY12,$CZ$6:CZ$53,"&gt;"&amp;CZ12,$BC$6:$BC$53,INDEX(T_Equipos[Grupo],MATCH(BD12,T_Equipos[NombreEquipo],0)))</f>
        <v>1</v>
      </c>
      <c r="DB12" s="118" t="str">
        <f aca="false">IF(COUNTIFS($DA$6:$DA$53,DA12,$BC$6:$BC$53,INDEX(T_Equipos[Grupo],MATCH(BD12,T_Equipos[NombreEquipo],0)))=1,"-","P."&amp;DA12&amp;" ("&amp;COUNTIFS($DA$6:$DA$53,DA12,$BC$6:$BC$53,INDEX(T_Equipos[Grupo],MATCH(BD12,T_Equipos[NombreEquipo],0)))&amp;")")</f>
        <v>P.1 (4)</v>
      </c>
      <c r="DC12" s="116" t="n">
        <f aca="false">IF(DB12="-","-",COUNTIFS(T_Equipos[Rank],"&lt;"&amp;INDEX(T_Equipos[Rank],MATCH(BD12,T_Equipos[NombreEquipo],0)),$BC$6:$BC$53,INDEX(T_Equipos[Grupo],MATCH(BD12,T_Equipos[NombreEquipo],0)))+1)</f>
        <v>3</v>
      </c>
      <c r="DD12" s="116" t="n">
        <f aca="false">DA12+COUNTIFS($DB$6:$DB$53,DB12,$DC$6:DC$53,"&lt;"&amp;DC12,$BC$6:$BC$53,INDEX(T_Equipos[Grupo],MATCH(BD12,T_Equipos[NombreEquipo],0)))</f>
        <v>3</v>
      </c>
      <c r="DE12" s="116"/>
      <c r="DF12" s="116" t="n">
        <f aca="false">IF(OR(INDEX($AW$6:$AW$97,MATCH($BD12,$AV$6:$AV$97,0))="",DB12="-"),DD12,INDEX($AW$6:$AW$97,MATCH($BD12,$AV$6:$AV$97,0))+DD12/1000)</f>
        <v>3</v>
      </c>
      <c r="DG12" s="116" t="n">
        <f aca="false">IF(DB12="-","-",COUNTIFS(DF$6:DF$53,"&lt;"&amp;DF12,$BC$6:$BC$53,INDEX(T_Equipos[Grupo],MATCH(BD12,T_Equipos[NombreEquipo],0))))</f>
        <v>2</v>
      </c>
      <c r="DH12" s="116" t="n">
        <f aca="false">DA12+COUNTIFS(DB$6:DB$53,DB12,DG$6:DG$53,"&lt;"&amp;DG12,$BC$6:$BC$53,INDEX(T_Equipos[Grupo],MATCH(BD12,T_Equipos[NombreEquipo],0)))</f>
        <v>3</v>
      </c>
      <c r="DI12" s="55"/>
      <c r="DJ12" s="55" t="n">
        <f aca="false">INDEX($DA$6:$DA$53,MATCH($DQ12,$BD$6:$BD$53,0))</f>
        <v>1</v>
      </c>
      <c r="DK12" s="55" t="n">
        <f aca="false">+SUMIF($BC$6:$BC$53,BC12,$BF$6:$BF$53)</f>
        <v>4</v>
      </c>
      <c r="DL12" s="55" t="n">
        <f aca="false">IF(OR(DK12=12,$AJ$99=144),COUNTIFS($DJ$6:$DJ$53,DJ12,$BC$6:$BC$53,BC12),1)</f>
        <v>1</v>
      </c>
      <c r="DM12" s="120" t="str">
        <f aca="false">DJ12&amp;"."&amp;DL12</f>
        <v>1.1</v>
      </c>
      <c r="DN12" s="55" t="n">
        <f aca="true" t="array" ref="DN12:DN12">OFFSET(Horarios!$P$3,DJ12-1,0,DL12,1)</f>
        <v>1</v>
      </c>
      <c r="DO12" s="55"/>
      <c r="DP12" s="55" t="s">
        <v>85</v>
      </c>
      <c r="DQ12" s="55" t="str">
        <f aca="false">INDEX($BD$6:$BD$53,MATCH(DP12,$BM$6:$BM$53,0))</f>
        <v>Catar</v>
      </c>
      <c r="DR12" s="55"/>
      <c r="DS12" s="55"/>
      <c r="DT12" s="55" t="str">
        <f aca="false">AA12&amp;"-"&amp;AF12</f>
        <v>Canadá-Bosnia y Herzegovina</v>
      </c>
      <c r="DU12" s="55"/>
      <c r="DV12" s="55"/>
      <c r="DW12" s="57"/>
    </row>
    <row r="13" customFormat="false" ht="15.75" hidden="false" customHeight="true" outlineLevel="0" collapsed="false">
      <c r="A13" s="92" t="str">
        <f aca="false">+Equipos!B6</f>
        <v>Canadá</v>
      </c>
      <c r="B13" s="72"/>
      <c r="C13" s="72"/>
      <c r="D13" s="55" t="str">
        <f aca="false">IF(OR(AC13="",AD13=""),"Pendiente",IF(AC13&gt;AD13,"Local",IF(AC13&lt;AD13,"Visitante","Empate")))</f>
        <v>Empate</v>
      </c>
      <c r="E13" s="55" t="str">
        <f aca="false">IF(D13="Pendiente","-",INDEX($BT$6:$BT$53,MATCH($AA13,$BD$6:$BD$53,0)))</f>
        <v>P.1 (4)</v>
      </c>
      <c r="F13" s="55" t="str">
        <f aca="false">IF(D13="Pendiente","-",INDEX($BT$6:$BT$53,MATCH($AF13,$BD$6:$BD$53,0)))</f>
        <v>P.1 (4)</v>
      </c>
      <c r="G13" s="55"/>
      <c r="H13" s="55" t="str">
        <f aca="false">IF(D13="Pendiente","-",INDEX($BZ$6:$BZ$53,MATCH($AA13,$BD$6:$BD$53,0)))</f>
        <v>P.1 (4)</v>
      </c>
      <c r="I13" s="55" t="str">
        <f aca="false">IF(D13="Pendiente","-",INDEX($BZ$6:$BZ$53,MATCH($AF13,$BD$6:$BD$53,0)))</f>
        <v>P.1 (4)</v>
      </c>
      <c r="J13" s="55"/>
      <c r="K13" s="55" t="str">
        <f aca="false">IF(D13="Pendiente","-",INDEX($CE$6:$CE$53,MATCH($AA13,$BD$6:$BD$53,0)))</f>
        <v>P.1 (4)</v>
      </c>
      <c r="L13" s="55" t="str">
        <f aca="false">IF(D13="Pendiente","-",INDEX($CE$6:$CE$53,MATCH($AF13,$BD$6:$BD$53,0)))</f>
        <v>P.1 (4)</v>
      </c>
      <c r="M13" s="55"/>
      <c r="N13" s="55" t="str">
        <f aca="false">IF(D13="Pendiente","-",INDEX($CH$6:$CH$53,MATCH($AA13,$BD$6:$BD$53,0)))</f>
        <v>P.1 (4)</v>
      </c>
      <c r="O13" s="55" t="str">
        <f aca="false">IF(D13="Pendiente","-",INDEX($CH$6:$CH$53,MATCH($AF13,$BD$6:$BD$53,0)))</f>
        <v>P.1 (4)</v>
      </c>
      <c r="P13" s="55"/>
      <c r="Q13" s="55" t="str">
        <f aca="false">IF(D13="Pendiente","-",INDEX($CN$6:$CN$53,MATCH($AA13,$BD$6:$BD$53,0)))</f>
        <v>P.1 (4)</v>
      </c>
      <c r="R13" s="55" t="str">
        <f aca="false">IF(D13="Pendiente","-",INDEX($CN$6:$CN$53,MATCH($AF13,$BD$6:$BD$53,0)))</f>
        <v>P.1 (4)</v>
      </c>
      <c r="S13" s="55"/>
      <c r="T13" s="55" t="str">
        <f aca="false">IF(D13="Pendiente","-",INDEX($CS$6:$CS$53,MATCH($AA13,$BD$6:$BD$53,0)))</f>
        <v>P.1 (4)</v>
      </c>
      <c r="U13" s="55" t="str">
        <f aca="false">IF(D13="Pendiente","-",INDEX($CS$6:$CS$53,MATCH($AF13,$BD$6:$BD$53,0)))</f>
        <v>P.1 (4)</v>
      </c>
      <c r="V13" s="46"/>
      <c r="W13" s="164"/>
      <c r="X13" s="74" t="n">
        <f aca="false">Horarios!C13</f>
        <v>46186.875</v>
      </c>
      <c r="Y13" s="75" t="n">
        <f aca="false">Horarios!C13</f>
        <v>46186.875</v>
      </c>
      <c r="Z13" s="76" t="str">
        <f aca="false">$Z$4</f>
        <v>J1</v>
      </c>
      <c r="AA13" s="77" t="str">
        <f aca="false">A15</f>
        <v>Catar</v>
      </c>
      <c r="AB13" s="165" t="str">
        <f aca="true" t="array" ref="AB13:AB13">Ver_flag_local</f>
        <v/>
      </c>
      <c r="AC13" s="79" t="n">
        <v>1</v>
      </c>
      <c r="AD13" s="80" t="n">
        <v>1</v>
      </c>
      <c r="AE13" s="81" t="str">
        <f aca="true" t="array" ref="AE13:AE13">Ver_flag_visit</f>
        <v/>
      </c>
      <c r="AF13" s="82" t="str">
        <f aca="false">A16</f>
        <v>Suiza</v>
      </c>
      <c r="AG13" s="83" t="n">
        <f aca="false">IF(NOT(OR(ISBLANK(AC13),ISBLANK(AD13))),1,0)</f>
        <v>1</v>
      </c>
      <c r="AH13" s="84" t="n">
        <v>8</v>
      </c>
      <c r="AI13" s="85"/>
      <c r="AJ13" s="93" t="str">
        <f aca="false">AJ5</f>
        <v>Pos</v>
      </c>
      <c r="AK13" s="94"/>
      <c r="AL13" s="95" t="str">
        <f aca="false">AL5</f>
        <v>Selección</v>
      </c>
      <c r="AM13" s="94" t="str">
        <f aca="false">AM5</f>
        <v>Pts</v>
      </c>
      <c r="AN13" s="94" t="str">
        <f aca="false">AN5</f>
        <v>J</v>
      </c>
      <c r="AO13" s="94" t="str">
        <f aca="false">AO5</f>
        <v>G</v>
      </c>
      <c r="AP13" s="94" t="str">
        <f aca="false">AP5</f>
        <v>E</v>
      </c>
      <c r="AQ13" s="94" t="str">
        <f aca="false">AQ5</f>
        <v>P</v>
      </c>
      <c r="AR13" s="94" t="str">
        <f aca="false">AR5</f>
        <v>GF</v>
      </c>
      <c r="AS13" s="94" t="str">
        <f aca="false">AS5</f>
        <v>GC</v>
      </c>
      <c r="AT13" s="96" t="str">
        <f aca="false">AT5</f>
        <v>DG</v>
      </c>
      <c r="AU13" s="161" t="n">
        <f aca="false">COUNTIF(AU14:AU17,"&gt;1")</f>
        <v>0</v>
      </c>
      <c r="AV13" s="97"/>
      <c r="AW13" s="97"/>
      <c r="AX13" s="168"/>
      <c r="AY13" s="98" t="str">
        <f aca="false">AL13</f>
        <v>Selección</v>
      </c>
      <c r="AZ13" s="99" t="str">
        <f aca="false">+Idiomas!$D$69</f>
        <v>Puntos penalizados</v>
      </c>
      <c r="BA13" s="49"/>
      <c r="BB13" s="55"/>
      <c r="BC13" s="116" t="str">
        <f aca="false">+INDEX(T_Equipos[Grupo],MATCH(WORLDCUP!BD13,T_Equipos[NombreEquipo],0))</f>
        <v>B</v>
      </c>
      <c r="BD13" s="55" t="str">
        <f aca="false">+Equipos!B9</f>
        <v>Suiza</v>
      </c>
      <c r="BE13" s="117" t="n">
        <f aca="false">+BG13*3+BH13+IF($AZ$3="no",0,INDEX($AZ$6:$AZ$97,MATCH(BD13,$AY$6:$AY$97,0)))</f>
        <v>1</v>
      </c>
      <c r="BF13" s="117" t="n">
        <f aca="false">+BG13+BH13+BI13</f>
        <v>1</v>
      </c>
      <c r="BG13" s="117" t="n">
        <f aca="false">+COUNTIFS(FGLocal,BD13,Ganador,"Local")+COUNTIFS(FGVisitante,BD13,Ganador,"Visitante")</f>
        <v>0</v>
      </c>
      <c r="BH13" s="117" t="n">
        <f aca="false">+COUNTIFS(FGLocal,BD13,Ganador,"Empate")+COUNTIFS(FGVisitante,BD13,Ganador,"Empate")</f>
        <v>1</v>
      </c>
      <c r="BI13" s="117" t="n">
        <f aca="false">+COUNTIFS(FGVisitante,BD13,Ganador,"Local")+COUNTIFS(FGLocal,BD13,Ganador,"Visitante")</f>
        <v>0</v>
      </c>
      <c r="BJ13" s="117" t="n">
        <f aca="false">+SUMIFS(FG_GolesLocal,FGLocal,BD13,Ganador,"&lt;&gt;"&amp;"Pendiente",FG_GolesLocal,"&lt;&gt;"&amp;"",FG_GolesVisitante,"&lt;&gt;"&amp;"")+SUMIFS(FG_GolesVisitante,FGVisitante,BD13,Ganador,"&lt;&gt;"&amp;"Pendiente",FG_GolesLocal,"&lt;&gt;"&amp;"",FG_GolesVisitante,"&lt;&gt;"&amp;"")</f>
        <v>1</v>
      </c>
      <c r="BK13" s="117" t="n">
        <f aca="false">+SUMIFS(FG_GolesLocal,FGVisitante,BD13,Ganador,"&lt;&gt;"&amp;"Pendiente",FG_GolesLocal,"&lt;&gt;"&amp;"",FG_GolesVisitante,"&lt;&gt;"&amp;"")+SUMIFS(FG_GolesVisitante,FGLocal,BD13,Ganador,"&lt;&gt;"&amp;"Pendiente",FG_GolesLocal,"&lt;&gt;"&amp;"",FG_GolesVisitante,"&lt;&gt;"&amp;"")</f>
        <v>1</v>
      </c>
      <c r="BL13" s="117" t="n">
        <f aca="false">+BJ13-BK13</f>
        <v>0</v>
      </c>
      <c r="BM13" s="117" t="str">
        <f aca="false">DD13&amp;BC13</f>
        <v>4B</v>
      </c>
      <c r="BN13" s="117" t="str">
        <f aca="false">DH13&amp;BC13</f>
        <v>4B</v>
      </c>
      <c r="BO13" s="119" t="n">
        <f aca="false">IF(AND($AJ$99=144,BF13&gt;=1),1,0)</f>
        <v>0</v>
      </c>
      <c r="BP13" s="118" t="n">
        <f aca="false">COUNTIFS($BO$6:$BO$53,"&gt;"&amp;BO13,$BC$6:$BC$53,INDEX(T_Equipos[Grupo],MATCH(BD13,T_Equipos[NombreEquipo],0)))+1</f>
        <v>1</v>
      </c>
      <c r="BQ13" s="118" t="str">
        <f aca="false">IF(COUNTIFS($BP$6:$BP$53,BP13,$BC$6:$BC$53,INDEX(T_Equipos[Grupo],MATCH(BD13,T_Equipos[NombreEquipo],0)))=1,"-","P."&amp;BP13&amp;" ("&amp;COUNTIFS($BP$6:$BP$53,BP13,$BC$6:$BC$53,INDEX(T_Equipos[Grupo],MATCH(BD13,T_Equipos[NombreEquipo],0)))&amp;")")</f>
        <v>P.1 (4)</v>
      </c>
      <c r="BR13" s="119" t="n">
        <f aca="false">IF($BQ13="-","-",BE13)</f>
        <v>1</v>
      </c>
      <c r="BS13" s="118" t="n">
        <f aca="false">BP13+COUNTIFS($BQ$6:$BQ$53,BQ13,$BR$6:BR$53,"&gt;"&amp;BR13,$BC$6:$BC$53,INDEX(T_Equipos[Grupo],MATCH(BD13,T_Equipos[NombreEquipo],0)))</f>
        <v>1</v>
      </c>
      <c r="BT13" s="118" t="str">
        <f aca="false">IF(COUNTIFS($BS$6:$BS$53,BS13,$BC$6:$BC$53,INDEX(T_Equipos[Grupo],MATCH(BD13,T_Equipos[NombreEquipo],0)))=1,"-","P."&amp;BS13&amp;" ("&amp;COUNTIFS($BS$6:$BS$53,BS13,$BC$6:$BC$53,INDEX(T_Equipos[Grupo],MATCH(BD13,T_Equipos[NombreEquipo],0)))&amp;")")</f>
        <v>P.1 (4)</v>
      </c>
      <c r="BU13" s="119" t="n">
        <f aca="false">IF($BT13="-","-",COUNTIFS(FGLocal,$BD13,Ganador,"Local",Part1Empate1V,$BT13)+COUNTIFS(FGVisitante,$BD13,Ganador,"Visitante",Part1Empate1L,$BT13))</f>
        <v>0</v>
      </c>
      <c r="BV13" s="119" t="n">
        <f aca="false">IF($BT13="-","-",COUNTIFS(FGLocal,$BD13,Ganador,"Empate",Part1Empate1V,$BT13)+COUNTIFS(FGVisitante,$BD13,Ganador,"Empate",Part1Empate1L,$BT13))</f>
        <v>1</v>
      </c>
      <c r="BW13" s="119" t="n">
        <f aca="false">IF($BT13="-","-",COUNTIFS(FGLocal,$BD13,Ganador,"Visitante",Part1Empate1V,$BT13)+COUNTIFS(FGVisitante,$BD13,Ganador,"Local",Part1Empate1L,$BT13))</f>
        <v>0</v>
      </c>
      <c r="BX13" s="119" t="n">
        <f aca="false">IF($BT13="-","-",BU13*3+BV13)</f>
        <v>1</v>
      </c>
      <c r="BY13" s="119" t="n">
        <f aca="false">BS13+COUNTIFS($BT$6:$BT$53,BT13,$BX$6:BX$53,"&gt;"&amp;BX13,$BC$6:$BC$53,INDEX(T_Equipos[Grupo],MATCH(BD13,T_Equipos[NombreEquipo],0)))</f>
        <v>1</v>
      </c>
      <c r="BZ13" s="118" t="str">
        <f aca="false">IF(COUNTIFS($BY$6:$BY$53,BY13,$BC$6:$BC$53,INDEX(T_Equipos[Grupo],MATCH(BD13,T_Equipos[NombreEquipo],0)))=1,"-","P."&amp;BY13&amp;" ("&amp;COUNTIFS($BY$6:$BY$53,BY13,$BC$6:$BC$53,INDEX(T_Equipos[Grupo],MATCH(BD13,T_Equipos[NombreEquipo],0)))&amp;")")</f>
        <v>P.1 (4)</v>
      </c>
      <c r="CA13" s="119" t="n">
        <f aca="false">IF($BZ13="-","-",SUMIFS(FG_GolesLocal,FGLocal,$BD13,Part1Empate2V,$BZ13)+SUMIFS(FG_GolesVisitante,FGVisitante,$BD13,Part1Empate2L,$BZ13))</f>
        <v>1</v>
      </c>
      <c r="CB13" s="119" t="n">
        <f aca="false">IF($BZ13="-","-",SUMIFS(FG_GolesVisitante,FGLocal,$BD13,Part1Empate2V,$BZ13)+SUMIFS(FG_GolesLocal,FGVisitante,$BD13,Part1Empate2L,$BZ13))</f>
        <v>1</v>
      </c>
      <c r="CC13" s="119" t="n">
        <f aca="false">IF($BZ13="-","-",CA13-CB13)</f>
        <v>0</v>
      </c>
      <c r="CD13" s="119" t="n">
        <f aca="false">BY13+COUNTIFS($BZ$6:$BZ$53,BZ13,$CC$6:CC$53,"&gt;"&amp;CC13,$BC$6:$BC$53,INDEX(T_Equipos[Grupo],MATCH(BD13,T_Equipos[NombreEquipo],0)))</f>
        <v>1</v>
      </c>
      <c r="CE13" s="118" t="str">
        <f aca="false">IF(COUNTIFS($CD$6:$CD$53,CD13,$BC$6:$BC$53,INDEX(T_Equipos[Grupo],MATCH(BD13,T_Equipos[NombreEquipo],0)))=1,"-","P."&amp;CD13&amp;" ("&amp;COUNTIFS($CD$6:$CD$53,CD13,$BC$6:$BC$53,INDEX(T_Equipos[Grupo],MATCH(BD13,T_Equipos[NombreEquipo],0)))&amp;")")</f>
        <v>P.1 (4)</v>
      </c>
      <c r="CF13" s="119" t="n">
        <f aca="false">IF($CE13="-","-",SUMIFS(FG_GolesLocal,FGLocal,$BD13,Part1Empate3V,$CE13)+SUMIFS(FG_GolesVisitante,FGVisitante,$BD13,Part1Empate3L,$CE13))</f>
        <v>1</v>
      </c>
      <c r="CG13" s="119" t="n">
        <f aca="false">CD13+COUNTIFS($CE$6:$CE$53,CE13,$CF$6:CF$53,"&gt;"&amp;CF13,$BC$6:$BC$53,INDEX(T_Equipos[Grupo],MATCH(BD13,T_Equipos[NombreEquipo],0)))</f>
        <v>1</v>
      </c>
      <c r="CH13" s="118" t="str">
        <f aca="false">IF(COUNTIFS($CG$6:$CG$53,CG13,$BC$6:$BC$53,INDEX(T_Equipos[Grupo],MATCH(BD13,T_Equipos[NombreEquipo],0)))=1,"-","P."&amp;CG13&amp;" ("&amp;COUNTIFS($CG$6:$CG$53,CG13,$BC$6:$BC$53,INDEX(T_Equipos[Grupo],MATCH(BD13,T_Equipos[NombreEquipo],0)))&amp;")")</f>
        <v>P.1 (4)</v>
      </c>
      <c r="CI13" s="119" t="n">
        <f aca="false">IF($CH13="-","-",COUNTIFS(FGLocal,$BD13,Ganador,"Local",Part2Empate4V,$CH13)+COUNTIFS(FGVisitante,$BD13,Ganador,"Visitante",Part2Empate4L,$CH13))</f>
        <v>0</v>
      </c>
      <c r="CJ13" s="119" t="n">
        <f aca="false">IF($CH13="-","-",COUNTIFS(FGLocal,$BD13,Ganador,"Empate",Part2Empate4V,$CH13)+COUNTIFS(FGVisitante,$BD13,Ganador,"Empate",Part2Empate4L,$CH13))</f>
        <v>1</v>
      </c>
      <c r="CK13" s="119" t="n">
        <f aca="false">IF($CH13="-","-",COUNTIFS(FGLocal,$BD13,Ganador,"Visitante",Part2Empate4V,$CH13)+COUNTIFS(FGVisitante,$BD13,Ganador,"Local",Part2Empate4L,$CH13))</f>
        <v>0</v>
      </c>
      <c r="CL13" s="119" t="n">
        <f aca="false">IF($CH13="-","-",CI13*3+CJ13)</f>
        <v>1</v>
      </c>
      <c r="CM13" s="119" t="n">
        <f aca="false">CG13+COUNTIFS($CH$6:$CH$53,CH13,$CL$6:CL$53,"&gt;"&amp;CL13,$BC$6:$BC$53,INDEX(T_Equipos[Grupo],MATCH(BD13,T_Equipos[NombreEquipo],0)))</f>
        <v>1</v>
      </c>
      <c r="CN13" s="118" t="str">
        <f aca="false">IF(COUNTIFS($CM$6:$CM$53,CM13,$BC$6:$BC$53,INDEX(T_Equipos[Grupo],MATCH(BD13,T_Equipos[NombreEquipo],0)))=1,"-","P."&amp;CM13&amp;" ("&amp;COUNTIFS($CM$6:$CM$53,CM13,$BC$6:$BC$53,INDEX(T_Equipos[Grupo],MATCH(BD13,T_Equipos[NombreEquipo],0)))&amp;")")</f>
        <v>P.1 (4)</v>
      </c>
      <c r="CO13" s="119" t="n">
        <f aca="false">IF($CN13="-","-",SUMIFS(FG_GolesLocal,FGLocal,$BD13,Part2Empate5V,$CN13)+SUMIFS(FG_GolesVisitante,FGVisitante,$BD13,Part2Empate5L,$CN13))</f>
        <v>1</v>
      </c>
      <c r="CP13" s="119" t="n">
        <f aca="false">IF($CN13="-","-",SUMIFS(FG_GolesVisitante,FGLocal,$BD13,Part2Empate5V,$CN13)+SUMIFS(FG_GolesLocal,FGVisitante,$BD13,Part2Empate5L,$CN13))</f>
        <v>1</v>
      </c>
      <c r="CQ13" s="119" t="n">
        <f aca="false">IF($CN13="-","-",CO13-CP13)</f>
        <v>0</v>
      </c>
      <c r="CR13" s="119" t="n">
        <f aca="false">CM13+COUNTIFS($CN$6:$CN$53,CN13,$CQ$6:CQ$53,"&gt;"&amp;CQ13,$BC$6:$BC$53,INDEX(T_Equipos[Grupo],MATCH(BD13,T_Equipos[NombreEquipo],0)))</f>
        <v>1</v>
      </c>
      <c r="CS13" s="118" t="str">
        <f aca="false">IF(COUNTIFS($CR$6:$CR$53,CR13,$BC$6:$BC$53,INDEX(T_Equipos[Grupo],MATCH(BD13,T_Equipos[NombreEquipo],0)))=1,"-","P."&amp;CR13&amp;" ("&amp;COUNTIFS($CR$6:$CR$53,CR13,$BC$6:$BC$53,INDEX(T_Equipos[Grupo],MATCH(BD13,T_Equipos[NombreEquipo],0)))&amp;")")</f>
        <v>P.1 (4)</v>
      </c>
      <c r="CT13" s="119" t="n">
        <f aca="false">IF($CS13="-","-",SUMIFS(FG_GolesLocal,FGLocal,$BD13,Part2Empate6V,$CS13)+SUMIFS(FG_GolesVisitante,FGVisitante,$BD13,Part2Empate6L,$CS13))</f>
        <v>1</v>
      </c>
      <c r="CU13" s="119" t="n">
        <f aca="false">CR13+COUNTIFS($CS$6:$CS$53,CS13,$CT$6:CT$53,"&gt;"&amp;CT13,$BC$6:$BC$53,INDEX(T_Equipos[Grupo],MATCH(BD13,T_Equipos[NombreEquipo],0)))</f>
        <v>1</v>
      </c>
      <c r="CV13" s="118" t="str">
        <f aca="false">IF(COUNTIFS($CU$6:$CU$53,CU13,$BC$6:$BC$53,INDEX(T_Equipos[Grupo],MATCH(BD13,T_Equipos[NombreEquipo],0)))=1,"-","P."&amp;CU13&amp;" ("&amp;COUNTIFS($CU$6:$CU$53,CU13,$BC$6:$BC$53,INDEX(T_Equipos[Grupo],MATCH(BD13,T_Equipos[NombreEquipo],0)))&amp;")")</f>
        <v>P.1 (4)</v>
      </c>
      <c r="CW13" s="118" t="n">
        <f aca="false">IF(CV13="-","-",BL13)</f>
        <v>0</v>
      </c>
      <c r="CX13" s="118" t="n">
        <f aca="false">CU13+COUNTIFS($CV$6:$CV$53,CV13,$CW$6:CW$53,"&gt;"&amp;CW13,$BC$6:$BC$53,INDEX(T_Equipos[Grupo],MATCH(BD13,T_Equipos[NombreEquipo],0)))</f>
        <v>1</v>
      </c>
      <c r="CY13" s="118" t="str">
        <f aca="false">IF(COUNTIFS($CX$6:$CX$53,CX13,$BC$6:$BC$53,INDEX(T_Equipos[Grupo],MATCH(BD13,T_Equipos[NombreEquipo],0)))=1,"-","P."&amp;CX13&amp;" ("&amp;COUNTIFS($CX$6:$CX$53,CX13,$BC$6:$BC$53,INDEX(T_Equipos[Grupo],MATCH(BD13,T_Equipos[NombreEquipo],0)))&amp;")")</f>
        <v>P.1 (4)</v>
      </c>
      <c r="CZ13" s="118" t="n">
        <f aca="false">IF(CY13="-","-",BJ13)</f>
        <v>1</v>
      </c>
      <c r="DA13" s="119" t="n">
        <f aca="false">CX13+COUNTIFS($CY$6:$CY$53,CY13,$CZ$6:CZ$53,"&gt;"&amp;CZ13,$BC$6:$BC$53,INDEX(T_Equipos[Grupo],MATCH(BD13,T_Equipos[NombreEquipo],0)))</f>
        <v>1</v>
      </c>
      <c r="DB13" s="118" t="str">
        <f aca="false">IF(COUNTIFS($DA$6:$DA$53,DA13,$BC$6:$BC$53,INDEX(T_Equipos[Grupo],MATCH(BD13,T_Equipos[NombreEquipo],0)))=1,"-","P."&amp;DA13&amp;" ("&amp;COUNTIFS($DA$6:$DA$53,DA13,$BC$6:$BC$53,INDEX(T_Equipos[Grupo],MATCH(BD13,T_Equipos[NombreEquipo],0)))&amp;")")</f>
        <v>P.1 (4)</v>
      </c>
      <c r="DC13" s="116" t="n">
        <f aca="false">IF(DB13="-","-",COUNTIFS(T_Equipos[Rank],"&lt;"&amp;INDEX(T_Equipos[Rank],MATCH(BD13,T_Equipos[NombreEquipo],0)),$BC$6:$BC$53,INDEX(T_Equipos[Grupo],MATCH(BD13,T_Equipos[NombreEquipo],0)))+1)</f>
        <v>4</v>
      </c>
      <c r="DD13" s="116" t="n">
        <f aca="false">DA13+COUNTIFS($DB$6:$DB$53,DB13,$DC$6:DC$53,"&lt;"&amp;DC13,$BC$6:$BC$53,INDEX(T_Equipos[Grupo],MATCH(BD13,T_Equipos[NombreEquipo],0)))</f>
        <v>4</v>
      </c>
      <c r="DE13" s="116"/>
      <c r="DF13" s="116" t="n">
        <f aca="false">IF(OR(INDEX($AW$6:$AW$97,MATCH($BD13,$AV$6:$AV$97,0))="",DB13="-"),DD13,INDEX($AW$6:$AW$97,MATCH($BD13,$AV$6:$AV$97,0))+DD13/1000)</f>
        <v>4</v>
      </c>
      <c r="DG13" s="116" t="n">
        <f aca="false">IF(DB13="-","-",COUNTIFS(DF$6:DF$53,"&lt;"&amp;DF13,$BC$6:$BC$53,INDEX(T_Equipos[Grupo],MATCH(BD13,T_Equipos[NombreEquipo],0))))</f>
        <v>3</v>
      </c>
      <c r="DH13" s="116" t="n">
        <f aca="false">DA13+COUNTIFS(DB$6:DB$53,DB13,DG$6:DG$53,"&lt;"&amp;DG13,$BC$6:$BC$53,INDEX(T_Equipos[Grupo],MATCH(BD13,T_Equipos[NombreEquipo],0)))</f>
        <v>4</v>
      </c>
      <c r="DI13" s="55"/>
      <c r="DJ13" s="55" t="n">
        <f aca="false">INDEX($DA$6:$DA$53,MATCH($DQ13,$BD$6:$BD$53,0))</f>
        <v>1</v>
      </c>
      <c r="DK13" s="55" t="n">
        <f aca="false">+SUMIF($BC$6:$BC$53,BC13,$BF$6:$BF$53)</f>
        <v>4</v>
      </c>
      <c r="DL13" s="55" t="n">
        <f aca="false">IF(OR(DK13=12,$AJ$99=144),COUNTIFS($DJ$6:$DJ$53,DJ13,$BC$6:$BC$53,BC13),1)</f>
        <v>1</v>
      </c>
      <c r="DM13" s="120" t="str">
        <f aca="false">DJ13&amp;"."&amp;DL13</f>
        <v>1.1</v>
      </c>
      <c r="DN13" s="55" t="n">
        <f aca="true" t="array" ref="DN13:DN13">OFFSET(Horarios!$P$3,DJ13-1,0,DL13,1)</f>
        <v>1</v>
      </c>
      <c r="DO13" s="55"/>
      <c r="DP13" s="55" t="s">
        <v>86</v>
      </c>
      <c r="DQ13" s="55" t="str">
        <f aca="false">INDEX($BD$6:$BD$53,MATCH(DP13,$BM$6:$BM$53,0))</f>
        <v>Suiza</v>
      </c>
      <c r="DR13" s="55"/>
      <c r="DS13" s="55"/>
      <c r="DT13" s="55" t="str">
        <f aca="false">AA13&amp;"-"&amp;AF13</f>
        <v>Catar-Suiza</v>
      </c>
      <c r="DU13" s="55"/>
      <c r="DV13" s="55"/>
      <c r="DW13" s="57"/>
    </row>
    <row r="14" customFormat="false" ht="16.5" hidden="false" customHeight="true" outlineLevel="0" collapsed="false">
      <c r="A14" s="92" t="str">
        <f aca="false">+Equipos!B7</f>
        <v>Bosnia y Herzegovina</v>
      </c>
      <c r="B14" s="72"/>
      <c r="C14" s="103"/>
      <c r="D14" s="55" t="str">
        <f aca="false">IF(OR(AC14="",AD14=""),"Pendiente",IF(AC14&gt;AD14,"Local",IF(AC14&lt;AD14,"Visitante","Empate")))</f>
        <v>Pendiente</v>
      </c>
      <c r="E14" s="55" t="str">
        <f aca="false">IF(D14="Pendiente","-",INDEX($BT$6:$BT$53,MATCH($AA14,$BD$6:$BD$53,0)))</f>
        <v>-</v>
      </c>
      <c r="F14" s="55" t="str">
        <f aca="false">IF(D14="Pendiente","-",INDEX($BT$6:$BT$53,MATCH($AF14,$BD$6:$BD$53,0)))</f>
        <v>-</v>
      </c>
      <c r="G14" s="55"/>
      <c r="H14" s="55" t="str">
        <f aca="false">IF(D14="Pendiente","-",INDEX($BZ$6:$BZ$53,MATCH($AA14,$BD$6:$BD$53,0)))</f>
        <v>-</v>
      </c>
      <c r="I14" s="55" t="str">
        <f aca="false">IF(D14="Pendiente","-",INDEX($BZ$6:$BZ$53,MATCH($AF14,$BD$6:$BD$53,0)))</f>
        <v>-</v>
      </c>
      <c r="J14" s="55"/>
      <c r="K14" s="55" t="str">
        <f aca="false">IF(D14="Pendiente","-",INDEX($CE$6:$CE$53,MATCH($AA14,$BD$6:$BD$53,0)))</f>
        <v>-</v>
      </c>
      <c r="L14" s="55" t="str">
        <f aca="false">IF(D14="Pendiente","-",INDEX($CE$6:$CE$53,MATCH($AF14,$BD$6:$BD$53,0)))</f>
        <v>-</v>
      </c>
      <c r="M14" s="55"/>
      <c r="N14" s="55" t="str">
        <f aca="false">IF(D14="Pendiente","-",INDEX($CH$6:$CH$53,MATCH($AA14,$BD$6:$BD$53,0)))</f>
        <v>-</v>
      </c>
      <c r="O14" s="55" t="str">
        <f aca="false">IF(D14="Pendiente","-",INDEX($CH$6:$CH$53,MATCH($AF14,$BD$6:$BD$53,0)))</f>
        <v>-</v>
      </c>
      <c r="P14" s="55"/>
      <c r="Q14" s="55" t="str">
        <f aca="false">IF(D14="Pendiente","-",INDEX($CN$6:$CN$53,MATCH($AA14,$BD$6:$BD$53,0)))</f>
        <v>-</v>
      </c>
      <c r="R14" s="55" t="str">
        <f aca="false">IF(D14="Pendiente","-",INDEX($CN$6:$CN$53,MATCH($AF14,$BD$6:$BD$53,0)))</f>
        <v>-</v>
      </c>
      <c r="S14" s="55"/>
      <c r="T14" s="55" t="str">
        <f aca="false">IF(D14="Pendiente","-",INDEX($CS$6:$CS$53,MATCH($AA14,$BD$6:$BD$53,0)))</f>
        <v>-</v>
      </c>
      <c r="U14" s="55" t="str">
        <f aca="false">IF(D14="Pendiente","-",INDEX($CS$6:$CS$53,MATCH($AF14,$BD$6:$BD$53,0)))</f>
        <v>-</v>
      </c>
      <c r="V14" s="46"/>
      <c r="W14" s="164"/>
      <c r="X14" s="74" t="n">
        <f aca="false">Horarios!C14</f>
        <v>46191.875</v>
      </c>
      <c r="Y14" s="75" t="n">
        <f aca="false">Horarios!C14</f>
        <v>46191.875</v>
      </c>
      <c r="Z14" s="76" t="str">
        <f aca="false">$Z$6</f>
        <v>J2</v>
      </c>
      <c r="AA14" s="77" t="str">
        <f aca="false">A16</f>
        <v>Suiza</v>
      </c>
      <c r="AB14" s="165" t="str">
        <f aca="true" t="array" ref="AB14:AB14">Ver_flag_local</f>
        <v/>
      </c>
      <c r="AC14" s="79"/>
      <c r="AD14" s="80"/>
      <c r="AE14" s="81" t="str">
        <f aca="true" t="array" ref="AE14:AE14">Ver_flag_visit</f>
        <v/>
      </c>
      <c r="AF14" s="82" t="str">
        <f aca="false">A14</f>
        <v>Bosnia y Herzegovina</v>
      </c>
      <c r="AG14" s="83" t="n">
        <f aca="false">IF(NOT(OR(ISBLANK(AC14),ISBLANK(AD14))),1,0)</f>
        <v>0</v>
      </c>
      <c r="AH14" s="84" t="n">
        <v>26</v>
      </c>
      <c r="AI14" s="85" t="str">
        <f aca="false">AJ14&amp;$B$12</f>
        <v>1B</v>
      </c>
      <c r="AJ14" s="169" t="n">
        <v>1</v>
      </c>
      <c r="AK14" s="170" t="str">
        <f aca="true" t="array" ref="AK14:AK14">Ver_flag_visit</f>
        <v/>
      </c>
      <c r="AL14" s="106" t="str">
        <f aca="false">IFERROR(INDEX($BD$6:$BD$53,MATCH(AI14,$BN$6:$BN$53,0)),"")</f>
        <v>Canadá</v>
      </c>
      <c r="AM14" s="107" t="n">
        <f aca="false">INDEX($BE$6:$BN$53,MATCH($AL14,$BD$6:$BD$53,0),MATCH(AM$5,$BE$5:$BN$5,0))</f>
        <v>1</v>
      </c>
      <c r="AN14" s="108" t="n">
        <f aca="false">INDEX($BE$6:$BN$53,MATCH($AL14,$BD$6:$BD$53,0),MATCH(AN$5,$BE$5:$BN$5,0))</f>
        <v>1</v>
      </c>
      <c r="AO14" s="108" t="n">
        <f aca="false">INDEX($BE$6:$BN$53,MATCH($AL14,$BD$6:$BD$53,0),MATCH(AO$5,$BE$5:$BN$5,0))</f>
        <v>0</v>
      </c>
      <c r="AP14" s="108" t="n">
        <f aca="false">INDEX($BE$6:$BN$53,MATCH($AL14,$BD$6:$BD$53,0),MATCH(AP$5,$BE$5:$BN$5,0))</f>
        <v>1</v>
      </c>
      <c r="AQ14" s="108" t="n">
        <f aca="false">INDEX($BE$6:$BN$53,MATCH($AL14,$BD$6:$BD$53,0),MATCH(AQ$5,$BE$5:$BN$5,0))</f>
        <v>0</v>
      </c>
      <c r="AR14" s="108" t="n">
        <f aca="false">INDEX($BE$6:$BN$53,MATCH($AL14,$BD$6:$BD$53,0),MATCH(AR$5,$BE$5:$BN$5,0))</f>
        <v>1</v>
      </c>
      <c r="AS14" s="108" t="n">
        <f aca="false">INDEX($BE$6:$BN$53,MATCH($AL14,$BD$6:$BD$53,0),MATCH(AS$5,$BE$5:$BN$5,0))</f>
        <v>1</v>
      </c>
      <c r="AT14" s="171" t="n">
        <f aca="false">INDEX($BE$6:$BN$53,MATCH($AL14,$BD$6:$BD$53,0),MATCH(AT$5,$BE$5:$BN$5,0))</f>
        <v>0</v>
      </c>
      <c r="AU14" s="110" t="n">
        <f aca="false">INDEX($DL$6:$DL$53,MATCH(AI14,$DP$6:$DP$53,0))</f>
        <v>1</v>
      </c>
      <c r="AV14" s="111" t="str">
        <f aca="false">INDEX($BD$6:$BD$53,MATCH(AI14,$BM$6:$BM$53,0))</f>
        <v>Canadá</v>
      </c>
      <c r="AW14" s="112"/>
      <c r="AX14" s="113"/>
      <c r="AY14" s="114" t="str">
        <f aca="false">+A13</f>
        <v>Canadá</v>
      </c>
      <c r="AZ14" s="115"/>
      <c r="BA14" s="49"/>
      <c r="BB14" s="55"/>
      <c r="BC14" s="116" t="str">
        <f aca="false">+INDEX(T_Equipos[Grupo],MATCH(WORLDCUP!BD14,T_Equipos[NombreEquipo],0))</f>
        <v>C</v>
      </c>
      <c r="BD14" s="55" t="str">
        <f aca="false">+Equipos!B10</f>
        <v>Brasil</v>
      </c>
      <c r="BE14" s="117" t="n">
        <f aca="false">+BG14*3+BH14+IF($AZ$3="no",0,INDEX($AZ$6:$AZ$97,MATCH(BD14,$AY$6:$AY$97,0)))</f>
        <v>1</v>
      </c>
      <c r="BF14" s="117" t="n">
        <f aca="false">+BG14+BH14+BI14</f>
        <v>1</v>
      </c>
      <c r="BG14" s="117" t="n">
        <f aca="false">+COUNTIFS(FGLocal,BD14,Ganador,"Local")+COUNTIFS(FGVisitante,BD14,Ganador,"Visitante")</f>
        <v>0</v>
      </c>
      <c r="BH14" s="117" t="n">
        <f aca="false">+COUNTIFS(FGLocal,BD14,Ganador,"Empate")+COUNTIFS(FGVisitante,BD14,Ganador,"Empate")</f>
        <v>1</v>
      </c>
      <c r="BI14" s="117" t="n">
        <f aca="false">+COUNTIFS(FGVisitante,BD14,Ganador,"Local")+COUNTIFS(FGLocal,BD14,Ganador,"Visitante")</f>
        <v>0</v>
      </c>
      <c r="BJ14" s="117" t="n">
        <f aca="false">+SUMIFS(FG_GolesLocal,FGLocal,BD14,Ganador,"&lt;&gt;"&amp;"Pendiente",FG_GolesLocal,"&lt;&gt;"&amp;"",FG_GolesVisitante,"&lt;&gt;"&amp;"")+SUMIFS(FG_GolesVisitante,FGVisitante,BD14,Ganador,"&lt;&gt;"&amp;"Pendiente",FG_GolesLocal,"&lt;&gt;"&amp;"",FG_GolesVisitante,"&lt;&gt;"&amp;"")</f>
        <v>1</v>
      </c>
      <c r="BK14" s="117" t="n">
        <f aca="false">+SUMIFS(FG_GolesLocal,FGVisitante,BD14,Ganador,"&lt;&gt;"&amp;"Pendiente",FG_GolesLocal,"&lt;&gt;"&amp;"",FG_GolesVisitante,"&lt;&gt;"&amp;"")+SUMIFS(FG_GolesVisitante,FGLocal,BD14,Ganador,"&lt;&gt;"&amp;"Pendiente",FG_GolesLocal,"&lt;&gt;"&amp;"",FG_GolesVisitante,"&lt;&gt;"&amp;"")</f>
        <v>1</v>
      </c>
      <c r="BL14" s="117" t="n">
        <f aca="false">+BJ14-BK14</f>
        <v>0</v>
      </c>
      <c r="BM14" s="117" t="str">
        <f aca="false">DD14&amp;BC14</f>
        <v>2C</v>
      </c>
      <c r="BN14" s="117" t="str">
        <f aca="false">DH14&amp;BC14</f>
        <v>2C</v>
      </c>
      <c r="BO14" s="118" t="n">
        <f aca="false">IF(AND($AJ$99=144,BF14&gt;=1),1,0)</f>
        <v>0</v>
      </c>
      <c r="BP14" s="118" t="n">
        <f aca="false">COUNTIFS($BO$6:$BO$53,"&gt;"&amp;BO14,$BC$6:$BC$53,INDEX(T_Equipos[Grupo],MATCH(BD14,T_Equipos[NombreEquipo],0)))+1</f>
        <v>1</v>
      </c>
      <c r="BQ14" s="118" t="str">
        <f aca="false">IF(COUNTIFS($BP$6:$BP$53,BP14,$BC$6:$BC$53,INDEX(T_Equipos[Grupo],MATCH(BD14,T_Equipos[NombreEquipo],0)))=1,"-","P."&amp;BP14&amp;" ("&amp;COUNTIFS($BP$6:$BP$53,BP14,$BC$6:$BC$53,INDEX(T_Equipos[Grupo],MATCH(BD14,T_Equipos[NombreEquipo],0)))&amp;")")</f>
        <v>P.1 (4)</v>
      </c>
      <c r="BR14" s="118" t="n">
        <f aca="false">IF($BQ14="-","-",BE14)</f>
        <v>1</v>
      </c>
      <c r="BS14" s="118" t="n">
        <f aca="false">BP14+COUNTIFS($BQ$6:$BQ$53,BQ14,$BR$6:BR$53,"&gt;"&amp;BR14,$BC$6:$BC$53,INDEX(T_Equipos[Grupo],MATCH(BD14,T_Equipos[NombreEquipo],0)))</f>
        <v>2</v>
      </c>
      <c r="BT14" s="118" t="str">
        <f aca="false">IF(COUNTIFS($BS$6:$BS$53,BS14,$BC$6:$BC$53,INDEX(T_Equipos[Grupo],MATCH(BD14,T_Equipos[NombreEquipo],0)))=1,"-","P."&amp;BS14&amp;" ("&amp;COUNTIFS($BS$6:$BS$53,BS14,$BC$6:$BC$53,INDEX(T_Equipos[Grupo],MATCH(BD14,T_Equipos[NombreEquipo],0)))&amp;")")</f>
        <v>P.2 (2)</v>
      </c>
      <c r="BU14" s="119" t="n">
        <f aca="false">IF($BT14="-","-",COUNTIFS(FGLocal,$BD14,Ganador,"Local",Part1Empate1V,$BT14)+COUNTIFS(FGVisitante,$BD14,Ganador,"Visitante",Part1Empate1L,$BT14))</f>
        <v>0</v>
      </c>
      <c r="BV14" s="119" t="n">
        <f aca="false">IF($BT14="-","-",COUNTIFS(FGLocal,$BD14,Ganador,"Empate",Part1Empate1V,$BT14)+COUNTIFS(FGVisitante,$BD14,Ganador,"Empate",Part1Empate1L,$BT14))</f>
        <v>1</v>
      </c>
      <c r="BW14" s="119" t="n">
        <f aca="false">IF($BT14="-","-",COUNTIFS(FGLocal,$BD14,Ganador,"Visitante",Part1Empate1V,$BT14)+COUNTIFS(FGVisitante,$BD14,Ganador,"Local",Part1Empate1L,$BT14))</f>
        <v>0</v>
      </c>
      <c r="BX14" s="119" t="n">
        <f aca="false">IF($BT14="-","-",BU14*3+BV14)</f>
        <v>1</v>
      </c>
      <c r="BY14" s="119" t="n">
        <f aca="false">BS14+COUNTIFS($BT$6:$BT$53,BT14,$BX$6:BX$53,"&gt;"&amp;BX14,$BC$6:$BC$53,INDEX(T_Equipos[Grupo],MATCH(BD14,T_Equipos[NombreEquipo],0)))</f>
        <v>2</v>
      </c>
      <c r="BZ14" s="118" t="str">
        <f aca="false">IF(COUNTIFS($BY$6:$BY$53,BY14,$BC$6:$BC$53,INDEX(T_Equipos[Grupo],MATCH(BD14,T_Equipos[NombreEquipo],0)))=1,"-","P."&amp;BY14&amp;" ("&amp;COUNTIFS($BY$6:$BY$53,BY14,$BC$6:$BC$53,INDEX(T_Equipos[Grupo],MATCH(BD14,T_Equipos[NombreEquipo],0)))&amp;")")</f>
        <v>P.2 (2)</v>
      </c>
      <c r="CA14" s="119" t="n">
        <f aca="false">IF($BZ14="-","-",SUMIFS(FG_GolesLocal,FGLocal,$BD14,Part1Empate2V,$BZ14)+SUMIFS(FG_GolesVisitante,FGVisitante,$BD14,Part1Empate2L,$BZ14))</f>
        <v>1</v>
      </c>
      <c r="CB14" s="119" t="n">
        <f aca="false">IF($BZ14="-","-",SUMIFS(FG_GolesVisitante,FGLocal,$BD14,Part1Empate2V,$BZ14)+SUMIFS(FG_GolesLocal,FGVisitante,$BD14,Part1Empate2L,$BZ14))</f>
        <v>1</v>
      </c>
      <c r="CC14" s="119" t="n">
        <f aca="false">IF($BZ14="-","-",CA14-CB14)</f>
        <v>0</v>
      </c>
      <c r="CD14" s="119" t="n">
        <f aca="false">BY14+COUNTIFS($BZ$6:$BZ$53,BZ14,$CC$6:CC$53,"&gt;"&amp;CC14,$BC$6:$BC$53,INDEX(T_Equipos[Grupo],MATCH(BD14,T_Equipos[NombreEquipo],0)))</f>
        <v>2</v>
      </c>
      <c r="CE14" s="118" t="str">
        <f aca="false">IF(COUNTIFS($CD$6:$CD$53,CD14,$BC$6:$BC$53,INDEX(T_Equipos[Grupo],MATCH(BD14,T_Equipos[NombreEquipo],0)))=1,"-","P."&amp;CD14&amp;" ("&amp;COUNTIFS($CD$6:$CD$53,CD14,$BC$6:$BC$53,INDEX(T_Equipos[Grupo],MATCH(BD14,T_Equipos[NombreEquipo],0)))&amp;")")</f>
        <v>P.2 (2)</v>
      </c>
      <c r="CF14" s="119" t="n">
        <f aca="false">IF($CE14="-","-",SUMIFS(FG_GolesLocal,FGLocal,$BD14,Part1Empate3V,$CE14)+SUMIFS(FG_GolesVisitante,FGVisitante,$BD14,Part1Empate3L,$CE14))</f>
        <v>1</v>
      </c>
      <c r="CG14" s="119" t="n">
        <f aca="false">CD14+COUNTIFS($CE$6:$CE$53,CE14,$CF$6:CF$53,"&gt;"&amp;CF14,$BC$6:$BC$53,INDEX(T_Equipos[Grupo],MATCH(BD14,T_Equipos[NombreEquipo],0)))</f>
        <v>2</v>
      </c>
      <c r="CH14" s="118" t="str">
        <f aca="false">IF(COUNTIFS($CG$6:$CG$53,CG14,$BC$6:$BC$53,INDEX(T_Equipos[Grupo],MATCH(BD14,T_Equipos[NombreEquipo],0)))=1,"-","P."&amp;CG14&amp;" ("&amp;COUNTIFS($CG$6:$CG$53,CG14,$BC$6:$BC$53,INDEX(T_Equipos[Grupo],MATCH(BD14,T_Equipos[NombreEquipo],0)))&amp;")")</f>
        <v>P.2 (2)</v>
      </c>
      <c r="CI14" s="119" t="n">
        <f aca="false">IF($CH14="-","-",COUNTIFS(FGLocal,$BD14,Ganador,"Local",Part2Empate4V,$CH14)+COUNTIFS(FGVisitante,$BD14,Ganador,"Visitante",Part2Empate4L,$CH14))</f>
        <v>0</v>
      </c>
      <c r="CJ14" s="119" t="n">
        <f aca="false">IF($CH14="-","-",COUNTIFS(FGLocal,$BD14,Ganador,"Empate",Part2Empate4V,$CH14)+COUNTIFS(FGVisitante,$BD14,Ganador,"Empate",Part2Empate4L,$CH14))</f>
        <v>1</v>
      </c>
      <c r="CK14" s="119" t="n">
        <f aca="false">IF($CH14="-","-",COUNTIFS(FGLocal,$BD14,Ganador,"Visitante",Part2Empate4V,$CH14)+COUNTIFS(FGVisitante,$BD14,Ganador,"Local",Part2Empate4L,$CH14))</f>
        <v>0</v>
      </c>
      <c r="CL14" s="119" t="n">
        <f aca="false">IF($CH14="-","-",CI14*3+CJ14)</f>
        <v>1</v>
      </c>
      <c r="CM14" s="119" t="n">
        <f aca="false">CG14+COUNTIFS($CH$6:$CH$53,CH14,$CL$6:CL$53,"&gt;"&amp;CL14,$BC$6:$BC$53,INDEX(T_Equipos[Grupo],MATCH(BD14,T_Equipos[NombreEquipo],0)))</f>
        <v>2</v>
      </c>
      <c r="CN14" s="118" t="str">
        <f aca="false">IF(COUNTIFS($CM$6:$CM$53,CM14,$BC$6:$BC$53,INDEX(T_Equipos[Grupo],MATCH(BD14,T_Equipos[NombreEquipo],0)))=1,"-","P."&amp;CM14&amp;" ("&amp;COUNTIFS($CM$6:$CM$53,CM14,$BC$6:$BC$53,INDEX(T_Equipos[Grupo],MATCH(BD14,T_Equipos[NombreEquipo],0)))&amp;")")</f>
        <v>P.2 (2)</v>
      </c>
      <c r="CO14" s="119" t="n">
        <f aca="false">IF($CN14="-","-",SUMIFS(FG_GolesLocal,FGLocal,$BD14,Part2Empate5V,$CN14)+SUMIFS(FG_GolesVisitante,FGVisitante,$BD14,Part2Empate5L,$CN14))</f>
        <v>1</v>
      </c>
      <c r="CP14" s="119" t="n">
        <f aca="false">IF($CN14="-","-",SUMIFS(FG_GolesVisitante,FGLocal,$BD14,Part2Empate5V,$CN14)+SUMIFS(FG_GolesLocal,FGVisitante,$BD14,Part2Empate5L,$CN14))</f>
        <v>1</v>
      </c>
      <c r="CQ14" s="119" t="n">
        <f aca="false">IF($CN14="-","-",CO14-CP14)</f>
        <v>0</v>
      </c>
      <c r="CR14" s="119" t="n">
        <f aca="false">CM14+COUNTIFS($CN$6:$CN$53,CN14,$CQ$6:CQ$53,"&gt;"&amp;CQ14,$BC$6:$BC$53,INDEX(T_Equipos[Grupo],MATCH(BD14,T_Equipos[NombreEquipo],0)))</f>
        <v>2</v>
      </c>
      <c r="CS14" s="118" t="str">
        <f aca="false">IF(COUNTIFS($CR$6:$CR$53,CR14,$BC$6:$BC$53,INDEX(T_Equipos[Grupo],MATCH(BD14,T_Equipos[NombreEquipo],0)))=1,"-","P."&amp;CR14&amp;" ("&amp;COUNTIFS($CR$6:$CR$53,CR14,$BC$6:$BC$53,INDEX(T_Equipos[Grupo],MATCH(BD14,T_Equipos[NombreEquipo],0)))&amp;")")</f>
        <v>P.2 (2)</v>
      </c>
      <c r="CT14" s="119" t="n">
        <f aca="false">IF($CS14="-","-",SUMIFS(FG_GolesLocal,FGLocal,$BD14,Part2Empate6V,$CS14)+SUMIFS(FG_GolesVisitante,FGVisitante,$BD14,Part2Empate6L,$CS14))</f>
        <v>1</v>
      </c>
      <c r="CU14" s="119" t="n">
        <f aca="false">CR14+COUNTIFS($CS$6:$CS$53,CS14,$CT$6:CT$53,"&gt;"&amp;CT14,$BC$6:$BC$53,INDEX(T_Equipos[Grupo],MATCH(BD14,T_Equipos[NombreEquipo],0)))</f>
        <v>2</v>
      </c>
      <c r="CV14" s="118" t="str">
        <f aca="false">IF(COUNTIFS($CU$6:$CU$53,CU14,$BC$6:$BC$53,INDEX(T_Equipos[Grupo],MATCH(BD14,T_Equipos[NombreEquipo],0)))=1,"-","P."&amp;CU14&amp;" ("&amp;COUNTIFS($CU$6:$CU$53,CU14,$BC$6:$BC$53,INDEX(T_Equipos[Grupo],MATCH(BD14,T_Equipos[NombreEquipo],0)))&amp;")")</f>
        <v>P.2 (2)</v>
      </c>
      <c r="CW14" s="118" t="n">
        <f aca="false">IF(CV14="-","-",BL14)</f>
        <v>0</v>
      </c>
      <c r="CX14" s="118" t="n">
        <f aca="false">CU14+COUNTIFS($CV$6:$CV$53,CV14,$CW$6:CW$53,"&gt;"&amp;CW14,$BC$6:$BC$53,INDEX(T_Equipos[Grupo],MATCH(BD14,T_Equipos[NombreEquipo],0)))</f>
        <v>2</v>
      </c>
      <c r="CY14" s="118" t="str">
        <f aca="false">IF(COUNTIFS($CX$6:$CX$53,CX14,$BC$6:$BC$53,INDEX(T_Equipos[Grupo],MATCH(BD14,T_Equipos[NombreEquipo],0)))=1,"-","P."&amp;CX14&amp;" ("&amp;COUNTIFS($CX$6:$CX$53,CX14,$BC$6:$BC$53,INDEX(T_Equipos[Grupo],MATCH(BD14,T_Equipos[NombreEquipo],0)))&amp;")")</f>
        <v>P.2 (2)</v>
      </c>
      <c r="CZ14" s="118" t="n">
        <f aca="false">IF(CY14="-","-",BJ14)</f>
        <v>1</v>
      </c>
      <c r="DA14" s="119" t="n">
        <f aca="false">CX14+COUNTIFS($CY$6:$CY$53,CY14,$CZ$6:CZ$53,"&gt;"&amp;CZ14,$BC$6:$BC$53,INDEX(T_Equipos[Grupo],MATCH(BD14,T_Equipos[NombreEquipo],0)))</f>
        <v>2</v>
      </c>
      <c r="DB14" s="118" t="str">
        <f aca="false">IF(COUNTIFS($DA$6:$DA$53,DA14,$BC$6:$BC$53,INDEX(T_Equipos[Grupo],MATCH(BD14,T_Equipos[NombreEquipo],0)))=1,"-","P."&amp;DA14&amp;" ("&amp;COUNTIFS($DA$6:$DA$53,DA14,$BC$6:$BC$53,INDEX(T_Equipos[Grupo],MATCH(BD14,T_Equipos[NombreEquipo],0)))&amp;")")</f>
        <v>P.2 (2)</v>
      </c>
      <c r="DC14" s="116" t="n">
        <f aca="false">IF(DB14="-","-",COUNTIFS(T_Equipos[Rank],"&lt;"&amp;INDEX(T_Equipos[Rank],MATCH(BD14,T_Equipos[NombreEquipo],0)),$BC$6:$BC$53,INDEX(T_Equipos[Grupo],MATCH(BD14,T_Equipos[NombreEquipo],0)))+1)</f>
        <v>1</v>
      </c>
      <c r="DD14" s="116" t="n">
        <f aca="false">DA14+COUNTIFS($DB$6:$DB$53,DB14,$DC$6:DC$53,"&lt;"&amp;DC14,$BC$6:$BC$53,INDEX(T_Equipos[Grupo],MATCH(BD14,T_Equipos[NombreEquipo],0)))</f>
        <v>2</v>
      </c>
      <c r="DE14" s="116"/>
      <c r="DF14" s="116" t="n">
        <f aca="false">IF(OR(INDEX($AW$6:$AW$97,MATCH($BD14,$AV$6:$AV$97,0))="",DB14="-"),DD14,INDEX($AW$6:$AW$97,MATCH($BD14,$AV$6:$AV$97,0))+DD14/1000)</f>
        <v>2</v>
      </c>
      <c r="DG14" s="116" t="n">
        <f aca="false">IF(DB14="-","-",COUNTIFS(DF$6:DF$53,"&lt;"&amp;DF14,$BC$6:$BC$53,INDEX(T_Equipos[Grupo],MATCH(BD14,T_Equipos[NombreEquipo],0))))</f>
        <v>1</v>
      </c>
      <c r="DH14" s="116" t="n">
        <f aca="false">DA14+COUNTIFS(DB$6:DB$53,DB14,DG$6:DG$53,"&lt;"&amp;DG14,$BC$6:$BC$53,INDEX(T_Equipos[Grupo],MATCH(BD14,T_Equipos[NombreEquipo],0)))</f>
        <v>2</v>
      </c>
      <c r="DI14" s="55"/>
      <c r="DJ14" s="55" t="n">
        <f aca="false">INDEX($DA$6:$DA$53,MATCH($DQ14,$BD$6:$BD$53,0))</f>
        <v>1</v>
      </c>
      <c r="DK14" s="55" t="n">
        <f aca="false">+SUMIF($BC$6:$BC$53,BC14,$BF$6:$BF$53)</f>
        <v>4</v>
      </c>
      <c r="DL14" s="55" t="n">
        <f aca="false">IF(OR(DK14=12,$AJ$99=144),COUNTIFS($DJ$6:$DJ$53,DJ14,$BC$6:$BC$53,BC14),1)</f>
        <v>1</v>
      </c>
      <c r="DM14" s="120" t="str">
        <f aca="false">DJ14&amp;"."&amp;DL14</f>
        <v>1.1</v>
      </c>
      <c r="DN14" s="55" t="n">
        <f aca="true" t="array" ref="DN14:DN14">OFFSET(Horarios!$P$3,DJ14-1,0,DL14,1)</f>
        <v>1</v>
      </c>
      <c r="DO14" s="55"/>
      <c r="DP14" s="55" t="s">
        <v>87</v>
      </c>
      <c r="DQ14" s="55" t="str">
        <f aca="false">INDEX($BD$6:$BD$53,MATCH(DP14,$BM$6:$BM$53,0))</f>
        <v>Escocia</v>
      </c>
      <c r="DR14" s="55"/>
      <c r="DS14" s="55"/>
      <c r="DT14" s="55" t="str">
        <f aca="false">AA14&amp;"-"&amp;AF14</f>
        <v>Suiza-Bosnia y Herzegovina</v>
      </c>
      <c r="DU14" s="55"/>
      <c r="DV14" s="55"/>
      <c r="DW14" s="57"/>
    </row>
    <row r="15" customFormat="false" ht="15" hidden="false" customHeight="false" outlineLevel="0" collapsed="false">
      <c r="A15" s="92" t="str">
        <f aca="false">+Equipos!B8</f>
        <v>Catar</v>
      </c>
      <c r="B15" s="72"/>
      <c r="C15" s="55"/>
      <c r="D15" s="55" t="str">
        <f aca="false">IF(OR(AC15="",AD15=""),"Pendiente",IF(AC15&gt;AD15,"Local",IF(AC15&lt;AD15,"Visitante","Empate")))</f>
        <v>Pendiente</v>
      </c>
      <c r="E15" s="55" t="str">
        <f aca="false">IF(D15="Pendiente","-",INDEX($BT$6:$BT$53,MATCH($AA15,$BD$6:$BD$53,0)))</f>
        <v>-</v>
      </c>
      <c r="F15" s="55" t="str">
        <f aca="false">IF(D15="Pendiente","-",INDEX($BT$6:$BT$53,MATCH($AF15,$BD$6:$BD$53,0)))</f>
        <v>-</v>
      </c>
      <c r="G15" s="55"/>
      <c r="H15" s="55" t="str">
        <f aca="false">IF(D15="Pendiente","-",INDEX($BZ$6:$BZ$53,MATCH($AA15,$BD$6:$BD$53,0)))</f>
        <v>-</v>
      </c>
      <c r="I15" s="55" t="str">
        <f aca="false">IF(D15="Pendiente","-",INDEX($BZ$6:$BZ$53,MATCH($AF15,$BD$6:$BD$53,0)))</f>
        <v>-</v>
      </c>
      <c r="J15" s="55"/>
      <c r="K15" s="55" t="str">
        <f aca="false">IF(D15="Pendiente","-",INDEX($CE$6:$CE$53,MATCH($AA15,$BD$6:$BD$53,0)))</f>
        <v>-</v>
      </c>
      <c r="L15" s="55" t="str">
        <f aca="false">IF(D15="Pendiente","-",INDEX($CE$6:$CE$53,MATCH($AF15,$BD$6:$BD$53,0)))</f>
        <v>-</v>
      </c>
      <c r="M15" s="55"/>
      <c r="N15" s="55" t="str">
        <f aca="false">IF(D15="Pendiente","-",INDEX($CH$6:$CH$53,MATCH($AA15,$BD$6:$BD$53,0)))</f>
        <v>-</v>
      </c>
      <c r="O15" s="55" t="str">
        <f aca="false">IF(D15="Pendiente","-",INDEX($CH$6:$CH$53,MATCH($AF15,$BD$6:$BD$53,0)))</f>
        <v>-</v>
      </c>
      <c r="P15" s="55"/>
      <c r="Q15" s="55" t="str">
        <f aca="false">IF(D15="Pendiente","-",INDEX($CN$6:$CN$53,MATCH($AA15,$BD$6:$BD$53,0)))</f>
        <v>-</v>
      </c>
      <c r="R15" s="55" t="str">
        <f aca="false">IF(D15="Pendiente","-",INDEX($CN$6:$CN$53,MATCH($AF15,$BD$6:$BD$53,0)))</f>
        <v>-</v>
      </c>
      <c r="S15" s="55"/>
      <c r="T15" s="55" t="str">
        <f aca="false">IF(D15="Pendiente","-",INDEX($CS$6:$CS$53,MATCH($AA15,$BD$6:$BD$53,0)))</f>
        <v>-</v>
      </c>
      <c r="U15" s="55" t="str">
        <f aca="false">IF(D15="Pendiente","-",INDEX($CS$6:$CS$53,MATCH($AF15,$BD$6:$BD$53,0)))</f>
        <v>-</v>
      </c>
      <c r="V15" s="46"/>
      <c r="W15" s="164"/>
      <c r="X15" s="74" t="n">
        <f aca="false">Horarios!C15</f>
        <v>46192</v>
      </c>
      <c r="Y15" s="75" t="n">
        <f aca="false">Horarios!C15</f>
        <v>46192</v>
      </c>
      <c r="Z15" s="76" t="str">
        <f aca="false">$Z$6</f>
        <v>J2</v>
      </c>
      <c r="AA15" s="77" t="str">
        <f aca="false">A13</f>
        <v>Canadá</v>
      </c>
      <c r="AB15" s="165" t="str">
        <f aca="true" t="array" ref="AB15:AB15">Ver_flag_local</f>
        <v/>
      </c>
      <c r="AC15" s="79"/>
      <c r="AD15" s="80"/>
      <c r="AE15" s="81" t="str">
        <f aca="true" t="array" ref="AE15:AE15">Ver_flag_visit</f>
        <v/>
      </c>
      <c r="AF15" s="82" t="str">
        <f aca="false">A15</f>
        <v>Catar</v>
      </c>
      <c r="AG15" s="83" t="n">
        <f aca="false">IF(NOT(OR(ISBLANK(AC15),ISBLANK(AD15))),1,0)</f>
        <v>0</v>
      </c>
      <c r="AH15" s="84" t="n">
        <v>27</v>
      </c>
      <c r="AI15" s="85" t="str">
        <f aca="false">AJ15&amp;$B$12</f>
        <v>2B</v>
      </c>
      <c r="AJ15" s="172" t="n">
        <v>2</v>
      </c>
      <c r="AK15" s="173" t="str">
        <f aca="true" t="array" ref="AK15:AK15">Ver_flag_visit</f>
        <v/>
      </c>
      <c r="AL15" s="123" t="str">
        <f aca="false">IFERROR(INDEX($BD$6:$BD$53,MATCH(AI15,$BN$6:$BN$53,0)),"")</f>
        <v>Bosnia y Herzegovina</v>
      </c>
      <c r="AM15" s="124" t="n">
        <f aca="false">INDEX($BE$6:$BN$53,MATCH($AL15,$BD$6:$BD$53,0),MATCH(AM$5,$BE$5:$BN$5,0))</f>
        <v>1</v>
      </c>
      <c r="AN15" s="125" t="n">
        <f aca="false">INDEX($BE$6:$BN$53,MATCH($AL15,$BD$6:$BD$53,0),MATCH(AN$5,$BE$5:$BN$5,0))</f>
        <v>1</v>
      </c>
      <c r="AO15" s="125" t="n">
        <f aca="false">INDEX($BE$6:$BN$53,MATCH($AL15,$BD$6:$BD$53,0),MATCH(AO$5,$BE$5:$BN$5,0))</f>
        <v>0</v>
      </c>
      <c r="AP15" s="125" t="n">
        <f aca="false">INDEX($BE$6:$BN$53,MATCH($AL15,$BD$6:$BD$53,0),MATCH(AP$5,$BE$5:$BN$5,0))</f>
        <v>1</v>
      </c>
      <c r="AQ15" s="125" t="n">
        <f aca="false">INDEX($BE$6:$BN$53,MATCH($AL15,$BD$6:$BD$53,0),MATCH(AQ$5,$BE$5:$BN$5,0))</f>
        <v>0</v>
      </c>
      <c r="AR15" s="125" t="n">
        <f aca="false">INDEX($BE$6:$BN$53,MATCH($AL15,$BD$6:$BD$53,0),MATCH(AR$5,$BE$5:$BN$5,0))</f>
        <v>1</v>
      </c>
      <c r="AS15" s="125" t="n">
        <f aca="false">INDEX($BE$6:$BN$53,MATCH($AL15,$BD$6:$BD$53,0),MATCH(AS$5,$BE$5:$BN$5,0))</f>
        <v>1</v>
      </c>
      <c r="AT15" s="174" t="n">
        <f aca="false">INDEX($BE$6:$BN$53,MATCH($AL15,$BD$6:$BD$53,0),MATCH(AT$5,$BE$5:$BN$5,0))</f>
        <v>0</v>
      </c>
      <c r="AU15" s="110" t="n">
        <f aca="false">INDEX($DL$6:$DL$53,MATCH(AI15,$DP$6:$DP$53,0))</f>
        <v>1</v>
      </c>
      <c r="AV15" s="111" t="str">
        <f aca="false">INDEX($BD$6:$BD$53,MATCH(AI15,$BM$6:$BM$53,0))</f>
        <v>Bosnia y Herzegovina</v>
      </c>
      <c r="AW15" s="112"/>
      <c r="AX15" s="113"/>
      <c r="AY15" s="127" t="str">
        <f aca="false">+A14</f>
        <v>Bosnia y Herzegovina</v>
      </c>
      <c r="AZ15" s="128"/>
      <c r="BA15" s="49"/>
      <c r="BB15" s="55"/>
      <c r="BC15" s="116" t="str">
        <f aca="false">+INDEX(T_Equipos[Grupo],MATCH(WORLDCUP!BD15,T_Equipos[NombreEquipo],0))</f>
        <v>C</v>
      </c>
      <c r="BD15" s="55" t="str">
        <f aca="false">+Equipos!B11</f>
        <v>Marruecos</v>
      </c>
      <c r="BE15" s="117" t="n">
        <f aca="false">+BG15*3+BH15+IF($AZ$3="no",0,INDEX($AZ$6:$AZ$97,MATCH(BD15,$AY$6:$AY$97,0)))</f>
        <v>1</v>
      </c>
      <c r="BF15" s="117" t="n">
        <f aca="false">+BG15+BH15+BI15</f>
        <v>1</v>
      </c>
      <c r="BG15" s="117" t="n">
        <f aca="false">+COUNTIFS(FGLocal,BD15,Ganador,"Local")+COUNTIFS(FGVisitante,BD15,Ganador,"Visitante")</f>
        <v>0</v>
      </c>
      <c r="BH15" s="117" t="n">
        <f aca="false">+COUNTIFS(FGLocal,BD15,Ganador,"Empate")+COUNTIFS(FGVisitante,BD15,Ganador,"Empate")</f>
        <v>1</v>
      </c>
      <c r="BI15" s="117" t="n">
        <f aca="false">+COUNTIFS(FGVisitante,BD15,Ganador,"Local")+COUNTIFS(FGLocal,BD15,Ganador,"Visitante")</f>
        <v>0</v>
      </c>
      <c r="BJ15" s="117" t="n">
        <f aca="false">+SUMIFS(FG_GolesLocal,FGLocal,BD15,Ganador,"&lt;&gt;"&amp;"Pendiente",FG_GolesLocal,"&lt;&gt;"&amp;"",FG_GolesVisitante,"&lt;&gt;"&amp;"")+SUMIFS(FG_GolesVisitante,FGVisitante,BD15,Ganador,"&lt;&gt;"&amp;"Pendiente",FG_GolesLocal,"&lt;&gt;"&amp;"",FG_GolesVisitante,"&lt;&gt;"&amp;"")</f>
        <v>1</v>
      </c>
      <c r="BK15" s="117" t="n">
        <f aca="false">+SUMIFS(FG_GolesLocal,FGVisitante,BD15,Ganador,"&lt;&gt;"&amp;"Pendiente",FG_GolesLocal,"&lt;&gt;"&amp;"",FG_GolesVisitante,"&lt;&gt;"&amp;"")+SUMIFS(FG_GolesVisitante,FGLocal,BD15,Ganador,"&lt;&gt;"&amp;"Pendiente",FG_GolesLocal,"&lt;&gt;"&amp;"",FG_GolesVisitante,"&lt;&gt;"&amp;"")</f>
        <v>1</v>
      </c>
      <c r="BL15" s="117" t="n">
        <f aca="false">+BJ15-BK15</f>
        <v>0</v>
      </c>
      <c r="BM15" s="117" t="str">
        <f aca="false">DD15&amp;BC15</f>
        <v>3C</v>
      </c>
      <c r="BN15" s="117" t="str">
        <f aca="false">DH15&amp;BC15</f>
        <v>3C</v>
      </c>
      <c r="BO15" s="118" t="n">
        <f aca="false">IF(AND($AJ$99=144,BF15&gt;=1),1,0)</f>
        <v>0</v>
      </c>
      <c r="BP15" s="118" t="n">
        <f aca="false">COUNTIFS($BO$6:$BO$53,"&gt;"&amp;BO15,$BC$6:$BC$53,INDEX(T_Equipos[Grupo],MATCH(BD15,T_Equipos[NombreEquipo],0)))+1</f>
        <v>1</v>
      </c>
      <c r="BQ15" s="118" t="str">
        <f aca="false">IF(COUNTIFS($BP$6:$BP$53,BP15,$BC$6:$BC$53,INDEX(T_Equipos[Grupo],MATCH(BD15,T_Equipos[NombreEquipo],0)))=1,"-","P."&amp;BP15&amp;" ("&amp;COUNTIFS($BP$6:$BP$53,BP15,$BC$6:$BC$53,INDEX(T_Equipos[Grupo],MATCH(BD15,T_Equipos[NombreEquipo],0)))&amp;")")</f>
        <v>P.1 (4)</v>
      </c>
      <c r="BR15" s="118" t="n">
        <f aca="false">IF($BQ15="-","-",BE15)</f>
        <v>1</v>
      </c>
      <c r="BS15" s="118" t="n">
        <f aca="false">BP15+COUNTIFS($BQ$6:$BQ$53,BQ15,$BR$6:BR$53,"&gt;"&amp;BR15,$BC$6:$BC$53,INDEX(T_Equipos[Grupo],MATCH(BD15,T_Equipos[NombreEquipo],0)))</f>
        <v>2</v>
      </c>
      <c r="BT15" s="118" t="str">
        <f aca="false">IF(COUNTIFS($BS$6:$BS$53,BS15,$BC$6:$BC$53,INDEX(T_Equipos[Grupo],MATCH(BD15,T_Equipos[NombreEquipo],0)))=1,"-","P."&amp;BS15&amp;" ("&amp;COUNTIFS($BS$6:$BS$53,BS15,$BC$6:$BC$53,INDEX(T_Equipos[Grupo],MATCH(BD15,T_Equipos[NombreEquipo],0)))&amp;")")</f>
        <v>P.2 (2)</v>
      </c>
      <c r="BU15" s="119" t="n">
        <f aca="false">IF($BT15="-","-",COUNTIFS(FGLocal,$BD15,Ganador,"Local",Part1Empate1V,$BT15)+COUNTIFS(FGVisitante,$BD15,Ganador,"Visitante",Part1Empate1L,$BT15))</f>
        <v>0</v>
      </c>
      <c r="BV15" s="119" t="n">
        <f aca="false">IF($BT15="-","-",COUNTIFS(FGLocal,$BD15,Ganador,"Empate",Part1Empate1V,$BT15)+COUNTIFS(FGVisitante,$BD15,Ganador,"Empate",Part1Empate1L,$BT15))</f>
        <v>1</v>
      </c>
      <c r="BW15" s="119" t="n">
        <f aca="false">IF($BT15="-","-",COUNTIFS(FGLocal,$BD15,Ganador,"Visitante",Part1Empate1V,$BT15)+COUNTIFS(FGVisitante,$BD15,Ganador,"Local",Part1Empate1L,$BT15))</f>
        <v>0</v>
      </c>
      <c r="BX15" s="119" t="n">
        <f aca="false">IF($BT15="-","-",BU15*3+BV15)</f>
        <v>1</v>
      </c>
      <c r="BY15" s="119" t="n">
        <f aca="false">BS15+COUNTIFS($BT$6:$BT$53,BT15,$BX$6:BX$53,"&gt;"&amp;BX15,$BC$6:$BC$53,INDEX(T_Equipos[Grupo],MATCH(BD15,T_Equipos[NombreEquipo],0)))</f>
        <v>2</v>
      </c>
      <c r="BZ15" s="118" t="str">
        <f aca="false">IF(COUNTIFS($BY$6:$BY$53,BY15,$BC$6:$BC$53,INDEX(T_Equipos[Grupo],MATCH(BD15,T_Equipos[NombreEquipo],0)))=1,"-","P."&amp;BY15&amp;" ("&amp;COUNTIFS($BY$6:$BY$53,BY15,$BC$6:$BC$53,INDEX(T_Equipos[Grupo],MATCH(BD15,T_Equipos[NombreEquipo],0)))&amp;")")</f>
        <v>P.2 (2)</v>
      </c>
      <c r="CA15" s="119" t="n">
        <f aca="false">IF($BZ15="-","-",SUMIFS(FG_GolesLocal,FGLocal,$BD15,Part1Empate2V,$BZ15)+SUMIFS(FG_GolesVisitante,FGVisitante,$BD15,Part1Empate2L,$BZ15))</f>
        <v>1</v>
      </c>
      <c r="CB15" s="119" t="n">
        <f aca="false">IF($BZ15="-","-",SUMIFS(FG_GolesVisitante,FGLocal,$BD15,Part1Empate2V,$BZ15)+SUMIFS(FG_GolesLocal,FGVisitante,$BD15,Part1Empate2L,$BZ15))</f>
        <v>1</v>
      </c>
      <c r="CC15" s="119" t="n">
        <f aca="false">IF($BZ15="-","-",CA15-CB15)</f>
        <v>0</v>
      </c>
      <c r="CD15" s="119" t="n">
        <f aca="false">BY15+COUNTIFS($BZ$6:$BZ$53,BZ15,$CC$6:CC$53,"&gt;"&amp;CC15,$BC$6:$BC$53,INDEX(T_Equipos[Grupo],MATCH(BD15,T_Equipos[NombreEquipo],0)))</f>
        <v>2</v>
      </c>
      <c r="CE15" s="118" t="str">
        <f aca="false">IF(COUNTIFS($CD$6:$CD$53,CD15,$BC$6:$BC$53,INDEX(T_Equipos[Grupo],MATCH(BD15,T_Equipos[NombreEquipo],0)))=1,"-","P."&amp;CD15&amp;" ("&amp;COUNTIFS($CD$6:$CD$53,CD15,$BC$6:$BC$53,INDEX(T_Equipos[Grupo],MATCH(BD15,T_Equipos[NombreEquipo],0)))&amp;")")</f>
        <v>P.2 (2)</v>
      </c>
      <c r="CF15" s="119" t="n">
        <f aca="false">IF($CE15="-","-",SUMIFS(FG_GolesLocal,FGLocal,$BD15,Part1Empate3V,$CE15)+SUMIFS(FG_GolesVisitante,FGVisitante,$BD15,Part1Empate3L,$CE15))</f>
        <v>1</v>
      </c>
      <c r="CG15" s="119" t="n">
        <f aca="false">CD15+COUNTIFS($CE$6:$CE$53,CE15,$CF$6:CF$53,"&gt;"&amp;CF15,$BC$6:$BC$53,INDEX(T_Equipos[Grupo],MATCH(BD15,T_Equipos[NombreEquipo],0)))</f>
        <v>2</v>
      </c>
      <c r="CH15" s="118" t="str">
        <f aca="false">IF(COUNTIFS($CG$6:$CG$53,CG15,$BC$6:$BC$53,INDEX(T_Equipos[Grupo],MATCH(BD15,T_Equipos[NombreEquipo],0)))=1,"-","P."&amp;CG15&amp;" ("&amp;COUNTIFS($CG$6:$CG$53,CG15,$BC$6:$BC$53,INDEX(T_Equipos[Grupo],MATCH(BD15,T_Equipos[NombreEquipo],0)))&amp;")")</f>
        <v>P.2 (2)</v>
      </c>
      <c r="CI15" s="119" t="n">
        <f aca="false">IF($CH15="-","-",COUNTIFS(FGLocal,$BD15,Ganador,"Local",Part2Empate4V,$CH15)+COUNTIFS(FGVisitante,$BD15,Ganador,"Visitante",Part2Empate4L,$CH15))</f>
        <v>0</v>
      </c>
      <c r="CJ15" s="119" t="n">
        <f aca="false">IF($CH15="-","-",COUNTIFS(FGLocal,$BD15,Ganador,"Empate",Part2Empate4V,$CH15)+COUNTIFS(FGVisitante,$BD15,Ganador,"Empate",Part2Empate4L,$CH15))</f>
        <v>1</v>
      </c>
      <c r="CK15" s="119" t="n">
        <f aca="false">IF($CH15="-","-",COUNTIFS(FGLocal,$BD15,Ganador,"Visitante",Part2Empate4V,$CH15)+COUNTIFS(FGVisitante,$BD15,Ganador,"Local",Part2Empate4L,$CH15))</f>
        <v>0</v>
      </c>
      <c r="CL15" s="119" t="n">
        <f aca="false">IF($CH15="-","-",CI15*3+CJ15)</f>
        <v>1</v>
      </c>
      <c r="CM15" s="119" t="n">
        <f aca="false">CG15+COUNTIFS($CH$6:$CH$53,CH15,$CL$6:CL$53,"&gt;"&amp;CL15,$BC$6:$BC$53,INDEX(T_Equipos[Grupo],MATCH(BD15,T_Equipos[NombreEquipo],0)))</f>
        <v>2</v>
      </c>
      <c r="CN15" s="118" t="str">
        <f aca="false">IF(COUNTIFS($CM$6:$CM$53,CM15,$BC$6:$BC$53,INDEX(T_Equipos[Grupo],MATCH(BD15,T_Equipos[NombreEquipo],0)))=1,"-","P."&amp;CM15&amp;" ("&amp;COUNTIFS($CM$6:$CM$53,CM15,$BC$6:$BC$53,INDEX(T_Equipos[Grupo],MATCH(BD15,T_Equipos[NombreEquipo],0)))&amp;")")</f>
        <v>P.2 (2)</v>
      </c>
      <c r="CO15" s="119" t="n">
        <f aca="false">IF($CN15="-","-",SUMIFS(FG_GolesLocal,FGLocal,$BD15,Part2Empate5V,$CN15)+SUMIFS(FG_GolesVisitante,FGVisitante,$BD15,Part2Empate5L,$CN15))</f>
        <v>1</v>
      </c>
      <c r="CP15" s="119" t="n">
        <f aca="false">IF($CN15="-","-",SUMIFS(FG_GolesVisitante,FGLocal,$BD15,Part2Empate5V,$CN15)+SUMIFS(FG_GolesLocal,FGVisitante,$BD15,Part2Empate5L,$CN15))</f>
        <v>1</v>
      </c>
      <c r="CQ15" s="119" t="n">
        <f aca="false">IF($CN15="-","-",CO15-CP15)</f>
        <v>0</v>
      </c>
      <c r="CR15" s="119" t="n">
        <f aca="false">CM15+COUNTIFS($CN$6:$CN$53,CN15,$CQ$6:CQ$53,"&gt;"&amp;CQ15,$BC$6:$BC$53,INDEX(T_Equipos[Grupo],MATCH(BD15,T_Equipos[NombreEquipo],0)))</f>
        <v>2</v>
      </c>
      <c r="CS15" s="118" t="str">
        <f aca="false">IF(COUNTIFS($CR$6:$CR$53,CR15,$BC$6:$BC$53,INDEX(T_Equipos[Grupo],MATCH(BD15,T_Equipos[NombreEquipo],0)))=1,"-","P."&amp;CR15&amp;" ("&amp;COUNTIFS($CR$6:$CR$53,CR15,$BC$6:$BC$53,INDEX(T_Equipos[Grupo],MATCH(BD15,T_Equipos[NombreEquipo],0)))&amp;")")</f>
        <v>P.2 (2)</v>
      </c>
      <c r="CT15" s="119" t="n">
        <f aca="false">IF($CS15="-","-",SUMIFS(FG_GolesLocal,FGLocal,$BD15,Part2Empate6V,$CS15)+SUMIFS(FG_GolesVisitante,FGVisitante,$BD15,Part2Empate6L,$CS15))</f>
        <v>1</v>
      </c>
      <c r="CU15" s="119" t="n">
        <f aca="false">CR15+COUNTIFS($CS$6:$CS$53,CS15,$CT$6:CT$53,"&gt;"&amp;CT15,$BC$6:$BC$53,INDEX(T_Equipos[Grupo],MATCH(BD15,T_Equipos[NombreEquipo],0)))</f>
        <v>2</v>
      </c>
      <c r="CV15" s="118" t="str">
        <f aca="false">IF(COUNTIFS($CU$6:$CU$53,CU15,$BC$6:$BC$53,INDEX(T_Equipos[Grupo],MATCH(BD15,T_Equipos[NombreEquipo],0)))=1,"-","P."&amp;CU15&amp;" ("&amp;COUNTIFS($CU$6:$CU$53,CU15,$BC$6:$BC$53,INDEX(T_Equipos[Grupo],MATCH(BD15,T_Equipos[NombreEquipo],0)))&amp;")")</f>
        <v>P.2 (2)</v>
      </c>
      <c r="CW15" s="118" t="n">
        <f aca="false">IF(CV15="-","-",BL15)</f>
        <v>0</v>
      </c>
      <c r="CX15" s="118" t="n">
        <f aca="false">CU15+COUNTIFS($CV$6:$CV$53,CV15,$CW$6:CW$53,"&gt;"&amp;CW15,$BC$6:$BC$53,INDEX(T_Equipos[Grupo],MATCH(BD15,T_Equipos[NombreEquipo],0)))</f>
        <v>2</v>
      </c>
      <c r="CY15" s="118" t="str">
        <f aca="false">IF(COUNTIFS($CX$6:$CX$53,CX15,$BC$6:$BC$53,INDEX(T_Equipos[Grupo],MATCH(BD15,T_Equipos[NombreEquipo],0)))=1,"-","P."&amp;CX15&amp;" ("&amp;COUNTIFS($CX$6:$CX$53,CX15,$BC$6:$BC$53,INDEX(T_Equipos[Grupo],MATCH(BD15,T_Equipos[NombreEquipo],0)))&amp;")")</f>
        <v>P.2 (2)</v>
      </c>
      <c r="CZ15" s="118" t="n">
        <f aca="false">IF(CY15="-","-",BJ15)</f>
        <v>1</v>
      </c>
      <c r="DA15" s="119" t="n">
        <f aca="false">CX15+COUNTIFS($CY$6:$CY$53,CY15,$CZ$6:CZ$53,"&gt;"&amp;CZ15,$BC$6:$BC$53,INDEX(T_Equipos[Grupo],MATCH(BD15,T_Equipos[NombreEquipo],0)))</f>
        <v>2</v>
      </c>
      <c r="DB15" s="118" t="str">
        <f aca="false">IF(COUNTIFS($DA$6:$DA$53,DA15,$BC$6:$BC$53,INDEX(T_Equipos[Grupo],MATCH(BD15,T_Equipos[NombreEquipo],0)))=1,"-","P."&amp;DA15&amp;" ("&amp;COUNTIFS($DA$6:$DA$53,DA15,$BC$6:$BC$53,INDEX(T_Equipos[Grupo],MATCH(BD15,T_Equipos[NombreEquipo],0)))&amp;")")</f>
        <v>P.2 (2)</v>
      </c>
      <c r="DC15" s="116" t="n">
        <f aca="false">IF(DB15="-","-",COUNTIFS(T_Equipos[Rank],"&lt;"&amp;INDEX(T_Equipos[Rank],MATCH(BD15,T_Equipos[NombreEquipo],0)),$BC$6:$BC$53,INDEX(T_Equipos[Grupo],MATCH(BD15,T_Equipos[NombreEquipo],0)))+1)</f>
        <v>2</v>
      </c>
      <c r="DD15" s="116" t="n">
        <f aca="false">DA15+COUNTIFS($DB$6:$DB$53,DB15,$DC$6:DC$53,"&lt;"&amp;DC15,$BC$6:$BC$53,INDEX(T_Equipos[Grupo],MATCH(BD15,T_Equipos[NombreEquipo],0)))</f>
        <v>3</v>
      </c>
      <c r="DE15" s="116"/>
      <c r="DF15" s="116" t="n">
        <f aca="false">IF(OR(INDEX($AW$6:$AW$97,MATCH($BD15,$AV$6:$AV$97,0))="",DB15="-"),DD15,INDEX($AW$6:$AW$97,MATCH($BD15,$AV$6:$AV$97,0))+DD15/1000)</f>
        <v>3</v>
      </c>
      <c r="DG15" s="116" t="n">
        <f aca="false">IF(DB15="-","-",COUNTIFS(DF$6:DF$53,"&lt;"&amp;DF15,$BC$6:$BC$53,INDEX(T_Equipos[Grupo],MATCH(BD15,T_Equipos[NombreEquipo],0))))</f>
        <v>2</v>
      </c>
      <c r="DH15" s="116" t="n">
        <f aca="false">DA15+COUNTIFS(DB$6:DB$53,DB15,DG$6:DG$53,"&lt;"&amp;DG15,$BC$6:$BC$53,INDEX(T_Equipos[Grupo],MATCH(BD15,T_Equipos[NombreEquipo],0)))</f>
        <v>3</v>
      </c>
      <c r="DI15" s="55"/>
      <c r="DJ15" s="55" t="n">
        <f aca="false">INDEX($DA$6:$DA$53,MATCH($DQ15,$BD$6:$BD$53,0))</f>
        <v>2</v>
      </c>
      <c r="DK15" s="55" t="n">
        <f aca="false">+SUMIF($BC$6:$BC$53,BC15,$BF$6:$BF$53)</f>
        <v>4</v>
      </c>
      <c r="DL15" s="55" t="n">
        <f aca="false">IF(OR(DK15=12,$AJ$99=144),COUNTIFS($DJ$6:$DJ$53,DJ15,$BC$6:$BC$53,BC15),1)</f>
        <v>1</v>
      </c>
      <c r="DM15" s="120" t="str">
        <f aca="false">DJ15&amp;"."&amp;DL15</f>
        <v>2.1</v>
      </c>
      <c r="DN15" s="55" t="n">
        <f aca="true" t="array" ref="DN15:DN15">OFFSET(Horarios!$P$3,DJ15-1,0,DL15,1)</f>
        <v>2</v>
      </c>
      <c r="DO15" s="55"/>
      <c r="DP15" s="55" t="s">
        <v>88</v>
      </c>
      <c r="DQ15" s="55" t="str">
        <f aca="false">INDEX($BD$6:$BD$53,MATCH(DP15,$BM$6:$BM$53,0))</f>
        <v>Brasil</v>
      </c>
      <c r="DR15" s="55"/>
      <c r="DS15" s="55"/>
      <c r="DT15" s="55" t="str">
        <f aca="false">AA15&amp;"-"&amp;AF15</f>
        <v>Canadá-Catar</v>
      </c>
      <c r="DU15" s="55"/>
      <c r="DV15" s="55"/>
      <c r="DW15" s="57"/>
    </row>
    <row r="16" customFormat="false" ht="15" hidden="false" customHeight="false" outlineLevel="0" collapsed="false">
      <c r="A16" s="92" t="str">
        <f aca="false">+Equipos!B9</f>
        <v>Suiza</v>
      </c>
      <c r="B16" s="72"/>
      <c r="C16" s="55"/>
      <c r="D16" s="55" t="str">
        <f aca="false">IF(OR(AC16="",AD16=""),"Pendiente",IF(AC16&gt;AD16,"Local",IF(AC16&lt;AD16,"Visitante","Empate")))</f>
        <v>Pendiente</v>
      </c>
      <c r="E16" s="55" t="str">
        <f aca="false">IF(D16="Pendiente","-",INDEX($BT$6:$BT$53,MATCH($AA16,$BD$6:$BD$53,0)))</f>
        <v>-</v>
      </c>
      <c r="F16" s="55" t="str">
        <f aca="false">IF(D16="Pendiente","-",INDEX($BT$6:$BT$53,MATCH($AF16,$BD$6:$BD$53,0)))</f>
        <v>-</v>
      </c>
      <c r="G16" s="55"/>
      <c r="H16" s="55" t="str">
        <f aca="false">IF(D16="Pendiente","-",INDEX($BZ$6:$BZ$53,MATCH($AA16,$BD$6:$BD$53,0)))</f>
        <v>-</v>
      </c>
      <c r="I16" s="55" t="str">
        <f aca="false">IF(D16="Pendiente","-",INDEX($BZ$6:$BZ$53,MATCH($AF16,$BD$6:$BD$53,0)))</f>
        <v>-</v>
      </c>
      <c r="J16" s="55"/>
      <c r="K16" s="55" t="str">
        <f aca="false">IF(D16="Pendiente","-",INDEX($CE$6:$CE$53,MATCH($AA16,$BD$6:$BD$53,0)))</f>
        <v>-</v>
      </c>
      <c r="L16" s="55" t="str">
        <f aca="false">IF(D16="Pendiente","-",INDEX($CE$6:$CE$53,MATCH($AF16,$BD$6:$BD$53,0)))</f>
        <v>-</v>
      </c>
      <c r="M16" s="55"/>
      <c r="N16" s="55" t="str">
        <f aca="false">IF(D16="Pendiente","-",INDEX($CH$6:$CH$53,MATCH($AA16,$BD$6:$BD$53,0)))</f>
        <v>-</v>
      </c>
      <c r="O16" s="55" t="str">
        <f aca="false">IF(D16="Pendiente","-",INDEX($CH$6:$CH$53,MATCH($AF16,$BD$6:$BD$53,0)))</f>
        <v>-</v>
      </c>
      <c r="P16" s="55"/>
      <c r="Q16" s="55" t="str">
        <f aca="false">IF(D16="Pendiente","-",INDEX($CN$6:$CN$53,MATCH($AA16,$BD$6:$BD$53,0)))</f>
        <v>-</v>
      </c>
      <c r="R16" s="55" t="str">
        <f aca="false">IF(D16="Pendiente","-",INDEX($CN$6:$CN$53,MATCH($AF16,$BD$6:$BD$53,0)))</f>
        <v>-</v>
      </c>
      <c r="S16" s="55"/>
      <c r="T16" s="55" t="str">
        <f aca="false">IF(D16="Pendiente","-",INDEX($CS$6:$CS$53,MATCH($AA16,$BD$6:$BD$53,0)))</f>
        <v>-</v>
      </c>
      <c r="U16" s="55" t="str">
        <f aca="false">IF(D16="Pendiente","-",INDEX($CS$6:$CS$53,MATCH($AF16,$BD$6:$BD$53,0)))</f>
        <v>-</v>
      </c>
      <c r="V16" s="46"/>
      <c r="W16" s="164"/>
      <c r="X16" s="74" t="n">
        <f aca="false">Horarios!C16</f>
        <v>46197.875</v>
      </c>
      <c r="Y16" s="75" t="n">
        <f aca="false">Horarios!C16</f>
        <v>46197.875</v>
      </c>
      <c r="Z16" s="76" t="str">
        <f aca="false">$Z$8</f>
        <v>J3</v>
      </c>
      <c r="AA16" s="77" t="str">
        <f aca="false">A16</f>
        <v>Suiza</v>
      </c>
      <c r="AB16" s="165" t="str">
        <f aca="true" t="array" ref="AB16:AB16">Ver_flag_local</f>
        <v/>
      </c>
      <c r="AC16" s="79"/>
      <c r="AD16" s="80"/>
      <c r="AE16" s="81" t="str">
        <f aca="true" t="array" ref="AE16:AE16">Ver_flag_visit</f>
        <v/>
      </c>
      <c r="AF16" s="82" t="str">
        <f aca="false">A13</f>
        <v>Canadá</v>
      </c>
      <c r="AG16" s="83" t="n">
        <f aca="false">IF(NOT(OR(ISBLANK(AC16),ISBLANK(AD16))),1,0)</f>
        <v>0</v>
      </c>
      <c r="AH16" s="84" t="n">
        <v>51</v>
      </c>
      <c r="AI16" s="85" t="str">
        <f aca="false">AJ16&amp;$B$12</f>
        <v>3B</v>
      </c>
      <c r="AJ16" s="172" t="n">
        <v>3</v>
      </c>
      <c r="AK16" s="173" t="str">
        <f aca="true" t="array" ref="AK16:AK16">Ver_flag_visit</f>
        <v/>
      </c>
      <c r="AL16" s="123" t="str">
        <f aca="false">IFERROR(INDEX($BD$6:$BD$53,MATCH(AI16,$BN$6:$BN$53,0)),"")</f>
        <v>Catar</v>
      </c>
      <c r="AM16" s="124" t="n">
        <f aca="false">INDEX($BE$6:$BN$53,MATCH($AL16,$BD$6:$BD$53,0),MATCH(AM$5,$BE$5:$BN$5,0))</f>
        <v>1</v>
      </c>
      <c r="AN16" s="125" t="n">
        <f aca="false">INDEX($BE$6:$BN$53,MATCH($AL16,$BD$6:$BD$53,0),MATCH(AN$5,$BE$5:$BN$5,0))</f>
        <v>1</v>
      </c>
      <c r="AO16" s="125" t="n">
        <f aca="false">INDEX($BE$6:$BN$53,MATCH($AL16,$BD$6:$BD$53,0),MATCH(AO$5,$BE$5:$BN$5,0))</f>
        <v>0</v>
      </c>
      <c r="AP16" s="125" t="n">
        <f aca="false">INDEX($BE$6:$BN$53,MATCH($AL16,$BD$6:$BD$53,0),MATCH(AP$5,$BE$5:$BN$5,0))</f>
        <v>1</v>
      </c>
      <c r="AQ16" s="125" t="n">
        <f aca="false">INDEX($BE$6:$BN$53,MATCH($AL16,$BD$6:$BD$53,0),MATCH(AQ$5,$BE$5:$BN$5,0))</f>
        <v>0</v>
      </c>
      <c r="AR16" s="125" t="n">
        <f aca="false">INDEX($BE$6:$BN$53,MATCH($AL16,$BD$6:$BD$53,0),MATCH(AR$5,$BE$5:$BN$5,0))</f>
        <v>1</v>
      </c>
      <c r="AS16" s="125" t="n">
        <f aca="false">INDEX($BE$6:$BN$53,MATCH($AL16,$BD$6:$BD$53,0),MATCH(AS$5,$BE$5:$BN$5,0))</f>
        <v>1</v>
      </c>
      <c r="AT16" s="174" t="n">
        <f aca="false">INDEX($BE$6:$BN$53,MATCH($AL16,$BD$6:$BD$53,0),MATCH(AT$5,$BE$5:$BN$5,0))</f>
        <v>0</v>
      </c>
      <c r="AU16" s="110" t="n">
        <f aca="false">INDEX($DL$6:$DL$53,MATCH(AI16,$DP$6:$DP$53,0))</f>
        <v>1</v>
      </c>
      <c r="AV16" s="111" t="str">
        <f aca="false">INDEX($BD$6:$BD$53,MATCH(AI16,$BM$6:$BM$53,0))</f>
        <v>Catar</v>
      </c>
      <c r="AW16" s="112"/>
      <c r="AX16" s="113"/>
      <c r="AY16" s="114" t="str">
        <f aca="false">+A15</f>
        <v>Catar</v>
      </c>
      <c r="AZ16" s="115"/>
      <c r="BA16" s="49"/>
      <c r="BB16" s="55"/>
      <c r="BC16" s="116" t="str">
        <f aca="false">+INDEX(T_Equipos[Grupo],MATCH(WORLDCUP!BD16,T_Equipos[NombreEquipo],0))</f>
        <v>C</v>
      </c>
      <c r="BD16" s="55" t="str">
        <f aca="false">+Equipos!B12</f>
        <v>Haití</v>
      </c>
      <c r="BE16" s="117" t="n">
        <f aca="false">+BG16*3+BH16+IF($AZ$3="no",0,INDEX($AZ$6:$AZ$97,MATCH(BD16,$AY$6:$AY$97,0)))</f>
        <v>0</v>
      </c>
      <c r="BF16" s="117" t="n">
        <f aca="false">+BG16+BH16+BI16</f>
        <v>1</v>
      </c>
      <c r="BG16" s="117" t="n">
        <f aca="false">+COUNTIFS(FGLocal,BD16,Ganador,"Local")+COUNTIFS(FGVisitante,BD16,Ganador,"Visitante")</f>
        <v>0</v>
      </c>
      <c r="BH16" s="117" t="n">
        <f aca="false">+COUNTIFS(FGLocal,BD16,Ganador,"Empate")+COUNTIFS(FGVisitante,BD16,Ganador,"Empate")</f>
        <v>0</v>
      </c>
      <c r="BI16" s="117" t="n">
        <f aca="false">+COUNTIFS(FGVisitante,BD16,Ganador,"Local")+COUNTIFS(FGLocal,BD16,Ganador,"Visitante")</f>
        <v>1</v>
      </c>
      <c r="BJ16" s="117" t="n">
        <f aca="false">+SUMIFS(FG_GolesLocal,FGLocal,BD16,Ganador,"&lt;&gt;"&amp;"Pendiente",FG_GolesLocal,"&lt;&gt;"&amp;"",FG_GolesVisitante,"&lt;&gt;"&amp;"")+SUMIFS(FG_GolesVisitante,FGVisitante,BD16,Ganador,"&lt;&gt;"&amp;"Pendiente",FG_GolesLocal,"&lt;&gt;"&amp;"",FG_GolesVisitante,"&lt;&gt;"&amp;"")</f>
        <v>0</v>
      </c>
      <c r="BK16" s="117" t="n">
        <f aca="false">+SUMIFS(FG_GolesLocal,FGVisitante,BD16,Ganador,"&lt;&gt;"&amp;"Pendiente",FG_GolesLocal,"&lt;&gt;"&amp;"",FG_GolesVisitante,"&lt;&gt;"&amp;"")+SUMIFS(FG_GolesVisitante,FGLocal,BD16,Ganador,"&lt;&gt;"&amp;"Pendiente",FG_GolesLocal,"&lt;&gt;"&amp;"",FG_GolesVisitante,"&lt;&gt;"&amp;"")</f>
        <v>1</v>
      </c>
      <c r="BL16" s="117" t="n">
        <f aca="false">+BJ16-BK16</f>
        <v>-1</v>
      </c>
      <c r="BM16" s="117" t="str">
        <f aca="false">DD16&amp;BC16</f>
        <v>4C</v>
      </c>
      <c r="BN16" s="117" t="str">
        <f aca="false">DH16&amp;BC16</f>
        <v>4C</v>
      </c>
      <c r="BO16" s="118" t="n">
        <f aca="false">IF(AND($AJ$99=144,BF16&gt;=1),1,0)</f>
        <v>0</v>
      </c>
      <c r="BP16" s="118" t="n">
        <f aca="false">COUNTIFS($BO$6:$BO$53,"&gt;"&amp;BO16,$BC$6:$BC$53,INDEX(T_Equipos[Grupo],MATCH(BD16,T_Equipos[NombreEquipo],0)))+1</f>
        <v>1</v>
      </c>
      <c r="BQ16" s="118" t="str">
        <f aca="false">IF(COUNTIFS($BP$6:$BP$53,BP16,$BC$6:$BC$53,INDEX(T_Equipos[Grupo],MATCH(BD16,T_Equipos[NombreEquipo],0)))=1,"-","P."&amp;BP16&amp;" ("&amp;COUNTIFS($BP$6:$BP$53,BP16,$BC$6:$BC$53,INDEX(T_Equipos[Grupo],MATCH(BD16,T_Equipos[NombreEquipo],0)))&amp;")")</f>
        <v>P.1 (4)</v>
      </c>
      <c r="BR16" s="118" t="n">
        <f aca="false">IF($BQ16="-","-",BE16)</f>
        <v>0</v>
      </c>
      <c r="BS16" s="118" t="n">
        <f aca="false">BP16+COUNTIFS($BQ$6:$BQ$53,BQ16,$BR$6:BR$53,"&gt;"&amp;BR16,$BC$6:$BC$53,INDEX(T_Equipos[Grupo],MATCH(BD16,T_Equipos[NombreEquipo],0)))</f>
        <v>4</v>
      </c>
      <c r="BT16" s="118" t="str">
        <f aca="false">IF(COUNTIFS($BS$6:$BS$53,BS16,$BC$6:$BC$53,INDEX(T_Equipos[Grupo],MATCH(BD16,T_Equipos[NombreEquipo],0)))=1,"-","P."&amp;BS16&amp;" ("&amp;COUNTIFS($BS$6:$BS$53,BS16,$BC$6:$BC$53,INDEX(T_Equipos[Grupo],MATCH(BD16,T_Equipos[NombreEquipo],0)))&amp;")")</f>
        <v>-</v>
      </c>
      <c r="BU16" s="119" t="str">
        <f aca="false">IF($BT16="-","-",COUNTIFS(FGLocal,$BD16,Ganador,"Local",Part1Empate1V,$BT16)+COUNTIFS(FGVisitante,$BD16,Ganador,"Visitante",Part1Empate1L,$BT16))</f>
        <v>-</v>
      </c>
      <c r="BV16" s="119" t="str">
        <f aca="false">IF($BT16="-","-",COUNTIFS(FGLocal,$BD16,Ganador,"Empate",Part1Empate1V,$BT16)+COUNTIFS(FGVisitante,$BD16,Ganador,"Empate",Part1Empate1L,$BT16))</f>
        <v>-</v>
      </c>
      <c r="BW16" s="119" t="str">
        <f aca="false">IF($BT16="-","-",COUNTIFS(FGLocal,$BD16,Ganador,"Visitante",Part1Empate1V,$BT16)+COUNTIFS(FGVisitante,$BD16,Ganador,"Local",Part1Empate1L,$BT16))</f>
        <v>-</v>
      </c>
      <c r="BX16" s="119" t="str">
        <f aca="false">IF($BT16="-","-",BU16*3+BV16)</f>
        <v>-</v>
      </c>
      <c r="BY16" s="119" t="n">
        <f aca="false">BS16+COUNTIFS($BT$6:$BT$53,BT16,$BX$6:BX$53,"&gt;"&amp;BX16,$BC$6:$BC$53,INDEX(T_Equipos[Grupo],MATCH(BD16,T_Equipos[NombreEquipo],0)))</f>
        <v>4</v>
      </c>
      <c r="BZ16" s="118" t="str">
        <f aca="false">IF(COUNTIFS($BY$6:$BY$53,BY16,$BC$6:$BC$53,INDEX(T_Equipos[Grupo],MATCH(BD16,T_Equipos[NombreEquipo],0)))=1,"-","P."&amp;BY16&amp;" ("&amp;COUNTIFS($BY$6:$BY$53,BY16,$BC$6:$BC$53,INDEX(T_Equipos[Grupo],MATCH(BD16,T_Equipos[NombreEquipo],0)))&amp;")")</f>
        <v>-</v>
      </c>
      <c r="CA16" s="119" t="str">
        <f aca="false">IF($BZ16="-","-",SUMIFS(FG_GolesLocal,FGLocal,$BD16,Part1Empate2V,$BZ16)+SUMIFS(FG_GolesVisitante,FGVisitante,$BD16,Part1Empate2L,$BZ16))</f>
        <v>-</v>
      </c>
      <c r="CB16" s="119" t="str">
        <f aca="false">IF($BZ16="-","-",SUMIFS(FG_GolesVisitante,FGLocal,$BD16,Part1Empate2V,$BZ16)+SUMIFS(FG_GolesLocal,FGVisitante,$BD16,Part1Empate2L,$BZ16))</f>
        <v>-</v>
      </c>
      <c r="CC16" s="119" t="str">
        <f aca="false">IF($BZ16="-","-",CA16-CB16)</f>
        <v>-</v>
      </c>
      <c r="CD16" s="119" t="n">
        <f aca="false">BY16+COUNTIFS($BZ$6:$BZ$53,BZ16,$CC$6:CC$53,"&gt;"&amp;CC16,$BC$6:$BC$53,INDEX(T_Equipos[Grupo],MATCH(BD16,T_Equipos[NombreEquipo],0)))</f>
        <v>4</v>
      </c>
      <c r="CE16" s="118" t="str">
        <f aca="false">IF(COUNTIFS($CD$6:$CD$53,CD16,$BC$6:$BC$53,INDEX(T_Equipos[Grupo],MATCH(BD16,T_Equipos[NombreEquipo],0)))=1,"-","P."&amp;CD16&amp;" ("&amp;COUNTIFS($CD$6:$CD$53,CD16,$BC$6:$BC$53,INDEX(T_Equipos[Grupo],MATCH(BD16,T_Equipos[NombreEquipo],0)))&amp;")")</f>
        <v>-</v>
      </c>
      <c r="CF16" s="119" t="str">
        <f aca="false">IF($CE16="-","-",SUMIFS(FG_GolesLocal,FGLocal,$BD16,Part1Empate3V,$CE16)+SUMIFS(FG_GolesVisitante,FGVisitante,$BD16,Part1Empate3L,$CE16))</f>
        <v>-</v>
      </c>
      <c r="CG16" s="119" t="n">
        <f aca="false">CD16+COUNTIFS($CE$6:$CE$53,CE16,$CF$6:CF$53,"&gt;"&amp;CF16,$BC$6:$BC$53,INDEX(T_Equipos[Grupo],MATCH(BD16,T_Equipos[NombreEquipo],0)))</f>
        <v>4</v>
      </c>
      <c r="CH16" s="118" t="str">
        <f aca="false">IF(COUNTIFS($CG$6:$CG$53,CG16,$BC$6:$BC$53,INDEX(T_Equipos[Grupo],MATCH(BD16,T_Equipos[NombreEquipo],0)))=1,"-","P."&amp;CG16&amp;" ("&amp;COUNTIFS($CG$6:$CG$53,CG16,$BC$6:$BC$53,INDEX(T_Equipos[Grupo],MATCH(BD16,T_Equipos[NombreEquipo],0)))&amp;")")</f>
        <v>-</v>
      </c>
      <c r="CI16" s="119" t="str">
        <f aca="false">IF($CH16="-","-",COUNTIFS(FGLocal,$BD16,Ganador,"Local",Part2Empate4V,$CH16)+COUNTIFS(FGVisitante,$BD16,Ganador,"Visitante",Part2Empate4L,$CH16))</f>
        <v>-</v>
      </c>
      <c r="CJ16" s="119" t="str">
        <f aca="false">IF($CH16="-","-",COUNTIFS(FGLocal,$BD16,Ganador,"Empate",Part2Empate4V,$CH16)+COUNTIFS(FGVisitante,$BD16,Ganador,"Empate",Part2Empate4L,$CH16))</f>
        <v>-</v>
      </c>
      <c r="CK16" s="119" t="str">
        <f aca="false">IF($CH16="-","-",COUNTIFS(FGLocal,$BD16,Ganador,"Visitante",Part2Empate4V,$CH16)+COUNTIFS(FGVisitante,$BD16,Ganador,"Local",Part2Empate4L,$CH16))</f>
        <v>-</v>
      </c>
      <c r="CL16" s="119" t="str">
        <f aca="false">IF($CH16="-","-",CI16*3+CJ16)</f>
        <v>-</v>
      </c>
      <c r="CM16" s="119" t="n">
        <f aca="false">CG16+COUNTIFS($CH$6:$CH$53,CH16,$CL$6:CL$53,"&gt;"&amp;CL16,$BC$6:$BC$53,INDEX(T_Equipos[Grupo],MATCH(BD16,T_Equipos[NombreEquipo],0)))</f>
        <v>4</v>
      </c>
      <c r="CN16" s="118" t="str">
        <f aca="false">IF(COUNTIFS($CM$6:$CM$53,CM16,$BC$6:$BC$53,INDEX(T_Equipos[Grupo],MATCH(BD16,T_Equipos[NombreEquipo],0)))=1,"-","P."&amp;CM16&amp;" ("&amp;COUNTIFS($CM$6:$CM$53,CM16,$BC$6:$BC$53,INDEX(T_Equipos[Grupo],MATCH(BD16,T_Equipos[NombreEquipo],0)))&amp;")")</f>
        <v>-</v>
      </c>
      <c r="CO16" s="119" t="str">
        <f aca="false">IF($CN16="-","-",SUMIFS(FG_GolesLocal,FGLocal,$BD16,Part2Empate5V,$CN16)+SUMIFS(FG_GolesVisitante,FGVisitante,$BD16,Part2Empate5L,$CN16))</f>
        <v>-</v>
      </c>
      <c r="CP16" s="119" t="str">
        <f aca="false">IF($CN16="-","-",SUMIFS(FG_GolesVisitante,FGLocal,$BD16,Part2Empate5V,$CN16)+SUMIFS(FG_GolesLocal,FGVisitante,$BD16,Part2Empate5L,$CN16))</f>
        <v>-</v>
      </c>
      <c r="CQ16" s="119" t="str">
        <f aca="false">IF($CN16="-","-",CO16-CP16)</f>
        <v>-</v>
      </c>
      <c r="CR16" s="119" t="n">
        <f aca="false">CM16+COUNTIFS($CN$6:$CN$53,CN16,$CQ$6:CQ$53,"&gt;"&amp;CQ16,$BC$6:$BC$53,INDEX(T_Equipos[Grupo],MATCH(BD16,T_Equipos[NombreEquipo],0)))</f>
        <v>4</v>
      </c>
      <c r="CS16" s="118" t="str">
        <f aca="false">IF(COUNTIFS($CR$6:$CR$53,CR16,$BC$6:$BC$53,INDEX(T_Equipos[Grupo],MATCH(BD16,T_Equipos[NombreEquipo],0)))=1,"-","P."&amp;CR16&amp;" ("&amp;COUNTIFS($CR$6:$CR$53,CR16,$BC$6:$BC$53,INDEX(T_Equipos[Grupo],MATCH(BD16,T_Equipos[NombreEquipo],0)))&amp;")")</f>
        <v>-</v>
      </c>
      <c r="CT16" s="119" t="str">
        <f aca="false">IF($CS16="-","-",SUMIFS(FG_GolesLocal,FGLocal,$BD16,Part2Empate6V,$CS16)+SUMIFS(FG_GolesVisitante,FGVisitante,$BD16,Part2Empate6L,$CS16))</f>
        <v>-</v>
      </c>
      <c r="CU16" s="119" t="n">
        <f aca="false">CR16+COUNTIFS($CS$6:$CS$53,CS16,$CT$6:CT$53,"&gt;"&amp;CT16,$BC$6:$BC$53,INDEX(T_Equipos[Grupo],MATCH(BD16,T_Equipos[NombreEquipo],0)))</f>
        <v>4</v>
      </c>
      <c r="CV16" s="118" t="str">
        <f aca="false">IF(COUNTIFS($CU$6:$CU$53,CU16,$BC$6:$BC$53,INDEX(T_Equipos[Grupo],MATCH(BD16,T_Equipos[NombreEquipo],0)))=1,"-","P."&amp;CU16&amp;" ("&amp;COUNTIFS($CU$6:$CU$53,CU16,$BC$6:$BC$53,INDEX(T_Equipos[Grupo],MATCH(BD16,T_Equipos[NombreEquipo],0)))&amp;")")</f>
        <v>-</v>
      </c>
      <c r="CW16" s="118" t="str">
        <f aca="false">IF(CV16="-","-",BL16)</f>
        <v>-</v>
      </c>
      <c r="CX16" s="118" t="n">
        <f aca="false">CU16+COUNTIFS($CV$6:$CV$53,CV16,$CW$6:CW$53,"&gt;"&amp;CW16,$BC$6:$BC$53,INDEX(T_Equipos[Grupo],MATCH(BD16,T_Equipos[NombreEquipo],0)))</f>
        <v>4</v>
      </c>
      <c r="CY16" s="118" t="str">
        <f aca="false">IF(COUNTIFS($CX$6:$CX$53,CX16,$BC$6:$BC$53,INDEX(T_Equipos[Grupo],MATCH(BD16,T_Equipos[NombreEquipo],0)))=1,"-","P."&amp;CX16&amp;" ("&amp;COUNTIFS($CX$6:$CX$53,CX16,$BC$6:$BC$53,INDEX(T_Equipos[Grupo],MATCH(BD16,T_Equipos[NombreEquipo],0)))&amp;")")</f>
        <v>-</v>
      </c>
      <c r="CZ16" s="118" t="str">
        <f aca="false">IF(CY16="-","-",BJ16)</f>
        <v>-</v>
      </c>
      <c r="DA16" s="119" t="n">
        <f aca="false">CX16+COUNTIFS($CY$6:$CY$53,CY16,$CZ$6:CZ$53,"&gt;"&amp;CZ16,$BC$6:$BC$53,INDEX(T_Equipos[Grupo],MATCH(BD16,T_Equipos[NombreEquipo],0)))</f>
        <v>4</v>
      </c>
      <c r="DB16" s="118" t="str">
        <f aca="false">IF(COUNTIFS($DA$6:$DA$53,DA16,$BC$6:$BC$53,INDEX(T_Equipos[Grupo],MATCH(BD16,T_Equipos[NombreEquipo],0)))=1,"-","P."&amp;DA16&amp;" ("&amp;COUNTIFS($DA$6:$DA$53,DA16,$BC$6:$BC$53,INDEX(T_Equipos[Grupo],MATCH(BD16,T_Equipos[NombreEquipo],0)))&amp;")")</f>
        <v>-</v>
      </c>
      <c r="DC16" s="116" t="str">
        <f aca="false">IF(DB16="-","-",COUNTIFS(T_Equipos[Rank],"&lt;"&amp;INDEX(T_Equipos[Rank],MATCH(BD16,T_Equipos[NombreEquipo],0)),$BC$6:$BC$53,INDEX(T_Equipos[Grupo],MATCH(BD16,T_Equipos[NombreEquipo],0)))+1)</f>
        <v>-</v>
      </c>
      <c r="DD16" s="116" t="n">
        <f aca="false">DA16+COUNTIFS($DB$6:$DB$53,DB16,$DC$6:DC$53,"&lt;"&amp;DC16,$BC$6:$BC$53,INDEX(T_Equipos[Grupo],MATCH(BD16,T_Equipos[NombreEquipo],0)))</f>
        <v>4</v>
      </c>
      <c r="DE16" s="116"/>
      <c r="DF16" s="116" t="n">
        <f aca="false">IF(OR(INDEX($AW$6:$AW$97,MATCH($BD16,$AV$6:$AV$97,0))="",DB16="-"),DD16,INDEX($AW$6:$AW$97,MATCH($BD16,$AV$6:$AV$97,0))+DD16/1000)</f>
        <v>4</v>
      </c>
      <c r="DG16" s="116" t="str">
        <f aca="false">IF(DB16="-","-",COUNTIFS(DF$6:DF$53,"&lt;"&amp;DF16,$BC$6:$BC$53,INDEX(T_Equipos[Grupo],MATCH(BD16,T_Equipos[NombreEquipo],0))))</f>
        <v>-</v>
      </c>
      <c r="DH16" s="116" t="n">
        <f aca="false">DA16+COUNTIFS(DB$6:DB$53,DB16,DG$6:DG$53,"&lt;"&amp;DG16,$BC$6:$BC$53,INDEX(T_Equipos[Grupo],MATCH(BD16,T_Equipos[NombreEquipo],0)))</f>
        <v>4</v>
      </c>
      <c r="DI16" s="55"/>
      <c r="DJ16" s="55" t="n">
        <f aca="false">INDEX($DA$6:$DA$53,MATCH($DQ16,$BD$6:$BD$53,0))</f>
        <v>2</v>
      </c>
      <c r="DK16" s="55" t="n">
        <f aca="false">+SUMIF($BC$6:$BC$53,BC16,$BF$6:$BF$53)</f>
        <v>4</v>
      </c>
      <c r="DL16" s="55" t="n">
        <f aca="false">IF(OR(DK16=12,$AJ$99=144),COUNTIFS($DJ$6:$DJ$53,DJ16,$BC$6:$BC$53,BC16),1)</f>
        <v>1</v>
      </c>
      <c r="DM16" s="120" t="str">
        <f aca="false">DJ16&amp;"."&amp;DL16</f>
        <v>2.1</v>
      </c>
      <c r="DN16" s="55" t="n">
        <f aca="true" t="array" ref="DN16:DN16">OFFSET(Horarios!$P$3,DJ16-1,0,DL16,1)</f>
        <v>2</v>
      </c>
      <c r="DO16" s="55"/>
      <c r="DP16" s="55" t="s">
        <v>89</v>
      </c>
      <c r="DQ16" s="55" t="str">
        <f aca="false">INDEX($BD$6:$BD$53,MATCH(DP16,$BM$6:$BM$53,0))</f>
        <v>Marruecos</v>
      </c>
      <c r="DR16" s="55"/>
      <c r="DS16" s="55"/>
      <c r="DT16" s="55" t="str">
        <f aca="false">AA16&amp;"-"&amp;AF16</f>
        <v>Suiza-Canadá</v>
      </c>
      <c r="DU16" s="55"/>
      <c r="DV16" s="55"/>
      <c r="DW16" s="57"/>
    </row>
    <row r="17" customFormat="false" ht="15" hidden="false" customHeight="false" outlineLevel="0" collapsed="false">
      <c r="A17" s="39"/>
      <c r="B17" s="72"/>
      <c r="C17" s="39"/>
      <c r="D17" s="55" t="str">
        <f aca="false">IF(OR(AC17="",AD17=""),"Pendiente",IF(AC17&gt;AD17,"Local",IF(AC17&lt;AD17,"Visitante","Empate")))</f>
        <v>Pendiente</v>
      </c>
      <c r="E17" s="55" t="str">
        <f aca="false">IF(D17="Pendiente","-",INDEX($BT$6:$BT$53,MATCH($AA17,$BD$6:$BD$53,0)))</f>
        <v>-</v>
      </c>
      <c r="F17" s="55" t="str">
        <f aca="false">IF(D17="Pendiente","-",INDEX($BT$6:$BT$53,MATCH($AF17,$BD$6:$BD$53,0)))</f>
        <v>-</v>
      </c>
      <c r="G17" s="55"/>
      <c r="H17" s="55" t="str">
        <f aca="false">IF(D17="Pendiente","-",INDEX($BZ$6:$BZ$53,MATCH($AA17,$BD$6:$BD$53,0)))</f>
        <v>-</v>
      </c>
      <c r="I17" s="55" t="str">
        <f aca="false">IF(D17="Pendiente","-",INDEX($BZ$6:$BZ$53,MATCH($AF17,$BD$6:$BD$53,0)))</f>
        <v>-</v>
      </c>
      <c r="J17" s="55"/>
      <c r="K17" s="55" t="str">
        <f aca="false">IF(D17="Pendiente","-",INDEX($CE$6:$CE$53,MATCH($AA17,$BD$6:$BD$53,0)))</f>
        <v>-</v>
      </c>
      <c r="L17" s="55" t="str">
        <f aca="false">IF(D17="Pendiente","-",INDEX($CE$6:$CE$53,MATCH($AF17,$BD$6:$BD$53,0)))</f>
        <v>-</v>
      </c>
      <c r="M17" s="55"/>
      <c r="N17" s="55" t="str">
        <f aca="false">IF(D17="Pendiente","-",INDEX($CH$6:$CH$53,MATCH($AA17,$BD$6:$BD$53,0)))</f>
        <v>-</v>
      </c>
      <c r="O17" s="55" t="str">
        <f aca="false">IF(D17="Pendiente","-",INDEX($CH$6:$CH$53,MATCH($AF17,$BD$6:$BD$53,0)))</f>
        <v>-</v>
      </c>
      <c r="P17" s="55"/>
      <c r="Q17" s="55" t="str">
        <f aca="false">IF(D17="Pendiente","-",INDEX($CN$6:$CN$53,MATCH($AA17,$BD$6:$BD$53,0)))</f>
        <v>-</v>
      </c>
      <c r="R17" s="55" t="str">
        <f aca="false">IF(D17="Pendiente","-",INDEX($CN$6:$CN$53,MATCH($AF17,$BD$6:$BD$53,0)))</f>
        <v>-</v>
      </c>
      <c r="S17" s="55"/>
      <c r="T17" s="55" t="str">
        <f aca="false">IF(D17="Pendiente","-",INDEX($CS$6:$CS$53,MATCH($AA17,$BD$6:$BD$53,0)))</f>
        <v>-</v>
      </c>
      <c r="U17" s="55" t="str">
        <f aca="false">IF(D17="Pendiente","-",INDEX($CS$6:$CS$53,MATCH($AF17,$BD$6:$BD$53,0)))</f>
        <v>-</v>
      </c>
      <c r="V17" s="46"/>
      <c r="W17" s="164"/>
      <c r="X17" s="129" t="n">
        <f aca="false">Horarios!C17</f>
        <v>46197.875</v>
      </c>
      <c r="Y17" s="130" t="n">
        <f aca="false">Horarios!C17</f>
        <v>46197.875</v>
      </c>
      <c r="Z17" s="131" t="str">
        <f aca="false">$Z$8</f>
        <v>J3</v>
      </c>
      <c r="AA17" s="132" t="str">
        <f aca="false">A14</f>
        <v>Bosnia y Herzegovina</v>
      </c>
      <c r="AB17" s="175" t="str">
        <f aca="true" t="array" ref="AB17:AB17">Ver_flag_local</f>
        <v/>
      </c>
      <c r="AC17" s="134"/>
      <c r="AD17" s="135"/>
      <c r="AE17" s="136" t="str">
        <f aca="true" t="array" ref="AE17:AE17">Ver_flag_visit</f>
        <v/>
      </c>
      <c r="AF17" s="137" t="str">
        <f aca="false">A15</f>
        <v>Catar</v>
      </c>
      <c r="AG17" s="83" t="n">
        <f aca="false">IF(NOT(OR(ISBLANK(AC17),ISBLANK(AD17))),1,0)</f>
        <v>0</v>
      </c>
      <c r="AH17" s="84" t="n">
        <v>52</v>
      </c>
      <c r="AI17" s="85" t="str">
        <f aca="false">AJ17&amp;$B$12</f>
        <v>4B</v>
      </c>
      <c r="AJ17" s="176" t="n">
        <v>4</v>
      </c>
      <c r="AK17" s="177" t="str">
        <f aca="true" t="array" ref="AK17:AK17">Ver_flag_visit</f>
        <v/>
      </c>
      <c r="AL17" s="178" t="str">
        <f aca="false">IFERROR(INDEX($BD$6:$BD$53,MATCH(AI17,$BN$6:$BN$53,0)),"")</f>
        <v>Suiza</v>
      </c>
      <c r="AM17" s="179" t="n">
        <f aca="false">INDEX($BE$6:$BN$53,MATCH($AL17,$BD$6:$BD$53,0),MATCH(AM$5,$BE$5:$BN$5,0))</f>
        <v>1</v>
      </c>
      <c r="AN17" s="180" t="n">
        <f aca="false">INDEX($BE$6:$BN$53,MATCH($AL17,$BD$6:$BD$53,0),MATCH(AN$5,$BE$5:$BN$5,0))</f>
        <v>1</v>
      </c>
      <c r="AO17" s="180" t="n">
        <f aca="false">INDEX($BE$6:$BN$53,MATCH($AL17,$BD$6:$BD$53,0),MATCH(AO$5,$BE$5:$BN$5,0))</f>
        <v>0</v>
      </c>
      <c r="AP17" s="180" t="n">
        <f aca="false">INDEX($BE$6:$BN$53,MATCH($AL17,$BD$6:$BD$53,0),MATCH(AP$5,$BE$5:$BN$5,0))</f>
        <v>1</v>
      </c>
      <c r="AQ17" s="180" t="n">
        <f aca="false">INDEX($BE$6:$BN$53,MATCH($AL17,$BD$6:$BD$53,0),MATCH(AQ$5,$BE$5:$BN$5,0))</f>
        <v>0</v>
      </c>
      <c r="AR17" s="180" t="n">
        <f aca="false">INDEX($BE$6:$BN$53,MATCH($AL17,$BD$6:$BD$53,0),MATCH(AR$5,$BE$5:$BN$5,0))</f>
        <v>1</v>
      </c>
      <c r="AS17" s="180" t="n">
        <f aca="false">INDEX($BE$6:$BN$53,MATCH($AL17,$BD$6:$BD$53,0),MATCH(AS$5,$BE$5:$BN$5,0))</f>
        <v>1</v>
      </c>
      <c r="AT17" s="181" t="n">
        <f aca="false">INDEX($BE$6:$BN$53,MATCH($AL17,$BD$6:$BD$53,0),MATCH(AT$5,$BE$5:$BN$5,0))</f>
        <v>0</v>
      </c>
      <c r="AU17" s="110" t="n">
        <f aca="false">INDEX($DL$6:$DL$53,MATCH(AI17,$DP$6:$DP$53,0))</f>
        <v>1</v>
      </c>
      <c r="AV17" s="111" t="str">
        <f aca="false">INDEX($BD$6:$BD$53,MATCH(AI17,$BM$6:$BM$53,0))</f>
        <v>Suiza</v>
      </c>
      <c r="AW17" s="112"/>
      <c r="AX17" s="113"/>
      <c r="AY17" s="144" t="str">
        <f aca="false">+A16</f>
        <v>Suiza</v>
      </c>
      <c r="AZ17" s="145"/>
      <c r="BA17" s="49"/>
      <c r="BB17" s="55"/>
      <c r="BC17" s="116" t="str">
        <f aca="false">+INDEX(T_Equipos[Grupo],MATCH(WORLDCUP!BD17,T_Equipos[NombreEquipo],0))</f>
        <v>C</v>
      </c>
      <c r="BD17" s="55" t="str">
        <f aca="false">+Equipos!B13</f>
        <v>Escocia</v>
      </c>
      <c r="BE17" s="117" t="n">
        <f aca="false">+BG17*3+BH17+IF($AZ$3="no",0,INDEX($AZ$6:$AZ$97,MATCH(BD17,$AY$6:$AY$97,0)))</f>
        <v>3</v>
      </c>
      <c r="BF17" s="117" t="n">
        <f aca="false">+BG17+BH17+BI17</f>
        <v>1</v>
      </c>
      <c r="BG17" s="117" t="n">
        <f aca="false">+COUNTIFS(FGLocal,BD17,Ganador,"Local")+COUNTIFS(FGVisitante,BD17,Ganador,"Visitante")</f>
        <v>1</v>
      </c>
      <c r="BH17" s="117" t="n">
        <f aca="false">+COUNTIFS(FGLocal,BD17,Ganador,"Empate")+COUNTIFS(FGVisitante,BD17,Ganador,"Empate")</f>
        <v>0</v>
      </c>
      <c r="BI17" s="117" t="n">
        <f aca="false">+COUNTIFS(FGVisitante,BD17,Ganador,"Local")+COUNTIFS(FGLocal,BD17,Ganador,"Visitante")</f>
        <v>0</v>
      </c>
      <c r="BJ17" s="117" t="n">
        <f aca="false">+SUMIFS(FG_GolesLocal,FGLocal,BD17,Ganador,"&lt;&gt;"&amp;"Pendiente",FG_GolesLocal,"&lt;&gt;"&amp;"",FG_GolesVisitante,"&lt;&gt;"&amp;"")+SUMIFS(FG_GolesVisitante,FGVisitante,BD17,Ganador,"&lt;&gt;"&amp;"Pendiente",FG_GolesLocal,"&lt;&gt;"&amp;"",FG_GolesVisitante,"&lt;&gt;"&amp;"")</f>
        <v>1</v>
      </c>
      <c r="BK17" s="117" t="n">
        <f aca="false">+SUMIFS(FG_GolesLocal,FGVisitante,BD17,Ganador,"&lt;&gt;"&amp;"Pendiente",FG_GolesLocal,"&lt;&gt;"&amp;"",FG_GolesVisitante,"&lt;&gt;"&amp;"")+SUMIFS(FG_GolesVisitante,FGLocal,BD17,Ganador,"&lt;&gt;"&amp;"Pendiente",FG_GolesLocal,"&lt;&gt;"&amp;"",FG_GolesVisitante,"&lt;&gt;"&amp;"")</f>
        <v>0</v>
      </c>
      <c r="BL17" s="117" t="n">
        <f aca="false">+BJ17-BK17</f>
        <v>1</v>
      </c>
      <c r="BM17" s="117" t="str">
        <f aca="false">DD17&amp;BC17</f>
        <v>1C</v>
      </c>
      <c r="BN17" s="117" t="str">
        <f aca="false">DH17&amp;BC17</f>
        <v>1C</v>
      </c>
      <c r="BO17" s="118" t="n">
        <f aca="false">IF(AND($AJ$99=144,BF17&gt;=1),1,0)</f>
        <v>0</v>
      </c>
      <c r="BP17" s="118" t="n">
        <f aca="false">COUNTIFS($BO$6:$BO$53,"&gt;"&amp;BO17,$BC$6:$BC$53,INDEX(T_Equipos[Grupo],MATCH(BD17,T_Equipos[NombreEquipo],0)))+1</f>
        <v>1</v>
      </c>
      <c r="BQ17" s="118" t="str">
        <f aca="false">IF(COUNTIFS($BP$6:$BP$53,BP17,$BC$6:$BC$53,INDEX(T_Equipos[Grupo],MATCH(BD17,T_Equipos[NombreEquipo],0)))=1,"-","P."&amp;BP17&amp;" ("&amp;COUNTIFS($BP$6:$BP$53,BP17,$BC$6:$BC$53,INDEX(T_Equipos[Grupo],MATCH(BD17,T_Equipos[NombreEquipo],0)))&amp;")")</f>
        <v>P.1 (4)</v>
      </c>
      <c r="BR17" s="118" t="n">
        <f aca="false">IF($BQ17="-","-",BE17)</f>
        <v>3</v>
      </c>
      <c r="BS17" s="118" t="n">
        <f aca="false">BP17+COUNTIFS($BQ$6:$BQ$53,BQ17,$BR$6:BR$53,"&gt;"&amp;BR17,$BC$6:$BC$53,INDEX(T_Equipos[Grupo],MATCH(BD17,T_Equipos[NombreEquipo],0)))</f>
        <v>1</v>
      </c>
      <c r="BT17" s="118" t="str">
        <f aca="false">IF(COUNTIFS($BS$6:$BS$53,BS17,$BC$6:$BC$53,INDEX(T_Equipos[Grupo],MATCH(BD17,T_Equipos[NombreEquipo],0)))=1,"-","P."&amp;BS17&amp;" ("&amp;COUNTIFS($BS$6:$BS$53,BS17,$BC$6:$BC$53,INDEX(T_Equipos[Grupo],MATCH(BD17,T_Equipos[NombreEquipo],0)))&amp;")")</f>
        <v>-</v>
      </c>
      <c r="BU17" s="119" t="str">
        <f aca="false">IF($BT17="-","-",COUNTIFS(FGLocal,$BD17,Ganador,"Local",Part1Empate1V,$BT17)+COUNTIFS(FGVisitante,$BD17,Ganador,"Visitante",Part1Empate1L,$BT17))</f>
        <v>-</v>
      </c>
      <c r="BV17" s="119" t="str">
        <f aca="false">IF($BT17="-","-",COUNTIFS(FGLocal,$BD17,Ganador,"Empate",Part1Empate1V,$BT17)+COUNTIFS(FGVisitante,$BD17,Ganador,"Empate",Part1Empate1L,$BT17))</f>
        <v>-</v>
      </c>
      <c r="BW17" s="119" t="str">
        <f aca="false">IF($BT17="-","-",COUNTIFS(FGLocal,$BD17,Ganador,"Visitante",Part1Empate1V,$BT17)+COUNTIFS(FGVisitante,$BD17,Ganador,"Local",Part1Empate1L,$BT17))</f>
        <v>-</v>
      </c>
      <c r="BX17" s="119" t="str">
        <f aca="false">IF($BT17="-","-",BU17*3+BV17)</f>
        <v>-</v>
      </c>
      <c r="BY17" s="119" t="n">
        <f aca="false">BS17+COUNTIFS($BT$6:$BT$53,BT17,$BX$6:BX$53,"&gt;"&amp;BX17,$BC$6:$BC$53,INDEX(T_Equipos[Grupo],MATCH(BD17,T_Equipos[NombreEquipo],0)))</f>
        <v>1</v>
      </c>
      <c r="BZ17" s="118" t="str">
        <f aca="false">IF(COUNTIFS($BY$6:$BY$53,BY17,$BC$6:$BC$53,INDEX(T_Equipos[Grupo],MATCH(BD17,T_Equipos[NombreEquipo],0)))=1,"-","P."&amp;BY17&amp;" ("&amp;COUNTIFS($BY$6:$BY$53,BY17,$BC$6:$BC$53,INDEX(T_Equipos[Grupo],MATCH(BD17,T_Equipos[NombreEquipo],0)))&amp;")")</f>
        <v>-</v>
      </c>
      <c r="CA17" s="119" t="str">
        <f aca="false">IF($BZ17="-","-",SUMIFS(FG_GolesLocal,FGLocal,$BD17,Part1Empate2V,$BZ17)+SUMIFS(FG_GolesVisitante,FGVisitante,$BD17,Part1Empate2L,$BZ17))</f>
        <v>-</v>
      </c>
      <c r="CB17" s="119" t="str">
        <f aca="false">IF($BZ17="-","-",SUMIFS(FG_GolesVisitante,FGLocal,$BD17,Part1Empate2V,$BZ17)+SUMIFS(FG_GolesLocal,FGVisitante,$BD17,Part1Empate2L,$BZ17))</f>
        <v>-</v>
      </c>
      <c r="CC17" s="119" t="str">
        <f aca="false">IF($BZ17="-","-",CA17-CB17)</f>
        <v>-</v>
      </c>
      <c r="CD17" s="119" t="n">
        <f aca="false">BY17+COUNTIFS($BZ$6:$BZ$53,BZ17,$CC$6:CC$53,"&gt;"&amp;CC17,$BC$6:$BC$53,INDEX(T_Equipos[Grupo],MATCH(BD17,T_Equipos[NombreEquipo],0)))</f>
        <v>1</v>
      </c>
      <c r="CE17" s="118" t="str">
        <f aca="false">IF(COUNTIFS($CD$6:$CD$53,CD17,$BC$6:$BC$53,INDEX(T_Equipos[Grupo],MATCH(BD17,T_Equipos[NombreEquipo],0)))=1,"-","P."&amp;CD17&amp;" ("&amp;COUNTIFS($CD$6:$CD$53,CD17,$BC$6:$BC$53,INDEX(T_Equipos[Grupo],MATCH(BD17,T_Equipos[NombreEquipo],0)))&amp;")")</f>
        <v>-</v>
      </c>
      <c r="CF17" s="119" t="str">
        <f aca="false">IF($CE17="-","-",SUMIFS(FG_GolesLocal,FGLocal,$BD17,Part1Empate3V,$CE17)+SUMIFS(FG_GolesVisitante,FGVisitante,$BD17,Part1Empate3L,$CE17))</f>
        <v>-</v>
      </c>
      <c r="CG17" s="119" t="n">
        <f aca="false">CD17+COUNTIFS($CE$6:$CE$53,CE17,$CF$6:CF$53,"&gt;"&amp;CF17,$BC$6:$BC$53,INDEX(T_Equipos[Grupo],MATCH(BD17,T_Equipos[NombreEquipo],0)))</f>
        <v>1</v>
      </c>
      <c r="CH17" s="118" t="str">
        <f aca="false">IF(COUNTIFS($CG$6:$CG$53,CG17,$BC$6:$BC$53,INDEX(T_Equipos[Grupo],MATCH(BD17,T_Equipos[NombreEquipo],0)))=1,"-","P."&amp;CG17&amp;" ("&amp;COUNTIFS($CG$6:$CG$53,CG17,$BC$6:$BC$53,INDEX(T_Equipos[Grupo],MATCH(BD17,T_Equipos[NombreEquipo],0)))&amp;")")</f>
        <v>-</v>
      </c>
      <c r="CI17" s="119" t="str">
        <f aca="false">IF($CH17="-","-",COUNTIFS(FGLocal,$BD17,Ganador,"Local",Part2Empate4V,$CH17)+COUNTIFS(FGVisitante,$BD17,Ganador,"Visitante",Part2Empate4L,$CH17))</f>
        <v>-</v>
      </c>
      <c r="CJ17" s="119" t="str">
        <f aca="false">IF($CH17="-","-",COUNTIFS(FGLocal,$BD17,Ganador,"Empate",Part2Empate4V,$CH17)+COUNTIFS(FGVisitante,$BD17,Ganador,"Empate",Part2Empate4L,$CH17))</f>
        <v>-</v>
      </c>
      <c r="CK17" s="119" t="str">
        <f aca="false">IF($CH17="-","-",COUNTIFS(FGLocal,$BD17,Ganador,"Visitante",Part2Empate4V,$CH17)+COUNTIFS(FGVisitante,$BD17,Ganador,"Local",Part2Empate4L,$CH17))</f>
        <v>-</v>
      </c>
      <c r="CL17" s="119" t="str">
        <f aca="false">IF($CH17="-","-",CI17*3+CJ17)</f>
        <v>-</v>
      </c>
      <c r="CM17" s="119" t="n">
        <f aca="false">CG17+COUNTIFS($CH$6:$CH$53,CH17,$CL$6:CL$53,"&gt;"&amp;CL17,$BC$6:$BC$53,INDEX(T_Equipos[Grupo],MATCH(BD17,T_Equipos[NombreEquipo],0)))</f>
        <v>1</v>
      </c>
      <c r="CN17" s="118" t="str">
        <f aca="false">IF(COUNTIFS($CM$6:$CM$53,CM17,$BC$6:$BC$53,INDEX(T_Equipos[Grupo],MATCH(BD17,T_Equipos[NombreEquipo],0)))=1,"-","P."&amp;CM17&amp;" ("&amp;COUNTIFS($CM$6:$CM$53,CM17,$BC$6:$BC$53,INDEX(T_Equipos[Grupo],MATCH(BD17,T_Equipos[NombreEquipo],0)))&amp;")")</f>
        <v>-</v>
      </c>
      <c r="CO17" s="119" t="str">
        <f aca="false">IF($CN17="-","-",SUMIFS(FG_GolesLocal,FGLocal,$BD17,Part2Empate5V,$CN17)+SUMIFS(FG_GolesVisitante,FGVisitante,$BD17,Part2Empate5L,$CN17))</f>
        <v>-</v>
      </c>
      <c r="CP17" s="119" t="str">
        <f aca="false">IF($CN17="-","-",SUMIFS(FG_GolesVisitante,FGLocal,$BD17,Part2Empate5V,$CN17)+SUMIFS(FG_GolesLocal,FGVisitante,$BD17,Part2Empate5L,$CN17))</f>
        <v>-</v>
      </c>
      <c r="CQ17" s="119" t="str">
        <f aca="false">IF($CN17="-","-",CO17-CP17)</f>
        <v>-</v>
      </c>
      <c r="CR17" s="119" t="n">
        <f aca="false">CM17+COUNTIFS($CN$6:$CN$53,CN17,$CQ$6:CQ$53,"&gt;"&amp;CQ17,$BC$6:$BC$53,INDEX(T_Equipos[Grupo],MATCH(BD17,T_Equipos[NombreEquipo],0)))</f>
        <v>1</v>
      </c>
      <c r="CS17" s="118" t="str">
        <f aca="false">IF(COUNTIFS($CR$6:$CR$53,CR17,$BC$6:$BC$53,INDEX(T_Equipos[Grupo],MATCH(BD17,T_Equipos[NombreEquipo],0)))=1,"-","P."&amp;CR17&amp;" ("&amp;COUNTIFS($CR$6:$CR$53,CR17,$BC$6:$BC$53,INDEX(T_Equipos[Grupo],MATCH(BD17,T_Equipos[NombreEquipo],0)))&amp;")")</f>
        <v>-</v>
      </c>
      <c r="CT17" s="119" t="str">
        <f aca="false">IF($CS17="-","-",SUMIFS(FG_GolesLocal,FGLocal,$BD17,Part2Empate6V,$CS17)+SUMIFS(FG_GolesVisitante,FGVisitante,$BD17,Part2Empate6L,$CS17))</f>
        <v>-</v>
      </c>
      <c r="CU17" s="119" t="n">
        <f aca="false">CR17+COUNTIFS($CS$6:$CS$53,CS17,$CT$6:CT$53,"&gt;"&amp;CT17,$BC$6:$BC$53,INDEX(T_Equipos[Grupo],MATCH(BD17,T_Equipos[NombreEquipo],0)))</f>
        <v>1</v>
      </c>
      <c r="CV17" s="118" t="str">
        <f aca="false">IF(COUNTIFS($CU$6:$CU$53,CU17,$BC$6:$BC$53,INDEX(T_Equipos[Grupo],MATCH(BD17,T_Equipos[NombreEquipo],0)))=1,"-","P."&amp;CU17&amp;" ("&amp;COUNTIFS($CU$6:$CU$53,CU17,$BC$6:$BC$53,INDEX(T_Equipos[Grupo],MATCH(BD17,T_Equipos[NombreEquipo],0)))&amp;")")</f>
        <v>-</v>
      </c>
      <c r="CW17" s="118" t="str">
        <f aca="false">IF(CV17="-","-",BL17)</f>
        <v>-</v>
      </c>
      <c r="CX17" s="118" t="n">
        <f aca="false">CU17+COUNTIFS($CV$6:$CV$53,CV17,$CW$6:CW$53,"&gt;"&amp;CW17,$BC$6:$BC$53,INDEX(T_Equipos[Grupo],MATCH(BD17,T_Equipos[NombreEquipo],0)))</f>
        <v>1</v>
      </c>
      <c r="CY17" s="118" t="str">
        <f aca="false">IF(COUNTIFS($CX$6:$CX$53,CX17,$BC$6:$BC$53,INDEX(T_Equipos[Grupo],MATCH(BD17,T_Equipos[NombreEquipo],0)))=1,"-","P."&amp;CX17&amp;" ("&amp;COUNTIFS($CX$6:$CX$53,CX17,$BC$6:$BC$53,INDEX(T_Equipos[Grupo],MATCH(BD17,T_Equipos[NombreEquipo],0)))&amp;")")</f>
        <v>-</v>
      </c>
      <c r="CZ17" s="118" t="str">
        <f aca="false">IF(CY17="-","-",BJ17)</f>
        <v>-</v>
      </c>
      <c r="DA17" s="119" t="n">
        <f aca="false">CX17+COUNTIFS($CY$6:$CY$53,CY17,$CZ$6:CZ$53,"&gt;"&amp;CZ17,$BC$6:$BC$53,INDEX(T_Equipos[Grupo],MATCH(BD17,T_Equipos[NombreEquipo],0)))</f>
        <v>1</v>
      </c>
      <c r="DB17" s="118" t="str">
        <f aca="false">IF(COUNTIFS($DA$6:$DA$53,DA17,$BC$6:$BC$53,INDEX(T_Equipos[Grupo],MATCH(BD17,T_Equipos[NombreEquipo],0)))=1,"-","P."&amp;DA17&amp;" ("&amp;COUNTIFS($DA$6:$DA$53,DA17,$BC$6:$BC$53,INDEX(T_Equipos[Grupo],MATCH(BD17,T_Equipos[NombreEquipo],0)))&amp;")")</f>
        <v>-</v>
      </c>
      <c r="DC17" s="116" t="str">
        <f aca="false">IF(DB17="-","-",COUNTIFS(T_Equipos[Rank],"&lt;"&amp;INDEX(T_Equipos[Rank],MATCH(BD17,T_Equipos[NombreEquipo],0)),$BC$6:$BC$53,INDEX(T_Equipos[Grupo],MATCH(BD17,T_Equipos[NombreEquipo],0)))+1)</f>
        <v>-</v>
      </c>
      <c r="DD17" s="116" t="n">
        <f aca="false">DA17+COUNTIFS($DB$6:$DB$53,DB17,$DC$6:DC$53,"&lt;"&amp;DC17,$BC$6:$BC$53,INDEX(T_Equipos[Grupo],MATCH(BD17,T_Equipos[NombreEquipo],0)))</f>
        <v>1</v>
      </c>
      <c r="DE17" s="116"/>
      <c r="DF17" s="116" t="n">
        <f aca="false">IF(OR(INDEX($AW$6:$AW$97,MATCH($BD17,$AV$6:$AV$97,0))="",DB17="-"),DD17,INDEX($AW$6:$AW$97,MATCH($BD17,$AV$6:$AV$97,0))+DD17/1000)</f>
        <v>1</v>
      </c>
      <c r="DG17" s="116" t="str">
        <f aca="false">IF(DB17="-","-",COUNTIFS(DF$6:DF$53,"&lt;"&amp;DF17,$BC$6:$BC$53,INDEX(T_Equipos[Grupo],MATCH(BD17,T_Equipos[NombreEquipo],0))))</f>
        <v>-</v>
      </c>
      <c r="DH17" s="116" t="n">
        <f aca="false">DA17+COUNTIFS(DB$6:DB$53,DB17,DG$6:DG$53,"&lt;"&amp;DG17,$BC$6:$BC$53,INDEX(T_Equipos[Grupo],MATCH(BD17,T_Equipos[NombreEquipo],0)))</f>
        <v>1</v>
      </c>
      <c r="DI17" s="55"/>
      <c r="DJ17" s="55" t="n">
        <f aca="false">INDEX($DA$6:$DA$53,MATCH($DQ17,$BD$6:$BD$53,0))</f>
        <v>4</v>
      </c>
      <c r="DK17" s="55" t="n">
        <f aca="false">+SUMIF($BC$6:$BC$53,BC17,$BF$6:$BF$53)</f>
        <v>4</v>
      </c>
      <c r="DL17" s="55" t="n">
        <f aca="false">IF(OR(DK17=12,$AJ$99=144),COUNTIFS($DJ$6:$DJ$53,DJ17,$BC$6:$BC$53,BC17),1)</f>
        <v>1</v>
      </c>
      <c r="DM17" s="120" t="str">
        <f aca="false">DJ17&amp;"."&amp;DL17</f>
        <v>4.1</v>
      </c>
      <c r="DN17" s="55" t="n">
        <f aca="true" t="array" ref="DN17:DN17">OFFSET(Horarios!$P$3,DJ17-1,0,DL17,1)</f>
        <v>4</v>
      </c>
      <c r="DO17" s="55"/>
      <c r="DP17" s="55" t="s">
        <v>90</v>
      </c>
      <c r="DQ17" s="55" t="str">
        <f aca="false">INDEX($BD$6:$BD$53,MATCH(DP17,$BM$6:$BM$53,0))</f>
        <v>Haití</v>
      </c>
      <c r="DR17" s="55"/>
      <c r="DS17" s="55"/>
      <c r="DT17" s="55" t="str">
        <f aca="false">AA17&amp;"-"&amp;AF17</f>
        <v>Bosnia y Herzegovina-Catar</v>
      </c>
      <c r="DU17" s="55"/>
      <c r="DV17" s="55"/>
      <c r="DW17" s="57"/>
    </row>
    <row r="18" customFormat="false" ht="15" hidden="false" customHeight="false" outlineLevel="0" collapsed="false">
      <c r="A18" s="39"/>
      <c r="B18" s="72"/>
      <c r="C18" s="39"/>
      <c r="D18" s="55"/>
      <c r="E18" s="55"/>
      <c r="F18" s="55"/>
      <c r="G18" s="55"/>
      <c r="H18" s="55"/>
      <c r="I18" s="55"/>
      <c r="J18" s="55"/>
      <c r="K18" s="55"/>
      <c r="L18" s="55"/>
      <c r="M18" s="55"/>
      <c r="N18" s="55"/>
      <c r="O18" s="55"/>
      <c r="P18" s="55"/>
      <c r="Q18" s="55"/>
      <c r="R18" s="55"/>
      <c r="S18" s="55"/>
      <c r="T18" s="55"/>
      <c r="U18" s="55"/>
      <c r="V18" s="46"/>
      <c r="W18" s="146"/>
      <c r="X18" s="147"/>
      <c r="Y18" s="146"/>
      <c r="Z18" s="148"/>
      <c r="AA18" s="149"/>
      <c r="AB18" s="150"/>
      <c r="AC18" s="151"/>
      <c r="AD18" s="151"/>
      <c r="AE18" s="150"/>
      <c r="AF18" s="152"/>
      <c r="AG18" s="182"/>
      <c r="AH18" s="84"/>
      <c r="AI18" s="43"/>
      <c r="AJ18" s="153"/>
      <c r="AK18" s="154"/>
      <c r="AL18" s="66"/>
      <c r="AM18" s="155"/>
      <c r="AN18" s="153"/>
      <c r="AO18" s="153"/>
      <c r="AP18" s="153"/>
      <c r="AQ18" s="153"/>
      <c r="AR18" s="153"/>
      <c r="AS18" s="153"/>
      <c r="AT18" s="153"/>
      <c r="AU18" s="156"/>
      <c r="AV18" s="157"/>
      <c r="AW18" s="158"/>
      <c r="AX18" s="113"/>
      <c r="AY18" s="146"/>
      <c r="AZ18" s="147"/>
      <c r="BA18" s="49"/>
      <c r="BB18" s="55"/>
      <c r="BC18" s="116" t="str">
        <f aca="false">+INDEX(T_Equipos[Grupo],MATCH(WORLDCUP!BD18,T_Equipos[NombreEquipo],0))</f>
        <v>D</v>
      </c>
      <c r="BD18" s="55" t="str">
        <f aca="false">+Equipos!B14</f>
        <v>Estados Unidos</v>
      </c>
      <c r="BE18" s="117" t="n">
        <f aca="false">+BG18*3+BH18+IF($AZ$3="no",0,INDEX($AZ$6:$AZ$97,MATCH(BD18,$AY$6:$AY$97,0)))</f>
        <v>3</v>
      </c>
      <c r="BF18" s="117" t="n">
        <f aca="false">+BG18+BH18+BI18</f>
        <v>1</v>
      </c>
      <c r="BG18" s="117" t="n">
        <f aca="false">+COUNTIFS(FGLocal,BD18,Ganador,"Local")+COUNTIFS(FGVisitante,BD18,Ganador,"Visitante")</f>
        <v>1</v>
      </c>
      <c r="BH18" s="117" t="n">
        <f aca="false">+COUNTIFS(FGLocal,BD18,Ganador,"Empate")+COUNTIFS(FGVisitante,BD18,Ganador,"Empate")</f>
        <v>0</v>
      </c>
      <c r="BI18" s="117" t="n">
        <f aca="false">+COUNTIFS(FGVisitante,BD18,Ganador,"Local")+COUNTIFS(FGLocal,BD18,Ganador,"Visitante")</f>
        <v>0</v>
      </c>
      <c r="BJ18" s="117" t="n">
        <f aca="false">+SUMIFS(FG_GolesLocal,FGLocal,BD18,Ganador,"&lt;&gt;"&amp;"Pendiente",FG_GolesLocal,"&lt;&gt;"&amp;"",FG_GolesVisitante,"&lt;&gt;"&amp;"")+SUMIFS(FG_GolesVisitante,FGVisitante,BD18,Ganador,"&lt;&gt;"&amp;"Pendiente",FG_GolesLocal,"&lt;&gt;"&amp;"",FG_GolesVisitante,"&lt;&gt;"&amp;"")</f>
        <v>4</v>
      </c>
      <c r="BK18" s="117" t="n">
        <f aca="false">+SUMIFS(FG_GolesLocal,FGVisitante,BD18,Ganador,"&lt;&gt;"&amp;"Pendiente",FG_GolesLocal,"&lt;&gt;"&amp;"",FG_GolesVisitante,"&lt;&gt;"&amp;"")+SUMIFS(FG_GolesVisitante,FGLocal,BD18,Ganador,"&lt;&gt;"&amp;"Pendiente",FG_GolesLocal,"&lt;&gt;"&amp;"",FG_GolesVisitante,"&lt;&gt;"&amp;"")</f>
        <v>1</v>
      </c>
      <c r="BL18" s="117" t="n">
        <f aca="false">+BJ18-BK18</f>
        <v>3</v>
      </c>
      <c r="BM18" s="117" t="str">
        <f aca="false">DD18&amp;BC18</f>
        <v>1D</v>
      </c>
      <c r="BN18" s="117" t="str">
        <f aca="false">DH18&amp;BC18</f>
        <v>1D</v>
      </c>
      <c r="BO18" s="119" t="n">
        <f aca="false">IF(AND($AJ$99=144,BF18&gt;=1),1,0)</f>
        <v>0</v>
      </c>
      <c r="BP18" s="118" t="n">
        <f aca="false">COUNTIFS($BO$6:$BO$53,"&gt;"&amp;BO18,$BC$6:$BC$53,INDEX(T_Equipos[Grupo],MATCH(BD18,T_Equipos[NombreEquipo],0)))+1</f>
        <v>1</v>
      </c>
      <c r="BQ18" s="118" t="str">
        <f aca="false">IF(COUNTIFS($BP$6:$BP$53,BP18,$BC$6:$BC$53,INDEX(T_Equipos[Grupo],MATCH(BD18,T_Equipos[NombreEquipo],0)))=1,"-","P."&amp;BP18&amp;" ("&amp;COUNTIFS($BP$6:$BP$53,BP18,$BC$6:$BC$53,INDEX(T_Equipos[Grupo],MATCH(BD18,T_Equipos[NombreEquipo],0)))&amp;")")</f>
        <v>P.1 (4)</v>
      </c>
      <c r="BR18" s="119" t="n">
        <f aca="false">IF($BQ18="-","-",BE18)</f>
        <v>3</v>
      </c>
      <c r="BS18" s="118" t="n">
        <f aca="false">BP18+COUNTIFS($BQ$6:$BQ$53,BQ18,$BR$6:BR$53,"&gt;"&amp;BR18,$BC$6:$BC$53,INDEX(T_Equipos[Grupo],MATCH(BD18,T_Equipos[NombreEquipo],0)))</f>
        <v>1</v>
      </c>
      <c r="BT18" s="118" t="str">
        <f aca="false">IF(COUNTIFS($BS$6:$BS$53,BS18,$BC$6:$BC$53,INDEX(T_Equipos[Grupo],MATCH(BD18,T_Equipos[NombreEquipo],0)))=1,"-","P."&amp;BS18&amp;" ("&amp;COUNTIFS($BS$6:$BS$53,BS18,$BC$6:$BC$53,INDEX(T_Equipos[Grupo],MATCH(BD18,T_Equipos[NombreEquipo],0)))&amp;")")</f>
        <v>P.1 (2)</v>
      </c>
      <c r="BU18" s="119" t="n">
        <f aca="false">IF($BT18="-","-",COUNTIFS(FGLocal,$BD18,Ganador,"Local",Part1Empate1V,$BT18)+COUNTIFS(FGVisitante,$BD18,Ganador,"Visitante",Part1Empate1L,$BT18))</f>
        <v>0</v>
      </c>
      <c r="BV18" s="119" t="n">
        <f aca="false">IF($BT18="-","-",COUNTIFS(FGLocal,$BD18,Ganador,"Empate",Part1Empate1V,$BT18)+COUNTIFS(FGVisitante,$BD18,Ganador,"Empate",Part1Empate1L,$BT18))</f>
        <v>0</v>
      </c>
      <c r="BW18" s="119" t="n">
        <f aca="false">IF($BT18="-","-",COUNTIFS(FGLocal,$BD18,Ganador,"Visitante",Part1Empate1V,$BT18)+COUNTIFS(FGVisitante,$BD18,Ganador,"Local",Part1Empate1L,$BT18))</f>
        <v>0</v>
      </c>
      <c r="BX18" s="119" t="n">
        <f aca="false">IF($BT18="-","-",BU18*3+BV18)</f>
        <v>0</v>
      </c>
      <c r="BY18" s="119" t="n">
        <f aca="false">BS18+COUNTIFS($BT$6:$BT$53,BT18,$BX$6:BX$53,"&gt;"&amp;BX18,$BC$6:$BC$53,INDEX(T_Equipos[Grupo],MATCH(BD18,T_Equipos[NombreEquipo],0)))</f>
        <v>1</v>
      </c>
      <c r="BZ18" s="118" t="str">
        <f aca="false">IF(COUNTIFS($BY$6:$BY$53,BY18,$BC$6:$BC$53,INDEX(T_Equipos[Grupo],MATCH(BD18,T_Equipos[NombreEquipo],0)))=1,"-","P."&amp;BY18&amp;" ("&amp;COUNTIFS($BY$6:$BY$53,BY18,$BC$6:$BC$53,INDEX(T_Equipos[Grupo],MATCH(BD18,T_Equipos[NombreEquipo],0)))&amp;")")</f>
        <v>P.1 (2)</v>
      </c>
      <c r="CA18" s="119" t="n">
        <f aca="false">IF($BZ18="-","-",SUMIFS(FG_GolesLocal,FGLocal,$BD18,Part1Empate2V,$BZ18)+SUMIFS(FG_GolesVisitante,FGVisitante,$BD18,Part1Empate2L,$BZ18))</f>
        <v>0</v>
      </c>
      <c r="CB18" s="119" t="n">
        <f aca="false">IF($BZ18="-","-",SUMIFS(FG_GolesVisitante,FGLocal,$BD18,Part1Empate2V,$BZ18)+SUMIFS(FG_GolesLocal,FGVisitante,$BD18,Part1Empate2L,$BZ18))</f>
        <v>0</v>
      </c>
      <c r="CC18" s="119" t="n">
        <f aca="false">IF($BZ18="-","-",CA18-CB18)</f>
        <v>0</v>
      </c>
      <c r="CD18" s="119" t="n">
        <f aca="false">BY18+COUNTIFS($BZ$6:$BZ$53,BZ18,$CC$6:CC$53,"&gt;"&amp;CC18,$BC$6:$BC$53,INDEX(T_Equipos[Grupo],MATCH(BD18,T_Equipos[NombreEquipo],0)))</f>
        <v>1</v>
      </c>
      <c r="CE18" s="118" t="str">
        <f aca="false">IF(COUNTIFS($CD$6:$CD$53,CD18,$BC$6:$BC$53,INDEX(T_Equipos[Grupo],MATCH(BD18,T_Equipos[NombreEquipo],0)))=1,"-","P."&amp;CD18&amp;" ("&amp;COUNTIFS($CD$6:$CD$53,CD18,$BC$6:$BC$53,INDEX(T_Equipos[Grupo],MATCH(BD18,T_Equipos[NombreEquipo],0)))&amp;")")</f>
        <v>P.1 (2)</v>
      </c>
      <c r="CF18" s="119" t="n">
        <f aca="false">IF($CE18="-","-",SUMIFS(FG_GolesLocal,FGLocal,$BD18,Part1Empate3V,$CE18)+SUMIFS(FG_GolesVisitante,FGVisitante,$BD18,Part1Empate3L,$CE18))</f>
        <v>0</v>
      </c>
      <c r="CG18" s="119" t="n">
        <f aca="false">CD18+COUNTIFS($CE$6:$CE$53,CE18,$CF$6:CF$53,"&gt;"&amp;CF18,$BC$6:$BC$53,INDEX(T_Equipos[Grupo],MATCH(BD18,T_Equipos[NombreEquipo],0)))</f>
        <v>1</v>
      </c>
      <c r="CH18" s="118" t="str">
        <f aca="false">IF(COUNTIFS($CG$6:$CG$53,CG18,$BC$6:$BC$53,INDEX(T_Equipos[Grupo],MATCH(BD18,T_Equipos[NombreEquipo],0)))=1,"-","P."&amp;CG18&amp;" ("&amp;COUNTIFS($CG$6:$CG$53,CG18,$BC$6:$BC$53,INDEX(T_Equipos[Grupo],MATCH(BD18,T_Equipos[NombreEquipo],0)))&amp;")")</f>
        <v>P.1 (2)</v>
      </c>
      <c r="CI18" s="119" t="n">
        <f aca="false">IF($CH18="-","-",COUNTIFS(FGLocal,$BD18,Ganador,"Local",Part2Empate4V,$CH18)+COUNTIFS(FGVisitante,$BD18,Ganador,"Visitante",Part2Empate4L,$CH18))</f>
        <v>0</v>
      </c>
      <c r="CJ18" s="119" t="n">
        <f aca="false">IF($CH18="-","-",COUNTIFS(FGLocal,$BD18,Ganador,"Empate",Part2Empate4V,$CH18)+COUNTIFS(FGVisitante,$BD18,Ganador,"Empate",Part2Empate4L,$CH18))</f>
        <v>0</v>
      </c>
      <c r="CK18" s="119" t="n">
        <f aca="false">IF($CH18="-","-",COUNTIFS(FGLocal,$BD18,Ganador,"Visitante",Part2Empate4V,$CH18)+COUNTIFS(FGVisitante,$BD18,Ganador,"Local",Part2Empate4L,$CH18))</f>
        <v>0</v>
      </c>
      <c r="CL18" s="119" t="n">
        <f aca="false">IF($CH18="-","-",CI18*3+CJ18)</f>
        <v>0</v>
      </c>
      <c r="CM18" s="119" t="n">
        <f aca="false">CG18+COUNTIFS($CH$6:$CH$53,CH18,$CL$6:CL$53,"&gt;"&amp;CL18,$BC$6:$BC$53,INDEX(T_Equipos[Grupo],MATCH(BD18,T_Equipos[NombreEquipo],0)))</f>
        <v>1</v>
      </c>
      <c r="CN18" s="118" t="str">
        <f aca="false">IF(COUNTIFS($CM$6:$CM$53,CM18,$BC$6:$BC$53,INDEX(T_Equipos[Grupo],MATCH(BD18,T_Equipos[NombreEquipo],0)))=1,"-","P."&amp;CM18&amp;" ("&amp;COUNTIFS($CM$6:$CM$53,CM18,$BC$6:$BC$53,INDEX(T_Equipos[Grupo],MATCH(BD18,T_Equipos[NombreEquipo],0)))&amp;")")</f>
        <v>P.1 (2)</v>
      </c>
      <c r="CO18" s="119" t="n">
        <f aca="false">IF($CN18="-","-",SUMIFS(FG_GolesLocal,FGLocal,$BD18,Part2Empate5V,$CN18)+SUMIFS(FG_GolesVisitante,FGVisitante,$BD18,Part2Empate5L,$CN18))</f>
        <v>0</v>
      </c>
      <c r="CP18" s="119" t="n">
        <f aca="false">IF($CN18="-","-",SUMIFS(FG_GolesVisitante,FGLocal,$BD18,Part2Empate5V,$CN18)+SUMIFS(FG_GolesLocal,FGVisitante,$BD18,Part2Empate5L,$CN18))</f>
        <v>0</v>
      </c>
      <c r="CQ18" s="119" t="n">
        <f aca="false">IF($CN18="-","-",CO18-CP18)</f>
        <v>0</v>
      </c>
      <c r="CR18" s="119" t="n">
        <f aca="false">CM18+COUNTIFS($CN$6:$CN$53,CN18,$CQ$6:CQ$53,"&gt;"&amp;CQ18,$BC$6:$BC$53,INDEX(T_Equipos[Grupo],MATCH(BD18,T_Equipos[NombreEquipo],0)))</f>
        <v>1</v>
      </c>
      <c r="CS18" s="118" t="str">
        <f aca="false">IF(COUNTIFS($CR$6:$CR$53,CR18,$BC$6:$BC$53,INDEX(T_Equipos[Grupo],MATCH(BD18,T_Equipos[NombreEquipo],0)))=1,"-","P."&amp;CR18&amp;" ("&amp;COUNTIFS($CR$6:$CR$53,CR18,$BC$6:$BC$53,INDEX(T_Equipos[Grupo],MATCH(BD18,T_Equipos[NombreEquipo],0)))&amp;")")</f>
        <v>P.1 (2)</v>
      </c>
      <c r="CT18" s="119" t="n">
        <f aca="false">IF($CS18="-","-",SUMIFS(FG_GolesLocal,FGLocal,$BD18,Part2Empate6V,$CS18)+SUMIFS(FG_GolesVisitante,FGVisitante,$BD18,Part2Empate6L,$CS18))</f>
        <v>0</v>
      </c>
      <c r="CU18" s="119" t="n">
        <f aca="false">CR18+COUNTIFS($CS$6:$CS$53,CS18,$CT$6:CT$53,"&gt;"&amp;CT18,$BC$6:$BC$53,INDEX(T_Equipos[Grupo],MATCH(BD18,T_Equipos[NombreEquipo],0)))</f>
        <v>1</v>
      </c>
      <c r="CV18" s="118" t="str">
        <f aca="false">IF(COUNTIFS($CU$6:$CU$53,CU18,$BC$6:$BC$53,INDEX(T_Equipos[Grupo],MATCH(BD18,T_Equipos[NombreEquipo],0)))=1,"-","P."&amp;CU18&amp;" ("&amp;COUNTIFS($CU$6:$CU$53,CU18,$BC$6:$BC$53,INDEX(T_Equipos[Grupo],MATCH(BD18,T_Equipos[NombreEquipo],0)))&amp;")")</f>
        <v>P.1 (2)</v>
      </c>
      <c r="CW18" s="118" t="n">
        <f aca="false">IF(CV18="-","-",BL18)</f>
        <v>3</v>
      </c>
      <c r="CX18" s="118" t="n">
        <f aca="false">CU18+COUNTIFS($CV$6:$CV$53,CV18,$CW$6:CW$53,"&gt;"&amp;CW18,$BC$6:$BC$53,INDEX(T_Equipos[Grupo],MATCH(BD18,T_Equipos[NombreEquipo],0)))</f>
        <v>1</v>
      </c>
      <c r="CY18" s="118" t="str">
        <f aca="false">IF(COUNTIFS($CX$6:$CX$53,CX18,$BC$6:$BC$53,INDEX(T_Equipos[Grupo],MATCH(BD18,T_Equipos[NombreEquipo],0)))=1,"-","P."&amp;CX18&amp;" ("&amp;COUNTIFS($CX$6:$CX$53,CX18,$BC$6:$BC$53,INDEX(T_Equipos[Grupo],MATCH(BD18,T_Equipos[NombreEquipo],0)))&amp;")")</f>
        <v>-</v>
      </c>
      <c r="CZ18" s="118" t="str">
        <f aca="false">IF(CY18="-","-",BJ18)</f>
        <v>-</v>
      </c>
      <c r="DA18" s="119" t="n">
        <f aca="false">CX18+COUNTIFS($CY$6:$CY$53,CY18,$CZ$6:CZ$53,"&gt;"&amp;CZ18,$BC$6:$BC$53,INDEX(T_Equipos[Grupo],MATCH(BD18,T_Equipos[NombreEquipo],0)))</f>
        <v>1</v>
      </c>
      <c r="DB18" s="118" t="str">
        <f aca="false">IF(COUNTIFS($DA$6:$DA$53,DA18,$BC$6:$BC$53,INDEX(T_Equipos[Grupo],MATCH(BD18,T_Equipos[NombreEquipo],0)))=1,"-","P."&amp;DA18&amp;" ("&amp;COUNTIFS($DA$6:$DA$53,DA18,$BC$6:$BC$53,INDEX(T_Equipos[Grupo],MATCH(BD18,T_Equipos[NombreEquipo],0)))&amp;")")</f>
        <v>-</v>
      </c>
      <c r="DC18" s="116" t="str">
        <f aca="false">IF(DB18="-","-",COUNTIFS(T_Equipos[Rank],"&lt;"&amp;INDEX(T_Equipos[Rank],MATCH(BD18,T_Equipos[NombreEquipo],0)),$BC$6:$BC$53,INDEX(T_Equipos[Grupo],MATCH(BD18,T_Equipos[NombreEquipo],0)))+1)</f>
        <v>-</v>
      </c>
      <c r="DD18" s="116" t="n">
        <f aca="false">DA18+COUNTIFS($DB$6:$DB$53,DB18,$DC$6:DC$53,"&lt;"&amp;DC18,$BC$6:$BC$53,INDEX(T_Equipos[Grupo],MATCH(BD18,T_Equipos[NombreEquipo],0)))</f>
        <v>1</v>
      </c>
      <c r="DE18" s="116"/>
      <c r="DF18" s="116" t="n">
        <f aca="false">IF(OR(INDEX($AW$6:$AW$97,MATCH($BD18,$AV$6:$AV$97,0))="",DB18="-"),DD18,INDEX($AW$6:$AW$97,MATCH($BD18,$AV$6:$AV$97,0))+DD18/1000)</f>
        <v>1</v>
      </c>
      <c r="DG18" s="116" t="str">
        <f aca="false">IF(DB18="-","-",COUNTIFS(DF$6:DF$53,"&lt;"&amp;DF18,$BC$6:$BC$53,INDEX(T_Equipos[Grupo],MATCH(BD18,T_Equipos[NombreEquipo],0))))</f>
        <v>-</v>
      </c>
      <c r="DH18" s="116" t="n">
        <f aca="false">DA18+COUNTIFS(DB$6:DB$53,DB18,DG$6:DG$53,"&lt;"&amp;DG18,$BC$6:$BC$53,INDEX(T_Equipos[Grupo],MATCH(BD18,T_Equipos[NombreEquipo],0)))</f>
        <v>1</v>
      </c>
      <c r="DI18" s="55"/>
      <c r="DJ18" s="55" t="n">
        <f aca="false">INDEX($DA$6:$DA$53,MATCH($DQ18,$BD$6:$BD$53,0))</f>
        <v>1</v>
      </c>
      <c r="DK18" s="55" t="n">
        <f aca="false">+SUMIF($BC$6:$BC$53,BC18,$BF$6:$BF$53)</f>
        <v>4</v>
      </c>
      <c r="DL18" s="55" t="n">
        <f aca="false">IF(OR(DK18=12,$AJ$99=144),COUNTIFS($DJ$6:$DJ$53,DJ18,$BC$6:$BC$53,BC18),1)</f>
        <v>1</v>
      </c>
      <c r="DM18" s="120" t="str">
        <f aca="false">DJ18&amp;"."&amp;DL18</f>
        <v>1.1</v>
      </c>
      <c r="DN18" s="55" t="n">
        <f aca="true" t="array" ref="DN18:DN18">OFFSET(Horarios!$P$3,DJ18-1,0,DL18,1)</f>
        <v>1</v>
      </c>
      <c r="DO18" s="55"/>
      <c r="DP18" s="55" t="s">
        <v>91</v>
      </c>
      <c r="DQ18" s="55" t="str">
        <f aca="false">INDEX($BD$6:$BD$53,MATCH(DP18,$BM$6:$BM$53,0))</f>
        <v>Estados Unidos</v>
      </c>
      <c r="DR18" s="55"/>
      <c r="DS18" s="55"/>
      <c r="DT18" s="55" t="str">
        <f aca="false">AA18&amp;"-"&amp;AF18</f>
        <v>-</v>
      </c>
      <c r="DU18" s="55"/>
      <c r="DV18" s="55"/>
      <c r="DW18" s="57"/>
    </row>
    <row r="19" customFormat="false" ht="15" hidden="false" customHeight="false" outlineLevel="0" collapsed="false">
      <c r="A19" s="39"/>
      <c r="B19" s="72"/>
      <c r="C19" s="39"/>
      <c r="D19" s="39"/>
      <c r="E19" s="39"/>
      <c r="F19" s="39"/>
      <c r="G19" s="39"/>
      <c r="H19" s="39"/>
      <c r="I19" s="39"/>
      <c r="J19" s="39"/>
      <c r="K19" s="39"/>
      <c r="L19" s="39"/>
      <c r="M19" s="39"/>
      <c r="N19" s="55"/>
      <c r="O19" s="55"/>
      <c r="P19" s="55"/>
      <c r="Q19" s="55"/>
      <c r="R19" s="55"/>
      <c r="S19" s="55"/>
      <c r="T19" s="55"/>
      <c r="U19" s="55"/>
      <c r="V19" s="46"/>
      <c r="W19" s="59"/>
      <c r="X19" s="60" t="str">
        <f aca="false">X3</f>
        <v>Fecha</v>
      </c>
      <c r="Y19" s="60" t="str">
        <f aca="false">Y3</f>
        <v>Hora</v>
      </c>
      <c r="Z19" s="61" t="str">
        <f aca="false">Z3</f>
        <v>Jor.</v>
      </c>
      <c r="AA19" s="62" t="str">
        <f aca="false">AA3</f>
        <v>Casa</v>
      </c>
      <c r="AB19" s="61"/>
      <c r="AC19" s="61" t="str">
        <f aca="false">AC3</f>
        <v>Gol</v>
      </c>
      <c r="AD19" s="61" t="str">
        <f aca="false">AD3</f>
        <v>Gol</v>
      </c>
      <c r="AE19" s="61"/>
      <c r="AF19" s="64" t="str">
        <f aca="false">AF3</f>
        <v>Fuera</v>
      </c>
      <c r="AG19" s="159"/>
      <c r="AH19" s="84"/>
      <c r="AI19" s="50"/>
      <c r="AJ19" s="66"/>
      <c r="AK19" s="160"/>
      <c r="AL19" s="66"/>
      <c r="AM19" s="66"/>
      <c r="AN19" s="66"/>
      <c r="AO19" s="66"/>
      <c r="AP19" s="66"/>
      <c r="AQ19" s="66"/>
      <c r="AR19" s="66"/>
      <c r="AS19" s="66"/>
      <c r="AT19" s="66"/>
      <c r="AU19" s="161"/>
      <c r="AV19" s="51"/>
      <c r="AW19" s="162"/>
      <c r="AX19" s="163"/>
      <c r="AY19" s="146"/>
      <c r="AZ19" s="147"/>
      <c r="BA19" s="49"/>
      <c r="BB19" s="55"/>
      <c r="BC19" s="116" t="str">
        <f aca="false">+INDEX(T_Equipos[Grupo],MATCH(WORLDCUP!BD19,T_Equipos[NombreEquipo],0))</f>
        <v>D</v>
      </c>
      <c r="BD19" s="55" t="str">
        <f aca="false">+Equipos!B15</f>
        <v>Paraguay</v>
      </c>
      <c r="BE19" s="117" t="n">
        <f aca="false">+BG19*3+BH19+IF($AZ$3="no",0,INDEX($AZ$6:$AZ$97,MATCH(BD19,$AY$6:$AY$97,0)))</f>
        <v>0</v>
      </c>
      <c r="BF19" s="117" t="n">
        <f aca="false">+BG19+BH19+BI19</f>
        <v>1</v>
      </c>
      <c r="BG19" s="117" t="n">
        <f aca="false">+COUNTIFS(FGLocal,BD19,Ganador,"Local")+COUNTIFS(FGVisitante,BD19,Ganador,"Visitante")</f>
        <v>0</v>
      </c>
      <c r="BH19" s="117" t="n">
        <f aca="false">+COUNTIFS(FGLocal,BD19,Ganador,"Empate")+COUNTIFS(FGVisitante,BD19,Ganador,"Empate")</f>
        <v>0</v>
      </c>
      <c r="BI19" s="117" t="n">
        <f aca="false">+COUNTIFS(FGVisitante,BD19,Ganador,"Local")+COUNTIFS(FGLocal,BD19,Ganador,"Visitante")</f>
        <v>1</v>
      </c>
      <c r="BJ19" s="117" t="n">
        <f aca="false">+SUMIFS(FG_GolesLocal,FGLocal,BD19,Ganador,"&lt;&gt;"&amp;"Pendiente",FG_GolesLocal,"&lt;&gt;"&amp;"",FG_GolesVisitante,"&lt;&gt;"&amp;"")+SUMIFS(FG_GolesVisitante,FGVisitante,BD19,Ganador,"&lt;&gt;"&amp;"Pendiente",FG_GolesLocal,"&lt;&gt;"&amp;"",FG_GolesVisitante,"&lt;&gt;"&amp;"")</f>
        <v>1</v>
      </c>
      <c r="BK19" s="117" t="n">
        <f aca="false">+SUMIFS(FG_GolesLocal,FGVisitante,BD19,Ganador,"&lt;&gt;"&amp;"Pendiente",FG_GolesLocal,"&lt;&gt;"&amp;"",FG_GolesVisitante,"&lt;&gt;"&amp;"")+SUMIFS(FG_GolesVisitante,FGLocal,BD19,Ganador,"&lt;&gt;"&amp;"Pendiente",FG_GolesLocal,"&lt;&gt;"&amp;"",FG_GolesVisitante,"&lt;&gt;"&amp;"")</f>
        <v>4</v>
      </c>
      <c r="BL19" s="117" t="n">
        <f aca="false">+BJ19-BK19</f>
        <v>-3</v>
      </c>
      <c r="BM19" s="117" t="str">
        <f aca="false">DD19&amp;BC19</f>
        <v>4D</v>
      </c>
      <c r="BN19" s="117" t="str">
        <f aca="false">DH19&amp;BC19</f>
        <v>4D</v>
      </c>
      <c r="BO19" s="119" t="n">
        <f aca="false">IF(AND($AJ$99=144,BF19&gt;=1),1,0)</f>
        <v>0</v>
      </c>
      <c r="BP19" s="118" t="n">
        <f aca="false">COUNTIFS($BO$6:$BO$53,"&gt;"&amp;BO19,$BC$6:$BC$53,INDEX(T_Equipos[Grupo],MATCH(BD19,T_Equipos[NombreEquipo],0)))+1</f>
        <v>1</v>
      </c>
      <c r="BQ19" s="118" t="str">
        <f aca="false">IF(COUNTIFS($BP$6:$BP$53,BP19,$BC$6:$BC$53,INDEX(T_Equipos[Grupo],MATCH(BD19,T_Equipos[NombreEquipo],0)))=1,"-","P."&amp;BP19&amp;" ("&amp;COUNTIFS($BP$6:$BP$53,BP19,$BC$6:$BC$53,INDEX(T_Equipos[Grupo],MATCH(BD19,T_Equipos[NombreEquipo],0)))&amp;")")</f>
        <v>P.1 (4)</v>
      </c>
      <c r="BR19" s="119" t="n">
        <f aca="false">IF($BQ19="-","-",BE19)</f>
        <v>0</v>
      </c>
      <c r="BS19" s="118" t="n">
        <f aca="false">BP19+COUNTIFS($BQ$6:$BQ$53,BQ19,$BR$6:BR$53,"&gt;"&amp;BR19,$BC$6:$BC$53,INDEX(T_Equipos[Grupo],MATCH(BD19,T_Equipos[NombreEquipo],0)))</f>
        <v>3</v>
      </c>
      <c r="BT19" s="118" t="str">
        <f aca="false">IF(COUNTIFS($BS$6:$BS$53,BS19,$BC$6:$BC$53,INDEX(T_Equipos[Grupo],MATCH(BD19,T_Equipos[NombreEquipo],0)))=1,"-","P."&amp;BS19&amp;" ("&amp;COUNTIFS($BS$6:$BS$53,BS19,$BC$6:$BC$53,INDEX(T_Equipos[Grupo],MATCH(BD19,T_Equipos[NombreEquipo],0)))&amp;")")</f>
        <v>P.3 (2)</v>
      </c>
      <c r="BU19" s="119" t="n">
        <f aca="false">IF($BT19="-","-",COUNTIFS(FGLocal,$BD19,Ganador,"Local",Part1Empate1V,$BT19)+COUNTIFS(FGVisitante,$BD19,Ganador,"Visitante",Part1Empate1L,$BT19))</f>
        <v>0</v>
      </c>
      <c r="BV19" s="119" t="n">
        <f aca="false">IF($BT19="-","-",COUNTIFS(FGLocal,$BD19,Ganador,"Empate",Part1Empate1V,$BT19)+COUNTIFS(FGVisitante,$BD19,Ganador,"Empate",Part1Empate1L,$BT19))</f>
        <v>0</v>
      </c>
      <c r="BW19" s="119" t="n">
        <f aca="false">IF($BT19="-","-",COUNTIFS(FGLocal,$BD19,Ganador,"Visitante",Part1Empate1V,$BT19)+COUNTIFS(FGVisitante,$BD19,Ganador,"Local",Part1Empate1L,$BT19))</f>
        <v>0</v>
      </c>
      <c r="BX19" s="119" t="n">
        <f aca="false">IF($BT19="-","-",BU19*3+BV19)</f>
        <v>0</v>
      </c>
      <c r="BY19" s="119" t="n">
        <f aca="false">BS19+COUNTIFS($BT$6:$BT$53,BT19,$BX$6:BX$53,"&gt;"&amp;BX19,$BC$6:$BC$53,INDEX(T_Equipos[Grupo],MATCH(BD19,T_Equipos[NombreEquipo],0)))</f>
        <v>3</v>
      </c>
      <c r="BZ19" s="118" t="str">
        <f aca="false">IF(COUNTIFS($BY$6:$BY$53,BY19,$BC$6:$BC$53,INDEX(T_Equipos[Grupo],MATCH(BD19,T_Equipos[NombreEquipo],0)))=1,"-","P."&amp;BY19&amp;" ("&amp;COUNTIFS($BY$6:$BY$53,BY19,$BC$6:$BC$53,INDEX(T_Equipos[Grupo],MATCH(BD19,T_Equipos[NombreEquipo],0)))&amp;")")</f>
        <v>P.3 (2)</v>
      </c>
      <c r="CA19" s="119" t="n">
        <f aca="false">IF($BZ19="-","-",SUMIFS(FG_GolesLocal,FGLocal,$BD19,Part1Empate2V,$BZ19)+SUMIFS(FG_GolesVisitante,FGVisitante,$BD19,Part1Empate2L,$BZ19))</f>
        <v>0</v>
      </c>
      <c r="CB19" s="119" t="n">
        <f aca="false">IF($BZ19="-","-",SUMIFS(FG_GolesVisitante,FGLocal,$BD19,Part1Empate2V,$BZ19)+SUMIFS(FG_GolesLocal,FGVisitante,$BD19,Part1Empate2L,$BZ19))</f>
        <v>0</v>
      </c>
      <c r="CC19" s="119" t="n">
        <f aca="false">IF($BZ19="-","-",CA19-CB19)</f>
        <v>0</v>
      </c>
      <c r="CD19" s="119" t="n">
        <f aca="false">BY19+COUNTIFS($BZ$6:$BZ$53,BZ19,$CC$6:CC$53,"&gt;"&amp;CC19,$BC$6:$BC$53,INDEX(T_Equipos[Grupo],MATCH(BD19,T_Equipos[NombreEquipo],0)))</f>
        <v>3</v>
      </c>
      <c r="CE19" s="118" t="str">
        <f aca="false">IF(COUNTIFS($CD$6:$CD$53,CD19,$BC$6:$BC$53,INDEX(T_Equipos[Grupo],MATCH(BD19,T_Equipos[NombreEquipo],0)))=1,"-","P."&amp;CD19&amp;" ("&amp;COUNTIFS($CD$6:$CD$53,CD19,$BC$6:$BC$53,INDEX(T_Equipos[Grupo],MATCH(BD19,T_Equipos[NombreEquipo],0)))&amp;")")</f>
        <v>P.3 (2)</v>
      </c>
      <c r="CF19" s="119" t="n">
        <f aca="false">IF($CE19="-","-",SUMIFS(FG_GolesLocal,FGLocal,$BD19,Part1Empate3V,$CE19)+SUMIFS(FG_GolesVisitante,FGVisitante,$BD19,Part1Empate3L,$CE19))</f>
        <v>0</v>
      </c>
      <c r="CG19" s="119" t="n">
        <f aca="false">CD19+COUNTIFS($CE$6:$CE$53,CE19,$CF$6:CF$53,"&gt;"&amp;CF19,$BC$6:$BC$53,INDEX(T_Equipos[Grupo],MATCH(BD19,T_Equipos[NombreEquipo],0)))</f>
        <v>3</v>
      </c>
      <c r="CH19" s="118" t="str">
        <f aca="false">IF(COUNTIFS($CG$6:$CG$53,CG19,$BC$6:$BC$53,INDEX(T_Equipos[Grupo],MATCH(BD19,T_Equipos[NombreEquipo],0)))=1,"-","P."&amp;CG19&amp;" ("&amp;COUNTIFS($CG$6:$CG$53,CG19,$BC$6:$BC$53,INDEX(T_Equipos[Grupo],MATCH(BD19,T_Equipos[NombreEquipo],0)))&amp;")")</f>
        <v>P.3 (2)</v>
      </c>
      <c r="CI19" s="119" t="n">
        <f aca="false">IF($CH19="-","-",COUNTIFS(FGLocal,$BD19,Ganador,"Local",Part2Empate4V,$CH19)+COUNTIFS(FGVisitante,$BD19,Ganador,"Visitante",Part2Empate4L,$CH19))</f>
        <v>0</v>
      </c>
      <c r="CJ19" s="119" t="n">
        <f aca="false">IF($CH19="-","-",COUNTIFS(FGLocal,$BD19,Ganador,"Empate",Part2Empate4V,$CH19)+COUNTIFS(FGVisitante,$BD19,Ganador,"Empate",Part2Empate4L,$CH19))</f>
        <v>0</v>
      </c>
      <c r="CK19" s="119" t="n">
        <f aca="false">IF($CH19="-","-",COUNTIFS(FGLocal,$BD19,Ganador,"Visitante",Part2Empate4V,$CH19)+COUNTIFS(FGVisitante,$BD19,Ganador,"Local",Part2Empate4L,$CH19))</f>
        <v>0</v>
      </c>
      <c r="CL19" s="119" t="n">
        <f aca="false">IF($CH19="-","-",CI19*3+CJ19)</f>
        <v>0</v>
      </c>
      <c r="CM19" s="119" t="n">
        <f aca="false">CG19+COUNTIFS($CH$6:$CH$53,CH19,$CL$6:CL$53,"&gt;"&amp;CL19,$BC$6:$BC$53,INDEX(T_Equipos[Grupo],MATCH(BD19,T_Equipos[NombreEquipo],0)))</f>
        <v>3</v>
      </c>
      <c r="CN19" s="118" t="str">
        <f aca="false">IF(COUNTIFS($CM$6:$CM$53,CM19,$BC$6:$BC$53,INDEX(T_Equipos[Grupo],MATCH(BD19,T_Equipos[NombreEquipo],0)))=1,"-","P."&amp;CM19&amp;" ("&amp;COUNTIFS($CM$6:$CM$53,CM19,$BC$6:$BC$53,INDEX(T_Equipos[Grupo],MATCH(BD19,T_Equipos[NombreEquipo],0)))&amp;")")</f>
        <v>P.3 (2)</v>
      </c>
      <c r="CO19" s="119" t="n">
        <f aca="false">IF($CN19="-","-",SUMIFS(FG_GolesLocal,FGLocal,$BD19,Part2Empate5V,$CN19)+SUMIFS(FG_GolesVisitante,FGVisitante,$BD19,Part2Empate5L,$CN19))</f>
        <v>0</v>
      </c>
      <c r="CP19" s="119" t="n">
        <f aca="false">IF($CN19="-","-",SUMIFS(FG_GolesVisitante,FGLocal,$BD19,Part2Empate5V,$CN19)+SUMIFS(FG_GolesLocal,FGVisitante,$BD19,Part2Empate5L,$CN19))</f>
        <v>0</v>
      </c>
      <c r="CQ19" s="119" t="n">
        <f aca="false">IF($CN19="-","-",CO19-CP19)</f>
        <v>0</v>
      </c>
      <c r="CR19" s="119" t="n">
        <f aca="false">CM19+COUNTIFS($CN$6:$CN$53,CN19,$CQ$6:CQ$53,"&gt;"&amp;CQ19,$BC$6:$BC$53,INDEX(T_Equipos[Grupo],MATCH(BD19,T_Equipos[NombreEquipo],0)))</f>
        <v>3</v>
      </c>
      <c r="CS19" s="118" t="str">
        <f aca="false">IF(COUNTIFS($CR$6:$CR$53,CR19,$BC$6:$BC$53,INDEX(T_Equipos[Grupo],MATCH(BD19,T_Equipos[NombreEquipo],0)))=1,"-","P."&amp;CR19&amp;" ("&amp;COUNTIFS($CR$6:$CR$53,CR19,$BC$6:$BC$53,INDEX(T_Equipos[Grupo],MATCH(BD19,T_Equipos[NombreEquipo],0)))&amp;")")</f>
        <v>P.3 (2)</v>
      </c>
      <c r="CT19" s="119" t="n">
        <f aca="false">IF($CS19="-","-",SUMIFS(FG_GolesLocal,FGLocal,$BD19,Part2Empate6V,$CS19)+SUMIFS(FG_GolesVisitante,FGVisitante,$BD19,Part2Empate6L,$CS19))</f>
        <v>0</v>
      </c>
      <c r="CU19" s="119" t="n">
        <f aca="false">CR19+COUNTIFS($CS$6:$CS$53,CS19,$CT$6:CT$53,"&gt;"&amp;CT19,$BC$6:$BC$53,INDEX(T_Equipos[Grupo],MATCH(BD19,T_Equipos[NombreEquipo],0)))</f>
        <v>3</v>
      </c>
      <c r="CV19" s="118" t="str">
        <f aca="false">IF(COUNTIFS($CU$6:$CU$53,CU19,$BC$6:$BC$53,INDEX(T_Equipos[Grupo],MATCH(BD19,T_Equipos[NombreEquipo],0)))=1,"-","P."&amp;CU19&amp;" ("&amp;COUNTIFS($CU$6:$CU$53,CU19,$BC$6:$BC$53,INDEX(T_Equipos[Grupo],MATCH(BD19,T_Equipos[NombreEquipo],0)))&amp;")")</f>
        <v>P.3 (2)</v>
      </c>
      <c r="CW19" s="118" t="n">
        <f aca="false">IF(CV19="-","-",BL19)</f>
        <v>-3</v>
      </c>
      <c r="CX19" s="118" t="n">
        <f aca="false">CU19+COUNTIFS($CV$6:$CV$53,CV19,$CW$6:CW$53,"&gt;"&amp;CW19,$BC$6:$BC$53,INDEX(T_Equipos[Grupo],MATCH(BD19,T_Equipos[NombreEquipo],0)))</f>
        <v>4</v>
      </c>
      <c r="CY19" s="118" t="str">
        <f aca="false">IF(COUNTIFS($CX$6:$CX$53,CX19,$BC$6:$BC$53,INDEX(T_Equipos[Grupo],MATCH(BD19,T_Equipos[NombreEquipo],0)))=1,"-","P."&amp;CX19&amp;" ("&amp;COUNTIFS($CX$6:$CX$53,CX19,$BC$6:$BC$53,INDEX(T_Equipos[Grupo],MATCH(BD19,T_Equipos[NombreEquipo],0)))&amp;")")</f>
        <v>-</v>
      </c>
      <c r="CZ19" s="118" t="str">
        <f aca="false">IF(CY19="-","-",BJ19)</f>
        <v>-</v>
      </c>
      <c r="DA19" s="119" t="n">
        <f aca="false">CX19+COUNTIFS($CY$6:$CY$53,CY19,$CZ$6:CZ$53,"&gt;"&amp;CZ19,$BC$6:$BC$53,INDEX(T_Equipos[Grupo],MATCH(BD19,T_Equipos[NombreEquipo],0)))</f>
        <v>4</v>
      </c>
      <c r="DB19" s="118" t="str">
        <f aca="false">IF(COUNTIFS($DA$6:$DA$53,DA19,$BC$6:$BC$53,INDEX(T_Equipos[Grupo],MATCH(BD19,T_Equipos[NombreEquipo],0)))=1,"-","P."&amp;DA19&amp;" ("&amp;COUNTIFS($DA$6:$DA$53,DA19,$BC$6:$BC$53,INDEX(T_Equipos[Grupo],MATCH(BD19,T_Equipos[NombreEquipo],0)))&amp;")")</f>
        <v>-</v>
      </c>
      <c r="DC19" s="116" t="str">
        <f aca="false">IF(DB19="-","-",COUNTIFS(T_Equipos[Rank],"&lt;"&amp;INDEX(T_Equipos[Rank],MATCH(BD19,T_Equipos[NombreEquipo],0)),$BC$6:$BC$53,INDEX(T_Equipos[Grupo],MATCH(BD19,T_Equipos[NombreEquipo],0)))+1)</f>
        <v>-</v>
      </c>
      <c r="DD19" s="116" t="n">
        <f aca="false">DA19+COUNTIFS($DB$6:$DB$53,DB19,$DC$6:DC$53,"&lt;"&amp;DC19,$BC$6:$BC$53,INDEX(T_Equipos[Grupo],MATCH(BD19,T_Equipos[NombreEquipo],0)))</f>
        <v>4</v>
      </c>
      <c r="DE19" s="116"/>
      <c r="DF19" s="116" t="n">
        <f aca="false">IF(OR(INDEX($AW$6:$AW$97,MATCH($BD19,$AV$6:$AV$97,0))="",DB19="-"),DD19,INDEX($AW$6:$AW$97,MATCH($BD19,$AV$6:$AV$97,0))+DD19/1000)</f>
        <v>4</v>
      </c>
      <c r="DG19" s="116" t="str">
        <f aca="false">IF(DB19="-","-",COUNTIFS(DF$6:DF$53,"&lt;"&amp;DF19,$BC$6:$BC$53,INDEX(T_Equipos[Grupo],MATCH(BD19,T_Equipos[NombreEquipo],0))))</f>
        <v>-</v>
      </c>
      <c r="DH19" s="116" t="n">
        <f aca="false">DA19+COUNTIFS(DB$6:DB$53,DB19,DG$6:DG$53,"&lt;"&amp;DG19,$BC$6:$BC$53,INDEX(T_Equipos[Grupo],MATCH(BD19,T_Equipos[NombreEquipo],0)))</f>
        <v>4</v>
      </c>
      <c r="DI19" s="55"/>
      <c r="DJ19" s="55" t="n">
        <f aca="false">INDEX($DA$6:$DA$53,MATCH($DQ19,$BD$6:$BD$53,0))</f>
        <v>2</v>
      </c>
      <c r="DK19" s="55" t="n">
        <f aca="false">+SUMIF($BC$6:$BC$53,BC19,$BF$6:$BF$53)</f>
        <v>4</v>
      </c>
      <c r="DL19" s="55" t="n">
        <f aca="false">IF(OR(DK19=12,$AJ$99=144),COUNTIFS($DJ$6:$DJ$53,DJ19,$BC$6:$BC$53,BC19),1)</f>
        <v>1</v>
      </c>
      <c r="DM19" s="120" t="str">
        <f aca="false">DJ19&amp;"."&amp;DL19</f>
        <v>2.1</v>
      </c>
      <c r="DN19" s="55" t="n">
        <f aca="true" t="array" ref="DN19:DN19">OFFSET(Horarios!$P$3,DJ19-1,0,DL19,1)</f>
        <v>2</v>
      </c>
      <c r="DO19" s="55"/>
      <c r="DP19" s="55" t="s">
        <v>92</v>
      </c>
      <c r="DQ19" s="55" t="str">
        <f aca="false">INDEX($BD$6:$BD$53,MATCH(DP19,$BM$6:$BM$53,0))</f>
        <v>Australia</v>
      </c>
      <c r="DR19" s="55"/>
      <c r="DS19" s="55"/>
      <c r="DT19" s="55" t="str">
        <f aca="false">AA19&amp;"-"&amp;AF19</f>
        <v>Casa-Fuera</v>
      </c>
      <c r="DU19" s="55"/>
      <c r="DV19" s="55"/>
      <c r="DW19" s="57"/>
    </row>
    <row r="20" customFormat="false" ht="15" hidden="false" customHeight="true" outlineLevel="0" collapsed="false">
      <c r="A20" s="71" t="s">
        <v>23</v>
      </c>
      <c r="B20" s="72" t="s">
        <v>93</v>
      </c>
      <c r="C20" s="44" t="n">
        <f aca="false">COUNTIF(Equipos!$C$2:$C$49,WORLDCUP!B20)</f>
        <v>4</v>
      </c>
      <c r="D20" s="55" t="str">
        <f aca="false">IF(OR(AC20="",AD20=""),"Pendiente",IF(AC20&gt;AD20,"Local",IF(AC20&lt;AD20,"Visitante","Empate")))</f>
        <v>Empate</v>
      </c>
      <c r="E20" s="55" t="str">
        <f aca="false">IF(D20="Pendiente","-",INDEX($BT$6:$BT$53,MATCH($AA20,$BD$6:$BD$53,0)))</f>
        <v>P.2 (2)</v>
      </c>
      <c r="F20" s="55" t="str">
        <f aca="false">IF(D20="Pendiente","-",INDEX($BT$6:$BT$53,MATCH($AF20,$BD$6:$BD$53,0)))</f>
        <v>P.2 (2)</v>
      </c>
      <c r="G20" s="55"/>
      <c r="H20" s="55" t="str">
        <f aca="false">IF(D20="Pendiente","-",INDEX($BZ$6:$BZ$53,MATCH($AA20,$BD$6:$BD$53,0)))</f>
        <v>P.2 (2)</v>
      </c>
      <c r="I20" s="55" t="str">
        <f aca="false">IF(D20="Pendiente","-",INDEX($BZ$6:$BZ$53,MATCH($AF20,$BD$6:$BD$53,0)))</f>
        <v>P.2 (2)</v>
      </c>
      <c r="J20" s="55"/>
      <c r="K20" s="55" t="str">
        <f aca="false">IF(D20="Pendiente","-",INDEX($CE$6:$CE$53,MATCH($AA20,$BD$6:$BD$53,0)))</f>
        <v>P.2 (2)</v>
      </c>
      <c r="L20" s="55" t="str">
        <f aca="false">IF(D20="Pendiente","-",INDEX($CE$6:$CE$53,MATCH($AF20,$BD$6:$BD$53,0)))</f>
        <v>P.2 (2)</v>
      </c>
      <c r="M20" s="55"/>
      <c r="N20" s="55" t="str">
        <f aca="false">IF(D20="Pendiente","-",INDEX($CH$6:$CH$53,MATCH($AA20,$BD$6:$BD$53,0)))</f>
        <v>P.2 (2)</v>
      </c>
      <c r="O20" s="55" t="str">
        <f aca="false">IF(D20="Pendiente","-",INDEX($CH$6:$CH$53,MATCH($AF20,$BD$6:$BD$53,0)))</f>
        <v>P.2 (2)</v>
      </c>
      <c r="P20" s="55"/>
      <c r="Q20" s="55" t="str">
        <f aca="false">IF(D20="Pendiente","-",INDEX($CN$6:$CN$53,MATCH($AA20,$BD$6:$BD$53,0)))</f>
        <v>P.2 (2)</v>
      </c>
      <c r="R20" s="55" t="str">
        <f aca="false">IF(D20="Pendiente","-",INDEX($CN$6:$CN$53,MATCH($AF20,$BD$6:$BD$53,0)))</f>
        <v>P.2 (2)</v>
      </c>
      <c r="S20" s="55"/>
      <c r="T20" s="55" t="str">
        <f aca="false">IF(D20="Pendiente","-",INDEX($CS$6:$CS$53,MATCH($AA20,$BD$6:$BD$53,0)))</f>
        <v>P.2 (2)</v>
      </c>
      <c r="U20" s="55" t="str">
        <f aca="false">IF(D20="Pendiente","-",INDEX($CS$6:$CS$53,MATCH($AF20,$BD$6:$BD$53,0)))</f>
        <v>P.2 (2)</v>
      </c>
      <c r="V20" s="46"/>
      <c r="W20" s="183" t="s">
        <v>93</v>
      </c>
      <c r="X20" s="74" t="n">
        <f aca="false">Horarios!C20</f>
        <v>46187</v>
      </c>
      <c r="Y20" s="75" t="n">
        <f aca="false">Horarios!C20</f>
        <v>46187</v>
      </c>
      <c r="Z20" s="76" t="str">
        <f aca="false">$Z$4</f>
        <v>J1</v>
      </c>
      <c r="AA20" s="77" t="str">
        <f aca="false">A21</f>
        <v>Brasil</v>
      </c>
      <c r="AB20" s="165" t="str">
        <f aca="true" t="array" ref="AB20:AB20">Ver_flag_local</f>
        <v/>
      </c>
      <c r="AC20" s="79" t="n">
        <v>1</v>
      </c>
      <c r="AD20" s="80" t="n">
        <v>1</v>
      </c>
      <c r="AE20" s="81" t="str">
        <f aca="true" t="array" ref="AE20:AE20">Ver_flag_visit</f>
        <v/>
      </c>
      <c r="AF20" s="82" t="str">
        <f aca="false">A22</f>
        <v>Marruecos</v>
      </c>
      <c r="AG20" s="83" t="n">
        <f aca="false">IF(NOT(OR(ISBLANK(AC20),ISBLANK(AD20))),1,0)</f>
        <v>1</v>
      </c>
      <c r="AH20" s="84" t="n">
        <v>7</v>
      </c>
      <c r="AI20" s="85"/>
      <c r="AJ20" s="86" t="str">
        <f aca="false">CONCATENATE(AJ3," ",B20)</f>
        <v>Grupo C</v>
      </c>
      <c r="AK20" s="86"/>
      <c r="AL20" s="86"/>
      <c r="AM20" s="86"/>
      <c r="AN20" s="86"/>
      <c r="AO20" s="86"/>
      <c r="AP20" s="86"/>
      <c r="AQ20" s="86"/>
      <c r="AR20" s="86"/>
      <c r="AS20" s="86"/>
      <c r="AT20" s="86"/>
      <c r="AU20" s="161"/>
      <c r="AV20" s="87" t="str">
        <f aca="false">IF(AU21&gt;0,$AV$3,"")</f>
        <v/>
      </c>
      <c r="AW20" s="97"/>
      <c r="AX20" s="168"/>
      <c r="AY20" s="146"/>
      <c r="AZ20" s="147"/>
      <c r="BA20" s="49"/>
      <c r="BB20" s="55"/>
      <c r="BC20" s="116" t="str">
        <f aca="false">+INDEX(T_Equipos[Grupo],MATCH(WORLDCUP!BD20,T_Equipos[NombreEquipo],0))</f>
        <v>D</v>
      </c>
      <c r="BD20" s="55" t="str">
        <f aca="false">+Equipos!B16</f>
        <v>Australia</v>
      </c>
      <c r="BE20" s="117" t="n">
        <f aca="false">+BG20*3+BH20+IF($AZ$3="no",0,INDEX($AZ$6:$AZ$97,MATCH(BD20,$AY$6:$AY$97,0)))</f>
        <v>3</v>
      </c>
      <c r="BF20" s="117" t="n">
        <f aca="false">+BG20+BH20+BI20</f>
        <v>1</v>
      </c>
      <c r="BG20" s="117" t="n">
        <f aca="false">+COUNTIFS(FGLocal,BD20,Ganador,"Local")+COUNTIFS(FGVisitante,BD20,Ganador,"Visitante")</f>
        <v>1</v>
      </c>
      <c r="BH20" s="117" t="n">
        <f aca="false">+COUNTIFS(FGLocal,BD20,Ganador,"Empate")+COUNTIFS(FGVisitante,BD20,Ganador,"Empate")</f>
        <v>0</v>
      </c>
      <c r="BI20" s="117" t="n">
        <f aca="false">+COUNTIFS(FGVisitante,BD20,Ganador,"Local")+COUNTIFS(FGLocal,BD20,Ganador,"Visitante")</f>
        <v>0</v>
      </c>
      <c r="BJ20" s="117" t="n">
        <f aca="false">+SUMIFS(FG_GolesLocal,FGLocal,BD20,Ganador,"&lt;&gt;"&amp;"Pendiente",FG_GolesLocal,"&lt;&gt;"&amp;"",FG_GolesVisitante,"&lt;&gt;"&amp;"")+SUMIFS(FG_GolesVisitante,FGVisitante,BD20,Ganador,"&lt;&gt;"&amp;"Pendiente",FG_GolesLocal,"&lt;&gt;"&amp;"",FG_GolesVisitante,"&lt;&gt;"&amp;"")</f>
        <v>2</v>
      </c>
      <c r="BK20" s="117" t="n">
        <f aca="false">+SUMIFS(FG_GolesLocal,FGVisitante,BD20,Ganador,"&lt;&gt;"&amp;"Pendiente",FG_GolesLocal,"&lt;&gt;"&amp;"",FG_GolesVisitante,"&lt;&gt;"&amp;"")+SUMIFS(FG_GolesVisitante,FGLocal,BD20,Ganador,"&lt;&gt;"&amp;"Pendiente",FG_GolesLocal,"&lt;&gt;"&amp;"",FG_GolesVisitante,"&lt;&gt;"&amp;"")</f>
        <v>0</v>
      </c>
      <c r="BL20" s="117" t="n">
        <f aca="false">+BJ20-BK20</f>
        <v>2</v>
      </c>
      <c r="BM20" s="117" t="str">
        <f aca="false">DD20&amp;BC20</f>
        <v>2D</v>
      </c>
      <c r="BN20" s="117" t="str">
        <f aca="false">DH20&amp;BC20</f>
        <v>2D</v>
      </c>
      <c r="BO20" s="119" t="n">
        <f aca="false">IF(AND($AJ$99=144,BF20&gt;=1),1,0)</f>
        <v>0</v>
      </c>
      <c r="BP20" s="118" t="n">
        <f aca="false">COUNTIFS($BO$6:$BO$53,"&gt;"&amp;BO20,$BC$6:$BC$53,INDEX(T_Equipos[Grupo],MATCH(BD20,T_Equipos[NombreEquipo],0)))+1</f>
        <v>1</v>
      </c>
      <c r="BQ20" s="118" t="str">
        <f aca="false">IF(COUNTIFS($BP$6:$BP$53,BP20,$BC$6:$BC$53,INDEX(T_Equipos[Grupo],MATCH(BD20,T_Equipos[NombreEquipo],0)))=1,"-","P."&amp;BP20&amp;" ("&amp;COUNTIFS($BP$6:$BP$53,BP20,$BC$6:$BC$53,INDEX(T_Equipos[Grupo],MATCH(BD20,T_Equipos[NombreEquipo],0)))&amp;")")</f>
        <v>P.1 (4)</v>
      </c>
      <c r="BR20" s="119" t="n">
        <f aca="false">IF($BQ20="-","-",BE20)</f>
        <v>3</v>
      </c>
      <c r="BS20" s="118" t="n">
        <f aca="false">BP20+COUNTIFS($BQ$6:$BQ$53,BQ20,$BR$6:BR$53,"&gt;"&amp;BR20,$BC$6:$BC$53,INDEX(T_Equipos[Grupo],MATCH(BD20,T_Equipos[NombreEquipo],0)))</f>
        <v>1</v>
      </c>
      <c r="BT20" s="118" t="str">
        <f aca="false">IF(COUNTIFS($BS$6:$BS$53,BS20,$BC$6:$BC$53,INDEX(T_Equipos[Grupo],MATCH(BD20,T_Equipos[NombreEquipo],0)))=1,"-","P."&amp;BS20&amp;" ("&amp;COUNTIFS($BS$6:$BS$53,BS20,$BC$6:$BC$53,INDEX(T_Equipos[Grupo],MATCH(BD20,T_Equipos[NombreEquipo],0)))&amp;")")</f>
        <v>P.1 (2)</v>
      </c>
      <c r="BU20" s="119" t="n">
        <f aca="false">IF($BT20="-","-",COUNTIFS(FGLocal,$BD20,Ganador,"Local",Part1Empate1V,$BT20)+COUNTIFS(FGVisitante,$BD20,Ganador,"Visitante",Part1Empate1L,$BT20))</f>
        <v>0</v>
      </c>
      <c r="BV20" s="119" t="n">
        <f aca="false">IF($BT20="-","-",COUNTIFS(FGLocal,$BD20,Ganador,"Empate",Part1Empate1V,$BT20)+COUNTIFS(FGVisitante,$BD20,Ganador,"Empate",Part1Empate1L,$BT20))</f>
        <v>0</v>
      </c>
      <c r="BW20" s="119" t="n">
        <f aca="false">IF($BT20="-","-",COUNTIFS(FGLocal,$BD20,Ganador,"Visitante",Part1Empate1V,$BT20)+COUNTIFS(FGVisitante,$BD20,Ganador,"Local",Part1Empate1L,$BT20))</f>
        <v>0</v>
      </c>
      <c r="BX20" s="119" t="n">
        <f aca="false">IF($BT20="-","-",BU20*3+BV20)</f>
        <v>0</v>
      </c>
      <c r="BY20" s="119" t="n">
        <f aca="false">BS20+COUNTIFS($BT$6:$BT$53,BT20,$BX$6:BX$53,"&gt;"&amp;BX20,$BC$6:$BC$53,INDEX(T_Equipos[Grupo],MATCH(BD20,T_Equipos[NombreEquipo],0)))</f>
        <v>1</v>
      </c>
      <c r="BZ20" s="118" t="str">
        <f aca="false">IF(COUNTIFS($BY$6:$BY$53,BY20,$BC$6:$BC$53,INDEX(T_Equipos[Grupo],MATCH(BD20,T_Equipos[NombreEquipo],0)))=1,"-","P."&amp;BY20&amp;" ("&amp;COUNTIFS($BY$6:$BY$53,BY20,$BC$6:$BC$53,INDEX(T_Equipos[Grupo],MATCH(BD20,T_Equipos[NombreEquipo],0)))&amp;")")</f>
        <v>P.1 (2)</v>
      </c>
      <c r="CA20" s="119" t="n">
        <f aca="false">IF($BZ20="-","-",SUMIFS(FG_GolesLocal,FGLocal,$BD20,Part1Empate2V,$BZ20)+SUMIFS(FG_GolesVisitante,FGVisitante,$BD20,Part1Empate2L,$BZ20))</f>
        <v>0</v>
      </c>
      <c r="CB20" s="119" t="n">
        <f aca="false">IF($BZ20="-","-",SUMIFS(FG_GolesVisitante,FGLocal,$BD20,Part1Empate2V,$BZ20)+SUMIFS(FG_GolesLocal,FGVisitante,$BD20,Part1Empate2L,$BZ20))</f>
        <v>0</v>
      </c>
      <c r="CC20" s="119" t="n">
        <f aca="false">IF($BZ20="-","-",CA20-CB20)</f>
        <v>0</v>
      </c>
      <c r="CD20" s="119" t="n">
        <f aca="false">BY20+COUNTIFS($BZ$6:$BZ$53,BZ20,$CC$6:CC$53,"&gt;"&amp;CC20,$BC$6:$BC$53,INDEX(T_Equipos[Grupo],MATCH(BD20,T_Equipos[NombreEquipo],0)))</f>
        <v>1</v>
      </c>
      <c r="CE20" s="118" t="str">
        <f aca="false">IF(COUNTIFS($CD$6:$CD$53,CD20,$BC$6:$BC$53,INDEX(T_Equipos[Grupo],MATCH(BD20,T_Equipos[NombreEquipo],0)))=1,"-","P."&amp;CD20&amp;" ("&amp;COUNTIFS($CD$6:$CD$53,CD20,$BC$6:$BC$53,INDEX(T_Equipos[Grupo],MATCH(BD20,T_Equipos[NombreEquipo],0)))&amp;")")</f>
        <v>P.1 (2)</v>
      </c>
      <c r="CF20" s="119" t="n">
        <f aca="false">IF($CE20="-","-",SUMIFS(FG_GolesLocal,FGLocal,$BD20,Part1Empate3V,$CE20)+SUMIFS(FG_GolesVisitante,FGVisitante,$BD20,Part1Empate3L,$CE20))</f>
        <v>0</v>
      </c>
      <c r="CG20" s="119" t="n">
        <f aca="false">CD20+COUNTIFS($CE$6:$CE$53,CE20,$CF$6:CF$53,"&gt;"&amp;CF20,$BC$6:$BC$53,INDEX(T_Equipos[Grupo],MATCH(BD20,T_Equipos[NombreEquipo],0)))</f>
        <v>1</v>
      </c>
      <c r="CH20" s="118" t="str">
        <f aca="false">IF(COUNTIFS($CG$6:$CG$53,CG20,$BC$6:$BC$53,INDEX(T_Equipos[Grupo],MATCH(BD20,T_Equipos[NombreEquipo],0)))=1,"-","P."&amp;CG20&amp;" ("&amp;COUNTIFS($CG$6:$CG$53,CG20,$BC$6:$BC$53,INDEX(T_Equipos[Grupo],MATCH(BD20,T_Equipos[NombreEquipo],0)))&amp;")")</f>
        <v>P.1 (2)</v>
      </c>
      <c r="CI20" s="119" t="n">
        <f aca="false">IF($CH20="-","-",COUNTIFS(FGLocal,$BD20,Ganador,"Local",Part2Empate4V,$CH20)+COUNTIFS(FGVisitante,$BD20,Ganador,"Visitante",Part2Empate4L,$CH20))</f>
        <v>0</v>
      </c>
      <c r="CJ20" s="119" t="n">
        <f aca="false">IF($CH20="-","-",COUNTIFS(FGLocal,$BD20,Ganador,"Empate",Part2Empate4V,$CH20)+COUNTIFS(FGVisitante,$BD20,Ganador,"Empate",Part2Empate4L,$CH20))</f>
        <v>0</v>
      </c>
      <c r="CK20" s="119" t="n">
        <f aca="false">IF($CH20="-","-",COUNTIFS(FGLocal,$BD20,Ganador,"Visitante",Part2Empate4V,$CH20)+COUNTIFS(FGVisitante,$BD20,Ganador,"Local",Part2Empate4L,$CH20))</f>
        <v>0</v>
      </c>
      <c r="CL20" s="119" t="n">
        <f aca="false">IF($CH20="-","-",CI20*3+CJ20)</f>
        <v>0</v>
      </c>
      <c r="CM20" s="119" t="n">
        <f aca="false">CG20+COUNTIFS($CH$6:$CH$53,CH20,$CL$6:CL$53,"&gt;"&amp;CL20,$BC$6:$BC$53,INDEX(T_Equipos[Grupo],MATCH(BD20,T_Equipos[NombreEquipo],0)))</f>
        <v>1</v>
      </c>
      <c r="CN20" s="118" t="str">
        <f aca="false">IF(COUNTIFS($CM$6:$CM$53,CM20,$BC$6:$BC$53,INDEX(T_Equipos[Grupo],MATCH(BD20,T_Equipos[NombreEquipo],0)))=1,"-","P."&amp;CM20&amp;" ("&amp;COUNTIFS($CM$6:$CM$53,CM20,$BC$6:$BC$53,INDEX(T_Equipos[Grupo],MATCH(BD20,T_Equipos[NombreEquipo],0)))&amp;")")</f>
        <v>P.1 (2)</v>
      </c>
      <c r="CO20" s="119" t="n">
        <f aca="false">IF($CN20="-","-",SUMIFS(FG_GolesLocal,FGLocal,$BD20,Part2Empate5V,$CN20)+SUMIFS(FG_GolesVisitante,FGVisitante,$BD20,Part2Empate5L,$CN20))</f>
        <v>0</v>
      </c>
      <c r="CP20" s="119" t="n">
        <f aca="false">IF($CN20="-","-",SUMIFS(FG_GolesVisitante,FGLocal,$BD20,Part2Empate5V,$CN20)+SUMIFS(FG_GolesLocal,FGVisitante,$BD20,Part2Empate5L,$CN20))</f>
        <v>0</v>
      </c>
      <c r="CQ20" s="119" t="n">
        <f aca="false">IF($CN20="-","-",CO20-CP20)</f>
        <v>0</v>
      </c>
      <c r="CR20" s="119" t="n">
        <f aca="false">CM20+COUNTIFS($CN$6:$CN$53,CN20,$CQ$6:CQ$53,"&gt;"&amp;CQ20,$BC$6:$BC$53,INDEX(T_Equipos[Grupo],MATCH(BD20,T_Equipos[NombreEquipo],0)))</f>
        <v>1</v>
      </c>
      <c r="CS20" s="118" t="str">
        <f aca="false">IF(COUNTIFS($CR$6:$CR$53,CR20,$BC$6:$BC$53,INDEX(T_Equipos[Grupo],MATCH(BD20,T_Equipos[NombreEquipo],0)))=1,"-","P."&amp;CR20&amp;" ("&amp;COUNTIFS($CR$6:$CR$53,CR20,$BC$6:$BC$53,INDEX(T_Equipos[Grupo],MATCH(BD20,T_Equipos[NombreEquipo],0)))&amp;")")</f>
        <v>P.1 (2)</v>
      </c>
      <c r="CT20" s="119" t="n">
        <f aca="false">IF($CS20="-","-",SUMIFS(FG_GolesLocal,FGLocal,$BD20,Part2Empate6V,$CS20)+SUMIFS(FG_GolesVisitante,FGVisitante,$BD20,Part2Empate6L,$CS20))</f>
        <v>0</v>
      </c>
      <c r="CU20" s="119" t="n">
        <f aca="false">CR20+COUNTIFS($CS$6:$CS$53,CS20,$CT$6:CT$53,"&gt;"&amp;CT20,$BC$6:$BC$53,INDEX(T_Equipos[Grupo],MATCH(BD20,T_Equipos[NombreEquipo],0)))</f>
        <v>1</v>
      </c>
      <c r="CV20" s="118" t="str">
        <f aca="false">IF(COUNTIFS($CU$6:$CU$53,CU20,$BC$6:$BC$53,INDEX(T_Equipos[Grupo],MATCH(BD20,T_Equipos[NombreEquipo],0)))=1,"-","P."&amp;CU20&amp;" ("&amp;COUNTIFS($CU$6:$CU$53,CU20,$BC$6:$BC$53,INDEX(T_Equipos[Grupo],MATCH(BD20,T_Equipos[NombreEquipo],0)))&amp;")")</f>
        <v>P.1 (2)</v>
      </c>
      <c r="CW20" s="118" t="n">
        <f aca="false">IF(CV20="-","-",BL20)</f>
        <v>2</v>
      </c>
      <c r="CX20" s="118" t="n">
        <f aca="false">CU20+COUNTIFS($CV$6:$CV$53,CV20,$CW$6:CW$53,"&gt;"&amp;CW20,$BC$6:$BC$53,INDEX(T_Equipos[Grupo],MATCH(BD20,T_Equipos[NombreEquipo],0)))</f>
        <v>2</v>
      </c>
      <c r="CY20" s="118" t="str">
        <f aca="false">IF(COUNTIFS($CX$6:$CX$53,CX20,$BC$6:$BC$53,INDEX(T_Equipos[Grupo],MATCH(BD20,T_Equipos[NombreEquipo],0)))=1,"-","P."&amp;CX20&amp;" ("&amp;COUNTIFS($CX$6:$CX$53,CX20,$BC$6:$BC$53,INDEX(T_Equipos[Grupo],MATCH(BD20,T_Equipos[NombreEquipo],0)))&amp;")")</f>
        <v>-</v>
      </c>
      <c r="CZ20" s="118" t="str">
        <f aca="false">IF(CY20="-","-",BJ20)</f>
        <v>-</v>
      </c>
      <c r="DA20" s="119" t="n">
        <f aca="false">CX20+COUNTIFS($CY$6:$CY$53,CY20,$CZ$6:CZ$53,"&gt;"&amp;CZ20,$BC$6:$BC$53,INDEX(T_Equipos[Grupo],MATCH(BD20,T_Equipos[NombreEquipo],0)))</f>
        <v>2</v>
      </c>
      <c r="DB20" s="118" t="str">
        <f aca="false">IF(COUNTIFS($DA$6:$DA$53,DA20,$BC$6:$BC$53,INDEX(T_Equipos[Grupo],MATCH(BD20,T_Equipos[NombreEquipo],0)))=1,"-","P."&amp;DA20&amp;" ("&amp;COUNTIFS($DA$6:$DA$53,DA20,$BC$6:$BC$53,INDEX(T_Equipos[Grupo],MATCH(BD20,T_Equipos[NombreEquipo],0)))&amp;")")</f>
        <v>-</v>
      </c>
      <c r="DC20" s="116" t="str">
        <f aca="false">IF(DB20="-","-",COUNTIFS(T_Equipos[Rank],"&lt;"&amp;INDEX(T_Equipos[Rank],MATCH(BD20,T_Equipos[NombreEquipo],0)),$BC$6:$BC$53,INDEX(T_Equipos[Grupo],MATCH(BD20,T_Equipos[NombreEquipo],0)))+1)</f>
        <v>-</v>
      </c>
      <c r="DD20" s="116" t="n">
        <f aca="false">DA20+COUNTIFS($DB$6:$DB$53,DB20,$DC$6:DC$53,"&lt;"&amp;DC20,$BC$6:$BC$53,INDEX(T_Equipos[Grupo],MATCH(BD20,T_Equipos[NombreEquipo],0)))</f>
        <v>2</v>
      </c>
      <c r="DE20" s="116"/>
      <c r="DF20" s="116" t="n">
        <f aca="false">IF(OR(INDEX($AW$6:$AW$97,MATCH($BD20,$AV$6:$AV$97,0))="",DB20="-"),DD20,INDEX($AW$6:$AW$97,MATCH($BD20,$AV$6:$AV$97,0))+DD20/1000)</f>
        <v>2</v>
      </c>
      <c r="DG20" s="116" t="str">
        <f aca="false">IF(DB20="-","-",COUNTIFS(DF$6:DF$53,"&lt;"&amp;DF20,$BC$6:$BC$53,INDEX(T_Equipos[Grupo],MATCH(BD20,T_Equipos[NombreEquipo],0))))</f>
        <v>-</v>
      </c>
      <c r="DH20" s="116" t="n">
        <f aca="false">DA20+COUNTIFS(DB$6:DB$53,DB20,DG$6:DG$53,"&lt;"&amp;DG20,$BC$6:$BC$53,INDEX(T_Equipos[Grupo],MATCH(BD20,T_Equipos[NombreEquipo],0)))</f>
        <v>2</v>
      </c>
      <c r="DI20" s="55"/>
      <c r="DJ20" s="55" t="n">
        <f aca="false">INDEX($DA$6:$DA$53,MATCH($DQ20,$BD$6:$BD$53,0))</f>
        <v>3</v>
      </c>
      <c r="DK20" s="55" t="n">
        <f aca="false">+SUMIF($BC$6:$BC$53,BC20,$BF$6:$BF$53)</f>
        <v>4</v>
      </c>
      <c r="DL20" s="55" t="n">
        <f aca="false">IF(OR(DK20=12,$AJ$99=144),COUNTIFS($DJ$6:$DJ$53,DJ20,$BC$6:$BC$53,BC20),1)</f>
        <v>1</v>
      </c>
      <c r="DM20" s="120" t="str">
        <f aca="false">DJ20&amp;"."&amp;DL20</f>
        <v>3.1</v>
      </c>
      <c r="DN20" s="55" t="n">
        <f aca="true" t="array" ref="DN20:DN20">OFFSET(Horarios!$P$3,DJ20-1,0,DL20,1)</f>
        <v>3</v>
      </c>
      <c r="DO20" s="55"/>
      <c r="DP20" s="55" t="s">
        <v>94</v>
      </c>
      <c r="DQ20" s="55" t="str">
        <f aca="false">INDEX($BD$6:$BD$53,MATCH(DP20,$BM$6:$BM$53,0))</f>
        <v>Turquía</v>
      </c>
      <c r="DR20" s="55"/>
      <c r="DS20" s="55"/>
      <c r="DT20" s="55" t="str">
        <f aca="false">AA20&amp;"-"&amp;AF20</f>
        <v>Brasil-Marruecos</v>
      </c>
      <c r="DU20" s="55"/>
      <c r="DV20" s="55"/>
      <c r="DW20" s="57"/>
    </row>
    <row r="21" customFormat="false" ht="15.75" hidden="false" customHeight="true" outlineLevel="0" collapsed="false">
      <c r="A21" s="92" t="str">
        <f aca="false">+Equipos!B10</f>
        <v>Brasil</v>
      </c>
      <c r="B21" s="72"/>
      <c r="C21" s="72"/>
      <c r="D21" s="55" t="str">
        <f aca="false">IF(OR(AC21="",AD21=""),"Pendiente",IF(AC21&gt;AD21,"Local",IF(AC21&lt;AD21,"Visitante","Empate")))</f>
        <v>Visitante</v>
      </c>
      <c r="E21" s="55" t="str">
        <f aca="false">IF(D21="Pendiente","-",INDEX($BT$6:$BT$53,MATCH($AA21,$BD$6:$BD$53,0)))</f>
        <v>-</v>
      </c>
      <c r="F21" s="55" t="str">
        <f aca="false">IF(D21="Pendiente","-",INDEX($BT$6:$BT$53,MATCH($AF21,$BD$6:$BD$53,0)))</f>
        <v>-</v>
      </c>
      <c r="G21" s="55"/>
      <c r="H21" s="55" t="str">
        <f aca="false">IF(D21="Pendiente","-",INDEX($BZ$6:$BZ$53,MATCH($AA21,$BD$6:$BD$53,0)))</f>
        <v>-</v>
      </c>
      <c r="I21" s="55" t="str">
        <f aca="false">IF(D21="Pendiente","-",INDEX($BZ$6:$BZ$53,MATCH($AF21,$BD$6:$BD$53,0)))</f>
        <v>-</v>
      </c>
      <c r="J21" s="55"/>
      <c r="K21" s="55" t="str">
        <f aca="false">IF(D21="Pendiente","-",INDEX($CE$6:$CE$53,MATCH($AA21,$BD$6:$BD$53,0)))</f>
        <v>-</v>
      </c>
      <c r="L21" s="55" t="str">
        <f aca="false">IF(D21="Pendiente","-",INDEX($CE$6:$CE$53,MATCH($AF21,$BD$6:$BD$53,0)))</f>
        <v>-</v>
      </c>
      <c r="M21" s="55"/>
      <c r="N21" s="55" t="str">
        <f aca="false">IF(D21="Pendiente","-",INDEX($CH$6:$CH$53,MATCH($AA21,$BD$6:$BD$53,0)))</f>
        <v>-</v>
      </c>
      <c r="O21" s="55" t="str">
        <f aca="false">IF(D21="Pendiente","-",INDEX($CH$6:$CH$53,MATCH($AF21,$BD$6:$BD$53,0)))</f>
        <v>-</v>
      </c>
      <c r="P21" s="55"/>
      <c r="Q21" s="55" t="str">
        <f aca="false">IF(D21="Pendiente","-",INDEX($CN$6:$CN$53,MATCH($AA21,$BD$6:$BD$53,0)))</f>
        <v>-</v>
      </c>
      <c r="R21" s="55" t="str">
        <f aca="false">IF(D21="Pendiente","-",INDEX($CN$6:$CN$53,MATCH($AF21,$BD$6:$BD$53,0)))</f>
        <v>-</v>
      </c>
      <c r="S21" s="55"/>
      <c r="T21" s="55" t="str">
        <f aca="false">IF(D21="Pendiente","-",INDEX($CS$6:$CS$53,MATCH($AA21,$BD$6:$BD$53,0)))</f>
        <v>-</v>
      </c>
      <c r="U21" s="55" t="str">
        <f aca="false">IF(D21="Pendiente","-",INDEX($CS$6:$CS$53,MATCH($AF21,$BD$6:$BD$53,0)))</f>
        <v>-</v>
      </c>
      <c r="V21" s="46"/>
      <c r="W21" s="183"/>
      <c r="X21" s="74" t="n">
        <f aca="false">Horarios!C21</f>
        <v>46187.125</v>
      </c>
      <c r="Y21" s="75" t="n">
        <f aca="false">Horarios!C21</f>
        <v>46187.125</v>
      </c>
      <c r="Z21" s="76" t="str">
        <f aca="false">$Z$4</f>
        <v>J1</v>
      </c>
      <c r="AA21" s="77" t="str">
        <f aca="false">A23</f>
        <v>Haití</v>
      </c>
      <c r="AB21" s="165" t="str">
        <f aca="true" t="array" ref="AB21:AB21">Ver_flag_local</f>
        <v/>
      </c>
      <c r="AC21" s="79" t="n">
        <v>0</v>
      </c>
      <c r="AD21" s="80" t="n">
        <v>1</v>
      </c>
      <c r="AE21" s="81" t="str">
        <f aca="true" t="array" ref="AE21:AE21">Ver_flag_visit</f>
        <v/>
      </c>
      <c r="AF21" s="82" t="str">
        <f aca="false">A24</f>
        <v>Escocia</v>
      </c>
      <c r="AG21" s="83" t="n">
        <f aca="false">IF(NOT(OR(ISBLANK(AC21),ISBLANK(AD21))),1,0)</f>
        <v>1</v>
      </c>
      <c r="AH21" s="84" t="n">
        <v>5</v>
      </c>
      <c r="AI21" s="85"/>
      <c r="AJ21" s="93" t="str">
        <f aca="false">AJ5</f>
        <v>Pos</v>
      </c>
      <c r="AK21" s="94"/>
      <c r="AL21" s="95" t="str">
        <f aca="false">AL5</f>
        <v>Selección</v>
      </c>
      <c r="AM21" s="94" t="str">
        <f aca="false">AM5</f>
        <v>Pts</v>
      </c>
      <c r="AN21" s="94" t="str">
        <f aca="false">AN5</f>
        <v>J</v>
      </c>
      <c r="AO21" s="94" t="str">
        <f aca="false">AO5</f>
        <v>G</v>
      </c>
      <c r="AP21" s="94" t="str">
        <f aca="false">AP5</f>
        <v>E</v>
      </c>
      <c r="AQ21" s="94" t="str">
        <f aca="false">AQ5</f>
        <v>P</v>
      </c>
      <c r="AR21" s="94" t="str">
        <f aca="false">AR5</f>
        <v>GF</v>
      </c>
      <c r="AS21" s="94" t="str">
        <f aca="false">AS5</f>
        <v>GC</v>
      </c>
      <c r="AT21" s="96" t="str">
        <f aca="false">AT5</f>
        <v>DG</v>
      </c>
      <c r="AU21" s="161" t="n">
        <f aca="false">COUNTIF(AU22:AU25,"&gt;1")</f>
        <v>0</v>
      </c>
      <c r="AV21" s="97"/>
      <c r="AW21" s="97"/>
      <c r="AX21" s="168"/>
      <c r="AY21" s="98" t="str">
        <f aca="false">AL21</f>
        <v>Selección</v>
      </c>
      <c r="AZ21" s="99" t="str">
        <f aca="false">+Idiomas!$D$69</f>
        <v>Puntos penalizados</v>
      </c>
      <c r="BA21" s="49"/>
      <c r="BB21" s="55"/>
      <c r="BC21" s="116" t="str">
        <f aca="false">+INDEX(T_Equipos[Grupo],MATCH(WORLDCUP!BD21,T_Equipos[NombreEquipo],0))</f>
        <v>D</v>
      </c>
      <c r="BD21" s="55" t="str">
        <f aca="false">+Equipos!B17</f>
        <v>Turquía</v>
      </c>
      <c r="BE21" s="117" t="n">
        <f aca="false">+BG21*3+BH21+IF($AZ$3="no",0,INDEX($AZ$6:$AZ$97,MATCH(BD21,$AY$6:$AY$97,0)))</f>
        <v>0</v>
      </c>
      <c r="BF21" s="117" t="n">
        <f aca="false">+BG21+BH21+BI21</f>
        <v>1</v>
      </c>
      <c r="BG21" s="117" t="n">
        <f aca="false">+COUNTIFS(FGLocal,BD21,Ganador,"Local")+COUNTIFS(FGVisitante,BD21,Ganador,"Visitante")</f>
        <v>0</v>
      </c>
      <c r="BH21" s="117" t="n">
        <f aca="false">+COUNTIFS(FGLocal,BD21,Ganador,"Empate")+COUNTIFS(FGVisitante,BD21,Ganador,"Empate")</f>
        <v>0</v>
      </c>
      <c r="BI21" s="117" t="n">
        <f aca="false">+COUNTIFS(FGVisitante,BD21,Ganador,"Local")+COUNTIFS(FGLocal,BD21,Ganador,"Visitante")</f>
        <v>1</v>
      </c>
      <c r="BJ21" s="117" t="n">
        <f aca="false">+SUMIFS(FG_GolesLocal,FGLocal,BD21,Ganador,"&lt;&gt;"&amp;"Pendiente",FG_GolesLocal,"&lt;&gt;"&amp;"",FG_GolesVisitante,"&lt;&gt;"&amp;"")+SUMIFS(FG_GolesVisitante,FGVisitante,BD21,Ganador,"&lt;&gt;"&amp;"Pendiente",FG_GolesLocal,"&lt;&gt;"&amp;"",FG_GolesVisitante,"&lt;&gt;"&amp;"")</f>
        <v>0</v>
      </c>
      <c r="BK21" s="117" t="n">
        <f aca="false">+SUMIFS(FG_GolesLocal,FGVisitante,BD21,Ganador,"&lt;&gt;"&amp;"Pendiente",FG_GolesLocal,"&lt;&gt;"&amp;"",FG_GolesVisitante,"&lt;&gt;"&amp;"")+SUMIFS(FG_GolesVisitante,FGLocal,BD21,Ganador,"&lt;&gt;"&amp;"Pendiente",FG_GolesLocal,"&lt;&gt;"&amp;"",FG_GolesVisitante,"&lt;&gt;"&amp;"")</f>
        <v>2</v>
      </c>
      <c r="BL21" s="117" t="n">
        <f aca="false">+BJ21-BK21</f>
        <v>-2</v>
      </c>
      <c r="BM21" s="117" t="str">
        <f aca="false">DD21&amp;BC21</f>
        <v>3D</v>
      </c>
      <c r="BN21" s="117" t="str">
        <f aca="false">DH21&amp;BC21</f>
        <v>3D</v>
      </c>
      <c r="BO21" s="119" t="n">
        <f aca="false">IF(AND($AJ$99=144,BF21&gt;=1),1,0)</f>
        <v>0</v>
      </c>
      <c r="BP21" s="118" t="n">
        <f aca="false">COUNTIFS($BO$6:$BO$53,"&gt;"&amp;BO21,$BC$6:$BC$53,INDEX(T_Equipos[Grupo],MATCH(BD21,T_Equipos[NombreEquipo],0)))+1</f>
        <v>1</v>
      </c>
      <c r="BQ21" s="118" t="str">
        <f aca="false">IF(COUNTIFS($BP$6:$BP$53,BP21,$BC$6:$BC$53,INDEX(T_Equipos[Grupo],MATCH(BD21,T_Equipos[NombreEquipo],0)))=1,"-","P."&amp;BP21&amp;" ("&amp;COUNTIFS($BP$6:$BP$53,BP21,$BC$6:$BC$53,INDEX(T_Equipos[Grupo],MATCH(BD21,T_Equipos[NombreEquipo],0)))&amp;")")</f>
        <v>P.1 (4)</v>
      </c>
      <c r="BR21" s="119" t="n">
        <f aca="false">IF($BQ21="-","-",BE21)</f>
        <v>0</v>
      </c>
      <c r="BS21" s="118" t="n">
        <f aca="false">BP21+COUNTIFS($BQ$6:$BQ$53,BQ21,$BR$6:BR$53,"&gt;"&amp;BR21,$BC$6:$BC$53,INDEX(T_Equipos[Grupo],MATCH(BD21,T_Equipos[NombreEquipo],0)))</f>
        <v>3</v>
      </c>
      <c r="BT21" s="118" t="str">
        <f aca="false">IF(COUNTIFS($BS$6:$BS$53,BS21,$BC$6:$BC$53,INDEX(T_Equipos[Grupo],MATCH(BD21,T_Equipos[NombreEquipo],0)))=1,"-","P."&amp;BS21&amp;" ("&amp;COUNTIFS($BS$6:$BS$53,BS21,$BC$6:$BC$53,INDEX(T_Equipos[Grupo],MATCH(BD21,T_Equipos[NombreEquipo],0)))&amp;")")</f>
        <v>P.3 (2)</v>
      </c>
      <c r="BU21" s="119" t="n">
        <f aca="false">IF($BT21="-","-",COUNTIFS(FGLocal,$BD21,Ganador,"Local",Part1Empate1V,$BT21)+COUNTIFS(FGVisitante,$BD21,Ganador,"Visitante",Part1Empate1L,$BT21))</f>
        <v>0</v>
      </c>
      <c r="BV21" s="119" t="n">
        <f aca="false">IF($BT21="-","-",COUNTIFS(FGLocal,$BD21,Ganador,"Empate",Part1Empate1V,$BT21)+COUNTIFS(FGVisitante,$BD21,Ganador,"Empate",Part1Empate1L,$BT21))</f>
        <v>0</v>
      </c>
      <c r="BW21" s="119" t="n">
        <f aca="false">IF($BT21="-","-",COUNTIFS(FGLocal,$BD21,Ganador,"Visitante",Part1Empate1V,$BT21)+COUNTIFS(FGVisitante,$BD21,Ganador,"Local",Part1Empate1L,$BT21))</f>
        <v>0</v>
      </c>
      <c r="BX21" s="119" t="n">
        <f aca="false">IF($BT21="-","-",BU21*3+BV21)</f>
        <v>0</v>
      </c>
      <c r="BY21" s="119" t="n">
        <f aca="false">BS21+COUNTIFS($BT$6:$BT$53,BT21,$BX$6:BX$53,"&gt;"&amp;BX21,$BC$6:$BC$53,INDEX(T_Equipos[Grupo],MATCH(BD21,T_Equipos[NombreEquipo],0)))</f>
        <v>3</v>
      </c>
      <c r="BZ21" s="118" t="str">
        <f aca="false">IF(COUNTIFS($BY$6:$BY$53,BY21,$BC$6:$BC$53,INDEX(T_Equipos[Grupo],MATCH(BD21,T_Equipos[NombreEquipo],0)))=1,"-","P."&amp;BY21&amp;" ("&amp;COUNTIFS($BY$6:$BY$53,BY21,$BC$6:$BC$53,INDEX(T_Equipos[Grupo],MATCH(BD21,T_Equipos[NombreEquipo],0)))&amp;")")</f>
        <v>P.3 (2)</v>
      </c>
      <c r="CA21" s="119" t="n">
        <f aca="false">IF($BZ21="-","-",SUMIFS(FG_GolesLocal,FGLocal,$BD21,Part1Empate2V,$BZ21)+SUMIFS(FG_GolesVisitante,FGVisitante,$BD21,Part1Empate2L,$BZ21))</f>
        <v>0</v>
      </c>
      <c r="CB21" s="119" t="n">
        <f aca="false">IF($BZ21="-","-",SUMIFS(FG_GolesVisitante,FGLocal,$BD21,Part1Empate2V,$BZ21)+SUMIFS(FG_GolesLocal,FGVisitante,$BD21,Part1Empate2L,$BZ21))</f>
        <v>0</v>
      </c>
      <c r="CC21" s="119" t="n">
        <f aca="false">IF($BZ21="-","-",CA21-CB21)</f>
        <v>0</v>
      </c>
      <c r="CD21" s="119" t="n">
        <f aca="false">BY21+COUNTIFS($BZ$6:$BZ$53,BZ21,$CC$6:CC$53,"&gt;"&amp;CC21,$BC$6:$BC$53,INDEX(T_Equipos[Grupo],MATCH(BD21,T_Equipos[NombreEquipo],0)))</f>
        <v>3</v>
      </c>
      <c r="CE21" s="118" t="str">
        <f aca="false">IF(COUNTIFS($CD$6:$CD$53,CD21,$BC$6:$BC$53,INDEX(T_Equipos[Grupo],MATCH(BD21,T_Equipos[NombreEquipo],0)))=1,"-","P."&amp;CD21&amp;" ("&amp;COUNTIFS($CD$6:$CD$53,CD21,$BC$6:$BC$53,INDEX(T_Equipos[Grupo],MATCH(BD21,T_Equipos[NombreEquipo],0)))&amp;")")</f>
        <v>P.3 (2)</v>
      </c>
      <c r="CF21" s="119" t="n">
        <f aca="false">IF($CE21="-","-",SUMIFS(FG_GolesLocal,FGLocal,$BD21,Part1Empate3V,$CE21)+SUMIFS(FG_GolesVisitante,FGVisitante,$BD21,Part1Empate3L,$CE21))</f>
        <v>0</v>
      </c>
      <c r="CG21" s="119" t="n">
        <f aca="false">CD21+COUNTIFS($CE$6:$CE$53,CE21,$CF$6:CF$53,"&gt;"&amp;CF21,$BC$6:$BC$53,INDEX(T_Equipos[Grupo],MATCH(BD21,T_Equipos[NombreEquipo],0)))</f>
        <v>3</v>
      </c>
      <c r="CH21" s="118" t="str">
        <f aca="false">IF(COUNTIFS($CG$6:$CG$53,CG21,$BC$6:$BC$53,INDEX(T_Equipos[Grupo],MATCH(BD21,T_Equipos[NombreEquipo],0)))=1,"-","P."&amp;CG21&amp;" ("&amp;COUNTIFS($CG$6:$CG$53,CG21,$BC$6:$BC$53,INDEX(T_Equipos[Grupo],MATCH(BD21,T_Equipos[NombreEquipo],0)))&amp;")")</f>
        <v>P.3 (2)</v>
      </c>
      <c r="CI21" s="119" t="n">
        <f aca="false">IF($CH21="-","-",COUNTIFS(FGLocal,$BD21,Ganador,"Local",Part2Empate4V,$CH21)+COUNTIFS(FGVisitante,$BD21,Ganador,"Visitante",Part2Empate4L,$CH21))</f>
        <v>0</v>
      </c>
      <c r="CJ21" s="119" t="n">
        <f aca="false">IF($CH21="-","-",COUNTIFS(FGLocal,$BD21,Ganador,"Empate",Part2Empate4V,$CH21)+COUNTIFS(FGVisitante,$BD21,Ganador,"Empate",Part2Empate4L,$CH21))</f>
        <v>0</v>
      </c>
      <c r="CK21" s="119" t="n">
        <f aca="false">IF($CH21="-","-",COUNTIFS(FGLocal,$BD21,Ganador,"Visitante",Part2Empate4V,$CH21)+COUNTIFS(FGVisitante,$BD21,Ganador,"Local",Part2Empate4L,$CH21))</f>
        <v>0</v>
      </c>
      <c r="CL21" s="119" t="n">
        <f aca="false">IF($CH21="-","-",CI21*3+CJ21)</f>
        <v>0</v>
      </c>
      <c r="CM21" s="119" t="n">
        <f aca="false">CG21+COUNTIFS($CH$6:$CH$53,CH21,$CL$6:CL$53,"&gt;"&amp;CL21,$BC$6:$BC$53,INDEX(T_Equipos[Grupo],MATCH(BD21,T_Equipos[NombreEquipo],0)))</f>
        <v>3</v>
      </c>
      <c r="CN21" s="118" t="str">
        <f aca="false">IF(COUNTIFS($CM$6:$CM$53,CM21,$BC$6:$BC$53,INDEX(T_Equipos[Grupo],MATCH(BD21,T_Equipos[NombreEquipo],0)))=1,"-","P."&amp;CM21&amp;" ("&amp;COUNTIFS($CM$6:$CM$53,CM21,$BC$6:$BC$53,INDEX(T_Equipos[Grupo],MATCH(BD21,T_Equipos[NombreEquipo],0)))&amp;")")</f>
        <v>P.3 (2)</v>
      </c>
      <c r="CO21" s="119" t="n">
        <f aca="false">IF($CN21="-","-",SUMIFS(FG_GolesLocal,FGLocal,$BD21,Part2Empate5V,$CN21)+SUMIFS(FG_GolesVisitante,FGVisitante,$BD21,Part2Empate5L,$CN21))</f>
        <v>0</v>
      </c>
      <c r="CP21" s="119" t="n">
        <f aca="false">IF($CN21="-","-",SUMIFS(FG_GolesVisitante,FGLocal,$BD21,Part2Empate5V,$CN21)+SUMIFS(FG_GolesLocal,FGVisitante,$BD21,Part2Empate5L,$CN21))</f>
        <v>0</v>
      </c>
      <c r="CQ21" s="119" t="n">
        <f aca="false">IF($CN21="-","-",CO21-CP21)</f>
        <v>0</v>
      </c>
      <c r="CR21" s="119" t="n">
        <f aca="false">CM21+COUNTIFS($CN$6:$CN$53,CN21,$CQ$6:CQ$53,"&gt;"&amp;CQ21,$BC$6:$BC$53,INDEX(T_Equipos[Grupo],MATCH(BD21,T_Equipos[NombreEquipo],0)))</f>
        <v>3</v>
      </c>
      <c r="CS21" s="118" t="str">
        <f aca="false">IF(COUNTIFS($CR$6:$CR$53,CR21,$BC$6:$BC$53,INDEX(T_Equipos[Grupo],MATCH(BD21,T_Equipos[NombreEquipo],0)))=1,"-","P."&amp;CR21&amp;" ("&amp;COUNTIFS($CR$6:$CR$53,CR21,$BC$6:$BC$53,INDEX(T_Equipos[Grupo],MATCH(BD21,T_Equipos[NombreEquipo],0)))&amp;")")</f>
        <v>P.3 (2)</v>
      </c>
      <c r="CT21" s="119" t="n">
        <f aca="false">IF($CS21="-","-",SUMIFS(FG_GolesLocal,FGLocal,$BD21,Part2Empate6V,$CS21)+SUMIFS(FG_GolesVisitante,FGVisitante,$BD21,Part2Empate6L,$CS21))</f>
        <v>0</v>
      </c>
      <c r="CU21" s="119" t="n">
        <f aca="false">CR21+COUNTIFS($CS$6:$CS$53,CS21,$CT$6:CT$53,"&gt;"&amp;CT21,$BC$6:$BC$53,INDEX(T_Equipos[Grupo],MATCH(BD21,T_Equipos[NombreEquipo],0)))</f>
        <v>3</v>
      </c>
      <c r="CV21" s="118" t="str">
        <f aca="false">IF(COUNTIFS($CU$6:$CU$53,CU21,$BC$6:$BC$53,INDEX(T_Equipos[Grupo],MATCH(BD21,T_Equipos[NombreEquipo],0)))=1,"-","P."&amp;CU21&amp;" ("&amp;COUNTIFS($CU$6:$CU$53,CU21,$BC$6:$BC$53,INDEX(T_Equipos[Grupo],MATCH(BD21,T_Equipos[NombreEquipo],0)))&amp;")")</f>
        <v>P.3 (2)</v>
      </c>
      <c r="CW21" s="118" t="n">
        <f aca="false">IF(CV21="-","-",BL21)</f>
        <v>-2</v>
      </c>
      <c r="CX21" s="118" t="n">
        <f aca="false">CU21+COUNTIFS($CV$6:$CV$53,CV21,$CW$6:CW$53,"&gt;"&amp;CW21,$BC$6:$BC$53,INDEX(T_Equipos[Grupo],MATCH(BD21,T_Equipos[NombreEquipo],0)))</f>
        <v>3</v>
      </c>
      <c r="CY21" s="118" t="str">
        <f aca="false">IF(COUNTIFS($CX$6:$CX$53,CX21,$BC$6:$BC$53,INDEX(T_Equipos[Grupo],MATCH(BD21,T_Equipos[NombreEquipo],0)))=1,"-","P."&amp;CX21&amp;" ("&amp;COUNTIFS($CX$6:$CX$53,CX21,$BC$6:$BC$53,INDEX(T_Equipos[Grupo],MATCH(BD21,T_Equipos[NombreEquipo],0)))&amp;")")</f>
        <v>-</v>
      </c>
      <c r="CZ21" s="118" t="str">
        <f aca="false">IF(CY21="-","-",BJ21)</f>
        <v>-</v>
      </c>
      <c r="DA21" s="119" t="n">
        <f aca="false">CX21+COUNTIFS($CY$6:$CY$53,CY21,$CZ$6:CZ$53,"&gt;"&amp;CZ21,$BC$6:$BC$53,INDEX(T_Equipos[Grupo],MATCH(BD21,T_Equipos[NombreEquipo],0)))</f>
        <v>3</v>
      </c>
      <c r="DB21" s="118" t="str">
        <f aca="false">IF(COUNTIFS($DA$6:$DA$53,DA21,$BC$6:$BC$53,INDEX(T_Equipos[Grupo],MATCH(BD21,T_Equipos[NombreEquipo],0)))=1,"-","P."&amp;DA21&amp;" ("&amp;COUNTIFS($DA$6:$DA$53,DA21,$BC$6:$BC$53,INDEX(T_Equipos[Grupo],MATCH(BD21,T_Equipos[NombreEquipo],0)))&amp;")")</f>
        <v>-</v>
      </c>
      <c r="DC21" s="116" t="str">
        <f aca="false">IF(DB21="-","-",COUNTIFS(T_Equipos[Rank],"&lt;"&amp;INDEX(T_Equipos[Rank],MATCH(BD21,T_Equipos[NombreEquipo],0)),$BC$6:$BC$53,INDEX(T_Equipos[Grupo],MATCH(BD21,T_Equipos[NombreEquipo],0)))+1)</f>
        <v>-</v>
      </c>
      <c r="DD21" s="116" t="n">
        <f aca="false">DA21+COUNTIFS($DB$6:$DB$53,DB21,$DC$6:DC$53,"&lt;"&amp;DC21,$BC$6:$BC$53,INDEX(T_Equipos[Grupo],MATCH(BD21,T_Equipos[NombreEquipo],0)))</f>
        <v>3</v>
      </c>
      <c r="DE21" s="116"/>
      <c r="DF21" s="116" t="n">
        <f aca="false">IF(OR(INDEX($AW$6:$AW$97,MATCH($BD21,$AV$6:$AV$97,0))="",DB21="-"),DD21,INDEX($AW$6:$AW$97,MATCH($BD21,$AV$6:$AV$97,0))+DD21/1000)</f>
        <v>3</v>
      </c>
      <c r="DG21" s="116" t="str">
        <f aca="false">IF(DB21="-","-",COUNTIFS(DF$6:DF$53,"&lt;"&amp;DF21,$BC$6:$BC$53,INDEX(T_Equipos[Grupo],MATCH(BD21,T_Equipos[NombreEquipo],0))))</f>
        <v>-</v>
      </c>
      <c r="DH21" s="116" t="n">
        <f aca="false">DA21+COUNTIFS(DB$6:DB$53,DB21,DG$6:DG$53,"&lt;"&amp;DG21,$BC$6:$BC$53,INDEX(T_Equipos[Grupo],MATCH(BD21,T_Equipos[NombreEquipo],0)))</f>
        <v>3</v>
      </c>
      <c r="DI21" s="55"/>
      <c r="DJ21" s="55" t="n">
        <f aca="false">INDEX($DA$6:$DA$53,MATCH($DQ21,$BD$6:$BD$53,0))</f>
        <v>4</v>
      </c>
      <c r="DK21" s="55" t="n">
        <f aca="false">+SUMIF($BC$6:$BC$53,BC21,$BF$6:$BF$53)</f>
        <v>4</v>
      </c>
      <c r="DL21" s="55" t="n">
        <f aca="false">IF(OR(DK21=12,$AJ$99=144),COUNTIFS($DJ$6:$DJ$53,DJ21,$BC$6:$BC$53,BC21),1)</f>
        <v>1</v>
      </c>
      <c r="DM21" s="120" t="str">
        <f aca="false">DJ21&amp;"."&amp;DL21</f>
        <v>4.1</v>
      </c>
      <c r="DN21" s="55" t="n">
        <f aca="true" t="array" ref="DN21:DN21">OFFSET(Horarios!$P$3,DJ21-1,0,DL21,1)</f>
        <v>4</v>
      </c>
      <c r="DO21" s="55"/>
      <c r="DP21" s="55" t="s">
        <v>95</v>
      </c>
      <c r="DQ21" s="55" t="str">
        <f aca="false">INDEX($BD$6:$BD$53,MATCH(DP21,$BM$6:$BM$53,0))</f>
        <v>Paraguay</v>
      </c>
      <c r="DR21" s="55"/>
      <c r="DS21" s="55"/>
      <c r="DT21" s="55" t="str">
        <f aca="false">AA21&amp;"-"&amp;AF21</f>
        <v>Haití-Escocia</v>
      </c>
      <c r="DU21" s="55"/>
      <c r="DV21" s="55"/>
      <c r="DW21" s="57"/>
    </row>
    <row r="22" customFormat="false" ht="15.75" hidden="false" customHeight="true" outlineLevel="0" collapsed="false">
      <c r="A22" s="92" t="str">
        <f aca="false">+Equipos!B11</f>
        <v>Marruecos</v>
      </c>
      <c r="B22" s="72"/>
      <c r="C22" s="103"/>
      <c r="D22" s="55" t="str">
        <f aca="false">IF(OR(AC22="",AD22=""),"Pendiente",IF(AC22&gt;AD22,"Local",IF(AC22&lt;AD22,"Visitante","Empate")))</f>
        <v>Pendiente</v>
      </c>
      <c r="E22" s="55" t="str">
        <f aca="false">IF(D22="Pendiente","-",INDEX($BT$6:$BT$53,MATCH($AA22,$BD$6:$BD$53,0)))</f>
        <v>-</v>
      </c>
      <c r="F22" s="55" t="str">
        <f aca="false">IF(D22="Pendiente","-",INDEX($BT$6:$BT$53,MATCH($AF22,$BD$6:$BD$53,0)))</f>
        <v>-</v>
      </c>
      <c r="G22" s="55"/>
      <c r="H22" s="55" t="str">
        <f aca="false">IF(D22="Pendiente","-",INDEX($BZ$6:$BZ$53,MATCH($AA22,$BD$6:$BD$53,0)))</f>
        <v>-</v>
      </c>
      <c r="I22" s="55" t="str">
        <f aca="false">IF(D22="Pendiente","-",INDEX($BZ$6:$BZ$53,MATCH($AF22,$BD$6:$BD$53,0)))</f>
        <v>-</v>
      </c>
      <c r="J22" s="55"/>
      <c r="K22" s="55" t="str">
        <f aca="false">IF(D22="Pendiente","-",INDEX($CE$6:$CE$53,MATCH($AA22,$BD$6:$BD$53,0)))</f>
        <v>-</v>
      </c>
      <c r="L22" s="55" t="str">
        <f aca="false">IF(D22="Pendiente","-",INDEX($CE$6:$CE$53,MATCH($AF22,$BD$6:$BD$53,0)))</f>
        <v>-</v>
      </c>
      <c r="M22" s="55"/>
      <c r="N22" s="55" t="str">
        <f aca="false">IF(D22="Pendiente","-",INDEX($CH$6:$CH$53,MATCH($AA22,$BD$6:$BD$53,0)))</f>
        <v>-</v>
      </c>
      <c r="O22" s="55" t="str">
        <f aca="false">IF(D22="Pendiente","-",INDEX($CH$6:$CH$53,MATCH($AF22,$BD$6:$BD$53,0)))</f>
        <v>-</v>
      </c>
      <c r="P22" s="55"/>
      <c r="Q22" s="55" t="str">
        <f aca="false">IF(D22="Pendiente","-",INDEX($CN$6:$CN$53,MATCH($AA22,$BD$6:$BD$53,0)))</f>
        <v>-</v>
      </c>
      <c r="R22" s="55" t="str">
        <f aca="false">IF(D22="Pendiente","-",INDEX($CN$6:$CN$53,MATCH($AF22,$BD$6:$BD$53,0)))</f>
        <v>-</v>
      </c>
      <c r="S22" s="55"/>
      <c r="T22" s="55" t="str">
        <f aca="false">IF(D22="Pendiente","-",INDEX($CS$6:$CS$53,MATCH($AA22,$BD$6:$BD$53,0)))</f>
        <v>-</v>
      </c>
      <c r="U22" s="55" t="str">
        <f aca="false">IF(D22="Pendiente","-",INDEX($CS$6:$CS$53,MATCH($AF22,$BD$6:$BD$53,0)))</f>
        <v>-</v>
      </c>
      <c r="V22" s="46"/>
      <c r="W22" s="183"/>
      <c r="X22" s="74" t="n">
        <f aca="false">Horarios!C22</f>
        <v>46193</v>
      </c>
      <c r="Y22" s="75" t="n">
        <f aca="false">Horarios!C22</f>
        <v>46193</v>
      </c>
      <c r="Z22" s="76" t="str">
        <f aca="false">$Z$6</f>
        <v>J2</v>
      </c>
      <c r="AA22" s="77" t="str">
        <f aca="false">A24</f>
        <v>Escocia</v>
      </c>
      <c r="AB22" s="165" t="str">
        <f aca="true" t="array" ref="AB22:AB22">Ver_flag_local</f>
        <v/>
      </c>
      <c r="AC22" s="79"/>
      <c r="AD22" s="80"/>
      <c r="AE22" s="81" t="str">
        <f aca="true" t="array" ref="AE22:AE22">Ver_flag_visit</f>
        <v/>
      </c>
      <c r="AF22" s="82" t="str">
        <f aca="false">A22</f>
        <v>Marruecos</v>
      </c>
      <c r="AG22" s="83" t="n">
        <f aca="false">IF(NOT(OR(ISBLANK(AC22),ISBLANK(AD22))),1,0)</f>
        <v>0</v>
      </c>
      <c r="AH22" s="84" t="n">
        <v>30</v>
      </c>
      <c r="AI22" s="85" t="str">
        <f aca="false">AJ22&amp;$B$20</f>
        <v>1C</v>
      </c>
      <c r="AJ22" s="104" t="n">
        <v>1</v>
      </c>
      <c r="AK22" s="170" t="str">
        <f aca="true" t="array" ref="AK22:AK22">Ver_flag_visit</f>
        <v/>
      </c>
      <c r="AL22" s="106" t="str">
        <f aca="false">IFERROR(INDEX($BD$6:$BD$53,MATCH(AI22,$BN$6:$BN$53,0)),"")</f>
        <v>Escocia</v>
      </c>
      <c r="AM22" s="107" t="n">
        <f aca="false">INDEX($BE$6:$BN$53,MATCH($AL22,$BD$6:$BD$53,0),MATCH(AM$5,$BE$5:$BN$5,0))</f>
        <v>3</v>
      </c>
      <c r="AN22" s="108" t="n">
        <f aca="false">INDEX($BE$6:$BN$53,MATCH($AL22,$BD$6:$BD$53,0),MATCH(AN$5,$BE$5:$BN$5,0))</f>
        <v>1</v>
      </c>
      <c r="AO22" s="108" t="n">
        <f aca="false">INDEX($BE$6:$BN$53,MATCH($AL22,$BD$6:$BD$53,0),MATCH(AO$5,$BE$5:$BN$5,0))</f>
        <v>1</v>
      </c>
      <c r="AP22" s="108" t="n">
        <f aca="false">INDEX($BE$6:$BN$53,MATCH($AL22,$BD$6:$BD$53,0),MATCH(AP$5,$BE$5:$BN$5,0))</f>
        <v>0</v>
      </c>
      <c r="AQ22" s="108" t="n">
        <f aca="false">INDEX($BE$6:$BN$53,MATCH($AL22,$BD$6:$BD$53,0),MATCH(AQ$5,$BE$5:$BN$5,0))</f>
        <v>0</v>
      </c>
      <c r="AR22" s="108" t="n">
        <f aca="false">INDEX($BE$6:$BN$53,MATCH($AL22,$BD$6:$BD$53,0),MATCH(AR$5,$BE$5:$BN$5,0))</f>
        <v>1</v>
      </c>
      <c r="AS22" s="108" t="n">
        <f aca="false">INDEX($BE$6:$BN$53,MATCH($AL22,$BD$6:$BD$53,0),MATCH(AS$5,$BE$5:$BN$5,0))</f>
        <v>0</v>
      </c>
      <c r="AT22" s="109" t="n">
        <f aca="false">INDEX($BE$6:$BN$53,MATCH($AL22,$BD$6:$BD$53,0),MATCH(AT$5,$BE$5:$BN$5,0))</f>
        <v>1</v>
      </c>
      <c r="AU22" s="110" t="n">
        <f aca="false">INDEX($DL$6:$DL$53,MATCH(AI22,$DP$6:$DP$53,0))</f>
        <v>1</v>
      </c>
      <c r="AV22" s="111" t="str">
        <f aca="false">INDEX($BD$6:$BD$53,MATCH(AI22,$BM$6:$BM$53,0))</f>
        <v>Escocia</v>
      </c>
      <c r="AW22" s="112"/>
      <c r="AX22" s="113"/>
      <c r="AY22" s="114" t="str">
        <f aca="false">+A21</f>
        <v>Brasil</v>
      </c>
      <c r="AZ22" s="115"/>
      <c r="BA22" s="49"/>
      <c r="BB22" s="55"/>
      <c r="BC22" s="116" t="str">
        <f aca="false">+INDEX(T_Equipos[Grupo],MATCH(WORLDCUP!BD22,T_Equipos[NombreEquipo],0))</f>
        <v>E</v>
      </c>
      <c r="BD22" s="55" t="str">
        <f aca="false">+Equipos!B18</f>
        <v>Alemania</v>
      </c>
      <c r="BE22" s="117" t="n">
        <f aca="false">+BG22*3+BH22+IF($AZ$3="no",0,INDEX($AZ$6:$AZ$97,MATCH(BD22,$AY$6:$AY$97,0)))</f>
        <v>3</v>
      </c>
      <c r="BF22" s="117" t="n">
        <f aca="false">+BG22+BH22+BI22</f>
        <v>1</v>
      </c>
      <c r="BG22" s="117" t="n">
        <f aca="false">+COUNTIFS(FGLocal,BD22,Ganador,"Local")+COUNTIFS(FGVisitante,BD22,Ganador,"Visitante")</f>
        <v>1</v>
      </c>
      <c r="BH22" s="117" t="n">
        <f aca="false">+COUNTIFS(FGLocal,BD22,Ganador,"Empate")+COUNTIFS(FGVisitante,BD22,Ganador,"Empate")</f>
        <v>0</v>
      </c>
      <c r="BI22" s="117" t="n">
        <f aca="false">+COUNTIFS(FGVisitante,BD22,Ganador,"Local")+COUNTIFS(FGLocal,BD22,Ganador,"Visitante")</f>
        <v>0</v>
      </c>
      <c r="BJ22" s="117" t="n">
        <f aca="false">+SUMIFS(FG_GolesLocal,FGLocal,BD22,Ganador,"&lt;&gt;"&amp;"Pendiente",FG_GolesLocal,"&lt;&gt;"&amp;"",FG_GolesVisitante,"&lt;&gt;"&amp;"")+SUMIFS(FG_GolesVisitante,FGVisitante,BD22,Ganador,"&lt;&gt;"&amp;"Pendiente",FG_GolesLocal,"&lt;&gt;"&amp;"",FG_GolesVisitante,"&lt;&gt;"&amp;"")</f>
        <v>7</v>
      </c>
      <c r="BK22" s="117" t="n">
        <f aca="false">+SUMIFS(FG_GolesLocal,FGVisitante,BD22,Ganador,"&lt;&gt;"&amp;"Pendiente",FG_GolesLocal,"&lt;&gt;"&amp;"",FG_GolesVisitante,"&lt;&gt;"&amp;"")+SUMIFS(FG_GolesVisitante,FGLocal,BD22,Ganador,"&lt;&gt;"&amp;"Pendiente",FG_GolesLocal,"&lt;&gt;"&amp;"",FG_GolesVisitante,"&lt;&gt;"&amp;"")</f>
        <v>1</v>
      </c>
      <c r="BL22" s="117" t="n">
        <f aca="false">+BJ22-BK22</f>
        <v>6</v>
      </c>
      <c r="BM22" s="117" t="str">
        <f aca="false">DD22&amp;BC22</f>
        <v>1E</v>
      </c>
      <c r="BN22" s="117" t="str">
        <f aca="false">DH22&amp;BC22</f>
        <v>1E</v>
      </c>
      <c r="BO22" s="118" t="n">
        <f aca="false">IF(AND($AJ$99=144,BF22&gt;=1),1,0)</f>
        <v>0</v>
      </c>
      <c r="BP22" s="118" t="n">
        <f aca="false">COUNTIFS($BO$6:$BO$53,"&gt;"&amp;BO22,$BC$6:$BC$53,INDEX(T_Equipos[Grupo],MATCH(BD22,T_Equipos[NombreEquipo],0)))+1</f>
        <v>1</v>
      </c>
      <c r="BQ22" s="118" t="str">
        <f aca="false">IF(COUNTIFS($BP$6:$BP$53,BP22,$BC$6:$BC$53,INDEX(T_Equipos[Grupo],MATCH(BD22,T_Equipos[NombreEquipo],0)))=1,"-","P."&amp;BP22&amp;" ("&amp;COUNTIFS($BP$6:$BP$53,BP22,$BC$6:$BC$53,INDEX(T_Equipos[Grupo],MATCH(BD22,T_Equipos[NombreEquipo],0)))&amp;")")</f>
        <v>P.1 (4)</v>
      </c>
      <c r="BR22" s="118" t="n">
        <f aca="false">IF($BQ22="-","-",BE22)</f>
        <v>3</v>
      </c>
      <c r="BS22" s="118" t="n">
        <f aca="false">BP22+COUNTIFS($BQ$6:$BQ$53,BQ22,$BR$6:BR$53,"&gt;"&amp;BR22,$BC$6:$BC$53,INDEX(T_Equipos[Grupo],MATCH(BD22,T_Equipos[NombreEquipo],0)))</f>
        <v>1</v>
      </c>
      <c r="BT22" s="118" t="str">
        <f aca="false">IF(COUNTIFS($BS$6:$BS$53,BS22,$BC$6:$BC$53,INDEX(T_Equipos[Grupo],MATCH(BD22,T_Equipos[NombreEquipo],0)))=1,"-","P."&amp;BS22&amp;" ("&amp;COUNTIFS($BS$6:$BS$53,BS22,$BC$6:$BC$53,INDEX(T_Equipos[Grupo],MATCH(BD22,T_Equipos[NombreEquipo],0)))&amp;")")</f>
        <v>P.1 (2)</v>
      </c>
      <c r="BU22" s="119" t="n">
        <f aca="false">IF($BT22="-","-",COUNTIFS(FGLocal,$BD22,Ganador,"Local",Part1Empate1V,$BT22)+COUNTIFS(FGVisitante,$BD22,Ganador,"Visitante",Part1Empate1L,$BT22))</f>
        <v>0</v>
      </c>
      <c r="BV22" s="119" t="n">
        <f aca="false">IF($BT22="-","-",COUNTIFS(FGLocal,$BD22,Ganador,"Empate",Part1Empate1V,$BT22)+COUNTIFS(FGVisitante,$BD22,Ganador,"Empate",Part1Empate1L,$BT22))</f>
        <v>0</v>
      </c>
      <c r="BW22" s="119" t="n">
        <f aca="false">IF($BT22="-","-",COUNTIFS(FGLocal,$BD22,Ganador,"Visitante",Part1Empate1V,$BT22)+COUNTIFS(FGVisitante,$BD22,Ganador,"Local",Part1Empate1L,$BT22))</f>
        <v>0</v>
      </c>
      <c r="BX22" s="119" t="n">
        <f aca="false">IF($BT22="-","-",BU22*3+BV22)</f>
        <v>0</v>
      </c>
      <c r="BY22" s="119" t="n">
        <f aca="false">BS22+COUNTIFS($BT$6:$BT$53,BT22,$BX$6:BX$53,"&gt;"&amp;BX22,$BC$6:$BC$53,INDEX(T_Equipos[Grupo],MATCH(BD22,T_Equipos[NombreEquipo],0)))</f>
        <v>1</v>
      </c>
      <c r="BZ22" s="118" t="str">
        <f aca="false">IF(COUNTIFS($BY$6:$BY$53,BY22,$BC$6:$BC$53,INDEX(T_Equipos[Grupo],MATCH(BD22,T_Equipos[NombreEquipo],0)))=1,"-","P."&amp;BY22&amp;" ("&amp;COUNTIFS($BY$6:$BY$53,BY22,$BC$6:$BC$53,INDEX(T_Equipos[Grupo],MATCH(BD22,T_Equipos[NombreEquipo],0)))&amp;")")</f>
        <v>P.1 (2)</v>
      </c>
      <c r="CA22" s="119" t="n">
        <f aca="false">IF($BZ22="-","-",SUMIFS(FG_GolesLocal,FGLocal,$BD22,Part1Empate2V,$BZ22)+SUMIFS(FG_GolesVisitante,FGVisitante,$BD22,Part1Empate2L,$BZ22))</f>
        <v>0</v>
      </c>
      <c r="CB22" s="119" t="n">
        <f aca="false">IF($BZ22="-","-",SUMIFS(FG_GolesVisitante,FGLocal,$BD22,Part1Empate2V,$BZ22)+SUMIFS(FG_GolesLocal,FGVisitante,$BD22,Part1Empate2L,$BZ22))</f>
        <v>0</v>
      </c>
      <c r="CC22" s="119" t="n">
        <f aca="false">IF($BZ22="-","-",CA22-CB22)</f>
        <v>0</v>
      </c>
      <c r="CD22" s="119" t="n">
        <f aca="false">BY22+COUNTIFS($BZ$6:$BZ$53,BZ22,$CC$6:CC$53,"&gt;"&amp;CC22,$BC$6:$BC$53,INDEX(T_Equipos[Grupo],MATCH(BD22,T_Equipos[NombreEquipo],0)))</f>
        <v>1</v>
      </c>
      <c r="CE22" s="118" t="str">
        <f aca="false">IF(COUNTIFS($CD$6:$CD$53,CD22,$BC$6:$BC$53,INDEX(T_Equipos[Grupo],MATCH(BD22,T_Equipos[NombreEquipo],0)))=1,"-","P."&amp;CD22&amp;" ("&amp;COUNTIFS($CD$6:$CD$53,CD22,$BC$6:$BC$53,INDEX(T_Equipos[Grupo],MATCH(BD22,T_Equipos[NombreEquipo],0)))&amp;")")</f>
        <v>P.1 (2)</v>
      </c>
      <c r="CF22" s="119" t="n">
        <f aca="false">IF($CE22="-","-",SUMIFS(FG_GolesLocal,FGLocal,$BD22,Part1Empate3V,$CE22)+SUMIFS(FG_GolesVisitante,FGVisitante,$BD22,Part1Empate3L,$CE22))</f>
        <v>0</v>
      </c>
      <c r="CG22" s="119" t="n">
        <f aca="false">CD22+COUNTIFS($CE$6:$CE$53,CE22,$CF$6:CF$53,"&gt;"&amp;CF22,$BC$6:$BC$53,INDEX(T_Equipos[Grupo],MATCH(BD22,T_Equipos[NombreEquipo],0)))</f>
        <v>1</v>
      </c>
      <c r="CH22" s="118" t="str">
        <f aca="false">IF(COUNTIFS($CG$6:$CG$53,CG22,$BC$6:$BC$53,INDEX(T_Equipos[Grupo],MATCH(BD22,T_Equipos[NombreEquipo],0)))=1,"-","P."&amp;CG22&amp;" ("&amp;COUNTIFS($CG$6:$CG$53,CG22,$BC$6:$BC$53,INDEX(T_Equipos[Grupo],MATCH(BD22,T_Equipos[NombreEquipo],0)))&amp;")")</f>
        <v>P.1 (2)</v>
      </c>
      <c r="CI22" s="119" t="n">
        <f aca="false">IF($CH22="-","-",COUNTIFS(FGLocal,$BD22,Ganador,"Local",Part2Empate4V,$CH22)+COUNTIFS(FGVisitante,$BD22,Ganador,"Visitante",Part2Empate4L,$CH22))</f>
        <v>0</v>
      </c>
      <c r="CJ22" s="119" t="n">
        <f aca="false">IF($CH22="-","-",COUNTIFS(FGLocal,$BD22,Ganador,"Empate",Part2Empate4V,$CH22)+COUNTIFS(FGVisitante,$BD22,Ganador,"Empate",Part2Empate4L,$CH22))</f>
        <v>0</v>
      </c>
      <c r="CK22" s="119" t="n">
        <f aca="false">IF($CH22="-","-",COUNTIFS(FGLocal,$BD22,Ganador,"Visitante",Part2Empate4V,$CH22)+COUNTIFS(FGVisitante,$BD22,Ganador,"Local",Part2Empate4L,$CH22))</f>
        <v>0</v>
      </c>
      <c r="CL22" s="119" t="n">
        <f aca="false">IF($CH22="-","-",CI22*3+CJ22)</f>
        <v>0</v>
      </c>
      <c r="CM22" s="119" t="n">
        <f aca="false">CG22+COUNTIFS($CH$6:$CH$53,CH22,$CL$6:CL$53,"&gt;"&amp;CL22,$BC$6:$BC$53,INDEX(T_Equipos[Grupo],MATCH(BD22,T_Equipos[NombreEquipo],0)))</f>
        <v>1</v>
      </c>
      <c r="CN22" s="118" t="str">
        <f aca="false">IF(COUNTIFS($CM$6:$CM$53,CM22,$BC$6:$BC$53,INDEX(T_Equipos[Grupo],MATCH(BD22,T_Equipos[NombreEquipo],0)))=1,"-","P."&amp;CM22&amp;" ("&amp;COUNTIFS($CM$6:$CM$53,CM22,$BC$6:$BC$53,INDEX(T_Equipos[Grupo],MATCH(BD22,T_Equipos[NombreEquipo],0)))&amp;")")</f>
        <v>P.1 (2)</v>
      </c>
      <c r="CO22" s="119" t="n">
        <f aca="false">IF($CN22="-","-",SUMIFS(FG_GolesLocal,FGLocal,$BD22,Part2Empate5V,$CN22)+SUMIFS(FG_GolesVisitante,FGVisitante,$BD22,Part2Empate5L,$CN22))</f>
        <v>0</v>
      </c>
      <c r="CP22" s="119" t="n">
        <f aca="false">IF($CN22="-","-",SUMIFS(FG_GolesVisitante,FGLocal,$BD22,Part2Empate5V,$CN22)+SUMIFS(FG_GolesLocal,FGVisitante,$BD22,Part2Empate5L,$CN22))</f>
        <v>0</v>
      </c>
      <c r="CQ22" s="119" t="n">
        <f aca="false">IF($CN22="-","-",CO22-CP22)</f>
        <v>0</v>
      </c>
      <c r="CR22" s="119" t="n">
        <f aca="false">CM22+COUNTIFS($CN$6:$CN$53,CN22,$CQ$6:CQ$53,"&gt;"&amp;CQ22,$BC$6:$BC$53,INDEX(T_Equipos[Grupo],MATCH(BD22,T_Equipos[NombreEquipo],0)))</f>
        <v>1</v>
      </c>
      <c r="CS22" s="118" t="str">
        <f aca="false">IF(COUNTIFS($CR$6:$CR$53,CR22,$BC$6:$BC$53,INDEX(T_Equipos[Grupo],MATCH(BD22,T_Equipos[NombreEquipo],0)))=1,"-","P."&amp;CR22&amp;" ("&amp;COUNTIFS($CR$6:$CR$53,CR22,$BC$6:$BC$53,INDEX(T_Equipos[Grupo],MATCH(BD22,T_Equipos[NombreEquipo],0)))&amp;")")</f>
        <v>P.1 (2)</v>
      </c>
      <c r="CT22" s="119" t="n">
        <f aca="false">IF($CS22="-","-",SUMIFS(FG_GolesLocal,FGLocal,$BD22,Part2Empate6V,$CS22)+SUMIFS(FG_GolesVisitante,FGVisitante,$BD22,Part2Empate6L,$CS22))</f>
        <v>0</v>
      </c>
      <c r="CU22" s="119" t="n">
        <f aca="false">CR22+COUNTIFS($CS$6:$CS$53,CS22,$CT$6:CT$53,"&gt;"&amp;CT22,$BC$6:$BC$53,INDEX(T_Equipos[Grupo],MATCH(BD22,T_Equipos[NombreEquipo],0)))</f>
        <v>1</v>
      </c>
      <c r="CV22" s="118" t="str">
        <f aca="false">IF(COUNTIFS($CU$6:$CU$53,CU22,$BC$6:$BC$53,INDEX(T_Equipos[Grupo],MATCH(BD22,T_Equipos[NombreEquipo],0)))=1,"-","P."&amp;CU22&amp;" ("&amp;COUNTIFS($CU$6:$CU$53,CU22,$BC$6:$BC$53,INDEX(T_Equipos[Grupo],MATCH(BD22,T_Equipos[NombreEquipo],0)))&amp;")")</f>
        <v>P.1 (2)</v>
      </c>
      <c r="CW22" s="118" t="n">
        <f aca="false">IF(CV22="-","-",BL22)</f>
        <v>6</v>
      </c>
      <c r="CX22" s="118" t="n">
        <f aca="false">CU22+COUNTIFS($CV$6:$CV$53,CV22,$CW$6:CW$53,"&gt;"&amp;CW22,$BC$6:$BC$53,INDEX(T_Equipos[Grupo],MATCH(BD22,T_Equipos[NombreEquipo],0)))</f>
        <v>1</v>
      </c>
      <c r="CY22" s="118" t="str">
        <f aca="false">IF(COUNTIFS($CX$6:$CX$53,CX22,$BC$6:$BC$53,INDEX(T_Equipos[Grupo],MATCH(BD22,T_Equipos[NombreEquipo],0)))=1,"-","P."&amp;CX22&amp;" ("&amp;COUNTIFS($CX$6:$CX$53,CX22,$BC$6:$BC$53,INDEX(T_Equipos[Grupo],MATCH(BD22,T_Equipos[NombreEquipo],0)))&amp;")")</f>
        <v>-</v>
      </c>
      <c r="CZ22" s="118" t="str">
        <f aca="false">IF(CY22="-","-",BJ22)</f>
        <v>-</v>
      </c>
      <c r="DA22" s="119" t="n">
        <f aca="false">CX22+COUNTIFS($CY$6:$CY$53,CY22,$CZ$6:CZ$53,"&gt;"&amp;CZ22,$BC$6:$BC$53,INDEX(T_Equipos[Grupo],MATCH(BD22,T_Equipos[NombreEquipo],0)))</f>
        <v>1</v>
      </c>
      <c r="DB22" s="118" t="str">
        <f aca="false">IF(COUNTIFS($DA$6:$DA$53,DA22,$BC$6:$BC$53,INDEX(T_Equipos[Grupo],MATCH(BD22,T_Equipos[NombreEquipo],0)))=1,"-","P."&amp;DA22&amp;" ("&amp;COUNTIFS($DA$6:$DA$53,DA22,$BC$6:$BC$53,INDEX(T_Equipos[Grupo],MATCH(BD22,T_Equipos[NombreEquipo],0)))&amp;")")</f>
        <v>-</v>
      </c>
      <c r="DC22" s="116" t="str">
        <f aca="false">IF(DB22="-","-",COUNTIFS(T_Equipos[Rank],"&lt;"&amp;INDEX(T_Equipos[Rank],MATCH(BD22,T_Equipos[NombreEquipo],0)),$BC$6:$BC$53,INDEX(T_Equipos[Grupo],MATCH(BD22,T_Equipos[NombreEquipo],0)))+1)</f>
        <v>-</v>
      </c>
      <c r="DD22" s="116" t="n">
        <f aca="false">DA22+COUNTIFS($DB$6:$DB$53,DB22,$DC$6:DC$53,"&lt;"&amp;DC22,$BC$6:$BC$53,INDEX(T_Equipos[Grupo],MATCH(BD22,T_Equipos[NombreEquipo],0)))</f>
        <v>1</v>
      </c>
      <c r="DE22" s="116"/>
      <c r="DF22" s="116" t="n">
        <f aca="false">IF(OR(INDEX($AW$6:$AW$97,MATCH($BD22,$AV$6:$AV$97,0))="",DB22="-"),DD22,INDEX($AW$6:$AW$97,MATCH($BD22,$AV$6:$AV$97,0))+DD22/1000)</f>
        <v>1</v>
      </c>
      <c r="DG22" s="116" t="str">
        <f aca="false">IF(DB22="-","-",COUNTIFS(DF$6:DF$53,"&lt;"&amp;DF22,$BC$6:$BC$53,INDEX(T_Equipos[Grupo],MATCH(BD22,T_Equipos[NombreEquipo],0))))</f>
        <v>-</v>
      </c>
      <c r="DH22" s="116" t="n">
        <f aca="false">DA22+COUNTIFS(DB$6:DB$53,DB22,DG$6:DG$53,"&lt;"&amp;DG22,$BC$6:$BC$53,INDEX(T_Equipos[Grupo],MATCH(BD22,T_Equipos[NombreEquipo],0)))</f>
        <v>1</v>
      </c>
      <c r="DI22" s="55"/>
      <c r="DJ22" s="55" t="n">
        <f aca="false">INDEX($DA$6:$DA$53,MATCH($DQ22,$BD$6:$BD$53,0))</f>
        <v>1</v>
      </c>
      <c r="DK22" s="55" t="n">
        <f aca="false">+SUMIF($BC$6:$BC$53,BC22,$BF$6:$BF$53)</f>
        <v>4</v>
      </c>
      <c r="DL22" s="55" t="n">
        <f aca="false">IF(OR(DK22=12,$AJ$99=144),COUNTIFS($DJ$6:$DJ$53,DJ22,$BC$6:$BC$53,BC22),1)</f>
        <v>1</v>
      </c>
      <c r="DM22" s="120" t="str">
        <f aca="false">DJ22&amp;"."&amp;DL22</f>
        <v>1.1</v>
      </c>
      <c r="DN22" s="55" t="n">
        <f aca="true" t="array" ref="DN22:DN22">OFFSET(Horarios!$P$3,DJ22-1,0,DL22,1)</f>
        <v>1</v>
      </c>
      <c r="DO22" s="55"/>
      <c r="DP22" s="55" t="s">
        <v>96</v>
      </c>
      <c r="DQ22" s="55" t="str">
        <f aca="false">INDEX($BD$6:$BD$53,MATCH(DP22,$BM$6:$BM$53,0))</f>
        <v>Alemania</v>
      </c>
      <c r="DR22" s="55"/>
      <c r="DS22" s="55"/>
      <c r="DT22" s="55" t="str">
        <f aca="false">AA22&amp;"-"&amp;AF22</f>
        <v>Escocia-Marruecos</v>
      </c>
      <c r="DU22" s="55"/>
      <c r="DV22" s="55"/>
      <c r="DW22" s="57"/>
    </row>
    <row r="23" customFormat="false" ht="15.75" hidden="false" customHeight="true" outlineLevel="0" collapsed="false">
      <c r="A23" s="92" t="str">
        <f aca="false">+Equipos!B12</f>
        <v>Haití</v>
      </c>
      <c r="B23" s="72"/>
      <c r="C23" s="55"/>
      <c r="D23" s="55" t="str">
        <f aca="false">IF(OR(AC23="",AD23=""),"Pendiente",IF(AC23&gt;AD23,"Local",IF(AC23&lt;AD23,"Visitante","Empate")))</f>
        <v>Pendiente</v>
      </c>
      <c r="E23" s="55" t="str">
        <f aca="false">IF(D23="Pendiente","-",INDEX($BT$6:$BT$53,MATCH($AA23,$BD$6:$BD$53,0)))</f>
        <v>-</v>
      </c>
      <c r="F23" s="55" t="str">
        <f aca="false">IF(D23="Pendiente","-",INDEX($BT$6:$BT$53,MATCH($AF23,$BD$6:$BD$53,0)))</f>
        <v>-</v>
      </c>
      <c r="G23" s="55"/>
      <c r="H23" s="55" t="str">
        <f aca="false">IF(D23="Pendiente","-",INDEX($BZ$6:$BZ$53,MATCH($AA23,$BD$6:$BD$53,0)))</f>
        <v>-</v>
      </c>
      <c r="I23" s="55" t="str">
        <f aca="false">IF(D23="Pendiente","-",INDEX($BZ$6:$BZ$53,MATCH($AF23,$BD$6:$BD$53,0)))</f>
        <v>-</v>
      </c>
      <c r="J23" s="55"/>
      <c r="K23" s="55" t="str">
        <f aca="false">IF(D23="Pendiente","-",INDEX($CE$6:$CE$53,MATCH($AA23,$BD$6:$BD$53,0)))</f>
        <v>-</v>
      </c>
      <c r="L23" s="55" t="str">
        <f aca="false">IF(D23="Pendiente","-",INDEX($CE$6:$CE$53,MATCH($AF23,$BD$6:$BD$53,0)))</f>
        <v>-</v>
      </c>
      <c r="M23" s="55"/>
      <c r="N23" s="55" t="str">
        <f aca="false">IF(D23="Pendiente","-",INDEX($CH$6:$CH$53,MATCH($AA23,$BD$6:$BD$53,0)))</f>
        <v>-</v>
      </c>
      <c r="O23" s="55" t="str">
        <f aca="false">IF(D23="Pendiente","-",INDEX($CH$6:$CH$53,MATCH($AF23,$BD$6:$BD$53,0)))</f>
        <v>-</v>
      </c>
      <c r="P23" s="55"/>
      <c r="Q23" s="55" t="str">
        <f aca="false">IF(D23="Pendiente","-",INDEX($CN$6:$CN$53,MATCH($AA23,$BD$6:$BD$53,0)))</f>
        <v>-</v>
      </c>
      <c r="R23" s="55" t="str">
        <f aca="false">IF(D23="Pendiente","-",INDEX($CN$6:$CN$53,MATCH($AF23,$BD$6:$BD$53,0)))</f>
        <v>-</v>
      </c>
      <c r="S23" s="55"/>
      <c r="T23" s="55" t="str">
        <f aca="false">IF(D23="Pendiente","-",INDEX($CS$6:$CS$53,MATCH($AA23,$BD$6:$BD$53,0)))</f>
        <v>-</v>
      </c>
      <c r="U23" s="55" t="str">
        <f aca="false">IF(D23="Pendiente","-",INDEX($CS$6:$CS$53,MATCH($AF23,$BD$6:$BD$53,0)))</f>
        <v>-</v>
      </c>
      <c r="V23" s="46"/>
      <c r="W23" s="183"/>
      <c r="X23" s="74" t="n">
        <f aca="false">Horarios!C23</f>
        <v>46193.1041666667</v>
      </c>
      <c r="Y23" s="75" t="n">
        <f aca="false">Horarios!C23</f>
        <v>46193.1041666667</v>
      </c>
      <c r="Z23" s="76" t="str">
        <f aca="false">$Z$6</f>
        <v>J2</v>
      </c>
      <c r="AA23" s="77" t="str">
        <f aca="false">A21</f>
        <v>Brasil</v>
      </c>
      <c r="AB23" s="165" t="str">
        <f aca="true" t="array" ref="AB23:AB23">Ver_flag_local</f>
        <v/>
      </c>
      <c r="AC23" s="79"/>
      <c r="AD23" s="80"/>
      <c r="AE23" s="81" t="str">
        <f aca="true" t="array" ref="AE23:AE23">Ver_flag_visit</f>
        <v/>
      </c>
      <c r="AF23" s="82" t="str">
        <f aca="false">A23</f>
        <v>Haití</v>
      </c>
      <c r="AG23" s="83" t="n">
        <f aca="false">IF(NOT(OR(ISBLANK(AC23),ISBLANK(AD23))),1,0)</f>
        <v>0</v>
      </c>
      <c r="AH23" s="84" t="n">
        <v>29</v>
      </c>
      <c r="AI23" s="85" t="str">
        <f aca="false">AJ23&amp;$B$20</f>
        <v>2C</v>
      </c>
      <c r="AJ23" s="121" t="n">
        <v>2</v>
      </c>
      <c r="AK23" s="173" t="str">
        <f aca="true" t="array" ref="AK23:AK23">Ver_flag_visit</f>
        <v/>
      </c>
      <c r="AL23" s="123" t="str">
        <f aca="false">IFERROR(INDEX($BD$6:$BD$53,MATCH(AI23,$BN$6:$BN$53,0)),"")</f>
        <v>Brasil</v>
      </c>
      <c r="AM23" s="124" t="n">
        <f aca="false">INDEX($BE$6:$BN$53,MATCH($AL23,$BD$6:$BD$53,0),MATCH(AM$5,$BE$5:$BN$5,0))</f>
        <v>1</v>
      </c>
      <c r="AN23" s="125" t="n">
        <f aca="false">INDEX($BE$6:$BN$53,MATCH($AL23,$BD$6:$BD$53,0),MATCH(AN$5,$BE$5:$BN$5,0))</f>
        <v>1</v>
      </c>
      <c r="AO23" s="125" t="n">
        <f aca="false">INDEX($BE$6:$BN$53,MATCH($AL23,$BD$6:$BD$53,0),MATCH(AO$5,$BE$5:$BN$5,0))</f>
        <v>0</v>
      </c>
      <c r="AP23" s="125" t="n">
        <f aca="false">INDEX($BE$6:$BN$53,MATCH($AL23,$BD$6:$BD$53,0),MATCH(AP$5,$BE$5:$BN$5,0))</f>
        <v>1</v>
      </c>
      <c r="AQ23" s="125" t="n">
        <f aca="false">INDEX($BE$6:$BN$53,MATCH($AL23,$BD$6:$BD$53,0),MATCH(AQ$5,$BE$5:$BN$5,0))</f>
        <v>0</v>
      </c>
      <c r="AR23" s="125" t="n">
        <f aca="false">INDEX($BE$6:$BN$53,MATCH($AL23,$BD$6:$BD$53,0),MATCH(AR$5,$BE$5:$BN$5,0))</f>
        <v>1</v>
      </c>
      <c r="AS23" s="125" t="n">
        <f aca="false">INDEX($BE$6:$BN$53,MATCH($AL23,$BD$6:$BD$53,0),MATCH(AS$5,$BE$5:$BN$5,0))</f>
        <v>1</v>
      </c>
      <c r="AT23" s="126" t="n">
        <f aca="false">INDEX($BE$6:$BN$53,MATCH($AL23,$BD$6:$BD$53,0),MATCH(AT$5,$BE$5:$BN$5,0))</f>
        <v>0</v>
      </c>
      <c r="AU23" s="110" t="n">
        <f aca="false">INDEX($DL$6:$DL$53,MATCH(AI23,$DP$6:$DP$53,0))</f>
        <v>1</v>
      </c>
      <c r="AV23" s="111" t="str">
        <f aca="false">INDEX($BD$6:$BD$53,MATCH(AI23,$BM$6:$BM$53,0))</f>
        <v>Brasil</v>
      </c>
      <c r="AW23" s="112"/>
      <c r="AX23" s="113"/>
      <c r="AY23" s="127" t="str">
        <f aca="false">+A22</f>
        <v>Marruecos</v>
      </c>
      <c r="AZ23" s="128"/>
      <c r="BA23" s="49"/>
      <c r="BB23" s="55"/>
      <c r="BC23" s="116" t="str">
        <f aca="false">+INDEX(T_Equipos[Grupo],MATCH(WORLDCUP!BD23,T_Equipos[NombreEquipo],0))</f>
        <v>E</v>
      </c>
      <c r="BD23" s="55" t="str">
        <f aca="false">+Equipos!B19</f>
        <v>Curazao</v>
      </c>
      <c r="BE23" s="117" t="n">
        <f aca="false">+BG23*3+BH23+IF($AZ$3="no",0,INDEX($AZ$6:$AZ$97,MATCH(BD23,$AY$6:$AY$97,0)))</f>
        <v>0</v>
      </c>
      <c r="BF23" s="117" t="n">
        <f aca="false">+BG23+BH23+BI23</f>
        <v>1</v>
      </c>
      <c r="BG23" s="117" t="n">
        <f aca="false">+COUNTIFS(FGLocal,BD23,Ganador,"Local")+COUNTIFS(FGVisitante,BD23,Ganador,"Visitante")</f>
        <v>0</v>
      </c>
      <c r="BH23" s="117" t="n">
        <f aca="false">+COUNTIFS(FGLocal,BD23,Ganador,"Empate")+COUNTIFS(FGVisitante,BD23,Ganador,"Empate")</f>
        <v>0</v>
      </c>
      <c r="BI23" s="117" t="n">
        <f aca="false">+COUNTIFS(FGVisitante,BD23,Ganador,"Local")+COUNTIFS(FGLocal,BD23,Ganador,"Visitante")</f>
        <v>1</v>
      </c>
      <c r="BJ23" s="117" t="n">
        <f aca="false">+SUMIFS(FG_GolesLocal,FGLocal,BD23,Ganador,"&lt;&gt;"&amp;"Pendiente",FG_GolesLocal,"&lt;&gt;"&amp;"",FG_GolesVisitante,"&lt;&gt;"&amp;"")+SUMIFS(FG_GolesVisitante,FGVisitante,BD23,Ganador,"&lt;&gt;"&amp;"Pendiente",FG_GolesLocal,"&lt;&gt;"&amp;"",FG_GolesVisitante,"&lt;&gt;"&amp;"")</f>
        <v>1</v>
      </c>
      <c r="BK23" s="117" t="n">
        <f aca="false">+SUMIFS(FG_GolesLocal,FGVisitante,BD23,Ganador,"&lt;&gt;"&amp;"Pendiente",FG_GolesLocal,"&lt;&gt;"&amp;"",FG_GolesVisitante,"&lt;&gt;"&amp;"")+SUMIFS(FG_GolesVisitante,FGLocal,BD23,Ganador,"&lt;&gt;"&amp;"Pendiente",FG_GolesLocal,"&lt;&gt;"&amp;"",FG_GolesVisitante,"&lt;&gt;"&amp;"")</f>
        <v>7</v>
      </c>
      <c r="BL23" s="117" t="n">
        <f aca="false">+BJ23-BK23</f>
        <v>-6</v>
      </c>
      <c r="BM23" s="117" t="str">
        <f aca="false">DD23&amp;BC23</f>
        <v>4E</v>
      </c>
      <c r="BN23" s="117" t="str">
        <f aca="false">DH23&amp;BC23</f>
        <v>4E</v>
      </c>
      <c r="BO23" s="118" t="n">
        <f aca="false">IF(AND($AJ$99=144,BF23&gt;=1),1,0)</f>
        <v>0</v>
      </c>
      <c r="BP23" s="118" t="n">
        <f aca="false">COUNTIFS($BO$6:$BO$53,"&gt;"&amp;BO23,$BC$6:$BC$53,INDEX(T_Equipos[Grupo],MATCH(BD23,T_Equipos[NombreEquipo],0)))+1</f>
        <v>1</v>
      </c>
      <c r="BQ23" s="118" t="str">
        <f aca="false">IF(COUNTIFS($BP$6:$BP$53,BP23,$BC$6:$BC$53,INDEX(T_Equipos[Grupo],MATCH(BD23,T_Equipos[NombreEquipo],0)))=1,"-","P."&amp;BP23&amp;" ("&amp;COUNTIFS($BP$6:$BP$53,BP23,$BC$6:$BC$53,INDEX(T_Equipos[Grupo],MATCH(BD23,T_Equipos[NombreEquipo],0)))&amp;")")</f>
        <v>P.1 (4)</v>
      </c>
      <c r="BR23" s="118" t="n">
        <f aca="false">IF($BQ23="-","-",BE23)</f>
        <v>0</v>
      </c>
      <c r="BS23" s="118" t="n">
        <f aca="false">BP23+COUNTIFS($BQ$6:$BQ$53,BQ23,$BR$6:BR$53,"&gt;"&amp;BR23,$BC$6:$BC$53,INDEX(T_Equipos[Grupo],MATCH(BD23,T_Equipos[NombreEquipo],0)))</f>
        <v>3</v>
      </c>
      <c r="BT23" s="118" t="str">
        <f aca="false">IF(COUNTIFS($BS$6:$BS$53,BS23,$BC$6:$BC$53,INDEX(T_Equipos[Grupo],MATCH(BD23,T_Equipos[NombreEquipo],0)))=1,"-","P."&amp;BS23&amp;" ("&amp;COUNTIFS($BS$6:$BS$53,BS23,$BC$6:$BC$53,INDEX(T_Equipos[Grupo],MATCH(BD23,T_Equipos[NombreEquipo],0)))&amp;")")</f>
        <v>P.3 (2)</v>
      </c>
      <c r="BU23" s="119" t="n">
        <f aca="false">IF($BT23="-","-",COUNTIFS(FGLocal,$BD23,Ganador,"Local",Part1Empate1V,$BT23)+COUNTIFS(FGVisitante,$BD23,Ganador,"Visitante",Part1Empate1L,$BT23))</f>
        <v>0</v>
      </c>
      <c r="BV23" s="119" t="n">
        <f aca="false">IF($BT23="-","-",COUNTIFS(FGLocal,$BD23,Ganador,"Empate",Part1Empate1V,$BT23)+COUNTIFS(FGVisitante,$BD23,Ganador,"Empate",Part1Empate1L,$BT23))</f>
        <v>0</v>
      </c>
      <c r="BW23" s="119" t="n">
        <f aca="false">IF($BT23="-","-",COUNTIFS(FGLocal,$BD23,Ganador,"Visitante",Part1Empate1V,$BT23)+COUNTIFS(FGVisitante,$BD23,Ganador,"Local",Part1Empate1L,$BT23))</f>
        <v>0</v>
      </c>
      <c r="BX23" s="119" t="n">
        <f aca="false">IF($BT23="-","-",BU23*3+BV23)</f>
        <v>0</v>
      </c>
      <c r="BY23" s="119" t="n">
        <f aca="false">BS23+COUNTIFS($BT$6:$BT$53,BT23,$BX$6:BX$53,"&gt;"&amp;BX23,$BC$6:$BC$53,INDEX(T_Equipos[Grupo],MATCH(BD23,T_Equipos[NombreEquipo],0)))</f>
        <v>3</v>
      </c>
      <c r="BZ23" s="118" t="str">
        <f aca="false">IF(COUNTIFS($BY$6:$BY$53,BY23,$BC$6:$BC$53,INDEX(T_Equipos[Grupo],MATCH(BD23,T_Equipos[NombreEquipo],0)))=1,"-","P."&amp;BY23&amp;" ("&amp;COUNTIFS($BY$6:$BY$53,BY23,$BC$6:$BC$53,INDEX(T_Equipos[Grupo],MATCH(BD23,T_Equipos[NombreEquipo],0)))&amp;")")</f>
        <v>P.3 (2)</v>
      </c>
      <c r="CA23" s="119" t="n">
        <f aca="false">IF($BZ23="-","-",SUMIFS(FG_GolesLocal,FGLocal,$BD23,Part1Empate2V,$BZ23)+SUMIFS(FG_GolesVisitante,FGVisitante,$BD23,Part1Empate2L,$BZ23))</f>
        <v>0</v>
      </c>
      <c r="CB23" s="119" t="n">
        <f aca="false">IF($BZ23="-","-",SUMIFS(FG_GolesVisitante,FGLocal,$BD23,Part1Empate2V,$BZ23)+SUMIFS(FG_GolesLocal,FGVisitante,$BD23,Part1Empate2L,$BZ23))</f>
        <v>0</v>
      </c>
      <c r="CC23" s="119" t="n">
        <f aca="false">IF($BZ23="-","-",CA23-CB23)</f>
        <v>0</v>
      </c>
      <c r="CD23" s="119" t="n">
        <f aca="false">BY23+COUNTIFS($BZ$6:$BZ$53,BZ23,$CC$6:CC$53,"&gt;"&amp;CC23,$BC$6:$BC$53,INDEX(T_Equipos[Grupo],MATCH(BD23,T_Equipos[NombreEquipo],0)))</f>
        <v>3</v>
      </c>
      <c r="CE23" s="118" t="str">
        <f aca="false">IF(COUNTIFS($CD$6:$CD$53,CD23,$BC$6:$BC$53,INDEX(T_Equipos[Grupo],MATCH(BD23,T_Equipos[NombreEquipo],0)))=1,"-","P."&amp;CD23&amp;" ("&amp;COUNTIFS($CD$6:$CD$53,CD23,$BC$6:$BC$53,INDEX(T_Equipos[Grupo],MATCH(BD23,T_Equipos[NombreEquipo],0)))&amp;")")</f>
        <v>P.3 (2)</v>
      </c>
      <c r="CF23" s="119" t="n">
        <f aca="false">IF($CE23="-","-",SUMIFS(FG_GolesLocal,FGLocal,$BD23,Part1Empate3V,$CE23)+SUMIFS(FG_GolesVisitante,FGVisitante,$BD23,Part1Empate3L,$CE23))</f>
        <v>0</v>
      </c>
      <c r="CG23" s="119" t="n">
        <f aca="false">CD23+COUNTIFS($CE$6:$CE$53,CE23,$CF$6:CF$53,"&gt;"&amp;CF23,$BC$6:$BC$53,INDEX(T_Equipos[Grupo],MATCH(BD23,T_Equipos[NombreEquipo],0)))</f>
        <v>3</v>
      </c>
      <c r="CH23" s="118" t="str">
        <f aca="false">IF(COUNTIFS($CG$6:$CG$53,CG23,$BC$6:$BC$53,INDEX(T_Equipos[Grupo],MATCH(BD23,T_Equipos[NombreEquipo],0)))=1,"-","P."&amp;CG23&amp;" ("&amp;COUNTIFS($CG$6:$CG$53,CG23,$BC$6:$BC$53,INDEX(T_Equipos[Grupo],MATCH(BD23,T_Equipos[NombreEquipo],0)))&amp;")")</f>
        <v>P.3 (2)</v>
      </c>
      <c r="CI23" s="119" t="n">
        <f aca="false">IF($CH23="-","-",COUNTIFS(FGLocal,$BD23,Ganador,"Local",Part2Empate4V,$CH23)+COUNTIFS(FGVisitante,$BD23,Ganador,"Visitante",Part2Empate4L,$CH23))</f>
        <v>0</v>
      </c>
      <c r="CJ23" s="119" t="n">
        <f aca="false">IF($CH23="-","-",COUNTIFS(FGLocal,$BD23,Ganador,"Empate",Part2Empate4V,$CH23)+COUNTIFS(FGVisitante,$BD23,Ganador,"Empate",Part2Empate4L,$CH23))</f>
        <v>0</v>
      </c>
      <c r="CK23" s="119" t="n">
        <f aca="false">IF($CH23="-","-",COUNTIFS(FGLocal,$BD23,Ganador,"Visitante",Part2Empate4V,$CH23)+COUNTIFS(FGVisitante,$BD23,Ganador,"Local",Part2Empate4L,$CH23))</f>
        <v>0</v>
      </c>
      <c r="CL23" s="119" t="n">
        <f aca="false">IF($CH23="-","-",CI23*3+CJ23)</f>
        <v>0</v>
      </c>
      <c r="CM23" s="119" t="n">
        <f aca="false">CG23+COUNTIFS($CH$6:$CH$53,CH23,$CL$6:CL$53,"&gt;"&amp;CL23,$BC$6:$BC$53,INDEX(T_Equipos[Grupo],MATCH(BD23,T_Equipos[NombreEquipo],0)))</f>
        <v>3</v>
      </c>
      <c r="CN23" s="118" t="str">
        <f aca="false">IF(COUNTIFS($CM$6:$CM$53,CM23,$BC$6:$BC$53,INDEX(T_Equipos[Grupo],MATCH(BD23,T_Equipos[NombreEquipo],0)))=1,"-","P."&amp;CM23&amp;" ("&amp;COUNTIFS($CM$6:$CM$53,CM23,$BC$6:$BC$53,INDEX(T_Equipos[Grupo],MATCH(BD23,T_Equipos[NombreEquipo],0)))&amp;")")</f>
        <v>P.3 (2)</v>
      </c>
      <c r="CO23" s="119" t="n">
        <f aca="false">IF($CN23="-","-",SUMIFS(FG_GolesLocal,FGLocal,$BD23,Part2Empate5V,$CN23)+SUMIFS(FG_GolesVisitante,FGVisitante,$BD23,Part2Empate5L,$CN23))</f>
        <v>0</v>
      </c>
      <c r="CP23" s="119" t="n">
        <f aca="false">IF($CN23="-","-",SUMIFS(FG_GolesVisitante,FGLocal,$BD23,Part2Empate5V,$CN23)+SUMIFS(FG_GolesLocal,FGVisitante,$BD23,Part2Empate5L,$CN23))</f>
        <v>0</v>
      </c>
      <c r="CQ23" s="119" t="n">
        <f aca="false">IF($CN23="-","-",CO23-CP23)</f>
        <v>0</v>
      </c>
      <c r="CR23" s="119" t="n">
        <f aca="false">CM23+COUNTIFS($CN$6:$CN$53,CN23,$CQ$6:CQ$53,"&gt;"&amp;CQ23,$BC$6:$BC$53,INDEX(T_Equipos[Grupo],MATCH(BD23,T_Equipos[NombreEquipo],0)))</f>
        <v>3</v>
      </c>
      <c r="CS23" s="118" t="str">
        <f aca="false">IF(COUNTIFS($CR$6:$CR$53,CR23,$BC$6:$BC$53,INDEX(T_Equipos[Grupo],MATCH(BD23,T_Equipos[NombreEquipo],0)))=1,"-","P."&amp;CR23&amp;" ("&amp;COUNTIFS($CR$6:$CR$53,CR23,$BC$6:$BC$53,INDEX(T_Equipos[Grupo],MATCH(BD23,T_Equipos[NombreEquipo],0)))&amp;")")</f>
        <v>P.3 (2)</v>
      </c>
      <c r="CT23" s="119" t="n">
        <f aca="false">IF($CS23="-","-",SUMIFS(FG_GolesLocal,FGLocal,$BD23,Part2Empate6V,$CS23)+SUMIFS(FG_GolesVisitante,FGVisitante,$BD23,Part2Empate6L,$CS23))</f>
        <v>0</v>
      </c>
      <c r="CU23" s="119" t="n">
        <f aca="false">CR23+COUNTIFS($CS$6:$CS$53,CS23,$CT$6:CT$53,"&gt;"&amp;CT23,$BC$6:$BC$53,INDEX(T_Equipos[Grupo],MATCH(BD23,T_Equipos[NombreEquipo],0)))</f>
        <v>3</v>
      </c>
      <c r="CV23" s="118" t="str">
        <f aca="false">IF(COUNTIFS($CU$6:$CU$53,CU23,$BC$6:$BC$53,INDEX(T_Equipos[Grupo],MATCH(BD23,T_Equipos[NombreEquipo],0)))=1,"-","P."&amp;CU23&amp;" ("&amp;COUNTIFS($CU$6:$CU$53,CU23,$BC$6:$BC$53,INDEX(T_Equipos[Grupo],MATCH(BD23,T_Equipos[NombreEquipo],0)))&amp;")")</f>
        <v>P.3 (2)</v>
      </c>
      <c r="CW23" s="118" t="n">
        <f aca="false">IF(CV23="-","-",BL23)</f>
        <v>-6</v>
      </c>
      <c r="CX23" s="118" t="n">
        <f aca="false">CU23+COUNTIFS($CV$6:$CV$53,CV23,$CW$6:CW$53,"&gt;"&amp;CW23,$BC$6:$BC$53,INDEX(T_Equipos[Grupo],MATCH(BD23,T_Equipos[NombreEquipo],0)))</f>
        <v>4</v>
      </c>
      <c r="CY23" s="118" t="str">
        <f aca="false">IF(COUNTIFS($CX$6:$CX$53,CX23,$BC$6:$BC$53,INDEX(T_Equipos[Grupo],MATCH(BD23,T_Equipos[NombreEquipo],0)))=1,"-","P."&amp;CX23&amp;" ("&amp;COUNTIFS($CX$6:$CX$53,CX23,$BC$6:$BC$53,INDEX(T_Equipos[Grupo],MATCH(BD23,T_Equipos[NombreEquipo],0)))&amp;")")</f>
        <v>-</v>
      </c>
      <c r="CZ23" s="118" t="str">
        <f aca="false">IF(CY23="-","-",BJ23)</f>
        <v>-</v>
      </c>
      <c r="DA23" s="119" t="n">
        <f aca="false">CX23+COUNTIFS($CY$6:$CY$53,CY23,$CZ$6:CZ$53,"&gt;"&amp;CZ23,$BC$6:$BC$53,INDEX(T_Equipos[Grupo],MATCH(BD23,T_Equipos[NombreEquipo],0)))</f>
        <v>4</v>
      </c>
      <c r="DB23" s="118" t="str">
        <f aca="false">IF(COUNTIFS($DA$6:$DA$53,DA23,$BC$6:$BC$53,INDEX(T_Equipos[Grupo],MATCH(BD23,T_Equipos[NombreEquipo],0)))=1,"-","P."&amp;DA23&amp;" ("&amp;COUNTIFS($DA$6:$DA$53,DA23,$BC$6:$BC$53,INDEX(T_Equipos[Grupo],MATCH(BD23,T_Equipos[NombreEquipo],0)))&amp;")")</f>
        <v>-</v>
      </c>
      <c r="DC23" s="116" t="str">
        <f aca="false">IF(DB23="-","-",COUNTIFS(T_Equipos[Rank],"&lt;"&amp;INDEX(T_Equipos[Rank],MATCH(BD23,T_Equipos[NombreEquipo],0)),$BC$6:$BC$53,INDEX(T_Equipos[Grupo],MATCH(BD23,T_Equipos[NombreEquipo],0)))+1)</f>
        <v>-</v>
      </c>
      <c r="DD23" s="116" t="n">
        <f aca="false">DA23+COUNTIFS($DB$6:$DB$53,DB23,$DC$6:DC$53,"&lt;"&amp;DC23,$BC$6:$BC$53,INDEX(T_Equipos[Grupo],MATCH(BD23,T_Equipos[NombreEquipo],0)))</f>
        <v>4</v>
      </c>
      <c r="DE23" s="116"/>
      <c r="DF23" s="116" t="n">
        <f aca="false">IF(OR(INDEX($AW$6:$AW$97,MATCH($BD23,$AV$6:$AV$97,0))="",DB23="-"),DD23,INDEX($AW$6:$AW$97,MATCH($BD23,$AV$6:$AV$97,0))+DD23/1000)</f>
        <v>4</v>
      </c>
      <c r="DG23" s="116" t="str">
        <f aca="false">IF(DB23="-","-",COUNTIFS(DF$6:DF$53,"&lt;"&amp;DF23,$BC$6:$BC$53,INDEX(T_Equipos[Grupo],MATCH(BD23,T_Equipos[NombreEquipo],0))))</f>
        <v>-</v>
      </c>
      <c r="DH23" s="116" t="n">
        <f aca="false">DA23+COUNTIFS(DB$6:DB$53,DB23,DG$6:DG$53,"&lt;"&amp;DG23,$BC$6:$BC$53,INDEX(T_Equipos[Grupo],MATCH(BD23,T_Equipos[NombreEquipo],0)))</f>
        <v>4</v>
      </c>
      <c r="DI23" s="55"/>
      <c r="DJ23" s="55" t="n">
        <f aca="false">INDEX($DA$6:$DA$53,MATCH($DQ23,$BD$6:$BD$53,0))</f>
        <v>2</v>
      </c>
      <c r="DK23" s="55" t="n">
        <f aca="false">+SUMIF($BC$6:$BC$53,BC23,$BF$6:$BF$53)</f>
        <v>4</v>
      </c>
      <c r="DL23" s="55" t="n">
        <f aca="false">IF(OR(DK23=12,$AJ$99=144),COUNTIFS($DJ$6:$DJ$53,DJ23,$BC$6:$BC$53,BC23),1)</f>
        <v>1</v>
      </c>
      <c r="DM23" s="120" t="str">
        <f aca="false">DJ23&amp;"."&amp;DL23</f>
        <v>2.1</v>
      </c>
      <c r="DN23" s="55" t="n">
        <f aca="true" t="array" ref="DN23:DN23">OFFSET(Horarios!$P$3,DJ23-1,0,DL23,1)</f>
        <v>2</v>
      </c>
      <c r="DO23" s="55"/>
      <c r="DP23" s="55" t="s">
        <v>97</v>
      </c>
      <c r="DQ23" s="55" t="str">
        <f aca="false">INDEX($BD$6:$BD$53,MATCH(DP23,$BM$6:$BM$53,0))</f>
        <v>Costa de Marfil</v>
      </c>
      <c r="DR23" s="55"/>
      <c r="DS23" s="55"/>
      <c r="DT23" s="55" t="str">
        <f aca="false">AA23&amp;"-"&amp;AF23</f>
        <v>Brasil-Haití</v>
      </c>
      <c r="DU23" s="55"/>
      <c r="DV23" s="55"/>
      <c r="DW23" s="57"/>
    </row>
    <row r="24" customFormat="false" ht="15.75" hidden="false" customHeight="true" outlineLevel="0" collapsed="false">
      <c r="A24" s="92" t="str">
        <f aca="false">+Equipos!B13</f>
        <v>Escocia</v>
      </c>
      <c r="B24" s="72"/>
      <c r="C24" s="55"/>
      <c r="D24" s="55" t="str">
        <f aca="false">IF(OR(AC24="",AD24=""),"Pendiente",IF(AC24&gt;AD24,"Local",IF(AC24&lt;AD24,"Visitante","Empate")))</f>
        <v>Pendiente</v>
      </c>
      <c r="E24" s="55" t="str">
        <f aca="false">IF(D24="Pendiente","-",INDEX($BT$6:$BT$53,MATCH($AA24,$BD$6:$BD$53,0)))</f>
        <v>-</v>
      </c>
      <c r="F24" s="55" t="str">
        <f aca="false">IF(D24="Pendiente","-",INDEX($BT$6:$BT$53,MATCH($AF24,$BD$6:$BD$53,0)))</f>
        <v>-</v>
      </c>
      <c r="G24" s="55"/>
      <c r="H24" s="55" t="str">
        <f aca="false">IF(D24="Pendiente","-",INDEX($BZ$6:$BZ$53,MATCH($AA24,$BD$6:$BD$53,0)))</f>
        <v>-</v>
      </c>
      <c r="I24" s="55" t="str">
        <f aca="false">IF(D24="Pendiente","-",INDEX($BZ$6:$BZ$53,MATCH($AF24,$BD$6:$BD$53,0)))</f>
        <v>-</v>
      </c>
      <c r="J24" s="55"/>
      <c r="K24" s="55" t="str">
        <f aca="false">IF(D24="Pendiente","-",INDEX($CE$6:$CE$53,MATCH($AA24,$BD$6:$BD$53,0)))</f>
        <v>-</v>
      </c>
      <c r="L24" s="55" t="str">
        <f aca="false">IF(D24="Pendiente","-",INDEX($CE$6:$CE$53,MATCH($AF24,$BD$6:$BD$53,0)))</f>
        <v>-</v>
      </c>
      <c r="M24" s="55"/>
      <c r="N24" s="55" t="str">
        <f aca="false">IF(D24="Pendiente","-",INDEX($CH$6:$CH$53,MATCH($AA24,$BD$6:$BD$53,0)))</f>
        <v>-</v>
      </c>
      <c r="O24" s="55" t="str">
        <f aca="false">IF(D24="Pendiente","-",INDEX($CH$6:$CH$53,MATCH($AF24,$BD$6:$BD$53,0)))</f>
        <v>-</v>
      </c>
      <c r="P24" s="55"/>
      <c r="Q24" s="55" t="str">
        <f aca="false">IF(D24="Pendiente","-",INDEX($CN$6:$CN$53,MATCH($AA24,$BD$6:$BD$53,0)))</f>
        <v>-</v>
      </c>
      <c r="R24" s="55" t="str">
        <f aca="false">IF(D24="Pendiente","-",INDEX($CN$6:$CN$53,MATCH($AF24,$BD$6:$BD$53,0)))</f>
        <v>-</v>
      </c>
      <c r="S24" s="55"/>
      <c r="T24" s="55" t="str">
        <f aca="false">IF(D24="Pendiente","-",INDEX($CS$6:$CS$53,MATCH($AA24,$BD$6:$BD$53,0)))</f>
        <v>-</v>
      </c>
      <c r="U24" s="55" t="str">
        <f aca="false">IF(D24="Pendiente","-",INDEX($CS$6:$CS$53,MATCH($AF24,$BD$6:$BD$53,0)))</f>
        <v>-</v>
      </c>
      <c r="V24" s="46"/>
      <c r="W24" s="183"/>
      <c r="X24" s="74" t="n">
        <f aca="false">Horarios!C24</f>
        <v>46198</v>
      </c>
      <c r="Y24" s="75" t="n">
        <f aca="false">Horarios!C24</f>
        <v>46198</v>
      </c>
      <c r="Z24" s="76" t="str">
        <f aca="false">$Z$8</f>
        <v>J3</v>
      </c>
      <c r="AA24" s="77" t="str">
        <f aca="false">A24</f>
        <v>Escocia</v>
      </c>
      <c r="AB24" s="165" t="str">
        <f aca="true" t="array" ref="AB24:AB24">Ver_flag_local</f>
        <v/>
      </c>
      <c r="AC24" s="79"/>
      <c r="AD24" s="80"/>
      <c r="AE24" s="81" t="str">
        <f aca="true" t="array" ref="AE24:AE24">Ver_flag_visit</f>
        <v/>
      </c>
      <c r="AF24" s="82" t="str">
        <f aca="false">A21</f>
        <v>Brasil</v>
      </c>
      <c r="AG24" s="83" t="n">
        <f aca="false">IF(NOT(OR(ISBLANK(AC24),ISBLANK(AD24))),1,0)</f>
        <v>0</v>
      </c>
      <c r="AH24" s="84" t="n">
        <v>49</v>
      </c>
      <c r="AI24" s="85" t="str">
        <f aca="false">AJ24&amp;$B$20</f>
        <v>3C</v>
      </c>
      <c r="AJ24" s="121" t="n">
        <v>3</v>
      </c>
      <c r="AK24" s="173" t="str">
        <f aca="true" t="array" ref="AK24:AK24">Ver_flag_visit</f>
        <v/>
      </c>
      <c r="AL24" s="123" t="str">
        <f aca="false">IFERROR(INDEX($BD$6:$BD$53,MATCH(AI24,$BN$6:$BN$53,0)),"")</f>
        <v>Marruecos</v>
      </c>
      <c r="AM24" s="124" t="n">
        <f aca="false">INDEX($BE$6:$BN$53,MATCH($AL24,$BD$6:$BD$53,0),MATCH(AM$5,$BE$5:$BN$5,0))</f>
        <v>1</v>
      </c>
      <c r="AN24" s="125" t="n">
        <f aca="false">INDEX($BE$6:$BN$53,MATCH($AL24,$BD$6:$BD$53,0),MATCH(AN$5,$BE$5:$BN$5,0))</f>
        <v>1</v>
      </c>
      <c r="AO24" s="125" t="n">
        <f aca="false">INDEX($BE$6:$BN$53,MATCH($AL24,$BD$6:$BD$53,0),MATCH(AO$5,$BE$5:$BN$5,0))</f>
        <v>0</v>
      </c>
      <c r="AP24" s="125" t="n">
        <f aca="false">INDEX($BE$6:$BN$53,MATCH($AL24,$BD$6:$BD$53,0),MATCH(AP$5,$BE$5:$BN$5,0))</f>
        <v>1</v>
      </c>
      <c r="AQ24" s="125" t="n">
        <f aca="false">INDEX($BE$6:$BN$53,MATCH($AL24,$BD$6:$BD$53,0),MATCH(AQ$5,$BE$5:$BN$5,0))</f>
        <v>0</v>
      </c>
      <c r="AR24" s="125" t="n">
        <f aca="false">INDEX($BE$6:$BN$53,MATCH($AL24,$BD$6:$BD$53,0),MATCH(AR$5,$BE$5:$BN$5,0))</f>
        <v>1</v>
      </c>
      <c r="AS24" s="125" t="n">
        <f aca="false">INDEX($BE$6:$BN$53,MATCH($AL24,$BD$6:$BD$53,0),MATCH(AS$5,$BE$5:$BN$5,0))</f>
        <v>1</v>
      </c>
      <c r="AT24" s="126" t="n">
        <f aca="false">INDEX($BE$6:$BN$53,MATCH($AL24,$BD$6:$BD$53,0),MATCH(AT$5,$BE$5:$BN$5,0))</f>
        <v>0</v>
      </c>
      <c r="AU24" s="110" t="n">
        <f aca="false">INDEX($DL$6:$DL$53,MATCH(AI24,$DP$6:$DP$53,0))</f>
        <v>1</v>
      </c>
      <c r="AV24" s="111" t="str">
        <f aca="false">INDEX($BD$6:$BD$53,MATCH(AI24,$BM$6:$BM$53,0))</f>
        <v>Marruecos</v>
      </c>
      <c r="AW24" s="112"/>
      <c r="AX24" s="113"/>
      <c r="AY24" s="114" t="str">
        <f aca="false">+A23</f>
        <v>Haití</v>
      </c>
      <c r="AZ24" s="115"/>
      <c r="BA24" s="49"/>
      <c r="BB24" s="55"/>
      <c r="BC24" s="116" t="str">
        <f aca="false">+INDEX(T_Equipos[Grupo],MATCH(WORLDCUP!BD24,T_Equipos[NombreEquipo],0))</f>
        <v>E</v>
      </c>
      <c r="BD24" s="55" t="str">
        <f aca="false">+Equipos!B20</f>
        <v>Costa de Marfil</v>
      </c>
      <c r="BE24" s="117" t="n">
        <f aca="false">+BG24*3+BH24+IF($AZ$3="no",0,INDEX($AZ$6:$AZ$97,MATCH(BD24,$AY$6:$AY$97,0)))</f>
        <v>3</v>
      </c>
      <c r="BF24" s="117" t="n">
        <f aca="false">+BG24+BH24+BI24</f>
        <v>1</v>
      </c>
      <c r="BG24" s="117" t="n">
        <f aca="false">+COUNTIFS(FGLocal,BD24,Ganador,"Local")+COUNTIFS(FGVisitante,BD24,Ganador,"Visitante")</f>
        <v>1</v>
      </c>
      <c r="BH24" s="117" t="n">
        <f aca="false">+COUNTIFS(FGLocal,BD24,Ganador,"Empate")+COUNTIFS(FGVisitante,BD24,Ganador,"Empate")</f>
        <v>0</v>
      </c>
      <c r="BI24" s="117" t="n">
        <f aca="false">+COUNTIFS(FGVisitante,BD24,Ganador,"Local")+COUNTIFS(FGLocal,BD24,Ganador,"Visitante")</f>
        <v>0</v>
      </c>
      <c r="BJ24" s="117" t="n">
        <f aca="false">+SUMIFS(FG_GolesLocal,FGLocal,BD24,Ganador,"&lt;&gt;"&amp;"Pendiente",FG_GolesLocal,"&lt;&gt;"&amp;"",FG_GolesVisitante,"&lt;&gt;"&amp;"")+SUMIFS(FG_GolesVisitante,FGVisitante,BD24,Ganador,"&lt;&gt;"&amp;"Pendiente",FG_GolesLocal,"&lt;&gt;"&amp;"",FG_GolesVisitante,"&lt;&gt;"&amp;"")</f>
        <v>1</v>
      </c>
      <c r="BK24" s="117" t="n">
        <f aca="false">+SUMIFS(FG_GolesLocal,FGVisitante,BD24,Ganador,"&lt;&gt;"&amp;"Pendiente",FG_GolesLocal,"&lt;&gt;"&amp;"",FG_GolesVisitante,"&lt;&gt;"&amp;"")+SUMIFS(FG_GolesVisitante,FGLocal,BD24,Ganador,"&lt;&gt;"&amp;"Pendiente",FG_GolesLocal,"&lt;&gt;"&amp;"",FG_GolesVisitante,"&lt;&gt;"&amp;"")</f>
        <v>0</v>
      </c>
      <c r="BL24" s="117" t="n">
        <f aca="false">+BJ24-BK24</f>
        <v>1</v>
      </c>
      <c r="BM24" s="117" t="str">
        <f aca="false">DD24&amp;BC24</f>
        <v>2E</v>
      </c>
      <c r="BN24" s="117" t="str">
        <f aca="false">DH24&amp;BC24</f>
        <v>2E</v>
      </c>
      <c r="BO24" s="118" t="n">
        <f aca="false">IF(AND($AJ$99=144,BF24&gt;=1),1,0)</f>
        <v>0</v>
      </c>
      <c r="BP24" s="118" t="n">
        <f aca="false">COUNTIFS($BO$6:$BO$53,"&gt;"&amp;BO24,$BC$6:$BC$53,INDEX(T_Equipos[Grupo],MATCH(BD24,T_Equipos[NombreEquipo],0)))+1</f>
        <v>1</v>
      </c>
      <c r="BQ24" s="118" t="str">
        <f aca="false">IF(COUNTIFS($BP$6:$BP$53,BP24,$BC$6:$BC$53,INDEX(T_Equipos[Grupo],MATCH(BD24,T_Equipos[NombreEquipo],0)))=1,"-","P."&amp;BP24&amp;" ("&amp;COUNTIFS($BP$6:$BP$53,BP24,$BC$6:$BC$53,INDEX(T_Equipos[Grupo],MATCH(BD24,T_Equipos[NombreEquipo],0)))&amp;")")</f>
        <v>P.1 (4)</v>
      </c>
      <c r="BR24" s="118" t="n">
        <f aca="false">IF($BQ24="-","-",BE24)</f>
        <v>3</v>
      </c>
      <c r="BS24" s="118" t="n">
        <f aca="false">BP24+COUNTIFS($BQ$6:$BQ$53,BQ24,$BR$6:BR$53,"&gt;"&amp;BR24,$BC$6:$BC$53,INDEX(T_Equipos[Grupo],MATCH(BD24,T_Equipos[NombreEquipo],0)))</f>
        <v>1</v>
      </c>
      <c r="BT24" s="118" t="str">
        <f aca="false">IF(COUNTIFS($BS$6:$BS$53,BS24,$BC$6:$BC$53,INDEX(T_Equipos[Grupo],MATCH(BD24,T_Equipos[NombreEquipo],0)))=1,"-","P."&amp;BS24&amp;" ("&amp;COUNTIFS($BS$6:$BS$53,BS24,$BC$6:$BC$53,INDEX(T_Equipos[Grupo],MATCH(BD24,T_Equipos[NombreEquipo],0)))&amp;")")</f>
        <v>P.1 (2)</v>
      </c>
      <c r="BU24" s="119" t="n">
        <f aca="false">IF($BT24="-","-",COUNTIFS(FGLocal,$BD24,Ganador,"Local",Part1Empate1V,$BT24)+COUNTIFS(FGVisitante,$BD24,Ganador,"Visitante",Part1Empate1L,$BT24))</f>
        <v>0</v>
      </c>
      <c r="BV24" s="119" t="n">
        <f aca="false">IF($BT24="-","-",COUNTIFS(FGLocal,$BD24,Ganador,"Empate",Part1Empate1V,$BT24)+COUNTIFS(FGVisitante,$BD24,Ganador,"Empate",Part1Empate1L,$BT24))</f>
        <v>0</v>
      </c>
      <c r="BW24" s="119" t="n">
        <f aca="false">IF($BT24="-","-",COUNTIFS(FGLocal,$BD24,Ganador,"Visitante",Part1Empate1V,$BT24)+COUNTIFS(FGVisitante,$BD24,Ganador,"Local",Part1Empate1L,$BT24))</f>
        <v>0</v>
      </c>
      <c r="BX24" s="119" t="n">
        <f aca="false">IF($BT24="-","-",BU24*3+BV24)</f>
        <v>0</v>
      </c>
      <c r="BY24" s="119" t="n">
        <f aca="false">BS24+COUNTIFS($BT$6:$BT$53,BT24,$BX$6:BX$53,"&gt;"&amp;BX24,$BC$6:$BC$53,INDEX(T_Equipos[Grupo],MATCH(BD24,T_Equipos[NombreEquipo],0)))</f>
        <v>1</v>
      </c>
      <c r="BZ24" s="118" t="str">
        <f aca="false">IF(COUNTIFS($BY$6:$BY$53,BY24,$BC$6:$BC$53,INDEX(T_Equipos[Grupo],MATCH(BD24,T_Equipos[NombreEquipo],0)))=1,"-","P."&amp;BY24&amp;" ("&amp;COUNTIFS($BY$6:$BY$53,BY24,$BC$6:$BC$53,INDEX(T_Equipos[Grupo],MATCH(BD24,T_Equipos[NombreEquipo],0)))&amp;")")</f>
        <v>P.1 (2)</v>
      </c>
      <c r="CA24" s="119" t="n">
        <f aca="false">IF($BZ24="-","-",SUMIFS(FG_GolesLocal,FGLocal,$BD24,Part1Empate2V,$BZ24)+SUMIFS(FG_GolesVisitante,FGVisitante,$BD24,Part1Empate2L,$BZ24))</f>
        <v>0</v>
      </c>
      <c r="CB24" s="119" t="n">
        <f aca="false">IF($BZ24="-","-",SUMIFS(FG_GolesVisitante,FGLocal,$BD24,Part1Empate2V,$BZ24)+SUMIFS(FG_GolesLocal,FGVisitante,$BD24,Part1Empate2L,$BZ24))</f>
        <v>0</v>
      </c>
      <c r="CC24" s="119" t="n">
        <f aca="false">IF($BZ24="-","-",CA24-CB24)</f>
        <v>0</v>
      </c>
      <c r="CD24" s="119" t="n">
        <f aca="false">BY24+COUNTIFS($BZ$6:$BZ$53,BZ24,$CC$6:CC$53,"&gt;"&amp;CC24,$BC$6:$BC$53,INDEX(T_Equipos[Grupo],MATCH(BD24,T_Equipos[NombreEquipo],0)))</f>
        <v>1</v>
      </c>
      <c r="CE24" s="118" t="str">
        <f aca="false">IF(COUNTIFS($CD$6:$CD$53,CD24,$BC$6:$BC$53,INDEX(T_Equipos[Grupo],MATCH(BD24,T_Equipos[NombreEquipo],0)))=1,"-","P."&amp;CD24&amp;" ("&amp;COUNTIFS($CD$6:$CD$53,CD24,$BC$6:$BC$53,INDEX(T_Equipos[Grupo],MATCH(BD24,T_Equipos[NombreEquipo],0)))&amp;")")</f>
        <v>P.1 (2)</v>
      </c>
      <c r="CF24" s="119" t="n">
        <f aca="false">IF($CE24="-","-",SUMIFS(FG_GolesLocal,FGLocal,$BD24,Part1Empate3V,$CE24)+SUMIFS(FG_GolesVisitante,FGVisitante,$BD24,Part1Empate3L,$CE24))</f>
        <v>0</v>
      </c>
      <c r="CG24" s="119" t="n">
        <f aca="false">CD24+COUNTIFS($CE$6:$CE$53,CE24,$CF$6:CF$53,"&gt;"&amp;CF24,$BC$6:$BC$53,INDEX(T_Equipos[Grupo],MATCH(BD24,T_Equipos[NombreEquipo],0)))</f>
        <v>1</v>
      </c>
      <c r="CH24" s="118" t="str">
        <f aca="false">IF(COUNTIFS($CG$6:$CG$53,CG24,$BC$6:$BC$53,INDEX(T_Equipos[Grupo],MATCH(BD24,T_Equipos[NombreEquipo],0)))=1,"-","P."&amp;CG24&amp;" ("&amp;COUNTIFS($CG$6:$CG$53,CG24,$BC$6:$BC$53,INDEX(T_Equipos[Grupo],MATCH(BD24,T_Equipos[NombreEquipo],0)))&amp;")")</f>
        <v>P.1 (2)</v>
      </c>
      <c r="CI24" s="119" t="n">
        <f aca="false">IF($CH24="-","-",COUNTIFS(FGLocal,$BD24,Ganador,"Local",Part2Empate4V,$CH24)+COUNTIFS(FGVisitante,$BD24,Ganador,"Visitante",Part2Empate4L,$CH24))</f>
        <v>0</v>
      </c>
      <c r="CJ24" s="119" t="n">
        <f aca="false">IF($CH24="-","-",COUNTIFS(FGLocal,$BD24,Ganador,"Empate",Part2Empate4V,$CH24)+COUNTIFS(FGVisitante,$BD24,Ganador,"Empate",Part2Empate4L,$CH24))</f>
        <v>0</v>
      </c>
      <c r="CK24" s="119" t="n">
        <f aca="false">IF($CH24="-","-",COUNTIFS(FGLocal,$BD24,Ganador,"Visitante",Part2Empate4V,$CH24)+COUNTIFS(FGVisitante,$BD24,Ganador,"Local",Part2Empate4L,$CH24))</f>
        <v>0</v>
      </c>
      <c r="CL24" s="119" t="n">
        <f aca="false">IF($CH24="-","-",CI24*3+CJ24)</f>
        <v>0</v>
      </c>
      <c r="CM24" s="119" t="n">
        <f aca="false">CG24+COUNTIFS($CH$6:$CH$53,CH24,$CL$6:CL$53,"&gt;"&amp;CL24,$BC$6:$BC$53,INDEX(T_Equipos[Grupo],MATCH(BD24,T_Equipos[NombreEquipo],0)))</f>
        <v>1</v>
      </c>
      <c r="CN24" s="118" t="str">
        <f aca="false">IF(COUNTIFS($CM$6:$CM$53,CM24,$BC$6:$BC$53,INDEX(T_Equipos[Grupo],MATCH(BD24,T_Equipos[NombreEquipo],0)))=1,"-","P."&amp;CM24&amp;" ("&amp;COUNTIFS($CM$6:$CM$53,CM24,$BC$6:$BC$53,INDEX(T_Equipos[Grupo],MATCH(BD24,T_Equipos[NombreEquipo],0)))&amp;")")</f>
        <v>P.1 (2)</v>
      </c>
      <c r="CO24" s="119" t="n">
        <f aca="false">IF($CN24="-","-",SUMIFS(FG_GolesLocal,FGLocal,$BD24,Part2Empate5V,$CN24)+SUMIFS(FG_GolesVisitante,FGVisitante,$BD24,Part2Empate5L,$CN24))</f>
        <v>0</v>
      </c>
      <c r="CP24" s="119" t="n">
        <f aca="false">IF($CN24="-","-",SUMIFS(FG_GolesVisitante,FGLocal,$BD24,Part2Empate5V,$CN24)+SUMIFS(FG_GolesLocal,FGVisitante,$BD24,Part2Empate5L,$CN24))</f>
        <v>0</v>
      </c>
      <c r="CQ24" s="119" t="n">
        <f aca="false">IF($CN24="-","-",CO24-CP24)</f>
        <v>0</v>
      </c>
      <c r="CR24" s="119" t="n">
        <f aca="false">CM24+COUNTIFS($CN$6:$CN$53,CN24,$CQ$6:CQ$53,"&gt;"&amp;CQ24,$BC$6:$BC$53,INDEX(T_Equipos[Grupo],MATCH(BD24,T_Equipos[NombreEquipo],0)))</f>
        <v>1</v>
      </c>
      <c r="CS24" s="118" t="str">
        <f aca="false">IF(COUNTIFS($CR$6:$CR$53,CR24,$BC$6:$BC$53,INDEX(T_Equipos[Grupo],MATCH(BD24,T_Equipos[NombreEquipo],0)))=1,"-","P."&amp;CR24&amp;" ("&amp;COUNTIFS($CR$6:$CR$53,CR24,$BC$6:$BC$53,INDEX(T_Equipos[Grupo],MATCH(BD24,T_Equipos[NombreEquipo],0)))&amp;")")</f>
        <v>P.1 (2)</v>
      </c>
      <c r="CT24" s="119" t="n">
        <f aca="false">IF($CS24="-","-",SUMIFS(FG_GolesLocal,FGLocal,$BD24,Part2Empate6V,$CS24)+SUMIFS(FG_GolesVisitante,FGVisitante,$BD24,Part2Empate6L,$CS24))</f>
        <v>0</v>
      </c>
      <c r="CU24" s="119" t="n">
        <f aca="false">CR24+COUNTIFS($CS$6:$CS$53,CS24,$CT$6:CT$53,"&gt;"&amp;CT24,$BC$6:$BC$53,INDEX(T_Equipos[Grupo],MATCH(BD24,T_Equipos[NombreEquipo],0)))</f>
        <v>1</v>
      </c>
      <c r="CV24" s="118" t="str">
        <f aca="false">IF(COUNTIFS($CU$6:$CU$53,CU24,$BC$6:$BC$53,INDEX(T_Equipos[Grupo],MATCH(BD24,T_Equipos[NombreEquipo],0)))=1,"-","P."&amp;CU24&amp;" ("&amp;COUNTIFS($CU$6:$CU$53,CU24,$BC$6:$BC$53,INDEX(T_Equipos[Grupo],MATCH(BD24,T_Equipos[NombreEquipo],0)))&amp;")")</f>
        <v>P.1 (2)</v>
      </c>
      <c r="CW24" s="118" t="n">
        <f aca="false">IF(CV24="-","-",BL24)</f>
        <v>1</v>
      </c>
      <c r="CX24" s="118" t="n">
        <f aca="false">CU24+COUNTIFS($CV$6:$CV$53,CV24,$CW$6:CW$53,"&gt;"&amp;CW24,$BC$6:$BC$53,INDEX(T_Equipos[Grupo],MATCH(BD24,T_Equipos[NombreEquipo],0)))</f>
        <v>2</v>
      </c>
      <c r="CY24" s="118" t="str">
        <f aca="false">IF(COUNTIFS($CX$6:$CX$53,CX24,$BC$6:$BC$53,INDEX(T_Equipos[Grupo],MATCH(BD24,T_Equipos[NombreEquipo],0)))=1,"-","P."&amp;CX24&amp;" ("&amp;COUNTIFS($CX$6:$CX$53,CX24,$BC$6:$BC$53,INDEX(T_Equipos[Grupo],MATCH(BD24,T_Equipos[NombreEquipo],0)))&amp;")")</f>
        <v>-</v>
      </c>
      <c r="CZ24" s="118" t="str">
        <f aca="false">IF(CY24="-","-",BJ24)</f>
        <v>-</v>
      </c>
      <c r="DA24" s="119" t="n">
        <f aca="false">CX24+COUNTIFS($CY$6:$CY$53,CY24,$CZ$6:CZ$53,"&gt;"&amp;CZ24,$BC$6:$BC$53,INDEX(T_Equipos[Grupo],MATCH(BD24,T_Equipos[NombreEquipo],0)))</f>
        <v>2</v>
      </c>
      <c r="DB24" s="118" t="str">
        <f aca="false">IF(COUNTIFS($DA$6:$DA$53,DA24,$BC$6:$BC$53,INDEX(T_Equipos[Grupo],MATCH(BD24,T_Equipos[NombreEquipo],0)))=1,"-","P."&amp;DA24&amp;" ("&amp;COUNTIFS($DA$6:$DA$53,DA24,$BC$6:$BC$53,INDEX(T_Equipos[Grupo],MATCH(BD24,T_Equipos[NombreEquipo],0)))&amp;")")</f>
        <v>-</v>
      </c>
      <c r="DC24" s="116" t="str">
        <f aca="false">IF(DB24="-","-",COUNTIFS(T_Equipos[Rank],"&lt;"&amp;INDEX(T_Equipos[Rank],MATCH(BD24,T_Equipos[NombreEquipo],0)),$BC$6:$BC$53,INDEX(T_Equipos[Grupo],MATCH(BD24,T_Equipos[NombreEquipo],0)))+1)</f>
        <v>-</v>
      </c>
      <c r="DD24" s="116" t="n">
        <f aca="false">DA24+COUNTIFS($DB$6:$DB$53,DB24,$DC$6:DC$53,"&lt;"&amp;DC24,$BC$6:$BC$53,INDEX(T_Equipos[Grupo],MATCH(BD24,T_Equipos[NombreEquipo],0)))</f>
        <v>2</v>
      </c>
      <c r="DE24" s="116"/>
      <c r="DF24" s="116" t="n">
        <f aca="false">IF(OR(INDEX($AW$6:$AW$97,MATCH($BD24,$AV$6:$AV$97,0))="",DB24="-"),DD24,INDEX($AW$6:$AW$97,MATCH($BD24,$AV$6:$AV$97,0))+DD24/1000)</f>
        <v>2</v>
      </c>
      <c r="DG24" s="116" t="str">
        <f aca="false">IF(DB24="-","-",COUNTIFS(DF$6:DF$53,"&lt;"&amp;DF24,$BC$6:$BC$53,INDEX(T_Equipos[Grupo],MATCH(BD24,T_Equipos[NombreEquipo],0))))</f>
        <v>-</v>
      </c>
      <c r="DH24" s="116" t="n">
        <f aca="false">DA24+COUNTIFS(DB$6:DB$53,DB24,DG$6:DG$53,"&lt;"&amp;DG24,$BC$6:$BC$53,INDEX(T_Equipos[Grupo],MATCH(BD24,T_Equipos[NombreEquipo],0)))</f>
        <v>2</v>
      </c>
      <c r="DI24" s="55"/>
      <c r="DJ24" s="55" t="n">
        <f aca="false">INDEX($DA$6:$DA$53,MATCH($DQ24,$BD$6:$BD$53,0))</f>
        <v>3</v>
      </c>
      <c r="DK24" s="55" t="n">
        <f aca="false">+SUMIF($BC$6:$BC$53,BC24,$BF$6:$BF$53)</f>
        <v>4</v>
      </c>
      <c r="DL24" s="55" t="n">
        <f aca="false">IF(OR(DK24=12,$AJ$99=144),COUNTIFS($DJ$6:$DJ$53,DJ24,$BC$6:$BC$53,BC24),1)</f>
        <v>1</v>
      </c>
      <c r="DM24" s="120" t="str">
        <f aca="false">DJ24&amp;"."&amp;DL24</f>
        <v>3.1</v>
      </c>
      <c r="DN24" s="55" t="n">
        <f aca="true" t="array" ref="DN24:DN24">OFFSET(Horarios!$P$3,DJ24-1,0,DL24,1)</f>
        <v>3</v>
      </c>
      <c r="DO24" s="55"/>
      <c r="DP24" s="55" t="s">
        <v>98</v>
      </c>
      <c r="DQ24" s="55" t="str">
        <f aca="false">INDEX($BD$6:$BD$53,MATCH(DP24,$BM$6:$BM$53,0))</f>
        <v>Ecuador</v>
      </c>
      <c r="DR24" s="55"/>
      <c r="DS24" s="55"/>
      <c r="DT24" s="55" t="str">
        <f aca="false">AA24&amp;"-"&amp;AF24</f>
        <v>Escocia-Brasil</v>
      </c>
      <c r="DU24" s="55"/>
      <c r="DV24" s="55"/>
      <c r="DW24" s="57"/>
    </row>
    <row r="25" customFormat="false" ht="16.5" hidden="false" customHeight="true" outlineLevel="0" collapsed="false">
      <c r="A25" s="39"/>
      <c r="B25" s="39"/>
      <c r="C25" s="39"/>
      <c r="D25" s="55" t="str">
        <f aca="false">IF(OR(AC25="",AD25=""),"Pendiente",IF(AC25&gt;AD25,"Local",IF(AC25&lt;AD25,"Visitante","Empate")))</f>
        <v>Pendiente</v>
      </c>
      <c r="E25" s="55" t="str">
        <f aca="false">IF(D25="Pendiente","-",INDEX($BT$6:$BT$53,MATCH($AA25,$BD$6:$BD$53,0)))</f>
        <v>-</v>
      </c>
      <c r="F25" s="55" t="str">
        <f aca="false">IF(D25="Pendiente","-",INDEX($BT$6:$BT$53,MATCH($AF25,$BD$6:$BD$53,0)))</f>
        <v>-</v>
      </c>
      <c r="G25" s="55"/>
      <c r="H25" s="55" t="str">
        <f aca="false">IF(D25="Pendiente","-",INDEX($BZ$6:$BZ$53,MATCH($AA25,$BD$6:$BD$53,0)))</f>
        <v>-</v>
      </c>
      <c r="I25" s="55" t="str">
        <f aca="false">IF(D25="Pendiente","-",INDEX($BZ$6:$BZ$53,MATCH($AF25,$BD$6:$BD$53,0)))</f>
        <v>-</v>
      </c>
      <c r="J25" s="55"/>
      <c r="K25" s="55" t="str">
        <f aca="false">IF(D25="Pendiente","-",INDEX($CE$6:$CE$53,MATCH($AA25,$BD$6:$BD$53,0)))</f>
        <v>-</v>
      </c>
      <c r="L25" s="55" t="str">
        <f aca="false">IF(D25="Pendiente","-",INDEX($CE$6:$CE$53,MATCH($AF25,$BD$6:$BD$53,0)))</f>
        <v>-</v>
      </c>
      <c r="M25" s="55"/>
      <c r="N25" s="55" t="str">
        <f aca="false">IF(D25="Pendiente","-",INDEX($CH$6:$CH$53,MATCH($AA25,$BD$6:$BD$53,0)))</f>
        <v>-</v>
      </c>
      <c r="O25" s="55" t="str">
        <f aca="false">IF(D25="Pendiente","-",INDEX($CH$6:$CH$53,MATCH($AF25,$BD$6:$BD$53,0)))</f>
        <v>-</v>
      </c>
      <c r="P25" s="55"/>
      <c r="Q25" s="55" t="str">
        <f aca="false">IF(D25="Pendiente","-",INDEX($CN$6:$CN$53,MATCH($AA25,$BD$6:$BD$53,0)))</f>
        <v>-</v>
      </c>
      <c r="R25" s="55" t="str">
        <f aca="false">IF(D25="Pendiente","-",INDEX($CN$6:$CN$53,MATCH($AF25,$BD$6:$BD$53,0)))</f>
        <v>-</v>
      </c>
      <c r="S25" s="55"/>
      <c r="T25" s="55" t="str">
        <f aca="false">IF(D25="Pendiente","-",INDEX($CS$6:$CS$53,MATCH($AA25,$BD$6:$BD$53,0)))</f>
        <v>-</v>
      </c>
      <c r="U25" s="55" t="str">
        <f aca="false">IF(D25="Pendiente","-",INDEX($CS$6:$CS$53,MATCH($AF25,$BD$6:$BD$53,0)))</f>
        <v>-</v>
      </c>
      <c r="V25" s="46"/>
      <c r="W25" s="183"/>
      <c r="X25" s="129" t="n">
        <f aca="false">Horarios!C25</f>
        <v>46198</v>
      </c>
      <c r="Y25" s="130" t="n">
        <f aca="false">Horarios!C25</f>
        <v>46198</v>
      </c>
      <c r="Z25" s="131" t="str">
        <f aca="false">$Z$8</f>
        <v>J3</v>
      </c>
      <c r="AA25" s="132" t="str">
        <f aca="false">A22</f>
        <v>Marruecos</v>
      </c>
      <c r="AB25" s="175" t="str">
        <f aca="true" t="array" ref="AB25:AB25">Ver_flag_local</f>
        <v/>
      </c>
      <c r="AC25" s="134"/>
      <c r="AD25" s="135"/>
      <c r="AE25" s="136" t="str">
        <f aca="true" t="array" ref="AE25:AE25">Ver_flag_visit</f>
        <v/>
      </c>
      <c r="AF25" s="137" t="str">
        <f aca="false">A23</f>
        <v>Haití</v>
      </c>
      <c r="AG25" s="83" t="n">
        <f aca="false">IF(NOT(OR(ISBLANK(AC25),ISBLANK(AD25))),1,0)</f>
        <v>0</v>
      </c>
      <c r="AH25" s="84" t="n">
        <v>50</v>
      </c>
      <c r="AI25" s="85" t="str">
        <f aca="false">AJ25&amp;$B$20</f>
        <v>4C</v>
      </c>
      <c r="AJ25" s="138" t="n">
        <v>4</v>
      </c>
      <c r="AK25" s="184" t="str">
        <f aca="true" t="array" ref="AK25:AK25">Ver_flag_visit</f>
        <v/>
      </c>
      <c r="AL25" s="140" t="str">
        <f aca="false">IFERROR(INDEX($BD$6:$BD$53,MATCH(AI25,$BN$6:$BN$53,0)),"")</f>
        <v>Haití</v>
      </c>
      <c r="AM25" s="141" t="n">
        <f aca="false">INDEX($BE$6:$BN$53,MATCH($AL25,$BD$6:$BD$53,0),MATCH(AM$5,$BE$5:$BN$5,0))</f>
        <v>0</v>
      </c>
      <c r="AN25" s="142" t="n">
        <f aca="false">INDEX($BE$6:$BN$53,MATCH($AL25,$BD$6:$BD$53,0),MATCH(AN$5,$BE$5:$BN$5,0))</f>
        <v>1</v>
      </c>
      <c r="AO25" s="142" t="n">
        <f aca="false">INDEX($BE$6:$BN$53,MATCH($AL25,$BD$6:$BD$53,0),MATCH(AO$5,$BE$5:$BN$5,0))</f>
        <v>0</v>
      </c>
      <c r="AP25" s="142" t="n">
        <f aca="false">INDEX($BE$6:$BN$53,MATCH($AL25,$BD$6:$BD$53,0),MATCH(AP$5,$BE$5:$BN$5,0))</f>
        <v>0</v>
      </c>
      <c r="AQ25" s="142" t="n">
        <f aca="false">INDEX($BE$6:$BN$53,MATCH($AL25,$BD$6:$BD$53,0),MATCH(AQ$5,$BE$5:$BN$5,0))</f>
        <v>1</v>
      </c>
      <c r="AR25" s="142" t="n">
        <f aca="false">INDEX($BE$6:$BN$53,MATCH($AL25,$BD$6:$BD$53,0),MATCH(AR$5,$BE$5:$BN$5,0))</f>
        <v>0</v>
      </c>
      <c r="AS25" s="142" t="n">
        <f aca="false">INDEX($BE$6:$BN$53,MATCH($AL25,$BD$6:$BD$53,0),MATCH(AS$5,$BE$5:$BN$5,0))</f>
        <v>1</v>
      </c>
      <c r="AT25" s="143" t="n">
        <f aca="false">INDEX($BE$6:$BN$53,MATCH($AL25,$BD$6:$BD$53,0),MATCH(AT$5,$BE$5:$BN$5,0))</f>
        <v>-1</v>
      </c>
      <c r="AU25" s="110" t="n">
        <f aca="false">INDEX($DL$6:$DL$53,MATCH(AI25,$DP$6:$DP$53,0))</f>
        <v>1</v>
      </c>
      <c r="AV25" s="111" t="str">
        <f aca="false">INDEX($BD$6:$BD$53,MATCH(AI25,$BM$6:$BM$53,0))</f>
        <v>Haití</v>
      </c>
      <c r="AW25" s="112"/>
      <c r="AX25" s="113"/>
      <c r="AY25" s="144" t="str">
        <f aca="false">+A24</f>
        <v>Escocia</v>
      </c>
      <c r="AZ25" s="145"/>
      <c r="BA25" s="49"/>
      <c r="BB25" s="55"/>
      <c r="BC25" s="116" t="str">
        <f aca="false">+INDEX(T_Equipos[Grupo],MATCH(WORLDCUP!BD25,T_Equipos[NombreEquipo],0))</f>
        <v>E</v>
      </c>
      <c r="BD25" s="55" t="str">
        <f aca="false">+Equipos!B21</f>
        <v>Ecuador</v>
      </c>
      <c r="BE25" s="117" t="n">
        <f aca="false">+BG25*3+BH25+IF($AZ$3="no",0,INDEX($AZ$6:$AZ$97,MATCH(BD25,$AY$6:$AY$97,0)))</f>
        <v>0</v>
      </c>
      <c r="BF25" s="117" t="n">
        <f aca="false">+BG25+BH25+BI25</f>
        <v>1</v>
      </c>
      <c r="BG25" s="117" t="n">
        <f aca="false">+COUNTIFS(FGLocal,BD25,Ganador,"Local")+COUNTIFS(FGVisitante,BD25,Ganador,"Visitante")</f>
        <v>0</v>
      </c>
      <c r="BH25" s="117" t="n">
        <f aca="false">+COUNTIFS(FGLocal,BD25,Ganador,"Empate")+COUNTIFS(FGVisitante,BD25,Ganador,"Empate")</f>
        <v>0</v>
      </c>
      <c r="BI25" s="117" t="n">
        <f aca="false">+COUNTIFS(FGVisitante,BD25,Ganador,"Local")+COUNTIFS(FGLocal,BD25,Ganador,"Visitante")</f>
        <v>1</v>
      </c>
      <c r="BJ25" s="117" t="n">
        <f aca="false">+SUMIFS(FG_GolesLocal,FGLocal,BD25,Ganador,"&lt;&gt;"&amp;"Pendiente",FG_GolesLocal,"&lt;&gt;"&amp;"",FG_GolesVisitante,"&lt;&gt;"&amp;"")+SUMIFS(FG_GolesVisitante,FGVisitante,BD25,Ganador,"&lt;&gt;"&amp;"Pendiente",FG_GolesLocal,"&lt;&gt;"&amp;"",FG_GolesVisitante,"&lt;&gt;"&amp;"")</f>
        <v>0</v>
      </c>
      <c r="BK25" s="117" t="n">
        <f aca="false">+SUMIFS(FG_GolesLocal,FGVisitante,BD25,Ganador,"&lt;&gt;"&amp;"Pendiente",FG_GolesLocal,"&lt;&gt;"&amp;"",FG_GolesVisitante,"&lt;&gt;"&amp;"")+SUMIFS(FG_GolesVisitante,FGLocal,BD25,Ganador,"&lt;&gt;"&amp;"Pendiente",FG_GolesLocal,"&lt;&gt;"&amp;"",FG_GolesVisitante,"&lt;&gt;"&amp;"")</f>
        <v>1</v>
      </c>
      <c r="BL25" s="117" t="n">
        <f aca="false">+BJ25-BK25</f>
        <v>-1</v>
      </c>
      <c r="BM25" s="117" t="str">
        <f aca="false">DD25&amp;BC25</f>
        <v>3E</v>
      </c>
      <c r="BN25" s="117" t="str">
        <f aca="false">DH25&amp;BC25</f>
        <v>3E</v>
      </c>
      <c r="BO25" s="118" t="n">
        <f aca="false">IF(AND($AJ$99=144,BF25&gt;=1),1,0)</f>
        <v>0</v>
      </c>
      <c r="BP25" s="118" t="n">
        <f aca="false">COUNTIFS($BO$6:$BO$53,"&gt;"&amp;BO25,$BC$6:$BC$53,INDEX(T_Equipos[Grupo],MATCH(BD25,T_Equipos[NombreEquipo],0)))+1</f>
        <v>1</v>
      </c>
      <c r="BQ25" s="118" t="str">
        <f aca="false">IF(COUNTIFS($BP$6:$BP$53,BP25,$BC$6:$BC$53,INDEX(T_Equipos[Grupo],MATCH(BD25,T_Equipos[NombreEquipo],0)))=1,"-","P."&amp;BP25&amp;" ("&amp;COUNTIFS($BP$6:$BP$53,BP25,$BC$6:$BC$53,INDEX(T_Equipos[Grupo],MATCH(BD25,T_Equipos[NombreEquipo],0)))&amp;")")</f>
        <v>P.1 (4)</v>
      </c>
      <c r="BR25" s="118" t="n">
        <f aca="false">IF($BQ25="-","-",BE25)</f>
        <v>0</v>
      </c>
      <c r="BS25" s="118" t="n">
        <f aca="false">BP25+COUNTIFS($BQ$6:$BQ$53,BQ25,$BR$6:BR$53,"&gt;"&amp;BR25,$BC$6:$BC$53,INDEX(T_Equipos[Grupo],MATCH(BD25,T_Equipos[NombreEquipo],0)))</f>
        <v>3</v>
      </c>
      <c r="BT25" s="118" t="str">
        <f aca="false">IF(COUNTIFS($BS$6:$BS$53,BS25,$BC$6:$BC$53,INDEX(T_Equipos[Grupo],MATCH(BD25,T_Equipos[NombreEquipo],0)))=1,"-","P."&amp;BS25&amp;" ("&amp;COUNTIFS($BS$6:$BS$53,BS25,$BC$6:$BC$53,INDEX(T_Equipos[Grupo],MATCH(BD25,T_Equipos[NombreEquipo],0)))&amp;")")</f>
        <v>P.3 (2)</v>
      </c>
      <c r="BU25" s="119" t="n">
        <f aca="false">IF($BT25="-","-",COUNTIFS(FGLocal,$BD25,Ganador,"Local",Part1Empate1V,$BT25)+COUNTIFS(FGVisitante,$BD25,Ganador,"Visitante",Part1Empate1L,$BT25))</f>
        <v>0</v>
      </c>
      <c r="BV25" s="119" t="n">
        <f aca="false">IF($BT25="-","-",COUNTIFS(FGLocal,$BD25,Ganador,"Empate",Part1Empate1V,$BT25)+COUNTIFS(FGVisitante,$BD25,Ganador,"Empate",Part1Empate1L,$BT25))</f>
        <v>0</v>
      </c>
      <c r="BW25" s="119" t="n">
        <f aca="false">IF($BT25="-","-",COUNTIFS(FGLocal,$BD25,Ganador,"Visitante",Part1Empate1V,$BT25)+COUNTIFS(FGVisitante,$BD25,Ganador,"Local",Part1Empate1L,$BT25))</f>
        <v>0</v>
      </c>
      <c r="BX25" s="119" t="n">
        <f aca="false">IF($BT25="-","-",BU25*3+BV25)</f>
        <v>0</v>
      </c>
      <c r="BY25" s="119" t="n">
        <f aca="false">BS25+COUNTIFS($BT$6:$BT$53,BT25,$BX$6:BX$53,"&gt;"&amp;BX25,$BC$6:$BC$53,INDEX(T_Equipos[Grupo],MATCH(BD25,T_Equipos[NombreEquipo],0)))</f>
        <v>3</v>
      </c>
      <c r="BZ25" s="118" t="str">
        <f aca="false">IF(COUNTIFS($BY$6:$BY$53,BY25,$BC$6:$BC$53,INDEX(T_Equipos[Grupo],MATCH(BD25,T_Equipos[NombreEquipo],0)))=1,"-","P."&amp;BY25&amp;" ("&amp;COUNTIFS($BY$6:$BY$53,BY25,$BC$6:$BC$53,INDEX(T_Equipos[Grupo],MATCH(BD25,T_Equipos[NombreEquipo],0)))&amp;")")</f>
        <v>P.3 (2)</v>
      </c>
      <c r="CA25" s="119" t="n">
        <f aca="false">IF($BZ25="-","-",SUMIFS(FG_GolesLocal,FGLocal,$BD25,Part1Empate2V,$BZ25)+SUMIFS(FG_GolesVisitante,FGVisitante,$BD25,Part1Empate2L,$BZ25))</f>
        <v>0</v>
      </c>
      <c r="CB25" s="119" t="n">
        <f aca="false">IF($BZ25="-","-",SUMIFS(FG_GolesVisitante,FGLocal,$BD25,Part1Empate2V,$BZ25)+SUMIFS(FG_GolesLocal,FGVisitante,$BD25,Part1Empate2L,$BZ25))</f>
        <v>0</v>
      </c>
      <c r="CC25" s="119" t="n">
        <f aca="false">IF($BZ25="-","-",CA25-CB25)</f>
        <v>0</v>
      </c>
      <c r="CD25" s="119" t="n">
        <f aca="false">BY25+COUNTIFS($BZ$6:$BZ$53,BZ25,$CC$6:CC$53,"&gt;"&amp;CC25,$BC$6:$BC$53,INDEX(T_Equipos[Grupo],MATCH(BD25,T_Equipos[NombreEquipo],0)))</f>
        <v>3</v>
      </c>
      <c r="CE25" s="118" t="str">
        <f aca="false">IF(COUNTIFS($CD$6:$CD$53,CD25,$BC$6:$BC$53,INDEX(T_Equipos[Grupo],MATCH(BD25,T_Equipos[NombreEquipo],0)))=1,"-","P."&amp;CD25&amp;" ("&amp;COUNTIFS($CD$6:$CD$53,CD25,$BC$6:$BC$53,INDEX(T_Equipos[Grupo],MATCH(BD25,T_Equipos[NombreEquipo],0)))&amp;")")</f>
        <v>P.3 (2)</v>
      </c>
      <c r="CF25" s="119" t="n">
        <f aca="false">IF($CE25="-","-",SUMIFS(FG_GolesLocal,FGLocal,$BD25,Part1Empate3V,$CE25)+SUMIFS(FG_GolesVisitante,FGVisitante,$BD25,Part1Empate3L,$CE25))</f>
        <v>0</v>
      </c>
      <c r="CG25" s="119" t="n">
        <f aca="false">CD25+COUNTIFS($CE$6:$CE$53,CE25,$CF$6:CF$53,"&gt;"&amp;CF25,$BC$6:$BC$53,INDEX(T_Equipos[Grupo],MATCH(BD25,T_Equipos[NombreEquipo],0)))</f>
        <v>3</v>
      </c>
      <c r="CH25" s="118" t="str">
        <f aca="false">IF(COUNTIFS($CG$6:$CG$53,CG25,$BC$6:$BC$53,INDEX(T_Equipos[Grupo],MATCH(BD25,T_Equipos[NombreEquipo],0)))=1,"-","P."&amp;CG25&amp;" ("&amp;COUNTIFS($CG$6:$CG$53,CG25,$BC$6:$BC$53,INDEX(T_Equipos[Grupo],MATCH(BD25,T_Equipos[NombreEquipo],0)))&amp;")")</f>
        <v>P.3 (2)</v>
      </c>
      <c r="CI25" s="119" t="n">
        <f aca="false">IF($CH25="-","-",COUNTIFS(FGLocal,$BD25,Ganador,"Local",Part2Empate4V,$CH25)+COUNTIFS(FGVisitante,$BD25,Ganador,"Visitante",Part2Empate4L,$CH25))</f>
        <v>0</v>
      </c>
      <c r="CJ25" s="119" t="n">
        <f aca="false">IF($CH25="-","-",COUNTIFS(FGLocal,$BD25,Ganador,"Empate",Part2Empate4V,$CH25)+COUNTIFS(FGVisitante,$BD25,Ganador,"Empate",Part2Empate4L,$CH25))</f>
        <v>0</v>
      </c>
      <c r="CK25" s="119" t="n">
        <f aca="false">IF($CH25="-","-",COUNTIFS(FGLocal,$BD25,Ganador,"Visitante",Part2Empate4V,$CH25)+COUNTIFS(FGVisitante,$BD25,Ganador,"Local",Part2Empate4L,$CH25))</f>
        <v>0</v>
      </c>
      <c r="CL25" s="119" t="n">
        <f aca="false">IF($CH25="-","-",CI25*3+CJ25)</f>
        <v>0</v>
      </c>
      <c r="CM25" s="119" t="n">
        <f aca="false">CG25+COUNTIFS($CH$6:$CH$53,CH25,$CL$6:CL$53,"&gt;"&amp;CL25,$BC$6:$BC$53,INDEX(T_Equipos[Grupo],MATCH(BD25,T_Equipos[NombreEquipo],0)))</f>
        <v>3</v>
      </c>
      <c r="CN25" s="118" t="str">
        <f aca="false">IF(COUNTIFS($CM$6:$CM$53,CM25,$BC$6:$BC$53,INDEX(T_Equipos[Grupo],MATCH(BD25,T_Equipos[NombreEquipo],0)))=1,"-","P."&amp;CM25&amp;" ("&amp;COUNTIFS($CM$6:$CM$53,CM25,$BC$6:$BC$53,INDEX(T_Equipos[Grupo],MATCH(BD25,T_Equipos[NombreEquipo],0)))&amp;")")</f>
        <v>P.3 (2)</v>
      </c>
      <c r="CO25" s="119" t="n">
        <f aca="false">IF($CN25="-","-",SUMIFS(FG_GolesLocal,FGLocal,$BD25,Part2Empate5V,$CN25)+SUMIFS(FG_GolesVisitante,FGVisitante,$BD25,Part2Empate5L,$CN25))</f>
        <v>0</v>
      </c>
      <c r="CP25" s="119" t="n">
        <f aca="false">IF($CN25="-","-",SUMIFS(FG_GolesVisitante,FGLocal,$BD25,Part2Empate5V,$CN25)+SUMIFS(FG_GolesLocal,FGVisitante,$BD25,Part2Empate5L,$CN25))</f>
        <v>0</v>
      </c>
      <c r="CQ25" s="119" t="n">
        <f aca="false">IF($CN25="-","-",CO25-CP25)</f>
        <v>0</v>
      </c>
      <c r="CR25" s="119" t="n">
        <f aca="false">CM25+COUNTIFS($CN$6:$CN$53,CN25,$CQ$6:CQ$53,"&gt;"&amp;CQ25,$BC$6:$BC$53,INDEX(T_Equipos[Grupo],MATCH(BD25,T_Equipos[NombreEquipo],0)))</f>
        <v>3</v>
      </c>
      <c r="CS25" s="118" t="str">
        <f aca="false">IF(COUNTIFS($CR$6:$CR$53,CR25,$BC$6:$BC$53,INDEX(T_Equipos[Grupo],MATCH(BD25,T_Equipos[NombreEquipo],0)))=1,"-","P."&amp;CR25&amp;" ("&amp;COUNTIFS($CR$6:$CR$53,CR25,$BC$6:$BC$53,INDEX(T_Equipos[Grupo],MATCH(BD25,T_Equipos[NombreEquipo],0)))&amp;")")</f>
        <v>P.3 (2)</v>
      </c>
      <c r="CT25" s="119" t="n">
        <f aca="false">IF($CS25="-","-",SUMIFS(FG_GolesLocal,FGLocal,$BD25,Part2Empate6V,$CS25)+SUMIFS(FG_GolesVisitante,FGVisitante,$BD25,Part2Empate6L,$CS25))</f>
        <v>0</v>
      </c>
      <c r="CU25" s="119" t="n">
        <f aca="false">CR25+COUNTIFS($CS$6:$CS$53,CS25,$CT$6:CT$53,"&gt;"&amp;CT25,$BC$6:$BC$53,INDEX(T_Equipos[Grupo],MATCH(BD25,T_Equipos[NombreEquipo],0)))</f>
        <v>3</v>
      </c>
      <c r="CV25" s="118" t="str">
        <f aca="false">IF(COUNTIFS($CU$6:$CU$53,CU25,$BC$6:$BC$53,INDEX(T_Equipos[Grupo],MATCH(BD25,T_Equipos[NombreEquipo],0)))=1,"-","P."&amp;CU25&amp;" ("&amp;COUNTIFS($CU$6:$CU$53,CU25,$BC$6:$BC$53,INDEX(T_Equipos[Grupo],MATCH(BD25,T_Equipos[NombreEquipo],0)))&amp;")")</f>
        <v>P.3 (2)</v>
      </c>
      <c r="CW25" s="118" t="n">
        <f aca="false">IF(CV25="-","-",BL25)</f>
        <v>-1</v>
      </c>
      <c r="CX25" s="118" t="n">
        <f aca="false">CU25+COUNTIFS($CV$6:$CV$53,CV25,$CW$6:CW$53,"&gt;"&amp;CW25,$BC$6:$BC$53,INDEX(T_Equipos[Grupo],MATCH(BD25,T_Equipos[NombreEquipo],0)))</f>
        <v>3</v>
      </c>
      <c r="CY25" s="118" t="str">
        <f aca="false">IF(COUNTIFS($CX$6:$CX$53,CX25,$BC$6:$BC$53,INDEX(T_Equipos[Grupo],MATCH(BD25,T_Equipos[NombreEquipo],0)))=1,"-","P."&amp;CX25&amp;" ("&amp;COUNTIFS($CX$6:$CX$53,CX25,$BC$6:$BC$53,INDEX(T_Equipos[Grupo],MATCH(BD25,T_Equipos[NombreEquipo],0)))&amp;")")</f>
        <v>-</v>
      </c>
      <c r="CZ25" s="118" t="str">
        <f aca="false">IF(CY25="-","-",BJ25)</f>
        <v>-</v>
      </c>
      <c r="DA25" s="119" t="n">
        <f aca="false">CX25+COUNTIFS($CY$6:$CY$53,CY25,$CZ$6:CZ$53,"&gt;"&amp;CZ25,$BC$6:$BC$53,INDEX(T_Equipos[Grupo],MATCH(BD25,T_Equipos[NombreEquipo],0)))</f>
        <v>3</v>
      </c>
      <c r="DB25" s="118" t="str">
        <f aca="false">IF(COUNTIFS($DA$6:$DA$53,DA25,$BC$6:$BC$53,INDEX(T_Equipos[Grupo],MATCH(BD25,T_Equipos[NombreEquipo],0)))=1,"-","P."&amp;DA25&amp;" ("&amp;COUNTIFS($DA$6:$DA$53,DA25,$BC$6:$BC$53,INDEX(T_Equipos[Grupo],MATCH(BD25,T_Equipos[NombreEquipo],0)))&amp;")")</f>
        <v>-</v>
      </c>
      <c r="DC25" s="116" t="str">
        <f aca="false">IF(DB25="-","-",COUNTIFS(T_Equipos[Rank],"&lt;"&amp;INDEX(T_Equipos[Rank],MATCH(BD25,T_Equipos[NombreEquipo],0)),$BC$6:$BC$53,INDEX(T_Equipos[Grupo],MATCH(BD25,T_Equipos[NombreEquipo],0)))+1)</f>
        <v>-</v>
      </c>
      <c r="DD25" s="116" t="n">
        <f aca="false">DA25+COUNTIFS($DB$6:$DB$53,DB25,$DC$6:DC$53,"&lt;"&amp;DC25,$BC$6:$BC$53,INDEX(T_Equipos[Grupo],MATCH(BD25,T_Equipos[NombreEquipo],0)))</f>
        <v>3</v>
      </c>
      <c r="DE25" s="116"/>
      <c r="DF25" s="116" t="n">
        <f aca="false">IF(OR(INDEX($AW$6:$AW$97,MATCH($BD25,$AV$6:$AV$97,0))="",DB25="-"),DD25,INDEX($AW$6:$AW$97,MATCH($BD25,$AV$6:$AV$97,0))+DD25/1000)</f>
        <v>3</v>
      </c>
      <c r="DG25" s="116" t="str">
        <f aca="false">IF(DB25="-","-",COUNTIFS(DF$6:DF$53,"&lt;"&amp;DF25,$BC$6:$BC$53,INDEX(T_Equipos[Grupo],MATCH(BD25,T_Equipos[NombreEquipo],0))))</f>
        <v>-</v>
      </c>
      <c r="DH25" s="116" t="n">
        <f aca="false">DA25+COUNTIFS(DB$6:DB$53,DB25,DG$6:DG$53,"&lt;"&amp;DG25,$BC$6:$BC$53,INDEX(T_Equipos[Grupo],MATCH(BD25,T_Equipos[NombreEquipo],0)))</f>
        <v>3</v>
      </c>
      <c r="DI25" s="55"/>
      <c r="DJ25" s="55" t="n">
        <f aca="false">INDEX($DA$6:$DA$53,MATCH($DQ25,$BD$6:$BD$53,0))</f>
        <v>4</v>
      </c>
      <c r="DK25" s="55" t="n">
        <f aca="false">+SUMIF($BC$6:$BC$53,BC25,$BF$6:$BF$53)</f>
        <v>4</v>
      </c>
      <c r="DL25" s="55" t="n">
        <f aca="false">IF(OR(DK25=12,$AJ$99=144),COUNTIFS($DJ$6:$DJ$53,DJ25,$BC$6:$BC$53,BC25),1)</f>
        <v>1</v>
      </c>
      <c r="DM25" s="120" t="str">
        <f aca="false">DJ25&amp;"."&amp;DL25</f>
        <v>4.1</v>
      </c>
      <c r="DN25" s="55" t="n">
        <f aca="true" t="array" ref="DN25:DN25">OFFSET(Horarios!$P$3,DJ25-1,0,DL25,1)</f>
        <v>4</v>
      </c>
      <c r="DO25" s="55"/>
      <c r="DP25" s="55" t="s">
        <v>99</v>
      </c>
      <c r="DQ25" s="55" t="str">
        <f aca="false">INDEX($BD$6:$BD$53,MATCH(DP25,$BM$6:$BM$53,0))</f>
        <v>Curazao</v>
      </c>
      <c r="DR25" s="55"/>
      <c r="DS25" s="55"/>
      <c r="DT25" s="55" t="str">
        <f aca="false">AA25&amp;"-"&amp;AF25</f>
        <v>Marruecos-Haití</v>
      </c>
      <c r="DU25" s="55"/>
      <c r="DV25" s="55"/>
      <c r="DW25" s="57"/>
    </row>
    <row r="26" customFormat="false" ht="15" hidden="false" customHeight="false" outlineLevel="0" collapsed="false">
      <c r="A26" s="39"/>
      <c r="B26" s="39"/>
      <c r="C26" s="39"/>
      <c r="D26" s="55"/>
      <c r="E26" s="55"/>
      <c r="F26" s="55"/>
      <c r="G26" s="55"/>
      <c r="H26" s="55"/>
      <c r="I26" s="55"/>
      <c r="J26" s="55"/>
      <c r="K26" s="55"/>
      <c r="L26" s="55"/>
      <c r="M26" s="55"/>
      <c r="N26" s="55"/>
      <c r="O26" s="55"/>
      <c r="P26" s="55"/>
      <c r="Q26" s="55"/>
      <c r="R26" s="55"/>
      <c r="S26" s="55"/>
      <c r="T26" s="55"/>
      <c r="U26" s="55"/>
      <c r="V26" s="46"/>
      <c r="W26" s="146"/>
      <c r="X26" s="147"/>
      <c r="Y26" s="146"/>
      <c r="Z26" s="148"/>
      <c r="AA26" s="149"/>
      <c r="AB26" s="150"/>
      <c r="AC26" s="151"/>
      <c r="AD26" s="151"/>
      <c r="AE26" s="150"/>
      <c r="AF26" s="152"/>
      <c r="AG26" s="182"/>
      <c r="AH26" s="84"/>
      <c r="AI26" s="43"/>
      <c r="AJ26" s="153"/>
      <c r="AK26" s="154"/>
      <c r="AL26" s="66"/>
      <c r="AM26" s="155"/>
      <c r="AN26" s="153"/>
      <c r="AO26" s="153"/>
      <c r="AP26" s="153"/>
      <c r="AQ26" s="153"/>
      <c r="AR26" s="153"/>
      <c r="AS26" s="153"/>
      <c r="AT26" s="153"/>
      <c r="AU26" s="156"/>
      <c r="AV26" s="157"/>
      <c r="AW26" s="158"/>
      <c r="AX26" s="113"/>
      <c r="AY26" s="146"/>
      <c r="AZ26" s="147"/>
      <c r="BA26" s="49"/>
      <c r="BB26" s="55"/>
      <c r="BC26" s="116" t="str">
        <f aca="false">+INDEX(T_Equipos[Grupo],MATCH(WORLDCUP!BD26,T_Equipos[NombreEquipo],0))</f>
        <v>F</v>
      </c>
      <c r="BD26" s="55" t="str">
        <f aca="false">+Equipos!B22</f>
        <v>Países Bajos</v>
      </c>
      <c r="BE26" s="117" t="n">
        <f aca="false">+BG26*3+BH26+IF($AZ$3="no",0,INDEX($AZ$6:$AZ$97,MATCH(BD26,$AY$6:$AY$97,0)))</f>
        <v>1</v>
      </c>
      <c r="BF26" s="117" t="n">
        <f aca="false">+BG26+BH26+BI26</f>
        <v>1</v>
      </c>
      <c r="BG26" s="117" t="n">
        <f aca="false">+COUNTIFS(FGLocal,BD26,Ganador,"Local")+COUNTIFS(FGVisitante,BD26,Ganador,"Visitante")</f>
        <v>0</v>
      </c>
      <c r="BH26" s="117" t="n">
        <f aca="false">+COUNTIFS(FGLocal,BD26,Ganador,"Empate")+COUNTIFS(FGVisitante,BD26,Ganador,"Empate")</f>
        <v>1</v>
      </c>
      <c r="BI26" s="117" t="n">
        <f aca="false">+COUNTIFS(FGVisitante,BD26,Ganador,"Local")+COUNTIFS(FGLocal,BD26,Ganador,"Visitante")</f>
        <v>0</v>
      </c>
      <c r="BJ26" s="117" t="n">
        <f aca="false">+SUMIFS(FG_GolesLocal,FGLocal,BD26,Ganador,"&lt;&gt;"&amp;"Pendiente",FG_GolesLocal,"&lt;&gt;"&amp;"",FG_GolesVisitante,"&lt;&gt;"&amp;"")+SUMIFS(FG_GolesVisitante,FGVisitante,BD26,Ganador,"&lt;&gt;"&amp;"Pendiente",FG_GolesLocal,"&lt;&gt;"&amp;"",FG_GolesVisitante,"&lt;&gt;"&amp;"")</f>
        <v>2</v>
      </c>
      <c r="BK26" s="117" t="n">
        <f aca="false">+SUMIFS(FG_GolesLocal,FGVisitante,BD26,Ganador,"&lt;&gt;"&amp;"Pendiente",FG_GolesLocal,"&lt;&gt;"&amp;"",FG_GolesVisitante,"&lt;&gt;"&amp;"")+SUMIFS(FG_GolesVisitante,FGLocal,BD26,Ganador,"&lt;&gt;"&amp;"Pendiente",FG_GolesLocal,"&lt;&gt;"&amp;"",FG_GolesVisitante,"&lt;&gt;"&amp;"")</f>
        <v>2</v>
      </c>
      <c r="BL26" s="117" t="n">
        <f aca="false">+BJ26-BK26</f>
        <v>0</v>
      </c>
      <c r="BM26" s="117" t="str">
        <f aca="false">DD26&amp;BC26</f>
        <v>2F</v>
      </c>
      <c r="BN26" s="117" t="str">
        <f aca="false">DH26&amp;BC26</f>
        <v>2F</v>
      </c>
      <c r="BO26" s="119" t="n">
        <f aca="false">IF(AND($AJ$99=144,BF26&gt;=1),1,0)</f>
        <v>0</v>
      </c>
      <c r="BP26" s="118" t="n">
        <f aca="false">COUNTIFS($BO$6:$BO$53,"&gt;"&amp;BO26,$BC$6:$BC$53,INDEX(T_Equipos[Grupo],MATCH(BD26,T_Equipos[NombreEquipo],0)))+1</f>
        <v>1</v>
      </c>
      <c r="BQ26" s="118" t="str">
        <f aca="false">IF(COUNTIFS($BP$6:$BP$53,BP26,$BC$6:$BC$53,INDEX(T_Equipos[Grupo],MATCH(BD26,T_Equipos[NombreEquipo],0)))=1,"-","P."&amp;BP26&amp;" ("&amp;COUNTIFS($BP$6:$BP$53,BP26,$BC$6:$BC$53,INDEX(T_Equipos[Grupo],MATCH(BD26,T_Equipos[NombreEquipo],0)))&amp;")")</f>
        <v>P.1 (4)</v>
      </c>
      <c r="BR26" s="119" t="n">
        <f aca="false">IF($BQ26="-","-",BE26)</f>
        <v>1</v>
      </c>
      <c r="BS26" s="118" t="n">
        <f aca="false">BP26+COUNTIFS($BQ$6:$BQ$53,BQ26,$BR$6:BR$53,"&gt;"&amp;BR26,$BC$6:$BC$53,INDEX(T_Equipos[Grupo],MATCH(BD26,T_Equipos[NombreEquipo],0)))</f>
        <v>2</v>
      </c>
      <c r="BT26" s="118" t="str">
        <f aca="false">IF(COUNTIFS($BS$6:$BS$53,BS26,$BC$6:$BC$53,INDEX(T_Equipos[Grupo],MATCH(BD26,T_Equipos[NombreEquipo],0)))=1,"-","P."&amp;BS26&amp;" ("&amp;COUNTIFS($BS$6:$BS$53,BS26,$BC$6:$BC$53,INDEX(T_Equipos[Grupo],MATCH(BD26,T_Equipos[NombreEquipo],0)))&amp;")")</f>
        <v>P.2 (2)</v>
      </c>
      <c r="BU26" s="119" t="n">
        <f aca="false">IF($BT26="-","-",COUNTIFS(FGLocal,$BD26,Ganador,"Local",Part1Empate1V,$BT26)+COUNTIFS(FGVisitante,$BD26,Ganador,"Visitante",Part1Empate1L,$BT26))</f>
        <v>0</v>
      </c>
      <c r="BV26" s="119" t="n">
        <f aca="false">IF($BT26="-","-",COUNTIFS(FGLocal,$BD26,Ganador,"Empate",Part1Empate1V,$BT26)+COUNTIFS(FGVisitante,$BD26,Ganador,"Empate",Part1Empate1L,$BT26))</f>
        <v>1</v>
      </c>
      <c r="BW26" s="119" t="n">
        <f aca="false">IF($BT26="-","-",COUNTIFS(FGLocal,$BD26,Ganador,"Visitante",Part1Empate1V,$BT26)+COUNTIFS(FGVisitante,$BD26,Ganador,"Local",Part1Empate1L,$BT26))</f>
        <v>0</v>
      </c>
      <c r="BX26" s="119" t="n">
        <f aca="false">IF($BT26="-","-",BU26*3+BV26)</f>
        <v>1</v>
      </c>
      <c r="BY26" s="119" t="n">
        <f aca="false">BS26+COUNTIFS($BT$6:$BT$53,BT26,$BX$6:BX$53,"&gt;"&amp;BX26,$BC$6:$BC$53,INDEX(T_Equipos[Grupo],MATCH(BD26,T_Equipos[NombreEquipo],0)))</f>
        <v>2</v>
      </c>
      <c r="BZ26" s="118" t="str">
        <f aca="false">IF(COUNTIFS($BY$6:$BY$53,BY26,$BC$6:$BC$53,INDEX(T_Equipos[Grupo],MATCH(BD26,T_Equipos[NombreEquipo],0)))=1,"-","P."&amp;BY26&amp;" ("&amp;COUNTIFS($BY$6:$BY$53,BY26,$BC$6:$BC$53,INDEX(T_Equipos[Grupo],MATCH(BD26,T_Equipos[NombreEquipo],0)))&amp;")")</f>
        <v>P.2 (2)</v>
      </c>
      <c r="CA26" s="119" t="n">
        <f aca="false">IF($BZ26="-","-",SUMIFS(FG_GolesLocal,FGLocal,$BD26,Part1Empate2V,$BZ26)+SUMIFS(FG_GolesVisitante,FGVisitante,$BD26,Part1Empate2L,$BZ26))</f>
        <v>2</v>
      </c>
      <c r="CB26" s="119" t="n">
        <f aca="false">IF($BZ26="-","-",SUMIFS(FG_GolesVisitante,FGLocal,$BD26,Part1Empate2V,$BZ26)+SUMIFS(FG_GolesLocal,FGVisitante,$BD26,Part1Empate2L,$BZ26))</f>
        <v>2</v>
      </c>
      <c r="CC26" s="119" t="n">
        <f aca="false">IF($BZ26="-","-",CA26-CB26)</f>
        <v>0</v>
      </c>
      <c r="CD26" s="119" t="n">
        <f aca="false">BY26+COUNTIFS($BZ$6:$BZ$53,BZ26,$CC$6:CC$53,"&gt;"&amp;CC26,$BC$6:$BC$53,INDEX(T_Equipos[Grupo],MATCH(BD26,T_Equipos[NombreEquipo],0)))</f>
        <v>2</v>
      </c>
      <c r="CE26" s="118" t="str">
        <f aca="false">IF(COUNTIFS($CD$6:$CD$53,CD26,$BC$6:$BC$53,INDEX(T_Equipos[Grupo],MATCH(BD26,T_Equipos[NombreEquipo],0)))=1,"-","P."&amp;CD26&amp;" ("&amp;COUNTIFS($CD$6:$CD$53,CD26,$BC$6:$BC$53,INDEX(T_Equipos[Grupo],MATCH(BD26,T_Equipos[NombreEquipo],0)))&amp;")")</f>
        <v>P.2 (2)</v>
      </c>
      <c r="CF26" s="119" t="n">
        <f aca="false">IF($CE26="-","-",SUMIFS(FG_GolesLocal,FGLocal,$BD26,Part1Empate3V,$CE26)+SUMIFS(FG_GolesVisitante,FGVisitante,$BD26,Part1Empate3L,$CE26))</f>
        <v>2</v>
      </c>
      <c r="CG26" s="119" t="n">
        <f aca="false">CD26+COUNTIFS($CE$6:$CE$53,CE26,$CF$6:CF$53,"&gt;"&amp;CF26,$BC$6:$BC$53,INDEX(T_Equipos[Grupo],MATCH(BD26,T_Equipos[NombreEquipo],0)))</f>
        <v>2</v>
      </c>
      <c r="CH26" s="118" t="str">
        <f aca="false">IF(COUNTIFS($CG$6:$CG$53,CG26,$BC$6:$BC$53,INDEX(T_Equipos[Grupo],MATCH(BD26,T_Equipos[NombreEquipo],0)))=1,"-","P."&amp;CG26&amp;" ("&amp;COUNTIFS($CG$6:$CG$53,CG26,$BC$6:$BC$53,INDEX(T_Equipos[Grupo],MATCH(BD26,T_Equipos[NombreEquipo],0)))&amp;")")</f>
        <v>P.2 (2)</v>
      </c>
      <c r="CI26" s="119" t="n">
        <f aca="false">IF($CH26="-","-",COUNTIFS(FGLocal,$BD26,Ganador,"Local",Part2Empate4V,$CH26)+COUNTIFS(FGVisitante,$BD26,Ganador,"Visitante",Part2Empate4L,$CH26))</f>
        <v>0</v>
      </c>
      <c r="CJ26" s="119" t="n">
        <f aca="false">IF($CH26="-","-",COUNTIFS(FGLocal,$BD26,Ganador,"Empate",Part2Empate4V,$CH26)+COUNTIFS(FGVisitante,$BD26,Ganador,"Empate",Part2Empate4L,$CH26))</f>
        <v>1</v>
      </c>
      <c r="CK26" s="119" t="n">
        <f aca="false">IF($CH26="-","-",COUNTIFS(FGLocal,$BD26,Ganador,"Visitante",Part2Empate4V,$CH26)+COUNTIFS(FGVisitante,$BD26,Ganador,"Local",Part2Empate4L,$CH26))</f>
        <v>0</v>
      </c>
      <c r="CL26" s="119" t="n">
        <f aca="false">IF($CH26="-","-",CI26*3+CJ26)</f>
        <v>1</v>
      </c>
      <c r="CM26" s="119" t="n">
        <f aca="false">CG26+COUNTIFS($CH$6:$CH$53,CH26,$CL$6:CL$53,"&gt;"&amp;CL26,$BC$6:$BC$53,INDEX(T_Equipos[Grupo],MATCH(BD26,T_Equipos[NombreEquipo],0)))</f>
        <v>2</v>
      </c>
      <c r="CN26" s="118" t="str">
        <f aca="false">IF(COUNTIFS($CM$6:$CM$53,CM26,$BC$6:$BC$53,INDEX(T_Equipos[Grupo],MATCH(BD26,T_Equipos[NombreEquipo],0)))=1,"-","P."&amp;CM26&amp;" ("&amp;COUNTIFS($CM$6:$CM$53,CM26,$BC$6:$BC$53,INDEX(T_Equipos[Grupo],MATCH(BD26,T_Equipos[NombreEquipo],0)))&amp;")")</f>
        <v>P.2 (2)</v>
      </c>
      <c r="CO26" s="119" t="n">
        <f aca="false">IF($CN26="-","-",SUMIFS(FG_GolesLocal,FGLocal,$BD26,Part2Empate5V,$CN26)+SUMIFS(FG_GolesVisitante,FGVisitante,$BD26,Part2Empate5L,$CN26))</f>
        <v>2</v>
      </c>
      <c r="CP26" s="119" t="n">
        <f aca="false">IF($CN26="-","-",SUMIFS(FG_GolesVisitante,FGLocal,$BD26,Part2Empate5V,$CN26)+SUMIFS(FG_GolesLocal,FGVisitante,$BD26,Part2Empate5L,$CN26))</f>
        <v>2</v>
      </c>
      <c r="CQ26" s="119" t="n">
        <f aca="false">IF($CN26="-","-",CO26-CP26)</f>
        <v>0</v>
      </c>
      <c r="CR26" s="119" t="n">
        <f aca="false">CM26+COUNTIFS($CN$6:$CN$53,CN26,$CQ$6:CQ$53,"&gt;"&amp;CQ26,$BC$6:$BC$53,INDEX(T_Equipos[Grupo],MATCH(BD26,T_Equipos[NombreEquipo],0)))</f>
        <v>2</v>
      </c>
      <c r="CS26" s="118" t="str">
        <f aca="false">IF(COUNTIFS($CR$6:$CR$53,CR26,$BC$6:$BC$53,INDEX(T_Equipos[Grupo],MATCH(BD26,T_Equipos[NombreEquipo],0)))=1,"-","P."&amp;CR26&amp;" ("&amp;COUNTIFS($CR$6:$CR$53,CR26,$BC$6:$BC$53,INDEX(T_Equipos[Grupo],MATCH(BD26,T_Equipos[NombreEquipo],0)))&amp;")")</f>
        <v>P.2 (2)</v>
      </c>
      <c r="CT26" s="119" t="n">
        <f aca="false">IF($CS26="-","-",SUMIFS(FG_GolesLocal,FGLocal,$BD26,Part2Empate6V,$CS26)+SUMIFS(FG_GolesVisitante,FGVisitante,$BD26,Part2Empate6L,$CS26))</f>
        <v>2</v>
      </c>
      <c r="CU26" s="119" t="n">
        <f aca="false">CR26+COUNTIFS($CS$6:$CS$53,CS26,$CT$6:CT$53,"&gt;"&amp;CT26,$BC$6:$BC$53,INDEX(T_Equipos[Grupo],MATCH(BD26,T_Equipos[NombreEquipo],0)))</f>
        <v>2</v>
      </c>
      <c r="CV26" s="118" t="str">
        <f aca="false">IF(COUNTIFS($CU$6:$CU$53,CU26,$BC$6:$BC$53,INDEX(T_Equipos[Grupo],MATCH(BD26,T_Equipos[NombreEquipo],0)))=1,"-","P."&amp;CU26&amp;" ("&amp;COUNTIFS($CU$6:$CU$53,CU26,$BC$6:$BC$53,INDEX(T_Equipos[Grupo],MATCH(BD26,T_Equipos[NombreEquipo],0)))&amp;")")</f>
        <v>P.2 (2)</v>
      </c>
      <c r="CW26" s="118" t="n">
        <f aca="false">IF(CV26="-","-",BL26)</f>
        <v>0</v>
      </c>
      <c r="CX26" s="118" t="n">
        <f aca="false">CU26+COUNTIFS($CV$6:$CV$53,CV26,$CW$6:CW$53,"&gt;"&amp;CW26,$BC$6:$BC$53,INDEX(T_Equipos[Grupo],MATCH(BD26,T_Equipos[NombreEquipo],0)))</f>
        <v>2</v>
      </c>
      <c r="CY26" s="118" t="str">
        <f aca="false">IF(COUNTIFS($CX$6:$CX$53,CX26,$BC$6:$BC$53,INDEX(T_Equipos[Grupo],MATCH(BD26,T_Equipos[NombreEquipo],0)))=1,"-","P."&amp;CX26&amp;" ("&amp;COUNTIFS($CX$6:$CX$53,CX26,$BC$6:$BC$53,INDEX(T_Equipos[Grupo],MATCH(BD26,T_Equipos[NombreEquipo],0)))&amp;")")</f>
        <v>P.2 (2)</v>
      </c>
      <c r="CZ26" s="118" t="n">
        <f aca="false">IF(CY26="-","-",BJ26)</f>
        <v>2</v>
      </c>
      <c r="DA26" s="119" t="n">
        <f aca="false">CX26+COUNTIFS($CY$6:$CY$53,CY26,$CZ$6:CZ$53,"&gt;"&amp;CZ26,$BC$6:$BC$53,INDEX(T_Equipos[Grupo],MATCH(BD26,T_Equipos[NombreEquipo],0)))</f>
        <v>2</v>
      </c>
      <c r="DB26" s="118" t="str">
        <f aca="false">IF(COUNTIFS($DA$6:$DA$53,DA26,$BC$6:$BC$53,INDEX(T_Equipos[Grupo],MATCH(BD26,T_Equipos[NombreEquipo],0)))=1,"-","P."&amp;DA26&amp;" ("&amp;COUNTIFS($DA$6:$DA$53,DA26,$BC$6:$BC$53,INDEX(T_Equipos[Grupo],MATCH(BD26,T_Equipos[NombreEquipo],0)))&amp;")")</f>
        <v>P.2 (2)</v>
      </c>
      <c r="DC26" s="116" t="n">
        <f aca="false">IF(DB26="-","-",COUNTIFS(T_Equipos[Rank],"&lt;"&amp;INDEX(T_Equipos[Rank],MATCH(BD26,T_Equipos[NombreEquipo],0)),$BC$6:$BC$53,INDEX(T_Equipos[Grupo],MATCH(BD26,T_Equipos[NombreEquipo],0)))+1)</f>
        <v>1</v>
      </c>
      <c r="DD26" s="116" t="n">
        <f aca="false">DA26+COUNTIFS($DB$6:$DB$53,DB26,$DC$6:DC$53,"&lt;"&amp;DC26,$BC$6:$BC$53,INDEX(T_Equipos[Grupo],MATCH(BD26,T_Equipos[NombreEquipo],0)))</f>
        <v>2</v>
      </c>
      <c r="DE26" s="116"/>
      <c r="DF26" s="116" t="n">
        <f aca="false">IF(OR(INDEX($AW$6:$AW$97,MATCH($BD26,$AV$6:$AV$97,0))="",DB26="-"),DD26,INDEX($AW$6:$AW$97,MATCH($BD26,$AV$6:$AV$97,0))+DD26/1000)</f>
        <v>2</v>
      </c>
      <c r="DG26" s="116" t="n">
        <f aca="false">IF(DB26="-","-",COUNTIFS(DF$6:DF$53,"&lt;"&amp;DF26,$BC$6:$BC$53,INDEX(T_Equipos[Grupo],MATCH(BD26,T_Equipos[NombreEquipo],0))))</f>
        <v>1</v>
      </c>
      <c r="DH26" s="116" t="n">
        <f aca="false">DA26+COUNTIFS(DB$6:DB$53,DB26,DG$6:DG$53,"&lt;"&amp;DG26,$BC$6:$BC$53,INDEX(T_Equipos[Grupo],MATCH(BD26,T_Equipos[NombreEquipo],0)))</f>
        <v>2</v>
      </c>
      <c r="DI26" s="55"/>
      <c r="DJ26" s="55" t="n">
        <f aca="false">INDEX($DA$6:$DA$53,MATCH($DQ26,$BD$6:$BD$53,0))</f>
        <v>1</v>
      </c>
      <c r="DK26" s="55" t="n">
        <f aca="false">+SUMIF($BC$6:$BC$53,BC26,$BF$6:$BF$53)</f>
        <v>4</v>
      </c>
      <c r="DL26" s="55" t="n">
        <f aca="false">IF(OR(DK26=12,$AJ$99=144),COUNTIFS($DJ$6:$DJ$53,DJ26,$BC$6:$BC$53,BC26),1)</f>
        <v>1</v>
      </c>
      <c r="DM26" s="120" t="str">
        <f aca="false">DJ26&amp;"."&amp;DL26</f>
        <v>1.1</v>
      </c>
      <c r="DN26" s="55" t="n">
        <f aca="true" t="array" ref="DN26:DN26">OFFSET(Horarios!$P$3,DJ26-1,0,DL26,1)</f>
        <v>1</v>
      </c>
      <c r="DO26" s="55"/>
      <c r="DP26" s="55" t="s">
        <v>100</v>
      </c>
      <c r="DQ26" s="55" t="str">
        <f aca="false">INDEX($BD$6:$BD$53,MATCH(DP26,$BM$6:$BM$53,0))</f>
        <v>Suecia</v>
      </c>
      <c r="DR26" s="55"/>
      <c r="DS26" s="55"/>
      <c r="DT26" s="55" t="str">
        <f aca="false">AA26&amp;"-"&amp;AF26</f>
        <v>-</v>
      </c>
      <c r="DU26" s="55"/>
      <c r="DV26" s="55"/>
      <c r="DW26" s="57"/>
    </row>
    <row r="27" customFormat="false" ht="15" hidden="false" customHeight="false" outlineLevel="0" collapsed="false">
      <c r="A27" s="39"/>
      <c r="B27" s="72"/>
      <c r="C27" s="39"/>
      <c r="D27" s="39"/>
      <c r="E27" s="39"/>
      <c r="F27" s="39"/>
      <c r="G27" s="39"/>
      <c r="H27" s="39"/>
      <c r="I27" s="39"/>
      <c r="J27" s="39"/>
      <c r="K27" s="39"/>
      <c r="L27" s="39"/>
      <c r="M27" s="39"/>
      <c r="N27" s="55"/>
      <c r="O27" s="55"/>
      <c r="P27" s="55"/>
      <c r="Q27" s="55"/>
      <c r="R27" s="55"/>
      <c r="S27" s="55"/>
      <c r="T27" s="55"/>
      <c r="U27" s="55"/>
      <c r="V27" s="46"/>
      <c r="W27" s="59"/>
      <c r="X27" s="60" t="str">
        <f aca="false">X11</f>
        <v>Fecha</v>
      </c>
      <c r="Y27" s="60" t="str">
        <f aca="false">Y11</f>
        <v>Hora</v>
      </c>
      <c r="Z27" s="61" t="str">
        <f aca="false">Z11</f>
        <v>Jor.</v>
      </c>
      <c r="AA27" s="62" t="str">
        <f aca="false">AA11</f>
        <v>Casa</v>
      </c>
      <c r="AB27" s="61"/>
      <c r="AC27" s="61" t="str">
        <f aca="false">AC3</f>
        <v>Gol</v>
      </c>
      <c r="AD27" s="61" t="str">
        <f aca="false">AD3</f>
        <v>Gol</v>
      </c>
      <c r="AE27" s="61"/>
      <c r="AF27" s="64" t="str">
        <f aca="false">AF11</f>
        <v>Fuera</v>
      </c>
      <c r="AG27" s="159"/>
      <c r="AH27" s="84"/>
      <c r="AI27" s="50"/>
      <c r="AJ27" s="66"/>
      <c r="AK27" s="160"/>
      <c r="AL27" s="66"/>
      <c r="AM27" s="66"/>
      <c r="AN27" s="66"/>
      <c r="AO27" s="66"/>
      <c r="AP27" s="66"/>
      <c r="AQ27" s="66"/>
      <c r="AR27" s="66"/>
      <c r="AS27" s="66"/>
      <c r="AT27" s="66"/>
      <c r="AU27" s="161"/>
      <c r="AV27" s="51"/>
      <c r="AW27" s="162"/>
      <c r="AX27" s="163"/>
      <c r="AY27" s="146"/>
      <c r="AZ27" s="147"/>
      <c r="BA27" s="49"/>
      <c r="BB27" s="55"/>
      <c r="BC27" s="116" t="str">
        <f aca="false">+INDEX(T_Equipos[Grupo],MATCH(WORLDCUP!BD27,T_Equipos[NombreEquipo],0))</f>
        <v>F</v>
      </c>
      <c r="BD27" s="55" t="str">
        <f aca="false">+Equipos!B23</f>
        <v>Japón</v>
      </c>
      <c r="BE27" s="117" t="n">
        <f aca="false">+BG27*3+BH27+IF($AZ$3="no",0,INDEX($AZ$6:$AZ$97,MATCH(BD27,$AY$6:$AY$97,0)))</f>
        <v>1</v>
      </c>
      <c r="BF27" s="117" t="n">
        <f aca="false">+BG27+BH27+BI27</f>
        <v>1</v>
      </c>
      <c r="BG27" s="117" t="n">
        <f aca="false">+COUNTIFS(FGLocal,BD27,Ganador,"Local")+COUNTIFS(FGVisitante,BD27,Ganador,"Visitante")</f>
        <v>0</v>
      </c>
      <c r="BH27" s="117" t="n">
        <f aca="false">+COUNTIFS(FGLocal,BD27,Ganador,"Empate")+COUNTIFS(FGVisitante,BD27,Ganador,"Empate")</f>
        <v>1</v>
      </c>
      <c r="BI27" s="117" t="n">
        <f aca="false">+COUNTIFS(FGVisitante,BD27,Ganador,"Local")+COUNTIFS(FGLocal,BD27,Ganador,"Visitante")</f>
        <v>0</v>
      </c>
      <c r="BJ27" s="117" t="n">
        <f aca="false">+SUMIFS(FG_GolesLocal,FGLocal,BD27,Ganador,"&lt;&gt;"&amp;"Pendiente",FG_GolesLocal,"&lt;&gt;"&amp;"",FG_GolesVisitante,"&lt;&gt;"&amp;"")+SUMIFS(FG_GolesVisitante,FGVisitante,BD27,Ganador,"&lt;&gt;"&amp;"Pendiente",FG_GolesLocal,"&lt;&gt;"&amp;"",FG_GolesVisitante,"&lt;&gt;"&amp;"")</f>
        <v>2</v>
      </c>
      <c r="BK27" s="117" t="n">
        <f aca="false">+SUMIFS(FG_GolesLocal,FGVisitante,BD27,Ganador,"&lt;&gt;"&amp;"Pendiente",FG_GolesLocal,"&lt;&gt;"&amp;"",FG_GolesVisitante,"&lt;&gt;"&amp;"")+SUMIFS(FG_GolesVisitante,FGLocal,BD27,Ganador,"&lt;&gt;"&amp;"Pendiente",FG_GolesLocal,"&lt;&gt;"&amp;"",FG_GolesVisitante,"&lt;&gt;"&amp;"")</f>
        <v>2</v>
      </c>
      <c r="BL27" s="117" t="n">
        <f aca="false">+BJ27-BK27</f>
        <v>0</v>
      </c>
      <c r="BM27" s="117" t="str">
        <f aca="false">DD27&amp;BC27</f>
        <v>3F</v>
      </c>
      <c r="BN27" s="117" t="str">
        <f aca="false">DH27&amp;BC27</f>
        <v>3F</v>
      </c>
      <c r="BO27" s="119" t="n">
        <f aca="false">IF(AND($AJ$99=144,BF27&gt;=1),1,0)</f>
        <v>0</v>
      </c>
      <c r="BP27" s="118" t="n">
        <f aca="false">COUNTIFS($BO$6:$BO$53,"&gt;"&amp;BO27,$BC$6:$BC$53,INDEX(T_Equipos[Grupo],MATCH(BD27,T_Equipos[NombreEquipo],0)))+1</f>
        <v>1</v>
      </c>
      <c r="BQ27" s="118" t="str">
        <f aca="false">IF(COUNTIFS($BP$6:$BP$53,BP27,$BC$6:$BC$53,INDEX(T_Equipos[Grupo],MATCH(BD27,T_Equipos[NombreEquipo],0)))=1,"-","P."&amp;BP27&amp;" ("&amp;COUNTIFS($BP$6:$BP$53,BP27,$BC$6:$BC$53,INDEX(T_Equipos[Grupo],MATCH(BD27,T_Equipos[NombreEquipo],0)))&amp;")")</f>
        <v>P.1 (4)</v>
      </c>
      <c r="BR27" s="119" t="n">
        <f aca="false">IF($BQ27="-","-",BE27)</f>
        <v>1</v>
      </c>
      <c r="BS27" s="118" t="n">
        <f aca="false">BP27+COUNTIFS($BQ$6:$BQ$53,BQ27,$BR$6:BR$53,"&gt;"&amp;BR27,$BC$6:$BC$53,INDEX(T_Equipos[Grupo],MATCH(BD27,T_Equipos[NombreEquipo],0)))</f>
        <v>2</v>
      </c>
      <c r="BT27" s="118" t="str">
        <f aca="false">IF(COUNTIFS($BS$6:$BS$53,BS27,$BC$6:$BC$53,INDEX(T_Equipos[Grupo],MATCH(BD27,T_Equipos[NombreEquipo],0)))=1,"-","P."&amp;BS27&amp;" ("&amp;COUNTIFS($BS$6:$BS$53,BS27,$BC$6:$BC$53,INDEX(T_Equipos[Grupo],MATCH(BD27,T_Equipos[NombreEquipo],0)))&amp;")")</f>
        <v>P.2 (2)</v>
      </c>
      <c r="BU27" s="119" t="n">
        <f aca="false">IF($BT27="-","-",COUNTIFS(FGLocal,$BD27,Ganador,"Local",Part1Empate1V,$BT27)+COUNTIFS(FGVisitante,$BD27,Ganador,"Visitante",Part1Empate1L,$BT27))</f>
        <v>0</v>
      </c>
      <c r="BV27" s="119" t="n">
        <f aca="false">IF($BT27="-","-",COUNTIFS(FGLocal,$BD27,Ganador,"Empate",Part1Empate1V,$BT27)+COUNTIFS(FGVisitante,$BD27,Ganador,"Empate",Part1Empate1L,$BT27))</f>
        <v>1</v>
      </c>
      <c r="BW27" s="119" t="n">
        <f aca="false">IF($BT27="-","-",COUNTIFS(FGLocal,$BD27,Ganador,"Visitante",Part1Empate1V,$BT27)+COUNTIFS(FGVisitante,$BD27,Ganador,"Local",Part1Empate1L,$BT27))</f>
        <v>0</v>
      </c>
      <c r="BX27" s="119" t="n">
        <f aca="false">IF($BT27="-","-",BU27*3+BV27)</f>
        <v>1</v>
      </c>
      <c r="BY27" s="119" t="n">
        <f aca="false">BS27+COUNTIFS($BT$6:$BT$53,BT27,$BX$6:BX$53,"&gt;"&amp;BX27,$BC$6:$BC$53,INDEX(T_Equipos[Grupo],MATCH(BD27,T_Equipos[NombreEquipo],0)))</f>
        <v>2</v>
      </c>
      <c r="BZ27" s="118" t="str">
        <f aca="false">IF(COUNTIFS($BY$6:$BY$53,BY27,$BC$6:$BC$53,INDEX(T_Equipos[Grupo],MATCH(BD27,T_Equipos[NombreEquipo],0)))=1,"-","P."&amp;BY27&amp;" ("&amp;COUNTIFS($BY$6:$BY$53,BY27,$BC$6:$BC$53,INDEX(T_Equipos[Grupo],MATCH(BD27,T_Equipos[NombreEquipo],0)))&amp;")")</f>
        <v>P.2 (2)</v>
      </c>
      <c r="CA27" s="119" t="n">
        <f aca="false">IF($BZ27="-","-",SUMIFS(FG_GolesLocal,FGLocal,$BD27,Part1Empate2V,$BZ27)+SUMIFS(FG_GolesVisitante,FGVisitante,$BD27,Part1Empate2L,$BZ27))</f>
        <v>2</v>
      </c>
      <c r="CB27" s="119" t="n">
        <f aca="false">IF($BZ27="-","-",SUMIFS(FG_GolesVisitante,FGLocal,$BD27,Part1Empate2V,$BZ27)+SUMIFS(FG_GolesLocal,FGVisitante,$BD27,Part1Empate2L,$BZ27))</f>
        <v>2</v>
      </c>
      <c r="CC27" s="119" t="n">
        <f aca="false">IF($BZ27="-","-",CA27-CB27)</f>
        <v>0</v>
      </c>
      <c r="CD27" s="119" t="n">
        <f aca="false">BY27+COUNTIFS($BZ$6:$BZ$53,BZ27,$CC$6:CC$53,"&gt;"&amp;CC27,$BC$6:$BC$53,INDEX(T_Equipos[Grupo],MATCH(BD27,T_Equipos[NombreEquipo],0)))</f>
        <v>2</v>
      </c>
      <c r="CE27" s="118" t="str">
        <f aca="false">IF(COUNTIFS($CD$6:$CD$53,CD27,$BC$6:$BC$53,INDEX(T_Equipos[Grupo],MATCH(BD27,T_Equipos[NombreEquipo],0)))=1,"-","P."&amp;CD27&amp;" ("&amp;COUNTIFS($CD$6:$CD$53,CD27,$BC$6:$BC$53,INDEX(T_Equipos[Grupo],MATCH(BD27,T_Equipos[NombreEquipo],0)))&amp;")")</f>
        <v>P.2 (2)</v>
      </c>
      <c r="CF27" s="119" t="n">
        <f aca="false">IF($CE27="-","-",SUMIFS(FG_GolesLocal,FGLocal,$BD27,Part1Empate3V,$CE27)+SUMIFS(FG_GolesVisitante,FGVisitante,$BD27,Part1Empate3L,$CE27))</f>
        <v>2</v>
      </c>
      <c r="CG27" s="119" t="n">
        <f aca="false">CD27+COUNTIFS($CE$6:$CE$53,CE27,$CF$6:CF$53,"&gt;"&amp;CF27,$BC$6:$BC$53,INDEX(T_Equipos[Grupo],MATCH(BD27,T_Equipos[NombreEquipo],0)))</f>
        <v>2</v>
      </c>
      <c r="CH27" s="118" t="str">
        <f aca="false">IF(COUNTIFS($CG$6:$CG$53,CG27,$BC$6:$BC$53,INDEX(T_Equipos[Grupo],MATCH(BD27,T_Equipos[NombreEquipo],0)))=1,"-","P."&amp;CG27&amp;" ("&amp;COUNTIFS($CG$6:$CG$53,CG27,$BC$6:$BC$53,INDEX(T_Equipos[Grupo],MATCH(BD27,T_Equipos[NombreEquipo],0)))&amp;")")</f>
        <v>P.2 (2)</v>
      </c>
      <c r="CI27" s="119" t="n">
        <f aca="false">IF($CH27="-","-",COUNTIFS(FGLocal,$BD27,Ganador,"Local",Part2Empate4V,$CH27)+COUNTIFS(FGVisitante,$BD27,Ganador,"Visitante",Part2Empate4L,$CH27))</f>
        <v>0</v>
      </c>
      <c r="CJ27" s="119" t="n">
        <f aca="false">IF($CH27="-","-",COUNTIFS(FGLocal,$BD27,Ganador,"Empate",Part2Empate4V,$CH27)+COUNTIFS(FGVisitante,$BD27,Ganador,"Empate",Part2Empate4L,$CH27))</f>
        <v>1</v>
      </c>
      <c r="CK27" s="119" t="n">
        <f aca="false">IF($CH27="-","-",COUNTIFS(FGLocal,$BD27,Ganador,"Visitante",Part2Empate4V,$CH27)+COUNTIFS(FGVisitante,$BD27,Ganador,"Local",Part2Empate4L,$CH27))</f>
        <v>0</v>
      </c>
      <c r="CL27" s="119" t="n">
        <f aca="false">IF($CH27="-","-",CI27*3+CJ27)</f>
        <v>1</v>
      </c>
      <c r="CM27" s="119" t="n">
        <f aca="false">CG27+COUNTIFS($CH$6:$CH$53,CH27,$CL$6:CL$53,"&gt;"&amp;CL27,$BC$6:$BC$53,INDEX(T_Equipos[Grupo],MATCH(BD27,T_Equipos[NombreEquipo],0)))</f>
        <v>2</v>
      </c>
      <c r="CN27" s="118" t="str">
        <f aca="false">IF(COUNTIFS($CM$6:$CM$53,CM27,$BC$6:$BC$53,INDEX(T_Equipos[Grupo],MATCH(BD27,T_Equipos[NombreEquipo],0)))=1,"-","P."&amp;CM27&amp;" ("&amp;COUNTIFS($CM$6:$CM$53,CM27,$BC$6:$BC$53,INDEX(T_Equipos[Grupo],MATCH(BD27,T_Equipos[NombreEquipo],0)))&amp;")")</f>
        <v>P.2 (2)</v>
      </c>
      <c r="CO27" s="119" t="n">
        <f aca="false">IF($CN27="-","-",SUMIFS(FG_GolesLocal,FGLocal,$BD27,Part2Empate5V,$CN27)+SUMIFS(FG_GolesVisitante,FGVisitante,$BD27,Part2Empate5L,$CN27))</f>
        <v>2</v>
      </c>
      <c r="CP27" s="119" t="n">
        <f aca="false">IF($CN27="-","-",SUMIFS(FG_GolesVisitante,FGLocal,$BD27,Part2Empate5V,$CN27)+SUMIFS(FG_GolesLocal,FGVisitante,$BD27,Part2Empate5L,$CN27))</f>
        <v>2</v>
      </c>
      <c r="CQ27" s="119" t="n">
        <f aca="false">IF($CN27="-","-",CO27-CP27)</f>
        <v>0</v>
      </c>
      <c r="CR27" s="119" t="n">
        <f aca="false">CM27+COUNTIFS($CN$6:$CN$53,CN27,$CQ$6:CQ$53,"&gt;"&amp;CQ27,$BC$6:$BC$53,INDEX(T_Equipos[Grupo],MATCH(BD27,T_Equipos[NombreEquipo],0)))</f>
        <v>2</v>
      </c>
      <c r="CS27" s="118" t="str">
        <f aca="false">IF(COUNTIFS($CR$6:$CR$53,CR27,$BC$6:$BC$53,INDEX(T_Equipos[Grupo],MATCH(BD27,T_Equipos[NombreEquipo],0)))=1,"-","P."&amp;CR27&amp;" ("&amp;COUNTIFS($CR$6:$CR$53,CR27,$BC$6:$BC$53,INDEX(T_Equipos[Grupo],MATCH(BD27,T_Equipos[NombreEquipo],0)))&amp;")")</f>
        <v>P.2 (2)</v>
      </c>
      <c r="CT27" s="119" t="n">
        <f aca="false">IF($CS27="-","-",SUMIFS(FG_GolesLocal,FGLocal,$BD27,Part2Empate6V,$CS27)+SUMIFS(FG_GolesVisitante,FGVisitante,$BD27,Part2Empate6L,$CS27))</f>
        <v>2</v>
      </c>
      <c r="CU27" s="119" t="n">
        <f aca="false">CR27+COUNTIFS($CS$6:$CS$53,CS27,$CT$6:CT$53,"&gt;"&amp;CT27,$BC$6:$BC$53,INDEX(T_Equipos[Grupo],MATCH(BD27,T_Equipos[NombreEquipo],0)))</f>
        <v>2</v>
      </c>
      <c r="CV27" s="118" t="str">
        <f aca="false">IF(COUNTIFS($CU$6:$CU$53,CU27,$BC$6:$BC$53,INDEX(T_Equipos[Grupo],MATCH(BD27,T_Equipos[NombreEquipo],0)))=1,"-","P."&amp;CU27&amp;" ("&amp;COUNTIFS($CU$6:$CU$53,CU27,$BC$6:$BC$53,INDEX(T_Equipos[Grupo],MATCH(BD27,T_Equipos[NombreEquipo],0)))&amp;")")</f>
        <v>P.2 (2)</v>
      </c>
      <c r="CW27" s="118" t="n">
        <f aca="false">IF(CV27="-","-",BL27)</f>
        <v>0</v>
      </c>
      <c r="CX27" s="118" t="n">
        <f aca="false">CU27+COUNTIFS($CV$6:$CV$53,CV27,$CW$6:CW$53,"&gt;"&amp;CW27,$BC$6:$BC$53,INDEX(T_Equipos[Grupo],MATCH(BD27,T_Equipos[NombreEquipo],0)))</f>
        <v>2</v>
      </c>
      <c r="CY27" s="118" t="str">
        <f aca="false">IF(COUNTIFS($CX$6:$CX$53,CX27,$BC$6:$BC$53,INDEX(T_Equipos[Grupo],MATCH(BD27,T_Equipos[NombreEquipo],0)))=1,"-","P."&amp;CX27&amp;" ("&amp;COUNTIFS($CX$6:$CX$53,CX27,$BC$6:$BC$53,INDEX(T_Equipos[Grupo],MATCH(BD27,T_Equipos[NombreEquipo],0)))&amp;")")</f>
        <v>P.2 (2)</v>
      </c>
      <c r="CZ27" s="118" t="n">
        <f aca="false">IF(CY27="-","-",BJ27)</f>
        <v>2</v>
      </c>
      <c r="DA27" s="119" t="n">
        <f aca="false">CX27+COUNTIFS($CY$6:$CY$53,CY27,$CZ$6:CZ$53,"&gt;"&amp;CZ27,$BC$6:$BC$53,INDEX(T_Equipos[Grupo],MATCH(BD27,T_Equipos[NombreEquipo],0)))</f>
        <v>2</v>
      </c>
      <c r="DB27" s="118" t="str">
        <f aca="false">IF(COUNTIFS($DA$6:$DA$53,DA27,$BC$6:$BC$53,INDEX(T_Equipos[Grupo],MATCH(BD27,T_Equipos[NombreEquipo],0)))=1,"-","P."&amp;DA27&amp;" ("&amp;COUNTIFS($DA$6:$DA$53,DA27,$BC$6:$BC$53,INDEX(T_Equipos[Grupo],MATCH(BD27,T_Equipos[NombreEquipo],0)))&amp;")")</f>
        <v>P.2 (2)</v>
      </c>
      <c r="DC27" s="116" t="n">
        <f aca="false">IF(DB27="-","-",COUNTIFS(T_Equipos[Rank],"&lt;"&amp;INDEX(T_Equipos[Rank],MATCH(BD27,T_Equipos[NombreEquipo],0)),$BC$6:$BC$53,INDEX(T_Equipos[Grupo],MATCH(BD27,T_Equipos[NombreEquipo],0)))+1)</f>
        <v>2</v>
      </c>
      <c r="DD27" s="116" t="n">
        <f aca="false">DA27+COUNTIFS($DB$6:$DB$53,DB27,$DC$6:DC$53,"&lt;"&amp;DC27,$BC$6:$BC$53,INDEX(T_Equipos[Grupo],MATCH(BD27,T_Equipos[NombreEquipo],0)))</f>
        <v>3</v>
      </c>
      <c r="DE27" s="116"/>
      <c r="DF27" s="116" t="n">
        <f aca="false">IF(OR(INDEX($AW$6:$AW$97,MATCH($BD27,$AV$6:$AV$97,0))="",DB27="-"),DD27,INDEX($AW$6:$AW$97,MATCH($BD27,$AV$6:$AV$97,0))+DD27/1000)</f>
        <v>3</v>
      </c>
      <c r="DG27" s="116" t="n">
        <f aca="false">IF(DB27="-","-",COUNTIFS(DF$6:DF$53,"&lt;"&amp;DF27,$BC$6:$BC$53,INDEX(T_Equipos[Grupo],MATCH(BD27,T_Equipos[NombreEquipo],0))))</f>
        <v>2</v>
      </c>
      <c r="DH27" s="116" t="n">
        <f aca="false">DA27+COUNTIFS(DB$6:DB$53,DB27,DG$6:DG$53,"&lt;"&amp;DG27,$BC$6:$BC$53,INDEX(T_Equipos[Grupo],MATCH(BD27,T_Equipos[NombreEquipo],0)))</f>
        <v>3</v>
      </c>
      <c r="DI27" s="55"/>
      <c r="DJ27" s="55" t="n">
        <f aca="false">INDEX($DA$6:$DA$53,MATCH($DQ27,$BD$6:$BD$53,0))</f>
        <v>2</v>
      </c>
      <c r="DK27" s="55" t="n">
        <f aca="false">+SUMIF($BC$6:$BC$53,BC27,$BF$6:$BF$53)</f>
        <v>4</v>
      </c>
      <c r="DL27" s="55" t="n">
        <f aca="false">IF(OR(DK27=12,$AJ$99=144),COUNTIFS($DJ$6:$DJ$53,DJ27,$BC$6:$BC$53,BC27),1)</f>
        <v>1</v>
      </c>
      <c r="DM27" s="120" t="str">
        <f aca="false">DJ27&amp;"."&amp;DL27</f>
        <v>2.1</v>
      </c>
      <c r="DN27" s="55" t="n">
        <f aca="true" t="array" ref="DN27:DN27">OFFSET(Horarios!$P$3,DJ27-1,0,DL27,1)</f>
        <v>2</v>
      </c>
      <c r="DO27" s="55"/>
      <c r="DP27" s="55" t="s">
        <v>101</v>
      </c>
      <c r="DQ27" s="55" t="str">
        <f aca="false">INDEX($BD$6:$BD$53,MATCH(DP27,$BM$6:$BM$53,0))</f>
        <v>Países Bajos</v>
      </c>
      <c r="DR27" s="55"/>
      <c r="DS27" s="55"/>
      <c r="DT27" s="55" t="str">
        <f aca="false">AA27&amp;"-"&amp;AF27</f>
        <v>Casa-Fuera</v>
      </c>
      <c r="DU27" s="55"/>
      <c r="DV27" s="55"/>
      <c r="DW27" s="57"/>
    </row>
    <row r="28" customFormat="false" ht="15" hidden="false" customHeight="true" outlineLevel="0" collapsed="false">
      <c r="A28" s="71" t="s">
        <v>23</v>
      </c>
      <c r="B28" s="72" t="s">
        <v>102</v>
      </c>
      <c r="C28" s="44" t="n">
        <f aca="false">COUNTIF(Equipos!$C$2:$C$49,WORLDCUP!B28)</f>
        <v>4</v>
      </c>
      <c r="D28" s="55" t="str">
        <f aca="false">IF(OR(AC28="",AD28=""),"Pendiente",IF(AC28&gt;AD28,"Local",IF(AC28&lt;AD28,"Visitante","Empate")))</f>
        <v>Local</v>
      </c>
      <c r="E28" s="55" t="str">
        <f aca="false">IF(D28="Pendiente","-",INDEX($BT$6:$BT$53,MATCH($AA28,$BD$6:$BD$53,0)))</f>
        <v>P.1 (2)</v>
      </c>
      <c r="F28" s="55" t="str">
        <f aca="false">IF(D28="Pendiente","-",INDEX($BT$6:$BT$53,MATCH($AF28,$BD$6:$BD$53,0)))</f>
        <v>P.3 (2)</v>
      </c>
      <c r="G28" s="55"/>
      <c r="H28" s="55" t="str">
        <f aca="false">IF(D28="Pendiente","-",INDEX($BZ$6:$BZ$53,MATCH($AA28,$BD$6:$BD$53,0)))</f>
        <v>P.1 (2)</v>
      </c>
      <c r="I28" s="55" t="str">
        <f aca="false">IF(D28="Pendiente","-",INDEX($BZ$6:$BZ$53,MATCH($AF28,$BD$6:$BD$53,0)))</f>
        <v>P.3 (2)</v>
      </c>
      <c r="J28" s="55"/>
      <c r="K28" s="55" t="str">
        <f aca="false">IF(D28="Pendiente","-",INDEX($CE$6:$CE$53,MATCH($AA28,$BD$6:$BD$53,0)))</f>
        <v>P.1 (2)</v>
      </c>
      <c r="L28" s="55" t="str">
        <f aca="false">IF(D28="Pendiente","-",INDEX($CE$6:$CE$53,MATCH($AF28,$BD$6:$BD$53,0)))</f>
        <v>P.3 (2)</v>
      </c>
      <c r="M28" s="55"/>
      <c r="N28" s="55" t="str">
        <f aca="false">IF(D28="Pendiente","-",INDEX($CH$6:$CH$53,MATCH($AA28,$BD$6:$BD$53,0)))</f>
        <v>P.1 (2)</v>
      </c>
      <c r="O28" s="55" t="str">
        <f aca="false">IF(D28="Pendiente","-",INDEX($CH$6:$CH$53,MATCH($AF28,$BD$6:$BD$53,0)))</f>
        <v>P.3 (2)</v>
      </c>
      <c r="P28" s="55"/>
      <c r="Q28" s="55" t="str">
        <f aca="false">IF(D28="Pendiente","-",INDEX($CN$6:$CN$53,MATCH($AA28,$BD$6:$BD$53,0)))</f>
        <v>P.1 (2)</v>
      </c>
      <c r="R28" s="55" t="str">
        <f aca="false">IF(D28="Pendiente","-",INDEX($CN$6:$CN$53,MATCH($AF28,$BD$6:$BD$53,0)))</f>
        <v>P.3 (2)</v>
      </c>
      <c r="S28" s="55"/>
      <c r="T28" s="55" t="str">
        <f aca="false">IF(D28="Pendiente","-",INDEX($CS$6:$CS$53,MATCH($AA28,$BD$6:$BD$53,0)))</f>
        <v>P.1 (2)</v>
      </c>
      <c r="U28" s="55" t="str">
        <f aca="false">IF(D28="Pendiente","-",INDEX($CS$6:$CS$53,MATCH($AF28,$BD$6:$BD$53,0)))</f>
        <v>P.3 (2)</v>
      </c>
      <c r="V28" s="46"/>
      <c r="W28" s="185" t="s">
        <v>102</v>
      </c>
      <c r="X28" s="74" t="n">
        <f aca="false">Horarios!C28</f>
        <v>46186.125</v>
      </c>
      <c r="Y28" s="75" t="n">
        <f aca="false">Horarios!C28</f>
        <v>46186.125</v>
      </c>
      <c r="Z28" s="76" t="str">
        <f aca="false">$Z$4</f>
        <v>J1</v>
      </c>
      <c r="AA28" s="77" t="str">
        <f aca="false">A29</f>
        <v>Estados Unidos</v>
      </c>
      <c r="AB28" s="165" t="str">
        <f aca="true" t="array" ref="AB28:AB28">Ver_flag_local</f>
        <v/>
      </c>
      <c r="AC28" s="79" t="n">
        <v>4</v>
      </c>
      <c r="AD28" s="80" t="n">
        <v>1</v>
      </c>
      <c r="AE28" s="81" t="str">
        <f aca="true" t="array" ref="AE28:AE28">Ver_flag_visit</f>
        <v/>
      </c>
      <c r="AF28" s="82" t="str">
        <f aca="false">A30</f>
        <v>Paraguay</v>
      </c>
      <c r="AG28" s="83" t="n">
        <f aca="false">IF(NOT(OR(ISBLANK(AC28),ISBLANK(AD28))),1,0)</f>
        <v>1</v>
      </c>
      <c r="AH28" s="84" t="n">
        <v>4</v>
      </c>
      <c r="AI28" s="85"/>
      <c r="AJ28" s="86" t="str">
        <f aca="false">CONCATENATE(AJ3," ",B28)</f>
        <v>Grupo D</v>
      </c>
      <c r="AK28" s="86"/>
      <c r="AL28" s="86"/>
      <c r="AM28" s="86"/>
      <c r="AN28" s="86"/>
      <c r="AO28" s="86"/>
      <c r="AP28" s="86"/>
      <c r="AQ28" s="86"/>
      <c r="AR28" s="86"/>
      <c r="AS28" s="86"/>
      <c r="AT28" s="86"/>
      <c r="AU28" s="161"/>
      <c r="AV28" s="87" t="str">
        <f aca="false">IF(AU29&gt;0,$AV$3,"")</f>
        <v/>
      </c>
      <c r="AW28" s="97"/>
      <c r="AX28" s="168"/>
      <c r="AY28" s="146"/>
      <c r="AZ28" s="147"/>
      <c r="BA28" s="49"/>
      <c r="BB28" s="55"/>
      <c r="BC28" s="116" t="str">
        <f aca="false">+INDEX(T_Equipos[Grupo],MATCH(WORLDCUP!BD28,T_Equipos[NombreEquipo],0))</f>
        <v>F</v>
      </c>
      <c r="BD28" s="55" t="str">
        <f aca="false">+Equipos!B24</f>
        <v>Suecia</v>
      </c>
      <c r="BE28" s="117" t="n">
        <f aca="false">+BG28*3+BH28+IF($AZ$3="no",0,INDEX($AZ$6:$AZ$97,MATCH(BD28,$AY$6:$AY$97,0)))</f>
        <v>3</v>
      </c>
      <c r="BF28" s="117" t="n">
        <f aca="false">+BG28+BH28+BI28</f>
        <v>1</v>
      </c>
      <c r="BG28" s="117" t="n">
        <f aca="false">+COUNTIFS(FGLocal,BD28,Ganador,"Local")+COUNTIFS(FGVisitante,BD28,Ganador,"Visitante")</f>
        <v>1</v>
      </c>
      <c r="BH28" s="117" t="n">
        <f aca="false">+COUNTIFS(FGLocal,BD28,Ganador,"Empate")+COUNTIFS(FGVisitante,BD28,Ganador,"Empate")</f>
        <v>0</v>
      </c>
      <c r="BI28" s="117" t="n">
        <f aca="false">+COUNTIFS(FGVisitante,BD28,Ganador,"Local")+COUNTIFS(FGLocal,BD28,Ganador,"Visitante")</f>
        <v>0</v>
      </c>
      <c r="BJ28" s="117" t="n">
        <f aca="false">+SUMIFS(FG_GolesLocal,FGLocal,BD28,Ganador,"&lt;&gt;"&amp;"Pendiente",FG_GolesLocal,"&lt;&gt;"&amp;"",FG_GolesVisitante,"&lt;&gt;"&amp;"")+SUMIFS(FG_GolesVisitante,FGVisitante,BD28,Ganador,"&lt;&gt;"&amp;"Pendiente",FG_GolesLocal,"&lt;&gt;"&amp;"",FG_GolesVisitante,"&lt;&gt;"&amp;"")</f>
        <v>5</v>
      </c>
      <c r="BK28" s="117" t="n">
        <f aca="false">+SUMIFS(FG_GolesLocal,FGVisitante,BD28,Ganador,"&lt;&gt;"&amp;"Pendiente",FG_GolesLocal,"&lt;&gt;"&amp;"",FG_GolesVisitante,"&lt;&gt;"&amp;"")+SUMIFS(FG_GolesVisitante,FGLocal,BD28,Ganador,"&lt;&gt;"&amp;"Pendiente",FG_GolesLocal,"&lt;&gt;"&amp;"",FG_GolesVisitante,"&lt;&gt;"&amp;"")</f>
        <v>1</v>
      </c>
      <c r="BL28" s="117" t="n">
        <f aca="false">+BJ28-BK28</f>
        <v>4</v>
      </c>
      <c r="BM28" s="117" t="str">
        <f aca="false">DD28&amp;BC28</f>
        <v>1F</v>
      </c>
      <c r="BN28" s="117" t="str">
        <f aca="false">DH28&amp;BC28</f>
        <v>1F</v>
      </c>
      <c r="BO28" s="119" t="n">
        <f aca="false">IF(AND($AJ$99=144,BF28&gt;=1),1,0)</f>
        <v>0</v>
      </c>
      <c r="BP28" s="118" t="n">
        <f aca="false">COUNTIFS($BO$6:$BO$53,"&gt;"&amp;BO28,$BC$6:$BC$53,INDEX(T_Equipos[Grupo],MATCH(BD28,T_Equipos[NombreEquipo],0)))+1</f>
        <v>1</v>
      </c>
      <c r="BQ28" s="118" t="str">
        <f aca="false">IF(COUNTIFS($BP$6:$BP$53,BP28,$BC$6:$BC$53,INDEX(T_Equipos[Grupo],MATCH(BD28,T_Equipos[NombreEquipo],0)))=1,"-","P."&amp;BP28&amp;" ("&amp;COUNTIFS($BP$6:$BP$53,BP28,$BC$6:$BC$53,INDEX(T_Equipos[Grupo],MATCH(BD28,T_Equipos[NombreEquipo],0)))&amp;")")</f>
        <v>P.1 (4)</v>
      </c>
      <c r="BR28" s="119" t="n">
        <f aca="false">IF($BQ28="-","-",BE28)</f>
        <v>3</v>
      </c>
      <c r="BS28" s="118" t="n">
        <f aca="false">BP28+COUNTIFS($BQ$6:$BQ$53,BQ28,$BR$6:BR$53,"&gt;"&amp;BR28,$BC$6:$BC$53,INDEX(T_Equipos[Grupo],MATCH(BD28,T_Equipos[NombreEquipo],0)))</f>
        <v>1</v>
      </c>
      <c r="BT28" s="118" t="str">
        <f aca="false">IF(COUNTIFS($BS$6:$BS$53,BS28,$BC$6:$BC$53,INDEX(T_Equipos[Grupo],MATCH(BD28,T_Equipos[NombreEquipo],0)))=1,"-","P."&amp;BS28&amp;" ("&amp;COUNTIFS($BS$6:$BS$53,BS28,$BC$6:$BC$53,INDEX(T_Equipos[Grupo],MATCH(BD28,T_Equipos[NombreEquipo],0)))&amp;")")</f>
        <v>-</v>
      </c>
      <c r="BU28" s="119" t="str">
        <f aca="false">IF($BT28="-","-",COUNTIFS(FGLocal,$BD28,Ganador,"Local",Part1Empate1V,$BT28)+COUNTIFS(FGVisitante,$BD28,Ganador,"Visitante",Part1Empate1L,$BT28))</f>
        <v>-</v>
      </c>
      <c r="BV28" s="119" t="str">
        <f aca="false">IF($BT28="-","-",COUNTIFS(FGLocal,$BD28,Ganador,"Empate",Part1Empate1V,$BT28)+COUNTIFS(FGVisitante,$BD28,Ganador,"Empate",Part1Empate1L,$BT28))</f>
        <v>-</v>
      </c>
      <c r="BW28" s="119" t="str">
        <f aca="false">IF($BT28="-","-",COUNTIFS(FGLocal,$BD28,Ganador,"Visitante",Part1Empate1V,$BT28)+COUNTIFS(FGVisitante,$BD28,Ganador,"Local",Part1Empate1L,$BT28))</f>
        <v>-</v>
      </c>
      <c r="BX28" s="119" t="str">
        <f aca="false">IF($BT28="-","-",BU28*3+BV28)</f>
        <v>-</v>
      </c>
      <c r="BY28" s="119" t="n">
        <f aca="false">BS28+COUNTIFS($BT$6:$BT$53,BT28,$BX$6:BX$53,"&gt;"&amp;BX28,$BC$6:$BC$53,INDEX(T_Equipos[Grupo],MATCH(BD28,T_Equipos[NombreEquipo],0)))</f>
        <v>1</v>
      </c>
      <c r="BZ28" s="118" t="str">
        <f aca="false">IF(COUNTIFS($BY$6:$BY$53,BY28,$BC$6:$BC$53,INDEX(T_Equipos[Grupo],MATCH(BD28,T_Equipos[NombreEquipo],0)))=1,"-","P."&amp;BY28&amp;" ("&amp;COUNTIFS($BY$6:$BY$53,BY28,$BC$6:$BC$53,INDEX(T_Equipos[Grupo],MATCH(BD28,T_Equipos[NombreEquipo],0)))&amp;")")</f>
        <v>-</v>
      </c>
      <c r="CA28" s="119" t="str">
        <f aca="false">IF($BZ28="-","-",SUMIFS(FG_GolesLocal,FGLocal,$BD28,Part1Empate2V,$BZ28)+SUMIFS(FG_GolesVisitante,FGVisitante,$BD28,Part1Empate2L,$BZ28))</f>
        <v>-</v>
      </c>
      <c r="CB28" s="119" t="str">
        <f aca="false">IF($BZ28="-","-",SUMIFS(FG_GolesVisitante,FGLocal,$BD28,Part1Empate2V,$BZ28)+SUMIFS(FG_GolesLocal,FGVisitante,$BD28,Part1Empate2L,$BZ28))</f>
        <v>-</v>
      </c>
      <c r="CC28" s="119" t="str">
        <f aca="false">IF($BZ28="-","-",CA28-CB28)</f>
        <v>-</v>
      </c>
      <c r="CD28" s="119" t="n">
        <f aca="false">BY28+COUNTIFS($BZ$6:$BZ$53,BZ28,$CC$6:CC$53,"&gt;"&amp;CC28,$BC$6:$BC$53,INDEX(T_Equipos[Grupo],MATCH(BD28,T_Equipos[NombreEquipo],0)))</f>
        <v>1</v>
      </c>
      <c r="CE28" s="118" t="str">
        <f aca="false">IF(COUNTIFS($CD$6:$CD$53,CD28,$BC$6:$BC$53,INDEX(T_Equipos[Grupo],MATCH(BD28,T_Equipos[NombreEquipo],0)))=1,"-","P."&amp;CD28&amp;" ("&amp;COUNTIFS($CD$6:$CD$53,CD28,$BC$6:$BC$53,INDEX(T_Equipos[Grupo],MATCH(BD28,T_Equipos[NombreEquipo],0)))&amp;")")</f>
        <v>-</v>
      </c>
      <c r="CF28" s="119" t="str">
        <f aca="false">IF($CE28="-","-",SUMIFS(FG_GolesLocal,FGLocal,$BD28,Part1Empate3V,$CE28)+SUMIFS(FG_GolesVisitante,FGVisitante,$BD28,Part1Empate3L,$CE28))</f>
        <v>-</v>
      </c>
      <c r="CG28" s="119" t="n">
        <f aca="false">CD28+COUNTIFS($CE$6:$CE$53,CE28,$CF$6:CF$53,"&gt;"&amp;CF28,$BC$6:$BC$53,INDEX(T_Equipos[Grupo],MATCH(BD28,T_Equipos[NombreEquipo],0)))</f>
        <v>1</v>
      </c>
      <c r="CH28" s="118" t="str">
        <f aca="false">IF(COUNTIFS($CG$6:$CG$53,CG28,$BC$6:$BC$53,INDEX(T_Equipos[Grupo],MATCH(BD28,T_Equipos[NombreEquipo],0)))=1,"-","P."&amp;CG28&amp;" ("&amp;COUNTIFS($CG$6:$CG$53,CG28,$BC$6:$BC$53,INDEX(T_Equipos[Grupo],MATCH(BD28,T_Equipos[NombreEquipo],0)))&amp;")")</f>
        <v>-</v>
      </c>
      <c r="CI28" s="119" t="str">
        <f aca="false">IF($CH28="-","-",COUNTIFS(FGLocal,$BD28,Ganador,"Local",Part2Empate4V,$CH28)+COUNTIFS(FGVisitante,$BD28,Ganador,"Visitante",Part2Empate4L,$CH28))</f>
        <v>-</v>
      </c>
      <c r="CJ28" s="119" t="str">
        <f aca="false">IF($CH28="-","-",COUNTIFS(FGLocal,$BD28,Ganador,"Empate",Part2Empate4V,$CH28)+COUNTIFS(FGVisitante,$BD28,Ganador,"Empate",Part2Empate4L,$CH28))</f>
        <v>-</v>
      </c>
      <c r="CK28" s="119" t="str">
        <f aca="false">IF($CH28="-","-",COUNTIFS(FGLocal,$BD28,Ganador,"Visitante",Part2Empate4V,$CH28)+COUNTIFS(FGVisitante,$BD28,Ganador,"Local",Part2Empate4L,$CH28))</f>
        <v>-</v>
      </c>
      <c r="CL28" s="119" t="str">
        <f aca="false">IF($CH28="-","-",CI28*3+CJ28)</f>
        <v>-</v>
      </c>
      <c r="CM28" s="119" t="n">
        <f aca="false">CG28+COUNTIFS($CH$6:$CH$53,CH28,$CL$6:CL$53,"&gt;"&amp;CL28,$BC$6:$BC$53,INDEX(T_Equipos[Grupo],MATCH(BD28,T_Equipos[NombreEquipo],0)))</f>
        <v>1</v>
      </c>
      <c r="CN28" s="118" t="str">
        <f aca="false">IF(COUNTIFS($CM$6:$CM$53,CM28,$BC$6:$BC$53,INDEX(T_Equipos[Grupo],MATCH(BD28,T_Equipos[NombreEquipo],0)))=1,"-","P."&amp;CM28&amp;" ("&amp;COUNTIFS($CM$6:$CM$53,CM28,$BC$6:$BC$53,INDEX(T_Equipos[Grupo],MATCH(BD28,T_Equipos[NombreEquipo],0)))&amp;")")</f>
        <v>-</v>
      </c>
      <c r="CO28" s="119" t="str">
        <f aca="false">IF($CN28="-","-",SUMIFS(FG_GolesLocal,FGLocal,$BD28,Part2Empate5V,$CN28)+SUMIFS(FG_GolesVisitante,FGVisitante,$BD28,Part2Empate5L,$CN28))</f>
        <v>-</v>
      </c>
      <c r="CP28" s="119" t="str">
        <f aca="false">IF($CN28="-","-",SUMIFS(FG_GolesVisitante,FGLocal,$BD28,Part2Empate5V,$CN28)+SUMIFS(FG_GolesLocal,FGVisitante,$BD28,Part2Empate5L,$CN28))</f>
        <v>-</v>
      </c>
      <c r="CQ28" s="119" t="str">
        <f aca="false">IF($CN28="-","-",CO28-CP28)</f>
        <v>-</v>
      </c>
      <c r="CR28" s="119" t="n">
        <f aca="false">CM28+COUNTIFS($CN$6:$CN$53,CN28,$CQ$6:CQ$53,"&gt;"&amp;CQ28,$BC$6:$BC$53,INDEX(T_Equipos[Grupo],MATCH(BD28,T_Equipos[NombreEquipo],0)))</f>
        <v>1</v>
      </c>
      <c r="CS28" s="118" t="str">
        <f aca="false">IF(COUNTIFS($CR$6:$CR$53,CR28,$BC$6:$BC$53,INDEX(T_Equipos[Grupo],MATCH(BD28,T_Equipos[NombreEquipo],0)))=1,"-","P."&amp;CR28&amp;" ("&amp;COUNTIFS($CR$6:$CR$53,CR28,$BC$6:$BC$53,INDEX(T_Equipos[Grupo],MATCH(BD28,T_Equipos[NombreEquipo],0)))&amp;")")</f>
        <v>-</v>
      </c>
      <c r="CT28" s="119" t="str">
        <f aca="false">IF($CS28="-","-",SUMIFS(FG_GolesLocal,FGLocal,$BD28,Part2Empate6V,$CS28)+SUMIFS(FG_GolesVisitante,FGVisitante,$BD28,Part2Empate6L,$CS28))</f>
        <v>-</v>
      </c>
      <c r="CU28" s="119" t="n">
        <f aca="false">CR28+COUNTIFS($CS$6:$CS$53,CS28,$CT$6:CT$53,"&gt;"&amp;CT28,$BC$6:$BC$53,INDEX(T_Equipos[Grupo],MATCH(BD28,T_Equipos[NombreEquipo],0)))</f>
        <v>1</v>
      </c>
      <c r="CV28" s="118" t="str">
        <f aca="false">IF(COUNTIFS($CU$6:$CU$53,CU28,$BC$6:$BC$53,INDEX(T_Equipos[Grupo],MATCH(BD28,T_Equipos[NombreEquipo],0)))=1,"-","P."&amp;CU28&amp;" ("&amp;COUNTIFS($CU$6:$CU$53,CU28,$BC$6:$BC$53,INDEX(T_Equipos[Grupo],MATCH(BD28,T_Equipos[NombreEquipo],0)))&amp;")")</f>
        <v>-</v>
      </c>
      <c r="CW28" s="118" t="str">
        <f aca="false">IF(CV28="-","-",BL28)</f>
        <v>-</v>
      </c>
      <c r="CX28" s="118" t="n">
        <f aca="false">CU28+COUNTIFS($CV$6:$CV$53,CV28,$CW$6:CW$53,"&gt;"&amp;CW28,$BC$6:$BC$53,INDEX(T_Equipos[Grupo],MATCH(BD28,T_Equipos[NombreEquipo],0)))</f>
        <v>1</v>
      </c>
      <c r="CY28" s="118" t="str">
        <f aca="false">IF(COUNTIFS($CX$6:$CX$53,CX28,$BC$6:$BC$53,INDEX(T_Equipos[Grupo],MATCH(BD28,T_Equipos[NombreEquipo],0)))=1,"-","P."&amp;CX28&amp;" ("&amp;COUNTIFS($CX$6:$CX$53,CX28,$BC$6:$BC$53,INDEX(T_Equipos[Grupo],MATCH(BD28,T_Equipos[NombreEquipo],0)))&amp;")")</f>
        <v>-</v>
      </c>
      <c r="CZ28" s="118" t="str">
        <f aca="false">IF(CY28="-","-",BJ28)</f>
        <v>-</v>
      </c>
      <c r="DA28" s="119" t="n">
        <f aca="false">CX28+COUNTIFS($CY$6:$CY$53,CY28,$CZ$6:CZ$53,"&gt;"&amp;CZ28,$BC$6:$BC$53,INDEX(T_Equipos[Grupo],MATCH(BD28,T_Equipos[NombreEquipo],0)))</f>
        <v>1</v>
      </c>
      <c r="DB28" s="118" t="str">
        <f aca="false">IF(COUNTIFS($DA$6:$DA$53,DA28,$BC$6:$BC$53,INDEX(T_Equipos[Grupo],MATCH(BD28,T_Equipos[NombreEquipo],0)))=1,"-","P."&amp;DA28&amp;" ("&amp;COUNTIFS($DA$6:$DA$53,DA28,$BC$6:$BC$53,INDEX(T_Equipos[Grupo],MATCH(BD28,T_Equipos[NombreEquipo],0)))&amp;")")</f>
        <v>-</v>
      </c>
      <c r="DC28" s="116" t="str">
        <f aca="false">IF(DB28="-","-",COUNTIFS(T_Equipos[Rank],"&lt;"&amp;INDEX(T_Equipos[Rank],MATCH(BD28,T_Equipos[NombreEquipo],0)),$BC$6:$BC$53,INDEX(T_Equipos[Grupo],MATCH(BD28,T_Equipos[NombreEquipo],0)))+1)</f>
        <v>-</v>
      </c>
      <c r="DD28" s="116" t="n">
        <f aca="false">DA28+COUNTIFS($DB$6:$DB$53,DB28,$DC$6:DC$53,"&lt;"&amp;DC28,$BC$6:$BC$53,INDEX(T_Equipos[Grupo],MATCH(BD28,T_Equipos[NombreEquipo],0)))</f>
        <v>1</v>
      </c>
      <c r="DE28" s="116"/>
      <c r="DF28" s="116" t="n">
        <f aca="false">IF(OR(INDEX($AW$6:$AW$97,MATCH($BD28,$AV$6:$AV$97,0))="",DB28="-"),DD28,INDEX($AW$6:$AW$97,MATCH($BD28,$AV$6:$AV$97,0))+DD28/1000)</f>
        <v>1</v>
      </c>
      <c r="DG28" s="116" t="str">
        <f aca="false">IF(DB28="-","-",COUNTIFS(DF$6:DF$53,"&lt;"&amp;DF28,$BC$6:$BC$53,INDEX(T_Equipos[Grupo],MATCH(BD28,T_Equipos[NombreEquipo],0))))</f>
        <v>-</v>
      </c>
      <c r="DH28" s="116" t="n">
        <f aca="false">DA28+COUNTIFS(DB$6:DB$53,DB28,DG$6:DG$53,"&lt;"&amp;DG28,$BC$6:$BC$53,INDEX(T_Equipos[Grupo],MATCH(BD28,T_Equipos[NombreEquipo],0)))</f>
        <v>1</v>
      </c>
      <c r="DI28" s="55"/>
      <c r="DJ28" s="55" t="n">
        <f aca="false">INDEX($DA$6:$DA$53,MATCH($DQ28,$BD$6:$BD$53,0))</f>
        <v>2</v>
      </c>
      <c r="DK28" s="55" t="n">
        <f aca="false">+SUMIF($BC$6:$BC$53,BC28,$BF$6:$BF$53)</f>
        <v>4</v>
      </c>
      <c r="DL28" s="55" t="n">
        <f aca="false">IF(OR(DK28=12,$AJ$99=144),COUNTIFS($DJ$6:$DJ$53,DJ28,$BC$6:$BC$53,BC28),1)</f>
        <v>1</v>
      </c>
      <c r="DM28" s="120" t="str">
        <f aca="false">DJ28&amp;"."&amp;DL28</f>
        <v>2.1</v>
      </c>
      <c r="DN28" s="55" t="n">
        <f aca="true" t="array" ref="DN28:DN28">OFFSET(Horarios!$P$3,DJ28-1,0,DL28,1)</f>
        <v>2</v>
      </c>
      <c r="DO28" s="55"/>
      <c r="DP28" s="55" t="s">
        <v>103</v>
      </c>
      <c r="DQ28" s="55" t="str">
        <f aca="false">INDEX($BD$6:$BD$53,MATCH(DP28,$BM$6:$BM$53,0))</f>
        <v>Japón</v>
      </c>
      <c r="DR28" s="55"/>
      <c r="DS28" s="55"/>
      <c r="DT28" s="55" t="str">
        <f aca="false">AA28&amp;"-"&amp;AF28</f>
        <v>Estados Unidos-Paraguay</v>
      </c>
      <c r="DU28" s="55"/>
      <c r="DV28" s="55"/>
      <c r="DW28" s="57"/>
    </row>
    <row r="29" customFormat="false" ht="15.75" hidden="false" customHeight="true" outlineLevel="0" collapsed="false">
      <c r="A29" s="92" t="str">
        <f aca="false">+Equipos!B14</f>
        <v>Estados Unidos</v>
      </c>
      <c r="B29" s="72"/>
      <c r="C29" s="72"/>
      <c r="D29" s="55" t="str">
        <f aca="false">IF(OR(AC29="",AD29=""),"Pendiente",IF(AC29&gt;AD29,"Local",IF(AC29&lt;AD29,"Visitante","Empate")))</f>
        <v>Local</v>
      </c>
      <c r="E29" s="55" t="str">
        <f aca="false">IF(D29="Pendiente","-",INDEX($BT$6:$BT$53,MATCH($AA29,$BD$6:$BD$53,0)))</f>
        <v>P.1 (2)</v>
      </c>
      <c r="F29" s="55" t="str">
        <f aca="false">IF(D29="Pendiente","-",INDEX($BT$6:$BT$53,MATCH($AF29,$BD$6:$BD$53,0)))</f>
        <v>P.3 (2)</v>
      </c>
      <c r="G29" s="55"/>
      <c r="H29" s="55" t="str">
        <f aca="false">IF(D29="Pendiente","-",INDEX($BZ$6:$BZ$53,MATCH($AA29,$BD$6:$BD$53,0)))</f>
        <v>P.1 (2)</v>
      </c>
      <c r="I29" s="55" t="str">
        <f aca="false">IF(D29="Pendiente","-",INDEX($BZ$6:$BZ$53,MATCH($AF29,$BD$6:$BD$53,0)))</f>
        <v>P.3 (2)</v>
      </c>
      <c r="J29" s="55"/>
      <c r="K29" s="55" t="str">
        <f aca="false">IF(D29="Pendiente","-",INDEX($CE$6:$CE$53,MATCH($AA29,$BD$6:$BD$53,0)))</f>
        <v>P.1 (2)</v>
      </c>
      <c r="L29" s="55" t="str">
        <f aca="false">IF(D29="Pendiente","-",INDEX($CE$6:$CE$53,MATCH($AF29,$BD$6:$BD$53,0)))</f>
        <v>P.3 (2)</v>
      </c>
      <c r="M29" s="55"/>
      <c r="N29" s="55" t="str">
        <f aca="false">IF(D29="Pendiente","-",INDEX($CH$6:$CH$53,MATCH($AA29,$BD$6:$BD$53,0)))</f>
        <v>P.1 (2)</v>
      </c>
      <c r="O29" s="55" t="str">
        <f aca="false">IF(D29="Pendiente","-",INDEX($CH$6:$CH$53,MATCH($AF29,$BD$6:$BD$53,0)))</f>
        <v>P.3 (2)</v>
      </c>
      <c r="P29" s="55"/>
      <c r="Q29" s="55" t="str">
        <f aca="false">IF(D29="Pendiente","-",INDEX($CN$6:$CN$53,MATCH($AA29,$BD$6:$BD$53,0)))</f>
        <v>P.1 (2)</v>
      </c>
      <c r="R29" s="55" t="str">
        <f aca="false">IF(D29="Pendiente","-",INDEX($CN$6:$CN$53,MATCH($AF29,$BD$6:$BD$53,0)))</f>
        <v>P.3 (2)</v>
      </c>
      <c r="S29" s="55"/>
      <c r="T29" s="55" t="str">
        <f aca="false">IF(D29="Pendiente","-",INDEX($CS$6:$CS$53,MATCH($AA29,$BD$6:$BD$53,0)))</f>
        <v>P.1 (2)</v>
      </c>
      <c r="U29" s="55" t="str">
        <f aca="false">IF(D29="Pendiente","-",INDEX($CS$6:$CS$53,MATCH($AF29,$BD$6:$BD$53,0)))</f>
        <v>P.3 (2)</v>
      </c>
      <c r="V29" s="46"/>
      <c r="W29" s="185"/>
      <c r="X29" s="74" t="n">
        <f aca="false">Horarios!C29</f>
        <v>46187.25</v>
      </c>
      <c r="Y29" s="75" t="n">
        <f aca="false">Horarios!C29</f>
        <v>46187.25</v>
      </c>
      <c r="Z29" s="76" t="str">
        <f aca="false">$Z$4</f>
        <v>J1</v>
      </c>
      <c r="AA29" s="77" t="str">
        <f aca="false">A31</f>
        <v>Australia</v>
      </c>
      <c r="AB29" s="165" t="str">
        <f aca="true" t="array" ref="AB29:AB29">Ver_flag_local</f>
        <v/>
      </c>
      <c r="AC29" s="79" t="n">
        <v>2</v>
      </c>
      <c r="AD29" s="80" t="n">
        <v>0</v>
      </c>
      <c r="AE29" s="81" t="str">
        <f aca="true" t="array" ref="AE29:AE29">Ver_flag_visit</f>
        <v/>
      </c>
      <c r="AF29" s="82" t="str">
        <f aca="false">A32</f>
        <v>Turquía</v>
      </c>
      <c r="AG29" s="83" t="n">
        <f aca="false">IF(NOT(OR(ISBLANK(AC29),ISBLANK(AD29))),1,0)</f>
        <v>1</v>
      </c>
      <c r="AH29" s="84" t="n">
        <v>6</v>
      </c>
      <c r="AI29" s="85"/>
      <c r="AJ29" s="93" t="str">
        <f aca="false">AJ5</f>
        <v>Pos</v>
      </c>
      <c r="AK29" s="94"/>
      <c r="AL29" s="95" t="str">
        <f aca="false">AL5</f>
        <v>Selección</v>
      </c>
      <c r="AM29" s="94" t="str">
        <f aca="false">AM5</f>
        <v>Pts</v>
      </c>
      <c r="AN29" s="94" t="str">
        <f aca="false">AN5</f>
        <v>J</v>
      </c>
      <c r="AO29" s="94" t="str">
        <f aca="false">AO5</f>
        <v>G</v>
      </c>
      <c r="AP29" s="94" t="str">
        <f aca="false">AP5</f>
        <v>E</v>
      </c>
      <c r="AQ29" s="94" t="str">
        <f aca="false">AQ5</f>
        <v>P</v>
      </c>
      <c r="AR29" s="94" t="str">
        <f aca="false">AR5</f>
        <v>GF</v>
      </c>
      <c r="AS29" s="94" t="str">
        <f aca="false">AS5</f>
        <v>GC</v>
      </c>
      <c r="AT29" s="96" t="str">
        <f aca="false">AT5</f>
        <v>DG</v>
      </c>
      <c r="AU29" s="161" t="n">
        <f aca="false">COUNTIF(AU30:AU33,"&gt;1")</f>
        <v>0</v>
      </c>
      <c r="AV29" s="97"/>
      <c r="AW29" s="97"/>
      <c r="AX29" s="168"/>
      <c r="AY29" s="98" t="str">
        <f aca="false">AL29</f>
        <v>Selección</v>
      </c>
      <c r="AZ29" s="99" t="str">
        <f aca="false">+Idiomas!$D$69</f>
        <v>Puntos penalizados</v>
      </c>
      <c r="BA29" s="49"/>
      <c r="BB29" s="55"/>
      <c r="BC29" s="116" t="str">
        <f aca="false">+INDEX(T_Equipos[Grupo],MATCH(WORLDCUP!BD29,T_Equipos[NombreEquipo],0))</f>
        <v>F</v>
      </c>
      <c r="BD29" s="55" t="str">
        <f aca="false">+Equipos!B25</f>
        <v>Túnez</v>
      </c>
      <c r="BE29" s="117" t="n">
        <f aca="false">+BG29*3+BH29+IF($AZ$3="no",0,INDEX($AZ$6:$AZ$97,MATCH(BD29,$AY$6:$AY$97,0)))</f>
        <v>0</v>
      </c>
      <c r="BF29" s="117" t="n">
        <f aca="false">+BG29+BH29+BI29</f>
        <v>1</v>
      </c>
      <c r="BG29" s="117" t="n">
        <f aca="false">+COUNTIFS(FGLocal,BD29,Ganador,"Local")+COUNTIFS(FGVisitante,BD29,Ganador,"Visitante")</f>
        <v>0</v>
      </c>
      <c r="BH29" s="117" t="n">
        <f aca="false">+COUNTIFS(FGLocal,BD29,Ganador,"Empate")+COUNTIFS(FGVisitante,BD29,Ganador,"Empate")</f>
        <v>0</v>
      </c>
      <c r="BI29" s="117" t="n">
        <f aca="false">+COUNTIFS(FGVisitante,BD29,Ganador,"Local")+COUNTIFS(FGLocal,BD29,Ganador,"Visitante")</f>
        <v>1</v>
      </c>
      <c r="BJ29" s="117" t="n">
        <f aca="false">+SUMIFS(FG_GolesLocal,FGLocal,BD29,Ganador,"&lt;&gt;"&amp;"Pendiente",FG_GolesLocal,"&lt;&gt;"&amp;"",FG_GolesVisitante,"&lt;&gt;"&amp;"")+SUMIFS(FG_GolesVisitante,FGVisitante,BD29,Ganador,"&lt;&gt;"&amp;"Pendiente",FG_GolesLocal,"&lt;&gt;"&amp;"",FG_GolesVisitante,"&lt;&gt;"&amp;"")</f>
        <v>1</v>
      </c>
      <c r="BK29" s="117" t="n">
        <f aca="false">+SUMIFS(FG_GolesLocal,FGVisitante,BD29,Ganador,"&lt;&gt;"&amp;"Pendiente",FG_GolesLocal,"&lt;&gt;"&amp;"",FG_GolesVisitante,"&lt;&gt;"&amp;"")+SUMIFS(FG_GolesVisitante,FGLocal,BD29,Ganador,"&lt;&gt;"&amp;"Pendiente",FG_GolesLocal,"&lt;&gt;"&amp;"",FG_GolesVisitante,"&lt;&gt;"&amp;"")</f>
        <v>5</v>
      </c>
      <c r="BL29" s="117" t="n">
        <f aca="false">+BJ29-BK29</f>
        <v>-4</v>
      </c>
      <c r="BM29" s="117" t="str">
        <f aca="false">DD29&amp;BC29</f>
        <v>4F</v>
      </c>
      <c r="BN29" s="117" t="str">
        <f aca="false">DH29&amp;BC29</f>
        <v>4F</v>
      </c>
      <c r="BO29" s="119" t="n">
        <f aca="false">IF(AND($AJ$99=144,BF29&gt;=1),1,0)</f>
        <v>0</v>
      </c>
      <c r="BP29" s="118" t="n">
        <f aca="false">COUNTIFS($BO$6:$BO$53,"&gt;"&amp;BO29,$BC$6:$BC$53,INDEX(T_Equipos[Grupo],MATCH(BD29,T_Equipos[NombreEquipo],0)))+1</f>
        <v>1</v>
      </c>
      <c r="BQ29" s="118" t="str">
        <f aca="false">IF(COUNTIFS($BP$6:$BP$53,BP29,$BC$6:$BC$53,INDEX(T_Equipos[Grupo],MATCH(BD29,T_Equipos[NombreEquipo],0)))=1,"-","P."&amp;BP29&amp;" ("&amp;COUNTIFS($BP$6:$BP$53,BP29,$BC$6:$BC$53,INDEX(T_Equipos[Grupo],MATCH(BD29,T_Equipos[NombreEquipo],0)))&amp;")")</f>
        <v>P.1 (4)</v>
      </c>
      <c r="BR29" s="119" t="n">
        <f aca="false">IF($BQ29="-","-",BE29)</f>
        <v>0</v>
      </c>
      <c r="BS29" s="118" t="n">
        <f aca="false">BP29+COUNTIFS($BQ$6:$BQ$53,BQ29,$BR$6:BR$53,"&gt;"&amp;BR29,$BC$6:$BC$53,INDEX(T_Equipos[Grupo],MATCH(BD29,T_Equipos[NombreEquipo],0)))</f>
        <v>4</v>
      </c>
      <c r="BT29" s="118" t="str">
        <f aca="false">IF(COUNTIFS($BS$6:$BS$53,BS29,$BC$6:$BC$53,INDEX(T_Equipos[Grupo],MATCH(BD29,T_Equipos[NombreEquipo],0)))=1,"-","P."&amp;BS29&amp;" ("&amp;COUNTIFS($BS$6:$BS$53,BS29,$BC$6:$BC$53,INDEX(T_Equipos[Grupo],MATCH(BD29,T_Equipos[NombreEquipo],0)))&amp;")")</f>
        <v>-</v>
      </c>
      <c r="BU29" s="119" t="str">
        <f aca="false">IF($BT29="-","-",COUNTIFS(FGLocal,$BD29,Ganador,"Local",Part1Empate1V,$BT29)+COUNTIFS(FGVisitante,$BD29,Ganador,"Visitante",Part1Empate1L,$BT29))</f>
        <v>-</v>
      </c>
      <c r="BV29" s="119" t="str">
        <f aca="false">IF($BT29="-","-",COUNTIFS(FGLocal,$BD29,Ganador,"Empate",Part1Empate1V,$BT29)+COUNTIFS(FGVisitante,$BD29,Ganador,"Empate",Part1Empate1L,$BT29))</f>
        <v>-</v>
      </c>
      <c r="BW29" s="119" t="str">
        <f aca="false">IF($BT29="-","-",COUNTIFS(FGLocal,$BD29,Ganador,"Visitante",Part1Empate1V,$BT29)+COUNTIFS(FGVisitante,$BD29,Ganador,"Local",Part1Empate1L,$BT29))</f>
        <v>-</v>
      </c>
      <c r="BX29" s="119" t="str">
        <f aca="false">IF($BT29="-","-",BU29*3+BV29)</f>
        <v>-</v>
      </c>
      <c r="BY29" s="119" t="n">
        <f aca="false">BS29+COUNTIFS($BT$6:$BT$53,BT29,$BX$6:BX$53,"&gt;"&amp;BX29,$BC$6:$BC$53,INDEX(T_Equipos[Grupo],MATCH(BD29,T_Equipos[NombreEquipo],0)))</f>
        <v>4</v>
      </c>
      <c r="BZ29" s="118" t="str">
        <f aca="false">IF(COUNTIFS($BY$6:$BY$53,BY29,$BC$6:$BC$53,INDEX(T_Equipos[Grupo],MATCH(BD29,T_Equipos[NombreEquipo],0)))=1,"-","P."&amp;BY29&amp;" ("&amp;COUNTIFS($BY$6:$BY$53,BY29,$BC$6:$BC$53,INDEX(T_Equipos[Grupo],MATCH(BD29,T_Equipos[NombreEquipo],0)))&amp;")")</f>
        <v>-</v>
      </c>
      <c r="CA29" s="119" t="str">
        <f aca="false">IF($BZ29="-","-",SUMIFS(FG_GolesLocal,FGLocal,$BD29,Part1Empate2V,$BZ29)+SUMIFS(FG_GolesVisitante,FGVisitante,$BD29,Part1Empate2L,$BZ29))</f>
        <v>-</v>
      </c>
      <c r="CB29" s="119" t="str">
        <f aca="false">IF($BZ29="-","-",SUMIFS(FG_GolesVisitante,FGLocal,$BD29,Part1Empate2V,$BZ29)+SUMIFS(FG_GolesLocal,FGVisitante,$BD29,Part1Empate2L,$BZ29))</f>
        <v>-</v>
      </c>
      <c r="CC29" s="119" t="str">
        <f aca="false">IF($BZ29="-","-",CA29-CB29)</f>
        <v>-</v>
      </c>
      <c r="CD29" s="119" t="n">
        <f aca="false">BY29+COUNTIFS($BZ$6:$BZ$53,BZ29,$CC$6:CC$53,"&gt;"&amp;CC29,$BC$6:$BC$53,INDEX(T_Equipos[Grupo],MATCH(BD29,T_Equipos[NombreEquipo],0)))</f>
        <v>4</v>
      </c>
      <c r="CE29" s="118" t="str">
        <f aca="false">IF(COUNTIFS($CD$6:$CD$53,CD29,$BC$6:$BC$53,INDEX(T_Equipos[Grupo],MATCH(BD29,T_Equipos[NombreEquipo],0)))=1,"-","P."&amp;CD29&amp;" ("&amp;COUNTIFS($CD$6:$CD$53,CD29,$BC$6:$BC$53,INDEX(T_Equipos[Grupo],MATCH(BD29,T_Equipos[NombreEquipo],0)))&amp;")")</f>
        <v>-</v>
      </c>
      <c r="CF29" s="119" t="str">
        <f aca="false">IF($CE29="-","-",SUMIFS(FG_GolesLocal,FGLocal,$BD29,Part1Empate3V,$CE29)+SUMIFS(FG_GolesVisitante,FGVisitante,$BD29,Part1Empate3L,$CE29))</f>
        <v>-</v>
      </c>
      <c r="CG29" s="119" t="n">
        <f aca="false">CD29+COUNTIFS($CE$6:$CE$53,CE29,$CF$6:CF$53,"&gt;"&amp;CF29,$BC$6:$BC$53,INDEX(T_Equipos[Grupo],MATCH(BD29,T_Equipos[NombreEquipo],0)))</f>
        <v>4</v>
      </c>
      <c r="CH29" s="118" t="str">
        <f aca="false">IF(COUNTIFS($CG$6:$CG$53,CG29,$BC$6:$BC$53,INDEX(T_Equipos[Grupo],MATCH(BD29,T_Equipos[NombreEquipo],0)))=1,"-","P."&amp;CG29&amp;" ("&amp;COUNTIFS($CG$6:$CG$53,CG29,$BC$6:$BC$53,INDEX(T_Equipos[Grupo],MATCH(BD29,T_Equipos[NombreEquipo],0)))&amp;")")</f>
        <v>-</v>
      </c>
      <c r="CI29" s="119" t="str">
        <f aca="false">IF($CH29="-","-",COUNTIFS(FGLocal,$BD29,Ganador,"Local",Part2Empate4V,$CH29)+COUNTIFS(FGVisitante,$BD29,Ganador,"Visitante",Part2Empate4L,$CH29))</f>
        <v>-</v>
      </c>
      <c r="CJ29" s="119" t="str">
        <f aca="false">IF($CH29="-","-",COUNTIFS(FGLocal,$BD29,Ganador,"Empate",Part2Empate4V,$CH29)+COUNTIFS(FGVisitante,$BD29,Ganador,"Empate",Part2Empate4L,$CH29))</f>
        <v>-</v>
      </c>
      <c r="CK29" s="119" t="str">
        <f aca="false">IF($CH29="-","-",COUNTIFS(FGLocal,$BD29,Ganador,"Visitante",Part2Empate4V,$CH29)+COUNTIFS(FGVisitante,$BD29,Ganador,"Local",Part2Empate4L,$CH29))</f>
        <v>-</v>
      </c>
      <c r="CL29" s="119" t="str">
        <f aca="false">IF($CH29="-","-",CI29*3+CJ29)</f>
        <v>-</v>
      </c>
      <c r="CM29" s="119" t="n">
        <f aca="false">CG29+COUNTIFS($CH$6:$CH$53,CH29,$CL$6:CL$53,"&gt;"&amp;CL29,$BC$6:$BC$53,INDEX(T_Equipos[Grupo],MATCH(BD29,T_Equipos[NombreEquipo],0)))</f>
        <v>4</v>
      </c>
      <c r="CN29" s="118" t="str">
        <f aca="false">IF(COUNTIFS($CM$6:$CM$53,CM29,$BC$6:$BC$53,INDEX(T_Equipos[Grupo],MATCH(BD29,T_Equipos[NombreEquipo],0)))=1,"-","P."&amp;CM29&amp;" ("&amp;COUNTIFS($CM$6:$CM$53,CM29,$BC$6:$BC$53,INDEX(T_Equipos[Grupo],MATCH(BD29,T_Equipos[NombreEquipo],0)))&amp;")")</f>
        <v>-</v>
      </c>
      <c r="CO29" s="119" t="str">
        <f aca="false">IF($CN29="-","-",SUMIFS(FG_GolesLocal,FGLocal,$BD29,Part2Empate5V,$CN29)+SUMIFS(FG_GolesVisitante,FGVisitante,$BD29,Part2Empate5L,$CN29))</f>
        <v>-</v>
      </c>
      <c r="CP29" s="119" t="str">
        <f aca="false">IF($CN29="-","-",SUMIFS(FG_GolesVisitante,FGLocal,$BD29,Part2Empate5V,$CN29)+SUMIFS(FG_GolesLocal,FGVisitante,$BD29,Part2Empate5L,$CN29))</f>
        <v>-</v>
      </c>
      <c r="CQ29" s="119" t="str">
        <f aca="false">IF($CN29="-","-",CO29-CP29)</f>
        <v>-</v>
      </c>
      <c r="CR29" s="119" t="n">
        <f aca="false">CM29+COUNTIFS($CN$6:$CN$53,CN29,$CQ$6:CQ$53,"&gt;"&amp;CQ29,$BC$6:$BC$53,INDEX(T_Equipos[Grupo],MATCH(BD29,T_Equipos[NombreEquipo],0)))</f>
        <v>4</v>
      </c>
      <c r="CS29" s="118" t="str">
        <f aca="false">IF(COUNTIFS($CR$6:$CR$53,CR29,$BC$6:$BC$53,INDEX(T_Equipos[Grupo],MATCH(BD29,T_Equipos[NombreEquipo],0)))=1,"-","P."&amp;CR29&amp;" ("&amp;COUNTIFS($CR$6:$CR$53,CR29,$BC$6:$BC$53,INDEX(T_Equipos[Grupo],MATCH(BD29,T_Equipos[NombreEquipo],0)))&amp;")")</f>
        <v>-</v>
      </c>
      <c r="CT29" s="119" t="str">
        <f aca="false">IF($CS29="-","-",SUMIFS(FG_GolesLocal,FGLocal,$BD29,Part2Empate6V,$CS29)+SUMIFS(FG_GolesVisitante,FGVisitante,$BD29,Part2Empate6L,$CS29))</f>
        <v>-</v>
      </c>
      <c r="CU29" s="119" t="n">
        <f aca="false">CR29+COUNTIFS($CS$6:$CS$53,CS29,$CT$6:CT$53,"&gt;"&amp;CT29,$BC$6:$BC$53,INDEX(T_Equipos[Grupo],MATCH(BD29,T_Equipos[NombreEquipo],0)))</f>
        <v>4</v>
      </c>
      <c r="CV29" s="118" t="str">
        <f aca="false">IF(COUNTIFS($CU$6:$CU$53,CU29,$BC$6:$BC$53,INDEX(T_Equipos[Grupo],MATCH(BD29,T_Equipos[NombreEquipo],0)))=1,"-","P."&amp;CU29&amp;" ("&amp;COUNTIFS($CU$6:$CU$53,CU29,$BC$6:$BC$53,INDEX(T_Equipos[Grupo],MATCH(BD29,T_Equipos[NombreEquipo],0)))&amp;")")</f>
        <v>-</v>
      </c>
      <c r="CW29" s="118" t="str">
        <f aca="false">IF(CV29="-","-",BL29)</f>
        <v>-</v>
      </c>
      <c r="CX29" s="118" t="n">
        <f aca="false">CU29+COUNTIFS($CV$6:$CV$53,CV29,$CW$6:CW$53,"&gt;"&amp;CW29,$BC$6:$BC$53,INDEX(T_Equipos[Grupo],MATCH(BD29,T_Equipos[NombreEquipo],0)))</f>
        <v>4</v>
      </c>
      <c r="CY29" s="118" t="str">
        <f aca="false">IF(COUNTIFS($CX$6:$CX$53,CX29,$BC$6:$BC$53,INDEX(T_Equipos[Grupo],MATCH(BD29,T_Equipos[NombreEquipo],0)))=1,"-","P."&amp;CX29&amp;" ("&amp;COUNTIFS($CX$6:$CX$53,CX29,$BC$6:$BC$53,INDEX(T_Equipos[Grupo],MATCH(BD29,T_Equipos[NombreEquipo],0)))&amp;")")</f>
        <v>-</v>
      </c>
      <c r="CZ29" s="118" t="str">
        <f aca="false">IF(CY29="-","-",BJ29)</f>
        <v>-</v>
      </c>
      <c r="DA29" s="119" t="n">
        <f aca="false">CX29+COUNTIFS($CY$6:$CY$53,CY29,$CZ$6:CZ$53,"&gt;"&amp;CZ29,$BC$6:$BC$53,INDEX(T_Equipos[Grupo],MATCH(BD29,T_Equipos[NombreEquipo],0)))</f>
        <v>4</v>
      </c>
      <c r="DB29" s="118" t="str">
        <f aca="false">IF(COUNTIFS($DA$6:$DA$53,DA29,$BC$6:$BC$53,INDEX(T_Equipos[Grupo],MATCH(BD29,T_Equipos[NombreEquipo],0)))=1,"-","P."&amp;DA29&amp;" ("&amp;COUNTIFS($DA$6:$DA$53,DA29,$BC$6:$BC$53,INDEX(T_Equipos[Grupo],MATCH(BD29,T_Equipos[NombreEquipo],0)))&amp;")")</f>
        <v>-</v>
      </c>
      <c r="DC29" s="116" t="str">
        <f aca="false">IF(DB29="-","-",COUNTIFS(T_Equipos[Rank],"&lt;"&amp;INDEX(T_Equipos[Rank],MATCH(BD29,T_Equipos[NombreEquipo],0)),$BC$6:$BC$53,INDEX(T_Equipos[Grupo],MATCH(BD29,T_Equipos[NombreEquipo],0)))+1)</f>
        <v>-</v>
      </c>
      <c r="DD29" s="116" t="n">
        <f aca="false">DA29+COUNTIFS($DB$6:$DB$53,DB29,$DC$6:DC$53,"&lt;"&amp;DC29,$BC$6:$BC$53,INDEX(T_Equipos[Grupo],MATCH(BD29,T_Equipos[NombreEquipo],0)))</f>
        <v>4</v>
      </c>
      <c r="DE29" s="116"/>
      <c r="DF29" s="116" t="n">
        <f aca="false">IF(OR(INDEX($AW$6:$AW$97,MATCH($BD29,$AV$6:$AV$97,0))="",DB29="-"),DD29,INDEX($AW$6:$AW$97,MATCH($BD29,$AV$6:$AV$97,0))+DD29/1000)</f>
        <v>4</v>
      </c>
      <c r="DG29" s="116" t="str">
        <f aca="false">IF(DB29="-","-",COUNTIFS(DF$6:DF$53,"&lt;"&amp;DF29,$BC$6:$BC$53,INDEX(T_Equipos[Grupo],MATCH(BD29,T_Equipos[NombreEquipo],0))))</f>
        <v>-</v>
      </c>
      <c r="DH29" s="116" t="n">
        <f aca="false">DA29+COUNTIFS(DB$6:DB$53,DB29,DG$6:DG$53,"&lt;"&amp;DG29,$BC$6:$BC$53,INDEX(T_Equipos[Grupo],MATCH(BD29,T_Equipos[NombreEquipo],0)))</f>
        <v>4</v>
      </c>
      <c r="DI29" s="55"/>
      <c r="DJ29" s="55" t="n">
        <f aca="false">INDEX($DA$6:$DA$53,MATCH($DQ29,$BD$6:$BD$53,0))</f>
        <v>4</v>
      </c>
      <c r="DK29" s="55" t="n">
        <f aca="false">+SUMIF($BC$6:$BC$53,BC29,$BF$6:$BF$53)</f>
        <v>4</v>
      </c>
      <c r="DL29" s="55" t="n">
        <f aca="false">IF(OR(DK29=12,$AJ$99=144),COUNTIFS($DJ$6:$DJ$53,DJ29,$BC$6:$BC$53,BC29),1)</f>
        <v>1</v>
      </c>
      <c r="DM29" s="120" t="str">
        <f aca="false">DJ29&amp;"."&amp;DL29</f>
        <v>4.1</v>
      </c>
      <c r="DN29" s="55" t="n">
        <f aca="true" t="array" ref="DN29:DN29">OFFSET(Horarios!$P$3,DJ29-1,0,DL29,1)</f>
        <v>4</v>
      </c>
      <c r="DO29" s="55"/>
      <c r="DP29" s="55" t="s">
        <v>104</v>
      </c>
      <c r="DQ29" s="55" t="str">
        <f aca="false">INDEX($BD$6:$BD$53,MATCH(DP29,$BM$6:$BM$53,0))</f>
        <v>Túnez</v>
      </c>
      <c r="DR29" s="55"/>
      <c r="DS29" s="55"/>
      <c r="DT29" s="55" t="str">
        <f aca="false">AA29&amp;"-"&amp;AF29</f>
        <v>Australia-Turquía</v>
      </c>
      <c r="DU29" s="55"/>
      <c r="DV29" s="55"/>
      <c r="DW29" s="57"/>
    </row>
    <row r="30" customFormat="false" ht="15.75" hidden="false" customHeight="true" outlineLevel="0" collapsed="false">
      <c r="A30" s="92" t="str">
        <f aca="false">+Equipos!B15</f>
        <v>Paraguay</v>
      </c>
      <c r="B30" s="72"/>
      <c r="C30" s="103"/>
      <c r="D30" s="55" t="str">
        <f aca="false">IF(OR(AC30="",AD30=""),"Pendiente",IF(AC30&gt;AD30,"Local",IF(AC30&lt;AD30,"Visitante","Empate")))</f>
        <v>Pendiente</v>
      </c>
      <c r="E30" s="55" t="str">
        <f aca="false">IF(D30="Pendiente","-",INDEX($BT$6:$BT$53,MATCH($AA30,$BD$6:$BD$53,0)))</f>
        <v>-</v>
      </c>
      <c r="F30" s="55" t="str">
        <f aca="false">IF(D30="Pendiente","-",INDEX($BT$6:$BT$53,MATCH($AF30,$BD$6:$BD$53,0)))</f>
        <v>-</v>
      </c>
      <c r="G30" s="55"/>
      <c r="H30" s="55" t="str">
        <f aca="false">IF(D30="Pendiente","-",INDEX($BZ$6:$BZ$53,MATCH($AA30,$BD$6:$BD$53,0)))</f>
        <v>-</v>
      </c>
      <c r="I30" s="55" t="str">
        <f aca="false">IF(D30="Pendiente","-",INDEX($BZ$6:$BZ$53,MATCH($AF30,$BD$6:$BD$53,0)))</f>
        <v>-</v>
      </c>
      <c r="J30" s="55"/>
      <c r="K30" s="55" t="str">
        <f aca="false">IF(D30="Pendiente","-",INDEX($CE$6:$CE$53,MATCH($AA30,$BD$6:$BD$53,0)))</f>
        <v>-</v>
      </c>
      <c r="L30" s="55" t="str">
        <f aca="false">IF(D30="Pendiente","-",INDEX($CE$6:$CE$53,MATCH($AF30,$BD$6:$BD$53,0)))</f>
        <v>-</v>
      </c>
      <c r="M30" s="55"/>
      <c r="N30" s="55" t="str">
        <f aca="false">IF(D30="Pendiente","-",INDEX($CH$6:$CH$53,MATCH($AA30,$BD$6:$BD$53,0)))</f>
        <v>-</v>
      </c>
      <c r="O30" s="55" t="str">
        <f aca="false">IF(D30="Pendiente","-",INDEX($CH$6:$CH$53,MATCH($AF30,$BD$6:$BD$53,0)))</f>
        <v>-</v>
      </c>
      <c r="P30" s="55"/>
      <c r="Q30" s="55" t="str">
        <f aca="false">IF(D30="Pendiente","-",INDEX($CN$6:$CN$53,MATCH($AA30,$BD$6:$BD$53,0)))</f>
        <v>-</v>
      </c>
      <c r="R30" s="55" t="str">
        <f aca="false">IF(D30="Pendiente","-",INDEX($CN$6:$CN$53,MATCH($AF30,$BD$6:$BD$53,0)))</f>
        <v>-</v>
      </c>
      <c r="S30" s="55"/>
      <c r="T30" s="55" t="str">
        <f aca="false">IF(D30="Pendiente","-",INDEX($CS$6:$CS$53,MATCH($AA30,$BD$6:$BD$53,0)))</f>
        <v>-</v>
      </c>
      <c r="U30" s="55" t="str">
        <f aca="false">IF(D30="Pendiente","-",INDEX($CS$6:$CS$53,MATCH($AF30,$BD$6:$BD$53,0)))</f>
        <v>-</v>
      </c>
      <c r="V30" s="46"/>
      <c r="W30" s="185"/>
      <c r="X30" s="74" t="n">
        <f aca="false">Horarios!C30</f>
        <v>46192.875</v>
      </c>
      <c r="Y30" s="75" t="n">
        <f aca="false">Horarios!C30</f>
        <v>46192.875</v>
      </c>
      <c r="Z30" s="76" t="str">
        <f aca="false">$Z$6</f>
        <v>J2</v>
      </c>
      <c r="AA30" s="77" t="str">
        <f aca="false">A29</f>
        <v>Estados Unidos</v>
      </c>
      <c r="AB30" s="165" t="str">
        <f aca="true" t="array" ref="AB30:AB30">Ver_flag_local</f>
        <v/>
      </c>
      <c r="AC30" s="79"/>
      <c r="AD30" s="80"/>
      <c r="AE30" s="81" t="str">
        <f aca="true" t="array" ref="AE30:AE30">Ver_flag_visit</f>
        <v/>
      </c>
      <c r="AF30" s="82" t="str">
        <f aca="false">A31</f>
        <v>Australia</v>
      </c>
      <c r="AG30" s="83" t="n">
        <f aca="false">IF(NOT(OR(ISBLANK(AC30),ISBLANK(AD30))),1,0)</f>
        <v>0</v>
      </c>
      <c r="AH30" s="84" t="n">
        <v>32</v>
      </c>
      <c r="AI30" s="85" t="str">
        <f aca="false">AJ30&amp;$B$28</f>
        <v>1D</v>
      </c>
      <c r="AJ30" s="104" t="n">
        <v>1</v>
      </c>
      <c r="AK30" s="170" t="str">
        <f aca="true" t="array" ref="AK30:AK30">Ver_flag_visit</f>
        <v/>
      </c>
      <c r="AL30" s="106" t="str">
        <f aca="false">IFERROR(INDEX($BD$6:$BD$53,MATCH(AI30,$BN$6:$BN$53,0)),"")</f>
        <v>Estados Unidos</v>
      </c>
      <c r="AM30" s="107" t="n">
        <f aca="false">INDEX($BE$6:$BN$53,MATCH($AL30,$BD$6:$BD$53,0),MATCH(AM$5,$BE$5:$BN$5,0))</f>
        <v>3</v>
      </c>
      <c r="AN30" s="108" t="n">
        <f aca="false">INDEX($BE$6:$BN$53,MATCH($AL30,$BD$6:$BD$53,0),MATCH(AN$5,$BE$5:$BN$5,0))</f>
        <v>1</v>
      </c>
      <c r="AO30" s="108" t="n">
        <f aca="false">INDEX($BE$6:$BN$53,MATCH($AL30,$BD$6:$BD$53,0),MATCH(AO$5,$BE$5:$BN$5,0))</f>
        <v>1</v>
      </c>
      <c r="AP30" s="108" t="n">
        <f aca="false">INDEX($BE$6:$BN$53,MATCH($AL30,$BD$6:$BD$53,0),MATCH(AP$5,$BE$5:$BN$5,0))</f>
        <v>0</v>
      </c>
      <c r="AQ30" s="108" t="n">
        <f aca="false">INDEX($BE$6:$BN$53,MATCH($AL30,$BD$6:$BD$53,0),MATCH(AQ$5,$BE$5:$BN$5,0))</f>
        <v>0</v>
      </c>
      <c r="AR30" s="108" t="n">
        <f aca="false">INDEX($BE$6:$BN$53,MATCH($AL30,$BD$6:$BD$53,0),MATCH(AR$5,$BE$5:$BN$5,0))</f>
        <v>4</v>
      </c>
      <c r="AS30" s="108" t="n">
        <f aca="false">INDEX($BE$6:$BN$53,MATCH($AL30,$BD$6:$BD$53,0),MATCH(AS$5,$BE$5:$BN$5,0))</f>
        <v>1</v>
      </c>
      <c r="AT30" s="109" t="n">
        <f aca="false">INDEX($BE$6:$BN$53,MATCH($AL30,$BD$6:$BD$53,0),MATCH(AT$5,$BE$5:$BN$5,0))</f>
        <v>3</v>
      </c>
      <c r="AU30" s="110" t="n">
        <f aca="false">INDEX($DL$6:$DL$53,MATCH(AI30,$DP$6:$DP$53,0))</f>
        <v>1</v>
      </c>
      <c r="AV30" s="111" t="str">
        <f aca="false">INDEX($BD$6:$BD$53,MATCH(AI30,$BM$6:$BM$53,0))</f>
        <v>Estados Unidos</v>
      </c>
      <c r="AW30" s="112"/>
      <c r="AX30" s="113"/>
      <c r="AY30" s="114" t="str">
        <f aca="false">+A29</f>
        <v>Estados Unidos</v>
      </c>
      <c r="AZ30" s="115"/>
      <c r="BA30" s="49"/>
      <c r="BB30" s="55"/>
      <c r="BC30" s="116" t="str">
        <f aca="false">+INDEX(T_Equipos[Grupo],MATCH(WORLDCUP!BD30,T_Equipos[NombreEquipo],0))</f>
        <v>G</v>
      </c>
      <c r="BD30" s="55" t="str">
        <f aca="false">+Equipos!B26</f>
        <v>Bélgica</v>
      </c>
      <c r="BE30" s="117" t="n">
        <f aca="false">+BG30*3+BH30+IF($AZ$3="no",0,INDEX($AZ$6:$AZ$97,MATCH(BD30,$AY$6:$AY$97,0)))</f>
        <v>1</v>
      </c>
      <c r="BF30" s="117" t="n">
        <f aca="false">+BG30+BH30+BI30</f>
        <v>1</v>
      </c>
      <c r="BG30" s="117" t="n">
        <f aca="false">+COUNTIFS(FGLocal,BD30,Ganador,"Local")+COUNTIFS(FGVisitante,BD30,Ganador,"Visitante")</f>
        <v>0</v>
      </c>
      <c r="BH30" s="117" t="n">
        <f aca="false">+COUNTIFS(FGLocal,BD30,Ganador,"Empate")+COUNTIFS(FGVisitante,BD30,Ganador,"Empate")</f>
        <v>1</v>
      </c>
      <c r="BI30" s="117" t="n">
        <f aca="false">+COUNTIFS(FGVisitante,BD30,Ganador,"Local")+COUNTIFS(FGLocal,BD30,Ganador,"Visitante")</f>
        <v>0</v>
      </c>
      <c r="BJ30" s="117" t="n">
        <f aca="false">+SUMIFS(FG_GolesLocal,FGLocal,BD30,Ganador,"&lt;&gt;"&amp;"Pendiente",FG_GolesLocal,"&lt;&gt;"&amp;"",FG_GolesVisitante,"&lt;&gt;"&amp;"")+SUMIFS(FG_GolesVisitante,FGVisitante,BD30,Ganador,"&lt;&gt;"&amp;"Pendiente",FG_GolesLocal,"&lt;&gt;"&amp;"",FG_GolesVisitante,"&lt;&gt;"&amp;"")</f>
        <v>1</v>
      </c>
      <c r="BK30" s="117" t="n">
        <f aca="false">+SUMIFS(FG_GolesLocal,FGVisitante,BD30,Ganador,"&lt;&gt;"&amp;"Pendiente",FG_GolesLocal,"&lt;&gt;"&amp;"",FG_GolesVisitante,"&lt;&gt;"&amp;"")+SUMIFS(FG_GolesVisitante,FGLocal,BD30,Ganador,"&lt;&gt;"&amp;"Pendiente",FG_GolesLocal,"&lt;&gt;"&amp;"",FG_GolesVisitante,"&lt;&gt;"&amp;"")</f>
        <v>1</v>
      </c>
      <c r="BL30" s="117" t="n">
        <f aca="false">+BJ30-BK30</f>
        <v>0</v>
      </c>
      <c r="BM30" s="117" t="str">
        <f aca="false">DD30&amp;BC30</f>
        <v>3G</v>
      </c>
      <c r="BN30" s="117" t="str">
        <f aca="false">DH30&amp;BC30</f>
        <v>3G</v>
      </c>
      <c r="BO30" s="118" t="n">
        <f aca="false">IF(AND($AJ$99=144,BF30&gt;=1),1,0)</f>
        <v>0</v>
      </c>
      <c r="BP30" s="118" t="n">
        <f aca="false">COUNTIFS($BO$6:$BO$53,"&gt;"&amp;BO30,$BC$6:$BC$53,INDEX(T_Equipos[Grupo],MATCH(BD30,T_Equipos[NombreEquipo],0)))+1</f>
        <v>1</v>
      </c>
      <c r="BQ30" s="118" t="str">
        <f aca="false">IF(COUNTIFS($BP$6:$BP$53,BP30,$BC$6:$BC$53,INDEX(T_Equipos[Grupo],MATCH(BD30,T_Equipos[NombreEquipo],0)))=1,"-","P."&amp;BP30&amp;" ("&amp;COUNTIFS($BP$6:$BP$53,BP30,$BC$6:$BC$53,INDEX(T_Equipos[Grupo],MATCH(BD30,T_Equipos[NombreEquipo],0)))&amp;")")</f>
        <v>P.1 (4)</v>
      </c>
      <c r="BR30" s="118" t="n">
        <f aca="false">IF($BQ30="-","-",BE30)</f>
        <v>1</v>
      </c>
      <c r="BS30" s="118" t="n">
        <f aca="false">BP30+COUNTIFS($BQ$6:$BQ$53,BQ30,$BR$6:BR$53,"&gt;"&amp;BR30,$BC$6:$BC$53,INDEX(T_Equipos[Grupo],MATCH(BD30,T_Equipos[NombreEquipo],0)))</f>
        <v>1</v>
      </c>
      <c r="BT30" s="118" t="str">
        <f aca="false">IF(COUNTIFS($BS$6:$BS$53,BS30,$BC$6:$BC$53,INDEX(T_Equipos[Grupo],MATCH(BD30,T_Equipos[NombreEquipo],0)))=1,"-","P."&amp;BS30&amp;" ("&amp;COUNTIFS($BS$6:$BS$53,BS30,$BC$6:$BC$53,INDEX(T_Equipos[Grupo],MATCH(BD30,T_Equipos[NombreEquipo],0)))&amp;")")</f>
        <v>P.1 (4)</v>
      </c>
      <c r="BU30" s="119" t="n">
        <f aca="false">IF($BT30="-","-",COUNTIFS(FGLocal,$BD30,Ganador,"Local",Part1Empate1V,$BT30)+COUNTIFS(FGVisitante,$BD30,Ganador,"Visitante",Part1Empate1L,$BT30))</f>
        <v>0</v>
      </c>
      <c r="BV30" s="119" t="n">
        <f aca="false">IF($BT30="-","-",COUNTIFS(FGLocal,$BD30,Ganador,"Empate",Part1Empate1V,$BT30)+COUNTIFS(FGVisitante,$BD30,Ganador,"Empate",Part1Empate1L,$BT30))</f>
        <v>1</v>
      </c>
      <c r="BW30" s="119" t="n">
        <f aca="false">IF($BT30="-","-",COUNTIFS(FGLocal,$BD30,Ganador,"Visitante",Part1Empate1V,$BT30)+COUNTIFS(FGVisitante,$BD30,Ganador,"Local",Part1Empate1L,$BT30))</f>
        <v>0</v>
      </c>
      <c r="BX30" s="119" t="n">
        <f aca="false">IF($BT30="-","-",BU30*3+BV30)</f>
        <v>1</v>
      </c>
      <c r="BY30" s="119" t="n">
        <f aca="false">BS30+COUNTIFS($BT$6:$BT$53,BT30,$BX$6:BX$53,"&gt;"&amp;BX30,$BC$6:$BC$53,INDEX(T_Equipos[Grupo],MATCH(BD30,T_Equipos[NombreEquipo],0)))</f>
        <v>1</v>
      </c>
      <c r="BZ30" s="118" t="str">
        <f aca="false">IF(COUNTIFS($BY$6:$BY$53,BY30,$BC$6:$BC$53,INDEX(T_Equipos[Grupo],MATCH(BD30,T_Equipos[NombreEquipo],0)))=1,"-","P."&amp;BY30&amp;" ("&amp;COUNTIFS($BY$6:$BY$53,BY30,$BC$6:$BC$53,INDEX(T_Equipos[Grupo],MATCH(BD30,T_Equipos[NombreEquipo],0)))&amp;")")</f>
        <v>P.1 (4)</v>
      </c>
      <c r="CA30" s="119" t="n">
        <f aca="false">IF($BZ30="-","-",SUMIFS(FG_GolesLocal,FGLocal,$BD30,Part1Empate2V,$BZ30)+SUMIFS(FG_GolesVisitante,FGVisitante,$BD30,Part1Empate2L,$BZ30))</f>
        <v>1</v>
      </c>
      <c r="CB30" s="119" t="n">
        <f aca="false">IF($BZ30="-","-",SUMIFS(FG_GolesVisitante,FGLocal,$BD30,Part1Empate2V,$BZ30)+SUMIFS(FG_GolesLocal,FGVisitante,$BD30,Part1Empate2L,$BZ30))</f>
        <v>1</v>
      </c>
      <c r="CC30" s="119" t="n">
        <f aca="false">IF($BZ30="-","-",CA30-CB30)</f>
        <v>0</v>
      </c>
      <c r="CD30" s="119" t="n">
        <f aca="false">BY30+COUNTIFS($BZ$6:$BZ$53,BZ30,$CC$6:CC$53,"&gt;"&amp;CC30,$BC$6:$BC$53,INDEX(T_Equipos[Grupo],MATCH(BD30,T_Equipos[NombreEquipo],0)))</f>
        <v>1</v>
      </c>
      <c r="CE30" s="118" t="str">
        <f aca="false">IF(COUNTIFS($CD$6:$CD$53,CD30,$BC$6:$BC$53,INDEX(T_Equipos[Grupo],MATCH(BD30,T_Equipos[NombreEquipo],0)))=1,"-","P."&amp;CD30&amp;" ("&amp;COUNTIFS($CD$6:$CD$53,CD30,$BC$6:$BC$53,INDEX(T_Equipos[Grupo],MATCH(BD30,T_Equipos[NombreEquipo],0)))&amp;")")</f>
        <v>P.1 (4)</v>
      </c>
      <c r="CF30" s="119" t="n">
        <f aca="false">IF($CE30="-","-",SUMIFS(FG_GolesLocal,FGLocal,$BD30,Part1Empate3V,$CE30)+SUMIFS(FG_GolesVisitante,FGVisitante,$BD30,Part1Empate3L,$CE30))</f>
        <v>1</v>
      </c>
      <c r="CG30" s="119" t="n">
        <f aca="false">CD30+COUNTIFS($CE$6:$CE$53,CE30,$CF$6:CF$53,"&gt;"&amp;CF30,$BC$6:$BC$53,INDEX(T_Equipos[Grupo],MATCH(BD30,T_Equipos[NombreEquipo],0)))</f>
        <v>3</v>
      </c>
      <c r="CH30" s="118" t="str">
        <f aca="false">IF(COUNTIFS($CG$6:$CG$53,CG30,$BC$6:$BC$53,INDEX(T_Equipos[Grupo],MATCH(BD30,T_Equipos[NombreEquipo],0)))=1,"-","P."&amp;CG30&amp;" ("&amp;COUNTIFS($CG$6:$CG$53,CG30,$BC$6:$BC$53,INDEX(T_Equipos[Grupo],MATCH(BD30,T_Equipos[NombreEquipo],0)))&amp;")")</f>
        <v>P.3 (2)</v>
      </c>
      <c r="CI30" s="119" t="n">
        <f aca="false">IF($CH30="-","-",COUNTIFS(FGLocal,$BD30,Ganador,"Local",Part2Empate4V,$CH30)+COUNTIFS(FGVisitante,$BD30,Ganador,"Visitante",Part2Empate4L,$CH30))</f>
        <v>0</v>
      </c>
      <c r="CJ30" s="119" t="n">
        <f aca="false">IF($CH30="-","-",COUNTIFS(FGLocal,$BD30,Ganador,"Empate",Part2Empate4V,$CH30)+COUNTIFS(FGVisitante,$BD30,Ganador,"Empate",Part2Empate4L,$CH30))</f>
        <v>1</v>
      </c>
      <c r="CK30" s="119" t="n">
        <f aca="false">IF($CH30="-","-",COUNTIFS(FGLocal,$BD30,Ganador,"Visitante",Part2Empate4V,$CH30)+COUNTIFS(FGVisitante,$BD30,Ganador,"Local",Part2Empate4L,$CH30))</f>
        <v>0</v>
      </c>
      <c r="CL30" s="119" t="n">
        <f aca="false">IF($CH30="-","-",CI30*3+CJ30)</f>
        <v>1</v>
      </c>
      <c r="CM30" s="119" t="n">
        <f aca="false">CG30+COUNTIFS($CH$6:$CH$53,CH30,$CL$6:CL$53,"&gt;"&amp;CL30,$BC$6:$BC$53,INDEX(T_Equipos[Grupo],MATCH(BD30,T_Equipos[NombreEquipo],0)))</f>
        <v>3</v>
      </c>
      <c r="CN30" s="118" t="str">
        <f aca="false">IF(COUNTIFS($CM$6:$CM$53,CM30,$BC$6:$BC$53,INDEX(T_Equipos[Grupo],MATCH(BD30,T_Equipos[NombreEquipo],0)))=1,"-","P."&amp;CM30&amp;" ("&amp;COUNTIFS($CM$6:$CM$53,CM30,$BC$6:$BC$53,INDEX(T_Equipos[Grupo],MATCH(BD30,T_Equipos[NombreEquipo],0)))&amp;")")</f>
        <v>P.3 (2)</v>
      </c>
      <c r="CO30" s="119" t="n">
        <f aca="false">IF($CN30="-","-",SUMIFS(FG_GolesLocal,FGLocal,$BD30,Part2Empate5V,$CN30)+SUMIFS(FG_GolesVisitante,FGVisitante,$BD30,Part2Empate5L,$CN30))</f>
        <v>1</v>
      </c>
      <c r="CP30" s="119" t="n">
        <f aca="false">IF($CN30="-","-",SUMIFS(FG_GolesVisitante,FGLocal,$BD30,Part2Empate5V,$CN30)+SUMIFS(FG_GolesLocal,FGVisitante,$BD30,Part2Empate5L,$CN30))</f>
        <v>1</v>
      </c>
      <c r="CQ30" s="119" t="n">
        <f aca="false">IF($CN30="-","-",CO30-CP30)</f>
        <v>0</v>
      </c>
      <c r="CR30" s="119" t="n">
        <f aca="false">CM30+COUNTIFS($CN$6:$CN$53,CN30,$CQ$6:CQ$53,"&gt;"&amp;CQ30,$BC$6:$BC$53,INDEX(T_Equipos[Grupo],MATCH(BD30,T_Equipos[NombreEquipo],0)))</f>
        <v>3</v>
      </c>
      <c r="CS30" s="118" t="str">
        <f aca="false">IF(COUNTIFS($CR$6:$CR$53,CR30,$BC$6:$BC$53,INDEX(T_Equipos[Grupo],MATCH(BD30,T_Equipos[NombreEquipo],0)))=1,"-","P."&amp;CR30&amp;" ("&amp;COUNTIFS($CR$6:$CR$53,CR30,$BC$6:$BC$53,INDEX(T_Equipos[Grupo],MATCH(BD30,T_Equipos[NombreEquipo],0)))&amp;")")</f>
        <v>P.3 (2)</v>
      </c>
      <c r="CT30" s="119" t="n">
        <f aca="false">IF($CS30="-","-",SUMIFS(FG_GolesLocal,FGLocal,$BD30,Part2Empate6V,$CS30)+SUMIFS(FG_GolesVisitante,FGVisitante,$BD30,Part2Empate6L,$CS30))</f>
        <v>1</v>
      </c>
      <c r="CU30" s="119" t="n">
        <f aca="false">CR30+COUNTIFS($CS$6:$CS$53,CS30,$CT$6:CT$53,"&gt;"&amp;CT30,$BC$6:$BC$53,INDEX(T_Equipos[Grupo],MATCH(BD30,T_Equipos[NombreEquipo],0)))</f>
        <v>3</v>
      </c>
      <c r="CV30" s="118" t="str">
        <f aca="false">IF(COUNTIFS($CU$6:$CU$53,CU30,$BC$6:$BC$53,INDEX(T_Equipos[Grupo],MATCH(BD30,T_Equipos[NombreEquipo],0)))=1,"-","P."&amp;CU30&amp;" ("&amp;COUNTIFS($CU$6:$CU$53,CU30,$BC$6:$BC$53,INDEX(T_Equipos[Grupo],MATCH(BD30,T_Equipos[NombreEquipo],0)))&amp;")")</f>
        <v>P.3 (2)</v>
      </c>
      <c r="CW30" s="118" t="n">
        <f aca="false">IF(CV30="-","-",BL30)</f>
        <v>0</v>
      </c>
      <c r="CX30" s="118" t="n">
        <f aca="false">CU30+COUNTIFS($CV$6:$CV$53,CV30,$CW$6:CW$53,"&gt;"&amp;CW30,$BC$6:$BC$53,INDEX(T_Equipos[Grupo],MATCH(BD30,T_Equipos[NombreEquipo],0)))</f>
        <v>3</v>
      </c>
      <c r="CY30" s="118" t="str">
        <f aca="false">IF(COUNTIFS($CX$6:$CX$53,CX30,$BC$6:$BC$53,INDEX(T_Equipos[Grupo],MATCH(BD30,T_Equipos[NombreEquipo],0)))=1,"-","P."&amp;CX30&amp;" ("&amp;COUNTIFS($CX$6:$CX$53,CX30,$BC$6:$BC$53,INDEX(T_Equipos[Grupo],MATCH(BD30,T_Equipos[NombreEquipo],0)))&amp;")")</f>
        <v>P.3 (2)</v>
      </c>
      <c r="CZ30" s="118" t="n">
        <f aca="false">IF(CY30="-","-",BJ30)</f>
        <v>1</v>
      </c>
      <c r="DA30" s="119" t="n">
        <f aca="false">CX30+COUNTIFS($CY$6:$CY$53,CY30,$CZ$6:CZ$53,"&gt;"&amp;CZ30,$BC$6:$BC$53,INDEX(T_Equipos[Grupo],MATCH(BD30,T_Equipos[NombreEquipo],0)))</f>
        <v>3</v>
      </c>
      <c r="DB30" s="118" t="str">
        <f aca="false">IF(COUNTIFS($DA$6:$DA$53,DA30,$BC$6:$BC$53,INDEX(T_Equipos[Grupo],MATCH(BD30,T_Equipos[NombreEquipo],0)))=1,"-","P."&amp;DA30&amp;" ("&amp;COUNTIFS($DA$6:$DA$53,DA30,$BC$6:$BC$53,INDEX(T_Equipos[Grupo],MATCH(BD30,T_Equipos[NombreEquipo],0)))&amp;")")</f>
        <v>P.3 (2)</v>
      </c>
      <c r="DC30" s="116" t="n">
        <f aca="false">IF(DB30="-","-",COUNTIFS(T_Equipos[Rank],"&lt;"&amp;INDEX(T_Equipos[Rank],MATCH(BD30,T_Equipos[NombreEquipo],0)),$BC$6:$BC$53,INDEX(T_Equipos[Grupo],MATCH(BD30,T_Equipos[NombreEquipo],0)))+1)</f>
        <v>1</v>
      </c>
      <c r="DD30" s="116" t="n">
        <f aca="false">DA30+COUNTIFS($DB$6:$DB$53,DB30,$DC$6:DC$53,"&lt;"&amp;DC30,$BC$6:$BC$53,INDEX(T_Equipos[Grupo],MATCH(BD30,T_Equipos[NombreEquipo],0)))</f>
        <v>3</v>
      </c>
      <c r="DE30" s="116"/>
      <c r="DF30" s="116" t="n">
        <f aca="false">IF(OR(INDEX($AW$6:$AW$97,MATCH($BD30,$AV$6:$AV$97,0))="",DB30="-"),DD30,INDEX($AW$6:$AW$97,MATCH($BD30,$AV$6:$AV$97,0))+DD30/1000)</f>
        <v>3</v>
      </c>
      <c r="DG30" s="116" t="n">
        <f aca="false">IF(DB30="-","-",COUNTIFS(DF$6:DF$53,"&lt;"&amp;DF30,$BC$6:$BC$53,INDEX(T_Equipos[Grupo],MATCH(BD30,T_Equipos[NombreEquipo],0))))</f>
        <v>2</v>
      </c>
      <c r="DH30" s="116" t="n">
        <f aca="false">DA30+COUNTIFS(DB$6:DB$53,DB30,DG$6:DG$53,"&lt;"&amp;DG30,$BC$6:$BC$53,INDEX(T_Equipos[Grupo],MATCH(BD30,T_Equipos[NombreEquipo],0)))</f>
        <v>3</v>
      </c>
      <c r="DI30" s="55"/>
      <c r="DJ30" s="55" t="n">
        <f aca="false">INDEX($DA$6:$DA$53,MATCH($DQ30,$BD$6:$BD$53,0))</f>
        <v>1</v>
      </c>
      <c r="DK30" s="55" t="n">
        <f aca="false">+SUMIF($BC$6:$BC$53,BC30,$BF$6:$BF$53)</f>
        <v>4</v>
      </c>
      <c r="DL30" s="55" t="n">
        <f aca="false">IF(OR(DK30=12,$AJ$99=144),COUNTIFS($DJ$6:$DJ$53,DJ30,$BC$6:$BC$53,BC30),1)</f>
        <v>1</v>
      </c>
      <c r="DM30" s="120" t="str">
        <f aca="false">DJ30&amp;"."&amp;DL30</f>
        <v>1.1</v>
      </c>
      <c r="DN30" s="55" t="n">
        <f aca="true" t="array" ref="DN30:DN30">OFFSET(Horarios!$P$3,DJ30-1,0,DL30,1)</f>
        <v>1</v>
      </c>
      <c r="DO30" s="55"/>
      <c r="DP30" s="55" t="s">
        <v>105</v>
      </c>
      <c r="DQ30" s="55" t="str">
        <f aca="false">INDEX($BD$6:$BD$53,MATCH(DP30,$BM$6:$BM$53,0))</f>
        <v>Irán</v>
      </c>
      <c r="DR30" s="55"/>
      <c r="DS30" s="55"/>
      <c r="DT30" s="55" t="str">
        <f aca="false">AA30&amp;"-"&amp;AF30</f>
        <v>Estados Unidos-Australia</v>
      </c>
      <c r="DU30" s="55"/>
      <c r="DV30" s="55"/>
      <c r="DW30" s="57"/>
    </row>
    <row r="31" customFormat="false" ht="15.75" hidden="false" customHeight="true" outlineLevel="0" collapsed="false">
      <c r="A31" s="92" t="str">
        <f aca="false">+Equipos!B16</f>
        <v>Australia</v>
      </c>
      <c r="B31" s="72"/>
      <c r="C31" s="55"/>
      <c r="D31" s="55" t="str">
        <f aca="false">IF(OR(AC31="",AD31=""),"Pendiente",IF(AC31&gt;AD31,"Local",IF(AC31&lt;AD31,"Visitante","Empate")))</f>
        <v>Pendiente</v>
      </c>
      <c r="E31" s="55" t="str">
        <f aca="false">IF(D31="Pendiente","-",INDEX($BT$6:$BT$53,MATCH($AA31,$BD$6:$BD$53,0)))</f>
        <v>-</v>
      </c>
      <c r="F31" s="55" t="str">
        <f aca="false">IF(D31="Pendiente","-",INDEX($BT$6:$BT$53,MATCH($AF31,$BD$6:$BD$53,0)))</f>
        <v>-</v>
      </c>
      <c r="G31" s="55"/>
      <c r="H31" s="55" t="str">
        <f aca="false">IF(D31="Pendiente","-",INDEX($BZ$6:$BZ$53,MATCH($AA31,$BD$6:$BD$53,0)))</f>
        <v>-</v>
      </c>
      <c r="I31" s="55" t="str">
        <f aca="false">IF(D31="Pendiente","-",INDEX($BZ$6:$BZ$53,MATCH($AF31,$BD$6:$BD$53,0)))</f>
        <v>-</v>
      </c>
      <c r="J31" s="55"/>
      <c r="K31" s="55" t="str">
        <f aca="false">IF(D31="Pendiente","-",INDEX($CE$6:$CE$53,MATCH($AA31,$BD$6:$BD$53,0)))</f>
        <v>-</v>
      </c>
      <c r="L31" s="55" t="str">
        <f aca="false">IF(D31="Pendiente","-",INDEX($CE$6:$CE$53,MATCH($AF31,$BD$6:$BD$53,0)))</f>
        <v>-</v>
      </c>
      <c r="M31" s="55"/>
      <c r="N31" s="55" t="str">
        <f aca="false">IF(D31="Pendiente","-",INDEX($CH$6:$CH$53,MATCH($AA31,$BD$6:$BD$53,0)))</f>
        <v>-</v>
      </c>
      <c r="O31" s="55" t="str">
        <f aca="false">IF(D31="Pendiente","-",INDEX($CH$6:$CH$53,MATCH($AF31,$BD$6:$BD$53,0)))</f>
        <v>-</v>
      </c>
      <c r="P31" s="55"/>
      <c r="Q31" s="55" t="str">
        <f aca="false">IF(D31="Pendiente","-",INDEX($CN$6:$CN$53,MATCH($AA31,$BD$6:$BD$53,0)))</f>
        <v>-</v>
      </c>
      <c r="R31" s="55" t="str">
        <f aca="false">IF(D31="Pendiente","-",INDEX($CN$6:$CN$53,MATCH($AF31,$BD$6:$BD$53,0)))</f>
        <v>-</v>
      </c>
      <c r="S31" s="55"/>
      <c r="T31" s="55" t="str">
        <f aca="false">IF(D31="Pendiente","-",INDEX($CS$6:$CS$53,MATCH($AA31,$BD$6:$BD$53,0)))</f>
        <v>-</v>
      </c>
      <c r="U31" s="55" t="str">
        <f aca="false">IF(D31="Pendiente","-",INDEX($CS$6:$CS$53,MATCH($AF31,$BD$6:$BD$53,0)))</f>
        <v>-</v>
      </c>
      <c r="V31" s="46"/>
      <c r="W31" s="185"/>
      <c r="X31" s="74" t="n">
        <f aca="false">Horarios!C31</f>
        <v>46193.2083333333</v>
      </c>
      <c r="Y31" s="75" t="n">
        <f aca="false">Horarios!C31</f>
        <v>46193.2083333333</v>
      </c>
      <c r="Z31" s="76" t="str">
        <f aca="false">$Z$6</f>
        <v>J2</v>
      </c>
      <c r="AA31" s="77" t="str">
        <f aca="false">A32</f>
        <v>Turquía</v>
      </c>
      <c r="AB31" s="165" t="str">
        <f aca="true" t="array" ref="AB31:AB31">Ver_flag_local</f>
        <v/>
      </c>
      <c r="AC31" s="79"/>
      <c r="AD31" s="80"/>
      <c r="AE31" s="81" t="str">
        <f aca="true" t="array" ref="AE31:AE31">Ver_flag_visit</f>
        <v/>
      </c>
      <c r="AF31" s="82" t="str">
        <f aca="false">A30</f>
        <v>Paraguay</v>
      </c>
      <c r="AG31" s="83" t="n">
        <f aca="false">IF(NOT(OR(ISBLANK(AC31),ISBLANK(AD31))),1,0)</f>
        <v>0</v>
      </c>
      <c r="AH31" s="84" t="n">
        <v>31</v>
      </c>
      <c r="AI31" s="85" t="str">
        <f aca="false">AJ31&amp;$B$28</f>
        <v>2D</v>
      </c>
      <c r="AJ31" s="121" t="n">
        <v>2</v>
      </c>
      <c r="AK31" s="173" t="str">
        <f aca="true" t="array" ref="AK31:AK31">Ver_flag_visit</f>
        <v/>
      </c>
      <c r="AL31" s="123" t="str">
        <f aca="false">IFERROR(INDEX($BD$6:$BD$53,MATCH(AI31,$BN$6:$BN$53,0)),"")</f>
        <v>Australia</v>
      </c>
      <c r="AM31" s="124" t="n">
        <f aca="false">INDEX($BE$6:$BN$53,MATCH($AL31,$BD$6:$BD$53,0),MATCH(AM$5,$BE$5:$BN$5,0))</f>
        <v>3</v>
      </c>
      <c r="AN31" s="125" t="n">
        <f aca="false">INDEX($BE$6:$BN$53,MATCH($AL31,$BD$6:$BD$53,0),MATCH(AN$5,$BE$5:$BN$5,0))</f>
        <v>1</v>
      </c>
      <c r="AO31" s="125" t="n">
        <f aca="false">INDEX($BE$6:$BN$53,MATCH($AL31,$BD$6:$BD$53,0),MATCH(AO$5,$BE$5:$BN$5,0))</f>
        <v>1</v>
      </c>
      <c r="AP31" s="125" t="n">
        <f aca="false">INDEX($BE$6:$BN$53,MATCH($AL31,$BD$6:$BD$53,0),MATCH(AP$5,$BE$5:$BN$5,0))</f>
        <v>0</v>
      </c>
      <c r="AQ31" s="125" t="n">
        <f aca="false">INDEX($BE$6:$BN$53,MATCH($AL31,$BD$6:$BD$53,0),MATCH(AQ$5,$BE$5:$BN$5,0))</f>
        <v>0</v>
      </c>
      <c r="AR31" s="125" t="n">
        <f aca="false">INDEX($BE$6:$BN$53,MATCH($AL31,$BD$6:$BD$53,0),MATCH(AR$5,$BE$5:$BN$5,0))</f>
        <v>2</v>
      </c>
      <c r="AS31" s="125" t="n">
        <f aca="false">INDEX($BE$6:$BN$53,MATCH($AL31,$BD$6:$BD$53,0),MATCH(AS$5,$BE$5:$BN$5,0))</f>
        <v>0</v>
      </c>
      <c r="AT31" s="126" t="n">
        <f aca="false">INDEX($BE$6:$BN$53,MATCH($AL31,$BD$6:$BD$53,0),MATCH(AT$5,$BE$5:$BN$5,0))</f>
        <v>2</v>
      </c>
      <c r="AU31" s="110" t="n">
        <f aca="false">INDEX($DL$6:$DL$53,MATCH(AI31,$DP$6:$DP$53,0))</f>
        <v>1</v>
      </c>
      <c r="AV31" s="111" t="str">
        <f aca="false">INDEX($BD$6:$BD$53,MATCH(AI31,$BM$6:$BM$53,0))</f>
        <v>Australia</v>
      </c>
      <c r="AW31" s="112"/>
      <c r="AX31" s="113"/>
      <c r="AY31" s="127" t="str">
        <f aca="false">+A30</f>
        <v>Paraguay</v>
      </c>
      <c r="AZ31" s="128"/>
      <c r="BA31" s="49"/>
      <c r="BB31" s="55"/>
      <c r="BC31" s="116" t="str">
        <f aca="false">+INDEX(T_Equipos[Grupo],MATCH(WORLDCUP!BD31,T_Equipos[NombreEquipo],0))</f>
        <v>G</v>
      </c>
      <c r="BD31" s="55" t="str">
        <f aca="false">+Equipos!B27</f>
        <v>Egipto</v>
      </c>
      <c r="BE31" s="117" t="n">
        <f aca="false">+BG31*3+BH31+IF($AZ$3="no",0,INDEX($AZ$6:$AZ$97,MATCH(BD31,$AY$6:$AY$97,0)))</f>
        <v>1</v>
      </c>
      <c r="BF31" s="117" t="n">
        <f aca="false">+BG31+BH31+BI31</f>
        <v>1</v>
      </c>
      <c r="BG31" s="117" t="n">
        <f aca="false">+COUNTIFS(FGLocal,BD31,Ganador,"Local")+COUNTIFS(FGVisitante,BD31,Ganador,"Visitante")</f>
        <v>0</v>
      </c>
      <c r="BH31" s="117" t="n">
        <f aca="false">+COUNTIFS(FGLocal,BD31,Ganador,"Empate")+COUNTIFS(FGVisitante,BD31,Ganador,"Empate")</f>
        <v>1</v>
      </c>
      <c r="BI31" s="117" t="n">
        <f aca="false">+COUNTIFS(FGVisitante,BD31,Ganador,"Local")+COUNTIFS(FGLocal,BD31,Ganador,"Visitante")</f>
        <v>0</v>
      </c>
      <c r="BJ31" s="117" t="n">
        <f aca="false">+SUMIFS(FG_GolesLocal,FGLocal,BD31,Ganador,"&lt;&gt;"&amp;"Pendiente",FG_GolesLocal,"&lt;&gt;"&amp;"",FG_GolesVisitante,"&lt;&gt;"&amp;"")+SUMIFS(FG_GolesVisitante,FGVisitante,BD31,Ganador,"&lt;&gt;"&amp;"Pendiente",FG_GolesLocal,"&lt;&gt;"&amp;"",FG_GolesVisitante,"&lt;&gt;"&amp;"")</f>
        <v>1</v>
      </c>
      <c r="BK31" s="117" t="n">
        <f aca="false">+SUMIFS(FG_GolesLocal,FGVisitante,BD31,Ganador,"&lt;&gt;"&amp;"Pendiente",FG_GolesLocal,"&lt;&gt;"&amp;"",FG_GolesVisitante,"&lt;&gt;"&amp;"")+SUMIFS(FG_GolesVisitante,FGLocal,BD31,Ganador,"&lt;&gt;"&amp;"Pendiente",FG_GolesLocal,"&lt;&gt;"&amp;"",FG_GolesVisitante,"&lt;&gt;"&amp;"")</f>
        <v>1</v>
      </c>
      <c r="BL31" s="117" t="n">
        <f aca="false">+BJ31-BK31</f>
        <v>0</v>
      </c>
      <c r="BM31" s="117" t="str">
        <f aca="false">DD31&amp;BC31</f>
        <v>4G</v>
      </c>
      <c r="BN31" s="117" t="str">
        <f aca="false">DH31&amp;BC31</f>
        <v>4G</v>
      </c>
      <c r="BO31" s="118" t="n">
        <f aca="false">IF(AND($AJ$99=144,BF31&gt;=1),1,0)</f>
        <v>0</v>
      </c>
      <c r="BP31" s="118" t="n">
        <f aca="false">COUNTIFS($BO$6:$BO$53,"&gt;"&amp;BO31,$BC$6:$BC$53,INDEX(T_Equipos[Grupo],MATCH(BD31,T_Equipos[NombreEquipo],0)))+1</f>
        <v>1</v>
      </c>
      <c r="BQ31" s="118" t="str">
        <f aca="false">IF(COUNTIFS($BP$6:$BP$53,BP31,$BC$6:$BC$53,INDEX(T_Equipos[Grupo],MATCH(BD31,T_Equipos[NombreEquipo],0)))=1,"-","P."&amp;BP31&amp;" ("&amp;COUNTIFS($BP$6:$BP$53,BP31,$BC$6:$BC$53,INDEX(T_Equipos[Grupo],MATCH(BD31,T_Equipos[NombreEquipo],0)))&amp;")")</f>
        <v>P.1 (4)</v>
      </c>
      <c r="BR31" s="118" t="n">
        <f aca="false">IF($BQ31="-","-",BE31)</f>
        <v>1</v>
      </c>
      <c r="BS31" s="118" t="n">
        <f aca="false">BP31+COUNTIFS($BQ$6:$BQ$53,BQ31,$BR$6:BR$53,"&gt;"&amp;BR31,$BC$6:$BC$53,INDEX(T_Equipos[Grupo],MATCH(BD31,T_Equipos[NombreEquipo],0)))</f>
        <v>1</v>
      </c>
      <c r="BT31" s="118" t="str">
        <f aca="false">IF(COUNTIFS($BS$6:$BS$53,BS31,$BC$6:$BC$53,INDEX(T_Equipos[Grupo],MATCH(BD31,T_Equipos[NombreEquipo],0)))=1,"-","P."&amp;BS31&amp;" ("&amp;COUNTIFS($BS$6:$BS$53,BS31,$BC$6:$BC$53,INDEX(T_Equipos[Grupo],MATCH(BD31,T_Equipos[NombreEquipo],0)))&amp;")")</f>
        <v>P.1 (4)</v>
      </c>
      <c r="BU31" s="119" t="n">
        <f aca="false">IF($BT31="-","-",COUNTIFS(FGLocal,$BD31,Ganador,"Local",Part1Empate1V,$BT31)+COUNTIFS(FGVisitante,$BD31,Ganador,"Visitante",Part1Empate1L,$BT31))</f>
        <v>0</v>
      </c>
      <c r="BV31" s="119" t="n">
        <f aca="false">IF($BT31="-","-",COUNTIFS(FGLocal,$BD31,Ganador,"Empate",Part1Empate1V,$BT31)+COUNTIFS(FGVisitante,$BD31,Ganador,"Empate",Part1Empate1L,$BT31))</f>
        <v>1</v>
      </c>
      <c r="BW31" s="119" t="n">
        <f aca="false">IF($BT31="-","-",COUNTIFS(FGLocal,$BD31,Ganador,"Visitante",Part1Empate1V,$BT31)+COUNTIFS(FGVisitante,$BD31,Ganador,"Local",Part1Empate1L,$BT31))</f>
        <v>0</v>
      </c>
      <c r="BX31" s="119" t="n">
        <f aca="false">IF($BT31="-","-",BU31*3+BV31)</f>
        <v>1</v>
      </c>
      <c r="BY31" s="119" t="n">
        <f aca="false">BS31+COUNTIFS($BT$6:$BT$53,BT31,$BX$6:BX$53,"&gt;"&amp;BX31,$BC$6:$BC$53,INDEX(T_Equipos[Grupo],MATCH(BD31,T_Equipos[NombreEquipo],0)))</f>
        <v>1</v>
      </c>
      <c r="BZ31" s="118" t="str">
        <f aca="false">IF(COUNTIFS($BY$6:$BY$53,BY31,$BC$6:$BC$53,INDEX(T_Equipos[Grupo],MATCH(BD31,T_Equipos[NombreEquipo],0)))=1,"-","P."&amp;BY31&amp;" ("&amp;COUNTIFS($BY$6:$BY$53,BY31,$BC$6:$BC$53,INDEX(T_Equipos[Grupo],MATCH(BD31,T_Equipos[NombreEquipo],0)))&amp;")")</f>
        <v>P.1 (4)</v>
      </c>
      <c r="CA31" s="119" t="n">
        <f aca="false">IF($BZ31="-","-",SUMIFS(FG_GolesLocal,FGLocal,$BD31,Part1Empate2V,$BZ31)+SUMIFS(FG_GolesVisitante,FGVisitante,$BD31,Part1Empate2L,$BZ31))</f>
        <v>1</v>
      </c>
      <c r="CB31" s="119" t="n">
        <f aca="false">IF($BZ31="-","-",SUMIFS(FG_GolesVisitante,FGLocal,$BD31,Part1Empate2V,$BZ31)+SUMIFS(FG_GolesLocal,FGVisitante,$BD31,Part1Empate2L,$BZ31))</f>
        <v>1</v>
      </c>
      <c r="CC31" s="119" t="n">
        <f aca="false">IF($BZ31="-","-",CA31-CB31)</f>
        <v>0</v>
      </c>
      <c r="CD31" s="119" t="n">
        <f aca="false">BY31+COUNTIFS($BZ$6:$BZ$53,BZ31,$CC$6:CC$53,"&gt;"&amp;CC31,$BC$6:$BC$53,INDEX(T_Equipos[Grupo],MATCH(BD31,T_Equipos[NombreEquipo],0)))</f>
        <v>1</v>
      </c>
      <c r="CE31" s="118" t="str">
        <f aca="false">IF(COUNTIFS($CD$6:$CD$53,CD31,$BC$6:$BC$53,INDEX(T_Equipos[Grupo],MATCH(BD31,T_Equipos[NombreEquipo],0)))=1,"-","P."&amp;CD31&amp;" ("&amp;COUNTIFS($CD$6:$CD$53,CD31,$BC$6:$BC$53,INDEX(T_Equipos[Grupo],MATCH(BD31,T_Equipos[NombreEquipo],0)))&amp;")")</f>
        <v>P.1 (4)</v>
      </c>
      <c r="CF31" s="119" t="n">
        <f aca="false">IF($CE31="-","-",SUMIFS(FG_GolesLocal,FGLocal,$BD31,Part1Empate3V,$CE31)+SUMIFS(FG_GolesVisitante,FGVisitante,$BD31,Part1Empate3L,$CE31))</f>
        <v>1</v>
      </c>
      <c r="CG31" s="119" t="n">
        <f aca="false">CD31+COUNTIFS($CE$6:$CE$53,CE31,$CF$6:CF$53,"&gt;"&amp;CF31,$BC$6:$BC$53,INDEX(T_Equipos[Grupo],MATCH(BD31,T_Equipos[NombreEquipo],0)))</f>
        <v>3</v>
      </c>
      <c r="CH31" s="118" t="str">
        <f aca="false">IF(COUNTIFS($CG$6:$CG$53,CG31,$BC$6:$BC$53,INDEX(T_Equipos[Grupo],MATCH(BD31,T_Equipos[NombreEquipo],0)))=1,"-","P."&amp;CG31&amp;" ("&amp;COUNTIFS($CG$6:$CG$53,CG31,$BC$6:$BC$53,INDEX(T_Equipos[Grupo],MATCH(BD31,T_Equipos[NombreEquipo],0)))&amp;")")</f>
        <v>P.3 (2)</v>
      </c>
      <c r="CI31" s="119" t="n">
        <f aca="false">IF($CH31="-","-",COUNTIFS(FGLocal,$BD31,Ganador,"Local",Part2Empate4V,$CH31)+COUNTIFS(FGVisitante,$BD31,Ganador,"Visitante",Part2Empate4L,$CH31))</f>
        <v>0</v>
      </c>
      <c r="CJ31" s="119" t="n">
        <f aca="false">IF($CH31="-","-",COUNTIFS(FGLocal,$BD31,Ganador,"Empate",Part2Empate4V,$CH31)+COUNTIFS(FGVisitante,$BD31,Ganador,"Empate",Part2Empate4L,$CH31))</f>
        <v>1</v>
      </c>
      <c r="CK31" s="119" t="n">
        <f aca="false">IF($CH31="-","-",COUNTIFS(FGLocal,$BD31,Ganador,"Visitante",Part2Empate4V,$CH31)+COUNTIFS(FGVisitante,$BD31,Ganador,"Local",Part2Empate4L,$CH31))</f>
        <v>0</v>
      </c>
      <c r="CL31" s="119" t="n">
        <f aca="false">IF($CH31="-","-",CI31*3+CJ31)</f>
        <v>1</v>
      </c>
      <c r="CM31" s="119" t="n">
        <f aca="false">CG31+COUNTIFS($CH$6:$CH$53,CH31,$CL$6:CL$53,"&gt;"&amp;CL31,$BC$6:$BC$53,INDEX(T_Equipos[Grupo],MATCH(BD31,T_Equipos[NombreEquipo],0)))</f>
        <v>3</v>
      </c>
      <c r="CN31" s="118" t="str">
        <f aca="false">IF(COUNTIFS($CM$6:$CM$53,CM31,$BC$6:$BC$53,INDEX(T_Equipos[Grupo],MATCH(BD31,T_Equipos[NombreEquipo],0)))=1,"-","P."&amp;CM31&amp;" ("&amp;COUNTIFS($CM$6:$CM$53,CM31,$BC$6:$BC$53,INDEX(T_Equipos[Grupo],MATCH(BD31,T_Equipos[NombreEquipo],0)))&amp;")")</f>
        <v>P.3 (2)</v>
      </c>
      <c r="CO31" s="119" t="n">
        <f aca="false">IF($CN31="-","-",SUMIFS(FG_GolesLocal,FGLocal,$BD31,Part2Empate5V,$CN31)+SUMIFS(FG_GolesVisitante,FGVisitante,$BD31,Part2Empate5L,$CN31))</f>
        <v>1</v>
      </c>
      <c r="CP31" s="119" t="n">
        <f aca="false">IF($CN31="-","-",SUMIFS(FG_GolesVisitante,FGLocal,$BD31,Part2Empate5V,$CN31)+SUMIFS(FG_GolesLocal,FGVisitante,$BD31,Part2Empate5L,$CN31))</f>
        <v>1</v>
      </c>
      <c r="CQ31" s="119" t="n">
        <f aca="false">IF($CN31="-","-",CO31-CP31)</f>
        <v>0</v>
      </c>
      <c r="CR31" s="119" t="n">
        <f aca="false">CM31+COUNTIFS($CN$6:$CN$53,CN31,$CQ$6:CQ$53,"&gt;"&amp;CQ31,$BC$6:$BC$53,INDEX(T_Equipos[Grupo],MATCH(BD31,T_Equipos[NombreEquipo],0)))</f>
        <v>3</v>
      </c>
      <c r="CS31" s="118" t="str">
        <f aca="false">IF(COUNTIFS($CR$6:$CR$53,CR31,$BC$6:$BC$53,INDEX(T_Equipos[Grupo],MATCH(BD31,T_Equipos[NombreEquipo],0)))=1,"-","P."&amp;CR31&amp;" ("&amp;COUNTIFS($CR$6:$CR$53,CR31,$BC$6:$BC$53,INDEX(T_Equipos[Grupo],MATCH(BD31,T_Equipos[NombreEquipo],0)))&amp;")")</f>
        <v>P.3 (2)</v>
      </c>
      <c r="CT31" s="119" t="n">
        <f aca="false">IF($CS31="-","-",SUMIFS(FG_GolesLocal,FGLocal,$BD31,Part2Empate6V,$CS31)+SUMIFS(FG_GolesVisitante,FGVisitante,$BD31,Part2Empate6L,$CS31))</f>
        <v>1</v>
      </c>
      <c r="CU31" s="119" t="n">
        <f aca="false">CR31+COUNTIFS($CS$6:$CS$53,CS31,$CT$6:CT$53,"&gt;"&amp;CT31,$BC$6:$BC$53,INDEX(T_Equipos[Grupo],MATCH(BD31,T_Equipos[NombreEquipo],0)))</f>
        <v>3</v>
      </c>
      <c r="CV31" s="118" t="str">
        <f aca="false">IF(COUNTIFS($CU$6:$CU$53,CU31,$BC$6:$BC$53,INDEX(T_Equipos[Grupo],MATCH(BD31,T_Equipos[NombreEquipo],0)))=1,"-","P."&amp;CU31&amp;" ("&amp;COUNTIFS($CU$6:$CU$53,CU31,$BC$6:$BC$53,INDEX(T_Equipos[Grupo],MATCH(BD31,T_Equipos[NombreEquipo],0)))&amp;")")</f>
        <v>P.3 (2)</v>
      </c>
      <c r="CW31" s="118" t="n">
        <f aca="false">IF(CV31="-","-",BL31)</f>
        <v>0</v>
      </c>
      <c r="CX31" s="118" t="n">
        <f aca="false">CU31+COUNTIFS($CV$6:$CV$53,CV31,$CW$6:CW$53,"&gt;"&amp;CW31,$BC$6:$BC$53,INDEX(T_Equipos[Grupo],MATCH(BD31,T_Equipos[NombreEquipo],0)))</f>
        <v>3</v>
      </c>
      <c r="CY31" s="118" t="str">
        <f aca="false">IF(COUNTIFS($CX$6:$CX$53,CX31,$BC$6:$BC$53,INDEX(T_Equipos[Grupo],MATCH(BD31,T_Equipos[NombreEquipo],0)))=1,"-","P."&amp;CX31&amp;" ("&amp;COUNTIFS($CX$6:$CX$53,CX31,$BC$6:$BC$53,INDEX(T_Equipos[Grupo],MATCH(BD31,T_Equipos[NombreEquipo],0)))&amp;")")</f>
        <v>P.3 (2)</v>
      </c>
      <c r="CZ31" s="118" t="n">
        <f aca="false">IF(CY31="-","-",BJ31)</f>
        <v>1</v>
      </c>
      <c r="DA31" s="119" t="n">
        <f aca="false">CX31+COUNTIFS($CY$6:$CY$53,CY31,$CZ$6:CZ$53,"&gt;"&amp;CZ31,$BC$6:$BC$53,INDEX(T_Equipos[Grupo],MATCH(BD31,T_Equipos[NombreEquipo],0)))</f>
        <v>3</v>
      </c>
      <c r="DB31" s="118" t="str">
        <f aca="false">IF(COUNTIFS($DA$6:$DA$53,DA31,$BC$6:$BC$53,INDEX(T_Equipos[Grupo],MATCH(BD31,T_Equipos[NombreEquipo],0)))=1,"-","P."&amp;DA31&amp;" ("&amp;COUNTIFS($DA$6:$DA$53,DA31,$BC$6:$BC$53,INDEX(T_Equipos[Grupo],MATCH(BD31,T_Equipos[NombreEquipo],0)))&amp;")")</f>
        <v>P.3 (2)</v>
      </c>
      <c r="DC31" s="116" t="n">
        <f aca="false">IF(DB31="-","-",COUNTIFS(T_Equipos[Rank],"&lt;"&amp;INDEX(T_Equipos[Rank],MATCH(BD31,T_Equipos[NombreEquipo],0)),$BC$6:$BC$53,INDEX(T_Equipos[Grupo],MATCH(BD31,T_Equipos[NombreEquipo],0)))+1)</f>
        <v>2</v>
      </c>
      <c r="DD31" s="116" t="n">
        <f aca="false">DA31+COUNTIFS($DB$6:$DB$53,DB31,$DC$6:DC$53,"&lt;"&amp;DC31,$BC$6:$BC$53,INDEX(T_Equipos[Grupo],MATCH(BD31,T_Equipos[NombreEquipo],0)))</f>
        <v>4</v>
      </c>
      <c r="DE31" s="116"/>
      <c r="DF31" s="116" t="n">
        <f aca="false">IF(OR(INDEX($AW$6:$AW$97,MATCH($BD31,$AV$6:$AV$97,0))="",DB31="-"),DD31,INDEX($AW$6:$AW$97,MATCH($BD31,$AV$6:$AV$97,0))+DD31/1000)</f>
        <v>4</v>
      </c>
      <c r="DG31" s="116" t="n">
        <f aca="false">IF(DB31="-","-",COUNTIFS(DF$6:DF$53,"&lt;"&amp;DF31,$BC$6:$BC$53,INDEX(T_Equipos[Grupo],MATCH(BD31,T_Equipos[NombreEquipo],0))))</f>
        <v>3</v>
      </c>
      <c r="DH31" s="116" t="n">
        <f aca="false">DA31+COUNTIFS(DB$6:DB$53,DB31,DG$6:DG$53,"&lt;"&amp;DG31,$BC$6:$BC$53,INDEX(T_Equipos[Grupo],MATCH(BD31,T_Equipos[NombreEquipo],0)))</f>
        <v>4</v>
      </c>
      <c r="DI31" s="55"/>
      <c r="DJ31" s="55" t="n">
        <f aca="false">INDEX($DA$6:$DA$53,MATCH($DQ31,$BD$6:$BD$53,0))</f>
        <v>1</v>
      </c>
      <c r="DK31" s="55" t="n">
        <f aca="false">+SUMIF($BC$6:$BC$53,BC31,$BF$6:$BF$53)</f>
        <v>4</v>
      </c>
      <c r="DL31" s="55" t="n">
        <f aca="false">IF(OR(DK31=12,$AJ$99=144),COUNTIFS($DJ$6:$DJ$53,DJ31,$BC$6:$BC$53,BC31),1)</f>
        <v>1</v>
      </c>
      <c r="DM31" s="120" t="str">
        <f aca="false">DJ31&amp;"."&amp;DL31</f>
        <v>1.1</v>
      </c>
      <c r="DN31" s="55" t="n">
        <f aca="true" t="array" ref="DN31:DN31">OFFSET(Horarios!$P$3,DJ31-1,0,DL31,1)</f>
        <v>1</v>
      </c>
      <c r="DO31" s="55"/>
      <c r="DP31" s="55" t="s">
        <v>106</v>
      </c>
      <c r="DQ31" s="55" t="str">
        <f aca="false">INDEX($BD$6:$BD$53,MATCH(DP31,$BM$6:$BM$53,0))</f>
        <v>Nueva Zelanda</v>
      </c>
      <c r="DR31" s="55"/>
      <c r="DS31" s="55"/>
      <c r="DT31" s="55" t="str">
        <f aca="false">AA31&amp;"-"&amp;AF31</f>
        <v>Turquía-Paraguay</v>
      </c>
      <c r="DU31" s="55"/>
      <c r="DV31" s="55"/>
      <c r="DW31" s="57"/>
    </row>
    <row r="32" customFormat="false" ht="15.75" hidden="false" customHeight="true" outlineLevel="0" collapsed="false">
      <c r="A32" s="92" t="str">
        <f aca="false">+Equipos!B17</f>
        <v>Turquía</v>
      </c>
      <c r="B32" s="72"/>
      <c r="C32" s="55"/>
      <c r="D32" s="55" t="str">
        <f aca="false">IF(OR(AC32="",AD32=""),"Pendiente",IF(AC32&gt;AD32,"Local",IF(AC32&lt;AD32,"Visitante","Empate")))</f>
        <v>Pendiente</v>
      </c>
      <c r="E32" s="55" t="str">
        <f aca="false">IF(D32="Pendiente","-",INDEX($BT$6:$BT$53,MATCH($AA32,$BD$6:$BD$53,0)))</f>
        <v>-</v>
      </c>
      <c r="F32" s="55" t="str">
        <f aca="false">IF(D32="Pendiente","-",INDEX($BT$6:$BT$53,MATCH($AF32,$BD$6:$BD$53,0)))</f>
        <v>-</v>
      </c>
      <c r="G32" s="55"/>
      <c r="H32" s="55" t="str">
        <f aca="false">IF(D32="Pendiente","-",INDEX($BZ$6:$BZ$53,MATCH($AA32,$BD$6:$BD$53,0)))</f>
        <v>-</v>
      </c>
      <c r="I32" s="55" t="str">
        <f aca="false">IF(D32="Pendiente","-",INDEX($BZ$6:$BZ$53,MATCH($AF32,$BD$6:$BD$53,0)))</f>
        <v>-</v>
      </c>
      <c r="J32" s="55"/>
      <c r="K32" s="55" t="str">
        <f aca="false">IF(D32="Pendiente","-",INDEX($CE$6:$CE$53,MATCH($AA32,$BD$6:$BD$53,0)))</f>
        <v>-</v>
      </c>
      <c r="L32" s="55" t="str">
        <f aca="false">IF(D32="Pendiente","-",INDEX($CE$6:$CE$53,MATCH($AF32,$BD$6:$BD$53,0)))</f>
        <v>-</v>
      </c>
      <c r="M32" s="55"/>
      <c r="N32" s="55" t="str">
        <f aca="false">IF(D32="Pendiente","-",INDEX($CH$6:$CH$53,MATCH($AA32,$BD$6:$BD$53,0)))</f>
        <v>-</v>
      </c>
      <c r="O32" s="55" t="str">
        <f aca="false">IF(D32="Pendiente","-",INDEX($CH$6:$CH$53,MATCH($AF32,$BD$6:$BD$53,0)))</f>
        <v>-</v>
      </c>
      <c r="P32" s="55"/>
      <c r="Q32" s="55" t="str">
        <f aca="false">IF(D32="Pendiente","-",INDEX($CN$6:$CN$53,MATCH($AA32,$BD$6:$BD$53,0)))</f>
        <v>-</v>
      </c>
      <c r="R32" s="55" t="str">
        <f aca="false">IF(D32="Pendiente","-",INDEX($CN$6:$CN$53,MATCH($AF32,$BD$6:$BD$53,0)))</f>
        <v>-</v>
      </c>
      <c r="S32" s="55"/>
      <c r="T32" s="55" t="str">
        <f aca="false">IF(D32="Pendiente","-",INDEX($CS$6:$CS$53,MATCH($AA32,$BD$6:$BD$53,0)))</f>
        <v>-</v>
      </c>
      <c r="U32" s="55" t="str">
        <f aca="false">IF(D32="Pendiente","-",INDEX($CS$6:$CS$53,MATCH($AF32,$BD$6:$BD$53,0)))</f>
        <v>-</v>
      </c>
      <c r="V32" s="46"/>
      <c r="W32" s="185"/>
      <c r="X32" s="74" t="n">
        <f aca="false">Horarios!C32</f>
        <v>46199.1666666667</v>
      </c>
      <c r="Y32" s="75" t="n">
        <f aca="false">Horarios!C32</f>
        <v>46199.1666666667</v>
      </c>
      <c r="Z32" s="76" t="str">
        <f aca="false">$Z$8</f>
        <v>J3</v>
      </c>
      <c r="AA32" s="77" t="str">
        <f aca="false">A32</f>
        <v>Turquía</v>
      </c>
      <c r="AB32" s="165" t="str">
        <f aca="true" t="array" ref="AB32:AB32">Ver_flag_local</f>
        <v/>
      </c>
      <c r="AC32" s="79"/>
      <c r="AD32" s="80"/>
      <c r="AE32" s="81" t="str">
        <f aca="true" t="array" ref="AE32:AE32">Ver_flag_visit</f>
        <v/>
      </c>
      <c r="AF32" s="82" t="str">
        <f aca="false">A29</f>
        <v>Estados Unidos</v>
      </c>
      <c r="AG32" s="83" t="n">
        <f aca="false">IF(NOT(OR(ISBLANK(AC32),ISBLANK(AD32))),1,0)</f>
        <v>0</v>
      </c>
      <c r="AH32" s="84" t="n">
        <v>59</v>
      </c>
      <c r="AI32" s="85" t="str">
        <f aca="false">AJ32&amp;$B$28</f>
        <v>3D</v>
      </c>
      <c r="AJ32" s="121" t="n">
        <v>3</v>
      </c>
      <c r="AK32" s="173" t="str">
        <f aca="true" t="array" ref="AK32:AK32">Ver_flag_visit</f>
        <v/>
      </c>
      <c r="AL32" s="123" t="str">
        <f aca="false">IFERROR(INDEX($BD$6:$BD$53,MATCH(AI32,$BN$6:$BN$53,0)),"")</f>
        <v>Turquía</v>
      </c>
      <c r="AM32" s="124" t="n">
        <f aca="false">INDEX($BE$6:$BN$53,MATCH($AL32,$BD$6:$BD$53,0),MATCH(AM$5,$BE$5:$BN$5,0))</f>
        <v>0</v>
      </c>
      <c r="AN32" s="125" t="n">
        <f aca="false">INDEX($BE$6:$BN$53,MATCH($AL32,$BD$6:$BD$53,0),MATCH(AN$5,$BE$5:$BN$5,0))</f>
        <v>1</v>
      </c>
      <c r="AO32" s="125" t="n">
        <f aca="false">INDEX($BE$6:$BN$53,MATCH($AL32,$BD$6:$BD$53,0),MATCH(AO$5,$BE$5:$BN$5,0))</f>
        <v>0</v>
      </c>
      <c r="AP32" s="125" t="n">
        <f aca="false">INDEX($BE$6:$BN$53,MATCH($AL32,$BD$6:$BD$53,0),MATCH(AP$5,$BE$5:$BN$5,0))</f>
        <v>0</v>
      </c>
      <c r="AQ32" s="125" t="n">
        <f aca="false">INDEX($BE$6:$BN$53,MATCH($AL32,$BD$6:$BD$53,0),MATCH(AQ$5,$BE$5:$BN$5,0))</f>
        <v>1</v>
      </c>
      <c r="AR32" s="125" t="n">
        <f aca="false">INDEX($BE$6:$BN$53,MATCH($AL32,$BD$6:$BD$53,0),MATCH(AR$5,$BE$5:$BN$5,0))</f>
        <v>0</v>
      </c>
      <c r="AS32" s="125" t="n">
        <f aca="false">INDEX($BE$6:$BN$53,MATCH($AL32,$BD$6:$BD$53,0),MATCH(AS$5,$BE$5:$BN$5,0))</f>
        <v>2</v>
      </c>
      <c r="AT32" s="126" t="n">
        <f aca="false">INDEX($BE$6:$BN$53,MATCH($AL32,$BD$6:$BD$53,0),MATCH(AT$5,$BE$5:$BN$5,0))</f>
        <v>-2</v>
      </c>
      <c r="AU32" s="110" t="n">
        <f aca="false">INDEX($DL$6:$DL$53,MATCH(AI32,$DP$6:$DP$53,0))</f>
        <v>1</v>
      </c>
      <c r="AV32" s="111" t="str">
        <f aca="false">INDEX($BD$6:$BD$53,MATCH(AI32,$BM$6:$BM$53,0))</f>
        <v>Turquía</v>
      </c>
      <c r="AW32" s="112"/>
      <c r="AX32" s="113"/>
      <c r="AY32" s="114" t="str">
        <f aca="false">+A31</f>
        <v>Australia</v>
      </c>
      <c r="AZ32" s="115"/>
      <c r="BA32" s="49"/>
      <c r="BB32" s="55"/>
      <c r="BC32" s="116" t="str">
        <f aca="false">+INDEX(T_Equipos[Grupo],MATCH(WORLDCUP!BD32,T_Equipos[NombreEquipo],0))</f>
        <v>G</v>
      </c>
      <c r="BD32" s="55" t="str">
        <f aca="false">+Equipos!B28</f>
        <v>Irán</v>
      </c>
      <c r="BE32" s="117" t="n">
        <f aca="false">+BG32*3+BH32+IF($AZ$3="no",0,INDEX($AZ$6:$AZ$97,MATCH(BD32,$AY$6:$AY$97,0)))</f>
        <v>1</v>
      </c>
      <c r="BF32" s="117" t="n">
        <f aca="false">+BG32+BH32+BI32</f>
        <v>1</v>
      </c>
      <c r="BG32" s="117" t="n">
        <f aca="false">+COUNTIFS(FGLocal,BD32,Ganador,"Local")+COUNTIFS(FGVisitante,BD32,Ganador,"Visitante")</f>
        <v>0</v>
      </c>
      <c r="BH32" s="117" t="n">
        <f aca="false">+COUNTIFS(FGLocal,BD32,Ganador,"Empate")+COUNTIFS(FGVisitante,BD32,Ganador,"Empate")</f>
        <v>1</v>
      </c>
      <c r="BI32" s="117" t="n">
        <f aca="false">+COUNTIFS(FGVisitante,BD32,Ganador,"Local")+COUNTIFS(FGLocal,BD32,Ganador,"Visitante")</f>
        <v>0</v>
      </c>
      <c r="BJ32" s="117" t="n">
        <f aca="false">+SUMIFS(FG_GolesLocal,FGLocal,BD32,Ganador,"&lt;&gt;"&amp;"Pendiente",FG_GolesLocal,"&lt;&gt;"&amp;"",FG_GolesVisitante,"&lt;&gt;"&amp;"")+SUMIFS(FG_GolesVisitante,FGVisitante,BD32,Ganador,"&lt;&gt;"&amp;"Pendiente",FG_GolesLocal,"&lt;&gt;"&amp;"",FG_GolesVisitante,"&lt;&gt;"&amp;"")</f>
        <v>2</v>
      </c>
      <c r="BK32" s="117" t="n">
        <f aca="false">+SUMIFS(FG_GolesLocal,FGVisitante,BD32,Ganador,"&lt;&gt;"&amp;"Pendiente",FG_GolesLocal,"&lt;&gt;"&amp;"",FG_GolesVisitante,"&lt;&gt;"&amp;"")+SUMIFS(FG_GolesVisitante,FGLocal,BD32,Ganador,"&lt;&gt;"&amp;"Pendiente",FG_GolesLocal,"&lt;&gt;"&amp;"",FG_GolesVisitante,"&lt;&gt;"&amp;"")</f>
        <v>2</v>
      </c>
      <c r="BL32" s="117" t="n">
        <f aca="false">+BJ32-BK32</f>
        <v>0</v>
      </c>
      <c r="BM32" s="117" t="str">
        <f aca="false">DD32&amp;BC32</f>
        <v>1G</v>
      </c>
      <c r="BN32" s="117" t="str">
        <f aca="false">DH32&amp;BC32</f>
        <v>1G</v>
      </c>
      <c r="BO32" s="118" t="n">
        <f aca="false">IF(AND($AJ$99=144,BF32&gt;=1),1,0)</f>
        <v>0</v>
      </c>
      <c r="BP32" s="118" t="n">
        <f aca="false">COUNTIFS($BO$6:$BO$53,"&gt;"&amp;BO32,$BC$6:$BC$53,INDEX(T_Equipos[Grupo],MATCH(BD32,T_Equipos[NombreEquipo],0)))+1</f>
        <v>1</v>
      </c>
      <c r="BQ32" s="118" t="str">
        <f aca="false">IF(COUNTIFS($BP$6:$BP$53,BP32,$BC$6:$BC$53,INDEX(T_Equipos[Grupo],MATCH(BD32,T_Equipos[NombreEquipo],0)))=1,"-","P."&amp;BP32&amp;" ("&amp;COUNTIFS($BP$6:$BP$53,BP32,$BC$6:$BC$53,INDEX(T_Equipos[Grupo],MATCH(BD32,T_Equipos[NombreEquipo],0)))&amp;")")</f>
        <v>P.1 (4)</v>
      </c>
      <c r="BR32" s="118" t="n">
        <f aca="false">IF($BQ32="-","-",BE32)</f>
        <v>1</v>
      </c>
      <c r="BS32" s="118" t="n">
        <f aca="false">BP32+COUNTIFS($BQ$6:$BQ$53,BQ32,$BR$6:BR$53,"&gt;"&amp;BR32,$BC$6:$BC$53,INDEX(T_Equipos[Grupo],MATCH(BD32,T_Equipos[NombreEquipo],0)))</f>
        <v>1</v>
      </c>
      <c r="BT32" s="118" t="str">
        <f aca="false">IF(COUNTIFS($BS$6:$BS$53,BS32,$BC$6:$BC$53,INDEX(T_Equipos[Grupo],MATCH(BD32,T_Equipos[NombreEquipo],0)))=1,"-","P."&amp;BS32&amp;" ("&amp;COUNTIFS($BS$6:$BS$53,BS32,$BC$6:$BC$53,INDEX(T_Equipos[Grupo],MATCH(BD32,T_Equipos[NombreEquipo],0)))&amp;")")</f>
        <v>P.1 (4)</v>
      </c>
      <c r="BU32" s="119" t="n">
        <f aca="false">IF($BT32="-","-",COUNTIFS(FGLocal,$BD32,Ganador,"Local",Part1Empate1V,$BT32)+COUNTIFS(FGVisitante,$BD32,Ganador,"Visitante",Part1Empate1L,$BT32))</f>
        <v>0</v>
      </c>
      <c r="BV32" s="119" t="n">
        <f aca="false">IF($BT32="-","-",COUNTIFS(FGLocal,$BD32,Ganador,"Empate",Part1Empate1V,$BT32)+COUNTIFS(FGVisitante,$BD32,Ganador,"Empate",Part1Empate1L,$BT32))</f>
        <v>1</v>
      </c>
      <c r="BW32" s="119" t="n">
        <f aca="false">IF($BT32="-","-",COUNTIFS(FGLocal,$BD32,Ganador,"Visitante",Part1Empate1V,$BT32)+COUNTIFS(FGVisitante,$BD32,Ganador,"Local",Part1Empate1L,$BT32))</f>
        <v>0</v>
      </c>
      <c r="BX32" s="119" t="n">
        <f aca="false">IF($BT32="-","-",BU32*3+BV32)</f>
        <v>1</v>
      </c>
      <c r="BY32" s="119" t="n">
        <f aca="false">BS32+COUNTIFS($BT$6:$BT$53,BT32,$BX$6:BX$53,"&gt;"&amp;BX32,$BC$6:$BC$53,INDEX(T_Equipos[Grupo],MATCH(BD32,T_Equipos[NombreEquipo],0)))</f>
        <v>1</v>
      </c>
      <c r="BZ32" s="118" t="str">
        <f aca="false">IF(COUNTIFS($BY$6:$BY$53,BY32,$BC$6:$BC$53,INDEX(T_Equipos[Grupo],MATCH(BD32,T_Equipos[NombreEquipo],0)))=1,"-","P."&amp;BY32&amp;" ("&amp;COUNTIFS($BY$6:$BY$53,BY32,$BC$6:$BC$53,INDEX(T_Equipos[Grupo],MATCH(BD32,T_Equipos[NombreEquipo],0)))&amp;")")</f>
        <v>P.1 (4)</v>
      </c>
      <c r="CA32" s="119" t="n">
        <f aca="false">IF($BZ32="-","-",SUMIFS(FG_GolesLocal,FGLocal,$BD32,Part1Empate2V,$BZ32)+SUMIFS(FG_GolesVisitante,FGVisitante,$BD32,Part1Empate2L,$BZ32))</f>
        <v>2</v>
      </c>
      <c r="CB32" s="119" t="n">
        <f aca="false">IF($BZ32="-","-",SUMIFS(FG_GolesVisitante,FGLocal,$BD32,Part1Empate2V,$BZ32)+SUMIFS(FG_GolesLocal,FGVisitante,$BD32,Part1Empate2L,$BZ32))</f>
        <v>2</v>
      </c>
      <c r="CC32" s="119" t="n">
        <f aca="false">IF($BZ32="-","-",CA32-CB32)</f>
        <v>0</v>
      </c>
      <c r="CD32" s="119" t="n">
        <f aca="false">BY32+COUNTIFS($BZ$6:$BZ$53,BZ32,$CC$6:CC$53,"&gt;"&amp;CC32,$BC$6:$BC$53,INDEX(T_Equipos[Grupo],MATCH(BD32,T_Equipos[NombreEquipo],0)))</f>
        <v>1</v>
      </c>
      <c r="CE32" s="118" t="str">
        <f aca="false">IF(COUNTIFS($CD$6:$CD$53,CD32,$BC$6:$BC$53,INDEX(T_Equipos[Grupo],MATCH(BD32,T_Equipos[NombreEquipo],0)))=1,"-","P."&amp;CD32&amp;" ("&amp;COUNTIFS($CD$6:$CD$53,CD32,$BC$6:$BC$53,INDEX(T_Equipos[Grupo],MATCH(BD32,T_Equipos[NombreEquipo],0)))&amp;")")</f>
        <v>P.1 (4)</v>
      </c>
      <c r="CF32" s="119" t="n">
        <f aca="false">IF($CE32="-","-",SUMIFS(FG_GolesLocal,FGLocal,$BD32,Part1Empate3V,$CE32)+SUMIFS(FG_GolesVisitante,FGVisitante,$BD32,Part1Empate3L,$CE32))</f>
        <v>2</v>
      </c>
      <c r="CG32" s="119" t="n">
        <f aca="false">CD32+COUNTIFS($CE$6:$CE$53,CE32,$CF$6:CF$53,"&gt;"&amp;CF32,$BC$6:$BC$53,INDEX(T_Equipos[Grupo],MATCH(BD32,T_Equipos[NombreEquipo],0)))</f>
        <v>1</v>
      </c>
      <c r="CH32" s="118" t="str">
        <f aca="false">IF(COUNTIFS($CG$6:$CG$53,CG32,$BC$6:$BC$53,INDEX(T_Equipos[Grupo],MATCH(BD32,T_Equipos[NombreEquipo],0)))=1,"-","P."&amp;CG32&amp;" ("&amp;COUNTIFS($CG$6:$CG$53,CG32,$BC$6:$BC$53,INDEX(T_Equipos[Grupo],MATCH(BD32,T_Equipos[NombreEquipo],0)))&amp;")")</f>
        <v>P.1 (2)</v>
      </c>
      <c r="CI32" s="119" t="n">
        <f aca="false">IF($CH32="-","-",COUNTIFS(FGLocal,$BD32,Ganador,"Local",Part2Empate4V,$CH32)+COUNTIFS(FGVisitante,$BD32,Ganador,"Visitante",Part2Empate4L,$CH32))</f>
        <v>0</v>
      </c>
      <c r="CJ32" s="119" t="n">
        <f aca="false">IF($CH32="-","-",COUNTIFS(FGLocal,$BD32,Ganador,"Empate",Part2Empate4V,$CH32)+COUNTIFS(FGVisitante,$BD32,Ganador,"Empate",Part2Empate4L,$CH32))</f>
        <v>1</v>
      </c>
      <c r="CK32" s="119" t="n">
        <f aca="false">IF($CH32="-","-",COUNTIFS(FGLocal,$BD32,Ganador,"Visitante",Part2Empate4V,$CH32)+COUNTIFS(FGVisitante,$BD32,Ganador,"Local",Part2Empate4L,$CH32))</f>
        <v>0</v>
      </c>
      <c r="CL32" s="119" t="n">
        <f aca="false">IF($CH32="-","-",CI32*3+CJ32)</f>
        <v>1</v>
      </c>
      <c r="CM32" s="119" t="n">
        <f aca="false">CG32+COUNTIFS($CH$6:$CH$53,CH32,$CL$6:CL$53,"&gt;"&amp;CL32,$BC$6:$BC$53,INDEX(T_Equipos[Grupo],MATCH(BD32,T_Equipos[NombreEquipo],0)))</f>
        <v>1</v>
      </c>
      <c r="CN32" s="118" t="str">
        <f aca="false">IF(COUNTIFS($CM$6:$CM$53,CM32,$BC$6:$BC$53,INDEX(T_Equipos[Grupo],MATCH(BD32,T_Equipos[NombreEquipo],0)))=1,"-","P."&amp;CM32&amp;" ("&amp;COUNTIFS($CM$6:$CM$53,CM32,$BC$6:$BC$53,INDEX(T_Equipos[Grupo],MATCH(BD32,T_Equipos[NombreEquipo],0)))&amp;")")</f>
        <v>P.1 (2)</v>
      </c>
      <c r="CO32" s="119" t="n">
        <f aca="false">IF($CN32="-","-",SUMIFS(FG_GolesLocal,FGLocal,$BD32,Part2Empate5V,$CN32)+SUMIFS(FG_GolesVisitante,FGVisitante,$BD32,Part2Empate5L,$CN32))</f>
        <v>2</v>
      </c>
      <c r="CP32" s="119" t="n">
        <f aca="false">IF($CN32="-","-",SUMIFS(FG_GolesVisitante,FGLocal,$BD32,Part2Empate5V,$CN32)+SUMIFS(FG_GolesLocal,FGVisitante,$BD32,Part2Empate5L,$CN32))</f>
        <v>2</v>
      </c>
      <c r="CQ32" s="119" t="n">
        <f aca="false">IF($CN32="-","-",CO32-CP32)</f>
        <v>0</v>
      </c>
      <c r="CR32" s="119" t="n">
        <f aca="false">CM32+COUNTIFS($CN$6:$CN$53,CN32,$CQ$6:CQ$53,"&gt;"&amp;CQ32,$BC$6:$BC$53,INDEX(T_Equipos[Grupo],MATCH(BD32,T_Equipos[NombreEquipo],0)))</f>
        <v>1</v>
      </c>
      <c r="CS32" s="118" t="str">
        <f aca="false">IF(COUNTIFS($CR$6:$CR$53,CR32,$BC$6:$BC$53,INDEX(T_Equipos[Grupo],MATCH(BD32,T_Equipos[NombreEquipo],0)))=1,"-","P."&amp;CR32&amp;" ("&amp;COUNTIFS($CR$6:$CR$53,CR32,$BC$6:$BC$53,INDEX(T_Equipos[Grupo],MATCH(BD32,T_Equipos[NombreEquipo],0)))&amp;")")</f>
        <v>P.1 (2)</v>
      </c>
      <c r="CT32" s="119" t="n">
        <f aca="false">IF($CS32="-","-",SUMIFS(FG_GolesLocal,FGLocal,$BD32,Part2Empate6V,$CS32)+SUMIFS(FG_GolesVisitante,FGVisitante,$BD32,Part2Empate6L,$CS32))</f>
        <v>2</v>
      </c>
      <c r="CU32" s="119" t="n">
        <f aca="false">CR32+COUNTIFS($CS$6:$CS$53,CS32,$CT$6:CT$53,"&gt;"&amp;CT32,$BC$6:$BC$53,INDEX(T_Equipos[Grupo],MATCH(BD32,T_Equipos[NombreEquipo],0)))</f>
        <v>1</v>
      </c>
      <c r="CV32" s="118" t="str">
        <f aca="false">IF(COUNTIFS($CU$6:$CU$53,CU32,$BC$6:$BC$53,INDEX(T_Equipos[Grupo],MATCH(BD32,T_Equipos[NombreEquipo],0)))=1,"-","P."&amp;CU32&amp;" ("&amp;COUNTIFS($CU$6:$CU$53,CU32,$BC$6:$BC$53,INDEX(T_Equipos[Grupo],MATCH(BD32,T_Equipos[NombreEquipo],0)))&amp;")")</f>
        <v>P.1 (2)</v>
      </c>
      <c r="CW32" s="118" t="n">
        <f aca="false">IF(CV32="-","-",BL32)</f>
        <v>0</v>
      </c>
      <c r="CX32" s="118" t="n">
        <f aca="false">CU32+COUNTIFS($CV$6:$CV$53,CV32,$CW$6:CW$53,"&gt;"&amp;CW32,$BC$6:$BC$53,INDEX(T_Equipos[Grupo],MATCH(BD32,T_Equipos[NombreEquipo],0)))</f>
        <v>1</v>
      </c>
      <c r="CY32" s="118" t="str">
        <f aca="false">IF(COUNTIFS($CX$6:$CX$53,CX32,$BC$6:$BC$53,INDEX(T_Equipos[Grupo],MATCH(BD32,T_Equipos[NombreEquipo],0)))=1,"-","P."&amp;CX32&amp;" ("&amp;COUNTIFS($CX$6:$CX$53,CX32,$BC$6:$BC$53,INDEX(T_Equipos[Grupo],MATCH(BD32,T_Equipos[NombreEquipo],0)))&amp;")")</f>
        <v>P.1 (2)</v>
      </c>
      <c r="CZ32" s="118" t="n">
        <f aca="false">IF(CY32="-","-",BJ32)</f>
        <v>2</v>
      </c>
      <c r="DA32" s="119" t="n">
        <f aca="false">CX32+COUNTIFS($CY$6:$CY$53,CY32,$CZ$6:CZ$53,"&gt;"&amp;CZ32,$BC$6:$BC$53,INDEX(T_Equipos[Grupo],MATCH(BD32,T_Equipos[NombreEquipo],0)))</f>
        <v>1</v>
      </c>
      <c r="DB32" s="118" t="str">
        <f aca="false">IF(COUNTIFS($DA$6:$DA$53,DA32,$BC$6:$BC$53,INDEX(T_Equipos[Grupo],MATCH(BD32,T_Equipos[NombreEquipo],0)))=1,"-","P."&amp;DA32&amp;" ("&amp;COUNTIFS($DA$6:$DA$53,DA32,$BC$6:$BC$53,INDEX(T_Equipos[Grupo],MATCH(BD32,T_Equipos[NombreEquipo],0)))&amp;")")</f>
        <v>P.1 (2)</v>
      </c>
      <c r="DC32" s="116" t="n">
        <f aca="false">IF(DB32="-","-",COUNTIFS(T_Equipos[Rank],"&lt;"&amp;INDEX(T_Equipos[Rank],MATCH(BD32,T_Equipos[NombreEquipo],0)),$BC$6:$BC$53,INDEX(T_Equipos[Grupo],MATCH(BD32,T_Equipos[NombreEquipo],0)))+1)</f>
        <v>3</v>
      </c>
      <c r="DD32" s="116" t="n">
        <f aca="false">DA32+COUNTIFS($DB$6:$DB$53,DB32,$DC$6:DC$53,"&lt;"&amp;DC32,$BC$6:$BC$53,INDEX(T_Equipos[Grupo],MATCH(BD32,T_Equipos[NombreEquipo],0)))</f>
        <v>1</v>
      </c>
      <c r="DE32" s="116"/>
      <c r="DF32" s="116" t="n">
        <f aca="false">IF(OR(INDEX($AW$6:$AW$97,MATCH($BD32,$AV$6:$AV$97,0))="",DB32="-"),DD32,INDEX($AW$6:$AW$97,MATCH($BD32,$AV$6:$AV$97,0))+DD32/1000)</f>
        <v>1</v>
      </c>
      <c r="DG32" s="116" t="n">
        <f aca="false">IF(DB32="-","-",COUNTIFS(DF$6:DF$53,"&lt;"&amp;DF32,$BC$6:$BC$53,INDEX(T_Equipos[Grupo],MATCH(BD32,T_Equipos[NombreEquipo],0))))</f>
        <v>0</v>
      </c>
      <c r="DH32" s="116" t="n">
        <f aca="false">DA32+COUNTIFS(DB$6:DB$53,DB32,DG$6:DG$53,"&lt;"&amp;DG32,$BC$6:$BC$53,INDEX(T_Equipos[Grupo],MATCH(BD32,T_Equipos[NombreEquipo],0)))</f>
        <v>1</v>
      </c>
      <c r="DI32" s="55"/>
      <c r="DJ32" s="55" t="n">
        <f aca="false">INDEX($DA$6:$DA$53,MATCH($DQ32,$BD$6:$BD$53,0))</f>
        <v>3</v>
      </c>
      <c r="DK32" s="55" t="n">
        <f aca="false">+SUMIF($BC$6:$BC$53,BC32,$BF$6:$BF$53)</f>
        <v>4</v>
      </c>
      <c r="DL32" s="55" t="n">
        <f aca="false">IF(OR(DK32=12,$AJ$99=144),COUNTIFS($DJ$6:$DJ$53,DJ32,$BC$6:$BC$53,BC32),1)</f>
        <v>1</v>
      </c>
      <c r="DM32" s="120" t="str">
        <f aca="false">DJ32&amp;"."&amp;DL32</f>
        <v>3.1</v>
      </c>
      <c r="DN32" s="55" t="n">
        <f aca="true" t="array" ref="DN32:DN32">OFFSET(Horarios!$P$3,DJ32-1,0,DL32,1)</f>
        <v>3</v>
      </c>
      <c r="DO32" s="55"/>
      <c r="DP32" s="55" t="s">
        <v>107</v>
      </c>
      <c r="DQ32" s="55" t="str">
        <f aca="false">INDEX($BD$6:$BD$53,MATCH(DP32,$BM$6:$BM$53,0))</f>
        <v>Bélgica</v>
      </c>
      <c r="DR32" s="55"/>
      <c r="DS32" s="55"/>
      <c r="DT32" s="55" t="str">
        <f aca="false">AA32&amp;"-"&amp;AF32</f>
        <v>Turquía-Estados Unidos</v>
      </c>
      <c r="DU32" s="55"/>
      <c r="DV32" s="55"/>
      <c r="DW32" s="57"/>
    </row>
    <row r="33" customFormat="false" ht="16.5" hidden="false" customHeight="true" outlineLevel="0" collapsed="false">
      <c r="A33" s="39"/>
      <c r="B33" s="39"/>
      <c r="C33" s="39"/>
      <c r="D33" s="55" t="str">
        <f aca="false">IF(OR(AC33="",AD33=""),"Pendiente",IF(AC33&gt;AD33,"Local",IF(AC33&lt;AD33,"Visitante","Empate")))</f>
        <v>Pendiente</v>
      </c>
      <c r="E33" s="55" t="str">
        <f aca="false">IF(D33="Pendiente","-",INDEX($BT$6:$BT$53,MATCH($AA33,$BD$6:$BD$53,0)))</f>
        <v>-</v>
      </c>
      <c r="F33" s="55" t="str">
        <f aca="false">IF(D33="Pendiente","-",INDEX($BT$6:$BT$53,MATCH($AF33,$BD$6:$BD$53,0)))</f>
        <v>-</v>
      </c>
      <c r="G33" s="55"/>
      <c r="H33" s="55" t="str">
        <f aca="false">IF(D33="Pendiente","-",INDEX($BZ$6:$BZ$53,MATCH($AA33,$BD$6:$BD$53,0)))</f>
        <v>-</v>
      </c>
      <c r="I33" s="55" t="str">
        <f aca="false">IF(D33="Pendiente","-",INDEX($BZ$6:$BZ$53,MATCH($AF33,$BD$6:$BD$53,0)))</f>
        <v>-</v>
      </c>
      <c r="J33" s="55"/>
      <c r="K33" s="55" t="str">
        <f aca="false">IF(D33="Pendiente","-",INDEX($CE$6:$CE$53,MATCH($AA33,$BD$6:$BD$53,0)))</f>
        <v>-</v>
      </c>
      <c r="L33" s="55" t="str">
        <f aca="false">IF(D33="Pendiente","-",INDEX($CE$6:$CE$53,MATCH($AF33,$BD$6:$BD$53,0)))</f>
        <v>-</v>
      </c>
      <c r="M33" s="55"/>
      <c r="N33" s="55" t="str">
        <f aca="false">IF(D33="Pendiente","-",INDEX($CH$6:$CH$53,MATCH($AA33,$BD$6:$BD$53,0)))</f>
        <v>-</v>
      </c>
      <c r="O33" s="55" t="str">
        <f aca="false">IF(D33="Pendiente","-",INDEX($CH$6:$CH$53,MATCH($AF33,$BD$6:$BD$53,0)))</f>
        <v>-</v>
      </c>
      <c r="P33" s="55"/>
      <c r="Q33" s="55" t="str">
        <f aca="false">IF(D33="Pendiente","-",INDEX($CN$6:$CN$53,MATCH($AA33,$BD$6:$BD$53,0)))</f>
        <v>-</v>
      </c>
      <c r="R33" s="55" t="str">
        <f aca="false">IF(D33="Pendiente","-",INDEX($CN$6:$CN$53,MATCH($AF33,$BD$6:$BD$53,0)))</f>
        <v>-</v>
      </c>
      <c r="S33" s="55"/>
      <c r="T33" s="55" t="str">
        <f aca="false">IF(D33="Pendiente","-",INDEX($CS$6:$CS$53,MATCH($AA33,$BD$6:$BD$53,0)))</f>
        <v>-</v>
      </c>
      <c r="U33" s="55" t="str">
        <f aca="false">IF(D33="Pendiente","-",INDEX($CS$6:$CS$53,MATCH($AF33,$BD$6:$BD$53,0)))</f>
        <v>-</v>
      </c>
      <c r="V33" s="46"/>
      <c r="W33" s="185"/>
      <c r="X33" s="129" t="n">
        <f aca="false">Horarios!C33</f>
        <v>46199.1666666667</v>
      </c>
      <c r="Y33" s="130" t="n">
        <f aca="false">Horarios!C33</f>
        <v>46199.1666666667</v>
      </c>
      <c r="Z33" s="131" t="str">
        <f aca="false">$Z$8</f>
        <v>J3</v>
      </c>
      <c r="AA33" s="132" t="str">
        <f aca="false">A30</f>
        <v>Paraguay</v>
      </c>
      <c r="AB33" s="175" t="str">
        <f aca="true" t="array" ref="AB33:AB33">Ver_flag_local</f>
        <v/>
      </c>
      <c r="AC33" s="134"/>
      <c r="AD33" s="135"/>
      <c r="AE33" s="136" t="str">
        <f aca="true" t="array" ref="AE33:AE33">Ver_flag_visit</f>
        <v/>
      </c>
      <c r="AF33" s="137" t="str">
        <f aca="false">A31</f>
        <v>Australia</v>
      </c>
      <c r="AG33" s="83" t="n">
        <f aca="false">IF(NOT(OR(ISBLANK(AC33),ISBLANK(AD33))),1,0)</f>
        <v>0</v>
      </c>
      <c r="AH33" s="84" t="n">
        <v>60</v>
      </c>
      <c r="AI33" s="85" t="str">
        <f aca="false">AJ33&amp;$B$28</f>
        <v>4D</v>
      </c>
      <c r="AJ33" s="138" t="n">
        <v>4</v>
      </c>
      <c r="AK33" s="184" t="str">
        <f aca="true" t="array" ref="AK33:AK33">Ver_flag_visit</f>
        <v/>
      </c>
      <c r="AL33" s="140" t="str">
        <f aca="false">IFERROR(INDEX($BD$6:$BD$53,MATCH(AI33,$BN$6:$BN$53,0)),"")</f>
        <v>Paraguay</v>
      </c>
      <c r="AM33" s="141" t="n">
        <f aca="false">INDEX($BE$6:$BN$53,MATCH($AL33,$BD$6:$BD$53,0),MATCH(AM$5,$BE$5:$BN$5,0))</f>
        <v>0</v>
      </c>
      <c r="AN33" s="142" t="n">
        <f aca="false">INDEX($BE$6:$BN$53,MATCH($AL33,$BD$6:$BD$53,0),MATCH(AN$5,$BE$5:$BN$5,0))</f>
        <v>1</v>
      </c>
      <c r="AO33" s="142" t="n">
        <f aca="false">INDEX($BE$6:$BN$53,MATCH($AL33,$BD$6:$BD$53,0),MATCH(AO$5,$BE$5:$BN$5,0))</f>
        <v>0</v>
      </c>
      <c r="AP33" s="142" t="n">
        <f aca="false">INDEX($BE$6:$BN$53,MATCH($AL33,$BD$6:$BD$53,0),MATCH(AP$5,$BE$5:$BN$5,0))</f>
        <v>0</v>
      </c>
      <c r="AQ33" s="142" t="n">
        <f aca="false">INDEX($BE$6:$BN$53,MATCH($AL33,$BD$6:$BD$53,0),MATCH(AQ$5,$BE$5:$BN$5,0))</f>
        <v>1</v>
      </c>
      <c r="AR33" s="142" t="n">
        <f aca="false">INDEX($BE$6:$BN$53,MATCH($AL33,$BD$6:$BD$53,0),MATCH(AR$5,$BE$5:$BN$5,0))</f>
        <v>1</v>
      </c>
      <c r="AS33" s="142" t="n">
        <f aca="false">INDEX($BE$6:$BN$53,MATCH($AL33,$BD$6:$BD$53,0),MATCH(AS$5,$BE$5:$BN$5,0))</f>
        <v>4</v>
      </c>
      <c r="AT33" s="143" t="n">
        <f aca="false">INDEX($BE$6:$BN$53,MATCH($AL33,$BD$6:$BD$53,0),MATCH(AT$5,$BE$5:$BN$5,0))</f>
        <v>-3</v>
      </c>
      <c r="AU33" s="110" t="n">
        <f aca="false">INDEX($DL$6:$DL$53,MATCH(AI33,$DP$6:$DP$53,0))</f>
        <v>1</v>
      </c>
      <c r="AV33" s="111" t="str">
        <f aca="false">INDEX($BD$6:$BD$53,MATCH(AI33,$BM$6:$BM$53,0))</f>
        <v>Paraguay</v>
      </c>
      <c r="AW33" s="112"/>
      <c r="AX33" s="113"/>
      <c r="AY33" s="144" t="str">
        <f aca="false">+A32</f>
        <v>Turquía</v>
      </c>
      <c r="AZ33" s="145"/>
      <c r="BA33" s="49"/>
      <c r="BB33" s="55"/>
      <c r="BC33" s="116" t="str">
        <f aca="false">+INDEX(T_Equipos[Grupo],MATCH(WORLDCUP!BD33,T_Equipos[NombreEquipo],0))</f>
        <v>G</v>
      </c>
      <c r="BD33" s="55" t="str">
        <f aca="false">+Equipos!B29</f>
        <v>Nueva Zelanda</v>
      </c>
      <c r="BE33" s="117" t="n">
        <f aca="false">+BG33*3+BH33+IF($AZ$3="no",0,INDEX($AZ$6:$AZ$97,MATCH(BD33,$AY$6:$AY$97,0)))</f>
        <v>1</v>
      </c>
      <c r="BF33" s="117" t="n">
        <f aca="false">+BG33+BH33+BI33</f>
        <v>1</v>
      </c>
      <c r="BG33" s="117" t="n">
        <f aca="false">+COUNTIFS(FGLocal,BD33,Ganador,"Local")+COUNTIFS(FGVisitante,BD33,Ganador,"Visitante")</f>
        <v>0</v>
      </c>
      <c r="BH33" s="117" t="n">
        <f aca="false">+COUNTIFS(FGLocal,BD33,Ganador,"Empate")+COUNTIFS(FGVisitante,BD33,Ganador,"Empate")</f>
        <v>1</v>
      </c>
      <c r="BI33" s="117" t="n">
        <f aca="false">+COUNTIFS(FGVisitante,BD33,Ganador,"Local")+COUNTIFS(FGLocal,BD33,Ganador,"Visitante")</f>
        <v>0</v>
      </c>
      <c r="BJ33" s="117" t="n">
        <f aca="false">+SUMIFS(FG_GolesLocal,FGLocal,BD33,Ganador,"&lt;&gt;"&amp;"Pendiente",FG_GolesLocal,"&lt;&gt;"&amp;"",FG_GolesVisitante,"&lt;&gt;"&amp;"")+SUMIFS(FG_GolesVisitante,FGVisitante,BD33,Ganador,"&lt;&gt;"&amp;"Pendiente",FG_GolesLocal,"&lt;&gt;"&amp;"",FG_GolesVisitante,"&lt;&gt;"&amp;"")</f>
        <v>2</v>
      </c>
      <c r="BK33" s="117" t="n">
        <f aca="false">+SUMIFS(FG_GolesLocal,FGVisitante,BD33,Ganador,"&lt;&gt;"&amp;"Pendiente",FG_GolesLocal,"&lt;&gt;"&amp;"",FG_GolesVisitante,"&lt;&gt;"&amp;"")+SUMIFS(FG_GolesVisitante,FGLocal,BD33,Ganador,"&lt;&gt;"&amp;"Pendiente",FG_GolesLocal,"&lt;&gt;"&amp;"",FG_GolesVisitante,"&lt;&gt;"&amp;"")</f>
        <v>2</v>
      </c>
      <c r="BL33" s="117" t="n">
        <f aca="false">+BJ33-BK33</f>
        <v>0</v>
      </c>
      <c r="BM33" s="117" t="str">
        <f aca="false">DD33&amp;BC33</f>
        <v>2G</v>
      </c>
      <c r="BN33" s="117" t="str">
        <f aca="false">DH33&amp;BC33</f>
        <v>2G</v>
      </c>
      <c r="BO33" s="118" t="n">
        <f aca="false">IF(AND($AJ$99=144,BF33&gt;=1),1,0)</f>
        <v>0</v>
      </c>
      <c r="BP33" s="118" t="n">
        <f aca="false">COUNTIFS($BO$6:$BO$53,"&gt;"&amp;BO33,$BC$6:$BC$53,INDEX(T_Equipos[Grupo],MATCH(BD33,T_Equipos[NombreEquipo],0)))+1</f>
        <v>1</v>
      </c>
      <c r="BQ33" s="118" t="str">
        <f aca="false">IF(COUNTIFS($BP$6:$BP$53,BP33,$BC$6:$BC$53,INDEX(T_Equipos[Grupo],MATCH(BD33,T_Equipos[NombreEquipo],0)))=1,"-","P."&amp;BP33&amp;" ("&amp;COUNTIFS($BP$6:$BP$53,BP33,$BC$6:$BC$53,INDEX(T_Equipos[Grupo],MATCH(BD33,T_Equipos[NombreEquipo],0)))&amp;")")</f>
        <v>P.1 (4)</v>
      </c>
      <c r="BR33" s="118" t="n">
        <f aca="false">IF($BQ33="-","-",BE33)</f>
        <v>1</v>
      </c>
      <c r="BS33" s="118" t="n">
        <f aca="false">BP33+COUNTIFS($BQ$6:$BQ$53,BQ33,$BR$6:BR$53,"&gt;"&amp;BR33,$BC$6:$BC$53,INDEX(T_Equipos[Grupo],MATCH(BD33,T_Equipos[NombreEquipo],0)))</f>
        <v>1</v>
      </c>
      <c r="BT33" s="118" t="str">
        <f aca="false">IF(COUNTIFS($BS$6:$BS$53,BS33,$BC$6:$BC$53,INDEX(T_Equipos[Grupo],MATCH(BD33,T_Equipos[NombreEquipo],0)))=1,"-","P."&amp;BS33&amp;" ("&amp;COUNTIFS($BS$6:$BS$53,BS33,$BC$6:$BC$53,INDEX(T_Equipos[Grupo],MATCH(BD33,T_Equipos[NombreEquipo],0)))&amp;")")</f>
        <v>P.1 (4)</v>
      </c>
      <c r="BU33" s="119" t="n">
        <f aca="false">IF($BT33="-","-",COUNTIFS(FGLocal,$BD33,Ganador,"Local",Part1Empate1V,$BT33)+COUNTIFS(FGVisitante,$BD33,Ganador,"Visitante",Part1Empate1L,$BT33))</f>
        <v>0</v>
      </c>
      <c r="BV33" s="119" t="n">
        <f aca="false">IF($BT33="-","-",COUNTIFS(FGLocal,$BD33,Ganador,"Empate",Part1Empate1V,$BT33)+COUNTIFS(FGVisitante,$BD33,Ganador,"Empate",Part1Empate1L,$BT33))</f>
        <v>1</v>
      </c>
      <c r="BW33" s="119" t="n">
        <f aca="false">IF($BT33="-","-",COUNTIFS(FGLocal,$BD33,Ganador,"Visitante",Part1Empate1V,$BT33)+COUNTIFS(FGVisitante,$BD33,Ganador,"Local",Part1Empate1L,$BT33))</f>
        <v>0</v>
      </c>
      <c r="BX33" s="119" t="n">
        <f aca="false">IF($BT33="-","-",BU33*3+BV33)</f>
        <v>1</v>
      </c>
      <c r="BY33" s="119" t="n">
        <f aca="false">BS33+COUNTIFS($BT$6:$BT$53,BT33,$BX$6:BX$53,"&gt;"&amp;BX33,$BC$6:$BC$53,INDEX(T_Equipos[Grupo],MATCH(BD33,T_Equipos[NombreEquipo],0)))</f>
        <v>1</v>
      </c>
      <c r="BZ33" s="118" t="str">
        <f aca="false">IF(COUNTIFS($BY$6:$BY$53,BY33,$BC$6:$BC$53,INDEX(T_Equipos[Grupo],MATCH(BD33,T_Equipos[NombreEquipo],0)))=1,"-","P."&amp;BY33&amp;" ("&amp;COUNTIFS($BY$6:$BY$53,BY33,$BC$6:$BC$53,INDEX(T_Equipos[Grupo],MATCH(BD33,T_Equipos[NombreEquipo],0)))&amp;")")</f>
        <v>P.1 (4)</v>
      </c>
      <c r="CA33" s="119" t="n">
        <f aca="false">IF($BZ33="-","-",SUMIFS(FG_GolesLocal,FGLocal,$BD33,Part1Empate2V,$BZ33)+SUMIFS(FG_GolesVisitante,FGVisitante,$BD33,Part1Empate2L,$BZ33))</f>
        <v>2</v>
      </c>
      <c r="CB33" s="119" t="n">
        <f aca="false">IF($BZ33="-","-",SUMIFS(FG_GolesVisitante,FGLocal,$BD33,Part1Empate2V,$BZ33)+SUMIFS(FG_GolesLocal,FGVisitante,$BD33,Part1Empate2L,$BZ33))</f>
        <v>2</v>
      </c>
      <c r="CC33" s="119" t="n">
        <f aca="false">IF($BZ33="-","-",CA33-CB33)</f>
        <v>0</v>
      </c>
      <c r="CD33" s="119" t="n">
        <f aca="false">BY33+COUNTIFS($BZ$6:$BZ$53,BZ33,$CC$6:CC$53,"&gt;"&amp;CC33,$BC$6:$BC$53,INDEX(T_Equipos[Grupo],MATCH(BD33,T_Equipos[NombreEquipo],0)))</f>
        <v>1</v>
      </c>
      <c r="CE33" s="118" t="str">
        <f aca="false">IF(COUNTIFS($CD$6:$CD$53,CD33,$BC$6:$BC$53,INDEX(T_Equipos[Grupo],MATCH(BD33,T_Equipos[NombreEquipo],0)))=1,"-","P."&amp;CD33&amp;" ("&amp;COUNTIFS($CD$6:$CD$53,CD33,$BC$6:$BC$53,INDEX(T_Equipos[Grupo],MATCH(BD33,T_Equipos[NombreEquipo],0)))&amp;")")</f>
        <v>P.1 (4)</v>
      </c>
      <c r="CF33" s="119" t="n">
        <f aca="false">IF($CE33="-","-",SUMIFS(FG_GolesLocal,FGLocal,$BD33,Part1Empate3V,$CE33)+SUMIFS(FG_GolesVisitante,FGVisitante,$BD33,Part1Empate3L,$CE33))</f>
        <v>2</v>
      </c>
      <c r="CG33" s="119" t="n">
        <f aca="false">CD33+COUNTIFS($CE$6:$CE$53,CE33,$CF$6:CF$53,"&gt;"&amp;CF33,$BC$6:$BC$53,INDEX(T_Equipos[Grupo],MATCH(BD33,T_Equipos[NombreEquipo],0)))</f>
        <v>1</v>
      </c>
      <c r="CH33" s="118" t="str">
        <f aca="false">IF(COUNTIFS($CG$6:$CG$53,CG33,$BC$6:$BC$53,INDEX(T_Equipos[Grupo],MATCH(BD33,T_Equipos[NombreEquipo],0)))=1,"-","P."&amp;CG33&amp;" ("&amp;COUNTIFS($CG$6:$CG$53,CG33,$BC$6:$BC$53,INDEX(T_Equipos[Grupo],MATCH(BD33,T_Equipos[NombreEquipo],0)))&amp;")")</f>
        <v>P.1 (2)</v>
      </c>
      <c r="CI33" s="119" t="n">
        <f aca="false">IF($CH33="-","-",COUNTIFS(FGLocal,$BD33,Ganador,"Local",Part2Empate4V,$CH33)+COUNTIFS(FGVisitante,$BD33,Ganador,"Visitante",Part2Empate4L,$CH33))</f>
        <v>0</v>
      </c>
      <c r="CJ33" s="119" t="n">
        <f aca="false">IF($CH33="-","-",COUNTIFS(FGLocal,$BD33,Ganador,"Empate",Part2Empate4V,$CH33)+COUNTIFS(FGVisitante,$BD33,Ganador,"Empate",Part2Empate4L,$CH33))</f>
        <v>1</v>
      </c>
      <c r="CK33" s="119" t="n">
        <f aca="false">IF($CH33="-","-",COUNTIFS(FGLocal,$BD33,Ganador,"Visitante",Part2Empate4V,$CH33)+COUNTIFS(FGVisitante,$BD33,Ganador,"Local",Part2Empate4L,$CH33))</f>
        <v>0</v>
      </c>
      <c r="CL33" s="119" t="n">
        <f aca="false">IF($CH33="-","-",CI33*3+CJ33)</f>
        <v>1</v>
      </c>
      <c r="CM33" s="119" t="n">
        <f aca="false">CG33+COUNTIFS($CH$6:$CH$53,CH33,$CL$6:CL$53,"&gt;"&amp;CL33,$BC$6:$BC$53,INDEX(T_Equipos[Grupo],MATCH(BD33,T_Equipos[NombreEquipo],0)))</f>
        <v>1</v>
      </c>
      <c r="CN33" s="118" t="str">
        <f aca="false">IF(COUNTIFS($CM$6:$CM$53,CM33,$BC$6:$BC$53,INDEX(T_Equipos[Grupo],MATCH(BD33,T_Equipos[NombreEquipo],0)))=1,"-","P."&amp;CM33&amp;" ("&amp;COUNTIFS($CM$6:$CM$53,CM33,$BC$6:$BC$53,INDEX(T_Equipos[Grupo],MATCH(BD33,T_Equipos[NombreEquipo],0)))&amp;")")</f>
        <v>P.1 (2)</v>
      </c>
      <c r="CO33" s="119" t="n">
        <f aca="false">IF($CN33="-","-",SUMIFS(FG_GolesLocal,FGLocal,$BD33,Part2Empate5V,$CN33)+SUMIFS(FG_GolesVisitante,FGVisitante,$BD33,Part2Empate5L,$CN33))</f>
        <v>2</v>
      </c>
      <c r="CP33" s="119" t="n">
        <f aca="false">IF($CN33="-","-",SUMIFS(FG_GolesVisitante,FGLocal,$BD33,Part2Empate5V,$CN33)+SUMIFS(FG_GolesLocal,FGVisitante,$BD33,Part2Empate5L,$CN33))</f>
        <v>2</v>
      </c>
      <c r="CQ33" s="119" t="n">
        <f aca="false">IF($CN33="-","-",CO33-CP33)</f>
        <v>0</v>
      </c>
      <c r="CR33" s="119" t="n">
        <f aca="false">CM33+COUNTIFS($CN$6:$CN$53,CN33,$CQ$6:CQ$53,"&gt;"&amp;CQ33,$BC$6:$BC$53,INDEX(T_Equipos[Grupo],MATCH(BD33,T_Equipos[NombreEquipo],0)))</f>
        <v>1</v>
      </c>
      <c r="CS33" s="118" t="str">
        <f aca="false">IF(COUNTIFS($CR$6:$CR$53,CR33,$BC$6:$BC$53,INDEX(T_Equipos[Grupo],MATCH(BD33,T_Equipos[NombreEquipo],0)))=1,"-","P."&amp;CR33&amp;" ("&amp;COUNTIFS($CR$6:$CR$53,CR33,$BC$6:$BC$53,INDEX(T_Equipos[Grupo],MATCH(BD33,T_Equipos[NombreEquipo],0)))&amp;")")</f>
        <v>P.1 (2)</v>
      </c>
      <c r="CT33" s="119" t="n">
        <f aca="false">IF($CS33="-","-",SUMIFS(FG_GolesLocal,FGLocal,$BD33,Part2Empate6V,$CS33)+SUMIFS(FG_GolesVisitante,FGVisitante,$BD33,Part2Empate6L,$CS33))</f>
        <v>2</v>
      </c>
      <c r="CU33" s="119" t="n">
        <f aca="false">CR33+COUNTIFS($CS$6:$CS$53,CS33,$CT$6:CT$53,"&gt;"&amp;CT33,$BC$6:$BC$53,INDEX(T_Equipos[Grupo],MATCH(BD33,T_Equipos[NombreEquipo],0)))</f>
        <v>1</v>
      </c>
      <c r="CV33" s="118" t="str">
        <f aca="false">IF(COUNTIFS($CU$6:$CU$53,CU33,$BC$6:$BC$53,INDEX(T_Equipos[Grupo],MATCH(BD33,T_Equipos[NombreEquipo],0)))=1,"-","P."&amp;CU33&amp;" ("&amp;COUNTIFS($CU$6:$CU$53,CU33,$BC$6:$BC$53,INDEX(T_Equipos[Grupo],MATCH(BD33,T_Equipos[NombreEquipo],0)))&amp;")")</f>
        <v>P.1 (2)</v>
      </c>
      <c r="CW33" s="118" t="n">
        <f aca="false">IF(CV33="-","-",BL33)</f>
        <v>0</v>
      </c>
      <c r="CX33" s="118" t="n">
        <f aca="false">CU33+COUNTIFS($CV$6:$CV$53,CV33,$CW$6:CW$53,"&gt;"&amp;CW33,$BC$6:$BC$53,INDEX(T_Equipos[Grupo],MATCH(BD33,T_Equipos[NombreEquipo],0)))</f>
        <v>1</v>
      </c>
      <c r="CY33" s="118" t="str">
        <f aca="false">IF(COUNTIFS($CX$6:$CX$53,CX33,$BC$6:$BC$53,INDEX(T_Equipos[Grupo],MATCH(BD33,T_Equipos[NombreEquipo],0)))=1,"-","P."&amp;CX33&amp;" ("&amp;COUNTIFS($CX$6:$CX$53,CX33,$BC$6:$BC$53,INDEX(T_Equipos[Grupo],MATCH(BD33,T_Equipos[NombreEquipo],0)))&amp;")")</f>
        <v>P.1 (2)</v>
      </c>
      <c r="CZ33" s="118" t="n">
        <f aca="false">IF(CY33="-","-",BJ33)</f>
        <v>2</v>
      </c>
      <c r="DA33" s="119" t="n">
        <f aca="false">CX33+COUNTIFS($CY$6:$CY$53,CY33,$CZ$6:CZ$53,"&gt;"&amp;CZ33,$BC$6:$BC$53,INDEX(T_Equipos[Grupo],MATCH(BD33,T_Equipos[NombreEquipo],0)))</f>
        <v>1</v>
      </c>
      <c r="DB33" s="118" t="str">
        <f aca="false">IF(COUNTIFS($DA$6:$DA$53,DA33,$BC$6:$BC$53,INDEX(T_Equipos[Grupo],MATCH(BD33,T_Equipos[NombreEquipo],0)))=1,"-","P."&amp;DA33&amp;" ("&amp;COUNTIFS($DA$6:$DA$53,DA33,$BC$6:$BC$53,INDEX(T_Equipos[Grupo],MATCH(BD33,T_Equipos[NombreEquipo],0)))&amp;")")</f>
        <v>P.1 (2)</v>
      </c>
      <c r="DC33" s="116" t="n">
        <f aca="false">IF(DB33="-","-",COUNTIFS(T_Equipos[Rank],"&lt;"&amp;INDEX(T_Equipos[Rank],MATCH(BD33,T_Equipos[NombreEquipo],0)),$BC$6:$BC$53,INDEX(T_Equipos[Grupo],MATCH(BD33,T_Equipos[NombreEquipo],0)))+1)</f>
        <v>4</v>
      </c>
      <c r="DD33" s="116" t="n">
        <f aca="false">DA33+COUNTIFS($DB$6:$DB$53,DB33,$DC$6:DC$53,"&lt;"&amp;DC33,$BC$6:$BC$53,INDEX(T_Equipos[Grupo],MATCH(BD33,T_Equipos[NombreEquipo],0)))</f>
        <v>2</v>
      </c>
      <c r="DE33" s="116"/>
      <c r="DF33" s="116" t="n">
        <f aca="false">IF(OR(INDEX($AW$6:$AW$97,MATCH($BD33,$AV$6:$AV$97,0))="",DB33="-"),DD33,INDEX($AW$6:$AW$97,MATCH($BD33,$AV$6:$AV$97,0))+DD33/1000)</f>
        <v>2</v>
      </c>
      <c r="DG33" s="116" t="n">
        <f aca="false">IF(DB33="-","-",COUNTIFS(DF$6:DF$53,"&lt;"&amp;DF33,$BC$6:$BC$53,INDEX(T_Equipos[Grupo],MATCH(BD33,T_Equipos[NombreEquipo],0))))</f>
        <v>1</v>
      </c>
      <c r="DH33" s="116" t="n">
        <f aca="false">DA33+COUNTIFS(DB$6:DB$53,DB33,DG$6:DG$53,"&lt;"&amp;DG33,$BC$6:$BC$53,INDEX(T_Equipos[Grupo],MATCH(BD33,T_Equipos[NombreEquipo],0)))</f>
        <v>2</v>
      </c>
      <c r="DI33" s="55"/>
      <c r="DJ33" s="55" t="n">
        <f aca="false">INDEX($DA$6:$DA$53,MATCH($DQ33,$BD$6:$BD$53,0))</f>
        <v>3</v>
      </c>
      <c r="DK33" s="55" t="n">
        <f aca="false">+SUMIF($BC$6:$BC$53,BC33,$BF$6:$BF$53)</f>
        <v>4</v>
      </c>
      <c r="DL33" s="55" t="n">
        <f aca="false">IF(OR(DK33=12,$AJ$99=144),COUNTIFS($DJ$6:$DJ$53,DJ33,$BC$6:$BC$53,BC33),1)</f>
        <v>1</v>
      </c>
      <c r="DM33" s="120" t="str">
        <f aca="false">DJ33&amp;"."&amp;DL33</f>
        <v>3.1</v>
      </c>
      <c r="DN33" s="55" t="n">
        <f aca="true" t="array" ref="DN33:DN33">OFFSET(Horarios!$P$3,DJ33-1,0,DL33,1)</f>
        <v>3</v>
      </c>
      <c r="DO33" s="55"/>
      <c r="DP33" s="55" t="s">
        <v>108</v>
      </c>
      <c r="DQ33" s="55" t="str">
        <f aca="false">INDEX($BD$6:$BD$53,MATCH(DP33,$BM$6:$BM$53,0))</f>
        <v>Egipto</v>
      </c>
      <c r="DR33" s="55"/>
      <c r="DS33" s="55"/>
      <c r="DT33" s="55" t="str">
        <f aca="false">AA33&amp;"-"&amp;AF33</f>
        <v>Paraguay-Australia</v>
      </c>
      <c r="DU33" s="55"/>
      <c r="DV33" s="55"/>
      <c r="DW33" s="57"/>
    </row>
    <row r="34" customFormat="false" ht="15" hidden="false" customHeight="false" outlineLevel="0" collapsed="false">
      <c r="A34" s="39"/>
      <c r="B34" s="39"/>
      <c r="C34" s="39"/>
      <c r="D34" s="55"/>
      <c r="E34" s="55"/>
      <c r="F34" s="55"/>
      <c r="G34" s="55"/>
      <c r="H34" s="55"/>
      <c r="I34" s="55"/>
      <c r="J34" s="55"/>
      <c r="K34" s="55"/>
      <c r="L34" s="55"/>
      <c r="M34" s="55"/>
      <c r="N34" s="55"/>
      <c r="O34" s="55"/>
      <c r="P34" s="55"/>
      <c r="Q34" s="55"/>
      <c r="R34" s="55"/>
      <c r="S34" s="55"/>
      <c r="T34" s="55"/>
      <c r="U34" s="55"/>
      <c r="V34" s="46"/>
      <c r="W34" s="146"/>
      <c r="X34" s="147"/>
      <c r="Y34" s="146"/>
      <c r="Z34" s="148"/>
      <c r="AA34" s="149"/>
      <c r="AB34" s="150"/>
      <c r="AC34" s="151"/>
      <c r="AD34" s="151"/>
      <c r="AE34" s="150"/>
      <c r="AF34" s="152"/>
      <c r="AG34" s="182"/>
      <c r="AH34" s="84"/>
      <c r="AI34" s="43"/>
      <c r="AJ34" s="153"/>
      <c r="AK34" s="154"/>
      <c r="AL34" s="66"/>
      <c r="AM34" s="155"/>
      <c r="AN34" s="153"/>
      <c r="AO34" s="153"/>
      <c r="AP34" s="153"/>
      <c r="AQ34" s="153"/>
      <c r="AR34" s="153"/>
      <c r="AS34" s="153"/>
      <c r="AT34" s="153"/>
      <c r="AU34" s="156"/>
      <c r="AV34" s="157"/>
      <c r="AW34" s="158"/>
      <c r="AX34" s="113"/>
      <c r="AY34" s="146"/>
      <c r="AZ34" s="147"/>
      <c r="BA34" s="49"/>
      <c r="BB34" s="55"/>
      <c r="BC34" s="116" t="str">
        <f aca="false">+INDEX(T_Equipos[Grupo],MATCH(WORLDCUP!BD34,T_Equipos[NombreEquipo],0))</f>
        <v>H</v>
      </c>
      <c r="BD34" s="55" t="str">
        <f aca="false">+Equipos!B30</f>
        <v>España</v>
      </c>
      <c r="BE34" s="117" t="n">
        <f aca="false">+BG34*3+BH34+IF($AZ$3="no",0,INDEX($AZ$6:$AZ$97,MATCH(BD34,$AY$6:$AY$97,0)))</f>
        <v>1</v>
      </c>
      <c r="BF34" s="117" t="n">
        <f aca="false">+BG34+BH34+BI34</f>
        <v>1</v>
      </c>
      <c r="BG34" s="117" t="n">
        <f aca="false">+COUNTIFS(FGLocal,BD34,Ganador,"Local")+COUNTIFS(FGVisitante,BD34,Ganador,"Visitante")</f>
        <v>0</v>
      </c>
      <c r="BH34" s="117" t="n">
        <f aca="false">+COUNTIFS(FGLocal,BD34,Ganador,"Empate")+COUNTIFS(FGVisitante,BD34,Ganador,"Empate")</f>
        <v>1</v>
      </c>
      <c r="BI34" s="117" t="n">
        <f aca="false">+COUNTIFS(FGVisitante,BD34,Ganador,"Local")+COUNTIFS(FGLocal,BD34,Ganador,"Visitante")</f>
        <v>0</v>
      </c>
      <c r="BJ34" s="117" t="n">
        <f aca="false">+SUMIFS(FG_GolesLocal,FGLocal,BD34,Ganador,"&lt;&gt;"&amp;"Pendiente",FG_GolesLocal,"&lt;&gt;"&amp;"",FG_GolesVisitante,"&lt;&gt;"&amp;"")+SUMIFS(FG_GolesVisitante,FGVisitante,BD34,Ganador,"&lt;&gt;"&amp;"Pendiente",FG_GolesLocal,"&lt;&gt;"&amp;"",FG_GolesVisitante,"&lt;&gt;"&amp;"")</f>
        <v>0</v>
      </c>
      <c r="BK34" s="117" t="n">
        <f aca="false">+SUMIFS(FG_GolesLocal,FGVisitante,BD34,Ganador,"&lt;&gt;"&amp;"Pendiente",FG_GolesLocal,"&lt;&gt;"&amp;"",FG_GolesVisitante,"&lt;&gt;"&amp;"")+SUMIFS(FG_GolesVisitante,FGLocal,BD34,Ganador,"&lt;&gt;"&amp;"Pendiente",FG_GolesLocal,"&lt;&gt;"&amp;"",FG_GolesVisitante,"&lt;&gt;"&amp;"")</f>
        <v>0</v>
      </c>
      <c r="BL34" s="117" t="n">
        <f aca="false">+BJ34-BK34</f>
        <v>0</v>
      </c>
      <c r="BM34" s="117" t="str">
        <f aca="false">DD34&amp;BC34</f>
        <v>3H</v>
      </c>
      <c r="BN34" s="117" t="str">
        <f aca="false">DH34&amp;BC34</f>
        <v>3H</v>
      </c>
      <c r="BO34" s="119" t="n">
        <f aca="false">IF(AND($AJ$99=144,BF34&gt;=1),1,0)</f>
        <v>0</v>
      </c>
      <c r="BP34" s="118" t="n">
        <f aca="false">COUNTIFS($BO$6:$BO$53,"&gt;"&amp;BO34,$BC$6:$BC$53,INDEX(T_Equipos[Grupo],MATCH(BD34,T_Equipos[NombreEquipo],0)))+1</f>
        <v>1</v>
      </c>
      <c r="BQ34" s="118" t="str">
        <f aca="false">IF(COUNTIFS($BP$6:$BP$53,BP34,$BC$6:$BC$53,INDEX(T_Equipos[Grupo],MATCH(BD34,T_Equipos[NombreEquipo],0)))=1,"-","P."&amp;BP34&amp;" ("&amp;COUNTIFS($BP$6:$BP$53,BP34,$BC$6:$BC$53,INDEX(T_Equipos[Grupo],MATCH(BD34,T_Equipos[NombreEquipo],0)))&amp;")")</f>
        <v>P.1 (4)</v>
      </c>
      <c r="BR34" s="119" t="n">
        <f aca="false">IF($BQ34="-","-",BE34)</f>
        <v>1</v>
      </c>
      <c r="BS34" s="118" t="n">
        <f aca="false">BP34+COUNTIFS($BQ$6:$BQ$53,BQ34,$BR$6:BR$53,"&gt;"&amp;BR34,$BC$6:$BC$53,INDEX(T_Equipos[Grupo],MATCH(BD34,T_Equipos[NombreEquipo],0)))</f>
        <v>1</v>
      </c>
      <c r="BT34" s="118" t="str">
        <f aca="false">IF(COUNTIFS($BS$6:$BS$53,BS34,$BC$6:$BC$53,INDEX(T_Equipos[Grupo],MATCH(BD34,T_Equipos[NombreEquipo],0)))=1,"-","P."&amp;BS34&amp;" ("&amp;COUNTIFS($BS$6:$BS$53,BS34,$BC$6:$BC$53,INDEX(T_Equipos[Grupo],MATCH(BD34,T_Equipos[NombreEquipo],0)))&amp;")")</f>
        <v>P.1 (4)</v>
      </c>
      <c r="BU34" s="119" t="n">
        <f aca="false">IF($BT34="-","-",COUNTIFS(FGLocal,$BD34,Ganador,"Local",Part1Empate1V,$BT34)+COUNTIFS(FGVisitante,$BD34,Ganador,"Visitante",Part1Empate1L,$BT34))</f>
        <v>0</v>
      </c>
      <c r="BV34" s="119" t="n">
        <f aca="false">IF($BT34="-","-",COUNTIFS(FGLocal,$BD34,Ganador,"Empate",Part1Empate1V,$BT34)+COUNTIFS(FGVisitante,$BD34,Ganador,"Empate",Part1Empate1L,$BT34))</f>
        <v>1</v>
      </c>
      <c r="BW34" s="119" t="n">
        <f aca="false">IF($BT34="-","-",COUNTIFS(FGLocal,$BD34,Ganador,"Visitante",Part1Empate1V,$BT34)+COUNTIFS(FGVisitante,$BD34,Ganador,"Local",Part1Empate1L,$BT34))</f>
        <v>0</v>
      </c>
      <c r="BX34" s="119" t="n">
        <f aca="false">IF($BT34="-","-",BU34*3+BV34)</f>
        <v>1</v>
      </c>
      <c r="BY34" s="119" t="n">
        <f aca="false">BS34+COUNTIFS($BT$6:$BT$53,BT34,$BX$6:BX$53,"&gt;"&amp;BX34,$BC$6:$BC$53,INDEX(T_Equipos[Grupo],MATCH(BD34,T_Equipos[NombreEquipo],0)))</f>
        <v>1</v>
      </c>
      <c r="BZ34" s="118" t="str">
        <f aca="false">IF(COUNTIFS($BY$6:$BY$53,BY34,$BC$6:$BC$53,INDEX(T_Equipos[Grupo],MATCH(BD34,T_Equipos[NombreEquipo],0)))=1,"-","P."&amp;BY34&amp;" ("&amp;COUNTIFS($BY$6:$BY$53,BY34,$BC$6:$BC$53,INDEX(T_Equipos[Grupo],MATCH(BD34,T_Equipos[NombreEquipo],0)))&amp;")")</f>
        <v>P.1 (4)</v>
      </c>
      <c r="CA34" s="119" t="n">
        <f aca="false">IF($BZ34="-","-",SUMIFS(FG_GolesLocal,FGLocal,$BD34,Part1Empate2V,$BZ34)+SUMIFS(FG_GolesVisitante,FGVisitante,$BD34,Part1Empate2L,$BZ34))</f>
        <v>0</v>
      </c>
      <c r="CB34" s="119" t="n">
        <f aca="false">IF($BZ34="-","-",SUMIFS(FG_GolesVisitante,FGLocal,$BD34,Part1Empate2V,$BZ34)+SUMIFS(FG_GolesLocal,FGVisitante,$BD34,Part1Empate2L,$BZ34))</f>
        <v>0</v>
      </c>
      <c r="CC34" s="119" t="n">
        <f aca="false">IF($BZ34="-","-",CA34-CB34)</f>
        <v>0</v>
      </c>
      <c r="CD34" s="119" t="n">
        <f aca="false">BY34+COUNTIFS($BZ$6:$BZ$53,BZ34,$CC$6:CC$53,"&gt;"&amp;CC34,$BC$6:$BC$53,INDEX(T_Equipos[Grupo],MATCH(BD34,T_Equipos[NombreEquipo],0)))</f>
        <v>1</v>
      </c>
      <c r="CE34" s="118" t="str">
        <f aca="false">IF(COUNTIFS($CD$6:$CD$53,CD34,$BC$6:$BC$53,INDEX(T_Equipos[Grupo],MATCH(BD34,T_Equipos[NombreEquipo],0)))=1,"-","P."&amp;CD34&amp;" ("&amp;COUNTIFS($CD$6:$CD$53,CD34,$BC$6:$BC$53,INDEX(T_Equipos[Grupo],MATCH(BD34,T_Equipos[NombreEquipo],0)))&amp;")")</f>
        <v>P.1 (4)</v>
      </c>
      <c r="CF34" s="119" t="n">
        <f aca="false">IF($CE34="-","-",SUMIFS(FG_GolesLocal,FGLocal,$BD34,Part1Empate3V,$CE34)+SUMIFS(FG_GolesVisitante,FGVisitante,$BD34,Part1Empate3L,$CE34))</f>
        <v>0</v>
      </c>
      <c r="CG34" s="119" t="n">
        <f aca="false">CD34+COUNTIFS($CE$6:$CE$53,CE34,$CF$6:CF$53,"&gt;"&amp;CF34,$BC$6:$BC$53,INDEX(T_Equipos[Grupo],MATCH(BD34,T_Equipos[NombreEquipo],0)))</f>
        <v>3</v>
      </c>
      <c r="CH34" s="118" t="str">
        <f aca="false">IF(COUNTIFS($CG$6:$CG$53,CG34,$BC$6:$BC$53,INDEX(T_Equipos[Grupo],MATCH(BD34,T_Equipos[NombreEquipo],0)))=1,"-","P."&amp;CG34&amp;" ("&amp;COUNTIFS($CG$6:$CG$53,CG34,$BC$6:$BC$53,INDEX(T_Equipos[Grupo],MATCH(BD34,T_Equipos[NombreEquipo],0)))&amp;")")</f>
        <v>P.3 (2)</v>
      </c>
      <c r="CI34" s="119" t="n">
        <f aca="false">IF($CH34="-","-",COUNTIFS(FGLocal,$BD34,Ganador,"Local",Part2Empate4V,$CH34)+COUNTIFS(FGVisitante,$BD34,Ganador,"Visitante",Part2Empate4L,$CH34))</f>
        <v>0</v>
      </c>
      <c r="CJ34" s="119" t="n">
        <f aca="false">IF($CH34="-","-",COUNTIFS(FGLocal,$BD34,Ganador,"Empate",Part2Empate4V,$CH34)+COUNTIFS(FGVisitante,$BD34,Ganador,"Empate",Part2Empate4L,$CH34))</f>
        <v>1</v>
      </c>
      <c r="CK34" s="119" t="n">
        <f aca="false">IF($CH34="-","-",COUNTIFS(FGLocal,$BD34,Ganador,"Visitante",Part2Empate4V,$CH34)+COUNTIFS(FGVisitante,$BD34,Ganador,"Local",Part2Empate4L,$CH34))</f>
        <v>0</v>
      </c>
      <c r="CL34" s="119" t="n">
        <f aca="false">IF($CH34="-","-",CI34*3+CJ34)</f>
        <v>1</v>
      </c>
      <c r="CM34" s="119" t="n">
        <f aca="false">CG34+COUNTIFS($CH$6:$CH$53,CH34,$CL$6:CL$53,"&gt;"&amp;CL34,$BC$6:$BC$53,INDEX(T_Equipos[Grupo],MATCH(BD34,T_Equipos[NombreEquipo],0)))</f>
        <v>3</v>
      </c>
      <c r="CN34" s="118" t="str">
        <f aca="false">IF(COUNTIFS($CM$6:$CM$53,CM34,$BC$6:$BC$53,INDEX(T_Equipos[Grupo],MATCH(BD34,T_Equipos[NombreEquipo],0)))=1,"-","P."&amp;CM34&amp;" ("&amp;COUNTIFS($CM$6:$CM$53,CM34,$BC$6:$BC$53,INDEX(T_Equipos[Grupo],MATCH(BD34,T_Equipos[NombreEquipo],0)))&amp;")")</f>
        <v>P.3 (2)</v>
      </c>
      <c r="CO34" s="119" t="n">
        <f aca="false">IF($CN34="-","-",SUMIFS(FG_GolesLocal,FGLocal,$BD34,Part2Empate5V,$CN34)+SUMIFS(FG_GolesVisitante,FGVisitante,$BD34,Part2Empate5L,$CN34))</f>
        <v>0</v>
      </c>
      <c r="CP34" s="119" t="n">
        <f aca="false">IF($CN34="-","-",SUMIFS(FG_GolesVisitante,FGLocal,$BD34,Part2Empate5V,$CN34)+SUMIFS(FG_GolesLocal,FGVisitante,$BD34,Part2Empate5L,$CN34))</f>
        <v>0</v>
      </c>
      <c r="CQ34" s="119" t="n">
        <f aca="false">IF($CN34="-","-",CO34-CP34)</f>
        <v>0</v>
      </c>
      <c r="CR34" s="119" t="n">
        <f aca="false">CM34+COUNTIFS($CN$6:$CN$53,CN34,$CQ$6:CQ$53,"&gt;"&amp;CQ34,$BC$6:$BC$53,INDEX(T_Equipos[Grupo],MATCH(BD34,T_Equipos[NombreEquipo],0)))</f>
        <v>3</v>
      </c>
      <c r="CS34" s="118" t="str">
        <f aca="false">IF(COUNTIFS($CR$6:$CR$53,CR34,$BC$6:$BC$53,INDEX(T_Equipos[Grupo],MATCH(BD34,T_Equipos[NombreEquipo],0)))=1,"-","P."&amp;CR34&amp;" ("&amp;COUNTIFS($CR$6:$CR$53,CR34,$BC$6:$BC$53,INDEX(T_Equipos[Grupo],MATCH(BD34,T_Equipos[NombreEquipo],0)))&amp;")")</f>
        <v>P.3 (2)</v>
      </c>
      <c r="CT34" s="119" t="n">
        <f aca="false">IF($CS34="-","-",SUMIFS(FG_GolesLocal,FGLocal,$BD34,Part2Empate6V,$CS34)+SUMIFS(FG_GolesVisitante,FGVisitante,$BD34,Part2Empate6L,$CS34))</f>
        <v>0</v>
      </c>
      <c r="CU34" s="119" t="n">
        <f aca="false">CR34+COUNTIFS($CS$6:$CS$53,CS34,$CT$6:CT$53,"&gt;"&amp;CT34,$BC$6:$BC$53,INDEX(T_Equipos[Grupo],MATCH(BD34,T_Equipos[NombreEquipo],0)))</f>
        <v>3</v>
      </c>
      <c r="CV34" s="118" t="str">
        <f aca="false">IF(COUNTIFS($CU$6:$CU$53,CU34,$BC$6:$BC$53,INDEX(T_Equipos[Grupo],MATCH(BD34,T_Equipos[NombreEquipo],0)))=1,"-","P."&amp;CU34&amp;" ("&amp;COUNTIFS($CU$6:$CU$53,CU34,$BC$6:$BC$53,INDEX(T_Equipos[Grupo],MATCH(BD34,T_Equipos[NombreEquipo],0)))&amp;")")</f>
        <v>P.3 (2)</v>
      </c>
      <c r="CW34" s="118" t="n">
        <f aca="false">IF(CV34="-","-",BL34)</f>
        <v>0</v>
      </c>
      <c r="CX34" s="118" t="n">
        <f aca="false">CU34+COUNTIFS($CV$6:$CV$53,CV34,$CW$6:CW$53,"&gt;"&amp;CW34,$BC$6:$BC$53,INDEX(T_Equipos[Grupo],MATCH(BD34,T_Equipos[NombreEquipo],0)))</f>
        <v>3</v>
      </c>
      <c r="CY34" s="118" t="str">
        <f aca="false">IF(COUNTIFS($CX$6:$CX$53,CX34,$BC$6:$BC$53,INDEX(T_Equipos[Grupo],MATCH(BD34,T_Equipos[NombreEquipo],0)))=1,"-","P."&amp;CX34&amp;" ("&amp;COUNTIFS($CX$6:$CX$53,CX34,$BC$6:$BC$53,INDEX(T_Equipos[Grupo],MATCH(BD34,T_Equipos[NombreEquipo],0)))&amp;")")</f>
        <v>P.3 (2)</v>
      </c>
      <c r="CZ34" s="118" t="n">
        <f aca="false">IF(CY34="-","-",BJ34)</f>
        <v>0</v>
      </c>
      <c r="DA34" s="119" t="n">
        <f aca="false">CX34+COUNTIFS($CY$6:$CY$53,CY34,$CZ$6:CZ$53,"&gt;"&amp;CZ34,$BC$6:$BC$53,INDEX(T_Equipos[Grupo],MATCH(BD34,T_Equipos[NombreEquipo],0)))</f>
        <v>3</v>
      </c>
      <c r="DB34" s="118" t="str">
        <f aca="false">IF(COUNTIFS($DA$6:$DA$53,DA34,$BC$6:$BC$53,INDEX(T_Equipos[Grupo],MATCH(BD34,T_Equipos[NombreEquipo],0)))=1,"-","P."&amp;DA34&amp;" ("&amp;COUNTIFS($DA$6:$DA$53,DA34,$BC$6:$BC$53,INDEX(T_Equipos[Grupo],MATCH(BD34,T_Equipos[NombreEquipo],0)))&amp;")")</f>
        <v>P.3 (2)</v>
      </c>
      <c r="DC34" s="116" t="n">
        <f aca="false">IF(DB34="-","-",COUNTIFS(T_Equipos[Rank],"&lt;"&amp;INDEX(T_Equipos[Rank],MATCH(BD34,T_Equipos[NombreEquipo],0)),$BC$6:$BC$53,INDEX(T_Equipos[Grupo],MATCH(BD34,T_Equipos[NombreEquipo],0)))+1)</f>
        <v>1</v>
      </c>
      <c r="DD34" s="116" t="n">
        <f aca="false">DA34+COUNTIFS($DB$6:$DB$53,DB34,$DC$6:DC$53,"&lt;"&amp;DC34,$BC$6:$BC$53,INDEX(T_Equipos[Grupo],MATCH(BD34,T_Equipos[NombreEquipo],0)))</f>
        <v>3</v>
      </c>
      <c r="DE34" s="116"/>
      <c r="DF34" s="116" t="n">
        <f aca="false">IF(OR(INDEX($AW$6:$AW$97,MATCH($BD34,$AV$6:$AV$97,0))="",DB34="-"),DD34,INDEX($AW$6:$AW$97,MATCH($BD34,$AV$6:$AV$97,0))+DD34/1000)</f>
        <v>3</v>
      </c>
      <c r="DG34" s="116" t="n">
        <f aca="false">IF(DB34="-","-",COUNTIFS(DF$6:DF$53,"&lt;"&amp;DF34,$BC$6:$BC$53,INDEX(T_Equipos[Grupo],MATCH(BD34,T_Equipos[NombreEquipo],0))))</f>
        <v>2</v>
      </c>
      <c r="DH34" s="116" t="n">
        <f aca="false">DA34+COUNTIFS(DB$6:DB$53,DB34,DG$6:DG$53,"&lt;"&amp;DG34,$BC$6:$BC$53,INDEX(T_Equipos[Grupo],MATCH(BD34,T_Equipos[NombreEquipo],0)))</f>
        <v>3</v>
      </c>
      <c r="DI34" s="55"/>
      <c r="DJ34" s="55" t="n">
        <f aca="false">INDEX($DA$6:$DA$53,MATCH($DQ34,$BD$6:$BD$53,0))</f>
        <v>1</v>
      </c>
      <c r="DK34" s="55" t="n">
        <f aca="false">+SUMIF($BC$6:$BC$53,BC34,$BF$6:$BF$53)</f>
        <v>4</v>
      </c>
      <c r="DL34" s="55" t="n">
        <f aca="false">IF(OR(DK34=12,$AJ$99=144),COUNTIFS($DJ$6:$DJ$53,DJ34,$BC$6:$BC$53,BC34),1)</f>
        <v>1</v>
      </c>
      <c r="DM34" s="120" t="str">
        <f aca="false">DJ34&amp;"."&amp;DL34</f>
        <v>1.1</v>
      </c>
      <c r="DN34" s="55" t="n">
        <f aca="true" t="array" ref="DN34:DN34">OFFSET(Horarios!$P$3,DJ34-1,0,DL34,1)</f>
        <v>1</v>
      </c>
      <c r="DO34" s="55"/>
      <c r="DP34" s="55" t="s">
        <v>109</v>
      </c>
      <c r="DQ34" s="55" t="str">
        <f aca="false">INDEX($BD$6:$BD$53,MATCH(DP34,$BM$6:$BM$53,0))</f>
        <v>Arabia Saudita</v>
      </c>
      <c r="DR34" s="55"/>
      <c r="DS34" s="55"/>
      <c r="DT34" s="55" t="str">
        <f aca="false">AA34&amp;"-"&amp;AF34</f>
        <v>-</v>
      </c>
      <c r="DU34" s="55"/>
      <c r="DV34" s="55"/>
      <c r="DW34" s="57"/>
    </row>
    <row r="35" customFormat="false" ht="15" hidden="false" customHeight="false" outlineLevel="0" collapsed="false">
      <c r="A35" s="39"/>
      <c r="B35" s="72"/>
      <c r="C35" s="39"/>
      <c r="D35" s="39"/>
      <c r="E35" s="39"/>
      <c r="F35" s="39"/>
      <c r="G35" s="39"/>
      <c r="H35" s="39"/>
      <c r="I35" s="39"/>
      <c r="J35" s="39"/>
      <c r="K35" s="39"/>
      <c r="L35" s="39"/>
      <c r="M35" s="39"/>
      <c r="N35" s="55"/>
      <c r="O35" s="55"/>
      <c r="P35" s="55"/>
      <c r="Q35" s="55"/>
      <c r="R35" s="55"/>
      <c r="S35" s="55"/>
      <c r="T35" s="55"/>
      <c r="U35" s="55"/>
      <c r="V35" s="46"/>
      <c r="W35" s="59"/>
      <c r="X35" s="60" t="str">
        <f aca="false">X19</f>
        <v>Fecha</v>
      </c>
      <c r="Y35" s="60" t="str">
        <f aca="false">Y19</f>
        <v>Hora</v>
      </c>
      <c r="Z35" s="61" t="str">
        <f aca="false">Z19</f>
        <v>Jor.</v>
      </c>
      <c r="AA35" s="62" t="str">
        <f aca="false">AA19</f>
        <v>Casa</v>
      </c>
      <c r="AB35" s="61"/>
      <c r="AC35" s="61" t="str">
        <f aca="false">AC3</f>
        <v>Gol</v>
      </c>
      <c r="AD35" s="61" t="str">
        <f aca="false">AD3</f>
        <v>Gol</v>
      </c>
      <c r="AE35" s="61"/>
      <c r="AF35" s="64" t="str">
        <f aca="false">AF19</f>
        <v>Fuera</v>
      </c>
      <c r="AG35" s="159"/>
      <c r="AH35" s="84"/>
      <c r="AI35" s="50"/>
      <c r="AJ35" s="66"/>
      <c r="AK35" s="160"/>
      <c r="AL35" s="66"/>
      <c r="AM35" s="66"/>
      <c r="AN35" s="66"/>
      <c r="AO35" s="66"/>
      <c r="AP35" s="66"/>
      <c r="AQ35" s="66"/>
      <c r="AR35" s="66"/>
      <c r="AS35" s="66"/>
      <c r="AT35" s="66"/>
      <c r="AU35" s="161"/>
      <c r="AV35" s="51"/>
      <c r="AW35" s="162"/>
      <c r="AX35" s="163"/>
      <c r="AY35" s="146"/>
      <c r="AZ35" s="147"/>
      <c r="BA35" s="49"/>
      <c r="BB35" s="55"/>
      <c r="BC35" s="116" t="str">
        <f aca="false">+INDEX(T_Equipos[Grupo],MATCH(WORLDCUP!BD35,T_Equipos[NombreEquipo],0))</f>
        <v>H</v>
      </c>
      <c r="BD35" s="55" t="str">
        <f aca="false">+Equipos!B31</f>
        <v>Cabo Verde</v>
      </c>
      <c r="BE35" s="117" t="n">
        <f aca="false">+BG35*3+BH35+IF($AZ$3="no",0,INDEX($AZ$6:$AZ$97,MATCH(BD35,$AY$6:$AY$97,0)))</f>
        <v>1</v>
      </c>
      <c r="BF35" s="117" t="n">
        <f aca="false">+BG35+BH35+BI35</f>
        <v>1</v>
      </c>
      <c r="BG35" s="117" t="n">
        <f aca="false">+COUNTIFS(FGLocal,BD35,Ganador,"Local")+COUNTIFS(FGVisitante,BD35,Ganador,"Visitante")</f>
        <v>0</v>
      </c>
      <c r="BH35" s="117" t="n">
        <f aca="false">+COUNTIFS(FGLocal,BD35,Ganador,"Empate")+COUNTIFS(FGVisitante,BD35,Ganador,"Empate")</f>
        <v>1</v>
      </c>
      <c r="BI35" s="117" t="n">
        <f aca="false">+COUNTIFS(FGVisitante,BD35,Ganador,"Local")+COUNTIFS(FGLocal,BD35,Ganador,"Visitante")</f>
        <v>0</v>
      </c>
      <c r="BJ35" s="117" t="n">
        <f aca="false">+SUMIFS(FG_GolesLocal,FGLocal,BD35,Ganador,"&lt;&gt;"&amp;"Pendiente",FG_GolesLocal,"&lt;&gt;"&amp;"",FG_GolesVisitante,"&lt;&gt;"&amp;"")+SUMIFS(FG_GolesVisitante,FGVisitante,BD35,Ganador,"&lt;&gt;"&amp;"Pendiente",FG_GolesLocal,"&lt;&gt;"&amp;"",FG_GolesVisitante,"&lt;&gt;"&amp;"")</f>
        <v>0</v>
      </c>
      <c r="BK35" s="117" t="n">
        <f aca="false">+SUMIFS(FG_GolesLocal,FGVisitante,BD35,Ganador,"&lt;&gt;"&amp;"Pendiente",FG_GolesLocal,"&lt;&gt;"&amp;"",FG_GolesVisitante,"&lt;&gt;"&amp;"")+SUMIFS(FG_GolesVisitante,FGLocal,BD35,Ganador,"&lt;&gt;"&amp;"Pendiente",FG_GolesLocal,"&lt;&gt;"&amp;"",FG_GolesVisitante,"&lt;&gt;"&amp;"")</f>
        <v>0</v>
      </c>
      <c r="BL35" s="117" t="n">
        <f aca="false">+BJ35-BK35</f>
        <v>0</v>
      </c>
      <c r="BM35" s="117" t="str">
        <f aca="false">DD35&amp;BC35</f>
        <v>4H</v>
      </c>
      <c r="BN35" s="117" t="str">
        <f aca="false">DH35&amp;BC35</f>
        <v>4H</v>
      </c>
      <c r="BO35" s="119" t="n">
        <f aca="false">IF(AND($AJ$99=144,BF35&gt;=1),1,0)</f>
        <v>0</v>
      </c>
      <c r="BP35" s="118" t="n">
        <f aca="false">COUNTIFS($BO$6:$BO$53,"&gt;"&amp;BO35,$BC$6:$BC$53,INDEX(T_Equipos[Grupo],MATCH(BD35,T_Equipos[NombreEquipo],0)))+1</f>
        <v>1</v>
      </c>
      <c r="BQ35" s="118" t="str">
        <f aca="false">IF(COUNTIFS($BP$6:$BP$53,BP35,$BC$6:$BC$53,INDEX(T_Equipos[Grupo],MATCH(BD35,T_Equipos[NombreEquipo],0)))=1,"-","P."&amp;BP35&amp;" ("&amp;COUNTIFS($BP$6:$BP$53,BP35,$BC$6:$BC$53,INDEX(T_Equipos[Grupo],MATCH(BD35,T_Equipos[NombreEquipo],0)))&amp;")")</f>
        <v>P.1 (4)</v>
      </c>
      <c r="BR35" s="119" t="n">
        <f aca="false">IF($BQ35="-","-",BE35)</f>
        <v>1</v>
      </c>
      <c r="BS35" s="118" t="n">
        <f aca="false">BP35+COUNTIFS($BQ$6:$BQ$53,BQ35,$BR$6:BR$53,"&gt;"&amp;BR35,$BC$6:$BC$53,INDEX(T_Equipos[Grupo],MATCH(BD35,T_Equipos[NombreEquipo],0)))</f>
        <v>1</v>
      </c>
      <c r="BT35" s="118" t="str">
        <f aca="false">IF(COUNTIFS($BS$6:$BS$53,BS35,$BC$6:$BC$53,INDEX(T_Equipos[Grupo],MATCH(BD35,T_Equipos[NombreEquipo],0)))=1,"-","P."&amp;BS35&amp;" ("&amp;COUNTIFS($BS$6:$BS$53,BS35,$BC$6:$BC$53,INDEX(T_Equipos[Grupo],MATCH(BD35,T_Equipos[NombreEquipo],0)))&amp;")")</f>
        <v>P.1 (4)</v>
      </c>
      <c r="BU35" s="119" t="n">
        <f aca="false">IF($BT35="-","-",COUNTIFS(FGLocal,$BD35,Ganador,"Local",Part1Empate1V,$BT35)+COUNTIFS(FGVisitante,$BD35,Ganador,"Visitante",Part1Empate1L,$BT35))</f>
        <v>0</v>
      </c>
      <c r="BV35" s="119" t="n">
        <f aca="false">IF($BT35="-","-",COUNTIFS(FGLocal,$BD35,Ganador,"Empate",Part1Empate1V,$BT35)+COUNTIFS(FGVisitante,$BD35,Ganador,"Empate",Part1Empate1L,$BT35))</f>
        <v>1</v>
      </c>
      <c r="BW35" s="119" t="n">
        <f aca="false">IF($BT35="-","-",COUNTIFS(FGLocal,$BD35,Ganador,"Visitante",Part1Empate1V,$BT35)+COUNTIFS(FGVisitante,$BD35,Ganador,"Local",Part1Empate1L,$BT35))</f>
        <v>0</v>
      </c>
      <c r="BX35" s="119" t="n">
        <f aca="false">IF($BT35="-","-",BU35*3+BV35)</f>
        <v>1</v>
      </c>
      <c r="BY35" s="119" t="n">
        <f aca="false">BS35+COUNTIFS($BT$6:$BT$53,BT35,$BX$6:BX$53,"&gt;"&amp;BX35,$BC$6:$BC$53,INDEX(T_Equipos[Grupo],MATCH(BD35,T_Equipos[NombreEquipo],0)))</f>
        <v>1</v>
      </c>
      <c r="BZ35" s="118" t="str">
        <f aca="false">IF(COUNTIFS($BY$6:$BY$53,BY35,$BC$6:$BC$53,INDEX(T_Equipos[Grupo],MATCH(BD35,T_Equipos[NombreEquipo],0)))=1,"-","P."&amp;BY35&amp;" ("&amp;COUNTIFS($BY$6:$BY$53,BY35,$BC$6:$BC$53,INDEX(T_Equipos[Grupo],MATCH(BD35,T_Equipos[NombreEquipo],0)))&amp;")")</f>
        <v>P.1 (4)</v>
      </c>
      <c r="CA35" s="119" t="n">
        <f aca="false">IF($BZ35="-","-",SUMIFS(FG_GolesLocal,FGLocal,$BD35,Part1Empate2V,$BZ35)+SUMIFS(FG_GolesVisitante,FGVisitante,$BD35,Part1Empate2L,$BZ35))</f>
        <v>0</v>
      </c>
      <c r="CB35" s="119" t="n">
        <f aca="false">IF($BZ35="-","-",SUMIFS(FG_GolesVisitante,FGLocal,$BD35,Part1Empate2V,$BZ35)+SUMIFS(FG_GolesLocal,FGVisitante,$BD35,Part1Empate2L,$BZ35))</f>
        <v>0</v>
      </c>
      <c r="CC35" s="119" t="n">
        <f aca="false">IF($BZ35="-","-",CA35-CB35)</f>
        <v>0</v>
      </c>
      <c r="CD35" s="119" t="n">
        <f aca="false">BY35+COUNTIFS($BZ$6:$BZ$53,BZ35,$CC$6:CC$53,"&gt;"&amp;CC35,$BC$6:$BC$53,INDEX(T_Equipos[Grupo],MATCH(BD35,T_Equipos[NombreEquipo],0)))</f>
        <v>1</v>
      </c>
      <c r="CE35" s="118" t="str">
        <f aca="false">IF(COUNTIFS($CD$6:$CD$53,CD35,$BC$6:$BC$53,INDEX(T_Equipos[Grupo],MATCH(BD35,T_Equipos[NombreEquipo],0)))=1,"-","P."&amp;CD35&amp;" ("&amp;COUNTIFS($CD$6:$CD$53,CD35,$BC$6:$BC$53,INDEX(T_Equipos[Grupo],MATCH(BD35,T_Equipos[NombreEquipo],0)))&amp;")")</f>
        <v>P.1 (4)</v>
      </c>
      <c r="CF35" s="119" t="n">
        <f aca="false">IF($CE35="-","-",SUMIFS(FG_GolesLocal,FGLocal,$BD35,Part1Empate3V,$CE35)+SUMIFS(FG_GolesVisitante,FGVisitante,$BD35,Part1Empate3L,$CE35))</f>
        <v>0</v>
      </c>
      <c r="CG35" s="119" t="n">
        <f aca="false">CD35+COUNTIFS($CE$6:$CE$53,CE35,$CF$6:CF$53,"&gt;"&amp;CF35,$BC$6:$BC$53,INDEX(T_Equipos[Grupo],MATCH(BD35,T_Equipos[NombreEquipo],0)))</f>
        <v>3</v>
      </c>
      <c r="CH35" s="118" t="str">
        <f aca="false">IF(COUNTIFS($CG$6:$CG$53,CG35,$BC$6:$BC$53,INDEX(T_Equipos[Grupo],MATCH(BD35,T_Equipos[NombreEquipo],0)))=1,"-","P."&amp;CG35&amp;" ("&amp;COUNTIFS($CG$6:$CG$53,CG35,$BC$6:$BC$53,INDEX(T_Equipos[Grupo],MATCH(BD35,T_Equipos[NombreEquipo],0)))&amp;")")</f>
        <v>P.3 (2)</v>
      </c>
      <c r="CI35" s="119" t="n">
        <f aca="false">IF($CH35="-","-",COUNTIFS(FGLocal,$BD35,Ganador,"Local",Part2Empate4V,$CH35)+COUNTIFS(FGVisitante,$BD35,Ganador,"Visitante",Part2Empate4L,$CH35))</f>
        <v>0</v>
      </c>
      <c r="CJ35" s="119" t="n">
        <f aca="false">IF($CH35="-","-",COUNTIFS(FGLocal,$BD35,Ganador,"Empate",Part2Empate4V,$CH35)+COUNTIFS(FGVisitante,$BD35,Ganador,"Empate",Part2Empate4L,$CH35))</f>
        <v>1</v>
      </c>
      <c r="CK35" s="119" t="n">
        <f aca="false">IF($CH35="-","-",COUNTIFS(FGLocal,$BD35,Ganador,"Visitante",Part2Empate4V,$CH35)+COUNTIFS(FGVisitante,$BD35,Ganador,"Local",Part2Empate4L,$CH35))</f>
        <v>0</v>
      </c>
      <c r="CL35" s="119" t="n">
        <f aca="false">IF($CH35="-","-",CI35*3+CJ35)</f>
        <v>1</v>
      </c>
      <c r="CM35" s="119" t="n">
        <f aca="false">CG35+COUNTIFS($CH$6:$CH$53,CH35,$CL$6:CL$53,"&gt;"&amp;CL35,$BC$6:$BC$53,INDEX(T_Equipos[Grupo],MATCH(BD35,T_Equipos[NombreEquipo],0)))</f>
        <v>3</v>
      </c>
      <c r="CN35" s="118" t="str">
        <f aca="false">IF(COUNTIFS($CM$6:$CM$53,CM35,$BC$6:$BC$53,INDEX(T_Equipos[Grupo],MATCH(BD35,T_Equipos[NombreEquipo],0)))=1,"-","P."&amp;CM35&amp;" ("&amp;COUNTIFS($CM$6:$CM$53,CM35,$BC$6:$BC$53,INDEX(T_Equipos[Grupo],MATCH(BD35,T_Equipos[NombreEquipo],0)))&amp;")")</f>
        <v>P.3 (2)</v>
      </c>
      <c r="CO35" s="119" t="n">
        <f aca="false">IF($CN35="-","-",SUMIFS(FG_GolesLocal,FGLocal,$BD35,Part2Empate5V,$CN35)+SUMIFS(FG_GolesVisitante,FGVisitante,$BD35,Part2Empate5L,$CN35))</f>
        <v>0</v>
      </c>
      <c r="CP35" s="119" t="n">
        <f aca="false">IF($CN35="-","-",SUMIFS(FG_GolesVisitante,FGLocal,$BD35,Part2Empate5V,$CN35)+SUMIFS(FG_GolesLocal,FGVisitante,$BD35,Part2Empate5L,$CN35))</f>
        <v>0</v>
      </c>
      <c r="CQ35" s="119" t="n">
        <f aca="false">IF($CN35="-","-",CO35-CP35)</f>
        <v>0</v>
      </c>
      <c r="CR35" s="119" t="n">
        <f aca="false">CM35+COUNTIFS($CN$6:$CN$53,CN35,$CQ$6:CQ$53,"&gt;"&amp;CQ35,$BC$6:$BC$53,INDEX(T_Equipos[Grupo],MATCH(BD35,T_Equipos[NombreEquipo],0)))</f>
        <v>3</v>
      </c>
      <c r="CS35" s="118" t="str">
        <f aca="false">IF(COUNTIFS($CR$6:$CR$53,CR35,$BC$6:$BC$53,INDEX(T_Equipos[Grupo],MATCH(BD35,T_Equipos[NombreEquipo],0)))=1,"-","P."&amp;CR35&amp;" ("&amp;COUNTIFS($CR$6:$CR$53,CR35,$BC$6:$BC$53,INDEX(T_Equipos[Grupo],MATCH(BD35,T_Equipos[NombreEquipo],0)))&amp;")")</f>
        <v>P.3 (2)</v>
      </c>
      <c r="CT35" s="119" t="n">
        <f aca="false">IF($CS35="-","-",SUMIFS(FG_GolesLocal,FGLocal,$BD35,Part2Empate6V,$CS35)+SUMIFS(FG_GolesVisitante,FGVisitante,$BD35,Part2Empate6L,$CS35))</f>
        <v>0</v>
      </c>
      <c r="CU35" s="119" t="n">
        <f aca="false">CR35+COUNTIFS($CS$6:$CS$53,CS35,$CT$6:CT$53,"&gt;"&amp;CT35,$BC$6:$BC$53,INDEX(T_Equipos[Grupo],MATCH(BD35,T_Equipos[NombreEquipo],0)))</f>
        <v>3</v>
      </c>
      <c r="CV35" s="118" t="str">
        <f aca="false">IF(COUNTIFS($CU$6:$CU$53,CU35,$BC$6:$BC$53,INDEX(T_Equipos[Grupo],MATCH(BD35,T_Equipos[NombreEquipo],0)))=1,"-","P."&amp;CU35&amp;" ("&amp;COUNTIFS($CU$6:$CU$53,CU35,$BC$6:$BC$53,INDEX(T_Equipos[Grupo],MATCH(BD35,T_Equipos[NombreEquipo],0)))&amp;")")</f>
        <v>P.3 (2)</v>
      </c>
      <c r="CW35" s="118" t="n">
        <f aca="false">IF(CV35="-","-",BL35)</f>
        <v>0</v>
      </c>
      <c r="CX35" s="118" t="n">
        <f aca="false">CU35+COUNTIFS($CV$6:$CV$53,CV35,$CW$6:CW$53,"&gt;"&amp;CW35,$BC$6:$BC$53,INDEX(T_Equipos[Grupo],MATCH(BD35,T_Equipos[NombreEquipo],0)))</f>
        <v>3</v>
      </c>
      <c r="CY35" s="118" t="str">
        <f aca="false">IF(COUNTIFS($CX$6:$CX$53,CX35,$BC$6:$BC$53,INDEX(T_Equipos[Grupo],MATCH(BD35,T_Equipos[NombreEquipo],0)))=1,"-","P."&amp;CX35&amp;" ("&amp;COUNTIFS($CX$6:$CX$53,CX35,$BC$6:$BC$53,INDEX(T_Equipos[Grupo],MATCH(BD35,T_Equipos[NombreEquipo],0)))&amp;")")</f>
        <v>P.3 (2)</v>
      </c>
      <c r="CZ35" s="118" t="n">
        <f aca="false">IF(CY35="-","-",BJ35)</f>
        <v>0</v>
      </c>
      <c r="DA35" s="119" t="n">
        <f aca="false">CX35+COUNTIFS($CY$6:$CY$53,CY35,$CZ$6:CZ$53,"&gt;"&amp;CZ35,$BC$6:$BC$53,INDEX(T_Equipos[Grupo],MATCH(BD35,T_Equipos[NombreEquipo],0)))</f>
        <v>3</v>
      </c>
      <c r="DB35" s="118" t="str">
        <f aca="false">IF(COUNTIFS($DA$6:$DA$53,DA35,$BC$6:$BC$53,INDEX(T_Equipos[Grupo],MATCH(BD35,T_Equipos[NombreEquipo],0)))=1,"-","P."&amp;DA35&amp;" ("&amp;COUNTIFS($DA$6:$DA$53,DA35,$BC$6:$BC$53,INDEX(T_Equipos[Grupo],MATCH(BD35,T_Equipos[NombreEquipo],0)))&amp;")")</f>
        <v>P.3 (2)</v>
      </c>
      <c r="DC35" s="116" t="n">
        <f aca="false">IF(DB35="-","-",COUNTIFS(T_Equipos[Rank],"&lt;"&amp;INDEX(T_Equipos[Rank],MATCH(BD35,T_Equipos[NombreEquipo],0)),$BC$6:$BC$53,INDEX(T_Equipos[Grupo],MATCH(BD35,T_Equipos[NombreEquipo],0)))+1)</f>
        <v>2</v>
      </c>
      <c r="DD35" s="116" t="n">
        <f aca="false">DA35+COUNTIFS($DB$6:$DB$53,DB35,$DC$6:DC$53,"&lt;"&amp;DC35,$BC$6:$BC$53,INDEX(T_Equipos[Grupo],MATCH(BD35,T_Equipos[NombreEquipo],0)))</f>
        <v>4</v>
      </c>
      <c r="DE35" s="116"/>
      <c r="DF35" s="116" t="n">
        <f aca="false">IF(OR(INDEX($AW$6:$AW$97,MATCH($BD35,$AV$6:$AV$97,0))="",DB35="-"),DD35,INDEX($AW$6:$AW$97,MATCH($BD35,$AV$6:$AV$97,0))+DD35/1000)</f>
        <v>4</v>
      </c>
      <c r="DG35" s="116" t="n">
        <f aca="false">IF(DB35="-","-",COUNTIFS(DF$6:DF$53,"&lt;"&amp;DF35,$BC$6:$BC$53,INDEX(T_Equipos[Grupo],MATCH(BD35,T_Equipos[NombreEquipo],0))))</f>
        <v>3</v>
      </c>
      <c r="DH35" s="116" t="n">
        <f aca="false">DA35+COUNTIFS(DB$6:DB$53,DB35,DG$6:DG$53,"&lt;"&amp;DG35,$BC$6:$BC$53,INDEX(T_Equipos[Grupo],MATCH(BD35,T_Equipos[NombreEquipo],0)))</f>
        <v>4</v>
      </c>
      <c r="DI35" s="55"/>
      <c r="DJ35" s="55" t="n">
        <f aca="false">INDEX($DA$6:$DA$53,MATCH($DQ35,$BD$6:$BD$53,0))</f>
        <v>1</v>
      </c>
      <c r="DK35" s="55" t="n">
        <f aca="false">+SUMIF($BC$6:$BC$53,BC35,$BF$6:$BF$53)</f>
        <v>4</v>
      </c>
      <c r="DL35" s="55" t="n">
        <f aca="false">IF(OR(DK35=12,$AJ$99=144),COUNTIFS($DJ$6:$DJ$53,DJ35,$BC$6:$BC$53,BC35),1)</f>
        <v>1</v>
      </c>
      <c r="DM35" s="120" t="str">
        <f aca="false">DJ35&amp;"."&amp;DL35</f>
        <v>1.1</v>
      </c>
      <c r="DN35" s="55" t="n">
        <f aca="true" t="array" ref="DN35:DN35">OFFSET(Horarios!$P$3,DJ35-1,0,DL35,1)</f>
        <v>1</v>
      </c>
      <c r="DO35" s="55"/>
      <c r="DP35" s="55" t="s">
        <v>110</v>
      </c>
      <c r="DQ35" s="55" t="str">
        <f aca="false">INDEX($BD$6:$BD$53,MATCH(DP35,$BM$6:$BM$53,0))</f>
        <v>Uruguay</v>
      </c>
      <c r="DR35" s="55"/>
      <c r="DS35" s="55"/>
      <c r="DT35" s="55" t="str">
        <f aca="false">AA35&amp;"-"&amp;AF35</f>
        <v>Casa-Fuera</v>
      </c>
      <c r="DU35" s="55"/>
      <c r="DV35" s="55"/>
      <c r="DW35" s="57"/>
    </row>
    <row r="36" customFormat="false" ht="15" hidden="false" customHeight="true" outlineLevel="0" collapsed="false">
      <c r="A36" s="71" t="s">
        <v>23</v>
      </c>
      <c r="B36" s="72" t="s">
        <v>111</v>
      </c>
      <c r="C36" s="44" t="n">
        <f aca="false">COUNTIF(Equipos!$C$2:$C$49,WORLDCUP!B36)</f>
        <v>4</v>
      </c>
      <c r="D36" s="55" t="str">
        <f aca="false">IF(OR(AC36="",AD36=""),"Pendiente",IF(AC36&gt;AD36,"Local",IF(AC36&lt;AD36,"Visitante","Empate")))</f>
        <v>Local</v>
      </c>
      <c r="E36" s="55" t="str">
        <f aca="false">IF(D36="Pendiente","-",INDEX($BT$6:$BT$53,MATCH($AA36,$BD$6:$BD$53,0)))</f>
        <v>P.1 (2)</v>
      </c>
      <c r="F36" s="55" t="str">
        <f aca="false">IF(D36="Pendiente","-",INDEX($BT$6:$BT$53,MATCH($AF36,$BD$6:$BD$53,0)))</f>
        <v>P.3 (2)</v>
      </c>
      <c r="G36" s="55"/>
      <c r="H36" s="55" t="str">
        <f aca="false">IF(D36="Pendiente","-",INDEX($BZ$6:$BZ$53,MATCH($AA36,$BD$6:$BD$53,0)))</f>
        <v>P.1 (2)</v>
      </c>
      <c r="I36" s="55" t="str">
        <f aca="false">IF(D36="Pendiente","-",INDEX($BZ$6:$BZ$53,MATCH($AF36,$BD$6:$BD$53,0)))</f>
        <v>P.3 (2)</v>
      </c>
      <c r="J36" s="55"/>
      <c r="K36" s="55" t="str">
        <f aca="false">IF(D36="Pendiente","-",INDEX($CE$6:$CE$53,MATCH($AA36,$BD$6:$BD$53,0)))</f>
        <v>P.1 (2)</v>
      </c>
      <c r="L36" s="55" t="str">
        <f aca="false">IF(D36="Pendiente","-",INDEX($CE$6:$CE$53,MATCH($AF36,$BD$6:$BD$53,0)))</f>
        <v>P.3 (2)</v>
      </c>
      <c r="M36" s="55"/>
      <c r="N36" s="55" t="str">
        <f aca="false">IF(D36="Pendiente","-",INDEX($CH$6:$CH$53,MATCH($AA36,$BD$6:$BD$53,0)))</f>
        <v>P.1 (2)</v>
      </c>
      <c r="O36" s="55" t="str">
        <f aca="false">IF(D36="Pendiente","-",INDEX($CH$6:$CH$53,MATCH($AF36,$BD$6:$BD$53,0)))</f>
        <v>P.3 (2)</v>
      </c>
      <c r="P36" s="55"/>
      <c r="Q36" s="55" t="str">
        <f aca="false">IF(D36="Pendiente","-",INDEX($CN$6:$CN$53,MATCH($AA36,$BD$6:$BD$53,0)))</f>
        <v>P.1 (2)</v>
      </c>
      <c r="R36" s="55" t="str">
        <f aca="false">IF(D36="Pendiente","-",INDEX($CN$6:$CN$53,MATCH($AF36,$BD$6:$BD$53,0)))</f>
        <v>P.3 (2)</v>
      </c>
      <c r="S36" s="55"/>
      <c r="T36" s="55" t="str">
        <f aca="false">IF(D36="Pendiente","-",INDEX($CS$6:$CS$53,MATCH($AA36,$BD$6:$BD$53,0)))</f>
        <v>P.1 (2)</v>
      </c>
      <c r="U36" s="55" t="str">
        <f aca="false">IF(D36="Pendiente","-",INDEX($CS$6:$CS$53,MATCH($AF36,$BD$6:$BD$53,0)))</f>
        <v>P.3 (2)</v>
      </c>
      <c r="V36" s="46"/>
      <c r="W36" s="186" t="s">
        <v>111</v>
      </c>
      <c r="X36" s="74" t="n">
        <f aca="false">Horarios!C36</f>
        <v>46187.7916666667</v>
      </c>
      <c r="Y36" s="75" t="n">
        <f aca="false">Horarios!C36</f>
        <v>46187.7916666667</v>
      </c>
      <c r="Z36" s="76" t="str">
        <f aca="false">$Z$4</f>
        <v>J1</v>
      </c>
      <c r="AA36" s="77" t="str">
        <f aca="false">A37</f>
        <v>Alemania</v>
      </c>
      <c r="AB36" s="165" t="str">
        <f aca="true" t="array" ref="AB36:AB36">Ver_flag_local</f>
        <v/>
      </c>
      <c r="AC36" s="79" t="n">
        <v>7</v>
      </c>
      <c r="AD36" s="80" t="n">
        <v>1</v>
      </c>
      <c r="AE36" s="81" t="str">
        <f aca="true" t="array" ref="AE36:AE36">Ver_flag_visit</f>
        <v/>
      </c>
      <c r="AF36" s="82" t="str">
        <f aca="false">A38</f>
        <v>Curazao</v>
      </c>
      <c r="AG36" s="83" t="n">
        <f aca="false">IF(NOT(OR(ISBLANK(AC36),ISBLANK(AD36))),1,0)</f>
        <v>1</v>
      </c>
      <c r="AH36" s="84" t="n">
        <v>10</v>
      </c>
      <c r="AI36" s="85"/>
      <c r="AJ36" s="86" t="str">
        <f aca="false">CONCATENATE(AJ3," ",B36)</f>
        <v>Grupo E</v>
      </c>
      <c r="AK36" s="86"/>
      <c r="AL36" s="86"/>
      <c r="AM36" s="86"/>
      <c r="AN36" s="86"/>
      <c r="AO36" s="86"/>
      <c r="AP36" s="86"/>
      <c r="AQ36" s="86"/>
      <c r="AR36" s="86"/>
      <c r="AS36" s="86"/>
      <c r="AT36" s="86"/>
      <c r="AU36" s="161"/>
      <c r="AV36" s="87" t="str">
        <f aca="false">IF(AU37&gt;0,$AV$3,"")</f>
        <v/>
      </c>
      <c r="AW36" s="97"/>
      <c r="AX36" s="168"/>
      <c r="AY36" s="146"/>
      <c r="AZ36" s="147"/>
      <c r="BA36" s="49"/>
      <c r="BB36" s="55"/>
      <c r="BC36" s="116" t="str">
        <f aca="false">+INDEX(T_Equipos[Grupo],MATCH(WORLDCUP!BD36,T_Equipos[NombreEquipo],0))</f>
        <v>H</v>
      </c>
      <c r="BD36" s="55" t="str">
        <f aca="false">+Equipos!B32</f>
        <v>Arabia Saudita</v>
      </c>
      <c r="BE36" s="117" t="n">
        <f aca="false">+BG36*3+BH36+IF($AZ$3="no",0,INDEX($AZ$6:$AZ$97,MATCH(BD36,$AY$6:$AY$97,0)))</f>
        <v>1</v>
      </c>
      <c r="BF36" s="117" t="n">
        <f aca="false">+BG36+BH36+BI36</f>
        <v>1</v>
      </c>
      <c r="BG36" s="117" t="n">
        <f aca="false">+COUNTIFS(FGLocal,BD36,Ganador,"Local")+COUNTIFS(FGVisitante,BD36,Ganador,"Visitante")</f>
        <v>0</v>
      </c>
      <c r="BH36" s="117" t="n">
        <f aca="false">+COUNTIFS(FGLocal,BD36,Ganador,"Empate")+COUNTIFS(FGVisitante,BD36,Ganador,"Empate")</f>
        <v>1</v>
      </c>
      <c r="BI36" s="117" t="n">
        <f aca="false">+COUNTIFS(FGVisitante,BD36,Ganador,"Local")+COUNTIFS(FGLocal,BD36,Ganador,"Visitante")</f>
        <v>0</v>
      </c>
      <c r="BJ36" s="117" t="n">
        <f aca="false">+SUMIFS(FG_GolesLocal,FGLocal,BD36,Ganador,"&lt;&gt;"&amp;"Pendiente",FG_GolesLocal,"&lt;&gt;"&amp;"",FG_GolesVisitante,"&lt;&gt;"&amp;"")+SUMIFS(FG_GolesVisitante,FGVisitante,BD36,Ganador,"&lt;&gt;"&amp;"Pendiente",FG_GolesLocal,"&lt;&gt;"&amp;"",FG_GolesVisitante,"&lt;&gt;"&amp;"")</f>
        <v>1</v>
      </c>
      <c r="BK36" s="117" t="n">
        <f aca="false">+SUMIFS(FG_GolesLocal,FGVisitante,BD36,Ganador,"&lt;&gt;"&amp;"Pendiente",FG_GolesLocal,"&lt;&gt;"&amp;"",FG_GolesVisitante,"&lt;&gt;"&amp;"")+SUMIFS(FG_GolesVisitante,FGLocal,BD36,Ganador,"&lt;&gt;"&amp;"Pendiente",FG_GolesLocal,"&lt;&gt;"&amp;"",FG_GolesVisitante,"&lt;&gt;"&amp;"")</f>
        <v>1</v>
      </c>
      <c r="BL36" s="117" t="n">
        <f aca="false">+BJ36-BK36</f>
        <v>0</v>
      </c>
      <c r="BM36" s="117" t="str">
        <f aca="false">DD36&amp;BC36</f>
        <v>1H</v>
      </c>
      <c r="BN36" s="117" t="str">
        <f aca="false">DH36&amp;BC36</f>
        <v>1H</v>
      </c>
      <c r="BO36" s="119" t="n">
        <f aca="false">IF(AND($AJ$99=144,BF36&gt;=1),1,0)</f>
        <v>0</v>
      </c>
      <c r="BP36" s="118" t="n">
        <f aca="false">COUNTIFS($BO$6:$BO$53,"&gt;"&amp;BO36,$BC$6:$BC$53,INDEX(T_Equipos[Grupo],MATCH(BD36,T_Equipos[NombreEquipo],0)))+1</f>
        <v>1</v>
      </c>
      <c r="BQ36" s="118" t="str">
        <f aca="false">IF(COUNTIFS($BP$6:$BP$53,BP36,$BC$6:$BC$53,INDEX(T_Equipos[Grupo],MATCH(BD36,T_Equipos[NombreEquipo],0)))=1,"-","P."&amp;BP36&amp;" ("&amp;COUNTIFS($BP$6:$BP$53,BP36,$BC$6:$BC$53,INDEX(T_Equipos[Grupo],MATCH(BD36,T_Equipos[NombreEquipo],0)))&amp;")")</f>
        <v>P.1 (4)</v>
      </c>
      <c r="BR36" s="119" t="n">
        <f aca="false">IF($BQ36="-","-",BE36)</f>
        <v>1</v>
      </c>
      <c r="BS36" s="118" t="n">
        <f aca="false">BP36+COUNTIFS($BQ$6:$BQ$53,BQ36,$BR$6:BR$53,"&gt;"&amp;BR36,$BC$6:$BC$53,INDEX(T_Equipos[Grupo],MATCH(BD36,T_Equipos[NombreEquipo],0)))</f>
        <v>1</v>
      </c>
      <c r="BT36" s="118" t="str">
        <f aca="false">IF(COUNTIFS($BS$6:$BS$53,BS36,$BC$6:$BC$53,INDEX(T_Equipos[Grupo],MATCH(BD36,T_Equipos[NombreEquipo],0)))=1,"-","P."&amp;BS36&amp;" ("&amp;COUNTIFS($BS$6:$BS$53,BS36,$BC$6:$BC$53,INDEX(T_Equipos[Grupo],MATCH(BD36,T_Equipos[NombreEquipo],0)))&amp;")")</f>
        <v>P.1 (4)</v>
      </c>
      <c r="BU36" s="119" t="n">
        <f aca="false">IF($BT36="-","-",COUNTIFS(FGLocal,$BD36,Ganador,"Local",Part1Empate1V,$BT36)+COUNTIFS(FGVisitante,$BD36,Ganador,"Visitante",Part1Empate1L,$BT36))</f>
        <v>0</v>
      </c>
      <c r="BV36" s="119" t="n">
        <f aca="false">IF($BT36="-","-",COUNTIFS(FGLocal,$BD36,Ganador,"Empate",Part1Empate1V,$BT36)+COUNTIFS(FGVisitante,$BD36,Ganador,"Empate",Part1Empate1L,$BT36))</f>
        <v>1</v>
      </c>
      <c r="BW36" s="119" t="n">
        <f aca="false">IF($BT36="-","-",COUNTIFS(FGLocal,$BD36,Ganador,"Visitante",Part1Empate1V,$BT36)+COUNTIFS(FGVisitante,$BD36,Ganador,"Local",Part1Empate1L,$BT36))</f>
        <v>0</v>
      </c>
      <c r="BX36" s="119" t="n">
        <f aca="false">IF($BT36="-","-",BU36*3+BV36)</f>
        <v>1</v>
      </c>
      <c r="BY36" s="119" t="n">
        <f aca="false">BS36+COUNTIFS($BT$6:$BT$53,BT36,$BX$6:BX$53,"&gt;"&amp;BX36,$BC$6:$BC$53,INDEX(T_Equipos[Grupo],MATCH(BD36,T_Equipos[NombreEquipo],0)))</f>
        <v>1</v>
      </c>
      <c r="BZ36" s="118" t="str">
        <f aca="false">IF(COUNTIFS($BY$6:$BY$53,BY36,$BC$6:$BC$53,INDEX(T_Equipos[Grupo],MATCH(BD36,T_Equipos[NombreEquipo],0)))=1,"-","P."&amp;BY36&amp;" ("&amp;COUNTIFS($BY$6:$BY$53,BY36,$BC$6:$BC$53,INDEX(T_Equipos[Grupo],MATCH(BD36,T_Equipos[NombreEquipo],0)))&amp;")")</f>
        <v>P.1 (4)</v>
      </c>
      <c r="CA36" s="119" t="n">
        <f aca="false">IF($BZ36="-","-",SUMIFS(FG_GolesLocal,FGLocal,$BD36,Part1Empate2V,$BZ36)+SUMIFS(FG_GolesVisitante,FGVisitante,$BD36,Part1Empate2L,$BZ36))</f>
        <v>1</v>
      </c>
      <c r="CB36" s="119" t="n">
        <f aca="false">IF($BZ36="-","-",SUMIFS(FG_GolesVisitante,FGLocal,$BD36,Part1Empate2V,$BZ36)+SUMIFS(FG_GolesLocal,FGVisitante,$BD36,Part1Empate2L,$BZ36))</f>
        <v>1</v>
      </c>
      <c r="CC36" s="119" t="n">
        <f aca="false">IF($BZ36="-","-",CA36-CB36)</f>
        <v>0</v>
      </c>
      <c r="CD36" s="119" t="n">
        <f aca="false">BY36+COUNTIFS($BZ$6:$BZ$53,BZ36,$CC$6:CC$53,"&gt;"&amp;CC36,$BC$6:$BC$53,INDEX(T_Equipos[Grupo],MATCH(BD36,T_Equipos[NombreEquipo],0)))</f>
        <v>1</v>
      </c>
      <c r="CE36" s="118" t="str">
        <f aca="false">IF(COUNTIFS($CD$6:$CD$53,CD36,$BC$6:$BC$53,INDEX(T_Equipos[Grupo],MATCH(BD36,T_Equipos[NombreEquipo],0)))=1,"-","P."&amp;CD36&amp;" ("&amp;COUNTIFS($CD$6:$CD$53,CD36,$BC$6:$BC$53,INDEX(T_Equipos[Grupo],MATCH(BD36,T_Equipos[NombreEquipo],0)))&amp;")")</f>
        <v>P.1 (4)</v>
      </c>
      <c r="CF36" s="119" t="n">
        <f aca="false">IF($CE36="-","-",SUMIFS(FG_GolesLocal,FGLocal,$BD36,Part1Empate3V,$CE36)+SUMIFS(FG_GolesVisitante,FGVisitante,$BD36,Part1Empate3L,$CE36))</f>
        <v>1</v>
      </c>
      <c r="CG36" s="119" t="n">
        <f aca="false">CD36+COUNTIFS($CE$6:$CE$53,CE36,$CF$6:CF$53,"&gt;"&amp;CF36,$BC$6:$BC$53,INDEX(T_Equipos[Grupo],MATCH(BD36,T_Equipos[NombreEquipo],0)))</f>
        <v>1</v>
      </c>
      <c r="CH36" s="118" t="str">
        <f aca="false">IF(COUNTIFS($CG$6:$CG$53,CG36,$BC$6:$BC$53,INDEX(T_Equipos[Grupo],MATCH(BD36,T_Equipos[NombreEquipo],0)))=1,"-","P."&amp;CG36&amp;" ("&amp;COUNTIFS($CG$6:$CG$53,CG36,$BC$6:$BC$53,INDEX(T_Equipos[Grupo],MATCH(BD36,T_Equipos[NombreEquipo],0)))&amp;")")</f>
        <v>P.1 (2)</v>
      </c>
      <c r="CI36" s="119" t="n">
        <f aca="false">IF($CH36="-","-",COUNTIFS(FGLocal,$BD36,Ganador,"Local",Part2Empate4V,$CH36)+COUNTIFS(FGVisitante,$BD36,Ganador,"Visitante",Part2Empate4L,$CH36))</f>
        <v>0</v>
      </c>
      <c r="CJ36" s="119" t="n">
        <f aca="false">IF($CH36="-","-",COUNTIFS(FGLocal,$BD36,Ganador,"Empate",Part2Empate4V,$CH36)+COUNTIFS(FGVisitante,$BD36,Ganador,"Empate",Part2Empate4L,$CH36))</f>
        <v>1</v>
      </c>
      <c r="CK36" s="119" t="n">
        <f aca="false">IF($CH36="-","-",COUNTIFS(FGLocal,$BD36,Ganador,"Visitante",Part2Empate4V,$CH36)+COUNTIFS(FGVisitante,$BD36,Ganador,"Local",Part2Empate4L,$CH36))</f>
        <v>0</v>
      </c>
      <c r="CL36" s="119" t="n">
        <f aca="false">IF($CH36="-","-",CI36*3+CJ36)</f>
        <v>1</v>
      </c>
      <c r="CM36" s="119" t="n">
        <f aca="false">CG36+COUNTIFS($CH$6:$CH$53,CH36,$CL$6:CL$53,"&gt;"&amp;CL36,$BC$6:$BC$53,INDEX(T_Equipos[Grupo],MATCH(BD36,T_Equipos[NombreEquipo],0)))</f>
        <v>1</v>
      </c>
      <c r="CN36" s="118" t="str">
        <f aca="false">IF(COUNTIFS($CM$6:$CM$53,CM36,$BC$6:$BC$53,INDEX(T_Equipos[Grupo],MATCH(BD36,T_Equipos[NombreEquipo],0)))=1,"-","P."&amp;CM36&amp;" ("&amp;COUNTIFS($CM$6:$CM$53,CM36,$BC$6:$BC$53,INDEX(T_Equipos[Grupo],MATCH(BD36,T_Equipos[NombreEquipo],0)))&amp;")")</f>
        <v>P.1 (2)</v>
      </c>
      <c r="CO36" s="119" t="n">
        <f aca="false">IF($CN36="-","-",SUMIFS(FG_GolesLocal,FGLocal,$BD36,Part2Empate5V,$CN36)+SUMIFS(FG_GolesVisitante,FGVisitante,$BD36,Part2Empate5L,$CN36))</f>
        <v>1</v>
      </c>
      <c r="CP36" s="119" t="n">
        <f aca="false">IF($CN36="-","-",SUMIFS(FG_GolesVisitante,FGLocal,$BD36,Part2Empate5V,$CN36)+SUMIFS(FG_GolesLocal,FGVisitante,$BD36,Part2Empate5L,$CN36))</f>
        <v>1</v>
      </c>
      <c r="CQ36" s="119" t="n">
        <f aca="false">IF($CN36="-","-",CO36-CP36)</f>
        <v>0</v>
      </c>
      <c r="CR36" s="119" t="n">
        <f aca="false">CM36+COUNTIFS($CN$6:$CN$53,CN36,$CQ$6:CQ$53,"&gt;"&amp;CQ36,$BC$6:$BC$53,INDEX(T_Equipos[Grupo],MATCH(BD36,T_Equipos[NombreEquipo],0)))</f>
        <v>1</v>
      </c>
      <c r="CS36" s="118" t="str">
        <f aca="false">IF(COUNTIFS($CR$6:$CR$53,CR36,$BC$6:$BC$53,INDEX(T_Equipos[Grupo],MATCH(BD36,T_Equipos[NombreEquipo],0)))=1,"-","P."&amp;CR36&amp;" ("&amp;COUNTIFS($CR$6:$CR$53,CR36,$BC$6:$BC$53,INDEX(T_Equipos[Grupo],MATCH(BD36,T_Equipos[NombreEquipo],0)))&amp;")")</f>
        <v>P.1 (2)</v>
      </c>
      <c r="CT36" s="119" t="n">
        <f aca="false">IF($CS36="-","-",SUMIFS(FG_GolesLocal,FGLocal,$BD36,Part2Empate6V,$CS36)+SUMIFS(FG_GolesVisitante,FGVisitante,$BD36,Part2Empate6L,$CS36))</f>
        <v>1</v>
      </c>
      <c r="CU36" s="119" t="n">
        <f aca="false">CR36+COUNTIFS($CS$6:$CS$53,CS36,$CT$6:CT$53,"&gt;"&amp;CT36,$BC$6:$BC$53,INDEX(T_Equipos[Grupo],MATCH(BD36,T_Equipos[NombreEquipo],0)))</f>
        <v>1</v>
      </c>
      <c r="CV36" s="118" t="str">
        <f aca="false">IF(COUNTIFS($CU$6:$CU$53,CU36,$BC$6:$BC$53,INDEX(T_Equipos[Grupo],MATCH(BD36,T_Equipos[NombreEquipo],0)))=1,"-","P."&amp;CU36&amp;" ("&amp;COUNTIFS($CU$6:$CU$53,CU36,$BC$6:$BC$53,INDEX(T_Equipos[Grupo],MATCH(BD36,T_Equipos[NombreEquipo],0)))&amp;")")</f>
        <v>P.1 (2)</v>
      </c>
      <c r="CW36" s="118" t="n">
        <f aca="false">IF(CV36="-","-",BL36)</f>
        <v>0</v>
      </c>
      <c r="CX36" s="118" t="n">
        <f aca="false">CU36+COUNTIFS($CV$6:$CV$53,CV36,$CW$6:CW$53,"&gt;"&amp;CW36,$BC$6:$BC$53,INDEX(T_Equipos[Grupo],MATCH(BD36,T_Equipos[NombreEquipo],0)))</f>
        <v>1</v>
      </c>
      <c r="CY36" s="118" t="str">
        <f aca="false">IF(COUNTIFS($CX$6:$CX$53,CX36,$BC$6:$BC$53,INDEX(T_Equipos[Grupo],MATCH(BD36,T_Equipos[NombreEquipo],0)))=1,"-","P."&amp;CX36&amp;" ("&amp;COUNTIFS($CX$6:$CX$53,CX36,$BC$6:$BC$53,INDEX(T_Equipos[Grupo],MATCH(BD36,T_Equipos[NombreEquipo],0)))&amp;")")</f>
        <v>P.1 (2)</v>
      </c>
      <c r="CZ36" s="118" t="n">
        <f aca="false">IF(CY36="-","-",BJ36)</f>
        <v>1</v>
      </c>
      <c r="DA36" s="119" t="n">
        <f aca="false">CX36+COUNTIFS($CY$6:$CY$53,CY36,$CZ$6:CZ$53,"&gt;"&amp;CZ36,$BC$6:$BC$53,INDEX(T_Equipos[Grupo],MATCH(BD36,T_Equipos[NombreEquipo],0)))</f>
        <v>1</v>
      </c>
      <c r="DB36" s="118" t="str">
        <f aca="false">IF(COUNTIFS($DA$6:$DA$53,DA36,$BC$6:$BC$53,INDEX(T_Equipos[Grupo],MATCH(BD36,T_Equipos[NombreEquipo],0)))=1,"-","P."&amp;DA36&amp;" ("&amp;COUNTIFS($DA$6:$DA$53,DA36,$BC$6:$BC$53,INDEX(T_Equipos[Grupo],MATCH(BD36,T_Equipos[NombreEquipo],0)))&amp;")")</f>
        <v>P.1 (2)</v>
      </c>
      <c r="DC36" s="116" t="n">
        <f aca="false">IF(DB36="-","-",COUNTIFS(T_Equipos[Rank],"&lt;"&amp;INDEX(T_Equipos[Rank],MATCH(BD36,T_Equipos[NombreEquipo],0)),$BC$6:$BC$53,INDEX(T_Equipos[Grupo],MATCH(BD36,T_Equipos[NombreEquipo],0)))+1)</f>
        <v>3</v>
      </c>
      <c r="DD36" s="116" t="n">
        <f aca="false">DA36+COUNTIFS($DB$6:$DB$53,DB36,$DC$6:DC$53,"&lt;"&amp;DC36,$BC$6:$BC$53,INDEX(T_Equipos[Grupo],MATCH(BD36,T_Equipos[NombreEquipo],0)))</f>
        <v>1</v>
      </c>
      <c r="DE36" s="116"/>
      <c r="DF36" s="116" t="n">
        <f aca="false">IF(OR(INDEX($AW$6:$AW$97,MATCH($BD36,$AV$6:$AV$97,0))="",DB36="-"),DD36,INDEX($AW$6:$AW$97,MATCH($BD36,$AV$6:$AV$97,0))+DD36/1000)</f>
        <v>1</v>
      </c>
      <c r="DG36" s="116" t="n">
        <f aca="false">IF(DB36="-","-",COUNTIFS(DF$6:DF$53,"&lt;"&amp;DF36,$BC$6:$BC$53,INDEX(T_Equipos[Grupo],MATCH(BD36,T_Equipos[NombreEquipo],0))))</f>
        <v>0</v>
      </c>
      <c r="DH36" s="116" t="n">
        <f aca="false">DA36+COUNTIFS(DB$6:DB$53,DB36,DG$6:DG$53,"&lt;"&amp;DG36,$BC$6:$BC$53,INDEX(T_Equipos[Grupo],MATCH(BD36,T_Equipos[NombreEquipo],0)))</f>
        <v>1</v>
      </c>
      <c r="DI36" s="55"/>
      <c r="DJ36" s="55" t="n">
        <f aca="false">INDEX($DA$6:$DA$53,MATCH($DQ36,$BD$6:$BD$53,0))</f>
        <v>3</v>
      </c>
      <c r="DK36" s="55" t="n">
        <f aca="false">+SUMIF($BC$6:$BC$53,BC36,$BF$6:$BF$53)</f>
        <v>4</v>
      </c>
      <c r="DL36" s="55" t="n">
        <f aca="false">IF(OR(DK36=12,$AJ$99=144),COUNTIFS($DJ$6:$DJ$53,DJ36,$BC$6:$BC$53,BC36),1)</f>
        <v>1</v>
      </c>
      <c r="DM36" s="120" t="str">
        <f aca="false">DJ36&amp;"."&amp;DL36</f>
        <v>3.1</v>
      </c>
      <c r="DN36" s="55" t="n">
        <f aca="true" t="array" ref="DN36:DN36">OFFSET(Horarios!$P$3,DJ36-1,0,DL36,1)</f>
        <v>3</v>
      </c>
      <c r="DO36" s="55"/>
      <c r="DP36" s="55" t="s">
        <v>112</v>
      </c>
      <c r="DQ36" s="55" t="str">
        <f aca="false">INDEX($BD$6:$BD$53,MATCH(DP36,$BM$6:$BM$53,0))</f>
        <v>España</v>
      </c>
      <c r="DR36" s="55"/>
      <c r="DS36" s="55"/>
      <c r="DT36" s="55" t="str">
        <f aca="false">AA36&amp;"-"&amp;AF36</f>
        <v>Alemania-Curazao</v>
      </c>
      <c r="DU36" s="55"/>
      <c r="DV36" s="55"/>
      <c r="DW36" s="57"/>
    </row>
    <row r="37" customFormat="false" ht="15.75" hidden="false" customHeight="true" outlineLevel="0" collapsed="false">
      <c r="A37" s="92" t="str">
        <f aca="false">+Equipos!B18</f>
        <v>Alemania</v>
      </c>
      <c r="B37" s="72"/>
      <c r="C37" s="72"/>
      <c r="D37" s="55" t="str">
        <f aca="false">IF(OR(AC37="",AD37=""),"Pendiente",IF(AC37&gt;AD37,"Local",IF(AC37&lt;AD37,"Visitante","Empate")))</f>
        <v>Local</v>
      </c>
      <c r="E37" s="55" t="str">
        <f aca="false">IF(D37="Pendiente","-",INDEX($BT$6:$BT$53,MATCH($AA37,$BD$6:$BD$53,0)))</f>
        <v>P.1 (2)</v>
      </c>
      <c r="F37" s="55" t="str">
        <f aca="false">IF(D37="Pendiente","-",INDEX($BT$6:$BT$53,MATCH($AF37,$BD$6:$BD$53,0)))</f>
        <v>P.3 (2)</v>
      </c>
      <c r="G37" s="55"/>
      <c r="H37" s="55" t="str">
        <f aca="false">IF(D37="Pendiente","-",INDEX($BZ$6:$BZ$53,MATCH($AA37,$BD$6:$BD$53,0)))</f>
        <v>P.1 (2)</v>
      </c>
      <c r="I37" s="55" t="str">
        <f aca="false">IF(D37="Pendiente","-",INDEX($BZ$6:$BZ$53,MATCH($AF37,$BD$6:$BD$53,0)))</f>
        <v>P.3 (2)</v>
      </c>
      <c r="J37" s="55"/>
      <c r="K37" s="55" t="str">
        <f aca="false">IF(D37="Pendiente","-",INDEX($CE$6:$CE$53,MATCH($AA37,$BD$6:$BD$53,0)))</f>
        <v>P.1 (2)</v>
      </c>
      <c r="L37" s="55" t="str">
        <f aca="false">IF(D37="Pendiente","-",INDEX($CE$6:$CE$53,MATCH($AF37,$BD$6:$BD$53,0)))</f>
        <v>P.3 (2)</v>
      </c>
      <c r="M37" s="55"/>
      <c r="N37" s="55" t="str">
        <f aca="false">IF(D37="Pendiente","-",INDEX($CH$6:$CH$53,MATCH($AA37,$BD$6:$BD$53,0)))</f>
        <v>P.1 (2)</v>
      </c>
      <c r="O37" s="55" t="str">
        <f aca="false">IF(D37="Pendiente","-",INDEX($CH$6:$CH$53,MATCH($AF37,$BD$6:$BD$53,0)))</f>
        <v>P.3 (2)</v>
      </c>
      <c r="P37" s="55"/>
      <c r="Q37" s="55" t="str">
        <f aca="false">IF(D37="Pendiente","-",INDEX($CN$6:$CN$53,MATCH($AA37,$BD$6:$BD$53,0)))</f>
        <v>P.1 (2)</v>
      </c>
      <c r="R37" s="55" t="str">
        <f aca="false">IF(D37="Pendiente","-",INDEX($CN$6:$CN$53,MATCH($AF37,$BD$6:$BD$53,0)))</f>
        <v>P.3 (2)</v>
      </c>
      <c r="S37" s="55"/>
      <c r="T37" s="55" t="str">
        <f aca="false">IF(D37="Pendiente","-",INDEX($CS$6:$CS$53,MATCH($AA37,$BD$6:$BD$53,0)))</f>
        <v>P.1 (2)</v>
      </c>
      <c r="U37" s="55" t="str">
        <f aca="false">IF(D37="Pendiente","-",INDEX($CS$6:$CS$53,MATCH($AF37,$BD$6:$BD$53,0)))</f>
        <v>P.3 (2)</v>
      </c>
      <c r="V37" s="46"/>
      <c r="W37" s="186"/>
      <c r="X37" s="74" t="n">
        <f aca="false">Horarios!C37</f>
        <v>46188.0416666667</v>
      </c>
      <c r="Y37" s="75" t="n">
        <f aca="false">Horarios!C37</f>
        <v>46188.0416666667</v>
      </c>
      <c r="Z37" s="76" t="str">
        <f aca="false">$Z$4</f>
        <v>J1</v>
      </c>
      <c r="AA37" s="77" t="str">
        <f aca="false">A39</f>
        <v>Costa de Marfil</v>
      </c>
      <c r="AB37" s="165" t="str">
        <f aca="true" t="array" ref="AB37:AB37">Ver_flag_local</f>
        <v/>
      </c>
      <c r="AC37" s="79" t="n">
        <v>1</v>
      </c>
      <c r="AD37" s="80" t="n">
        <v>0</v>
      </c>
      <c r="AE37" s="81" t="str">
        <f aca="true" t="array" ref="AE37:AE37">Ver_flag_visit</f>
        <v/>
      </c>
      <c r="AF37" s="82" t="str">
        <f aca="false">A40</f>
        <v>Ecuador</v>
      </c>
      <c r="AG37" s="83" t="n">
        <f aca="false">IF(NOT(OR(ISBLANK(AC37),ISBLANK(AD37))),1,0)</f>
        <v>1</v>
      </c>
      <c r="AH37" s="84" t="n">
        <v>9</v>
      </c>
      <c r="AI37" s="85"/>
      <c r="AJ37" s="93" t="str">
        <f aca="false">AJ5</f>
        <v>Pos</v>
      </c>
      <c r="AK37" s="94"/>
      <c r="AL37" s="95" t="str">
        <f aca="false">AL5</f>
        <v>Selección</v>
      </c>
      <c r="AM37" s="94" t="str">
        <f aca="false">AM5</f>
        <v>Pts</v>
      </c>
      <c r="AN37" s="94" t="str">
        <f aca="false">AN5</f>
        <v>J</v>
      </c>
      <c r="AO37" s="94" t="str">
        <f aca="false">AO5</f>
        <v>G</v>
      </c>
      <c r="AP37" s="94" t="str">
        <f aca="false">AP5</f>
        <v>E</v>
      </c>
      <c r="AQ37" s="94" t="str">
        <f aca="false">AQ5</f>
        <v>P</v>
      </c>
      <c r="AR37" s="94" t="str">
        <f aca="false">AR5</f>
        <v>GF</v>
      </c>
      <c r="AS37" s="94" t="str">
        <f aca="false">AS5</f>
        <v>GC</v>
      </c>
      <c r="AT37" s="96" t="str">
        <f aca="false">AT5</f>
        <v>DG</v>
      </c>
      <c r="AU37" s="161" t="n">
        <f aca="false">COUNTIF(AU38:AU41,"&gt;1")</f>
        <v>0</v>
      </c>
      <c r="AV37" s="97"/>
      <c r="AW37" s="97"/>
      <c r="AX37" s="168"/>
      <c r="AY37" s="98" t="str">
        <f aca="false">AL37</f>
        <v>Selección</v>
      </c>
      <c r="AZ37" s="99" t="str">
        <f aca="false">+Idiomas!$D$69</f>
        <v>Puntos penalizados</v>
      </c>
      <c r="BA37" s="49"/>
      <c r="BB37" s="55"/>
      <c r="BC37" s="116" t="str">
        <f aca="false">+INDEX(T_Equipos[Grupo],MATCH(WORLDCUP!BD37,T_Equipos[NombreEquipo],0))</f>
        <v>H</v>
      </c>
      <c r="BD37" s="55" t="str">
        <f aca="false">+Equipos!B33</f>
        <v>Uruguay</v>
      </c>
      <c r="BE37" s="117" t="n">
        <f aca="false">+BG37*3+BH37+IF($AZ$3="no",0,INDEX($AZ$6:$AZ$97,MATCH(BD37,$AY$6:$AY$97,0)))</f>
        <v>1</v>
      </c>
      <c r="BF37" s="117" t="n">
        <f aca="false">+BG37+BH37+BI37</f>
        <v>1</v>
      </c>
      <c r="BG37" s="117" t="n">
        <f aca="false">+COUNTIFS(FGLocal,BD37,Ganador,"Local")+COUNTIFS(FGVisitante,BD37,Ganador,"Visitante")</f>
        <v>0</v>
      </c>
      <c r="BH37" s="117" t="n">
        <f aca="false">+COUNTIFS(FGLocal,BD37,Ganador,"Empate")+COUNTIFS(FGVisitante,BD37,Ganador,"Empate")</f>
        <v>1</v>
      </c>
      <c r="BI37" s="117" t="n">
        <f aca="false">+COUNTIFS(FGVisitante,BD37,Ganador,"Local")+COUNTIFS(FGLocal,BD37,Ganador,"Visitante")</f>
        <v>0</v>
      </c>
      <c r="BJ37" s="117" t="n">
        <f aca="false">+SUMIFS(FG_GolesLocal,FGLocal,BD37,Ganador,"&lt;&gt;"&amp;"Pendiente",FG_GolesLocal,"&lt;&gt;"&amp;"",FG_GolesVisitante,"&lt;&gt;"&amp;"")+SUMIFS(FG_GolesVisitante,FGVisitante,BD37,Ganador,"&lt;&gt;"&amp;"Pendiente",FG_GolesLocal,"&lt;&gt;"&amp;"",FG_GolesVisitante,"&lt;&gt;"&amp;"")</f>
        <v>1</v>
      </c>
      <c r="BK37" s="117" t="n">
        <f aca="false">+SUMIFS(FG_GolesLocal,FGVisitante,BD37,Ganador,"&lt;&gt;"&amp;"Pendiente",FG_GolesLocal,"&lt;&gt;"&amp;"",FG_GolesVisitante,"&lt;&gt;"&amp;"")+SUMIFS(FG_GolesVisitante,FGLocal,BD37,Ganador,"&lt;&gt;"&amp;"Pendiente",FG_GolesLocal,"&lt;&gt;"&amp;"",FG_GolesVisitante,"&lt;&gt;"&amp;"")</f>
        <v>1</v>
      </c>
      <c r="BL37" s="117" t="n">
        <f aca="false">+BJ37-BK37</f>
        <v>0</v>
      </c>
      <c r="BM37" s="117" t="str">
        <f aca="false">DD37&amp;BC37</f>
        <v>2H</v>
      </c>
      <c r="BN37" s="117" t="str">
        <f aca="false">DH37&amp;BC37</f>
        <v>2H</v>
      </c>
      <c r="BO37" s="119" t="n">
        <f aca="false">IF(AND($AJ$99=144,BF37&gt;=1),1,0)</f>
        <v>0</v>
      </c>
      <c r="BP37" s="118" t="n">
        <f aca="false">COUNTIFS($BO$6:$BO$53,"&gt;"&amp;BO37,$BC$6:$BC$53,INDEX(T_Equipos[Grupo],MATCH(BD37,T_Equipos[NombreEquipo],0)))+1</f>
        <v>1</v>
      </c>
      <c r="BQ37" s="118" t="str">
        <f aca="false">IF(COUNTIFS($BP$6:$BP$53,BP37,$BC$6:$BC$53,INDEX(T_Equipos[Grupo],MATCH(BD37,T_Equipos[NombreEquipo],0)))=1,"-","P."&amp;BP37&amp;" ("&amp;COUNTIFS($BP$6:$BP$53,BP37,$BC$6:$BC$53,INDEX(T_Equipos[Grupo],MATCH(BD37,T_Equipos[NombreEquipo],0)))&amp;")")</f>
        <v>P.1 (4)</v>
      </c>
      <c r="BR37" s="119" t="n">
        <f aca="false">IF($BQ37="-","-",BE37)</f>
        <v>1</v>
      </c>
      <c r="BS37" s="118" t="n">
        <f aca="false">BP37+COUNTIFS($BQ$6:$BQ$53,BQ37,$BR$6:BR$53,"&gt;"&amp;BR37,$BC$6:$BC$53,INDEX(T_Equipos[Grupo],MATCH(BD37,T_Equipos[NombreEquipo],0)))</f>
        <v>1</v>
      </c>
      <c r="BT37" s="118" t="str">
        <f aca="false">IF(COUNTIFS($BS$6:$BS$53,BS37,$BC$6:$BC$53,INDEX(T_Equipos[Grupo],MATCH(BD37,T_Equipos[NombreEquipo],0)))=1,"-","P."&amp;BS37&amp;" ("&amp;COUNTIFS($BS$6:$BS$53,BS37,$BC$6:$BC$53,INDEX(T_Equipos[Grupo],MATCH(BD37,T_Equipos[NombreEquipo],0)))&amp;")")</f>
        <v>P.1 (4)</v>
      </c>
      <c r="BU37" s="119" t="n">
        <f aca="false">IF($BT37="-","-",COUNTIFS(FGLocal,$BD37,Ganador,"Local",Part1Empate1V,$BT37)+COUNTIFS(FGVisitante,$BD37,Ganador,"Visitante",Part1Empate1L,$BT37))</f>
        <v>0</v>
      </c>
      <c r="BV37" s="119" t="n">
        <f aca="false">IF($BT37="-","-",COUNTIFS(FGLocal,$BD37,Ganador,"Empate",Part1Empate1V,$BT37)+COUNTIFS(FGVisitante,$BD37,Ganador,"Empate",Part1Empate1L,$BT37))</f>
        <v>1</v>
      </c>
      <c r="BW37" s="119" t="n">
        <f aca="false">IF($BT37="-","-",COUNTIFS(FGLocal,$BD37,Ganador,"Visitante",Part1Empate1V,$BT37)+COUNTIFS(FGVisitante,$BD37,Ganador,"Local",Part1Empate1L,$BT37))</f>
        <v>0</v>
      </c>
      <c r="BX37" s="119" t="n">
        <f aca="false">IF($BT37="-","-",BU37*3+BV37)</f>
        <v>1</v>
      </c>
      <c r="BY37" s="119" t="n">
        <f aca="false">BS37+COUNTIFS($BT$6:$BT$53,BT37,$BX$6:BX$53,"&gt;"&amp;BX37,$BC$6:$BC$53,INDEX(T_Equipos[Grupo],MATCH(BD37,T_Equipos[NombreEquipo],0)))</f>
        <v>1</v>
      </c>
      <c r="BZ37" s="118" t="str">
        <f aca="false">IF(COUNTIFS($BY$6:$BY$53,BY37,$BC$6:$BC$53,INDEX(T_Equipos[Grupo],MATCH(BD37,T_Equipos[NombreEquipo],0)))=1,"-","P."&amp;BY37&amp;" ("&amp;COUNTIFS($BY$6:$BY$53,BY37,$BC$6:$BC$53,INDEX(T_Equipos[Grupo],MATCH(BD37,T_Equipos[NombreEquipo],0)))&amp;")")</f>
        <v>P.1 (4)</v>
      </c>
      <c r="CA37" s="119" t="n">
        <f aca="false">IF($BZ37="-","-",SUMIFS(FG_GolesLocal,FGLocal,$BD37,Part1Empate2V,$BZ37)+SUMIFS(FG_GolesVisitante,FGVisitante,$BD37,Part1Empate2L,$BZ37))</f>
        <v>1</v>
      </c>
      <c r="CB37" s="119" t="n">
        <f aca="false">IF($BZ37="-","-",SUMIFS(FG_GolesVisitante,FGLocal,$BD37,Part1Empate2V,$BZ37)+SUMIFS(FG_GolesLocal,FGVisitante,$BD37,Part1Empate2L,$BZ37))</f>
        <v>1</v>
      </c>
      <c r="CC37" s="119" t="n">
        <f aca="false">IF($BZ37="-","-",CA37-CB37)</f>
        <v>0</v>
      </c>
      <c r="CD37" s="119" t="n">
        <f aca="false">BY37+COUNTIFS($BZ$6:$BZ$53,BZ37,$CC$6:CC$53,"&gt;"&amp;CC37,$BC$6:$BC$53,INDEX(T_Equipos[Grupo],MATCH(BD37,T_Equipos[NombreEquipo],0)))</f>
        <v>1</v>
      </c>
      <c r="CE37" s="118" t="str">
        <f aca="false">IF(COUNTIFS($CD$6:$CD$53,CD37,$BC$6:$BC$53,INDEX(T_Equipos[Grupo],MATCH(BD37,T_Equipos[NombreEquipo],0)))=1,"-","P."&amp;CD37&amp;" ("&amp;COUNTIFS($CD$6:$CD$53,CD37,$BC$6:$BC$53,INDEX(T_Equipos[Grupo],MATCH(BD37,T_Equipos[NombreEquipo],0)))&amp;")")</f>
        <v>P.1 (4)</v>
      </c>
      <c r="CF37" s="119" t="n">
        <f aca="false">IF($CE37="-","-",SUMIFS(FG_GolesLocal,FGLocal,$BD37,Part1Empate3V,$CE37)+SUMIFS(FG_GolesVisitante,FGVisitante,$BD37,Part1Empate3L,$CE37))</f>
        <v>1</v>
      </c>
      <c r="CG37" s="119" t="n">
        <f aca="false">CD37+COUNTIFS($CE$6:$CE$53,CE37,$CF$6:CF$53,"&gt;"&amp;CF37,$BC$6:$BC$53,INDEX(T_Equipos[Grupo],MATCH(BD37,T_Equipos[NombreEquipo],0)))</f>
        <v>1</v>
      </c>
      <c r="CH37" s="118" t="str">
        <f aca="false">IF(COUNTIFS($CG$6:$CG$53,CG37,$BC$6:$BC$53,INDEX(T_Equipos[Grupo],MATCH(BD37,T_Equipos[NombreEquipo],0)))=1,"-","P."&amp;CG37&amp;" ("&amp;COUNTIFS($CG$6:$CG$53,CG37,$BC$6:$BC$53,INDEX(T_Equipos[Grupo],MATCH(BD37,T_Equipos[NombreEquipo],0)))&amp;")")</f>
        <v>P.1 (2)</v>
      </c>
      <c r="CI37" s="119" t="n">
        <f aca="false">IF($CH37="-","-",COUNTIFS(FGLocal,$BD37,Ganador,"Local",Part2Empate4V,$CH37)+COUNTIFS(FGVisitante,$BD37,Ganador,"Visitante",Part2Empate4L,$CH37))</f>
        <v>0</v>
      </c>
      <c r="CJ37" s="119" t="n">
        <f aca="false">IF($CH37="-","-",COUNTIFS(FGLocal,$BD37,Ganador,"Empate",Part2Empate4V,$CH37)+COUNTIFS(FGVisitante,$BD37,Ganador,"Empate",Part2Empate4L,$CH37))</f>
        <v>1</v>
      </c>
      <c r="CK37" s="119" t="n">
        <f aca="false">IF($CH37="-","-",COUNTIFS(FGLocal,$BD37,Ganador,"Visitante",Part2Empate4V,$CH37)+COUNTIFS(FGVisitante,$BD37,Ganador,"Local",Part2Empate4L,$CH37))</f>
        <v>0</v>
      </c>
      <c r="CL37" s="119" t="n">
        <f aca="false">IF($CH37="-","-",CI37*3+CJ37)</f>
        <v>1</v>
      </c>
      <c r="CM37" s="119" t="n">
        <f aca="false">CG37+COUNTIFS($CH$6:$CH$53,CH37,$CL$6:CL$53,"&gt;"&amp;CL37,$BC$6:$BC$53,INDEX(T_Equipos[Grupo],MATCH(BD37,T_Equipos[NombreEquipo],0)))</f>
        <v>1</v>
      </c>
      <c r="CN37" s="118" t="str">
        <f aca="false">IF(COUNTIFS($CM$6:$CM$53,CM37,$BC$6:$BC$53,INDEX(T_Equipos[Grupo],MATCH(BD37,T_Equipos[NombreEquipo],0)))=1,"-","P."&amp;CM37&amp;" ("&amp;COUNTIFS($CM$6:$CM$53,CM37,$BC$6:$BC$53,INDEX(T_Equipos[Grupo],MATCH(BD37,T_Equipos[NombreEquipo],0)))&amp;")")</f>
        <v>P.1 (2)</v>
      </c>
      <c r="CO37" s="119" t="n">
        <f aca="false">IF($CN37="-","-",SUMIFS(FG_GolesLocal,FGLocal,$BD37,Part2Empate5V,$CN37)+SUMIFS(FG_GolesVisitante,FGVisitante,$BD37,Part2Empate5L,$CN37))</f>
        <v>1</v>
      </c>
      <c r="CP37" s="119" t="n">
        <f aca="false">IF($CN37="-","-",SUMIFS(FG_GolesVisitante,FGLocal,$BD37,Part2Empate5V,$CN37)+SUMIFS(FG_GolesLocal,FGVisitante,$BD37,Part2Empate5L,$CN37))</f>
        <v>1</v>
      </c>
      <c r="CQ37" s="119" t="n">
        <f aca="false">IF($CN37="-","-",CO37-CP37)</f>
        <v>0</v>
      </c>
      <c r="CR37" s="119" t="n">
        <f aca="false">CM37+COUNTIFS($CN$6:$CN$53,CN37,$CQ$6:CQ$53,"&gt;"&amp;CQ37,$BC$6:$BC$53,INDEX(T_Equipos[Grupo],MATCH(BD37,T_Equipos[NombreEquipo],0)))</f>
        <v>1</v>
      </c>
      <c r="CS37" s="118" t="str">
        <f aca="false">IF(COUNTIFS($CR$6:$CR$53,CR37,$BC$6:$BC$53,INDEX(T_Equipos[Grupo],MATCH(BD37,T_Equipos[NombreEquipo],0)))=1,"-","P."&amp;CR37&amp;" ("&amp;COUNTIFS($CR$6:$CR$53,CR37,$BC$6:$BC$53,INDEX(T_Equipos[Grupo],MATCH(BD37,T_Equipos[NombreEquipo],0)))&amp;")")</f>
        <v>P.1 (2)</v>
      </c>
      <c r="CT37" s="119" t="n">
        <f aca="false">IF($CS37="-","-",SUMIFS(FG_GolesLocal,FGLocal,$BD37,Part2Empate6V,$CS37)+SUMIFS(FG_GolesVisitante,FGVisitante,$BD37,Part2Empate6L,$CS37))</f>
        <v>1</v>
      </c>
      <c r="CU37" s="119" t="n">
        <f aca="false">CR37+COUNTIFS($CS$6:$CS$53,CS37,$CT$6:CT$53,"&gt;"&amp;CT37,$BC$6:$BC$53,INDEX(T_Equipos[Grupo],MATCH(BD37,T_Equipos[NombreEquipo],0)))</f>
        <v>1</v>
      </c>
      <c r="CV37" s="118" t="str">
        <f aca="false">IF(COUNTIFS($CU$6:$CU$53,CU37,$BC$6:$BC$53,INDEX(T_Equipos[Grupo],MATCH(BD37,T_Equipos[NombreEquipo],0)))=1,"-","P."&amp;CU37&amp;" ("&amp;COUNTIFS($CU$6:$CU$53,CU37,$BC$6:$BC$53,INDEX(T_Equipos[Grupo],MATCH(BD37,T_Equipos[NombreEquipo],0)))&amp;")")</f>
        <v>P.1 (2)</v>
      </c>
      <c r="CW37" s="118" t="n">
        <f aca="false">IF(CV37="-","-",BL37)</f>
        <v>0</v>
      </c>
      <c r="CX37" s="118" t="n">
        <f aca="false">CU37+COUNTIFS($CV$6:$CV$53,CV37,$CW$6:CW$53,"&gt;"&amp;CW37,$BC$6:$BC$53,INDEX(T_Equipos[Grupo],MATCH(BD37,T_Equipos[NombreEquipo],0)))</f>
        <v>1</v>
      </c>
      <c r="CY37" s="118" t="str">
        <f aca="false">IF(COUNTIFS($CX$6:$CX$53,CX37,$BC$6:$BC$53,INDEX(T_Equipos[Grupo],MATCH(BD37,T_Equipos[NombreEquipo],0)))=1,"-","P."&amp;CX37&amp;" ("&amp;COUNTIFS($CX$6:$CX$53,CX37,$BC$6:$BC$53,INDEX(T_Equipos[Grupo],MATCH(BD37,T_Equipos[NombreEquipo],0)))&amp;")")</f>
        <v>P.1 (2)</v>
      </c>
      <c r="CZ37" s="118" t="n">
        <f aca="false">IF(CY37="-","-",BJ37)</f>
        <v>1</v>
      </c>
      <c r="DA37" s="119" t="n">
        <f aca="false">CX37+COUNTIFS($CY$6:$CY$53,CY37,$CZ$6:CZ$53,"&gt;"&amp;CZ37,$BC$6:$BC$53,INDEX(T_Equipos[Grupo],MATCH(BD37,T_Equipos[NombreEquipo],0)))</f>
        <v>1</v>
      </c>
      <c r="DB37" s="118" t="str">
        <f aca="false">IF(COUNTIFS($DA$6:$DA$53,DA37,$BC$6:$BC$53,INDEX(T_Equipos[Grupo],MATCH(BD37,T_Equipos[NombreEquipo],0)))=1,"-","P."&amp;DA37&amp;" ("&amp;COUNTIFS($DA$6:$DA$53,DA37,$BC$6:$BC$53,INDEX(T_Equipos[Grupo],MATCH(BD37,T_Equipos[NombreEquipo],0)))&amp;")")</f>
        <v>P.1 (2)</v>
      </c>
      <c r="DC37" s="116" t="n">
        <f aca="false">IF(DB37="-","-",COUNTIFS(T_Equipos[Rank],"&lt;"&amp;INDEX(T_Equipos[Rank],MATCH(BD37,T_Equipos[NombreEquipo],0)),$BC$6:$BC$53,INDEX(T_Equipos[Grupo],MATCH(BD37,T_Equipos[NombreEquipo],0)))+1)</f>
        <v>4</v>
      </c>
      <c r="DD37" s="116" t="n">
        <f aca="false">DA37+COUNTIFS($DB$6:$DB$53,DB37,$DC$6:DC$53,"&lt;"&amp;DC37,$BC$6:$BC$53,INDEX(T_Equipos[Grupo],MATCH(BD37,T_Equipos[NombreEquipo],0)))</f>
        <v>2</v>
      </c>
      <c r="DE37" s="116"/>
      <c r="DF37" s="116" t="n">
        <f aca="false">IF(OR(INDEX($AW$6:$AW$97,MATCH($BD37,$AV$6:$AV$97,0))="",DB37="-"),DD37,INDEX($AW$6:$AW$97,MATCH($BD37,$AV$6:$AV$97,0))+DD37/1000)</f>
        <v>2</v>
      </c>
      <c r="DG37" s="116" t="n">
        <f aca="false">IF(DB37="-","-",COUNTIFS(DF$6:DF$53,"&lt;"&amp;DF37,$BC$6:$BC$53,INDEX(T_Equipos[Grupo],MATCH(BD37,T_Equipos[NombreEquipo],0))))</f>
        <v>1</v>
      </c>
      <c r="DH37" s="116" t="n">
        <f aca="false">DA37+COUNTIFS(DB$6:DB$53,DB37,DG$6:DG$53,"&lt;"&amp;DG37,$BC$6:$BC$53,INDEX(T_Equipos[Grupo],MATCH(BD37,T_Equipos[NombreEquipo],0)))</f>
        <v>2</v>
      </c>
      <c r="DI37" s="55"/>
      <c r="DJ37" s="55" t="n">
        <f aca="false">INDEX($DA$6:$DA$53,MATCH($DQ37,$BD$6:$BD$53,0))</f>
        <v>3</v>
      </c>
      <c r="DK37" s="55" t="n">
        <f aca="false">+SUMIF($BC$6:$BC$53,BC37,$BF$6:$BF$53)</f>
        <v>4</v>
      </c>
      <c r="DL37" s="55" t="n">
        <f aca="false">IF(OR(DK37=12,$AJ$99=144),COUNTIFS($DJ$6:$DJ$53,DJ37,$BC$6:$BC$53,BC37),1)</f>
        <v>1</v>
      </c>
      <c r="DM37" s="120" t="str">
        <f aca="false">DJ37&amp;"."&amp;DL37</f>
        <v>3.1</v>
      </c>
      <c r="DN37" s="55" t="n">
        <f aca="true" t="array" ref="DN37:DN37">OFFSET(Horarios!$P$3,DJ37-1,0,DL37,1)</f>
        <v>3</v>
      </c>
      <c r="DO37" s="55"/>
      <c r="DP37" s="55" t="s">
        <v>113</v>
      </c>
      <c r="DQ37" s="55" t="str">
        <f aca="false">INDEX($BD$6:$BD$53,MATCH(DP37,$BM$6:$BM$53,0))</f>
        <v>Cabo Verde</v>
      </c>
      <c r="DR37" s="55"/>
      <c r="DS37" s="55"/>
      <c r="DT37" s="55" t="str">
        <f aca="false">AA37&amp;"-"&amp;AF37</f>
        <v>Costa de Marfil-Ecuador</v>
      </c>
      <c r="DU37" s="55"/>
      <c r="DV37" s="55"/>
      <c r="DW37" s="57"/>
    </row>
    <row r="38" customFormat="false" ht="15.75" hidden="false" customHeight="true" outlineLevel="0" collapsed="false">
      <c r="A38" s="92" t="str">
        <f aca="false">+Equipos!B19</f>
        <v>Curazao</v>
      </c>
      <c r="B38" s="72"/>
      <c r="C38" s="103"/>
      <c r="D38" s="55" t="str">
        <f aca="false">IF(OR(AC38="",AD38=""),"Pendiente",IF(AC38&gt;AD38,"Local",IF(AC38&lt;AD38,"Visitante","Empate")))</f>
        <v>Pendiente</v>
      </c>
      <c r="E38" s="55" t="str">
        <f aca="false">IF(D38="Pendiente","-",INDEX($BT$6:$BT$53,MATCH($AA38,$BD$6:$BD$53,0)))</f>
        <v>-</v>
      </c>
      <c r="F38" s="55" t="str">
        <f aca="false">IF(D38="Pendiente","-",INDEX($BT$6:$BT$53,MATCH($AF38,$BD$6:$BD$53,0)))</f>
        <v>-</v>
      </c>
      <c r="G38" s="55"/>
      <c r="H38" s="55" t="str">
        <f aca="false">IF(D38="Pendiente","-",INDEX($BZ$6:$BZ$53,MATCH($AA38,$BD$6:$BD$53,0)))</f>
        <v>-</v>
      </c>
      <c r="I38" s="55" t="str">
        <f aca="false">IF(D38="Pendiente","-",INDEX($BZ$6:$BZ$53,MATCH($AF38,$BD$6:$BD$53,0)))</f>
        <v>-</v>
      </c>
      <c r="J38" s="55"/>
      <c r="K38" s="55" t="str">
        <f aca="false">IF(D38="Pendiente","-",INDEX($CE$6:$CE$53,MATCH($AA38,$BD$6:$BD$53,0)))</f>
        <v>-</v>
      </c>
      <c r="L38" s="55" t="str">
        <f aca="false">IF(D38="Pendiente","-",INDEX($CE$6:$CE$53,MATCH($AF38,$BD$6:$BD$53,0)))</f>
        <v>-</v>
      </c>
      <c r="M38" s="55"/>
      <c r="N38" s="55" t="str">
        <f aca="false">IF(D38="Pendiente","-",INDEX($CH$6:$CH$53,MATCH($AA38,$BD$6:$BD$53,0)))</f>
        <v>-</v>
      </c>
      <c r="O38" s="55" t="str">
        <f aca="false">IF(D38="Pendiente","-",INDEX($CH$6:$CH$53,MATCH($AF38,$BD$6:$BD$53,0)))</f>
        <v>-</v>
      </c>
      <c r="P38" s="55"/>
      <c r="Q38" s="55" t="str">
        <f aca="false">IF(D38="Pendiente","-",INDEX($CN$6:$CN$53,MATCH($AA38,$BD$6:$BD$53,0)))</f>
        <v>-</v>
      </c>
      <c r="R38" s="55" t="str">
        <f aca="false">IF(D38="Pendiente","-",INDEX($CN$6:$CN$53,MATCH($AF38,$BD$6:$BD$53,0)))</f>
        <v>-</v>
      </c>
      <c r="S38" s="55"/>
      <c r="T38" s="55" t="str">
        <f aca="false">IF(D38="Pendiente","-",INDEX($CS$6:$CS$53,MATCH($AA38,$BD$6:$BD$53,0)))</f>
        <v>-</v>
      </c>
      <c r="U38" s="55" t="str">
        <f aca="false">IF(D38="Pendiente","-",INDEX($CS$6:$CS$53,MATCH($AF38,$BD$6:$BD$53,0)))</f>
        <v>-</v>
      </c>
      <c r="V38" s="46"/>
      <c r="W38" s="186"/>
      <c r="X38" s="74" t="n">
        <f aca="false">Horarios!C38</f>
        <v>46193.9166666667</v>
      </c>
      <c r="Y38" s="75" t="n">
        <f aca="false">Horarios!C38</f>
        <v>46193.9166666667</v>
      </c>
      <c r="Z38" s="76" t="str">
        <f aca="false">$Z$6</f>
        <v>J2</v>
      </c>
      <c r="AA38" s="77" t="str">
        <f aca="false">A37</f>
        <v>Alemania</v>
      </c>
      <c r="AB38" s="165" t="str">
        <f aca="true" t="array" ref="AB38:AB38">Ver_flag_local</f>
        <v/>
      </c>
      <c r="AC38" s="79"/>
      <c r="AD38" s="80"/>
      <c r="AE38" s="81" t="str">
        <f aca="true" t="array" ref="AE38:AE38">Ver_flag_visit</f>
        <v/>
      </c>
      <c r="AF38" s="82" t="str">
        <f aca="false">A39</f>
        <v>Costa de Marfil</v>
      </c>
      <c r="AG38" s="83" t="n">
        <f aca="false">IF(NOT(OR(ISBLANK(AC38),ISBLANK(AD38))),1,0)</f>
        <v>0</v>
      </c>
      <c r="AH38" s="84" t="n">
        <v>33</v>
      </c>
      <c r="AI38" s="85" t="str">
        <f aca="false">AJ38&amp;$B$36</f>
        <v>1E</v>
      </c>
      <c r="AJ38" s="104" t="n">
        <v>1</v>
      </c>
      <c r="AK38" s="170" t="str">
        <f aca="true" t="array" ref="AK38:AK38">Ver_flag_visit</f>
        <v/>
      </c>
      <c r="AL38" s="106" t="str">
        <f aca="false">IFERROR(INDEX($BD$6:$BD$53,MATCH(AI38,$BN$6:$BN$53,0)),"")</f>
        <v>Alemania</v>
      </c>
      <c r="AM38" s="107" t="n">
        <f aca="false">INDEX($BE$6:$BN$53,MATCH($AL38,$BD$6:$BD$53,0),MATCH(AM$5,$BE$5:$BN$5,0))</f>
        <v>3</v>
      </c>
      <c r="AN38" s="108" t="n">
        <f aca="false">INDEX($BE$6:$BN$53,MATCH($AL38,$BD$6:$BD$53,0),MATCH(AN$5,$BE$5:$BN$5,0))</f>
        <v>1</v>
      </c>
      <c r="AO38" s="108" t="n">
        <f aca="false">INDEX($BE$6:$BN$53,MATCH($AL38,$BD$6:$BD$53,0),MATCH(AO$5,$BE$5:$BN$5,0))</f>
        <v>1</v>
      </c>
      <c r="AP38" s="108" t="n">
        <f aca="false">INDEX($BE$6:$BN$53,MATCH($AL38,$BD$6:$BD$53,0),MATCH(AP$5,$BE$5:$BN$5,0))</f>
        <v>0</v>
      </c>
      <c r="AQ38" s="108" t="n">
        <f aca="false">INDEX($BE$6:$BN$53,MATCH($AL38,$BD$6:$BD$53,0),MATCH(AQ$5,$BE$5:$BN$5,0))</f>
        <v>0</v>
      </c>
      <c r="AR38" s="108" t="n">
        <f aca="false">INDEX($BE$6:$BN$53,MATCH($AL38,$BD$6:$BD$53,0),MATCH(AR$5,$BE$5:$BN$5,0))</f>
        <v>7</v>
      </c>
      <c r="AS38" s="108" t="n">
        <f aca="false">INDEX($BE$6:$BN$53,MATCH($AL38,$BD$6:$BD$53,0),MATCH(AS$5,$BE$5:$BN$5,0))</f>
        <v>1</v>
      </c>
      <c r="AT38" s="109" t="n">
        <f aca="false">INDEX($BE$6:$BN$53,MATCH($AL38,$BD$6:$BD$53,0),MATCH(AT$5,$BE$5:$BN$5,0))</f>
        <v>6</v>
      </c>
      <c r="AU38" s="110" t="n">
        <f aca="false">INDEX($DL$6:$DL$53,MATCH(AI38,$DP$6:$DP$53,0))</f>
        <v>1</v>
      </c>
      <c r="AV38" s="111" t="str">
        <f aca="false">INDEX($BD$6:$BD$53,MATCH(AI38,$BM$6:$BM$53,0))</f>
        <v>Alemania</v>
      </c>
      <c r="AW38" s="112"/>
      <c r="AX38" s="113"/>
      <c r="AY38" s="114" t="str">
        <f aca="false">+A37</f>
        <v>Alemania</v>
      </c>
      <c r="AZ38" s="115"/>
      <c r="BA38" s="49"/>
      <c r="BB38" s="55"/>
      <c r="BC38" s="116" t="str">
        <f aca="false">+INDEX(T_Equipos[Grupo],MATCH(WORLDCUP!BD38,T_Equipos[NombreEquipo],0))</f>
        <v>I</v>
      </c>
      <c r="BD38" s="55" t="str">
        <f aca="false">+Equipos!B34</f>
        <v>Francia</v>
      </c>
      <c r="BE38" s="117" t="n">
        <f aca="false">+BG38*3+BH38+IF($AZ$3="no",0,INDEX($AZ$6:$AZ$97,MATCH(BD38,$AY$6:$AY$97,0)))</f>
        <v>0</v>
      </c>
      <c r="BF38" s="117" t="n">
        <f aca="false">+BG38+BH38+BI38</f>
        <v>0</v>
      </c>
      <c r="BG38" s="117" t="n">
        <f aca="false">+COUNTIFS(FGLocal,BD38,Ganador,"Local")+COUNTIFS(FGVisitante,BD38,Ganador,"Visitante")</f>
        <v>0</v>
      </c>
      <c r="BH38" s="117" t="n">
        <f aca="false">+COUNTIFS(FGLocal,BD38,Ganador,"Empate")+COUNTIFS(FGVisitante,BD38,Ganador,"Empate")</f>
        <v>0</v>
      </c>
      <c r="BI38" s="117" t="n">
        <f aca="false">+COUNTIFS(FGVisitante,BD38,Ganador,"Local")+COUNTIFS(FGLocal,BD38,Ganador,"Visitante")</f>
        <v>0</v>
      </c>
      <c r="BJ38" s="117" t="n">
        <f aca="false">+SUMIFS(FG_GolesLocal,FGLocal,BD38,Ganador,"&lt;&gt;"&amp;"Pendiente",FG_GolesLocal,"&lt;&gt;"&amp;"",FG_GolesVisitante,"&lt;&gt;"&amp;"")+SUMIFS(FG_GolesVisitante,FGVisitante,BD38,Ganador,"&lt;&gt;"&amp;"Pendiente",FG_GolesLocal,"&lt;&gt;"&amp;"",FG_GolesVisitante,"&lt;&gt;"&amp;"")</f>
        <v>0</v>
      </c>
      <c r="BK38" s="117" t="n">
        <f aca="false">+SUMIFS(FG_GolesLocal,FGVisitante,BD38,Ganador,"&lt;&gt;"&amp;"Pendiente",FG_GolesLocal,"&lt;&gt;"&amp;"",FG_GolesVisitante,"&lt;&gt;"&amp;"")+SUMIFS(FG_GolesVisitante,FGLocal,BD38,Ganador,"&lt;&gt;"&amp;"Pendiente",FG_GolesLocal,"&lt;&gt;"&amp;"",FG_GolesVisitante,"&lt;&gt;"&amp;"")</f>
        <v>0</v>
      </c>
      <c r="BL38" s="117" t="n">
        <f aca="false">+BJ38-BK38</f>
        <v>0</v>
      </c>
      <c r="BM38" s="117" t="str">
        <f aca="false">DD38&amp;BC38</f>
        <v>1I</v>
      </c>
      <c r="BN38" s="117" t="str">
        <f aca="false">DH38&amp;BC38</f>
        <v>1I</v>
      </c>
      <c r="BO38" s="118" t="n">
        <f aca="false">IF(AND($AJ$99=144,BF38&gt;=1),1,0)</f>
        <v>0</v>
      </c>
      <c r="BP38" s="118" t="n">
        <f aca="false">COUNTIFS($BO$6:$BO$53,"&gt;"&amp;BO38,$BC$6:$BC$53,INDEX(T_Equipos[Grupo],MATCH(BD38,T_Equipos[NombreEquipo],0)))+1</f>
        <v>1</v>
      </c>
      <c r="BQ38" s="118" t="str">
        <f aca="false">IF(COUNTIFS($BP$6:$BP$53,BP38,$BC$6:$BC$53,INDEX(T_Equipos[Grupo],MATCH(BD38,T_Equipos[NombreEquipo],0)))=1,"-","P."&amp;BP38&amp;" ("&amp;COUNTIFS($BP$6:$BP$53,BP38,$BC$6:$BC$53,INDEX(T_Equipos[Grupo],MATCH(BD38,T_Equipos[NombreEquipo],0)))&amp;")")</f>
        <v>P.1 (4)</v>
      </c>
      <c r="BR38" s="118" t="n">
        <f aca="false">IF($BQ38="-","-",BE38)</f>
        <v>0</v>
      </c>
      <c r="BS38" s="118" t="n">
        <f aca="false">BP38+COUNTIFS($BQ$6:$BQ$53,BQ38,$BR$6:BR$53,"&gt;"&amp;BR38,$BC$6:$BC$53,INDEX(T_Equipos[Grupo],MATCH(BD38,T_Equipos[NombreEquipo],0)))</f>
        <v>1</v>
      </c>
      <c r="BT38" s="118" t="str">
        <f aca="false">IF(COUNTIFS($BS$6:$BS$53,BS38,$BC$6:$BC$53,INDEX(T_Equipos[Grupo],MATCH(BD38,T_Equipos[NombreEquipo],0)))=1,"-","P."&amp;BS38&amp;" ("&amp;COUNTIFS($BS$6:$BS$53,BS38,$BC$6:$BC$53,INDEX(T_Equipos[Grupo],MATCH(BD38,T_Equipos[NombreEquipo],0)))&amp;")")</f>
        <v>P.1 (4)</v>
      </c>
      <c r="BU38" s="119" t="n">
        <f aca="false">IF($BT38="-","-",COUNTIFS(FGLocal,$BD38,Ganador,"Local",Part1Empate1V,$BT38)+COUNTIFS(FGVisitante,$BD38,Ganador,"Visitante",Part1Empate1L,$BT38))</f>
        <v>0</v>
      </c>
      <c r="BV38" s="119" t="n">
        <f aca="false">IF($BT38="-","-",COUNTIFS(FGLocal,$BD38,Ganador,"Empate",Part1Empate1V,$BT38)+COUNTIFS(FGVisitante,$BD38,Ganador,"Empate",Part1Empate1L,$BT38))</f>
        <v>0</v>
      </c>
      <c r="BW38" s="119" t="n">
        <f aca="false">IF($BT38="-","-",COUNTIFS(FGLocal,$BD38,Ganador,"Visitante",Part1Empate1V,$BT38)+COUNTIFS(FGVisitante,$BD38,Ganador,"Local",Part1Empate1L,$BT38))</f>
        <v>0</v>
      </c>
      <c r="BX38" s="119" t="n">
        <f aca="false">IF($BT38="-","-",BU38*3+BV38)</f>
        <v>0</v>
      </c>
      <c r="BY38" s="119" t="n">
        <f aca="false">BS38+COUNTIFS($BT$6:$BT$53,BT38,$BX$6:BX$53,"&gt;"&amp;BX38,$BC$6:$BC$53,INDEX(T_Equipos[Grupo],MATCH(BD38,T_Equipos[NombreEquipo],0)))</f>
        <v>1</v>
      </c>
      <c r="BZ38" s="118" t="str">
        <f aca="false">IF(COUNTIFS($BY$6:$BY$53,BY38,$BC$6:$BC$53,INDEX(T_Equipos[Grupo],MATCH(BD38,T_Equipos[NombreEquipo],0)))=1,"-","P."&amp;BY38&amp;" ("&amp;COUNTIFS($BY$6:$BY$53,BY38,$BC$6:$BC$53,INDEX(T_Equipos[Grupo],MATCH(BD38,T_Equipos[NombreEquipo],0)))&amp;")")</f>
        <v>P.1 (4)</v>
      </c>
      <c r="CA38" s="119" t="n">
        <f aca="false">IF($BZ38="-","-",SUMIFS(FG_GolesLocal,FGLocal,$BD38,Part1Empate2V,$BZ38)+SUMIFS(FG_GolesVisitante,FGVisitante,$BD38,Part1Empate2L,$BZ38))</f>
        <v>0</v>
      </c>
      <c r="CB38" s="119" t="n">
        <f aca="false">IF($BZ38="-","-",SUMIFS(FG_GolesVisitante,FGLocal,$BD38,Part1Empate2V,$BZ38)+SUMIFS(FG_GolesLocal,FGVisitante,$BD38,Part1Empate2L,$BZ38))</f>
        <v>0</v>
      </c>
      <c r="CC38" s="119" t="n">
        <f aca="false">IF($BZ38="-","-",CA38-CB38)</f>
        <v>0</v>
      </c>
      <c r="CD38" s="119" t="n">
        <f aca="false">BY38+COUNTIFS($BZ$6:$BZ$53,BZ38,$CC$6:CC$53,"&gt;"&amp;CC38,$BC$6:$BC$53,INDEX(T_Equipos[Grupo],MATCH(BD38,T_Equipos[NombreEquipo],0)))</f>
        <v>1</v>
      </c>
      <c r="CE38" s="118" t="str">
        <f aca="false">IF(COUNTIFS($CD$6:$CD$53,CD38,$BC$6:$BC$53,INDEX(T_Equipos[Grupo],MATCH(BD38,T_Equipos[NombreEquipo],0)))=1,"-","P."&amp;CD38&amp;" ("&amp;COUNTIFS($CD$6:$CD$53,CD38,$BC$6:$BC$53,INDEX(T_Equipos[Grupo],MATCH(BD38,T_Equipos[NombreEquipo],0)))&amp;")")</f>
        <v>P.1 (4)</v>
      </c>
      <c r="CF38" s="119" t="n">
        <f aca="false">IF($CE38="-","-",SUMIFS(FG_GolesLocal,FGLocal,$BD38,Part1Empate3V,$CE38)+SUMIFS(FG_GolesVisitante,FGVisitante,$BD38,Part1Empate3L,$CE38))</f>
        <v>0</v>
      </c>
      <c r="CG38" s="119" t="n">
        <f aca="false">CD38+COUNTIFS($CE$6:$CE$53,CE38,$CF$6:CF$53,"&gt;"&amp;CF38,$BC$6:$BC$53,INDEX(T_Equipos[Grupo],MATCH(BD38,T_Equipos[NombreEquipo],0)))</f>
        <v>1</v>
      </c>
      <c r="CH38" s="118" t="str">
        <f aca="false">IF(COUNTIFS($CG$6:$CG$53,CG38,$BC$6:$BC$53,INDEX(T_Equipos[Grupo],MATCH(BD38,T_Equipos[NombreEquipo],0)))=1,"-","P."&amp;CG38&amp;" ("&amp;COUNTIFS($CG$6:$CG$53,CG38,$BC$6:$BC$53,INDEX(T_Equipos[Grupo],MATCH(BD38,T_Equipos[NombreEquipo],0)))&amp;")")</f>
        <v>P.1 (4)</v>
      </c>
      <c r="CI38" s="119" t="n">
        <f aca="false">IF($CH38="-","-",COUNTIFS(FGLocal,$BD38,Ganador,"Local",Part2Empate4V,$CH38)+COUNTIFS(FGVisitante,$BD38,Ganador,"Visitante",Part2Empate4L,$CH38))</f>
        <v>0</v>
      </c>
      <c r="CJ38" s="119" t="n">
        <f aca="false">IF($CH38="-","-",COUNTIFS(FGLocal,$BD38,Ganador,"Empate",Part2Empate4V,$CH38)+COUNTIFS(FGVisitante,$BD38,Ganador,"Empate",Part2Empate4L,$CH38))</f>
        <v>0</v>
      </c>
      <c r="CK38" s="119" t="n">
        <f aca="false">IF($CH38="-","-",COUNTIFS(FGLocal,$BD38,Ganador,"Visitante",Part2Empate4V,$CH38)+COUNTIFS(FGVisitante,$BD38,Ganador,"Local",Part2Empate4L,$CH38))</f>
        <v>0</v>
      </c>
      <c r="CL38" s="119" t="n">
        <f aca="false">IF($CH38="-","-",CI38*3+CJ38)</f>
        <v>0</v>
      </c>
      <c r="CM38" s="119" t="n">
        <f aca="false">CG38+COUNTIFS($CH$6:$CH$53,CH38,$CL$6:CL$53,"&gt;"&amp;CL38,$BC$6:$BC$53,INDEX(T_Equipos[Grupo],MATCH(BD38,T_Equipos[NombreEquipo],0)))</f>
        <v>1</v>
      </c>
      <c r="CN38" s="118" t="str">
        <f aca="false">IF(COUNTIFS($CM$6:$CM$53,CM38,$BC$6:$BC$53,INDEX(T_Equipos[Grupo],MATCH(BD38,T_Equipos[NombreEquipo],0)))=1,"-","P."&amp;CM38&amp;" ("&amp;COUNTIFS($CM$6:$CM$53,CM38,$BC$6:$BC$53,INDEX(T_Equipos[Grupo],MATCH(BD38,T_Equipos[NombreEquipo],0)))&amp;")")</f>
        <v>P.1 (4)</v>
      </c>
      <c r="CO38" s="119" t="n">
        <f aca="false">IF($CN38="-","-",SUMIFS(FG_GolesLocal,FGLocal,$BD38,Part2Empate5V,$CN38)+SUMIFS(FG_GolesVisitante,FGVisitante,$BD38,Part2Empate5L,$CN38))</f>
        <v>0</v>
      </c>
      <c r="CP38" s="119" t="n">
        <f aca="false">IF($CN38="-","-",SUMIFS(FG_GolesVisitante,FGLocal,$BD38,Part2Empate5V,$CN38)+SUMIFS(FG_GolesLocal,FGVisitante,$BD38,Part2Empate5L,$CN38))</f>
        <v>0</v>
      </c>
      <c r="CQ38" s="119" t="n">
        <f aca="false">IF($CN38="-","-",CO38-CP38)</f>
        <v>0</v>
      </c>
      <c r="CR38" s="119" t="n">
        <f aca="false">CM38+COUNTIFS($CN$6:$CN$53,CN38,$CQ$6:CQ$53,"&gt;"&amp;CQ38,$BC$6:$BC$53,INDEX(T_Equipos[Grupo],MATCH(BD38,T_Equipos[NombreEquipo],0)))</f>
        <v>1</v>
      </c>
      <c r="CS38" s="118" t="str">
        <f aca="false">IF(COUNTIFS($CR$6:$CR$53,CR38,$BC$6:$BC$53,INDEX(T_Equipos[Grupo],MATCH(BD38,T_Equipos[NombreEquipo],0)))=1,"-","P."&amp;CR38&amp;" ("&amp;COUNTIFS($CR$6:$CR$53,CR38,$BC$6:$BC$53,INDEX(T_Equipos[Grupo],MATCH(BD38,T_Equipos[NombreEquipo],0)))&amp;")")</f>
        <v>P.1 (4)</v>
      </c>
      <c r="CT38" s="119" t="n">
        <f aca="false">IF($CS38="-","-",SUMIFS(FG_GolesLocal,FGLocal,$BD38,Part2Empate6V,$CS38)+SUMIFS(FG_GolesVisitante,FGVisitante,$BD38,Part2Empate6L,$CS38))</f>
        <v>0</v>
      </c>
      <c r="CU38" s="119" t="n">
        <f aca="false">CR38+COUNTIFS($CS$6:$CS$53,CS38,$CT$6:CT$53,"&gt;"&amp;CT38,$BC$6:$BC$53,INDEX(T_Equipos[Grupo],MATCH(BD38,T_Equipos[NombreEquipo],0)))</f>
        <v>1</v>
      </c>
      <c r="CV38" s="118" t="str">
        <f aca="false">IF(COUNTIFS($CU$6:$CU$53,CU38,$BC$6:$BC$53,INDEX(T_Equipos[Grupo],MATCH(BD38,T_Equipos[NombreEquipo],0)))=1,"-","P."&amp;CU38&amp;" ("&amp;COUNTIFS($CU$6:$CU$53,CU38,$BC$6:$BC$53,INDEX(T_Equipos[Grupo],MATCH(BD38,T_Equipos[NombreEquipo],0)))&amp;")")</f>
        <v>P.1 (4)</v>
      </c>
      <c r="CW38" s="118" t="n">
        <f aca="false">IF(CV38="-","-",BL38)</f>
        <v>0</v>
      </c>
      <c r="CX38" s="118" t="n">
        <f aca="false">CU38+COUNTIFS($CV$6:$CV$53,CV38,$CW$6:CW$53,"&gt;"&amp;CW38,$BC$6:$BC$53,INDEX(T_Equipos[Grupo],MATCH(BD38,T_Equipos[NombreEquipo],0)))</f>
        <v>1</v>
      </c>
      <c r="CY38" s="118" t="str">
        <f aca="false">IF(COUNTIFS($CX$6:$CX$53,CX38,$BC$6:$BC$53,INDEX(T_Equipos[Grupo],MATCH(BD38,T_Equipos[NombreEquipo],0)))=1,"-","P."&amp;CX38&amp;" ("&amp;COUNTIFS($CX$6:$CX$53,CX38,$BC$6:$BC$53,INDEX(T_Equipos[Grupo],MATCH(BD38,T_Equipos[NombreEquipo],0)))&amp;")")</f>
        <v>P.1 (4)</v>
      </c>
      <c r="CZ38" s="118" t="n">
        <f aca="false">IF(CY38="-","-",BJ38)</f>
        <v>0</v>
      </c>
      <c r="DA38" s="119" t="n">
        <f aca="false">CX38+COUNTIFS($CY$6:$CY$53,CY38,$CZ$6:CZ$53,"&gt;"&amp;CZ38,$BC$6:$BC$53,INDEX(T_Equipos[Grupo],MATCH(BD38,T_Equipos[NombreEquipo],0)))</f>
        <v>1</v>
      </c>
      <c r="DB38" s="118" t="str">
        <f aca="false">IF(COUNTIFS($DA$6:$DA$53,DA38,$BC$6:$BC$53,INDEX(T_Equipos[Grupo],MATCH(BD38,T_Equipos[NombreEquipo],0)))=1,"-","P."&amp;DA38&amp;" ("&amp;COUNTIFS($DA$6:$DA$53,DA38,$BC$6:$BC$53,INDEX(T_Equipos[Grupo],MATCH(BD38,T_Equipos[NombreEquipo],0)))&amp;")")</f>
        <v>P.1 (4)</v>
      </c>
      <c r="DC38" s="116" t="n">
        <f aca="false">IF(DB38="-","-",COUNTIFS(T_Equipos[Rank],"&lt;"&amp;INDEX(T_Equipos[Rank],MATCH(BD38,T_Equipos[NombreEquipo],0)),$BC$6:$BC$53,INDEX(T_Equipos[Grupo],MATCH(BD38,T_Equipos[NombreEquipo],0)))+1)</f>
        <v>1</v>
      </c>
      <c r="DD38" s="116" t="n">
        <f aca="false">DA38+COUNTIFS($DB$6:$DB$53,DB38,$DC$6:DC$53,"&lt;"&amp;DC38,$BC$6:$BC$53,INDEX(T_Equipos[Grupo],MATCH(BD38,T_Equipos[NombreEquipo],0)))</f>
        <v>1</v>
      </c>
      <c r="DE38" s="116"/>
      <c r="DF38" s="116" t="n">
        <f aca="false">IF(OR(INDEX($AW$6:$AW$97,MATCH($BD38,$AV$6:$AV$97,0))="",DB38="-"),DD38,INDEX($AW$6:$AW$97,MATCH($BD38,$AV$6:$AV$97,0))+DD38/1000)</f>
        <v>1</v>
      </c>
      <c r="DG38" s="116" t="n">
        <f aca="false">IF(DB38="-","-",COUNTIFS(DF$6:DF$53,"&lt;"&amp;DF38,$BC$6:$BC$53,INDEX(T_Equipos[Grupo],MATCH(BD38,T_Equipos[NombreEquipo],0))))</f>
        <v>0</v>
      </c>
      <c r="DH38" s="116" t="n">
        <f aca="false">DA38+COUNTIFS(DB$6:DB$53,DB38,DG$6:DG$53,"&lt;"&amp;DG38,$BC$6:$BC$53,INDEX(T_Equipos[Grupo],MATCH(BD38,T_Equipos[NombreEquipo],0)))</f>
        <v>1</v>
      </c>
      <c r="DI38" s="55"/>
      <c r="DJ38" s="55" t="n">
        <f aca="false">INDEX($DA$6:$DA$53,MATCH($DQ38,$BD$6:$BD$53,0))</f>
        <v>1</v>
      </c>
      <c r="DK38" s="55" t="n">
        <f aca="false">+SUMIF($BC$6:$BC$53,BC38,$BF$6:$BF$53)</f>
        <v>0</v>
      </c>
      <c r="DL38" s="55" t="n">
        <f aca="false">IF(OR(DK38=12,$AJ$99=144),COUNTIFS($DJ$6:$DJ$53,DJ38,$BC$6:$BC$53,BC38),1)</f>
        <v>1</v>
      </c>
      <c r="DM38" s="120" t="str">
        <f aca="false">DJ38&amp;"."&amp;DL38</f>
        <v>1.1</v>
      </c>
      <c r="DN38" s="55" t="n">
        <f aca="true" t="array" ref="DN38:DN38">OFFSET(Horarios!$P$3,DJ38-1,0,DL38,1)</f>
        <v>1</v>
      </c>
      <c r="DO38" s="55"/>
      <c r="DP38" s="55" t="s">
        <v>114</v>
      </c>
      <c r="DQ38" s="55" t="str">
        <f aca="false">INDEX($BD$6:$BD$53,MATCH(DP38,$BM$6:$BM$53,0))</f>
        <v>Francia</v>
      </c>
      <c r="DR38" s="55"/>
      <c r="DS38" s="55"/>
      <c r="DT38" s="55" t="str">
        <f aca="false">AA38&amp;"-"&amp;AF38</f>
        <v>Alemania-Costa de Marfil</v>
      </c>
      <c r="DU38" s="55"/>
      <c r="DV38" s="55"/>
      <c r="DW38" s="57"/>
    </row>
    <row r="39" customFormat="false" ht="15.75" hidden="false" customHeight="true" outlineLevel="0" collapsed="false">
      <c r="A39" s="92" t="str">
        <f aca="false">+Equipos!B20</f>
        <v>Costa de Marfil</v>
      </c>
      <c r="B39" s="72"/>
      <c r="C39" s="55"/>
      <c r="D39" s="55" t="str">
        <f aca="false">IF(OR(AC39="",AD39=""),"Pendiente",IF(AC39&gt;AD39,"Local",IF(AC39&lt;AD39,"Visitante","Empate")))</f>
        <v>Pendiente</v>
      </c>
      <c r="E39" s="55" t="str">
        <f aca="false">IF(D39="Pendiente","-",INDEX($BT$6:$BT$53,MATCH($AA39,$BD$6:$BD$53,0)))</f>
        <v>-</v>
      </c>
      <c r="F39" s="55" t="str">
        <f aca="false">IF(D39="Pendiente","-",INDEX($BT$6:$BT$53,MATCH($AF39,$BD$6:$BD$53,0)))</f>
        <v>-</v>
      </c>
      <c r="G39" s="55"/>
      <c r="H39" s="55" t="str">
        <f aca="false">IF(D39="Pendiente","-",INDEX($BZ$6:$BZ$53,MATCH($AA39,$BD$6:$BD$53,0)))</f>
        <v>-</v>
      </c>
      <c r="I39" s="55" t="str">
        <f aca="false">IF(D39="Pendiente","-",INDEX($BZ$6:$BZ$53,MATCH($AF39,$BD$6:$BD$53,0)))</f>
        <v>-</v>
      </c>
      <c r="J39" s="55"/>
      <c r="K39" s="55" t="str">
        <f aca="false">IF(D39="Pendiente","-",INDEX($CE$6:$CE$53,MATCH($AA39,$BD$6:$BD$53,0)))</f>
        <v>-</v>
      </c>
      <c r="L39" s="55" t="str">
        <f aca="false">IF(D39="Pendiente","-",INDEX($CE$6:$CE$53,MATCH($AF39,$BD$6:$BD$53,0)))</f>
        <v>-</v>
      </c>
      <c r="M39" s="55"/>
      <c r="N39" s="55" t="str">
        <f aca="false">IF(D39="Pendiente","-",INDEX($CH$6:$CH$53,MATCH($AA39,$BD$6:$BD$53,0)))</f>
        <v>-</v>
      </c>
      <c r="O39" s="55" t="str">
        <f aca="false">IF(D39="Pendiente","-",INDEX($CH$6:$CH$53,MATCH($AF39,$BD$6:$BD$53,0)))</f>
        <v>-</v>
      </c>
      <c r="P39" s="55"/>
      <c r="Q39" s="55" t="str">
        <f aca="false">IF(D39="Pendiente","-",INDEX($CN$6:$CN$53,MATCH($AA39,$BD$6:$BD$53,0)))</f>
        <v>-</v>
      </c>
      <c r="R39" s="55" t="str">
        <f aca="false">IF(D39="Pendiente","-",INDEX($CN$6:$CN$53,MATCH($AF39,$BD$6:$BD$53,0)))</f>
        <v>-</v>
      </c>
      <c r="S39" s="55"/>
      <c r="T39" s="55" t="str">
        <f aca="false">IF(D39="Pendiente","-",INDEX($CS$6:$CS$53,MATCH($AA39,$BD$6:$BD$53,0)))</f>
        <v>-</v>
      </c>
      <c r="U39" s="55" t="str">
        <f aca="false">IF(D39="Pendiente","-",INDEX($CS$6:$CS$53,MATCH($AF39,$BD$6:$BD$53,0)))</f>
        <v>-</v>
      </c>
      <c r="V39" s="46"/>
      <c r="W39" s="186"/>
      <c r="X39" s="74" t="n">
        <f aca="false">Horarios!C39</f>
        <v>46194.0833333333</v>
      </c>
      <c r="Y39" s="75" t="n">
        <f aca="false">Horarios!C39</f>
        <v>46194.0833333333</v>
      </c>
      <c r="Z39" s="76" t="str">
        <f aca="false">$Z$6</f>
        <v>J2</v>
      </c>
      <c r="AA39" s="77" t="str">
        <f aca="false">A40</f>
        <v>Ecuador</v>
      </c>
      <c r="AB39" s="165" t="str">
        <f aca="true" t="array" ref="AB39:AB39">Ver_flag_local</f>
        <v/>
      </c>
      <c r="AC39" s="79"/>
      <c r="AD39" s="80"/>
      <c r="AE39" s="81" t="str">
        <f aca="true" t="array" ref="AE39:AE39">Ver_flag_visit</f>
        <v/>
      </c>
      <c r="AF39" s="82" t="str">
        <f aca="false">A38</f>
        <v>Curazao</v>
      </c>
      <c r="AG39" s="83" t="n">
        <f aca="false">IF(NOT(OR(ISBLANK(AC39),ISBLANK(AD39))),1,0)</f>
        <v>0</v>
      </c>
      <c r="AH39" s="84" t="n">
        <v>34</v>
      </c>
      <c r="AI39" s="85" t="str">
        <f aca="false">AJ39&amp;$B$36</f>
        <v>2E</v>
      </c>
      <c r="AJ39" s="121" t="n">
        <v>2</v>
      </c>
      <c r="AK39" s="173" t="str">
        <f aca="true" t="array" ref="AK39:AK39">Ver_flag_visit</f>
        <v/>
      </c>
      <c r="AL39" s="123" t="str">
        <f aca="false">IFERROR(INDEX($BD$6:$BD$53,MATCH(AI39,$BN$6:$BN$53,0)),"")</f>
        <v>Costa de Marfil</v>
      </c>
      <c r="AM39" s="124" t="n">
        <f aca="false">INDEX($BE$6:$BN$53,MATCH($AL39,$BD$6:$BD$53,0),MATCH(AM$5,$BE$5:$BN$5,0))</f>
        <v>3</v>
      </c>
      <c r="AN39" s="125" t="n">
        <f aca="false">INDEX($BE$6:$BN$53,MATCH($AL39,$BD$6:$BD$53,0),MATCH(AN$5,$BE$5:$BN$5,0))</f>
        <v>1</v>
      </c>
      <c r="AO39" s="125" t="n">
        <f aca="false">INDEX($BE$6:$BN$53,MATCH($AL39,$BD$6:$BD$53,0),MATCH(AO$5,$BE$5:$BN$5,0))</f>
        <v>1</v>
      </c>
      <c r="AP39" s="125" t="n">
        <f aca="false">INDEX($BE$6:$BN$53,MATCH($AL39,$BD$6:$BD$53,0),MATCH(AP$5,$BE$5:$BN$5,0))</f>
        <v>0</v>
      </c>
      <c r="AQ39" s="125" t="n">
        <f aca="false">INDEX($BE$6:$BN$53,MATCH($AL39,$BD$6:$BD$53,0),MATCH(AQ$5,$BE$5:$BN$5,0))</f>
        <v>0</v>
      </c>
      <c r="AR39" s="125" t="n">
        <f aca="false">INDEX($BE$6:$BN$53,MATCH($AL39,$BD$6:$BD$53,0),MATCH(AR$5,$BE$5:$BN$5,0))</f>
        <v>1</v>
      </c>
      <c r="AS39" s="125" t="n">
        <f aca="false">INDEX($BE$6:$BN$53,MATCH($AL39,$BD$6:$BD$53,0),MATCH(AS$5,$BE$5:$BN$5,0))</f>
        <v>0</v>
      </c>
      <c r="AT39" s="126" t="n">
        <f aca="false">INDEX($BE$6:$BN$53,MATCH($AL39,$BD$6:$BD$53,0),MATCH(AT$5,$BE$5:$BN$5,0))</f>
        <v>1</v>
      </c>
      <c r="AU39" s="110" t="n">
        <f aca="false">INDEX($DL$6:$DL$53,MATCH(AI39,$DP$6:$DP$53,0))</f>
        <v>1</v>
      </c>
      <c r="AV39" s="111" t="str">
        <f aca="false">INDEX($BD$6:$BD$53,MATCH(AI39,$BM$6:$BM$53,0))</f>
        <v>Costa de Marfil</v>
      </c>
      <c r="AW39" s="112" t="n">
        <v>2</v>
      </c>
      <c r="AX39" s="113"/>
      <c r="AY39" s="127" t="str">
        <f aca="false">+A38</f>
        <v>Curazao</v>
      </c>
      <c r="AZ39" s="128"/>
      <c r="BA39" s="49"/>
      <c r="BB39" s="55"/>
      <c r="BC39" s="116" t="str">
        <f aca="false">+INDEX(T_Equipos[Grupo],MATCH(WORLDCUP!BD39,T_Equipos[NombreEquipo],0))</f>
        <v>I</v>
      </c>
      <c r="BD39" s="55" t="str">
        <f aca="false">+Equipos!B35</f>
        <v>Senegal</v>
      </c>
      <c r="BE39" s="117" t="n">
        <f aca="false">+BG39*3+BH39+IF($AZ$3="no",0,INDEX($AZ$6:$AZ$97,MATCH(BD39,$AY$6:$AY$97,0)))</f>
        <v>0</v>
      </c>
      <c r="BF39" s="117" t="n">
        <f aca="false">+BG39+BH39+BI39</f>
        <v>0</v>
      </c>
      <c r="BG39" s="117" t="n">
        <f aca="false">+COUNTIFS(FGLocal,BD39,Ganador,"Local")+COUNTIFS(FGVisitante,BD39,Ganador,"Visitante")</f>
        <v>0</v>
      </c>
      <c r="BH39" s="117" t="n">
        <f aca="false">+COUNTIFS(FGLocal,BD39,Ganador,"Empate")+COUNTIFS(FGVisitante,BD39,Ganador,"Empate")</f>
        <v>0</v>
      </c>
      <c r="BI39" s="117" t="n">
        <f aca="false">+COUNTIFS(FGVisitante,BD39,Ganador,"Local")+COUNTIFS(FGLocal,BD39,Ganador,"Visitante")</f>
        <v>0</v>
      </c>
      <c r="BJ39" s="117" t="n">
        <f aca="false">+SUMIFS(FG_GolesLocal,FGLocal,BD39,Ganador,"&lt;&gt;"&amp;"Pendiente",FG_GolesLocal,"&lt;&gt;"&amp;"",FG_GolesVisitante,"&lt;&gt;"&amp;"")+SUMIFS(FG_GolesVisitante,FGVisitante,BD39,Ganador,"&lt;&gt;"&amp;"Pendiente",FG_GolesLocal,"&lt;&gt;"&amp;"",FG_GolesVisitante,"&lt;&gt;"&amp;"")</f>
        <v>0</v>
      </c>
      <c r="BK39" s="117" t="n">
        <f aca="false">+SUMIFS(FG_GolesLocal,FGVisitante,BD39,Ganador,"&lt;&gt;"&amp;"Pendiente",FG_GolesLocal,"&lt;&gt;"&amp;"",FG_GolesVisitante,"&lt;&gt;"&amp;"")+SUMIFS(FG_GolesVisitante,FGLocal,BD39,Ganador,"&lt;&gt;"&amp;"Pendiente",FG_GolesLocal,"&lt;&gt;"&amp;"",FG_GolesVisitante,"&lt;&gt;"&amp;"")</f>
        <v>0</v>
      </c>
      <c r="BL39" s="117" t="n">
        <f aca="false">+BJ39-BK39</f>
        <v>0</v>
      </c>
      <c r="BM39" s="117" t="str">
        <f aca="false">DD39&amp;BC39</f>
        <v>2I</v>
      </c>
      <c r="BN39" s="117" t="str">
        <f aca="false">DH39&amp;BC39</f>
        <v>2I</v>
      </c>
      <c r="BO39" s="118" t="n">
        <f aca="false">IF(AND($AJ$99=144,BF39&gt;=1),1,0)</f>
        <v>0</v>
      </c>
      <c r="BP39" s="118" t="n">
        <f aca="false">COUNTIFS($BO$6:$BO$53,"&gt;"&amp;BO39,$BC$6:$BC$53,INDEX(T_Equipos[Grupo],MATCH(BD39,T_Equipos[NombreEquipo],0)))+1</f>
        <v>1</v>
      </c>
      <c r="BQ39" s="118" t="str">
        <f aca="false">IF(COUNTIFS($BP$6:$BP$53,BP39,$BC$6:$BC$53,INDEX(T_Equipos[Grupo],MATCH(BD39,T_Equipos[NombreEquipo],0)))=1,"-","P."&amp;BP39&amp;" ("&amp;COUNTIFS($BP$6:$BP$53,BP39,$BC$6:$BC$53,INDEX(T_Equipos[Grupo],MATCH(BD39,T_Equipos[NombreEquipo],0)))&amp;")")</f>
        <v>P.1 (4)</v>
      </c>
      <c r="BR39" s="118" t="n">
        <f aca="false">IF($BQ39="-","-",BE39)</f>
        <v>0</v>
      </c>
      <c r="BS39" s="118" t="n">
        <f aca="false">BP39+COUNTIFS($BQ$6:$BQ$53,BQ39,$BR$6:BR$53,"&gt;"&amp;BR39,$BC$6:$BC$53,INDEX(T_Equipos[Grupo],MATCH(BD39,T_Equipos[NombreEquipo],0)))</f>
        <v>1</v>
      </c>
      <c r="BT39" s="118" t="str">
        <f aca="false">IF(COUNTIFS($BS$6:$BS$53,BS39,$BC$6:$BC$53,INDEX(T_Equipos[Grupo],MATCH(BD39,T_Equipos[NombreEquipo],0)))=1,"-","P."&amp;BS39&amp;" ("&amp;COUNTIFS($BS$6:$BS$53,BS39,$BC$6:$BC$53,INDEX(T_Equipos[Grupo],MATCH(BD39,T_Equipos[NombreEquipo],0)))&amp;")")</f>
        <v>P.1 (4)</v>
      </c>
      <c r="BU39" s="119" t="n">
        <f aca="false">IF($BT39="-","-",COUNTIFS(FGLocal,$BD39,Ganador,"Local",Part1Empate1V,$BT39)+COUNTIFS(FGVisitante,$BD39,Ganador,"Visitante",Part1Empate1L,$BT39))</f>
        <v>0</v>
      </c>
      <c r="BV39" s="119" t="n">
        <f aca="false">IF($BT39="-","-",COUNTIFS(FGLocal,$BD39,Ganador,"Empate",Part1Empate1V,$BT39)+COUNTIFS(FGVisitante,$BD39,Ganador,"Empate",Part1Empate1L,$BT39))</f>
        <v>0</v>
      </c>
      <c r="BW39" s="119" t="n">
        <f aca="false">IF($BT39="-","-",COUNTIFS(FGLocal,$BD39,Ganador,"Visitante",Part1Empate1V,$BT39)+COUNTIFS(FGVisitante,$BD39,Ganador,"Local",Part1Empate1L,$BT39))</f>
        <v>0</v>
      </c>
      <c r="BX39" s="119" t="n">
        <f aca="false">IF($BT39="-","-",BU39*3+BV39)</f>
        <v>0</v>
      </c>
      <c r="BY39" s="119" t="n">
        <f aca="false">BS39+COUNTIFS($BT$6:$BT$53,BT39,$BX$6:BX$53,"&gt;"&amp;BX39,$BC$6:$BC$53,INDEX(T_Equipos[Grupo],MATCH(BD39,T_Equipos[NombreEquipo],0)))</f>
        <v>1</v>
      </c>
      <c r="BZ39" s="118" t="str">
        <f aca="false">IF(COUNTIFS($BY$6:$BY$53,BY39,$BC$6:$BC$53,INDEX(T_Equipos[Grupo],MATCH(BD39,T_Equipos[NombreEquipo],0)))=1,"-","P."&amp;BY39&amp;" ("&amp;COUNTIFS($BY$6:$BY$53,BY39,$BC$6:$BC$53,INDEX(T_Equipos[Grupo],MATCH(BD39,T_Equipos[NombreEquipo],0)))&amp;")")</f>
        <v>P.1 (4)</v>
      </c>
      <c r="CA39" s="119" t="n">
        <f aca="false">IF($BZ39="-","-",SUMIFS(FG_GolesLocal,FGLocal,$BD39,Part1Empate2V,$BZ39)+SUMIFS(FG_GolesVisitante,FGVisitante,$BD39,Part1Empate2L,$BZ39))</f>
        <v>0</v>
      </c>
      <c r="CB39" s="119" t="n">
        <f aca="false">IF($BZ39="-","-",SUMIFS(FG_GolesVisitante,FGLocal,$BD39,Part1Empate2V,$BZ39)+SUMIFS(FG_GolesLocal,FGVisitante,$BD39,Part1Empate2L,$BZ39))</f>
        <v>0</v>
      </c>
      <c r="CC39" s="119" t="n">
        <f aca="false">IF($BZ39="-","-",CA39-CB39)</f>
        <v>0</v>
      </c>
      <c r="CD39" s="119" t="n">
        <f aca="false">BY39+COUNTIFS($BZ$6:$BZ$53,BZ39,$CC$6:CC$53,"&gt;"&amp;CC39,$BC$6:$BC$53,INDEX(T_Equipos[Grupo],MATCH(BD39,T_Equipos[NombreEquipo],0)))</f>
        <v>1</v>
      </c>
      <c r="CE39" s="118" t="str">
        <f aca="false">IF(COUNTIFS($CD$6:$CD$53,CD39,$BC$6:$BC$53,INDEX(T_Equipos[Grupo],MATCH(BD39,T_Equipos[NombreEquipo],0)))=1,"-","P."&amp;CD39&amp;" ("&amp;COUNTIFS($CD$6:$CD$53,CD39,$BC$6:$BC$53,INDEX(T_Equipos[Grupo],MATCH(BD39,T_Equipos[NombreEquipo],0)))&amp;")")</f>
        <v>P.1 (4)</v>
      </c>
      <c r="CF39" s="119" t="n">
        <f aca="false">IF($CE39="-","-",SUMIFS(FG_GolesLocal,FGLocal,$BD39,Part1Empate3V,$CE39)+SUMIFS(FG_GolesVisitante,FGVisitante,$BD39,Part1Empate3L,$CE39))</f>
        <v>0</v>
      </c>
      <c r="CG39" s="119" t="n">
        <f aca="false">CD39+COUNTIFS($CE$6:$CE$53,CE39,$CF$6:CF$53,"&gt;"&amp;CF39,$BC$6:$BC$53,INDEX(T_Equipos[Grupo],MATCH(BD39,T_Equipos[NombreEquipo],0)))</f>
        <v>1</v>
      </c>
      <c r="CH39" s="118" t="str">
        <f aca="false">IF(COUNTIFS($CG$6:$CG$53,CG39,$BC$6:$BC$53,INDEX(T_Equipos[Grupo],MATCH(BD39,T_Equipos[NombreEquipo],0)))=1,"-","P."&amp;CG39&amp;" ("&amp;COUNTIFS($CG$6:$CG$53,CG39,$BC$6:$BC$53,INDEX(T_Equipos[Grupo],MATCH(BD39,T_Equipos[NombreEquipo],0)))&amp;")")</f>
        <v>P.1 (4)</v>
      </c>
      <c r="CI39" s="119" t="n">
        <f aca="false">IF($CH39="-","-",COUNTIFS(FGLocal,$BD39,Ganador,"Local",Part2Empate4V,$CH39)+COUNTIFS(FGVisitante,$BD39,Ganador,"Visitante",Part2Empate4L,$CH39))</f>
        <v>0</v>
      </c>
      <c r="CJ39" s="119" t="n">
        <f aca="false">IF($CH39="-","-",COUNTIFS(FGLocal,$BD39,Ganador,"Empate",Part2Empate4V,$CH39)+COUNTIFS(FGVisitante,$BD39,Ganador,"Empate",Part2Empate4L,$CH39))</f>
        <v>0</v>
      </c>
      <c r="CK39" s="119" t="n">
        <f aca="false">IF($CH39="-","-",COUNTIFS(FGLocal,$BD39,Ganador,"Visitante",Part2Empate4V,$CH39)+COUNTIFS(FGVisitante,$BD39,Ganador,"Local",Part2Empate4L,$CH39))</f>
        <v>0</v>
      </c>
      <c r="CL39" s="119" t="n">
        <f aca="false">IF($CH39="-","-",CI39*3+CJ39)</f>
        <v>0</v>
      </c>
      <c r="CM39" s="119" t="n">
        <f aca="false">CG39+COUNTIFS($CH$6:$CH$53,CH39,$CL$6:CL$53,"&gt;"&amp;CL39,$BC$6:$BC$53,INDEX(T_Equipos[Grupo],MATCH(BD39,T_Equipos[NombreEquipo],0)))</f>
        <v>1</v>
      </c>
      <c r="CN39" s="118" t="str">
        <f aca="false">IF(COUNTIFS($CM$6:$CM$53,CM39,$BC$6:$BC$53,INDEX(T_Equipos[Grupo],MATCH(BD39,T_Equipos[NombreEquipo],0)))=1,"-","P."&amp;CM39&amp;" ("&amp;COUNTIFS($CM$6:$CM$53,CM39,$BC$6:$BC$53,INDEX(T_Equipos[Grupo],MATCH(BD39,T_Equipos[NombreEquipo],0)))&amp;")")</f>
        <v>P.1 (4)</v>
      </c>
      <c r="CO39" s="119" t="n">
        <f aca="false">IF($CN39="-","-",SUMIFS(FG_GolesLocal,FGLocal,$BD39,Part2Empate5V,$CN39)+SUMIFS(FG_GolesVisitante,FGVisitante,$BD39,Part2Empate5L,$CN39))</f>
        <v>0</v>
      </c>
      <c r="CP39" s="119" t="n">
        <f aca="false">IF($CN39="-","-",SUMIFS(FG_GolesVisitante,FGLocal,$BD39,Part2Empate5V,$CN39)+SUMIFS(FG_GolesLocal,FGVisitante,$BD39,Part2Empate5L,$CN39))</f>
        <v>0</v>
      </c>
      <c r="CQ39" s="119" t="n">
        <f aca="false">IF($CN39="-","-",CO39-CP39)</f>
        <v>0</v>
      </c>
      <c r="CR39" s="119" t="n">
        <f aca="false">CM39+COUNTIFS($CN$6:$CN$53,CN39,$CQ$6:CQ$53,"&gt;"&amp;CQ39,$BC$6:$BC$53,INDEX(T_Equipos[Grupo],MATCH(BD39,T_Equipos[NombreEquipo],0)))</f>
        <v>1</v>
      </c>
      <c r="CS39" s="118" t="str">
        <f aca="false">IF(COUNTIFS($CR$6:$CR$53,CR39,$BC$6:$BC$53,INDEX(T_Equipos[Grupo],MATCH(BD39,T_Equipos[NombreEquipo],0)))=1,"-","P."&amp;CR39&amp;" ("&amp;COUNTIFS($CR$6:$CR$53,CR39,$BC$6:$BC$53,INDEX(T_Equipos[Grupo],MATCH(BD39,T_Equipos[NombreEquipo],0)))&amp;")")</f>
        <v>P.1 (4)</v>
      </c>
      <c r="CT39" s="119" t="n">
        <f aca="false">IF($CS39="-","-",SUMIFS(FG_GolesLocal,FGLocal,$BD39,Part2Empate6V,$CS39)+SUMIFS(FG_GolesVisitante,FGVisitante,$BD39,Part2Empate6L,$CS39))</f>
        <v>0</v>
      </c>
      <c r="CU39" s="119" t="n">
        <f aca="false">CR39+COUNTIFS($CS$6:$CS$53,CS39,$CT$6:CT$53,"&gt;"&amp;CT39,$BC$6:$BC$53,INDEX(T_Equipos[Grupo],MATCH(BD39,T_Equipos[NombreEquipo],0)))</f>
        <v>1</v>
      </c>
      <c r="CV39" s="118" t="str">
        <f aca="false">IF(COUNTIFS($CU$6:$CU$53,CU39,$BC$6:$BC$53,INDEX(T_Equipos[Grupo],MATCH(BD39,T_Equipos[NombreEquipo],0)))=1,"-","P."&amp;CU39&amp;" ("&amp;COUNTIFS($CU$6:$CU$53,CU39,$BC$6:$BC$53,INDEX(T_Equipos[Grupo],MATCH(BD39,T_Equipos[NombreEquipo],0)))&amp;")")</f>
        <v>P.1 (4)</v>
      </c>
      <c r="CW39" s="118" t="n">
        <f aca="false">IF(CV39="-","-",BL39)</f>
        <v>0</v>
      </c>
      <c r="CX39" s="118" t="n">
        <f aca="false">CU39+COUNTIFS($CV$6:$CV$53,CV39,$CW$6:CW$53,"&gt;"&amp;CW39,$BC$6:$BC$53,INDEX(T_Equipos[Grupo],MATCH(BD39,T_Equipos[NombreEquipo],0)))</f>
        <v>1</v>
      </c>
      <c r="CY39" s="118" t="str">
        <f aca="false">IF(COUNTIFS($CX$6:$CX$53,CX39,$BC$6:$BC$53,INDEX(T_Equipos[Grupo],MATCH(BD39,T_Equipos[NombreEquipo],0)))=1,"-","P."&amp;CX39&amp;" ("&amp;COUNTIFS($CX$6:$CX$53,CX39,$BC$6:$BC$53,INDEX(T_Equipos[Grupo],MATCH(BD39,T_Equipos[NombreEquipo],0)))&amp;")")</f>
        <v>P.1 (4)</v>
      </c>
      <c r="CZ39" s="118" t="n">
        <f aca="false">IF(CY39="-","-",BJ39)</f>
        <v>0</v>
      </c>
      <c r="DA39" s="119" t="n">
        <f aca="false">CX39+COUNTIFS($CY$6:$CY$53,CY39,$CZ$6:CZ$53,"&gt;"&amp;CZ39,$BC$6:$BC$53,INDEX(T_Equipos[Grupo],MATCH(BD39,T_Equipos[NombreEquipo],0)))</f>
        <v>1</v>
      </c>
      <c r="DB39" s="118" t="str">
        <f aca="false">IF(COUNTIFS($DA$6:$DA$53,DA39,$BC$6:$BC$53,INDEX(T_Equipos[Grupo],MATCH(BD39,T_Equipos[NombreEquipo],0)))=1,"-","P."&amp;DA39&amp;" ("&amp;COUNTIFS($DA$6:$DA$53,DA39,$BC$6:$BC$53,INDEX(T_Equipos[Grupo],MATCH(BD39,T_Equipos[NombreEquipo],0)))&amp;")")</f>
        <v>P.1 (4)</v>
      </c>
      <c r="DC39" s="116" t="n">
        <f aca="false">IF(DB39="-","-",COUNTIFS(T_Equipos[Rank],"&lt;"&amp;INDEX(T_Equipos[Rank],MATCH(BD39,T_Equipos[NombreEquipo],0)),$BC$6:$BC$53,INDEX(T_Equipos[Grupo],MATCH(BD39,T_Equipos[NombreEquipo],0)))+1)</f>
        <v>2</v>
      </c>
      <c r="DD39" s="116" t="n">
        <f aca="false">DA39+COUNTIFS($DB$6:$DB$53,DB39,$DC$6:DC$53,"&lt;"&amp;DC39,$BC$6:$BC$53,INDEX(T_Equipos[Grupo],MATCH(BD39,T_Equipos[NombreEquipo],0)))</f>
        <v>2</v>
      </c>
      <c r="DE39" s="116"/>
      <c r="DF39" s="116" t="n">
        <f aca="false">IF(OR(INDEX($AW$6:$AW$97,MATCH($BD39,$AV$6:$AV$97,0))="",DB39="-"),DD39,INDEX($AW$6:$AW$97,MATCH($BD39,$AV$6:$AV$97,0))+DD39/1000)</f>
        <v>2</v>
      </c>
      <c r="DG39" s="116" t="n">
        <f aca="false">IF(DB39="-","-",COUNTIFS(DF$6:DF$53,"&lt;"&amp;DF39,$BC$6:$BC$53,INDEX(T_Equipos[Grupo],MATCH(BD39,T_Equipos[NombreEquipo],0))))</f>
        <v>1</v>
      </c>
      <c r="DH39" s="116" t="n">
        <f aca="false">DA39+COUNTIFS(DB$6:DB$53,DB39,DG$6:DG$53,"&lt;"&amp;DG39,$BC$6:$BC$53,INDEX(T_Equipos[Grupo],MATCH(BD39,T_Equipos[NombreEquipo],0)))</f>
        <v>2</v>
      </c>
      <c r="DI39" s="55"/>
      <c r="DJ39" s="55" t="n">
        <f aca="false">INDEX($DA$6:$DA$53,MATCH($DQ39,$BD$6:$BD$53,0))</f>
        <v>1</v>
      </c>
      <c r="DK39" s="55" t="n">
        <f aca="false">+SUMIF($BC$6:$BC$53,BC39,$BF$6:$BF$53)</f>
        <v>0</v>
      </c>
      <c r="DL39" s="55" t="n">
        <f aca="false">IF(OR(DK39=12,$AJ$99=144),COUNTIFS($DJ$6:$DJ$53,DJ39,$BC$6:$BC$53,BC39),1)</f>
        <v>1</v>
      </c>
      <c r="DM39" s="120" t="str">
        <f aca="false">DJ39&amp;"."&amp;DL39</f>
        <v>1.1</v>
      </c>
      <c r="DN39" s="55" t="n">
        <f aca="true" t="array" ref="DN39:DN39">OFFSET(Horarios!$P$3,DJ39-1,0,DL39,1)</f>
        <v>1</v>
      </c>
      <c r="DO39" s="55"/>
      <c r="DP39" s="55" t="s">
        <v>115</v>
      </c>
      <c r="DQ39" s="55" t="str">
        <f aca="false">INDEX($BD$6:$BD$53,MATCH(DP39,$BM$6:$BM$53,0))</f>
        <v>Senegal</v>
      </c>
      <c r="DR39" s="55"/>
      <c r="DS39" s="55"/>
      <c r="DT39" s="55" t="str">
        <f aca="false">AA39&amp;"-"&amp;AF39</f>
        <v>Ecuador-Curazao</v>
      </c>
      <c r="DU39" s="55"/>
      <c r="DV39" s="55"/>
      <c r="DW39" s="57"/>
    </row>
    <row r="40" customFormat="false" ht="15.75" hidden="false" customHeight="true" outlineLevel="0" collapsed="false">
      <c r="A40" s="92" t="str">
        <f aca="false">+Equipos!B21</f>
        <v>Ecuador</v>
      </c>
      <c r="B40" s="72"/>
      <c r="C40" s="55"/>
      <c r="D40" s="55" t="str">
        <f aca="false">IF(OR(AC40="",AD40=""),"Pendiente",IF(AC40&gt;AD40,"Local",IF(AC40&lt;AD40,"Visitante","Empate")))</f>
        <v>Pendiente</v>
      </c>
      <c r="E40" s="55" t="str">
        <f aca="false">IF(D40="Pendiente","-",INDEX($BT$6:$BT$53,MATCH($AA40,$BD$6:$BD$53,0)))</f>
        <v>-</v>
      </c>
      <c r="F40" s="55" t="str">
        <f aca="false">IF(D40="Pendiente","-",INDEX($BT$6:$BT$53,MATCH($AF40,$BD$6:$BD$53,0)))</f>
        <v>-</v>
      </c>
      <c r="G40" s="55"/>
      <c r="H40" s="55" t="str">
        <f aca="false">IF(D40="Pendiente","-",INDEX($BZ$6:$BZ$53,MATCH($AA40,$BD$6:$BD$53,0)))</f>
        <v>-</v>
      </c>
      <c r="I40" s="55" t="str">
        <f aca="false">IF(D40="Pendiente","-",INDEX($BZ$6:$BZ$53,MATCH($AF40,$BD$6:$BD$53,0)))</f>
        <v>-</v>
      </c>
      <c r="J40" s="55"/>
      <c r="K40" s="55" t="str">
        <f aca="false">IF(D40="Pendiente","-",INDEX($CE$6:$CE$53,MATCH($AA40,$BD$6:$BD$53,0)))</f>
        <v>-</v>
      </c>
      <c r="L40" s="55" t="str">
        <f aca="false">IF(D40="Pendiente","-",INDEX($CE$6:$CE$53,MATCH($AF40,$BD$6:$BD$53,0)))</f>
        <v>-</v>
      </c>
      <c r="M40" s="55"/>
      <c r="N40" s="55" t="str">
        <f aca="false">IF(D40="Pendiente","-",INDEX($CH$6:$CH$53,MATCH($AA40,$BD$6:$BD$53,0)))</f>
        <v>-</v>
      </c>
      <c r="O40" s="55" t="str">
        <f aca="false">IF(D40="Pendiente","-",INDEX($CH$6:$CH$53,MATCH($AF40,$BD$6:$BD$53,0)))</f>
        <v>-</v>
      </c>
      <c r="P40" s="55"/>
      <c r="Q40" s="55" t="str">
        <f aca="false">IF(D40="Pendiente","-",INDEX($CN$6:$CN$53,MATCH($AA40,$BD$6:$BD$53,0)))</f>
        <v>-</v>
      </c>
      <c r="R40" s="55" t="str">
        <f aca="false">IF(D40="Pendiente","-",INDEX($CN$6:$CN$53,MATCH($AF40,$BD$6:$BD$53,0)))</f>
        <v>-</v>
      </c>
      <c r="S40" s="55"/>
      <c r="T40" s="55" t="str">
        <f aca="false">IF(D40="Pendiente","-",INDEX($CS$6:$CS$53,MATCH($AA40,$BD$6:$BD$53,0)))</f>
        <v>-</v>
      </c>
      <c r="U40" s="55" t="str">
        <f aca="false">IF(D40="Pendiente","-",INDEX($CS$6:$CS$53,MATCH($AF40,$BD$6:$BD$53,0)))</f>
        <v>-</v>
      </c>
      <c r="V40" s="46"/>
      <c r="W40" s="186"/>
      <c r="X40" s="74" t="n">
        <f aca="false">Horarios!C40</f>
        <v>46198.9166666667</v>
      </c>
      <c r="Y40" s="75" t="n">
        <f aca="false">Horarios!C40</f>
        <v>46198.9166666667</v>
      </c>
      <c r="Z40" s="76" t="str">
        <f aca="false">$Z$8</f>
        <v>J3</v>
      </c>
      <c r="AA40" s="77" t="str">
        <f aca="false">A38</f>
        <v>Curazao</v>
      </c>
      <c r="AB40" s="165" t="str">
        <f aca="true" t="array" ref="AB40:AB40">Ver_flag_local</f>
        <v/>
      </c>
      <c r="AC40" s="79"/>
      <c r="AD40" s="80"/>
      <c r="AE40" s="81" t="str">
        <f aca="true" t="array" ref="AE40:AE40">Ver_flag_visit</f>
        <v/>
      </c>
      <c r="AF40" s="82" t="str">
        <f aca="false">A39</f>
        <v>Costa de Marfil</v>
      </c>
      <c r="AG40" s="83" t="n">
        <f aca="false">IF(NOT(OR(ISBLANK(AC40),ISBLANK(AD40))),1,0)</f>
        <v>0</v>
      </c>
      <c r="AH40" s="84" t="n">
        <v>55</v>
      </c>
      <c r="AI40" s="85" t="str">
        <f aca="false">AJ40&amp;$B$36</f>
        <v>3E</v>
      </c>
      <c r="AJ40" s="121" t="n">
        <v>3</v>
      </c>
      <c r="AK40" s="173" t="str">
        <f aca="true" t="array" ref="AK40:AK40">Ver_flag_visit</f>
        <v/>
      </c>
      <c r="AL40" s="123" t="str">
        <f aca="false">IFERROR(INDEX($BD$6:$BD$53,MATCH(AI40,$BN$6:$BN$53,0)),"")</f>
        <v>Ecuador</v>
      </c>
      <c r="AM40" s="124" t="n">
        <f aca="false">INDEX($BE$6:$BN$53,MATCH($AL40,$BD$6:$BD$53,0),MATCH(AM$5,$BE$5:$BN$5,0))</f>
        <v>0</v>
      </c>
      <c r="AN40" s="125" t="n">
        <f aca="false">INDEX($BE$6:$BN$53,MATCH($AL40,$BD$6:$BD$53,0),MATCH(AN$5,$BE$5:$BN$5,0))</f>
        <v>1</v>
      </c>
      <c r="AO40" s="125" t="n">
        <f aca="false">INDEX($BE$6:$BN$53,MATCH($AL40,$BD$6:$BD$53,0),MATCH(AO$5,$BE$5:$BN$5,0))</f>
        <v>0</v>
      </c>
      <c r="AP40" s="125" t="n">
        <f aca="false">INDEX($BE$6:$BN$53,MATCH($AL40,$BD$6:$BD$53,0),MATCH(AP$5,$BE$5:$BN$5,0))</f>
        <v>0</v>
      </c>
      <c r="AQ40" s="125" t="n">
        <f aca="false">INDEX($BE$6:$BN$53,MATCH($AL40,$BD$6:$BD$53,0),MATCH(AQ$5,$BE$5:$BN$5,0))</f>
        <v>1</v>
      </c>
      <c r="AR40" s="125" t="n">
        <f aca="false">INDEX($BE$6:$BN$53,MATCH($AL40,$BD$6:$BD$53,0),MATCH(AR$5,$BE$5:$BN$5,0))</f>
        <v>0</v>
      </c>
      <c r="AS40" s="125" t="n">
        <f aca="false">INDEX($BE$6:$BN$53,MATCH($AL40,$BD$6:$BD$53,0),MATCH(AS$5,$BE$5:$BN$5,0))</f>
        <v>1</v>
      </c>
      <c r="AT40" s="126" t="n">
        <f aca="false">INDEX($BE$6:$BN$53,MATCH($AL40,$BD$6:$BD$53,0),MATCH(AT$5,$BE$5:$BN$5,0))</f>
        <v>-1</v>
      </c>
      <c r="AU40" s="110" t="n">
        <f aca="false">INDEX($DL$6:$DL$53,MATCH(AI40,$DP$6:$DP$53,0))</f>
        <v>1</v>
      </c>
      <c r="AV40" s="111" t="str">
        <f aca="false">INDEX($BD$6:$BD$53,MATCH(AI40,$BM$6:$BM$53,0))</f>
        <v>Ecuador</v>
      </c>
      <c r="AW40" s="112" t="n">
        <v>3</v>
      </c>
      <c r="AX40" s="113"/>
      <c r="AY40" s="114" t="str">
        <f aca="false">+A39</f>
        <v>Costa de Marfil</v>
      </c>
      <c r="AZ40" s="115"/>
      <c r="BA40" s="49"/>
      <c r="BB40" s="55"/>
      <c r="BC40" s="116" t="str">
        <f aca="false">+INDEX(T_Equipos[Grupo],MATCH(WORLDCUP!BD40,T_Equipos[NombreEquipo],0))</f>
        <v>I</v>
      </c>
      <c r="BD40" s="55" t="str">
        <f aca="false">+Equipos!B36</f>
        <v>Irak</v>
      </c>
      <c r="BE40" s="117" t="n">
        <f aca="false">+BG40*3+BH40+IF($AZ$3="no",0,INDEX($AZ$6:$AZ$97,MATCH(BD40,$AY$6:$AY$97,0)))</f>
        <v>0</v>
      </c>
      <c r="BF40" s="117" t="n">
        <f aca="false">+BG40+BH40+BI40</f>
        <v>0</v>
      </c>
      <c r="BG40" s="117" t="n">
        <f aca="false">+COUNTIFS(FGLocal,BD40,Ganador,"Local")+COUNTIFS(FGVisitante,BD40,Ganador,"Visitante")</f>
        <v>0</v>
      </c>
      <c r="BH40" s="117" t="n">
        <f aca="false">+COUNTIFS(FGLocal,BD40,Ganador,"Empate")+COUNTIFS(FGVisitante,BD40,Ganador,"Empate")</f>
        <v>0</v>
      </c>
      <c r="BI40" s="117" t="n">
        <f aca="false">+COUNTIFS(FGVisitante,BD40,Ganador,"Local")+COUNTIFS(FGLocal,BD40,Ganador,"Visitante")</f>
        <v>0</v>
      </c>
      <c r="BJ40" s="117" t="n">
        <f aca="false">+SUMIFS(FG_GolesLocal,FGLocal,BD40,Ganador,"&lt;&gt;"&amp;"Pendiente",FG_GolesLocal,"&lt;&gt;"&amp;"",FG_GolesVisitante,"&lt;&gt;"&amp;"")+SUMIFS(FG_GolesVisitante,FGVisitante,BD40,Ganador,"&lt;&gt;"&amp;"Pendiente",FG_GolesLocal,"&lt;&gt;"&amp;"",FG_GolesVisitante,"&lt;&gt;"&amp;"")</f>
        <v>0</v>
      </c>
      <c r="BK40" s="117" t="n">
        <f aca="false">+SUMIFS(FG_GolesLocal,FGVisitante,BD40,Ganador,"&lt;&gt;"&amp;"Pendiente",FG_GolesLocal,"&lt;&gt;"&amp;"",FG_GolesVisitante,"&lt;&gt;"&amp;"")+SUMIFS(FG_GolesVisitante,FGLocal,BD40,Ganador,"&lt;&gt;"&amp;"Pendiente",FG_GolesLocal,"&lt;&gt;"&amp;"",FG_GolesVisitante,"&lt;&gt;"&amp;"")</f>
        <v>0</v>
      </c>
      <c r="BL40" s="117" t="n">
        <f aca="false">+BJ40-BK40</f>
        <v>0</v>
      </c>
      <c r="BM40" s="117" t="str">
        <f aca="false">DD40&amp;BC40</f>
        <v>3I</v>
      </c>
      <c r="BN40" s="117" t="str">
        <f aca="false">DH40&amp;BC40</f>
        <v>3I</v>
      </c>
      <c r="BO40" s="118" t="n">
        <f aca="false">IF(AND($AJ$99=144,BF40&gt;=1),1,0)</f>
        <v>0</v>
      </c>
      <c r="BP40" s="118" t="n">
        <f aca="false">COUNTIFS($BO$6:$BO$53,"&gt;"&amp;BO40,$BC$6:$BC$53,INDEX(T_Equipos[Grupo],MATCH(BD40,T_Equipos[NombreEquipo],0)))+1</f>
        <v>1</v>
      </c>
      <c r="BQ40" s="118" t="str">
        <f aca="false">IF(COUNTIFS($BP$6:$BP$53,BP40,$BC$6:$BC$53,INDEX(T_Equipos[Grupo],MATCH(BD40,T_Equipos[NombreEquipo],0)))=1,"-","P."&amp;BP40&amp;" ("&amp;COUNTIFS($BP$6:$BP$53,BP40,$BC$6:$BC$53,INDEX(T_Equipos[Grupo],MATCH(BD40,T_Equipos[NombreEquipo],0)))&amp;")")</f>
        <v>P.1 (4)</v>
      </c>
      <c r="BR40" s="118" t="n">
        <f aca="false">IF($BQ40="-","-",BE40)</f>
        <v>0</v>
      </c>
      <c r="BS40" s="118" t="n">
        <f aca="false">BP40+COUNTIFS($BQ$6:$BQ$53,BQ40,$BR$6:BR$53,"&gt;"&amp;BR40,$BC$6:$BC$53,INDEX(T_Equipos[Grupo],MATCH(BD40,T_Equipos[NombreEquipo],0)))</f>
        <v>1</v>
      </c>
      <c r="BT40" s="118" t="str">
        <f aca="false">IF(COUNTIFS($BS$6:$BS$53,BS40,$BC$6:$BC$53,INDEX(T_Equipos[Grupo],MATCH(BD40,T_Equipos[NombreEquipo],0)))=1,"-","P."&amp;BS40&amp;" ("&amp;COUNTIFS($BS$6:$BS$53,BS40,$BC$6:$BC$53,INDEX(T_Equipos[Grupo],MATCH(BD40,T_Equipos[NombreEquipo],0)))&amp;")")</f>
        <v>P.1 (4)</v>
      </c>
      <c r="BU40" s="119" t="n">
        <f aca="false">IF($BT40="-","-",COUNTIFS(FGLocal,$BD40,Ganador,"Local",Part1Empate1V,$BT40)+COUNTIFS(FGVisitante,$BD40,Ganador,"Visitante",Part1Empate1L,$BT40))</f>
        <v>0</v>
      </c>
      <c r="BV40" s="119" t="n">
        <f aca="false">IF($BT40="-","-",COUNTIFS(FGLocal,$BD40,Ganador,"Empate",Part1Empate1V,$BT40)+COUNTIFS(FGVisitante,$BD40,Ganador,"Empate",Part1Empate1L,$BT40))</f>
        <v>0</v>
      </c>
      <c r="BW40" s="119" t="n">
        <f aca="false">IF($BT40="-","-",COUNTIFS(FGLocal,$BD40,Ganador,"Visitante",Part1Empate1V,$BT40)+COUNTIFS(FGVisitante,$BD40,Ganador,"Local",Part1Empate1L,$BT40))</f>
        <v>0</v>
      </c>
      <c r="BX40" s="119" t="n">
        <f aca="false">IF($BT40="-","-",BU40*3+BV40)</f>
        <v>0</v>
      </c>
      <c r="BY40" s="119" t="n">
        <f aca="false">BS40+COUNTIFS($BT$6:$BT$53,BT40,$BX$6:BX$53,"&gt;"&amp;BX40,$BC$6:$BC$53,INDEX(T_Equipos[Grupo],MATCH(BD40,T_Equipos[NombreEquipo],0)))</f>
        <v>1</v>
      </c>
      <c r="BZ40" s="118" t="str">
        <f aca="false">IF(COUNTIFS($BY$6:$BY$53,BY40,$BC$6:$BC$53,INDEX(T_Equipos[Grupo],MATCH(BD40,T_Equipos[NombreEquipo],0)))=1,"-","P."&amp;BY40&amp;" ("&amp;COUNTIFS($BY$6:$BY$53,BY40,$BC$6:$BC$53,INDEX(T_Equipos[Grupo],MATCH(BD40,T_Equipos[NombreEquipo],0)))&amp;")")</f>
        <v>P.1 (4)</v>
      </c>
      <c r="CA40" s="119" t="n">
        <f aca="false">IF($BZ40="-","-",SUMIFS(FG_GolesLocal,FGLocal,$BD40,Part1Empate2V,$BZ40)+SUMIFS(FG_GolesVisitante,FGVisitante,$BD40,Part1Empate2L,$BZ40))</f>
        <v>0</v>
      </c>
      <c r="CB40" s="119" t="n">
        <f aca="false">IF($BZ40="-","-",SUMIFS(FG_GolesVisitante,FGLocal,$BD40,Part1Empate2V,$BZ40)+SUMIFS(FG_GolesLocal,FGVisitante,$BD40,Part1Empate2L,$BZ40))</f>
        <v>0</v>
      </c>
      <c r="CC40" s="119" t="n">
        <f aca="false">IF($BZ40="-","-",CA40-CB40)</f>
        <v>0</v>
      </c>
      <c r="CD40" s="119" t="n">
        <f aca="false">BY40+COUNTIFS($BZ$6:$BZ$53,BZ40,$CC$6:CC$53,"&gt;"&amp;CC40,$BC$6:$BC$53,INDEX(T_Equipos[Grupo],MATCH(BD40,T_Equipos[NombreEquipo],0)))</f>
        <v>1</v>
      </c>
      <c r="CE40" s="118" t="str">
        <f aca="false">IF(COUNTIFS($CD$6:$CD$53,CD40,$BC$6:$BC$53,INDEX(T_Equipos[Grupo],MATCH(BD40,T_Equipos[NombreEquipo],0)))=1,"-","P."&amp;CD40&amp;" ("&amp;COUNTIFS($CD$6:$CD$53,CD40,$BC$6:$BC$53,INDEX(T_Equipos[Grupo],MATCH(BD40,T_Equipos[NombreEquipo],0)))&amp;")")</f>
        <v>P.1 (4)</v>
      </c>
      <c r="CF40" s="119" t="n">
        <f aca="false">IF($CE40="-","-",SUMIFS(FG_GolesLocal,FGLocal,$BD40,Part1Empate3V,$CE40)+SUMIFS(FG_GolesVisitante,FGVisitante,$BD40,Part1Empate3L,$CE40))</f>
        <v>0</v>
      </c>
      <c r="CG40" s="119" t="n">
        <f aca="false">CD40+COUNTIFS($CE$6:$CE$53,CE40,$CF$6:CF$53,"&gt;"&amp;CF40,$BC$6:$BC$53,INDEX(T_Equipos[Grupo],MATCH(BD40,T_Equipos[NombreEquipo],0)))</f>
        <v>1</v>
      </c>
      <c r="CH40" s="118" t="str">
        <f aca="false">IF(COUNTIFS($CG$6:$CG$53,CG40,$BC$6:$BC$53,INDEX(T_Equipos[Grupo],MATCH(BD40,T_Equipos[NombreEquipo],0)))=1,"-","P."&amp;CG40&amp;" ("&amp;COUNTIFS($CG$6:$CG$53,CG40,$BC$6:$BC$53,INDEX(T_Equipos[Grupo],MATCH(BD40,T_Equipos[NombreEquipo],0)))&amp;")")</f>
        <v>P.1 (4)</v>
      </c>
      <c r="CI40" s="119" t="n">
        <f aca="false">IF($CH40="-","-",COUNTIFS(FGLocal,$BD40,Ganador,"Local",Part2Empate4V,$CH40)+COUNTIFS(FGVisitante,$BD40,Ganador,"Visitante",Part2Empate4L,$CH40))</f>
        <v>0</v>
      </c>
      <c r="CJ40" s="119" t="n">
        <f aca="false">IF($CH40="-","-",COUNTIFS(FGLocal,$BD40,Ganador,"Empate",Part2Empate4V,$CH40)+COUNTIFS(FGVisitante,$BD40,Ganador,"Empate",Part2Empate4L,$CH40))</f>
        <v>0</v>
      </c>
      <c r="CK40" s="119" t="n">
        <f aca="false">IF($CH40="-","-",COUNTIFS(FGLocal,$BD40,Ganador,"Visitante",Part2Empate4V,$CH40)+COUNTIFS(FGVisitante,$BD40,Ganador,"Local",Part2Empate4L,$CH40))</f>
        <v>0</v>
      </c>
      <c r="CL40" s="119" t="n">
        <f aca="false">IF($CH40="-","-",CI40*3+CJ40)</f>
        <v>0</v>
      </c>
      <c r="CM40" s="119" t="n">
        <f aca="false">CG40+COUNTIFS($CH$6:$CH$53,CH40,$CL$6:CL$53,"&gt;"&amp;CL40,$BC$6:$BC$53,INDEX(T_Equipos[Grupo],MATCH(BD40,T_Equipos[NombreEquipo],0)))</f>
        <v>1</v>
      </c>
      <c r="CN40" s="118" t="str">
        <f aca="false">IF(COUNTIFS($CM$6:$CM$53,CM40,$BC$6:$BC$53,INDEX(T_Equipos[Grupo],MATCH(BD40,T_Equipos[NombreEquipo],0)))=1,"-","P."&amp;CM40&amp;" ("&amp;COUNTIFS($CM$6:$CM$53,CM40,$BC$6:$BC$53,INDEX(T_Equipos[Grupo],MATCH(BD40,T_Equipos[NombreEquipo],0)))&amp;")")</f>
        <v>P.1 (4)</v>
      </c>
      <c r="CO40" s="119" t="n">
        <f aca="false">IF($CN40="-","-",SUMIFS(FG_GolesLocal,FGLocal,$BD40,Part2Empate5V,$CN40)+SUMIFS(FG_GolesVisitante,FGVisitante,$BD40,Part2Empate5L,$CN40))</f>
        <v>0</v>
      </c>
      <c r="CP40" s="119" t="n">
        <f aca="false">IF($CN40="-","-",SUMIFS(FG_GolesVisitante,FGLocal,$BD40,Part2Empate5V,$CN40)+SUMIFS(FG_GolesLocal,FGVisitante,$BD40,Part2Empate5L,$CN40))</f>
        <v>0</v>
      </c>
      <c r="CQ40" s="119" t="n">
        <f aca="false">IF($CN40="-","-",CO40-CP40)</f>
        <v>0</v>
      </c>
      <c r="CR40" s="119" t="n">
        <f aca="false">CM40+COUNTIFS($CN$6:$CN$53,CN40,$CQ$6:CQ$53,"&gt;"&amp;CQ40,$BC$6:$BC$53,INDEX(T_Equipos[Grupo],MATCH(BD40,T_Equipos[NombreEquipo],0)))</f>
        <v>1</v>
      </c>
      <c r="CS40" s="118" t="str">
        <f aca="false">IF(COUNTIFS($CR$6:$CR$53,CR40,$BC$6:$BC$53,INDEX(T_Equipos[Grupo],MATCH(BD40,T_Equipos[NombreEquipo],0)))=1,"-","P."&amp;CR40&amp;" ("&amp;COUNTIFS($CR$6:$CR$53,CR40,$BC$6:$BC$53,INDEX(T_Equipos[Grupo],MATCH(BD40,T_Equipos[NombreEquipo],0)))&amp;")")</f>
        <v>P.1 (4)</v>
      </c>
      <c r="CT40" s="119" t="n">
        <f aca="false">IF($CS40="-","-",SUMIFS(FG_GolesLocal,FGLocal,$BD40,Part2Empate6V,$CS40)+SUMIFS(FG_GolesVisitante,FGVisitante,$BD40,Part2Empate6L,$CS40))</f>
        <v>0</v>
      </c>
      <c r="CU40" s="119" t="n">
        <f aca="false">CR40+COUNTIFS($CS$6:$CS$53,CS40,$CT$6:CT$53,"&gt;"&amp;CT40,$BC$6:$BC$53,INDEX(T_Equipos[Grupo],MATCH(BD40,T_Equipos[NombreEquipo],0)))</f>
        <v>1</v>
      </c>
      <c r="CV40" s="118" t="str">
        <f aca="false">IF(COUNTIFS($CU$6:$CU$53,CU40,$BC$6:$BC$53,INDEX(T_Equipos[Grupo],MATCH(BD40,T_Equipos[NombreEquipo],0)))=1,"-","P."&amp;CU40&amp;" ("&amp;COUNTIFS($CU$6:$CU$53,CU40,$BC$6:$BC$53,INDEX(T_Equipos[Grupo],MATCH(BD40,T_Equipos[NombreEquipo],0)))&amp;")")</f>
        <v>P.1 (4)</v>
      </c>
      <c r="CW40" s="118" t="n">
        <f aca="false">IF(CV40="-","-",BL40)</f>
        <v>0</v>
      </c>
      <c r="CX40" s="118" t="n">
        <f aca="false">CU40+COUNTIFS($CV$6:$CV$53,CV40,$CW$6:CW$53,"&gt;"&amp;CW40,$BC$6:$BC$53,INDEX(T_Equipos[Grupo],MATCH(BD40,T_Equipos[NombreEquipo],0)))</f>
        <v>1</v>
      </c>
      <c r="CY40" s="118" t="str">
        <f aca="false">IF(COUNTIFS($CX$6:$CX$53,CX40,$BC$6:$BC$53,INDEX(T_Equipos[Grupo],MATCH(BD40,T_Equipos[NombreEquipo],0)))=1,"-","P."&amp;CX40&amp;" ("&amp;COUNTIFS($CX$6:$CX$53,CX40,$BC$6:$BC$53,INDEX(T_Equipos[Grupo],MATCH(BD40,T_Equipos[NombreEquipo],0)))&amp;")")</f>
        <v>P.1 (4)</v>
      </c>
      <c r="CZ40" s="118" t="n">
        <f aca="false">IF(CY40="-","-",BJ40)</f>
        <v>0</v>
      </c>
      <c r="DA40" s="119" t="n">
        <f aca="false">CX40+COUNTIFS($CY$6:$CY$53,CY40,$CZ$6:CZ$53,"&gt;"&amp;CZ40,$BC$6:$BC$53,INDEX(T_Equipos[Grupo],MATCH(BD40,T_Equipos[NombreEquipo],0)))</f>
        <v>1</v>
      </c>
      <c r="DB40" s="118" t="str">
        <f aca="false">IF(COUNTIFS($DA$6:$DA$53,DA40,$BC$6:$BC$53,INDEX(T_Equipos[Grupo],MATCH(BD40,T_Equipos[NombreEquipo],0)))=1,"-","P."&amp;DA40&amp;" ("&amp;COUNTIFS($DA$6:$DA$53,DA40,$BC$6:$BC$53,INDEX(T_Equipos[Grupo],MATCH(BD40,T_Equipos[NombreEquipo],0)))&amp;")")</f>
        <v>P.1 (4)</v>
      </c>
      <c r="DC40" s="116" t="n">
        <f aca="false">IF(DB40="-","-",COUNTIFS(T_Equipos[Rank],"&lt;"&amp;INDEX(T_Equipos[Rank],MATCH(BD40,T_Equipos[NombreEquipo],0)),$BC$6:$BC$53,INDEX(T_Equipos[Grupo],MATCH(BD40,T_Equipos[NombreEquipo],0)))+1)</f>
        <v>3</v>
      </c>
      <c r="DD40" s="116" t="n">
        <f aca="false">DA40+COUNTIFS($DB$6:$DB$53,DB40,$DC$6:DC$53,"&lt;"&amp;DC40,$BC$6:$BC$53,INDEX(T_Equipos[Grupo],MATCH(BD40,T_Equipos[NombreEquipo],0)))</f>
        <v>3</v>
      </c>
      <c r="DE40" s="116"/>
      <c r="DF40" s="116" t="n">
        <f aca="false">IF(OR(INDEX($AW$6:$AW$97,MATCH($BD40,$AV$6:$AV$97,0))="",DB40="-"),DD40,INDEX($AW$6:$AW$97,MATCH($BD40,$AV$6:$AV$97,0))+DD40/1000)</f>
        <v>3</v>
      </c>
      <c r="DG40" s="116" t="n">
        <f aca="false">IF(DB40="-","-",COUNTIFS(DF$6:DF$53,"&lt;"&amp;DF40,$BC$6:$BC$53,INDEX(T_Equipos[Grupo],MATCH(BD40,T_Equipos[NombreEquipo],0))))</f>
        <v>2</v>
      </c>
      <c r="DH40" s="116" t="n">
        <f aca="false">DA40+COUNTIFS(DB$6:DB$53,DB40,DG$6:DG$53,"&lt;"&amp;DG40,$BC$6:$BC$53,INDEX(T_Equipos[Grupo],MATCH(BD40,T_Equipos[NombreEquipo],0)))</f>
        <v>3</v>
      </c>
      <c r="DI40" s="55"/>
      <c r="DJ40" s="55" t="n">
        <f aca="false">INDEX($DA$6:$DA$53,MATCH($DQ40,$BD$6:$BD$53,0))</f>
        <v>1</v>
      </c>
      <c r="DK40" s="55" t="n">
        <f aca="false">+SUMIF($BC$6:$BC$53,BC40,$BF$6:$BF$53)</f>
        <v>0</v>
      </c>
      <c r="DL40" s="55" t="n">
        <f aca="false">IF(OR(DK40=12,$AJ$99=144),COUNTIFS($DJ$6:$DJ$53,DJ40,$BC$6:$BC$53,BC40),1)</f>
        <v>1</v>
      </c>
      <c r="DM40" s="120" t="str">
        <f aca="false">DJ40&amp;"."&amp;DL40</f>
        <v>1.1</v>
      </c>
      <c r="DN40" s="55" t="n">
        <f aca="true" t="array" ref="DN40:DN40">OFFSET(Horarios!$P$3,DJ40-1,0,DL40,1)</f>
        <v>1</v>
      </c>
      <c r="DO40" s="55"/>
      <c r="DP40" s="55" t="s">
        <v>116</v>
      </c>
      <c r="DQ40" s="55" t="str">
        <f aca="false">INDEX($BD$6:$BD$53,MATCH(DP40,$BM$6:$BM$53,0))</f>
        <v>Irak</v>
      </c>
      <c r="DR40" s="55"/>
      <c r="DS40" s="55"/>
      <c r="DT40" s="55" t="str">
        <f aca="false">AA40&amp;"-"&amp;AF40</f>
        <v>Curazao-Costa de Marfil</v>
      </c>
      <c r="DU40" s="55"/>
      <c r="DV40" s="55"/>
      <c r="DW40" s="57"/>
    </row>
    <row r="41" customFormat="false" ht="16.5" hidden="false" customHeight="true" outlineLevel="0" collapsed="false">
      <c r="A41" s="39"/>
      <c r="B41" s="39"/>
      <c r="C41" s="39"/>
      <c r="D41" s="55" t="str">
        <f aca="false">IF(OR(AC41="",AD41=""),"Pendiente",IF(AC41&gt;AD41,"Local",IF(AC41&lt;AD41,"Visitante","Empate")))</f>
        <v>Pendiente</v>
      </c>
      <c r="E41" s="55" t="str">
        <f aca="false">IF(D41="Pendiente","-",INDEX($BT$6:$BT$53,MATCH($AA41,$BD$6:$BD$53,0)))</f>
        <v>-</v>
      </c>
      <c r="F41" s="55" t="str">
        <f aca="false">IF(D41="Pendiente","-",INDEX($BT$6:$BT$53,MATCH($AF41,$BD$6:$BD$53,0)))</f>
        <v>-</v>
      </c>
      <c r="G41" s="55"/>
      <c r="H41" s="55" t="str">
        <f aca="false">IF(D41="Pendiente","-",INDEX($BZ$6:$BZ$53,MATCH($AA41,$BD$6:$BD$53,0)))</f>
        <v>-</v>
      </c>
      <c r="I41" s="55" t="str">
        <f aca="false">IF(D41="Pendiente","-",INDEX($BZ$6:$BZ$53,MATCH($AF41,$BD$6:$BD$53,0)))</f>
        <v>-</v>
      </c>
      <c r="J41" s="55"/>
      <c r="K41" s="55" t="str">
        <f aca="false">IF(D41="Pendiente","-",INDEX($CE$6:$CE$53,MATCH($AA41,$BD$6:$BD$53,0)))</f>
        <v>-</v>
      </c>
      <c r="L41" s="55" t="str">
        <f aca="false">IF(D41="Pendiente","-",INDEX($CE$6:$CE$53,MATCH($AF41,$BD$6:$BD$53,0)))</f>
        <v>-</v>
      </c>
      <c r="M41" s="55"/>
      <c r="N41" s="55" t="str">
        <f aca="false">IF(D41="Pendiente","-",INDEX($CH$6:$CH$53,MATCH($AA41,$BD$6:$BD$53,0)))</f>
        <v>-</v>
      </c>
      <c r="O41" s="55" t="str">
        <f aca="false">IF(D41="Pendiente","-",INDEX($CH$6:$CH$53,MATCH($AF41,$BD$6:$BD$53,0)))</f>
        <v>-</v>
      </c>
      <c r="P41" s="55"/>
      <c r="Q41" s="55" t="str">
        <f aca="false">IF(D41="Pendiente","-",INDEX($CN$6:$CN$53,MATCH($AA41,$BD$6:$BD$53,0)))</f>
        <v>-</v>
      </c>
      <c r="R41" s="55" t="str">
        <f aca="false">IF(D41="Pendiente","-",INDEX($CN$6:$CN$53,MATCH($AF41,$BD$6:$BD$53,0)))</f>
        <v>-</v>
      </c>
      <c r="S41" s="55"/>
      <c r="T41" s="55" t="str">
        <f aca="false">IF(D41="Pendiente","-",INDEX($CS$6:$CS$53,MATCH($AA41,$BD$6:$BD$53,0)))</f>
        <v>-</v>
      </c>
      <c r="U41" s="55" t="str">
        <f aca="false">IF(D41="Pendiente","-",INDEX($CS$6:$CS$53,MATCH($AF41,$BD$6:$BD$53,0)))</f>
        <v>-</v>
      </c>
      <c r="V41" s="46"/>
      <c r="W41" s="186"/>
      <c r="X41" s="129" t="n">
        <f aca="false">Horarios!C41</f>
        <v>46198.9166666667</v>
      </c>
      <c r="Y41" s="130" t="n">
        <f aca="false">Horarios!C41</f>
        <v>46198.9166666667</v>
      </c>
      <c r="Z41" s="131" t="str">
        <f aca="false">$Z$8</f>
        <v>J3</v>
      </c>
      <c r="AA41" s="132" t="str">
        <f aca="false">A40</f>
        <v>Ecuador</v>
      </c>
      <c r="AB41" s="175" t="str">
        <f aca="true" t="array" ref="AB41:AB41">Ver_flag_local</f>
        <v/>
      </c>
      <c r="AC41" s="134"/>
      <c r="AD41" s="135"/>
      <c r="AE41" s="136" t="str">
        <f aca="true" t="array" ref="AE41:AE41">Ver_flag_visit</f>
        <v/>
      </c>
      <c r="AF41" s="137" t="str">
        <f aca="false">A37</f>
        <v>Alemania</v>
      </c>
      <c r="AG41" s="83" t="n">
        <f aca="false">IF(NOT(OR(ISBLANK(AC41),ISBLANK(AD41))),1,0)</f>
        <v>0</v>
      </c>
      <c r="AH41" s="84" t="n">
        <v>56</v>
      </c>
      <c r="AI41" s="85" t="str">
        <f aca="false">AJ41&amp;$B$36</f>
        <v>4E</v>
      </c>
      <c r="AJ41" s="138" t="n">
        <v>4</v>
      </c>
      <c r="AK41" s="184" t="str">
        <f aca="true" t="array" ref="AK41:AK41">Ver_flag_visit</f>
        <v/>
      </c>
      <c r="AL41" s="140" t="str">
        <f aca="false">IFERROR(INDEX($BD$6:$BD$53,MATCH(AI41,$BN$6:$BN$53,0)),"")</f>
        <v>Curazao</v>
      </c>
      <c r="AM41" s="141" t="n">
        <f aca="false">INDEX($BE$6:$BN$53,MATCH($AL41,$BD$6:$BD$53,0),MATCH(AM$5,$BE$5:$BN$5,0))</f>
        <v>0</v>
      </c>
      <c r="AN41" s="142" t="n">
        <f aca="false">INDEX($BE$6:$BN$53,MATCH($AL41,$BD$6:$BD$53,0),MATCH(AN$5,$BE$5:$BN$5,0))</f>
        <v>1</v>
      </c>
      <c r="AO41" s="142" t="n">
        <f aca="false">INDEX($BE$6:$BN$53,MATCH($AL41,$BD$6:$BD$53,0),MATCH(AO$5,$BE$5:$BN$5,0))</f>
        <v>0</v>
      </c>
      <c r="AP41" s="142" t="n">
        <f aca="false">INDEX($BE$6:$BN$53,MATCH($AL41,$BD$6:$BD$53,0),MATCH(AP$5,$BE$5:$BN$5,0))</f>
        <v>0</v>
      </c>
      <c r="AQ41" s="142" t="n">
        <f aca="false">INDEX($BE$6:$BN$53,MATCH($AL41,$BD$6:$BD$53,0),MATCH(AQ$5,$BE$5:$BN$5,0))</f>
        <v>1</v>
      </c>
      <c r="AR41" s="142" t="n">
        <f aca="false">INDEX($BE$6:$BN$53,MATCH($AL41,$BD$6:$BD$53,0),MATCH(AR$5,$BE$5:$BN$5,0))</f>
        <v>1</v>
      </c>
      <c r="AS41" s="142" t="n">
        <f aca="false">INDEX($BE$6:$BN$53,MATCH($AL41,$BD$6:$BD$53,0),MATCH(AS$5,$BE$5:$BN$5,0))</f>
        <v>7</v>
      </c>
      <c r="AT41" s="143" t="n">
        <f aca="false">INDEX($BE$6:$BN$53,MATCH($AL41,$BD$6:$BD$53,0),MATCH(AT$5,$BE$5:$BN$5,0))</f>
        <v>-6</v>
      </c>
      <c r="AU41" s="110" t="n">
        <f aca="false">INDEX($DL$6:$DL$53,MATCH(AI41,$DP$6:$DP$53,0))</f>
        <v>1</v>
      </c>
      <c r="AV41" s="111" t="str">
        <f aca="false">INDEX($BD$6:$BD$53,MATCH(AI41,$BM$6:$BM$53,0))</f>
        <v>Curazao</v>
      </c>
      <c r="AW41" s="112"/>
      <c r="AX41" s="113"/>
      <c r="AY41" s="144" t="str">
        <f aca="false">+A40</f>
        <v>Ecuador</v>
      </c>
      <c r="AZ41" s="145"/>
      <c r="BA41" s="49"/>
      <c r="BB41" s="55"/>
      <c r="BC41" s="116" t="str">
        <f aca="false">+INDEX(T_Equipos[Grupo],MATCH(WORLDCUP!BD41,T_Equipos[NombreEquipo],0))</f>
        <v>I</v>
      </c>
      <c r="BD41" s="55" t="str">
        <f aca="false">+Equipos!B37</f>
        <v>Noruega</v>
      </c>
      <c r="BE41" s="117" t="n">
        <f aca="false">+BG41*3+BH41+IF($AZ$3="no",0,INDEX($AZ$6:$AZ$97,MATCH(BD41,$AY$6:$AY$97,0)))</f>
        <v>0</v>
      </c>
      <c r="BF41" s="117" t="n">
        <f aca="false">+BG41+BH41+BI41</f>
        <v>0</v>
      </c>
      <c r="BG41" s="117" t="n">
        <f aca="false">+COUNTIFS(FGLocal,BD41,Ganador,"Local")+COUNTIFS(FGVisitante,BD41,Ganador,"Visitante")</f>
        <v>0</v>
      </c>
      <c r="BH41" s="117" t="n">
        <f aca="false">+COUNTIFS(FGLocal,BD41,Ganador,"Empate")+COUNTIFS(FGVisitante,BD41,Ganador,"Empate")</f>
        <v>0</v>
      </c>
      <c r="BI41" s="117" t="n">
        <f aca="false">+COUNTIFS(FGVisitante,BD41,Ganador,"Local")+COUNTIFS(FGLocal,BD41,Ganador,"Visitante")</f>
        <v>0</v>
      </c>
      <c r="BJ41" s="117" t="n">
        <f aca="false">+SUMIFS(FG_GolesLocal,FGLocal,BD41,Ganador,"&lt;&gt;"&amp;"Pendiente",FG_GolesLocal,"&lt;&gt;"&amp;"",FG_GolesVisitante,"&lt;&gt;"&amp;"")+SUMIFS(FG_GolesVisitante,FGVisitante,BD41,Ganador,"&lt;&gt;"&amp;"Pendiente",FG_GolesLocal,"&lt;&gt;"&amp;"",FG_GolesVisitante,"&lt;&gt;"&amp;"")</f>
        <v>0</v>
      </c>
      <c r="BK41" s="117" t="n">
        <f aca="false">+SUMIFS(FG_GolesLocal,FGVisitante,BD41,Ganador,"&lt;&gt;"&amp;"Pendiente",FG_GolesLocal,"&lt;&gt;"&amp;"",FG_GolesVisitante,"&lt;&gt;"&amp;"")+SUMIFS(FG_GolesVisitante,FGLocal,BD41,Ganador,"&lt;&gt;"&amp;"Pendiente",FG_GolesLocal,"&lt;&gt;"&amp;"",FG_GolesVisitante,"&lt;&gt;"&amp;"")</f>
        <v>0</v>
      </c>
      <c r="BL41" s="117" t="n">
        <f aca="false">+BJ41-BK41</f>
        <v>0</v>
      </c>
      <c r="BM41" s="117" t="str">
        <f aca="false">DD41&amp;BC41</f>
        <v>4I</v>
      </c>
      <c r="BN41" s="117" t="str">
        <f aca="false">DH41&amp;BC41</f>
        <v>4I</v>
      </c>
      <c r="BO41" s="118" t="n">
        <f aca="false">IF(AND($AJ$99=144,BF41&gt;=1),1,0)</f>
        <v>0</v>
      </c>
      <c r="BP41" s="118" t="n">
        <f aca="false">COUNTIFS($BO$6:$BO$53,"&gt;"&amp;BO41,$BC$6:$BC$53,INDEX(T_Equipos[Grupo],MATCH(BD41,T_Equipos[NombreEquipo],0)))+1</f>
        <v>1</v>
      </c>
      <c r="BQ41" s="118" t="str">
        <f aca="false">IF(COUNTIFS($BP$6:$BP$53,BP41,$BC$6:$BC$53,INDEX(T_Equipos[Grupo],MATCH(BD41,T_Equipos[NombreEquipo],0)))=1,"-","P."&amp;BP41&amp;" ("&amp;COUNTIFS($BP$6:$BP$53,BP41,$BC$6:$BC$53,INDEX(T_Equipos[Grupo],MATCH(BD41,T_Equipos[NombreEquipo],0)))&amp;")")</f>
        <v>P.1 (4)</v>
      </c>
      <c r="BR41" s="118" t="n">
        <f aca="false">IF($BQ41="-","-",BE41)</f>
        <v>0</v>
      </c>
      <c r="BS41" s="118" t="n">
        <f aca="false">BP41+COUNTIFS($BQ$6:$BQ$53,BQ41,$BR$6:BR$53,"&gt;"&amp;BR41,$BC$6:$BC$53,INDEX(T_Equipos[Grupo],MATCH(BD41,T_Equipos[NombreEquipo],0)))</f>
        <v>1</v>
      </c>
      <c r="BT41" s="118" t="str">
        <f aca="false">IF(COUNTIFS($BS$6:$BS$53,BS41,$BC$6:$BC$53,INDEX(T_Equipos[Grupo],MATCH(BD41,T_Equipos[NombreEquipo],0)))=1,"-","P."&amp;BS41&amp;" ("&amp;COUNTIFS($BS$6:$BS$53,BS41,$BC$6:$BC$53,INDEX(T_Equipos[Grupo],MATCH(BD41,T_Equipos[NombreEquipo],0)))&amp;")")</f>
        <v>P.1 (4)</v>
      </c>
      <c r="BU41" s="119" t="n">
        <f aca="false">IF($BT41="-","-",COUNTIFS(FGLocal,$BD41,Ganador,"Local",Part1Empate1V,$BT41)+COUNTIFS(FGVisitante,$BD41,Ganador,"Visitante",Part1Empate1L,$BT41))</f>
        <v>0</v>
      </c>
      <c r="BV41" s="119" t="n">
        <f aca="false">IF($BT41="-","-",COUNTIFS(FGLocal,$BD41,Ganador,"Empate",Part1Empate1V,$BT41)+COUNTIFS(FGVisitante,$BD41,Ganador,"Empate",Part1Empate1L,$BT41))</f>
        <v>0</v>
      </c>
      <c r="BW41" s="119" t="n">
        <f aca="false">IF($BT41="-","-",COUNTIFS(FGLocal,$BD41,Ganador,"Visitante",Part1Empate1V,$BT41)+COUNTIFS(FGVisitante,$BD41,Ganador,"Local",Part1Empate1L,$BT41))</f>
        <v>0</v>
      </c>
      <c r="BX41" s="119" t="n">
        <f aca="false">IF($BT41="-","-",BU41*3+BV41)</f>
        <v>0</v>
      </c>
      <c r="BY41" s="119" t="n">
        <f aca="false">BS41+COUNTIFS($BT$6:$BT$53,BT41,$BX$6:BX$53,"&gt;"&amp;BX41,$BC$6:$BC$53,INDEX(T_Equipos[Grupo],MATCH(BD41,T_Equipos[NombreEquipo],0)))</f>
        <v>1</v>
      </c>
      <c r="BZ41" s="118" t="str">
        <f aca="false">IF(COUNTIFS($BY$6:$BY$53,BY41,$BC$6:$BC$53,INDEX(T_Equipos[Grupo],MATCH(BD41,T_Equipos[NombreEquipo],0)))=1,"-","P."&amp;BY41&amp;" ("&amp;COUNTIFS($BY$6:$BY$53,BY41,$BC$6:$BC$53,INDEX(T_Equipos[Grupo],MATCH(BD41,T_Equipos[NombreEquipo],0)))&amp;")")</f>
        <v>P.1 (4)</v>
      </c>
      <c r="CA41" s="119" t="n">
        <f aca="false">IF($BZ41="-","-",SUMIFS(FG_GolesLocal,FGLocal,$BD41,Part1Empate2V,$BZ41)+SUMIFS(FG_GolesVisitante,FGVisitante,$BD41,Part1Empate2L,$BZ41))</f>
        <v>0</v>
      </c>
      <c r="CB41" s="119" t="n">
        <f aca="false">IF($BZ41="-","-",SUMIFS(FG_GolesVisitante,FGLocal,$BD41,Part1Empate2V,$BZ41)+SUMIFS(FG_GolesLocal,FGVisitante,$BD41,Part1Empate2L,$BZ41))</f>
        <v>0</v>
      </c>
      <c r="CC41" s="119" t="n">
        <f aca="false">IF($BZ41="-","-",CA41-CB41)</f>
        <v>0</v>
      </c>
      <c r="CD41" s="119" t="n">
        <f aca="false">BY41+COUNTIFS($BZ$6:$BZ$53,BZ41,$CC$6:CC$53,"&gt;"&amp;CC41,$BC$6:$BC$53,INDEX(T_Equipos[Grupo],MATCH(BD41,T_Equipos[NombreEquipo],0)))</f>
        <v>1</v>
      </c>
      <c r="CE41" s="118" t="str">
        <f aca="false">IF(COUNTIFS($CD$6:$CD$53,CD41,$BC$6:$BC$53,INDEX(T_Equipos[Grupo],MATCH(BD41,T_Equipos[NombreEquipo],0)))=1,"-","P."&amp;CD41&amp;" ("&amp;COUNTIFS($CD$6:$CD$53,CD41,$BC$6:$BC$53,INDEX(T_Equipos[Grupo],MATCH(BD41,T_Equipos[NombreEquipo],0)))&amp;")")</f>
        <v>P.1 (4)</v>
      </c>
      <c r="CF41" s="119" t="n">
        <f aca="false">IF($CE41="-","-",SUMIFS(FG_GolesLocal,FGLocal,$BD41,Part1Empate3V,$CE41)+SUMIFS(FG_GolesVisitante,FGVisitante,$BD41,Part1Empate3L,$CE41))</f>
        <v>0</v>
      </c>
      <c r="CG41" s="119" t="n">
        <f aca="false">CD41+COUNTIFS($CE$6:$CE$53,CE41,$CF$6:CF$53,"&gt;"&amp;CF41,$BC$6:$BC$53,INDEX(T_Equipos[Grupo],MATCH(BD41,T_Equipos[NombreEquipo],0)))</f>
        <v>1</v>
      </c>
      <c r="CH41" s="118" t="str">
        <f aca="false">IF(COUNTIFS($CG$6:$CG$53,CG41,$BC$6:$BC$53,INDEX(T_Equipos[Grupo],MATCH(BD41,T_Equipos[NombreEquipo],0)))=1,"-","P."&amp;CG41&amp;" ("&amp;COUNTIFS($CG$6:$CG$53,CG41,$BC$6:$BC$53,INDEX(T_Equipos[Grupo],MATCH(BD41,T_Equipos[NombreEquipo],0)))&amp;")")</f>
        <v>P.1 (4)</v>
      </c>
      <c r="CI41" s="119" t="n">
        <f aca="false">IF($CH41="-","-",COUNTIFS(FGLocal,$BD41,Ganador,"Local",Part2Empate4V,$CH41)+COUNTIFS(FGVisitante,$BD41,Ganador,"Visitante",Part2Empate4L,$CH41))</f>
        <v>0</v>
      </c>
      <c r="CJ41" s="119" t="n">
        <f aca="false">IF($CH41="-","-",COUNTIFS(FGLocal,$BD41,Ganador,"Empate",Part2Empate4V,$CH41)+COUNTIFS(FGVisitante,$BD41,Ganador,"Empate",Part2Empate4L,$CH41))</f>
        <v>0</v>
      </c>
      <c r="CK41" s="119" t="n">
        <f aca="false">IF($CH41="-","-",COUNTIFS(FGLocal,$BD41,Ganador,"Visitante",Part2Empate4V,$CH41)+COUNTIFS(FGVisitante,$BD41,Ganador,"Local",Part2Empate4L,$CH41))</f>
        <v>0</v>
      </c>
      <c r="CL41" s="119" t="n">
        <f aca="false">IF($CH41="-","-",CI41*3+CJ41)</f>
        <v>0</v>
      </c>
      <c r="CM41" s="119" t="n">
        <f aca="false">CG41+COUNTIFS($CH$6:$CH$53,CH41,$CL$6:CL$53,"&gt;"&amp;CL41,$BC$6:$BC$53,INDEX(T_Equipos[Grupo],MATCH(BD41,T_Equipos[NombreEquipo],0)))</f>
        <v>1</v>
      </c>
      <c r="CN41" s="118" t="str">
        <f aca="false">IF(COUNTIFS($CM$6:$CM$53,CM41,$BC$6:$BC$53,INDEX(T_Equipos[Grupo],MATCH(BD41,T_Equipos[NombreEquipo],0)))=1,"-","P."&amp;CM41&amp;" ("&amp;COUNTIFS($CM$6:$CM$53,CM41,$BC$6:$BC$53,INDEX(T_Equipos[Grupo],MATCH(BD41,T_Equipos[NombreEquipo],0)))&amp;")")</f>
        <v>P.1 (4)</v>
      </c>
      <c r="CO41" s="119" t="n">
        <f aca="false">IF($CN41="-","-",SUMIFS(FG_GolesLocal,FGLocal,$BD41,Part2Empate5V,$CN41)+SUMIFS(FG_GolesVisitante,FGVisitante,$BD41,Part2Empate5L,$CN41))</f>
        <v>0</v>
      </c>
      <c r="CP41" s="119" t="n">
        <f aca="false">IF($CN41="-","-",SUMIFS(FG_GolesVisitante,FGLocal,$BD41,Part2Empate5V,$CN41)+SUMIFS(FG_GolesLocal,FGVisitante,$BD41,Part2Empate5L,$CN41))</f>
        <v>0</v>
      </c>
      <c r="CQ41" s="119" t="n">
        <f aca="false">IF($CN41="-","-",CO41-CP41)</f>
        <v>0</v>
      </c>
      <c r="CR41" s="119" t="n">
        <f aca="false">CM41+COUNTIFS($CN$6:$CN$53,CN41,$CQ$6:CQ$53,"&gt;"&amp;CQ41,$BC$6:$BC$53,INDEX(T_Equipos[Grupo],MATCH(BD41,T_Equipos[NombreEquipo],0)))</f>
        <v>1</v>
      </c>
      <c r="CS41" s="118" t="str">
        <f aca="false">IF(COUNTIFS($CR$6:$CR$53,CR41,$BC$6:$BC$53,INDEX(T_Equipos[Grupo],MATCH(BD41,T_Equipos[NombreEquipo],0)))=1,"-","P."&amp;CR41&amp;" ("&amp;COUNTIFS($CR$6:$CR$53,CR41,$BC$6:$BC$53,INDEX(T_Equipos[Grupo],MATCH(BD41,T_Equipos[NombreEquipo],0)))&amp;")")</f>
        <v>P.1 (4)</v>
      </c>
      <c r="CT41" s="119" t="n">
        <f aca="false">IF($CS41="-","-",SUMIFS(FG_GolesLocal,FGLocal,$BD41,Part2Empate6V,$CS41)+SUMIFS(FG_GolesVisitante,FGVisitante,$BD41,Part2Empate6L,$CS41))</f>
        <v>0</v>
      </c>
      <c r="CU41" s="119" t="n">
        <f aca="false">CR41+COUNTIFS($CS$6:$CS$53,CS41,$CT$6:CT$53,"&gt;"&amp;CT41,$BC$6:$BC$53,INDEX(T_Equipos[Grupo],MATCH(BD41,T_Equipos[NombreEquipo],0)))</f>
        <v>1</v>
      </c>
      <c r="CV41" s="118" t="str">
        <f aca="false">IF(COUNTIFS($CU$6:$CU$53,CU41,$BC$6:$BC$53,INDEX(T_Equipos[Grupo],MATCH(BD41,T_Equipos[NombreEquipo],0)))=1,"-","P."&amp;CU41&amp;" ("&amp;COUNTIFS($CU$6:$CU$53,CU41,$BC$6:$BC$53,INDEX(T_Equipos[Grupo],MATCH(BD41,T_Equipos[NombreEquipo],0)))&amp;")")</f>
        <v>P.1 (4)</v>
      </c>
      <c r="CW41" s="118" t="n">
        <f aca="false">IF(CV41="-","-",BL41)</f>
        <v>0</v>
      </c>
      <c r="CX41" s="118" t="n">
        <f aca="false">CU41+COUNTIFS($CV$6:$CV$53,CV41,$CW$6:CW$53,"&gt;"&amp;CW41,$BC$6:$BC$53,INDEX(T_Equipos[Grupo],MATCH(BD41,T_Equipos[NombreEquipo],0)))</f>
        <v>1</v>
      </c>
      <c r="CY41" s="118" t="str">
        <f aca="false">IF(COUNTIFS($CX$6:$CX$53,CX41,$BC$6:$BC$53,INDEX(T_Equipos[Grupo],MATCH(BD41,T_Equipos[NombreEquipo],0)))=1,"-","P."&amp;CX41&amp;" ("&amp;COUNTIFS($CX$6:$CX$53,CX41,$BC$6:$BC$53,INDEX(T_Equipos[Grupo],MATCH(BD41,T_Equipos[NombreEquipo],0)))&amp;")")</f>
        <v>P.1 (4)</v>
      </c>
      <c r="CZ41" s="118" t="n">
        <f aca="false">IF(CY41="-","-",BJ41)</f>
        <v>0</v>
      </c>
      <c r="DA41" s="119" t="n">
        <f aca="false">CX41+COUNTIFS($CY$6:$CY$53,CY41,$CZ$6:CZ$53,"&gt;"&amp;CZ41,$BC$6:$BC$53,INDEX(T_Equipos[Grupo],MATCH(BD41,T_Equipos[NombreEquipo],0)))</f>
        <v>1</v>
      </c>
      <c r="DB41" s="118" t="str">
        <f aca="false">IF(COUNTIFS($DA$6:$DA$53,DA41,$BC$6:$BC$53,INDEX(T_Equipos[Grupo],MATCH(BD41,T_Equipos[NombreEquipo],0)))=1,"-","P."&amp;DA41&amp;" ("&amp;COUNTIFS($DA$6:$DA$53,DA41,$BC$6:$BC$53,INDEX(T_Equipos[Grupo],MATCH(BD41,T_Equipos[NombreEquipo],0)))&amp;")")</f>
        <v>P.1 (4)</v>
      </c>
      <c r="DC41" s="116" t="n">
        <f aca="false">IF(DB41="-","-",COUNTIFS(T_Equipos[Rank],"&lt;"&amp;INDEX(T_Equipos[Rank],MATCH(BD41,T_Equipos[NombreEquipo],0)),$BC$6:$BC$53,INDEX(T_Equipos[Grupo],MATCH(BD41,T_Equipos[NombreEquipo],0)))+1)</f>
        <v>4</v>
      </c>
      <c r="DD41" s="116" t="n">
        <f aca="false">DA41+COUNTIFS($DB$6:$DB$53,DB41,$DC$6:DC$53,"&lt;"&amp;DC41,$BC$6:$BC$53,INDEX(T_Equipos[Grupo],MATCH(BD41,T_Equipos[NombreEquipo],0)))</f>
        <v>4</v>
      </c>
      <c r="DE41" s="116"/>
      <c r="DF41" s="116" t="n">
        <f aca="false">IF(OR(INDEX($AW$6:$AW$97,MATCH($BD41,$AV$6:$AV$97,0))="",DB41="-"),DD41,INDEX($AW$6:$AW$97,MATCH($BD41,$AV$6:$AV$97,0))+DD41/1000)</f>
        <v>4</v>
      </c>
      <c r="DG41" s="116" t="n">
        <f aca="false">IF(DB41="-","-",COUNTIFS(DF$6:DF$53,"&lt;"&amp;DF41,$BC$6:$BC$53,INDEX(T_Equipos[Grupo],MATCH(BD41,T_Equipos[NombreEquipo],0))))</f>
        <v>3</v>
      </c>
      <c r="DH41" s="116" t="n">
        <f aca="false">DA41+COUNTIFS(DB$6:DB$53,DB41,DG$6:DG$53,"&lt;"&amp;DG41,$BC$6:$BC$53,INDEX(T_Equipos[Grupo],MATCH(BD41,T_Equipos[NombreEquipo],0)))</f>
        <v>4</v>
      </c>
      <c r="DI41" s="55"/>
      <c r="DJ41" s="55" t="n">
        <f aca="false">INDEX($DA$6:$DA$53,MATCH($DQ41,$BD$6:$BD$53,0))</f>
        <v>1</v>
      </c>
      <c r="DK41" s="55" t="n">
        <f aca="false">+SUMIF($BC$6:$BC$53,BC41,$BF$6:$BF$53)</f>
        <v>0</v>
      </c>
      <c r="DL41" s="55" t="n">
        <f aca="false">IF(OR(DK41=12,$AJ$99=144),COUNTIFS($DJ$6:$DJ$53,DJ41,$BC$6:$BC$53,BC41),1)</f>
        <v>1</v>
      </c>
      <c r="DM41" s="120" t="str">
        <f aca="false">DJ41&amp;"."&amp;DL41</f>
        <v>1.1</v>
      </c>
      <c r="DN41" s="55" t="n">
        <f aca="true" t="array" ref="DN41:DN41">OFFSET(Horarios!$P$3,DJ41-1,0,DL41,1)</f>
        <v>1</v>
      </c>
      <c r="DO41" s="55"/>
      <c r="DP41" s="55" t="s">
        <v>117</v>
      </c>
      <c r="DQ41" s="55" t="str">
        <f aca="false">INDEX($BD$6:$BD$53,MATCH(DP41,$BM$6:$BM$53,0))</f>
        <v>Noruega</v>
      </c>
      <c r="DR41" s="55"/>
      <c r="DS41" s="55"/>
      <c r="DT41" s="55" t="str">
        <f aca="false">AA41&amp;"-"&amp;AF41</f>
        <v>Ecuador-Alemania</v>
      </c>
      <c r="DU41" s="55"/>
      <c r="DV41" s="55"/>
      <c r="DW41" s="57"/>
    </row>
    <row r="42" customFormat="false" ht="15" hidden="false" customHeight="false" outlineLevel="0" collapsed="false">
      <c r="A42" s="39"/>
      <c r="B42" s="39"/>
      <c r="C42" s="39"/>
      <c r="D42" s="55"/>
      <c r="E42" s="55"/>
      <c r="F42" s="55"/>
      <c r="G42" s="55"/>
      <c r="H42" s="55"/>
      <c r="I42" s="55"/>
      <c r="J42" s="55"/>
      <c r="K42" s="55"/>
      <c r="L42" s="55"/>
      <c r="M42" s="55"/>
      <c r="N42" s="55"/>
      <c r="O42" s="55"/>
      <c r="P42" s="55"/>
      <c r="Q42" s="55"/>
      <c r="R42" s="55"/>
      <c r="S42" s="55"/>
      <c r="T42" s="55"/>
      <c r="U42" s="55"/>
      <c r="V42" s="46"/>
      <c r="W42" s="146"/>
      <c r="X42" s="147"/>
      <c r="Y42" s="146"/>
      <c r="Z42" s="148"/>
      <c r="AA42" s="149"/>
      <c r="AB42" s="150"/>
      <c r="AC42" s="151"/>
      <c r="AD42" s="151"/>
      <c r="AE42" s="150"/>
      <c r="AF42" s="152"/>
      <c r="AG42" s="182"/>
      <c r="AH42" s="84"/>
      <c r="AI42" s="43"/>
      <c r="AJ42" s="153"/>
      <c r="AK42" s="154"/>
      <c r="AL42" s="66"/>
      <c r="AM42" s="155"/>
      <c r="AN42" s="153"/>
      <c r="AO42" s="153"/>
      <c r="AP42" s="153"/>
      <c r="AQ42" s="153"/>
      <c r="AR42" s="153"/>
      <c r="AS42" s="153"/>
      <c r="AT42" s="153"/>
      <c r="AU42" s="156"/>
      <c r="AV42" s="157"/>
      <c r="AW42" s="158"/>
      <c r="AX42" s="113"/>
      <c r="AY42" s="146"/>
      <c r="AZ42" s="147"/>
      <c r="BA42" s="49"/>
      <c r="BB42" s="55"/>
      <c r="BC42" s="116" t="str">
        <f aca="false">+INDEX(T_Equipos[Grupo],MATCH(WORLDCUP!BD42,T_Equipos[NombreEquipo],0))</f>
        <v>J</v>
      </c>
      <c r="BD42" s="55" t="str">
        <f aca="false">+Equipos!B38</f>
        <v>Argentina</v>
      </c>
      <c r="BE42" s="117" t="n">
        <f aca="false">+BG42*3+BH42+IF($AZ$3="no",0,INDEX($AZ$6:$AZ$97,MATCH(BD42,$AY$6:$AY$97,0)))</f>
        <v>0</v>
      </c>
      <c r="BF42" s="117" t="n">
        <f aca="false">+BG42+BH42+BI42</f>
        <v>0</v>
      </c>
      <c r="BG42" s="117" t="n">
        <f aca="false">+COUNTIFS(FGLocal,BD42,Ganador,"Local")+COUNTIFS(FGVisitante,BD42,Ganador,"Visitante")</f>
        <v>0</v>
      </c>
      <c r="BH42" s="117" t="n">
        <f aca="false">+COUNTIFS(FGLocal,BD42,Ganador,"Empate")+COUNTIFS(FGVisitante,BD42,Ganador,"Empate")</f>
        <v>0</v>
      </c>
      <c r="BI42" s="117" t="n">
        <f aca="false">+COUNTIFS(FGVisitante,BD42,Ganador,"Local")+COUNTIFS(FGLocal,BD42,Ganador,"Visitante")</f>
        <v>0</v>
      </c>
      <c r="BJ42" s="117" t="n">
        <f aca="false">+SUMIFS(FG_GolesLocal,FGLocal,BD42,Ganador,"&lt;&gt;"&amp;"Pendiente",FG_GolesLocal,"&lt;&gt;"&amp;"",FG_GolesVisitante,"&lt;&gt;"&amp;"")+SUMIFS(FG_GolesVisitante,FGVisitante,BD42,Ganador,"&lt;&gt;"&amp;"Pendiente",FG_GolesLocal,"&lt;&gt;"&amp;"",FG_GolesVisitante,"&lt;&gt;"&amp;"")</f>
        <v>0</v>
      </c>
      <c r="BK42" s="117" t="n">
        <f aca="false">+SUMIFS(FG_GolesLocal,FGVisitante,BD42,Ganador,"&lt;&gt;"&amp;"Pendiente",FG_GolesLocal,"&lt;&gt;"&amp;"",FG_GolesVisitante,"&lt;&gt;"&amp;"")+SUMIFS(FG_GolesVisitante,FGLocal,BD42,Ganador,"&lt;&gt;"&amp;"Pendiente",FG_GolesLocal,"&lt;&gt;"&amp;"",FG_GolesVisitante,"&lt;&gt;"&amp;"")</f>
        <v>0</v>
      </c>
      <c r="BL42" s="117" t="n">
        <f aca="false">+BJ42-BK42</f>
        <v>0</v>
      </c>
      <c r="BM42" s="117" t="str">
        <f aca="false">DD42&amp;BC42</f>
        <v>1J</v>
      </c>
      <c r="BN42" s="117" t="str">
        <f aca="false">DH42&amp;BC42</f>
        <v>1J</v>
      </c>
      <c r="BO42" s="119" t="n">
        <f aca="false">IF(AND($AJ$99=144,BF42&gt;=1),1,0)</f>
        <v>0</v>
      </c>
      <c r="BP42" s="118" t="n">
        <f aca="false">COUNTIFS($BO$6:$BO$53,"&gt;"&amp;BO42,$BC$6:$BC$53,INDEX(T_Equipos[Grupo],MATCH(BD42,T_Equipos[NombreEquipo],0)))+1</f>
        <v>1</v>
      </c>
      <c r="BQ42" s="118" t="str">
        <f aca="false">IF(COUNTIFS($BP$6:$BP$53,BP42,$BC$6:$BC$53,INDEX(T_Equipos[Grupo],MATCH(BD42,T_Equipos[NombreEquipo],0)))=1,"-","P."&amp;BP42&amp;" ("&amp;COUNTIFS($BP$6:$BP$53,BP42,$BC$6:$BC$53,INDEX(T_Equipos[Grupo],MATCH(BD42,T_Equipos[NombreEquipo],0)))&amp;")")</f>
        <v>P.1 (4)</v>
      </c>
      <c r="BR42" s="119" t="n">
        <f aca="false">IF($BQ42="-","-",BE42)</f>
        <v>0</v>
      </c>
      <c r="BS42" s="118" t="n">
        <f aca="false">BP42+COUNTIFS($BQ$6:$BQ$53,BQ42,$BR$6:BR$53,"&gt;"&amp;BR42,$BC$6:$BC$53,INDEX(T_Equipos[Grupo],MATCH(BD42,T_Equipos[NombreEquipo],0)))</f>
        <v>1</v>
      </c>
      <c r="BT42" s="118" t="str">
        <f aca="false">IF(COUNTIFS($BS$6:$BS$53,BS42,$BC$6:$BC$53,INDEX(T_Equipos[Grupo],MATCH(BD42,T_Equipos[NombreEquipo],0)))=1,"-","P."&amp;BS42&amp;" ("&amp;COUNTIFS($BS$6:$BS$53,BS42,$BC$6:$BC$53,INDEX(T_Equipos[Grupo],MATCH(BD42,T_Equipos[NombreEquipo],0)))&amp;")")</f>
        <v>P.1 (4)</v>
      </c>
      <c r="BU42" s="119" t="n">
        <f aca="false">IF($BT42="-","-",COUNTIFS(FGLocal,$BD42,Ganador,"Local",Part1Empate1V,$BT42)+COUNTIFS(FGVisitante,$BD42,Ganador,"Visitante",Part1Empate1L,$BT42))</f>
        <v>0</v>
      </c>
      <c r="BV42" s="119" t="n">
        <f aca="false">IF($BT42="-","-",COUNTIFS(FGLocal,$BD42,Ganador,"Empate",Part1Empate1V,$BT42)+COUNTIFS(FGVisitante,$BD42,Ganador,"Empate",Part1Empate1L,$BT42))</f>
        <v>0</v>
      </c>
      <c r="BW42" s="119" t="n">
        <f aca="false">IF($BT42="-","-",COUNTIFS(FGLocal,$BD42,Ganador,"Visitante",Part1Empate1V,$BT42)+COUNTIFS(FGVisitante,$BD42,Ganador,"Local",Part1Empate1L,$BT42))</f>
        <v>0</v>
      </c>
      <c r="BX42" s="119" t="n">
        <f aca="false">IF($BT42="-","-",BU42*3+BV42)</f>
        <v>0</v>
      </c>
      <c r="BY42" s="119" t="n">
        <f aca="false">BS42+COUNTIFS($BT$6:$BT$53,BT42,$BX$6:BX$53,"&gt;"&amp;BX42,$BC$6:$BC$53,INDEX(T_Equipos[Grupo],MATCH(BD42,T_Equipos[NombreEquipo],0)))</f>
        <v>1</v>
      </c>
      <c r="BZ42" s="118" t="str">
        <f aca="false">IF(COUNTIFS($BY$6:$BY$53,BY42,$BC$6:$BC$53,INDEX(T_Equipos[Grupo],MATCH(BD42,T_Equipos[NombreEquipo],0)))=1,"-","P."&amp;BY42&amp;" ("&amp;COUNTIFS($BY$6:$BY$53,BY42,$BC$6:$BC$53,INDEX(T_Equipos[Grupo],MATCH(BD42,T_Equipos[NombreEquipo],0)))&amp;")")</f>
        <v>P.1 (4)</v>
      </c>
      <c r="CA42" s="119" t="n">
        <f aca="false">IF($BZ42="-","-",SUMIFS(FG_GolesLocal,FGLocal,$BD42,Part1Empate2V,$BZ42)+SUMIFS(FG_GolesVisitante,FGVisitante,$BD42,Part1Empate2L,$BZ42))</f>
        <v>0</v>
      </c>
      <c r="CB42" s="119" t="n">
        <f aca="false">IF($BZ42="-","-",SUMIFS(FG_GolesVisitante,FGLocal,$BD42,Part1Empate2V,$BZ42)+SUMIFS(FG_GolesLocal,FGVisitante,$BD42,Part1Empate2L,$BZ42))</f>
        <v>0</v>
      </c>
      <c r="CC42" s="119" t="n">
        <f aca="false">IF($BZ42="-","-",CA42-CB42)</f>
        <v>0</v>
      </c>
      <c r="CD42" s="119" t="n">
        <f aca="false">BY42+COUNTIFS($BZ$6:$BZ$53,BZ42,$CC$6:CC$53,"&gt;"&amp;CC42,$BC$6:$BC$53,INDEX(T_Equipos[Grupo],MATCH(BD42,T_Equipos[NombreEquipo],0)))</f>
        <v>1</v>
      </c>
      <c r="CE42" s="118" t="str">
        <f aca="false">IF(COUNTIFS($CD$6:$CD$53,CD42,$BC$6:$BC$53,INDEX(T_Equipos[Grupo],MATCH(BD42,T_Equipos[NombreEquipo],0)))=1,"-","P."&amp;CD42&amp;" ("&amp;COUNTIFS($CD$6:$CD$53,CD42,$BC$6:$BC$53,INDEX(T_Equipos[Grupo],MATCH(BD42,T_Equipos[NombreEquipo],0)))&amp;")")</f>
        <v>P.1 (4)</v>
      </c>
      <c r="CF42" s="119" t="n">
        <f aca="false">IF($CE42="-","-",SUMIFS(FG_GolesLocal,FGLocal,$BD42,Part1Empate3V,$CE42)+SUMIFS(FG_GolesVisitante,FGVisitante,$BD42,Part1Empate3L,$CE42))</f>
        <v>0</v>
      </c>
      <c r="CG42" s="119" t="n">
        <f aca="false">CD42+COUNTIFS($CE$6:$CE$53,CE42,$CF$6:CF$53,"&gt;"&amp;CF42,$BC$6:$BC$53,INDEX(T_Equipos[Grupo],MATCH(BD42,T_Equipos[NombreEquipo],0)))</f>
        <v>1</v>
      </c>
      <c r="CH42" s="118" t="str">
        <f aca="false">IF(COUNTIFS($CG$6:$CG$53,CG42,$BC$6:$BC$53,INDEX(T_Equipos[Grupo],MATCH(BD42,T_Equipos[NombreEquipo],0)))=1,"-","P."&amp;CG42&amp;" ("&amp;COUNTIFS($CG$6:$CG$53,CG42,$BC$6:$BC$53,INDEX(T_Equipos[Grupo],MATCH(BD42,T_Equipos[NombreEquipo],0)))&amp;")")</f>
        <v>P.1 (4)</v>
      </c>
      <c r="CI42" s="119" t="n">
        <f aca="false">IF($CH42="-","-",COUNTIFS(FGLocal,$BD42,Ganador,"Local",Part2Empate4V,$CH42)+COUNTIFS(FGVisitante,$BD42,Ganador,"Visitante",Part2Empate4L,$CH42))</f>
        <v>0</v>
      </c>
      <c r="CJ42" s="119" t="n">
        <f aca="false">IF($CH42="-","-",COUNTIFS(FGLocal,$BD42,Ganador,"Empate",Part2Empate4V,$CH42)+COUNTIFS(FGVisitante,$BD42,Ganador,"Empate",Part2Empate4L,$CH42))</f>
        <v>0</v>
      </c>
      <c r="CK42" s="119" t="n">
        <f aca="false">IF($CH42="-","-",COUNTIFS(FGLocal,$BD42,Ganador,"Visitante",Part2Empate4V,$CH42)+COUNTIFS(FGVisitante,$BD42,Ganador,"Local",Part2Empate4L,$CH42))</f>
        <v>0</v>
      </c>
      <c r="CL42" s="119" t="n">
        <f aca="false">IF($CH42="-","-",CI42*3+CJ42)</f>
        <v>0</v>
      </c>
      <c r="CM42" s="119" t="n">
        <f aca="false">CG42+COUNTIFS($CH$6:$CH$53,CH42,$CL$6:CL$53,"&gt;"&amp;CL42,$BC$6:$BC$53,INDEX(T_Equipos[Grupo],MATCH(BD42,T_Equipos[NombreEquipo],0)))</f>
        <v>1</v>
      </c>
      <c r="CN42" s="118" t="str">
        <f aca="false">IF(COUNTIFS($CM$6:$CM$53,CM42,$BC$6:$BC$53,INDEX(T_Equipos[Grupo],MATCH(BD42,T_Equipos[NombreEquipo],0)))=1,"-","P."&amp;CM42&amp;" ("&amp;COUNTIFS($CM$6:$CM$53,CM42,$BC$6:$BC$53,INDEX(T_Equipos[Grupo],MATCH(BD42,T_Equipos[NombreEquipo],0)))&amp;")")</f>
        <v>P.1 (4)</v>
      </c>
      <c r="CO42" s="119" t="n">
        <f aca="false">IF($CN42="-","-",SUMIFS(FG_GolesLocal,FGLocal,$BD42,Part2Empate5V,$CN42)+SUMIFS(FG_GolesVisitante,FGVisitante,$BD42,Part2Empate5L,$CN42))</f>
        <v>0</v>
      </c>
      <c r="CP42" s="119" t="n">
        <f aca="false">IF($CN42="-","-",SUMIFS(FG_GolesVisitante,FGLocal,$BD42,Part2Empate5V,$CN42)+SUMIFS(FG_GolesLocal,FGVisitante,$BD42,Part2Empate5L,$CN42))</f>
        <v>0</v>
      </c>
      <c r="CQ42" s="119" t="n">
        <f aca="false">IF($CN42="-","-",CO42-CP42)</f>
        <v>0</v>
      </c>
      <c r="CR42" s="119" t="n">
        <f aca="false">CM42+COUNTIFS($CN$6:$CN$53,CN42,$CQ$6:CQ$53,"&gt;"&amp;CQ42,$BC$6:$BC$53,INDEX(T_Equipos[Grupo],MATCH(BD42,T_Equipos[NombreEquipo],0)))</f>
        <v>1</v>
      </c>
      <c r="CS42" s="118" t="str">
        <f aca="false">IF(COUNTIFS($CR$6:$CR$53,CR42,$BC$6:$BC$53,INDEX(T_Equipos[Grupo],MATCH(BD42,T_Equipos[NombreEquipo],0)))=1,"-","P."&amp;CR42&amp;" ("&amp;COUNTIFS($CR$6:$CR$53,CR42,$BC$6:$BC$53,INDEX(T_Equipos[Grupo],MATCH(BD42,T_Equipos[NombreEquipo],0)))&amp;")")</f>
        <v>P.1 (4)</v>
      </c>
      <c r="CT42" s="119" t="n">
        <f aca="false">IF($CS42="-","-",SUMIFS(FG_GolesLocal,FGLocal,$BD42,Part2Empate6V,$CS42)+SUMIFS(FG_GolesVisitante,FGVisitante,$BD42,Part2Empate6L,$CS42))</f>
        <v>0</v>
      </c>
      <c r="CU42" s="119" t="n">
        <f aca="false">CR42+COUNTIFS($CS$6:$CS$53,CS42,$CT$6:CT$53,"&gt;"&amp;CT42,$BC$6:$BC$53,INDEX(T_Equipos[Grupo],MATCH(BD42,T_Equipos[NombreEquipo],0)))</f>
        <v>1</v>
      </c>
      <c r="CV42" s="118" t="str">
        <f aca="false">IF(COUNTIFS($CU$6:$CU$53,CU42,$BC$6:$BC$53,INDEX(T_Equipos[Grupo],MATCH(BD42,T_Equipos[NombreEquipo],0)))=1,"-","P."&amp;CU42&amp;" ("&amp;COUNTIFS($CU$6:$CU$53,CU42,$BC$6:$BC$53,INDEX(T_Equipos[Grupo],MATCH(BD42,T_Equipos[NombreEquipo],0)))&amp;")")</f>
        <v>P.1 (4)</v>
      </c>
      <c r="CW42" s="118" t="n">
        <f aca="false">IF(CV42="-","-",BL42)</f>
        <v>0</v>
      </c>
      <c r="CX42" s="118" t="n">
        <f aca="false">CU42+COUNTIFS($CV$6:$CV$53,CV42,$CW$6:CW$53,"&gt;"&amp;CW42,$BC$6:$BC$53,INDEX(T_Equipos[Grupo],MATCH(BD42,T_Equipos[NombreEquipo],0)))</f>
        <v>1</v>
      </c>
      <c r="CY42" s="118" t="str">
        <f aca="false">IF(COUNTIFS($CX$6:$CX$53,CX42,$BC$6:$BC$53,INDEX(T_Equipos[Grupo],MATCH(BD42,T_Equipos[NombreEquipo],0)))=1,"-","P."&amp;CX42&amp;" ("&amp;COUNTIFS($CX$6:$CX$53,CX42,$BC$6:$BC$53,INDEX(T_Equipos[Grupo],MATCH(BD42,T_Equipos[NombreEquipo],0)))&amp;")")</f>
        <v>P.1 (4)</v>
      </c>
      <c r="CZ42" s="118" t="n">
        <f aca="false">IF(CY42="-","-",BJ42)</f>
        <v>0</v>
      </c>
      <c r="DA42" s="119" t="n">
        <f aca="false">CX42+COUNTIFS($CY$6:$CY$53,CY42,$CZ$6:CZ$53,"&gt;"&amp;CZ42,$BC$6:$BC$53,INDEX(T_Equipos[Grupo],MATCH(BD42,T_Equipos[NombreEquipo],0)))</f>
        <v>1</v>
      </c>
      <c r="DB42" s="118" t="str">
        <f aca="false">IF(COUNTIFS($DA$6:$DA$53,DA42,$BC$6:$BC$53,INDEX(T_Equipos[Grupo],MATCH(BD42,T_Equipos[NombreEquipo],0)))=1,"-","P."&amp;DA42&amp;" ("&amp;COUNTIFS($DA$6:$DA$53,DA42,$BC$6:$BC$53,INDEX(T_Equipos[Grupo],MATCH(BD42,T_Equipos[NombreEquipo],0)))&amp;")")</f>
        <v>P.1 (4)</v>
      </c>
      <c r="DC42" s="116" t="n">
        <f aca="false">IF(DB42="-","-",COUNTIFS(T_Equipos[Rank],"&lt;"&amp;INDEX(T_Equipos[Rank],MATCH(BD42,T_Equipos[NombreEquipo],0)),$BC$6:$BC$53,INDEX(T_Equipos[Grupo],MATCH(BD42,T_Equipos[NombreEquipo],0)))+1)</f>
        <v>1</v>
      </c>
      <c r="DD42" s="116" t="n">
        <f aca="false">DA42+COUNTIFS($DB$6:$DB$53,DB42,$DC$6:DC$53,"&lt;"&amp;DC42,$BC$6:$BC$53,INDEX(T_Equipos[Grupo],MATCH(BD42,T_Equipos[NombreEquipo],0)))</f>
        <v>1</v>
      </c>
      <c r="DE42" s="116"/>
      <c r="DF42" s="116" t="n">
        <f aca="false">IF(OR(INDEX($AW$6:$AW$97,MATCH($BD42,$AV$6:$AV$97,0))="",DB42="-"),DD42,INDEX($AW$6:$AW$97,MATCH($BD42,$AV$6:$AV$97,0))+DD42/1000)</f>
        <v>1</v>
      </c>
      <c r="DG42" s="116" t="n">
        <f aca="false">IF(DB42="-","-",COUNTIFS(DF$6:DF$53,"&lt;"&amp;DF42,$BC$6:$BC$53,INDEX(T_Equipos[Grupo],MATCH(BD42,T_Equipos[NombreEquipo],0))))</f>
        <v>0</v>
      </c>
      <c r="DH42" s="116" t="n">
        <f aca="false">DA42+COUNTIFS(DB$6:DB$53,DB42,DG$6:DG$53,"&lt;"&amp;DG42,$BC$6:$BC$53,INDEX(T_Equipos[Grupo],MATCH(BD42,T_Equipos[NombreEquipo],0)))</f>
        <v>1</v>
      </c>
      <c r="DI42" s="55"/>
      <c r="DJ42" s="55" t="n">
        <f aca="false">INDEX($DA$6:$DA$53,MATCH($DQ42,$BD$6:$BD$53,0))</f>
        <v>1</v>
      </c>
      <c r="DK42" s="55" t="n">
        <f aca="false">+SUMIF($BC$6:$BC$53,BC42,$BF$6:$BF$53)</f>
        <v>0</v>
      </c>
      <c r="DL42" s="55" t="n">
        <f aca="false">IF(OR(DK42=12,$AJ$99=144),COUNTIFS($DJ$6:$DJ$53,DJ42,$BC$6:$BC$53,BC42),1)</f>
        <v>1</v>
      </c>
      <c r="DM42" s="120" t="str">
        <f aca="false">DJ42&amp;"."&amp;DL42</f>
        <v>1.1</v>
      </c>
      <c r="DN42" s="55" t="n">
        <f aca="true" t="array" ref="DN42:DN42">OFFSET(Horarios!$P$3,DJ42-1,0,DL42,1)</f>
        <v>1</v>
      </c>
      <c r="DO42" s="55"/>
      <c r="DP42" s="55" t="s">
        <v>118</v>
      </c>
      <c r="DQ42" s="55" t="str">
        <f aca="false">INDEX($BD$6:$BD$53,MATCH(DP42,$BM$6:$BM$53,0))</f>
        <v>Argentina</v>
      </c>
      <c r="DR42" s="55"/>
      <c r="DS42" s="55"/>
      <c r="DT42" s="55" t="str">
        <f aca="false">AA42&amp;"-"&amp;AF42</f>
        <v>-</v>
      </c>
      <c r="DU42" s="55"/>
      <c r="DV42" s="55"/>
      <c r="DW42" s="57"/>
    </row>
    <row r="43" customFormat="false" ht="15" hidden="false" customHeight="false" outlineLevel="0" collapsed="false">
      <c r="A43" s="39"/>
      <c r="B43" s="72"/>
      <c r="C43" s="39"/>
      <c r="D43" s="39"/>
      <c r="E43" s="39"/>
      <c r="F43" s="39"/>
      <c r="G43" s="39"/>
      <c r="H43" s="39"/>
      <c r="I43" s="39"/>
      <c r="J43" s="39"/>
      <c r="K43" s="39"/>
      <c r="L43" s="39"/>
      <c r="M43" s="39"/>
      <c r="N43" s="55"/>
      <c r="O43" s="55"/>
      <c r="P43" s="55"/>
      <c r="Q43" s="55"/>
      <c r="R43" s="55"/>
      <c r="S43" s="55"/>
      <c r="T43" s="55"/>
      <c r="U43" s="55"/>
      <c r="V43" s="46"/>
      <c r="W43" s="59"/>
      <c r="X43" s="60" t="str">
        <f aca="false">X27</f>
        <v>Fecha</v>
      </c>
      <c r="Y43" s="60" t="str">
        <f aca="false">Y27</f>
        <v>Hora</v>
      </c>
      <c r="Z43" s="61" t="str">
        <f aca="false">Z27</f>
        <v>Jor.</v>
      </c>
      <c r="AA43" s="62" t="str">
        <f aca="false">AA27</f>
        <v>Casa</v>
      </c>
      <c r="AB43" s="61"/>
      <c r="AC43" s="61" t="str">
        <f aca="false">AC3</f>
        <v>Gol</v>
      </c>
      <c r="AD43" s="61" t="str">
        <f aca="false">AD3</f>
        <v>Gol</v>
      </c>
      <c r="AE43" s="61"/>
      <c r="AF43" s="64" t="str">
        <f aca="false">AF27</f>
        <v>Fuera</v>
      </c>
      <c r="AG43" s="159"/>
      <c r="AH43" s="84"/>
      <c r="AI43" s="50"/>
      <c r="AJ43" s="66"/>
      <c r="AK43" s="160"/>
      <c r="AL43" s="66"/>
      <c r="AM43" s="66"/>
      <c r="AN43" s="66"/>
      <c r="AO43" s="66"/>
      <c r="AP43" s="66"/>
      <c r="AQ43" s="66"/>
      <c r="AR43" s="66"/>
      <c r="AS43" s="66"/>
      <c r="AT43" s="66"/>
      <c r="AU43" s="161"/>
      <c r="AV43" s="51"/>
      <c r="AW43" s="162"/>
      <c r="AX43" s="163"/>
      <c r="AY43" s="146"/>
      <c r="AZ43" s="147"/>
      <c r="BA43" s="49"/>
      <c r="BB43" s="55"/>
      <c r="BC43" s="116" t="str">
        <f aca="false">+INDEX(T_Equipos[Grupo],MATCH(WORLDCUP!BD43,T_Equipos[NombreEquipo],0))</f>
        <v>J</v>
      </c>
      <c r="BD43" s="55" t="str">
        <f aca="false">+Equipos!B39</f>
        <v>Argelia</v>
      </c>
      <c r="BE43" s="117" t="n">
        <f aca="false">+BG43*3+BH43+IF($AZ$3="no",0,INDEX($AZ$6:$AZ$97,MATCH(BD43,$AY$6:$AY$97,0)))</f>
        <v>0</v>
      </c>
      <c r="BF43" s="117" t="n">
        <f aca="false">+BG43+BH43+BI43</f>
        <v>0</v>
      </c>
      <c r="BG43" s="117" t="n">
        <f aca="false">+COUNTIFS(FGLocal,BD43,Ganador,"Local")+COUNTIFS(FGVisitante,BD43,Ganador,"Visitante")</f>
        <v>0</v>
      </c>
      <c r="BH43" s="117" t="n">
        <f aca="false">+COUNTIFS(FGLocal,BD43,Ganador,"Empate")+COUNTIFS(FGVisitante,BD43,Ganador,"Empate")</f>
        <v>0</v>
      </c>
      <c r="BI43" s="117" t="n">
        <f aca="false">+COUNTIFS(FGVisitante,BD43,Ganador,"Local")+COUNTIFS(FGLocal,BD43,Ganador,"Visitante")</f>
        <v>0</v>
      </c>
      <c r="BJ43" s="117" t="n">
        <f aca="false">+SUMIFS(FG_GolesLocal,FGLocal,BD43,Ganador,"&lt;&gt;"&amp;"Pendiente",FG_GolesLocal,"&lt;&gt;"&amp;"",FG_GolesVisitante,"&lt;&gt;"&amp;"")+SUMIFS(FG_GolesVisitante,FGVisitante,BD43,Ganador,"&lt;&gt;"&amp;"Pendiente",FG_GolesLocal,"&lt;&gt;"&amp;"",FG_GolesVisitante,"&lt;&gt;"&amp;"")</f>
        <v>0</v>
      </c>
      <c r="BK43" s="117" t="n">
        <f aca="false">+SUMIFS(FG_GolesLocal,FGVisitante,BD43,Ganador,"&lt;&gt;"&amp;"Pendiente",FG_GolesLocal,"&lt;&gt;"&amp;"",FG_GolesVisitante,"&lt;&gt;"&amp;"")+SUMIFS(FG_GolesVisitante,FGLocal,BD43,Ganador,"&lt;&gt;"&amp;"Pendiente",FG_GolesLocal,"&lt;&gt;"&amp;"",FG_GolesVisitante,"&lt;&gt;"&amp;"")</f>
        <v>0</v>
      </c>
      <c r="BL43" s="117" t="n">
        <f aca="false">+BJ43-BK43</f>
        <v>0</v>
      </c>
      <c r="BM43" s="117" t="str">
        <f aca="false">DD43&amp;BC43</f>
        <v>2J</v>
      </c>
      <c r="BN43" s="117" t="str">
        <f aca="false">DH43&amp;BC43</f>
        <v>2J</v>
      </c>
      <c r="BO43" s="119" t="n">
        <f aca="false">IF(AND($AJ$99=144,BF43&gt;=1),1,0)</f>
        <v>0</v>
      </c>
      <c r="BP43" s="118" t="n">
        <f aca="false">COUNTIFS($BO$6:$BO$53,"&gt;"&amp;BO43,$BC$6:$BC$53,INDEX(T_Equipos[Grupo],MATCH(BD43,T_Equipos[NombreEquipo],0)))+1</f>
        <v>1</v>
      </c>
      <c r="BQ43" s="118" t="str">
        <f aca="false">IF(COUNTIFS($BP$6:$BP$53,BP43,$BC$6:$BC$53,INDEX(T_Equipos[Grupo],MATCH(BD43,T_Equipos[NombreEquipo],0)))=1,"-","P."&amp;BP43&amp;" ("&amp;COUNTIFS($BP$6:$BP$53,BP43,$BC$6:$BC$53,INDEX(T_Equipos[Grupo],MATCH(BD43,T_Equipos[NombreEquipo],0)))&amp;")")</f>
        <v>P.1 (4)</v>
      </c>
      <c r="BR43" s="119" t="n">
        <f aca="false">IF($BQ43="-","-",BE43)</f>
        <v>0</v>
      </c>
      <c r="BS43" s="118" t="n">
        <f aca="false">BP43+COUNTIFS($BQ$6:$BQ$53,BQ43,$BR$6:BR$53,"&gt;"&amp;BR43,$BC$6:$BC$53,INDEX(T_Equipos[Grupo],MATCH(BD43,T_Equipos[NombreEquipo],0)))</f>
        <v>1</v>
      </c>
      <c r="BT43" s="118" t="str">
        <f aca="false">IF(COUNTIFS($BS$6:$BS$53,BS43,$BC$6:$BC$53,INDEX(T_Equipos[Grupo],MATCH(BD43,T_Equipos[NombreEquipo],0)))=1,"-","P."&amp;BS43&amp;" ("&amp;COUNTIFS($BS$6:$BS$53,BS43,$BC$6:$BC$53,INDEX(T_Equipos[Grupo],MATCH(BD43,T_Equipos[NombreEquipo],0)))&amp;")")</f>
        <v>P.1 (4)</v>
      </c>
      <c r="BU43" s="119" t="n">
        <f aca="false">IF($BT43="-","-",COUNTIFS(FGLocal,$BD43,Ganador,"Local",Part1Empate1V,$BT43)+COUNTIFS(FGVisitante,$BD43,Ganador,"Visitante",Part1Empate1L,$BT43))</f>
        <v>0</v>
      </c>
      <c r="BV43" s="119" t="n">
        <f aca="false">IF($BT43="-","-",COUNTIFS(FGLocal,$BD43,Ganador,"Empate",Part1Empate1V,$BT43)+COUNTIFS(FGVisitante,$BD43,Ganador,"Empate",Part1Empate1L,$BT43))</f>
        <v>0</v>
      </c>
      <c r="BW43" s="119" t="n">
        <f aca="false">IF($BT43="-","-",COUNTIFS(FGLocal,$BD43,Ganador,"Visitante",Part1Empate1V,$BT43)+COUNTIFS(FGVisitante,$BD43,Ganador,"Local",Part1Empate1L,$BT43))</f>
        <v>0</v>
      </c>
      <c r="BX43" s="119" t="n">
        <f aca="false">IF($BT43="-","-",BU43*3+BV43)</f>
        <v>0</v>
      </c>
      <c r="BY43" s="119" t="n">
        <f aca="false">BS43+COUNTIFS($BT$6:$BT$53,BT43,$BX$6:BX$53,"&gt;"&amp;BX43,$BC$6:$BC$53,INDEX(T_Equipos[Grupo],MATCH(BD43,T_Equipos[NombreEquipo],0)))</f>
        <v>1</v>
      </c>
      <c r="BZ43" s="118" t="str">
        <f aca="false">IF(COUNTIFS($BY$6:$BY$53,BY43,$BC$6:$BC$53,INDEX(T_Equipos[Grupo],MATCH(BD43,T_Equipos[NombreEquipo],0)))=1,"-","P."&amp;BY43&amp;" ("&amp;COUNTIFS($BY$6:$BY$53,BY43,$BC$6:$BC$53,INDEX(T_Equipos[Grupo],MATCH(BD43,T_Equipos[NombreEquipo],0)))&amp;")")</f>
        <v>P.1 (4)</v>
      </c>
      <c r="CA43" s="119" t="n">
        <f aca="false">IF($BZ43="-","-",SUMIFS(FG_GolesLocal,FGLocal,$BD43,Part1Empate2V,$BZ43)+SUMIFS(FG_GolesVisitante,FGVisitante,$BD43,Part1Empate2L,$BZ43))</f>
        <v>0</v>
      </c>
      <c r="CB43" s="119" t="n">
        <f aca="false">IF($BZ43="-","-",SUMIFS(FG_GolesVisitante,FGLocal,$BD43,Part1Empate2V,$BZ43)+SUMIFS(FG_GolesLocal,FGVisitante,$BD43,Part1Empate2L,$BZ43))</f>
        <v>0</v>
      </c>
      <c r="CC43" s="119" t="n">
        <f aca="false">IF($BZ43="-","-",CA43-CB43)</f>
        <v>0</v>
      </c>
      <c r="CD43" s="119" t="n">
        <f aca="false">BY43+COUNTIFS($BZ$6:$BZ$53,BZ43,$CC$6:CC$53,"&gt;"&amp;CC43,$BC$6:$BC$53,INDEX(T_Equipos[Grupo],MATCH(BD43,T_Equipos[NombreEquipo],0)))</f>
        <v>1</v>
      </c>
      <c r="CE43" s="118" t="str">
        <f aca="false">IF(COUNTIFS($CD$6:$CD$53,CD43,$BC$6:$BC$53,INDEX(T_Equipos[Grupo],MATCH(BD43,T_Equipos[NombreEquipo],0)))=1,"-","P."&amp;CD43&amp;" ("&amp;COUNTIFS($CD$6:$CD$53,CD43,$BC$6:$BC$53,INDEX(T_Equipos[Grupo],MATCH(BD43,T_Equipos[NombreEquipo],0)))&amp;")")</f>
        <v>P.1 (4)</v>
      </c>
      <c r="CF43" s="119" t="n">
        <f aca="false">IF($CE43="-","-",SUMIFS(FG_GolesLocal,FGLocal,$BD43,Part1Empate3V,$CE43)+SUMIFS(FG_GolesVisitante,FGVisitante,$BD43,Part1Empate3L,$CE43))</f>
        <v>0</v>
      </c>
      <c r="CG43" s="119" t="n">
        <f aca="false">CD43+COUNTIFS($CE$6:$CE$53,CE43,$CF$6:CF$53,"&gt;"&amp;CF43,$BC$6:$BC$53,INDEX(T_Equipos[Grupo],MATCH(BD43,T_Equipos[NombreEquipo],0)))</f>
        <v>1</v>
      </c>
      <c r="CH43" s="118" t="str">
        <f aca="false">IF(COUNTIFS($CG$6:$CG$53,CG43,$BC$6:$BC$53,INDEX(T_Equipos[Grupo],MATCH(BD43,T_Equipos[NombreEquipo],0)))=1,"-","P."&amp;CG43&amp;" ("&amp;COUNTIFS($CG$6:$CG$53,CG43,$BC$6:$BC$53,INDEX(T_Equipos[Grupo],MATCH(BD43,T_Equipos[NombreEquipo],0)))&amp;")")</f>
        <v>P.1 (4)</v>
      </c>
      <c r="CI43" s="119" t="n">
        <f aca="false">IF($CH43="-","-",COUNTIFS(FGLocal,$BD43,Ganador,"Local",Part2Empate4V,$CH43)+COUNTIFS(FGVisitante,$BD43,Ganador,"Visitante",Part2Empate4L,$CH43))</f>
        <v>0</v>
      </c>
      <c r="CJ43" s="119" t="n">
        <f aca="false">IF($CH43="-","-",COUNTIFS(FGLocal,$BD43,Ganador,"Empate",Part2Empate4V,$CH43)+COUNTIFS(FGVisitante,$BD43,Ganador,"Empate",Part2Empate4L,$CH43))</f>
        <v>0</v>
      </c>
      <c r="CK43" s="119" t="n">
        <f aca="false">IF($CH43="-","-",COUNTIFS(FGLocal,$BD43,Ganador,"Visitante",Part2Empate4V,$CH43)+COUNTIFS(FGVisitante,$BD43,Ganador,"Local",Part2Empate4L,$CH43))</f>
        <v>0</v>
      </c>
      <c r="CL43" s="119" t="n">
        <f aca="false">IF($CH43="-","-",CI43*3+CJ43)</f>
        <v>0</v>
      </c>
      <c r="CM43" s="119" t="n">
        <f aca="false">CG43+COUNTIFS($CH$6:$CH$53,CH43,$CL$6:CL$53,"&gt;"&amp;CL43,$BC$6:$BC$53,INDEX(T_Equipos[Grupo],MATCH(BD43,T_Equipos[NombreEquipo],0)))</f>
        <v>1</v>
      </c>
      <c r="CN43" s="118" t="str">
        <f aca="false">IF(COUNTIFS($CM$6:$CM$53,CM43,$BC$6:$BC$53,INDEX(T_Equipos[Grupo],MATCH(BD43,T_Equipos[NombreEquipo],0)))=1,"-","P."&amp;CM43&amp;" ("&amp;COUNTIFS($CM$6:$CM$53,CM43,$BC$6:$BC$53,INDEX(T_Equipos[Grupo],MATCH(BD43,T_Equipos[NombreEquipo],0)))&amp;")")</f>
        <v>P.1 (4)</v>
      </c>
      <c r="CO43" s="119" t="n">
        <f aca="false">IF($CN43="-","-",SUMIFS(FG_GolesLocal,FGLocal,$BD43,Part2Empate5V,$CN43)+SUMIFS(FG_GolesVisitante,FGVisitante,$BD43,Part2Empate5L,$CN43))</f>
        <v>0</v>
      </c>
      <c r="CP43" s="119" t="n">
        <f aca="false">IF($CN43="-","-",SUMIFS(FG_GolesVisitante,FGLocal,$BD43,Part2Empate5V,$CN43)+SUMIFS(FG_GolesLocal,FGVisitante,$BD43,Part2Empate5L,$CN43))</f>
        <v>0</v>
      </c>
      <c r="CQ43" s="119" t="n">
        <f aca="false">IF($CN43="-","-",CO43-CP43)</f>
        <v>0</v>
      </c>
      <c r="CR43" s="119" t="n">
        <f aca="false">CM43+COUNTIFS($CN$6:$CN$53,CN43,$CQ$6:CQ$53,"&gt;"&amp;CQ43,$BC$6:$BC$53,INDEX(T_Equipos[Grupo],MATCH(BD43,T_Equipos[NombreEquipo],0)))</f>
        <v>1</v>
      </c>
      <c r="CS43" s="118" t="str">
        <f aca="false">IF(COUNTIFS($CR$6:$CR$53,CR43,$BC$6:$BC$53,INDEX(T_Equipos[Grupo],MATCH(BD43,T_Equipos[NombreEquipo],0)))=1,"-","P."&amp;CR43&amp;" ("&amp;COUNTIFS($CR$6:$CR$53,CR43,$BC$6:$BC$53,INDEX(T_Equipos[Grupo],MATCH(BD43,T_Equipos[NombreEquipo],0)))&amp;")")</f>
        <v>P.1 (4)</v>
      </c>
      <c r="CT43" s="119" t="n">
        <f aca="false">IF($CS43="-","-",SUMIFS(FG_GolesLocal,FGLocal,$BD43,Part2Empate6V,$CS43)+SUMIFS(FG_GolesVisitante,FGVisitante,$BD43,Part2Empate6L,$CS43))</f>
        <v>0</v>
      </c>
      <c r="CU43" s="119" t="n">
        <f aca="false">CR43+COUNTIFS($CS$6:$CS$53,CS43,$CT$6:CT$53,"&gt;"&amp;CT43,$BC$6:$BC$53,INDEX(T_Equipos[Grupo],MATCH(BD43,T_Equipos[NombreEquipo],0)))</f>
        <v>1</v>
      </c>
      <c r="CV43" s="118" t="str">
        <f aca="false">IF(COUNTIFS($CU$6:$CU$53,CU43,$BC$6:$BC$53,INDEX(T_Equipos[Grupo],MATCH(BD43,T_Equipos[NombreEquipo],0)))=1,"-","P."&amp;CU43&amp;" ("&amp;COUNTIFS($CU$6:$CU$53,CU43,$BC$6:$BC$53,INDEX(T_Equipos[Grupo],MATCH(BD43,T_Equipos[NombreEquipo],0)))&amp;")")</f>
        <v>P.1 (4)</v>
      </c>
      <c r="CW43" s="118" t="n">
        <f aca="false">IF(CV43="-","-",BL43)</f>
        <v>0</v>
      </c>
      <c r="CX43" s="118" t="n">
        <f aca="false">CU43+COUNTIFS($CV$6:$CV$53,CV43,$CW$6:CW$53,"&gt;"&amp;CW43,$BC$6:$BC$53,INDEX(T_Equipos[Grupo],MATCH(BD43,T_Equipos[NombreEquipo],0)))</f>
        <v>1</v>
      </c>
      <c r="CY43" s="118" t="str">
        <f aca="false">IF(COUNTIFS($CX$6:$CX$53,CX43,$BC$6:$BC$53,INDEX(T_Equipos[Grupo],MATCH(BD43,T_Equipos[NombreEquipo],0)))=1,"-","P."&amp;CX43&amp;" ("&amp;COUNTIFS($CX$6:$CX$53,CX43,$BC$6:$BC$53,INDEX(T_Equipos[Grupo],MATCH(BD43,T_Equipos[NombreEquipo],0)))&amp;")")</f>
        <v>P.1 (4)</v>
      </c>
      <c r="CZ43" s="118" t="n">
        <f aca="false">IF(CY43="-","-",BJ43)</f>
        <v>0</v>
      </c>
      <c r="DA43" s="119" t="n">
        <f aca="false">CX43+COUNTIFS($CY$6:$CY$53,CY43,$CZ$6:CZ$53,"&gt;"&amp;CZ43,$BC$6:$BC$53,INDEX(T_Equipos[Grupo],MATCH(BD43,T_Equipos[NombreEquipo],0)))</f>
        <v>1</v>
      </c>
      <c r="DB43" s="118" t="str">
        <f aca="false">IF(COUNTIFS($DA$6:$DA$53,DA43,$BC$6:$BC$53,INDEX(T_Equipos[Grupo],MATCH(BD43,T_Equipos[NombreEquipo],0)))=1,"-","P."&amp;DA43&amp;" ("&amp;COUNTIFS($DA$6:$DA$53,DA43,$BC$6:$BC$53,INDEX(T_Equipos[Grupo],MATCH(BD43,T_Equipos[NombreEquipo],0)))&amp;")")</f>
        <v>P.1 (4)</v>
      </c>
      <c r="DC43" s="116" t="n">
        <f aca="false">IF(DB43="-","-",COUNTIFS(T_Equipos[Rank],"&lt;"&amp;INDEX(T_Equipos[Rank],MATCH(BD43,T_Equipos[NombreEquipo],0)),$BC$6:$BC$53,INDEX(T_Equipos[Grupo],MATCH(BD43,T_Equipos[NombreEquipo],0)))+1)</f>
        <v>2</v>
      </c>
      <c r="DD43" s="116" t="n">
        <f aca="false">DA43+COUNTIFS($DB$6:$DB$53,DB43,$DC$6:DC$53,"&lt;"&amp;DC43,$BC$6:$BC$53,INDEX(T_Equipos[Grupo],MATCH(BD43,T_Equipos[NombreEquipo],0)))</f>
        <v>2</v>
      </c>
      <c r="DE43" s="116"/>
      <c r="DF43" s="116" t="n">
        <f aca="false">IF(OR(INDEX($AW$6:$AW$97,MATCH($BD43,$AV$6:$AV$97,0))="",DB43="-"),DD43,INDEX($AW$6:$AW$97,MATCH($BD43,$AV$6:$AV$97,0))+DD43/1000)</f>
        <v>2</v>
      </c>
      <c r="DG43" s="116" t="n">
        <f aca="false">IF(DB43="-","-",COUNTIFS(DF$6:DF$53,"&lt;"&amp;DF43,$BC$6:$BC$53,INDEX(T_Equipos[Grupo],MATCH(BD43,T_Equipos[NombreEquipo],0))))</f>
        <v>1</v>
      </c>
      <c r="DH43" s="116" t="n">
        <f aca="false">DA43+COUNTIFS(DB$6:DB$53,DB43,DG$6:DG$53,"&lt;"&amp;DG43,$BC$6:$BC$53,INDEX(T_Equipos[Grupo],MATCH(BD43,T_Equipos[NombreEquipo],0)))</f>
        <v>2</v>
      </c>
      <c r="DI43" s="55"/>
      <c r="DJ43" s="55" t="n">
        <f aca="false">INDEX($DA$6:$DA$53,MATCH($DQ43,$BD$6:$BD$53,0))</f>
        <v>1</v>
      </c>
      <c r="DK43" s="55" t="n">
        <f aca="false">+SUMIF($BC$6:$BC$53,BC43,$BF$6:$BF$53)</f>
        <v>0</v>
      </c>
      <c r="DL43" s="55" t="n">
        <f aca="false">IF(OR(DK43=12,$AJ$99=144),COUNTIFS($DJ$6:$DJ$53,DJ43,$BC$6:$BC$53,BC43),1)</f>
        <v>1</v>
      </c>
      <c r="DM43" s="120" t="str">
        <f aca="false">DJ43&amp;"."&amp;DL43</f>
        <v>1.1</v>
      </c>
      <c r="DN43" s="55" t="n">
        <f aca="true" t="array" ref="DN43:DN43">OFFSET(Horarios!$P$3,DJ43-1,0,DL43,1)</f>
        <v>1</v>
      </c>
      <c r="DO43" s="55"/>
      <c r="DP43" s="55" t="s">
        <v>119</v>
      </c>
      <c r="DQ43" s="55" t="str">
        <f aca="false">INDEX($BD$6:$BD$53,MATCH(DP43,$BM$6:$BM$53,0))</f>
        <v>Argelia</v>
      </c>
      <c r="DR43" s="55"/>
      <c r="DS43" s="55"/>
      <c r="DT43" s="55" t="str">
        <f aca="false">AA43&amp;"-"&amp;AF43</f>
        <v>Casa-Fuera</v>
      </c>
      <c r="DU43" s="55"/>
      <c r="DV43" s="55"/>
      <c r="DW43" s="57"/>
    </row>
    <row r="44" customFormat="false" ht="15.75" hidden="false" customHeight="true" outlineLevel="0" collapsed="false">
      <c r="A44" s="71" t="s">
        <v>23</v>
      </c>
      <c r="B44" s="72" t="s">
        <v>120</v>
      </c>
      <c r="C44" s="44" t="n">
        <f aca="false">COUNTIF(Equipos!$C$2:$C$49,WORLDCUP!B44)</f>
        <v>4</v>
      </c>
      <c r="D44" s="55" t="str">
        <f aca="false">IF(OR(AC44="",AD44=""),"Pendiente",IF(AC44&gt;AD44,"Local",IF(AC44&lt;AD44,"Visitante","Empate")))</f>
        <v>Empate</v>
      </c>
      <c r="E44" s="55" t="str">
        <f aca="false">IF(D44="Pendiente","-",INDEX($BT$6:$BT$53,MATCH($AA44,$BD$6:$BD$53,0)))</f>
        <v>P.2 (2)</v>
      </c>
      <c r="F44" s="55" t="str">
        <f aca="false">IF(D44="Pendiente","-",INDEX($BT$6:$BT$53,MATCH($AF44,$BD$6:$BD$53,0)))</f>
        <v>P.2 (2)</v>
      </c>
      <c r="G44" s="55"/>
      <c r="H44" s="55" t="str">
        <f aca="false">IF(D44="Pendiente","-",INDEX($BZ$6:$BZ$53,MATCH($AA44,$BD$6:$BD$53,0)))</f>
        <v>P.2 (2)</v>
      </c>
      <c r="I44" s="55" t="str">
        <f aca="false">IF(D44="Pendiente","-",INDEX($BZ$6:$BZ$53,MATCH($AF44,$BD$6:$BD$53,0)))</f>
        <v>P.2 (2)</v>
      </c>
      <c r="J44" s="55"/>
      <c r="K44" s="55" t="str">
        <f aca="false">IF(D44="Pendiente","-",INDEX($CE$6:$CE$53,MATCH($AA44,$BD$6:$BD$53,0)))</f>
        <v>P.2 (2)</v>
      </c>
      <c r="L44" s="55" t="str">
        <f aca="false">IF(D44="Pendiente","-",INDEX($CE$6:$CE$53,MATCH($AF44,$BD$6:$BD$53,0)))</f>
        <v>P.2 (2)</v>
      </c>
      <c r="M44" s="55"/>
      <c r="N44" s="55" t="str">
        <f aca="false">IF(D44="Pendiente","-",INDEX($CH$6:$CH$53,MATCH($AA44,$BD$6:$BD$53,0)))</f>
        <v>P.2 (2)</v>
      </c>
      <c r="O44" s="55" t="str">
        <f aca="false">IF(D44="Pendiente","-",INDEX($CH$6:$CH$53,MATCH($AF44,$BD$6:$BD$53,0)))</f>
        <v>P.2 (2)</v>
      </c>
      <c r="P44" s="55"/>
      <c r="Q44" s="55" t="str">
        <f aca="false">IF(D44="Pendiente","-",INDEX($CN$6:$CN$53,MATCH($AA44,$BD$6:$BD$53,0)))</f>
        <v>P.2 (2)</v>
      </c>
      <c r="R44" s="55" t="str">
        <f aca="false">IF(D44="Pendiente","-",INDEX($CN$6:$CN$53,MATCH($AF44,$BD$6:$BD$53,0)))</f>
        <v>P.2 (2)</v>
      </c>
      <c r="S44" s="55"/>
      <c r="T44" s="55" t="str">
        <f aca="false">IF(D44="Pendiente","-",INDEX($CS$6:$CS$53,MATCH($AA44,$BD$6:$BD$53,0)))</f>
        <v>P.2 (2)</v>
      </c>
      <c r="U44" s="55" t="str">
        <f aca="false">IF(D44="Pendiente","-",INDEX($CS$6:$CS$53,MATCH($AF44,$BD$6:$BD$53,0)))</f>
        <v>P.2 (2)</v>
      </c>
      <c r="V44" s="46"/>
      <c r="W44" s="187" t="s">
        <v>120</v>
      </c>
      <c r="X44" s="74" t="n">
        <f aca="false">Horarios!C44</f>
        <v>46187.9166666667</v>
      </c>
      <c r="Y44" s="75" t="n">
        <f aca="false">Horarios!C44</f>
        <v>46187.9166666667</v>
      </c>
      <c r="Z44" s="76" t="str">
        <f aca="false">$Z$4</f>
        <v>J1</v>
      </c>
      <c r="AA44" s="77" t="str">
        <f aca="false">A45</f>
        <v>Países Bajos</v>
      </c>
      <c r="AB44" s="165" t="str">
        <f aca="true" t="array" ref="AB44:AB44">Ver_flag_local</f>
        <v/>
      </c>
      <c r="AC44" s="79" t="n">
        <v>2</v>
      </c>
      <c r="AD44" s="80" t="n">
        <v>2</v>
      </c>
      <c r="AE44" s="81" t="str">
        <f aca="true" t="array" ref="AE44:AE44">Ver_flag_visit</f>
        <v/>
      </c>
      <c r="AF44" s="82" t="str">
        <f aca="false">A46</f>
        <v>Japón</v>
      </c>
      <c r="AG44" s="83" t="n">
        <f aca="false">IF(NOT(OR(ISBLANK(AC44),ISBLANK(AD44))),1,0)</f>
        <v>1</v>
      </c>
      <c r="AH44" s="84" t="n">
        <v>11</v>
      </c>
      <c r="AI44" s="85"/>
      <c r="AJ44" s="86" t="str">
        <f aca="false">CONCATENATE(AJ3," ",B44)</f>
        <v>Grupo F</v>
      </c>
      <c r="AK44" s="86"/>
      <c r="AL44" s="86"/>
      <c r="AM44" s="86"/>
      <c r="AN44" s="86"/>
      <c r="AO44" s="86"/>
      <c r="AP44" s="86"/>
      <c r="AQ44" s="86"/>
      <c r="AR44" s="86"/>
      <c r="AS44" s="86"/>
      <c r="AT44" s="86"/>
      <c r="AU44" s="161"/>
      <c r="AV44" s="87" t="str">
        <f aca="false">IF(AU45&gt;0,$AV$3,"")</f>
        <v/>
      </c>
      <c r="AW44" s="97"/>
      <c r="AX44" s="168"/>
      <c r="AY44" s="146"/>
      <c r="AZ44" s="147"/>
      <c r="BA44" s="49"/>
      <c r="BB44" s="55"/>
      <c r="BC44" s="116" t="str">
        <f aca="false">+INDEX(T_Equipos[Grupo],MATCH(WORLDCUP!BD44,T_Equipos[NombreEquipo],0))</f>
        <v>J</v>
      </c>
      <c r="BD44" s="55" t="str">
        <f aca="false">+Equipos!B40</f>
        <v>Austria</v>
      </c>
      <c r="BE44" s="117" t="n">
        <f aca="false">+BG44*3+BH44+IF($AZ$3="no",0,INDEX($AZ$6:$AZ$97,MATCH(BD44,$AY$6:$AY$97,0)))</f>
        <v>0</v>
      </c>
      <c r="BF44" s="117" t="n">
        <f aca="false">+BG44+BH44+BI44</f>
        <v>0</v>
      </c>
      <c r="BG44" s="117" t="n">
        <f aca="false">+COUNTIFS(FGLocal,BD44,Ganador,"Local")+COUNTIFS(FGVisitante,BD44,Ganador,"Visitante")</f>
        <v>0</v>
      </c>
      <c r="BH44" s="117" t="n">
        <f aca="false">+COUNTIFS(FGLocal,BD44,Ganador,"Empate")+COUNTIFS(FGVisitante,BD44,Ganador,"Empate")</f>
        <v>0</v>
      </c>
      <c r="BI44" s="117" t="n">
        <f aca="false">+COUNTIFS(FGVisitante,BD44,Ganador,"Local")+COUNTIFS(FGLocal,BD44,Ganador,"Visitante")</f>
        <v>0</v>
      </c>
      <c r="BJ44" s="117" t="n">
        <f aca="false">+SUMIFS(FG_GolesLocal,FGLocal,BD44,Ganador,"&lt;&gt;"&amp;"Pendiente",FG_GolesLocal,"&lt;&gt;"&amp;"",FG_GolesVisitante,"&lt;&gt;"&amp;"")+SUMIFS(FG_GolesVisitante,FGVisitante,BD44,Ganador,"&lt;&gt;"&amp;"Pendiente",FG_GolesLocal,"&lt;&gt;"&amp;"",FG_GolesVisitante,"&lt;&gt;"&amp;"")</f>
        <v>0</v>
      </c>
      <c r="BK44" s="117" t="n">
        <f aca="false">+SUMIFS(FG_GolesLocal,FGVisitante,BD44,Ganador,"&lt;&gt;"&amp;"Pendiente",FG_GolesLocal,"&lt;&gt;"&amp;"",FG_GolesVisitante,"&lt;&gt;"&amp;"")+SUMIFS(FG_GolesVisitante,FGLocal,BD44,Ganador,"&lt;&gt;"&amp;"Pendiente",FG_GolesLocal,"&lt;&gt;"&amp;"",FG_GolesVisitante,"&lt;&gt;"&amp;"")</f>
        <v>0</v>
      </c>
      <c r="BL44" s="117" t="n">
        <f aca="false">+BJ44-BK44</f>
        <v>0</v>
      </c>
      <c r="BM44" s="117" t="str">
        <f aca="false">DD44&amp;BC44</f>
        <v>3J</v>
      </c>
      <c r="BN44" s="117" t="str">
        <f aca="false">DH44&amp;BC44</f>
        <v>3J</v>
      </c>
      <c r="BO44" s="119" t="n">
        <f aca="false">IF(AND($AJ$99=144,BF44&gt;=1),1,0)</f>
        <v>0</v>
      </c>
      <c r="BP44" s="118" t="n">
        <f aca="false">COUNTIFS($BO$6:$BO$53,"&gt;"&amp;BO44,$BC$6:$BC$53,INDEX(T_Equipos[Grupo],MATCH(BD44,T_Equipos[NombreEquipo],0)))+1</f>
        <v>1</v>
      </c>
      <c r="BQ44" s="118" t="str">
        <f aca="false">IF(COUNTIFS($BP$6:$BP$53,BP44,$BC$6:$BC$53,INDEX(T_Equipos[Grupo],MATCH(BD44,T_Equipos[NombreEquipo],0)))=1,"-","P."&amp;BP44&amp;" ("&amp;COUNTIFS($BP$6:$BP$53,BP44,$BC$6:$BC$53,INDEX(T_Equipos[Grupo],MATCH(BD44,T_Equipos[NombreEquipo],0)))&amp;")")</f>
        <v>P.1 (4)</v>
      </c>
      <c r="BR44" s="119" t="n">
        <f aca="false">IF($BQ44="-","-",BE44)</f>
        <v>0</v>
      </c>
      <c r="BS44" s="118" t="n">
        <f aca="false">BP44+COUNTIFS($BQ$6:$BQ$53,BQ44,$BR$6:BR$53,"&gt;"&amp;BR44,$BC$6:$BC$53,INDEX(T_Equipos[Grupo],MATCH(BD44,T_Equipos[NombreEquipo],0)))</f>
        <v>1</v>
      </c>
      <c r="BT44" s="118" t="str">
        <f aca="false">IF(COUNTIFS($BS$6:$BS$53,BS44,$BC$6:$BC$53,INDEX(T_Equipos[Grupo],MATCH(BD44,T_Equipos[NombreEquipo],0)))=1,"-","P."&amp;BS44&amp;" ("&amp;COUNTIFS($BS$6:$BS$53,BS44,$BC$6:$BC$53,INDEX(T_Equipos[Grupo],MATCH(BD44,T_Equipos[NombreEquipo],0)))&amp;")")</f>
        <v>P.1 (4)</v>
      </c>
      <c r="BU44" s="119" t="n">
        <f aca="false">IF($BT44="-","-",COUNTIFS(FGLocal,$BD44,Ganador,"Local",Part1Empate1V,$BT44)+COUNTIFS(FGVisitante,$BD44,Ganador,"Visitante",Part1Empate1L,$BT44))</f>
        <v>0</v>
      </c>
      <c r="BV44" s="119" t="n">
        <f aca="false">IF($BT44="-","-",COUNTIFS(FGLocal,$BD44,Ganador,"Empate",Part1Empate1V,$BT44)+COUNTIFS(FGVisitante,$BD44,Ganador,"Empate",Part1Empate1L,$BT44))</f>
        <v>0</v>
      </c>
      <c r="BW44" s="119" t="n">
        <f aca="false">IF($BT44="-","-",COUNTIFS(FGLocal,$BD44,Ganador,"Visitante",Part1Empate1V,$BT44)+COUNTIFS(FGVisitante,$BD44,Ganador,"Local",Part1Empate1L,$BT44))</f>
        <v>0</v>
      </c>
      <c r="BX44" s="119" t="n">
        <f aca="false">IF($BT44="-","-",BU44*3+BV44)</f>
        <v>0</v>
      </c>
      <c r="BY44" s="119" t="n">
        <f aca="false">BS44+COUNTIFS($BT$6:$BT$53,BT44,$BX$6:BX$53,"&gt;"&amp;BX44,$BC$6:$BC$53,INDEX(T_Equipos[Grupo],MATCH(BD44,T_Equipos[NombreEquipo],0)))</f>
        <v>1</v>
      </c>
      <c r="BZ44" s="118" t="str">
        <f aca="false">IF(COUNTIFS($BY$6:$BY$53,BY44,$BC$6:$BC$53,INDEX(T_Equipos[Grupo],MATCH(BD44,T_Equipos[NombreEquipo],0)))=1,"-","P."&amp;BY44&amp;" ("&amp;COUNTIFS($BY$6:$BY$53,BY44,$BC$6:$BC$53,INDEX(T_Equipos[Grupo],MATCH(BD44,T_Equipos[NombreEquipo],0)))&amp;")")</f>
        <v>P.1 (4)</v>
      </c>
      <c r="CA44" s="119" t="n">
        <f aca="false">IF($BZ44="-","-",SUMIFS(FG_GolesLocal,FGLocal,$BD44,Part1Empate2V,$BZ44)+SUMIFS(FG_GolesVisitante,FGVisitante,$BD44,Part1Empate2L,$BZ44))</f>
        <v>0</v>
      </c>
      <c r="CB44" s="119" t="n">
        <f aca="false">IF($BZ44="-","-",SUMIFS(FG_GolesVisitante,FGLocal,$BD44,Part1Empate2V,$BZ44)+SUMIFS(FG_GolesLocal,FGVisitante,$BD44,Part1Empate2L,$BZ44))</f>
        <v>0</v>
      </c>
      <c r="CC44" s="119" t="n">
        <f aca="false">IF($BZ44="-","-",CA44-CB44)</f>
        <v>0</v>
      </c>
      <c r="CD44" s="119" t="n">
        <f aca="false">BY44+COUNTIFS($BZ$6:$BZ$53,BZ44,$CC$6:CC$53,"&gt;"&amp;CC44,$BC$6:$BC$53,INDEX(T_Equipos[Grupo],MATCH(BD44,T_Equipos[NombreEquipo],0)))</f>
        <v>1</v>
      </c>
      <c r="CE44" s="118" t="str">
        <f aca="false">IF(COUNTIFS($CD$6:$CD$53,CD44,$BC$6:$BC$53,INDEX(T_Equipos[Grupo],MATCH(BD44,T_Equipos[NombreEquipo],0)))=1,"-","P."&amp;CD44&amp;" ("&amp;COUNTIFS($CD$6:$CD$53,CD44,$BC$6:$BC$53,INDEX(T_Equipos[Grupo],MATCH(BD44,T_Equipos[NombreEquipo],0)))&amp;")")</f>
        <v>P.1 (4)</v>
      </c>
      <c r="CF44" s="119" t="n">
        <f aca="false">IF($CE44="-","-",SUMIFS(FG_GolesLocal,FGLocal,$BD44,Part1Empate3V,$CE44)+SUMIFS(FG_GolesVisitante,FGVisitante,$BD44,Part1Empate3L,$CE44))</f>
        <v>0</v>
      </c>
      <c r="CG44" s="119" t="n">
        <f aca="false">CD44+COUNTIFS($CE$6:$CE$53,CE44,$CF$6:CF$53,"&gt;"&amp;CF44,$BC$6:$BC$53,INDEX(T_Equipos[Grupo],MATCH(BD44,T_Equipos[NombreEquipo],0)))</f>
        <v>1</v>
      </c>
      <c r="CH44" s="118" t="str">
        <f aca="false">IF(COUNTIFS($CG$6:$CG$53,CG44,$BC$6:$BC$53,INDEX(T_Equipos[Grupo],MATCH(BD44,T_Equipos[NombreEquipo],0)))=1,"-","P."&amp;CG44&amp;" ("&amp;COUNTIFS($CG$6:$CG$53,CG44,$BC$6:$BC$53,INDEX(T_Equipos[Grupo],MATCH(BD44,T_Equipos[NombreEquipo],0)))&amp;")")</f>
        <v>P.1 (4)</v>
      </c>
      <c r="CI44" s="119" t="n">
        <f aca="false">IF($CH44="-","-",COUNTIFS(FGLocal,$BD44,Ganador,"Local",Part2Empate4V,$CH44)+COUNTIFS(FGVisitante,$BD44,Ganador,"Visitante",Part2Empate4L,$CH44))</f>
        <v>0</v>
      </c>
      <c r="CJ44" s="119" t="n">
        <f aca="false">IF($CH44="-","-",COUNTIFS(FGLocal,$BD44,Ganador,"Empate",Part2Empate4V,$CH44)+COUNTIFS(FGVisitante,$BD44,Ganador,"Empate",Part2Empate4L,$CH44))</f>
        <v>0</v>
      </c>
      <c r="CK44" s="119" t="n">
        <f aca="false">IF($CH44="-","-",COUNTIFS(FGLocal,$BD44,Ganador,"Visitante",Part2Empate4V,$CH44)+COUNTIFS(FGVisitante,$BD44,Ganador,"Local",Part2Empate4L,$CH44))</f>
        <v>0</v>
      </c>
      <c r="CL44" s="119" t="n">
        <f aca="false">IF($CH44="-","-",CI44*3+CJ44)</f>
        <v>0</v>
      </c>
      <c r="CM44" s="119" t="n">
        <f aca="false">CG44+COUNTIFS($CH$6:$CH$53,CH44,$CL$6:CL$53,"&gt;"&amp;CL44,$BC$6:$BC$53,INDEX(T_Equipos[Grupo],MATCH(BD44,T_Equipos[NombreEquipo],0)))</f>
        <v>1</v>
      </c>
      <c r="CN44" s="118" t="str">
        <f aca="false">IF(COUNTIFS($CM$6:$CM$53,CM44,$BC$6:$BC$53,INDEX(T_Equipos[Grupo],MATCH(BD44,T_Equipos[NombreEquipo],0)))=1,"-","P."&amp;CM44&amp;" ("&amp;COUNTIFS($CM$6:$CM$53,CM44,$BC$6:$BC$53,INDEX(T_Equipos[Grupo],MATCH(BD44,T_Equipos[NombreEquipo],0)))&amp;")")</f>
        <v>P.1 (4)</v>
      </c>
      <c r="CO44" s="119" t="n">
        <f aca="false">IF($CN44="-","-",SUMIFS(FG_GolesLocal,FGLocal,$BD44,Part2Empate5V,$CN44)+SUMIFS(FG_GolesVisitante,FGVisitante,$BD44,Part2Empate5L,$CN44))</f>
        <v>0</v>
      </c>
      <c r="CP44" s="119" t="n">
        <f aca="false">IF($CN44="-","-",SUMIFS(FG_GolesVisitante,FGLocal,$BD44,Part2Empate5V,$CN44)+SUMIFS(FG_GolesLocal,FGVisitante,$BD44,Part2Empate5L,$CN44))</f>
        <v>0</v>
      </c>
      <c r="CQ44" s="119" t="n">
        <f aca="false">IF($CN44="-","-",CO44-CP44)</f>
        <v>0</v>
      </c>
      <c r="CR44" s="119" t="n">
        <f aca="false">CM44+COUNTIFS($CN$6:$CN$53,CN44,$CQ$6:CQ$53,"&gt;"&amp;CQ44,$BC$6:$BC$53,INDEX(T_Equipos[Grupo],MATCH(BD44,T_Equipos[NombreEquipo],0)))</f>
        <v>1</v>
      </c>
      <c r="CS44" s="118" t="str">
        <f aca="false">IF(COUNTIFS($CR$6:$CR$53,CR44,$BC$6:$BC$53,INDEX(T_Equipos[Grupo],MATCH(BD44,T_Equipos[NombreEquipo],0)))=1,"-","P."&amp;CR44&amp;" ("&amp;COUNTIFS($CR$6:$CR$53,CR44,$BC$6:$BC$53,INDEX(T_Equipos[Grupo],MATCH(BD44,T_Equipos[NombreEquipo],0)))&amp;")")</f>
        <v>P.1 (4)</v>
      </c>
      <c r="CT44" s="119" t="n">
        <f aca="false">IF($CS44="-","-",SUMIFS(FG_GolesLocal,FGLocal,$BD44,Part2Empate6V,$CS44)+SUMIFS(FG_GolesVisitante,FGVisitante,$BD44,Part2Empate6L,$CS44))</f>
        <v>0</v>
      </c>
      <c r="CU44" s="119" t="n">
        <f aca="false">CR44+COUNTIFS($CS$6:$CS$53,CS44,$CT$6:CT$53,"&gt;"&amp;CT44,$BC$6:$BC$53,INDEX(T_Equipos[Grupo],MATCH(BD44,T_Equipos[NombreEquipo],0)))</f>
        <v>1</v>
      </c>
      <c r="CV44" s="118" t="str">
        <f aca="false">IF(COUNTIFS($CU$6:$CU$53,CU44,$BC$6:$BC$53,INDEX(T_Equipos[Grupo],MATCH(BD44,T_Equipos[NombreEquipo],0)))=1,"-","P."&amp;CU44&amp;" ("&amp;COUNTIFS($CU$6:$CU$53,CU44,$BC$6:$BC$53,INDEX(T_Equipos[Grupo],MATCH(BD44,T_Equipos[NombreEquipo],0)))&amp;")")</f>
        <v>P.1 (4)</v>
      </c>
      <c r="CW44" s="118" t="n">
        <f aca="false">IF(CV44="-","-",BL44)</f>
        <v>0</v>
      </c>
      <c r="CX44" s="118" t="n">
        <f aca="false">CU44+COUNTIFS($CV$6:$CV$53,CV44,$CW$6:CW$53,"&gt;"&amp;CW44,$BC$6:$BC$53,INDEX(T_Equipos[Grupo],MATCH(BD44,T_Equipos[NombreEquipo],0)))</f>
        <v>1</v>
      </c>
      <c r="CY44" s="118" t="str">
        <f aca="false">IF(COUNTIFS($CX$6:$CX$53,CX44,$BC$6:$BC$53,INDEX(T_Equipos[Grupo],MATCH(BD44,T_Equipos[NombreEquipo],0)))=1,"-","P."&amp;CX44&amp;" ("&amp;COUNTIFS($CX$6:$CX$53,CX44,$BC$6:$BC$53,INDEX(T_Equipos[Grupo],MATCH(BD44,T_Equipos[NombreEquipo],0)))&amp;")")</f>
        <v>P.1 (4)</v>
      </c>
      <c r="CZ44" s="118" t="n">
        <f aca="false">IF(CY44="-","-",BJ44)</f>
        <v>0</v>
      </c>
      <c r="DA44" s="119" t="n">
        <f aca="false">CX44+COUNTIFS($CY$6:$CY$53,CY44,$CZ$6:CZ$53,"&gt;"&amp;CZ44,$BC$6:$BC$53,INDEX(T_Equipos[Grupo],MATCH(BD44,T_Equipos[NombreEquipo],0)))</f>
        <v>1</v>
      </c>
      <c r="DB44" s="118" t="str">
        <f aca="false">IF(COUNTIFS($DA$6:$DA$53,DA44,$BC$6:$BC$53,INDEX(T_Equipos[Grupo],MATCH(BD44,T_Equipos[NombreEquipo],0)))=1,"-","P."&amp;DA44&amp;" ("&amp;COUNTIFS($DA$6:$DA$53,DA44,$BC$6:$BC$53,INDEX(T_Equipos[Grupo],MATCH(BD44,T_Equipos[NombreEquipo],0)))&amp;")")</f>
        <v>P.1 (4)</v>
      </c>
      <c r="DC44" s="116" t="n">
        <f aca="false">IF(DB44="-","-",COUNTIFS(T_Equipos[Rank],"&lt;"&amp;INDEX(T_Equipos[Rank],MATCH(BD44,T_Equipos[NombreEquipo],0)),$BC$6:$BC$53,INDEX(T_Equipos[Grupo],MATCH(BD44,T_Equipos[NombreEquipo],0)))+1)</f>
        <v>3</v>
      </c>
      <c r="DD44" s="116" t="n">
        <f aca="false">DA44+COUNTIFS($DB$6:$DB$53,DB44,$DC$6:DC$53,"&lt;"&amp;DC44,$BC$6:$BC$53,INDEX(T_Equipos[Grupo],MATCH(BD44,T_Equipos[NombreEquipo],0)))</f>
        <v>3</v>
      </c>
      <c r="DE44" s="116"/>
      <c r="DF44" s="116" t="n">
        <f aca="false">IF(OR(INDEX($AW$6:$AW$97,MATCH($BD44,$AV$6:$AV$97,0))="",DB44="-"),DD44,INDEX($AW$6:$AW$97,MATCH($BD44,$AV$6:$AV$97,0))+DD44/1000)</f>
        <v>3</v>
      </c>
      <c r="DG44" s="116" t="n">
        <f aca="false">IF(DB44="-","-",COUNTIFS(DF$6:DF$53,"&lt;"&amp;DF44,$BC$6:$BC$53,INDEX(T_Equipos[Grupo],MATCH(BD44,T_Equipos[NombreEquipo],0))))</f>
        <v>2</v>
      </c>
      <c r="DH44" s="116" t="n">
        <f aca="false">DA44+COUNTIFS(DB$6:DB$53,DB44,DG$6:DG$53,"&lt;"&amp;DG44,$BC$6:$BC$53,INDEX(T_Equipos[Grupo],MATCH(BD44,T_Equipos[NombreEquipo],0)))</f>
        <v>3</v>
      </c>
      <c r="DI44" s="55"/>
      <c r="DJ44" s="55" t="n">
        <f aca="false">INDEX($DA$6:$DA$53,MATCH($DQ44,$BD$6:$BD$53,0))</f>
        <v>1</v>
      </c>
      <c r="DK44" s="55" t="n">
        <f aca="false">+SUMIF($BC$6:$BC$53,BC44,$BF$6:$BF$53)</f>
        <v>0</v>
      </c>
      <c r="DL44" s="55" t="n">
        <f aca="false">IF(OR(DK44=12,$AJ$99=144),COUNTIFS($DJ$6:$DJ$53,DJ44,$BC$6:$BC$53,BC44),1)</f>
        <v>1</v>
      </c>
      <c r="DM44" s="120" t="str">
        <f aca="false">DJ44&amp;"."&amp;DL44</f>
        <v>1.1</v>
      </c>
      <c r="DN44" s="55" t="n">
        <f aca="true" t="array" ref="DN44:DN44">OFFSET(Horarios!$P$3,DJ44-1,0,DL44,1)</f>
        <v>1</v>
      </c>
      <c r="DO44" s="55"/>
      <c r="DP44" s="55" t="s">
        <v>121</v>
      </c>
      <c r="DQ44" s="55" t="str">
        <f aca="false">INDEX($BD$6:$BD$53,MATCH(DP44,$BM$6:$BM$53,0))</f>
        <v>Austria</v>
      </c>
      <c r="DR44" s="55"/>
      <c r="DS44" s="55"/>
      <c r="DT44" s="55" t="str">
        <f aca="false">AA44&amp;"-"&amp;AF44</f>
        <v>Países Bajos-Japón</v>
      </c>
      <c r="DU44" s="55"/>
      <c r="DV44" s="55"/>
      <c r="DW44" s="57"/>
    </row>
    <row r="45" customFormat="false" ht="15.75" hidden="false" customHeight="true" outlineLevel="0" collapsed="false">
      <c r="A45" s="92" t="str">
        <f aca="false">+Equipos!B22</f>
        <v>Países Bajos</v>
      </c>
      <c r="B45" s="72"/>
      <c r="C45" s="72"/>
      <c r="D45" s="55" t="str">
        <f aca="false">IF(OR(AC45="",AD45=""),"Pendiente",IF(AC45&gt;AD45,"Local",IF(AC45&lt;AD45,"Visitante","Empate")))</f>
        <v>Local</v>
      </c>
      <c r="E45" s="55" t="str">
        <f aca="false">IF(D45="Pendiente","-",INDEX($BT$6:$BT$53,MATCH($AA45,$BD$6:$BD$53,0)))</f>
        <v>-</v>
      </c>
      <c r="F45" s="55" t="str">
        <f aca="false">IF(D45="Pendiente","-",INDEX($BT$6:$BT$53,MATCH($AF45,$BD$6:$BD$53,0)))</f>
        <v>-</v>
      </c>
      <c r="G45" s="55"/>
      <c r="H45" s="55" t="str">
        <f aca="false">IF(D45="Pendiente","-",INDEX($BZ$6:$BZ$53,MATCH($AA45,$BD$6:$BD$53,0)))</f>
        <v>-</v>
      </c>
      <c r="I45" s="55" t="str">
        <f aca="false">IF(D45="Pendiente","-",INDEX($BZ$6:$BZ$53,MATCH($AF45,$BD$6:$BD$53,0)))</f>
        <v>-</v>
      </c>
      <c r="J45" s="55"/>
      <c r="K45" s="55" t="str">
        <f aca="false">IF(D45="Pendiente","-",INDEX($CE$6:$CE$53,MATCH($AA45,$BD$6:$BD$53,0)))</f>
        <v>-</v>
      </c>
      <c r="L45" s="55" t="str">
        <f aca="false">IF(D45="Pendiente","-",INDEX($CE$6:$CE$53,MATCH($AF45,$BD$6:$BD$53,0)))</f>
        <v>-</v>
      </c>
      <c r="M45" s="55"/>
      <c r="N45" s="55" t="str">
        <f aca="false">IF(D45="Pendiente","-",INDEX($CH$6:$CH$53,MATCH($AA45,$BD$6:$BD$53,0)))</f>
        <v>-</v>
      </c>
      <c r="O45" s="55" t="str">
        <f aca="false">IF(D45="Pendiente","-",INDEX($CH$6:$CH$53,MATCH($AF45,$BD$6:$BD$53,0)))</f>
        <v>-</v>
      </c>
      <c r="P45" s="55"/>
      <c r="Q45" s="55" t="str">
        <f aca="false">IF(D45="Pendiente","-",INDEX($CN$6:$CN$53,MATCH($AA45,$BD$6:$BD$53,0)))</f>
        <v>-</v>
      </c>
      <c r="R45" s="55" t="str">
        <f aca="false">IF(D45="Pendiente","-",INDEX($CN$6:$CN$53,MATCH($AF45,$BD$6:$BD$53,0)))</f>
        <v>-</v>
      </c>
      <c r="S45" s="55"/>
      <c r="T45" s="55" t="str">
        <f aca="false">IF(D45="Pendiente","-",INDEX($CS$6:$CS$53,MATCH($AA45,$BD$6:$BD$53,0)))</f>
        <v>-</v>
      </c>
      <c r="U45" s="55" t="str">
        <f aca="false">IF(D45="Pendiente","-",INDEX($CS$6:$CS$53,MATCH($AF45,$BD$6:$BD$53,0)))</f>
        <v>-</v>
      </c>
      <c r="V45" s="46"/>
      <c r="W45" s="187"/>
      <c r="X45" s="74" t="n">
        <f aca="false">Horarios!C45</f>
        <v>46188.1666666667</v>
      </c>
      <c r="Y45" s="75" t="n">
        <f aca="false">Horarios!C45</f>
        <v>46188.1666666667</v>
      </c>
      <c r="Z45" s="76" t="str">
        <f aca="false">$Z$4</f>
        <v>J1</v>
      </c>
      <c r="AA45" s="77" t="str">
        <f aca="false">A47</f>
        <v>Suecia</v>
      </c>
      <c r="AB45" s="165" t="str">
        <f aca="true" t="array" ref="AB45:AB45">Ver_flag_local</f>
        <v/>
      </c>
      <c r="AC45" s="79" t="n">
        <v>5</v>
      </c>
      <c r="AD45" s="80" t="n">
        <v>1</v>
      </c>
      <c r="AE45" s="81" t="str">
        <f aca="true" t="array" ref="AE45:AE45">Ver_flag_visit</f>
        <v/>
      </c>
      <c r="AF45" s="82" t="str">
        <f aca="false">A48</f>
        <v>Túnez</v>
      </c>
      <c r="AG45" s="83" t="n">
        <f aca="false">IF(NOT(OR(ISBLANK(AC45),ISBLANK(AD45))),1,0)</f>
        <v>1</v>
      </c>
      <c r="AH45" s="84" t="n">
        <v>12</v>
      </c>
      <c r="AI45" s="85"/>
      <c r="AJ45" s="93" t="str">
        <f aca="false">AJ5</f>
        <v>Pos</v>
      </c>
      <c r="AK45" s="94"/>
      <c r="AL45" s="95" t="str">
        <f aca="false">AL5</f>
        <v>Selección</v>
      </c>
      <c r="AM45" s="94" t="str">
        <f aca="false">AM5</f>
        <v>Pts</v>
      </c>
      <c r="AN45" s="94" t="str">
        <f aca="false">AN5</f>
        <v>J</v>
      </c>
      <c r="AO45" s="94" t="str">
        <f aca="false">AO5</f>
        <v>G</v>
      </c>
      <c r="AP45" s="94" t="str">
        <f aca="false">AP5</f>
        <v>E</v>
      </c>
      <c r="AQ45" s="94" t="str">
        <f aca="false">AQ5</f>
        <v>P</v>
      </c>
      <c r="AR45" s="94" t="str">
        <f aca="false">AR5</f>
        <v>GF</v>
      </c>
      <c r="AS45" s="94" t="str">
        <f aca="false">AS5</f>
        <v>GC</v>
      </c>
      <c r="AT45" s="96" t="str">
        <f aca="false">AT5</f>
        <v>DG</v>
      </c>
      <c r="AU45" s="161" t="n">
        <f aca="false">COUNTIF(AU46:AU49,"&gt;1")</f>
        <v>0</v>
      </c>
      <c r="AV45" s="97"/>
      <c r="AW45" s="97"/>
      <c r="AX45" s="168"/>
      <c r="AY45" s="98" t="str">
        <f aca="false">AL45</f>
        <v>Selección</v>
      </c>
      <c r="AZ45" s="99" t="str">
        <f aca="false">+Idiomas!$D$69</f>
        <v>Puntos penalizados</v>
      </c>
      <c r="BA45" s="49"/>
      <c r="BB45" s="55"/>
      <c r="BC45" s="116" t="str">
        <f aca="false">+INDEX(T_Equipos[Grupo],MATCH(WORLDCUP!BD45,T_Equipos[NombreEquipo],0))</f>
        <v>J</v>
      </c>
      <c r="BD45" s="55" t="str">
        <f aca="false">+Equipos!B41</f>
        <v>Jordania</v>
      </c>
      <c r="BE45" s="117" t="n">
        <f aca="false">+BG45*3+BH45+IF($AZ$3="no",0,INDEX($AZ$6:$AZ$97,MATCH(BD45,$AY$6:$AY$97,0)))</f>
        <v>0</v>
      </c>
      <c r="BF45" s="117" t="n">
        <f aca="false">+BG45+BH45+BI45</f>
        <v>0</v>
      </c>
      <c r="BG45" s="117" t="n">
        <f aca="false">+COUNTIFS(FGLocal,BD45,Ganador,"Local")+COUNTIFS(FGVisitante,BD45,Ganador,"Visitante")</f>
        <v>0</v>
      </c>
      <c r="BH45" s="117" t="n">
        <f aca="false">+COUNTIFS(FGLocal,BD45,Ganador,"Empate")+COUNTIFS(FGVisitante,BD45,Ganador,"Empate")</f>
        <v>0</v>
      </c>
      <c r="BI45" s="117" t="n">
        <f aca="false">+COUNTIFS(FGVisitante,BD45,Ganador,"Local")+COUNTIFS(FGLocal,BD45,Ganador,"Visitante")</f>
        <v>0</v>
      </c>
      <c r="BJ45" s="117" t="n">
        <f aca="false">+SUMIFS(FG_GolesLocal,FGLocal,BD45,Ganador,"&lt;&gt;"&amp;"Pendiente",FG_GolesLocal,"&lt;&gt;"&amp;"",FG_GolesVisitante,"&lt;&gt;"&amp;"")+SUMIFS(FG_GolesVisitante,FGVisitante,BD45,Ganador,"&lt;&gt;"&amp;"Pendiente",FG_GolesLocal,"&lt;&gt;"&amp;"",FG_GolesVisitante,"&lt;&gt;"&amp;"")</f>
        <v>0</v>
      </c>
      <c r="BK45" s="117" t="n">
        <f aca="false">+SUMIFS(FG_GolesLocal,FGVisitante,BD45,Ganador,"&lt;&gt;"&amp;"Pendiente",FG_GolesLocal,"&lt;&gt;"&amp;"",FG_GolesVisitante,"&lt;&gt;"&amp;"")+SUMIFS(FG_GolesVisitante,FGLocal,BD45,Ganador,"&lt;&gt;"&amp;"Pendiente",FG_GolesLocal,"&lt;&gt;"&amp;"",FG_GolesVisitante,"&lt;&gt;"&amp;"")</f>
        <v>0</v>
      </c>
      <c r="BL45" s="117" t="n">
        <f aca="false">+BJ45-BK45</f>
        <v>0</v>
      </c>
      <c r="BM45" s="117" t="str">
        <f aca="false">DD45&amp;BC45</f>
        <v>4J</v>
      </c>
      <c r="BN45" s="117" t="str">
        <f aca="false">DH45&amp;BC45</f>
        <v>4J</v>
      </c>
      <c r="BO45" s="119" t="n">
        <f aca="false">IF(AND($AJ$99=144,BF45&gt;=1),1,0)</f>
        <v>0</v>
      </c>
      <c r="BP45" s="118" t="n">
        <f aca="false">COUNTIFS($BO$6:$BO$53,"&gt;"&amp;BO45,$BC$6:$BC$53,INDEX(T_Equipos[Grupo],MATCH(BD45,T_Equipos[NombreEquipo],0)))+1</f>
        <v>1</v>
      </c>
      <c r="BQ45" s="118" t="str">
        <f aca="false">IF(COUNTIFS($BP$6:$BP$53,BP45,$BC$6:$BC$53,INDEX(T_Equipos[Grupo],MATCH(BD45,T_Equipos[NombreEquipo],0)))=1,"-","P."&amp;BP45&amp;" ("&amp;COUNTIFS($BP$6:$BP$53,BP45,$BC$6:$BC$53,INDEX(T_Equipos[Grupo],MATCH(BD45,T_Equipos[NombreEquipo],0)))&amp;")")</f>
        <v>P.1 (4)</v>
      </c>
      <c r="BR45" s="119" t="n">
        <f aca="false">IF($BQ45="-","-",BE45)</f>
        <v>0</v>
      </c>
      <c r="BS45" s="118" t="n">
        <f aca="false">BP45+COUNTIFS($BQ$6:$BQ$53,BQ45,$BR$6:BR$53,"&gt;"&amp;BR45,$BC$6:$BC$53,INDEX(T_Equipos[Grupo],MATCH(BD45,T_Equipos[NombreEquipo],0)))</f>
        <v>1</v>
      </c>
      <c r="BT45" s="118" t="str">
        <f aca="false">IF(COUNTIFS($BS$6:$BS$53,BS45,$BC$6:$BC$53,INDEX(T_Equipos[Grupo],MATCH(BD45,T_Equipos[NombreEquipo],0)))=1,"-","P."&amp;BS45&amp;" ("&amp;COUNTIFS($BS$6:$BS$53,BS45,$BC$6:$BC$53,INDEX(T_Equipos[Grupo],MATCH(BD45,T_Equipos[NombreEquipo],0)))&amp;")")</f>
        <v>P.1 (4)</v>
      </c>
      <c r="BU45" s="119" t="n">
        <f aca="false">IF($BT45="-","-",COUNTIFS(FGLocal,$BD45,Ganador,"Local",Part1Empate1V,$BT45)+COUNTIFS(FGVisitante,$BD45,Ganador,"Visitante",Part1Empate1L,$BT45))</f>
        <v>0</v>
      </c>
      <c r="BV45" s="119" t="n">
        <f aca="false">IF($BT45="-","-",COUNTIFS(FGLocal,$BD45,Ganador,"Empate",Part1Empate1V,$BT45)+COUNTIFS(FGVisitante,$BD45,Ganador,"Empate",Part1Empate1L,$BT45))</f>
        <v>0</v>
      </c>
      <c r="BW45" s="119" t="n">
        <f aca="false">IF($BT45="-","-",COUNTIFS(FGLocal,$BD45,Ganador,"Visitante",Part1Empate1V,$BT45)+COUNTIFS(FGVisitante,$BD45,Ganador,"Local",Part1Empate1L,$BT45))</f>
        <v>0</v>
      </c>
      <c r="BX45" s="119" t="n">
        <f aca="false">IF($BT45="-","-",BU45*3+BV45)</f>
        <v>0</v>
      </c>
      <c r="BY45" s="119" t="n">
        <f aca="false">BS45+COUNTIFS($BT$6:$BT$53,BT45,$BX$6:BX$53,"&gt;"&amp;BX45,$BC$6:$BC$53,INDEX(T_Equipos[Grupo],MATCH(BD45,T_Equipos[NombreEquipo],0)))</f>
        <v>1</v>
      </c>
      <c r="BZ45" s="118" t="str">
        <f aca="false">IF(COUNTIFS($BY$6:$BY$53,BY45,$BC$6:$BC$53,INDEX(T_Equipos[Grupo],MATCH(BD45,T_Equipos[NombreEquipo],0)))=1,"-","P."&amp;BY45&amp;" ("&amp;COUNTIFS($BY$6:$BY$53,BY45,$BC$6:$BC$53,INDEX(T_Equipos[Grupo],MATCH(BD45,T_Equipos[NombreEquipo],0)))&amp;")")</f>
        <v>P.1 (4)</v>
      </c>
      <c r="CA45" s="119" t="n">
        <f aca="false">IF($BZ45="-","-",SUMIFS(FG_GolesLocal,FGLocal,$BD45,Part1Empate2V,$BZ45)+SUMIFS(FG_GolesVisitante,FGVisitante,$BD45,Part1Empate2L,$BZ45))</f>
        <v>0</v>
      </c>
      <c r="CB45" s="119" t="n">
        <f aca="false">IF($BZ45="-","-",SUMIFS(FG_GolesVisitante,FGLocal,$BD45,Part1Empate2V,$BZ45)+SUMIFS(FG_GolesLocal,FGVisitante,$BD45,Part1Empate2L,$BZ45))</f>
        <v>0</v>
      </c>
      <c r="CC45" s="119" t="n">
        <f aca="false">IF($BZ45="-","-",CA45-CB45)</f>
        <v>0</v>
      </c>
      <c r="CD45" s="119" t="n">
        <f aca="false">BY45+COUNTIFS($BZ$6:$BZ$53,BZ45,$CC$6:CC$53,"&gt;"&amp;CC45,$BC$6:$BC$53,INDEX(T_Equipos[Grupo],MATCH(BD45,T_Equipos[NombreEquipo],0)))</f>
        <v>1</v>
      </c>
      <c r="CE45" s="118" t="str">
        <f aca="false">IF(COUNTIFS($CD$6:$CD$53,CD45,$BC$6:$BC$53,INDEX(T_Equipos[Grupo],MATCH(BD45,T_Equipos[NombreEquipo],0)))=1,"-","P."&amp;CD45&amp;" ("&amp;COUNTIFS($CD$6:$CD$53,CD45,$BC$6:$BC$53,INDEX(T_Equipos[Grupo],MATCH(BD45,T_Equipos[NombreEquipo],0)))&amp;")")</f>
        <v>P.1 (4)</v>
      </c>
      <c r="CF45" s="119" t="n">
        <f aca="false">IF($CE45="-","-",SUMIFS(FG_GolesLocal,FGLocal,$BD45,Part1Empate3V,$CE45)+SUMIFS(FG_GolesVisitante,FGVisitante,$BD45,Part1Empate3L,$CE45))</f>
        <v>0</v>
      </c>
      <c r="CG45" s="119" t="n">
        <f aca="false">CD45+COUNTIFS($CE$6:$CE$53,CE45,$CF$6:CF$53,"&gt;"&amp;CF45,$BC$6:$BC$53,INDEX(T_Equipos[Grupo],MATCH(BD45,T_Equipos[NombreEquipo],0)))</f>
        <v>1</v>
      </c>
      <c r="CH45" s="118" t="str">
        <f aca="false">IF(COUNTIFS($CG$6:$CG$53,CG45,$BC$6:$BC$53,INDEX(T_Equipos[Grupo],MATCH(BD45,T_Equipos[NombreEquipo],0)))=1,"-","P."&amp;CG45&amp;" ("&amp;COUNTIFS($CG$6:$CG$53,CG45,$BC$6:$BC$53,INDEX(T_Equipos[Grupo],MATCH(BD45,T_Equipos[NombreEquipo],0)))&amp;")")</f>
        <v>P.1 (4)</v>
      </c>
      <c r="CI45" s="119" t="n">
        <f aca="false">IF($CH45="-","-",COUNTIFS(FGLocal,$BD45,Ganador,"Local",Part2Empate4V,$CH45)+COUNTIFS(FGVisitante,$BD45,Ganador,"Visitante",Part2Empate4L,$CH45))</f>
        <v>0</v>
      </c>
      <c r="CJ45" s="119" t="n">
        <f aca="false">IF($CH45="-","-",COUNTIFS(FGLocal,$BD45,Ganador,"Empate",Part2Empate4V,$CH45)+COUNTIFS(FGVisitante,$BD45,Ganador,"Empate",Part2Empate4L,$CH45))</f>
        <v>0</v>
      </c>
      <c r="CK45" s="119" t="n">
        <f aca="false">IF($CH45="-","-",COUNTIFS(FGLocal,$BD45,Ganador,"Visitante",Part2Empate4V,$CH45)+COUNTIFS(FGVisitante,$BD45,Ganador,"Local",Part2Empate4L,$CH45))</f>
        <v>0</v>
      </c>
      <c r="CL45" s="119" t="n">
        <f aca="false">IF($CH45="-","-",CI45*3+CJ45)</f>
        <v>0</v>
      </c>
      <c r="CM45" s="119" t="n">
        <f aca="false">CG45+COUNTIFS($CH$6:$CH$53,CH45,$CL$6:CL$53,"&gt;"&amp;CL45,$BC$6:$BC$53,INDEX(T_Equipos[Grupo],MATCH(BD45,T_Equipos[NombreEquipo],0)))</f>
        <v>1</v>
      </c>
      <c r="CN45" s="118" t="str">
        <f aca="false">IF(COUNTIFS($CM$6:$CM$53,CM45,$BC$6:$BC$53,INDEX(T_Equipos[Grupo],MATCH(BD45,T_Equipos[NombreEquipo],0)))=1,"-","P."&amp;CM45&amp;" ("&amp;COUNTIFS($CM$6:$CM$53,CM45,$BC$6:$BC$53,INDEX(T_Equipos[Grupo],MATCH(BD45,T_Equipos[NombreEquipo],0)))&amp;")")</f>
        <v>P.1 (4)</v>
      </c>
      <c r="CO45" s="119" t="n">
        <f aca="false">IF($CN45="-","-",SUMIFS(FG_GolesLocal,FGLocal,$BD45,Part2Empate5V,$CN45)+SUMIFS(FG_GolesVisitante,FGVisitante,$BD45,Part2Empate5L,$CN45))</f>
        <v>0</v>
      </c>
      <c r="CP45" s="119" t="n">
        <f aca="false">IF($CN45="-","-",SUMIFS(FG_GolesVisitante,FGLocal,$BD45,Part2Empate5V,$CN45)+SUMIFS(FG_GolesLocal,FGVisitante,$BD45,Part2Empate5L,$CN45))</f>
        <v>0</v>
      </c>
      <c r="CQ45" s="119" t="n">
        <f aca="false">IF($CN45="-","-",CO45-CP45)</f>
        <v>0</v>
      </c>
      <c r="CR45" s="119" t="n">
        <f aca="false">CM45+COUNTIFS($CN$6:$CN$53,CN45,$CQ$6:CQ$53,"&gt;"&amp;CQ45,$BC$6:$BC$53,INDEX(T_Equipos[Grupo],MATCH(BD45,T_Equipos[NombreEquipo],0)))</f>
        <v>1</v>
      </c>
      <c r="CS45" s="118" t="str">
        <f aca="false">IF(COUNTIFS($CR$6:$CR$53,CR45,$BC$6:$BC$53,INDEX(T_Equipos[Grupo],MATCH(BD45,T_Equipos[NombreEquipo],0)))=1,"-","P."&amp;CR45&amp;" ("&amp;COUNTIFS($CR$6:$CR$53,CR45,$BC$6:$BC$53,INDEX(T_Equipos[Grupo],MATCH(BD45,T_Equipos[NombreEquipo],0)))&amp;")")</f>
        <v>P.1 (4)</v>
      </c>
      <c r="CT45" s="119" t="n">
        <f aca="false">IF($CS45="-","-",SUMIFS(FG_GolesLocal,FGLocal,$BD45,Part2Empate6V,$CS45)+SUMIFS(FG_GolesVisitante,FGVisitante,$BD45,Part2Empate6L,$CS45))</f>
        <v>0</v>
      </c>
      <c r="CU45" s="119" t="n">
        <f aca="false">CR45+COUNTIFS($CS$6:$CS$53,CS45,$CT$6:CT$53,"&gt;"&amp;CT45,$BC$6:$BC$53,INDEX(T_Equipos[Grupo],MATCH(BD45,T_Equipos[NombreEquipo],0)))</f>
        <v>1</v>
      </c>
      <c r="CV45" s="118" t="str">
        <f aca="false">IF(COUNTIFS($CU$6:$CU$53,CU45,$BC$6:$BC$53,INDEX(T_Equipos[Grupo],MATCH(BD45,T_Equipos[NombreEquipo],0)))=1,"-","P."&amp;CU45&amp;" ("&amp;COUNTIFS($CU$6:$CU$53,CU45,$BC$6:$BC$53,INDEX(T_Equipos[Grupo],MATCH(BD45,T_Equipos[NombreEquipo],0)))&amp;")")</f>
        <v>P.1 (4)</v>
      </c>
      <c r="CW45" s="118" t="n">
        <f aca="false">IF(CV45="-","-",BL45)</f>
        <v>0</v>
      </c>
      <c r="CX45" s="118" t="n">
        <f aca="false">CU45+COUNTIFS($CV$6:$CV$53,CV45,$CW$6:CW$53,"&gt;"&amp;CW45,$BC$6:$BC$53,INDEX(T_Equipos[Grupo],MATCH(BD45,T_Equipos[NombreEquipo],0)))</f>
        <v>1</v>
      </c>
      <c r="CY45" s="118" t="str">
        <f aca="false">IF(COUNTIFS($CX$6:$CX$53,CX45,$BC$6:$BC$53,INDEX(T_Equipos[Grupo],MATCH(BD45,T_Equipos[NombreEquipo],0)))=1,"-","P."&amp;CX45&amp;" ("&amp;COUNTIFS($CX$6:$CX$53,CX45,$BC$6:$BC$53,INDEX(T_Equipos[Grupo],MATCH(BD45,T_Equipos[NombreEquipo],0)))&amp;")")</f>
        <v>P.1 (4)</v>
      </c>
      <c r="CZ45" s="118" t="n">
        <f aca="false">IF(CY45="-","-",BJ45)</f>
        <v>0</v>
      </c>
      <c r="DA45" s="119" t="n">
        <f aca="false">CX45+COUNTIFS($CY$6:$CY$53,CY45,$CZ$6:CZ$53,"&gt;"&amp;CZ45,$BC$6:$BC$53,INDEX(T_Equipos[Grupo],MATCH(BD45,T_Equipos[NombreEquipo],0)))</f>
        <v>1</v>
      </c>
      <c r="DB45" s="118" t="str">
        <f aca="false">IF(COUNTIFS($DA$6:$DA$53,DA45,$BC$6:$BC$53,INDEX(T_Equipos[Grupo],MATCH(BD45,T_Equipos[NombreEquipo],0)))=1,"-","P."&amp;DA45&amp;" ("&amp;COUNTIFS($DA$6:$DA$53,DA45,$BC$6:$BC$53,INDEX(T_Equipos[Grupo],MATCH(BD45,T_Equipos[NombreEquipo],0)))&amp;")")</f>
        <v>P.1 (4)</v>
      </c>
      <c r="DC45" s="116" t="n">
        <f aca="false">IF(DB45="-","-",COUNTIFS(T_Equipos[Rank],"&lt;"&amp;INDEX(T_Equipos[Rank],MATCH(BD45,T_Equipos[NombreEquipo],0)),$BC$6:$BC$53,INDEX(T_Equipos[Grupo],MATCH(BD45,T_Equipos[NombreEquipo],0)))+1)</f>
        <v>4</v>
      </c>
      <c r="DD45" s="116" t="n">
        <f aca="false">DA45+COUNTIFS($DB$6:$DB$53,DB45,$DC$6:DC$53,"&lt;"&amp;DC45,$BC$6:$BC$53,INDEX(T_Equipos[Grupo],MATCH(BD45,T_Equipos[NombreEquipo],0)))</f>
        <v>4</v>
      </c>
      <c r="DE45" s="116"/>
      <c r="DF45" s="116" t="n">
        <f aca="false">IF(OR(INDEX($AW$6:$AW$97,MATCH($BD45,$AV$6:$AV$97,0))="",DB45="-"),DD45,INDEX($AW$6:$AW$97,MATCH($BD45,$AV$6:$AV$97,0))+DD45/1000)</f>
        <v>4</v>
      </c>
      <c r="DG45" s="116" t="n">
        <f aca="false">IF(DB45="-","-",COUNTIFS(DF$6:DF$53,"&lt;"&amp;DF45,$BC$6:$BC$53,INDEX(T_Equipos[Grupo],MATCH(BD45,T_Equipos[NombreEquipo],0))))</f>
        <v>3</v>
      </c>
      <c r="DH45" s="116" t="n">
        <f aca="false">DA45+COUNTIFS(DB$6:DB$53,DB45,DG$6:DG$53,"&lt;"&amp;DG45,$BC$6:$BC$53,INDEX(T_Equipos[Grupo],MATCH(BD45,T_Equipos[NombreEquipo],0)))</f>
        <v>4</v>
      </c>
      <c r="DI45" s="55"/>
      <c r="DJ45" s="55" t="n">
        <f aca="false">INDEX($DA$6:$DA$53,MATCH($DQ45,$BD$6:$BD$53,0))</f>
        <v>1</v>
      </c>
      <c r="DK45" s="55" t="n">
        <f aca="false">+SUMIF($BC$6:$BC$53,BC45,$BF$6:$BF$53)</f>
        <v>0</v>
      </c>
      <c r="DL45" s="55" t="n">
        <f aca="false">IF(OR(DK45=12,$AJ$99=144),COUNTIFS($DJ$6:$DJ$53,DJ45,$BC$6:$BC$53,BC45),1)</f>
        <v>1</v>
      </c>
      <c r="DM45" s="120" t="str">
        <f aca="false">DJ45&amp;"."&amp;DL45</f>
        <v>1.1</v>
      </c>
      <c r="DN45" s="55" t="n">
        <f aca="true" t="array" ref="DN45:DN45">OFFSET(Horarios!$P$3,DJ45-1,0,DL45,1)</f>
        <v>1</v>
      </c>
      <c r="DO45" s="55"/>
      <c r="DP45" s="55" t="s">
        <v>122</v>
      </c>
      <c r="DQ45" s="55" t="str">
        <f aca="false">INDEX($BD$6:$BD$53,MATCH(DP45,$BM$6:$BM$53,0))</f>
        <v>Jordania</v>
      </c>
      <c r="DR45" s="55"/>
      <c r="DS45" s="55"/>
      <c r="DT45" s="55" t="str">
        <f aca="false">AA45&amp;"-"&amp;AF45</f>
        <v>Suecia-Túnez</v>
      </c>
      <c r="DU45" s="55"/>
      <c r="DV45" s="55"/>
      <c r="DW45" s="57"/>
    </row>
    <row r="46" customFormat="false" ht="15.75" hidden="false" customHeight="true" outlineLevel="0" collapsed="false">
      <c r="A46" s="92" t="str">
        <f aca="false">+Equipos!B23</f>
        <v>Japón</v>
      </c>
      <c r="B46" s="72"/>
      <c r="C46" s="103"/>
      <c r="D46" s="55" t="str">
        <f aca="false">IF(OR(AC46="",AD46=""),"Pendiente",IF(AC46&gt;AD46,"Local",IF(AC46&lt;AD46,"Visitante","Empate")))</f>
        <v>Pendiente</v>
      </c>
      <c r="E46" s="55" t="str">
        <f aca="false">IF(D46="Pendiente","-",INDEX($BT$6:$BT$53,MATCH($AA46,$BD$6:$BD$53,0)))</f>
        <v>-</v>
      </c>
      <c r="F46" s="55" t="str">
        <f aca="false">IF(D46="Pendiente","-",INDEX($BT$6:$BT$53,MATCH($AF46,$BD$6:$BD$53,0)))</f>
        <v>-</v>
      </c>
      <c r="G46" s="55"/>
      <c r="H46" s="55" t="str">
        <f aca="false">IF(D46="Pendiente","-",INDEX($BZ$6:$BZ$53,MATCH($AA46,$BD$6:$BD$53,0)))</f>
        <v>-</v>
      </c>
      <c r="I46" s="55" t="str">
        <f aca="false">IF(D46="Pendiente","-",INDEX($BZ$6:$BZ$53,MATCH($AF46,$BD$6:$BD$53,0)))</f>
        <v>-</v>
      </c>
      <c r="J46" s="55"/>
      <c r="K46" s="55" t="str">
        <f aca="false">IF(D46="Pendiente","-",INDEX($CE$6:$CE$53,MATCH($AA46,$BD$6:$BD$53,0)))</f>
        <v>-</v>
      </c>
      <c r="L46" s="55" t="str">
        <f aca="false">IF(D46="Pendiente","-",INDEX($CE$6:$CE$53,MATCH($AF46,$BD$6:$BD$53,0)))</f>
        <v>-</v>
      </c>
      <c r="M46" s="55"/>
      <c r="N46" s="55" t="str">
        <f aca="false">IF(D46="Pendiente","-",INDEX($CH$6:$CH$53,MATCH($AA46,$BD$6:$BD$53,0)))</f>
        <v>-</v>
      </c>
      <c r="O46" s="55" t="str">
        <f aca="false">IF(D46="Pendiente","-",INDEX($CH$6:$CH$53,MATCH($AF46,$BD$6:$BD$53,0)))</f>
        <v>-</v>
      </c>
      <c r="P46" s="55"/>
      <c r="Q46" s="55" t="str">
        <f aca="false">IF(D46="Pendiente","-",INDEX($CN$6:$CN$53,MATCH($AA46,$BD$6:$BD$53,0)))</f>
        <v>-</v>
      </c>
      <c r="R46" s="55" t="str">
        <f aca="false">IF(D46="Pendiente","-",INDEX($CN$6:$CN$53,MATCH($AF46,$BD$6:$BD$53,0)))</f>
        <v>-</v>
      </c>
      <c r="S46" s="55"/>
      <c r="T46" s="55" t="str">
        <f aca="false">IF(D46="Pendiente","-",INDEX($CS$6:$CS$53,MATCH($AA46,$BD$6:$BD$53,0)))</f>
        <v>-</v>
      </c>
      <c r="U46" s="55" t="str">
        <f aca="false">IF(D46="Pendiente","-",INDEX($CS$6:$CS$53,MATCH($AF46,$BD$6:$BD$53,0)))</f>
        <v>-</v>
      </c>
      <c r="V46" s="46"/>
      <c r="W46" s="187"/>
      <c r="X46" s="74" t="n">
        <f aca="false">Horarios!C46</f>
        <v>46193.7916666667</v>
      </c>
      <c r="Y46" s="75" t="n">
        <f aca="false">Horarios!C46</f>
        <v>46193.7916666667</v>
      </c>
      <c r="Z46" s="76" t="str">
        <f aca="false">$Z$6</f>
        <v>J2</v>
      </c>
      <c r="AA46" s="77" t="str">
        <f aca="false">A45</f>
        <v>Países Bajos</v>
      </c>
      <c r="AB46" s="165" t="str">
        <f aca="true" t="array" ref="AB46:AB46">Ver_flag_local</f>
        <v/>
      </c>
      <c r="AC46" s="79"/>
      <c r="AD46" s="80"/>
      <c r="AE46" s="81" t="str">
        <f aca="true" t="array" ref="AE46:AE46">Ver_flag_visit</f>
        <v/>
      </c>
      <c r="AF46" s="82" t="str">
        <f aca="false">A47</f>
        <v>Suecia</v>
      </c>
      <c r="AG46" s="83" t="n">
        <f aca="false">IF(NOT(OR(ISBLANK(AC46),ISBLANK(AD46))),1,0)</f>
        <v>0</v>
      </c>
      <c r="AH46" s="84" t="n">
        <v>35</v>
      </c>
      <c r="AI46" s="85" t="str">
        <f aca="false">AJ46&amp;$B$44</f>
        <v>1F</v>
      </c>
      <c r="AJ46" s="104" t="n">
        <v>1</v>
      </c>
      <c r="AK46" s="170" t="str">
        <f aca="true" t="array" ref="AK46:AK46">Ver_flag_visit</f>
        <v/>
      </c>
      <c r="AL46" s="106" t="str">
        <f aca="false">IFERROR(INDEX($BD$6:$BD$53,MATCH(AI46,$BN$6:$BN$53,0)),"")</f>
        <v>Suecia</v>
      </c>
      <c r="AM46" s="107" t="n">
        <f aca="false">INDEX($BE$6:$BN$53,MATCH($AL46,$BD$6:$BD$53,0),MATCH(AM$5,$BE$5:$BN$5,0))</f>
        <v>3</v>
      </c>
      <c r="AN46" s="108" t="n">
        <f aca="false">INDEX($BE$6:$BN$53,MATCH($AL46,$BD$6:$BD$53,0),MATCH(AN$5,$BE$5:$BN$5,0))</f>
        <v>1</v>
      </c>
      <c r="AO46" s="108" t="n">
        <f aca="false">INDEX($BE$6:$BN$53,MATCH($AL46,$BD$6:$BD$53,0),MATCH(AO$5,$BE$5:$BN$5,0))</f>
        <v>1</v>
      </c>
      <c r="AP46" s="108" t="n">
        <f aca="false">INDEX($BE$6:$BN$53,MATCH($AL46,$BD$6:$BD$53,0),MATCH(AP$5,$BE$5:$BN$5,0))</f>
        <v>0</v>
      </c>
      <c r="AQ46" s="108" t="n">
        <f aca="false">INDEX($BE$6:$BN$53,MATCH($AL46,$BD$6:$BD$53,0),MATCH(AQ$5,$BE$5:$BN$5,0))</f>
        <v>0</v>
      </c>
      <c r="AR46" s="108" t="n">
        <f aca="false">INDEX($BE$6:$BN$53,MATCH($AL46,$BD$6:$BD$53,0),MATCH(AR$5,$BE$5:$BN$5,0))</f>
        <v>5</v>
      </c>
      <c r="AS46" s="108" t="n">
        <f aca="false">INDEX($BE$6:$BN$53,MATCH($AL46,$BD$6:$BD$53,0),MATCH(AS$5,$BE$5:$BN$5,0))</f>
        <v>1</v>
      </c>
      <c r="AT46" s="109" t="n">
        <f aca="false">INDEX($BE$6:$BN$53,MATCH($AL46,$BD$6:$BD$53,0),MATCH(AT$5,$BE$5:$BN$5,0))</f>
        <v>4</v>
      </c>
      <c r="AU46" s="110" t="n">
        <f aca="false">INDEX($DL$6:$DL$53,MATCH(AI46,$DP$6:$DP$53,0))</f>
        <v>1</v>
      </c>
      <c r="AV46" s="111" t="str">
        <f aca="false">INDEX($BD$6:$BD$53,MATCH(AI46,$BM$6:$BM$53,0))</f>
        <v>Suecia</v>
      </c>
      <c r="AW46" s="112"/>
      <c r="AX46" s="113"/>
      <c r="AY46" s="114" t="str">
        <f aca="false">+A45</f>
        <v>Países Bajos</v>
      </c>
      <c r="AZ46" s="115"/>
      <c r="BA46" s="49"/>
      <c r="BB46" s="55"/>
      <c r="BC46" s="116" t="str">
        <f aca="false">+INDEX(T_Equipos[Grupo],MATCH(WORLDCUP!BD46,T_Equipos[NombreEquipo],0))</f>
        <v>K</v>
      </c>
      <c r="BD46" s="55" t="str">
        <f aca="false">+Equipos!B42</f>
        <v>Portugal</v>
      </c>
      <c r="BE46" s="117" t="n">
        <f aca="false">+BG46*3+BH46+IF($AZ$3="no",0,INDEX($AZ$6:$AZ$97,MATCH(BD46,$AY$6:$AY$97,0)))</f>
        <v>0</v>
      </c>
      <c r="BF46" s="117" t="n">
        <f aca="false">+BG46+BH46+BI46</f>
        <v>0</v>
      </c>
      <c r="BG46" s="117" t="n">
        <f aca="false">+COUNTIFS(FGLocal,BD46,Ganador,"Local")+COUNTIFS(FGVisitante,BD46,Ganador,"Visitante")</f>
        <v>0</v>
      </c>
      <c r="BH46" s="117" t="n">
        <f aca="false">+COUNTIFS(FGLocal,BD46,Ganador,"Empate")+COUNTIFS(FGVisitante,BD46,Ganador,"Empate")</f>
        <v>0</v>
      </c>
      <c r="BI46" s="117" t="n">
        <f aca="false">+COUNTIFS(FGVisitante,BD46,Ganador,"Local")+COUNTIFS(FGLocal,BD46,Ganador,"Visitante")</f>
        <v>0</v>
      </c>
      <c r="BJ46" s="117" t="n">
        <f aca="false">+SUMIFS(FG_GolesLocal,FGLocal,BD46,Ganador,"&lt;&gt;"&amp;"Pendiente",FG_GolesLocal,"&lt;&gt;"&amp;"",FG_GolesVisitante,"&lt;&gt;"&amp;"")+SUMIFS(FG_GolesVisitante,FGVisitante,BD46,Ganador,"&lt;&gt;"&amp;"Pendiente",FG_GolesLocal,"&lt;&gt;"&amp;"",FG_GolesVisitante,"&lt;&gt;"&amp;"")</f>
        <v>0</v>
      </c>
      <c r="BK46" s="117" t="n">
        <f aca="false">+SUMIFS(FG_GolesLocal,FGVisitante,BD46,Ganador,"&lt;&gt;"&amp;"Pendiente",FG_GolesLocal,"&lt;&gt;"&amp;"",FG_GolesVisitante,"&lt;&gt;"&amp;"")+SUMIFS(FG_GolesVisitante,FGLocal,BD46,Ganador,"&lt;&gt;"&amp;"Pendiente",FG_GolesLocal,"&lt;&gt;"&amp;"",FG_GolesVisitante,"&lt;&gt;"&amp;"")</f>
        <v>0</v>
      </c>
      <c r="BL46" s="117" t="n">
        <f aca="false">+BJ46-BK46</f>
        <v>0</v>
      </c>
      <c r="BM46" s="117" t="str">
        <f aca="false">DD46&amp;BC46</f>
        <v>1K</v>
      </c>
      <c r="BN46" s="117" t="str">
        <f aca="false">DH46&amp;BC46</f>
        <v>1K</v>
      </c>
      <c r="BO46" s="118" t="n">
        <f aca="false">IF(AND($AJ$99=144,BF46&gt;=1),1,0)</f>
        <v>0</v>
      </c>
      <c r="BP46" s="118" t="n">
        <f aca="false">COUNTIFS($BO$6:$BO$53,"&gt;"&amp;BO46,$BC$6:$BC$53,INDEX(T_Equipos[Grupo],MATCH(BD46,T_Equipos[NombreEquipo],0)))+1</f>
        <v>1</v>
      </c>
      <c r="BQ46" s="118" t="str">
        <f aca="false">IF(COUNTIFS($BP$6:$BP$53,BP46,$BC$6:$BC$53,INDEX(T_Equipos[Grupo],MATCH(BD46,T_Equipos[NombreEquipo],0)))=1,"-","P."&amp;BP46&amp;" ("&amp;COUNTIFS($BP$6:$BP$53,BP46,$BC$6:$BC$53,INDEX(T_Equipos[Grupo],MATCH(BD46,T_Equipos[NombreEquipo],0)))&amp;")")</f>
        <v>P.1 (4)</v>
      </c>
      <c r="BR46" s="118" t="n">
        <f aca="false">IF($BQ46="-","-",BE46)</f>
        <v>0</v>
      </c>
      <c r="BS46" s="118" t="n">
        <f aca="false">BP46+COUNTIFS($BQ$6:$BQ$53,BQ46,$BR$6:BR$53,"&gt;"&amp;BR46,$BC$6:$BC$53,INDEX(T_Equipos[Grupo],MATCH(BD46,T_Equipos[NombreEquipo],0)))</f>
        <v>1</v>
      </c>
      <c r="BT46" s="118" t="str">
        <f aca="false">IF(COUNTIFS($BS$6:$BS$53,BS46,$BC$6:$BC$53,INDEX(T_Equipos[Grupo],MATCH(BD46,T_Equipos[NombreEquipo],0)))=1,"-","P."&amp;BS46&amp;" ("&amp;COUNTIFS($BS$6:$BS$53,BS46,$BC$6:$BC$53,INDEX(T_Equipos[Grupo],MATCH(BD46,T_Equipos[NombreEquipo],0)))&amp;")")</f>
        <v>P.1 (4)</v>
      </c>
      <c r="BU46" s="119" t="n">
        <f aca="false">IF($BT46="-","-",COUNTIFS(FGLocal,$BD46,Ganador,"Local",Part1Empate1V,$BT46)+COUNTIFS(FGVisitante,$BD46,Ganador,"Visitante",Part1Empate1L,$BT46))</f>
        <v>0</v>
      </c>
      <c r="BV46" s="119" t="n">
        <f aca="false">IF($BT46="-","-",COUNTIFS(FGLocal,$BD46,Ganador,"Empate",Part1Empate1V,$BT46)+COUNTIFS(FGVisitante,$BD46,Ganador,"Empate",Part1Empate1L,$BT46))</f>
        <v>0</v>
      </c>
      <c r="BW46" s="119" t="n">
        <f aca="false">IF($BT46="-","-",COUNTIFS(FGLocal,$BD46,Ganador,"Visitante",Part1Empate1V,$BT46)+COUNTIFS(FGVisitante,$BD46,Ganador,"Local",Part1Empate1L,$BT46))</f>
        <v>0</v>
      </c>
      <c r="BX46" s="119" t="n">
        <f aca="false">IF($BT46="-","-",BU46*3+BV46)</f>
        <v>0</v>
      </c>
      <c r="BY46" s="119" t="n">
        <f aca="false">BS46+COUNTIFS($BT$6:$BT$53,BT46,$BX$6:BX$53,"&gt;"&amp;BX46,$BC$6:$BC$53,INDEX(T_Equipos[Grupo],MATCH(BD46,T_Equipos[NombreEquipo],0)))</f>
        <v>1</v>
      </c>
      <c r="BZ46" s="118" t="str">
        <f aca="false">IF(COUNTIFS($BY$6:$BY$53,BY46,$BC$6:$BC$53,INDEX(T_Equipos[Grupo],MATCH(BD46,T_Equipos[NombreEquipo],0)))=1,"-","P."&amp;BY46&amp;" ("&amp;COUNTIFS($BY$6:$BY$53,BY46,$BC$6:$BC$53,INDEX(T_Equipos[Grupo],MATCH(BD46,T_Equipos[NombreEquipo],0)))&amp;")")</f>
        <v>P.1 (4)</v>
      </c>
      <c r="CA46" s="119" t="n">
        <f aca="false">IF($BZ46="-","-",SUMIFS(FG_GolesLocal,FGLocal,$BD46,Part1Empate2V,$BZ46)+SUMIFS(FG_GolesVisitante,FGVisitante,$BD46,Part1Empate2L,$BZ46))</f>
        <v>0</v>
      </c>
      <c r="CB46" s="119" t="n">
        <f aca="false">IF($BZ46="-","-",SUMIFS(FG_GolesVisitante,FGLocal,$BD46,Part1Empate2V,$BZ46)+SUMIFS(FG_GolesLocal,FGVisitante,$BD46,Part1Empate2L,$BZ46))</f>
        <v>0</v>
      </c>
      <c r="CC46" s="119" t="n">
        <f aca="false">IF($BZ46="-","-",CA46-CB46)</f>
        <v>0</v>
      </c>
      <c r="CD46" s="119" t="n">
        <f aca="false">BY46+COUNTIFS($BZ$6:$BZ$53,BZ46,$CC$6:CC$53,"&gt;"&amp;CC46,$BC$6:$BC$53,INDEX(T_Equipos[Grupo],MATCH(BD46,T_Equipos[NombreEquipo],0)))</f>
        <v>1</v>
      </c>
      <c r="CE46" s="118" t="str">
        <f aca="false">IF(COUNTIFS($CD$6:$CD$53,CD46,$BC$6:$BC$53,INDEX(T_Equipos[Grupo],MATCH(BD46,T_Equipos[NombreEquipo],0)))=1,"-","P."&amp;CD46&amp;" ("&amp;COUNTIFS($CD$6:$CD$53,CD46,$BC$6:$BC$53,INDEX(T_Equipos[Grupo],MATCH(BD46,T_Equipos[NombreEquipo],0)))&amp;")")</f>
        <v>P.1 (4)</v>
      </c>
      <c r="CF46" s="119" t="n">
        <f aca="false">IF($CE46="-","-",SUMIFS(FG_GolesLocal,FGLocal,$BD46,Part1Empate3V,$CE46)+SUMIFS(FG_GolesVisitante,FGVisitante,$BD46,Part1Empate3L,$CE46))</f>
        <v>0</v>
      </c>
      <c r="CG46" s="119" t="n">
        <f aca="false">CD46+COUNTIFS($CE$6:$CE$53,CE46,$CF$6:CF$53,"&gt;"&amp;CF46,$BC$6:$BC$53,INDEX(T_Equipos[Grupo],MATCH(BD46,T_Equipos[NombreEquipo],0)))</f>
        <v>1</v>
      </c>
      <c r="CH46" s="118" t="str">
        <f aca="false">IF(COUNTIFS($CG$6:$CG$53,CG46,$BC$6:$BC$53,INDEX(T_Equipos[Grupo],MATCH(BD46,T_Equipos[NombreEquipo],0)))=1,"-","P."&amp;CG46&amp;" ("&amp;COUNTIFS($CG$6:$CG$53,CG46,$BC$6:$BC$53,INDEX(T_Equipos[Grupo],MATCH(BD46,T_Equipos[NombreEquipo],0)))&amp;")")</f>
        <v>P.1 (4)</v>
      </c>
      <c r="CI46" s="119" t="n">
        <f aca="false">IF($CH46="-","-",COUNTIFS(FGLocal,$BD46,Ganador,"Local",Part2Empate4V,$CH46)+COUNTIFS(FGVisitante,$BD46,Ganador,"Visitante",Part2Empate4L,$CH46))</f>
        <v>0</v>
      </c>
      <c r="CJ46" s="119" t="n">
        <f aca="false">IF($CH46="-","-",COUNTIFS(FGLocal,$BD46,Ganador,"Empate",Part2Empate4V,$CH46)+COUNTIFS(FGVisitante,$BD46,Ganador,"Empate",Part2Empate4L,$CH46))</f>
        <v>0</v>
      </c>
      <c r="CK46" s="119" t="n">
        <f aca="false">IF($CH46="-","-",COUNTIFS(FGLocal,$BD46,Ganador,"Visitante",Part2Empate4V,$CH46)+COUNTIFS(FGVisitante,$BD46,Ganador,"Local",Part2Empate4L,$CH46))</f>
        <v>0</v>
      </c>
      <c r="CL46" s="119" t="n">
        <f aca="false">IF($CH46="-","-",CI46*3+CJ46)</f>
        <v>0</v>
      </c>
      <c r="CM46" s="119" t="n">
        <f aca="false">CG46+COUNTIFS($CH$6:$CH$53,CH46,$CL$6:CL$53,"&gt;"&amp;CL46,$BC$6:$BC$53,INDEX(T_Equipos[Grupo],MATCH(BD46,T_Equipos[NombreEquipo],0)))</f>
        <v>1</v>
      </c>
      <c r="CN46" s="118" t="str">
        <f aca="false">IF(COUNTIFS($CM$6:$CM$53,CM46,$BC$6:$BC$53,INDEX(T_Equipos[Grupo],MATCH(BD46,T_Equipos[NombreEquipo],0)))=1,"-","P."&amp;CM46&amp;" ("&amp;COUNTIFS($CM$6:$CM$53,CM46,$BC$6:$BC$53,INDEX(T_Equipos[Grupo],MATCH(BD46,T_Equipos[NombreEquipo],0)))&amp;")")</f>
        <v>P.1 (4)</v>
      </c>
      <c r="CO46" s="119" t="n">
        <f aca="false">IF($CN46="-","-",SUMIFS(FG_GolesLocal,FGLocal,$BD46,Part2Empate5V,$CN46)+SUMIFS(FG_GolesVisitante,FGVisitante,$BD46,Part2Empate5L,$CN46))</f>
        <v>0</v>
      </c>
      <c r="CP46" s="119" t="n">
        <f aca="false">IF($CN46="-","-",SUMIFS(FG_GolesVisitante,FGLocal,$BD46,Part2Empate5V,$CN46)+SUMIFS(FG_GolesLocal,FGVisitante,$BD46,Part2Empate5L,$CN46))</f>
        <v>0</v>
      </c>
      <c r="CQ46" s="119" t="n">
        <f aca="false">IF($CN46="-","-",CO46-CP46)</f>
        <v>0</v>
      </c>
      <c r="CR46" s="119" t="n">
        <f aca="false">CM46+COUNTIFS($CN$6:$CN$53,CN46,$CQ$6:CQ$53,"&gt;"&amp;CQ46,$BC$6:$BC$53,INDEX(T_Equipos[Grupo],MATCH(BD46,T_Equipos[NombreEquipo],0)))</f>
        <v>1</v>
      </c>
      <c r="CS46" s="118" t="str">
        <f aca="false">IF(COUNTIFS($CR$6:$CR$53,CR46,$BC$6:$BC$53,INDEX(T_Equipos[Grupo],MATCH(BD46,T_Equipos[NombreEquipo],0)))=1,"-","P."&amp;CR46&amp;" ("&amp;COUNTIFS($CR$6:$CR$53,CR46,$BC$6:$BC$53,INDEX(T_Equipos[Grupo],MATCH(BD46,T_Equipos[NombreEquipo],0)))&amp;")")</f>
        <v>P.1 (4)</v>
      </c>
      <c r="CT46" s="119" t="n">
        <f aca="false">IF($CS46="-","-",SUMIFS(FG_GolesLocal,FGLocal,$BD46,Part2Empate6V,$CS46)+SUMIFS(FG_GolesVisitante,FGVisitante,$BD46,Part2Empate6L,$CS46))</f>
        <v>0</v>
      </c>
      <c r="CU46" s="119" t="n">
        <f aca="false">CR46+COUNTIFS($CS$6:$CS$53,CS46,$CT$6:CT$53,"&gt;"&amp;CT46,$BC$6:$BC$53,INDEX(T_Equipos[Grupo],MATCH(BD46,T_Equipos[NombreEquipo],0)))</f>
        <v>1</v>
      </c>
      <c r="CV46" s="118" t="str">
        <f aca="false">IF(COUNTIFS($CU$6:$CU$53,CU46,$BC$6:$BC$53,INDEX(T_Equipos[Grupo],MATCH(BD46,T_Equipos[NombreEquipo],0)))=1,"-","P."&amp;CU46&amp;" ("&amp;COUNTIFS($CU$6:$CU$53,CU46,$BC$6:$BC$53,INDEX(T_Equipos[Grupo],MATCH(BD46,T_Equipos[NombreEquipo],0)))&amp;")")</f>
        <v>P.1 (4)</v>
      </c>
      <c r="CW46" s="118" t="n">
        <f aca="false">IF(CV46="-","-",BL46)</f>
        <v>0</v>
      </c>
      <c r="CX46" s="118" t="n">
        <f aca="false">CU46+COUNTIFS($CV$6:$CV$53,CV46,$CW$6:CW$53,"&gt;"&amp;CW46,$BC$6:$BC$53,INDEX(T_Equipos[Grupo],MATCH(BD46,T_Equipos[NombreEquipo],0)))</f>
        <v>1</v>
      </c>
      <c r="CY46" s="118" t="str">
        <f aca="false">IF(COUNTIFS($CX$6:$CX$53,CX46,$BC$6:$BC$53,INDEX(T_Equipos[Grupo],MATCH(BD46,T_Equipos[NombreEquipo],0)))=1,"-","P."&amp;CX46&amp;" ("&amp;COUNTIFS($CX$6:$CX$53,CX46,$BC$6:$BC$53,INDEX(T_Equipos[Grupo],MATCH(BD46,T_Equipos[NombreEquipo],0)))&amp;")")</f>
        <v>P.1 (4)</v>
      </c>
      <c r="CZ46" s="118" t="n">
        <f aca="false">IF(CY46="-","-",BJ46)</f>
        <v>0</v>
      </c>
      <c r="DA46" s="119" t="n">
        <f aca="false">CX46+COUNTIFS($CY$6:$CY$53,CY46,$CZ$6:CZ$53,"&gt;"&amp;CZ46,$BC$6:$BC$53,INDEX(T_Equipos[Grupo],MATCH(BD46,T_Equipos[NombreEquipo],0)))</f>
        <v>1</v>
      </c>
      <c r="DB46" s="118" t="str">
        <f aca="false">IF(COUNTIFS($DA$6:$DA$53,DA46,$BC$6:$BC$53,INDEX(T_Equipos[Grupo],MATCH(BD46,T_Equipos[NombreEquipo],0)))=1,"-","P."&amp;DA46&amp;" ("&amp;COUNTIFS($DA$6:$DA$53,DA46,$BC$6:$BC$53,INDEX(T_Equipos[Grupo],MATCH(BD46,T_Equipos[NombreEquipo],0)))&amp;")")</f>
        <v>P.1 (4)</v>
      </c>
      <c r="DC46" s="116" t="n">
        <f aca="false">IF(DB46="-","-",COUNTIFS(T_Equipos[Rank],"&lt;"&amp;INDEX(T_Equipos[Rank],MATCH(BD46,T_Equipos[NombreEquipo],0)),$BC$6:$BC$53,INDEX(T_Equipos[Grupo],MATCH(BD46,T_Equipos[NombreEquipo],0)))+1)</f>
        <v>1</v>
      </c>
      <c r="DD46" s="116" t="n">
        <f aca="false">DA46+COUNTIFS($DB$6:$DB$53,DB46,$DC$6:DC$53,"&lt;"&amp;DC46,$BC$6:$BC$53,INDEX(T_Equipos[Grupo],MATCH(BD46,T_Equipos[NombreEquipo],0)))</f>
        <v>1</v>
      </c>
      <c r="DE46" s="116"/>
      <c r="DF46" s="116" t="n">
        <f aca="false">IF(OR(INDEX($AW$6:$AW$97,MATCH($BD46,$AV$6:$AV$97,0))="",DB46="-"),DD46,INDEX($AW$6:$AW$97,MATCH($BD46,$AV$6:$AV$97,0))+DD46/1000)</f>
        <v>1</v>
      </c>
      <c r="DG46" s="116" t="n">
        <f aca="false">IF(DB46="-","-",COUNTIFS(DF$6:DF$53,"&lt;"&amp;DF46,$BC$6:$BC$53,INDEX(T_Equipos[Grupo],MATCH(BD46,T_Equipos[NombreEquipo],0))))</f>
        <v>0</v>
      </c>
      <c r="DH46" s="116" t="n">
        <f aca="false">DA46+COUNTIFS(DB$6:DB$53,DB46,DG$6:DG$53,"&lt;"&amp;DG46,$BC$6:$BC$53,INDEX(T_Equipos[Grupo],MATCH(BD46,T_Equipos[NombreEquipo],0)))</f>
        <v>1</v>
      </c>
      <c r="DI46" s="55"/>
      <c r="DJ46" s="55" t="n">
        <f aca="false">INDEX($DA$6:$DA$53,MATCH($DQ46,$BD$6:$BD$53,0))</f>
        <v>1</v>
      </c>
      <c r="DK46" s="55" t="n">
        <f aca="false">+SUMIF($BC$6:$BC$53,BC46,$BF$6:$BF$53)</f>
        <v>0</v>
      </c>
      <c r="DL46" s="55" t="n">
        <f aca="false">IF(OR(DK46=12,$AJ$99=144),COUNTIFS($DJ$6:$DJ$53,DJ46,$BC$6:$BC$53,BC46),1)</f>
        <v>1</v>
      </c>
      <c r="DM46" s="120" t="str">
        <f aca="false">DJ46&amp;"."&amp;DL46</f>
        <v>1.1</v>
      </c>
      <c r="DN46" s="55" t="n">
        <f aca="true" t="array" ref="DN46:DN46">OFFSET(Horarios!$P$3,DJ46-1,0,DL46,1)</f>
        <v>1</v>
      </c>
      <c r="DO46" s="55"/>
      <c r="DP46" s="55" t="s">
        <v>123</v>
      </c>
      <c r="DQ46" s="55" t="str">
        <f aca="false">INDEX($BD$6:$BD$53,MATCH(DP46,$BM$6:$BM$53,0))</f>
        <v>Portugal</v>
      </c>
      <c r="DR46" s="55"/>
      <c r="DS46" s="55"/>
      <c r="DT46" s="55" t="str">
        <f aca="false">AA46&amp;"-"&amp;AF46</f>
        <v>Países Bajos-Suecia</v>
      </c>
      <c r="DU46" s="55"/>
      <c r="DV46" s="55"/>
      <c r="DW46" s="57"/>
    </row>
    <row r="47" customFormat="false" ht="15.75" hidden="false" customHeight="true" outlineLevel="0" collapsed="false">
      <c r="A47" s="92" t="str">
        <f aca="false">+Equipos!B24</f>
        <v>Suecia</v>
      </c>
      <c r="B47" s="72"/>
      <c r="C47" s="55"/>
      <c r="D47" s="55" t="str">
        <f aca="false">IF(OR(AC47="",AD47=""),"Pendiente",IF(AC47&gt;AD47,"Local",IF(AC47&lt;AD47,"Visitante","Empate")))</f>
        <v>Pendiente</v>
      </c>
      <c r="E47" s="55" t="str">
        <f aca="false">IF(D47="Pendiente","-",INDEX($BT$6:$BT$53,MATCH($AA47,$BD$6:$BD$53,0)))</f>
        <v>-</v>
      </c>
      <c r="F47" s="55" t="str">
        <f aca="false">IF(D47="Pendiente","-",INDEX($BT$6:$BT$53,MATCH($AF47,$BD$6:$BD$53,0)))</f>
        <v>-</v>
      </c>
      <c r="G47" s="55"/>
      <c r="H47" s="55" t="str">
        <f aca="false">IF(D47="Pendiente","-",INDEX($BZ$6:$BZ$53,MATCH($AA47,$BD$6:$BD$53,0)))</f>
        <v>-</v>
      </c>
      <c r="I47" s="55" t="str">
        <f aca="false">IF(D47="Pendiente","-",INDEX($BZ$6:$BZ$53,MATCH($AF47,$BD$6:$BD$53,0)))</f>
        <v>-</v>
      </c>
      <c r="J47" s="55"/>
      <c r="K47" s="55" t="str">
        <f aca="false">IF(D47="Pendiente","-",INDEX($CE$6:$CE$53,MATCH($AA47,$BD$6:$BD$53,0)))</f>
        <v>-</v>
      </c>
      <c r="L47" s="55" t="str">
        <f aca="false">IF(D47="Pendiente","-",INDEX($CE$6:$CE$53,MATCH($AF47,$BD$6:$BD$53,0)))</f>
        <v>-</v>
      </c>
      <c r="M47" s="55"/>
      <c r="N47" s="55" t="str">
        <f aca="false">IF(D47="Pendiente","-",INDEX($CH$6:$CH$53,MATCH($AA47,$BD$6:$BD$53,0)))</f>
        <v>-</v>
      </c>
      <c r="O47" s="55" t="str">
        <f aca="false">IF(D47="Pendiente","-",INDEX($CH$6:$CH$53,MATCH($AF47,$BD$6:$BD$53,0)))</f>
        <v>-</v>
      </c>
      <c r="P47" s="55"/>
      <c r="Q47" s="55" t="str">
        <f aca="false">IF(D47="Pendiente","-",INDEX($CN$6:$CN$53,MATCH($AA47,$BD$6:$BD$53,0)))</f>
        <v>-</v>
      </c>
      <c r="R47" s="55" t="str">
        <f aca="false">IF(D47="Pendiente","-",INDEX($CN$6:$CN$53,MATCH($AF47,$BD$6:$BD$53,0)))</f>
        <v>-</v>
      </c>
      <c r="S47" s="55"/>
      <c r="T47" s="55" t="str">
        <f aca="false">IF(D47="Pendiente","-",INDEX($CS$6:$CS$53,MATCH($AA47,$BD$6:$BD$53,0)))</f>
        <v>-</v>
      </c>
      <c r="U47" s="55" t="str">
        <f aca="false">IF(D47="Pendiente","-",INDEX($CS$6:$CS$53,MATCH($AF47,$BD$6:$BD$53,0)))</f>
        <v>-</v>
      </c>
      <c r="V47" s="46"/>
      <c r="W47" s="187"/>
      <c r="X47" s="74" t="n">
        <f aca="false">Horarios!C47</f>
        <v>46194.25</v>
      </c>
      <c r="Y47" s="75" t="n">
        <f aca="false">Horarios!C47</f>
        <v>46194.25</v>
      </c>
      <c r="Z47" s="76" t="str">
        <f aca="false">$Z$6</f>
        <v>J2</v>
      </c>
      <c r="AA47" s="77" t="str">
        <f aca="false">A48</f>
        <v>Túnez</v>
      </c>
      <c r="AB47" s="165" t="str">
        <f aca="true" t="array" ref="AB47:AB47">Ver_flag_local</f>
        <v/>
      </c>
      <c r="AC47" s="79"/>
      <c r="AD47" s="80"/>
      <c r="AE47" s="81" t="str">
        <f aca="true" t="array" ref="AE47:AE47">Ver_flag_visit</f>
        <v/>
      </c>
      <c r="AF47" s="82" t="str">
        <f aca="false">A46</f>
        <v>Japón</v>
      </c>
      <c r="AG47" s="83" t="n">
        <f aca="false">IF(NOT(OR(ISBLANK(AC47),ISBLANK(AD47))),1,0)</f>
        <v>0</v>
      </c>
      <c r="AH47" s="84" t="n">
        <v>36</v>
      </c>
      <c r="AI47" s="85" t="str">
        <f aca="false">AJ47&amp;$B$44</f>
        <v>2F</v>
      </c>
      <c r="AJ47" s="121" t="n">
        <v>2</v>
      </c>
      <c r="AK47" s="173" t="str">
        <f aca="true" t="array" ref="AK47:AK47">Ver_flag_visit</f>
        <v/>
      </c>
      <c r="AL47" s="123" t="str">
        <f aca="false">IFERROR(INDEX($BD$6:$BD$53,MATCH(AI47,$BN$6:$BN$53,0)),"")</f>
        <v>Países Bajos</v>
      </c>
      <c r="AM47" s="124" t="n">
        <f aca="false">INDEX($BE$6:$BN$53,MATCH($AL47,$BD$6:$BD$53,0),MATCH(AM$5,$BE$5:$BN$5,0))</f>
        <v>1</v>
      </c>
      <c r="AN47" s="125" t="n">
        <f aca="false">INDEX($BE$6:$BN$53,MATCH($AL47,$BD$6:$BD$53,0),MATCH(AN$5,$BE$5:$BN$5,0))</f>
        <v>1</v>
      </c>
      <c r="AO47" s="125" t="n">
        <f aca="false">INDEX($BE$6:$BN$53,MATCH($AL47,$BD$6:$BD$53,0),MATCH(AO$5,$BE$5:$BN$5,0))</f>
        <v>0</v>
      </c>
      <c r="AP47" s="125" t="n">
        <f aca="false">INDEX($BE$6:$BN$53,MATCH($AL47,$BD$6:$BD$53,0),MATCH(AP$5,$BE$5:$BN$5,0))</f>
        <v>1</v>
      </c>
      <c r="AQ47" s="125" t="n">
        <f aca="false">INDEX($BE$6:$BN$53,MATCH($AL47,$BD$6:$BD$53,0),MATCH(AQ$5,$BE$5:$BN$5,0))</f>
        <v>0</v>
      </c>
      <c r="AR47" s="125" t="n">
        <f aca="false">INDEX($BE$6:$BN$53,MATCH($AL47,$BD$6:$BD$53,0),MATCH(AR$5,$BE$5:$BN$5,0))</f>
        <v>2</v>
      </c>
      <c r="AS47" s="125" t="n">
        <f aca="false">INDEX($BE$6:$BN$53,MATCH($AL47,$BD$6:$BD$53,0),MATCH(AS$5,$BE$5:$BN$5,0))</f>
        <v>2</v>
      </c>
      <c r="AT47" s="126" t="n">
        <f aca="false">INDEX($BE$6:$BN$53,MATCH($AL47,$BD$6:$BD$53,0),MATCH(AT$5,$BE$5:$BN$5,0))</f>
        <v>0</v>
      </c>
      <c r="AU47" s="110" t="n">
        <f aca="false">INDEX($DL$6:$DL$53,MATCH(AI47,$DP$6:$DP$53,0))</f>
        <v>1</v>
      </c>
      <c r="AV47" s="111" t="str">
        <f aca="false">INDEX($BD$6:$BD$53,MATCH(AI47,$BM$6:$BM$53,0))</f>
        <v>Países Bajos</v>
      </c>
      <c r="AW47" s="112"/>
      <c r="AX47" s="113"/>
      <c r="AY47" s="127" t="str">
        <f aca="false">+A46</f>
        <v>Japón</v>
      </c>
      <c r="AZ47" s="128"/>
      <c r="BA47" s="49"/>
      <c r="BB47" s="55"/>
      <c r="BC47" s="116" t="str">
        <f aca="false">+INDEX(T_Equipos[Grupo],MATCH(WORLDCUP!BD47,T_Equipos[NombreEquipo],0))</f>
        <v>K</v>
      </c>
      <c r="BD47" s="55" t="str">
        <f aca="false">+Equipos!B43</f>
        <v>RD Congo</v>
      </c>
      <c r="BE47" s="117" t="n">
        <f aca="false">+BG47*3+BH47+IF($AZ$3="no",0,INDEX($AZ$6:$AZ$97,MATCH(BD47,$AY$6:$AY$97,0)))</f>
        <v>0</v>
      </c>
      <c r="BF47" s="117" t="n">
        <f aca="false">+BG47+BH47+BI47</f>
        <v>0</v>
      </c>
      <c r="BG47" s="117" t="n">
        <f aca="false">+COUNTIFS(FGLocal,BD47,Ganador,"Local")+COUNTIFS(FGVisitante,BD47,Ganador,"Visitante")</f>
        <v>0</v>
      </c>
      <c r="BH47" s="117" t="n">
        <f aca="false">+COUNTIFS(FGLocal,BD47,Ganador,"Empate")+COUNTIFS(FGVisitante,BD47,Ganador,"Empate")</f>
        <v>0</v>
      </c>
      <c r="BI47" s="117" t="n">
        <f aca="false">+COUNTIFS(FGVisitante,BD47,Ganador,"Local")+COUNTIFS(FGLocal,BD47,Ganador,"Visitante")</f>
        <v>0</v>
      </c>
      <c r="BJ47" s="117" t="n">
        <f aca="false">+SUMIFS(FG_GolesLocal,FGLocal,BD47,Ganador,"&lt;&gt;"&amp;"Pendiente",FG_GolesLocal,"&lt;&gt;"&amp;"",FG_GolesVisitante,"&lt;&gt;"&amp;"")+SUMIFS(FG_GolesVisitante,FGVisitante,BD47,Ganador,"&lt;&gt;"&amp;"Pendiente",FG_GolesLocal,"&lt;&gt;"&amp;"",FG_GolesVisitante,"&lt;&gt;"&amp;"")</f>
        <v>0</v>
      </c>
      <c r="BK47" s="117" t="n">
        <f aca="false">+SUMIFS(FG_GolesLocal,FGVisitante,BD47,Ganador,"&lt;&gt;"&amp;"Pendiente",FG_GolesLocal,"&lt;&gt;"&amp;"",FG_GolesVisitante,"&lt;&gt;"&amp;"")+SUMIFS(FG_GolesVisitante,FGLocal,BD47,Ganador,"&lt;&gt;"&amp;"Pendiente",FG_GolesLocal,"&lt;&gt;"&amp;"",FG_GolesVisitante,"&lt;&gt;"&amp;"")</f>
        <v>0</v>
      </c>
      <c r="BL47" s="117" t="n">
        <f aca="false">+BJ47-BK47</f>
        <v>0</v>
      </c>
      <c r="BM47" s="117" t="str">
        <f aca="false">DD47&amp;BC47</f>
        <v>2K</v>
      </c>
      <c r="BN47" s="117" t="str">
        <f aca="false">DH47&amp;BC47</f>
        <v>2K</v>
      </c>
      <c r="BO47" s="118" t="n">
        <f aca="false">IF(AND($AJ$99=144,BF47&gt;=1),1,0)</f>
        <v>0</v>
      </c>
      <c r="BP47" s="118" t="n">
        <f aca="false">COUNTIFS($BO$6:$BO$53,"&gt;"&amp;BO47,$BC$6:$BC$53,INDEX(T_Equipos[Grupo],MATCH(BD47,T_Equipos[NombreEquipo],0)))+1</f>
        <v>1</v>
      </c>
      <c r="BQ47" s="118" t="str">
        <f aca="false">IF(COUNTIFS($BP$6:$BP$53,BP47,$BC$6:$BC$53,INDEX(T_Equipos[Grupo],MATCH(BD47,T_Equipos[NombreEquipo],0)))=1,"-","P."&amp;BP47&amp;" ("&amp;COUNTIFS($BP$6:$BP$53,BP47,$BC$6:$BC$53,INDEX(T_Equipos[Grupo],MATCH(BD47,T_Equipos[NombreEquipo],0)))&amp;")")</f>
        <v>P.1 (4)</v>
      </c>
      <c r="BR47" s="118" t="n">
        <f aca="false">IF($BQ47="-","-",BE47)</f>
        <v>0</v>
      </c>
      <c r="BS47" s="118" t="n">
        <f aca="false">BP47+COUNTIFS($BQ$6:$BQ$53,BQ47,$BR$6:BR$53,"&gt;"&amp;BR47,$BC$6:$BC$53,INDEX(T_Equipos[Grupo],MATCH(BD47,T_Equipos[NombreEquipo],0)))</f>
        <v>1</v>
      </c>
      <c r="BT47" s="118" t="str">
        <f aca="false">IF(COUNTIFS($BS$6:$BS$53,BS47,$BC$6:$BC$53,INDEX(T_Equipos[Grupo],MATCH(BD47,T_Equipos[NombreEquipo],0)))=1,"-","P."&amp;BS47&amp;" ("&amp;COUNTIFS($BS$6:$BS$53,BS47,$BC$6:$BC$53,INDEX(T_Equipos[Grupo],MATCH(BD47,T_Equipos[NombreEquipo],0)))&amp;")")</f>
        <v>P.1 (4)</v>
      </c>
      <c r="BU47" s="119" t="n">
        <f aca="false">IF($BT47="-","-",COUNTIFS(FGLocal,$BD47,Ganador,"Local",Part1Empate1V,$BT47)+COUNTIFS(FGVisitante,$BD47,Ganador,"Visitante",Part1Empate1L,$BT47))</f>
        <v>0</v>
      </c>
      <c r="BV47" s="119" t="n">
        <f aca="false">IF($BT47="-","-",COUNTIFS(FGLocal,$BD47,Ganador,"Empate",Part1Empate1V,$BT47)+COUNTIFS(FGVisitante,$BD47,Ganador,"Empate",Part1Empate1L,$BT47))</f>
        <v>0</v>
      </c>
      <c r="BW47" s="119" t="n">
        <f aca="false">IF($BT47="-","-",COUNTIFS(FGLocal,$BD47,Ganador,"Visitante",Part1Empate1V,$BT47)+COUNTIFS(FGVisitante,$BD47,Ganador,"Local",Part1Empate1L,$BT47))</f>
        <v>0</v>
      </c>
      <c r="BX47" s="119" t="n">
        <f aca="false">IF($BT47="-","-",BU47*3+BV47)</f>
        <v>0</v>
      </c>
      <c r="BY47" s="119" t="n">
        <f aca="false">BS47+COUNTIFS($BT$6:$BT$53,BT47,$BX$6:BX$53,"&gt;"&amp;BX47,$BC$6:$BC$53,INDEX(T_Equipos[Grupo],MATCH(BD47,T_Equipos[NombreEquipo],0)))</f>
        <v>1</v>
      </c>
      <c r="BZ47" s="118" t="str">
        <f aca="false">IF(COUNTIFS($BY$6:$BY$53,BY47,$BC$6:$BC$53,INDEX(T_Equipos[Grupo],MATCH(BD47,T_Equipos[NombreEquipo],0)))=1,"-","P."&amp;BY47&amp;" ("&amp;COUNTIFS($BY$6:$BY$53,BY47,$BC$6:$BC$53,INDEX(T_Equipos[Grupo],MATCH(BD47,T_Equipos[NombreEquipo],0)))&amp;")")</f>
        <v>P.1 (4)</v>
      </c>
      <c r="CA47" s="119" t="n">
        <f aca="false">IF($BZ47="-","-",SUMIFS(FG_GolesLocal,FGLocal,$BD47,Part1Empate2V,$BZ47)+SUMIFS(FG_GolesVisitante,FGVisitante,$BD47,Part1Empate2L,$BZ47))</f>
        <v>0</v>
      </c>
      <c r="CB47" s="119" t="n">
        <f aca="false">IF($BZ47="-","-",SUMIFS(FG_GolesVisitante,FGLocal,$BD47,Part1Empate2V,$BZ47)+SUMIFS(FG_GolesLocal,FGVisitante,$BD47,Part1Empate2L,$BZ47))</f>
        <v>0</v>
      </c>
      <c r="CC47" s="119" t="n">
        <f aca="false">IF($BZ47="-","-",CA47-CB47)</f>
        <v>0</v>
      </c>
      <c r="CD47" s="119" t="n">
        <f aca="false">BY47+COUNTIFS($BZ$6:$BZ$53,BZ47,$CC$6:CC$53,"&gt;"&amp;CC47,$BC$6:$BC$53,INDEX(T_Equipos[Grupo],MATCH(BD47,T_Equipos[NombreEquipo],0)))</f>
        <v>1</v>
      </c>
      <c r="CE47" s="118" t="str">
        <f aca="false">IF(COUNTIFS($CD$6:$CD$53,CD47,$BC$6:$BC$53,INDEX(T_Equipos[Grupo],MATCH(BD47,T_Equipos[NombreEquipo],0)))=1,"-","P."&amp;CD47&amp;" ("&amp;COUNTIFS($CD$6:$CD$53,CD47,$BC$6:$BC$53,INDEX(T_Equipos[Grupo],MATCH(BD47,T_Equipos[NombreEquipo],0)))&amp;")")</f>
        <v>P.1 (4)</v>
      </c>
      <c r="CF47" s="119" t="n">
        <f aca="false">IF($CE47="-","-",SUMIFS(FG_GolesLocal,FGLocal,$BD47,Part1Empate3V,$CE47)+SUMIFS(FG_GolesVisitante,FGVisitante,$BD47,Part1Empate3L,$CE47))</f>
        <v>0</v>
      </c>
      <c r="CG47" s="119" t="n">
        <f aca="false">CD47+COUNTIFS($CE$6:$CE$53,CE47,$CF$6:CF$53,"&gt;"&amp;CF47,$BC$6:$BC$53,INDEX(T_Equipos[Grupo],MATCH(BD47,T_Equipos[NombreEquipo],0)))</f>
        <v>1</v>
      </c>
      <c r="CH47" s="118" t="str">
        <f aca="false">IF(COUNTIFS($CG$6:$CG$53,CG47,$BC$6:$BC$53,INDEX(T_Equipos[Grupo],MATCH(BD47,T_Equipos[NombreEquipo],0)))=1,"-","P."&amp;CG47&amp;" ("&amp;COUNTIFS($CG$6:$CG$53,CG47,$BC$6:$BC$53,INDEX(T_Equipos[Grupo],MATCH(BD47,T_Equipos[NombreEquipo],0)))&amp;")")</f>
        <v>P.1 (4)</v>
      </c>
      <c r="CI47" s="119" t="n">
        <f aca="false">IF($CH47="-","-",COUNTIFS(FGLocal,$BD47,Ganador,"Local",Part2Empate4V,$CH47)+COUNTIFS(FGVisitante,$BD47,Ganador,"Visitante",Part2Empate4L,$CH47))</f>
        <v>0</v>
      </c>
      <c r="CJ47" s="119" t="n">
        <f aca="false">IF($CH47="-","-",COUNTIFS(FGLocal,$BD47,Ganador,"Empate",Part2Empate4V,$CH47)+COUNTIFS(FGVisitante,$BD47,Ganador,"Empate",Part2Empate4L,$CH47))</f>
        <v>0</v>
      </c>
      <c r="CK47" s="119" t="n">
        <f aca="false">IF($CH47="-","-",COUNTIFS(FGLocal,$BD47,Ganador,"Visitante",Part2Empate4V,$CH47)+COUNTIFS(FGVisitante,$BD47,Ganador,"Local",Part2Empate4L,$CH47))</f>
        <v>0</v>
      </c>
      <c r="CL47" s="119" t="n">
        <f aca="false">IF($CH47="-","-",CI47*3+CJ47)</f>
        <v>0</v>
      </c>
      <c r="CM47" s="119" t="n">
        <f aca="false">CG47+COUNTIFS($CH$6:$CH$53,CH47,$CL$6:CL$53,"&gt;"&amp;CL47,$BC$6:$BC$53,INDEX(T_Equipos[Grupo],MATCH(BD47,T_Equipos[NombreEquipo],0)))</f>
        <v>1</v>
      </c>
      <c r="CN47" s="118" t="str">
        <f aca="false">IF(COUNTIFS($CM$6:$CM$53,CM47,$BC$6:$BC$53,INDEX(T_Equipos[Grupo],MATCH(BD47,T_Equipos[NombreEquipo],0)))=1,"-","P."&amp;CM47&amp;" ("&amp;COUNTIFS($CM$6:$CM$53,CM47,$BC$6:$BC$53,INDEX(T_Equipos[Grupo],MATCH(BD47,T_Equipos[NombreEquipo],0)))&amp;")")</f>
        <v>P.1 (4)</v>
      </c>
      <c r="CO47" s="119" t="n">
        <f aca="false">IF($CN47="-","-",SUMIFS(FG_GolesLocal,FGLocal,$BD47,Part2Empate5V,$CN47)+SUMIFS(FG_GolesVisitante,FGVisitante,$BD47,Part2Empate5L,$CN47))</f>
        <v>0</v>
      </c>
      <c r="CP47" s="119" t="n">
        <f aca="false">IF($CN47="-","-",SUMIFS(FG_GolesVisitante,FGLocal,$BD47,Part2Empate5V,$CN47)+SUMIFS(FG_GolesLocal,FGVisitante,$BD47,Part2Empate5L,$CN47))</f>
        <v>0</v>
      </c>
      <c r="CQ47" s="119" t="n">
        <f aca="false">IF($CN47="-","-",CO47-CP47)</f>
        <v>0</v>
      </c>
      <c r="CR47" s="119" t="n">
        <f aca="false">CM47+COUNTIFS($CN$6:$CN$53,CN47,$CQ$6:CQ$53,"&gt;"&amp;CQ47,$BC$6:$BC$53,INDEX(T_Equipos[Grupo],MATCH(BD47,T_Equipos[NombreEquipo],0)))</f>
        <v>1</v>
      </c>
      <c r="CS47" s="118" t="str">
        <f aca="false">IF(COUNTIFS($CR$6:$CR$53,CR47,$BC$6:$BC$53,INDEX(T_Equipos[Grupo],MATCH(BD47,T_Equipos[NombreEquipo],0)))=1,"-","P."&amp;CR47&amp;" ("&amp;COUNTIFS($CR$6:$CR$53,CR47,$BC$6:$BC$53,INDEX(T_Equipos[Grupo],MATCH(BD47,T_Equipos[NombreEquipo],0)))&amp;")")</f>
        <v>P.1 (4)</v>
      </c>
      <c r="CT47" s="119" t="n">
        <f aca="false">IF($CS47="-","-",SUMIFS(FG_GolesLocal,FGLocal,$BD47,Part2Empate6V,$CS47)+SUMIFS(FG_GolesVisitante,FGVisitante,$BD47,Part2Empate6L,$CS47))</f>
        <v>0</v>
      </c>
      <c r="CU47" s="119" t="n">
        <f aca="false">CR47+COUNTIFS($CS$6:$CS$53,CS47,$CT$6:CT$53,"&gt;"&amp;CT47,$BC$6:$BC$53,INDEX(T_Equipos[Grupo],MATCH(BD47,T_Equipos[NombreEquipo],0)))</f>
        <v>1</v>
      </c>
      <c r="CV47" s="118" t="str">
        <f aca="false">IF(COUNTIFS($CU$6:$CU$53,CU47,$BC$6:$BC$53,INDEX(T_Equipos[Grupo],MATCH(BD47,T_Equipos[NombreEquipo],0)))=1,"-","P."&amp;CU47&amp;" ("&amp;COUNTIFS($CU$6:$CU$53,CU47,$BC$6:$BC$53,INDEX(T_Equipos[Grupo],MATCH(BD47,T_Equipos[NombreEquipo],0)))&amp;")")</f>
        <v>P.1 (4)</v>
      </c>
      <c r="CW47" s="118" t="n">
        <f aca="false">IF(CV47="-","-",BL47)</f>
        <v>0</v>
      </c>
      <c r="CX47" s="118" t="n">
        <f aca="false">CU47+COUNTIFS($CV$6:$CV$53,CV47,$CW$6:CW$53,"&gt;"&amp;CW47,$BC$6:$BC$53,INDEX(T_Equipos[Grupo],MATCH(BD47,T_Equipos[NombreEquipo],0)))</f>
        <v>1</v>
      </c>
      <c r="CY47" s="118" t="str">
        <f aca="false">IF(COUNTIFS($CX$6:$CX$53,CX47,$BC$6:$BC$53,INDEX(T_Equipos[Grupo],MATCH(BD47,T_Equipos[NombreEquipo],0)))=1,"-","P."&amp;CX47&amp;" ("&amp;COUNTIFS($CX$6:$CX$53,CX47,$BC$6:$BC$53,INDEX(T_Equipos[Grupo],MATCH(BD47,T_Equipos[NombreEquipo],0)))&amp;")")</f>
        <v>P.1 (4)</v>
      </c>
      <c r="CZ47" s="118" t="n">
        <f aca="false">IF(CY47="-","-",BJ47)</f>
        <v>0</v>
      </c>
      <c r="DA47" s="119" t="n">
        <f aca="false">CX47+COUNTIFS($CY$6:$CY$53,CY47,$CZ$6:CZ$53,"&gt;"&amp;CZ47,$BC$6:$BC$53,INDEX(T_Equipos[Grupo],MATCH(BD47,T_Equipos[NombreEquipo],0)))</f>
        <v>1</v>
      </c>
      <c r="DB47" s="118" t="str">
        <f aca="false">IF(COUNTIFS($DA$6:$DA$53,DA47,$BC$6:$BC$53,INDEX(T_Equipos[Grupo],MATCH(BD47,T_Equipos[NombreEquipo],0)))=1,"-","P."&amp;DA47&amp;" ("&amp;COUNTIFS($DA$6:$DA$53,DA47,$BC$6:$BC$53,INDEX(T_Equipos[Grupo],MATCH(BD47,T_Equipos[NombreEquipo],0)))&amp;")")</f>
        <v>P.1 (4)</v>
      </c>
      <c r="DC47" s="116" t="n">
        <f aca="false">IF(DB47="-","-",COUNTIFS(T_Equipos[Rank],"&lt;"&amp;INDEX(T_Equipos[Rank],MATCH(BD47,T_Equipos[NombreEquipo],0)),$BC$6:$BC$53,INDEX(T_Equipos[Grupo],MATCH(BD47,T_Equipos[NombreEquipo],0)))+1)</f>
        <v>2</v>
      </c>
      <c r="DD47" s="116" t="n">
        <f aca="false">DA47+COUNTIFS($DB$6:$DB$53,DB47,$DC$6:DC$53,"&lt;"&amp;DC47,$BC$6:$BC$53,INDEX(T_Equipos[Grupo],MATCH(BD47,T_Equipos[NombreEquipo],0)))</f>
        <v>2</v>
      </c>
      <c r="DE47" s="116"/>
      <c r="DF47" s="116" t="n">
        <f aca="false">IF(OR(INDEX($AW$6:$AW$97,MATCH($BD47,$AV$6:$AV$97,0))="",DB47="-"),DD47,INDEX($AW$6:$AW$97,MATCH($BD47,$AV$6:$AV$97,0))+DD47/1000)</f>
        <v>2</v>
      </c>
      <c r="DG47" s="116" t="n">
        <f aca="false">IF(DB47="-","-",COUNTIFS(DF$6:DF$53,"&lt;"&amp;DF47,$BC$6:$BC$53,INDEX(T_Equipos[Grupo],MATCH(BD47,T_Equipos[NombreEquipo],0))))</f>
        <v>1</v>
      </c>
      <c r="DH47" s="116" t="n">
        <f aca="false">DA47+COUNTIFS(DB$6:DB$53,DB47,DG$6:DG$53,"&lt;"&amp;DG47,$BC$6:$BC$53,INDEX(T_Equipos[Grupo],MATCH(BD47,T_Equipos[NombreEquipo],0)))</f>
        <v>2</v>
      </c>
      <c r="DI47" s="55"/>
      <c r="DJ47" s="55" t="n">
        <f aca="false">INDEX($DA$6:$DA$53,MATCH($DQ47,$BD$6:$BD$53,0))</f>
        <v>1</v>
      </c>
      <c r="DK47" s="55" t="n">
        <f aca="false">+SUMIF($BC$6:$BC$53,BC47,$BF$6:$BF$53)</f>
        <v>0</v>
      </c>
      <c r="DL47" s="55" t="n">
        <f aca="false">IF(OR(DK47=12,$AJ$99=144),COUNTIFS($DJ$6:$DJ$53,DJ47,$BC$6:$BC$53,BC47),1)</f>
        <v>1</v>
      </c>
      <c r="DM47" s="120" t="str">
        <f aca="false">DJ47&amp;"."&amp;DL47</f>
        <v>1.1</v>
      </c>
      <c r="DN47" s="55" t="n">
        <f aca="true" t="array" ref="DN47:DN47">OFFSET(Horarios!$P$3,DJ47-1,0,DL47,1)</f>
        <v>1</v>
      </c>
      <c r="DO47" s="55"/>
      <c r="DP47" s="55" t="s">
        <v>124</v>
      </c>
      <c r="DQ47" s="55" t="str">
        <f aca="false">INDEX($BD$6:$BD$53,MATCH(DP47,$BM$6:$BM$53,0))</f>
        <v>RD Congo</v>
      </c>
      <c r="DR47" s="55"/>
      <c r="DS47" s="55"/>
      <c r="DT47" s="55" t="str">
        <f aca="false">AA47&amp;"-"&amp;AF47</f>
        <v>Túnez-Japón</v>
      </c>
      <c r="DU47" s="55"/>
      <c r="DV47" s="55"/>
      <c r="DW47" s="57"/>
    </row>
    <row r="48" customFormat="false" ht="15.75" hidden="false" customHeight="true" outlineLevel="0" collapsed="false">
      <c r="A48" s="92" t="str">
        <f aca="false">+Equipos!B25</f>
        <v>Túnez</v>
      </c>
      <c r="B48" s="72"/>
      <c r="C48" s="55"/>
      <c r="D48" s="55" t="str">
        <f aca="false">IF(OR(AC48="",AD48=""),"Pendiente",IF(AC48&gt;AD48,"Local",IF(AC48&lt;AD48,"Visitante","Empate")))</f>
        <v>Pendiente</v>
      </c>
      <c r="E48" s="55" t="str">
        <f aca="false">IF(D48="Pendiente","-",INDEX($BT$6:$BT$53,MATCH($AA48,$BD$6:$BD$53,0)))</f>
        <v>-</v>
      </c>
      <c r="F48" s="55" t="str">
        <f aca="false">IF(D48="Pendiente","-",INDEX($BT$6:$BT$53,MATCH($AF48,$BD$6:$BD$53,0)))</f>
        <v>-</v>
      </c>
      <c r="G48" s="55"/>
      <c r="H48" s="55" t="str">
        <f aca="false">IF(D48="Pendiente","-",INDEX($BZ$6:$BZ$53,MATCH($AA48,$BD$6:$BD$53,0)))</f>
        <v>-</v>
      </c>
      <c r="I48" s="55" t="str">
        <f aca="false">IF(D48="Pendiente","-",INDEX($BZ$6:$BZ$53,MATCH($AF48,$BD$6:$BD$53,0)))</f>
        <v>-</v>
      </c>
      <c r="J48" s="55"/>
      <c r="K48" s="55" t="str">
        <f aca="false">IF(D48="Pendiente","-",INDEX($CE$6:$CE$53,MATCH($AA48,$BD$6:$BD$53,0)))</f>
        <v>-</v>
      </c>
      <c r="L48" s="55" t="str">
        <f aca="false">IF(D48="Pendiente","-",INDEX($CE$6:$CE$53,MATCH($AF48,$BD$6:$BD$53,0)))</f>
        <v>-</v>
      </c>
      <c r="M48" s="55"/>
      <c r="N48" s="55" t="str">
        <f aca="false">IF(D48="Pendiente","-",INDEX($CH$6:$CH$53,MATCH($AA48,$BD$6:$BD$53,0)))</f>
        <v>-</v>
      </c>
      <c r="O48" s="55" t="str">
        <f aca="false">IF(D48="Pendiente","-",INDEX($CH$6:$CH$53,MATCH($AF48,$BD$6:$BD$53,0)))</f>
        <v>-</v>
      </c>
      <c r="P48" s="55"/>
      <c r="Q48" s="55" t="str">
        <f aca="false">IF(D48="Pendiente","-",INDEX($CN$6:$CN$53,MATCH($AA48,$BD$6:$BD$53,0)))</f>
        <v>-</v>
      </c>
      <c r="R48" s="55" t="str">
        <f aca="false">IF(D48="Pendiente","-",INDEX($CN$6:$CN$53,MATCH($AF48,$BD$6:$BD$53,0)))</f>
        <v>-</v>
      </c>
      <c r="S48" s="55"/>
      <c r="T48" s="55" t="str">
        <f aca="false">IF(D48="Pendiente","-",INDEX($CS$6:$CS$53,MATCH($AA48,$BD$6:$BD$53,0)))</f>
        <v>-</v>
      </c>
      <c r="U48" s="55" t="str">
        <f aca="false">IF(D48="Pendiente","-",INDEX($CS$6:$CS$53,MATCH($AF48,$BD$6:$BD$53,0)))</f>
        <v>-</v>
      </c>
      <c r="V48" s="46"/>
      <c r="W48" s="187"/>
      <c r="X48" s="74" t="n">
        <f aca="false">Horarios!C48</f>
        <v>46199.0416666667</v>
      </c>
      <c r="Y48" s="75" t="n">
        <f aca="false">Horarios!C48</f>
        <v>46199.0416666667</v>
      </c>
      <c r="Z48" s="76" t="str">
        <f aca="false">$Z$8</f>
        <v>J3</v>
      </c>
      <c r="AA48" s="77" t="str">
        <f aca="false">A46</f>
        <v>Japón</v>
      </c>
      <c r="AB48" s="165" t="str">
        <f aca="true" t="array" ref="AB48:AB48">Ver_flag_local</f>
        <v/>
      </c>
      <c r="AC48" s="79"/>
      <c r="AD48" s="80"/>
      <c r="AE48" s="81" t="str">
        <f aca="true" t="array" ref="AE48:AE48">Ver_flag_visit</f>
        <v/>
      </c>
      <c r="AF48" s="82" t="str">
        <f aca="false">A47</f>
        <v>Suecia</v>
      </c>
      <c r="AG48" s="83" t="n">
        <f aca="false">IF(NOT(OR(ISBLANK(AC48),ISBLANK(AD48))),1,0)</f>
        <v>0</v>
      </c>
      <c r="AH48" s="84" t="n">
        <v>57</v>
      </c>
      <c r="AI48" s="85" t="str">
        <f aca="false">AJ48&amp;$B$44</f>
        <v>3F</v>
      </c>
      <c r="AJ48" s="121" t="n">
        <v>3</v>
      </c>
      <c r="AK48" s="173" t="str">
        <f aca="true" t="array" ref="AK48:AK48">Ver_flag_visit</f>
        <v/>
      </c>
      <c r="AL48" s="123" t="str">
        <f aca="false">IFERROR(INDEX($BD$6:$BD$53,MATCH(AI48,$BN$6:$BN$53,0)),"")</f>
        <v>Japón</v>
      </c>
      <c r="AM48" s="124" t="n">
        <f aca="false">INDEX($BE$6:$BN$53,MATCH($AL48,$BD$6:$BD$53,0),MATCH(AM$5,$BE$5:$BN$5,0))</f>
        <v>1</v>
      </c>
      <c r="AN48" s="125" t="n">
        <f aca="false">INDEX($BE$6:$BN$53,MATCH($AL48,$BD$6:$BD$53,0),MATCH(AN$5,$BE$5:$BN$5,0))</f>
        <v>1</v>
      </c>
      <c r="AO48" s="188" t="n">
        <f aca="false">INDEX($BE$6:$BN$53,MATCH($AL48,$BD$6:$BD$53,0),MATCH(AO$5,$BE$5:$BN$5,0))</f>
        <v>0</v>
      </c>
      <c r="AP48" s="188" t="n">
        <f aca="false">INDEX($BE$6:$BN$53,MATCH($AL48,$BD$6:$BD$53,0),MATCH(AP$5,$BE$5:$BN$5,0))</f>
        <v>1</v>
      </c>
      <c r="AQ48" s="188" t="n">
        <f aca="false">INDEX($BE$6:$BN$53,MATCH($AL48,$BD$6:$BD$53,0),MATCH(AQ$5,$BE$5:$BN$5,0))</f>
        <v>0</v>
      </c>
      <c r="AR48" s="125" t="n">
        <f aca="false">INDEX($BE$6:$BN$53,MATCH($AL48,$BD$6:$BD$53,0),MATCH(AR$5,$BE$5:$BN$5,0))</f>
        <v>2</v>
      </c>
      <c r="AS48" s="125" t="n">
        <f aca="false">INDEX($BE$6:$BN$53,MATCH($AL48,$BD$6:$BD$53,0),MATCH(AS$5,$BE$5:$BN$5,0))</f>
        <v>2</v>
      </c>
      <c r="AT48" s="126" t="n">
        <f aca="false">INDEX($BE$6:$BN$53,MATCH($AL48,$BD$6:$BD$53,0),MATCH(AT$5,$BE$5:$BN$5,0))</f>
        <v>0</v>
      </c>
      <c r="AU48" s="110" t="n">
        <f aca="false">INDEX($DL$6:$DL$53,MATCH(AI48,$DP$6:$DP$53,0))</f>
        <v>1</v>
      </c>
      <c r="AV48" s="111" t="str">
        <f aca="false">INDEX($BD$6:$BD$53,MATCH(AI48,$BM$6:$BM$53,0))</f>
        <v>Japón</v>
      </c>
      <c r="AW48" s="112"/>
      <c r="AX48" s="113"/>
      <c r="AY48" s="114" t="str">
        <f aca="false">+A47</f>
        <v>Suecia</v>
      </c>
      <c r="AZ48" s="115"/>
      <c r="BA48" s="49"/>
      <c r="BB48" s="55"/>
      <c r="BC48" s="116" t="str">
        <f aca="false">+INDEX(T_Equipos[Grupo],MATCH(WORLDCUP!BD48,T_Equipos[NombreEquipo],0))</f>
        <v>K</v>
      </c>
      <c r="BD48" s="55" t="str">
        <f aca="false">+Equipos!B44</f>
        <v>Uzbekistán</v>
      </c>
      <c r="BE48" s="117" t="n">
        <f aca="false">+BG48*3+BH48+IF($AZ$3="no",0,INDEX($AZ$6:$AZ$97,MATCH(BD48,$AY$6:$AY$97,0)))</f>
        <v>0</v>
      </c>
      <c r="BF48" s="117" t="n">
        <f aca="false">+BG48+BH48+BI48</f>
        <v>0</v>
      </c>
      <c r="BG48" s="117" t="n">
        <f aca="false">+COUNTIFS(FGLocal,BD48,Ganador,"Local")+COUNTIFS(FGVisitante,BD48,Ganador,"Visitante")</f>
        <v>0</v>
      </c>
      <c r="BH48" s="117" t="n">
        <f aca="false">+COUNTIFS(FGLocal,BD48,Ganador,"Empate")+COUNTIFS(FGVisitante,BD48,Ganador,"Empate")</f>
        <v>0</v>
      </c>
      <c r="BI48" s="117" t="n">
        <f aca="false">+COUNTIFS(FGVisitante,BD48,Ganador,"Local")+COUNTIFS(FGLocal,BD48,Ganador,"Visitante")</f>
        <v>0</v>
      </c>
      <c r="BJ48" s="117" t="n">
        <f aca="false">+SUMIFS(FG_GolesLocal,FGLocal,BD48,Ganador,"&lt;&gt;"&amp;"Pendiente",FG_GolesLocal,"&lt;&gt;"&amp;"",FG_GolesVisitante,"&lt;&gt;"&amp;"")+SUMIFS(FG_GolesVisitante,FGVisitante,BD48,Ganador,"&lt;&gt;"&amp;"Pendiente",FG_GolesLocal,"&lt;&gt;"&amp;"",FG_GolesVisitante,"&lt;&gt;"&amp;"")</f>
        <v>0</v>
      </c>
      <c r="BK48" s="117" t="n">
        <f aca="false">+SUMIFS(FG_GolesLocal,FGVisitante,BD48,Ganador,"&lt;&gt;"&amp;"Pendiente",FG_GolesLocal,"&lt;&gt;"&amp;"",FG_GolesVisitante,"&lt;&gt;"&amp;"")+SUMIFS(FG_GolesVisitante,FGLocal,BD48,Ganador,"&lt;&gt;"&amp;"Pendiente",FG_GolesLocal,"&lt;&gt;"&amp;"",FG_GolesVisitante,"&lt;&gt;"&amp;"")</f>
        <v>0</v>
      </c>
      <c r="BL48" s="117" t="n">
        <f aca="false">+BJ48-BK48</f>
        <v>0</v>
      </c>
      <c r="BM48" s="117" t="str">
        <f aca="false">DD48&amp;BC48</f>
        <v>3K</v>
      </c>
      <c r="BN48" s="117" t="str">
        <f aca="false">DH48&amp;BC48</f>
        <v>3K</v>
      </c>
      <c r="BO48" s="118" t="n">
        <f aca="false">IF(AND($AJ$99=144,BF48&gt;=1),1,0)</f>
        <v>0</v>
      </c>
      <c r="BP48" s="118" t="n">
        <f aca="false">COUNTIFS($BO$6:$BO$53,"&gt;"&amp;BO48,$BC$6:$BC$53,INDEX(T_Equipos[Grupo],MATCH(BD48,T_Equipos[NombreEquipo],0)))+1</f>
        <v>1</v>
      </c>
      <c r="BQ48" s="118" t="str">
        <f aca="false">IF(COUNTIFS($BP$6:$BP$53,BP48,$BC$6:$BC$53,INDEX(T_Equipos[Grupo],MATCH(BD48,T_Equipos[NombreEquipo],0)))=1,"-","P."&amp;BP48&amp;" ("&amp;COUNTIFS($BP$6:$BP$53,BP48,$BC$6:$BC$53,INDEX(T_Equipos[Grupo],MATCH(BD48,T_Equipos[NombreEquipo],0)))&amp;")")</f>
        <v>P.1 (4)</v>
      </c>
      <c r="BR48" s="118" t="n">
        <f aca="false">IF($BQ48="-","-",BE48)</f>
        <v>0</v>
      </c>
      <c r="BS48" s="118" t="n">
        <f aca="false">BP48+COUNTIFS($BQ$6:$BQ$53,BQ48,$BR$6:BR$53,"&gt;"&amp;BR48,$BC$6:$BC$53,INDEX(T_Equipos[Grupo],MATCH(BD48,T_Equipos[NombreEquipo],0)))</f>
        <v>1</v>
      </c>
      <c r="BT48" s="118" t="str">
        <f aca="false">IF(COUNTIFS($BS$6:$BS$53,BS48,$BC$6:$BC$53,INDEX(T_Equipos[Grupo],MATCH(BD48,T_Equipos[NombreEquipo],0)))=1,"-","P."&amp;BS48&amp;" ("&amp;COUNTIFS($BS$6:$BS$53,BS48,$BC$6:$BC$53,INDEX(T_Equipos[Grupo],MATCH(BD48,T_Equipos[NombreEquipo],0)))&amp;")")</f>
        <v>P.1 (4)</v>
      </c>
      <c r="BU48" s="119" t="n">
        <f aca="false">IF($BT48="-","-",COUNTIFS(FGLocal,$BD48,Ganador,"Local",Part1Empate1V,$BT48)+COUNTIFS(FGVisitante,$BD48,Ganador,"Visitante",Part1Empate1L,$BT48))</f>
        <v>0</v>
      </c>
      <c r="BV48" s="119" t="n">
        <f aca="false">IF($BT48="-","-",COUNTIFS(FGLocal,$BD48,Ganador,"Empate",Part1Empate1V,$BT48)+COUNTIFS(FGVisitante,$BD48,Ganador,"Empate",Part1Empate1L,$BT48))</f>
        <v>0</v>
      </c>
      <c r="BW48" s="119" t="n">
        <f aca="false">IF($BT48="-","-",COUNTIFS(FGLocal,$BD48,Ganador,"Visitante",Part1Empate1V,$BT48)+COUNTIFS(FGVisitante,$BD48,Ganador,"Local",Part1Empate1L,$BT48))</f>
        <v>0</v>
      </c>
      <c r="BX48" s="119" t="n">
        <f aca="false">IF($BT48="-","-",BU48*3+BV48)</f>
        <v>0</v>
      </c>
      <c r="BY48" s="119" t="n">
        <f aca="false">BS48+COUNTIFS($BT$6:$BT$53,BT48,$BX$6:BX$53,"&gt;"&amp;BX48,$BC$6:$BC$53,INDEX(T_Equipos[Grupo],MATCH(BD48,T_Equipos[NombreEquipo],0)))</f>
        <v>1</v>
      </c>
      <c r="BZ48" s="118" t="str">
        <f aca="false">IF(COUNTIFS($BY$6:$BY$53,BY48,$BC$6:$BC$53,INDEX(T_Equipos[Grupo],MATCH(BD48,T_Equipos[NombreEquipo],0)))=1,"-","P."&amp;BY48&amp;" ("&amp;COUNTIFS($BY$6:$BY$53,BY48,$BC$6:$BC$53,INDEX(T_Equipos[Grupo],MATCH(BD48,T_Equipos[NombreEquipo],0)))&amp;")")</f>
        <v>P.1 (4)</v>
      </c>
      <c r="CA48" s="119" t="n">
        <f aca="false">IF($BZ48="-","-",SUMIFS(FG_GolesLocal,FGLocal,$BD48,Part1Empate2V,$BZ48)+SUMIFS(FG_GolesVisitante,FGVisitante,$BD48,Part1Empate2L,$BZ48))</f>
        <v>0</v>
      </c>
      <c r="CB48" s="119" t="n">
        <f aca="false">IF($BZ48="-","-",SUMIFS(FG_GolesVisitante,FGLocal,$BD48,Part1Empate2V,$BZ48)+SUMIFS(FG_GolesLocal,FGVisitante,$BD48,Part1Empate2L,$BZ48))</f>
        <v>0</v>
      </c>
      <c r="CC48" s="119" t="n">
        <f aca="false">IF($BZ48="-","-",CA48-CB48)</f>
        <v>0</v>
      </c>
      <c r="CD48" s="119" t="n">
        <f aca="false">BY48+COUNTIFS($BZ$6:$BZ$53,BZ48,$CC$6:CC$53,"&gt;"&amp;CC48,$BC$6:$BC$53,INDEX(T_Equipos[Grupo],MATCH(BD48,T_Equipos[NombreEquipo],0)))</f>
        <v>1</v>
      </c>
      <c r="CE48" s="118" t="str">
        <f aca="false">IF(COUNTIFS($CD$6:$CD$53,CD48,$BC$6:$BC$53,INDEX(T_Equipos[Grupo],MATCH(BD48,T_Equipos[NombreEquipo],0)))=1,"-","P."&amp;CD48&amp;" ("&amp;COUNTIFS($CD$6:$CD$53,CD48,$BC$6:$BC$53,INDEX(T_Equipos[Grupo],MATCH(BD48,T_Equipos[NombreEquipo],0)))&amp;")")</f>
        <v>P.1 (4)</v>
      </c>
      <c r="CF48" s="119" t="n">
        <f aca="false">IF($CE48="-","-",SUMIFS(FG_GolesLocal,FGLocal,$BD48,Part1Empate3V,$CE48)+SUMIFS(FG_GolesVisitante,FGVisitante,$BD48,Part1Empate3L,$CE48))</f>
        <v>0</v>
      </c>
      <c r="CG48" s="119" t="n">
        <f aca="false">CD48+COUNTIFS($CE$6:$CE$53,CE48,$CF$6:CF$53,"&gt;"&amp;CF48,$BC$6:$BC$53,INDEX(T_Equipos[Grupo],MATCH(BD48,T_Equipos[NombreEquipo],0)))</f>
        <v>1</v>
      </c>
      <c r="CH48" s="118" t="str">
        <f aca="false">IF(COUNTIFS($CG$6:$CG$53,CG48,$BC$6:$BC$53,INDEX(T_Equipos[Grupo],MATCH(BD48,T_Equipos[NombreEquipo],0)))=1,"-","P."&amp;CG48&amp;" ("&amp;COUNTIFS($CG$6:$CG$53,CG48,$BC$6:$BC$53,INDEX(T_Equipos[Grupo],MATCH(BD48,T_Equipos[NombreEquipo],0)))&amp;")")</f>
        <v>P.1 (4)</v>
      </c>
      <c r="CI48" s="119" t="n">
        <f aca="false">IF($CH48="-","-",COUNTIFS(FGLocal,$BD48,Ganador,"Local",Part2Empate4V,$CH48)+COUNTIFS(FGVisitante,$BD48,Ganador,"Visitante",Part2Empate4L,$CH48))</f>
        <v>0</v>
      </c>
      <c r="CJ48" s="119" t="n">
        <f aca="false">IF($CH48="-","-",COUNTIFS(FGLocal,$BD48,Ganador,"Empate",Part2Empate4V,$CH48)+COUNTIFS(FGVisitante,$BD48,Ganador,"Empate",Part2Empate4L,$CH48))</f>
        <v>0</v>
      </c>
      <c r="CK48" s="119" t="n">
        <f aca="false">IF($CH48="-","-",COUNTIFS(FGLocal,$BD48,Ganador,"Visitante",Part2Empate4V,$CH48)+COUNTIFS(FGVisitante,$BD48,Ganador,"Local",Part2Empate4L,$CH48))</f>
        <v>0</v>
      </c>
      <c r="CL48" s="119" t="n">
        <f aca="false">IF($CH48="-","-",CI48*3+CJ48)</f>
        <v>0</v>
      </c>
      <c r="CM48" s="119" t="n">
        <f aca="false">CG48+COUNTIFS($CH$6:$CH$53,CH48,$CL$6:CL$53,"&gt;"&amp;CL48,$BC$6:$BC$53,INDEX(T_Equipos[Grupo],MATCH(BD48,T_Equipos[NombreEquipo],0)))</f>
        <v>1</v>
      </c>
      <c r="CN48" s="118" t="str">
        <f aca="false">IF(COUNTIFS($CM$6:$CM$53,CM48,$BC$6:$BC$53,INDEX(T_Equipos[Grupo],MATCH(BD48,T_Equipos[NombreEquipo],0)))=1,"-","P."&amp;CM48&amp;" ("&amp;COUNTIFS($CM$6:$CM$53,CM48,$BC$6:$BC$53,INDEX(T_Equipos[Grupo],MATCH(BD48,T_Equipos[NombreEquipo],0)))&amp;")")</f>
        <v>P.1 (4)</v>
      </c>
      <c r="CO48" s="119" t="n">
        <f aca="false">IF($CN48="-","-",SUMIFS(FG_GolesLocal,FGLocal,$BD48,Part2Empate5V,$CN48)+SUMIFS(FG_GolesVisitante,FGVisitante,$BD48,Part2Empate5L,$CN48))</f>
        <v>0</v>
      </c>
      <c r="CP48" s="119" t="n">
        <f aca="false">IF($CN48="-","-",SUMIFS(FG_GolesVisitante,FGLocal,$BD48,Part2Empate5V,$CN48)+SUMIFS(FG_GolesLocal,FGVisitante,$BD48,Part2Empate5L,$CN48))</f>
        <v>0</v>
      </c>
      <c r="CQ48" s="119" t="n">
        <f aca="false">IF($CN48="-","-",CO48-CP48)</f>
        <v>0</v>
      </c>
      <c r="CR48" s="119" t="n">
        <f aca="false">CM48+COUNTIFS($CN$6:$CN$53,CN48,$CQ$6:CQ$53,"&gt;"&amp;CQ48,$BC$6:$BC$53,INDEX(T_Equipos[Grupo],MATCH(BD48,T_Equipos[NombreEquipo],0)))</f>
        <v>1</v>
      </c>
      <c r="CS48" s="118" t="str">
        <f aca="false">IF(COUNTIFS($CR$6:$CR$53,CR48,$BC$6:$BC$53,INDEX(T_Equipos[Grupo],MATCH(BD48,T_Equipos[NombreEquipo],0)))=1,"-","P."&amp;CR48&amp;" ("&amp;COUNTIFS($CR$6:$CR$53,CR48,$BC$6:$BC$53,INDEX(T_Equipos[Grupo],MATCH(BD48,T_Equipos[NombreEquipo],0)))&amp;")")</f>
        <v>P.1 (4)</v>
      </c>
      <c r="CT48" s="119" t="n">
        <f aca="false">IF($CS48="-","-",SUMIFS(FG_GolesLocal,FGLocal,$BD48,Part2Empate6V,$CS48)+SUMIFS(FG_GolesVisitante,FGVisitante,$BD48,Part2Empate6L,$CS48))</f>
        <v>0</v>
      </c>
      <c r="CU48" s="119" t="n">
        <f aca="false">CR48+COUNTIFS($CS$6:$CS$53,CS48,$CT$6:CT$53,"&gt;"&amp;CT48,$BC$6:$BC$53,INDEX(T_Equipos[Grupo],MATCH(BD48,T_Equipos[NombreEquipo],0)))</f>
        <v>1</v>
      </c>
      <c r="CV48" s="118" t="str">
        <f aca="false">IF(COUNTIFS($CU$6:$CU$53,CU48,$BC$6:$BC$53,INDEX(T_Equipos[Grupo],MATCH(BD48,T_Equipos[NombreEquipo],0)))=1,"-","P."&amp;CU48&amp;" ("&amp;COUNTIFS($CU$6:$CU$53,CU48,$BC$6:$BC$53,INDEX(T_Equipos[Grupo],MATCH(BD48,T_Equipos[NombreEquipo],0)))&amp;")")</f>
        <v>P.1 (4)</v>
      </c>
      <c r="CW48" s="118" t="n">
        <f aca="false">IF(CV48="-","-",BL48)</f>
        <v>0</v>
      </c>
      <c r="CX48" s="118" t="n">
        <f aca="false">CU48+COUNTIFS($CV$6:$CV$53,CV48,$CW$6:CW$53,"&gt;"&amp;CW48,$BC$6:$BC$53,INDEX(T_Equipos[Grupo],MATCH(BD48,T_Equipos[NombreEquipo],0)))</f>
        <v>1</v>
      </c>
      <c r="CY48" s="118" t="str">
        <f aca="false">IF(COUNTIFS($CX$6:$CX$53,CX48,$BC$6:$BC$53,INDEX(T_Equipos[Grupo],MATCH(BD48,T_Equipos[NombreEquipo],0)))=1,"-","P."&amp;CX48&amp;" ("&amp;COUNTIFS($CX$6:$CX$53,CX48,$BC$6:$BC$53,INDEX(T_Equipos[Grupo],MATCH(BD48,T_Equipos[NombreEquipo],0)))&amp;")")</f>
        <v>P.1 (4)</v>
      </c>
      <c r="CZ48" s="118" t="n">
        <f aca="false">IF(CY48="-","-",BJ48)</f>
        <v>0</v>
      </c>
      <c r="DA48" s="119" t="n">
        <f aca="false">CX48+COUNTIFS($CY$6:$CY$53,CY48,$CZ$6:CZ$53,"&gt;"&amp;CZ48,$BC$6:$BC$53,INDEX(T_Equipos[Grupo],MATCH(BD48,T_Equipos[NombreEquipo],0)))</f>
        <v>1</v>
      </c>
      <c r="DB48" s="118" t="str">
        <f aca="false">IF(COUNTIFS($DA$6:$DA$53,DA48,$BC$6:$BC$53,INDEX(T_Equipos[Grupo],MATCH(BD48,T_Equipos[NombreEquipo],0)))=1,"-","P."&amp;DA48&amp;" ("&amp;COUNTIFS($DA$6:$DA$53,DA48,$BC$6:$BC$53,INDEX(T_Equipos[Grupo],MATCH(BD48,T_Equipos[NombreEquipo],0)))&amp;")")</f>
        <v>P.1 (4)</v>
      </c>
      <c r="DC48" s="116" t="n">
        <f aca="false">IF(DB48="-","-",COUNTIFS(T_Equipos[Rank],"&lt;"&amp;INDEX(T_Equipos[Rank],MATCH(BD48,T_Equipos[NombreEquipo],0)),$BC$6:$BC$53,INDEX(T_Equipos[Grupo],MATCH(BD48,T_Equipos[NombreEquipo],0)))+1)</f>
        <v>3</v>
      </c>
      <c r="DD48" s="116" t="n">
        <f aca="false">DA48+COUNTIFS($DB$6:$DB$53,DB48,$DC$6:DC$53,"&lt;"&amp;DC48,$BC$6:$BC$53,INDEX(T_Equipos[Grupo],MATCH(BD48,T_Equipos[NombreEquipo],0)))</f>
        <v>3</v>
      </c>
      <c r="DE48" s="116"/>
      <c r="DF48" s="116" t="n">
        <f aca="false">IF(OR(INDEX($AW$6:$AW$97,MATCH($BD48,$AV$6:$AV$97,0))="",DB48="-"),DD48,INDEX($AW$6:$AW$97,MATCH($BD48,$AV$6:$AV$97,0))+DD48/1000)</f>
        <v>3</v>
      </c>
      <c r="DG48" s="116" t="n">
        <f aca="false">IF(DB48="-","-",COUNTIFS(DF$6:DF$53,"&lt;"&amp;DF48,$BC$6:$BC$53,INDEX(T_Equipos[Grupo],MATCH(BD48,T_Equipos[NombreEquipo],0))))</f>
        <v>2</v>
      </c>
      <c r="DH48" s="116" t="n">
        <f aca="false">DA48+COUNTIFS(DB$6:DB$53,DB48,DG$6:DG$53,"&lt;"&amp;DG48,$BC$6:$BC$53,INDEX(T_Equipos[Grupo],MATCH(BD48,T_Equipos[NombreEquipo],0)))</f>
        <v>3</v>
      </c>
      <c r="DI48" s="55"/>
      <c r="DJ48" s="55" t="n">
        <f aca="false">INDEX($DA$6:$DA$53,MATCH($DQ48,$BD$6:$BD$53,0))</f>
        <v>1</v>
      </c>
      <c r="DK48" s="55" t="n">
        <f aca="false">+SUMIF($BC$6:$BC$53,BC48,$BF$6:$BF$53)</f>
        <v>0</v>
      </c>
      <c r="DL48" s="55" t="n">
        <f aca="false">IF(OR(DK48=12,$AJ$99=144),COUNTIFS($DJ$6:$DJ$53,DJ48,$BC$6:$BC$53,BC48),1)</f>
        <v>1</v>
      </c>
      <c r="DM48" s="120" t="str">
        <f aca="false">DJ48&amp;"."&amp;DL48</f>
        <v>1.1</v>
      </c>
      <c r="DN48" s="55" t="n">
        <f aca="true" t="array" ref="DN48:DN48">OFFSET(Horarios!$P$3,DJ48-1,0,DL48,1)</f>
        <v>1</v>
      </c>
      <c r="DO48" s="55"/>
      <c r="DP48" s="55" t="s">
        <v>125</v>
      </c>
      <c r="DQ48" s="55" t="str">
        <f aca="false">INDEX($BD$6:$BD$53,MATCH(DP48,$BM$6:$BM$53,0))</f>
        <v>Uzbekistán</v>
      </c>
      <c r="DR48" s="55"/>
      <c r="DS48" s="55"/>
      <c r="DT48" s="55" t="str">
        <f aca="false">AA48&amp;"-"&amp;AF48</f>
        <v>Japón-Suecia</v>
      </c>
      <c r="DU48" s="55"/>
      <c r="DV48" s="55"/>
      <c r="DW48" s="57"/>
    </row>
    <row r="49" customFormat="false" ht="16.5" hidden="false" customHeight="true" outlineLevel="0" collapsed="false">
      <c r="A49" s="39"/>
      <c r="B49" s="39"/>
      <c r="C49" s="39"/>
      <c r="D49" s="55" t="str">
        <f aca="false">IF(OR(AC49="",AD49=""),"Pendiente",IF(AC49&gt;AD49,"Local",IF(AC49&lt;AD49,"Visitante","Empate")))</f>
        <v>Pendiente</v>
      </c>
      <c r="E49" s="55" t="str">
        <f aca="false">IF(D49="Pendiente","-",INDEX($BT$6:$BT$53,MATCH($AA49,$BD$6:$BD$53,0)))</f>
        <v>-</v>
      </c>
      <c r="F49" s="55" t="str">
        <f aca="false">IF(D49="Pendiente","-",INDEX($BT$6:$BT$53,MATCH($AF49,$BD$6:$BD$53,0)))</f>
        <v>-</v>
      </c>
      <c r="G49" s="55"/>
      <c r="H49" s="55" t="str">
        <f aca="false">IF(D49="Pendiente","-",INDEX($BZ$6:$BZ$53,MATCH($AA49,$BD$6:$BD$53,0)))</f>
        <v>-</v>
      </c>
      <c r="I49" s="55" t="str">
        <f aca="false">IF(D49="Pendiente","-",INDEX($BZ$6:$BZ$53,MATCH($AF49,$BD$6:$BD$53,0)))</f>
        <v>-</v>
      </c>
      <c r="J49" s="55"/>
      <c r="K49" s="55" t="str">
        <f aca="false">IF(D49="Pendiente","-",INDEX($CE$6:$CE$53,MATCH($AA49,$BD$6:$BD$53,0)))</f>
        <v>-</v>
      </c>
      <c r="L49" s="55" t="str">
        <f aca="false">IF(D49="Pendiente","-",INDEX($CE$6:$CE$53,MATCH($AF49,$BD$6:$BD$53,0)))</f>
        <v>-</v>
      </c>
      <c r="M49" s="55"/>
      <c r="N49" s="55" t="str">
        <f aca="false">IF(D49="Pendiente","-",INDEX($CH$6:$CH$53,MATCH($AA49,$BD$6:$BD$53,0)))</f>
        <v>-</v>
      </c>
      <c r="O49" s="55" t="str">
        <f aca="false">IF(D49="Pendiente","-",INDEX($CH$6:$CH$53,MATCH($AF49,$BD$6:$BD$53,0)))</f>
        <v>-</v>
      </c>
      <c r="P49" s="55"/>
      <c r="Q49" s="55" t="str">
        <f aca="false">IF(D49="Pendiente","-",INDEX($CN$6:$CN$53,MATCH($AA49,$BD$6:$BD$53,0)))</f>
        <v>-</v>
      </c>
      <c r="R49" s="55" t="str">
        <f aca="false">IF(D49="Pendiente","-",INDEX($CN$6:$CN$53,MATCH($AF49,$BD$6:$BD$53,0)))</f>
        <v>-</v>
      </c>
      <c r="S49" s="55"/>
      <c r="T49" s="55" t="str">
        <f aca="false">IF(D49="Pendiente","-",INDEX($CS$6:$CS$53,MATCH($AA49,$BD$6:$BD$53,0)))</f>
        <v>-</v>
      </c>
      <c r="U49" s="55" t="str">
        <f aca="false">IF(D49="Pendiente","-",INDEX($CS$6:$CS$53,MATCH($AF49,$BD$6:$BD$53,0)))</f>
        <v>-</v>
      </c>
      <c r="V49" s="46"/>
      <c r="W49" s="187"/>
      <c r="X49" s="129" t="n">
        <f aca="false">Horarios!C49</f>
        <v>46199.0416666667</v>
      </c>
      <c r="Y49" s="130" t="n">
        <f aca="false">Horarios!C49</f>
        <v>46199.0416666667</v>
      </c>
      <c r="Z49" s="131" t="str">
        <f aca="false">$Z$8</f>
        <v>J3</v>
      </c>
      <c r="AA49" s="132" t="str">
        <f aca="false">A48</f>
        <v>Túnez</v>
      </c>
      <c r="AB49" s="175" t="str">
        <f aca="true" t="array" ref="AB49:AB49">Ver_flag_local</f>
        <v/>
      </c>
      <c r="AC49" s="134"/>
      <c r="AD49" s="135"/>
      <c r="AE49" s="136" t="str">
        <f aca="true" t="array" ref="AE49:AE49">Ver_flag_visit</f>
        <v/>
      </c>
      <c r="AF49" s="137" t="str">
        <f aca="false">A45</f>
        <v>Países Bajos</v>
      </c>
      <c r="AG49" s="83" t="n">
        <f aca="false">IF(NOT(OR(ISBLANK(AC49),ISBLANK(AD49))),1,0)</f>
        <v>0</v>
      </c>
      <c r="AH49" s="84" t="n">
        <v>58</v>
      </c>
      <c r="AI49" s="85" t="str">
        <f aca="false">AJ49&amp;$B$44</f>
        <v>4F</v>
      </c>
      <c r="AJ49" s="138" t="n">
        <v>4</v>
      </c>
      <c r="AK49" s="184" t="str">
        <f aca="true" t="array" ref="AK49:AK49">Ver_flag_visit</f>
        <v/>
      </c>
      <c r="AL49" s="140" t="str">
        <f aca="false">IFERROR(INDEX($BD$6:$BD$53,MATCH(AI49,$BN$6:$BN$53,0)),"")</f>
        <v>Túnez</v>
      </c>
      <c r="AM49" s="141" t="n">
        <f aca="false">INDEX($BE$6:$BN$53,MATCH($AL49,$BD$6:$BD$53,0),MATCH(AM$5,$BE$5:$BN$5,0))</f>
        <v>0</v>
      </c>
      <c r="AN49" s="142" t="n">
        <f aca="false">INDEX($BE$6:$BN$53,MATCH($AL49,$BD$6:$BD$53,0),MATCH(AN$5,$BE$5:$BN$5,0))</f>
        <v>1</v>
      </c>
      <c r="AO49" s="189" t="n">
        <f aca="false">INDEX($BE$6:$BN$53,MATCH($AL49,$BD$6:$BD$53,0),MATCH(AO$5,$BE$5:$BN$5,0))</f>
        <v>0</v>
      </c>
      <c r="AP49" s="189" t="n">
        <f aca="false">INDEX($BE$6:$BN$53,MATCH($AL49,$BD$6:$BD$53,0),MATCH(AP$5,$BE$5:$BN$5,0))</f>
        <v>0</v>
      </c>
      <c r="AQ49" s="189" t="n">
        <f aca="false">INDEX($BE$6:$BN$53,MATCH($AL49,$BD$6:$BD$53,0),MATCH(AQ$5,$BE$5:$BN$5,0))</f>
        <v>1</v>
      </c>
      <c r="AR49" s="142" t="n">
        <f aca="false">INDEX($BE$6:$BN$53,MATCH($AL49,$BD$6:$BD$53,0),MATCH(AR$5,$BE$5:$BN$5,0))</f>
        <v>1</v>
      </c>
      <c r="AS49" s="142" t="n">
        <f aca="false">INDEX($BE$6:$BN$53,MATCH($AL49,$BD$6:$BD$53,0),MATCH(AS$5,$BE$5:$BN$5,0))</f>
        <v>5</v>
      </c>
      <c r="AT49" s="143" t="n">
        <f aca="false">INDEX($BE$6:$BN$53,MATCH($AL49,$BD$6:$BD$53,0),MATCH(AT$5,$BE$5:$BN$5,0))</f>
        <v>-4</v>
      </c>
      <c r="AU49" s="110" t="n">
        <f aca="false">INDEX($DL$6:$DL$53,MATCH(AI49,$DP$6:$DP$53,0))</f>
        <v>1</v>
      </c>
      <c r="AV49" s="111" t="str">
        <f aca="false">INDEX($BD$6:$BD$53,MATCH(AI49,$BM$6:$BM$53,0))</f>
        <v>Túnez</v>
      </c>
      <c r="AW49" s="112"/>
      <c r="AX49" s="113"/>
      <c r="AY49" s="144" t="str">
        <f aca="false">+A48</f>
        <v>Túnez</v>
      </c>
      <c r="AZ49" s="145"/>
      <c r="BA49" s="49"/>
      <c r="BB49" s="55"/>
      <c r="BC49" s="116" t="str">
        <f aca="false">+INDEX(T_Equipos[Grupo],MATCH(WORLDCUP!BD49,T_Equipos[NombreEquipo],0))</f>
        <v>K</v>
      </c>
      <c r="BD49" s="55" t="str">
        <f aca="false">+Equipos!B45</f>
        <v>Colombia</v>
      </c>
      <c r="BE49" s="117" t="n">
        <f aca="false">+BG49*3+BH49+IF($AZ$3="no",0,INDEX($AZ$6:$AZ$97,MATCH(BD49,$AY$6:$AY$97,0)))</f>
        <v>0</v>
      </c>
      <c r="BF49" s="117" t="n">
        <f aca="false">+BG49+BH49+BI49</f>
        <v>0</v>
      </c>
      <c r="BG49" s="117" t="n">
        <f aca="false">+COUNTIFS(FGLocal,BD49,Ganador,"Local")+COUNTIFS(FGVisitante,BD49,Ganador,"Visitante")</f>
        <v>0</v>
      </c>
      <c r="BH49" s="117" t="n">
        <f aca="false">+COUNTIFS(FGLocal,BD49,Ganador,"Empate")+COUNTIFS(FGVisitante,BD49,Ganador,"Empate")</f>
        <v>0</v>
      </c>
      <c r="BI49" s="117" t="n">
        <f aca="false">+COUNTIFS(FGVisitante,BD49,Ganador,"Local")+COUNTIFS(FGLocal,BD49,Ganador,"Visitante")</f>
        <v>0</v>
      </c>
      <c r="BJ49" s="117" t="n">
        <f aca="false">+SUMIFS(FG_GolesLocal,FGLocal,BD49,Ganador,"&lt;&gt;"&amp;"Pendiente",FG_GolesLocal,"&lt;&gt;"&amp;"",FG_GolesVisitante,"&lt;&gt;"&amp;"")+SUMIFS(FG_GolesVisitante,FGVisitante,BD49,Ganador,"&lt;&gt;"&amp;"Pendiente",FG_GolesLocal,"&lt;&gt;"&amp;"",FG_GolesVisitante,"&lt;&gt;"&amp;"")</f>
        <v>0</v>
      </c>
      <c r="BK49" s="117" t="n">
        <f aca="false">+SUMIFS(FG_GolesLocal,FGVisitante,BD49,Ganador,"&lt;&gt;"&amp;"Pendiente",FG_GolesLocal,"&lt;&gt;"&amp;"",FG_GolesVisitante,"&lt;&gt;"&amp;"")+SUMIFS(FG_GolesVisitante,FGLocal,BD49,Ganador,"&lt;&gt;"&amp;"Pendiente",FG_GolesLocal,"&lt;&gt;"&amp;"",FG_GolesVisitante,"&lt;&gt;"&amp;"")</f>
        <v>0</v>
      </c>
      <c r="BL49" s="117" t="n">
        <f aca="false">+BJ49-BK49</f>
        <v>0</v>
      </c>
      <c r="BM49" s="117" t="str">
        <f aca="false">DD49&amp;BC49</f>
        <v>4K</v>
      </c>
      <c r="BN49" s="117" t="str">
        <f aca="false">DH49&amp;BC49</f>
        <v>4K</v>
      </c>
      <c r="BO49" s="118" t="n">
        <f aca="false">IF(AND($AJ$99=144,BF49&gt;=1),1,0)</f>
        <v>0</v>
      </c>
      <c r="BP49" s="118" t="n">
        <f aca="false">COUNTIFS($BO$6:$BO$53,"&gt;"&amp;BO49,$BC$6:$BC$53,INDEX(T_Equipos[Grupo],MATCH(BD49,T_Equipos[NombreEquipo],0)))+1</f>
        <v>1</v>
      </c>
      <c r="BQ49" s="118" t="str">
        <f aca="false">IF(COUNTIFS($BP$6:$BP$53,BP49,$BC$6:$BC$53,INDEX(T_Equipos[Grupo],MATCH(BD49,T_Equipos[NombreEquipo],0)))=1,"-","P."&amp;BP49&amp;" ("&amp;COUNTIFS($BP$6:$BP$53,BP49,$BC$6:$BC$53,INDEX(T_Equipos[Grupo],MATCH(BD49,T_Equipos[NombreEquipo],0)))&amp;")")</f>
        <v>P.1 (4)</v>
      </c>
      <c r="BR49" s="118" t="n">
        <f aca="false">IF($BQ49="-","-",BE49)</f>
        <v>0</v>
      </c>
      <c r="BS49" s="118" t="n">
        <f aca="false">BP49+COUNTIFS($BQ$6:$BQ$53,BQ49,$BR$6:BR$53,"&gt;"&amp;BR49,$BC$6:$BC$53,INDEX(T_Equipos[Grupo],MATCH(BD49,T_Equipos[NombreEquipo],0)))</f>
        <v>1</v>
      </c>
      <c r="BT49" s="118" t="str">
        <f aca="false">IF(COUNTIFS($BS$6:$BS$53,BS49,$BC$6:$BC$53,INDEX(T_Equipos[Grupo],MATCH(BD49,T_Equipos[NombreEquipo],0)))=1,"-","P."&amp;BS49&amp;" ("&amp;COUNTIFS($BS$6:$BS$53,BS49,$BC$6:$BC$53,INDEX(T_Equipos[Grupo],MATCH(BD49,T_Equipos[NombreEquipo],0)))&amp;")")</f>
        <v>P.1 (4)</v>
      </c>
      <c r="BU49" s="119" t="n">
        <f aca="false">IF($BT49="-","-",COUNTIFS(FGLocal,$BD49,Ganador,"Local",Part1Empate1V,$BT49)+COUNTIFS(FGVisitante,$BD49,Ganador,"Visitante",Part1Empate1L,$BT49))</f>
        <v>0</v>
      </c>
      <c r="BV49" s="119" t="n">
        <f aca="false">IF($BT49="-","-",COUNTIFS(FGLocal,$BD49,Ganador,"Empate",Part1Empate1V,$BT49)+COUNTIFS(FGVisitante,$BD49,Ganador,"Empate",Part1Empate1L,$BT49))</f>
        <v>0</v>
      </c>
      <c r="BW49" s="119" t="n">
        <f aca="false">IF($BT49="-","-",COUNTIFS(FGLocal,$BD49,Ganador,"Visitante",Part1Empate1V,$BT49)+COUNTIFS(FGVisitante,$BD49,Ganador,"Local",Part1Empate1L,$BT49))</f>
        <v>0</v>
      </c>
      <c r="BX49" s="119" t="n">
        <f aca="false">IF($BT49="-","-",BU49*3+BV49)</f>
        <v>0</v>
      </c>
      <c r="BY49" s="119" t="n">
        <f aca="false">BS49+COUNTIFS($BT$6:$BT$53,BT49,$BX$6:BX$53,"&gt;"&amp;BX49,$BC$6:$BC$53,INDEX(T_Equipos[Grupo],MATCH(BD49,T_Equipos[NombreEquipo],0)))</f>
        <v>1</v>
      </c>
      <c r="BZ49" s="118" t="str">
        <f aca="false">IF(COUNTIFS($BY$6:$BY$53,BY49,$BC$6:$BC$53,INDEX(T_Equipos[Grupo],MATCH(BD49,T_Equipos[NombreEquipo],0)))=1,"-","P."&amp;BY49&amp;" ("&amp;COUNTIFS($BY$6:$BY$53,BY49,$BC$6:$BC$53,INDEX(T_Equipos[Grupo],MATCH(BD49,T_Equipos[NombreEquipo],0)))&amp;")")</f>
        <v>P.1 (4)</v>
      </c>
      <c r="CA49" s="119" t="n">
        <f aca="false">IF($BZ49="-","-",SUMIFS(FG_GolesLocal,FGLocal,$BD49,Part1Empate2V,$BZ49)+SUMIFS(FG_GolesVisitante,FGVisitante,$BD49,Part1Empate2L,$BZ49))</f>
        <v>0</v>
      </c>
      <c r="CB49" s="119" t="n">
        <f aca="false">IF($BZ49="-","-",SUMIFS(FG_GolesVisitante,FGLocal,$BD49,Part1Empate2V,$BZ49)+SUMIFS(FG_GolesLocal,FGVisitante,$BD49,Part1Empate2L,$BZ49))</f>
        <v>0</v>
      </c>
      <c r="CC49" s="119" t="n">
        <f aca="false">IF($BZ49="-","-",CA49-CB49)</f>
        <v>0</v>
      </c>
      <c r="CD49" s="119" t="n">
        <f aca="false">BY49+COUNTIFS($BZ$6:$BZ$53,BZ49,$CC$6:CC$53,"&gt;"&amp;CC49,$BC$6:$BC$53,INDEX(T_Equipos[Grupo],MATCH(BD49,T_Equipos[NombreEquipo],0)))</f>
        <v>1</v>
      </c>
      <c r="CE49" s="118" t="str">
        <f aca="false">IF(COUNTIFS($CD$6:$CD$53,CD49,$BC$6:$BC$53,INDEX(T_Equipos[Grupo],MATCH(BD49,T_Equipos[NombreEquipo],0)))=1,"-","P."&amp;CD49&amp;" ("&amp;COUNTIFS($CD$6:$CD$53,CD49,$BC$6:$BC$53,INDEX(T_Equipos[Grupo],MATCH(BD49,T_Equipos[NombreEquipo],0)))&amp;")")</f>
        <v>P.1 (4)</v>
      </c>
      <c r="CF49" s="119" t="n">
        <f aca="false">IF($CE49="-","-",SUMIFS(FG_GolesLocal,FGLocal,$BD49,Part1Empate3V,$CE49)+SUMIFS(FG_GolesVisitante,FGVisitante,$BD49,Part1Empate3L,$CE49))</f>
        <v>0</v>
      </c>
      <c r="CG49" s="119" t="n">
        <f aca="false">CD49+COUNTIFS($CE$6:$CE$53,CE49,$CF$6:CF$53,"&gt;"&amp;CF49,$BC$6:$BC$53,INDEX(T_Equipos[Grupo],MATCH(BD49,T_Equipos[NombreEquipo],0)))</f>
        <v>1</v>
      </c>
      <c r="CH49" s="118" t="str">
        <f aca="false">IF(COUNTIFS($CG$6:$CG$53,CG49,$BC$6:$BC$53,INDEX(T_Equipos[Grupo],MATCH(BD49,T_Equipos[NombreEquipo],0)))=1,"-","P."&amp;CG49&amp;" ("&amp;COUNTIFS($CG$6:$CG$53,CG49,$BC$6:$BC$53,INDEX(T_Equipos[Grupo],MATCH(BD49,T_Equipos[NombreEquipo],0)))&amp;")")</f>
        <v>P.1 (4)</v>
      </c>
      <c r="CI49" s="119" t="n">
        <f aca="false">IF($CH49="-","-",COUNTIFS(FGLocal,$BD49,Ganador,"Local",Part2Empate4V,$CH49)+COUNTIFS(FGVisitante,$BD49,Ganador,"Visitante",Part2Empate4L,$CH49))</f>
        <v>0</v>
      </c>
      <c r="CJ49" s="119" t="n">
        <f aca="false">IF($CH49="-","-",COUNTIFS(FGLocal,$BD49,Ganador,"Empate",Part2Empate4V,$CH49)+COUNTIFS(FGVisitante,$BD49,Ganador,"Empate",Part2Empate4L,$CH49))</f>
        <v>0</v>
      </c>
      <c r="CK49" s="119" t="n">
        <f aca="false">IF($CH49="-","-",COUNTIFS(FGLocal,$BD49,Ganador,"Visitante",Part2Empate4V,$CH49)+COUNTIFS(FGVisitante,$BD49,Ganador,"Local",Part2Empate4L,$CH49))</f>
        <v>0</v>
      </c>
      <c r="CL49" s="119" t="n">
        <f aca="false">IF($CH49="-","-",CI49*3+CJ49)</f>
        <v>0</v>
      </c>
      <c r="CM49" s="119" t="n">
        <f aca="false">CG49+COUNTIFS($CH$6:$CH$53,CH49,$CL$6:CL$53,"&gt;"&amp;CL49,$BC$6:$BC$53,INDEX(T_Equipos[Grupo],MATCH(BD49,T_Equipos[NombreEquipo],0)))</f>
        <v>1</v>
      </c>
      <c r="CN49" s="118" t="str">
        <f aca="false">IF(COUNTIFS($CM$6:$CM$53,CM49,$BC$6:$BC$53,INDEX(T_Equipos[Grupo],MATCH(BD49,T_Equipos[NombreEquipo],0)))=1,"-","P."&amp;CM49&amp;" ("&amp;COUNTIFS($CM$6:$CM$53,CM49,$BC$6:$BC$53,INDEX(T_Equipos[Grupo],MATCH(BD49,T_Equipos[NombreEquipo],0)))&amp;")")</f>
        <v>P.1 (4)</v>
      </c>
      <c r="CO49" s="119" t="n">
        <f aca="false">IF($CN49="-","-",SUMIFS(FG_GolesLocal,FGLocal,$BD49,Part2Empate5V,$CN49)+SUMIFS(FG_GolesVisitante,FGVisitante,$BD49,Part2Empate5L,$CN49))</f>
        <v>0</v>
      </c>
      <c r="CP49" s="119" t="n">
        <f aca="false">IF($CN49="-","-",SUMIFS(FG_GolesVisitante,FGLocal,$BD49,Part2Empate5V,$CN49)+SUMIFS(FG_GolesLocal,FGVisitante,$BD49,Part2Empate5L,$CN49))</f>
        <v>0</v>
      </c>
      <c r="CQ49" s="119" t="n">
        <f aca="false">IF($CN49="-","-",CO49-CP49)</f>
        <v>0</v>
      </c>
      <c r="CR49" s="119" t="n">
        <f aca="false">CM49+COUNTIFS($CN$6:$CN$53,CN49,$CQ$6:CQ$53,"&gt;"&amp;CQ49,$BC$6:$BC$53,INDEX(T_Equipos[Grupo],MATCH(BD49,T_Equipos[NombreEquipo],0)))</f>
        <v>1</v>
      </c>
      <c r="CS49" s="118" t="str">
        <f aca="false">IF(COUNTIFS($CR$6:$CR$53,CR49,$BC$6:$BC$53,INDEX(T_Equipos[Grupo],MATCH(BD49,T_Equipos[NombreEquipo],0)))=1,"-","P."&amp;CR49&amp;" ("&amp;COUNTIFS($CR$6:$CR$53,CR49,$BC$6:$BC$53,INDEX(T_Equipos[Grupo],MATCH(BD49,T_Equipos[NombreEquipo],0)))&amp;")")</f>
        <v>P.1 (4)</v>
      </c>
      <c r="CT49" s="119" t="n">
        <f aca="false">IF($CS49="-","-",SUMIFS(FG_GolesLocal,FGLocal,$BD49,Part2Empate6V,$CS49)+SUMIFS(FG_GolesVisitante,FGVisitante,$BD49,Part2Empate6L,$CS49))</f>
        <v>0</v>
      </c>
      <c r="CU49" s="119" t="n">
        <f aca="false">CR49+COUNTIFS($CS$6:$CS$53,CS49,$CT$6:CT$53,"&gt;"&amp;CT49,$BC$6:$BC$53,INDEX(T_Equipos[Grupo],MATCH(BD49,T_Equipos[NombreEquipo],0)))</f>
        <v>1</v>
      </c>
      <c r="CV49" s="118" t="str">
        <f aca="false">IF(COUNTIFS($CU$6:$CU$53,CU49,$BC$6:$BC$53,INDEX(T_Equipos[Grupo],MATCH(BD49,T_Equipos[NombreEquipo],0)))=1,"-","P."&amp;CU49&amp;" ("&amp;COUNTIFS($CU$6:$CU$53,CU49,$BC$6:$BC$53,INDEX(T_Equipos[Grupo],MATCH(BD49,T_Equipos[NombreEquipo],0)))&amp;")")</f>
        <v>P.1 (4)</v>
      </c>
      <c r="CW49" s="118" t="n">
        <f aca="false">IF(CV49="-","-",BL49)</f>
        <v>0</v>
      </c>
      <c r="CX49" s="118" t="n">
        <f aca="false">CU49+COUNTIFS($CV$6:$CV$53,CV49,$CW$6:CW$53,"&gt;"&amp;CW49,$BC$6:$BC$53,INDEX(T_Equipos[Grupo],MATCH(BD49,T_Equipos[NombreEquipo],0)))</f>
        <v>1</v>
      </c>
      <c r="CY49" s="118" t="str">
        <f aca="false">IF(COUNTIFS($CX$6:$CX$53,CX49,$BC$6:$BC$53,INDEX(T_Equipos[Grupo],MATCH(BD49,T_Equipos[NombreEquipo],0)))=1,"-","P."&amp;CX49&amp;" ("&amp;COUNTIFS($CX$6:$CX$53,CX49,$BC$6:$BC$53,INDEX(T_Equipos[Grupo],MATCH(BD49,T_Equipos[NombreEquipo],0)))&amp;")")</f>
        <v>P.1 (4)</v>
      </c>
      <c r="CZ49" s="118" t="n">
        <f aca="false">IF(CY49="-","-",BJ49)</f>
        <v>0</v>
      </c>
      <c r="DA49" s="119" t="n">
        <f aca="false">CX49+COUNTIFS($CY$6:$CY$53,CY49,$CZ$6:CZ$53,"&gt;"&amp;CZ49,$BC$6:$BC$53,INDEX(T_Equipos[Grupo],MATCH(BD49,T_Equipos[NombreEquipo],0)))</f>
        <v>1</v>
      </c>
      <c r="DB49" s="118" t="str">
        <f aca="false">IF(COUNTIFS($DA$6:$DA$53,DA49,$BC$6:$BC$53,INDEX(T_Equipos[Grupo],MATCH(BD49,T_Equipos[NombreEquipo],0)))=1,"-","P."&amp;DA49&amp;" ("&amp;COUNTIFS($DA$6:$DA$53,DA49,$BC$6:$BC$53,INDEX(T_Equipos[Grupo],MATCH(BD49,T_Equipos[NombreEquipo],0)))&amp;")")</f>
        <v>P.1 (4)</v>
      </c>
      <c r="DC49" s="116" t="n">
        <f aca="false">IF(DB49="-","-",COUNTIFS(T_Equipos[Rank],"&lt;"&amp;INDEX(T_Equipos[Rank],MATCH(BD49,T_Equipos[NombreEquipo],0)),$BC$6:$BC$53,INDEX(T_Equipos[Grupo],MATCH(BD49,T_Equipos[NombreEquipo],0)))+1)</f>
        <v>4</v>
      </c>
      <c r="DD49" s="116" t="n">
        <f aca="false">DA49+COUNTIFS($DB$6:$DB$53,DB49,$DC$6:DC$53,"&lt;"&amp;DC49,$BC$6:$BC$53,INDEX(T_Equipos[Grupo],MATCH(BD49,T_Equipos[NombreEquipo],0)))</f>
        <v>4</v>
      </c>
      <c r="DE49" s="116"/>
      <c r="DF49" s="116" t="n">
        <f aca="false">IF(OR(INDEX($AW$6:$AW$97,MATCH($BD49,$AV$6:$AV$97,0))="",DB49="-"),DD49,INDEX($AW$6:$AW$97,MATCH($BD49,$AV$6:$AV$97,0))+DD49/1000)</f>
        <v>4</v>
      </c>
      <c r="DG49" s="116" t="n">
        <f aca="false">IF(DB49="-","-",COUNTIFS(DF$6:DF$53,"&lt;"&amp;DF49,$BC$6:$BC$53,INDEX(T_Equipos[Grupo],MATCH(BD49,T_Equipos[NombreEquipo],0))))</f>
        <v>3</v>
      </c>
      <c r="DH49" s="116" t="n">
        <f aca="false">DA49+COUNTIFS(DB$6:DB$53,DB49,DG$6:DG$53,"&lt;"&amp;DG49,$BC$6:$BC$53,INDEX(T_Equipos[Grupo],MATCH(BD49,T_Equipos[NombreEquipo],0)))</f>
        <v>4</v>
      </c>
      <c r="DI49" s="55"/>
      <c r="DJ49" s="55" t="n">
        <f aca="false">INDEX($DA$6:$DA$53,MATCH($DQ49,$BD$6:$BD$53,0))</f>
        <v>1</v>
      </c>
      <c r="DK49" s="55" t="n">
        <f aca="false">+SUMIF($BC$6:$BC$53,BC49,$BF$6:$BF$53)</f>
        <v>0</v>
      </c>
      <c r="DL49" s="55" t="n">
        <f aca="false">IF(OR(DK49=12,$AJ$99=144),COUNTIFS($DJ$6:$DJ$53,DJ49,$BC$6:$BC$53,BC49),1)</f>
        <v>1</v>
      </c>
      <c r="DM49" s="120" t="str">
        <f aca="false">DJ49&amp;"."&amp;DL49</f>
        <v>1.1</v>
      </c>
      <c r="DN49" s="55" t="n">
        <f aca="true" t="array" ref="DN49:DN49">OFFSET(Horarios!$P$3,DJ49-1,0,DL49,1)</f>
        <v>1</v>
      </c>
      <c r="DO49" s="55"/>
      <c r="DP49" s="55" t="s">
        <v>126</v>
      </c>
      <c r="DQ49" s="55" t="str">
        <f aca="false">INDEX($BD$6:$BD$53,MATCH(DP49,$BM$6:$BM$53,0))</f>
        <v>Colombia</v>
      </c>
      <c r="DR49" s="55"/>
      <c r="DS49" s="55"/>
      <c r="DT49" s="55" t="str">
        <f aca="false">AA49&amp;"-"&amp;AF49</f>
        <v>Túnez-Países Bajos</v>
      </c>
      <c r="DU49" s="55"/>
      <c r="DV49" s="55"/>
      <c r="DW49" s="57"/>
    </row>
    <row r="50" customFormat="false" ht="15" hidden="false" customHeight="false" outlineLevel="0" collapsed="false">
      <c r="A50" s="39"/>
      <c r="B50" s="39"/>
      <c r="C50" s="39"/>
      <c r="D50" s="55" t="str">
        <f aca="false">IF(OR(AC50="",AD50=""),"Pendiente",IF(AC50&gt;AD50,"Local",IF(AC50&lt;AD50,"Visitante","Empate")))</f>
        <v>Pendiente</v>
      </c>
      <c r="E50" s="55"/>
      <c r="F50" s="55"/>
      <c r="G50" s="55"/>
      <c r="H50" s="55"/>
      <c r="I50" s="55"/>
      <c r="J50" s="55"/>
      <c r="K50" s="55"/>
      <c r="L50" s="55"/>
      <c r="M50" s="55"/>
      <c r="N50" s="55"/>
      <c r="O50" s="55"/>
      <c r="P50" s="55"/>
      <c r="Q50" s="55"/>
      <c r="R50" s="55"/>
      <c r="S50" s="55"/>
      <c r="T50" s="55"/>
      <c r="U50" s="55"/>
      <c r="V50" s="46"/>
      <c r="W50" s="146"/>
      <c r="X50" s="147"/>
      <c r="Y50" s="146"/>
      <c r="Z50" s="148"/>
      <c r="AA50" s="149"/>
      <c r="AB50" s="150"/>
      <c r="AC50" s="151"/>
      <c r="AD50" s="151"/>
      <c r="AE50" s="150"/>
      <c r="AF50" s="152"/>
      <c r="AG50" s="182"/>
      <c r="AH50" s="84"/>
      <c r="AI50" s="43"/>
      <c r="AJ50" s="153"/>
      <c r="AK50" s="154"/>
      <c r="AL50" s="66"/>
      <c r="AM50" s="155"/>
      <c r="AN50" s="153"/>
      <c r="AO50" s="153"/>
      <c r="AP50" s="153"/>
      <c r="AQ50" s="153"/>
      <c r="AR50" s="153"/>
      <c r="AS50" s="153"/>
      <c r="AT50" s="153"/>
      <c r="AU50" s="156"/>
      <c r="AV50" s="157"/>
      <c r="AW50" s="158"/>
      <c r="AX50" s="113"/>
      <c r="AY50" s="146"/>
      <c r="AZ50" s="147"/>
      <c r="BA50" s="49"/>
      <c r="BB50" s="55"/>
      <c r="BC50" s="116" t="str">
        <f aca="false">+INDEX(T_Equipos[Grupo],MATCH(WORLDCUP!BD50,T_Equipos[NombreEquipo],0))</f>
        <v>L</v>
      </c>
      <c r="BD50" s="55" t="str">
        <f aca="false">+Equipos!B46</f>
        <v>Inglaterra</v>
      </c>
      <c r="BE50" s="117" t="n">
        <f aca="false">+BG50*3+BH50+IF($AZ$3="no",0,INDEX($AZ$6:$AZ$97,MATCH(BD50,$AY$6:$AY$97,0)))</f>
        <v>0</v>
      </c>
      <c r="BF50" s="117" t="n">
        <f aca="false">+BG50+BH50+BI50</f>
        <v>0</v>
      </c>
      <c r="BG50" s="117" t="n">
        <f aca="false">+COUNTIFS(FGLocal,BD50,Ganador,"Local")+COUNTIFS(FGVisitante,BD50,Ganador,"Visitante")</f>
        <v>0</v>
      </c>
      <c r="BH50" s="117" t="n">
        <f aca="false">+COUNTIFS(FGLocal,BD50,Ganador,"Empate")+COUNTIFS(FGVisitante,BD50,Ganador,"Empate")</f>
        <v>0</v>
      </c>
      <c r="BI50" s="117" t="n">
        <f aca="false">+COUNTIFS(FGVisitante,BD50,Ganador,"Local")+COUNTIFS(FGLocal,BD50,Ganador,"Visitante")</f>
        <v>0</v>
      </c>
      <c r="BJ50" s="117" t="n">
        <f aca="false">+SUMIFS(FG_GolesLocal,FGLocal,BD50,Ganador,"&lt;&gt;"&amp;"Pendiente",FG_GolesLocal,"&lt;&gt;"&amp;"",FG_GolesVisitante,"&lt;&gt;"&amp;"")+SUMIFS(FG_GolesVisitante,FGVisitante,BD50,Ganador,"&lt;&gt;"&amp;"Pendiente",FG_GolesLocal,"&lt;&gt;"&amp;"",FG_GolesVisitante,"&lt;&gt;"&amp;"")</f>
        <v>0</v>
      </c>
      <c r="BK50" s="117" t="n">
        <f aca="false">+SUMIFS(FG_GolesLocal,FGVisitante,BD50,Ganador,"&lt;&gt;"&amp;"Pendiente",FG_GolesLocal,"&lt;&gt;"&amp;"",FG_GolesVisitante,"&lt;&gt;"&amp;"")+SUMIFS(FG_GolesVisitante,FGLocal,BD50,Ganador,"&lt;&gt;"&amp;"Pendiente",FG_GolesLocal,"&lt;&gt;"&amp;"",FG_GolesVisitante,"&lt;&gt;"&amp;"")</f>
        <v>0</v>
      </c>
      <c r="BL50" s="117" t="n">
        <f aca="false">+BJ50-BK50</f>
        <v>0</v>
      </c>
      <c r="BM50" s="117" t="str">
        <f aca="false">DD50&amp;BC50</f>
        <v>1L</v>
      </c>
      <c r="BN50" s="117" t="str">
        <f aca="false">DH50&amp;BC50</f>
        <v>1L</v>
      </c>
      <c r="BO50" s="119" t="n">
        <f aca="false">IF(AND($AJ$99=144,BF50&gt;=1),1,0)</f>
        <v>0</v>
      </c>
      <c r="BP50" s="118" t="n">
        <f aca="false">COUNTIFS($BO$6:$BO$53,"&gt;"&amp;BO50,$BC$6:$BC$53,INDEX(T_Equipos[Grupo],MATCH(BD50,T_Equipos[NombreEquipo],0)))+1</f>
        <v>1</v>
      </c>
      <c r="BQ50" s="118" t="str">
        <f aca="false">IF(COUNTIFS($BP$6:$BP$53,BP50,$BC$6:$BC$53,INDEX(T_Equipos[Grupo],MATCH(BD50,T_Equipos[NombreEquipo],0)))=1,"-","P."&amp;BP50&amp;" ("&amp;COUNTIFS($BP$6:$BP$53,BP50,$BC$6:$BC$53,INDEX(T_Equipos[Grupo],MATCH(BD50,T_Equipos[NombreEquipo],0)))&amp;")")</f>
        <v>P.1 (4)</v>
      </c>
      <c r="BR50" s="119" t="n">
        <f aca="false">IF($BQ50="-","-",BE50)</f>
        <v>0</v>
      </c>
      <c r="BS50" s="118" t="n">
        <f aca="false">BP50+COUNTIFS($BQ$6:$BQ$53,BQ50,$BR$6:BR$53,"&gt;"&amp;BR50,$BC$6:$BC$53,INDEX(T_Equipos[Grupo],MATCH(BD50,T_Equipos[NombreEquipo],0)))</f>
        <v>1</v>
      </c>
      <c r="BT50" s="118" t="str">
        <f aca="false">IF(COUNTIFS($BS$6:$BS$53,BS50,$BC$6:$BC$53,INDEX(T_Equipos[Grupo],MATCH(BD50,T_Equipos[NombreEquipo],0)))=1,"-","P."&amp;BS50&amp;" ("&amp;COUNTIFS($BS$6:$BS$53,BS50,$BC$6:$BC$53,INDEX(T_Equipos[Grupo],MATCH(BD50,T_Equipos[NombreEquipo],0)))&amp;")")</f>
        <v>P.1 (4)</v>
      </c>
      <c r="BU50" s="119" t="n">
        <f aca="false">IF($BT50="-","-",COUNTIFS(FGLocal,$BD50,Ganador,"Local",Part1Empate1V,$BT50)+COUNTIFS(FGVisitante,$BD50,Ganador,"Visitante",Part1Empate1L,$BT50))</f>
        <v>0</v>
      </c>
      <c r="BV50" s="119" t="n">
        <f aca="false">IF($BT50="-","-",COUNTIFS(FGLocal,$BD50,Ganador,"Empate",Part1Empate1V,$BT50)+COUNTIFS(FGVisitante,$BD50,Ganador,"Empate",Part1Empate1L,$BT50))</f>
        <v>0</v>
      </c>
      <c r="BW50" s="119" t="n">
        <f aca="false">IF($BT50="-","-",COUNTIFS(FGLocal,$BD50,Ganador,"Visitante",Part1Empate1V,$BT50)+COUNTIFS(FGVisitante,$BD50,Ganador,"Local",Part1Empate1L,$BT50))</f>
        <v>0</v>
      </c>
      <c r="BX50" s="119" t="n">
        <f aca="false">IF($BT50="-","-",BU50*3+BV50)</f>
        <v>0</v>
      </c>
      <c r="BY50" s="119" t="n">
        <f aca="false">BS50+COUNTIFS($BT$6:$BT$53,BT50,$BX$6:BX$53,"&gt;"&amp;BX50,$BC$6:$BC$53,INDEX(T_Equipos[Grupo],MATCH(BD50,T_Equipos[NombreEquipo],0)))</f>
        <v>1</v>
      </c>
      <c r="BZ50" s="118" t="str">
        <f aca="false">IF(COUNTIFS($BY$6:$BY$53,BY50,$BC$6:$BC$53,INDEX(T_Equipos[Grupo],MATCH(BD50,T_Equipos[NombreEquipo],0)))=1,"-","P."&amp;BY50&amp;" ("&amp;COUNTIFS($BY$6:$BY$53,BY50,$BC$6:$BC$53,INDEX(T_Equipos[Grupo],MATCH(BD50,T_Equipos[NombreEquipo],0)))&amp;")")</f>
        <v>P.1 (4)</v>
      </c>
      <c r="CA50" s="119" t="n">
        <f aca="false">IF($BZ50="-","-",SUMIFS(FG_GolesLocal,FGLocal,$BD50,Part1Empate2V,$BZ50)+SUMIFS(FG_GolesVisitante,FGVisitante,$BD50,Part1Empate2L,$BZ50))</f>
        <v>0</v>
      </c>
      <c r="CB50" s="119" t="n">
        <f aca="false">IF($BZ50="-","-",SUMIFS(FG_GolesVisitante,FGLocal,$BD50,Part1Empate2V,$BZ50)+SUMIFS(FG_GolesLocal,FGVisitante,$BD50,Part1Empate2L,$BZ50))</f>
        <v>0</v>
      </c>
      <c r="CC50" s="119" t="n">
        <f aca="false">IF($BZ50="-","-",CA50-CB50)</f>
        <v>0</v>
      </c>
      <c r="CD50" s="119" t="n">
        <f aca="false">BY50+COUNTIFS($BZ$6:$BZ$53,BZ50,$CC$6:CC$53,"&gt;"&amp;CC50,$BC$6:$BC$53,INDEX(T_Equipos[Grupo],MATCH(BD50,T_Equipos[NombreEquipo],0)))</f>
        <v>1</v>
      </c>
      <c r="CE50" s="118" t="str">
        <f aca="false">IF(COUNTIFS($CD$6:$CD$53,CD50,$BC$6:$BC$53,INDEX(T_Equipos[Grupo],MATCH(BD50,T_Equipos[NombreEquipo],0)))=1,"-","P."&amp;CD50&amp;" ("&amp;COUNTIFS($CD$6:$CD$53,CD50,$BC$6:$BC$53,INDEX(T_Equipos[Grupo],MATCH(BD50,T_Equipos[NombreEquipo],0)))&amp;")")</f>
        <v>P.1 (4)</v>
      </c>
      <c r="CF50" s="119" t="n">
        <f aca="false">IF($CE50="-","-",SUMIFS(FG_GolesLocal,FGLocal,$BD50,Part1Empate3V,$CE50)+SUMIFS(FG_GolesVisitante,FGVisitante,$BD50,Part1Empate3L,$CE50))</f>
        <v>0</v>
      </c>
      <c r="CG50" s="119" t="n">
        <f aca="false">CD50+COUNTIFS($CE$6:$CE$53,CE50,$CF$6:CF$53,"&gt;"&amp;CF50,$BC$6:$BC$53,INDEX(T_Equipos[Grupo],MATCH(BD50,T_Equipos[NombreEquipo],0)))</f>
        <v>1</v>
      </c>
      <c r="CH50" s="118" t="str">
        <f aca="false">IF(COUNTIFS($CG$6:$CG$53,CG50,$BC$6:$BC$53,INDEX(T_Equipos[Grupo],MATCH(BD50,T_Equipos[NombreEquipo],0)))=1,"-","P."&amp;CG50&amp;" ("&amp;COUNTIFS($CG$6:$CG$53,CG50,$BC$6:$BC$53,INDEX(T_Equipos[Grupo],MATCH(BD50,T_Equipos[NombreEquipo],0)))&amp;")")</f>
        <v>P.1 (4)</v>
      </c>
      <c r="CI50" s="119" t="n">
        <f aca="false">IF($CH50="-","-",COUNTIFS(FGLocal,$BD50,Ganador,"Local",Part2Empate4V,$CH50)+COUNTIFS(FGVisitante,$BD50,Ganador,"Visitante",Part2Empate4L,$CH50))</f>
        <v>0</v>
      </c>
      <c r="CJ50" s="119" t="n">
        <f aca="false">IF($CH50="-","-",COUNTIFS(FGLocal,$BD50,Ganador,"Empate",Part2Empate4V,$CH50)+COUNTIFS(FGVisitante,$BD50,Ganador,"Empate",Part2Empate4L,$CH50))</f>
        <v>0</v>
      </c>
      <c r="CK50" s="119" t="n">
        <f aca="false">IF($CH50="-","-",COUNTIFS(FGLocal,$BD50,Ganador,"Visitante",Part2Empate4V,$CH50)+COUNTIFS(FGVisitante,$BD50,Ganador,"Local",Part2Empate4L,$CH50))</f>
        <v>0</v>
      </c>
      <c r="CL50" s="119" t="n">
        <f aca="false">IF($CH50="-","-",CI50*3+CJ50)</f>
        <v>0</v>
      </c>
      <c r="CM50" s="119" t="n">
        <f aca="false">CG50+COUNTIFS($CH$6:$CH$53,CH50,$CL$6:CL$53,"&gt;"&amp;CL50,$BC$6:$BC$53,INDEX(T_Equipos[Grupo],MATCH(BD50,T_Equipos[NombreEquipo],0)))</f>
        <v>1</v>
      </c>
      <c r="CN50" s="118" t="str">
        <f aca="false">IF(COUNTIFS($CM$6:$CM$53,CM50,$BC$6:$BC$53,INDEX(T_Equipos[Grupo],MATCH(BD50,T_Equipos[NombreEquipo],0)))=1,"-","P."&amp;CM50&amp;" ("&amp;COUNTIFS($CM$6:$CM$53,CM50,$BC$6:$BC$53,INDEX(T_Equipos[Grupo],MATCH(BD50,T_Equipos[NombreEquipo],0)))&amp;")")</f>
        <v>P.1 (4)</v>
      </c>
      <c r="CO50" s="119" t="n">
        <f aca="false">IF($CN50="-","-",SUMIFS(FG_GolesLocal,FGLocal,$BD50,Part2Empate5V,$CN50)+SUMIFS(FG_GolesVisitante,FGVisitante,$BD50,Part2Empate5L,$CN50))</f>
        <v>0</v>
      </c>
      <c r="CP50" s="119" t="n">
        <f aca="false">IF($CN50="-","-",SUMIFS(FG_GolesVisitante,FGLocal,$BD50,Part2Empate5V,$CN50)+SUMIFS(FG_GolesLocal,FGVisitante,$BD50,Part2Empate5L,$CN50))</f>
        <v>0</v>
      </c>
      <c r="CQ50" s="119" t="n">
        <f aca="false">IF($CN50="-","-",CO50-CP50)</f>
        <v>0</v>
      </c>
      <c r="CR50" s="119" t="n">
        <f aca="false">CM50+COUNTIFS($CN$6:$CN$53,CN50,$CQ$6:CQ$53,"&gt;"&amp;CQ50,$BC$6:$BC$53,INDEX(T_Equipos[Grupo],MATCH(BD50,T_Equipos[NombreEquipo],0)))</f>
        <v>1</v>
      </c>
      <c r="CS50" s="118" t="str">
        <f aca="false">IF(COUNTIFS($CR$6:$CR$53,CR50,$BC$6:$BC$53,INDEX(T_Equipos[Grupo],MATCH(BD50,T_Equipos[NombreEquipo],0)))=1,"-","P."&amp;CR50&amp;" ("&amp;COUNTIFS($CR$6:$CR$53,CR50,$BC$6:$BC$53,INDEX(T_Equipos[Grupo],MATCH(BD50,T_Equipos[NombreEquipo],0)))&amp;")")</f>
        <v>P.1 (4)</v>
      </c>
      <c r="CT50" s="119" t="n">
        <f aca="false">IF($CS50="-","-",SUMIFS(FG_GolesLocal,FGLocal,$BD50,Part2Empate6V,$CS50)+SUMIFS(FG_GolesVisitante,FGVisitante,$BD50,Part2Empate6L,$CS50))</f>
        <v>0</v>
      </c>
      <c r="CU50" s="119" t="n">
        <f aca="false">CR50+COUNTIFS($CS$6:$CS$53,CS50,$CT$6:CT$53,"&gt;"&amp;CT50,$BC$6:$BC$53,INDEX(T_Equipos[Grupo],MATCH(BD50,T_Equipos[NombreEquipo],0)))</f>
        <v>1</v>
      </c>
      <c r="CV50" s="118" t="str">
        <f aca="false">IF(COUNTIFS($CU$6:$CU$53,CU50,$BC$6:$BC$53,INDEX(T_Equipos[Grupo],MATCH(BD50,T_Equipos[NombreEquipo],0)))=1,"-","P."&amp;CU50&amp;" ("&amp;COUNTIFS($CU$6:$CU$53,CU50,$BC$6:$BC$53,INDEX(T_Equipos[Grupo],MATCH(BD50,T_Equipos[NombreEquipo],0)))&amp;")")</f>
        <v>P.1 (4)</v>
      </c>
      <c r="CW50" s="118" t="n">
        <f aca="false">IF(CV50="-","-",BL50)</f>
        <v>0</v>
      </c>
      <c r="CX50" s="118" t="n">
        <f aca="false">CU50+COUNTIFS($CV$6:$CV$53,CV50,$CW$6:CW$53,"&gt;"&amp;CW50,$BC$6:$BC$53,INDEX(T_Equipos[Grupo],MATCH(BD50,T_Equipos[NombreEquipo],0)))</f>
        <v>1</v>
      </c>
      <c r="CY50" s="118" t="str">
        <f aca="false">IF(COUNTIFS($CX$6:$CX$53,CX50,$BC$6:$BC$53,INDEX(T_Equipos[Grupo],MATCH(BD50,T_Equipos[NombreEquipo],0)))=1,"-","P."&amp;CX50&amp;" ("&amp;COUNTIFS($CX$6:$CX$53,CX50,$BC$6:$BC$53,INDEX(T_Equipos[Grupo],MATCH(BD50,T_Equipos[NombreEquipo],0)))&amp;")")</f>
        <v>P.1 (4)</v>
      </c>
      <c r="CZ50" s="118" t="n">
        <f aca="false">IF(CY50="-","-",BJ50)</f>
        <v>0</v>
      </c>
      <c r="DA50" s="119" t="n">
        <f aca="false">CX50+COUNTIFS($CY$6:$CY$53,CY50,$CZ$6:CZ$53,"&gt;"&amp;CZ50,$BC$6:$BC$53,INDEX(T_Equipos[Grupo],MATCH(BD50,T_Equipos[NombreEquipo],0)))</f>
        <v>1</v>
      </c>
      <c r="DB50" s="118" t="str">
        <f aca="false">IF(COUNTIFS($DA$6:$DA$53,DA50,$BC$6:$BC$53,INDEX(T_Equipos[Grupo],MATCH(BD50,T_Equipos[NombreEquipo],0)))=1,"-","P."&amp;DA50&amp;" ("&amp;COUNTIFS($DA$6:$DA$53,DA50,$BC$6:$BC$53,INDEX(T_Equipos[Grupo],MATCH(BD50,T_Equipos[NombreEquipo],0)))&amp;")")</f>
        <v>P.1 (4)</v>
      </c>
      <c r="DC50" s="116" t="n">
        <f aca="false">IF(DB50="-","-",COUNTIFS(T_Equipos[Rank],"&lt;"&amp;INDEX(T_Equipos[Rank],MATCH(BD50,T_Equipos[NombreEquipo],0)),$BC$6:$BC$53,INDEX(T_Equipos[Grupo],MATCH(BD50,T_Equipos[NombreEquipo],0)))+1)</f>
        <v>1</v>
      </c>
      <c r="DD50" s="116" t="n">
        <f aca="false">DA50+COUNTIFS($DB$6:$DB$53,DB50,$DC$6:DC$53,"&lt;"&amp;DC50,$BC$6:$BC$53,INDEX(T_Equipos[Grupo],MATCH(BD50,T_Equipos[NombreEquipo],0)))</f>
        <v>1</v>
      </c>
      <c r="DE50" s="116"/>
      <c r="DF50" s="116" t="n">
        <f aca="false">IF(OR(INDEX($AW$6:$AW$97,MATCH($BD50,$AV$6:$AV$97,0))="",DB50="-"),DD50,INDEX($AW$6:$AW$97,MATCH($BD50,$AV$6:$AV$97,0))+DD50/1000)</f>
        <v>1</v>
      </c>
      <c r="DG50" s="116" t="n">
        <f aca="false">IF(DB50="-","-",COUNTIFS(DF$6:DF$53,"&lt;"&amp;DF50,$BC$6:$BC$53,INDEX(T_Equipos[Grupo],MATCH(BD50,T_Equipos[NombreEquipo],0))))</f>
        <v>0</v>
      </c>
      <c r="DH50" s="116" t="n">
        <f aca="false">DA50+COUNTIFS(DB$6:DB$53,DB50,DG$6:DG$53,"&lt;"&amp;DG50,$BC$6:$BC$53,INDEX(T_Equipos[Grupo],MATCH(BD50,T_Equipos[NombreEquipo],0)))</f>
        <v>1</v>
      </c>
      <c r="DI50" s="55"/>
      <c r="DJ50" s="55" t="n">
        <f aca="false">INDEX($DA$6:$DA$53,MATCH($DQ50,$BD$6:$BD$53,0))</f>
        <v>1</v>
      </c>
      <c r="DK50" s="55" t="n">
        <f aca="false">+SUMIF($BC$6:$BC$53,BC50,$BF$6:$BF$53)</f>
        <v>0</v>
      </c>
      <c r="DL50" s="55" t="n">
        <f aca="false">IF(OR(DK50=12,$AJ$99=144),COUNTIFS($DJ$6:$DJ$53,DJ50,$BC$6:$BC$53,BC50),1)</f>
        <v>1</v>
      </c>
      <c r="DM50" s="120" t="str">
        <f aca="false">DJ50&amp;"."&amp;DL50</f>
        <v>1.1</v>
      </c>
      <c r="DN50" s="55" t="n">
        <f aca="true" t="array" ref="DN50:DN50">OFFSET(Horarios!$P$3,DJ50-1,0,DL50,1)</f>
        <v>1</v>
      </c>
      <c r="DO50" s="55"/>
      <c r="DP50" s="55" t="s">
        <v>127</v>
      </c>
      <c r="DQ50" s="55" t="str">
        <f aca="false">INDEX($BD$6:$BD$53,MATCH(DP50,$BM$6:$BM$53,0))</f>
        <v>Inglaterra</v>
      </c>
      <c r="DR50" s="55"/>
      <c r="DS50" s="55"/>
      <c r="DT50" s="55" t="str">
        <f aca="false">AA50&amp;"-"&amp;AF50</f>
        <v>-</v>
      </c>
      <c r="DU50" s="55"/>
      <c r="DV50" s="55"/>
      <c r="DW50" s="57"/>
    </row>
    <row r="51" customFormat="false" ht="15" hidden="false" customHeight="false" outlineLevel="0" collapsed="false">
      <c r="A51" s="39"/>
      <c r="B51" s="39"/>
      <c r="C51" s="39"/>
      <c r="D51" s="39"/>
      <c r="E51" s="39"/>
      <c r="F51" s="39"/>
      <c r="G51" s="39"/>
      <c r="H51" s="39"/>
      <c r="I51" s="39"/>
      <c r="J51" s="39"/>
      <c r="K51" s="39"/>
      <c r="L51" s="39"/>
      <c r="M51" s="39"/>
      <c r="N51" s="55"/>
      <c r="O51" s="55"/>
      <c r="P51" s="55"/>
      <c r="Q51" s="55"/>
      <c r="R51" s="55"/>
      <c r="S51" s="55"/>
      <c r="T51" s="55"/>
      <c r="U51" s="55"/>
      <c r="V51" s="46"/>
      <c r="W51" s="59"/>
      <c r="X51" s="60" t="str">
        <f aca="false">X3</f>
        <v>Fecha</v>
      </c>
      <c r="Y51" s="60" t="str">
        <f aca="false">Y3</f>
        <v>Hora</v>
      </c>
      <c r="Z51" s="61" t="str">
        <f aca="false">Z3</f>
        <v>Jor.</v>
      </c>
      <c r="AA51" s="62" t="str">
        <f aca="false">AA3</f>
        <v>Casa</v>
      </c>
      <c r="AB51" s="61"/>
      <c r="AC51" s="61" t="str">
        <f aca="false">AC3</f>
        <v>Gol</v>
      </c>
      <c r="AD51" s="61" t="str">
        <f aca="false">AD3</f>
        <v>Gol</v>
      </c>
      <c r="AE51" s="61"/>
      <c r="AF51" s="64" t="str">
        <f aca="false">AF3</f>
        <v>Fuera</v>
      </c>
      <c r="AG51" s="159"/>
      <c r="AH51" s="84"/>
      <c r="AI51" s="50"/>
      <c r="AJ51" s="66"/>
      <c r="AK51" s="160"/>
      <c r="AL51" s="66"/>
      <c r="AM51" s="66"/>
      <c r="AN51" s="66"/>
      <c r="AO51" s="66"/>
      <c r="AP51" s="66"/>
      <c r="AQ51" s="66"/>
      <c r="AR51" s="66"/>
      <c r="AS51" s="66"/>
      <c r="AT51" s="66"/>
      <c r="AU51" s="161"/>
      <c r="AV51" s="51"/>
      <c r="AW51" s="162"/>
      <c r="AX51" s="163"/>
      <c r="AY51" s="146"/>
      <c r="AZ51" s="147"/>
      <c r="BA51" s="49"/>
      <c r="BB51" s="55"/>
      <c r="BC51" s="116" t="str">
        <f aca="false">+INDEX(T_Equipos[Grupo],MATCH(WORLDCUP!BD51,T_Equipos[NombreEquipo],0))</f>
        <v>L</v>
      </c>
      <c r="BD51" s="55" t="str">
        <f aca="false">+Equipos!B47</f>
        <v>Croacia</v>
      </c>
      <c r="BE51" s="117" t="n">
        <f aca="false">+BG51*3+BH51+IF($AZ$3="no",0,INDEX($AZ$6:$AZ$97,MATCH(BD51,$AY$6:$AY$97,0)))</f>
        <v>0</v>
      </c>
      <c r="BF51" s="117" t="n">
        <f aca="false">+BG51+BH51+BI51</f>
        <v>0</v>
      </c>
      <c r="BG51" s="117" t="n">
        <f aca="false">+COUNTIFS(FGLocal,BD51,Ganador,"Local")+COUNTIFS(FGVisitante,BD51,Ganador,"Visitante")</f>
        <v>0</v>
      </c>
      <c r="BH51" s="117" t="n">
        <f aca="false">+COUNTIFS(FGLocal,BD51,Ganador,"Empate")+COUNTIFS(FGVisitante,BD51,Ganador,"Empate")</f>
        <v>0</v>
      </c>
      <c r="BI51" s="117" t="n">
        <f aca="false">+COUNTIFS(FGVisitante,BD51,Ganador,"Local")+COUNTIFS(FGLocal,BD51,Ganador,"Visitante")</f>
        <v>0</v>
      </c>
      <c r="BJ51" s="117" t="n">
        <f aca="false">+SUMIFS(FG_GolesLocal,FGLocal,BD51,Ganador,"&lt;&gt;"&amp;"Pendiente",FG_GolesLocal,"&lt;&gt;"&amp;"",FG_GolesVisitante,"&lt;&gt;"&amp;"")+SUMIFS(FG_GolesVisitante,FGVisitante,BD51,Ganador,"&lt;&gt;"&amp;"Pendiente",FG_GolesLocal,"&lt;&gt;"&amp;"",FG_GolesVisitante,"&lt;&gt;"&amp;"")</f>
        <v>0</v>
      </c>
      <c r="BK51" s="117" t="n">
        <f aca="false">+SUMIFS(FG_GolesLocal,FGVisitante,BD51,Ganador,"&lt;&gt;"&amp;"Pendiente",FG_GolesLocal,"&lt;&gt;"&amp;"",FG_GolesVisitante,"&lt;&gt;"&amp;"")+SUMIFS(FG_GolesVisitante,FGLocal,BD51,Ganador,"&lt;&gt;"&amp;"Pendiente",FG_GolesLocal,"&lt;&gt;"&amp;"",FG_GolesVisitante,"&lt;&gt;"&amp;"")</f>
        <v>0</v>
      </c>
      <c r="BL51" s="117" t="n">
        <f aca="false">+BJ51-BK51</f>
        <v>0</v>
      </c>
      <c r="BM51" s="117" t="str">
        <f aca="false">DD51&amp;BC51</f>
        <v>2L</v>
      </c>
      <c r="BN51" s="117" t="str">
        <f aca="false">DH51&amp;BC51</f>
        <v>2L</v>
      </c>
      <c r="BO51" s="119" t="n">
        <f aca="false">IF(AND($AJ$99=144,BF51&gt;=1),1,0)</f>
        <v>0</v>
      </c>
      <c r="BP51" s="118" t="n">
        <f aca="false">COUNTIFS($BO$6:$BO$53,"&gt;"&amp;BO51,$BC$6:$BC$53,INDEX(T_Equipos[Grupo],MATCH(BD51,T_Equipos[NombreEquipo],0)))+1</f>
        <v>1</v>
      </c>
      <c r="BQ51" s="118" t="str">
        <f aca="false">IF(COUNTIFS($BP$6:$BP$53,BP51,$BC$6:$BC$53,INDEX(T_Equipos[Grupo],MATCH(BD51,T_Equipos[NombreEquipo],0)))=1,"-","P."&amp;BP51&amp;" ("&amp;COUNTIFS($BP$6:$BP$53,BP51,$BC$6:$BC$53,INDEX(T_Equipos[Grupo],MATCH(BD51,T_Equipos[NombreEquipo],0)))&amp;")")</f>
        <v>P.1 (4)</v>
      </c>
      <c r="BR51" s="119" t="n">
        <f aca="false">IF($BQ51="-","-",BE51)</f>
        <v>0</v>
      </c>
      <c r="BS51" s="118" t="n">
        <f aca="false">BP51+COUNTIFS($BQ$6:$BQ$53,BQ51,$BR$6:BR$53,"&gt;"&amp;BR51,$BC$6:$BC$53,INDEX(T_Equipos[Grupo],MATCH(BD51,T_Equipos[NombreEquipo],0)))</f>
        <v>1</v>
      </c>
      <c r="BT51" s="118" t="str">
        <f aca="false">IF(COUNTIFS($BS$6:$BS$53,BS51,$BC$6:$BC$53,INDEX(T_Equipos[Grupo],MATCH(BD51,T_Equipos[NombreEquipo],0)))=1,"-","P."&amp;BS51&amp;" ("&amp;COUNTIFS($BS$6:$BS$53,BS51,$BC$6:$BC$53,INDEX(T_Equipos[Grupo],MATCH(BD51,T_Equipos[NombreEquipo],0)))&amp;")")</f>
        <v>P.1 (4)</v>
      </c>
      <c r="BU51" s="119" t="n">
        <f aca="false">IF($BT51="-","-",COUNTIFS(FGLocal,$BD51,Ganador,"Local",Part1Empate1V,$BT51)+COUNTIFS(FGVisitante,$BD51,Ganador,"Visitante",Part1Empate1L,$BT51))</f>
        <v>0</v>
      </c>
      <c r="BV51" s="119" t="n">
        <f aca="false">IF($BT51="-","-",COUNTIFS(FGLocal,$BD51,Ganador,"Empate",Part1Empate1V,$BT51)+COUNTIFS(FGVisitante,$BD51,Ganador,"Empate",Part1Empate1L,$BT51))</f>
        <v>0</v>
      </c>
      <c r="BW51" s="119" t="n">
        <f aca="false">IF($BT51="-","-",COUNTIFS(FGLocal,$BD51,Ganador,"Visitante",Part1Empate1V,$BT51)+COUNTIFS(FGVisitante,$BD51,Ganador,"Local",Part1Empate1L,$BT51))</f>
        <v>0</v>
      </c>
      <c r="BX51" s="119" t="n">
        <f aca="false">IF($BT51="-","-",BU51*3+BV51)</f>
        <v>0</v>
      </c>
      <c r="BY51" s="119" t="n">
        <f aca="false">BS51+COUNTIFS($BT$6:$BT$53,BT51,$BX$6:BX$53,"&gt;"&amp;BX51,$BC$6:$BC$53,INDEX(T_Equipos[Grupo],MATCH(BD51,T_Equipos[NombreEquipo],0)))</f>
        <v>1</v>
      </c>
      <c r="BZ51" s="118" t="str">
        <f aca="false">IF(COUNTIFS($BY$6:$BY$53,BY51,$BC$6:$BC$53,INDEX(T_Equipos[Grupo],MATCH(BD51,T_Equipos[NombreEquipo],0)))=1,"-","P."&amp;BY51&amp;" ("&amp;COUNTIFS($BY$6:$BY$53,BY51,$BC$6:$BC$53,INDEX(T_Equipos[Grupo],MATCH(BD51,T_Equipos[NombreEquipo],0)))&amp;")")</f>
        <v>P.1 (4)</v>
      </c>
      <c r="CA51" s="119" t="n">
        <f aca="false">IF($BZ51="-","-",SUMIFS(FG_GolesLocal,FGLocal,$BD51,Part1Empate2V,$BZ51)+SUMIFS(FG_GolesVisitante,FGVisitante,$BD51,Part1Empate2L,$BZ51))</f>
        <v>0</v>
      </c>
      <c r="CB51" s="119" t="n">
        <f aca="false">IF($BZ51="-","-",SUMIFS(FG_GolesVisitante,FGLocal,$BD51,Part1Empate2V,$BZ51)+SUMIFS(FG_GolesLocal,FGVisitante,$BD51,Part1Empate2L,$BZ51))</f>
        <v>0</v>
      </c>
      <c r="CC51" s="119" t="n">
        <f aca="false">IF($BZ51="-","-",CA51-CB51)</f>
        <v>0</v>
      </c>
      <c r="CD51" s="119" t="n">
        <f aca="false">BY51+COUNTIFS($BZ$6:$BZ$53,BZ51,$CC$6:CC$53,"&gt;"&amp;CC51,$BC$6:$BC$53,INDEX(T_Equipos[Grupo],MATCH(BD51,T_Equipos[NombreEquipo],0)))</f>
        <v>1</v>
      </c>
      <c r="CE51" s="118" t="str">
        <f aca="false">IF(COUNTIFS($CD$6:$CD$53,CD51,$BC$6:$BC$53,INDEX(T_Equipos[Grupo],MATCH(BD51,T_Equipos[NombreEquipo],0)))=1,"-","P."&amp;CD51&amp;" ("&amp;COUNTIFS($CD$6:$CD$53,CD51,$BC$6:$BC$53,INDEX(T_Equipos[Grupo],MATCH(BD51,T_Equipos[NombreEquipo],0)))&amp;")")</f>
        <v>P.1 (4)</v>
      </c>
      <c r="CF51" s="119" t="n">
        <f aca="false">IF($CE51="-","-",SUMIFS(FG_GolesLocal,FGLocal,$BD51,Part1Empate3V,$CE51)+SUMIFS(FG_GolesVisitante,FGVisitante,$BD51,Part1Empate3L,$CE51))</f>
        <v>0</v>
      </c>
      <c r="CG51" s="119" t="n">
        <f aca="false">CD51+COUNTIFS($CE$6:$CE$53,CE51,$CF$6:CF$53,"&gt;"&amp;CF51,$BC$6:$BC$53,INDEX(T_Equipos[Grupo],MATCH(BD51,T_Equipos[NombreEquipo],0)))</f>
        <v>1</v>
      </c>
      <c r="CH51" s="118" t="str">
        <f aca="false">IF(COUNTIFS($CG$6:$CG$53,CG51,$BC$6:$BC$53,INDEX(T_Equipos[Grupo],MATCH(BD51,T_Equipos[NombreEquipo],0)))=1,"-","P."&amp;CG51&amp;" ("&amp;COUNTIFS($CG$6:$CG$53,CG51,$BC$6:$BC$53,INDEX(T_Equipos[Grupo],MATCH(BD51,T_Equipos[NombreEquipo],0)))&amp;")")</f>
        <v>P.1 (4)</v>
      </c>
      <c r="CI51" s="119" t="n">
        <f aca="false">IF($CH51="-","-",COUNTIFS(FGLocal,$BD51,Ganador,"Local",Part2Empate4V,$CH51)+COUNTIFS(FGVisitante,$BD51,Ganador,"Visitante",Part2Empate4L,$CH51))</f>
        <v>0</v>
      </c>
      <c r="CJ51" s="119" t="n">
        <f aca="false">IF($CH51="-","-",COUNTIFS(FGLocal,$BD51,Ganador,"Empate",Part2Empate4V,$CH51)+COUNTIFS(FGVisitante,$BD51,Ganador,"Empate",Part2Empate4L,$CH51))</f>
        <v>0</v>
      </c>
      <c r="CK51" s="119" t="n">
        <f aca="false">IF($CH51="-","-",COUNTIFS(FGLocal,$BD51,Ganador,"Visitante",Part2Empate4V,$CH51)+COUNTIFS(FGVisitante,$BD51,Ganador,"Local",Part2Empate4L,$CH51))</f>
        <v>0</v>
      </c>
      <c r="CL51" s="119" t="n">
        <f aca="false">IF($CH51="-","-",CI51*3+CJ51)</f>
        <v>0</v>
      </c>
      <c r="CM51" s="119" t="n">
        <f aca="false">CG51+COUNTIFS($CH$6:$CH$53,CH51,$CL$6:CL$53,"&gt;"&amp;CL51,$BC$6:$BC$53,INDEX(T_Equipos[Grupo],MATCH(BD51,T_Equipos[NombreEquipo],0)))</f>
        <v>1</v>
      </c>
      <c r="CN51" s="118" t="str">
        <f aca="false">IF(COUNTIFS($CM$6:$CM$53,CM51,$BC$6:$BC$53,INDEX(T_Equipos[Grupo],MATCH(BD51,T_Equipos[NombreEquipo],0)))=1,"-","P."&amp;CM51&amp;" ("&amp;COUNTIFS($CM$6:$CM$53,CM51,$BC$6:$BC$53,INDEX(T_Equipos[Grupo],MATCH(BD51,T_Equipos[NombreEquipo],0)))&amp;")")</f>
        <v>P.1 (4)</v>
      </c>
      <c r="CO51" s="119" t="n">
        <f aca="false">IF($CN51="-","-",SUMIFS(FG_GolesLocal,FGLocal,$BD51,Part2Empate5V,$CN51)+SUMIFS(FG_GolesVisitante,FGVisitante,$BD51,Part2Empate5L,$CN51))</f>
        <v>0</v>
      </c>
      <c r="CP51" s="119" t="n">
        <f aca="false">IF($CN51="-","-",SUMIFS(FG_GolesVisitante,FGLocal,$BD51,Part2Empate5V,$CN51)+SUMIFS(FG_GolesLocal,FGVisitante,$BD51,Part2Empate5L,$CN51))</f>
        <v>0</v>
      </c>
      <c r="CQ51" s="119" t="n">
        <f aca="false">IF($CN51="-","-",CO51-CP51)</f>
        <v>0</v>
      </c>
      <c r="CR51" s="119" t="n">
        <f aca="false">CM51+COUNTIFS($CN$6:$CN$53,CN51,$CQ$6:CQ$53,"&gt;"&amp;CQ51,$BC$6:$BC$53,INDEX(T_Equipos[Grupo],MATCH(BD51,T_Equipos[NombreEquipo],0)))</f>
        <v>1</v>
      </c>
      <c r="CS51" s="118" t="str">
        <f aca="false">IF(COUNTIFS($CR$6:$CR$53,CR51,$BC$6:$BC$53,INDEX(T_Equipos[Grupo],MATCH(BD51,T_Equipos[NombreEquipo],0)))=1,"-","P."&amp;CR51&amp;" ("&amp;COUNTIFS($CR$6:$CR$53,CR51,$BC$6:$BC$53,INDEX(T_Equipos[Grupo],MATCH(BD51,T_Equipos[NombreEquipo],0)))&amp;")")</f>
        <v>P.1 (4)</v>
      </c>
      <c r="CT51" s="119" t="n">
        <f aca="false">IF($CS51="-","-",SUMIFS(FG_GolesLocal,FGLocal,$BD51,Part2Empate6V,$CS51)+SUMIFS(FG_GolesVisitante,FGVisitante,$BD51,Part2Empate6L,$CS51))</f>
        <v>0</v>
      </c>
      <c r="CU51" s="119" t="n">
        <f aca="false">CR51+COUNTIFS($CS$6:$CS$53,CS51,$CT$6:CT$53,"&gt;"&amp;CT51,$BC$6:$BC$53,INDEX(T_Equipos[Grupo],MATCH(BD51,T_Equipos[NombreEquipo],0)))</f>
        <v>1</v>
      </c>
      <c r="CV51" s="118" t="str">
        <f aca="false">IF(COUNTIFS($CU$6:$CU$53,CU51,$BC$6:$BC$53,INDEX(T_Equipos[Grupo],MATCH(BD51,T_Equipos[NombreEquipo],0)))=1,"-","P."&amp;CU51&amp;" ("&amp;COUNTIFS($CU$6:$CU$53,CU51,$BC$6:$BC$53,INDEX(T_Equipos[Grupo],MATCH(BD51,T_Equipos[NombreEquipo],0)))&amp;")")</f>
        <v>P.1 (4)</v>
      </c>
      <c r="CW51" s="118" t="n">
        <f aca="false">IF(CV51="-","-",BL51)</f>
        <v>0</v>
      </c>
      <c r="CX51" s="118" t="n">
        <f aca="false">CU51+COUNTIFS($CV$6:$CV$53,CV51,$CW$6:CW$53,"&gt;"&amp;CW51,$BC$6:$BC$53,INDEX(T_Equipos[Grupo],MATCH(BD51,T_Equipos[NombreEquipo],0)))</f>
        <v>1</v>
      </c>
      <c r="CY51" s="118" t="str">
        <f aca="false">IF(COUNTIFS($CX$6:$CX$53,CX51,$BC$6:$BC$53,INDEX(T_Equipos[Grupo],MATCH(BD51,T_Equipos[NombreEquipo],0)))=1,"-","P."&amp;CX51&amp;" ("&amp;COUNTIFS($CX$6:$CX$53,CX51,$BC$6:$BC$53,INDEX(T_Equipos[Grupo],MATCH(BD51,T_Equipos[NombreEquipo],0)))&amp;")")</f>
        <v>P.1 (4)</v>
      </c>
      <c r="CZ51" s="118" t="n">
        <f aca="false">IF(CY51="-","-",BJ51)</f>
        <v>0</v>
      </c>
      <c r="DA51" s="119" t="n">
        <f aca="false">CX51+COUNTIFS($CY$6:$CY$53,CY51,$CZ$6:CZ$53,"&gt;"&amp;CZ51,$BC$6:$BC$53,INDEX(T_Equipos[Grupo],MATCH(BD51,T_Equipos[NombreEquipo],0)))</f>
        <v>1</v>
      </c>
      <c r="DB51" s="118" t="str">
        <f aca="false">IF(COUNTIFS($DA$6:$DA$53,DA51,$BC$6:$BC$53,INDEX(T_Equipos[Grupo],MATCH(BD51,T_Equipos[NombreEquipo],0)))=1,"-","P."&amp;DA51&amp;" ("&amp;COUNTIFS($DA$6:$DA$53,DA51,$BC$6:$BC$53,INDEX(T_Equipos[Grupo],MATCH(BD51,T_Equipos[NombreEquipo],0)))&amp;")")</f>
        <v>P.1 (4)</v>
      </c>
      <c r="DC51" s="116" t="n">
        <f aca="false">IF(DB51="-","-",COUNTIFS(T_Equipos[Rank],"&lt;"&amp;INDEX(T_Equipos[Rank],MATCH(BD51,T_Equipos[NombreEquipo],0)),$BC$6:$BC$53,INDEX(T_Equipos[Grupo],MATCH(BD51,T_Equipos[NombreEquipo],0)))+1)</f>
        <v>2</v>
      </c>
      <c r="DD51" s="116" t="n">
        <f aca="false">DA51+COUNTIFS($DB$6:$DB$53,DB51,$DC$6:DC$53,"&lt;"&amp;DC51,$BC$6:$BC$53,INDEX(T_Equipos[Grupo],MATCH(BD51,T_Equipos[NombreEquipo],0)))</f>
        <v>2</v>
      </c>
      <c r="DE51" s="116"/>
      <c r="DF51" s="116" t="n">
        <f aca="false">IF(OR(INDEX($AW$6:$AW$97,MATCH($BD51,$AV$6:$AV$97,0))="",DB51="-"),DD51,INDEX($AW$6:$AW$97,MATCH($BD51,$AV$6:$AV$97,0))+DD51/1000)</f>
        <v>2</v>
      </c>
      <c r="DG51" s="116" t="n">
        <f aca="false">IF(DB51="-","-",COUNTIFS(DF$6:DF$53,"&lt;"&amp;DF51,$BC$6:$BC$53,INDEX(T_Equipos[Grupo],MATCH(BD51,T_Equipos[NombreEquipo],0))))</f>
        <v>1</v>
      </c>
      <c r="DH51" s="116" t="n">
        <f aca="false">DA51+COUNTIFS(DB$6:DB$53,DB51,DG$6:DG$53,"&lt;"&amp;DG51,$BC$6:$BC$53,INDEX(T_Equipos[Grupo],MATCH(BD51,T_Equipos[NombreEquipo],0)))</f>
        <v>2</v>
      </c>
      <c r="DI51" s="55"/>
      <c r="DJ51" s="55" t="n">
        <f aca="false">INDEX($DA$6:$DA$53,MATCH($DQ51,$BD$6:$BD$53,0))</f>
        <v>1</v>
      </c>
      <c r="DK51" s="55" t="n">
        <f aca="false">+SUMIF($BC$6:$BC$53,BC51,$BF$6:$BF$53)</f>
        <v>0</v>
      </c>
      <c r="DL51" s="55" t="n">
        <f aca="false">IF(OR(DK51=12,$AJ$99=144),COUNTIFS($DJ$6:$DJ$53,DJ51,$BC$6:$BC$53,BC51),1)</f>
        <v>1</v>
      </c>
      <c r="DM51" s="120" t="str">
        <f aca="false">DJ51&amp;"."&amp;DL51</f>
        <v>1.1</v>
      </c>
      <c r="DN51" s="55" t="n">
        <f aca="true" t="array" ref="DN51:DN51">OFFSET(Horarios!$P$3,DJ51-1,0,DL51,1)</f>
        <v>1</v>
      </c>
      <c r="DO51" s="55"/>
      <c r="DP51" s="55" t="s">
        <v>128</v>
      </c>
      <c r="DQ51" s="55" t="str">
        <f aca="false">INDEX($BD$6:$BD$53,MATCH(DP51,$BM$6:$BM$53,0))</f>
        <v>Croacia</v>
      </c>
      <c r="DR51" s="55"/>
      <c r="DS51" s="55"/>
      <c r="DT51" s="55" t="str">
        <f aca="false">AA51&amp;"-"&amp;AF51</f>
        <v>Casa-Fuera</v>
      </c>
      <c r="DU51" s="55"/>
      <c r="DV51" s="55"/>
      <c r="DW51" s="57"/>
    </row>
    <row r="52" customFormat="false" ht="15" hidden="false" customHeight="true" outlineLevel="0" collapsed="false">
      <c r="A52" s="71" t="s">
        <v>23</v>
      </c>
      <c r="B52" s="72" t="s">
        <v>129</v>
      </c>
      <c r="C52" s="44" t="n">
        <f aca="false">COUNTIF(Equipos!$C$2:$C$49,WORLDCUP!B52)</f>
        <v>4</v>
      </c>
      <c r="D52" s="55" t="str">
        <f aca="false">IF(OR(AC52="",AD52=""),"Pendiente",IF(AC52&gt;AD52,"Local",IF(AC52&lt;AD52,"Visitante","Empate")))</f>
        <v>Empate</v>
      </c>
      <c r="E52" s="55" t="str">
        <f aca="false">IF(D52="Pendiente","-",INDEX($BT$6:$BT$53,MATCH($AA52,$BD$6:$BD$53,0)))</f>
        <v>P.1 (4)</v>
      </c>
      <c r="F52" s="55" t="str">
        <f aca="false">IF(D52="Pendiente","-",INDEX($BT$6:$BT$53,MATCH($AF52,$BD$6:$BD$53,0)))</f>
        <v>P.1 (4)</v>
      </c>
      <c r="G52" s="55"/>
      <c r="H52" s="55" t="str">
        <f aca="false">IF(D52="Pendiente","-",INDEX($BZ$6:$BZ$53,MATCH($AA52,$BD$6:$BD$53,0)))</f>
        <v>P.1 (4)</v>
      </c>
      <c r="I52" s="55" t="str">
        <f aca="false">IF(D52="Pendiente","-",INDEX($BZ$6:$BZ$53,MATCH($AF52,$BD$6:$BD$53,0)))</f>
        <v>P.1 (4)</v>
      </c>
      <c r="J52" s="55"/>
      <c r="K52" s="55" t="str">
        <f aca="false">IF(D52="Pendiente","-",INDEX($CE$6:$CE$53,MATCH($AA52,$BD$6:$BD$53,0)))</f>
        <v>P.1 (4)</v>
      </c>
      <c r="L52" s="55" t="str">
        <f aca="false">IF(D52="Pendiente","-",INDEX($CE$6:$CE$53,MATCH($AF52,$BD$6:$BD$53,0)))</f>
        <v>P.1 (4)</v>
      </c>
      <c r="M52" s="55"/>
      <c r="N52" s="55" t="str">
        <f aca="false">IF(D52="Pendiente","-",INDEX($CH$6:$CH$53,MATCH($AA52,$BD$6:$BD$53,0)))</f>
        <v>P.3 (2)</v>
      </c>
      <c r="O52" s="55" t="str">
        <f aca="false">IF(D52="Pendiente","-",INDEX($CH$6:$CH$53,MATCH($AF52,$BD$6:$BD$53,0)))</f>
        <v>P.3 (2)</v>
      </c>
      <c r="P52" s="55"/>
      <c r="Q52" s="55" t="str">
        <f aca="false">IF(D52="Pendiente","-",INDEX($CN$6:$CN$53,MATCH($AA52,$BD$6:$BD$53,0)))</f>
        <v>P.3 (2)</v>
      </c>
      <c r="R52" s="55" t="str">
        <f aca="false">IF(D52="Pendiente","-",INDEX($CN$6:$CN$53,MATCH($AF52,$BD$6:$BD$53,0)))</f>
        <v>P.3 (2)</v>
      </c>
      <c r="S52" s="55"/>
      <c r="T52" s="55" t="str">
        <f aca="false">IF(D52="Pendiente","-",INDEX($CS$6:$CS$53,MATCH($AA52,$BD$6:$BD$53,0)))</f>
        <v>P.3 (2)</v>
      </c>
      <c r="U52" s="55" t="str">
        <f aca="false">IF(D52="Pendiente","-",INDEX($CS$6:$CS$53,MATCH($AF52,$BD$6:$BD$53,0)))</f>
        <v>P.3 (2)</v>
      </c>
      <c r="V52" s="46"/>
      <c r="W52" s="190" t="s">
        <v>129</v>
      </c>
      <c r="X52" s="74" t="n">
        <f aca="false">Horarios!C52</f>
        <v>46188.875</v>
      </c>
      <c r="Y52" s="75" t="n">
        <f aca="false">Horarios!C52</f>
        <v>46188.875</v>
      </c>
      <c r="Z52" s="76" t="str">
        <f aca="false">$Z$4</f>
        <v>J1</v>
      </c>
      <c r="AA52" s="77" t="str">
        <f aca="false">A53</f>
        <v>Bélgica</v>
      </c>
      <c r="AB52" s="165" t="str">
        <f aca="true" t="array" ref="AB52:AB52">Ver_flag_local</f>
        <v/>
      </c>
      <c r="AC52" s="79" t="n">
        <v>1</v>
      </c>
      <c r="AD52" s="80" t="n">
        <v>1</v>
      </c>
      <c r="AE52" s="81" t="str">
        <f aca="true" t="array" ref="AE52:AE52">Ver_flag_visit</f>
        <v/>
      </c>
      <c r="AF52" s="82" t="str">
        <f aca="false">A54</f>
        <v>Egipto</v>
      </c>
      <c r="AG52" s="83" t="n">
        <f aca="false">IF(NOT(OR(ISBLANK(AC52),ISBLANK(AD52))),1,0)</f>
        <v>1</v>
      </c>
      <c r="AH52" s="84" t="n">
        <v>16</v>
      </c>
      <c r="AI52" s="85"/>
      <c r="AJ52" s="86" t="str">
        <f aca="false">CONCATENATE($AJ$3," ",B52)</f>
        <v>Grupo G</v>
      </c>
      <c r="AK52" s="86"/>
      <c r="AL52" s="86"/>
      <c r="AM52" s="86"/>
      <c r="AN52" s="86"/>
      <c r="AO52" s="86"/>
      <c r="AP52" s="86"/>
      <c r="AQ52" s="86"/>
      <c r="AR52" s="86"/>
      <c r="AS52" s="86"/>
      <c r="AT52" s="86"/>
      <c r="AU52" s="161"/>
      <c r="AV52" s="87" t="str">
        <f aca="false">IF(AU53&gt;0,$AV$3,"")</f>
        <v/>
      </c>
      <c r="AW52" s="97"/>
      <c r="AX52" s="168"/>
      <c r="AY52" s="146"/>
      <c r="AZ52" s="147"/>
      <c r="BA52" s="49"/>
      <c r="BB52" s="55"/>
      <c r="BC52" s="116" t="str">
        <f aca="false">+INDEX(T_Equipos[Grupo],MATCH(WORLDCUP!BD52,T_Equipos[NombreEquipo],0))</f>
        <v>L</v>
      </c>
      <c r="BD52" s="55" t="str">
        <f aca="false">+Equipos!B48</f>
        <v>Ghana</v>
      </c>
      <c r="BE52" s="117" t="n">
        <f aca="false">+BG52*3+BH52+IF($AZ$3="no",0,INDEX($AZ$6:$AZ$97,MATCH(BD52,$AY$6:$AY$97,0)))</f>
        <v>0</v>
      </c>
      <c r="BF52" s="117" t="n">
        <f aca="false">+BG52+BH52+BI52</f>
        <v>0</v>
      </c>
      <c r="BG52" s="117" t="n">
        <f aca="false">+COUNTIFS(FGLocal,BD52,Ganador,"Local")+COUNTIFS(FGVisitante,BD52,Ganador,"Visitante")</f>
        <v>0</v>
      </c>
      <c r="BH52" s="117" t="n">
        <f aca="false">+COUNTIFS(FGLocal,BD52,Ganador,"Empate")+COUNTIFS(FGVisitante,BD52,Ganador,"Empate")</f>
        <v>0</v>
      </c>
      <c r="BI52" s="117" t="n">
        <f aca="false">+COUNTIFS(FGVisitante,BD52,Ganador,"Local")+COUNTIFS(FGLocal,BD52,Ganador,"Visitante")</f>
        <v>0</v>
      </c>
      <c r="BJ52" s="117" t="n">
        <f aca="false">+SUMIFS(FG_GolesLocal,FGLocal,BD52,Ganador,"&lt;&gt;"&amp;"Pendiente",FG_GolesLocal,"&lt;&gt;"&amp;"",FG_GolesVisitante,"&lt;&gt;"&amp;"")+SUMIFS(FG_GolesVisitante,FGVisitante,BD52,Ganador,"&lt;&gt;"&amp;"Pendiente",FG_GolesLocal,"&lt;&gt;"&amp;"",FG_GolesVisitante,"&lt;&gt;"&amp;"")</f>
        <v>0</v>
      </c>
      <c r="BK52" s="117" t="n">
        <f aca="false">+SUMIFS(FG_GolesLocal,FGVisitante,BD52,Ganador,"&lt;&gt;"&amp;"Pendiente",FG_GolesLocal,"&lt;&gt;"&amp;"",FG_GolesVisitante,"&lt;&gt;"&amp;"")+SUMIFS(FG_GolesVisitante,FGLocal,BD52,Ganador,"&lt;&gt;"&amp;"Pendiente",FG_GolesLocal,"&lt;&gt;"&amp;"",FG_GolesVisitante,"&lt;&gt;"&amp;"")</f>
        <v>0</v>
      </c>
      <c r="BL52" s="117" t="n">
        <f aca="false">+BJ52-BK52</f>
        <v>0</v>
      </c>
      <c r="BM52" s="117" t="str">
        <f aca="false">DD52&amp;BC52</f>
        <v>3L</v>
      </c>
      <c r="BN52" s="117" t="str">
        <f aca="false">DH52&amp;BC52</f>
        <v>3L</v>
      </c>
      <c r="BO52" s="119" t="n">
        <f aca="false">IF(AND($AJ$99=144,BF52&gt;=1),1,0)</f>
        <v>0</v>
      </c>
      <c r="BP52" s="118" t="n">
        <f aca="false">COUNTIFS($BO$6:$BO$53,"&gt;"&amp;BO52,$BC$6:$BC$53,INDEX(T_Equipos[Grupo],MATCH(BD52,T_Equipos[NombreEquipo],0)))+1</f>
        <v>1</v>
      </c>
      <c r="BQ52" s="118" t="str">
        <f aca="false">IF(COUNTIFS($BP$6:$BP$53,BP52,$BC$6:$BC$53,INDEX(T_Equipos[Grupo],MATCH(BD52,T_Equipos[NombreEquipo],0)))=1,"-","P."&amp;BP52&amp;" ("&amp;COUNTIFS($BP$6:$BP$53,BP52,$BC$6:$BC$53,INDEX(T_Equipos[Grupo],MATCH(BD52,T_Equipos[NombreEquipo],0)))&amp;")")</f>
        <v>P.1 (4)</v>
      </c>
      <c r="BR52" s="119" t="n">
        <f aca="false">IF($BQ52="-","-",BE52)</f>
        <v>0</v>
      </c>
      <c r="BS52" s="118" t="n">
        <f aca="false">BP52+COUNTIFS($BQ$6:$BQ$53,BQ52,$BR$6:BR$53,"&gt;"&amp;BR52,$BC$6:$BC$53,INDEX(T_Equipos[Grupo],MATCH(BD52,T_Equipos[NombreEquipo],0)))</f>
        <v>1</v>
      </c>
      <c r="BT52" s="118" t="str">
        <f aca="false">IF(COUNTIFS($BS$6:$BS$53,BS52,$BC$6:$BC$53,INDEX(T_Equipos[Grupo],MATCH(BD52,T_Equipos[NombreEquipo],0)))=1,"-","P."&amp;BS52&amp;" ("&amp;COUNTIFS($BS$6:$BS$53,BS52,$BC$6:$BC$53,INDEX(T_Equipos[Grupo],MATCH(BD52,T_Equipos[NombreEquipo],0)))&amp;")")</f>
        <v>P.1 (4)</v>
      </c>
      <c r="BU52" s="119" t="n">
        <f aca="false">IF($BT52="-","-",COUNTIFS(FGLocal,$BD52,Ganador,"Local",Part1Empate1V,$BT52)+COUNTIFS(FGVisitante,$BD52,Ganador,"Visitante",Part1Empate1L,$BT52))</f>
        <v>0</v>
      </c>
      <c r="BV52" s="119" t="n">
        <f aca="false">IF($BT52="-","-",COUNTIFS(FGLocal,$BD52,Ganador,"Empate",Part1Empate1V,$BT52)+COUNTIFS(FGVisitante,$BD52,Ganador,"Empate",Part1Empate1L,$BT52))</f>
        <v>0</v>
      </c>
      <c r="BW52" s="119" t="n">
        <f aca="false">IF($BT52="-","-",COUNTIFS(FGLocal,$BD52,Ganador,"Visitante",Part1Empate1V,$BT52)+COUNTIFS(FGVisitante,$BD52,Ganador,"Local",Part1Empate1L,$BT52))</f>
        <v>0</v>
      </c>
      <c r="BX52" s="119" t="n">
        <f aca="false">IF($BT52="-","-",BU52*3+BV52)</f>
        <v>0</v>
      </c>
      <c r="BY52" s="119" t="n">
        <f aca="false">BS52+COUNTIFS($BT$6:$BT$53,BT52,$BX$6:BX$53,"&gt;"&amp;BX52,$BC$6:$BC$53,INDEX(T_Equipos[Grupo],MATCH(BD52,T_Equipos[NombreEquipo],0)))</f>
        <v>1</v>
      </c>
      <c r="BZ52" s="118" t="str">
        <f aca="false">IF(COUNTIFS($BY$6:$BY$53,BY52,$BC$6:$BC$53,INDEX(T_Equipos[Grupo],MATCH(BD52,T_Equipos[NombreEquipo],0)))=1,"-","P."&amp;BY52&amp;" ("&amp;COUNTIFS($BY$6:$BY$53,BY52,$BC$6:$BC$53,INDEX(T_Equipos[Grupo],MATCH(BD52,T_Equipos[NombreEquipo],0)))&amp;")")</f>
        <v>P.1 (4)</v>
      </c>
      <c r="CA52" s="119" t="n">
        <f aca="false">IF($BZ52="-","-",SUMIFS(FG_GolesLocal,FGLocal,$BD52,Part1Empate2V,$BZ52)+SUMIFS(FG_GolesVisitante,FGVisitante,$BD52,Part1Empate2L,$BZ52))</f>
        <v>0</v>
      </c>
      <c r="CB52" s="119" t="n">
        <f aca="false">IF($BZ52="-","-",SUMIFS(FG_GolesVisitante,FGLocal,$BD52,Part1Empate2V,$BZ52)+SUMIFS(FG_GolesLocal,FGVisitante,$BD52,Part1Empate2L,$BZ52))</f>
        <v>0</v>
      </c>
      <c r="CC52" s="119" t="n">
        <f aca="false">IF($BZ52="-","-",CA52-CB52)</f>
        <v>0</v>
      </c>
      <c r="CD52" s="119" t="n">
        <f aca="false">BY52+COUNTIFS($BZ$6:$BZ$53,BZ52,$CC$6:CC$53,"&gt;"&amp;CC52,$BC$6:$BC$53,INDEX(T_Equipos[Grupo],MATCH(BD52,T_Equipos[NombreEquipo],0)))</f>
        <v>1</v>
      </c>
      <c r="CE52" s="118" t="str">
        <f aca="false">IF(COUNTIFS($CD$6:$CD$53,CD52,$BC$6:$BC$53,INDEX(T_Equipos[Grupo],MATCH(BD52,T_Equipos[NombreEquipo],0)))=1,"-","P."&amp;CD52&amp;" ("&amp;COUNTIFS($CD$6:$CD$53,CD52,$BC$6:$BC$53,INDEX(T_Equipos[Grupo],MATCH(BD52,T_Equipos[NombreEquipo],0)))&amp;")")</f>
        <v>P.1 (4)</v>
      </c>
      <c r="CF52" s="119" t="n">
        <f aca="false">IF($CE52="-","-",SUMIFS(FG_GolesLocal,FGLocal,$BD52,Part1Empate3V,$CE52)+SUMIFS(FG_GolesVisitante,FGVisitante,$BD52,Part1Empate3L,$CE52))</f>
        <v>0</v>
      </c>
      <c r="CG52" s="119" t="n">
        <f aca="false">CD52+COUNTIFS($CE$6:$CE$53,CE52,$CF$6:CF$53,"&gt;"&amp;CF52,$BC$6:$BC$53,INDEX(T_Equipos[Grupo],MATCH(BD52,T_Equipos[NombreEquipo],0)))</f>
        <v>1</v>
      </c>
      <c r="CH52" s="118" t="str">
        <f aca="false">IF(COUNTIFS($CG$6:$CG$53,CG52,$BC$6:$BC$53,INDEX(T_Equipos[Grupo],MATCH(BD52,T_Equipos[NombreEquipo],0)))=1,"-","P."&amp;CG52&amp;" ("&amp;COUNTIFS($CG$6:$CG$53,CG52,$BC$6:$BC$53,INDEX(T_Equipos[Grupo],MATCH(BD52,T_Equipos[NombreEquipo],0)))&amp;")")</f>
        <v>P.1 (4)</v>
      </c>
      <c r="CI52" s="119" t="n">
        <f aca="false">IF($CH52="-","-",COUNTIFS(FGLocal,$BD52,Ganador,"Local",Part2Empate4V,$CH52)+COUNTIFS(FGVisitante,$BD52,Ganador,"Visitante",Part2Empate4L,$CH52))</f>
        <v>0</v>
      </c>
      <c r="CJ52" s="119" t="n">
        <f aca="false">IF($CH52="-","-",COUNTIFS(FGLocal,$BD52,Ganador,"Empate",Part2Empate4V,$CH52)+COUNTIFS(FGVisitante,$BD52,Ganador,"Empate",Part2Empate4L,$CH52))</f>
        <v>0</v>
      </c>
      <c r="CK52" s="119" t="n">
        <f aca="false">IF($CH52="-","-",COUNTIFS(FGLocal,$BD52,Ganador,"Visitante",Part2Empate4V,$CH52)+COUNTIFS(FGVisitante,$BD52,Ganador,"Local",Part2Empate4L,$CH52))</f>
        <v>0</v>
      </c>
      <c r="CL52" s="119" t="n">
        <f aca="false">IF($CH52="-","-",CI52*3+CJ52)</f>
        <v>0</v>
      </c>
      <c r="CM52" s="119" t="n">
        <f aca="false">CG52+COUNTIFS($CH$6:$CH$53,CH52,$CL$6:CL$53,"&gt;"&amp;CL52,$BC$6:$BC$53,INDEX(T_Equipos[Grupo],MATCH(BD52,T_Equipos[NombreEquipo],0)))</f>
        <v>1</v>
      </c>
      <c r="CN52" s="118" t="str">
        <f aca="false">IF(COUNTIFS($CM$6:$CM$53,CM52,$BC$6:$BC$53,INDEX(T_Equipos[Grupo],MATCH(BD52,T_Equipos[NombreEquipo],0)))=1,"-","P."&amp;CM52&amp;" ("&amp;COUNTIFS($CM$6:$CM$53,CM52,$BC$6:$BC$53,INDEX(T_Equipos[Grupo],MATCH(BD52,T_Equipos[NombreEquipo],0)))&amp;")")</f>
        <v>P.1 (4)</v>
      </c>
      <c r="CO52" s="119" t="n">
        <f aca="false">IF($CN52="-","-",SUMIFS(FG_GolesLocal,FGLocal,$BD52,Part2Empate5V,$CN52)+SUMIFS(FG_GolesVisitante,FGVisitante,$BD52,Part2Empate5L,$CN52))</f>
        <v>0</v>
      </c>
      <c r="CP52" s="119" t="n">
        <f aca="false">IF($CN52="-","-",SUMIFS(FG_GolesVisitante,FGLocal,$BD52,Part2Empate5V,$CN52)+SUMIFS(FG_GolesLocal,FGVisitante,$BD52,Part2Empate5L,$CN52))</f>
        <v>0</v>
      </c>
      <c r="CQ52" s="119" t="n">
        <f aca="false">IF($CN52="-","-",CO52-CP52)</f>
        <v>0</v>
      </c>
      <c r="CR52" s="119" t="n">
        <f aca="false">CM52+COUNTIFS($CN$6:$CN$53,CN52,$CQ$6:CQ$53,"&gt;"&amp;CQ52,$BC$6:$BC$53,INDEX(T_Equipos[Grupo],MATCH(BD52,T_Equipos[NombreEquipo],0)))</f>
        <v>1</v>
      </c>
      <c r="CS52" s="118" t="str">
        <f aca="false">IF(COUNTIFS($CR$6:$CR$53,CR52,$BC$6:$BC$53,INDEX(T_Equipos[Grupo],MATCH(BD52,T_Equipos[NombreEquipo],0)))=1,"-","P."&amp;CR52&amp;" ("&amp;COUNTIFS($CR$6:$CR$53,CR52,$BC$6:$BC$53,INDEX(T_Equipos[Grupo],MATCH(BD52,T_Equipos[NombreEquipo],0)))&amp;")")</f>
        <v>P.1 (4)</v>
      </c>
      <c r="CT52" s="119" t="n">
        <f aca="false">IF($CS52="-","-",SUMIFS(FG_GolesLocal,FGLocal,$BD52,Part2Empate6V,$CS52)+SUMIFS(FG_GolesVisitante,FGVisitante,$BD52,Part2Empate6L,$CS52))</f>
        <v>0</v>
      </c>
      <c r="CU52" s="119" t="n">
        <f aca="false">CR52+COUNTIFS($CS$6:$CS$53,CS52,$CT$6:CT$53,"&gt;"&amp;CT52,$BC$6:$BC$53,INDEX(T_Equipos[Grupo],MATCH(BD52,T_Equipos[NombreEquipo],0)))</f>
        <v>1</v>
      </c>
      <c r="CV52" s="118" t="str">
        <f aca="false">IF(COUNTIFS($CU$6:$CU$53,CU52,$BC$6:$BC$53,INDEX(T_Equipos[Grupo],MATCH(BD52,T_Equipos[NombreEquipo],0)))=1,"-","P."&amp;CU52&amp;" ("&amp;COUNTIFS($CU$6:$CU$53,CU52,$BC$6:$BC$53,INDEX(T_Equipos[Grupo],MATCH(BD52,T_Equipos[NombreEquipo],0)))&amp;")")</f>
        <v>P.1 (4)</v>
      </c>
      <c r="CW52" s="118" t="n">
        <f aca="false">IF(CV52="-","-",BL52)</f>
        <v>0</v>
      </c>
      <c r="CX52" s="118" t="n">
        <f aca="false">CU52+COUNTIFS($CV$6:$CV$53,CV52,$CW$6:CW$53,"&gt;"&amp;CW52,$BC$6:$BC$53,INDEX(T_Equipos[Grupo],MATCH(BD52,T_Equipos[NombreEquipo],0)))</f>
        <v>1</v>
      </c>
      <c r="CY52" s="118" t="str">
        <f aca="false">IF(COUNTIFS($CX$6:$CX$53,CX52,$BC$6:$BC$53,INDEX(T_Equipos[Grupo],MATCH(BD52,T_Equipos[NombreEquipo],0)))=1,"-","P."&amp;CX52&amp;" ("&amp;COUNTIFS($CX$6:$CX$53,CX52,$BC$6:$BC$53,INDEX(T_Equipos[Grupo],MATCH(BD52,T_Equipos[NombreEquipo],0)))&amp;")")</f>
        <v>P.1 (4)</v>
      </c>
      <c r="CZ52" s="118" t="n">
        <f aca="false">IF(CY52="-","-",BJ52)</f>
        <v>0</v>
      </c>
      <c r="DA52" s="119" t="n">
        <f aca="false">CX52+COUNTIFS($CY$6:$CY$53,CY52,$CZ$6:CZ$53,"&gt;"&amp;CZ52,$BC$6:$BC$53,INDEX(T_Equipos[Grupo],MATCH(BD52,T_Equipos[NombreEquipo],0)))</f>
        <v>1</v>
      </c>
      <c r="DB52" s="118" t="str">
        <f aca="false">IF(COUNTIFS($DA$6:$DA$53,DA52,$BC$6:$BC$53,INDEX(T_Equipos[Grupo],MATCH(BD52,T_Equipos[NombreEquipo],0)))=1,"-","P."&amp;DA52&amp;" ("&amp;COUNTIFS($DA$6:$DA$53,DA52,$BC$6:$BC$53,INDEX(T_Equipos[Grupo],MATCH(BD52,T_Equipos[NombreEquipo],0)))&amp;")")</f>
        <v>P.1 (4)</v>
      </c>
      <c r="DC52" s="116" t="n">
        <f aca="false">IF(DB52="-","-",COUNTIFS(T_Equipos[Rank],"&lt;"&amp;INDEX(T_Equipos[Rank],MATCH(BD52,T_Equipos[NombreEquipo],0)),$BC$6:$BC$53,INDEX(T_Equipos[Grupo],MATCH(BD52,T_Equipos[NombreEquipo],0)))+1)</f>
        <v>3</v>
      </c>
      <c r="DD52" s="116" t="n">
        <f aca="false">DA52+COUNTIFS($DB$6:$DB$53,DB52,$DC$6:DC$53,"&lt;"&amp;DC52,$BC$6:$BC$53,INDEX(T_Equipos[Grupo],MATCH(BD52,T_Equipos[NombreEquipo],0)))</f>
        <v>3</v>
      </c>
      <c r="DE52" s="116"/>
      <c r="DF52" s="116" t="n">
        <f aca="false">IF(OR(INDEX($AW$6:$AW$97,MATCH($BD52,$AV$6:$AV$97,0))="",DB52="-"),DD52,INDEX($AW$6:$AW$97,MATCH($BD52,$AV$6:$AV$97,0))+DD52/1000)</f>
        <v>3</v>
      </c>
      <c r="DG52" s="116" t="n">
        <f aca="false">IF(DB52="-","-",COUNTIFS(DF$6:DF$53,"&lt;"&amp;DF52,$BC$6:$BC$53,INDEX(T_Equipos[Grupo],MATCH(BD52,T_Equipos[NombreEquipo],0))))</f>
        <v>2</v>
      </c>
      <c r="DH52" s="116" t="n">
        <f aca="false">DA52+COUNTIFS(DB$6:DB$53,DB52,DG$6:DG$53,"&lt;"&amp;DG52,$BC$6:$BC$53,INDEX(T_Equipos[Grupo],MATCH(BD52,T_Equipos[NombreEquipo],0)))</f>
        <v>3</v>
      </c>
      <c r="DI52" s="55"/>
      <c r="DJ52" s="55" t="n">
        <f aca="false">INDEX($DA$6:$DA$53,MATCH($DQ52,$BD$6:$BD$53,0))</f>
        <v>1</v>
      </c>
      <c r="DK52" s="55" t="n">
        <f aca="false">+SUMIF($BC$6:$BC$53,BC52,$BF$6:$BF$53)</f>
        <v>0</v>
      </c>
      <c r="DL52" s="55" t="n">
        <f aca="false">IF(OR(DK52=12,$AJ$99=144),COUNTIFS($DJ$6:$DJ$53,DJ52,$BC$6:$BC$53,BC52),1)</f>
        <v>1</v>
      </c>
      <c r="DM52" s="120" t="str">
        <f aca="false">DJ52&amp;"."&amp;DL52</f>
        <v>1.1</v>
      </c>
      <c r="DN52" s="55" t="n">
        <f aca="true" t="array" ref="DN52:DN52">OFFSET(Horarios!$P$3,DJ52-1,0,DL52,1)</f>
        <v>1</v>
      </c>
      <c r="DO52" s="55"/>
      <c r="DP52" s="55" t="s">
        <v>130</v>
      </c>
      <c r="DQ52" s="55" t="str">
        <f aca="false">INDEX($BD$6:$BD$53,MATCH(DP52,$BM$6:$BM$53,0))</f>
        <v>Ghana</v>
      </c>
      <c r="DR52" s="55"/>
      <c r="DS52" s="55"/>
      <c r="DT52" s="55" t="str">
        <f aca="false">AA52&amp;"-"&amp;AF52</f>
        <v>Bélgica-Egipto</v>
      </c>
      <c r="DU52" s="55"/>
      <c r="DV52" s="55"/>
      <c r="DW52" s="57"/>
    </row>
    <row r="53" customFormat="false" ht="15" hidden="false" customHeight="false" outlineLevel="0" collapsed="false">
      <c r="A53" s="92" t="str">
        <f aca="false">+Equipos!B26</f>
        <v>Bélgica</v>
      </c>
      <c r="B53" s="72"/>
      <c r="C53" s="72"/>
      <c r="D53" s="55" t="str">
        <f aca="false">IF(OR(AC53="",AD53=""),"Pendiente",IF(AC53&gt;AD53,"Local",IF(AC53&lt;AD53,"Visitante","Empate")))</f>
        <v>Empate</v>
      </c>
      <c r="E53" s="55" t="str">
        <f aca="false">IF(D53="Pendiente","-",INDEX($BT$6:$BT$53,MATCH($AA53,$BD$6:$BD$53,0)))</f>
        <v>P.1 (4)</v>
      </c>
      <c r="F53" s="55" t="str">
        <f aca="false">IF(D53="Pendiente","-",INDEX($BT$6:$BT$53,MATCH($AF53,$BD$6:$BD$53,0)))</f>
        <v>P.1 (4)</v>
      </c>
      <c r="G53" s="55"/>
      <c r="H53" s="55" t="str">
        <f aca="false">IF(D53="Pendiente","-",INDEX($BZ$6:$BZ$53,MATCH($AA53,$BD$6:$BD$53,0)))</f>
        <v>P.1 (4)</v>
      </c>
      <c r="I53" s="55" t="str">
        <f aca="false">IF(D53="Pendiente","-",INDEX($BZ$6:$BZ$53,MATCH($AF53,$BD$6:$BD$53,0)))</f>
        <v>P.1 (4)</v>
      </c>
      <c r="J53" s="55"/>
      <c r="K53" s="55" t="str">
        <f aca="false">IF(D53="Pendiente","-",INDEX($CE$6:$CE$53,MATCH($AA53,$BD$6:$BD$53,0)))</f>
        <v>P.1 (4)</v>
      </c>
      <c r="L53" s="55" t="str">
        <f aca="false">IF(D53="Pendiente","-",INDEX($CE$6:$CE$53,MATCH($AF53,$BD$6:$BD$53,0)))</f>
        <v>P.1 (4)</v>
      </c>
      <c r="M53" s="55"/>
      <c r="N53" s="55" t="str">
        <f aca="false">IF(D53="Pendiente","-",INDEX($CH$6:$CH$53,MATCH($AA53,$BD$6:$BD$53,0)))</f>
        <v>P.1 (2)</v>
      </c>
      <c r="O53" s="55" t="str">
        <f aca="false">IF(D53="Pendiente","-",INDEX($CH$6:$CH$53,MATCH($AF53,$BD$6:$BD$53,0)))</f>
        <v>P.1 (2)</v>
      </c>
      <c r="P53" s="55"/>
      <c r="Q53" s="55" t="str">
        <f aca="false">IF(D53="Pendiente","-",INDEX($CN$6:$CN$53,MATCH($AA53,$BD$6:$BD$53,0)))</f>
        <v>P.1 (2)</v>
      </c>
      <c r="R53" s="55" t="str">
        <f aca="false">IF(D53="Pendiente","-",INDEX($CN$6:$CN$53,MATCH($AF53,$BD$6:$BD$53,0)))</f>
        <v>P.1 (2)</v>
      </c>
      <c r="S53" s="55"/>
      <c r="T53" s="55" t="str">
        <f aca="false">IF(D53="Pendiente","-",INDEX($CS$6:$CS$53,MATCH($AA53,$BD$6:$BD$53,0)))</f>
        <v>P.1 (2)</v>
      </c>
      <c r="U53" s="55" t="str">
        <f aca="false">IF(D53="Pendiente","-",INDEX($CS$6:$CS$53,MATCH($AF53,$BD$6:$BD$53,0)))</f>
        <v>P.1 (2)</v>
      </c>
      <c r="V53" s="46"/>
      <c r="W53" s="190"/>
      <c r="X53" s="74" t="n">
        <f aca="false">Horarios!C53</f>
        <v>46189.125</v>
      </c>
      <c r="Y53" s="75" t="n">
        <f aca="false">Horarios!C53</f>
        <v>46189.125</v>
      </c>
      <c r="Z53" s="76" t="str">
        <f aca="false">$Z$4</f>
        <v>J1</v>
      </c>
      <c r="AA53" s="77" t="str">
        <f aca="false">A55</f>
        <v>Irán</v>
      </c>
      <c r="AB53" s="165" t="str">
        <f aca="true" t="array" ref="AB53:AB53">Ver_flag_local</f>
        <v/>
      </c>
      <c r="AC53" s="79" t="n">
        <v>2</v>
      </c>
      <c r="AD53" s="80" t="n">
        <v>2</v>
      </c>
      <c r="AE53" s="81" t="str">
        <f aca="true" t="array" ref="AE53:AE53">Ver_flag_visit</f>
        <v/>
      </c>
      <c r="AF53" s="82" t="str">
        <f aca="false">A56</f>
        <v>Nueva Zelanda</v>
      </c>
      <c r="AG53" s="83" t="n">
        <f aca="false">IF(NOT(OR(ISBLANK(AC53),ISBLANK(AD53))),1,0)</f>
        <v>1</v>
      </c>
      <c r="AH53" s="84" t="n">
        <v>15</v>
      </c>
      <c r="AI53" s="85"/>
      <c r="AJ53" s="93" t="str">
        <f aca="false">AJ5</f>
        <v>Pos</v>
      </c>
      <c r="AK53" s="94"/>
      <c r="AL53" s="95" t="str">
        <f aca="false">AL5</f>
        <v>Selección</v>
      </c>
      <c r="AM53" s="94" t="str">
        <f aca="false">AM5</f>
        <v>Pts</v>
      </c>
      <c r="AN53" s="94" t="str">
        <f aca="false">AN5</f>
        <v>J</v>
      </c>
      <c r="AO53" s="94" t="str">
        <f aca="false">AO5</f>
        <v>G</v>
      </c>
      <c r="AP53" s="94" t="str">
        <f aca="false">AP5</f>
        <v>E</v>
      </c>
      <c r="AQ53" s="94" t="str">
        <f aca="false">AQ5</f>
        <v>P</v>
      </c>
      <c r="AR53" s="94" t="str">
        <f aca="false">AR5</f>
        <v>GF</v>
      </c>
      <c r="AS53" s="94" t="str">
        <f aca="false">AS5</f>
        <v>GC</v>
      </c>
      <c r="AT53" s="96" t="str">
        <f aca="false">AT5</f>
        <v>DG</v>
      </c>
      <c r="AU53" s="161" t="n">
        <f aca="false">COUNTIF(AU54:AU57,"&gt;1")</f>
        <v>0</v>
      </c>
      <c r="AV53" s="97"/>
      <c r="AW53" s="97"/>
      <c r="AX53" s="168"/>
      <c r="AY53" s="98" t="str">
        <f aca="false">AL53</f>
        <v>Selección</v>
      </c>
      <c r="AZ53" s="99" t="str">
        <f aca="false">+Idiomas!$D$69</f>
        <v>Puntos penalizados</v>
      </c>
      <c r="BA53" s="49"/>
      <c r="BB53" s="55"/>
      <c r="BC53" s="116" t="str">
        <f aca="false">+INDEX(T_Equipos[Grupo],MATCH(WORLDCUP!BD53,T_Equipos[NombreEquipo],0))</f>
        <v>L</v>
      </c>
      <c r="BD53" s="55" t="str">
        <f aca="false">+Equipos!B49</f>
        <v>Panamá</v>
      </c>
      <c r="BE53" s="117" t="n">
        <f aca="false">+BG53*3+BH53+IF($AZ$3="no",0,INDEX($AZ$6:$AZ$97,MATCH(BD53,$AY$6:$AY$97,0)))</f>
        <v>0</v>
      </c>
      <c r="BF53" s="117" t="n">
        <f aca="false">+BG53+BH53+BI53</f>
        <v>0</v>
      </c>
      <c r="BG53" s="117" t="n">
        <f aca="false">+COUNTIFS(FGLocal,BD53,Ganador,"Local")+COUNTIFS(FGVisitante,BD53,Ganador,"Visitante")</f>
        <v>0</v>
      </c>
      <c r="BH53" s="117" t="n">
        <f aca="false">+COUNTIFS(FGLocal,BD53,Ganador,"Empate")+COUNTIFS(FGVisitante,BD53,Ganador,"Empate")</f>
        <v>0</v>
      </c>
      <c r="BI53" s="117" t="n">
        <f aca="false">+COUNTIFS(FGVisitante,BD53,Ganador,"Local")+COUNTIFS(FGLocal,BD53,Ganador,"Visitante")</f>
        <v>0</v>
      </c>
      <c r="BJ53" s="117" t="n">
        <f aca="false">+SUMIFS(FG_GolesLocal,FGLocal,BD53,Ganador,"&lt;&gt;"&amp;"Pendiente",FG_GolesLocal,"&lt;&gt;"&amp;"",FG_GolesVisitante,"&lt;&gt;"&amp;"")+SUMIFS(FG_GolesVisitante,FGVisitante,BD53,Ganador,"&lt;&gt;"&amp;"Pendiente",FG_GolesLocal,"&lt;&gt;"&amp;"",FG_GolesVisitante,"&lt;&gt;"&amp;"")</f>
        <v>0</v>
      </c>
      <c r="BK53" s="117" t="n">
        <f aca="false">+SUMIFS(FG_GolesLocal,FGVisitante,BD53,Ganador,"&lt;&gt;"&amp;"Pendiente",FG_GolesLocal,"&lt;&gt;"&amp;"",FG_GolesVisitante,"&lt;&gt;"&amp;"")+SUMIFS(FG_GolesVisitante,FGLocal,BD53,Ganador,"&lt;&gt;"&amp;"Pendiente",FG_GolesLocal,"&lt;&gt;"&amp;"",FG_GolesVisitante,"&lt;&gt;"&amp;"")</f>
        <v>0</v>
      </c>
      <c r="BL53" s="117" t="n">
        <f aca="false">+BJ53-BK53</f>
        <v>0</v>
      </c>
      <c r="BM53" s="117" t="str">
        <f aca="false">DD53&amp;BC53</f>
        <v>4L</v>
      </c>
      <c r="BN53" s="117" t="str">
        <f aca="false">DH53&amp;BC53</f>
        <v>4L</v>
      </c>
      <c r="BO53" s="119" t="n">
        <f aca="false">IF(AND($AJ$99=144,BF53&gt;=1),1,0)</f>
        <v>0</v>
      </c>
      <c r="BP53" s="118" t="n">
        <f aca="false">COUNTIFS($BO$6:$BO$53,"&gt;"&amp;BO53,$BC$6:$BC$53,INDEX(T_Equipos[Grupo],MATCH(BD53,T_Equipos[NombreEquipo],0)))+1</f>
        <v>1</v>
      </c>
      <c r="BQ53" s="118" t="str">
        <f aca="false">IF(COUNTIFS($BP$6:$BP$53,BP53,$BC$6:$BC$53,INDEX(T_Equipos[Grupo],MATCH(BD53,T_Equipos[NombreEquipo],0)))=1,"-","P."&amp;BP53&amp;" ("&amp;COUNTIFS($BP$6:$BP$53,BP53,$BC$6:$BC$53,INDEX(T_Equipos[Grupo],MATCH(BD53,T_Equipos[NombreEquipo],0)))&amp;")")</f>
        <v>P.1 (4)</v>
      </c>
      <c r="BR53" s="119" t="n">
        <f aca="false">IF($BQ53="-","-",BE53)</f>
        <v>0</v>
      </c>
      <c r="BS53" s="118" t="n">
        <f aca="false">BP53+COUNTIFS($BQ$6:$BQ$53,BQ53,$BR$6:BR$53,"&gt;"&amp;BR53,$BC$6:$BC$53,INDEX(T_Equipos[Grupo],MATCH(BD53,T_Equipos[NombreEquipo],0)))</f>
        <v>1</v>
      </c>
      <c r="BT53" s="118" t="str">
        <f aca="false">IF(COUNTIFS($BS$6:$BS$53,BS53,$BC$6:$BC$53,INDEX(T_Equipos[Grupo],MATCH(BD53,T_Equipos[NombreEquipo],0)))=1,"-","P."&amp;BS53&amp;" ("&amp;COUNTIFS($BS$6:$BS$53,BS53,$BC$6:$BC$53,INDEX(T_Equipos[Grupo],MATCH(BD53,T_Equipos[NombreEquipo],0)))&amp;")")</f>
        <v>P.1 (4)</v>
      </c>
      <c r="BU53" s="119" t="n">
        <f aca="false">IF($BT53="-","-",COUNTIFS(FGLocal,$BD53,Ganador,"Local",Part1Empate1V,$BT53)+COUNTIFS(FGVisitante,$BD53,Ganador,"Visitante",Part1Empate1L,$BT53))</f>
        <v>0</v>
      </c>
      <c r="BV53" s="119" t="n">
        <f aca="false">IF($BT53="-","-",COUNTIFS(FGLocal,$BD53,Ganador,"Empate",Part1Empate1V,$BT53)+COUNTIFS(FGVisitante,$BD53,Ganador,"Empate",Part1Empate1L,$BT53))</f>
        <v>0</v>
      </c>
      <c r="BW53" s="119" t="n">
        <f aca="false">IF($BT53="-","-",COUNTIFS(FGLocal,$BD53,Ganador,"Visitante",Part1Empate1V,$BT53)+COUNTIFS(FGVisitante,$BD53,Ganador,"Local",Part1Empate1L,$BT53))</f>
        <v>0</v>
      </c>
      <c r="BX53" s="119" t="n">
        <f aca="false">IF($BT53="-","-",BU53*3+BV53)</f>
        <v>0</v>
      </c>
      <c r="BY53" s="119" t="n">
        <f aca="false">BS53+COUNTIFS($BT$6:$BT$53,BT53,$BX$6:BX$53,"&gt;"&amp;BX53,$BC$6:$BC$53,INDEX(T_Equipos[Grupo],MATCH(BD53,T_Equipos[NombreEquipo],0)))</f>
        <v>1</v>
      </c>
      <c r="BZ53" s="118" t="str">
        <f aca="false">IF(COUNTIFS($BY$6:$BY$53,BY53,$BC$6:$BC$53,INDEX(T_Equipos[Grupo],MATCH(BD53,T_Equipos[NombreEquipo],0)))=1,"-","P."&amp;BY53&amp;" ("&amp;COUNTIFS($BY$6:$BY$53,BY53,$BC$6:$BC$53,INDEX(T_Equipos[Grupo],MATCH(BD53,T_Equipos[NombreEquipo],0)))&amp;")")</f>
        <v>P.1 (4)</v>
      </c>
      <c r="CA53" s="119" t="n">
        <f aca="false">IF($BZ53="-","-",SUMIFS(FG_GolesLocal,FGLocal,$BD53,Part1Empate2V,$BZ53)+SUMIFS(FG_GolesVisitante,FGVisitante,$BD53,Part1Empate2L,$BZ53))</f>
        <v>0</v>
      </c>
      <c r="CB53" s="119" t="n">
        <f aca="false">IF($BZ53="-","-",SUMIFS(FG_GolesVisitante,FGLocal,$BD53,Part1Empate2V,$BZ53)+SUMIFS(FG_GolesLocal,FGVisitante,$BD53,Part1Empate2L,$BZ53))</f>
        <v>0</v>
      </c>
      <c r="CC53" s="119" t="n">
        <f aca="false">IF($BZ53="-","-",CA53-CB53)</f>
        <v>0</v>
      </c>
      <c r="CD53" s="119" t="n">
        <f aca="false">BY53+COUNTIFS($BZ$6:$BZ$53,BZ53,$CC$6:CC$53,"&gt;"&amp;CC53,$BC$6:$BC$53,INDEX(T_Equipos[Grupo],MATCH(BD53,T_Equipos[NombreEquipo],0)))</f>
        <v>1</v>
      </c>
      <c r="CE53" s="118" t="str">
        <f aca="false">IF(COUNTIFS($CD$6:$CD$53,CD53,$BC$6:$BC$53,INDEX(T_Equipos[Grupo],MATCH(BD53,T_Equipos[NombreEquipo],0)))=1,"-","P."&amp;CD53&amp;" ("&amp;COUNTIFS($CD$6:$CD$53,CD53,$BC$6:$BC$53,INDEX(T_Equipos[Grupo],MATCH(BD53,T_Equipos[NombreEquipo],0)))&amp;")")</f>
        <v>P.1 (4)</v>
      </c>
      <c r="CF53" s="119" t="n">
        <f aca="false">IF($CE53="-","-",SUMIFS(FG_GolesLocal,FGLocal,$BD53,Part1Empate3V,$CE53)+SUMIFS(FG_GolesVisitante,FGVisitante,$BD53,Part1Empate3L,$CE53))</f>
        <v>0</v>
      </c>
      <c r="CG53" s="119" t="n">
        <f aca="false">CD53+COUNTIFS($CE$6:$CE$53,CE53,$CF$6:CF$53,"&gt;"&amp;CF53,$BC$6:$BC$53,INDEX(T_Equipos[Grupo],MATCH(BD53,T_Equipos[NombreEquipo],0)))</f>
        <v>1</v>
      </c>
      <c r="CH53" s="118" t="str">
        <f aca="false">IF(COUNTIFS($CG$6:$CG$53,CG53,$BC$6:$BC$53,INDEX(T_Equipos[Grupo],MATCH(BD53,T_Equipos[NombreEquipo],0)))=1,"-","P."&amp;CG53&amp;" ("&amp;COUNTIFS($CG$6:$CG$53,CG53,$BC$6:$BC$53,INDEX(T_Equipos[Grupo],MATCH(BD53,T_Equipos[NombreEquipo],0)))&amp;")")</f>
        <v>P.1 (4)</v>
      </c>
      <c r="CI53" s="119" t="n">
        <f aca="false">IF($CH53="-","-",COUNTIFS(FGLocal,$BD53,Ganador,"Local",Part2Empate4V,$CH53)+COUNTIFS(FGVisitante,$BD53,Ganador,"Visitante",Part2Empate4L,$CH53))</f>
        <v>0</v>
      </c>
      <c r="CJ53" s="119" t="n">
        <f aca="false">IF($CH53="-","-",COUNTIFS(FGLocal,$BD53,Ganador,"Empate",Part2Empate4V,$CH53)+COUNTIFS(FGVisitante,$BD53,Ganador,"Empate",Part2Empate4L,$CH53))</f>
        <v>0</v>
      </c>
      <c r="CK53" s="119" t="n">
        <f aca="false">IF($CH53="-","-",COUNTIFS(FGLocal,$BD53,Ganador,"Visitante",Part2Empate4V,$CH53)+COUNTIFS(FGVisitante,$BD53,Ganador,"Local",Part2Empate4L,$CH53))</f>
        <v>0</v>
      </c>
      <c r="CL53" s="119" t="n">
        <f aca="false">IF($CH53="-","-",CI53*3+CJ53)</f>
        <v>0</v>
      </c>
      <c r="CM53" s="119" t="n">
        <f aca="false">CG53+COUNTIFS($CH$6:$CH$53,CH53,$CL$6:CL$53,"&gt;"&amp;CL53,$BC$6:$BC$53,INDEX(T_Equipos[Grupo],MATCH(BD53,T_Equipos[NombreEquipo],0)))</f>
        <v>1</v>
      </c>
      <c r="CN53" s="118" t="str">
        <f aca="false">IF(COUNTIFS($CM$6:$CM$53,CM53,$BC$6:$BC$53,INDEX(T_Equipos[Grupo],MATCH(BD53,T_Equipos[NombreEquipo],0)))=1,"-","P."&amp;CM53&amp;" ("&amp;COUNTIFS($CM$6:$CM$53,CM53,$BC$6:$BC$53,INDEX(T_Equipos[Grupo],MATCH(BD53,T_Equipos[NombreEquipo],0)))&amp;")")</f>
        <v>P.1 (4)</v>
      </c>
      <c r="CO53" s="119" t="n">
        <f aca="false">IF($CN53="-","-",SUMIFS(FG_GolesLocal,FGLocal,$BD53,Part2Empate5V,$CN53)+SUMIFS(FG_GolesVisitante,FGVisitante,$BD53,Part2Empate5L,$CN53))</f>
        <v>0</v>
      </c>
      <c r="CP53" s="119" t="n">
        <f aca="false">IF($CN53="-","-",SUMIFS(FG_GolesVisitante,FGLocal,$BD53,Part2Empate5V,$CN53)+SUMIFS(FG_GolesLocal,FGVisitante,$BD53,Part2Empate5L,$CN53))</f>
        <v>0</v>
      </c>
      <c r="CQ53" s="119" t="n">
        <f aca="false">IF($CN53="-","-",CO53-CP53)</f>
        <v>0</v>
      </c>
      <c r="CR53" s="119" t="n">
        <f aca="false">CM53+COUNTIFS($CN$6:$CN$53,CN53,$CQ$6:CQ$53,"&gt;"&amp;CQ53,$BC$6:$BC$53,INDEX(T_Equipos[Grupo],MATCH(BD53,T_Equipos[NombreEquipo],0)))</f>
        <v>1</v>
      </c>
      <c r="CS53" s="118" t="str">
        <f aca="false">IF(COUNTIFS($CR$6:$CR$53,CR53,$BC$6:$BC$53,INDEX(T_Equipos[Grupo],MATCH(BD53,T_Equipos[NombreEquipo],0)))=1,"-","P."&amp;CR53&amp;" ("&amp;COUNTIFS($CR$6:$CR$53,CR53,$BC$6:$BC$53,INDEX(T_Equipos[Grupo],MATCH(BD53,T_Equipos[NombreEquipo],0)))&amp;")")</f>
        <v>P.1 (4)</v>
      </c>
      <c r="CT53" s="119" t="n">
        <f aca="false">IF($CS53="-","-",SUMIFS(FG_GolesLocal,FGLocal,$BD53,Part2Empate6V,$CS53)+SUMIFS(FG_GolesVisitante,FGVisitante,$BD53,Part2Empate6L,$CS53))</f>
        <v>0</v>
      </c>
      <c r="CU53" s="119" t="n">
        <f aca="false">CR53+COUNTIFS($CS$6:$CS$53,CS53,$CT$6:CT$53,"&gt;"&amp;CT53,$BC$6:$BC$53,INDEX(T_Equipos[Grupo],MATCH(BD53,T_Equipos[NombreEquipo],0)))</f>
        <v>1</v>
      </c>
      <c r="CV53" s="118" t="str">
        <f aca="false">IF(COUNTIFS($CU$6:$CU$53,CU53,$BC$6:$BC$53,INDEX(T_Equipos[Grupo],MATCH(BD53,T_Equipos[NombreEquipo],0)))=1,"-","P."&amp;CU53&amp;" ("&amp;COUNTIFS($CU$6:$CU$53,CU53,$BC$6:$BC$53,INDEX(T_Equipos[Grupo],MATCH(BD53,T_Equipos[NombreEquipo],0)))&amp;")")</f>
        <v>P.1 (4)</v>
      </c>
      <c r="CW53" s="118" t="n">
        <f aca="false">IF(CV53="-","-",BL53)</f>
        <v>0</v>
      </c>
      <c r="CX53" s="118" t="n">
        <f aca="false">CU53+COUNTIFS($CV$6:$CV$53,CV53,$CW$6:CW$53,"&gt;"&amp;CW53,$BC$6:$BC$53,INDEX(T_Equipos[Grupo],MATCH(BD53,T_Equipos[NombreEquipo],0)))</f>
        <v>1</v>
      </c>
      <c r="CY53" s="118" t="str">
        <f aca="false">IF(COUNTIFS($CX$6:$CX$53,CX53,$BC$6:$BC$53,INDEX(T_Equipos[Grupo],MATCH(BD53,T_Equipos[NombreEquipo],0)))=1,"-","P."&amp;CX53&amp;" ("&amp;COUNTIFS($CX$6:$CX$53,CX53,$BC$6:$BC$53,INDEX(T_Equipos[Grupo],MATCH(BD53,T_Equipos[NombreEquipo],0)))&amp;")")</f>
        <v>P.1 (4)</v>
      </c>
      <c r="CZ53" s="118" t="n">
        <f aca="false">IF(CY53="-","-",BJ53)</f>
        <v>0</v>
      </c>
      <c r="DA53" s="119" t="n">
        <f aca="false">CX53+COUNTIFS($CY$6:$CY$53,CY53,$CZ$6:CZ$53,"&gt;"&amp;CZ53,$BC$6:$BC$53,INDEX(T_Equipos[Grupo],MATCH(BD53,T_Equipos[NombreEquipo],0)))</f>
        <v>1</v>
      </c>
      <c r="DB53" s="118" t="str">
        <f aca="false">IF(COUNTIFS($DA$6:$DA$53,DA53,$BC$6:$BC$53,INDEX(T_Equipos[Grupo],MATCH(BD53,T_Equipos[NombreEquipo],0)))=1,"-","P."&amp;DA53&amp;" ("&amp;COUNTIFS($DA$6:$DA$53,DA53,$BC$6:$BC$53,INDEX(T_Equipos[Grupo],MATCH(BD53,T_Equipos[NombreEquipo],0)))&amp;")")</f>
        <v>P.1 (4)</v>
      </c>
      <c r="DC53" s="116" t="n">
        <f aca="false">IF(DB53="-","-",COUNTIFS(T_Equipos[Rank],"&lt;"&amp;INDEX(T_Equipos[Rank],MATCH(BD53,T_Equipos[NombreEquipo],0)),$BC$6:$BC$53,INDEX(T_Equipos[Grupo],MATCH(BD53,T_Equipos[NombreEquipo],0)))+1)</f>
        <v>4</v>
      </c>
      <c r="DD53" s="116" t="n">
        <f aca="false">DA53+COUNTIFS($DB$6:$DB$53,DB53,$DC$6:DC$53,"&lt;"&amp;DC53,$BC$6:$BC$53,INDEX(T_Equipos[Grupo],MATCH(BD53,T_Equipos[NombreEquipo],0)))</f>
        <v>4</v>
      </c>
      <c r="DE53" s="116"/>
      <c r="DF53" s="116" t="n">
        <f aca="false">IF(OR(INDEX($AW$6:$AW$97,MATCH($BD53,$AV$6:$AV$97,0))="",DB53="-"),DD53,INDEX($AW$6:$AW$97,MATCH($BD53,$AV$6:$AV$97,0))+DD53/1000)</f>
        <v>4</v>
      </c>
      <c r="DG53" s="116" t="n">
        <f aca="false">IF(DB53="-","-",COUNTIFS(DF$6:DF$53,"&lt;"&amp;DF53,$BC$6:$BC$53,INDEX(T_Equipos[Grupo],MATCH(BD53,T_Equipos[NombreEquipo],0))))</f>
        <v>3</v>
      </c>
      <c r="DH53" s="116" t="n">
        <f aca="false">DA53+COUNTIFS(DB$6:DB$53,DB53,DG$6:DG$53,"&lt;"&amp;DG53,$BC$6:$BC$53,INDEX(T_Equipos[Grupo],MATCH(BD53,T_Equipos[NombreEquipo],0)))</f>
        <v>4</v>
      </c>
      <c r="DI53" s="55"/>
      <c r="DJ53" s="55" t="n">
        <f aca="false">INDEX($DA$6:$DA$53,MATCH($DQ53,$BD$6:$BD$53,0))</f>
        <v>1</v>
      </c>
      <c r="DK53" s="55" t="n">
        <f aca="false">+SUMIF($BC$6:$BC$53,BC53,$BF$6:$BF$53)</f>
        <v>0</v>
      </c>
      <c r="DL53" s="55" t="n">
        <f aca="false">IF(OR(DK53=12,$AJ$99=144),COUNTIFS($DJ$6:$DJ$53,DJ53,$BC$6:$BC$53,BC53),1)</f>
        <v>1</v>
      </c>
      <c r="DM53" s="120" t="str">
        <f aca="false">DJ53&amp;"."&amp;DL53</f>
        <v>1.1</v>
      </c>
      <c r="DN53" s="55" t="n">
        <f aca="true" t="array" ref="DN53:DN53">OFFSET(Horarios!$P$3,DJ53-1,0,DL53,1)</f>
        <v>1</v>
      </c>
      <c r="DO53" s="55"/>
      <c r="DP53" s="55" t="s">
        <v>131</v>
      </c>
      <c r="DQ53" s="55" t="str">
        <f aca="false">INDEX($BD$6:$BD$53,MATCH(DP53,$BM$6:$BM$53,0))</f>
        <v>Panamá</v>
      </c>
      <c r="DR53" s="55"/>
      <c r="DS53" s="55"/>
      <c r="DT53" s="55" t="str">
        <f aca="false">AA53&amp;"-"&amp;AF53</f>
        <v>Irán-Nueva Zelanda</v>
      </c>
      <c r="DU53" s="55"/>
      <c r="DV53" s="55"/>
      <c r="DW53" s="57"/>
    </row>
    <row r="54" customFormat="false" ht="15" hidden="false" customHeight="false" outlineLevel="0" collapsed="false">
      <c r="A54" s="92" t="str">
        <f aca="false">+Equipos!B27</f>
        <v>Egipto</v>
      </c>
      <c r="B54" s="72"/>
      <c r="C54" s="103"/>
      <c r="D54" s="55" t="str">
        <f aca="false">IF(OR(AC54="",AD54=""),"Pendiente",IF(AC54&gt;AD54,"Local",IF(AC54&lt;AD54,"Visitante","Empate")))</f>
        <v>Pendiente</v>
      </c>
      <c r="E54" s="55" t="str">
        <f aca="false">IF(D54="Pendiente","-",INDEX($BT$6:$BT$53,MATCH($AA54,$BD$6:$BD$53,0)))</f>
        <v>-</v>
      </c>
      <c r="F54" s="55" t="str">
        <f aca="false">IF(D54="Pendiente","-",INDEX($BT$6:$BT$53,MATCH($AF54,$BD$6:$BD$53,0)))</f>
        <v>-</v>
      </c>
      <c r="G54" s="55"/>
      <c r="H54" s="55" t="str">
        <f aca="false">IF(D54="Pendiente","-",INDEX($BZ$6:$BZ$53,MATCH($AA54,$BD$6:$BD$53,0)))</f>
        <v>-</v>
      </c>
      <c r="I54" s="55" t="str">
        <f aca="false">IF(D54="Pendiente","-",INDEX($BZ$6:$BZ$53,MATCH($AF54,$BD$6:$BD$53,0)))</f>
        <v>-</v>
      </c>
      <c r="J54" s="55"/>
      <c r="K54" s="55" t="str">
        <f aca="false">IF(D54="Pendiente","-",INDEX($CE$6:$CE$53,MATCH($AA54,$BD$6:$BD$53,0)))</f>
        <v>-</v>
      </c>
      <c r="L54" s="55" t="str">
        <f aca="false">IF(D54="Pendiente","-",INDEX($CE$6:$CE$53,MATCH($AF54,$BD$6:$BD$53,0)))</f>
        <v>-</v>
      </c>
      <c r="M54" s="55"/>
      <c r="N54" s="55" t="str">
        <f aca="false">IF(D54="Pendiente","-",INDEX($CH$6:$CH$53,MATCH($AA54,$BD$6:$BD$53,0)))</f>
        <v>-</v>
      </c>
      <c r="O54" s="55" t="str">
        <f aca="false">IF(D54="Pendiente","-",INDEX($CH$6:$CH$53,MATCH($AF54,$BD$6:$BD$53,0)))</f>
        <v>-</v>
      </c>
      <c r="P54" s="55"/>
      <c r="Q54" s="55" t="str">
        <f aca="false">IF(D54="Pendiente","-",INDEX($CN$6:$CN$53,MATCH($AA54,$BD$6:$BD$53,0)))</f>
        <v>-</v>
      </c>
      <c r="R54" s="55" t="str">
        <f aca="false">IF(D54="Pendiente","-",INDEX($CN$6:$CN$53,MATCH($AF54,$BD$6:$BD$53,0)))</f>
        <v>-</v>
      </c>
      <c r="S54" s="55"/>
      <c r="T54" s="55" t="str">
        <f aca="false">IF(D54="Pendiente","-",INDEX($CS$6:$CS$53,MATCH($AA54,$BD$6:$BD$53,0)))</f>
        <v>-</v>
      </c>
      <c r="U54" s="55" t="str">
        <f aca="false">IF(D54="Pendiente","-",INDEX($CS$6:$CS$53,MATCH($AF54,$BD$6:$BD$53,0)))</f>
        <v>-</v>
      </c>
      <c r="V54" s="46"/>
      <c r="W54" s="190"/>
      <c r="X54" s="74" t="n">
        <f aca="false">Horarios!C54</f>
        <v>46194.875</v>
      </c>
      <c r="Y54" s="75" t="n">
        <f aca="false">Horarios!C54</f>
        <v>46194.875</v>
      </c>
      <c r="Z54" s="76" t="str">
        <f aca="false">$Z$6</f>
        <v>J2</v>
      </c>
      <c r="AA54" s="77" t="str">
        <f aca="false">A53</f>
        <v>Bélgica</v>
      </c>
      <c r="AB54" s="165" t="str">
        <f aca="true" t="array" ref="AB54:AB54">Ver_flag_local</f>
        <v/>
      </c>
      <c r="AC54" s="79"/>
      <c r="AD54" s="80"/>
      <c r="AE54" s="81" t="str">
        <f aca="true" t="array" ref="AE54:AE54">Ver_flag_visit</f>
        <v/>
      </c>
      <c r="AF54" s="82" t="str">
        <f aca="false">A55</f>
        <v>Irán</v>
      </c>
      <c r="AG54" s="83" t="n">
        <f aca="false">IF(NOT(OR(ISBLANK(AC54),ISBLANK(AD54))),1,0)</f>
        <v>0</v>
      </c>
      <c r="AH54" s="84" t="n">
        <v>39</v>
      </c>
      <c r="AI54" s="85" t="str">
        <f aca="false">AJ54&amp;$B$52</f>
        <v>1G</v>
      </c>
      <c r="AJ54" s="104" t="n">
        <v>1</v>
      </c>
      <c r="AK54" s="170" t="str">
        <f aca="true" t="array" ref="AK54:AK54">Ver_flag_visit</f>
        <v/>
      </c>
      <c r="AL54" s="106" t="str">
        <f aca="false">IFERROR(INDEX($BD$6:$BD$53,MATCH(AI54,$BN$6:$BN$53,0)),"")</f>
        <v>Irán</v>
      </c>
      <c r="AM54" s="107" t="n">
        <f aca="false">INDEX($BE$6:$BN$53,MATCH($AL54,$BD$6:$BD$53,0),MATCH(AM$5,$BE$5:$BN$5,0))</f>
        <v>1</v>
      </c>
      <c r="AN54" s="108" t="n">
        <f aca="false">INDEX($BE$6:$BN$53,MATCH($AL54,$BD$6:$BD$53,0),MATCH(AN$5,$BE$5:$BN$5,0))</f>
        <v>1</v>
      </c>
      <c r="AO54" s="108" t="n">
        <f aca="false">INDEX($BE$6:$BN$53,MATCH($AL54,$BD$6:$BD$53,0),MATCH(AO$5,$BE$5:$BN$5,0))</f>
        <v>0</v>
      </c>
      <c r="AP54" s="108" t="n">
        <f aca="false">INDEX($BE$6:$BN$53,MATCH($AL54,$BD$6:$BD$53,0),MATCH(AP$5,$BE$5:$BN$5,0))</f>
        <v>1</v>
      </c>
      <c r="AQ54" s="108" t="n">
        <f aca="false">INDEX($BE$6:$BN$53,MATCH($AL54,$BD$6:$BD$53,0),MATCH(AQ$5,$BE$5:$BN$5,0))</f>
        <v>0</v>
      </c>
      <c r="AR54" s="108" t="n">
        <f aca="false">INDEX($BE$6:$BN$53,MATCH($AL54,$BD$6:$BD$53,0),MATCH(AR$5,$BE$5:$BN$5,0))</f>
        <v>2</v>
      </c>
      <c r="AS54" s="108" t="n">
        <f aca="false">INDEX($BE$6:$BN$53,MATCH($AL54,$BD$6:$BD$53,0),MATCH(AS$5,$BE$5:$BN$5,0))</f>
        <v>2</v>
      </c>
      <c r="AT54" s="109" t="n">
        <f aca="false">INDEX($BE$6:$BN$53,MATCH($AL54,$BD$6:$BD$53,0),MATCH(AT$5,$BE$5:$BN$5,0))</f>
        <v>0</v>
      </c>
      <c r="AU54" s="110" t="n">
        <f aca="false">INDEX($DL$6:$DL$53,MATCH(AI54,$DP$6:$DP$53,0))</f>
        <v>1</v>
      </c>
      <c r="AV54" s="111" t="str">
        <f aca="false">INDEX($BD$6:$BD$53,MATCH(AI54,$BM$6:$BM$53,0))</f>
        <v>Irán</v>
      </c>
      <c r="AW54" s="112"/>
      <c r="AX54" s="113"/>
      <c r="AY54" s="114" t="str">
        <f aca="false">+A53</f>
        <v>Bélgica</v>
      </c>
      <c r="AZ54" s="115"/>
      <c r="BA54" s="49"/>
      <c r="BB54" s="55"/>
      <c r="BC54" s="55"/>
      <c r="BD54" s="55"/>
      <c r="BE54" s="55"/>
      <c r="BF54" s="55"/>
      <c r="BG54" s="55"/>
      <c r="BH54" s="55"/>
      <c r="BI54" s="55"/>
      <c r="BJ54" s="55"/>
      <c r="BK54" s="55"/>
      <c r="BL54" s="55"/>
      <c r="BM54" s="55"/>
      <c r="BN54" s="91"/>
      <c r="BO54" s="91"/>
      <c r="BP54" s="91"/>
      <c r="BQ54" s="91"/>
      <c r="BR54" s="55"/>
      <c r="BS54" s="55"/>
      <c r="BT54" s="91"/>
      <c r="BU54" s="91"/>
      <c r="BV54" s="91"/>
      <c r="BW54" s="91"/>
      <c r="BX54" s="91"/>
      <c r="BY54" s="91"/>
      <c r="BZ54" s="91"/>
      <c r="CA54" s="91"/>
      <c r="CB54" s="91"/>
      <c r="CC54" s="91"/>
      <c r="CD54" s="91"/>
      <c r="CE54" s="91"/>
      <c r="CF54" s="91"/>
      <c r="CG54" s="91"/>
      <c r="CH54" s="91"/>
      <c r="CI54" s="91"/>
      <c r="CJ54" s="91"/>
      <c r="CK54" s="91"/>
      <c r="CL54" s="91"/>
      <c r="CM54" s="91"/>
      <c r="CN54" s="91"/>
      <c r="CO54" s="91"/>
      <c r="CP54" s="91"/>
      <c r="CQ54" s="91"/>
      <c r="CR54" s="91"/>
      <c r="CS54" s="91"/>
      <c r="CT54" s="91"/>
      <c r="CU54" s="91"/>
      <c r="CV54" s="91"/>
      <c r="CW54" s="55"/>
      <c r="CX54" s="91"/>
      <c r="CY54" s="55"/>
      <c r="CZ54" s="55"/>
      <c r="DA54" s="55"/>
      <c r="DB54" s="55"/>
      <c r="DC54" s="55"/>
      <c r="DD54" s="55"/>
      <c r="DE54" s="55"/>
      <c r="DF54" s="55"/>
      <c r="DG54" s="55"/>
      <c r="DH54" s="55"/>
      <c r="DI54" s="55"/>
      <c r="DJ54" s="55"/>
      <c r="DK54" s="55"/>
      <c r="DL54" s="55"/>
      <c r="DM54" s="55"/>
      <c r="DN54" s="55"/>
      <c r="DO54" s="55"/>
      <c r="DP54" s="55"/>
      <c r="DQ54" s="55"/>
      <c r="DR54" s="55"/>
      <c r="DS54" s="55"/>
      <c r="DT54" s="55" t="str">
        <f aca="false">AA54&amp;"-"&amp;AF54</f>
        <v>Bélgica-Irán</v>
      </c>
      <c r="DU54" s="55"/>
      <c r="DV54" s="55"/>
      <c r="DW54" s="57"/>
    </row>
    <row r="55" customFormat="false" ht="15" hidden="false" customHeight="false" outlineLevel="0" collapsed="false">
      <c r="A55" s="92" t="str">
        <f aca="false">+Equipos!B28</f>
        <v>Irán</v>
      </c>
      <c r="B55" s="72"/>
      <c r="C55" s="55"/>
      <c r="D55" s="55" t="str">
        <f aca="false">IF(OR(AC55="",AD55=""),"Pendiente",IF(AC55&gt;AD55,"Local",IF(AC55&lt;AD55,"Visitante","Empate")))</f>
        <v>Pendiente</v>
      </c>
      <c r="E55" s="55" t="str">
        <f aca="false">IF(D55="Pendiente","-",INDEX($BT$6:$BT$53,MATCH($AA55,$BD$6:$BD$53,0)))</f>
        <v>-</v>
      </c>
      <c r="F55" s="55" t="str">
        <f aca="false">IF(D55="Pendiente","-",INDEX($BT$6:$BT$53,MATCH($AF55,$BD$6:$BD$53,0)))</f>
        <v>-</v>
      </c>
      <c r="G55" s="55"/>
      <c r="H55" s="55" t="str">
        <f aca="false">IF(D55="Pendiente","-",INDEX($BZ$6:$BZ$53,MATCH($AA55,$BD$6:$BD$53,0)))</f>
        <v>-</v>
      </c>
      <c r="I55" s="55" t="str">
        <f aca="false">IF(D55="Pendiente","-",INDEX($BZ$6:$BZ$53,MATCH($AF55,$BD$6:$BD$53,0)))</f>
        <v>-</v>
      </c>
      <c r="J55" s="55"/>
      <c r="K55" s="55" t="str">
        <f aca="false">IF(D55="Pendiente","-",INDEX($CE$6:$CE$53,MATCH($AA55,$BD$6:$BD$53,0)))</f>
        <v>-</v>
      </c>
      <c r="L55" s="55" t="str">
        <f aca="false">IF(D55="Pendiente","-",INDEX($CE$6:$CE$53,MATCH($AF55,$BD$6:$BD$53,0)))</f>
        <v>-</v>
      </c>
      <c r="M55" s="55"/>
      <c r="N55" s="55" t="str">
        <f aca="false">IF(D55="Pendiente","-",INDEX($CH$6:$CH$53,MATCH($AA55,$BD$6:$BD$53,0)))</f>
        <v>-</v>
      </c>
      <c r="O55" s="55" t="str">
        <f aca="false">IF(D55="Pendiente","-",INDEX($CH$6:$CH$53,MATCH($AF55,$BD$6:$BD$53,0)))</f>
        <v>-</v>
      </c>
      <c r="P55" s="55"/>
      <c r="Q55" s="55" t="str">
        <f aca="false">IF(D55="Pendiente","-",INDEX($CN$6:$CN$53,MATCH($AA55,$BD$6:$BD$53,0)))</f>
        <v>-</v>
      </c>
      <c r="R55" s="55" t="str">
        <f aca="false">IF(D55="Pendiente","-",INDEX($CN$6:$CN$53,MATCH($AF55,$BD$6:$BD$53,0)))</f>
        <v>-</v>
      </c>
      <c r="S55" s="55"/>
      <c r="T55" s="55" t="str">
        <f aca="false">IF(D55="Pendiente","-",INDEX($CS$6:$CS$53,MATCH($AA55,$BD$6:$BD$53,0)))</f>
        <v>-</v>
      </c>
      <c r="U55" s="55" t="str">
        <f aca="false">IF(D55="Pendiente","-",INDEX($CS$6:$CS$53,MATCH($AF55,$BD$6:$BD$53,0)))</f>
        <v>-</v>
      </c>
      <c r="V55" s="46"/>
      <c r="W55" s="190"/>
      <c r="X55" s="74" t="n">
        <f aca="false">Horarios!C55</f>
        <v>46195.125</v>
      </c>
      <c r="Y55" s="75" t="n">
        <f aca="false">Horarios!C55</f>
        <v>46195.125</v>
      </c>
      <c r="Z55" s="76" t="str">
        <f aca="false">$Z$6</f>
        <v>J2</v>
      </c>
      <c r="AA55" s="77" t="str">
        <f aca="false">A56</f>
        <v>Nueva Zelanda</v>
      </c>
      <c r="AB55" s="165" t="str">
        <f aca="true" t="array" ref="AB55:AB55">Ver_flag_local</f>
        <v/>
      </c>
      <c r="AC55" s="79"/>
      <c r="AD55" s="80"/>
      <c r="AE55" s="81" t="str">
        <f aca="true" t="array" ref="AE55:AE55">Ver_flag_visit</f>
        <v/>
      </c>
      <c r="AF55" s="82" t="str">
        <f aca="false">A54</f>
        <v>Egipto</v>
      </c>
      <c r="AG55" s="83" t="n">
        <f aca="false">IF(NOT(OR(ISBLANK(AC55),ISBLANK(AD55))),1,0)</f>
        <v>0</v>
      </c>
      <c r="AH55" s="84" t="n">
        <v>40</v>
      </c>
      <c r="AI55" s="85" t="str">
        <f aca="false">AJ55&amp;$B$52</f>
        <v>2G</v>
      </c>
      <c r="AJ55" s="121" t="n">
        <v>2</v>
      </c>
      <c r="AK55" s="173" t="str">
        <f aca="true" t="array" ref="AK55:AK55">Ver_flag_visit</f>
        <v/>
      </c>
      <c r="AL55" s="123" t="str">
        <f aca="false">IFERROR(INDEX($BD$6:$BD$53,MATCH(AI55,$BN$6:$BN$53,0)),"")</f>
        <v>Nueva Zelanda</v>
      </c>
      <c r="AM55" s="124" t="n">
        <f aca="false">INDEX($BE$6:$BN$53,MATCH($AL55,$BD$6:$BD$53,0),MATCH(AM$5,$BE$5:$BN$5,0))</f>
        <v>1</v>
      </c>
      <c r="AN55" s="125" t="n">
        <f aca="false">INDEX($BE$6:$BN$53,MATCH($AL55,$BD$6:$BD$53,0),MATCH(AN$5,$BE$5:$BN$5,0))</f>
        <v>1</v>
      </c>
      <c r="AO55" s="125" t="n">
        <f aca="false">INDEX($BE$6:$BN$53,MATCH($AL55,$BD$6:$BD$53,0),MATCH(AO$5,$BE$5:$BN$5,0))</f>
        <v>0</v>
      </c>
      <c r="AP55" s="125" t="n">
        <f aca="false">INDEX($BE$6:$BN$53,MATCH($AL55,$BD$6:$BD$53,0),MATCH(AP$5,$BE$5:$BN$5,0))</f>
        <v>1</v>
      </c>
      <c r="AQ55" s="125" t="n">
        <f aca="false">INDEX($BE$6:$BN$53,MATCH($AL55,$BD$6:$BD$53,0),MATCH(AQ$5,$BE$5:$BN$5,0))</f>
        <v>0</v>
      </c>
      <c r="AR55" s="125" t="n">
        <f aca="false">INDEX($BE$6:$BN$53,MATCH($AL55,$BD$6:$BD$53,0),MATCH(AR$5,$BE$5:$BN$5,0))</f>
        <v>2</v>
      </c>
      <c r="AS55" s="125" t="n">
        <f aca="false">INDEX($BE$6:$BN$53,MATCH($AL55,$BD$6:$BD$53,0),MATCH(AS$5,$BE$5:$BN$5,0))</f>
        <v>2</v>
      </c>
      <c r="AT55" s="126" t="n">
        <f aca="false">INDEX($BE$6:$BN$53,MATCH($AL55,$BD$6:$BD$53,0),MATCH(AT$5,$BE$5:$BN$5,0))</f>
        <v>0</v>
      </c>
      <c r="AU55" s="110" t="n">
        <f aca="false">INDEX($DL$6:$DL$53,MATCH(AI55,$DP$6:$DP$53,0))</f>
        <v>1</v>
      </c>
      <c r="AV55" s="111" t="str">
        <f aca="false">INDEX($BD$6:$BD$53,MATCH(AI55,$BM$6:$BM$53,0))</f>
        <v>Nueva Zelanda</v>
      </c>
      <c r="AW55" s="112"/>
      <c r="AX55" s="113"/>
      <c r="AY55" s="127" t="str">
        <f aca="false">+A54</f>
        <v>Egipto</v>
      </c>
      <c r="AZ55" s="128"/>
      <c r="BA55" s="49"/>
      <c r="BB55" s="55"/>
      <c r="BC55" s="55"/>
      <c r="BD55" s="55"/>
      <c r="BE55" s="55"/>
      <c r="BF55" s="55"/>
      <c r="BG55" s="55"/>
      <c r="BH55" s="55"/>
      <c r="BI55" s="55"/>
      <c r="BJ55" s="55"/>
      <c r="BK55" s="55"/>
      <c r="BL55" s="55"/>
      <c r="BM55" s="55"/>
      <c r="BN55" s="91"/>
      <c r="BO55" s="91"/>
      <c r="BP55" s="91"/>
      <c r="BQ55" s="91"/>
      <c r="BR55" s="55"/>
      <c r="BS55" s="55"/>
      <c r="BT55" s="91"/>
      <c r="BU55" s="91"/>
      <c r="BV55" s="91"/>
      <c r="BW55" s="91"/>
      <c r="BX55" s="91"/>
      <c r="BY55" s="91"/>
      <c r="BZ55" s="91"/>
      <c r="CA55" s="91"/>
      <c r="CB55" s="91"/>
      <c r="CC55" s="91"/>
      <c r="CD55" s="91"/>
      <c r="CE55" s="91"/>
      <c r="CF55" s="91"/>
      <c r="CG55" s="91"/>
      <c r="CH55" s="91"/>
      <c r="CI55" s="91"/>
      <c r="CJ55" s="91"/>
      <c r="CK55" s="91"/>
      <c r="CL55" s="91"/>
      <c r="CM55" s="91"/>
      <c r="CN55" s="91"/>
      <c r="CO55" s="91"/>
      <c r="CP55" s="91"/>
      <c r="CQ55" s="91"/>
      <c r="CR55" s="91"/>
      <c r="CS55" s="91"/>
      <c r="CT55" s="91"/>
      <c r="CU55" s="91"/>
      <c r="CV55" s="91"/>
      <c r="CW55" s="55"/>
      <c r="CX55" s="91"/>
      <c r="CY55" s="55"/>
      <c r="CZ55" s="55"/>
      <c r="DA55" s="55"/>
      <c r="DB55" s="55"/>
      <c r="DC55" s="55"/>
      <c r="DD55" s="55"/>
      <c r="DE55" s="55"/>
      <c r="DF55" s="55"/>
      <c r="DG55" s="55"/>
      <c r="DH55" s="55"/>
      <c r="DI55" s="55"/>
      <c r="DJ55" s="55"/>
      <c r="DK55" s="55"/>
      <c r="DL55" s="55"/>
      <c r="DM55" s="55"/>
      <c r="DN55" s="55"/>
      <c r="DO55" s="55"/>
      <c r="DP55" s="55"/>
      <c r="DQ55" s="55"/>
      <c r="DR55" s="55"/>
      <c r="DS55" s="55"/>
      <c r="DT55" s="55" t="str">
        <f aca="false">AA55&amp;"-"&amp;AF55</f>
        <v>Nueva Zelanda-Egipto</v>
      </c>
      <c r="DU55" s="55"/>
      <c r="DV55" s="55"/>
      <c r="DW55" s="57"/>
    </row>
    <row r="56" customFormat="false" ht="15" hidden="false" customHeight="false" outlineLevel="0" collapsed="false">
      <c r="A56" s="92" t="str">
        <f aca="false">+Equipos!B29</f>
        <v>Nueva Zelanda</v>
      </c>
      <c r="B56" s="72"/>
      <c r="C56" s="55"/>
      <c r="D56" s="55" t="str">
        <f aca="false">IF(OR(AC56="",AD56=""),"Pendiente",IF(AC56&gt;AD56,"Local",IF(AC56&lt;AD56,"Visitante","Empate")))</f>
        <v>Pendiente</v>
      </c>
      <c r="E56" s="55" t="str">
        <f aca="false">IF(D56="Pendiente","-",INDEX($BT$6:$BT$53,MATCH($AA56,$BD$6:$BD$53,0)))</f>
        <v>-</v>
      </c>
      <c r="F56" s="55" t="str">
        <f aca="false">IF(D56="Pendiente","-",INDEX($BT$6:$BT$53,MATCH($AF56,$BD$6:$BD$53,0)))</f>
        <v>-</v>
      </c>
      <c r="G56" s="55"/>
      <c r="H56" s="55" t="str">
        <f aca="false">IF(D56="Pendiente","-",INDEX($BZ$6:$BZ$53,MATCH($AA56,$BD$6:$BD$53,0)))</f>
        <v>-</v>
      </c>
      <c r="I56" s="55" t="str">
        <f aca="false">IF(D56="Pendiente","-",INDEX($BZ$6:$BZ$53,MATCH($AF56,$BD$6:$BD$53,0)))</f>
        <v>-</v>
      </c>
      <c r="J56" s="55"/>
      <c r="K56" s="55" t="str">
        <f aca="false">IF(D56="Pendiente","-",INDEX($CE$6:$CE$53,MATCH($AA56,$BD$6:$BD$53,0)))</f>
        <v>-</v>
      </c>
      <c r="L56" s="55" t="str">
        <f aca="false">IF(D56="Pendiente","-",INDEX($CE$6:$CE$53,MATCH($AF56,$BD$6:$BD$53,0)))</f>
        <v>-</v>
      </c>
      <c r="M56" s="55"/>
      <c r="N56" s="55" t="str">
        <f aca="false">IF(D56="Pendiente","-",INDEX($CH$6:$CH$53,MATCH($AA56,$BD$6:$BD$53,0)))</f>
        <v>-</v>
      </c>
      <c r="O56" s="55" t="str">
        <f aca="false">IF(D56="Pendiente","-",INDEX($CH$6:$CH$53,MATCH($AF56,$BD$6:$BD$53,0)))</f>
        <v>-</v>
      </c>
      <c r="P56" s="55"/>
      <c r="Q56" s="55" t="str">
        <f aca="false">IF(D56="Pendiente","-",INDEX($CN$6:$CN$53,MATCH($AA56,$BD$6:$BD$53,0)))</f>
        <v>-</v>
      </c>
      <c r="R56" s="55" t="str">
        <f aca="false">IF(D56="Pendiente","-",INDEX($CN$6:$CN$53,MATCH($AF56,$BD$6:$BD$53,0)))</f>
        <v>-</v>
      </c>
      <c r="S56" s="55"/>
      <c r="T56" s="55" t="str">
        <f aca="false">IF(D56="Pendiente","-",INDEX($CS$6:$CS$53,MATCH($AA56,$BD$6:$BD$53,0)))</f>
        <v>-</v>
      </c>
      <c r="U56" s="55" t="str">
        <f aca="false">IF(D56="Pendiente","-",INDEX($CS$6:$CS$53,MATCH($AF56,$BD$6:$BD$53,0)))</f>
        <v>-</v>
      </c>
      <c r="V56" s="46"/>
      <c r="W56" s="190"/>
      <c r="X56" s="74" t="n">
        <f aca="false">Horarios!C56</f>
        <v>46200.2083333333</v>
      </c>
      <c r="Y56" s="75" t="n">
        <f aca="false">Horarios!C56</f>
        <v>46200.2083333333</v>
      </c>
      <c r="Z56" s="76" t="str">
        <f aca="false">$Z$8</f>
        <v>J3</v>
      </c>
      <c r="AA56" s="77" t="str">
        <f aca="false">A54</f>
        <v>Egipto</v>
      </c>
      <c r="AB56" s="165" t="str">
        <f aca="true" t="array" ref="AB56:AB56">Ver_flag_local</f>
        <v/>
      </c>
      <c r="AC56" s="79"/>
      <c r="AD56" s="80"/>
      <c r="AE56" s="81" t="str">
        <f aca="true" t="array" ref="AE56:AE56">Ver_flag_visit</f>
        <v/>
      </c>
      <c r="AF56" s="82" t="str">
        <f aca="false">A55</f>
        <v>Irán</v>
      </c>
      <c r="AG56" s="83" t="n">
        <f aca="false">IF(NOT(OR(ISBLANK(AC56),ISBLANK(AD56))),1,0)</f>
        <v>0</v>
      </c>
      <c r="AH56" s="84" t="n">
        <v>63</v>
      </c>
      <c r="AI56" s="85" t="str">
        <f aca="false">AJ56&amp;$B$52</f>
        <v>3G</v>
      </c>
      <c r="AJ56" s="121" t="n">
        <v>3</v>
      </c>
      <c r="AK56" s="173" t="str">
        <f aca="true" t="array" ref="AK56:AK56">Ver_flag_visit</f>
        <v/>
      </c>
      <c r="AL56" s="123" t="str">
        <f aca="false">IFERROR(INDEX($BD$6:$BD$53,MATCH(AI56,$BN$6:$BN$53,0)),"")</f>
        <v>Bélgica</v>
      </c>
      <c r="AM56" s="124" t="n">
        <f aca="false">INDEX($BE$6:$BN$53,MATCH($AL56,$BD$6:$BD$53,0),MATCH(AM$5,$BE$5:$BN$5,0))</f>
        <v>1</v>
      </c>
      <c r="AN56" s="125" t="n">
        <f aca="false">INDEX($BE$6:$BN$53,MATCH($AL56,$BD$6:$BD$53,0),MATCH(AN$5,$BE$5:$BN$5,0))</f>
        <v>1</v>
      </c>
      <c r="AO56" s="125" t="n">
        <f aca="false">INDEX($BE$6:$BN$53,MATCH($AL56,$BD$6:$BD$53,0),MATCH(AO$5,$BE$5:$BN$5,0))</f>
        <v>0</v>
      </c>
      <c r="AP56" s="125" t="n">
        <f aca="false">INDEX($BE$6:$BN$53,MATCH($AL56,$BD$6:$BD$53,0),MATCH(AP$5,$BE$5:$BN$5,0))</f>
        <v>1</v>
      </c>
      <c r="AQ56" s="125" t="n">
        <f aca="false">INDEX($BE$6:$BN$53,MATCH($AL56,$BD$6:$BD$53,0),MATCH(AQ$5,$BE$5:$BN$5,0))</f>
        <v>0</v>
      </c>
      <c r="AR56" s="125" t="n">
        <f aca="false">INDEX($BE$6:$BN$53,MATCH($AL56,$BD$6:$BD$53,0),MATCH(AR$5,$BE$5:$BN$5,0))</f>
        <v>1</v>
      </c>
      <c r="AS56" s="125" t="n">
        <f aca="false">INDEX($BE$6:$BN$53,MATCH($AL56,$BD$6:$BD$53,0),MATCH(AS$5,$BE$5:$BN$5,0))</f>
        <v>1</v>
      </c>
      <c r="AT56" s="126" t="n">
        <f aca="false">INDEX($BE$6:$BN$53,MATCH($AL56,$BD$6:$BD$53,0),MATCH(AT$5,$BE$5:$BN$5,0))</f>
        <v>0</v>
      </c>
      <c r="AU56" s="110" t="n">
        <f aca="false">INDEX($DL$6:$DL$53,MATCH(AI56,$DP$6:$DP$53,0))</f>
        <v>1</v>
      </c>
      <c r="AV56" s="111" t="str">
        <f aca="false">INDEX($BD$6:$BD$53,MATCH(AI56,$BM$6:$BM$53,0))</f>
        <v>Bélgica</v>
      </c>
      <c r="AW56" s="112"/>
      <c r="AX56" s="113"/>
      <c r="AY56" s="114" t="str">
        <f aca="false">+A55</f>
        <v>Irán</v>
      </c>
      <c r="AZ56" s="115"/>
      <c r="BA56" s="49"/>
      <c r="BB56" s="55"/>
      <c r="BC56" s="55"/>
      <c r="BD56" s="55"/>
      <c r="BE56" s="55"/>
      <c r="BF56" s="55"/>
      <c r="BG56" s="55"/>
      <c r="BH56" s="55"/>
      <c r="BI56" s="55"/>
      <c r="BJ56" s="55"/>
      <c r="BK56" s="55"/>
      <c r="BL56" s="55"/>
      <c r="BM56" s="55"/>
      <c r="BN56" s="91"/>
      <c r="BO56" s="91"/>
      <c r="BP56" s="91"/>
      <c r="BQ56" s="91"/>
      <c r="BR56" s="55"/>
      <c r="BS56" s="55"/>
      <c r="BT56" s="91"/>
      <c r="BU56" s="91"/>
      <c r="BV56" s="91"/>
      <c r="BW56" s="91"/>
      <c r="BX56" s="91"/>
      <c r="BY56" s="91"/>
      <c r="BZ56" s="91"/>
      <c r="CA56" s="91"/>
      <c r="CB56" s="91"/>
      <c r="CC56" s="91"/>
      <c r="CD56" s="91"/>
      <c r="CE56" s="91"/>
      <c r="CF56" s="91"/>
      <c r="CG56" s="91"/>
      <c r="CH56" s="91"/>
      <c r="CI56" s="91"/>
      <c r="CJ56" s="91"/>
      <c r="CK56" s="91"/>
      <c r="CL56" s="91"/>
      <c r="CM56" s="91"/>
      <c r="CN56" s="91"/>
      <c r="CO56" s="91"/>
      <c r="CP56" s="91"/>
      <c r="CQ56" s="91"/>
      <c r="CR56" s="91"/>
      <c r="CS56" s="91"/>
      <c r="CT56" s="91"/>
      <c r="CU56" s="91"/>
      <c r="CV56" s="91"/>
      <c r="CW56" s="55"/>
      <c r="CX56" s="91"/>
      <c r="CY56" s="55"/>
      <c r="CZ56" s="55"/>
      <c r="DA56" s="55"/>
      <c r="DB56" s="55"/>
      <c r="DC56" s="55"/>
      <c r="DD56" s="55"/>
      <c r="DE56" s="55"/>
      <c r="DF56" s="55"/>
      <c r="DG56" s="55"/>
      <c r="DH56" s="55"/>
      <c r="DI56" s="55"/>
      <c r="DJ56" s="55"/>
      <c r="DK56" s="55"/>
      <c r="DL56" s="55"/>
      <c r="DM56" s="55"/>
      <c r="DN56" s="55"/>
      <c r="DO56" s="55"/>
      <c r="DP56" s="55"/>
      <c r="DQ56" s="55"/>
      <c r="DR56" s="55"/>
      <c r="DS56" s="55"/>
      <c r="DT56" s="55" t="str">
        <f aca="false">AA56&amp;"-"&amp;AF56</f>
        <v>Egipto-Irán</v>
      </c>
      <c r="DU56" s="55"/>
      <c r="DV56" s="55"/>
      <c r="DW56" s="57"/>
    </row>
    <row r="57" customFormat="false" ht="15" hidden="false" customHeight="false" outlineLevel="0" collapsed="false">
      <c r="A57" s="39"/>
      <c r="B57" s="72"/>
      <c r="C57" s="39"/>
      <c r="D57" s="55" t="str">
        <f aca="false">IF(OR(AC57="",AD57=""),"Pendiente",IF(AC57&gt;AD57,"Local",IF(AC57&lt;AD57,"Visitante","Empate")))</f>
        <v>Pendiente</v>
      </c>
      <c r="E57" s="55" t="str">
        <f aca="false">IF(D57="Pendiente","-",INDEX($BT$6:$BT$53,MATCH($AA57,$BD$6:$BD$53,0)))</f>
        <v>-</v>
      </c>
      <c r="F57" s="55" t="str">
        <f aca="false">IF(D57="Pendiente","-",INDEX($BT$6:$BT$53,MATCH($AF57,$BD$6:$BD$53,0)))</f>
        <v>-</v>
      </c>
      <c r="G57" s="55"/>
      <c r="H57" s="55" t="str">
        <f aca="false">IF(D57="Pendiente","-",INDEX($BZ$6:$BZ$53,MATCH($AA57,$BD$6:$BD$53,0)))</f>
        <v>-</v>
      </c>
      <c r="I57" s="55" t="str">
        <f aca="false">IF(D57="Pendiente","-",INDEX($BZ$6:$BZ$53,MATCH($AF57,$BD$6:$BD$53,0)))</f>
        <v>-</v>
      </c>
      <c r="J57" s="55"/>
      <c r="K57" s="55" t="str">
        <f aca="false">IF(D57="Pendiente","-",INDEX($CE$6:$CE$53,MATCH($AA57,$BD$6:$BD$53,0)))</f>
        <v>-</v>
      </c>
      <c r="L57" s="55" t="str">
        <f aca="false">IF(D57="Pendiente","-",INDEX($CE$6:$CE$53,MATCH($AF57,$BD$6:$BD$53,0)))</f>
        <v>-</v>
      </c>
      <c r="M57" s="55"/>
      <c r="N57" s="55" t="str">
        <f aca="false">IF(D57="Pendiente","-",INDEX($CH$6:$CH$53,MATCH($AA57,$BD$6:$BD$53,0)))</f>
        <v>-</v>
      </c>
      <c r="O57" s="55" t="str">
        <f aca="false">IF(D57="Pendiente","-",INDEX($CH$6:$CH$53,MATCH($AF57,$BD$6:$BD$53,0)))</f>
        <v>-</v>
      </c>
      <c r="P57" s="55"/>
      <c r="Q57" s="55" t="str">
        <f aca="false">IF(D57="Pendiente","-",INDEX($CN$6:$CN$53,MATCH($AA57,$BD$6:$BD$53,0)))</f>
        <v>-</v>
      </c>
      <c r="R57" s="55" t="str">
        <f aca="false">IF(D57="Pendiente","-",INDEX($CN$6:$CN$53,MATCH($AF57,$BD$6:$BD$53,0)))</f>
        <v>-</v>
      </c>
      <c r="S57" s="55"/>
      <c r="T57" s="55" t="str">
        <f aca="false">IF(D57="Pendiente","-",INDEX($CS$6:$CS$53,MATCH($AA57,$BD$6:$BD$53,0)))</f>
        <v>-</v>
      </c>
      <c r="U57" s="55" t="str">
        <f aca="false">IF(D57="Pendiente","-",INDEX($CS$6:$CS$53,MATCH($AF57,$BD$6:$BD$53,0)))</f>
        <v>-</v>
      </c>
      <c r="V57" s="46"/>
      <c r="W57" s="190"/>
      <c r="X57" s="129" t="n">
        <f aca="false">Horarios!C57</f>
        <v>46200.2083333333</v>
      </c>
      <c r="Y57" s="130" t="n">
        <f aca="false">Horarios!C57</f>
        <v>46200.2083333333</v>
      </c>
      <c r="Z57" s="131" t="str">
        <f aca="false">$Z$8</f>
        <v>J3</v>
      </c>
      <c r="AA57" s="132" t="str">
        <f aca="false">A56</f>
        <v>Nueva Zelanda</v>
      </c>
      <c r="AB57" s="175" t="str">
        <f aca="true" t="array" ref="AB57:AB57">Ver_flag_local</f>
        <v/>
      </c>
      <c r="AC57" s="134"/>
      <c r="AD57" s="135"/>
      <c r="AE57" s="136" t="str">
        <f aca="true" t="array" ref="AE57:AE57">Ver_flag_visit</f>
        <v/>
      </c>
      <c r="AF57" s="137" t="str">
        <f aca="false">A53</f>
        <v>Bélgica</v>
      </c>
      <c r="AG57" s="83" t="n">
        <f aca="false">IF(NOT(OR(ISBLANK(AC57),ISBLANK(AD57))),1,0)</f>
        <v>0</v>
      </c>
      <c r="AH57" s="84" t="n">
        <v>64</v>
      </c>
      <c r="AI57" s="85" t="str">
        <f aca="false">AJ57&amp;$B$52</f>
        <v>4G</v>
      </c>
      <c r="AJ57" s="138" t="n">
        <v>4</v>
      </c>
      <c r="AK57" s="184" t="str">
        <f aca="true" t="array" ref="AK57:AK57">Ver_flag_visit</f>
        <v/>
      </c>
      <c r="AL57" s="140" t="str">
        <f aca="false">IFERROR(INDEX($BD$6:$BD$53,MATCH(AI57,$BN$6:$BN$53,0)),"")</f>
        <v>Egipto</v>
      </c>
      <c r="AM57" s="141" t="n">
        <f aca="false">INDEX($BE$6:$BN$53,MATCH($AL57,$BD$6:$BD$53,0),MATCH(AM$5,$BE$5:$BN$5,0))</f>
        <v>1</v>
      </c>
      <c r="AN57" s="142" t="n">
        <f aca="false">INDEX($BE$6:$BN$53,MATCH($AL57,$BD$6:$BD$53,0),MATCH(AN$5,$BE$5:$BN$5,0))</f>
        <v>1</v>
      </c>
      <c r="AO57" s="142" t="n">
        <f aca="false">INDEX($BE$6:$BN$53,MATCH($AL57,$BD$6:$BD$53,0),MATCH(AO$5,$BE$5:$BN$5,0))</f>
        <v>0</v>
      </c>
      <c r="AP57" s="142" t="n">
        <f aca="false">INDEX($BE$6:$BN$53,MATCH($AL57,$BD$6:$BD$53,0),MATCH(AP$5,$BE$5:$BN$5,0))</f>
        <v>1</v>
      </c>
      <c r="AQ57" s="142" t="n">
        <f aca="false">INDEX($BE$6:$BN$53,MATCH($AL57,$BD$6:$BD$53,0),MATCH(AQ$5,$BE$5:$BN$5,0))</f>
        <v>0</v>
      </c>
      <c r="AR57" s="142" t="n">
        <f aca="false">INDEX($BE$6:$BN$53,MATCH($AL57,$BD$6:$BD$53,0),MATCH(AR$5,$BE$5:$BN$5,0))</f>
        <v>1</v>
      </c>
      <c r="AS57" s="142" t="n">
        <f aca="false">INDEX($BE$6:$BN$53,MATCH($AL57,$BD$6:$BD$53,0),MATCH(AS$5,$BE$5:$BN$5,0))</f>
        <v>1</v>
      </c>
      <c r="AT57" s="143" t="n">
        <f aca="false">INDEX($BE$6:$BN$53,MATCH($AL57,$BD$6:$BD$53,0),MATCH(AT$5,$BE$5:$BN$5,0))</f>
        <v>0</v>
      </c>
      <c r="AU57" s="110" t="n">
        <f aca="false">INDEX($DL$6:$DL$53,MATCH(AI57,$DP$6:$DP$53,0))</f>
        <v>1</v>
      </c>
      <c r="AV57" s="111" t="str">
        <f aca="false">INDEX($BD$6:$BD$53,MATCH(AI57,$BM$6:$BM$53,0))</f>
        <v>Egipto</v>
      </c>
      <c r="AW57" s="112"/>
      <c r="AX57" s="113"/>
      <c r="AY57" s="144" t="str">
        <f aca="false">+A56</f>
        <v>Nueva Zelanda</v>
      </c>
      <c r="AZ57" s="145"/>
      <c r="BA57" s="49"/>
      <c r="BB57" s="55" t="n">
        <f aca="false">IFERROR(IF($AJ$99=144,INDEX(Idiomas!$C$75:$C$77,MATCH(WORLDCUP!$AL$116,Idiomas!$D$75:$D$77,0)),1),1)</f>
        <v>1</v>
      </c>
      <c r="BC57" s="72" t="str">
        <f aca="false">+BC5</f>
        <v>Grupo</v>
      </c>
      <c r="BD57" s="72" t="str">
        <f aca="false">+BD5</f>
        <v>Selección</v>
      </c>
      <c r="BE57" s="72" t="str">
        <f aca="false">+BE5</f>
        <v>Pts</v>
      </c>
      <c r="BF57" s="72" t="str">
        <f aca="false">+BF5</f>
        <v>J</v>
      </c>
      <c r="BG57" s="72" t="str">
        <f aca="false">+BG5</f>
        <v>G</v>
      </c>
      <c r="BH57" s="72" t="str">
        <f aca="false">+BH5</f>
        <v>E</v>
      </c>
      <c r="BI57" s="72" t="str">
        <f aca="false">+BI5</f>
        <v>P</v>
      </c>
      <c r="BJ57" s="72" t="str">
        <f aca="false">+BJ5</f>
        <v>GF</v>
      </c>
      <c r="BK57" s="72" t="str">
        <f aca="false">+BK5</f>
        <v>GC</v>
      </c>
      <c r="BL57" s="72" t="str">
        <f aca="false">+BL5</f>
        <v>DG</v>
      </c>
      <c r="BM57" s="72" t="str">
        <f aca="false">+BM5</f>
        <v>PosF1</v>
      </c>
      <c r="BN57" s="72" t="str">
        <f aca="false">+BN5</f>
        <v>PosF3</v>
      </c>
      <c r="BO57" s="91"/>
      <c r="BP57" s="91"/>
      <c r="BQ57" s="91"/>
      <c r="BR57" s="100" t="s">
        <v>31</v>
      </c>
      <c r="BS57" s="100" t="s">
        <v>32</v>
      </c>
      <c r="BT57" s="100" t="s">
        <v>33</v>
      </c>
      <c r="BU57" s="100" t="s">
        <v>60</v>
      </c>
      <c r="BV57" s="100" t="s">
        <v>38</v>
      </c>
      <c r="BW57" s="100" t="s">
        <v>39</v>
      </c>
      <c r="BX57" s="100" t="s">
        <v>63</v>
      </c>
      <c r="BY57" s="100" t="s">
        <v>43</v>
      </c>
      <c r="BZ57" s="100" t="s">
        <v>44</v>
      </c>
      <c r="CA57" s="101" t="s">
        <v>132</v>
      </c>
      <c r="CB57" s="101" t="s">
        <v>67</v>
      </c>
      <c r="CC57" s="102"/>
      <c r="CD57" s="101" t="s">
        <v>68</v>
      </c>
      <c r="CE57" s="101" t="s">
        <v>69</v>
      </c>
      <c r="CF57" s="101" t="s">
        <v>70</v>
      </c>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103" t="s">
        <v>71</v>
      </c>
      <c r="DK57" s="103"/>
      <c r="DL57" s="103" t="s">
        <v>73</v>
      </c>
      <c r="DM57" s="103" t="s">
        <v>74</v>
      </c>
      <c r="DN57" s="103" t="s">
        <v>75</v>
      </c>
      <c r="DO57" s="103"/>
      <c r="DP57" s="103" t="s">
        <v>76</v>
      </c>
      <c r="DQ57" s="103" t="s">
        <v>77</v>
      </c>
      <c r="DR57" s="55"/>
      <c r="DS57" s="55"/>
      <c r="DT57" s="55" t="str">
        <f aca="false">AA57&amp;"-"&amp;AF57</f>
        <v>Nueva Zelanda-Bélgica</v>
      </c>
      <c r="DU57" s="55"/>
      <c r="DV57" s="55"/>
      <c r="DW57" s="57"/>
    </row>
    <row r="58" customFormat="false" ht="15.75" hidden="false" customHeight="true" outlineLevel="0" collapsed="false">
      <c r="A58" s="39"/>
      <c r="B58" s="72"/>
      <c r="C58" s="39"/>
      <c r="D58" s="55"/>
      <c r="E58" s="55"/>
      <c r="F58" s="55"/>
      <c r="G58" s="55"/>
      <c r="H58" s="55"/>
      <c r="I58" s="55"/>
      <c r="J58" s="55"/>
      <c r="K58" s="55"/>
      <c r="L58" s="55"/>
      <c r="M58" s="55"/>
      <c r="N58" s="55"/>
      <c r="O58" s="55"/>
      <c r="P58" s="55"/>
      <c r="Q58" s="55"/>
      <c r="R58" s="55"/>
      <c r="S58" s="55"/>
      <c r="T58" s="55"/>
      <c r="U58" s="55"/>
      <c r="V58" s="46"/>
      <c r="W58" s="146"/>
      <c r="X58" s="147"/>
      <c r="Y58" s="146"/>
      <c r="Z58" s="148"/>
      <c r="AA58" s="149"/>
      <c r="AB58" s="150"/>
      <c r="AC58" s="151"/>
      <c r="AD58" s="151"/>
      <c r="AE58" s="150"/>
      <c r="AF58" s="152"/>
      <c r="AG58" s="182"/>
      <c r="AH58" s="84"/>
      <c r="AI58" s="85"/>
      <c r="AJ58" s="153"/>
      <c r="AK58" s="154"/>
      <c r="AL58" s="66"/>
      <c r="AM58" s="155"/>
      <c r="AN58" s="153"/>
      <c r="AO58" s="153"/>
      <c r="AP58" s="153"/>
      <c r="AQ58" s="153"/>
      <c r="AR58" s="153"/>
      <c r="AS58" s="153"/>
      <c r="AT58" s="153"/>
      <c r="AU58" s="156"/>
      <c r="AV58" s="157"/>
      <c r="AW58" s="158"/>
      <c r="AX58" s="113"/>
      <c r="AY58" s="146"/>
      <c r="AZ58" s="147"/>
      <c r="BA58" s="49"/>
      <c r="BB58" s="191" t="str">
        <f aca="false">3&amp;BC58</f>
        <v>3A</v>
      </c>
      <c r="BC58" s="116" t="s">
        <v>24</v>
      </c>
      <c r="BD58" s="55" t="str">
        <f aca="false">+INDEX($BD$6:$BN$53,MATCH($BB58,$BN$6:$BN$53,0),MATCH(BD$57,$BD$5:$BN$5,0))</f>
        <v>República Checa</v>
      </c>
      <c r="BE58" s="117" t="n">
        <f aca="false">CHOOSE($BB$57,
  (BG58*3 + BH58)+IF($AZ$3="No",0,INDEX($AZ$6:$AZ$97,MATCH(BD58,$AY$6:$AY$97,0))),
  (BG58*3 + BH58)+IF($AZ$3="No",0,INDEX($AZ$6:$AZ$97,MATCH(BD58,$AY$6:$AY$97,0))),
  IFERROR((BG58*3 + BH58+IF($AZ$3="No",0,INDEX($AZ$6:$AZ$97,MATCH(BD58,$AY$6:$AY$97,0)))) / BF58, 0)
)</f>
        <v>0</v>
      </c>
      <c r="BF58" s="117" t="n">
        <f aca="false">+BG58+BH58+BI58</f>
        <v>1</v>
      </c>
      <c r="BG58" s="117" t="n">
        <f aca="false">CHOOSE(IF($BB$57=2, 2, 1),INDEX($BG$6:$BG$53,MATCH($BB58,$BN$6:$BN$53,0)),
  INDEX($BG$6:$BG$53,MATCH($BB58,$BN$6:$BN$53,0))-(COUNTIFS(FGLocal,$BD58,FGVisitante,INDEX($BD$6:$BD$53,MATCH(BO58,$BN$6:$BN$53,0)),Ganador,"Local")+COUNTIFS(FGVisitante,$BD58,FGLocal,INDEX($BD$6:$BD$53,MATCH(BO58,$BN$6:$BN$53,0)),Ganador,"Visitante"))
)</f>
        <v>0</v>
      </c>
      <c r="BH58" s="117" t="n">
        <f aca="false">CHOOSE(IF($BB$57=2, 2, 1),  INDEX($BH$6:$BH$53,MATCH($BB58,$BN$6:$BN$53,0)),
  INDEX($BH$6:$BH$53,MATCH($BB58,$BN$6:$BN$53,0))-(COUNTIFS(FGLocal,$BD58,FGVisitante,INDEX($BD$6:$BD$53,MATCH(BO58,$BN$6:$BN$53,0)),Ganador,"Empate")+COUNTIFS(FGVisitante,$BD58,FGLocal,INDEX($BD$6:$BD$53,MATCH(BO58,$BN$6:$BN$53,0)),Ganador,"Empate"))
)</f>
        <v>0</v>
      </c>
      <c r="BI58" s="117" t="n">
        <f aca="false">CHOOSE(IF($BB$57=2, 2, 1),
  INDEX($BI$6:$BI$53,MATCH($BB58,$BN$6:$BN$53,0)),
  INDEX($BI$6:$BI$53,MATCH($BB58,$BN$6:$BN$53,0))-(COUNTIFS(FGLocal,$BD58,FGVisitante,INDEX($BD$6:$BD$53,MATCH(BO58,$BN$6:$BN$53,0)),Ganador,"Visitante")+COUNTIFS(FGVisitante,$BD58,FGLocal,INDEX($BD$6:$BD$53,MATCH(BO58,$BN$6:$BN$53,0)),Ganador,"Local"))
)</f>
        <v>1</v>
      </c>
      <c r="BJ58" s="117" t="n">
        <f aca="false">CHOOSE($BB$57,
  INDEX($BJ$6:$BJ$53,MATCH($BB58,$BN$6:$BN$53,0)),
  INDEX($BJ$6:$BJ$53,MATCH($BB58,$BN$6:$BN$53,0))-(SUMIFS(FG_GolesLocal,FGLocal,$BD58,FGVisitante,INDEX($BD$6:$BD$53,MATCH(BO58,$BN$6:$BN$53,0)))+SUMIFS(FG_GolesVisitante,FGVisitante,$BD58,FGLocal,INDEX($BD$6:$BD$53,MATCH(BO58,$BN$6:$BN$53,0)))),
  IFERROR(INDEX($BJ$6:$BJ$53,MATCH($BB58,$BN$6:$BN$53,0)) / BF58, 0)
)</f>
        <v>1</v>
      </c>
      <c r="BK58" s="117" t="n">
        <f aca="false">CHOOSE($BB$57,
  INDEX($BK$6:$BK$53,MATCH($BB58,$BN$6:$BN$53,0)),
  INDEX($BK$6:$BK$53,MATCH($BB58,$BN$6:$BN$53,0))-(SUMIFS(FG_GolesVisitante,FGLocal,$BD58,FGVisitante,INDEX($BD$6:$BD$53,MATCH(BO58,$BN$6:$BN$53,0)))+SUMIFS(FG_GolesLocal,FGVisitante,$BD58,FGLocal,INDEX($BD$6:$BD$53,MATCH(BO58,$BN$6:$BN$53,0)))),
  IFERROR(INDEX($BK$6:$BK$53,MATCH($BB58,$BN$6:$BN$53,0)) / BF58, 0)
)</f>
        <v>2</v>
      </c>
      <c r="BL58" s="117" t="n">
        <f aca="false">BJ58-BK58</f>
        <v>-1</v>
      </c>
      <c r="BM58" s="117" t="n">
        <f aca="false">CB58</f>
        <v>10</v>
      </c>
      <c r="BN58" s="117" t="n">
        <f aca="false">CF58</f>
        <v>10</v>
      </c>
      <c r="BO58" s="120" t="str">
        <f aca="false">"4"&amp;BC58</f>
        <v>4A</v>
      </c>
      <c r="BP58" s="120"/>
      <c r="BQ58" s="120"/>
      <c r="BR58" s="117" t="n">
        <f aca="false">+BE58</f>
        <v>0</v>
      </c>
      <c r="BS58" s="117" t="n">
        <f aca="false">COUNTIFS(BR$58:BR$69,"&gt;"&amp;BR58)+1</f>
        <v>6</v>
      </c>
      <c r="BT58" s="117" t="str">
        <f aca="false">IF(COUNTIF(BS$58:BS$69,BS58)=1,"-","Pos. "&amp;BS58&amp;" ("&amp;COUNTIF(BS$58:BS$69,BS58)&amp;")")</f>
        <v>Pos. 6 (7)</v>
      </c>
      <c r="BU58" s="117" t="n">
        <f aca="false">IF(BT58="-","-",BL58)</f>
        <v>-1</v>
      </c>
      <c r="BV58" s="117" t="n">
        <f aca="false">BS58+COUNTIFS(BT$58:BT$69,BT58,BU$58:BU$69,"&gt;"&amp;BU58)</f>
        <v>10</v>
      </c>
      <c r="BW58" s="117" t="str">
        <f aca="false">IF(COUNTIF(BV$58:BV$69,BV58)=1,"-","Pos. "&amp;BV58&amp;" ("&amp;COUNTIF(BV$58:BV$69,BV58)&amp;")")</f>
        <v>Pos. 10 (2)</v>
      </c>
      <c r="BX58" s="117" t="n">
        <f aca="false">IF(BW58="-","-",BJ58)</f>
        <v>1</v>
      </c>
      <c r="BY58" s="117" t="n">
        <f aca="false">BV58+COUNTIFS(BW$58:BW$69,BW58,BX$58:BX$69,"&gt;"&amp;BX58)</f>
        <v>10</v>
      </c>
      <c r="BZ58" s="117" t="str">
        <f aca="false">IF(COUNTIF(BY$58:BY$69,BY58)=1,"-","Pos. "&amp;BY58&amp;" ("&amp;COUNTIF(BY$58:BY$69,BY58)&amp;")")</f>
        <v>-</v>
      </c>
      <c r="CA58" s="117" t="str">
        <f aca="false">IF(BZ58="-","-",COUNTIF($BD$58:$BD$69,"&gt;"&amp;BD58))</f>
        <v>-</v>
      </c>
      <c r="CB58" s="117" t="n">
        <f aca="false">BY58+COUNTIFS(BZ$58:BZ$69,BZ58,CA$58:CA$69,"&gt;"&amp;CA58)</f>
        <v>10</v>
      </c>
      <c r="CC58" s="117"/>
      <c r="CD58" s="117" t="n">
        <f aca="false">IF(OR(INDEX($AW$102:$AW$113,MATCH($BD58,$AV$102:$AV$113,0))="",BZ58="-"),CB58,INDEX($AW$102:$AW$113,MATCH($BD58,$AV$102:$AV$113,0))+CB58/1000)</f>
        <v>10</v>
      </c>
      <c r="CE58" s="117" t="str">
        <f aca="false">IF(BZ58="-","-",COUNTIF(CD$58:CD$69,"&lt;"&amp;CD58))</f>
        <v>-</v>
      </c>
      <c r="CF58" s="117" t="n">
        <f aca="false">BY58+COUNTIFS(BZ$58:BZ$69,BZ58,CE$58:CE$69,"&lt;"&amp;CE58)</f>
        <v>10</v>
      </c>
      <c r="CG58" s="117"/>
      <c r="CH58" s="117"/>
      <c r="CI58" s="117"/>
      <c r="CJ58" s="117"/>
      <c r="CK58" s="117"/>
      <c r="CL58" s="117"/>
      <c r="CM58" s="117"/>
      <c r="CN58" s="117"/>
      <c r="CO58" s="117"/>
      <c r="CP58" s="117"/>
      <c r="CQ58" s="117"/>
      <c r="CR58" s="117"/>
      <c r="CS58" s="117"/>
      <c r="CT58" s="117"/>
      <c r="CU58" s="117"/>
      <c r="CV58" s="117"/>
      <c r="CW58" s="55"/>
      <c r="CX58" s="55"/>
      <c r="CY58" s="55"/>
      <c r="CZ58" s="55"/>
      <c r="DA58" s="55"/>
      <c r="DB58" s="55"/>
      <c r="DC58" s="55"/>
      <c r="DD58" s="55"/>
      <c r="DE58" s="55"/>
      <c r="DF58" s="55"/>
      <c r="DG58" s="55"/>
      <c r="DH58" s="55"/>
      <c r="DI58" s="55"/>
      <c r="DJ58" s="55" t="n">
        <f aca="false">INDEX($BY$58:$BY$69,MATCH($DQ58,$BD$58:$BD$69,0))</f>
        <v>1</v>
      </c>
      <c r="DK58" s="55"/>
      <c r="DL58" s="55" t="n">
        <f aca="false">IF(OR($H$113=144,$AJ$99=144),COUNTIF($DJ$58:$DJ$69,DJ58),1)</f>
        <v>1</v>
      </c>
      <c r="DM58" s="120" t="str">
        <f aca="false">DJ58&amp;"."&amp;DL58</f>
        <v>1.1</v>
      </c>
      <c r="DN58" s="55" t="n">
        <f aca="true" t="array" ref="DN58:DN58">OFFSET(Horarios!$P$3,DJ58-1,0,DL58,1)</f>
        <v>1</v>
      </c>
      <c r="DO58" s="55"/>
      <c r="DP58" s="55" t="n">
        <v>1</v>
      </c>
      <c r="DQ58" s="55" t="str">
        <f aca="false">INDEX($BD$58:$BD$69,MATCH(DP58,$BM$58:$BM$69,0))</f>
        <v>Japón</v>
      </c>
      <c r="DR58" s="55"/>
      <c r="DS58" s="55"/>
      <c r="DT58" s="55" t="str">
        <f aca="false">AA58&amp;"-"&amp;AF58</f>
        <v>-</v>
      </c>
      <c r="DU58" s="55"/>
      <c r="DV58" s="55"/>
      <c r="DW58" s="57"/>
    </row>
    <row r="59" customFormat="false" ht="15" hidden="false" customHeight="false" outlineLevel="0" collapsed="false">
      <c r="A59" s="39"/>
      <c r="B59" s="72"/>
      <c r="C59" s="39"/>
      <c r="D59" s="39"/>
      <c r="E59" s="39"/>
      <c r="F59" s="39"/>
      <c r="G59" s="39"/>
      <c r="H59" s="39"/>
      <c r="I59" s="39"/>
      <c r="J59" s="39"/>
      <c r="K59" s="39"/>
      <c r="L59" s="39"/>
      <c r="M59" s="39"/>
      <c r="N59" s="55"/>
      <c r="O59" s="55"/>
      <c r="P59" s="55"/>
      <c r="Q59" s="55"/>
      <c r="R59" s="55"/>
      <c r="S59" s="55"/>
      <c r="T59" s="55"/>
      <c r="U59" s="55"/>
      <c r="V59" s="46"/>
      <c r="W59" s="59"/>
      <c r="X59" s="60" t="str">
        <f aca="false">X3</f>
        <v>Fecha</v>
      </c>
      <c r="Y59" s="60" t="str">
        <f aca="false">Y3</f>
        <v>Hora</v>
      </c>
      <c r="Z59" s="61" t="str">
        <f aca="false">Z3</f>
        <v>Jor.</v>
      </c>
      <c r="AA59" s="62" t="str">
        <f aca="false">AA3</f>
        <v>Casa</v>
      </c>
      <c r="AB59" s="61"/>
      <c r="AC59" s="61" t="str">
        <f aca="false">AC3</f>
        <v>Gol</v>
      </c>
      <c r="AD59" s="61" t="str">
        <f aca="false">AD3</f>
        <v>Gol</v>
      </c>
      <c r="AE59" s="61"/>
      <c r="AF59" s="64" t="str">
        <f aca="false">AF3</f>
        <v>Fuera</v>
      </c>
      <c r="AG59" s="159"/>
      <c r="AH59" s="84"/>
      <c r="AI59" s="50"/>
      <c r="AJ59" s="66"/>
      <c r="AK59" s="160"/>
      <c r="AL59" s="66"/>
      <c r="AM59" s="66"/>
      <c r="AN59" s="66"/>
      <c r="AO59" s="66"/>
      <c r="AP59" s="66"/>
      <c r="AQ59" s="66"/>
      <c r="AR59" s="66"/>
      <c r="AS59" s="66"/>
      <c r="AT59" s="66"/>
      <c r="AU59" s="161"/>
      <c r="AV59" s="51"/>
      <c r="AW59" s="162"/>
      <c r="AX59" s="163"/>
      <c r="AY59" s="146"/>
      <c r="AZ59" s="147"/>
      <c r="BA59" s="49"/>
      <c r="BB59" s="191" t="str">
        <f aca="false">"3"&amp;BC59</f>
        <v>3B</v>
      </c>
      <c r="BC59" s="116" t="s">
        <v>84</v>
      </c>
      <c r="BD59" s="55" t="str">
        <f aca="false">+INDEX($BD$6:$BN$53,MATCH($BB59,$BN$6:$BN$53,0),MATCH(BD$57,$BD$5:$BN$5,0))</f>
        <v>Catar</v>
      </c>
      <c r="BE59" s="117" t="n">
        <f aca="false">CHOOSE($BB$57,
  (BG59*3 + BH59)+IF($AZ$3="No",0,INDEX($AZ$6:$AZ$97,MATCH(BD59,$AY$6:$AY$97,0))),
  (BG59*3 + BH59)+IF($AZ$3="No",0,INDEX($AZ$6:$AZ$97,MATCH(BD59,$AY$6:$AY$97,0))),
  IFERROR((BG59*3 + BH59+IF($AZ$3="No",0,INDEX($AZ$6:$AZ$97,MATCH(BD59,$AY$6:$AY$97,0)))) / BF59, 0)
)</f>
        <v>1</v>
      </c>
      <c r="BF59" s="117" t="n">
        <f aca="false">+BG59+BH59+BI59</f>
        <v>1</v>
      </c>
      <c r="BG59" s="117" t="n">
        <f aca="false">CHOOSE(IF($BB$57=2, 2, 1),
  INDEX($BG$6:$BG$53,MATCH($BB59,$BN$6:$BN$53,0)),
  INDEX($BG$6:$BG$53,MATCH($BB59,$BN$6:$BN$53,0))-(COUNTIFS(FGLocal,$BD59,FGVisitante,INDEX($BD$6:$BD$53,MATCH(BO59,$BN$6:$BN$53,0)),Ganador,"Local")+COUNTIFS(FGVisitante,$BD59,FGLocal,INDEX($BD$6:$BD$53,MATCH(BO59,$BN$6:$BN$53,0)),Ganador,"Visitante"))
)</f>
        <v>0</v>
      </c>
      <c r="BH59" s="117" t="n">
        <f aca="false">CHOOSE(IF($BB$57=2, 2, 1),
  INDEX($BH$6:$BH$53,MATCH($BB59,$BN$6:$BN$53,0)),
  INDEX($BH$6:$BH$53,MATCH($BB59,$BN$6:$BN$53,0))-(COUNTIFS(FGLocal,$BD59,FGVisitante,INDEX($BD$6:$BD$53,MATCH(BO59,$BN$6:$BN$53,0)),Ganador,"Empate")+COUNTIFS(FGVisitante,$BD59,FGLocal,INDEX($BD$6:$BD$53,MATCH(BO59,$BN$6:$BN$53,0)),Ganador,"Empate"))
)</f>
        <v>1</v>
      </c>
      <c r="BI59" s="117" t="n">
        <f aca="false">CHOOSE(IF($BB$57=2, 2, 1),
  INDEX($BI$6:$BI$53,MATCH($BB59,$BN$6:$BN$53,0)),
  INDEX($BI$6:$BI$53,MATCH($BB59,$BN$6:$BN$53,0))-(COUNTIFS(FGLocal,$BD59,FGVisitante,INDEX($BD$6:$BD$53,MATCH(BO59,$BN$6:$BN$53,0)),Ganador,"Visitante")+COUNTIFS(FGVisitante,$BD59,FGLocal,INDEX($BD$6:$BD$53,MATCH(BO59,$BN$6:$BN$53,0)),Ganador,"Local"))
)</f>
        <v>0</v>
      </c>
      <c r="BJ59" s="117" t="n">
        <f aca="false">CHOOSE($BB$57,
  INDEX($BJ$6:$BJ$53,MATCH($BB59,$BN$6:$BN$53,0)),
  INDEX($BJ$6:$BJ$53,MATCH($BB59,$BN$6:$BN$53,0))-(SUMIFS(FG_GolesLocal,FGLocal,$BD59,FGVisitante,INDEX($BD$6:$BD$53,MATCH(BO59,$BN$6:$BN$53,0)))+SUMIFS(FG_GolesVisitante,FGVisitante,$BD59,FGLocal,INDEX($BD$6:$BD$53,MATCH(BO59,$BN$6:$BN$53,0)))),
  IFERROR(INDEX($BJ$6:$BJ$53,MATCH($BB59,$BN$6:$BN$53,0)) / BF59, 0)
)</f>
        <v>1</v>
      </c>
      <c r="BK59" s="117" t="n">
        <f aca="false">CHOOSE($BB$57,
  INDEX($BK$6:$BK$53,MATCH($BB59,$BN$6:$BN$53,0)),
  INDEX($BK$6:$BK$53,MATCH($BB59,$BN$6:$BN$53,0))-(SUMIFS(FG_GolesVisitante,FGLocal,$BD59,FGVisitante,INDEX($BD$6:$BD$53,MATCH(BO59,$BN$6:$BN$53,0)))+SUMIFS(FG_GolesLocal,FGVisitante,$BD59,FGLocal,INDEX($BD$6:$BD$53,MATCH(BO59,$BN$6:$BN$53,0)))),
  IFERROR(INDEX($BK$6:$BK$53,MATCH($BB59,$BN$6:$BN$53,0)) / BF59, 0)
)</f>
        <v>1</v>
      </c>
      <c r="BL59" s="117" t="n">
        <f aca="false">BJ59-BK59</f>
        <v>0</v>
      </c>
      <c r="BM59" s="117" t="n">
        <f aca="false">CB59</f>
        <v>3</v>
      </c>
      <c r="BN59" s="117" t="n">
        <f aca="false">CF59</f>
        <v>3</v>
      </c>
      <c r="BO59" s="120" t="str">
        <f aca="false">"4"&amp;BC59</f>
        <v>4B</v>
      </c>
      <c r="BP59" s="120"/>
      <c r="BQ59" s="120"/>
      <c r="BR59" s="117" t="n">
        <f aca="false">+BE59</f>
        <v>1</v>
      </c>
      <c r="BS59" s="117" t="n">
        <f aca="false">COUNTIFS(BR$58:BR$69,"&gt;"&amp;BR59)+1</f>
        <v>1</v>
      </c>
      <c r="BT59" s="117" t="str">
        <f aca="false">IF(COUNTIF(BS$58:BS$69,BS59)=1,"-","Pos. "&amp;BS59&amp;" ("&amp;COUNTIF(BS$58:BS$69,BS59)&amp;")")</f>
        <v>Pos. 1 (5)</v>
      </c>
      <c r="BU59" s="117" t="n">
        <f aca="false">IF(BT59="-","-",BL59)</f>
        <v>0</v>
      </c>
      <c r="BV59" s="117" t="n">
        <f aca="false">BS59+COUNTIFS(BT$58:BT$69,BT59,BU$58:BU$69,"&gt;"&amp;BU59)</f>
        <v>1</v>
      </c>
      <c r="BW59" s="117" t="str">
        <f aca="false">IF(COUNTIF(BV$58:BV$69,BV59)=1,"-","Pos. "&amp;BV59&amp;" ("&amp;COUNTIF(BV$58:BV$69,BV59)&amp;")")</f>
        <v>Pos. 1 (5)</v>
      </c>
      <c r="BX59" s="117" t="n">
        <f aca="false">IF(BW59="-","-",BJ59)</f>
        <v>1</v>
      </c>
      <c r="BY59" s="117" t="n">
        <f aca="false">BV59+COUNTIFS(BW$58:BW$69,BW59,BX$58:BX$69,"&gt;"&amp;BX59)</f>
        <v>2</v>
      </c>
      <c r="BZ59" s="117" t="str">
        <f aca="false">IF(COUNTIF(BY$58:BY$69,BY59)=1,"-","Pos. "&amp;BY59&amp;" ("&amp;COUNTIF(BY$58:BY$69,BY59)&amp;")")</f>
        <v>Pos. 2 (3)</v>
      </c>
      <c r="CA59" s="117" t="n">
        <f aca="false">IF(BZ59="-","-",COUNTIF($BD$58:$BD$69,"&gt;"&amp;BD59))</f>
        <v>9</v>
      </c>
      <c r="CB59" s="117" t="n">
        <f aca="false">BY59+COUNTIFS(BZ$58:BZ$69,BZ59,CA$58:CA$69,"&gt;"&amp;CA59)</f>
        <v>3</v>
      </c>
      <c r="CC59" s="117"/>
      <c r="CD59" s="117" t="n">
        <f aca="false">IF(OR(INDEX($AW$102:$AW$113,MATCH($BD59,$AV$102:$AV$113,0))="",BZ59="-"),CB59,INDEX($AW$102:$AW$113,MATCH($BD59,$AV$102:$AV$113,0))+CB59/1000)</f>
        <v>3.003</v>
      </c>
      <c r="CE59" s="117" t="n">
        <f aca="false">IF(BZ59="-","-",COUNTIF(CD$58:CD$69,"&lt;"&amp;CD59))</f>
        <v>2</v>
      </c>
      <c r="CF59" s="117" t="n">
        <f aca="false">BY59+COUNTIFS(BZ$58:BZ$69,BZ59,CE$58:CE$69,"&lt;"&amp;CE59)</f>
        <v>3</v>
      </c>
      <c r="CG59" s="117"/>
      <c r="CH59" s="117"/>
      <c r="CI59" s="117"/>
      <c r="CJ59" s="117"/>
      <c r="CK59" s="117"/>
      <c r="CL59" s="117"/>
      <c r="CM59" s="117"/>
      <c r="CN59" s="117"/>
      <c r="CO59" s="117"/>
      <c r="CP59" s="117"/>
      <c r="CQ59" s="117"/>
      <c r="CR59" s="117"/>
      <c r="CS59" s="117"/>
      <c r="CT59" s="117"/>
      <c r="CU59" s="117"/>
      <c r="CV59" s="117"/>
      <c r="CW59" s="55"/>
      <c r="CX59" s="55"/>
      <c r="CY59" s="55"/>
      <c r="CZ59" s="55"/>
      <c r="DA59" s="55"/>
      <c r="DB59" s="55"/>
      <c r="DC59" s="55"/>
      <c r="DD59" s="55"/>
      <c r="DE59" s="55"/>
      <c r="DF59" s="55"/>
      <c r="DG59" s="55"/>
      <c r="DH59" s="55"/>
      <c r="DI59" s="55"/>
      <c r="DJ59" s="55" t="n">
        <f aca="false">INDEX($BY$58:$BY$69,MATCH($DQ59,$BD$58:$BD$69,0))</f>
        <v>2</v>
      </c>
      <c r="DK59" s="55"/>
      <c r="DL59" s="55" t="n">
        <f aca="false">IF(OR($H$113=144,$AJ$99=144),COUNTIF($DJ$58:$DJ$69,DJ59),1)</f>
        <v>1</v>
      </c>
      <c r="DM59" s="120" t="str">
        <f aca="false">DJ59&amp;"."&amp;DL59</f>
        <v>2.1</v>
      </c>
      <c r="DN59" s="55" t="n">
        <f aca="true" t="array" ref="DN59:DN59">OFFSET(Horarios!$P$3,DJ59-1,0,DL59,1)</f>
        <v>2</v>
      </c>
      <c r="DO59" s="55"/>
      <c r="DP59" s="55" t="n">
        <v>2</v>
      </c>
      <c r="DQ59" s="55" t="str">
        <f aca="false">INDEX($BD$58:$BD$69,MATCH(DP59,$BM$58:$BM$69,0))</f>
        <v>Bélgica</v>
      </c>
      <c r="DR59" s="55"/>
      <c r="DS59" s="55"/>
      <c r="DT59" s="55" t="str">
        <f aca="false">AA59&amp;"-"&amp;AF59</f>
        <v>Casa-Fuera</v>
      </c>
      <c r="DU59" s="55"/>
      <c r="DV59" s="55"/>
      <c r="DW59" s="57"/>
    </row>
    <row r="60" customFormat="false" ht="15" hidden="false" customHeight="true" outlineLevel="0" collapsed="false">
      <c r="A60" s="71" t="s">
        <v>23</v>
      </c>
      <c r="B60" s="72" t="s">
        <v>133</v>
      </c>
      <c r="C60" s="44" t="n">
        <f aca="false">COUNTIF(Equipos!$C$2:$C$49,WORLDCUP!B60)</f>
        <v>4</v>
      </c>
      <c r="D60" s="55" t="str">
        <f aca="false">IF(OR(AC60="",AD60=""),"Pendiente",IF(AC60&gt;AD60,"Local",IF(AC60&lt;AD60,"Visitante","Empate")))</f>
        <v>Empate</v>
      </c>
      <c r="E60" s="55" t="str">
        <f aca="false">IF(D60="Pendiente","-",INDEX($BT$6:$BT$53,MATCH($AA60,$BD$6:$BD$53,0)))</f>
        <v>P.1 (4)</v>
      </c>
      <c r="F60" s="55" t="str">
        <f aca="false">IF(D60="Pendiente","-",INDEX($BT$6:$BT$53,MATCH($AF60,$BD$6:$BD$53,0)))</f>
        <v>P.1 (4)</v>
      </c>
      <c r="G60" s="55"/>
      <c r="H60" s="55" t="str">
        <f aca="false">IF(D60="Pendiente","-",INDEX($BZ$6:$BZ$53,MATCH($AA60,$BD$6:$BD$53,0)))</f>
        <v>P.1 (4)</v>
      </c>
      <c r="I60" s="55" t="str">
        <f aca="false">IF(D60="Pendiente","-",INDEX($BZ$6:$BZ$53,MATCH($AF60,$BD$6:$BD$53,0)))</f>
        <v>P.1 (4)</v>
      </c>
      <c r="J60" s="55"/>
      <c r="K60" s="55" t="str">
        <f aca="false">IF(D60="Pendiente","-",INDEX($CE$6:$CE$53,MATCH($AA60,$BD$6:$BD$53,0)))</f>
        <v>P.1 (4)</v>
      </c>
      <c r="L60" s="55" t="str">
        <f aca="false">IF(D60="Pendiente","-",INDEX($CE$6:$CE$53,MATCH($AF60,$BD$6:$BD$53,0)))</f>
        <v>P.1 (4)</v>
      </c>
      <c r="M60" s="55"/>
      <c r="N60" s="55" t="str">
        <f aca="false">IF(D60="Pendiente","-",INDEX($CH$6:$CH$53,MATCH($AA60,$BD$6:$BD$53,0)))</f>
        <v>P.3 (2)</v>
      </c>
      <c r="O60" s="55" t="str">
        <f aca="false">IF(D60="Pendiente","-",INDEX($CH$6:$CH$53,MATCH($AF60,$BD$6:$BD$53,0)))</f>
        <v>P.3 (2)</v>
      </c>
      <c r="P60" s="55"/>
      <c r="Q60" s="55" t="str">
        <f aca="false">IF(D60="Pendiente","-",INDEX($CN$6:$CN$53,MATCH($AA60,$BD$6:$BD$53,0)))</f>
        <v>P.3 (2)</v>
      </c>
      <c r="R60" s="55" t="str">
        <f aca="false">IF(D60="Pendiente","-",INDEX($CN$6:$CN$53,MATCH($AF60,$BD$6:$BD$53,0)))</f>
        <v>P.3 (2)</v>
      </c>
      <c r="S60" s="55"/>
      <c r="T60" s="55" t="str">
        <f aca="false">IF(D60="Pendiente","-",INDEX($CS$6:$CS$53,MATCH($AA60,$BD$6:$BD$53,0)))</f>
        <v>P.3 (2)</v>
      </c>
      <c r="U60" s="55" t="str">
        <f aca="false">IF(D60="Pendiente","-",INDEX($CS$6:$CS$53,MATCH($AF60,$BD$6:$BD$53,0)))</f>
        <v>P.3 (2)</v>
      </c>
      <c r="V60" s="46"/>
      <c r="W60" s="192" t="s">
        <v>133</v>
      </c>
      <c r="X60" s="74" t="n">
        <f aca="false">Horarios!C60</f>
        <v>46188.75</v>
      </c>
      <c r="Y60" s="75" t="n">
        <f aca="false">Horarios!C60</f>
        <v>46188.75</v>
      </c>
      <c r="Z60" s="76" t="str">
        <f aca="false">$Z$4</f>
        <v>J1</v>
      </c>
      <c r="AA60" s="77" t="str">
        <f aca="false">A61</f>
        <v>España</v>
      </c>
      <c r="AB60" s="165" t="str">
        <f aca="true" t="array" ref="AB60:AB60">Ver_flag_local</f>
        <v/>
      </c>
      <c r="AC60" s="79" t="n">
        <v>0</v>
      </c>
      <c r="AD60" s="80" t="n">
        <v>0</v>
      </c>
      <c r="AE60" s="81" t="str">
        <f aca="true" t="array" ref="AE60:AE60">Ver_flag_visit</f>
        <v/>
      </c>
      <c r="AF60" s="82" t="str">
        <f aca="false">A62</f>
        <v>Cabo Verde</v>
      </c>
      <c r="AG60" s="83" t="n">
        <f aca="false">IF(NOT(OR(ISBLANK(AC60),ISBLANK(AD60))),1,0)</f>
        <v>1</v>
      </c>
      <c r="AH60" s="84" t="n">
        <v>14</v>
      </c>
      <c r="AI60" s="85"/>
      <c r="AJ60" s="86" t="str">
        <f aca="false">CONCATENATE(AJ3," ",B60)</f>
        <v>Grupo H</v>
      </c>
      <c r="AK60" s="86"/>
      <c r="AL60" s="86"/>
      <c r="AM60" s="86"/>
      <c r="AN60" s="86"/>
      <c r="AO60" s="86"/>
      <c r="AP60" s="86"/>
      <c r="AQ60" s="86"/>
      <c r="AR60" s="86"/>
      <c r="AS60" s="86"/>
      <c r="AT60" s="86"/>
      <c r="AU60" s="161"/>
      <c r="AV60" s="87" t="str">
        <f aca="false">IF(AU61&gt;0,$AV$3,"")</f>
        <v/>
      </c>
      <c r="AW60" s="97"/>
      <c r="AX60" s="168"/>
      <c r="AY60" s="146"/>
      <c r="AZ60" s="147"/>
      <c r="BA60" s="49"/>
      <c r="BB60" s="191" t="str">
        <f aca="false">"3"&amp;BC60</f>
        <v>3C</v>
      </c>
      <c r="BC60" s="116" t="s">
        <v>93</v>
      </c>
      <c r="BD60" s="55" t="str">
        <f aca="false">+INDEX($BD$6:$BN$53,MATCH($BB60,$BN$6:$BN$53,0),MATCH(BD$57,$BD$5:$BN$5,0))</f>
        <v>Marruecos</v>
      </c>
      <c r="BE60" s="117" t="n">
        <f aca="false">CHOOSE($BB$57,
  (BG60*3 + BH60)+IF($AZ$3="No",0,INDEX($AZ$6:$AZ$97,MATCH(BD60,$AY$6:$AY$97,0))),
  (BG60*3 + BH60)+IF($AZ$3="No",0,INDEX($AZ$6:$AZ$97,MATCH(BD60,$AY$6:$AY$97,0))),
  IFERROR((BG60*3 + BH60+IF($AZ$3="No",0,INDEX($AZ$6:$AZ$97,MATCH(BD60,$AY$6:$AY$97,0)))) / BF60, 0)
)</f>
        <v>1</v>
      </c>
      <c r="BF60" s="117" t="n">
        <f aca="false">+BG60+BH60+BI60</f>
        <v>1</v>
      </c>
      <c r="BG60" s="117" t="n">
        <f aca="false">CHOOSE(IF($BB$57=2, 2, 1),
  INDEX($BG$6:$BG$53,MATCH($BB60,$BN$6:$BN$53,0)),
  INDEX($BG$6:$BG$53,MATCH($BB60,$BN$6:$BN$53,0))-(COUNTIFS(FGLocal,$BD60,FGVisitante,INDEX($BD$6:$BD$53,MATCH(BO60,$BN$6:$BN$53,0)),Ganador,"Local")+COUNTIFS(FGVisitante,$BD60,FGLocal,INDEX($BD$6:$BD$53,MATCH(BO60,$BN$6:$BN$53,0)),Ganador,"Visitante"))
)</f>
        <v>0</v>
      </c>
      <c r="BH60" s="117" t="n">
        <f aca="false">CHOOSE(IF($BB$57=2, 2, 1),
  INDEX($BH$6:$BH$53,MATCH($BB60,$BN$6:$BN$53,0)),
  INDEX($BH$6:$BH$53,MATCH($BB60,$BN$6:$BN$53,0))-(COUNTIFS(FGLocal,$BD60,FGVisitante,INDEX($BD$6:$BD$53,MATCH(BO60,$BN$6:$BN$53,0)),Ganador,"Empate")+COUNTIFS(FGVisitante,$BD60,FGLocal,INDEX($BD$6:$BD$53,MATCH(BO60,$BN$6:$BN$53,0)),Ganador,"Empate"))
)</f>
        <v>1</v>
      </c>
      <c r="BI60" s="117" t="n">
        <f aca="false">CHOOSE(IF($BB$57=2, 2, 1),
  INDEX($BI$6:$BI$53,MATCH($BB60,$BN$6:$BN$53,0)),
  INDEX($BI$6:$BI$53,MATCH($BB60,$BN$6:$BN$53,0))-(COUNTIFS(FGLocal,$BD60,FGVisitante,INDEX($BD$6:$BD$53,MATCH(BO60,$BN$6:$BN$53,0)),Ganador,"Visitante")+COUNTIFS(FGVisitante,$BD60,FGLocal,INDEX($BD$6:$BD$53,MATCH(BO60,$BN$6:$BN$53,0)),Ganador,"Local"))
)</f>
        <v>0</v>
      </c>
      <c r="BJ60" s="117" t="n">
        <f aca="false">CHOOSE($BB$57,
  INDEX($BJ$6:$BJ$53,MATCH($BB60,$BN$6:$BN$53,0)),
  INDEX($BJ$6:$BJ$53,MATCH($BB60,$BN$6:$BN$53,0))-(SUMIFS(FG_GolesLocal,FGLocal,$BD60,FGVisitante,INDEX($BD$6:$BD$53,MATCH(BO60,$BN$6:$BN$53,0)))+SUMIFS(FG_GolesVisitante,FGVisitante,$BD60,FGLocal,INDEX($BD$6:$BD$53,MATCH(BO60,$BN$6:$BN$53,0)))),
  IFERROR(INDEX($BJ$6:$BJ$53,MATCH($BB60,$BN$6:$BN$53,0)) / BF60, 0)
)</f>
        <v>1</v>
      </c>
      <c r="BK60" s="117" t="n">
        <f aca="false">CHOOSE($BB$57,
  INDEX($BK$6:$BK$53,MATCH($BB60,$BN$6:$BN$53,0)),
  INDEX($BK$6:$BK$53,MATCH($BB60,$BN$6:$BN$53,0))-(SUMIFS(FG_GolesVisitante,FGLocal,$BD60,FGVisitante,INDEX($BD$6:$BD$53,MATCH(BO60,$BN$6:$BN$53,0)))+SUMIFS(FG_GolesLocal,FGVisitante,$BD60,FGLocal,INDEX($BD$6:$BD$53,MATCH(BO60,$BN$6:$BN$53,0)))),
  IFERROR(INDEX($BK$6:$BK$53,MATCH($BB60,$BN$6:$BN$53,0)) / BF60, 0)
)</f>
        <v>1</v>
      </c>
      <c r="BL60" s="117" t="n">
        <f aca="false">BJ60-BK60</f>
        <v>0</v>
      </c>
      <c r="BM60" s="117" t="n">
        <f aca="false">CB60</f>
        <v>4</v>
      </c>
      <c r="BN60" s="117" t="n">
        <f aca="false">CF60</f>
        <v>4</v>
      </c>
      <c r="BO60" s="120" t="str">
        <f aca="false">"4"&amp;BC60</f>
        <v>4C</v>
      </c>
      <c r="BP60" s="120"/>
      <c r="BQ60" s="120"/>
      <c r="BR60" s="117" t="n">
        <f aca="false">+BE60</f>
        <v>1</v>
      </c>
      <c r="BS60" s="117" t="n">
        <f aca="false">COUNTIFS(BR$58:BR$69,"&gt;"&amp;BR60)+1</f>
        <v>1</v>
      </c>
      <c r="BT60" s="117" t="str">
        <f aca="false">IF(COUNTIF(BS$58:BS$69,BS60)=1,"-","Pos. "&amp;BS60&amp;" ("&amp;COUNTIF(BS$58:BS$69,BS60)&amp;")")</f>
        <v>Pos. 1 (5)</v>
      </c>
      <c r="BU60" s="117" t="n">
        <f aca="false">IF(BT60="-","-",BL60)</f>
        <v>0</v>
      </c>
      <c r="BV60" s="117" t="n">
        <f aca="false">BS60+COUNTIFS(BT$58:BT$69,BT60,BU$58:BU$69,"&gt;"&amp;BU60)</f>
        <v>1</v>
      </c>
      <c r="BW60" s="117" t="str">
        <f aca="false">IF(COUNTIF(BV$58:BV$69,BV60)=1,"-","Pos. "&amp;BV60&amp;" ("&amp;COUNTIF(BV$58:BV$69,BV60)&amp;")")</f>
        <v>Pos. 1 (5)</v>
      </c>
      <c r="BX60" s="117" t="n">
        <f aca="false">IF(BW60="-","-",BJ60)</f>
        <v>1</v>
      </c>
      <c r="BY60" s="117" t="n">
        <f aca="false">BV60+COUNTIFS(BW$58:BW$69,BW60,BX$58:BX$69,"&gt;"&amp;BX60)</f>
        <v>2</v>
      </c>
      <c r="BZ60" s="117" t="str">
        <f aca="false">IF(COUNTIF(BY$58:BY$69,BY60)=1,"-","Pos. "&amp;BY60&amp;" ("&amp;COUNTIF(BY$58:BY$69,BY60)&amp;")")</f>
        <v>Pos. 2 (3)</v>
      </c>
      <c r="CA60" s="117" t="n">
        <f aca="false">IF(BZ60="-","-",COUNTIF($BD$58:$BD$69,"&gt;"&amp;BD60))</f>
        <v>3</v>
      </c>
      <c r="CB60" s="117" t="n">
        <f aca="false">BY60+COUNTIFS(BZ$58:BZ$69,BZ60,CA$58:CA$69,"&gt;"&amp;CA60)</f>
        <v>4</v>
      </c>
      <c r="CC60" s="117"/>
      <c r="CD60" s="117" t="n">
        <f aca="false">IF(OR(INDEX($AW$102:$AW$113,MATCH($BD60,$AV$102:$AV$113,0))="",BZ60="-"),CB60,INDEX($AW$102:$AW$113,MATCH($BD60,$AV$102:$AV$113,0))+CB60/1000)</f>
        <v>4</v>
      </c>
      <c r="CE60" s="117" t="n">
        <f aca="false">IF(BZ60="-","-",COUNTIF(CD$58:CD$69,"&lt;"&amp;CD60))</f>
        <v>3</v>
      </c>
      <c r="CF60" s="117" t="n">
        <f aca="false">BY60+COUNTIFS(BZ$58:BZ$69,BZ60,CE$58:CE$69,"&lt;"&amp;CE60)</f>
        <v>4</v>
      </c>
      <c r="CG60" s="117"/>
      <c r="CH60" s="117"/>
      <c r="CI60" s="117"/>
      <c r="CJ60" s="117"/>
      <c r="CK60" s="117"/>
      <c r="CL60" s="117"/>
      <c r="CM60" s="117"/>
      <c r="CN60" s="117"/>
      <c r="CO60" s="117"/>
      <c r="CP60" s="117"/>
      <c r="CQ60" s="117"/>
      <c r="CR60" s="117"/>
      <c r="CS60" s="117"/>
      <c r="CT60" s="117"/>
      <c r="CU60" s="117"/>
      <c r="CV60" s="117"/>
      <c r="CW60" s="55"/>
      <c r="CX60" s="55"/>
      <c r="CY60" s="55"/>
      <c r="CZ60" s="55"/>
      <c r="DA60" s="55"/>
      <c r="DB60" s="55"/>
      <c r="DC60" s="55"/>
      <c r="DD60" s="55"/>
      <c r="DE60" s="55"/>
      <c r="DF60" s="55"/>
      <c r="DG60" s="55"/>
      <c r="DH60" s="55"/>
      <c r="DI60" s="55"/>
      <c r="DJ60" s="55" t="n">
        <f aca="false">INDEX($BY$58:$BY$69,MATCH($DQ60,$BD$58:$BD$69,0))</f>
        <v>2</v>
      </c>
      <c r="DK60" s="55"/>
      <c r="DL60" s="55" t="n">
        <f aca="false">IF(OR($H$113=144,$AJ$99=144),COUNTIF($DJ$58:$DJ$69,DJ60),1)</f>
        <v>1</v>
      </c>
      <c r="DM60" s="120" t="str">
        <f aca="false">DJ60&amp;"."&amp;DL60</f>
        <v>2.1</v>
      </c>
      <c r="DN60" s="55" t="n">
        <f aca="true" t="array" ref="DN60:DN60">OFFSET(Horarios!$P$3,DJ60-1,0,DL60,1)</f>
        <v>2</v>
      </c>
      <c r="DO60" s="55"/>
      <c r="DP60" s="55" t="n">
        <v>3</v>
      </c>
      <c r="DQ60" s="55" t="str">
        <f aca="false">INDEX($BD$58:$BD$69,MATCH(DP60,$BM$58:$BM$69,0))</f>
        <v>Catar</v>
      </c>
      <c r="DR60" s="55"/>
      <c r="DS60" s="55"/>
      <c r="DT60" s="55" t="str">
        <f aca="false">AA60&amp;"-"&amp;AF60</f>
        <v>España-Cabo Verde</v>
      </c>
      <c r="DU60" s="55"/>
      <c r="DV60" s="55"/>
      <c r="DW60" s="57"/>
    </row>
    <row r="61" customFormat="false" ht="15" hidden="false" customHeight="false" outlineLevel="0" collapsed="false">
      <c r="A61" s="92" t="str">
        <f aca="false">+Equipos!B30</f>
        <v>España</v>
      </c>
      <c r="B61" s="72"/>
      <c r="C61" s="72"/>
      <c r="D61" s="55" t="str">
        <f aca="false">IF(OR(AC61="",AD61=""),"Pendiente",IF(AC61&gt;AD61,"Local",IF(AC61&lt;AD61,"Visitante","Empate")))</f>
        <v>Empate</v>
      </c>
      <c r="E61" s="55" t="str">
        <f aca="false">IF(D61="Pendiente","-",INDEX($BT$6:$BT$53,MATCH($AA61,$BD$6:$BD$53,0)))</f>
        <v>P.1 (4)</v>
      </c>
      <c r="F61" s="55" t="str">
        <f aca="false">IF(D61="Pendiente","-",INDEX($BT$6:$BT$53,MATCH($AF61,$BD$6:$BD$53,0)))</f>
        <v>P.1 (4)</v>
      </c>
      <c r="G61" s="55"/>
      <c r="H61" s="55" t="str">
        <f aca="false">IF(D61="Pendiente","-",INDEX($BZ$6:$BZ$53,MATCH($AA61,$BD$6:$BD$53,0)))</f>
        <v>P.1 (4)</v>
      </c>
      <c r="I61" s="55" t="str">
        <f aca="false">IF(D61="Pendiente","-",INDEX($BZ$6:$BZ$53,MATCH($AF61,$BD$6:$BD$53,0)))</f>
        <v>P.1 (4)</v>
      </c>
      <c r="J61" s="55"/>
      <c r="K61" s="55" t="str">
        <f aca="false">IF(D61="Pendiente","-",INDEX($CE$6:$CE$53,MATCH($AA61,$BD$6:$BD$53,0)))</f>
        <v>P.1 (4)</v>
      </c>
      <c r="L61" s="55" t="str">
        <f aca="false">IF(D61="Pendiente","-",INDEX($CE$6:$CE$53,MATCH($AF61,$BD$6:$BD$53,0)))</f>
        <v>P.1 (4)</v>
      </c>
      <c r="M61" s="55"/>
      <c r="N61" s="55" t="str">
        <f aca="false">IF(D61="Pendiente","-",INDEX($CH$6:$CH$53,MATCH($AA61,$BD$6:$BD$53,0)))</f>
        <v>P.1 (2)</v>
      </c>
      <c r="O61" s="55" t="str">
        <f aca="false">IF(D61="Pendiente","-",INDEX($CH$6:$CH$53,MATCH($AF61,$BD$6:$BD$53,0)))</f>
        <v>P.1 (2)</v>
      </c>
      <c r="P61" s="55"/>
      <c r="Q61" s="55" t="str">
        <f aca="false">IF(D61="Pendiente","-",INDEX($CN$6:$CN$53,MATCH($AA61,$BD$6:$BD$53,0)))</f>
        <v>P.1 (2)</v>
      </c>
      <c r="R61" s="55" t="str">
        <f aca="false">IF(D61="Pendiente","-",INDEX($CN$6:$CN$53,MATCH($AF61,$BD$6:$BD$53,0)))</f>
        <v>P.1 (2)</v>
      </c>
      <c r="S61" s="55"/>
      <c r="T61" s="55" t="str">
        <f aca="false">IF(D61="Pendiente","-",INDEX($CS$6:$CS$53,MATCH($AA61,$BD$6:$BD$53,0)))</f>
        <v>P.1 (2)</v>
      </c>
      <c r="U61" s="55" t="str">
        <f aca="false">IF(D61="Pendiente","-",INDEX($CS$6:$CS$53,MATCH($AF61,$BD$6:$BD$53,0)))</f>
        <v>P.1 (2)</v>
      </c>
      <c r="V61" s="46"/>
      <c r="W61" s="192"/>
      <c r="X61" s="74" t="n">
        <f aca="false">Horarios!C61</f>
        <v>46189</v>
      </c>
      <c r="Y61" s="75" t="n">
        <f aca="false">Horarios!C61</f>
        <v>46189</v>
      </c>
      <c r="Z61" s="76" t="str">
        <f aca="false">$Z$4</f>
        <v>J1</v>
      </c>
      <c r="AA61" s="77" t="str">
        <f aca="false">A63</f>
        <v>Arabia Saudita</v>
      </c>
      <c r="AB61" s="165" t="str">
        <f aca="true" t="array" ref="AB61:AB61">Ver_flag_local</f>
        <v/>
      </c>
      <c r="AC61" s="79" t="n">
        <v>1</v>
      </c>
      <c r="AD61" s="80" t="n">
        <v>1</v>
      </c>
      <c r="AE61" s="81" t="str">
        <f aca="true" t="array" ref="AE61:AE61">Ver_flag_visit</f>
        <v/>
      </c>
      <c r="AF61" s="82" t="str">
        <f aca="false">A64</f>
        <v>Uruguay</v>
      </c>
      <c r="AG61" s="83" t="n">
        <f aca="false">IF(NOT(OR(ISBLANK(AC61),ISBLANK(AD61))),1,0)</f>
        <v>1</v>
      </c>
      <c r="AH61" s="84" t="n">
        <v>13</v>
      </c>
      <c r="AI61" s="85"/>
      <c r="AJ61" s="93" t="str">
        <f aca="false">AJ5</f>
        <v>Pos</v>
      </c>
      <c r="AK61" s="94"/>
      <c r="AL61" s="95" t="str">
        <f aca="false">AL5</f>
        <v>Selección</v>
      </c>
      <c r="AM61" s="94" t="str">
        <f aca="false">AM5</f>
        <v>Pts</v>
      </c>
      <c r="AN61" s="94" t="str">
        <f aca="false">AN5</f>
        <v>J</v>
      </c>
      <c r="AO61" s="94" t="str">
        <f aca="false">AO5</f>
        <v>G</v>
      </c>
      <c r="AP61" s="94" t="str">
        <f aca="false">AP5</f>
        <v>E</v>
      </c>
      <c r="AQ61" s="94" t="str">
        <f aca="false">AQ5</f>
        <v>P</v>
      </c>
      <c r="AR61" s="94" t="str">
        <f aca="false">AR5</f>
        <v>GF</v>
      </c>
      <c r="AS61" s="94" t="str">
        <f aca="false">AS5</f>
        <v>GC</v>
      </c>
      <c r="AT61" s="96" t="str">
        <f aca="false">AT5</f>
        <v>DG</v>
      </c>
      <c r="AU61" s="161" t="n">
        <f aca="false">COUNTIF(AU62:AU65,"&gt;1")</f>
        <v>0</v>
      </c>
      <c r="AV61" s="97"/>
      <c r="AW61" s="97"/>
      <c r="AX61" s="168"/>
      <c r="AY61" s="98" t="str">
        <f aca="false">AL61</f>
        <v>Selección</v>
      </c>
      <c r="AZ61" s="99" t="str">
        <f aca="false">+Idiomas!$D$69</f>
        <v>Puntos penalizados</v>
      </c>
      <c r="BA61" s="49"/>
      <c r="BB61" s="191" t="str">
        <f aca="false">"3"&amp;BC61</f>
        <v>3D</v>
      </c>
      <c r="BC61" s="116" t="s">
        <v>102</v>
      </c>
      <c r="BD61" s="55" t="str">
        <f aca="false">+INDEX($BD$6:$BN$53,MATCH($BB61,$BN$6:$BN$53,0),MATCH(BD$57,$BD$5:$BN$5,0))</f>
        <v>Turquía</v>
      </c>
      <c r="BE61" s="117" t="n">
        <f aca="false">CHOOSE($BB$57,
  (BG61*3 + BH61)+IF($AZ$3="No",0,INDEX($AZ$6:$AZ$97,MATCH(BD61,$AY$6:$AY$97,0))),
  (BG61*3 + BH61)+IF($AZ$3="No",0,INDEX($AZ$6:$AZ$97,MATCH(BD61,$AY$6:$AY$97,0))),
  IFERROR((BG61*3 + BH61+IF($AZ$3="No",0,INDEX($AZ$6:$AZ$97,MATCH(BD61,$AY$6:$AY$97,0)))) / BF61, 0)
)</f>
        <v>0</v>
      </c>
      <c r="BF61" s="117" t="n">
        <f aca="false">+BG61+BH61+BI61</f>
        <v>1</v>
      </c>
      <c r="BG61" s="117" t="n">
        <f aca="false">CHOOSE(IF($BB$57=2, 2, 1),
  INDEX($BG$6:$BG$53,MATCH($BB61,$BN$6:$BN$53,0)),
  INDEX($BG$6:$BG$53,MATCH($BB61,$BN$6:$BN$53,0))-(COUNTIFS(FGLocal,$BD61,FGVisitante,INDEX($BD$6:$BD$53,MATCH(BO61,$BN$6:$BN$53,0)),Ganador,"Local")+COUNTIFS(FGVisitante,$BD61,FGLocal,INDEX($BD$6:$BD$53,MATCH(BO61,$BN$6:$BN$53,0)),Ganador,"Visitante"))
)</f>
        <v>0</v>
      </c>
      <c r="BH61" s="117" t="n">
        <f aca="false">CHOOSE(IF($BB$57=2, 2, 1),
  INDEX($BH$6:$BH$53,MATCH($BB61,$BN$6:$BN$53,0)),
  INDEX($BH$6:$BH$53,MATCH($BB61,$BN$6:$BN$53,0))-(COUNTIFS(FGLocal,$BD61,FGVisitante,INDEX($BD$6:$BD$53,MATCH(BO61,$BN$6:$BN$53,0)),Ganador,"Empate")+COUNTIFS(FGVisitante,$BD61,FGLocal,INDEX($BD$6:$BD$53,MATCH(BO61,$BN$6:$BN$53,0)),Ganador,"Empate"))
)</f>
        <v>0</v>
      </c>
      <c r="BI61" s="117" t="n">
        <f aca="false">CHOOSE(IF($BB$57=2, 2, 1),
  INDEX($BI$6:$BI$53,MATCH($BB61,$BN$6:$BN$53,0)),
  INDEX($BI$6:$BI$53,MATCH($BB61,$BN$6:$BN$53,0))-(COUNTIFS(FGLocal,$BD61,FGVisitante,INDEX($BD$6:$BD$53,MATCH(BO61,$BN$6:$BN$53,0)),Ganador,"Visitante")+COUNTIFS(FGVisitante,$BD61,FGLocal,INDEX($BD$6:$BD$53,MATCH(BO61,$BN$6:$BN$53,0)),Ganador,"Local"))
)</f>
        <v>1</v>
      </c>
      <c r="BJ61" s="117" t="n">
        <f aca="false">CHOOSE($BB$57,
  INDEX($BJ$6:$BJ$53,MATCH($BB61,$BN$6:$BN$53,0)),
  INDEX($BJ$6:$BJ$53,MATCH($BB61,$BN$6:$BN$53,0))-(SUMIFS(FG_GolesLocal,FGLocal,$BD61,FGVisitante,INDEX($BD$6:$BD$53,MATCH(BO61,$BN$6:$BN$53,0)))+SUMIFS(FG_GolesVisitante,FGVisitante,$BD61,FGLocal,INDEX($BD$6:$BD$53,MATCH(BO61,$BN$6:$BN$53,0)))),
  IFERROR(INDEX($BJ$6:$BJ$53,MATCH($BB61,$BN$6:$BN$53,0)) / BF61, 0)
)</f>
        <v>0</v>
      </c>
      <c r="BK61" s="117" t="n">
        <f aca="false">CHOOSE($BB$57,
  INDEX($BK$6:$BK$53,MATCH($BB61,$BN$6:$BN$53,0)),
  INDEX($BK$6:$BK$53,MATCH($BB61,$BN$6:$BN$53,0))-(SUMIFS(FG_GolesVisitante,FGLocal,$BD61,FGVisitante,INDEX($BD$6:$BD$53,MATCH(BO61,$BN$6:$BN$53,0)))+SUMIFS(FG_GolesLocal,FGVisitante,$BD61,FGLocal,INDEX($BD$6:$BD$53,MATCH(BO61,$BN$6:$BN$53,0)))),
  IFERROR(INDEX($BK$6:$BK$53,MATCH($BB61,$BN$6:$BN$53,0)) / BF61, 0)
)</f>
        <v>2</v>
      </c>
      <c r="BL61" s="117" t="n">
        <f aca="false">BJ61-BK61</f>
        <v>-2</v>
      </c>
      <c r="BM61" s="117" t="n">
        <f aca="false">CB61</f>
        <v>12</v>
      </c>
      <c r="BN61" s="117" t="n">
        <f aca="false">CF61</f>
        <v>12</v>
      </c>
      <c r="BO61" s="120" t="str">
        <f aca="false">"4"&amp;BC61</f>
        <v>4D</v>
      </c>
      <c r="BP61" s="120"/>
      <c r="BQ61" s="120"/>
      <c r="BR61" s="117" t="n">
        <f aca="false">+BE61</f>
        <v>0</v>
      </c>
      <c r="BS61" s="117" t="n">
        <f aca="false">COUNTIFS(BR$58:BR$69,"&gt;"&amp;BR61)+1</f>
        <v>6</v>
      </c>
      <c r="BT61" s="117" t="str">
        <f aca="false">IF(COUNTIF(BS$58:BS$69,BS61)=1,"-","Pos. "&amp;BS61&amp;" ("&amp;COUNTIF(BS$58:BS$69,BS61)&amp;")")</f>
        <v>Pos. 6 (7)</v>
      </c>
      <c r="BU61" s="117" t="n">
        <f aca="false">IF(BT61="-","-",BL61)</f>
        <v>-2</v>
      </c>
      <c r="BV61" s="117" t="n">
        <f aca="false">BS61+COUNTIFS(BT$58:BT$69,BT61,BU$58:BU$69,"&gt;"&amp;BU61)</f>
        <v>12</v>
      </c>
      <c r="BW61" s="117" t="str">
        <f aca="false">IF(COUNTIF(BV$58:BV$69,BV61)=1,"-","Pos. "&amp;BV61&amp;" ("&amp;COUNTIF(BV$58:BV$69,BV61)&amp;")")</f>
        <v>-</v>
      </c>
      <c r="BX61" s="117" t="str">
        <f aca="false">IF(BW61="-","-",BJ61)</f>
        <v>-</v>
      </c>
      <c r="BY61" s="117" t="n">
        <f aca="false">BV61+COUNTIFS(BW$58:BW$69,BW61,BX$58:BX$69,"&gt;"&amp;BX61)</f>
        <v>12</v>
      </c>
      <c r="BZ61" s="117" t="str">
        <f aca="false">IF(COUNTIF(BY$58:BY$69,BY61)=1,"-","Pos. "&amp;BY61&amp;" ("&amp;COUNTIF(BY$58:BY$69,BY61)&amp;")")</f>
        <v>-</v>
      </c>
      <c r="CA61" s="117" t="str">
        <f aca="false">IF(BZ61="-","-",COUNTIF($BD$58:$BD$69,"&gt;"&amp;BD61))</f>
        <v>-</v>
      </c>
      <c r="CB61" s="117" t="n">
        <f aca="false">BY61+COUNTIFS(BZ$58:BZ$69,BZ61,CA$58:CA$69,"&gt;"&amp;CA61)</f>
        <v>12</v>
      </c>
      <c r="CC61" s="117"/>
      <c r="CD61" s="117" t="n">
        <f aca="false">IF(OR(INDEX($AW$102:$AW$113,MATCH($BD61,$AV$102:$AV$113,0))="",BZ61="-"),CB61,INDEX($AW$102:$AW$113,MATCH($BD61,$AV$102:$AV$113,0))+CB61/1000)</f>
        <v>12</v>
      </c>
      <c r="CE61" s="117" t="str">
        <f aca="false">IF(BZ61="-","-",COUNTIF(CD$58:CD$69,"&lt;"&amp;CD61))</f>
        <v>-</v>
      </c>
      <c r="CF61" s="117" t="n">
        <f aca="false">BY61+COUNTIFS(BZ$58:BZ$69,BZ61,CE$58:CE$69,"&lt;"&amp;CE61)</f>
        <v>12</v>
      </c>
      <c r="CG61" s="117"/>
      <c r="CH61" s="117"/>
      <c r="CI61" s="117"/>
      <c r="CJ61" s="117"/>
      <c r="CK61" s="117"/>
      <c r="CL61" s="117"/>
      <c r="CM61" s="117"/>
      <c r="CN61" s="117"/>
      <c r="CO61" s="117"/>
      <c r="CP61" s="117"/>
      <c r="CQ61" s="117"/>
      <c r="CR61" s="117"/>
      <c r="CS61" s="117"/>
      <c r="CT61" s="117"/>
      <c r="CU61" s="117"/>
      <c r="CV61" s="117"/>
      <c r="CW61" s="55"/>
      <c r="CX61" s="55"/>
      <c r="CY61" s="55"/>
      <c r="CZ61" s="55"/>
      <c r="DA61" s="55"/>
      <c r="DB61" s="55"/>
      <c r="DC61" s="55"/>
      <c r="DD61" s="55"/>
      <c r="DE61" s="55"/>
      <c r="DF61" s="55"/>
      <c r="DG61" s="55"/>
      <c r="DH61" s="55"/>
      <c r="DI61" s="55"/>
      <c r="DJ61" s="55" t="n">
        <f aca="false">INDEX($BY$58:$BY$69,MATCH($DQ61,$BD$58:$BD$69,0))</f>
        <v>2</v>
      </c>
      <c r="DK61" s="55"/>
      <c r="DL61" s="55" t="n">
        <f aca="false">IF(OR($H$113=144,$AJ$99=144),COUNTIF($DJ$58:$DJ$69,DJ61),1)</f>
        <v>1</v>
      </c>
      <c r="DM61" s="120" t="str">
        <f aca="false">DJ61&amp;"."&amp;DL61</f>
        <v>2.1</v>
      </c>
      <c r="DN61" s="55" t="n">
        <f aca="true" t="array" ref="DN61:DN61">OFFSET(Horarios!$P$3,DJ61-1,0,DL61,1)</f>
        <v>2</v>
      </c>
      <c r="DO61" s="55"/>
      <c r="DP61" s="55" t="n">
        <v>4</v>
      </c>
      <c r="DQ61" s="55" t="str">
        <f aca="false">INDEX($BD$58:$BD$69,MATCH(DP61,$BM$58:$BM$69,0))</f>
        <v>Marruecos</v>
      </c>
      <c r="DR61" s="55"/>
      <c r="DS61" s="55"/>
      <c r="DT61" s="55" t="str">
        <f aca="false">AA61&amp;"-"&amp;AF61</f>
        <v>Arabia Saudita-Uruguay</v>
      </c>
      <c r="DU61" s="55"/>
      <c r="DV61" s="55"/>
      <c r="DW61" s="57"/>
    </row>
    <row r="62" customFormat="false" ht="15" hidden="false" customHeight="false" outlineLevel="0" collapsed="false">
      <c r="A62" s="92" t="str">
        <f aca="false">+Equipos!B31</f>
        <v>Cabo Verde</v>
      </c>
      <c r="B62" s="72"/>
      <c r="C62" s="103"/>
      <c r="D62" s="55" t="str">
        <f aca="false">IF(OR(AC62="",AD62=""),"Pendiente",IF(AC62&gt;AD62,"Local",IF(AC62&lt;AD62,"Visitante","Empate")))</f>
        <v>Pendiente</v>
      </c>
      <c r="E62" s="55" t="str">
        <f aca="false">IF(D62="Pendiente","-",INDEX($BT$6:$BT$53,MATCH($AA62,$BD$6:$BD$53,0)))</f>
        <v>-</v>
      </c>
      <c r="F62" s="55" t="str">
        <f aca="false">IF(D62="Pendiente","-",INDEX($BT$6:$BT$53,MATCH($AF62,$BD$6:$BD$53,0)))</f>
        <v>-</v>
      </c>
      <c r="G62" s="55"/>
      <c r="H62" s="55" t="str">
        <f aca="false">IF(D62="Pendiente","-",INDEX($BZ$6:$BZ$53,MATCH($AA62,$BD$6:$BD$53,0)))</f>
        <v>-</v>
      </c>
      <c r="I62" s="55" t="str">
        <f aca="false">IF(D62="Pendiente","-",INDEX($BZ$6:$BZ$53,MATCH($AF62,$BD$6:$BD$53,0)))</f>
        <v>-</v>
      </c>
      <c r="J62" s="55"/>
      <c r="K62" s="55" t="str">
        <f aca="false">IF(D62="Pendiente","-",INDEX($CE$6:$CE$53,MATCH($AA62,$BD$6:$BD$53,0)))</f>
        <v>-</v>
      </c>
      <c r="L62" s="55" t="str">
        <f aca="false">IF(D62="Pendiente","-",INDEX($CE$6:$CE$53,MATCH($AF62,$BD$6:$BD$53,0)))</f>
        <v>-</v>
      </c>
      <c r="M62" s="55"/>
      <c r="N62" s="55" t="str">
        <f aca="false">IF(D62="Pendiente","-",INDEX($CH$6:$CH$53,MATCH($AA62,$BD$6:$BD$53,0)))</f>
        <v>-</v>
      </c>
      <c r="O62" s="55" t="str">
        <f aca="false">IF(D62="Pendiente","-",INDEX($CH$6:$CH$53,MATCH($AF62,$BD$6:$BD$53,0)))</f>
        <v>-</v>
      </c>
      <c r="P62" s="55"/>
      <c r="Q62" s="55" t="str">
        <f aca="false">IF(D62="Pendiente","-",INDEX($CN$6:$CN$53,MATCH($AA62,$BD$6:$BD$53,0)))</f>
        <v>-</v>
      </c>
      <c r="R62" s="55" t="str">
        <f aca="false">IF(D62="Pendiente","-",INDEX($CN$6:$CN$53,MATCH($AF62,$BD$6:$BD$53,0)))</f>
        <v>-</v>
      </c>
      <c r="S62" s="55"/>
      <c r="T62" s="55" t="str">
        <f aca="false">IF(D62="Pendiente","-",INDEX($CS$6:$CS$53,MATCH($AA62,$BD$6:$BD$53,0)))</f>
        <v>-</v>
      </c>
      <c r="U62" s="55" t="str">
        <f aca="false">IF(D62="Pendiente","-",INDEX($CS$6:$CS$53,MATCH($AF62,$BD$6:$BD$53,0)))</f>
        <v>-</v>
      </c>
      <c r="V62" s="46"/>
      <c r="W62" s="192"/>
      <c r="X62" s="74" t="n">
        <f aca="false">Horarios!C62</f>
        <v>46194.75</v>
      </c>
      <c r="Y62" s="75" t="n">
        <f aca="false">Horarios!C62</f>
        <v>46194.75</v>
      </c>
      <c r="Z62" s="76" t="str">
        <f aca="false">$Z$6</f>
        <v>J2</v>
      </c>
      <c r="AA62" s="77" t="str">
        <f aca="false">A61</f>
        <v>España</v>
      </c>
      <c r="AB62" s="165" t="str">
        <f aca="true" t="array" ref="AB62:AB62">Ver_flag_local</f>
        <v/>
      </c>
      <c r="AC62" s="79"/>
      <c r="AD62" s="80"/>
      <c r="AE62" s="81" t="str">
        <f aca="true" t="array" ref="AE62:AE62">Ver_flag_visit</f>
        <v/>
      </c>
      <c r="AF62" s="82" t="str">
        <f aca="false">A63</f>
        <v>Arabia Saudita</v>
      </c>
      <c r="AG62" s="83" t="n">
        <f aca="false">IF(NOT(OR(ISBLANK(AC62),ISBLANK(AD62))),1,0)</f>
        <v>0</v>
      </c>
      <c r="AH62" s="84" t="n">
        <v>38</v>
      </c>
      <c r="AI62" s="85" t="str">
        <f aca="false">AJ62&amp;$B$60</f>
        <v>1H</v>
      </c>
      <c r="AJ62" s="104" t="n">
        <v>1</v>
      </c>
      <c r="AK62" s="170" t="str">
        <f aca="true" t="array" ref="AK62:AK62">Ver_flag_visit</f>
        <v/>
      </c>
      <c r="AL62" s="106" t="str">
        <f aca="false">IFERROR(INDEX($BD$6:$BD$53,MATCH(AI62,$BN$6:$BN$53,0)),"")</f>
        <v>Arabia Saudita</v>
      </c>
      <c r="AM62" s="107" t="n">
        <f aca="false">INDEX($BE$6:$BN$53,MATCH($AL62,$BD$6:$BD$53,0),MATCH(AM$5,$BE$5:$BN$5,0))</f>
        <v>1</v>
      </c>
      <c r="AN62" s="108" t="n">
        <f aca="false">INDEX($BE$6:$BN$53,MATCH($AL62,$BD$6:$BD$53,0),MATCH(AN$5,$BE$5:$BN$5,0))</f>
        <v>1</v>
      </c>
      <c r="AO62" s="108" t="n">
        <f aca="false">INDEX($BE$6:$BN$53,MATCH($AL62,$BD$6:$BD$53,0),MATCH(AO$5,$BE$5:$BN$5,0))</f>
        <v>0</v>
      </c>
      <c r="AP62" s="108" t="n">
        <f aca="false">INDEX($BE$6:$BN$53,MATCH($AL62,$BD$6:$BD$53,0),MATCH(AP$5,$BE$5:$BN$5,0))</f>
        <v>1</v>
      </c>
      <c r="AQ62" s="108" t="n">
        <f aca="false">INDEX($BE$6:$BN$53,MATCH($AL62,$BD$6:$BD$53,0),MATCH(AQ$5,$BE$5:$BN$5,0))</f>
        <v>0</v>
      </c>
      <c r="AR62" s="108" t="n">
        <f aca="false">INDEX($BE$6:$BN$53,MATCH($AL62,$BD$6:$BD$53,0),MATCH(AR$5,$BE$5:$BN$5,0))</f>
        <v>1</v>
      </c>
      <c r="AS62" s="108" t="n">
        <f aca="false">INDEX($BE$6:$BN$53,MATCH($AL62,$BD$6:$BD$53,0),MATCH(AS$5,$BE$5:$BN$5,0))</f>
        <v>1</v>
      </c>
      <c r="AT62" s="109" t="n">
        <f aca="false">INDEX($BE$6:$BN$53,MATCH($AL62,$BD$6:$BD$53,0),MATCH(AT$5,$BE$5:$BN$5,0))</f>
        <v>0</v>
      </c>
      <c r="AU62" s="110" t="n">
        <f aca="false">INDEX($DL$6:$DL$53,MATCH(AI62,$DP$6:$DP$53,0))</f>
        <v>1</v>
      </c>
      <c r="AV62" s="111" t="str">
        <f aca="false">INDEX($BD$6:$BD$53,MATCH(AI62,$BM$6:$BM$53,0))</f>
        <v>Arabia Saudita</v>
      </c>
      <c r="AW62" s="112"/>
      <c r="AX62" s="113"/>
      <c r="AY62" s="114" t="str">
        <f aca="false">+A61</f>
        <v>España</v>
      </c>
      <c r="AZ62" s="115"/>
      <c r="BA62" s="49"/>
      <c r="BB62" s="191" t="str">
        <f aca="false">"3"&amp;BC62</f>
        <v>3E</v>
      </c>
      <c r="BC62" s="116" t="s">
        <v>111</v>
      </c>
      <c r="BD62" s="55" t="str">
        <f aca="false">+INDEX($BD$6:$BN$53,MATCH($BB62,$BN$6:$BN$53,0),MATCH(BD$57,$BD$5:$BN$5,0))</f>
        <v>Ecuador</v>
      </c>
      <c r="BE62" s="117" t="n">
        <f aca="false">CHOOSE($BB$57,
  (BG62*3 + BH62)+IF($AZ$3="No",0,INDEX($AZ$6:$AZ$97,MATCH(BD62,$AY$6:$AY$97,0))),
  (BG62*3 + BH62)+IF($AZ$3="No",0,INDEX($AZ$6:$AZ$97,MATCH(BD62,$AY$6:$AY$97,0))),
  IFERROR((BG62*3 + BH62+IF($AZ$3="No",0,INDEX($AZ$6:$AZ$97,MATCH(BD62,$AY$6:$AY$97,0)))) / BF62, 0)
)</f>
        <v>0</v>
      </c>
      <c r="BF62" s="117" t="n">
        <f aca="false">+BG62+BH62+BI62</f>
        <v>1</v>
      </c>
      <c r="BG62" s="117" t="n">
        <f aca="false">CHOOSE(IF($BB$57=2, 2, 1),
  INDEX($BG$6:$BG$53,MATCH($BB62,$BN$6:$BN$53,0)),
  INDEX($BG$6:$BG$53,MATCH($BB62,$BN$6:$BN$53,0))-(COUNTIFS(FGLocal,$BD62,FGVisitante,INDEX($BD$6:$BD$53,MATCH(BO62,$BN$6:$BN$53,0)),Ganador,"Local")+COUNTIFS(FGVisitante,$BD62,FGLocal,INDEX($BD$6:$BD$53,MATCH(BO62,$BN$6:$BN$53,0)),Ganador,"Visitante"))
)</f>
        <v>0</v>
      </c>
      <c r="BH62" s="117" t="n">
        <f aca="false">CHOOSE(IF($BB$57=2, 2, 1),
  INDEX($BH$6:$BH$53,MATCH($BB62,$BN$6:$BN$53,0)),
  INDEX($BH$6:$BH$53,MATCH($BB62,$BN$6:$BN$53,0))-(COUNTIFS(FGLocal,$BD62,FGVisitante,INDEX($BD$6:$BD$53,MATCH(BO62,$BN$6:$BN$53,0)),Ganador,"Empate")+COUNTIFS(FGVisitante,$BD62,FGLocal,INDEX($BD$6:$BD$53,MATCH(BO62,$BN$6:$BN$53,0)),Ganador,"Empate"))
)</f>
        <v>0</v>
      </c>
      <c r="BI62" s="117" t="n">
        <f aca="false">CHOOSE(IF($BB$57=2, 2, 1),
  INDEX($BI$6:$BI$53,MATCH($BB62,$BN$6:$BN$53,0)),
  INDEX($BI$6:$BI$53,MATCH($BB62,$BN$6:$BN$53,0))-(COUNTIFS(FGLocal,$BD62,FGVisitante,INDEX($BD$6:$BD$53,MATCH(BO62,$BN$6:$BN$53,0)),Ganador,"Visitante")+COUNTIFS(FGVisitante,$BD62,FGLocal,INDEX($BD$6:$BD$53,MATCH(BO62,$BN$6:$BN$53,0)),Ganador,"Local"))
)</f>
        <v>1</v>
      </c>
      <c r="BJ62" s="117" t="n">
        <f aca="false">CHOOSE($BB$57,
  INDEX($BJ$6:$BJ$53,MATCH($BB62,$BN$6:$BN$53,0)),
  INDEX($BJ$6:$BJ$53,MATCH($BB62,$BN$6:$BN$53,0))-(SUMIFS(FG_GolesLocal,FGLocal,$BD62,FGVisitante,INDEX($BD$6:$BD$53,MATCH(BO62,$BN$6:$BN$53,0)))+SUMIFS(FG_GolesVisitante,FGVisitante,$BD62,FGLocal,INDEX($BD$6:$BD$53,MATCH(BO62,$BN$6:$BN$53,0)))),
  IFERROR(INDEX($BJ$6:$BJ$53,MATCH($BB62,$BN$6:$BN$53,0)) / BF62, 0)
)</f>
        <v>0</v>
      </c>
      <c r="BK62" s="117" t="n">
        <f aca="false">CHOOSE($BB$57,
  INDEX($BK$6:$BK$53,MATCH($BB62,$BN$6:$BN$53,0)),
  INDEX($BK$6:$BK$53,MATCH($BB62,$BN$6:$BN$53,0))-(SUMIFS(FG_GolesVisitante,FGLocal,$BD62,FGVisitante,INDEX($BD$6:$BD$53,MATCH(BO62,$BN$6:$BN$53,0)))+SUMIFS(FG_GolesLocal,FGVisitante,$BD62,FGLocal,INDEX($BD$6:$BD$53,MATCH(BO62,$BN$6:$BN$53,0)))),
  IFERROR(INDEX($BK$6:$BK$53,MATCH($BB62,$BN$6:$BN$53,0)) / BF62, 0)
)</f>
        <v>1</v>
      </c>
      <c r="BL62" s="117" t="n">
        <f aca="false">BJ62-BK62</f>
        <v>-1</v>
      </c>
      <c r="BM62" s="117" t="n">
        <f aca="false">CB62</f>
        <v>11</v>
      </c>
      <c r="BN62" s="117" t="n">
        <f aca="false">CF62</f>
        <v>11</v>
      </c>
      <c r="BO62" s="120" t="str">
        <f aca="false">"4"&amp;BC62</f>
        <v>4E</v>
      </c>
      <c r="BP62" s="120"/>
      <c r="BQ62" s="120"/>
      <c r="BR62" s="117" t="n">
        <f aca="false">+BE62</f>
        <v>0</v>
      </c>
      <c r="BS62" s="117" t="n">
        <f aca="false">COUNTIFS(BR$58:BR$69,"&gt;"&amp;BR62)+1</f>
        <v>6</v>
      </c>
      <c r="BT62" s="117" t="str">
        <f aca="false">IF(COUNTIF(BS$58:BS$69,BS62)=1,"-","Pos. "&amp;BS62&amp;" ("&amp;COUNTIF(BS$58:BS$69,BS62)&amp;")")</f>
        <v>Pos. 6 (7)</v>
      </c>
      <c r="BU62" s="117" t="n">
        <f aca="false">IF(BT62="-","-",BL62)</f>
        <v>-1</v>
      </c>
      <c r="BV62" s="117" t="n">
        <f aca="false">BS62+COUNTIFS(BT$58:BT$69,BT62,BU$58:BU$69,"&gt;"&amp;BU62)</f>
        <v>10</v>
      </c>
      <c r="BW62" s="117" t="str">
        <f aca="false">IF(COUNTIF(BV$58:BV$69,BV62)=1,"-","Pos. "&amp;BV62&amp;" ("&amp;COUNTIF(BV$58:BV$69,BV62)&amp;")")</f>
        <v>Pos. 10 (2)</v>
      </c>
      <c r="BX62" s="117" t="n">
        <f aca="false">IF(BW62="-","-",BJ62)</f>
        <v>0</v>
      </c>
      <c r="BY62" s="117" t="n">
        <f aca="false">BV62+COUNTIFS(BW$58:BW$69,BW62,BX$58:BX$69,"&gt;"&amp;BX62)</f>
        <v>11</v>
      </c>
      <c r="BZ62" s="117" t="str">
        <f aca="false">IF(COUNTIF(BY$58:BY$69,BY62)=1,"-","Pos. "&amp;BY62&amp;" ("&amp;COUNTIF(BY$58:BY$69,BY62)&amp;")")</f>
        <v>-</v>
      </c>
      <c r="CA62" s="117" t="str">
        <f aca="false">IF(BZ62="-","-",COUNTIF($BD$58:$BD$69,"&gt;"&amp;BD62))</f>
        <v>-</v>
      </c>
      <c r="CB62" s="117" t="n">
        <f aca="false">BY62+COUNTIFS(BZ$58:BZ$69,BZ62,CA$58:CA$69,"&gt;"&amp;CA62)</f>
        <v>11</v>
      </c>
      <c r="CC62" s="117"/>
      <c r="CD62" s="117" t="n">
        <f aca="false">IF(OR(INDEX($AW$102:$AW$113,MATCH($BD62,$AV$102:$AV$113,0))="",BZ62="-"),CB62,INDEX($AW$102:$AW$113,MATCH($BD62,$AV$102:$AV$113,0))+CB62/1000)</f>
        <v>11</v>
      </c>
      <c r="CE62" s="117" t="str">
        <f aca="false">IF(BZ62="-","-",COUNTIF(CD$58:CD$69,"&lt;"&amp;CD62))</f>
        <v>-</v>
      </c>
      <c r="CF62" s="117" t="n">
        <f aca="false">BY62+COUNTIFS(BZ$58:BZ$69,BZ62,CE$58:CE$69,"&lt;"&amp;CE62)</f>
        <v>11</v>
      </c>
      <c r="CG62" s="117"/>
      <c r="CH62" s="117"/>
      <c r="CI62" s="117"/>
      <c r="CJ62" s="117"/>
      <c r="CK62" s="117"/>
      <c r="CL62" s="117"/>
      <c r="CM62" s="117"/>
      <c r="CN62" s="117"/>
      <c r="CO62" s="117"/>
      <c r="CP62" s="117"/>
      <c r="CQ62" s="117"/>
      <c r="CR62" s="117"/>
      <c r="CS62" s="117"/>
      <c r="CT62" s="117"/>
      <c r="CU62" s="117"/>
      <c r="CV62" s="117"/>
      <c r="CW62" s="55"/>
      <c r="CX62" s="55"/>
      <c r="CY62" s="55"/>
      <c r="CZ62" s="55"/>
      <c r="DA62" s="55"/>
      <c r="DB62" s="55"/>
      <c r="DC62" s="55"/>
      <c r="DD62" s="55"/>
      <c r="DE62" s="55"/>
      <c r="DF62" s="55"/>
      <c r="DG62" s="55"/>
      <c r="DH62" s="55"/>
      <c r="DI62" s="55"/>
      <c r="DJ62" s="55" t="n">
        <f aca="false">INDEX($BY$58:$BY$69,MATCH($DQ62,$BD$58:$BD$69,0))</f>
        <v>5</v>
      </c>
      <c r="DK62" s="55"/>
      <c r="DL62" s="55" t="n">
        <f aca="false">IF(OR($H$113=144,$AJ$99=144),COUNTIF($DJ$58:$DJ$69,DJ62),1)</f>
        <v>1</v>
      </c>
      <c r="DM62" s="120" t="str">
        <f aca="false">DJ62&amp;"."&amp;DL62</f>
        <v>5.1</v>
      </c>
      <c r="DN62" s="55" t="n">
        <f aca="true" t="array" ref="DN62:DN62">OFFSET(Horarios!$P$3,DJ62-1,0,DL62,1)</f>
        <v>5</v>
      </c>
      <c r="DO62" s="55"/>
      <c r="DP62" s="55" t="n">
        <v>5</v>
      </c>
      <c r="DQ62" s="55" t="str">
        <f aca="false">INDEX($BD$58:$BD$69,MATCH(DP62,$BM$58:$BM$69,0))</f>
        <v>España</v>
      </c>
      <c r="DR62" s="55"/>
      <c r="DS62" s="55"/>
      <c r="DT62" s="55" t="str">
        <f aca="false">AA62&amp;"-"&amp;AF62</f>
        <v>España-Arabia Saudita</v>
      </c>
      <c r="DU62" s="55"/>
      <c r="DV62" s="55"/>
      <c r="DW62" s="57"/>
    </row>
    <row r="63" customFormat="false" ht="15" hidden="false" customHeight="false" outlineLevel="0" collapsed="false">
      <c r="A63" s="92" t="str">
        <f aca="false">+Equipos!B32</f>
        <v>Arabia Saudita</v>
      </c>
      <c r="B63" s="72"/>
      <c r="C63" s="55"/>
      <c r="D63" s="55" t="str">
        <f aca="false">IF(OR(AC63="",AD63=""),"Pendiente",IF(AC63&gt;AD63,"Local",IF(AC63&lt;AD63,"Visitante","Empate")))</f>
        <v>Pendiente</v>
      </c>
      <c r="E63" s="55" t="str">
        <f aca="false">IF(D63="Pendiente","-",INDEX($BT$6:$BT$53,MATCH($AA63,$BD$6:$BD$53,0)))</f>
        <v>-</v>
      </c>
      <c r="F63" s="55" t="str">
        <f aca="false">IF(D63="Pendiente","-",INDEX($BT$6:$BT$53,MATCH($AF63,$BD$6:$BD$53,0)))</f>
        <v>-</v>
      </c>
      <c r="G63" s="55"/>
      <c r="H63" s="55" t="str">
        <f aca="false">IF(D63="Pendiente","-",INDEX($BZ$6:$BZ$53,MATCH($AA63,$BD$6:$BD$53,0)))</f>
        <v>-</v>
      </c>
      <c r="I63" s="55" t="str">
        <f aca="false">IF(D63="Pendiente","-",INDEX($BZ$6:$BZ$53,MATCH($AF63,$BD$6:$BD$53,0)))</f>
        <v>-</v>
      </c>
      <c r="J63" s="55"/>
      <c r="K63" s="55" t="str">
        <f aca="false">IF(D63="Pendiente","-",INDEX($CE$6:$CE$53,MATCH($AA63,$BD$6:$BD$53,0)))</f>
        <v>-</v>
      </c>
      <c r="L63" s="55" t="str">
        <f aca="false">IF(D63="Pendiente","-",INDEX($CE$6:$CE$53,MATCH($AF63,$BD$6:$BD$53,0)))</f>
        <v>-</v>
      </c>
      <c r="M63" s="55"/>
      <c r="N63" s="55" t="str">
        <f aca="false">IF(D63="Pendiente","-",INDEX($CH$6:$CH$53,MATCH($AA63,$BD$6:$BD$53,0)))</f>
        <v>-</v>
      </c>
      <c r="O63" s="55" t="str">
        <f aca="false">IF(D63="Pendiente","-",INDEX($CH$6:$CH$53,MATCH($AF63,$BD$6:$BD$53,0)))</f>
        <v>-</v>
      </c>
      <c r="P63" s="55"/>
      <c r="Q63" s="55" t="str">
        <f aca="false">IF(D63="Pendiente","-",INDEX($CN$6:$CN$53,MATCH($AA63,$BD$6:$BD$53,0)))</f>
        <v>-</v>
      </c>
      <c r="R63" s="55" t="str">
        <f aca="false">IF(D63="Pendiente","-",INDEX($CN$6:$CN$53,MATCH($AF63,$BD$6:$BD$53,0)))</f>
        <v>-</v>
      </c>
      <c r="S63" s="55"/>
      <c r="T63" s="55" t="str">
        <f aca="false">IF(D63="Pendiente","-",INDEX($CS$6:$CS$53,MATCH($AA63,$BD$6:$BD$53,0)))</f>
        <v>-</v>
      </c>
      <c r="U63" s="55" t="str">
        <f aca="false">IF(D63="Pendiente","-",INDEX($CS$6:$CS$53,MATCH($AF63,$BD$6:$BD$53,0)))</f>
        <v>-</v>
      </c>
      <c r="V63" s="46"/>
      <c r="W63" s="192"/>
      <c r="X63" s="74" t="n">
        <f aca="false">Horarios!C63</f>
        <v>46195</v>
      </c>
      <c r="Y63" s="75" t="n">
        <f aca="false">Horarios!C63</f>
        <v>46195</v>
      </c>
      <c r="Z63" s="76" t="str">
        <f aca="false">$Z$6</f>
        <v>J2</v>
      </c>
      <c r="AA63" s="77" t="str">
        <f aca="false">A64</f>
        <v>Uruguay</v>
      </c>
      <c r="AB63" s="165" t="str">
        <f aca="true" t="array" ref="AB63:AB63">Ver_flag_local</f>
        <v/>
      </c>
      <c r="AC63" s="79"/>
      <c r="AD63" s="80"/>
      <c r="AE63" s="81" t="str">
        <f aca="true" t="array" ref="AE63:AE63">Ver_flag_visit</f>
        <v/>
      </c>
      <c r="AF63" s="82" t="str">
        <f aca="false">A62</f>
        <v>Cabo Verde</v>
      </c>
      <c r="AG63" s="83" t="n">
        <f aca="false">IF(NOT(OR(ISBLANK(AC63),ISBLANK(AD63))),1,0)</f>
        <v>0</v>
      </c>
      <c r="AH63" s="84" t="n">
        <v>37</v>
      </c>
      <c r="AI63" s="85" t="str">
        <f aca="false">AJ63&amp;$B$60</f>
        <v>2H</v>
      </c>
      <c r="AJ63" s="121" t="n">
        <v>2</v>
      </c>
      <c r="AK63" s="173" t="str">
        <f aca="true" t="array" ref="AK63:AK63">Ver_flag_visit</f>
        <v/>
      </c>
      <c r="AL63" s="123" t="str">
        <f aca="false">IFERROR(INDEX($BD$6:$BD$53,MATCH(AI63,$BN$6:$BN$53,0)),"")</f>
        <v>Uruguay</v>
      </c>
      <c r="AM63" s="124" t="n">
        <f aca="false">INDEX($BE$6:$BN$53,MATCH($AL63,$BD$6:$BD$53,0),MATCH(AM$5,$BE$5:$BN$5,0))</f>
        <v>1</v>
      </c>
      <c r="AN63" s="125" t="n">
        <f aca="false">INDEX($BE$6:$BN$53,MATCH($AL63,$BD$6:$BD$53,0),MATCH(AN$5,$BE$5:$BN$5,0))</f>
        <v>1</v>
      </c>
      <c r="AO63" s="125" t="n">
        <f aca="false">INDEX($BE$6:$BN$53,MATCH($AL63,$BD$6:$BD$53,0),MATCH(AO$5,$BE$5:$BN$5,0))</f>
        <v>0</v>
      </c>
      <c r="AP63" s="125" t="n">
        <f aca="false">INDEX($BE$6:$BN$53,MATCH($AL63,$BD$6:$BD$53,0),MATCH(AP$5,$BE$5:$BN$5,0))</f>
        <v>1</v>
      </c>
      <c r="AQ63" s="125" t="n">
        <f aca="false">INDEX($BE$6:$BN$53,MATCH($AL63,$BD$6:$BD$53,0),MATCH(AQ$5,$BE$5:$BN$5,0))</f>
        <v>0</v>
      </c>
      <c r="AR63" s="125" t="n">
        <f aca="false">INDEX($BE$6:$BN$53,MATCH($AL63,$BD$6:$BD$53,0),MATCH(AR$5,$BE$5:$BN$5,0))</f>
        <v>1</v>
      </c>
      <c r="AS63" s="125" t="n">
        <f aca="false">INDEX($BE$6:$BN$53,MATCH($AL63,$BD$6:$BD$53,0),MATCH(AS$5,$BE$5:$BN$5,0))</f>
        <v>1</v>
      </c>
      <c r="AT63" s="126" t="n">
        <f aca="false">INDEX($BE$6:$BN$53,MATCH($AL63,$BD$6:$BD$53,0),MATCH(AT$5,$BE$5:$BN$5,0))</f>
        <v>0</v>
      </c>
      <c r="AU63" s="110" t="n">
        <f aca="false">INDEX($DL$6:$DL$53,MATCH(AI63,$DP$6:$DP$53,0))</f>
        <v>1</v>
      </c>
      <c r="AV63" s="111" t="str">
        <f aca="false">INDEX($BD$6:$BD$53,MATCH(AI63,$BM$6:$BM$53,0))</f>
        <v>Uruguay</v>
      </c>
      <c r="AW63" s="112"/>
      <c r="AX63" s="113"/>
      <c r="AY63" s="127" t="str">
        <f aca="false">+A62</f>
        <v>Cabo Verde</v>
      </c>
      <c r="AZ63" s="128"/>
      <c r="BA63" s="49"/>
      <c r="BB63" s="191" t="str">
        <f aca="false">"3"&amp;BC63</f>
        <v>3F</v>
      </c>
      <c r="BC63" s="116" t="s">
        <v>120</v>
      </c>
      <c r="BD63" s="55" t="str">
        <f aca="false">+INDEX($BD$6:$BN$53,MATCH($BB63,$BN$6:$BN$53,0),MATCH(BD$57,$BD$5:$BN$5,0))</f>
        <v>Japón</v>
      </c>
      <c r="BE63" s="117" t="n">
        <f aca="false">CHOOSE($BB$57,
  (BG63*3 + BH63)+IF($AZ$3="No",0,INDEX($AZ$6:$AZ$97,MATCH(BD63,$AY$6:$AY$97,0))),
  (BG63*3 + BH63)+IF($AZ$3="No",0,INDEX($AZ$6:$AZ$97,MATCH(BD63,$AY$6:$AY$97,0))),
  IFERROR((BG63*3 + BH63+IF($AZ$3="No",0,INDEX($AZ$6:$AZ$97,MATCH(BD63,$AY$6:$AY$97,0)))) / BF63, 0)
)</f>
        <v>1</v>
      </c>
      <c r="BF63" s="117" t="n">
        <f aca="false">+BG63+BH63+BI63</f>
        <v>1</v>
      </c>
      <c r="BG63" s="117" t="n">
        <f aca="false">CHOOSE(IF($BB$57=2, 2, 1),
  INDEX($BG$6:$BG$53,MATCH($BB63,$BN$6:$BN$53,0)),
  INDEX($BG$6:$BG$53,MATCH($BB63,$BN$6:$BN$53,0))-(COUNTIFS(FGLocal,$BD63,FGVisitante,INDEX($BD$6:$BD$53,MATCH(BO63,$BN$6:$BN$53,0)),Ganador,"Local")+COUNTIFS(FGVisitante,$BD63,FGLocal,INDEX($BD$6:$BD$53,MATCH(BO63,$BN$6:$BN$53,0)),Ganador,"Visitante"))
)</f>
        <v>0</v>
      </c>
      <c r="BH63" s="117" t="n">
        <f aca="false">CHOOSE(IF($BB$57=2, 2, 1),
  INDEX($BH$6:$BH$53,MATCH($BB63,$BN$6:$BN$53,0)),
  INDEX($BH$6:$BH$53,MATCH($BB63,$BN$6:$BN$53,0))-(COUNTIFS(FGLocal,$BD63,FGVisitante,INDEX($BD$6:$BD$53,MATCH(BO63,$BN$6:$BN$53,0)),Ganador,"Empate")+COUNTIFS(FGVisitante,$BD63,FGLocal,INDEX($BD$6:$BD$53,MATCH(BO63,$BN$6:$BN$53,0)),Ganador,"Empate"))
)</f>
        <v>1</v>
      </c>
      <c r="BI63" s="117" t="n">
        <f aca="false">CHOOSE(IF($BB$57=2, 2, 1),
  INDEX($BI$6:$BI$53,MATCH($BB63,$BN$6:$BN$53,0)),
  INDEX($BI$6:$BI$53,MATCH($BB63,$BN$6:$BN$53,0))-(COUNTIFS(FGLocal,$BD63,FGVisitante,INDEX($BD$6:$BD$53,MATCH(BO63,$BN$6:$BN$53,0)),Ganador,"Visitante")+COUNTIFS(FGVisitante,$BD63,FGLocal,INDEX($BD$6:$BD$53,MATCH(BO63,$BN$6:$BN$53,0)),Ganador,"Local"))
)</f>
        <v>0</v>
      </c>
      <c r="BJ63" s="117" t="n">
        <f aca="false">CHOOSE($BB$57,
  INDEX($BJ$6:$BJ$53,MATCH($BB63,$BN$6:$BN$53,0)),
  INDEX($BJ$6:$BJ$53,MATCH($BB63,$BN$6:$BN$53,0))-(SUMIFS(FG_GolesLocal,FGLocal,$BD63,FGVisitante,INDEX($BD$6:$BD$53,MATCH(BO63,$BN$6:$BN$53,0)))+SUMIFS(FG_GolesVisitante,FGVisitante,$BD63,FGLocal,INDEX($BD$6:$BD$53,MATCH(BO63,$BN$6:$BN$53,0)))),
  IFERROR(INDEX($BJ$6:$BJ$53,MATCH($BB63,$BN$6:$BN$53,0)) / BF63, 0)
)</f>
        <v>2</v>
      </c>
      <c r="BK63" s="117" t="n">
        <f aca="false">CHOOSE($BB$57,
  INDEX($BK$6:$BK$53,MATCH($BB63,$BN$6:$BN$53,0)),
  INDEX($BK$6:$BK$53,MATCH($BB63,$BN$6:$BN$53,0))-(SUMIFS(FG_GolesVisitante,FGLocal,$BD63,FGVisitante,INDEX($BD$6:$BD$53,MATCH(BO63,$BN$6:$BN$53,0)))+SUMIFS(FG_GolesLocal,FGVisitante,$BD63,FGLocal,INDEX($BD$6:$BD$53,MATCH(BO63,$BN$6:$BN$53,0)))),
  IFERROR(INDEX($BK$6:$BK$53,MATCH($BB63,$BN$6:$BN$53,0)) / BF63, 0)
)</f>
        <v>2</v>
      </c>
      <c r="BL63" s="117" t="n">
        <f aca="false">BJ63-BK63</f>
        <v>0</v>
      </c>
      <c r="BM63" s="117" t="n">
        <f aca="false">CB63</f>
        <v>1</v>
      </c>
      <c r="BN63" s="117" t="n">
        <f aca="false">CF63</f>
        <v>1</v>
      </c>
      <c r="BO63" s="120" t="str">
        <f aca="false">"4"&amp;BC63</f>
        <v>4F</v>
      </c>
      <c r="BP63" s="120"/>
      <c r="BQ63" s="120"/>
      <c r="BR63" s="117" t="n">
        <f aca="false">+BE63</f>
        <v>1</v>
      </c>
      <c r="BS63" s="117" t="n">
        <f aca="false">COUNTIFS(BR$58:BR$69,"&gt;"&amp;BR63)+1</f>
        <v>1</v>
      </c>
      <c r="BT63" s="117" t="str">
        <f aca="false">IF(COUNTIF(BS$58:BS$69,BS63)=1,"-","Pos. "&amp;BS63&amp;" ("&amp;COUNTIF(BS$58:BS$69,BS63)&amp;")")</f>
        <v>Pos. 1 (5)</v>
      </c>
      <c r="BU63" s="117" t="n">
        <f aca="false">IF(BT63="-","-",BL63)</f>
        <v>0</v>
      </c>
      <c r="BV63" s="117" t="n">
        <f aca="false">BS63+COUNTIFS(BT$58:BT$69,BT63,BU$58:BU$69,"&gt;"&amp;BU63)</f>
        <v>1</v>
      </c>
      <c r="BW63" s="117" t="str">
        <f aca="false">IF(COUNTIF(BV$58:BV$69,BV63)=1,"-","Pos. "&amp;BV63&amp;" ("&amp;COUNTIF(BV$58:BV$69,BV63)&amp;")")</f>
        <v>Pos. 1 (5)</v>
      </c>
      <c r="BX63" s="117" t="n">
        <f aca="false">IF(BW63="-","-",BJ63)</f>
        <v>2</v>
      </c>
      <c r="BY63" s="117" t="n">
        <f aca="false">BV63+COUNTIFS(BW$58:BW$69,BW63,BX$58:BX$69,"&gt;"&amp;BX63)</f>
        <v>1</v>
      </c>
      <c r="BZ63" s="117" t="str">
        <f aca="false">IF(COUNTIF(BY$58:BY$69,BY63)=1,"-","Pos. "&amp;BY63&amp;" ("&amp;COUNTIF(BY$58:BY$69,BY63)&amp;")")</f>
        <v>-</v>
      </c>
      <c r="CA63" s="117" t="str">
        <f aca="false">IF(BZ63="-","-",COUNTIF($BD$58:$BD$69,"&gt;"&amp;BD63))</f>
        <v>-</v>
      </c>
      <c r="CB63" s="117" t="n">
        <f aca="false">BY63+COUNTIFS(BZ$58:BZ$69,BZ63,CA$58:CA$69,"&gt;"&amp;CA63)</f>
        <v>1</v>
      </c>
      <c r="CC63" s="117"/>
      <c r="CD63" s="117" t="n">
        <f aca="false">IF(OR(INDEX($AW$102:$AW$113,MATCH($BD63,$AV$102:$AV$113,0))="",BZ63="-"),CB63,INDEX($AW$102:$AW$113,MATCH($BD63,$AV$102:$AV$113,0))+CB63/1000)</f>
        <v>1</v>
      </c>
      <c r="CE63" s="117" t="str">
        <f aca="false">IF(BZ63="-","-",COUNTIF(CD$58:CD$69,"&lt;"&amp;CD63))</f>
        <v>-</v>
      </c>
      <c r="CF63" s="117" t="n">
        <f aca="false">BY63+COUNTIFS(BZ$58:BZ$69,BZ63,CE$58:CE$69,"&lt;"&amp;CE63)</f>
        <v>1</v>
      </c>
      <c r="CG63" s="117"/>
      <c r="CH63" s="117"/>
      <c r="CI63" s="117"/>
      <c r="CJ63" s="117"/>
      <c r="CK63" s="117"/>
      <c r="CL63" s="117"/>
      <c r="CM63" s="117"/>
      <c r="CN63" s="117"/>
      <c r="CO63" s="117"/>
      <c r="CP63" s="117"/>
      <c r="CQ63" s="117"/>
      <c r="CR63" s="117"/>
      <c r="CS63" s="117"/>
      <c r="CT63" s="117"/>
      <c r="CU63" s="117"/>
      <c r="CV63" s="117"/>
      <c r="CW63" s="55"/>
      <c r="CX63" s="55"/>
      <c r="CY63" s="55"/>
      <c r="CZ63" s="55"/>
      <c r="DA63" s="55"/>
      <c r="DB63" s="55"/>
      <c r="DC63" s="55"/>
      <c r="DD63" s="55"/>
      <c r="DE63" s="55"/>
      <c r="DF63" s="55"/>
      <c r="DG63" s="55"/>
      <c r="DH63" s="55"/>
      <c r="DI63" s="55"/>
      <c r="DJ63" s="55" t="n">
        <f aca="false">INDEX($BY$58:$BY$69,MATCH($DQ63,$BD$58:$BD$69,0))</f>
        <v>6</v>
      </c>
      <c r="DK63" s="55"/>
      <c r="DL63" s="55" t="n">
        <f aca="false">IF(OR($H$113=144,$AJ$99=144),COUNTIF($DJ$58:$DJ$69,DJ63),1)</f>
        <v>1</v>
      </c>
      <c r="DM63" s="120" t="str">
        <f aca="false">DJ63&amp;"."&amp;DL63</f>
        <v>6.1</v>
      </c>
      <c r="DN63" s="55" t="n">
        <f aca="true" t="array" ref="DN63:DN63">OFFSET(Horarios!$P$3,DJ63-1,0,DL63,1)</f>
        <v>6</v>
      </c>
      <c r="DO63" s="55"/>
      <c r="DP63" s="55" t="n">
        <v>6</v>
      </c>
      <c r="DQ63" s="55" t="str">
        <f aca="false">INDEX($BD$58:$BD$69,MATCH(DP63,$BM$58:$BM$69,0))</f>
        <v>Austria</v>
      </c>
      <c r="DR63" s="55"/>
      <c r="DS63" s="55"/>
      <c r="DT63" s="55" t="str">
        <f aca="false">AA63&amp;"-"&amp;AF63</f>
        <v>Uruguay-Cabo Verde</v>
      </c>
      <c r="DU63" s="55"/>
      <c r="DV63" s="55"/>
      <c r="DW63" s="57"/>
    </row>
    <row r="64" customFormat="false" ht="15" hidden="false" customHeight="false" outlineLevel="0" collapsed="false">
      <c r="A64" s="92" t="str">
        <f aca="false">+Equipos!B33</f>
        <v>Uruguay</v>
      </c>
      <c r="B64" s="72"/>
      <c r="C64" s="55"/>
      <c r="D64" s="55" t="str">
        <f aca="false">IF(OR(AC64="",AD64=""),"Pendiente",IF(AC64&gt;AD64,"Local",IF(AC64&lt;AD64,"Visitante","Empate")))</f>
        <v>Pendiente</v>
      </c>
      <c r="E64" s="55" t="str">
        <f aca="false">IF(D64="Pendiente","-",INDEX($BT$6:$BT$53,MATCH($AA64,$BD$6:$BD$53,0)))</f>
        <v>-</v>
      </c>
      <c r="F64" s="55" t="str">
        <f aca="false">IF(D64="Pendiente","-",INDEX($BT$6:$BT$53,MATCH($AF64,$BD$6:$BD$53,0)))</f>
        <v>-</v>
      </c>
      <c r="G64" s="55"/>
      <c r="H64" s="55" t="str">
        <f aca="false">IF(D64="Pendiente","-",INDEX($BZ$6:$BZ$53,MATCH($AA64,$BD$6:$BD$53,0)))</f>
        <v>-</v>
      </c>
      <c r="I64" s="55" t="str">
        <f aca="false">IF(D64="Pendiente","-",INDEX($BZ$6:$BZ$53,MATCH($AF64,$BD$6:$BD$53,0)))</f>
        <v>-</v>
      </c>
      <c r="J64" s="55"/>
      <c r="K64" s="55" t="str">
        <f aca="false">IF(D64="Pendiente","-",INDEX($CE$6:$CE$53,MATCH($AA64,$BD$6:$BD$53,0)))</f>
        <v>-</v>
      </c>
      <c r="L64" s="55" t="str">
        <f aca="false">IF(D64="Pendiente","-",INDEX($CE$6:$CE$53,MATCH($AF64,$BD$6:$BD$53,0)))</f>
        <v>-</v>
      </c>
      <c r="M64" s="55"/>
      <c r="N64" s="55" t="str">
        <f aca="false">IF(D64="Pendiente","-",INDEX($CH$6:$CH$53,MATCH($AA64,$BD$6:$BD$53,0)))</f>
        <v>-</v>
      </c>
      <c r="O64" s="55" t="str">
        <f aca="false">IF(D64="Pendiente","-",INDEX($CH$6:$CH$53,MATCH($AF64,$BD$6:$BD$53,0)))</f>
        <v>-</v>
      </c>
      <c r="P64" s="55"/>
      <c r="Q64" s="55" t="str">
        <f aca="false">IF(D64="Pendiente","-",INDEX($CN$6:$CN$53,MATCH($AA64,$BD$6:$BD$53,0)))</f>
        <v>-</v>
      </c>
      <c r="R64" s="55" t="str">
        <f aca="false">IF(D64="Pendiente","-",INDEX($CN$6:$CN$53,MATCH($AF64,$BD$6:$BD$53,0)))</f>
        <v>-</v>
      </c>
      <c r="S64" s="55"/>
      <c r="T64" s="55" t="str">
        <f aca="false">IF(D64="Pendiente","-",INDEX($CS$6:$CS$53,MATCH($AA64,$BD$6:$BD$53,0)))</f>
        <v>-</v>
      </c>
      <c r="U64" s="55" t="str">
        <f aca="false">IF(D64="Pendiente","-",INDEX($CS$6:$CS$53,MATCH($AF64,$BD$6:$BD$53,0)))</f>
        <v>-</v>
      </c>
      <c r="V64" s="46"/>
      <c r="W64" s="192"/>
      <c r="X64" s="74" t="n">
        <f aca="false">Horarios!C64</f>
        <v>46200.0833333333</v>
      </c>
      <c r="Y64" s="75" t="n">
        <f aca="false">Horarios!C64</f>
        <v>46200.0833333333</v>
      </c>
      <c r="Z64" s="76" t="str">
        <f aca="false">$Z$8</f>
        <v>J3</v>
      </c>
      <c r="AA64" s="77" t="str">
        <f aca="false">A62</f>
        <v>Cabo Verde</v>
      </c>
      <c r="AB64" s="165" t="str">
        <f aca="true" t="array" ref="AB64:AB64">Ver_flag_local</f>
        <v/>
      </c>
      <c r="AC64" s="79"/>
      <c r="AD64" s="80"/>
      <c r="AE64" s="81" t="str">
        <f aca="true" t="array" ref="AE64:AE64">Ver_flag_visit</f>
        <v/>
      </c>
      <c r="AF64" s="82" t="str">
        <f aca="false">A63</f>
        <v>Arabia Saudita</v>
      </c>
      <c r="AG64" s="83" t="n">
        <f aca="false">IF(NOT(OR(ISBLANK(AC64),ISBLANK(AD64))),1,0)</f>
        <v>0</v>
      </c>
      <c r="AH64" s="84" t="n">
        <v>65</v>
      </c>
      <c r="AI64" s="85" t="str">
        <f aca="false">AJ64&amp;$B$60</f>
        <v>3H</v>
      </c>
      <c r="AJ64" s="121" t="n">
        <v>3</v>
      </c>
      <c r="AK64" s="173" t="str">
        <f aca="true" t="array" ref="AK64:AK64">Ver_flag_visit</f>
        <v/>
      </c>
      <c r="AL64" s="123" t="str">
        <f aca="false">IFERROR(INDEX($BD$6:$BD$53,MATCH(AI64,$BN$6:$BN$53,0)),"")</f>
        <v>España</v>
      </c>
      <c r="AM64" s="124" t="n">
        <f aca="false">INDEX($BE$6:$BN$53,MATCH($AL64,$BD$6:$BD$53,0),MATCH(AM$5,$BE$5:$BN$5,0))</f>
        <v>1</v>
      </c>
      <c r="AN64" s="125" t="n">
        <f aca="false">INDEX($BE$6:$BN$53,MATCH($AL64,$BD$6:$BD$53,0),MATCH(AN$5,$BE$5:$BN$5,0))</f>
        <v>1</v>
      </c>
      <c r="AO64" s="125" t="n">
        <f aca="false">INDEX($BE$6:$BN$53,MATCH($AL64,$BD$6:$BD$53,0),MATCH(AO$5,$BE$5:$BN$5,0))</f>
        <v>0</v>
      </c>
      <c r="AP64" s="125" t="n">
        <f aca="false">INDEX($BE$6:$BN$53,MATCH($AL64,$BD$6:$BD$53,0),MATCH(AP$5,$BE$5:$BN$5,0))</f>
        <v>1</v>
      </c>
      <c r="AQ64" s="125" t="n">
        <f aca="false">INDEX($BE$6:$BN$53,MATCH($AL64,$BD$6:$BD$53,0),MATCH(AQ$5,$BE$5:$BN$5,0))</f>
        <v>0</v>
      </c>
      <c r="AR64" s="125" t="n">
        <f aca="false">INDEX($BE$6:$BN$53,MATCH($AL64,$BD$6:$BD$53,0),MATCH(AR$5,$BE$5:$BN$5,0))</f>
        <v>0</v>
      </c>
      <c r="AS64" s="125" t="n">
        <f aca="false">INDEX($BE$6:$BN$53,MATCH($AL64,$BD$6:$BD$53,0),MATCH(AS$5,$BE$5:$BN$5,0))</f>
        <v>0</v>
      </c>
      <c r="AT64" s="126" t="n">
        <f aca="false">INDEX($BE$6:$BN$53,MATCH($AL64,$BD$6:$BD$53,0),MATCH(AT$5,$BE$5:$BN$5,0))</f>
        <v>0</v>
      </c>
      <c r="AU64" s="110" t="n">
        <f aca="false">INDEX($DL$6:$DL$53,MATCH(AI64,$DP$6:$DP$53,0))</f>
        <v>1</v>
      </c>
      <c r="AV64" s="111" t="str">
        <f aca="false">INDEX($BD$6:$BD$53,MATCH(AI64,$BM$6:$BM$53,0))</f>
        <v>España</v>
      </c>
      <c r="AW64" s="112"/>
      <c r="AX64" s="113"/>
      <c r="AY64" s="114" t="str">
        <f aca="false">+A63</f>
        <v>Arabia Saudita</v>
      </c>
      <c r="AZ64" s="115"/>
      <c r="BA64" s="49"/>
      <c r="BB64" s="191" t="str">
        <f aca="false">"3"&amp;BC64</f>
        <v>3G</v>
      </c>
      <c r="BC64" s="116" t="s">
        <v>129</v>
      </c>
      <c r="BD64" s="55" t="str">
        <f aca="false">+INDEX($BD$6:$BN$53,MATCH($BB64,$BN$6:$BN$53,0),MATCH(BD$57,$BD$5:$BN$5,0))</f>
        <v>Bélgica</v>
      </c>
      <c r="BE64" s="117" t="n">
        <f aca="false">CHOOSE($BB$57,
  (BG64*3 + BH64)+IF($AZ$3="No",0,INDEX($AZ$6:$AZ$97,MATCH(BD64,$AY$6:$AY$97,0))),
  (BG64*3 + BH64)+IF($AZ$3="No",0,INDEX($AZ$6:$AZ$97,MATCH(BD64,$AY$6:$AY$97,0))),
  IFERROR((BG64*3 + BH64+IF($AZ$3="No",0,INDEX($AZ$6:$AZ$97,MATCH(BD64,$AY$6:$AY$97,0)))) / BF64, 0)
)</f>
        <v>1</v>
      </c>
      <c r="BF64" s="117" t="n">
        <f aca="false">+BG64+BH64+BI64</f>
        <v>1</v>
      </c>
      <c r="BG64" s="117" t="n">
        <f aca="false">CHOOSE(IF($BB$57=2, 2, 1),
  INDEX($BG$6:$BG$53,MATCH($BB64,$BN$6:$BN$53,0)),
  INDEX($BG$6:$BG$53,MATCH($BB64,$BN$6:$BN$53,0))-(COUNTIFS(FGLocal,$BD64,FGVisitante,INDEX($BD$6:$BD$53,MATCH(BO64,$BN$6:$BN$53,0)),Ganador,"Local")+COUNTIFS(FGVisitante,$BD64,FGLocal,INDEX($BD$6:$BD$53,MATCH(BO64,$BN$6:$BN$53,0)),Ganador,"Visitante"))
)</f>
        <v>0</v>
      </c>
      <c r="BH64" s="117" t="n">
        <f aca="false">CHOOSE(IF($BB$57=2, 2, 1),
  INDEX($BH$6:$BH$53,MATCH($BB64,$BN$6:$BN$53,0)),
  INDEX($BH$6:$BH$53,MATCH($BB64,$BN$6:$BN$53,0))-(COUNTIFS(FGLocal,$BD64,FGVisitante,INDEX($BD$6:$BD$53,MATCH(BO64,$BN$6:$BN$53,0)),Ganador,"Empate")+COUNTIFS(FGVisitante,$BD64,FGLocal,INDEX($BD$6:$BD$53,MATCH(BO64,$BN$6:$BN$53,0)),Ganador,"Empate"))
)</f>
        <v>1</v>
      </c>
      <c r="BI64" s="117" t="n">
        <f aca="false">CHOOSE(IF($BB$57=2, 2, 1),
  INDEX($BI$6:$BI$53,MATCH($BB64,$BN$6:$BN$53,0)),
  INDEX($BI$6:$BI$53,MATCH($BB64,$BN$6:$BN$53,0))-(COUNTIFS(FGLocal,$BD64,FGVisitante,INDEX($BD$6:$BD$53,MATCH(BO64,$BN$6:$BN$53,0)),Ganador,"Visitante")+COUNTIFS(FGVisitante,$BD64,FGLocal,INDEX($BD$6:$BD$53,MATCH(BO64,$BN$6:$BN$53,0)),Ganador,"Local"))
)</f>
        <v>0</v>
      </c>
      <c r="BJ64" s="117" t="n">
        <f aca="false">CHOOSE($BB$57,
  INDEX($BJ$6:$BJ$53,MATCH($BB64,$BN$6:$BN$53,0)),
  INDEX($BJ$6:$BJ$53,MATCH($BB64,$BN$6:$BN$53,0))-(SUMIFS(FG_GolesLocal,FGLocal,$BD64,FGVisitante,INDEX($BD$6:$BD$53,MATCH(BO64,$BN$6:$BN$53,0)))+SUMIFS(FG_GolesVisitante,FGVisitante,$BD64,FGLocal,INDEX($BD$6:$BD$53,MATCH(BO64,$BN$6:$BN$53,0)))),
  IFERROR(INDEX($BJ$6:$BJ$53,MATCH($BB64,$BN$6:$BN$53,0)) / BF64, 0)
)</f>
        <v>1</v>
      </c>
      <c r="BK64" s="117" t="n">
        <f aca="false">CHOOSE($BB$57,
  INDEX($BK$6:$BK$53,MATCH($BB64,$BN$6:$BN$53,0)),
  INDEX($BK$6:$BK$53,MATCH($BB64,$BN$6:$BN$53,0))-(SUMIFS(FG_GolesVisitante,FGLocal,$BD64,FGVisitante,INDEX($BD$6:$BD$53,MATCH(BO64,$BN$6:$BN$53,0)))+SUMIFS(FG_GolesLocal,FGVisitante,$BD64,FGLocal,INDEX($BD$6:$BD$53,MATCH(BO64,$BN$6:$BN$53,0)))),
  IFERROR(INDEX($BK$6:$BK$53,MATCH($BB64,$BN$6:$BN$53,0)) / BF64, 0)
)</f>
        <v>1</v>
      </c>
      <c r="BL64" s="117" t="n">
        <f aca="false">BJ64-BK64</f>
        <v>0</v>
      </c>
      <c r="BM64" s="117" t="n">
        <f aca="false">CB64</f>
        <v>2</v>
      </c>
      <c r="BN64" s="117" t="n">
        <f aca="false">CF64</f>
        <v>2</v>
      </c>
      <c r="BO64" s="120" t="str">
        <f aca="false">"4"&amp;BC64</f>
        <v>4G</v>
      </c>
      <c r="BP64" s="120"/>
      <c r="BQ64" s="120"/>
      <c r="BR64" s="117" t="n">
        <f aca="false">+BE64</f>
        <v>1</v>
      </c>
      <c r="BS64" s="117" t="n">
        <f aca="false">COUNTIFS(BR$58:BR$69,"&gt;"&amp;BR64)+1</f>
        <v>1</v>
      </c>
      <c r="BT64" s="117" t="str">
        <f aca="false">IF(COUNTIF(BS$58:BS$69,BS64)=1,"-","Pos. "&amp;BS64&amp;" ("&amp;COUNTIF(BS$58:BS$69,BS64)&amp;")")</f>
        <v>Pos. 1 (5)</v>
      </c>
      <c r="BU64" s="117" t="n">
        <f aca="false">IF(BT64="-","-",BL64)</f>
        <v>0</v>
      </c>
      <c r="BV64" s="117" t="n">
        <f aca="false">BS64+COUNTIFS(BT$58:BT$69,BT64,BU$58:BU$69,"&gt;"&amp;BU64)</f>
        <v>1</v>
      </c>
      <c r="BW64" s="117" t="str">
        <f aca="false">IF(COUNTIF(BV$58:BV$69,BV64)=1,"-","Pos. "&amp;BV64&amp;" ("&amp;COUNTIF(BV$58:BV$69,BV64)&amp;")")</f>
        <v>Pos. 1 (5)</v>
      </c>
      <c r="BX64" s="117" t="n">
        <f aca="false">IF(BW64="-","-",BJ64)</f>
        <v>1</v>
      </c>
      <c r="BY64" s="117" t="n">
        <f aca="false">BV64+COUNTIFS(BW$58:BW$69,BW64,BX$58:BX$69,"&gt;"&amp;BX64)</f>
        <v>2</v>
      </c>
      <c r="BZ64" s="117" t="str">
        <f aca="false">IF(COUNTIF(BY$58:BY$69,BY64)=1,"-","Pos. "&amp;BY64&amp;" ("&amp;COUNTIF(BY$58:BY$69,BY64)&amp;")")</f>
        <v>Pos. 2 (3)</v>
      </c>
      <c r="CA64" s="117" t="n">
        <f aca="false">IF(BZ64="-","-",COUNTIF($BD$58:$BD$69,"&gt;"&amp;BD64))</f>
        <v>10</v>
      </c>
      <c r="CB64" s="117" t="n">
        <f aca="false">BY64+COUNTIFS(BZ$58:BZ$69,BZ64,CA$58:CA$69,"&gt;"&amp;CA64)</f>
        <v>2</v>
      </c>
      <c r="CC64" s="117"/>
      <c r="CD64" s="117" t="n">
        <f aca="false">IF(OR(INDEX($AW$102:$AW$113,MATCH($BD64,$AV$102:$AV$113,0))="",BZ64="-"),CB64,INDEX($AW$102:$AW$113,MATCH($BD64,$AV$102:$AV$113,0))+CB64/1000)</f>
        <v>2.002</v>
      </c>
      <c r="CE64" s="117" t="n">
        <f aca="false">IF(BZ64="-","-",COUNTIF(CD$58:CD$69,"&lt;"&amp;CD64))</f>
        <v>1</v>
      </c>
      <c r="CF64" s="117" t="n">
        <f aca="false">BY64+COUNTIFS(BZ$58:BZ$69,BZ64,CE$58:CE$69,"&lt;"&amp;CE64)</f>
        <v>2</v>
      </c>
      <c r="CG64" s="117"/>
      <c r="CH64" s="117"/>
      <c r="CI64" s="117"/>
      <c r="CJ64" s="117"/>
      <c r="CK64" s="117"/>
      <c r="CL64" s="117"/>
      <c r="CM64" s="117"/>
      <c r="CN64" s="117"/>
      <c r="CO64" s="117"/>
      <c r="CP64" s="117"/>
      <c r="CQ64" s="117"/>
      <c r="CR64" s="117"/>
      <c r="CS64" s="117"/>
      <c r="CT64" s="117"/>
      <c r="CU64" s="117"/>
      <c r="CV64" s="117"/>
      <c r="CW64" s="55"/>
      <c r="CX64" s="55"/>
      <c r="CY64" s="55"/>
      <c r="CZ64" s="55"/>
      <c r="DA64" s="55"/>
      <c r="DB64" s="55"/>
      <c r="DC64" s="55"/>
      <c r="DD64" s="55"/>
      <c r="DE64" s="55"/>
      <c r="DF64" s="55"/>
      <c r="DG64" s="55"/>
      <c r="DH64" s="55"/>
      <c r="DI64" s="55"/>
      <c r="DJ64" s="55" t="n">
        <f aca="false">INDEX($BY$58:$BY$69,MATCH($DQ64,$BD$58:$BD$69,0))</f>
        <v>6</v>
      </c>
      <c r="DK64" s="55"/>
      <c r="DL64" s="55" t="n">
        <f aca="false">IF(OR($H$113=144,$AJ$99=144),COUNTIF($DJ$58:$DJ$69,DJ64),1)</f>
        <v>1</v>
      </c>
      <c r="DM64" s="120" t="str">
        <f aca="false">DJ64&amp;"."&amp;DL64</f>
        <v>6.1</v>
      </c>
      <c r="DN64" s="55" t="n">
        <f aca="true" t="array" ref="DN64:DN64">OFFSET(Horarios!$P$3,DJ64-1,0,DL64,1)</f>
        <v>6</v>
      </c>
      <c r="DO64" s="55"/>
      <c r="DP64" s="55" t="n">
        <v>7</v>
      </c>
      <c r="DQ64" s="55" t="str">
        <f aca="false">INDEX($BD$58:$BD$69,MATCH(DP64,$BM$58:$BM$69,0))</f>
        <v>Ghana</v>
      </c>
      <c r="DR64" s="55"/>
      <c r="DS64" s="55"/>
      <c r="DT64" s="55" t="str">
        <f aca="false">AA64&amp;"-"&amp;AF64</f>
        <v>Cabo Verde-Arabia Saudita</v>
      </c>
      <c r="DU64" s="55"/>
      <c r="DV64" s="55"/>
      <c r="DW64" s="57"/>
    </row>
    <row r="65" customFormat="false" ht="15" hidden="false" customHeight="false" outlineLevel="0" collapsed="false">
      <c r="A65" s="39"/>
      <c r="B65" s="72"/>
      <c r="C65" s="39"/>
      <c r="D65" s="55" t="str">
        <f aca="false">IF(OR(AC65="",AD65=""),"Pendiente",IF(AC65&gt;AD65,"Local",IF(AC65&lt;AD65,"Visitante","Empate")))</f>
        <v>Pendiente</v>
      </c>
      <c r="E65" s="55" t="str">
        <f aca="false">IF(D65="Pendiente","-",INDEX($BT$6:$BT$53,MATCH($AA65,$BD$6:$BD$53,0)))</f>
        <v>-</v>
      </c>
      <c r="F65" s="55" t="str">
        <f aca="false">IF(D65="Pendiente","-",INDEX($BT$6:$BT$53,MATCH($AF65,$BD$6:$BD$53,0)))</f>
        <v>-</v>
      </c>
      <c r="G65" s="55"/>
      <c r="H65" s="55" t="str">
        <f aca="false">IF(D65="Pendiente","-",INDEX($BZ$6:$BZ$53,MATCH($AA65,$BD$6:$BD$53,0)))</f>
        <v>-</v>
      </c>
      <c r="I65" s="55" t="str">
        <f aca="false">IF(D65="Pendiente","-",INDEX($BZ$6:$BZ$53,MATCH($AF65,$BD$6:$BD$53,0)))</f>
        <v>-</v>
      </c>
      <c r="J65" s="55"/>
      <c r="K65" s="55" t="str">
        <f aca="false">IF(D65="Pendiente","-",INDEX($CE$6:$CE$53,MATCH($AA65,$BD$6:$BD$53,0)))</f>
        <v>-</v>
      </c>
      <c r="L65" s="55" t="str">
        <f aca="false">IF(D65="Pendiente","-",INDEX($CE$6:$CE$53,MATCH($AF65,$BD$6:$BD$53,0)))</f>
        <v>-</v>
      </c>
      <c r="M65" s="55"/>
      <c r="N65" s="55" t="str">
        <f aca="false">IF(D65="Pendiente","-",INDEX($CH$6:$CH$53,MATCH($AA65,$BD$6:$BD$53,0)))</f>
        <v>-</v>
      </c>
      <c r="O65" s="55" t="str">
        <f aca="false">IF(D65="Pendiente","-",INDEX($CH$6:$CH$53,MATCH($AF65,$BD$6:$BD$53,0)))</f>
        <v>-</v>
      </c>
      <c r="P65" s="55"/>
      <c r="Q65" s="55" t="str">
        <f aca="false">IF(D65="Pendiente","-",INDEX($CN$6:$CN$53,MATCH($AA65,$BD$6:$BD$53,0)))</f>
        <v>-</v>
      </c>
      <c r="R65" s="55" t="str">
        <f aca="false">IF(D65="Pendiente","-",INDEX($CN$6:$CN$53,MATCH($AF65,$BD$6:$BD$53,0)))</f>
        <v>-</v>
      </c>
      <c r="S65" s="55"/>
      <c r="T65" s="55" t="str">
        <f aca="false">IF(D65="Pendiente","-",INDEX($CS$6:$CS$53,MATCH($AA65,$BD$6:$BD$53,0)))</f>
        <v>-</v>
      </c>
      <c r="U65" s="55" t="str">
        <f aca="false">IF(D65="Pendiente","-",INDEX($CS$6:$CS$53,MATCH($AF65,$BD$6:$BD$53,0)))</f>
        <v>-</v>
      </c>
      <c r="V65" s="46"/>
      <c r="W65" s="192"/>
      <c r="X65" s="129" t="n">
        <f aca="false">Horarios!C65</f>
        <v>46200.0833333333</v>
      </c>
      <c r="Y65" s="130" t="n">
        <f aca="false">Horarios!C65</f>
        <v>46200.0833333333</v>
      </c>
      <c r="Z65" s="131" t="str">
        <f aca="false">$Z$8</f>
        <v>J3</v>
      </c>
      <c r="AA65" s="132" t="str">
        <f aca="false">A64</f>
        <v>Uruguay</v>
      </c>
      <c r="AB65" s="175" t="str">
        <f aca="true" t="array" ref="AB65:AB65">Ver_flag_local</f>
        <v/>
      </c>
      <c r="AC65" s="134"/>
      <c r="AD65" s="135"/>
      <c r="AE65" s="136" t="str">
        <f aca="true" t="array" ref="AE65:AE65">Ver_flag_visit</f>
        <v/>
      </c>
      <c r="AF65" s="137" t="str">
        <f aca="false">A61</f>
        <v>España</v>
      </c>
      <c r="AG65" s="83" t="n">
        <f aca="false">IF(NOT(OR(ISBLANK(AC65),ISBLANK(AD65))),1,0)</f>
        <v>0</v>
      </c>
      <c r="AH65" s="84" t="n">
        <v>66</v>
      </c>
      <c r="AI65" s="85" t="str">
        <f aca="false">AJ65&amp;$B$60</f>
        <v>4H</v>
      </c>
      <c r="AJ65" s="138" t="n">
        <v>4</v>
      </c>
      <c r="AK65" s="184" t="str">
        <f aca="true" t="array" ref="AK65:AK65">Ver_flag_visit</f>
        <v/>
      </c>
      <c r="AL65" s="140" t="str">
        <f aca="false">IFERROR(INDEX($BD$6:$BD$53,MATCH(AI65,$BN$6:$BN$53,0)),"")</f>
        <v>Cabo Verde</v>
      </c>
      <c r="AM65" s="141" t="n">
        <f aca="false">INDEX($BE$6:$BN$53,MATCH($AL65,$BD$6:$BD$53,0),MATCH(AM$5,$BE$5:$BN$5,0))</f>
        <v>1</v>
      </c>
      <c r="AN65" s="142" t="n">
        <f aca="false">INDEX($BE$6:$BN$53,MATCH($AL65,$BD$6:$BD$53,0),MATCH(AN$5,$BE$5:$BN$5,0))</f>
        <v>1</v>
      </c>
      <c r="AO65" s="142" t="n">
        <f aca="false">INDEX($BE$6:$BN$53,MATCH($AL65,$BD$6:$BD$53,0),MATCH(AO$5,$BE$5:$BN$5,0))</f>
        <v>0</v>
      </c>
      <c r="AP65" s="142" t="n">
        <f aca="false">INDEX($BE$6:$BN$53,MATCH($AL65,$BD$6:$BD$53,0),MATCH(AP$5,$BE$5:$BN$5,0))</f>
        <v>1</v>
      </c>
      <c r="AQ65" s="142" t="n">
        <f aca="false">INDEX($BE$6:$BN$53,MATCH($AL65,$BD$6:$BD$53,0),MATCH(AQ$5,$BE$5:$BN$5,0))</f>
        <v>0</v>
      </c>
      <c r="AR65" s="142" t="n">
        <f aca="false">INDEX($BE$6:$BN$53,MATCH($AL65,$BD$6:$BD$53,0),MATCH(AR$5,$BE$5:$BN$5,0))</f>
        <v>0</v>
      </c>
      <c r="AS65" s="142" t="n">
        <f aca="false">INDEX($BE$6:$BN$53,MATCH($AL65,$BD$6:$BD$53,0),MATCH(AS$5,$BE$5:$BN$5,0))</f>
        <v>0</v>
      </c>
      <c r="AT65" s="143" t="n">
        <f aca="false">INDEX($BE$6:$BN$53,MATCH($AL65,$BD$6:$BD$53,0),MATCH(AT$5,$BE$5:$BN$5,0))</f>
        <v>0</v>
      </c>
      <c r="AU65" s="110" t="n">
        <f aca="false">INDEX($DL$6:$DL$53,MATCH(AI65,$DP$6:$DP$53,0))</f>
        <v>1</v>
      </c>
      <c r="AV65" s="111" t="str">
        <f aca="false">INDEX($BD$6:$BD$53,MATCH(AI65,$BM$6:$BM$53,0))</f>
        <v>Cabo Verde</v>
      </c>
      <c r="AW65" s="112"/>
      <c r="AX65" s="113"/>
      <c r="AY65" s="144" t="str">
        <f aca="false">+A64</f>
        <v>Uruguay</v>
      </c>
      <c r="AZ65" s="145"/>
      <c r="BA65" s="49"/>
      <c r="BB65" s="191" t="str">
        <f aca="false">"3"&amp;BC65</f>
        <v>3H</v>
      </c>
      <c r="BC65" s="116" t="s">
        <v>133</v>
      </c>
      <c r="BD65" s="55" t="str">
        <f aca="false">+INDEX($BD$6:$BN$53,MATCH($BB65,$BN$6:$BN$53,0),MATCH(BD$57,$BD$5:$BN$5,0))</f>
        <v>España</v>
      </c>
      <c r="BE65" s="117" t="n">
        <f aca="false">CHOOSE($BB$57,
  (BG65*3 + BH65)+IF($AZ$3="No",0,INDEX($AZ$6:$AZ$97,MATCH(BD65,$AY$6:$AY$97,0))),
  (BG65*3 + BH65)+IF($AZ$3="No",0,INDEX($AZ$6:$AZ$97,MATCH(BD65,$AY$6:$AY$97,0))),
  IFERROR((BG65*3 + BH65+IF($AZ$3="No",0,INDEX($AZ$6:$AZ$97,MATCH(BD65,$AY$6:$AY$97,0)))) / BF65, 0)
)</f>
        <v>1</v>
      </c>
      <c r="BF65" s="117" t="n">
        <f aca="false">+BG65+BH65+BI65</f>
        <v>1</v>
      </c>
      <c r="BG65" s="117" t="n">
        <f aca="false">CHOOSE(IF($BB$57=2, 2, 1),
  INDEX($BG$6:$BG$53,MATCH($BB65,$BN$6:$BN$53,0)),
  INDEX($BG$6:$BG$53,MATCH($BB65,$BN$6:$BN$53,0))-(COUNTIFS(FGLocal,$BD65,FGVisitante,INDEX($BD$6:$BD$53,MATCH(BO65,$BN$6:$BN$53,0)),Ganador,"Local")+COUNTIFS(FGVisitante,$BD65,FGLocal,INDEX($BD$6:$BD$53,MATCH(BO65,$BN$6:$BN$53,0)),Ganador,"Visitante"))
)</f>
        <v>0</v>
      </c>
      <c r="BH65" s="117" t="n">
        <f aca="false">CHOOSE(IF($BB$57=2, 2, 1),
  INDEX($BH$6:$BH$53,MATCH($BB65,$BN$6:$BN$53,0)),
  INDEX($BH$6:$BH$53,MATCH($BB65,$BN$6:$BN$53,0))-(COUNTIFS(FGLocal,$BD65,FGVisitante,INDEX($BD$6:$BD$53,MATCH(BO65,$BN$6:$BN$53,0)),Ganador,"Empate")+COUNTIFS(FGVisitante,$BD65,FGLocal,INDEX($BD$6:$BD$53,MATCH(BO65,$BN$6:$BN$53,0)),Ganador,"Empate"))
)</f>
        <v>1</v>
      </c>
      <c r="BI65" s="117" t="n">
        <f aca="false">CHOOSE(IF($BB$57=2, 2, 1),
  INDEX($BI$6:$BI$53,MATCH($BB65,$BN$6:$BN$53,0)),
  INDEX($BI$6:$BI$53,MATCH($BB65,$BN$6:$BN$53,0))-(COUNTIFS(FGLocal,$BD65,FGVisitante,INDEX($BD$6:$BD$53,MATCH(BO65,$BN$6:$BN$53,0)),Ganador,"Visitante")+COUNTIFS(FGVisitante,$BD65,FGLocal,INDEX($BD$6:$BD$53,MATCH(BO65,$BN$6:$BN$53,0)),Ganador,"Local"))
)</f>
        <v>0</v>
      </c>
      <c r="BJ65" s="117" t="n">
        <f aca="false">CHOOSE($BB$57,
  INDEX($BJ$6:$BJ$53,MATCH($BB65,$BN$6:$BN$53,0)),
  INDEX($BJ$6:$BJ$53,MATCH($BB65,$BN$6:$BN$53,0))-(SUMIFS(FG_GolesLocal,FGLocal,$BD65,FGVisitante,INDEX($BD$6:$BD$53,MATCH(BO65,$BN$6:$BN$53,0)))+SUMIFS(FG_GolesVisitante,FGVisitante,$BD65,FGLocal,INDEX($BD$6:$BD$53,MATCH(BO65,$BN$6:$BN$53,0)))),
  IFERROR(INDEX($BJ$6:$BJ$53,MATCH($BB65,$BN$6:$BN$53,0)) / BF65, 0)
)</f>
        <v>0</v>
      </c>
      <c r="BK65" s="117" t="n">
        <f aca="false">CHOOSE($BB$57,
  INDEX($BK$6:$BK$53,MATCH($BB65,$BN$6:$BN$53,0)),
  INDEX($BK$6:$BK$53,MATCH($BB65,$BN$6:$BN$53,0))-(SUMIFS(FG_GolesVisitante,FGLocal,$BD65,FGVisitante,INDEX($BD$6:$BD$53,MATCH(BO65,$BN$6:$BN$53,0)))+SUMIFS(FG_GolesLocal,FGVisitante,$BD65,FGLocal,INDEX($BD$6:$BD$53,MATCH(BO65,$BN$6:$BN$53,0)))),
  IFERROR(INDEX($BK$6:$BK$53,MATCH($BB65,$BN$6:$BN$53,0)) / BF65, 0)
)</f>
        <v>0</v>
      </c>
      <c r="BL65" s="117" t="n">
        <f aca="false">BJ65-BK65</f>
        <v>0</v>
      </c>
      <c r="BM65" s="117" t="n">
        <f aca="false">CB65</f>
        <v>5</v>
      </c>
      <c r="BN65" s="117" t="n">
        <f aca="false">CF65</f>
        <v>5</v>
      </c>
      <c r="BO65" s="120" t="str">
        <f aca="false">"4"&amp;BC65</f>
        <v>4H</v>
      </c>
      <c r="BP65" s="120"/>
      <c r="BQ65" s="120"/>
      <c r="BR65" s="117" t="n">
        <f aca="false">+BE65</f>
        <v>1</v>
      </c>
      <c r="BS65" s="117" t="n">
        <f aca="false">COUNTIFS(BR$58:BR$69,"&gt;"&amp;BR65)+1</f>
        <v>1</v>
      </c>
      <c r="BT65" s="117" t="str">
        <f aca="false">IF(COUNTIF(BS$58:BS$69,BS65)=1,"-","Pos. "&amp;BS65&amp;" ("&amp;COUNTIF(BS$58:BS$69,BS65)&amp;")")</f>
        <v>Pos. 1 (5)</v>
      </c>
      <c r="BU65" s="117" t="n">
        <f aca="false">IF(BT65="-","-",BL65)</f>
        <v>0</v>
      </c>
      <c r="BV65" s="117" t="n">
        <f aca="false">BS65+COUNTIFS(BT$58:BT$69,BT65,BU$58:BU$69,"&gt;"&amp;BU65)</f>
        <v>1</v>
      </c>
      <c r="BW65" s="117" t="str">
        <f aca="false">IF(COUNTIF(BV$58:BV$69,BV65)=1,"-","Pos. "&amp;BV65&amp;" ("&amp;COUNTIF(BV$58:BV$69,BV65)&amp;")")</f>
        <v>Pos. 1 (5)</v>
      </c>
      <c r="BX65" s="117" t="n">
        <f aca="false">IF(BW65="-","-",BJ65)</f>
        <v>0</v>
      </c>
      <c r="BY65" s="117" t="n">
        <f aca="false">BV65+COUNTIFS(BW$58:BW$69,BW65,BX$58:BX$69,"&gt;"&amp;BX65)</f>
        <v>5</v>
      </c>
      <c r="BZ65" s="117" t="str">
        <f aca="false">IF(COUNTIF(BY$58:BY$69,BY65)=1,"-","Pos. "&amp;BY65&amp;" ("&amp;COUNTIF(BY$58:BY$69,BY65)&amp;")")</f>
        <v>-</v>
      </c>
      <c r="CA65" s="117" t="str">
        <f aca="false">IF(BZ65="-","-",COUNTIF($BD$58:$BD$69,"&gt;"&amp;BD65))</f>
        <v>-</v>
      </c>
      <c r="CB65" s="117" t="n">
        <f aca="false">BY65+COUNTIFS(BZ$58:BZ$69,BZ65,CA$58:CA$69,"&gt;"&amp;CA65)</f>
        <v>5</v>
      </c>
      <c r="CC65" s="117"/>
      <c r="CD65" s="117" t="n">
        <f aca="false">IF(OR(INDEX($AW$102:$AW$113,MATCH($BD65,$AV$102:$AV$113,0))="",BZ65="-"),CB65,INDEX($AW$102:$AW$113,MATCH($BD65,$AV$102:$AV$113,0))+CB65/1000)</f>
        <v>5</v>
      </c>
      <c r="CE65" s="117" t="str">
        <f aca="false">IF(BZ65="-","-",COUNTIF(CD$58:CD$69,"&lt;"&amp;CD65))</f>
        <v>-</v>
      </c>
      <c r="CF65" s="117" t="n">
        <f aca="false">BY65+COUNTIFS(BZ$58:BZ$69,BZ65,CE$58:CE$69,"&lt;"&amp;CE65)</f>
        <v>5</v>
      </c>
      <c r="CG65" s="117"/>
      <c r="CH65" s="117"/>
      <c r="CI65" s="117"/>
      <c r="CJ65" s="117"/>
      <c r="CK65" s="117"/>
      <c r="CL65" s="117"/>
      <c r="CM65" s="117"/>
      <c r="CN65" s="117"/>
      <c r="CO65" s="117"/>
      <c r="CP65" s="117"/>
      <c r="CQ65" s="117"/>
      <c r="CR65" s="117"/>
      <c r="CS65" s="117"/>
      <c r="CT65" s="117"/>
      <c r="CU65" s="117"/>
      <c r="CV65" s="117"/>
      <c r="CW65" s="55"/>
      <c r="CX65" s="55"/>
      <c r="CY65" s="55"/>
      <c r="CZ65" s="55"/>
      <c r="DA65" s="55"/>
      <c r="DB65" s="55"/>
      <c r="DC65" s="55"/>
      <c r="DD65" s="55"/>
      <c r="DE65" s="55"/>
      <c r="DF65" s="55"/>
      <c r="DG65" s="55"/>
      <c r="DH65" s="55"/>
      <c r="DI65" s="55"/>
      <c r="DJ65" s="55" t="n">
        <f aca="false">INDEX($BY$58:$BY$69,MATCH($DQ65,$BD$58:$BD$69,0))</f>
        <v>6</v>
      </c>
      <c r="DK65" s="55"/>
      <c r="DL65" s="55" t="n">
        <f aca="false">IF(OR($H$113=144,$AJ$99=144),COUNTIF($DJ$58:$DJ$69,DJ65),1)</f>
        <v>1</v>
      </c>
      <c r="DM65" s="120" t="str">
        <f aca="false">DJ65&amp;"."&amp;DL65</f>
        <v>6.1</v>
      </c>
      <c r="DN65" s="55" t="n">
        <f aca="true" t="array" ref="DN65:DN65">OFFSET(Horarios!$P$3,DJ65-1,0,DL65,1)</f>
        <v>6</v>
      </c>
      <c r="DO65" s="55"/>
      <c r="DP65" s="55" t="n">
        <v>8</v>
      </c>
      <c r="DQ65" s="55" t="str">
        <f aca="false">INDEX($BD$58:$BD$69,MATCH(DP65,$BM$58:$BM$69,0))</f>
        <v>Irak</v>
      </c>
      <c r="DR65" s="55"/>
      <c r="DS65" s="55"/>
      <c r="DT65" s="55" t="str">
        <f aca="false">AA65&amp;"-"&amp;AF65</f>
        <v>Uruguay-España</v>
      </c>
      <c r="DU65" s="55"/>
      <c r="DV65" s="55"/>
      <c r="DW65" s="57"/>
    </row>
    <row r="66" customFormat="false" ht="15" hidden="false" customHeight="false" outlineLevel="0" collapsed="false">
      <c r="A66" s="39"/>
      <c r="B66" s="72"/>
      <c r="C66" s="39"/>
      <c r="D66" s="55"/>
      <c r="E66" s="55"/>
      <c r="F66" s="55"/>
      <c r="G66" s="55"/>
      <c r="H66" s="55"/>
      <c r="I66" s="55"/>
      <c r="J66" s="55"/>
      <c r="K66" s="55"/>
      <c r="L66" s="55"/>
      <c r="M66" s="55"/>
      <c r="N66" s="55"/>
      <c r="O66" s="55"/>
      <c r="P66" s="55"/>
      <c r="Q66" s="55"/>
      <c r="R66" s="55"/>
      <c r="S66" s="55"/>
      <c r="T66" s="55"/>
      <c r="U66" s="55"/>
      <c r="V66" s="46"/>
      <c r="W66" s="146"/>
      <c r="X66" s="147"/>
      <c r="Y66" s="146"/>
      <c r="Z66" s="148"/>
      <c r="AA66" s="149"/>
      <c r="AB66" s="150"/>
      <c r="AC66" s="151"/>
      <c r="AD66" s="151"/>
      <c r="AE66" s="150"/>
      <c r="AF66" s="152"/>
      <c r="AG66" s="182"/>
      <c r="AH66" s="84"/>
      <c r="AI66" s="43"/>
      <c r="AJ66" s="153"/>
      <c r="AK66" s="154"/>
      <c r="AL66" s="66"/>
      <c r="AM66" s="155"/>
      <c r="AN66" s="153"/>
      <c r="AO66" s="153"/>
      <c r="AP66" s="153"/>
      <c r="AQ66" s="153"/>
      <c r="AR66" s="153"/>
      <c r="AS66" s="153"/>
      <c r="AT66" s="153"/>
      <c r="AU66" s="156"/>
      <c r="AV66" s="157"/>
      <c r="AW66" s="158"/>
      <c r="AX66" s="113"/>
      <c r="AY66" s="146"/>
      <c r="AZ66" s="147"/>
      <c r="BA66" s="49"/>
      <c r="BB66" s="191" t="str">
        <f aca="false">"3"&amp;BC66</f>
        <v>3I</v>
      </c>
      <c r="BC66" s="116" t="s">
        <v>134</v>
      </c>
      <c r="BD66" s="55" t="str">
        <f aca="false">+INDEX($BD$6:$BN$53,MATCH($BB66,$BN$6:$BN$53,0),MATCH(BD$57,$BD$5:$BN$5,0))</f>
        <v>Irak</v>
      </c>
      <c r="BE66" s="117" t="n">
        <f aca="false">CHOOSE($BB$57,
  (BG66*3 + BH66)+IF($AZ$3="No",0,INDEX($AZ$6:$AZ$97,MATCH(BD66,$AY$6:$AY$97,0))),
  (BG66*3 + BH66)+IF($AZ$3="No",0,INDEX($AZ$6:$AZ$97,MATCH(BD66,$AY$6:$AY$97,0))),
  IFERROR((BG66*3 + BH66+IF($AZ$3="No",0,INDEX($AZ$6:$AZ$97,MATCH(BD66,$AY$6:$AY$97,0)))) / BF66, 0)
)</f>
        <v>0</v>
      </c>
      <c r="BF66" s="117" t="n">
        <f aca="false">+BG66+BH66+BI66</f>
        <v>0</v>
      </c>
      <c r="BG66" s="117" t="n">
        <f aca="false">CHOOSE(IF($BB$57=2, 2, 1),
  INDEX($BG$6:$BG$53,MATCH($BB66,$BN$6:$BN$53,0)),
  INDEX($BG$6:$BG$53,MATCH($BB66,$BN$6:$BN$53,0))-(COUNTIFS(FGLocal,$BD66,FGVisitante,INDEX($BD$6:$BD$53,MATCH(BO66,$BN$6:$BN$53,0)),Ganador,"Local")+COUNTIFS(FGVisitante,$BD66,FGLocal,INDEX($BD$6:$BD$53,MATCH(BO66,$BN$6:$BN$53,0)),Ganador,"Visitante"))
)</f>
        <v>0</v>
      </c>
      <c r="BH66" s="117" t="n">
        <f aca="false">CHOOSE(IF($BB$57=2, 2, 1),
  INDEX($BH$6:$BH$53,MATCH($BB66,$BN$6:$BN$53,0)),
  INDEX($BH$6:$BH$53,MATCH($BB66,$BN$6:$BN$53,0))-(COUNTIFS(FGLocal,$BD66,FGVisitante,INDEX($BD$6:$BD$53,MATCH(BO66,$BN$6:$BN$53,0)),Ganador,"Empate")+COUNTIFS(FGVisitante,$BD66,FGLocal,INDEX($BD$6:$BD$53,MATCH(BO66,$BN$6:$BN$53,0)),Ganador,"Empate"))
)</f>
        <v>0</v>
      </c>
      <c r="BI66" s="117" t="n">
        <f aca="false">CHOOSE(IF($BB$57=2, 2, 1),
  INDEX($BI$6:$BI$53,MATCH($BB66,$BN$6:$BN$53,0)),
  INDEX($BI$6:$BI$53,MATCH($BB66,$BN$6:$BN$53,0))-(COUNTIFS(FGLocal,$BD66,FGVisitante,INDEX($BD$6:$BD$53,MATCH(BO66,$BN$6:$BN$53,0)),Ganador,"Visitante")+COUNTIFS(FGVisitante,$BD66,FGLocal,INDEX($BD$6:$BD$53,MATCH(BO66,$BN$6:$BN$53,0)),Ganador,"Local"))
)</f>
        <v>0</v>
      </c>
      <c r="BJ66" s="117" t="n">
        <f aca="false">CHOOSE($BB$57,
  INDEX($BJ$6:$BJ$53,MATCH($BB66,$BN$6:$BN$53,0)),
  INDEX($BJ$6:$BJ$53,MATCH($BB66,$BN$6:$BN$53,0))-(SUMIFS(FG_GolesLocal,FGLocal,$BD66,FGVisitante,INDEX($BD$6:$BD$53,MATCH(BO66,$BN$6:$BN$53,0)))+SUMIFS(FG_GolesVisitante,FGVisitante,$BD66,FGLocal,INDEX($BD$6:$BD$53,MATCH(BO66,$BN$6:$BN$53,0)))),
  IFERROR(INDEX($BJ$6:$BJ$53,MATCH($BB66,$BN$6:$BN$53,0)) / BF66, 0)
)</f>
        <v>0</v>
      </c>
      <c r="BK66" s="117" t="n">
        <f aca="false">CHOOSE($BB$57,
  INDEX($BK$6:$BK$53,MATCH($BB66,$BN$6:$BN$53,0)),
  INDEX($BK$6:$BK$53,MATCH($BB66,$BN$6:$BN$53,0))-(SUMIFS(FG_GolesVisitante,FGLocal,$BD66,FGVisitante,INDEX($BD$6:$BD$53,MATCH(BO66,$BN$6:$BN$53,0)))+SUMIFS(FG_GolesLocal,FGVisitante,$BD66,FGLocal,INDEX($BD$6:$BD$53,MATCH(BO66,$BN$6:$BN$53,0)))),
  IFERROR(INDEX($BK$6:$BK$53,MATCH($BB66,$BN$6:$BN$53,0)) / BF66, 0)
)</f>
        <v>0</v>
      </c>
      <c r="BL66" s="117" t="n">
        <f aca="false">BJ66-BK66</f>
        <v>0</v>
      </c>
      <c r="BM66" s="117" t="n">
        <f aca="false">CB66</f>
        <v>8</v>
      </c>
      <c r="BN66" s="117" t="n">
        <f aca="false">CF66</f>
        <v>8</v>
      </c>
      <c r="BO66" s="120" t="str">
        <f aca="false">"4"&amp;BC66</f>
        <v>4I</v>
      </c>
      <c r="BP66" s="120"/>
      <c r="BQ66" s="120"/>
      <c r="BR66" s="117" t="n">
        <f aca="false">+BE66</f>
        <v>0</v>
      </c>
      <c r="BS66" s="117" t="n">
        <f aca="false">COUNTIFS(BR$58:BR$69,"&gt;"&amp;BR66)+1</f>
        <v>6</v>
      </c>
      <c r="BT66" s="117" t="str">
        <f aca="false">IF(COUNTIF(BS$58:BS$69,BS66)=1,"-","Pos. "&amp;BS66&amp;" ("&amp;COUNTIF(BS$58:BS$69,BS66)&amp;")")</f>
        <v>Pos. 6 (7)</v>
      </c>
      <c r="BU66" s="117" t="n">
        <f aca="false">IF(BT66="-","-",BL66)</f>
        <v>0</v>
      </c>
      <c r="BV66" s="117" t="n">
        <f aca="false">BS66+COUNTIFS(BT$58:BT$69,BT66,BU$58:BU$69,"&gt;"&amp;BU66)</f>
        <v>6</v>
      </c>
      <c r="BW66" s="117" t="str">
        <f aca="false">IF(COUNTIF(BV$58:BV$69,BV66)=1,"-","Pos. "&amp;BV66&amp;" ("&amp;COUNTIF(BV$58:BV$69,BV66)&amp;")")</f>
        <v>Pos. 6 (4)</v>
      </c>
      <c r="BX66" s="117" t="n">
        <f aca="false">IF(BW66="-","-",BJ66)</f>
        <v>0</v>
      </c>
      <c r="BY66" s="117" t="n">
        <f aca="false">BV66+COUNTIFS(BW$58:BW$69,BW66,BX$58:BX$69,"&gt;"&amp;BX66)</f>
        <v>6</v>
      </c>
      <c r="BZ66" s="117" t="str">
        <f aca="false">IF(COUNTIF(BY$58:BY$69,BY66)=1,"-","Pos. "&amp;BY66&amp;" ("&amp;COUNTIF(BY$58:BY$69,BY66)&amp;")")</f>
        <v>Pos. 6 (4)</v>
      </c>
      <c r="CA66" s="117" t="n">
        <f aca="false">IF(BZ66="-","-",COUNTIF($BD$58:$BD$69,"&gt;"&amp;BD66))</f>
        <v>5</v>
      </c>
      <c r="CB66" s="117" t="n">
        <f aca="false">BY66+COUNTIFS(BZ$58:BZ$69,BZ66,CA$58:CA$69,"&gt;"&amp;CA66)</f>
        <v>8</v>
      </c>
      <c r="CC66" s="117"/>
      <c r="CD66" s="117" t="n">
        <f aca="false">IF(OR(INDEX($AW$102:$AW$113,MATCH($BD66,$AV$102:$AV$113,0))="",BZ66="-"),CB66,INDEX($AW$102:$AW$113,MATCH($BD66,$AV$102:$AV$113,0))+CB66/1000)</f>
        <v>8</v>
      </c>
      <c r="CE66" s="117" t="n">
        <f aca="false">IF(BZ66="-","-",COUNTIF(CD$58:CD$69,"&lt;"&amp;CD66))</f>
        <v>7</v>
      </c>
      <c r="CF66" s="117" t="n">
        <f aca="false">BY66+COUNTIFS(BZ$58:BZ$69,BZ66,CE$58:CE$69,"&lt;"&amp;CE66)</f>
        <v>8</v>
      </c>
      <c r="CG66" s="117"/>
      <c r="CH66" s="117"/>
      <c r="CI66" s="117"/>
      <c r="CJ66" s="117"/>
      <c r="CK66" s="117"/>
      <c r="CL66" s="117"/>
      <c r="CM66" s="117"/>
      <c r="CN66" s="117"/>
      <c r="CO66" s="117"/>
      <c r="CP66" s="117"/>
      <c r="CQ66" s="117"/>
      <c r="CR66" s="117"/>
      <c r="CS66" s="117"/>
      <c r="CT66" s="117"/>
      <c r="CU66" s="117"/>
      <c r="CV66" s="117"/>
      <c r="CW66" s="55"/>
      <c r="CX66" s="55"/>
      <c r="CY66" s="55"/>
      <c r="CZ66" s="55"/>
      <c r="DA66" s="55"/>
      <c r="DB66" s="55"/>
      <c r="DC66" s="55"/>
      <c r="DD66" s="55"/>
      <c r="DE66" s="55"/>
      <c r="DF66" s="55"/>
      <c r="DG66" s="55"/>
      <c r="DH66" s="55"/>
      <c r="DI66" s="55"/>
      <c r="DJ66" s="55" t="n">
        <f aca="false">INDEX($BY$58:$BY$69,MATCH($DQ66,$BD$58:$BD$69,0))</f>
        <v>6</v>
      </c>
      <c r="DK66" s="55"/>
      <c r="DL66" s="55" t="n">
        <f aca="false">IF(OR($H$113=144,$AJ$99=144),COUNTIF($DJ$58:$DJ$69,DJ66),1)</f>
        <v>1</v>
      </c>
      <c r="DM66" s="120" t="str">
        <f aca="false">DJ66&amp;"."&amp;DL66</f>
        <v>6.1</v>
      </c>
      <c r="DN66" s="55" t="n">
        <f aca="true" t="array" ref="DN66:DN66">OFFSET(Horarios!$P$3,DJ66-1,0,DL66,1)</f>
        <v>6</v>
      </c>
      <c r="DO66" s="55"/>
      <c r="DP66" s="55" t="n">
        <v>9</v>
      </c>
      <c r="DQ66" s="55" t="str">
        <f aca="false">INDEX($BD$58:$BD$69,MATCH(DP66,$BM$58:$BM$69,0))</f>
        <v>Uzbekistán</v>
      </c>
      <c r="DR66" s="55"/>
      <c r="DS66" s="55"/>
      <c r="DT66" s="55" t="str">
        <f aca="false">AA66&amp;"-"&amp;AF66</f>
        <v>-</v>
      </c>
      <c r="DU66" s="55"/>
      <c r="DV66" s="55"/>
      <c r="DW66" s="57"/>
    </row>
    <row r="67" customFormat="false" ht="15" hidden="false" customHeight="false" outlineLevel="0" collapsed="false">
      <c r="A67" s="39"/>
      <c r="B67" s="72"/>
      <c r="C67" s="39"/>
      <c r="D67" s="39"/>
      <c r="E67" s="39"/>
      <c r="F67" s="39"/>
      <c r="G67" s="39"/>
      <c r="H67" s="39"/>
      <c r="I67" s="39"/>
      <c r="J67" s="39"/>
      <c r="K67" s="39"/>
      <c r="L67" s="39"/>
      <c r="M67" s="39"/>
      <c r="N67" s="55"/>
      <c r="O67" s="55"/>
      <c r="P67" s="55"/>
      <c r="Q67" s="55"/>
      <c r="R67" s="55"/>
      <c r="S67" s="55"/>
      <c r="T67" s="55"/>
      <c r="U67" s="55"/>
      <c r="V67" s="46"/>
      <c r="W67" s="59"/>
      <c r="X67" s="60" t="str">
        <f aca="false">X3</f>
        <v>Fecha</v>
      </c>
      <c r="Y67" s="60" t="str">
        <f aca="false">Y3</f>
        <v>Hora</v>
      </c>
      <c r="Z67" s="61" t="str">
        <f aca="false">Z3</f>
        <v>Jor.</v>
      </c>
      <c r="AA67" s="62" t="str">
        <f aca="false">AA3</f>
        <v>Casa</v>
      </c>
      <c r="AB67" s="61"/>
      <c r="AC67" s="61" t="str">
        <f aca="false">AC3</f>
        <v>Gol</v>
      </c>
      <c r="AD67" s="61" t="str">
        <f aca="false">AD3</f>
        <v>Gol</v>
      </c>
      <c r="AE67" s="61"/>
      <c r="AF67" s="64" t="str">
        <f aca="false">AF3</f>
        <v>Fuera</v>
      </c>
      <c r="AG67" s="159"/>
      <c r="AH67" s="84"/>
      <c r="AI67" s="50"/>
      <c r="AJ67" s="66"/>
      <c r="AK67" s="160"/>
      <c r="AL67" s="66"/>
      <c r="AM67" s="66"/>
      <c r="AN67" s="66"/>
      <c r="AO67" s="66"/>
      <c r="AP67" s="66"/>
      <c r="AQ67" s="66"/>
      <c r="AR67" s="66"/>
      <c r="AS67" s="66"/>
      <c r="AT67" s="66"/>
      <c r="AU67" s="161"/>
      <c r="AV67" s="51"/>
      <c r="AW67" s="162"/>
      <c r="AX67" s="163"/>
      <c r="AY67" s="146"/>
      <c r="AZ67" s="147"/>
      <c r="BA67" s="49"/>
      <c r="BB67" s="191" t="str">
        <f aca="false">"3"&amp;BC67</f>
        <v>3J</v>
      </c>
      <c r="BC67" s="116" t="s">
        <v>135</v>
      </c>
      <c r="BD67" s="55" t="str">
        <f aca="false">+INDEX($BD$6:$BN$53,MATCH($BB67,$BN$6:$BN$53,0),MATCH(BD$57,$BD$5:$BN$5,0))</f>
        <v>Austria</v>
      </c>
      <c r="BE67" s="117" t="n">
        <f aca="false">CHOOSE($BB$57,
  (BG67*3 + BH67)+IF($AZ$3="No",0,INDEX($AZ$6:$AZ$97,MATCH(BD67,$AY$6:$AY$97,0))),
  (BG67*3 + BH67)+IF($AZ$3="No",0,INDEX($AZ$6:$AZ$97,MATCH(BD67,$AY$6:$AY$97,0))),
  IFERROR((BG67*3 + BH67+IF($AZ$3="No",0,INDEX($AZ$6:$AZ$97,MATCH(BD67,$AY$6:$AY$97,0)))) / BF67, 0)
)</f>
        <v>0</v>
      </c>
      <c r="BF67" s="117" t="n">
        <f aca="false">+BG67+BH67+BI67</f>
        <v>0</v>
      </c>
      <c r="BG67" s="117" t="n">
        <f aca="false">CHOOSE(IF($BB$57=2, 2, 1),
  INDEX($BG$6:$BG$53,MATCH($BB67,$BN$6:$BN$53,0)),
  INDEX($BG$6:$BG$53,MATCH($BB67,$BN$6:$BN$53,0))-(COUNTIFS(FGLocal,$BD67,FGVisitante,INDEX($BD$6:$BD$53,MATCH(BO67,$BN$6:$BN$53,0)),Ganador,"Local")+COUNTIFS(FGVisitante,$BD67,FGLocal,INDEX($BD$6:$BD$53,MATCH(BO67,$BN$6:$BN$53,0)),Ganador,"Visitante"))
)</f>
        <v>0</v>
      </c>
      <c r="BH67" s="117" t="n">
        <f aca="false">CHOOSE(IF($BB$57=2, 2, 1),
  INDEX($BH$6:$BH$53,MATCH($BB67,$BN$6:$BN$53,0)),
  INDEX($BH$6:$BH$53,MATCH($BB67,$BN$6:$BN$53,0))-(COUNTIFS(FGLocal,$BD67,FGVisitante,INDEX($BD$6:$BD$53,MATCH(BO67,$BN$6:$BN$53,0)),Ganador,"Empate")+COUNTIFS(FGVisitante,$BD67,FGLocal,INDEX($BD$6:$BD$53,MATCH(BO67,$BN$6:$BN$53,0)),Ganador,"Empate"))
)</f>
        <v>0</v>
      </c>
      <c r="BI67" s="117" t="n">
        <f aca="false">CHOOSE(IF($BB$57=2, 2, 1),
  INDEX($BI$6:$BI$53,MATCH($BB67,$BN$6:$BN$53,0)),
  INDEX($BI$6:$BI$53,MATCH($BB67,$BN$6:$BN$53,0))-(COUNTIFS(FGLocal,$BD67,FGVisitante,INDEX($BD$6:$BD$53,MATCH(BO67,$BN$6:$BN$53,0)),Ganador,"Visitante")+COUNTIFS(FGVisitante,$BD67,FGLocal,INDEX($BD$6:$BD$53,MATCH(BO67,$BN$6:$BN$53,0)),Ganador,"Local"))
)</f>
        <v>0</v>
      </c>
      <c r="BJ67" s="117" t="n">
        <f aca="false">CHOOSE($BB$57,
  INDEX($BJ$6:$BJ$53,MATCH($BB67,$BN$6:$BN$53,0)),
  INDEX($BJ$6:$BJ$53,MATCH($BB67,$BN$6:$BN$53,0))-(SUMIFS(FG_GolesLocal,FGLocal,$BD67,FGVisitante,INDEX($BD$6:$BD$53,MATCH(BO67,$BN$6:$BN$53,0)))+SUMIFS(FG_GolesVisitante,FGVisitante,$BD67,FGLocal,INDEX($BD$6:$BD$53,MATCH(BO67,$BN$6:$BN$53,0)))),
  IFERROR(INDEX($BJ$6:$BJ$53,MATCH($BB67,$BN$6:$BN$53,0)) / BF67, 0)
)</f>
        <v>0</v>
      </c>
      <c r="BK67" s="117" t="n">
        <f aca="false">CHOOSE($BB$57,
  INDEX($BK$6:$BK$53,MATCH($BB67,$BN$6:$BN$53,0)),
  INDEX($BK$6:$BK$53,MATCH($BB67,$BN$6:$BN$53,0))-(SUMIFS(FG_GolesVisitante,FGLocal,$BD67,FGVisitante,INDEX($BD$6:$BD$53,MATCH(BO67,$BN$6:$BN$53,0)))+SUMIFS(FG_GolesLocal,FGVisitante,$BD67,FGLocal,INDEX($BD$6:$BD$53,MATCH(BO67,$BN$6:$BN$53,0)))),
  IFERROR(INDEX($BK$6:$BK$53,MATCH($BB67,$BN$6:$BN$53,0)) / BF67, 0)
)</f>
        <v>0</v>
      </c>
      <c r="BL67" s="117" t="n">
        <f aca="false">BJ67-BK67</f>
        <v>0</v>
      </c>
      <c r="BM67" s="117" t="n">
        <f aca="false">CB67</f>
        <v>6</v>
      </c>
      <c r="BN67" s="117" t="n">
        <f aca="false">CF67</f>
        <v>7</v>
      </c>
      <c r="BO67" s="120" t="str">
        <f aca="false">"4"&amp;BC67</f>
        <v>4J</v>
      </c>
      <c r="BP67" s="120"/>
      <c r="BQ67" s="120"/>
      <c r="BR67" s="117" t="n">
        <f aca="false">+BE67</f>
        <v>0</v>
      </c>
      <c r="BS67" s="117" t="n">
        <f aca="false">COUNTIFS(BR$58:BR$69,"&gt;"&amp;BR67)+1</f>
        <v>6</v>
      </c>
      <c r="BT67" s="117" t="str">
        <f aca="false">IF(COUNTIF(BS$58:BS$69,BS67)=1,"-","Pos. "&amp;BS67&amp;" ("&amp;COUNTIF(BS$58:BS$69,BS67)&amp;")")</f>
        <v>Pos. 6 (7)</v>
      </c>
      <c r="BU67" s="117" t="n">
        <f aca="false">IF(BT67="-","-",BL67)</f>
        <v>0</v>
      </c>
      <c r="BV67" s="117" t="n">
        <f aca="false">BS67+COUNTIFS(BT$58:BT$69,BT67,BU$58:BU$69,"&gt;"&amp;BU67)</f>
        <v>6</v>
      </c>
      <c r="BW67" s="117" t="str">
        <f aca="false">IF(COUNTIF(BV$58:BV$69,BV67)=1,"-","Pos. "&amp;BV67&amp;" ("&amp;COUNTIF(BV$58:BV$69,BV67)&amp;")")</f>
        <v>Pos. 6 (4)</v>
      </c>
      <c r="BX67" s="117" t="n">
        <f aca="false">IF(BW67="-","-",BJ67)</f>
        <v>0</v>
      </c>
      <c r="BY67" s="117" t="n">
        <f aca="false">BV67+COUNTIFS(BW$58:BW$69,BW67,BX$58:BX$69,"&gt;"&amp;BX67)</f>
        <v>6</v>
      </c>
      <c r="BZ67" s="117" t="str">
        <f aca="false">IF(COUNTIF(BY$58:BY$69,BY67)=1,"-","Pos. "&amp;BY67&amp;" ("&amp;COUNTIF(BY$58:BY$69,BY67)&amp;")")</f>
        <v>Pos. 6 (4)</v>
      </c>
      <c r="CA67" s="117" t="n">
        <f aca="false">IF(BZ67="-","-",COUNTIF($BD$58:$BD$69,"&gt;"&amp;BD67))</f>
        <v>11</v>
      </c>
      <c r="CB67" s="117" t="n">
        <f aca="false">BY67+COUNTIFS(BZ$58:BZ$69,BZ67,CA$58:CA$69,"&gt;"&amp;CA67)</f>
        <v>6</v>
      </c>
      <c r="CC67" s="117"/>
      <c r="CD67" s="117" t="n">
        <f aca="false">IF(OR(INDEX($AW$102:$AW$113,MATCH($BD67,$AV$102:$AV$113,0))="",BZ67="-"),CB67,INDEX($AW$102:$AW$113,MATCH($BD67,$AV$102:$AV$113,0))+CB67/1000)</f>
        <v>7.006</v>
      </c>
      <c r="CE67" s="117" t="n">
        <f aca="false">IF(BZ67="-","-",COUNTIF(CD$58:CD$69,"&lt;"&amp;CD67))</f>
        <v>6</v>
      </c>
      <c r="CF67" s="117" t="n">
        <f aca="false">BY67+COUNTIFS(BZ$58:BZ$69,BZ67,CE$58:CE$69,"&lt;"&amp;CE67)</f>
        <v>7</v>
      </c>
      <c r="CG67" s="117"/>
      <c r="CH67" s="117"/>
      <c r="CI67" s="117"/>
      <c r="CJ67" s="117"/>
      <c r="CK67" s="117"/>
      <c r="CL67" s="117"/>
      <c r="CM67" s="117"/>
      <c r="CN67" s="117"/>
      <c r="CO67" s="117"/>
      <c r="CP67" s="117"/>
      <c r="CQ67" s="117"/>
      <c r="CR67" s="117"/>
      <c r="CS67" s="117"/>
      <c r="CT67" s="117"/>
      <c r="CU67" s="117"/>
      <c r="CV67" s="117"/>
      <c r="CW67" s="55"/>
      <c r="CX67" s="55"/>
      <c r="CY67" s="55"/>
      <c r="CZ67" s="55"/>
      <c r="DA67" s="55"/>
      <c r="DB67" s="55"/>
      <c r="DC67" s="55"/>
      <c r="DD67" s="55"/>
      <c r="DE67" s="55"/>
      <c r="DF67" s="55"/>
      <c r="DG67" s="55"/>
      <c r="DH67" s="55"/>
      <c r="DI67" s="55"/>
      <c r="DJ67" s="55" t="n">
        <f aca="false">INDEX($BY$58:$BY$69,MATCH($DQ67,$BD$58:$BD$69,0))</f>
        <v>10</v>
      </c>
      <c r="DK67" s="55"/>
      <c r="DL67" s="55" t="n">
        <f aca="false">IF(OR($H$113=144,$AJ$99=144),COUNTIF($DJ$58:$DJ$69,DJ67),1)</f>
        <v>1</v>
      </c>
      <c r="DM67" s="120" t="str">
        <f aca="false">DJ67&amp;"."&amp;DL67</f>
        <v>10.1</v>
      </c>
      <c r="DN67" s="55" t="n">
        <f aca="true" t="array" ref="DN67:DN67">OFFSET(Horarios!$P$3,DJ67-1,0,DL67,1)</f>
        <v>10</v>
      </c>
      <c r="DO67" s="55"/>
      <c r="DP67" s="55" t="n">
        <v>10</v>
      </c>
      <c r="DQ67" s="55" t="str">
        <f aca="false">INDEX($BD$58:$BD$69,MATCH(DP67,$BM$58:$BM$69,0))</f>
        <v>República Checa</v>
      </c>
      <c r="DR67" s="55"/>
      <c r="DS67" s="55"/>
      <c r="DT67" s="55" t="str">
        <f aca="false">AA67&amp;"-"&amp;AF67</f>
        <v>Casa-Fuera</v>
      </c>
      <c r="DU67" s="55"/>
      <c r="DV67" s="55"/>
      <c r="DW67" s="57"/>
    </row>
    <row r="68" customFormat="false" ht="15" hidden="false" customHeight="true" outlineLevel="0" collapsed="false">
      <c r="A68" s="71" t="s">
        <v>23</v>
      </c>
      <c r="B68" s="72" t="s">
        <v>134</v>
      </c>
      <c r="C68" s="44" t="n">
        <f aca="false">COUNTIF(Equipos!$C$2:$C$49,WORLDCUP!B68)</f>
        <v>4</v>
      </c>
      <c r="D68" s="55" t="str">
        <f aca="false">IF(OR(AC68="",AD68=""),"Pendiente",IF(AC68&gt;AD68,"Local",IF(AC68&lt;AD68,"Visitante","Empate")))</f>
        <v>Pendiente</v>
      </c>
      <c r="E68" s="55" t="str">
        <f aca="false">IF(D68="Pendiente","-",INDEX($BT$6:$BT$53,MATCH($AA68,$BD$6:$BD$53,0)))</f>
        <v>-</v>
      </c>
      <c r="F68" s="55" t="str">
        <f aca="false">IF(D68="Pendiente","-",INDEX($BT$6:$BT$53,MATCH($AF68,$BD$6:$BD$53,0)))</f>
        <v>-</v>
      </c>
      <c r="G68" s="55"/>
      <c r="H68" s="55" t="str">
        <f aca="false">IF(D68="Pendiente","-",INDEX($BZ$6:$BZ$53,MATCH($AA68,$BD$6:$BD$53,0)))</f>
        <v>-</v>
      </c>
      <c r="I68" s="55" t="str">
        <f aca="false">IF(D68="Pendiente","-",INDEX($BZ$6:$BZ$53,MATCH($AF68,$BD$6:$BD$53,0)))</f>
        <v>-</v>
      </c>
      <c r="J68" s="55"/>
      <c r="K68" s="55" t="str">
        <f aca="false">IF(D68="Pendiente","-",INDEX($CE$6:$CE$53,MATCH($AA68,$BD$6:$BD$53,0)))</f>
        <v>-</v>
      </c>
      <c r="L68" s="55" t="str">
        <f aca="false">IF(D68="Pendiente","-",INDEX($CE$6:$CE$53,MATCH($AF68,$BD$6:$BD$53,0)))</f>
        <v>-</v>
      </c>
      <c r="M68" s="55"/>
      <c r="N68" s="55" t="str">
        <f aca="false">IF(D68="Pendiente","-",INDEX($CH$6:$CH$53,MATCH($AA68,$BD$6:$BD$53,0)))</f>
        <v>-</v>
      </c>
      <c r="O68" s="55" t="str">
        <f aca="false">IF(D68="Pendiente","-",INDEX($CH$6:$CH$53,MATCH($AF68,$BD$6:$BD$53,0)))</f>
        <v>-</v>
      </c>
      <c r="P68" s="55"/>
      <c r="Q68" s="55" t="str">
        <f aca="false">IF(D68="Pendiente","-",INDEX($CN$6:$CN$53,MATCH($AA68,$BD$6:$BD$53,0)))</f>
        <v>-</v>
      </c>
      <c r="R68" s="55" t="str">
        <f aca="false">IF(D68="Pendiente","-",INDEX($CN$6:$CN$53,MATCH($AF68,$BD$6:$BD$53,0)))</f>
        <v>-</v>
      </c>
      <c r="S68" s="55"/>
      <c r="T68" s="55" t="str">
        <f aca="false">IF(D68="Pendiente","-",INDEX($CS$6:$CS$53,MATCH($AA68,$BD$6:$BD$53,0)))</f>
        <v>-</v>
      </c>
      <c r="U68" s="55" t="str">
        <f aca="false">IF(D68="Pendiente","-",INDEX($CS$6:$CS$53,MATCH($AF68,$BD$6:$BD$53,0)))</f>
        <v>-</v>
      </c>
      <c r="V68" s="46"/>
      <c r="W68" s="193" t="s">
        <v>134</v>
      </c>
      <c r="X68" s="74" t="n">
        <f aca="false">Horarios!C68</f>
        <v>46189.875</v>
      </c>
      <c r="Y68" s="75" t="n">
        <f aca="false">Horarios!C68</f>
        <v>46189.875</v>
      </c>
      <c r="Z68" s="76" t="str">
        <f aca="false">$Z$4</f>
        <v>J1</v>
      </c>
      <c r="AA68" s="77" t="str">
        <f aca="false">A69</f>
        <v>Francia</v>
      </c>
      <c r="AB68" s="165" t="str">
        <f aca="true" t="array" ref="AB68:AB68">Ver_flag_local</f>
        <v/>
      </c>
      <c r="AC68" s="79"/>
      <c r="AD68" s="80"/>
      <c r="AE68" s="81" t="str">
        <f aca="true" t="array" ref="AE68:AE68">Ver_flag_visit</f>
        <v/>
      </c>
      <c r="AF68" s="82" t="str">
        <f aca="false">A70</f>
        <v>Senegal</v>
      </c>
      <c r="AG68" s="83" t="n">
        <f aca="false">IF(NOT(OR(ISBLANK(AC68),ISBLANK(AD68))),1,0)</f>
        <v>0</v>
      </c>
      <c r="AH68" s="84" t="n">
        <v>17</v>
      </c>
      <c r="AI68" s="85"/>
      <c r="AJ68" s="86" t="str">
        <f aca="false">CONCATENATE(AJ3," ",B68)</f>
        <v>Grupo I</v>
      </c>
      <c r="AK68" s="86"/>
      <c r="AL68" s="86"/>
      <c r="AM68" s="86"/>
      <c r="AN68" s="86"/>
      <c r="AO68" s="86"/>
      <c r="AP68" s="86"/>
      <c r="AQ68" s="86"/>
      <c r="AR68" s="86"/>
      <c r="AS68" s="86"/>
      <c r="AT68" s="86"/>
      <c r="AU68" s="161"/>
      <c r="AV68" s="87" t="str">
        <f aca="false">IF(AU69&gt;0,$AV$3,"")</f>
        <v/>
      </c>
      <c r="AW68" s="97"/>
      <c r="AX68" s="168"/>
      <c r="AY68" s="146"/>
      <c r="AZ68" s="147"/>
      <c r="BA68" s="49"/>
      <c r="BB68" s="191" t="str">
        <f aca="false">"3"&amp;BC68</f>
        <v>3K</v>
      </c>
      <c r="BC68" s="116" t="s">
        <v>136</v>
      </c>
      <c r="BD68" s="55" t="str">
        <f aca="false">+INDEX($BD$6:$BN$53,MATCH($BB68,$BN$6:$BN$53,0),MATCH(BD$57,$BD$5:$BN$5,0))</f>
        <v>Uzbekistán</v>
      </c>
      <c r="BE68" s="117" t="n">
        <f aca="false">CHOOSE($BB$57,
  (BG68*3 + BH68)+IF($AZ$3="No",0,INDEX($AZ$6:$AZ$97,MATCH(BD68,$AY$6:$AY$97,0))),
  (BG68*3 + BH68)+IF($AZ$3="No",0,INDEX($AZ$6:$AZ$97,MATCH(BD68,$AY$6:$AY$97,0))),
  IFERROR((BG68*3 + BH68+IF($AZ$3="No",0,INDEX($AZ$6:$AZ$97,MATCH(BD68,$AY$6:$AY$97,0)))) / BF68, 0)
)</f>
        <v>0</v>
      </c>
      <c r="BF68" s="117" t="n">
        <f aca="false">+BG68+BH68+BI68</f>
        <v>0</v>
      </c>
      <c r="BG68" s="117" t="n">
        <f aca="false">CHOOSE(IF($BB$57=2, 2, 1),
  INDEX($BG$6:$BG$53,MATCH($BB68,$BN$6:$BN$53,0)),
  INDEX($BG$6:$BG$53,MATCH($BB68,$BN$6:$BN$53,0))-(COUNTIFS(FGLocal,$BD68,FGVisitante,INDEX($BD$6:$BD$53,MATCH(BO68,$BN$6:$BN$53,0)),Ganador,"Local")+COUNTIFS(FGVisitante,$BD68,FGLocal,INDEX($BD$6:$BD$53,MATCH(BO68,$BN$6:$BN$53,0)),Ganador,"Visitante"))
)</f>
        <v>0</v>
      </c>
      <c r="BH68" s="117" t="n">
        <f aca="false">CHOOSE(IF($BB$57=2, 2, 1),
  INDEX($BH$6:$BH$53,MATCH($BB68,$BN$6:$BN$53,0)),
  INDEX($BH$6:$BH$53,MATCH($BB68,$BN$6:$BN$53,0))-(COUNTIFS(FGLocal,$BD68,FGVisitante,INDEX($BD$6:$BD$53,MATCH(BO68,$BN$6:$BN$53,0)),Ganador,"Empate")+COUNTIFS(FGVisitante,$BD68,FGLocal,INDEX($BD$6:$BD$53,MATCH(BO68,$BN$6:$BN$53,0)),Ganador,"Empate"))
)</f>
        <v>0</v>
      </c>
      <c r="BI68" s="117" t="n">
        <f aca="false">CHOOSE(IF($BB$57=2, 2, 1),
  INDEX($BI$6:$BI$53,MATCH($BB68,$BN$6:$BN$53,0)),
  INDEX($BI$6:$BI$53,MATCH($BB68,$BN$6:$BN$53,0))-(COUNTIFS(FGLocal,$BD68,FGVisitante,INDEX($BD$6:$BD$53,MATCH(BO68,$BN$6:$BN$53,0)),Ganador,"Visitante")+COUNTIFS(FGVisitante,$BD68,FGLocal,INDEX($BD$6:$BD$53,MATCH(BO68,$BN$6:$BN$53,0)),Ganador,"Local"))
)</f>
        <v>0</v>
      </c>
      <c r="BJ68" s="117" t="n">
        <f aca="false">CHOOSE($BB$57,
  INDEX($BJ$6:$BJ$53,MATCH($BB68,$BN$6:$BN$53,0)),
  INDEX($BJ$6:$BJ$53,MATCH($BB68,$BN$6:$BN$53,0))-(SUMIFS(FG_GolesLocal,FGLocal,$BD68,FGVisitante,INDEX($BD$6:$BD$53,MATCH(BO68,$BN$6:$BN$53,0)))+SUMIFS(FG_GolesVisitante,FGVisitante,$BD68,FGLocal,INDEX($BD$6:$BD$53,MATCH(BO68,$BN$6:$BN$53,0)))),
  IFERROR(INDEX($BJ$6:$BJ$53,MATCH($BB68,$BN$6:$BN$53,0)) / BF68, 0)
)</f>
        <v>0</v>
      </c>
      <c r="BK68" s="117" t="n">
        <f aca="false">CHOOSE($BB$57,
  INDEX($BK$6:$BK$53,MATCH($BB68,$BN$6:$BN$53,0)),
  INDEX($BK$6:$BK$53,MATCH($BB68,$BN$6:$BN$53,0))-(SUMIFS(FG_GolesVisitante,FGLocal,$BD68,FGVisitante,INDEX($BD$6:$BD$53,MATCH(BO68,$BN$6:$BN$53,0)))+SUMIFS(FG_GolesLocal,FGVisitante,$BD68,FGLocal,INDEX($BD$6:$BD$53,MATCH(BO68,$BN$6:$BN$53,0)))),
  IFERROR(INDEX($BK$6:$BK$53,MATCH($BB68,$BN$6:$BN$53,0)) / BF68, 0)
)</f>
        <v>0</v>
      </c>
      <c r="BL68" s="117" t="n">
        <f aca="false">BJ68-BK68</f>
        <v>0</v>
      </c>
      <c r="BM68" s="117" t="n">
        <f aca="false">CB68</f>
        <v>9</v>
      </c>
      <c r="BN68" s="117" t="n">
        <f aca="false">CF68</f>
        <v>9</v>
      </c>
      <c r="BO68" s="120" t="str">
        <f aca="false">"4"&amp;BC68</f>
        <v>4K</v>
      </c>
      <c r="BP68" s="120"/>
      <c r="BQ68" s="120"/>
      <c r="BR68" s="117" t="n">
        <f aca="false">+BE68</f>
        <v>0</v>
      </c>
      <c r="BS68" s="117" t="n">
        <f aca="false">COUNTIFS(BR$58:BR$69,"&gt;"&amp;BR68)+1</f>
        <v>6</v>
      </c>
      <c r="BT68" s="117" t="str">
        <f aca="false">IF(COUNTIF(BS$58:BS$69,BS68)=1,"-","Pos. "&amp;BS68&amp;" ("&amp;COUNTIF(BS$58:BS$69,BS68)&amp;")")</f>
        <v>Pos. 6 (7)</v>
      </c>
      <c r="BU68" s="117" t="n">
        <f aca="false">IF(BT68="-","-",BL68)</f>
        <v>0</v>
      </c>
      <c r="BV68" s="117" t="n">
        <f aca="false">BS68+COUNTIFS(BT$58:BT$69,BT68,BU$58:BU$69,"&gt;"&amp;BU68)</f>
        <v>6</v>
      </c>
      <c r="BW68" s="117" t="str">
        <f aca="false">IF(COUNTIF(BV$58:BV$69,BV68)=1,"-","Pos. "&amp;BV68&amp;" ("&amp;COUNTIF(BV$58:BV$69,BV68)&amp;")")</f>
        <v>Pos. 6 (4)</v>
      </c>
      <c r="BX68" s="117" t="n">
        <f aca="false">IF(BW68="-","-",BJ68)</f>
        <v>0</v>
      </c>
      <c r="BY68" s="117" t="n">
        <f aca="false">BV68+COUNTIFS(BW$58:BW$69,BW68,BX$58:BX$69,"&gt;"&amp;BX68)</f>
        <v>6</v>
      </c>
      <c r="BZ68" s="117" t="str">
        <f aca="false">IF(COUNTIF(BY$58:BY$69,BY68)=1,"-","Pos. "&amp;BY68&amp;" ("&amp;COUNTIF(BY$58:BY$69,BY68)&amp;")")</f>
        <v>Pos. 6 (4)</v>
      </c>
      <c r="CA68" s="117" t="n">
        <f aca="false">IF(BZ68="-","-",COUNTIF($BD$58:$BD$69,"&gt;"&amp;BD68))</f>
        <v>0</v>
      </c>
      <c r="CB68" s="117" t="n">
        <f aca="false">BY68+COUNTIFS(BZ$58:BZ$69,BZ68,CA$58:CA$69,"&gt;"&amp;CA68)</f>
        <v>9</v>
      </c>
      <c r="CC68" s="117"/>
      <c r="CD68" s="117" t="n">
        <f aca="false">IF(OR(INDEX($AW$102:$AW$113,MATCH($BD68,$AV$102:$AV$113,0))="",BZ68="-"),CB68,INDEX($AW$102:$AW$113,MATCH($BD68,$AV$102:$AV$113,0))+CB68/1000)</f>
        <v>9.009</v>
      </c>
      <c r="CE68" s="117" t="n">
        <f aca="false">IF(BZ68="-","-",COUNTIF(CD$58:CD$69,"&lt;"&amp;CD68))</f>
        <v>8</v>
      </c>
      <c r="CF68" s="117" t="n">
        <f aca="false">BY68+COUNTIFS(BZ$58:BZ$69,BZ68,CE$58:CE$69,"&lt;"&amp;CE68)</f>
        <v>9</v>
      </c>
      <c r="CG68" s="117"/>
      <c r="CH68" s="117"/>
      <c r="CI68" s="117"/>
      <c r="CJ68" s="117"/>
      <c r="CK68" s="117"/>
      <c r="CL68" s="117"/>
      <c r="CM68" s="117"/>
      <c r="CN68" s="117"/>
      <c r="CO68" s="117"/>
      <c r="CP68" s="117"/>
      <c r="CQ68" s="117"/>
      <c r="CR68" s="117"/>
      <c r="CS68" s="117"/>
      <c r="CT68" s="117"/>
      <c r="CU68" s="117"/>
      <c r="CV68" s="117"/>
      <c r="CW68" s="55"/>
      <c r="CX68" s="55"/>
      <c r="CY68" s="55"/>
      <c r="CZ68" s="55"/>
      <c r="DA68" s="55"/>
      <c r="DB68" s="55"/>
      <c r="DC68" s="55"/>
      <c r="DD68" s="55"/>
      <c r="DE68" s="55"/>
      <c r="DF68" s="55"/>
      <c r="DG68" s="55"/>
      <c r="DH68" s="55"/>
      <c r="DI68" s="55"/>
      <c r="DJ68" s="55" t="n">
        <f aca="false">INDEX($BY$58:$BY$69,MATCH($DQ68,$BD$58:$BD$69,0))</f>
        <v>11</v>
      </c>
      <c r="DK68" s="55"/>
      <c r="DL68" s="55" t="n">
        <f aca="false">IF(OR($H$113=144,$AJ$99=144),COUNTIF($DJ$58:$DJ$69,DJ68),1)</f>
        <v>1</v>
      </c>
      <c r="DM68" s="120" t="str">
        <f aca="false">DJ68&amp;"."&amp;DL68</f>
        <v>11.1</v>
      </c>
      <c r="DN68" s="55" t="n">
        <f aca="true" t="array" ref="DN68:DN68">OFFSET(Horarios!$P$3,DJ68-1,0,DL68,1)</f>
        <v>11</v>
      </c>
      <c r="DO68" s="55"/>
      <c r="DP68" s="55" t="n">
        <v>11</v>
      </c>
      <c r="DQ68" s="55" t="str">
        <f aca="false">INDEX($BD$58:$BD$69,MATCH(DP68,$BM$58:$BM$69,0))</f>
        <v>Ecuador</v>
      </c>
      <c r="DR68" s="55"/>
      <c r="DS68" s="55"/>
      <c r="DT68" s="55" t="str">
        <f aca="false">AA68&amp;"-"&amp;AF68</f>
        <v>Francia-Senegal</v>
      </c>
      <c r="DU68" s="55"/>
      <c r="DV68" s="55"/>
      <c r="DW68" s="57"/>
    </row>
    <row r="69" customFormat="false" ht="15.75" hidden="false" customHeight="true" outlineLevel="0" collapsed="false">
      <c r="A69" s="92" t="str">
        <f aca="false">+Equipos!B34</f>
        <v>Francia</v>
      </c>
      <c r="B69" s="72"/>
      <c r="C69" s="72"/>
      <c r="D69" s="55" t="str">
        <f aca="false">IF(OR(AC69="",AD69=""),"Pendiente",IF(AC69&gt;AD69,"Local",IF(AC69&lt;AD69,"Visitante","Empate")))</f>
        <v>Pendiente</v>
      </c>
      <c r="E69" s="55" t="str">
        <f aca="false">IF(D69="Pendiente","-",INDEX($BT$6:$BT$53,MATCH($AA69,$BD$6:$BD$53,0)))</f>
        <v>-</v>
      </c>
      <c r="F69" s="55" t="str">
        <f aca="false">IF(D69="Pendiente","-",INDEX($BT$6:$BT$53,MATCH($AF69,$BD$6:$BD$53,0)))</f>
        <v>-</v>
      </c>
      <c r="G69" s="55"/>
      <c r="H69" s="55" t="str">
        <f aca="false">IF(D69="Pendiente","-",INDEX($BZ$6:$BZ$53,MATCH($AA69,$BD$6:$BD$53,0)))</f>
        <v>-</v>
      </c>
      <c r="I69" s="55" t="str">
        <f aca="false">IF(D69="Pendiente","-",INDEX($BZ$6:$BZ$53,MATCH($AF69,$BD$6:$BD$53,0)))</f>
        <v>-</v>
      </c>
      <c r="J69" s="55"/>
      <c r="K69" s="55" t="str">
        <f aca="false">IF(D69="Pendiente","-",INDEX($CE$6:$CE$53,MATCH($AA69,$BD$6:$BD$53,0)))</f>
        <v>-</v>
      </c>
      <c r="L69" s="55" t="str">
        <f aca="false">IF(D69="Pendiente","-",INDEX($CE$6:$CE$53,MATCH($AF69,$BD$6:$BD$53,0)))</f>
        <v>-</v>
      </c>
      <c r="M69" s="55"/>
      <c r="N69" s="55" t="str">
        <f aca="false">IF(D69="Pendiente","-",INDEX($CH$6:$CH$53,MATCH($AA69,$BD$6:$BD$53,0)))</f>
        <v>-</v>
      </c>
      <c r="O69" s="55" t="str">
        <f aca="false">IF(D69="Pendiente","-",INDEX($CH$6:$CH$53,MATCH($AF69,$BD$6:$BD$53,0)))</f>
        <v>-</v>
      </c>
      <c r="P69" s="55"/>
      <c r="Q69" s="55" t="str">
        <f aca="false">IF(D69="Pendiente","-",INDEX($CN$6:$CN$53,MATCH($AA69,$BD$6:$BD$53,0)))</f>
        <v>-</v>
      </c>
      <c r="R69" s="55" t="str">
        <f aca="false">IF(D69="Pendiente","-",INDEX($CN$6:$CN$53,MATCH($AF69,$BD$6:$BD$53,0)))</f>
        <v>-</v>
      </c>
      <c r="S69" s="55"/>
      <c r="T69" s="55" t="str">
        <f aca="false">IF(D69="Pendiente","-",INDEX($CS$6:$CS$53,MATCH($AA69,$BD$6:$BD$53,0)))</f>
        <v>-</v>
      </c>
      <c r="U69" s="55" t="str">
        <f aca="false">IF(D69="Pendiente","-",INDEX($CS$6:$CS$53,MATCH($AF69,$BD$6:$BD$53,0)))</f>
        <v>-</v>
      </c>
      <c r="V69" s="46"/>
      <c r="W69" s="193"/>
      <c r="X69" s="74" t="n">
        <f aca="false">Horarios!C69</f>
        <v>46190</v>
      </c>
      <c r="Y69" s="75" t="n">
        <f aca="false">Horarios!C69</f>
        <v>46190</v>
      </c>
      <c r="Z69" s="76" t="str">
        <f aca="false">$Z$4</f>
        <v>J1</v>
      </c>
      <c r="AA69" s="77" t="str">
        <f aca="false">A71</f>
        <v>Irak</v>
      </c>
      <c r="AB69" s="165" t="str">
        <f aca="true" t="array" ref="AB69:AB69">Ver_flag_local</f>
        <v/>
      </c>
      <c r="AC69" s="79"/>
      <c r="AD69" s="80"/>
      <c r="AE69" s="81" t="str">
        <f aca="true" t="array" ref="AE69:AE69">Ver_flag_visit</f>
        <v/>
      </c>
      <c r="AF69" s="82" t="str">
        <f aca="false">A72</f>
        <v>Noruega</v>
      </c>
      <c r="AG69" s="83" t="n">
        <f aca="false">IF(NOT(OR(ISBLANK(AC69),ISBLANK(AD69))),1,0)</f>
        <v>0</v>
      </c>
      <c r="AH69" s="84" t="n">
        <v>18</v>
      </c>
      <c r="AI69" s="85"/>
      <c r="AJ69" s="93" t="str">
        <f aca="false">AJ5</f>
        <v>Pos</v>
      </c>
      <c r="AK69" s="94"/>
      <c r="AL69" s="95" t="str">
        <f aca="false">AL5</f>
        <v>Selección</v>
      </c>
      <c r="AM69" s="94" t="str">
        <f aca="false">AM5</f>
        <v>Pts</v>
      </c>
      <c r="AN69" s="94" t="str">
        <f aca="false">AN5</f>
        <v>J</v>
      </c>
      <c r="AO69" s="94" t="str">
        <f aca="false">AO5</f>
        <v>G</v>
      </c>
      <c r="AP69" s="94" t="str">
        <f aca="false">AP5</f>
        <v>E</v>
      </c>
      <c r="AQ69" s="94" t="str">
        <f aca="false">AQ5</f>
        <v>P</v>
      </c>
      <c r="AR69" s="94" t="str">
        <f aca="false">AR5</f>
        <v>GF</v>
      </c>
      <c r="AS69" s="94" t="str">
        <f aca="false">AS5</f>
        <v>GC</v>
      </c>
      <c r="AT69" s="96" t="str">
        <f aca="false">AT5</f>
        <v>DG</v>
      </c>
      <c r="AU69" s="161" t="n">
        <f aca="false">COUNTIF(AU70:AU73,"&gt;1")</f>
        <v>0</v>
      </c>
      <c r="AV69" s="97"/>
      <c r="AW69" s="97"/>
      <c r="AX69" s="168"/>
      <c r="AY69" s="98" t="str">
        <f aca="false">AL69</f>
        <v>Selección</v>
      </c>
      <c r="AZ69" s="99" t="str">
        <f aca="false">+Idiomas!$D$69</f>
        <v>Puntos penalizados</v>
      </c>
      <c r="BA69" s="49"/>
      <c r="BB69" s="191" t="str">
        <f aca="false">"3"&amp;BC69</f>
        <v>3L</v>
      </c>
      <c r="BC69" s="116" t="s">
        <v>137</v>
      </c>
      <c r="BD69" s="55" t="str">
        <f aca="false">+INDEX($BD$6:$BN$53,MATCH($BB69,$BN$6:$BN$53,0),MATCH(BD$57,$BD$5:$BN$5,0))</f>
        <v>Ghana</v>
      </c>
      <c r="BE69" s="117" t="n">
        <f aca="false">CHOOSE($BB$57,
  (BG69*3 + BH69)+IF($AZ$3="No",0,INDEX($AZ$6:$AZ$97,MATCH(BD69,$AY$6:$AY$97,0))),
  (BG69*3 + BH69)+IF($AZ$3="No",0,INDEX($AZ$6:$AZ$97,MATCH(BD69,$AY$6:$AY$97,0))),
  IFERROR((BG69*3 + BH69+IF($AZ$3="No",0,INDEX($AZ$6:$AZ$97,MATCH(BD69,$AY$6:$AY$97,0)))) / BF69, 0)
)</f>
        <v>0</v>
      </c>
      <c r="BF69" s="117" t="n">
        <f aca="false">+BG69+BH69+BI69</f>
        <v>0</v>
      </c>
      <c r="BG69" s="117" t="n">
        <f aca="false">CHOOSE(IF($BB$57=2, 2, 1),
  INDEX($BG$6:$BG$53,MATCH($BB69,$BN$6:$BN$53,0)),
  INDEX($BG$6:$BG$53,MATCH($BB69,$BN$6:$BN$53,0))-(COUNTIFS(FGLocal,$BD69,FGVisitante,INDEX($BD$6:$BD$53,MATCH(BO69,$BN$6:$BN$53,0)),Ganador,"Local")+COUNTIFS(FGVisitante,$BD69,FGLocal,INDEX($BD$6:$BD$53,MATCH(BO69,$BN$6:$BN$53,0)),Ganador,"Visitante"))
)</f>
        <v>0</v>
      </c>
      <c r="BH69" s="117" t="n">
        <f aca="false">CHOOSE(IF($BB$57=2, 2, 1),
  INDEX($BH$6:$BH$53,MATCH($BB69,$BN$6:$BN$53,0)),
  INDEX($BH$6:$BH$53,MATCH($BB69,$BN$6:$BN$53,0))-(COUNTIFS(FGLocal,$BD69,FGVisitante,INDEX($BD$6:$BD$53,MATCH(BO69,$BN$6:$BN$53,0)),Ganador,"Empate")+COUNTIFS(FGVisitante,$BD69,FGLocal,INDEX($BD$6:$BD$53,MATCH(BO69,$BN$6:$BN$53,0)),Ganador,"Empate"))
)</f>
        <v>0</v>
      </c>
      <c r="BI69" s="117" t="n">
        <f aca="false">CHOOSE(IF($BB$57=2, 2, 1),
  INDEX($BI$6:$BI$53,MATCH($BB69,$BN$6:$BN$53,0)),
  INDEX($BI$6:$BI$53,MATCH($BB69,$BN$6:$BN$53,0))-(COUNTIFS(FGLocal,$BD69,FGVisitante,INDEX($BD$6:$BD$53,MATCH(BO69,$BN$6:$BN$53,0)),Ganador,"Visitante")+COUNTIFS(FGVisitante,$BD69,FGLocal,INDEX($BD$6:$BD$53,MATCH(BO69,$BN$6:$BN$53,0)),Ganador,"Local"))
)</f>
        <v>0</v>
      </c>
      <c r="BJ69" s="117" t="n">
        <f aca="false">CHOOSE($BB$57,
  INDEX($BJ$6:$BJ$53,MATCH($BB69,$BN$6:$BN$53,0)),
  INDEX($BJ$6:$BJ$53,MATCH($BB69,$BN$6:$BN$53,0))-(SUMIFS(FG_GolesLocal,FGLocal,$BD69,FGVisitante,INDEX($BD$6:$BD$53,MATCH(BO69,$BN$6:$BN$53,0)))+SUMIFS(FG_GolesVisitante,FGVisitante,$BD69,FGLocal,INDEX($BD$6:$BD$53,MATCH(BO69,$BN$6:$BN$53,0)))),
  IFERROR(INDEX($BJ$6:$BJ$53,MATCH($BB69,$BN$6:$BN$53,0)) / BF69, 0)
)</f>
        <v>0</v>
      </c>
      <c r="BK69" s="117" t="n">
        <f aca="false">CHOOSE($BB$57,
  INDEX($BK$6:$BK$53,MATCH($BB69,$BN$6:$BN$53,0)),
  INDEX($BK$6:$BK$53,MATCH($BB69,$BN$6:$BN$53,0))-(SUMIFS(FG_GolesVisitante,FGLocal,$BD69,FGVisitante,INDEX($BD$6:$BD$53,MATCH(BO69,$BN$6:$BN$53,0)))+SUMIFS(FG_GolesLocal,FGVisitante,$BD69,FGLocal,INDEX($BD$6:$BD$53,MATCH(BO69,$BN$6:$BN$53,0)))),
  IFERROR(INDEX($BK$6:$BK$53,MATCH($BB69,$BN$6:$BN$53,0)) / BF69, 0)
)</f>
        <v>0</v>
      </c>
      <c r="BL69" s="117" t="n">
        <f aca="false">BJ69-BK69</f>
        <v>0</v>
      </c>
      <c r="BM69" s="117" t="n">
        <f aca="false">CB69</f>
        <v>7</v>
      </c>
      <c r="BN69" s="117" t="n">
        <f aca="false">CF69</f>
        <v>6</v>
      </c>
      <c r="BO69" s="120" t="str">
        <f aca="false">"4"&amp;BC69</f>
        <v>4L</v>
      </c>
      <c r="BP69" s="120"/>
      <c r="BQ69" s="120"/>
      <c r="BR69" s="117" t="n">
        <f aca="false">+BE69</f>
        <v>0</v>
      </c>
      <c r="BS69" s="117" t="n">
        <f aca="false">COUNTIFS(BR$58:BR$69,"&gt;"&amp;BR69)+1</f>
        <v>6</v>
      </c>
      <c r="BT69" s="117" t="str">
        <f aca="false">IF(COUNTIF(BS$58:BS$69,BS69)=1,"-","Pos. "&amp;BS69&amp;" ("&amp;COUNTIF(BS$58:BS$69,BS69)&amp;")")</f>
        <v>Pos. 6 (7)</v>
      </c>
      <c r="BU69" s="117" t="n">
        <f aca="false">IF(BT69="-","-",BL69)</f>
        <v>0</v>
      </c>
      <c r="BV69" s="117" t="n">
        <f aca="false">BS69+COUNTIFS(BT$58:BT$69,BT69,BU$58:BU$69,"&gt;"&amp;BU69)</f>
        <v>6</v>
      </c>
      <c r="BW69" s="117" t="str">
        <f aca="false">IF(COUNTIF(BV$58:BV$69,BV69)=1,"-","Pos. "&amp;BV69&amp;" ("&amp;COUNTIF(BV$58:BV$69,BV69)&amp;")")</f>
        <v>Pos. 6 (4)</v>
      </c>
      <c r="BX69" s="117" t="n">
        <f aca="false">IF(BW69="-","-",BJ69)</f>
        <v>0</v>
      </c>
      <c r="BY69" s="117" t="n">
        <f aca="false">BV69+COUNTIFS(BW$58:BW$69,BW69,BX$58:BX$69,"&gt;"&amp;BX69)</f>
        <v>6</v>
      </c>
      <c r="BZ69" s="117" t="str">
        <f aca="false">IF(COUNTIF(BY$58:BY$69,BY69)=1,"-","Pos. "&amp;BY69&amp;" ("&amp;COUNTIF(BY$58:BY$69,BY69)&amp;")")</f>
        <v>Pos. 6 (4)</v>
      </c>
      <c r="CA69" s="117" t="n">
        <f aca="false">IF(BZ69="-","-",COUNTIF($BD$58:$BD$69,"&gt;"&amp;BD69))</f>
        <v>6</v>
      </c>
      <c r="CB69" s="117" t="n">
        <f aca="false">BY69+COUNTIFS(BZ$58:BZ$69,BZ69,CA$58:CA$69,"&gt;"&amp;CA69)</f>
        <v>7</v>
      </c>
      <c r="CC69" s="117"/>
      <c r="CD69" s="117" t="n">
        <f aca="false">IF(OR(INDEX($AW$102:$AW$113,MATCH($BD69,$AV$102:$AV$113,0))="",BZ69="-"),CB69,INDEX($AW$102:$AW$113,MATCH($BD69,$AV$102:$AV$113,0))+CB69/1000)</f>
        <v>6.007</v>
      </c>
      <c r="CE69" s="117" t="n">
        <f aca="false">IF(BZ69="-","-",COUNTIF(CD$58:CD$69,"&lt;"&amp;CD69))</f>
        <v>5</v>
      </c>
      <c r="CF69" s="117" t="n">
        <f aca="false">BY69+COUNTIFS(BZ$58:BZ$69,BZ69,CE$58:CE$69,"&lt;"&amp;CE69)</f>
        <v>6</v>
      </c>
      <c r="CG69" s="117"/>
      <c r="CH69" s="117"/>
      <c r="CI69" s="117"/>
      <c r="CJ69" s="117"/>
      <c r="CK69" s="117"/>
      <c r="CL69" s="117"/>
      <c r="CM69" s="117"/>
      <c r="CN69" s="117"/>
      <c r="CO69" s="117"/>
      <c r="CP69" s="117"/>
      <c r="CQ69" s="117"/>
      <c r="CR69" s="117"/>
      <c r="CS69" s="117"/>
      <c r="CT69" s="117"/>
      <c r="CU69" s="117"/>
      <c r="CV69" s="117"/>
      <c r="CW69" s="55"/>
      <c r="CX69" s="55"/>
      <c r="CY69" s="55"/>
      <c r="CZ69" s="55"/>
      <c r="DA69" s="55"/>
      <c r="DB69" s="55"/>
      <c r="DC69" s="55"/>
      <c r="DD69" s="55"/>
      <c r="DE69" s="55"/>
      <c r="DF69" s="55"/>
      <c r="DG69" s="55"/>
      <c r="DH69" s="55"/>
      <c r="DI69" s="55"/>
      <c r="DJ69" s="55" t="n">
        <f aca="false">INDEX($BY$58:$BY$69,MATCH($DQ69,$BD$58:$BD$69,0))</f>
        <v>12</v>
      </c>
      <c r="DK69" s="55"/>
      <c r="DL69" s="55" t="n">
        <f aca="false">IF(OR($H$113=144,$AJ$99=144),COUNTIF($DJ$58:$DJ$69,DJ69),1)</f>
        <v>1</v>
      </c>
      <c r="DM69" s="120" t="str">
        <f aca="false">DJ69&amp;"."&amp;DL69</f>
        <v>12.1</v>
      </c>
      <c r="DN69" s="55" t="n">
        <f aca="true" t="array" ref="DN69:DN69">OFFSET(Horarios!$P$3,DJ69-1,0,DL69,1)</f>
        <v>12</v>
      </c>
      <c r="DO69" s="55"/>
      <c r="DP69" s="55" t="n">
        <v>12</v>
      </c>
      <c r="DQ69" s="55" t="str">
        <f aca="false">INDEX($BD$58:$BD$69,MATCH(DP69,$BM$58:$BM$69,0))</f>
        <v>Turquía</v>
      </c>
      <c r="DR69" s="55"/>
      <c r="DS69" s="55"/>
      <c r="DT69" s="55" t="str">
        <f aca="false">AA69&amp;"-"&amp;AF69</f>
        <v>Irak-Noruega</v>
      </c>
      <c r="DU69" s="55"/>
      <c r="DV69" s="55"/>
      <c r="DW69" s="57"/>
    </row>
    <row r="70" customFormat="false" ht="15.75" hidden="false" customHeight="true" outlineLevel="0" collapsed="false">
      <c r="A70" s="92" t="str">
        <f aca="false">+Equipos!B35</f>
        <v>Senegal</v>
      </c>
      <c r="B70" s="72"/>
      <c r="C70" s="103"/>
      <c r="D70" s="55" t="str">
        <f aca="false">IF(OR(AC70="",AD70=""),"Pendiente",IF(AC70&gt;AD70,"Local",IF(AC70&lt;AD70,"Visitante","Empate")))</f>
        <v>Pendiente</v>
      </c>
      <c r="E70" s="55" t="str">
        <f aca="false">IF(D70="Pendiente","-",INDEX($BT$6:$BT$53,MATCH($AA70,$BD$6:$BD$53,0)))</f>
        <v>-</v>
      </c>
      <c r="F70" s="55" t="str">
        <f aca="false">IF(D70="Pendiente","-",INDEX($BT$6:$BT$53,MATCH($AF70,$BD$6:$BD$53,0)))</f>
        <v>-</v>
      </c>
      <c r="G70" s="55"/>
      <c r="H70" s="55" t="str">
        <f aca="false">IF(D70="Pendiente","-",INDEX($BZ$6:$BZ$53,MATCH($AA70,$BD$6:$BD$53,0)))</f>
        <v>-</v>
      </c>
      <c r="I70" s="55" t="str">
        <f aca="false">IF(D70="Pendiente","-",INDEX($BZ$6:$BZ$53,MATCH($AF70,$BD$6:$BD$53,0)))</f>
        <v>-</v>
      </c>
      <c r="J70" s="55"/>
      <c r="K70" s="55" t="str">
        <f aca="false">IF(D70="Pendiente","-",INDEX($CE$6:$CE$53,MATCH($AA70,$BD$6:$BD$53,0)))</f>
        <v>-</v>
      </c>
      <c r="L70" s="55" t="str">
        <f aca="false">IF(D70="Pendiente","-",INDEX($CE$6:$CE$53,MATCH($AF70,$BD$6:$BD$53,0)))</f>
        <v>-</v>
      </c>
      <c r="M70" s="55"/>
      <c r="N70" s="55" t="str">
        <f aca="false">IF(D70="Pendiente","-",INDEX($CH$6:$CH$53,MATCH($AA70,$BD$6:$BD$53,0)))</f>
        <v>-</v>
      </c>
      <c r="O70" s="55" t="str">
        <f aca="false">IF(D70="Pendiente","-",INDEX($CH$6:$CH$53,MATCH($AF70,$BD$6:$BD$53,0)))</f>
        <v>-</v>
      </c>
      <c r="P70" s="55"/>
      <c r="Q70" s="55" t="str">
        <f aca="false">IF(D70="Pendiente","-",INDEX($CN$6:$CN$53,MATCH($AA70,$BD$6:$BD$53,0)))</f>
        <v>-</v>
      </c>
      <c r="R70" s="55" t="str">
        <f aca="false">IF(D70="Pendiente","-",INDEX($CN$6:$CN$53,MATCH($AF70,$BD$6:$BD$53,0)))</f>
        <v>-</v>
      </c>
      <c r="S70" s="55"/>
      <c r="T70" s="55" t="str">
        <f aca="false">IF(D70="Pendiente","-",INDEX($CS$6:$CS$53,MATCH($AA70,$BD$6:$BD$53,0)))</f>
        <v>-</v>
      </c>
      <c r="U70" s="55" t="str">
        <f aca="false">IF(D70="Pendiente","-",INDEX($CS$6:$CS$53,MATCH($AF70,$BD$6:$BD$53,0)))</f>
        <v>-</v>
      </c>
      <c r="V70" s="46"/>
      <c r="W70" s="193"/>
      <c r="X70" s="74" t="n">
        <f aca="false">Horarios!C70</f>
        <v>46195.9583333333</v>
      </c>
      <c r="Y70" s="75" t="n">
        <f aca="false">Horarios!C70</f>
        <v>46195.9583333333</v>
      </c>
      <c r="Z70" s="76" t="str">
        <f aca="false">$Z$6</f>
        <v>J2</v>
      </c>
      <c r="AA70" s="77" t="str">
        <f aca="false">A69</f>
        <v>Francia</v>
      </c>
      <c r="AB70" s="165" t="str">
        <f aca="true" t="array" ref="AB70:AB70">Ver_flag_local</f>
        <v/>
      </c>
      <c r="AC70" s="79"/>
      <c r="AD70" s="80"/>
      <c r="AE70" s="81" t="str">
        <f aca="true" t="array" ref="AE70:AE70">Ver_flag_visit</f>
        <v/>
      </c>
      <c r="AF70" s="82" t="str">
        <f aca="false">A71</f>
        <v>Irak</v>
      </c>
      <c r="AG70" s="83" t="n">
        <f aca="false">IF(NOT(OR(ISBLANK(AC70),ISBLANK(AD70))),1,0)</f>
        <v>0</v>
      </c>
      <c r="AH70" s="84" t="n">
        <v>42</v>
      </c>
      <c r="AI70" s="85" t="str">
        <f aca="false">AJ70&amp;$B$68</f>
        <v>1I</v>
      </c>
      <c r="AJ70" s="104" t="n">
        <v>1</v>
      </c>
      <c r="AK70" s="170" t="str">
        <f aca="true" t="array" ref="AK70:AK70">Ver_flag_visit</f>
        <v/>
      </c>
      <c r="AL70" s="106" t="str">
        <f aca="false">IFERROR(INDEX($BD$6:$BD$53,MATCH(AI70,$BN$6:$BN$53,0)),"")</f>
        <v>Francia</v>
      </c>
      <c r="AM70" s="107" t="n">
        <f aca="false">INDEX($BE$6:$BN$53,MATCH($AL70,$BD$6:$BD$53,0),MATCH(AM$5,$BE$5:$BN$5,0))</f>
        <v>0</v>
      </c>
      <c r="AN70" s="108" t="n">
        <f aca="false">INDEX($BE$6:$BN$53,MATCH($AL70,$BD$6:$BD$53,0),MATCH(AN$5,$BE$5:$BN$5,0))</f>
        <v>0</v>
      </c>
      <c r="AO70" s="108" t="n">
        <f aca="false">INDEX($BE$6:$BN$53,MATCH($AL70,$BD$6:$BD$53,0),MATCH(AO$5,$BE$5:$BN$5,0))</f>
        <v>0</v>
      </c>
      <c r="AP70" s="108" t="n">
        <f aca="false">INDEX($BE$6:$BN$53,MATCH($AL70,$BD$6:$BD$53,0),MATCH(AP$5,$BE$5:$BN$5,0))</f>
        <v>0</v>
      </c>
      <c r="AQ70" s="108" t="n">
        <f aca="false">INDEX($BE$6:$BN$53,MATCH($AL70,$BD$6:$BD$53,0),MATCH(AQ$5,$BE$5:$BN$5,0))</f>
        <v>0</v>
      </c>
      <c r="AR70" s="108" t="n">
        <f aca="false">INDEX($BE$6:$BN$53,MATCH($AL70,$BD$6:$BD$53,0),MATCH(AR$5,$BE$5:$BN$5,0))</f>
        <v>0</v>
      </c>
      <c r="AS70" s="108" t="n">
        <f aca="false">INDEX($BE$6:$BN$53,MATCH($AL70,$BD$6:$BD$53,0),MATCH(AS$5,$BE$5:$BN$5,0))</f>
        <v>0</v>
      </c>
      <c r="AT70" s="109" t="n">
        <f aca="false">INDEX($BE$6:$BN$53,MATCH($AL70,$BD$6:$BD$53,0),MATCH(AT$5,$BE$5:$BN$5,0))</f>
        <v>0</v>
      </c>
      <c r="AU70" s="110" t="n">
        <f aca="false">INDEX($DL$6:$DL$53,MATCH(AI70,$DP$6:$DP$53,0))</f>
        <v>1</v>
      </c>
      <c r="AV70" s="111" t="str">
        <f aca="false">INDEX($BD$6:$BD$53,MATCH(AI70,$BM$6:$BM$53,0))</f>
        <v>Francia</v>
      </c>
      <c r="AW70" s="112"/>
      <c r="AX70" s="113"/>
      <c r="AY70" s="114" t="str">
        <f aca="false">+A69</f>
        <v>Francia</v>
      </c>
      <c r="AZ70" s="115"/>
      <c r="BA70" s="49"/>
      <c r="BB70" s="55"/>
      <c r="BC70" s="55"/>
      <c r="BD70" s="55"/>
      <c r="BE70" s="55"/>
      <c r="BF70" s="55"/>
      <c r="BG70" s="55"/>
      <c r="BH70" s="55"/>
      <c r="BI70" s="55"/>
      <c r="BJ70" s="55"/>
      <c r="BK70" s="55"/>
      <c r="BL70" s="55"/>
      <c r="BM70" s="55"/>
      <c r="BN70" s="91"/>
      <c r="BO70" s="91"/>
      <c r="BP70" s="91"/>
      <c r="BQ70" s="91"/>
      <c r="BR70" s="55"/>
      <c r="BS70" s="55"/>
      <c r="BT70" s="91"/>
      <c r="BU70" s="91"/>
      <c r="BV70" s="91"/>
      <c r="BW70" s="91"/>
      <c r="BX70" s="91"/>
      <c r="BY70" s="91"/>
      <c r="BZ70" s="91"/>
      <c r="CA70" s="91"/>
      <c r="CB70" s="91"/>
      <c r="CC70" s="91"/>
      <c r="CD70" s="91"/>
      <c r="CE70" s="91"/>
      <c r="CF70" s="91"/>
      <c r="CG70" s="91"/>
      <c r="CH70" s="91"/>
      <c r="CI70" s="91"/>
      <c r="CJ70" s="91"/>
      <c r="CK70" s="91"/>
      <c r="CL70" s="91"/>
      <c r="CM70" s="91"/>
      <c r="CN70" s="91"/>
      <c r="CO70" s="91"/>
      <c r="CP70" s="91"/>
      <c r="CQ70" s="91"/>
      <c r="CR70" s="91"/>
      <c r="CS70" s="91"/>
      <c r="CT70" s="91"/>
      <c r="CU70" s="91"/>
      <c r="CV70" s="91"/>
      <c r="CW70" s="55"/>
      <c r="CX70" s="91"/>
      <c r="CY70" s="55"/>
      <c r="CZ70" s="55"/>
      <c r="DA70" s="55"/>
      <c r="DB70" s="55"/>
      <c r="DC70" s="55"/>
      <c r="DD70" s="55"/>
      <c r="DE70" s="55"/>
      <c r="DF70" s="55"/>
      <c r="DG70" s="55"/>
      <c r="DH70" s="55"/>
      <c r="DI70" s="55"/>
      <c r="DJ70" s="55"/>
      <c r="DK70" s="55"/>
      <c r="DL70" s="55"/>
      <c r="DM70" s="55"/>
      <c r="DN70" s="55"/>
      <c r="DO70" s="55"/>
      <c r="DP70" s="55"/>
      <c r="DQ70" s="55"/>
      <c r="DR70" s="55"/>
      <c r="DS70" s="55"/>
      <c r="DT70" s="55" t="str">
        <f aca="false">AA70&amp;"-"&amp;AF70</f>
        <v>Francia-Irak</v>
      </c>
      <c r="DU70" s="55"/>
      <c r="DV70" s="55"/>
      <c r="DW70" s="57"/>
    </row>
    <row r="71" customFormat="false" ht="15.75" hidden="false" customHeight="true" outlineLevel="0" collapsed="false">
      <c r="A71" s="92" t="str">
        <f aca="false">+Equipos!B36</f>
        <v>Irak</v>
      </c>
      <c r="B71" s="72"/>
      <c r="C71" s="55"/>
      <c r="D71" s="55" t="str">
        <f aca="false">IF(OR(AC71="",AD71=""),"Pendiente",IF(AC71&gt;AD71,"Local",IF(AC71&lt;AD71,"Visitante","Empate")))</f>
        <v>Pendiente</v>
      </c>
      <c r="E71" s="55" t="str">
        <f aca="false">IF(D71="Pendiente","-",INDEX($BT$6:$BT$53,MATCH($AA71,$BD$6:$BD$53,0)))</f>
        <v>-</v>
      </c>
      <c r="F71" s="55" t="str">
        <f aca="false">IF(D71="Pendiente","-",INDEX($BT$6:$BT$53,MATCH($AF71,$BD$6:$BD$53,0)))</f>
        <v>-</v>
      </c>
      <c r="G71" s="55"/>
      <c r="H71" s="55" t="str">
        <f aca="false">IF(D71="Pendiente","-",INDEX($BZ$6:$BZ$53,MATCH($AA71,$BD$6:$BD$53,0)))</f>
        <v>-</v>
      </c>
      <c r="I71" s="55" t="str">
        <f aca="false">IF(D71="Pendiente","-",INDEX($BZ$6:$BZ$53,MATCH($AF71,$BD$6:$BD$53,0)))</f>
        <v>-</v>
      </c>
      <c r="J71" s="55"/>
      <c r="K71" s="55" t="str">
        <f aca="false">IF(D71="Pendiente","-",INDEX($CE$6:$CE$53,MATCH($AA71,$BD$6:$BD$53,0)))</f>
        <v>-</v>
      </c>
      <c r="L71" s="55" t="str">
        <f aca="false">IF(D71="Pendiente","-",INDEX($CE$6:$CE$53,MATCH($AF71,$BD$6:$BD$53,0)))</f>
        <v>-</v>
      </c>
      <c r="M71" s="55"/>
      <c r="N71" s="55" t="str">
        <f aca="false">IF(D71="Pendiente","-",INDEX($CH$6:$CH$53,MATCH($AA71,$BD$6:$BD$53,0)))</f>
        <v>-</v>
      </c>
      <c r="O71" s="55" t="str">
        <f aca="false">IF(D71="Pendiente","-",INDEX($CH$6:$CH$53,MATCH($AF71,$BD$6:$BD$53,0)))</f>
        <v>-</v>
      </c>
      <c r="P71" s="55"/>
      <c r="Q71" s="55" t="str">
        <f aca="false">IF(D71="Pendiente","-",INDEX($CN$6:$CN$53,MATCH($AA71,$BD$6:$BD$53,0)))</f>
        <v>-</v>
      </c>
      <c r="R71" s="55" t="str">
        <f aca="false">IF(D71="Pendiente","-",INDEX($CN$6:$CN$53,MATCH($AF71,$BD$6:$BD$53,0)))</f>
        <v>-</v>
      </c>
      <c r="S71" s="55"/>
      <c r="T71" s="55" t="str">
        <f aca="false">IF(D71="Pendiente","-",INDEX($CS$6:$CS$53,MATCH($AA71,$BD$6:$BD$53,0)))</f>
        <v>-</v>
      </c>
      <c r="U71" s="55" t="str">
        <f aca="false">IF(D71="Pendiente","-",INDEX($CS$6:$CS$53,MATCH($AF71,$BD$6:$BD$53,0)))</f>
        <v>-</v>
      </c>
      <c r="V71" s="46"/>
      <c r="W71" s="193"/>
      <c r="X71" s="74" t="n">
        <f aca="false">Horarios!C71</f>
        <v>46196.0833333333</v>
      </c>
      <c r="Y71" s="75" t="n">
        <f aca="false">Horarios!C71</f>
        <v>46196.0833333333</v>
      </c>
      <c r="Z71" s="76" t="str">
        <f aca="false">$Z$6</f>
        <v>J2</v>
      </c>
      <c r="AA71" s="77" t="str">
        <f aca="false">A72</f>
        <v>Noruega</v>
      </c>
      <c r="AB71" s="165" t="str">
        <f aca="true" t="array" ref="AB71:AB71">Ver_flag_local</f>
        <v/>
      </c>
      <c r="AC71" s="79"/>
      <c r="AD71" s="80"/>
      <c r="AE71" s="81" t="str">
        <f aca="true" t="array" ref="AE71:AE71">Ver_flag_visit</f>
        <v/>
      </c>
      <c r="AF71" s="82" t="str">
        <f aca="false">A70</f>
        <v>Senegal</v>
      </c>
      <c r="AG71" s="83" t="n">
        <f aca="false">IF(NOT(OR(ISBLANK(AC71),ISBLANK(AD71))),1,0)</f>
        <v>0</v>
      </c>
      <c r="AH71" s="84" t="n">
        <v>41</v>
      </c>
      <c r="AI71" s="85" t="str">
        <f aca="false">AJ71&amp;$B$68</f>
        <v>2I</v>
      </c>
      <c r="AJ71" s="121" t="n">
        <v>2</v>
      </c>
      <c r="AK71" s="173" t="str">
        <f aca="true" t="array" ref="AK71:AK71">Ver_flag_visit</f>
        <v/>
      </c>
      <c r="AL71" s="123" t="str">
        <f aca="false">IFERROR(INDEX($BD$6:$BD$53,MATCH(AI71,$BN$6:$BN$53,0)),"")</f>
        <v>Senegal</v>
      </c>
      <c r="AM71" s="124" t="n">
        <f aca="false">INDEX($BE$6:$BN$53,MATCH($AL71,$BD$6:$BD$53,0),MATCH(AM$5,$BE$5:$BN$5,0))</f>
        <v>0</v>
      </c>
      <c r="AN71" s="125" t="n">
        <f aca="false">INDEX($BE$6:$BN$53,MATCH($AL71,$BD$6:$BD$53,0),MATCH(AN$5,$BE$5:$BN$5,0))</f>
        <v>0</v>
      </c>
      <c r="AO71" s="125" t="n">
        <f aca="false">INDEX($BE$6:$BN$53,MATCH($AL71,$BD$6:$BD$53,0),MATCH(AO$5,$BE$5:$BN$5,0))</f>
        <v>0</v>
      </c>
      <c r="AP71" s="125" t="n">
        <f aca="false">INDEX($BE$6:$BN$53,MATCH($AL71,$BD$6:$BD$53,0),MATCH(AP$5,$BE$5:$BN$5,0))</f>
        <v>0</v>
      </c>
      <c r="AQ71" s="125" t="n">
        <f aca="false">INDEX($BE$6:$BN$53,MATCH($AL71,$BD$6:$BD$53,0),MATCH(AQ$5,$BE$5:$BN$5,0))</f>
        <v>0</v>
      </c>
      <c r="AR71" s="125" t="n">
        <f aca="false">INDEX($BE$6:$BN$53,MATCH($AL71,$BD$6:$BD$53,0),MATCH(AR$5,$BE$5:$BN$5,0))</f>
        <v>0</v>
      </c>
      <c r="AS71" s="125" t="n">
        <f aca="false">INDEX($BE$6:$BN$53,MATCH($AL71,$BD$6:$BD$53,0),MATCH(AS$5,$BE$5:$BN$5,0))</f>
        <v>0</v>
      </c>
      <c r="AT71" s="126" t="n">
        <f aca="false">INDEX($BE$6:$BN$53,MATCH($AL71,$BD$6:$BD$53,0),MATCH(AT$5,$BE$5:$BN$5,0))</f>
        <v>0</v>
      </c>
      <c r="AU71" s="110" t="n">
        <f aca="false">INDEX($DL$6:$DL$53,MATCH(AI71,$DP$6:$DP$53,0))</f>
        <v>1</v>
      </c>
      <c r="AV71" s="111" t="str">
        <f aca="false">INDEX($BD$6:$BD$53,MATCH(AI71,$BM$6:$BM$53,0))</f>
        <v>Senegal</v>
      </c>
      <c r="AW71" s="112"/>
      <c r="AX71" s="113"/>
      <c r="AY71" s="127" t="str">
        <f aca="false">+A70</f>
        <v>Senegal</v>
      </c>
      <c r="AZ71" s="128"/>
      <c r="BA71" s="49"/>
      <c r="BB71" s="55"/>
      <c r="BC71" s="55"/>
      <c r="BD71" s="55"/>
      <c r="BE71" s="55"/>
      <c r="BF71" s="55"/>
      <c r="BG71" s="55"/>
      <c r="BH71" s="55"/>
      <c r="BI71" s="55"/>
      <c r="BJ71" s="55"/>
      <c r="BK71" s="55"/>
      <c r="BL71" s="55"/>
      <c r="BM71" s="55"/>
      <c r="BN71" s="91"/>
      <c r="BO71" s="91"/>
      <c r="BP71" s="91"/>
      <c r="BQ71" s="91"/>
      <c r="BR71" s="55"/>
      <c r="BS71" s="55"/>
      <c r="BT71" s="91"/>
      <c r="BU71" s="91"/>
      <c r="BV71" s="91"/>
      <c r="BW71" s="91"/>
      <c r="BX71" s="91"/>
      <c r="BY71" s="91"/>
      <c r="BZ71" s="91"/>
      <c r="CA71" s="91"/>
      <c r="CB71" s="91"/>
      <c r="CC71" s="91"/>
      <c r="CD71" s="91"/>
      <c r="CE71" s="91"/>
      <c r="CF71" s="91"/>
      <c r="CG71" s="91"/>
      <c r="CH71" s="91"/>
      <c r="CI71" s="91"/>
      <c r="CJ71" s="91"/>
      <c r="CK71" s="91"/>
      <c r="CL71" s="91"/>
      <c r="CM71" s="91"/>
      <c r="CN71" s="91"/>
      <c r="CO71" s="91"/>
      <c r="CP71" s="91"/>
      <c r="CQ71" s="91"/>
      <c r="CR71" s="91"/>
      <c r="CS71" s="91"/>
      <c r="CT71" s="91"/>
      <c r="CU71" s="91"/>
      <c r="CV71" s="91"/>
      <c r="CW71" s="55"/>
      <c r="CX71" s="91"/>
      <c r="CY71" s="55"/>
      <c r="CZ71" s="55"/>
      <c r="DA71" s="55"/>
      <c r="DB71" s="55"/>
      <c r="DC71" s="55"/>
      <c r="DD71" s="55"/>
      <c r="DE71" s="55"/>
      <c r="DF71" s="55"/>
      <c r="DG71" s="55"/>
      <c r="DH71" s="55"/>
      <c r="DI71" s="55"/>
      <c r="DJ71" s="55"/>
      <c r="DK71" s="55"/>
      <c r="DL71" s="55"/>
      <c r="DM71" s="55"/>
      <c r="DN71" s="55"/>
      <c r="DO71" s="55"/>
      <c r="DP71" s="55"/>
      <c r="DQ71" s="55"/>
      <c r="DR71" s="55"/>
      <c r="DS71" s="55"/>
      <c r="DT71" s="55" t="str">
        <f aca="false">AA71&amp;"-"&amp;AF71</f>
        <v>Noruega-Senegal</v>
      </c>
      <c r="DU71" s="55"/>
      <c r="DV71" s="55"/>
      <c r="DW71" s="57"/>
    </row>
    <row r="72" customFormat="false" ht="15.75" hidden="false" customHeight="true" outlineLevel="0" collapsed="false">
      <c r="A72" s="92" t="str">
        <f aca="false">+Equipos!B37</f>
        <v>Noruega</v>
      </c>
      <c r="B72" s="72"/>
      <c r="C72" s="55"/>
      <c r="D72" s="55" t="str">
        <f aca="false">IF(OR(AC72="",AD72=""),"Pendiente",IF(AC72&gt;AD72,"Local",IF(AC72&lt;AD72,"Visitante","Empate")))</f>
        <v>Pendiente</v>
      </c>
      <c r="E72" s="55" t="str">
        <f aca="false">IF(D72="Pendiente","-",INDEX($BT$6:$BT$53,MATCH($AA72,$BD$6:$BD$53,0)))</f>
        <v>-</v>
      </c>
      <c r="F72" s="55" t="str">
        <f aca="false">IF(D72="Pendiente","-",INDEX($BT$6:$BT$53,MATCH($AF72,$BD$6:$BD$53,0)))</f>
        <v>-</v>
      </c>
      <c r="G72" s="55"/>
      <c r="H72" s="55" t="str">
        <f aca="false">IF(D72="Pendiente","-",INDEX($BZ$6:$BZ$53,MATCH($AA72,$BD$6:$BD$53,0)))</f>
        <v>-</v>
      </c>
      <c r="I72" s="55" t="str">
        <f aca="false">IF(D72="Pendiente","-",INDEX($BZ$6:$BZ$53,MATCH($AF72,$BD$6:$BD$53,0)))</f>
        <v>-</v>
      </c>
      <c r="J72" s="55"/>
      <c r="K72" s="55" t="str">
        <f aca="false">IF(D72="Pendiente","-",INDEX($CE$6:$CE$53,MATCH($AA72,$BD$6:$BD$53,0)))</f>
        <v>-</v>
      </c>
      <c r="L72" s="55" t="str">
        <f aca="false">IF(D72="Pendiente","-",INDEX($CE$6:$CE$53,MATCH($AF72,$BD$6:$BD$53,0)))</f>
        <v>-</v>
      </c>
      <c r="M72" s="55"/>
      <c r="N72" s="55" t="str">
        <f aca="false">IF(D72="Pendiente","-",INDEX($CH$6:$CH$53,MATCH($AA72,$BD$6:$BD$53,0)))</f>
        <v>-</v>
      </c>
      <c r="O72" s="55" t="str">
        <f aca="false">IF(D72="Pendiente","-",INDEX($CH$6:$CH$53,MATCH($AF72,$BD$6:$BD$53,0)))</f>
        <v>-</v>
      </c>
      <c r="P72" s="55"/>
      <c r="Q72" s="55" t="str">
        <f aca="false">IF(D72="Pendiente","-",INDEX($CN$6:$CN$53,MATCH($AA72,$BD$6:$BD$53,0)))</f>
        <v>-</v>
      </c>
      <c r="R72" s="55" t="str">
        <f aca="false">IF(D72="Pendiente","-",INDEX($CN$6:$CN$53,MATCH($AF72,$BD$6:$BD$53,0)))</f>
        <v>-</v>
      </c>
      <c r="S72" s="55"/>
      <c r="T72" s="55" t="str">
        <f aca="false">IF(D72="Pendiente","-",INDEX($CS$6:$CS$53,MATCH($AA72,$BD$6:$BD$53,0)))</f>
        <v>-</v>
      </c>
      <c r="U72" s="55" t="str">
        <f aca="false">IF(D72="Pendiente","-",INDEX($CS$6:$CS$53,MATCH($AF72,$BD$6:$BD$53,0)))</f>
        <v>-</v>
      </c>
      <c r="V72" s="46"/>
      <c r="W72" s="193"/>
      <c r="X72" s="74" t="n">
        <f aca="false">Horarios!C72</f>
        <v>46199.875</v>
      </c>
      <c r="Y72" s="75" t="n">
        <f aca="false">Horarios!C72</f>
        <v>46199.875</v>
      </c>
      <c r="Z72" s="76" t="str">
        <f aca="false">$Z$8</f>
        <v>J3</v>
      </c>
      <c r="AA72" s="77" t="str">
        <f aca="false">A72</f>
        <v>Noruega</v>
      </c>
      <c r="AB72" s="165" t="str">
        <f aca="true" t="array" ref="AB72:AB72">Ver_flag_local</f>
        <v/>
      </c>
      <c r="AC72" s="79"/>
      <c r="AD72" s="80"/>
      <c r="AE72" s="81" t="str">
        <f aca="true" t="array" ref="AE72:AE72">Ver_flag_visit</f>
        <v/>
      </c>
      <c r="AF72" s="82" t="str">
        <f aca="false">A69</f>
        <v>Francia</v>
      </c>
      <c r="AG72" s="83" t="n">
        <f aca="false">IF(NOT(OR(ISBLANK(AC72),ISBLANK(AD72))),1,0)</f>
        <v>0</v>
      </c>
      <c r="AH72" s="84" t="n">
        <v>61</v>
      </c>
      <c r="AI72" s="85" t="str">
        <f aca="false">AJ72&amp;$B$68</f>
        <v>3I</v>
      </c>
      <c r="AJ72" s="121" t="n">
        <v>3</v>
      </c>
      <c r="AK72" s="173" t="str">
        <f aca="true" t="array" ref="AK72:AK72">Ver_flag_visit</f>
        <v/>
      </c>
      <c r="AL72" s="123" t="str">
        <f aca="false">IFERROR(INDEX($BD$6:$BD$53,MATCH(AI72,$BN$6:$BN$53,0)),"")</f>
        <v>Irak</v>
      </c>
      <c r="AM72" s="124" t="n">
        <f aca="false">INDEX($BE$6:$BN$53,MATCH($AL72,$BD$6:$BD$53,0),MATCH(AM$5,$BE$5:$BN$5,0))</f>
        <v>0</v>
      </c>
      <c r="AN72" s="125" t="n">
        <f aca="false">INDEX($BE$6:$BN$53,MATCH($AL72,$BD$6:$BD$53,0),MATCH(AN$5,$BE$5:$BN$5,0))</f>
        <v>0</v>
      </c>
      <c r="AO72" s="125" t="n">
        <f aca="false">INDEX($BE$6:$BN$53,MATCH($AL72,$BD$6:$BD$53,0),MATCH(AO$5,$BE$5:$BN$5,0))</f>
        <v>0</v>
      </c>
      <c r="AP72" s="125" t="n">
        <f aca="false">INDEX($BE$6:$BN$53,MATCH($AL72,$BD$6:$BD$53,0),MATCH(AP$5,$BE$5:$BN$5,0))</f>
        <v>0</v>
      </c>
      <c r="AQ72" s="125" t="n">
        <f aca="false">INDEX($BE$6:$BN$53,MATCH($AL72,$BD$6:$BD$53,0),MATCH(AQ$5,$BE$5:$BN$5,0))</f>
        <v>0</v>
      </c>
      <c r="AR72" s="125" t="n">
        <f aca="false">INDEX($BE$6:$BN$53,MATCH($AL72,$BD$6:$BD$53,0),MATCH(AR$5,$BE$5:$BN$5,0))</f>
        <v>0</v>
      </c>
      <c r="AS72" s="125" t="n">
        <f aca="false">INDEX($BE$6:$BN$53,MATCH($AL72,$BD$6:$BD$53,0),MATCH(AS$5,$BE$5:$BN$5,0))</f>
        <v>0</v>
      </c>
      <c r="AT72" s="126" t="n">
        <f aca="false">INDEX($BE$6:$BN$53,MATCH($AL72,$BD$6:$BD$53,0),MATCH(AT$5,$BE$5:$BN$5,0))</f>
        <v>0</v>
      </c>
      <c r="AU72" s="110" t="n">
        <f aca="false">INDEX($DL$6:$DL$53,MATCH(AI72,$DP$6:$DP$53,0))</f>
        <v>1</v>
      </c>
      <c r="AV72" s="111" t="str">
        <f aca="false">INDEX($BD$6:$BD$53,MATCH(AI72,$BM$6:$BM$53,0))</f>
        <v>Irak</v>
      </c>
      <c r="AW72" s="112"/>
      <c r="AX72" s="113"/>
      <c r="AY72" s="114" t="str">
        <f aca="false">+A71</f>
        <v>Irak</v>
      </c>
      <c r="AZ72" s="115"/>
      <c r="BA72" s="49"/>
      <c r="BB72" s="55"/>
      <c r="BC72" s="55"/>
      <c r="BD72" s="55"/>
      <c r="BE72" s="55"/>
      <c r="BF72" s="55"/>
      <c r="BG72" s="55"/>
      <c r="BH72" s="55"/>
      <c r="BI72" s="55"/>
      <c r="BJ72" s="55"/>
      <c r="BK72" s="55"/>
      <c r="BL72" s="55"/>
      <c r="BM72" s="55"/>
      <c r="BN72" s="91"/>
      <c r="BO72" s="91"/>
      <c r="BP72" s="91"/>
      <c r="BQ72" s="91"/>
      <c r="BR72" s="55"/>
      <c r="BS72" s="55"/>
      <c r="BT72" s="91"/>
      <c r="BU72" s="91"/>
      <c r="BV72" s="91"/>
      <c r="BW72" s="91"/>
      <c r="BX72" s="91"/>
      <c r="BY72" s="91"/>
      <c r="BZ72" s="91"/>
      <c r="CA72" s="91"/>
      <c r="CB72" s="91"/>
      <c r="CC72" s="91"/>
      <c r="CD72" s="91"/>
      <c r="CE72" s="91"/>
      <c r="CF72" s="91"/>
      <c r="CG72" s="91"/>
      <c r="CH72" s="91"/>
      <c r="CI72" s="91"/>
      <c r="CJ72" s="91"/>
      <c r="CK72" s="91"/>
      <c r="CL72" s="91"/>
      <c r="CM72" s="91"/>
      <c r="CN72" s="91"/>
      <c r="CO72" s="91"/>
      <c r="CP72" s="91"/>
      <c r="CQ72" s="91"/>
      <c r="CR72" s="91"/>
      <c r="CS72" s="91"/>
      <c r="CT72" s="91"/>
      <c r="CU72" s="91"/>
      <c r="CV72" s="91"/>
      <c r="CW72" s="55"/>
      <c r="CX72" s="91"/>
      <c r="CY72" s="55"/>
      <c r="CZ72" s="55"/>
      <c r="DA72" s="55"/>
      <c r="DB72" s="55"/>
      <c r="DC72" s="55"/>
      <c r="DD72" s="55"/>
      <c r="DE72" s="55"/>
      <c r="DF72" s="55"/>
      <c r="DG72" s="55"/>
      <c r="DH72" s="55"/>
      <c r="DI72" s="55"/>
      <c r="DJ72" s="55"/>
      <c r="DK72" s="55"/>
      <c r="DL72" s="55"/>
      <c r="DM72" s="55"/>
      <c r="DN72" s="55"/>
      <c r="DO72" s="55"/>
      <c r="DP72" s="55"/>
      <c r="DQ72" s="55"/>
      <c r="DR72" s="55"/>
      <c r="DS72" s="55"/>
      <c r="DT72" s="55" t="str">
        <f aca="false">AA72&amp;"-"&amp;AF72</f>
        <v>Noruega-Francia</v>
      </c>
      <c r="DU72" s="55"/>
      <c r="DV72" s="55"/>
      <c r="DW72" s="57"/>
    </row>
    <row r="73" customFormat="false" ht="16.5" hidden="false" customHeight="true" outlineLevel="0" collapsed="false">
      <c r="A73" s="39"/>
      <c r="B73" s="39"/>
      <c r="C73" s="39"/>
      <c r="D73" s="55" t="str">
        <f aca="false">IF(OR(AC73="",AD73=""),"Pendiente",IF(AC73&gt;AD73,"Local",IF(AC73&lt;AD73,"Visitante","Empate")))</f>
        <v>Pendiente</v>
      </c>
      <c r="E73" s="55" t="str">
        <f aca="false">IF(D73="Pendiente","-",INDEX($BT$6:$BT$53,MATCH($AA73,$BD$6:$BD$53,0)))</f>
        <v>-</v>
      </c>
      <c r="F73" s="55" t="str">
        <f aca="false">IF(D73="Pendiente","-",INDEX($BT$6:$BT$53,MATCH($AF73,$BD$6:$BD$53,0)))</f>
        <v>-</v>
      </c>
      <c r="G73" s="55"/>
      <c r="H73" s="55" t="str">
        <f aca="false">IF(D73="Pendiente","-",INDEX($BZ$6:$BZ$53,MATCH($AA73,$BD$6:$BD$53,0)))</f>
        <v>-</v>
      </c>
      <c r="I73" s="55" t="str">
        <f aca="false">IF(D73="Pendiente","-",INDEX($BZ$6:$BZ$53,MATCH($AF73,$BD$6:$BD$53,0)))</f>
        <v>-</v>
      </c>
      <c r="J73" s="55"/>
      <c r="K73" s="55" t="str">
        <f aca="false">IF(D73="Pendiente","-",INDEX($CE$6:$CE$53,MATCH($AA73,$BD$6:$BD$53,0)))</f>
        <v>-</v>
      </c>
      <c r="L73" s="55" t="str">
        <f aca="false">IF(D73="Pendiente","-",INDEX($CE$6:$CE$53,MATCH($AF73,$BD$6:$BD$53,0)))</f>
        <v>-</v>
      </c>
      <c r="M73" s="55"/>
      <c r="N73" s="55" t="str">
        <f aca="false">IF(D73="Pendiente","-",INDEX($CH$6:$CH$53,MATCH($AA73,$BD$6:$BD$53,0)))</f>
        <v>-</v>
      </c>
      <c r="O73" s="55" t="str">
        <f aca="false">IF(D73="Pendiente","-",INDEX($CH$6:$CH$53,MATCH($AF73,$BD$6:$BD$53,0)))</f>
        <v>-</v>
      </c>
      <c r="P73" s="55"/>
      <c r="Q73" s="55" t="str">
        <f aca="false">IF(D73="Pendiente","-",INDEX($CN$6:$CN$53,MATCH($AA73,$BD$6:$BD$53,0)))</f>
        <v>-</v>
      </c>
      <c r="R73" s="55" t="str">
        <f aca="false">IF(D73="Pendiente","-",INDEX($CN$6:$CN$53,MATCH($AF73,$BD$6:$BD$53,0)))</f>
        <v>-</v>
      </c>
      <c r="S73" s="55"/>
      <c r="T73" s="55" t="str">
        <f aca="false">IF(D73="Pendiente","-",INDEX($CS$6:$CS$53,MATCH($AA73,$BD$6:$BD$53,0)))</f>
        <v>-</v>
      </c>
      <c r="U73" s="55" t="str">
        <f aca="false">IF(D73="Pendiente","-",INDEX($CS$6:$CS$53,MATCH($AF73,$BD$6:$BD$53,0)))</f>
        <v>-</v>
      </c>
      <c r="V73" s="46"/>
      <c r="W73" s="193"/>
      <c r="X73" s="129" t="n">
        <f aca="false">Horarios!C73</f>
        <v>46199.875</v>
      </c>
      <c r="Y73" s="130" t="n">
        <f aca="false">Horarios!C73</f>
        <v>46199.875</v>
      </c>
      <c r="Z73" s="131" t="str">
        <f aca="false">$Z$8</f>
        <v>J3</v>
      </c>
      <c r="AA73" s="132" t="str">
        <f aca="false">A70</f>
        <v>Senegal</v>
      </c>
      <c r="AB73" s="175" t="str">
        <f aca="true" t="array" ref="AB73:AB73">Ver_flag_local</f>
        <v/>
      </c>
      <c r="AC73" s="134"/>
      <c r="AD73" s="135"/>
      <c r="AE73" s="136" t="str">
        <f aca="true" t="array" ref="AE73:AE73">Ver_flag_visit</f>
        <v/>
      </c>
      <c r="AF73" s="137" t="str">
        <f aca="false">A71</f>
        <v>Irak</v>
      </c>
      <c r="AG73" s="83" t="n">
        <f aca="false">IF(NOT(OR(ISBLANK(AC73),ISBLANK(AD73))),1,0)</f>
        <v>0</v>
      </c>
      <c r="AH73" s="84" t="n">
        <v>62</v>
      </c>
      <c r="AI73" s="85" t="str">
        <f aca="false">AJ73&amp;$B$68</f>
        <v>4I</v>
      </c>
      <c r="AJ73" s="138" t="n">
        <v>4</v>
      </c>
      <c r="AK73" s="184" t="str">
        <f aca="true" t="array" ref="AK73:AK73">Ver_flag_visit</f>
        <v/>
      </c>
      <c r="AL73" s="140" t="str">
        <f aca="false">IFERROR(INDEX($BD$6:$BD$53,MATCH(AI73,$BN$6:$BN$53,0)),"")</f>
        <v>Noruega</v>
      </c>
      <c r="AM73" s="141" t="n">
        <f aca="false">INDEX($BE$6:$BN$53,MATCH($AL73,$BD$6:$BD$53,0),MATCH(AM$5,$BE$5:$BN$5,0))</f>
        <v>0</v>
      </c>
      <c r="AN73" s="142" t="n">
        <f aca="false">INDEX($BE$6:$BN$53,MATCH($AL73,$BD$6:$BD$53,0),MATCH(AN$5,$BE$5:$BN$5,0))</f>
        <v>0</v>
      </c>
      <c r="AO73" s="142" t="n">
        <f aca="false">INDEX($BE$6:$BN$53,MATCH($AL73,$BD$6:$BD$53,0),MATCH(AO$5,$BE$5:$BN$5,0))</f>
        <v>0</v>
      </c>
      <c r="AP73" s="142" t="n">
        <f aca="false">INDEX($BE$6:$BN$53,MATCH($AL73,$BD$6:$BD$53,0),MATCH(AP$5,$BE$5:$BN$5,0))</f>
        <v>0</v>
      </c>
      <c r="AQ73" s="142" t="n">
        <f aca="false">INDEX($BE$6:$BN$53,MATCH($AL73,$BD$6:$BD$53,0),MATCH(AQ$5,$BE$5:$BN$5,0))</f>
        <v>0</v>
      </c>
      <c r="AR73" s="142" t="n">
        <f aca="false">INDEX($BE$6:$BN$53,MATCH($AL73,$BD$6:$BD$53,0),MATCH(AR$5,$BE$5:$BN$5,0))</f>
        <v>0</v>
      </c>
      <c r="AS73" s="142" t="n">
        <f aca="false">INDEX($BE$6:$BN$53,MATCH($AL73,$BD$6:$BD$53,0),MATCH(AS$5,$BE$5:$BN$5,0))</f>
        <v>0</v>
      </c>
      <c r="AT73" s="143" t="n">
        <f aca="false">INDEX($BE$6:$BN$53,MATCH($AL73,$BD$6:$BD$53,0),MATCH(AT$5,$BE$5:$BN$5,0))</f>
        <v>0</v>
      </c>
      <c r="AU73" s="110" t="n">
        <f aca="false">INDEX($DL$6:$DL$53,MATCH(AI73,$DP$6:$DP$53,0))</f>
        <v>1</v>
      </c>
      <c r="AV73" s="111" t="str">
        <f aca="false">INDEX($BD$6:$BD$53,MATCH(AI73,$BM$6:$BM$53,0))</f>
        <v>Noruega</v>
      </c>
      <c r="AW73" s="112"/>
      <c r="AX73" s="113"/>
      <c r="AY73" s="144" t="str">
        <f aca="false">+A72</f>
        <v>Noruega</v>
      </c>
      <c r="AZ73" s="145"/>
      <c r="BA73" s="49"/>
      <c r="BB73" s="55"/>
      <c r="BC73" s="55"/>
      <c r="BD73" s="55"/>
      <c r="BE73" s="55"/>
      <c r="BF73" s="55"/>
      <c r="BG73" s="55"/>
      <c r="BH73" s="55"/>
      <c r="BI73" s="55"/>
      <c r="BJ73" s="55"/>
      <c r="BK73" s="55"/>
      <c r="BL73" s="55"/>
      <c r="BM73" s="55"/>
      <c r="BN73" s="91"/>
      <c r="BO73" s="91"/>
      <c r="BP73" s="91"/>
      <c r="BQ73" s="91"/>
      <c r="BR73" s="55"/>
      <c r="BS73" s="55"/>
      <c r="BT73" s="91"/>
      <c r="BU73" s="91"/>
      <c r="BV73" s="91"/>
      <c r="BW73" s="91"/>
      <c r="BX73" s="91"/>
      <c r="BY73" s="91"/>
      <c r="BZ73" s="91"/>
      <c r="CA73" s="91"/>
      <c r="CB73" s="91"/>
      <c r="CC73" s="91"/>
      <c r="CD73" s="91"/>
      <c r="CE73" s="91"/>
      <c r="CF73" s="91"/>
      <c r="CG73" s="91"/>
      <c r="CH73" s="91"/>
      <c r="CI73" s="91"/>
      <c r="CJ73" s="91"/>
      <c r="CK73" s="91"/>
      <c r="CL73" s="91"/>
      <c r="CM73" s="91"/>
      <c r="CN73" s="91"/>
      <c r="CO73" s="91"/>
      <c r="CP73" s="91"/>
      <c r="CQ73" s="91"/>
      <c r="CR73" s="91"/>
      <c r="CS73" s="91"/>
      <c r="CT73" s="91"/>
      <c r="CU73" s="91"/>
      <c r="CV73" s="91"/>
      <c r="CW73" s="55"/>
      <c r="CX73" s="91"/>
      <c r="CY73" s="55"/>
      <c r="CZ73" s="55"/>
      <c r="DA73" s="55"/>
      <c r="DB73" s="55"/>
      <c r="DC73" s="55"/>
      <c r="DD73" s="55"/>
      <c r="DE73" s="55"/>
      <c r="DF73" s="55"/>
      <c r="DG73" s="55"/>
      <c r="DH73" s="55"/>
      <c r="DI73" s="55"/>
      <c r="DJ73" s="55"/>
      <c r="DK73" s="55"/>
      <c r="DL73" s="55"/>
      <c r="DM73" s="55"/>
      <c r="DN73" s="55"/>
      <c r="DO73" s="55"/>
      <c r="DP73" s="55"/>
      <c r="DQ73" s="55"/>
      <c r="DR73" s="55"/>
      <c r="DS73" s="55"/>
      <c r="DT73" s="55" t="str">
        <f aca="false">AA73&amp;"-"&amp;AF73</f>
        <v>Senegal-Irak</v>
      </c>
      <c r="DU73" s="55"/>
      <c r="DV73" s="55"/>
      <c r="DW73" s="57"/>
    </row>
    <row r="74" customFormat="false" ht="15" hidden="false" customHeight="false" outlineLevel="0" collapsed="false">
      <c r="A74" s="39"/>
      <c r="B74" s="39"/>
      <c r="C74" s="39"/>
      <c r="D74" s="55"/>
      <c r="E74" s="55"/>
      <c r="F74" s="55"/>
      <c r="G74" s="55"/>
      <c r="H74" s="55"/>
      <c r="I74" s="55"/>
      <c r="J74" s="55"/>
      <c r="K74" s="55"/>
      <c r="L74" s="55"/>
      <c r="M74" s="55"/>
      <c r="N74" s="55"/>
      <c r="O74" s="55"/>
      <c r="P74" s="55"/>
      <c r="Q74" s="55"/>
      <c r="R74" s="55"/>
      <c r="S74" s="55"/>
      <c r="T74" s="55"/>
      <c r="U74" s="55"/>
      <c r="V74" s="46"/>
      <c r="W74" s="146"/>
      <c r="X74" s="147"/>
      <c r="Y74" s="146"/>
      <c r="Z74" s="148"/>
      <c r="AA74" s="149"/>
      <c r="AB74" s="150"/>
      <c r="AC74" s="151"/>
      <c r="AD74" s="151"/>
      <c r="AE74" s="150"/>
      <c r="AF74" s="152"/>
      <c r="AG74" s="182"/>
      <c r="AH74" s="84"/>
      <c r="AI74" s="43"/>
      <c r="AJ74" s="153"/>
      <c r="AK74" s="154"/>
      <c r="AL74" s="66"/>
      <c r="AM74" s="155"/>
      <c r="AN74" s="153"/>
      <c r="AO74" s="153"/>
      <c r="AP74" s="153"/>
      <c r="AQ74" s="153"/>
      <c r="AR74" s="153"/>
      <c r="AS74" s="153"/>
      <c r="AT74" s="153"/>
      <c r="AU74" s="156"/>
      <c r="AV74" s="157"/>
      <c r="AW74" s="158"/>
      <c r="AX74" s="113"/>
      <c r="AY74" s="146"/>
      <c r="AZ74" s="147"/>
      <c r="BA74" s="49"/>
      <c r="BB74" s="55"/>
      <c r="BC74" s="55"/>
      <c r="BD74" s="55"/>
      <c r="BE74" s="55"/>
      <c r="BF74" s="55"/>
      <c r="BG74" s="55"/>
      <c r="BH74" s="55"/>
      <c r="BI74" s="55"/>
      <c r="BJ74" s="55"/>
      <c r="BK74" s="55"/>
      <c r="BL74" s="55"/>
      <c r="BM74" s="55"/>
      <c r="BN74" s="91"/>
      <c r="BO74" s="91"/>
      <c r="BP74" s="91"/>
      <c r="BQ74" s="91"/>
      <c r="BR74" s="55"/>
      <c r="BS74" s="55"/>
      <c r="BT74" s="91"/>
      <c r="BU74" s="91"/>
      <c r="BV74" s="91"/>
      <c r="BW74" s="91"/>
      <c r="BX74" s="91"/>
      <c r="BY74" s="91"/>
      <c r="BZ74" s="91"/>
      <c r="CA74" s="91"/>
      <c r="CB74" s="91"/>
      <c r="CC74" s="91"/>
      <c r="CD74" s="91"/>
      <c r="CE74" s="91"/>
      <c r="CF74" s="91"/>
      <c r="CG74" s="91"/>
      <c r="CH74" s="91"/>
      <c r="CI74" s="91"/>
      <c r="CJ74" s="91"/>
      <c r="CK74" s="91"/>
      <c r="CL74" s="91"/>
      <c r="CM74" s="91"/>
      <c r="CN74" s="91"/>
      <c r="CO74" s="91"/>
      <c r="CP74" s="91"/>
      <c r="CQ74" s="91"/>
      <c r="CR74" s="91"/>
      <c r="CS74" s="91"/>
      <c r="CT74" s="91"/>
      <c r="CU74" s="91"/>
      <c r="CV74" s="91"/>
      <c r="CW74" s="55"/>
      <c r="CX74" s="91"/>
      <c r="CY74" s="55"/>
      <c r="CZ74" s="55"/>
      <c r="DA74" s="55"/>
      <c r="DB74" s="55"/>
      <c r="DC74" s="55"/>
      <c r="DD74" s="55"/>
      <c r="DE74" s="55"/>
      <c r="DF74" s="55"/>
      <c r="DG74" s="55"/>
      <c r="DH74" s="55"/>
      <c r="DI74" s="55"/>
      <c r="DJ74" s="55"/>
      <c r="DK74" s="55"/>
      <c r="DL74" s="55"/>
      <c r="DM74" s="55"/>
      <c r="DN74" s="55"/>
      <c r="DO74" s="55"/>
      <c r="DP74" s="55"/>
      <c r="DQ74" s="55"/>
      <c r="DR74" s="55"/>
      <c r="DS74" s="55"/>
      <c r="DT74" s="55" t="str">
        <f aca="false">AA74&amp;"-"&amp;AF74</f>
        <v>-</v>
      </c>
      <c r="DU74" s="55"/>
      <c r="DV74" s="55"/>
      <c r="DW74" s="57"/>
    </row>
    <row r="75" customFormat="false" ht="15" hidden="false" customHeight="false" outlineLevel="0" collapsed="false">
      <c r="A75" s="39"/>
      <c r="B75" s="72"/>
      <c r="C75" s="39"/>
      <c r="D75" s="39"/>
      <c r="E75" s="39"/>
      <c r="F75" s="39"/>
      <c r="G75" s="39"/>
      <c r="H75" s="39"/>
      <c r="I75" s="39"/>
      <c r="J75" s="39"/>
      <c r="K75" s="39"/>
      <c r="L75" s="39"/>
      <c r="M75" s="39"/>
      <c r="N75" s="55"/>
      <c r="O75" s="55"/>
      <c r="P75" s="55"/>
      <c r="Q75" s="55"/>
      <c r="R75" s="55"/>
      <c r="S75" s="55"/>
      <c r="T75" s="55"/>
      <c r="U75" s="55"/>
      <c r="V75" s="46"/>
      <c r="W75" s="59"/>
      <c r="X75" s="60" t="str">
        <f aca="false">X3</f>
        <v>Fecha</v>
      </c>
      <c r="Y75" s="60" t="str">
        <f aca="false">Y3</f>
        <v>Hora</v>
      </c>
      <c r="Z75" s="61" t="str">
        <f aca="false">Z3</f>
        <v>Jor.</v>
      </c>
      <c r="AA75" s="62" t="str">
        <f aca="false">AA3</f>
        <v>Casa</v>
      </c>
      <c r="AB75" s="61"/>
      <c r="AC75" s="61" t="str">
        <f aca="false">AC3</f>
        <v>Gol</v>
      </c>
      <c r="AD75" s="61" t="str">
        <f aca="false">AD3</f>
        <v>Gol</v>
      </c>
      <c r="AE75" s="61"/>
      <c r="AF75" s="64" t="str">
        <f aca="false">AF3</f>
        <v>Fuera</v>
      </c>
      <c r="AG75" s="159"/>
      <c r="AH75" s="84"/>
      <c r="AI75" s="50"/>
      <c r="AJ75" s="66"/>
      <c r="AK75" s="160"/>
      <c r="AL75" s="66"/>
      <c r="AM75" s="66"/>
      <c r="AN75" s="66"/>
      <c r="AO75" s="66"/>
      <c r="AP75" s="66"/>
      <c r="AQ75" s="66"/>
      <c r="AR75" s="66"/>
      <c r="AS75" s="66"/>
      <c r="AT75" s="66"/>
      <c r="AU75" s="161"/>
      <c r="AV75" s="51"/>
      <c r="AW75" s="162"/>
      <c r="AX75" s="163"/>
      <c r="AY75" s="146"/>
      <c r="AZ75" s="147"/>
      <c r="BA75" s="49"/>
      <c r="BB75" s="55"/>
      <c r="BC75" s="55"/>
      <c r="BD75" s="55"/>
      <c r="BE75" s="55"/>
      <c r="BF75" s="55"/>
      <c r="BG75" s="55"/>
      <c r="BH75" s="55"/>
      <c r="BI75" s="55"/>
      <c r="BJ75" s="55"/>
      <c r="BK75" s="55"/>
      <c r="BL75" s="55"/>
      <c r="BM75" s="55"/>
      <c r="BN75" s="55"/>
      <c r="BO75" s="55"/>
      <c r="BP75" s="55"/>
      <c r="BQ75" s="55"/>
      <c r="BR75" s="55"/>
      <c r="BS75" s="55"/>
      <c r="BT75" s="55"/>
      <c r="BU75" s="55"/>
      <c r="BV75" s="55"/>
      <c r="BW75" s="55"/>
      <c r="BX75" s="55"/>
      <c r="BY75" s="55"/>
      <c r="BZ75" s="55"/>
      <c r="CA75" s="55"/>
      <c r="CB75" s="55"/>
      <c r="CC75" s="55"/>
      <c r="CD75" s="55"/>
      <c r="CE75" s="55"/>
      <c r="CF75" s="55"/>
      <c r="CG75" s="55"/>
      <c r="CH75" s="55"/>
      <c r="CI75" s="55"/>
      <c r="CJ75" s="55"/>
      <c r="CK75" s="55"/>
      <c r="CL75" s="55"/>
      <c r="CM75" s="55"/>
      <c r="CN75" s="55"/>
      <c r="CO75" s="55"/>
      <c r="CP75" s="55"/>
      <c r="CQ75" s="55"/>
      <c r="CR75" s="55"/>
      <c r="CS75" s="55"/>
      <c r="CT75" s="55"/>
      <c r="CU75" s="55"/>
      <c r="CV75" s="55"/>
      <c r="CW75" s="55"/>
      <c r="CX75" s="55"/>
      <c r="CY75" s="55"/>
      <c r="CZ75" s="55"/>
      <c r="DA75" s="55"/>
      <c r="DB75" s="55"/>
      <c r="DC75" s="55"/>
      <c r="DD75" s="55"/>
      <c r="DE75" s="55"/>
      <c r="DF75" s="55"/>
      <c r="DG75" s="55"/>
      <c r="DH75" s="55"/>
      <c r="DI75" s="55"/>
      <c r="DJ75" s="55"/>
      <c r="DK75" s="55"/>
      <c r="DL75" s="55"/>
      <c r="DM75" s="55"/>
      <c r="DN75" s="55"/>
      <c r="DO75" s="55"/>
      <c r="DP75" s="55"/>
      <c r="DQ75" s="55"/>
      <c r="DR75" s="55"/>
      <c r="DS75" s="55"/>
      <c r="DT75" s="55" t="str">
        <f aca="false">AA75&amp;"-"&amp;AF75</f>
        <v>Casa-Fuera</v>
      </c>
      <c r="DU75" s="55"/>
      <c r="DV75" s="55"/>
      <c r="DW75" s="57"/>
    </row>
    <row r="76" customFormat="false" ht="15.75" hidden="false" customHeight="true" outlineLevel="0" collapsed="false">
      <c r="A76" s="71" t="s">
        <v>23</v>
      </c>
      <c r="B76" s="72" t="s">
        <v>135</v>
      </c>
      <c r="C76" s="44" t="n">
        <f aca="false">COUNTIF(Equipos!$C$2:$C$49,WORLDCUP!B76)</f>
        <v>4</v>
      </c>
      <c r="D76" s="55" t="str">
        <f aca="false">IF(OR(AC76="",AD76=""),"Pendiente",IF(AC76&gt;AD76,"Local",IF(AC76&lt;AD76,"Visitante","Empate")))</f>
        <v>Pendiente</v>
      </c>
      <c r="E76" s="55" t="str">
        <f aca="false">IF(D76="Pendiente","-",INDEX($BT$6:$BT$53,MATCH($AA76,$BD$6:$BD$53,0)))</f>
        <v>-</v>
      </c>
      <c r="F76" s="55" t="str">
        <f aca="false">IF(D76="Pendiente","-",INDEX($BT$6:$BT$53,MATCH($AF76,$BD$6:$BD$53,0)))</f>
        <v>-</v>
      </c>
      <c r="G76" s="55"/>
      <c r="H76" s="55" t="str">
        <f aca="false">IF(D76="Pendiente","-",INDEX($BZ$6:$BZ$53,MATCH($AA76,$BD$6:$BD$53,0)))</f>
        <v>-</v>
      </c>
      <c r="I76" s="55" t="str">
        <f aca="false">IF(D76="Pendiente","-",INDEX($BZ$6:$BZ$53,MATCH($AF76,$BD$6:$BD$53,0)))</f>
        <v>-</v>
      </c>
      <c r="J76" s="55"/>
      <c r="K76" s="55" t="str">
        <f aca="false">IF(D76="Pendiente","-",INDEX($CE$6:$CE$53,MATCH($AA76,$BD$6:$BD$53,0)))</f>
        <v>-</v>
      </c>
      <c r="L76" s="55" t="str">
        <f aca="false">IF(D76="Pendiente","-",INDEX($CE$6:$CE$53,MATCH($AF76,$BD$6:$BD$53,0)))</f>
        <v>-</v>
      </c>
      <c r="M76" s="55"/>
      <c r="N76" s="55" t="str">
        <f aca="false">IF(D76="Pendiente","-",INDEX($CH$6:$CH$53,MATCH($AA76,$BD$6:$BD$53,0)))</f>
        <v>-</v>
      </c>
      <c r="O76" s="55" t="str">
        <f aca="false">IF(D76="Pendiente","-",INDEX($CH$6:$CH$53,MATCH($AF76,$BD$6:$BD$53,0)))</f>
        <v>-</v>
      </c>
      <c r="P76" s="55"/>
      <c r="Q76" s="55" t="str">
        <f aca="false">IF(D76="Pendiente","-",INDEX($CN$6:$CN$53,MATCH($AA76,$BD$6:$BD$53,0)))</f>
        <v>-</v>
      </c>
      <c r="R76" s="55" t="str">
        <f aca="false">IF(D76="Pendiente","-",INDEX($CN$6:$CN$53,MATCH($AF76,$BD$6:$BD$53,0)))</f>
        <v>-</v>
      </c>
      <c r="S76" s="55"/>
      <c r="T76" s="55" t="str">
        <f aca="false">IF(D76="Pendiente","-",INDEX($CS$6:$CS$53,MATCH($AA76,$BD$6:$BD$53,0)))</f>
        <v>-</v>
      </c>
      <c r="U76" s="55" t="str">
        <f aca="false">IF(D76="Pendiente","-",INDEX($CS$6:$CS$53,MATCH($AF76,$BD$6:$BD$53,0)))</f>
        <v>-</v>
      </c>
      <c r="V76" s="46"/>
      <c r="W76" s="194" t="s">
        <v>135</v>
      </c>
      <c r="X76" s="74" t="n">
        <f aca="false">Horarios!C76</f>
        <v>46190.125</v>
      </c>
      <c r="Y76" s="75" t="n">
        <f aca="false">Horarios!C76</f>
        <v>46190.125</v>
      </c>
      <c r="Z76" s="76" t="str">
        <f aca="false">$Z$4</f>
        <v>J1</v>
      </c>
      <c r="AA76" s="77" t="str">
        <f aca="false">A77</f>
        <v>Argentina</v>
      </c>
      <c r="AB76" s="165" t="str">
        <f aca="true" t="array" ref="AB76:AB76">Ver_flag_local</f>
        <v/>
      </c>
      <c r="AC76" s="79"/>
      <c r="AD76" s="80"/>
      <c r="AE76" s="81" t="str">
        <f aca="true" t="array" ref="AE76:AE76">Ver_flag_visit</f>
        <v/>
      </c>
      <c r="AF76" s="82" t="str">
        <f aca="false">A78</f>
        <v>Argelia</v>
      </c>
      <c r="AG76" s="83" t="n">
        <f aca="false">IF(NOT(OR(ISBLANK(AC76),ISBLANK(AD76))),1,0)</f>
        <v>0</v>
      </c>
      <c r="AH76" s="84" t="n">
        <v>19</v>
      </c>
      <c r="AI76" s="85"/>
      <c r="AJ76" s="86" t="str">
        <f aca="false">CONCATENATE(AJ3," ",B76)</f>
        <v>Grupo J</v>
      </c>
      <c r="AK76" s="86"/>
      <c r="AL76" s="86"/>
      <c r="AM76" s="86"/>
      <c r="AN76" s="86"/>
      <c r="AO76" s="86"/>
      <c r="AP76" s="86"/>
      <c r="AQ76" s="86"/>
      <c r="AR76" s="86"/>
      <c r="AS76" s="86"/>
      <c r="AT76" s="86"/>
      <c r="AU76" s="161"/>
      <c r="AV76" s="87" t="str">
        <f aca="false">IF(AU77&gt;0,$AV$3,"")</f>
        <v/>
      </c>
      <c r="AW76" s="97"/>
      <c r="AX76" s="168"/>
      <c r="AY76" s="146"/>
      <c r="AZ76" s="147"/>
      <c r="BA76" s="49"/>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c r="CF76" s="55"/>
      <c r="CG76" s="55"/>
      <c r="CH76" s="55"/>
      <c r="CI76" s="55"/>
      <c r="CJ76" s="55"/>
      <c r="CK76" s="55"/>
      <c r="CL76" s="55"/>
      <c r="CM76" s="55"/>
      <c r="CN76" s="55"/>
      <c r="CO76" s="55"/>
      <c r="CP76" s="55"/>
      <c r="CQ76" s="55"/>
      <c r="CR76" s="55"/>
      <c r="CS76" s="55"/>
      <c r="CT76" s="55"/>
      <c r="CU76" s="55"/>
      <c r="CV76" s="55"/>
      <c r="CW76" s="55"/>
      <c r="CX76" s="91"/>
      <c r="CY76" s="55"/>
      <c r="CZ76" s="55"/>
      <c r="DA76" s="55"/>
      <c r="DB76" s="55"/>
      <c r="DC76" s="55"/>
      <c r="DD76" s="55"/>
      <c r="DE76" s="55"/>
      <c r="DF76" s="55"/>
      <c r="DG76" s="55"/>
      <c r="DH76" s="55"/>
      <c r="DI76" s="55"/>
      <c r="DJ76" s="55"/>
      <c r="DK76" s="55"/>
      <c r="DL76" s="55"/>
      <c r="DM76" s="55"/>
      <c r="DN76" s="55"/>
      <c r="DO76" s="55"/>
      <c r="DP76" s="55"/>
      <c r="DQ76" s="55"/>
      <c r="DR76" s="55"/>
      <c r="DS76" s="55"/>
      <c r="DT76" s="55" t="str">
        <f aca="false">AA76&amp;"-"&amp;AF76</f>
        <v>Argentina-Argelia</v>
      </c>
      <c r="DU76" s="55"/>
      <c r="DV76" s="55"/>
      <c r="DW76" s="57"/>
    </row>
    <row r="77" customFormat="false" ht="15.75" hidden="false" customHeight="true" outlineLevel="0" collapsed="false">
      <c r="A77" s="92" t="str">
        <f aca="false">+Equipos!B38</f>
        <v>Argentina</v>
      </c>
      <c r="B77" s="72"/>
      <c r="C77" s="72"/>
      <c r="D77" s="55" t="str">
        <f aca="false">IF(OR(AC77="",AD77=""),"Pendiente",IF(AC77&gt;AD77,"Local",IF(AC77&lt;AD77,"Visitante","Empate")))</f>
        <v>Pendiente</v>
      </c>
      <c r="E77" s="55" t="str">
        <f aca="false">IF(D77="Pendiente","-",INDEX($BT$6:$BT$53,MATCH($AA77,$BD$6:$BD$53,0)))</f>
        <v>-</v>
      </c>
      <c r="F77" s="55" t="str">
        <f aca="false">IF(D77="Pendiente","-",INDEX($BT$6:$BT$53,MATCH($AF77,$BD$6:$BD$53,0)))</f>
        <v>-</v>
      </c>
      <c r="G77" s="55"/>
      <c r="H77" s="55" t="str">
        <f aca="false">IF(D77="Pendiente","-",INDEX($BZ$6:$BZ$53,MATCH($AA77,$BD$6:$BD$53,0)))</f>
        <v>-</v>
      </c>
      <c r="I77" s="55" t="str">
        <f aca="false">IF(D77="Pendiente","-",INDEX($BZ$6:$BZ$53,MATCH($AF77,$BD$6:$BD$53,0)))</f>
        <v>-</v>
      </c>
      <c r="J77" s="55"/>
      <c r="K77" s="55" t="str">
        <f aca="false">IF(D77="Pendiente","-",INDEX($CE$6:$CE$53,MATCH($AA77,$BD$6:$BD$53,0)))</f>
        <v>-</v>
      </c>
      <c r="L77" s="55" t="str">
        <f aca="false">IF(D77="Pendiente","-",INDEX($CE$6:$CE$53,MATCH($AF77,$BD$6:$BD$53,0)))</f>
        <v>-</v>
      </c>
      <c r="M77" s="55"/>
      <c r="N77" s="55" t="str">
        <f aca="false">IF(D77="Pendiente","-",INDEX($CH$6:$CH$53,MATCH($AA77,$BD$6:$BD$53,0)))</f>
        <v>-</v>
      </c>
      <c r="O77" s="55" t="str">
        <f aca="false">IF(D77="Pendiente","-",INDEX($CH$6:$CH$53,MATCH($AF77,$BD$6:$BD$53,0)))</f>
        <v>-</v>
      </c>
      <c r="P77" s="55"/>
      <c r="Q77" s="55" t="str">
        <f aca="false">IF(D77="Pendiente","-",INDEX($CN$6:$CN$53,MATCH($AA77,$BD$6:$BD$53,0)))</f>
        <v>-</v>
      </c>
      <c r="R77" s="55" t="str">
        <f aca="false">IF(D77="Pendiente","-",INDEX($CN$6:$CN$53,MATCH($AF77,$BD$6:$BD$53,0)))</f>
        <v>-</v>
      </c>
      <c r="S77" s="55"/>
      <c r="T77" s="55" t="str">
        <f aca="false">IF(D77="Pendiente","-",INDEX($CS$6:$CS$53,MATCH($AA77,$BD$6:$BD$53,0)))</f>
        <v>-</v>
      </c>
      <c r="U77" s="55" t="str">
        <f aca="false">IF(D77="Pendiente","-",INDEX($CS$6:$CS$53,MATCH($AF77,$BD$6:$BD$53,0)))</f>
        <v>-</v>
      </c>
      <c r="V77" s="46"/>
      <c r="W77" s="194"/>
      <c r="X77" s="74" t="n">
        <f aca="false">Horarios!C77</f>
        <v>46190.25</v>
      </c>
      <c r="Y77" s="75" t="n">
        <f aca="false">Horarios!C77</f>
        <v>46190.25</v>
      </c>
      <c r="Z77" s="76" t="str">
        <f aca="false">$Z$4</f>
        <v>J1</v>
      </c>
      <c r="AA77" s="77" t="str">
        <f aca="false">A79</f>
        <v>Austria</v>
      </c>
      <c r="AB77" s="165" t="str">
        <f aca="true" t="array" ref="AB77:AB77">Ver_flag_local</f>
        <v/>
      </c>
      <c r="AC77" s="79"/>
      <c r="AD77" s="80"/>
      <c r="AE77" s="81" t="str">
        <f aca="true" t="array" ref="AE77:AE77">Ver_flag_visit</f>
        <v/>
      </c>
      <c r="AF77" s="82" t="str">
        <f aca="false">A80</f>
        <v>Jordania</v>
      </c>
      <c r="AG77" s="83" t="n">
        <f aca="false">IF(NOT(OR(ISBLANK(AC77),ISBLANK(AD77))),1,0)</f>
        <v>0</v>
      </c>
      <c r="AH77" s="84" t="n">
        <v>20</v>
      </c>
      <c r="AI77" s="85"/>
      <c r="AJ77" s="93" t="str">
        <f aca="false">AJ5</f>
        <v>Pos</v>
      </c>
      <c r="AK77" s="94"/>
      <c r="AL77" s="95" t="str">
        <f aca="false">AL5</f>
        <v>Selección</v>
      </c>
      <c r="AM77" s="94" t="str">
        <f aca="false">AM5</f>
        <v>Pts</v>
      </c>
      <c r="AN77" s="94" t="str">
        <f aca="false">AN5</f>
        <v>J</v>
      </c>
      <c r="AO77" s="94" t="str">
        <f aca="false">AO5</f>
        <v>G</v>
      </c>
      <c r="AP77" s="94" t="str">
        <f aca="false">AP5</f>
        <v>E</v>
      </c>
      <c r="AQ77" s="94" t="str">
        <f aca="false">AQ5</f>
        <v>P</v>
      </c>
      <c r="AR77" s="94" t="str">
        <f aca="false">AR5</f>
        <v>GF</v>
      </c>
      <c r="AS77" s="94" t="str">
        <f aca="false">AS5</f>
        <v>GC</v>
      </c>
      <c r="AT77" s="96" t="str">
        <f aca="false">AT5</f>
        <v>DG</v>
      </c>
      <c r="AU77" s="161" t="n">
        <f aca="false">COUNTIF(AU78:AU81,"&gt;1")</f>
        <v>0</v>
      </c>
      <c r="AV77" s="97"/>
      <c r="AW77" s="97"/>
      <c r="AX77" s="168"/>
      <c r="AY77" s="98" t="str">
        <f aca="false">AL77</f>
        <v>Selección</v>
      </c>
      <c r="AZ77" s="99" t="str">
        <f aca="false">+Idiomas!$D$69</f>
        <v>Puntos penalizados</v>
      </c>
      <c r="BA77" s="49"/>
      <c r="BB77" s="55"/>
      <c r="BC77" s="55"/>
      <c r="BD77" s="55"/>
      <c r="BE77" s="55"/>
      <c r="BF77" s="55"/>
      <c r="BG77" s="55"/>
      <c r="BH77" s="55"/>
      <c r="BI77" s="55"/>
      <c r="BJ77" s="55"/>
      <c r="BK77" s="55"/>
      <c r="BL77" s="55"/>
      <c r="BM77" s="55"/>
      <c r="BN77" s="195"/>
      <c r="BO77" s="195"/>
      <c r="BP77" s="195"/>
      <c r="BQ77" s="195"/>
      <c r="BR77" s="55"/>
      <c r="BS77" s="55"/>
      <c r="BT77" s="195"/>
      <c r="BU77" s="195"/>
      <c r="BV77" s="195"/>
      <c r="BW77" s="195"/>
      <c r="BX77" s="195"/>
      <c r="BY77" s="195"/>
      <c r="BZ77" s="195"/>
      <c r="CA77" s="195"/>
      <c r="CB77" s="195"/>
      <c r="CC77" s="195"/>
      <c r="CD77" s="195"/>
      <c r="CE77" s="195"/>
      <c r="CF77" s="195"/>
      <c r="CG77" s="195"/>
      <c r="CH77" s="195"/>
      <c r="CI77" s="195"/>
      <c r="CJ77" s="195"/>
      <c r="CK77" s="195"/>
      <c r="CL77" s="195"/>
      <c r="CM77" s="195"/>
      <c r="CN77" s="195"/>
      <c r="CO77" s="195"/>
      <c r="CP77" s="195"/>
      <c r="CQ77" s="195"/>
      <c r="CR77" s="195"/>
      <c r="CS77" s="195"/>
      <c r="CT77" s="195"/>
      <c r="CU77" s="195"/>
      <c r="CV77" s="195"/>
      <c r="CW77" s="55"/>
      <c r="CX77" s="195"/>
      <c r="CY77" s="55"/>
      <c r="CZ77" s="55"/>
      <c r="DA77" s="55"/>
      <c r="DB77" s="55"/>
      <c r="DC77" s="55"/>
      <c r="DD77" s="55"/>
      <c r="DE77" s="55"/>
      <c r="DF77" s="55"/>
      <c r="DG77" s="55"/>
      <c r="DH77" s="55"/>
      <c r="DI77" s="55"/>
      <c r="DJ77" s="55"/>
      <c r="DK77" s="55"/>
      <c r="DL77" s="55"/>
      <c r="DM77" s="55"/>
      <c r="DN77" s="55"/>
      <c r="DO77" s="55"/>
      <c r="DP77" s="55"/>
      <c r="DQ77" s="55"/>
      <c r="DR77" s="55"/>
      <c r="DS77" s="55"/>
      <c r="DT77" s="55" t="str">
        <f aca="false">AA77&amp;"-"&amp;AF77</f>
        <v>Austria-Jordania</v>
      </c>
      <c r="DU77" s="55"/>
      <c r="DV77" s="55"/>
      <c r="DW77" s="57"/>
    </row>
    <row r="78" customFormat="false" ht="15.75" hidden="false" customHeight="true" outlineLevel="0" collapsed="false">
      <c r="A78" s="92" t="str">
        <f aca="false">+Equipos!B39</f>
        <v>Argelia</v>
      </c>
      <c r="B78" s="72"/>
      <c r="C78" s="103"/>
      <c r="D78" s="55" t="str">
        <f aca="false">IF(OR(AC78="",AD78=""),"Pendiente",IF(AC78&gt;AD78,"Local",IF(AC78&lt;AD78,"Visitante","Empate")))</f>
        <v>Pendiente</v>
      </c>
      <c r="E78" s="55" t="str">
        <f aca="false">IF(D78="Pendiente","-",INDEX($BT$6:$BT$53,MATCH($AA78,$BD$6:$BD$53,0)))</f>
        <v>-</v>
      </c>
      <c r="F78" s="55" t="str">
        <f aca="false">IF(D78="Pendiente","-",INDEX($BT$6:$BT$53,MATCH($AF78,$BD$6:$BD$53,0)))</f>
        <v>-</v>
      </c>
      <c r="G78" s="55"/>
      <c r="H78" s="55" t="str">
        <f aca="false">IF(D78="Pendiente","-",INDEX($BZ$6:$BZ$53,MATCH($AA78,$BD$6:$BD$53,0)))</f>
        <v>-</v>
      </c>
      <c r="I78" s="55" t="str">
        <f aca="false">IF(D78="Pendiente","-",INDEX($BZ$6:$BZ$53,MATCH($AF78,$BD$6:$BD$53,0)))</f>
        <v>-</v>
      </c>
      <c r="J78" s="55"/>
      <c r="K78" s="55" t="str">
        <f aca="false">IF(D78="Pendiente","-",INDEX($CE$6:$CE$53,MATCH($AA78,$BD$6:$BD$53,0)))</f>
        <v>-</v>
      </c>
      <c r="L78" s="55" t="str">
        <f aca="false">IF(D78="Pendiente","-",INDEX($CE$6:$CE$53,MATCH($AF78,$BD$6:$BD$53,0)))</f>
        <v>-</v>
      </c>
      <c r="M78" s="55"/>
      <c r="N78" s="55" t="str">
        <f aca="false">IF(D78="Pendiente","-",INDEX($CH$6:$CH$53,MATCH($AA78,$BD$6:$BD$53,0)))</f>
        <v>-</v>
      </c>
      <c r="O78" s="55" t="str">
        <f aca="false">IF(D78="Pendiente","-",INDEX($CH$6:$CH$53,MATCH($AF78,$BD$6:$BD$53,0)))</f>
        <v>-</v>
      </c>
      <c r="P78" s="55"/>
      <c r="Q78" s="55" t="str">
        <f aca="false">IF(D78="Pendiente","-",INDEX($CN$6:$CN$53,MATCH($AA78,$BD$6:$BD$53,0)))</f>
        <v>-</v>
      </c>
      <c r="R78" s="55" t="str">
        <f aca="false">IF(D78="Pendiente","-",INDEX($CN$6:$CN$53,MATCH($AF78,$BD$6:$BD$53,0)))</f>
        <v>-</v>
      </c>
      <c r="S78" s="55"/>
      <c r="T78" s="55" t="str">
        <f aca="false">IF(D78="Pendiente","-",INDEX($CS$6:$CS$53,MATCH($AA78,$BD$6:$BD$53,0)))</f>
        <v>-</v>
      </c>
      <c r="U78" s="55" t="str">
        <f aca="false">IF(D78="Pendiente","-",INDEX($CS$6:$CS$53,MATCH($AF78,$BD$6:$BD$53,0)))</f>
        <v>-</v>
      </c>
      <c r="V78" s="46"/>
      <c r="W78" s="194"/>
      <c r="X78" s="74" t="n">
        <f aca="false">Horarios!C78</f>
        <v>46195.7916666667</v>
      </c>
      <c r="Y78" s="75" t="n">
        <f aca="false">Horarios!C78</f>
        <v>46195.7916666667</v>
      </c>
      <c r="Z78" s="76" t="str">
        <f aca="false">$Z$6</f>
        <v>J2</v>
      </c>
      <c r="AA78" s="77" t="str">
        <f aca="false">A77</f>
        <v>Argentina</v>
      </c>
      <c r="AB78" s="165" t="str">
        <f aca="true" t="array" ref="AB78:AB78">Ver_flag_local</f>
        <v/>
      </c>
      <c r="AC78" s="79"/>
      <c r="AD78" s="80"/>
      <c r="AE78" s="81" t="str">
        <f aca="true" t="array" ref="AE78:AE78">Ver_flag_visit</f>
        <v/>
      </c>
      <c r="AF78" s="82" t="str">
        <f aca="false">A79</f>
        <v>Austria</v>
      </c>
      <c r="AG78" s="83" t="n">
        <f aca="false">IF(NOT(OR(ISBLANK(AC78),ISBLANK(AD78))),1,0)</f>
        <v>0</v>
      </c>
      <c r="AH78" s="84" t="n">
        <v>43</v>
      </c>
      <c r="AI78" s="85" t="str">
        <f aca="false">AJ78&amp;$B$76</f>
        <v>1J</v>
      </c>
      <c r="AJ78" s="104" t="n">
        <v>1</v>
      </c>
      <c r="AK78" s="170" t="str">
        <f aca="true" t="array" ref="AK78:AK78">Ver_flag_visit</f>
        <v/>
      </c>
      <c r="AL78" s="106" t="str">
        <f aca="false">IFERROR(INDEX($BD$6:$BD$53,MATCH(AI78,$BN$6:$BN$53,0)),"")</f>
        <v>Argentina</v>
      </c>
      <c r="AM78" s="107" t="n">
        <f aca="false">INDEX($BE$6:$BN$53,MATCH($AL78,$BD$6:$BD$53,0),MATCH(AM$5,$BE$5:$BN$5,0))</f>
        <v>0</v>
      </c>
      <c r="AN78" s="108" t="n">
        <f aca="false">INDEX($BE$6:$BN$53,MATCH($AL78,$BD$6:$BD$53,0),MATCH(AN$5,$BE$5:$BN$5,0))</f>
        <v>0</v>
      </c>
      <c r="AO78" s="108" t="n">
        <f aca="false">INDEX($BE$6:$BN$53,MATCH($AL78,$BD$6:$BD$53,0),MATCH(AO$5,$BE$5:$BN$5,0))</f>
        <v>0</v>
      </c>
      <c r="AP78" s="108" t="n">
        <f aca="false">INDEX($BE$6:$BN$53,MATCH($AL78,$BD$6:$BD$53,0),MATCH(AP$5,$BE$5:$BN$5,0))</f>
        <v>0</v>
      </c>
      <c r="AQ78" s="108" t="n">
        <f aca="false">INDEX($BE$6:$BN$53,MATCH($AL78,$BD$6:$BD$53,0),MATCH(AQ$5,$BE$5:$BN$5,0))</f>
        <v>0</v>
      </c>
      <c r="AR78" s="108" t="n">
        <f aca="false">INDEX($BE$6:$BN$53,MATCH($AL78,$BD$6:$BD$53,0),MATCH(AR$5,$BE$5:$BN$5,0))</f>
        <v>0</v>
      </c>
      <c r="AS78" s="108" t="n">
        <f aca="false">INDEX($BE$6:$BN$53,MATCH($AL78,$BD$6:$BD$53,0),MATCH(AS$5,$BE$5:$BN$5,0))</f>
        <v>0</v>
      </c>
      <c r="AT78" s="109" t="n">
        <f aca="false">INDEX($BE$6:$BN$53,MATCH($AL78,$BD$6:$BD$53,0),MATCH(AT$5,$BE$5:$BN$5,0))</f>
        <v>0</v>
      </c>
      <c r="AU78" s="110" t="n">
        <f aca="false">INDEX($DL$6:$DL$53,MATCH(AI78,$DP$6:$DP$53,0))</f>
        <v>1</v>
      </c>
      <c r="AV78" s="111" t="str">
        <f aca="false">INDEX($BD$6:$BD$53,MATCH(AI78,$BM$6:$BM$53,0))</f>
        <v>Argentina</v>
      </c>
      <c r="AW78" s="112"/>
      <c r="AX78" s="113"/>
      <c r="AY78" s="114" t="str">
        <f aca="false">+A77</f>
        <v>Argentina</v>
      </c>
      <c r="AZ78" s="115"/>
      <c r="BA78" s="49"/>
      <c r="BB78" s="55"/>
      <c r="BC78" s="55"/>
      <c r="BD78" s="55"/>
      <c r="BE78" s="55"/>
      <c r="BF78" s="55"/>
      <c r="BG78" s="55"/>
      <c r="BH78" s="55"/>
      <c r="BI78" s="55"/>
      <c r="BJ78" s="55"/>
      <c r="BK78" s="55"/>
      <c r="BL78" s="55"/>
      <c r="BM78" s="55"/>
      <c r="BN78" s="91"/>
      <c r="BO78" s="91"/>
      <c r="BP78" s="91"/>
      <c r="BQ78" s="91"/>
      <c r="BR78" s="55"/>
      <c r="BS78" s="55"/>
      <c r="BT78" s="91"/>
      <c r="BU78" s="91"/>
      <c r="BV78" s="91"/>
      <c r="BW78" s="91"/>
      <c r="BX78" s="91"/>
      <c r="BY78" s="91"/>
      <c r="BZ78" s="91"/>
      <c r="CA78" s="91"/>
      <c r="CB78" s="91"/>
      <c r="CC78" s="91"/>
      <c r="CD78" s="91"/>
      <c r="CE78" s="91"/>
      <c r="CF78" s="91"/>
      <c r="CG78" s="91"/>
      <c r="CH78" s="91"/>
      <c r="CI78" s="91"/>
      <c r="CJ78" s="91"/>
      <c r="CK78" s="91"/>
      <c r="CL78" s="91"/>
      <c r="CM78" s="91"/>
      <c r="CN78" s="91"/>
      <c r="CO78" s="91"/>
      <c r="CP78" s="91"/>
      <c r="CQ78" s="91"/>
      <c r="CR78" s="91"/>
      <c r="CS78" s="91"/>
      <c r="CT78" s="91"/>
      <c r="CU78" s="91"/>
      <c r="CV78" s="91"/>
      <c r="CW78" s="55"/>
      <c r="CX78" s="91"/>
      <c r="CY78" s="55"/>
      <c r="CZ78" s="55"/>
      <c r="DA78" s="55"/>
      <c r="DB78" s="55"/>
      <c r="DC78" s="55"/>
      <c r="DD78" s="55"/>
      <c r="DE78" s="55"/>
      <c r="DF78" s="55"/>
      <c r="DG78" s="55"/>
      <c r="DH78" s="55"/>
      <c r="DI78" s="55"/>
      <c r="DJ78" s="55"/>
      <c r="DK78" s="55"/>
      <c r="DL78" s="55"/>
      <c r="DM78" s="55"/>
      <c r="DN78" s="55"/>
      <c r="DO78" s="55"/>
      <c r="DP78" s="55"/>
      <c r="DQ78" s="55"/>
      <c r="DR78" s="55"/>
      <c r="DS78" s="55"/>
      <c r="DT78" s="55" t="str">
        <f aca="false">AA78&amp;"-"&amp;AF78</f>
        <v>Argentina-Austria</v>
      </c>
      <c r="DU78" s="55"/>
      <c r="DV78" s="55"/>
      <c r="DW78" s="57"/>
    </row>
    <row r="79" customFormat="false" ht="15.75" hidden="false" customHeight="true" outlineLevel="0" collapsed="false">
      <c r="A79" s="92" t="str">
        <f aca="false">+Equipos!B40</f>
        <v>Austria</v>
      </c>
      <c r="B79" s="72"/>
      <c r="C79" s="55"/>
      <c r="D79" s="55" t="str">
        <f aca="false">IF(OR(AC79="",AD79=""),"Pendiente",IF(AC79&gt;AD79,"Local",IF(AC79&lt;AD79,"Visitante","Empate")))</f>
        <v>Pendiente</v>
      </c>
      <c r="E79" s="55" t="str">
        <f aca="false">IF(D79="Pendiente","-",INDEX($BT$6:$BT$53,MATCH($AA79,$BD$6:$BD$53,0)))</f>
        <v>-</v>
      </c>
      <c r="F79" s="55" t="str">
        <f aca="false">IF(D79="Pendiente","-",INDEX($BT$6:$BT$53,MATCH($AF79,$BD$6:$BD$53,0)))</f>
        <v>-</v>
      </c>
      <c r="G79" s="55"/>
      <c r="H79" s="55" t="str">
        <f aca="false">IF(D79="Pendiente","-",INDEX($BZ$6:$BZ$53,MATCH($AA79,$BD$6:$BD$53,0)))</f>
        <v>-</v>
      </c>
      <c r="I79" s="55" t="str">
        <f aca="false">IF(D79="Pendiente","-",INDEX($BZ$6:$BZ$53,MATCH($AF79,$BD$6:$BD$53,0)))</f>
        <v>-</v>
      </c>
      <c r="J79" s="55"/>
      <c r="K79" s="55" t="str">
        <f aca="false">IF(D79="Pendiente","-",INDEX($CE$6:$CE$53,MATCH($AA79,$BD$6:$BD$53,0)))</f>
        <v>-</v>
      </c>
      <c r="L79" s="55" t="str">
        <f aca="false">IF(D79="Pendiente","-",INDEX($CE$6:$CE$53,MATCH($AF79,$BD$6:$BD$53,0)))</f>
        <v>-</v>
      </c>
      <c r="M79" s="55"/>
      <c r="N79" s="55" t="str">
        <f aca="false">IF(D79="Pendiente","-",INDEX($CH$6:$CH$53,MATCH($AA79,$BD$6:$BD$53,0)))</f>
        <v>-</v>
      </c>
      <c r="O79" s="55" t="str">
        <f aca="false">IF(D79="Pendiente","-",INDEX($CH$6:$CH$53,MATCH($AF79,$BD$6:$BD$53,0)))</f>
        <v>-</v>
      </c>
      <c r="P79" s="55"/>
      <c r="Q79" s="55" t="str">
        <f aca="false">IF(D79="Pendiente","-",INDEX($CN$6:$CN$53,MATCH($AA79,$BD$6:$BD$53,0)))</f>
        <v>-</v>
      </c>
      <c r="R79" s="55" t="str">
        <f aca="false">IF(D79="Pendiente","-",INDEX($CN$6:$CN$53,MATCH($AF79,$BD$6:$BD$53,0)))</f>
        <v>-</v>
      </c>
      <c r="S79" s="55"/>
      <c r="T79" s="55" t="str">
        <f aca="false">IF(D79="Pendiente","-",INDEX($CS$6:$CS$53,MATCH($AA79,$BD$6:$BD$53,0)))</f>
        <v>-</v>
      </c>
      <c r="U79" s="55" t="str">
        <f aca="false">IF(D79="Pendiente","-",INDEX($CS$6:$CS$53,MATCH($AF79,$BD$6:$BD$53,0)))</f>
        <v>-</v>
      </c>
      <c r="V79" s="46"/>
      <c r="W79" s="194"/>
      <c r="X79" s="74" t="n">
        <f aca="false">Horarios!C79</f>
        <v>46196.2083333333</v>
      </c>
      <c r="Y79" s="75" t="n">
        <f aca="false">Horarios!C79</f>
        <v>46196.2083333333</v>
      </c>
      <c r="Z79" s="76" t="str">
        <f aca="false">$Z$6</f>
        <v>J2</v>
      </c>
      <c r="AA79" s="77" t="str">
        <f aca="false">A80</f>
        <v>Jordania</v>
      </c>
      <c r="AB79" s="165" t="str">
        <f aca="true" t="array" ref="AB79:AB79">Ver_flag_local</f>
        <v/>
      </c>
      <c r="AC79" s="79"/>
      <c r="AD79" s="80"/>
      <c r="AE79" s="81" t="str">
        <f aca="true" t="array" ref="AE79:AE79">Ver_flag_visit</f>
        <v/>
      </c>
      <c r="AF79" s="82" t="str">
        <f aca="false">A78</f>
        <v>Argelia</v>
      </c>
      <c r="AG79" s="83" t="n">
        <f aca="false">IF(NOT(OR(ISBLANK(AC79),ISBLANK(AD79))),1,0)</f>
        <v>0</v>
      </c>
      <c r="AH79" s="84" t="n">
        <v>44</v>
      </c>
      <c r="AI79" s="85" t="str">
        <f aca="false">AJ79&amp;$B$76</f>
        <v>2J</v>
      </c>
      <c r="AJ79" s="121" t="n">
        <v>2</v>
      </c>
      <c r="AK79" s="173" t="str">
        <f aca="true" t="array" ref="AK79:AK79">Ver_flag_visit</f>
        <v/>
      </c>
      <c r="AL79" s="123" t="str">
        <f aca="false">IFERROR(INDEX($BD$6:$BD$53,MATCH(AI79,$BN$6:$BN$53,0)),"")</f>
        <v>Argelia</v>
      </c>
      <c r="AM79" s="124" t="n">
        <f aca="false">INDEX($BE$6:$BN$53,MATCH($AL79,$BD$6:$BD$53,0),MATCH(AM$5,$BE$5:$BN$5,0))</f>
        <v>0</v>
      </c>
      <c r="AN79" s="125" t="n">
        <f aca="false">INDEX($BE$6:$BN$53,MATCH($AL79,$BD$6:$BD$53,0),MATCH(AN$5,$BE$5:$BN$5,0))</f>
        <v>0</v>
      </c>
      <c r="AO79" s="125" t="n">
        <f aca="false">INDEX($BE$6:$BN$53,MATCH($AL79,$BD$6:$BD$53,0),MATCH(AO$5,$BE$5:$BN$5,0))</f>
        <v>0</v>
      </c>
      <c r="AP79" s="125" t="n">
        <f aca="false">INDEX($BE$6:$BN$53,MATCH($AL79,$BD$6:$BD$53,0),MATCH(AP$5,$BE$5:$BN$5,0))</f>
        <v>0</v>
      </c>
      <c r="AQ79" s="125" t="n">
        <f aca="false">INDEX($BE$6:$BN$53,MATCH($AL79,$BD$6:$BD$53,0),MATCH(AQ$5,$BE$5:$BN$5,0))</f>
        <v>0</v>
      </c>
      <c r="AR79" s="125" t="n">
        <f aca="false">INDEX($BE$6:$BN$53,MATCH($AL79,$BD$6:$BD$53,0),MATCH(AR$5,$BE$5:$BN$5,0))</f>
        <v>0</v>
      </c>
      <c r="AS79" s="125" t="n">
        <f aca="false">INDEX($BE$6:$BN$53,MATCH($AL79,$BD$6:$BD$53,0),MATCH(AS$5,$BE$5:$BN$5,0))</f>
        <v>0</v>
      </c>
      <c r="AT79" s="126" t="n">
        <f aca="false">INDEX($BE$6:$BN$53,MATCH($AL79,$BD$6:$BD$53,0),MATCH(AT$5,$BE$5:$BN$5,0))</f>
        <v>0</v>
      </c>
      <c r="AU79" s="110" t="n">
        <f aca="false">INDEX($DL$6:$DL$53,MATCH(AI79,$DP$6:$DP$53,0))</f>
        <v>1</v>
      </c>
      <c r="AV79" s="111" t="str">
        <f aca="false">INDEX($BD$6:$BD$53,MATCH(AI79,$BM$6:$BM$53,0))</f>
        <v>Argelia</v>
      </c>
      <c r="AW79" s="112"/>
      <c r="AX79" s="113"/>
      <c r="AY79" s="127" t="str">
        <f aca="false">+A78</f>
        <v>Argelia</v>
      </c>
      <c r="AZ79" s="128"/>
      <c r="BA79" s="49"/>
      <c r="BB79" s="55"/>
      <c r="BC79" s="55"/>
      <c r="BD79" s="55"/>
      <c r="BE79" s="55"/>
      <c r="BF79" s="55"/>
      <c r="BG79" s="55"/>
      <c r="BH79" s="55"/>
      <c r="BI79" s="55"/>
      <c r="BJ79" s="55"/>
      <c r="BK79" s="55"/>
      <c r="BL79" s="55"/>
      <c r="BM79" s="55"/>
      <c r="BN79" s="91"/>
      <c r="BO79" s="91"/>
      <c r="BP79" s="91"/>
      <c r="BQ79" s="91"/>
      <c r="BR79" s="55"/>
      <c r="BS79" s="55"/>
      <c r="BT79" s="91"/>
      <c r="BU79" s="91"/>
      <c r="BV79" s="91"/>
      <c r="BW79" s="91"/>
      <c r="BX79" s="91"/>
      <c r="BY79" s="91"/>
      <c r="BZ79" s="91"/>
      <c r="CA79" s="91"/>
      <c r="CB79" s="91"/>
      <c r="CC79" s="91"/>
      <c r="CD79" s="91"/>
      <c r="CE79" s="91"/>
      <c r="CF79" s="91"/>
      <c r="CG79" s="91"/>
      <c r="CH79" s="91"/>
      <c r="CI79" s="91"/>
      <c r="CJ79" s="91"/>
      <c r="CK79" s="91"/>
      <c r="CL79" s="91"/>
      <c r="CM79" s="91"/>
      <c r="CN79" s="91"/>
      <c r="CO79" s="91"/>
      <c r="CP79" s="91"/>
      <c r="CQ79" s="91"/>
      <c r="CR79" s="91"/>
      <c r="CS79" s="91"/>
      <c r="CT79" s="91"/>
      <c r="CU79" s="91"/>
      <c r="CV79" s="91"/>
      <c r="CW79" s="55"/>
      <c r="CX79" s="91"/>
      <c r="CY79" s="55"/>
      <c r="CZ79" s="55"/>
      <c r="DA79" s="55"/>
      <c r="DB79" s="55"/>
      <c r="DC79" s="55"/>
      <c r="DD79" s="55"/>
      <c r="DE79" s="55"/>
      <c r="DF79" s="55"/>
      <c r="DG79" s="55"/>
      <c r="DH79" s="55"/>
      <c r="DI79" s="55"/>
      <c r="DJ79" s="55"/>
      <c r="DK79" s="55"/>
      <c r="DL79" s="55"/>
      <c r="DM79" s="55"/>
      <c r="DN79" s="55"/>
      <c r="DO79" s="55"/>
      <c r="DP79" s="55"/>
      <c r="DQ79" s="55"/>
      <c r="DR79" s="55"/>
      <c r="DS79" s="55"/>
      <c r="DT79" s="55" t="str">
        <f aca="false">AA79&amp;"-"&amp;AF79</f>
        <v>Jordania-Argelia</v>
      </c>
      <c r="DU79" s="55"/>
      <c r="DV79" s="55"/>
      <c r="DW79" s="57"/>
    </row>
    <row r="80" customFormat="false" ht="15.75" hidden="false" customHeight="true" outlineLevel="0" collapsed="false">
      <c r="A80" s="92" t="str">
        <f aca="false">+Equipos!B41</f>
        <v>Jordania</v>
      </c>
      <c r="B80" s="72"/>
      <c r="C80" s="55"/>
      <c r="D80" s="55" t="str">
        <f aca="false">IF(OR(AC80="",AD80=""),"Pendiente",IF(AC80&gt;AD80,"Local",IF(AC80&lt;AD80,"Visitante","Empate")))</f>
        <v>Pendiente</v>
      </c>
      <c r="E80" s="55" t="str">
        <f aca="false">IF(D80="Pendiente","-",INDEX($BT$6:$BT$53,MATCH($AA80,$BD$6:$BD$53,0)))</f>
        <v>-</v>
      </c>
      <c r="F80" s="55" t="str">
        <f aca="false">IF(D80="Pendiente","-",INDEX($BT$6:$BT$53,MATCH($AF80,$BD$6:$BD$53,0)))</f>
        <v>-</v>
      </c>
      <c r="G80" s="55"/>
      <c r="H80" s="55" t="str">
        <f aca="false">IF(D80="Pendiente","-",INDEX($BZ$6:$BZ$53,MATCH($AA80,$BD$6:$BD$53,0)))</f>
        <v>-</v>
      </c>
      <c r="I80" s="55" t="str">
        <f aca="false">IF(D80="Pendiente","-",INDEX($BZ$6:$BZ$53,MATCH($AF80,$BD$6:$BD$53,0)))</f>
        <v>-</v>
      </c>
      <c r="J80" s="55"/>
      <c r="K80" s="55" t="str">
        <f aca="false">IF(D80="Pendiente","-",INDEX($CE$6:$CE$53,MATCH($AA80,$BD$6:$BD$53,0)))</f>
        <v>-</v>
      </c>
      <c r="L80" s="55" t="str">
        <f aca="false">IF(D80="Pendiente","-",INDEX($CE$6:$CE$53,MATCH($AF80,$BD$6:$BD$53,0)))</f>
        <v>-</v>
      </c>
      <c r="M80" s="55"/>
      <c r="N80" s="55" t="str">
        <f aca="false">IF(D80="Pendiente","-",INDEX($CH$6:$CH$53,MATCH($AA80,$BD$6:$BD$53,0)))</f>
        <v>-</v>
      </c>
      <c r="O80" s="55" t="str">
        <f aca="false">IF(D80="Pendiente","-",INDEX($CH$6:$CH$53,MATCH($AF80,$BD$6:$BD$53,0)))</f>
        <v>-</v>
      </c>
      <c r="P80" s="55"/>
      <c r="Q80" s="55" t="str">
        <f aca="false">IF(D80="Pendiente","-",INDEX($CN$6:$CN$53,MATCH($AA80,$BD$6:$BD$53,0)))</f>
        <v>-</v>
      </c>
      <c r="R80" s="55" t="str">
        <f aca="false">IF(D80="Pendiente","-",INDEX($CN$6:$CN$53,MATCH($AF80,$BD$6:$BD$53,0)))</f>
        <v>-</v>
      </c>
      <c r="S80" s="55"/>
      <c r="T80" s="55" t="str">
        <f aca="false">IF(D80="Pendiente","-",INDEX($CS$6:$CS$53,MATCH($AA80,$BD$6:$BD$53,0)))</f>
        <v>-</v>
      </c>
      <c r="U80" s="55" t="str">
        <f aca="false">IF(D80="Pendiente","-",INDEX($CS$6:$CS$53,MATCH($AF80,$BD$6:$BD$53,0)))</f>
        <v>-</v>
      </c>
      <c r="V80" s="46"/>
      <c r="W80" s="194"/>
      <c r="X80" s="74" t="n">
        <f aca="false">Horarios!C80</f>
        <v>46201.1666666667</v>
      </c>
      <c r="Y80" s="75" t="n">
        <f aca="false">Horarios!C80</f>
        <v>46201.1666666667</v>
      </c>
      <c r="Z80" s="76" t="str">
        <f aca="false">$Z$8</f>
        <v>J3</v>
      </c>
      <c r="AA80" s="77" t="str">
        <f aca="false">A78</f>
        <v>Argelia</v>
      </c>
      <c r="AB80" s="165" t="str">
        <f aca="true" t="array" ref="AB80:AB80">Ver_flag_local</f>
        <v/>
      </c>
      <c r="AC80" s="79"/>
      <c r="AD80" s="80"/>
      <c r="AE80" s="81" t="str">
        <f aca="true" t="array" ref="AE80:AE80">Ver_flag_visit</f>
        <v/>
      </c>
      <c r="AF80" s="82" t="str">
        <f aca="false">A79</f>
        <v>Austria</v>
      </c>
      <c r="AG80" s="83" t="n">
        <f aca="false">IF(NOT(OR(ISBLANK(AC80),ISBLANK(AD80))),1,0)</f>
        <v>0</v>
      </c>
      <c r="AH80" s="84" t="n">
        <v>69</v>
      </c>
      <c r="AI80" s="85" t="str">
        <f aca="false">AJ80&amp;$B$76</f>
        <v>3J</v>
      </c>
      <c r="AJ80" s="121" t="n">
        <v>3</v>
      </c>
      <c r="AK80" s="173" t="str">
        <f aca="true" t="array" ref="AK80:AK80">Ver_flag_visit</f>
        <v/>
      </c>
      <c r="AL80" s="123" t="str">
        <f aca="false">IFERROR(INDEX($BD$6:$BD$53,MATCH(AI80,$BN$6:$BN$53,0)),"")</f>
        <v>Austria</v>
      </c>
      <c r="AM80" s="124" t="n">
        <f aca="false">INDEX($BE$6:$BN$53,MATCH($AL80,$BD$6:$BD$53,0),MATCH(AM$5,$BE$5:$BN$5,0))</f>
        <v>0</v>
      </c>
      <c r="AN80" s="125" t="n">
        <f aca="false">INDEX($BE$6:$BN$53,MATCH($AL80,$BD$6:$BD$53,0),MATCH(AN$5,$BE$5:$BN$5,0))</f>
        <v>0</v>
      </c>
      <c r="AO80" s="125" t="n">
        <f aca="false">INDEX($BE$6:$BN$53,MATCH($AL80,$BD$6:$BD$53,0),MATCH(AO$5,$BE$5:$BN$5,0))</f>
        <v>0</v>
      </c>
      <c r="AP80" s="125" t="n">
        <f aca="false">INDEX($BE$6:$BN$53,MATCH($AL80,$BD$6:$BD$53,0),MATCH(AP$5,$BE$5:$BN$5,0))</f>
        <v>0</v>
      </c>
      <c r="AQ80" s="125" t="n">
        <f aca="false">INDEX($BE$6:$BN$53,MATCH($AL80,$BD$6:$BD$53,0),MATCH(AQ$5,$BE$5:$BN$5,0))</f>
        <v>0</v>
      </c>
      <c r="AR80" s="125" t="n">
        <f aca="false">INDEX($BE$6:$BN$53,MATCH($AL80,$BD$6:$BD$53,0),MATCH(AR$5,$BE$5:$BN$5,0))</f>
        <v>0</v>
      </c>
      <c r="AS80" s="125" t="n">
        <f aca="false">INDEX($BE$6:$BN$53,MATCH($AL80,$BD$6:$BD$53,0),MATCH(AS$5,$BE$5:$BN$5,0))</f>
        <v>0</v>
      </c>
      <c r="AT80" s="126" t="n">
        <f aca="false">INDEX($BE$6:$BN$53,MATCH($AL80,$BD$6:$BD$53,0),MATCH(AT$5,$BE$5:$BN$5,0))</f>
        <v>0</v>
      </c>
      <c r="AU80" s="110" t="n">
        <f aca="false">INDEX($DL$6:$DL$53,MATCH(AI80,$DP$6:$DP$53,0))</f>
        <v>1</v>
      </c>
      <c r="AV80" s="111" t="str">
        <f aca="false">INDEX($BD$6:$BD$53,MATCH(AI80,$BM$6:$BM$53,0))</f>
        <v>Austria</v>
      </c>
      <c r="AW80" s="112"/>
      <c r="AX80" s="113"/>
      <c r="AY80" s="114" t="str">
        <f aca="false">+A79</f>
        <v>Austria</v>
      </c>
      <c r="AZ80" s="115"/>
      <c r="BA80" s="49"/>
      <c r="BB80" s="55"/>
      <c r="BC80" s="55"/>
      <c r="BD80" s="55"/>
      <c r="BE80" s="55"/>
      <c r="BF80" s="55"/>
      <c r="BG80" s="55"/>
      <c r="BH80" s="55"/>
      <c r="BI80" s="55"/>
      <c r="BJ80" s="55"/>
      <c r="BK80" s="55"/>
      <c r="BL80" s="55"/>
      <c r="BM80" s="55"/>
      <c r="BN80" s="91"/>
      <c r="BO80" s="91"/>
      <c r="BP80" s="91"/>
      <c r="BQ80" s="91"/>
      <c r="BR80" s="55"/>
      <c r="BS80" s="55"/>
      <c r="BT80" s="91"/>
      <c r="BU80" s="91"/>
      <c r="BV80" s="91"/>
      <c r="BW80" s="91"/>
      <c r="BX80" s="91"/>
      <c r="BY80" s="91"/>
      <c r="BZ80" s="91"/>
      <c r="CA80" s="91"/>
      <c r="CB80" s="91"/>
      <c r="CC80" s="91"/>
      <c r="CD80" s="91"/>
      <c r="CE80" s="91"/>
      <c r="CF80" s="91"/>
      <c r="CG80" s="91"/>
      <c r="CH80" s="91"/>
      <c r="CI80" s="91"/>
      <c r="CJ80" s="91"/>
      <c r="CK80" s="91"/>
      <c r="CL80" s="91"/>
      <c r="CM80" s="91"/>
      <c r="CN80" s="91"/>
      <c r="CO80" s="91"/>
      <c r="CP80" s="91"/>
      <c r="CQ80" s="91"/>
      <c r="CR80" s="91"/>
      <c r="CS80" s="91"/>
      <c r="CT80" s="91"/>
      <c r="CU80" s="91"/>
      <c r="CV80" s="91"/>
      <c r="CW80" s="55"/>
      <c r="CX80" s="91"/>
      <c r="CY80" s="55"/>
      <c r="CZ80" s="55"/>
      <c r="DA80" s="55"/>
      <c r="DB80" s="55"/>
      <c r="DC80" s="55"/>
      <c r="DD80" s="55"/>
      <c r="DE80" s="55"/>
      <c r="DF80" s="55"/>
      <c r="DG80" s="55"/>
      <c r="DH80" s="55"/>
      <c r="DI80" s="55"/>
      <c r="DJ80" s="55"/>
      <c r="DK80" s="55"/>
      <c r="DL80" s="55"/>
      <c r="DM80" s="55"/>
      <c r="DN80" s="55"/>
      <c r="DO80" s="55"/>
      <c r="DP80" s="55"/>
      <c r="DQ80" s="55"/>
      <c r="DR80" s="55"/>
      <c r="DS80" s="55"/>
      <c r="DT80" s="55" t="str">
        <f aca="false">AA80&amp;"-"&amp;AF80</f>
        <v>Argelia-Austria</v>
      </c>
      <c r="DU80" s="55"/>
      <c r="DV80" s="55"/>
      <c r="DW80" s="57"/>
    </row>
    <row r="81" customFormat="false" ht="16.5" hidden="false" customHeight="true" outlineLevel="0" collapsed="false">
      <c r="A81" s="39"/>
      <c r="B81" s="39"/>
      <c r="C81" s="39"/>
      <c r="D81" s="55" t="str">
        <f aca="false">IF(OR(AC81="",AD81=""),"Pendiente",IF(AC81&gt;AD81,"Local",IF(AC81&lt;AD81,"Visitante","Empate")))</f>
        <v>Pendiente</v>
      </c>
      <c r="E81" s="55" t="str">
        <f aca="false">IF(D81="Pendiente","-",INDEX($BT$6:$BT$53,MATCH($AA81,$BD$6:$BD$53,0)))</f>
        <v>-</v>
      </c>
      <c r="F81" s="55" t="str">
        <f aca="false">IF(D81="Pendiente","-",INDEX($BT$6:$BT$53,MATCH($AF81,$BD$6:$BD$53,0)))</f>
        <v>-</v>
      </c>
      <c r="G81" s="55"/>
      <c r="H81" s="55" t="str">
        <f aca="false">IF(D81="Pendiente","-",INDEX($BZ$6:$BZ$53,MATCH($AA81,$BD$6:$BD$53,0)))</f>
        <v>-</v>
      </c>
      <c r="I81" s="55" t="str">
        <f aca="false">IF(D81="Pendiente","-",INDEX($BZ$6:$BZ$53,MATCH($AF81,$BD$6:$BD$53,0)))</f>
        <v>-</v>
      </c>
      <c r="J81" s="55"/>
      <c r="K81" s="55" t="str">
        <f aca="false">IF(D81="Pendiente","-",INDEX($CE$6:$CE$53,MATCH($AA81,$BD$6:$BD$53,0)))</f>
        <v>-</v>
      </c>
      <c r="L81" s="55" t="str">
        <f aca="false">IF(D81="Pendiente","-",INDEX($CE$6:$CE$53,MATCH($AF81,$BD$6:$BD$53,0)))</f>
        <v>-</v>
      </c>
      <c r="M81" s="55"/>
      <c r="N81" s="55" t="str">
        <f aca="false">IF(D81="Pendiente","-",INDEX($CH$6:$CH$53,MATCH($AA81,$BD$6:$BD$53,0)))</f>
        <v>-</v>
      </c>
      <c r="O81" s="55" t="str">
        <f aca="false">IF(D81="Pendiente","-",INDEX($CH$6:$CH$53,MATCH($AF81,$BD$6:$BD$53,0)))</f>
        <v>-</v>
      </c>
      <c r="P81" s="55"/>
      <c r="Q81" s="55" t="str">
        <f aca="false">IF(D81="Pendiente","-",INDEX($CN$6:$CN$53,MATCH($AA81,$BD$6:$BD$53,0)))</f>
        <v>-</v>
      </c>
      <c r="R81" s="55" t="str">
        <f aca="false">IF(D81="Pendiente","-",INDEX($CN$6:$CN$53,MATCH($AF81,$BD$6:$BD$53,0)))</f>
        <v>-</v>
      </c>
      <c r="S81" s="55"/>
      <c r="T81" s="55" t="str">
        <f aca="false">IF(D81="Pendiente","-",INDEX($CS$6:$CS$53,MATCH($AA81,$BD$6:$BD$53,0)))</f>
        <v>-</v>
      </c>
      <c r="U81" s="55" t="str">
        <f aca="false">IF(D81="Pendiente","-",INDEX($CS$6:$CS$53,MATCH($AF81,$BD$6:$BD$53,0)))</f>
        <v>-</v>
      </c>
      <c r="V81" s="46"/>
      <c r="W81" s="194"/>
      <c r="X81" s="129" t="n">
        <f aca="false">Horarios!C81</f>
        <v>46201.1666666667</v>
      </c>
      <c r="Y81" s="130" t="n">
        <f aca="false">Horarios!C81</f>
        <v>46201.1666666667</v>
      </c>
      <c r="Z81" s="131" t="str">
        <f aca="false">$Z$8</f>
        <v>J3</v>
      </c>
      <c r="AA81" s="132" t="str">
        <f aca="false">A80</f>
        <v>Jordania</v>
      </c>
      <c r="AB81" s="175" t="str">
        <f aca="true" t="array" ref="AB81:AB81">Ver_flag_local</f>
        <v/>
      </c>
      <c r="AC81" s="134"/>
      <c r="AD81" s="135"/>
      <c r="AE81" s="136" t="str">
        <f aca="true" t="array" ref="AE81:AE81">Ver_flag_visit</f>
        <v/>
      </c>
      <c r="AF81" s="137" t="str">
        <f aca="false">A77</f>
        <v>Argentina</v>
      </c>
      <c r="AG81" s="83" t="n">
        <f aca="false">IF(NOT(OR(ISBLANK(AC81),ISBLANK(AD81))),1,0)</f>
        <v>0</v>
      </c>
      <c r="AH81" s="84" t="n">
        <v>70</v>
      </c>
      <c r="AI81" s="85" t="str">
        <f aca="false">AJ81&amp;$B$76</f>
        <v>4J</v>
      </c>
      <c r="AJ81" s="138" t="n">
        <v>4</v>
      </c>
      <c r="AK81" s="184" t="str">
        <f aca="true" t="array" ref="AK81:AK81">Ver_flag_visit</f>
        <v/>
      </c>
      <c r="AL81" s="140" t="str">
        <f aca="false">IFERROR(INDEX($BD$6:$BD$53,MATCH(AI81,$BN$6:$BN$53,0)),"")</f>
        <v>Jordania</v>
      </c>
      <c r="AM81" s="141" t="n">
        <f aca="false">INDEX($BE$6:$BN$53,MATCH($AL81,$BD$6:$BD$53,0),MATCH(AM$5,$BE$5:$BN$5,0))</f>
        <v>0</v>
      </c>
      <c r="AN81" s="142" t="n">
        <f aca="false">INDEX($BE$6:$BN$53,MATCH($AL81,$BD$6:$BD$53,0),MATCH(AN$5,$BE$5:$BN$5,0))</f>
        <v>0</v>
      </c>
      <c r="AO81" s="142" t="n">
        <f aca="false">INDEX($BE$6:$BN$53,MATCH($AL81,$BD$6:$BD$53,0),MATCH(AO$5,$BE$5:$BN$5,0))</f>
        <v>0</v>
      </c>
      <c r="AP81" s="142" t="n">
        <f aca="false">INDEX($BE$6:$BN$53,MATCH($AL81,$BD$6:$BD$53,0),MATCH(AP$5,$BE$5:$BN$5,0))</f>
        <v>0</v>
      </c>
      <c r="AQ81" s="142" t="n">
        <f aca="false">INDEX($BE$6:$BN$53,MATCH($AL81,$BD$6:$BD$53,0),MATCH(AQ$5,$BE$5:$BN$5,0))</f>
        <v>0</v>
      </c>
      <c r="AR81" s="142" t="n">
        <f aca="false">INDEX($BE$6:$BN$53,MATCH($AL81,$BD$6:$BD$53,0),MATCH(AR$5,$BE$5:$BN$5,0))</f>
        <v>0</v>
      </c>
      <c r="AS81" s="142" t="n">
        <f aca="false">INDEX($BE$6:$BN$53,MATCH($AL81,$BD$6:$BD$53,0),MATCH(AS$5,$BE$5:$BN$5,0))</f>
        <v>0</v>
      </c>
      <c r="AT81" s="143" t="n">
        <f aca="false">INDEX($BE$6:$BN$53,MATCH($AL81,$BD$6:$BD$53,0),MATCH(AT$5,$BE$5:$BN$5,0))</f>
        <v>0</v>
      </c>
      <c r="AU81" s="110" t="n">
        <f aca="false">INDEX($DL$6:$DL$53,MATCH(AI81,$DP$6:$DP$53,0))</f>
        <v>1</v>
      </c>
      <c r="AV81" s="111" t="str">
        <f aca="false">INDEX($BD$6:$BD$53,MATCH(AI81,$BM$6:$BM$53,0))</f>
        <v>Jordania</v>
      </c>
      <c r="AW81" s="112"/>
      <c r="AX81" s="113"/>
      <c r="AY81" s="144" t="str">
        <f aca="false">+A80</f>
        <v>Jordania</v>
      </c>
      <c r="AZ81" s="145"/>
      <c r="BA81" s="49"/>
      <c r="BB81" s="55"/>
      <c r="BC81" s="55"/>
      <c r="BD81" s="55"/>
      <c r="BE81" s="55"/>
      <c r="BF81" s="55"/>
      <c r="BG81" s="55"/>
      <c r="BH81" s="55"/>
      <c r="BI81" s="55"/>
      <c r="BJ81" s="55"/>
      <c r="BK81" s="55"/>
      <c r="BL81" s="55"/>
      <c r="BM81" s="55"/>
      <c r="BN81" s="91"/>
      <c r="BO81" s="91"/>
      <c r="BP81" s="91"/>
      <c r="BQ81" s="91"/>
      <c r="BR81" s="55"/>
      <c r="BS81" s="55"/>
      <c r="BT81" s="91"/>
      <c r="BU81" s="91"/>
      <c r="BV81" s="91"/>
      <c r="BW81" s="91"/>
      <c r="BX81" s="91"/>
      <c r="BY81" s="91"/>
      <c r="BZ81" s="91"/>
      <c r="CA81" s="91"/>
      <c r="CB81" s="91"/>
      <c r="CC81" s="91"/>
      <c r="CD81" s="91"/>
      <c r="CE81" s="91"/>
      <c r="CF81" s="91"/>
      <c r="CG81" s="91"/>
      <c r="CH81" s="91"/>
      <c r="CI81" s="91"/>
      <c r="CJ81" s="91"/>
      <c r="CK81" s="91"/>
      <c r="CL81" s="91"/>
      <c r="CM81" s="91"/>
      <c r="CN81" s="91"/>
      <c r="CO81" s="91"/>
      <c r="CP81" s="91"/>
      <c r="CQ81" s="91"/>
      <c r="CR81" s="91"/>
      <c r="CS81" s="91"/>
      <c r="CT81" s="91"/>
      <c r="CU81" s="91"/>
      <c r="CV81" s="91"/>
      <c r="CW81" s="55"/>
      <c r="CX81" s="91"/>
      <c r="CY81" s="55"/>
      <c r="CZ81" s="55"/>
      <c r="DA81" s="55"/>
      <c r="DB81" s="55"/>
      <c r="DC81" s="55"/>
      <c r="DD81" s="55"/>
      <c r="DE81" s="55"/>
      <c r="DF81" s="55"/>
      <c r="DG81" s="55"/>
      <c r="DH81" s="55"/>
      <c r="DI81" s="55"/>
      <c r="DJ81" s="55"/>
      <c r="DK81" s="55"/>
      <c r="DL81" s="55"/>
      <c r="DM81" s="55"/>
      <c r="DN81" s="55"/>
      <c r="DO81" s="55"/>
      <c r="DP81" s="55"/>
      <c r="DQ81" s="55"/>
      <c r="DR81" s="55"/>
      <c r="DS81" s="55"/>
      <c r="DT81" s="55" t="str">
        <f aca="false">AA81&amp;"-"&amp;AF81</f>
        <v>Jordania-Argentina</v>
      </c>
      <c r="DU81" s="55"/>
      <c r="DV81" s="55"/>
      <c r="DW81" s="57"/>
    </row>
    <row r="82" customFormat="false" ht="15" hidden="false" customHeight="false" outlineLevel="0" collapsed="false">
      <c r="A82" s="39"/>
      <c r="B82" s="39"/>
      <c r="C82" s="39"/>
      <c r="D82" s="55"/>
      <c r="E82" s="55"/>
      <c r="F82" s="55"/>
      <c r="G82" s="55"/>
      <c r="H82" s="55"/>
      <c r="I82" s="55"/>
      <c r="J82" s="55"/>
      <c r="K82" s="55"/>
      <c r="L82" s="55"/>
      <c r="M82" s="55"/>
      <c r="N82" s="55"/>
      <c r="O82" s="55"/>
      <c r="P82" s="55"/>
      <c r="Q82" s="55"/>
      <c r="R82" s="55"/>
      <c r="S82" s="55"/>
      <c r="T82" s="55"/>
      <c r="U82" s="55"/>
      <c r="V82" s="46"/>
      <c r="W82" s="146"/>
      <c r="X82" s="147"/>
      <c r="Y82" s="146"/>
      <c r="Z82" s="148"/>
      <c r="AA82" s="149"/>
      <c r="AB82" s="150"/>
      <c r="AC82" s="151"/>
      <c r="AD82" s="151"/>
      <c r="AE82" s="150"/>
      <c r="AF82" s="152"/>
      <c r="AG82" s="182"/>
      <c r="AH82" s="84"/>
      <c r="AI82" s="43"/>
      <c r="AJ82" s="153"/>
      <c r="AK82" s="154"/>
      <c r="AL82" s="66"/>
      <c r="AM82" s="155"/>
      <c r="AN82" s="153"/>
      <c r="AO82" s="153"/>
      <c r="AP82" s="153"/>
      <c r="AQ82" s="153"/>
      <c r="AR82" s="153"/>
      <c r="AS82" s="153"/>
      <c r="AT82" s="153"/>
      <c r="AU82" s="156"/>
      <c r="AV82" s="157"/>
      <c r="AW82" s="158"/>
      <c r="AX82" s="113"/>
      <c r="AY82" s="146"/>
      <c r="AZ82" s="147"/>
      <c r="BA82" s="49"/>
      <c r="BB82" s="55"/>
      <c r="BC82" s="55"/>
      <c r="BD82" s="55"/>
      <c r="BE82" s="55"/>
      <c r="BF82" s="55"/>
      <c r="BG82" s="55"/>
      <c r="BH82" s="55"/>
      <c r="BI82" s="55"/>
      <c r="BJ82" s="55"/>
      <c r="BK82" s="55"/>
      <c r="BL82" s="55"/>
      <c r="BM82" s="55"/>
      <c r="BN82" s="91"/>
      <c r="BO82" s="91"/>
      <c r="BP82" s="91"/>
      <c r="BQ82" s="91"/>
      <c r="BR82" s="55"/>
      <c r="BS82" s="55"/>
      <c r="BT82" s="91"/>
      <c r="BU82" s="91"/>
      <c r="BV82" s="91"/>
      <c r="BW82" s="91"/>
      <c r="BX82" s="91"/>
      <c r="BY82" s="91"/>
      <c r="BZ82" s="91"/>
      <c r="CA82" s="91"/>
      <c r="CB82" s="91"/>
      <c r="CC82" s="91"/>
      <c r="CD82" s="91"/>
      <c r="CE82" s="91"/>
      <c r="CF82" s="91"/>
      <c r="CG82" s="91"/>
      <c r="CH82" s="91"/>
      <c r="CI82" s="91"/>
      <c r="CJ82" s="91"/>
      <c r="CK82" s="91"/>
      <c r="CL82" s="91"/>
      <c r="CM82" s="91"/>
      <c r="CN82" s="91"/>
      <c r="CO82" s="91"/>
      <c r="CP82" s="91"/>
      <c r="CQ82" s="91"/>
      <c r="CR82" s="91"/>
      <c r="CS82" s="91"/>
      <c r="CT82" s="91"/>
      <c r="CU82" s="91"/>
      <c r="CV82" s="91"/>
      <c r="CW82" s="55"/>
      <c r="CX82" s="91"/>
      <c r="CY82" s="55"/>
      <c r="CZ82" s="55"/>
      <c r="DA82" s="55"/>
      <c r="DB82" s="55"/>
      <c r="DC82" s="55"/>
      <c r="DD82" s="55"/>
      <c r="DE82" s="55"/>
      <c r="DF82" s="55"/>
      <c r="DG82" s="55"/>
      <c r="DH82" s="55"/>
      <c r="DI82" s="55"/>
      <c r="DJ82" s="55"/>
      <c r="DK82" s="55"/>
      <c r="DL82" s="55"/>
      <c r="DM82" s="55"/>
      <c r="DN82" s="55"/>
      <c r="DO82" s="55"/>
      <c r="DP82" s="55"/>
      <c r="DQ82" s="55"/>
      <c r="DR82" s="55"/>
      <c r="DS82" s="55"/>
      <c r="DT82" s="55" t="str">
        <f aca="false">AA82&amp;"-"&amp;AF82</f>
        <v>-</v>
      </c>
      <c r="DU82" s="55"/>
      <c r="DV82" s="55"/>
      <c r="DW82" s="57"/>
    </row>
    <row r="83" customFormat="false" ht="15" hidden="false" customHeight="false" outlineLevel="0" collapsed="false">
      <c r="A83" s="39"/>
      <c r="B83" s="72"/>
      <c r="C83" s="39"/>
      <c r="D83" s="39"/>
      <c r="E83" s="39"/>
      <c r="F83" s="39"/>
      <c r="G83" s="39"/>
      <c r="H83" s="39"/>
      <c r="I83" s="39"/>
      <c r="J83" s="39"/>
      <c r="K83" s="39"/>
      <c r="L83" s="39"/>
      <c r="M83" s="39"/>
      <c r="N83" s="55"/>
      <c r="O83" s="55"/>
      <c r="P83" s="55"/>
      <c r="Q83" s="55"/>
      <c r="R83" s="55"/>
      <c r="S83" s="55"/>
      <c r="T83" s="55"/>
      <c r="U83" s="55"/>
      <c r="V83" s="46"/>
      <c r="W83" s="59"/>
      <c r="X83" s="60" t="str">
        <f aca="false">X3</f>
        <v>Fecha</v>
      </c>
      <c r="Y83" s="60" t="str">
        <f aca="false">Y3</f>
        <v>Hora</v>
      </c>
      <c r="Z83" s="61" t="str">
        <f aca="false">Z3</f>
        <v>Jor.</v>
      </c>
      <c r="AA83" s="62" t="str">
        <f aca="false">AA3</f>
        <v>Casa</v>
      </c>
      <c r="AB83" s="61"/>
      <c r="AC83" s="61" t="str">
        <f aca="false">AC3</f>
        <v>Gol</v>
      </c>
      <c r="AD83" s="61" t="str">
        <f aca="false">AD3</f>
        <v>Gol</v>
      </c>
      <c r="AE83" s="61"/>
      <c r="AF83" s="64" t="str">
        <f aca="false">AF3</f>
        <v>Fuera</v>
      </c>
      <c r="AG83" s="159"/>
      <c r="AH83" s="84"/>
      <c r="AI83" s="50"/>
      <c r="AJ83" s="66"/>
      <c r="AK83" s="160"/>
      <c r="AL83" s="66"/>
      <c r="AM83" s="66"/>
      <c r="AN83" s="66"/>
      <c r="AO83" s="66"/>
      <c r="AP83" s="66"/>
      <c r="AQ83" s="66"/>
      <c r="AR83" s="66"/>
      <c r="AS83" s="66"/>
      <c r="AT83" s="66"/>
      <c r="AU83" s="161"/>
      <c r="AV83" s="51"/>
      <c r="AW83" s="162"/>
      <c r="AX83" s="163"/>
      <c r="AY83" s="146"/>
      <c r="AZ83" s="147"/>
      <c r="BA83" s="49"/>
      <c r="BB83" s="55"/>
      <c r="BC83" s="55"/>
      <c r="BD83" s="55"/>
      <c r="BE83" s="55"/>
      <c r="BF83" s="55"/>
      <c r="BG83" s="55"/>
      <c r="BH83" s="55"/>
      <c r="BI83" s="55"/>
      <c r="BJ83" s="55"/>
      <c r="BK83" s="55"/>
      <c r="BL83" s="55"/>
      <c r="BM83" s="55"/>
      <c r="BN83" s="55"/>
      <c r="BO83" s="55"/>
      <c r="BP83" s="55"/>
      <c r="BQ83" s="55"/>
      <c r="BR83" s="55"/>
      <c r="BS83" s="55"/>
      <c r="BT83" s="55"/>
      <c r="BU83" s="55"/>
      <c r="BV83" s="55"/>
      <c r="BW83" s="55"/>
      <c r="BX83" s="55"/>
      <c r="BY83" s="55"/>
      <c r="BZ83" s="55"/>
      <c r="CA83" s="55"/>
      <c r="CB83" s="55"/>
      <c r="CC83" s="55"/>
      <c r="CD83" s="55"/>
      <c r="CE83" s="55"/>
      <c r="CF83" s="55"/>
      <c r="CG83" s="55"/>
      <c r="CH83" s="55"/>
      <c r="CI83" s="55"/>
      <c r="CJ83" s="55"/>
      <c r="CK83" s="55"/>
      <c r="CL83" s="55"/>
      <c r="CM83" s="55"/>
      <c r="CN83" s="55"/>
      <c r="CO83" s="55"/>
      <c r="CP83" s="55"/>
      <c r="CQ83" s="55"/>
      <c r="CR83" s="55"/>
      <c r="CS83" s="55"/>
      <c r="CT83" s="55"/>
      <c r="CU83" s="55"/>
      <c r="CV83" s="55"/>
      <c r="CW83" s="55"/>
      <c r="CX83" s="55"/>
      <c r="CY83" s="55"/>
      <c r="CZ83" s="55"/>
      <c r="DA83" s="55"/>
      <c r="DB83" s="55"/>
      <c r="DC83" s="55"/>
      <c r="DD83" s="55"/>
      <c r="DE83" s="55"/>
      <c r="DF83" s="55"/>
      <c r="DG83" s="55"/>
      <c r="DH83" s="55"/>
      <c r="DI83" s="55"/>
      <c r="DJ83" s="55"/>
      <c r="DK83" s="55"/>
      <c r="DL83" s="55"/>
      <c r="DM83" s="55"/>
      <c r="DN83" s="55"/>
      <c r="DO83" s="55"/>
      <c r="DP83" s="55"/>
      <c r="DQ83" s="55"/>
      <c r="DR83" s="55"/>
      <c r="DS83" s="55"/>
      <c r="DT83" s="55" t="str">
        <f aca="false">AA83&amp;"-"&amp;AF83</f>
        <v>Casa-Fuera</v>
      </c>
      <c r="DU83" s="55"/>
      <c r="DV83" s="55"/>
      <c r="DW83" s="57"/>
    </row>
    <row r="84" customFormat="false" ht="15" hidden="false" customHeight="true" outlineLevel="0" collapsed="false">
      <c r="A84" s="71" t="s">
        <v>23</v>
      </c>
      <c r="B84" s="72" t="s">
        <v>136</v>
      </c>
      <c r="C84" s="44" t="n">
        <f aca="false">COUNTIF(Equipos!$C$2:$C$49,WORLDCUP!B84)</f>
        <v>4</v>
      </c>
      <c r="D84" s="55" t="str">
        <f aca="false">IF(OR(AC84="",AD84=""),"Pendiente",IF(AC84&gt;AD84,"Local",IF(AC84&lt;AD84,"Visitante","Empate")))</f>
        <v>Pendiente</v>
      </c>
      <c r="E84" s="55" t="str">
        <f aca="false">IF(D84="Pendiente","-",INDEX($BT$6:$BT$53,MATCH($AA84,$BD$6:$BD$53,0)))</f>
        <v>-</v>
      </c>
      <c r="F84" s="55" t="str">
        <f aca="false">IF(D84="Pendiente","-",INDEX($BT$6:$BT$53,MATCH($AF84,$BD$6:$BD$53,0)))</f>
        <v>-</v>
      </c>
      <c r="G84" s="55"/>
      <c r="H84" s="55" t="str">
        <f aca="false">IF(D84="Pendiente","-",INDEX($BZ$6:$BZ$53,MATCH($AA84,$BD$6:$BD$53,0)))</f>
        <v>-</v>
      </c>
      <c r="I84" s="55" t="str">
        <f aca="false">IF(D84="Pendiente","-",INDEX($BZ$6:$BZ$53,MATCH($AF84,$BD$6:$BD$53,0)))</f>
        <v>-</v>
      </c>
      <c r="J84" s="55"/>
      <c r="K84" s="55" t="str">
        <f aca="false">IF(D84="Pendiente","-",INDEX($CE$6:$CE$53,MATCH($AA84,$BD$6:$BD$53,0)))</f>
        <v>-</v>
      </c>
      <c r="L84" s="55" t="str">
        <f aca="false">IF(D84="Pendiente","-",INDEX($CE$6:$CE$53,MATCH($AF84,$BD$6:$BD$53,0)))</f>
        <v>-</v>
      </c>
      <c r="M84" s="55"/>
      <c r="N84" s="55" t="str">
        <f aca="false">IF(D84="Pendiente","-",INDEX($CH$6:$CH$53,MATCH($AA84,$BD$6:$BD$53,0)))</f>
        <v>-</v>
      </c>
      <c r="O84" s="55" t="str">
        <f aca="false">IF(D84="Pendiente","-",INDEX($CH$6:$CH$53,MATCH($AF84,$BD$6:$BD$53,0)))</f>
        <v>-</v>
      </c>
      <c r="P84" s="55"/>
      <c r="Q84" s="55" t="str">
        <f aca="false">IF(D84="Pendiente","-",INDEX($CN$6:$CN$53,MATCH($AA84,$BD$6:$BD$53,0)))</f>
        <v>-</v>
      </c>
      <c r="R84" s="55" t="str">
        <f aca="false">IF(D84="Pendiente","-",INDEX($CN$6:$CN$53,MATCH($AF84,$BD$6:$BD$53,0)))</f>
        <v>-</v>
      </c>
      <c r="S84" s="55"/>
      <c r="T84" s="55" t="str">
        <f aca="false">IF(D84="Pendiente","-",INDEX($CS$6:$CS$53,MATCH($AA84,$BD$6:$BD$53,0)))</f>
        <v>-</v>
      </c>
      <c r="U84" s="55" t="str">
        <f aca="false">IF(D84="Pendiente","-",INDEX($CS$6:$CS$53,MATCH($AF84,$BD$6:$BD$53,0)))</f>
        <v>-</v>
      </c>
      <c r="V84" s="46"/>
      <c r="W84" s="196" t="s">
        <v>136</v>
      </c>
      <c r="X84" s="74" t="n">
        <f aca="false">Horarios!C84</f>
        <v>46190.7916666667</v>
      </c>
      <c r="Y84" s="75" t="n">
        <f aca="false">Horarios!C84</f>
        <v>46190.7916666667</v>
      </c>
      <c r="Z84" s="76" t="str">
        <f aca="false">$Z$4</f>
        <v>J1</v>
      </c>
      <c r="AA84" s="77" t="str">
        <f aca="false">A85</f>
        <v>Portugal</v>
      </c>
      <c r="AB84" s="165" t="str">
        <f aca="true" t="array" ref="AB84:AB84">Ver_flag_local</f>
        <v/>
      </c>
      <c r="AC84" s="79"/>
      <c r="AD84" s="80"/>
      <c r="AE84" s="81" t="str">
        <f aca="true" t="array" ref="AE84:AE84">Ver_flag_visit</f>
        <v/>
      </c>
      <c r="AF84" s="82" t="str">
        <f aca="false">A86</f>
        <v>RD Congo</v>
      </c>
      <c r="AG84" s="83" t="n">
        <f aca="false">IF(NOT(OR(ISBLANK(AC84),ISBLANK(AD84))),1,0)</f>
        <v>0</v>
      </c>
      <c r="AH84" s="84" t="n">
        <v>23</v>
      </c>
      <c r="AI84" s="85"/>
      <c r="AJ84" s="86" t="str">
        <f aca="false">CONCATENATE(AJ3," ",B84)</f>
        <v>Grupo K</v>
      </c>
      <c r="AK84" s="86"/>
      <c r="AL84" s="86"/>
      <c r="AM84" s="86"/>
      <c r="AN84" s="86"/>
      <c r="AO84" s="86"/>
      <c r="AP84" s="86"/>
      <c r="AQ84" s="86"/>
      <c r="AR84" s="86"/>
      <c r="AS84" s="86"/>
      <c r="AT84" s="86"/>
      <c r="AU84" s="161"/>
      <c r="AV84" s="87" t="str">
        <f aca="false">IF(AU85&gt;0,$AV$3,"")</f>
        <v/>
      </c>
      <c r="AW84" s="97"/>
      <c r="AX84" s="168"/>
      <c r="AY84" s="146"/>
      <c r="AZ84" s="147"/>
      <c r="BA84" s="49"/>
      <c r="BB84" s="55"/>
      <c r="BC84" s="55"/>
      <c r="BD84" s="55"/>
      <c r="BE84" s="55"/>
      <c r="BF84" s="55"/>
      <c r="BG84" s="55"/>
      <c r="BH84" s="55"/>
      <c r="BI84" s="55"/>
      <c r="BJ84" s="55"/>
      <c r="BK84" s="55"/>
      <c r="BL84" s="55"/>
      <c r="BM84" s="55"/>
      <c r="BN84" s="55"/>
      <c r="BO84" s="55"/>
      <c r="BP84" s="55"/>
      <c r="BQ84" s="55"/>
      <c r="BR84" s="55"/>
      <c r="BS84" s="55"/>
      <c r="BT84" s="55"/>
      <c r="BU84" s="55"/>
      <c r="BV84" s="55"/>
      <c r="BW84" s="55"/>
      <c r="BX84" s="55"/>
      <c r="BY84" s="55"/>
      <c r="BZ84" s="55"/>
      <c r="CA84" s="55"/>
      <c r="CB84" s="55"/>
      <c r="CC84" s="55"/>
      <c r="CD84" s="55"/>
      <c r="CE84" s="55"/>
      <c r="CF84" s="55"/>
      <c r="CG84" s="55"/>
      <c r="CH84" s="55"/>
      <c r="CI84" s="55"/>
      <c r="CJ84" s="55"/>
      <c r="CK84" s="55"/>
      <c r="CL84" s="55"/>
      <c r="CM84" s="55"/>
      <c r="CN84" s="55"/>
      <c r="CO84" s="55"/>
      <c r="CP84" s="55"/>
      <c r="CQ84" s="55"/>
      <c r="CR84" s="55"/>
      <c r="CS84" s="55"/>
      <c r="CT84" s="55"/>
      <c r="CU84" s="55"/>
      <c r="CV84" s="55"/>
      <c r="CW84" s="55"/>
      <c r="CX84" s="91"/>
      <c r="CY84" s="55"/>
      <c r="CZ84" s="55"/>
      <c r="DA84" s="55"/>
      <c r="DB84" s="55"/>
      <c r="DC84" s="55"/>
      <c r="DD84" s="55"/>
      <c r="DE84" s="55"/>
      <c r="DF84" s="55"/>
      <c r="DG84" s="55"/>
      <c r="DH84" s="55"/>
      <c r="DI84" s="55"/>
      <c r="DJ84" s="55"/>
      <c r="DK84" s="55"/>
      <c r="DL84" s="55"/>
      <c r="DM84" s="55"/>
      <c r="DN84" s="55"/>
      <c r="DO84" s="55"/>
      <c r="DP84" s="55"/>
      <c r="DQ84" s="55"/>
      <c r="DR84" s="55"/>
      <c r="DS84" s="55"/>
      <c r="DT84" s="55" t="str">
        <f aca="false">AA84&amp;"-"&amp;AF84</f>
        <v>Portugal-RD Congo</v>
      </c>
      <c r="DU84" s="55"/>
      <c r="DV84" s="55"/>
      <c r="DW84" s="57"/>
    </row>
    <row r="85" customFormat="false" ht="15.75" hidden="false" customHeight="true" outlineLevel="0" collapsed="false">
      <c r="A85" s="92" t="str">
        <f aca="false">+Equipos!B42</f>
        <v>Portugal</v>
      </c>
      <c r="B85" s="72"/>
      <c r="C85" s="72"/>
      <c r="D85" s="55" t="str">
        <f aca="false">IF(OR(AC85="",AD85=""),"Pendiente",IF(AC85&gt;AD85,"Local",IF(AC85&lt;AD85,"Visitante","Empate")))</f>
        <v>Pendiente</v>
      </c>
      <c r="E85" s="55" t="str">
        <f aca="false">IF(D85="Pendiente","-",INDEX($BT$6:$BT$53,MATCH($AA85,$BD$6:$BD$53,0)))</f>
        <v>-</v>
      </c>
      <c r="F85" s="55" t="str">
        <f aca="false">IF(D85="Pendiente","-",INDEX($BT$6:$BT$53,MATCH($AF85,$BD$6:$BD$53,0)))</f>
        <v>-</v>
      </c>
      <c r="G85" s="55"/>
      <c r="H85" s="55" t="str">
        <f aca="false">IF(D85="Pendiente","-",INDEX($BZ$6:$BZ$53,MATCH($AA85,$BD$6:$BD$53,0)))</f>
        <v>-</v>
      </c>
      <c r="I85" s="55" t="str">
        <f aca="false">IF(D85="Pendiente","-",INDEX($BZ$6:$BZ$53,MATCH($AF85,$BD$6:$BD$53,0)))</f>
        <v>-</v>
      </c>
      <c r="J85" s="55"/>
      <c r="K85" s="55" t="str">
        <f aca="false">IF(D85="Pendiente","-",INDEX($CE$6:$CE$53,MATCH($AA85,$BD$6:$BD$53,0)))</f>
        <v>-</v>
      </c>
      <c r="L85" s="55" t="str">
        <f aca="false">IF(D85="Pendiente","-",INDEX($CE$6:$CE$53,MATCH($AF85,$BD$6:$BD$53,0)))</f>
        <v>-</v>
      </c>
      <c r="M85" s="55"/>
      <c r="N85" s="55" t="str">
        <f aca="false">IF(D85="Pendiente","-",INDEX($CH$6:$CH$53,MATCH($AA85,$BD$6:$BD$53,0)))</f>
        <v>-</v>
      </c>
      <c r="O85" s="55" t="str">
        <f aca="false">IF(D85="Pendiente","-",INDEX($CH$6:$CH$53,MATCH($AF85,$BD$6:$BD$53,0)))</f>
        <v>-</v>
      </c>
      <c r="P85" s="55"/>
      <c r="Q85" s="55" t="str">
        <f aca="false">IF(D85="Pendiente","-",INDEX($CN$6:$CN$53,MATCH($AA85,$BD$6:$BD$53,0)))</f>
        <v>-</v>
      </c>
      <c r="R85" s="55" t="str">
        <f aca="false">IF(D85="Pendiente","-",INDEX($CN$6:$CN$53,MATCH($AF85,$BD$6:$BD$53,0)))</f>
        <v>-</v>
      </c>
      <c r="S85" s="55"/>
      <c r="T85" s="55" t="str">
        <f aca="false">IF(D85="Pendiente","-",INDEX($CS$6:$CS$53,MATCH($AA85,$BD$6:$BD$53,0)))</f>
        <v>-</v>
      </c>
      <c r="U85" s="55" t="str">
        <f aca="false">IF(D85="Pendiente","-",INDEX($CS$6:$CS$53,MATCH($AF85,$BD$6:$BD$53,0)))</f>
        <v>-</v>
      </c>
      <c r="V85" s="46"/>
      <c r="W85" s="196"/>
      <c r="X85" s="74" t="n">
        <f aca="false">Horarios!C85</f>
        <v>46191.1666666667</v>
      </c>
      <c r="Y85" s="75" t="n">
        <f aca="false">Horarios!C85</f>
        <v>46191.1666666667</v>
      </c>
      <c r="Z85" s="76" t="str">
        <f aca="false">$Z$4</f>
        <v>J1</v>
      </c>
      <c r="AA85" s="77" t="str">
        <f aca="false">A87</f>
        <v>Uzbekistán</v>
      </c>
      <c r="AB85" s="165" t="str">
        <f aca="true" t="array" ref="AB85:AB85">Ver_flag_local</f>
        <v/>
      </c>
      <c r="AC85" s="79"/>
      <c r="AD85" s="80"/>
      <c r="AE85" s="81" t="str">
        <f aca="true" t="array" ref="AE85:AE85">Ver_flag_visit</f>
        <v/>
      </c>
      <c r="AF85" s="82" t="str">
        <f aca="false">A88</f>
        <v>Colombia</v>
      </c>
      <c r="AG85" s="83" t="n">
        <f aca="false">IF(NOT(OR(ISBLANK(AC85),ISBLANK(AD85))),1,0)</f>
        <v>0</v>
      </c>
      <c r="AH85" s="84" t="n">
        <v>24</v>
      </c>
      <c r="AI85" s="85"/>
      <c r="AJ85" s="93" t="str">
        <f aca="false">AJ5</f>
        <v>Pos</v>
      </c>
      <c r="AK85" s="94"/>
      <c r="AL85" s="95" t="str">
        <f aca="false">AL5</f>
        <v>Selección</v>
      </c>
      <c r="AM85" s="94" t="str">
        <f aca="false">AM5</f>
        <v>Pts</v>
      </c>
      <c r="AN85" s="94" t="str">
        <f aca="false">AN5</f>
        <v>J</v>
      </c>
      <c r="AO85" s="94" t="str">
        <f aca="false">AO5</f>
        <v>G</v>
      </c>
      <c r="AP85" s="94" t="str">
        <f aca="false">AP5</f>
        <v>E</v>
      </c>
      <c r="AQ85" s="94" t="str">
        <f aca="false">AQ5</f>
        <v>P</v>
      </c>
      <c r="AR85" s="94" t="str">
        <f aca="false">AR5</f>
        <v>GF</v>
      </c>
      <c r="AS85" s="94" t="str">
        <f aca="false">AS5</f>
        <v>GC</v>
      </c>
      <c r="AT85" s="96" t="str">
        <f aca="false">AT5</f>
        <v>DG</v>
      </c>
      <c r="AU85" s="161" t="n">
        <f aca="false">COUNTIF(AU86:AU89,"&gt;1")</f>
        <v>0</v>
      </c>
      <c r="AV85" s="97"/>
      <c r="AW85" s="97"/>
      <c r="AX85" s="168"/>
      <c r="AY85" s="98" t="str">
        <f aca="false">AL85</f>
        <v>Selección</v>
      </c>
      <c r="AZ85" s="99" t="str">
        <f aca="false">+Idiomas!$D$69</f>
        <v>Puntos penalizados</v>
      </c>
      <c r="BA85" s="49"/>
      <c r="BB85" s="55"/>
      <c r="BC85" s="55"/>
      <c r="BD85" s="55"/>
      <c r="BE85" s="55"/>
      <c r="BF85" s="55"/>
      <c r="BG85" s="55"/>
      <c r="BH85" s="55"/>
      <c r="BI85" s="55"/>
      <c r="BJ85" s="55"/>
      <c r="BK85" s="55"/>
      <c r="BL85" s="55"/>
      <c r="BM85" s="55"/>
      <c r="BN85" s="195"/>
      <c r="BO85" s="195"/>
      <c r="BP85" s="195"/>
      <c r="BQ85" s="195"/>
      <c r="BR85" s="55"/>
      <c r="BS85" s="55"/>
      <c r="BT85" s="195"/>
      <c r="BU85" s="195"/>
      <c r="BV85" s="195"/>
      <c r="BW85" s="195"/>
      <c r="BX85" s="195"/>
      <c r="BY85" s="195"/>
      <c r="BZ85" s="195"/>
      <c r="CA85" s="195"/>
      <c r="CB85" s="195"/>
      <c r="CC85" s="195"/>
      <c r="CD85" s="195"/>
      <c r="CE85" s="195"/>
      <c r="CF85" s="195"/>
      <c r="CG85" s="195"/>
      <c r="CH85" s="195"/>
      <c r="CI85" s="195"/>
      <c r="CJ85" s="195"/>
      <c r="CK85" s="195"/>
      <c r="CL85" s="195"/>
      <c r="CM85" s="195"/>
      <c r="CN85" s="195"/>
      <c r="CO85" s="195"/>
      <c r="CP85" s="195"/>
      <c r="CQ85" s="195"/>
      <c r="CR85" s="195"/>
      <c r="CS85" s="195"/>
      <c r="CT85" s="195"/>
      <c r="CU85" s="195"/>
      <c r="CV85" s="195"/>
      <c r="CW85" s="55"/>
      <c r="CX85" s="195"/>
      <c r="CY85" s="55"/>
      <c r="CZ85" s="55"/>
      <c r="DA85" s="55"/>
      <c r="DB85" s="55"/>
      <c r="DC85" s="55"/>
      <c r="DD85" s="55"/>
      <c r="DE85" s="55"/>
      <c r="DF85" s="55"/>
      <c r="DG85" s="55"/>
      <c r="DH85" s="55"/>
      <c r="DI85" s="55"/>
      <c r="DJ85" s="55"/>
      <c r="DK85" s="55"/>
      <c r="DL85" s="55"/>
      <c r="DM85" s="55"/>
      <c r="DN85" s="55"/>
      <c r="DO85" s="55"/>
      <c r="DP85" s="55"/>
      <c r="DQ85" s="55"/>
      <c r="DR85" s="55"/>
      <c r="DS85" s="55"/>
      <c r="DT85" s="55" t="str">
        <f aca="false">AA85&amp;"-"&amp;AF85</f>
        <v>Uzbekistán-Colombia</v>
      </c>
      <c r="DU85" s="55"/>
      <c r="DV85" s="55"/>
      <c r="DW85" s="57"/>
    </row>
    <row r="86" customFormat="false" ht="15.75" hidden="false" customHeight="true" outlineLevel="0" collapsed="false">
      <c r="A86" s="92" t="str">
        <f aca="false">+Equipos!B43</f>
        <v>RD Congo</v>
      </c>
      <c r="B86" s="72"/>
      <c r="C86" s="103"/>
      <c r="D86" s="55" t="str">
        <f aca="false">IF(OR(AC86="",AD86=""),"Pendiente",IF(AC86&gt;AD86,"Local",IF(AC86&lt;AD86,"Visitante","Empate")))</f>
        <v>Pendiente</v>
      </c>
      <c r="E86" s="55" t="str">
        <f aca="false">IF(D86="Pendiente","-",INDEX($BT$6:$BT$53,MATCH($AA86,$BD$6:$BD$53,0)))</f>
        <v>-</v>
      </c>
      <c r="F86" s="55" t="str">
        <f aca="false">IF(D86="Pendiente","-",INDEX($BT$6:$BT$53,MATCH($AF86,$BD$6:$BD$53,0)))</f>
        <v>-</v>
      </c>
      <c r="G86" s="55"/>
      <c r="H86" s="55" t="str">
        <f aca="false">IF(D86="Pendiente","-",INDEX($BZ$6:$BZ$53,MATCH($AA86,$BD$6:$BD$53,0)))</f>
        <v>-</v>
      </c>
      <c r="I86" s="55" t="str">
        <f aca="false">IF(D86="Pendiente","-",INDEX($BZ$6:$BZ$53,MATCH($AF86,$BD$6:$BD$53,0)))</f>
        <v>-</v>
      </c>
      <c r="J86" s="55"/>
      <c r="K86" s="55" t="str">
        <f aca="false">IF(D86="Pendiente","-",INDEX($CE$6:$CE$53,MATCH($AA86,$BD$6:$BD$53,0)))</f>
        <v>-</v>
      </c>
      <c r="L86" s="55" t="str">
        <f aca="false">IF(D86="Pendiente","-",INDEX($CE$6:$CE$53,MATCH($AF86,$BD$6:$BD$53,0)))</f>
        <v>-</v>
      </c>
      <c r="M86" s="55"/>
      <c r="N86" s="55" t="str">
        <f aca="false">IF(D86="Pendiente","-",INDEX($CH$6:$CH$53,MATCH($AA86,$BD$6:$BD$53,0)))</f>
        <v>-</v>
      </c>
      <c r="O86" s="55" t="str">
        <f aca="false">IF(D86="Pendiente","-",INDEX($CH$6:$CH$53,MATCH($AF86,$BD$6:$BD$53,0)))</f>
        <v>-</v>
      </c>
      <c r="P86" s="55"/>
      <c r="Q86" s="55" t="str">
        <f aca="false">IF(D86="Pendiente","-",INDEX($CN$6:$CN$53,MATCH($AA86,$BD$6:$BD$53,0)))</f>
        <v>-</v>
      </c>
      <c r="R86" s="55" t="str">
        <f aca="false">IF(D86="Pendiente","-",INDEX($CN$6:$CN$53,MATCH($AF86,$BD$6:$BD$53,0)))</f>
        <v>-</v>
      </c>
      <c r="S86" s="55"/>
      <c r="T86" s="55" t="str">
        <f aca="false">IF(D86="Pendiente","-",INDEX($CS$6:$CS$53,MATCH($AA86,$BD$6:$BD$53,0)))</f>
        <v>-</v>
      </c>
      <c r="U86" s="55" t="str">
        <f aca="false">IF(D86="Pendiente","-",INDEX($CS$6:$CS$53,MATCH($AF86,$BD$6:$BD$53,0)))</f>
        <v>-</v>
      </c>
      <c r="V86" s="46"/>
      <c r="W86" s="196"/>
      <c r="X86" s="74" t="n">
        <f aca="false">Horarios!C86</f>
        <v>46196.7916666667</v>
      </c>
      <c r="Y86" s="75" t="n">
        <f aca="false">Horarios!C86</f>
        <v>46196.7916666667</v>
      </c>
      <c r="Z86" s="76" t="str">
        <f aca="false">$Z$6</f>
        <v>J2</v>
      </c>
      <c r="AA86" s="77" t="str">
        <f aca="false">A85</f>
        <v>Portugal</v>
      </c>
      <c r="AB86" s="165" t="str">
        <f aca="true" t="array" ref="AB86:AB86">Ver_flag_local</f>
        <v/>
      </c>
      <c r="AC86" s="79"/>
      <c r="AD86" s="80"/>
      <c r="AE86" s="81" t="str">
        <f aca="true" t="array" ref="AE86:AE86">Ver_flag_visit</f>
        <v/>
      </c>
      <c r="AF86" s="82" t="str">
        <f aca="false">A87</f>
        <v>Uzbekistán</v>
      </c>
      <c r="AG86" s="83" t="n">
        <f aca="false">IF(NOT(OR(ISBLANK(AC86),ISBLANK(AD86))),1,0)</f>
        <v>0</v>
      </c>
      <c r="AH86" s="84" t="n">
        <v>47</v>
      </c>
      <c r="AI86" s="85" t="str">
        <f aca="false">AJ86&amp;$B$84</f>
        <v>1K</v>
      </c>
      <c r="AJ86" s="104" t="n">
        <v>1</v>
      </c>
      <c r="AK86" s="170" t="str">
        <f aca="true" t="array" ref="AK86:AK86">Ver_flag_visit</f>
        <v/>
      </c>
      <c r="AL86" s="106" t="str">
        <f aca="false">IFERROR(INDEX($BD$6:$BD$53,MATCH(AI86,$BN$6:$BN$53,0)),"")</f>
        <v>Portugal</v>
      </c>
      <c r="AM86" s="107" t="n">
        <f aca="false">INDEX($BE$6:$BN$53,MATCH($AL86,$BD$6:$BD$53,0),MATCH(AM$5,$BE$5:$BN$5,0))</f>
        <v>0</v>
      </c>
      <c r="AN86" s="108" t="n">
        <f aca="false">INDEX($BE$6:$BN$53,MATCH($AL86,$BD$6:$BD$53,0),MATCH(AN$5,$BE$5:$BN$5,0))</f>
        <v>0</v>
      </c>
      <c r="AO86" s="108" t="n">
        <f aca="false">INDEX($BE$6:$BN$53,MATCH($AL86,$BD$6:$BD$53,0),MATCH(AO$5,$BE$5:$BN$5,0))</f>
        <v>0</v>
      </c>
      <c r="AP86" s="108" t="n">
        <f aca="false">INDEX($BE$6:$BN$53,MATCH($AL86,$BD$6:$BD$53,0),MATCH(AP$5,$BE$5:$BN$5,0))</f>
        <v>0</v>
      </c>
      <c r="AQ86" s="108" t="n">
        <f aca="false">INDEX($BE$6:$BN$53,MATCH($AL86,$BD$6:$BD$53,0),MATCH(AQ$5,$BE$5:$BN$5,0))</f>
        <v>0</v>
      </c>
      <c r="AR86" s="108" t="n">
        <f aca="false">INDEX($BE$6:$BN$53,MATCH($AL86,$BD$6:$BD$53,0),MATCH(AR$5,$BE$5:$BN$5,0))</f>
        <v>0</v>
      </c>
      <c r="AS86" s="108" t="n">
        <f aca="false">INDEX($BE$6:$BN$53,MATCH($AL86,$BD$6:$BD$53,0),MATCH(AS$5,$BE$5:$BN$5,0))</f>
        <v>0</v>
      </c>
      <c r="AT86" s="109" t="n">
        <f aca="false">INDEX($BE$6:$BN$53,MATCH($AL86,$BD$6:$BD$53,0),MATCH(AT$5,$BE$5:$BN$5,0))</f>
        <v>0</v>
      </c>
      <c r="AU86" s="110" t="n">
        <f aca="false">INDEX($DL$6:$DL$53,MATCH(AI86,$DP$6:$DP$53,0))</f>
        <v>1</v>
      </c>
      <c r="AV86" s="111" t="str">
        <f aca="false">INDEX($BD$6:$BD$53,MATCH(AI86,$BM$6:$BM$53,0))</f>
        <v>Portugal</v>
      </c>
      <c r="AW86" s="112"/>
      <c r="AX86" s="113"/>
      <c r="AY86" s="114" t="str">
        <f aca="false">+A85</f>
        <v>Portugal</v>
      </c>
      <c r="AZ86" s="115"/>
      <c r="BA86" s="49"/>
      <c r="BB86" s="55"/>
      <c r="BC86" s="55"/>
      <c r="BD86" s="55"/>
      <c r="BE86" s="55"/>
      <c r="BF86" s="55"/>
      <c r="BG86" s="55"/>
      <c r="BH86" s="55"/>
      <c r="BI86" s="55"/>
      <c r="BJ86" s="55"/>
      <c r="BK86" s="55"/>
      <c r="BL86" s="55"/>
      <c r="BM86" s="55"/>
      <c r="BN86" s="91"/>
      <c r="BO86" s="91"/>
      <c r="BP86" s="91"/>
      <c r="BQ86" s="91"/>
      <c r="BR86" s="55"/>
      <c r="BS86" s="55"/>
      <c r="BT86" s="91"/>
      <c r="BU86" s="91"/>
      <c r="BV86" s="91"/>
      <c r="BW86" s="91"/>
      <c r="BX86" s="91"/>
      <c r="BY86" s="91"/>
      <c r="BZ86" s="91"/>
      <c r="CA86" s="91"/>
      <c r="CB86" s="91"/>
      <c r="CC86" s="91"/>
      <c r="CD86" s="91"/>
      <c r="CE86" s="91"/>
      <c r="CF86" s="91"/>
      <c r="CG86" s="91"/>
      <c r="CH86" s="91"/>
      <c r="CI86" s="91"/>
      <c r="CJ86" s="91"/>
      <c r="CK86" s="91"/>
      <c r="CL86" s="91"/>
      <c r="CM86" s="91"/>
      <c r="CN86" s="91"/>
      <c r="CO86" s="91"/>
      <c r="CP86" s="91"/>
      <c r="CQ86" s="91"/>
      <c r="CR86" s="91"/>
      <c r="CS86" s="91"/>
      <c r="CT86" s="91"/>
      <c r="CU86" s="91"/>
      <c r="CV86" s="91"/>
      <c r="CW86" s="55"/>
      <c r="CX86" s="91"/>
      <c r="CY86" s="55"/>
      <c r="CZ86" s="55"/>
      <c r="DA86" s="55"/>
      <c r="DB86" s="55"/>
      <c r="DC86" s="55"/>
      <c r="DD86" s="55"/>
      <c r="DE86" s="55"/>
      <c r="DF86" s="55"/>
      <c r="DG86" s="55"/>
      <c r="DH86" s="55"/>
      <c r="DI86" s="55"/>
      <c r="DJ86" s="55"/>
      <c r="DK86" s="55"/>
      <c r="DL86" s="55"/>
      <c r="DM86" s="55"/>
      <c r="DN86" s="55"/>
      <c r="DO86" s="55"/>
      <c r="DP86" s="55"/>
      <c r="DQ86" s="55"/>
      <c r="DR86" s="55"/>
      <c r="DS86" s="55"/>
      <c r="DT86" s="55" t="str">
        <f aca="false">AA86&amp;"-"&amp;AF86</f>
        <v>Portugal-Uzbekistán</v>
      </c>
      <c r="DU86" s="55"/>
      <c r="DV86" s="55"/>
      <c r="DW86" s="57"/>
    </row>
    <row r="87" customFormat="false" ht="15.75" hidden="false" customHeight="true" outlineLevel="0" collapsed="false">
      <c r="A87" s="92" t="str">
        <f aca="false">+Equipos!B44</f>
        <v>Uzbekistán</v>
      </c>
      <c r="B87" s="72"/>
      <c r="C87" s="55"/>
      <c r="D87" s="55" t="str">
        <f aca="false">IF(OR(AC87="",AD87=""),"Pendiente",IF(AC87&gt;AD87,"Local",IF(AC87&lt;AD87,"Visitante","Empate")))</f>
        <v>Pendiente</v>
      </c>
      <c r="E87" s="55" t="str">
        <f aca="false">IF(D87="Pendiente","-",INDEX($BT$6:$BT$53,MATCH($AA87,$BD$6:$BD$53,0)))</f>
        <v>-</v>
      </c>
      <c r="F87" s="55" t="str">
        <f aca="false">IF(D87="Pendiente","-",INDEX($BT$6:$BT$53,MATCH($AF87,$BD$6:$BD$53,0)))</f>
        <v>-</v>
      </c>
      <c r="G87" s="55"/>
      <c r="H87" s="55" t="str">
        <f aca="false">IF(D87="Pendiente","-",INDEX($BZ$6:$BZ$53,MATCH($AA87,$BD$6:$BD$53,0)))</f>
        <v>-</v>
      </c>
      <c r="I87" s="55" t="str">
        <f aca="false">IF(D87="Pendiente","-",INDEX($BZ$6:$BZ$53,MATCH($AF87,$BD$6:$BD$53,0)))</f>
        <v>-</v>
      </c>
      <c r="J87" s="55"/>
      <c r="K87" s="55" t="str">
        <f aca="false">IF(D87="Pendiente","-",INDEX($CE$6:$CE$53,MATCH($AA87,$BD$6:$BD$53,0)))</f>
        <v>-</v>
      </c>
      <c r="L87" s="55" t="str">
        <f aca="false">IF(D87="Pendiente","-",INDEX($CE$6:$CE$53,MATCH($AF87,$BD$6:$BD$53,0)))</f>
        <v>-</v>
      </c>
      <c r="M87" s="55"/>
      <c r="N87" s="55" t="str">
        <f aca="false">IF(D87="Pendiente","-",INDEX($CH$6:$CH$53,MATCH($AA87,$BD$6:$BD$53,0)))</f>
        <v>-</v>
      </c>
      <c r="O87" s="55" t="str">
        <f aca="false">IF(D87="Pendiente","-",INDEX($CH$6:$CH$53,MATCH($AF87,$BD$6:$BD$53,0)))</f>
        <v>-</v>
      </c>
      <c r="P87" s="55"/>
      <c r="Q87" s="55" t="str">
        <f aca="false">IF(D87="Pendiente","-",INDEX($CN$6:$CN$53,MATCH($AA87,$BD$6:$BD$53,0)))</f>
        <v>-</v>
      </c>
      <c r="R87" s="55" t="str">
        <f aca="false">IF(D87="Pendiente","-",INDEX($CN$6:$CN$53,MATCH($AF87,$BD$6:$BD$53,0)))</f>
        <v>-</v>
      </c>
      <c r="S87" s="55"/>
      <c r="T87" s="55" t="str">
        <f aca="false">IF(D87="Pendiente","-",INDEX($CS$6:$CS$53,MATCH($AA87,$BD$6:$BD$53,0)))</f>
        <v>-</v>
      </c>
      <c r="U87" s="55" t="str">
        <f aca="false">IF(D87="Pendiente","-",INDEX($CS$6:$CS$53,MATCH($AF87,$BD$6:$BD$53,0)))</f>
        <v>-</v>
      </c>
      <c r="V87" s="46"/>
      <c r="W87" s="196"/>
      <c r="X87" s="74" t="n">
        <f aca="false">Horarios!C87</f>
        <v>46197.1666666667</v>
      </c>
      <c r="Y87" s="75" t="n">
        <f aca="false">Horarios!C87</f>
        <v>46197.1666666667</v>
      </c>
      <c r="Z87" s="76" t="str">
        <f aca="false">$Z$6</f>
        <v>J2</v>
      </c>
      <c r="AA87" s="77" t="str">
        <f aca="false">A88</f>
        <v>Colombia</v>
      </c>
      <c r="AB87" s="165" t="str">
        <f aca="true" t="array" ref="AB87:AB87">Ver_flag_local</f>
        <v/>
      </c>
      <c r="AC87" s="79"/>
      <c r="AD87" s="80"/>
      <c r="AE87" s="81" t="str">
        <f aca="true" t="array" ref="AE87:AE87">Ver_flag_visit</f>
        <v/>
      </c>
      <c r="AF87" s="82" t="str">
        <f aca="false">A86</f>
        <v>RD Congo</v>
      </c>
      <c r="AG87" s="83" t="n">
        <f aca="false">IF(NOT(OR(ISBLANK(AC87),ISBLANK(AD87))),1,0)</f>
        <v>0</v>
      </c>
      <c r="AH87" s="84" t="n">
        <v>48</v>
      </c>
      <c r="AI87" s="85" t="str">
        <f aca="false">AJ87&amp;$B$84</f>
        <v>2K</v>
      </c>
      <c r="AJ87" s="121" t="n">
        <v>2</v>
      </c>
      <c r="AK87" s="173" t="str">
        <f aca="true" t="array" ref="AK87:AK87">Ver_flag_visit</f>
        <v/>
      </c>
      <c r="AL87" s="123" t="str">
        <f aca="false">IFERROR(INDEX($BD$6:$BD$53,MATCH(AI87,$BN$6:$BN$53,0)),"")</f>
        <v>RD Congo</v>
      </c>
      <c r="AM87" s="124" t="n">
        <f aca="false">INDEX($BE$6:$BN$53,MATCH($AL87,$BD$6:$BD$53,0),MATCH(AM$5,$BE$5:$BN$5,0))</f>
        <v>0</v>
      </c>
      <c r="AN87" s="125" t="n">
        <f aca="false">INDEX($BE$6:$BN$53,MATCH($AL87,$BD$6:$BD$53,0),MATCH(AN$5,$BE$5:$BN$5,0))</f>
        <v>0</v>
      </c>
      <c r="AO87" s="125" t="n">
        <f aca="false">INDEX($BE$6:$BN$53,MATCH($AL87,$BD$6:$BD$53,0),MATCH(AO$5,$BE$5:$BN$5,0))</f>
        <v>0</v>
      </c>
      <c r="AP87" s="125" t="n">
        <f aca="false">INDEX($BE$6:$BN$53,MATCH($AL87,$BD$6:$BD$53,0),MATCH(AP$5,$BE$5:$BN$5,0))</f>
        <v>0</v>
      </c>
      <c r="AQ87" s="125" t="n">
        <f aca="false">INDEX($BE$6:$BN$53,MATCH($AL87,$BD$6:$BD$53,0),MATCH(AQ$5,$BE$5:$BN$5,0))</f>
        <v>0</v>
      </c>
      <c r="AR87" s="125" t="n">
        <f aca="false">INDEX($BE$6:$BN$53,MATCH($AL87,$BD$6:$BD$53,0),MATCH(AR$5,$BE$5:$BN$5,0))</f>
        <v>0</v>
      </c>
      <c r="AS87" s="125" t="n">
        <f aca="false">INDEX($BE$6:$BN$53,MATCH($AL87,$BD$6:$BD$53,0),MATCH(AS$5,$BE$5:$BN$5,0))</f>
        <v>0</v>
      </c>
      <c r="AT87" s="126" t="n">
        <f aca="false">INDEX($BE$6:$BN$53,MATCH($AL87,$BD$6:$BD$53,0),MATCH(AT$5,$BE$5:$BN$5,0))</f>
        <v>0</v>
      </c>
      <c r="AU87" s="110" t="n">
        <f aca="false">INDEX($DL$6:$DL$53,MATCH(AI87,$DP$6:$DP$53,0))</f>
        <v>1</v>
      </c>
      <c r="AV87" s="111" t="str">
        <f aca="false">INDEX($BD$6:$BD$53,MATCH(AI87,$BM$6:$BM$53,0))</f>
        <v>RD Congo</v>
      </c>
      <c r="AW87" s="112"/>
      <c r="AX87" s="113"/>
      <c r="AY87" s="127" t="str">
        <f aca="false">+A86</f>
        <v>RD Congo</v>
      </c>
      <c r="AZ87" s="128"/>
      <c r="BA87" s="49"/>
      <c r="BB87" s="55"/>
      <c r="BC87" s="55"/>
      <c r="BD87" s="55"/>
      <c r="BE87" s="55"/>
      <c r="BF87" s="55"/>
      <c r="BG87" s="55"/>
      <c r="BH87" s="55"/>
      <c r="BI87" s="55"/>
      <c r="BJ87" s="55"/>
      <c r="BK87" s="55"/>
      <c r="BL87" s="55"/>
      <c r="BM87" s="55"/>
      <c r="BN87" s="91"/>
      <c r="BO87" s="91"/>
      <c r="BP87" s="91"/>
      <c r="BQ87" s="91"/>
      <c r="BR87" s="55"/>
      <c r="BS87" s="55"/>
      <c r="BT87" s="91"/>
      <c r="BU87" s="91"/>
      <c r="BV87" s="91"/>
      <c r="BW87" s="91"/>
      <c r="BX87" s="91"/>
      <c r="BY87" s="91"/>
      <c r="BZ87" s="91"/>
      <c r="CA87" s="91"/>
      <c r="CB87" s="91"/>
      <c r="CC87" s="91"/>
      <c r="CD87" s="91"/>
      <c r="CE87" s="91"/>
      <c r="CF87" s="91"/>
      <c r="CG87" s="91"/>
      <c r="CH87" s="91"/>
      <c r="CI87" s="91"/>
      <c r="CJ87" s="91"/>
      <c r="CK87" s="91"/>
      <c r="CL87" s="91"/>
      <c r="CM87" s="91"/>
      <c r="CN87" s="91"/>
      <c r="CO87" s="91"/>
      <c r="CP87" s="91"/>
      <c r="CQ87" s="91"/>
      <c r="CR87" s="91"/>
      <c r="CS87" s="91"/>
      <c r="CT87" s="91"/>
      <c r="CU87" s="91"/>
      <c r="CV87" s="91"/>
      <c r="CW87" s="55"/>
      <c r="CX87" s="91"/>
      <c r="CY87" s="55"/>
      <c r="CZ87" s="55"/>
      <c r="DA87" s="55"/>
      <c r="DB87" s="55"/>
      <c r="DC87" s="55"/>
      <c r="DD87" s="55"/>
      <c r="DE87" s="55"/>
      <c r="DF87" s="55"/>
      <c r="DG87" s="55"/>
      <c r="DH87" s="55"/>
      <c r="DI87" s="55"/>
      <c r="DJ87" s="55"/>
      <c r="DK87" s="55"/>
      <c r="DL87" s="55"/>
      <c r="DM87" s="55"/>
      <c r="DN87" s="55"/>
      <c r="DO87" s="55"/>
      <c r="DP87" s="55"/>
      <c r="DQ87" s="55"/>
      <c r="DR87" s="55"/>
      <c r="DS87" s="55"/>
      <c r="DT87" s="55" t="str">
        <f aca="false">AA87&amp;"-"&amp;AF87</f>
        <v>Colombia-RD Congo</v>
      </c>
      <c r="DU87" s="55"/>
      <c r="DV87" s="55"/>
      <c r="DW87" s="57"/>
    </row>
    <row r="88" customFormat="false" ht="15.75" hidden="false" customHeight="true" outlineLevel="0" collapsed="false">
      <c r="A88" s="92" t="str">
        <f aca="false">+Equipos!B45</f>
        <v>Colombia</v>
      </c>
      <c r="B88" s="72"/>
      <c r="C88" s="55"/>
      <c r="D88" s="55" t="str">
        <f aca="false">IF(OR(AC88="",AD88=""),"Pendiente",IF(AC88&gt;AD88,"Local",IF(AC88&lt;AD88,"Visitante","Empate")))</f>
        <v>Pendiente</v>
      </c>
      <c r="E88" s="55" t="str">
        <f aca="false">IF(D88="Pendiente","-",INDEX($BT$6:$BT$53,MATCH($AA88,$BD$6:$BD$53,0)))</f>
        <v>-</v>
      </c>
      <c r="F88" s="55" t="str">
        <f aca="false">IF(D88="Pendiente","-",INDEX($BT$6:$BT$53,MATCH($AF88,$BD$6:$BD$53,0)))</f>
        <v>-</v>
      </c>
      <c r="G88" s="55"/>
      <c r="H88" s="55" t="str">
        <f aca="false">IF(D88="Pendiente","-",INDEX($BZ$6:$BZ$53,MATCH($AA88,$BD$6:$BD$53,0)))</f>
        <v>-</v>
      </c>
      <c r="I88" s="55" t="str">
        <f aca="false">IF(D88="Pendiente","-",INDEX($BZ$6:$BZ$53,MATCH($AF88,$BD$6:$BD$53,0)))</f>
        <v>-</v>
      </c>
      <c r="J88" s="55"/>
      <c r="K88" s="55" t="str">
        <f aca="false">IF(D88="Pendiente","-",INDEX($CE$6:$CE$53,MATCH($AA88,$BD$6:$BD$53,0)))</f>
        <v>-</v>
      </c>
      <c r="L88" s="55" t="str">
        <f aca="false">IF(D88="Pendiente","-",INDEX($CE$6:$CE$53,MATCH($AF88,$BD$6:$BD$53,0)))</f>
        <v>-</v>
      </c>
      <c r="M88" s="55"/>
      <c r="N88" s="55" t="str">
        <f aca="false">IF(D88="Pendiente","-",INDEX($CH$6:$CH$53,MATCH($AA88,$BD$6:$BD$53,0)))</f>
        <v>-</v>
      </c>
      <c r="O88" s="55" t="str">
        <f aca="false">IF(D88="Pendiente","-",INDEX($CH$6:$CH$53,MATCH($AF88,$BD$6:$BD$53,0)))</f>
        <v>-</v>
      </c>
      <c r="P88" s="55"/>
      <c r="Q88" s="55" t="str">
        <f aca="false">IF(D88="Pendiente","-",INDEX($CN$6:$CN$53,MATCH($AA88,$BD$6:$BD$53,0)))</f>
        <v>-</v>
      </c>
      <c r="R88" s="55" t="str">
        <f aca="false">IF(D88="Pendiente","-",INDEX($CN$6:$CN$53,MATCH($AF88,$BD$6:$BD$53,0)))</f>
        <v>-</v>
      </c>
      <c r="S88" s="55"/>
      <c r="T88" s="55" t="str">
        <f aca="false">IF(D88="Pendiente","-",INDEX($CS$6:$CS$53,MATCH($AA88,$BD$6:$BD$53,0)))</f>
        <v>-</v>
      </c>
      <c r="U88" s="55" t="str">
        <f aca="false">IF(D88="Pendiente","-",INDEX($CS$6:$CS$53,MATCH($AF88,$BD$6:$BD$53,0)))</f>
        <v>-</v>
      </c>
      <c r="V88" s="46"/>
      <c r="W88" s="196"/>
      <c r="X88" s="74" t="n">
        <f aca="false">Horarios!C88</f>
        <v>46201.0625</v>
      </c>
      <c r="Y88" s="75" t="n">
        <f aca="false">Horarios!C88</f>
        <v>46201.0625</v>
      </c>
      <c r="Z88" s="76" t="str">
        <f aca="false">$Z$8</f>
        <v>J3</v>
      </c>
      <c r="AA88" s="77" t="str">
        <f aca="false">A88</f>
        <v>Colombia</v>
      </c>
      <c r="AB88" s="165" t="str">
        <f aca="true" t="array" ref="AB88:AB88">Ver_flag_local</f>
        <v/>
      </c>
      <c r="AC88" s="79"/>
      <c r="AD88" s="80"/>
      <c r="AE88" s="81" t="str">
        <f aca="true" t="array" ref="AE88:AE88">Ver_flag_visit</f>
        <v/>
      </c>
      <c r="AF88" s="82" t="str">
        <f aca="false">A85</f>
        <v>Portugal</v>
      </c>
      <c r="AG88" s="83" t="n">
        <f aca="false">IF(NOT(OR(ISBLANK(AC88),ISBLANK(AD88))),1,0)</f>
        <v>0</v>
      </c>
      <c r="AH88" s="84" t="n">
        <v>71</v>
      </c>
      <c r="AI88" s="85" t="str">
        <f aca="false">AJ88&amp;$B$84</f>
        <v>3K</v>
      </c>
      <c r="AJ88" s="121" t="n">
        <v>3</v>
      </c>
      <c r="AK88" s="173" t="str">
        <f aca="true" t="array" ref="AK88:AK88">Ver_flag_visit</f>
        <v/>
      </c>
      <c r="AL88" s="123" t="str">
        <f aca="false">IFERROR(INDEX($BD$6:$BD$53,MATCH(AI88,$BN$6:$BN$53,0)),"")</f>
        <v>Uzbekistán</v>
      </c>
      <c r="AM88" s="124" t="n">
        <f aca="false">INDEX($BE$6:$BN$53,MATCH($AL88,$BD$6:$BD$53,0),MATCH(AM$5,$BE$5:$BN$5,0))</f>
        <v>0</v>
      </c>
      <c r="AN88" s="125" t="n">
        <f aca="false">INDEX($BE$6:$BN$53,MATCH($AL88,$BD$6:$BD$53,0),MATCH(AN$5,$BE$5:$BN$5,0))</f>
        <v>0</v>
      </c>
      <c r="AO88" s="125" t="n">
        <f aca="false">INDEX($BE$6:$BN$53,MATCH($AL88,$BD$6:$BD$53,0),MATCH(AO$5,$BE$5:$BN$5,0))</f>
        <v>0</v>
      </c>
      <c r="AP88" s="125" t="n">
        <f aca="false">INDEX($BE$6:$BN$53,MATCH($AL88,$BD$6:$BD$53,0),MATCH(AP$5,$BE$5:$BN$5,0))</f>
        <v>0</v>
      </c>
      <c r="AQ88" s="125" t="n">
        <f aca="false">INDEX($BE$6:$BN$53,MATCH($AL88,$BD$6:$BD$53,0),MATCH(AQ$5,$BE$5:$BN$5,0))</f>
        <v>0</v>
      </c>
      <c r="AR88" s="125" t="n">
        <f aca="false">INDEX($BE$6:$BN$53,MATCH($AL88,$BD$6:$BD$53,0),MATCH(AR$5,$BE$5:$BN$5,0))</f>
        <v>0</v>
      </c>
      <c r="AS88" s="125" t="n">
        <f aca="false">INDEX($BE$6:$BN$53,MATCH($AL88,$BD$6:$BD$53,0),MATCH(AS$5,$BE$5:$BN$5,0))</f>
        <v>0</v>
      </c>
      <c r="AT88" s="126" t="n">
        <f aca="false">INDEX($BE$6:$BN$53,MATCH($AL88,$BD$6:$BD$53,0),MATCH(AT$5,$BE$5:$BN$5,0))</f>
        <v>0</v>
      </c>
      <c r="AU88" s="110" t="n">
        <f aca="false">INDEX($DL$6:$DL$53,MATCH(AI88,$DP$6:$DP$53,0))</f>
        <v>1</v>
      </c>
      <c r="AV88" s="111" t="str">
        <f aca="false">INDEX($BD$6:$BD$53,MATCH(AI88,$BM$6:$BM$53,0))</f>
        <v>Uzbekistán</v>
      </c>
      <c r="AW88" s="112"/>
      <c r="AX88" s="113"/>
      <c r="AY88" s="114" t="str">
        <f aca="false">+A87</f>
        <v>Uzbekistán</v>
      </c>
      <c r="AZ88" s="115"/>
      <c r="BA88" s="49"/>
      <c r="BB88" s="55"/>
      <c r="BC88" s="55"/>
      <c r="BD88" s="55"/>
      <c r="BE88" s="55"/>
      <c r="BF88" s="55"/>
      <c r="BG88" s="55"/>
      <c r="BH88" s="55"/>
      <c r="BI88" s="55"/>
      <c r="BJ88" s="55"/>
      <c r="BK88" s="55"/>
      <c r="BL88" s="55"/>
      <c r="BM88" s="55"/>
      <c r="BN88" s="91"/>
      <c r="BO88" s="91"/>
      <c r="BP88" s="91"/>
      <c r="BQ88" s="91"/>
      <c r="BR88" s="55"/>
      <c r="BS88" s="55"/>
      <c r="BT88" s="91"/>
      <c r="BU88" s="91"/>
      <c r="BV88" s="91"/>
      <c r="BW88" s="91"/>
      <c r="BX88" s="91"/>
      <c r="BY88" s="91"/>
      <c r="BZ88" s="91"/>
      <c r="CA88" s="91"/>
      <c r="CB88" s="91"/>
      <c r="CC88" s="91"/>
      <c r="CD88" s="91"/>
      <c r="CE88" s="91"/>
      <c r="CF88" s="91"/>
      <c r="CG88" s="91"/>
      <c r="CH88" s="91"/>
      <c r="CI88" s="91"/>
      <c r="CJ88" s="91"/>
      <c r="CK88" s="91"/>
      <c r="CL88" s="91"/>
      <c r="CM88" s="91"/>
      <c r="CN88" s="91"/>
      <c r="CO88" s="91"/>
      <c r="CP88" s="91"/>
      <c r="CQ88" s="91"/>
      <c r="CR88" s="91"/>
      <c r="CS88" s="91"/>
      <c r="CT88" s="91"/>
      <c r="CU88" s="91"/>
      <c r="CV88" s="91"/>
      <c r="CW88" s="55"/>
      <c r="CX88" s="91"/>
      <c r="CY88" s="55"/>
      <c r="CZ88" s="55"/>
      <c r="DA88" s="55"/>
      <c r="DB88" s="55"/>
      <c r="DC88" s="55"/>
      <c r="DD88" s="55"/>
      <c r="DE88" s="55"/>
      <c r="DF88" s="55"/>
      <c r="DG88" s="55"/>
      <c r="DH88" s="55"/>
      <c r="DI88" s="55"/>
      <c r="DJ88" s="55"/>
      <c r="DK88" s="55"/>
      <c r="DL88" s="55"/>
      <c r="DM88" s="55"/>
      <c r="DN88" s="55"/>
      <c r="DO88" s="55"/>
      <c r="DP88" s="55"/>
      <c r="DQ88" s="55"/>
      <c r="DR88" s="55"/>
      <c r="DS88" s="55"/>
      <c r="DT88" s="55" t="str">
        <f aca="false">AA88&amp;"-"&amp;AF88</f>
        <v>Colombia-Portugal</v>
      </c>
      <c r="DU88" s="55"/>
      <c r="DV88" s="55"/>
      <c r="DW88" s="57"/>
    </row>
    <row r="89" customFormat="false" ht="16.5" hidden="false" customHeight="true" outlineLevel="0" collapsed="false">
      <c r="A89" s="39"/>
      <c r="B89" s="39"/>
      <c r="C89" s="39"/>
      <c r="D89" s="55" t="str">
        <f aca="false">IF(OR(AC89="",AD89=""),"Pendiente",IF(AC89&gt;AD89,"Local",IF(AC89&lt;AD89,"Visitante","Empate")))</f>
        <v>Pendiente</v>
      </c>
      <c r="E89" s="55" t="str">
        <f aca="false">IF(D89="Pendiente","-",INDEX($BT$6:$BT$53,MATCH($AA89,$BD$6:$BD$53,0)))</f>
        <v>-</v>
      </c>
      <c r="F89" s="55" t="str">
        <f aca="false">IF(D89="Pendiente","-",INDEX($BT$6:$BT$53,MATCH($AF89,$BD$6:$BD$53,0)))</f>
        <v>-</v>
      </c>
      <c r="G89" s="55"/>
      <c r="H89" s="55" t="str">
        <f aca="false">IF(D89="Pendiente","-",INDEX($BZ$6:$BZ$53,MATCH($AA89,$BD$6:$BD$53,0)))</f>
        <v>-</v>
      </c>
      <c r="I89" s="55" t="str">
        <f aca="false">IF(D89="Pendiente","-",INDEX($BZ$6:$BZ$53,MATCH($AF89,$BD$6:$BD$53,0)))</f>
        <v>-</v>
      </c>
      <c r="J89" s="55"/>
      <c r="K89" s="55" t="str">
        <f aca="false">IF(D89="Pendiente","-",INDEX($CE$6:$CE$53,MATCH($AA89,$BD$6:$BD$53,0)))</f>
        <v>-</v>
      </c>
      <c r="L89" s="55" t="str">
        <f aca="false">IF(D89="Pendiente","-",INDEX($CE$6:$CE$53,MATCH($AF89,$BD$6:$BD$53,0)))</f>
        <v>-</v>
      </c>
      <c r="M89" s="55"/>
      <c r="N89" s="55" t="str">
        <f aca="false">IF(D89="Pendiente","-",INDEX($CH$6:$CH$53,MATCH($AA89,$BD$6:$BD$53,0)))</f>
        <v>-</v>
      </c>
      <c r="O89" s="55" t="str">
        <f aca="false">IF(D89="Pendiente","-",INDEX($CH$6:$CH$53,MATCH($AF89,$BD$6:$BD$53,0)))</f>
        <v>-</v>
      </c>
      <c r="P89" s="55"/>
      <c r="Q89" s="55" t="str">
        <f aca="false">IF(D89="Pendiente","-",INDEX($CN$6:$CN$53,MATCH($AA89,$BD$6:$BD$53,0)))</f>
        <v>-</v>
      </c>
      <c r="R89" s="55" t="str">
        <f aca="false">IF(D89="Pendiente","-",INDEX($CN$6:$CN$53,MATCH($AF89,$BD$6:$BD$53,0)))</f>
        <v>-</v>
      </c>
      <c r="S89" s="55"/>
      <c r="T89" s="55" t="str">
        <f aca="false">IF(D89="Pendiente","-",INDEX($CS$6:$CS$53,MATCH($AA89,$BD$6:$BD$53,0)))</f>
        <v>-</v>
      </c>
      <c r="U89" s="55" t="str">
        <f aca="false">IF(D89="Pendiente","-",INDEX($CS$6:$CS$53,MATCH($AF89,$BD$6:$BD$53,0)))</f>
        <v>-</v>
      </c>
      <c r="V89" s="46"/>
      <c r="W89" s="196"/>
      <c r="X89" s="129" t="n">
        <f aca="false">Horarios!C89</f>
        <v>46201.0625</v>
      </c>
      <c r="Y89" s="130" t="n">
        <f aca="false">Horarios!C89</f>
        <v>46201.0625</v>
      </c>
      <c r="Z89" s="131" t="str">
        <f aca="false">$Z$8</f>
        <v>J3</v>
      </c>
      <c r="AA89" s="132" t="str">
        <f aca="false">A86</f>
        <v>RD Congo</v>
      </c>
      <c r="AB89" s="175" t="str">
        <f aca="true" t="array" ref="AB89:AB89">Ver_flag_local</f>
        <v/>
      </c>
      <c r="AC89" s="134"/>
      <c r="AD89" s="135"/>
      <c r="AE89" s="136" t="str">
        <f aca="true" t="array" ref="AE89:AE89">Ver_flag_visit</f>
        <v/>
      </c>
      <c r="AF89" s="137" t="str">
        <f aca="false">A87</f>
        <v>Uzbekistán</v>
      </c>
      <c r="AG89" s="83" t="n">
        <f aca="false">IF(NOT(OR(ISBLANK(AC89),ISBLANK(AD89))),1,0)</f>
        <v>0</v>
      </c>
      <c r="AH89" s="84" t="n">
        <v>72</v>
      </c>
      <c r="AI89" s="85" t="str">
        <f aca="false">AJ89&amp;$B$84</f>
        <v>4K</v>
      </c>
      <c r="AJ89" s="138" t="n">
        <v>4</v>
      </c>
      <c r="AK89" s="184" t="str">
        <f aca="true" t="array" ref="AK89:AK89">Ver_flag_visit</f>
        <v/>
      </c>
      <c r="AL89" s="140" t="str">
        <f aca="false">IFERROR(INDEX($BD$6:$BD$53,MATCH(AI89,$BN$6:$BN$53,0)),"")</f>
        <v>Colombia</v>
      </c>
      <c r="AM89" s="141" t="n">
        <f aca="false">INDEX($BE$6:$BN$53,MATCH($AL89,$BD$6:$BD$53,0),MATCH(AM$5,$BE$5:$BN$5,0))</f>
        <v>0</v>
      </c>
      <c r="AN89" s="142" t="n">
        <f aca="false">INDEX($BE$6:$BN$53,MATCH($AL89,$BD$6:$BD$53,0),MATCH(AN$5,$BE$5:$BN$5,0))</f>
        <v>0</v>
      </c>
      <c r="AO89" s="142" t="n">
        <f aca="false">INDEX($BE$6:$BN$53,MATCH($AL89,$BD$6:$BD$53,0),MATCH(AO$5,$BE$5:$BN$5,0))</f>
        <v>0</v>
      </c>
      <c r="AP89" s="142" t="n">
        <f aca="false">INDEX($BE$6:$BN$53,MATCH($AL89,$BD$6:$BD$53,0),MATCH(AP$5,$BE$5:$BN$5,0))</f>
        <v>0</v>
      </c>
      <c r="AQ89" s="142" t="n">
        <f aca="false">INDEX($BE$6:$BN$53,MATCH($AL89,$BD$6:$BD$53,0),MATCH(AQ$5,$BE$5:$BN$5,0))</f>
        <v>0</v>
      </c>
      <c r="AR89" s="142" t="n">
        <f aca="false">INDEX($BE$6:$BN$53,MATCH($AL89,$BD$6:$BD$53,0),MATCH(AR$5,$BE$5:$BN$5,0))</f>
        <v>0</v>
      </c>
      <c r="AS89" s="142" t="n">
        <f aca="false">INDEX($BE$6:$BN$53,MATCH($AL89,$BD$6:$BD$53,0),MATCH(AS$5,$BE$5:$BN$5,0))</f>
        <v>0</v>
      </c>
      <c r="AT89" s="143" t="n">
        <f aca="false">INDEX($BE$6:$BN$53,MATCH($AL89,$BD$6:$BD$53,0),MATCH(AT$5,$BE$5:$BN$5,0))</f>
        <v>0</v>
      </c>
      <c r="AU89" s="110" t="n">
        <f aca="false">INDEX($DL$6:$DL$53,MATCH(AI89,$DP$6:$DP$53,0))</f>
        <v>1</v>
      </c>
      <c r="AV89" s="111" t="str">
        <f aca="false">INDEX($BD$6:$BD$53,MATCH(AI89,$BM$6:$BM$53,0))</f>
        <v>Colombia</v>
      </c>
      <c r="AW89" s="112"/>
      <c r="AX89" s="113"/>
      <c r="AY89" s="144" t="str">
        <f aca="false">+A88</f>
        <v>Colombia</v>
      </c>
      <c r="AZ89" s="145"/>
      <c r="BA89" s="49"/>
      <c r="BB89" s="55"/>
      <c r="BC89" s="55"/>
      <c r="BD89" s="55"/>
      <c r="BE89" s="55"/>
      <c r="BF89" s="55"/>
      <c r="BG89" s="55"/>
      <c r="BH89" s="55"/>
      <c r="BI89" s="55"/>
      <c r="BJ89" s="55"/>
      <c r="BK89" s="55"/>
      <c r="BL89" s="55"/>
      <c r="BM89" s="55"/>
      <c r="BN89" s="91"/>
      <c r="BO89" s="91"/>
      <c r="BP89" s="91"/>
      <c r="BQ89" s="91"/>
      <c r="BR89" s="55"/>
      <c r="BS89" s="55"/>
      <c r="BT89" s="91"/>
      <c r="BU89" s="91"/>
      <c r="BV89" s="91"/>
      <c r="BW89" s="91"/>
      <c r="BX89" s="91"/>
      <c r="BY89" s="91"/>
      <c r="BZ89" s="91"/>
      <c r="CA89" s="91"/>
      <c r="CB89" s="91"/>
      <c r="CC89" s="91"/>
      <c r="CD89" s="91"/>
      <c r="CE89" s="91"/>
      <c r="CF89" s="91"/>
      <c r="CG89" s="91"/>
      <c r="CH89" s="91"/>
      <c r="CI89" s="91"/>
      <c r="CJ89" s="91"/>
      <c r="CK89" s="91"/>
      <c r="CL89" s="91"/>
      <c r="CM89" s="91"/>
      <c r="CN89" s="91"/>
      <c r="CO89" s="91"/>
      <c r="CP89" s="91"/>
      <c r="CQ89" s="91"/>
      <c r="CR89" s="91"/>
      <c r="CS89" s="91"/>
      <c r="CT89" s="91"/>
      <c r="CU89" s="91"/>
      <c r="CV89" s="91"/>
      <c r="CW89" s="55"/>
      <c r="CX89" s="91"/>
      <c r="CY89" s="55"/>
      <c r="CZ89" s="55"/>
      <c r="DA89" s="55"/>
      <c r="DB89" s="55"/>
      <c r="DC89" s="55"/>
      <c r="DD89" s="55"/>
      <c r="DE89" s="55"/>
      <c r="DF89" s="55"/>
      <c r="DG89" s="55"/>
      <c r="DH89" s="55"/>
      <c r="DI89" s="55"/>
      <c r="DJ89" s="55"/>
      <c r="DK89" s="55"/>
      <c r="DL89" s="55"/>
      <c r="DM89" s="55"/>
      <c r="DN89" s="55"/>
      <c r="DO89" s="55"/>
      <c r="DP89" s="55"/>
      <c r="DQ89" s="55"/>
      <c r="DR89" s="55"/>
      <c r="DS89" s="55"/>
      <c r="DT89" s="55" t="str">
        <f aca="false">AA89&amp;"-"&amp;AF89</f>
        <v>RD Congo-Uzbekistán</v>
      </c>
      <c r="DU89" s="55"/>
      <c r="DV89" s="55"/>
      <c r="DW89" s="57"/>
    </row>
    <row r="90" customFormat="false" ht="15" hidden="false" customHeight="false" outlineLevel="0" collapsed="false">
      <c r="A90" s="39"/>
      <c r="B90" s="39"/>
      <c r="C90" s="39"/>
      <c r="D90" s="55"/>
      <c r="E90" s="55"/>
      <c r="F90" s="55"/>
      <c r="G90" s="55"/>
      <c r="H90" s="55"/>
      <c r="I90" s="55"/>
      <c r="J90" s="55"/>
      <c r="K90" s="55"/>
      <c r="L90" s="55"/>
      <c r="M90" s="55"/>
      <c r="N90" s="55"/>
      <c r="O90" s="55"/>
      <c r="P90" s="55"/>
      <c r="Q90" s="55"/>
      <c r="R90" s="55"/>
      <c r="S90" s="55"/>
      <c r="T90" s="55"/>
      <c r="U90" s="55"/>
      <c r="V90" s="46"/>
      <c r="W90" s="146"/>
      <c r="X90" s="147"/>
      <c r="Y90" s="146"/>
      <c r="Z90" s="148"/>
      <c r="AA90" s="149"/>
      <c r="AB90" s="150"/>
      <c r="AC90" s="151"/>
      <c r="AD90" s="151"/>
      <c r="AE90" s="150"/>
      <c r="AF90" s="152"/>
      <c r="AG90" s="182"/>
      <c r="AH90" s="84"/>
      <c r="AI90" s="43"/>
      <c r="AJ90" s="153"/>
      <c r="AK90" s="154"/>
      <c r="AL90" s="66"/>
      <c r="AM90" s="155"/>
      <c r="AN90" s="153"/>
      <c r="AO90" s="153"/>
      <c r="AP90" s="153"/>
      <c r="AQ90" s="153"/>
      <c r="AR90" s="153"/>
      <c r="AS90" s="153"/>
      <c r="AT90" s="153"/>
      <c r="AU90" s="156"/>
      <c r="AV90" s="157"/>
      <c r="AW90" s="158"/>
      <c r="AX90" s="113"/>
      <c r="AY90" s="146"/>
      <c r="AZ90" s="147"/>
      <c r="BA90" s="49"/>
      <c r="BB90" s="55"/>
      <c r="BC90" s="55"/>
      <c r="BD90" s="55"/>
      <c r="BE90" s="55"/>
      <c r="BF90" s="55"/>
      <c r="BG90" s="55"/>
      <c r="BH90" s="55"/>
      <c r="BI90" s="55"/>
      <c r="BJ90" s="55"/>
      <c r="BK90" s="55"/>
      <c r="BL90" s="55"/>
      <c r="BM90" s="55"/>
      <c r="BN90" s="91"/>
      <c r="BO90" s="91"/>
      <c r="BP90" s="91"/>
      <c r="BQ90" s="91"/>
      <c r="BR90" s="55"/>
      <c r="BS90" s="55"/>
      <c r="BT90" s="91"/>
      <c r="BU90" s="91"/>
      <c r="BV90" s="91"/>
      <c r="BW90" s="91"/>
      <c r="BX90" s="91"/>
      <c r="BY90" s="91"/>
      <c r="BZ90" s="91"/>
      <c r="CA90" s="91"/>
      <c r="CB90" s="91"/>
      <c r="CC90" s="91"/>
      <c r="CD90" s="91"/>
      <c r="CE90" s="91"/>
      <c r="CF90" s="91"/>
      <c r="CG90" s="91"/>
      <c r="CH90" s="91"/>
      <c r="CI90" s="91"/>
      <c r="CJ90" s="91"/>
      <c r="CK90" s="91"/>
      <c r="CL90" s="91"/>
      <c r="CM90" s="91"/>
      <c r="CN90" s="91"/>
      <c r="CO90" s="91"/>
      <c r="CP90" s="91"/>
      <c r="CQ90" s="91"/>
      <c r="CR90" s="91"/>
      <c r="CS90" s="91"/>
      <c r="CT90" s="91"/>
      <c r="CU90" s="91"/>
      <c r="CV90" s="91"/>
      <c r="CW90" s="55"/>
      <c r="CX90" s="91"/>
      <c r="CY90" s="55"/>
      <c r="CZ90" s="55"/>
      <c r="DA90" s="55"/>
      <c r="DB90" s="55"/>
      <c r="DC90" s="55"/>
      <c r="DD90" s="55"/>
      <c r="DE90" s="55"/>
      <c r="DF90" s="55"/>
      <c r="DG90" s="55"/>
      <c r="DH90" s="55"/>
      <c r="DI90" s="55"/>
      <c r="DJ90" s="55"/>
      <c r="DK90" s="55"/>
      <c r="DL90" s="55"/>
      <c r="DM90" s="55"/>
      <c r="DN90" s="55"/>
      <c r="DO90" s="55"/>
      <c r="DP90" s="55"/>
      <c r="DQ90" s="55"/>
      <c r="DR90" s="55"/>
      <c r="DS90" s="55"/>
      <c r="DT90" s="55" t="str">
        <f aca="false">AA90&amp;"-"&amp;AF90</f>
        <v>-</v>
      </c>
      <c r="DU90" s="55"/>
      <c r="DV90" s="55"/>
      <c r="DW90" s="57"/>
    </row>
    <row r="91" customFormat="false" ht="15" hidden="false" customHeight="false" outlineLevel="0" collapsed="false">
      <c r="A91" s="39"/>
      <c r="B91" s="72"/>
      <c r="C91" s="39"/>
      <c r="D91" s="39"/>
      <c r="E91" s="39"/>
      <c r="F91" s="39"/>
      <c r="G91" s="39"/>
      <c r="H91" s="39"/>
      <c r="I91" s="39"/>
      <c r="J91" s="39"/>
      <c r="K91" s="39"/>
      <c r="L91" s="39"/>
      <c r="M91" s="39"/>
      <c r="N91" s="55"/>
      <c r="O91" s="55"/>
      <c r="P91" s="55"/>
      <c r="Q91" s="55"/>
      <c r="R91" s="55"/>
      <c r="S91" s="55"/>
      <c r="T91" s="55"/>
      <c r="U91" s="55"/>
      <c r="V91" s="46"/>
      <c r="W91" s="59"/>
      <c r="X91" s="60" t="str">
        <f aca="false">X3</f>
        <v>Fecha</v>
      </c>
      <c r="Y91" s="60" t="str">
        <f aca="false">Y3</f>
        <v>Hora</v>
      </c>
      <c r="Z91" s="197" t="str">
        <f aca="false">Z3</f>
        <v>Jor.</v>
      </c>
      <c r="AA91" s="198" t="str">
        <f aca="false">AA3</f>
        <v>Casa</v>
      </c>
      <c r="AB91" s="60"/>
      <c r="AC91" s="60" t="str">
        <f aca="false">AC3</f>
        <v>Gol</v>
      </c>
      <c r="AD91" s="60" t="str">
        <f aca="false">AD3</f>
        <v>Gol</v>
      </c>
      <c r="AE91" s="60"/>
      <c r="AF91" s="199" t="str">
        <f aca="false">AF3</f>
        <v>Fuera</v>
      </c>
      <c r="AG91" s="159"/>
      <c r="AH91" s="84"/>
      <c r="AI91" s="50"/>
      <c r="AJ91" s="66"/>
      <c r="AK91" s="160"/>
      <c r="AL91" s="66"/>
      <c r="AM91" s="66"/>
      <c r="AN91" s="66"/>
      <c r="AO91" s="66"/>
      <c r="AP91" s="66"/>
      <c r="AQ91" s="66"/>
      <c r="AR91" s="66"/>
      <c r="AS91" s="66"/>
      <c r="AT91" s="66"/>
      <c r="AU91" s="161"/>
      <c r="AV91" s="51"/>
      <c r="AW91" s="162"/>
      <c r="AX91" s="163"/>
      <c r="AY91" s="146"/>
      <c r="AZ91" s="147"/>
      <c r="BA91" s="49"/>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55"/>
      <c r="CJ91" s="55"/>
      <c r="CK91" s="55"/>
      <c r="CL91" s="55"/>
      <c r="CM91" s="55"/>
      <c r="CN91" s="55"/>
      <c r="CO91" s="55"/>
      <c r="CP91" s="55"/>
      <c r="CQ91" s="55"/>
      <c r="CR91" s="55"/>
      <c r="CS91" s="55"/>
      <c r="CT91" s="55"/>
      <c r="CU91" s="55"/>
      <c r="CV91" s="55"/>
      <c r="CW91" s="55"/>
      <c r="CX91" s="55"/>
      <c r="CY91" s="55"/>
      <c r="CZ91" s="55"/>
      <c r="DA91" s="55"/>
      <c r="DB91" s="55"/>
      <c r="DC91" s="55"/>
      <c r="DD91" s="55"/>
      <c r="DE91" s="55"/>
      <c r="DF91" s="55"/>
      <c r="DG91" s="55"/>
      <c r="DH91" s="55"/>
      <c r="DI91" s="55"/>
      <c r="DJ91" s="55"/>
      <c r="DK91" s="55"/>
      <c r="DL91" s="55"/>
      <c r="DM91" s="55"/>
      <c r="DN91" s="55"/>
      <c r="DO91" s="55"/>
      <c r="DP91" s="55"/>
      <c r="DQ91" s="55"/>
      <c r="DR91" s="55"/>
      <c r="DS91" s="55"/>
      <c r="DT91" s="55" t="str">
        <f aca="false">AA91&amp;"-"&amp;AF91</f>
        <v>Casa-Fuera</v>
      </c>
      <c r="DU91" s="55"/>
      <c r="DV91" s="55"/>
      <c r="DW91" s="57"/>
    </row>
    <row r="92" customFormat="false" ht="15" hidden="false" customHeight="true" outlineLevel="0" collapsed="false">
      <c r="A92" s="71" t="s">
        <v>23</v>
      </c>
      <c r="B92" s="72" t="s">
        <v>137</v>
      </c>
      <c r="C92" s="44" t="n">
        <f aca="false">COUNTIF(Equipos!$C$2:$C$49,WORLDCUP!B92)</f>
        <v>4</v>
      </c>
      <c r="D92" s="55" t="str">
        <f aca="false">IF(OR(AC92="",AD92=""),"Pendiente",IF(AC92&gt;AD92,"Local",IF(AC92&lt;AD92,"Visitante","Empate")))</f>
        <v>Pendiente</v>
      </c>
      <c r="E92" s="55" t="str">
        <f aca="false">IF(D92="Pendiente","-",INDEX($BT$6:$BT$53,MATCH($AA92,$BD$6:$BD$53,0)))</f>
        <v>-</v>
      </c>
      <c r="F92" s="55" t="str">
        <f aca="false">IF(D92="Pendiente","-",INDEX($BT$6:$BT$53,MATCH($AF92,$BD$6:$BD$53,0)))</f>
        <v>-</v>
      </c>
      <c r="G92" s="55"/>
      <c r="H92" s="55" t="str">
        <f aca="false">IF(D92="Pendiente","-",INDEX($BZ$6:$BZ$53,MATCH($AA92,$BD$6:$BD$53,0)))</f>
        <v>-</v>
      </c>
      <c r="I92" s="55" t="str">
        <f aca="false">IF(D92="Pendiente","-",INDEX($BZ$6:$BZ$53,MATCH($AF92,$BD$6:$BD$53,0)))</f>
        <v>-</v>
      </c>
      <c r="J92" s="55"/>
      <c r="K92" s="55" t="str">
        <f aca="false">IF(D92="Pendiente","-",INDEX($CE$6:$CE$53,MATCH($AA92,$BD$6:$BD$53,0)))</f>
        <v>-</v>
      </c>
      <c r="L92" s="55" t="str">
        <f aca="false">IF(D92="Pendiente","-",INDEX($CE$6:$CE$53,MATCH($AF92,$BD$6:$BD$53,0)))</f>
        <v>-</v>
      </c>
      <c r="M92" s="55"/>
      <c r="N92" s="55" t="str">
        <f aca="false">IF(D92="Pendiente","-",INDEX($CH$6:$CH$53,MATCH($AA92,$BD$6:$BD$53,0)))</f>
        <v>-</v>
      </c>
      <c r="O92" s="55" t="str">
        <f aca="false">IF(D92="Pendiente","-",INDEX($CH$6:$CH$53,MATCH($AF92,$BD$6:$BD$53,0)))</f>
        <v>-</v>
      </c>
      <c r="P92" s="55"/>
      <c r="Q92" s="55" t="str">
        <f aca="false">IF(D92="Pendiente","-",INDEX($CN$6:$CN$53,MATCH($AA92,$BD$6:$BD$53,0)))</f>
        <v>-</v>
      </c>
      <c r="R92" s="55" t="str">
        <f aca="false">IF(D92="Pendiente","-",INDEX($CN$6:$CN$53,MATCH($AF92,$BD$6:$BD$53,0)))</f>
        <v>-</v>
      </c>
      <c r="S92" s="55"/>
      <c r="T92" s="55" t="str">
        <f aca="false">IF(D92="Pendiente","-",INDEX($CS$6:$CS$53,MATCH($AA92,$BD$6:$BD$53,0)))</f>
        <v>-</v>
      </c>
      <c r="U92" s="55" t="str">
        <f aca="false">IF(D92="Pendiente","-",INDEX($CS$6:$CS$53,MATCH($AF92,$BD$6:$BD$53,0)))</f>
        <v>-</v>
      </c>
      <c r="V92" s="46"/>
      <c r="W92" s="200" t="s">
        <v>137</v>
      </c>
      <c r="X92" s="74" t="n">
        <f aca="false">Horarios!C92</f>
        <v>46190.9166666667</v>
      </c>
      <c r="Y92" s="75" t="n">
        <f aca="false">Horarios!C92</f>
        <v>46190.9166666667</v>
      </c>
      <c r="Z92" s="76" t="str">
        <f aca="false">$Z$4</f>
        <v>J1</v>
      </c>
      <c r="AA92" s="77" t="str">
        <f aca="false">A93</f>
        <v>Inglaterra</v>
      </c>
      <c r="AB92" s="165" t="str">
        <f aca="true" t="array" ref="AB92:AB92">Ver_flag_local</f>
        <v/>
      </c>
      <c r="AC92" s="79"/>
      <c r="AD92" s="80"/>
      <c r="AE92" s="81" t="str">
        <f aca="true" t="array" ref="AE92:AE92">Ver_flag_visit</f>
        <v/>
      </c>
      <c r="AF92" s="82" t="str">
        <f aca="false">A94</f>
        <v>Croacia</v>
      </c>
      <c r="AG92" s="83" t="n">
        <f aca="false">IF(NOT(OR(ISBLANK(AC92),ISBLANK(AD92))),1,0)</f>
        <v>0</v>
      </c>
      <c r="AH92" s="84" t="n">
        <v>22</v>
      </c>
      <c r="AI92" s="85"/>
      <c r="AJ92" s="86" t="str">
        <f aca="false">CONCATENATE(AJ3," ",B92)</f>
        <v>Grupo L</v>
      </c>
      <c r="AK92" s="86"/>
      <c r="AL92" s="86"/>
      <c r="AM92" s="86"/>
      <c r="AN92" s="86"/>
      <c r="AO92" s="86"/>
      <c r="AP92" s="86"/>
      <c r="AQ92" s="86"/>
      <c r="AR92" s="86"/>
      <c r="AS92" s="86"/>
      <c r="AT92" s="86"/>
      <c r="AU92" s="161"/>
      <c r="AV92" s="87" t="str">
        <f aca="false">IF(AU93&gt;0,$AV$3,"")</f>
        <v/>
      </c>
      <c r="AW92" s="97"/>
      <c r="AX92" s="168"/>
      <c r="AY92" s="146"/>
      <c r="AZ92" s="147"/>
      <c r="BA92" s="49"/>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c r="CM92" s="55"/>
      <c r="CN92" s="55"/>
      <c r="CO92" s="55"/>
      <c r="CP92" s="55"/>
      <c r="CQ92" s="55"/>
      <c r="CR92" s="55"/>
      <c r="CS92" s="55"/>
      <c r="CT92" s="55"/>
      <c r="CU92" s="55"/>
      <c r="CV92" s="55"/>
      <c r="CW92" s="55"/>
      <c r="CX92" s="91"/>
      <c r="CY92" s="55"/>
      <c r="CZ92" s="55"/>
      <c r="DA92" s="55"/>
      <c r="DB92" s="55"/>
      <c r="DC92" s="55"/>
      <c r="DD92" s="55"/>
      <c r="DE92" s="55"/>
      <c r="DF92" s="55"/>
      <c r="DG92" s="55"/>
      <c r="DH92" s="55"/>
      <c r="DI92" s="55"/>
      <c r="DJ92" s="55"/>
      <c r="DK92" s="55"/>
      <c r="DL92" s="55"/>
      <c r="DM92" s="55"/>
      <c r="DN92" s="55"/>
      <c r="DO92" s="55"/>
      <c r="DP92" s="55"/>
      <c r="DQ92" s="55"/>
      <c r="DR92" s="55"/>
      <c r="DS92" s="55"/>
      <c r="DT92" s="55" t="str">
        <f aca="false">AA92&amp;"-"&amp;AF92</f>
        <v>Inglaterra-Croacia</v>
      </c>
      <c r="DU92" s="55"/>
      <c r="DV92" s="55"/>
      <c r="DW92" s="57"/>
    </row>
    <row r="93" customFormat="false" ht="15.75" hidden="false" customHeight="true" outlineLevel="0" collapsed="false">
      <c r="A93" s="92" t="str">
        <f aca="false">+Equipos!B46</f>
        <v>Inglaterra</v>
      </c>
      <c r="B93" s="72"/>
      <c r="C93" s="72"/>
      <c r="D93" s="55" t="str">
        <f aca="false">IF(OR(AC93="",AD93=""),"Pendiente",IF(AC93&gt;AD93,"Local",IF(AC93&lt;AD93,"Visitante","Empate")))</f>
        <v>Pendiente</v>
      </c>
      <c r="E93" s="55" t="str">
        <f aca="false">IF(D93="Pendiente","-",INDEX($BT$6:$BT$53,MATCH($AA93,$BD$6:$BD$53,0)))</f>
        <v>-</v>
      </c>
      <c r="F93" s="55" t="str">
        <f aca="false">IF(D93="Pendiente","-",INDEX($BT$6:$BT$53,MATCH($AF93,$BD$6:$BD$53,0)))</f>
        <v>-</v>
      </c>
      <c r="G93" s="55"/>
      <c r="H93" s="55" t="str">
        <f aca="false">IF(D93="Pendiente","-",INDEX($BZ$6:$BZ$53,MATCH($AA93,$BD$6:$BD$53,0)))</f>
        <v>-</v>
      </c>
      <c r="I93" s="55" t="str">
        <f aca="false">IF(D93="Pendiente","-",INDEX($BZ$6:$BZ$53,MATCH($AF93,$BD$6:$BD$53,0)))</f>
        <v>-</v>
      </c>
      <c r="J93" s="55"/>
      <c r="K93" s="55" t="str">
        <f aca="false">IF(D93="Pendiente","-",INDEX($CE$6:$CE$53,MATCH($AA93,$BD$6:$BD$53,0)))</f>
        <v>-</v>
      </c>
      <c r="L93" s="55" t="str">
        <f aca="false">IF(D93="Pendiente","-",INDEX($CE$6:$CE$53,MATCH($AF93,$BD$6:$BD$53,0)))</f>
        <v>-</v>
      </c>
      <c r="M93" s="55"/>
      <c r="N93" s="55" t="str">
        <f aca="false">IF(D93="Pendiente","-",INDEX($CH$6:$CH$53,MATCH($AA93,$BD$6:$BD$53,0)))</f>
        <v>-</v>
      </c>
      <c r="O93" s="55" t="str">
        <f aca="false">IF(D93="Pendiente","-",INDEX($CH$6:$CH$53,MATCH($AF93,$BD$6:$BD$53,0)))</f>
        <v>-</v>
      </c>
      <c r="P93" s="55"/>
      <c r="Q93" s="55" t="str">
        <f aca="false">IF(D93="Pendiente","-",INDEX($CN$6:$CN$53,MATCH($AA93,$BD$6:$BD$53,0)))</f>
        <v>-</v>
      </c>
      <c r="R93" s="55" t="str">
        <f aca="false">IF(D93="Pendiente","-",INDEX($CN$6:$CN$53,MATCH($AF93,$BD$6:$BD$53,0)))</f>
        <v>-</v>
      </c>
      <c r="S93" s="55"/>
      <c r="T93" s="55" t="str">
        <f aca="false">IF(D93="Pendiente","-",INDEX($CS$6:$CS$53,MATCH($AA93,$BD$6:$BD$53,0)))</f>
        <v>-</v>
      </c>
      <c r="U93" s="55" t="str">
        <f aca="false">IF(D93="Pendiente","-",INDEX($CS$6:$CS$53,MATCH($AF93,$BD$6:$BD$53,0)))</f>
        <v>-</v>
      </c>
      <c r="V93" s="46"/>
      <c r="W93" s="200"/>
      <c r="X93" s="74" t="n">
        <f aca="false">Horarios!C93</f>
        <v>46191.0416666667</v>
      </c>
      <c r="Y93" s="75" t="n">
        <f aca="false">Horarios!C93</f>
        <v>46191.0416666667</v>
      </c>
      <c r="Z93" s="76" t="str">
        <f aca="false">$Z$4</f>
        <v>J1</v>
      </c>
      <c r="AA93" s="77" t="str">
        <f aca="false">A95</f>
        <v>Ghana</v>
      </c>
      <c r="AB93" s="165" t="str">
        <f aca="true" t="array" ref="AB93:AB93">Ver_flag_local</f>
        <v/>
      </c>
      <c r="AC93" s="79"/>
      <c r="AD93" s="80"/>
      <c r="AE93" s="81" t="str">
        <f aca="true" t="array" ref="AE93:AE93">Ver_flag_visit</f>
        <v/>
      </c>
      <c r="AF93" s="82" t="str">
        <f aca="false">A96</f>
        <v>Panamá</v>
      </c>
      <c r="AG93" s="83" t="n">
        <f aca="false">IF(NOT(OR(ISBLANK(AC93),ISBLANK(AD93))),1,0)</f>
        <v>0</v>
      </c>
      <c r="AH93" s="84" t="n">
        <v>21</v>
      </c>
      <c r="AI93" s="85"/>
      <c r="AJ93" s="93" t="str">
        <f aca="false">AJ5</f>
        <v>Pos</v>
      </c>
      <c r="AK93" s="94"/>
      <c r="AL93" s="95" t="str">
        <f aca="false">AL5</f>
        <v>Selección</v>
      </c>
      <c r="AM93" s="94" t="str">
        <f aca="false">AM5</f>
        <v>Pts</v>
      </c>
      <c r="AN93" s="94" t="str">
        <f aca="false">AN5</f>
        <v>J</v>
      </c>
      <c r="AO93" s="94" t="str">
        <f aca="false">AO5</f>
        <v>G</v>
      </c>
      <c r="AP93" s="94" t="str">
        <f aca="false">AP5</f>
        <v>E</v>
      </c>
      <c r="AQ93" s="94" t="str">
        <f aca="false">AQ5</f>
        <v>P</v>
      </c>
      <c r="AR93" s="94" t="str">
        <f aca="false">AR5</f>
        <v>GF</v>
      </c>
      <c r="AS93" s="94" t="str">
        <f aca="false">AS5</f>
        <v>GC</v>
      </c>
      <c r="AT93" s="96" t="str">
        <f aca="false">AT5</f>
        <v>DG</v>
      </c>
      <c r="AU93" s="161" t="n">
        <f aca="false">COUNTIF(AU94:AU97,"&gt;1")</f>
        <v>0</v>
      </c>
      <c r="AV93" s="97"/>
      <c r="AW93" s="97"/>
      <c r="AX93" s="168"/>
      <c r="AY93" s="98" t="str">
        <f aca="false">AL93</f>
        <v>Selección</v>
      </c>
      <c r="AZ93" s="99" t="str">
        <f aca="false">+Idiomas!$D$69</f>
        <v>Puntos penalizados</v>
      </c>
      <c r="BA93" s="49"/>
      <c r="BB93" s="55"/>
      <c r="BC93" s="55"/>
      <c r="BD93" s="55"/>
      <c r="BE93" s="55"/>
      <c r="BF93" s="55"/>
      <c r="BG93" s="55"/>
      <c r="BH93" s="55"/>
      <c r="BI93" s="55"/>
      <c r="BJ93" s="55"/>
      <c r="BK93" s="55"/>
      <c r="BL93" s="55"/>
      <c r="BM93" s="55"/>
      <c r="BN93" s="195"/>
      <c r="BO93" s="195"/>
      <c r="BP93" s="195"/>
      <c r="BQ93" s="195"/>
      <c r="BR93" s="55"/>
      <c r="BS93" s="55"/>
      <c r="BT93" s="195"/>
      <c r="BU93" s="195"/>
      <c r="BV93" s="195"/>
      <c r="BW93" s="195"/>
      <c r="BX93" s="195"/>
      <c r="BY93" s="195"/>
      <c r="BZ93" s="195"/>
      <c r="CA93" s="195"/>
      <c r="CB93" s="195"/>
      <c r="CC93" s="195"/>
      <c r="CD93" s="195"/>
      <c r="CE93" s="195"/>
      <c r="CF93" s="195"/>
      <c r="CG93" s="195"/>
      <c r="CH93" s="195"/>
      <c r="CI93" s="195"/>
      <c r="CJ93" s="195"/>
      <c r="CK93" s="195"/>
      <c r="CL93" s="195"/>
      <c r="CM93" s="195"/>
      <c r="CN93" s="195"/>
      <c r="CO93" s="195"/>
      <c r="CP93" s="195"/>
      <c r="CQ93" s="195"/>
      <c r="CR93" s="195"/>
      <c r="CS93" s="195"/>
      <c r="CT93" s="195"/>
      <c r="CU93" s="195"/>
      <c r="CV93" s="195"/>
      <c r="CW93" s="55"/>
      <c r="CX93" s="195"/>
      <c r="CY93" s="55"/>
      <c r="CZ93" s="55"/>
      <c r="DA93" s="55"/>
      <c r="DB93" s="55"/>
      <c r="DC93" s="55"/>
      <c r="DD93" s="55"/>
      <c r="DE93" s="55"/>
      <c r="DF93" s="55"/>
      <c r="DG93" s="55"/>
      <c r="DH93" s="55"/>
      <c r="DI93" s="55"/>
      <c r="DJ93" s="55"/>
      <c r="DK93" s="55"/>
      <c r="DL93" s="55"/>
      <c r="DM93" s="55"/>
      <c r="DN93" s="55"/>
      <c r="DO93" s="55"/>
      <c r="DP93" s="55"/>
      <c r="DQ93" s="55"/>
      <c r="DR93" s="55"/>
      <c r="DS93" s="55"/>
      <c r="DT93" s="55" t="str">
        <f aca="false">AA93&amp;"-"&amp;AF93</f>
        <v>Ghana-Panamá</v>
      </c>
      <c r="DU93" s="55"/>
      <c r="DV93" s="55"/>
      <c r="DW93" s="57"/>
    </row>
    <row r="94" customFormat="false" ht="15.75" hidden="false" customHeight="true" outlineLevel="0" collapsed="false">
      <c r="A94" s="92" t="str">
        <f aca="false">+Equipos!B47</f>
        <v>Croacia</v>
      </c>
      <c r="B94" s="72"/>
      <c r="C94" s="103"/>
      <c r="D94" s="55" t="str">
        <f aca="false">IF(OR(AC94="",AD94=""),"Pendiente",IF(AC94&gt;AD94,"Local",IF(AC94&lt;AD94,"Visitante","Empate")))</f>
        <v>Pendiente</v>
      </c>
      <c r="E94" s="55" t="str">
        <f aca="false">IF(D94="Pendiente","-",INDEX($BT$6:$BT$53,MATCH($AA94,$BD$6:$BD$53,0)))</f>
        <v>-</v>
      </c>
      <c r="F94" s="55" t="str">
        <f aca="false">IF(D94="Pendiente","-",INDEX($BT$6:$BT$53,MATCH($AF94,$BD$6:$BD$53,0)))</f>
        <v>-</v>
      </c>
      <c r="G94" s="55"/>
      <c r="H94" s="55" t="str">
        <f aca="false">IF(D94="Pendiente","-",INDEX($BZ$6:$BZ$53,MATCH($AA94,$BD$6:$BD$53,0)))</f>
        <v>-</v>
      </c>
      <c r="I94" s="55" t="str">
        <f aca="false">IF(D94="Pendiente","-",INDEX($BZ$6:$BZ$53,MATCH($AF94,$BD$6:$BD$53,0)))</f>
        <v>-</v>
      </c>
      <c r="J94" s="55"/>
      <c r="K94" s="55" t="str">
        <f aca="false">IF(D94="Pendiente","-",INDEX($CE$6:$CE$53,MATCH($AA94,$BD$6:$BD$53,0)))</f>
        <v>-</v>
      </c>
      <c r="L94" s="55" t="str">
        <f aca="false">IF(D94="Pendiente","-",INDEX($CE$6:$CE$53,MATCH($AF94,$BD$6:$BD$53,0)))</f>
        <v>-</v>
      </c>
      <c r="M94" s="55"/>
      <c r="N94" s="55" t="str">
        <f aca="false">IF(D94="Pendiente","-",INDEX($CH$6:$CH$53,MATCH($AA94,$BD$6:$BD$53,0)))</f>
        <v>-</v>
      </c>
      <c r="O94" s="55" t="str">
        <f aca="false">IF(D94="Pendiente","-",INDEX($CH$6:$CH$53,MATCH($AF94,$BD$6:$BD$53,0)))</f>
        <v>-</v>
      </c>
      <c r="P94" s="55"/>
      <c r="Q94" s="55" t="str">
        <f aca="false">IF(D94="Pendiente","-",INDEX($CN$6:$CN$53,MATCH($AA94,$BD$6:$BD$53,0)))</f>
        <v>-</v>
      </c>
      <c r="R94" s="55" t="str">
        <f aca="false">IF(D94="Pendiente","-",INDEX($CN$6:$CN$53,MATCH($AF94,$BD$6:$BD$53,0)))</f>
        <v>-</v>
      </c>
      <c r="S94" s="55"/>
      <c r="T94" s="55" t="str">
        <f aca="false">IF(D94="Pendiente","-",INDEX($CS$6:$CS$53,MATCH($AA94,$BD$6:$BD$53,0)))</f>
        <v>-</v>
      </c>
      <c r="U94" s="55" t="str">
        <f aca="false">IF(D94="Pendiente","-",INDEX($CS$6:$CS$53,MATCH($AF94,$BD$6:$BD$53,0)))</f>
        <v>-</v>
      </c>
      <c r="V94" s="46"/>
      <c r="W94" s="200"/>
      <c r="X94" s="74" t="n">
        <f aca="false">Horarios!C94</f>
        <v>46196.9166666667</v>
      </c>
      <c r="Y94" s="75" t="n">
        <f aca="false">Horarios!C94</f>
        <v>46196.9166666667</v>
      </c>
      <c r="Z94" s="76" t="str">
        <f aca="false">$Z$6</f>
        <v>J2</v>
      </c>
      <c r="AA94" s="77" t="str">
        <f aca="false">A93</f>
        <v>Inglaterra</v>
      </c>
      <c r="AB94" s="165" t="str">
        <f aca="true" t="array" ref="AB94:AB94">Ver_flag_local</f>
        <v/>
      </c>
      <c r="AC94" s="79"/>
      <c r="AD94" s="80"/>
      <c r="AE94" s="81" t="str">
        <f aca="true" t="array" ref="AE94:AE94">Ver_flag_visit</f>
        <v/>
      </c>
      <c r="AF94" s="82" t="str">
        <f aca="false">A95</f>
        <v>Ghana</v>
      </c>
      <c r="AG94" s="83" t="n">
        <f aca="false">IF(NOT(OR(ISBLANK(AC94),ISBLANK(AD94))),1,0)</f>
        <v>0</v>
      </c>
      <c r="AH94" s="84" t="n">
        <v>45</v>
      </c>
      <c r="AI94" s="85" t="str">
        <f aca="false">AJ94&amp;$B$92</f>
        <v>1L</v>
      </c>
      <c r="AJ94" s="104" t="n">
        <v>1</v>
      </c>
      <c r="AK94" s="170" t="str">
        <f aca="true" t="array" ref="AK94:AK94">Ver_flag_visit</f>
        <v/>
      </c>
      <c r="AL94" s="106" t="str">
        <f aca="false">IFERROR(INDEX($BD$6:$BD$53,MATCH(AI94,$BN$6:$BN$53,0)),"")</f>
        <v>Inglaterra</v>
      </c>
      <c r="AM94" s="107" t="n">
        <f aca="false">INDEX($BE$6:$BN$53,MATCH($AL94,$BD$6:$BD$53,0),MATCH(AM$5,$BE$5:$BN$5,0))</f>
        <v>0</v>
      </c>
      <c r="AN94" s="108" t="n">
        <f aca="false">INDEX($BE$6:$BN$53,MATCH($AL94,$BD$6:$BD$53,0),MATCH(AN$5,$BE$5:$BN$5,0))</f>
        <v>0</v>
      </c>
      <c r="AO94" s="108" t="n">
        <f aca="false">INDEX($BE$6:$BN$53,MATCH($AL94,$BD$6:$BD$53,0),MATCH(AO$5,$BE$5:$BN$5,0))</f>
        <v>0</v>
      </c>
      <c r="AP94" s="108" t="n">
        <f aca="false">INDEX($BE$6:$BN$53,MATCH($AL94,$BD$6:$BD$53,0),MATCH(AP$5,$BE$5:$BN$5,0))</f>
        <v>0</v>
      </c>
      <c r="AQ94" s="108" t="n">
        <f aca="false">INDEX($BE$6:$BN$53,MATCH($AL94,$BD$6:$BD$53,0),MATCH(AQ$5,$BE$5:$BN$5,0))</f>
        <v>0</v>
      </c>
      <c r="AR94" s="108" t="n">
        <f aca="false">INDEX($BE$6:$BN$53,MATCH($AL94,$BD$6:$BD$53,0),MATCH(AR$5,$BE$5:$BN$5,0))</f>
        <v>0</v>
      </c>
      <c r="AS94" s="108" t="n">
        <f aca="false">INDEX($BE$6:$BN$53,MATCH($AL94,$BD$6:$BD$53,0),MATCH(AS$5,$BE$5:$BN$5,0))</f>
        <v>0</v>
      </c>
      <c r="AT94" s="109" t="n">
        <f aca="false">INDEX($BE$6:$BN$53,MATCH($AL94,$BD$6:$BD$53,0),MATCH(AT$5,$BE$5:$BN$5,0))</f>
        <v>0</v>
      </c>
      <c r="AU94" s="110" t="n">
        <f aca="false">INDEX($DL$6:$DL$53,MATCH(AI94,$DP$6:$DP$53,0))</f>
        <v>1</v>
      </c>
      <c r="AV94" s="111" t="str">
        <f aca="false">INDEX($BD$6:$BD$53,MATCH(AI94,$BM$6:$BM$53,0))</f>
        <v>Inglaterra</v>
      </c>
      <c r="AW94" s="112"/>
      <c r="AX94" s="113"/>
      <c r="AY94" s="114" t="str">
        <f aca="false">+A93</f>
        <v>Inglaterra</v>
      </c>
      <c r="AZ94" s="115"/>
      <c r="BA94" s="49"/>
      <c r="BB94" s="55"/>
      <c r="BC94" s="55"/>
      <c r="BD94" s="55"/>
      <c r="BE94" s="55"/>
      <c r="BF94" s="55"/>
      <c r="BG94" s="55"/>
      <c r="BH94" s="55"/>
      <c r="BI94" s="55"/>
      <c r="BJ94" s="55"/>
      <c r="BK94" s="55"/>
      <c r="BL94" s="55"/>
      <c r="BM94" s="55"/>
      <c r="BN94" s="91"/>
      <c r="BO94" s="91"/>
      <c r="BP94" s="91"/>
      <c r="BQ94" s="91"/>
      <c r="BR94" s="55"/>
      <c r="BS94" s="55"/>
      <c r="BT94" s="91"/>
      <c r="BU94" s="91"/>
      <c r="BV94" s="91"/>
      <c r="BW94" s="91"/>
      <c r="BX94" s="91"/>
      <c r="BY94" s="91"/>
      <c r="BZ94" s="91"/>
      <c r="CA94" s="91"/>
      <c r="CB94" s="91"/>
      <c r="CC94" s="91"/>
      <c r="CD94" s="91"/>
      <c r="CE94" s="91"/>
      <c r="CF94" s="91"/>
      <c r="CG94" s="91"/>
      <c r="CH94" s="91"/>
      <c r="CI94" s="91"/>
      <c r="CJ94" s="91"/>
      <c r="CK94" s="91"/>
      <c r="CL94" s="91"/>
      <c r="CM94" s="91"/>
      <c r="CN94" s="91"/>
      <c r="CO94" s="91"/>
      <c r="CP94" s="91"/>
      <c r="CQ94" s="91"/>
      <c r="CR94" s="91"/>
      <c r="CS94" s="91"/>
      <c r="CT94" s="91"/>
      <c r="CU94" s="91"/>
      <c r="CV94" s="91"/>
      <c r="CW94" s="55"/>
      <c r="CX94" s="91"/>
      <c r="CY94" s="55"/>
      <c r="CZ94" s="55"/>
      <c r="DA94" s="55"/>
      <c r="DB94" s="55"/>
      <c r="DC94" s="55"/>
      <c r="DD94" s="55"/>
      <c r="DE94" s="55"/>
      <c r="DF94" s="55"/>
      <c r="DG94" s="55"/>
      <c r="DH94" s="55"/>
      <c r="DI94" s="55"/>
      <c r="DJ94" s="55"/>
      <c r="DK94" s="55"/>
      <c r="DL94" s="55"/>
      <c r="DM94" s="55"/>
      <c r="DN94" s="55"/>
      <c r="DO94" s="55"/>
      <c r="DP94" s="55"/>
      <c r="DQ94" s="55"/>
      <c r="DR94" s="55"/>
      <c r="DS94" s="55"/>
      <c r="DT94" s="55" t="str">
        <f aca="false">AA94&amp;"-"&amp;AF94</f>
        <v>Inglaterra-Ghana</v>
      </c>
      <c r="DU94" s="55"/>
      <c r="DV94" s="55"/>
      <c r="DW94" s="57"/>
    </row>
    <row r="95" customFormat="false" ht="15.75" hidden="false" customHeight="true" outlineLevel="0" collapsed="false">
      <c r="A95" s="92" t="str">
        <f aca="false">+Equipos!B48</f>
        <v>Ghana</v>
      </c>
      <c r="B95" s="72"/>
      <c r="C95" s="55"/>
      <c r="D95" s="55" t="str">
        <f aca="false">IF(OR(AC95="",AD95=""),"Pendiente",IF(AC95&gt;AD95,"Local",IF(AC95&lt;AD95,"Visitante","Empate")))</f>
        <v>Pendiente</v>
      </c>
      <c r="E95" s="55" t="str">
        <f aca="false">IF(D95="Pendiente","-",INDEX($BT$6:$BT$53,MATCH($AA95,$BD$6:$BD$53,0)))</f>
        <v>-</v>
      </c>
      <c r="F95" s="55" t="str">
        <f aca="false">IF(D95="Pendiente","-",INDEX($BT$6:$BT$53,MATCH($AF95,$BD$6:$BD$53,0)))</f>
        <v>-</v>
      </c>
      <c r="G95" s="55"/>
      <c r="H95" s="55" t="str">
        <f aca="false">IF(D95="Pendiente","-",INDEX($BZ$6:$BZ$53,MATCH($AA95,$BD$6:$BD$53,0)))</f>
        <v>-</v>
      </c>
      <c r="I95" s="55" t="str">
        <f aca="false">IF(D95="Pendiente","-",INDEX($BZ$6:$BZ$53,MATCH($AF95,$BD$6:$BD$53,0)))</f>
        <v>-</v>
      </c>
      <c r="J95" s="55"/>
      <c r="K95" s="55" t="str">
        <f aca="false">IF(D95="Pendiente","-",INDEX($CE$6:$CE$53,MATCH($AA95,$BD$6:$BD$53,0)))</f>
        <v>-</v>
      </c>
      <c r="L95" s="55" t="str">
        <f aca="false">IF(D95="Pendiente","-",INDEX($CE$6:$CE$53,MATCH($AF95,$BD$6:$BD$53,0)))</f>
        <v>-</v>
      </c>
      <c r="M95" s="55"/>
      <c r="N95" s="55" t="str">
        <f aca="false">IF(D95="Pendiente","-",INDEX($CH$6:$CH$53,MATCH($AA95,$BD$6:$BD$53,0)))</f>
        <v>-</v>
      </c>
      <c r="O95" s="55" t="str">
        <f aca="false">IF(D95="Pendiente","-",INDEX($CH$6:$CH$53,MATCH($AF95,$BD$6:$BD$53,0)))</f>
        <v>-</v>
      </c>
      <c r="P95" s="55"/>
      <c r="Q95" s="55" t="str">
        <f aca="false">IF(D95="Pendiente","-",INDEX($CN$6:$CN$53,MATCH($AA95,$BD$6:$BD$53,0)))</f>
        <v>-</v>
      </c>
      <c r="R95" s="55" t="str">
        <f aca="false">IF(D95="Pendiente","-",INDEX($CN$6:$CN$53,MATCH($AF95,$BD$6:$BD$53,0)))</f>
        <v>-</v>
      </c>
      <c r="S95" s="55"/>
      <c r="T95" s="55" t="str">
        <f aca="false">IF(D95="Pendiente","-",INDEX($CS$6:$CS$53,MATCH($AA95,$BD$6:$BD$53,0)))</f>
        <v>-</v>
      </c>
      <c r="U95" s="55" t="str">
        <f aca="false">IF(D95="Pendiente","-",INDEX($CS$6:$CS$53,MATCH($AF95,$BD$6:$BD$53,0)))</f>
        <v>-</v>
      </c>
      <c r="V95" s="46"/>
      <c r="W95" s="200"/>
      <c r="X95" s="74" t="n">
        <f aca="false">Horarios!C95</f>
        <v>46197.0416666667</v>
      </c>
      <c r="Y95" s="75" t="n">
        <f aca="false">Horarios!C95</f>
        <v>46197.0416666667</v>
      </c>
      <c r="Z95" s="76" t="str">
        <f aca="false">$Z$6</f>
        <v>J2</v>
      </c>
      <c r="AA95" s="77" t="str">
        <f aca="false">A96</f>
        <v>Panamá</v>
      </c>
      <c r="AB95" s="165" t="str">
        <f aca="true" t="array" ref="AB95:AB95">Ver_flag_local</f>
        <v/>
      </c>
      <c r="AC95" s="79"/>
      <c r="AD95" s="80"/>
      <c r="AE95" s="81" t="str">
        <f aca="true" t="array" ref="AE95:AE95">Ver_flag_visit</f>
        <v/>
      </c>
      <c r="AF95" s="82" t="str">
        <f aca="false">A94</f>
        <v>Croacia</v>
      </c>
      <c r="AG95" s="83" t="n">
        <f aca="false">IF(NOT(OR(ISBLANK(AC95),ISBLANK(AD95))),1,0)</f>
        <v>0</v>
      </c>
      <c r="AH95" s="84" t="n">
        <v>46</v>
      </c>
      <c r="AI95" s="85" t="str">
        <f aca="false">AJ95&amp;$B$92</f>
        <v>2L</v>
      </c>
      <c r="AJ95" s="121" t="n">
        <v>2</v>
      </c>
      <c r="AK95" s="173" t="str">
        <f aca="true" t="array" ref="AK95:AK95">Ver_flag_visit</f>
        <v/>
      </c>
      <c r="AL95" s="123" t="str">
        <f aca="false">IFERROR(INDEX($BD$6:$BD$53,MATCH(AI95,$BN$6:$BN$53,0)),"")</f>
        <v>Croacia</v>
      </c>
      <c r="AM95" s="124" t="n">
        <f aca="false">INDEX($BE$6:$BN$53,MATCH($AL95,$BD$6:$BD$53,0),MATCH(AM$5,$BE$5:$BN$5,0))</f>
        <v>0</v>
      </c>
      <c r="AN95" s="125" t="n">
        <f aca="false">INDEX($BE$6:$BN$53,MATCH($AL95,$BD$6:$BD$53,0),MATCH(AN$5,$BE$5:$BN$5,0))</f>
        <v>0</v>
      </c>
      <c r="AO95" s="125" t="n">
        <f aca="false">INDEX($BE$6:$BN$53,MATCH($AL95,$BD$6:$BD$53,0),MATCH(AO$5,$BE$5:$BN$5,0))</f>
        <v>0</v>
      </c>
      <c r="AP95" s="125" t="n">
        <f aca="false">INDEX($BE$6:$BN$53,MATCH($AL95,$BD$6:$BD$53,0),MATCH(AP$5,$BE$5:$BN$5,0))</f>
        <v>0</v>
      </c>
      <c r="AQ95" s="125" t="n">
        <f aca="false">INDEX($BE$6:$BN$53,MATCH($AL95,$BD$6:$BD$53,0),MATCH(AQ$5,$BE$5:$BN$5,0))</f>
        <v>0</v>
      </c>
      <c r="AR95" s="125" t="n">
        <f aca="false">INDEX($BE$6:$BN$53,MATCH($AL95,$BD$6:$BD$53,0),MATCH(AR$5,$BE$5:$BN$5,0))</f>
        <v>0</v>
      </c>
      <c r="AS95" s="125" t="n">
        <f aca="false">INDEX($BE$6:$BN$53,MATCH($AL95,$BD$6:$BD$53,0),MATCH(AS$5,$BE$5:$BN$5,0))</f>
        <v>0</v>
      </c>
      <c r="AT95" s="126" t="n">
        <f aca="false">INDEX($BE$6:$BN$53,MATCH($AL95,$BD$6:$BD$53,0),MATCH(AT$5,$BE$5:$BN$5,0))</f>
        <v>0</v>
      </c>
      <c r="AU95" s="110" t="n">
        <f aca="false">INDEX($DL$6:$DL$53,MATCH(AI95,$DP$6:$DP$53,0))</f>
        <v>1</v>
      </c>
      <c r="AV95" s="111" t="str">
        <f aca="false">INDEX($BD$6:$BD$53,MATCH(AI95,$BM$6:$BM$53,0))</f>
        <v>Croacia</v>
      </c>
      <c r="AW95" s="112"/>
      <c r="AX95" s="113"/>
      <c r="AY95" s="127" t="str">
        <f aca="false">+A94</f>
        <v>Croacia</v>
      </c>
      <c r="AZ95" s="128"/>
      <c r="BA95" s="49"/>
      <c r="BB95" s="55"/>
      <c r="BC95" s="55"/>
      <c r="BD95" s="55"/>
      <c r="BE95" s="55"/>
      <c r="BF95" s="55"/>
      <c r="BG95" s="55"/>
      <c r="BH95" s="55"/>
      <c r="BI95" s="55"/>
      <c r="BJ95" s="55"/>
      <c r="BK95" s="55"/>
      <c r="BL95" s="55"/>
      <c r="BM95" s="55"/>
      <c r="BN95" s="91"/>
      <c r="BO95" s="91"/>
      <c r="BP95" s="91"/>
      <c r="BQ95" s="91"/>
      <c r="BR95" s="55"/>
      <c r="BS95" s="55"/>
      <c r="BT95" s="91"/>
      <c r="BU95" s="91"/>
      <c r="BV95" s="91"/>
      <c r="BW95" s="91"/>
      <c r="BX95" s="91"/>
      <c r="BY95" s="91"/>
      <c r="BZ95" s="91"/>
      <c r="CA95" s="91"/>
      <c r="CB95" s="91"/>
      <c r="CC95" s="91"/>
      <c r="CD95" s="91"/>
      <c r="CE95" s="91"/>
      <c r="CF95" s="91"/>
      <c r="CG95" s="91"/>
      <c r="CH95" s="91"/>
      <c r="CI95" s="91"/>
      <c r="CJ95" s="91"/>
      <c r="CK95" s="91"/>
      <c r="CL95" s="91"/>
      <c r="CM95" s="91"/>
      <c r="CN95" s="91"/>
      <c r="CO95" s="91"/>
      <c r="CP95" s="91"/>
      <c r="CQ95" s="91"/>
      <c r="CR95" s="91"/>
      <c r="CS95" s="91"/>
      <c r="CT95" s="91"/>
      <c r="CU95" s="91"/>
      <c r="CV95" s="91"/>
      <c r="CW95" s="55"/>
      <c r="CX95" s="91"/>
      <c r="CY95" s="55"/>
      <c r="CZ95" s="55"/>
      <c r="DA95" s="55"/>
      <c r="DB95" s="55"/>
      <c r="DC95" s="55"/>
      <c r="DD95" s="55"/>
      <c r="DE95" s="55"/>
      <c r="DF95" s="55"/>
      <c r="DG95" s="55"/>
      <c r="DH95" s="55"/>
      <c r="DI95" s="55"/>
      <c r="DJ95" s="55"/>
      <c r="DK95" s="55"/>
      <c r="DL95" s="55"/>
      <c r="DM95" s="55"/>
      <c r="DN95" s="55"/>
      <c r="DO95" s="55"/>
      <c r="DP95" s="55"/>
      <c r="DQ95" s="55"/>
      <c r="DR95" s="55"/>
      <c r="DS95" s="55"/>
      <c r="DT95" s="55" t="str">
        <f aca="false">AA95&amp;"-"&amp;AF95</f>
        <v>Panamá-Croacia</v>
      </c>
      <c r="DU95" s="55"/>
      <c r="DV95" s="55"/>
      <c r="DW95" s="57"/>
    </row>
    <row r="96" customFormat="false" ht="15.75" hidden="false" customHeight="true" outlineLevel="0" collapsed="false">
      <c r="A96" s="92" t="str">
        <f aca="false">+Equipos!B49</f>
        <v>Panamá</v>
      </c>
      <c r="B96" s="72"/>
      <c r="C96" s="55"/>
      <c r="D96" s="55" t="str">
        <f aca="false">IF(OR(AC96="",AD96=""),"Pendiente",IF(AC96&gt;AD96,"Local",IF(AC96&lt;AD96,"Visitante","Empate")))</f>
        <v>Pendiente</v>
      </c>
      <c r="E96" s="55" t="str">
        <f aca="false">IF(D96="Pendiente","-",INDEX($BT$6:$BT$53,MATCH($AA96,$BD$6:$BD$53,0)))</f>
        <v>-</v>
      </c>
      <c r="F96" s="55" t="str">
        <f aca="false">IF(D96="Pendiente","-",INDEX($BT$6:$BT$53,MATCH($AF96,$BD$6:$BD$53,0)))</f>
        <v>-</v>
      </c>
      <c r="G96" s="55"/>
      <c r="H96" s="55" t="str">
        <f aca="false">IF(D96="Pendiente","-",INDEX($BZ$6:$BZ$53,MATCH($AA96,$BD$6:$BD$53,0)))</f>
        <v>-</v>
      </c>
      <c r="I96" s="55" t="str">
        <f aca="false">IF(D96="Pendiente","-",INDEX($BZ$6:$BZ$53,MATCH($AF96,$BD$6:$BD$53,0)))</f>
        <v>-</v>
      </c>
      <c r="J96" s="55"/>
      <c r="K96" s="55" t="str">
        <f aca="false">IF(D96="Pendiente","-",INDEX($CE$6:$CE$53,MATCH($AA96,$BD$6:$BD$53,0)))</f>
        <v>-</v>
      </c>
      <c r="L96" s="55" t="str">
        <f aca="false">IF(D96="Pendiente","-",INDEX($CE$6:$CE$53,MATCH($AF96,$BD$6:$BD$53,0)))</f>
        <v>-</v>
      </c>
      <c r="M96" s="55"/>
      <c r="N96" s="55" t="str">
        <f aca="false">IF(D96="Pendiente","-",INDEX($CH$6:$CH$53,MATCH($AA96,$BD$6:$BD$53,0)))</f>
        <v>-</v>
      </c>
      <c r="O96" s="55" t="str">
        <f aca="false">IF(D96="Pendiente","-",INDEX($CH$6:$CH$53,MATCH($AF96,$BD$6:$BD$53,0)))</f>
        <v>-</v>
      </c>
      <c r="P96" s="55"/>
      <c r="Q96" s="55" t="str">
        <f aca="false">IF(D96="Pendiente","-",INDEX($CN$6:$CN$53,MATCH($AA96,$BD$6:$BD$53,0)))</f>
        <v>-</v>
      </c>
      <c r="R96" s="55" t="str">
        <f aca="false">IF(D96="Pendiente","-",INDEX($CN$6:$CN$53,MATCH($AF96,$BD$6:$BD$53,0)))</f>
        <v>-</v>
      </c>
      <c r="S96" s="55"/>
      <c r="T96" s="55" t="str">
        <f aca="false">IF(D96="Pendiente","-",INDEX($CS$6:$CS$53,MATCH($AA96,$BD$6:$BD$53,0)))</f>
        <v>-</v>
      </c>
      <c r="U96" s="55" t="str">
        <f aca="false">IF(D96="Pendiente","-",INDEX($CS$6:$CS$53,MATCH($AF96,$BD$6:$BD$53,0)))</f>
        <v>-</v>
      </c>
      <c r="V96" s="46"/>
      <c r="W96" s="200"/>
      <c r="X96" s="74" t="n">
        <f aca="false">Horarios!C96</f>
        <v>46200.9583333333</v>
      </c>
      <c r="Y96" s="75" t="n">
        <f aca="false">Horarios!C96</f>
        <v>46200.9583333333</v>
      </c>
      <c r="Z96" s="76" t="str">
        <f aca="false">$Z$8</f>
        <v>J3</v>
      </c>
      <c r="AA96" s="77" t="str">
        <f aca="false">A96</f>
        <v>Panamá</v>
      </c>
      <c r="AB96" s="165" t="str">
        <f aca="true" t="array" ref="AB96:AB96">Ver_flag_local</f>
        <v/>
      </c>
      <c r="AC96" s="79"/>
      <c r="AD96" s="80"/>
      <c r="AE96" s="81" t="str">
        <f aca="true" t="array" ref="AE96:AE96">Ver_flag_visit</f>
        <v/>
      </c>
      <c r="AF96" s="82" t="str">
        <f aca="false">A93</f>
        <v>Inglaterra</v>
      </c>
      <c r="AG96" s="83" t="n">
        <f aca="false">IF(NOT(OR(ISBLANK(AC96),ISBLANK(AD96))),1,0)</f>
        <v>0</v>
      </c>
      <c r="AH96" s="84" t="n">
        <v>67</v>
      </c>
      <c r="AI96" s="85" t="str">
        <f aca="false">AJ96&amp;$B$92</f>
        <v>3L</v>
      </c>
      <c r="AJ96" s="121" t="n">
        <v>3</v>
      </c>
      <c r="AK96" s="173" t="str">
        <f aca="true" t="array" ref="AK96:AK96">Ver_flag_visit</f>
        <v/>
      </c>
      <c r="AL96" s="123" t="str">
        <f aca="false">IFERROR(INDEX($BD$6:$BD$53,MATCH(AI96,$BN$6:$BN$53,0)),"")</f>
        <v>Ghana</v>
      </c>
      <c r="AM96" s="124" t="n">
        <f aca="false">INDEX($BE$6:$BN$53,MATCH($AL96,$BD$6:$BD$53,0),MATCH(AM$5,$BE$5:$BN$5,0))</f>
        <v>0</v>
      </c>
      <c r="AN96" s="125" t="n">
        <f aca="false">INDEX($BE$6:$BN$53,MATCH($AL96,$BD$6:$BD$53,0),MATCH(AN$5,$BE$5:$BN$5,0))</f>
        <v>0</v>
      </c>
      <c r="AO96" s="125" t="n">
        <f aca="false">INDEX($BE$6:$BN$53,MATCH($AL96,$BD$6:$BD$53,0),MATCH(AO$5,$BE$5:$BN$5,0))</f>
        <v>0</v>
      </c>
      <c r="AP96" s="125" t="n">
        <f aca="false">INDEX($BE$6:$BN$53,MATCH($AL96,$BD$6:$BD$53,0),MATCH(AP$5,$BE$5:$BN$5,0))</f>
        <v>0</v>
      </c>
      <c r="AQ96" s="125" t="n">
        <f aca="false">INDEX($BE$6:$BN$53,MATCH($AL96,$BD$6:$BD$53,0),MATCH(AQ$5,$BE$5:$BN$5,0))</f>
        <v>0</v>
      </c>
      <c r="AR96" s="125" t="n">
        <f aca="false">INDEX($BE$6:$BN$53,MATCH($AL96,$BD$6:$BD$53,0),MATCH(AR$5,$BE$5:$BN$5,0))</f>
        <v>0</v>
      </c>
      <c r="AS96" s="125" t="n">
        <f aca="false">INDEX($BE$6:$BN$53,MATCH($AL96,$BD$6:$BD$53,0),MATCH(AS$5,$BE$5:$BN$5,0))</f>
        <v>0</v>
      </c>
      <c r="AT96" s="126" t="n">
        <f aca="false">INDEX($BE$6:$BN$53,MATCH($AL96,$BD$6:$BD$53,0),MATCH(AT$5,$BE$5:$BN$5,0))</f>
        <v>0</v>
      </c>
      <c r="AU96" s="110" t="n">
        <f aca="false">INDEX($DL$6:$DL$53,MATCH(AI96,$DP$6:$DP$53,0))</f>
        <v>1</v>
      </c>
      <c r="AV96" s="111" t="str">
        <f aca="false">INDEX($BD$6:$BD$53,MATCH(AI96,$BM$6:$BM$53,0))</f>
        <v>Ghana</v>
      </c>
      <c r="AW96" s="112"/>
      <c r="AX96" s="113"/>
      <c r="AY96" s="114" t="str">
        <f aca="false">+A95</f>
        <v>Ghana</v>
      </c>
      <c r="AZ96" s="115"/>
      <c r="BA96" s="49"/>
      <c r="BB96" s="55"/>
      <c r="BC96" s="55"/>
      <c r="BD96" s="55"/>
      <c r="BE96" s="55"/>
      <c r="BF96" s="55"/>
      <c r="BG96" s="55"/>
      <c r="BH96" s="55"/>
      <c r="BI96" s="55"/>
      <c r="BJ96" s="55"/>
      <c r="BK96" s="55"/>
      <c r="BL96" s="55"/>
      <c r="BM96" s="55"/>
      <c r="BN96" s="91"/>
      <c r="BO96" s="91"/>
      <c r="BP96" s="91"/>
      <c r="BQ96" s="91"/>
      <c r="BR96" s="55"/>
      <c r="BS96" s="55"/>
      <c r="BT96" s="91"/>
      <c r="BU96" s="91"/>
      <c r="BV96" s="91"/>
      <c r="BW96" s="91"/>
      <c r="BX96" s="91"/>
      <c r="BY96" s="91"/>
      <c r="BZ96" s="91"/>
      <c r="CA96" s="91"/>
      <c r="CB96" s="91"/>
      <c r="CC96" s="91"/>
      <c r="CD96" s="91"/>
      <c r="CE96" s="91"/>
      <c r="CF96" s="91"/>
      <c r="CG96" s="91"/>
      <c r="CH96" s="91"/>
      <c r="CI96" s="91"/>
      <c r="CJ96" s="91"/>
      <c r="CK96" s="91"/>
      <c r="CL96" s="91"/>
      <c r="CM96" s="91"/>
      <c r="CN96" s="91"/>
      <c r="CO96" s="91"/>
      <c r="CP96" s="91"/>
      <c r="CQ96" s="91"/>
      <c r="CR96" s="91"/>
      <c r="CS96" s="91"/>
      <c r="CT96" s="91"/>
      <c r="CU96" s="91"/>
      <c r="CV96" s="91"/>
      <c r="CW96" s="55"/>
      <c r="CX96" s="91"/>
      <c r="CY96" s="55"/>
      <c r="CZ96" s="55"/>
      <c r="DA96" s="55"/>
      <c r="DB96" s="55"/>
      <c r="DC96" s="55"/>
      <c r="DD96" s="55"/>
      <c r="DE96" s="55"/>
      <c r="DF96" s="55"/>
      <c r="DG96" s="55"/>
      <c r="DH96" s="55"/>
      <c r="DI96" s="55"/>
      <c r="DJ96" s="55"/>
      <c r="DK96" s="55"/>
      <c r="DL96" s="55"/>
      <c r="DM96" s="55"/>
      <c r="DN96" s="55"/>
      <c r="DO96" s="55"/>
      <c r="DP96" s="55"/>
      <c r="DQ96" s="55"/>
      <c r="DR96" s="55"/>
      <c r="DS96" s="55"/>
      <c r="DT96" s="55" t="str">
        <f aca="false">AA96&amp;"-"&amp;AF96</f>
        <v>Panamá-Inglaterra</v>
      </c>
      <c r="DU96" s="55"/>
      <c r="DV96" s="55"/>
      <c r="DW96" s="57"/>
    </row>
    <row r="97" customFormat="false" ht="16.5" hidden="false" customHeight="true" outlineLevel="0" collapsed="false">
      <c r="A97" s="39"/>
      <c r="B97" s="39"/>
      <c r="C97" s="39"/>
      <c r="D97" s="55" t="str">
        <f aca="false">IF(OR(AC97="",AD97=""),"Pendiente",IF(AC97&gt;AD97,"Local",IF(AC97&lt;AD97,"Visitante","Empate")))</f>
        <v>Pendiente</v>
      </c>
      <c r="E97" s="55" t="str">
        <f aca="false">IF(D97="Pendiente","-",INDEX($BT$6:$BT$53,MATCH($AA97,$BD$6:$BD$53,0)))</f>
        <v>-</v>
      </c>
      <c r="F97" s="55" t="str">
        <f aca="false">IF(D97="Pendiente","-",INDEX($BT$6:$BT$53,MATCH($AF97,$BD$6:$BD$53,0)))</f>
        <v>-</v>
      </c>
      <c r="G97" s="55"/>
      <c r="H97" s="55" t="str">
        <f aca="false">IF(D97="Pendiente","-",INDEX($BZ$6:$BZ$53,MATCH($AA97,$BD$6:$BD$53,0)))</f>
        <v>-</v>
      </c>
      <c r="I97" s="55" t="str">
        <f aca="false">IF(D97="Pendiente","-",INDEX($BZ$6:$BZ$53,MATCH($AF97,$BD$6:$BD$53,0)))</f>
        <v>-</v>
      </c>
      <c r="J97" s="55"/>
      <c r="K97" s="55" t="str">
        <f aca="false">IF(D97="Pendiente","-",INDEX($CE$6:$CE$53,MATCH($AA97,$BD$6:$BD$53,0)))</f>
        <v>-</v>
      </c>
      <c r="L97" s="55" t="str">
        <f aca="false">IF(D97="Pendiente","-",INDEX($CE$6:$CE$53,MATCH($AF97,$BD$6:$BD$53,0)))</f>
        <v>-</v>
      </c>
      <c r="M97" s="55"/>
      <c r="N97" s="55" t="str">
        <f aca="false">IF(D97="Pendiente","-",INDEX($CH$6:$CH$53,MATCH($AA97,$BD$6:$BD$53,0)))</f>
        <v>-</v>
      </c>
      <c r="O97" s="55" t="str">
        <f aca="false">IF(D97="Pendiente","-",INDEX($CH$6:$CH$53,MATCH($AF97,$BD$6:$BD$53,0)))</f>
        <v>-</v>
      </c>
      <c r="P97" s="55"/>
      <c r="Q97" s="55" t="str">
        <f aca="false">IF(D97="Pendiente","-",INDEX($CN$6:$CN$53,MATCH($AA97,$BD$6:$BD$53,0)))</f>
        <v>-</v>
      </c>
      <c r="R97" s="55" t="str">
        <f aca="false">IF(D97="Pendiente","-",INDEX($CN$6:$CN$53,MATCH($AF97,$BD$6:$BD$53,0)))</f>
        <v>-</v>
      </c>
      <c r="S97" s="55"/>
      <c r="T97" s="55" t="str">
        <f aca="false">IF(D97="Pendiente","-",INDEX($CS$6:$CS$53,MATCH($AA97,$BD$6:$BD$53,0)))</f>
        <v>-</v>
      </c>
      <c r="U97" s="55" t="str">
        <f aca="false">IF(D97="Pendiente","-",INDEX($CS$6:$CS$53,MATCH($AF97,$BD$6:$BD$53,0)))</f>
        <v>-</v>
      </c>
      <c r="V97" s="46"/>
      <c r="W97" s="200"/>
      <c r="X97" s="129" t="n">
        <f aca="false">Horarios!C97</f>
        <v>46200.9583333333</v>
      </c>
      <c r="Y97" s="130" t="n">
        <f aca="false">Horarios!C97</f>
        <v>46200.9583333333</v>
      </c>
      <c r="Z97" s="131" t="str">
        <f aca="false">$Z$8</f>
        <v>J3</v>
      </c>
      <c r="AA97" s="132" t="str">
        <f aca="false">A94</f>
        <v>Croacia</v>
      </c>
      <c r="AB97" s="175" t="str">
        <f aca="true" t="array" ref="AB97:AB97">Ver_flag_local</f>
        <v/>
      </c>
      <c r="AC97" s="134"/>
      <c r="AD97" s="135"/>
      <c r="AE97" s="136" t="str">
        <f aca="true" t="array" ref="AE97:AE97">Ver_flag_visit</f>
        <v/>
      </c>
      <c r="AF97" s="137" t="str">
        <f aca="false">A95</f>
        <v>Ghana</v>
      </c>
      <c r="AG97" s="83" t="n">
        <f aca="false">IF(NOT(OR(ISBLANK(AC97),ISBLANK(AD97))),1,0)</f>
        <v>0</v>
      </c>
      <c r="AH97" s="84" t="n">
        <v>68</v>
      </c>
      <c r="AI97" s="85" t="str">
        <f aca="false">AJ97&amp;$B$92</f>
        <v>4L</v>
      </c>
      <c r="AJ97" s="138" t="n">
        <v>4</v>
      </c>
      <c r="AK97" s="184" t="str">
        <f aca="true" t="array" ref="AK97:AK97">Ver_flag_visit</f>
        <v/>
      </c>
      <c r="AL97" s="140" t="str">
        <f aca="false">IFERROR(INDEX($BD$6:$BD$53,MATCH(AI97,$BN$6:$BN$53,0)),"")</f>
        <v>Panamá</v>
      </c>
      <c r="AM97" s="141" t="n">
        <f aca="false">INDEX($BE$6:$BN$53,MATCH($AL97,$BD$6:$BD$53,0),MATCH(AM$5,$BE$5:$BN$5,0))</f>
        <v>0</v>
      </c>
      <c r="AN97" s="142" t="n">
        <f aca="false">INDEX($BE$6:$BN$53,MATCH($AL97,$BD$6:$BD$53,0),MATCH(AN$5,$BE$5:$BN$5,0))</f>
        <v>0</v>
      </c>
      <c r="AO97" s="142" t="n">
        <f aca="false">INDEX($BE$6:$BN$53,MATCH($AL97,$BD$6:$BD$53,0),MATCH(AO$5,$BE$5:$BN$5,0))</f>
        <v>0</v>
      </c>
      <c r="AP97" s="142" t="n">
        <f aca="false">INDEX($BE$6:$BN$53,MATCH($AL97,$BD$6:$BD$53,0),MATCH(AP$5,$BE$5:$BN$5,0))</f>
        <v>0</v>
      </c>
      <c r="AQ97" s="142" t="n">
        <f aca="false">INDEX($BE$6:$BN$53,MATCH($AL97,$BD$6:$BD$53,0),MATCH(AQ$5,$BE$5:$BN$5,0))</f>
        <v>0</v>
      </c>
      <c r="AR97" s="142" t="n">
        <f aca="false">INDEX($BE$6:$BN$53,MATCH($AL97,$BD$6:$BD$53,0),MATCH(AR$5,$BE$5:$BN$5,0))</f>
        <v>0</v>
      </c>
      <c r="AS97" s="142" t="n">
        <f aca="false">INDEX($BE$6:$BN$53,MATCH($AL97,$BD$6:$BD$53,0),MATCH(AS$5,$BE$5:$BN$5,0))</f>
        <v>0</v>
      </c>
      <c r="AT97" s="143" t="n">
        <f aca="false">INDEX($BE$6:$BN$53,MATCH($AL97,$BD$6:$BD$53,0),MATCH(AT$5,$BE$5:$BN$5,0))</f>
        <v>0</v>
      </c>
      <c r="AU97" s="110" t="n">
        <f aca="false">INDEX($DL$6:$DL$53,MATCH(AI97,$DP$6:$DP$53,0))</f>
        <v>1</v>
      </c>
      <c r="AV97" s="111" t="str">
        <f aca="false">INDEX($BD$6:$BD$53,MATCH(AI97,$BM$6:$BM$53,0))</f>
        <v>Panamá</v>
      </c>
      <c r="AW97" s="112"/>
      <c r="AX97" s="113"/>
      <c r="AY97" s="144" t="str">
        <f aca="false">+A96</f>
        <v>Panamá</v>
      </c>
      <c r="AZ97" s="145"/>
      <c r="BA97" s="49"/>
      <c r="BB97" s="55"/>
      <c r="BC97" s="55"/>
      <c r="BD97" s="55"/>
      <c r="BE97" s="55"/>
      <c r="BF97" s="55"/>
      <c r="BG97" s="55"/>
      <c r="BH97" s="55"/>
      <c r="BI97" s="55"/>
      <c r="BJ97" s="55"/>
      <c r="BK97" s="55"/>
      <c r="BL97" s="55"/>
      <c r="BM97" s="55"/>
      <c r="BN97" s="91"/>
      <c r="BO97" s="91"/>
      <c r="BP97" s="91"/>
      <c r="BQ97" s="91"/>
      <c r="BR97" s="55"/>
      <c r="BS97" s="55"/>
      <c r="BT97" s="91"/>
      <c r="BU97" s="91"/>
      <c r="BV97" s="91"/>
      <c r="BW97" s="91"/>
      <c r="BX97" s="91"/>
      <c r="BY97" s="91"/>
      <c r="BZ97" s="91"/>
      <c r="CA97" s="91"/>
      <c r="CB97" s="91"/>
      <c r="CC97" s="91"/>
      <c r="CD97" s="91"/>
      <c r="CE97" s="91"/>
      <c r="CF97" s="91"/>
      <c r="CG97" s="91"/>
      <c r="CH97" s="91"/>
      <c r="CI97" s="91"/>
      <c r="CJ97" s="91"/>
      <c r="CK97" s="91"/>
      <c r="CL97" s="91"/>
      <c r="CM97" s="91"/>
      <c r="CN97" s="91"/>
      <c r="CO97" s="91"/>
      <c r="CP97" s="91"/>
      <c r="CQ97" s="91"/>
      <c r="CR97" s="91"/>
      <c r="CS97" s="91"/>
      <c r="CT97" s="91"/>
      <c r="CU97" s="91"/>
      <c r="CV97" s="91"/>
      <c r="CW97" s="55"/>
      <c r="CX97" s="91"/>
      <c r="CY97" s="55"/>
      <c r="CZ97" s="55"/>
      <c r="DA97" s="55"/>
      <c r="DB97" s="55"/>
      <c r="DC97" s="55"/>
      <c r="DD97" s="55"/>
      <c r="DE97" s="55"/>
      <c r="DF97" s="55"/>
      <c r="DG97" s="55"/>
      <c r="DH97" s="55"/>
      <c r="DI97" s="55"/>
      <c r="DJ97" s="55"/>
      <c r="DK97" s="55"/>
      <c r="DL97" s="55"/>
      <c r="DM97" s="55"/>
      <c r="DN97" s="55"/>
      <c r="DO97" s="55"/>
      <c r="DP97" s="55"/>
      <c r="DQ97" s="55"/>
      <c r="DR97" s="55"/>
      <c r="DS97" s="55"/>
      <c r="DT97" s="55" t="str">
        <f aca="false">AA97&amp;"-"&amp;AF97</f>
        <v>Croacia-Ghana</v>
      </c>
      <c r="DU97" s="55"/>
      <c r="DV97" s="55"/>
      <c r="DW97" s="57"/>
    </row>
    <row r="98" customFormat="false" ht="15" hidden="false" customHeight="false" outlineLevel="0" collapsed="false">
      <c r="A98" s="39"/>
      <c r="B98" s="39"/>
      <c r="C98" s="39"/>
      <c r="D98" s="55"/>
      <c r="E98" s="55"/>
      <c r="F98" s="55"/>
      <c r="G98" s="55"/>
      <c r="H98" s="55"/>
      <c r="I98" s="55"/>
      <c r="J98" s="55"/>
      <c r="K98" s="55"/>
      <c r="L98" s="55"/>
      <c r="M98" s="55"/>
      <c r="N98" s="55"/>
      <c r="O98" s="55"/>
      <c r="P98" s="55"/>
      <c r="Q98" s="55"/>
      <c r="R98" s="55"/>
      <c r="S98" s="55"/>
      <c r="T98" s="55"/>
      <c r="U98" s="55"/>
      <c r="V98" s="46"/>
      <c r="W98" s="146"/>
      <c r="X98" s="147"/>
      <c r="Y98" s="146"/>
      <c r="Z98" s="148"/>
      <c r="AA98" s="149"/>
      <c r="AB98" s="201"/>
      <c r="AC98" s="151"/>
      <c r="AD98" s="151"/>
      <c r="AE98" s="201"/>
      <c r="AF98" s="152"/>
      <c r="AG98" s="182"/>
      <c r="AH98" s="43"/>
      <c r="AI98" s="43"/>
      <c r="AJ98" s="153"/>
      <c r="AK98" s="154"/>
      <c r="AL98" s="66"/>
      <c r="AM98" s="155"/>
      <c r="AN98" s="153"/>
      <c r="AO98" s="153"/>
      <c r="AP98" s="153"/>
      <c r="AQ98" s="153"/>
      <c r="AR98" s="153"/>
      <c r="AS98" s="153"/>
      <c r="AT98" s="153"/>
      <c r="AU98" s="156"/>
      <c r="AV98" s="157"/>
      <c r="AW98" s="158"/>
      <c r="AX98" s="202"/>
      <c r="AY98" s="146"/>
      <c r="AZ98" s="147"/>
      <c r="BA98" s="49"/>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c r="CF98" s="55"/>
      <c r="CG98" s="55"/>
      <c r="CH98" s="55"/>
      <c r="CI98" s="55"/>
      <c r="CJ98" s="55"/>
      <c r="CK98" s="55"/>
      <c r="CL98" s="55"/>
      <c r="CM98" s="55"/>
      <c r="CN98" s="55"/>
      <c r="CO98" s="55"/>
      <c r="CP98" s="55"/>
      <c r="CQ98" s="55"/>
      <c r="CR98" s="55"/>
      <c r="CS98" s="55"/>
      <c r="CT98" s="55"/>
      <c r="CU98" s="55"/>
      <c r="CV98" s="55"/>
      <c r="CW98" s="55"/>
      <c r="CX98" s="55"/>
      <c r="CY98" s="55"/>
      <c r="CZ98" s="55"/>
      <c r="DA98" s="55"/>
      <c r="DB98" s="55"/>
      <c r="DC98" s="55"/>
      <c r="DD98" s="55"/>
      <c r="DE98" s="55"/>
      <c r="DF98" s="55"/>
      <c r="DG98" s="55"/>
      <c r="DH98" s="55"/>
      <c r="DI98" s="55"/>
      <c r="DJ98" s="55"/>
      <c r="DK98" s="55"/>
      <c r="DL98" s="55"/>
      <c r="DM98" s="55"/>
      <c r="DN98" s="55"/>
      <c r="DO98" s="55"/>
      <c r="DP98" s="55"/>
      <c r="DQ98" s="55"/>
      <c r="DR98" s="55"/>
      <c r="DS98" s="55"/>
      <c r="DT98" s="55" t="str">
        <f aca="false">AA98&amp;"-"&amp;AF98</f>
        <v>-</v>
      </c>
      <c r="DU98" s="55"/>
      <c r="DV98" s="55"/>
      <c r="DW98" s="57"/>
    </row>
    <row r="99" customFormat="false" ht="15" hidden="false" customHeight="false" outlineLevel="0" collapsed="false">
      <c r="A99" s="39"/>
      <c r="B99" s="39"/>
      <c r="C99" s="39"/>
      <c r="D99" s="55"/>
      <c r="E99" s="55"/>
      <c r="F99" s="55"/>
      <c r="G99" s="55"/>
      <c r="H99" s="55"/>
      <c r="I99" s="55"/>
      <c r="J99" s="55" t="s">
        <v>138</v>
      </c>
      <c r="K99" s="55"/>
      <c r="L99" s="55"/>
      <c r="M99" s="55"/>
      <c r="N99" s="55"/>
      <c r="O99" s="55"/>
      <c r="P99" s="55"/>
      <c r="Q99" s="55"/>
      <c r="R99" s="55"/>
      <c r="S99" s="55"/>
      <c r="T99" s="55"/>
      <c r="U99" s="55"/>
      <c r="V99" s="46"/>
      <c r="W99" s="203" t="str">
        <f aca="false">Idiomas!D25</f>
        <v>Dieciseisavos de final</v>
      </c>
      <c r="X99" s="203"/>
      <c r="Y99" s="203"/>
      <c r="Z99" s="203"/>
      <c r="AA99" s="203"/>
      <c r="AB99" s="203"/>
      <c r="AC99" s="203"/>
      <c r="AD99" s="203"/>
      <c r="AE99" s="203"/>
      <c r="AF99" s="203"/>
      <c r="AG99" s="204"/>
      <c r="AH99" s="111"/>
      <c r="AI99" s="43"/>
      <c r="AJ99" s="205"/>
      <c r="AK99" s="206" t="str">
        <f aca="false">+IF(OR($H$113&gt;=48,$AJ$99&gt;=48),"",Idiomas!D71)</f>
        <v>La clasificación de los mejores terceros aparece al final de la J1</v>
      </c>
      <c r="AL99" s="66"/>
      <c r="AM99" s="66"/>
      <c r="AN99" s="66"/>
      <c r="AO99" s="66"/>
      <c r="AP99" s="66"/>
      <c r="AQ99" s="66"/>
      <c r="AR99" s="66"/>
      <c r="AS99" s="66"/>
      <c r="AT99" s="66"/>
      <c r="AU99" s="161"/>
      <c r="AV99" s="51"/>
      <c r="AW99" s="162"/>
      <c r="AX99" s="207"/>
      <c r="AY99" s="146"/>
      <c r="AZ99" s="147"/>
      <c r="BA99" s="49"/>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c r="CF99" s="55"/>
      <c r="CG99" s="55"/>
      <c r="CH99" s="55"/>
      <c r="CI99" s="55"/>
      <c r="CJ99" s="55"/>
      <c r="CK99" s="55"/>
      <c r="CL99" s="55"/>
      <c r="CM99" s="55"/>
      <c r="CN99" s="55"/>
      <c r="CO99" s="55"/>
      <c r="CP99" s="55"/>
      <c r="CQ99" s="55"/>
      <c r="CR99" s="55"/>
      <c r="CS99" s="55"/>
      <c r="CT99" s="55"/>
      <c r="CU99" s="55"/>
      <c r="CV99" s="55"/>
      <c r="CW99" s="55"/>
      <c r="CX99" s="55"/>
      <c r="CY99" s="55"/>
      <c r="CZ99" s="55"/>
      <c r="DA99" s="55"/>
      <c r="DB99" s="55"/>
      <c r="DC99" s="103"/>
      <c r="DD99" s="103"/>
      <c r="DE99" s="103"/>
      <c r="DF99" s="103"/>
      <c r="DG99" s="103"/>
      <c r="DH99" s="103"/>
      <c r="DI99" s="103"/>
      <c r="DJ99" s="103"/>
      <c r="DK99" s="103"/>
      <c r="DL99" s="103"/>
      <c r="DM99" s="103"/>
      <c r="DN99" s="103"/>
      <c r="DO99" s="103"/>
      <c r="DP99" s="103"/>
      <c r="DQ99" s="103"/>
      <c r="DR99" s="103"/>
      <c r="DS99" s="103"/>
      <c r="DT99" s="55" t="str">
        <f aca="false">AA99&amp;"-"&amp;AF99</f>
        <v>-</v>
      </c>
      <c r="DU99" s="103"/>
      <c r="DV99" s="103"/>
      <c r="DW99" s="208"/>
    </row>
    <row r="100" customFormat="false" ht="15.75" hidden="false" customHeight="true" outlineLevel="0" collapsed="false">
      <c r="A100" s="39" t="s">
        <v>139</v>
      </c>
      <c r="B100" s="39"/>
      <c r="C100" s="39"/>
      <c r="D100" s="55"/>
      <c r="E100" s="55"/>
      <c r="F100" s="55"/>
      <c r="G100" s="55"/>
      <c r="H100" s="55"/>
      <c r="I100" s="55"/>
      <c r="J100" s="55" t="s">
        <v>140</v>
      </c>
      <c r="K100" s="55" t="s">
        <v>141</v>
      </c>
      <c r="L100" s="55"/>
      <c r="M100" s="55" t="s">
        <v>142</v>
      </c>
      <c r="N100" s="55" t="s">
        <v>143</v>
      </c>
      <c r="O100" s="55"/>
      <c r="P100" s="55"/>
      <c r="Q100" s="55"/>
      <c r="R100" s="55"/>
      <c r="S100" s="55"/>
      <c r="T100" s="55"/>
      <c r="U100" s="55"/>
      <c r="V100" s="46"/>
      <c r="W100" s="59"/>
      <c r="X100" s="60" t="str">
        <f aca="false">X3</f>
        <v>Fecha</v>
      </c>
      <c r="Y100" s="60" t="str">
        <f aca="false">Y3</f>
        <v>Hora</v>
      </c>
      <c r="Z100" s="60" t="s">
        <v>144</v>
      </c>
      <c r="AA100" s="198" t="str">
        <f aca="false">AA3</f>
        <v>Casa</v>
      </c>
      <c r="AB100" s="197" t="s">
        <v>145</v>
      </c>
      <c r="AC100" s="60" t="str">
        <f aca="false">AC3</f>
        <v>Gol</v>
      </c>
      <c r="AD100" s="60" t="str">
        <f aca="false">AD3</f>
        <v>Gol</v>
      </c>
      <c r="AE100" s="197" t="s">
        <v>145</v>
      </c>
      <c r="AF100" s="199" t="str">
        <f aca="false">AF3</f>
        <v>Fuera</v>
      </c>
      <c r="AG100" s="204"/>
      <c r="AH100" s="111"/>
      <c r="AI100" s="43"/>
      <c r="AJ100" s="86" t="str">
        <f aca="false">Idiomas!D24</f>
        <v>Mejores terceros</v>
      </c>
      <c r="AK100" s="86"/>
      <c r="AL100" s="86"/>
      <c r="AM100" s="86"/>
      <c r="AN100" s="86"/>
      <c r="AO100" s="86"/>
      <c r="AP100" s="86"/>
      <c r="AQ100" s="86"/>
      <c r="AR100" s="86"/>
      <c r="AS100" s="86"/>
      <c r="AT100" s="86"/>
      <c r="AU100" s="209"/>
      <c r="AV100" s="87" t="str">
        <f aca="false">IF(AU101&gt;0,$AV$3,"")</f>
        <v/>
      </c>
      <c r="AW100" s="85"/>
      <c r="AX100" s="151"/>
      <c r="AY100" s="146"/>
      <c r="AZ100" s="147"/>
      <c r="BA100" s="49"/>
      <c r="BB100" s="120"/>
      <c r="BC100" s="55"/>
      <c r="BD100" s="55"/>
      <c r="BE100" s="55"/>
      <c r="BF100" s="55"/>
      <c r="BG100" s="55"/>
      <c r="BH100" s="55"/>
      <c r="BI100" s="55"/>
      <c r="BJ100" s="55"/>
      <c r="BK100" s="55"/>
      <c r="BL100" s="55"/>
      <c r="BM100" s="120"/>
      <c r="BN100" s="120"/>
      <c r="BO100" s="120"/>
      <c r="BP100" s="120"/>
      <c r="BQ100" s="120"/>
      <c r="BR100" s="120"/>
      <c r="BS100" s="120"/>
      <c r="BT100" s="120"/>
      <c r="BU100" s="120"/>
      <c r="BV100" s="120"/>
      <c r="BW100" s="120"/>
      <c r="BX100" s="120"/>
      <c r="BY100" s="120"/>
      <c r="BZ100" s="120"/>
      <c r="CA100" s="120"/>
      <c r="CB100" s="120"/>
      <c r="CC100" s="120"/>
      <c r="CD100" s="120"/>
      <c r="CE100" s="120"/>
      <c r="CF100" s="120"/>
      <c r="CG100" s="120"/>
      <c r="CH100" s="120"/>
      <c r="CI100" s="120"/>
      <c r="CJ100" s="120"/>
      <c r="CK100" s="120"/>
      <c r="CL100" s="120"/>
      <c r="CM100" s="120"/>
      <c r="CN100" s="120"/>
      <c r="CO100" s="120"/>
      <c r="CP100" s="120"/>
      <c r="CQ100" s="120"/>
      <c r="CR100" s="120"/>
      <c r="CS100" s="120"/>
      <c r="CT100" s="120"/>
      <c r="CU100" s="120"/>
      <c r="CV100" s="120"/>
      <c r="CW100" s="120"/>
      <c r="CX100" s="120"/>
      <c r="CY100" s="120"/>
      <c r="CZ100" s="120"/>
      <c r="DA100" s="120"/>
      <c r="DB100" s="120"/>
      <c r="DC100" s="120"/>
      <c r="DD100" s="120"/>
      <c r="DE100" s="120"/>
      <c r="DF100" s="120"/>
      <c r="DG100" s="120"/>
      <c r="DH100" s="120"/>
      <c r="DI100" s="120"/>
      <c r="DJ100" s="120"/>
      <c r="DK100" s="120"/>
      <c r="DL100" s="120"/>
      <c r="DM100" s="120"/>
      <c r="DN100" s="120"/>
      <c r="DO100" s="120"/>
      <c r="DP100" s="120"/>
      <c r="DQ100" s="120"/>
      <c r="DR100" s="120"/>
      <c r="DS100" s="120"/>
      <c r="DT100" s="55" t="str">
        <f aca="false">AA100&amp;"-"&amp;AF100</f>
        <v>Casa-Fuera</v>
      </c>
      <c r="DU100" s="120"/>
      <c r="DV100" s="120"/>
      <c r="DW100" s="210"/>
    </row>
    <row r="101" customFormat="false" ht="15.75" hidden="false" customHeight="true" outlineLevel="0" collapsed="false">
      <c r="A101" s="120" t="s">
        <v>79</v>
      </c>
      <c r="B101" s="120" t="s">
        <v>83</v>
      </c>
      <c r="C101" s="39"/>
      <c r="D101" s="195" t="str">
        <f aca="false">IF(AND(OR(AC101="",AD101="")),"W"&amp;AH101,IF(AC101&gt;AD101,AA101,IF(AC101&lt;AD101,AF101,IF(AND(AC101=AD101,AB101=AE101),"W"&amp;AH101,IF(AND(AC101=AD101,OR(AB101="",AE101="")),"W"&amp;AH101,IF(AND(AC101=AD101,AB101&gt;AE101),AA101,AF101))))))</f>
        <v>W73</v>
      </c>
      <c r="E101" s="39" t="s">
        <v>24</v>
      </c>
      <c r="F101" s="39" t="s">
        <v>84</v>
      </c>
      <c r="G101" s="117" t="s">
        <v>24</v>
      </c>
      <c r="H101" s="91" t="n">
        <f aca="false">+SUMIF($BC$6:$BC$53,G101,$BF$6:$BF$53)</f>
        <v>4</v>
      </c>
      <c r="I101" s="55"/>
      <c r="J101" s="120" t="n">
        <v>73</v>
      </c>
      <c r="K101" s="120" t="n">
        <v>46201.75</v>
      </c>
      <c r="L101" s="120" t="s">
        <v>146</v>
      </c>
      <c r="M101" s="120" t="str">
        <f aca="false">+IF(OR(INDEX($H$101:$H$113,MATCH(E101,$G$101:$G$113,0))=12,$AJ$99=144),INDEX($AL$6:$AL$97,MATCH(A101,$AI$6:$AI$97,0)),A101)</f>
        <v>2A</v>
      </c>
      <c r="N101" s="120" t="str">
        <f aca="false">+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120"/>
      <c r="P101" s="120"/>
      <c r="Q101" s="120"/>
      <c r="R101" s="120"/>
      <c r="S101" s="120"/>
      <c r="T101" s="120"/>
      <c r="U101" s="120"/>
      <c r="V101" s="46"/>
      <c r="W101" s="211" t="s">
        <v>147</v>
      </c>
      <c r="X101" s="74" t="n">
        <f aca="false">Horarios!C101</f>
        <v>46201.875</v>
      </c>
      <c r="Y101" s="75" t="n">
        <f aca="false">Horarios!C101</f>
        <v>46201.875</v>
      </c>
      <c r="Z101" s="212" t="n">
        <f aca="false">AH101</f>
        <v>73</v>
      </c>
      <c r="AA101" s="213" t="str">
        <f aca="false">+INDEX($M$101:$M$147,MATCH(AH101,$J$101:$J$147,0))</f>
        <v>2A</v>
      </c>
      <c r="AB101" s="214"/>
      <c r="AC101" s="80"/>
      <c r="AD101" s="80"/>
      <c r="AE101" s="215"/>
      <c r="AF101" s="216" t="str">
        <f aca="false">+INDEX($N$101:$N$147,MATCH(AH101,$J$101:$J$147,0))</f>
        <v>2B</v>
      </c>
      <c r="AG101" s="217" t="n">
        <f aca="false">IF(D101="W"&amp;AH101,0,1)</f>
        <v>0</v>
      </c>
      <c r="AH101" s="84" t="n">
        <v>73</v>
      </c>
      <c r="AI101" s="43"/>
      <c r="AJ101" s="93" t="str">
        <f aca="false">AJ5</f>
        <v>Pos</v>
      </c>
      <c r="AK101" s="94"/>
      <c r="AL101" s="95" t="str">
        <f aca="false">AL5</f>
        <v>Selección</v>
      </c>
      <c r="AM101" s="94" t="str">
        <f aca="false">AM5</f>
        <v>Pts</v>
      </c>
      <c r="AN101" s="94" t="str">
        <f aca="false">AN5</f>
        <v>J</v>
      </c>
      <c r="AO101" s="94" t="str">
        <f aca="false">AO5</f>
        <v>G</v>
      </c>
      <c r="AP101" s="94" t="str">
        <f aca="false">AP5</f>
        <v>E</v>
      </c>
      <c r="AQ101" s="94" t="str">
        <f aca="false">AQ5</f>
        <v>P</v>
      </c>
      <c r="AR101" s="94" t="str">
        <f aca="false">AR5</f>
        <v>GF</v>
      </c>
      <c r="AS101" s="94" t="str">
        <f aca="false">AS5</f>
        <v>GC</v>
      </c>
      <c r="AT101" s="96" t="str">
        <f aca="false">AT5</f>
        <v>DG</v>
      </c>
      <c r="AU101" s="161" t="n">
        <f aca="false">COUNTIF(AU102:AU113,"&gt;1")</f>
        <v>0</v>
      </c>
      <c r="AV101" s="51"/>
      <c r="AW101" s="162"/>
      <c r="AX101" s="218"/>
      <c r="AY101" s="219" t="str">
        <f aca="false">+IF(OR($H$113&gt;=48,$AJ$99=144),Idiomas!D70,"")</f>
        <v/>
      </c>
      <c r="AZ101" s="220" t="str">
        <f aca="false">+IF(OR($H$113&gt;=48,$AJ$99=144),BI112,"")</f>
        <v/>
      </c>
      <c r="BA101" s="49"/>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55"/>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t="str">
        <f aca="false">AA101&amp;"-"&amp;AF101</f>
        <v>2A-2B</v>
      </c>
      <c r="DU101" s="55"/>
      <c r="DV101" s="55"/>
      <c r="DW101" s="57"/>
    </row>
    <row r="102" customFormat="false" ht="15.75" hidden="false" customHeight="true" outlineLevel="0" collapsed="false">
      <c r="A102" s="120" t="s">
        <v>96</v>
      </c>
      <c r="B102" s="120" t="s">
        <v>148</v>
      </c>
      <c r="C102" s="39"/>
      <c r="D102" s="195" t="str">
        <f aca="false">IF(AND(OR(AC102="",AD102="")),"W"&amp;AH102,IF(AC102&gt;AD102,AA102,IF(AC102&lt;AD102,AF102,IF(AND(AC102=AD102,AB102=AE102),"W"&amp;AH102,IF(AND(AC102=AD102,OR(AB102="",AE102="")),"W"&amp;AH102,IF(AND(AC102=AD102,AB102&gt;AE102),AA102,AF102))))))</f>
        <v>W76</v>
      </c>
      <c r="E102" s="39" t="s">
        <v>111</v>
      </c>
      <c r="F102" s="39" t="s">
        <v>149</v>
      </c>
      <c r="G102" s="117" t="s">
        <v>84</v>
      </c>
      <c r="H102" s="91" t="n">
        <f aca="false">+SUMIF($BC$6:$BC$53,G102,$BF$6:$BF$53)</f>
        <v>4</v>
      </c>
      <c r="I102" s="55"/>
      <c r="J102" s="120" t="n">
        <v>74</v>
      </c>
      <c r="K102" s="120" t="n">
        <v>46202.75</v>
      </c>
      <c r="L102" s="120" t="s">
        <v>150</v>
      </c>
      <c r="M102" s="120" t="str">
        <f aca="false">+IF(OR(INDEX($H$101:$H$113,MATCH(E102,$G$101:$G$113,0))=12,$AJ$99=144),INDEX($AL$6:$AL$97,MATCH(A102,$AI$6:$AI$97,0)),A102)</f>
        <v>1E</v>
      </c>
      <c r="N102" s="120" t="str">
        <f aca="false">+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120"/>
      <c r="P102" s="120"/>
      <c r="Q102" s="120"/>
      <c r="R102" s="120"/>
      <c r="S102" s="120"/>
      <c r="T102" s="120"/>
      <c r="U102" s="120"/>
      <c r="V102" s="46"/>
      <c r="W102" s="211"/>
      <c r="X102" s="74" t="n">
        <f aca="false">Horarios!C102</f>
        <v>46202.7916666667</v>
      </c>
      <c r="Y102" s="75" t="n">
        <f aca="false">Horarios!C102</f>
        <v>46202.7916666667</v>
      </c>
      <c r="Z102" s="212" t="n">
        <f aca="false">AH102</f>
        <v>76</v>
      </c>
      <c r="AA102" s="213" t="str">
        <f aca="false">+INDEX($M$101:$M$147,MATCH(AH102,$J$101:$J$147,0))</f>
        <v>1C</v>
      </c>
      <c r="AB102" s="214"/>
      <c r="AC102" s="221"/>
      <c r="AD102" s="221"/>
      <c r="AE102" s="214"/>
      <c r="AF102" s="216" t="str">
        <f aca="false">+INDEX($N$101:$N$147,MATCH(AH102,$J$101:$J$147,0))</f>
        <v>2F</v>
      </c>
      <c r="AG102" s="217" t="n">
        <f aca="false">IF(D102="W"&amp;AH102,0,1)</f>
        <v>0</v>
      </c>
      <c r="AH102" s="84" t="n">
        <v>76</v>
      </c>
      <c r="AI102" s="111" t="n">
        <v>1</v>
      </c>
      <c r="AJ102" s="222" t="n">
        <v>1</v>
      </c>
      <c r="AK102" s="223" t="str">
        <f aca="true" t="array" ref="AK102:AK102">Ver_flag_visit</f>
        <v/>
      </c>
      <c r="AL102" s="224" t="str">
        <f aca="false">+IF($H$113&gt;=48,INDEX($BD$58:$BD$69,MATCH(AI102,$BN$58:$BN$69,0)),BB58)</f>
        <v>3A</v>
      </c>
      <c r="AM102" s="225" t="str">
        <f aca="false">+IF($H$113&gt;=48,INDEX($BE$58:$BN$69,MATCH($AL102,$BD$58:$BD$69,0),MATCH(AM$5,$BE$57:$BN$57,0)),$BB58)</f>
        <v>3A</v>
      </c>
      <c r="AN102" s="226" t="str">
        <f aca="false">+IF($H$113&gt;=48,INDEX($BE$58:$BN$69,MATCH($AL102,$BD$58:$BD$69,0),MATCH(AN$5,$BE$57:$BN$57,0)),$BB58)</f>
        <v>3A</v>
      </c>
      <c r="AO102" s="226" t="str">
        <f aca="false">+IF($H$113&gt;=48,INDEX($BE$58:$BN$69,MATCH($AL102,$BD$58:$BD$69,0),MATCH(AO$5,$BE$57:$BN$57,0)),$BB58)</f>
        <v>3A</v>
      </c>
      <c r="AP102" s="226" t="str">
        <f aca="false">+IF($H$113&gt;=48,INDEX($BE$58:$BN$69,MATCH($AL102,$BD$58:$BD$69,0),MATCH(AP$5,$BE$57:$BN$57,0)),$BB58)</f>
        <v>3A</v>
      </c>
      <c r="AQ102" s="226" t="str">
        <f aca="false">+IF($H$113&gt;=48,INDEX($BE$58:$BN$69,MATCH($AL102,$BD$58:$BD$69,0),MATCH(AQ$5,$BE$57:$BN$57,0)),$BB58)</f>
        <v>3A</v>
      </c>
      <c r="AR102" s="226" t="str">
        <f aca="false">+IF($H$113&gt;=48,INDEX($BE$58:$BN$69,MATCH($AL102,$BD$58:$BD$69,0),MATCH(AR$5,$BE$57:$BN$57,0)),$BB58)</f>
        <v>3A</v>
      </c>
      <c r="AS102" s="226" t="str">
        <f aca="false">+IF($H$113&gt;=48,INDEX($BE$58:$BN$69,MATCH($AL102,$BD$58:$BD$69,0),MATCH(AS$5,$BE$57:$BN$57,0)),$BB58)</f>
        <v>3A</v>
      </c>
      <c r="AT102" s="227" t="str">
        <f aca="false">+IF($H$113&gt;=48,INDEX($BE$58:$BN$69,MATCH($AL102,$BD$58:$BD$69,0),MATCH(AT$5,$BE$57:$BN$57,0)),$BB58)</f>
        <v>3A</v>
      </c>
      <c r="AU102" s="156" t="str">
        <f aca="false">IF($H$113=144,INDEX($DL$58:$DL$69,MATCH(AI102,$DP$58:$DP$69,0)),"")</f>
        <v/>
      </c>
      <c r="AV102" s="111" t="str">
        <f aca="false">INDEX($BD$58:$BD$69,MATCH(AI102,$BM$58:$BM$69,0))</f>
        <v>Japón</v>
      </c>
      <c r="AW102" s="112"/>
      <c r="AX102" s="228"/>
      <c r="AY102" s="146"/>
      <c r="AZ102" s="147"/>
      <c r="BA102" s="49"/>
      <c r="BB102" s="120"/>
      <c r="BC102" s="55"/>
      <c r="BD102" s="120"/>
      <c r="BE102" s="229" t="s">
        <v>151</v>
      </c>
      <c r="BF102" s="120" t="s">
        <v>152</v>
      </c>
      <c r="BG102" s="120" t="s">
        <v>153</v>
      </c>
      <c r="BH102" s="120"/>
      <c r="BI102" s="120" t="s">
        <v>154</v>
      </c>
      <c r="BJ102" s="120"/>
      <c r="BK102" s="55"/>
      <c r="BL102" s="55"/>
      <c r="BM102" s="120"/>
      <c r="BN102" s="120"/>
      <c r="BO102" s="120"/>
      <c r="BP102" s="120"/>
      <c r="BQ102" s="120"/>
      <c r="BR102" s="120"/>
      <c r="BS102" s="120"/>
      <c r="BT102" s="120"/>
      <c r="BU102" s="120"/>
      <c r="BV102" s="120"/>
      <c r="BW102" s="120"/>
      <c r="BX102" s="120"/>
      <c r="BY102" s="120"/>
      <c r="BZ102" s="120"/>
      <c r="CA102" s="120"/>
      <c r="CB102" s="120"/>
      <c r="CC102" s="120"/>
      <c r="CD102" s="120"/>
      <c r="CE102" s="120"/>
      <c r="CF102" s="120"/>
      <c r="CG102" s="120"/>
      <c r="CH102" s="120"/>
      <c r="CI102" s="120"/>
      <c r="CJ102" s="120"/>
      <c r="CK102" s="120"/>
      <c r="CL102" s="120"/>
      <c r="CM102" s="120"/>
      <c r="CN102" s="120"/>
      <c r="CO102" s="120"/>
      <c r="CP102" s="120"/>
      <c r="CQ102" s="120"/>
      <c r="CR102" s="120"/>
      <c r="CS102" s="120"/>
      <c r="CT102" s="120"/>
      <c r="CU102" s="120"/>
      <c r="CV102" s="120"/>
      <c r="CW102" s="120"/>
      <c r="CX102" s="120"/>
      <c r="CY102" s="120"/>
      <c r="CZ102" s="120"/>
      <c r="DA102" s="120"/>
      <c r="DB102" s="120"/>
      <c r="DC102" s="120"/>
      <c r="DD102" s="120"/>
      <c r="DE102" s="120"/>
      <c r="DF102" s="120"/>
      <c r="DG102" s="120"/>
      <c r="DH102" s="120"/>
      <c r="DI102" s="120"/>
      <c r="DJ102" s="120"/>
      <c r="DK102" s="120"/>
      <c r="DL102" s="120"/>
      <c r="DM102" s="120"/>
      <c r="DN102" s="120"/>
      <c r="DO102" s="120"/>
      <c r="DP102" s="120"/>
      <c r="DQ102" s="120"/>
      <c r="DR102" s="120"/>
      <c r="DS102" s="120"/>
      <c r="DT102" s="55" t="str">
        <f aca="false">AA102&amp;"-"&amp;AF102</f>
        <v>1C-2F</v>
      </c>
      <c r="DU102" s="120"/>
      <c r="DV102" s="120"/>
      <c r="DW102" s="210"/>
    </row>
    <row r="103" customFormat="false" ht="15.75" hidden="false" customHeight="true" outlineLevel="0" collapsed="false">
      <c r="A103" s="120" t="s">
        <v>100</v>
      </c>
      <c r="B103" s="120" t="s">
        <v>88</v>
      </c>
      <c r="C103" s="39"/>
      <c r="D103" s="195" t="str">
        <f aca="false">IF(AND(OR(AC103="",AD103="")),"W"&amp;AH103,IF(AC103&gt;AD103,AA103,IF(AC103&lt;AD103,AF103,IF(AND(AC103=AD103,AB103=AE103),"W"&amp;AH103,IF(AND(AC103=AD103,OR(AB103="",AE103="")),"W"&amp;AH103,IF(AND(AC103=AD103,AB103&gt;AE103),AA103,AF103))))))</f>
        <v>W74</v>
      </c>
      <c r="E103" s="39" t="s">
        <v>120</v>
      </c>
      <c r="F103" s="39" t="s">
        <v>93</v>
      </c>
      <c r="G103" s="117" t="s">
        <v>93</v>
      </c>
      <c r="H103" s="91" t="n">
        <f aca="false">+SUMIF($BC$6:$BC$53,G103,$BF$6:$BF$53)</f>
        <v>4</v>
      </c>
      <c r="I103" s="55"/>
      <c r="J103" s="120" t="n">
        <v>75</v>
      </c>
      <c r="K103" s="120" t="n">
        <v>46202.75</v>
      </c>
      <c r="L103" s="120" t="s">
        <v>155</v>
      </c>
      <c r="M103" s="120" t="str">
        <f aca="false">+IF(OR(INDEX($H$101:$H$113,MATCH(E103,$G$101:$G$113,0))=12,$AJ$99=144),INDEX($AL$6:$AL$97,MATCH(A103,$AI$6:$AI$97,0)),A103)</f>
        <v>1F</v>
      </c>
      <c r="N103" s="120" t="str">
        <f aca="false">+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120"/>
      <c r="P103" s="120"/>
      <c r="Q103" s="120"/>
      <c r="R103" s="120"/>
      <c r="S103" s="120"/>
      <c r="T103" s="120"/>
      <c r="U103" s="120"/>
      <c r="V103" s="46"/>
      <c r="W103" s="211"/>
      <c r="X103" s="74" t="n">
        <f aca="false">Horarios!C103</f>
        <v>46202.9375</v>
      </c>
      <c r="Y103" s="75" t="n">
        <f aca="false">Horarios!C103</f>
        <v>46202.9375</v>
      </c>
      <c r="Z103" s="212" t="n">
        <f aca="false">AH103</f>
        <v>74</v>
      </c>
      <c r="AA103" s="213" t="str">
        <f aca="false">+INDEX($M$101:$M$147,MATCH(AH103,$J$101:$J$147,0))</f>
        <v>1E</v>
      </c>
      <c r="AB103" s="214"/>
      <c r="AC103" s="221"/>
      <c r="AD103" s="221"/>
      <c r="AE103" s="214"/>
      <c r="AF103" s="216" t="str">
        <f aca="false">+INDEX($N$101:$N$147,MATCH(AH103,$J$101:$J$147,0))</f>
        <v>3ABCDF</v>
      </c>
      <c r="AG103" s="217" t="n">
        <f aca="false">IF(D103="W"&amp;AH103,0,1)</f>
        <v>0</v>
      </c>
      <c r="AH103" s="84" t="n">
        <v>74</v>
      </c>
      <c r="AI103" s="111" t="n">
        <v>2</v>
      </c>
      <c r="AJ103" s="121" t="n">
        <v>2</v>
      </c>
      <c r="AK103" s="173" t="str">
        <f aca="true" t="array" ref="AK103:AK103">Ver_flag_visit</f>
        <v/>
      </c>
      <c r="AL103" s="123" t="str">
        <f aca="false">+IF($H$113&gt;=48,INDEX($BD$58:$BD$69,MATCH(AI103,$BN$58:$BN$69,0)),BB59)</f>
        <v>3B</v>
      </c>
      <c r="AM103" s="230" t="str">
        <f aca="false">+IF($H$113&gt;=48,INDEX($BE$58:$BN$69,MATCH($AL103,$BD$58:$BD$69,0),MATCH(AM$5,$BE$57:$BN$57,0)),$BB59)</f>
        <v>3B</v>
      </c>
      <c r="AN103" s="188" t="str">
        <f aca="false">+IF($H$113&gt;=48,INDEX($BE$58:$BN$69,MATCH($AL103,$BD$58:$BD$69,0),MATCH(AN$5,$BE$57:$BN$57,0)),$BB59)</f>
        <v>3B</v>
      </c>
      <c r="AO103" s="188" t="str">
        <f aca="false">+IF($H$113&gt;=48,INDEX($BE$58:$BN$69,MATCH($AL103,$BD$58:$BD$69,0),MATCH(AO$5,$BE$57:$BN$57,0)),$BB59)</f>
        <v>3B</v>
      </c>
      <c r="AP103" s="188" t="str">
        <f aca="false">+IF($H$113&gt;=48,INDEX($BE$58:$BN$69,MATCH($AL103,$BD$58:$BD$69,0),MATCH(AP$5,$BE$57:$BN$57,0)),$BB59)</f>
        <v>3B</v>
      </c>
      <c r="AQ103" s="188" t="str">
        <f aca="false">+IF($H$113&gt;=48,INDEX($BE$58:$BN$69,MATCH($AL103,$BD$58:$BD$69,0),MATCH(AQ$5,$BE$57:$BN$57,0)),$BB59)</f>
        <v>3B</v>
      </c>
      <c r="AR103" s="188" t="str">
        <f aca="false">+IF($H$113&gt;=48,INDEX($BE$58:$BN$69,MATCH($AL103,$BD$58:$BD$69,0),MATCH(AR$5,$BE$57:$BN$57,0)),$BB59)</f>
        <v>3B</v>
      </c>
      <c r="AS103" s="188" t="str">
        <f aca="false">+IF($H$113&gt;=48,INDEX($BE$58:$BN$69,MATCH($AL103,$BD$58:$BD$69,0),MATCH(AS$5,$BE$57:$BN$57,0)),$BB59)</f>
        <v>3B</v>
      </c>
      <c r="AT103" s="231" t="str">
        <f aca="false">+IF($H$113&gt;=48,INDEX($BE$58:$BN$69,MATCH($AL103,$BD$58:$BD$69,0),MATCH(AT$5,$BE$57:$BN$57,0)),$BB59)</f>
        <v>3B</v>
      </c>
      <c r="AU103" s="156" t="str">
        <f aca="false">IF($H$113=144,INDEX($DL$58:$DL$69,MATCH(AI103,$DP$58:$DP$69,0)),"")</f>
        <v/>
      </c>
      <c r="AV103" s="111" t="str">
        <f aca="false">INDEX($BD$58:$BD$69,MATCH(AI103,$BM$58:$BM$69,0))</f>
        <v>Bélgica</v>
      </c>
      <c r="AW103" s="112" t="n">
        <v>2</v>
      </c>
      <c r="AX103" s="228"/>
      <c r="AY103" s="232"/>
      <c r="AZ103" s="233" t="str">
        <f aca="false">+IF(OR($H$113&gt;=48,$AJ$99=144),BF117&amp;" - "&amp;BG117,"")</f>
        <v/>
      </c>
      <c r="BA103" s="49"/>
      <c r="BB103" s="120"/>
      <c r="BC103" s="55"/>
      <c r="BD103" s="120"/>
      <c r="BE103" s="120"/>
      <c r="BF103" s="120" t="str">
        <f aca="false">IFERROR(INDEX($BC$6:$BC$53,MATCH(AL102,$BD$6:$BD$53,0)),"")</f>
        <v/>
      </c>
      <c r="BG103" s="120" t="n">
        <f aca="false">COUNTIF($BF$103:$BF$110,"&lt;="&amp;BF103)</f>
        <v>8</v>
      </c>
      <c r="BH103" s="120"/>
      <c r="BI103" s="55" t="n">
        <v>1</v>
      </c>
      <c r="BJ103" s="120" t="str">
        <f aca="false">IFERROR(INDEX($BF$103:$BF$110,MATCH(BI103,$BG$103:$BG$110,0)),"Grupo")</f>
        <v>Grupo</v>
      </c>
      <c r="BK103" s="55"/>
      <c r="BL103" s="55"/>
      <c r="BM103" s="120"/>
      <c r="BN103" s="120"/>
      <c r="BO103" s="120"/>
      <c r="BP103" s="120"/>
      <c r="BQ103" s="120"/>
      <c r="BR103" s="120"/>
      <c r="BS103" s="120"/>
      <c r="BT103" s="120"/>
      <c r="BU103" s="120"/>
      <c r="BV103" s="120"/>
      <c r="BW103" s="120"/>
      <c r="BX103" s="120"/>
      <c r="BY103" s="120"/>
      <c r="BZ103" s="120"/>
      <c r="CA103" s="120"/>
      <c r="CB103" s="120"/>
      <c r="CC103" s="120"/>
      <c r="CD103" s="120"/>
      <c r="CE103" s="120"/>
      <c r="CF103" s="120"/>
      <c r="CG103" s="120"/>
      <c r="CH103" s="120"/>
      <c r="CI103" s="120"/>
      <c r="CJ103" s="120"/>
      <c r="CK103" s="120"/>
      <c r="CL103" s="120"/>
      <c r="CM103" s="120"/>
      <c r="CN103" s="120"/>
      <c r="CO103" s="120"/>
      <c r="CP103" s="120"/>
      <c r="CQ103" s="120"/>
      <c r="CR103" s="120"/>
      <c r="CS103" s="120"/>
      <c r="CT103" s="120"/>
      <c r="CU103" s="120"/>
      <c r="CV103" s="120"/>
      <c r="CW103" s="120"/>
      <c r="CX103" s="120"/>
      <c r="CY103" s="120"/>
      <c r="CZ103" s="120"/>
      <c r="DA103" s="120"/>
      <c r="DB103" s="120"/>
      <c r="DC103" s="120"/>
      <c r="DD103" s="120"/>
      <c r="DE103" s="120"/>
      <c r="DF103" s="120"/>
      <c r="DG103" s="120"/>
      <c r="DH103" s="120"/>
      <c r="DI103" s="120"/>
      <c r="DJ103" s="120"/>
      <c r="DK103" s="120"/>
      <c r="DL103" s="120"/>
      <c r="DM103" s="120"/>
      <c r="DN103" s="120"/>
      <c r="DO103" s="120"/>
      <c r="DP103" s="120"/>
      <c r="DQ103" s="120"/>
      <c r="DR103" s="120"/>
      <c r="DS103" s="120"/>
      <c r="DT103" s="55" t="str">
        <f aca="false">AA103&amp;"-"&amp;AF103</f>
        <v>1E-3ABCDF</v>
      </c>
      <c r="DU103" s="120"/>
      <c r="DV103" s="120"/>
      <c r="DW103" s="210"/>
    </row>
    <row r="104" customFormat="false" ht="15.75" hidden="false" customHeight="true" outlineLevel="0" collapsed="false">
      <c r="A104" s="120" t="s">
        <v>87</v>
      </c>
      <c r="B104" s="120" t="s">
        <v>101</v>
      </c>
      <c r="C104" s="39"/>
      <c r="D104" s="195" t="str">
        <f aca="false">IF(AND(OR(AC104="",AD104="")),"W"&amp;AH104,IF(AC104&gt;AD104,AA104,IF(AC104&lt;AD104,AF104,IF(AND(AC104=AD104,AB104=AE104),"W"&amp;AH104,IF(AND(AC104=AD104,OR(AB104="",AE104="")),"W"&amp;AH104,IF(AND(AC104=AD104,AB104&gt;AE104),AA104,AF104))))))</f>
        <v>W75</v>
      </c>
      <c r="E104" s="39" t="s">
        <v>93</v>
      </c>
      <c r="F104" s="39" t="s">
        <v>120</v>
      </c>
      <c r="G104" s="117" t="s">
        <v>102</v>
      </c>
      <c r="H104" s="91" t="n">
        <f aca="false">+SUMIF($BC$6:$BC$53,G104,$BF$6:$BF$53)</f>
        <v>4</v>
      </c>
      <c r="I104" s="55"/>
      <c r="J104" s="120" t="n">
        <v>76</v>
      </c>
      <c r="K104" s="120" t="n">
        <v>46202.75</v>
      </c>
      <c r="L104" s="120" t="s">
        <v>156</v>
      </c>
      <c r="M104" s="120" t="str">
        <f aca="false">+IF(OR(INDEX($H$101:$H$113,MATCH(E104,$G$101:$G$113,0))=12,$AJ$99=144),INDEX($AL$6:$AL$97,MATCH(A104,$AI$6:$AI$97,0)),A104)</f>
        <v>1C</v>
      </c>
      <c r="N104" s="120" t="str">
        <f aca="false">+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120"/>
      <c r="P104" s="120"/>
      <c r="Q104" s="120"/>
      <c r="R104" s="120"/>
      <c r="S104" s="120"/>
      <c r="T104" s="120"/>
      <c r="U104" s="120"/>
      <c r="V104" s="46"/>
      <c r="W104" s="211"/>
      <c r="X104" s="74" t="n">
        <f aca="false">Horarios!C104</f>
        <v>46203.125</v>
      </c>
      <c r="Y104" s="75" t="n">
        <f aca="false">Horarios!C104</f>
        <v>46203.125</v>
      </c>
      <c r="Z104" s="212" t="n">
        <f aca="false">AH104</f>
        <v>75</v>
      </c>
      <c r="AA104" s="213" t="str">
        <f aca="false">+INDEX($M$101:$M$147,MATCH(AH104,$J$101:$J$147,0))</f>
        <v>1F</v>
      </c>
      <c r="AB104" s="214"/>
      <c r="AC104" s="221"/>
      <c r="AD104" s="221"/>
      <c r="AE104" s="214"/>
      <c r="AF104" s="216" t="str">
        <f aca="false">+INDEX($N$101:$N$147,MATCH(AH104,$J$101:$J$147,0))</f>
        <v>2C</v>
      </c>
      <c r="AG104" s="217" t="n">
        <f aca="false">IF(D104="W"&amp;AH104,0,1)</f>
        <v>0</v>
      </c>
      <c r="AH104" s="84" t="n">
        <v>75</v>
      </c>
      <c r="AI104" s="111" t="n">
        <v>3</v>
      </c>
      <c r="AJ104" s="121" t="n">
        <v>3</v>
      </c>
      <c r="AK104" s="173" t="str">
        <f aca="true" t="array" ref="AK104:AK104">Ver_flag_visit</f>
        <v/>
      </c>
      <c r="AL104" s="123" t="str">
        <f aca="false">+IF($H$113&gt;=48,INDEX($BD$58:$BD$69,MATCH(AI104,$BN$58:$BN$69,0)),BB60)</f>
        <v>3C</v>
      </c>
      <c r="AM104" s="230" t="str">
        <f aca="false">+IF($H$113&gt;=48,INDEX($BE$58:$BN$69,MATCH($AL104,$BD$58:$BD$69,0),MATCH(AM$5,$BE$57:$BN$57,0)),$BB60)</f>
        <v>3C</v>
      </c>
      <c r="AN104" s="188" t="str">
        <f aca="false">+IF($H$113&gt;=48,INDEX($BE$58:$BN$69,MATCH($AL104,$BD$58:$BD$69,0),MATCH(AN$5,$BE$57:$BN$57,0)),$BB60)</f>
        <v>3C</v>
      </c>
      <c r="AO104" s="188" t="str">
        <f aca="false">+IF($H$113&gt;=48,INDEX($BE$58:$BN$69,MATCH($AL104,$BD$58:$BD$69,0),MATCH(AO$5,$BE$57:$BN$57,0)),$BB60)</f>
        <v>3C</v>
      </c>
      <c r="AP104" s="188" t="str">
        <f aca="false">+IF($H$113&gt;=48,INDEX($BE$58:$BN$69,MATCH($AL104,$BD$58:$BD$69,0),MATCH(AP$5,$BE$57:$BN$57,0)),$BB60)</f>
        <v>3C</v>
      </c>
      <c r="AQ104" s="188" t="str">
        <f aca="false">+IF($H$113&gt;=48,INDEX($BE$58:$BN$69,MATCH($AL104,$BD$58:$BD$69,0),MATCH(AQ$5,$BE$57:$BN$57,0)),$BB60)</f>
        <v>3C</v>
      </c>
      <c r="AR104" s="188" t="str">
        <f aca="false">+IF($H$113&gt;=48,INDEX($BE$58:$BN$69,MATCH($AL104,$BD$58:$BD$69,0),MATCH(AR$5,$BE$57:$BN$57,0)),$BB60)</f>
        <v>3C</v>
      </c>
      <c r="AS104" s="188" t="str">
        <f aca="false">+IF($H$113&gt;=48,INDEX($BE$58:$BN$69,MATCH($AL104,$BD$58:$BD$69,0),MATCH(AS$5,$BE$57:$BN$57,0)),$BB60)</f>
        <v>3C</v>
      </c>
      <c r="AT104" s="231" t="str">
        <f aca="false">+IF($H$113&gt;=48,INDEX($BE$58:$BN$69,MATCH($AL104,$BD$58:$BD$69,0),MATCH(AT$5,$BE$57:$BN$57,0)),$BB60)</f>
        <v>3C</v>
      </c>
      <c r="AU104" s="156" t="str">
        <f aca="false">IF($H$113=144,INDEX($DL$58:$DL$69,MATCH(AI104,$DP$58:$DP$69,0)),"")</f>
        <v/>
      </c>
      <c r="AV104" s="111" t="str">
        <f aca="false">INDEX($BD$58:$BD$69,MATCH(AI104,$BM$58:$BM$69,0))</f>
        <v>Catar</v>
      </c>
      <c r="AW104" s="112" t="n">
        <v>3</v>
      </c>
      <c r="AX104" s="228"/>
      <c r="AY104" s="232"/>
      <c r="AZ104" s="233" t="str">
        <f aca="false">+IF(OR($H$113&gt;=48,$AJ$99=144),BF118&amp;" - "&amp;BG118,"")</f>
        <v/>
      </c>
      <c r="BA104" s="49"/>
      <c r="BB104" s="120"/>
      <c r="BC104" s="55"/>
      <c r="BD104" s="120"/>
      <c r="BE104" s="120"/>
      <c r="BF104" s="120" t="str">
        <f aca="false">IFERROR(INDEX($BC$6:$BC$53,MATCH(AL103,$BD$6:$BD$53,0)),"")</f>
        <v/>
      </c>
      <c r="BG104" s="120" t="n">
        <f aca="false">COUNTIF($BF$103:$BF$110,"&lt;="&amp;BF104)</f>
        <v>8</v>
      </c>
      <c r="BH104" s="120"/>
      <c r="BI104" s="55" t="n">
        <v>2</v>
      </c>
      <c r="BJ104" s="120" t="str">
        <f aca="false">IFERROR(INDEX($BF$103:$BF$110,MATCH(BI104,$BG$103:$BG$110,0)),"Grupo")</f>
        <v>Grupo</v>
      </c>
      <c r="BK104" s="55"/>
      <c r="BL104" s="55"/>
      <c r="BM104" s="120"/>
      <c r="BN104" s="120"/>
      <c r="BO104" s="120"/>
      <c r="BP104" s="120"/>
      <c r="BQ104" s="120"/>
      <c r="BR104" s="120"/>
      <c r="BS104" s="120"/>
      <c r="BT104" s="120"/>
      <c r="BU104" s="120"/>
      <c r="BV104" s="120"/>
      <c r="BW104" s="120"/>
      <c r="BX104" s="120"/>
      <c r="BY104" s="120"/>
      <c r="BZ104" s="120"/>
      <c r="CA104" s="120"/>
      <c r="CB104" s="120"/>
      <c r="CC104" s="120"/>
      <c r="CD104" s="120"/>
      <c r="CE104" s="120"/>
      <c r="CF104" s="120"/>
      <c r="CG104" s="120"/>
      <c r="CH104" s="120"/>
      <c r="CI104" s="120"/>
      <c r="CJ104" s="120"/>
      <c r="CK104" s="120"/>
      <c r="CL104" s="120"/>
      <c r="CM104" s="120"/>
      <c r="CN104" s="120"/>
      <c r="CO104" s="120"/>
      <c r="CP104" s="120"/>
      <c r="CQ104" s="120"/>
      <c r="CR104" s="120"/>
      <c r="CS104" s="120"/>
      <c r="CT104" s="120"/>
      <c r="CU104" s="120"/>
      <c r="CV104" s="120"/>
      <c r="CW104" s="120"/>
      <c r="CX104" s="120"/>
      <c r="CY104" s="120"/>
      <c r="CZ104" s="120"/>
      <c r="DA104" s="120"/>
      <c r="DB104" s="120"/>
      <c r="DC104" s="120"/>
      <c r="DD104" s="120"/>
      <c r="DE104" s="120"/>
      <c r="DF104" s="120"/>
      <c r="DG104" s="120"/>
      <c r="DH104" s="120"/>
      <c r="DI104" s="120"/>
      <c r="DJ104" s="120"/>
      <c r="DK104" s="120"/>
      <c r="DL104" s="120"/>
      <c r="DM104" s="120"/>
      <c r="DN104" s="120"/>
      <c r="DO104" s="120"/>
      <c r="DP104" s="120"/>
      <c r="DQ104" s="120"/>
      <c r="DR104" s="120"/>
      <c r="DS104" s="120"/>
      <c r="DT104" s="55" t="str">
        <f aca="false">AA104&amp;"-"&amp;AF104</f>
        <v>1F-2C</v>
      </c>
      <c r="DU104" s="120"/>
      <c r="DV104" s="120"/>
      <c r="DW104" s="210"/>
    </row>
    <row r="105" customFormat="false" ht="15.75" hidden="false" customHeight="true" outlineLevel="0" collapsed="false">
      <c r="A105" s="120" t="s">
        <v>114</v>
      </c>
      <c r="B105" s="120" t="s">
        <v>157</v>
      </c>
      <c r="C105" s="39"/>
      <c r="D105" s="195" t="str">
        <f aca="false">IF(AND(OR(AC105="",AD105="")),"W"&amp;AH105,IF(AC105&gt;AD105,AA105,IF(AC105&lt;AD105,AF105,IF(AND(AC105=AD105,AB105=AE105),"W"&amp;AH105,IF(AND(AC105=AD105,OR(AB105="",AE105="")),"W"&amp;AH105,IF(AND(AC105=AD105,AB105&gt;AE105),AA105,AF105))))))</f>
        <v>W78</v>
      </c>
      <c r="E105" s="39" t="s">
        <v>134</v>
      </c>
      <c r="F105" s="39" t="s">
        <v>149</v>
      </c>
      <c r="G105" s="117" t="s">
        <v>111</v>
      </c>
      <c r="H105" s="91" t="n">
        <f aca="false">+SUMIF($BC$6:$BC$53,G105,$BF$6:$BF$53)</f>
        <v>4</v>
      </c>
      <c r="I105" s="55"/>
      <c r="J105" s="120" t="n">
        <v>77</v>
      </c>
      <c r="K105" s="120" t="n">
        <v>46203.75</v>
      </c>
      <c r="L105" s="120" t="s">
        <v>158</v>
      </c>
      <c r="M105" s="120" t="str">
        <f aca="false">+IF(OR(INDEX($H$101:$H$113,MATCH(E105,$G$101:$G$113,0))=12,$AJ$99=144),INDEX($AL$6:$AL$97,MATCH(A105,$AI$6:$AI$97,0)),A105)</f>
        <v>1I</v>
      </c>
      <c r="N105" s="120" t="str">
        <f aca="false">+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120"/>
      <c r="P105" s="120"/>
      <c r="Q105" s="120"/>
      <c r="R105" s="120"/>
      <c r="S105" s="120"/>
      <c r="T105" s="120"/>
      <c r="U105" s="120"/>
      <c r="V105" s="46"/>
      <c r="W105" s="211"/>
      <c r="X105" s="74" t="n">
        <f aca="false">Horarios!C105</f>
        <v>46203.7916666667</v>
      </c>
      <c r="Y105" s="75" t="n">
        <f aca="false">Horarios!C105</f>
        <v>46203.7916666667</v>
      </c>
      <c r="Z105" s="212" t="n">
        <f aca="false">AH105</f>
        <v>78</v>
      </c>
      <c r="AA105" s="213" t="str">
        <f aca="false">+INDEX($M$101:$M$147,MATCH(AH105,$J$101:$J$147,0))</f>
        <v>2E</v>
      </c>
      <c r="AB105" s="214"/>
      <c r="AC105" s="221"/>
      <c r="AD105" s="221"/>
      <c r="AE105" s="214"/>
      <c r="AF105" s="216" t="str">
        <f aca="false">+INDEX($N$101:$N$147,MATCH(AH105,$J$101:$J$147,0))</f>
        <v>2I</v>
      </c>
      <c r="AG105" s="217" t="n">
        <f aca="false">IF(D105="W"&amp;AH105,0,1)</f>
        <v>0</v>
      </c>
      <c r="AH105" s="84" t="n">
        <v>78</v>
      </c>
      <c r="AI105" s="111" t="n">
        <v>4</v>
      </c>
      <c r="AJ105" s="121" t="n">
        <v>4</v>
      </c>
      <c r="AK105" s="173" t="str">
        <f aca="true" t="array" ref="AK105:AK105">Ver_flag_visit</f>
        <v/>
      </c>
      <c r="AL105" s="123" t="str">
        <f aca="false">+IF($H$113&gt;=48,INDEX($BD$58:$BD$69,MATCH(AI105,$BN$58:$BN$69,0)),BB61)</f>
        <v>3D</v>
      </c>
      <c r="AM105" s="230" t="str">
        <f aca="false">+IF($H$113&gt;=48,INDEX($BE$58:$BN$69,MATCH($AL105,$BD$58:$BD$69,0),MATCH(AM$5,$BE$57:$BN$57,0)),$BB61)</f>
        <v>3D</v>
      </c>
      <c r="AN105" s="188" t="str">
        <f aca="false">+IF($H$113&gt;=48,INDEX($BE$58:$BN$69,MATCH($AL105,$BD$58:$BD$69,0),MATCH(AN$5,$BE$57:$BN$57,0)),$BB61)</f>
        <v>3D</v>
      </c>
      <c r="AO105" s="188" t="str">
        <f aca="false">+IF($H$113&gt;=48,INDEX($BE$58:$BN$69,MATCH($AL105,$BD$58:$BD$69,0),MATCH(AO$5,$BE$57:$BN$57,0)),$BB61)</f>
        <v>3D</v>
      </c>
      <c r="AP105" s="188" t="str">
        <f aca="false">+IF($H$113&gt;=48,INDEX($BE$58:$BN$69,MATCH($AL105,$BD$58:$BD$69,0),MATCH(AP$5,$BE$57:$BN$57,0)),$BB61)</f>
        <v>3D</v>
      </c>
      <c r="AQ105" s="188" t="str">
        <f aca="false">+IF($H$113&gt;=48,INDEX($BE$58:$BN$69,MATCH($AL105,$BD$58:$BD$69,0),MATCH(AQ$5,$BE$57:$BN$57,0)),$BB61)</f>
        <v>3D</v>
      </c>
      <c r="AR105" s="188" t="str">
        <f aca="false">+IF($H$113&gt;=48,INDEX($BE$58:$BN$69,MATCH($AL105,$BD$58:$BD$69,0),MATCH(AR$5,$BE$57:$BN$57,0)),$BB61)</f>
        <v>3D</v>
      </c>
      <c r="AS105" s="188" t="str">
        <f aca="false">+IF($H$113&gt;=48,INDEX($BE$58:$BN$69,MATCH($AL105,$BD$58:$BD$69,0),MATCH(AS$5,$BE$57:$BN$57,0)),$BB61)</f>
        <v>3D</v>
      </c>
      <c r="AT105" s="231" t="str">
        <f aca="false">+IF($H$113&gt;=48,INDEX($BE$58:$BN$69,MATCH($AL105,$BD$58:$BD$69,0),MATCH(AT$5,$BE$57:$BN$57,0)),$BB61)</f>
        <v>3D</v>
      </c>
      <c r="AU105" s="156" t="str">
        <f aca="false">IF($H$113=144,INDEX($DL$58:$DL$69,MATCH(AI105,$DP$58:$DP$69,0)),"")</f>
        <v/>
      </c>
      <c r="AV105" s="111" t="str">
        <f aca="false">INDEX($BD$58:$BD$69,MATCH(AI105,$BM$58:$BM$69,0))</f>
        <v>Marruecos</v>
      </c>
      <c r="AW105" s="112"/>
      <c r="AX105" s="228"/>
      <c r="AY105" s="232"/>
      <c r="AZ105" s="233" t="str">
        <f aca="false">+IF(OR($H$113&gt;=48,$AJ$99=144),BF119&amp;" - "&amp;BG119,"")</f>
        <v/>
      </c>
      <c r="BA105" s="49"/>
      <c r="BB105" s="120"/>
      <c r="BC105" s="55"/>
      <c r="BD105" s="120"/>
      <c r="BE105" s="120"/>
      <c r="BF105" s="120" t="str">
        <f aca="false">IFERROR(INDEX($BC$6:$BC$53,MATCH(AL104,$BD$6:$BD$53,0)),"")</f>
        <v/>
      </c>
      <c r="BG105" s="120" t="n">
        <f aca="false">COUNTIF($BF$103:$BF$110,"&lt;="&amp;BF105)</f>
        <v>8</v>
      </c>
      <c r="BH105" s="120"/>
      <c r="BI105" s="55" t="n">
        <v>3</v>
      </c>
      <c r="BJ105" s="120" t="str">
        <f aca="false">IFERROR(INDEX($BF$103:$BF$110,MATCH(BI105,$BG$103:$BG$110,0)),"Grupo")</f>
        <v>Grupo</v>
      </c>
      <c r="BK105" s="55"/>
      <c r="BL105" s="55"/>
      <c r="BM105" s="120"/>
      <c r="BN105" s="120"/>
      <c r="BO105" s="120"/>
      <c r="BP105" s="120"/>
      <c r="BQ105" s="120"/>
      <c r="BR105" s="120"/>
      <c r="BS105" s="120"/>
      <c r="BT105" s="120"/>
      <c r="BU105" s="120"/>
      <c r="BV105" s="120"/>
      <c r="BW105" s="120"/>
      <c r="BX105" s="120"/>
      <c r="BY105" s="120"/>
      <c r="BZ105" s="120"/>
      <c r="CA105" s="120"/>
      <c r="CB105" s="120"/>
      <c r="CC105" s="120"/>
      <c r="CD105" s="120"/>
      <c r="CE105" s="120"/>
      <c r="CF105" s="120"/>
      <c r="CG105" s="120"/>
      <c r="CH105" s="120"/>
      <c r="CI105" s="120"/>
      <c r="CJ105" s="120"/>
      <c r="CK105" s="120"/>
      <c r="CL105" s="120"/>
      <c r="CM105" s="120"/>
      <c r="CN105" s="120"/>
      <c r="CO105" s="120"/>
      <c r="CP105" s="120"/>
      <c r="CQ105" s="120"/>
      <c r="CR105" s="120"/>
      <c r="CS105" s="120"/>
      <c r="CT105" s="120"/>
      <c r="CU105" s="120"/>
      <c r="CV105" s="120"/>
      <c r="CW105" s="120"/>
      <c r="CX105" s="120"/>
      <c r="CY105" s="120"/>
      <c r="CZ105" s="120"/>
      <c r="DA105" s="120"/>
      <c r="DB105" s="120"/>
      <c r="DC105" s="120"/>
      <c r="DD105" s="120"/>
      <c r="DE105" s="120"/>
      <c r="DF105" s="120"/>
      <c r="DG105" s="120"/>
      <c r="DH105" s="120"/>
      <c r="DI105" s="120"/>
      <c r="DJ105" s="120"/>
      <c r="DK105" s="120"/>
      <c r="DL105" s="120"/>
      <c r="DM105" s="120"/>
      <c r="DN105" s="120"/>
      <c r="DO105" s="120"/>
      <c r="DP105" s="120"/>
      <c r="DQ105" s="120"/>
      <c r="DR105" s="120"/>
      <c r="DS105" s="120"/>
      <c r="DT105" s="55" t="str">
        <f aca="false">AA105&amp;"-"&amp;AF105</f>
        <v>2E-2I</v>
      </c>
      <c r="DU105" s="120"/>
      <c r="DV105" s="120"/>
      <c r="DW105" s="210"/>
    </row>
    <row r="106" customFormat="false" ht="15.75" hidden="false" customHeight="true" outlineLevel="0" collapsed="false">
      <c r="A106" s="120" t="s">
        <v>97</v>
      </c>
      <c r="B106" s="120" t="s">
        <v>115</v>
      </c>
      <c r="C106" s="39"/>
      <c r="D106" s="195" t="str">
        <f aca="false">IF(AND(OR(AC106="",AD106="")),"W"&amp;AH106,IF(AC106&gt;AD106,AA106,IF(AC106&lt;AD106,AF106,IF(AND(AC106=AD106,AB106=AE106),"W"&amp;AH106,IF(AND(AC106=AD106,OR(AB106="",AE106="")),"W"&amp;AH106,IF(AND(AC106=AD106,AB106&gt;AE106),AA106,AF106))))))</f>
        <v>W77</v>
      </c>
      <c r="E106" s="39" t="s">
        <v>111</v>
      </c>
      <c r="F106" s="39" t="s">
        <v>134</v>
      </c>
      <c r="G106" s="117" t="s">
        <v>120</v>
      </c>
      <c r="H106" s="91" t="n">
        <f aca="false">+SUMIF($BC$6:$BC$53,G106,$BF$6:$BF$53)</f>
        <v>4</v>
      </c>
      <c r="I106" s="55"/>
      <c r="J106" s="120" t="n">
        <v>78</v>
      </c>
      <c r="K106" s="120" t="n">
        <v>46203.75</v>
      </c>
      <c r="L106" s="120" t="s">
        <v>159</v>
      </c>
      <c r="M106" s="120" t="str">
        <f aca="false">+IF(OR(INDEX($H$101:$H$113,MATCH(E106,$G$101:$G$113,0))=12,$AJ$99=144),INDEX($AL$6:$AL$97,MATCH(A106,$AI$6:$AI$97,0)),A106)</f>
        <v>2E</v>
      </c>
      <c r="N106" s="120" t="str">
        <f aca="false">+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120"/>
      <c r="P106" s="120"/>
      <c r="Q106" s="120"/>
      <c r="R106" s="120"/>
      <c r="S106" s="120"/>
      <c r="T106" s="120"/>
      <c r="U106" s="120"/>
      <c r="V106" s="46"/>
      <c r="W106" s="211"/>
      <c r="X106" s="74" t="n">
        <f aca="false">Horarios!C106</f>
        <v>46203.9583333333</v>
      </c>
      <c r="Y106" s="75" t="n">
        <f aca="false">Horarios!C106</f>
        <v>46203.9583333333</v>
      </c>
      <c r="Z106" s="212" t="n">
        <f aca="false">AH106</f>
        <v>77</v>
      </c>
      <c r="AA106" s="213" t="str">
        <f aca="false">+INDEX($M$101:$M$147,MATCH(AH106,$J$101:$J$147,0))</f>
        <v>1I</v>
      </c>
      <c r="AB106" s="214"/>
      <c r="AC106" s="221"/>
      <c r="AD106" s="221"/>
      <c r="AE106" s="214"/>
      <c r="AF106" s="216" t="str">
        <f aca="false">+INDEX($N$101:$N$147,MATCH(AH106,$J$101:$J$147,0))</f>
        <v>3CDFGH</v>
      </c>
      <c r="AG106" s="217" t="n">
        <f aca="false">IF(D106="W"&amp;AH106,0,1)</f>
        <v>0</v>
      </c>
      <c r="AH106" s="84" t="n">
        <v>77</v>
      </c>
      <c r="AI106" s="111" t="n">
        <v>5</v>
      </c>
      <c r="AJ106" s="121" t="n">
        <v>5</v>
      </c>
      <c r="AK106" s="173" t="str">
        <f aca="true" t="array" ref="AK106:AK106">Ver_flag_visit</f>
        <v/>
      </c>
      <c r="AL106" s="123" t="str">
        <f aca="false">+IF($H$113&gt;=48,INDEX($BD$58:$BD$69,MATCH(AI106,$BN$58:$BN$69,0)),BB62)</f>
        <v>3E</v>
      </c>
      <c r="AM106" s="230" t="str">
        <f aca="false">+IF($H$113&gt;=48,INDEX($BE$58:$BN$69,MATCH($AL106,$BD$58:$BD$69,0),MATCH(AM$5,$BE$57:$BN$57,0)),$BB62)</f>
        <v>3E</v>
      </c>
      <c r="AN106" s="188" t="str">
        <f aca="false">+IF($H$113&gt;=48,INDEX($BE$58:$BN$69,MATCH($AL106,$BD$58:$BD$69,0),MATCH(AN$5,$BE$57:$BN$57,0)),$BB62)</f>
        <v>3E</v>
      </c>
      <c r="AO106" s="188" t="str">
        <f aca="false">+IF($H$113&gt;=48,INDEX($BE$58:$BN$69,MATCH($AL106,$BD$58:$BD$69,0),MATCH(AO$5,$BE$57:$BN$57,0)),$BB62)</f>
        <v>3E</v>
      </c>
      <c r="AP106" s="188" t="str">
        <f aca="false">+IF($H$113&gt;=48,INDEX($BE$58:$BN$69,MATCH($AL106,$BD$58:$BD$69,0),MATCH(AP$5,$BE$57:$BN$57,0)),$BB62)</f>
        <v>3E</v>
      </c>
      <c r="AQ106" s="188" t="str">
        <f aca="false">+IF($H$113&gt;=48,INDEX($BE$58:$BN$69,MATCH($AL106,$BD$58:$BD$69,0),MATCH(AQ$5,$BE$57:$BN$57,0)),$BB62)</f>
        <v>3E</v>
      </c>
      <c r="AR106" s="188" t="str">
        <f aca="false">+IF($H$113&gt;=48,INDEX($BE$58:$BN$69,MATCH($AL106,$BD$58:$BD$69,0),MATCH(AR$5,$BE$57:$BN$57,0)),$BB62)</f>
        <v>3E</v>
      </c>
      <c r="AS106" s="188" t="str">
        <f aca="false">+IF($H$113&gt;=48,INDEX($BE$58:$BN$69,MATCH($AL106,$BD$58:$BD$69,0),MATCH(AS$5,$BE$57:$BN$57,0)),$BB62)</f>
        <v>3E</v>
      </c>
      <c r="AT106" s="231" t="str">
        <f aca="false">+IF($H$113&gt;=48,INDEX($BE$58:$BN$69,MATCH($AL106,$BD$58:$BD$69,0),MATCH(AT$5,$BE$57:$BN$57,0)),$BB62)</f>
        <v>3E</v>
      </c>
      <c r="AU106" s="156" t="str">
        <f aca="false">IF($H$113=144,INDEX($DL$58:$DL$69,MATCH(AI106,$DP$58:$DP$69,0)),"")</f>
        <v/>
      </c>
      <c r="AV106" s="111" t="str">
        <f aca="false">INDEX($BD$58:$BD$69,MATCH(AI106,$BM$58:$BM$69,0))</f>
        <v>España</v>
      </c>
      <c r="AW106" s="112"/>
      <c r="AX106" s="228"/>
      <c r="AY106" s="232"/>
      <c r="AZ106" s="233" t="str">
        <f aca="false">+IF(OR($H$113&gt;=48,$AJ$99=144),BF120&amp;" - "&amp;BG120,"")</f>
        <v/>
      </c>
      <c r="BA106" s="49"/>
      <c r="BB106" s="120"/>
      <c r="BC106" s="55"/>
      <c r="BD106" s="120"/>
      <c r="BE106" s="120"/>
      <c r="BF106" s="120" t="str">
        <f aca="false">IFERROR(INDEX($BC$6:$BC$53,MATCH(AL105,$BD$6:$BD$53,0)),"")</f>
        <v/>
      </c>
      <c r="BG106" s="120" t="n">
        <f aca="false">COUNTIF($BF$103:$BF$110,"&lt;="&amp;BF106)</f>
        <v>8</v>
      </c>
      <c r="BH106" s="120"/>
      <c r="BI106" s="55" t="n">
        <v>4</v>
      </c>
      <c r="BJ106" s="120" t="str">
        <f aca="false">IFERROR(INDEX($BF$103:$BF$110,MATCH(BI106,$BG$103:$BG$110,0)),"Grupo")</f>
        <v>Grupo</v>
      </c>
      <c r="BK106" s="55"/>
      <c r="BL106" s="55"/>
      <c r="BM106" s="120"/>
      <c r="BN106" s="120"/>
      <c r="BO106" s="120"/>
      <c r="BP106" s="120"/>
      <c r="BQ106" s="120"/>
      <c r="BR106" s="120"/>
      <c r="BS106" s="120"/>
      <c r="BT106" s="120"/>
      <c r="BU106" s="120"/>
      <c r="BV106" s="120"/>
      <c r="BW106" s="120"/>
      <c r="BX106" s="120"/>
      <c r="BY106" s="120"/>
      <c r="BZ106" s="120"/>
      <c r="CA106" s="120"/>
      <c r="CB106" s="120"/>
      <c r="CC106" s="120"/>
      <c r="CD106" s="120"/>
      <c r="CE106" s="120"/>
      <c r="CF106" s="120"/>
      <c r="CG106" s="120"/>
      <c r="CH106" s="120"/>
      <c r="CI106" s="120"/>
      <c r="CJ106" s="120"/>
      <c r="CK106" s="120"/>
      <c r="CL106" s="120"/>
      <c r="CM106" s="120"/>
      <c r="CN106" s="120"/>
      <c r="CO106" s="120"/>
      <c r="CP106" s="120"/>
      <c r="CQ106" s="120"/>
      <c r="CR106" s="120"/>
      <c r="CS106" s="120"/>
      <c r="CT106" s="120"/>
      <c r="CU106" s="120"/>
      <c r="CV106" s="120"/>
      <c r="CW106" s="120"/>
      <c r="CX106" s="120"/>
      <c r="CY106" s="120"/>
      <c r="CZ106" s="120"/>
      <c r="DA106" s="120"/>
      <c r="DB106" s="120"/>
      <c r="DC106" s="120"/>
      <c r="DD106" s="120"/>
      <c r="DE106" s="120"/>
      <c r="DF106" s="120"/>
      <c r="DG106" s="120"/>
      <c r="DH106" s="120"/>
      <c r="DI106" s="120"/>
      <c r="DJ106" s="120"/>
      <c r="DK106" s="120"/>
      <c r="DL106" s="120"/>
      <c r="DM106" s="120"/>
      <c r="DN106" s="120"/>
      <c r="DO106" s="120"/>
      <c r="DP106" s="120"/>
      <c r="DQ106" s="120"/>
      <c r="DR106" s="120"/>
      <c r="DS106" s="120"/>
      <c r="DT106" s="55" t="str">
        <f aca="false">AA106&amp;"-"&amp;AF106</f>
        <v>1I-3CDFGH</v>
      </c>
      <c r="DU106" s="120"/>
      <c r="DV106" s="120"/>
      <c r="DW106" s="210"/>
    </row>
    <row r="107" customFormat="false" ht="15.75" hidden="false" customHeight="true" outlineLevel="0" collapsed="false">
      <c r="A107" s="120" t="s">
        <v>78</v>
      </c>
      <c r="B107" s="120" t="s">
        <v>160</v>
      </c>
      <c r="C107" s="39"/>
      <c r="D107" s="195" t="str">
        <f aca="false">IF(AND(OR(AC107="",AD107="")),"W"&amp;AH107,IF(AC107&gt;AD107,AA107,IF(AC107&lt;AD107,AF107,IF(AND(AC107=AD107,AB107=AE107),"W"&amp;AH107,IF(AND(AC107=AD107,OR(AB107="",AE107="")),"W"&amp;AH107,IF(AND(AC107=AD107,AB107&gt;AE107),AA107,AF107))))))</f>
        <v>W79</v>
      </c>
      <c r="E107" s="39" t="s">
        <v>24</v>
      </c>
      <c r="F107" s="39" t="s">
        <v>149</v>
      </c>
      <c r="G107" s="117" t="s">
        <v>129</v>
      </c>
      <c r="H107" s="91" t="n">
        <f aca="false">+SUMIF($BC$6:$BC$53,G107,$BF$6:$BF$53)</f>
        <v>4</v>
      </c>
      <c r="I107" s="55"/>
      <c r="J107" s="120" t="n">
        <v>79</v>
      </c>
      <c r="K107" s="120" t="n">
        <v>46203.75</v>
      </c>
      <c r="L107" s="120" t="s">
        <v>161</v>
      </c>
      <c r="M107" s="120" t="str">
        <f aca="false">+IF(OR(INDEX($H$101:$H$113,MATCH(E107,$G$101:$G$113,0))=12,$AJ$99=144),INDEX($AL$6:$AL$97,MATCH(A107,$AI$6:$AI$97,0)),A107)</f>
        <v>1A</v>
      </c>
      <c r="N107" s="120" t="str">
        <f aca="false">+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120"/>
      <c r="P107" s="120"/>
      <c r="Q107" s="120"/>
      <c r="R107" s="120"/>
      <c r="S107" s="120"/>
      <c r="T107" s="120"/>
      <c r="U107" s="120"/>
      <c r="V107" s="46"/>
      <c r="W107" s="211"/>
      <c r="X107" s="74" t="n">
        <f aca="false">Horarios!C107</f>
        <v>46204.125</v>
      </c>
      <c r="Y107" s="75" t="n">
        <f aca="false">Horarios!C107</f>
        <v>46204.125</v>
      </c>
      <c r="Z107" s="212" t="n">
        <f aca="false">AH107</f>
        <v>79</v>
      </c>
      <c r="AA107" s="213" t="str">
        <f aca="false">+INDEX($M$101:$M$147,MATCH(AH107,$J$101:$J$147,0))</f>
        <v>1A</v>
      </c>
      <c r="AB107" s="214"/>
      <c r="AC107" s="221"/>
      <c r="AD107" s="221"/>
      <c r="AE107" s="214"/>
      <c r="AF107" s="216" t="str">
        <f aca="false">+INDEX($N$101:$N$147,MATCH(AH107,$J$101:$J$147,0))</f>
        <v>3CEFHI</v>
      </c>
      <c r="AG107" s="217" t="n">
        <f aca="false">IF(D107="W"&amp;AH107,0,1)</f>
        <v>0</v>
      </c>
      <c r="AH107" s="84" t="n">
        <v>79</v>
      </c>
      <c r="AI107" s="111" t="n">
        <v>6</v>
      </c>
      <c r="AJ107" s="121" t="n">
        <v>6</v>
      </c>
      <c r="AK107" s="173" t="str">
        <f aca="true" t="array" ref="AK107:AK107">Ver_flag_visit</f>
        <v/>
      </c>
      <c r="AL107" s="123" t="str">
        <f aca="false">+IF($H$113&gt;=48,INDEX($BD$58:$BD$69,MATCH(AI107,$BN$58:$BN$69,0)),BB63)</f>
        <v>3F</v>
      </c>
      <c r="AM107" s="230" t="str">
        <f aca="false">+IF($H$113&gt;=48,INDEX($BE$58:$BN$69,MATCH($AL107,$BD$58:$BD$69,0),MATCH(AM$5,$BE$57:$BN$57,0)),$BB63)</f>
        <v>3F</v>
      </c>
      <c r="AN107" s="188" t="str">
        <f aca="false">+IF($H$113&gt;=48,INDEX($BE$58:$BN$69,MATCH($AL107,$BD$58:$BD$69,0),MATCH(AN$5,$BE$57:$BN$57,0)),$BB63)</f>
        <v>3F</v>
      </c>
      <c r="AO107" s="188" t="str">
        <f aca="false">+IF($H$113&gt;=48,INDEX($BE$58:$BN$69,MATCH($AL107,$BD$58:$BD$69,0),MATCH(AO$5,$BE$57:$BN$57,0)),$BB63)</f>
        <v>3F</v>
      </c>
      <c r="AP107" s="188" t="str">
        <f aca="false">+IF($H$113&gt;=48,INDEX($BE$58:$BN$69,MATCH($AL107,$BD$58:$BD$69,0),MATCH(AP$5,$BE$57:$BN$57,0)),$BB63)</f>
        <v>3F</v>
      </c>
      <c r="AQ107" s="188" t="str">
        <f aca="false">+IF($H$113&gt;=48,INDEX($BE$58:$BN$69,MATCH($AL107,$BD$58:$BD$69,0),MATCH(AQ$5,$BE$57:$BN$57,0)),$BB63)</f>
        <v>3F</v>
      </c>
      <c r="AR107" s="188" t="str">
        <f aca="false">+IF($H$113&gt;=48,INDEX($BE$58:$BN$69,MATCH($AL107,$BD$58:$BD$69,0),MATCH(AR$5,$BE$57:$BN$57,0)),$BB63)</f>
        <v>3F</v>
      </c>
      <c r="AS107" s="188" t="str">
        <f aca="false">+IF($H$113&gt;=48,INDEX($BE$58:$BN$69,MATCH($AL107,$BD$58:$BD$69,0),MATCH(AS$5,$BE$57:$BN$57,0)),$BB63)</f>
        <v>3F</v>
      </c>
      <c r="AT107" s="231" t="str">
        <f aca="false">+IF($H$113&gt;=48,INDEX($BE$58:$BN$69,MATCH($AL107,$BD$58:$BD$69,0),MATCH(AT$5,$BE$57:$BN$57,0)),$BB63)</f>
        <v>3F</v>
      </c>
      <c r="AU107" s="156" t="str">
        <f aca="false">IF($H$113=144,INDEX($DL$58:$DL$69,MATCH(AI107,$DP$58:$DP$69,0)),"")</f>
        <v/>
      </c>
      <c r="AV107" s="111" t="str">
        <f aca="false">INDEX($BD$58:$BD$69,MATCH(AI107,$BM$58:$BM$69,0))</f>
        <v>Austria</v>
      </c>
      <c r="AW107" s="112" t="n">
        <v>7</v>
      </c>
      <c r="AX107" s="228"/>
      <c r="AY107" s="232"/>
      <c r="AZ107" s="233" t="str">
        <f aca="false">+IF(OR($H$113&gt;=48,$AJ$99=144),BF121&amp;" - "&amp;BG121,"")</f>
        <v/>
      </c>
      <c r="BA107" s="49"/>
      <c r="BB107" s="120"/>
      <c r="BC107" s="55"/>
      <c r="BD107" s="120"/>
      <c r="BE107" s="55"/>
      <c r="BF107" s="120" t="str">
        <f aca="false">IFERROR(INDEX($BC$6:$BC$53,MATCH(AL106,$BD$6:$BD$53,0)),"")</f>
        <v/>
      </c>
      <c r="BG107" s="120" t="n">
        <f aca="false">COUNTIF($BF$103:$BF$110,"&lt;="&amp;BF107)</f>
        <v>8</v>
      </c>
      <c r="BH107" s="120"/>
      <c r="BI107" s="120" t="n">
        <v>5</v>
      </c>
      <c r="BJ107" s="120" t="str">
        <f aca="false">IFERROR(INDEX($BF$103:$BF$110,MATCH(BI107,$BG$103:$BG$110,0)),"Grupo")</f>
        <v>Grupo</v>
      </c>
      <c r="BK107" s="55"/>
      <c r="BL107" s="55"/>
      <c r="BM107" s="120"/>
      <c r="BN107" s="120"/>
      <c r="BO107" s="120"/>
      <c r="BP107" s="120"/>
      <c r="BQ107" s="120"/>
      <c r="BR107" s="120"/>
      <c r="BS107" s="120"/>
      <c r="BT107" s="120"/>
      <c r="BU107" s="120"/>
      <c r="BV107" s="120"/>
      <c r="BW107" s="120"/>
      <c r="BX107" s="120"/>
      <c r="BY107" s="120"/>
      <c r="BZ107" s="120"/>
      <c r="CA107" s="120"/>
      <c r="CB107" s="120"/>
      <c r="CC107" s="120"/>
      <c r="CD107" s="120"/>
      <c r="CE107" s="120"/>
      <c r="CF107" s="120"/>
      <c r="CG107" s="120"/>
      <c r="CH107" s="120"/>
      <c r="CI107" s="120"/>
      <c r="CJ107" s="120"/>
      <c r="CK107" s="120"/>
      <c r="CL107" s="120"/>
      <c r="CM107" s="120"/>
      <c r="CN107" s="120"/>
      <c r="CO107" s="120"/>
      <c r="CP107" s="120"/>
      <c r="CQ107" s="120"/>
      <c r="CR107" s="120"/>
      <c r="CS107" s="120"/>
      <c r="CT107" s="120"/>
      <c r="CU107" s="120"/>
      <c r="CV107" s="120"/>
      <c r="CW107" s="120"/>
      <c r="CX107" s="120"/>
      <c r="CY107" s="120"/>
      <c r="CZ107" s="120"/>
      <c r="DA107" s="120"/>
      <c r="DB107" s="120"/>
      <c r="DC107" s="120"/>
      <c r="DD107" s="120"/>
      <c r="DE107" s="120"/>
      <c r="DF107" s="120"/>
      <c r="DG107" s="120"/>
      <c r="DH107" s="120"/>
      <c r="DI107" s="120"/>
      <c r="DJ107" s="120"/>
      <c r="DK107" s="120"/>
      <c r="DL107" s="120"/>
      <c r="DM107" s="120"/>
      <c r="DN107" s="120"/>
      <c r="DO107" s="120"/>
      <c r="DP107" s="120"/>
      <c r="DQ107" s="120"/>
      <c r="DR107" s="120"/>
      <c r="DS107" s="120"/>
      <c r="DT107" s="55" t="str">
        <f aca="false">AA107&amp;"-"&amp;AF107</f>
        <v>1A-3CEFHI</v>
      </c>
      <c r="DU107" s="120"/>
      <c r="DV107" s="120"/>
      <c r="DW107" s="210"/>
    </row>
    <row r="108" customFormat="false" ht="15.75" hidden="false" customHeight="true" outlineLevel="0" collapsed="false">
      <c r="A108" s="120" t="s">
        <v>127</v>
      </c>
      <c r="B108" s="120" t="s">
        <v>162</v>
      </c>
      <c r="C108" s="39"/>
      <c r="D108" s="195" t="str">
        <f aca="false">IF(AND(OR(AC108="",AD108="")),"W"&amp;AH108,IF(AC108&gt;AD108,AA108,IF(AC108&lt;AD108,AF108,IF(AND(AC108=AD108,AB108=AE108),"W"&amp;AH108,IF(AND(AC108=AD108,OR(AB108="",AE108="")),"W"&amp;AH108,IF(AND(AC108=AD108,AB108&gt;AE108),AA108,AF108))))))</f>
        <v>W80</v>
      </c>
      <c r="E108" s="39" t="s">
        <v>137</v>
      </c>
      <c r="F108" s="39" t="s">
        <v>149</v>
      </c>
      <c r="G108" s="117" t="s">
        <v>133</v>
      </c>
      <c r="H108" s="91" t="n">
        <f aca="false">+SUMIF($BC$6:$BC$53,G108,$BF$6:$BF$53)</f>
        <v>4</v>
      </c>
      <c r="I108" s="55"/>
      <c r="J108" s="120" t="n">
        <v>80</v>
      </c>
      <c r="K108" s="120" t="n">
        <v>46204.75</v>
      </c>
      <c r="L108" s="120" t="s">
        <v>163</v>
      </c>
      <c r="M108" s="120" t="str">
        <f aca="false">+IF(OR(INDEX($H$101:$H$113,MATCH(E108,$G$101:$G$113,0))=12,$AJ$99=144),INDEX($AL$6:$AL$97,MATCH(A108,$AI$6:$AI$97,0)),A108)</f>
        <v>1L</v>
      </c>
      <c r="N108" s="120" t="str">
        <f aca="false">+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120"/>
      <c r="P108" s="120"/>
      <c r="Q108" s="120"/>
      <c r="R108" s="120"/>
      <c r="S108" s="120"/>
      <c r="T108" s="120"/>
      <c r="U108" s="120"/>
      <c r="V108" s="46"/>
      <c r="W108" s="211"/>
      <c r="X108" s="74" t="n">
        <f aca="false">Horarios!C108</f>
        <v>46204.75</v>
      </c>
      <c r="Y108" s="75" t="n">
        <f aca="false">Horarios!C108</f>
        <v>46204.75</v>
      </c>
      <c r="Z108" s="212" t="n">
        <f aca="false">AH108</f>
        <v>80</v>
      </c>
      <c r="AA108" s="213" t="str">
        <f aca="false">+INDEX($M$101:$M$147,MATCH(AH108,$J$101:$J$147,0))</f>
        <v>1L</v>
      </c>
      <c r="AB108" s="214"/>
      <c r="AC108" s="221"/>
      <c r="AD108" s="221"/>
      <c r="AE108" s="214"/>
      <c r="AF108" s="216" t="str">
        <f aca="false">+INDEX($N$101:$N$147,MATCH(AH108,$J$101:$J$147,0))</f>
        <v>3EHIJK</v>
      </c>
      <c r="AG108" s="217" t="n">
        <f aca="false">IF(D108="W"&amp;AH108,0,1)</f>
        <v>0</v>
      </c>
      <c r="AH108" s="84" t="n">
        <v>80</v>
      </c>
      <c r="AI108" s="111" t="n">
        <v>7</v>
      </c>
      <c r="AJ108" s="121" t="n">
        <v>7</v>
      </c>
      <c r="AK108" s="173" t="str">
        <f aca="true" t="array" ref="AK108:AK108">Ver_flag_visit</f>
        <v/>
      </c>
      <c r="AL108" s="123" t="str">
        <f aca="false">+IF($H$113&gt;=48,INDEX($BD$58:$BD$69,MATCH(AI108,$BN$58:$BN$69,0)),BB64)</f>
        <v>3G</v>
      </c>
      <c r="AM108" s="230" t="str">
        <f aca="false">+IF($H$113&gt;=48,INDEX($BE$58:$BN$69,MATCH($AL108,$BD$58:$BD$69,0),MATCH(AM$5,$BE$57:$BN$57,0)),$BB64)</f>
        <v>3G</v>
      </c>
      <c r="AN108" s="188" t="str">
        <f aca="false">+IF($H$113&gt;=48,INDEX($BE$58:$BN$69,MATCH($AL108,$BD$58:$BD$69,0),MATCH(AN$5,$BE$57:$BN$57,0)),$BB64)</f>
        <v>3G</v>
      </c>
      <c r="AO108" s="188" t="str">
        <f aca="false">+IF($H$113&gt;=48,INDEX($BE$58:$BN$69,MATCH($AL108,$BD$58:$BD$69,0),MATCH(AO$5,$BE$57:$BN$57,0)),$BB64)</f>
        <v>3G</v>
      </c>
      <c r="AP108" s="188" t="str">
        <f aca="false">+IF($H$113&gt;=48,INDEX($BE$58:$BN$69,MATCH($AL108,$BD$58:$BD$69,0),MATCH(AP$5,$BE$57:$BN$57,0)),$BB64)</f>
        <v>3G</v>
      </c>
      <c r="AQ108" s="188" t="str">
        <f aca="false">+IF($H$113&gt;=48,INDEX($BE$58:$BN$69,MATCH($AL108,$BD$58:$BD$69,0),MATCH(AQ$5,$BE$57:$BN$57,0)),$BB64)</f>
        <v>3G</v>
      </c>
      <c r="AR108" s="188" t="str">
        <f aca="false">+IF($H$113&gt;=48,INDEX($BE$58:$BN$69,MATCH($AL108,$BD$58:$BD$69,0),MATCH(AR$5,$BE$57:$BN$57,0)),$BB64)</f>
        <v>3G</v>
      </c>
      <c r="AS108" s="188" t="str">
        <f aca="false">+IF($H$113&gt;=48,INDEX($BE$58:$BN$69,MATCH($AL108,$BD$58:$BD$69,0),MATCH(AS$5,$BE$57:$BN$57,0)),$BB64)</f>
        <v>3G</v>
      </c>
      <c r="AT108" s="231" t="str">
        <f aca="false">+IF($H$113&gt;=48,INDEX($BE$58:$BN$69,MATCH($AL108,$BD$58:$BD$69,0),MATCH(AT$5,$BE$57:$BN$57,0)),$BB64)</f>
        <v>3G</v>
      </c>
      <c r="AU108" s="156" t="str">
        <f aca="false">IF($H$113=144,INDEX($DL$58:$DL$69,MATCH(AI108,$DP$58:$DP$69,0)),"")</f>
        <v/>
      </c>
      <c r="AV108" s="111" t="str">
        <f aca="false">INDEX($BD$58:$BD$69,MATCH(AI108,$BM$58:$BM$69,0))</f>
        <v>Ghana</v>
      </c>
      <c r="AW108" s="112" t="n">
        <v>6</v>
      </c>
      <c r="AX108" s="228"/>
      <c r="AY108" s="232"/>
      <c r="AZ108" s="233" t="str">
        <f aca="false">+IF(OR($H$113&gt;=48,$AJ$99=144),BF122&amp;" - "&amp;BG122,"")</f>
        <v/>
      </c>
      <c r="BA108" s="49"/>
      <c r="BB108" s="120"/>
      <c r="BC108" s="120"/>
      <c r="BD108" s="120"/>
      <c r="BE108" s="55"/>
      <c r="BF108" s="120" t="str">
        <f aca="false">IFERROR(INDEX($BC$6:$BC$53,MATCH(AL107,$BD$6:$BD$53,0)),"")</f>
        <v/>
      </c>
      <c r="BG108" s="120" t="n">
        <f aca="false">COUNTIF($BF$103:$BF$110,"&lt;="&amp;BF108)</f>
        <v>8</v>
      </c>
      <c r="BH108" s="120"/>
      <c r="BI108" s="120" t="n">
        <v>6</v>
      </c>
      <c r="BJ108" s="120" t="str">
        <f aca="false">IFERROR(INDEX($BF$103:$BF$110,MATCH(BI108,$BG$103:$BG$110,0)),"Grupo")</f>
        <v>Grupo</v>
      </c>
      <c r="BK108" s="55"/>
      <c r="BL108" s="120"/>
      <c r="BM108" s="120"/>
      <c r="BN108" s="120"/>
      <c r="BO108" s="120"/>
      <c r="BP108" s="120"/>
      <c r="BQ108" s="120"/>
      <c r="BR108" s="120"/>
      <c r="BS108" s="120"/>
      <c r="BT108" s="120"/>
      <c r="BU108" s="120"/>
      <c r="BV108" s="120"/>
      <c r="BW108" s="120"/>
      <c r="BX108" s="120"/>
      <c r="BY108" s="120"/>
      <c r="BZ108" s="120"/>
      <c r="CA108" s="120"/>
      <c r="CB108" s="120"/>
      <c r="CC108" s="120"/>
      <c r="CD108" s="120"/>
      <c r="CE108" s="120"/>
      <c r="CF108" s="120"/>
      <c r="CG108" s="120"/>
      <c r="CH108" s="120"/>
      <c r="CI108" s="120"/>
      <c r="CJ108" s="120"/>
      <c r="CK108" s="120"/>
      <c r="CL108" s="120"/>
      <c r="CM108" s="120"/>
      <c r="CN108" s="120"/>
      <c r="CO108" s="120"/>
      <c r="CP108" s="120"/>
      <c r="CQ108" s="120"/>
      <c r="CR108" s="120"/>
      <c r="CS108" s="120"/>
      <c r="CT108" s="120"/>
      <c r="CU108" s="120"/>
      <c r="CV108" s="120"/>
      <c r="CW108" s="120"/>
      <c r="CX108" s="120"/>
      <c r="CY108" s="120"/>
      <c r="CZ108" s="120"/>
      <c r="DA108" s="120"/>
      <c r="DB108" s="120"/>
      <c r="DC108" s="120"/>
      <c r="DD108" s="120"/>
      <c r="DE108" s="120"/>
      <c r="DF108" s="120"/>
      <c r="DG108" s="120"/>
      <c r="DH108" s="120"/>
      <c r="DI108" s="120"/>
      <c r="DJ108" s="120"/>
      <c r="DK108" s="120"/>
      <c r="DL108" s="120"/>
      <c r="DM108" s="120"/>
      <c r="DN108" s="120"/>
      <c r="DO108" s="120"/>
      <c r="DP108" s="120"/>
      <c r="DQ108" s="120"/>
      <c r="DR108" s="120"/>
      <c r="DS108" s="120"/>
      <c r="DT108" s="55" t="str">
        <f aca="false">AA108&amp;"-"&amp;AF108</f>
        <v>1L-3EHIJK</v>
      </c>
      <c r="DU108" s="120"/>
      <c r="DV108" s="120"/>
      <c r="DW108" s="210"/>
    </row>
    <row r="109" customFormat="false" ht="15.75" hidden="false" customHeight="true" outlineLevel="0" collapsed="false">
      <c r="A109" s="120" t="s">
        <v>91</v>
      </c>
      <c r="B109" s="120" t="s">
        <v>164</v>
      </c>
      <c r="C109" s="39"/>
      <c r="D109" s="195" t="str">
        <f aca="false">IF(AND(OR(AC109="",AD109="")),"W"&amp;AH109,IF(AC109&gt;AD109,AA109,IF(AC109&lt;AD109,AF109,IF(AND(AC109=AD109,AB109=AE109),"W"&amp;AH109,IF(AND(AC109=AD109,OR(AB109="",AE109="")),"W"&amp;AH109,IF(AND(AC109=AD109,AB109&gt;AE109),AA109,AF109))))))</f>
        <v>W82</v>
      </c>
      <c r="E109" s="39" t="s">
        <v>102</v>
      </c>
      <c r="F109" s="39" t="s">
        <v>149</v>
      </c>
      <c r="G109" s="117" t="s">
        <v>134</v>
      </c>
      <c r="H109" s="91" t="n">
        <f aca="false">+SUMIF($BC$6:$BC$53,G109,$BF$6:$BF$53)</f>
        <v>0</v>
      </c>
      <c r="I109" s="55"/>
      <c r="J109" s="120" t="n">
        <v>81</v>
      </c>
      <c r="K109" s="120" t="n">
        <v>46204.75</v>
      </c>
      <c r="L109" s="120" t="s">
        <v>165</v>
      </c>
      <c r="M109" s="120" t="str">
        <f aca="false">+IF(OR(INDEX($H$101:$H$113,MATCH(E109,$G$101:$G$113,0))=12,$AJ$99=144),INDEX($AL$6:$AL$97,MATCH(A109,$AI$6:$AI$97,0)),A109)</f>
        <v>1D</v>
      </c>
      <c r="N109" s="120" t="str">
        <f aca="false">+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120"/>
      <c r="P109" s="120"/>
      <c r="Q109" s="120"/>
      <c r="R109" s="120"/>
      <c r="S109" s="120"/>
      <c r="T109" s="120"/>
      <c r="U109" s="120"/>
      <c r="V109" s="46"/>
      <c r="W109" s="211"/>
      <c r="X109" s="74" t="n">
        <f aca="false">Horarios!C109</f>
        <v>46204.9166666667</v>
      </c>
      <c r="Y109" s="75" t="n">
        <f aca="false">Horarios!C109</f>
        <v>46204.9166666667</v>
      </c>
      <c r="Z109" s="212" t="n">
        <f aca="false">AH109</f>
        <v>82</v>
      </c>
      <c r="AA109" s="213" t="str">
        <f aca="false">+INDEX($M$101:$M$147,MATCH(AH109,$J$101:$J$147,0))</f>
        <v>1G</v>
      </c>
      <c r="AB109" s="214"/>
      <c r="AC109" s="221"/>
      <c r="AD109" s="221"/>
      <c r="AE109" s="214"/>
      <c r="AF109" s="216" t="str">
        <f aca="false">+INDEX($N$101:$N$147,MATCH(AH109,$J$101:$J$147,0))</f>
        <v>3AEHIJ</v>
      </c>
      <c r="AG109" s="217" t="n">
        <f aca="false">IF(D109="W"&amp;AH109,0,1)</f>
        <v>0</v>
      </c>
      <c r="AH109" s="84" t="n">
        <v>82</v>
      </c>
      <c r="AI109" s="111" t="n">
        <v>8</v>
      </c>
      <c r="AJ109" s="121" t="n">
        <v>8</v>
      </c>
      <c r="AK109" s="173" t="str">
        <f aca="true" t="array" ref="AK109:AK109">Ver_flag_visit</f>
        <v/>
      </c>
      <c r="AL109" s="123" t="str">
        <f aca="false">+IF($H$113&gt;=48,INDEX($BD$58:$BD$69,MATCH(AI109,$BN$58:$BN$69,0)),BB65)</f>
        <v>3H</v>
      </c>
      <c r="AM109" s="230" t="str">
        <f aca="false">+IF($H$113&gt;=48,INDEX($BE$58:$BN$69,MATCH($AL109,$BD$58:$BD$69,0),MATCH(AM$5,$BE$57:$BN$57,0)),$BB65)</f>
        <v>3H</v>
      </c>
      <c r="AN109" s="188" t="str">
        <f aca="false">+IF($H$113&gt;=48,INDEX($BE$58:$BN$69,MATCH($AL109,$BD$58:$BD$69,0),MATCH(AN$5,$BE$57:$BN$57,0)),$BB65)</f>
        <v>3H</v>
      </c>
      <c r="AO109" s="188" t="str">
        <f aca="false">+IF($H$113&gt;=48,INDEX($BE$58:$BN$69,MATCH($AL109,$BD$58:$BD$69,0),MATCH(AO$5,$BE$57:$BN$57,0)),$BB65)</f>
        <v>3H</v>
      </c>
      <c r="AP109" s="188" t="str">
        <f aca="false">+IF($H$113&gt;=48,INDEX($BE$58:$BN$69,MATCH($AL109,$BD$58:$BD$69,0),MATCH(AP$5,$BE$57:$BN$57,0)),$BB65)</f>
        <v>3H</v>
      </c>
      <c r="AQ109" s="188" t="str">
        <f aca="false">+IF($H$113&gt;=48,INDEX($BE$58:$BN$69,MATCH($AL109,$BD$58:$BD$69,0),MATCH(AQ$5,$BE$57:$BN$57,0)),$BB65)</f>
        <v>3H</v>
      </c>
      <c r="AR109" s="188" t="str">
        <f aca="false">+IF($H$113&gt;=48,INDEX($BE$58:$BN$69,MATCH($AL109,$BD$58:$BD$69,0),MATCH(AR$5,$BE$57:$BN$57,0)),$BB65)</f>
        <v>3H</v>
      </c>
      <c r="AS109" s="188" t="str">
        <f aca="false">+IF($H$113&gt;=48,INDEX($BE$58:$BN$69,MATCH($AL109,$BD$58:$BD$69,0),MATCH(AS$5,$BE$57:$BN$57,0)),$BB65)</f>
        <v>3H</v>
      </c>
      <c r="AT109" s="231" t="str">
        <f aca="false">+IF($H$113&gt;=48,INDEX($BE$58:$BN$69,MATCH($AL109,$BD$58:$BD$69,0),MATCH(AT$5,$BE$57:$BN$57,0)),$BB65)</f>
        <v>3H</v>
      </c>
      <c r="AU109" s="156" t="str">
        <f aca="false">IF($H$113=144,INDEX($DL$58:$DL$69,MATCH(AI109,$DP$58:$DP$69,0)),"")</f>
        <v/>
      </c>
      <c r="AV109" s="111" t="str">
        <f aca="false">INDEX($BD$58:$BD$69,MATCH(AI109,$BM$58:$BM$69,0))</f>
        <v>Irak</v>
      </c>
      <c r="AW109" s="112"/>
      <c r="AX109" s="228"/>
      <c r="AY109" s="232"/>
      <c r="AZ109" s="233" t="str">
        <f aca="false">+IF(OR($H$113&gt;=48,$AJ$99=144),BF123&amp;" - "&amp;BG123,"")</f>
        <v/>
      </c>
      <c r="BA109" s="49"/>
      <c r="BB109" s="120"/>
      <c r="BC109" s="120"/>
      <c r="BD109" s="120"/>
      <c r="BE109" s="55"/>
      <c r="BF109" s="120" t="str">
        <f aca="false">IFERROR(INDEX($BC$6:$BC$53,MATCH(AL108,$BD$6:$BD$53,0)),"")</f>
        <v/>
      </c>
      <c r="BG109" s="120" t="n">
        <f aca="false">COUNTIF($BF$103:$BF$110,"&lt;="&amp;BF109)</f>
        <v>8</v>
      </c>
      <c r="BH109" s="120"/>
      <c r="BI109" s="120" t="n">
        <v>7</v>
      </c>
      <c r="BJ109" s="120" t="str">
        <f aca="false">IFERROR(INDEX($BF$103:$BF$110,MATCH(BI109,$BG$103:$BG$110,0)),"Grupo")</f>
        <v>Grupo</v>
      </c>
      <c r="BK109" s="55"/>
      <c r="BL109" s="120"/>
      <c r="BM109" s="120"/>
      <c r="BN109" s="120"/>
      <c r="BO109" s="120"/>
      <c r="BP109" s="120"/>
      <c r="BQ109" s="120"/>
      <c r="BR109" s="120"/>
      <c r="BS109" s="120"/>
      <c r="BT109" s="120"/>
      <c r="BU109" s="120"/>
      <c r="BV109" s="120"/>
      <c r="BW109" s="120"/>
      <c r="BX109" s="120"/>
      <c r="BY109" s="120"/>
      <c r="BZ109" s="120"/>
      <c r="CA109" s="120"/>
      <c r="CB109" s="120"/>
      <c r="CC109" s="120"/>
      <c r="CD109" s="120"/>
      <c r="CE109" s="120"/>
      <c r="CF109" s="120"/>
      <c r="CG109" s="120"/>
      <c r="CH109" s="120"/>
      <c r="CI109" s="120"/>
      <c r="CJ109" s="120"/>
      <c r="CK109" s="120"/>
      <c r="CL109" s="120"/>
      <c r="CM109" s="120"/>
      <c r="CN109" s="120"/>
      <c r="CO109" s="120"/>
      <c r="CP109" s="120"/>
      <c r="CQ109" s="120"/>
      <c r="CR109" s="120"/>
      <c r="CS109" s="120"/>
      <c r="CT109" s="120"/>
      <c r="CU109" s="120"/>
      <c r="CV109" s="120"/>
      <c r="CW109" s="120"/>
      <c r="CX109" s="120"/>
      <c r="CY109" s="120"/>
      <c r="CZ109" s="120"/>
      <c r="DA109" s="120"/>
      <c r="DB109" s="120"/>
      <c r="DC109" s="120"/>
      <c r="DD109" s="120"/>
      <c r="DE109" s="120"/>
      <c r="DF109" s="120"/>
      <c r="DG109" s="120"/>
      <c r="DH109" s="120"/>
      <c r="DI109" s="120"/>
      <c r="DJ109" s="120"/>
      <c r="DK109" s="120"/>
      <c r="DL109" s="120"/>
      <c r="DM109" s="120"/>
      <c r="DN109" s="120"/>
      <c r="DO109" s="120"/>
      <c r="DP109" s="120"/>
      <c r="DQ109" s="120"/>
      <c r="DR109" s="120"/>
      <c r="DS109" s="120"/>
      <c r="DT109" s="55" t="str">
        <f aca="false">AA109&amp;"-"&amp;AF109</f>
        <v>1G-3AEHIJ</v>
      </c>
      <c r="DU109" s="120"/>
      <c r="DV109" s="120"/>
      <c r="DW109" s="210"/>
    </row>
    <row r="110" customFormat="false" ht="15.75" hidden="false" customHeight="true" outlineLevel="0" collapsed="false">
      <c r="A110" s="120" t="s">
        <v>105</v>
      </c>
      <c r="B110" s="120" t="s">
        <v>166</v>
      </c>
      <c r="C110" s="39"/>
      <c r="D110" s="195" t="str">
        <f aca="false">IF(AND(OR(AC110="",AD110="")),"W"&amp;AH110,IF(AC110&gt;AD110,AA110,IF(AC110&lt;AD110,AF110,IF(AND(AC110=AD110,AB110=AE110),"W"&amp;AH110,IF(AND(AC110=AD110,OR(AB110="",AE110="")),"W"&amp;AH110,IF(AND(AC110=AD110,AB110&gt;AE110),AA110,AF110))))))</f>
        <v>W81</v>
      </c>
      <c r="E110" s="39" t="s">
        <v>129</v>
      </c>
      <c r="F110" s="39" t="s">
        <v>149</v>
      </c>
      <c r="G110" s="117" t="s">
        <v>135</v>
      </c>
      <c r="H110" s="91" t="n">
        <f aca="false">+SUMIF($BC$6:$BC$53,G110,$BF$6:$BF$53)</f>
        <v>0</v>
      </c>
      <c r="I110" s="55"/>
      <c r="J110" s="120" t="n">
        <v>82</v>
      </c>
      <c r="K110" s="120" t="n">
        <v>46204.75</v>
      </c>
      <c r="L110" s="120" t="s">
        <v>167</v>
      </c>
      <c r="M110" s="120" t="str">
        <f aca="false">+IF(OR(INDEX($H$101:$H$113,MATCH(E110,$G$101:$G$113,0))=12,$AJ$99=144),INDEX($AL$6:$AL$97,MATCH(A110,$AI$6:$AI$97,0)),A110)</f>
        <v>1G</v>
      </c>
      <c r="N110" s="120" t="str">
        <f aca="false">+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120"/>
      <c r="P110" s="120"/>
      <c r="Q110" s="120"/>
      <c r="R110" s="120"/>
      <c r="S110" s="120"/>
      <c r="T110" s="120"/>
      <c r="U110" s="120"/>
      <c r="V110" s="46"/>
      <c r="W110" s="211"/>
      <c r="X110" s="74" t="n">
        <f aca="false">Horarios!C110</f>
        <v>46205.0833333333</v>
      </c>
      <c r="Y110" s="75" t="n">
        <f aca="false">Horarios!C110</f>
        <v>46205.0833333333</v>
      </c>
      <c r="Z110" s="212" t="n">
        <f aca="false">AH110</f>
        <v>81</v>
      </c>
      <c r="AA110" s="213" t="str">
        <f aca="false">+INDEX($M$101:$M$147,MATCH(AH110,$J$101:$J$147,0))</f>
        <v>1D</v>
      </c>
      <c r="AB110" s="214"/>
      <c r="AC110" s="221"/>
      <c r="AD110" s="221"/>
      <c r="AE110" s="214"/>
      <c r="AF110" s="216" t="str">
        <f aca="false">+INDEX($N$101:$N$147,MATCH(AH110,$J$101:$J$147,0))</f>
        <v>3BEFIJ</v>
      </c>
      <c r="AG110" s="217" t="n">
        <f aca="false">IF(D110="W"&amp;AH110,0,1)</f>
        <v>0</v>
      </c>
      <c r="AH110" s="84" t="n">
        <v>81</v>
      </c>
      <c r="AI110" s="111" t="n">
        <v>9</v>
      </c>
      <c r="AJ110" s="121" t="n">
        <v>9</v>
      </c>
      <c r="AK110" s="173" t="str">
        <f aca="true" t="array" ref="AK110:AK110">Ver_flag_visit</f>
        <v/>
      </c>
      <c r="AL110" s="123" t="str">
        <f aca="false">+IF($H$113&gt;=48,INDEX($BD$58:$BD$69,MATCH(AI110,$BN$58:$BN$69,0)),BB66)</f>
        <v>3I</v>
      </c>
      <c r="AM110" s="230" t="str">
        <f aca="false">+IF($H$113&gt;=48,INDEX($BE$58:$BN$69,MATCH($AL110,$BD$58:$BD$69,0),MATCH(AM$5,$BE$57:$BN$57,0)),$BB66)</f>
        <v>3I</v>
      </c>
      <c r="AN110" s="188" t="str">
        <f aca="false">+IF($H$113&gt;=48,INDEX($BE$58:$BN$69,MATCH($AL110,$BD$58:$BD$69,0),MATCH(AN$5,$BE$57:$BN$57,0)),$BB66)</f>
        <v>3I</v>
      </c>
      <c r="AO110" s="188" t="str">
        <f aca="false">+IF($H$113&gt;=48,INDEX($BE$58:$BN$69,MATCH($AL110,$BD$58:$BD$69,0),MATCH(AO$5,$BE$57:$BN$57,0)),$BB66)</f>
        <v>3I</v>
      </c>
      <c r="AP110" s="188" t="str">
        <f aca="false">+IF($H$113&gt;=48,INDEX($BE$58:$BN$69,MATCH($AL110,$BD$58:$BD$69,0),MATCH(AP$5,$BE$57:$BN$57,0)),$BB66)</f>
        <v>3I</v>
      </c>
      <c r="AQ110" s="188" t="str">
        <f aca="false">+IF($H$113&gt;=48,INDEX($BE$58:$BN$69,MATCH($AL110,$BD$58:$BD$69,0),MATCH(AQ$5,$BE$57:$BN$57,0)),$BB66)</f>
        <v>3I</v>
      </c>
      <c r="AR110" s="188" t="str">
        <f aca="false">+IF($H$113&gt;=48,INDEX($BE$58:$BN$69,MATCH($AL110,$BD$58:$BD$69,0),MATCH(AR$5,$BE$57:$BN$57,0)),$BB66)</f>
        <v>3I</v>
      </c>
      <c r="AS110" s="188" t="str">
        <f aca="false">+IF($H$113&gt;=48,INDEX($BE$58:$BN$69,MATCH($AL110,$BD$58:$BD$69,0),MATCH(AS$5,$BE$57:$BN$57,0)),$BB66)</f>
        <v>3I</v>
      </c>
      <c r="AT110" s="231" t="str">
        <f aca="false">+IF($H$113&gt;=48,INDEX($BE$58:$BN$69,MATCH($AL110,$BD$58:$BD$69,0),MATCH(AT$5,$BE$57:$BN$57,0)),$BB66)</f>
        <v>3I</v>
      </c>
      <c r="AU110" s="156" t="str">
        <f aca="false">IF($H$113=144,INDEX($DL$58:$DL$69,MATCH(AI110,$DP$58:$DP$69,0)),"")</f>
        <v/>
      </c>
      <c r="AV110" s="111" t="str">
        <f aca="false">INDEX($BD$58:$BD$69,MATCH(AI110,$BM$58:$BM$69,0))</f>
        <v>Uzbekistán</v>
      </c>
      <c r="AW110" s="112" t="n">
        <v>9</v>
      </c>
      <c r="AX110" s="228"/>
      <c r="AY110" s="232"/>
      <c r="AZ110" s="233" t="str">
        <f aca="false">+IF(OR($H$113&gt;=48,$AJ$99=144),BF124&amp;" - "&amp;BG124,"")</f>
        <v/>
      </c>
      <c r="BA110" s="49"/>
      <c r="BB110" s="120"/>
      <c r="BC110" s="120"/>
      <c r="BD110" s="120"/>
      <c r="BE110" s="55"/>
      <c r="BF110" s="120" t="str">
        <f aca="false">IFERROR(INDEX($BC$6:$BC$53,MATCH(AL109,$BD$6:$BD$53,0)),"")</f>
        <v/>
      </c>
      <c r="BG110" s="120" t="n">
        <f aca="false">COUNTIF($BF$103:$BF$110,"&lt;="&amp;BF110)</f>
        <v>8</v>
      </c>
      <c r="BH110" s="120"/>
      <c r="BI110" s="55" t="n">
        <v>8</v>
      </c>
      <c r="BJ110" s="120" t="str">
        <f aca="false">IFERROR(INDEX($BF$103:$BF$110,MATCH(BI110,$BG$103:$BG$110,0)),"Grupo")</f>
        <v/>
      </c>
      <c r="BK110" s="55"/>
      <c r="BL110" s="120"/>
      <c r="BM110" s="120"/>
      <c r="BN110" s="120"/>
      <c r="BO110" s="120"/>
      <c r="BP110" s="120"/>
      <c r="BQ110" s="120"/>
      <c r="BR110" s="120"/>
      <c r="BS110" s="120"/>
      <c r="BT110" s="120"/>
      <c r="BU110" s="120"/>
      <c r="BV110" s="120"/>
      <c r="BW110" s="120"/>
      <c r="BX110" s="120"/>
      <c r="BY110" s="120"/>
      <c r="BZ110" s="120"/>
      <c r="CA110" s="120"/>
      <c r="CB110" s="120"/>
      <c r="CC110" s="120"/>
      <c r="CD110" s="120"/>
      <c r="CE110" s="120"/>
      <c r="CF110" s="120"/>
      <c r="CG110" s="120"/>
      <c r="CH110" s="120"/>
      <c r="CI110" s="120"/>
      <c r="CJ110" s="120"/>
      <c r="CK110" s="120"/>
      <c r="CL110" s="120"/>
      <c r="CM110" s="120"/>
      <c r="CN110" s="120"/>
      <c r="CO110" s="120"/>
      <c r="CP110" s="120"/>
      <c r="CQ110" s="120"/>
      <c r="CR110" s="120"/>
      <c r="CS110" s="120"/>
      <c r="CT110" s="120"/>
      <c r="CU110" s="120"/>
      <c r="CV110" s="120"/>
      <c r="CW110" s="120"/>
      <c r="CX110" s="120"/>
      <c r="CY110" s="120"/>
      <c r="CZ110" s="120"/>
      <c r="DA110" s="120"/>
      <c r="DB110" s="120"/>
      <c r="DC110" s="120"/>
      <c r="DD110" s="120"/>
      <c r="DE110" s="120"/>
      <c r="DF110" s="120"/>
      <c r="DG110" s="120"/>
      <c r="DH110" s="120"/>
      <c r="DI110" s="120"/>
      <c r="DJ110" s="120"/>
      <c r="DK110" s="120"/>
      <c r="DL110" s="120"/>
      <c r="DM110" s="120"/>
      <c r="DN110" s="120"/>
      <c r="DO110" s="120"/>
      <c r="DP110" s="120"/>
      <c r="DQ110" s="120"/>
      <c r="DR110" s="120"/>
      <c r="DS110" s="120"/>
      <c r="DT110" s="55" t="str">
        <f aca="false">AA110&amp;"-"&amp;AF110</f>
        <v>1D-3BEFIJ</v>
      </c>
      <c r="DU110" s="120"/>
      <c r="DV110" s="120"/>
      <c r="DW110" s="210"/>
    </row>
    <row r="111" customFormat="false" ht="15.75" hidden="false" customHeight="true" outlineLevel="0" collapsed="false">
      <c r="A111" s="120" t="s">
        <v>124</v>
      </c>
      <c r="B111" s="120" t="s">
        <v>128</v>
      </c>
      <c r="C111" s="39"/>
      <c r="D111" s="195" t="str">
        <f aca="false">IF(AND(OR(AC111="",AD111="")),"W"&amp;AH111,IF(AC111&gt;AD111,AA111,IF(AC111&lt;AD111,AF111,IF(AND(AC111=AD111,AB111=AE111),"W"&amp;AH111,IF(AND(AC111=AD111,OR(AB111="",AE111="")),"W"&amp;AH111,IF(AND(AC111=AD111,AB111&gt;AE111),AA111,AF111))))))</f>
        <v>W84</v>
      </c>
      <c r="E111" s="39" t="s">
        <v>136</v>
      </c>
      <c r="F111" s="39" t="s">
        <v>137</v>
      </c>
      <c r="G111" s="117" t="s">
        <v>136</v>
      </c>
      <c r="H111" s="91" t="n">
        <f aca="false">+SUMIF($BC$6:$BC$53,G111,$BF$6:$BF$53)</f>
        <v>0</v>
      </c>
      <c r="I111" s="55"/>
      <c r="J111" s="120" t="n">
        <v>83</v>
      </c>
      <c r="K111" s="120" t="n">
        <v>46205.75</v>
      </c>
      <c r="L111" s="120" t="s">
        <v>168</v>
      </c>
      <c r="M111" s="120" t="str">
        <f aca="false">+IF(OR(INDEX($H$101:$H$113,MATCH(E111,$G$101:$G$113,0))=12,$AJ$99=144),INDEX($AL$6:$AL$97,MATCH(A111,$AI$6:$AI$97,0)),A111)</f>
        <v>2K</v>
      </c>
      <c r="N111" s="120" t="str">
        <f aca="false">+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120"/>
      <c r="P111" s="120"/>
      <c r="Q111" s="120"/>
      <c r="R111" s="120"/>
      <c r="S111" s="120"/>
      <c r="T111" s="120"/>
      <c r="U111" s="120"/>
      <c r="V111" s="46"/>
      <c r="W111" s="211"/>
      <c r="X111" s="74" t="n">
        <f aca="false">Horarios!C111</f>
        <v>46205.875</v>
      </c>
      <c r="Y111" s="75" t="n">
        <f aca="false">Horarios!C111</f>
        <v>46205.875</v>
      </c>
      <c r="Z111" s="212" t="n">
        <f aca="false">AH111</f>
        <v>84</v>
      </c>
      <c r="AA111" s="213" t="str">
        <f aca="false">+INDEX($M$101:$M$147,MATCH(AH111,$J$101:$J$147,0))</f>
        <v>1H</v>
      </c>
      <c r="AB111" s="214"/>
      <c r="AC111" s="221"/>
      <c r="AD111" s="221"/>
      <c r="AE111" s="214"/>
      <c r="AF111" s="216" t="str">
        <f aca="false">+INDEX($N$101:$N$147,MATCH(AH111,$J$101:$J$147,0))</f>
        <v>2J</v>
      </c>
      <c r="AG111" s="217" t="n">
        <f aca="false">IF(D111="W"&amp;AH111,0,1)</f>
        <v>0</v>
      </c>
      <c r="AH111" s="84" t="n">
        <v>84</v>
      </c>
      <c r="AI111" s="111" t="n">
        <v>10</v>
      </c>
      <c r="AJ111" s="121" t="n">
        <v>10</v>
      </c>
      <c r="AK111" s="173" t="str">
        <f aca="true" t="array" ref="AK111:AK111">Ver_flag_visit</f>
        <v/>
      </c>
      <c r="AL111" s="123" t="str">
        <f aca="false">+IF($H$113&gt;=48,INDEX($BD$58:$BD$69,MATCH(AI111,$BN$58:$BN$69,0)),BB67)</f>
        <v>3J</v>
      </c>
      <c r="AM111" s="230" t="str">
        <f aca="false">+IF($H$113&gt;=48,INDEX($BE$58:$BN$69,MATCH($AL111,$BD$58:$BD$69,0),MATCH(AM$5,$BE$57:$BN$57,0)),$BB67)</f>
        <v>3J</v>
      </c>
      <c r="AN111" s="188" t="str">
        <f aca="false">+IF($H$113&gt;=48,INDEX($BE$58:$BN$69,MATCH($AL111,$BD$58:$BD$69,0),MATCH(AN$5,$BE$57:$BN$57,0)),$BB67)</f>
        <v>3J</v>
      </c>
      <c r="AO111" s="188" t="str">
        <f aca="false">+IF($H$113&gt;=48,INDEX($BE$58:$BN$69,MATCH($AL111,$BD$58:$BD$69,0),MATCH(AO$5,$BE$57:$BN$57,0)),$BB67)</f>
        <v>3J</v>
      </c>
      <c r="AP111" s="188" t="str">
        <f aca="false">+IF($H$113&gt;=48,INDEX($BE$58:$BN$69,MATCH($AL111,$BD$58:$BD$69,0),MATCH(AP$5,$BE$57:$BN$57,0)),$BB67)</f>
        <v>3J</v>
      </c>
      <c r="AQ111" s="188" t="str">
        <f aca="false">+IF($H$113&gt;=48,INDEX($BE$58:$BN$69,MATCH($AL111,$BD$58:$BD$69,0),MATCH(AQ$5,$BE$57:$BN$57,0)),$BB67)</f>
        <v>3J</v>
      </c>
      <c r="AR111" s="188" t="str">
        <f aca="false">+IF($H$113&gt;=48,INDEX($BE$58:$BN$69,MATCH($AL111,$BD$58:$BD$69,0),MATCH(AR$5,$BE$57:$BN$57,0)),$BB67)</f>
        <v>3J</v>
      </c>
      <c r="AS111" s="188" t="str">
        <f aca="false">+IF($H$113&gt;=48,INDEX($BE$58:$BN$69,MATCH($AL111,$BD$58:$BD$69,0),MATCH(AS$5,$BE$57:$BN$57,0)),$BB67)</f>
        <v>3J</v>
      </c>
      <c r="AT111" s="231" t="str">
        <f aca="false">+IF($H$113&gt;=48,INDEX($BE$58:$BN$69,MATCH($AL111,$BD$58:$BD$69,0),MATCH(AT$5,$BE$57:$BN$57,0)),$BB67)</f>
        <v>3J</v>
      </c>
      <c r="AU111" s="156" t="str">
        <f aca="false">IF($H$113=144,INDEX($DL$58:$DL$69,MATCH(AI111,$DP$58:$DP$69,0)),"")</f>
        <v/>
      </c>
      <c r="AV111" s="111" t="str">
        <f aca="false">INDEX($BD$58:$BD$69,MATCH(AI111,$BM$58:$BM$69,0))</f>
        <v>República Checa</v>
      </c>
      <c r="AW111" s="112" t="n">
        <v>10</v>
      </c>
      <c r="AX111" s="228"/>
      <c r="AY111" s="234"/>
      <c r="AZ111" s="234"/>
      <c r="BA111" s="49"/>
      <c r="BB111" s="120"/>
      <c r="BC111" s="120"/>
      <c r="BD111" s="103"/>
      <c r="BE111" s="120"/>
      <c r="BF111" s="120"/>
      <c r="BG111" s="120"/>
      <c r="BH111" s="120"/>
      <c r="BI111" s="120" t="s">
        <v>169</v>
      </c>
      <c r="BJ111" s="120"/>
      <c r="BK111" s="55"/>
      <c r="BL111" s="120"/>
      <c r="BM111" s="120"/>
      <c r="BN111" s="120"/>
      <c r="BO111" s="120"/>
      <c r="BP111" s="120"/>
      <c r="BQ111" s="120"/>
      <c r="BR111" s="120"/>
      <c r="BS111" s="120"/>
      <c r="BT111" s="120"/>
      <c r="BU111" s="120"/>
      <c r="BV111" s="120"/>
      <c r="BW111" s="120"/>
      <c r="BX111" s="120"/>
      <c r="BY111" s="120"/>
      <c r="BZ111" s="120"/>
      <c r="CA111" s="120"/>
      <c r="CB111" s="120"/>
      <c r="CC111" s="120"/>
      <c r="CD111" s="120"/>
      <c r="CE111" s="120"/>
      <c r="CF111" s="120"/>
      <c r="CG111" s="120"/>
      <c r="CH111" s="120"/>
      <c r="CI111" s="120"/>
      <c r="CJ111" s="120"/>
      <c r="CK111" s="120"/>
      <c r="CL111" s="120"/>
      <c r="CM111" s="120"/>
      <c r="CN111" s="120"/>
      <c r="CO111" s="120"/>
      <c r="CP111" s="120"/>
      <c r="CQ111" s="120"/>
      <c r="CR111" s="120"/>
      <c r="CS111" s="120"/>
      <c r="CT111" s="120"/>
      <c r="CU111" s="120"/>
      <c r="CV111" s="120"/>
      <c r="CW111" s="120"/>
      <c r="CX111" s="120"/>
      <c r="CY111" s="120"/>
      <c r="CZ111" s="120"/>
      <c r="DA111" s="120"/>
      <c r="DB111" s="120"/>
      <c r="DC111" s="120"/>
      <c r="DD111" s="120"/>
      <c r="DE111" s="120"/>
      <c r="DF111" s="120"/>
      <c r="DG111" s="120"/>
      <c r="DH111" s="120"/>
      <c r="DI111" s="120"/>
      <c r="DJ111" s="120"/>
      <c r="DK111" s="120"/>
      <c r="DL111" s="120"/>
      <c r="DM111" s="120"/>
      <c r="DN111" s="120"/>
      <c r="DO111" s="120"/>
      <c r="DP111" s="120"/>
      <c r="DQ111" s="120"/>
      <c r="DR111" s="120"/>
      <c r="DS111" s="120"/>
      <c r="DT111" s="55" t="str">
        <f aca="false">AA111&amp;"-"&amp;AF111</f>
        <v>1H-2J</v>
      </c>
      <c r="DU111" s="120"/>
      <c r="DV111" s="120"/>
      <c r="DW111" s="210"/>
    </row>
    <row r="112" customFormat="false" ht="15.75" hidden="false" customHeight="true" outlineLevel="0" collapsed="false">
      <c r="A112" s="120" t="s">
        <v>109</v>
      </c>
      <c r="B112" s="120" t="s">
        <v>119</v>
      </c>
      <c r="C112" s="39"/>
      <c r="D112" s="195" t="str">
        <f aca="false">IF(AND(OR(AC112="",AD112="")),"W"&amp;AH112,IF(AC112&gt;AD112,AA112,IF(AC112&lt;AD112,AF112,IF(AND(AC112=AD112,AB112=AE112),"W"&amp;AH112,IF(AND(AC112=AD112,OR(AB112="",AE112="")),"W"&amp;AH112,IF(AND(AC112=AD112,AB112&gt;AE112),AA112,AF112))))))</f>
        <v>W83</v>
      </c>
      <c r="E112" s="39" t="s">
        <v>133</v>
      </c>
      <c r="F112" s="39" t="s">
        <v>135</v>
      </c>
      <c r="G112" s="117" t="s">
        <v>137</v>
      </c>
      <c r="H112" s="91" t="n">
        <f aca="false">+SUMIF($BC$6:$BC$53,G112,$BF$6:$BF$53)</f>
        <v>0</v>
      </c>
      <c r="I112" s="55"/>
      <c r="J112" s="120" t="n">
        <v>84</v>
      </c>
      <c r="K112" s="120" t="n">
        <v>46205.75</v>
      </c>
      <c r="L112" s="120" t="s">
        <v>170</v>
      </c>
      <c r="M112" s="120" t="str">
        <f aca="false">+IF(OR(INDEX($H$101:$H$113,MATCH(E112,$G$101:$G$113,0))=12,$AJ$99=144),INDEX($AL$6:$AL$97,MATCH(A112,$AI$6:$AI$97,0)),A112)</f>
        <v>1H</v>
      </c>
      <c r="N112" s="120" t="str">
        <f aca="false">+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120"/>
      <c r="P112" s="120"/>
      <c r="Q112" s="120"/>
      <c r="R112" s="120"/>
      <c r="S112" s="120"/>
      <c r="T112" s="120"/>
      <c r="U112" s="120"/>
      <c r="V112" s="46"/>
      <c r="W112" s="211"/>
      <c r="X112" s="74" t="n">
        <f aca="false">Horarios!C112</f>
        <v>46206.0416666667</v>
      </c>
      <c r="Y112" s="75" t="n">
        <f aca="false">Horarios!C112</f>
        <v>46206.0416666667</v>
      </c>
      <c r="Z112" s="212" t="n">
        <f aca="false">AH112</f>
        <v>83</v>
      </c>
      <c r="AA112" s="213" t="str">
        <f aca="false">+INDEX($M$101:$M$147,MATCH(AH112,$J$101:$J$147,0))</f>
        <v>2K</v>
      </c>
      <c r="AB112" s="214"/>
      <c r="AC112" s="221"/>
      <c r="AD112" s="221"/>
      <c r="AE112" s="214"/>
      <c r="AF112" s="216" t="str">
        <f aca="false">+INDEX($N$101:$N$147,MATCH(AH112,$J$101:$J$147,0))</f>
        <v>2L</v>
      </c>
      <c r="AG112" s="217" t="n">
        <f aca="false">IF(D112="W"&amp;AH112,0,1)</f>
        <v>0</v>
      </c>
      <c r="AH112" s="84" t="n">
        <v>83</v>
      </c>
      <c r="AI112" s="111" t="n">
        <v>11</v>
      </c>
      <c r="AJ112" s="121" t="n">
        <v>11</v>
      </c>
      <c r="AK112" s="173" t="str">
        <f aca="true" t="array" ref="AK112:AK112">Ver_flag_visit</f>
        <v/>
      </c>
      <c r="AL112" s="123" t="str">
        <f aca="false">+IF($H$113&gt;=48,INDEX($BD$58:$BD$69,MATCH(AI112,$BN$58:$BN$69,0)),BB68)</f>
        <v>3K</v>
      </c>
      <c r="AM112" s="230" t="str">
        <f aca="false">+IF($H$113&gt;=48,INDEX($BE$58:$BN$69,MATCH($AL112,$BD$58:$BD$69,0),MATCH(AM$5,$BE$57:$BN$57,0)),$BB68)</f>
        <v>3K</v>
      </c>
      <c r="AN112" s="188" t="str">
        <f aca="false">+IF($H$113&gt;=48,INDEX($BE$58:$BN$69,MATCH($AL112,$BD$58:$BD$69,0),MATCH(AN$5,$BE$57:$BN$57,0)),$BB68)</f>
        <v>3K</v>
      </c>
      <c r="AO112" s="188" t="str">
        <f aca="false">+IF($H$113&gt;=48,INDEX($BE$58:$BN$69,MATCH($AL112,$BD$58:$BD$69,0),MATCH(AO$5,$BE$57:$BN$57,0)),$BB68)</f>
        <v>3K</v>
      </c>
      <c r="AP112" s="188" t="str">
        <f aca="false">+IF($H$113&gt;=48,INDEX($BE$58:$BN$69,MATCH($AL112,$BD$58:$BD$69,0),MATCH(AP$5,$BE$57:$BN$57,0)),$BB68)</f>
        <v>3K</v>
      </c>
      <c r="AQ112" s="188" t="str">
        <f aca="false">+IF($H$113&gt;=48,INDEX($BE$58:$BN$69,MATCH($AL112,$BD$58:$BD$69,0),MATCH(AQ$5,$BE$57:$BN$57,0)),$BB68)</f>
        <v>3K</v>
      </c>
      <c r="AR112" s="188" t="str">
        <f aca="false">+IF($H$113&gt;=48,INDEX($BE$58:$BN$69,MATCH($AL112,$BD$58:$BD$69,0),MATCH(AR$5,$BE$57:$BN$57,0)),$BB68)</f>
        <v>3K</v>
      </c>
      <c r="AS112" s="188" t="str">
        <f aca="false">+IF($H$113&gt;=48,INDEX($BE$58:$BN$69,MATCH($AL112,$BD$58:$BD$69,0),MATCH(AS$5,$BE$57:$BN$57,0)),$BB68)</f>
        <v>3K</v>
      </c>
      <c r="AT112" s="231" t="str">
        <f aca="false">+IF($H$113&gt;=48,INDEX($BE$58:$BN$69,MATCH($AL112,$BD$58:$BD$69,0),MATCH(AT$5,$BE$57:$BN$57,0)),$BB68)</f>
        <v>3K</v>
      </c>
      <c r="AU112" s="156" t="str">
        <f aca="false">IF($H$113=144,INDEX($DL$58:$DL$69,MATCH(AI112,$DP$58:$DP$69,0)),"")</f>
        <v/>
      </c>
      <c r="AV112" s="111" t="str">
        <f aca="false">INDEX($BD$58:$BD$69,MATCH(AI112,$BM$58:$BM$69,0))</f>
        <v>Ecuador</v>
      </c>
      <c r="AW112" s="112"/>
      <c r="AX112" s="228"/>
      <c r="AY112" s="234"/>
      <c r="AZ112" s="234"/>
      <c r="BA112" s="49"/>
      <c r="BB112" s="120"/>
      <c r="BC112" s="120"/>
      <c r="BD112" s="103"/>
      <c r="BE112" s="120"/>
      <c r="BF112" s="120"/>
      <c r="BG112" s="120"/>
      <c r="BH112" s="120"/>
      <c r="BI112" s="120" t="str">
        <f aca="false">IFERROR(CONCATENATE(BJ103,BJ104,BJ105,BJ106,BJ107,BJ108,BJ109,BJ110),"¿A/B/C/D/E/F/G/H/I/J/K/L?")</f>
        <v>GrupoGrupoGrupoGrupoGrupoGrupoGrupo</v>
      </c>
      <c r="BJ112" s="120"/>
      <c r="BK112" s="55"/>
      <c r="BL112" s="120"/>
      <c r="BM112" s="120"/>
      <c r="BN112" s="120"/>
      <c r="BO112" s="120"/>
      <c r="BP112" s="120"/>
      <c r="BQ112" s="120"/>
      <c r="BR112" s="120"/>
      <c r="BS112" s="120"/>
      <c r="BT112" s="120"/>
      <c r="BU112" s="120"/>
      <c r="BV112" s="120"/>
      <c r="BW112" s="120"/>
      <c r="BX112" s="120"/>
      <c r="BY112" s="120"/>
      <c r="BZ112" s="120"/>
      <c r="CA112" s="120"/>
      <c r="CB112" s="120"/>
      <c r="CC112" s="120"/>
      <c r="CD112" s="120"/>
      <c r="CE112" s="120"/>
      <c r="CF112" s="120"/>
      <c r="CG112" s="120"/>
      <c r="CH112" s="120"/>
      <c r="CI112" s="120"/>
      <c r="CJ112" s="120"/>
      <c r="CK112" s="120"/>
      <c r="CL112" s="120"/>
      <c r="CM112" s="120"/>
      <c r="CN112" s="120"/>
      <c r="CO112" s="120"/>
      <c r="CP112" s="120"/>
      <c r="CQ112" s="120"/>
      <c r="CR112" s="120"/>
      <c r="CS112" s="120"/>
      <c r="CT112" s="120"/>
      <c r="CU112" s="120"/>
      <c r="CV112" s="120"/>
      <c r="CW112" s="120"/>
      <c r="CX112" s="120"/>
      <c r="CY112" s="120"/>
      <c r="CZ112" s="120"/>
      <c r="DA112" s="120"/>
      <c r="DB112" s="120"/>
      <c r="DC112" s="120"/>
      <c r="DD112" s="120"/>
      <c r="DE112" s="120"/>
      <c r="DF112" s="120"/>
      <c r="DG112" s="120"/>
      <c r="DH112" s="120"/>
      <c r="DI112" s="120"/>
      <c r="DJ112" s="120"/>
      <c r="DK112" s="120"/>
      <c r="DL112" s="120"/>
      <c r="DM112" s="120"/>
      <c r="DN112" s="120"/>
      <c r="DO112" s="120"/>
      <c r="DP112" s="120"/>
      <c r="DQ112" s="120"/>
      <c r="DR112" s="120"/>
      <c r="DS112" s="120"/>
      <c r="DT112" s="55" t="str">
        <f aca="false">AA112&amp;"-"&amp;AF112</f>
        <v>2K-2L</v>
      </c>
      <c r="DU112" s="120"/>
      <c r="DV112" s="120"/>
      <c r="DW112" s="210"/>
    </row>
    <row r="113" customFormat="false" ht="15.75" hidden="false" customHeight="true" outlineLevel="0" collapsed="false">
      <c r="A113" s="120" t="s">
        <v>82</v>
      </c>
      <c r="B113" s="120" t="s">
        <v>171</v>
      </c>
      <c r="C113" s="39"/>
      <c r="D113" s="195" t="str">
        <f aca="false">IF(AND(OR(AC113="",AD113="")),"W"&amp;AH113,IF(AC113&gt;AD113,AA113,IF(AC113&lt;AD113,AF113,IF(AND(AC113=AD113,AB113=AE113),"W"&amp;AH113,IF(AND(AC113=AD113,OR(AB113="",AE113="")),"W"&amp;AH113,IF(AND(AC113=AD113,AB113&gt;AE113),AA113,AF113))))))</f>
        <v>W85</v>
      </c>
      <c r="E113" s="39" t="s">
        <v>84</v>
      </c>
      <c r="F113" s="39" t="s">
        <v>149</v>
      </c>
      <c r="G113" s="117" t="s">
        <v>149</v>
      </c>
      <c r="H113" s="91" t="n">
        <f aca="false">+IF(AJ99&lt;&gt;144,SUM(H101:H112),AJ99)</f>
        <v>32</v>
      </c>
      <c r="I113" s="55"/>
      <c r="J113" s="120" t="n">
        <v>85</v>
      </c>
      <c r="K113" s="120" t="n">
        <v>46205.75</v>
      </c>
      <c r="L113" s="120" t="s">
        <v>172</v>
      </c>
      <c r="M113" s="120" t="str">
        <f aca="false">+IF(OR(INDEX($H$101:$H$113,MATCH(E113,$G$101:$G$113,0))=12,$AJ$99=144),INDEX($AL$6:$AL$97,MATCH(A113,$AI$6:$AI$97,0)),A113)</f>
        <v>1B</v>
      </c>
      <c r="N113" s="120" t="str">
        <f aca="false">+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120"/>
      <c r="P113" s="120"/>
      <c r="Q113" s="120"/>
      <c r="R113" s="120"/>
      <c r="S113" s="120"/>
      <c r="T113" s="120"/>
      <c r="U113" s="120"/>
      <c r="V113" s="46"/>
      <c r="W113" s="211"/>
      <c r="X113" s="74" t="n">
        <f aca="false">Horarios!C113</f>
        <v>46206.2083333333</v>
      </c>
      <c r="Y113" s="75" t="n">
        <f aca="false">Horarios!C113</f>
        <v>46206.2083333333</v>
      </c>
      <c r="Z113" s="212" t="n">
        <f aca="false">AH113</f>
        <v>85</v>
      </c>
      <c r="AA113" s="213" t="str">
        <f aca="false">+INDEX($M$101:$M$147,MATCH(AH113,$J$101:$J$147,0))</f>
        <v>1B</v>
      </c>
      <c r="AB113" s="214"/>
      <c r="AC113" s="221"/>
      <c r="AD113" s="221"/>
      <c r="AE113" s="215"/>
      <c r="AF113" s="216" t="str">
        <f aca="false">+INDEX($N$101:$N$147,MATCH(AH113,$J$101:$J$147,0))</f>
        <v>3EFGIJ</v>
      </c>
      <c r="AG113" s="217" t="n">
        <f aca="false">IF(D113="W"&amp;AH113,0,1)</f>
        <v>0</v>
      </c>
      <c r="AH113" s="84" t="n">
        <v>85</v>
      </c>
      <c r="AI113" s="111" t="n">
        <v>12</v>
      </c>
      <c r="AJ113" s="138" t="n">
        <v>12</v>
      </c>
      <c r="AK113" s="184" t="str">
        <f aca="true" t="array" ref="AK113:AK113">Ver_flag_visit</f>
        <v/>
      </c>
      <c r="AL113" s="140" t="str">
        <f aca="false">+IF($H$113&gt;=48,INDEX($BD$58:$BD$69,MATCH(AI113,$BN$58:$BN$69,0)),BB69)</f>
        <v>3L</v>
      </c>
      <c r="AM113" s="235" t="str">
        <f aca="false">+IF($H$113&gt;=48,INDEX($BE$58:$BN$69,MATCH($AL113,$BD$58:$BD$69,0),MATCH(AM$5,$BE$57:$BN$57,0)),$BB69)</f>
        <v>3L</v>
      </c>
      <c r="AN113" s="189" t="str">
        <f aca="false">+IF($H$113&gt;=48,INDEX($BE$58:$BN$69,MATCH($AL113,$BD$58:$BD$69,0),MATCH(AN$5,$BE$57:$BN$57,0)),$BB69)</f>
        <v>3L</v>
      </c>
      <c r="AO113" s="189" t="str">
        <f aca="false">+IF($H$113&gt;=48,INDEX($BE$58:$BN$69,MATCH($AL113,$BD$58:$BD$69,0),MATCH(AO$5,$BE$57:$BN$57,0)),$BB69)</f>
        <v>3L</v>
      </c>
      <c r="AP113" s="189" t="str">
        <f aca="false">+IF($H$113&gt;=48,INDEX($BE$58:$BN$69,MATCH($AL113,$BD$58:$BD$69,0),MATCH(AP$5,$BE$57:$BN$57,0)),$BB69)</f>
        <v>3L</v>
      </c>
      <c r="AQ113" s="189" t="str">
        <f aca="false">+IF($H$113&gt;=48,INDEX($BE$58:$BN$69,MATCH($AL113,$BD$58:$BD$69,0),MATCH(AQ$5,$BE$57:$BN$57,0)),$BB69)</f>
        <v>3L</v>
      </c>
      <c r="AR113" s="189" t="str">
        <f aca="false">+IF($H$113&gt;=48,INDEX($BE$58:$BN$69,MATCH($AL113,$BD$58:$BD$69,0),MATCH(AR$5,$BE$57:$BN$57,0)),$BB69)</f>
        <v>3L</v>
      </c>
      <c r="AS113" s="189" t="str">
        <f aca="false">+IF($H$113&gt;=48,INDEX($BE$58:$BN$69,MATCH($AL113,$BD$58:$BD$69,0),MATCH(AS$5,$BE$57:$BN$57,0)),$BB69)</f>
        <v>3L</v>
      </c>
      <c r="AT113" s="236" t="str">
        <f aca="false">+IF($H$113&gt;=48,INDEX($BE$58:$BN$69,MATCH($AL113,$BD$58:$BD$69,0),MATCH(AT$5,$BE$57:$BN$57,0)),$BB69)</f>
        <v>3L</v>
      </c>
      <c r="AU113" s="156" t="str">
        <f aca="false">IF($H$113=144,INDEX($DL$58:$DL$69,MATCH(AI113,$DP$58:$DP$69,0)),"")</f>
        <v/>
      </c>
      <c r="AV113" s="111" t="str">
        <f aca="false">INDEX($BD$58:$BD$69,MATCH(AI113,$BM$58:$BM$69,0))</f>
        <v>Turquía</v>
      </c>
      <c r="AW113" s="112"/>
      <c r="AX113" s="228"/>
      <c r="AY113" s="146"/>
      <c r="AZ113" s="147"/>
      <c r="BA113" s="49"/>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c r="BY113" s="120"/>
      <c r="BZ113" s="120"/>
      <c r="CA113" s="120"/>
      <c r="CB113" s="120"/>
      <c r="CC113" s="120"/>
      <c r="CD113" s="120"/>
      <c r="CE113" s="120"/>
      <c r="CF113" s="120"/>
      <c r="CG113" s="120"/>
      <c r="CH113" s="120"/>
      <c r="CI113" s="120"/>
      <c r="CJ113" s="120"/>
      <c r="CK113" s="120"/>
      <c r="CL113" s="120"/>
      <c r="CM113" s="120"/>
      <c r="CN113" s="120"/>
      <c r="CO113" s="120"/>
      <c r="CP113" s="120"/>
      <c r="CQ113" s="120"/>
      <c r="CR113" s="120"/>
      <c r="CS113" s="120"/>
      <c r="CT113" s="120"/>
      <c r="CU113" s="120"/>
      <c r="CV113" s="120"/>
      <c r="CW113" s="120"/>
      <c r="CX113" s="120"/>
      <c r="CY113" s="120"/>
      <c r="CZ113" s="120"/>
      <c r="DA113" s="120"/>
      <c r="DB113" s="120"/>
      <c r="DC113" s="120"/>
      <c r="DD113" s="120"/>
      <c r="DE113" s="120"/>
      <c r="DF113" s="120"/>
      <c r="DG113" s="120"/>
      <c r="DH113" s="120"/>
      <c r="DI113" s="120"/>
      <c r="DJ113" s="120"/>
      <c r="DK113" s="120"/>
      <c r="DL113" s="120"/>
      <c r="DM113" s="120"/>
      <c r="DN113" s="120"/>
      <c r="DO113" s="120"/>
      <c r="DP113" s="120"/>
      <c r="DQ113" s="120"/>
      <c r="DR113" s="120"/>
      <c r="DS113" s="120"/>
      <c r="DT113" s="55" t="str">
        <f aca="false">AA113&amp;"-"&amp;AF113</f>
        <v>1B-3EFGIJ</v>
      </c>
      <c r="DU113" s="120"/>
      <c r="DV113" s="120"/>
      <c r="DW113" s="210"/>
    </row>
    <row r="114" customFormat="false" ht="15.75" hidden="false" customHeight="true" outlineLevel="0" collapsed="false">
      <c r="A114" s="120" t="s">
        <v>118</v>
      </c>
      <c r="B114" s="120" t="s">
        <v>110</v>
      </c>
      <c r="C114" s="39"/>
      <c r="D114" s="195" t="str">
        <f aca="false">IF(AND(OR(AC114="",AD114="")),"W"&amp;AH114,IF(AC114&gt;AD114,AA114,IF(AC114&lt;AD114,AF114,IF(AND(AC114=AD114,AB114=AE114),"W"&amp;AH114,IF(AND(AC114=AD114,OR(AB114="",AE114="")),"W"&amp;AH114,IF(AND(AC114=AD114,AB114&gt;AE114),AA114,AF114))))))</f>
        <v>W88</v>
      </c>
      <c r="E114" s="39" t="s">
        <v>135</v>
      </c>
      <c r="F114" s="39" t="s">
        <v>133</v>
      </c>
      <c r="G114" s="55"/>
      <c r="H114" s="55"/>
      <c r="I114" s="55"/>
      <c r="J114" s="120" t="n">
        <v>86</v>
      </c>
      <c r="K114" s="120" t="n">
        <v>46206.75</v>
      </c>
      <c r="L114" s="120" t="s">
        <v>173</v>
      </c>
      <c r="M114" s="120" t="str">
        <f aca="false">+IF(OR(INDEX($H$101:$H$113,MATCH(E114,$G$101:$G$113,0))=12,$AJ$99=144),INDEX($AL$6:$AL$97,MATCH(A114,$AI$6:$AI$97,0)),A114)</f>
        <v>1J</v>
      </c>
      <c r="N114" s="120" t="str">
        <f aca="false">+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120"/>
      <c r="P114" s="120"/>
      <c r="Q114" s="120"/>
      <c r="R114" s="120"/>
      <c r="S114" s="120"/>
      <c r="T114" s="120"/>
      <c r="U114" s="120"/>
      <c r="V114" s="46"/>
      <c r="W114" s="211"/>
      <c r="X114" s="74" t="n">
        <f aca="false">Horarios!C114</f>
        <v>46206.8333333333</v>
      </c>
      <c r="Y114" s="75" t="n">
        <f aca="false">Horarios!C114</f>
        <v>46206.8333333333</v>
      </c>
      <c r="Z114" s="212" t="n">
        <f aca="false">AH114</f>
        <v>88</v>
      </c>
      <c r="AA114" s="213" t="str">
        <f aca="false">+INDEX($M$101:$M$147,MATCH(AH114,$J$101:$J$147,0))</f>
        <v>2D</v>
      </c>
      <c r="AB114" s="214"/>
      <c r="AC114" s="221"/>
      <c r="AD114" s="221"/>
      <c r="AE114" s="214"/>
      <c r="AF114" s="216" t="str">
        <f aca="false">+INDEX($N$101:$N$147,MATCH(AH114,$J$101:$J$147,0))</f>
        <v>2G</v>
      </c>
      <c r="AG114" s="217" t="n">
        <f aca="false">IF(D114="W"&amp;AH114,0,1)</f>
        <v>0</v>
      </c>
      <c r="AH114" s="84" t="n">
        <v>88</v>
      </c>
      <c r="AI114" s="111"/>
      <c r="AJ114" s="153"/>
      <c r="AK114" s="154"/>
      <c r="AL114" s="66"/>
      <c r="AM114" s="155"/>
      <c r="AN114" s="153"/>
      <c r="AO114" s="153"/>
      <c r="AP114" s="153"/>
      <c r="AQ114" s="153"/>
      <c r="AR114" s="153"/>
      <c r="AS114" s="153"/>
      <c r="AT114" s="153"/>
      <c r="AU114" s="157"/>
      <c r="AV114" s="157"/>
      <c r="AW114" s="237"/>
      <c r="AX114" s="237"/>
      <c r="AY114" s="146"/>
      <c r="AZ114" s="147"/>
      <c r="BA114" s="49"/>
      <c r="BB114" s="55"/>
      <c r="BC114" s="55"/>
      <c r="BD114" s="55"/>
      <c r="BE114" s="55"/>
      <c r="BF114" s="55"/>
      <c r="BG114" s="55"/>
      <c r="BH114" s="55"/>
      <c r="BI114" s="55"/>
      <c r="BJ114" s="55"/>
      <c r="BK114" s="55"/>
      <c r="BL114" s="55"/>
      <c r="BM114" s="55"/>
      <c r="BN114" s="55"/>
      <c r="BO114" s="55"/>
      <c r="BP114" s="55"/>
      <c r="BQ114" s="55"/>
      <c r="BR114" s="55"/>
      <c r="BS114" s="55"/>
      <c r="BT114" s="55"/>
      <c r="BU114" s="55"/>
      <c r="BV114" s="55"/>
      <c r="BW114" s="55"/>
      <c r="BX114" s="55"/>
      <c r="BY114" s="55"/>
      <c r="BZ114" s="55"/>
      <c r="CA114" s="55"/>
      <c r="CB114" s="55"/>
      <c r="CC114" s="55"/>
      <c r="CD114" s="55"/>
      <c r="CE114" s="55"/>
      <c r="CF114" s="55"/>
      <c r="CG114" s="55"/>
      <c r="CH114" s="55"/>
      <c r="CI114" s="55"/>
      <c r="CJ114" s="55"/>
      <c r="CK114" s="55"/>
      <c r="CL114" s="55"/>
      <c r="CM114" s="55"/>
      <c r="CN114" s="55"/>
      <c r="CO114" s="55"/>
      <c r="CP114" s="55"/>
      <c r="CQ114" s="55"/>
      <c r="CR114" s="55"/>
      <c r="CS114" s="55"/>
      <c r="CT114" s="55"/>
      <c r="CU114" s="55"/>
      <c r="CV114" s="55"/>
      <c r="CW114" s="55"/>
      <c r="CX114" s="55"/>
      <c r="CY114" s="55"/>
      <c r="CZ114" s="55"/>
      <c r="DA114" s="55"/>
      <c r="DB114" s="55"/>
      <c r="DC114" s="55"/>
      <c r="DD114" s="55"/>
      <c r="DE114" s="55"/>
      <c r="DF114" s="55"/>
      <c r="DG114" s="55"/>
      <c r="DH114" s="55"/>
      <c r="DI114" s="55"/>
      <c r="DJ114" s="55"/>
      <c r="DK114" s="55"/>
      <c r="DL114" s="55"/>
      <c r="DM114" s="55"/>
      <c r="DN114" s="55"/>
      <c r="DO114" s="55"/>
      <c r="DP114" s="55"/>
      <c r="DQ114" s="55"/>
      <c r="DR114" s="55"/>
      <c r="DS114" s="55"/>
      <c r="DT114" s="55" t="str">
        <f aca="false">AA114&amp;"-"&amp;AF114</f>
        <v>2D-2G</v>
      </c>
      <c r="DU114" s="55"/>
      <c r="DV114" s="55"/>
      <c r="DW114" s="57"/>
    </row>
    <row r="115" customFormat="false" ht="15.75" hidden="false" customHeight="true" outlineLevel="0" collapsed="false">
      <c r="A115" s="120" t="s">
        <v>123</v>
      </c>
      <c r="B115" s="120" t="s">
        <v>174</v>
      </c>
      <c r="C115" s="39"/>
      <c r="D115" s="195" t="str">
        <f aca="false">IF(AND(OR(AC115="",AD115="")),"W"&amp;AH115,IF(AC115&gt;AD115,AA115,IF(AC115&lt;AD115,AF115,IF(AND(AC115=AD115,AB115=AE115),"W"&amp;AH115,IF(AND(AC115=AD115,OR(AB115="",AE115="")),"W"&amp;AH115,IF(AND(AC115=AD115,AB115&gt;AE115),AA115,AF115))))))</f>
        <v>W86</v>
      </c>
      <c r="E115" s="39" t="s">
        <v>136</v>
      </c>
      <c r="F115" s="39" t="s">
        <v>149</v>
      </c>
      <c r="G115" s="55"/>
      <c r="H115" s="55"/>
      <c r="I115" s="55"/>
      <c r="J115" s="120" t="n">
        <v>87</v>
      </c>
      <c r="K115" s="120" t="n">
        <v>46206.75</v>
      </c>
      <c r="L115" s="120" t="s">
        <v>175</v>
      </c>
      <c r="M115" s="120" t="str">
        <f aca="false">+IF(OR(INDEX($H$101:$H$113,MATCH(E115,$G$101:$G$113,0))=12,$AJ$99=144),INDEX($AL$6:$AL$97,MATCH(A115,$AI$6:$AI$97,0)),A115)</f>
        <v>1K</v>
      </c>
      <c r="N115" s="120" t="str">
        <f aca="false">+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120"/>
      <c r="P115" s="120"/>
      <c r="Q115" s="120"/>
      <c r="R115" s="120"/>
      <c r="S115" s="120"/>
      <c r="T115" s="120"/>
      <c r="U115" s="120"/>
      <c r="V115" s="46"/>
      <c r="W115" s="211"/>
      <c r="X115" s="74" t="n">
        <f aca="false">Horarios!C115</f>
        <v>46207</v>
      </c>
      <c r="Y115" s="75" t="n">
        <f aca="false">Horarios!C115</f>
        <v>46207</v>
      </c>
      <c r="Z115" s="212" t="n">
        <f aca="false">AH115</f>
        <v>86</v>
      </c>
      <c r="AA115" s="213" t="str">
        <f aca="false">+INDEX($M$101:$M$147,MATCH(AH115,$J$101:$J$147,0))</f>
        <v>1J</v>
      </c>
      <c r="AB115" s="214"/>
      <c r="AC115" s="221"/>
      <c r="AD115" s="221"/>
      <c r="AE115" s="214"/>
      <c r="AF115" s="216" t="str">
        <f aca="false">+INDEX($N$101:$N$147,MATCH(AH115,$J$101:$J$147,0))</f>
        <v>2H</v>
      </c>
      <c r="AG115" s="217" t="n">
        <f aca="false">IF(D115="W"&amp;AH115,0,1)</f>
        <v>0</v>
      </c>
      <c r="AH115" s="84" t="n">
        <v>86</v>
      </c>
      <c r="AI115" s="111"/>
      <c r="AJ115" s="66"/>
      <c r="AK115" s="160"/>
      <c r="AL115" s="85" t="str">
        <f aca="false">+IF($AJ$99&gt;=48,Idiomas!D78,"")</f>
        <v/>
      </c>
      <c r="AM115" s="66"/>
      <c r="AN115" s="66"/>
      <c r="AO115" s="66"/>
      <c r="AP115" s="66"/>
      <c r="AQ115" s="66"/>
      <c r="AR115" s="66"/>
      <c r="AS115" s="66"/>
      <c r="AT115" s="66"/>
      <c r="AU115" s="51"/>
      <c r="AV115" s="51"/>
      <c r="AW115" s="238"/>
      <c r="AX115" s="238"/>
      <c r="AY115" s="146"/>
      <c r="AZ115" s="147"/>
      <c r="BA115" s="49"/>
      <c r="BB115" s="55"/>
      <c r="BC115" s="55"/>
      <c r="BD115" s="55"/>
      <c r="BE115" s="55"/>
      <c r="BF115" s="55"/>
      <c r="BG115" s="55"/>
      <c r="BH115" s="55"/>
      <c r="BI115" s="55"/>
      <c r="BJ115" s="55"/>
      <c r="BK115" s="55"/>
      <c r="BL115" s="55"/>
      <c r="BM115" s="55"/>
      <c r="BN115" s="55"/>
      <c r="BO115" s="55"/>
      <c r="BP115" s="55"/>
      <c r="BQ115" s="55"/>
      <c r="BR115" s="55"/>
      <c r="BS115" s="55"/>
      <c r="BT115" s="55"/>
      <c r="BU115" s="55"/>
      <c r="BV115" s="55"/>
      <c r="BW115" s="55"/>
      <c r="BX115" s="55"/>
      <c r="BY115" s="55"/>
      <c r="BZ115" s="55"/>
      <c r="CA115" s="55"/>
      <c r="CB115" s="55"/>
      <c r="CC115" s="55"/>
      <c r="CD115" s="55"/>
      <c r="CE115" s="55"/>
      <c r="CF115" s="55"/>
      <c r="CG115" s="55"/>
      <c r="CH115" s="55"/>
      <c r="CI115" s="55"/>
      <c r="CJ115" s="55"/>
      <c r="CK115" s="55"/>
      <c r="CL115" s="55"/>
      <c r="CM115" s="55"/>
      <c r="CN115" s="55"/>
      <c r="CO115" s="55"/>
      <c r="CP115" s="55"/>
      <c r="CQ115" s="55"/>
      <c r="CR115" s="55"/>
      <c r="CS115" s="55"/>
      <c r="CT115" s="55"/>
      <c r="CU115" s="55"/>
      <c r="CV115" s="55"/>
      <c r="CW115" s="55"/>
      <c r="CX115" s="55"/>
      <c r="CY115" s="55"/>
      <c r="CZ115" s="55"/>
      <c r="DA115" s="55"/>
      <c r="DB115" s="55"/>
      <c r="DC115" s="55"/>
      <c r="DD115" s="55"/>
      <c r="DE115" s="55"/>
      <c r="DF115" s="55"/>
      <c r="DG115" s="55"/>
      <c r="DH115" s="55"/>
      <c r="DI115" s="55"/>
      <c r="DJ115" s="55"/>
      <c r="DK115" s="55"/>
      <c r="DL115" s="55"/>
      <c r="DM115" s="55"/>
      <c r="DN115" s="55"/>
      <c r="DO115" s="55"/>
      <c r="DP115" s="55"/>
      <c r="DQ115" s="55"/>
      <c r="DR115" s="55"/>
      <c r="DS115" s="55"/>
      <c r="DT115" s="55" t="str">
        <f aca="false">AA115&amp;"-"&amp;AF115</f>
        <v>1J-2H</v>
      </c>
      <c r="DU115" s="55"/>
      <c r="DV115" s="55"/>
      <c r="DW115" s="57"/>
    </row>
    <row r="116" customFormat="false" ht="15.75" hidden="false" customHeight="true" outlineLevel="0" collapsed="false">
      <c r="A116" s="120" t="s">
        <v>92</v>
      </c>
      <c r="B116" s="120" t="s">
        <v>106</v>
      </c>
      <c r="C116" s="39"/>
      <c r="D116" s="195" t="str">
        <f aca="false">IF(AND(OR(AC116="",AD116="")),"W"&amp;AH116,IF(AC116&gt;AD116,AA116,IF(AC116&lt;AD116,AF116,IF(AND(AC116=AD116,AB116=AE116),"W"&amp;AH116,IF(AND(AC116=AD116,OR(AB116="",AE116="")),"W"&amp;AH116,IF(AND(AC116=AD116,AB116&gt;AE116),AA116,AF116))))))</f>
        <v>W87</v>
      </c>
      <c r="E116" s="39" t="s">
        <v>102</v>
      </c>
      <c r="F116" s="39" t="s">
        <v>129</v>
      </c>
      <c r="G116" s="55"/>
      <c r="H116" s="55"/>
      <c r="I116" s="55"/>
      <c r="J116" s="120" t="n">
        <v>88</v>
      </c>
      <c r="K116" s="120" t="n">
        <v>46206.75</v>
      </c>
      <c r="L116" s="120" t="s">
        <v>176</v>
      </c>
      <c r="M116" s="120" t="str">
        <f aca="false">+IF(OR(INDEX($H$101:$H$113,MATCH(E116,$G$101:$G$113,0))=12,$AJ$99=144),INDEX($AL$6:$AL$97,MATCH(A116,$AI$6:$AI$97,0)),A116)</f>
        <v>2D</v>
      </c>
      <c r="N116" s="120" t="str">
        <f aca="false">+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120"/>
      <c r="P116" s="120"/>
      <c r="Q116" s="120"/>
      <c r="R116" s="120"/>
      <c r="S116" s="120"/>
      <c r="T116" s="120"/>
      <c r="U116" s="120"/>
      <c r="V116" s="46"/>
      <c r="W116" s="211"/>
      <c r="X116" s="129" t="n">
        <f aca="false">Horarios!C116</f>
        <v>46207.1458333333</v>
      </c>
      <c r="Y116" s="130" t="n">
        <f aca="false">Horarios!C116</f>
        <v>46207.1458333333</v>
      </c>
      <c r="Z116" s="239" t="n">
        <f aca="false">AH116</f>
        <v>87</v>
      </c>
      <c r="AA116" s="240" t="str">
        <f aca="false">+INDEX($M$101:$M$147,MATCH(AH116,$J$101:$J$147,0))</f>
        <v>1K</v>
      </c>
      <c r="AB116" s="241"/>
      <c r="AC116" s="135"/>
      <c r="AD116" s="135"/>
      <c r="AE116" s="241"/>
      <c r="AF116" s="242" t="str">
        <f aca="false">+INDEX($N$101:$N$147,MATCH(AH116,$J$101:$J$147,0))</f>
        <v>3DEIJL</v>
      </c>
      <c r="AG116" s="217" t="n">
        <f aca="false">IF(D116="W"&amp;AH116,0,1)</f>
        <v>0</v>
      </c>
      <c r="AH116" s="84" t="n">
        <v>87</v>
      </c>
      <c r="AI116" s="111"/>
      <c r="AJ116" s="54"/>
      <c r="AK116" s="54"/>
      <c r="AL116" s="243" t="s">
        <v>177</v>
      </c>
      <c r="AM116" s="244"/>
      <c r="AN116" s="244"/>
      <c r="AO116" s="244"/>
      <c r="AP116" s="244"/>
      <c r="AQ116" s="244"/>
      <c r="AR116" s="244"/>
      <c r="AS116" s="244"/>
      <c r="AT116" s="244"/>
      <c r="AU116" s="85"/>
      <c r="AV116" s="85"/>
      <c r="AW116" s="244"/>
      <c r="AX116" s="244"/>
      <c r="AY116" s="146"/>
      <c r="AZ116" s="147"/>
      <c r="BA116" s="49"/>
      <c r="BB116" s="55"/>
      <c r="BC116" s="55"/>
      <c r="BD116" s="55"/>
      <c r="BE116" s="55"/>
      <c r="BF116" s="55"/>
      <c r="BG116" s="55"/>
      <c r="BH116" s="55"/>
      <c r="BI116" s="55"/>
      <c r="BJ116" s="55"/>
      <c r="BK116" s="55"/>
      <c r="BL116" s="55"/>
      <c r="BM116" s="55"/>
      <c r="BN116" s="55"/>
      <c r="BO116" s="55"/>
      <c r="BP116" s="55"/>
      <c r="BQ116" s="55"/>
      <c r="BR116" s="55"/>
      <c r="BS116" s="55"/>
      <c r="BT116" s="55"/>
      <c r="BU116" s="55"/>
      <c r="BV116" s="55"/>
      <c r="BW116" s="55"/>
      <c r="BX116" s="55"/>
      <c r="BY116" s="55"/>
      <c r="BZ116" s="55"/>
      <c r="CA116" s="55"/>
      <c r="CB116" s="55"/>
      <c r="CC116" s="55"/>
      <c r="CD116" s="55"/>
      <c r="CE116" s="55"/>
      <c r="CF116" s="55"/>
      <c r="CG116" s="55"/>
      <c r="CH116" s="55"/>
      <c r="CI116" s="55"/>
      <c r="CJ116" s="55"/>
      <c r="CK116" s="55"/>
      <c r="CL116" s="55"/>
      <c r="CM116" s="55"/>
      <c r="CN116" s="55"/>
      <c r="CO116" s="55"/>
      <c r="CP116" s="55"/>
      <c r="CQ116" s="55"/>
      <c r="CR116" s="55"/>
      <c r="CS116" s="55"/>
      <c r="CT116" s="55"/>
      <c r="CU116" s="55"/>
      <c r="CV116" s="55"/>
      <c r="CW116" s="55"/>
      <c r="CX116" s="55"/>
      <c r="CY116" s="55"/>
      <c r="CZ116" s="55"/>
      <c r="DA116" s="55"/>
      <c r="DB116" s="55"/>
      <c r="DC116" s="55"/>
      <c r="DD116" s="55"/>
      <c r="DE116" s="55"/>
      <c r="DF116" s="55"/>
      <c r="DG116" s="55"/>
      <c r="DH116" s="55"/>
      <c r="DI116" s="55"/>
      <c r="DJ116" s="55"/>
      <c r="DK116" s="55"/>
      <c r="DL116" s="55"/>
      <c r="DM116" s="55"/>
      <c r="DN116" s="55"/>
      <c r="DO116" s="55"/>
      <c r="DP116" s="55"/>
      <c r="DQ116" s="55"/>
      <c r="DR116" s="55"/>
      <c r="DS116" s="55"/>
      <c r="DT116" s="55" t="str">
        <f aca="false">AA116&amp;"-"&amp;AF116</f>
        <v>1K-3DEIJL</v>
      </c>
      <c r="DU116" s="55"/>
      <c r="DV116" s="55"/>
      <c r="DW116" s="57"/>
    </row>
    <row r="117" customFormat="false" ht="15.75" hidden="false" customHeight="true" outlineLevel="0" collapsed="false">
      <c r="A117" s="39"/>
      <c r="B117" s="39"/>
      <c r="C117" s="39"/>
      <c r="D117" s="245"/>
      <c r="E117" s="55"/>
      <c r="F117" s="55"/>
      <c r="G117" s="55"/>
      <c r="H117" s="55"/>
      <c r="I117" s="55"/>
      <c r="J117" s="55"/>
      <c r="K117" s="55"/>
      <c r="L117" s="55"/>
      <c r="M117" s="55"/>
      <c r="N117" s="55"/>
      <c r="O117" s="55"/>
      <c r="P117" s="55"/>
      <c r="Q117" s="55"/>
      <c r="R117" s="55"/>
      <c r="S117" s="55"/>
      <c r="T117" s="55"/>
      <c r="U117" s="55"/>
      <c r="V117" s="46"/>
      <c r="W117" s="146"/>
      <c r="X117" s="147"/>
      <c r="Y117" s="146"/>
      <c r="Z117" s="148"/>
      <c r="AA117" s="149"/>
      <c r="AB117" s="201"/>
      <c r="AC117" s="151"/>
      <c r="AD117" s="151"/>
      <c r="AE117" s="201"/>
      <c r="AF117" s="152"/>
      <c r="AG117" s="204"/>
      <c r="AH117" s="84"/>
      <c r="AI117" s="111"/>
      <c r="AJ117" s="54"/>
      <c r="AK117" s="54"/>
      <c r="AL117" s="54"/>
      <c r="AM117" s="244"/>
      <c r="AN117" s="244"/>
      <c r="AO117" s="244"/>
      <c r="AP117" s="244"/>
      <c r="AQ117" s="244"/>
      <c r="AR117" s="244"/>
      <c r="AS117" s="244"/>
      <c r="AT117" s="244"/>
      <c r="AU117" s="85"/>
      <c r="AV117" s="85"/>
      <c r="AW117" s="244"/>
      <c r="AX117" s="244"/>
      <c r="AY117" s="146"/>
      <c r="AZ117" s="147"/>
      <c r="BA117" s="49"/>
      <c r="BB117" s="55"/>
      <c r="BC117" s="55"/>
      <c r="BD117" s="55"/>
      <c r="BE117" s="55"/>
      <c r="BF117" s="246" t="s">
        <v>78</v>
      </c>
      <c r="BG117" s="55" t="e">
        <f aca="false">+INDEX(Combinaciones3!$P$2:$W$496,MATCH(1,Combinaciones3!$B$2:$B$497,0),MATCH(WORLDCUP!BF117,Combinaciones3!$P$1:$W$1,0))</f>
        <v>#N/A</v>
      </c>
      <c r="BH117" s="55"/>
      <c r="BI117" s="55"/>
      <c r="BJ117" s="55"/>
      <c r="BK117" s="55"/>
      <c r="BL117" s="55"/>
      <c r="BM117" s="55"/>
      <c r="BN117" s="55"/>
      <c r="BO117" s="55"/>
      <c r="BP117" s="55"/>
      <c r="BQ117" s="55"/>
      <c r="BR117" s="55"/>
      <c r="BS117" s="55"/>
      <c r="BT117" s="55"/>
      <c r="BU117" s="55"/>
      <c r="BV117" s="55"/>
      <c r="BW117" s="55"/>
      <c r="BX117" s="55"/>
      <c r="BY117" s="55"/>
      <c r="BZ117" s="55"/>
      <c r="CA117" s="55"/>
      <c r="CB117" s="55"/>
      <c r="CC117" s="55"/>
      <c r="CD117" s="55"/>
      <c r="CE117" s="55"/>
      <c r="CF117" s="55"/>
      <c r="CG117" s="55"/>
      <c r="CH117" s="55"/>
      <c r="CI117" s="55"/>
      <c r="CJ117" s="55"/>
      <c r="CK117" s="55"/>
      <c r="CL117" s="55"/>
      <c r="CM117" s="55"/>
      <c r="CN117" s="55"/>
      <c r="CO117" s="55"/>
      <c r="CP117" s="55"/>
      <c r="CQ117" s="55"/>
      <c r="CR117" s="55"/>
      <c r="CS117" s="55"/>
      <c r="CT117" s="55"/>
      <c r="CU117" s="55"/>
      <c r="CV117" s="55"/>
      <c r="CW117" s="55"/>
      <c r="CX117" s="55"/>
      <c r="CY117" s="55"/>
      <c r="CZ117" s="55"/>
      <c r="DA117" s="55"/>
      <c r="DB117" s="55"/>
      <c r="DC117" s="55"/>
      <c r="DD117" s="55"/>
      <c r="DE117" s="55"/>
      <c r="DF117" s="55"/>
      <c r="DG117" s="55"/>
      <c r="DH117" s="55"/>
      <c r="DI117" s="55"/>
      <c r="DJ117" s="55"/>
      <c r="DK117" s="55"/>
      <c r="DL117" s="55"/>
      <c r="DM117" s="55"/>
      <c r="DN117" s="55"/>
      <c r="DO117" s="55"/>
      <c r="DP117" s="55"/>
      <c r="DQ117" s="55"/>
      <c r="DR117" s="55"/>
      <c r="DS117" s="55"/>
      <c r="DT117" s="55" t="str">
        <f aca="false">AA117&amp;"-"&amp;AF117</f>
        <v>-</v>
      </c>
      <c r="DU117" s="55"/>
      <c r="DV117" s="55"/>
      <c r="DW117" s="57"/>
    </row>
    <row r="118" customFormat="false" ht="15.75" hidden="false" customHeight="true" outlineLevel="0" collapsed="false">
      <c r="A118" s="39"/>
      <c r="B118" s="39"/>
      <c r="C118" s="39"/>
      <c r="D118" s="245"/>
      <c r="E118" s="55"/>
      <c r="F118" s="55"/>
      <c r="G118" s="55"/>
      <c r="H118" s="55"/>
      <c r="I118" s="55"/>
      <c r="J118" s="55"/>
      <c r="K118" s="55"/>
      <c r="L118" s="55"/>
      <c r="M118" s="55"/>
      <c r="N118" s="55"/>
      <c r="O118" s="55"/>
      <c r="P118" s="55"/>
      <c r="Q118" s="55"/>
      <c r="R118" s="55"/>
      <c r="S118" s="55"/>
      <c r="T118" s="55"/>
      <c r="U118" s="55"/>
      <c r="V118" s="46"/>
      <c r="W118" s="203" t="str">
        <f aca="false">Idiomas!D26</f>
        <v>Octavos de final</v>
      </c>
      <c r="X118" s="203"/>
      <c r="Y118" s="203"/>
      <c r="Z118" s="203"/>
      <c r="AA118" s="203"/>
      <c r="AB118" s="203"/>
      <c r="AC118" s="203"/>
      <c r="AD118" s="203"/>
      <c r="AE118" s="203"/>
      <c r="AF118" s="203"/>
      <c r="AG118" s="204"/>
      <c r="AH118" s="84"/>
      <c r="AI118" s="111"/>
      <c r="AJ118" s="244"/>
      <c r="AK118" s="54"/>
      <c r="AL118" s="247"/>
      <c r="AM118" s="244"/>
      <c r="AN118" s="244"/>
      <c r="AO118" s="244"/>
      <c r="AP118" s="244"/>
      <c r="AQ118" s="244"/>
      <c r="AR118" s="244"/>
      <c r="AS118" s="244"/>
      <c r="AT118" s="244"/>
      <c r="AU118" s="85"/>
      <c r="AV118" s="85"/>
      <c r="AW118" s="244"/>
      <c r="AX118" s="244"/>
      <c r="AY118" s="146"/>
      <c r="AZ118" s="147"/>
      <c r="BA118" s="248"/>
      <c r="BB118" s="55"/>
      <c r="BC118" s="55"/>
      <c r="BD118" s="55"/>
      <c r="BE118" s="55"/>
      <c r="BF118" s="246" t="s">
        <v>82</v>
      </c>
      <c r="BG118" s="55" t="e">
        <f aca="false">+INDEX(Combinaciones3!$P$2:$W$496,MATCH(1,Combinaciones3!$B$2:$B$497,0),MATCH(WORLDCUP!BF118,Combinaciones3!$P$1:$W$1,0))</f>
        <v>#N/A</v>
      </c>
      <c r="BH118" s="55"/>
      <c r="BI118" s="55"/>
      <c r="BJ118" s="55"/>
      <c r="BK118" s="55"/>
      <c r="BL118" s="55"/>
      <c r="BM118" s="55"/>
      <c r="BN118" s="55"/>
      <c r="BO118" s="55"/>
      <c r="BP118" s="55"/>
      <c r="BQ118" s="55"/>
      <c r="BR118" s="55"/>
      <c r="BS118" s="55"/>
      <c r="BT118" s="55"/>
      <c r="BU118" s="55"/>
      <c r="BV118" s="55"/>
      <c r="BW118" s="55"/>
      <c r="BX118" s="55"/>
      <c r="BY118" s="55"/>
      <c r="BZ118" s="55"/>
      <c r="CA118" s="55"/>
      <c r="CB118" s="55"/>
      <c r="CC118" s="55"/>
      <c r="CD118" s="55"/>
      <c r="CE118" s="55"/>
      <c r="CF118" s="55"/>
      <c r="CG118" s="55"/>
      <c r="CH118" s="55"/>
      <c r="CI118" s="55"/>
      <c r="CJ118" s="55"/>
      <c r="CK118" s="55"/>
      <c r="CL118" s="55"/>
      <c r="CM118" s="55"/>
      <c r="CN118" s="55"/>
      <c r="CO118" s="55"/>
      <c r="CP118" s="55"/>
      <c r="CQ118" s="55"/>
      <c r="CR118" s="55"/>
      <c r="CS118" s="55"/>
      <c r="CT118" s="55"/>
      <c r="CU118" s="55"/>
      <c r="CV118" s="55"/>
      <c r="CW118" s="55"/>
      <c r="CX118" s="55"/>
      <c r="CY118" s="55"/>
      <c r="CZ118" s="55"/>
      <c r="DA118" s="55"/>
      <c r="DB118" s="55"/>
      <c r="DC118" s="55"/>
      <c r="DD118" s="55"/>
      <c r="DE118" s="55"/>
      <c r="DF118" s="55"/>
      <c r="DG118" s="55"/>
      <c r="DH118" s="55"/>
      <c r="DI118" s="55"/>
      <c r="DJ118" s="55"/>
      <c r="DK118" s="55"/>
      <c r="DL118" s="55"/>
      <c r="DM118" s="55"/>
      <c r="DN118" s="55"/>
      <c r="DO118" s="55"/>
      <c r="DP118" s="55"/>
      <c r="DQ118" s="55"/>
      <c r="DR118" s="55"/>
      <c r="DS118" s="55"/>
      <c r="DT118" s="55" t="str">
        <f aca="false">AA118&amp;"-"&amp;AF118</f>
        <v>-</v>
      </c>
      <c r="DU118" s="55"/>
      <c r="DV118" s="55"/>
      <c r="DW118" s="57"/>
    </row>
    <row r="119" customFormat="false" ht="15.75" hidden="false" customHeight="true" outlineLevel="0" collapsed="false">
      <c r="A119" s="39"/>
      <c r="B119" s="39"/>
      <c r="C119" s="39"/>
      <c r="D119" s="245"/>
      <c r="E119" s="55"/>
      <c r="F119" s="55"/>
      <c r="G119" s="55"/>
      <c r="H119" s="55"/>
      <c r="I119" s="55"/>
      <c r="J119" s="55"/>
      <c r="K119" s="55"/>
      <c r="L119" s="55"/>
      <c r="M119" s="55"/>
      <c r="N119" s="55"/>
      <c r="O119" s="55"/>
      <c r="P119" s="55"/>
      <c r="Q119" s="55"/>
      <c r="R119" s="55"/>
      <c r="S119" s="55"/>
      <c r="T119" s="55"/>
      <c r="U119" s="55"/>
      <c r="V119" s="46"/>
      <c r="W119" s="59"/>
      <c r="X119" s="60" t="str">
        <f aca="false">X3</f>
        <v>Fecha</v>
      </c>
      <c r="Y119" s="60" t="str">
        <f aca="false">Y3</f>
        <v>Hora</v>
      </c>
      <c r="Z119" s="197"/>
      <c r="AA119" s="198" t="str">
        <f aca="false">AA3</f>
        <v>Casa</v>
      </c>
      <c r="AB119" s="197" t="s">
        <v>145</v>
      </c>
      <c r="AC119" s="60" t="str">
        <f aca="false">AC3</f>
        <v>Gol</v>
      </c>
      <c r="AD119" s="60" t="str">
        <f aca="false">AD3</f>
        <v>Gol</v>
      </c>
      <c r="AE119" s="197" t="s">
        <v>145</v>
      </c>
      <c r="AF119" s="199" t="str">
        <f aca="false">AF3</f>
        <v>Fuera</v>
      </c>
      <c r="AG119" s="204"/>
      <c r="AH119" s="84"/>
      <c r="AI119" s="111"/>
      <c r="AJ119" s="54"/>
      <c r="AK119" s="54"/>
      <c r="AL119" s="54"/>
      <c r="AM119" s="244"/>
      <c r="AN119" s="244"/>
      <c r="AO119" s="244"/>
      <c r="AP119" s="244"/>
      <c r="AQ119" s="244"/>
      <c r="AR119" s="244"/>
      <c r="AS119" s="244"/>
      <c r="AT119" s="244"/>
      <c r="AU119" s="85"/>
      <c r="AV119" s="85"/>
      <c r="AW119" s="244"/>
      <c r="AX119" s="244"/>
      <c r="AY119" s="146"/>
      <c r="AZ119" s="147"/>
      <c r="BA119" s="49"/>
      <c r="BB119" s="55"/>
      <c r="BC119" s="55"/>
      <c r="BD119" s="55"/>
      <c r="BE119" s="55"/>
      <c r="BF119" s="246" t="s">
        <v>91</v>
      </c>
      <c r="BG119" s="55" t="e">
        <f aca="false">+INDEX(Combinaciones3!$P$2:$W$496,MATCH(1,Combinaciones3!$B$2:$B$497,0),MATCH(WORLDCUP!BF119,Combinaciones3!$P$1:$W$1,0))</f>
        <v>#N/A</v>
      </c>
      <c r="BH119" s="55"/>
      <c r="BI119" s="55"/>
      <c r="BJ119" s="55"/>
      <c r="BK119" s="55"/>
      <c r="BL119" s="55"/>
      <c r="BM119" s="55"/>
      <c r="BN119" s="55"/>
      <c r="BO119" s="55"/>
      <c r="BP119" s="55"/>
      <c r="BQ119" s="55"/>
      <c r="BR119" s="55"/>
      <c r="BS119" s="55"/>
      <c r="BT119" s="55"/>
      <c r="BU119" s="55"/>
      <c r="BV119" s="55"/>
      <c r="BW119" s="55"/>
      <c r="BX119" s="55"/>
      <c r="BY119" s="55"/>
      <c r="BZ119" s="55"/>
      <c r="CA119" s="55"/>
      <c r="CB119" s="55"/>
      <c r="CC119" s="55"/>
      <c r="CD119" s="55"/>
      <c r="CE119" s="55"/>
      <c r="CF119" s="55"/>
      <c r="CG119" s="55"/>
      <c r="CH119" s="55"/>
      <c r="CI119" s="55"/>
      <c r="CJ119" s="55"/>
      <c r="CK119" s="55"/>
      <c r="CL119" s="55"/>
      <c r="CM119" s="55"/>
      <c r="CN119" s="55"/>
      <c r="CO119" s="55"/>
      <c r="CP119" s="55"/>
      <c r="CQ119" s="55"/>
      <c r="CR119" s="55"/>
      <c r="CS119" s="55"/>
      <c r="CT119" s="55"/>
      <c r="CU119" s="55"/>
      <c r="CV119" s="55"/>
      <c r="CW119" s="55"/>
      <c r="CX119" s="55"/>
      <c r="CY119" s="55"/>
      <c r="CZ119" s="55"/>
      <c r="DA119" s="55"/>
      <c r="DB119" s="55"/>
      <c r="DC119" s="55"/>
      <c r="DD119" s="55"/>
      <c r="DE119" s="55"/>
      <c r="DF119" s="55"/>
      <c r="DG119" s="55"/>
      <c r="DH119" s="55"/>
      <c r="DI119" s="55"/>
      <c r="DJ119" s="55"/>
      <c r="DK119" s="55"/>
      <c r="DL119" s="55"/>
      <c r="DM119" s="55"/>
      <c r="DN119" s="55"/>
      <c r="DO119" s="55"/>
      <c r="DP119" s="55"/>
      <c r="DQ119" s="55"/>
      <c r="DR119" s="55"/>
      <c r="DS119" s="55"/>
      <c r="DT119" s="55" t="str">
        <f aca="false">AA119&amp;"-"&amp;AF119</f>
        <v>Casa-Fuera</v>
      </c>
      <c r="DU119" s="55"/>
      <c r="DV119" s="55"/>
      <c r="DW119" s="57"/>
    </row>
    <row r="120" customFormat="false" ht="15.75" hidden="false" customHeight="true" outlineLevel="0" collapsed="false">
      <c r="A120" s="120" t="s">
        <v>178</v>
      </c>
      <c r="B120" s="120" t="s">
        <v>179</v>
      </c>
      <c r="C120" s="39"/>
      <c r="D120" s="195" t="str">
        <f aca="false">IF(AND(OR(AC120="",AD120="")),"W"&amp;AH120,IF(AC120&gt;AD120,AA120,IF(AC120&lt;AD120,AF120,IF(AND(AC120=AD120,AB120=AE120),"W"&amp;AH120,IF(AND(AC120=AD120,OR(AB120="",AE120="")),"W"&amp;AH120,IF(AND(AC120=AD120,AB120&gt;AE120),AA120,AF120))))))</f>
        <v>W90</v>
      </c>
      <c r="E120" s="55" t="n">
        <v>74</v>
      </c>
      <c r="F120" s="55" t="n">
        <v>77</v>
      </c>
      <c r="G120" s="55"/>
      <c r="H120" s="55"/>
      <c r="I120" s="55"/>
      <c r="J120" s="120" t="n">
        <v>89</v>
      </c>
      <c r="K120" s="120" t="n">
        <v>46207.75</v>
      </c>
      <c r="L120" s="120" t="s">
        <v>180</v>
      </c>
      <c r="M120" s="55" t="str">
        <f aca="false">+INDEX($D$101:$D$147,MATCH(E120,$AH$101:$AH$147,0))</f>
        <v>W74</v>
      </c>
      <c r="N120" s="55" t="str">
        <f aca="false">+INDEX($D$101:$D$147,MATCH(F120,$AH$101:$AH$147,0))</f>
        <v>W77</v>
      </c>
      <c r="O120" s="55"/>
      <c r="P120" s="55"/>
      <c r="Q120" s="55"/>
      <c r="R120" s="55"/>
      <c r="S120" s="55"/>
      <c r="T120" s="55"/>
      <c r="U120" s="55"/>
      <c r="V120" s="46"/>
      <c r="W120" s="249" t="s">
        <v>181</v>
      </c>
      <c r="X120" s="74" t="n">
        <f aca="false">Horarios!C120</f>
        <v>46207.7916666667</v>
      </c>
      <c r="Y120" s="75" t="n">
        <f aca="false">Horarios!C120</f>
        <v>46207.7916666667</v>
      </c>
      <c r="Z120" s="212" t="n">
        <f aca="false">AH120</f>
        <v>90</v>
      </c>
      <c r="AA120" s="213" t="str">
        <f aca="false">+INDEX($M$101:$M$147,MATCH(AH120,$J$101:$J$147,0))</f>
        <v>W73</v>
      </c>
      <c r="AB120" s="214"/>
      <c r="AC120" s="250"/>
      <c r="AD120" s="250"/>
      <c r="AE120" s="214"/>
      <c r="AF120" s="216" t="str">
        <f aca="false">+INDEX($N$101:$N$147,MATCH(AH120,$J$101:$J$147,0))</f>
        <v>W75</v>
      </c>
      <c r="AG120" s="217" t="n">
        <f aca="false">IF(D120="W"&amp;AH120,0,1)</f>
        <v>0</v>
      </c>
      <c r="AH120" s="84" t="n">
        <v>90</v>
      </c>
      <c r="AI120" s="111"/>
      <c r="AJ120" s="54"/>
      <c r="AK120" s="54"/>
      <c r="AL120" s="251"/>
      <c r="AM120" s="244"/>
      <c r="AN120" s="244"/>
      <c r="AO120" s="244"/>
      <c r="AP120" s="244"/>
      <c r="AQ120" s="244"/>
      <c r="AR120" s="244"/>
      <c r="AS120" s="244"/>
      <c r="AT120" s="244"/>
      <c r="AU120" s="85"/>
      <c r="AV120" s="85"/>
      <c r="AW120" s="244"/>
      <c r="AX120" s="244"/>
      <c r="AY120" s="146"/>
      <c r="AZ120" s="147"/>
      <c r="BA120" s="49"/>
      <c r="BB120" s="55"/>
      <c r="BC120" s="55"/>
      <c r="BD120" s="55"/>
      <c r="BE120" s="55"/>
      <c r="BF120" s="246" t="s">
        <v>96</v>
      </c>
      <c r="BG120" s="55" t="e">
        <f aca="false">+INDEX(Combinaciones3!$P$2:$W$496,MATCH(1,Combinaciones3!$B$2:$B$497,0),MATCH(WORLDCUP!BF120,Combinaciones3!$P$1:$W$1,0))</f>
        <v>#N/A</v>
      </c>
      <c r="BH120" s="55"/>
      <c r="BI120" s="55"/>
      <c r="BJ120" s="55"/>
      <c r="BK120" s="55"/>
      <c r="BL120" s="55"/>
      <c r="BM120" s="55"/>
      <c r="BN120" s="55"/>
      <c r="BO120" s="55"/>
      <c r="BP120" s="55"/>
      <c r="BQ120" s="55"/>
      <c r="BR120" s="55"/>
      <c r="BS120" s="55"/>
      <c r="BT120" s="55"/>
      <c r="BU120" s="55"/>
      <c r="BV120" s="55"/>
      <c r="BW120" s="55"/>
      <c r="BX120" s="55"/>
      <c r="BY120" s="55"/>
      <c r="BZ120" s="55"/>
      <c r="CA120" s="55"/>
      <c r="CB120" s="55"/>
      <c r="CC120" s="55"/>
      <c r="CD120" s="55"/>
      <c r="CE120" s="55"/>
      <c r="CF120" s="55"/>
      <c r="CG120" s="55"/>
      <c r="CH120" s="55"/>
      <c r="CI120" s="55"/>
      <c r="CJ120" s="55"/>
      <c r="CK120" s="55"/>
      <c r="CL120" s="55"/>
      <c r="CM120" s="55"/>
      <c r="CN120" s="55"/>
      <c r="CO120" s="55"/>
      <c r="CP120" s="55"/>
      <c r="CQ120" s="55"/>
      <c r="CR120" s="55"/>
      <c r="CS120" s="55"/>
      <c r="CT120" s="55"/>
      <c r="CU120" s="55"/>
      <c r="CV120" s="55"/>
      <c r="CW120" s="55"/>
      <c r="CX120" s="55"/>
      <c r="CY120" s="55"/>
      <c r="CZ120" s="55"/>
      <c r="DA120" s="55"/>
      <c r="DB120" s="55"/>
      <c r="DC120" s="55"/>
      <c r="DD120" s="55"/>
      <c r="DE120" s="55"/>
      <c r="DF120" s="55"/>
      <c r="DG120" s="55"/>
      <c r="DH120" s="55"/>
      <c r="DI120" s="55"/>
      <c r="DJ120" s="55"/>
      <c r="DK120" s="55"/>
      <c r="DL120" s="55"/>
      <c r="DM120" s="55"/>
      <c r="DN120" s="55"/>
      <c r="DO120" s="55"/>
      <c r="DP120" s="55"/>
      <c r="DQ120" s="55"/>
      <c r="DR120" s="55"/>
      <c r="DS120" s="55"/>
      <c r="DT120" s="55" t="str">
        <f aca="false">AA120&amp;"-"&amp;AF120</f>
        <v>W73-W75</v>
      </c>
      <c r="DU120" s="55"/>
      <c r="DV120" s="55"/>
      <c r="DW120" s="57"/>
    </row>
    <row r="121" customFormat="false" ht="15.75" hidden="false" customHeight="true" outlineLevel="0" collapsed="false">
      <c r="A121" s="120" t="s">
        <v>182</v>
      </c>
      <c r="B121" s="120" t="s">
        <v>183</v>
      </c>
      <c r="C121" s="39"/>
      <c r="D121" s="195" t="str">
        <f aca="false">IF(AND(OR(AC121="",AD121="")),"W"&amp;AH121,IF(AC121&gt;AD121,AA121,IF(AC121&lt;AD121,AF121,IF(AND(AC121=AD121,AB121=AE121),"W"&amp;AH121,IF(AND(AC121=AD121,OR(AB121="",AE121="")),"W"&amp;AH121,IF(AND(AC121=AD121,AB121&gt;AE121),AA121,AF121))))))</f>
        <v>W89</v>
      </c>
      <c r="E121" s="55" t="n">
        <v>73</v>
      </c>
      <c r="F121" s="55" t="n">
        <v>75</v>
      </c>
      <c r="G121" s="55"/>
      <c r="H121" s="55"/>
      <c r="I121" s="55"/>
      <c r="J121" s="120" t="n">
        <v>90</v>
      </c>
      <c r="K121" s="120" t="n">
        <v>46207.875</v>
      </c>
      <c r="L121" s="120" t="s">
        <v>184</v>
      </c>
      <c r="M121" s="55" t="str">
        <f aca="false">+INDEX($D$101:$D$147,MATCH(E121,$AH$101:$AH$147,0))</f>
        <v>W73</v>
      </c>
      <c r="N121" s="55" t="str">
        <f aca="false">+INDEX($D$101:$D$147,MATCH(F121,$AH$101:$AH$147,0))</f>
        <v>W75</v>
      </c>
      <c r="O121" s="55"/>
      <c r="P121" s="55"/>
      <c r="Q121" s="55"/>
      <c r="R121" s="55"/>
      <c r="S121" s="55"/>
      <c r="T121" s="55"/>
      <c r="U121" s="55"/>
      <c r="V121" s="46"/>
      <c r="W121" s="249"/>
      <c r="X121" s="74" t="n">
        <f aca="false">Horarios!C121</f>
        <v>46207.9583333333</v>
      </c>
      <c r="Y121" s="75" t="n">
        <f aca="false">Horarios!C121</f>
        <v>46207.9583333333</v>
      </c>
      <c r="Z121" s="212" t="n">
        <f aca="false">AH121</f>
        <v>89</v>
      </c>
      <c r="AA121" s="213" t="str">
        <f aca="false">+INDEX($M$101:$M$147,MATCH(AH121,$J$101:$J$147,0))</f>
        <v>W74</v>
      </c>
      <c r="AB121" s="214"/>
      <c r="AC121" s="252"/>
      <c r="AD121" s="252"/>
      <c r="AE121" s="214"/>
      <c r="AF121" s="216" t="str">
        <f aca="false">+INDEX($N$101:$N$147,MATCH(AH121,$J$101:$J$147,0))</f>
        <v>W77</v>
      </c>
      <c r="AG121" s="217" t="n">
        <f aca="false">IF(D121="W"&amp;AH121,0,1)</f>
        <v>0</v>
      </c>
      <c r="AH121" s="84" t="n">
        <v>89</v>
      </c>
      <c r="AI121" s="111"/>
      <c r="AJ121" s="54"/>
      <c r="AK121" s="54"/>
      <c r="AL121" s="54"/>
      <c r="AM121" s="244"/>
      <c r="AN121" s="244"/>
      <c r="AO121" s="244"/>
      <c r="AP121" s="244"/>
      <c r="AQ121" s="244"/>
      <c r="AR121" s="244"/>
      <c r="AS121" s="244"/>
      <c r="AT121" s="244"/>
      <c r="AU121" s="85"/>
      <c r="AV121" s="85"/>
      <c r="AW121" s="244"/>
      <c r="AX121" s="244"/>
      <c r="AY121" s="146"/>
      <c r="AZ121" s="147"/>
      <c r="BA121" s="49"/>
      <c r="BB121" s="55"/>
      <c r="BC121" s="55"/>
      <c r="BD121" s="55"/>
      <c r="BE121" s="55"/>
      <c r="BF121" s="246" t="s">
        <v>105</v>
      </c>
      <c r="BG121" s="55" t="e">
        <f aca="false">+INDEX(Combinaciones3!$P$2:$W$496,MATCH(1,Combinaciones3!$B$2:$B$497,0),MATCH(WORLDCUP!BF121,Combinaciones3!$P$1:$W$1,0))</f>
        <v>#N/A</v>
      </c>
      <c r="BH121" s="55"/>
      <c r="BI121" s="55"/>
      <c r="BJ121" s="55"/>
      <c r="BK121" s="55"/>
      <c r="BL121" s="55"/>
      <c r="BM121" s="55"/>
      <c r="BN121" s="55"/>
      <c r="BO121" s="55"/>
      <c r="BP121" s="55"/>
      <c r="BQ121" s="55"/>
      <c r="BR121" s="55"/>
      <c r="BS121" s="55"/>
      <c r="BT121" s="55"/>
      <c r="BU121" s="55"/>
      <c r="BV121" s="55"/>
      <c r="BW121" s="55"/>
      <c r="BX121" s="55"/>
      <c r="BY121" s="55"/>
      <c r="BZ121" s="55"/>
      <c r="CA121" s="55"/>
      <c r="CB121" s="55"/>
      <c r="CC121" s="55"/>
      <c r="CD121" s="55"/>
      <c r="CE121" s="55"/>
      <c r="CF121" s="55"/>
      <c r="CG121" s="55"/>
      <c r="CH121" s="55"/>
      <c r="CI121" s="55"/>
      <c r="CJ121" s="55"/>
      <c r="CK121" s="55"/>
      <c r="CL121" s="55"/>
      <c r="CM121" s="55"/>
      <c r="CN121" s="55"/>
      <c r="CO121" s="55"/>
      <c r="CP121" s="55"/>
      <c r="CQ121" s="55"/>
      <c r="CR121" s="55"/>
      <c r="CS121" s="55"/>
      <c r="CT121" s="55"/>
      <c r="CU121" s="55"/>
      <c r="CV121" s="55"/>
      <c r="CW121" s="55"/>
      <c r="CX121" s="55"/>
      <c r="CY121" s="55"/>
      <c r="CZ121" s="55"/>
      <c r="DA121" s="55"/>
      <c r="DB121" s="55"/>
      <c r="DC121" s="55"/>
      <c r="DD121" s="55"/>
      <c r="DE121" s="55"/>
      <c r="DF121" s="55"/>
      <c r="DG121" s="55"/>
      <c r="DH121" s="55"/>
      <c r="DI121" s="55"/>
      <c r="DJ121" s="55"/>
      <c r="DK121" s="55"/>
      <c r="DL121" s="55"/>
      <c r="DM121" s="55"/>
      <c r="DN121" s="55"/>
      <c r="DO121" s="55"/>
      <c r="DP121" s="55"/>
      <c r="DQ121" s="55"/>
      <c r="DR121" s="55"/>
      <c r="DS121" s="55"/>
      <c r="DT121" s="55" t="str">
        <f aca="false">AA121&amp;"-"&amp;AF121</f>
        <v>W74-W77</v>
      </c>
      <c r="DU121" s="55"/>
      <c r="DV121" s="55"/>
      <c r="DW121" s="57"/>
    </row>
    <row r="122" customFormat="false" ht="15.75" hidden="false" customHeight="true" outlineLevel="0" collapsed="false">
      <c r="A122" s="120" t="s">
        <v>185</v>
      </c>
      <c r="B122" s="120" t="s">
        <v>186</v>
      </c>
      <c r="C122" s="39"/>
      <c r="D122" s="195" t="str">
        <f aca="false">IF(AND(OR(AC122="",AD122="")),"W"&amp;AH122,IF(AC122&gt;AD122,AA122,IF(AC122&lt;AD122,AF122,IF(AND(AC122=AD122,AB122=AE122),"W"&amp;AH122,IF(AND(AC122=AD122,OR(AB122="",AE122="")),"W"&amp;AH122,IF(AND(AC122=AD122,AB122&gt;AE122),AA122,AF122))))))</f>
        <v>W91</v>
      </c>
      <c r="E122" s="55" t="n">
        <v>76</v>
      </c>
      <c r="F122" s="55" t="n">
        <v>78</v>
      </c>
      <c r="G122" s="55"/>
      <c r="H122" s="55"/>
      <c r="I122" s="55"/>
      <c r="J122" s="120" t="n">
        <v>91</v>
      </c>
      <c r="K122" s="120" t="n">
        <v>46208.75</v>
      </c>
      <c r="L122" s="120" t="s">
        <v>187</v>
      </c>
      <c r="M122" s="55" t="str">
        <f aca="false">+INDEX($D$101:$D$147,MATCH(E122,$AH$101:$AH$147,0))</f>
        <v>W76</v>
      </c>
      <c r="N122" s="55" t="str">
        <f aca="false">+INDEX($D$101:$D$147,MATCH(F122,$AH$101:$AH$147,0))</f>
        <v>W78</v>
      </c>
      <c r="O122" s="55"/>
      <c r="P122" s="55"/>
      <c r="Q122" s="55"/>
      <c r="R122" s="55"/>
      <c r="S122" s="55"/>
      <c r="T122" s="55"/>
      <c r="U122" s="55"/>
      <c r="V122" s="46"/>
      <c r="W122" s="249"/>
      <c r="X122" s="74" t="n">
        <f aca="false">Horarios!C122</f>
        <v>46208.9166666667</v>
      </c>
      <c r="Y122" s="75" t="n">
        <f aca="false">Horarios!C122</f>
        <v>46208.9166666667</v>
      </c>
      <c r="Z122" s="212" t="n">
        <f aca="false">AH122</f>
        <v>91</v>
      </c>
      <c r="AA122" s="213" t="str">
        <f aca="false">+INDEX($M$101:$M$147,MATCH(AH122,$J$101:$J$147,0))</f>
        <v>W76</v>
      </c>
      <c r="AB122" s="214"/>
      <c r="AC122" s="252"/>
      <c r="AD122" s="252"/>
      <c r="AE122" s="214"/>
      <c r="AF122" s="216" t="str">
        <f aca="false">+INDEX($N$101:$N$147,MATCH(AH122,$J$101:$J$147,0))</f>
        <v>W78</v>
      </c>
      <c r="AG122" s="217" t="n">
        <f aca="false">IF(D122="W"&amp;AH122,0,1)</f>
        <v>0</v>
      </c>
      <c r="AH122" s="84" t="n">
        <v>91</v>
      </c>
      <c r="AI122" s="111"/>
      <c r="AJ122" s="54"/>
      <c r="AK122" s="54"/>
      <c r="AL122" s="54"/>
      <c r="AM122" s="244"/>
      <c r="AN122" s="244"/>
      <c r="AO122" s="244"/>
      <c r="AP122" s="244"/>
      <c r="AQ122" s="244"/>
      <c r="AR122" s="244"/>
      <c r="AS122" s="244"/>
      <c r="AT122" s="244"/>
      <c r="AU122" s="85"/>
      <c r="AV122" s="85"/>
      <c r="AW122" s="244"/>
      <c r="AX122" s="244"/>
      <c r="AY122" s="146"/>
      <c r="AZ122" s="147"/>
      <c r="BA122" s="49"/>
      <c r="BB122" s="55"/>
      <c r="BC122" s="55"/>
      <c r="BD122" s="55"/>
      <c r="BE122" s="55"/>
      <c r="BF122" s="72" t="s">
        <v>114</v>
      </c>
      <c r="BG122" s="55" t="e">
        <f aca="false">+INDEX(Combinaciones3!$P$2:$W$496,MATCH(1,Combinaciones3!$B$2:$B$497,0),MATCH(WORLDCUP!BF122,Combinaciones3!$P$1:$W$1,0))</f>
        <v>#N/A</v>
      </c>
      <c r="BH122" s="55"/>
      <c r="BI122" s="55"/>
      <c r="BJ122" s="55"/>
      <c r="BK122" s="55"/>
      <c r="BL122" s="55"/>
      <c r="BM122" s="55"/>
      <c r="BN122" s="55"/>
      <c r="BO122" s="55"/>
      <c r="BP122" s="55"/>
      <c r="BQ122" s="55"/>
      <c r="BR122" s="55"/>
      <c r="BS122" s="55"/>
      <c r="BT122" s="55"/>
      <c r="BU122" s="55"/>
      <c r="BV122" s="55"/>
      <c r="BW122" s="55"/>
      <c r="BX122" s="55"/>
      <c r="BY122" s="55"/>
      <c r="BZ122" s="55"/>
      <c r="CA122" s="55"/>
      <c r="CB122" s="55"/>
      <c r="CC122" s="55"/>
      <c r="CD122" s="55"/>
      <c r="CE122" s="55"/>
      <c r="CF122" s="55"/>
      <c r="CG122" s="55"/>
      <c r="CH122" s="55"/>
      <c r="CI122" s="55"/>
      <c r="CJ122" s="55"/>
      <c r="CK122" s="55"/>
      <c r="CL122" s="55"/>
      <c r="CM122" s="55"/>
      <c r="CN122" s="55"/>
      <c r="CO122" s="55"/>
      <c r="CP122" s="55"/>
      <c r="CQ122" s="55"/>
      <c r="CR122" s="55"/>
      <c r="CS122" s="55"/>
      <c r="CT122" s="55"/>
      <c r="CU122" s="55"/>
      <c r="CV122" s="55"/>
      <c r="CW122" s="55"/>
      <c r="CX122" s="55"/>
      <c r="CY122" s="55"/>
      <c r="CZ122" s="55"/>
      <c r="DA122" s="55"/>
      <c r="DB122" s="55"/>
      <c r="DC122" s="55"/>
      <c r="DD122" s="55"/>
      <c r="DE122" s="55"/>
      <c r="DF122" s="55"/>
      <c r="DG122" s="55"/>
      <c r="DH122" s="55"/>
      <c r="DI122" s="55"/>
      <c r="DJ122" s="55"/>
      <c r="DK122" s="55"/>
      <c r="DL122" s="55"/>
      <c r="DM122" s="55"/>
      <c r="DN122" s="55"/>
      <c r="DO122" s="55"/>
      <c r="DP122" s="55"/>
      <c r="DQ122" s="55"/>
      <c r="DR122" s="55"/>
      <c r="DS122" s="55"/>
      <c r="DT122" s="55" t="str">
        <f aca="false">AA122&amp;"-"&amp;AF122</f>
        <v>W76-W78</v>
      </c>
      <c r="DU122" s="55"/>
      <c r="DV122" s="55"/>
      <c r="DW122" s="57"/>
    </row>
    <row r="123" customFormat="false" ht="15.75" hidden="false" customHeight="true" outlineLevel="0" collapsed="false">
      <c r="A123" s="120" t="s">
        <v>188</v>
      </c>
      <c r="B123" s="120" t="s">
        <v>189</v>
      </c>
      <c r="C123" s="39"/>
      <c r="D123" s="195" t="str">
        <f aca="false">IF(AND(OR(AC123="",AD123="")),"W"&amp;AH123,IF(AC123&gt;AD123,AA123,IF(AC123&lt;AD123,AF123,IF(AND(AC123=AD123,AB123=AE123),"W"&amp;AH123,IF(AND(AC123=AD123,OR(AB123="",AE123="")),"W"&amp;AH123,IF(AND(AC123=AD123,AB123&gt;AE123),AA123,AF123))))))</f>
        <v>W92</v>
      </c>
      <c r="E123" s="55" t="n">
        <v>79</v>
      </c>
      <c r="F123" s="55" t="n">
        <v>80</v>
      </c>
      <c r="G123" s="55"/>
      <c r="H123" s="55"/>
      <c r="I123" s="55"/>
      <c r="J123" s="120" t="n">
        <v>92</v>
      </c>
      <c r="K123" s="120" t="n">
        <v>46208.875</v>
      </c>
      <c r="L123" s="120" t="s">
        <v>190</v>
      </c>
      <c r="M123" s="55" t="str">
        <f aca="false">+INDEX($D$101:$D$147,MATCH(E123,$AH$101:$AH$147,0))</f>
        <v>W79</v>
      </c>
      <c r="N123" s="55" t="str">
        <f aca="false">+INDEX($D$101:$D$147,MATCH(F123,$AH$101:$AH$147,0))</f>
        <v>W80</v>
      </c>
      <c r="O123" s="55"/>
      <c r="P123" s="55"/>
      <c r="Q123" s="55"/>
      <c r="R123" s="55"/>
      <c r="S123" s="55"/>
      <c r="T123" s="55"/>
      <c r="U123" s="55"/>
      <c r="V123" s="46"/>
      <c r="W123" s="249"/>
      <c r="X123" s="74" t="n">
        <f aca="false">Horarios!C123</f>
        <v>46209.0833333333</v>
      </c>
      <c r="Y123" s="75" t="n">
        <f aca="false">Horarios!C123</f>
        <v>46209.0833333333</v>
      </c>
      <c r="Z123" s="212" t="n">
        <f aca="false">AH123</f>
        <v>92</v>
      </c>
      <c r="AA123" s="213" t="str">
        <f aca="false">+INDEX($M$101:$M$147,MATCH(AH123,$J$101:$J$147,0))</f>
        <v>W79</v>
      </c>
      <c r="AB123" s="214"/>
      <c r="AC123" s="252"/>
      <c r="AD123" s="252"/>
      <c r="AE123" s="214"/>
      <c r="AF123" s="216" t="str">
        <f aca="false">+INDEX($N$101:$N$147,MATCH(AH123,$J$101:$J$147,0))</f>
        <v>W80</v>
      </c>
      <c r="AG123" s="217" t="n">
        <f aca="false">IF(D123="W"&amp;AH123,0,1)</f>
        <v>0</v>
      </c>
      <c r="AH123" s="84" t="n">
        <v>92</v>
      </c>
      <c r="AI123" s="111"/>
      <c r="AJ123" s="54"/>
      <c r="AK123" s="54"/>
      <c r="AL123" s="54"/>
      <c r="AM123" s="244"/>
      <c r="AN123" s="244"/>
      <c r="AO123" s="244"/>
      <c r="AP123" s="244"/>
      <c r="AQ123" s="244"/>
      <c r="AR123" s="244"/>
      <c r="AS123" s="244"/>
      <c r="AT123" s="244"/>
      <c r="AU123" s="85"/>
      <c r="AV123" s="85"/>
      <c r="AW123" s="244"/>
      <c r="AX123" s="244"/>
      <c r="AY123" s="146"/>
      <c r="AZ123" s="147"/>
      <c r="BA123" s="49"/>
      <c r="BB123" s="55"/>
      <c r="BC123" s="55"/>
      <c r="BD123" s="55"/>
      <c r="BE123" s="55"/>
      <c r="BF123" s="72" t="s">
        <v>123</v>
      </c>
      <c r="BG123" s="55" t="e">
        <f aca="false">+INDEX(Combinaciones3!$P$2:$W$496,MATCH(1,Combinaciones3!$B$2:$B$497,0),MATCH(WORLDCUP!BF123,Combinaciones3!$P$1:$W$1,0))</f>
        <v>#N/A</v>
      </c>
      <c r="BH123" s="55"/>
      <c r="BI123" s="55"/>
      <c r="BJ123" s="55"/>
      <c r="BK123" s="55"/>
      <c r="BL123" s="55"/>
      <c r="BM123" s="55"/>
      <c r="BN123" s="55"/>
      <c r="BO123" s="55"/>
      <c r="BP123" s="55"/>
      <c r="BQ123" s="55"/>
      <c r="BR123" s="55"/>
      <c r="BS123" s="55"/>
      <c r="BT123" s="55"/>
      <c r="BU123" s="55"/>
      <c r="BV123" s="55"/>
      <c r="BW123" s="55"/>
      <c r="BX123" s="55"/>
      <c r="BY123" s="55"/>
      <c r="BZ123" s="55"/>
      <c r="CA123" s="55"/>
      <c r="CB123" s="55"/>
      <c r="CC123" s="55"/>
      <c r="CD123" s="55"/>
      <c r="CE123" s="55"/>
      <c r="CF123" s="55"/>
      <c r="CG123" s="55"/>
      <c r="CH123" s="55"/>
      <c r="CI123" s="55"/>
      <c r="CJ123" s="55"/>
      <c r="CK123" s="55"/>
      <c r="CL123" s="55"/>
      <c r="CM123" s="55"/>
      <c r="CN123" s="55"/>
      <c r="CO123" s="55"/>
      <c r="CP123" s="55"/>
      <c r="CQ123" s="55"/>
      <c r="CR123" s="55"/>
      <c r="CS123" s="55"/>
      <c r="CT123" s="55"/>
      <c r="CU123" s="55"/>
      <c r="CV123" s="55"/>
      <c r="CW123" s="55"/>
      <c r="CX123" s="55"/>
      <c r="CY123" s="55"/>
      <c r="CZ123" s="55"/>
      <c r="DA123" s="55"/>
      <c r="DB123" s="55"/>
      <c r="DC123" s="55"/>
      <c r="DD123" s="55"/>
      <c r="DE123" s="55"/>
      <c r="DF123" s="55"/>
      <c r="DG123" s="55"/>
      <c r="DH123" s="55"/>
      <c r="DI123" s="55"/>
      <c r="DJ123" s="55"/>
      <c r="DK123" s="55"/>
      <c r="DL123" s="55"/>
      <c r="DM123" s="55"/>
      <c r="DN123" s="55"/>
      <c r="DO123" s="55"/>
      <c r="DP123" s="55"/>
      <c r="DQ123" s="55"/>
      <c r="DR123" s="55"/>
      <c r="DS123" s="55"/>
      <c r="DT123" s="55" t="str">
        <f aca="false">AA123&amp;"-"&amp;AF123</f>
        <v>W79-W80</v>
      </c>
      <c r="DU123" s="55"/>
      <c r="DV123" s="55"/>
      <c r="DW123" s="57"/>
    </row>
    <row r="124" customFormat="false" ht="15.75" hidden="false" customHeight="true" outlineLevel="0" collapsed="false">
      <c r="A124" s="120" t="s">
        <v>191</v>
      </c>
      <c r="B124" s="120" t="s">
        <v>192</v>
      </c>
      <c r="C124" s="39"/>
      <c r="D124" s="195" t="str">
        <f aca="false">IF(AND(OR(AC124="",AD124="")),"W"&amp;AH124,IF(AC124&gt;AD124,AA124,IF(AC124&lt;AD124,AF124,IF(AND(AC124=AD124,AB124=AE124),"W"&amp;AH124,IF(AND(AC124=AD124,OR(AB124="",AE124="")),"W"&amp;AH124,IF(AND(AC124=AD124,AB124&gt;AE124),AA124,AF124))))))</f>
        <v>W93</v>
      </c>
      <c r="E124" s="55" t="n">
        <v>83</v>
      </c>
      <c r="F124" s="55" t="n">
        <v>84</v>
      </c>
      <c r="G124" s="55"/>
      <c r="H124" s="55"/>
      <c r="I124" s="55"/>
      <c r="J124" s="120" t="n">
        <v>93</v>
      </c>
      <c r="K124" s="120" t="n">
        <v>46209.75</v>
      </c>
      <c r="L124" s="120" t="s">
        <v>193</v>
      </c>
      <c r="M124" s="55" t="str">
        <f aca="false">+INDEX($D$101:$D$147,MATCH(E124,$AH$101:$AH$147,0))</f>
        <v>W83</v>
      </c>
      <c r="N124" s="55" t="str">
        <f aca="false">+INDEX($D$101:$D$147,MATCH(F124,$AH$101:$AH$147,0))</f>
        <v>W84</v>
      </c>
      <c r="O124" s="55"/>
      <c r="P124" s="55"/>
      <c r="Q124" s="55"/>
      <c r="R124" s="55"/>
      <c r="S124" s="55"/>
      <c r="T124" s="55"/>
      <c r="U124" s="55"/>
      <c r="V124" s="46"/>
      <c r="W124" s="249"/>
      <c r="X124" s="74" t="n">
        <f aca="false">Horarios!C124</f>
        <v>46209.875</v>
      </c>
      <c r="Y124" s="75" t="n">
        <f aca="false">Horarios!C124</f>
        <v>46209.875</v>
      </c>
      <c r="Z124" s="212" t="n">
        <f aca="false">AH124</f>
        <v>93</v>
      </c>
      <c r="AA124" s="213" t="str">
        <f aca="false">+INDEX($M$101:$M$147,MATCH(AH124,$J$101:$J$147,0))</f>
        <v>W83</v>
      </c>
      <c r="AB124" s="253"/>
      <c r="AC124" s="252"/>
      <c r="AD124" s="252"/>
      <c r="AE124" s="215"/>
      <c r="AF124" s="216" t="str">
        <f aca="false">+INDEX($N$101:$N$147,MATCH(AH124,$J$101:$J$147,0))</f>
        <v>W84</v>
      </c>
      <c r="AG124" s="217" t="n">
        <f aca="false">IF(D124="W"&amp;AH124,0,1)</f>
        <v>0</v>
      </c>
      <c r="AH124" s="84" t="n">
        <v>93</v>
      </c>
      <c r="AI124" s="111"/>
      <c r="AJ124" s="54"/>
      <c r="AK124" s="54"/>
      <c r="AL124" s="54"/>
      <c r="AM124" s="244"/>
      <c r="AN124" s="244"/>
      <c r="AO124" s="244"/>
      <c r="AP124" s="244"/>
      <c r="AQ124" s="244"/>
      <c r="AR124" s="244"/>
      <c r="AS124" s="244"/>
      <c r="AT124" s="244"/>
      <c r="AU124" s="85"/>
      <c r="AV124" s="85"/>
      <c r="AW124" s="244"/>
      <c r="AX124" s="244"/>
      <c r="AY124" s="146"/>
      <c r="AZ124" s="147"/>
      <c r="BA124" s="49"/>
      <c r="BB124" s="55"/>
      <c r="BC124" s="55"/>
      <c r="BD124" s="55"/>
      <c r="BE124" s="55"/>
      <c r="BF124" s="72" t="s">
        <v>127</v>
      </c>
      <c r="BG124" s="55" t="e">
        <f aca="false">+INDEX(Combinaciones3!$P$2:$W$496,MATCH(1,Combinaciones3!$B$2:$B$497,0),MATCH(WORLDCUP!BF124,Combinaciones3!$P$1:$W$1,0))</f>
        <v>#N/A</v>
      </c>
      <c r="BH124" s="55"/>
      <c r="BI124" s="55"/>
      <c r="BJ124" s="55"/>
      <c r="BK124" s="55"/>
      <c r="BL124" s="55"/>
      <c r="BM124" s="55"/>
      <c r="BN124" s="55"/>
      <c r="BO124" s="55"/>
      <c r="BP124" s="55"/>
      <c r="BQ124" s="55"/>
      <c r="BR124" s="55"/>
      <c r="BS124" s="55"/>
      <c r="BT124" s="55"/>
      <c r="BU124" s="55"/>
      <c r="BV124" s="55"/>
      <c r="BW124" s="55"/>
      <c r="BX124" s="55"/>
      <c r="BY124" s="55"/>
      <c r="BZ124" s="55"/>
      <c r="CA124" s="55"/>
      <c r="CB124" s="55"/>
      <c r="CC124" s="55"/>
      <c r="CD124" s="55"/>
      <c r="CE124" s="55"/>
      <c r="CF124" s="55"/>
      <c r="CG124" s="55"/>
      <c r="CH124" s="55"/>
      <c r="CI124" s="55"/>
      <c r="CJ124" s="55"/>
      <c r="CK124" s="55"/>
      <c r="CL124" s="55"/>
      <c r="CM124" s="55"/>
      <c r="CN124" s="55"/>
      <c r="CO124" s="55"/>
      <c r="CP124" s="55"/>
      <c r="CQ124" s="55"/>
      <c r="CR124" s="55"/>
      <c r="CS124" s="55"/>
      <c r="CT124" s="55"/>
      <c r="CU124" s="55"/>
      <c r="CV124" s="55"/>
      <c r="CW124" s="55"/>
      <c r="CX124" s="55"/>
      <c r="CY124" s="55"/>
      <c r="CZ124" s="55"/>
      <c r="DA124" s="55"/>
      <c r="DB124" s="55"/>
      <c r="DC124" s="55"/>
      <c r="DD124" s="55"/>
      <c r="DE124" s="55"/>
      <c r="DF124" s="55"/>
      <c r="DG124" s="55"/>
      <c r="DH124" s="55"/>
      <c r="DI124" s="55"/>
      <c r="DJ124" s="55"/>
      <c r="DK124" s="55"/>
      <c r="DL124" s="55"/>
      <c r="DM124" s="55"/>
      <c r="DN124" s="55"/>
      <c r="DO124" s="55"/>
      <c r="DP124" s="55"/>
      <c r="DQ124" s="55"/>
      <c r="DR124" s="55"/>
      <c r="DS124" s="55"/>
      <c r="DT124" s="55" t="str">
        <f aca="false">AA124&amp;"-"&amp;AF124</f>
        <v>W83-W84</v>
      </c>
      <c r="DU124" s="55"/>
      <c r="DV124" s="55"/>
      <c r="DW124" s="57"/>
    </row>
    <row r="125" customFormat="false" ht="15.75" hidden="false" customHeight="true" outlineLevel="0" collapsed="false">
      <c r="A125" s="120" t="s">
        <v>194</v>
      </c>
      <c r="B125" s="120" t="s">
        <v>195</v>
      </c>
      <c r="C125" s="39"/>
      <c r="D125" s="195" t="str">
        <f aca="false">IF(AND(OR(AC125="",AD125="")),"W"&amp;AH125,IF(AC125&gt;AD125,AA125,IF(AC125&lt;AD125,AF125,IF(AND(AC125=AD125,AB125=AE125),"W"&amp;AH125,IF(AND(AC125=AD125,OR(AB125="",AE125="")),"W"&amp;AH125,IF(AND(AC125=AD125,AB125&gt;AE125),AA125,AF125))))))</f>
        <v>W94</v>
      </c>
      <c r="E125" s="55" t="n">
        <v>81</v>
      </c>
      <c r="F125" s="55" t="n">
        <v>82</v>
      </c>
      <c r="G125" s="55"/>
      <c r="H125" s="55"/>
      <c r="I125" s="55"/>
      <c r="J125" s="120" t="n">
        <v>94</v>
      </c>
      <c r="K125" s="120" t="n">
        <v>46209.875</v>
      </c>
      <c r="L125" s="120" t="s">
        <v>196</v>
      </c>
      <c r="M125" s="55" t="str">
        <f aca="false">+INDEX($D$101:$D$147,MATCH(E125,$AH$101:$AH$147,0))</f>
        <v>W81</v>
      </c>
      <c r="N125" s="55" t="str">
        <f aca="false">+INDEX($D$101:$D$147,MATCH(F125,$AH$101:$AH$147,0))</f>
        <v>W82</v>
      </c>
      <c r="O125" s="55"/>
      <c r="P125" s="55"/>
      <c r="Q125" s="55"/>
      <c r="R125" s="55"/>
      <c r="S125" s="55"/>
      <c r="T125" s="55"/>
      <c r="U125" s="55"/>
      <c r="V125" s="46"/>
      <c r="W125" s="249"/>
      <c r="X125" s="74" t="n">
        <f aca="false">Horarios!C125</f>
        <v>46210.0833333333</v>
      </c>
      <c r="Y125" s="75" t="n">
        <f aca="false">Horarios!C125</f>
        <v>46210.0833333333</v>
      </c>
      <c r="Z125" s="212" t="n">
        <f aca="false">AH125</f>
        <v>94</v>
      </c>
      <c r="AA125" s="213" t="str">
        <f aca="false">+INDEX($M$101:$M$147,MATCH(AH125,$J$101:$J$147,0))</f>
        <v>W81</v>
      </c>
      <c r="AB125" s="214"/>
      <c r="AC125" s="254"/>
      <c r="AD125" s="254"/>
      <c r="AE125" s="214"/>
      <c r="AF125" s="216" t="str">
        <f aca="false">+INDEX($N$101:$N$147,MATCH(AH125,$J$101:$J$147,0))</f>
        <v>W82</v>
      </c>
      <c r="AG125" s="217" t="n">
        <f aca="false">IF(D125="W"&amp;AH125,0,1)</f>
        <v>0</v>
      </c>
      <c r="AH125" s="84" t="n">
        <v>94</v>
      </c>
      <c r="AI125" s="111"/>
      <c r="AJ125" s="54"/>
      <c r="AK125" s="54"/>
      <c r="AL125" s="54"/>
      <c r="AM125" s="244"/>
      <c r="AN125" s="244"/>
      <c r="AO125" s="244"/>
      <c r="AP125" s="244"/>
      <c r="AQ125" s="244"/>
      <c r="AR125" s="244"/>
      <c r="AS125" s="244"/>
      <c r="AT125" s="244"/>
      <c r="AU125" s="85"/>
      <c r="AV125" s="85"/>
      <c r="AW125" s="244"/>
      <c r="AX125" s="244"/>
      <c r="AY125" s="146"/>
      <c r="AZ125" s="147"/>
      <c r="BA125" s="49"/>
      <c r="BB125" s="55"/>
      <c r="BC125" s="55"/>
      <c r="BD125" s="55"/>
      <c r="BE125" s="55"/>
      <c r="BF125" s="55"/>
      <c r="BG125" s="55"/>
      <c r="BH125" s="55"/>
      <c r="BI125" s="55"/>
      <c r="BJ125" s="55"/>
      <c r="BK125" s="55"/>
      <c r="BL125" s="55"/>
      <c r="BM125" s="55"/>
      <c r="BN125" s="55"/>
      <c r="BO125" s="55"/>
      <c r="BP125" s="55"/>
      <c r="BQ125" s="55"/>
      <c r="BR125" s="55"/>
      <c r="BS125" s="55"/>
      <c r="BT125" s="55"/>
      <c r="BU125" s="55"/>
      <c r="BV125" s="55"/>
      <c r="BW125" s="55"/>
      <c r="BX125" s="55"/>
      <c r="BY125" s="55"/>
      <c r="BZ125" s="55"/>
      <c r="CA125" s="55"/>
      <c r="CB125" s="55"/>
      <c r="CC125" s="55"/>
      <c r="CD125" s="55"/>
      <c r="CE125" s="55"/>
      <c r="CF125" s="55"/>
      <c r="CG125" s="55"/>
      <c r="CH125" s="55"/>
      <c r="CI125" s="55"/>
      <c r="CJ125" s="55"/>
      <c r="CK125" s="55"/>
      <c r="CL125" s="55"/>
      <c r="CM125" s="55"/>
      <c r="CN125" s="55"/>
      <c r="CO125" s="55"/>
      <c r="CP125" s="55"/>
      <c r="CQ125" s="55"/>
      <c r="CR125" s="55"/>
      <c r="CS125" s="55"/>
      <c r="CT125" s="55"/>
      <c r="CU125" s="55"/>
      <c r="CV125" s="55"/>
      <c r="CW125" s="55"/>
      <c r="CX125" s="55"/>
      <c r="CY125" s="55"/>
      <c r="CZ125" s="55"/>
      <c r="DA125" s="55"/>
      <c r="DB125" s="55"/>
      <c r="DC125" s="55"/>
      <c r="DD125" s="55"/>
      <c r="DE125" s="55"/>
      <c r="DF125" s="55"/>
      <c r="DG125" s="55"/>
      <c r="DH125" s="55"/>
      <c r="DI125" s="55"/>
      <c r="DJ125" s="55"/>
      <c r="DK125" s="55"/>
      <c r="DL125" s="55"/>
      <c r="DM125" s="55"/>
      <c r="DN125" s="55"/>
      <c r="DO125" s="55"/>
      <c r="DP125" s="55"/>
      <c r="DQ125" s="55"/>
      <c r="DR125" s="55"/>
      <c r="DS125" s="55"/>
      <c r="DT125" s="55" t="str">
        <f aca="false">AA125&amp;"-"&amp;AF125</f>
        <v>W81-W82</v>
      </c>
      <c r="DU125" s="55"/>
      <c r="DV125" s="55"/>
      <c r="DW125" s="57"/>
    </row>
    <row r="126" customFormat="false" ht="15.75" hidden="false" customHeight="true" outlineLevel="0" collapsed="false">
      <c r="A126" s="120" t="s">
        <v>197</v>
      </c>
      <c r="B126" s="120" t="s">
        <v>198</v>
      </c>
      <c r="C126" s="39"/>
      <c r="D126" s="195" t="str">
        <f aca="false">IF(AND(OR(AC126="",AD126="")),"W"&amp;AH126,IF(AC126&gt;AD126,AA126,IF(AC126&lt;AD126,AF126,IF(AND(AC126=AD126,AB126=AE126),"W"&amp;AH126,IF(AND(AC126=AD126,OR(AB126="",AE126="")),"W"&amp;AH126,IF(AND(AC126=AD126,AB126&gt;AE126),AA126,AF126))))))</f>
        <v>W95</v>
      </c>
      <c r="E126" s="55" t="n">
        <v>86</v>
      </c>
      <c r="F126" s="55" t="n">
        <v>88</v>
      </c>
      <c r="G126" s="55"/>
      <c r="H126" s="55"/>
      <c r="I126" s="55"/>
      <c r="J126" s="120" t="n">
        <v>95</v>
      </c>
      <c r="K126" s="120" t="n">
        <v>46210.75</v>
      </c>
      <c r="L126" s="120" t="s">
        <v>199</v>
      </c>
      <c r="M126" s="55" t="str">
        <f aca="false">+INDEX($D$101:$D$147,MATCH(E126,$AH$101:$AH$147,0))</f>
        <v>W86</v>
      </c>
      <c r="N126" s="55" t="str">
        <f aca="false">+INDEX($D$101:$D$147,MATCH(F126,$AH$101:$AH$147,0))</f>
        <v>W88</v>
      </c>
      <c r="O126" s="55"/>
      <c r="P126" s="55"/>
      <c r="Q126" s="55"/>
      <c r="R126" s="55"/>
      <c r="S126" s="55"/>
      <c r="T126" s="55"/>
      <c r="U126" s="55"/>
      <c r="V126" s="46"/>
      <c r="W126" s="249"/>
      <c r="X126" s="74" t="n">
        <f aca="false">Horarios!C126</f>
        <v>46210.75</v>
      </c>
      <c r="Y126" s="75" t="n">
        <f aca="false">Horarios!C126</f>
        <v>46210.75</v>
      </c>
      <c r="Z126" s="212" t="n">
        <f aca="false">AH126</f>
        <v>95</v>
      </c>
      <c r="AA126" s="213" t="str">
        <f aca="false">+INDEX($M$101:$M$147,MATCH(AH126,$J$101:$J$147,0))</f>
        <v>W86</v>
      </c>
      <c r="AB126" s="214"/>
      <c r="AC126" s="254"/>
      <c r="AD126" s="254"/>
      <c r="AE126" s="214"/>
      <c r="AF126" s="216" t="str">
        <f aca="false">+INDEX($N$101:$N$147,MATCH(AH126,$J$101:$J$147,0))</f>
        <v>W88</v>
      </c>
      <c r="AG126" s="217" t="n">
        <f aca="false">IF(D126="W"&amp;AH126,0,1)</f>
        <v>0</v>
      </c>
      <c r="AH126" s="84" t="n">
        <v>95</v>
      </c>
      <c r="AI126" s="111"/>
      <c r="AJ126" s="54"/>
      <c r="AK126" s="54"/>
      <c r="AL126" s="54"/>
      <c r="AM126" s="244"/>
      <c r="AN126" s="244"/>
      <c r="AO126" s="244"/>
      <c r="AP126" s="244"/>
      <c r="AQ126" s="244"/>
      <c r="AR126" s="244"/>
      <c r="AS126" s="244"/>
      <c r="AT126" s="244"/>
      <c r="AU126" s="85"/>
      <c r="AV126" s="85"/>
      <c r="AW126" s="244"/>
      <c r="AX126" s="244"/>
      <c r="AY126" s="146"/>
      <c r="AZ126" s="147"/>
      <c r="BA126" s="49"/>
      <c r="BB126" s="55"/>
      <c r="BC126" s="55"/>
      <c r="BD126" s="55"/>
      <c r="BE126" s="55"/>
      <c r="BF126" s="55"/>
      <c r="BG126" s="55"/>
      <c r="BH126" s="55"/>
      <c r="BI126" s="55"/>
      <c r="BJ126" s="55"/>
      <c r="BK126" s="55"/>
      <c r="BL126" s="55"/>
      <c r="BM126" s="55"/>
      <c r="BN126" s="55"/>
      <c r="BO126" s="55"/>
      <c r="BP126" s="55"/>
      <c r="BQ126" s="55"/>
      <c r="BR126" s="55"/>
      <c r="BS126" s="55"/>
      <c r="BT126" s="55"/>
      <c r="BU126" s="55"/>
      <c r="BV126" s="55"/>
      <c r="BW126" s="55"/>
      <c r="BX126" s="55"/>
      <c r="BY126" s="55"/>
      <c r="BZ126" s="55"/>
      <c r="CA126" s="55"/>
      <c r="CB126" s="55"/>
      <c r="CC126" s="55"/>
      <c r="CD126" s="55"/>
      <c r="CE126" s="55"/>
      <c r="CF126" s="55"/>
      <c r="CG126" s="55"/>
      <c r="CH126" s="55"/>
      <c r="CI126" s="55"/>
      <c r="CJ126" s="55"/>
      <c r="CK126" s="55"/>
      <c r="CL126" s="55"/>
      <c r="CM126" s="55"/>
      <c r="CN126" s="55"/>
      <c r="CO126" s="55"/>
      <c r="CP126" s="55"/>
      <c r="CQ126" s="55"/>
      <c r="CR126" s="55"/>
      <c r="CS126" s="55"/>
      <c r="CT126" s="55"/>
      <c r="CU126" s="55"/>
      <c r="CV126" s="55"/>
      <c r="CW126" s="55"/>
      <c r="CX126" s="55"/>
      <c r="CY126" s="55"/>
      <c r="CZ126" s="55"/>
      <c r="DA126" s="55"/>
      <c r="DB126" s="55"/>
      <c r="DC126" s="55"/>
      <c r="DD126" s="55"/>
      <c r="DE126" s="55"/>
      <c r="DF126" s="55"/>
      <c r="DG126" s="55"/>
      <c r="DH126" s="55"/>
      <c r="DI126" s="55"/>
      <c r="DJ126" s="55"/>
      <c r="DK126" s="55"/>
      <c r="DL126" s="55"/>
      <c r="DM126" s="55"/>
      <c r="DN126" s="55"/>
      <c r="DO126" s="55"/>
      <c r="DP126" s="55"/>
      <c r="DQ126" s="55"/>
      <c r="DR126" s="55"/>
      <c r="DS126" s="55"/>
      <c r="DT126" s="55" t="str">
        <f aca="false">AA126&amp;"-"&amp;AF126</f>
        <v>W86-W88</v>
      </c>
      <c r="DU126" s="55"/>
      <c r="DV126" s="55"/>
      <c r="DW126" s="57"/>
    </row>
    <row r="127" customFormat="false" ht="15.75" hidden="false" customHeight="true" outlineLevel="0" collapsed="false">
      <c r="A127" s="120" t="s">
        <v>200</v>
      </c>
      <c r="B127" s="120" t="s">
        <v>201</v>
      </c>
      <c r="C127" s="39"/>
      <c r="D127" s="195" t="str">
        <f aca="false">IF(AND(OR(AC127="",AD127="")),"W"&amp;AH127,IF(AC127&gt;AD127,AA127,IF(AC127&lt;AD127,AF127,IF(AND(AC127=AD127,AB127=AE127),"W"&amp;AH127,IF(AND(AC127=AD127,OR(AB127="",AE127="")),"W"&amp;AH127,IF(AND(AC127=AD127,AB127&gt;AE127),AA127,AF127))))))</f>
        <v>W96</v>
      </c>
      <c r="E127" s="55" t="n">
        <v>85</v>
      </c>
      <c r="F127" s="55" t="n">
        <v>87</v>
      </c>
      <c r="G127" s="55"/>
      <c r="H127" s="55"/>
      <c r="I127" s="55"/>
      <c r="J127" s="120" t="n">
        <v>96</v>
      </c>
      <c r="K127" s="120" t="n">
        <v>46210.875</v>
      </c>
      <c r="L127" s="120" t="s">
        <v>202</v>
      </c>
      <c r="M127" s="55" t="str">
        <f aca="false">+INDEX($D$101:$D$147,MATCH(E127,$AH$101:$AH$147,0))</f>
        <v>W85</v>
      </c>
      <c r="N127" s="55" t="str">
        <f aca="false">+INDEX($D$101:$D$147,MATCH(F127,$AH$101:$AH$147,0))</f>
        <v>W87</v>
      </c>
      <c r="O127" s="55"/>
      <c r="P127" s="55"/>
      <c r="Q127" s="55"/>
      <c r="R127" s="55"/>
      <c r="S127" s="55"/>
      <c r="T127" s="55"/>
      <c r="U127" s="55"/>
      <c r="V127" s="46"/>
      <c r="W127" s="249"/>
      <c r="X127" s="129" t="n">
        <f aca="false">Horarios!C127</f>
        <v>46210.9166666667</v>
      </c>
      <c r="Y127" s="130" t="n">
        <f aca="false">Horarios!C127</f>
        <v>46210.9166666667</v>
      </c>
      <c r="Z127" s="239" t="n">
        <f aca="false">AH127</f>
        <v>96</v>
      </c>
      <c r="AA127" s="240" t="str">
        <f aca="false">+INDEX($M$101:$M$147,MATCH(AH127,$J$101:$J$147,0))</f>
        <v>W85</v>
      </c>
      <c r="AB127" s="241"/>
      <c r="AC127" s="255"/>
      <c r="AD127" s="255"/>
      <c r="AE127" s="241"/>
      <c r="AF127" s="242" t="str">
        <f aca="false">+INDEX($N$101:$N$147,MATCH(AH127,$J$101:$J$147,0))</f>
        <v>W87</v>
      </c>
      <c r="AG127" s="217" t="n">
        <f aca="false">IF(D127="W"&amp;AH127,0,1)</f>
        <v>0</v>
      </c>
      <c r="AH127" s="84" t="n">
        <v>96</v>
      </c>
      <c r="AI127" s="111"/>
      <c r="AJ127" s="54"/>
      <c r="AK127" s="54"/>
      <c r="AL127" s="54"/>
      <c r="AM127" s="244"/>
      <c r="AN127" s="244"/>
      <c r="AO127" s="244"/>
      <c r="AP127" s="244"/>
      <c r="AQ127" s="244"/>
      <c r="AR127" s="244"/>
      <c r="AS127" s="244"/>
      <c r="AT127" s="244"/>
      <c r="AU127" s="85"/>
      <c r="AV127" s="85"/>
      <c r="AW127" s="244"/>
      <c r="AX127" s="244"/>
      <c r="AY127" s="146"/>
      <c r="AZ127" s="147"/>
      <c r="BA127" s="49"/>
      <c r="BB127" s="55"/>
      <c r="BC127" s="55"/>
      <c r="BD127" s="55"/>
      <c r="BE127" s="55"/>
      <c r="BF127" s="55"/>
      <c r="BG127" s="55"/>
      <c r="BH127" s="55"/>
      <c r="BI127" s="55"/>
      <c r="BJ127" s="55"/>
      <c r="BK127" s="55"/>
      <c r="BL127" s="55"/>
      <c r="BM127" s="55"/>
      <c r="BN127" s="55"/>
      <c r="BO127" s="55"/>
      <c r="BP127" s="55"/>
      <c r="BQ127" s="55"/>
      <c r="BR127" s="55"/>
      <c r="BS127" s="55"/>
      <c r="BT127" s="55"/>
      <c r="BU127" s="55"/>
      <c r="BV127" s="55"/>
      <c r="BW127" s="55"/>
      <c r="BX127" s="55"/>
      <c r="BY127" s="55"/>
      <c r="BZ127" s="55"/>
      <c r="CA127" s="55"/>
      <c r="CB127" s="55"/>
      <c r="CC127" s="55"/>
      <c r="CD127" s="55"/>
      <c r="CE127" s="55"/>
      <c r="CF127" s="55"/>
      <c r="CG127" s="55"/>
      <c r="CH127" s="55"/>
      <c r="CI127" s="55"/>
      <c r="CJ127" s="55"/>
      <c r="CK127" s="55"/>
      <c r="CL127" s="55"/>
      <c r="CM127" s="55"/>
      <c r="CN127" s="55"/>
      <c r="CO127" s="55"/>
      <c r="CP127" s="55"/>
      <c r="CQ127" s="55"/>
      <c r="CR127" s="55"/>
      <c r="CS127" s="55"/>
      <c r="CT127" s="55"/>
      <c r="CU127" s="55"/>
      <c r="CV127" s="55"/>
      <c r="CW127" s="55"/>
      <c r="CX127" s="55"/>
      <c r="CY127" s="55"/>
      <c r="CZ127" s="55"/>
      <c r="DA127" s="55"/>
      <c r="DB127" s="55"/>
      <c r="DC127" s="55"/>
      <c r="DD127" s="55"/>
      <c r="DE127" s="55"/>
      <c r="DF127" s="55"/>
      <c r="DG127" s="55"/>
      <c r="DH127" s="55"/>
      <c r="DI127" s="55"/>
      <c r="DJ127" s="55"/>
      <c r="DK127" s="55"/>
      <c r="DL127" s="55"/>
      <c r="DM127" s="55"/>
      <c r="DN127" s="55"/>
      <c r="DO127" s="55"/>
      <c r="DP127" s="55"/>
      <c r="DQ127" s="55"/>
      <c r="DR127" s="55"/>
      <c r="DS127" s="55"/>
      <c r="DT127" s="55" t="str">
        <f aca="false">AA127&amp;"-"&amp;AF127</f>
        <v>W85-W87</v>
      </c>
      <c r="DU127" s="55"/>
      <c r="DV127" s="55"/>
      <c r="DW127" s="57"/>
    </row>
    <row r="128" customFormat="false" ht="15.75" hidden="false" customHeight="true" outlineLevel="0" collapsed="false">
      <c r="A128" s="39"/>
      <c r="B128" s="39"/>
      <c r="C128" s="39"/>
      <c r="D128" s="195"/>
      <c r="E128" s="55"/>
      <c r="F128" s="55"/>
      <c r="G128" s="55"/>
      <c r="H128" s="55"/>
      <c r="I128" s="55"/>
      <c r="J128" s="55"/>
      <c r="K128" s="55"/>
      <c r="L128" s="55"/>
      <c r="M128" s="55"/>
      <c r="N128" s="55"/>
      <c r="O128" s="55"/>
      <c r="P128" s="55"/>
      <c r="Q128" s="55"/>
      <c r="R128" s="55"/>
      <c r="S128" s="55"/>
      <c r="T128" s="55"/>
      <c r="U128" s="55"/>
      <c r="V128" s="46"/>
      <c r="W128" s="146"/>
      <c r="X128" s="147"/>
      <c r="Y128" s="146"/>
      <c r="Z128" s="148"/>
      <c r="AA128" s="149"/>
      <c r="AB128" s="201"/>
      <c r="AC128" s="151"/>
      <c r="AD128" s="151"/>
      <c r="AE128" s="201"/>
      <c r="AF128" s="152"/>
      <c r="AG128" s="204"/>
      <c r="AH128" s="84"/>
      <c r="AI128" s="111"/>
      <c r="AJ128" s="54"/>
      <c r="AK128" s="54"/>
      <c r="AL128" s="54"/>
      <c r="AM128" s="244"/>
      <c r="AN128" s="244"/>
      <c r="AO128" s="244"/>
      <c r="AP128" s="244"/>
      <c r="AQ128" s="244"/>
      <c r="AR128" s="244"/>
      <c r="AS128" s="244"/>
      <c r="AT128" s="244"/>
      <c r="AU128" s="85"/>
      <c r="AV128" s="85"/>
      <c r="AW128" s="244"/>
      <c r="AX128" s="244"/>
      <c r="AY128" s="146"/>
      <c r="AZ128" s="147"/>
      <c r="BA128" s="49"/>
      <c r="BB128" s="55"/>
      <c r="BC128" s="55"/>
      <c r="BD128" s="55"/>
      <c r="BE128" s="55"/>
      <c r="BF128" s="55"/>
      <c r="BG128" s="55"/>
      <c r="BH128" s="55"/>
      <c r="BI128" s="55"/>
      <c r="BJ128" s="55"/>
      <c r="BK128" s="55"/>
      <c r="BL128" s="55"/>
      <c r="BM128" s="55"/>
      <c r="BN128" s="55"/>
      <c r="BO128" s="55"/>
      <c r="BP128" s="55"/>
      <c r="BQ128" s="55"/>
      <c r="BR128" s="55"/>
      <c r="BS128" s="55"/>
      <c r="BT128" s="55"/>
      <c r="BU128" s="55"/>
      <c r="BV128" s="55"/>
      <c r="BW128" s="55"/>
      <c r="BX128" s="55"/>
      <c r="BY128" s="55"/>
      <c r="BZ128" s="55"/>
      <c r="CA128" s="55"/>
      <c r="CB128" s="55"/>
      <c r="CC128" s="55"/>
      <c r="CD128" s="55"/>
      <c r="CE128" s="55"/>
      <c r="CF128" s="55"/>
      <c r="CG128" s="55"/>
      <c r="CH128" s="55"/>
      <c r="CI128" s="55"/>
      <c r="CJ128" s="55"/>
      <c r="CK128" s="55"/>
      <c r="CL128" s="55"/>
      <c r="CM128" s="55"/>
      <c r="CN128" s="55"/>
      <c r="CO128" s="55"/>
      <c r="CP128" s="55"/>
      <c r="CQ128" s="55"/>
      <c r="CR128" s="55"/>
      <c r="CS128" s="55"/>
      <c r="CT128" s="55"/>
      <c r="CU128" s="55"/>
      <c r="CV128" s="55"/>
      <c r="CW128" s="55"/>
      <c r="CX128" s="55"/>
      <c r="CY128" s="55"/>
      <c r="CZ128" s="55"/>
      <c r="DA128" s="55"/>
      <c r="DB128" s="55"/>
      <c r="DC128" s="55"/>
      <c r="DD128" s="55"/>
      <c r="DE128" s="55"/>
      <c r="DF128" s="55"/>
      <c r="DG128" s="55"/>
      <c r="DH128" s="55"/>
      <c r="DI128" s="55"/>
      <c r="DJ128" s="55"/>
      <c r="DK128" s="55"/>
      <c r="DL128" s="55"/>
      <c r="DM128" s="55"/>
      <c r="DN128" s="55"/>
      <c r="DO128" s="55"/>
      <c r="DP128" s="55"/>
      <c r="DQ128" s="55"/>
      <c r="DR128" s="55"/>
      <c r="DS128" s="55"/>
      <c r="DT128" s="55" t="str">
        <f aca="false">AA128&amp;"-"&amp;AF128</f>
        <v>-</v>
      </c>
      <c r="DU128" s="55"/>
      <c r="DV128" s="55"/>
      <c r="DW128" s="57"/>
    </row>
    <row r="129" customFormat="false" ht="15.75" hidden="false" customHeight="true" outlineLevel="0" collapsed="false">
      <c r="A129" s="39"/>
      <c r="B129" s="39"/>
      <c r="C129" s="39"/>
      <c r="D129" s="195"/>
      <c r="E129" s="55"/>
      <c r="F129" s="55"/>
      <c r="G129" s="55"/>
      <c r="H129" s="55"/>
      <c r="I129" s="55"/>
      <c r="J129" s="55"/>
      <c r="K129" s="55"/>
      <c r="L129" s="55"/>
      <c r="M129" s="55"/>
      <c r="N129" s="55"/>
      <c r="O129" s="55"/>
      <c r="P129" s="55"/>
      <c r="Q129" s="55"/>
      <c r="R129" s="55"/>
      <c r="S129" s="55"/>
      <c r="T129" s="55"/>
      <c r="U129" s="55"/>
      <c r="V129" s="46"/>
      <c r="W129" s="203" t="str">
        <f aca="false">Idiomas!D27</f>
        <v>Cuartos de final</v>
      </c>
      <c r="X129" s="203"/>
      <c r="Y129" s="203"/>
      <c r="Z129" s="203"/>
      <c r="AA129" s="203"/>
      <c r="AB129" s="203"/>
      <c r="AC129" s="203"/>
      <c r="AD129" s="203"/>
      <c r="AE129" s="203"/>
      <c r="AF129" s="203"/>
      <c r="AG129" s="159"/>
      <c r="AH129" s="85"/>
      <c r="AI129" s="111"/>
      <c r="AJ129" s="54"/>
      <c r="AK129" s="54"/>
      <c r="AL129" s="54"/>
      <c r="AM129" s="244"/>
      <c r="AN129" s="244"/>
      <c r="AO129" s="244"/>
      <c r="AP129" s="244"/>
      <c r="AQ129" s="244"/>
      <c r="AR129" s="244"/>
      <c r="AS129" s="244"/>
      <c r="AT129" s="244"/>
      <c r="AU129" s="85"/>
      <c r="AV129" s="85"/>
      <c r="AW129" s="244"/>
      <c r="AX129" s="244"/>
      <c r="AY129" s="146"/>
      <c r="AZ129" s="147"/>
      <c r="BA129" s="49"/>
      <c r="BB129" s="55"/>
      <c r="BC129" s="55"/>
      <c r="BD129" s="55"/>
      <c r="BE129" s="55"/>
      <c r="BF129" s="55"/>
      <c r="BG129" s="55"/>
      <c r="BH129" s="55"/>
      <c r="BI129" s="55"/>
      <c r="BJ129" s="55"/>
      <c r="BK129" s="55"/>
      <c r="BL129" s="55"/>
      <c r="BM129" s="55"/>
      <c r="BN129" s="55"/>
      <c r="BO129" s="55"/>
      <c r="BP129" s="55"/>
      <c r="BQ129" s="55"/>
      <c r="BR129" s="55"/>
      <c r="BS129" s="55"/>
      <c r="BT129" s="55"/>
      <c r="BU129" s="55"/>
      <c r="BV129" s="55"/>
      <c r="BW129" s="55"/>
      <c r="BX129" s="55"/>
      <c r="BY129" s="55"/>
      <c r="BZ129" s="55"/>
      <c r="CA129" s="55"/>
      <c r="CB129" s="55"/>
      <c r="CC129" s="55"/>
      <c r="CD129" s="55"/>
      <c r="CE129" s="55"/>
      <c r="CF129" s="55"/>
      <c r="CG129" s="55"/>
      <c r="CH129" s="55"/>
      <c r="CI129" s="55"/>
      <c r="CJ129" s="55"/>
      <c r="CK129" s="55"/>
      <c r="CL129" s="55"/>
      <c r="CM129" s="55"/>
      <c r="CN129" s="55"/>
      <c r="CO129" s="55"/>
      <c r="CP129" s="55"/>
      <c r="CQ129" s="55"/>
      <c r="CR129" s="55"/>
      <c r="CS129" s="55"/>
      <c r="CT129" s="55"/>
      <c r="CU129" s="55"/>
      <c r="CV129" s="55"/>
      <c r="CW129" s="55"/>
      <c r="CX129" s="55"/>
      <c r="CY129" s="55"/>
      <c r="CZ129" s="55"/>
      <c r="DA129" s="55"/>
      <c r="DB129" s="55"/>
      <c r="DC129" s="55"/>
      <c r="DD129" s="55"/>
      <c r="DE129" s="55"/>
      <c r="DF129" s="55"/>
      <c r="DG129" s="55"/>
      <c r="DH129" s="55"/>
      <c r="DI129" s="55"/>
      <c r="DJ129" s="55"/>
      <c r="DK129" s="55"/>
      <c r="DL129" s="55"/>
      <c r="DM129" s="55"/>
      <c r="DN129" s="55"/>
      <c r="DO129" s="55"/>
      <c r="DP129" s="55"/>
      <c r="DQ129" s="55"/>
      <c r="DR129" s="55"/>
      <c r="DS129" s="55"/>
      <c r="DT129" s="55" t="str">
        <f aca="false">AA129&amp;"-"&amp;AF129</f>
        <v>-</v>
      </c>
      <c r="DU129" s="55"/>
      <c r="DV129" s="55"/>
      <c r="DW129" s="57"/>
    </row>
    <row r="130" customFormat="false" ht="15.75" hidden="false" customHeight="true" outlineLevel="0" collapsed="false">
      <c r="A130" s="39"/>
      <c r="B130" s="39"/>
      <c r="C130" s="39"/>
      <c r="D130" s="195"/>
      <c r="E130" s="55"/>
      <c r="F130" s="55"/>
      <c r="G130" s="55"/>
      <c r="H130" s="55"/>
      <c r="I130" s="55"/>
      <c r="J130" s="55"/>
      <c r="K130" s="55"/>
      <c r="L130" s="55"/>
      <c r="M130" s="55"/>
      <c r="N130" s="55"/>
      <c r="O130" s="55"/>
      <c r="P130" s="55"/>
      <c r="Q130" s="55"/>
      <c r="R130" s="55"/>
      <c r="S130" s="55"/>
      <c r="T130" s="55"/>
      <c r="U130" s="55"/>
      <c r="V130" s="46"/>
      <c r="W130" s="59"/>
      <c r="X130" s="60" t="str">
        <f aca="false">X3</f>
        <v>Fecha</v>
      </c>
      <c r="Y130" s="60" t="str">
        <f aca="false">Y3</f>
        <v>Hora</v>
      </c>
      <c r="Z130" s="197"/>
      <c r="AA130" s="198" t="str">
        <f aca="false">AA3</f>
        <v>Casa</v>
      </c>
      <c r="AB130" s="197" t="s">
        <v>145</v>
      </c>
      <c r="AC130" s="60" t="str">
        <f aca="false">AC3</f>
        <v>Gol</v>
      </c>
      <c r="AD130" s="60" t="str">
        <f aca="false">AD3</f>
        <v>Gol</v>
      </c>
      <c r="AE130" s="197" t="s">
        <v>145</v>
      </c>
      <c r="AF130" s="199" t="str">
        <f aca="false">AF3</f>
        <v>Fuera</v>
      </c>
      <c r="AG130" s="159"/>
      <c r="AH130" s="85"/>
      <c r="AI130" s="111"/>
      <c r="AJ130" s="54"/>
      <c r="AK130" s="54"/>
      <c r="AL130" s="54"/>
      <c r="AM130" s="244"/>
      <c r="AN130" s="244"/>
      <c r="AO130" s="244"/>
      <c r="AP130" s="244"/>
      <c r="AQ130" s="244"/>
      <c r="AR130" s="244"/>
      <c r="AS130" s="244"/>
      <c r="AT130" s="244"/>
      <c r="AU130" s="85"/>
      <c r="AV130" s="85"/>
      <c r="AW130" s="244"/>
      <c r="AX130" s="244"/>
      <c r="AY130" s="146"/>
      <c r="AZ130" s="147"/>
      <c r="BA130" s="49"/>
      <c r="BB130" s="55"/>
      <c r="BC130" s="55"/>
      <c r="BD130" s="55"/>
      <c r="BE130" s="55"/>
      <c r="BF130" s="55"/>
      <c r="BG130" s="55"/>
      <c r="BH130" s="55"/>
      <c r="BI130" s="55"/>
      <c r="BJ130" s="55"/>
      <c r="BK130" s="55"/>
      <c r="BL130" s="55"/>
      <c r="BM130" s="55"/>
      <c r="BN130" s="55"/>
      <c r="BO130" s="55"/>
      <c r="BP130" s="55"/>
      <c r="BQ130" s="55"/>
      <c r="BR130" s="55"/>
      <c r="BS130" s="55"/>
      <c r="BT130" s="55"/>
      <c r="BU130" s="55"/>
      <c r="BV130" s="55"/>
      <c r="BW130" s="55"/>
      <c r="BX130" s="55"/>
      <c r="BY130" s="55"/>
      <c r="BZ130" s="55"/>
      <c r="CA130" s="55"/>
      <c r="CB130" s="55"/>
      <c r="CC130" s="55"/>
      <c r="CD130" s="55"/>
      <c r="CE130" s="55"/>
      <c r="CF130" s="55"/>
      <c r="CG130" s="55"/>
      <c r="CH130" s="55"/>
      <c r="CI130" s="55"/>
      <c r="CJ130" s="55"/>
      <c r="CK130" s="55"/>
      <c r="CL130" s="55"/>
      <c r="CM130" s="55"/>
      <c r="CN130" s="55"/>
      <c r="CO130" s="55"/>
      <c r="CP130" s="55"/>
      <c r="CQ130" s="55"/>
      <c r="CR130" s="55"/>
      <c r="CS130" s="55"/>
      <c r="CT130" s="55"/>
      <c r="CU130" s="55"/>
      <c r="CV130" s="55"/>
      <c r="CW130" s="55"/>
      <c r="CX130" s="55"/>
      <c r="CY130" s="55"/>
      <c r="CZ130" s="55"/>
      <c r="DA130" s="55"/>
      <c r="DB130" s="55"/>
      <c r="DC130" s="55"/>
      <c r="DD130" s="55"/>
      <c r="DE130" s="55"/>
      <c r="DF130" s="55"/>
      <c r="DG130" s="55"/>
      <c r="DH130" s="55"/>
      <c r="DI130" s="55"/>
      <c r="DJ130" s="55"/>
      <c r="DK130" s="55"/>
      <c r="DL130" s="55"/>
      <c r="DM130" s="55"/>
      <c r="DN130" s="55"/>
      <c r="DO130" s="55"/>
      <c r="DP130" s="55"/>
      <c r="DQ130" s="55"/>
      <c r="DR130" s="55"/>
      <c r="DS130" s="55"/>
      <c r="DT130" s="55" t="str">
        <f aca="false">AA130&amp;"-"&amp;AF130</f>
        <v>Casa-Fuera</v>
      </c>
      <c r="DU130" s="55"/>
      <c r="DV130" s="55"/>
      <c r="DW130" s="57"/>
    </row>
    <row r="131" customFormat="false" ht="15.75" hidden="false" customHeight="true" outlineLevel="0" collapsed="false">
      <c r="A131" s="120" t="s">
        <v>203</v>
      </c>
      <c r="B131" s="120" t="s">
        <v>204</v>
      </c>
      <c r="C131" s="39"/>
      <c r="D131" s="195" t="str">
        <f aca="false">IF(AND(OR(AC131="",AD131="")),"W"&amp;AH131,IF(AC131&gt;AD131,AA131,IF(AC131&lt;AD131,AF131,IF(AND(AC131=AD131,AB131=AE131),"W"&amp;AH131,IF(AND(AC131=AD131,OR(AB131="",AE131="")),"W"&amp;AH131,IF(AND(AC131=AD131,AB131&gt;AE131),AA131,AF131))))))</f>
        <v>W97</v>
      </c>
      <c r="E131" s="55" t="n">
        <v>89</v>
      </c>
      <c r="F131" s="55" t="n">
        <v>90</v>
      </c>
      <c r="G131" s="55"/>
      <c r="H131" s="55"/>
      <c r="I131" s="55"/>
      <c r="J131" s="120" t="n">
        <v>97</v>
      </c>
      <c r="K131" s="120" t="n">
        <v>46212.75</v>
      </c>
      <c r="L131" s="120" t="s">
        <v>205</v>
      </c>
      <c r="M131" s="55" t="str">
        <f aca="false">+INDEX($D$101:$D$147,MATCH(E131,$AH$101:$AH$147,0))</f>
        <v>W89</v>
      </c>
      <c r="N131" s="55" t="str">
        <f aca="false">+INDEX($D$101:$D$147,MATCH(F131,$AH$101:$AH$147,0))</f>
        <v>W90</v>
      </c>
      <c r="O131" s="55"/>
      <c r="P131" s="55"/>
      <c r="Q131" s="55"/>
      <c r="R131" s="55"/>
      <c r="S131" s="55"/>
      <c r="T131" s="55"/>
      <c r="U131" s="55"/>
      <c r="V131" s="46"/>
      <c r="W131" s="256" t="s">
        <v>206</v>
      </c>
      <c r="X131" s="74" t="n">
        <f aca="false">Horarios!C131</f>
        <v>46212.9166666667</v>
      </c>
      <c r="Y131" s="75" t="n">
        <f aca="false">Horarios!C131</f>
        <v>46212.9166666667</v>
      </c>
      <c r="Z131" s="257" t="n">
        <f aca="false">AH131</f>
        <v>97</v>
      </c>
      <c r="AA131" s="213" t="str">
        <f aca="false">+INDEX($M$101:$M$147,MATCH(AH131,$J$101:$J$147,0))</f>
        <v>W89</v>
      </c>
      <c r="AB131" s="253"/>
      <c r="AC131" s="250"/>
      <c r="AD131" s="250"/>
      <c r="AE131" s="215"/>
      <c r="AF131" s="216" t="str">
        <f aca="false">+INDEX($N$101:$N$147,MATCH(AH131,$J$101:$J$147,0))</f>
        <v>W90</v>
      </c>
      <c r="AG131" s="217" t="n">
        <f aca="false">IF(D131="W"&amp;AH131,0,1)</f>
        <v>0</v>
      </c>
      <c r="AH131" s="258" t="n">
        <v>97</v>
      </c>
      <c r="AI131" s="111"/>
      <c r="AJ131" s="54"/>
      <c r="AK131" s="54"/>
      <c r="AL131" s="54"/>
      <c r="AM131" s="244"/>
      <c r="AN131" s="244"/>
      <c r="AO131" s="244"/>
      <c r="AP131" s="244"/>
      <c r="AQ131" s="244"/>
      <c r="AR131" s="244"/>
      <c r="AS131" s="244"/>
      <c r="AT131" s="244"/>
      <c r="AU131" s="85"/>
      <c r="AV131" s="85"/>
      <c r="AW131" s="244"/>
      <c r="AX131" s="244"/>
      <c r="AY131" s="146"/>
      <c r="AZ131" s="147"/>
      <c r="BA131" s="248"/>
      <c r="BB131" s="55"/>
      <c r="BC131" s="195"/>
      <c r="BD131" s="55"/>
      <c r="BE131" s="55"/>
      <c r="BF131" s="55"/>
      <c r="BG131" s="55"/>
      <c r="BH131" s="55"/>
      <c r="BI131" s="55"/>
      <c r="BJ131" s="55"/>
      <c r="BK131" s="55"/>
      <c r="BL131" s="55"/>
      <c r="BM131" s="55"/>
      <c r="BN131" s="55"/>
      <c r="BO131" s="55"/>
      <c r="BP131" s="55"/>
      <c r="BQ131" s="55"/>
      <c r="BR131" s="55"/>
      <c r="BS131" s="55"/>
      <c r="BT131" s="55"/>
      <c r="BU131" s="55"/>
      <c r="BV131" s="55"/>
      <c r="BW131" s="55"/>
      <c r="BX131" s="55"/>
      <c r="BY131" s="55"/>
      <c r="BZ131" s="55"/>
      <c r="CA131" s="55"/>
      <c r="CB131" s="55"/>
      <c r="CC131" s="55"/>
      <c r="CD131" s="55"/>
      <c r="CE131" s="55"/>
      <c r="CF131" s="55"/>
      <c r="CG131" s="55"/>
      <c r="CH131" s="55"/>
      <c r="CI131" s="55"/>
      <c r="CJ131" s="55"/>
      <c r="CK131" s="55"/>
      <c r="CL131" s="55"/>
      <c r="CM131" s="55"/>
      <c r="CN131" s="55"/>
      <c r="CO131" s="55"/>
      <c r="CP131" s="55"/>
      <c r="CQ131" s="55"/>
      <c r="CR131" s="55"/>
      <c r="CS131" s="55"/>
      <c r="CT131" s="55"/>
      <c r="CU131" s="55"/>
      <c r="CV131" s="55"/>
      <c r="CW131" s="55"/>
      <c r="CX131" s="55"/>
      <c r="CY131" s="55"/>
      <c r="CZ131" s="55"/>
      <c r="DA131" s="55"/>
      <c r="DB131" s="55"/>
      <c r="DC131" s="55"/>
      <c r="DD131" s="55"/>
      <c r="DE131" s="55"/>
      <c r="DF131" s="55"/>
      <c r="DG131" s="55"/>
      <c r="DH131" s="55"/>
      <c r="DI131" s="55"/>
      <c r="DJ131" s="55"/>
      <c r="DK131" s="55"/>
      <c r="DL131" s="55"/>
      <c r="DM131" s="55"/>
      <c r="DN131" s="55"/>
      <c r="DO131" s="55"/>
      <c r="DP131" s="55"/>
      <c r="DQ131" s="55"/>
      <c r="DR131" s="55"/>
      <c r="DS131" s="55"/>
      <c r="DT131" s="55" t="str">
        <f aca="false">AA131&amp;"-"&amp;AF131</f>
        <v>W89-W90</v>
      </c>
      <c r="DU131" s="55"/>
      <c r="DV131" s="55"/>
      <c r="DW131" s="57"/>
    </row>
    <row r="132" customFormat="false" ht="15.75" hidden="false" customHeight="true" outlineLevel="0" collapsed="false">
      <c r="A132" s="120" t="s">
        <v>207</v>
      </c>
      <c r="B132" s="120" t="s">
        <v>208</v>
      </c>
      <c r="C132" s="39"/>
      <c r="D132" s="195" t="str">
        <f aca="false">IF(AND(OR(AC132="",AD132="")),"W"&amp;AH132,IF(AC132&gt;AD132,AA132,IF(AC132&lt;AD132,AF132,IF(AND(AC132=AD132,AB132=AE132),"W"&amp;AH132,IF(AND(AC132=AD132,OR(AB132="",AE132="")),"W"&amp;AH132,IF(AND(AC132=AD132,AB132&gt;AE132),AA132,AF132))))))</f>
        <v>W98</v>
      </c>
      <c r="E132" s="55" t="n">
        <v>93</v>
      </c>
      <c r="F132" s="55" t="n">
        <v>94</v>
      </c>
      <c r="G132" s="55"/>
      <c r="H132" s="55"/>
      <c r="I132" s="55"/>
      <c r="J132" s="120" t="n">
        <v>98</v>
      </c>
      <c r="K132" s="120" t="n">
        <v>46213.875</v>
      </c>
      <c r="L132" s="120" t="s">
        <v>209</v>
      </c>
      <c r="M132" s="55" t="str">
        <f aca="false">+INDEX($D$101:$D$147,MATCH(E132,$AH$101:$AH$147,0))</f>
        <v>W93</v>
      </c>
      <c r="N132" s="55" t="str">
        <f aca="false">+INDEX($D$101:$D$147,MATCH(F132,$AH$101:$AH$147,0))</f>
        <v>W94</v>
      </c>
      <c r="O132" s="55"/>
      <c r="P132" s="55"/>
      <c r="Q132" s="55"/>
      <c r="R132" s="55"/>
      <c r="S132" s="55"/>
      <c r="T132" s="55"/>
      <c r="U132" s="55"/>
      <c r="V132" s="46"/>
      <c r="W132" s="256"/>
      <c r="X132" s="74" t="n">
        <f aca="false">Horarios!C132</f>
        <v>46213.875</v>
      </c>
      <c r="Y132" s="75" t="n">
        <f aca="false">Horarios!C132</f>
        <v>46213.875</v>
      </c>
      <c r="Z132" s="257" t="n">
        <f aca="false">AH132</f>
        <v>98</v>
      </c>
      <c r="AA132" s="213" t="str">
        <f aca="false">+INDEX($M$101:$M$147,MATCH(AH132,$J$101:$J$147,0))</f>
        <v>W93</v>
      </c>
      <c r="AB132" s="214"/>
      <c r="AC132" s="254"/>
      <c r="AD132" s="254"/>
      <c r="AE132" s="214"/>
      <c r="AF132" s="216" t="str">
        <f aca="false">+INDEX($N$101:$N$147,MATCH(AH132,$J$101:$J$147,0))</f>
        <v>W94</v>
      </c>
      <c r="AG132" s="217" t="n">
        <f aca="false">IF(D132="W"&amp;AH132,0,1)</f>
        <v>0</v>
      </c>
      <c r="AH132" s="258" t="n">
        <v>98</v>
      </c>
      <c r="AI132" s="111"/>
      <c r="AJ132" s="54"/>
      <c r="AK132" s="54"/>
      <c r="AL132" s="54"/>
      <c r="AM132" s="244"/>
      <c r="AN132" s="244"/>
      <c r="AO132" s="244"/>
      <c r="AP132" s="244"/>
      <c r="AQ132" s="244"/>
      <c r="AR132" s="244"/>
      <c r="AS132" s="244"/>
      <c r="AT132" s="244"/>
      <c r="AU132" s="85"/>
      <c r="AV132" s="85"/>
      <c r="AW132" s="244"/>
      <c r="AX132" s="244"/>
      <c r="AY132" s="146"/>
      <c r="AZ132" s="147"/>
      <c r="BA132" s="248"/>
      <c r="BB132" s="55"/>
      <c r="BC132" s="195"/>
      <c r="BD132" s="55"/>
      <c r="BE132" s="55"/>
      <c r="BF132" s="55"/>
      <c r="BG132" s="55"/>
      <c r="BH132" s="55"/>
      <c r="BI132" s="55"/>
      <c r="BJ132" s="55"/>
      <c r="BK132" s="55"/>
      <c r="BL132" s="55"/>
      <c r="BM132" s="55"/>
      <c r="BN132" s="55"/>
      <c r="BO132" s="55"/>
      <c r="BP132" s="55"/>
      <c r="BQ132" s="55"/>
      <c r="BR132" s="55"/>
      <c r="BS132" s="55"/>
      <c r="BT132" s="55"/>
      <c r="BU132" s="55"/>
      <c r="BV132" s="55"/>
      <c r="BW132" s="55"/>
      <c r="BX132" s="55"/>
      <c r="BY132" s="55"/>
      <c r="BZ132" s="55"/>
      <c r="CA132" s="55"/>
      <c r="CB132" s="55"/>
      <c r="CC132" s="55"/>
      <c r="CD132" s="55"/>
      <c r="CE132" s="55"/>
      <c r="CF132" s="55"/>
      <c r="CG132" s="55"/>
      <c r="CH132" s="55"/>
      <c r="CI132" s="55"/>
      <c r="CJ132" s="55"/>
      <c r="CK132" s="55"/>
      <c r="CL132" s="55"/>
      <c r="CM132" s="55"/>
      <c r="CN132" s="55"/>
      <c r="CO132" s="55"/>
      <c r="CP132" s="55"/>
      <c r="CQ132" s="55"/>
      <c r="CR132" s="55"/>
      <c r="CS132" s="55"/>
      <c r="CT132" s="55"/>
      <c r="CU132" s="55"/>
      <c r="CV132" s="55"/>
      <c r="CW132" s="55"/>
      <c r="CX132" s="55"/>
      <c r="CY132" s="55"/>
      <c r="CZ132" s="55"/>
      <c r="DA132" s="55"/>
      <c r="DB132" s="55"/>
      <c r="DC132" s="55"/>
      <c r="DD132" s="55"/>
      <c r="DE132" s="55"/>
      <c r="DF132" s="55"/>
      <c r="DG132" s="55"/>
      <c r="DH132" s="55"/>
      <c r="DI132" s="55"/>
      <c r="DJ132" s="55"/>
      <c r="DK132" s="55"/>
      <c r="DL132" s="55"/>
      <c r="DM132" s="55"/>
      <c r="DN132" s="55"/>
      <c r="DO132" s="55"/>
      <c r="DP132" s="55"/>
      <c r="DQ132" s="55"/>
      <c r="DR132" s="55"/>
      <c r="DS132" s="55"/>
      <c r="DT132" s="55" t="str">
        <f aca="false">AA132&amp;"-"&amp;AF132</f>
        <v>W93-W94</v>
      </c>
      <c r="DU132" s="55"/>
      <c r="DV132" s="55"/>
      <c r="DW132" s="57"/>
    </row>
    <row r="133" customFormat="false" ht="15.75" hidden="false" customHeight="true" outlineLevel="0" collapsed="false">
      <c r="A133" s="120" t="s">
        <v>210</v>
      </c>
      <c r="B133" s="120" t="s">
        <v>211</v>
      </c>
      <c r="C133" s="39"/>
      <c r="D133" s="195" t="str">
        <f aca="false">IF(AND(OR(AC133="",AD133="")),"W"&amp;AH133,IF(AC133&gt;AD133,AA133,IF(AC133&lt;AD133,AF133,IF(AND(AC133=AD133,AB133=AE133),"W"&amp;AH133,IF(AND(AC133=AD133,OR(AB133="",AE133="")),"W"&amp;AH133,IF(AND(AC133=AD133,AB133&gt;AE133),AA133,AF133))))))</f>
        <v>W99</v>
      </c>
      <c r="E133" s="55" t="n">
        <v>91</v>
      </c>
      <c r="F133" s="55" t="n">
        <v>92</v>
      </c>
      <c r="G133" s="55"/>
      <c r="H133" s="55"/>
      <c r="I133" s="55"/>
      <c r="J133" s="120" t="n">
        <v>99</v>
      </c>
      <c r="K133" s="120" t="n">
        <v>46214.75</v>
      </c>
      <c r="L133" s="120" t="s">
        <v>212</v>
      </c>
      <c r="M133" s="55" t="str">
        <f aca="false">+INDEX($D$101:$D$147,MATCH(E133,$AH$101:$AH$147,0))</f>
        <v>W91</v>
      </c>
      <c r="N133" s="55" t="str">
        <f aca="false">+INDEX($D$101:$D$147,MATCH(F133,$AH$101:$AH$147,0))</f>
        <v>W92</v>
      </c>
      <c r="O133" s="55"/>
      <c r="P133" s="55"/>
      <c r="Q133" s="55"/>
      <c r="R133" s="55"/>
      <c r="S133" s="55"/>
      <c r="T133" s="55"/>
      <c r="U133" s="55"/>
      <c r="V133" s="46"/>
      <c r="W133" s="256"/>
      <c r="X133" s="74" t="n">
        <f aca="false">Horarios!C133</f>
        <v>46214.9583333333</v>
      </c>
      <c r="Y133" s="75" t="n">
        <f aca="false">Horarios!C133</f>
        <v>46214.9583333333</v>
      </c>
      <c r="Z133" s="257" t="n">
        <f aca="false">AH133</f>
        <v>99</v>
      </c>
      <c r="AA133" s="213" t="str">
        <f aca="false">+INDEX($M$101:$M$147,MATCH(AH133,$J$101:$J$147,0))</f>
        <v>W91</v>
      </c>
      <c r="AB133" s="214"/>
      <c r="AC133" s="254"/>
      <c r="AD133" s="254"/>
      <c r="AE133" s="214"/>
      <c r="AF133" s="216" t="str">
        <f aca="false">+INDEX($N$101:$N$147,MATCH(AH133,$J$101:$J$147,0))</f>
        <v>W92</v>
      </c>
      <c r="AG133" s="217" t="n">
        <f aca="false">IF(D133="W"&amp;AH133,0,1)</f>
        <v>0</v>
      </c>
      <c r="AH133" s="258" t="n">
        <v>99</v>
      </c>
      <c r="AI133" s="111"/>
      <c r="AJ133" s="54"/>
      <c r="AK133" s="54"/>
      <c r="AL133" s="54"/>
      <c r="AM133" s="244"/>
      <c r="AN133" s="244"/>
      <c r="AO133" s="244"/>
      <c r="AP133" s="244"/>
      <c r="AQ133" s="244"/>
      <c r="AR133" s="244"/>
      <c r="AS133" s="244"/>
      <c r="AT133" s="244"/>
      <c r="AU133" s="85"/>
      <c r="AV133" s="85"/>
      <c r="AW133" s="244"/>
      <c r="AX133" s="244"/>
      <c r="AY133" s="146"/>
      <c r="AZ133" s="147"/>
      <c r="BA133" s="248"/>
      <c r="BB133" s="55"/>
      <c r="BC133" s="195"/>
      <c r="BD133" s="55"/>
      <c r="BE133" s="55"/>
      <c r="BF133" s="55"/>
      <c r="BG133" s="55"/>
      <c r="BH133" s="55"/>
      <c r="BI133" s="55"/>
      <c r="BJ133" s="55"/>
      <c r="BK133" s="55"/>
      <c r="BL133" s="55"/>
      <c r="BM133" s="55"/>
      <c r="BN133" s="55"/>
      <c r="BO133" s="55"/>
      <c r="BP133" s="55"/>
      <c r="BQ133" s="55"/>
      <c r="BR133" s="55"/>
      <c r="BS133" s="55"/>
      <c r="BT133" s="55"/>
      <c r="BU133" s="55"/>
      <c r="BV133" s="55"/>
      <c r="BW133" s="55"/>
      <c r="BX133" s="55"/>
      <c r="BY133" s="55"/>
      <c r="BZ133" s="55"/>
      <c r="CA133" s="55"/>
      <c r="CB133" s="55"/>
      <c r="CC133" s="55"/>
      <c r="CD133" s="55"/>
      <c r="CE133" s="55"/>
      <c r="CF133" s="55"/>
      <c r="CG133" s="55"/>
      <c r="CH133" s="55"/>
      <c r="CI133" s="55"/>
      <c r="CJ133" s="55"/>
      <c r="CK133" s="55"/>
      <c r="CL133" s="55"/>
      <c r="CM133" s="55"/>
      <c r="CN133" s="55"/>
      <c r="CO133" s="55"/>
      <c r="CP133" s="55"/>
      <c r="CQ133" s="55"/>
      <c r="CR133" s="55"/>
      <c r="CS133" s="55"/>
      <c r="CT133" s="55"/>
      <c r="CU133" s="55"/>
      <c r="CV133" s="55"/>
      <c r="CW133" s="55"/>
      <c r="CX133" s="55"/>
      <c r="CY133" s="55"/>
      <c r="CZ133" s="55"/>
      <c r="DA133" s="55"/>
      <c r="DB133" s="55"/>
      <c r="DC133" s="55"/>
      <c r="DD133" s="55"/>
      <c r="DE133" s="55"/>
      <c r="DF133" s="55"/>
      <c r="DG133" s="55"/>
      <c r="DH133" s="55"/>
      <c r="DI133" s="55"/>
      <c r="DJ133" s="55"/>
      <c r="DK133" s="55"/>
      <c r="DL133" s="55"/>
      <c r="DM133" s="55"/>
      <c r="DN133" s="55"/>
      <c r="DO133" s="55"/>
      <c r="DP133" s="55"/>
      <c r="DQ133" s="55"/>
      <c r="DR133" s="55"/>
      <c r="DS133" s="55"/>
      <c r="DT133" s="55" t="str">
        <f aca="false">AA133&amp;"-"&amp;AF133</f>
        <v>W91-W92</v>
      </c>
      <c r="DU133" s="55"/>
      <c r="DV133" s="55"/>
      <c r="DW133" s="57"/>
    </row>
    <row r="134" customFormat="false" ht="15.75" hidden="false" customHeight="true" outlineLevel="0" collapsed="false">
      <c r="A134" s="120" t="s">
        <v>213</v>
      </c>
      <c r="B134" s="120" t="s">
        <v>214</v>
      </c>
      <c r="C134" s="39"/>
      <c r="D134" s="195" t="str">
        <f aca="false">IF(AND(OR(AC134="",AD134="")),"W"&amp;AH134,IF(AC134&gt;AD134,AA134,IF(AC134&lt;AD134,AF134,IF(AND(AC134=AD134,AB134=AE134),"W"&amp;AH134,IF(AND(AC134=AD134,OR(AB134="",AE134="")),"W"&amp;AH134,IF(AND(AC134=AD134,AB134&gt;AE134),AA134,AF134))))))</f>
        <v>W100</v>
      </c>
      <c r="E134" s="55" t="n">
        <v>95</v>
      </c>
      <c r="F134" s="55" t="n">
        <v>96</v>
      </c>
      <c r="G134" s="55"/>
      <c r="H134" s="55"/>
      <c r="I134" s="55"/>
      <c r="J134" s="120" t="n">
        <v>100</v>
      </c>
      <c r="K134" s="120" t="n">
        <v>46214.875</v>
      </c>
      <c r="L134" s="120" t="s">
        <v>215</v>
      </c>
      <c r="M134" s="55" t="str">
        <f aca="false">+INDEX($D$101:$D$147,MATCH(E134,$AH$101:$AH$147,0))</f>
        <v>W95</v>
      </c>
      <c r="N134" s="55" t="str">
        <f aca="false">+INDEX($D$101:$D$147,MATCH(F134,$AH$101:$AH$147,0))</f>
        <v>W96</v>
      </c>
      <c r="O134" s="55"/>
      <c r="P134" s="55"/>
      <c r="Q134" s="55"/>
      <c r="R134" s="55"/>
      <c r="S134" s="55"/>
      <c r="T134" s="55"/>
      <c r="U134" s="55"/>
      <c r="V134" s="46"/>
      <c r="W134" s="256"/>
      <c r="X134" s="129" t="n">
        <f aca="false">Horarios!C134</f>
        <v>46215.125</v>
      </c>
      <c r="Y134" s="130" t="n">
        <f aca="false">Horarios!C134</f>
        <v>46215.125</v>
      </c>
      <c r="Z134" s="259" t="n">
        <f aca="false">AH134</f>
        <v>100</v>
      </c>
      <c r="AA134" s="240" t="str">
        <f aca="false">+INDEX($M$101:$M$147,MATCH(AH134,$J$101:$J$147,0))</f>
        <v>W95</v>
      </c>
      <c r="AB134" s="241"/>
      <c r="AC134" s="255"/>
      <c r="AD134" s="255"/>
      <c r="AE134" s="241"/>
      <c r="AF134" s="242" t="str">
        <f aca="false">+INDEX($N$101:$N$147,MATCH(AH134,$J$101:$J$147,0))</f>
        <v>W96</v>
      </c>
      <c r="AG134" s="217" t="n">
        <f aca="false">IF(D134="W"&amp;AH134,0,1)</f>
        <v>0</v>
      </c>
      <c r="AH134" s="258" t="n">
        <v>100</v>
      </c>
      <c r="AI134" s="111"/>
      <c r="AJ134" s="54"/>
      <c r="AK134" s="54"/>
      <c r="AL134" s="54"/>
      <c r="AM134" s="244"/>
      <c r="AN134" s="244"/>
      <c r="AO134" s="244"/>
      <c r="AP134" s="244"/>
      <c r="AQ134" s="244"/>
      <c r="AR134" s="244"/>
      <c r="AS134" s="244"/>
      <c r="AT134" s="244"/>
      <c r="AU134" s="85"/>
      <c r="AV134" s="85"/>
      <c r="AW134" s="244"/>
      <c r="AX134" s="244"/>
      <c r="AY134" s="146"/>
      <c r="AZ134" s="147"/>
      <c r="BA134" s="248"/>
      <c r="BB134" s="55"/>
      <c r="BC134" s="195"/>
      <c r="BD134" s="55"/>
      <c r="BE134" s="55"/>
      <c r="BF134" s="55"/>
      <c r="BG134" s="55"/>
      <c r="BH134" s="55"/>
      <c r="BI134" s="55"/>
      <c r="BJ134" s="55"/>
      <c r="BK134" s="55"/>
      <c r="BL134" s="55"/>
      <c r="BM134" s="55"/>
      <c r="BN134" s="55"/>
      <c r="BO134" s="55"/>
      <c r="BP134" s="55"/>
      <c r="BQ134" s="55"/>
      <c r="BR134" s="55"/>
      <c r="BS134" s="55"/>
      <c r="BT134" s="55"/>
      <c r="BU134" s="55"/>
      <c r="BV134" s="55"/>
      <c r="BW134" s="55"/>
      <c r="BX134" s="55"/>
      <c r="BY134" s="55"/>
      <c r="BZ134" s="55"/>
      <c r="CA134" s="55"/>
      <c r="CB134" s="55"/>
      <c r="CC134" s="55"/>
      <c r="CD134" s="55"/>
      <c r="CE134" s="55"/>
      <c r="CF134" s="55"/>
      <c r="CG134" s="55"/>
      <c r="CH134" s="55"/>
      <c r="CI134" s="55"/>
      <c r="CJ134" s="55"/>
      <c r="CK134" s="55"/>
      <c r="CL134" s="55"/>
      <c r="CM134" s="55"/>
      <c r="CN134" s="55"/>
      <c r="CO134" s="55"/>
      <c r="CP134" s="55"/>
      <c r="CQ134" s="55"/>
      <c r="CR134" s="55"/>
      <c r="CS134" s="55"/>
      <c r="CT134" s="55"/>
      <c r="CU134" s="55"/>
      <c r="CV134" s="55"/>
      <c r="CW134" s="55"/>
      <c r="CX134" s="55"/>
      <c r="CY134" s="55"/>
      <c r="CZ134" s="55"/>
      <c r="DA134" s="55"/>
      <c r="DB134" s="55"/>
      <c r="DC134" s="55"/>
      <c r="DD134" s="55"/>
      <c r="DE134" s="55"/>
      <c r="DF134" s="55"/>
      <c r="DG134" s="55"/>
      <c r="DH134" s="55"/>
      <c r="DI134" s="55"/>
      <c r="DJ134" s="55"/>
      <c r="DK134" s="55"/>
      <c r="DL134" s="55"/>
      <c r="DM134" s="55"/>
      <c r="DN134" s="55"/>
      <c r="DO134" s="55"/>
      <c r="DP134" s="55"/>
      <c r="DQ134" s="55"/>
      <c r="DR134" s="55"/>
      <c r="DS134" s="55"/>
      <c r="DT134" s="55" t="str">
        <f aca="false">AA134&amp;"-"&amp;AF134</f>
        <v>W95-W96</v>
      </c>
      <c r="DU134" s="55"/>
      <c r="DV134" s="55"/>
      <c r="DW134" s="57"/>
    </row>
    <row r="135" customFormat="false" ht="15.75" hidden="false" customHeight="true" outlineLevel="0" collapsed="false">
      <c r="A135" s="39"/>
      <c r="B135" s="39"/>
      <c r="C135" s="39"/>
      <c r="D135" s="195"/>
      <c r="E135" s="55"/>
      <c r="F135" s="55"/>
      <c r="G135" s="55"/>
      <c r="H135" s="55"/>
      <c r="I135" s="55"/>
      <c r="J135" s="55"/>
      <c r="K135" s="55"/>
      <c r="L135" s="55"/>
      <c r="M135" s="55"/>
      <c r="N135" s="55"/>
      <c r="O135" s="55"/>
      <c r="P135" s="55"/>
      <c r="Q135" s="55"/>
      <c r="R135" s="55"/>
      <c r="S135" s="55"/>
      <c r="T135" s="55"/>
      <c r="U135" s="55"/>
      <c r="V135" s="46"/>
      <c r="W135" s="146"/>
      <c r="X135" s="147"/>
      <c r="Y135" s="146"/>
      <c r="Z135" s="148"/>
      <c r="AA135" s="149"/>
      <c r="AB135" s="201"/>
      <c r="AC135" s="151"/>
      <c r="AD135" s="151"/>
      <c r="AE135" s="201"/>
      <c r="AF135" s="152"/>
      <c r="AG135" s="260"/>
      <c r="AH135" s="261"/>
      <c r="AI135" s="111"/>
      <c r="AJ135" s="54"/>
      <c r="AK135" s="54"/>
      <c r="AL135" s="54"/>
      <c r="AM135" s="244"/>
      <c r="AN135" s="244"/>
      <c r="AO135" s="244"/>
      <c r="AP135" s="244"/>
      <c r="AQ135" s="244"/>
      <c r="AR135" s="244"/>
      <c r="AS135" s="244"/>
      <c r="AT135" s="244"/>
      <c r="AU135" s="85"/>
      <c r="AV135" s="85"/>
      <c r="AW135" s="244"/>
      <c r="AX135" s="244"/>
      <c r="AY135" s="146"/>
      <c r="AZ135" s="147"/>
      <c r="BA135" s="248"/>
      <c r="BB135" s="55"/>
      <c r="BC135" s="195"/>
      <c r="BD135" s="55"/>
      <c r="BE135" s="55"/>
      <c r="BF135" s="55"/>
      <c r="BG135" s="55"/>
      <c r="BH135" s="55"/>
      <c r="BI135" s="55"/>
      <c r="BJ135" s="55"/>
      <c r="BK135" s="55"/>
      <c r="BL135" s="55"/>
      <c r="BM135" s="55"/>
      <c r="BN135" s="55"/>
      <c r="BO135" s="55"/>
      <c r="BP135" s="55"/>
      <c r="BQ135" s="55"/>
      <c r="BR135" s="55"/>
      <c r="BS135" s="55"/>
      <c r="BT135" s="55"/>
      <c r="BU135" s="55"/>
      <c r="BV135" s="55"/>
      <c r="BW135" s="55"/>
      <c r="BX135" s="55"/>
      <c r="BY135" s="55"/>
      <c r="BZ135" s="55"/>
      <c r="CA135" s="55"/>
      <c r="CB135" s="55"/>
      <c r="CC135" s="55"/>
      <c r="CD135" s="55"/>
      <c r="CE135" s="55"/>
      <c r="CF135" s="55"/>
      <c r="CG135" s="55"/>
      <c r="CH135" s="55"/>
      <c r="CI135" s="55"/>
      <c r="CJ135" s="55"/>
      <c r="CK135" s="55"/>
      <c r="CL135" s="55"/>
      <c r="CM135" s="55"/>
      <c r="CN135" s="55"/>
      <c r="CO135" s="55"/>
      <c r="CP135" s="55"/>
      <c r="CQ135" s="55"/>
      <c r="CR135" s="55"/>
      <c r="CS135" s="55"/>
      <c r="CT135" s="55"/>
      <c r="CU135" s="55"/>
      <c r="CV135" s="55"/>
      <c r="CW135" s="55"/>
      <c r="CX135" s="55"/>
      <c r="CY135" s="55"/>
      <c r="CZ135" s="55"/>
      <c r="DA135" s="55"/>
      <c r="DB135" s="55"/>
      <c r="DC135" s="55"/>
      <c r="DD135" s="55"/>
      <c r="DE135" s="55"/>
      <c r="DF135" s="55"/>
      <c r="DG135" s="55"/>
      <c r="DH135" s="55"/>
      <c r="DI135" s="55"/>
      <c r="DJ135" s="55"/>
      <c r="DK135" s="55"/>
      <c r="DL135" s="55"/>
      <c r="DM135" s="55"/>
      <c r="DN135" s="55"/>
      <c r="DO135" s="55"/>
      <c r="DP135" s="55"/>
      <c r="DQ135" s="55"/>
      <c r="DR135" s="55"/>
      <c r="DS135" s="55"/>
      <c r="DT135" s="55" t="str">
        <f aca="false">AA135&amp;"-"&amp;AF135</f>
        <v>-</v>
      </c>
      <c r="DU135" s="55"/>
      <c r="DV135" s="55"/>
      <c r="DW135" s="57"/>
    </row>
    <row r="136" customFormat="false" ht="15.75" hidden="false" customHeight="true" outlineLevel="0" collapsed="false">
      <c r="A136" s="39"/>
      <c r="B136" s="39"/>
      <c r="C136" s="39"/>
      <c r="D136" s="195"/>
      <c r="E136" s="55"/>
      <c r="F136" s="55" t="s">
        <v>216</v>
      </c>
      <c r="G136" s="55"/>
      <c r="H136" s="55"/>
      <c r="I136" s="55"/>
      <c r="J136" s="55"/>
      <c r="K136" s="55"/>
      <c r="L136" s="55"/>
      <c r="M136" s="55"/>
      <c r="N136" s="55"/>
      <c r="O136" s="55"/>
      <c r="P136" s="55"/>
      <c r="Q136" s="55"/>
      <c r="R136" s="55"/>
      <c r="S136" s="55"/>
      <c r="T136" s="55"/>
      <c r="U136" s="55"/>
      <c r="V136" s="46"/>
      <c r="W136" s="203" t="str">
        <f aca="false">Idiomas!D28</f>
        <v>Semifinales</v>
      </c>
      <c r="X136" s="203"/>
      <c r="Y136" s="203"/>
      <c r="Z136" s="203"/>
      <c r="AA136" s="203"/>
      <c r="AB136" s="203"/>
      <c r="AC136" s="203"/>
      <c r="AD136" s="203"/>
      <c r="AE136" s="203"/>
      <c r="AF136" s="203"/>
      <c r="AG136" s="260"/>
      <c r="AH136" s="261"/>
      <c r="AI136" s="111"/>
      <c r="AJ136" s="54"/>
      <c r="AK136" s="54"/>
      <c r="AL136" s="54"/>
      <c r="AM136" s="244"/>
      <c r="AN136" s="244"/>
      <c r="AO136" s="244"/>
      <c r="AP136" s="244"/>
      <c r="AQ136" s="244"/>
      <c r="AR136" s="244"/>
      <c r="AS136" s="244"/>
      <c r="AT136" s="244"/>
      <c r="AU136" s="85"/>
      <c r="AV136" s="85"/>
      <c r="AW136" s="244"/>
      <c r="AX136" s="244"/>
      <c r="AY136" s="146"/>
      <c r="AZ136" s="147"/>
      <c r="BA136" s="248"/>
      <c r="BB136" s="55"/>
      <c r="BC136" s="195"/>
      <c r="BD136" s="55"/>
      <c r="BE136" s="55"/>
      <c r="BF136" s="55"/>
      <c r="BG136" s="55"/>
      <c r="BH136" s="55"/>
      <c r="BI136" s="55"/>
      <c r="BJ136" s="55"/>
      <c r="BK136" s="55"/>
      <c r="BL136" s="55"/>
      <c r="BM136" s="55"/>
      <c r="BN136" s="55"/>
      <c r="BO136" s="55"/>
      <c r="BP136" s="55"/>
      <c r="BQ136" s="55"/>
      <c r="BR136" s="55"/>
      <c r="BS136" s="55"/>
      <c r="BT136" s="55"/>
      <c r="BU136" s="55"/>
      <c r="BV136" s="55"/>
      <c r="BW136" s="55"/>
      <c r="BX136" s="55"/>
      <c r="BY136" s="55"/>
      <c r="BZ136" s="55"/>
      <c r="CA136" s="55"/>
      <c r="CB136" s="55"/>
      <c r="CC136" s="55"/>
      <c r="CD136" s="55"/>
      <c r="CE136" s="55"/>
      <c r="CF136" s="55"/>
      <c r="CG136" s="55"/>
      <c r="CH136" s="55"/>
      <c r="CI136" s="55"/>
      <c r="CJ136" s="55"/>
      <c r="CK136" s="55"/>
      <c r="CL136" s="55"/>
      <c r="CM136" s="55"/>
      <c r="CN136" s="55"/>
      <c r="CO136" s="55"/>
      <c r="CP136" s="55"/>
      <c r="CQ136" s="55"/>
      <c r="CR136" s="55"/>
      <c r="CS136" s="55"/>
      <c r="CT136" s="55"/>
      <c r="CU136" s="55"/>
      <c r="CV136" s="55"/>
      <c r="CW136" s="55"/>
      <c r="CX136" s="55"/>
      <c r="CY136" s="55"/>
      <c r="CZ136" s="55"/>
      <c r="DA136" s="55"/>
      <c r="DB136" s="55"/>
      <c r="DC136" s="55"/>
      <c r="DD136" s="55"/>
      <c r="DE136" s="55"/>
      <c r="DF136" s="55"/>
      <c r="DG136" s="55"/>
      <c r="DH136" s="55"/>
      <c r="DI136" s="55"/>
      <c r="DJ136" s="55"/>
      <c r="DK136" s="55"/>
      <c r="DL136" s="55"/>
      <c r="DM136" s="55"/>
      <c r="DN136" s="55"/>
      <c r="DO136" s="55"/>
      <c r="DP136" s="55"/>
      <c r="DQ136" s="55"/>
      <c r="DR136" s="55"/>
      <c r="DS136" s="55"/>
      <c r="DT136" s="55" t="str">
        <f aca="false">AA136&amp;"-"&amp;AF136</f>
        <v>-</v>
      </c>
      <c r="DU136" s="55"/>
      <c r="DV136" s="55"/>
      <c r="DW136" s="57"/>
    </row>
    <row r="137" customFormat="false" ht="15.75" hidden="false" customHeight="true" outlineLevel="0" collapsed="false">
      <c r="A137" s="39"/>
      <c r="B137" s="39"/>
      <c r="C137" s="39"/>
      <c r="D137" s="195"/>
      <c r="E137" s="55"/>
      <c r="F137" s="55"/>
      <c r="G137" s="55"/>
      <c r="H137" s="55" t="s">
        <v>217</v>
      </c>
      <c r="I137" s="55"/>
      <c r="J137" s="55"/>
      <c r="K137" s="55"/>
      <c r="L137" s="55"/>
      <c r="M137" s="55"/>
      <c r="N137" s="55"/>
      <c r="O137" s="55"/>
      <c r="P137" s="55"/>
      <c r="Q137" s="55"/>
      <c r="R137" s="55"/>
      <c r="S137" s="55"/>
      <c r="T137" s="55"/>
      <c r="U137" s="55"/>
      <c r="V137" s="46"/>
      <c r="W137" s="59"/>
      <c r="X137" s="60" t="str">
        <f aca="false">X3</f>
        <v>Fecha</v>
      </c>
      <c r="Y137" s="60" t="str">
        <f aca="false">Y3</f>
        <v>Hora</v>
      </c>
      <c r="Z137" s="197"/>
      <c r="AA137" s="198" t="str">
        <f aca="false">AA3</f>
        <v>Casa</v>
      </c>
      <c r="AB137" s="197" t="s">
        <v>145</v>
      </c>
      <c r="AC137" s="60" t="s">
        <v>218</v>
      </c>
      <c r="AD137" s="60" t="s">
        <v>218</v>
      </c>
      <c r="AE137" s="197" t="s">
        <v>145</v>
      </c>
      <c r="AF137" s="199" t="str">
        <f aca="false">AF3</f>
        <v>Fuera</v>
      </c>
      <c r="AG137" s="260"/>
      <c r="AH137" s="261"/>
      <c r="AI137" s="111"/>
      <c r="AJ137" s="54"/>
      <c r="AK137" s="54"/>
      <c r="AL137" s="54"/>
      <c r="AM137" s="244"/>
      <c r="AN137" s="244"/>
      <c r="AO137" s="244"/>
      <c r="AP137" s="244"/>
      <c r="AQ137" s="244"/>
      <c r="AR137" s="244"/>
      <c r="AS137" s="244"/>
      <c r="AT137" s="244"/>
      <c r="AU137" s="85"/>
      <c r="AV137" s="85"/>
      <c r="AW137" s="244"/>
      <c r="AX137" s="244"/>
      <c r="AY137" s="146"/>
      <c r="AZ137" s="147"/>
      <c r="BA137" s="248"/>
      <c r="BB137" s="55"/>
      <c r="BC137" s="195"/>
      <c r="BD137" s="55"/>
      <c r="BE137" s="55"/>
      <c r="BF137" s="55"/>
      <c r="BG137" s="55"/>
      <c r="BH137" s="55"/>
      <c r="BI137" s="55"/>
      <c r="BJ137" s="55"/>
      <c r="BK137" s="55"/>
      <c r="BL137" s="55"/>
      <c r="BM137" s="55"/>
      <c r="BN137" s="55"/>
      <c r="BO137" s="55"/>
      <c r="BP137" s="55"/>
      <c r="BQ137" s="55"/>
      <c r="BR137" s="55"/>
      <c r="BS137" s="55"/>
      <c r="BT137" s="55"/>
      <c r="BU137" s="55"/>
      <c r="BV137" s="55"/>
      <c r="BW137" s="55"/>
      <c r="BX137" s="55"/>
      <c r="BY137" s="55"/>
      <c r="BZ137" s="55"/>
      <c r="CA137" s="55"/>
      <c r="CB137" s="55"/>
      <c r="CC137" s="55"/>
      <c r="CD137" s="55"/>
      <c r="CE137" s="55"/>
      <c r="CF137" s="55"/>
      <c r="CG137" s="55"/>
      <c r="CH137" s="55"/>
      <c r="CI137" s="55"/>
      <c r="CJ137" s="55"/>
      <c r="CK137" s="55"/>
      <c r="CL137" s="55"/>
      <c r="CM137" s="55"/>
      <c r="CN137" s="55"/>
      <c r="CO137" s="55"/>
      <c r="CP137" s="55"/>
      <c r="CQ137" s="55"/>
      <c r="CR137" s="55"/>
      <c r="CS137" s="55"/>
      <c r="CT137" s="55"/>
      <c r="CU137" s="55"/>
      <c r="CV137" s="55"/>
      <c r="CW137" s="55"/>
      <c r="CX137" s="55"/>
      <c r="CY137" s="55"/>
      <c r="CZ137" s="55"/>
      <c r="DA137" s="55"/>
      <c r="DB137" s="55"/>
      <c r="DC137" s="55"/>
      <c r="DD137" s="55"/>
      <c r="DE137" s="55"/>
      <c r="DF137" s="55"/>
      <c r="DG137" s="55"/>
      <c r="DH137" s="55"/>
      <c r="DI137" s="55"/>
      <c r="DJ137" s="55"/>
      <c r="DK137" s="55"/>
      <c r="DL137" s="55"/>
      <c r="DM137" s="55"/>
      <c r="DN137" s="55"/>
      <c r="DO137" s="55"/>
      <c r="DP137" s="55"/>
      <c r="DQ137" s="55"/>
      <c r="DR137" s="55"/>
      <c r="DS137" s="55"/>
      <c r="DT137" s="55" t="str">
        <f aca="false">AA137&amp;"-"&amp;AF137</f>
        <v>Casa-Fuera</v>
      </c>
      <c r="DU137" s="55"/>
      <c r="DV137" s="55"/>
      <c r="DW137" s="57"/>
    </row>
    <row r="138" customFormat="false" ht="15.75" hidden="false" customHeight="true" outlineLevel="0" collapsed="false">
      <c r="A138" s="120" t="s">
        <v>219</v>
      </c>
      <c r="B138" s="120" t="s">
        <v>220</v>
      </c>
      <c r="C138" s="39"/>
      <c r="D138" s="195" t="str">
        <f aca="false">IF(AND(OR(AC138="",AD138="")),"W"&amp;AH138,IF(AC138&gt;AD138,AA138,IF(AC138&lt;AD138,AF138,IF(AND(AC138=AD138,AB138=AE138),"W"&amp;AH138,IF(AND(AC138=AD138,OR(AB138="",AE138="")),"W"&amp;AH138,IF(AND(AC138=AD138,AB138&gt;AE138),AA138,AF138))))))</f>
        <v>W101</v>
      </c>
      <c r="E138" s="55" t="n">
        <v>97</v>
      </c>
      <c r="F138" s="55" t="n">
        <v>98</v>
      </c>
      <c r="G138" s="55"/>
      <c r="H138" s="55" t="str">
        <f aca="false">IF(AND(OR(AC138="",AD138="")),"L101",IF(AC138&gt;AD138,AF138,IF(AC138&lt;AD138,AA138,IF(AND(AC138=AD138,AB138=AE138),"L101",IF(AND(AC138=AD138,OR(AB138="",AE138="")),"L101",IF(AND(AC138=AD138,AB138&gt;AE138),AF138,AA138))))))</f>
        <v>L101</v>
      </c>
      <c r="I138" s="55"/>
      <c r="J138" s="120" t="n">
        <v>101</v>
      </c>
      <c r="K138" s="120" t="n">
        <v>46217.875</v>
      </c>
      <c r="L138" s="120" t="s">
        <v>221</v>
      </c>
      <c r="M138" s="120" t="str">
        <f aca="false">+INDEX($D$101:$D$147,MATCH(E138,$AH$101:$AH$147,0))</f>
        <v>W97</v>
      </c>
      <c r="N138" s="120" t="str">
        <f aca="false">+INDEX($D$101:$D$147,MATCH(F138,$AH$101:$AH$147,0))</f>
        <v>W98</v>
      </c>
      <c r="O138" s="120"/>
      <c r="P138" s="120"/>
      <c r="Q138" s="120"/>
      <c r="R138" s="120"/>
      <c r="S138" s="120"/>
      <c r="T138" s="120"/>
      <c r="U138" s="120"/>
      <c r="V138" s="46"/>
      <c r="W138" s="262" t="s">
        <v>222</v>
      </c>
      <c r="X138" s="74" t="n">
        <f aca="false">Horarios!C138</f>
        <v>46217.875</v>
      </c>
      <c r="Y138" s="75" t="n">
        <f aca="false">Horarios!C138</f>
        <v>46217.875</v>
      </c>
      <c r="Z138" s="257" t="n">
        <f aca="false">AH138</f>
        <v>101</v>
      </c>
      <c r="AA138" s="213" t="str">
        <f aca="false">+INDEX($M$101:$M$147,MATCH(AH138,$J$101:$J$147,0))</f>
        <v>W97</v>
      </c>
      <c r="AB138" s="214"/>
      <c r="AC138" s="263"/>
      <c r="AD138" s="263"/>
      <c r="AE138" s="214"/>
      <c r="AF138" s="216" t="str">
        <f aca="false">+INDEX($N$101:$N$147,MATCH(AH138,$J$101:$J$147,0))</f>
        <v>W98</v>
      </c>
      <c r="AG138" s="217" t="n">
        <f aca="false">IF(D138="W"&amp;AH138,0,1)</f>
        <v>0</v>
      </c>
      <c r="AH138" s="258" t="n">
        <v>101</v>
      </c>
      <c r="AI138" s="111"/>
      <c r="AJ138" s="54"/>
      <c r="AK138" s="54"/>
      <c r="AL138" s="54"/>
      <c r="AM138" s="244"/>
      <c r="AN138" s="244"/>
      <c r="AO138" s="244"/>
      <c r="AP138" s="244"/>
      <c r="AQ138" s="244"/>
      <c r="AR138" s="244"/>
      <c r="AS138" s="244"/>
      <c r="AT138" s="244"/>
      <c r="AU138" s="85"/>
      <c r="AV138" s="85"/>
      <c r="AW138" s="244"/>
      <c r="AX138" s="244"/>
      <c r="AY138" s="146"/>
      <c r="AZ138" s="147"/>
      <c r="BA138" s="248"/>
      <c r="BB138" s="55"/>
      <c r="BC138" s="195"/>
      <c r="BD138" s="55"/>
      <c r="BE138" s="55"/>
      <c r="BF138" s="55"/>
      <c r="BG138" s="55"/>
      <c r="BH138" s="55"/>
      <c r="BI138" s="55"/>
      <c r="BJ138" s="55"/>
      <c r="BK138" s="55"/>
      <c r="BL138" s="55"/>
      <c r="BM138" s="55"/>
      <c r="BN138" s="55"/>
      <c r="BO138" s="55"/>
      <c r="BP138" s="55"/>
      <c r="BQ138" s="55"/>
      <c r="BR138" s="55"/>
      <c r="BS138" s="55"/>
      <c r="BT138" s="55"/>
      <c r="BU138" s="55"/>
      <c r="BV138" s="55"/>
      <c r="BW138" s="55"/>
      <c r="BX138" s="55"/>
      <c r="BY138" s="55"/>
      <c r="BZ138" s="55"/>
      <c r="CA138" s="55"/>
      <c r="CB138" s="55"/>
      <c r="CC138" s="55"/>
      <c r="CD138" s="55"/>
      <c r="CE138" s="55"/>
      <c r="CF138" s="55"/>
      <c r="CG138" s="55"/>
      <c r="CH138" s="55"/>
      <c r="CI138" s="55"/>
      <c r="CJ138" s="55"/>
      <c r="CK138" s="55"/>
      <c r="CL138" s="55"/>
      <c r="CM138" s="55"/>
      <c r="CN138" s="55"/>
      <c r="CO138" s="55"/>
      <c r="CP138" s="55"/>
      <c r="CQ138" s="55"/>
      <c r="CR138" s="55"/>
      <c r="CS138" s="55"/>
      <c r="CT138" s="55"/>
      <c r="CU138" s="55"/>
      <c r="CV138" s="55"/>
      <c r="CW138" s="55"/>
      <c r="CX138" s="55"/>
      <c r="CY138" s="55"/>
      <c r="CZ138" s="55"/>
      <c r="DA138" s="55"/>
      <c r="DB138" s="55"/>
      <c r="DC138" s="55"/>
      <c r="DD138" s="55"/>
      <c r="DE138" s="55"/>
      <c r="DF138" s="55"/>
      <c r="DG138" s="55"/>
      <c r="DH138" s="55"/>
      <c r="DI138" s="55"/>
      <c r="DJ138" s="55"/>
      <c r="DK138" s="55"/>
      <c r="DL138" s="55"/>
      <c r="DM138" s="55"/>
      <c r="DN138" s="55"/>
      <c r="DO138" s="55"/>
      <c r="DP138" s="55"/>
      <c r="DQ138" s="55"/>
      <c r="DR138" s="55"/>
      <c r="DS138" s="55"/>
      <c r="DT138" s="55" t="str">
        <f aca="false">AA138&amp;"-"&amp;AF138</f>
        <v>W97-W98</v>
      </c>
      <c r="DU138" s="55"/>
      <c r="DV138" s="55"/>
      <c r="DW138" s="57"/>
    </row>
    <row r="139" customFormat="false" ht="15.75" hidden="false" customHeight="true" outlineLevel="0" collapsed="false">
      <c r="A139" s="120" t="s">
        <v>223</v>
      </c>
      <c r="B139" s="120" t="s">
        <v>224</v>
      </c>
      <c r="C139" s="39"/>
      <c r="D139" s="195" t="str">
        <f aca="false">IF(AND(OR(AC139="",AD139="")),"W"&amp;AH139,IF(AC139&gt;AD139,AA139,IF(AC139&lt;AD139,AF139,IF(AND(AC139=AD139,AB139=AE139),"W"&amp;AH139,IF(AND(AC139=AD139,OR(AB139="",AE139="")),"W"&amp;AH139,IF(AND(AC139=AD139,AB139&gt;AE139),AA139,AF139))))))</f>
        <v>W102</v>
      </c>
      <c r="E139" s="55" t="n">
        <v>99</v>
      </c>
      <c r="F139" s="55" t="n">
        <v>100</v>
      </c>
      <c r="G139" s="55"/>
      <c r="H139" s="55" t="str">
        <f aca="false">IF(AND(OR(AC139="",AD139="")),"L102",IF(AC139&gt;AD139,AF139,IF(AC139&lt;AD139,AA139,IF(AND(AC139=AD139,AB139=AE139),"W102",IF(AND(AC139=AD139,OR(AB139="",AE139="")),"L102",IF(AND(AC139=AD139,AB139&gt;AE139),AF139,AA139))))))</f>
        <v>L102</v>
      </c>
      <c r="I139" s="55"/>
      <c r="J139" s="120" t="n">
        <v>102</v>
      </c>
      <c r="K139" s="120" t="n">
        <v>46218.875</v>
      </c>
      <c r="L139" s="120" t="s">
        <v>225</v>
      </c>
      <c r="M139" s="120" t="str">
        <f aca="false">+INDEX($D$101:$D$147,MATCH(E139,$AH$101:$AH$147,0))</f>
        <v>W99</v>
      </c>
      <c r="N139" s="120" t="str">
        <f aca="false">+INDEX($D$101:$D$147,MATCH(F139,$AH$101:$AH$147,0))</f>
        <v>W100</v>
      </c>
      <c r="O139" s="120"/>
      <c r="P139" s="120"/>
      <c r="Q139" s="120"/>
      <c r="R139" s="120"/>
      <c r="S139" s="120"/>
      <c r="T139" s="120"/>
      <c r="U139" s="120"/>
      <c r="V139" s="46"/>
      <c r="W139" s="262"/>
      <c r="X139" s="129" t="n">
        <f aca="false">Horarios!C139</f>
        <v>46218.875</v>
      </c>
      <c r="Y139" s="130" t="n">
        <f aca="false">Horarios!C139</f>
        <v>46218.875</v>
      </c>
      <c r="Z139" s="259" t="n">
        <f aca="false">AH139</f>
        <v>102</v>
      </c>
      <c r="AA139" s="240" t="str">
        <f aca="false">+INDEX($M$101:$M$147,MATCH(AH139,$J$101:$J$147,0))</f>
        <v>W99</v>
      </c>
      <c r="AB139" s="241"/>
      <c r="AC139" s="255"/>
      <c r="AD139" s="255"/>
      <c r="AE139" s="241"/>
      <c r="AF139" s="242" t="str">
        <f aca="false">+INDEX($N$101:$N$147,MATCH(AH139,$J$101:$J$147,0))</f>
        <v>W100</v>
      </c>
      <c r="AG139" s="217" t="n">
        <f aca="false">IF(D139="W"&amp;AH139,0,1)</f>
        <v>0</v>
      </c>
      <c r="AH139" s="258" t="n">
        <v>102</v>
      </c>
      <c r="AI139" s="111"/>
      <c r="AJ139" s="54"/>
      <c r="AK139" s="54"/>
      <c r="AL139" s="54"/>
      <c r="AM139" s="244"/>
      <c r="AN139" s="244"/>
      <c r="AO139" s="244"/>
      <c r="AP139" s="244"/>
      <c r="AQ139" s="244"/>
      <c r="AR139" s="244"/>
      <c r="AS139" s="244"/>
      <c r="AT139" s="244"/>
      <c r="AU139" s="85"/>
      <c r="AV139" s="85"/>
      <c r="AW139" s="244"/>
      <c r="AX139" s="244"/>
      <c r="AY139" s="146"/>
      <c r="AZ139" s="147"/>
      <c r="BA139" s="248"/>
      <c r="BB139" s="55"/>
      <c r="BC139" s="195"/>
      <c r="BD139" s="55"/>
      <c r="BE139" s="55"/>
      <c r="BF139" s="55"/>
      <c r="BG139" s="55"/>
      <c r="BH139" s="55"/>
      <c r="BI139" s="55"/>
      <c r="BJ139" s="55"/>
      <c r="BK139" s="55"/>
      <c r="BL139" s="55"/>
      <c r="BM139" s="55"/>
      <c r="BN139" s="55"/>
      <c r="BO139" s="55"/>
      <c r="BP139" s="55"/>
      <c r="BQ139" s="55"/>
      <c r="BR139" s="55"/>
      <c r="BS139" s="55"/>
      <c r="BT139" s="55"/>
      <c r="BU139" s="55"/>
      <c r="BV139" s="55"/>
      <c r="BW139" s="55"/>
      <c r="BX139" s="55"/>
      <c r="BY139" s="55"/>
      <c r="BZ139" s="55"/>
      <c r="CA139" s="55"/>
      <c r="CB139" s="55"/>
      <c r="CC139" s="55"/>
      <c r="CD139" s="55"/>
      <c r="CE139" s="55"/>
      <c r="CF139" s="55"/>
      <c r="CG139" s="55"/>
      <c r="CH139" s="55"/>
      <c r="CI139" s="55"/>
      <c r="CJ139" s="55"/>
      <c r="CK139" s="55"/>
      <c r="CL139" s="55"/>
      <c r="CM139" s="55"/>
      <c r="CN139" s="55"/>
      <c r="CO139" s="55"/>
      <c r="CP139" s="55"/>
      <c r="CQ139" s="55"/>
      <c r="CR139" s="55"/>
      <c r="CS139" s="55"/>
      <c r="CT139" s="55"/>
      <c r="CU139" s="55"/>
      <c r="CV139" s="55"/>
      <c r="CW139" s="55"/>
      <c r="CX139" s="55"/>
      <c r="CY139" s="55"/>
      <c r="CZ139" s="55"/>
      <c r="DA139" s="55"/>
      <c r="DB139" s="55"/>
      <c r="DC139" s="55"/>
      <c r="DD139" s="55"/>
      <c r="DE139" s="55"/>
      <c r="DF139" s="55"/>
      <c r="DG139" s="55"/>
      <c r="DH139" s="55"/>
      <c r="DI139" s="55"/>
      <c r="DJ139" s="55"/>
      <c r="DK139" s="55"/>
      <c r="DL139" s="55"/>
      <c r="DM139" s="55"/>
      <c r="DN139" s="55"/>
      <c r="DO139" s="55"/>
      <c r="DP139" s="55"/>
      <c r="DQ139" s="55"/>
      <c r="DR139" s="55"/>
      <c r="DS139" s="55"/>
      <c r="DT139" s="55" t="str">
        <f aca="false">AA139&amp;"-"&amp;AF139</f>
        <v>W99-W100</v>
      </c>
      <c r="DU139" s="55"/>
      <c r="DV139" s="55"/>
      <c r="DW139" s="57"/>
    </row>
    <row r="140" customFormat="false" ht="15.75" hidden="false" customHeight="true" outlineLevel="0" collapsed="false">
      <c r="A140" s="39"/>
      <c r="B140" s="39"/>
      <c r="C140" s="39"/>
      <c r="D140" s="195"/>
      <c r="E140" s="55"/>
      <c r="F140" s="55"/>
      <c r="G140" s="55"/>
      <c r="H140" s="55"/>
      <c r="I140" s="55"/>
      <c r="J140" s="55"/>
      <c r="K140" s="55"/>
      <c r="L140" s="55"/>
      <c r="M140" s="55"/>
      <c r="N140" s="55"/>
      <c r="O140" s="55"/>
      <c r="P140" s="55"/>
      <c r="Q140" s="55"/>
      <c r="R140" s="55"/>
      <c r="S140" s="55"/>
      <c r="T140" s="55"/>
      <c r="U140" s="55"/>
      <c r="V140" s="46"/>
      <c r="W140" s="146"/>
      <c r="X140" s="147"/>
      <c r="Y140" s="146"/>
      <c r="Z140" s="148"/>
      <c r="AA140" s="149"/>
      <c r="AB140" s="201"/>
      <c r="AC140" s="151"/>
      <c r="AD140" s="151"/>
      <c r="AE140" s="201"/>
      <c r="AF140" s="152"/>
      <c r="AG140" s="260"/>
      <c r="AH140" s="261"/>
      <c r="AI140" s="111"/>
      <c r="AJ140" s="54"/>
      <c r="AK140" s="54"/>
      <c r="AL140" s="54"/>
      <c r="AM140" s="244"/>
      <c r="AN140" s="244"/>
      <c r="AO140" s="244"/>
      <c r="AP140" s="244"/>
      <c r="AQ140" s="244"/>
      <c r="AR140" s="244"/>
      <c r="AS140" s="244"/>
      <c r="AT140" s="244"/>
      <c r="AU140" s="85"/>
      <c r="AV140" s="85"/>
      <c r="AW140" s="244"/>
      <c r="AX140" s="244"/>
      <c r="AY140" s="146"/>
      <c r="AZ140" s="147"/>
      <c r="BA140" s="248"/>
      <c r="BB140" s="55"/>
      <c r="BC140" s="195"/>
      <c r="BD140" s="55"/>
      <c r="BE140" s="55"/>
      <c r="BF140" s="55"/>
      <c r="BG140" s="55"/>
      <c r="BH140" s="55"/>
      <c r="BI140" s="55"/>
      <c r="BJ140" s="55"/>
      <c r="BK140" s="55"/>
      <c r="BL140" s="55"/>
      <c r="BM140" s="55"/>
      <c r="BN140" s="55"/>
      <c r="BO140" s="55"/>
      <c r="BP140" s="55"/>
      <c r="BQ140" s="55"/>
      <c r="BR140" s="55"/>
      <c r="BS140" s="55"/>
      <c r="BT140" s="55"/>
      <c r="BU140" s="55"/>
      <c r="BV140" s="55"/>
      <c r="BW140" s="55"/>
      <c r="BX140" s="55"/>
      <c r="BY140" s="55"/>
      <c r="BZ140" s="55"/>
      <c r="CA140" s="55"/>
      <c r="CB140" s="55"/>
      <c r="CC140" s="55"/>
      <c r="CD140" s="55"/>
      <c r="CE140" s="55"/>
      <c r="CF140" s="55"/>
      <c r="CG140" s="55"/>
      <c r="CH140" s="55"/>
      <c r="CI140" s="55"/>
      <c r="CJ140" s="55"/>
      <c r="CK140" s="55"/>
      <c r="CL140" s="55"/>
      <c r="CM140" s="55"/>
      <c r="CN140" s="55"/>
      <c r="CO140" s="55"/>
      <c r="CP140" s="55"/>
      <c r="CQ140" s="55"/>
      <c r="CR140" s="55"/>
      <c r="CS140" s="55"/>
      <c r="CT140" s="55"/>
      <c r="CU140" s="55"/>
      <c r="CV140" s="55"/>
      <c r="CW140" s="55"/>
      <c r="CX140" s="55"/>
      <c r="CY140" s="55"/>
      <c r="CZ140" s="55"/>
      <c r="DA140" s="55"/>
      <c r="DB140" s="55"/>
      <c r="DC140" s="55"/>
      <c r="DD140" s="55"/>
      <c r="DE140" s="55"/>
      <c r="DF140" s="55"/>
      <c r="DG140" s="55"/>
      <c r="DH140" s="55"/>
      <c r="DI140" s="55"/>
      <c r="DJ140" s="55"/>
      <c r="DK140" s="55"/>
      <c r="DL140" s="55"/>
      <c r="DM140" s="55"/>
      <c r="DN140" s="55"/>
      <c r="DO140" s="55"/>
      <c r="DP140" s="55"/>
      <c r="DQ140" s="55"/>
      <c r="DR140" s="55"/>
      <c r="DS140" s="55"/>
      <c r="DT140" s="55" t="str">
        <f aca="false">AA140&amp;"-"&amp;AF140</f>
        <v>-</v>
      </c>
      <c r="DU140" s="55"/>
      <c r="DV140" s="55"/>
      <c r="DW140" s="57"/>
    </row>
    <row r="141" customFormat="false" ht="15.75" hidden="false" customHeight="true" outlineLevel="0" collapsed="false">
      <c r="A141" s="39"/>
      <c r="B141" s="39"/>
      <c r="C141" s="39"/>
      <c r="D141" s="195"/>
      <c r="E141" s="55"/>
      <c r="F141" s="55"/>
      <c r="G141" s="55"/>
      <c r="H141" s="55"/>
      <c r="I141" s="55"/>
      <c r="J141" s="55"/>
      <c r="K141" s="55"/>
      <c r="L141" s="55"/>
      <c r="M141" s="55"/>
      <c r="N141" s="55"/>
      <c r="O141" s="55"/>
      <c r="P141" s="55"/>
      <c r="Q141" s="55"/>
      <c r="R141" s="55"/>
      <c r="S141" s="55"/>
      <c r="T141" s="55"/>
      <c r="U141" s="55"/>
      <c r="V141" s="46"/>
      <c r="W141" s="203" t="str">
        <f aca="false">Idiomas!D29</f>
        <v>3º y 4º puesto</v>
      </c>
      <c r="X141" s="203"/>
      <c r="Y141" s="203"/>
      <c r="Z141" s="203"/>
      <c r="AA141" s="203"/>
      <c r="AB141" s="203"/>
      <c r="AC141" s="203"/>
      <c r="AD141" s="203"/>
      <c r="AE141" s="203"/>
      <c r="AF141" s="203"/>
      <c r="AG141" s="260"/>
      <c r="AH141" s="261"/>
      <c r="AI141" s="111"/>
      <c r="AJ141" s="54"/>
      <c r="AK141" s="54"/>
      <c r="AL141" s="54"/>
      <c r="AM141" s="244"/>
      <c r="AN141" s="244"/>
      <c r="AO141" s="244"/>
      <c r="AP141" s="244"/>
      <c r="AQ141" s="248"/>
      <c r="AR141" s="244"/>
      <c r="AS141" s="244"/>
      <c r="AT141" s="244"/>
      <c r="AU141" s="85"/>
      <c r="AV141" s="85"/>
      <c r="AW141" s="244"/>
      <c r="AX141" s="244"/>
      <c r="AY141" s="146"/>
      <c r="AZ141" s="147"/>
      <c r="BA141" s="248"/>
      <c r="BB141" s="55"/>
      <c r="BC141" s="195"/>
      <c r="BD141" s="55"/>
      <c r="BE141" s="55"/>
      <c r="BF141" s="55"/>
      <c r="BG141" s="55"/>
      <c r="BH141" s="55"/>
      <c r="BI141" s="55"/>
      <c r="BJ141" s="55"/>
      <c r="BK141" s="55"/>
      <c r="BL141" s="55"/>
      <c r="BM141" s="55"/>
      <c r="BN141" s="55"/>
      <c r="BO141" s="55"/>
      <c r="BP141" s="55"/>
      <c r="BQ141" s="55"/>
      <c r="BR141" s="55"/>
      <c r="BS141" s="55"/>
      <c r="BT141" s="55"/>
      <c r="BU141" s="55"/>
      <c r="BV141" s="55"/>
      <c r="BW141" s="55"/>
      <c r="BX141" s="55"/>
      <c r="BY141" s="55"/>
      <c r="BZ141" s="55"/>
      <c r="CA141" s="55"/>
      <c r="CB141" s="55"/>
      <c r="CC141" s="55"/>
      <c r="CD141" s="55"/>
      <c r="CE141" s="55"/>
      <c r="CF141" s="55"/>
      <c r="CG141" s="55"/>
      <c r="CH141" s="55"/>
      <c r="CI141" s="55"/>
      <c r="CJ141" s="55"/>
      <c r="CK141" s="55"/>
      <c r="CL141" s="55"/>
      <c r="CM141" s="55"/>
      <c r="CN141" s="55"/>
      <c r="CO141" s="55"/>
      <c r="CP141" s="55"/>
      <c r="CQ141" s="55"/>
      <c r="CR141" s="55"/>
      <c r="CS141" s="55"/>
      <c r="CT141" s="55"/>
      <c r="CU141" s="55"/>
      <c r="CV141" s="55"/>
      <c r="CW141" s="55"/>
      <c r="CX141" s="55"/>
      <c r="CY141" s="55"/>
      <c r="CZ141" s="55"/>
      <c r="DA141" s="55"/>
      <c r="DB141" s="55"/>
      <c r="DC141" s="55"/>
      <c r="DD141" s="55"/>
      <c r="DE141" s="55"/>
      <c r="DF141" s="55"/>
      <c r="DG141" s="55"/>
      <c r="DH141" s="55"/>
      <c r="DI141" s="55"/>
      <c r="DJ141" s="55"/>
      <c r="DK141" s="55"/>
      <c r="DL141" s="55"/>
      <c r="DM141" s="55"/>
      <c r="DN141" s="55"/>
      <c r="DO141" s="55"/>
      <c r="DP141" s="55"/>
      <c r="DQ141" s="55"/>
      <c r="DR141" s="55"/>
      <c r="DS141" s="55"/>
      <c r="DT141" s="55" t="str">
        <f aca="false">AA141&amp;"-"&amp;AF141</f>
        <v>-</v>
      </c>
      <c r="DU141" s="55"/>
      <c r="DV141" s="55"/>
      <c r="DW141" s="57"/>
    </row>
    <row r="142" customFormat="false" ht="15.75" hidden="false" customHeight="true" outlineLevel="0" collapsed="false">
      <c r="A142" s="39"/>
      <c r="B142" s="39"/>
      <c r="C142" s="39"/>
      <c r="D142" s="195"/>
      <c r="E142" s="55"/>
      <c r="F142" s="55"/>
      <c r="G142" s="55"/>
      <c r="H142" s="55"/>
      <c r="I142" s="55"/>
      <c r="J142" s="55"/>
      <c r="K142" s="55"/>
      <c r="L142" s="55"/>
      <c r="M142" s="55"/>
      <c r="N142" s="55"/>
      <c r="O142" s="55"/>
      <c r="P142" s="55"/>
      <c r="Q142" s="55"/>
      <c r="R142" s="55"/>
      <c r="S142" s="55"/>
      <c r="T142" s="55"/>
      <c r="U142" s="55"/>
      <c r="V142" s="46"/>
      <c r="W142" s="264"/>
      <c r="X142" s="60" t="str">
        <f aca="false">X3</f>
        <v>Fecha</v>
      </c>
      <c r="Y142" s="60" t="str">
        <f aca="false">Y3</f>
        <v>Hora</v>
      </c>
      <c r="Z142" s="197"/>
      <c r="AA142" s="198" t="str">
        <f aca="false">AA3</f>
        <v>Casa</v>
      </c>
      <c r="AB142" s="197" t="s">
        <v>145</v>
      </c>
      <c r="AC142" s="60" t="str">
        <f aca="false">AC3</f>
        <v>Gol</v>
      </c>
      <c r="AD142" s="60" t="str">
        <f aca="false">AD3</f>
        <v>Gol</v>
      </c>
      <c r="AE142" s="197" t="s">
        <v>145</v>
      </c>
      <c r="AF142" s="199" t="str">
        <f aca="false">AF3</f>
        <v>Fuera</v>
      </c>
      <c r="AG142" s="260"/>
      <c r="AH142" s="261"/>
      <c r="AI142" s="111"/>
      <c r="AJ142" s="54"/>
      <c r="AK142" s="54"/>
      <c r="AL142" s="54"/>
      <c r="AM142" s="244"/>
      <c r="AN142" s="244"/>
      <c r="AO142" s="244"/>
      <c r="AP142" s="244"/>
      <c r="AQ142" s="244"/>
      <c r="AR142" s="244"/>
      <c r="AS142" s="244"/>
      <c r="AT142" s="244"/>
      <c r="AU142" s="85"/>
      <c r="AV142" s="85"/>
      <c r="AW142" s="244"/>
      <c r="AX142" s="244"/>
      <c r="AY142" s="146"/>
      <c r="AZ142" s="147"/>
      <c r="BA142" s="49"/>
      <c r="BB142" s="55"/>
      <c r="BC142" s="55"/>
      <c r="BD142" s="55"/>
      <c r="BE142" s="55"/>
      <c r="BF142" s="55"/>
      <c r="BG142" s="55"/>
      <c r="BH142" s="55"/>
      <c r="BI142" s="55"/>
      <c r="BJ142" s="55"/>
      <c r="BK142" s="55"/>
      <c r="BL142" s="55"/>
      <c r="BM142" s="55"/>
      <c r="BN142" s="55"/>
      <c r="BO142" s="55"/>
      <c r="BP142" s="55"/>
      <c r="BQ142" s="55"/>
      <c r="BR142" s="55"/>
      <c r="BS142" s="55"/>
      <c r="BT142" s="55"/>
      <c r="BU142" s="55"/>
      <c r="BV142" s="55"/>
      <c r="BW142" s="55"/>
      <c r="BX142" s="55"/>
      <c r="BY142" s="55"/>
      <c r="BZ142" s="55"/>
      <c r="CA142" s="55"/>
      <c r="CB142" s="55"/>
      <c r="CC142" s="55"/>
      <c r="CD142" s="55"/>
      <c r="CE142" s="55"/>
      <c r="CF142" s="55"/>
      <c r="CG142" s="55"/>
      <c r="CH142" s="55"/>
      <c r="CI142" s="55"/>
      <c r="CJ142" s="55"/>
      <c r="CK142" s="55"/>
      <c r="CL142" s="55"/>
      <c r="CM142" s="55"/>
      <c r="CN142" s="55"/>
      <c r="CO142" s="55"/>
      <c r="CP142" s="55"/>
      <c r="CQ142" s="55"/>
      <c r="CR142" s="55"/>
      <c r="CS142" s="55"/>
      <c r="CT142" s="55"/>
      <c r="CU142" s="55"/>
      <c r="CV142" s="55"/>
      <c r="CW142" s="55"/>
      <c r="CX142" s="55"/>
      <c r="CY142" s="55"/>
      <c r="CZ142" s="55"/>
      <c r="DA142" s="55"/>
      <c r="DB142" s="55"/>
      <c r="DC142" s="55"/>
      <c r="DD142" s="55"/>
      <c r="DE142" s="55"/>
      <c r="DF142" s="55"/>
      <c r="DG142" s="55"/>
      <c r="DH142" s="55"/>
      <c r="DI142" s="55"/>
      <c r="DJ142" s="55"/>
      <c r="DK142" s="55"/>
      <c r="DL142" s="55"/>
      <c r="DM142" s="55"/>
      <c r="DN142" s="55"/>
      <c r="DO142" s="55"/>
      <c r="DP142" s="55"/>
      <c r="DQ142" s="55"/>
      <c r="DR142" s="55"/>
      <c r="DS142" s="55"/>
      <c r="DT142" s="55" t="str">
        <f aca="false">AA142&amp;"-"&amp;AF142</f>
        <v>Casa-Fuera</v>
      </c>
      <c r="DU142" s="55"/>
      <c r="DV142" s="55"/>
      <c r="DW142" s="57"/>
    </row>
    <row r="143" customFormat="false" ht="15.75" hidden="false" customHeight="true" outlineLevel="0" collapsed="false">
      <c r="A143" s="120" t="s">
        <v>226</v>
      </c>
      <c r="B143" s="120" t="s">
        <v>227</v>
      </c>
      <c r="C143" s="39"/>
      <c r="D143" s="195" t="str">
        <f aca="false">IF(AND(OR(AC143="",AD143="")),"W"&amp;AH143,IF(AC143&gt;AD143,AA143,IF(AC143&lt;AD143,AF143,IF(AND(AC143=AD143,AB143=AE143),"W"&amp;AH143,IF(AND(AC143=AD143,OR(AB143="",AE143="")),"W"&amp;AH143,IF(AND(AC143=AD143,AB143&gt;AE143),AA143,AF143))))))</f>
        <v>W103</v>
      </c>
      <c r="E143" s="55" t="n">
        <v>101</v>
      </c>
      <c r="F143" s="55" t="n">
        <v>102</v>
      </c>
      <c r="G143" s="55"/>
      <c r="H143" s="55"/>
      <c r="I143" s="55"/>
      <c r="J143" s="120" t="n">
        <v>103</v>
      </c>
      <c r="K143" s="120" t="n">
        <v>46221.875</v>
      </c>
      <c r="L143" s="120" t="s">
        <v>228</v>
      </c>
      <c r="M143" s="120" t="str">
        <f aca="false">+INDEX($D$101:$D$147,MATCH(E143,$AH$101:$AH$147,0))</f>
        <v>W101</v>
      </c>
      <c r="N143" s="120" t="str">
        <f aca="false">+INDEX($D$101:$D$147,MATCH(F143,$AH$101:$AH$147,0))</f>
        <v>W102</v>
      </c>
      <c r="O143" s="120"/>
      <c r="P143" s="120"/>
      <c r="Q143" s="120"/>
      <c r="R143" s="120"/>
      <c r="S143" s="120"/>
      <c r="T143" s="120"/>
      <c r="U143" s="120"/>
      <c r="V143" s="46"/>
      <c r="W143" s="265" t="s">
        <v>229</v>
      </c>
      <c r="X143" s="129" t="n">
        <f aca="false">Horarios!C143</f>
        <v>46221.9583333333</v>
      </c>
      <c r="Y143" s="130" t="n">
        <f aca="false">Horarios!C143</f>
        <v>46221.9583333333</v>
      </c>
      <c r="Z143" s="266" t="n">
        <f aca="false">AH143</f>
        <v>103</v>
      </c>
      <c r="AA143" s="267" t="str">
        <f aca="false">IF(AND(OR(AC138="",AD138="")),"L101",IF(AC138&gt;AD138,AF138,IF(AC138&lt;AD138,AA138,IF(AND(AC138=AD138,AB138=AE138),"L101",IF(AND(AC138=AD138,OR(AB138="",AE138="")),"L101",IF(AND(AC138=AD138,AB138&gt;AE138),AF138,AA138))))))</f>
        <v>L101</v>
      </c>
      <c r="AB143" s="268"/>
      <c r="AC143" s="269"/>
      <c r="AD143" s="269"/>
      <c r="AE143" s="268"/>
      <c r="AF143" s="270" t="str">
        <f aca="false">IF(AND(OR(AC139="",AD139="")),"L102",IF(AC139&gt;AD139,AF139,IF(AC139&lt;AD139,AA139,IF(AND(AC139=AD139,AB139=AE139),"L102",IF(AND(AC139=AD139,OR(AB139="",AE139="")),"L102",IF(AND(AC139=AD139,AB139&gt;AE139),AF139,AA139))))))</f>
        <v>L102</v>
      </c>
      <c r="AG143" s="217" t="n">
        <f aca="false">IF(D143="W"&amp;AH143,0,1)</f>
        <v>0</v>
      </c>
      <c r="AH143" s="258" t="n">
        <v>103</v>
      </c>
      <c r="AI143" s="111"/>
      <c r="AJ143" s="54"/>
      <c r="AK143" s="54"/>
      <c r="AL143" s="54"/>
      <c r="AM143" s="244"/>
      <c r="AN143" s="244"/>
      <c r="AO143" s="244"/>
      <c r="AP143" s="244"/>
      <c r="AQ143" s="244"/>
      <c r="AR143" s="244"/>
      <c r="AS143" s="244"/>
      <c r="AT143" s="244"/>
      <c r="AU143" s="85"/>
      <c r="AV143" s="85"/>
      <c r="AW143" s="244"/>
      <c r="AX143" s="244"/>
      <c r="AY143" s="146"/>
      <c r="AZ143" s="147"/>
      <c r="BA143" s="49"/>
      <c r="BB143" s="55"/>
      <c r="BC143" s="55"/>
      <c r="BD143" s="55"/>
      <c r="BE143" s="55"/>
      <c r="BF143" s="55"/>
      <c r="BG143" s="55"/>
      <c r="BH143" s="55"/>
      <c r="BI143" s="55"/>
      <c r="BJ143" s="55"/>
      <c r="BK143" s="55"/>
      <c r="BL143" s="55"/>
      <c r="BM143" s="55"/>
      <c r="BN143" s="55"/>
      <c r="BO143" s="55"/>
      <c r="BP143" s="55"/>
      <c r="BQ143" s="55"/>
      <c r="BR143" s="55"/>
      <c r="BS143" s="55"/>
      <c r="BT143" s="55"/>
      <c r="BU143" s="55"/>
      <c r="BV143" s="55"/>
      <c r="BW143" s="55"/>
      <c r="BX143" s="55"/>
      <c r="BY143" s="55"/>
      <c r="BZ143" s="55"/>
      <c r="CA143" s="55"/>
      <c r="CB143" s="55"/>
      <c r="CC143" s="55"/>
      <c r="CD143" s="55"/>
      <c r="CE143" s="55"/>
      <c r="CF143" s="55"/>
      <c r="CG143" s="55"/>
      <c r="CH143" s="55"/>
      <c r="CI143" s="55"/>
      <c r="CJ143" s="55"/>
      <c r="CK143" s="55"/>
      <c r="CL143" s="55"/>
      <c r="CM143" s="55"/>
      <c r="CN143" s="55"/>
      <c r="CO143" s="55"/>
      <c r="CP143" s="55"/>
      <c r="CQ143" s="55"/>
      <c r="CR143" s="55"/>
      <c r="CS143" s="55"/>
      <c r="CT143" s="55"/>
      <c r="CU143" s="55"/>
      <c r="CV143" s="55"/>
      <c r="CW143" s="55"/>
      <c r="CX143" s="55"/>
      <c r="CY143" s="55"/>
      <c r="CZ143" s="55"/>
      <c r="DA143" s="55"/>
      <c r="DB143" s="55"/>
      <c r="DC143" s="55"/>
      <c r="DD143" s="55"/>
      <c r="DE143" s="55"/>
      <c r="DF143" s="55"/>
      <c r="DG143" s="55"/>
      <c r="DH143" s="55"/>
      <c r="DI143" s="55"/>
      <c r="DJ143" s="55"/>
      <c r="DK143" s="55"/>
      <c r="DL143" s="55"/>
      <c r="DM143" s="55"/>
      <c r="DN143" s="55"/>
      <c r="DO143" s="55"/>
      <c r="DP143" s="55"/>
      <c r="DQ143" s="55"/>
      <c r="DR143" s="55"/>
      <c r="DS143" s="55"/>
      <c r="DT143" s="55" t="str">
        <f aca="false">AA143&amp;"-"&amp;AF143</f>
        <v>L101-L102</v>
      </c>
      <c r="DU143" s="55"/>
      <c r="DV143" s="55"/>
      <c r="DW143" s="57"/>
    </row>
    <row r="144" customFormat="false" ht="15.75" hidden="false" customHeight="true" outlineLevel="0" collapsed="false">
      <c r="A144" s="39"/>
      <c r="B144" s="39"/>
      <c r="C144" s="39"/>
      <c r="D144" s="195"/>
      <c r="E144" s="55"/>
      <c r="F144" s="55"/>
      <c r="G144" s="55"/>
      <c r="H144" s="55"/>
      <c r="I144" s="55"/>
      <c r="J144" s="55"/>
      <c r="K144" s="55"/>
      <c r="L144" s="55"/>
      <c r="M144" s="55"/>
      <c r="N144" s="55"/>
      <c r="O144" s="55"/>
      <c r="P144" s="55"/>
      <c r="Q144" s="55"/>
      <c r="R144" s="55"/>
      <c r="S144" s="55"/>
      <c r="T144" s="55"/>
      <c r="U144" s="55"/>
      <c r="V144" s="46"/>
      <c r="W144" s="146"/>
      <c r="X144" s="147"/>
      <c r="Y144" s="146"/>
      <c r="Z144" s="148"/>
      <c r="AA144" s="149"/>
      <c r="AB144" s="201"/>
      <c r="AC144" s="151"/>
      <c r="AD144" s="151"/>
      <c r="AE144" s="201"/>
      <c r="AF144" s="152"/>
      <c r="AG144" s="260"/>
      <c r="AH144" s="258"/>
      <c r="AI144" s="111"/>
      <c r="AJ144" s="54"/>
      <c r="AK144" s="54"/>
      <c r="AL144" s="54"/>
      <c r="AM144" s="244"/>
      <c r="AN144" s="244"/>
      <c r="AO144" s="244"/>
      <c r="AP144" s="244"/>
      <c r="AQ144" s="244"/>
      <c r="AR144" s="244"/>
      <c r="AS144" s="244"/>
      <c r="AT144" s="244"/>
      <c r="AU144" s="85"/>
      <c r="AV144" s="85"/>
      <c r="AW144" s="244"/>
      <c r="AX144" s="244"/>
      <c r="AY144" s="146"/>
      <c r="AZ144" s="147"/>
      <c r="BA144" s="49"/>
      <c r="BB144" s="55"/>
      <c r="BC144" s="55"/>
      <c r="BD144" s="55"/>
      <c r="BE144" s="55"/>
      <c r="BF144" s="55"/>
      <c r="BG144" s="55"/>
      <c r="BH144" s="55"/>
      <c r="BI144" s="55"/>
      <c r="BJ144" s="55"/>
      <c r="BK144" s="55"/>
      <c r="BL144" s="55"/>
      <c r="BM144" s="55"/>
      <c r="BN144" s="55"/>
      <c r="BO144" s="55"/>
      <c r="BP144" s="55"/>
      <c r="BQ144" s="55"/>
      <c r="BR144" s="55"/>
      <c r="BS144" s="55"/>
      <c r="BT144" s="55"/>
      <c r="BU144" s="55"/>
      <c r="BV144" s="55"/>
      <c r="BW144" s="55"/>
      <c r="BX144" s="55"/>
      <c r="BY144" s="55"/>
      <c r="BZ144" s="55"/>
      <c r="CA144" s="55"/>
      <c r="CB144" s="55"/>
      <c r="CC144" s="55"/>
      <c r="CD144" s="55"/>
      <c r="CE144" s="55"/>
      <c r="CF144" s="55"/>
      <c r="CG144" s="55"/>
      <c r="CH144" s="55"/>
      <c r="CI144" s="55"/>
      <c r="CJ144" s="55"/>
      <c r="CK144" s="55"/>
      <c r="CL144" s="55"/>
      <c r="CM144" s="55"/>
      <c r="CN144" s="55"/>
      <c r="CO144" s="55"/>
      <c r="CP144" s="55"/>
      <c r="CQ144" s="55"/>
      <c r="CR144" s="55"/>
      <c r="CS144" s="55"/>
      <c r="CT144" s="55"/>
      <c r="CU144" s="55"/>
      <c r="CV144" s="55"/>
      <c r="CW144" s="55"/>
      <c r="CX144" s="55"/>
      <c r="CY144" s="55"/>
      <c r="CZ144" s="55"/>
      <c r="DA144" s="55"/>
      <c r="DB144" s="55"/>
      <c r="DC144" s="55"/>
      <c r="DD144" s="55"/>
      <c r="DE144" s="55"/>
      <c r="DF144" s="55"/>
      <c r="DG144" s="55"/>
      <c r="DH144" s="55"/>
      <c r="DI144" s="55"/>
      <c r="DJ144" s="55"/>
      <c r="DK144" s="55"/>
      <c r="DL144" s="55"/>
      <c r="DM144" s="55"/>
      <c r="DN144" s="55"/>
      <c r="DO144" s="55"/>
      <c r="DP144" s="55"/>
      <c r="DQ144" s="55"/>
      <c r="DR144" s="55"/>
      <c r="DS144" s="55"/>
      <c r="DT144" s="55" t="str">
        <f aca="false">AA144&amp;"-"&amp;AF144</f>
        <v>-</v>
      </c>
      <c r="DU144" s="55"/>
      <c r="DV144" s="55"/>
      <c r="DW144" s="57"/>
    </row>
    <row r="145" customFormat="false" ht="15.75" hidden="false" customHeight="true" outlineLevel="0" collapsed="false">
      <c r="A145" s="39"/>
      <c r="B145" s="39"/>
      <c r="C145" s="39"/>
      <c r="D145" s="195"/>
      <c r="E145" s="55"/>
      <c r="F145" s="55"/>
      <c r="G145" s="55"/>
      <c r="H145" s="55"/>
      <c r="I145" s="55"/>
      <c r="J145" s="55"/>
      <c r="K145" s="55"/>
      <c r="L145" s="55"/>
      <c r="M145" s="55"/>
      <c r="N145" s="55"/>
      <c r="O145" s="55"/>
      <c r="P145" s="55"/>
      <c r="Q145" s="55"/>
      <c r="R145" s="55"/>
      <c r="S145" s="55"/>
      <c r="T145" s="55"/>
      <c r="U145" s="55"/>
      <c r="V145" s="46"/>
      <c r="W145" s="203" t="str">
        <f aca="false">Idiomas!D30</f>
        <v>Final</v>
      </c>
      <c r="X145" s="203"/>
      <c r="Y145" s="203"/>
      <c r="Z145" s="203"/>
      <c r="AA145" s="203"/>
      <c r="AB145" s="203"/>
      <c r="AC145" s="203"/>
      <c r="AD145" s="203"/>
      <c r="AE145" s="203"/>
      <c r="AF145" s="203"/>
      <c r="AG145" s="260"/>
      <c r="AH145" s="258"/>
      <c r="AI145" s="111"/>
      <c r="AJ145" s="54"/>
      <c r="AK145" s="54"/>
      <c r="AL145" s="54"/>
      <c r="AM145" s="244"/>
      <c r="AN145" s="244"/>
      <c r="AO145" s="244"/>
      <c r="AP145" s="244"/>
      <c r="AQ145" s="244"/>
      <c r="AR145" s="244"/>
      <c r="AS145" s="244"/>
      <c r="AT145" s="244"/>
      <c r="AU145" s="85"/>
      <c r="AV145" s="85"/>
      <c r="AW145" s="244"/>
      <c r="AX145" s="244"/>
      <c r="AY145" s="146"/>
      <c r="AZ145" s="147"/>
      <c r="BA145" s="49"/>
      <c r="BB145" s="55"/>
      <c r="BC145" s="55"/>
      <c r="BD145" s="55"/>
      <c r="BE145" s="55"/>
      <c r="BF145" s="55"/>
      <c r="BG145" s="55"/>
      <c r="BH145" s="55"/>
      <c r="BI145" s="55"/>
      <c r="BJ145" s="55"/>
      <c r="BK145" s="55"/>
      <c r="BL145" s="55"/>
      <c r="BM145" s="55"/>
      <c r="BN145" s="55"/>
      <c r="BO145" s="55"/>
      <c r="BP145" s="55"/>
      <c r="BQ145" s="55"/>
      <c r="BR145" s="55"/>
      <c r="BS145" s="55"/>
      <c r="BT145" s="55"/>
      <c r="BU145" s="55"/>
      <c r="BV145" s="55"/>
      <c r="BW145" s="55"/>
      <c r="BX145" s="55"/>
      <c r="BY145" s="55"/>
      <c r="BZ145" s="55"/>
      <c r="CA145" s="55"/>
      <c r="CB145" s="55"/>
      <c r="CC145" s="55"/>
      <c r="CD145" s="55"/>
      <c r="CE145" s="55"/>
      <c r="CF145" s="55"/>
      <c r="CG145" s="55"/>
      <c r="CH145" s="55"/>
      <c r="CI145" s="55"/>
      <c r="CJ145" s="55"/>
      <c r="CK145" s="55"/>
      <c r="CL145" s="55"/>
      <c r="CM145" s="55"/>
      <c r="CN145" s="55"/>
      <c r="CO145" s="55"/>
      <c r="CP145" s="55"/>
      <c r="CQ145" s="55"/>
      <c r="CR145" s="55"/>
      <c r="CS145" s="55"/>
      <c r="CT145" s="55"/>
      <c r="CU145" s="55"/>
      <c r="CV145" s="55"/>
      <c r="CW145" s="55"/>
      <c r="CX145" s="55"/>
      <c r="CY145" s="55"/>
      <c r="CZ145" s="55"/>
      <c r="DA145" s="55"/>
      <c r="DB145" s="55"/>
      <c r="DC145" s="55"/>
      <c r="DD145" s="55"/>
      <c r="DE145" s="55"/>
      <c r="DF145" s="55"/>
      <c r="DG145" s="55"/>
      <c r="DH145" s="55"/>
      <c r="DI145" s="55"/>
      <c r="DJ145" s="55"/>
      <c r="DK145" s="55"/>
      <c r="DL145" s="55"/>
      <c r="DM145" s="55"/>
      <c r="DN145" s="55"/>
      <c r="DO145" s="55"/>
      <c r="DP145" s="55"/>
      <c r="DQ145" s="55"/>
      <c r="DR145" s="55"/>
      <c r="DS145" s="55"/>
      <c r="DT145" s="55" t="str">
        <f aca="false">AA145&amp;"-"&amp;AF145</f>
        <v>-</v>
      </c>
      <c r="DU145" s="55"/>
      <c r="DV145" s="55"/>
      <c r="DW145" s="57"/>
    </row>
    <row r="146" customFormat="false" ht="15.75" hidden="false" customHeight="true" outlineLevel="0" collapsed="false">
      <c r="A146" s="39"/>
      <c r="B146" s="39"/>
      <c r="C146" s="39"/>
      <c r="D146" s="195"/>
      <c r="E146" s="55"/>
      <c r="F146" s="55"/>
      <c r="G146" s="55"/>
      <c r="H146" s="55"/>
      <c r="I146" s="55"/>
      <c r="J146" s="55"/>
      <c r="K146" s="55"/>
      <c r="L146" s="55"/>
      <c r="M146" s="55"/>
      <c r="N146" s="55"/>
      <c r="O146" s="55"/>
      <c r="P146" s="55"/>
      <c r="Q146" s="55"/>
      <c r="R146" s="55"/>
      <c r="S146" s="55"/>
      <c r="T146" s="55"/>
      <c r="U146" s="55"/>
      <c r="V146" s="46"/>
      <c r="W146" s="59"/>
      <c r="X146" s="60" t="str">
        <f aca="false">X3</f>
        <v>Fecha</v>
      </c>
      <c r="Y146" s="60" t="str">
        <f aca="false">Y3</f>
        <v>Hora</v>
      </c>
      <c r="Z146" s="197"/>
      <c r="AA146" s="198" t="str">
        <f aca="false">AA3</f>
        <v>Casa</v>
      </c>
      <c r="AB146" s="197" t="s">
        <v>145</v>
      </c>
      <c r="AC146" s="60" t="s">
        <v>218</v>
      </c>
      <c r="AD146" s="60" t="s">
        <v>218</v>
      </c>
      <c r="AE146" s="197" t="s">
        <v>145</v>
      </c>
      <c r="AF146" s="199" t="str">
        <f aca="false">AF3</f>
        <v>Fuera</v>
      </c>
      <c r="AG146" s="260"/>
      <c r="AH146" s="258"/>
      <c r="AI146" s="50"/>
      <c r="AJ146" s="47"/>
      <c r="AK146" s="47"/>
      <c r="AL146" s="54"/>
      <c r="AM146" s="244"/>
      <c r="AN146" s="244"/>
      <c r="AO146" s="244"/>
      <c r="AP146" s="244"/>
      <c r="AQ146" s="244"/>
      <c r="AR146" s="244"/>
      <c r="AS146" s="244"/>
      <c r="AT146" s="244"/>
      <c r="AU146" s="85"/>
      <c r="AV146" s="85"/>
      <c r="AW146" s="244"/>
      <c r="AX146" s="244"/>
      <c r="AY146" s="146"/>
      <c r="AZ146" s="147"/>
      <c r="BA146" s="49"/>
      <c r="BB146" s="55"/>
      <c r="BC146" s="55"/>
      <c r="BD146" s="55"/>
      <c r="BE146" s="55"/>
      <c r="BF146" s="55"/>
      <c r="BG146" s="55"/>
      <c r="BH146" s="55"/>
      <c r="BI146" s="55"/>
      <c r="BJ146" s="55"/>
      <c r="BK146" s="55"/>
      <c r="BL146" s="55"/>
      <c r="BM146" s="55"/>
      <c r="BN146" s="55"/>
      <c r="BO146" s="55"/>
      <c r="BP146" s="55"/>
      <c r="BQ146" s="55"/>
      <c r="BR146" s="55"/>
      <c r="BS146" s="55"/>
      <c r="BT146" s="55"/>
      <c r="BU146" s="55"/>
      <c r="BV146" s="55"/>
      <c r="BW146" s="55"/>
      <c r="BX146" s="55"/>
      <c r="BY146" s="55"/>
      <c r="BZ146" s="55"/>
      <c r="CA146" s="55"/>
      <c r="CB146" s="55"/>
      <c r="CC146" s="55"/>
      <c r="CD146" s="55"/>
      <c r="CE146" s="55"/>
      <c r="CF146" s="55"/>
      <c r="CG146" s="55"/>
      <c r="CH146" s="55"/>
      <c r="CI146" s="55"/>
      <c r="CJ146" s="55"/>
      <c r="CK146" s="55"/>
      <c r="CL146" s="55"/>
      <c r="CM146" s="55"/>
      <c r="CN146" s="55"/>
      <c r="CO146" s="55"/>
      <c r="CP146" s="55"/>
      <c r="CQ146" s="55"/>
      <c r="CR146" s="55"/>
      <c r="CS146" s="55"/>
      <c r="CT146" s="55"/>
      <c r="CU146" s="55"/>
      <c r="CV146" s="55"/>
      <c r="CW146" s="55"/>
      <c r="CX146" s="55"/>
      <c r="CY146" s="55"/>
      <c r="CZ146" s="55"/>
      <c r="DA146" s="55"/>
      <c r="DB146" s="55"/>
      <c r="DC146" s="55"/>
      <c r="DD146" s="55"/>
      <c r="DE146" s="55"/>
      <c r="DF146" s="55"/>
      <c r="DG146" s="55"/>
      <c r="DH146" s="55"/>
      <c r="DI146" s="55"/>
      <c r="DJ146" s="55"/>
      <c r="DK146" s="55"/>
      <c r="DL146" s="55"/>
      <c r="DM146" s="55"/>
      <c r="DN146" s="55"/>
      <c r="DO146" s="55"/>
      <c r="DP146" s="55"/>
      <c r="DQ146" s="55"/>
      <c r="DR146" s="55"/>
      <c r="DS146" s="55"/>
      <c r="DT146" s="55" t="str">
        <f aca="false">AA146&amp;"-"&amp;AF146</f>
        <v>Casa-Fuera</v>
      </c>
      <c r="DU146" s="55"/>
      <c r="DV146" s="55"/>
      <c r="DW146" s="57"/>
    </row>
    <row r="147" customFormat="false" ht="15.75" hidden="false" customHeight="true" outlineLevel="0" collapsed="false">
      <c r="A147" s="120" t="s">
        <v>230</v>
      </c>
      <c r="B147" s="120" t="s">
        <v>231</v>
      </c>
      <c r="C147" s="39"/>
      <c r="D147" s="195" t="str">
        <f aca="false">IF(AND(OR(AC147="",AD147="")),"W"&amp;AH147,IF(AC147&gt;AD147,AA147,IF(AC147&lt;AD147,AF147,IF(AND(AC147=AD147,AB147=AE147),"W"&amp;AH147,IF(AND(AC147=AD147,OR(AB147="",AE147="")),"W"&amp;AH147,IF(AND(AC147=AD147,AB147&gt;AE147),AA147,AF147))))))</f>
        <v>W104</v>
      </c>
      <c r="E147" s="55" t="n">
        <v>101</v>
      </c>
      <c r="F147" s="55" t="n">
        <v>102</v>
      </c>
      <c r="G147" s="55"/>
      <c r="H147" s="55" t="str">
        <f aca="false">IF(AND(OR(AC147="",AD147="")),"LF",IF(AC147&gt;AD147,AF147,IF(AC147&lt;AD147,AA147,IF(AND(AC147=AD147,AB147=AE147),"LF",IF(AND(AC147=AD147,OR(AB147="",AE147="")),"LF",IF(AND(AC147=AD147,AB147&gt;AE147),AF147,AA147))))))</f>
        <v>LF</v>
      </c>
      <c r="I147" s="55"/>
      <c r="J147" s="120" t="n">
        <v>104</v>
      </c>
      <c r="K147" s="120" t="n">
        <v>46222.875</v>
      </c>
      <c r="L147" s="120" t="s">
        <v>232</v>
      </c>
      <c r="M147" s="120" t="str">
        <f aca="false">+INDEX($D$101:$D$147,MATCH(E147,$AH$101:$AH$147,0))</f>
        <v>W101</v>
      </c>
      <c r="N147" s="120" t="str">
        <f aca="false">+INDEX($D$101:$D$147,MATCH(F147,$AH$101:$AH$147,0))</f>
        <v>W102</v>
      </c>
      <c r="O147" s="120"/>
      <c r="P147" s="120"/>
      <c r="Q147" s="120"/>
      <c r="R147" s="120"/>
      <c r="S147" s="120"/>
      <c r="T147" s="120"/>
      <c r="U147" s="120"/>
      <c r="V147" s="46"/>
      <c r="W147" s="271" t="s">
        <v>120</v>
      </c>
      <c r="X147" s="129" t="n">
        <f aca="false">Horarios!C147</f>
        <v>46222.875</v>
      </c>
      <c r="Y147" s="130" t="n">
        <f aca="false">Horarios!C147</f>
        <v>46222.875</v>
      </c>
      <c r="Z147" s="266" t="n">
        <f aca="false">AH147</f>
        <v>104</v>
      </c>
      <c r="AA147" s="267" t="str">
        <f aca="false">IF(AND(OR(AC138="",AD138="")),"W"&amp;AH138,IF(AC138&gt;AD138,AA138,IF(AC138&lt;AD138,AF138,IF(AND(AC138=AD138,AB138=AE138),"W"&amp;AH138,IF(AND(AC138=AD138,OR(AB138="",AE138="")),"W"&amp;AH138,IF(AND(AC138=AD138,AB138&gt;AE138),AA138,AF138))))))</f>
        <v>W101</v>
      </c>
      <c r="AB147" s="268"/>
      <c r="AC147" s="269"/>
      <c r="AD147" s="269"/>
      <c r="AE147" s="268"/>
      <c r="AF147" s="270" t="str">
        <f aca="false">IF(AND(OR(AC139="",AD139="")),"W"&amp;AH139,IF(AC139&gt;AD139,AA139,IF(AC139&lt;AD139,AF139,IF(AND(AC139=AD139,AB139=AE139),"W"&amp;AH139,IF(AND(AC139=AD139,OR(AB139="",AE139="")),"W"&amp;AH139,IF(AND(AC139=AD139,AB139&gt;AE139),AA139,AF139))))))</f>
        <v>W102</v>
      </c>
      <c r="AG147" s="217" t="n">
        <f aca="false">IF(D147="W"&amp;AH147,0,1)</f>
        <v>0</v>
      </c>
      <c r="AH147" s="258" t="n">
        <v>104</v>
      </c>
      <c r="AI147" s="50"/>
      <c r="AJ147" s="47"/>
      <c r="AK147" s="47"/>
      <c r="AL147" s="54"/>
      <c r="AM147" s="47"/>
      <c r="AN147" s="47"/>
      <c r="AO147" s="47"/>
      <c r="AP147" s="48"/>
      <c r="AQ147" s="48"/>
      <c r="AR147" s="48"/>
      <c r="AS147" s="48"/>
      <c r="AT147" s="48"/>
      <c r="AU147" s="51"/>
      <c r="AV147" s="51"/>
      <c r="AW147" s="54"/>
      <c r="AX147" s="54"/>
      <c r="AY147" s="146"/>
      <c r="AZ147" s="147"/>
      <c r="BA147" s="49"/>
      <c r="BB147" s="55"/>
      <c r="BC147" s="55"/>
      <c r="BD147" s="55"/>
      <c r="BE147" s="55"/>
      <c r="BF147" s="55"/>
      <c r="BG147" s="55"/>
      <c r="BH147" s="55"/>
      <c r="BI147" s="55"/>
      <c r="BJ147" s="55"/>
      <c r="BK147" s="55"/>
      <c r="BL147" s="55"/>
      <c r="BM147" s="55"/>
      <c r="BN147" s="55"/>
      <c r="BO147" s="55"/>
      <c r="BP147" s="55"/>
      <c r="BQ147" s="55"/>
      <c r="BR147" s="55"/>
      <c r="BS147" s="55"/>
      <c r="BT147" s="55"/>
      <c r="BU147" s="55"/>
      <c r="BV147" s="55"/>
      <c r="BW147" s="55"/>
      <c r="BX147" s="55"/>
      <c r="BY147" s="55"/>
      <c r="BZ147" s="55"/>
      <c r="CA147" s="55"/>
      <c r="CB147" s="55"/>
      <c r="CC147" s="55"/>
      <c r="CD147" s="55"/>
      <c r="CE147" s="55"/>
      <c r="CF147" s="55"/>
      <c r="CG147" s="55"/>
      <c r="CH147" s="55"/>
      <c r="CI147" s="55"/>
      <c r="CJ147" s="55"/>
      <c r="CK147" s="55"/>
      <c r="CL147" s="55"/>
      <c r="CM147" s="55"/>
      <c r="CN147" s="55"/>
      <c r="CO147" s="55"/>
      <c r="CP147" s="55"/>
      <c r="CQ147" s="55"/>
      <c r="CR147" s="55"/>
      <c r="CS147" s="55"/>
      <c r="CT147" s="55"/>
      <c r="CU147" s="55"/>
      <c r="CV147" s="55"/>
      <c r="CW147" s="55"/>
      <c r="CX147" s="55"/>
      <c r="CY147" s="55"/>
      <c r="CZ147" s="55"/>
      <c r="DA147" s="55"/>
      <c r="DB147" s="55"/>
      <c r="DC147" s="55"/>
      <c r="DD147" s="55"/>
      <c r="DE147" s="55"/>
      <c r="DF147" s="55"/>
      <c r="DG147" s="55"/>
      <c r="DH147" s="55"/>
      <c r="DI147" s="55"/>
      <c r="DJ147" s="55"/>
      <c r="DK147" s="55"/>
      <c r="DL147" s="55"/>
      <c r="DM147" s="55"/>
      <c r="DN147" s="55"/>
      <c r="DO147" s="55"/>
      <c r="DP147" s="55"/>
      <c r="DQ147" s="55"/>
      <c r="DR147" s="55"/>
      <c r="DS147" s="55"/>
      <c r="DT147" s="55" t="str">
        <f aca="false">AA147&amp;"-"&amp;AF147</f>
        <v>W101-W102</v>
      </c>
      <c r="DU147" s="55"/>
      <c r="DV147" s="55"/>
      <c r="DW147" s="57"/>
    </row>
    <row r="148" customFormat="false" ht="15.75" hidden="false" customHeight="true" outlineLevel="0" collapsed="false">
      <c r="C148" s="30"/>
      <c r="D148" s="30"/>
      <c r="E148" s="30"/>
      <c r="F148" s="30"/>
      <c r="G148" s="30"/>
      <c r="H148" s="30"/>
      <c r="I148" s="30"/>
      <c r="J148" s="30"/>
      <c r="K148" s="30"/>
      <c r="L148" s="30"/>
      <c r="M148" s="30"/>
      <c r="N148" s="30"/>
      <c r="O148" s="30"/>
      <c r="P148" s="30"/>
      <c r="Q148" s="30"/>
      <c r="R148" s="30"/>
      <c r="S148" s="30"/>
      <c r="T148" s="30"/>
      <c r="U148" s="30"/>
      <c r="V148" s="46"/>
      <c r="W148" s="146"/>
      <c r="X148" s="147"/>
      <c r="Y148" s="146"/>
      <c r="Z148" s="148"/>
      <c r="AA148" s="149"/>
      <c r="AB148" s="201"/>
      <c r="AC148" s="151"/>
      <c r="AD148" s="151"/>
      <c r="AE148" s="201"/>
      <c r="AF148" s="152"/>
      <c r="AG148" s="260"/>
      <c r="AH148" s="272"/>
      <c r="AI148" s="272"/>
      <c r="AJ148" s="244"/>
      <c r="AK148" s="244"/>
      <c r="AL148" s="85" t="str">
        <f aca="false">Idiomas!D49</f>
        <v>MUNDIAL EN CURSO</v>
      </c>
      <c r="AM148" s="85" t="str">
        <f aca="false">Idiomas!D50</f>
        <v>Todavía hay emoción</v>
      </c>
      <c r="AN148" s="244"/>
      <c r="AO148" s="244"/>
      <c r="AP148" s="244"/>
      <c r="AQ148" s="244"/>
      <c r="AR148" s="244"/>
      <c r="AS148" s="244"/>
      <c r="AT148" s="244"/>
      <c r="AU148" s="85"/>
      <c r="AV148" s="85"/>
      <c r="AW148" s="244"/>
      <c r="AX148" s="244"/>
      <c r="AY148" s="146"/>
      <c r="AZ148" s="147"/>
      <c r="BA148" s="49"/>
      <c r="BB148" s="55"/>
      <c r="BC148" s="55"/>
      <c r="BD148" s="55"/>
      <c r="BE148" s="55"/>
      <c r="BF148" s="55"/>
      <c r="BG148" s="55"/>
      <c r="BH148" s="55"/>
      <c r="BI148" s="55"/>
      <c r="BJ148" s="55"/>
      <c r="BK148" s="55"/>
      <c r="BL148" s="55"/>
      <c r="BM148" s="55"/>
      <c r="BN148" s="55"/>
      <c r="BO148" s="55"/>
      <c r="BP148" s="55"/>
      <c r="BQ148" s="55"/>
      <c r="BR148" s="55"/>
      <c r="BS148" s="55"/>
      <c r="BT148" s="55"/>
      <c r="BU148" s="55"/>
      <c r="BV148" s="55"/>
      <c r="BW148" s="55"/>
      <c r="BX148" s="55"/>
      <c r="BY148" s="55"/>
      <c r="BZ148" s="55"/>
      <c r="CA148" s="55"/>
      <c r="CB148" s="55"/>
      <c r="CC148" s="55"/>
      <c r="CD148" s="55"/>
      <c r="CE148" s="55"/>
      <c r="CF148" s="55"/>
      <c r="CG148" s="55"/>
      <c r="CH148" s="55"/>
      <c r="CI148" s="55"/>
      <c r="CJ148" s="55"/>
      <c r="CK148" s="55"/>
      <c r="CL148" s="55"/>
      <c r="CM148" s="55"/>
      <c r="CN148" s="55"/>
      <c r="CO148" s="55"/>
      <c r="CP148" s="55"/>
      <c r="CQ148" s="55"/>
      <c r="CR148" s="55"/>
      <c r="CS148" s="55"/>
      <c r="CT148" s="55"/>
      <c r="CU148" s="55"/>
      <c r="CV148" s="55"/>
      <c r="CW148" s="55"/>
      <c r="CX148" s="55"/>
      <c r="CY148" s="55"/>
      <c r="CZ148" s="55"/>
      <c r="DA148" s="55"/>
      <c r="DB148" s="55"/>
      <c r="DC148" s="55"/>
      <c r="DD148" s="55"/>
      <c r="DE148" s="55"/>
      <c r="DF148" s="55"/>
      <c r="DG148" s="55"/>
      <c r="DH148" s="55"/>
      <c r="DI148" s="55"/>
      <c r="DJ148" s="55"/>
      <c r="DK148" s="55"/>
      <c r="DL148" s="55"/>
      <c r="DM148" s="55"/>
      <c r="DN148" s="55"/>
      <c r="DO148" s="55"/>
      <c r="DP148" s="55"/>
      <c r="DQ148" s="55"/>
      <c r="DR148" s="55"/>
      <c r="DS148" s="55"/>
      <c r="DT148" s="55"/>
      <c r="DU148" s="55"/>
      <c r="DV148" s="55"/>
      <c r="DW148" s="57"/>
    </row>
    <row r="149" customFormat="false" ht="15.75" hidden="false" customHeight="true" outlineLevel="0" collapsed="false">
      <c r="A149" s="273"/>
      <c r="B149" s="273"/>
      <c r="C149" s="273"/>
      <c r="D149" s="273"/>
      <c r="E149" s="273"/>
      <c r="F149" s="273"/>
      <c r="G149" s="273"/>
      <c r="H149" s="273"/>
      <c r="I149" s="273"/>
      <c r="J149" s="273"/>
      <c r="K149" s="273"/>
      <c r="L149" s="273"/>
      <c r="M149" s="273"/>
      <c r="N149" s="273"/>
      <c r="O149" s="273"/>
      <c r="P149" s="273"/>
      <c r="Q149" s="273"/>
      <c r="R149" s="273"/>
      <c r="S149" s="273"/>
      <c r="T149" s="273"/>
      <c r="U149" s="273"/>
      <c r="V149" s="46"/>
      <c r="W149" s="274"/>
      <c r="X149" s="275"/>
      <c r="Y149" s="276"/>
      <c r="Z149" s="276"/>
      <c r="AA149" s="62" t="str">
        <f aca="false">Idiomas!D31</f>
        <v>Cuadro de honor</v>
      </c>
      <c r="AB149" s="276"/>
      <c r="AC149" s="275"/>
      <c r="AD149" s="275"/>
      <c r="AE149" s="276"/>
      <c r="AF149" s="277"/>
      <c r="AG149" s="278"/>
      <c r="AH149" s="279"/>
      <c r="AI149" s="272"/>
      <c r="AJ149" s="244"/>
      <c r="AK149" s="244"/>
      <c r="AL149" s="85" t="str">
        <f aca="false">Idiomas!D51</f>
        <v>MUNDIAL FINALIZADO</v>
      </c>
      <c r="AM149" s="85" t="str">
        <f aca="false">Idiomas!D52</f>
        <v>¿Quién habrá ganado?</v>
      </c>
      <c r="AN149" s="244"/>
      <c r="AO149" s="244"/>
      <c r="AP149" s="244"/>
      <c r="AQ149" s="244"/>
      <c r="AR149" s="244"/>
      <c r="AS149" s="244"/>
      <c r="AT149" s="244"/>
      <c r="AU149" s="85"/>
      <c r="AV149" s="85"/>
      <c r="AW149" s="244"/>
      <c r="AX149" s="244"/>
      <c r="AY149" s="146"/>
      <c r="AZ149" s="147"/>
      <c r="BA149" s="49"/>
      <c r="BB149" s="55"/>
      <c r="BC149" s="55"/>
      <c r="BD149" s="55"/>
      <c r="BE149" s="55"/>
      <c r="BF149" s="55"/>
      <c r="BG149" s="55"/>
      <c r="BH149" s="55"/>
      <c r="BI149" s="55"/>
      <c r="BJ149" s="55"/>
      <c r="BK149" s="55"/>
      <c r="BL149" s="55"/>
      <c r="BM149" s="55"/>
      <c r="BN149" s="55"/>
      <c r="BO149" s="55"/>
      <c r="BP149" s="55"/>
      <c r="BQ149" s="55"/>
      <c r="BR149" s="55"/>
      <c r="BS149" s="55"/>
      <c r="BT149" s="55"/>
      <c r="BU149" s="55"/>
      <c r="BV149" s="55"/>
      <c r="BW149" s="55"/>
      <c r="BX149" s="55"/>
      <c r="BY149" s="55"/>
      <c r="BZ149" s="55"/>
      <c r="CA149" s="55"/>
      <c r="CB149" s="55"/>
      <c r="CC149" s="55"/>
      <c r="CD149" s="55"/>
      <c r="CE149" s="55"/>
      <c r="CF149" s="55"/>
      <c r="CG149" s="55"/>
      <c r="CH149" s="55"/>
      <c r="CI149" s="55"/>
      <c r="CJ149" s="55"/>
      <c r="CK149" s="55"/>
      <c r="CL149" s="55"/>
      <c r="CM149" s="55"/>
      <c r="CN149" s="55"/>
      <c r="CO149" s="55"/>
      <c r="CP149" s="55"/>
      <c r="CQ149" s="55"/>
      <c r="CR149" s="55"/>
      <c r="CS149" s="55"/>
      <c r="CT149" s="55"/>
      <c r="CU149" s="55"/>
      <c r="CV149" s="55"/>
      <c r="CW149" s="55"/>
      <c r="CX149" s="55"/>
      <c r="CY149" s="55"/>
      <c r="CZ149" s="55"/>
      <c r="DA149" s="55"/>
      <c r="DB149" s="55"/>
      <c r="DC149" s="55"/>
      <c r="DD149" s="55"/>
      <c r="DE149" s="55"/>
      <c r="DF149" s="55"/>
      <c r="DG149" s="55"/>
      <c r="DH149" s="55"/>
      <c r="DI149" s="55"/>
      <c r="DJ149" s="55"/>
      <c r="DK149" s="55"/>
      <c r="DL149" s="55"/>
      <c r="DM149" s="55"/>
      <c r="DN149" s="55"/>
      <c r="DO149" s="55"/>
      <c r="DP149" s="55"/>
      <c r="DQ149" s="55"/>
      <c r="DR149" s="55"/>
      <c r="DS149" s="55"/>
      <c r="DT149" s="55"/>
      <c r="DU149" s="55"/>
      <c r="DV149" s="55"/>
      <c r="DW149" s="57"/>
    </row>
    <row r="150" customFormat="false" ht="15.75" hidden="false" customHeight="true" outlineLevel="0" collapsed="false">
      <c r="A150" s="273"/>
      <c r="B150" s="273"/>
      <c r="C150" s="273"/>
      <c r="D150" s="273"/>
      <c r="E150" s="273"/>
      <c r="F150" s="273"/>
      <c r="G150" s="273"/>
      <c r="H150" s="273"/>
      <c r="I150" s="273"/>
      <c r="J150" s="273"/>
      <c r="K150" s="273"/>
      <c r="L150" s="273"/>
      <c r="M150" s="273"/>
      <c r="N150" s="273"/>
      <c r="O150" s="273"/>
      <c r="P150" s="273"/>
      <c r="Q150" s="273"/>
      <c r="R150" s="273"/>
      <c r="S150" s="273"/>
      <c r="T150" s="273"/>
      <c r="U150" s="273"/>
      <c r="V150" s="46"/>
      <c r="W150" s="280" t="str">
        <f aca="false">"🥇"&amp;Idiomas!D32</f>
        <v>🥇Campeón</v>
      </c>
      <c r="X150" s="281"/>
      <c r="Y150" s="282"/>
      <c r="Z150" s="282"/>
      <c r="AA150" s="283" t="str">
        <f aca="false">IF(AND(OR(AC147="",AD147="")),"WF",IF(AC147&gt;AD147,AA147,IF(AC147&lt;AD147,AF147,IF(AND(AC147=AD147,AB147=AE147),"WF",IF(AND(AC147=AD147,OR(AB147="",AE147="")),"WF",IF(AND(AC147=AD147,AB147&gt;AE147),AA147,AF147))))))</f>
        <v>WF</v>
      </c>
      <c r="AB150" s="284"/>
      <c r="AC150" s="284"/>
      <c r="AD150" s="284"/>
      <c r="AE150" s="284"/>
      <c r="AF150" s="285"/>
      <c r="AG150" s="217" t="n">
        <f aca="false">IF(AA150="WF",0,1)</f>
        <v>0</v>
      </c>
      <c r="AH150" s="279"/>
      <c r="AI150" s="279"/>
      <c r="AJ150" s="47"/>
      <c r="AK150" s="47"/>
      <c r="AL150" s="47"/>
      <c r="AM150" s="47"/>
      <c r="AN150" s="47"/>
      <c r="AO150" s="47"/>
      <c r="AP150" s="47"/>
      <c r="AQ150" s="47"/>
      <c r="AR150" s="47"/>
      <c r="AS150" s="47"/>
      <c r="AT150" s="47"/>
      <c r="AU150" s="279"/>
      <c r="AV150" s="279"/>
      <c r="AW150" s="47"/>
      <c r="AX150" s="47"/>
      <c r="AY150" s="146"/>
      <c r="AZ150" s="147"/>
      <c r="BA150" s="49"/>
      <c r="BB150" s="55"/>
      <c r="BC150" s="55"/>
      <c r="BD150" s="55"/>
      <c r="BE150" s="55"/>
      <c r="BF150" s="55"/>
      <c r="BG150" s="55"/>
      <c r="BH150" s="55"/>
      <c r="BI150" s="55"/>
      <c r="BJ150" s="55"/>
      <c r="BK150" s="55"/>
      <c r="BL150" s="55"/>
      <c r="BM150" s="55"/>
      <c r="BN150" s="55"/>
      <c r="BO150" s="55"/>
      <c r="BP150" s="55"/>
      <c r="BQ150" s="55"/>
      <c r="BR150" s="55"/>
      <c r="BS150" s="55"/>
      <c r="BT150" s="55"/>
      <c r="BU150" s="55"/>
      <c r="BV150" s="55"/>
      <c r="BW150" s="55"/>
      <c r="BX150" s="55"/>
      <c r="BY150" s="55"/>
      <c r="BZ150" s="55"/>
      <c r="CA150" s="55"/>
      <c r="CB150" s="55"/>
      <c r="CC150" s="55"/>
      <c r="CD150" s="55"/>
      <c r="CE150" s="55"/>
      <c r="CF150" s="55"/>
      <c r="CG150" s="55"/>
      <c r="CH150" s="55"/>
      <c r="CI150" s="55"/>
      <c r="CJ150" s="55"/>
      <c r="CK150" s="55"/>
      <c r="CL150" s="55"/>
      <c r="CM150" s="55"/>
      <c r="CN150" s="55"/>
      <c r="CO150" s="55"/>
      <c r="CP150" s="55"/>
      <c r="CQ150" s="55"/>
      <c r="CR150" s="55"/>
      <c r="CS150" s="55"/>
      <c r="CT150" s="55"/>
      <c r="CU150" s="55"/>
      <c r="CV150" s="55"/>
      <c r="CW150" s="55"/>
      <c r="CX150" s="55"/>
      <c r="CY150" s="55"/>
      <c r="CZ150" s="55"/>
      <c r="DA150" s="55"/>
      <c r="DB150" s="55"/>
      <c r="DC150" s="55"/>
      <c r="DD150" s="55"/>
      <c r="DE150" s="55"/>
      <c r="DF150" s="55"/>
      <c r="DG150" s="55"/>
      <c r="DH150" s="55"/>
      <c r="DI150" s="55"/>
      <c r="DJ150" s="55"/>
      <c r="DK150" s="55"/>
      <c r="DL150" s="55"/>
      <c r="DM150" s="55"/>
      <c r="DN150" s="55"/>
      <c r="DO150" s="55"/>
      <c r="DP150" s="55"/>
      <c r="DQ150" s="55"/>
      <c r="DR150" s="55"/>
      <c r="DS150" s="55"/>
      <c r="DT150" s="55"/>
      <c r="DU150" s="55"/>
      <c r="DV150" s="55"/>
      <c r="DW150" s="57"/>
    </row>
    <row r="151" customFormat="false" ht="15.75" hidden="false" customHeight="true" outlineLevel="0" collapsed="false">
      <c r="A151" s="273"/>
      <c r="B151" s="273"/>
      <c r="C151" s="273"/>
      <c r="D151" s="273"/>
      <c r="E151" s="273"/>
      <c r="F151" s="273"/>
      <c r="G151" s="273"/>
      <c r="H151" s="273"/>
      <c r="I151" s="273"/>
      <c r="J151" s="273"/>
      <c r="K151" s="273"/>
      <c r="L151" s="273"/>
      <c r="M151" s="273"/>
      <c r="N151" s="273"/>
      <c r="O151" s="273"/>
      <c r="P151" s="273"/>
      <c r="Q151" s="273"/>
      <c r="R151" s="273"/>
      <c r="S151" s="273"/>
      <c r="T151" s="273"/>
      <c r="U151" s="273"/>
      <c r="V151" s="46"/>
      <c r="W151" s="280" t="str">
        <f aca="false">"🥈"&amp;Idiomas!D33</f>
        <v>🥈Subcampeón</v>
      </c>
      <c r="X151" s="281"/>
      <c r="Y151" s="282"/>
      <c r="Z151" s="282"/>
      <c r="AA151" s="286" t="str">
        <f aca="false">IF(AND(OR(AC147="",AD147="")),"LF",IF(AC147&gt;AD147,AF147,IF(AC147&lt;AD147,AA147,IF(AND(AC147=AD147,AB147=AE147),"LF",IF(AND(AC147=AD147,OR(AB147="",AE147="")),"LF",IF(AND(AC147=AD147,AB147&gt;AE147),AF147,AA147))))))</f>
        <v>LF</v>
      </c>
      <c r="AB151" s="287"/>
      <c r="AC151" s="287"/>
      <c r="AD151" s="287"/>
      <c r="AE151" s="287"/>
      <c r="AF151" s="288"/>
      <c r="AG151" s="217" t="n">
        <f aca="false">IF(AA151="LF",0,1)</f>
        <v>0</v>
      </c>
      <c r="AH151" s="279"/>
      <c r="AI151" s="279"/>
      <c r="AJ151" s="289" t="str">
        <f aca="false">IF(SUM(COUNTIF(AG4:AG97,0),COUNTIF(AG101:AG160,0)&gt;0),AL148,AL149)</f>
        <v>MUNDIAL EN CURSO</v>
      </c>
      <c r="AK151" s="289"/>
      <c r="AL151" s="289"/>
      <c r="AM151" s="289"/>
      <c r="AN151" s="289"/>
      <c r="AO151" s="289"/>
      <c r="AP151" s="289"/>
      <c r="AQ151" s="289"/>
      <c r="AR151" s="289"/>
      <c r="AS151" s="289"/>
      <c r="AT151" s="289"/>
      <c r="AU151" s="289"/>
      <c r="AV151" s="290"/>
      <c r="AW151" s="147"/>
      <c r="AX151" s="146"/>
      <c r="AY151" s="148"/>
      <c r="AZ151" s="149"/>
      <c r="BA151" s="49"/>
      <c r="DW151" s="57"/>
    </row>
    <row r="152" customFormat="false" ht="15.75" hidden="false" customHeight="true" outlineLevel="0" collapsed="false">
      <c r="A152" s="273"/>
      <c r="B152" s="273"/>
      <c r="C152" s="273"/>
      <c r="D152" s="273"/>
      <c r="E152" s="273"/>
      <c r="F152" s="273"/>
      <c r="G152" s="273"/>
      <c r="H152" s="273"/>
      <c r="I152" s="273"/>
      <c r="J152" s="273"/>
      <c r="K152" s="273"/>
      <c r="L152" s="273"/>
      <c r="M152" s="273"/>
      <c r="N152" s="273"/>
      <c r="O152" s="273"/>
      <c r="P152" s="273"/>
      <c r="Q152" s="273"/>
      <c r="R152" s="273"/>
      <c r="S152" s="273"/>
      <c r="T152" s="273"/>
      <c r="U152" s="273"/>
      <c r="V152" s="46"/>
      <c r="W152" s="291" t="str">
        <f aca="false">"🥉"&amp;Idiomas!D34</f>
        <v>🥉3º puesto</v>
      </c>
      <c r="X152" s="292"/>
      <c r="Y152" s="293"/>
      <c r="Z152" s="293"/>
      <c r="AA152" s="294" t="str">
        <f aca="false">IF(AND(OR(AC143="",AD143="")),"W34",IF(AC143&gt;AD143,AA143,IF(AC143&lt;AD143,AF143,IF(AND(AC143=AD143,AB143=AE143),"W34",IF(AND(AC143=AD143,OR(AB143="",AE143="")),"W34",IF(AND(AC143=AD143,AB143&gt;AE143),AA143,AF143))))))</f>
        <v>W34</v>
      </c>
      <c r="AB152" s="295"/>
      <c r="AC152" s="295"/>
      <c r="AD152" s="295"/>
      <c r="AE152" s="295"/>
      <c r="AF152" s="296"/>
      <c r="AG152" s="217" t="n">
        <f aca="false">IF(AA152="W34",0,1)</f>
        <v>0</v>
      </c>
      <c r="AH152" s="279"/>
      <c r="AI152" s="279"/>
      <c r="AJ152" s="289"/>
      <c r="AK152" s="289"/>
      <c r="AL152" s="289"/>
      <c r="AM152" s="289"/>
      <c r="AN152" s="289"/>
      <c r="AO152" s="289"/>
      <c r="AP152" s="289"/>
      <c r="AQ152" s="289"/>
      <c r="AR152" s="289"/>
      <c r="AS152" s="289"/>
      <c r="AT152" s="289"/>
      <c r="AU152" s="289"/>
      <c r="AV152" s="290"/>
      <c r="AW152" s="147"/>
      <c r="AX152" s="146"/>
      <c r="AY152" s="148"/>
      <c r="AZ152" s="149"/>
      <c r="BA152" s="49"/>
      <c r="DW152" s="57"/>
    </row>
    <row r="153" customFormat="false" ht="15.75" hidden="false" customHeight="true" outlineLevel="0" collapsed="false">
      <c r="A153" s="273"/>
      <c r="B153" s="273"/>
      <c r="C153" s="273"/>
      <c r="D153" s="273"/>
      <c r="E153" s="273"/>
      <c r="F153" s="273"/>
      <c r="G153" s="273"/>
      <c r="H153" s="273"/>
      <c r="I153" s="273"/>
      <c r="J153" s="273"/>
      <c r="K153" s="273"/>
      <c r="L153" s="273"/>
      <c r="M153" s="273"/>
      <c r="N153" s="273"/>
      <c r="O153" s="273"/>
      <c r="P153" s="273"/>
      <c r="Q153" s="273"/>
      <c r="R153" s="273"/>
      <c r="S153" s="273"/>
      <c r="T153" s="273"/>
      <c r="U153" s="273"/>
      <c r="V153" s="46"/>
      <c r="W153" s="146"/>
      <c r="X153" s="147"/>
      <c r="Y153" s="146"/>
      <c r="Z153" s="148"/>
      <c r="AA153" s="149"/>
      <c r="AB153" s="201"/>
      <c r="AC153" s="151"/>
      <c r="AD153" s="151"/>
      <c r="AE153" s="201"/>
      <c r="AF153" s="152"/>
      <c r="AG153" s="182"/>
      <c r="AH153" s="279"/>
      <c r="AI153" s="279"/>
      <c r="AJ153" s="289"/>
      <c r="AK153" s="289"/>
      <c r="AL153" s="289"/>
      <c r="AM153" s="289"/>
      <c r="AN153" s="289"/>
      <c r="AO153" s="289"/>
      <c r="AP153" s="289"/>
      <c r="AQ153" s="289"/>
      <c r="AR153" s="289"/>
      <c r="AS153" s="289"/>
      <c r="AT153" s="289"/>
      <c r="AU153" s="289"/>
      <c r="AV153" s="290"/>
      <c r="AW153" s="147"/>
      <c r="AX153" s="146"/>
      <c r="AY153" s="148"/>
      <c r="AZ153" s="149"/>
      <c r="BA153" s="49"/>
      <c r="DW153" s="57"/>
    </row>
    <row r="154" customFormat="false" ht="15.75" hidden="false" customHeight="true" outlineLevel="0" collapsed="false">
      <c r="A154" s="273"/>
      <c r="B154" s="273"/>
      <c r="C154" s="273"/>
      <c r="D154" s="273"/>
      <c r="E154" s="273"/>
      <c r="F154" s="273"/>
      <c r="G154" s="273"/>
      <c r="H154" s="273"/>
      <c r="I154" s="273"/>
      <c r="J154" s="273"/>
      <c r="K154" s="273"/>
      <c r="L154" s="273"/>
      <c r="M154" s="273"/>
      <c r="N154" s="273"/>
      <c r="O154" s="273"/>
      <c r="P154" s="273"/>
      <c r="Q154" s="273"/>
      <c r="R154" s="273"/>
      <c r="S154" s="273"/>
      <c r="T154" s="273"/>
      <c r="U154" s="273"/>
      <c r="V154" s="46"/>
      <c r="W154" s="297" t="str">
        <f aca="false">Idiomas!D35</f>
        <v>Bota de Oro  (máximo goleador)</v>
      </c>
      <c r="X154" s="298"/>
      <c r="Y154" s="298"/>
      <c r="Z154" s="299"/>
      <c r="AA154" s="300" t="str">
        <f aca="false">+Idiomas!D41</f>
        <v>Escribe el jugador Bota de Oro</v>
      </c>
      <c r="AB154" s="301"/>
      <c r="AC154" s="301"/>
      <c r="AD154" s="301"/>
      <c r="AE154" s="301"/>
      <c r="AF154" s="302"/>
      <c r="AG154" s="217" t="n">
        <f aca="false">IF(AA154=AH154,0,IF(AA154="",0,1))</f>
        <v>0</v>
      </c>
      <c r="AH154" s="303" t="str">
        <f aca="false">+Idiomas!D41</f>
        <v>Escribe el jugador Bota de Oro</v>
      </c>
      <c r="AI154" s="303"/>
      <c r="AJ154" s="289"/>
      <c r="AK154" s="289"/>
      <c r="AL154" s="289"/>
      <c r="AM154" s="289"/>
      <c r="AN154" s="289"/>
      <c r="AO154" s="289"/>
      <c r="AP154" s="289"/>
      <c r="AQ154" s="289"/>
      <c r="AR154" s="289"/>
      <c r="AS154" s="289"/>
      <c r="AT154" s="289"/>
      <c r="AU154" s="289"/>
      <c r="AV154" s="290"/>
      <c r="AW154" s="147"/>
      <c r="AX154" s="146"/>
      <c r="AY154" s="148"/>
      <c r="AZ154" s="149"/>
      <c r="BA154" s="49"/>
      <c r="DW154" s="57"/>
    </row>
    <row r="155" customFormat="false" ht="15.75" hidden="false" customHeight="true" outlineLevel="0" collapsed="false">
      <c r="A155" s="273"/>
      <c r="B155" s="273"/>
      <c r="C155" s="273"/>
      <c r="D155" s="273"/>
      <c r="E155" s="273"/>
      <c r="F155" s="273"/>
      <c r="G155" s="273"/>
      <c r="H155" s="273"/>
      <c r="I155" s="273"/>
      <c r="J155" s="273"/>
      <c r="K155" s="273"/>
      <c r="L155" s="273"/>
      <c r="M155" s="273"/>
      <c r="N155" s="273"/>
      <c r="O155" s="273"/>
      <c r="P155" s="273"/>
      <c r="Q155" s="273"/>
      <c r="R155" s="273"/>
      <c r="S155" s="273"/>
      <c r="T155" s="273"/>
      <c r="U155" s="273"/>
      <c r="V155" s="46"/>
      <c r="W155" s="280" t="str">
        <f aca="false">Idiomas!D35</f>
        <v>Bota de Oro  (máximo goleador)</v>
      </c>
      <c r="X155" s="282"/>
      <c r="Y155" s="282"/>
      <c r="Z155" s="304"/>
      <c r="AA155" s="305" t="str">
        <f aca="false">+Idiomas!D41</f>
        <v>Escribe el jugador Bota de Oro</v>
      </c>
      <c r="AB155" s="306"/>
      <c r="AC155" s="306"/>
      <c r="AD155" s="306"/>
      <c r="AE155" s="306"/>
      <c r="AF155" s="307"/>
      <c r="AG155" s="217" t="n">
        <f aca="false">IF(AA155=AH155,0,IF(AA155="",0,1))</f>
        <v>1</v>
      </c>
      <c r="AH155" s="308" t="str">
        <f aca="false">+Idiomas!D42</f>
        <v>Escribe el jugador Bota de Plata</v>
      </c>
      <c r="AI155" s="308"/>
      <c r="AJ155" s="309" t="str">
        <f aca="false">IF(SUM(COUNTIF(AG4:AG97,0),COUNTIF(AG101:AG160,0)&gt;0),AM148,AM149)</f>
        <v>Todavía hay emoción</v>
      </c>
      <c r="AK155" s="309"/>
      <c r="AL155" s="309"/>
      <c r="AM155" s="309"/>
      <c r="AN155" s="309"/>
      <c r="AO155" s="309"/>
      <c r="AP155" s="309"/>
      <c r="AQ155" s="309"/>
      <c r="AR155" s="309"/>
      <c r="AS155" s="309"/>
      <c r="AT155" s="309"/>
      <c r="AU155" s="309"/>
      <c r="AV155" s="290"/>
      <c r="AW155" s="147"/>
      <c r="AX155" s="146"/>
      <c r="AY155" s="148"/>
      <c r="AZ155" s="149"/>
      <c r="BA155" s="310"/>
      <c r="DW155" s="57"/>
    </row>
    <row r="156" customFormat="false" ht="15.75" hidden="false" customHeight="true" outlineLevel="0" collapsed="false">
      <c r="A156" s="273"/>
      <c r="B156" s="273"/>
      <c r="C156" s="273"/>
      <c r="D156" s="273"/>
      <c r="E156" s="273"/>
      <c r="F156" s="273"/>
      <c r="G156" s="273"/>
      <c r="H156" s="273"/>
      <c r="I156" s="273"/>
      <c r="J156" s="273"/>
      <c r="K156" s="273"/>
      <c r="L156" s="273"/>
      <c r="M156" s="273"/>
      <c r="N156" s="273"/>
      <c r="O156" s="273"/>
      <c r="P156" s="273"/>
      <c r="Q156" s="273"/>
      <c r="R156" s="273"/>
      <c r="S156" s="273"/>
      <c r="T156" s="273"/>
      <c r="U156" s="273"/>
      <c r="V156" s="46"/>
      <c r="W156" s="291" t="str">
        <f aca="false">Idiomas!D35</f>
        <v>Bota de Oro  (máximo goleador)</v>
      </c>
      <c r="X156" s="293"/>
      <c r="Y156" s="293"/>
      <c r="Z156" s="311"/>
      <c r="AA156" s="312" t="str">
        <f aca="false">+Idiomas!D41</f>
        <v>Escribe el jugador Bota de Oro</v>
      </c>
      <c r="AB156" s="313"/>
      <c r="AC156" s="313"/>
      <c r="AD156" s="313"/>
      <c r="AE156" s="313"/>
      <c r="AF156" s="314"/>
      <c r="AG156" s="217" t="n">
        <f aca="false">IF(AA156=AH156,0,IF(AA156="",0,1))</f>
        <v>1</v>
      </c>
      <c r="AH156" s="308" t="str">
        <f aca="false">+Idiomas!D43</f>
        <v>Escribe el jugador Bota de Bronce</v>
      </c>
      <c r="AI156" s="308"/>
      <c r="AJ156" s="309"/>
      <c r="AK156" s="309"/>
      <c r="AL156" s="309"/>
      <c r="AM156" s="309"/>
      <c r="AN156" s="309"/>
      <c r="AO156" s="309"/>
      <c r="AP156" s="309"/>
      <c r="AQ156" s="309"/>
      <c r="AR156" s="309"/>
      <c r="AS156" s="309"/>
      <c r="AT156" s="309"/>
      <c r="AU156" s="309"/>
      <c r="AV156" s="290"/>
      <c r="AW156" s="147"/>
      <c r="AX156" s="146"/>
      <c r="AY156" s="148"/>
      <c r="AZ156" s="149"/>
      <c r="BA156" s="310"/>
      <c r="DW156" s="57"/>
    </row>
    <row r="157" customFormat="false" ht="15.75" hidden="false" customHeight="true" outlineLevel="0" collapsed="false">
      <c r="A157" s="273"/>
      <c r="B157" s="273"/>
      <c r="C157" s="273"/>
      <c r="D157" s="273"/>
      <c r="E157" s="273"/>
      <c r="F157" s="273"/>
      <c r="G157" s="273"/>
      <c r="H157" s="273"/>
      <c r="I157" s="273"/>
      <c r="J157" s="273"/>
      <c r="K157" s="273"/>
      <c r="L157" s="273"/>
      <c r="M157" s="273"/>
      <c r="N157" s="273"/>
      <c r="O157" s="273"/>
      <c r="P157" s="273"/>
      <c r="Q157" s="273"/>
      <c r="R157" s="273"/>
      <c r="S157" s="273"/>
      <c r="T157" s="273"/>
      <c r="U157" s="273"/>
      <c r="V157" s="46"/>
      <c r="W157" s="146"/>
      <c r="X157" s="147"/>
      <c r="Y157" s="146"/>
      <c r="Z157" s="148"/>
      <c r="AA157" s="149"/>
      <c r="AB157" s="201"/>
      <c r="AC157" s="151"/>
      <c r="AD157" s="151"/>
      <c r="AE157" s="201"/>
      <c r="AF157" s="152"/>
      <c r="AG157" s="182"/>
      <c r="AH157" s="279"/>
      <c r="AI157" s="279"/>
      <c r="AJ157" s="309"/>
      <c r="AK157" s="309"/>
      <c r="AL157" s="309"/>
      <c r="AM157" s="309"/>
      <c r="AN157" s="309"/>
      <c r="AO157" s="309"/>
      <c r="AP157" s="309"/>
      <c r="AQ157" s="309"/>
      <c r="AR157" s="309"/>
      <c r="AS157" s="309"/>
      <c r="AT157" s="309"/>
      <c r="AU157" s="309"/>
      <c r="AV157" s="290"/>
      <c r="AW157" s="147"/>
      <c r="AX157" s="146"/>
      <c r="AY157" s="148"/>
      <c r="AZ157" s="149"/>
      <c r="BA157" s="310"/>
      <c r="DW157" s="57"/>
    </row>
    <row r="158" customFormat="false" ht="15.75" hidden="false" customHeight="true" outlineLevel="0" collapsed="false">
      <c r="A158" s="273"/>
      <c r="B158" s="273"/>
      <c r="C158" s="273"/>
      <c r="D158" s="273"/>
      <c r="E158" s="273"/>
      <c r="F158" s="273"/>
      <c r="G158" s="273"/>
      <c r="H158" s="273"/>
      <c r="I158" s="273"/>
      <c r="J158" s="273"/>
      <c r="K158" s="273"/>
      <c r="L158" s="273"/>
      <c r="M158" s="273"/>
      <c r="N158" s="273"/>
      <c r="O158" s="273"/>
      <c r="P158" s="273"/>
      <c r="Q158" s="273"/>
      <c r="R158" s="273"/>
      <c r="S158" s="273"/>
      <c r="T158" s="273"/>
      <c r="U158" s="273"/>
      <c r="V158" s="46"/>
      <c r="W158" s="297" t="str">
        <f aca="false">Idiomas!D341</f>
        <v>Equipo máximo goleador</v>
      </c>
      <c r="X158" s="298"/>
      <c r="Y158" s="298"/>
      <c r="Z158" s="299"/>
      <c r="AA158" s="300" t="str">
        <f aca="false">+Idiomas!D44</f>
        <v>Escribe el equipo máximo goleador</v>
      </c>
      <c r="AB158" s="301"/>
      <c r="AC158" s="301"/>
      <c r="AD158" s="301"/>
      <c r="AE158" s="301"/>
      <c r="AF158" s="302"/>
      <c r="AG158" s="217" t="n">
        <f aca="false">IF(AA158=AH158,0,IF(AA158="",0,1))</f>
        <v>0</v>
      </c>
      <c r="AH158" s="315" t="str">
        <f aca="false">+Idiomas!D44</f>
        <v>Escribe el equipo máximo goleador</v>
      </c>
      <c r="AI158" s="279"/>
      <c r="AJ158" s="47"/>
      <c r="AK158" s="47"/>
      <c r="AL158" s="47"/>
      <c r="AM158" s="47"/>
      <c r="AN158" s="47"/>
      <c r="AO158" s="47"/>
      <c r="AP158" s="47"/>
      <c r="AQ158" s="47"/>
      <c r="AR158" s="47"/>
      <c r="AS158" s="47"/>
      <c r="AT158" s="47"/>
      <c r="AU158" s="279"/>
      <c r="AV158" s="290"/>
      <c r="AW158" s="147"/>
      <c r="AX158" s="146"/>
      <c r="AY158" s="148"/>
      <c r="AZ158" s="149"/>
      <c r="BA158" s="310"/>
      <c r="DW158" s="57"/>
    </row>
    <row r="159" customFormat="false" ht="15.75" hidden="false" customHeight="true" outlineLevel="0" collapsed="false">
      <c r="A159" s="273"/>
      <c r="B159" s="273"/>
      <c r="C159" s="273"/>
      <c r="D159" s="273"/>
      <c r="E159" s="273"/>
      <c r="F159" s="273"/>
      <c r="G159" s="273"/>
      <c r="H159" s="273"/>
      <c r="I159" s="273"/>
      <c r="J159" s="273"/>
      <c r="K159" s="273"/>
      <c r="L159" s="273"/>
      <c r="M159" s="273"/>
      <c r="N159" s="273"/>
      <c r="O159" s="273"/>
      <c r="P159" s="273"/>
      <c r="Q159" s="273"/>
      <c r="R159" s="273"/>
      <c r="S159" s="273"/>
      <c r="T159" s="273"/>
      <c r="U159" s="273"/>
      <c r="V159" s="46"/>
      <c r="W159" s="280" t="str">
        <f aca="false">Idiomas!D341</f>
        <v>Equipo máximo goleador</v>
      </c>
      <c r="X159" s="282"/>
      <c r="Y159" s="282"/>
      <c r="Z159" s="304"/>
      <c r="AA159" s="305" t="str">
        <f aca="false">+Idiomas!D44</f>
        <v>Escribe el equipo máximo goleador</v>
      </c>
      <c r="AB159" s="306"/>
      <c r="AC159" s="306"/>
      <c r="AD159" s="306"/>
      <c r="AE159" s="306"/>
      <c r="AF159" s="307"/>
      <c r="AG159" s="217" t="n">
        <f aca="false">IF(AA159=AH159,0,IF(AA159="",0,1))</f>
        <v>1</v>
      </c>
      <c r="AH159" s="279" t="str">
        <f aca="false">+Idiomas!D45</f>
        <v>Escribe el jugador Balón de Plata</v>
      </c>
      <c r="AI159" s="316"/>
      <c r="AJ159" s="47"/>
      <c r="AK159" s="47"/>
      <c r="AL159" s="47"/>
      <c r="AM159" s="47"/>
      <c r="AN159" s="47"/>
      <c r="AO159" s="47"/>
      <c r="AP159" s="47"/>
      <c r="AQ159" s="47"/>
      <c r="AR159" s="47"/>
      <c r="AS159" s="47"/>
      <c r="AT159" s="47"/>
      <c r="AU159" s="279"/>
      <c r="AV159" s="290"/>
      <c r="AW159" s="147"/>
      <c r="AX159" s="146"/>
      <c r="AY159" s="148"/>
      <c r="AZ159" s="149"/>
      <c r="BA159" s="310"/>
      <c r="DW159" s="57"/>
    </row>
    <row r="160" customFormat="false" ht="15.75" hidden="false" customHeight="true" outlineLevel="0" collapsed="false">
      <c r="A160" s="273"/>
      <c r="B160" s="273"/>
      <c r="C160" s="273"/>
      <c r="D160" s="273"/>
      <c r="E160" s="273"/>
      <c r="F160" s="273"/>
      <c r="G160" s="273"/>
      <c r="H160" s="273"/>
      <c r="I160" s="273"/>
      <c r="J160" s="273"/>
      <c r="K160" s="273"/>
      <c r="L160" s="273"/>
      <c r="M160" s="273"/>
      <c r="N160" s="273"/>
      <c r="O160" s="273"/>
      <c r="P160" s="273"/>
      <c r="Q160" s="273"/>
      <c r="R160" s="273"/>
      <c r="S160" s="273"/>
      <c r="T160" s="273"/>
      <c r="U160" s="273"/>
      <c r="V160" s="46"/>
      <c r="W160" s="291" t="str">
        <f aca="false">Idiomas!D341</f>
        <v>Equipo máximo goleador</v>
      </c>
      <c r="X160" s="293"/>
      <c r="Y160" s="293"/>
      <c r="Z160" s="311"/>
      <c r="AA160" s="312" t="str">
        <f aca="false">+Idiomas!D44</f>
        <v>Escribe el equipo máximo goleador</v>
      </c>
      <c r="AB160" s="313"/>
      <c r="AC160" s="313"/>
      <c r="AD160" s="313"/>
      <c r="AE160" s="313"/>
      <c r="AF160" s="314"/>
      <c r="AG160" s="217" t="n">
        <f aca="false">IF(AA160=AH160,0,IF(AA160="",0,1))</f>
        <v>1</v>
      </c>
      <c r="AH160" s="308" t="str">
        <f aca="false">+Idiomas!D46</f>
        <v>Escribe el jugador Balón de Bronce</v>
      </c>
      <c r="AI160" s="308"/>
      <c r="AJ160" s="308"/>
      <c r="AK160" s="308"/>
      <c r="AL160" s="308"/>
      <c r="AM160" s="308"/>
      <c r="AN160" s="308"/>
      <c r="AO160" s="308"/>
      <c r="AP160" s="308"/>
      <c r="AQ160" s="308"/>
      <c r="AR160" s="308"/>
      <c r="AS160" s="308"/>
      <c r="AT160" s="308"/>
      <c r="AU160" s="308"/>
      <c r="AV160" s="290"/>
      <c r="AW160" s="147"/>
      <c r="AX160" s="146"/>
      <c r="AY160" s="148"/>
      <c r="AZ160" s="149"/>
      <c r="BA160" s="310"/>
      <c r="DW160" s="57"/>
    </row>
    <row r="161" customFormat="false" ht="19.5" hidden="false" customHeight="true" outlineLevel="0" collapsed="false">
      <c r="A161" s="273"/>
      <c r="B161" s="273"/>
      <c r="C161" s="273"/>
      <c r="D161" s="273"/>
      <c r="E161" s="273"/>
      <c r="F161" s="273"/>
      <c r="G161" s="273"/>
      <c r="H161" s="273"/>
      <c r="I161" s="273"/>
      <c r="J161" s="273"/>
      <c r="K161" s="273"/>
      <c r="L161" s="273"/>
      <c r="M161" s="273"/>
      <c r="N161" s="273"/>
      <c r="O161" s="273"/>
      <c r="P161" s="273"/>
      <c r="Q161" s="273"/>
      <c r="R161" s="273"/>
      <c r="S161" s="273"/>
      <c r="T161" s="273"/>
      <c r="U161" s="273"/>
      <c r="V161" s="46"/>
      <c r="W161" s="146"/>
      <c r="X161" s="146"/>
      <c r="Y161" s="147"/>
      <c r="Z161" s="146"/>
      <c r="AA161" s="148"/>
      <c r="AB161" s="149"/>
      <c r="AC161" s="201"/>
      <c r="AD161" s="151"/>
      <c r="AE161" s="151"/>
      <c r="AF161" s="201"/>
      <c r="AG161" s="47"/>
      <c r="AH161" s="279"/>
      <c r="AI161" s="279"/>
      <c r="AJ161" s="47"/>
      <c r="AK161" s="47"/>
      <c r="AL161" s="47"/>
      <c r="AM161" s="47"/>
      <c r="AN161" s="47"/>
      <c r="AO161" s="47"/>
      <c r="AP161" s="47"/>
      <c r="AQ161" s="47"/>
      <c r="AR161" s="47"/>
      <c r="AS161" s="47"/>
      <c r="AT161" s="47"/>
      <c r="AU161" s="279"/>
      <c r="AV161" s="290"/>
      <c r="AW161" s="147"/>
      <c r="AX161" s="146"/>
      <c r="AY161" s="148"/>
      <c r="AZ161" s="149"/>
      <c r="BA161" s="310"/>
      <c r="DW161" s="57"/>
    </row>
    <row r="162" customFormat="false" ht="15.75" hidden="false" customHeight="true" outlineLevel="0" collapsed="false">
      <c r="A162" s="273"/>
      <c r="B162" s="273"/>
      <c r="C162" s="273"/>
      <c r="D162" s="273"/>
      <c r="E162" s="273"/>
      <c r="F162" s="273"/>
      <c r="G162" s="273"/>
      <c r="H162" s="273"/>
      <c r="I162" s="273"/>
      <c r="J162" s="273"/>
      <c r="K162" s="273"/>
      <c r="L162" s="273"/>
      <c r="M162" s="273"/>
      <c r="N162" s="273"/>
      <c r="O162" s="273"/>
      <c r="P162" s="273"/>
      <c r="Q162" s="273"/>
      <c r="R162" s="273"/>
      <c r="S162" s="273"/>
      <c r="T162" s="273"/>
      <c r="U162" s="273"/>
      <c r="V162" s="46"/>
      <c r="W162" s="146"/>
      <c r="X162" s="146"/>
      <c r="Y162" s="147"/>
      <c r="Z162" s="146"/>
      <c r="AA162" s="146"/>
      <c r="AB162" s="149"/>
      <c r="AC162" s="201"/>
      <c r="AD162" s="151"/>
      <c r="AE162" s="151"/>
      <c r="AF162" s="317" t="s">
        <v>233</v>
      </c>
      <c r="AG162" s="318"/>
      <c r="AH162" s="279"/>
      <c r="AI162" s="279"/>
      <c r="AJ162" s="47"/>
      <c r="AK162" s="47"/>
      <c r="AL162" s="47"/>
      <c r="AM162" s="47"/>
      <c r="AN162" s="47"/>
      <c r="AO162" s="47"/>
      <c r="AP162" s="47"/>
      <c r="AQ162" s="47"/>
      <c r="AR162" s="47"/>
      <c r="AS162" s="47"/>
      <c r="AT162" s="47"/>
      <c r="AU162" s="279"/>
      <c r="AV162" s="290"/>
      <c r="AW162" s="147"/>
      <c r="AX162" s="146"/>
      <c r="AY162" s="148"/>
      <c r="AZ162" s="149"/>
      <c r="BA162" s="310"/>
      <c r="DW162" s="57"/>
    </row>
    <row r="163" customFormat="false" ht="15.75" hidden="false" customHeight="true" outlineLevel="0" collapsed="false">
      <c r="A163" s="273"/>
      <c r="B163" s="273"/>
      <c r="C163" s="273"/>
      <c r="D163" s="273"/>
      <c r="E163" s="273"/>
      <c r="F163" s="273"/>
      <c r="G163" s="273"/>
      <c r="H163" s="273"/>
      <c r="I163" s="273"/>
      <c r="J163" s="273"/>
      <c r="K163" s="273"/>
      <c r="L163" s="273"/>
      <c r="M163" s="273"/>
      <c r="N163" s="273"/>
      <c r="O163" s="273"/>
      <c r="P163" s="273"/>
      <c r="Q163" s="273"/>
      <c r="R163" s="273"/>
      <c r="S163" s="273"/>
      <c r="T163" s="273"/>
      <c r="U163" s="273"/>
      <c r="V163" s="46"/>
      <c r="W163" s="146"/>
      <c r="X163" s="146"/>
      <c r="Y163" s="147"/>
      <c r="Z163" s="146"/>
      <c r="AA163" s="148"/>
      <c r="AB163" s="149"/>
      <c r="AC163" s="201"/>
      <c r="AD163" s="151"/>
      <c r="AE163" s="151"/>
      <c r="AF163" s="201"/>
      <c r="AG163" s="318"/>
      <c r="AH163" s="319"/>
      <c r="AI163" s="279"/>
      <c r="AJ163" s="47"/>
      <c r="AK163" s="47"/>
      <c r="AL163" s="47"/>
      <c r="AM163" s="47"/>
      <c r="AN163" s="47"/>
      <c r="AO163" s="47"/>
      <c r="AP163" s="47"/>
      <c r="AQ163" s="47"/>
      <c r="AR163" s="47"/>
      <c r="AS163" s="47"/>
      <c r="AT163" s="47"/>
      <c r="AU163" s="279"/>
      <c r="AV163" s="290"/>
      <c r="AW163" s="147"/>
      <c r="AX163" s="146"/>
      <c r="AY163" s="148"/>
      <c r="AZ163" s="149"/>
      <c r="BA163" s="310"/>
      <c r="DW163" s="57"/>
    </row>
    <row r="164" customFormat="false" ht="15.75" hidden="false" customHeight="true" outlineLevel="0" collapsed="false">
      <c r="A164" s="273"/>
      <c r="B164" s="273"/>
      <c r="C164" s="273"/>
      <c r="D164" s="273"/>
      <c r="E164" s="273"/>
      <c r="F164" s="273"/>
      <c r="G164" s="273"/>
      <c r="H164" s="273"/>
      <c r="I164" s="273"/>
      <c r="J164" s="273"/>
      <c r="K164" s="273"/>
      <c r="L164" s="273"/>
      <c r="M164" s="273"/>
      <c r="N164" s="273"/>
      <c r="O164" s="273"/>
      <c r="P164" s="273"/>
      <c r="Q164" s="273"/>
      <c r="R164" s="273"/>
      <c r="S164" s="273"/>
      <c r="T164" s="273"/>
      <c r="U164" s="273"/>
      <c r="V164" s="46"/>
      <c r="W164" s="146"/>
      <c r="X164" s="146"/>
      <c r="Y164" s="147"/>
      <c r="Z164" s="146"/>
      <c r="AA164" s="148"/>
      <c r="AB164" s="149"/>
      <c r="AC164" s="201"/>
      <c r="AD164" s="151"/>
      <c r="AE164" s="151"/>
      <c r="AF164" s="201"/>
      <c r="AG164" s="47"/>
      <c r="AH164" s="279"/>
      <c r="AI164" s="279"/>
      <c r="AJ164" s="47"/>
      <c r="AK164" s="47"/>
      <c r="AL164" s="47"/>
      <c r="AM164" s="47"/>
      <c r="AN164" s="47"/>
      <c r="AO164" s="47"/>
      <c r="AP164" s="47"/>
      <c r="AQ164" s="47"/>
      <c r="AR164" s="47"/>
      <c r="AS164" s="47"/>
      <c r="AT164" s="47"/>
      <c r="AU164" s="279"/>
      <c r="AV164" s="290"/>
      <c r="AW164" s="147"/>
      <c r="AX164" s="146"/>
      <c r="AY164" s="148"/>
      <c r="AZ164" s="149"/>
      <c r="BA164" s="49"/>
      <c r="CA164" s="30" t="str">
        <f aca="false">+D170&amp;E170&amp;F170&amp;G170&amp;H170&amp;I170&amp;J170&amp;K170</f>
        <v>matejero</v>
      </c>
      <c r="DW164" s="57"/>
    </row>
    <row r="165" customFormat="false" ht="15.75" hidden="false" customHeight="true" outlineLevel="0" collapsed="false">
      <c r="V165" s="46"/>
      <c r="W165" s="146"/>
      <c r="X165" s="146"/>
      <c r="Y165" s="147"/>
      <c r="Z165" s="146"/>
      <c r="AA165" s="148"/>
      <c r="AB165" s="149"/>
      <c r="AC165" s="201"/>
      <c r="AD165" s="151"/>
      <c r="AE165" s="151"/>
      <c r="AF165" s="201"/>
      <c r="AG165" s="244"/>
      <c r="AH165" s="85"/>
      <c r="AI165" s="85"/>
      <c r="AJ165" s="244"/>
      <c r="AK165" s="244"/>
      <c r="AL165" s="244"/>
      <c r="AM165" s="244"/>
      <c r="AN165" s="244"/>
      <c r="AO165" s="244"/>
      <c r="AP165" s="244"/>
      <c r="AQ165" s="244"/>
      <c r="AR165" s="244"/>
      <c r="AS165" s="244"/>
      <c r="AT165" s="244"/>
      <c r="AU165" s="85"/>
      <c r="AV165" s="290"/>
      <c r="AW165" s="147"/>
      <c r="AX165" s="146"/>
      <c r="AY165" s="148"/>
      <c r="AZ165" s="149"/>
      <c r="BA165" s="244"/>
      <c r="DW165" s="57"/>
    </row>
    <row r="166" customFormat="false" ht="15" hidden="false" customHeight="false" outlineLevel="0" collapsed="false">
      <c r="V166" s="46"/>
      <c r="W166" s="146"/>
      <c r="X166" s="146"/>
      <c r="Y166" s="147"/>
      <c r="Z166" s="146"/>
      <c r="AA166" s="148"/>
      <c r="AB166" s="149"/>
      <c r="AC166" s="201"/>
      <c r="AD166" s="151"/>
      <c r="AE166" s="151"/>
      <c r="AF166" s="201"/>
      <c r="AG166" s="244"/>
      <c r="AH166" s="85"/>
      <c r="AI166" s="85"/>
      <c r="AJ166" s="244"/>
      <c r="AK166" s="244"/>
      <c r="AL166" s="244"/>
      <c r="AM166" s="244"/>
      <c r="AN166" s="244"/>
      <c r="AO166" s="244"/>
      <c r="AP166" s="244"/>
      <c r="AQ166" s="244"/>
      <c r="AR166" s="244"/>
      <c r="AS166" s="244"/>
      <c r="AT166" s="244"/>
      <c r="AU166" s="85"/>
      <c r="AV166" s="290"/>
      <c r="AW166" s="147"/>
      <c r="AX166" s="146"/>
      <c r="AY166" s="148"/>
      <c r="AZ166" s="149"/>
      <c r="BA166" s="248"/>
      <c r="DW166" s="57"/>
    </row>
    <row r="167" customFormat="false" ht="15" hidden="false" customHeight="false" outlineLevel="0" collapsed="false">
      <c r="V167" s="46"/>
      <c r="W167" s="146"/>
      <c r="X167" s="146"/>
      <c r="Y167" s="147"/>
      <c r="Z167" s="146"/>
      <c r="AA167" s="148"/>
      <c r="AB167" s="149"/>
      <c r="AC167" s="201"/>
      <c r="AD167" s="151"/>
      <c r="AE167" s="151"/>
      <c r="AF167" s="201"/>
      <c r="AG167" s="244"/>
      <c r="AH167" s="85"/>
      <c r="AI167" s="85"/>
      <c r="AJ167" s="244"/>
      <c r="AK167" s="244"/>
      <c r="AL167" s="244"/>
      <c r="AM167" s="244"/>
      <c r="AN167" s="244"/>
      <c r="AO167" s="244"/>
      <c r="AP167" s="244"/>
      <c r="AQ167" s="244"/>
      <c r="AR167" s="244"/>
      <c r="AS167" s="244"/>
      <c r="AT167" s="244"/>
      <c r="AU167" s="85"/>
      <c r="AV167" s="290"/>
      <c r="AW167" s="147"/>
      <c r="AX167" s="146"/>
      <c r="AY167" s="148"/>
      <c r="AZ167" s="149"/>
      <c r="BA167" s="244"/>
      <c r="DW167" s="57"/>
    </row>
    <row r="168" customFormat="false" ht="15" hidden="false" customHeight="false" outlineLevel="0" collapsed="false">
      <c r="V168" s="46"/>
      <c r="W168" s="146"/>
      <c r="X168" s="146"/>
      <c r="Y168" s="147"/>
      <c r="Z168" s="146"/>
      <c r="AA168" s="148"/>
      <c r="AB168" s="149"/>
      <c r="AC168" s="201"/>
      <c r="AD168" s="151"/>
      <c r="AE168" s="151"/>
      <c r="AF168" s="201"/>
      <c r="AG168" s="244"/>
      <c r="AH168" s="85"/>
      <c r="AI168" s="85"/>
      <c r="AJ168" s="244"/>
      <c r="AK168" s="244"/>
      <c r="AL168" s="244"/>
      <c r="AM168" s="244"/>
      <c r="AN168" s="244"/>
      <c r="AO168" s="244"/>
      <c r="AP168" s="244"/>
      <c r="AQ168" s="244"/>
      <c r="AR168" s="244"/>
      <c r="AS168" s="244"/>
      <c r="AT168" s="244"/>
      <c r="AU168" s="85"/>
      <c r="AV168" s="290"/>
      <c r="AW168" s="147"/>
      <c r="AX168" s="146"/>
      <c r="AY168" s="148"/>
      <c r="AZ168" s="149"/>
      <c r="BA168" s="248"/>
      <c r="DW168" s="57"/>
    </row>
    <row r="169" customFormat="false" ht="15" hidden="false" customHeight="false" outlineLevel="0" collapsed="false">
      <c r="V169" s="38"/>
      <c r="W169" s="38"/>
      <c r="X169" s="38"/>
      <c r="Y169" s="38"/>
      <c r="Z169" s="38"/>
      <c r="AA169" s="38"/>
      <c r="AB169" s="38"/>
      <c r="AC169" s="38"/>
      <c r="AD169" s="38"/>
      <c r="AE169" s="38"/>
      <c r="AF169" s="38"/>
      <c r="AG169" s="38"/>
      <c r="AH169" s="320"/>
      <c r="AI169" s="320"/>
      <c r="AJ169" s="38"/>
      <c r="AK169" s="38"/>
      <c r="AL169" s="38"/>
      <c r="AM169" s="38"/>
      <c r="AN169" s="38"/>
      <c r="AO169" s="38"/>
      <c r="AP169" s="38"/>
      <c r="AQ169" s="38"/>
      <c r="AR169" s="38"/>
      <c r="AS169" s="38"/>
      <c r="AT169" s="38"/>
      <c r="AU169" s="320"/>
      <c r="AV169" s="320"/>
      <c r="AW169" s="38"/>
      <c r="AX169" s="38"/>
      <c r="AY169" s="30"/>
      <c r="AZ169" s="38"/>
      <c r="BA169" s="38"/>
      <c r="DW169" s="57"/>
    </row>
    <row r="170" customFormat="false" ht="15" hidden="false" customHeight="false" outlineLevel="0" collapsed="false">
      <c r="D170" s="31" t="s">
        <v>234</v>
      </c>
      <c r="E170" s="31" t="s">
        <v>235</v>
      </c>
      <c r="F170" s="31" t="s">
        <v>236</v>
      </c>
      <c r="G170" s="31" t="s">
        <v>237</v>
      </c>
      <c r="H170" s="31" t="s">
        <v>238</v>
      </c>
      <c r="I170" s="31" t="s">
        <v>237</v>
      </c>
      <c r="J170" s="31" t="s">
        <v>239</v>
      </c>
      <c r="K170" s="31" t="s">
        <v>240</v>
      </c>
      <c r="V170" s="38"/>
      <c r="W170" s="38"/>
      <c r="X170" s="38"/>
      <c r="Y170" s="38"/>
      <c r="Z170" s="38"/>
      <c r="AA170" s="38"/>
      <c r="AB170" s="38"/>
      <c r="AC170" s="38"/>
      <c r="AD170" s="38"/>
      <c r="AE170" s="38"/>
      <c r="AF170" s="38"/>
      <c r="AG170" s="38"/>
      <c r="AH170" s="320"/>
      <c r="AI170" s="320"/>
      <c r="AJ170" s="38"/>
      <c r="AK170" s="38"/>
      <c r="AL170" s="38"/>
      <c r="AM170" s="38"/>
      <c r="AN170" s="38"/>
      <c r="AO170" s="38"/>
      <c r="AP170" s="38"/>
      <c r="AQ170" s="38"/>
      <c r="AR170" s="38"/>
      <c r="AS170" s="38"/>
      <c r="AT170" s="38"/>
      <c r="AU170" s="320"/>
      <c r="AV170" s="320"/>
      <c r="AW170" s="38"/>
      <c r="AX170" s="38"/>
      <c r="AY170" s="30"/>
      <c r="AZ170" s="38"/>
      <c r="DW170" s="57"/>
    </row>
    <row r="171" customFormat="false" ht="15" hidden="false" customHeight="false" outlineLevel="0" collapsed="false">
      <c r="V171" s="38"/>
      <c r="W171" s="38"/>
      <c r="X171" s="38"/>
      <c r="Y171" s="38"/>
      <c r="Z171" s="38"/>
      <c r="AA171" s="38"/>
      <c r="AB171" s="38"/>
      <c r="AC171" s="38"/>
      <c r="AD171" s="38"/>
      <c r="AE171" s="38"/>
      <c r="AF171" s="38"/>
      <c r="AG171" s="38"/>
      <c r="AH171" s="320"/>
      <c r="AI171" s="320"/>
      <c r="AJ171" s="38"/>
      <c r="AK171" s="38"/>
      <c r="AL171" s="38"/>
      <c r="AM171" s="38"/>
      <c r="AN171" s="38"/>
      <c r="AO171" s="38"/>
      <c r="AP171" s="38"/>
      <c r="AQ171" s="38"/>
      <c r="AR171" s="38"/>
      <c r="AS171" s="38"/>
      <c r="AT171" s="38"/>
      <c r="AU171" s="320"/>
      <c r="AV171" s="320"/>
      <c r="AW171" s="38"/>
      <c r="AX171" s="38"/>
      <c r="AY171" s="30"/>
      <c r="AZ171" s="38"/>
      <c r="BA171" s="38"/>
      <c r="DW171" s="57"/>
    </row>
    <row r="172" customFormat="false" ht="15" hidden="false" customHeight="false" outlineLevel="0" collapsed="false">
      <c r="V172" s="38"/>
      <c r="W172" s="38"/>
      <c r="X172" s="38"/>
      <c r="Y172" s="38"/>
      <c r="Z172" s="38"/>
      <c r="AA172" s="38"/>
      <c r="AB172" s="38"/>
      <c r="AC172" s="38"/>
      <c r="AD172" s="38"/>
      <c r="AE172" s="38"/>
      <c r="AF172" s="38"/>
      <c r="AG172" s="38"/>
      <c r="AH172" s="320"/>
      <c r="AI172" s="320"/>
      <c r="AJ172" s="38"/>
      <c r="AK172" s="38"/>
      <c r="AL172" s="38"/>
      <c r="AM172" s="38"/>
      <c r="AN172" s="38"/>
      <c r="AO172" s="38"/>
      <c r="AP172" s="38"/>
      <c r="AQ172" s="38"/>
      <c r="AR172" s="38"/>
      <c r="AS172" s="38"/>
      <c r="AT172" s="38"/>
      <c r="AU172" s="320"/>
      <c r="AV172" s="320"/>
      <c r="AW172" s="38"/>
      <c r="AX172" s="38"/>
      <c r="AY172" s="30"/>
      <c r="AZ172" s="38"/>
      <c r="DW172" s="57"/>
    </row>
    <row r="173" customFormat="false" ht="15" hidden="false" customHeight="false" outlineLevel="0" collapsed="false">
      <c r="V173" s="38"/>
      <c r="W173" s="38"/>
      <c r="X173" s="38"/>
      <c r="Y173" s="38"/>
      <c r="Z173" s="38"/>
      <c r="AA173" s="38"/>
      <c r="AB173" s="38"/>
      <c r="AC173" s="38"/>
      <c r="AD173" s="38"/>
      <c r="AE173" s="38"/>
      <c r="AF173" s="38"/>
      <c r="AG173" s="38"/>
      <c r="AH173" s="320"/>
      <c r="AI173" s="320"/>
      <c r="AJ173" s="38"/>
      <c r="AK173" s="38"/>
      <c r="AL173" s="38"/>
      <c r="AM173" s="38"/>
      <c r="AN173" s="38"/>
      <c r="AO173" s="38"/>
      <c r="AP173" s="38"/>
      <c r="AQ173" s="38"/>
      <c r="AR173" s="38"/>
      <c r="AS173" s="38"/>
      <c r="AT173" s="38"/>
      <c r="AU173" s="320"/>
      <c r="AV173" s="320"/>
      <c r="AW173" s="38"/>
      <c r="AX173" s="38"/>
      <c r="AY173" s="30"/>
      <c r="AZ173" s="38"/>
      <c r="BA173" s="38"/>
      <c r="DW173" s="57"/>
    </row>
    <row r="174" customFormat="false" ht="15" hidden="false" customHeight="false" outlineLevel="0" collapsed="false">
      <c r="V174" s="38"/>
      <c r="W174" s="38"/>
      <c r="X174" s="38"/>
      <c r="Y174" s="38"/>
      <c r="Z174" s="38"/>
      <c r="AA174" s="38"/>
      <c r="AB174" s="38"/>
      <c r="AC174" s="38"/>
      <c r="AD174" s="38"/>
      <c r="AE174" s="38"/>
      <c r="AF174" s="38"/>
      <c r="AG174" s="38"/>
      <c r="AH174" s="320"/>
      <c r="AI174" s="320"/>
      <c r="AJ174" s="38"/>
      <c r="AK174" s="38"/>
      <c r="AL174" s="38"/>
      <c r="AM174" s="38"/>
      <c r="AN174" s="38"/>
      <c r="AO174" s="38"/>
      <c r="AP174" s="38"/>
      <c r="AQ174" s="38"/>
      <c r="AR174" s="38"/>
      <c r="AS174" s="38"/>
      <c r="AT174" s="38"/>
      <c r="AU174" s="320"/>
      <c r="AV174" s="320"/>
      <c r="AW174" s="38"/>
      <c r="AX174" s="38"/>
      <c r="AY174" s="30"/>
      <c r="AZ174" s="38"/>
      <c r="DW174" s="57"/>
    </row>
    <row r="175" customFormat="false" ht="15" hidden="false" customHeight="false" outlineLevel="0" collapsed="false">
      <c r="V175" s="38"/>
      <c r="W175" s="38"/>
      <c r="X175" s="38"/>
      <c r="Y175" s="38"/>
      <c r="Z175" s="38"/>
      <c r="AA175" s="38"/>
      <c r="AB175" s="38"/>
      <c r="AC175" s="38"/>
      <c r="AD175" s="38"/>
      <c r="AE175" s="38"/>
      <c r="AF175" s="38"/>
      <c r="AG175" s="38"/>
      <c r="AH175" s="320"/>
      <c r="AI175" s="320"/>
      <c r="AJ175" s="38"/>
      <c r="AK175" s="38"/>
      <c r="AL175" s="38"/>
      <c r="AM175" s="38"/>
      <c r="AN175" s="38"/>
      <c r="AO175" s="38"/>
      <c r="AP175" s="38"/>
      <c r="AQ175" s="38"/>
      <c r="AR175" s="38"/>
      <c r="AS175" s="38"/>
      <c r="AT175" s="38"/>
      <c r="AU175" s="320"/>
      <c r="AV175" s="320"/>
      <c r="AW175" s="38"/>
      <c r="AX175" s="38"/>
      <c r="AY175" s="30"/>
      <c r="AZ175" s="38"/>
      <c r="BA175" s="38"/>
      <c r="DW175" s="57"/>
    </row>
    <row r="176" customFormat="false" ht="15" hidden="false" customHeight="false" outlineLevel="0" collapsed="false">
      <c r="V176" s="38"/>
      <c r="W176" s="38"/>
      <c r="X176" s="38"/>
      <c r="Y176" s="38"/>
      <c r="Z176" s="38"/>
      <c r="AA176" s="38"/>
      <c r="AB176" s="38"/>
      <c r="AC176" s="38"/>
      <c r="AD176" s="38"/>
      <c r="AE176" s="38"/>
      <c r="AF176" s="38"/>
      <c r="AG176" s="38"/>
      <c r="AH176" s="320"/>
      <c r="AI176" s="320"/>
      <c r="AJ176" s="38"/>
      <c r="AK176" s="38"/>
      <c r="AL176" s="38"/>
      <c r="AM176" s="38"/>
      <c r="AN176" s="38"/>
      <c r="AO176" s="38"/>
      <c r="AP176" s="38"/>
      <c r="AQ176" s="38"/>
      <c r="AR176" s="38"/>
      <c r="AS176" s="38"/>
      <c r="AT176" s="38"/>
      <c r="AU176" s="320"/>
      <c r="AV176" s="320"/>
      <c r="AW176" s="38"/>
      <c r="AX176" s="38"/>
      <c r="AY176" s="30"/>
      <c r="AZ176" s="38"/>
      <c r="DW176" s="57"/>
    </row>
    <row r="177" customFormat="false" ht="15" hidden="false" customHeight="false" outlineLevel="0" collapsed="false">
      <c r="V177" s="38"/>
      <c r="W177" s="38"/>
      <c r="X177" s="38"/>
      <c r="Y177" s="38"/>
      <c r="Z177" s="38"/>
      <c r="AA177" s="38"/>
      <c r="AB177" s="38"/>
      <c r="AC177" s="38"/>
      <c r="AD177" s="38"/>
      <c r="AE177" s="38"/>
      <c r="AF177" s="38"/>
      <c r="AG177" s="38"/>
      <c r="AH177" s="320"/>
      <c r="AI177" s="320"/>
      <c r="AJ177" s="38"/>
      <c r="AK177" s="38"/>
      <c r="AL177" s="38"/>
      <c r="AM177" s="38"/>
      <c r="AN177" s="38"/>
      <c r="AO177" s="38"/>
      <c r="AP177" s="38"/>
      <c r="AQ177" s="38"/>
      <c r="AR177" s="38"/>
      <c r="AS177" s="38"/>
      <c r="AT177" s="38"/>
      <c r="AU177" s="320"/>
      <c r="AV177" s="320"/>
      <c r="AW177" s="38"/>
      <c r="AX177" s="38"/>
      <c r="AY177" s="30"/>
      <c r="AZ177" s="38"/>
      <c r="BA177" s="38"/>
      <c r="DW177" s="57"/>
    </row>
    <row r="178" customFormat="false" ht="15" hidden="false" customHeight="false" outlineLevel="0" collapsed="false">
      <c r="V178" s="38"/>
      <c r="W178" s="38"/>
      <c r="X178" s="38"/>
      <c r="Y178" s="38"/>
      <c r="Z178" s="38"/>
      <c r="AA178" s="38"/>
      <c r="AB178" s="38"/>
      <c r="AC178" s="38"/>
      <c r="AD178" s="38"/>
      <c r="AE178" s="38"/>
      <c r="AF178" s="38"/>
      <c r="AG178" s="38"/>
      <c r="AH178" s="320"/>
      <c r="AI178" s="320"/>
      <c r="AJ178" s="38"/>
      <c r="AK178" s="38"/>
      <c r="AL178" s="38"/>
      <c r="AM178" s="38"/>
      <c r="AN178" s="38"/>
      <c r="AO178" s="38"/>
      <c r="AP178" s="38"/>
      <c r="AQ178" s="38"/>
      <c r="AR178" s="38"/>
      <c r="AS178" s="38"/>
      <c r="AT178" s="38"/>
      <c r="AU178" s="320"/>
      <c r="AV178" s="320"/>
      <c r="AW178" s="38"/>
      <c r="AX178" s="38"/>
      <c r="AY178" s="30"/>
      <c r="AZ178" s="38"/>
      <c r="DW178" s="57"/>
    </row>
    <row r="179" customFormat="false" ht="15" hidden="false" customHeight="false" outlineLevel="0" collapsed="false">
      <c r="V179" s="38"/>
      <c r="W179" s="38"/>
      <c r="X179" s="38"/>
      <c r="Y179" s="38"/>
      <c r="Z179" s="38"/>
      <c r="AA179" s="38"/>
      <c r="AB179" s="38"/>
      <c r="AC179" s="38"/>
      <c r="AD179" s="38"/>
      <c r="AE179" s="38"/>
      <c r="AF179" s="38"/>
      <c r="AG179" s="38"/>
      <c r="AH179" s="320"/>
      <c r="AI179" s="320"/>
      <c r="AJ179" s="38"/>
      <c r="AK179" s="38"/>
      <c r="AL179" s="38"/>
      <c r="AM179" s="38"/>
      <c r="AN179" s="38"/>
      <c r="AO179" s="38"/>
      <c r="AP179" s="38"/>
      <c r="AQ179" s="38"/>
      <c r="AR179" s="38"/>
      <c r="AS179" s="38"/>
      <c r="AT179" s="38"/>
      <c r="AU179" s="320"/>
      <c r="AV179" s="320"/>
      <c r="AW179" s="38"/>
      <c r="AX179" s="38"/>
      <c r="AY179" s="30"/>
      <c r="AZ179" s="38"/>
      <c r="BA179" s="38"/>
      <c r="DW179" s="57"/>
    </row>
    <row r="180" customFormat="false" ht="15" hidden="false" customHeight="false" outlineLevel="0" collapsed="false">
      <c r="V180" s="38"/>
      <c r="W180" s="38"/>
      <c r="X180" s="38"/>
      <c r="Y180" s="38"/>
      <c r="Z180" s="38"/>
      <c r="AA180" s="38"/>
      <c r="AB180" s="38"/>
      <c r="AC180" s="38"/>
      <c r="AD180" s="38"/>
      <c r="AE180" s="38"/>
      <c r="AF180" s="38"/>
      <c r="AG180" s="38"/>
      <c r="AH180" s="320"/>
      <c r="AI180" s="320"/>
      <c r="AJ180" s="38"/>
      <c r="AK180" s="38"/>
      <c r="AL180" s="38"/>
      <c r="AM180" s="38"/>
      <c r="AN180" s="38"/>
      <c r="AO180" s="38"/>
      <c r="AP180" s="38"/>
      <c r="AQ180" s="38"/>
      <c r="AR180" s="38"/>
      <c r="AS180" s="38"/>
      <c r="AT180" s="38"/>
      <c r="AU180" s="320"/>
      <c r="AV180" s="320"/>
      <c r="AW180" s="38"/>
      <c r="AX180" s="38"/>
      <c r="AY180" s="30"/>
      <c r="AZ180" s="38"/>
      <c r="DW180" s="57"/>
    </row>
    <row r="181" customFormat="false" ht="15" hidden="false" customHeight="false" outlineLevel="0" collapsed="false">
      <c r="V181" s="38"/>
      <c r="W181" s="38"/>
      <c r="X181" s="38"/>
      <c r="Y181" s="38"/>
      <c r="Z181" s="38"/>
      <c r="AA181" s="38"/>
      <c r="AB181" s="38"/>
      <c r="AC181" s="38"/>
      <c r="AD181" s="38"/>
      <c r="AE181" s="38"/>
      <c r="AF181" s="38"/>
      <c r="AG181" s="38"/>
      <c r="AH181" s="320"/>
      <c r="AI181" s="320"/>
      <c r="AJ181" s="38"/>
      <c r="AK181" s="38"/>
      <c r="AL181" s="38"/>
      <c r="AM181" s="38"/>
      <c r="AN181" s="38"/>
      <c r="AO181" s="38"/>
      <c r="AP181" s="38"/>
      <c r="AQ181" s="38"/>
      <c r="AR181" s="38"/>
      <c r="AS181" s="38"/>
      <c r="AT181" s="38"/>
      <c r="AU181" s="320"/>
      <c r="AV181" s="320"/>
      <c r="AW181" s="38"/>
      <c r="AX181" s="38"/>
      <c r="AY181" s="30"/>
      <c r="AZ181" s="38"/>
      <c r="BA181" s="38"/>
      <c r="DW181" s="57"/>
    </row>
    <row r="182" customFormat="false" ht="15" hidden="false" customHeight="false" outlineLevel="0" collapsed="false">
      <c r="V182" s="38"/>
      <c r="W182" s="38"/>
      <c r="X182" s="38"/>
      <c r="Y182" s="38"/>
      <c r="Z182" s="38"/>
      <c r="AA182" s="38"/>
      <c r="AB182" s="38"/>
      <c r="AC182" s="38"/>
      <c r="AD182" s="38"/>
      <c r="AE182" s="38"/>
      <c r="AF182" s="38"/>
      <c r="AG182" s="38"/>
      <c r="AH182" s="320"/>
      <c r="AI182" s="320"/>
      <c r="AJ182" s="38"/>
      <c r="AK182" s="38"/>
      <c r="AL182" s="38"/>
      <c r="AM182" s="38"/>
      <c r="AN182" s="38"/>
      <c r="AO182" s="38"/>
      <c r="AP182" s="38"/>
      <c r="AQ182" s="38"/>
      <c r="AR182" s="38"/>
      <c r="AS182" s="38"/>
      <c r="AT182" s="38"/>
      <c r="AU182" s="320"/>
      <c r="AV182" s="320"/>
      <c r="AW182" s="38"/>
      <c r="AX182" s="38"/>
      <c r="AY182" s="30"/>
      <c r="AZ182" s="38"/>
      <c r="DW182" s="57"/>
    </row>
    <row r="183" customFormat="false" ht="15" hidden="false" customHeight="false" outlineLevel="0" collapsed="false">
      <c r="V183" s="38"/>
      <c r="W183" s="38"/>
      <c r="X183" s="38"/>
      <c r="Y183" s="38"/>
      <c r="Z183" s="38"/>
      <c r="AA183" s="38"/>
      <c r="AB183" s="38"/>
      <c r="AC183" s="38"/>
      <c r="AD183" s="38"/>
      <c r="AE183" s="38"/>
      <c r="AF183" s="38"/>
      <c r="AG183" s="38"/>
      <c r="AH183" s="320"/>
      <c r="AI183" s="320"/>
      <c r="AJ183" s="38"/>
      <c r="AK183" s="38"/>
      <c r="AL183" s="38"/>
      <c r="AM183" s="38"/>
      <c r="AN183" s="38"/>
      <c r="AO183" s="38"/>
      <c r="AP183" s="38"/>
      <c r="AQ183" s="38"/>
      <c r="AR183" s="38"/>
      <c r="AS183" s="38"/>
      <c r="AT183" s="38"/>
      <c r="AU183" s="320"/>
      <c r="AV183" s="320"/>
      <c r="AW183" s="38"/>
      <c r="AX183" s="38"/>
      <c r="AY183" s="30"/>
      <c r="AZ183" s="38"/>
      <c r="BA183" s="38"/>
      <c r="DW183" s="57"/>
    </row>
    <row r="184" customFormat="false" ht="15" hidden="false" customHeight="false" outlineLevel="0" collapsed="false">
      <c r="D184" s="30"/>
      <c r="E184" s="30"/>
      <c r="F184" s="30"/>
      <c r="G184" s="30"/>
      <c r="H184" s="30"/>
      <c r="I184" s="30"/>
      <c r="J184" s="30"/>
      <c r="K184" s="30"/>
      <c r="L184" s="30"/>
      <c r="M184" s="30"/>
      <c r="N184" s="30"/>
      <c r="O184" s="30"/>
      <c r="P184" s="30"/>
      <c r="Q184" s="30"/>
      <c r="R184" s="30"/>
      <c r="S184" s="30"/>
      <c r="T184" s="30"/>
      <c r="U184" s="30"/>
      <c r="V184" s="38"/>
      <c r="W184" s="38"/>
      <c r="X184" s="38"/>
      <c r="Y184" s="38"/>
      <c r="Z184" s="38"/>
      <c r="AA184" s="38"/>
      <c r="AB184" s="38"/>
      <c r="AC184" s="38"/>
      <c r="AD184" s="38"/>
      <c r="AE184" s="38"/>
      <c r="AF184" s="38"/>
      <c r="AG184" s="38"/>
      <c r="AH184" s="320"/>
      <c r="AI184" s="320"/>
      <c r="AJ184" s="38"/>
      <c r="AK184" s="38"/>
      <c r="AL184" s="38"/>
      <c r="AM184" s="38"/>
      <c r="AN184" s="38"/>
      <c r="AO184" s="38"/>
      <c r="AP184" s="38"/>
      <c r="AQ184" s="38"/>
      <c r="AR184" s="38"/>
      <c r="AS184" s="38"/>
      <c r="AT184" s="38"/>
      <c r="AY184" s="31"/>
      <c r="BA184" s="38"/>
      <c r="DW184" s="57"/>
    </row>
    <row r="185" customFormat="false" ht="15" hidden="false" customHeight="false" outlineLevel="0" collapsed="false">
      <c r="D185" s="30"/>
      <c r="E185" s="30"/>
      <c r="F185" s="30"/>
      <c r="G185" s="30"/>
      <c r="H185" s="30"/>
      <c r="I185" s="30"/>
      <c r="J185" s="30"/>
      <c r="K185" s="30"/>
      <c r="L185" s="30"/>
      <c r="M185" s="30"/>
      <c r="N185" s="30"/>
      <c r="O185" s="30"/>
      <c r="P185" s="30"/>
      <c r="Q185" s="30"/>
      <c r="R185" s="30"/>
      <c r="S185" s="30"/>
      <c r="T185" s="30"/>
      <c r="U185" s="30"/>
      <c r="V185" s="38"/>
      <c r="W185" s="38"/>
      <c r="X185" s="38"/>
      <c r="Y185" s="38"/>
      <c r="Z185" s="38"/>
      <c r="AA185" s="38"/>
      <c r="AB185" s="38"/>
      <c r="AC185" s="38"/>
      <c r="AD185" s="38"/>
      <c r="AE185" s="38"/>
      <c r="AF185" s="38"/>
      <c r="AG185" s="38"/>
      <c r="AH185" s="320"/>
      <c r="AI185" s="320"/>
      <c r="AJ185" s="38"/>
      <c r="AK185" s="38"/>
      <c r="AL185" s="38"/>
      <c r="AM185" s="38"/>
      <c r="AN185" s="38"/>
      <c r="AO185" s="38"/>
      <c r="AP185" s="38"/>
      <c r="AQ185" s="38"/>
      <c r="AR185" s="38"/>
      <c r="AS185" s="38"/>
      <c r="AT185" s="38"/>
      <c r="BA185" s="38"/>
      <c r="DW185" s="57"/>
    </row>
    <row r="186" customFormat="false" ht="15" hidden="false" customHeight="false" outlineLevel="0" collapsed="false">
      <c r="D186" s="30"/>
      <c r="E186" s="30"/>
      <c r="F186" s="30"/>
      <c r="G186" s="30"/>
      <c r="H186" s="30"/>
      <c r="I186" s="30"/>
      <c r="J186" s="30"/>
      <c r="K186" s="30"/>
      <c r="L186" s="30"/>
      <c r="M186" s="30"/>
      <c r="N186" s="30"/>
      <c r="O186" s="30"/>
      <c r="P186" s="30"/>
      <c r="Q186" s="30"/>
      <c r="R186" s="30"/>
      <c r="S186" s="30"/>
      <c r="T186" s="30"/>
      <c r="U186" s="30"/>
      <c r="V186" s="38"/>
      <c r="W186" s="38"/>
      <c r="X186" s="38"/>
      <c r="Y186" s="38"/>
      <c r="Z186" s="38"/>
      <c r="AA186" s="38"/>
      <c r="AB186" s="38"/>
      <c r="AC186" s="38"/>
      <c r="AD186" s="38"/>
      <c r="AE186" s="38"/>
      <c r="AF186" s="38"/>
      <c r="AG186" s="38"/>
      <c r="AH186" s="320"/>
      <c r="AI186" s="320"/>
      <c r="AJ186" s="38"/>
      <c r="AK186" s="38"/>
      <c r="AL186" s="38"/>
      <c r="AM186" s="38"/>
      <c r="AN186" s="38"/>
      <c r="AO186" s="38"/>
      <c r="AP186" s="38"/>
      <c r="AQ186" s="38"/>
      <c r="AR186" s="38"/>
      <c r="AS186" s="38"/>
      <c r="AT186" s="38"/>
      <c r="BA186" s="38"/>
      <c r="DW186" s="57"/>
    </row>
    <row r="187" customFormat="false" ht="15" hidden="false" customHeight="false" outlineLevel="0" collapsed="false">
      <c r="D187" s="30"/>
      <c r="E187" s="30"/>
      <c r="F187" s="30"/>
      <c r="G187" s="30"/>
      <c r="H187" s="30"/>
      <c r="I187" s="30"/>
      <c r="J187" s="30"/>
      <c r="K187" s="30"/>
      <c r="L187" s="30"/>
      <c r="M187" s="30"/>
      <c r="N187" s="30"/>
      <c r="O187" s="30"/>
      <c r="P187" s="30"/>
      <c r="Q187" s="30"/>
      <c r="R187" s="30"/>
      <c r="S187" s="30"/>
      <c r="T187" s="30"/>
      <c r="U187" s="30"/>
      <c r="V187" s="38"/>
      <c r="W187" s="38"/>
      <c r="X187" s="38"/>
      <c r="Y187" s="38"/>
      <c r="Z187" s="38"/>
      <c r="AA187" s="38"/>
      <c r="AB187" s="38"/>
      <c r="AC187" s="38"/>
      <c r="AD187" s="38"/>
      <c r="AE187" s="38"/>
      <c r="AF187" s="38"/>
      <c r="AG187" s="38"/>
      <c r="AH187" s="320"/>
      <c r="AI187" s="320"/>
      <c r="AJ187" s="38"/>
      <c r="AK187" s="38"/>
      <c r="AL187" s="38"/>
      <c r="AM187" s="38"/>
      <c r="AN187" s="38"/>
      <c r="AO187" s="38"/>
      <c r="AP187" s="38"/>
      <c r="AQ187" s="38"/>
      <c r="AR187" s="38"/>
      <c r="AS187" s="38"/>
      <c r="AT187" s="38"/>
      <c r="BA187" s="38"/>
      <c r="DW187" s="57"/>
    </row>
    <row r="188" customFormat="false" ht="15" hidden="false" customHeight="false" outlineLevel="0" collapsed="false">
      <c r="D188" s="30"/>
      <c r="E188" s="30"/>
      <c r="F188" s="30"/>
      <c r="G188" s="30"/>
      <c r="H188" s="30"/>
      <c r="I188" s="30"/>
      <c r="J188" s="30"/>
      <c r="K188" s="30"/>
      <c r="L188" s="30"/>
      <c r="M188" s="30"/>
      <c r="N188" s="30"/>
      <c r="O188" s="30"/>
      <c r="P188" s="30"/>
      <c r="Q188" s="30"/>
      <c r="R188" s="30"/>
      <c r="S188" s="30"/>
      <c r="T188" s="30"/>
      <c r="U188" s="30"/>
      <c r="V188" s="38"/>
      <c r="W188" s="38"/>
      <c r="X188" s="38"/>
      <c r="Y188" s="38"/>
      <c r="Z188" s="38"/>
      <c r="AA188" s="38"/>
      <c r="AB188" s="38"/>
      <c r="AC188" s="38"/>
      <c r="AD188" s="38"/>
      <c r="AE188" s="38"/>
      <c r="AF188" s="38"/>
      <c r="AG188" s="38"/>
      <c r="AH188" s="320"/>
      <c r="AI188" s="320"/>
      <c r="AJ188" s="38"/>
      <c r="AK188" s="38"/>
      <c r="AL188" s="38"/>
      <c r="AM188" s="38"/>
      <c r="AN188" s="38"/>
      <c r="AO188" s="38"/>
      <c r="AP188" s="38"/>
      <c r="AQ188" s="38"/>
      <c r="AR188" s="38"/>
      <c r="AS188" s="38"/>
      <c r="AT188" s="38"/>
      <c r="BA188" s="38"/>
      <c r="DW188" s="57"/>
    </row>
    <row r="189" customFormat="false" ht="15" hidden="false" customHeight="false" outlineLevel="0" collapsed="false">
      <c r="D189" s="30"/>
      <c r="E189" s="30"/>
      <c r="F189" s="30"/>
      <c r="G189" s="30"/>
      <c r="H189" s="30"/>
      <c r="I189" s="30"/>
      <c r="J189" s="30"/>
      <c r="K189" s="30"/>
      <c r="L189" s="30"/>
      <c r="M189" s="30"/>
      <c r="N189" s="30"/>
      <c r="O189" s="30"/>
      <c r="P189" s="30"/>
      <c r="Q189" s="30"/>
      <c r="R189" s="30"/>
      <c r="S189" s="30"/>
      <c r="T189" s="30"/>
      <c r="U189" s="30"/>
      <c r="V189" s="38"/>
      <c r="W189" s="38"/>
      <c r="X189" s="38"/>
      <c r="Y189" s="38"/>
      <c r="Z189" s="38"/>
      <c r="AA189" s="38"/>
      <c r="AB189" s="38"/>
      <c r="AC189" s="38"/>
      <c r="AD189" s="38"/>
      <c r="AE189" s="38"/>
      <c r="AF189" s="38"/>
      <c r="AG189" s="38"/>
      <c r="AH189" s="320"/>
      <c r="AI189" s="320"/>
      <c r="AJ189" s="38"/>
      <c r="AK189" s="38"/>
      <c r="AL189" s="38"/>
      <c r="AM189" s="38"/>
      <c r="AN189" s="38"/>
      <c r="AO189" s="38"/>
      <c r="AP189" s="38"/>
      <c r="AQ189" s="38"/>
      <c r="AR189" s="38"/>
      <c r="AS189" s="38"/>
      <c r="AT189" s="38"/>
      <c r="BA189" s="38"/>
      <c r="DW189" s="57"/>
    </row>
    <row r="190" customFormat="false" ht="15" hidden="false" customHeight="false" outlineLevel="0" collapsed="false">
      <c r="D190" s="30"/>
      <c r="E190" s="30"/>
      <c r="F190" s="30"/>
      <c r="G190" s="30"/>
      <c r="H190" s="30"/>
      <c r="I190" s="30"/>
      <c r="J190" s="30"/>
      <c r="K190" s="30"/>
      <c r="L190" s="30"/>
      <c r="M190" s="30"/>
      <c r="N190" s="30"/>
      <c r="O190" s="30"/>
      <c r="P190" s="30"/>
      <c r="Q190" s="30"/>
      <c r="R190" s="30"/>
      <c r="S190" s="30"/>
      <c r="T190" s="30"/>
      <c r="U190" s="30"/>
      <c r="V190" s="38"/>
      <c r="W190" s="38"/>
      <c r="X190" s="38"/>
      <c r="Y190" s="38"/>
      <c r="Z190" s="38"/>
      <c r="AA190" s="38"/>
      <c r="AB190" s="38"/>
      <c r="AC190" s="38"/>
      <c r="AD190" s="38"/>
      <c r="AE190" s="38"/>
      <c r="AF190" s="38"/>
      <c r="AG190" s="38"/>
      <c r="AH190" s="320"/>
      <c r="AI190" s="320"/>
      <c r="AJ190" s="38"/>
      <c r="AK190" s="38"/>
      <c r="AL190" s="38"/>
      <c r="AM190" s="38"/>
      <c r="AN190" s="38"/>
      <c r="AO190" s="38"/>
      <c r="AP190" s="38"/>
      <c r="AQ190" s="38"/>
      <c r="AR190" s="38"/>
      <c r="AS190" s="38"/>
      <c r="AT190" s="38"/>
      <c r="BA190" s="38"/>
      <c r="DW190" s="57"/>
    </row>
    <row r="191" customFormat="false" ht="15" hidden="false" customHeight="false" outlineLevel="0" collapsed="false">
      <c r="D191" s="30"/>
      <c r="E191" s="30"/>
      <c r="F191" s="30"/>
      <c r="G191" s="30"/>
      <c r="H191" s="30"/>
      <c r="I191" s="30"/>
      <c r="J191" s="30"/>
      <c r="K191" s="30"/>
      <c r="L191" s="30"/>
      <c r="M191" s="30"/>
      <c r="N191" s="30"/>
      <c r="O191" s="30"/>
      <c r="P191" s="30"/>
      <c r="Q191" s="30"/>
      <c r="R191" s="30"/>
      <c r="S191" s="30"/>
      <c r="T191" s="30"/>
      <c r="U191" s="30"/>
      <c r="V191" s="38"/>
      <c r="W191" s="38"/>
      <c r="X191" s="38"/>
      <c r="Y191" s="38"/>
      <c r="Z191" s="38"/>
      <c r="AA191" s="38"/>
      <c r="AB191" s="38"/>
      <c r="AC191" s="38"/>
      <c r="AD191" s="38"/>
      <c r="AE191" s="38"/>
      <c r="AF191" s="38"/>
      <c r="AG191" s="38"/>
      <c r="AH191" s="320"/>
      <c r="AI191" s="320"/>
      <c r="AJ191" s="38"/>
      <c r="AK191" s="38"/>
      <c r="AL191" s="38"/>
      <c r="AM191" s="38"/>
      <c r="AN191" s="38"/>
      <c r="AO191" s="38"/>
      <c r="AP191" s="38"/>
      <c r="AQ191" s="38"/>
      <c r="AR191" s="38"/>
      <c r="AS191" s="38"/>
      <c r="AT191" s="38"/>
      <c r="BA191" s="38"/>
      <c r="DW191" s="57"/>
    </row>
    <row r="192" customFormat="false" ht="15" hidden="false" customHeight="false" outlineLevel="0" collapsed="false">
      <c r="D192" s="30"/>
      <c r="E192" s="30"/>
      <c r="F192" s="30"/>
      <c r="G192" s="30"/>
      <c r="H192" s="30"/>
      <c r="I192" s="30"/>
      <c r="J192" s="30"/>
      <c r="K192" s="30"/>
      <c r="L192" s="30"/>
      <c r="M192" s="30"/>
      <c r="N192" s="30"/>
      <c r="O192" s="30"/>
      <c r="P192" s="30"/>
      <c r="Q192" s="30"/>
      <c r="R192" s="30"/>
      <c r="S192" s="30"/>
      <c r="T192" s="30"/>
      <c r="U192" s="30"/>
      <c r="V192" s="38"/>
      <c r="W192" s="38"/>
      <c r="X192" s="38"/>
      <c r="Y192" s="38"/>
      <c r="Z192" s="38"/>
      <c r="AA192" s="38"/>
      <c r="AB192" s="38"/>
      <c r="AC192" s="38"/>
      <c r="AD192" s="38"/>
      <c r="AE192" s="38"/>
      <c r="AF192" s="38"/>
      <c r="AG192" s="38"/>
      <c r="AH192" s="320"/>
      <c r="AI192" s="320"/>
      <c r="AJ192" s="38"/>
      <c r="AK192" s="38"/>
      <c r="AL192" s="38"/>
      <c r="AM192" s="38"/>
      <c r="AN192" s="38"/>
      <c r="AO192" s="38"/>
      <c r="AP192" s="38"/>
      <c r="AQ192" s="38"/>
      <c r="AR192" s="38"/>
      <c r="AS192" s="38"/>
      <c r="AT192" s="38"/>
      <c r="BA192" s="38"/>
      <c r="DW192" s="57"/>
    </row>
  </sheetData>
  <mergeCells count="42">
    <mergeCell ref="W1:AF1"/>
    <mergeCell ref="W4:W9"/>
    <mergeCell ref="AJ4:AT4"/>
    <mergeCell ref="W12:W17"/>
    <mergeCell ref="AJ12:AT12"/>
    <mergeCell ref="W20:W25"/>
    <mergeCell ref="AJ20:AT20"/>
    <mergeCell ref="W28:W33"/>
    <mergeCell ref="AJ28:AT28"/>
    <mergeCell ref="W36:W41"/>
    <mergeCell ref="AJ36:AT36"/>
    <mergeCell ref="W44:W49"/>
    <mergeCell ref="AJ44:AT44"/>
    <mergeCell ref="W52:W57"/>
    <mergeCell ref="AJ52:AT52"/>
    <mergeCell ref="W60:W65"/>
    <mergeCell ref="AJ60:AT60"/>
    <mergeCell ref="W68:W73"/>
    <mergeCell ref="AJ68:AT68"/>
    <mergeCell ref="W76:W81"/>
    <mergeCell ref="AJ76:AT76"/>
    <mergeCell ref="W84:W89"/>
    <mergeCell ref="AJ84:AT84"/>
    <mergeCell ref="W92:W97"/>
    <mergeCell ref="AJ92:AT92"/>
    <mergeCell ref="W99:AF99"/>
    <mergeCell ref="AJ100:AT100"/>
    <mergeCell ref="W101:W116"/>
    <mergeCell ref="W118:AF118"/>
    <mergeCell ref="W120:W127"/>
    <mergeCell ref="W129:AF129"/>
    <mergeCell ref="W131:W134"/>
    <mergeCell ref="W136:AF136"/>
    <mergeCell ref="W138:W139"/>
    <mergeCell ref="W141:AF141"/>
    <mergeCell ref="W145:AF145"/>
    <mergeCell ref="AJ151:AU154"/>
    <mergeCell ref="AH154:AI154"/>
    <mergeCell ref="AH155:AI155"/>
    <mergeCell ref="AJ155:AU157"/>
    <mergeCell ref="AH156:AI156"/>
    <mergeCell ref="AH160:AU160"/>
  </mergeCells>
  <conditionalFormatting sqref="AL116">
    <cfRule type="expression" priority="2" aboveAverage="0" equalAverage="0" bottom="0" percent="0" rank="0" text="" dxfId="0">
      <formula>IF($AJ$99=144,1,0)</formula>
    </cfRule>
  </conditionalFormatting>
  <conditionalFormatting sqref="AL115">
    <cfRule type="expression" priority="3" aboveAverage="0" equalAverage="0" bottom="0" percent="0" rank="0" text="" dxfId="1">
      <formula>IF($AJ$99=144,1,0)</formula>
    </cfRule>
  </conditionalFormatting>
  <conditionalFormatting sqref="AJ8:AT8 AJ16:AT16 AJ24:AT24 AJ32:AT32 AJ40:AT40 AJ48:AT48 AJ56:AT56 AJ64:AT64 AJ72:AT72 AJ80:AT80 AJ88:AT88 AJ96:AT96 AJ110:AT113">
    <cfRule type="expression" priority="4" aboveAverage="0" equalAverage="0" bottom="0" percent="0" rank="0" text="" dxfId="2">
      <formula>AND(OR(SUM($AN$102:$AN$113)=36,$AJ$99=144),COUNTIF($AL$110:$AL$113,$AL8))</formula>
    </cfRule>
  </conditionalFormatting>
  <conditionalFormatting sqref="AY5:AZ97">
    <cfRule type="expression" priority="5" aboveAverage="0" equalAverage="0" bottom="0" percent="0" rank="0" text="" dxfId="3">
      <formula>IF($AZ$3="No",1,0)</formula>
    </cfRule>
  </conditionalFormatting>
  <conditionalFormatting sqref="AY101:AZ101">
    <cfRule type="expression" priority="6" aboveAverage="0" equalAverage="0" bottom="0" percent="0" rank="0" text="" dxfId="4">
      <formula>+IF(OR($H$113&gt;=48,$AJ$99=144),1,0)</formula>
    </cfRule>
  </conditionalFormatting>
  <conditionalFormatting sqref="AC4:AD9 AC12:AD17 AC20:AD25 AC28:AD33 AD39:AD41 AC44:AD49 AC52:AD57 AC60:AD65 AC68:AD73 AC76:AD81 AC84:AD89 AC92:AD97 AC101:AD116 AC120:AD127 AC131:AD134 AC138:AD139 AC143:AD143 AC147:AD147 AC36:AD38 AC39:AC41">
    <cfRule type="expression" priority="7" aboveAverage="0" equalAverage="0" bottom="0" percent="0" rank="0" text="" dxfId="5">
      <formula>AC4=""</formula>
    </cfRule>
  </conditionalFormatting>
  <conditionalFormatting sqref="AB101:AB116 AE101:AE116 AB120:AB127 AE120:AE127 AB131:AB134 AE131:AE134 AB138:AB139 AE138:AE139 AB143 AE143 AB147 AE147">
    <cfRule type="expression" priority="8" aboveAverage="0" equalAverage="0" bottom="0" percent="0" rank="0" text="" dxfId="6">
      <formula>IF(COUNT($AC101:$AD101)=2,IF(AND($AB101&lt;&gt;$AE101,$AC101=$AD101,$AB101&lt;&gt;"",$AE101&lt;&gt;""),1=2,IF(AND($AB101&lt;&gt;"",$AC101=$AD101),1=1,IF(AND($AB101="",$AC101=$AD101),1=1,1=2))),1=2)</formula>
    </cfRule>
  </conditionalFormatting>
  <conditionalFormatting sqref="AJ151:AU157">
    <cfRule type="expression" priority="9" aboveAverage="0" equalAverage="0" bottom="0" percent="0" rank="0" text="" dxfId="7">
      <formula>IF($AJ$151=$AL$149,1,0)</formula>
    </cfRule>
  </conditionalFormatting>
  <conditionalFormatting sqref="AJ9:AT9 AJ17:AT17 AJ25:AT25 AJ33:AT33 AJ41:AT41 AJ49:AT49 AJ57:AT57 AJ65:AT65 AJ73:AT73 AJ81:AT81 AJ89:AT89 AJ97:AT97">
    <cfRule type="expression" priority="10" aboveAverage="0" equalAverage="0" bottom="0" percent="0" rank="0" text="" dxfId="8">
      <formula>OR(SUM($AN6:$AN9)=12,$AJ$99=144)</formula>
    </cfRule>
  </conditionalFormatting>
  <conditionalFormatting sqref="AM102:AM113 AR102:AT113">
    <cfRule type="expression" priority="11" aboveAverage="0" equalAverage="0" bottom="0" percent="0" rank="0" text="" dxfId="9">
      <formula>$BB$57=3</formula>
    </cfRule>
  </conditionalFormatting>
  <conditionalFormatting sqref="AV6:AV9 AV14:AV17 AV22:AV25 AV30:AV33 AV38:AV41 AV46:AV49 AV54:AV57 AV62:AV65 AV70:AV73 AV78:AV81 AV86:AV89 AV94:AV97">
    <cfRule type="expression" priority="12" aboveAverage="0" equalAverage="0" bottom="0" percent="0" rank="0" text="" dxfId="10">
      <formula>INDEX($DL$6:$DL$53,MATCH($AL6,$DQ$6:$DQ$53,0))&gt;1</formula>
    </cfRule>
  </conditionalFormatting>
  <conditionalFormatting sqref="AV102:AV113">
    <cfRule type="expression" priority="13" aboveAverage="0" equalAverage="0" bottom="0" percent="0" rank="0" text="" dxfId="11">
      <formula>AND(INDEX($DL$58:$DL$69,MATCH($AL102,$DQ$58:$DQ$69,0))&gt;1,$H$113=144)</formula>
    </cfRule>
  </conditionalFormatting>
  <conditionalFormatting sqref="AW6:AW9 AW14:AW17 AW22:AW25 AW30:AW33 AW38:AW41 AW46:AW49 AW54:AW57 AW62:AW65 AW70:AW73 AW78:AW81 AW86:AW89 AW94:AW97">
    <cfRule type="expression" priority="14" aboveAverage="0" equalAverage="0" bottom="0" percent="0" rank="0" text="" dxfId="12">
      <formula>INDEX($DL$6:$DL$53,MATCH($AL6,$DQ$6:$DQ$53,0))&gt;1</formula>
    </cfRule>
  </conditionalFormatting>
  <conditionalFormatting sqref="AW102:AW113">
    <cfRule type="expression" priority="15" aboveAverage="0" equalAverage="0" bottom="0" percent="0" rank="0" text="" dxfId="13">
      <formula>AND(INDEX($DL$58:$DL$69,MATCH($AL102,$DQ$58:$DQ$69,0))&gt;1,$H$113=144)</formula>
    </cfRule>
  </conditionalFormatting>
  <dataValidations count="17">
    <dataValidation allowBlank="true" error="Write a negative number" errorStyle="stop" errorTitle="Escribe un número negativo" operator="lessThan" showDropDown="false" showErrorMessage="true" showInputMessage="true" sqref="AZ6:AZ9 AZ14:AZ17 AZ22:AZ25 AZ30:AZ33 AZ38:AZ41 AZ46:AZ49 AZ54:AZ57 AZ62:AZ65 AZ70:AZ73 AZ78:AZ81 AZ86:AZ89 AZ94:AZ97" type="whole">
      <formula1>0</formula1>
      <formula2>0</formula2>
    </dataValidation>
    <dataValidation allowBlank="true" error="Introduce a number" errorStyle="stop" errorTitle="Introduce un número" operator="between" showDropDown="false" showErrorMessage="true" showInputMessage="true" sqref="AC4:AD9 AC12:AD17 AC20:AD25 AC28:AD33 AC36:AD41 AC44:AD49 AC52:AD57 AC60:AD65 AC68:AD73 AC76:AD81 AC84:AD89 AC92:AD97 AB101:AE116 AB120:AE127 AB131:AE134 AB138:AE139 AB143:AE143 AB147:AE147" type="whole">
      <formula1>0</formula1>
      <formula2>500</formula2>
    </dataValidation>
    <dataValidation allowBlank="true" errorStyle="stop" operator="between" showDropDown="false" showErrorMessage="true" showInputMessage="true" sqref="B4 B12 B20 B28 B36 B44 B52 B60 B68 B76 B84 B92" type="list">
      <formula1>Equipos!$F$2:$F$13</formula1>
      <formula2>0</formula2>
    </dataValidation>
    <dataValidation allowBlank="true" errorStyle="stop" operator="between" showDropDown="false" showErrorMessage="true" showInputMessage="true" sqref="AW94:AW97 AW102:AW113" type="list">
      <formula1>OFFSET(Horarios!$P$3,DJ58-1,0,DL58,1)</formula1>
      <formula2>0</formula2>
    </dataValidation>
    <dataValidation allowBlank="true" error="Introduce un puesto que corresponda&#10;" errorStyle="stop" operator="between" showDropDown="false" showErrorMessage="true" showInputMessage="true" sqref="AW6:AW9" type="list">
      <formula1>OFFSET(Horarios!$P$3,DJ6-1,0,DL6,1)</formula1>
      <formula2>0</formula2>
    </dataValidation>
    <dataValidation allowBlank="true" error="Introduce un puesto que corresponda&#10;" errorStyle="stop" operator="between" showDropDown="false" showErrorMessage="true" showInputMessage="true" sqref="AW14:AW17" type="list">
      <formula1>OFFSET(Horarios!$P$3,DJ10-1,0,DL10,1)</formula1>
      <formula2>0</formula2>
    </dataValidation>
    <dataValidation allowBlank="true" error="Introduce un puesto que corresponda&#10;" errorStyle="stop" operator="between" showDropDown="false" showErrorMessage="true" showInputMessage="true" sqref="AW22:AW25" type="list">
      <formula1>OFFSET(Horarios!$P$3,DJ14-1,0,DL14,1)</formula1>
      <formula2>0</formula2>
    </dataValidation>
    <dataValidation allowBlank="true" errorStyle="stop" operator="between" showDropDown="false" showErrorMessage="true" showInputMessage="true" sqref="AW30:AW33" type="list">
      <formula1>OFFSET(Horarios!$P$3,DJ18-1,0,DL18,1)</formula1>
      <formula2>0</formula2>
    </dataValidation>
    <dataValidation allowBlank="true" errorStyle="stop" operator="between" showDropDown="false" showErrorMessage="true" showInputMessage="true" sqref="AW38:AW41" type="list">
      <formula1>OFFSET(Horarios!$P$3,DJ22-1,0,DL22,1)</formula1>
      <formula2>0</formula2>
    </dataValidation>
    <dataValidation allowBlank="true" errorStyle="stop" operator="between" showDropDown="false" showErrorMessage="true" showInputMessage="true" sqref="AW46:AW49" type="list">
      <formula1>OFFSET(Horarios!$P$3,DJ26-1,0,DL26,1)</formula1>
      <formula2>0</formula2>
    </dataValidation>
    <dataValidation allowBlank="true" errorStyle="stop" operator="between" showDropDown="false" showErrorMessage="true" showInputMessage="true" sqref="AW54:AW57" type="list">
      <formula1>OFFSET(Horarios!$P$3,DJ30-1,0,DL30,1)</formula1>
      <formula2>0</formula2>
    </dataValidation>
    <dataValidation allowBlank="true" errorStyle="stop" operator="between" showDropDown="false" showErrorMessage="true" showInputMessage="true" sqref="AW62:AW65" type="list">
      <formula1>OFFSET(Horarios!$P$3,DJ34-1,0,DL34,1)</formula1>
      <formula2>0</formula2>
    </dataValidation>
    <dataValidation allowBlank="true" errorStyle="stop" operator="between" showDropDown="false" showErrorMessage="true" showInputMessage="true" sqref="AW70:AW73" type="list">
      <formula1>OFFSET(Horarios!$P$3,DJ38-1,0,DL38,1)</formula1>
      <formula2>0</formula2>
    </dataValidation>
    <dataValidation allowBlank="true" errorStyle="stop" operator="between" showDropDown="false" showErrorMessage="true" showInputMessage="true" sqref="AW78:AW81" type="list">
      <formula1>OFFSET(Horarios!$P$3,DJ42-1,0,DL42,1)</formula1>
      <formula2>0</formula2>
    </dataValidation>
    <dataValidation allowBlank="true" errorStyle="stop" operator="between" showDropDown="false" showErrorMessage="true" showInputMessage="true" sqref="AW86:AW89" type="list">
      <formula1>OFFSET(Horarios!$P$3,DJ46-1,0,DL46,1)</formula1>
      <formula2>0</formula2>
    </dataValidation>
    <dataValidation allowBlank="true" errorStyle="stop" operator="between" showDropDown="false" showErrorMessage="true" showInputMessage="true" sqref="AZ3" type="list">
      <formula1>Idiomas!$D$72:$D$73</formula1>
      <formula2>0</formula2>
    </dataValidation>
    <dataValidation allowBlank="true" errorStyle="stop" operator="between" showDropDown="false" showErrorMessage="true" showInputMessage="true" sqref="AL116" type="list">
      <formula1>Idiomas!$D$75:$D$77</formula1>
      <formula2>0</formula2>
    </dataValidation>
  </dataValidations>
  <hyperlinks>
    <hyperlink ref="AF162" location="Fixture!A1" display="Fixtur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iconSet" priority="16" id="{372890AA-E238-4560-8873-70ADA473C493}">
            <x14:iconSet iconSet="3Symbols2" custom="1" reverse="0" showValue="0">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7" id="{97E4F1FC-157F-4859-9E4B-55299182F459}">
            <x14:iconSet iconSet="3Symbols2" custom="1" reverse="0" showValue="0">
              <x14:cfvo type="percent">
                <xm:f>0</xm:f>
              </x14:cfvo>
              <x14:cfvo type="num">
                <xm:f>0</xm:f>
              </x14:cfvo>
              <x14:cfvo type="num">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I269"/>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pane xSplit="17" ySplit="2" topLeftCell="BG6" activePane="bottomRight" state="frozen"/>
      <selection pane="topLeft" activeCell="A4" activeCellId="0" sqref="A4"/>
      <selection pane="topRight" activeCell="BG4" activeCellId="0" sqref="BG4"/>
      <selection pane="bottomLeft" activeCell="A6" activeCellId="0" sqref="A6"/>
      <selection pane="bottomRight" activeCell="BS259" activeCellId="0" sqref="BS259"/>
    </sheetView>
  </sheetViews>
  <sheetFormatPr defaultColWidth="10.84765625" defaultRowHeight="15" customHeight="true" zeroHeight="false" outlineLevelRow="0" outlineLevelCol="0"/>
  <cols>
    <col collapsed="false" customWidth="true" hidden="false" outlineLevel="0" max="1" min="1" style="30" width="3"/>
    <col collapsed="false" customWidth="true" hidden="true" outlineLevel="0" max="2" min="2" style="38" width="8.86"/>
    <col collapsed="false" customWidth="true" hidden="true" outlineLevel="0" max="3" min="3" style="38" width="56.86"/>
    <col collapsed="false" customWidth="true" hidden="true" outlineLevel="0" max="4" min="4" style="38" width="8.42"/>
    <col collapsed="false" customWidth="true" hidden="true" outlineLevel="0" max="5" min="5" style="321" width="12.15"/>
    <col collapsed="false" customWidth="true" hidden="true" outlineLevel="0" max="6" min="6" style="322" width="18.29"/>
    <col collapsed="false" customWidth="true" hidden="true" outlineLevel="0" max="7" min="7" style="30" width="9.29"/>
    <col collapsed="false" customWidth="true" hidden="true" outlineLevel="0" max="8" min="8" style="30" width="33"/>
    <col collapsed="false" customWidth="true" hidden="false" outlineLevel="0" max="9" min="9" style="323" width="7.57"/>
    <col collapsed="false" customWidth="true" hidden="false" outlineLevel="0" max="10" min="10" style="324" width="10.42"/>
    <col collapsed="false" customWidth="true" hidden="false" outlineLevel="0" max="11" min="11" style="325" width="30.71"/>
    <col collapsed="false" customWidth="true" hidden="false" outlineLevel="0" max="12" min="12" style="323" width="2.86"/>
    <col collapsed="false" customWidth="true" hidden="false" outlineLevel="0" max="13" min="13" style="325" width="30"/>
    <col collapsed="false" customWidth="true" hidden="false" outlineLevel="0" max="14" min="14" style="326" width="1"/>
    <col collapsed="false" customWidth="true" hidden="true" outlineLevel="0" max="15" min="15" style="326" width="2"/>
    <col collapsed="false" customWidth="true" hidden="false" outlineLevel="0" max="16" min="16" style="326" width="1.14"/>
    <col collapsed="false" customWidth="true" hidden="false" outlineLevel="0" max="17" min="17" style="326" width="0.42"/>
    <col collapsed="false" customWidth="true" hidden="false" outlineLevel="0" max="18" min="18" style="30" width="0.86"/>
    <col collapsed="false" customWidth="true" hidden="false" outlineLevel="0" max="19" min="19" style="325" width="29.71"/>
    <col collapsed="false" customWidth="true" hidden="false" outlineLevel="0" max="20" min="20" style="325" width="5.14"/>
    <col collapsed="false" customWidth="true" hidden="false" outlineLevel="0" max="21" min="21" style="320" width="2.86"/>
    <col collapsed="false" customWidth="true" hidden="false" outlineLevel="0" max="22" min="22" style="325" width="29.71"/>
    <col collapsed="false" customWidth="true" hidden="false" outlineLevel="0" max="23" min="23" style="325" width="5.14"/>
    <col collapsed="false" customWidth="true" hidden="false" outlineLevel="0" max="24" min="24" style="320" width="2.86"/>
    <col collapsed="false" customWidth="true" hidden="false" outlineLevel="0" max="25" min="25" style="325" width="29.71"/>
    <col collapsed="false" customWidth="true" hidden="false" outlineLevel="0" max="26" min="26" style="325" width="5.14"/>
    <col collapsed="false" customWidth="true" hidden="false" outlineLevel="0" max="27" min="27" style="320" width="2.86"/>
    <col collapsed="false" customWidth="true" hidden="false" outlineLevel="0" max="28" min="28" style="325" width="29.71"/>
    <col collapsed="false" customWidth="true" hidden="false" outlineLevel="0" max="29" min="29" style="325" width="5.14"/>
    <col collapsed="false" customWidth="true" hidden="false" outlineLevel="0" max="30" min="30" style="320" width="2.86"/>
    <col collapsed="false" customWidth="true" hidden="false" outlineLevel="0" max="31" min="31" style="325" width="29.71"/>
    <col collapsed="false" customWidth="true" hidden="false" outlineLevel="0" max="32" min="32" style="325" width="5.14"/>
    <col collapsed="false" customWidth="true" hidden="false" outlineLevel="0" max="33" min="33" style="320" width="2.86"/>
    <col collapsed="false" customWidth="true" hidden="false" outlineLevel="0" max="34" min="34" style="325" width="29.71"/>
    <col collapsed="false" customWidth="true" hidden="false" outlineLevel="0" max="35" min="35" style="325" width="5.14"/>
    <col collapsed="false" customWidth="true" hidden="false" outlineLevel="0" max="36" min="36" style="320" width="2.86"/>
    <col collapsed="false" customWidth="true" hidden="false" outlineLevel="0" max="37" min="37" style="325" width="29.71"/>
    <col collapsed="false" customWidth="true" hidden="false" outlineLevel="0" max="38" min="38" style="325" width="5.14"/>
    <col collapsed="false" customWidth="true" hidden="false" outlineLevel="0" max="39" min="39" style="320" width="2.86"/>
    <col collapsed="false" customWidth="true" hidden="false" outlineLevel="0" max="40" min="40" style="325" width="29.71"/>
    <col collapsed="false" customWidth="true" hidden="false" outlineLevel="0" max="41" min="41" style="325" width="5.14"/>
    <col collapsed="false" customWidth="true" hidden="false" outlineLevel="0" max="42" min="42" style="320" width="2.86"/>
    <col collapsed="false" customWidth="true" hidden="false" outlineLevel="0" max="43" min="43" style="325" width="29.71"/>
    <col collapsed="false" customWidth="true" hidden="false" outlineLevel="0" max="44" min="44" style="325" width="5.14"/>
    <col collapsed="false" customWidth="true" hidden="false" outlineLevel="0" max="45" min="45" style="320" width="2.86"/>
    <col collapsed="false" customWidth="true" hidden="false" outlineLevel="0" max="46" min="46" style="325" width="29.71"/>
    <col collapsed="false" customWidth="true" hidden="false" outlineLevel="0" max="47" min="47" style="325" width="5.14"/>
    <col collapsed="false" customWidth="true" hidden="false" outlineLevel="0" max="48" min="48" style="320" width="2.86"/>
    <col collapsed="false" customWidth="true" hidden="false" outlineLevel="0" max="49" min="49" style="325" width="29.71"/>
    <col collapsed="false" customWidth="true" hidden="false" outlineLevel="0" max="50" min="50" style="325" width="5.14"/>
    <col collapsed="false" customWidth="true" hidden="false" outlineLevel="0" max="51" min="51" style="320" width="2.86"/>
    <col collapsed="false" customWidth="true" hidden="false" outlineLevel="0" max="52" min="52" style="325" width="29.71"/>
    <col collapsed="false" customWidth="true" hidden="false" outlineLevel="0" max="53" min="53" style="325" width="5.14"/>
    <col collapsed="false" customWidth="true" hidden="false" outlineLevel="0" max="54" min="54" style="320" width="2.86"/>
    <col collapsed="false" customWidth="true" hidden="false" outlineLevel="0" max="55" min="55" style="325" width="29.71"/>
    <col collapsed="false" customWidth="true" hidden="false" outlineLevel="0" max="56" min="56" style="325" width="5.14"/>
    <col collapsed="false" customWidth="true" hidden="false" outlineLevel="0" max="57" min="57" style="320" width="2.86"/>
    <col collapsed="false" customWidth="true" hidden="false" outlineLevel="0" max="58" min="58" style="325" width="29.71"/>
    <col collapsed="false" customWidth="true" hidden="false" outlineLevel="0" max="59" min="59" style="325" width="5.14"/>
    <col collapsed="false" customWidth="true" hidden="false" outlineLevel="0" max="60" min="60" style="320" width="2.86"/>
    <col collapsed="false" customWidth="true" hidden="false" outlineLevel="0" max="61" min="61" style="325" width="29.71"/>
    <col collapsed="false" customWidth="true" hidden="false" outlineLevel="0" max="62" min="62" style="325" width="5.14"/>
    <col collapsed="false" customWidth="true" hidden="false" outlineLevel="0" max="63" min="63" style="320" width="2.86"/>
    <col collapsed="false" customWidth="true" hidden="false" outlineLevel="0" max="64" min="64" style="325" width="29.71"/>
    <col collapsed="false" customWidth="true" hidden="false" outlineLevel="0" max="65" min="65" style="325" width="5.14"/>
    <col collapsed="false" customWidth="true" hidden="false" outlineLevel="0" max="66" min="66" style="320" width="2.86"/>
    <col collapsed="false" customWidth="true" hidden="false" outlineLevel="0" max="67" min="67" style="325" width="29.71"/>
    <col collapsed="false" customWidth="true" hidden="false" outlineLevel="0" max="68" min="68" style="325" width="5.14"/>
    <col collapsed="false" customWidth="true" hidden="false" outlineLevel="0" max="69" min="69" style="320" width="2.86"/>
    <col collapsed="false" customWidth="true" hidden="false" outlineLevel="0" max="70" min="70" style="325" width="29.71"/>
    <col collapsed="false" customWidth="true" hidden="false" outlineLevel="0" max="71" min="71" style="325" width="5.14"/>
    <col collapsed="false" customWidth="true" hidden="false" outlineLevel="0" max="72" min="72" style="320" width="2.86"/>
    <col collapsed="false" customWidth="true" hidden="false" outlineLevel="0" max="73" min="73" style="325" width="29.71"/>
    <col collapsed="false" customWidth="true" hidden="false" outlineLevel="0" max="74" min="74" style="325" width="5.14"/>
    <col collapsed="false" customWidth="true" hidden="false" outlineLevel="0" max="75" min="75" style="320" width="2.86"/>
    <col collapsed="false" customWidth="true" hidden="false" outlineLevel="0" max="76" min="76" style="325" width="29.71"/>
    <col collapsed="false" customWidth="true" hidden="false" outlineLevel="0" max="77" min="77" style="325" width="5.14"/>
    <col collapsed="false" customWidth="true" hidden="false" outlineLevel="0" max="78" min="78" style="320" width="2.86"/>
    <col collapsed="false" customWidth="true" hidden="false" outlineLevel="0" max="79" min="79" style="325" width="29.71"/>
    <col collapsed="false" customWidth="true" hidden="false" outlineLevel="0" max="80" min="80" style="325" width="5.14"/>
    <col collapsed="false" customWidth="true" hidden="false" outlineLevel="0" max="81" min="81" style="320" width="2.86"/>
    <col collapsed="false" customWidth="true" hidden="false" outlineLevel="0" max="82" min="82" style="325" width="29.71"/>
    <col collapsed="false" customWidth="true" hidden="false" outlineLevel="0" max="83" min="83" style="325" width="5.14"/>
    <col collapsed="false" customWidth="true" hidden="false" outlineLevel="0" max="84" min="84" style="320" width="2.86"/>
    <col collapsed="false" customWidth="true" hidden="false" outlineLevel="0" max="85" min="85" style="325" width="29.71"/>
    <col collapsed="false" customWidth="true" hidden="false" outlineLevel="0" max="86" min="86" style="325" width="5.14"/>
    <col collapsed="false" customWidth="true" hidden="false" outlineLevel="0" max="87" min="87" style="320" width="2.86"/>
    <col collapsed="false" customWidth="true" hidden="false" outlineLevel="0" max="88" min="88" style="325" width="29.71"/>
    <col collapsed="false" customWidth="true" hidden="false" outlineLevel="0" max="89" min="89" style="325" width="5.14"/>
    <col collapsed="false" customWidth="true" hidden="false" outlineLevel="0" max="90" min="90" style="320" width="2.86"/>
    <col collapsed="false" customWidth="true" hidden="false" outlineLevel="0" max="91" min="91" style="325" width="29.71"/>
    <col collapsed="false" customWidth="true" hidden="false" outlineLevel="0" max="92" min="92" style="325" width="5.14"/>
    <col collapsed="false" customWidth="true" hidden="false" outlineLevel="0" max="93" min="93" style="320" width="2.86"/>
    <col collapsed="false" customWidth="true" hidden="false" outlineLevel="0" max="94" min="94" style="325" width="29.71"/>
    <col collapsed="false" customWidth="true" hidden="false" outlineLevel="0" max="95" min="95" style="325" width="5.14"/>
    <col collapsed="false" customWidth="true" hidden="false" outlineLevel="0" max="96" min="96" style="320" width="2.86"/>
    <col collapsed="false" customWidth="true" hidden="false" outlineLevel="0" max="97" min="97" style="325" width="29.71"/>
    <col collapsed="false" customWidth="true" hidden="false" outlineLevel="0" max="98" min="98" style="325" width="5.14"/>
    <col collapsed="false" customWidth="true" hidden="false" outlineLevel="0" max="99" min="99" style="320" width="2.86"/>
    <col collapsed="false" customWidth="true" hidden="false" outlineLevel="0" max="100" min="100" style="325" width="29.71"/>
    <col collapsed="false" customWidth="true" hidden="false" outlineLevel="0" max="101" min="101" style="325" width="5.14"/>
    <col collapsed="false" customWidth="true" hidden="false" outlineLevel="0" max="102" min="102" style="320" width="2.86"/>
    <col collapsed="false" customWidth="true" hidden="false" outlineLevel="0" max="103" min="103" style="325" width="29.71"/>
    <col collapsed="false" customWidth="true" hidden="false" outlineLevel="0" max="104" min="104" style="325" width="5.14"/>
    <col collapsed="false" customWidth="true" hidden="false" outlineLevel="0" max="105" min="105" style="320" width="2.86"/>
    <col collapsed="false" customWidth="true" hidden="false" outlineLevel="0" max="106" min="106" style="325" width="29.71"/>
    <col collapsed="false" customWidth="true" hidden="false" outlineLevel="0" max="107" min="107" style="325" width="5.14"/>
    <col collapsed="false" customWidth="true" hidden="false" outlineLevel="0" max="108" min="108" style="320" width="2.86"/>
    <col collapsed="false" customWidth="true" hidden="false" outlineLevel="0" max="109" min="109" style="325" width="29.71"/>
    <col collapsed="false" customWidth="true" hidden="false" outlineLevel="0" max="110" min="110" style="325" width="5.14"/>
    <col collapsed="false" customWidth="true" hidden="false" outlineLevel="0" max="111" min="111" style="320" width="2.86"/>
    <col collapsed="false" customWidth="true" hidden="false" outlineLevel="0" max="112" min="112" style="325" width="29.71"/>
    <col collapsed="false" customWidth="true" hidden="false" outlineLevel="0" max="113" min="113" style="325" width="5.14"/>
    <col collapsed="false" customWidth="true" hidden="false" outlineLevel="0" max="114" min="114" style="320" width="2.86"/>
    <col collapsed="false" customWidth="true" hidden="false" outlineLevel="0" max="115" min="115" style="325" width="29.71"/>
    <col collapsed="false" customWidth="true" hidden="false" outlineLevel="0" max="116" min="116" style="325" width="5.14"/>
    <col collapsed="false" customWidth="true" hidden="false" outlineLevel="0" max="117" min="117" style="320" width="2.86"/>
    <col collapsed="false" customWidth="true" hidden="false" outlineLevel="0" max="118" min="118" style="325" width="29.71"/>
    <col collapsed="false" customWidth="true" hidden="false" outlineLevel="0" max="119" min="119" style="325" width="5.14"/>
    <col collapsed="false" customWidth="true" hidden="false" outlineLevel="0" max="120" min="120" style="320" width="2.86"/>
    <col collapsed="false" customWidth="true" hidden="false" outlineLevel="0" max="121" min="121" style="325" width="29.71"/>
    <col collapsed="false" customWidth="true" hidden="false" outlineLevel="0" max="122" min="122" style="325" width="5.14"/>
    <col collapsed="false" customWidth="true" hidden="false" outlineLevel="0" max="123" min="123" style="320" width="2.86"/>
    <col collapsed="false" customWidth="true" hidden="false" outlineLevel="0" max="124" min="124" style="325" width="29.71"/>
    <col collapsed="false" customWidth="true" hidden="false" outlineLevel="0" max="125" min="125" style="325" width="5.14"/>
    <col collapsed="false" customWidth="true" hidden="false" outlineLevel="0" max="126" min="126" style="320" width="2.86"/>
    <col collapsed="false" customWidth="true" hidden="false" outlineLevel="0" max="127" min="127" style="325" width="29.71"/>
    <col collapsed="false" customWidth="true" hidden="false" outlineLevel="0" max="128" min="128" style="325" width="5.14"/>
    <col collapsed="false" customWidth="true" hidden="false" outlineLevel="0" max="129" min="129" style="320" width="2.86"/>
    <col collapsed="false" customWidth="true" hidden="false" outlineLevel="0" max="130" min="130" style="325" width="29.71"/>
    <col collapsed="false" customWidth="true" hidden="false" outlineLevel="0" max="131" min="131" style="325" width="5.14"/>
    <col collapsed="false" customWidth="true" hidden="false" outlineLevel="0" max="132" min="132" style="320" width="2.86"/>
    <col collapsed="false" customWidth="true" hidden="false" outlineLevel="0" max="133" min="133" style="325" width="29.71"/>
    <col collapsed="false" customWidth="true" hidden="false" outlineLevel="0" max="134" min="134" style="325" width="5.14"/>
    <col collapsed="false" customWidth="true" hidden="false" outlineLevel="0" max="135" min="135" style="320" width="2.86"/>
    <col collapsed="false" customWidth="true" hidden="false" outlineLevel="0" max="136" min="136" style="325" width="29.71"/>
    <col collapsed="false" customWidth="true" hidden="false" outlineLevel="0" max="137" min="137" style="325" width="5.14"/>
    <col collapsed="false" customWidth="true" hidden="false" outlineLevel="0" max="139" min="138" style="320" width="2.86"/>
    <col collapsed="false" customWidth="true" hidden="true" outlineLevel="0" max="1623" min="140" style="38" width="11.53"/>
    <col collapsed="false" customWidth="false" hidden="true" outlineLevel="0" max="16384" min="1624" style="38" width="10.85"/>
  </cols>
  <sheetData>
    <row r="1" s="30" customFormat="true" ht="15" hidden="true" customHeight="false" outlineLevel="0" collapsed="false">
      <c r="A1" s="327"/>
      <c r="B1" s="327"/>
      <c r="C1" s="327"/>
      <c r="D1" s="327"/>
      <c r="E1" s="327"/>
      <c r="F1" s="328"/>
      <c r="G1" s="327"/>
      <c r="H1" s="327"/>
      <c r="I1" s="327"/>
      <c r="J1" s="329"/>
      <c r="K1" s="330"/>
      <c r="L1" s="327"/>
      <c r="M1" s="331"/>
      <c r="N1" s="332"/>
      <c r="O1" s="332"/>
      <c r="P1" s="332"/>
      <c r="Q1" s="332"/>
      <c r="R1" s="327"/>
      <c r="S1" s="331" t="n">
        <f aca="true">+IFERROR(RANK(S2,OFFSET($S$2,0,0,1,$D$5*3),0),"-")</f>
        <v>1</v>
      </c>
      <c r="T1" s="331"/>
      <c r="U1" s="327"/>
      <c r="V1" s="331" t="n">
        <f aca="true">+IFERROR(RANK(V2,OFFSET($S$2,0,0,1,$D$5*3),0),"-")</f>
        <v>16</v>
      </c>
      <c r="W1" s="331"/>
      <c r="X1" s="327"/>
      <c r="Y1" s="331" t="n">
        <f aca="true">+IFERROR(RANK(Y2,OFFSET($S$2,0,0,1,$D$5*3),0),"-")</f>
        <v>14</v>
      </c>
      <c r="Z1" s="331"/>
      <c r="AA1" s="327"/>
      <c r="AB1" s="331" t="n">
        <f aca="true">+IFERROR(RANK(AB2,OFFSET($S$2,0,0,1,$D$5*3),0),"-")</f>
        <v>9</v>
      </c>
      <c r="AC1" s="331"/>
      <c r="AD1" s="327"/>
      <c r="AE1" s="331" t="n">
        <f aca="true">+IFERROR(RANK(AE2,OFFSET($S$2,0,0,1,$D$5*3),0),"-")</f>
        <v>6</v>
      </c>
      <c r="AF1" s="331"/>
      <c r="AG1" s="327"/>
      <c r="AH1" s="331" t="n">
        <f aca="true">+IFERROR(RANK(AH2,OFFSET($S$2,0,0,1,$D$5*3),0),"-")</f>
        <v>5</v>
      </c>
      <c r="AI1" s="331"/>
      <c r="AJ1" s="327"/>
      <c r="AK1" s="331" t="n">
        <f aca="true">+IFERROR(RANK(AK2,OFFSET($S$2,0,0,1,$D$5*3),0),"-")</f>
        <v>15</v>
      </c>
      <c r="AL1" s="331"/>
      <c r="AM1" s="327"/>
      <c r="AN1" s="331" t="n">
        <f aca="true">+IFERROR(RANK(AN2,OFFSET($S$2,0,0,1,$D$5*3),0),"-")</f>
        <v>8</v>
      </c>
      <c r="AO1" s="331"/>
      <c r="AP1" s="327"/>
      <c r="AQ1" s="331" t="n">
        <f aca="true">+IFERROR(RANK(AQ2,OFFSET($S$2,0,0,1,$D$5*3),0),"-")</f>
        <v>4</v>
      </c>
      <c r="AR1" s="331"/>
      <c r="AS1" s="327"/>
      <c r="AT1" s="331" t="n">
        <f aca="true">+IFERROR(RANK(AT2,OFFSET($S$2,0,0,1,$D$5*3),0),"-")</f>
        <v>3</v>
      </c>
      <c r="AU1" s="331"/>
      <c r="AV1" s="327"/>
      <c r="AW1" s="331" t="n">
        <f aca="true">+IFERROR(RANK(AW2,OFFSET($S$2,0,0,1,$D$5*3),0),"-")</f>
        <v>7</v>
      </c>
      <c r="AX1" s="331"/>
      <c r="AY1" s="327"/>
      <c r="AZ1" s="331" t="n">
        <f aca="true">+IFERROR(RANK(AZ2,OFFSET($S$2,0,0,1,$D$5*3),0),"-")</f>
        <v>17</v>
      </c>
      <c r="BA1" s="331"/>
      <c r="BB1" s="327"/>
      <c r="BC1" s="331" t="n">
        <f aca="true">+IFERROR(RANK(BC2,OFFSET($S$2,0,0,1,$D$5*3),0),"-")</f>
        <v>13</v>
      </c>
      <c r="BD1" s="331"/>
      <c r="BE1" s="327"/>
      <c r="BF1" s="331" t="n">
        <f aca="true">+IFERROR(RANK(BF2,OFFSET($S$2,0,0,1,$D$5*3),0),"-")</f>
        <v>12</v>
      </c>
      <c r="BG1" s="331"/>
      <c r="BH1" s="327"/>
      <c r="BI1" s="331" t="n">
        <f aca="true">+IFERROR(RANK(BI2,OFFSET($S$2,0,0,1,$D$5*3),0),"-")</f>
        <v>10</v>
      </c>
      <c r="BJ1" s="331"/>
      <c r="BK1" s="327"/>
      <c r="BL1" s="331" t="n">
        <f aca="true">+IFERROR(RANK(BL2,OFFSET($S$2,0,0,1,$D$5*3),0),"-")</f>
        <v>11</v>
      </c>
      <c r="BM1" s="331"/>
      <c r="BN1" s="327"/>
      <c r="BO1" s="331" t="n">
        <f aca="true">+IFERROR(RANK(BO2,OFFSET($S$2,0,0,1,$D$5*3),0),"-")</f>
        <v>2</v>
      </c>
      <c r="BP1" s="331"/>
      <c r="BQ1" s="327"/>
      <c r="BR1" s="331" t="n">
        <f aca="true">+IFERROR(RANK(BR2,OFFSET($S$2,0,0,1,$D$5*3),0),"-")</f>
        <v>18</v>
      </c>
      <c r="BS1" s="331"/>
      <c r="BT1" s="327"/>
      <c r="BU1" s="331" t="n">
        <f aca="true">+IFERROR(RANK(BU2,OFFSET($S$2,0,0,1,$D$5*3),0),"-")</f>
        <v>19</v>
      </c>
      <c r="BV1" s="331"/>
      <c r="BW1" s="327"/>
      <c r="BX1" s="331" t="n">
        <f aca="true">+IFERROR(RANK(BX2,OFFSET($S$2,0,0,1,$D$5*3),0),"-")</f>
        <v>20</v>
      </c>
      <c r="BY1" s="331"/>
      <c r="BZ1" s="327"/>
      <c r="CA1" s="331" t="n">
        <f aca="true">+IFERROR(RANK(CA2,OFFSET($S$2,0,0,1,$D$5*3),0),"-")</f>
        <v>21</v>
      </c>
      <c r="CB1" s="331"/>
      <c r="CC1" s="327"/>
      <c r="CD1" s="331" t="n">
        <f aca="true">+IFERROR(RANK(CD2,OFFSET($S$2,0,0,1,$D$5*3),0),"-")</f>
        <v>22</v>
      </c>
      <c r="CE1" s="331"/>
      <c r="CF1" s="327"/>
      <c r="CG1" s="331" t="n">
        <f aca="true">+IFERROR(RANK(CG2,OFFSET($S$2,0,0,1,$D$5*3),0),"-")</f>
        <v>23</v>
      </c>
      <c r="CH1" s="331"/>
      <c r="CI1" s="327"/>
      <c r="CJ1" s="331" t="n">
        <f aca="true">+IFERROR(RANK(CJ2,OFFSET($S$2,0,0,1,$D$5*3),0),"-")</f>
        <v>24</v>
      </c>
      <c r="CK1" s="331"/>
      <c r="CL1" s="327"/>
      <c r="CM1" s="331" t="n">
        <f aca="true">+IFERROR(RANK(CM2,OFFSET($S$2,0,0,1,$D$5*3),0),"-")</f>
        <v>25</v>
      </c>
      <c r="CN1" s="331"/>
      <c r="CO1" s="327"/>
      <c r="CP1" s="331" t="n">
        <f aca="true">+IFERROR(RANK(CP2,OFFSET($S$2,0,0,1,$D$5*3),0),"-")</f>
        <v>26</v>
      </c>
      <c r="CQ1" s="331"/>
      <c r="CR1" s="327"/>
      <c r="CS1" s="331" t="n">
        <f aca="true">+IFERROR(RANK(CS2,OFFSET($S$2,0,0,1,$D$5*3),0),"-")</f>
        <v>27</v>
      </c>
      <c r="CT1" s="331"/>
      <c r="CU1" s="327"/>
      <c r="CV1" s="331" t="n">
        <f aca="true">+IFERROR(RANK(CV2,OFFSET($S$2,0,0,1,$D$5*3),0),"-")</f>
        <v>28</v>
      </c>
      <c r="CW1" s="331"/>
      <c r="CX1" s="327"/>
      <c r="CY1" s="331" t="n">
        <f aca="true">+IFERROR(RANK(CY2,OFFSET($S$2,0,0,1,$D$5*3),0),"-")</f>
        <v>29</v>
      </c>
      <c r="CZ1" s="331"/>
      <c r="DA1" s="327"/>
      <c r="DB1" s="331" t="n">
        <f aca="true">+IFERROR(RANK(DB2,OFFSET($S$2,0,0,1,$D$5*3),0),"-")</f>
        <v>30</v>
      </c>
      <c r="DC1" s="331"/>
      <c r="DD1" s="327"/>
      <c r="DE1" s="331" t="n">
        <f aca="true">+IFERROR(RANK(DE2,OFFSET($S$2,0,0,1,$D$5*3),0),"-")</f>
        <v>31</v>
      </c>
      <c r="DF1" s="331"/>
      <c r="DG1" s="327"/>
      <c r="DH1" s="331" t="n">
        <f aca="true">+IFERROR(RANK(DH2,OFFSET($S$2,0,0,1,$D$5*3),0),"-")</f>
        <v>32</v>
      </c>
      <c r="DI1" s="331"/>
      <c r="DJ1" s="327"/>
      <c r="DK1" s="331" t="n">
        <f aca="true">+IFERROR(RANK(DK2,OFFSET($S$2,0,0,1,$D$5*3),0),"-")</f>
        <v>33</v>
      </c>
      <c r="DL1" s="331"/>
      <c r="DM1" s="327"/>
      <c r="DN1" s="331" t="n">
        <f aca="true">+IFERROR(RANK(DN2,OFFSET($S$2,0,0,1,$D$5*3),0),"-")</f>
        <v>34</v>
      </c>
      <c r="DO1" s="331"/>
      <c r="DP1" s="327"/>
      <c r="DQ1" s="331" t="n">
        <f aca="true">+IFERROR(RANK(DQ2,OFFSET($S$2,0,0,1,$D$5*3),0),"-")</f>
        <v>35</v>
      </c>
      <c r="DR1" s="331"/>
      <c r="DS1" s="327"/>
      <c r="DT1" s="331" t="n">
        <f aca="true">+IFERROR(RANK(DT2,OFFSET($S$2,0,0,1,$D$5*3),0),"-")</f>
        <v>36</v>
      </c>
      <c r="DU1" s="331"/>
      <c r="DV1" s="327"/>
      <c r="DW1" s="331" t="n">
        <f aca="true">+IFERROR(RANK(DW2,OFFSET($S$2,0,0,1,$D$5*3),0),"-")</f>
        <v>37</v>
      </c>
      <c r="DX1" s="331"/>
      <c r="DY1" s="327"/>
      <c r="DZ1" s="331" t="n">
        <f aca="true">+IFERROR(RANK(DZ2,OFFSET($S$2,0,0,1,$D$5*3),0),"-")</f>
        <v>38</v>
      </c>
      <c r="EA1" s="331"/>
      <c r="EB1" s="327"/>
      <c r="EC1" s="331" t="n">
        <f aca="true">+IFERROR(RANK(EC2,OFFSET($S$2,0,0,1,$D$5*3),0),"-")</f>
        <v>39</v>
      </c>
      <c r="ED1" s="331"/>
      <c r="EE1" s="327"/>
      <c r="EF1" s="331" t="n">
        <f aca="true">+IFERROR(RANK(EF2,OFFSET($S$2,0,0,1,$D$5*3),0),"-")</f>
        <v>40</v>
      </c>
      <c r="EG1" s="331"/>
      <c r="EH1" s="327"/>
      <c r="EI1" s="327"/>
    </row>
    <row r="2" s="30" customFormat="true" ht="21.75" hidden="true" customHeight="true" outlineLevel="0" collapsed="false">
      <c r="A2" s="327"/>
      <c r="B2" s="327"/>
      <c r="C2" s="327"/>
      <c r="D2" s="327"/>
      <c r="E2" s="327"/>
      <c r="F2" s="328"/>
      <c r="G2" s="327"/>
      <c r="H2" s="327"/>
      <c r="I2" s="327"/>
      <c r="J2" s="329"/>
      <c r="K2" s="332"/>
      <c r="L2" s="327"/>
      <c r="M2" s="331"/>
      <c r="N2" s="332"/>
      <c r="O2" s="332"/>
      <c r="P2" s="332"/>
      <c r="Q2" s="332"/>
      <c r="R2" s="327"/>
      <c r="S2" s="331" t="n">
        <f aca="false">S4-(COLUMN()/10000)</f>
        <v>95.9981</v>
      </c>
      <c r="T2" s="331"/>
      <c r="U2" s="327"/>
      <c r="V2" s="331" t="n">
        <f aca="false">V4-(COLUMN()/10000)</f>
        <v>27.9978</v>
      </c>
      <c r="W2" s="331"/>
      <c r="X2" s="327"/>
      <c r="Y2" s="331" t="n">
        <f aca="false">Y4-(COLUMN()/10000)</f>
        <v>32.9975</v>
      </c>
      <c r="Z2" s="331"/>
      <c r="AA2" s="327"/>
      <c r="AB2" s="331" t="n">
        <f aca="false">AB4-(COLUMN()/10000)</f>
        <v>46.9972</v>
      </c>
      <c r="AC2" s="331"/>
      <c r="AD2" s="327"/>
      <c r="AE2" s="331" t="n">
        <f aca="false">AE4-(COLUMN()/10000)</f>
        <v>60.9969</v>
      </c>
      <c r="AF2" s="331"/>
      <c r="AG2" s="327"/>
      <c r="AH2" s="331" t="n">
        <f aca="false">AH4-(COLUMN()/10000)</f>
        <v>67.9966</v>
      </c>
      <c r="AI2" s="331"/>
      <c r="AJ2" s="327"/>
      <c r="AK2" s="331" t="n">
        <f aca="false">AK4-(COLUMN()/10000)</f>
        <v>32.9963</v>
      </c>
      <c r="AL2" s="331"/>
      <c r="AM2" s="327"/>
      <c r="AN2" s="331" t="n">
        <f aca="false">AN4-(COLUMN()/10000)</f>
        <v>51.996</v>
      </c>
      <c r="AO2" s="331"/>
      <c r="AP2" s="327"/>
      <c r="AQ2" s="331" t="n">
        <f aca="false">AQ4-(COLUMN()/10000)</f>
        <v>70.9957</v>
      </c>
      <c r="AR2" s="331"/>
      <c r="AS2" s="327"/>
      <c r="AT2" s="331" t="n">
        <f aca="false">AT4-(COLUMN()/10000)</f>
        <v>88.9954</v>
      </c>
      <c r="AU2" s="331"/>
      <c r="AV2" s="327"/>
      <c r="AW2" s="331" t="n">
        <f aca="false">AW4-(COLUMN()/10000)</f>
        <v>60.9951</v>
      </c>
      <c r="AX2" s="331"/>
      <c r="AY2" s="327"/>
      <c r="AZ2" s="331" t="n">
        <f aca="false">AZ4-(COLUMN()/10000)</f>
        <v>24.9948</v>
      </c>
      <c r="BA2" s="331"/>
      <c r="BB2" s="327"/>
      <c r="BC2" s="331" t="n">
        <f aca="false">BC4-(COLUMN()/10000)</f>
        <v>34.9945</v>
      </c>
      <c r="BD2" s="331"/>
      <c r="BE2" s="327"/>
      <c r="BF2" s="331" t="n">
        <f aca="false">BF4-(COLUMN()/10000)</f>
        <v>38.9942</v>
      </c>
      <c r="BG2" s="331"/>
      <c r="BH2" s="327"/>
      <c r="BI2" s="331" t="n">
        <f aca="false">BI4-(COLUMN()/10000)</f>
        <v>44.9939</v>
      </c>
      <c r="BJ2" s="331"/>
      <c r="BK2" s="327"/>
      <c r="BL2" s="331" t="n">
        <f aca="false">BL4-(COLUMN()/10000)</f>
        <v>43.9936</v>
      </c>
      <c r="BM2" s="331"/>
      <c r="BN2" s="327"/>
      <c r="BO2" s="331" t="n">
        <f aca="false">BO4-(COLUMN()/10000)</f>
        <v>90.9933</v>
      </c>
      <c r="BP2" s="331"/>
      <c r="BQ2" s="327"/>
      <c r="BR2" s="331" t="n">
        <f aca="false">BR4-(COLUMN()/10000)</f>
        <v>24.993</v>
      </c>
      <c r="BS2" s="331"/>
      <c r="BT2" s="327"/>
      <c r="BU2" s="331" t="n">
        <f aca="false">BU4-(COLUMN()/10000)</f>
        <v>-0.0073</v>
      </c>
      <c r="BV2" s="331"/>
      <c r="BW2" s="327"/>
      <c r="BX2" s="331" t="n">
        <f aca="false">BX4-(COLUMN()/10000)</f>
        <v>-0.0076</v>
      </c>
      <c r="BY2" s="331"/>
      <c r="BZ2" s="327"/>
      <c r="CA2" s="331" t="n">
        <f aca="false">CA4-(COLUMN()/10000)</f>
        <v>-0.0079</v>
      </c>
      <c r="CB2" s="331"/>
      <c r="CC2" s="327"/>
      <c r="CD2" s="331" t="n">
        <f aca="false">CD4-(COLUMN()/10000)</f>
        <v>-0.0082</v>
      </c>
      <c r="CE2" s="331"/>
      <c r="CF2" s="327"/>
      <c r="CG2" s="331" t="n">
        <f aca="false">CG4-(COLUMN()/10000)</f>
        <v>-0.0085</v>
      </c>
      <c r="CH2" s="331"/>
      <c r="CI2" s="327"/>
      <c r="CJ2" s="331" t="n">
        <f aca="false">CJ4-(COLUMN()/10000)</f>
        <v>-0.0088</v>
      </c>
      <c r="CK2" s="331"/>
      <c r="CL2" s="327"/>
      <c r="CM2" s="331" t="n">
        <f aca="false">CM4-(COLUMN()/10000)</f>
        <v>-0.0091</v>
      </c>
      <c r="CN2" s="331"/>
      <c r="CO2" s="327"/>
      <c r="CP2" s="331" t="n">
        <f aca="false">CP4-(COLUMN()/10000)</f>
        <v>-0.0094</v>
      </c>
      <c r="CQ2" s="331"/>
      <c r="CR2" s="327"/>
      <c r="CS2" s="331" t="n">
        <f aca="false">CS4-(COLUMN()/10000)</f>
        <v>-0.0097</v>
      </c>
      <c r="CT2" s="331"/>
      <c r="CU2" s="327"/>
      <c r="CV2" s="331" t="n">
        <f aca="false">CV4-(COLUMN()/10000)</f>
        <v>-0.01</v>
      </c>
      <c r="CW2" s="331"/>
      <c r="CX2" s="327"/>
      <c r="CY2" s="331" t="n">
        <f aca="false">CY4-(COLUMN()/10000)</f>
        <v>-0.0103</v>
      </c>
      <c r="CZ2" s="331"/>
      <c r="DA2" s="327"/>
      <c r="DB2" s="331" t="n">
        <f aca="false">DB4-(COLUMN()/10000)</f>
        <v>-0.0106</v>
      </c>
      <c r="DC2" s="331"/>
      <c r="DD2" s="327"/>
      <c r="DE2" s="331" t="n">
        <f aca="false">DE4-(COLUMN()/10000)</f>
        <v>-0.0109</v>
      </c>
      <c r="DF2" s="331"/>
      <c r="DG2" s="327"/>
      <c r="DH2" s="331" t="n">
        <f aca="false">DH4-(COLUMN()/10000)</f>
        <v>-0.0112</v>
      </c>
      <c r="DI2" s="331"/>
      <c r="DJ2" s="327"/>
      <c r="DK2" s="331" t="n">
        <f aca="false">DK4-(COLUMN()/10000)</f>
        <v>-0.0115</v>
      </c>
      <c r="DL2" s="331"/>
      <c r="DM2" s="327"/>
      <c r="DN2" s="331" t="n">
        <f aca="false">DN4-(COLUMN()/10000)</f>
        <v>-0.0118</v>
      </c>
      <c r="DO2" s="331"/>
      <c r="DP2" s="327"/>
      <c r="DQ2" s="331" t="n">
        <f aca="false">DQ4-(COLUMN()/10000)</f>
        <v>-0.0121</v>
      </c>
      <c r="DR2" s="331"/>
      <c r="DS2" s="327"/>
      <c r="DT2" s="331" t="n">
        <f aca="false">DT4-(COLUMN()/10000)</f>
        <v>-0.0124</v>
      </c>
      <c r="DU2" s="331"/>
      <c r="DV2" s="327"/>
      <c r="DW2" s="331" t="n">
        <f aca="false">DW4-(COLUMN()/10000)</f>
        <v>-0.0127</v>
      </c>
      <c r="DX2" s="331"/>
      <c r="DY2" s="327"/>
      <c r="DZ2" s="331" t="n">
        <f aca="false">DZ4-(COLUMN()/10000)</f>
        <v>-0.013</v>
      </c>
      <c r="EA2" s="331"/>
      <c r="EB2" s="327"/>
      <c r="EC2" s="331" t="n">
        <f aca="false">EC4-(COLUMN()/10000)</f>
        <v>-0.0133</v>
      </c>
      <c r="ED2" s="331"/>
      <c r="EE2" s="327"/>
      <c r="EF2" s="331" t="n">
        <f aca="false">EF4-(COLUMN()/10000)</f>
        <v>-0.0136</v>
      </c>
      <c r="EG2" s="331"/>
      <c r="EH2" s="327"/>
      <c r="EI2" s="327"/>
    </row>
    <row r="3" s="30" customFormat="true" ht="15" hidden="true" customHeight="false" outlineLevel="0" collapsed="false">
      <c r="A3" s="327"/>
      <c r="B3" s="327"/>
      <c r="C3" s="327"/>
      <c r="D3" s="327"/>
      <c r="E3" s="327"/>
      <c r="F3" s="328"/>
      <c r="G3" s="327"/>
      <c r="H3" s="327"/>
      <c r="I3" s="327"/>
      <c r="J3" s="329"/>
      <c r="K3" s="331"/>
      <c r="L3" s="327"/>
      <c r="M3" s="331"/>
      <c r="N3" s="332"/>
      <c r="O3" s="332"/>
      <c r="P3" s="332"/>
      <c r="Q3" s="332"/>
      <c r="R3" s="327"/>
      <c r="S3" s="331" t="n">
        <f aca="true">RANK(S4,OFFSET($S$4,0,0,1,$D$5*3),0)</f>
        <v>1</v>
      </c>
      <c r="T3" s="331"/>
      <c r="U3" s="327"/>
      <c r="V3" s="331" t="n">
        <f aca="true">RANK(V4,OFFSET($S$4,0,0,1,$D$5*3),0)</f>
        <v>16</v>
      </c>
      <c r="W3" s="331"/>
      <c r="X3" s="327"/>
      <c r="Y3" s="331" t="n">
        <f aca="true">RANK(Y4,OFFSET($S$4,0,0,1,$D$5*3),0)</f>
        <v>14</v>
      </c>
      <c r="Z3" s="331"/>
      <c r="AA3" s="327"/>
      <c r="AB3" s="331" t="n">
        <f aca="true">RANK(AB4,OFFSET($S$4,0,0,1,$D$5*3),0)</f>
        <v>9</v>
      </c>
      <c r="AC3" s="331"/>
      <c r="AD3" s="327"/>
      <c r="AE3" s="331" t="n">
        <f aca="true">RANK(AE4,OFFSET($S$4,0,0,1,$D$5*3),0)</f>
        <v>6</v>
      </c>
      <c r="AF3" s="331"/>
      <c r="AG3" s="327"/>
      <c r="AH3" s="331" t="n">
        <f aca="true">RANK(AH4,OFFSET($S$4,0,0,1,$D$5*3),0)</f>
        <v>5</v>
      </c>
      <c r="AI3" s="331"/>
      <c r="AJ3" s="327"/>
      <c r="AK3" s="331" t="n">
        <f aca="true">RANK(AK4,OFFSET($S$4,0,0,1,$D$5*3),0)</f>
        <v>14</v>
      </c>
      <c r="AL3" s="331"/>
      <c r="AM3" s="327"/>
      <c r="AN3" s="331" t="n">
        <f aca="true">RANK(AN4,OFFSET($S$4,0,0,1,$D$5*3),0)</f>
        <v>8</v>
      </c>
      <c r="AO3" s="331"/>
      <c r="AP3" s="327"/>
      <c r="AQ3" s="331" t="n">
        <f aca="true">RANK(AQ4,OFFSET($S$4,0,0,1,$D$5*3),0)</f>
        <v>4</v>
      </c>
      <c r="AR3" s="331"/>
      <c r="AS3" s="327"/>
      <c r="AT3" s="331" t="n">
        <f aca="true">RANK(AT4,OFFSET($S$4,0,0,1,$D$5*3),0)</f>
        <v>3</v>
      </c>
      <c r="AU3" s="331"/>
      <c r="AV3" s="327"/>
      <c r="AW3" s="331" t="n">
        <f aca="true">RANK(AW4,OFFSET($S$4,0,0,1,$D$5*3),0)</f>
        <v>6</v>
      </c>
      <c r="AX3" s="331"/>
      <c r="AY3" s="327"/>
      <c r="AZ3" s="331" t="n">
        <f aca="true">RANK(AZ4,OFFSET($S$4,0,0,1,$D$5*3),0)</f>
        <v>17</v>
      </c>
      <c r="BA3" s="331"/>
      <c r="BB3" s="327"/>
      <c r="BC3" s="331" t="n">
        <f aca="true">RANK(BC4,OFFSET($S$4,0,0,1,$D$5*3),0)</f>
        <v>13</v>
      </c>
      <c r="BD3" s="331"/>
      <c r="BE3" s="327"/>
      <c r="BF3" s="331" t="n">
        <f aca="true">RANK(BF4,OFFSET($S$4,0,0,1,$D$5*3),0)</f>
        <v>12</v>
      </c>
      <c r="BG3" s="331"/>
      <c r="BH3" s="327"/>
      <c r="BI3" s="331" t="n">
        <f aca="true">RANK(BI4,OFFSET($S$4,0,0,1,$D$5*3),0)</f>
        <v>10</v>
      </c>
      <c r="BJ3" s="331"/>
      <c r="BK3" s="327"/>
      <c r="BL3" s="331" t="n">
        <f aca="true">RANK(BL4,OFFSET($S$4,0,0,1,$D$5*3),0)</f>
        <v>11</v>
      </c>
      <c r="BM3" s="331"/>
      <c r="BN3" s="327"/>
      <c r="BO3" s="331" t="n">
        <f aca="true">RANK(BO4,OFFSET($S$4,0,0,1,$D$5*3),0)</f>
        <v>2</v>
      </c>
      <c r="BP3" s="331"/>
      <c r="BQ3" s="327"/>
      <c r="BR3" s="331" t="n">
        <f aca="true">RANK(BR4,OFFSET($S$4,0,0,1,$D$5*3),0)</f>
        <v>17</v>
      </c>
      <c r="BS3" s="331"/>
      <c r="BT3" s="327"/>
      <c r="BU3" s="331" t="n">
        <f aca="true">RANK(BU4,OFFSET($S$4,0,0,1,$D$5*3),0)</f>
        <v>19</v>
      </c>
      <c r="BV3" s="331"/>
      <c r="BW3" s="327"/>
      <c r="BX3" s="331" t="n">
        <f aca="true">RANK(BX4,OFFSET($S$4,0,0,1,$D$5*3),0)</f>
        <v>19</v>
      </c>
      <c r="BY3" s="331"/>
      <c r="BZ3" s="327"/>
      <c r="CA3" s="331" t="n">
        <f aca="true">RANK(CA4,OFFSET($S$4,0,0,1,$D$5*3),0)</f>
        <v>19</v>
      </c>
      <c r="CB3" s="331"/>
      <c r="CC3" s="327"/>
      <c r="CD3" s="331" t="n">
        <f aca="true">RANK(CD4,OFFSET($S$4,0,0,1,$D$5*3),0)</f>
        <v>19</v>
      </c>
      <c r="CE3" s="331"/>
      <c r="CF3" s="327"/>
      <c r="CG3" s="331" t="n">
        <f aca="true">RANK(CG4,OFFSET($S$4,0,0,1,$D$5*3),0)</f>
        <v>19</v>
      </c>
      <c r="CH3" s="331"/>
      <c r="CI3" s="327"/>
      <c r="CJ3" s="331" t="n">
        <f aca="true">RANK(CJ4,OFFSET($S$4,0,0,1,$D$5*3),0)</f>
        <v>19</v>
      </c>
      <c r="CK3" s="331"/>
      <c r="CL3" s="327"/>
      <c r="CM3" s="331" t="n">
        <f aca="true">RANK(CM4,OFFSET($S$4,0,0,1,$D$5*3),0)</f>
        <v>19</v>
      </c>
      <c r="CN3" s="331"/>
      <c r="CO3" s="327"/>
      <c r="CP3" s="331" t="n">
        <f aca="true">RANK(CP4,OFFSET($S$4,0,0,1,$D$5*3),0)</f>
        <v>19</v>
      </c>
      <c r="CQ3" s="331"/>
      <c r="CR3" s="327"/>
      <c r="CS3" s="331" t="n">
        <f aca="true">RANK(CS4,OFFSET($S$4,0,0,1,$D$5*3),0)</f>
        <v>19</v>
      </c>
      <c r="CT3" s="331"/>
      <c r="CU3" s="327"/>
      <c r="CV3" s="331" t="n">
        <f aca="true">RANK(CV4,OFFSET($S$4,0,0,1,$D$5*3),0)</f>
        <v>19</v>
      </c>
      <c r="CW3" s="331"/>
      <c r="CX3" s="327"/>
      <c r="CY3" s="331" t="n">
        <f aca="true">RANK(CY4,OFFSET($S$4,0,0,1,$D$5*3),0)</f>
        <v>19</v>
      </c>
      <c r="CZ3" s="331"/>
      <c r="DA3" s="327"/>
      <c r="DB3" s="331" t="n">
        <f aca="true">RANK(DB4,OFFSET($S$4,0,0,1,$D$5*3),0)</f>
        <v>19</v>
      </c>
      <c r="DC3" s="331"/>
      <c r="DD3" s="327"/>
      <c r="DE3" s="331" t="n">
        <f aca="true">RANK(DE4,OFFSET($S$4,0,0,1,$D$5*3),0)</f>
        <v>19</v>
      </c>
      <c r="DF3" s="331"/>
      <c r="DG3" s="327"/>
      <c r="DH3" s="331" t="n">
        <f aca="true">RANK(DH4,OFFSET($S$4,0,0,1,$D$5*3),0)</f>
        <v>19</v>
      </c>
      <c r="DI3" s="331"/>
      <c r="DJ3" s="327"/>
      <c r="DK3" s="331" t="n">
        <f aca="true">RANK(DK4,OFFSET($S$4,0,0,1,$D$5*3),0)</f>
        <v>19</v>
      </c>
      <c r="DL3" s="331"/>
      <c r="DM3" s="327"/>
      <c r="DN3" s="331" t="n">
        <f aca="true">RANK(DN4,OFFSET($S$4,0,0,1,$D$5*3),0)</f>
        <v>19</v>
      </c>
      <c r="DO3" s="331"/>
      <c r="DP3" s="327"/>
      <c r="DQ3" s="331" t="n">
        <f aca="true">RANK(DQ4,OFFSET($S$4,0,0,1,$D$5*3),0)</f>
        <v>19</v>
      </c>
      <c r="DR3" s="331"/>
      <c r="DS3" s="327"/>
      <c r="DT3" s="331" t="n">
        <f aca="true">RANK(DT4,OFFSET($S$4,0,0,1,$D$5*3),0)</f>
        <v>19</v>
      </c>
      <c r="DU3" s="331"/>
      <c r="DV3" s="327"/>
      <c r="DW3" s="331" t="n">
        <f aca="true">RANK(DW4,OFFSET($S$4,0,0,1,$D$5*3),0)</f>
        <v>19</v>
      </c>
      <c r="DX3" s="331"/>
      <c r="DY3" s="327"/>
      <c r="DZ3" s="331" t="n">
        <f aca="true">RANK(DZ4,OFFSET($S$4,0,0,1,$D$5*3),0)</f>
        <v>19</v>
      </c>
      <c r="EA3" s="331"/>
      <c r="EB3" s="327"/>
      <c r="EC3" s="331" t="n">
        <f aca="true">RANK(EC4,OFFSET($S$4,0,0,1,$D$5*3),0)</f>
        <v>19</v>
      </c>
      <c r="ED3" s="331"/>
      <c r="EE3" s="327"/>
      <c r="EF3" s="331" t="n">
        <f aca="true">RANK(EF4,OFFSET($S$4,0,0,1,$D$5*3),0)</f>
        <v>19</v>
      </c>
      <c r="EG3" s="331"/>
      <c r="EH3" s="327"/>
      <c r="EI3" s="327"/>
    </row>
    <row r="4" customFormat="false" ht="15" hidden="false" customHeight="true" outlineLevel="0" collapsed="false">
      <c r="A4" s="327"/>
      <c r="B4" s="327"/>
      <c r="C4" s="333"/>
      <c r="D4" s="327"/>
      <c r="E4" s="334"/>
      <c r="F4" s="328"/>
      <c r="G4" s="327"/>
      <c r="H4" s="327"/>
      <c r="I4" s="335"/>
      <c r="J4" s="336"/>
      <c r="K4" s="337"/>
      <c r="L4" s="338"/>
      <c r="M4" s="337"/>
      <c r="N4" s="332"/>
      <c r="O4" s="332"/>
      <c r="P4" s="332"/>
      <c r="Q4" s="332"/>
      <c r="R4" s="327"/>
      <c r="S4" s="339" t="n">
        <f aca="false">SUM(T6:T259)/2</f>
        <v>96</v>
      </c>
      <c r="T4" s="340"/>
      <c r="U4" s="338"/>
      <c r="V4" s="339" t="n">
        <f aca="false">SUM(W6:W259)/2</f>
        <v>28</v>
      </c>
      <c r="W4" s="340"/>
      <c r="X4" s="338"/>
      <c r="Y4" s="339" t="n">
        <f aca="false">SUM(Z6:Z259)/2</f>
        <v>33</v>
      </c>
      <c r="Z4" s="340"/>
      <c r="AA4" s="338"/>
      <c r="AB4" s="339" t="n">
        <f aca="false">SUM(AC6:AC259)/2</f>
        <v>47</v>
      </c>
      <c r="AC4" s="340"/>
      <c r="AD4" s="338"/>
      <c r="AE4" s="339" t="n">
        <f aca="false">SUM(AF6:AF259)/2</f>
        <v>61</v>
      </c>
      <c r="AF4" s="340"/>
      <c r="AG4" s="338"/>
      <c r="AH4" s="339" t="n">
        <f aca="false">SUM(AI6:AI259)/2</f>
        <v>68</v>
      </c>
      <c r="AI4" s="340"/>
      <c r="AJ4" s="338"/>
      <c r="AK4" s="339" t="n">
        <f aca="false">SUM(AL6:AL259)/2</f>
        <v>33</v>
      </c>
      <c r="AL4" s="340"/>
      <c r="AM4" s="338"/>
      <c r="AN4" s="339" t="n">
        <f aca="false">SUM(AO6:AO259)/2</f>
        <v>52</v>
      </c>
      <c r="AO4" s="340"/>
      <c r="AP4" s="338"/>
      <c r="AQ4" s="339" t="n">
        <f aca="false">SUM(AR6:AR259)/2</f>
        <v>71</v>
      </c>
      <c r="AR4" s="340"/>
      <c r="AS4" s="338"/>
      <c r="AT4" s="339" t="n">
        <f aca="false">SUM(AU6:AU259)/2</f>
        <v>89</v>
      </c>
      <c r="AU4" s="340"/>
      <c r="AV4" s="338"/>
      <c r="AW4" s="339" t="n">
        <f aca="false">SUM(AX6:AX259)/2</f>
        <v>61</v>
      </c>
      <c r="AX4" s="340"/>
      <c r="AY4" s="338"/>
      <c r="AZ4" s="339" t="n">
        <f aca="false">SUM(BA6:BA259)/2</f>
        <v>25</v>
      </c>
      <c r="BA4" s="340"/>
      <c r="BB4" s="338"/>
      <c r="BC4" s="339" t="n">
        <f aca="false">SUM(BD6:BD259)/2</f>
        <v>35</v>
      </c>
      <c r="BD4" s="340"/>
      <c r="BE4" s="338"/>
      <c r="BF4" s="339" t="n">
        <f aca="false">SUM(BG6:BG259)/2</f>
        <v>39</v>
      </c>
      <c r="BG4" s="340"/>
      <c r="BH4" s="338"/>
      <c r="BI4" s="339" t="n">
        <f aca="false">SUM(BJ6:BJ259)/2</f>
        <v>45</v>
      </c>
      <c r="BJ4" s="340"/>
      <c r="BK4" s="338"/>
      <c r="BL4" s="339" t="n">
        <f aca="false">SUM(BM6:BM259)/2</f>
        <v>44</v>
      </c>
      <c r="BM4" s="340"/>
      <c r="BN4" s="338"/>
      <c r="BO4" s="339" t="n">
        <f aca="false">SUM(BP6:BP259)/2</f>
        <v>91</v>
      </c>
      <c r="BP4" s="340"/>
      <c r="BQ4" s="338"/>
      <c r="BR4" s="339" t="n">
        <f aca="false">SUM(BS6:BS259)/2</f>
        <v>25</v>
      </c>
      <c r="BS4" s="340"/>
      <c r="BT4" s="338"/>
      <c r="BU4" s="339" t="n">
        <f aca="false">SUM(BV6:BV259)/2</f>
        <v>0</v>
      </c>
      <c r="BV4" s="340"/>
      <c r="BW4" s="338"/>
      <c r="BX4" s="339" t="n">
        <f aca="false">SUM(BY6:BY259)/2</f>
        <v>0</v>
      </c>
      <c r="BY4" s="340"/>
      <c r="BZ4" s="338"/>
      <c r="CA4" s="339" t="n">
        <f aca="false">SUM(CB6:CB259)/2</f>
        <v>0</v>
      </c>
      <c r="CB4" s="340"/>
      <c r="CC4" s="338"/>
      <c r="CD4" s="339" t="n">
        <f aca="false">SUM(CE6:CE259)/2</f>
        <v>0</v>
      </c>
      <c r="CE4" s="340"/>
      <c r="CF4" s="338"/>
      <c r="CG4" s="339" t="n">
        <f aca="false">SUM(CH6:CH259)/2</f>
        <v>0</v>
      </c>
      <c r="CH4" s="340"/>
      <c r="CI4" s="338"/>
      <c r="CJ4" s="339" t="n">
        <f aca="false">SUM(CK6:CK259)/2</f>
        <v>0</v>
      </c>
      <c r="CK4" s="340"/>
      <c r="CL4" s="338"/>
      <c r="CM4" s="339" t="n">
        <f aca="false">SUM(CN6:CN259)/2</f>
        <v>0</v>
      </c>
      <c r="CN4" s="340"/>
      <c r="CO4" s="338"/>
      <c r="CP4" s="339" t="n">
        <f aca="false">SUM(CQ6:CQ259)/2</f>
        <v>0</v>
      </c>
      <c r="CQ4" s="340"/>
      <c r="CR4" s="338"/>
      <c r="CS4" s="339" t="n">
        <f aca="false">SUM(CT6:CT259)/2</f>
        <v>0</v>
      </c>
      <c r="CT4" s="340"/>
      <c r="CU4" s="338"/>
      <c r="CV4" s="339" t="n">
        <f aca="false">SUM(CW6:CW259)/2</f>
        <v>0</v>
      </c>
      <c r="CW4" s="340"/>
      <c r="CX4" s="338"/>
      <c r="CY4" s="339" t="n">
        <f aca="false">SUM(CZ6:CZ259)/2</f>
        <v>0</v>
      </c>
      <c r="CZ4" s="340"/>
      <c r="DA4" s="338"/>
      <c r="DB4" s="339" t="n">
        <f aca="false">SUM(DC6:DC259)/2</f>
        <v>0</v>
      </c>
      <c r="DC4" s="340"/>
      <c r="DD4" s="338"/>
      <c r="DE4" s="339" t="n">
        <f aca="false">SUM(DF6:DF259)/2</f>
        <v>0</v>
      </c>
      <c r="DF4" s="340"/>
      <c r="DG4" s="338"/>
      <c r="DH4" s="339" t="n">
        <f aca="false">SUM(DI6:DI259)/2</f>
        <v>0</v>
      </c>
      <c r="DI4" s="340"/>
      <c r="DJ4" s="338"/>
      <c r="DK4" s="339" t="n">
        <f aca="false">SUM(DL6:DL259)/2</f>
        <v>0</v>
      </c>
      <c r="DL4" s="340"/>
      <c r="DM4" s="338"/>
      <c r="DN4" s="339" t="n">
        <f aca="false">SUM(DO6:DO259)/2</f>
        <v>0</v>
      </c>
      <c r="DO4" s="340"/>
      <c r="DP4" s="338"/>
      <c r="DQ4" s="339" t="n">
        <f aca="false">SUM(DR6:DR259)/2</f>
        <v>0</v>
      </c>
      <c r="DR4" s="340"/>
      <c r="DS4" s="338"/>
      <c r="DT4" s="339" t="n">
        <f aca="false">SUM(DU6:DU259)/2</f>
        <v>0</v>
      </c>
      <c r="DU4" s="340"/>
      <c r="DV4" s="338"/>
      <c r="DW4" s="339" t="n">
        <f aca="false">SUM(DX6:DX259)/2</f>
        <v>0</v>
      </c>
      <c r="DX4" s="340"/>
      <c r="DY4" s="338"/>
      <c r="DZ4" s="339" t="n">
        <f aca="false">SUM(EA6:EA259)/2</f>
        <v>0</v>
      </c>
      <c r="EA4" s="340"/>
      <c r="EB4" s="338"/>
      <c r="EC4" s="339" t="n">
        <f aca="false">SUM(ED6:ED259)/2</f>
        <v>0</v>
      </c>
      <c r="ED4" s="340"/>
      <c r="EE4" s="338"/>
      <c r="EF4" s="339" t="n">
        <f aca="false">SUM(EG6:EG259)/2</f>
        <v>0</v>
      </c>
      <c r="EG4" s="340"/>
      <c r="EH4" s="338"/>
      <c r="EI4" s="338"/>
    </row>
    <row r="5" customFormat="false" ht="19.7" hidden="false" customHeight="false" outlineLevel="0" collapsed="false">
      <c r="A5" s="327"/>
      <c r="B5" s="327"/>
      <c r="C5" s="341" t="str">
        <f aca="false">Idiomas!D299&amp;" -&gt;"</f>
        <v>Selecciona el Nº de Jugadores -&gt;</v>
      </c>
      <c r="D5" s="342" t="n">
        <v>40</v>
      </c>
      <c r="E5" s="334"/>
      <c r="F5" s="343" t="s">
        <v>241</v>
      </c>
      <c r="G5" s="343" t="s">
        <v>242</v>
      </c>
      <c r="H5" s="343" t="s">
        <v>243</v>
      </c>
      <c r="I5" s="344" t="s">
        <v>244</v>
      </c>
      <c r="J5" s="345" t="str">
        <f aca="false">HYPERLINK(Idiomas!D446,Idiomas!D445)</f>
        <v>?</v>
      </c>
      <c r="K5" s="346" t="str">
        <f aca="false">Idiomas!D135</f>
        <v>FASE DE GRUPOS</v>
      </c>
      <c r="L5" s="333"/>
      <c r="M5" s="347"/>
      <c r="N5" s="332"/>
      <c r="O5" s="332"/>
      <c r="P5" s="332"/>
      <c r="Q5" s="332"/>
      <c r="R5" s="327" t="n">
        <v>0</v>
      </c>
      <c r="S5" s="348" t="s">
        <v>245</v>
      </c>
      <c r="T5" s="349"/>
      <c r="U5" s="338" t="n">
        <v>1</v>
      </c>
      <c r="V5" s="348" t="s">
        <v>246</v>
      </c>
      <c r="W5" s="349"/>
      <c r="X5" s="338" t="n">
        <v>2</v>
      </c>
      <c r="Y5" s="348" t="s">
        <v>247</v>
      </c>
      <c r="Z5" s="349"/>
      <c r="AA5" s="338" t="n">
        <v>3</v>
      </c>
      <c r="AB5" s="348" t="s">
        <v>248</v>
      </c>
      <c r="AC5" s="349"/>
      <c r="AD5" s="338" t="n">
        <v>4</v>
      </c>
      <c r="AE5" s="348" t="s">
        <v>249</v>
      </c>
      <c r="AF5" s="349"/>
      <c r="AG5" s="338" t="n">
        <v>5</v>
      </c>
      <c r="AH5" s="348" t="s">
        <v>250</v>
      </c>
      <c r="AI5" s="349"/>
      <c r="AJ5" s="338" t="n">
        <v>6</v>
      </c>
      <c r="AK5" s="348" t="s">
        <v>251</v>
      </c>
      <c r="AL5" s="349"/>
      <c r="AM5" s="338" t="n">
        <v>7</v>
      </c>
      <c r="AN5" s="348" t="s">
        <v>252</v>
      </c>
      <c r="AO5" s="349"/>
      <c r="AP5" s="338" t="n">
        <v>8</v>
      </c>
      <c r="AQ5" s="348" t="s">
        <v>253</v>
      </c>
      <c r="AR5" s="349"/>
      <c r="AS5" s="338" t="n">
        <v>9</v>
      </c>
      <c r="AT5" s="348" t="s">
        <v>254</v>
      </c>
      <c r="AU5" s="349"/>
      <c r="AV5" s="338" t="n">
        <v>10</v>
      </c>
      <c r="AW5" s="348" t="s">
        <v>255</v>
      </c>
      <c r="AX5" s="349"/>
      <c r="AY5" s="338" t="n">
        <v>11</v>
      </c>
      <c r="AZ5" s="348" t="s">
        <v>256</v>
      </c>
      <c r="BA5" s="349"/>
      <c r="BB5" s="338" t="n">
        <v>12</v>
      </c>
      <c r="BC5" s="348" t="s">
        <v>257</v>
      </c>
      <c r="BD5" s="349"/>
      <c r="BE5" s="338" t="n">
        <v>13</v>
      </c>
      <c r="BF5" s="348" t="s">
        <v>258</v>
      </c>
      <c r="BG5" s="349"/>
      <c r="BH5" s="338" t="n">
        <v>14</v>
      </c>
      <c r="BI5" s="348" t="s">
        <v>259</v>
      </c>
      <c r="BJ5" s="349"/>
      <c r="BK5" s="338" t="n">
        <v>15</v>
      </c>
      <c r="BL5" s="348" t="s">
        <v>260</v>
      </c>
      <c r="BM5" s="349"/>
      <c r="BN5" s="338" t="n">
        <v>16</v>
      </c>
      <c r="BO5" s="348" t="s">
        <v>261</v>
      </c>
      <c r="BP5" s="349"/>
      <c r="BQ5" s="338" t="n">
        <v>17</v>
      </c>
      <c r="BR5" s="348" t="s">
        <v>262</v>
      </c>
      <c r="BS5" s="349"/>
      <c r="BT5" s="338" t="n">
        <v>18</v>
      </c>
      <c r="BU5" s="348" t="str">
        <f aca="false">Idiomas!$G$363&amp;ADMIN!BW5</f>
        <v>Pegar Valores Nombre J19</v>
      </c>
      <c r="BV5" s="349"/>
      <c r="BW5" s="338" t="n">
        <v>19</v>
      </c>
      <c r="BX5" s="348" t="str">
        <f aca="false">Idiomas!$G$363&amp;ADMIN!BZ5</f>
        <v>Pegar Valores Nombre J20</v>
      </c>
      <c r="BY5" s="349"/>
      <c r="BZ5" s="338" t="n">
        <v>20</v>
      </c>
      <c r="CA5" s="348" t="str">
        <f aca="false">Idiomas!$G$363&amp;ADMIN!CC5</f>
        <v>Pegar Valores Nombre J21</v>
      </c>
      <c r="CB5" s="349"/>
      <c r="CC5" s="338" t="n">
        <v>21</v>
      </c>
      <c r="CD5" s="348" t="str">
        <f aca="false">Idiomas!$G$363&amp;ADMIN!CF5</f>
        <v>Pegar Valores Nombre J22</v>
      </c>
      <c r="CE5" s="349"/>
      <c r="CF5" s="338" t="n">
        <v>22</v>
      </c>
      <c r="CG5" s="348" t="str">
        <f aca="false">Idiomas!$G$363&amp;ADMIN!CI5</f>
        <v>Pegar Valores Nombre J23</v>
      </c>
      <c r="CH5" s="349"/>
      <c r="CI5" s="338" t="n">
        <v>23</v>
      </c>
      <c r="CJ5" s="348" t="str">
        <f aca="false">Idiomas!$G$363&amp;ADMIN!CL5</f>
        <v>Pegar Valores Nombre J24</v>
      </c>
      <c r="CK5" s="349"/>
      <c r="CL5" s="338" t="n">
        <v>24</v>
      </c>
      <c r="CM5" s="348" t="str">
        <f aca="false">Idiomas!$G$363&amp;ADMIN!CO5</f>
        <v>Pegar Valores Nombre J25</v>
      </c>
      <c r="CN5" s="349"/>
      <c r="CO5" s="338" t="n">
        <v>25</v>
      </c>
      <c r="CP5" s="348" t="str">
        <f aca="false">Idiomas!$G$363&amp;ADMIN!CR5</f>
        <v>Pegar Valores Nombre J26</v>
      </c>
      <c r="CQ5" s="349"/>
      <c r="CR5" s="338" t="n">
        <v>26</v>
      </c>
      <c r="CS5" s="348" t="str">
        <f aca="false">Idiomas!$G$363&amp;ADMIN!CU5</f>
        <v>Pegar Valores Nombre J27</v>
      </c>
      <c r="CT5" s="349"/>
      <c r="CU5" s="338" t="n">
        <v>27</v>
      </c>
      <c r="CV5" s="348" t="str">
        <f aca="false">Idiomas!$G$363&amp;ADMIN!CX5</f>
        <v>Pegar Valores Nombre J28</v>
      </c>
      <c r="CW5" s="349"/>
      <c r="CX5" s="338" t="n">
        <v>28</v>
      </c>
      <c r="CY5" s="348" t="str">
        <f aca="false">Idiomas!$G$363&amp;ADMIN!DA5</f>
        <v>Pegar Valores Nombre J29</v>
      </c>
      <c r="CZ5" s="349"/>
      <c r="DA5" s="338" t="n">
        <v>29</v>
      </c>
      <c r="DB5" s="348" t="str">
        <f aca="false">Idiomas!$G$363&amp;ADMIN!DD5</f>
        <v>Pegar Valores Nombre J30</v>
      </c>
      <c r="DC5" s="349"/>
      <c r="DD5" s="338" t="n">
        <v>30</v>
      </c>
      <c r="DE5" s="348" t="str">
        <f aca="false">Idiomas!$G$363&amp;ADMIN!DG5</f>
        <v>Pegar Valores Nombre J31</v>
      </c>
      <c r="DF5" s="349"/>
      <c r="DG5" s="338" t="n">
        <v>31</v>
      </c>
      <c r="DH5" s="348" t="str">
        <f aca="false">Idiomas!$G$363&amp;ADMIN!DJ5</f>
        <v>Pegar Valores Nombre J32</v>
      </c>
      <c r="DI5" s="349"/>
      <c r="DJ5" s="338" t="n">
        <v>32</v>
      </c>
      <c r="DK5" s="348" t="str">
        <f aca="false">Idiomas!$G$363&amp;ADMIN!DM5</f>
        <v>Pegar Valores Nombre J33</v>
      </c>
      <c r="DL5" s="349"/>
      <c r="DM5" s="338" t="n">
        <v>33</v>
      </c>
      <c r="DN5" s="348" t="str">
        <f aca="false">Idiomas!$G$363&amp;ADMIN!DP5</f>
        <v>Pegar Valores Nombre J34</v>
      </c>
      <c r="DO5" s="349"/>
      <c r="DP5" s="338" t="n">
        <v>34</v>
      </c>
      <c r="DQ5" s="348" t="str">
        <f aca="false">Idiomas!$G$363&amp;ADMIN!DS5</f>
        <v>Pegar Valores Nombre J35</v>
      </c>
      <c r="DR5" s="349"/>
      <c r="DS5" s="338" t="n">
        <v>35</v>
      </c>
      <c r="DT5" s="348" t="str">
        <f aca="false">Idiomas!$G$363&amp;ADMIN!DV5</f>
        <v>Pegar Valores Nombre J36</v>
      </c>
      <c r="DU5" s="349"/>
      <c r="DV5" s="338" t="n">
        <v>36</v>
      </c>
      <c r="DW5" s="348" t="str">
        <f aca="false">Idiomas!$G$363&amp;ADMIN!DY5</f>
        <v>Pegar Valores Nombre J37</v>
      </c>
      <c r="DX5" s="349"/>
      <c r="DY5" s="338" t="n">
        <v>37</v>
      </c>
      <c r="DZ5" s="348" t="str">
        <f aca="false">Idiomas!$G$363&amp;ADMIN!EB5</f>
        <v>Pegar Valores Nombre J38</v>
      </c>
      <c r="EA5" s="349"/>
      <c r="EB5" s="338" t="n">
        <v>38</v>
      </c>
      <c r="EC5" s="348" t="str">
        <f aca="false">Idiomas!$G$363&amp;ADMIN!EE5</f>
        <v>Pegar Valores Nombre J39</v>
      </c>
      <c r="ED5" s="349"/>
      <c r="EE5" s="338" t="n">
        <v>39</v>
      </c>
      <c r="EF5" s="348" t="str">
        <f aca="false">Idiomas!$G$363&amp;ADMIN!EH5</f>
        <v>Pegar Valores Nombre J40</v>
      </c>
      <c r="EG5" s="349"/>
      <c r="EH5" s="338" t="n">
        <v>40</v>
      </c>
      <c r="EI5" s="338"/>
    </row>
    <row r="6" customFormat="false" ht="15" hidden="false" customHeight="false" outlineLevel="0" collapsed="false">
      <c r="A6" s="327"/>
      <c r="B6" s="327"/>
      <c r="C6" s="350"/>
      <c r="D6" s="327"/>
      <c r="E6" s="334"/>
      <c r="F6" s="343" t="n">
        <f aca="false">SUM($D$8:$D$10)*I6</f>
        <v>17</v>
      </c>
      <c r="G6" s="343" t="n">
        <f aca="false">VLOOKUP(H6,Equipos!$Q$1:$R$25,2,0)</f>
        <v>1</v>
      </c>
      <c r="H6" s="351" t="n">
        <f aca="false">TRUNC(INDEX(WORLDCUP!$X$4:$X$147,MATCH(ADMIN!K6,WORLDCUP!$DT$4:$DT$147,0))+INDEX(Horarios!$R$3:$R$86,MATCH(Horarios!$C$3,Horarios!$P$3:$P$86,0))/24)</f>
        <v>46184</v>
      </c>
      <c r="I6" s="352" t="n">
        <v>1</v>
      </c>
      <c r="J6" s="353" t="s">
        <v>263</v>
      </c>
      <c r="K6" s="354" t="str">
        <f aca="false">CONCATENATE(WORLDCUP!AA4,"-",WORLDCUP!AF4)</f>
        <v>México-Sudáfrica</v>
      </c>
      <c r="L6" s="354"/>
      <c r="M6" s="354" t="str">
        <f aca="false">IF(OR(WORLDCUP!AC4="",WORLDCUP!AD4=""),"-",N6&amp;"|"&amp;O6&amp;"-"&amp;P6)</f>
        <v>1|2-0</v>
      </c>
      <c r="N6" s="332" t="str">
        <f aca="false">IF(OR(WORLDCUP!AC4="",WORLDCUP!AD4=""),"",IF(WORLDCUP!AC4&gt;WORLDCUP!AD4,"1",IF(WORLDCUP!AC4&lt;WORLDCUP!AD4,"2","X")))</f>
        <v>1</v>
      </c>
      <c r="O6" s="332" t="n">
        <f aca="false">WORLDCUP!AC4</f>
        <v>2</v>
      </c>
      <c r="P6" s="332" t="n">
        <f aca="false">WORLDCUP!AD4</f>
        <v>0</v>
      </c>
      <c r="Q6" s="332" t="n">
        <f aca="false">ABS(O6-P6)</f>
        <v>2</v>
      </c>
      <c r="R6" s="327"/>
      <c r="S6" s="355" t="s">
        <v>264</v>
      </c>
      <c r="T6" s="356" t="n">
        <f aca="false">IFERROR(IF($M6=S6,($D$8+$D$9+$D$10)*$I6,IF($N6=LEFT(S6,1),($D$8+MAX(0,IF($D$50=1,$D$9*(1-(ABS($Q6-ABS(VALUE(MID(S6,FIND("|",S6)+1,FIND("-",S6)-FIND("|",S6)-1))-VALUE(MID(S6,FIND("-",S6)+1,10)))))*$D$50),$D$9*(1-(IF($N6="X",ABS($O6-VALUE(MID(S6,FIND("|",S6)+1,FIND("-",S6)-FIND("|",S6)-1))),ABS($Q6-ABS(VALUE(MID(S6,FIND("|",S6)+1,FIND("-",S6)-FIND("|",S6)-1))-VALUE(MID(S6,FIND("-",S6)+1,10)))))*$D$50)))))*$I6,0)),0)</f>
        <v>5</v>
      </c>
      <c r="U6" s="334"/>
      <c r="V6" s="355" t="s">
        <v>264</v>
      </c>
      <c r="W6" s="356" t="n">
        <f aca="false">IFERROR(IF($M6=V6,($D$8+$D$9+$D$10)*$I6,IF($N6=LEFT(V6,1),($D$8+MAX(0,IF($D$50=1,$D$9*(1-(ABS($Q6-ABS(VALUE(MID(V6,FIND("|",V6)+1,FIND("-",V6)-FIND("|",V6)-1))-VALUE(MID(V6,FIND("-",V6)+1,10)))))*$D$50),$D$9*(1-(IF($N6="X",ABS($O6-VALUE(MID(V6,FIND("|",V6)+1,FIND("-",V6)-FIND("|",V6)-1))),ABS($Q6-ABS(VALUE(MID(V6,FIND("|",V6)+1,FIND("-",V6)-FIND("|",V6)-1))-VALUE(MID(V6,FIND("-",V6)+1,10)))))*$D$50)))))*$I6,0)),0)</f>
        <v>5</v>
      </c>
      <c r="X6" s="334"/>
      <c r="Y6" s="355" t="s">
        <v>264</v>
      </c>
      <c r="Z6" s="356" t="n">
        <f aca="false">IFERROR(IF($M6=Y6,($D$8+$D$9+$D$10)*$I6,IF($N6=LEFT(Y6,1),($D$8+MAX(0,IF($D$50=1,$D$9*(1-(ABS($Q6-ABS(VALUE(MID(Y6,FIND("|",Y6)+1,FIND("-",Y6)-FIND("|",Y6)-1))-VALUE(MID(Y6,FIND("-",Y6)+1,10)))))*$D$50),$D$9*(1-(IF($N6="X",ABS($O6-VALUE(MID(Y6,FIND("|",Y6)+1,FIND("-",Y6)-FIND("|",Y6)-1))),ABS($Q6-ABS(VALUE(MID(Y6,FIND("|",Y6)+1,FIND("-",Y6)-FIND("|",Y6)-1))-VALUE(MID(Y6,FIND("-",Y6)+1,10)))))*$D$50)))))*$I6,0)),0)</f>
        <v>5</v>
      </c>
      <c r="AA6" s="334"/>
      <c r="AB6" s="355" t="s">
        <v>265</v>
      </c>
      <c r="AC6" s="356" t="n">
        <f aca="false">IFERROR(IF($M6=AB6,($D$8+$D$9+$D$10)*$I6,IF($N6=LEFT(AB6,1),($D$8+MAX(0,IF($D$50=1,$D$9*(1-(ABS($Q6-ABS(VALUE(MID(AB6,FIND("|",AB6)+1,FIND("-",AB6)-FIND("|",AB6)-1))-VALUE(MID(AB6,FIND("-",AB6)+1,10)))))*$D$50),$D$9*(1-(IF($N6="X",ABS($O6-VALUE(MID(AB6,FIND("|",AB6)+1,FIND("-",AB6)-FIND("|",AB6)-1))),ABS($Q6-ABS(VALUE(MID(AB6,FIND("|",AB6)+1,FIND("-",AB6)-FIND("|",AB6)-1))-VALUE(MID(AB6,FIND("-",AB6)+1,10)))))*$D$50)))))*$I6,0)),0)</f>
        <v>5</v>
      </c>
      <c r="AD6" s="334"/>
      <c r="AE6" s="355" t="s">
        <v>266</v>
      </c>
      <c r="AF6" s="356" t="n">
        <f aca="false">IFERROR(IF($M6=AE6,($D$8+$D$9+$D$10)*$I6,IF($N6=LEFT(AE6,1),($D$8+MAX(0,IF($D$50=1,$D$9*(1-(ABS($Q6-ABS(VALUE(MID(AE6,FIND("|",AE6)+1,FIND("-",AE6)-FIND("|",AE6)-1))-VALUE(MID(AE6,FIND("-",AE6)+1,10)))))*$D$50),$D$9*(1-(IF($N6="X",ABS($O6-VALUE(MID(AE6,FIND("|",AE6)+1,FIND("-",AE6)-FIND("|",AE6)-1))),ABS($Q6-ABS(VALUE(MID(AE6,FIND("|",AE6)+1,FIND("-",AE6)-FIND("|",AE6)-1))-VALUE(MID(AE6,FIND("-",AE6)+1,10)))))*$D$50)))))*$I6,0)),0)</f>
        <v>17</v>
      </c>
      <c r="AG6" s="334"/>
      <c r="AH6" s="355" t="s">
        <v>266</v>
      </c>
      <c r="AI6" s="356" t="n">
        <f aca="false">IFERROR(IF($M6=AH6,($D$8+$D$9+$D$10)*$I6,IF($N6=LEFT(AH6,1),($D$8+MAX(0,IF($D$50=1,$D$9*(1-(ABS($Q6-ABS(VALUE(MID(AH6,FIND("|",AH6)+1,FIND("-",AH6)-FIND("|",AH6)-1))-VALUE(MID(AH6,FIND("-",AH6)+1,10)))))*$D$50),$D$9*(1-(IF($N6="X",ABS($O6-VALUE(MID(AH6,FIND("|",AH6)+1,FIND("-",AH6)-FIND("|",AH6)-1))),ABS($Q6-ABS(VALUE(MID(AH6,FIND("|",AH6)+1,FIND("-",AH6)-FIND("|",AH6)-1))-VALUE(MID(AH6,FIND("-",AH6)+1,10)))))*$D$50)))))*$I6,0)),0)</f>
        <v>17</v>
      </c>
      <c r="AJ6" s="334"/>
      <c r="AK6" s="355" t="s">
        <v>266</v>
      </c>
      <c r="AL6" s="356" t="n">
        <f aca="false">IFERROR(IF($M6=AK6,($D$8+$D$9+$D$10)*$I6,IF($N6=LEFT(AK6,1),($D$8+MAX(0,IF($D$50=1,$D$9*(1-(ABS($Q6-ABS(VALUE(MID(AK6,FIND("|",AK6)+1,FIND("-",AK6)-FIND("|",AK6)-1))-VALUE(MID(AK6,FIND("-",AK6)+1,10)))))*$D$50),$D$9*(1-(IF($N6="X",ABS($O6-VALUE(MID(AK6,FIND("|",AK6)+1,FIND("-",AK6)-FIND("|",AK6)-1))),ABS($Q6-ABS(VALUE(MID(AK6,FIND("|",AK6)+1,FIND("-",AK6)-FIND("|",AK6)-1))-VALUE(MID(AK6,FIND("-",AK6)+1,10)))))*$D$50)))))*$I6,0)),0)</f>
        <v>17</v>
      </c>
      <c r="AM6" s="334"/>
      <c r="AN6" s="355" t="s">
        <v>266</v>
      </c>
      <c r="AO6" s="356" t="n">
        <f aca="false">IFERROR(IF($M6=AN6,($D$8+$D$9+$D$10)*$I6,IF($N6=LEFT(AN6,1),($D$8+MAX(0,IF($D$50=1,$D$9*(1-(ABS($Q6-ABS(VALUE(MID(AN6,FIND("|",AN6)+1,FIND("-",AN6)-FIND("|",AN6)-1))-VALUE(MID(AN6,FIND("-",AN6)+1,10)))))*$D$50),$D$9*(1-(IF($N6="X",ABS($O6-VALUE(MID(AN6,FIND("|",AN6)+1,FIND("-",AN6)-FIND("|",AN6)-1))),ABS($Q6-ABS(VALUE(MID(AN6,FIND("|",AN6)+1,FIND("-",AN6)-FIND("|",AN6)-1))-VALUE(MID(AN6,FIND("-",AN6)+1,10)))))*$D$50)))))*$I6,0)),0)</f>
        <v>17</v>
      </c>
      <c r="AP6" s="334"/>
      <c r="AQ6" s="355" t="s">
        <v>266</v>
      </c>
      <c r="AR6" s="356" t="n">
        <f aca="false">IFERROR(IF($M6=AQ6,($D$8+$D$9+$D$10)*$I6,IF($N6=LEFT(AQ6,1),($D$8+MAX(0,IF($D$50=1,$D$9*(1-(ABS($Q6-ABS(VALUE(MID(AQ6,FIND("|",AQ6)+1,FIND("-",AQ6)-FIND("|",AQ6)-1))-VALUE(MID(AQ6,FIND("-",AQ6)+1,10)))))*$D$50),$D$9*(1-(IF($N6="X",ABS($O6-VALUE(MID(AQ6,FIND("|",AQ6)+1,FIND("-",AQ6)-FIND("|",AQ6)-1))),ABS($Q6-ABS(VALUE(MID(AQ6,FIND("|",AQ6)+1,FIND("-",AQ6)-FIND("|",AQ6)-1))-VALUE(MID(AQ6,FIND("-",AQ6)+1,10)))))*$D$50)))))*$I6,0)),0)</f>
        <v>17</v>
      </c>
      <c r="AS6" s="334"/>
      <c r="AT6" s="355" t="s">
        <v>266</v>
      </c>
      <c r="AU6" s="356" t="n">
        <f aca="false">IFERROR(IF($M6=AT6,($D$8+$D$9+$D$10)*$I6,IF($N6=LEFT(AT6,1),($D$8+MAX(0,IF($D$50=1,$D$9*(1-(ABS($Q6-ABS(VALUE(MID(AT6,FIND("|",AT6)+1,FIND("-",AT6)-FIND("|",AT6)-1))-VALUE(MID(AT6,FIND("-",AT6)+1,10)))))*$D$50),$D$9*(1-(IF($N6="X",ABS($O6-VALUE(MID(AT6,FIND("|",AT6)+1,FIND("-",AT6)-FIND("|",AT6)-1))),ABS($Q6-ABS(VALUE(MID(AT6,FIND("|",AT6)+1,FIND("-",AT6)-FIND("|",AT6)-1))-VALUE(MID(AT6,FIND("-",AT6)+1,10)))))*$D$50)))))*$I6,0)),0)</f>
        <v>17</v>
      </c>
      <c r="AV6" s="334"/>
      <c r="AW6" s="355" t="s">
        <v>265</v>
      </c>
      <c r="AX6" s="356" t="n">
        <f aca="false">IFERROR(IF($M6=AW6,($D$8+$D$9+$D$10)*$I6,IF($N6=LEFT(AW6,1),($D$8+MAX(0,IF($D$50=1,$D$9*(1-(ABS($Q6-ABS(VALUE(MID(AW6,FIND("|",AW6)+1,FIND("-",AW6)-FIND("|",AW6)-1))-VALUE(MID(AW6,FIND("-",AW6)+1,10)))))*$D$50),$D$9*(1-(IF($N6="X",ABS($O6-VALUE(MID(AW6,FIND("|",AW6)+1,FIND("-",AW6)-FIND("|",AW6)-1))),ABS($Q6-ABS(VALUE(MID(AW6,FIND("|",AW6)+1,FIND("-",AW6)-FIND("|",AW6)-1))-VALUE(MID(AW6,FIND("-",AW6)+1,10)))))*$D$50)))))*$I6,0)),0)</f>
        <v>5</v>
      </c>
      <c r="AY6" s="334"/>
      <c r="AZ6" s="355" t="s">
        <v>264</v>
      </c>
      <c r="BA6" s="356" t="n">
        <f aca="false">IFERROR(IF($M6=AZ6,($D$8+$D$9+$D$10)*$I6,IF($N6=LEFT(AZ6,1),($D$8+MAX(0,IF($D$50=1,$D$9*(1-(ABS($Q6-ABS(VALUE(MID(AZ6,FIND("|",AZ6)+1,FIND("-",AZ6)-FIND("|",AZ6)-1))-VALUE(MID(AZ6,FIND("-",AZ6)+1,10)))))*$D$50),$D$9*(1-(IF($N6="X",ABS($O6-VALUE(MID(AZ6,FIND("|",AZ6)+1,FIND("-",AZ6)-FIND("|",AZ6)-1))),ABS($Q6-ABS(VALUE(MID(AZ6,FIND("|",AZ6)+1,FIND("-",AZ6)-FIND("|",AZ6)-1))-VALUE(MID(AZ6,FIND("-",AZ6)+1,10)))))*$D$50)))))*$I6,0)),0)</f>
        <v>5</v>
      </c>
      <c r="BB6" s="334"/>
      <c r="BC6" s="355" t="s">
        <v>264</v>
      </c>
      <c r="BD6" s="356" t="n">
        <f aca="false">IFERROR(IF($M6=BC6,($D$8+$D$9+$D$10)*$I6,IF($N6=LEFT(BC6,1),($D$8+MAX(0,IF($D$50=1,$D$9*(1-(ABS($Q6-ABS(VALUE(MID(BC6,FIND("|",BC6)+1,FIND("-",BC6)-FIND("|",BC6)-1))-VALUE(MID(BC6,FIND("-",BC6)+1,10)))))*$D$50),$D$9*(1-(IF($N6="X",ABS($O6-VALUE(MID(BC6,FIND("|",BC6)+1,FIND("-",BC6)-FIND("|",BC6)-1))),ABS($Q6-ABS(VALUE(MID(BC6,FIND("|",BC6)+1,FIND("-",BC6)-FIND("|",BC6)-1))-VALUE(MID(BC6,FIND("-",BC6)+1,10)))))*$D$50)))))*$I6,0)),0)</f>
        <v>5</v>
      </c>
      <c r="BE6" s="334"/>
      <c r="BF6" s="355" t="s">
        <v>265</v>
      </c>
      <c r="BG6" s="356" t="n">
        <f aca="false">IFERROR(IF($M6=BF6,($D$8+$D$9+$D$10)*$I6,IF($N6=LEFT(BF6,1),($D$8+MAX(0,IF($D$50=1,$D$9*(1-(ABS($Q6-ABS(VALUE(MID(BF6,FIND("|",BF6)+1,FIND("-",BF6)-FIND("|",BF6)-1))-VALUE(MID(BF6,FIND("-",BF6)+1,10)))))*$D$50),$D$9*(1-(IF($N6="X",ABS($O6-VALUE(MID(BF6,FIND("|",BF6)+1,FIND("-",BF6)-FIND("|",BF6)-1))),ABS($Q6-ABS(VALUE(MID(BF6,FIND("|",BF6)+1,FIND("-",BF6)-FIND("|",BF6)-1))-VALUE(MID(BF6,FIND("-",BF6)+1,10)))))*$D$50)))))*$I6,0)),0)</f>
        <v>5</v>
      </c>
      <c r="BH6" s="334"/>
      <c r="BI6" s="355" t="s">
        <v>264</v>
      </c>
      <c r="BJ6" s="356" t="n">
        <f aca="false">IFERROR(IF($M6=BI6,($D$8+$D$9+$D$10)*$I6,IF($N6=LEFT(BI6,1),($D$8+MAX(0,IF($D$50=1,$D$9*(1-(ABS($Q6-ABS(VALUE(MID(BI6,FIND("|",BI6)+1,FIND("-",BI6)-FIND("|",BI6)-1))-VALUE(MID(BI6,FIND("-",BI6)+1,10)))))*$D$50),$D$9*(1-(IF($N6="X",ABS($O6-VALUE(MID(BI6,FIND("|",BI6)+1,FIND("-",BI6)-FIND("|",BI6)-1))),ABS($Q6-ABS(VALUE(MID(BI6,FIND("|",BI6)+1,FIND("-",BI6)-FIND("|",BI6)-1))-VALUE(MID(BI6,FIND("-",BI6)+1,10)))))*$D$50)))))*$I6,0)),0)</f>
        <v>5</v>
      </c>
      <c r="BK6" s="334"/>
      <c r="BL6" s="355" t="s">
        <v>266</v>
      </c>
      <c r="BM6" s="356" t="n">
        <f aca="false">IFERROR(IF($M6=BL6,($D$8+$D$9+$D$10)*$I6,IF($N6=LEFT(BL6,1),($D$8+MAX(0,IF($D$50=1,$D$9*(1-(ABS($Q6-ABS(VALUE(MID(BL6,FIND("|",BL6)+1,FIND("-",BL6)-FIND("|",BL6)-1))-VALUE(MID(BL6,FIND("-",BL6)+1,10)))))*$D$50),$D$9*(1-(IF($N6="X",ABS($O6-VALUE(MID(BL6,FIND("|",BL6)+1,FIND("-",BL6)-FIND("|",BL6)-1))),ABS($Q6-ABS(VALUE(MID(BL6,FIND("|",BL6)+1,FIND("-",BL6)-FIND("|",BL6)-1))-VALUE(MID(BL6,FIND("-",BL6)+1,10)))))*$D$50)))))*$I6,0)),0)</f>
        <v>17</v>
      </c>
      <c r="BN6" s="334"/>
      <c r="BO6" s="355" t="s">
        <v>266</v>
      </c>
      <c r="BP6" s="356" t="n">
        <f aca="false">IFERROR(IF($M6=BO6,($D$8+$D$9+$D$10)*$I6,IF($N6=LEFT(BO6,1),($D$8+MAX(0,IF($D$50=1,$D$9*(1-(ABS($Q6-ABS(VALUE(MID(BO6,FIND("|",BO6)+1,FIND("-",BO6)-FIND("|",BO6)-1))-VALUE(MID(BO6,FIND("-",BO6)+1,10)))))*$D$50),$D$9*(1-(IF($N6="X",ABS($O6-VALUE(MID(BO6,FIND("|",BO6)+1,FIND("-",BO6)-FIND("|",BO6)-1))),ABS($Q6-ABS(VALUE(MID(BO6,FIND("|",BO6)+1,FIND("-",BO6)-FIND("|",BO6)-1))-VALUE(MID(BO6,FIND("-",BO6)+1,10)))))*$D$50)))))*$I6,0)),0)</f>
        <v>17</v>
      </c>
      <c r="BQ6" s="334"/>
      <c r="BR6" s="355" t="s">
        <v>265</v>
      </c>
      <c r="BS6" s="356" t="n">
        <f aca="false">IFERROR(IF($M6=BR6,($D$8+$D$9+$D$10)*$I6,IF($N6=LEFT(BR6,1),($D$8+MAX(0,IF($D$50=1,$D$9*(1-(ABS($Q6-ABS(VALUE(MID(BR6,FIND("|",BR6)+1,FIND("-",BR6)-FIND("|",BR6)-1))-VALUE(MID(BR6,FIND("-",BR6)+1,10)))))*$D$50),$D$9*(1-(IF($N6="X",ABS($O6-VALUE(MID(BR6,FIND("|",BR6)+1,FIND("-",BR6)-FIND("|",BR6)-1))),ABS($Q6-ABS(VALUE(MID(BR6,FIND("|",BR6)+1,FIND("-",BR6)-FIND("|",BR6)-1))-VALUE(MID(BR6,FIND("-",BR6)+1,10)))))*$D$50)))))*$I6,0)),0)</f>
        <v>5</v>
      </c>
      <c r="BT6" s="334"/>
      <c r="BU6" s="355" t="str">
        <f aca="false">Idiomas!$D$364</f>
        <v>Pegar Valores (J1)</v>
      </c>
      <c r="BV6" s="356" t="n">
        <f aca="false">IFERROR(IF($M6=BU6,($D$8+$D$9+$D$10)*$I6,IF($N6=LEFT(BU6,1),($D$8+MAX(0,IF($D$50=1,$D$9*(1-(ABS($Q6-ABS(VALUE(MID(BU6,FIND("|",BU6)+1,FIND("-",BU6)-FIND("|",BU6)-1))-VALUE(MID(BU6,FIND("-",BU6)+1,10)))))*$D$50),$D$9*(1-(IF($N6="X",ABS($O6-VALUE(MID(BU6,FIND("|",BU6)+1,FIND("-",BU6)-FIND("|",BU6)-1))),ABS($Q6-ABS(VALUE(MID(BU6,FIND("|",BU6)+1,FIND("-",BU6)-FIND("|",BU6)-1))-VALUE(MID(BU6,FIND("-",BU6)+1,10)))))*$D$50)))))*$I6,0)),0)</f>
        <v>0</v>
      </c>
      <c r="BW6" s="334"/>
      <c r="BX6" s="355" t="str">
        <f aca="false">Idiomas!$D$364</f>
        <v>Pegar Valores (J1)</v>
      </c>
      <c r="BY6" s="356" t="n">
        <f aca="false">IFERROR(IF($M6=BX6,($D$8+$D$9+$D$10)*$I6,IF($N6=LEFT(BX6,1),($D$8+MAX(0,IF($D$50=1,$D$9*(1-(ABS($Q6-ABS(VALUE(MID(BX6,FIND("|",BX6)+1,FIND("-",BX6)-FIND("|",BX6)-1))-VALUE(MID(BX6,FIND("-",BX6)+1,10)))))*$D$50),$D$9*(1-(IF($N6="X",ABS($O6-VALUE(MID(BX6,FIND("|",BX6)+1,FIND("-",BX6)-FIND("|",BX6)-1))),ABS($Q6-ABS(VALUE(MID(BX6,FIND("|",BX6)+1,FIND("-",BX6)-FIND("|",BX6)-1))-VALUE(MID(BX6,FIND("-",BX6)+1,10)))))*$D$50)))))*$I6,0)),0)</f>
        <v>0</v>
      </c>
      <c r="BZ6" s="334"/>
      <c r="CA6" s="355" t="str">
        <f aca="false">Idiomas!$D$364</f>
        <v>Pegar Valores (J1)</v>
      </c>
      <c r="CB6" s="356" t="n">
        <f aca="false">IFERROR(IF($M6=CA6,($D$8+$D$9+$D$10)*$I6,IF($N6=LEFT(CA6,1),($D$8+MAX(0,IF($D$50=1,$D$9*(1-(ABS($Q6-ABS(VALUE(MID(CA6,FIND("|",CA6)+1,FIND("-",CA6)-FIND("|",CA6)-1))-VALUE(MID(CA6,FIND("-",CA6)+1,10)))))*$D$50),$D$9*(1-(IF($N6="X",ABS($O6-VALUE(MID(CA6,FIND("|",CA6)+1,FIND("-",CA6)-FIND("|",CA6)-1))),ABS($Q6-ABS(VALUE(MID(CA6,FIND("|",CA6)+1,FIND("-",CA6)-FIND("|",CA6)-1))-VALUE(MID(CA6,FIND("-",CA6)+1,10)))))*$D$50)))))*$I6,0)),0)</f>
        <v>0</v>
      </c>
      <c r="CC6" s="334"/>
      <c r="CD6" s="355" t="str">
        <f aca="false">Idiomas!$D$364</f>
        <v>Pegar Valores (J1)</v>
      </c>
      <c r="CE6" s="356" t="n">
        <f aca="false">IFERROR(IF($M6=CD6,($D$8+$D$9+$D$10)*$I6,IF($N6=LEFT(CD6,1),($D$8+MAX(0,IF($D$50=1,$D$9*(1-(ABS($Q6-ABS(VALUE(MID(CD6,FIND("|",CD6)+1,FIND("-",CD6)-FIND("|",CD6)-1))-VALUE(MID(CD6,FIND("-",CD6)+1,10)))))*$D$50),$D$9*(1-(IF($N6="X",ABS($O6-VALUE(MID(CD6,FIND("|",CD6)+1,FIND("-",CD6)-FIND("|",CD6)-1))),ABS($Q6-ABS(VALUE(MID(CD6,FIND("|",CD6)+1,FIND("-",CD6)-FIND("|",CD6)-1))-VALUE(MID(CD6,FIND("-",CD6)+1,10)))))*$D$50)))))*$I6,0)),0)</f>
        <v>0</v>
      </c>
      <c r="CF6" s="334"/>
      <c r="CG6" s="355" t="str">
        <f aca="false">Idiomas!$D$364</f>
        <v>Pegar Valores (J1)</v>
      </c>
      <c r="CH6" s="356" t="n">
        <f aca="false">IFERROR(IF($M6=CG6,($D$8+$D$9+$D$10)*$I6,IF($N6=LEFT(CG6,1),($D$8+MAX(0,IF($D$50=1,$D$9*(1-(ABS($Q6-ABS(VALUE(MID(CG6,FIND("|",CG6)+1,FIND("-",CG6)-FIND("|",CG6)-1))-VALUE(MID(CG6,FIND("-",CG6)+1,10)))))*$D$50),$D$9*(1-(IF($N6="X",ABS($O6-VALUE(MID(CG6,FIND("|",CG6)+1,FIND("-",CG6)-FIND("|",CG6)-1))),ABS($Q6-ABS(VALUE(MID(CG6,FIND("|",CG6)+1,FIND("-",CG6)-FIND("|",CG6)-1))-VALUE(MID(CG6,FIND("-",CG6)+1,10)))))*$D$50)))))*$I6,0)),0)</f>
        <v>0</v>
      </c>
      <c r="CI6" s="334"/>
      <c r="CJ6" s="355" t="str">
        <f aca="false">Idiomas!$D$364</f>
        <v>Pegar Valores (J1)</v>
      </c>
      <c r="CK6" s="356" t="n">
        <f aca="false">IFERROR(IF($M6=CJ6,($D$8+$D$9+$D$10)*$I6,IF($N6=LEFT(CJ6,1),($D$8+MAX(0,IF($D$50=1,$D$9*(1-(ABS($Q6-ABS(VALUE(MID(CJ6,FIND("|",CJ6)+1,FIND("-",CJ6)-FIND("|",CJ6)-1))-VALUE(MID(CJ6,FIND("-",CJ6)+1,10)))))*$D$50),$D$9*(1-(IF($N6="X",ABS($O6-VALUE(MID(CJ6,FIND("|",CJ6)+1,FIND("-",CJ6)-FIND("|",CJ6)-1))),ABS($Q6-ABS(VALUE(MID(CJ6,FIND("|",CJ6)+1,FIND("-",CJ6)-FIND("|",CJ6)-1))-VALUE(MID(CJ6,FIND("-",CJ6)+1,10)))))*$D$50)))))*$I6,0)),0)</f>
        <v>0</v>
      </c>
      <c r="CL6" s="334"/>
      <c r="CM6" s="355" t="str">
        <f aca="false">Idiomas!$D$364</f>
        <v>Pegar Valores (J1)</v>
      </c>
      <c r="CN6" s="356" t="n">
        <f aca="false">IFERROR(IF($M6=CM6,($D$8+$D$9+$D$10)*$I6,IF($N6=LEFT(CM6,1),($D$8+MAX(0,IF($D$50=1,$D$9*(1-(ABS($Q6-ABS(VALUE(MID(CM6,FIND("|",CM6)+1,FIND("-",CM6)-FIND("|",CM6)-1))-VALUE(MID(CM6,FIND("-",CM6)+1,10)))))*$D$50),$D$9*(1-(IF($N6="X",ABS($O6-VALUE(MID(CM6,FIND("|",CM6)+1,FIND("-",CM6)-FIND("|",CM6)-1))),ABS($Q6-ABS(VALUE(MID(CM6,FIND("|",CM6)+1,FIND("-",CM6)-FIND("|",CM6)-1))-VALUE(MID(CM6,FIND("-",CM6)+1,10)))))*$D$50)))))*$I6,0)),0)</f>
        <v>0</v>
      </c>
      <c r="CO6" s="334"/>
      <c r="CP6" s="355" t="str">
        <f aca="false">Idiomas!$D$364</f>
        <v>Pegar Valores (J1)</v>
      </c>
      <c r="CQ6" s="356" t="n">
        <f aca="false">IFERROR(IF($M6=CP6,($D$8+$D$9+$D$10)*$I6,IF($N6=LEFT(CP6,1),($D$8+MAX(0,IF($D$50=1,$D$9*(1-(ABS($Q6-ABS(VALUE(MID(CP6,FIND("|",CP6)+1,FIND("-",CP6)-FIND("|",CP6)-1))-VALUE(MID(CP6,FIND("-",CP6)+1,10)))))*$D$50),$D$9*(1-(IF($N6="X",ABS($O6-VALUE(MID(CP6,FIND("|",CP6)+1,FIND("-",CP6)-FIND("|",CP6)-1))),ABS($Q6-ABS(VALUE(MID(CP6,FIND("|",CP6)+1,FIND("-",CP6)-FIND("|",CP6)-1))-VALUE(MID(CP6,FIND("-",CP6)+1,10)))))*$D$50)))))*$I6,0)),0)</f>
        <v>0</v>
      </c>
      <c r="CR6" s="334"/>
      <c r="CS6" s="355" t="str">
        <f aca="false">Idiomas!$D$364</f>
        <v>Pegar Valores (J1)</v>
      </c>
      <c r="CT6" s="356" t="n">
        <f aca="false">IFERROR(IF($M6=CS6,($D$8+$D$9+$D$10)*$I6,IF($N6=LEFT(CS6,1),($D$8+MAX(0,IF($D$50=1,$D$9*(1-(ABS($Q6-ABS(VALUE(MID(CS6,FIND("|",CS6)+1,FIND("-",CS6)-FIND("|",CS6)-1))-VALUE(MID(CS6,FIND("-",CS6)+1,10)))))*$D$50),$D$9*(1-(IF($N6="X",ABS($O6-VALUE(MID(CS6,FIND("|",CS6)+1,FIND("-",CS6)-FIND("|",CS6)-1))),ABS($Q6-ABS(VALUE(MID(CS6,FIND("|",CS6)+1,FIND("-",CS6)-FIND("|",CS6)-1))-VALUE(MID(CS6,FIND("-",CS6)+1,10)))))*$D$50)))))*$I6,0)),0)</f>
        <v>0</v>
      </c>
      <c r="CU6" s="334"/>
      <c r="CV6" s="355" t="str">
        <f aca="false">Idiomas!$D$364</f>
        <v>Pegar Valores (J1)</v>
      </c>
      <c r="CW6" s="356" t="n">
        <f aca="false">IFERROR(IF($M6=CV6,($D$8+$D$9+$D$10)*$I6,IF($N6=LEFT(CV6,1),($D$8+MAX(0,IF($D$50=1,$D$9*(1-(ABS($Q6-ABS(VALUE(MID(CV6,FIND("|",CV6)+1,FIND("-",CV6)-FIND("|",CV6)-1))-VALUE(MID(CV6,FIND("-",CV6)+1,10)))))*$D$50),$D$9*(1-(IF($N6="X",ABS($O6-VALUE(MID(CV6,FIND("|",CV6)+1,FIND("-",CV6)-FIND("|",CV6)-1))),ABS($Q6-ABS(VALUE(MID(CV6,FIND("|",CV6)+1,FIND("-",CV6)-FIND("|",CV6)-1))-VALUE(MID(CV6,FIND("-",CV6)+1,10)))))*$D$50)))))*$I6,0)),0)</f>
        <v>0</v>
      </c>
      <c r="CX6" s="334"/>
      <c r="CY6" s="355" t="str">
        <f aca="false">Idiomas!$D$364</f>
        <v>Pegar Valores (J1)</v>
      </c>
      <c r="CZ6" s="356" t="n">
        <f aca="false">IFERROR(IF($M6=CY6,($D$8+$D$9+$D$10)*$I6,IF($N6=LEFT(CY6,1),($D$8+MAX(0,IF($D$50=1,$D$9*(1-(ABS($Q6-ABS(VALUE(MID(CY6,FIND("|",CY6)+1,FIND("-",CY6)-FIND("|",CY6)-1))-VALUE(MID(CY6,FIND("-",CY6)+1,10)))))*$D$50),$D$9*(1-(IF($N6="X",ABS($O6-VALUE(MID(CY6,FIND("|",CY6)+1,FIND("-",CY6)-FIND("|",CY6)-1))),ABS($Q6-ABS(VALUE(MID(CY6,FIND("|",CY6)+1,FIND("-",CY6)-FIND("|",CY6)-1))-VALUE(MID(CY6,FIND("-",CY6)+1,10)))))*$D$50)))))*$I6,0)),0)</f>
        <v>0</v>
      </c>
      <c r="DA6" s="334"/>
      <c r="DB6" s="355" t="str">
        <f aca="false">Idiomas!$D$364</f>
        <v>Pegar Valores (J1)</v>
      </c>
      <c r="DC6" s="356" t="n">
        <f aca="false">IFERROR(IF($M6=DB6,($D$8+$D$9+$D$10)*$I6,IF($N6=LEFT(DB6,1),($D$8+MAX(0,IF($D$50=1,$D$9*(1-(ABS($Q6-ABS(VALUE(MID(DB6,FIND("|",DB6)+1,FIND("-",DB6)-FIND("|",DB6)-1))-VALUE(MID(DB6,FIND("-",DB6)+1,10)))))*$D$50),$D$9*(1-(IF($N6="X",ABS($O6-VALUE(MID(DB6,FIND("|",DB6)+1,FIND("-",DB6)-FIND("|",DB6)-1))),ABS($Q6-ABS(VALUE(MID(DB6,FIND("|",DB6)+1,FIND("-",DB6)-FIND("|",DB6)-1))-VALUE(MID(DB6,FIND("-",DB6)+1,10)))))*$D$50)))))*$I6,0)),0)</f>
        <v>0</v>
      </c>
      <c r="DD6" s="334"/>
      <c r="DE6" s="355" t="str">
        <f aca="false">Idiomas!$D$364</f>
        <v>Pegar Valores (J1)</v>
      </c>
      <c r="DF6" s="356" t="n">
        <f aca="false">IFERROR(IF($M6=DE6,($D$8+$D$9+$D$10)*$I6,IF($N6=LEFT(DE6,1),($D$8+MAX(0,IF($D$50=1,$D$9*(1-(ABS($Q6-ABS(VALUE(MID(DE6,FIND("|",DE6)+1,FIND("-",DE6)-FIND("|",DE6)-1))-VALUE(MID(DE6,FIND("-",DE6)+1,10)))))*$D$50),$D$9*(1-(IF($N6="X",ABS($O6-VALUE(MID(DE6,FIND("|",DE6)+1,FIND("-",DE6)-FIND("|",DE6)-1))),ABS($Q6-ABS(VALUE(MID(DE6,FIND("|",DE6)+1,FIND("-",DE6)-FIND("|",DE6)-1))-VALUE(MID(DE6,FIND("-",DE6)+1,10)))))*$D$50)))))*$I6,0)),0)</f>
        <v>0</v>
      </c>
      <c r="DG6" s="334"/>
      <c r="DH6" s="355" t="str">
        <f aca="false">Idiomas!$D$364</f>
        <v>Pegar Valores (J1)</v>
      </c>
      <c r="DI6" s="356" t="n">
        <f aca="false">IFERROR(IF($M6=DH6,($D$8+$D$9+$D$10)*$I6,IF($N6=LEFT(DH6,1),($D$8+MAX(0,IF($D$50=1,$D$9*(1-(ABS($Q6-ABS(VALUE(MID(DH6,FIND("|",DH6)+1,FIND("-",DH6)-FIND("|",DH6)-1))-VALUE(MID(DH6,FIND("-",DH6)+1,10)))))*$D$50),$D$9*(1-(IF($N6="X",ABS($O6-VALUE(MID(DH6,FIND("|",DH6)+1,FIND("-",DH6)-FIND("|",DH6)-1))),ABS($Q6-ABS(VALUE(MID(DH6,FIND("|",DH6)+1,FIND("-",DH6)-FIND("|",DH6)-1))-VALUE(MID(DH6,FIND("-",DH6)+1,10)))))*$D$50)))))*$I6,0)),0)</f>
        <v>0</v>
      </c>
      <c r="DJ6" s="334"/>
      <c r="DK6" s="355" t="str">
        <f aca="false">Idiomas!$D$364</f>
        <v>Pegar Valores (J1)</v>
      </c>
      <c r="DL6" s="356" t="n">
        <f aca="false">IFERROR(IF($M6=DK6,($D$8+$D$9+$D$10)*$I6,IF($N6=LEFT(DK6,1),($D$8+MAX(0,IF($D$50=1,$D$9*(1-(ABS($Q6-ABS(VALUE(MID(DK6,FIND("|",DK6)+1,FIND("-",DK6)-FIND("|",DK6)-1))-VALUE(MID(DK6,FIND("-",DK6)+1,10)))))*$D$50),$D$9*(1-(IF($N6="X",ABS($O6-VALUE(MID(DK6,FIND("|",DK6)+1,FIND("-",DK6)-FIND("|",DK6)-1))),ABS($Q6-ABS(VALUE(MID(DK6,FIND("|",DK6)+1,FIND("-",DK6)-FIND("|",DK6)-1))-VALUE(MID(DK6,FIND("-",DK6)+1,10)))))*$D$50)))))*$I6,0)),0)</f>
        <v>0</v>
      </c>
      <c r="DM6" s="334"/>
      <c r="DN6" s="355" t="str">
        <f aca="false">Idiomas!$D$364</f>
        <v>Pegar Valores (J1)</v>
      </c>
      <c r="DO6" s="356" t="n">
        <f aca="false">IFERROR(IF($M6=DN6,($D$8+$D$9+$D$10)*$I6,IF($N6=LEFT(DN6,1),($D$8+MAX(0,IF($D$50=1,$D$9*(1-(ABS($Q6-ABS(VALUE(MID(DN6,FIND("|",DN6)+1,FIND("-",DN6)-FIND("|",DN6)-1))-VALUE(MID(DN6,FIND("-",DN6)+1,10)))))*$D$50),$D$9*(1-(IF($N6="X",ABS($O6-VALUE(MID(DN6,FIND("|",DN6)+1,FIND("-",DN6)-FIND("|",DN6)-1))),ABS($Q6-ABS(VALUE(MID(DN6,FIND("|",DN6)+1,FIND("-",DN6)-FIND("|",DN6)-1))-VALUE(MID(DN6,FIND("-",DN6)+1,10)))))*$D$50)))))*$I6,0)),0)</f>
        <v>0</v>
      </c>
      <c r="DP6" s="334"/>
      <c r="DQ6" s="355" t="str">
        <f aca="false">Idiomas!$D$364</f>
        <v>Pegar Valores (J1)</v>
      </c>
      <c r="DR6" s="356" t="n">
        <f aca="false">IFERROR(IF($M6=DQ6,($D$8+$D$9+$D$10)*$I6,IF($N6=LEFT(DQ6,1),($D$8+MAX(0,IF($D$50=1,$D$9*(1-(ABS($Q6-ABS(VALUE(MID(DQ6,FIND("|",DQ6)+1,FIND("-",DQ6)-FIND("|",DQ6)-1))-VALUE(MID(DQ6,FIND("-",DQ6)+1,10)))))*$D$50),$D$9*(1-(IF($N6="X",ABS($O6-VALUE(MID(DQ6,FIND("|",DQ6)+1,FIND("-",DQ6)-FIND("|",DQ6)-1))),ABS($Q6-ABS(VALUE(MID(DQ6,FIND("|",DQ6)+1,FIND("-",DQ6)-FIND("|",DQ6)-1))-VALUE(MID(DQ6,FIND("-",DQ6)+1,10)))))*$D$50)))))*$I6,0)),0)</f>
        <v>0</v>
      </c>
      <c r="DS6" s="334"/>
      <c r="DT6" s="355" t="str">
        <f aca="false">Idiomas!$D$364</f>
        <v>Pegar Valores (J1)</v>
      </c>
      <c r="DU6" s="356" t="n">
        <f aca="false">IFERROR(IF($M6=DT6,($D$8+$D$9+$D$10)*$I6,IF($N6=LEFT(DT6,1),($D$8+MAX(0,IF($D$50=1,$D$9*(1-(ABS($Q6-ABS(VALUE(MID(DT6,FIND("|",DT6)+1,FIND("-",DT6)-FIND("|",DT6)-1))-VALUE(MID(DT6,FIND("-",DT6)+1,10)))))*$D$50),$D$9*(1-(IF($N6="X",ABS($O6-VALUE(MID(DT6,FIND("|",DT6)+1,FIND("-",DT6)-FIND("|",DT6)-1))),ABS($Q6-ABS(VALUE(MID(DT6,FIND("|",DT6)+1,FIND("-",DT6)-FIND("|",DT6)-1))-VALUE(MID(DT6,FIND("-",DT6)+1,10)))))*$D$50)))))*$I6,0)),0)</f>
        <v>0</v>
      </c>
      <c r="DV6" s="334"/>
      <c r="DW6" s="355" t="str">
        <f aca="false">Idiomas!$D$364</f>
        <v>Pegar Valores (J1)</v>
      </c>
      <c r="DX6" s="356" t="n">
        <f aca="false">IFERROR(IF($M6=DW6,($D$8+$D$9+$D$10)*$I6,IF($N6=LEFT(DW6,1),($D$8+MAX(0,IF($D$50=1,$D$9*(1-(ABS($Q6-ABS(VALUE(MID(DW6,FIND("|",DW6)+1,FIND("-",DW6)-FIND("|",DW6)-1))-VALUE(MID(DW6,FIND("-",DW6)+1,10)))))*$D$50),$D$9*(1-(IF($N6="X",ABS($O6-VALUE(MID(DW6,FIND("|",DW6)+1,FIND("-",DW6)-FIND("|",DW6)-1))),ABS($Q6-ABS(VALUE(MID(DW6,FIND("|",DW6)+1,FIND("-",DW6)-FIND("|",DW6)-1))-VALUE(MID(DW6,FIND("-",DW6)+1,10)))))*$D$50)))))*$I6,0)),0)</f>
        <v>0</v>
      </c>
      <c r="DY6" s="334"/>
      <c r="DZ6" s="355" t="str">
        <f aca="false">Idiomas!$D$364</f>
        <v>Pegar Valores (J1)</v>
      </c>
      <c r="EA6" s="356" t="n">
        <f aca="false">IFERROR(IF($M6=DZ6,($D$8+$D$9+$D$10)*$I6,IF($N6=LEFT(DZ6,1),($D$8+MAX(0,IF($D$50=1,$D$9*(1-(ABS($Q6-ABS(VALUE(MID(DZ6,FIND("|",DZ6)+1,FIND("-",DZ6)-FIND("|",DZ6)-1))-VALUE(MID(DZ6,FIND("-",DZ6)+1,10)))))*$D$50),$D$9*(1-(IF($N6="X",ABS($O6-VALUE(MID(DZ6,FIND("|",DZ6)+1,FIND("-",DZ6)-FIND("|",DZ6)-1))),ABS($Q6-ABS(VALUE(MID(DZ6,FIND("|",DZ6)+1,FIND("-",DZ6)-FIND("|",DZ6)-1))-VALUE(MID(DZ6,FIND("-",DZ6)+1,10)))))*$D$50)))))*$I6,0)),0)</f>
        <v>0</v>
      </c>
      <c r="EB6" s="334"/>
      <c r="EC6" s="355"/>
      <c r="ED6" s="356" t="n">
        <f aca="false">IFERROR(IF($M6=EC6,($D$8+$D$9+$D$10)*$I6,IF($N6=LEFT(EC6,1),($D$8+MAX(0,IF($D$50=1,$D$9*(1-(ABS($Q6-ABS(VALUE(MID(EC6,FIND("|",EC6)+1,FIND("-",EC6)-FIND("|",EC6)-1))-VALUE(MID(EC6,FIND("-",EC6)+1,10)))))*$D$50),$D$9*(1-(IF($N6="X",ABS($O6-VALUE(MID(EC6,FIND("|",EC6)+1,FIND("-",EC6)-FIND("|",EC6)-1))),ABS($Q6-ABS(VALUE(MID(EC6,FIND("|",EC6)+1,FIND("-",EC6)-FIND("|",EC6)-1))-VALUE(MID(EC6,FIND("-",EC6)+1,10)))))*$D$50)))))*$I6,0)),0)</f>
        <v>0</v>
      </c>
      <c r="EE6" s="334"/>
      <c r="EF6" s="355" t="str">
        <f aca="false">Idiomas!$D$364</f>
        <v>Pegar Valores (J1)</v>
      </c>
      <c r="EG6" s="356" t="n">
        <f aca="false">IFERROR(IF($M6=EF6,($D$8+$D$9+$D$10)*$I6,IF($N6=LEFT(EF6,1),($D$8+MAX(0,IF($D$50=1,$D$9*(1-(ABS($Q6-ABS(VALUE(MID(EF6,FIND("|",EF6)+1,FIND("-",EF6)-FIND("|",EF6)-1))-VALUE(MID(EF6,FIND("-",EF6)+1,10)))))*$D$50),$D$9*(1-(IF($N6="X",ABS($O6-VALUE(MID(EF6,FIND("|",EF6)+1,FIND("-",EF6)-FIND("|",EF6)-1))),ABS($Q6-ABS(VALUE(MID(EF6,FIND("|",EF6)+1,FIND("-",EF6)-FIND("|",EF6)-1))-VALUE(MID(EF6,FIND("-",EF6)+1,10)))))*$D$50)))))*$I6,0)),0)</f>
        <v>0</v>
      </c>
      <c r="EH6" s="334"/>
      <c r="EI6" s="334"/>
    </row>
    <row r="7" customFormat="false" ht="15" hidden="false" customHeight="false" outlineLevel="0" collapsed="false">
      <c r="A7" s="327"/>
      <c r="B7" s="327"/>
      <c r="C7" s="357" t="str">
        <f aca="false">HYPERLINK(Idiomas!D302,Idiomas!D301)</f>
        <v>Regla* (Click para ver la explicación)</v>
      </c>
      <c r="D7" s="358" t="str">
        <f aca="false">Idiomas!D303</f>
        <v>Puntos</v>
      </c>
      <c r="E7" s="334"/>
      <c r="F7" s="343" t="n">
        <f aca="false">SUM($D$8:$D$10)*I7</f>
        <v>17</v>
      </c>
      <c r="G7" s="343" t="n">
        <f aca="false">VLOOKUP(H7,Equipos!$Q$1:$R$25,2,0)</f>
        <v>2</v>
      </c>
      <c r="H7" s="351" t="n">
        <f aca="false">TRUNC(INDEX(WORLDCUP!$X$4:$X$147,MATCH(ADMIN!K7,WORLDCUP!$DT$4:$DT$147,0))+INDEX(Horarios!$R$3:$R$86,MATCH(Horarios!$C$3,Horarios!$P$3:$P$86,0))/24)</f>
        <v>46185</v>
      </c>
      <c r="I7" s="352" t="n">
        <v>1</v>
      </c>
      <c r="J7" s="353" t="s">
        <v>263</v>
      </c>
      <c r="K7" s="354" t="str">
        <f aca="false">CONCATENATE(WORLDCUP!AA5,"-",WORLDCUP!AF5)</f>
        <v>Corea del Sur-República Checa</v>
      </c>
      <c r="L7" s="354"/>
      <c r="M7" s="359" t="str">
        <f aca="false">IF(OR(WORLDCUP!AC5="",WORLDCUP!AD5=""),"-",N7&amp;"|"&amp;O7&amp;"-"&amp;P7)</f>
        <v>1|2-1</v>
      </c>
      <c r="N7" s="332" t="str">
        <f aca="false">IF(OR(WORLDCUP!AC5="",WORLDCUP!AD5=""),"",IF(WORLDCUP!AC5&gt;WORLDCUP!AD5,"1",IF(WORLDCUP!AC5&lt;WORLDCUP!AD5,"2","X")))</f>
        <v>1</v>
      </c>
      <c r="O7" s="332" t="n">
        <f aca="false">WORLDCUP!AC5</f>
        <v>2</v>
      </c>
      <c r="P7" s="332" t="n">
        <f aca="false">WORLDCUP!AD5</f>
        <v>1</v>
      </c>
      <c r="Q7" s="332" t="n">
        <f aca="false">ABS(O7-P7)</f>
        <v>1</v>
      </c>
      <c r="R7" s="327"/>
      <c r="S7" s="355" t="s">
        <v>267</v>
      </c>
      <c r="T7" s="356" t="n">
        <f aca="false">IFERROR(IF($M7=S7,($D$8+$D$9+$D$10)*$I7,IF($N7=LEFT(S7,1),($D$8+MAX(0,IF($D$50=1,$D$9*(1-(ABS($Q7-ABS(VALUE(MID(S7,FIND("|",S7)+1,FIND("-",S7)-FIND("|",S7)-1))-VALUE(MID(S7,FIND("-",S7)+1,10)))))*$D$50),$D$9*(1-(IF($N7="X",ABS($O7-VALUE(MID(S7,FIND("|",S7)+1,FIND("-",S7)-FIND("|",S7)-1))),ABS($Q7-ABS(VALUE(MID(S7,FIND("|",S7)+1,FIND("-",S7)-FIND("|",S7)-1))-VALUE(MID(S7,FIND("-",S7)+1,10)))))*$D$50)))))*$I7,0)),0)</f>
        <v>0</v>
      </c>
      <c r="U7" s="334"/>
      <c r="V7" s="355" t="s">
        <v>267</v>
      </c>
      <c r="W7" s="356" t="n">
        <f aca="false">IFERROR(IF($M7=V7,($D$8+$D$9+$D$10)*$I7,IF($N7=LEFT(V7,1),($D$8+MAX(0,IF($D$50=1,$D$9*(1-(ABS($Q7-ABS(VALUE(MID(V7,FIND("|",V7)+1,FIND("-",V7)-FIND("|",V7)-1))-VALUE(MID(V7,FIND("-",V7)+1,10)))))*$D$50),$D$9*(1-(IF($N7="X",ABS($O7-VALUE(MID(V7,FIND("|",V7)+1,FIND("-",V7)-FIND("|",V7)-1))),ABS($Q7-ABS(VALUE(MID(V7,FIND("|",V7)+1,FIND("-",V7)-FIND("|",V7)-1))-VALUE(MID(V7,FIND("-",V7)+1,10)))))*$D$50)))))*$I7,0)),0)</f>
        <v>0</v>
      </c>
      <c r="X7" s="334"/>
      <c r="Y7" s="355" t="s">
        <v>267</v>
      </c>
      <c r="Z7" s="356" t="n">
        <f aca="false">IFERROR(IF($M7=Y7,($D$8+$D$9+$D$10)*$I7,IF($N7=LEFT(Y7,1),($D$8+MAX(0,IF($D$50=1,$D$9*(1-(ABS($Q7-ABS(VALUE(MID(Y7,FIND("|",Y7)+1,FIND("-",Y7)-FIND("|",Y7)-1))-VALUE(MID(Y7,FIND("-",Y7)+1,10)))))*$D$50),$D$9*(1-(IF($N7="X",ABS($O7-VALUE(MID(Y7,FIND("|",Y7)+1,FIND("-",Y7)-FIND("|",Y7)-1))),ABS($Q7-ABS(VALUE(MID(Y7,FIND("|",Y7)+1,FIND("-",Y7)-FIND("|",Y7)-1))-VALUE(MID(Y7,FIND("-",Y7)+1,10)))))*$D$50)))))*$I7,0)),0)</f>
        <v>0</v>
      </c>
      <c r="AA7" s="334"/>
      <c r="AB7" s="355" t="s">
        <v>268</v>
      </c>
      <c r="AC7" s="356" t="n">
        <f aca="false">IFERROR(IF($M7=AB7,($D$8+$D$9+$D$10)*$I7,IF($N7=LEFT(AB7,1),($D$8+MAX(0,IF($D$50=1,$D$9*(1-(ABS($Q7-ABS(VALUE(MID(AB7,FIND("|",AB7)+1,FIND("-",AB7)-FIND("|",AB7)-1))-VALUE(MID(AB7,FIND("-",AB7)+1,10)))))*$D$50),$D$9*(1-(IF($N7="X",ABS($O7-VALUE(MID(AB7,FIND("|",AB7)+1,FIND("-",AB7)-FIND("|",AB7)-1))),ABS($Q7-ABS(VALUE(MID(AB7,FIND("|",AB7)+1,FIND("-",AB7)-FIND("|",AB7)-1))-VALUE(MID(AB7,FIND("-",AB7)+1,10)))))*$D$50)))))*$I7,0)),0)</f>
        <v>0</v>
      </c>
      <c r="AD7" s="334"/>
      <c r="AE7" s="355" t="s">
        <v>264</v>
      </c>
      <c r="AF7" s="356" t="n">
        <f aca="false">IFERROR(IF($M7=AE7,($D$8+$D$9+$D$10)*$I7,IF($N7=LEFT(AE7,1),($D$8+MAX(0,IF($D$50=1,$D$9*(1-(ABS($Q7-ABS(VALUE(MID(AE7,FIND("|",AE7)+1,FIND("-",AE7)-FIND("|",AE7)-1))-VALUE(MID(AE7,FIND("-",AE7)+1,10)))))*$D$50),$D$9*(1-(IF($N7="X",ABS($O7-VALUE(MID(AE7,FIND("|",AE7)+1,FIND("-",AE7)-FIND("|",AE7)-1))),ABS($Q7-ABS(VALUE(MID(AE7,FIND("|",AE7)+1,FIND("-",AE7)-FIND("|",AE7)-1))-VALUE(MID(AE7,FIND("-",AE7)+1,10)))))*$D$50)))))*$I7,0)),0)</f>
        <v>17</v>
      </c>
      <c r="AG7" s="334"/>
      <c r="AH7" s="355" t="s">
        <v>267</v>
      </c>
      <c r="AI7" s="356" t="n">
        <f aca="false">IFERROR(IF($M7=AH7,($D$8+$D$9+$D$10)*$I7,IF($N7=LEFT(AH7,1),($D$8+MAX(0,IF($D$50=1,$D$9*(1-(ABS($Q7-ABS(VALUE(MID(AH7,FIND("|",AH7)+1,FIND("-",AH7)-FIND("|",AH7)-1))-VALUE(MID(AH7,FIND("-",AH7)+1,10)))))*$D$50),$D$9*(1-(IF($N7="X",ABS($O7-VALUE(MID(AH7,FIND("|",AH7)+1,FIND("-",AH7)-FIND("|",AH7)-1))),ABS($Q7-ABS(VALUE(MID(AH7,FIND("|",AH7)+1,FIND("-",AH7)-FIND("|",AH7)-1))-VALUE(MID(AH7,FIND("-",AH7)+1,10)))))*$D$50)))))*$I7,0)),0)</f>
        <v>0</v>
      </c>
      <c r="AJ7" s="334"/>
      <c r="AK7" s="355" t="s">
        <v>267</v>
      </c>
      <c r="AL7" s="356" t="n">
        <f aca="false">IFERROR(IF($M7=AK7,($D$8+$D$9+$D$10)*$I7,IF($N7=LEFT(AK7,1),($D$8+MAX(0,IF($D$50=1,$D$9*(1-(ABS($Q7-ABS(VALUE(MID(AK7,FIND("|",AK7)+1,FIND("-",AK7)-FIND("|",AK7)-1))-VALUE(MID(AK7,FIND("-",AK7)+1,10)))))*$D$50),$D$9*(1-(IF($N7="X",ABS($O7-VALUE(MID(AK7,FIND("|",AK7)+1,FIND("-",AK7)-FIND("|",AK7)-1))),ABS($Q7-ABS(VALUE(MID(AK7,FIND("|",AK7)+1,FIND("-",AK7)-FIND("|",AK7)-1))-VALUE(MID(AK7,FIND("-",AK7)+1,10)))))*$D$50)))))*$I7,0)),0)</f>
        <v>0</v>
      </c>
      <c r="AM7" s="334"/>
      <c r="AN7" s="355" t="s">
        <v>267</v>
      </c>
      <c r="AO7" s="356" t="n">
        <f aca="false">IFERROR(IF($M7=AN7,($D$8+$D$9+$D$10)*$I7,IF($N7=LEFT(AN7,1),($D$8+MAX(0,IF($D$50=1,$D$9*(1-(ABS($Q7-ABS(VALUE(MID(AN7,FIND("|",AN7)+1,FIND("-",AN7)-FIND("|",AN7)-1))-VALUE(MID(AN7,FIND("-",AN7)+1,10)))))*$D$50),$D$9*(1-(IF($N7="X",ABS($O7-VALUE(MID(AN7,FIND("|",AN7)+1,FIND("-",AN7)-FIND("|",AN7)-1))),ABS($Q7-ABS(VALUE(MID(AN7,FIND("|",AN7)+1,FIND("-",AN7)-FIND("|",AN7)-1))-VALUE(MID(AN7,FIND("-",AN7)+1,10)))))*$D$50)))))*$I7,0)),0)</f>
        <v>0</v>
      </c>
      <c r="AP7" s="334"/>
      <c r="AQ7" s="355" t="s">
        <v>264</v>
      </c>
      <c r="AR7" s="356" t="n">
        <f aca="false">IFERROR(IF($M7=AQ7,($D$8+$D$9+$D$10)*$I7,IF($N7=LEFT(AQ7,1),($D$8+MAX(0,IF($D$50=1,$D$9*(1-(ABS($Q7-ABS(VALUE(MID(AQ7,FIND("|",AQ7)+1,FIND("-",AQ7)-FIND("|",AQ7)-1))-VALUE(MID(AQ7,FIND("-",AQ7)+1,10)))))*$D$50),$D$9*(1-(IF($N7="X",ABS($O7-VALUE(MID(AQ7,FIND("|",AQ7)+1,FIND("-",AQ7)-FIND("|",AQ7)-1))),ABS($Q7-ABS(VALUE(MID(AQ7,FIND("|",AQ7)+1,FIND("-",AQ7)-FIND("|",AQ7)-1))-VALUE(MID(AQ7,FIND("-",AQ7)+1,10)))))*$D$50)))))*$I7,0)),0)</f>
        <v>17</v>
      </c>
      <c r="AS7" s="334"/>
      <c r="AT7" s="355" t="s">
        <v>268</v>
      </c>
      <c r="AU7" s="356" t="n">
        <f aca="false">IFERROR(IF($M7=AT7,($D$8+$D$9+$D$10)*$I7,IF($N7=LEFT(AT7,1),($D$8+MAX(0,IF($D$50=1,$D$9*(1-(ABS($Q7-ABS(VALUE(MID(AT7,FIND("|",AT7)+1,FIND("-",AT7)-FIND("|",AT7)-1))-VALUE(MID(AT7,FIND("-",AT7)+1,10)))))*$D$50),$D$9*(1-(IF($N7="X",ABS($O7-VALUE(MID(AT7,FIND("|",AT7)+1,FIND("-",AT7)-FIND("|",AT7)-1))),ABS($Q7-ABS(VALUE(MID(AT7,FIND("|",AT7)+1,FIND("-",AT7)-FIND("|",AT7)-1))-VALUE(MID(AT7,FIND("-",AT7)+1,10)))))*$D$50)))))*$I7,0)),0)</f>
        <v>0</v>
      </c>
      <c r="AV7" s="334"/>
      <c r="AW7" s="355" t="s">
        <v>269</v>
      </c>
      <c r="AX7" s="356" t="n">
        <f aca="false">IFERROR(IF($M7=AW7,($D$8+$D$9+$D$10)*$I7,IF($N7=LEFT(AW7,1),($D$8+MAX(0,IF($D$50=1,$D$9*(1-(ABS($Q7-ABS(VALUE(MID(AW7,FIND("|",AW7)+1,FIND("-",AW7)-FIND("|",AW7)-1))-VALUE(MID(AW7,FIND("-",AW7)+1,10)))))*$D$50),$D$9*(1-(IF($N7="X",ABS($O7-VALUE(MID(AW7,FIND("|",AW7)+1,FIND("-",AW7)-FIND("|",AW7)-1))),ABS($Q7-ABS(VALUE(MID(AW7,FIND("|",AW7)+1,FIND("-",AW7)-FIND("|",AW7)-1))-VALUE(MID(AW7,FIND("-",AW7)+1,10)))))*$D$50)))))*$I7,0)),0)</f>
        <v>0</v>
      </c>
      <c r="AY7" s="334"/>
      <c r="AZ7" s="355" t="s">
        <v>268</v>
      </c>
      <c r="BA7" s="356" t="n">
        <f aca="false">IFERROR(IF($M7=AZ7,($D$8+$D$9+$D$10)*$I7,IF($N7=LEFT(AZ7,1),($D$8+MAX(0,IF($D$50=1,$D$9*(1-(ABS($Q7-ABS(VALUE(MID(AZ7,FIND("|",AZ7)+1,FIND("-",AZ7)-FIND("|",AZ7)-1))-VALUE(MID(AZ7,FIND("-",AZ7)+1,10)))))*$D$50),$D$9*(1-(IF($N7="X",ABS($O7-VALUE(MID(AZ7,FIND("|",AZ7)+1,FIND("-",AZ7)-FIND("|",AZ7)-1))),ABS($Q7-ABS(VALUE(MID(AZ7,FIND("|",AZ7)+1,FIND("-",AZ7)-FIND("|",AZ7)-1))-VALUE(MID(AZ7,FIND("-",AZ7)+1,10)))))*$D$50)))))*$I7,0)),0)</f>
        <v>0</v>
      </c>
      <c r="BB7" s="334"/>
      <c r="BC7" s="355" t="s">
        <v>267</v>
      </c>
      <c r="BD7" s="356" t="n">
        <f aca="false">IFERROR(IF($M7=BC7,($D$8+$D$9+$D$10)*$I7,IF($N7=LEFT(BC7,1),($D$8+MAX(0,IF($D$50=1,$D$9*(1-(ABS($Q7-ABS(VALUE(MID(BC7,FIND("|",BC7)+1,FIND("-",BC7)-FIND("|",BC7)-1))-VALUE(MID(BC7,FIND("-",BC7)+1,10)))))*$D$50),$D$9*(1-(IF($N7="X",ABS($O7-VALUE(MID(BC7,FIND("|",BC7)+1,FIND("-",BC7)-FIND("|",BC7)-1))),ABS($Q7-ABS(VALUE(MID(BC7,FIND("|",BC7)+1,FIND("-",BC7)-FIND("|",BC7)-1))-VALUE(MID(BC7,FIND("-",BC7)+1,10)))))*$D$50)))))*$I7,0)),0)</f>
        <v>0</v>
      </c>
      <c r="BE7" s="334"/>
      <c r="BF7" s="355" t="s">
        <v>265</v>
      </c>
      <c r="BG7" s="356" t="n">
        <f aca="false">IFERROR(IF($M7=BF7,($D$8+$D$9+$D$10)*$I7,IF($N7=LEFT(BF7,1),($D$8+MAX(0,IF($D$50=1,$D$9*(1-(ABS($Q7-ABS(VALUE(MID(BF7,FIND("|",BF7)+1,FIND("-",BF7)-FIND("|",BF7)-1))-VALUE(MID(BF7,FIND("-",BF7)+1,10)))))*$D$50),$D$9*(1-(IF($N7="X",ABS($O7-VALUE(MID(BF7,FIND("|",BF7)+1,FIND("-",BF7)-FIND("|",BF7)-1))),ABS($Q7-ABS(VALUE(MID(BF7,FIND("|",BF7)+1,FIND("-",BF7)-FIND("|",BF7)-1))-VALUE(MID(BF7,FIND("-",BF7)+1,10)))))*$D$50)))))*$I7,0)),0)</f>
        <v>7</v>
      </c>
      <c r="BH7" s="334"/>
      <c r="BI7" s="355" t="s">
        <v>264</v>
      </c>
      <c r="BJ7" s="356" t="n">
        <f aca="false">IFERROR(IF($M7=BI7,($D$8+$D$9+$D$10)*$I7,IF($N7=LEFT(BI7,1),($D$8+MAX(0,IF($D$50=1,$D$9*(1-(ABS($Q7-ABS(VALUE(MID(BI7,FIND("|",BI7)+1,FIND("-",BI7)-FIND("|",BI7)-1))-VALUE(MID(BI7,FIND("-",BI7)+1,10)))))*$D$50),$D$9*(1-(IF($N7="X",ABS($O7-VALUE(MID(BI7,FIND("|",BI7)+1,FIND("-",BI7)-FIND("|",BI7)-1))),ABS($Q7-ABS(VALUE(MID(BI7,FIND("|",BI7)+1,FIND("-",BI7)-FIND("|",BI7)-1))-VALUE(MID(BI7,FIND("-",BI7)+1,10)))))*$D$50)))))*$I7,0)),0)</f>
        <v>17</v>
      </c>
      <c r="BK7" s="334"/>
      <c r="BL7" s="355" t="s">
        <v>268</v>
      </c>
      <c r="BM7" s="356" t="n">
        <f aca="false">IFERROR(IF($M7=BL7,($D$8+$D$9+$D$10)*$I7,IF($N7=LEFT(BL7,1),($D$8+MAX(0,IF($D$50=1,$D$9*(1-(ABS($Q7-ABS(VALUE(MID(BL7,FIND("|",BL7)+1,FIND("-",BL7)-FIND("|",BL7)-1))-VALUE(MID(BL7,FIND("-",BL7)+1,10)))))*$D$50),$D$9*(1-(IF($N7="X",ABS($O7-VALUE(MID(BL7,FIND("|",BL7)+1,FIND("-",BL7)-FIND("|",BL7)-1))),ABS($Q7-ABS(VALUE(MID(BL7,FIND("|",BL7)+1,FIND("-",BL7)-FIND("|",BL7)-1))-VALUE(MID(BL7,FIND("-",BL7)+1,10)))))*$D$50)))))*$I7,0)),0)</f>
        <v>0</v>
      </c>
      <c r="BN7" s="334"/>
      <c r="BO7" s="355" t="s">
        <v>267</v>
      </c>
      <c r="BP7" s="356" t="n">
        <f aca="false">IFERROR(IF($M7=BO7,($D$8+$D$9+$D$10)*$I7,IF($N7=LEFT(BO7,1),($D$8+MAX(0,IF($D$50=1,$D$9*(1-(ABS($Q7-ABS(VALUE(MID(BO7,FIND("|",BO7)+1,FIND("-",BO7)-FIND("|",BO7)-1))-VALUE(MID(BO7,FIND("-",BO7)+1,10)))))*$D$50),$D$9*(1-(IF($N7="X",ABS($O7-VALUE(MID(BO7,FIND("|",BO7)+1,FIND("-",BO7)-FIND("|",BO7)-1))),ABS($Q7-ABS(VALUE(MID(BO7,FIND("|",BO7)+1,FIND("-",BO7)-FIND("|",BO7)-1))-VALUE(MID(BO7,FIND("-",BO7)+1,10)))))*$D$50)))))*$I7,0)),0)</f>
        <v>0</v>
      </c>
      <c r="BQ7" s="334"/>
      <c r="BR7" s="355" t="s">
        <v>267</v>
      </c>
      <c r="BS7" s="356" t="n">
        <f aca="false">IFERROR(IF($M7=BR7,($D$8+$D$9+$D$10)*$I7,IF($N7=LEFT(BR7,1),($D$8+MAX(0,IF($D$50=1,$D$9*(1-(ABS($Q7-ABS(VALUE(MID(BR7,FIND("|",BR7)+1,FIND("-",BR7)-FIND("|",BR7)-1))-VALUE(MID(BR7,FIND("-",BR7)+1,10)))))*$D$50),$D$9*(1-(IF($N7="X",ABS($O7-VALUE(MID(BR7,FIND("|",BR7)+1,FIND("-",BR7)-FIND("|",BR7)-1))),ABS($Q7-ABS(VALUE(MID(BR7,FIND("|",BR7)+1,FIND("-",BR7)-FIND("|",BR7)-1))-VALUE(MID(BR7,FIND("-",BR7)+1,10)))))*$D$50)))))*$I7,0)),0)</f>
        <v>0</v>
      </c>
      <c r="BT7" s="334"/>
      <c r="BU7" s="355"/>
      <c r="BV7" s="356" t="n">
        <f aca="false">IFERROR(IF($M7=BU7,($D$8+$D$9+$D$10)*$I7,IF($N7=LEFT(BU7,1),($D$8+MAX(0,IF($D$50=1,$D$9*(1-(ABS($Q7-ABS(VALUE(MID(BU7,FIND("|",BU7)+1,FIND("-",BU7)-FIND("|",BU7)-1))-VALUE(MID(BU7,FIND("-",BU7)+1,10)))))*$D$50),$D$9*(1-(IF($N7="X",ABS($O7-VALUE(MID(BU7,FIND("|",BU7)+1,FIND("-",BU7)-FIND("|",BU7)-1))),ABS($Q7-ABS(VALUE(MID(BU7,FIND("|",BU7)+1,FIND("-",BU7)-FIND("|",BU7)-1))-VALUE(MID(BU7,FIND("-",BU7)+1,10)))))*$D$50)))))*$I7,0)),0)</f>
        <v>0</v>
      </c>
      <c r="BW7" s="334"/>
      <c r="BX7" s="355"/>
      <c r="BY7" s="356" t="n">
        <f aca="false">IFERROR(IF($M7=BX7,($D$8+$D$9+$D$10)*$I7,IF($N7=LEFT(BX7,1),($D$8+MAX(0,IF($D$50=1,$D$9*(1-(ABS($Q7-ABS(VALUE(MID(BX7,FIND("|",BX7)+1,FIND("-",BX7)-FIND("|",BX7)-1))-VALUE(MID(BX7,FIND("-",BX7)+1,10)))))*$D$50),$D$9*(1-(IF($N7="X",ABS($O7-VALUE(MID(BX7,FIND("|",BX7)+1,FIND("-",BX7)-FIND("|",BX7)-1))),ABS($Q7-ABS(VALUE(MID(BX7,FIND("|",BX7)+1,FIND("-",BX7)-FIND("|",BX7)-1))-VALUE(MID(BX7,FIND("-",BX7)+1,10)))))*$D$50)))))*$I7,0)),0)</f>
        <v>0</v>
      </c>
      <c r="BZ7" s="334"/>
      <c r="CA7" s="355"/>
      <c r="CB7" s="356" t="n">
        <f aca="false">IFERROR(IF($M7=CA7,($D$8+$D$9+$D$10)*$I7,IF($N7=LEFT(CA7,1),($D$8+MAX(0,IF($D$50=1,$D$9*(1-(ABS($Q7-ABS(VALUE(MID(CA7,FIND("|",CA7)+1,FIND("-",CA7)-FIND("|",CA7)-1))-VALUE(MID(CA7,FIND("-",CA7)+1,10)))))*$D$50),$D$9*(1-(IF($N7="X",ABS($O7-VALUE(MID(CA7,FIND("|",CA7)+1,FIND("-",CA7)-FIND("|",CA7)-1))),ABS($Q7-ABS(VALUE(MID(CA7,FIND("|",CA7)+1,FIND("-",CA7)-FIND("|",CA7)-1))-VALUE(MID(CA7,FIND("-",CA7)+1,10)))))*$D$50)))))*$I7,0)),0)</f>
        <v>0</v>
      </c>
      <c r="CC7" s="334"/>
      <c r="CD7" s="355"/>
      <c r="CE7" s="356" t="n">
        <f aca="false">IFERROR(IF($M7=CD7,($D$8+$D$9+$D$10)*$I7,IF($N7=LEFT(CD7,1),($D$8+MAX(0,IF($D$50=1,$D$9*(1-(ABS($Q7-ABS(VALUE(MID(CD7,FIND("|",CD7)+1,FIND("-",CD7)-FIND("|",CD7)-1))-VALUE(MID(CD7,FIND("-",CD7)+1,10)))))*$D$50),$D$9*(1-(IF($N7="X",ABS($O7-VALUE(MID(CD7,FIND("|",CD7)+1,FIND("-",CD7)-FIND("|",CD7)-1))),ABS($Q7-ABS(VALUE(MID(CD7,FIND("|",CD7)+1,FIND("-",CD7)-FIND("|",CD7)-1))-VALUE(MID(CD7,FIND("-",CD7)+1,10)))))*$D$50)))))*$I7,0)),0)</f>
        <v>0</v>
      </c>
      <c r="CF7" s="334"/>
      <c r="CG7" s="355"/>
      <c r="CH7" s="356" t="n">
        <f aca="false">IFERROR(IF($M7=CG7,($D$8+$D$9+$D$10)*$I7,IF($N7=LEFT(CG7,1),($D$8+MAX(0,IF($D$50=1,$D$9*(1-(ABS($Q7-ABS(VALUE(MID(CG7,FIND("|",CG7)+1,FIND("-",CG7)-FIND("|",CG7)-1))-VALUE(MID(CG7,FIND("-",CG7)+1,10)))))*$D$50),$D$9*(1-(IF($N7="X",ABS($O7-VALUE(MID(CG7,FIND("|",CG7)+1,FIND("-",CG7)-FIND("|",CG7)-1))),ABS($Q7-ABS(VALUE(MID(CG7,FIND("|",CG7)+1,FIND("-",CG7)-FIND("|",CG7)-1))-VALUE(MID(CG7,FIND("-",CG7)+1,10)))))*$D$50)))))*$I7,0)),0)</f>
        <v>0</v>
      </c>
      <c r="CI7" s="334"/>
      <c r="CJ7" s="355"/>
      <c r="CK7" s="356" t="n">
        <f aca="false">IFERROR(IF($M7=CJ7,($D$8+$D$9+$D$10)*$I7,IF($N7=LEFT(CJ7,1),($D$8+MAX(0,IF($D$50=1,$D$9*(1-(ABS($Q7-ABS(VALUE(MID(CJ7,FIND("|",CJ7)+1,FIND("-",CJ7)-FIND("|",CJ7)-1))-VALUE(MID(CJ7,FIND("-",CJ7)+1,10)))))*$D$50),$D$9*(1-(IF($N7="X",ABS($O7-VALUE(MID(CJ7,FIND("|",CJ7)+1,FIND("-",CJ7)-FIND("|",CJ7)-1))),ABS($Q7-ABS(VALUE(MID(CJ7,FIND("|",CJ7)+1,FIND("-",CJ7)-FIND("|",CJ7)-1))-VALUE(MID(CJ7,FIND("-",CJ7)+1,10)))))*$D$50)))))*$I7,0)),0)</f>
        <v>0</v>
      </c>
      <c r="CL7" s="334"/>
      <c r="CM7" s="355"/>
      <c r="CN7" s="356" t="n">
        <f aca="false">IFERROR(IF($M7=CM7,($D$8+$D$9+$D$10)*$I7,IF($N7=LEFT(CM7,1),($D$8+MAX(0,IF($D$50=1,$D$9*(1-(ABS($Q7-ABS(VALUE(MID(CM7,FIND("|",CM7)+1,FIND("-",CM7)-FIND("|",CM7)-1))-VALUE(MID(CM7,FIND("-",CM7)+1,10)))))*$D$50),$D$9*(1-(IF($N7="X",ABS($O7-VALUE(MID(CM7,FIND("|",CM7)+1,FIND("-",CM7)-FIND("|",CM7)-1))),ABS($Q7-ABS(VALUE(MID(CM7,FIND("|",CM7)+1,FIND("-",CM7)-FIND("|",CM7)-1))-VALUE(MID(CM7,FIND("-",CM7)+1,10)))))*$D$50)))))*$I7,0)),0)</f>
        <v>0</v>
      </c>
      <c r="CO7" s="334"/>
      <c r="CP7" s="355"/>
      <c r="CQ7" s="356" t="n">
        <f aca="false">IFERROR(IF($M7=CP7,($D$8+$D$9+$D$10)*$I7,IF($N7=LEFT(CP7,1),($D$8+MAX(0,IF($D$50=1,$D$9*(1-(ABS($Q7-ABS(VALUE(MID(CP7,FIND("|",CP7)+1,FIND("-",CP7)-FIND("|",CP7)-1))-VALUE(MID(CP7,FIND("-",CP7)+1,10)))))*$D$50),$D$9*(1-(IF($N7="X",ABS($O7-VALUE(MID(CP7,FIND("|",CP7)+1,FIND("-",CP7)-FIND("|",CP7)-1))),ABS($Q7-ABS(VALUE(MID(CP7,FIND("|",CP7)+1,FIND("-",CP7)-FIND("|",CP7)-1))-VALUE(MID(CP7,FIND("-",CP7)+1,10)))))*$D$50)))))*$I7,0)),0)</f>
        <v>0</v>
      </c>
      <c r="CR7" s="334"/>
      <c r="CS7" s="355"/>
      <c r="CT7" s="356" t="n">
        <f aca="false">IFERROR(IF($M7=CS7,($D$8+$D$9+$D$10)*$I7,IF($N7=LEFT(CS7,1),($D$8+MAX(0,IF($D$50=1,$D$9*(1-(ABS($Q7-ABS(VALUE(MID(CS7,FIND("|",CS7)+1,FIND("-",CS7)-FIND("|",CS7)-1))-VALUE(MID(CS7,FIND("-",CS7)+1,10)))))*$D$50),$D$9*(1-(IF($N7="X",ABS($O7-VALUE(MID(CS7,FIND("|",CS7)+1,FIND("-",CS7)-FIND("|",CS7)-1))),ABS($Q7-ABS(VALUE(MID(CS7,FIND("|",CS7)+1,FIND("-",CS7)-FIND("|",CS7)-1))-VALUE(MID(CS7,FIND("-",CS7)+1,10)))))*$D$50)))))*$I7,0)),0)</f>
        <v>0</v>
      </c>
      <c r="CU7" s="334"/>
      <c r="CV7" s="355"/>
      <c r="CW7" s="356" t="n">
        <f aca="false">IFERROR(IF($M7=CV7,($D$8+$D$9+$D$10)*$I7,IF($N7=LEFT(CV7,1),($D$8+MAX(0,IF($D$50=1,$D$9*(1-(ABS($Q7-ABS(VALUE(MID(CV7,FIND("|",CV7)+1,FIND("-",CV7)-FIND("|",CV7)-1))-VALUE(MID(CV7,FIND("-",CV7)+1,10)))))*$D$50),$D$9*(1-(IF($N7="X",ABS($O7-VALUE(MID(CV7,FIND("|",CV7)+1,FIND("-",CV7)-FIND("|",CV7)-1))),ABS($Q7-ABS(VALUE(MID(CV7,FIND("|",CV7)+1,FIND("-",CV7)-FIND("|",CV7)-1))-VALUE(MID(CV7,FIND("-",CV7)+1,10)))))*$D$50)))))*$I7,0)),0)</f>
        <v>0</v>
      </c>
      <c r="CX7" s="334"/>
      <c r="CY7" s="355"/>
      <c r="CZ7" s="356" t="n">
        <f aca="false">IFERROR(IF($M7=CY7,($D$8+$D$9+$D$10)*$I7,IF($N7=LEFT(CY7,1),($D$8+MAX(0,IF($D$50=1,$D$9*(1-(ABS($Q7-ABS(VALUE(MID(CY7,FIND("|",CY7)+1,FIND("-",CY7)-FIND("|",CY7)-1))-VALUE(MID(CY7,FIND("-",CY7)+1,10)))))*$D$50),$D$9*(1-(IF($N7="X",ABS($O7-VALUE(MID(CY7,FIND("|",CY7)+1,FIND("-",CY7)-FIND("|",CY7)-1))),ABS($Q7-ABS(VALUE(MID(CY7,FIND("|",CY7)+1,FIND("-",CY7)-FIND("|",CY7)-1))-VALUE(MID(CY7,FIND("-",CY7)+1,10)))))*$D$50)))))*$I7,0)),0)</f>
        <v>0</v>
      </c>
      <c r="DA7" s="334"/>
      <c r="DB7" s="355"/>
      <c r="DC7" s="356" t="n">
        <f aca="false">IFERROR(IF($M7=DB7,($D$8+$D$9+$D$10)*$I7,IF($N7=LEFT(DB7,1),($D$8+MAX(0,IF($D$50=1,$D$9*(1-(ABS($Q7-ABS(VALUE(MID(DB7,FIND("|",DB7)+1,FIND("-",DB7)-FIND("|",DB7)-1))-VALUE(MID(DB7,FIND("-",DB7)+1,10)))))*$D$50),$D$9*(1-(IF($N7="X",ABS($O7-VALUE(MID(DB7,FIND("|",DB7)+1,FIND("-",DB7)-FIND("|",DB7)-1))),ABS($Q7-ABS(VALUE(MID(DB7,FIND("|",DB7)+1,FIND("-",DB7)-FIND("|",DB7)-1))-VALUE(MID(DB7,FIND("-",DB7)+1,10)))))*$D$50)))))*$I7,0)),0)</f>
        <v>0</v>
      </c>
      <c r="DD7" s="334"/>
      <c r="DE7" s="355"/>
      <c r="DF7" s="356" t="n">
        <f aca="false">IFERROR(IF($M7=DE7,($D$8+$D$9+$D$10)*$I7,IF($N7=LEFT(DE7,1),($D$8+MAX(0,IF($D$50=1,$D$9*(1-(ABS($Q7-ABS(VALUE(MID(DE7,FIND("|",DE7)+1,FIND("-",DE7)-FIND("|",DE7)-1))-VALUE(MID(DE7,FIND("-",DE7)+1,10)))))*$D$50),$D$9*(1-(IF($N7="X",ABS($O7-VALUE(MID(DE7,FIND("|",DE7)+1,FIND("-",DE7)-FIND("|",DE7)-1))),ABS($Q7-ABS(VALUE(MID(DE7,FIND("|",DE7)+1,FIND("-",DE7)-FIND("|",DE7)-1))-VALUE(MID(DE7,FIND("-",DE7)+1,10)))))*$D$50)))))*$I7,0)),0)</f>
        <v>0</v>
      </c>
      <c r="DG7" s="334"/>
      <c r="DH7" s="355"/>
      <c r="DI7" s="356" t="n">
        <f aca="false">IFERROR(IF($M7=DH7,($D$8+$D$9+$D$10)*$I7,IF($N7=LEFT(DH7,1),($D$8+MAX(0,IF($D$50=1,$D$9*(1-(ABS($Q7-ABS(VALUE(MID(DH7,FIND("|",DH7)+1,FIND("-",DH7)-FIND("|",DH7)-1))-VALUE(MID(DH7,FIND("-",DH7)+1,10)))))*$D$50),$D$9*(1-(IF($N7="X",ABS($O7-VALUE(MID(DH7,FIND("|",DH7)+1,FIND("-",DH7)-FIND("|",DH7)-1))),ABS($Q7-ABS(VALUE(MID(DH7,FIND("|",DH7)+1,FIND("-",DH7)-FIND("|",DH7)-1))-VALUE(MID(DH7,FIND("-",DH7)+1,10)))))*$D$50)))))*$I7,0)),0)</f>
        <v>0</v>
      </c>
      <c r="DJ7" s="334"/>
      <c r="DK7" s="355"/>
      <c r="DL7" s="356" t="n">
        <f aca="false">IFERROR(IF($M7=DK7,($D$8+$D$9+$D$10)*$I7,IF($N7=LEFT(DK7,1),($D$8+MAX(0,IF($D$50=1,$D$9*(1-(ABS($Q7-ABS(VALUE(MID(DK7,FIND("|",DK7)+1,FIND("-",DK7)-FIND("|",DK7)-1))-VALUE(MID(DK7,FIND("-",DK7)+1,10)))))*$D$50),$D$9*(1-(IF($N7="X",ABS($O7-VALUE(MID(DK7,FIND("|",DK7)+1,FIND("-",DK7)-FIND("|",DK7)-1))),ABS($Q7-ABS(VALUE(MID(DK7,FIND("|",DK7)+1,FIND("-",DK7)-FIND("|",DK7)-1))-VALUE(MID(DK7,FIND("-",DK7)+1,10)))))*$D$50)))))*$I7,0)),0)</f>
        <v>0</v>
      </c>
      <c r="DM7" s="334"/>
      <c r="DN7" s="355"/>
      <c r="DO7" s="356" t="n">
        <f aca="false">IFERROR(IF($M7=DN7,($D$8+$D$9+$D$10)*$I7,IF($N7=LEFT(DN7,1),($D$8+MAX(0,IF($D$50=1,$D$9*(1-(ABS($Q7-ABS(VALUE(MID(DN7,FIND("|",DN7)+1,FIND("-",DN7)-FIND("|",DN7)-1))-VALUE(MID(DN7,FIND("-",DN7)+1,10)))))*$D$50),$D$9*(1-(IF($N7="X",ABS($O7-VALUE(MID(DN7,FIND("|",DN7)+1,FIND("-",DN7)-FIND("|",DN7)-1))),ABS($Q7-ABS(VALUE(MID(DN7,FIND("|",DN7)+1,FIND("-",DN7)-FIND("|",DN7)-1))-VALUE(MID(DN7,FIND("-",DN7)+1,10)))))*$D$50)))))*$I7,0)),0)</f>
        <v>0</v>
      </c>
      <c r="DP7" s="334"/>
      <c r="DQ7" s="355"/>
      <c r="DR7" s="356" t="n">
        <f aca="false">IFERROR(IF($M7=DQ7,($D$8+$D$9+$D$10)*$I7,IF($N7=LEFT(DQ7,1),($D$8+MAX(0,IF($D$50=1,$D$9*(1-(ABS($Q7-ABS(VALUE(MID(DQ7,FIND("|",DQ7)+1,FIND("-",DQ7)-FIND("|",DQ7)-1))-VALUE(MID(DQ7,FIND("-",DQ7)+1,10)))))*$D$50),$D$9*(1-(IF($N7="X",ABS($O7-VALUE(MID(DQ7,FIND("|",DQ7)+1,FIND("-",DQ7)-FIND("|",DQ7)-1))),ABS($Q7-ABS(VALUE(MID(DQ7,FIND("|",DQ7)+1,FIND("-",DQ7)-FIND("|",DQ7)-1))-VALUE(MID(DQ7,FIND("-",DQ7)+1,10)))))*$D$50)))))*$I7,0)),0)</f>
        <v>0</v>
      </c>
      <c r="DS7" s="334"/>
      <c r="DT7" s="355"/>
      <c r="DU7" s="356" t="n">
        <f aca="false">IFERROR(IF($M7=DT7,($D$8+$D$9+$D$10)*$I7,IF($N7=LEFT(DT7,1),($D$8+MAX(0,IF($D$50=1,$D$9*(1-(ABS($Q7-ABS(VALUE(MID(DT7,FIND("|",DT7)+1,FIND("-",DT7)-FIND("|",DT7)-1))-VALUE(MID(DT7,FIND("-",DT7)+1,10)))))*$D$50),$D$9*(1-(IF($N7="X",ABS($O7-VALUE(MID(DT7,FIND("|",DT7)+1,FIND("-",DT7)-FIND("|",DT7)-1))),ABS($Q7-ABS(VALUE(MID(DT7,FIND("|",DT7)+1,FIND("-",DT7)-FIND("|",DT7)-1))-VALUE(MID(DT7,FIND("-",DT7)+1,10)))))*$D$50)))))*$I7,0)),0)</f>
        <v>0</v>
      </c>
      <c r="DV7" s="334"/>
      <c r="DW7" s="355"/>
      <c r="DX7" s="356" t="n">
        <f aca="false">IFERROR(IF($M7=DW7,($D$8+$D$9+$D$10)*$I7,IF($N7=LEFT(DW7,1),($D$8+MAX(0,IF($D$50=1,$D$9*(1-(ABS($Q7-ABS(VALUE(MID(DW7,FIND("|",DW7)+1,FIND("-",DW7)-FIND("|",DW7)-1))-VALUE(MID(DW7,FIND("-",DW7)+1,10)))))*$D$50),$D$9*(1-(IF($N7="X",ABS($O7-VALUE(MID(DW7,FIND("|",DW7)+1,FIND("-",DW7)-FIND("|",DW7)-1))),ABS($Q7-ABS(VALUE(MID(DW7,FIND("|",DW7)+1,FIND("-",DW7)-FIND("|",DW7)-1))-VALUE(MID(DW7,FIND("-",DW7)+1,10)))))*$D$50)))))*$I7,0)),0)</f>
        <v>0</v>
      </c>
      <c r="DY7" s="334"/>
      <c r="DZ7" s="355"/>
      <c r="EA7" s="356" t="n">
        <f aca="false">IFERROR(IF($M7=DZ7,($D$8+$D$9+$D$10)*$I7,IF($N7=LEFT(DZ7,1),($D$8+MAX(0,IF($D$50=1,$D$9*(1-(ABS($Q7-ABS(VALUE(MID(DZ7,FIND("|",DZ7)+1,FIND("-",DZ7)-FIND("|",DZ7)-1))-VALUE(MID(DZ7,FIND("-",DZ7)+1,10)))))*$D$50),$D$9*(1-(IF($N7="X",ABS($O7-VALUE(MID(DZ7,FIND("|",DZ7)+1,FIND("-",DZ7)-FIND("|",DZ7)-1))),ABS($Q7-ABS(VALUE(MID(DZ7,FIND("|",DZ7)+1,FIND("-",DZ7)-FIND("|",DZ7)-1))-VALUE(MID(DZ7,FIND("-",DZ7)+1,10)))))*$D$50)))))*$I7,0)),0)</f>
        <v>0</v>
      </c>
      <c r="EB7" s="334"/>
      <c r="EC7" s="355"/>
      <c r="ED7" s="356" t="n">
        <f aca="false">IFERROR(IF($M7=EC7,($D$8+$D$9+$D$10)*$I7,IF($N7=LEFT(EC7,1),($D$8+MAX(0,IF($D$50=1,$D$9*(1-(ABS($Q7-ABS(VALUE(MID(EC7,FIND("|",EC7)+1,FIND("-",EC7)-FIND("|",EC7)-1))-VALUE(MID(EC7,FIND("-",EC7)+1,10)))))*$D$50),$D$9*(1-(IF($N7="X",ABS($O7-VALUE(MID(EC7,FIND("|",EC7)+1,FIND("-",EC7)-FIND("|",EC7)-1))),ABS($Q7-ABS(VALUE(MID(EC7,FIND("|",EC7)+1,FIND("-",EC7)-FIND("|",EC7)-1))-VALUE(MID(EC7,FIND("-",EC7)+1,10)))))*$D$50)))))*$I7,0)),0)</f>
        <v>0</v>
      </c>
      <c r="EE7" s="334"/>
      <c r="EF7" s="355"/>
      <c r="EG7" s="356" t="n">
        <f aca="false">IFERROR(IF($M7=EF7,($D$8+$D$9+$D$10)*$I7,IF($N7=LEFT(EF7,1),($D$8+MAX(0,IF($D$50=1,$D$9*(1-(ABS($Q7-ABS(VALUE(MID(EF7,FIND("|",EF7)+1,FIND("-",EF7)-FIND("|",EF7)-1))-VALUE(MID(EF7,FIND("-",EF7)+1,10)))))*$D$50),$D$9*(1-(IF($N7="X",ABS($O7-VALUE(MID(EF7,FIND("|",EF7)+1,FIND("-",EF7)-FIND("|",EF7)-1))),ABS($Q7-ABS(VALUE(MID(EF7,FIND("|",EF7)+1,FIND("-",EF7)-FIND("|",EF7)-1))-VALUE(MID(EF7,FIND("-",EF7)+1,10)))))*$D$50)))))*$I7,0)),0)</f>
        <v>0</v>
      </c>
      <c r="EH7" s="334"/>
      <c r="EI7" s="334"/>
    </row>
    <row r="8" customFormat="false" ht="15" hidden="false" customHeight="false" outlineLevel="0" collapsed="false">
      <c r="A8" s="327"/>
      <c r="B8" s="327"/>
      <c r="C8" s="360" t="str">
        <f aca="false">Idiomas!D304</f>
        <v>FASE DE GRUPOS - Signo 1X2 (local, empate, visitante)</v>
      </c>
      <c r="D8" s="361" t="n">
        <v>5</v>
      </c>
      <c r="E8" s="334"/>
      <c r="F8" s="343" t="n">
        <f aca="false">SUM($D$8:$D$10)*I8</f>
        <v>17</v>
      </c>
      <c r="G8" s="343" t="n">
        <f aca="false">VLOOKUP(H8,Equipos!$Q$1:$R$25,2,0)</f>
        <v>2</v>
      </c>
      <c r="H8" s="351" t="n">
        <f aca="false">TRUNC(INDEX(WORLDCUP!$X$4:$X$147,MATCH(ADMIN!K8,WORLDCUP!$DT$4:$DT$147,0))+INDEX(Horarios!$R$3:$R$86,MATCH(Horarios!$C$3,Horarios!$P$3:$P$86,0))/24)</f>
        <v>46185</v>
      </c>
      <c r="I8" s="352" t="n">
        <v>1</v>
      </c>
      <c r="J8" s="362" t="s">
        <v>270</v>
      </c>
      <c r="K8" s="354" t="str">
        <f aca="false">CONCATENATE(WORLDCUP!AA12,"-",WORLDCUP!AF12)</f>
        <v>Canadá-Bosnia y Herzegovina</v>
      </c>
      <c r="L8" s="354"/>
      <c r="M8" s="359" t="str">
        <f aca="false">IF(OR(WORLDCUP!AC12="",WORLDCUP!AD12=""),"-",N8&amp;"|"&amp;O8&amp;"-"&amp;P8)</f>
        <v>X|1-1</v>
      </c>
      <c r="N8" s="332" t="str">
        <f aca="false">IF(OR(WORLDCUP!AC12="",WORLDCUP!AD12=""),"",IF(WORLDCUP!AC12&gt;WORLDCUP!AD12,"1",IF(WORLDCUP!AC12&lt;WORLDCUP!AD12,"2","X")))</f>
        <v>X</v>
      </c>
      <c r="O8" s="332" t="n">
        <f aca="false">WORLDCUP!AC12</f>
        <v>1</v>
      </c>
      <c r="P8" s="332" t="n">
        <f aca="false">WORLDCUP!AD12</f>
        <v>1</v>
      </c>
      <c r="Q8" s="332" t="n">
        <f aca="false">ABS(O8-P8)</f>
        <v>0</v>
      </c>
      <c r="R8" s="327"/>
      <c r="S8" s="363" t="s">
        <v>267</v>
      </c>
      <c r="T8" s="356" t="n">
        <f aca="false">IFERROR(IF($M8=S8,($D$8+$D$9+$D$10)*$I8,IF($N8=LEFT(S8,1),($D$8+MAX(0,IF($D$50=1,$D$9*(1-(ABS($Q8-ABS(VALUE(MID(S8,FIND("|",S8)+1,FIND("-",S8)-FIND("|",S8)-1))-VALUE(MID(S8,FIND("-",S8)+1,10)))))*$D$50),$D$9*(1-(IF($N8="X",ABS($O8-VALUE(MID(S8,FIND("|",S8)+1,FIND("-",S8)-FIND("|",S8)-1))),ABS($Q8-ABS(VALUE(MID(S8,FIND("|",S8)+1,FIND("-",S8)-FIND("|",S8)-1))-VALUE(MID(S8,FIND("-",S8)+1,10)))))*$D$50)))))*$I8,0)),0)</f>
        <v>17</v>
      </c>
      <c r="U8" s="338"/>
      <c r="V8" s="363" t="s">
        <v>266</v>
      </c>
      <c r="W8" s="356" t="n">
        <f aca="false">IFERROR(IF($M8=V8,($D$8+$D$9+$D$10)*$I8,IF($N8=LEFT(V8,1),($D$8+MAX(0,IF($D$50=1,$D$9*(1-(ABS($Q8-ABS(VALUE(MID(V8,FIND("|",V8)+1,FIND("-",V8)-FIND("|",V8)-1))-VALUE(MID(V8,FIND("-",V8)+1,10)))))*$D$50),$D$9*(1-(IF($N8="X",ABS($O8-VALUE(MID(V8,FIND("|",V8)+1,FIND("-",V8)-FIND("|",V8)-1))),ABS($Q8-ABS(VALUE(MID(V8,FIND("|",V8)+1,FIND("-",V8)-FIND("|",V8)-1))-VALUE(MID(V8,FIND("-",V8)+1,10)))))*$D$50)))))*$I8,0)),0)</f>
        <v>0</v>
      </c>
      <c r="X8" s="338"/>
      <c r="Y8" s="363" t="s">
        <v>264</v>
      </c>
      <c r="Z8" s="356" t="n">
        <f aca="false">IFERROR(IF($M8=Y8,($D$8+$D$9+$D$10)*$I8,IF($N8=LEFT(Y8,1),($D$8+MAX(0,IF($D$50=1,$D$9*(1-(ABS($Q8-ABS(VALUE(MID(Y8,FIND("|",Y8)+1,FIND("-",Y8)-FIND("|",Y8)-1))-VALUE(MID(Y8,FIND("-",Y8)+1,10)))))*$D$50),$D$9*(1-(IF($N8="X",ABS($O8-VALUE(MID(Y8,FIND("|",Y8)+1,FIND("-",Y8)-FIND("|",Y8)-1))),ABS($Q8-ABS(VALUE(MID(Y8,FIND("|",Y8)+1,FIND("-",Y8)-FIND("|",Y8)-1))-VALUE(MID(Y8,FIND("-",Y8)+1,10)))))*$D$50)))))*$I8,0)),0)</f>
        <v>0</v>
      </c>
      <c r="AA8" s="338"/>
      <c r="AB8" s="363" t="s">
        <v>269</v>
      </c>
      <c r="AC8" s="356" t="n">
        <f aca="false">IFERROR(IF($M8=AB8,($D$8+$D$9+$D$10)*$I8,IF($N8=LEFT(AB8,1),($D$8+MAX(0,IF($D$50=1,$D$9*(1-(ABS($Q8-ABS(VALUE(MID(AB8,FIND("|",AB8)+1,FIND("-",AB8)-FIND("|",AB8)-1))-VALUE(MID(AB8,FIND("-",AB8)+1,10)))))*$D$50),$D$9*(1-(IF($N8="X",ABS($O8-VALUE(MID(AB8,FIND("|",AB8)+1,FIND("-",AB8)-FIND("|",AB8)-1))),ABS($Q8-ABS(VALUE(MID(AB8,FIND("|",AB8)+1,FIND("-",AB8)-FIND("|",AB8)-1))-VALUE(MID(AB8,FIND("-",AB8)+1,10)))))*$D$50)))))*$I8,0)),0)</f>
        <v>7</v>
      </c>
      <c r="AD8" s="338"/>
      <c r="AE8" s="363" t="s">
        <v>265</v>
      </c>
      <c r="AF8" s="356" t="n">
        <f aca="false">IFERROR(IF($M8=AE8,($D$8+$D$9+$D$10)*$I8,IF($N8=LEFT(AE8,1),($D$8+MAX(0,IF($D$50=1,$D$9*(1-(ABS($Q8-ABS(VALUE(MID(AE8,FIND("|",AE8)+1,FIND("-",AE8)-FIND("|",AE8)-1))-VALUE(MID(AE8,FIND("-",AE8)+1,10)))))*$D$50),$D$9*(1-(IF($N8="X",ABS($O8-VALUE(MID(AE8,FIND("|",AE8)+1,FIND("-",AE8)-FIND("|",AE8)-1))),ABS($Q8-ABS(VALUE(MID(AE8,FIND("|",AE8)+1,FIND("-",AE8)-FIND("|",AE8)-1))-VALUE(MID(AE8,FIND("-",AE8)+1,10)))))*$D$50)))))*$I8,0)),0)</f>
        <v>0</v>
      </c>
      <c r="AG8" s="338"/>
      <c r="AH8" s="363" t="s">
        <v>264</v>
      </c>
      <c r="AI8" s="356" t="n">
        <f aca="false">IFERROR(IF($M8=AH8,($D$8+$D$9+$D$10)*$I8,IF($N8=LEFT(AH8,1),($D$8+MAX(0,IF($D$50=1,$D$9*(1-(ABS($Q8-ABS(VALUE(MID(AH8,FIND("|",AH8)+1,FIND("-",AH8)-FIND("|",AH8)-1))-VALUE(MID(AH8,FIND("-",AH8)+1,10)))))*$D$50),$D$9*(1-(IF($N8="X",ABS($O8-VALUE(MID(AH8,FIND("|",AH8)+1,FIND("-",AH8)-FIND("|",AH8)-1))),ABS($Q8-ABS(VALUE(MID(AH8,FIND("|",AH8)+1,FIND("-",AH8)-FIND("|",AH8)-1))-VALUE(MID(AH8,FIND("-",AH8)+1,10)))))*$D$50)))))*$I8,0)),0)</f>
        <v>0</v>
      </c>
      <c r="AJ8" s="338"/>
      <c r="AK8" s="363" t="s">
        <v>264</v>
      </c>
      <c r="AL8" s="356" t="n">
        <f aca="false">IFERROR(IF($M8=AK8,($D$8+$D$9+$D$10)*$I8,IF($N8=LEFT(AK8,1),($D$8+MAX(0,IF($D$50=1,$D$9*(1-(ABS($Q8-ABS(VALUE(MID(AK8,FIND("|",AK8)+1,FIND("-",AK8)-FIND("|",AK8)-1))-VALUE(MID(AK8,FIND("-",AK8)+1,10)))))*$D$50),$D$9*(1-(IF($N8="X",ABS($O8-VALUE(MID(AK8,FIND("|",AK8)+1,FIND("-",AK8)-FIND("|",AK8)-1))),ABS($Q8-ABS(VALUE(MID(AK8,FIND("|",AK8)+1,FIND("-",AK8)-FIND("|",AK8)-1))-VALUE(MID(AK8,FIND("-",AK8)+1,10)))))*$D$50)))))*$I8,0)),0)</f>
        <v>0</v>
      </c>
      <c r="AM8" s="338"/>
      <c r="AN8" s="363" t="s">
        <v>265</v>
      </c>
      <c r="AO8" s="356" t="n">
        <f aca="false">IFERROR(IF($M8=AN8,($D$8+$D$9+$D$10)*$I8,IF($N8=LEFT(AN8,1),($D$8+MAX(0,IF($D$50=1,$D$9*(1-(ABS($Q8-ABS(VALUE(MID(AN8,FIND("|",AN8)+1,FIND("-",AN8)-FIND("|",AN8)-1))-VALUE(MID(AN8,FIND("-",AN8)+1,10)))))*$D$50),$D$9*(1-(IF($N8="X",ABS($O8-VALUE(MID(AN8,FIND("|",AN8)+1,FIND("-",AN8)-FIND("|",AN8)-1))),ABS($Q8-ABS(VALUE(MID(AN8,FIND("|",AN8)+1,FIND("-",AN8)-FIND("|",AN8)-1))-VALUE(MID(AN8,FIND("-",AN8)+1,10)))))*$D$50)))))*$I8,0)),0)</f>
        <v>0</v>
      </c>
      <c r="AP8" s="338"/>
      <c r="AQ8" s="363" t="s">
        <v>265</v>
      </c>
      <c r="AR8" s="356" t="n">
        <f aca="false">IFERROR(IF($M8=AQ8,($D$8+$D$9+$D$10)*$I8,IF($N8=LEFT(AQ8,1),($D$8+MAX(0,IF($D$50=1,$D$9*(1-(ABS($Q8-ABS(VALUE(MID(AQ8,FIND("|",AQ8)+1,FIND("-",AQ8)-FIND("|",AQ8)-1))-VALUE(MID(AQ8,FIND("-",AQ8)+1,10)))))*$D$50),$D$9*(1-(IF($N8="X",ABS($O8-VALUE(MID(AQ8,FIND("|",AQ8)+1,FIND("-",AQ8)-FIND("|",AQ8)-1))),ABS($Q8-ABS(VALUE(MID(AQ8,FIND("|",AQ8)+1,FIND("-",AQ8)-FIND("|",AQ8)-1))-VALUE(MID(AQ8,FIND("-",AQ8)+1,10)))))*$D$50)))))*$I8,0)),0)</f>
        <v>0</v>
      </c>
      <c r="AS8" s="338"/>
      <c r="AT8" s="363" t="s">
        <v>271</v>
      </c>
      <c r="AU8" s="356" t="n">
        <f aca="false">IFERROR(IF($M8=AT8,($D$8+$D$9+$D$10)*$I8,IF($N8=LEFT(AT8,1),($D$8+MAX(0,IF($D$50=1,$D$9*(1-(ABS($Q8-ABS(VALUE(MID(AT8,FIND("|",AT8)+1,FIND("-",AT8)-FIND("|",AT8)-1))-VALUE(MID(AT8,FIND("-",AT8)+1,10)))))*$D$50),$D$9*(1-(IF($N8="X",ABS($O8-VALUE(MID(AT8,FIND("|",AT8)+1,FIND("-",AT8)-FIND("|",AT8)-1))),ABS($Q8-ABS(VALUE(MID(AT8,FIND("|",AT8)+1,FIND("-",AT8)-FIND("|",AT8)-1))-VALUE(MID(AT8,FIND("-",AT8)+1,10)))))*$D$50)))))*$I8,0)),0)</f>
        <v>0</v>
      </c>
      <c r="AV8" s="338"/>
      <c r="AW8" s="363" t="s">
        <v>267</v>
      </c>
      <c r="AX8" s="356" t="n">
        <f aca="false">IFERROR(IF($M8=AW8,($D$8+$D$9+$D$10)*$I8,IF($N8=LEFT(AW8,1),($D$8+MAX(0,IF($D$50=1,$D$9*(1-(ABS($Q8-ABS(VALUE(MID(AW8,FIND("|",AW8)+1,FIND("-",AW8)-FIND("|",AW8)-1))-VALUE(MID(AW8,FIND("-",AW8)+1,10)))))*$D$50),$D$9*(1-(IF($N8="X",ABS($O8-VALUE(MID(AW8,FIND("|",AW8)+1,FIND("-",AW8)-FIND("|",AW8)-1))),ABS($Q8-ABS(VALUE(MID(AW8,FIND("|",AW8)+1,FIND("-",AW8)-FIND("|",AW8)-1))-VALUE(MID(AW8,FIND("-",AW8)+1,10)))))*$D$50)))))*$I8,0)),0)</f>
        <v>17</v>
      </c>
      <c r="AY8" s="338"/>
      <c r="AZ8" s="363" t="s">
        <v>271</v>
      </c>
      <c r="BA8" s="356" t="n">
        <f aca="false">IFERROR(IF($M8=AZ8,($D$8+$D$9+$D$10)*$I8,IF($N8=LEFT(AZ8,1),($D$8+MAX(0,IF($D$50=1,$D$9*(1-(ABS($Q8-ABS(VALUE(MID(AZ8,FIND("|",AZ8)+1,FIND("-",AZ8)-FIND("|",AZ8)-1))-VALUE(MID(AZ8,FIND("-",AZ8)+1,10)))))*$D$50),$D$9*(1-(IF($N8="X",ABS($O8-VALUE(MID(AZ8,FIND("|",AZ8)+1,FIND("-",AZ8)-FIND("|",AZ8)-1))),ABS($Q8-ABS(VALUE(MID(AZ8,FIND("|",AZ8)+1,FIND("-",AZ8)-FIND("|",AZ8)-1))-VALUE(MID(AZ8,FIND("-",AZ8)+1,10)))))*$D$50)))))*$I8,0)),0)</f>
        <v>0</v>
      </c>
      <c r="BB8" s="338"/>
      <c r="BC8" s="363" t="s">
        <v>266</v>
      </c>
      <c r="BD8" s="356" t="n">
        <f aca="false">IFERROR(IF($M8=BC8,($D$8+$D$9+$D$10)*$I8,IF($N8=LEFT(BC8,1),($D$8+MAX(0,IF($D$50=1,$D$9*(1-(ABS($Q8-ABS(VALUE(MID(BC8,FIND("|",BC8)+1,FIND("-",BC8)-FIND("|",BC8)-1))-VALUE(MID(BC8,FIND("-",BC8)+1,10)))))*$D$50),$D$9*(1-(IF($N8="X",ABS($O8-VALUE(MID(BC8,FIND("|",BC8)+1,FIND("-",BC8)-FIND("|",BC8)-1))),ABS($Q8-ABS(VALUE(MID(BC8,FIND("|",BC8)+1,FIND("-",BC8)-FIND("|",BC8)-1))-VALUE(MID(BC8,FIND("-",BC8)+1,10)))))*$D$50)))))*$I8,0)),0)</f>
        <v>0</v>
      </c>
      <c r="BE8" s="338"/>
      <c r="BF8" s="363" t="s">
        <v>272</v>
      </c>
      <c r="BG8" s="356" t="n">
        <f aca="false">IFERROR(IF($M8=BF8,($D$8+$D$9+$D$10)*$I8,IF($N8=LEFT(BF8,1),($D$8+MAX(0,IF($D$50=1,$D$9*(1-(ABS($Q8-ABS(VALUE(MID(BF8,FIND("|",BF8)+1,FIND("-",BF8)-FIND("|",BF8)-1))-VALUE(MID(BF8,FIND("-",BF8)+1,10)))))*$D$50),$D$9*(1-(IF($N8="X",ABS($O8-VALUE(MID(BF8,FIND("|",BF8)+1,FIND("-",BF8)-FIND("|",BF8)-1))),ABS($Q8-ABS(VALUE(MID(BF8,FIND("|",BF8)+1,FIND("-",BF8)-FIND("|",BF8)-1))-VALUE(MID(BF8,FIND("-",BF8)+1,10)))))*$D$50)))))*$I8,0)),0)</f>
        <v>0</v>
      </c>
      <c r="BH8" s="338"/>
      <c r="BI8" s="363" t="s">
        <v>265</v>
      </c>
      <c r="BJ8" s="356" t="n">
        <f aca="false">IFERROR(IF($M8=BI8,($D$8+$D$9+$D$10)*$I8,IF($N8=LEFT(BI8,1),($D$8+MAX(0,IF($D$50=1,$D$9*(1-(ABS($Q8-ABS(VALUE(MID(BI8,FIND("|",BI8)+1,FIND("-",BI8)-FIND("|",BI8)-1))-VALUE(MID(BI8,FIND("-",BI8)+1,10)))))*$D$50),$D$9*(1-(IF($N8="X",ABS($O8-VALUE(MID(BI8,FIND("|",BI8)+1,FIND("-",BI8)-FIND("|",BI8)-1))),ABS($Q8-ABS(VALUE(MID(BI8,FIND("|",BI8)+1,FIND("-",BI8)-FIND("|",BI8)-1))-VALUE(MID(BI8,FIND("-",BI8)+1,10)))))*$D$50)))))*$I8,0)),0)</f>
        <v>0</v>
      </c>
      <c r="BK8" s="338"/>
      <c r="BL8" s="363" t="s">
        <v>264</v>
      </c>
      <c r="BM8" s="356" t="n">
        <f aca="false">IFERROR(IF($M8=BL8,($D$8+$D$9+$D$10)*$I8,IF($N8=LEFT(BL8,1),($D$8+MAX(0,IF($D$50=1,$D$9*(1-(ABS($Q8-ABS(VALUE(MID(BL8,FIND("|",BL8)+1,FIND("-",BL8)-FIND("|",BL8)-1))-VALUE(MID(BL8,FIND("-",BL8)+1,10)))))*$D$50),$D$9*(1-(IF($N8="X",ABS($O8-VALUE(MID(BL8,FIND("|",BL8)+1,FIND("-",BL8)-FIND("|",BL8)-1))),ABS($Q8-ABS(VALUE(MID(BL8,FIND("|",BL8)+1,FIND("-",BL8)-FIND("|",BL8)-1))-VALUE(MID(BL8,FIND("-",BL8)+1,10)))))*$D$50)))))*$I8,0)),0)</f>
        <v>0</v>
      </c>
      <c r="BN8" s="338"/>
      <c r="BO8" s="363" t="s">
        <v>267</v>
      </c>
      <c r="BP8" s="356" t="n">
        <f aca="false">IFERROR(IF($M8=BO8,($D$8+$D$9+$D$10)*$I8,IF($N8=LEFT(BO8,1),($D$8+MAX(0,IF($D$50=1,$D$9*(1-(ABS($Q8-ABS(VALUE(MID(BO8,FIND("|",BO8)+1,FIND("-",BO8)-FIND("|",BO8)-1))-VALUE(MID(BO8,FIND("-",BO8)+1,10)))))*$D$50),$D$9*(1-(IF($N8="X",ABS($O8-VALUE(MID(BO8,FIND("|",BO8)+1,FIND("-",BO8)-FIND("|",BO8)-1))),ABS($Q8-ABS(VALUE(MID(BO8,FIND("|",BO8)+1,FIND("-",BO8)-FIND("|",BO8)-1))-VALUE(MID(BO8,FIND("-",BO8)+1,10)))))*$D$50)))))*$I8,0)),0)</f>
        <v>17</v>
      </c>
      <c r="BQ8" s="338"/>
      <c r="BR8" s="363" t="s">
        <v>265</v>
      </c>
      <c r="BS8" s="356" t="n">
        <f aca="false">IFERROR(IF($M8=BR8,($D$8+$D$9+$D$10)*$I8,IF($N8=LEFT(BR8,1),($D$8+MAX(0,IF($D$50=1,$D$9*(1-(ABS($Q8-ABS(VALUE(MID(BR8,FIND("|",BR8)+1,FIND("-",BR8)-FIND("|",BR8)-1))-VALUE(MID(BR8,FIND("-",BR8)+1,10)))))*$D$50),$D$9*(1-(IF($N8="X",ABS($O8-VALUE(MID(BR8,FIND("|",BR8)+1,FIND("-",BR8)-FIND("|",BR8)-1))),ABS($Q8-ABS(VALUE(MID(BR8,FIND("|",BR8)+1,FIND("-",BR8)-FIND("|",BR8)-1))-VALUE(MID(BR8,FIND("-",BR8)+1,10)))))*$D$50)))))*$I8,0)),0)</f>
        <v>0</v>
      </c>
      <c r="BT8" s="338"/>
      <c r="BU8" s="363"/>
      <c r="BV8" s="356" t="n">
        <f aca="false">IFERROR(IF($M8=BU8,($D$8+$D$9+$D$10)*$I8,IF($N8=LEFT(BU8,1),($D$8+MAX(0,IF($D$50=1,$D$9*(1-(ABS($Q8-ABS(VALUE(MID(BU8,FIND("|",BU8)+1,FIND("-",BU8)-FIND("|",BU8)-1))-VALUE(MID(BU8,FIND("-",BU8)+1,10)))))*$D$50),$D$9*(1-(IF($N8="X",ABS($O8-VALUE(MID(BU8,FIND("|",BU8)+1,FIND("-",BU8)-FIND("|",BU8)-1))),ABS($Q8-ABS(VALUE(MID(BU8,FIND("|",BU8)+1,FIND("-",BU8)-FIND("|",BU8)-1))-VALUE(MID(BU8,FIND("-",BU8)+1,10)))))*$D$50)))))*$I8,0)),0)</f>
        <v>0</v>
      </c>
      <c r="BW8" s="338"/>
      <c r="BX8" s="363"/>
      <c r="BY8" s="356" t="n">
        <f aca="false">IFERROR(IF($M8=BX8,($D$8+$D$9+$D$10)*$I8,IF($N8=LEFT(BX8,1),($D$8+MAX(0,IF($D$50=1,$D$9*(1-(ABS($Q8-ABS(VALUE(MID(BX8,FIND("|",BX8)+1,FIND("-",BX8)-FIND("|",BX8)-1))-VALUE(MID(BX8,FIND("-",BX8)+1,10)))))*$D$50),$D$9*(1-(IF($N8="X",ABS($O8-VALUE(MID(BX8,FIND("|",BX8)+1,FIND("-",BX8)-FIND("|",BX8)-1))),ABS($Q8-ABS(VALUE(MID(BX8,FIND("|",BX8)+1,FIND("-",BX8)-FIND("|",BX8)-1))-VALUE(MID(BX8,FIND("-",BX8)+1,10)))))*$D$50)))))*$I8,0)),0)</f>
        <v>0</v>
      </c>
      <c r="BZ8" s="338"/>
      <c r="CA8" s="363"/>
      <c r="CB8" s="356" t="n">
        <f aca="false">IFERROR(IF($M8=CA8,($D$8+$D$9+$D$10)*$I8,IF($N8=LEFT(CA8,1),($D$8+MAX(0,IF($D$50=1,$D$9*(1-(ABS($Q8-ABS(VALUE(MID(CA8,FIND("|",CA8)+1,FIND("-",CA8)-FIND("|",CA8)-1))-VALUE(MID(CA8,FIND("-",CA8)+1,10)))))*$D$50),$D$9*(1-(IF($N8="X",ABS($O8-VALUE(MID(CA8,FIND("|",CA8)+1,FIND("-",CA8)-FIND("|",CA8)-1))),ABS($Q8-ABS(VALUE(MID(CA8,FIND("|",CA8)+1,FIND("-",CA8)-FIND("|",CA8)-1))-VALUE(MID(CA8,FIND("-",CA8)+1,10)))))*$D$50)))))*$I8,0)),0)</f>
        <v>0</v>
      </c>
      <c r="CC8" s="338"/>
      <c r="CD8" s="363"/>
      <c r="CE8" s="356" t="n">
        <f aca="false">IFERROR(IF($M8=CD8,($D$8+$D$9+$D$10)*$I8,IF($N8=LEFT(CD8,1),($D$8+MAX(0,IF($D$50=1,$D$9*(1-(ABS($Q8-ABS(VALUE(MID(CD8,FIND("|",CD8)+1,FIND("-",CD8)-FIND("|",CD8)-1))-VALUE(MID(CD8,FIND("-",CD8)+1,10)))))*$D$50),$D$9*(1-(IF($N8="X",ABS($O8-VALUE(MID(CD8,FIND("|",CD8)+1,FIND("-",CD8)-FIND("|",CD8)-1))),ABS($Q8-ABS(VALUE(MID(CD8,FIND("|",CD8)+1,FIND("-",CD8)-FIND("|",CD8)-1))-VALUE(MID(CD8,FIND("-",CD8)+1,10)))))*$D$50)))))*$I8,0)),0)</f>
        <v>0</v>
      </c>
      <c r="CF8" s="338"/>
      <c r="CG8" s="363"/>
      <c r="CH8" s="356" t="n">
        <f aca="false">IFERROR(IF($M8=CG8,($D$8+$D$9+$D$10)*$I8,IF($N8=LEFT(CG8,1),($D$8+MAX(0,IF($D$50=1,$D$9*(1-(ABS($Q8-ABS(VALUE(MID(CG8,FIND("|",CG8)+1,FIND("-",CG8)-FIND("|",CG8)-1))-VALUE(MID(CG8,FIND("-",CG8)+1,10)))))*$D$50),$D$9*(1-(IF($N8="X",ABS($O8-VALUE(MID(CG8,FIND("|",CG8)+1,FIND("-",CG8)-FIND("|",CG8)-1))),ABS($Q8-ABS(VALUE(MID(CG8,FIND("|",CG8)+1,FIND("-",CG8)-FIND("|",CG8)-1))-VALUE(MID(CG8,FIND("-",CG8)+1,10)))))*$D$50)))))*$I8,0)),0)</f>
        <v>0</v>
      </c>
      <c r="CI8" s="338"/>
      <c r="CJ8" s="363"/>
      <c r="CK8" s="356" t="n">
        <f aca="false">IFERROR(IF($M8=CJ8,($D$8+$D$9+$D$10)*$I8,IF($N8=LEFT(CJ8,1),($D$8+MAX(0,IF($D$50=1,$D$9*(1-(ABS($Q8-ABS(VALUE(MID(CJ8,FIND("|",CJ8)+1,FIND("-",CJ8)-FIND("|",CJ8)-1))-VALUE(MID(CJ8,FIND("-",CJ8)+1,10)))))*$D$50),$D$9*(1-(IF($N8="X",ABS($O8-VALUE(MID(CJ8,FIND("|",CJ8)+1,FIND("-",CJ8)-FIND("|",CJ8)-1))),ABS($Q8-ABS(VALUE(MID(CJ8,FIND("|",CJ8)+1,FIND("-",CJ8)-FIND("|",CJ8)-1))-VALUE(MID(CJ8,FIND("-",CJ8)+1,10)))))*$D$50)))))*$I8,0)),0)</f>
        <v>0</v>
      </c>
      <c r="CL8" s="338"/>
      <c r="CM8" s="363"/>
      <c r="CN8" s="356" t="n">
        <f aca="false">IFERROR(IF($M8=CM8,($D$8+$D$9+$D$10)*$I8,IF($N8=LEFT(CM8,1),($D$8+MAX(0,IF($D$50=1,$D$9*(1-(ABS($Q8-ABS(VALUE(MID(CM8,FIND("|",CM8)+1,FIND("-",CM8)-FIND("|",CM8)-1))-VALUE(MID(CM8,FIND("-",CM8)+1,10)))))*$D$50),$D$9*(1-(IF($N8="X",ABS($O8-VALUE(MID(CM8,FIND("|",CM8)+1,FIND("-",CM8)-FIND("|",CM8)-1))),ABS($Q8-ABS(VALUE(MID(CM8,FIND("|",CM8)+1,FIND("-",CM8)-FIND("|",CM8)-1))-VALUE(MID(CM8,FIND("-",CM8)+1,10)))))*$D$50)))))*$I8,0)),0)</f>
        <v>0</v>
      </c>
      <c r="CO8" s="338"/>
      <c r="CP8" s="363"/>
      <c r="CQ8" s="356" t="n">
        <f aca="false">IFERROR(IF($M8=CP8,($D$8+$D$9+$D$10)*$I8,IF($N8=LEFT(CP8,1),($D$8+MAX(0,IF($D$50=1,$D$9*(1-(ABS($Q8-ABS(VALUE(MID(CP8,FIND("|",CP8)+1,FIND("-",CP8)-FIND("|",CP8)-1))-VALUE(MID(CP8,FIND("-",CP8)+1,10)))))*$D$50),$D$9*(1-(IF($N8="X",ABS($O8-VALUE(MID(CP8,FIND("|",CP8)+1,FIND("-",CP8)-FIND("|",CP8)-1))),ABS($Q8-ABS(VALUE(MID(CP8,FIND("|",CP8)+1,FIND("-",CP8)-FIND("|",CP8)-1))-VALUE(MID(CP8,FIND("-",CP8)+1,10)))))*$D$50)))))*$I8,0)),0)</f>
        <v>0</v>
      </c>
      <c r="CR8" s="338"/>
      <c r="CS8" s="363"/>
      <c r="CT8" s="356" t="n">
        <f aca="false">IFERROR(IF($M8=CS8,($D$8+$D$9+$D$10)*$I8,IF($N8=LEFT(CS8,1),($D$8+MAX(0,IF($D$50=1,$D$9*(1-(ABS($Q8-ABS(VALUE(MID(CS8,FIND("|",CS8)+1,FIND("-",CS8)-FIND("|",CS8)-1))-VALUE(MID(CS8,FIND("-",CS8)+1,10)))))*$D$50),$D$9*(1-(IF($N8="X",ABS($O8-VALUE(MID(CS8,FIND("|",CS8)+1,FIND("-",CS8)-FIND("|",CS8)-1))),ABS($Q8-ABS(VALUE(MID(CS8,FIND("|",CS8)+1,FIND("-",CS8)-FIND("|",CS8)-1))-VALUE(MID(CS8,FIND("-",CS8)+1,10)))))*$D$50)))))*$I8,0)),0)</f>
        <v>0</v>
      </c>
      <c r="CU8" s="338"/>
      <c r="CV8" s="363"/>
      <c r="CW8" s="356" t="n">
        <f aca="false">IFERROR(IF($M8=CV8,($D$8+$D$9+$D$10)*$I8,IF($N8=LEFT(CV8,1),($D$8+MAX(0,IF($D$50=1,$D$9*(1-(ABS($Q8-ABS(VALUE(MID(CV8,FIND("|",CV8)+1,FIND("-",CV8)-FIND("|",CV8)-1))-VALUE(MID(CV8,FIND("-",CV8)+1,10)))))*$D$50),$D$9*(1-(IF($N8="X",ABS($O8-VALUE(MID(CV8,FIND("|",CV8)+1,FIND("-",CV8)-FIND("|",CV8)-1))),ABS($Q8-ABS(VALUE(MID(CV8,FIND("|",CV8)+1,FIND("-",CV8)-FIND("|",CV8)-1))-VALUE(MID(CV8,FIND("-",CV8)+1,10)))))*$D$50)))))*$I8,0)),0)</f>
        <v>0</v>
      </c>
      <c r="CX8" s="338"/>
      <c r="CY8" s="363"/>
      <c r="CZ8" s="356" t="n">
        <f aca="false">IFERROR(IF($M8=CY8,($D$8+$D$9+$D$10)*$I8,IF($N8=LEFT(CY8,1),($D$8+MAX(0,IF($D$50=1,$D$9*(1-(ABS($Q8-ABS(VALUE(MID(CY8,FIND("|",CY8)+1,FIND("-",CY8)-FIND("|",CY8)-1))-VALUE(MID(CY8,FIND("-",CY8)+1,10)))))*$D$50),$D$9*(1-(IF($N8="X",ABS($O8-VALUE(MID(CY8,FIND("|",CY8)+1,FIND("-",CY8)-FIND("|",CY8)-1))),ABS($Q8-ABS(VALUE(MID(CY8,FIND("|",CY8)+1,FIND("-",CY8)-FIND("|",CY8)-1))-VALUE(MID(CY8,FIND("-",CY8)+1,10)))))*$D$50)))))*$I8,0)),0)</f>
        <v>0</v>
      </c>
      <c r="DA8" s="338"/>
      <c r="DB8" s="363"/>
      <c r="DC8" s="356" t="n">
        <f aca="false">IFERROR(IF($M8=DB8,($D$8+$D$9+$D$10)*$I8,IF($N8=LEFT(DB8,1),($D$8+MAX(0,IF($D$50=1,$D$9*(1-(ABS($Q8-ABS(VALUE(MID(DB8,FIND("|",DB8)+1,FIND("-",DB8)-FIND("|",DB8)-1))-VALUE(MID(DB8,FIND("-",DB8)+1,10)))))*$D$50),$D$9*(1-(IF($N8="X",ABS($O8-VALUE(MID(DB8,FIND("|",DB8)+1,FIND("-",DB8)-FIND("|",DB8)-1))),ABS($Q8-ABS(VALUE(MID(DB8,FIND("|",DB8)+1,FIND("-",DB8)-FIND("|",DB8)-1))-VALUE(MID(DB8,FIND("-",DB8)+1,10)))))*$D$50)))))*$I8,0)),0)</f>
        <v>0</v>
      </c>
      <c r="DD8" s="338"/>
      <c r="DE8" s="363"/>
      <c r="DF8" s="356" t="n">
        <f aca="false">IFERROR(IF($M8=DE8,($D$8+$D$9+$D$10)*$I8,IF($N8=LEFT(DE8,1),($D$8+MAX(0,IF($D$50=1,$D$9*(1-(ABS($Q8-ABS(VALUE(MID(DE8,FIND("|",DE8)+1,FIND("-",DE8)-FIND("|",DE8)-1))-VALUE(MID(DE8,FIND("-",DE8)+1,10)))))*$D$50),$D$9*(1-(IF($N8="X",ABS($O8-VALUE(MID(DE8,FIND("|",DE8)+1,FIND("-",DE8)-FIND("|",DE8)-1))),ABS($Q8-ABS(VALUE(MID(DE8,FIND("|",DE8)+1,FIND("-",DE8)-FIND("|",DE8)-1))-VALUE(MID(DE8,FIND("-",DE8)+1,10)))))*$D$50)))))*$I8,0)),0)</f>
        <v>0</v>
      </c>
      <c r="DG8" s="338"/>
      <c r="DH8" s="363"/>
      <c r="DI8" s="356" t="n">
        <f aca="false">IFERROR(IF($M8=DH8,($D$8+$D$9+$D$10)*$I8,IF($N8=LEFT(DH8,1),($D$8+MAX(0,IF($D$50=1,$D$9*(1-(ABS($Q8-ABS(VALUE(MID(DH8,FIND("|",DH8)+1,FIND("-",DH8)-FIND("|",DH8)-1))-VALUE(MID(DH8,FIND("-",DH8)+1,10)))))*$D$50),$D$9*(1-(IF($N8="X",ABS($O8-VALUE(MID(DH8,FIND("|",DH8)+1,FIND("-",DH8)-FIND("|",DH8)-1))),ABS($Q8-ABS(VALUE(MID(DH8,FIND("|",DH8)+1,FIND("-",DH8)-FIND("|",DH8)-1))-VALUE(MID(DH8,FIND("-",DH8)+1,10)))))*$D$50)))))*$I8,0)),0)</f>
        <v>0</v>
      </c>
      <c r="DJ8" s="338"/>
      <c r="DK8" s="363"/>
      <c r="DL8" s="356" t="n">
        <f aca="false">IFERROR(IF($M8=DK8,($D$8+$D$9+$D$10)*$I8,IF($N8=LEFT(DK8,1),($D$8+MAX(0,IF($D$50=1,$D$9*(1-(ABS($Q8-ABS(VALUE(MID(DK8,FIND("|",DK8)+1,FIND("-",DK8)-FIND("|",DK8)-1))-VALUE(MID(DK8,FIND("-",DK8)+1,10)))))*$D$50),$D$9*(1-(IF($N8="X",ABS($O8-VALUE(MID(DK8,FIND("|",DK8)+1,FIND("-",DK8)-FIND("|",DK8)-1))),ABS($Q8-ABS(VALUE(MID(DK8,FIND("|",DK8)+1,FIND("-",DK8)-FIND("|",DK8)-1))-VALUE(MID(DK8,FIND("-",DK8)+1,10)))))*$D$50)))))*$I8,0)),0)</f>
        <v>0</v>
      </c>
      <c r="DM8" s="338"/>
      <c r="DN8" s="363"/>
      <c r="DO8" s="356" t="n">
        <f aca="false">IFERROR(IF($M8=DN8,($D$8+$D$9+$D$10)*$I8,IF($N8=LEFT(DN8,1),($D$8+MAX(0,IF($D$50=1,$D$9*(1-(ABS($Q8-ABS(VALUE(MID(DN8,FIND("|",DN8)+1,FIND("-",DN8)-FIND("|",DN8)-1))-VALUE(MID(DN8,FIND("-",DN8)+1,10)))))*$D$50),$D$9*(1-(IF($N8="X",ABS($O8-VALUE(MID(DN8,FIND("|",DN8)+1,FIND("-",DN8)-FIND("|",DN8)-1))),ABS($Q8-ABS(VALUE(MID(DN8,FIND("|",DN8)+1,FIND("-",DN8)-FIND("|",DN8)-1))-VALUE(MID(DN8,FIND("-",DN8)+1,10)))))*$D$50)))))*$I8,0)),0)</f>
        <v>0</v>
      </c>
      <c r="DP8" s="338"/>
      <c r="DQ8" s="363"/>
      <c r="DR8" s="356" t="n">
        <f aca="false">IFERROR(IF($M8=DQ8,($D$8+$D$9+$D$10)*$I8,IF($N8=LEFT(DQ8,1),($D$8+MAX(0,IF($D$50=1,$D$9*(1-(ABS($Q8-ABS(VALUE(MID(DQ8,FIND("|",DQ8)+1,FIND("-",DQ8)-FIND("|",DQ8)-1))-VALUE(MID(DQ8,FIND("-",DQ8)+1,10)))))*$D$50),$D$9*(1-(IF($N8="X",ABS($O8-VALUE(MID(DQ8,FIND("|",DQ8)+1,FIND("-",DQ8)-FIND("|",DQ8)-1))),ABS($Q8-ABS(VALUE(MID(DQ8,FIND("|",DQ8)+1,FIND("-",DQ8)-FIND("|",DQ8)-1))-VALUE(MID(DQ8,FIND("-",DQ8)+1,10)))))*$D$50)))))*$I8,0)),0)</f>
        <v>0</v>
      </c>
      <c r="DS8" s="338"/>
      <c r="DT8" s="363"/>
      <c r="DU8" s="356" t="n">
        <f aca="false">IFERROR(IF($M8=DT8,($D$8+$D$9+$D$10)*$I8,IF($N8=LEFT(DT8,1),($D$8+MAX(0,IF($D$50=1,$D$9*(1-(ABS($Q8-ABS(VALUE(MID(DT8,FIND("|",DT8)+1,FIND("-",DT8)-FIND("|",DT8)-1))-VALUE(MID(DT8,FIND("-",DT8)+1,10)))))*$D$50),$D$9*(1-(IF($N8="X",ABS($O8-VALUE(MID(DT8,FIND("|",DT8)+1,FIND("-",DT8)-FIND("|",DT8)-1))),ABS($Q8-ABS(VALUE(MID(DT8,FIND("|",DT8)+1,FIND("-",DT8)-FIND("|",DT8)-1))-VALUE(MID(DT8,FIND("-",DT8)+1,10)))))*$D$50)))))*$I8,0)),0)</f>
        <v>0</v>
      </c>
      <c r="DV8" s="338"/>
      <c r="DW8" s="363"/>
      <c r="DX8" s="356" t="n">
        <f aca="false">IFERROR(IF($M8=DW8,($D$8+$D$9+$D$10)*$I8,IF($N8=LEFT(DW8,1),($D$8+MAX(0,IF($D$50=1,$D$9*(1-(ABS($Q8-ABS(VALUE(MID(DW8,FIND("|",DW8)+1,FIND("-",DW8)-FIND("|",DW8)-1))-VALUE(MID(DW8,FIND("-",DW8)+1,10)))))*$D$50),$D$9*(1-(IF($N8="X",ABS($O8-VALUE(MID(DW8,FIND("|",DW8)+1,FIND("-",DW8)-FIND("|",DW8)-1))),ABS($Q8-ABS(VALUE(MID(DW8,FIND("|",DW8)+1,FIND("-",DW8)-FIND("|",DW8)-1))-VALUE(MID(DW8,FIND("-",DW8)+1,10)))))*$D$50)))))*$I8,0)),0)</f>
        <v>0</v>
      </c>
      <c r="DY8" s="338"/>
      <c r="DZ8" s="363"/>
      <c r="EA8" s="356" t="n">
        <f aca="false">IFERROR(IF($M8=DZ8,($D$8+$D$9+$D$10)*$I8,IF($N8=LEFT(DZ8,1),($D$8+MAX(0,IF($D$50=1,$D$9*(1-(ABS($Q8-ABS(VALUE(MID(DZ8,FIND("|",DZ8)+1,FIND("-",DZ8)-FIND("|",DZ8)-1))-VALUE(MID(DZ8,FIND("-",DZ8)+1,10)))))*$D$50),$D$9*(1-(IF($N8="X",ABS($O8-VALUE(MID(DZ8,FIND("|",DZ8)+1,FIND("-",DZ8)-FIND("|",DZ8)-1))),ABS($Q8-ABS(VALUE(MID(DZ8,FIND("|",DZ8)+1,FIND("-",DZ8)-FIND("|",DZ8)-1))-VALUE(MID(DZ8,FIND("-",DZ8)+1,10)))))*$D$50)))))*$I8,0)),0)</f>
        <v>0</v>
      </c>
      <c r="EB8" s="338"/>
      <c r="EC8" s="363"/>
      <c r="ED8" s="356" t="n">
        <f aca="false">IFERROR(IF($M8=EC8,($D$8+$D$9+$D$10)*$I8,IF($N8=LEFT(EC8,1),($D$8+MAX(0,IF($D$50=1,$D$9*(1-(ABS($Q8-ABS(VALUE(MID(EC8,FIND("|",EC8)+1,FIND("-",EC8)-FIND("|",EC8)-1))-VALUE(MID(EC8,FIND("-",EC8)+1,10)))))*$D$50),$D$9*(1-(IF($N8="X",ABS($O8-VALUE(MID(EC8,FIND("|",EC8)+1,FIND("-",EC8)-FIND("|",EC8)-1))),ABS($Q8-ABS(VALUE(MID(EC8,FIND("|",EC8)+1,FIND("-",EC8)-FIND("|",EC8)-1))-VALUE(MID(EC8,FIND("-",EC8)+1,10)))))*$D$50)))))*$I8,0)),0)</f>
        <v>0</v>
      </c>
      <c r="EE8" s="338"/>
      <c r="EF8" s="363"/>
      <c r="EG8" s="356" t="n">
        <f aca="false">IFERROR(IF($M8=EF8,($D$8+$D$9+$D$10)*$I8,IF($N8=LEFT(EF8,1),($D$8+MAX(0,IF($D$50=1,$D$9*(1-(ABS($Q8-ABS(VALUE(MID(EF8,FIND("|",EF8)+1,FIND("-",EF8)-FIND("|",EF8)-1))-VALUE(MID(EF8,FIND("-",EF8)+1,10)))))*$D$50),$D$9*(1-(IF($N8="X",ABS($O8-VALUE(MID(EF8,FIND("|",EF8)+1,FIND("-",EF8)-FIND("|",EF8)-1))),ABS($Q8-ABS(VALUE(MID(EF8,FIND("|",EF8)+1,FIND("-",EF8)-FIND("|",EF8)-1))-VALUE(MID(EF8,FIND("-",EF8)+1,10)))))*$D$50)))))*$I8,0)),0)</f>
        <v>0</v>
      </c>
      <c r="EH8" s="338"/>
      <c r="EI8" s="338"/>
    </row>
    <row r="9" customFormat="false" ht="15" hidden="false" customHeight="false" outlineLevel="0" collapsed="false">
      <c r="A9" s="327"/>
      <c r="B9" s="327"/>
      <c r="C9" s="364" t="str">
        <f aca="false">Idiomas!D305&amp;"**"</f>
        <v>FASE DE GRUPOS - Diferencia/Distancia de goles (Con 1X2 acertado)**</v>
      </c>
      <c r="D9" s="365" t="n">
        <v>2</v>
      </c>
      <c r="E9" s="334"/>
      <c r="F9" s="343" t="n">
        <f aca="false">SUM($D$8:$D$10)*I9</f>
        <v>17</v>
      </c>
      <c r="G9" s="343" t="n">
        <f aca="false">VLOOKUP(H9,Equipos!$Q$1:$R$25,2,0)</f>
        <v>3</v>
      </c>
      <c r="H9" s="351" t="n">
        <f aca="false">TRUNC(INDEX(WORLDCUP!$X$4:$X$147,MATCH(ADMIN!K9,WORLDCUP!$DT$4:$DT$147,0))+INDEX(Horarios!$R$3:$R$86,MATCH(Horarios!$C$3,Horarios!$P$3:$P$86,0))/24)</f>
        <v>46186</v>
      </c>
      <c r="I9" s="352" t="n">
        <v>1</v>
      </c>
      <c r="J9" s="362" t="s">
        <v>270</v>
      </c>
      <c r="K9" s="354" t="str">
        <f aca="false">CONCATENATE(WORLDCUP!AA13,"-",WORLDCUP!AF13)</f>
        <v>Catar-Suiza</v>
      </c>
      <c r="L9" s="354"/>
      <c r="M9" s="359" t="str">
        <f aca="false">IF(OR(WORLDCUP!AC13="",WORLDCUP!AD13=""),"-",N9&amp;"|"&amp;O9&amp;"-"&amp;P9)</f>
        <v>X|1-1</v>
      </c>
      <c r="N9" s="332" t="str">
        <f aca="false">IF(OR(WORLDCUP!AC13="",WORLDCUP!AD13=""),"",IF(WORLDCUP!AC13&gt;WORLDCUP!AD13,"1",IF(WORLDCUP!AC13&lt;WORLDCUP!AD13,"2","X")))</f>
        <v>X</v>
      </c>
      <c r="O9" s="332" t="n">
        <f aca="false">WORLDCUP!AC13</f>
        <v>1</v>
      </c>
      <c r="P9" s="332" t="n">
        <f aca="false">WORLDCUP!AD13</f>
        <v>1</v>
      </c>
      <c r="Q9" s="332" t="n">
        <f aca="false">ABS(O9-P9)</f>
        <v>0</v>
      </c>
      <c r="R9" s="327"/>
      <c r="S9" s="366" t="s">
        <v>273</v>
      </c>
      <c r="T9" s="356" t="n">
        <f aca="false">IFERROR(IF($M9=S9,($D$8+$D$9+$D$10)*$I9,IF($N9=LEFT(S9,1),($D$8+MAX(0,IF($D$50=1,$D$9*(1-(ABS($Q9-ABS(VALUE(MID(S9,FIND("|",S9)+1,FIND("-",S9)-FIND("|",S9)-1))-VALUE(MID(S9,FIND("-",S9)+1,10)))))*$D$50),$D$9*(1-(IF($N9="X",ABS($O9-VALUE(MID(S9,FIND("|",S9)+1,FIND("-",S9)-FIND("|",S9)-1))),ABS($Q9-ABS(VALUE(MID(S9,FIND("|",S9)+1,FIND("-",S9)-FIND("|",S9)-1))-VALUE(MID(S9,FIND("-",S9)+1,10)))))*$D$50)))))*$I9,0)),0)</f>
        <v>0</v>
      </c>
      <c r="U9" s="338"/>
      <c r="V9" s="366" t="s">
        <v>274</v>
      </c>
      <c r="W9" s="356" t="n">
        <f aca="false">IFERROR(IF($M9=V9,($D$8+$D$9+$D$10)*$I9,IF($N9=LEFT(V9,1),($D$8+MAX(0,IF($D$50=1,$D$9*(1-(ABS($Q9-ABS(VALUE(MID(V9,FIND("|",V9)+1,FIND("-",V9)-FIND("|",V9)-1))-VALUE(MID(V9,FIND("-",V9)+1,10)))))*$D$50),$D$9*(1-(IF($N9="X",ABS($O9-VALUE(MID(V9,FIND("|",V9)+1,FIND("-",V9)-FIND("|",V9)-1))),ABS($Q9-ABS(VALUE(MID(V9,FIND("|",V9)+1,FIND("-",V9)-FIND("|",V9)-1))-VALUE(MID(V9,FIND("-",V9)+1,10)))))*$D$50)))))*$I9,0)),0)</f>
        <v>0</v>
      </c>
      <c r="X9" s="338"/>
      <c r="Y9" s="366" t="s">
        <v>274</v>
      </c>
      <c r="Z9" s="356" t="n">
        <f aca="false">IFERROR(IF($M9=Y9,($D$8+$D$9+$D$10)*$I9,IF($N9=LEFT(Y9,1),($D$8+MAX(0,IF($D$50=1,$D$9*(1-(ABS($Q9-ABS(VALUE(MID(Y9,FIND("|",Y9)+1,FIND("-",Y9)-FIND("|",Y9)-1))-VALUE(MID(Y9,FIND("-",Y9)+1,10)))))*$D$50),$D$9*(1-(IF($N9="X",ABS($O9-VALUE(MID(Y9,FIND("|",Y9)+1,FIND("-",Y9)-FIND("|",Y9)-1))),ABS($Q9-ABS(VALUE(MID(Y9,FIND("|",Y9)+1,FIND("-",Y9)-FIND("|",Y9)-1))-VALUE(MID(Y9,FIND("-",Y9)+1,10)))))*$D$50)))))*$I9,0)),0)</f>
        <v>0</v>
      </c>
      <c r="AA9" s="338"/>
      <c r="AB9" s="366" t="s">
        <v>268</v>
      </c>
      <c r="AC9" s="356" t="n">
        <f aca="false">IFERROR(IF($M9=AB9,($D$8+$D$9+$D$10)*$I9,IF($N9=LEFT(AB9,1),($D$8+MAX(0,IF($D$50=1,$D$9*(1-(ABS($Q9-ABS(VALUE(MID(AB9,FIND("|",AB9)+1,FIND("-",AB9)-FIND("|",AB9)-1))-VALUE(MID(AB9,FIND("-",AB9)+1,10)))))*$D$50),$D$9*(1-(IF($N9="X",ABS($O9-VALUE(MID(AB9,FIND("|",AB9)+1,FIND("-",AB9)-FIND("|",AB9)-1))),ABS($Q9-ABS(VALUE(MID(AB9,FIND("|",AB9)+1,FIND("-",AB9)-FIND("|",AB9)-1))-VALUE(MID(AB9,FIND("-",AB9)+1,10)))))*$D$50)))))*$I9,0)),0)</f>
        <v>0</v>
      </c>
      <c r="AD9" s="338"/>
      <c r="AE9" s="366" t="s">
        <v>271</v>
      </c>
      <c r="AF9" s="356" t="n">
        <f aca="false">IFERROR(IF($M9=AE9,($D$8+$D$9+$D$10)*$I9,IF($N9=LEFT(AE9,1),($D$8+MAX(0,IF($D$50=1,$D$9*(1-(ABS($Q9-ABS(VALUE(MID(AE9,FIND("|",AE9)+1,FIND("-",AE9)-FIND("|",AE9)-1))-VALUE(MID(AE9,FIND("-",AE9)+1,10)))))*$D$50),$D$9*(1-(IF($N9="X",ABS($O9-VALUE(MID(AE9,FIND("|",AE9)+1,FIND("-",AE9)-FIND("|",AE9)-1))),ABS($Q9-ABS(VALUE(MID(AE9,FIND("|",AE9)+1,FIND("-",AE9)-FIND("|",AE9)-1))-VALUE(MID(AE9,FIND("-",AE9)+1,10)))))*$D$50)))))*$I9,0)),0)</f>
        <v>0</v>
      </c>
      <c r="AG9" s="338"/>
      <c r="AH9" s="366" t="s">
        <v>274</v>
      </c>
      <c r="AI9" s="356" t="n">
        <f aca="false">IFERROR(IF($M9=AH9,($D$8+$D$9+$D$10)*$I9,IF($N9=LEFT(AH9,1),($D$8+MAX(0,IF($D$50=1,$D$9*(1-(ABS($Q9-ABS(VALUE(MID(AH9,FIND("|",AH9)+1,FIND("-",AH9)-FIND("|",AH9)-1))-VALUE(MID(AH9,FIND("-",AH9)+1,10)))))*$D$50),$D$9*(1-(IF($N9="X",ABS($O9-VALUE(MID(AH9,FIND("|",AH9)+1,FIND("-",AH9)-FIND("|",AH9)-1))),ABS($Q9-ABS(VALUE(MID(AH9,FIND("|",AH9)+1,FIND("-",AH9)-FIND("|",AH9)-1))-VALUE(MID(AH9,FIND("-",AH9)+1,10)))))*$D$50)))))*$I9,0)),0)</f>
        <v>0</v>
      </c>
      <c r="AJ9" s="338"/>
      <c r="AK9" s="366" t="s">
        <v>274</v>
      </c>
      <c r="AL9" s="356" t="n">
        <f aca="false">IFERROR(IF($M9=AK9,($D$8+$D$9+$D$10)*$I9,IF($N9=LEFT(AK9,1),($D$8+MAX(0,IF($D$50=1,$D$9*(1-(ABS($Q9-ABS(VALUE(MID(AK9,FIND("|",AK9)+1,FIND("-",AK9)-FIND("|",AK9)-1))-VALUE(MID(AK9,FIND("-",AK9)+1,10)))))*$D$50),$D$9*(1-(IF($N9="X",ABS($O9-VALUE(MID(AK9,FIND("|",AK9)+1,FIND("-",AK9)-FIND("|",AK9)-1))),ABS($Q9-ABS(VALUE(MID(AK9,FIND("|",AK9)+1,FIND("-",AK9)-FIND("|",AK9)-1))-VALUE(MID(AK9,FIND("-",AK9)+1,10)))))*$D$50)))))*$I9,0)),0)</f>
        <v>0</v>
      </c>
      <c r="AM9" s="338"/>
      <c r="AN9" s="366" t="s">
        <v>274</v>
      </c>
      <c r="AO9" s="356" t="n">
        <f aca="false">IFERROR(IF($M9=AN9,($D$8+$D$9+$D$10)*$I9,IF($N9=LEFT(AN9,1),($D$8+MAX(0,IF($D$50=1,$D$9*(1-(ABS($Q9-ABS(VALUE(MID(AN9,FIND("|",AN9)+1,FIND("-",AN9)-FIND("|",AN9)-1))-VALUE(MID(AN9,FIND("-",AN9)+1,10)))))*$D$50),$D$9*(1-(IF($N9="X",ABS($O9-VALUE(MID(AN9,FIND("|",AN9)+1,FIND("-",AN9)-FIND("|",AN9)-1))),ABS($Q9-ABS(VALUE(MID(AN9,FIND("|",AN9)+1,FIND("-",AN9)-FIND("|",AN9)-1))-VALUE(MID(AN9,FIND("-",AN9)+1,10)))))*$D$50)))))*$I9,0)),0)</f>
        <v>0</v>
      </c>
      <c r="AP9" s="338"/>
      <c r="AQ9" s="366" t="s">
        <v>274</v>
      </c>
      <c r="AR9" s="356" t="n">
        <f aca="false">IFERROR(IF($M9=AQ9,($D$8+$D$9+$D$10)*$I9,IF($N9=LEFT(AQ9,1),($D$8+MAX(0,IF($D$50=1,$D$9*(1-(ABS($Q9-ABS(VALUE(MID(AQ9,FIND("|",AQ9)+1,FIND("-",AQ9)-FIND("|",AQ9)-1))-VALUE(MID(AQ9,FIND("-",AQ9)+1,10)))))*$D$50),$D$9*(1-(IF($N9="X",ABS($O9-VALUE(MID(AQ9,FIND("|",AQ9)+1,FIND("-",AQ9)-FIND("|",AQ9)-1))),ABS($Q9-ABS(VALUE(MID(AQ9,FIND("|",AQ9)+1,FIND("-",AQ9)-FIND("|",AQ9)-1))-VALUE(MID(AQ9,FIND("-",AQ9)+1,10)))))*$D$50)))))*$I9,0)),0)</f>
        <v>0</v>
      </c>
      <c r="AS9" s="338"/>
      <c r="AT9" s="366" t="s">
        <v>275</v>
      </c>
      <c r="AU9" s="356" t="n">
        <f aca="false">IFERROR(IF($M9=AT9,($D$8+$D$9+$D$10)*$I9,IF($N9=LEFT(AT9,1),($D$8+MAX(0,IF($D$50=1,$D$9*(1-(ABS($Q9-ABS(VALUE(MID(AT9,FIND("|",AT9)+1,FIND("-",AT9)-FIND("|",AT9)-1))-VALUE(MID(AT9,FIND("-",AT9)+1,10)))))*$D$50),$D$9*(1-(IF($N9="X",ABS($O9-VALUE(MID(AT9,FIND("|",AT9)+1,FIND("-",AT9)-FIND("|",AT9)-1))),ABS($Q9-ABS(VALUE(MID(AT9,FIND("|",AT9)+1,FIND("-",AT9)-FIND("|",AT9)-1))-VALUE(MID(AT9,FIND("-",AT9)+1,10)))))*$D$50)))))*$I9,0)),0)</f>
        <v>7</v>
      </c>
      <c r="AV9" s="338"/>
      <c r="AW9" s="366" t="s">
        <v>271</v>
      </c>
      <c r="AX9" s="356" t="n">
        <f aca="false">IFERROR(IF($M9=AW9,($D$8+$D$9+$D$10)*$I9,IF($N9=LEFT(AW9,1),($D$8+MAX(0,IF($D$50=1,$D$9*(1-(ABS($Q9-ABS(VALUE(MID(AW9,FIND("|",AW9)+1,FIND("-",AW9)-FIND("|",AW9)-1))-VALUE(MID(AW9,FIND("-",AW9)+1,10)))))*$D$50),$D$9*(1-(IF($N9="X",ABS($O9-VALUE(MID(AW9,FIND("|",AW9)+1,FIND("-",AW9)-FIND("|",AW9)-1))),ABS($Q9-ABS(VALUE(MID(AW9,FIND("|",AW9)+1,FIND("-",AW9)-FIND("|",AW9)-1))-VALUE(MID(AW9,FIND("-",AW9)+1,10)))))*$D$50)))))*$I9,0)),0)</f>
        <v>0</v>
      </c>
      <c r="AY9" s="338"/>
      <c r="AZ9" s="366" t="s">
        <v>271</v>
      </c>
      <c r="BA9" s="356" t="n">
        <f aca="false">IFERROR(IF($M9=AZ9,($D$8+$D$9+$D$10)*$I9,IF($N9=LEFT(AZ9,1),($D$8+MAX(0,IF($D$50=1,$D$9*(1-(ABS($Q9-ABS(VALUE(MID(AZ9,FIND("|",AZ9)+1,FIND("-",AZ9)-FIND("|",AZ9)-1))-VALUE(MID(AZ9,FIND("-",AZ9)+1,10)))))*$D$50),$D$9*(1-(IF($N9="X",ABS($O9-VALUE(MID(AZ9,FIND("|",AZ9)+1,FIND("-",AZ9)-FIND("|",AZ9)-1))),ABS($Q9-ABS(VALUE(MID(AZ9,FIND("|",AZ9)+1,FIND("-",AZ9)-FIND("|",AZ9)-1))-VALUE(MID(AZ9,FIND("-",AZ9)+1,10)))))*$D$50)))))*$I9,0)),0)</f>
        <v>0</v>
      </c>
      <c r="BB9" s="338"/>
      <c r="BC9" s="366" t="s">
        <v>276</v>
      </c>
      <c r="BD9" s="356" t="n">
        <f aca="false">IFERROR(IF($M9=BC9,($D$8+$D$9+$D$10)*$I9,IF($N9=LEFT(BC9,1),($D$8+MAX(0,IF($D$50=1,$D$9*(1-(ABS($Q9-ABS(VALUE(MID(BC9,FIND("|",BC9)+1,FIND("-",BC9)-FIND("|",BC9)-1))-VALUE(MID(BC9,FIND("-",BC9)+1,10)))))*$D$50),$D$9*(1-(IF($N9="X",ABS($O9-VALUE(MID(BC9,FIND("|",BC9)+1,FIND("-",BC9)-FIND("|",BC9)-1))),ABS($Q9-ABS(VALUE(MID(BC9,FIND("|",BC9)+1,FIND("-",BC9)-FIND("|",BC9)-1))-VALUE(MID(BC9,FIND("-",BC9)+1,10)))))*$D$50)))))*$I9,0)),0)</f>
        <v>0</v>
      </c>
      <c r="BE9" s="338"/>
      <c r="BF9" s="366" t="s">
        <v>274</v>
      </c>
      <c r="BG9" s="356" t="n">
        <f aca="false">IFERROR(IF($M9=BF9,($D$8+$D$9+$D$10)*$I9,IF($N9=LEFT(BF9,1),($D$8+MAX(0,IF($D$50=1,$D$9*(1-(ABS($Q9-ABS(VALUE(MID(BF9,FIND("|",BF9)+1,FIND("-",BF9)-FIND("|",BF9)-1))-VALUE(MID(BF9,FIND("-",BF9)+1,10)))))*$D$50),$D$9*(1-(IF($N9="X",ABS($O9-VALUE(MID(BF9,FIND("|",BF9)+1,FIND("-",BF9)-FIND("|",BF9)-1))),ABS($Q9-ABS(VALUE(MID(BF9,FIND("|",BF9)+1,FIND("-",BF9)-FIND("|",BF9)-1))-VALUE(MID(BF9,FIND("-",BF9)+1,10)))))*$D$50)))))*$I9,0)),0)</f>
        <v>0</v>
      </c>
      <c r="BH9" s="338"/>
      <c r="BI9" s="366" t="s">
        <v>271</v>
      </c>
      <c r="BJ9" s="356" t="n">
        <f aca="false">IFERROR(IF($M9=BI9,($D$8+$D$9+$D$10)*$I9,IF($N9=LEFT(BI9,1),($D$8+MAX(0,IF($D$50=1,$D$9*(1-(ABS($Q9-ABS(VALUE(MID(BI9,FIND("|",BI9)+1,FIND("-",BI9)-FIND("|",BI9)-1))-VALUE(MID(BI9,FIND("-",BI9)+1,10)))))*$D$50),$D$9*(1-(IF($N9="X",ABS($O9-VALUE(MID(BI9,FIND("|",BI9)+1,FIND("-",BI9)-FIND("|",BI9)-1))),ABS($Q9-ABS(VALUE(MID(BI9,FIND("|",BI9)+1,FIND("-",BI9)-FIND("|",BI9)-1))-VALUE(MID(BI9,FIND("-",BI9)+1,10)))))*$D$50)))))*$I9,0)),0)</f>
        <v>0</v>
      </c>
      <c r="BK9" s="338"/>
      <c r="BL9" s="366" t="s">
        <v>277</v>
      </c>
      <c r="BM9" s="356" t="n">
        <f aca="false">IFERROR(IF($M9=BL9,($D$8+$D$9+$D$10)*$I9,IF($N9=LEFT(BL9,1),($D$8+MAX(0,IF($D$50=1,$D$9*(1-(ABS($Q9-ABS(VALUE(MID(BL9,FIND("|",BL9)+1,FIND("-",BL9)-FIND("|",BL9)-1))-VALUE(MID(BL9,FIND("-",BL9)+1,10)))))*$D$50),$D$9*(1-(IF($N9="X",ABS($O9-VALUE(MID(BL9,FIND("|",BL9)+1,FIND("-",BL9)-FIND("|",BL9)-1))),ABS($Q9-ABS(VALUE(MID(BL9,FIND("|",BL9)+1,FIND("-",BL9)-FIND("|",BL9)-1))-VALUE(MID(BL9,FIND("-",BL9)+1,10)))))*$D$50)))))*$I9,0)),0)</f>
        <v>0</v>
      </c>
      <c r="BN9" s="338"/>
      <c r="BO9" s="366" t="s">
        <v>268</v>
      </c>
      <c r="BP9" s="356" t="n">
        <f aca="false">IFERROR(IF($M9=BO9,($D$8+$D$9+$D$10)*$I9,IF($N9=LEFT(BO9,1),($D$8+MAX(0,IF($D$50=1,$D$9*(1-(ABS($Q9-ABS(VALUE(MID(BO9,FIND("|",BO9)+1,FIND("-",BO9)-FIND("|",BO9)-1))-VALUE(MID(BO9,FIND("-",BO9)+1,10)))))*$D$50),$D$9*(1-(IF($N9="X",ABS($O9-VALUE(MID(BO9,FIND("|",BO9)+1,FIND("-",BO9)-FIND("|",BO9)-1))),ABS($Q9-ABS(VALUE(MID(BO9,FIND("|",BO9)+1,FIND("-",BO9)-FIND("|",BO9)-1))-VALUE(MID(BO9,FIND("-",BO9)+1,10)))))*$D$50)))))*$I9,0)),0)</f>
        <v>0</v>
      </c>
      <c r="BQ9" s="338"/>
      <c r="BR9" s="366" t="s">
        <v>271</v>
      </c>
      <c r="BS9" s="356" t="n">
        <f aca="false">IFERROR(IF($M9=BR9,($D$8+$D$9+$D$10)*$I9,IF($N9=LEFT(BR9,1),($D$8+MAX(0,IF($D$50=1,$D$9*(1-(ABS($Q9-ABS(VALUE(MID(BR9,FIND("|",BR9)+1,FIND("-",BR9)-FIND("|",BR9)-1))-VALUE(MID(BR9,FIND("-",BR9)+1,10)))))*$D$50),$D$9*(1-(IF($N9="X",ABS($O9-VALUE(MID(BR9,FIND("|",BR9)+1,FIND("-",BR9)-FIND("|",BR9)-1))),ABS($Q9-ABS(VALUE(MID(BR9,FIND("|",BR9)+1,FIND("-",BR9)-FIND("|",BR9)-1))-VALUE(MID(BR9,FIND("-",BR9)+1,10)))))*$D$50)))))*$I9,0)),0)</f>
        <v>0</v>
      </c>
      <c r="BT9" s="338"/>
      <c r="BU9" s="366"/>
      <c r="BV9" s="356" t="n">
        <f aca="false">IFERROR(IF($M9=BU9,($D$8+$D$9+$D$10)*$I9,IF($N9=LEFT(BU9,1),($D$8+MAX(0,IF($D$50=1,$D$9*(1-(ABS($Q9-ABS(VALUE(MID(BU9,FIND("|",BU9)+1,FIND("-",BU9)-FIND("|",BU9)-1))-VALUE(MID(BU9,FIND("-",BU9)+1,10)))))*$D$50),$D$9*(1-(IF($N9="X",ABS($O9-VALUE(MID(BU9,FIND("|",BU9)+1,FIND("-",BU9)-FIND("|",BU9)-1))),ABS($Q9-ABS(VALUE(MID(BU9,FIND("|",BU9)+1,FIND("-",BU9)-FIND("|",BU9)-1))-VALUE(MID(BU9,FIND("-",BU9)+1,10)))))*$D$50)))))*$I9,0)),0)</f>
        <v>0</v>
      </c>
      <c r="BW9" s="338"/>
      <c r="BX9" s="366"/>
      <c r="BY9" s="356" t="n">
        <f aca="false">IFERROR(IF($M9=BX9,($D$8+$D$9+$D$10)*$I9,IF($N9=LEFT(BX9,1),($D$8+MAX(0,IF($D$50=1,$D$9*(1-(ABS($Q9-ABS(VALUE(MID(BX9,FIND("|",BX9)+1,FIND("-",BX9)-FIND("|",BX9)-1))-VALUE(MID(BX9,FIND("-",BX9)+1,10)))))*$D$50),$D$9*(1-(IF($N9="X",ABS($O9-VALUE(MID(BX9,FIND("|",BX9)+1,FIND("-",BX9)-FIND("|",BX9)-1))),ABS($Q9-ABS(VALUE(MID(BX9,FIND("|",BX9)+1,FIND("-",BX9)-FIND("|",BX9)-1))-VALUE(MID(BX9,FIND("-",BX9)+1,10)))))*$D$50)))))*$I9,0)),0)</f>
        <v>0</v>
      </c>
      <c r="BZ9" s="338"/>
      <c r="CA9" s="366"/>
      <c r="CB9" s="356" t="n">
        <f aca="false">IFERROR(IF($M9=CA9,($D$8+$D$9+$D$10)*$I9,IF($N9=LEFT(CA9,1),($D$8+MAX(0,IF($D$50=1,$D$9*(1-(ABS($Q9-ABS(VALUE(MID(CA9,FIND("|",CA9)+1,FIND("-",CA9)-FIND("|",CA9)-1))-VALUE(MID(CA9,FIND("-",CA9)+1,10)))))*$D$50),$D$9*(1-(IF($N9="X",ABS($O9-VALUE(MID(CA9,FIND("|",CA9)+1,FIND("-",CA9)-FIND("|",CA9)-1))),ABS($Q9-ABS(VALUE(MID(CA9,FIND("|",CA9)+1,FIND("-",CA9)-FIND("|",CA9)-1))-VALUE(MID(CA9,FIND("-",CA9)+1,10)))))*$D$50)))))*$I9,0)),0)</f>
        <v>0</v>
      </c>
      <c r="CC9" s="338"/>
      <c r="CD9" s="366"/>
      <c r="CE9" s="356" t="n">
        <f aca="false">IFERROR(IF($M9=CD9,($D$8+$D$9+$D$10)*$I9,IF($N9=LEFT(CD9,1),($D$8+MAX(0,IF($D$50=1,$D$9*(1-(ABS($Q9-ABS(VALUE(MID(CD9,FIND("|",CD9)+1,FIND("-",CD9)-FIND("|",CD9)-1))-VALUE(MID(CD9,FIND("-",CD9)+1,10)))))*$D$50),$D$9*(1-(IF($N9="X",ABS($O9-VALUE(MID(CD9,FIND("|",CD9)+1,FIND("-",CD9)-FIND("|",CD9)-1))),ABS($Q9-ABS(VALUE(MID(CD9,FIND("|",CD9)+1,FIND("-",CD9)-FIND("|",CD9)-1))-VALUE(MID(CD9,FIND("-",CD9)+1,10)))))*$D$50)))))*$I9,0)),0)</f>
        <v>0</v>
      </c>
      <c r="CF9" s="338"/>
      <c r="CG9" s="366"/>
      <c r="CH9" s="356" t="n">
        <f aca="false">IFERROR(IF($M9=CG9,($D$8+$D$9+$D$10)*$I9,IF($N9=LEFT(CG9,1),($D$8+MAX(0,IF($D$50=1,$D$9*(1-(ABS($Q9-ABS(VALUE(MID(CG9,FIND("|",CG9)+1,FIND("-",CG9)-FIND("|",CG9)-1))-VALUE(MID(CG9,FIND("-",CG9)+1,10)))))*$D$50),$D$9*(1-(IF($N9="X",ABS($O9-VALUE(MID(CG9,FIND("|",CG9)+1,FIND("-",CG9)-FIND("|",CG9)-1))),ABS($Q9-ABS(VALUE(MID(CG9,FIND("|",CG9)+1,FIND("-",CG9)-FIND("|",CG9)-1))-VALUE(MID(CG9,FIND("-",CG9)+1,10)))))*$D$50)))))*$I9,0)),0)</f>
        <v>0</v>
      </c>
      <c r="CI9" s="338"/>
      <c r="CJ9" s="366"/>
      <c r="CK9" s="356" t="n">
        <f aca="false">IFERROR(IF($M9=CJ9,($D$8+$D$9+$D$10)*$I9,IF($N9=LEFT(CJ9,1),($D$8+MAX(0,IF($D$50=1,$D$9*(1-(ABS($Q9-ABS(VALUE(MID(CJ9,FIND("|",CJ9)+1,FIND("-",CJ9)-FIND("|",CJ9)-1))-VALUE(MID(CJ9,FIND("-",CJ9)+1,10)))))*$D$50),$D$9*(1-(IF($N9="X",ABS($O9-VALUE(MID(CJ9,FIND("|",CJ9)+1,FIND("-",CJ9)-FIND("|",CJ9)-1))),ABS($Q9-ABS(VALUE(MID(CJ9,FIND("|",CJ9)+1,FIND("-",CJ9)-FIND("|",CJ9)-1))-VALUE(MID(CJ9,FIND("-",CJ9)+1,10)))))*$D$50)))))*$I9,0)),0)</f>
        <v>0</v>
      </c>
      <c r="CL9" s="338"/>
      <c r="CM9" s="366"/>
      <c r="CN9" s="356" t="n">
        <f aca="false">IFERROR(IF($M9=CM9,($D$8+$D$9+$D$10)*$I9,IF($N9=LEFT(CM9,1),($D$8+MAX(0,IF($D$50=1,$D$9*(1-(ABS($Q9-ABS(VALUE(MID(CM9,FIND("|",CM9)+1,FIND("-",CM9)-FIND("|",CM9)-1))-VALUE(MID(CM9,FIND("-",CM9)+1,10)))))*$D$50),$D$9*(1-(IF($N9="X",ABS($O9-VALUE(MID(CM9,FIND("|",CM9)+1,FIND("-",CM9)-FIND("|",CM9)-1))),ABS($Q9-ABS(VALUE(MID(CM9,FIND("|",CM9)+1,FIND("-",CM9)-FIND("|",CM9)-1))-VALUE(MID(CM9,FIND("-",CM9)+1,10)))))*$D$50)))))*$I9,0)),0)</f>
        <v>0</v>
      </c>
      <c r="CO9" s="338"/>
      <c r="CP9" s="366"/>
      <c r="CQ9" s="356" t="n">
        <f aca="false">IFERROR(IF($M9=CP9,($D$8+$D$9+$D$10)*$I9,IF($N9=LEFT(CP9,1),($D$8+MAX(0,IF($D$50=1,$D$9*(1-(ABS($Q9-ABS(VALUE(MID(CP9,FIND("|",CP9)+1,FIND("-",CP9)-FIND("|",CP9)-1))-VALUE(MID(CP9,FIND("-",CP9)+1,10)))))*$D$50),$D$9*(1-(IF($N9="X",ABS($O9-VALUE(MID(CP9,FIND("|",CP9)+1,FIND("-",CP9)-FIND("|",CP9)-1))),ABS($Q9-ABS(VALUE(MID(CP9,FIND("|",CP9)+1,FIND("-",CP9)-FIND("|",CP9)-1))-VALUE(MID(CP9,FIND("-",CP9)+1,10)))))*$D$50)))))*$I9,0)),0)</f>
        <v>0</v>
      </c>
      <c r="CR9" s="338"/>
      <c r="CS9" s="366"/>
      <c r="CT9" s="356" t="n">
        <f aca="false">IFERROR(IF($M9=CS9,($D$8+$D$9+$D$10)*$I9,IF($N9=LEFT(CS9,1),($D$8+MAX(0,IF($D$50=1,$D$9*(1-(ABS($Q9-ABS(VALUE(MID(CS9,FIND("|",CS9)+1,FIND("-",CS9)-FIND("|",CS9)-1))-VALUE(MID(CS9,FIND("-",CS9)+1,10)))))*$D$50),$D$9*(1-(IF($N9="X",ABS($O9-VALUE(MID(CS9,FIND("|",CS9)+1,FIND("-",CS9)-FIND("|",CS9)-1))),ABS($Q9-ABS(VALUE(MID(CS9,FIND("|",CS9)+1,FIND("-",CS9)-FIND("|",CS9)-1))-VALUE(MID(CS9,FIND("-",CS9)+1,10)))))*$D$50)))))*$I9,0)),0)</f>
        <v>0</v>
      </c>
      <c r="CU9" s="338"/>
      <c r="CV9" s="366"/>
      <c r="CW9" s="356" t="n">
        <f aca="false">IFERROR(IF($M9=CV9,($D$8+$D$9+$D$10)*$I9,IF($N9=LEFT(CV9,1),($D$8+MAX(0,IF($D$50=1,$D$9*(1-(ABS($Q9-ABS(VALUE(MID(CV9,FIND("|",CV9)+1,FIND("-",CV9)-FIND("|",CV9)-1))-VALUE(MID(CV9,FIND("-",CV9)+1,10)))))*$D$50),$D$9*(1-(IF($N9="X",ABS($O9-VALUE(MID(CV9,FIND("|",CV9)+1,FIND("-",CV9)-FIND("|",CV9)-1))),ABS($Q9-ABS(VALUE(MID(CV9,FIND("|",CV9)+1,FIND("-",CV9)-FIND("|",CV9)-1))-VALUE(MID(CV9,FIND("-",CV9)+1,10)))))*$D$50)))))*$I9,0)),0)</f>
        <v>0</v>
      </c>
      <c r="CX9" s="338"/>
      <c r="CY9" s="366"/>
      <c r="CZ9" s="356" t="n">
        <f aca="false">IFERROR(IF($M9=CY9,($D$8+$D$9+$D$10)*$I9,IF($N9=LEFT(CY9,1),($D$8+MAX(0,IF($D$50=1,$D$9*(1-(ABS($Q9-ABS(VALUE(MID(CY9,FIND("|",CY9)+1,FIND("-",CY9)-FIND("|",CY9)-1))-VALUE(MID(CY9,FIND("-",CY9)+1,10)))))*$D$50),$D$9*(1-(IF($N9="X",ABS($O9-VALUE(MID(CY9,FIND("|",CY9)+1,FIND("-",CY9)-FIND("|",CY9)-1))),ABS($Q9-ABS(VALUE(MID(CY9,FIND("|",CY9)+1,FIND("-",CY9)-FIND("|",CY9)-1))-VALUE(MID(CY9,FIND("-",CY9)+1,10)))))*$D$50)))))*$I9,0)),0)</f>
        <v>0</v>
      </c>
      <c r="DA9" s="338"/>
      <c r="DB9" s="366"/>
      <c r="DC9" s="356" t="n">
        <f aca="false">IFERROR(IF($M9=DB9,($D$8+$D$9+$D$10)*$I9,IF($N9=LEFT(DB9,1),($D$8+MAX(0,IF($D$50=1,$D$9*(1-(ABS($Q9-ABS(VALUE(MID(DB9,FIND("|",DB9)+1,FIND("-",DB9)-FIND("|",DB9)-1))-VALUE(MID(DB9,FIND("-",DB9)+1,10)))))*$D$50),$D$9*(1-(IF($N9="X",ABS($O9-VALUE(MID(DB9,FIND("|",DB9)+1,FIND("-",DB9)-FIND("|",DB9)-1))),ABS($Q9-ABS(VALUE(MID(DB9,FIND("|",DB9)+1,FIND("-",DB9)-FIND("|",DB9)-1))-VALUE(MID(DB9,FIND("-",DB9)+1,10)))))*$D$50)))))*$I9,0)),0)</f>
        <v>0</v>
      </c>
      <c r="DD9" s="338"/>
      <c r="DE9" s="366"/>
      <c r="DF9" s="356" t="n">
        <f aca="false">IFERROR(IF($M9=DE9,($D$8+$D$9+$D$10)*$I9,IF($N9=LEFT(DE9,1),($D$8+MAX(0,IF($D$50=1,$D$9*(1-(ABS($Q9-ABS(VALUE(MID(DE9,FIND("|",DE9)+1,FIND("-",DE9)-FIND("|",DE9)-1))-VALUE(MID(DE9,FIND("-",DE9)+1,10)))))*$D$50),$D$9*(1-(IF($N9="X",ABS($O9-VALUE(MID(DE9,FIND("|",DE9)+1,FIND("-",DE9)-FIND("|",DE9)-1))),ABS($Q9-ABS(VALUE(MID(DE9,FIND("|",DE9)+1,FIND("-",DE9)-FIND("|",DE9)-1))-VALUE(MID(DE9,FIND("-",DE9)+1,10)))))*$D$50)))))*$I9,0)),0)</f>
        <v>0</v>
      </c>
      <c r="DG9" s="338"/>
      <c r="DH9" s="366"/>
      <c r="DI9" s="356" t="n">
        <f aca="false">IFERROR(IF($M9=DH9,($D$8+$D$9+$D$10)*$I9,IF($N9=LEFT(DH9,1),($D$8+MAX(0,IF($D$50=1,$D$9*(1-(ABS($Q9-ABS(VALUE(MID(DH9,FIND("|",DH9)+1,FIND("-",DH9)-FIND("|",DH9)-1))-VALUE(MID(DH9,FIND("-",DH9)+1,10)))))*$D$50),$D$9*(1-(IF($N9="X",ABS($O9-VALUE(MID(DH9,FIND("|",DH9)+1,FIND("-",DH9)-FIND("|",DH9)-1))),ABS($Q9-ABS(VALUE(MID(DH9,FIND("|",DH9)+1,FIND("-",DH9)-FIND("|",DH9)-1))-VALUE(MID(DH9,FIND("-",DH9)+1,10)))))*$D$50)))))*$I9,0)),0)</f>
        <v>0</v>
      </c>
      <c r="DJ9" s="338"/>
      <c r="DK9" s="366"/>
      <c r="DL9" s="356" t="n">
        <f aca="false">IFERROR(IF($M9=DK9,($D$8+$D$9+$D$10)*$I9,IF($N9=LEFT(DK9,1),($D$8+MAX(0,IF($D$50=1,$D$9*(1-(ABS($Q9-ABS(VALUE(MID(DK9,FIND("|",DK9)+1,FIND("-",DK9)-FIND("|",DK9)-1))-VALUE(MID(DK9,FIND("-",DK9)+1,10)))))*$D$50),$D$9*(1-(IF($N9="X",ABS($O9-VALUE(MID(DK9,FIND("|",DK9)+1,FIND("-",DK9)-FIND("|",DK9)-1))),ABS($Q9-ABS(VALUE(MID(DK9,FIND("|",DK9)+1,FIND("-",DK9)-FIND("|",DK9)-1))-VALUE(MID(DK9,FIND("-",DK9)+1,10)))))*$D$50)))))*$I9,0)),0)</f>
        <v>0</v>
      </c>
      <c r="DM9" s="338"/>
      <c r="DN9" s="366"/>
      <c r="DO9" s="356" t="n">
        <f aca="false">IFERROR(IF($M9=DN9,($D$8+$D$9+$D$10)*$I9,IF($N9=LEFT(DN9,1),($D$8+MAX(0,IF($D$50=1,$D$9*(1-(ABS($Q9-ABS(VALUE(MID(DN9,FIND("|",DN9)+1,FIND("-",DN9)-FIND("|",DN9)-1))-VALUE(MID(DN9,FIND("-",DN9)+1,10)))))*$D$50),$D$9*(1-(IF($N9="X",ABS($O9-VALUE(MID(DN9,FIND("|",DN9)+1,FIND("-",DN9)-FIND("|",DN9)-1))),ABS($Q9-ABS(VALUE(MID(DN9,FIND("|",DN9)+1,FIND("-",DN9)-FIND("|",DN9)-1))-VALUE(MID(DN9,FIND("-",DN9)+1,10)))))*$D$50)))))*$I9,0)),0)</f>
        <v>0</v>
      </c>
      <c r="DP9" s="338"/>
      <c r="DQ9" s="366"/>
      <c r="DR9" s="356" t="n">
        <f aca="false">IFERROR(IF($M9=DQ9,($D$8+$D$9+$D$10)*$I9,IF($N9=LEFT(DQ9,1),($D$8+MAX(0,IF($D$50=1,$D$9*(1-(ABS($Q9-ABS(VALUE(MID(DQ9,FIND("|",DQ9)+1,FIND("-",DQ9)-FIND("|",DQ9)-1))-VALUE(MID(DQ9,FIND("-",DQ9)+1,10)))))*$D$50),$D$9*(1-(IF($N9="X",ABS($O9-VALUE(MID(DQ9,FIND("|",DQ9)+1,FIND("-",DQ9)-FIND("|",DQ9)-1))),ABS($Q9-ABS(VALUE(MID(DQ9,FIND("|",DQ9)+1,FIND("-",DQ9)-FIND("|",DQ9)-1))-VALUE(MID(DQ9,FIND("-",DQ9)+1,10)))))*$D$50)))))*$I9,0)),0)</f>
        <v>0</v>
      </c>
      <c r="DS9" s="338"/>
      <c r="DT9" s="366"/>
      <c r="DU9" s="356" t="n">
        <f aca="false">IFERROR(IF($M9=DT9,($D$8+$D$9+$D$10)*$I9,IF($N9=LEFT(DT9,1),($D$8+MAX(0,IF($D$50=1,$D$9*(1-(ABS($Q9-ABS(VALUE(MID(DT9,FIND("|",DT9)+1,FIND("-",DT9)-FIND("|",DT9)-1))-VALUE(MID(DT9,FIND("-",DT9)+1,10)))))*$D$50),$D$9*(1-(IF($N9="X",ABS($O9-VALUE(MID(DT9,FIND("|",DT9)+1,FIND("-",DT9)-FIND("|",DT9)-1))),ABS($Q9-ABS(VALUE(MID(DT9,FIND("|",DT9)+1,FIND("-",DT9)-FIND("|",DT9)-1))-VALUE(MID(DT9,FIND("-",DT9)+1,10)))))*$D$50)))))*$I9,0)),0)</f>
        <v>0</v>
      </c>
      <c r="DV9" s="338"/>
      <c r="DW9" s="366"/>
      <c r="DX9" s="356" t="n">
        <f aca="false">IFERROR(IF($M9=DW9,($D$8+$D$9+$D$10)*$I9,IF($N9=LEFT(DW9,1),($D$8+MAX(0,IF($D$50=1,$D$9*(1-(ABS($Q9-ABS(VALUE(MID(DW9,FIND("|",DW9)+1,FIND("-",DW9)-FIND("|",DW9)-1))-VALUE(MID(DW9,FIND("-",DW9)+1,10)))))*$D$50),$D$9*(1-(IF($N9="X",ABS($O9-VALUE(MID(DW9,FIND("|",DW9)+1,FIND("-",DW9)-FIND("|",DW9)-1))),ABS($Q9-ABS(VALUE(MID(DW9,FIND("|",DW9)+1,FIND("-",DW9)-FIND("|",DW9)-1))-VALUE(MID(DW9,FIND("-",DW9)+1,10)))))*$D$50)))))*$I9,0)),0)</f>
        <v>0</v>
      </c>
      <c r="DY9" s="338"/>
      <c r="DZ9" s="366"/>
      <c r="EA9" s="356" t="n">
        <f aca="false">IFERROR(IF($M9=DZ9,($D$8+$D$9+$D$10)*$I9,IF($N9=LEFT(DZ9,1),($D$8+MAX(0,IF($D$50=1,$D$9*(1-(ABS($Q9-ABS(VALUE(MID(DZ9,FIND("|",DZ9)+1,FIND("-",DZ9)-FIND("|",DZ9)-1))-VALUE(MID(DZ9,FIND("-",DZ9)+1,10)))))*$D$50),$D$9*(1-(IF($N9="X",ABS($O9-VALUE(MID(DZ9,FIND("|",DZ9)+1,FIND("-",DZ9)-FIND("|",DZ9)-1))),ABS($Q9-ABS(VALUE(MID(DZ9,FIND("|",DZ9)+1,FIND("-",DZ9)-FIND("|",DZ9)-1))-VALUE(MID(DZ9,FIND("-",DZ9)+1,10)))))*$D$50)))))*$I9,0)),0)</f>
        <v>0</v>
      </c>
      <c r="EB9" s="338"/>
      <c r="EC9" s="366"/>
      <c r="ED9" s="356" t="n">
        <f aca="false">IFERROR(IF($M9=EC9,($D$8+$D$9+$D$10)*$I9,IF($N9=LEFT(EC9,1),($D$8+MAX(0,IF($D$50=1,$D$9*(1-(ABS($Q9-ABS(VALUE(MID(EC9,FIND("|",EC9)+1,FIND("-",EC9)-FIND("|",EC9)-1))-VALUE(MID(EC9,FIND("-",EC9)+1,10)))))*$D$50),$D$9*(1-(IF($N9="X",ABS($O9-VALUE(MID(EC9,FIND("|",EC9)+1,FIND("-",EC9)-FIND("|",EC9)-1))),ABS($Q9-ABS(VALUE(MID(EC9,FIND("|",EC9)+1,FIND("-",EC9)-FIND("|",EC9)-1))-VALUE(MID(EC9,FIND("-",EC9)+1,10)))))*$D$50)))))*$I9,0)),0)</f>
        <v>0</v>
      </c>
      <c r="EE9" s="338"/>
      <c r="EF9" s="366"/>
      <c r="EG9" s="356" t="n">
        <f aca="false">IFERROR(IF($M9=EF9,($D$8+$D$9+$D$10)*$I9,IF($N9=LEFT(EF9,1),($D$8+MAX(0,IF($D$50=1,$D$9*(1-(ABS($Q9-ABS(VALUE(MID(EF9,FIND("|",EF9)+1,FIND("-",EF9)-FIND("|",EF9)-1))-VALUE(MID(EF9,FIND("-",EF9)+1,10)))))*$D$50),$D$9*(1-(IF($N9="X",ABS($O9-VALUE(MID(EF9,FIND("|",EF9)+1,FIND("-",EF9)-FIND("|",EF9)-1))),ABS($Q9-ABS(VALUE(MID(EF9,FIND("|",EF9)+1,FIND("-",EF9)-FIND("|",EF9)-1))-VALUE(MID(EF9,FIND("-",EF9)+1,10)))))*$D$50)))))*$I9,0)),0)</f>
        <v>0</v>
      </c>
      <c r="EH9" s="338"/>
      <c r="EI9" s="338"/>
    </row>
    <row r="10" customFormat="false" ht="15" hidden="false" customHeight="false" outlineLevel="0" collapsed="false">
      <c r="A10" s="327"/>
      <c r="B10" s="327"/>
      <c r="C10" s="360" t="str">
        <f aca="false">Idiomas!D306</f>
        <v>FASE DE GRUPOS - Resultado exacto</v>
      </c>
      <c r="D10" s="361" t="n">
        <v>10</v>
      </c>
      <c r="E10" s="334"/>
      <c r="F10" s="343" t="n">
        <f aca="false">SUM($D$8:$D$10)*I10</f>
        <v>17</v>
      </c>
      <c r="G10" s="343" t="n">
        <f aca="false">VLOOKUP(H10,Equipos!$Q$1:$R$25,2,0)</f>
        <v>4</v>
      </c>
      <c r="H10" s="351" t="n">
        <f aca="false">TRUNC(INDEX(WORLDCUP!$X$4:$X$147,MATCH(ADMIN!K10,WORLDCUP!$DT$4:$DT$147,0))+INDEX(Horarios!$R$3:$R$86,MATCH(Horarios!$C$3,Horarios!$P$3:$P$86,0))/24)</f>
        <v>46187</v>
      </c>
      <c r="I10" s="352" t="n">
        <v>1</v>
      </c>
      <c r="J10" s="353" t="s">
        <v>278</v>
      </c>
      <c r="K10" s="367" t="str">
        <f aca="false">CONCATENATE(WORLDCUP!AA20,"-",WORLDCUP!AF20)</f>
        <v>Brasil-Marruecos</v>
      </c>
      <c r="L10" s="354"/>
      <c r="M10" s="359" t="str">
        <f aca="false">IF(OR(WORLDCUP!AC20="",WORLDCUP!AD20=""),"-",N10&amp;"|"&amp;O10&amp;"-"&amp;P10)</f>
        <v>X|1-1</v>
      </c>
      <c r="N10" s="332" t="str">
        <f aca="false">IF(OR(WORLDCUP!AC20="",WORLDCUP!AD20=""),"",IF(WORLDCUP!AC20&gt;WORLDCUP!AD20,"1",IF(WORLDCUP!AC20&lt;WORLDCUP!AD20,"2","X")))</f>
        <v>X</v>
      </c>
      <c r="O10" s="332" t="n">
        <f aca="false">WORLDCUP!AC20</f>
        <v>1</v>
      </c>
      <c r="P10" s="332" t="n">
        <f aca="false">WORLDCUP!AD20</f>
        <v>1</v>
      </c>
      <c r="Q10" s="332" t="n">
        <f aca="false">ABS(O10-P10)</f>
        <v>0</v>
      </c>
      <c r="R10" s="327"/>
      <c r="S10" s="363" t="s">
        <v>264</v>
      </c>
      <c r="T10" s="356" t="n">
        <f aca="false">IFERROR(IF($M10=S10,($D$8+$D$9+$D$10)*$I10,IF($N10=LEFT(S10,1),($D$8+MAX(0,IF($D$50=1,$D$9*(1-(ABS($Q10-ABS(VALUE(MID(S10,FIND("|",S10)+1,FIND("-",S10)-FIND("|",S10)-1))-VALUE(MID(S10,FIND("-",S10)+1,10)))))*$D$50),$D$9*(1-(IF($N10="X",ABS($O10-VALUE(MID(S10,FIND("|",S10)+1,FIND("-",S10)-FIND("|",S10)-1))),ABS($Q10-ABS(VALUE(MID(S10,FIND("|",S10)+1,FIND("-",S10)-FIND("|",S10)-1))-VALUE(MID(S10,FIND("-",S10)+1,10)))))*$D$50)))))*$I10,0)),0)</f>
        <v>0</v>
      </c>
      <c r="U10" s="338"/>
      <c r="V10" s="363" t="s">
        <v>264</v>
      </c>
      <c r="W10" s="356" t="n">
        <f aca="false">IFERROR(IF($M10=V10,($D$8+$D$9+$D$10)*$I10,IF($N10=LEFT(V10,1),($D$8+MAX(0,IF($D$50=1,$D$9*(1-(ABS($Q10-ABS(VALUE(MID(V10,FIND("|",V10)+1,FIND("-",V10)-FIND("|",V10)-1))-VALUE(MID(V10,FIND("-",V10)+1,10)))))*$D$50),$D$9*(1-(IF($N10="X",ABS($O10-VALUE(MID(V10,FIND("|",V10)+1,FIND("-",V10)-FIND("|",V10)-1))),ABS($Q10-ABS(VALUE(MID(V10,FIND("|",V10)+1,FIND("-",V10)-FIND("|",V10)-1))-VALUE(MID(V10,FIND("-",V10)+1,10)))))*$D$50)))))*$I10,0)),0)</f>
        <v>0</v>
      </c>
      <c r="X10" s="338"/>
      <c r="Y10" s="363" t="s">
        <v>264</v>
      </c>
      <c r="Z10" s="356" t="n">
        <f aca="false">IFERROR(IF($M10=Y10,($D$8+$D$9+$D$10)*$I10,IF($N10=LEFT(Y10,1),($D$8+MAX(0,IF($D$50=1,$D$9*(1-(ABS($Q10-ABS(VALUE(MID(Y10,FIND("|",Y10)+1,FIND("-",Y10)-FIND("|",Y10)-1))-VALUE(MID(Y10,FIND("-",Y10)+1,10)))))*$D$50),$D$9*(1-(IF($N10="X",ABS($O10-VALUE(MID(Y10,FIND("|",Y10)+1,FIND("-",Y10)-FIND("|",Y10)-1))),ABS($Q10-ABS(VALUE(MID(Y10,FIND("|",Y10)+1,FIND("-",Y10)-FIND("|",Y10)-1))-VALUE(MID(Y10,FIND("-",Y10)+1,10)))))*$D$50)))))*$I10,0)),0)</f>
        <v>0</v>
      </c>
      <c r="AA10" s="338"/>
      <c r="AB10" s="363" t="s">
        <v>268</v>
      </c>
      <c r="AC10" s="356" t="n">
        <f aca="false">IFERROR(IF($M10=AB10,($D$8+$D$9+$D$10)*$I10,IF($N10=LEFT(AB10,1),($D$8+MAX(0,IF($D$50=1,$D$9*(1-(ABS($Q10-ABS(VALUE(MID(AB10,FIND("|",AB10)+1,FIND("-",AB10)-FIND("|",AB10)-1))-VALUE(MID(AB10,FIND("-",AB10)+1,10)))))*$D$50),$D$9*(1-(IF($N10="X",ABS($O10-VALUE(MID(AB10,FIND("|",AB10)+1,FIND("-",AB10)-FIND("|",AB10)-1))),ABS($Q10-ABS(VALUE(MID(AB10,FIND("|",AB10)+1,FIND("-",AB10)-FIND("|",AB10)-1))-VALUE(MID(AB10,FIND("-",AB10)+1,10)))))*$D$50)))))*$I10,0)),0)</f>
        <v>0</v>
      </c>
      <c r="AD10" s="338"/>
      <c r="AE10" s="363" t="s">
        <v>269</v>
      </c>
      <c r="AF10" s="356" t="n">
        <f aca="false">IFERROR(IF($M10=AE10,($D$8+$D$9+$D$10)*$I10,IF($N10=LEFT(AE10,1),($D$8+MAX(0,IF($D$50=1,$D$9*(1-(ABS($Q10-ABS(VALUE(MID(AE10,FIND("|",AE10)+1,FIND("-",AE10)-FIND("|",AE10)-1))-VALUE(MID(AE10,FIND("-",AE10)+1,10)))))*$D$50),$D$9*(1-(IF($N10="X",ABS($O10-VALUE(MID(AE10,FIND("|",AE10)+1,FIND("-",AE10)-FIND("|",AE10)-1))),ABS($Q10-ABS(VALUE(MID(AE10,FIND("|",AE10)+1,FIND("-",AE10)-FIND("|",AE10)-1))-VALUE(MID(AE10,FIND("-",AE10)+1,10)))))*$D$50)))))*$I10,0)),0)</f>
        <v>7</v>
      </c>
      <c r="AG10" s="338"/>
      <c r="AH10" s="363" t="s">
        <v>267</v>
      </c>
      <c r="AI10" s="356" t="n">
        <f aca="false">IFERROR(IF($M10=AH10,($D$8+$D$9+$D$10)*$I10,IF($N10=LEFT(AH10,1),($D$8+MAX(0,IF($D$50=1,$D$9*(1-(ABS($Q10-ABS(VALUE(MID(AH10,FIND("|",AH10)+1,FIND("-",AH10)-FIND("|",AH10)-1))-VALUE(MID(AH10,FIND("-",AH10)+1,10)))))*$D$50),$D$9*(1-(IF($N10="X",ABS($O10-VALUE(MID(AH10,FIND("|",AH10)+1,FIND("-",AH10)-FIND("|",AH10)-1))),ABS($Q10-ABS(VALUE(MID(AH10,FIND("|",AH10)+1,FIND("-",AH10)-FIND("|",AH10)-1))-VALUE(MID(AH10,FIND("-",AH10)+1,10)))))*$D$50)))))*$I10,0)),0)</f>
        <v>17</v>
      </c>
      <c r="AJ10" s="338"/>
      <c r="AK10" s="363" t="s">
        <v>264</v>
      </c>
      <c r="AL10" s="356" t="n">
        <f aca="false">IFERROR(IF($M10=AK10,($D$8+$D$9+$D$10)*$I10,IF($N10=LEFT(AK10,1),($D$8+MAX(0,IF($D$50=1,$D$9*(1-(ABS($Q10-ABS(VALUE(MID(AK10,FIND("|",AK10)+1,FIND("-",AK10)-FIND("|",AK10)-1))-VALUE(MID(AK10,FIND("-",AK10)+1,10)))))*$D$50),$D$9*(1-(IF($N10="X",ABS($O10-VALUE(MID(AK10,FIND("|",AK10)+1,FIND("-",AK10)-FIND("|",AK10)-1))),ABS($Q10-ABS(VALUE(MID(AK10,FIND("|",AK10)+1,FIND("-",AK10)-FIND("|",AK10)-1))-VALUE(MID(AK10,FIND("-",AK10)+1,10)))))*$D$50)))))*$I10,0)),0)</f>
        <v>0</v>
      </c>
      <c r="AM10" s="338"/>
      <c r="AN10" s="363" t="s">
        <v>264</v>
      </c>
      <c r="AO10" s="356" t="n">
        <f aca="false">IFERROR(IF($M10=AN10,($D$8+$D$9+$D$10)*$I10,IF($N10=LEFT(AN10,1),($D$8+MAX(0,IF($D$50=1,$D$9*(1-(ABS($Q10-ABS(VALUE(MID(AN10,FIND("|",AN10)+1,FIND("-",AN10)-FIND("|",AN10)-1))-VALUE(MID(AN10,FIND("-",AN10)+1,10)))))*$D$50),$D$9*(1-(IF($N10="X",ABS($O10-VALUE(MID(AN10,FIND("|",AN10)+1,FIND("-",AN10)-FIND("|",AN10)-1))),ABS($Q10-ABS(VALUE(MID(AN10,FIND("|",AN10)+1,FIND("-",AN10)-FIND("|",AN10)-1))-VALUE(MID(AN10,FIND("-",AN10)+1,10)))))*$D$50)))))*$I10,0)),0)</f>
        <v>0</v>
      </c>
      <c r="AP10" s="338"/>
      <c r="AQ10" s="363" t="s">
        <v>271</v>
      </c>
      <c r="AR10" s="356" t="n">
        <f aca="false">IFERROR(IF($M10=AQ10,($D$8+$D$9+$D$10)*$I10,IF($N10=LEFT(AQ10,1),($D$8+MAX(0,IF($D$50=1,$D$9*(1-(ABS($Q10-ABS(VALUE(MID(AQ10,FIND("|",AQ10)+1,FIND("-",AQ10)-FIND("|",AQ10)-1))-VALUE(MID(AQ10,FIND("-",AQ10)+1,10)))))*$D$50),$D$9*(1-(IF($N10="X",ABS($O10-VALUE(MID(AQ10,FIND("|",AQ10)+1,FIND("-",AQ10)-FIND("|",AQ10)-1))),ABS($Q10-ABS(VALUE(MID(AQ10,FIND("|",AQ10)+1,FIND("-",AQ10)-FIND("|",AQ10)-1))-VALUE(MID(AQ10,FIND("-",AQ10)+1,10)))))*$D$50)))))*$I10,0)),0)</f>
        <v>0</v>
      </c>
      <c r="AS10" s="338"/>
      <c r="AT10" s="363" t="s">
        <v>267</v>
      </c>
      <c r="AU10" s="356" t="n">
        <f aca="false">IFERROR(IF($M10=AT10,($D$8+$D$9+$D$10)*$I10,IF($N10=LEFT(AT10,1),($D$8+MAX(0,IF($D$50=1,$D$9*(1-(ABS($Q10-ABS(VALUE(MID(AT10,FIND("|",AT10)+1,FIND("-",AT10)-FIND("|",AT10)-1))-VALUE(MID(AT10,FIND("-",AT10)+1,10)))))*$D$50),$D$9*(1-(IF($N10="X",ABS($O10-VALUE(MID(AT10,FIND("|",AT10)+1,FIND("-",AT10)-FIND("|",AT10)-1))),ABS($Q10-ABS(VALUE(MID(AT10,FIND("|",AT10)+1,FIND("-",AT10)-FIND("|",AT10)-1))-VALUE(MID(AT10,FIND("-",AT10)+1,10)))))*$D$50)))))*$I10,0)),0)</f>
        <v>17</v>
      </c>
      <c r="AV10" s="338"/>
      <c r="AW10" s="363" t="s">
        <v>265</v>
      </c>
      <c r="AX10" s="356" t="n">
        <f aca="false">IFERROR(IF($M10=AW10,($D$8+$D$9+$D$10)*$I10,IF($N10=LEFT(AW10,1),($D$8+MAX(0,IF($D$50=1,$D$9*(1-(ABS($Q10-ABS(VALUE(MID(AW10,FIND("|",AW10)+1,FIND("-",AW10)-FIND("|",AW10)-1))-VALUE(MID(AW10,FIND("-",AW10)+1,10)))))*$D$50),$D$9*(1-(IF($N10="X",ABS($O10-VALUE(MID(AW10,FIND("|",AW10)+1,FIND("-",AW10)-FIND("|",AW10)-1))),ABS($Q10-ABS(VALUE(MID(AW10,FIND("|",AW10)+1,FIND("-",AW10)-FIND("|",AW10)-1))-VALUE(MID(AW10,FIND("-",AW10)+1,10)))))*$D$50)))))*$I10,0)),0)</f>
        <v>0</v>
      </c>
      <c r="AY10" s="338"/>
      <c r="AZ10" s="363" t="s">
        <v>264</v>
      </c>
      <c r="BA10" s="356" t="n">
        <f aca="false">IFERROR(IF($M10=AZ10,($D$8+$D$9+$D$10)*$I10,IF($N10=LEFT(AZ10,1),($D$8+MAX(0,IF($D$50=1,$D$9*(1-(ABS($Q10-ABS(VALUE(MID(AZ10,FIND("|",AZ10)+1,FIND("-",AZ10)-FIND("|",AZ10)-1))-VALUE(MID(AZ10,FIND("-",AZ10)+1,10)))))*$D$50),$D$9*(1-(IF($N10="X",ABS($O10-VALUE(MID(AZ10,FIND("|",AZ10)+1,FIND("-",AZ10)-FIND("|",AZ10)-1))),ABS($Q10-ABS(VALUE(MID(AZ10,FIND("|",AZ10)+1,FIND("-",AZ10)-FIND("|",AZ10)-1))-VALUE(MID(AZ10,FIND("-",AZ10)+1,10)))))*$D$50)))))*$I10,0)),0)</f>
        <v>0</v>
      </c>
      <c r="BB10" s="338"/>
      <c r="BC10" s="363" t="s">
        <v>269</v>
      </c>
      <c r="BD10" s="356" t="n">
        <f aca="false">IFERROR(IF($M10=BC10,($D$8+$D$9+$D$10)*$I10,IF($N10=LEFT(BC10,1),($D$8+MAX(0,IF($D$50=1,$D$9*(1-(ABS($Q10-ABS(VALUE(MID(BC10,FIND("|",BC10)+1,FIND("-",BC10)-FIND("|",BC10)-1))-VALUE(MID(BC10,FIND("-",BC10)+1,10)))))*$D$50),$D$9*(1-(IF($N10="X",ABS($O10-VALUE(MID(BC10,FIND("|",BC10)+1,FIND("-",BC10)-FIND("|",BC10)-1))),ABS($Q10-ABS(VALUE(MID(BC10,FIND("|",BC10)+1,FIND("-",BC10)-FIND("|",BC10)-1))-VALUE(MID(BC10,FIND("-",BC10)+1,10)))))*$D$50)))))*$I10,0)),0)</f>
        <v>7</v>
      </c>
      <c r="BE10" s="338"/>
      <c r="BF10" s="363" t="s">
        <v>279</v>
      </c>
      <c r="BG10" s="356" t="n">
        <f aca="false">IFERROR(IF($M10=BF10,($D$8+$D$9+$D$10)*$I10,IF($N10=LEFT(BF10,1),($D$8+MAX(0,IF($D$50=1,$D$9*(1-(ABS($Q10-ABS(VALUE(MID(BF10,FIND("|",BF10)+1,FIND("-",BF10)-FIND("|",BF10)-1))-VALUE(MID(BF10,FIND("-",BF10)+1,10)))))*$D$50),$D$9*(1-(IF($N10="X",ABS($O10-VALUE(MID(BF10,FIND("|",BF10)+1,FIND("-",BF10)-FIND("|",BF10)-1))),ABS($Q10-ABS(VALUE(MID(BF10,FIND("|",BF10)+1,FIND("-",BF10)-FIND("|",BF10)-1))-VALUE(MID(BF10,FIND("-",BF10)+1,10)))))*$D$50)))))*$I10,0)),0)</f>
        <v>0</v>
      </c>
      <c r="BH10" s="338"/>
      <c r="BI10" s="363" t="s">
        <v>266</v>
      </c>
      <c r="BJ10" s="356" t="n">
        <f aca="false">IFERROR(IF($M10=BI10,($D$8+$D$9+$D$10)*$I10,IF($N10=LEFT(BI10,1),($D$8+MAX(0,IF($D$50=1,$D$9*(1-(ABS($Q10-ABS(VALUE(MID(BI10,FIND("|",BI10)+1,FIND("-",BI10)-FIND("|",BI10)-1))-VALUE(MID(BI10,FIND("-",BI10)+1,10)))))*$D$50),$D$9*(1-(IF($N10="X",ABS($O10-VALUE(MID(BI10,FIND("|",BI10)+1,FIND("-",BI10)-FIND("|",BI10)-1))),ABS($Q10-ABS(VALUE(MID(BI10,FIND("|",BI10)+1,FIND("-",BI10)-FIND("|",BI10)-1))-VALUE(MID(BI10,FIND("-",BI10)+1,10)))))*$D$50)))))*$I10,0)),0)</f>
        <v>0</v>
      </c>
      <c r="BK10" s="338"/>
      <c r="BL10" s="363" t="s">
        <v>266</v>
      </c>
      <c r="BM10" s="356" t="n">
        <f aca="false">IFERROR(IF($M10=BL10,($D$8+$D$9+$D$10)*$I10,IF($N10=LEFT(BL10,1),($D$8+MAX(0,IF($D$50=1,$D$9*(1-(ABS($Q10-ABS(VALUE(MID(BL10,FIND("|",BL10)+1,FIND("-",BL10)-FIND("|",BL10)-1))-VALUE(MID(BL10,FIND("-",BL10)+1,10)))))*$D$50),$D$9*(1-(IF($N10="X",ABS($O10-VALUE(MID(BL10,FIND("|",BL10)+1,FIND("-",BL10)-FIND("|",BL10)-1))),ABS($Q10-ABS(VALUE(MID(BL10,FIND("|",BL10)+1,FIND("-",BL10)-FIND("|",BL10)-1))-VALUE(MID(BL10,FIND("-",BL10)+1,10)))))*$D$50)))))*$I10,0)),0)</f>
        <v>0</v>
      </c>
      <c r="BN10" s="338"/>
      <c r="BO10" s="363" t="s">
        <v>275</v>
      </c>
      <c r="BP10" s="356" t="n">
        <f aca="false">IFERROR(IF($M10=BO10,($D$8+$D$9+$D$10)*$I10,IF($N10=LEFT(BO10,1),($D$8+MAX(0,IF($D$50=1,$D$9*(1-(ABS($Q10-ABS(VALUE(MID(BO10,FIND("|",BO10)+1,FIND("-",BO10)-FIND("|",BO10)-1))-VALUE(MID(BO10,FIND("-",BO10)+1,10)))))*$D$50),$D$9*(1-(IF($N10="X",ABS($O10-VALUE(MID(BO10,FIND("|",BO10)+1,FIND("-",BO10)-FIND("|",BO10)-1))),ABS($Q10-ABS(VALUE(MID(BO10,FIND("|",BO10)+1,FIND("-",BO10)-FIND("|",BO10)-1))-VALUE(MID(BO10,FIND("-",BO10)+1,10)))))*$D$50)))))*$I10,0)),0)</f>
        <v>7</v>
      </c>
      <c r="BQ10" s="338"/>
      <c r="BR10" s="363" t="s">
        <v>265</v>
      </c>
      <c r="BS10" s="356" t="n">
        <f aca="false">IFERROR(IF($M10=BR10,($D$8+$D$9+$D$10)*$I10,IF($N10=LEFT(BR10,1),($D$8+MAX(0,IF($D$50=1,$D$9*(1-(ABS($Q10-ABS(VALUE(MID(BR10,FIND("|",BR10)+1,FIND("-",BR10)-FIND("|",BR10)-1))-VALUE(MID(BR10,FIND("-",BR10)+1,10)))))*$D$50),$D$9*(1-(IF($N10="X",ABS($O10-VALUE(MID(BR10,FIND("|",BR10)+1,FIND("-",BR10)-FIND("|",BR10)-1))),ABS($Q10-ABS(VALUE(MID(BR10,FIND("|",BR10)+1,FIND("-",BR10)-FIND("|",BR10)-1))-VALUE(MID(BR10,FIND("-",BR10)+1,10)))))*$D$50)))))*$I10,0)),0)</f>
        <v>0</v>
      </c>
      <c r="BT10" s="338"/>
      <c r="BU10" s="363"/>
      <c r="BV10" s="356" t="n">
        <f aca="false">IFERROR(IF($M10=BU10,($D$8+$D$9+$D$10)*$I10,IF($N10=LEFT(BU10,1),($D$8+MAX(0,IF($D$50=1,$D$9*(1-(ABS($Q10-ABS(VALUE(MID(BU10,FIND("|",BU10)+1,FIND("-",BU10)-FIND("|",BU10)-1))-VALUE(MID(BU10,FIND("-",BU10)+1,10)))))*$D$50),$D$9*(1-(IF($N10="X",ABS($O10-VALUE(MID(BU10,FIND("|",BU10)+1,FIND("-",BU10)-FIND("|",BU10)-1))),ABS($Q10-ABS(VALUE(MID(BU10,FIND("|",BU10)+1,FIND("-",BU10)-FIND("|",BU10)-1))-VALUE(MID(BU10,FIND("-",BU10)+1,10)))))*$D$50)))))*$I10,0)),0)</f>
        <v>0</v>
      </c>
      <c r="BW10" s="338"/>
      <c r="BX10" s="363"/>
      <c r="BY10" s="356" t="n">
        <f aca="false">IFERROR(IF($M10=BX10,($D$8+$D$9+$D$10)*$I10,IF($N10=LEFT(BX10,1),($D$8+MAX(0,IF($D$50=1,$D$9*(1-(ABS($Q10-ABS(VALUE(MID(BX10,FIND("|",BX10)+1,FIND("-",BX10)-FIND("|",BX10)-1))-VALUE(MID(BX10,FIND("-",BX10)+1,10)))))*$D$50),$D$9*(1-(IF($N10="X",ABS($O10-VALUE(MID(BX10,FIND("|",BX10)+1,FIND("-",BX10)-FIND("|",BX10)-1))),ABS($Q10-ABS(VALUE(MID(BX10,FIND("|",BX10)+1,FIND("-",BX10)-FIND("|",BX10)-1))-VALUE(MID(BX10,FIND("-",BX10)+1,10)))))*$D$50)))))*$I10,0)),0)</f>
        <v>0</v>
      </c>
      <c r="BZ10" s="338"/>
      <c r="CA10" s="363"/>
      <c r="CB10" s="356" t="n">
        <f aca="false">IFERROR(IF($M10=CA10,($D$8+$D$9+$D$10)*$I10,IF($N10=LEFT(CA10,1),($D$8+MAX(0,IF($D$50=1,$D$9*(1-(ABS($Q10-ABS(VALUE(MID(CA10,FIND("|",CA10)+1,FIND("-",CA10)-FIND("|",CA10)-1))-VALUE(MID(CA10,FIND("-",CA10)+1,10)))))*$D$50),$D$9*(1-(IF($N10="X",ABS($O10-VALUE(MID(CA10,FIND("|",CA10)+1,FIND("-",CA10)-FIND("|",CA10)-1))),ABS($Q10-ABS(VALUE(MID(CA10,FIND("|",CA10)+1,FIND("-",CA10)-FIND("|",CA10)-1))-VALUE(MID(CA10,FIND("-",CA10)+1,10)))))*$D$50)))))*$I10,0)),0)</f>
        <v>0</v>
      </c>
      <c r="CC10" s="338"/>
      <c r="CD10" s="363"/>
      <c r="CE10" s="356" t="n">
        <f aca="false">IFERROR(IF($M10=CD10,($D$8+$D$9+$D$10)*$I10,IF($N10=LEFT(CD10,1),($D$8+MAX(0,IF($D$50=1,$D$9*(1-(ABS($Q10-ABS(VALUE(MID(CD10,FIND("|",CD10)+1,FIND("-",CD10)-FIND("|",CD10)-1))-VALUE(MID(CD10,FIND("-",CD10)+1,10)))))*$D$50),$D$9*(1-(IF($N10="X",ABS($O10-VALUE(MID(CD10,FIND("|",CD10)+1,FIND("-",CD10)-FIND("|",CD10)-1))),ABS($Q10-ABS(VALUE(MID(CD10,FIND("|",CD10)+1,FIND("-",CD10)-FIND("|",CD10)-1))-VALUE(MID(CD10,FIND("-",CD10)+1,10)))))*$D$50)))))*$I10,0)),0)</f>
        <v>0</v>
      </c>
      <c r="CF10" s="338"/>
      <c r="CG10" s="363"/>
      <c r="CH10" s="356" t="n">
        <f aca="false">IFERROR(IF($M10=CG10,($D$8+$D$9+$D$10)*$I10,IF($N10=LEFT(CG10,1),($D$8+MAX(0,IF($D$50=1,$D$9*(1-(ABS($Q10-ABS(VALUE(MID(CG10,FIND("|",CG10)+1,FIND("-",CG10)-FIND("|",CG10)-1))-VALUE(MID(CG10,FIND("-",CG10)+1,10)))))*$D$50),$D$9*(1-(IF($N10="X",ABS($O10-VALUE(MID(CG10,FIND("|",CG10)+1,FIND("-",CG10)-FIND("|",CG10)-1))),ABS($Q10-ABS(VALUE(MID(CG10,FIND("|",CG10)+1,FIND("-",CG10)-FIND("|",CG10)-1))-VALUE(MID(CG10,FIND("-",CG10)+1,10)))))*$D$50)))))*$I10,0)),0)</f>
        <v>0</v>
      </c>
      <c r="CI10" s="338"/>
      <c r="CJ10" s="363"/>
      <c r="CK10" s="356" t="n">
        <f aca="false">IFERROR(IF($M10=CJ10,($D$8+$D$9+$D$10)*$I10,IF($N10=LEFT(CJ10,1),($D$8+MAX(0,IF($D$50=1,$D$9*(1-(ABS($Q10-ABS(VALUE(MID(CJ10,FIND("|",CJ10)+1,FIND("-",CJ10)-FIND("|",CJ10)-1))-VALUE(MID(CJ10,FIND("-",CJ10)+1,10)))))*$D$50),$D$9*(1-(IF($N10="X",ABS($O10-VALUE(MID(CJ10,FIND("|",CJ10)+1,FIND("-",CJ10)-FIND("|",CJ10)-1))),ABS($Q10-ABS(VALUE(MID(CJ10,FIND("|",CJ10)+1,FIND("-",CJ10)-FIND("|",CJ10)-1))-VALUE(MID(CJ10,FIND("-",CJ10)+1,10)))))*$D$50)))))*$I10,0)),0)</f>
        <v>0</v>
      </c>
      <c r="CL10" s="338"/>
      <c r="CM10" s="363"/>
      <c r="CN10" s="356" t="n">
        <f aca="false">IFERROR(IF($M10=CM10,($D$8+$D$9+$D$10)*$I10,IF($N10=LEFT(CM10,1),($D$8+MAX(0,IF($D$50=1,$D$9*(1-(ABS($Q10-ABS(VALUE(MID(CM10,FIND("|",CM10)+1,FIND("-",CM10)-FIND("|",CM10)-1))-VALUE(MID(CM10,FIND("-",CM10)+1,10)))))*$D$50),$D$9*(1-(IF($N10="X",ABS($O10-VALUE(MID(CM10,FIND("|",CM10)+1,FIND("-",CM10)-FIND("|",CM10)-1))),ABS($Q10-ABS(VALUE(MID(CM10,FIND("|",CM10)+1,FIND("-",CM10)-FIND("|",CM10)-1))-VALUE(MID(CM10,FIND("-",CM10)+1,10)))))*$D$50)))))*$I10,0)),0)</f>
        <v>0</v>
      </c>
      <c r="CO10" s="338"/>
      <c r="CP10" s="363"/>
      <c r="CQ10" s="356" t="n">
        <f aca="false">IFERROR(IF($M10=CP10,($D$8+$D$9+$D$10)*$I10,IF($N10=LEFT(CP10,1),($D$8+MAX(0,IF($D$50=1,$D$9*(1-(ABS($Q10-ABS(VALUE(MID(CP10,FIND("|",CP10)+1,FIND("-",CP10)-FIND("|",CP10)-1))-VALUE(MID(CP10,FIND("-",CP10)+1,10)))))*$D$50),$D$9*(1-(IF($N10="X",ABS($O10-VALUE(MID(CP10,FIND("|",CP10)+1,FIND("-",CP10)-FIND("|",CP10)-1))),ABS($Q10-ABS(VALUE(MID(CP10,FIND("|",CP10)+1,FIND("-",CP10)-FIND("|",CP10)-1))-VALUE(MID(CP10,FIND("-",CP10)+1,10)))))*$D$50)))))*$I10,0)),0)</f>
        <v>0</v>
      </c>
      <c r="CR10" s="338"/>
      <c r="CS10" s="363"/>
      <c r="CT10" s="356" t="n">
        <f aca="false">IFERROR(IF($M10=CS10,($D$8+$D$9+$D$10)*$I10,IF($N10=LEFT(CS10,1),($D$8+MAX(0,IF($D$50=1,$D$9*(1-(ABS($Q10-ABS(VALUE(MID(CS10,FIND("|",CS10)+1,FIND("-",CS10)-FIND("|",CS10)-1))-VALUE(MID(CS10,FIND("-",CS10)+1,10)))))*$D$50),$D$9*(1-(IF($N10="X",ABS($O10-VALUE(MID(CS10,FIND("|",CS10)+1,FIND("-",CS10)-FIND("|",CS10)-1))),ABS($Q10-ABS(VALUE(MID(CS10,FIND("|",CS10)+1,FIND("-",CS10)-FIND("|",CS10)-1))-VALUE(MID(CS10,FIND("-",CS10)+1,10)))))*$D$50)))))*$I10,0)),0)</f>
        <v>0</v>
      </c>
      <c r="CU10" s="338"/>
      <c r="CV10" s="363"/>
      <c r="CW10" s="356" t="n">
        <f aca="false">IFERROR(IF($M10=CV10,($D$8+$D$9+$D$10)*$I10,IF($N10=LEFT(CV10,1),($D$8+MAX(0,IF($D$50=1,$D$9*(1-(ABS($Q10-ABS(VALUE(MID(CV10,FIND("|",CV10)+1,FIND("-",CV10)-FIND("|",CV10)-1))-VALUE(MID(CV10,FIND("-",CV10)+1,10)))))*$D$50),$D$9*(1-(IF($N10="X",ABS($O10-VALUE(MID(CV10,FIND("|",CV10)+1,FIND("-",CV10)-FIND("|",CV10)-1))),ABS($Q10-ABS(VALUE(MID(CV10,FIND("|",CV10)+1,FIND("-",CV10)-FIND("|",CV10)-1))-VALUE(MID(CV10,FIND("-",CV10)+1,10)))))*$D$50)))))*$I10,0)),0)</f>
        <v>0</v>
      </c>
      <c r="CX10" s="338"/>
      <c r="CY10" s="363"/>
      <c r="CZ10" s="356" t="n">
        <f aca="false">IFERROR(IF($M10=CY10,($D$8+$D$9+$D$10)*$I10,IF($N10=LEFT(CY10,1),($D$8+MAX(0,IF($D$50=1,$D$9*(1-(ABS($Q10-ABS(VALUE(MID(CY10,FIND("|",CY10)+1,FIND("-",CY10)-FIND("|",CY10)-1))-VALUE(MID(CY10,FIND("-",CY10)+1,10)))))*$D$50),$D$9*(1-(IF($N10="X",ABS($O10-VALUE(MID(CY10,FIND("|",CY10)+1,FIND("-",CY10)-FIND("|",CY10)-1))),ABS($Q10-ABS(VALUE(MID(CY10,FIND("|",CY10)+1,FIND("-",CY10)-FIND("|",CY10)-1))-VALUE(MID(CY10,FIND("-",CY10)+1,10)))))*$D$50)))))*$I10,0)),0)</f>
        <v>0</v>
      </c>
      <c r="DA10" s="338"/>
      <c r="DB10" s="363"/>
      <c r="DC10" s="356" t="n">
        <f aca="false">IFERROR(IF($M10=DB10,($D$8+$D$9+$D$10)*$I10,IF($N10=LEFT(DB10,1),($D$8+MAX(0,IF($D$50=1,$D$9*(1-(ABS($Q10-ABS(VALUE(MID(DB10,FIND("|",DB10)+1,FIND("-",DB10)-FIND("|",DB10)-1))-VALUE(MID(DB10,FIND("-",DB10)+1,10)))))*$D$50),$D$9*(1-(IF($N10="X",ABS($O10-VALUE(MID(DB10,FIND("|",DB10)+1,FIND("-",DB10)-FIND("|",DB10)-1))),ABS($Q10-ABS(VALUE(MID(DB10,FIND("|",DB10)+1,FIND("-",DB10)-FIND("|",DB10)-1))-VALUE(MID(DB10,FIND("-",DB10)+1,10)))))*$D$50)))))*$I10,0)),0)</f>
        <v>0</v>
      </c>
      <c r="DD10" s="338"/>
      <c r="DE10" s="363"/>
      <c r="DF10" s="356" t="n">
        <f aca="false">IFERROR(IF($M10=DE10,($D$8+$D$9+$D$10)*$I10,IF($N10=LEFT(DE10,1),($D$8+MAX(0,IF($D$50=1,$D$9*(1-(ABS($Q10-ABS(VALUE(MID(DE10,FIND("|",DE10)+1,FIND("-",DE10)-FIND("|",DE10)-1))-VALUE(MID(DE10,FIND("-",DE10)+1,10)))))*$D$50),$D$9*(1-(IF($N10="X",ABS($O10-VALUE(MID(DE10,FIND("|",DE10)+1,FIND("-",DE10)-FIND("|",DE10)-1))),ABS($Q10-ABS(VALUE(MID(DE10,FIND("|",DE10)+1,FIND("-",DE10)-FIND("|",DE10)-1))-VALUE(MID(DE10,FIND("-",DE10)+1,10)))))*$D$50)))))*$I10,0)),0)</f>
        <v>0</v>
      </c>
      <c r="DG10" s="338"/>
      <c r="DH10" s="363"/>
      <c r="DI10" s="356" t="n">
        <f aca="false">IFERROR(IF($M10=DH10,($D$8+$D$9+$D$10)*$I10,IF($N10=LEFT(DH10,1),($D$8+MAX(0,IF($D$50=1,$D$9*(1-(ABS($Q10-ABS(VALUE(MID(DH10,FIND("|",DH10)+1,FIND("-",DH10)-FIND("|",DH10)-1))-VALUE(MID(DH10,FIND("-",DH10)+1,10)))))*$D$50),$D$9*(1-(IF($N10="X",ABS($O10-VALUE(MID(DH10,FIND("|",DH10)+1,FIND("-",DH10)-FIND("|",DH10)-1))),ABS($Q10-ABS(VALUE(MID(DH10,FIND("|",DH10)+1,FIND("-",DH10)-FIND("|",DH10)-1))-VALUE(MID(DH10,FIND("-",DH10)+1,10)))))*$D$50)))))*$I10,0)),0)</f>
        <v>0</v>
      </c>
      <c r="DJ10" s="338"/>
      <c r="DK10" s="363"/>
      <c r="DL10" s="356" t="n">
        <f aca="false">IFERROR(IF($M10=DK10,($D$8+$D$9+$D$10)*$I10,IF($N10=LEFT(DK10,1),($D$8+MAX(0,IF($D$50=1,$D$9*(1-(ABS($Q10-ABS(VALUE(MID(DK10,FIND("|",DK10)+1,FIND("-",DK10)-FIND("|",DK10)-1))-VALUE(MID(DK10,FIND("-",DK10)+1,10)))))*$D$50),$D$9*(1-(IF($N10="X",ABS($O10-VALUE(MID(DK10,FIND("|",DK10)+1,FIND("-",DK10)-FIND("|",DK10)-1))),ABS($Q10-ABS(VALUE(MID(DK10,FIND("|",DK10)+1,FIND("-",DK10)-FIND("|",DK10)-1))-VALUE(MID(DK10,FIND("-",DK10)+1,10)))))*$D$50)))))*$I10,0)),0)</f>
        <v>0</v>
      </c>
      <c r="DM10" s="338"/>
      <c r="DN10" s="363"/>
      <c r="DO10" s="356" t="n">
        <f aca="false">IFERROR(IF($M10=DN10,($D$8+$D$9+$D$10)*$I10,IF($N10=LEFT(DN10,1),($D$8+MAX(0,IF($D$50=1,$D$9*(1-(ABS($Q10-ABS(VALUE(MID(DN10,FIND("|",DN10)+1,FIND("-",DN10)-FIND("|",DN10)-1))-VALUE(MID(DN10,FIND("-",DN10)+1,10)))))*$D$50),$D$9*(1-(IF($N10="X",ABS($O10-VALUE(MID(DN10,FIND("|",DN10)+1,FIND("-",DN10)-FIND("|",DN10)-1))),ABS($Q10-ABS(VALUE(MID(DN10,FIND("|",DN10)+1,FIND("-",DN10)-FIND("|",DN10)-1))-VALUE(MID(DN10,FIND("-",DN10)+1,10)))))*$D$50)))))*$I10,0)),0)</f>
        <v>0</v>
      </c>
      <c r="DP10" s="338"/>
      <c r="DQ10" s="363"/>
      <c r="DR10" s="356" t="n">
        <f aca="false">IFERROR(IF($M10=DQ10,($D$8+$D$9+$D$10)*$I10,IF($N10=LEFT(DQ10,1),($D$8+MAX(0,IF($D$50=1,$D$9*(1-(ABS($Q10-ABS(VALUE(MID(DQ10,FIND("|",DQ10)+1,FIND("-",DQ10)-FIND("|",DQ10)-1))-VALUE(MID(DQ10,FIND("-",DQ10)+1,10)))))*$D$50),$D$9*(1-(IF($N10="X",ABS($O10-VALUE(MID(DQ10,FIND("|",DQ10)+1,FIND("-",DQ10)-FIND("|",DQ10)-1))),ABS($Q10-ABS(VALUE(MID(DQ10,FIND("|",DQ10)+1,FIND("-",DQ10)-FIND("|",DQ10)-1))-VALUE(MID(DQ10,FIND("-",DQ10)+1,10)))))*$D$50)))))*$I10,0)),0)</f>
        <v>0</v>
      </c>
      <c r="DS10" s="338"/>
      <c r="DT10" s="363"/>
      <c r="DU10" s="356" t="n">
        <f aca="false">IFERROR(IF($M10=DT10,($D$8+$D$9+$D$10)*$I10,IF($N10=LEFT(DT10,1),($D$8+MAX(0,IF($D$50=1,$D$9*(1-(ABS($Q10-ABS(VALUE(MID(DT10,FIND("|",DT10)+1,FIND("-",DT10)-FIND("|",DT10)-1))-VALUE(MID(DT10,FIND("-",DT10)+1,10)))))*$D$50),$D$9*(1-(IF($N10="X",ABS($O10-VALUE(MID(DT10,FIND("|",DT10)+1,FIND("-",DT10)-FIND("|",DT10)-1))),ABS($Q10-ABS(VALUE(MID(DT10,FIND("|",DT10)+1,FIND("-",DT10)-FIND("|",DT10)-1))-VALUE(MID(DT10,FIND("-",DT10)+1,10)))))*$D$50)))))*$I10,0)),0)</f>
        <v>0</v>
      </c>
      <c r="DV10" s="338"/>
      <c r="DW10" s="363"/>
      <c r="DX10" s="356" t="n">
        <f aca="false">IFERROR(IF($M10=DW10,($D$8+$D$9+$D$10)*$I10,IF($N10=LEFT(DW10,1),($D$8+MAX(0,IF($D$50=1,$D$9*(1-(ABS($Q10-ABS(VALUE(MID(DW10,FIND("|",DW10)+1,FIND("-",DW10)-FIND("|",DW10)-1))-VALUE(MID(DW10,FIND("-",DW10)+1,10)))))*$D$50),$D$9*(1-(IF($N10="X",ABS($O10-VALUE(MID(DW10,FIND("|",DW10)+1,FIND("-",DW10)-FIND("|",DW10)-1))),ABS($Q10-ABS(VALUE(MID(DW10,FIND("|",DW10)+1,FIND("-",DW10)-FIND("|",DW10)-1))-VALUE(MID(DW10,FIND("-",DW10)+1,10)))))*$D$50)))))*$I10,0)),0)</f>
        <v>0</v>
      </c>
      <c r="DY10" s="338"/>
      <c r="DZ10" s="363"/>
      <c r="EA10" s="356" t="n">
        <f aca="false">IFERROR(IF($M10=DZ10,($D$8+$D$9+$D$10)*$I10,IF($N10=LEFT(DZ10,1),($D$8+MAX(0,IF($D$50=1,$D$9*(1-(ABS($Q10-ABS(VALUE(MID(DZ10,FIND("|",DZ10)+1,FIND("-",DZ10)-FIND("|",DZ10)-1))-VALUE(MID(DZ10,FIND("-",DZ10)+1,10)))))*$D$50),$D$9*(1-(IF($N10="X",ABS($O10-VALUE(MID(DZ10,FIND("|",DZ10)+1,FIND("-",DZ10)-FIND("|",DZ10)-1))),ABS($Q10-ABS(VALUE(MID(DZ10,FIND("|",DZ10)+1,FIND("-",DZ10)-FIND("|",DZ10)-1))-VALUE(MID(DZ10,FIND("-",DZ10)+1,10)))))*$D$50)))))*$I10,0)),0)</f>
        <v>0</v>
      </c>
      <c r="EB10" s="338"/>
      <c r="EC10" s="363"/>
      <c r="ED10" s="356" t="n">
        <f aca="false">IFERROR(IF($M10=EC10,($D$8+$D$9+$D$10)*$I10,IF($N10=LEFT(EC10,1),($D$8+MAX(0,IF($D$50=1,$D$9*(1-(ABS($Q10-ABS(VALUE(MID(EC10,FIND("|",EC10)+1,FIND("-",EC10)-FIND("|",EC10)-1))-VALUE(MID(EC10,FIND("-",EC10)+1,10)))))*$D$50),$D$9*(1-(IF($N10="X",ABS($O10-VALUE(MID(EC10,FIND("|",EC10)+1,FIND("-",EC10)-FIND("|",EC10)-1))),ABS($Q10-ABS(VALUE(MID(EC10,FIND("|",EC10)+1,FIND("-",EC10)-FIND("|",EC10)-1))-VALUE(MID(EC10,FIND("-",EC10)+1,10)))))*$D$50)))))*$I10,0)),0)</f>
        <v>0</v>
      </c>
      <c r="EE10" s="338"/>
      <c r="EF10" s="363"/>
      <c r="EG10" s="356" t="n">
        <f aca="false">IFERROR(IF($M10=EF10,($D$8+$D$9+$D$10)*$I10,IF($N10=LEFT(EF10,1),($D$8+MAX(0,IF($D$50=1,$D$9*(1-(ABS($Q10-ABS(VALUE(MID(EF10,FIND("|",EF10)+1,FIND("-",EF10)-FIND("|",EF10)-1))-VALUE(MID(EF10,FIND("-",EF10)+1,10)))))*$D$50),$D$9*(1-(IF($N10="X",ABS($O10-VALUE(MID(EF10,FIND("|",EF10)+1,FIND("-",EF10)-FIND("|",EF10)-1))),ABS($Q10-ABS(VALUE(MID(EF10,FIND("|",EF10)+1,FIND("-",EF10)-FIND("|",EF10)-1))-VALUE(MID(EF10,FIND("-",EF10)+1,10)))))*$D$50)))))*$I10,0)),0)</f>
        <v>0</v>
      </c>
      <c r="EH10" s="338"/>
      <c r="EI10" s="338"/>
    </row>
    <row r="11" customFormat="false" ht="15" hidden="false" customHeight="false" outlineLevel="0" collapsed="false">
      <c r="A11" s="327"/>
      <c r="B11" s="327"/>
      <c r="C11" s="364" t="str">
        <f aca="false">Idiomas!D307</f>
        <v>FASE DE GRUPOS - Posición exacta (1º)</v>
      </c>
      <c r="D11" s="365" t="n">
        <v>5</v>
      </c>
      <c r="E11" s="334"/>
      <c r="F11" s="343" t="n">
        <f aca="false">SUM($D$8:$D$10)*I11</f>
        <v>17</v>
      </c>
      <c r="G11" s="343" t="n">
        <f aca="false">VLOOKUP(H11,Equipos!$Q$1:$R$25,2,0)</f>
        <v>4</v>
      </c>
      <c r="H11" s="351" t="n">
        <f aca="false">TRUNC(INDEX(WORLDCUP!$X$4:$X$147,MATCH(ADMIN!K11,WORLDCUP!$DT$4:$DT$147,0))+INDEX(Horarios!$R$3:$R$86,MATCH(Horarios!$C$3,Horarios!$P$3:$P$86,0))/24)</f>
        <v>46187</v>
      </c>
      <c r="I11" s="352" t="n">
        <v>1</v>
      </c>
      <c r="J11" s="353" t="s">
        <v>278</v>
      </c>
      <c r="K11" s="354" t="str">
        <f aca="false">CONCATENATE(WORLDCUP!AA21,"-",WORLDCUP!AF21)</f>
        <v>Haití-Escocia</v>
      </c>
      <c r="L11" s="354"/>
      <c r="M11" s="359" t="str">
        <f aca="false">IF(OR(WORLDCUP!AC21="",WORLDCUP!AD21=""),"-",N11&amp;"|"&amp;O11&amp;"-"&amp;P11)</f>
        <v>2|0-1</v>
      </c>
      <c r="N11" s="332" t="str">
        <f aca="false">IF(OR(WORLDCUP!AC21="",WORLDCUP!AD21=""),"",IF(WORLDCUP!AC21&gt;WORLDCUP!AD21,"1",IF(WORLDCUP!AC21&lt;WORLDCUP!AD21,"2","X")))</f>
        <v>2</v>
      </c>
      <c r="O11" s="332" t="n">
        <f aca="false">WORLDCUP!AC21</f>
        <v>0</v>
      </c>
      <c r="P11" s="332" t="n">
        <f aca="false">WORLDCUP!AD21</f>
        <v>1</v>
      </c>
      <c r="Q11" s="332" t="n">
        <f aca="false">ABS(O11-P11)</f>
        <v>1</v>
      </c>
      <c r="R11" s="327"/>
      <c r="S11" s="363" t="s">
        <v>271</v>
      </c>
      <c r="T11" s="356" t="n">
        <f aca="false">IFERROR(IF($M11=S11,($D$8+$D$9+$D$10)*$I11,IF($N11=LEFT(S11,1),($D$8+MAX(0,IF($D$50=1,$D$9*(1-(ABS($Q11-ABS(VALUE(MID(S11,FIND("|",S11)+1,FIND("-",S11)-FIND("|",S11)-1))-VALUE(MID(S11,FIND("-",S11)+1,10)))))*$D$50),$D$9*(1-(IF($N11="X",ABS($O11-VALUE(MID(S11,FIND("|",S11)+1,FIND("-",S11)-FIND("|",S11)-1))),ABS($Q11-ABS(VALUE(MID(S11,FIND("|",S11)+1,FIND("-",S11)-FIND("|",S11)-1))-VALUE(MID(S11,FIND("-",S11)+1,10)))))*$D$50)))))*$I11,0)),0)</f>
        <v>17</v>
      </c>
      <c r="U11" s="338"/>
      <c r="V11" s="363" t="s">
        <v>274</v>
      </c>
      <c r="W11" s="356" t="n">
        <f aca="false">IFERROR(IF($M11=V11,($D$8+$D$9+$D$10)*$I11,IF($N11=LEFT(V11,1),($D$8+MAX(0,IF($D$50=1,$D$9*(1-(ABS($Q11-ABS(VALUE(MID(V11,FIND("|",V11)+1,FIND("-",V11)-FIND("|",V11)-1))-VALUE(MID(V11,FIND("-",V11)+1,10)))))*$D$50),$D$9*(1-(IF($N11="X",ABS($O11-VALUE(MID(V11,FIND("|",V11)+1,FIND("-",V11)-FIND("|",V11)-1))),ABS($Q11-ABS(VALUE(MID(V11,FIND("|",V11)+1,FIND("-",V11)-FIND("|",V11)-1))-VALUE(MID(V11,FIND("-",V11)+1,10)))))*$D$50)))))*$I11,0)),0)</f>
        <v>5</v>
      </c>
      <c r="X11" s="338"/>
      <c r="Y11" s="363" t="s">
        <v>274</v>
      </c>
      <c r="Z11" s="356" t="n">
        <f aca="false">IFERROR(IF($M11=Y11,($D$8+$D$9+$D$10)*$I11,IF($N11=LEFT(Y11,1),($D$8+MAX(0,IF($D$50=1,$D$9*(1-(ABS($Q11-ABS(VALUE(MID(Y11,FIND("|",Y11)+1,FIND("-",Y11)-FIND("|",Y11)-1))-VALUE(MID(Y11,FIND("-",Y11)+1,10)))))*$D$50),$D$9*(1-(IF($N11="X",ABS($O11-VALUE(MID(Y11,FIND("|",Y11)+1,FIND("-",Y11)-FIND("|",Y11)-1))),ABS($Q11-ABS(VALUE(MID(Y11,FIND("|",Y11)+1,FIND("-",Y11)-FIND("|",Y11)-1))-VALUE(MID(Y11,FIND("-",Y11)+1,10)))))*$D$50)))))*$I11,0)),0)</f>
        <v>5</v>
      </c>
      <c r="AA11" s="338"/>
      <c r="AB11" s="363" t="s">
        <v>271</v>
      </c>
      <c r="AC11" s="356" t="n">
        <f aca="false">IFERROR(IF($M11=AB11,($D$8+$D$9+$D$10)*$I11,IF($N11=LEFT(AB11,1),($D$8+MAX(0,IF($D$50=1,$D$9*(1-(ABS($Q11-ABS(VALUE(MID(AB11,FIND("|",AB11)+1,FIND("-",AB11)-FIND("|",AB11)-1))-VALUE(MID(AB11,FIND("-",AB11)+1,10)))))*$D$50),$D$9*(1-(IF($N11="X",ABS($O11-VALUE(MID(AB11,FIND("|",AB11)+1,FIND("-",AB11)-FIND("|",AB11)-1))),ABS($Q11-ABS(VALUE(MID(AB11,FIND("|",AB11)+1,FIND("-",AB11)-FIND("|",AB11)-1))-VALUE(MID(AB11,FIND("-",AB11)+1,10)))))*$D$50)))))*$I11,0)),0)</f>
        <v>17</v>
      </c>
      <c r="AD11" s="338"/>
      <c r="AE11" s="363" t="s">
        <v>274</v>
      </c>
      <c r="AF11" s="356" t="n">
        <f aca="false">IFERROR(IF($M11=AE11,($D$8+$D$9+$D$10)*$I11,IF($N11=LEFT(AE11,1),($D$8+MAX(0,IF($D$50=1,$D$9*(1-(ABS($Q11-ABS(VALUE(MID(AE11,FIND("|",AE11)+1,FIND("-",AE11)-FIND("|",AE11)-1))-VALUE(MID(AE11,FIND("-",AE11)+1,10)))))*$D$50),$D$9*(1-(IF($N11="X",ABS($O11-VALUE(MID(AE11,FIND("|",AE11)+1,FIND("-",AE11)-FIND("|",AE11)-1))),ABS($Q11-ABS(VALUE(MID(AE11,FIND("|",AE11)+1,FIND("-",AE11)-FIND("|",AE11)-1))-VALUE(MID(AE11,FIND("-",AE11)+1,10)))))*$D$50)))))*$I11,0)),0)</f>
        <v>5</v>
      </c>
      <c r="AG11" s="338"/>
      <c r="AH11" s="363" t="s">
        <v>274</v>
      </c>
      <c r="AI11" s="356" t="n">
        <f aca="false">IFERROR(IF($M11=AH11,($D$8+$D$9+$D$10)*$I11,IF($N11=LEFT(AH11,1),($D$8+MAX(0,IF($D$50=1,$D$9*(1-(ABS($Q11-ABS(VALUE(MID(AH11,FIND("|",AH11)+1,FIND("-",AH11)-FIND("|",AH11)-1))-VALUE(MID(AH11,FIND("-",AH11)+1,10)))))*$D$50),$D$9*(1-(IF($N11="X",ABS($O11-VALUE(MID(AH11,FIND("|",AH11)+1,FIND("-",AH11)-FIND("|",AH11)-1))),ABS($Q11-ABS(VALUE(MID(AH11,FIND("|",AH11)+1,FIND("-",AH11)-FIND("|",AH11)-1))-VALUE(MID(AH11,FIND("-",AH11)+1,10)))))*$D$50)))))*$I11,0)),0)</f>
        <v>5</v>
      </c>
      <c r="AJ11" s="338"/>
      <c r="AK11" s="363" t="s">
        <v>274</v>
      </c>
      <c r="AL11" s="356" t="n">
        <f aca="false">IFERROR(IF($M11=AK11,($D$8+$D$9+$D$10)*$I11,IF($N11=LEFT(AK11,1),($D$8+MAX(0,IF($D$50=1,$D$9*(1-(ABS($Q11-ABS(VALUE(MID(AK11,FIND("|",AK11)+1,FIND("-",AK11)-FIND("|",AK11)-1))-VALUE(MID(AK11,FIND("-",AK11)+1,10)))))*$D$50),$D$9*(1-(IF($N11="X",ABS($O11-VALUE(MID(AK11,FIND("|",AK11)+1,FIND("-",AK11)-FIND("|",AK11)-1))),ABS($Q11-ABS(VALUE(MID(AK11,FIND("|",AK11)+1,FIND("-",AK11)-FIND("|",AK11)-1))-VALUE(MID(AK11,FIND("-",AK11)+1,10)))))*$D$50)))))*$I11,0)),0)</f>
        <v>5</v>
      </c>
      <c r="AM11" s="338"/>
      <c r="AN11" s="363" t="s">
        <v>274</v>
      </c>
      <c r="AO11" s="356" t="n">
        <f aca="false">IFERROR(IF($M11=AN11,($D$8+$D$9+$D$10)*$I11,IF($N11=LEFT(AN11,1),($D$8+MAX(0,IF($D$50=1,$D$9*(1-(ABS($Q11-ABS(VALUE(MID(AN11,FIND("|",AN11)+1,FIND("-",AN11)-FIND("|",AN11)-1))-VALUE(MID(AN11,FIND("-",AN11)+1,10)))))*$D$50),$D$9*(1-(IF($N11="X",ABS($O11-VALUE(MID(AN11,FIND("|",AN11)+1,FIND("-",AN11)-FIND("|",AN11)-1))),ABS($Q11-ABS(VALUE(MID(AN11,FIND("|",AN11)+1,FIND("-",AN11)-FIND("|",AN11)-1))-VALUE(MID(AN11,FIND("-",AN11)+1,10)))))*$D$50)))))*$I11,0)),0)</f>
        <v>5</v>
      </c>
      <c r="AP11" s="338"/>
      <c r="AQ11" s="363" t="s">
        <v>273</v>
      </c>
      <c r="AR11" s="356" t="n">
        <f aca="false">IFERROR(IF($M11=AQ11,($D$8+$D$9+$D$10)*$I11,IF($N11=LEFT(AQ11,1),($D$8+MAX(0,IF($D$50=1,$D$9*(1-(ABS($Q11-ABS(VALUE(MID(AQ11,FIND("|",AQ11)+1,FIND("-",AQ11)-FIND("|",AQ11)-1))-VALUE(MID(AQ11,FIND("-",AQ11)+1,10)))))*$D$50),$D$9*(1-(IF($N11="X",ABS($O11-VALUE(MID(AQ11,FIND("|",AQ11)+1,FIND("-",AQ11)-FIND("|",AQ11)-1))),ABS($Q11-ABS(VALUE(MID(AQ11,FIND("|",AQ11)+1,FIND("-",AQ11)-FIND("|",AQ11)-1))-VALUE(MID(AQ11,FIND("-",AQ11)+1,10)))))*$D$50)))))*$I11,0)),0)</f>
        <v>5</v>
      </c>
      <c r="AS11" s="338"/>
      <c r="AT11" s="363" t="s">
        <v>271</v>
      </c>
      <c r="AU11" s="356" t="n">
        <f aca="false">IFERROR(IF($M11=AT11,($D$8+$D$9+$D$10)*$I11,IF($N11=LEFT(AT11,1),($D$8+MAX(0,IF($D$50=1,$D$9*(1-(ABS($Q11-ABS(VALUE(MID(AT11,FIND("|",AT11)+1,FIND("-",AT11)-FIND("|",AT11)-1))-VALUE(MID(AT11,FIND("-",AT11)+1,10)))))*$D$50),$D$9*(1-(IF($N11="X",ABS($O11-VALUE(MID(AT11,FIND("|",AT11)+1,FIND("-",AT11)-FIND("|",AT11)-1))),ABS($Q11-ABS(VALUE(MID(AT11,FIND("|",AT11)+1,FIND("-",AT11)-FIND("|",AT11)-1))-VALUE(MID(AT11,FIND("-",AT11)+1,10)))))*$D$50)))))*$I11,0)),0)</f>
        <v>17</v>
      </c>
      <c r="AV11" s="338"/>
      <c r="AW11" s="363" t="s">
        <v>271</v>
      </c>
      <c r="AX11" s="356" t="n">
        <f aca="false">IFERROR(IF($M11=AW11,($D$8+$D$9+$D$10)*$I11,IF($N11=LEFT(AW11,1),($D$8+MAX(0,IF($D$50=1,$D$9*(1-(ABS($Q11-ABS(VALUE(MID(AW11,FIND("|",AW11)+1,FIND("-",AW11)-FIND("|",AW11)-1))-VALUE(MID(AW11,FIND("-",AW11)+1,10)))))*$D$50),$D$9*(1-(IF($N11="X",ABS($O11-VALUE(MID(AW11,FIND("|",AW11)+1,FIND("-",AW11)-FIND("|",AW11)-1))),ABS($Q11-ABS(VALUE(MID(AW11,FIND("|",AW11)+1,FIND("-",AW11)-FIND("|",AW11)-1))-VALUE(MID(AW11,FIND("-",AW11)+1,10)))))*$D$50)))))*$I11,0)),0)</f>
        <v>17</v>
      </c>
      <c r="AY11" s="338"/>
      <c r="AZ11" s="363" t="s">
        <v>274</v>
      </c>
      <c r="BA11" s="356" t="n">
        <f aca="false">IFERROR(IF($M11=AZ11,($D$8+$D$9+$D$10)*$I11,IF($N11=LEFT(AZ11,1),($D$8+MAX(0,IF($D$50=1,$D$9*(1-(ABS($Q11-ABS(VALUE(MID(AZ11,FIND("|",AZ11)+1,FIND("-",AZ11)-FIND("|",AZ11)-1))-VALUE(MID(AZ11,FIND("-",AZ11)+1,10)))))*$D$50),$D$9*(1-(IF($N11="X",ABS($O11-VALUE(MID(AZ11,FIND("|",AZ11)+1,FIND("-",AZ11)-FIND("|",AZ11)-1))),ABS($Q11-ABS(VALUE(MID(AZ11,FIND("|",AZ11)+1,FIND("-",AZ11)-FIND("|",AZ11)-1))-VALUE(MID(AZ11,FIND("-",AZ11)+1,10)))))*$D$50)))))*$I11,0)),0)</f>
        <v>5</v>
      </c>
      <c r="BB11" s="338"/>
      <c r="BC11" s="363" t="s">
        <v>273</v>
      </c>
      <c r="BD11" s="356" t="n">
        <f aca="false">IFERROR(IF($M11=BC11,($D$8+$D$9+$D$10)*$I11,IF($N11=LEFT(BC11,1),($D$8+MAX(0,IF($D$50=1,$D$9*(1-(ABS($Q11-ABS(VALUE(MID(BC11,FIND("|",BC11)+1,FIND("-",BC11)-FIND("|",BC11)-1))-VALUE(MID(BC11,FIND("-",BC11)+1,10)))))*$D$50),$D$9*(1-(IF($N11="X",ABS($O11-VALUE(MID(BC11,FIND("|",BC11)+1,FIND("-",BC11)-FIND("|",BC11)-1))),ABS($Q11-ABS(VALUE(MID(BC11,FIND("|",BC11)+1,FIND("-",BC11)-FIND("|",BC11)-1))-VALUE(MID(BC11,FIND("-",BC11)+1,10)))))*$D$50)))))*$I11,0)),0)</f>
        <v>5</v>
      </c>
      <c r="BE11" s="338"/>
      <c r="BF11" s="363" t="s">
        <v>271</v>
      </c>
      <c r="BG11" s="356" t="n">
        <f aca="false">IFERROR(IF($M11=BF11,($D$8+$D$9+$D$10)*$I11,IF($N11=LEFT(BF11,1),($D$8+MAX(0,IF($D$50=1,$D$9*(1-(ABS($Q11-ABS(VALUE(MID(BF11,FIND("|",BF11)+1,FIND("-",BF11)-FIND("|",BF11)-1))-VALUE(MID(BF11,FIND("-",BF11)+1,10)))))*$D$50),$D$9*(1-(IF($N11="X",ABS($O11-VALUE(MID(BF11,FIND("|",BF11)+1,FIND("-",BF11)-FIND("|",BF11)-1))),ABS($Q11-ABS(VALUE(MID(BF11,FIND("|",BF11)+1,FIND("-",BF11)-FIND("|",BF11)-1))-VALUE(MID(BF11,FIND("-",BF11)+1,10)))))*$D$50)))))*$I11,0)),0)</f>
        <v>17</v>
      </c>
      <c r="BH11" s="338"/>
      <c r="BI11" s="363" t="s">
        <v>275</v>
      </c>
      <c r="BJ11" s="356" t="n">
        <f aca="false">IFERROR(IF($M11=BI11,($D$8+$D$9+$D$10)*$I11,IF($N11=LEFT(BI11,1),($D$8+MAX(0,IF($D$50=1,$D$9*(1-(ABS($Q11-ABS(VALUE(MID(BI11,FIND("|",BI11)+1,FIND("-",BI11)-FIND("|",BI11)-1))-VALUE(MID(BI11,FIND("-",BI11)+1,10)))))*$D$50),$D$9*(1-(IF($N11="X",ABS($O11-VALUE(MID(BI11,FIND("|",BI11)+1,FIND("-",BI11)-FIND("|",BI11)-1))),ABS($Q11-ABS(VALUE(MID(BI11,FIND("|",BI11)+1,FIND("-",BI11)-FIND("|",BI11)-1))-VALUE(MID(BI11,FIND("-",BI11)+1,10)))))*$D$50)))))*$I11,0)),0)</f>
        <v>0</v>
      </c>
      <c r="BK11" s="338"/>
      <c r="BL11" s="363" t="s">
        <v>273</v>
      </c>
      <c r="BM11" s="356" t="n">
        <f aca="false">IFERROR(IF($M11=BL11,($D$8+$D$9+$D$10)*$I11,IF($N11=LEFT(BL11,1),($D$8+MAX(0,IF($D$50=1,$D$9*(1-(ABS($Q11-ABS(VALUE(MID(BL11,FIND("|",BL11)+1,FIND("-",BL11)-FIND("|",BL11)-1))-VALUE(MID(BL11,FIND("-",BL11)+1,10)))))*$D$50),$D$9*(1-(IF($N11="X",ABS($O11-VALUE(MID(BL11,FIND("|",BL11)+1,FIND("-",BL11)-FIND("|",BL11)-1))),ABS($Q11-ABS(VALUE(MID(BL11,FIND("|",BL11)+1,FIND("-",BL11)-FIND("|",BL11)-1))-VALUE(MID(BL11,FIND("-",BL11)+1,10)))))*$D$50)))))*$I11,0)),0)</f>
        <v>5</v>
      </c>
      <c r="BN11" s="338"/>
      <c r="BO11" s="363" t="s">
        <v>274</v>
      </c>
      <c r="BP11" s="356" t="n">
        <f aca="false">IFERROR(IF($M11=BO11,($D$8+$D$9+$D$10)*$I11,IF($N11=LEFT(BO11,1),($D$8+MAX(0,IF($D$50=1,$D$9*(1-(ABS($Q11-ABS(VALUE(MID(BO11,FIND("|",BO11)+1,FIND("-",BO11)-FIND("|",BO11)-1))-VALUE(MID(BO11,FIND("-",BO11)+1,10)))))*$D$50),$D$9*(1-(IF($N11="X",ABS($O11-VALUE(MID(BO11,FIND("|",BO11)+1,FIND("-",BO11)-FIND("|",BO11)-1))),ABS($Q11-ABS(VALUE(MID(BO11,FIND("|",BO11)+1,FIND("-",BO11)-FIND("|",BO11)-1))-VALUE(MID(BO11,FIND("-",BO11)+1,10)))))*$D$50)))))*$I11,0)),0)</f>
        <v>5</v>
      </c>
      <c r="BQ11" s="338"/>
      <c r="BR11" s="363" t="s">
        <v>274</v>
      </c>
      <c r="BS11" s="356" t="n">
        <f aca="false">IFERROR(IF($M11=BR11,($D$8+$D$9+$D$10)*$I11,IF($N11=LEFT(BR11,1),($D$8+MAX(0,IF($D$50=1,$D$9*(1-(ABS($Q11-ABS(VALUE(MID(BR11,FIND("|",BR11)+1,FIND("-",BR11)-FIND("|",BR11)-1))-VALUE(MID(BR11,FIND("-",BR11)+1,10)))))*$D$50),$D$9*(1-(IF($N11="X",ABS($O11-VALUE(MID(BR11,FIND("|",BR11)+1,FIND("-",BR11)-FIND("|",BR11)-1))),ABS($Q11-ABS(VALUE(MID(BR11,FIND("|",BR11)+1,FIND("-",BR11)-FIND("|",BR11)-1))-VALUE(MID(BR11,FIND("-",BR11)+1,10)))))*$D$50)))))*$I11,0)),0)</f>
        <v>5</v>
      </c>
      <c r="BT11" s="338"/>
      <c r="BU11" s="363"/>
      <c r="BV11" s="356" t="n">
        <f aca="false">IFERROR(IF($M11=BU11,($D$8+$D$9+$D$10)*$I11,IF($N11=LEFT(BU11,1),($D$8+MAX(0,IF($D$50=1,$D$9*(1-(ABS($Q11-ABS(VALUE(MID(BU11,FIND("|",BU11)+1,FIND("-",BU11)-FIND("|",BU11)-1))-VALUE(MID(BU11,FIND("-",BU11)+1,10)))))*$D$50),$D$9*(1-(IF($N11="X",ABS($O11-VALUE(MID(BU11,FIND("|",BU11)+1,FIND("-",BU11)-FIND("|",BU11)-1))),ABS($Q11-ABS(VALUE(MID(BU11,FIND("|",BU11)+1,FIND("-",BU11)-FIND("|",BU11)-1))-VALUE(MID(BU11,FIND("-",BU11)+1,10)))))*$D$50)))))*$I11,0)),0)</f>
        <v>0</v>
      </c>
      <c r="BW11" s="338"/>
      <c r="BX11" s="363"/>
      <c r="BY11" s="356" t="n">
        <f aca="false">IFERROR(IF($M11=BX11,($D$8+$D$9+$D$10)*$I11,IF($N11=LEFT(BX11,1),($D$8+MAX(0,IF($D$50=1,$D$9*(1-(ABS($Q11-ABS(VALUE(MID(BX11,FIND("|",BX11)+1,FIND("-",BX11)-FIND("|",BX11)-1))-VALUE(MID(BX11,FIND("-",BX11)+1,10)))))*$D$50),$D$9*(1-(IF($N11="X",ABS($O11-VALUE(MID(BX11,FIND("|",BX11)+1,FIND("-",BX11)-FIND("|",BX11)-1))),ABS($Q11-ABS(VALUE(MID(BX11,FIND("|",BX11)+1,FIND("-",BX11)-FIND("|",BX11)-1))-VALUE(MID(BX11,FIND("-",BX11)+1,10)))))*$D$50)))))*$I11,0)),0)</f>
        <v>0</v>
      </c>
      <c r="BZ11" s="338"/>
      <c r="CA11" s="363"/>
      <c r="CB11" s="356" t="n">
        <f aca="false">IFERROR(IF($M11=CA11,($D$8+$D$9+$D$10)*$I11,IF($N11=LEFT(CA11,1),($D$8+MAX(0,IF($D$50=1,$D$9*(1-(ABS($Q11-ABS(VALUE(MID(CA11,FIND("|",CA11)+1,FIND("-",CA11)-FIND("|",CA11)-1))-VALUE(MID(CA11,FIND("-",CA11)+1,10)))))*$D$50),$D$9*(1-(IF($N11="X",ABS($O11-VALUE(MID(CA11,FIND("|",CA11)+1,FIND("-",CA11)-FIND("|",CA11)-1))),ABS($Q11-ABS(VALUE(MID(CA11,FIND("|",CA11)+1,FIND("-",CA11)-FIND("|",CA11)-1))-VALUE(MID(CA11,FIND("-",CA11)+1,10)))))*$D$50)))))*$I11,0)),0)</f>
        <v>0</v>
      </c>
      <c r="CC11" s="338"/>
      <c r="CD11" s="363"/>
      <c r="CE11" s="356" t="n">
        <f aca="false">IFERROR(IF($M11=CD11,($D$8+$D$9+$D$10)*$I11,IF($N11=LEFT(CD11,1),($D$8+MAX(0,IF($D$50=1,$D$9*(1-(ABS($Q11-ABS(VALUE(MID(CD11,FIND("|",CD11)+1,FIND("-",CD11)-FIND("|",CD11)-1))-VALUE(MID(CD11,FIND("-",CD11)+1,10)))))*$D$50),$D$9*(1-(IF($N11="X",ABS($O11-VALUE(MID(CD11,FIND("|",CD11)+1,FIND("-",CD11)-FIND("|",CD11)-1))),ABS($Q11-ABS(VALUE(MID(CD11,FIND("|",CD11)+1,FIND("-",CD11)-FIND("|",CD11)-1))-VALUE(MID(CD11,FIND("-",CD11)+1,10)))))*$D$50)))))*$I11,0)),0)</f>
        <v>0</v>
      </c>
      <c r="CF11" s="338"/>
      <c r="CG11" s="363"/>
      <c r="CH11" s="356" t="n">
        <f aca="false">IFERROR(IF($M11=CG11,($D$8+$D$9+$D$10)*$I11,IF($N11=LEFT(CG11,1),($D$8+MAX(0,IF($D$50=1,$D$9*(1-(ABS($Q11-ABS(VALUE(MID(CG11,FIND("|",CG11)+1,FIND("-",CG11)-FIND("|",CG11)-1))-VALUE(MID(CG11,FIND("-",CG11)+1,10)))))*$D$50),$D$9*(1-(IF($N11="X",ABS($O11-VALUE(MID(CG11,FIND("|",CG11)+1,FIND("-",CG11)-FIND("|",CG11)-1))),ABS($Q11-ABS(VALUE(MID(CG11,FIND("|",CG11)+1,FIND("-",CG11)-FIND("|",CG11)-1))-VALUE(MID(CG11,FIND("-",CG11)+1,10)))))*$D$50)))))*$I11,0)),0)</f>
        <v>0</v>
      </c>
      <c r="CI11" s="338"/>
      <c r="CJ11" s="363"/>
      <c r="CK11" s="356" t="n">
        <f aca="false">IFERROR(IF($M11=CJ11,($D$8+$D$9+$D$10)*$I11,IF($N11=LEFT(CJ11,1),($D$8+MAX(0,IF($D$50=1,$D$9*(1-(ABS($Q11-ABS(VALUE(MID(CJ11,FIND("|",CJ11)+1,FIND("-",CJ11)-FIND("|",CJ11)-1))-VALUE(MID(CJ11,FIND("-",CJ11)+1,10)))))*$D$50),$D$9*(1-(IF($N11="X",ABS($O11-VALUE(MID(CJ11,FIND("|",CJ11)+1,FIND("-",CJ11)-FIND("|",CJ11)-1))),ABS($Q11-ABS(VALUE(MID(CJ11,FIND("|",CJ11)+1,FIND("-",CJ11)-FIND("|",CJ11)-1))-VALUE(MID(CJ11,FIND("-",CJ11)+1,10)))))*$D$50)))))*$I11,0)),0)</f>
        <v>0</v>
      </c>
      <c r="CL11" s="338"/>
      <c r="CM11" s="363"/>
      <c r="CN11" s="356" t="n">
        <f aca="false">IFERROR(IF($M11=CM11,($D$8+$D$9+$D$10)*$I11,IF($N11=LEFT(CM11,1),($D$8+MAX(0,IF($D$50=1,$D$9*(1-(ABS($Q11-ABS(VALUE(MID(CM11,FIND("|",CM11)+1,FIND("-",CM11)-FIND("|",CM11)-1))-VALUE(MID(CM11,FIND("-",CM11)+1,10)))))*$D$50),$D$9*(1-(IF($N11="X",ABS($O11-VALUE(MID(CM11,FIND("|",CM11)+1,FIND("-",CM11)-FIND("|",CM11)-1))),ABS($Q11-ABS(VALUE(MID(CM11,FIND("|",CM11)+1,FIND("-",CM11)-FIND("|",CM11)-1))-VALUE(MID(CM11,FIND("-",CM11)+1,10)))))*$D$50)))))*$I11,0)),0)</f>
        <v>0</v>
      </c>
      <c r="CO11" s="338"/>
      <c r="CP11" s="363"/>
      <c r="CQ11" s="356" t="n">
        <f aca="false">IFERROR(IF($M11=CP11,($D$8+$D$9+$D$10)*$I11,IF($N11=LEFT(CP11,1),($D$8+MAX(0,IF($D$50=1,$D$9*(1-(ABS($Q11-ABS(VALUE(MID(CP11,FIND("|",CP11)+1,FIND("-",CP11)-FIND("|",CP11)-1))-VALUE(MID(CP11,FIND("-",CP11)+1,10)))))*$D$50),$D$9*(1-(IF($N11="X",ABS($O11-VALUE(MID(CP11,FIND("|",CP11)+1,FIND("-",CP11)-FIND("|",CP11)-1))),ABS($Q11-ABS(VALUE(MID(CP11,FIND("|",CP11)+1,FIND("-",CP11)-FIND("|",CP11)-1))-VALUE(MID(CP11,FIND("-",CP11)+1,10)))))*$D$50)))))*$I11,0)),0)</f>
        <v>0</v>
      </c>
      <c r="CR11" s="338"/>
      <c r="CS11" s="363"/>
      <c r="CT11" s="356" t="n">
        <f aca="false">IFERROR(IF($M11=CS11,($D$8+$D$9+$D$10)*$I11,IF($N11=LEFT(CS11,1),($D$8+MAX(0,IF($D$50=1,$D$9*(1-(ABS($Q11-ABS(VALUE(MID(CS11,FIND("|",CS11)+1,FIND("-",CS11)-FIND("|",CS11)-1))-VALUE(MID(CS11,FIND("-",CS11)+1,10)))))*$D$50),$D$9*(1-(IF($N11="X",ABS($O11-VALUE(MID(CS11,FIND("|",CS11)+1,FIND("-",CS11)-FIND("|",CS11)-1))),ABS($Q11-ABS(VALUE(MID(CS11,FIND("|",CS11)+1,FIND("-",CS11)-FIND("|",CS11)-1))-VALUE(MID(CS11,FIND("-",CS11)+1,10)))))*$D$50)))))*$I11,0)),0)</f>
        <v>0</v>
      </c>
      <c r="CU11" s="338"/>
      <c r="CV11" s="363"/>
      <c r="CW11" s="356" t="n">
        <f aca="false">IFERROR(IF($M11=CV11,($D$8+$D$9+$D$10)*$I11,IF($N11=LEFT(CV11,1),($D$8+MAX(0,IF($D$50=1,$D$9*(1-(ABS($Q11-ABS(VALUE(MID(CV11,FIND("|",CV11)+1,FIND("-",CV11)-FIND("|",CV11)-1))-VALUE(MID(CV11,FIND("-",CV11)+1,10)))))*$D$50),$D$9*(1-(IF($N11="X",ABS($O11-VALUE(MID(CV11,FIND("|",CV11)+1,FIND("-",CV11)-FIND("|",CV11)-1))),ABS($Q11-ABS(VALUE(MID(CV11,FIND("|",CV11)+1,FIND("-",CV11)-FIND("|",CV11)-1))-VALUE(MID(CV11,FIND("-",CV11)+1,10)))))*$D$50)))))*$I11,0)),0)</f>
        <v>0</v>
      </c>
      <c r="CX11" s="338"/>
      <c r="CY11" s="363"/>
      <c r="CZ11" s="356" t="n">
        <f aca="false">IFERROR(IF($M11=CY11,($D$8+$D$9+$D$10)*$I11,IF($N11=LEFT(CY11,1),($D$8+MAX(0,IF($D$50=1,$D$9*(1-(ABS($Q11-ABS(VALUE(MID(CY11,FIND("|",CY11)+1,FIND("-",CY11)-FIND("|",CY11)-1))-VALUE(MID(CY11,FIND("-",CY11)+1,10)))))*$D$50),$D$9*(1-(IF($N11="X",ABS($O11-VALUE(MID(CY11,FIND("|",CY11)+1,FIND("-",CY11)-FIND("|",CY11)-1))),ABS($Q11-ABS(VALUE(MID(CY11,FIND("|",CY11)+1,FIND("-",CY11)-FIND("|",CY11)-1))-VALUE(MID(CY11,FIND("-",CY11)+1,10)))))*$D$50)))))*$I11,0)),0)</f>
        <v>0</v>
      </c>
      <c r="DA11" s="338"/>
      <c r="DB11" s="363"/>
      <c r="DC11" s="356" t="n">
        <f aca="false">IFERROR(IF($M11=DB11,($D$8+$D$9+$D$10)*$I11,IF($N11=LEFT(DB11,1),($D$8+MAX(0,IF($D$50=1,$D$9*(1-(ABS($Q11-ABS(VALUE(MID(DB11,FIND("|",DB11)+1,FIND("-",DB11)-FIND("|",DB11)-1))-VALUE(MID(DB11,FIND("-",DB11)+1,10)))))*$D$50),$D$9*(1-(IF($N11="X",ABS($O11-VALUE(MID(DB11,FIND("|",DB11)+1,FIND("-",DB11)-FIND("|",DB11)-1))),ABS($Q11-ABS(VALUE(MID(DB11,FIND("|",DB11)+1,FIND("-",DB11)-FIND("|",DB11)-1))-VALUE(MID(DB11,FIND("-",DB11)+1,10)))))*$D$50)))))*$I11,0)),0)</f>
        <v>0</v>
      </c>
      <c r="DD11" s="338"/>
      <c r="DE11" s="363"/>
      <c r="DF11" s="356" t="n">
        <f aca="false">IFERROR(IF($M11=DE11,($D$8+$D$9+$D$10)*$I11,IF($N11=LEFT(DE11,1),($D$8+MAX(0,IF($D$50=1,$D$9*(1-(ABS($Q11-ABS(VALUE(MID(DE11,FIND("|",DE11)+1,FIND("-",DE11)-FIND("|",DE11)-1))-VALUE(MID(DE11,FIND("-",DE11)+1,10)))))*$D$50),$D$9*(1-(IF($N11="X",ABS($O11-VALUE(MID(DE11,FIND("|",DE11)+1,FIND("-",DE11)-FIND("|",DE11)-1))),ABS($Q11-ABS(VALUE(MID(DE11,FIND("|",DE11)+1,FIND("-",DE11)-FIND("|",DE11)-1))-VALUE(MID(DE11,FIND("-",DE11)+1,10)))))*$D$50)))))*$I11,0)),0)</f>
        <v>0</v>
      </c>
      <c r="DG11" s="338"/>
      <c r="DH11" s="363"/>
      <c r="DI11" s="356" t="n">
        <f aca="false">IFERROR(IF($M11=DH11,($D$8+$D$9+$D$10)*$I11,IF($N11=LEFT(DH11,1),($D$8+MAX(0,IF($D$50=1,$D$9*(1-(ABS($Q11-ABS(VALUE(MID(DH11,FIND("|",DH11)+1,FIND("-",DH11)-FIND("|",DH11)-1))-VALUE(MID(DH11,FIND("-",DH11)+1,10)))))*$D$50),$D$9*(1-(IF($N11="X",ABS($O11-VALUE(MID(DH11,FIND("|",DH11)+1,FIND("-",DH11)-FIND("|",DH11)-1))),ABS($Q11-ABS(VALUE(MID(DH11,FIND("|",DH11)+1,FIND("-",DH11)-FIND("|",DH11)-1))-VALUE(MID(DH11,FIND("-",DH11)+1,10)))))*$D$50)))))*$I11,0)),0)</f>
        <v>0</v>
      </c>
      <c r="DJ11" s="338"/>
      <c r="DK11" s="363"/>
      <c r="DL11" s="356" t="n">
        <f aca="false">IFERROR(IF($M11=DK11,($D$8+$D$9+$D$10)*$I11,IF($N11=LEFT(DK11,1),($D$8+MAX(0,IF($D$50=1,$D$9*(1-(ABS($Q11-ABS(VALUE(MID(DK11,FIND("|",DK11)+1,FIND("-",DK11)-FIND("|",DK11)-1))-VALUE(MID(DK11,FIND("-",DK11)+1,10)))))*$D$50),$D$9*(1-(IF($N11="X",ABS($O11-VALUE(MID(DK11,FIND("|",DK11)+1,FIND("-",DK11)-FIND("|",DK11)-1))),ABS($Q11-ABS(VALUE(MID(DK11,FIND("|",DK11)+1,FIND("-",DK11)-FIND("|",DK11)-1))-VALUE(MID(DK11,FIND("-",DK11)+1,10)))))*$D$50)))))*$I11,0)),0)</f>
        <v>0</v>
      </c>
      <c r="DM11" s="338"/>
      <c r="DN11" s="363"/>
      <c r="DO11" s="356" t="n">
        <f aca="false">IFERROR(IF($M11=DN11,($D$8+$D$9+$D$10)*$I11,IF($N11=LEFT(DN11,1),($D$8+MAX(0,IF($D$50=1,$D$9*(1-(ABS($Q11-ABS(VALUE(MID(DN11,FIND("|",DN11)+1,FIND("-",DN11)-FIND("|",DN11)-1))-VALUE(MID(DN11,FIND("-",DN11)+1,10)))))*$D$50),$D$9*(1-(IF($N11="X",ABS($O11-VALUE(MID(DN11,FIND("|",DN11)+1,FIND("-",DN11)-FIND("|",DN11)-1))),ABS($Q11-ABS(VALUE(MID(DN11,FIND("|",DN11)+1,FIND("-",DN11)-FIND("|",DN11)-1))-VALUE(MID(DN11,FIND("-",DN11)+1,10)))))*$D$50)))))*$I11,0)),0)</f>
        <v>0</v>
      </c>
      <c r="DP11" s="338"/>
      <c r="DQ11" s="363"/>
      <c r="DR11" s="356" t="n">
        <f aca="false">IFERROR(IF($M11=DQ11,($D$8+$D$9+$D$10)*$I11,IF($N11=LEFT(DQ11,1),($D$8+MAX(0,IF($D$50=1,$D$9*(1-(ABS($Q11-ABS(VALUE(MID(DQ11,FIND("|",DQ11)+1,FIND("-",DQ11)-FIND("|",DQ11)-1))-VALUE(MID(DQ11,FIND("-",DQ11)+1,10)))))*$D$50),$D$9*(1-(IF($N11="X",ABS($O11-VALUE(MID(DQ11,FIND("|",DQ11)+1,FIND("-",DQ11)-FIND("|",DQ11)-1))),ABS($Q11-ABS(VALUE(MID(DQ11,FIND("|",DQ11)+1,FIND("-",DQ11)-FIND("|",DQ11)-1))-VALUE(MID(DQ11,FIND("-",DQ11)+1,10)))))*$D$50)))))*$I11,0)),0)</f>
        <v>0</v>
      </c>
      <c r="DS11" s="338"/>
      <c r="DT11" s="363"/>
      <c r="DU11" s="356" t="n">
        <f aca="false">IFERROR(IF($M11=DT11,($D$8+$D$9+$D$10)*$I11,IF($N11=LEFT(DT11,1),($D$8+MAX(0,IF($D$50=1,$D$9*(1-(ABS($Q11-ABS(VALUE(MID(DT11,FIND("|",DT11)+1,FIND("-",DT11)-FIND("|",DT11)-1))-VALUE(MID(DT11,FIND("-",DT11)+1,10)))))*$D$50),$D$9*(1-(IF($N11="X",ABS($O11-VALUE(MID(DT11,FIND("|",DT11)+1,FIND("-",DT11)-FIND("|",DT11)-1))),ABS($Q11-ABS(VALUE(MID(DT11,FIND("|",DT11)+1,FIND("-",DT11)-FIND("|",DT11)-1))-VALUE(MID(DT11,FIND("-",DT11)+1,10)))))*$D$50)))))*$I11,0)),0)</f>
        <v>0</v>
      </c>
      <c r="DV11" s="338"/>
      <c r="DW11" s="363"/>
      <c r="DX11" s="356" t="n">
        <f aca="false">IFERROR(IF($M11=DW11,($D$8+$D$9+$D$10)*$I11,IF($N11=LEFT(DW11,1),($D$8+MAX(0,IF($D$50=1,$D$9*(1-(ABS($Q11-ABS(VALUE(MID(DW11,FIND("|",DW11)+1,FIND("-",DW11)-FIND("|",DW11)-1))-VALUE(MID(DW11,FIND("-",DW11)+1,10)))))*$D$50),$D$9*(1-(IF($N11="X",ABS($O11-VALUE(MID(DW11,FIND("|",DW11)+1,FIND("-",DW11)-FIND("|",DW11)-1))),ABS($Q11-ABS(VALUE(MID(DW11,FIND("|",DW11)+1,FIND("-",DW11)-FIND("|",DW11)-1))-VALUE(MID(DW11,FIND("-",DW11)+1,10)))))*$D$50)))))*$I11,0)),0)</f>
        <v>0</v>
      </c>
      <c r="DY11" s="338"/>
      <c r="DZ11" s="363"/>
      <c r="EA11" s="356" t="n">
        <f aca="false">IFERROR(IF($M11=DZ11,($D$8+$D$9+$D$10)*$I11,IF($N11=LEFT(DZ11,1),($D$8+MAX(0,IF($D$50=1,$D$9*(1-(ABS($Q11-ABS(VALUE(MID(DZ11,FIND("|",DZ11)+1,FIND("-",DZ11)-FIND("|",DZ11)-1))-VALUE(MID(DZ11,FIND("-",DZ11)+1,10)))))*$D$50),$D$9*(1-(IF($N11="X",ABS($O11-VALUE(MID(DZ11,FIND("|",DZ11)+1,FIND("-",DZ11)-FIND("|",DZ11)-1))),ABS($Q11-ABS(VALUE(MID(DZ11,FIND("|",DZ11)+1,FIND("-",DZ11)-FIND("|",DZ11)-1))-VALUE(MID(DZ11,FIND("-",DZ11)+1,10)))))*$D$50)))))*$I11,0)),0)</f>
        <v>0</v>
      </c>
      <c r="EB11" s="338"/>
      <c r="EC11" s="363"/>
      <c r="ED11" s="356" t="n">
        <f aca="false">IFERROR(IF($M11=EC11,($D$8+$D$9+$D$10)*$I11,IF($N11=LEFT(EC11,1),($D$8+MAX(0,IF($D$50=1,$D$9*(1-(ABS($Q11-ABS(VALUE(MID(EC11,FIND("|",EC11)+1,FIND("-",EC11)-FIND("|",EC11)-1))-VALUE(MID(EC11,FIND("-",EC11)+1,10)))))*$D$50),$D$9*(1-(IF($N11="X",ABS($O11-VALUE(MID(EC11,FIND("|",EC11)+1,FIND("-",EC11)-FIND("|",EC11)-1))),ABS($Q11-ABS(VALUE(MID(EC11,FIND("|",EC11)+1,FIND("-",EC11)-FIND("|",EC11)-1))-VALUE(MID(EC11,FIND("-",EC11)+1,10)))))*$D$50)))))*$I11,0)),0)</f>
        <v>0</v>
      </c>
      <c r="EE11" s="338"/>
      <c r="EF11" s="363"/>
      <c r="EG11" s="356" t="n">
        <f aca="false">IFERROR(IF($M11=EF11,($D$8+$D$9+$D$10)*$I11,IF($N11=LEFT(EF11,1),($D$8+MAX(0,IF($D$50=1,$D$9*(1-(ABS($Q11-ABS(VALUE(MID(EF11,FIND("|",EF11)+1,FIND("-",EF11)-FIND("|",EF11)-1))-VALUE(MID(EF11,FIND("-",EF11)+1,10)))))*$D$50),$D$9*(1-(IF($N11="X",ABS($O11-VALUE(MID(EF11,FIND("|",EF11)+1,FIND("-",EF11)-FIND("|",EF11)-1))),ABS($Q11-ABS(VALUE(MID(EF11,FIND("|",EF11)+1,FIND("-",EF11)-FIND("|",EF11)-1))-VALUE(MID(EF11,FIND("-",EF11)+1,10)))))*$D$50)))))*$I11,0)),0)</f>
        <v>0</v>
      </c>
      <c r="EH11" s="338"/>
      <c r="EI11" s="338"/>
    </row>
    <row r="12" customFormat="false" ht="15" hidden="false" customHeight="false" outlineLevel="0" collapsed="false">
      <c r="A12" s="327"/>
      <c r="B12" s="327"/>
      <c r="C12" s="360" t="str">
        <f aca="false">Idiomas!D308</f>
        <v>FASE DE GRUPOS - Posición exacta (2º)</v>
      </c>
      <c r="D12" s="361" t="n">
        <v>5</v>
      </c>
      <c r="E12" s="334"/>
      <c r="F12" s="343" t="n">
        <f aca="false">SUM($D$8:$D$10)*I12</f>
        <v>17</v>
      </c>
      <c r="G12" s="343" t="n">
        <f aca="false">VLOOKUP(H12,Equipos!$Q$1:$R$25,2,0)</f>
        <v>3</v>
      </c>
      <c r="H12" s="351" t="n">
        <f aca="false">TRUNC(INDEX(WORLDCUP!$X$4:$X$147,MATCH(ADMIN!K12,WORLDCUP!$DT$4:$DT$147,0))+INDEX(Horarios!$R$3:$R$86,MATCH(Horarios!$C$3,Horarios!$P$3:$P$86,0))/24)</f>
        <v>46186</v>
      </c>
      <c r="I12" s="352" t="n">
        <v>1</v>
      </c>
      <c r="J12" s="362" t="s">
        <v>280</v>
      </c>
      <c r="K12" s="367" t="str">
        <f aca="false">CONCATENATE(WORLDCUP!AA28,"-",WORLDCUP!AF28)</f>
        <v>Estados Unidos-Paraguay</v>
      </c>
      <c r="L12" s="354"/>
      <c r="M12" s="359" t="str">
        <f aca="false">IF(OR(WORLDCUP!AC28="",WORLDCUP!AD28=""),"-",N12&amp;"|"&amp;O12&amp;"-"&amp;P12)</f>
        <v>1|4-1</v>
      </c>
      <c r="N12" s="332" t="str">
        <f aca="false">IF(OR(WORLDCUP!AC28="",WORLDCUP!AD28=""),"",IF(WORLDCUP!AC28&gt;WORLDCUP!AD28,"1",IF(WORLDCUP!AC28&lt;WORLDCUP!AD28,"2","X")))</f>
        <v>1</v>
      </c>
      <c r="O12" s="332" t="n">
        <f aca="false">WORLDCUP!AC28</f>
        <v>4</v>
      </c>
      <c r="P12" s="332" t="n">
        <f aca="false">WORLDCUP!AD28</f>
        <v>1</v>
      </c>
      <c r="Q12" s="332" t="n">
        <f aca="false">ABS(O12-P12)</f>
        <v>3</v>
      </c>
      <c r="R12" s="327"/>
      <c r="S12" s="363" t="s">
        <v>267</v>
      </c>
      <c r="T12" s="356" t="n">
        <f aca="false">IFERROR(IF($M12=S12,($D$8+$D$9+$D$10)*$I12,IF($N12=LEFT(S12,1),($D$8+MAX(0,IF($D$50=1,$D$9*(1-(ABS($Q12-ABS(VALUE(MID(S12,FIND("|",S12)+1,FIND("-",S12)-FIND("|",S12)-1))-VALUE(MID(S12,FIND("-",S12)+1,10)))))*$D$50),$D$9*(1-(IF($N12="X",ABS($O12-VALUE(MID(S12,FIND("|",S12)+1,FIND("-",S12)-FIND("|",S12)-1))),ABS($Q12-ABS(VALUE(MID(S12,FIND("|",S12)+1,FIND("-",S12)-FIND("|",S12)-1))-VALUE(MID(S12,FIND("-",S12)+1,10)))))*$D$50)))))*$I12,0)),0)</f>
        <v>0</v>
      </c>
      <c r="U12" s="338"/>
      <c r="V12" s="363" t="s">
        <v>267</v>
      </c>
      <c r="W12" s="356" t="n">
        <f aca="false">IFERROR(IF($M12=V12,($D$8+$D$9+$D$10)*$I12,IF($N12=LEFT(V12,1),($D$8+MAX(0,IF($D$50=1,$D$9*(1-(ABS($Q12-ABS(VALUE(MID(V12,FIND("|",V12)+1,FIND("-",V12)-FIND("|",V12)-1))-VALUE(MID(V12,FIND("-",V12)+1,10)))))*$D$50),$D$9*(1-(IF($N12="X",ABS($O12-VALUE(MID(V12,FIND("|",V12)+1,FIND("-",V12)-FIND("|",V12)-1))),ABS($Q12-ABS(VALUE(MID(V12,FIND("|",V12)+1,FIND("-",V12)-FIND("|",V12)-1))-VALUE(MID(V12,FIND("-",V12)+1,10)))))*$D$50)))))*$I12,0)),0)</f>
        <v>0</v>
      </c>
      <c r="X12" s="338"/>
      <c r="Y12" s="363" t="s">
        <v>264</v>
      </c>
      <c r="Z12" s="356" t="n">
        <f aca="false">IFERROR(IF($M12=Y12,($D$8+$D$9+$D$10)*$I12,IF($N12=LEFT(Y12,1),($D$8+MAX(0,IF($D$50=1,$D$9*(1-(ABS($Q12-ABS(VALUE(MID(Y12,FIND("|",Y12)+1,FIND("-",Y12)-FIND("|",Y12)-1))-VALUE(MID(Y12,FIND("-",Y12)+1,10)))))*$D$50),$D$9*(1-(IF($N12="X",ABS($O12-VALUE(MID(Y12,FIND("|",Y12)+1,FIND("-",Y12)-FIND("|",Y12)-1))),ABS($Q12-ABS(VALUE(MID(Y12,FIND("|",Y12)+1,FIND("-",Y12)-FIND("|",Y12)-1))-VALUE(MID(Y12,FIND("-",Y12)+1,10)))))*$D$50)))))*$I12,0)),0)</f>
        <v>5</v>
      </c>
      <c r="AA12" s="338"/>
      <c r="AB12" s="363" t="s">
        <v>269</v>
      </c>
      <c r="AC12" s="356" t="n">
        <f aca="false">IFERROR(IF($M12=AB12,($D$8+$D$9+$D$10)*$I12,IF($N12=LEFT(AB12,1),($D$8+MAX(0,IF($D$50=1,$D$9*(1-(ABS($Q12-ABS(VALUE(MID(AB12,FIND("|",AB12)+1,FIND("-",AB12)-FIND("|",AB12)-1))-VALUE(MID(AB12,FIND("-",AB12)+1,10)))))*$D$50),$D$9*(1-(IF($N12="X",ABS($O12-VALUE(MID(AB12,FIND("|",AB12)+1,FIND("-",AB12)-FIND("|",AB12)-1))),ABS($Q12-ABS(VALUE(MID(AB12,FIND("|",AB12)+1,FIND("-",AB12)-FIND("|",AB12)-1))-VALUE(MID(AB12,FIND("-",AB12)+1,10)))))*$D$50)))))*$I12,0)),0)</f>
        <v>0</v>
      </c>
      <c r="AD12" s="338"/>
      <c r="AE12" s="363" t="s">
        <v>265</v>
      </c>
      <c r="AF12" s="356" t="n">
        <f aca="false">IFERROR(IF($M12=AE12,($D$8+$D$9+$D$10)*$I12,IF($N12=LEFT(AE12,1),($D$8+MAX(0,IF($D$50=1,$D$9*(1-(ABS($Q12-ABS(VALUE(MID(AE12,FIND("|",AE12)+1,FIND("-",AE12)-FIND("|",AE12)-1))-VALUE(MID(AE12,FIND("-",AE12)+1,10)))))*$D$50),$D$9*(1-(IF($N12="X",ABS($O12-VALUE(MID(AE12,FIND("|",AE12)+1,FIND("-",AE12)-FIND("|",AE12)-1))),ABS($Q12-ABS(VALUE(MID(AE12,FIND("|",AE12)+1,FIND("-",AE12)-FIND("|",AE12)-1))-VALUE(MID(AE12,FIND("-",AE12)+1,10)))))*$D$50)))))*$I12,0)),0)</f>
        <v>5</v>
      </c>
      <c r="AG12" s="338"/>
      <c r="AH12" s="363" t="s">
        <v>264</v>
      </c>
      <c r="AI12" s="356" t="n">
        <f aca="false">IFERROR(IF($M12=AH12,($D$8+$D$9+$D$10)*$I12,IF($N12=LEFT(AH12,1),($D$8+MAX(0,IF($D$50=1,$D$9*(1-(ABS($Q12-ABS(VALUE(MID(AH12,FIND("|",AH12)+1,FIND("-",AH12)-FIND("|",AH12)-1))-VALUE(MID(AH12,FIND("-",AH12)+1,10)))))*$D$50),$D$9*(1-(IF($N12="X",ABS($O12-VALUE(MID(AH12,FIND("|",AH12)+1,FIND("-",AH12)-FIND("|",AH12)-1))),ABS($Q12-ABS(VALUE(MID(AH12,FIND("|",AH12)+1,FIND("-",AH12)-FIND("|",AH12)-1))-VALUE(MID(AH12,FIND("-",AH12)+1,10)))))*$D$50)))))*$I12,0)),0)</f>
        <v>5</v>
      </c>
      <c r="AJ12" s="338"/>
      <c r="AK12" s="363" t="s">
        <v>264</v>
      </c>
      <c r="AL12" s="356" t="n">
        <f aca="false">IFERROR(IF($M12=AK12,($D$8+$D$9+$D$10)*$I12,IF($N12=LEFT(AK12,1),($D$8+MAX(0,IF($D$50=1,$D$9*(1-(ABS($Q12-ABS(VALUE(MID(AK12,FIND("|",AK12)+1,FIND("-",AK12)-FIND("|",AK12)-1))-VALUE(MID(AK12,FIND("-",AK12)+1,10)))))*$D$50),$D$9*(1-(IF($N12="X",ABS($O12-VALUE(MID(AK12,FIND("|",AK12)+1,FIND("-",AK12)-FIND("|",AK12)-1))),ABS($Q12-ABS(VALUE(MID(AK12,FIND("|",AK12)+1,FIND("-",AK12)-FIND("|",AK12)-1))-VALUE(MID(AK12,FIND("-",AK12)+1,10)))))*$D$50)))))*$I12,0)),0)</f>
        <v>5</v>
      </c>
      <c r="AM12" s="338"/>
      <c r="AN12" s="363" t="s">
        <v>264</v>
      </c>
      <c r="AO12" s="356" t="n">
        <f aca="false">IFERROR(IF($M12=AN12,($D$8+$D$9+$D$10)*$I12,IF($N12=LEFT(AN12,1),($D$8+MAX(0,IF($D$50=1,$D$9*(1-(ABS($Q12-ABS(VALUE(MID(AN12,FIND("|",AN12)+1,FIND("-",AN12)-FIND("|",AN12)-1))-VALUE(MID(AN12,FIND("-",AN12)+1,10)))))*$D$50),$D$9*(1-(IF($N12="X",ABS($O12-VALUE(MID(AN12,FIND("|",AN12)+1,FIND("-",AN12)-FIND("|",AN12)-1))),ABS($Q12-ABS(VALUE(MID(AN12,FIND("|",AN12)+1,FIND("-",AN12)-FIND("|",AN12)-1))-VALUE(MID(AN12,FIND("-",AN12)+1,10)))))*$D$50)))))*$I12,0)),0)</f>
        <v>5</v>
      </c>
      <c r="AP12" s="338"/>
      <c r="AQ12" s="363" t="s">
        <v>264</v>
      </c>
      <c r="AR12" s="356" t="n">
        <f aca="false">IFERROR(IF($M12=AQ12,($D$8+$D$9+$D$10)*$I12,IF($N12=LEFT(AQ12,1),($D$8+MAX(0,IF($D$50=1,$D$9*(1-(ABS($Q12-ABS(VALUE(MID(AQ12,FIND("|",AQ12)+1,FIND("-",AQ12)-FIND("|",AQ12)-1))-VALUE(MID(AQ12,FIND("-",AQ12)+1,10)))))*$D$50),$D$9*(1-(IF($N12="X",ABS($O12-VALUE(MID(AQ12,FIND("|",AQ12)+1,FIND("-",AQ12)-FIND("|",AQ12)-1))),ABS($Q12-ABS(VALUE(MID(AQ12,FIND("|",AQ12)+1,FIND("-",AQ12)-FIND("|",AQ12)-1))-VALUE(MID(AQ12,FIND("-",AQ12)+1,10)))))*$D$50)))))*$I12,0)),0)</f>
        <v>5</v>
      </c>
      <c r="AS12" s="338"/>
      <c r="AT12" s="363" t="s">
        <v>271</v>
      </c>
      <c r="AU12" s="356" t="n">
        <f aca="false">IFERROR(IF($M12=AT12,($D$8+$D$9+$D$10)*$I12,IF($N12=LEFT(AT12,1),($D$8+MAX(0,IF($D$50=1,$D$9*(1-(ABS($Q12-ABS(VALUE(MID(AT12,FIND("|",AT12)+1,FIND("-",AT12)-FIND("|",AT12)-1))-VALUE(MID(AT12,FIND("-",AT12)+1,10)))))*$D$50),$D$9*(1-(IF($N12="X",ABS($O12-VALUE(MID(AT12,FIND("|",AT12)+1,FIND("-",AT12)-FIND("|",AT12)-1))),ABS($Q12-ABS(VALUE(MID(AT12,FIND("|",AT12)+1,FIND("-",AT12)-FIND("|",AT12)-1))-VALUE(MID(AT12,FIND("-",AT12)+1,10)))))*$D$50)))))*$I12,0)),0)</f>
        <v>0</v>
      </c>
      <c r="AV12" s="338"/>
      <c r="AW12" s="363" t="s">
        <v>265</v>
      </c>
      <c r="AX12" s="356" t="n">
        <f aca="false">IFERROR(IF($M12=AW12,($D$8+$D$9+$D$10)*$I12,IF($N12=LEFT(AW12,1),($D$8+MAX(0,IF($D$50=1,$D$9*(1-(ABS($Q12-ABS(VALUE(MID(AW12,FIND("|",AW12)+1,FIND("-",AW12)-FIND("|",AW12)-1))-VALUE(MID(AW12,FIND("-",AW12)+1,10)))))*$D$50),$D$9*(1-(IF($N12="X",ABS($O12-VALUE(MID(AW12,FIND("|",AW12)+1,FIND("-",AW12)-FIND("|",AW12)-1))),ABS($Q12-ABS(VALUE(MID(AW12,FIND("|",AW12)+1,FIND("-",AW12)-FIND("|",AW12)-1))-VALUE(MID(AW12,FIND("-",AW12)+1,10)))))*$D$50)))))*$I12,0)),0)</f>
        <v>5</v>
      </c>
      <c r="AY12" s="338"/>
      <c r="AZ12" s="363" t="s">
        <v>265</v>
      </c>
      <c r="BA12" s="356" t="n">
        <f aca="false">IFERROR(IF($M12=AZ12,($D$8+$D$9+$D$10)*$I12,IF($N12=LEFT(AZ12,1),($D$8+MAX(0,IF($D$50=1,$D$9*(1-(ABS($Q12-ABS(VALUE(MID(AZ12,FIND("|",AZ12)+1,FIND("-",AZ12)-FIND("|",AZ12)-1))-VALUE(MID(AZ12,FIND("-",AZ12)+1,10)))))*$D$50),$D$9*(1-(IF($N12="X",ABS($O12-VALUE(MID(AZ12,FIND("|",AZ12)+1,FIND("-",AZ12)-FIND("|",AZ12)-1))),ABS($Q12-ABS(VALUE(MID(AZ12,FIND("|",AZ12)+1,FIND("-",AZ12)-FIND("|",AZ12)-1))-VALUE(MID(AZ12,FIND("-",AZ12)+1,10)))))*$D$50)))))*$I12,0)),0)</f>
        <v>5</v>
      </c>
      <c r="BB12" s="338"/>
      <c r="BC12" s="363" t="s">
        <v>267</v>
      </c>
      <c r="BD12" s="356" t="n">
        <f aca="false">IFERROR(IF($M12=BC12,($D$8+$D$9+$D$10)*$I12,IF($N12=LEFT(BC12,1),($D$8+MAX(0,IF($D$50=1,$D$9*(1-(ABS($Q12-ABS(VALUE(MID(BC12,FIND("|",BC12)+1,FIND("-",BC12)-FIND("|",BC12)-1))-VALUE(MID(BC12,FIND("-",BC12)+1,10)))))*$D$50),$D$9*(1-(IF($N12="X",ABS($O12-VALUE(MID(BC12,FIND("|",BC12)+1,FIND("-",BC12)-FIND("|",BC12)-1))),ABS($Q12-ABS(VALUE(MID(BC12,FIND("|",BC12)+1,FIND("-",BC12)-FIND("|",BC12)-1))-VALUE(MID(BC12,FIND("-",BC12)+1,10)))))*$D$50)))))*$I12,0)),0)</f>
        <v>0</v>
      </c>
      <c r="BE12" s="338"/>
      <c r="BF12" s="363" t="s">
        <v>275</v>
      </c>
      <c r="BG12" s="356" t="n">
        <f aca="false">IFERROR(IF($M12=BF12,($D$8+$D$9+$D$10)*$I12,IF($N12=LEFT(BF12,1),($D$8+MAX(0,IF($D$50=1,$D$9*(1-(ABS($Q12-ABS(VALUE(MID(BF12,FIND("|",BF12)+1,FIND("-",BF12)-FIND("|",BF12)-1))-VALUE(MID(BF12,FIND("-",BF12)+1,10)))))*$D$50),$D$9*(1-(IF($N12="X",ABS($O12-VALUE(MID(BF12,FIND("|",BF12)+1,FIND("-",BF12)-FIND("|",BF12)-1))),ABS($Q12-ABS(VALUE(MID(BF12,FIND("|",BF12)+1,FIND("-",BF12)-FIND("|",BF12)-1))-VALUE(MID(BF12,FIND("-",BF12)+1,10)))))*$D$50)))))*$I12,0)),0)</f>
        <v>0</v>
      </c>
      <c r="BH12" s="338"/>
      <c r="BI12" s="363" t="s">
        <v>265</v>
      </c>
      <c r="BJ12" s="356" t="n">
        <f aca="false">IFERROR(IF($M12=BI12,($D$8+$D$9+$D$10)*$I12,IF($N12=LEFT(BI12,1),($D$8+MAX(0,IF($D$50=1,$D$9*(1-(ABS($Q12-ABS(VALUE(MID(BI12,FIND("|",BI12)+1,FIND("-",BI12)-FIND("|",BI12)-1))-VALUE(MID(BI12,FIND("-",BI12)+1,10)))))*$D$50),$D$9*(1-(IF($N12="X",ABS($O12-VALUE(MID(BI12,FIND("|",BI12)+1,FIND("-",BI12)-FIND("|",BI12)-1))),ABS($Q12-ABS(VALUE(MID(BI12,FIND("|",BI12)+1,FIND("-",BI12)-FIND("|",BI12)-1))-VALUE(MID(BI12,FIND("-",BI12)+1,10)))))*$D$50)))))*$I12,0)),0)</f>
        <v>5</v>
      </c>
      <c r="BK12" s="338"/>
      <c r="BL12" s="363" t="s">
        <v>264</v>
      </c>
      <c r="BM12" s="356" t="n">
        <f aca="false">IFERROR(IF($M12=BL12,($D$8+$D$9+$D$10)*$I12,IF($N12=LEFT(BL12,1),($D$8+MAX(0,IF($D$50=1,$D$9*(1-(ABS($Q12-ABS(VALUE(MID(BL12,FIND("|",BL12)+1,FIND("-",BL12)-FIND("|",BL12)-1))-VALUE(MID(BL12,FIND("-",BL12)+1,10)))))*$D$50),$D$9*(1-(IF($N12="X",ABS($O12-VALUE(MID(BL12,FIND("|",BL12)+1,FIND("-",BL12)-FIND("|",BL12)-1))),ABS($Q12-ABS(VALUE(MID(BL12,FIND("|",BL12)+1,FIND("-",BL12)-FIND("|",BL12)-1))-VALUE(MID(BL12,FIND("-",BL12)+1,10)))))*$D$50)))))*$I12,0)),0)</f>
        <v>5</v>
      </c>
      <c r="BN12" s="338"/>
      <c r="BO12" s="363" t="s">
        <v>268</v>
      </c>
      <c r="BP12" s="356" t="n">
        <f aca="false">IFERROR(IF($M12=BO12,($D$8+$D$9+$D$10)*$I12,IF($N12=LEFT(BO12,1),($D$8+MAX(0,IF($D$50=1,$D$9*(1-(ABS($Q12-ABS(VALUE(MID(BO12,FIND("|",BO12)+1,FIND("-",BO12)-FIND("|",BO12)-1))-VALUE(MID(BO12,FIND("-",BO12)+1,10)))))*$D$50),$D$9*(1-(IF($N12="X",ABS($O12-VALUE(MID(BO12,FIND("|",BO12)+1,FIND("-",BO12)-FIND("|",BO12)-1))),ABS($Q12-ABS(VALUE(MID(BO12,FIND("|",BO12)+1,FIND("-",BO12)-FIND("|",BO12)-1))-VALUE(MID(BO12,FIND("-",BO12)+1,10)))))*$D$50)))))*$I12,0)),0)</f>
        <v>0</v>
      </c>
      <c r="BQ12" s="338"/>
      <c r="BR12" s="363" t="s">
        <v>264</v>
      </c>
      <c r="BS12" s="356" t="n">
        <f aca="false">IFERROR(IF($M12=BR12,($D$8+$D$9+$D$10)*$I12,IF($N12=LEFT(BR12,1),($D$8+MAX(0,IF($D$50=1,$D$9*(1-(ABS($Q12-ABS(VALUE(MID(BR12,FIND("|",BR12)+1,FIND("-",BR12)-FIND("|",BR12)-1))-VALUE(MID(BR12,FIND("-",BR12)+1,10)))))*$D$50),$D$9*(1-(IF($N12="X",ABS($O12-VALUE(MID(BR12,FIND("|",BR12)+1,FIND("-",BR12)-FIND("|",BR12)-1))),ABS($Q12-ABS(VALUE(MID(BR12,FIND("|",BR12)+1,FIND("-",BR12)-FIND("|",BR12)-1))-VALUE(MID(BR12,FIND("-",BR12)+1,10)))))*$D$50)))))*$I12,0)),0)</f>
        <v>5</v>
      </c>
      <c r="BT12" s="338"/>
      <c r="BU12" s="363"/>
      <c r="BV12" s="356" t="n">
        <f aca="false">IFERROR(IF($M12=BU12,($D$8+$D$9+$D$10)*$I12,IF($N12=LEFT(BU12,1),($D$8+MAX(0,IF($D$50=1,$D$9*(1-(ABS($Q12-ABS(VALUE(MID(BU12,FIND("|",BU12)+1,FIND("-",BU12)-FIND("|",BU12)-1))-VALUE(MID(BU12,FIND("-",BU12)+1,10)))))*$D$50),$D$9*(1-(IF($N12="X",ABS($O12-VALUE(MID(BU12,FIND("|",BU12)+1,FIND("-",BU12)-FIND("|",BU12)-1))),ABS($Q12-ABS(VALUE(MID(BU12,FIND("|",BU12)+1,FIND("-",BU12)-FIND("|",BU12)-1))-VALUE(MID(BU12,FIND("-",BU12)+1,10)))))*$D$50)))))*$I12,0)),0)</f>
        <v>0</v>
      </c>
      <c r="BW12" s="338"/>
      <c r="BX12" s="363"/>
      <c r="BY12" s="356" t="n">
        <f aca="false">IFERROR(IF($M12=BX12,($D$8+$D$9+$D$10)*$I12,IF($N12=LEFT(BX12,1),($D$8+MAX(0,IF($D$50=1,$D$9*(1-(ABS($Q12-ABS(VALUE(MID(BX12,FIND("|",BX12)+1,FIND("-",BX12)-FIND("|",BX12)-1))-VALUE(MID(BX12,FIND("-",BX12)+1,10)))))*$D$50),$D$9*(1-(IF($N12="X",ABS($O12-VALUE(MID(BX12,FIND("|",BX12)+1,FIND("-",BX12)-FIND("|",BX12)-1))),ABS($Q12-ABS(VALUE(MID(BX12,FIND("|",BX12)+1,FIND("-",BX12)-FIND("|",BX12)-1))-VALUE(MID(BX12,FIND("-",BX12)+1,10)))))*$D$50)))))*$I12,0)),0)</f>
        <v>0</v>
      </c>
      <c r="BZ12" s="338"/>
      <c r="CA12" s="363"/>
      <c r="CB12" s="356" t="n">
        <f aca="false">IFERROR(IF($M12=CA12,($D$8+$D$9+$D$10)*$I12,IF($N12=LEFT(CA12,1),($D$8+MAX(0,IF($D$50=1,$D$9*(1-(ABS($Q12-ABS(VALUE(MID(CA12,FIND("|",CA12)+1,FIND("-",CA12)-FIND("|",CA12)-1))-VALUE(MID(CA12,FIND("-",CA12)+1,10)))))*$D$50),$D$9*(1-(IF($N12="X",ABS($O12-VALUE(MID(CA12,FIND("|",CA12)+1,FIND("-",CA12)-FIND("|",CA12)-1))),ABS($Q12-ABS(VALUE(MID(CA12,FIND("|",CA12)+1,FIND("-",CA12)-FIND("|",CA12)-1))-VALUE(MID(CA12,FIND("-",CA12)+1,10)))))*$D$50)))))*$I12,0)),0)</f>
        <v>0</v>
      </c>
      <c r="CC12" s="338"/>
      <c r="CD12" s="363"/>
      <c r="CE12" s="356" t="n">
        <f aca="false">IFERROR(IF($M12=CD12,($D$8+$D$9+$D$10)*$I12,IF($N12=LEFT(CD12,1),($D$8+MAX(0,IF($D$50=1,$D$9*(1-(ABS($Q12-ABS(VALUE(MID(CD12,FIND("|",CD12)+1,FIND("-",CD12)-FIND("|",CD12)-1))-VALUE(MID(CD12,FIND("-",CD12)+1,10)))))*$D$50),$D$9*(1-(IF($N12="X",ABS($O12-VALUE(MID(CD12,FIND("|",CD12)+1,FIND("-",CD12)-FIND("|",CD12)-1))),ABS($Q12-ABS(VALUE(MID(CD12,FIND("|",CD12)+1,FIND("-",CD12)-FIND("|",CD12)-1))-VALUE(MID(CD12,FIND("-",CD12)+1,10)))))*$D$50)))))*$I12,0)),0)</f>
        <v>0</v>
      </c>
      <c r="CF12" s="338"/>
      <c r="CG12" s="363"/>
      <c r="CH12" s="356" t="n">
        <f aca="false">IFERROR(IF($M12=CG12,($D$8+$D$9+$D$10)*$I12,IF($N12=LEFT(CG12,1),($D$8+MAX(0,IF($D$50=1,$D$9*(1-(ABS($Q12-ABS(VALUE(MID(CG12,FIND("|",CG12)+1,FIND("-",CG12)-FIND("|",CG12)-1))-VALUE(MID(CG12,FIND("-",CG12)+1,10)))))*$D$50),$D$9*(1-(IF($N12="X",ABS($O12-VALUE(MID(CG12,FIND("|",CG12)+1,FIND("-",CG12)-FIND("|",CG12)-1))),ABS($Q12-ABS(VALUE(MID(CG12,FIND("|",CG12)+1,FIND("-",CG12)-FIND("|",CG12)-1))-VALUE(MID(CG12,FIND("-",CG12)+1,10)))))*$D$50)))))*$I12,0)),0)</f>
        <v>0</v>
      </c>
      <c r="CI12" s="338"/>
      <c r="CJ12" s="363"/>
      <c r="CK12" s="356" t="n">
        <f aca="false">IFERROR(IF($M12=CJ12,($D$8+$D$9+$D$10)*$I12,IF($N12=LEFT(CJ12,1),($D$8+MAX(0,IF($D$50=1,$D$9*(1-(ABS($Q12-ABS(VALUE(MID(CJ12,FIND("|",CJ12)+1,FIND("-",CJ12)-FIND("|",CJ12)-1))-VALUE(MID(CJ12,FIND("-",CJ12)+1,10)))))*$D$50),$D$9*(1-(IF($N12="X",ABS($O12-VALUE(MID(CJ12,FIND("|",CJ12)+1,FIND("-",CJ12)-FIND("|",CJ12)-1))),ABS($Q12-ABS(VALUE(MID(CJ12,FIND("|",CJ12)+1,FIND("-",CJ12)-FIND("|",CJ12)-1))-VALUE(MID(CJ12,FIND("-",CJ12)+1,10)))))*$D$50)))))*$I12,0)),0)</f>
        <v>0</v>
      </c>
      <c r="CL12" s="338"/>
      <c r="CM12" s="363"/>
      <c r="CN12" s="356" t="n">
        <f aca="false">IFERROR(IF($M12=CM12,($D$8+$D$9+$D$10)*$I12,IF($N12=LEFT(CM12,1),($D$8+MAX(0,IF($D$50=1,$D$9*(1-(ABS($Q12-ABS(VALUE(MID(CM12,FIND("|",CM12)+1,FIND("-",CM12)-FIND("|",CM12)-1))-VALUE(MID(CM12,FIND("-",CM12)+1,10)))))*$D$50),$D$9*(1-(IF($N12="X",ABS($O12-VALUE(MID(CM12,FIND("|",CM12)+1,FIND("-",CM12)-FIND("|",CM12)-1))),ABS($Q12-ABS(VALUE(MID(CM12,FIND("|",CM12)+1,FIND("-",CM12)-FIND("|",CM12)-1))-VALUE(MID(CM12,FIND("-",CM12)+1,10)))))*$D$50)))))*$I12,0)),0)</f>
        <v>0</v>
      </c>
      <c r="CO12" s="338"/>
      <c r="CP12" s="363"/>
      <c r="CQ12" s="356" t="n">
        <f aca="false">IFERROR(IF($M12=CP12,($D$8+$D$9+$D$10)*$I12,IF($N12=LEFT(CP12,1),($D$8+MAX(0,IF($D$50=1,$D$9*(1-(ABS($Q12-ABS(VALUE(MID(CP12,FIND("|",CP12)+1,FIND("-",CP12)-FIND("|",CP12)-1))-VALUE(MID(CP12,FIND("-",CP12)+1,10)))))*$D$50),$D$9*(1-(IF($N12="X",ABS($O12-VALUE(MID(CP12,FIND("|",CP12)+1,FIND("-",CP12)-FIND("|",CP12)-1))),ABS($Q12-ABS(VALUE(MID(CP12,FIND("|",CP12)+1,FIND("-",CP12)-FIND("|",CP12)-1))-VALUE(MID(CP12,FIND("-",CP12)+1,10)))))*$D$50)))))*$I12,0)),0)</f>
        <v>0</v>
      </c>
      <c r="CR12" s="338"/>
      <c r="CS12" s="363"/>
      <c r="CT12" s="356" t="n">
        <f aca="false">IFERROR(IF($M12=CS12,($D$8+$D$9+$D$10)*$I12,IF($N12=LEFT(CS12,1),($D$8+MAX(0,IF($D$50=1,$D$9*(1-(ABS($Q12-ABS(VALUE(MID(CS12,FIND("|",CS12)+1,FIND("-",CS12)-FIND("|",CS12)-1))-VALUE(MID(CS12,FIND("-",CS12)+1,10)))))*$D$50),$D$9*(1-(IF($N12="X",ABS($O12-VALUE(MID(CS12,FIND("|",CS12)+1,FIND("-",CS12)-FIND("|",CS12)-1))),ABS($Q12-ABS(VALUE(MID(CS12,FIND("|",CS12)+1,FIND("-",CS12)-FIND("|",CS12)-1))-VALUE(MID(CS12,FIND("-",CS12)+1,10)))))*$D$50)))))*$I12,0)),0)</f>
        <v>0</v>
      </c>
      <c r="CU12" s="338"/>
      <c r="CV12" s="363"/>
      <c r="CW12" s="356" t="n">
        <f aca="false">IFERROR(IF($M12=CV12,($D$8+$D$9+$D$10)*$I12,IF($N12=LEFT(CV12,1),($D$8+MAX(0,IF($D$50=1,$D$9*(1-(ABS($Q12-ABS(VALUE(MID(CV12,FIND("|",CV12)+1,FIND("-",CV12)-FIND("|",CV12)-1))-VALUE(MID(CV12,FIND("-",CV12)+1,10)))))*$D$50),$D$9*(1-(IF($N12="X",ABS($O12-VALUE(MID(CV12,FIND("|",CV12)+1,FIND("-",CV12)-FIND("|",CV12)-1))),ABS($Q12-ABS(VALUE(MID(CV12,FIND("|",CV12)+1,FIND("-",CV12)-FIND("|",CV12)-1))-VALUE(MID(CV12,FIND("-",CV12)+1,10)))))*$D$50)))))*$I12,0)),0)</f>
        <v>0</v>
      </c>
      <c r="CX12" s="338"/>
      <c r="CY12" s="363"/>
      <c r="CZ12" s="356" t="n">
        <f aca="false">IFERROR(IF($M12=CY12,($D$8+$D$9+$D$10)*$I12,IF($N12=LEFT(CY12,1),($D$8+MAX(0,IF($D$50=1,$D$9*(1-(ABS($Q12-ABS(VALUE(MID(CY12,FIND("|",CY12)+1,FIND("-",CY12)-FIND("|",CY12)-1))-VALUE(MID(CY12,FIND("-",CY12)+1,10)))))*$D$50),$D$9*(1-(IF($N12="X",ABS($O12-VALUE(MID(CY12,FIND("|",CY12)+1,FIND("-",CY12)-FIND("|",CY12)-1))),ABS($Q12-ABS(VALUE(MID(CY12,FIND("|",CY12)+1,FIND("-",CY12)-FIND("|",CY12)-1))-VALUE(MID(CY12,FIND("-",CY12)+1,10)))))*$D$50)))))*$I12,0)),0)</f>
        <v>0</v>
      </c>
      <c r="DA12" s="338"/>
      <c r="DB12" s="363"/>
      <c r="DC12" s="356" t="n">
        <f aca="false">IFERROR(IF($M12=DB12,($D$8+$D$9+$D$10)*$I12,IF($N12=LEFT(DB12,1),($D$8+MAX(0,IF($D$50=1,$D$9*(1-(ABS($Q12-ABS(VALUE(MID(DB12,FIND("|",DB12)+1,FIND("-",DB12)-FIND("|",DB12)-1))-VALUE(MID(DB12,FIND("-",DB12)+1,10)))))*$D$50),$D$9*(1-(IF($N12="X",ABS($O12-VALUE(MID(DB12,FIND("|",DB12)+1,FIND("-",DB12)-FIND("|",DB12)-1))),ABS($Q12-ABS(VALUE(MID(DB12,FIND("|",DB12)+1,FIND("-",DB12)-FIND("|",DB12)-1))-VALUE(MID(DB12,FIND("-",DB12)+1,10)))))*$D$50)))))*$I12,0)),0)</f>
        <v>0</v>
      </c>
      <c r="DD12" s="338"/>
      <c r="DE12" s="363"/>
      <c r="DF12" s="356" t="n">
        <f aca="false">IFERROR(IF($M12=DE12,($D$8+$D$9+$D$10)*$I12,IF($N12=LEFT(DE12,1),($D$8+MAX(0,IF($D$50=1,$D$9*(1-(ABS($Q12-ABS(VALUE(MID(DE12,FIND("|",DE12)+1,FIND("-",DE12)-FIND("|",DE12)-1))-VALUE(MID(DE12,FIND("-",DE12)+1,10)))))*$D$50),$D$9*(1-(IF($N12="X",ABS($O12-VALUE(MID(DE12,FIND("|",DE12)+1,FIND("-",DE12)-FIND("|",DE12)-1))),ABS($Q12-ABS(VALUE(MID(DE12,FIND("|",DE12)+1,FIND("-",DE12)-FIND("|",DE12)-1))-VALUE(MID(DE12,FIND("-",DE12)+1,10)))))*$D$50)))))*$I12,0)),0)</f>
        <v>0</v>
      </c>
      <c r="DG12" s="338"/>
      <c r="DH12" s="363"/>
      <c r="DI12" s="356" t="n">
        <f aca="false">IFERROR(IF($M12=DH12,($D$8+$D$9+$D$10)*$I12,IF($N12=LEFT(DH12,1),($D$8+MAX(0,IF($D$50=1,$D$9*(1-(ABS($Q12-ABS(VALUE(MID(DH12,FIND("|",DH12)+1,FIND("-",DH12)-FIND("|",DH12)-1))-VALUE(MID(DH12,FIND("-",DH12)+1,10)))))*$D$50),$D$9*(1-(IF($N12="X",ABS($O12-VALUE(MID(DH12,FIND("|",DH12)+1,FIND("-",DH12)-FIND("|",DH12)-1))),ABS($Q12-ABS(VALUE(MID(DH12,FIND("|",DH12)+1,FIND("-",DH12)-FIND("|",DH12)-1))-VALUE(MID(DH12,FIND("-",DH12)+1,10)))))*$D$50)))))*$I12,0)),0)</f>
        <v>0</v>
      </c>
      <c r="DJ12" s="338"/>
      <c r="DK12" s="363"/>
      <c r="DL12" s="356" t="n">
        <f aca="false">IFERROR(IF($M12=DK12,($D$8+$D$9+$D$10)*$I12,IF($N12=LEFT(DK12,1),($D$8+MAX(0,IF($D$50=1,$D$9*(1-(ABS($Q12-ABS(VALUE(MID(DK12,FIND("|",DK12)+1,FIND("-",DK12)-FIND("|",DK12)-1))-VALUE(MID(DK12,FIND("-",DK12)+1,10)))))*$D$50),$D$9*(1-(IF($N12="X",ABS($O12-VALUE(MID(DK12,FIND("|",DK12)+1,FIND("-",DK12)-FIND("|",DK12)-1))),ABS($Q12-ABS(VALUE(MID(DK12,FIND("|",DK12)+1,FIND("-",DK12)-FIND("|",DK12)-1))-VALUE(MID(DK12,FIND("-",DK12)+1,10)))))*$D$50)))))*$I12,0)),0)</f>
        <v>0</v>
      </c>
      <c r="DM12" s="338"/>
      <c r="DN12" s="363"/>
      <c r="DO12" s="356" t="n">
        <f aca="false">IFERROR(IF($M12=DN12,($D$8+$D$9+$D$10)*$I12,IF($N12=LEFT(DN12,1),($D$8+MAX(0,IF($D$50=1,$D$9*(1-(ABS($Q12-ABS(VALUE(MID(DN12,FIND("|",DN12)+1,FIND("-",DN12)-FIND("|",DN12)-1))-VALUE(MID(DN12,FIND("-",DN12)+1,10)))))*$D$50),$D$9*(1-(IF($N12="X",ABS($O12-VALUE(MID(DN12,FIND("|",DN12)+1,FIND("-",DN12)-FIND("|",DN12)-1))),ABS($Q12-ABS(VALUE(MID(DN12,FIND("|",DN12)+1,FIND("-",DN12)-FIND("|",DN12)-1))-VALUE(MID(DN12,FIND("-",DN12)+1,10)))))*$D$50)))))*$I12,0)),0)</f>
        <v>0</v>
      </c>
      <c r="DP12" s="338"/>
      <c r="DQ12" s="363"/>
      <c r="DR12" s="356" t="n">
        <f aca="false">IFERROR(IF($M12=DQ12,($D$8+$D$9+$D$10)*$I12,IF($N12=LEFT(DQ12,1),($D$8+MAX(0,IF($D$50=1,$D$9*(1-(ABS($Q12-ABS(VALUE(MID(DQ12,FIND("|",DQ12)+1,FIND("-",DQ12)-FIND("|",DQ12)-1))-VALUE(MID(DQ12,FIND("-",DQ12)+1,10)))))*$D$50),$D$9*(1-(IF($N12="X",ABS($O12-VALUE(MID(DQ12,FIND("|",DQ12)+1,FIND("-",DQ12)-FIND("|",DQ12)-1))),ABS($Q12-ABS(VALUE(MID(DQ12,FIND("|",DQ12)+1,FIND("-",DQ12)-FIND("|",DQ12)-1))-VALUE(MID(DQ12,FIND("-",DQ12)+1,10)))))*$D$50)))))*$I12,0)),0)</f>
        <v>0</v>
      </c>
      <c r="DS12" s="338"/>
      <c r="DT12" s="363"/>
      <c r="DU12" s="356" t="n">
        <f aca="false">IFERROR(IF($M12=DT12,($D$8+$D$9+$D$10)*$I12,IF($N12=LEFT(DT12,1),($D$8+MAX(0,IF($D$50=1,$D$9*(1-(ABS($Q12-ABS(VALUE(MID(DT12,FIND("|",DT12)+1,FIND("-",DT12)-FIND("|",DT12)-1))-VALUE(MID(DT12,FIND("-",DT12)+1,10)))))*$D$50),$D$9*(1-(IF($N12="X",ABS($O12-VALUE(MID(DT12,FIND("|",DT12)+1,FIND("-",DT12)-FIND("|",DT12)-1))),ABS($Q12-ABS(VALUE(MID(DT12,FIND("|",DT12)+1,FIND("-",DT12)-FIND("|",DT12)-1))-VALUE(MID(DT12,FIND("-",DT12)+1,10)))))*$D$50)))))*$I12,0)),0)</f>
        <v>0</v>
      </c>
      <c r="DV12" s="338"/>
      <c r="DW12" s="363"/>
      <c r="DX12" s="356" t="n">
        <f aca="false">IFERROR(IF($M12=DW12,($D$8+$D$9+$D$10)*$I12,IF($N12=LEFT(DW12,1),($D$8+MAX(0,IF($D$50=1,$D$9*(1-(ABS($Q12-ABS(VALUE(MID(DW12,FIND("|",DW12)+1,FIND("-",DW12)-FIND("|",DW12)-1))-VALUE(MID(DW12,FIND("-",DW12)+1,10)))))*$D$50),$D$9*(1-(IF($N12="X",ABS($O12-VALUE(MID(DW12,FIND("|",DW12)+1,FIND("-",DW12)-FIND("|",DW12)-1))),ABS($Q12-ABS(VALUE(MID(DW12,FIND("|",DW12)+1,FIND("-",DW12)-FIND("|",DW12)-1))-VALUE(MID(DW12,FIND("-",DW12)+1,10)))))*$D$50)))))*$I12,0)),0)</f>
        <v>0</v>
      </c>
      <c r="DY12" s="338"/>
      <c r="DZ12" s="363"/>
      <c r="EA12" s="356" t="n">
        <f aca="false">IFERROR(IF($M12=DZ12,($D$8+$D$9+$D$10)*$I12,IF($N12=LEFT(DZ12,1),($D$8+MAX(0,IF($D$50=1,$D$9*(1-(ABS($Q12-ABS(VALUE(MID(DZ12,FIND("|",DZ12)+1,FIND("-",DZ12)-FIND("|",DZ12)-1))-VALUE(MID(DZ12,FIND("-",DZ12)+1,10)))))*$D$50),$D$9*(1-(IF($N12="X",ABS($O12-VALUE(MID(DZ12,FIND("|",DZ12)+1,FIND("-",DZ12)-FIND("|",DZ12)-1))),ABS($Q12-ABS(VALUE(MID(DZ12,FIND("|",DZ12)+1,FIND("-",DZ12)-FIND("|",DZ12)-1))-VALUE(MID(DZ12,FIND("-",DZ12)+1,10)))))*$D$50)))))*$I12,0)),0)</f>
        <v>0</v>
      </c>
      <c r="EB12" s="338"/>
      <c r="EC12" s="363"/>
      <c r="ED12" s="356" t="n">
        <f aca="false">IFERROR(IF($M12=EC12,($D$8+$D$9+$D$10)*$I12,IF($N12=LEFT(EC12,1),($D$8+MAX(0,IF($D$50=1,$D$9*(1-(ABS($Q12-ABS(VALUE(MID(EC12,FIND("|",EC12)+1,FIND("-",EC12)-FIND("|",EC12)-1))-VALUE(MID(EC12,FIND("-",EC12)+1,10)))))*$D$50),$D$9*(1-(IF($N12="X",ABS($O12-VALUE(MID(EC12,FIND("|",EC12)+1,FIND("-",EC12)-FIND("|",EC12)-1))),ABS($Q12-ABS(VALUE(MID(EC12,FIND("|",EC12)+1,FIND("-",EC12)-FIND("|",EC12)-1))-VALUE(MID(EC12,FIND("-",EC12)+1,10)))))*$D$50)))))*$I12,0)),0)</f>
        <v>0</v>
      </c>
      <c r="EE12" s="338"/>
      <c r="EF12" s="363"/>
      <c r="EG12" s="356" t="n">
        <f aca="false">IFERROR(IF($M12=EF12,($D$8+$D$9+$D$10)*$I12,IF($N12=LEFT(EF12,1),($D$8+MAX(0,IF($D$50=1,$D$9*(1-(ABS($Q12-ABS(VALUE(MID(EF12,FIND("|",EF12)+1,FIND("-",EF12)-FIND("|",EF12)-1))-VALUE(MID(EF12,FIND("-",EF12)+1,10)))))*$D$50),$D$9*(1-(IF($N12="X",ABS($O12-VALUE(MID(EF12,FIND("|",EF12)+1,FIND("-",EF12)-FIND("|",EF12)-1))),ABS($Q12-ABS(VALUE(MID(EF12,FIND("|",EF12)+1,FIND("-",EF12)-FIND("|",EF12)-1))-VALUE(MID(EF12,FIND("-",EF12)+1,10)))))*$D$50)))))*$I12,0)),0)</f>
        <v>0</v>
      </c>
      <c r="EH12" s="338"/>
      <c r="EI12" s="338"/>
    </row>
    <row r="13" customFormat="false" ht="15" hidden="false" customHeight="false" outlineLevel="0" collapsed="false">
      <c r="A13" s="327"/>
      <c r="B13" s="327"/>
      <c r="C13" s="364" t="str">
        <f aca="false">Idiomas!D309</f>
        <v>FASE DE GRUPOS - Posición exacta (3º)</v>
      </c>
      <c r="D13" s="365" t="n">
        <v>5</v>
      </c>
      <c r="E13" s="334"/>
      <c r="F13" s="343" t="n">
        <f aca="false">SUM($D$8:$D$10)*I13</f>
        <v>17</v>
      </c>
      <c r="G13" s="343" t="n">
        <f aca="false">VLOOKUP(H13,Equipos!$Q$1:$R$25,2,0)</f>
        <v>4</v>
      </c>
      <c r="H13" s="351" t="n">
        <f aca="false">TRUNC(INDEX(WORLDCUP!$X$4:$X$147,MATCH(ADMIN!K13,WORLDCUP!$DT$4:$DT$147,0))+INDEX(Horarios!$R$3:$R$86,MATCH(Horarios!$C$3,Horarios!$P$3:$P$86,0))/24)</f>
        <v>46187</v>
      </c>
      <c r="I13" s="352" t="n">
        <v>1</v>
      </c>
      <c r="J13" s="362" t="s">
        <v>280</v>
      </c>
      <c r="K13" s="354" t="str">
        <f aca="false">CONCATENATE(WORLDCUP!AA29,"-",WORLDCUP!AF29)</f>
        <v>Australia-Turquía</v>
      </c>
      <c r="L13" s="354"/>
      <c r="M13" s="359" t="str">
        <f aca="false">IF(OR(WORLDCUP!AC29="",WORLDCUP!AD29=""),"-",N13&amp;"|"&amp;O13&amp;"-"&amp;P13)</f>
        <v>1|2-0</v>
      </c>
      <c r="N13" s="332" t="str">
        <f aca="false">IF(OR(WORLDCUP!AC29="",WORLDCUP!AD29=""),"",IF(WORLDCUP!AC29&gt;WORLDCUP!AD29,"1",IF(WORLDCUP!AC29&lt;WORLDCUP!AD29,"2","X")))</f>
        <v>1</v>
      </c>
      <c r="O13" s="332" t="n">
        <f aca="false">WORLDCUP!AC29</f>
        <v>2</v>
      </c>
      <c r="P13" s="332" t="n">
        <f aca="false">WORLDCUP!AD29</f>
        <v>0</v>
      </c>
      <c r="Q13" s="332" t="n">
        <f aca="false">ABS(O13-P13)</f>
        <v>2</v>
      </c>
      <c r="R13" s="327"/>
      <c r="S13" s="363" t="s">
        <v>277</v>
      </c>
      <c r="T13" s="356" t="n">
        <f aca="false">IFERROR(IF($M13=S13,($D$8+$D$9+$D$10)*$I13,IF($N13=LEFT(S13,1),($D$8+MAX(0,IF($D$50=1,$D$9*(1-(ABS($Q13-ABS(VALUE(MID(S13,FIND("|",S13)+1,FIND("-",S13)-FIND("|",S13)-1))-VALUE(MID(S13,FIND("-",S13)+1,10)))))*$D$50),$D$9*(1-(IF($N13="X",ABS($O13-VALUE(MID(S13,FIND("|",S13)+1,FIND("-",S13)-FIND("|",S13)-1))),ABS($Q13-ABS(VALUE(MID(S13,FIND("|",S13)+1,FIND("-",S13)-FIND("|",S13)-1))-VALUE(MID(S13,FIND("-",S13)+1,10)))))*$D$50)))))*$I13,0)),0)</f>
        <v>0</v>
      </c>
      <c r="U13" s="338"/>
      <c r="V13" s="363" t="s">
        <v>268</v>
      </c>
      <c r="W13" s="356" t="n">
        <f aca="false">IFERROR(IF($M13=V13,($D$8+$D$9+$D$10)*$I13,IF($N13=LEFT(V13,1),($D$8+MAX(0,IF($D$50=1,$D$9*(1-(ABS($Q13-ABS(VALUE(MID(V13,FIND("|",V13)+1,FIND("-",V13)-FIND("|",V13)-1))-VALUE(MID(V13,FIND("-",V13)+1,10)))))*$D$50),$D$9*(1-(IF($N13="X",ABS($O13-VALUE(MID(V13,FIND("|",V13)+1,FIND("-",V13)-FIND("|",V13)-1))),ABS($Q13-ABS(VALUE(MID(V13,FIND("|",V13)+1,FIND("-",V13)-FIND("|",V13)-1))-VALUE(MID(V13,FIND("-",V13)+1,10)))))*$D$50)))))*$I13,0)),0)</f>
        <v>0</v>
      </c>
      <c r="X13" s="338"/>
      <c r="Y13" s="363" t="s">
        <v>268</v>
      </c>
      <c r="Z13" s="356" t="n">
        <f aca="false">IFERROR(IF($M13=Y13,($D$8+$D$9+$D$10)*$I13,IF($N13=LEFT(Y13,1),($D$8+MAX(0,IF($D$50=1,$D$9*(1-(ABS($Q13-ABS(VALUE(MID(Y13,FIND("|",Y13)+1,FIND("-",Y13)-FIND("|",Y13)-1))-VALUE(MID(Y13,FIND("-",Y13)+1,10)))))*$D$50),$D$9*(1-(IF($N13="X",ABS($O13-VALUE(MID(Y13,FIND("|",Y13)+1,FIND("-",Y13)-FIND("|",Y13)-1))),ABS($Q13-ABS(VALUE(MID(Y13,FIND("|",Y13)+1,FIND("-",Y13)-FIND("|",Y13)-1))-VALUE(MID(Y13,FIND("-",Y13)+1,10)))))*$D$50)))))*$I13,0)),0)</f>
        <v>0</v>
      </c>
      <c r="AA13" s="338"/>
      <c r="AB13" s="363" t="s">
        <v>268</v>
      </c>
      <c r="AC13" s="356" t="n">
        <f aca="false">IFERROR(IF($M13=AB13,($D$8+$D$9+$D$10)*$I13,IF($N13=LEFT(AB13,1),($D$8+MAX(0,IF($D$50=1,$D$9*(1-(ABS($Q13-ABS(VALUE(MID(AB13,FIND("|",AB13)+1,FIND("-",AB13)-FIND("|",AB13)-1))-VALUE(MID(AB13,FIND("-",AB13)+1,10)))))*$D$50),$D$9*(1-(IF($N13="X",ABS($O13-VALUE(MID(AB13,FIND("|",AB13)+1,FIND("-",AB13)-FIND("|",AB13)-1))),ABS($Q13-ABS(VALUE(MID(AB13,FIND("|",AB13)+1,FIND("-",AB13)-FIND("|",AB13)-1))-VALUE(MID(AB13,FIND("-",AB13)+1,10)))))*$D$50)))))*$I13,0)),0)</f>
        <v>0</v>
      </c>
      <c r="AD13" s="338"/>
      <c r="AE13" s="363" t="s">
        <v>274</v>
      </c>
      <c r="AF13" s="356" t="n">
        <f aca="false">IFERROR(IF($M13=AE13,($D$8+$D$9+$D$10)*$I13,IF($N13=LEFT(AE13,1),($D$8+MAX(0,IF($D$50=1,$D$9*(1-(ABS($Q13-ABS(VALUE(MID(AE13,FIND("|",AE13)+1,FIND("-",AE13)-FIND("|",AE13)-1))-VALUE(MID(AE13,FIND("-",AE13)+1,10)))))*$D$50),$D$9*(1-(IF($N13="X",ABS($O13-VALUE(MID(AE13,FIND("|",AE13)+1,FIND("-",AE13)-FIND("|",AE13)-1))),ABS($Q13-ABS(VALUE(MID(AE13,FIND("|",AE13)+1,FIND("-",AE13)-FIND("|",AE13)-1))-VALUE(MID(AE13,FIND("-",AE13)+1,10)))))*$D$50)))))*$I13,0)),0)</f>
        <v>0</v>
      </c>
      <c r="AG13" s="338"/>
      <c r="AH13" s="363" t="s">
        <v>268</v>
      </c>
      <c r="AI13" s="356" t="n">
        <f aca="false">IFERROR(IF($M13=AH13,($D$8+$D$9+$D$10)*$I13,IF($N13=LEFT(AH13,1),($D$8+MAX(0,IF($D$50=1,$D$9*(1-(ABS($Q13-ABS(VALUE(MID(AH13,FIND("|",AH13)+1,FIND("-",AH13)-FIND("|",AH13)-1))-VALUE(MID(AH13,FIND("-",AH13)+1,10)))))*$D$50),$D$9*(1-(IF($N13="X",ABS($O13-VALUE(MID(AH13,FIND("|",AH13)+1,FIND("-",AH13)-FIND("|",AH13)-1))),ABS($Q13-ABS(VALUE(MID(AH13,FIND("|",AH13)+1,FIND("-",AH13)-FIND("|",AH13)-1))-VALUE(MID(AH13,FIND("-",AH13)+1,10)))))*$D$50)))))*$I13,0)),0)</f>
        <v>0</v>
      </c>
      <c r="AJ13" s="338"/>
      <c r="AK13" s="363" t="s">
        <v>267</v>
      </c>
      <c r="AL13" s="356" t="n">
        <f aca="false">IFERROR(IF($M13=AK13,($D$8+$D$9+$D$10)*$I13,IF($N13=LEFT(AK13,1),($D$8+MAX(0,IF($D$50=1,$D$9*(1-(ABS($Q13-ABS(VALUE(MID(AK13,FIND("|",AK13)+1,FIND("-",AK13)-FIND("|",AK13)-1))-VALUE(MID(AK13,FIND("-",AK13)+1,10)))))*$D$50),$D$9*(1-(IF($N13="X",ABS($O13-VALUE(MID(AK13,FIND("|",AK13)+1,FIND("-",AK13)-FIND("|",AK13)-1))),ABS($Q13-ABS(VALUE(MID(AK13,FIND("|",AK13)+1,FIND("-",AK13)-FIND("|",AK13)-1))-VALUE(MID(AK13,FIND("-",AK13)+1,10)))))*$D$50)))))*$I13,0)),0)</f>
        <v>0</v>
      </c>
      <c r="AM13" s="338"/>
      <c r="AN13" s="363" t="s">
        <v>274</v>
      </c>
      <c r="AO13" s="356" t="n">
        <f aca="false">IFERROR(IF($M13=AN13,($D$8+$D$9+$D$10)*$I13,IF($N13=LEFT(AN13,1),($D$8+MAX(0,IF($D$50=1,$D$9*(1-(ABS($Q13-ABS(VALUE(MID(AN13,FIND("|",AN13)+1,FIND("-",AN13)-FIND("|",AN13)-1))-VALUE(MID(AN13,FIND("-",AN13)+1,10)))))*$D$50),$D$9*(1-(IF($N13="X",ABS($O13-VALUE(MID(AN13,FIND("|",AN13)+1,FIND("-",AN13)-FIND("|",AN13)-1))),ABS($Q13-ABS(VALUE(MID(AN13,FIND("|",AN13)+1,FIND("-",AN13)-FIND("|",AN13)-1))-VALUE(MID(AN13,FIND("-",AN13)+1,10)))))*$D$50)))))*$I13,0)),0)</f>
        <v>0</v>
      </c>
      <c r="AP13" s="338"/>
      <c r="AQ13" s="363" t="s">
        <v>281</v>
      </c>
      <c r="AR13" s="356" t="n">
        <f aca="false">IFERROR(IF($M13=AQ13,($D$8+$D$9+$D$10)*$I13,IF($N13=LEFT(AQ13,1),($D$8+MAX(0,IF($D$50=1,$D$9*(1-(ABS($Q13-ABS(VALUE(MID(AQ13,FIND("|",AQ13)+1,FIND("-",AQ13)-FIND("|",AQ13)-1))-VALUE(MID(AQ13,FIND("-",AQ13)+1,10)))))*$D$50),$D$9*(1-(IF($N13="X",ABS($O13-VALUE(MID(AQ13,FIND("|",AQ13)+1,FIND("-",AQ13)-FIND("|",AQ13)-1))),ABS($Q13-ABS(VALUE(MID(AQ13,FIND("|",AQ13)+1,FIND("-",AQ13)-FIND("|",AQ13)-1))-VALUE(MID(AQ13,FIND("-",AQ13)+1,10)))))*$D$50)))))*$I13,0)),0)</f>
        <v>0</v>
      </c>
      <c r="AS13" s="338"/>
      <c r="AT13" s="363" t="s">
        <v>274</v>
      </c>
      <c r="AU13" s="356" t="n">
        <f aca="false">IFERROR(IF($M13=AT13,($D$8+$D$9+$D$10)*$I13,IF($N13=LEFT(AT13,1),($D$8+MAX(0,IF($D$50=1,$D$9*(1-(ABS($Q13-ABS(VALUE(MID(AT13,FIND("|",AT13)+1,FIND("-",AT13)-FIND("|",AT13)-1))-VALUE(MID(AT13,FIND("-",AT13)+1,10)))))*$D$50),$D$9*(1-(IF($N13="X",ABS($O13-VALUE(MID(AT13,FIND("|",AT13)+1,FIND("-",AT13)-FIND("|",AT13)-1))),ABS($Q13-ABS(VALUE(MID(AT13,FIND("|",AT13)+1,FIND("-",AT13)-FIND("|",AT13)-1))-VALUE(MID(AT13,FIND("-",AT13)+1,10)))))*$D$50)))))*$I13,0)),0)</f>
        <v>0</v>
      </c>
      <c r="AV13" s="338"/>
      <c r="AW13" s="363" t="s">
        <v>271</v>
      </c>
      <c r="AX13" s="356" t="n">
        <f aca="false">IFERROR(IF($M13=AW13,($D$8+$D$9+$D$10)*$I13,IF($N13=LEFT(AW13,1),($D$8+MAX(0,IF($D$50=1,$D$9*(1-(ABS($Q13-ABS(VALUE(MID(AW13,FIND("|",AW13)+1,FIND("-",AW13)-FIND("|",AW13)-1))-VALUE(MID(AW13,FIND("-",AW13)+1,10)))))*$D$50),$D$9*(1-(IF($N13="X",ABS($O13-VALUE(MID(AW13,FIND("|",AW13)+1,FIND("-",AW13)-FIND("|",AW13)-1))),ABS($Q13-ABS(VALUE(MID(AW13,FIND("|",AW13)+1,FIND("-",AW13)-FIND("|",AW13)-1))-VALUE(MID(AW13,FIND("-",AW13)+1,10)))))*$D$50)))))*$I13,0)),0)</f>
        <v>0</v>
      </c>
      <c r="AY13" s="338"/>
      <c r="AZ13" s="363" t="s">
        <v>274</v>
      </c>
      <c r="BA13" s="356" t="n">
        <f aca="false">IFERROR(IF($M13=AZ13,($D$8+$D$9+$D$10)*$I13,IF($N13=LEFT(AZ13,1),($D$8+MAX(0,IF($D$50=1,$D$9*(1-(ABS($Q13-ABS(VALUE(MID(AZ13,FIND("|",AZ13)+1,FIND("-",AZ13)-FIND("|",AZ13)-1))-VALUE(MID(AZ13,FIND("-",AZ13)+1,10)))))*$D$50),$D$9*(1-(IF($N13="X",ABS($O13-VALUE(MID(AZ13,FIND("|",AZ13)+1,FIND("-",AZ13)-FIND("|",AZ13)-1))),ABS($Q13-ABS(VALUE(MID(AZ13,FIND("|",AZ13)+1,FIND("-",AZ13)-FIND("|",AZ13)-1))-VALUE(MID(AZ13,FIND("-",AZ13)+1,10)))))*$D$50)))))*$I13,0)),0)</f>
        <v>0</v>
      </c>
      <c r="BB13" s="338"/>
      <c r="BC13" s="363" t="s">
        <v>274</v>
      </c>
      <c r="BD13" s="356" t="n">
        <f aca="false">IFERROR(IF($M13=BC13,($D$8+$D$9+$D$10)*$I13,IF($N13=LEFT(BC13,1),($D$8+MAX(0,IF($D$50=1,$D$9*(1-(ABS($Q13-ABS(VALUE(MID(BC13,FIND("|",BC13)+1,FIND("-",BC13)-FIND("|",BC13)-1))-VALUE(MID(BC13,FIND("-",BC13)+1,10)))))*$D$50),$D$9*(1-(IF($N13="X",ABS($O13-VALUE(MID(BC13,FIND("|",BC13)+1,FIND("-",BC13)-FIND("|",BC13)-1))),ABS($Q13-ABS(VALUE(MID(BC13,FIND("|",BC13)+1,FIND("-",BC13)-FIND("|",BC13)-1))-VALUE(MID(BC13,FIND("-",BC13)+1,10)))))*$D$50)))))*$I13,0)),0)</f>
        <v>0</v>
      </c>
      <c r="BE13" s="338"/>
      <c r="BF13" s="363" t="s">
        <v>271</v>
      </c>
      <c r="BG13" s="356" t="n">
        <f aca="false">IFERROR(IF($M13=BF13,($D$8+$D$9+$D$10)*$I13,IF($N13=LEFT(BF13,1),($D$8+MAX(0,IF($D$50=1,$D$9*(1-(ABS($Q13-ABS(VALUE(MID(BF13,FIND("|",BF13)+1,FIND("-",BF13)-FIND("|",BF13)-1))-VALUE(MID(BF13,FIND("-",BF13)+1,10)))))*$D$50),$D$9*(1-(IF($N13="X",ABS($O13-VALUE(MID(BF13,FIND("|",BF13)+1,FIND("-",BF13)-FIND("|",BF13)-1))),ABS($Q13-ABS(VALUE(MID(BF13,FIND("|",BF13)+1,FIND("-",BF13)-FIND("|",BF13)-1))-VALUE(MID(BF13,FIND("-",BF13)+1,10)))))*$D$50)))))*$I13,0)),0)</f>
        <v>0</v>
      </c>
      <c r="BH13" s="338"/>
      <c r="BI13" s="363" t="s">
        <v>271</v>
      </c>
      <c r="BJ13" s="356" t="n">
        <f aca="false">IFERROR(IF($M13=BI13,($D$8+$D$9+$D$10)*$I13,IF($N13=LEFT(BI13,1),($D$8+MAX(0,IF($D$50=1,$D$9*(1-(ABS($Q13-ABS(VALUE(MID(BI13,FIND("|",BI13)+1,FIND("-",BI13)-FIND("|",BI13)-1))-VALUE(MID(BI13,FIND("-",BI13)+1,10)))))*$D$50),$D$9*(1-(IF($N13="X",ABS($O13-VALUE(MID(BI13,FIND("|",BI13)+1,FIND("-",BI13)-FIND("|",BI13)-1))),ABS($Q13-ABS(VALUE(MID(BI13,FIND("|",BI13)+1,FIND("-",BI13)-FIND("|",BI13)-1))-VALUE(MID(BI13,FIND("-",BI13)+1,10)))))*$D$50)))))*$I13,0)),0)</f>
        <v>0</v>
      </c>
      <c r="BK13" s="338"/>
      <c r="BL13" s="363" t="s">
        <v>268</v>
      </c>
      <c r="BM13" s="356" t="n">
        <f aca="false">IFERROR(IF($M13=BL13,($D$8+$D$9+$D$10)*$I13,IF($N13=LEFT(BL13,1),($D$8+MAX(0,IF($D$50=1,$D$9*(1-(ABS($Q13-ABS(VALUE(MID(BL13,FIND("|",BL13)+1,FIND("-",BL13)-FIND("|",BL13)-1))-VALUE(MID(BL13,FIND("-",BL13)+1,10)))))*$D$50),$D$9*(1-(IF($N13="X",ABS($O13-VALUE(MID(BL13,FIND("|",BL13)+1,FIND("-",BL13)-FIND("|",BL13)-1))),ABS($Q13-ABS(VALUE(MID(BL13,FIND("|",BL13)+1,FIND("-",BL13)-FIND("|",BL13)-1))-VALUE(MID(BL13,FIND("-",BL13)+1,10)))))*$D$50)))))*$I13,0)),0)</f>
        <v>0</v>
      </c>
      <c r="BN13" s="338"/>
      <c r="BO13" s="363" t="s">
        <v>274</v>
      </c>
      <c r="BP13" s="356" t="n">
        <f aca="false">IFERROR(IF($M13=BO13,($D$8+$D$9+$D$10)*$I13,IF($N13=LEFT(BO13,1),($D$8+MAX(0,IF($D$50=1,$D$9*(1-(ABS($Q13-ABS(VALUE(MID(BO13,FIND("|",BO13)+1,FIND("-",BO13)-FIND("|",BO13)-1))-VALUE(MID(BO13,FIND("-",BO13)+1,10)))))*$D$50),$D$9*(1-(IF($N13="X",ABS($O13-VALUE(MID(BO13,FIND("|",BO13)+1,FIND("-",BO13)-FIND("|",BO13)-1))),ABS($Q13-ABS(VALUE(MID(BO13,FIND("|",BO13)+1,FIND("-",BO13)-FIND("|",BO13)-1))-VALUE(MID(BO13,FIND("-",BO13)+1,10)))))*$D$50)))))*$I13,0)),0)</f>
        <v>0</v>
      </c>
      <c r="BQ13" s="338"/>
      <c r="BR13" s="363" t="s">
        <v>268</v>
      </c>
      <c r="BS13" s="356" t="n">
        <f aca="false">IFERROR(IF($M13=BR13,($D$8+$D$9+$D$10)*$I13,IF($N13=LEFT(BR13,1),($D$8+MAX(0,IF($D$50=1,$D$9*(1-(ABS($Q13-ABS(VALUE(MID(BR13,FIND("|",BR13)+1,FIND("-",BR13)-FIND("|",BR13)-1))-VALUE(MID(BR13,FIND("-",BR13)+1,10)))))*$D$50),$D$9*(1-(IF($N13="X",ABS($O13-VALUE(MID(BR13,FIND("|",BR13)+1,FIND("-",BR13)-FIND("|",BR13)-1))),ABS($Q13-ABS(VALUE(MID(BR13,FIND("|",BR13)+1,FIND("-",BR13)-FIND("|",BR13)-1))-VALUE(MID(BR13,FIND("-",BR13)+1,10)))))*$D$50)))))*$I13,0)),0)</f>
        <v>0</v>
      </c>
      <c r="BT13" s="338"/>
      <c r="BU13" s="363"/>
      <c r="BV13" s="356" t="n">
        <f aca="false">IFERROR(IF($M13=BU13,($D$8+$D$9+$D$10)*$I13,IF($N13=LEFT(BU13,1),($D$8+MAX(0,IF($D$50=1,$D$9*(1-(ABS($Q13-ABS(VALUE(MID(BU13,FIND("|",BU13)+1,FIND("-",BU13)-FIND("|",BU13)-1))-VALUE(MID(BU13,FIND("-",BU13)+1,10)))))*$D$50),$D$9*(1-(IF($N13="X",ABS($O13-VALUE(MID(BU13,FIND("|",BU13)+1,FIND("-",BU13)-FIND("|",BU13)-1))),ABS($Q13-ABS(VALUE(MID(BU13,FIND("|",BU13)+1,FIND("-",BU13)-FIND("|",BU13)-1))-VALUE(MID(BU13,FIND("-",BU13)+1,10)))))*$D$50)))))*$I13,0)),0)</f>
        <v>0</v>
      </c>
      <c r="BW13" s="338"/>
      <c r="BX13" s="363"/>
      <c r="BY13" s="356" t="n">
        <f aca="false">IFERROR(IF($M13=BX13,($D$8+$D$9+$D$10)*$I13,IF($N13=LEFT(BX13,1),($D$8+MAX(0,IF($D$50=1,$D$9*(1-(ABS($Q13-ABS(VALUE(MID(BX13,FIND("|",BX13)+1,FIND("-",BX13)-FIND("|",BX13)-1))-VALUE(MID(BX13,FIND("-",BX13)+1,10)))))*$D$50),$D$9*(1-(IF($N13="X",ABS($O13-VALUE(MID(BX13,FIND("|",BX13)+1,FIND("-",BX13)-FIND("|",BX13)-1))),ABS($Q13-ABS(VALUE(MID(BX13,FIND("|",BX13)+1,FIND("-",BX13)-FIND("|",BX13)-1))-VALUE(MID(BX13,FIND("-",BX13)+1,10)))))*$D$50)))))*$I13,0)),0)</f>
        <v>0</v>
      </c>
      <c r="BZ13" s="338"/>
      <c r="CA13" s="363"/>
      <c r="CB13" s="356" t="n">
        <f aca="false">IFERROR(IF($M13=CA13,($D$8+$D$9+$D$10)*$I13,IF($N13=LEFT(CA13,1),($D$8+MAX(0,IF($D$50=1,$D$9*(1-(ABS($Q13-ABS(VALUE(MID(CA13,FIND("|",CA13)+1,FIND("-",CA13)-FIND("|",CA13)-1))-VALUE(MID(CA13,FIND("-",CA13)+1,10)))))*$D$50),$D$9*(1-(IF($N13="X",ABS($O13-VALUE(MID(CA13,FIND("|",CA13)+1,FIND("-",CA13)-FIND("|",CA13)-1))),ABS($Q13-ABS(VALUE(MID(CA13,FIND("|",CA13)+1,FIND("-",CA13)-FIND("|",CA13)-1))-VALUE(MID(CA13,FIND("-",CA13)+1,10)))))*$D$50)))))*$I13,0)),0)</f>
        <v>0</v>
      </c>
      <c r="CC13" s="338"/>
      <c r="CD13" s="363"/>
      <c r="CE13" s="356" t="n">
        <f aca="false">IFERROR(IF($M13=CD13,($D$8+$D$9+$D$10)*$I13,IF($N13=LEFT(CD13,1),($D$8+MAX(0,IF($D$50=1,$D$9*(1-(ABS($Q13-ABS(VALUE(MID(CD13,FIND("|",CD13)+1,FIND("-",CD13)-FIND("|",CD13)-1))-VALUE(MID(CD13,FIND("-",CD13)+1,10)))))*$D$50),$D$9*(1-(IF($N13="X",ABS($O13-VALUE(MID(CD13,FIND("|",CD13)+1,FIND("-",CD13)-FIND("|",CD13)-1))),ABS($Q13-ABS(VALUE(MID(CD13,FIND("|",CD13)+1,FIND("-",CD13)-FIND("|",CD13)-1))-VALUE(MID(CD13,FIND("-",CD13)+1,10)))))*$D$50)))))*$I13,0)),0)</f>
        <v>0</v>
      </c>
      <c r="CF13" s="338"/>
      <c r="CG13" s="363"/>
      <c r="CH13" s="356" t="n">
        <f aca="false">IFERROR(IF($M13=CG13,($D$8+$D$9+$D$10)*$I13,IF($N13=LEFT(CG13,1),($D$8+MAX(0,IF($D$50=1,$D$9*(1-(ABS($Q13-ABS(VALUE(MID(CG13,FIND("|",CG13)+1,FIND("-",CG13)-FIND("|",CG13)-1))-VALUE(MID(CG13,FIND("-",CG13)+1,10)))))*$D$50),$D$9*(1-(IF($N13="X",ABS($O13-VALUE(MID(CG13,FIND("|",CG13)+1,FIND("-",CG13)-FIND("|",CG13)-1))),ABS($Q13-ABS(VALUE(MID(CG13,FIND("|",CG13)+1,FIND("-",CG13)-FIND("|",CG13)-1))-VALUE(MID(CG13,FIND("-",CG13)+1,10)))))*$D$50)))))*$I13,0)),0)</f>
        <v>0</v>
      </c>
      <c r="CI13" s="338"/>
      <c r="CJ13" s="363"/>
      <c r="CK13" s="356" t="n">
        <f aca="false">IFERROR(IF($M13=CJ13,($D$8+$D$9+$D$10)*$I13,IF($N13=LEFT(CJ13,1),($D$8+MAX(0,IF($D$50=1,$D$9*(1-(ABS($Q13-ABS(VALUE(MID(CJ13,FIND("|",CJ13)+1,FIND("-",CJ13)-FIND("|",CJ13)-1))-VALUE(MID(CJ13,FIND("-",CJ13)+1,10)))))*$D$50),$D$9*(1-(IF($N13="X",ABS($O13-VALUE(MID(CJ13,FIND("|",CJ13)+1,FIND("-",CJ13)-FIND("|",CJ13)-1))),ABS($Q13-ABS(VALUE(MID(CJ13,FIND("|",CJ13)+1,FIND("-",CJ13)-FIND("|",CJ13)-1))-VALUE(MID(CJ13,FIND("-",CJ13)+1,10)))))*$D$50)))))*$I13,0)),0)</f>
        <v>0</v>
      </c>
      <c r="CL13" s="338"/>
      <c r="CM13" s="363"/>
      <c r="CN13" s="356" t="n">
        <f aca="false">IFERROR(IF($M13=CM13,($D$8+$D$9+$D$10)*$I13,IF($N13=LEFT(CM13,1),($D$8+MAX(0,IF($D$50=1,$D$9*(1-(ABS($Q13-ABS(VALUE(MID(CM13,FIND("|",CM13)+1,FIND("-",CM13)-FIND("|",CM13)-1))-VALUE(MID(CM13,FIND("-",CM13)+1,10)))))*$D$50),$D$9*(1-(IF($N13="X",ABS($O13-VALUE(MID(CM13,FIND("|",CM13)+1,FIND("-",CM13)-FIND("|",CM13)-1))),ABS($Q13-ABS(VALUE(MID(CM13,FIND("|",CM13)+1,FIND("-",CM13)-FIND("|",CM13)-1))-VALUE(MID(CM13,FIND("-",CM13)+1,10)))))*$D$50)))))*$I13,0)),0)</f>
        <v>0</v>
      </c>
      <c r="CO13" s="338"/>
      <c r="CP13" s="363"/>
      <c r="CQ13" s="356" t="n">
        <f aca="false">IFERROR(IF($M13=CP13,($D$8+$D$9+$D$10)*$I13,IF($N13=LEFT(CP13,1),($D$8+MAX(0,IF($D$50=1,$D$9*(1-(ABS($Q13-ABS(VALUE(MID(CP13,FIND("|",CP13)+1,FIND("-",CP13)-FIND("|",CP13)-1))-VALUE(MID(CP13,FIND("-",CP13)+1,10)))))*$D$50),$D$9*(1-(IF($N13="X",ABS($O13-VALUE(MID(CP13,FIND("|",CP13)+1,FIND("-",CP13)-FIND("|",CP13)-1))),ABS($Q13-ABS(VALUE(MID(CP13,FIND("|",CP13)+1,FIND("-",CP13)-FIND("|",CP13)-1))-VALUE(MID(CP13,FIND("-",CP13)+1,10)))))*$D$50)))))*$I13,0)),0)</f>
        <v>0</v>
      </c>
      <c r="CR13" s="338"/>
      <c r="CS13" s="363"/>
      <c r="CT13" s="356" t="n">
        <f aca="false">IFERROR(IF($M13=CS13,($D$8+$D$9+$D$10)*$I13,IF($N13=LEFT(CS13,1),($D$8+MAX(0,IF($D$50=1,$D$9*(1-(ABS($Q13-ABS(VALUE(MID(CS13,FIND("|",CS13)+1,FIND("-",CS13)-FIND("|",CS13)-1))-VALUE(MID(CS13,FIND("-",CS13)+1,10)))))*$D$50),$D$9*(1-(IF($N13="X",ABS($O13-VALUE(MID(CS13,FIND("|",CS13)+1,FIND("-",CS13)-FIND("|",CS13)-1))),ABS($Q13-ABS(VALUE(MID(CS13,FIND("|",CS13)+1,FIND("-",CS13)-FIND("|",CS13)-1))-VALUE(MID(CS13,FIND("-",CS13)+1,10)))))*$D$50)))))*$I13,0)),0)</f>
        <v>0</v>
      </c>
      <c r="CU13" s="338"/>
      <c r="CV13" s="363"/>
      <c r="CW13" s="356" t="n">
        <f aca="false">IFERROR(IF($M13=CV13,($D$8+$D$9+$D$10)*$I13,IF($N13=LEFT(CV13,1),($D$8+MAX(0,IF($D$50=1,$D$9*(1-(ABS($Q13-ABS(VALUE(MID(CV13,FIND("|",CV13)+1,FIND("-",CV13)-FIND("|",CV13)-1))-VALUE(MID(CV13,FIND("-",CV13)+1,10)))))*$D$50),$D$9*(1-(IF($N13="X",ABS($O13-VALUE(MID(CV13,FIND("|",CV13)+1,FIND("-",CV13)-FIND("|",CV13)-1))),ABS($Q13-ABS(VALUE(MID(CV13,FIND("|",CV13)+1,FIND("-",CV13)-FIND("|",CV13)-1))-VALUE(MID(CV13,FIND("-",CV13)+1,10)))))*$D$50)))))*$I13,0)),0)</f>
        <v>0</v>
      </c>
      <c r="CX13" s="338"/>
      <c r="CY13" s="363"/>
      <c r="CZ13" s="356" t="n">
        <f aca="false">IFERROR(IF($M13=CY13,($D$8+$D$9+$D$10)*$I13,IF($N13=LEFT(CY13,1),($D$8+MAX(0,IF($D$50=1,$D$9*(1-(ABS($Q13-ABS(VALUE(MID(CY13,FIND("|",CY13)+1,FIND("-",CY13)-FIND("|",CY13)-1))-VALUE(MID(CY13,FIND("-",CY13)+1,10)))))*$D$50),$D$9*(1-(IF($N13="X",ABS($O13-VALUE(MID(CY13,FIND("|",CY13)+1,FIND("-",CY13)-FIND("|",CY13)-1))),ABS($Q13-ABS(VALUE(MID(CY13,FIND("|",CY13)+1,FIND("-",CY13)-FIND("|",CY13)-1))-VALUE(MID(CY13,FIND("-",CY13)+1,10)))))*$D$50)))))*$I13,0)),0)</f>
        <v>0</v>
      </c>
      <c r="DA13" s="338"/>
      <c r="DB13" s="363"/>
      <c r="DC13" s="356" t="n">
        <f aca="false">IFERROR(IF($M13=DB13,($D$8+$D$9+$D$10)*$I13,IF($N13=LEFT(DB13,1),($D$8+MAX(0,IF($D$50=1,$D$9*(1-(ABS($Q13-ABS(VALUE(MID(DB13,FIND("|",DB13)+1,FIND("-",DB13)-FIND("|",DB13)-1))-VALUE(MID(DB13,FIND("-",DB13)+1,10)))))*$D$50),$D$9*(1-(IF($N13="X",ABS($O13-VALUE(MID(DB13,FIND("|",DB13)+1,FIND("-",DB13)-FIND("|",DB13)-1))),ABS($Q13-ABS(VALUE(MID(DB13,FIND("|",DB13)+1,FIND("-",DB13)-FIND("|",DB13)-1))-VALUE(MID(DB13,FIND("-",DB13)+1,10)))))*$D$50)))))*$I13,0)),0)</f>
        <v>0</v>
      </c>
      <c r="DD13" s="338"/>
      <c r="DE13" s="363"/>
      <c r="DF13" s="356" t="n">
        <f aca="false">IFERROR(IF($M13=DE13,($D$8+$D$9+$D$10)*$I13,IF($N13=LEFT(DE13,1),($D$8+MAX(0,IF($D$50=1,$D$9*(1-(ABS($Q13-ABS(VALUE(MID(DE13,FIND("|",DE13)+1,FIND("-",DE13)-FIND("|",DE13)-1))-VALUE(MID(DE13,FIND("-",DE13)+1,10)))))*$D$50),$D$9*(1-(IF($N13="X",ABS($O13-VALUE(MID(DE13,FIND("|",DE13)+1,FIND("-",DE13)-FIND("|",DE13)-1))),ABS($Q13-ABS(VALUE(MID(DE13,FIND("|",DE13)+1,FIND("-",DE13)-FIND("|",DE13)-1))-VALUE(MID(DE13,FIND("-",DE13)+1,10)))))*$D$50)))))*$I13,0)),0)</f>
        <v>0</v>
      </c>
      <c r="DG13" s="338"/>
      <c r="DH13" s="363"/>
      <c r="DI13" s="356" t="n">
        <f aca="false">IFERROR(IF($M13=DH13,($D$8+$D$9+$D$10)*$I13,IF($N13=LEFT(DH13,1),($D$8+MAX(0,IF($D$50=1,$D$9*(1-(ABS($Q13-ABS(VALUE(MID(DH13,FIND("|",DH13)+1,FIND("-",DH13)-FIND("|",DH13)-1))-VALUE(MID(DH13,FIND("-",DH13)+1,10)))))*$D$50),$D$9*(1-(IF($N13="X",ABS($O13-VALUE(MID(DH13,FIND("|",DH13)+1,FIND("-",DH13)-FIND("|",DH13)-1))),ABS($Q13-ABS(VALUE(MID(DH13,FIND("|",DH13)+1,FIND("-",DH13)-FIND("|",DH13)-1))-VALUE(MID(DH13,FIND("-",DH13)+1,10)))))*$D$50)))))*$I13,0)),0)</f>
        <v>0</v>
      </c>
      <c r="DJ13" s="338"/>
      <c r="DK13" s="363"/>
      <c r="DL13" s="356" t="n">
        <f aca="false">IFERROR(IF($M13=DK13,($D$8+$D$9+$D$10)*$I13,IF($N13=LEFT(DK13,1),($D$8+MAX(0,IF($D$50=1,$D$9*(1-(ABS($Q13-ABS(VALUE(MID(DK13,FIND("|",DK13)+1,FIND("-",DK13)-FIND("|",DK13)-1))-VALUE(MID(DK13,FIND("-",DK13)+1,10)))))*$D$50),$D$9*(1-(IF($N13="X",ABS($O13-VALUE(MID(DK13,FIND("|",DK13)+1,FIND("-",DK13)-FIND("|",DK13)-1))),ABS($Q13-ABS(VALUE(MID(DK13,FIND("|",DK13)+1,FIND("-",DK13)-FIND("|",DK13)-1))-VALUE(MID(DK13,FIND("-",DK13)+1,10)))))*$D$50)))))*$I13,0)),0)</f>
        <v>0</v>
      </c>
      <c r="DM13" s="338"/>
      <c r="DN13" s="363"/>
      <c r="DO13" s="356" t="n">
        <f aca="false">IFERROR(IF($M13=DN13,($D$8+$D$9+$D$10)*$I13,IF($N13=LEFT(DN13,1),($D$8+MAX(0,IF($D$50=1,$D$9*(1-(ABS($Q13-ABS(VALUE(MID(DN13,FIND("|",DN13)+1,FIND("-",DN13)-FIND("|",DN13)-1))-VALUE(MID(DN13,FIND("-",DN13)+1,10)))))*$D$50),$D$9*(1-(IF($N13="X",ABS($O13-VALUE(MID(DN13,FIND("|",DN13)+1,FIND("-",DN13)-FIND("|",DN13)-1))),ABS($Q13-ABS(VALUE(MID(DN13,FIND("|",DN13)+1,FIND("-",DN13)-FIND("|",DN13)-1))-VALUE(MID(DN13,FIND("-",DN13)+1,10)))))*$D$50)))))*$I13,0)),0)</f>
        <v>0</v>
      </c>
      <c r="DP13" s="338"/>
      <c r="DQ13" s="363"/>
      <c r="DR13" s="356" t="n">
        <f aca="false">IFERROR(IF($M13=DQ13,($D$8+$D$9+$D$10)*$I13,IF($N13=LEFT(DQ13,1),($D$8+MAX(0,IF($D$50=1,$D$9*(1-(ABS($Q13-ABS(VALUE(MID(DQ13,FIND("|",DQ13)+1,FIND("-",DQ13)-FIND("|",DQ13)-1))-VALUE(MID(DQ13,FIND("-",DQ13)+1,10)))))*$D$50),$D$9*(1-(IF($N13="X",ABS($O13-VALUE(MID(DQ13,FIND("|",DQ13)+1,FIND("-",DQ13)-FIND("|",DQ13)-1))),ABS($Q13-ABS(VALUE(MID(DQ13,FIND("|",DQ13)+1,FIND("-",DQ13)-FIND("|",DQ13)-1))-VALUE(MID(DQ13,FIND("-",DQ13)+1,10)))))*$D$50)))))*$I13,0)),0)</f>
        <v>0</v>
      </c>
      <c r="DS13" s="338"/>
      <c r="DT13" s="363"/>
      <c r="DU13" s="356" t="n">
        <f aca="false">IFERROR(IF($M13=DT13,($D$8+$D$9+$D$10)*$I13,IF($N13=LEFT(DT13,1),($D$8+MAX(0,IF($D$50=1,$D$9*(1-(ABS($Q13-ABS(VALUE(MID(DT13,FIND("|",DT13)+1,FIND("-",DT13)-FIND("|",DT13)-1))-VALUE(MID(DT13,FIND("-",DT13)+1,10)))))*$D$50),$D$9*(1-(IF($N13="X",ABS($O13-VALUE(MID(DT13,FIND("|",DT13)+1,FIND("-",DT13)-FIND("|",DT13)-1))),ABS($Q13-ABS(VALUE(MID(DT13,FIND("|",DT13)+1,FIND("-",DT13)-FIND("|",DT13)-1))-VALUE(MID(DT13,FIND("-",DT13)+1,10)))))*$D$50)))))*$I13,0)),0)</f>
        <v>0</v>
      </c>
      <c r="DV13" s="338"/>
      <c r="DW13" s="363"/>
      <c r="DX13" s="356" t="n">
        <f aca="false">IFERROR(IF($M13=DW13,($D$8+$D$9+$D$10)*$I13,IF($N13=LEFT(DW13,1),($D$8+MAX(0,IF($D$50=1,$D$9*(1-(ABS($Q13-ABS(VALUE(MID(DW13,FIND("|",DW13)+1,FIND("-",DW13)-FIND("|",DW13)-1))-VALUE(MID(DW13,FIND("-",DW13)+1,10)))))*$D$50),$D$9*(1-(IF($N13="X",ABS($O13-VALUE(MID(DW13,FIND("|",DW13)+1,FIND("-",DW13)-FIND("|",DW13)-1))),ABS($Q13-ABS(VALUE(MID(DW13,FIND("|",DW13)+1,FIND("-",DW13)-FIND("|",DW13)-1))-VALUE(MID(DW13,FIND("-",DW13)+1,10)))))*$D$50)))))*$I13,0)),0)</f>
        <v>0</v>
      </c>
      <c r="DY13" s="338"/>
      <c r="DZ13" s="363"/>
      <c r="EA13" s="356" t="n">
        <f aca="false">IFERROR(IF($M13=DZ13,($D$8+$D$9+$D$10)*$I13,IF($N13=LEFT(DZ13,1),($D$8+MAX(0,IF($D$50=1,$D$9*(1-(ABS($Q13-ABS(VALUE(MID(DZ13,FIND("|",DZ13)+1,FIND("-",DZ13)-FIND("|",DZ13)-1))-VALUE(MID(DZ13,FIND("-",DZ13)+1,10)))))*$D$50),$D$9*(1-(IF($N13="X",ABS($O13-VALUE(MID(DZ13,FIND("|",DZ13)+1,FIND("-",DZ13)-FIND("|",DZ13)-1))),ABS($Q13-ABS(VALUE(MID(DZ13,FIND("|",DZ13)+1,FIND("-",DZ13)-FIND("|",DZ13)-1))-VALUE(MID(DZ13,FIND("-",DZ13)+1,10)))))*$D$50)))))*$I13,0)),0)</f>
        <v>0</v>
      </c>
      <c r="EB13" s="338"/>
      <c r="EC13" s="363"/>
      <c r="ED13" s="356" t="n">
        <f aca="false">IFERROR(IF($M13=EC13,($D$8+$D$9+$D$10)*$I13,IF($N13=LEFT(EC13,1),($D$8+MAX(0,IF($D$50=1,$D$9*(1-(ABS($Q13-ABS(VALUE(MID(EC13,FIND("|",EC13)+1,FIND("-",EC13)-FIND("|",EC13)-1))-VALUE(MID(EC13,FIND("-",EC13)+1,10)))))*$D$50),$D$9*(1-(IF($N13="X",ABS($O13-VALUE(MID(EC13,FIND("|",EC13)+1,FIND("-",EC13)-FIND("|",EC13)-1))),ABS($Q13-ABS(VALUE(MID(EC13,FIND("|",EC13)+1,FIND("-",EC13)-FIND("|",EC13)-1))-VALUE(MID(EC13,FIND("-",EC13)+1,10)))))*$D$50)))))*$I13,0)),0)</f>
        <v>0</v>
      </c>
      <c r="EE13" s="338"/>
      <c r="EF13" s="363"/>
      <c r="EG13" s="356" t="n">
        <f aca="false">IFERROR(IF($M13=EF13,($D$8+$D$9+$D$10)*$I13,IF($N13=LEFT(EF13,1),($D$8+MAX(0,IF($D$50=1,$D$9*(1-(ABS($Q13-ABS(VALUE(MID(EF13,FIND("|",EF13)+1,FIND("-",EF13)-FIND("|",EF13)-1))-VALUE(MID(EF13,FIND("-",EF13)+1,10)))))*$D$50),$D$9*(1-(IF($N13="X",ABS($O13-VALUE(MID(EF13,FIND("|",EF13)+1,FIND("-",EF13)-FIND("|",EF13)-1))),ABS($Q13-ABS(VALUE(MID(EF13,FIND("|",EF13)+1,FIND("-",EF13)-FIND("|",EF13)-1))-VALUE(MID(EF13,FIND("-",EF13)+1,10)))))*$D$50)))))*$I13,0)),0)</f>
        <v>0</v>
      </c>
      <c r="EH13" s="338"/>
      <c r="EI13" s="338"/>
    </row>
    <row r="14" customFormat="false" ht="15" hidden="false" customHeight="false" outlineLevel="0" collapsed="false">
      <c r="A14" s="327"/>
      <c r="B14" s="327"/>
      <c r="C14" s="360" t="str">
        <f aca="false">Idiomas!D310</f>
        <v>FASE DE GRUPOS - Posición exacta (4º)</v>
      </c>
      <c r="D14" s="361" t="n">
        <v>5</v>
      </c>
      <c r="E14" s="334"/>
      <c r="F14" s="343" t="n">
        <f aca="false">SUM($D$8:$D$10)*I14</f>
        <v>17</v>
      </c>
      <c r="G14" s="343" t="n">
        <f aca="false">VLOOKUP(H14,Equipos!$Q$1:$R$25,2,0)</f>
        <v>4</v>
      </c>
      <c r="H14" s="351" t="n">
        <f aca="false">TRUNC(INDEX(WORLDCUP!$X$4:$X$147,MATCH(ADMIN!K14,WORLDCUP!$DT$4:$DT$147,0))+INDEX(Horarios!$R$3:$R$86,MATCH(Horarios!$C$3,Horarios!$P$3:$P$86,0))/24)</f>
        <v>46187</v>
      </c>
      <c r="I14" s="352" t="n">
        <v>1</v>
      </c>
      <c r="J14" s="353" t="s">
        <v>282</v>
      </c>
      <c r="K14" s="367" t="str">
        <f aca="false">CONCATENATE(WORLDCUP!AA36,"-",WORLDCUP!AF36)</f>
        <v>Alemania-Curazao</v>
      </c>
      <c r="L14" s="354"/>
      <c r="M14" s="359" t="str">
        <f aca="false">IF(OR(WORLDCUP!AC36="",WORLDCUP!AD36=""),"-",N14&amp;"|"&amp;O14&amp;"-"&amp;P14)</f>
        <v>1|7-1</v>
      </c>
      <c r="N14" s="332" t="str">
        <f aca="false">IF(OR(WORLDCUP!AC36="",WORLDCUP!AD36=""),"",IF(WORLDCUP!AC36&gt;WORLDCUP!AD36,"1",IF(WORLDCUP!AC36&lt;WORLDCUP!AD36,"2","X")))</f>
        <v>1</v>
      </c>
      <c r="O14" s="332" t="n">
        <f aca="false">WORLDCUP!AC36</f>
        <v>7</v>
      </c>
      <c r="P14" s="332" t="n">
        <f aca="false">WORLDCUP!AD36</f>
        <v>1</v>
      </c>
      <c r="Q14" s="332" t="n">
        <f aca="false">ABS(O14-P14)</f>
        <v>6</v>
      </c>
      <c r="R14" s="327"/>
      <c r="S14" s="363" t="s">
        <v>283</v>
      </c>
      <c r="T14" s="356" t="n">
        <f aca="false">IFERROR(IF($M14=S14,($D$8+$D$9+$D$10)*$I14,IF($N14=LEFT(S14,1),($D$8+MAX(0,IF($D$50=1,$D$9*(1-(ABS($Q14-ABS(VALUE(MID(S14,FIND("|",S14)+1,FIND("-",S14)-FIND("|",S14)-1))-VALUE(MID(S14,FIND("-",S14)+1,10)))))*$D$50),$D$9*(1-(IF($N14="X",ABS($O14-VALUE(MID(S14,FIND("|",S14)+1,FIND("-",S14)-FIND("|",S14)-1))),ABS($Q14-ABS(VALUE(MID(S14,FIND("|",S14)+1,FIND("-",S14)-FIND("|",S14)-1))-VALUE(MID(S14,FIND("-",S14)+1,10)))))*$D$50)))))*$I14,0)),0)</f>
        <v>5</v>
      </c>
      <c r="U14" s="338"/>
      <c r="V14" s="363" t="s">
        <v>272</v>
      </c>
      <c r="W14" s="356" t="n">
        <f aca="false">IFERROR(IF($M14=V14,($D$8+$D$9+$D$10)*$I14,IF($N14=LEFT(V14,1),($D$8+MAX(0,IF($D$50=1,$D$9*(1-(ABS($Q14-ABS(VALUE(MID(V14,FIND("|",V14)+1,FIND("-",V14)-FIND("|",V14)-1))-VALUE(MID(V14,FIND("-",V14)+1,10)))))*$D$50),$D$9*(1-(IF($N14="X",ABS($O14-VALUE(MID(V14,FIND("|",V14)+1,FIND("-",V14)-FIND("|",V14)-1))),ABS($Q14-ABS(VALUE(MID(V14,FIND("|",V14)+1,FIND("-",V14)-FIND("|",V14)-1))-VALUE(MID(V14,FIND("-",V14)+1,10)))))*$D$50)))))*$I14,0)),0)</f>
        <v>5</v>
      </c>
      <c r="X14" s="338"/>
      <c r="Y14" s="363" t="s">
        <v>272</v>
      </c>
      <c r="Z14" s="356" t="n">
        <f aca="false">IFERROR(IF($M14=Y14,($D$8+$D$9+$D$10)*$I14,IF($N14=LEFT(Y14,1),($D$8+MAX(0,IF($D$50=1,$D$9*(1-(ABS($Q14-ABS(VALUE(MID(Y14,FIND("|",Y14)+1,FIND("-",Y14)-FIND("|",Y14)-1))-VALUE(MID(Y14,FIND("-",Y14)+1,10)))))*$D$50),$D$9*(1-(IF($N14="X",ABS($O14-VALUE(MID(Y14,FIND("|",Y14)+1,FIND("-",Y14)-FIND("|",Y14)-1))),ABS($Q14-ABS(VALUE(MID(Y14,FIND("|",Y14)+1,FIND("-",Y14)-FIND("|",Y14)-1))-VALUE(MID(Y14,FIND("-",Y14)+1,10)))))*$D$50)))))*$I14,0)),0)</f>
        <v>5</v>
      </c>
      <c r="AA14" s="338"/>
      <c r="AB14" s="363" t="s">
        <v>272</v>
      </c>
      <c r="AC14" s="356" t="n">
        <f aca="false">IFERROR(IF($M14=AB14,($D$8+$D$9+$D$10)*$I14,IF($N14=LEFT(AB14,1),($D$8+MAX(0,IF($D$50=1,$D$9*(1-(ABS($Q14-ABS(VALUE(MID(AB14,FIND("|",AB14)+1,FIND("-",AB14)-FIND("|",AB14)-1))-VALUE(MID(AB14,FIND("-",AB14)+1,10)))))*$D$50),$D$9*(1-(IF($N14="X",ABS($O14-VALUE(MID(AB14,FIND("|",AB14)+1,FIND("-",AB14)-FIND("|",AB14)-1))),ABS($Q14-ABS(VALUE(MID(AB14,FIND("|",AB14)+1,FIND("-",AB14)-FIND("|",AB14)-1))-VALUE(MID(AB14,FIND("-",AB14)+1,10)))))*$D$50)))))*$I14,0)),0)</f>
        <v>5</v>
      </c>
      <c r="AD14" s="338"/>
      <c r="AE14" s="363" t="s">
        <v>284</v>
      </c>
      <c r="AF14" s="356" t="n">
        <f aca="false">IFERROR(IF($M14=AE14,($D$8+$D$9+$D$10)*$I14,IF($N14=LEFT(AE14,1),($D$8+MAX(0,IF($D$50=1,$D$9*(1-(ABS($Q14-ABS(VALUE(MID(AE14,FIND("|",AE14)+1,FIND("-",AE14)-FIND("|",AE14)-1))-VALUE(MID(AE14,FIND("-",AE14)+1,10)))))*$D$50),$D$9*(1-(IF($N14="X",ABS($O14-VALUE(MID(AE14,FIND("|",AE14)+1,FIND("-",AE14)-FIND("|",AE14)-1))),ABS($Q14-ABS(VALUE(MID(AE14,FIND("|",AE14)+1,FIND("-",AE14)-FIND("|",AE14)-1))-VALUE(MID(AE14,FIND("-",AE14)+1,10)))))*$D$50)))))*$I14,0)),0)</f>
        <v>5</v>
      </c>
      <c r="AG14" s="338"/>
      <c r="AH14" s="363" t="s">
        <v>283</v>
      </c>
      <c r="AI14" s="356" t="n">
        <f aca="false">IFERROR(IF($M14=AH14,($D$8+$D$9+$D$10)*$I14,IF($N14=LEFT(AH14,1),($D$8+MAX(0,IF($D$50=1,$D$9*(1-(ABS($Q14-ABS(VALUE(MID(AH14,FIND("|",AH14)+1,FIND("-",AH14)-FIND("|",AH14)-1))-VALUE(MID(AH14,FIND("-",AH14)+1,10)))))*$D$50),$D$9*(1-(IF($N14="X",ABS($O14-VALUE(MID(AH14,FIND("|",AH14)+1,FIND("-",AH14)-FIND("|",AH14)-1))),ABS($Q14-ABS(VALUE(MID(AH14,FIND("|",AH14)+1,FIND("-",AH14)-FIND("|",AH14)-1))-VALUE(MID(AH14,FIND("-",AH14)+1,10)))))*$D$50)))))*$I14,0)),0)</f>
        <v>5</v>
      </c>
      <c r="AJ14" s="338"/>
      <c r="AK14" s="363" t="s">
        <v>283</v>
      </c>
      <c r="AL14" s="356" t="n">
        <f aca="false">IFERROR(IF($M14=AK14,($D$8+$D$9+$D$10)*$I14,IF($N14=LEFT(AK14,1),($D$8+MAX(0,IF($D$50=1,$D$9*(1-(ABS($Q14-ABS(VALUE(MID(AK14,FIND("|",AK14)+1,FIND("-",AK14)-FIND("|",AK14)-1))-VALUE(MID(AK14,FIND("-",AK14)+1,10)))))*$D$50),$D$9*(1-(IF($N14="X",ABS($O14-VALUE(MID(AK14,FIND("|",AK14)+1,FIND("-",AK14)-FIND("|",AK14)-1))),ABS($Q14-ABS(VALUE(MID(AK14,FIND("|",AK14)+1,FIND("-",AK14)-FIND("|",AK14)-1))-VALUE(MID(AK14,FIND("-",AK14)+1,10)))))*$D$50)))))*$I14,0)),0)</f>
        <v>5</v>
      </c>
      <c r="AM14" s="338"/>
      <c r="AN14" s="363" t="s">
        <v>284</v>
      </c>
      <c r="AO14" s="356" t="n">
        <f aca="false">IFERROR(IF($M14=AN14,($D$8+$D$9+$D$10)*$I14,IF($N14=LEFT(AN14,1),($D$8+MAX(0,IF($D$50=1,$D$9*(1-(ABS($Q14-ABS(VALUE(MID(AN14,FIND("|",AN14)+1,FIND("-",AN14)-FIND("|",AN14)-1))-VALUE(MID(AN14,FIND("-",AN14)+1,10)))))*$D$50),$D$9*(1-(IF($N14="X",ABS($O14-VALUE(MID(AN14,FIND("|",AN14)+1,FIND("-",AN14)-FIND("|",AN14)-1))),ABS($Q14-ABS(VALUE(MID(AN14,FIND("|",AN14)+1,FIND("-",AN14)-FIND("|",AN14)-1))-VALUE(MID(AN14,FIND("-",AN14)+1,10)))))*$D$50)))))*$I14,0)),0)</f>
        <v>5</v>
      </c>
      <c r="AP14" s="338"/>
      <c r="AQ14" s="363" t="s">
        <v>285</v>
      </c>
      <c r="AR14" s="356" t="n">
        <f aca="false">IFERROR(IF($M14=AQ14,($D$8+$D$9+$D$10)*$I14,IF($N14=LEFT(AQ14,1),($D$8+MAX(0,IF($D$50=1,$D$9*(1-(ABS($Q14-ABS(VALUE(MID(AQ14,FIND("|",AQ14)+1,FIND("-",AQ14)-FIND("|",AQ14)-1))-VALUE(MID(AQ14,FIND("-",AQ14)+1,10)))))*$D$50),$D$9*(1-(IF($N14="X",ABS($O14-VALUE(MID(AQ14,FIND("|",AQ14)+1,FIND("-",AQ14)-FIND("|",AQ14)-1))),ABS($Q14-ABS(VALUE(MID(AQ14,FIND("|",AQ14)+1,FIND("-",AQ14)-FIND("|",AQ14)-1))-VALUE(MID(AQ14,FIND("-",AQ14)+1,10)))))*$D$50)))))*$I14,0)),0)</f>
        <v>7</v>
      </c>
      <c r="AS14" s="338"/>
      <c r="AT14" s="363" t="s">
        <v>284</v>
      </c>
      <c r="AU14" s="356" t="n">
        <f aca="false">IFERROR(IF($M14=AT14,($D$8+$D$9+$D$10)*$I14,IF($N14=LEFT(AT14,1),($D$8+MAX(0,IF($D$50=1,$D$9*(1-(ABS($Q14-ABS(VALUE(MID(AT14,FIND("|",AT14)+1,FIND("-",AT14)-FIND("|",AT14)-1))-VALUE(MID(AT14,FIND("-",AT14)+1,10)))))*$D$50),$D$9*(1-(IF($N14="X",ABS($O14-VALUE(MID(AT14,FIND("|",AT14)+1,FIND("-",AT14)-FIND("|",AT14)-1))),ABS($Q14-ABS(VALUE(MID(AT14,FIND("|",AT14)+1,FIND("-",AT14)-FIND("|",AT14)-1))-VALUE(MID(AT14,FIND("-",AT14)+1,10)))))*$D$50)))))*$I14,0)),0)</f>
        <v>5</v>
      </c>
      <c r="AV14" s="338"/>
      <c r="AW14" s="363" t="s">
        <v>266</v>
      </c>
      <c r="AX14" s="356" t="n">
        <f aca="false">IFERROR(IF($M14=AW14,($D$8+$D$9+$D$10)*$I14,IF($N14=LEFT(AW14,1),($D$8+MAX(0,IF($D$50=1,$D$9*(1-(ABS($Q14-ABS(VALUE(MID(AW14,FIND("|",AW14)+1,FIND("-",AW14)-FIND("|",AW14)-1))-VALUE(MID(AW14,FIND("-",AW14)+1,10)))))*$D$50),$D$9*(1-(IF($N14="X",ABS($O14-VALUE(MID(AW14,FIND("|",AW14)+1,FIND("-",AW14)-FIND("|",AW14)-1))),ABS($Q14-ABS(VALUE(MID(AW14,FIND("|",AW14)+1,FIND("-",AW14)-FIND("|",AW14)-1))-VALUE(MID(AW14,FIND("-",AW14)+1,10)))))*$D$50)))))*$I14,0)),0)</f>
        <v>5</v>
      </c>
      <c r="AY14" s="338"/>
      <c r="AZ14" s="363" t="s">
        <v>283</v>
      </c>
      <c r="BA14" s="356" t="n">
        <f aca="false">IFERROR(IF($M14=AZ14,($D$8+$D$9+$D$10)*$I14,IF($N14=LEFT(AZ14,1),($D$8+MAX(0,IF($D$50=1,$D$9*(1-(ABS($Q14-ABS(VALUE(MID(AZ14,FIND("|",AZ14)+1,FIND("-",AZ14)-FIND("|",AZ14)-1))-VALUE(MID(AZ14,FIND("-",AZ14)+1,10)))))*$D$50),$D$9*(1-(IF($N14="X",ABS($O14-VALUE(MID(AZ14,FIND("|",AZ14)+1,FIND("-",AZ14)-FIND("|",AZ14)-1))),ABS($Q14-ABS(VALUE(MID(AZ14,FIND("|",AZ14)+1,FIND("-",AZ14)-FIND("|",AZ14)-1))-VALUE(MID(AZ14,FIND("-",AZ14)+1,10)))))*$D$50)))))*$I14,0)),0)</f>
        <v>5</v>
      </c>
      <c r="BB14" s="338"/>
      <c r="BC14" s="363" t="s">
        <v>286</v>
      </c>
      <c r="BD14" s="356" t="n">
        <f aca="false">IFERROR(IF($M14=BC14,($D$8+$D$9+$D$10)*$I14,IF($N14=LEFT(BC14,1),($D$8+MAX(0,IF($D$50=1,$D$9*(1-(ABS($Q14-ABS(VALUE(MID(BC14,FIND("|",BC14)+1,FIND("-",BC14)-FIND("|",BC14)-1))-VALUE(MID(BC14,FIND("-",BC14)+1,10)))))*$D$50),$D$9*(1-(IF($N14="X",ABS($O14-VALUE(MID(BC14,FIND("|",BC14)+1,FIND("-",BC14)-FIND("|",BC14)-1))),ABS($Q14-ABS(VALUE(MID(BC14,FIND("|",BC14)+1,FIND("-",BC14)-FIND("|",BC14)-1))-VALUE(MID(BC14,FIND("-",BC14)+1,10)))))*$D$50)))))*$I14,0)),0)</f>
        <v>5</v>
      </c>
      <c r="BE14" s="338"/>
      <c r="BF14" s="363" t="s">
        <v>266</v>
      </c>
      <c r="BG14" s="356" t="n">
        <f aca="false">IFERROR(IF($M14=BF14,($D$8+$D$9+$D$10)*$I14,IF($N14=LEFT(BF14,1),($D$8+MAX(0,IF($D$50=1,$D$9*(1-(ABS($Q14-ABS(VALUE(MID(BF14,FIND("|",BF14)+1,FIND("-",BF14)-FIND("|",BF14)-1))-VALUE(MID(BF14,FIND("-",BF14)+1,10)))))*$D$50),$D$9*(1-(IF($N14="X",ABS($O14-VALUE(MID(BF14,FIND("|",BF14)+1,FIND("-",BF14)-FIND("|",BF14)-1))),ABS($Q14-ABS(VALUE(MID(BF14,FIND("|",BF14)+1,FIND("-",BF14)-FIND("|",BF14)-1))-VALUE(MID(BF14,FIND("-",BF14)+1,10)))))*$D$50)))))*$I14,0)),0)</f>
        <v>5</v>
      </c>
      <c r="BH14" s="338"/>
      <c r="BI14" s="363" t="s">
        <v>266</v>
      </c>
      <c r="BJ14" s="356" t="n">
        <f aca="false">IFERROR(IF($M14=BI14,($D$8+$D$9+$D$10)*$I14,IF($N14=LEFT(BI14,1),($D$8+MAX(0,IF($D$50=1,$D$9*(1-(ABS($Q14-ABS(VALUE(MID(BI14,FIND("|",BI14)+1,FIND("-",BI14)-FIND("|",BI14)-1))-VALUE(MID(BI14,FIND("-",BI14)+1,10)))))*$D$50),$D$9*(1-(IF($N14="X",ABS($O14-VALUE(MID(BI14,FIND("|",BI14)+1,FIND("-",BI14)-FIND("|",BI14)-1))),ABS($Q14-ABS(VALUE(MID(BI14,FIND("|",BI14)+1,FIND("-",BI14)-FIND("|",BI14)-1))-VALUE(MID(BI14,FIND("-",BI14)+1,10)))))*$D$50)))))*$I14,0)),0)</f>
        <v>5</v>
      </c>
      <c r="BK14" s="338"/>
      <c r="BL14" s="363" t="s">
        <v>283</v>
      </c>
      <c r="BM14" s="356" t="n">
        <f aca="false">IFERROR(IF($M14=BL14,($D$8+$D$9+$D$10)*$I14,IF($N14=LEFT(BL14,1),($D$8+MAX(0,IF($D$50=1,$D$9*(1-(ABS($Q14-ABS(VALUE(MID(BL14,FIND("|",BL14)+1,FIND("-",BL14)-FIND("|",BL14)-1))-VALUE(MID(BL14,FIND("-",BL14)+1,10)))))*$D$50),$D$9*(1-(IF($N14="X",ABS($O14-VALUE(MID(BL14,FIND("|",BL14)+1,FIND("-",BL14)-FIND("|",BL14)-1))),ABS($Q14-ABS(VALUE(MID(BL14,FIND("|",BL14)+1,FIND("-",BL14)-FIND("|",BL14)-1))-VALUE(MID(BL14,FIND("-",BL14)+1,10)))))*$D$50)))))*$I14,0)),0)</f>
        <v>5</v>
      </c>
      <c r="BN14" s="338"/>
      <c r="BO14" s="363" t="s">
        <v>283</v>
      </c>
      <c r="BP14" s="356" t="n">
        <f aca="false">IFERROR(IF($M14=BO14,($D$8+$D$9+$D$10)*$I14,IF($N14=LEFT(BO14,1),($D$8+MAX(0,IF($D$50=1,$D$9*(1-(ABS($Q14-ABS(VALUE(MID(BO14,FIND("|",BO14)+1,FIND("-",BO14)-FIND("|",BO14)-1))-VALUE(MID(BO14,FIND("-",BO14)+1,10)))))*$D$50),$D$9*(1-(IF($N14="X",ABS($O14-VALUE(MID(BO14,FIND("|",BO14)+1,FIND("-",BO14)-FIND("|",BO14)-1))),ABS($Q14-ABS(VALUE(MID(BO14,FIND("|",BO14)+1,FIND("-",BO14)-FIND("|",BO14)-1))-VALUE(MID(BO14,FIND("-",BO14)+1,10)))))*$D$50)))))*$I14,0)),0)</f>
        <v>5</v>
      </c>
      <c r="BQ14" s="338"/>
      <c r="BR14" s="363" t="s">
        <v>272</v>
      </c>
      <c r="BS14" s="356" t="n">
        <f aca="false">IFERROR(IF($M14=BR14,($D$8+$D$9+$D$10)*$I14,IF($N14=LEFT(BR14,1),($D$8+MAX(0,IF($D$50=1,$D$9*(1-(ABS($Q14-ABS(VALUE(MID(BR14,FIND("|",BR14)+1,FIND("-",BR14)-FIND("|",BR14)-1))-VALUE(MID(BR14,FIND("-",BR14)+1,10)))))*$D$50),$D$9*(1-(IF($N14="X",ABS($O14-VALUE(MID(BR14,FIND("|",BR14)+1,FIND("-",BR14)-FIND("|",BR14)-1))),ABS($Q14-ABS(VALUE(MID(BR14,FIND("|",BR14)+1,FIND("-",BR14)-FIND("|",BR14)-1))-VALUE(MID(BR14,FIND("-",BR14)+1,10)))))*$D$50)))))*$I14,0)),0)</f>
        <v>5</v>
      </c>
      <c r="BT14" s="338"/>
      <c r="BU14" s="363"/>
      <c r="BV14" s="356" t="n">
        <f aca="false">IFERROR(IF($M14=BU14,($D$8+$D$9+$D$10)*$I14,IF($N14=LEFT(BU14,1),($D$8+MAX(0,IF($D$50=1,$D$9*(1-(ABS($Q14-ABS(VALUE(MID(BU14,FIND("|",BU14)+1,FIND("-",BU14)-FIND("|",BU14)-1))-VALUE(MID(BU14,FIND("-",BU14)+1,10)))))*$D$50),$D$9*(1-(IF($N14="X",ABS($O14-VALUE(MID(BU14,FIND("|",BU14)+1,FIND("-",BU14)-FIND("|",BU14)-1))),ABS($Q14-ABS(VALUE(MID(BU14,FIND("|",BU14)+1,FIND("-",BU14)-FIND("|",BU14)-1))-VALUE(MID(BU14,FIND("-",BU14)+1,10)))))*$D$50)))))*$I14,0)),0)</f>
        <v>0</v>
      </c>
      <c r="BW14" s="338"/>
      <c r="BX14" s="363"/>
      <c r="BY14" s="356" t="n">
        <f aca="false">IFERROR(IF($M14=BX14,($D$8+$D$9+$D$10)*$I14,IF($N14=LEFT(BX14,1),($D$8+MAX(0,IF($D$50=1,$D$9*(1-(ABS($Q14-ABS(VALUE(MID(BX14,FIND("|",BX14)+1,FIND("-",BX14)-FIND("|",BX14)-1))-VALUE(MID(BX14,FIND("-",BX14)+1,10)))))*$D$50),$D$9*(1-(IF($N14="X",ABS($O14-VALUE(MID(BX14,FIND("|",BX14)+1,FIND("-",BX14)-FIND("|",BX14)-1))),ABS($Q14-ABS(VALUE(MID(BX14,FIND("|",BX14)+1,FIND("-",BX14)-FIND("|",BX14)-1))-VALUE(MID(BX14,FIND("-",BX14)+1,10)))))*$D$50)))))*$I14,0)),0)</f>
        <v>0</v>
      </c>
      <c r="BZ14" s="338"/>
      <c r="CA14" s="363"/>
      <c r="CB14" s="356" t="n">
        <f aca="false">IFERROR(IF($M14=CA14,($D$8+$D$9+$D$10)*$I14,IF($N14=LEFT(CA14,1),($D$8+MAX(0,IF($D$50=1,$D$9*(1-(ABS($Q14-ABS(VALUE(MID(CA14,FIND("|",CA14)+1,FIND("-",CA14)-FIND("|",CA14)-1))-VALUE(MID(CA14,FIND("-",CA14)+1,10)))))*$D$50),$D$9*(1-(IF($N14="X",ABS($O14-VALUE(MID(CA14,FIND("|",CA14)+1,FIND("-",CA14)-FIND("|",CA14)-1))),ABS($Q14-ABS(VALUE(MID(CA14,FIND("|",CA14)+1,FIND("-",CA14)-FIND("|",CA14)-1))-VALUE(MID(CA14,FIND("-",CA14)+1,10)))))*$D$50)))))*$I14,0)),0)</f>
        <v>0</v>
      </c>
      <c r="CC14" s="338"/>
      <c r="CD14" s="363"/>
      <c r="CE14" s="356" t="n">
        <f aca="false">IFERROR(IF($M14=CD14,($D$8+$D$9+$D$10)*$I14,IF($N14=LEFT(CD14,1),($D$8+MAX(0,IF($D$50=1,$D$9*(1-(ABS($Q14-ABS(VALUE(MID(CD14,FIND("|",CD14)+1,FIND("-",CD14)-FIND("|",CD14)-1))-VALUE(MID(CD14,FIND("-",CD14)+1,10)))))*$D$50),$D$9*(1-(IF($N14="X",ABS($O14-VALUE(MID(CD14,FIND("|",CD14)+1,FIND("-",CD14)-FIND("|",CD14)-1))),ABS($Q14-ABS(VALUE(MID(CD14,FIND("|",CD14)+1,FIND("-",CD14)-FIND("|",CD14)-1))-VALUE(MID(CD14,FIND("-",CD14)+1,10)))))*$D$50)))))*$I14,0)),0)</f>
        <v>0</v>
      </c>
      <c r="CF14" s="338"/>
      <c r="CG14" s="363"/>
      <c r="CH14" s="356" t="n">
        <f aca="false">IFERROR(IF($M14=CG14,($D$8+$D$9+$D$10)*$I14,IF($N14=LEFT(CG14,1),($D$8+MAX(0,IF($D$50=1,$D$9*(1-(ABS($Q14-ABS(VALUE(MID(CG14,FIND("|",CG14)+1,FIND("-",CG14)-FIND("|",CG14)-1))-VALUE(MID(CG14,FIND("-",CG14)+1,10)))))*$D$50),$D$9*(1-(IF($N14="X",ABS($O14-VALUE(MID(CG14,FIND("|",CG14)+1,FIND("-",CG14)-FIND("|",CG14)-1))),ABS($Q14-ABS(VALUE(MID(CG14,FIND("|",CG14)+1,FIND("-",CG14)-FIND("|",CG14)-1))-VALUE(MID(CG14,FIND("-",CG14)+1,10)))))*$D$50)))))*$I14,0)),0)</f>
        <v>0</v>
      </c>
      <c r="CI14" s="338"/>
      <c r="CJ14" s="363"/>
      <c r="CK14" s="356" t="n">
        <f aca="false">IFERROR(IF($M14=CJ14,($D$8+$D$9+$D$10)*$I14,IF($N14=LEFT(CJ14,1),($D$8+MAX(0,IF($D$50=1,$D$9*(1-(ABS($Q14-ABS(VALUE(MID(CJ14,FIND("|",CJ14)+1,FIND("-",CJ14)-FIND("|",CJ14)-1))-VALUE(MID(CJ14,FIND("-",CJ14)+1,10)))))*$D$50),$D$9*(1-(IF($N14="X",ABS($O14-VALUE(MID(CJ14,FIND("|",CJ14)+1,FIND("-",CJ14)-FIND("|",CJ14)-1))),ABS($Q14-ABS(VALUE(MID(CJ14,FIND("|",CJ14)+1,FIND("-",CJ14)-FIND("|",CJ14)-1))-VALUE(MID(CJ14,FIND("-",CJ14)+1,10)))))*$D$50)))))*$I14,0)),0)</f>
        <v>0</v>
      </c>
      <c r="CL14" s="338"/>
      <c r="CM14" s="363"/>
      <c r="CN14" s="356" t="n">
        <f aca="false">IFERROR(IF($M14=CM14,($D$8+$D$9+$D$10)*$I14,IF($N14=LEFT(CM14,1),($D$8+MAX(0,IF($D$50=1,$D$9*(1-(ABS($Q14-ABS(VALUE(MID(CM14,FIND("|",CM14)+1,FIND("-",CM14)-FIND("|",CM14)-1))-VALUE(MID(CM14,FIND("-",CM14)+1,10)))))*$D$50),$D$9*(1-(IF($N14="X",ABS($O14-VALUE(MID(CM14,FIND("|",CM14)+1,FIND("-",CM14)-FIND("|",CM14)-1))),ABS($Q14-ABS(VALUE(MID(CM14,FIND("|",CM14)+1,FIND("-",CM14)-FIND("|",CM14)-1))-VALUE(MID(CM14,FIND("-",CM14)+1,10)))))*$D$50)))))*$I14,0)),0)</f>
        <v>0</v>
      </c>
      <c r="CO14" s="338"/>
      <c r="CP14" s="363"/>
      <c r="CQ14" s="356" t="n">
        <f aca="false">IFERROR(IF($M14=CP14,($D$8+$D$9+$D$10)*$I14,IF($N14=LEFT(CP14,1),($D$8+MAX(0,IF($D$50=1,$D$9*(1-(ABS($Q14-ABS(VALUE(MID(CP14,FIND("|",CP14)+1,FIND("-",CP14)-FIND("|",CP14)-1))-VALUE(MID(CP14,FIND("-",CP14)+1,10)))))*$D$50),$D$9*(1-(IF($N14="X",ABS($O14-VALUE(MID(CP14,FIND("|",CP14)+1,FIND("-",CP14)-FIND("|",CP14)-1))),ABS($Q14-ABS(VALUE(MID(CP14,FIND("|",CP14)+1,FIND("-",CP14)-FIND("|",CP14)-1))-VALUE(MID(CP14,FIND("-",CP14)+1,10)))))*$D$50)))))*$I14,0)),0)</f>
        <v>0</v>
      </c>
      <c r="CR14" s="338"/>
      <c r="CS14" s="363"/>
      <c r="CT14" s="356" t="n">
        <f aca="false">IFERROR(IF($M14=CS14,($D$8+$D$9+$D$10)*$I14,IF($N14=LEFT(CS14,1),($D$8+MAX(0,IF($D$50=1,$D$9*(1-(ABS($Q14-ABS(VALUE(MID(CS14,FIND("|",CS14)+1,FIND("-",CS14)-FIND("|",CS14)-1))-VALUE(MID(CS14,FIND("-",CS14)+1,10)))))*$D$50),$D$9*(1-(IF($N14="X",ABS($O14-VALUE(MID(CS14,FIND("|",CS14)+1,FIND("-",CS14)-FIND("|",CS14)-1))),ABS($Q14-ABS(VALUE(MID(CS14,FIND("|",CS14)+1,FIND("-",CS14)-FIND("|",CS14)-1))-VALUE(MID(CS14,FIND("-",CS14)+1,10)))))*$D$50)))))*$I14,0)),0)</f>
        <v>0</v>
      </c>
      <c r="CU14" s="338"/>
      <c r="CV14" s="363"/>
      <c r="CW14" s="356" t="n">
        <f aca="false">IFERROR(IF($M14=CV14,($D$8+$D$9+$D$10)*$I14,IF($N14=LEFT(CV14,1),($D$8+MAX(0,IF($D$50=1,$D$9*(1-(ABS($Q14-ABS(VALUE(MID(CV14,FIND("|",CV14)+1,FIND("-",CV14)-FIND("|",CV14)-1))-VALUE(MID(CV14,FIND("-",CV14)+1,10)))))*$D$50),$D$9*(1-(IF($N14="X",ABS($O14-VALUE(MID(CV14,FIND("|",CV14)+1,FIND("-",CV14)-FIND("|",CV14)-1))),ABS($Q14-ABS(VALUE(MID(CV14,FIND("|",CV14)+1,FIND("-",CV14)-FIND("|",CV14)-1))-VALUE(MID(CV14,FIND("-",CV14)+1,10)))))*$D$50)))))*$I14,0)),0)</f>
        <v>0</v>
      </c>
      <c r="CX14" s="338"/>
      <c r="CY14" s="363"/>
      <c r="CZ14" s="356" t="n">
        <f aca="false">IFERROR(IF($M14=CY14,($D$8+$D$9+$D$10)*$I14,IF($N14=LEFT(CY14,1),($D$8+MAX(0,IF($D$50=1,$D$9*(1-(ABS($Q14-ABS(VALUE(MID(CY14,FIND("|",CY14)+1,FIND("-",CY14)-FIND("|",CY14)-1))-VALUE(MID(CY14,FIND("-",CY14)+1,10)))))*$D$50),$D$9*(1-(IF($N14="X",ABS($O14-VALUE(MID(CY14,FIND("|",CY14)+1,FIND("-",CY14)-FIND("|",CY14)-1))),ABS($Q14-ABS(VALUE(MID(CY14,FIND("|",CY14)+1,FIND("-",CY14)-FIND("|",CY14)-1))-VALUE(MID(CY14,FIND("-",CY14)+1,10)))))*$D$50)))))*$I14,0)),0)</f>
        <v>0</v>
      </c>
      <c r="DA14" s="338"/>
      <c r="DB14" s="363"/>
      <c r="DC14" s="356" t="n">
        <f aca="false">IFERROR(IF($M14=DB14,($D$8+$D$9+$D$10)*$I14,IF($N14=LEFT(DB14,1),($D$8+MAX(0,IF($D$50=1,$D$9*(1-(ABS($Q14-ABS(VALUE(MID(DB14,FIND("|",DB14)+1,FIND("-",DB14)-FIND("|",DB14)-1))-VALUE(MID(DB14,FIND("-",DB14)+1,10)))))*$D$50),$D$9*(1-(IF($N14="X",ABS($O14-VALUE(MID(DB14,FIND("|",DB14)+1,FIND("-",DB14)-FIND("|",DB14)-1))),ABS($Q14-ABS(VALUE(MID(DB14,FIND("|",DB14)+1,FIND("-",DB14)-FIND("|",DB14)-1))-VALUE(MID(DB14,FIND("-",DB14)+1,10)))))*$D$50)))))*$I14,0)),0)</f>
        <v>0</v>
      </c>
      <c r="DD14" s="338"/>
      <c r="DE14" s="363"/>
      <c r="DF14" s="356" t="n">
        <f aca="false">IFERROR(IF($M14=DE14,($D$8+$D$9+$D$10)*$I14,IF($N14=LEFT(DE14,1),($D$8+MAX(0,IF($D$50=1,$D$9*(1-(ABS($Q14-ABS(VALUE(MID(DE14,FIND("|",DE14)+1,FIND("-",DE14)-FIND("|",DE14)-1))-VALUE(MID(DE14,FIND("-",DE14)+1,10)))))*$D$50),$D$9*(1-(IF($N14="X",ABS($O14-VALUE(MID(DE14,FIND("|",DE14)+1,FIND("-",DE14)-FIND("|",DE14)-1))),ABS($Q14-ABS(VALUE(MID(DE14,FIND("|",DE14)+1,FIND("-",DE14)-FIND("|",DE14)-1))-VALUE(MID(DE14,FIND("-",DE14)+1,10)))))*$D$50)))))*$I14,0)),0)</f>
        <v>0</v>
      </c>
      <c r="DG14" s="338"/>
      <c r="DH14" s="363"/>
      <c r="DI14" s="356" t="n">
        <f aca="false">IFERROR(IF($M14=DH14,($D$8+$D$9+$D$10)*$I14,IF($N14=LEFT(DH14,1),($D$8+MAX(0,IF($D$50=1,$D$9*(1-(ABS($Q14-ABS(VALUE(MID(DH14,FIND("|",DH14)+1,FIND("-",DH14)-FIND("|",DH14)-1))-VALUE(MID(DH14,FIND("-",DH14)+1,10)))))*$D$50),$D$9*(1-(IF($N14="X",ABS($O14-VALUE(MID(DH14,FIND("|",DH14)+1,FIND("-",DH14)-FIND("|",DH14)-1))),ABS($Q14-ABS(VALUE(MID(DH14,FIND("|",DH14)+1,FIND("-",DH14)-FIND("|",DH14)-1))-VALUE(MID(DH14,FIND("-",DH14)+1,10)))))*$D$50)))))*$I14,0)),0)</f>
        <v>0</v>
      </c>
      <c r="DJ14" s="338"/>
      <c r="DK14" s="363"/>
      <c r="DL14" s="356" t="n">
        <f aca="false">IFERROR(IF($M14=DK14,($D$8+$D$9+$D$10)*$I14,IF($N14=LEFT(DK14,1),($D$8+MAX(0,IF($D$50=1,$D$9*(1-(ABS($Q14-ABS(VALUE(MID(DK14,FIND("|",DK14)+1,FIND("-",DK14)-FIND("|",DK14)-1))-VALUE(MID(DK14,FIND("-",DK14)+1,10)))))*$D$50),$D$9*(1-(IF($N14="X",ABS($O14-VALUE(MID(DK14,FIND("|",DK14)+1,FIND("-",DK14)-FIND("|",DK14)-1))),ABS($Q14-ABS(VALUE(MID(DK14,FIND("|",DK14)+1,FIND("-",DK14)-FIND("|",DK14)-1))-VALUE(MID(DK14,FIND("-",DK14)+1,10)))))*$D$50)))))*$I14,0)),0)</f>
        <v>0</v>
      </c>
      <c r="DM14" s="338"/>
      <c r="DN14" s="363"/>
      <c r="DO14" s="356" t="n">
        <f aca="false">IFERROR(IF($M14=DN14,($D$8+$D$9+$D$10)*$I14,IF($N14=LEFT(DN14,1),($D$8+MAX(0,IF($D$50=1,$D$9*(1-(ABS($Q14-ABS(VALUE(MID(DN14,FIND("|",DN14)+1,FIND("-",DN14)-FIND("|",DN14)-1))-VALUE(MID(DN14,FIND("-",DN14)+1,10)))))*$D$50),$D$9*(1-(IF($N14="X",ABS($O14-VALUE(MID(DN14,FIND("|",DN14)+1,FIND("-",DN14)-FIND("|",DN14)-1))),ABS($Q14-ABS(VALUE(MID(DN14,FIND("|",DN14)+1,FIND("-",DN14)-FIND("|",DN14)-1))-VALUE(MID(DN14,FIND("-",DN14)+1,10)))))*$D$50)))))*$I14,0)),0)</f>
        <v>0</v>
      </c>
      <c r="DP14" s="338"/>
      <c r="DQ14" s="363"/>
      <c r="DR14" s="356" t="n">
        <f aca="false">IFERROR(IF($M14=DQ14,($D$8+$D$9+$D$10)*$I14,IF($N14=LEFT(DQ14,1),($D$8+MAX(0,IF($D$50=1,$D$9*(1-(ABS($Q14-ABS(VALUE(MID(DQ14,FIND("|",DQ14)+1,FIND("-",DQ14)-FIND("|",DQ14)-1))-VALUE(MID(DQ14,FIND("-",DQ14)+1,10)))))*$D$50),$D$9*(1-(IF($N14="X",ABS($O14-VALUE(MID(DQ14,FIND("|",DQ14)+1,FIND("-",DQ14)-FIND("|",DQ14)-1))),ABS($Q14-ABS(VALUE(MID(DQ14,FIND("|",DQ14)+1,FIND("-",DQ14)-FIND("|",DQ14)-1))-VALUE(MID(DQ14,FIND("-",DQ14)+1,10)))))*$D$50)))))*$I14,0)),0)</f>
        <v>0</v>
      </c>
      <c r="DS14" s="338"/>
      <c r="DT14" s="363"/>
      <c r="DU14" s="356" t="n">
        <f aca="false">IFERROR(IF($M14=DT14,($D$8+$D$9+$D$10)*$I14,IF($N14=LEFT(DT14,1),($D$8+MAX(0,IF($D$50=1,$D$9*(1-(ABS($Q14-ABS(VALUE(MID(DT14,FIND("|",DT14)+1,FIND("-",DT14)-FIND("|",DT14)-1))-VALUE(MID(DT14,FIND("-",DT14)+1,10)))))*$D$50),$D$9*(1-(IF($N14="X",ABS($O14-VALUE(MID(DT14,FIND("|",DT14)+1,FIND("-",DT14)-FIND("|",DT14)-1))),ABS($Q14-ABS(VALUE(MID(DT14,FIND("|",DT14)+1,FIND("-",DT14)-FIND("|",DT14)-1))-VALUE(MID(DT14,FIND("-",DT14)+1,10)))))*$D$50)))))*$I14,0)),0)</f>
        <v>0</v>
      </c>
      <c r="DV14" s="338"/>
      <c r="DW14" s="363"/>
      <c r="DX14" s="356" t="n">
        <f aca="false">IFERROR(IF($M14=DW14,($D$8+$D$9+$D$10)*$I14,IF($N14=LEFT(DW14,1),($D$8+MAX(0,IF($D$50=1,$D$9*(1-(ABS($Q14-ABS(VALUE(MID(DW14,FIND("|",DW14)+1,FIND("-",DW14)-FIND("|",DW14)-1))-VALUE(MID(DW14,FIND("-",DW14)+1,10)))))*$D$50),$D$9*(1-(IF($N14="X",ABS($O14-VALUE(MID(DW14,FIND("|",DW14)+1,FIND("-",DW14)-FIND("|",DW14)-1))),ABS($Q14-ABS(VALUE(MID(DW14,FIND("|",DW14)+1,FIND("-",DW14)-FIND("|",DW14)-1))-VALUE(MID(DW14,FIND("-",DW14)+1,10)))))*$D$50)))))*$I14,0)),0)</f>
        <v>0</v>
      </c>
      <c r="DY14" s="338"/>
      <c r="DZ14" s="363"/>
      <c r="EA14" s="356" t="n">
        <f aca="false">IFERROR(IF($M14=DZ14,($D$8+$D$9+$D$10)*$I14,IF($N14=LEFT(DZ14,1),($D$8+MAX(0,IF($D$50=1,$D$9*(1-(ABS($Q14-ABS(VALUE(MID(DZ14,FIND("|",DZ14)+1,FIND("-",DZ14)-FIND("|",DZ14)-1))-VALUE(MID(DZ14,FIND("-",DZ14)+1,10)))))*$D$50),$D$9*(1-(IF($N14="X",ABS($O14-VALUE(MID(DZ14,FIND("|",DZ14)+1,FIND("-",DZ14)-FIND("|",DZ14)-1))),ABS($Q14-ABS(VALUE(MID(DZ14,FIND("|",DZ14)+1,FIND("-",DZ14)-FIND("|",DZ14)-1))-VALUE(MID(DZ14,FIND("-",DZ14)+1,10)))))*$D$50)))))*$I14,0)),0)</f>
        <v>0</v>
      </c>
      <c r="EB14" s="338"/>
      <c r="EC14" s="363"/>
      <c r="ED14" s="356" t="n">
        <f aca="false">IFERROR(IF($M14=EC14,($D$8+$D$9+$D$10)*$I14,IF($N14=LEFT(EC14,1),($D$8+MAX(0,IF($D$50=1,$D$9*(1-(ABS($Q14-ABS(VALUE(MID(EC14,FIND("|",EC14)+1,FIND("-",EC14)-FIND("|",EC14)-1))-VALUE(MID(EC14,FIND("-",EC14)+1,10)))))*$D$50),$D$9*(1-(IF($N14="X",ABS($O14-VALUE(MID(EC14,FIND("|",EC14)+1,FIND("-",EC14)-FIND("|",EC14)-1))),ABS($Q14-ABS(VALUE(MID(EC14,FIND("|",EC14)+1,FIND("-",EC14)-FIND("|",EC14)-1))-VALUE(MID(EC14,FIND("-",EC14)+1,10)))))*$D$50)))))*$I14,0)),0)</f>
        <v>0</v>
      </c>
      <c r="EE14" s="338"/>
      <c r="EF14" s="363"/>
      <c r="EG14" s="356" t="n">
        <f aca="false">IFERROR(IF($M14=EF14,($D$8+$D$9+$D$10)*$I14,IF($N14=LEFT(EF14,1),($D$8+MAX(0,IF($D$50=1,$D$9*(1-(ABS($Q14-ABS(VALUE(MID(EF14,FIND("|",EF14)+1,FIND("-",EF14)-FIND("|",EF14)-1))-VALUE(MID(EF14,FIND("-",EF14)+1,10)))))*$D$50),$D$9*(1-(IF($N14="X",ABS($O14-VALUE(MID(EF14,FIND("|",EF14)+1,FIND("-",EF14)-FIND("|",EF14)-1))),ABS($Q14-ABS(VALUE(MID(EF14,FIND("|",EF14)+1,FIND("-",EF14)-FIND("|",EF14)-1))-VALUE(MID(EF14,FIND("-",EF14)+1,10)))))*$D$50)))))*$I14,0)),0)</f>
        <v>0</v>
      </c>
      <c r="EH14" s="338"/>
      <c r="EI14" s="338"/>
    </row>
    <row r="15" customFormat="false" ht="15" hidden="false" customHeight="false" outlineLevel="0" collapsed="false">
      <c r="A15" s="327"/>
      <c r="B15" s="327"/>
      <c r="C15" s="368" t="str">
        <f aca="false">Idiomas!D311</f>
        <v>Equipo clasificado para DIECISEISAVOS</v>
      </c>
      <c r="D15" s="369" t="n">
        <v>3</v>
      </c>
      <c r="E15" s="334"/>
      <c r="F15" s="343" t="n">
        <f aca="false">SUM($D$8:$D$10)*I15</f>
        <v>17</v>
      </c>
      <c r="G15" s="343" t="n">
        <f aca="false">VLOOKUP(H15,Equipos!$Q$1:$R$25,2,0)</f>
        <v>5</v>
      </c>
      <c r="H15" s="351" t="n">
        <f aca="false">TRUNC(INDEX(WORLDCUP!$X$4:$X$147,MATCH(ADMIN!K15,WORLDCUP!$DT$4:$DT$147,0))+INDEX(Horarios!$R$3:$R$86,MATCH(Horarios!$C$3,Horarios!$P$3:$P$86,0))/24)</f>
        <v>46188</v>
      </c>
      <c r="I15" s="352" t="n">
        <v>1</v>
      </c>
      <c r="J15" s="353" t="s">
        <v>282</v>
      </c>
      <c r="K15" s="354" t="str">
        <f aca="false">CONCATENATE(WORLDCUP!AA37,"-",WORLDCUP!AF37)</f>
        <v>Costa de Marfil-Ecuador</v>
      </c>
      <c r="L15" s="354"/>
      <c r="M15" s="359" t="str">
        <f aca="false">IF(OR(WORLDCUP!AC37="",WORLDCUP!AD37=""),"-",N15&amp;"|"&amp;O15&amp;"-"&amp;P15)</f>
        <v>1|1-0</v>
      </c>
      <c r="N15" s="332" t="str">
        <f aca="false">IF(OR(WORLDCUP!AC37="",WORLDCUP!AD37=""),"",IF(WORLDCUP!AC37&gt;WORLDCUP!AD37,"1",IF(WORLDCUP!AC37&lt;WORLDCUP!AD37,"2","X")))</f>
        <v>1</v>
      </c>
      <c r="O15" s="332" t="n">
        <f aca="false">WORLDCUP!AC37</f>
        <v>1</v>
      </c>
      <c r="P15" s="332" t="n">
        <f aca="false">WORLDCUP!AD37</f>
        <v>0</v>
      </c>
      <c r="Q15" s="332" t="n">
        <f aca="false">ABS(O15-P15)</f>
        <v>1</v>
      </c>
      <c r="R15" s="327"/>
      <c r="S15" s="363" t="s">
        <v>266</v>
      </c>
      <c r="T15" s="356" t="n">
        <f aca="false">IFERROR(IF($M15=S15,($D$8+$D$9+$D$10)*$I15,IF($N15=LEFT(S15,1),($D$8+MAX(0,IF($D$50=1,$D$9*(1-(ABS($Q15-ABS(VALUE(MID(S15,FIND("|",S15)+1,FIND("-",S15)-FIND("|",S15)-1))-VALUE(MID(S15,FIND("-",S15)+1,10)))))*$D$50),$D$9*(1-(IF($N15="X",ABS($O15-VALUE(MID(S15,FIND("|",S15)+1,FIND("-",S15)-FIND("|",S15)-1))),ABS($Q15-ABS(VALUE(MID(S15,FIND("|",S15)+1,FIND("-",S15)-FIND("|",S15)-1))-VALUE(MID(S15,FIND("-",S15)+1,10)))))*$D$50)))))*$I15,0)),0)</f>
        <v>5</v>
      </c>
      <c r="U15" s="338"/>
      <c r="V15" s="363" t="s">
        <v>268</v>
      </c>
      <c r="W15" s="356" t="n">
        <f aca="false">IFERROR(IF($M15=V15,($D$8+$D$9+$D$10)*$I15,IF($N15=LEFT(V15,1),($D$8+MAX(0,IF($D$50=1,$D$9*(1-(ABS($Q15-ABS(VALUE(MID(V15,FIND("|",V15)+1,FIND("-",V15)-FIND("|",V15)-1))-VALUE(MID(V15,FIND("-",V15)+1,10)))))*$D$50),$D$9*(1-(IF($N15="X",ABS($O15-VALUE(MID(V15,FIND("|",V15)+1,FIND("-",V15)-FIND("|",V15)-1))),ABS($Q15-ABS(VALUE(MID(V15,FIND("|",V15)+1,FIND("-",V15)-FIND("|",V15)-1))-VALUE(MID(V15,FIND("-",V15)+1,10)))))*$D$50)))))*$I15,0)),0)</f>
        <v>0</v>
      </c>
      <c r="X15" s="338"/>
      <c r="Y15" s="363" t="s">
        <v>268</v>
      </c>
      <c r="Z15" s="356" t="n">
        <f aca="false">IFERROR(IF($M15=Y15,($D$8+$D$9+$D$10)*$I15,IF($N15=LEFT(Y15,1),($D$8+MAX(0,IF($D$50=1,$D$9*(1-(ABS($Q15-ABS(VALUE(MID(Y15,FIND("|",Y15)+1,FIND("-",Y15)-FIND("|",Y15)-1))-VALUE(MID(Y15,FIND("-",Y15)+1,10)))))*$D$50),$D$9*(1-(IF($N15="X",ABS($O15-VALUE(MID(Y15,FIND("|",Y15)+1,FIND("-",Y15)-FIND("|",Y15)-1))),ABS($Q15-ABS(VALUE(MID(Y15,FIND("|",Y15)+1,FIND("-",Y15)-FIND("|",Y15)-1))-VALUE(MID(Y15,FIND("-",Y15)+1,10)))))*$D$50)))))*$I15,0)),0)</f>
        <v>0</v>
      </c>
      <c r="AA15" s="338"/>
      <c r="AB15" s="363" t="s">
        <v>268</v>
      </c>
      <c r="AC15" s="356" t="n">
        <f aca="false">IFERROR(IF($M15=AB15,($D$8+$D$9+$D$10)*$I15,IF($N15=LEFT(AB15,1),($D$8+MAX(0,IF($D$50=1,$D$9*(1-(ABS($Q15-ABS(VALUE(MID(AB15,FIND("|",AB15)+1,FIND("-",AB15)-FIND("|",AB15)-1))-VALUE(MID(AB15,FIND("-",AB15)+1,10)))))*$D$50),$D$9*(1-(IF($N15="X",ABS($O15-VALUE(MID(AB15,FIND("|",AB15)+1,FIND("-",AB15)-FIND("|",AB15)-1))),ABS($Q15-ABS(VALUE(MID(AB15,FIND("|",AB15)+1,FIND("-",AB15)-FIND("|",AB15)-1))-VALUE(MID(AB15,FIND("-",AB15)+1,10)))))*$D$50)))))*$I15,0)),0)</f>
        <v>0</v>
      </c>
      <c r="AD15" s="338"/>
      <c r="AE15" s="363" t="s">
        <v>267</v>
      </c>
      <c r="AF15" s="356" t="n">
        <f aca="false">IFERROR(IF($M15=AE15,($D$8+$D$9+$D$10)*$I15,IF($N15=LEFT(AE15,1),($D$8+MAX(0,IF($D$50=1,$D$9*(1-(ABS($Q15-ABS(VALUE(MID(AE15,FIND("|",AE15)+1,FIND("-",AE15)-FIND("|",AE15)-1))-VALUE(MID(AE15,FIND("-",AE15)+1,10)))))*$D$50),$D$9*(1-(IF($N15="X",ABS($O15-VALUE(MID(AE15,FIND("|",AE15)+1,FIND("-",AE15)-FIND("|",AE15)-1))),ABS($Q15-ABS(VALUE(MID(AE15,FIND("|",AE15)+1,FIND("-",AE15)-FIND("|",AE15)-1))-VALUE(MID(AE15,FIND("-",AE15)+1,10)))))*$D$50)))))*$I15,0)),0)</f>
        <v>0</v>
      </c>
      <c r="AG15" s="338"/>
      <c r="AH15" s="363" t="s">
        <v>267</v>
      </c>
      <c r="AI15" s="356" t="n">
        <f aca="false">IFERROR(IF($M15=AH15,($D$8+$D$9+$D$10)*$I15,IF($N15=LEFT(AH15,1),($D$8+MAX(0,IF($D$50=1,$D$9*(1-(ABS($Q15-ABS(VALUE(MID(AH15,FIND("|",AH15)+1,FIND("-",AH15)-FIND("|",AH15)-1))-VALUE(MID(AH15,FIND("-",AH15)+1,10)))))*$D$50),$D$9*(1-(IF($N15="X",ABS($O15-VALUE(MID(AH15,FIND("|",AH15)+1,FIND("-",AH15)-FIND("|",AH15)-1))),ABS($Q15-ABS(VALUE(MID(AH15,FIND("|",AH15)+1,FIND("-",AH15)-FIND("|",AH15)-1))-VALUE(MID(AH15,FIND("-",AH15)+1,10)))))*$D$50)))))*$I15,0)),0)</f>
        <v>0</v>
      </c>
      <c r="AJ15" s="338"/>
      <c r="AK15" s="363" t="s">
        <v>267</v>
      </c>
      <c r="AL15" s="356" t="n">
        <f aca="false">IFERROR(IF($M15=AK15,($D$8+$D$9+$D$10)*$I15,IF($N15=LEFT(AK15,1),($D$8+MAX(0,IF($D$50=1,$D$9*(1-(ABS($Q15-ABS(VALUE(MID(AK15,FIND("|",AK15)+1,FIND("-",AK15)-FIND("|",AK15)-1))-VALUE(MID(AK15,FIND("-",AK15)+1,10)))))*$D$50),$D$9*(1-(IF($N15="X",ABS($O15-VALUE(MID(AK15,FIND("|",AK15)+1,FIND("-",AK15)-FIND("|",AK15)-1))),ABS($Q15-ABS(VALUE(MID(AK15,FIND("|",AK15)+1,FIND("-",AK15)-FIND("|",AK15)-1))-VALUE(MID(AK15,FIND("-",AK15)+1,10)))))*$D$50)))))*$I15,0)),0)</f>
        <v>0</v>
      </c>
      <c r="AM15" s="338"/>
      <c r="AN15" s="363" t="s">
        <v>271</v>
      </c>
      <c r="AO15" s="356" t="n">
        <f aca="false">IFERROR(IF($M15=AN15,($D$8+$D$9+$D$10)*$I15,IF($N15=LEFT(AN15,1),($D$8+MAX(0,IF($D$50=1,$D$9*(1-(ABS($Q15-ABS(VALUE(MID(AN15,FIND("|",AN15)+1,FIND("-",AN15)-FIND("|",AN15)-1))-VALUE(MID(AN15,FIND("-",AN15)+1,10)))))*$D$50),$D$9*(1-(IF($N15="X",ABS($O15-VALUE(MID(AN15,FIND("|",AN15)+1,FIND("-",AN15)-FIND("|",AN15)-1))),ABS($Q15-ABS(VALUE(MID(AN15,FIND("|",AN15)+1,FIND("-",AN15)-FIND("|",AN15)-1))-VALUE(MID(AN15,FIND("-",AN15)+1,10)))))*$D$50)))))*$I15,0)),0)</f>
        <v>0</v>
      </c>
      <c r="AP15" s="338"/>
      <c r="AQ15" s="363" t="s">
        <v>267</v>
      </c>
      <c r="AR15" s="356" t="n">
        <f aca="false">IFERROR(IF($M15=AQ15,($D$8+$D$9+$D$10)*$I15,IF($N15=LEFT(AQ15,1),($D$8+MAX(0,IF($D$50=1,$D$9*(1-(ABS($Q15-ABS(VALUE(MID(AQ15,FIND("|",AQ15)+1,FIND("-",AQ15)-FIND("|",AQ15)-1))-VALUE(MID(AQ15,FIND("-",AQ15)+1,10)))))*$D$50),$D$9*(1-(IF($N15="X",ABS($O15-VALUE(MID(AQ15,FIND("|",AQ15)+1,FIND("-",AQ15)-FIND("|",AQ15)-1))),ABS($Q15-ABS(VALUE(MID(AQ15,FIND("|",AQ15)+1,FIND("-",AQ15)-FIND("|",AQ15)-1))-VALUE(MID(AQ15,FIND("-",AQ15)+1,10)))))*$D$50)))))*$I15,0)),0)</f>
        <v>0</v>
      </c>
      <c r="AS15" s="338"/>
      <c r="AT15" s="363" t="s">
        <v>274</v>
      </c>
      <c r="AU15" s="356" t="n">
        <f aca="false">IFERROR(IF($M15=AT15,($D$8+$D$9+$D$10)*$I15,IF($N15=LEFT(AT15,1),($D$8+MAX(0,IF($D$50=1,$D$9*(1-(ABS($Q15-ABS(VALUE(MID(AT15,FIND("|",AT15)+1,FIND("-",AT15)-FIND("|",AT15)-1))-VALUE(MID(AT15,FIND("-",AT15)+1,10)))))*$D$50),$D$9*(1-(IF($N15="X",ABS($O15-VALUE(MID(AT15,FIND("|",AT15)+1,FIND("-",AT15)-FIND("|",AT15)-1))),ABS($Q15-ABS(VALUE(MID(AT15,FIND("|",AT15)+1,FIND("-",AT15)-FIND("|",AT15)-1))-VALUE(MID(AT15,FIND("-",AT15)+1,10)))))*$D$50)))))*$I15,0)),0)</f>
        <v>0</v>
      </c>
      <c r="AV15" s="338"/>
      <c r="AW15" s="363" t="s">
        <v>267</v>
      </c>
      <c r="AX15" s="356" t="n">
        <f aca="false">IFERROR(IF($M15=AW15,($D$8+$D$9+$D$10)*$I15,IF($N15=LEFT(AW15,1),($D$8+MAX(0,IF($D$50=1,$D$9*(1-(ABS($Q15-ABS(VALUE(MID(AW15,FIND("|",AW15)+1,FIND("-",AW15)-FIND("|",AW15)-1))-VALUE(MID(AW15,FIND("-",AW15)+1,10)))))*$D$50),$D$9*(1-(IF($N15="X",ABS($O15-VALUE(MID(AW15,FIND("|",AW15)+1,FIND("-",AW15)-FIND("|",AW15)-1))),ABS($Q15-ABS(VALUE(MID(AW15,FIND("|",AW15)+1,FIND("-",AW15)-FIND("|",AW15)-1))-VALUE(MID(AW15,FIND("-",AW15)+1,10)))))*$D$50)))))*$I15,0)),0)</f>
        <v>0</v>
      </c>
      <c r="AY15" s="338"/>
      <c r="AZ15" s="363" t="s">
        <v>268</v>
      </c>
      <c r="BA15" s="356" t="n">
        <f aca="false">IFERROR(IF($M15=AZ15,($D$8+$D$9+$D$10)*$I15,IF($N15=LEFT(AZ15,1),($D$8+MAX(0,IF($D$50=1,$D$9*(1-(ABS($Q15-ABS(VALUE(MID(AZ15,FIND("|",AZ15)+1,FIND("-",AZ15)-FIND("|",AZ15)-1))-VALUE(MID(AZ15,FIND("-",AZ15)+1,10)))))*$D$50),$D$9*(1-(IF($N15="X",ABS($O15-VALUE(MID(AZ15,FIND("|",AZ15)+1,FIND("-",AZ15)-FIND("|",AZ15)-1))),ABS($Q15-ABS(VALUE(MID(AZ15,FIND("|",AZ15)+1,FIND("-",AZ15)-FIND("|",AZ15)-1))-VALUE(MID(AZ15,FIND("-",AZ15)+1,10)))))*$D$50)))))*$I15,0)),0)</f>
        <v>0</v>
      </c>
      <c r="BB15" s="338"/>
      <c r="BC15" s="363" t="s">
        <v>267</v>
      </c>
      <c r="BD15" s="356" t="n">
        <f aca="false">IFERROR(IF($M15=BC15,($D$8+$D$9+$D$10)*$I15,IF($N15=LEFT(BC15,1),($D$8+MAX(0,IF($D$50=1,$D$9*(1-(ABS($Q15-ABS(VALUE(MID(BC15,FIND("|",BC15)+1,FIND("-",BC15)-FIND("|",BC15)-1))-VALUE(MID(BC15,FIND("-",BC15)+1,10)))))*$D$50),$D$9*(1-(IF($N15="X",ABS($O15-VALUE(MID(BC15,FIND("|",BC15)+1,FIND("-",BC15)-FIND("|",BC15)-1))),ABS($Q15-ABS(VALUE(MID(BC15,FIND("|",BC15)+1,FIND("-",BC15)-FIND("|",BC15)-1))-VALUE(MID(BC15,FIND("-",BC15)+1,10)))))*$D$50)))))*$I15,0)),0)</f>
        <v>0</v>
      </c>
      <c r="BE15" s="338"/>
      <c r="BF15" s="363" t="s">
        <v>271</v>
      </c>
      <c r="BG15" s="356" t="n">
        <f aca="false">IFERROR(IF($M15=BF15,($D$8+$D$9+$D$10)*$I15,IF($N15=LEFT(BF15,1),($D$8+MAX(0,IF($D$50=1,$D$9*(1-(ABS($Q15-ABS(VALUE(MID(BF15,FIND("|",BF15)+1,FIND("-",BF15)-FIND("|",BF15)-1))-VALUE(MID(BF15,FIND("-",BF15)+1,10)))))*$D$50),$D$9*(1-(IF($N15="X",ABS($O15-VALUE(MID(BF15,FIND("|",BF15)+1,FIND("-",BF15)-FIND("|",BF15)-1))),ABS($Q15-ABS(VALUE(MID(BF15,FIND("|",BF15)+1,FIND("-",BF15)-FIND("|",BF15)-1))-VALUE(MID(BF15,FIND("-",BF15)+1,10)))))*$D$50)))))*$I15,0)),0)</f>
        <v>0</v>
      </c>
      <c r="BH15" s="338"/>
      <c r="BI15" s="363" t="s">
        <v>271</v>
      </c>
      <c r="BJ15" s="356" t="n">
        <f aca="false">IFERROR(IF($M15=BI15,($D$8+$D$9+$D$10)*$I15,IF($N15=LEFT(BI15,1),($D$8+MAX(0,IF($D$50=1,$D$9*(1-(ABS($Q15-ABS(VALUE(MID(BI15,FIND("|",BI15)+1,FIND("-",BI15)-FIND("|",BI15)-1))-VALUE(MID(BI15,FIND("-",BI15)+1,10)))))*$D$50),$D$9*(1-(IF($N15="X",ABS($O15-VALUE(MID(BI15,FIND("|",BI15)+1,FIND("-",BI15)-FIND("|",BI15)-1))),ABS($Q15-ABS(VALUE(MID(BI15,FIND("|",BI15)+1,FIND("-",BI15)-FIND("|",BI15)-1))-VALUE(MID(BI15,FIND("-",BI15)+1,10)))))*$D$50)))))*$I15,0)),0)</f>
        <v>0</v>
      </c>
      <c r="BK15" s="338"/>
      <c r="BL15" s="363" t="s">
        <v>264</v>
      </c>
      <c r="BM15" s="356" t="n">
        <f aca="false">IFERROR(IF($M15=BL15,($D$8+$D$9+$D$10)*$I15,IF($N15=LEFT(BL15,1),($D$8+MAX(0,IF($D$50=1,$D$9*(1-(ABS($Q15-ABS(VALUE(MID(BL15,FIND("|",BL15)+1,FIND("-",BL15)-FIND("|",BL15)-1))-VALUE(MID(BL15,FIND("-",BL15)+1,10)))))*$D$50),$D$9*(1-(IF($N15="X",ABS($O15-VALUE(MID(BL15,FIND("|",BL15)+1,FIND("-",BL15)-FIND("|",BL15)-1))),ABS($Q15-ABS(VALUE(MID(BL15,FIND("|",BL15)+1,FIND("-",BL15)-FIND("|",BL15)-1))-VALUE(MID(BL15,FIND("-",BL15)+1,10)))))*$D$50)))))*$I15,0)),0)</f>
        <v>7</v>
      </c>
      <c r="BN15" s="338"/>
      <c r="BO15" s="363" t="s">
        <v>267</v>
      </c>
      <c r="BP15" s="356" t="n">
        <f aca="false">IFERROR(IF($M15=BO15,($D$8+$D$9+$D$10)*$I15,IF($N15=LEFT(BO15,1),($D$8+MAX(0,IF($D$50=1,$D$9*(1-(ABS($Q15-ABS(VALUE(MID(BO15,FIND("|",BO15)+1,FIND("-",BO15)-FIND("|",BO15)-1))-VALUE(MID(BO15,FIND("-",BO15)+1,10)))))*$D$50),$D$9*(1-(IF($N15="X",ABS($O15-VALUE(MID(BO15,FIND("|",BO15)+1,FIND("-",BO15)-FIND("|",BO15)-1))),ABS($Q15-ABS(VALUE(MID(BO15,FIND("|",BO15)+1,FIND("-",BO15)-FIND("|",BO15)-1))-VALUE(MID(BO15,FIND("-",BO15)+1,10)))))*$D$50)))))*$I15,0)),0)</f>
        <v>0</v>
      </c>
      <c r="BQ15" s="338"/>
      <c r="BR15" s="363" t="s">
        <v>268</v>
      </c>
      <c r="BS15" s="356" t="n">
        <f aca="false">IFERROR(IF($M15=BR15,($D$8+$D$9+$D$10)*$I15,IF($N15=LEFT(BR15,1),($D$8+MAX(0,IF($D$50=1,$D$9*(1-(ABS($Q15-ABS(VALUE(MID(BR15,FIND("|",BR15)+1,FIND("-",BR15)-FIND("|",BR15)-1))-VALUE(MID(BR15,FIND("-",BR15)+1,10)))))*$D$50),$D$9*(1-(IF($N15="X",ABS($O15-VALUE(MID(BR15,FIND("|",BR15)+1,FIND("-",BR15)-FIND("|",BR15)-1))),ABS($Q15-ABS(VALUE(MID(BR15,FIND("|",BR15)+1,FIND("-",BR15)-FIND("|",BR15)-1))-VALUE(MID(BR15,FIND("-",BR15)+1,10)))))*$D$50)))))*$I15,0)),0)</f>
        <v>0</v>
      </c>
      <c r="BT15" s="338"/>
      <c r="BU15" s="363"/>
      <c r="BV15" s="356" t="n">
        <f aca="false">IFERROR(IF($M15=BU15,($D$8+$D$9+$D$10)*$I15,IF($N15=LEFT(BU15,1),($D$8+MAX(0,IF($D$50=1,$D$9*(1-(ABS($Q15-ABS(VALUE(MID(BU15,FIND("|",BU15)+1,FIND("-",BU15)-FIND("|",BU15)-1))-VALUE(MID(BU15,FIND("-",BU15)+1,10)))))*$D$50),$D$9*(1-(IF($N15="X",ABS($O15-VALUE(MID(BU15,FIND("|",BU15)+1,FIND("-",BU15)-FIND("|",BU15)-1))),ABS($Q15-ABS(VALUE(MID(BU15,FIND("|",BU15)+1,FIND("-",BU15)-FIND("|",BU15)-1))-VALUE(MID(BU15,FIND("-",BU15)+1,10)))))*$D$50)))))*$I15,0)),0)</f>
        <v>0</v>
      </c>
      <c r="BW15" s="338"/>
      <c r="BX15" s="363"/>
      <c r="BY15" s="356" t="n">
        <f aca="false">IFERROR(IF($M15=BX15,($D$8+$D$9+$D$10)*$I15,IF($N15=LEFT(BX15,1),($D$8+MAX(0,IF($D$50=1,$D$9*(1-(ABS($Q15-ABS(VALUE(MID(BX15,FIND("|",BX15)+1,FIND("-",BX15)-FIND("|",BX15)-1))-VALUE(MID(BX15,FIND("-",BX15)+1,10)))))*$D$50),$D$9*(1-(IF($N15="X",ABS($O15-VALUE(MID(BX15,FIND("|",BX15)+1,FIND("-",BX15)-FIND("|",BX15)-1))),ABS($Q15-ABS(VALUE(MID(BX15,FIND("|",BX15)+1,FIND("-",BX15)-FIND("|",BX15)-1))-VALUE(MID(BX15,FIND("-",BX15)+1,10)))))*$D$50)))))*$I15,0)),0)</f>
        <v>0</v>
      </c>
      <c r="BZ15" s="338"/>
      <c r="CA15" s="363"/>
      <c r="CB15" s="356" t="n">
        <f aca="false">IFERROR(IF($M15=CA15,($D$8+$D$9+$D$10)*$I15,IF($N15=LEFT(CA15,1),($D$8+MAX(0,IF($D$50=1,$D$9*(1-(ABS($Q15-ABS(VALUE(MID(CA15,FIND("|",CA15)+1,FIND("-",CA15)-FIND("|",CA15)-1))-VALUE(MID(CA15,FIND("-",CA15)+1,10)))))*$D$50),$D$9*(1-(IF($N15="X",ABS($O15-VALUE(MID(CA15,FIND("|",CA15)+1,FIND("-",CA15)-FIND("|",CA15)-1))),ABS($Q15-ABS(VALUE(MID(CA15,FIND("|",CA15)+1,FIND("-",CA15)-FIND("|",CA15)-1))-VALUE(MID(CA15,FIND("-",CA15)+1,10)))))*$D$50)))))*$I15,0)),0)</f>
        <v>0</v>
      </c>
      <c r="CC15" s="338"/>
      <c r="CD15" s="363"/>
      <c r="CE15" s="356" t="n">
        <f aca="false">IFERROR(IF($M15=CD15,($D$8+$D$9+$D$10)*$I15,IF($N15=LEFT(CD15,1),($D$8+MAX(0,IF($D$50=1,$D$9*(1-(ABS($Q15-ABS(VALUE(MID(CD15,FIND("|",CD15)+1,FIND("-",CD15)-FIND("|",CD15)-1))-VALUE(MID(CD15,FIND("-",CD15)+1,10)))))*$D$50),$D$9*(1-(IF($N15="X",ABS($O15-VALUE(MID(CD15,FIND("|",CD15)+1,FIND("-",CD15)-FIND("|",CD15)-1))),ABS($Q15-ABS(VALUE(MID(CD15,FIND("|",CD15)+1,FIND("-",CD15)-FIND("|",CD15)-1))-VALUE(MID(CD15,FIND("-",CD15)+1,10)))))*$D$50)))))*$I15,0)),0)</f>
        <v>0</v>
      </c>
      <c r="CF15" s="338"/>
      <c r="CG15" s="363"/>
      <c r="CH15" s="356" t="n">
        <f aca="false">IFERROR(IF($M15=CG15,($D$8+$D$9+$D$10)*$I15,IF($N15=LEFT(CG15,1),($D$8+MAX(0,IF($D$50=1,$D$9*(1-(ABS($Q15-ABS(VALUE(MID(CG15,FIND("|",CG15)+1,FIND("-",CG15)-FIND("|",CG15)-1))-VALUE(MID(CG15,FIND("-",CG15)+1,10)))))*$D$50),$D$9*(1-(IF($N15="X",ABS($O15-VALUE(MID(CG15,FIND("|",CG15)+1,FIND("-",CG15)-FIND("|",CG15)-1))),ABS($Q15-ABS(VALUE(MID(CG15,FIND("|",CG15)+1,FIND("-",CG15)-FIND("|",CG15)-1))-VALUE(MID(CG15,FIND("-",CG15)+1,10)))))*$D$50)))))*$I15,0)),0)</f>
        <v>0</v>
      </c>
      <c r="CI15" s="338"/>
      <c r="CJ15" s="363"/>
      <c r="CK15" s="356" t="n">
        <f aca="false">IFERROR(IF($M15=CJ15,($D$8+$D$9+$D$10)*$I15,IF($N15=LEFT(CJ15,1),($D$8+MAX(0,IF($D$50=1,$D$9*(1-(ABS($Q15-ABS(VALUE(MID(CJ15,FIND("|",CJ15)+1,FIND("-",CJ15)-FIND("|",CJ15)-1))-VALUE(MID(CJ15,FIND("-",CJ15)+1,10)))))*$D$50),$D$9*(1-(IF($N15="X",ABS($O15-VALUE(MID(CJ15,FIND("|",CJ15)+1,FIND("-",CJ15)-FIND("|",CJ15)-1))),ABS($Q15-ABS(VALUE(MID(CJ15,FIND("|",CJ15)+1,FIND("-",CJ15)-FIND("|",CJ15)-1))-VALUE(MID(CJ15,FIND("-",CJ15)+1,10)))))*$D$50)))))*$I15,0)),0)</f>
        <v>0</v>
      </c>
      <c r="CL15" s="338"/>
      <c r="CM15" s="363"/>
      <c r="CN15" s="356" t="n">
        <f aca="false">IFERROR(IF($M15=CM15,($D$8+$D$9+$D$10)*$I15,IF($N15=LEFT(CM15,1),($D$8+MAX(0,IF($D$50=1,$D$9*(1-(ABS($Q15-ABS(VALUE(MID(CM15,FIND("|",CM15)+1,FIND("-",CM15)-FIND("|",CM15)-1))-VALUE(MID(CM15,FIND("-",CM15)+1,10)))))*$D$50),$D$9*(1-(IF($N15="X",ABS($O15-VALUE(MID(CM15,FIND("|",CM15)+1,FIND("-",CM15)-FIND("|",CM15)-1))),ABS($Q15-ABS(VALUE(MID(CM15,FIND("|",CM15)+1,FIND("-",CM15)-FIND("|",CM15)-1))-VALUE(MID(CM15,FIND("-",CM15)+1,10)))))*$D$50)))))*$I15,0)),0)</f>
        <v>0</v>
      </c>
      <c r="CO15" s="338"/>
      <c r="CP15" s="363"/>
      <c r="CQ15" s="356" t="n">
        <f aca="false">IFERROR(IF($M15=CP15,($D$8+$D$9+$D$10)*$I15,IF($N15=LEFT(CP15,1),($D$8+MAX(0,IF($D$50=1,$D$9*(1-(ABS($Q15-ABS(VALUE(MID(CP15,FIND("|",CP15)+1,FIND("-",CP15)-FIND("|",CP15)-1))-VALUE(MID(CP15,FIND("-",CP15)+1,10)))))*$D$50),$D$9*(1-(IF($N15="X",ABS($O15-VALUE(MID(CP15,FIND("|",CP15)+1,FIND("-",CP15)-FIND("|",CP15)-1))),ABS($Q15-ABS(VALUE(MID(CP15,FIND("|",CP15)+1,FIND("-",CP15)-FIND("|",CP15)-1))-VALUE(MID(CP15,FIND("-",CP15)+1,10)))))*$D$50)))))*$I15,0)),0)</f>
        <v>0</v>
      </c>
      <c r="CR15" s="338"/>
      <c r="CS15" s="363"/>
      <c r="CT15" s="356" t="n">
        <f aca="false">IFERROR(IF($M15=CS15,($D$8+$D$9+$D$10)*$I15,IF($N15=LEFT(CS15,1),($D$8+MAX(0,IF($D$50=1,$D$9*(1-(ABS($Q15-ABS(VALUE(MID(CS15,FIND("|",CS15)+1,FIND("-",CS15)-FIND("|",CS15)-1))-VALUE(MID(CS15,FIND("-",CS15)+1,10)))))*$D$50),$D$9*(1-(IF($N15="X",ABS($O15-VALUE(MID(CS15,FIND("|",CS15)+1,FIND("-",CS15)-FIND("|",CS15)-1))),ABS($Q15-ABS(VALUE(MID(CS15,FIND("|",CS15)+1,FIND("-",CS15)-FIND("|",CS15)-1))-VALUE(MID(CS15,FIND("-",CS15)+1,10)))))*$D$50)))))*$I15,0)),0)</f>
        <v>0</v>
      </c>
      <c r="CU15" s="338"/>
      <c r="CV15" s="363"/>
      <c r="CW15" s="356" t="n">
        <f aca="false">IFERROR(IF($M15=CV15,($D$8+$D$9+$D$10)*$I15,IF($N15=LEFT(CV15,1),($D$8+MAX(0,IF($D$50=1,$D$9*(1-(ABS($Q15-ABS(VALUE(MID(CV15,FIND("|",CV15)+1,FIND("-",CV15)-FIND("|",CV15)-1))-VALUE(MID(CV15,FIND("-",CV15)+1,10)))))*$D$50),$D$9*(1-(IF($N15="X",ABS($O15-VALUE(MID(CV15,FIND("|",CV15)+1,FIND("-",CV15)-FIND("|",CV15)-1))),ABS($Q15-ABS(VALUE(MID(CV15,FIND("|",CV15)+1,FIND("-",CV15)-FIND("|",CV15)-1))-VALUE(MID(CV15,FIND("-",CV15)+1,10)))))*$D$50)))))*$I15,0)),0)</f>
        <v>0</v>
      </c>
      <c r="CX15" s="338"/>
      <c r="CY15" s="363"/>
      <c r="CZ15" s="356" t="n">
        <f aca="false">IFERROR(IF($M15=CY15,($D$8+$D$9+$D$10)*$I15,IF($N15=LEFT(CY15,1),($D$8+MAX(0,IF($D$50=1,$D$9*(1-(ABS($Q15-ABS(VALUE(MID(CY15,FIND("|",CY15)+1,FIND("-",CY15)-FIND("|",CY15)-1))-VALUE(MID(CY15,FIND("-",CY15)+1,10)))))*$D$50),$D$9*(1-(IF($N15="X",ABS($O15-VALUE(MID(CY15,FIND("|",CY15)+1,FIND("-",CY15)-FIND("|",CY15)-1))),ABS($Q15-ABS(VALUE(MID(CY15,FIND("|",CY15)+1,FIND("-",CY15)-FIND("|",CY15)-1))-VALUE(MID(CY15,FIND("-",CY15)+1,10)))))*$D$50)))))*$I15,0)),0)</f>
        <v>0</v>
      </c>
      <c r="DA15" s="338"/>
      <c r="DB15" s="363"/>
      <c r="DC15" s="356" t="n">
        <f aca="false">IFERROR(IF($M15=DB15,($D$8+$D$9+$D$10)*$I15,IF($N15=LEFT(DB15,1),($D$8+MAX(0,IF($D$50=1,$D$9*(1-(ABS($Q15-ABS(VALUE(MID(DB15,FIND("|",DB15)+1,FIND("-",DB15)-FIND("|",DB15)-1))-VALUE(MID(DB15,FIND("-",DB15)+1,10)))))*$D$50),$D$9*(1-(IF($N15="X",ABS($O15-VALUE(MID(DB15,FIND("|",DB15)+1,FIND("-",DB15)-FIND("|",DB15)-1))),ABS($Q15-ABS(VALUE(MID(DB15,FIND("|",DB15)+1,FIND("-",DB15)-FIND("|",DB15)-1))-VALUE(MID(DB15,FIND("-",DB15)+1,10)))))*$D$50)))))*$I15,0)),0)</f>
        <v>0</v>
      </c>
      <c r="DD15" s="338"/>
      <c r="DE15" s="363"/>
      <c r="DF15" s="356" t="n">
        <f aca="false">IFERROR(IF($M15=DE15,($D$8+$D$9+$D$10)*$I15,IF($N15=LEFT(DE15,1),($D$8+MAX(0,IF($D$50=1,$D$9*(1-(ABS($Q15-ABS(VALUE(MID(DE15,FIND("|",DE15)+1,FIND("-",DE15)-FIND("|",DE15)-1))-VALUE(MID(DE15,FIND("-",DE15)+1,10)))))*$D$50),$D$9*(1-(IF($N15="X",ABS($O15-VALUE(MID(DE15,FIND("|",DE15)+1,FIND("-",DE15)-FIND("|",DE15)-1))),ABS($Q15-ABS(VALUE(MID(DE15,FIND("|",DE15)+1,FIND("-",DE15)-FIND("|",DE15)-1))-VALUE(MID(DE15,FIND("-",DE15)+1,10)))))*$D$50)))))*$I15,0)),0)</f>
        <v>0</v>
      </c>
      <c r="DG15" s="338"/>
      <c r="DH15" s="363"/>
      <c r="DI15" s="356" t="n">
        <f aca="false">IFERROR(IF($M15=DH15,($D$8+$D$9+$D$10)*$I15,IF($N15=LEFT(DH15,1),($D$8+MAX(0,IF($D$50=1,$D$9*(1-(ABS($Q15-ABS(VALUE(MID(DH15,FIND("|",DH15)+1,FIND("-",DH15)-FIND("|",DH15)-1))-VALUE(MID(DH15,FIND("-",DH15)+1,10)))))*$D$50),$D$9*(1-(IF($N15="X",ABS($O15-VALUE(MID(DH15,FIND("|",DH15)+1,FIND("-",DH15)-FIND("|",DH15)-1))),ABS($Q15-ABS(VALUE(MID(DH15,FIND("|",DH15)+1,FIND("-",DH15)-FIND("|",DH15)-1))-VALUE(MID(DH15,FIND("-",DH15)+1,10)))))*$D$50)))))*$I15,0)),0)</f>
        <v>0</v>
      </c>
      <c r="DJ15" s="338"/>
      <c r="DK15" s="363"/>
      <c r="DL15" s="356" t="n">
        <f aca="false">IFERROR(IF($M15=DK15,($D$8+$D$9+$D$10)*$I15,IF($N15=LEFT(DK15,1),($D$8+MAX(0,IF($D$50=1,$D$9*(1-(ABS($Q15-ABS(VALUE(MID(DK15,FIND("|",DK15)+1,FIND("-",DK15)-FIND("|",DK15)-1))-VALUE(MID(DK15,FIND("-",DK15)+1,10)))))*$D$50),$D$9*(1-(IF($N15="X",ABS($O15-VALUE(MID(DK15,FIND("|",DK15)+1,FIND("-",DK15)-FIND("|",DK15)-1))),ABS($Q15-ABS(VALUE(MID(DK15,FIND("|",DK15)+1,FIND("-",DK15)-FIND("|",DK15)-1))-VALUE(MID(DK15,FIND("-",DK15)+1,10)))))*$D$50)))))*$I15,0)),0)</f>
        <v>0</v>
      </c>
      <c r="DM15" s="338"/>
      <c r="DN15" s="363"/>
      <c r="DO15" s="356" t="n">
        <f aca="false">IFERROR(IF($M15=DN15,($D$8+$D$9+$D$10)*$I15,IF($N15=LEFT(DN15,1),($D$8+MAX(0,IF($D$50=1,$D$9*(1-(ABS($Q15-ABS(VALUE(MID(DN15,FIND("|",DN15)+1,FIND("-",DN15)-FIND("|",DN15)-1))-VALUE(MID(DN15,FIND("-",DN15)+1,10)))))*$D$50),$D$9*(1-(IF($N15="X",ABS($O15-VALUE(MID(DN15,FIND("|",DN15)+1,FIND("-",DN15)-FIND("|",DN15)-1))),ABS($Q15-ABS(VALUE(MID(DN15,FIND("|",DN15)+1,FIND("-",DN15)-FIND("|",DN15)-1))-VALUE(MID(DN15,FIND("-",DN15)+1,10)))))*$D$50)))))*$I15,0)),0)</f>
        <v>0</v>
      </c>
      <c r="DP15" s="338"/>
      <c r="DQ15" s="363"/>
      <c r="DR15" s="356" t="n">
        <f aca="false">IFERROR(IF($M15=DQ15,($D$8+$D$9+$D$10)*$I15,IF($N15=LEFT(DQ15,1),($D$8+MAX(0,IF($D$50=1,$D$9*(1-(ABS($Q15-ABS(VALUE(MID(DQ15,FIND("|",DQ15)+1,FIND("-",DQ15)-FIND("|",DQ15)-1))-VALUE(MID(DQ15,FIND("-",DQ15)+1,10)))))*$D$50),$D$9*(1-(IF($N15="X",ABS($O15-VALUE(MID(DQ15,FIND("|",DQ15)+1,FIND("-",DQ15)-FIND("|",DQ15)-1))),ABS($Q15-ABS(VALUE(MID(DQ15,FIND("|",DQ15)+1,FIND("-",DQ15)-FIND("|",DQ15)-1))-VALUE(MID(DQ15,FIND("-",DQ15)+1,10)))))*$D$50)))))*$I15,0)),0)</f>
        <v>0</v>
      </c>
      <c r="DS15" s="338"/>
      <c r="DT15" s="363"/>
      <c r="DU15" s="356" t="n">
        <f aca="false">IFERROR(IF($M15=DT15,($D$8+$D$9+$D$10)*$I15,IF($N15=LEFT(DT15,1),($D$8+MAX(0,IF($D$50=1,$D$9*(1-(ABS($Q15-ABS(VALUE(MID(DT15,FIND("|",DT15)+1,FIND("-",DT15)-FIND("|",DT15)-1))-VALUE(MID(DT15,FIND("-",DT15)+1,10)))))*$D$50),$D$9*(1-(IF($N15="X",ABS($O15-VALUE(MID(DT15,FIND("|",DT15)+1,FIND("-",DT15)-FIND("|",DT15)-1))),ABS($Q15-ABS(VALUE(MID(DT15,FIND("|",DT15)+1,FIND("-",DT15)-FIND("|",DT15)-1))-VALUE(MID(DT15,FIND("-",DT15)+1,10)))))*$D$50)))))*$I15,0)),0)</f>
        <v>0</v>
      </c>
      <c r="DV15" s="338"/>
      <c r="DW15" s="363"/>
      <c r="DX15" s="356" t="n">
        <f aca="false">IFERROR(IF($M15=DW15,($D$8+$D$9+$D$10)*$I15,IF($N15=LEFT(DW15,1),($D$8+MAX(0,IF($D$50=1,$D$9*(1-(ABS($Q15-ABS(VALUE(MID(DW15,FIND("|",DW15)+1,FIND("-",DW15)-FIND("|",DW15)-1))-VALUE(MID(DW15,FIND("-",DW15)+1,10)))))*$D$50),$D$9*(1-(IF($N15="X",ABS($O15-VALUE(MID(DW15,FIND("|",DW15)+1,FIND("-",DW15)-FIND("|",DW15)-1))),ABS($Q15-ABS(VALUE(MID(DW15,FIND("|",DW15)+1,FIND("-",DW15)-FIND("|",DW15)-1))-VALUE(MID(DW15,FIND("-",DW15)+1,10)))))*$D$50)))))*$I15,0)),0)</f>
        <v>0</v>
      </c>
      <c r="DY15" s="338"/>
      <c r="DZ15" s="363"/>
      <c r="EA15" s="356" t="n">
        <f aca="false">IFERROR(IF($M15=DZ15,($D$8+$D$9+$D$10)*$I15,IF($N15=LEFT(DZ15,1),($D$8+MAX(0,IF($D$50=1,$D$9*(1-(ABS($Q15-ABS(VALUE(MID(DZ15,FIND("|",DZ15)+1,FIND("-",DZ15)-FIND("|",DZ15)-1))-VALUE(MID(DZ15,FIND("-",DZ15)+1,10)))))*$D$50),$D$9*(1-(IF($N15="X",ABS($O15-VALUE(MID(DZ15,FIND("|",DZ15)+1,FIND("-",DZ15)-FIND("|",DZ15)-1))),ABS($Q15-ABS(VALUE(MID(DZ15,FIND("|",DZ15)+1,FIND("-",DZ15)-FIND("|",DZ15)-1))-VALUE(MID(DZ15,FIND("-",DZ15)+1,10)))))*$D$50)))))*$I15,0)),0)</f>
        <v>0</v>
      </c>
      <c r="EB15" s="338"/>
      <c r="EC15" s="363"/>
      <c r="ED15" s="356" t="n">
        <f aca="false">IFERROR(IF($M15=EC15,($D$8+$D$9+$D$10)*$I15,IF($N15=LEFT(EC15,1),($D$8+MAX(0,IF($D$50=1,$D$9*(1-(ABS($Q15-ABS(VALUE(MID(EC15,FIND("|",EC15)+1,FIND("-",EC15)-FIND("|",EC15)-1))-VALUE(MID(EC15,FIND("-",EC15)+1,10)))))*$D$50),$D$9*(1-(IF($N15="X",ABS($O15-VALUE(MID(EC15,FIND("|",EC15)+1,FIND("-",EC15)-FIND("|",EC15)-1))),ABS($Q15-ABS(VALUE(MID(EC15,FIND("|",EC15)+1,FIND("-",EC15)-FIND("|",EC15)-1))-VALUE(MID(EC15,FIND("-",EC15)+1,10)))))*$D$50)))))*$I15,0)),0)</f>
        <v>0</v>
      </c>
      <c r="EE15" s="338"/>
      <c r="EF15" s="363"/>
      <c r="EG15" s="356" t="n">
        <f aca="false">IFERROR(IF($M15=EF15,($D$8+$D$9+$D$10)*$I15,IF($N15=LEFT(EF15,1),($D$8+MAX(0,IF($D$50=1,$D$9*(1-(ABS($Q15-ABS(VALUE(MID(EF15,FIND("|",EF15)+1,FIND("-",EF15)-FIND("|",EF15)-1))-VALUE(MID(EF15,FIND("-",EF15)+1,10)))))*$D$50),$D$9*(1-(IF($N15="X",ABS($O15-VALUE(MID(EF15,FIND("|",EF15)+1,FIND("-",EF15)-FIND("|",EF15)-1))),ABS($Q15-ABS(VALUE(MID(EF15,FIND("|",EF15)+1,FIND("-",EF15)-FIND("|",EF15)-1))-VALUE(MID(EF15,FIND("-",EF15)+1,10)))))*$D$50)))))*$I15,0)),0)</f>
        <v>0</v>
      </c>
      <c r="EH15" s="338"/>
      <c r="EI15" s="338"/>
    </row>
    <row r="16" customFormat="false" ht="15" hidden="false" customHeight="false" outlineLevel="0" collapsed="false">
      <c r="A16" s="327"/>
      <c r="B16" s="327"/>
      <c r="C16" s="360" t="str">
        <f aca="false">Idiomas!D312</f>
        <v>DIECISEISAVOS - Signo 1X2 (local, empate, visitante)</v>
      </c>
      <c r="D16" s="361" t="n">
        <v>5</v>
      </c>
      <c r="E16" s="334"/>
      <c r="F16" s="343" t="n">
        <f aca="false">SUM($D$8:$D$10)*I16</f>
        <v>17</v>
      </c>
      <c r="G16" s="343" t="n">
        <f aca="false">VLOOKUP(H16,Equipos!$Q$1:$R$25,2,0)</f>
        <v>5</v>
      </c>
      <c r="H16" s="351" t="n">
        <f aca="false">TRUNC(INDEX(WORLDCUP!$X$4:$X$147,MATCH(ADMIN!K16,WORLDCUP!$DT$4:$DT$147,0))+INDEX(Horarios!$R$3:$R$86,MATCH(Horarios!$C$3,Horarios!$P$3:$P$86,0))/24)</f>
        <v>46188</v>
      </c>
      <c r="I16" s="352" t="n">
        <v>1</v>
      </c>
      <c r="J16" s="362" t="s">
        <v>287</v>
      </c>
      <c r="K16" s="367" t="str">
        <f aca="false">CONCATENATE(WORLDCUP!AA44,"-",WORLDCUP!AF44)</f>
        <v>Países Bajos-Japón</v>
      </c>
      <c r="L16" s="354"/>
      <c r="M16" s="359" t="str">
        <f aca="false">IF(OR(WORLDCUP!AC44="",WORLDCUP!AD44=""),"-",N16&amp;"|"&amp;O16&amp;"-"&amp;P16)</f>
        <v>X|2-2</v>
      </c>
      <c r="N16" s="332" t="str">
        <f aca="false">IF(OR(WORLDCUP!AC44="",WORLDCUP!AD44=""),"",IF(WORLDCUP!AC44&gt;WORLDCUP!AD44,"1",IF(WORLDCUP!AC44&lt;WORLDCUP!AD44,"2","X")))</f>
        <v>X</v>
      </c>
      <c r="O16" s="332" t="n">
        <f aca="false">WORLDCUP!AC44</f>
        <v>2</v>
      </c>
      <c r="P16" s="332" t="n">
        <f aca="false">WORLDCUP!AD44</f>
        <v>2</v>
      </c>
      <c r="Q16" s="332" t="n">
        <f aca="false">ABS(O16-P16)</f>
        <v>0</v>
      </c>
      <c r="R16" s="327"/>
      <c r="S16" s="363" t="s">
        <v>288</v>
      </c>
      <c r="T16" s="356" t="n">
        <f aca="false">IFERROR(IF($M16=S16,($D$8+$D$9+$D$10)*$I16,IF($N16=LEFT(S16,1),($D$8+MAX(0,IF($D$50=1,$D$9*(1-(ABS($Q16-ABS(VALUE(MID(S16,FIND("|",S16)+1,FIND("-",S16)-FIND("|",S16)-1))-VALUE(MID(S16,FIND("-",S16)+1,10)))))*$D$50),$D$9*(1-(IF($N16="X",ABS($O16-VALUE(MID(S16,FIND("|",S16)+1,FIND("-",S16)-FIND("|",S16)-1))),ABS($Q16-ABS(VALUE(MID(S16,FIND("|",S16)+1,FIND("-",S16)-FIND("|",S16)-1))-VALUE(MID(S16,FIND("-",S16)+1,10)))))*$D$50)))))*$I16,0)),0)</f>
        <v>0</v>
      </c>
      <c r="U16" s="338"/>
      <c r="V16" s="363" t="s">
        <v>267</v>
      </c>
      <c r="W16" s="356" t="n">
        <f aca="false">IFERROR(IF($M16=V16,($D$8+$D$9+$D$10)*$I16,IF($N16=LEFT(V16,1),($D$8+MAX(0,IF($D$50=1,$D$9*(1-(ABS($Q16-ABS(VALUE(MID(V16,FIND("|",V16)+1,FIND("-",V16)-FIND("|",V16)-1))-VALUE(MID(V16,FIND("-",V16)+1,10)))))*$D$50),$D$9*(1-(IF($N16="X",ABS($O16-VALUE(MID(V16,FIND("|",V16)+1,FIND("-",V16)-FIND("|",V16)-1))),ABS($Q16-ABS(VALUE(MID(V16,FIND("|",V16)+1,FIND("-",V16)-FIND("|",V16)-1))-VALUE(MID(V16,FIND("-",V16)+1,10)))))*$D$50)))))*$I16,0)),0)</f>
        <v>7</v>
      </c>
      <c r="X16" s="338"/>
      <c r="Y16" s="363" t="s">
        <v>264</v>
      </c>
      <c r="Z16" s="356" t="n">
        <f aca="false">IFERROR(IF($M16=Y16,($D$8+$D$9+$D$10)*$I16,IF($N16=LEFT(Y16,1),($D$8+MAX(0,IF($D$50=1,$D$9*(1-(ABS($Q16-ABS(VALUE(MID(Y16,FIND("|",Y16)+1,FIND("-",Y16)-FIND("|",Y16)-1))-VALUE(MID(Y16,FIND("-",Y16)+1,10)))))*$D$50),$D$9*(1-(IF($N16="X",ABS($O16-VALUE(MID(Y16,FIND("|",Y16)+1,FIND("-",Y16)-FIND("|",Y16)-1))),ABS($Q16-ABS(VALUE(MID(Y16,FIND("|",Y16)+1,FIND("-",Y16)-FIND("|",Y16)-1))-VALUE(MID(Y16,FIND("-",Y16)+1,10)))))*$D$50)))))*$I16,0)),0)</f>
        <v>0</v>
      </c>
      <c r="AA16" s="338"/>
      <c r="AB16" s="363" t="s">
        <v>288</v>
      </c>
      <c r="AC16" s="356" t="n">
        <f aca="false">IFERROR(IF($M16=AB16,($D$8+$D$9+$D$10)*$I16,IF($N16=LEFT(AB16,1),($D$8+MAX(0,IF($D$50=1,$D$9*(1-(ABS($Q16-ABS(VALUE(MID(AB16,FIND("|",AB16)+1,FIND("-",AB16)-FIND("|",AB16)-1))-VALUE(MID(AB16,FIND("-",AB16)+1,10)))))*$D$50),$D$9*(1-(IF($N16="X",ABS($O16-VALUE(MID(AB16,FIND("|",AB16)+1,FIND("-",AB16)-FIND("|",AB16)-1))),ABS($Q16-ABS(VALUE(MID(AB16,FIND("|",AB16)+1,FIND("-",AB16)-FIND("|",AB16)-1))-VALUE(MID(AB16,FIND("-",AB16)+1,10)))))*$D$50)))))*$I16,0)),0)</f>
        <v>0</v>
      </c>
      <c r="AD16" s="338"/>
      <c r="AE16" s="363" t="s">
        <v>264</v>
      </c>
      <c r="AF16" s="356" t="n">
        <f aca="false">IFERROR(IF($M16=AE16,($D$8+$D$9+$D$10)*$I16,IF($N16=LEFT(AE16,1),($D$8+MAX(0,IF($D$50=1,$D$9*(1-(ABS($Q16-ABS(VALUE(MID(AE16,FIND("|",AE16)+1,FIND("-",AE16)-FIND("|",AE16)-1))-VALUE(MID(AE16,FIND("-",AE16)+1,10)))))*$D$50),$D$9*(1-(IF($N16="X",ABS($O16-VALUE(MID(AE16,FIND("|",AE16)+1,FIND("-",AE16)-FIND("|",AE16)-1))),ABS($Q16-ABS(VALUE(MID(AE16,FIND("|",AE16)+1,FIND("-",AE16)-FIND("|",AE16)-1))-VALUE(MID(AE16,FIND("-",AE16)+1,10)))))*$D$50)))))*$I16,0)),0)</f>
        <v>0</v>
      </c>
      <c r="AG16" s="338"/>
      <c r="AH16" s="363" t="s">
        <v>267</v>
      </c>
      <c r="AI16" s="356" t="n">
        <f aca="false">IFERROR(IF($M16=AH16,($D$8+$D$9+$D$10)*$I16,IF($N16=LEFT(AH16,1),($D$8+MAX(0,IF($D$50=1,$D$9*(1-(ABS($Q16-ABS(VALUE(MID(AH16,FIND("|",AH16)+1,FIND("-",AH16)-FIND("|",AH16)-1))-VALUE(MID(AH16,FIND("-",AH16)+1,10)))))*$D$50),$D$9*(1-(IF($N16="X",ABS($O16-VALUE(MID(AH16,FIND("|",AH16)+1,FIND("-",AH16)-FIND("|",AH16)-1))),ABS($Q16-ABS(VALUE(MID(AH16,FIND("|",AH16)+1,FIND("-",AH16)-FIND("|",AH16)-1))-VALUE(MID(AH16,FIND("-",AH16)+1,10)))))*$D$50)))))*$I16,0)),0)</f>
        <v>7</v>
      </c>
      <c r="AJ16" s="338"/>
      <c r="AK16" s="363" t="s">
        <v>264</v>
      </c>
      <c r="AL16" s="356" t="n">
        <f aca="false">IFERROR(IF($M16=AK16,($D$8+$D$9+$D$10)*$I16,IF($N16=LEFT(AK16,1),($D$8+MAX(0,IF($D$50=1,$D$9*(1-(ABS($Q16-ABS(VALUE(MID(AK16,FIND("|",AK16)+1,FIND("-",AK16)-FIND("|",AK16)-1))-VALUE(MID(AK16,FIND("-",AK16)+1,10)))))*$D$50),$D$9*(1-(IF($N16="X",ABS($O16-VALUE(MID(AK16,FIND("|",AK16)+1,FIND("-",AK16)-FIND("|",AK16)-1))),ABS($Q16-ABS(VALUE(MID(AK16,FIND("|",AK16)+1,FIND("-",AK16)-FIND("|",AK16)-1))-VALUE(MID(AK16,FIND("-",AK16)+1,10)))))*$D$50)))))*$I16,0)),0)</f>
        <v>0</v>
      </c>
      <c r="AM16" s="338"/>
      <c r="AN16" s="363" t="s">
        <v>267</v>
      </c>
      <c r="AO16" s="356" t="n">
        <f aca="false">IFERROR(IF($M16=AN16,($D$8+$D$9+$D$10)*$I16,IF($N16=LEFT(AN16,1),($D$8+MAX(0,IF($D$50=1,$D$9*(1-(ABS($Q16-ABS(VALUE(MID(AN16,FIND("|",AN16)+1,FIND("-",AN16)-FIND("|",AN16)-1))-VALUE(MID(AN16,FIND("-",AN16)+1,10)))))*$D$50),$D$9*(1-(IF($N16="X",ABS($O16-VALUE(MID(AN16,FIND("|",AN16)+1,FIND("-",AN16)-FIND("|",AN16)-1))),ABS($Q16-ABS(VALUE(MID(AN16,FIND("|",AN16)+1,FIND("-",AN16)-FIND("|",AN16)-1))-VALUE(MID(AN16,FIND("-",AN16)+1,10)))))*$D$50)))))*$I16,0)),0)</f>
        <v>7</v>
      </c>
      <c r="AP16" s="338"/>
      <c r="AQ16" s="363" t="s">
        <v>267</v>
      </c>
      <c r="AR16" s="356" t="n">
        <f aca="false">IFERROR(IF($M16=AQ16,($D$8+$D$9+$D$10)*$I16,IF($N16=LEFT(AQ16,1),($D$8+MAX(0,IF($D$50=1,$D$9*(1-(ABS($Q16-ABS(VALUE(MID(AQ16,FIND("|",AQ16)+1,FIND("-",AQ16)-FIND("|",AQ16)-1))-VALUE(MID(AQ16,FIND("-",AQ16)+1,10)))))*$D$50),$D$9*(1-(IF($N16="X",ABS($O16-VALUE(MID(AQ16,FIND("|",AQ16)+1,FIND("-",AQ16)-FIND("|",AQ16)-1))),ABS($Q16-ABS(VALUE(MID(AQ16,FIND("|",AQ16)+1,FIND("-",AQ16)-FIND("|",AQ16)-1))-VALUE(MID(AQ16,FIND("-",AQ16)+1,10)))))*$D$50)))))*$I16,0)),0)</f>
        <v>7</v>
      </c>
      <c r="AS16" s="338"/>
      <c r="AT16" s="363" t="s">
        <v>267</v>
      </c>
      <c r="AU16" s="356" t="n">
        <f aca="false">IFERROR(IF($M16=AT16,($D$8+$D$9+$D$10)*$I16,IF($N16=LEFT(AT16,1),($D$8+MAX(0,IF($D$50=1,$D$9*(1-(ABS($Q16-ABS(VALUE(MID(AT16,FIND("|",AT16)+1,FIND("-",AT16)-FIND("|",AT16)-1))-VALUE(MID(AT16,FIND("-",AT16)+1,10)))))*$D$50),$D$9*(1-(IF($N16="X",ABS($O16-VALUE(MID(AT16,FIND("|",AT16)+1,FIND("-",AT16)-FIND("|",AT16)-1))),ABS($Q16-ABS(VALUE(MID(AT16,FIND("|",AT16)+1,FIND("-",AT16)-FIND("|",AT16)-1))-VALUE(MID(AT16,FIND("-",AT16)+1,10)))))*$D$50)))))*$I16,0)),0)</f>
        <v>7</v>
      </c>
      <c r="AV16" s="338"/>
      <c r="AW16" s="363" t="s">
        <v>265</v>
      </c>
      <c r="AX16" s="356" t="n">
        <f aca="false">IFERROR(IF($M16=AW16,($D$8+$D$9+$D$10)*$I16,IF($N16=LEFT(AW16,1),($D$8+MAX(0,IF($D$50=1,$D$9*(1-(ABS($Q16-ABS(VALUE(MID(AW16,FIND("|",AW16)+1,FIND("-",AW16)-FIND("|",AW16)-1))-VALUE(MID(AW16,FIND("-",AW16)+1,10)))))*$D$50),$D$9*(1-(IF($N16="X",ABS($O16-VALUE(MID(AW16,FIND("|",AW16)+1,FIND("-",AW16)-FIND("|",AW16)-1))),ABS($Q16-ABS(VALUE(MID(AW16,FIND("|",AW16)+1,FIND("-",AW16)-FIND("|",AW16)-1))-VALUE(MID(AW16,FIND("-",AW16)+1,10)))))*$D$50)))))*$I16,0)),0)</f>
        <v>0</v>
      </c>
      <c r="AY16" s="338"/>
      <c r="AZ16" s="363" t="s">
        <v>264</v>
      </c>
      <c r="BA16" s="356" t="n">
        <f aca="false">IFERROR(IF($M16=AZ16,($D$8+$D$9+$D$10)*$I16,IF($N16=LEFT(AZ16,1),($D$8+MAX(0,IF($D$50=1,$D$9*(1-(ABS($Q16-ABS(VALUE(MID(AZ16,FIND("|",AZ16)+1,FIND("-",AZ16)-FIND("|",AZ16)-1))-VALUE(MID(AZ16,FIND("-",AZ16)+1,10)))))*$D$50),$D$9*(1-(IF($N16="X",ABS($O16-VALUE(MID(AZ16,FIND("|",AZ16)+1,FIND("-",AZ16)-FIND("|",AZ16)-1))),ABS($Q16-ABS(VALUE(MID(AZ16,FIND("|",AZ16)+1,FIND("-",AZ16)-FIND("|",AZ16)-1))-VALUE(MID(AZ16,FIND("-",AZ16)+1,10)))))*$D$50)))))*$I16,0)),0)</f>
        <v>0</v>
      </c>
      <c r="BB16" s="338"/>
      <c r="BC16" s="363" t="s">
        <v>288</v>
      </c>
      <c r="BD16" s="356" t="n">
        <f aca="false">IFERROR(IF($M16=BC16,($D$8+$D$9+$D$10)*$I16,IF($N16=LEFT(BC16,1),($D$8+MAX(0,IF($D$50=1,$D$9*(1-(ABS($Q16-ABS(VALUE(MID(BC16,FIND("|",BC16)+1,FIND("-",BC16)-FIND("|",BC16)-1))-VALUE(MID(BC16,FIND("-",BC16)+1,10)))))*$D$50),$D$9*(1-(IF($N16="X",ABS($O16-VALUE(MID(BC16,FIND("|",BC16)+1,FIND("-",BC16)-FIND("|",BC16)-1))),ABS($Q16-ABS(VALUE(MID(BC16,FIND("|",BC16)+1,FIND("-",BC16)-FIND("|",BC16)-1))-VALUE(MID(BC16,FIND("-",BC16)+1,10)))))*$D$50)))))*$I16,0)),0)</f>
        <v>0</v>
      </c>
      <c r="BE16" s="338"/>
      <c r="BF16" s="363" t="s">
        <v>288</v>
      </c>
      <c r="BG16" s="356" t="n">
        <f aca="false">IFERROR(IF($M16=BF16,($D$8+$D$9+$D$10)*$I16,IF($N16=LEFT(BF16,1),($D$8+MAX(0,IF($D$50=1,$D$9*(1-(ABS($Q16-ABS(VALUE(MID(BF16,FIND("|",BF16)+1,FIND("-",BF16)-FIND("|",BF16)-1))-VALUE(MID(BF16,FIND("-",BF16)+1,10)))))*$D$50),$D$9*(1-(IF($N16="X",ABS($O16-VALUE(MID(BF16,FIND("|",BF16)+1,FIND("-",BF16)-FIND("|",BF16)-1))),ABS($Q16-ABS(VALUE(MID(BF16,FIND("|",BF16)+1,FIND("-",BF16)-FIND("|",BF16)-1))-VALUE(MID(BF16,FIND("-",BF16)+1,10)))))*$D$50)))))*$I16,0)),0)</f>
        <v>0</v>
      </c>
      <c r="BH16" s="338"/>
      <c r="BI16" s="363" t="s">
        <v>264</v>
      </c>
      <c r="BJ16" s="356" t="n">
        <f aca="false">IFERROR(IF($M16=BI16,($D$8+$D$9+$D$10)*$I16,IF($N16=LEFT(BI16,1),($D$8+MAX(0,IF($D$50=1,$D$9*(1-(ABS($Q16-ABS(VALUE(MID(BI16,FIND("|",BI16)+1,FIND("-",BI16)-FIND("|",BI16)-1))-VALUE(MID(BI16,FIND("-",BI16)+1,10)))))*$D$50),$D$9*(1-(IF($N16="X",ABS($O16-VALUE(MID(BI16,FIND("|",BI16)+1,FIND("-",BI16)-FIND("|",BI16)-1))),ABS($Q16-ABS(VALUE(MID(BI16,FIND("|",BI16)+1,FIND("-",BI16)-FIND("|",BI16)-1))-VALUE(MID(BI16,FIND("-",BI16)+1,10)))))*$D$50)))))*$I16,0)),0)</f>
        <v>0</v>
      </c>
      <c r="BK16" s="338"/>
      <c r="BL16" s="363" t="s">
        <v>264</v>
      </c>
      <c r="BM16" s="356" t="n">
        <f aca="false">IFERROR(IF($M16=BL16,($D$8+$D$9+$D$10)*$I16,IF($N16=LEFT(BL16,1),($D$8+MAX(0,IF($D$50=1,$D$9*(1-(ABS($Q16-ABS(VALUE(MID(BL16,FIND("|",BL16)+1,FIND("-",BL16)-FIND("|",BL16)-1))-VALUE(MID(BL16,FIND("-",BL16)+1,10)))))*$D$50),$D$9*(1-(IF($N16="X",ABS($O16-VALUE(MID(BL16,FIND("|",BL16)+1,FIND("-",BL16)-FIND("|",BL16)-1))),ABS($Q16-ABS(VALUE(MID(BL16,FIND("|",BL16)+1,FIND("-",BL16)-FIND("|",BL16)-1))-VALUE(MID(BL16,FIND("-",BL16)+1,10)))))*$D$50)))))*$I16,0)),0)</f>
        <v>0</v>
      </c>
      <c r="BN16" s="338"/>
      <c r="BO16" s="363" t="s">
        <v>269</v>
      </c>
      <c r="BP16" s="356" t="n">
        <f aca="false">IFERROR(IF($M16=BO16,($D$8+$D$9+$D$10)*$I16,IF($N16=LEFT(BO16,1),($D$8+MAX(0,IF($D$50=1,$D$9*(1-(ABS($Q16-ABS(VALUE(MID(BO16,FIND("|",BO16)+1,FIND("-",BO16)-FIND("|",BO16)-1))-VALUE(MID(BO16,FIND("-",BO16)+1,10)))))*$D$50),$D$9*(1-(IF($N16="X",ABS($O16-VALUE(MID(BO16,FIND("|",BO16)+1,FIND("-",BO16)-FIND("|",BO16)-1))),ABS($Q16-ABS(VALUE(MID(BO16,FIND("|",BO16)+1,FIND("-",BO16)-FIND("|",BO16)-1))-VALUE(MID(BO16,FIND("-",BO16)+1,10)))))*$D$50)))))*$I16,0)),0)</f>
        <v>17</v>
      </c>
      <c r="BQ16" s="338"/>
      <c r="BR16" s="363" t="s">
        <v>264</v>
      </c>
      <c r="BS16" s="356" t="n">
        <f aca="false">IFERROR(IF($M16=BR16,($D$8+$D$9+$D$10)*$I16,IF($N16=LEFT(BR16,1),($D$8+MAX(0,IF($D$50=1,$D$9*(1-(ABS($Q16-ABS(VALUE(MID(BR16,FIND("|",BR16)+1,FIND("-",BR16)-FIND("|",BR16)-1))-VALUE(MID(BR16,FIND("-",BR16)+1,10)))))*$D$50),$D$9*(1-(IF($N16="X",ABS($O16-VALUE(MID(BR16,FIND("|",BR16)+1,FIND("-",BR16)-FIND("|",BR16)-1))),ABS($Q16-ABS(VALUE(MID(BR16,FIND("|",BR16)+1,FIND("-",BR16)-FIND("|",BR16)-1))-VALUE(MID(BR16,FIND("-",BR16)+1,10)))))*$D$50)))))*$I16,0)),0)</f>
        <v>0</v>
      </c>
      <c r="BT16" s="338"/>
      <c r="BU16" s="363"/>
      <c r="BV16" s="356" t="n">
        <f aca="false">IFERROR(IF($M16=BU16,($D$8+$D$9+$D$10)*$I16,IF($N16=LEFT(BU16,1),($D$8+MAX(0,IF($D$50=1,$D$9*(1-(ABS($Q16-ABS(VALUE(MID(BU16,FIND("|",BU16)+1,FIND("-",BU16)-FIND("|",BU16)-1))-VALUE(MID(BU16,FIND("-",BU16)+1,10)))))*$D$50),$D$9*(1-(IF($N16="X",ABS($O16-VALUE(MID(BU16,FIND("|",BU16)+1,FIND("-",BU16)-FIND("|",BU16)-1))),ABS($Q16-ABS(VALUE(MID(BU16,FIND("|",BU16)+1,FIND("-",BU16)-FIND("|",BU16)-1))-VALUE(MID(BU16,FIND("-",BU16)+1,10)))))*$D$50)))))*$I16,0)),0)</f>
        <v>0</v>
      </c>
      <c r="BW16" s="338"/>
      <c r="BX16" s="363"/>
      <c r="BY16" s="356" t="n">
        <f aca="false">IFERROR(IF($M16=BX16,($D$8+$D$9+$D$10)*$I16,IF($N16=LEFT(BX16,1),($D$8+MAX(0,IF($D$50=1,$D$9*(1-(ABS($Q16-ABS(VALUE(MID(BX16,FIND("|",BX16)+1,FIND("-",BX16)-FIND("|",BX16)-1))-VALUE(MID(BX16,FIND("-",BX16)+1,10)))))*$D$50),$D$9*(1-(IF($N16="X",ABS($O16-VALUE(MID(BX16,FIND("|",BX16)+1,FIND("-",BX16)-FIND("|",BX16)-1))),ABS($Q16-ABS(VALUE(MID(BX16,FIND("|",BX16)+1,FIND("-",BX16)-FIND("|",BX16)-1))-VALUE(MID(BX16,FIND("-",BX16)+1,10)))))*$D$50)))))*$I16,0)),0)</f>
        <v>0</v>
      </c>
      <c r="BZ16" s="338"/>
      <c r="CA16" s="363"/>
      <c r="CB16" s="356" t="n">
        <f aca="false">IFERROR(IF($M16=CA16,($D$8+$D$9+$D$10)*$I16,IF($N16=LEFT(CA16,1),($D$8+MAX(0,IF($D$50=1,$D$9*(1-(ABS($Q16-ABS(VALUE(MID(CA16,FIND("|",CA16)+1,FIND("-",CA16)-FIND("|",CA16)-1))-VALUE(MID(CA16,FIND("-",CA16)+1,10)))))*$D$50),$D$9*(1-(IF($N16="X",ABS($O16-VALUE(MID(CA16,FIND("|",CA16)+1,FIND("-",CA16)-FIND("|",CA16)-1))),ABS($Q16-ABS(VALUE(MID(CA16,FIND("|",CA16)+1,FIND("-",CA16)-FIND("|",CA16)-1))-VALUE(MID(CA16,FIND("-",CA16)+1,10)))))*$D$50)))))*$I16,0)),0)</f>
        <v>0</v>
      </c>
      <c r="CC16" s="338"/>
      <c r="CD16" s="363"/>
      <c r="CE16" s="356" t="n">
        <f aca="false">IFERROR(IF($M16=CD16,($D$8+$D$9+$D$10)*$I16,IF($N16=LEFT(CD16,1),($D$8+MAX(0,IF($D$50=1,$D$9*(1-(ABS($Q16-ABS(VALUE(MID(CD16,FIND("|",CD16)+1,FIND("-",CD16)-FIND("|",CD16)-1))-VALUE(MID(CD16,FIND("-",CD16)+1,10)))))*$D$50),$D$9*(1-(IF($N16="X",ABS($O16-VALUE(MID(CD16,FIND("|",CD16)+1,FIND("-",CD16)-FIND("|",CD16)-1))),ABS($Q16-ABS(VALUE(MID(CD16,FIND("|",CD16)+1,FIND("-",CD16)-FIND("|",CD16)-1))-VALUE(MID(CD16,FIND("-",CD16)+1,10)))))*$D$50)))))*$I16,0)),0)</f>
        <v>0</v>
      </c>
      <c r="CF16" s="338"/>
      <c r="CG16" s="363"/>
      <c r="CH16" s="356" t="n">
        <f aca="false">IFERROR(IF($M16=CG16,($D$8+$D$9+$D$10)*$I16,IF($N16=LEFT(CG16,1),($D$8+MAX(0,IF($D$50=1,$D$9*(1-(ABS($Q16-ABS(VALUE(MID(CG16,FIND("|",CG16)+1,FIND("-",CG16)-FIND("|",CG16)-1))-VALUE(MID(CG16,FIND("-",CG16)+1,10)))))*$D$50),$D$9*(1-(IF($N16="X",ABS($O16-VALUE(MID(CG16,FIND("|",CG16)+1,FIND("-",CG16)-FIND("|",CG16)-1))),ABS($Q16-ABS(VALUE(MID(CG16,FIND("|",CG16)+1,FIND("-",CG16)-FIND("|",CG16)-1))-VALUE(MID(CG16,FIND("-",CG16)+1,10)))))*$D$50)))))*$I16,0)),0)</f>
        <v>0</v>
      </c>
      <c r="CI16" s="338"/>
      <c r="CJ16" s="363"/>
      <c r="CK16" s="356" t="n">
        <f aca="false">IFERROR(IF($M16=CJ16,($D$8+$D$9+$D$10)*$I16,IF($N16=LEFT(CJ16,1),($D$8+MAX(0,IF($D$50=1,$D$9*(1-(ABS($Q16-ABS(VALUE(MID(CJ16,FIND("|",CJ16)+1,FIND("-",CJ16)-FIND("|",CJ16)-1))-VALUE(MID(CJ16,FIND("-",CJ16)+1,10)))))*$D$50),$D$9*(1-(IF($N16="X",ABS($O16-VALUE(MID(CJ16,FIND("|",CJ16)+1,FIND("-",CJ16)-FIND("|",CJ16)-1))),ABS($Q16-ABS(VALUE(MID(CJ16,FIND("|",CJ16)+1,FIND("-",CJ16)-FIND("|",CJ16)-1))-VALUE(MID(CJ16,FIND("-",CJ16)+1,10)))))*$D$50)))))*$I16,0)),0)</f>
        <v>0</v>
      </c>
      <c r="CL16" s="338"/>
      <c r="CM16" s="363"/>
      <c r="CN16" s="356" t="n">
        <f aca="false">IFERROR(IF($M16=CM16,($D$8+$D$9+$D$10)*$I16,IF($N16=LEFT(CM16,1),($D$8+MAX(0,IF($D$50=1,$D$9*(1-(ABS($Q16-ABS(VALUE(MID(CM16,FIND("|",CM16)+1,FIND("-",CM16)-FIND("|",CM16)-1))-VALUE(MID(CM16,FIND("-",CM16)+1,10)))))*$D$50),$D$9*(1-(IF($N16="X",ABS($O16-VALUE(MID(CM16,FIND("|",CM16)+1,FIND("-",CM16)-FIND("|",CM16)-1))),ABS($Q16-ABS(VALUE(MID(CM16,FIND("|",CM16)+1,FIND("-",CM16)-FIND("|",CM16)-1))-VALUE(MID(CM16,FIND("-",CM16)+1,10)))))*$D$50)))))*$I16,0)),0)</f>
        <v>0</v>
      </c>
      <c r="CO16" s="338"/>
      <c r="CP16" s="363"/>
      <c r="CQ16" s="356" t="n">
        <f aca="false">IFERROR(IF($M16=CP16,($D$8+$D$9+$D$10)*$I16,IF($N16=LEFT(CP16,1),($D$8+MAX(0,IF($D$50=1,$D$9*(1-(ABS($Q16-ABS(VALUE(MID(CP16,FIND("|",CP16)+1,FIND("-",CP16)-FIND("|",CP16)-1))-VALUE(MID(CP16,FIND("-",CP16)+1,10)))))*$D$50),$D$9*(1-(IF($N16="X",ABS($O16-VALUE(MID(CP16,FIND("|",CP16)+1,FIND("-",CP16)-FIND("|",CP16)-1))),ABS($Q16-ABS(VALUE(MID(CP16,FIND("|",CP16)+1,FIND("-",CP16)-FIND("|",CP16)-1))-VALUE(MID(CP16,FIND("-",CP16)+1,10)))))*$D$50)))))*$I16,0)),0)</f>
        <v>0</v>
      </c>
      <c r="CR16" s="338"/>
      <c r="CS16" s="363"/>
      <c r="CT16" s="356" t="n">
        <f aca="false">IFERROR(IF($M16=CS16,($D$8+$D$9+$D$10)*$I16,IF($N16=LEFT(CS16,1),($D$8+MAX(0,IF($D$50=1,$D$9*(1-(ABS($Q16-ABS(VALUE(MID(CS16,FIND("|",CS16)+1,FIND("-",CS16)-FIND("|",CS16)-1))-VALUE(MID(CS16,FIND("-",CS16)+1,10)))))*$D$50),$D$9*(1-(IF($N16="X",ABS($O16-VALUE(MID(CS16,FIND("|",CS16)+1,FIND("-",CS16)-FIND("|",CS16)-1))),ABS($Q16-ABS(VALUE(MID(CS16,FIND("|",CS16)+1,FIND("-",CS16)-FIND("|",CS16)-1))-VALUE(MID(CS16,FIND("-",CS16)+1,10)))))*$D$50)))))*$I16,0)),0)</f>
        <v>0</v>
      </c>
      <c r="CU16" s="338"/>
      <c r="CV16" s="363"/>
      <c r="CW16" s="356" t="n">
        <f aca="false">IFERROR(IF($M16=CV16,($D$8+$D$9+$D$10)*$I16,IF($N16=LEFT(CV16,1),($D$8+MAX(0,IF($D$50=1,$D$9*(1-(ABS($Q16-ABS(VALUE(MID(CV16,FIND("|",CV16)+1,FIND("-",CV16)-FIND("|",CV16)-1))-VALUE(MID(CV16,FIND("-",CV16)+1,10)))))*$D$50),$D$9*(1-(IF($N16="X",ABS($O16-VALUE(MID(CV16,FIND("|",CV16)+1,FIND("-",CV16)-FIND("|",CV16)-1))),ABS($Q16-ABS(VALUE(MID(CV16,FIND("|",CV16)+1,FIND("-",CV16)-FIND("|",CV16)-1))-VALUE(MID(CV16,FIND("-",CV16)+1,10)))))*$D$50)))))*$I16,0)),0)</f>
        <v>0</v>
      </c>
      <c r="CX16" s="338"/>
      <c r="CY16" s="363"/>
      <c r="CZ16" s="356" t="n">
        <f aca="false">IFERROR(IF($M16=CY16,($D$8+$D$9+$D$10)*$I16,IF($N16=LEFT(CY16,1),($D$8+MAX(0,IF($D$50=1,$D$9*(1-(ABS($Q16-ABS(VALUE(MID(CY16,FIND("|",CY16)+1,FIND("-",CY16)-FIND("|",CY16)-1))-VALUE(MID(CY16,FIND("-",CY16)+1,10)))))*$D$50),$D$9*(1-(IF($N16="X",ABS($O16-VALUE(MID(CY16,FIND("|",CY16)+1,FIND("-",CY16)-FIND("|",CY16)-1))),ABS($Q16-ABS(VALUE(MID(CY16,FIND("|",CY16)+1,FIND("-",CY16)-FIND("|",CY16)-1))-VALUE(MID(CY16,FIND("-",CY16)+1,10)))))*$D$50)))))*$I16,0)),0)</f>
        <v>0</v>
      </c>
      <c r="DA16" s="338"/>
      <c r="DB16" s="363"/>
      <c r="DC16" s="356" t="n">
        <f aca="false">IFERROR(IF($M16=DB16,($D$8+$D$9+$D$10)*$I16,IF($N16=LEFT(DB16,1),($D$8+MAX(0,IF($D$50=1,$D$9*(1-(ABS($Q16-ABS(VALUE(MID(DB16,FIND("|",DB16)+1,FIND("-",DB16)-FIND("|",DB16)-1))-VALUE(MID(DB16,FIND("-",DB16)+1,10)))))*$D$50),$D$9*(1-(IF($N16="X",ABS($O16-VALUE(MID(DB16,FIND("|",DB16)+1,FIND("-",DB16)-FIND("|",DB16)-1))),ABS($Q16-ABS(VALUE(MID(DB16,FIND("|",DB16)+1,FIND("-",DB16)-FIND("|",DB16)-1))-VALUE(MID(DB16,FIND("-",DB16)+1,10)))))*$D$50)))))*$I16,0)),0)</f>
        <v>0</v>
      </c>
      <c r="DD16" s="338"/>
      <c r="DE16" s="363"/>
      <c r="DF16" s="356" t="n">
        <f aca="false">IFERROR(IF($M16=DE16,($D$8+$D$9+$D$10)*$I16,IF($N16=LEFT(DE16,1),($D$8+MAX(0,IF($D$50=1,$D$9*(1-(ABS($Q16-ABS(VALUE(MID(DE16,FIND("|",DE16)+1,FIND("-",DE16)-FIND("|",DE16)-1))-VALUE(MID(DE16,FIND("-",DE16)+1,10)))))*$D$50),$D$9*(1-(IF($N16="X",ABS($O16-VALUE(MID(DE16,FIND("|",DE16)+1,FIND("-",DE16)-FIND("|",DE16)-1))),ABS($Q16-ABS(VALUE(MID(DE16,FIND("|",DE16)+1,FIND("-",DE16)-FIND("|",DE16)-1))-VALUE(MID(DE16,FIND("-",DE16)+1,10)))))*$D$50)))))*$I16,0)),0)</f>
        <v>0</v>
      </c>
      <c r="DG16" s="338"/>
      <c r="DH16" s="363"/>
      <c r="DI16" s="356" t="n">
        <f aca="false">IFERROR(IF($M16=DH16,($D$8+$D$9+$D$10)*$I16,IF($N16=LEFT(DH16,1),($D$8+MAX(0,IF($D$50=1,$D$9*(1-(ABS($Q16-ABS(VALUE(MID(DH16,FIND("|",DH16)+1,FIND("-",DH16)-FIND("|",DH16)-1))-VALUE(MID(DH16,FIND("-",DH16)+1,10)))))*$D$50),$D$9*(1-(IF($N16="X",ABS($O16-VALUE(MID(DH16,FIND("|",DH16)+1,FIND("-",DH16)-FIND("|",DH16)-1))),ABS($Q16-ABS(VALUE(MID(DH16,FIND("|",DH16)+1,FIND("-",DH16)-FIND("|",DH16)-1))-VALUE(MID(DH16,FIND("-",DH16)+1,10)))))*$D$50)))))*$I16,0)),0)</f>
        <v>0</v>
      </c>
      <c r="DJ16" s="338"/>
      <c r="DK16" s="363"/>
      <c r="DL16" s="356" t="n">
        <f aca="false">IFERROR(IF($M16=DK16,($D$8+$D$9+$D$10)*$I16,IF($N16=LEFT(DK16,1),($D$8+MAX(0,IF($D$50=1,$D$9*(1-(ABS($Q16-ABS(VALUE(MID(DK16,FIND("|",DK16)+1,FIND("-",DK16)-FIND("|",DK16)-1))-VALUE(MID(DK16,FIND("-",DK16)+1,10)))))*$D$50),$D$9*(1-(IF($N16="X",ABS($O16-VALUE(MID(DK16,FIND("|",DK16)+1,FIND("-",DK16)-FIND("|",DK16)-1))),ABS($Q16-ABS(VALUE(MID(DK16,FIND("|",DK16)+1,FIND("-",DK16)-FIND("|",DK16)-1))-VALUE(MID(DK16,FIND("-",DK16)+1,10)))))*$D$50)))))*$I16,0)),0)</f>
        <v>0</v>
      </c>
      <c r="DM16" s="338"/>
      <c r="DN16" s="363"/>
      <c r="DO16" s="356" t="n">
        <f aca="false">IFERROR(IF($M16=DN16,($D$8+$D$9+$D$10)*$I16,IF($N16=LEFT(DN16,1),($D$8+MAX(0,IF($D$50=1,$D$9*(1-(ABS($Q16-ABS(VALUE(MID(DN16,FIND("|",DN16)+1,FIND("-",DN16)-FIND("|",DN16)-1))-VALUE(MID(DN16,FIND("-",DN16)+1,10)))))*$D$50),$D$9*(1-(IF($N16="X",ABS($O16-VALUE(MID(DN16,FIND("|",DN16)+1,FIND("-",DN16)-FIND("|",DN16)-1))),ABS($Q16-ABS(VALUE(MID(DN16,FIND("|",DN16)+1,FIND("-",DN16)-FIND("|",DN16)-1))-VALUE(MID(DN16,FIND("-",DN16)+1,10)))))*$D$50)))))*$I16,0)),0)</f>
        <v>0</v>
      </c>
      <c r="DP16" s="338"/>
      <c r="DQ16" s="363"/>
      <c r="DR16" s="356" t="n">
        <f aca="false">IFERROR(IF($M16=DQ16,($D$8+$D$9+$D$10)*$I16,IF($N16=LEFT(DQ16,1),($D$8+MAX(0,IF($D$50=1,$D$9*(1-(ABS($Q16-ABS(VALUE(MID(DQ16,FIND("|",DQ16)+1,FIND("-",DQ16)-FIND("|",DQ16)-1))-VALUE(MID(DQ16,FIND("-",DQ16)+1,10)))))*$D$50),$D$9*(1-(IF($N16="X",ABS($O16-VALUE(MID(DQ16,FIND("|",DQ16)+1,FIND("-",DQ16)-FIND("|",DQ16)-1))),ABS($Q16-ABS(VALUE(MID(DQ16,FIND("|",DQ16)+1,FIND("-",DQ16)-FIND("|",DQ16)-1))-VALUE(MID(DQ16,FIND("-",DQ16)+1,10)))))*$D$50)))))*$I16,0)),0)</f>
        <v>0</v>
      </c>
      <c r="DS16" s="338"/>
      <c r="DT16" s="363"/>
      <c r="DU16" s="356" t="n">
        <f aca="false">IFERROR(IF($M16=DT16,($D$8+$D$9+$D$10)*$I16,IF($N16=LEFT(DT16,1),($D$8+MAX(0,IF($D$50=1,$D$9*(1-(ABS($Q16-ABS(VALUE(MID(DT16,FIND("|",DT16)+1,FIND("-",DT16)-FIND("|",DT16)-1))-VALUE(MID(DT16,FIND("-",DT16)+1,10)))))*$D$50),$D$9*(1-(IF($N16="X",ABS($O16-VALUE(MID(DT16,FIND("|",DT16)+1,FIND("-",DT16)-FIND("|",DT16)-1))),ABS($Q16-ABS(VALUE(MID(DT16,FIND("|",DT16)+1,FIND("-",DT16)-FIND("|",DT16)-1))-VALUE(MID(DT16,FIND("-",DT16)+1,10)))))*$D$50)))))*$I16,0)),0)</f>
        <v>0</v>
      </c>
      <c r="DV16" s="338"/>
      <c r="DW16" s="363"/>
      <c r="DX16" s="356" t="n">
        <f aca="false">IFERROR(IF($M16=DW16,($D$8+$D$9+$D$10)*$I16,IF($N16=LEFT(DW16,1),($D$8+MAX(0,IF($D$50=1,$D$9*(1-(ABS($Q16-ABS(VALUE(MID(DW16,FIND("|",DW16)+1,FIND("-",DW16)-FIND("|",DW16)-1))-VALUE(MID(DW16,FIND("-",DW16)+1,10)))))*$D$50),$D$9*(1-(IF($N16="X",ABS($O16-VALUE(MID(DW16,FIND("|",DW16)+1,FIND("-",DW16)-FIND("|",DW16)-1))),ABS($Q16-ABS(VALUE(MID(DW16,FIND("|",DW16)+1,FIND("-",DW16)-FIND("|",DW16)-1))-VALUE(MID(DW16,FIND("-",DW16)+1,10)))))*$D$50)))))*$I16,0)),0)</f>
        <v>0</v>
      </c>
      <c r="DY16" s="338"/>
      <c r="DZ16" s="363"/>
      <c r="EA16" s="356" t="n">
        <f aca="false">IFERROR(IF($M16=DZ16,($D$8+$D$9+$D$10)*$I16,IF($N16=LEFT(DZ16,1),($D$8+MAX(0,IF($D$50=1,$D$9*(1-(ABS($Q16-ABS(VALUE(MID(DZ16,FIND("|",DZ16)+1,FIND("-",DZ16)-FIND("|",DZ16)-1))-VALUE(MID(DZ16,FIND("-",DZ16)+1,10)))))*$D$50),$D$9*(1-(IF($N16="X",ABS($O16-VALUE(MID(DZ16,FIND("|",DZ16)+1,FIND("-",DZ16)-FIND("|",DZ16)-1))),ABS($Q16-ABS(VALUE(MID(DZ16,FIND("|",DZ16)+1,FIND("-",DZ16)-FIND("|",DZ16)-1))-VALUE(MID(DZ16,FIND("-",DZ16)+1,10)))))*$D$50)))))*$I16,0)),0)</f>
        <v>0</v>
      </c>
      <c r="EB16" s="338"/>
      <c r="EC16" s="363"/>
      <c r="ED16" s="356" t="n">
        <f aca="false">IFERROR(IF($M16=EC16,($D$8+$D$9+$D$10)*$I16,IF($N16=LEFT(EC16,1),($D$8+MAX(0,IF($D$50=1,$D$9*(1-(ABS($Q16-ABS(VALUE(MID(EC16,FIND("|",EC16)+1,FIND("-",EC16)-FIND("|",EC16)-1))-VALUE(MID(EC16,FIND("-",EC16)+1,10)))))*$D$50),$D$9*(1-(IF($N16="X",ABS($O16-VALUE(MID(EC16,FIND("|",EC16)+1,FIND("-",EC16)-FIND("|",EC16)-1))),ABS($Q16-ABS(VALUE(MID(EC16,FIND("|",EC16)+1,FIND("-",EC16)-FIND("|",EC16)-1))-VALUE(MID(EC16,FIND("-",EC16)+1,10)))))*$D$50)))))*$I16,0)),0)</f>
        <v>0</v>
      </c>
      <c r="EE16" s="338"/>
      <c r="EF16" s="363"/>
      <c r="EG16" s="356" t="n">
        <f aca="false">IFERROR(IF($M16=EF16,($D$8+$D$9+$D$10)*$I16,IF($N16=LEFT(EF16,1),($D$8+MAX(0,IF($D$50=1,$D$9*(1-(ABS($Q16-ABS(VALUE(MID(EF16,FIND("|",EF16)+1,FIND("-",EF16)-FIND("|",EF16)-1))-VALUE(MID(EF16,FIND("-",EF16)+1,10)))))*$D$50),$D$9*(1-(IF($N16="X",ABS($O16-VALUE(MID(EF16,FIND("|",EF16)+1,FIND("-",EF16)-FIND("|",EF16)-1))),ABS($Q16-ABS(VALUE(MID(EF16,FIND("|",EF16)+1,FIND("-",EF16)-FIND("|",EF16)-1))-VALUE(MID(EF16,FIND("-",EF16)+1,10)))))*$D$50)))))*$I16,0)),0)</f>
        <v>0</v>
      </c>
      <c r="EH16" s="338"/>
      <c r="EI16" s="338"/>
    </row>
    <row r="17" customFormat="false" ht="15" hidden="false" customHeight="false" outlineLevel="0" collapsed="false">
      <c r="A17" s="327"/>
      <c r="B17" s="327"/>
      <c r="C17" s="364" t="str">
        <f aca="false">Idiomas!D313&amp;"**"</f>
        <v>DIECISEISAVOS - Diferencia/Distancia de goles (Con 1X2 acertado)**</v>
      </c>
      <c r="D17" s="365" t="n">
        <v>2</v>
      </c>
      <c r="E17" s="334"/>
      <c r="F17" s="343" t="n">
        <f aca="false">SUM($D$8:$D$10)*I17</f>
        <v>17</v>
      </c>
      <c r="G17" s="343" t="n">
        <f aca="false">VLOOKUP(H17,Equipos!$Q$1:$R$25,2,0)</f>
        <v>5</v>
      </c>
      <c r="H17" s="351" t="n">
        <f aca="false">TRUNC(INDEX(WORLDCUP!$X$4:$X$147,MATCH(ADMIN!K17,WORLDCUP!$DT$4:$DT$147,0))+INDEX(Horarios!$R$3:$R$86,MATCH(Horarios!$C$3,Horarios!$P$3:$P$86,0))/24)</f>
        <v>46188</v>
      </c>
      <c r="I17" s="352" t="n">
        <v>1</v>
      </c>
      <c r="J17" s="362" t="s">
        <v>287</v>
      </c>
      <c r="K17" s="354" t="str">
        <f aca="false">CONCATENATE(WORLDCUP!AA45,"-",WORLDCUP!AF45)</f>
        <v>Suecia-Túnez</v>
      </c>
      <c r="L17" s="354"/>
      <c r="M17" s="359" t="str">
        <f aca="false">IF(OR(WORLDCUP!AC45="",WORLDCUP!AD45=""),"-",N17&amp;"|"&amp;O17&amp;"-"&amp;P17)</f>
        <v>1|5-1</v>
      </c>
      <c r="N17" s="332" t="str">
        <f aca="false">IF(OR(WORLDCUP!AC45="",WORLDCUP!AD45=""),"",IF(WORLDCUP!AC45&gt;WORLDCUP!AD45,"1",IF(WORLDCUP!AC45&lt;WORLDCUP!AD45,"2","X")))</f>
        <v>1</v>
      </c>
      <c r="O17" s="332" t="n">
        <f aca="false">WORLDCUP!AC45</f>
        <v>5</v>
      </c>
      <c r="P17" s="332" t="n">
        <f aca="false">WORLDCUP!AD45</f>
        <v>1</v>
      </c>
      <c r="Q17" s="332" t="n">
        <f aca="false">ABS(O17-P17)</f>
        <v>4</v>
      </c>
      <c r="R17" s="327"/>
      <c r="S17" s="363" t="s">
        <v>266</v>
      </c>
      <c r="T17" s="356" t="n">
        <f aca="false">IFERROR(IF($M17=S17,($D$8+$D$9+$D$10)*$I17,IF($N17=LEFT(S17,1),($D$8+MAX(0,IF($D$50=1,$D$9*(1-(ABS($Q17-ABS(VALUE(MID(S17,FIND("|",S17)+1,FIND("-",S17)-FIND("|",S17)-1))-VALUE(MID(S17,FIND("-",S17)+1,10)))))*$D$50),$D$9*(1-(IF($N17="X",ABS($O17-VALUE(MID(S17,FIND("|",S17)+1,FIND("-",S17)-FIND("|",S17)-1))),ABS($Q17-ABS(VALUE(MID(S17,FIND("|",S17)+1,FIND("-",S17)-FIND("|",S17)-1))-VALUE(MID(S17,FIND("-",S17)+1,10)))))*$D$50)))))*$I17,0)),0)</f>
        <v>5</v>
      </c>
      <c r="U17" s="338"/>
      <c r="V17" s="363" t="s">
        <v>264</v>
      </c>
      <c r="W17" s="356" t="n">
        <f aca="false">IFERROR(IF($M17=V17,($D$8+$D$9+$D$10)*$I17,IF($N17=LEFT(V17,1),($D$8+MAX(0,IF($D$50=1,$D$9*(1-(ABS($Q17-ABS(VALUE(MID(V17,FIND("|",V17)+1,FIND("-",V17)-FIND("|",V17)-1))-VALUE(MID(V17,FIND("-",V17)+1,10)))))*$D$50),$D$9*(1-(IF($N17="X",ABS($O17-VALUE(MID(V17,FIND("|",V17)+1,FIND("-",V17)-FIND("|",V17)-1))),ABS($Q17-ABS(VALUE(MID(V17,FIND("|",V17)+1,FIND("-",V17)-FIND("|",V17)-1))-VALUE(MID(V17,FIND("-",V17)+1,10)))))*$D$50)))))*$I17,0)),0)</f>
        <v>5</v>
      </c>
      <c r="X17" s="338"/>
      <c r="Y17" s="363" t="s">
        <v>266</v>
      </c>
      <c r="Z17" s="356" t="n">
        <f aca="false">IFERROR(IF($M17=Y17,($D$8+$D$9+$D$10)*$I17,IF($N17=LEFT(Y17,1),($D$8+MAX(0,IF($D$50=1,$D$9*(1-(ABS($Q17-ABS(VALUE(MID(Y17,FIND("|",Y17)+1,FIND("-",Y17)-FIND("|",Y17)-1))-VALUE(MID(Y17,FIND("-",Y17)+1,10)))))*$D$50),$D$9*(1-(IF($N17="X",ABS($O17-VALUE(MID(Y17,FIND("|",Y17)+1,FIND("-",Y17)-FIND("|",Y17)-1))),ABS($Q17-ABS(VALUE(MID(Y17,FIND("|",Y17)+1,FIND("-",Y17)-FIND("|",Y17)-1))-VALUE(MID(Y17,FIND("-",Y17)+1,10)))))*$D$50)))))*$I17,0)),0)</f>
        <v>5</v>
      </c>
      <c r="AA17" s="338"/>
      <c r="AB17" s="363" t="s">
        <v>265</v>
      </c>
      <c r="AC17" s="356" t="n">
        <f aca="false">IFERROR(IF($M17=AB17,($D$8+$D$9+$D$10)*$I17,IF($N17=LEFT(AB17,1),($D$8+MAX(0,IF($D$50=1,$D$9*(1-(ABS($Q17-ABS(VALUE(MID(AB17,FIND("|",AB17)+1,FIND("-",AB17)-FIND("|",AB17)-1))-VALUE(MID(AB17,FIND("-",AB17)+1,10)))))*$D$50),$D$9*(1-(IF($N17="X",ABS($O17-VALUE(MID(AB17,FIND("|",AB17)+1,FIND("-",AB17)-FIND("|",AB17)-1))),ABS($Q17-ABS(VALUE(MID(AB17,FIND("|",AB17)+1,FIND("-",AB17)-FIND("|",AB17)-1))-VALUE(MID(AB17,FIND("-",AB17)+1,10)))))*$D$50)))))*$I17,0)),0)</f>
        <v>5</v>
      </c>
      <c r="AD17" s="338"/>
      <c r="AE17" s="363" t="s">
        <v>265</v>
      </c>
      <c r="AF17" s="356" t="n">
        <f aca="false">IFERROR(IF($M17=AE17,($D$8+$D$9+$D$10)*$I17,IF($N17=LEFT(AE17,1),($D$8+MAX(0,IF($D$50=1,$D$9*(1-(ABS($Q17-ABS(VALUE(MID(AE17,FIND("|",AE17)+1,FIND("-",AE17)-FIND("|",AE17)-1))-VALUE(MID(AE17,FIND("-",AE17)+1,10)))))*$D$50),$D$9*(1-(IF($N17="X",ABS($O17-VALUE(MID(AE17,FIND("|",AE17)+1,FIND("-",AE17)-FIND("|",AE17)-1))),ABS($Q17-ABS(VALUE(MID(AE17,FIND("|",AE17)+1,FIND("-",AE17)-FIND("|",AE17)-1))-VALUE(MID(AE17,FIND("-",AE17)+1,10)))))*$D$50)))))*$I17,0)),0)</f>
        <v>5</v>
      </c>
      <c r="AG17" s="338"/>
      <c r="AH17" s="363" t="s">
        <v>264</v>
      </c>
      <c r="AI17" s="356" t="n">
        <f aca="false">IFERROR(IF($M17=AH17,($D$8+$D$9+$D$10)*$I17,IF($N17=LEFT(AH17,1),($D$8+MAX(0,IF($D$50=1,$D$9*(1-(ABS($Q17-ABS(VALUE(MID(AH17,FIND("|",AH17)+1,FIND("-",AH17)-FIND("|",AH17)-1))-VALUE(MID(AH17,FIND("-",AH17)+1,10)))))*$D$50),$D$9*(1-(IF($N17="X",ABS($O17-VALUE(MID(AH17,FIND("|",AH17)+1,FIND("-",AH17)-FIND("|",AH17)-1))),ABS($Q17-ABS(VALUE(MID(AH17,FIND("|",AH17)+1,FIND("-",AH17)-FIND("|",AH17)-1))-VALUE(MID(AH17,FIND("-",AH17)+1,10)))))*$D$50)))))*$I17,0)),0)</f>
        <v>5</v>
      </c>
      <c r="AJ17" s="338"/>
      <c r="AK17" s="363" t="s">
        <v>267</v>
      </c>
      <c r="AL17" s="356" t="n">
        <f aca="false">IFERROR(IF($M17=AK17,($D$8+$D$9+$D$10)*$I17,IF($N17=LEFT(AK17,1),($D$8+MAX(0,IF($D$50=1,$D$9*(1-(ABS($Q17-ABS(VALUE(MID(AK17,FIND("|",AK17)+1,FIND("-",AK17)-FIND("|",AK17)-1))-VALUE(MID(AK17,FIND("-",AK17)+1,10)))))*$D$50),$D$9*(1-(IF($N17="X",ABS($O17-VALUE(MID(AK17,FIND("|",AK17)+1,FIND("-",AK17)-FIND("|",AK17)-1))),ABS($Q17-ABS(VALUE(MID(AK17,FIND("|",AK17)+1,FIND("-",AK17)-FIND("|",AK17)-1))-VALUE(MID(AK17,FIND("-",AK17)+1,10)))))*$D$50)))))*$I17,0)),0)</f>
        <v>0</v>
      </c>
      <c r="AM17" s="338"/>
      <c r="AN17" s="363" t="s">
        <v>265</v>
      </c>
      <c r="AO17" s="356" t="n">
        <f aca="false">IFERROR(IF($M17=AN17,($D$8+$D$9+$D$10)*$I17,IF($N17=LEFT(AN17,1),($D$8+MAX(0,IF($D$50=1,$D$9*(1-(ABS($Q17-ABS(VALUE(MID(AN17,FIND("|",AN17)+1,FIND("-",AN17)-FIND("|",AN17)-1))-VALUE(MID(AN17,FIND("-",AN17)+1,10)))))*$D$50),$D$9*(1-(IF($N17="X",ABS($O17-VALUE(MID(AN17,FIND("|",AN17)+1,FIND("-",AN17)-FIND("|",AN17)-1))),ABS($Q17-ABS(VALUE(MID(AN17,FIND("|",AN17)+1,FIND("-",AN17)-FIND("|",AN17)-1))-VALUE(MID(AN17,FIND("-",AN17)+1,10)))))*$D$50)))))*$I17,0)),0)</f>
        <v>5</v>
      </c>
      <c r="AP17" s="338"/>
      <c r="AQ17" s="363" t="s">
        <v>265</v>
      </c>
      <c r="AR17" s="356" t="n">
        <f aca="false">IFERROR(IF($M17=AQ17,($D$8+$D$9+$D$10)*$I17,IF($N17=LEFT(AQ17,1),($D$8+MAX(0,IF($D$50=1,$D$9*(1-(ABS($Q17-ABS(VALUE(MID(AQ17,FIND("|",AQ17)+1,FIND("-",AQ17)-FIND("|",AQ17)-1))-VALUE(MID(AQ17,FIND("-",AQ17)+1,10)))))*$D$50),$D$9*(1-(IF($N17="X",ABS($O17-VALUE(MID(AQ17,FIND("|",AQ17)+1,FIND("-",AQ17)-FIND("|",AQ17)-1))),ABS($Q17-ABS(VALUE(MID(AQ17,FIND("|",AQ17)+1,FIND("-",AQ17)-FIND("|",AQ17)-1))-VALUE(MID(AQ17,FIND("-",AQ17)+1,10)))))*$D$50)))))*$I17,0)),0)</f>
        <v>5</v>
      </c>
      <c r="AS17" s="338"/>
      <c r="AT17" s="363" t="s">
        <v>266</v>
      </c>
      <c r="AU17" s="356" t="n">
        <f aca="false">IFERROR(IF($M17=AT17,($D$8+$D$9+$D$10)*$I17,IF($N17=LEFT(AT17,1),($D$8+MAX(0,IF($D$50=1,$D$9*(1-(ABS($Q17-ABS(VALUE(MID(AT17,FIND("|",AT17)+1,FIND("-",AT17)-FIND("|",AT17)-1))-VALUE(MID(AT17,FIND("-",AT17)+1,10)))))*$D$50),$D$9*(1-(IF($N17="X",ABS($O17-VALUE(MID(AT17,FIND("|",AT17)+1,FIND("-",AT17)-FIND("|",AT17)-1))),ABS($Q17-ABS(VALUE(MID(AT17,FIND("|",AT17)+1,FIND("-",AT17)-FIND("|",AT17)-1))-VALUE(MID(AT17,FIND("-",AT17)+1,10)))))*$D$50)))))*$I17,0)),0)</f>
        <v>5</v>
      </c>
      <c r="AV17" s="338"/>
      <c r="AW17" s="363" t="s">
        <v>266</v>
      </c>
      <c r="AX17" s="356" t="n">
        <f aca="false">IFERROR(IF($M17=AW17,($D$8+$D$9+$D$10)*$I17,IF($N17=LEFT(AW17,1),($D$8+MAX(0,IF($D$50=1,$D$9*(1-(ABS($Q17-ABS(VALUE(MID(AW17,FIND("|",AW17)+1,FIND("-",AW17)-FIND("|",AW17)-1))-VALUE(MID(AW17,FIND("-",AW17)+1,10)))))*$D$50),$D$9*(1-(IF($N17="X",ABS($O17-VALUE(MID(AW17,FIND("|",AW17)+1,FIND("-",AW17)-FIND("|",AW17)-1))),ABS($Q17-ABS(VALUE(MID(AW17,FIND("|",AW17)+1,FIND("-",AW17)-FIND("|",AW17)-1))-VALUE(MID(AW17,FIND("-",AW17)+1,10)))))*$D$50)))))*$I17,0)),0)</f>
        <v>5</v>
      </c>
      <c r="AY17" s="338"/>
      <c r="AZ17" s="363" t="s">
        <v>264</v>
      </c>
      <c r="BA17" s="356" t="n">
        <f aca="false">IFERROR(IF($M17=AZ17,($D$8+$D$9+$D$10)*$I17,IF($N17=LEFT(AZ17,1),($D$8+MAX(0,IF($D$50=1,$D$9*(1-(ABS($Q17-ABS(VALUE(MID(AZ17,FIND("|",AZ17)+1,FIND("-",AZ17)-FIND("|",AZ17)-1))-VALUE(MID(AZ17,FIND("-",AZ17)+1,10)))))*$D$50),$D$9*(1-(IF($N17="X",ABS($O17-VALUE(MID(AZ17,FIND("|",AZ17)+1,FIND("-",AZ17)-FIND("|",AZ17)-1))),ABS($Q17-ABS(VALUE(MID(AZ17,FIND("|",AZ17)+1,FIND("-",AZ17)-FIND("|",AZ17)-1))-VALUE(MID(AZ17,FIND("-",AZ17)+1,10)))))*$D$50)))))*$I17,0)),0)</f>
        <v>5</v>
      </c>
      <c r="BB17" s="338"/>
      <c r="BC17" s="363" t="s">
        <v>264</v>
      </c>
      <c r="BD17" s="356" t="n">
        <f aca="false">IFERROR(IF($M17=BC17,($D$8+$D$9+$D$10)*$I17,IF($N17=LEFT(BC17,1),($D$8+MAX(0,IF($D$50=1,$D$9*(1-(ABS($Q17-ABS(VALUE(MID(BC17,FIND("|",BC17)+1,FIND("-",BC17)-FIND("|",BC17)-1))-VALUE(MID(BC17,FIND("-",BC17)+1,10)))))*$D$50),$D$9*(1-(IF($N17="X",ABS($O17-VALUE(MID(BC17,FIND("|",BC17)+1,FIND("-",BC17)-FIND("|",BC17)-1))),ABS($Q17-ABS(VALUE(MID(BC17,FIND("|",BC17)+1,FIND("-",BC17)-FIND("|",BC17)-1))-VALUE(MID(BC17,FIND("-",BC17)+1,10)))))*$D$50)))))*$I17,0)),0)</f>
        <v>5</v>
      </c>
      <c r="BE17" s="338"/>
      <c r="BF17" s="363" t="s">
        <v>264</v>
      </c>
      <c r="BG17" s="356" t="n">
        <f aca="false">IFERROR(IF($M17=BF17,($D$8+$D$9+$D$10)*$I17,IF($N17=LEFT(BF17,1),($D$8+MAX(0,IF($D$50=1,$D$9*(1-(ABS($Q17-ABS(VALUE(MID(BF17,FIND("|",BF17)+1,FIND("-",BF17)-FIND("|",BF17)-1))-VALUE(MID(BF17,FIND("-",BF17)+1,10)))))*$D$50),$D$9*(1-(IF($N17="X",ABS($O17-VALUE(MID(BF17,FIND("|",BF17)+1,FIND("-",BF17)-FIND("|",BF17)-1))),ABS($Q17-ABS(VALUE(MID(BF17,FIND("|",BF17)+1,FIND("-",BF17)-FIND("|",BF17)-1))-VALUE(MID(BF17,FIND("-",BF17)+1,10)))))*$D$50)))))*$I17,0)),0)</f>
        <v>5</v>
      </c>
      <c r="BH17" s="338"/>
      <c r="BI17" s="363" t="s">
        <v>265</v>
      </c>
      <c r="BJ17" s="356" t="n">
        <f aca="false">IFERROR(IF($M17=BI17,($D$8+$D$9+$D$10)*$I17,IF($N17=LEFT(BI17,1),($D$8+MAX(0,IF($D$50=1,$D$9*(1-(ABS($Q17-ABS(VALUE(MID(BI17,FIND("|",BI17)+1,FIND("-",BI17)-FIND("|",BI17)-1))-VALUE(MID(BI17,FIND("-",BI17)+1,10)))))*$D$50),$D$9*(1-(IF($N17="X",ABS($O17-VALUE(MID(BI17,FIND("|",BI17)+1,FIND("-",BI17)-FIND("|",BI17)-1))),ABS($Q17-ABS(VALUE(MID(BI17,FIND("|",BI17)+1,FIND("-",BI17)-FIND("|",BI17)-1))-VALUE(MID(BI17,FIND("-",BI17)+1,10)))))*$D$50)))))*$I17,0)),0)</f>
        <v>5</v>
      </c>
      <c r="BK17" s="338"/>
      <c r="BL17" s="363" t="s">
        <v>266</v>
      </c>
      <c r="BM17" s="356" t="n">
        <f aca="false">IFERROR(IF($M17=BL17,($D$8+$D$9+$D$10)*$I17,IF($N17=LEFT(BL17,1),($D$8+MAX(0,IF($D$50=1,$D$9*(1-(ABS($Q17-ABS(VALUE(MID(BL17,FIND("|",BL17)+1,FIND("-",BL17)-FIND("|",BL17)-1))-VALUE(MID(BL17,FIND("-",BL17)+1,10)))))*$D$50),$D$9*(1-(IF($N17="X",ABS($O17-VALUE(MID(BL17,FIND("|",BL17)+1,FIND("-",BL17)-FIND("|",BL17)-1))),ABS($Q17-ABS(VALUE(MID(BL17,FIND("|",BL17)+1,FIND("-",BL17)-FIND("|",BL17)-1))-VALUE(MID(BL17,FIND("-",BL17)+1,10)))))*$D$50)))))*$I17,0)),0)</f>
        <v>5</v>
      </c>
      <c r="BN17" s="338"/>
      <c r="BO17" s="363" t="s">
        <v>288</v>
      </c>
      <c r="BP17" s="356" t="n">
        <f aca="false">IFERROR(IF($M17=BO17,($D$8+$D$9+$D$10)*$I17,IF($N17=LEFT(BO17,1),($D$8+MAX(0,IF($D$50=1,$D$9*(1-(ABS($Q17-ABS(VALUE(MID(BO17,FIND("|",BO17)+1,FIND("-",BO17)-FIND("|",BO17)-1))-VALUE(MID(BO17,FIND("-",BO17)+1,10)))))*$D$50),$D$9*(1-(IF($N17="X",ABS($O17-VALUE(MID(BO17,FIND("|",BO17)+1,FIND("-",BO17)-FIND("|",BO17)-1))),ABS($Q17-ABS(VALUE(MID(BO17,FIND("|",BO17)+1,FIND("-",BO17)-FIND("|",BO17)-1))-VALUE(MID(BO17,FIND("-",BO17)+1,10)))))*$D$50)))))*$I17,0)),0)</f>
        <v>5</v>
      </c>
      <c r="BQ17" s="338"/>
      <c r="BR17" s="363" t="s">
        <v>265</v>
      </c>
      <c r="BS17" s="356" t="n">
        <f aca="false">IFERROR(IF($M17=BR17,($D$8+$D$9+$D$10)*$I17,IF($N17=LEFT(BR17,1),($D$8+MAX(0,IF($D$50=1,$D$9*(1-(ABS($Q17-ABS(VALUE(MID(BR17,FIND("|",BR17)+1,FIND("-",BR17)-FIND("|",BR17)-1))-VALUE(MID(BR17,FIND("-",BR17)+1,10)))))*$D$50),$D$9*(1-(IF($N17="X",ABS($O17-VALUE(MID(BR17,FIND("|",BR17)+1,FIND("-",BR17)-FIND("|",BR17)-1))),ABS($Q17-ABS(VALUE(MID(BR17,FIND("|",BR17)+1,FIND("-",BR17)-FIND("|",BR17)-1))-VALUE(MID(BR17,FIND("-",BR17)+1,10)))))*$D$50)))))*$I17,0)),0)</f>
        <v>5</v>
      </c>
      <c r="BT17" s="338"/>
      <c r="BU17" s="363"/>
      <c r="BV17" s="356" t="n">
        <f aca="false">IFERROR(IF($M17=BU17,($D$8+$D$9+$D$10)*$I17,IF($N17=LEFT(BU17,1),($D$8+MAX(0,IF($D$50=1,$D$9*(1-(ABS($Q17-ABS(VALUE(MID(BU17,FIND("|",BU17)+1,FIND("-",BU17)-FIND("|",BU17)-1))-VALUE(MID(BU17,FIND("-",BU17)+1,10)))))*$D$50),$D$9*(1-(IF($N17="X",ABS($O17-VALUE(MID(BU17,FIND("|",BU17)+1,FIND("-",BU17)-FIND("|",BU17)-1))),ABS($Q17-ABS(VALUE(MID(BU17,FIND("|",BU17)+1,FIND("-",BU17)-FIND("|",BU17)-1))-VALUE(MID(BU17,FIND("-",BU17)+1,10)))))*$D$50)))))*$I17,0)),0)</f>
        <v>0</v>
      </c>
      <c r="BW17" s="338"/>
      <c r="BX17" s="363"/>
      <c r="BY17" s="356" t="n">
        <f aca="false">IFERROR(IF($M17=BX17,($D$8+$D$9+$D$10)*$I17,IF($N17=LEFT(BX17,1),($D$8+MAX(0,IF($D$50=1,$D$9*(1-(ABS($Q17-ABS(VALUE(MID(BX17,FIND("|",BX17)+1,FIND("-",BX17)-FIND("|",BX17)-1))-VALUE(MID(BX17,FIND("-",BX17)+1,10)))))*$D$50),$D$9*(1-(IF($N17="X",ABS($O17-VALUE(MID(BX17,FIND("|",BX17)+1,FIND("-",BX17)-FIND("|",BX17)-1))),ABS($Q17-ABS(VALUE(MID(BX17,FIND("|",BX17)+1,FIND("-",BX17)-FIND("|",BX17)-1))-VALUE(MID(BX17,FIND("-",BX17)+1,10)))))*$D$50)))))*$I17,0)),0)</f>
        <v>0</v>
      </c>
      <c r="BZ17" s="338"/>
      <c r="CA17" s="363"/>
      <c r="CB17" s="356" t="n">
        <f aca="false">IFERROR(IF($M17=CA17,($D$8+$D$9+$D$10)*$I17,IF($N17=LEFT(CA17,1),($D$8+MAX(0,IF($D$50=1,$D$9*(1-(ABS($Q17-ABS(VALUE(MID(CA17,FIND("|",CA17)+1,FIND("-",CA17)-FIND("|",CA17)-1))-VALUE(MID(CA17,FIND("-",CA17)+1,10)))))*$D$50),$D$9*(1-(IF($N17="X",ABS($O17-VALUE(MID(CA17,FIND("|",CA17)+1,FIND("-",CA17)-FIND("|",CA17)-1))),ABS($Q17-ABS(VALUE(MID(CA17,FIND("|",CA17)+1,FIND("-",CA17)-FIND("|",CA17)-1))-VALUE(MID(CA17,FIND("-",CA17)+1,10)))))*$D$50)))))*$I17,0)),0)</f>
        <v>0</v>
      </c>
      <c r="CC17" s="338"/>
      <c r="CD17" s="363"/>
      <c r="CE17" s="356" t="n">
        <f aca="false">IFERROR(IF($M17=CD17,($D$8+$D$9+$D$10)*$I17,IF($N17=LEFT(CD17,1),($D$8+MAX(0,IF($D$50=1,$D$9*(1-(ABS($Q17-ABS(VALUE(MID(CD17,FIND("|",CD17)+1,FIND("-",CD17)-FIND("|",CD17)-1))-VALUE(MID(CD17,FIND("-",CD17)+1,10)))))*$D$50),$D$9*(1-(IF($N17="X",ABS($O17-VALUE(MID(CD17,FIND("|",CD17)+1,FIND("-",CD17)-FIND("|",CD17)-1))),ABS($Q17-ABS(VALUE(MID(CD17,FIND("|",CD17)+1,FIND("-",CD17)-FIND("|",CD17)-1))-VALUE(MID(CD17,FIND("-",CD17)+1,10)))))*$D$50)))))*$I17,0)),0)</f>
        <v>0</v>
      </c>
      <c r="CF17" s="338"/>
      <c r="CG17" s="363"/>
      <c r="CH17" s="356" t="n">
        <f aca="false">IFERROR(IF($M17=CG17,($D$8+$D$9+$D$10)*$I17,IF($N17=LEFT(CG17,1),($D$8+MAX(0,IF($D$50=1,$D$9*(1-(ABS($Q17-ABS(VALUE(MID(CG17,FIND("|",CG17)+1,FIND("-",CG17)-FIND("|",CG17)-1))-VALUE(MID(CG17,FIND("-",CG17)+1,10)))))*$D$50),$D$9*(1-(IF($N17="X",ABS($O17-VALUE(MID(CG17,FIND("|",CG17)+1,FIND("-",CG17)-FIND("|",CG17)-1))),ABS($Q17-ABS(VALUE(MID(CG17,FIND("|",CG17)+1,FIND("-",CG17)-FIND("|",CG17)-1))-VALUE(MID(CG17,FIND("-",CG17)+1,10)))))*$D$50)))))*$I17,0)),0)</f>
        <v>0</v>
      </c>
      <c r="CI17" s="338"/>
      <c r="CJ17" s="363"/>
      <c r="CK17" s="356" t="n">
        <f aca="false">IFERROR(IF($M17=CJ17,($D$8+$D$9+$D$10)*$I17,IF($N17=LEFT(CJ17,1),($D$8+MAX(0,IF($D$50=1,$D$9*(1-(ABS($Q17-ABS(VALUE(MID(CJ17,FIND("|",CJ17)+1,FIND("-",CJ17)-FIND("|",CJ17)-1))-VALUE(MID(CJ17,FIND("-",CJ17)+1,10)))))*$D$50),$D$9*(1-(IF($N17="X",ABS($O17-VALUE(MID(CJ17,FIND("|",CJ17)+1,FIND("-",CJ17)-FIND("|",CJ17)-1))),ABS($Q17-ABS(VALUE(MID(CJ17,FIND("|",CJ17)+1,FIND("-",CJ17)-FIND("|",CJ17)-1))-VALUE(MID(CJ17,FIND("-",CJ17)+1,10)))))*$D$50)))))*$I17,0)),0)</f>
        <v>0</v>
      </c>
      <c r="CL17" s="338"/>
      <c r="CM17" s="363"/>
      <c r="CN17" s="356" t="n">
        <f aca="false">IFERROR(IF($M17=CM17,($D$8+$D$9+$D$10)*$I17,IF($N17=LEFT(CM17,1),($D$8+MAX(0,IF($D$50=1,$D$9*(1-(ABS($Q17-ABS(VALUE(MID(CM17,FIND("|",CM17)+1,FIND("-",CM17)-FIND("|",CM17)-1))-VALUE(MID(CM17,FIND("-",CM17)+1,10)))))*$D$50),$D$9*(1-(IF($N17="X",ABS($O17-VALUE(MID(CM17,FIND("|",CM17)+1,FIND("-",CM17)-FIND("|",CM17)-1))),ABS($Q17-ABS(VALUE(MID(CM17,FIND("|",CM17)+1,FIND("-",CM17)-FIND("|",CM17)-1))-VALUE(MID(CM17,FIND("-",CM17)+1,10)))))*$D$50)))))*$I17,0)),0)</f>
        <v>0</v>
      </c>
      <c r="CO17" s="338"/>
      <c r="CP17" s="363"/>
      <c r="CQ17" s="356" t="n">
        <f aca="false">IFERROR(IF($M17=CP17,($D$8+$D$9+$D$10)*$I17,IF($N17=LEFT(CP17,1),($D$8+MAX(0,IF($D$50=1,$D$9*(1-(ABS($Q17-ABS(VALUE(MID(CP17,FIND("|",CP17)+1,FIND("-",CP17)-FIND("|",CP17)-1))-VALUE(MID(CP17,FIND("-",CP17)+1,10)))))*$D$50),$D$9*(1-(IF($N17="X",ABS($O17-VALUE(MID(CP17,FIND("|",CP17)+1,FIND("-",CP17)-FIND("|",CP17)-1))),ABS($Q17-ABS(VALUE(MID(CP17,FIND("|",CP17)+1,FIND("-",CP17)-FIND("|",CP17)-1))-VALUE(MID(CP17,FIND("-",CP17)+1,10)))))*$D$50)))))*$I17,0)),0)</f>
        <v>0</v>
      </c>
      <c r="CR17" s="338"/>
      <c r="CS17" s="363"/>
      <c r="CT17" s="356" t="n">
        <f aca="false">IFERROR(IF($M17=CS17,($D$8+$D$9+$D$10)*$I17,IF($N17=LEFT(CS17,1),($D$8+MAX(0,IF($D$50=1,$D$9*(1-(ABS($Q17-ABS(VALUE(MID(CS17,FIND("|",CS17)+1,FIND("-",CS17)-FIND("|",CS17)-1))-VALUE(MID(CS17,FIND("-",CS17)+1,10)))))*$D$50),$D$9*(1-(IF($N17="X",ABS($O17-VALUE(MID(CS17,FIND("|",CS17)+1,FIND("-",CS17)-FIND("|",CS17)-1))),ABS($Q17-ABS(VALUE(MID(CS17,FIND("|",CS17)+1,FIND("-",CS17)-FIND("|",CS17)-1))-VALUE(MID(CS17,FIND("-",CS17)+1,10)))))*$D$50)))))*$I17,0)),0)</f>
        <v>0</v>
      </c>
      <c r="CU17" s="338"/>
      <c r="CV17" s="363"/>
      <c r="CW17" s="356" t="n">
        <f aca="false">IFERROR(IF($M17=CV17,($D$8+$D$9+$D$10)*$I17,IF($N17=LEFT(CV17,1),($D$8+MAX(0,IF($D$50=1,$D$9*(1-(ABS($Q17-ABS(VALUE(MID(CV17,FIND("|",CV17)+1,FIND("-",CV17)-FIND("|",CV17)-1))-VALUE(MID(CV17,FIND("-",CV17)+1,10)))))*$D$50),$D$9*(1-(IF($N17="X",ABS($O17-VALUE(MID(CV17,FIND("|",CV17)+1,FIND("-",CV17)-FIND("|",CV17)-1))),ABS($Q17-ABS(VALUE(MID(CV17,FIND("|",CV17)+1,FIND("-",CV17)-FIND("|",CV17)-1))-VALUE(MID(CV17,FIND("-",CV17)+1,10)))))*$D$50)))))*$I17,0)),0)</f>
        <v>0</v>
      </c>
      <c r="CX17" s="338"/>
      <c r="CY17" s="363"/>
      <c r="CZ17" s="356" t="n">
        <f aca="false">IFERROR(IF($M17=CY17,($D$8+$D$9+$D$10)*$I17,IF($N17=LEFT(CY17,1),($D$8+MAX(0,IF($D$50=1,$D$9*(1-(ABS($Q17-ABS(VALUE(MID(CY17,FIND("|",CY17)+1,FIND("-",CY17)-FIND("|",CY17)-1))-VALUE(MID(CY17,FIND("-",CY17)+1,10)))))*$D$50),$D$9*(1-(IF($N17="X",ABS($O17-VALUE(MID(CY17,FIND("|",CY17)+1,FIND("-",CY17)-FIND("|",CY17)-1))),ABS($Q17-ABS(VALUE(MID(CY17,FIND("|",CY17)+1,FIND("-",CY17)-FIND("|",CY17)-1))-VALUE(MID(CY17,FIND("-",CY17)+1,10)))))*$D$50)))))*$I17,0)),0)</f>
        <v>0</v>
      </c>
      <c r="DA17" s="338"/>
      <c r="DB17" s="363"/>
      <c r="DC17" s="356" t="n">
        <f aca="false">IFERROR(IF($M17=DB17,($D$8+$D$9+$D$10)*$I17,IF($N17=LEFT(DB17,1),($D$8+MAX(0,IF($D$50=1,$D$9*(1-(ABS($Q17-ABS(VALUE(MID(DB17,FIND("|",DB17)+1,FIND("-",DB17)-FIND("|",DB17)-1))-VALUE(MID(DB17,FIND("-",DB17)+1,10)))))*$D$50),$D$9*(1-(IF($N17="X",ABS($O17-VALUE(MID(DB17,FIND("|",DB17)+1,FIND("-",DB17)-FIND("|",DB17)-1))),ABS($Q17-ABS(VALUE(MID(DB17,FIND("|",DB17)+1,FIND("-",DB17)-FIND("|",DB17)-1))-VALUE(MID(DB17,FIND("-",DB17)+1,10)))))*$D$50)))))*$I17,0)),0)</f>
        <v>0</v>
      </c>
      <c r="DD17" s="338"/>
      <c r="DE17" s="363"/>
      <c r="DF17" s="356" t="n">
        <f aca="false">IFERROR(IF($M17=DE17,($D$8+$D$9+$D$10)*$I17,IF($N17=LEFT(DE17,1),($D$8+MAX(0,IF($D$50=1,$D$9*(1-(ABS($Q17-ABS(VALUE(MID(DE17,FIND("|",DE17)+1,FIND("-",DE17)-FIND("|",DE17)-1))-VALUE(MID(DE17,FIND("-",DE17)+1,10)))))*$D$50),$D$9*(1-(IF($N17="X",ABS($O17-VALUE(MID(DE17,FIND("|",DE17)+1,FIND("-",DE17)-FIND("|",DE17)-1))),ABS($Q17-ABS(VALUE(MID(DE17,FIND("|",DE17)+1,FIND("-",DE17)-FIND("|",DE17)-1))-VALUE(MID(DE17,FIND("-",DE17)+1,10)))))*$D$50)))))*$I17,0)),0)</f>
        <v>0</v>
      </c>
      <c r="DG17" s="338"/>
      <c r="DH17" s="363"/>
      <c r="DI17" s="356" t="n">
        <f aca="false">IFERROR(IF($M17=DH17,($D$8+$D$9+$D$10)*$I17,IF($N17=LEFT(DH17,1),($D$8+MAX(0,IF($D$50=1,$D$9*(1-(ABS($Q17-ABS(VALUE(MID(DH17,FIND("|",DH17)+1,FIND("-",DH17)-FIND("|",DH17)-1))-VALUE(MID(DH17,FIND("-",DH17)+1,10)))))*$D$50),$D$9*(1-(IF($N17="X",ABS($O17-VALUE(MID(DH17,FIND("|",DH17)+1,FIND("-",DH17)-FIND("|",DH17)-1))),ABS($Q17-ABS(VALUE(MID(DH17,FIND("|",DH17)+1,FIND("-",DH17)-FIND("|",DH17)-1))-VALUE(MID(DH17,FIND("-",DH17)+1,10)))))*$D$50)))))*$I17,0)),0)</f>
        <v>0</v>
      </c>
      <c r="DJ17" s="338"/>
      <c r="DK17" s="363"/>
      <c r="DL17" s="356" t="n">
        <f aca="false">IFERROR(IF($M17=DK17,($D$8+$D$9+$D$10)*$I17,IF($N17=LEFT(DK17,1),($D$8+MAX(0,IF($D$50=1,$D$9*(1-(ABS($Q17-ABS(VALUE(MID(DK17,FIND("|",DK17)+1,FIND("-",DK17)-FIND("|",DK17)-1))-VALUE(MID(DK17,FIND("-",DK17)+1,10)))))*$D$50),$D$9*(1-(IF($N17="X",ABS($O17-VALUE(MID(DK17,FIND("|",DK17)+1,FIND("-",DK17)-FIND("|",DK17)-1))),ABS($Q17-ABS(VALUE(MID(DK17,FIND("|",DK17)+1,FIND("-",DK17)-FIND("|",DK17)-1))-VALUE(MID(DK17,FIND("-",DK17)+1,10)))))*$D$50)))))*$I17,0)),0)</f>
        <v>0</v>
      </c>
      <c r="DM17" s="338"/>
      <c r="DN17" s="363"/>
      <c r="DO17" s="356" t="n">
        <f aca="false">IFERROR(IF($M17=DN17,($D$8+$D$9+$D$10)*$I17,IF($N17=LEFT(DN17,1),($D$8+MAX(0,IF($D$50=1,$D$9*(1-(ABS($Q17-ABS(VALUE(MID(DN17,FIND("|",DN17)+1,FIND("-",DN17)-FIND("|",DN17)-1))-VALUE(MID(DN17,FIND("-",DN17)+1,10)))))*$D$50),$D$9*(1-(IF($N17="X",ABS($O17-VALUE(MID(DN17,FIND("|",DN17)+1,FIND("-",DN17)-FIND("|",DN17)-1))),ABS($Q17-ABS(VALUE(MID(DN17,FIND("|",DN17)+1,FIND("-",DN17)-FIND("|",DN17)-1))-VALUE(MID(DN17,FIND("-",DN17)+1,10)))))*$D$50)))))*$I17,0)),0)</f>
        <v>0</v>
      </c>
      <c r="DP17" s="338"/>
      <c r="DQ17" s="363"/>
      <c r="DR17" s="356" t="n">
        <f aca="false">IFERROR(IF($M17=DQ17,($D$8+$D$9+$D$10)*$I17,IF($N17=LEFT(DQ17,1),($D$8+MAX(0,IF($D$50=1,$D$9*(1-(ABS($Q17-ABS(VALUE(MID(DQ17,FIND("|",DQ17)+1,FIND("-",DQ17)-FIND("|",DQ17)-1))-VALUE(MID(DQ17,FIND("-",DQ17)+1,10)))))*$D$50),$D$9*(1-(IF($N17="X",ABS($O17-VALUE(MID(DQ17,FIND("|",DQ17)+1,FIND("-",DQ17)-FIND("|",DQ17)-1))),ABS($Q17-ABS(VALUE(MID(DQ17,FIND("|",DQ17)+1,FIND("-",DQ17)-FIND("|",DQ17)-1))-VALUE(MID(DQ17,FIND("-",DQ17)+1,10)))))*$D$50)))))*$I17,0)),0)</f>
        <v>0</v>
      </c>
      <c r="DS17" s="338"/>
      <c r="DT17" s="363"/>
      <c r="DU17" s="356" t="n">
        <f aca="false">IFERROR(IF($M17=DT17,($D$8+$D$9+$D$10)*$I17,IF($N17=LEFT(DT17,1),($D$8+MAX(0,IF($D$50=1,$D$9*(1-(ABS($Q17-ABS(VALUE(MID(DT17,FIND("|",DT17)+1,FIND("-",DT17)-FIND("|",DT17)-1))-VALUE(MID(DT17,FIND("-",DT17)+1,10)))))*$D$50),$D$9*(1-(IF($N17="X",ABS($O17-VALUE(MID(DT17,FIND("|",DT17)+1,FIND("-",DT17)-FIND("|",DT17)-1))),ABS($Q17-ABS(VALUE(MID(DT17,FIND("|",DT17)+1,FIND("-",DT17)-FIND("|",DT17)-1))-VALUE(MID(DT17,FIND("-",DT17)+1,10)))))*$D$50)))))*$I17,0)),0)</f>
        <v>0</v>
      </c>
      <c r="DV17" s="338"/>
      <c r="DW17" s="363"/>
      <c r="DX17" s="356" t="n">
        <f aca="false">IFERROR(IF($M17=DW17,($D$8+$D$9+$D$10)*$I17,IF($N17=LEFT(DW17,1),($D$8+MAX(0,IF($D$50=1,$D$9*(1-(ABS($Q17-ABS(VALUE(MID(DW17,FIND("|",DW17)+1,FIND("-",DW17)-FIND("|",DW17)-1))-VALUE(MID(DW17,FIND("-",DW17)+1,10)))))*$D$50),$D$9*(1-(IF($N17="X",ABS($O17-VALUE(MID(DW17,FIND("|",DW17)+1,FIND("-",DW17)-FIND("|",DW17)-1))),ABS($Q17-ABS(VALUE(MID(DW17,FIND("|",DW17)+1,FIND("-",DW17)-FIND("|",DW17)-1))-VALUE(MID(DW17,FIND("-",DW17)+1,10)))))*$D$50)))))*$I17,0)),0)</f>
        <v>0</v>
      </c>
      <c r="DY17" s="338"/>
      <c r="DZ17" s="363"/>
      <c r="EA17" s="356" t="n">
        <f aca="false">IFERROR(IF($M17=DZ17,($D$8+$D$9+$D$10)*$I17,IF($N17=LEFT(DZ17,1),($D$8+MAX(0,IF($D$50=1,$D$9*(1-(ABS($Q17-ABS(VALUE(MID(DZ17,FIND("|",DZ17)+1,FIND("-",DZ17)-FIND("|",DZ17)-1))-VALUE(MID(DZ17,FIND("-",DZ17)+1,10)))))*$D$50),$D$9*(1-(IF($N17="X",ABS($O17-VALUE(MID(DZ17,FIND("|",DZ17)+1,FIND("-",DZ17)-FIND("|",DZ17)-1))),ABS($Q17-ABS(VALUE(MID(DZ17,FIND("|",DZ17)+1,FIND("-",DZ17)-FIND("|",DZ17)-1))-VALUE(MID(DZ17,FIND("-",DZ17)+1,10)))))*$D$50)))))*$I17,0)),0)</f>
        <v>0</v>
      </c>
      <c r="EB17" s="338"/>
      <c r="EC17" s="363"/>
      <c r="ED17" s="356" t="n">
        <f aca="false">IFERROR(IF($M17=EC17,($D$8+$D$9+$D$10)*$I17,IF($N17=LEFT(EC17,1),($D$8+MAX(0,IF($D$50=1,$D$9*(1-(ABS($Q17-ABS(VALUE(MID(EC17,FIND("|",EC17)+1,FIND("-",EC17)-FIND("|",EC17)-1))-VALUE(MID(EC17,FIND("-",EC17)+1,10)))))*$D$50),$D$9*(1-(IF($N17="X",ABS($O17-VALUE(MID(EC17,FIND("|",EC17)+1,FIND("-",EC17)-FIND("|",EC17)-1))),ABS($Q17-ABS(VALUE(MID(EC17,FIND("|",EC17)+1,FIND("-",EC17)-FIND("|",EC17)-1))-VALUE(MID(EC17,FIND("-",EC17)+1,10)))))*$D$50)))))*$I17,0)),0)</f>
        <v>0</v>
      </c>
      <c r="EE17" s="338"/>
      <c r="EF17" s="363"/>
      <c r="EG17" s="356" t="n">
        <f aca="false">IFERROR(IF($M17=EF17,($D$8+$D$9+$D$10)*$I17,IF($N17=LEFT(EF17,1),($D$8+MAX(0,IF($D$50=1,$D$9*(1-(ABS($Q17-ABS(VALUE(MID(EF17,FIND("|",EF17)+1,FIND("-",EF17)-FIND("|",EF17)-1))-VALUE(MID(EF17,FIND("-",EF17)+1,10)))))*$D$50),$D$9*(1-(IF($N17="X",ABS($O17-VALUE(MID(EF17,FIND("|",EF17)+1,FIND("-",EF17)-FIND("|",EF17)-1))),ABS($Q17-ABS(VALUE(MID(EF17,FIND("|",EF17)+1,FIND("-",EF17)-FIND("|",EF17)-1))-VALUE(MID(EF17,FIND("-",EF17)+1,10)))))*$D$50)))))*$I17,0)),0)</f>
        <v>0</v>
      </c>
      <c r="EH17" s="338"/>
      <c r="EI17" s="338"/>
    </row>
    <row r="18" customFormat="false" ht="15" hidden="false" customHeight="false" outlineLevel="0" collapsed="false">
      <c r="A18" s="327"/>
      <c r="B18" s="327"/>
      <c r="C18" s="360" t="str">
        <f aca="false">Idiomas!D314</f>
        <v>DIECISEISAVOS - Resultado exacto</v>
      </c>
      <c r="D18" s="361" t="n">
        <v>10</v>
      </c>
      <c r="E18" s="334"/>
      <c r="F18" s="343" t="n">
        <f aca="false">SUM($D$8:$D$10)*I18</f>
        <v>17</v>
      </c>
      <c r="G18" s="343" t="n">
        <f aca="false">VLOOKUP(H18,Equipos!$Q$1:$R$25,2,0)</f>
        <v>5</v>
      </c>
      <c r="H18" s="351" t="n">
        <f aca="false">TRUNC(INDEX(WORLDCUP!$X$4:$X$147,MATCH(ADMIN!K18,WORLDCUP!$DT$4:$DT$147,0))+INDEX(Horarios!$R$3:$R$86,MATCH(Horarios!$C$3,Horarios!$P$3:$P$86,0))/24)</f>
        <v>46188</v>
      </c>
      <c r="I18" s="352" t="n">
        <v>1</v>
      </c>
      <c r="J18" s="353" t="s">
        <v>289</v>
      </c>
      <c r="K18" s="367" t="str">
        <f aca="false">CONCATENATE(WORLDCUP!AA52,"-",WORLDCUP!AF52)</f>
        <v>Bélgica-Egipto</v>
      </c>
      <c r="L18" s="354"/>
      <c r="M18" s="359" t="str">
        <f aca="false">IF(OR(WORLDCUP!AC52="",WORLDCUP!AD52=""),"-",N18&amp;"|"&amp;O18&amp;"-"&amp;P18)</f>
        <v>X|1-1</v>
      </c>
      <c r="N18" s="332" t="str">
        <f aca="false">IF(OR(WORLDCUP!AC52="",WORLDCUP!AD52=""),"",IF(WORLDCUP!AC52&gt;WORLDCUP!AD52,"1",IF(WORLDCUP!AC52&lt;WORLDCUP!AD52,"2","X")))</f>
        <v>X</v>
      </c>
      <c r="O18" s="332" t="n">
        <f aca="false">WORLDCUP!AC52</f>
        <v>1</v>
      </c>
      <c r="P18" s="332" t="n">
        <f aca="false">WORLDCUP!AD52</f>
        <v>1</v>
      </c>
      <c r="Q18" s="332" t="n">
        <f aca="false">ABS(O18-P18)</f>
        <v>0</v>
      </c>
      <c r="R18" s="327"/>
      <c r="S18" s="363" t="s">
        <v>267</v>
      </c>
      <c r="T18" s="356" t="n">
        <f aca="false">IFERROR(IF($M18=S18,($D$8+$D$9+$D$10)*$I18,IF($N18=LEFT(S18,1),($D$8+MAX(0,IF($D$50=1,$D$9*(1-(ABS($Q18-ABS(VALUE(MID(S18,FIND("|",S18)+1,FIND("-",S18)-FIND("|",S18)-1))-VALUE(MID(S18,FIND("-",S18)+1,10)))))*$D$50),$D$9*(1-(IF($N18="X",ABS($O18-VALUE(MID(S18,FIND("|",S18)+1,FIND("-",S18)-FIND("|",S18)-1))),ABS($Q18-ABS(VALUE(MID(S18,FIND("|",S18)+1,FIND("-",S18)-FIND("|",S18)-1))-VALUE(MID(S18,FIND("-",S18)+1,10)))))*$D$50)))))*$I18,0)),0)</f>
        <v>17</v>
      </c>
      <c r="U18" s="338"/>
      <c r="V18" s="363" t="s">
        <v>264</v>
      </c>
      <c r="W18" s="356" t="n">
        <f aca="false">IFERROR(IF($M18=V18,($D$8+$D$9+$D$10)*$I18,IF($N18=LEFT(V18,1),($D$8+MAX(0,IF($D$50=1,$D$9*(1-(ABS($Q18-ABS(VALUE(MID(V18,FIND("|",V18)+1,FIND("-",V18)-FIND("|",V18)-1))-VALUE(MID(V18,FIND("-",V18)+1,10)))))*$D$50),$D$9*(1-(IF($N18="X",ABS($O18-VALUE(MID(V18,FIND("|",V18)+1,FIND("-",V18)-FIND("|",V18)-1))),ABS($Q18-ABS(VALUE(MID(V18,FIND("|",V18)+1,FIND("-",V18)-FIND("|",V18)-1))-VALUE(MID(V18,FIND("-",V18)+1,10)))))*$D$50)))))*$I18,0)),0)</f>
        <v>0</v>
      </c>
      <c r="X18" s="338"/>
      <c r="Y18" s="363" t="s">
        <v>264</v>
      </c>
      <c r="Z18" s="356" t="n">
        <f aca="false">IFERROR(IF($M18=Y18,($D$8+$D$9+$D$10)*$I18,IF($N18=LEFT(Y18,1),($D$8+MAX(0,IF($D$50=1,$D$9*(1-(ABS($Q18-ABS(VALUE(MID(Y18,FIND("|",Y18)+1,FIND("-",Y18)-FIND("|",Y18)-1))-VALUE(MID(Y18,FIND("-",Y18)+1,10)))))*$D$50),$D$9*(1-(IF($N18="X",ABS($O18-VALUE(MID(Y18,FIND("|",Y18)+1,FIND("-",Y18)-FIND("|",Y18)-1))),ABS($Q18-ABS(VALUE(MID(Y18,FIND("|",Y18)+1,FIND("-",Y18)-FIND("|",Y18)-1))-VALUE(MID(Y18,FIND("-",Y18)+1,10)))))*$D$50)))))*$I18,0)),0)</f>
        <v>0</v>
      </c>
      <c r="AA18" s="338"/>
      <c r="AB18" s="363" t="s">
        <v>266</v>
      </c>
      <c r="AC18" s="356" t="n">
        <f aca="false">IFERROR(IF($M18=AB18,($D$8+$D$9+$D$10)*$I18,IF($N18=LEFT(AB18,1),($D$8+MAX(0,IF($D$50=1,$D$9*(1-(ABS($Q18-ABS(VALUE(MID(AB18,FIND("|",AB18)+1,FIND("-",AB18)-FIND("|",AB18)-1))-VALUE(MID(AB18,FIND("-",AB18)+1,10)))))*$D$50),$D$9*(1-(IF($N18="X",ABS($O18-VALUE(MID(AB18,FIND("|",AB18)+1,FIND("-",AB18)-FIND("|",AB18)-1))),ABS($Q18-ABS(VALUE(MID(AB18,FIND("|",AB18)+1,FIND("-",AB18)-FIND("|",AB18)-1))-VALUE(MID(AB18,FIND("-",AB18)+1,10)))))*$D$50)))))*$I18,0)),0)</f>
        <v>0</v>
      </c>
      <c r="AD18" s="338"/>
      <c r="AE18" s="363" t="s">
        <v>266</v>
      </c>
      <c r="AF18" s="356" t="n">
        <f aca="false">IFERROR(IF($M18=AE18,($D$8+$D$9+$D$10)*$I18,IF($N18=LEFT(AE18,1),($D$8+MAX(0,IF($D$50=1,$D$9*(1-(ABS($Q18-ABS(VALUE(MID(AE18,FIND("|",AE18)+1,FIND("-",AE18)-FIND("|",AE18)-1))-VALUE(MID(AE18,FIND("-",AE18)+1,10)))))*$D$50),$D$9*(1-(IF($N18="X",ABS($O18-VALUE(MID(AE18,FIND("|",AE18)+1,FIND("-",AE18)-FIND("|",AE18)-1))),ABS($Q18-ABS(VALUE(MID(AE18,FIND("|",AE18)+1,FIND("-",AE18)-FIND("|",AE18)-1))-VALUE(MID(AE18,FIND("-",AE18)+1,10)))))*$D$50)))))*$I18,0)),0)</f>
        <v>0</v>
      </c>
      <c r="AG18" s="338"/>
      <c r="AH18" s="363" t="s">
        <v>266</v>
      </c>
      <c r="AI18" s="356" t="n">
        <f aca="false">IFERROR(IF($M18=AH18,($D$8+$D$9+$D$10)*$I18,IF($N18=LEFT(AH18,1),($D$8+MAX(0,IF($D$50=1,$D$9*(1-(ABS($Q18-ABS(VALUE(MID(AH18,FIND("|",AH18)+1,FIND("-",AH18)-FIND("|",AH18)-1))-VALUE(MID(AH18,FIND("-",AH18)+1,10)))))*$D$50),$D$9*(1-(IF($N18="X",ABS($O18-VALUE(MID(AH18,FIND("|",AH18)+1,FIND("-",AH18)-FIND("|",AH18)-1))),ABS($Q18-ABS(VALUE(MID(AH18,FIND("|",AH18)+1,FIND("-",AH18)-FIND("|",AH18)-1))-VALUE(MID(AH18,FIND("-",AH18)+1,10)))))*$D$50)))))*$I18,0)),0)</f>
        <v>0</v>
      </c>
      <c r="AJ18" s="338"/>
      <c r="AK18" s="363" t="s">
        <v>264</v>
      </c>
      <c r="AL18" s="356" t="n">
        <f aca="false">IFERROR(IF($M18=AK18,($D$8+$D$9+$D$10)*$I18,IF($N18=LEFT(AK18,1),($D$8+MAX(0,IF($D$50=1,$D$9*(1-(ABS($Q18-ABS(VALUE(MID(AK18,FIND("|",AK18)+1,FIND("-",AK18)-FIND("|",AK18)-1))-VALUE(MID(AK18,FIND("-",AK18)+1,10)))))*$D$50),$D$9*(1-(IF($N18="X",ABS($O18-VALUE(MID(AK18,FIND("|",AK18)+1,FIND("-",AK18)-FIND("|",AK18)-1))),ABS($Q18-ABS(VALUE(MID(AK18,FIND("|",AK18)+1,FIND("-",AK18)-FIND("|",AK18)-1))-VALUE(MID(AK18,FIND("-",AK18)+1,10)))))*$D$50)))))*$I18,0)),0)</f>
        <v>0</v>
      </c>
      <c r="AM18" s="338"/>
      <c r="AN18" s="363" t="s">
        <v>266</v>
      </c>
      <c r="AO18" s="356" t="n">
        <f aca="false">IFERROR(IF($M18=AN18,($D$8+$D$9+$D$10)*$I18,IF($N18=LEFT(AN18,1),($D$8+MAX(0,IF($D$50=1,$D$9*(1-(ABS($Q18-ABS(VALUE(MID(AN18,FIND("|",AN18)+1,FIND("-",AN18)-FIND("|",AN18)-1))-VALUE(MID(AN18,FIND("-",AN18)+1,10)))))*$D$50),$D$9*(1-(IF($N18="X",ABS($O18-VALUE(MID(AN18,FIND("|",AN18)+1,FIND("-",AN18)-FIND("|",AN18)-1))),ABS($Q18-ABS(VALUE(MID(AN18,FIND("|",AN18)+1,FIND("-",AN18)-FIND("|",AN18)-1))-VALUE(MID(AN18,FIND("-",AN18)+1,10)))))*$D$50)))))*$I18,0)),0)</f>
        <v>0</v>
      </c>
      <c r="AP18" s="338"/>
      <c r="AQ18" s="363" t="s">
        <v>264</v>
      </c>
      <c r="AR18" s="356" t="n">
        <f aca="false">IFERROR(IF($M18=AQ18,($D$8+$D$9+$D$10)*$I18,IF($N18=LEFT(AQ18,1),($D$8+MAX(0,IF($D$50=1,$D$9*(1-(ABS($Q18-ABS(VALUE(MID(AQ18,FIND("|",AQ18)+1,FIND("-",AQ18)-FIND("|",AQ18)-1))-VALUE(MID(AQ18,FIND("-",AQ18)+1,10)))))*$D$50),$D$9*(1-(IF($N18="X",ABS($O18-VALUE(MID(AQ18,FIND("|",AQ18)+1,FIND("-",AQ18)-FIND("|",AQ18)-1))),ABS($Q18-ABS(VALUE(MID(AQ18,FIND("|",AQ18)+1,FIND("-",AQ18)-FIND("|",AQ18)-1))-VALUE(MID(AQ18,FIND("-",AQ18)+1,10)))))*$D$50)))))*$I18,0)),0)</f>
        <v>0</v>
      </c>
      <c r="AS18" s="338"/>
      <c r="AT18" s="363" t="s">
        <v>266</v>
      </c>
      <c r="AU18" s="356" t="n">
        <f aca="false">IFERROR(IF($M18=AT18,($D$8+$D$9+$D$10)*$I18,IF($N18=LEFT(AT18,1),($D$8+MAX(0,IF($D$50=1,$D$9*(1-(ABS($Q18-ABS(VALUE(MID(AT18,FIND("|",AT18)+1,FIND("-",AT18)-FIND("|",AT18)-1))-VALUE(MID(AT18,FIND("-",AT18)+1,10)))))*$D$50),$D$9*(1-(IF($N18="X",ABS($O18-VALUE(MID(AT18,FIND("|",AT18)+1,FIND("-",AT18)-FIND("|",AT18)-1))),ABS($Q18-ABS(VALUE(MID(AT18,FIND("|",AT18)+1,FIND("-",AT18)-FIND("|",AT18)-1))-VALUE(MID(AT18,FIND("-",AT18)+1,10)))))*$D$50)))))*$I18,0)),0)</f>
        <v>0</v>
      </c>
      <c r="AV18" s="338"/>
      <c r="AW18" s="363" t="s">
        <v>266</v>
      </c>
      <c r="AX18" s="356" t="n">
        <f aca="false">IFERROR(IF($M18=AW18,($D$8+$D$9+$D$10)*$I18,IF($N18=LEFT(AW18,1),($D$8+MAX(0,IF($D$50=1,$D$9*(1-(ABS($Q18-ABS(VALUE(MID(AW18,FIND("|",AW18)+1,FIND("-",AW18)-FIND("|",AW18)-1))-VALUE(MID(AW18,FIND("-",AW18)+1,10)))))*$D$50),$D$9*(1-(IF($N18="X",ABS($O18-VALUE(MID(AW18,FIND("|",AW18)+1,FIND("-",AW18)-FIND("|",AW18)-1))),ABS($Q18-ABS(VALUE(MID(AW18,FIND("|",AW18)+1,FIND("-",AW18)-FIND("|",AW18)-1))-VALUE(MID(AW18,FIND("-",AW18)+1,10)))))*$D$50)))))*$I18,0)),0)</f>
        <v>0</v>
      </c>
      <c r="AY18" s="338"/>
      <c r="AZ18" s="363" t="s">
        <v>266</v>
      </c>
      <c r="BA18" s="356" t="n">
        <f aca="false">IFERROR(IF($M18=AZ18,($D$8+$D$9+$D$10)*$I18,IF($N18=LEFT(AZ18,1),($D$8+MAX(0,IF($D$50=1,$D$9*(1-(ABS($Q18-ABS(VALUE(MID(AZ18,FIND("|",AZ18)+1,FIND("-",AZ18)-FIND("|",AZ18)-1))-VALUE(MID(AZ18,FIND("-",AZ18)+1,10)))))*$D$50),$D$9*(1-(IF($N18="X",ABS($O18-VALUE(MID(AZ18,FIND("|",AZ18)+1,FIND("-",AZ18)-FIND("|",AZ18)-1))),ABS($Q18-ABS(VALUE(MID(AZ18,FIND("|",AZ18)+1,FIND("-",AZ18)-FIND("|",AZ18)-1))-VALUE(MID(AZ18,FIND("-",AZ18)+1,10)))))*$D$50)))))*$I18,0)),0)</f>
        <v>0</v>
      </c>
      <c r="BB18" s="338"/>
      <c r="BC18" s="363" t="s">
        <v>264</v>
      </c>
      <c r="BD18" s="356" t="n">
        <f aca="false">IFERROR(IF($M18=BC18,($D$8+$D$9+$D$10)*$I18,IF($N18=LEFT(BC18,1),($D$8+MAX(0,IF($D$50=1,$D$9*(1-(ABS($Q18-ABS(VALUE(MID(BC18,FIND("|",BC18)+1,FIND("-",BC18)-FIND("|",BC18)-1))-VALUE(MID(BC18,FIND("-",BC18)+1,10)))))*$D$50),$D$9*(1-(IF($N18="X",ABS($O18-VALUE(MID(BC18,FIND("|",BC18)+1,FIND("-",BC18)-FIND("|",BC18)-1))),ABS($Q18-ABS(VALUE(MID(BC18,FIND("|",BC18)+1,FIND("-",BC18)-FIND("|",BC18)-1))-VALUE(MID(BC18,FIND("-",BC18)+1,10)))))*$D$50)))))*$I18,0)),0)</f>
        <v>0</v>
      </c>
      <c r="BE18" s="338"/>
      <c r="BF18" s="363" t="s">
        <v>283</v>
      </c>
      <c r="BG18" s="356" t="n">
        <f aca="false">IFERROR(IF($M18=BF18,($D$8+$D$9+$D$10)*$I18,IF($N18=LEFT(BF18,1),($D$8+MAX(0,IF($D$50=1,$D$9*(1-(ABS($Q18-ABS(VALUE(MID(BF18,FIND("|",BF18)+1,FIND("-",BF18)-FIND("|",BF18)-1))-VALUE(MID(BF18,FIND("-",BF18)+1,10)))))*$D$50),$D$9*(1-(IF($N18="X",ABS($O18-VALUE(MID(BF18,FIND("|",BF18)+1,FIND("-",BF18)-FIND("|",BF18)-1))),ABS($Q18-ABS(VALUE(MID(BF18,FIND("|",BF18)+1,FIND("-",BF18)-FIND("|",BF18)-1))-VALUE(MID(BF18,FIND("-",BF18)+1,10)))))*$D$50)))))*$I18,0)),0)</f>
        <v>0</v>
      </c>
      <c r="BH18" s="338"/>
      <c r="BI18" s="363" t="s">
        <v>265</v>
      </c>
      <c r="BJ18" s="356" t="n">
        <f aca="false">IFERROR(IF($M18=BI18,($D$8+$D$9+$D$10)*$I18,IF($N18=LEFT(BI18,1),($D$8+MAX(0,IF($D$50=1,$D$9*(1-(ABS($Q18-ABS(VALUE(MID(BI18,FIND("|",BI18)+1,FIND("-",BI18)-FIND("|",BI18)-1))-VALUE(MID(BI18,FIND("-",BI18)+1,10)))))*$D$50),$D$9*(1-(IF($N18="X",ABS($O18-VALUE(MID(BI18,FIND("|",BI18)+1,FIND("-",BI18)-FIND("|",BI18)-1))),ABS($Q18-ABS(VALUE(MID(BI18,FIND("|",BI18)+1,FIND("-",BI18)-FIND("|",BI18)-1))-VALUE(MID(BI18,FIND("-",BI18)+1,10)))))*$D$50)))))*$I18,0)),0)</f>
        <v>0</v>
      </c>
      <c r="BK18" s="338"/>
      <c r="BL18" s="363" t="s">
        <v>266</v>
      </c>
      <c r="BM18" s="356" t="n">
        <f aca="false">IFERROR(IF($M18=BL18,($D$8+$D$9+$D$10)*$I18,IF($N18=LEFT(BL18,1),($D$8+MAX(0,IF($D$50=1,$D$9*(1-(ABS($Q18-ABS(VALUE(MID(BL18,FIND("|",BL18)+1,FIND("-",BL18)-FIND("|",BL18)-1))-VALUE(MID(BL18,FIND("-",BL18)+1,10)))))*$D$50),$D$9*(1-(IF($N18="X",ABS($O18-VALUE(MID(BL18,FIND("|",BL18)+1,FIND("-",BL18)-FIND("|",BL18)-1))),ABS($Q18-ABS(VALUE(MID(BL18,FIND("|",BL18)+1,FIND("-",BL18)-FIND("|",BL18)-1))-VALUE(MID(BL18,FIND("-",BL18)+1,10)))))*$D$50)))))*$I18,0)),0)</f>
        <v>0</v>
      </c>
      <c r="BN18" s="338"/>
      <c r="BO18" s="363" t="s">
        <v>288</v>
      </c>
      <c r="BP18" s="356" t="n">
        <f aca="false">IFERROR(IF($M18=BO18,($D$8+$D$9+$D$10)*$I18,IF($N18=LEFT(BO18,1),($D$8+MAX(0,IF($D$50=1,$D$9*(1-(ABS($Q18-ABS(VALUE(MID(BO18,FIND("|",BO18)+1,FIND("-",BO18)-FIND("|",BO18)-1))-VALUE(MID(BO18,FIND("-",BO18)+1,10)))))*$D$50),$D$9*(1-(IF($N18="X",ABS($O18-VALUE(MID(BO18,FIND("|",BO18)+1,FIND("-",BO18)-FIND("|",BO18)-1))),ABS($Q18-ABS(VALUE(MID(BO18,FIND("|",BO18)+1,FIND("-",BO18)-FIND("|",BO18)-1))-VALUE(MID(BO18,FIND("-",BO18)+1,10)))))*$D$50)))))*$I18,0)),0)</f>
        <v>0</v>
      </c>
      <c r="BQ18" s="338"/>
      <c r="BR18" s="363" t="s">
        <v>266</v>
      </c>
      <c r="BS18" s="356" t="n">
        <f aca="false">IFERROR(IF($M18=BR18,($D$8+$D$9+$D$10)*$I18,IF($N18=LEFT(BR18,1),($D$8+MAX(0,IF($D$50=1,$D$9*(1-(ABS($Q18-ABS(VALUE(MID(BR18,FIND("|",BR18)+1,FIND("-",BR18)-FIND("|",BR18)-1))-VALUE(MID(BR18,FIND("-",BR18)+1,10)))))*$D$50),$D$9*(1-(IF($N18="X",ABS($O18-VALUE(MID(BR18,FIND("|",BR18)+1,FIND("-",BR18)-FIND("|",BR18)-1))),ABS($Q18-ABS(VALUE(MID(BR18,FIND("|",BR18)+1,FIND("-",BR18)-FIND("|",BR18)-1))-VALUE(MID(BR18,FIND("-",BR18)+1,10)))))*$D$50)))))*$I18,0)),0)</f>
        <v>0</v>
      </c>
      <c r="BT18" s="338"/>
      <c r="BU18" s="363"/>
      <c r="BV18" s="356" t="n">
        <f aca="false">IFERROR(IF($M18=BU18,($D$8+$D$9+$D$10)*$I18,IF($N18=LEFT(BU18,1),($D$8+MAX(0,IF($D$50=1,$D$9*(1-(ABS($Q18-ABS(VALUE(MID(BU18,FIND("|",BU18)+1,FIND("-",BU18)-FIND("|",BU18)-1))-VALUE(MID(BU18,FIND("-",BU18)+1,10)))))*$D$50),$D$9*(1-(IF($N18="X",ABS($O18-VALUE(MID(BU18,FIND("|",BU18)+1,FIND("-",BU18)-FIND("|",BU18)-1))),ABS($Q18-ABS(VALUE(MID(BU18,FIND("|",BU18)+1,FIND("-",BU18)-FIND("|",BU18)-1))-VALUE(MID(BU18,FIND("-",BU18)+1,10)))))*$D$50)))))*$I18,0)),0)</f>
        <v>0</v>
      </c>
      <c r="BW18" s="338"/>
      <c r="BX18" s="363"/>
      <c r="BY18" s="356" t="n">
        <f aca="false">IFERROR(IF($M18=BX18,($D$8+$D$9+$D$10)*$I18,IF($N18=LEFT(BX18,1),($D$8+MAX(0,IF($D$50=1,$D$9*(1-(ABS($Q18-ABS(VALUE(MID(BX18,FIND("|",BX18)+1,FIND("-",BX18)-FIND("|",BX18)-1))-VALUE(MID(BX18,FIND("-",BX18)+1,10)))))*$D$50),$D$9*(1-(IF($N18="X",ABS($O18-VALUE(MID(BX18,FIND("|",BX18)+1,FIND("-",BX18)-FIND("|",BX18)-1))),ABS($Q18-ABS(VALUE(MID(BX18,FIND("|",BX18)+1,FIND("-",BX18)-FIND("|",BX18)-1))-VALUE(MID(BX18,FIND("-",BX18)+1,10)))))*$D$50)))))*$I18,0)),0)</f>
        <v>0</v>
      </c>
      <c r="BZ18" s="338"/>
      <c r="CA18" s="363"/>
      <c r="CB18" s="356" t="n">
        <f aca="false">IFERROR(IF($M18=CA18,($D$8+$D$9+$D$10)*$I18,IF($N18=LEFT(CA18,1),($D$8+MAX(0,IF($D$50=1,$D$9*(1-(ABS($Q18-ABS(VALUE(MID(CA18,FIND("|",CA18)+1,FIND("-",CA18)-FIND("|",CA18)-1))-VALUE(MID(CA18,FIND("-",CA18)+1,10)))))*$D$50),$D$9*(1-(IF($N18="X",ABS($O18-VALUE(MID(CA18,FIND("|",CA18)+1,FIND("-",CA18)-FIND("|",CA18)-1))),ABS($Q18-ABS(VALUE(MID(CA18,FIND("|",CA18)+1,FIND("-",CA18)-FIND("|",CA18)-1))-VALUE(MID(CA18,FIND("-",CA18)+1,10)))))*$D$50)))))*$I18,0)),0)</f>
        <v>0</v>
      </c>
      <c r="CC18" s="338"/>
      <c r="CD18" s="363"/>
      <c r="CE18" s="356" t="n">
        <f aca="false">IFERROR(IF($M18=CD18,($D$8+$D$9+$D$10)*$I18,IF($N18=LEFT(CD18,1),($D$8+MAX(0,IF($D$50=1,$D$9*(1-(ABS($Q18-ABS(VALUE(MID(CD18,FIND("|",CD18)+1,FIND("-",CD18)-FIND("|",CD18)-1))-VALUE(MID(CD18,FIND("-",CD18)+1,10)))))*$D$50),$D$9*(1-(IF($N18="X",ABS($O18-VALUE(MID(CD18,FIND("|",CD18)+1,FIND("-",CD18)-FIND("|",CD18)-1))),ABS($Q18-ABS(VALUE(MID(CD18,FIND("|",CD18)+1,FIND("-",CD18)-FIND("|",CD18)-1))-VALUE(MID(CD18,FIND("-",CD18)+1,10)))))*$D$50)))))*$I18,0)),0)</f>
        <v>0</v>
      </c>
      <c r="CF18" s="338"/>
      <c r="CG18" s="363"/>
      <c r="CH18" s="356" t="n">
        <f aca="false">IFERROR(IF($M18=CG18,($D$8+$D$9+$D$10)*$I18,IF($N18=LEFT(CG18,1),($D$8+MAX(0,IF($D$50=1,$D$9*(1-(ABS($Q18-ABS(VALUE(MID(CG18,FIND("|",CG18)+1,FIND("-",CG18)-FIND("|",CG18)-1))-VALUE(MID(CG18,FIND("-",CG18)+1,10)))))*$D$50),$D$9*(1-(IF($N18="X",ABS($O18-VALUE(MID(CG18,FIND("|",CG18)+1,FIND("-",CG18)-FIND("|",CG18)-1))),ABS($Q18-ABS(VALUE(MID(CG18,FIND("|",CG18)+1,FIND("-",CG18)-FIND("|",CG18)-1))-VALUE(MID(CG18,FIND("-",CG18)+1,10)))))*$D$50)))))*$I18,0)),0)</f>
        <v>0</v>
      </c>
      <c r="CI18" s="338"/>
      <c r="CJ18" s="363"/>
      <c r="CK18" s="356" t="n">
        <f aca="false">IFERROR(IF($M18=CJ18,($D$8+$D$9+$D$10)*$I18,IF($N18=LEFT(CJ18,1),($D$8+MAX(0,IF($D$50=1,$D$9*(1-(ABS($Q18-ABS(VALUE(MID(CJ18,FIND("|",CJ18)+1,FIND("-",CJ18)-FIND("|",CJ18)-1))-VALUE(MID(CJ18,FIND("-",CJ18)+1,10)))))*$D$50),$D$9*(1-(IF($N18="X",ABS($O18-VALUE(MID(CJ18,FIND("|",CJ18)+1,FIND("-",CJ18)-FIND("|",CJ18)-1))),ABS($Q18-ABS(VALUE(MID(CJ18,FIND("|",CJ18)+1,FIND("-",CJ18)-FIND("|",CJ18)-1))-VALUE(MID(CJ18,FIND("-",CJ18)+1,10)))))*$D$50)))))*$I18,0)),0)</f>
        <v>0</v>
      </c>
      <c r="CL18" s="338"/>
      <c r="CM18" s="363"/>
      <c r="CN18" s="356" t="n">
        <f aca="false">IFERROR(IF($M18=CM18,($D$8+$D$9+$D$10)*$I18,IF($N18=LEFT(CM18,1),($D$8+MAX(0,IF($D$50=1,$D$9*(1-(ABS($Q18-ABS(VALUE(MID(CM18,FIND("|",CM18)+1,FIND("-",CM18)-FIND("|",CM18)-1))-VALUE(MID(CM18,FIND("-",CM18)+1,10)))))*$D$50),$D$9*(1-(IF($N18="X",ABS($O18-VALUE(MID(CM18,FIND("|",CM18)+1,FIND("-",CM18)-FIND("|",CM18)-1))),ABS($Q18-ABS(VALUE(MID(CM18,FIND("|",CM18)+1,FIND("-",CM18)-FIND("|",CM18)-1))-VALUE(MID(CM18,FIND("-",CM18)+1,10)))))*$D$50)))))*$I18,0)),0)</f>
        <v>0</v>
      </c>
      <c r="CO18" s="338"/>
      <c r="CP18" s="363"/>
      <c r="CQ18" s="356" t="n">
        <f aca="false">IFERROR(IF($M18=CP18,($D$8+$D$9+$D$10)*$I18,IF($N18=LEFT(CP18,1),($D$8+MAX(0,IF($D$50=1,$D$9*(1-(ABS($Q18-ABS(VALUE(MID(CP18,FIND("|",CP18)+1,FIND("-",CP18)-FIND("|",CP18)-1))-VALUE(MID(CP18,FIND("-",CP18)+1,10)))))*$D$50),$D$9*(1-(IF($N18="X",ABS($O18-VALUE(MID(CP18,FIND("|",CP18)+1,FIND("-",CP18)-FIND("|",CP18)-1))),ABS($Q18-ABS(VALUE(MID(CP18,FIND("|",CP18)+1,FIND("-",CP18)-FIND("|",CP18)-1))-VALUE(MID(CP18,FIND("-",CP18)+1,10)))))*$D$50)))))*$I18,0)),0)</f>
        <v>0</v>
      </c>
      <c r="CR18" s="338"/>
      <c r="CS18" s="363"/>
      <c r="CT18" s="356" t="n">
        <f aca="false">IFERROR(IF($M18=CS18,($D$8+$D$9+$D$10)*$I18,IF($N18=LEFT(CS18,1),($D$8+MAX(0,IF($D$50=1,$D$9*(1-(ABS($Q18-ABS(VALUE(MID(CS18,FIND("|",CS18)+1,FIND("-",CS18)-FIND("|",CS18)-1))-VALUE(MID(CS18,FIND("-",CS18)+1,10)))))*$D$50),$D$9*(1-(IF($N18="X",ABS($O18-VALUE(MID(CS18,FIND("|",CS18)+1,FIND("-",CS18)-FIND("|",CS18)-1))),ABS($Q18-ABS(VALUE(MID(CS18,FIND("|",CS18)+1,FIND("-",CS18)-FIND("|",CS18)-1))-VALUE(MID(CS18,FIND("-",CS18)+1,10)))))*$D$50)))))*$I18,0)),0)</f>
        <v>0</v>
      </c>
      <c r="CU18" s="338"/>
      <c r="CV18" s="363"/>
      <c r="CW18" s="356" t="n">
        <f aca="false">IFERROR(IF($M18=CV18,($D$8+$D$9+$D$10)*$I18,IF($N18=LEFT(CV18,1),($D$8+MAX(0,IF($D$50=1,$D$9*(1-(ABS($Q18-ABS(VALUE(MID(CV18,FIND("|",CV18)+1,FIND("-",CV18)-FIND("|",CV18)-1))-VALUE(MID(CV18,FIND("-",CV18)+1,10)))))*$D$50),$D$9*(1-(IF($N18="X",ABS($O18-VALUE(MID(CV18,FIND("|",CV18)+1,FIND("-",CV18)-FIND("|",CV18)-1))),ABS($Q18-ABS(VALUE(MID(CV18,FIND("|",CV18)+1,FIND("-",CV18)-FIND("|",CV18)-1))-VALUE(MID(CV18,FIND("-",CV18)+1,10)))))*$D$50)))))*$I18,0)),0)</f>
        <v>0</v>
      </c>
      <c r="CX18" s="338"/>
      <c r="CY18" s="363"/>
      <c r="CZ18" s="356" t="n">
        <f aca="false">IFERROR(IF($M18=CY18,($D$8+$D$9+$D$10)*$I18,IF($N18=LEFT(CY18,1),($D$8+MAX(0,IF($D$50=1,$D$9*(1-(ABS($Q18-ABS(VALUE(MID(CY18,FIND("|",CY18)+1,FIND("-",CY18)-FIND("|",CY18)-1))-VALUE(MID(CY18,FIND("-",CY18)+1,10)))))*$D$50),$D$9*(1-(IF($N18="X",ABS($O18-VALUE(MID(CY18,FIND("|",CY18)+1,FIND("-",CY18)-FIND("|",CY18)-1))),ABS($Q18-ABS(VALUE(MID(CY18,FIND("|",CY18)+1,FIND("-",CY18)-FIND("|",CY18)-1))-VALUE(MID(CY18,FIND("-",CY18)+1,10)))))*$D$50)))))*$I18,0)),0)</f>
        <v>0</v>
      </c>
      <c r="DA18" s="338"/>
      <c r="DB18" s="363"/>
      <c r="DC18" s="356" t="n">
        <f aca="false">IFERROR(IF($M18=DB18,($D$8+$D$9+$D$10)*$I18,IF($N18=LEFT(DB18,1),($D$8+MAX(0,IF($D$50=1,$D$9*(1-(ABS($Q18-ABS(VALUE(MID(DB18,FIND("|",DB18)+1,FIND("-",DB18)-FIND("|",DB18)-1))-VALUE(MID(DB18,FIND("-",DB18)+1,10)))))*$D$50),$D$9*(1-(IF($N18="X",ABS($O18-VALUE(MID(DB18,FIND("|",DB18)+1,FIND("-",DB18)-FIND("|",DB18)-1))),ABS($Q18-ABS(VALUE(MID(DB18,FIND("|",DB18)+1,FIND("-",DB18)-FIND("|",DB18)-1))-VALUE(MID(DB18,FIND("-",DB18)+1,10)))))*$D$50)))))*$I18,0)),0)</f>
        <v>0</v>
      </c>
      <c r="DD18" s="338"/>
      <c r="DE18" s="363"/>
      <c r="DF18" s="356" t="n">
        <f aca="false">IFERROR(IF($M18=DE18,($D$8+$D$9+$D$10)*$I18,IF($N18=LEFT(DE18,1),($D$8+MAX(0,IF($D$50=1,$D$9*(1-(ABS($Q18-ABS(VALUE(MID(DE18,FIND("|",DE18)+1,FIND("-",DE18)-FIND("|",DE18)-1))-VALUE(MID(DE18,FIND("-",DE18)+1,10)))))*$D$50),$D$9*(1-(IF($N18="X",ABS($O18-VALUE(MID(DE18,FIND("|",DE18)+1,FIND("-",DE18)-FIND("|",DE18)-1))),ABS($Q18-ABS(VALUE(MID(DE18,FIND("|",DE18)+1,FIND("-",DE18)-FIND("|",DE18)-1))-VALUE(MID(DE18,FIND("-",DE18)+1,10)))))*$D$50)))))*$I18,0)),0)</f>
        <v>0</v>
      </c>
      <c r="DG18" s="338"/>
      <c r="DH18" s="363"/>
      <c r="DI18" s="356" t="n">
        <f aca="false">IFERROR(IF($M18=DH18,($D$8+$D$9+$D$10)*$I18,IF($N18=LEFT(DH18,1),($D$8+MAX(0,IF($D$50=1,$D$9*(1-(ABS($Q18-ABS(VALUE(MID(DH18,FIND("|",DH18)+1,FIND("-",DH18)-FIND("|",DH18)-1))-VALUE(MID(DH18,FIND("-",DH18)+1,10)))))*$D$50),$D$9*(1-(IF($N18="X",ABS($O18-VALUE(MID(DH18,FIND("|",DH18)+1,FIND("-",DH18)-FIND("|",DH18)-1))),ABS($Q18-ABS(VALUE(MID(DH18,FIND("|",DH18)+1,FIND("-",DH18)-FIND("|",DH18)-1))-VALUE(MID(DH18,FIND("-",DH18)+1,10)))))*$D$50)))))*$I18,0)),0)</f>
        <v>0</v>
      </c>
      <c r="DJ18" s="338"/>
      <c r="DK18" s="363"/>
      <c r="DL18" s="356" t="n">
        <f aca="false">IFERROR(IF($M18=DK18,($D$8+$D$9+$D$10)*$I18,IF($N18=LEFT(DK18,1),($D$8+MAX(0,IF($D$50=1,$D$9*(1-(ABS($Q18-ABS(VALUE(MID(DK18,FIND("|",DK18)+1,FIND("-",DK18)-FIND("|",DK18)-1))-VALUE(MID(DK18,FIND("-",DK18)+1,10)))))*$D$50),$D$9*(1-(IF($N18="X",ABS($O18-VALUE(MID(DK18,FIND("|",DK18)+1,FIND("-",DK18)-FIND("|",DK18)-1))),ABS($Q18-ABS(VALUE(MID(DK18,FIND("|",DK18)+1,FIND("-",DK18)-FIND("|",DK18)-1))-VALUE(MID(DK18,FIND("-",DK18)+1,10)))))*$D$50)))))*$I18,0)),0)</f>
        <v>0</v>
      </c>
      <c r="DM18" s="338"/>
      <c r="DN18" s="363"/>
      <c r="DO18" s="356" t="n">
        <f aca="false">IFERROR(IF($M18=DN18,($D$8+$D$9+$D$10)*$I18,IF($N18=LEFT(DN18,1),($D$8+MAX(0,IF($D$50=1,$D$9*(1-(ABS($Q18-ABS(VALUE(MID(DN18,FIND("|",DN18)+1,FIND("-",DN18)-FIND("|",DN18)-1))-VALUE(MID(DN18,FIND("-",DN18)+1,10)))))*$D$50),$D$9*(1-(IF($N18="X",ABS($O18-VALUE(MID(DN18,FIND("|",DN18)+1,FIND("-",DN18)-FIND("|",DN18)-1))),ABS($Q18-ABS(VALUE(MID(DN18,FIND("|",DN18)+1,FIND("-",DN18)-FIND("|",DN18)-1))-VALUE(MID(DN18,FIND("-",DN18)+1,10)))))*$D$50)))))*$I18,0)),0)</f>
        <v>0</v>
      </c>
      <c r="DP18" s="338"/>
      <c r="DQ18" s="363"/>
      <c r="DR18" s="356" t="n">
        <f aca="false">IFERROR(IF($M18=DQ18,($D$8+$D$9+$D$10)*$I18,IF($N18=LEFT(DQ18,1),($D$8+MAX(0,IF($D$50=1,$D$9*(1-(ABS($Q18-ABS(VALUE(MID(DQ18,FIND("|",DQ18)+1,FIND("-",DQ18)-FIND("|",DQ18)-1))-VALUE(MID(DQ18,FIND("-",DQ18)+1,10)))))*$D$50),$D$9*(1-(IF($N18="X",ABS($O18-VALUE(MID(DQ18,FIND("|",DQ18)+1,FIND("-",DQ18)-FIND("|",DQ18)-1))),ABS($Q18-ABS(VALUE(MID(DQ18,FIND("|",DQ18)+1,FIND("-",DQ18)-FIND("|",DQ18)-1))-VALUE(MID(DQ18,FIND("-",DQ18)+1,10)))))*$D$50)))))*$I18,0)),0)</f>
        <v>0</v>
      </c>
      <c r="DS18" s="338"/>
      <c r="DT18" s="363"/>
      <c r="DU18" s="356" t="n">
        <f aca="false">IFERROR(IF($M18=DT18,($D$8+$D$9+$D$10)*$I18,IF($N18=LEFT(DT18,1),($D$8+MAX(0,IF($D$50=1,$D$9*(1-(ABS($Q18-ABS(VALUE(MID(DT18,FIND("|",DT18)+1,FIND("-",DT18)-FIND("|",DT18)-1))-VALUE(MID(DT18,FIND("-",DT18)+1,10)))))*$D$50),$D$9*(1-(IF($N18="X",ABS($O18-VALUE(MID(DT18,FIND("|",DT18)+1,FIND("-",DT18)-FIND("|",DT18)-1))),ABS($Q18-ABS(VALUE(MID(DT18,FIND("|",DT18)+1,FIND("-",DT18)-FIND("|",DT18)-1))-VALUE(MID(DT18,FIND("-",DT18)+1,10)))))*$D$50)))))*$I18,0)),0)</f>
        <v>0</v>
      </c>
      <c r="DV18" s="338"/>
      <c r="DW18" s="363"/>
      <c r="DX18" s="356" t="n">
        <f aca="false">IFERROR(IF($M18=DW18,($D$8+$D$9+$D$10)*$I18,IF($N18=LEFT(DW18,1),($D$8+MAX(0,IF($D$50=1,$D$9*(1-(ABS($Q18-ABS(VALUE(MID(DW18,FIND("|",DW18)+1,FIND("-",DW18)-FIND("|",DW18)-1))-VALUE(MID(DW18,FIND("-",DW18)+1,10)))))*$D$50),$D$9*(1-(IF($N18="X",ABS($O18-VALUE(MID(DW18,FIND("|",DW18)+1,FIND("-",DW18)-FIND("|",DW18)-1))),ABS($Q18-ABS(VALUE(MID(DW18,FIND("|",DW18)+1,FIND("-",DW18)-FIND("|",DW18)-1))-VALUE(MID(DW18,FIND("-",DW18)+1,10)))))*$D$50)))))*$I18,0)),0)</f>
        <v>0</v>
      </c>
      <c r="DY18" s="338"/>
      <c r="DZ18" s="363"/>
      <c r="EA18" s="356" t="n">
        <f aca="false">IFERROR(IF($M18=DZ18,($D$8+$D$9+$D$10)*$I18,IF($N18=LEFT(DZ18,1),($D$8+MAX(0,IF($D$50=1,$D$9*(1-(ABS($Q18-ABS(VALUE(MID(DZ18,FIND("|",DZ18)+1,FIND("-",DZ18)-FIND("|",DZ18)-1))-VALUE(MID(DZ18,FIND("-",DZ18)+1,10)))))*$D$50),$D$9*(1-(IF($N18="X",ABS($O18-VALUE(MID(DZ18,FIND("|",DZ18)+1,FIND("-",DZ18)-FIND("|",DZ18)-1))),ABS($Q18-ABS(VALUE(MID(DZ18,FIND("|",DZ18)+1,FIND("-",DZ18)-FIND("|",DZ18)-1))-VALUE(MID(DZ18,FIND("-",DZ18)+1,10)))))*$D$50)))))*$I18,0)),0)</f>
        <v>0</v>
      </c>
      <c r="EB18" s="338"/>
      <c r="EC18" s="363"/>
      <c r="ED18" s="356" t="n">
        <f aca="false">IFERROR(IF($M18=EC18,($D$8+$D$9+$D$10)*$I18,IF($N18=LEFT(EC18,1),($D$8+MAX(0,IF($D$50=1,$D$9*(1-(ABS($Q18-ABS(VALUE(MID(EC18,FIND("|",EC18)+1,FIND("-",EC18)-FIND("|",EC18)-1))-VALUE(MID(EC18,FIND("-",EC18)+1,10)))))*$D$50),$D$9*(1-(IF($N18="X",ABS($O18-VALUE(MID(EC18,FIND("|",EC18)+1,FIND("-",EC18)-FIND("|",EC18)-1))),ABS($Q18-ABS(VALUE(MID(EC18,FIND("|",EC18)+1,FIND("-",EC18)-FIND("|",EC18)-1))-VALUE(MID(EC18,FIND("-",EC18)+1,10)))))*$D$50)))))*$I18,0)),0)</f>
        <v>0</v>
      </c>
      <c r="EE18" s="338"/>
      <c r="EF18" s="363"/>
      <c r="EG18" s="356" t="n">
        <f aca="false">IFERROR(IF($M18=EF18,($D$8+$D$9+$D$10)*$I18,IF($N18=LEFT(EF18,1),($D$8+MAX(0,IF($D$50=1,$D$9*(1-(ABS($Q18-ABS(VALUE(MID(EF18,FIND("|",EF18)+1,FIND("-",EF18)-FIND("|",EF18)-1))-VALUE(MID(EF18,FIND("-",EF18)+1,10)))))*$D$50),$D$9*(1-(IF($N18="X",ABS($O18-VALUE(MID(EF18,FIND("|",EF18)+1,FIND("-",EF18)-FIND("|",EF18)-1))),ABS($Q18-ABS(VALUE(MID(EF18,FIND("|",EF18)+1,FIND("-",EF18)-FIND("|",EF18)-1))-VALUE(MID(EF18,FIND("-",EF18)+1,10)))))*$D$50)))))*$I18,0)),0)</f>
        <v>0</v>
      </c>
      <c r="EH18" s="338"/>
      <c r="EI18" s="338"/>
    </row>
    <row r="19" customFormat="false" ht="15" hidden="false" customHeight="false" outlineLevel="0" collapsed="false">
      <c r="A19" s="327"/>
      <c r="B19" s="327"/>
      <c r="C19" s="368" t="str">
        <f aca="false">Idiomas!D315</f>
        <v>Equipo clasificado para OCTAVOS</v>
      </c>
      <c r="D19" s="369" t="n">
        <v>4</v>
      </c>
      <c r="E19" s="334"/>
      <c r="F19" s="343" t="n">
        <f aca="false">SUM($D$8:$D$10)*I19</f>
        <v>17</v>
      </c>
      <c r="G19" s="343" t="n">
        <f aca="false">VLOOKUP(H19,Equipos!$Q$1:$R$25,2,0)</f>
        <v>6</v>
      </c>
      <c r="H19" s="351" t="n">
        <f aca="false">TRUNC(INDEX(WORLDCUP!$X$4:$X$147,MATCH(ADMIN!K19,WORLDCUP!$DT$4:$DT$147,0))+INDEX(Horarios!$R$3:$R$86,MATCH(Horarios!$C$3,Horarios!$P$3:$P$86,0))/24)</f>
        <v>46189</v>
      </c>
      <c r="I19" s="352" t="n">
        <v>1</v>
      </c>
      <c r="J19" s="353" t="s">
        <v>289</v>
      </c>
      <c r="K19" s="354" t="str">
        <f aca="false">CONCATENATE(WORLDCUP!AA53,"-",WORLDCUP!AF53)</f>
        <v>Irán-Nueva Zelanda</v>
      </c>
      <c r="L19" s="354"/>
      <c r="M19" s="359" t="str">
        <f aca="false">IF(OR(WORLDCUP!AC53="",WORLDCUP!AD53=""),"-",N19&amp;"|"&amp;O19&amp;"-"&amp;P19)</f>
        <v>X|2-2</v>
      </c>
      <c r="N19" s="332" t="str">
        <f aca="false">IF(OR(WORLDCUP!AC53="",WORLDCUP!AD53=""),"",IF(WORLDCUP!AC53&gt;WORLDCUP!AD53,"1",IF(WORLDCUP!AC53&lt;WORLDCUP!AD53,"2","X")))</f>
        <v>X</v>
      </c>
      <c r="O19" s="332" t="n">
        <f aca="false">WORLDCUP!AC53</f>
        <v>2</v>
      </c>
      <c r="P19" s="332" t="n">
        <f aca="false">WORLDCUP!AD53</f>
        <v>2</v>
      </c>
      <c r="Q19" s="332" t="n">
        <f aca="false">ABS(O19-P19)</f>
        <v>0</v>
      </c>
      <c r="R19" s="327"/>
      <c r="S19" s="363" t="s">
        <v>267</v>
      </c>
      <c r="T19" s="356" t="n">
        <f aca="false">IFERROR(IF($M19=S19,($D$8+$D$9+$D$10)*$I19,IF($N19=LEFT(S19,1),($D$8+MAX(0,IF($D$50=1,$D$9*(1-(ABS($Q19-ABS(VALUE(MID(S19,FIND("|",S19)+1,FIND("-",S19)-FIND("|",S19)-1))-VALUE(MID(S19,FIND("-",S19)+1,10)))))*$D$50),$D$9*(1-(IF($N19="X",ABS($O19-VALUE(MID(S19,FIND("|",S19)+1,FIND("-",S19)-FIND("|",S19)-1))),ABS($Q19-ABS(VALUE(MID(S19,FIND("|",S19)+1,FIND("-",S19)-FIND("|",S19)-1))-VALUE(MID(S19,FIND("-",S19)+1,10)))))*$D$50)))))*$I19,0)),0)</f>
        <v>7</v>
      </c>
      <c r="U19" s="338"/>
      <c r="V19" s="363" t="s">
        <v>265</v>
      </c>
      <c r="W19" s="356" t="n">
        <f aca="false">IFERROR(IF($M19=V19,($D$8+$D$9+$D$10)*$I19,IF($N19=LEFT(V19,1),($D$8+MAX(0,IF($D$50=1,$D$9*(1-(ABS($Q19-ABS(VALUE(MID(V19,FIND("|",V19)+1,FIND("-",V19)-FIND("|",V19)-1))-VALUE(MID(V19,FIND("-",V19)+1,10)))))*$D$50),$D$9*(1-(IF($N19="X",ABS($O19-VALUE(MID(V19,FIND("|",V19)+1,FIND("-",V19)-FIND("|",V19)-1))),ABS($Q19-ABS(VALUE(MID(V19,FIND("|",V19)+1,FIND("-",V19)-FIND("|",V19)-1))-VALUE(MID(V19,FIND("-",V19)+1,10)))))*$D$50)))))*$I19,0)),0)</f>
        <v>0</v>
      </c>
      <c r="X19" s="338"/>
      <c r="Y19" s="363" t="s">
        <v>267</v>
      </c>
      <c r="Z19" s="356" t="n">
        <f aca="false">IFERROR(IF($M19=Y19,($D$8+$D$9+$D$10)*$I19,IF($N19=LEFT(Y19,1),($D$8+MAX(0,IF($D$50=1,$D$9*(1-(ABS($Q19-ABS(VALUE(MID(Y19,FIND("|",Y19)+1,FIND("-",Y19)-FIND("|",Y19)-1))-VALUE(MID(Y19,FIND("-",Y19)+1,10)))))*$D$50),$D$9*(1-(IF($N19="X",ABS($O19-VALUE(MID(Y19,FIND("|",Y19)+1,FIND("-",Y19)-FIND("|",Y19)-1))),ABS($Q19-ABS(VALUE(MID(Y19,FIND("|",Y19)+1,FIND("-",Y19)-FIND("|",Y19)-1))-VALUE(MID(Y19,FIND("-",Y19)+1,10)))))*$D$50)))))*$I19,0)),0)</f>
        <v>7</v>
      </c>
      <c r="AA19" s="338"/>
      <c r="AB19" s="363" t="s">
        <v>267</v>
      </c>
      <c r="AC19" s="356" t="n">
        <f aca="false">IFERROR(IF($M19=AB19,($D$8+$D$9+$D$10)*$I19,IF($N19=LEFT(AB19,1),($D$8+MAX(0,IF($D$50=1,$D$9*(1-(ABS($Q19-ABS(VALUE(MID(AB19,FIND("|",AB19)+1,FIND("-",AB19)-FIND("|",AB19)-1))-VALUE(MID(AB19,FIND("-",AB19)+1,10)))))*$D$50),$D$9*(1-(IF($N19="X",ABS($O19-VALUE(MID(AB19,FIND("|",AB19)+1,FIND("-",AB19)-FIND("|",AB19)-1))),ABS($Q19-ABS(VALUE(MID(AB19,FIND("|",AB19)+1,FIND("-",AB19)-FIND("|",AB19)-1))-VALUE(MID(AB19,FIND("-",AB19)+1,10)))))*$D$50)))))*$I19,0)),0)</f>
        <v>7</v>
      </c>
      <c r="AD19" s="338"/>
      <c r="AE19" s="363" t="s">
        <v>265</v>
      </c>
      <c r="AF19" s="356" t="n">
        <f aca="false">IFERROR(IF($M19=AE19,($D$8+$D$9+$D$10)*$I19,IF($N19=LEFT(AE19,1),($D$8+MAX(0,IF($D$50=1,$D$9*(1-(ABS($Q19-ABS(VALUE(MID(AE19,FIND("|",AE19)+1,FIND("-",AE19)-FIND("|",AE19)-1))-VALUE(MID(AE19,FIND("-",AE19)+1,10)))))*$D$50),$D$9*(1-(IF($N19="X",ABS($O19-VALUE(MID(AE19,FIND("|",AE19)+1,FIND("-",AE19)-FIND("|",AE19)-1))),ABS($Q19-ABS(VALUE(MID(AE19,FIND("|",AE19)+1,FIND("-",AE19)-FIND("|",AE19)-1))-VALUE(MID(AE19,FIND("-",AE19)+1,10)))))*$D$50)))))*$I19,0)),0)</f>
        <v>0</v>
      </c>
      <c r="AG19" s="338"/>
      <c r="AH19" s="363" t="s">
        <v>267</v>
      </c>
      <c r="AI19" s="356" t="n">
        <f aca="false">IFERROR(IF($M19=AH19,($D$8+$D$9+$D$10)*$I19,IF($N19=LEFT(AH19,1),($D$8+MAX(0,IF($D$50=1,$D$9*(1-(ABS($Q19-ABS(VALUE(MID(AH19,FIND("|",AH19)+1,FIND("-",AH19)-FIND("|",AH19)-1))-VALUE(MID(AH19,FIND("-",AH19)+1,10)))))*$D$50),$D$9*(1-(IF($N19="X",ABS($O19-VALUE(MID(AH19,FIND("|",AH19)+1,FIND("-",AH19)-FIND("|",AH19)-1))),ABS($Q19-ABS(VALUE(MID(AH19,FIND("|",AH19)+1,FIND("-",AH19)-FIND("|",AH19)-1))-VALUE(MID(AH19,FIND("-",AH19)+1,10)))))*$D$50)))))*$I19,0)),0)</f>
        <v>7</v>
      </c>
      <c r="AJ19" s="338"/>
      <c r="AK19" s="363" t="s">
        <v>266</v>
      </c>
      <c r="AL19" s="356" t="n">
        <f aca="false">IFERROR(IF($M19=AK19,($D$8+$D$9+$D$10)*$I19,IF($N19=LEFT(AK19,1),($D$8+MAX(0,IF($D$50=1,$D$9*(1-(ABS($Q19-ABS(VALUE(MID(AK19,FIND("|",AK19)+1,FIND("-",AK19)-FIND("|",AK19)-1))-VALUE(MID(AK19,FIND("-",AK19)+1,10)))))*$D$50),$D$9*(1-(IF($N19="X",ABS($O19-VALUE(MID(AK19,FIND("|",AK19)+1,FIND("-",AK19)-FIND("|",AK19)-1))),ABS($Q19-ABS(VALUE(MID(AK19,FIND("|",AK19)+1,FIND("-",AK19)-FIND("|",AK19)-1))-VALUE(MID(AK19,FIND("-",AK19)+1,10)))))*$D$50)))))*$I19,0)),0)</f>
        <v>0</v>
      </c>
      <c r="AM19" s="338"/>
      <c r="AN19" s="363" t="s">
        <v>265</v>
      </c>
      <c r="AO19" s="356" t="n">
        <f aca="false">IFERROR(IF($M19=AN19,($D$8+$D$9+$D$10)*$I19,IF($N19=LEFT(AN19,1),($D$8+MAX(0,IF($D$50=1,$D$9*(1-(ABS($Q19-ABS(VALUE(MID(AN19,FIND("|",AN19)+1,FIND("-",AN19)-FIND("|",AN19)-1))-VALUE(MID(AN19,FIND("-",AN19)+1,10)))))*$D$50),$D$9*(1-(IF($N19="X",ABS($O19-VALUE(MID(AN19,FIND("|",AN19)+1,FIND("-",AN19)-FIND("|",AN19)-1))),ABS($Q19-ABS(VALUE(MID(AN19,FIND("|",AN19)+1,FIND("-",AN19)-FIND("|",AN19)-1))-VALUE(MID(AN19,FIND("-",AN19)+1,10)))))*$D$50)))))*$I19,0)),0)</f>
        <v>0</v>
      </c>
      <c r="AP19" s="338"/>
      <c r="AQ19" s="363" t="s">
        <v>266</v>
      </c>
      <c r="AR19" s="356" t="n">
        <f aca="false">IFERROR(IF($M19=AQ19,($D$8+$D$9+$D$10)*$I19,IF($N19=LEFT(AQ19,1),($D$8+MAX(0,IF($D$50=1,$D$9*(1-(ABS($Q19-ABS(VALUE(MID(AQ19,FIND("|",AQ19)+1,FIND("-",AQ19)-FIND("|",AQ19)-1))-VALUE(MID(AQ19,FIND("-",AQ19)+1,10)))))*$D$50),$D$9*(1-(IF($N19="X",ABS($O19-VALUE(MID(AQ19,FIND("|",AQ19)+1,FIND("-",AQ19)-FIND("|",AQ19)-1))),ABS($Q19-ABS(VALUE(MID(AQ19,FIND("|",AQ19)+1,FIND("-",AQ19)-FIND("|",AQ19)-1))-VALUE(MID(AQ19,FIND("-",AQ19)+1,10)))))*$D$50)))))*$I19,0)),0)</f>
        <v>0</v>
      </c>
      <c r="AS19" s="338"/>
      <c r="AT19" s="363" t="s">
        <v>275</v>
      </c>
      <c r="AU19" s="356" t="n">
        <f aca="false">IFERROR(IF($M19=AT19,($D$8+$D$9+$D$10)*$I19,IF($N19=LEFT(AT19,1),($D$8+MAX(0,IF($D$50=1,$D$9*(1-(ABS($Q19-ABS(VALUE(MID(AT19,FIND("|",AT19)+1,FIND("-",AT19)-FIND("|",AT19)-1))-VALUE(MID(AT19,FIND("-",AT19)+1,10)))))*$D$50),$D$9*(1-(IF($N19="X",ABS($O19-VALUE(MID(AT19,FIND("|",AT19)+1,FIND("-",AT19)-FIND("|",AT19)-1))),ABS($Q19-ABS(VALUE(MID(AT19,FIND("|",AT19)+1,FIND("-",AT19)-FIND("|",AT19)-1))-VALUE(MID(AT19,FIND("-",AT19)+1,10)))))*$D$50)))))*$I19,0)),0)</f>
        <v>7</v>
      </c>
      <c r="AV19" s="338"/>
      <c r="AW19" s="363" t="s">
        <v>275</v>
      </c>
      <c r="AX19" s="356" t="n">
        <f aca="false">IFERROR(IF($M19=AW19,($D$8+$D$9+$D$10)*$I19,IF($N19=LEFT(AW19,1),($D$8+MAX(0,IF($D$50=1,$D$9*(1-(ABS($Q19-ABS(VALUE(MID(AW19,FIND("|",AW19)+1,FIND("-",AW19)-FIND("|",AW19)-1))-VALUE(MID(AW19,FIND("-",AW19)+1,10)))))*$D$50),$D$9*(1-(IF($N19="X",ABS($O19-VALUE(MID(AW19,FIND("|",AW19)+1,FIND("-",AW19)-FIND("|",AW19)-1))),ABS($Q19-ABS(VALUE(MID(AW19,FIND("|",AW19)+1,FIND("-",AW19)-FIND("|",AW19)-1))-VALUE(MID(AW19,FIND("-",AW19)+1,10)))))*$D$50)))))*$I19,0)),0)</f>
        <v>7</v>
      </c>
      <c r="AY19" s="338"/>
      <c r="AZ19" s="363" t="s">
        <v>265</v>
      </c>
      <c r="BA19" s="356" t="n">
        <f aca="false">IFERROR(IF($M19=AZ19,($D$8+$D$9+$D$10)*$I19,IF($N19=LEFT(AZ19,1),($D$8+MAX(0,IF($D$50=1,$D$9*(1-(ABS($Q19-ABS(VALUE(MID(AZ19,FIND("|",AZ19)+1,FIND("-",AZ19)-FIND("|",AZ19)-1))-VALUE(MID(AZ19,FIND("-",AZ19)+1,10)))))*$D$50),$D$9*(1-(IF($N19="X",ABS($O19-VALUE(MID(AZ19,FIND("|",AZ19)+1,FIND("-",AZ19)-FIND("|",AZ19)-1))),ABS($Q19-ABS(VALUE(MID(AZ19,FIND("|",AZ19)+1,FIND("-",AZ19)-FIND("|",AZ19)-1))-VALUE(MID(AZ19,FIND("-",AZ19)+1,10)))))*$D$50)))))*$I19,0)),0)</f>
        <v>0</v>
      </c>
      <c r="BB19" s="338"/>
      <c r="BC19" s="363" t="s">
        <v>265</v>
      </c>
      <c r="BD19" s="356" t="n">
        <f aca="false">IFERROR(IF($M19=BC19,($D$8+$D$9+$D$10)*$I19,IF($N19=LEFT(BC19,1),($D$8+MAX(0,IF($D$50=1,$D$9*(1-(ABS($Q19-ABS(VALUE(MID(BC19,FIND("|",BC19)+1,FIND("-",BC19)-FIND("|",BC19)-1))-VALUE(MID(BC19,FIND("-",BC19)+1,10)))))*$D$50),$D$9*(1-(IF($N19="X",ABS($O19-VALUE(MID(BC19,FIND("|",BC19)+1,FIND("-",BC19)-FIND("|",BC19)-1))),ABS($Q19-ABS(VALUE(MID(BC19,FIND("|",BC19)+1,FIND("-",BC19)-FIND("|",BC19)-1))-VALUE(MID(BC19,FIND("-",BC19)+1,10)))))*$D$50)))))*$I19,0)),0)</f>
        <v>0</v>
      </c>
      <c r="BE19" s="338"/>
      <c r="BF19" s="363" t="s">
        <v>265</v>
      </c>
      <c r="BG19" s="356" t="n">
        <f aca="false">IFERROR(IF($M19=BF19,($D$8+$D$9+$D$10)*$I19,IF($N19=LEFT(BF19,1),($D$8+MAX(0,IF($D$50=1,$D$9*(1-(ABS($Q19-ABS(VALUE(MID(BF19,FIND("|",BF19)+1,FIND("-",BF19)-FIND("|",BF19)-1))-VALUE(MID(BF19,FIND("-",BF19)+1,10)))))*$D$50),$D$9*(1-(IF($N19="X",ABS($O19-VALUE(MID(BF19,FIND("|",BF19)+1,FIND("-",BF19)-FIND("|",BF19)-1))),ABS($Q19-ABS(VALUE(MID(BF19,FIND("|",BF19)+1,FIND("-",BF19)-FIND("|",BF19)-1))-VALUE(MID(BF19,FIND("-",BF19)+1,10)))))*$D$50)))))*$I19,0)),0)</f>
        <v>0</v>
      </c>
      <c r="BH19" s="338"/>
      <c r="BI19" s="363" t="s">
        <v>275</v>
      </c>
      <c r="BJ19" s="356" t="n">
        <f aca="false">IFERROR(IF($M19=BI19,($D$8+$D$9+$D$10)*$I19,IF($N19=LEFT(BI19,1),($D$8+MAX(0,IF($D$50=1,$D$9*(1-(ABS($Q19-ABS(VALUE(MID(BI19,FIND("|",BI19)+1,FIND("-",BI19)-FIND("|",BI19)-1))-VALUE(MID(BI19,FIND("-",BI19)+1,10)))))*$D$50),$D$9*(1-(IF($N19="X",ABS($O19-VALUE(MID(BI19,FIND("|",BI19)+1,FIND("-",BI19)-FIND("|",BI19)-1))),ABS($Q19-ABS(VALUE(MID(BI19,FIND("|",BI19)+1,FIND("-",BI19)-FIND("|",BI19)-1))-VALUE(MID(BI19,FIND("-",BI19)+1,10)))))*$D$50)))))*$I19,0)),0)</f>
        <v>7</v>
      </c>
      <c r="BK19" s="338"/>
      <c r="BL19" s="363" t="s">
        <v>265</v>
      </c>
      <c r="BM19" s="356" t="n">
        <f aca="false">IFERROR(IF($M19=BL19,($D$8+$D$9+$D$10)*$I19,IF($N19=LEFT(BL19,1),($D$8+MAX(0,IF($D$50=1,$D$9*(1-(ABS($Q19-ABS(VALUE(MID(BL19,FIND("|",BL19)+1,FIND("-",BL19)-FIND("|",BL19)-1))-VALUE(MID(BL19,FIND("-",BL19)+1,10)))))*$D$50),$D$9*(1-(IF($N19="X",ABS($O19-VALUE(MID(BL19,FIND("|",BL19)+1,FIND("-",BL19)-FIND("|",BL19)-1))),ABS($Q19-ABS(VALUE(MID(BL19,FIND("|",BL19)+1,FIND("-",BL19)-FIND("|",BL19)-1))-VALUE(MID(BL19,FIND("-",BL19)+1,10)))))*$D$50)))))*$I19,0)),0)</f>
        <v>0</v>
      </c>
      <c r="BN19" s="338"/>
      <c r="BO19" s="363" t="s">
        <v>264</v>
      </c>
      <c r="BP19" s="356" t="n">
        <f aca="false">IFERROR(IF($M19=BO19,($D$8+$D$9+$D$10)*$I19,IF($N19=LEFT(BO19,1),($D$8+MAX(0,IF($D$50=1,$D$9*(1-(ABS($Q19-ABS(VALUE(MID(BO19,FIND("|",BO19)+1,FIND("-",BO19)-FIND("|",BO19)-1))-VALUE(MID(BO19,FIND("-",BO19)+1,10)))))*$D$50),$D$9*(1-(IF($N19="X",ABS($O19-VALUE(MID(BO19,FIND("|",BO19)+1,FIND("-",BO19)-FIND("|",BO19)-1))),ABS($Q19-ABS(VALUE(MID(BO19,FIND("|",BO19)+1,FIND("-",BO19)-FIND("|",BO19)-1))-VALUE(MID(BO19,FIND("-",BO19)+1,10)))))*$D$50)))))*$I19,0)),0)</f>
        <v>0</v>
      </c>
      <c r="BQ19" s="338"/>
      <c r="BR19" s="363" t="s">
        <v>266</v>
      </c>
      <c r="BS19" s="356" t="n">
        <f aca="false">IFERROR(IF($M19=BR19,($D$8+$D$9+$D$10)*$I19,IF($N19=LEFT(BR19,1),($D$8+MAX(0,IF($D$50=1,$D$9*(1-(ABS($Q19-ABS(VALUE(MID(BR19,FIND("|",BR19)+1,FIND("-",BR19)-FIND("|",BR19)-1))-VALUE(MID(BR19,FIND("-",BR19)+1,10)))))*$D$50),$D$9*(1-(IF($N19="X",ABS($O19-VALUE(MID(BR19,FIND("|",BR19)+1,FIND("-",BR19)-FIND("|",BR19)-1))),ABS($Q19-ABS(VALUE(MID(BR19,FIND("|",BR19)+1,FIND("-",BR19)-FIND("|",BR19)-1))-VALUE(MID(BR19,FIND("-",BR19)+1,10)))))*$D$50)))))*$I19,0)),0)</f>
        <v>0</v>
      </c>
      <c r="BT19" s="338"/>
      <c r="BU19" s="363"/>
      <c r="BV19" s="356" t="n">
        <f aca="false">IFERROR(IF($M19=BU19,($D$8+$D$9+$D$10)*$I19,IF($N19=LEFT(BU19,1),($D$8+MAX(0,IF($D$50=1,$D$9*(1-(ABS($Q19-ABS(VALUE(MID(BU19,FIND("|",BU19)+1,FIND("-",BU19)-FIND("|",BU19)-1))-VALUE(MID(BU19,FIND("-",BU19)+1,10)))))*$D$50),$D$9*(1-(IF($N19="X",ABS($O19-VALUE(MID(BU19,FIND("|",BU19)+1,FIND("-",BU19)-FIND("|",BU19)-1))),ABS($Q19-ABS(VALUE(MID(BU19,FIND("|",BU19)+1,FIND("-",BU19)-FIND("|",BU19)-1))-VALUE(MID(BU19,FIND("-",BU19)+1,10)))))*$D$50)))))*$I19,0)),0)</f>
        <v>0</v>
      </c>
      <c r="BW19" s="338"/>
      <c r="BX19" s="363"/>
      <c r="BY19" s="356" t="n">
        <f aca="false">IFERROR(IF($M19=BX19,($D$8+$D$9+$D$10)*$I19,IF($N19=LEFT(BX19,1),($D$8+MAX(0,IF($D$50=1,$D$9*(1-(ABS($Q19-ABS(VALUE(MID(BX19,FIND("|",BX19)+1,FIND("-",BX19)-FIND("|",BX19)-1))-VALUE(MID(BX19,FIND("-",BX19)+1,10)))))*$D$50),$D$9*(1-(IF($N19="X",ABS($O19-VALUE(MID(BX19,FIND("|",BX19)+1,FIND("-",BX19)-FIND("|",BX19)-1))),ABS($Q19-ABS(VALUE(MID(BX19,FIND("|",BX19)+1,FIND("-",BX19)-FIND("|",BX19)-1))-VALUE(MID(BX19,FIND("-",BX19)+1,10)))))*$D$50)))))*$I19,0)),0)</f>
        <v>0</v>
      </c>
      <c r="BZ19" s="338"/>
      <c r="CA19" s="363"/>
      <c r="CB19" s="356" t="n">
        <f aca="false">IFERROR(IF($M19=CA19,($D$8+$D$9+$D$10)*$I19,IF($N19=LEFT(CA19,1),($D$8+MAX(0,IF($D$50=1,$D$9*(1-(ABS($Q19-ABS(VALUE(MID(CA19,FIND("|",CA19)+1,FIND("-",CA19)-FIND("|",CA19)-1))-VALUE(MID(CA19,FIND("-",CA19)+1,10)))))*$D$50),$D$9*(1-(IF($N19="X",ABS($O19-VALUE(MID(CA19,FIND("|",CA19)+1,FIND("-",CA19)-FIND("|",CA19)-1))),ABS($Q19-ABS(VALUE(MID(CA19,FIND("|",CA19)+1,FIND("-",CA19)-FIND("|",CA19)-1))-VALUE(MID(CA19,FIND("-",CA19)+1,10)))))*$D$50)))))*$I19,0)),0)</f>
        <v>0</v>
      </c>
      <c r="CC19" s="338"/>
      <c r="CD19" s="363"/>
      <c r="CE19" s="356" t="n">
        <f aca="false">IFERROR(IF($M19=CD19,($D$8+$D$9+$D$10)*$I19,IF($N19=LEFT(CD19,1),($D$8+MAX(0,IF($D$50=1,$D$9*(1-(ABS($Q19-ABS(VALUE(MID(CD19,FIND("|",CD19)+1,FIND("-",CD19)-FIND("|",CD19)-1))-VALUE(MID(CD19,FIND("-",CD19)+1,10)))))*$D$50),$D$9*(1-(IF($N19="X",ABS($O19-VALUE(MID(CD19,FIND("|",CD19)+1,FIND("-",CD19)-FIND("|",CD19)-1))),ABS($Q19-ABS(VALUE(MID(CD19,FIND("|",CD19)+1,FIND("-",CD19)-FIND("|",CD19)-1))-VALUE(MID(CD19,FIND("-",CD19)+1,10)))))*$D$50)))))*$I19,0)),0)</f>
        <v>0</v>
      </c>
      <c r="CF19" s="338"/>
      <c r="CG19" s="363"/>
      <c r="CH19" s="356" t="n">
        <f aca="false">IFERROR(IF($M19=CG19,($D$8+$D$9+$D$10)*$I19,IF($N19=LEFT(CG19,1),($D$8+MAX(0,IF($D$50=1,$D$9*(1-(ABS($Q19-ABS(VALUE(MID(CG19,FIND("|",CG19)+1,FIND("-",CG19)-FIND("|",CG19)-1))-VALUE(MID(CG19,FIND("-",CG19)+1,10)))))*$D$50),$D$9*(1-(IF($N19="X",ABS($O19-VALUE(MID(CG19,FIND("|",CG19)+1,FIND("-",CG19)-FIND("|",CG19)-1))),ABS($Q19-ABS(VALUE(MID(CG19,FIND("|",CG19)+1,FIND("-",CG19)-FIND("|",CG19)-1))-VALUE(MID(CG19,FIND("-",CG19)+1,10)))))*$D$50)))))*$I19,0)),0)</f>
        <v>0</v>
      </c>
      <c r="CI19" s="338"/>
      <c r="CJ19" s="363"/>
      <c r="CK19" s="356" t="n">
        <f aca="false">IFERROR(IF($M19=CJ19,($D$8+$D$9+$D$10)*$I19,IF($N19=LEFT(CJ19,1),($D$8+MAX(0,IF($D$50=1,$D$9*(1-(ABS($Q19-ABS(VALUE(MID(CJ19,FIND("|",CJ19)+1,FIND("-",CJ19)-FIND("|",CJ19)-1))-VALUE(MID(CJ19,FIND("-",CJ19)+1,10)))))*$D$50),$D$9*(1-(IF($N19="X",ABS($O19-VALUE(MID(CJ19,FIND("|",CJ19)+1,FIND("-",CJ19)-FIND("|",CJ19)-1))),ABS($Q19-ABS(VALUE(MID(CJ19,FIND("|",CJ19)+1,FIND("-",CJ19)-FIND("|",CJ19)-1))-VALUE(MID(CJ19,FIND("-",CJ19)+1,10)))))*$D$50)))))*$I19,0)),0)</f>
        <v>0</v>
      </c>
      <c r="CL19" s="338"/>
      <c r="CM19" s="363"/>
      <c r="CN19" s="356" t="n">
        <f aca="false">IFERROR(IF($M19=CM19,($D$8+$D$9+$D$10)*$I19,IF($N19=LEFT(CM19,1),($D$8+MAX(0,IF($D$50=1,$D$9*(1-(ABS($Q19-ABS(VALUE(MID(CM19,FIND("|",CM19)+1,FIND("-",CM19)-FIND("|",CM19)-1))-VALUE(MID(CM19,FIND("-",CM19)+1,10)))))*$D$50),$D$9*(1-(IF($N19="X",ABS($O19-VALUE(MID(CM19,FIND("|",CM19)+1,FIND("-",CM19)-FIND("|",CM19)-1))),ABS($Q19-ABS(VALUE(MID(CM19,FIND("|",CM19)+1,FIND("-",CM19)-FIND("|",CM19)-1))-VALUE(MID(CM19,FIND("-",CM19)+1,10)))))*$D$50)))))*$I19,0)),0)</f>
        <v>0</v>
      </c>
      <c r="CO19" s="338"/>
      <c r="CP19" s="363"/>
      <c r="CQ19" s="356" t="n">
        <f aca="false">IFERROR(IF($M19=CP19,($D$8+$D$9+$D$10)*$I19,IF($N19=LEFT(CP19,1),($D$8+MAX(0,IF($D$50=1,$D$9*(1-(ABS($Q19-ABS(VALUE(MID(CP19,FIND("|",CP19)+1,FIND("-",CP19)-FIND("|",CP19)-1))-VALUE(MID(CP19,FIND("-",CP19)+1,10)))))*$D$50),$D$9*(1-(IF($N19="X",ABS($O19-VALUE(MID(CP19,FIND("|",CP19)+1,FIND("-",CP19)-FIND("|",CP19)-1))),ABS($Q19-ABS(VALUE(MID(CP19,FIND("|",CP19)+1,FIND("-",CP19)-FIND("|",CP19)-1))-VALUE(MID(CP19,FIND("-",CP19)+1,10)))))*$D$50)))))*$I19,0)),0)</f>
        <v>0</v>
      </c>
      <c r="CR19" s="338"/>
      <c r="CS19" s="363"/>
      <c r="CT19" s="356" t="n">
        <f aca="false">IFERROR(IF($M19=CS19,($D$8+$D$9+$D$10)*$I19,IF($N19=LEFT(CS19,1),($D$8+MAX(0,IF($D$50=1,$D$9*(1-(ABS($Q19-ABS(VALUE(MID(CS19,FIND("|",CS19)+1,FIND("-",CS19)-FIND("|",CS19)-1))-VALUE(MID(CS19,FIND("-",CS19)+1,10)))))*$D$50),$D$9*(1-(IF($N19="X",ABS($O19-VALUE(MID(CS19,FIND("|",CS19)+1,FIND("-",CS19)-FIND("|",CS19)-1))),ABS($Q19-ABS(VALUE(MID(CS19,FIND("|",CS19)+1,FIND("-",CS19)-FIND("|",CS19)-1))-VALUE(MID(CS19,FIND("-",CS19)+1,10)))))*$D$50)))))*$I19,0)),0)</f>
        <v>0</v>
      </c>
      <c r="CU19" s="338"/>
      <c r="CV19" s="363"/>
      <c r="CW19" s="356" t="n">
        <f aca="false">IFERROR(IF($M19=CV19,($D$8+$D$9+$D$10)*$I19,IF($N19=LEFT(CV19,1),($D$8+MAX(0,IF($D$50=1,$D$9*(1-(ABS($Q19-ABS(VALUE(MID(CV19,FIND("|",CV19)+1,FIND("-",CV19)-FIND("|",CV19)-1))-VALUE(MID(CV19,FIND("-",CV19)+1,10)))))*$D$50),$D$9*(1-(IF($N19="X",ABS($O19-VALUE(MID(CV19,FIND("|",CV19)+1,FIND("-",CV19)-FIND("|",CV19)-1))),ABS($Q19-ABS(VALUE(MID(CV19,FIND("|",CV19)+1,FIND("-",CV19)-FIND("|",CV19)-1))-VALUE(MID(CV19,FIND("-",CV19)+1,10)))))*$D$50)))))*$I19,0)),0)</f>
        <v>0</v>
      </c>
      <c r="CX19" s="338"/>
      <c r="CY19" s="363"/>
      <c r="CZ19" s="356" t="n">
        <f aca="false">IFERROR(IF($M19=CY19,($D$8+$D$9+$D$10)*$I19,IF($N19=LEFT(CY19,1),($D$8+MAX(0,IF($D$50=1,$D$9*(1-(ABS($Q19-ABS(VALUE(MID(CY19,FIND("|",CY19)+1,FIND("-",CY19)-FIND("|",CY19)-1))-VALUE(MID(CY19,FIND("-",CY19)+1,10)))))*$D$50),$D$9*(1-(IF($N19="X",ABS($O19-VALUE(MID(CY19,FIND("|",CY19)+1,FIND("-",CY19)-FIND("|",CY19)-1))),ABS($Q19-ABS(VALUE(MID(CY19,FIND("|",CY19)+1,FIND("-",CY19)-FIND("|",CY19)-1))-VALUE(MID(CY19,FIND("-",CY19)+1,10)))))*$D$50)))))*$I19,0)),0)</f>
        <v>0</v>
      </c>
      <c r="DA19" s="338"/>
      <c r="DB19" s="363"/>
      <c r="DC19" s="356" t="n">
        <f aca="false">IFERROR(IF($M19=DB19,($D$8+$D$9+$D$10)*$I19,IF($N19=LEFT(DB19,1),($D$8+MAX(0,IF($D$50=1,$D$9*(1-(ABS($Q19-ABS(VALUE(MID(DB19,FIND("|",DB19)+1,FIND("-",DB19)-FIND("|",DB19)-1))-VALUE(MID(DB19,FIND("-",DB19)+1,10)))))*$D$50),$D$9*(1-(IF($N19="X",ABS($O19-VALUE(MID(DB19,FIND("|",DB19)+1,FIND("-",DB19)-FIND("|",DB19)-1))),ABS($Q19-ABS(VALUE(MID(DB19,FIND("|",DB19)+1,FIND("-",DB19)-FIND("|",DB19)-1))-VALUE(MID(DB19,FIND("-",DB19)+1,10)))))*$D$50)))))*$I19,0)),0)</f>
        <v>0</v>
      </c>
      <c r="DD19" s="338"/>
      <c r="DE19" s="363"/>
      <c r="DF19" s="356" t="n">
        <f aca="false">IFERROR(IF($M19=DE19,($D$8+$D$9+$D$10)*$I19,IF($N19=LEFT(DE19,1),($D$8+MAX(0,IF($D$50=1,$D$9*(1-(ABS($Q19-ABS(VALUE(MID(DE19,FIND("|",DE19)+1,FIND("-",DE19)-FIND("|",DE19)-1))-VALUE(MID(DE19,FIND("-",DE19)+1,10)))))*$D$50),$D$9*(1-(IF($N19="X",ABS($O19-VALUE(MID(DE19,FIND("|",DE19)+1,FIND("-",DE19)-FIND("|",DE19)-1))),ABS($Q19-ABS(VALUE(MID(DE19,FIND("|",DE19)+1,FIND("-",DE19)-FIND("|",DE19)-1))-VALUE(MID(DE19,FIND("-",DE19)+1,10)))))*$D$50)))))*$I19,0)),0)</f>
        <v>0</v>
      </c>
      <c r="DG19" s="338"/>
      <c r="DH19" s="363"/>
      <c r="DI19" s="356" t="n">
        <f aca="false">IFERROR(IF($M19=DH19,($D$8+$D$9+$D$10)*$I19,IF($N19=LEFT(DH19,1),($D$8+MAX(0,IF($D$50=1,$D$9*(1-(ABS($Q19-ABS(VALUE(MID(DH19,FIND("|",DH19)+1,FIND("-",DH19)-FIND("|",DH19)-1))-VALUE(MID(DH19,FIND("-",DH19)+1,10)))))*$D$50),$D$9*(1-(IF($N19="X",ABS($O19-VALUE(MID(DH19,FIND("|",DH19)+1,FIND("-",DH19)-FIND("|",DH19)-1))),ABS($Q19-ABS(VALUE(MID(DH19,FIND("|",DH19)+1,FIND("-",DH19)-FIND("|",DH19)-1))-VALUE(MID(DH19,FIND("-",DH19)+1,10)))))*$D$50)))))*$I19,0)),0)</f>
        <v>0</v>
      </c>
      <c r="DJ19" s="338"/>
      <c r="DK19" s="363"/>
      <c r="DL19" s="356" t="n">
        <f aca="false">IFERROR(IF($M19=DK19,($D$8+$D$9+$D$10)*$I19,IF($N19=LEFT(DK19,1),($D$8+MAX(0,IF($D$50=1,$D$9*(1-(ABS($Q19-ABS(VALUE(MID(DK19,FIND("|",DK19)+1,FIND("-",DK19)-FIND("|",DK19)-1))-VALUE(MID(DK19,FIND("-",DK19)+1,10)))))*$D$50),$D$9*(1-(IF($N19="X",ABS($O19-VALUE(MID(DK19,FIND("|",DK19)+1,FIND("-",DK19)-FIND("|",DK19)-1))),ABS($Q19-ABS(VALUE(MID(DK19,FIND("|",DK19)+1,FIND("-",DK19)-FIND("|",DK19)-1))-VALUE(MID(DK19,FIND("-",DK19)+1,10)))))*$D$50)))))*$I19,0)),0)</f>
        <v>0</v>
      </c>
      <c r="DM19" s="338"/>
      <c r="DN19" s="363"/>
      <c r="DO19" s="356" t="n">
        <f aca="false">IFERROR(IF($M19=DN19,($D$8+$D$9+$D$10)*$I19,IF($N19=LEFT(DN19,1),($D$8+MAX(0,IF($D$50=1,$D$9*(1-(ABS($Q19-ABS(VALUE(MID(DN19,FIND("|",DN19)+1,FIND("-",DN19)-FIND("|",DN19)-1))-VALUE(MID(DN19,FIND("-",DN19)+1,10)))))*$D$50),$D$9*(1-(IF($N19="X",ABS($O19-VALUE(MID(DN19,FIND("|",DN19)+1,FIND("-",DN19)-FIND("|",DN19)-1))),ABS($Q19-ABS(VALUE(MID(DN19,FIND("|",DN19)+1,FIND("-",DN19)-FIND("|",DN19)-1))-VALUE(MID(DN19,FIND("-",DN19)+1,10)))))*$D$50)))))*$I19,0)),0)</f>
        <v>0</v>
      </c>
      <c r="DP19" s="338"/>
      <c r="DQ19" s="363"/>
      <c r="DR19" s="356" t="n">
        <f aca="false">IFERROR(IF($M19=DQ19,($D$8+$D$9+$D$10)*$I19,IF($N19=LEFT(DQ19,1),($D$8+MAX(0,IF($D$50=1,$D$9*(1-(ABS($Q19-ABS(VALUE(MID(DQ19,FIND("|",DQ19)+1,FIND("-",DQ19)-FIND("|",DQ19)-1))-VALUE(MID(DQ19,FIND("-",DQ19)+1,10)))))*$D$50),$D$9*(1-(IF($N19="X",ABS($O19-VALUE(MID(DQ19,FIND("|",DQ19)+1,FIND("-",DQ19)-FIND("|",DQ19)-1))),ABS($Q19-ABS(VALUE(MID(DQ19,FIND("|",DQ19)+1,FIND("-",DQ19)-FIND("|",DQ19)-1))-VALUE(MID(DQ19,FIND("-",DQ19)+1,10)))))*$D$50)))))*$I19,0)),0)</f>
        <v>0</v>
      </c>
      <c r="DS19" s="338"/>
      <c r="DT19" s="363"/>
      <c r="DU19" s="356" t="n">
        <f aca="false">IFERROR(IF($M19=DT19,($D$8+$D$9+$D$10)*$I19,IF($N19=LEFT(DT19,1),($D$8+MAX(0,IF($D$50=1,$D$9*(1-(ABS($Q19-ABS(VALUE(MID(DT19,FIND("|",DT19)+1,FIND("-",DT19)-FIND("|",DT19)-1))-VALUE(MID(DT19,FIND("-",DT19)+1,10)))))*$D$50),$D$9*(1-(IF($N19="X",ABS($O19-VALUE(MID(DT19,FIND("|",DT19)+1,FIND("-",DT19)-FIND("|",DT19)-1))),ABS($Q19-ABS(VALUE(MID(DT19,FIND("|",DT19)+1,FIND("-",DT19)-FIND("|",DT19)-1))-VALUE(MID(DT19,FIND("-",DT19)+1,10)))))*$D$50)))))*$I19,0)),0)</f>
        <v>0</v>
      </c>
      <c r="DV19" s="338"/>
      <c r="DW19" s="363"/>
      <c r="DX19" s="356" t="n">
        <f aca="false">IFERROR(IF($M19=DW19,($D$8+$D$9+$D$10)*$I19,IF($N19=LEFT(DW19,1),($D$8+MAX(0,IF($D$50=1,$D$9*(1-(ABS($Q19-ABS(VALUE(MID(DW19,FIND("|",DW19)+1,FIND("-",DW19)-FIND("|",DW19)-1))-VALUE(MID(DW19,FIND("-",DW19)+1,10)))))*$D$50),$D$9*(1-(IF($N19="X",ABS($O19-VALUE(MID(DW19,FIND("|",DW19)+1,FIND("-",DW19)-FIND("|",DW19)-1))),ABS($Q19-ABS(VALUE(MID(DW19,FIND("|",DW19)+1,FIND("-",DW19)-FIND("|",DW19)-1))-VALUE(MID(DW19,FIND("-",DW19)+1,10)))))*$D$50)))))*$I19,0)),0)</f>
        <v>0</v>
      </c>
      <c r="DY19" s="338"/>
      <c r="DZ19" s="363"/>
      <c r="EA19" s="356" t="n">
        <f aca="false">IFERROR(IF($M19=DZ19,($D$8+$D$9+$D$10)*$I19,IF($N19=LEFT(DZ19,1),($D$8+MAX(0,IF($D$50=1,$D$9*(1-(ABS($Q19-ABS(VALUE(MID(DZ19,FIND("|",DZ19)+1,FIND("-",DZ19)-FIND("|",DZ19)-1))-VALUE(MID(DZ19,FIND("-",DZ19)+1,10)))))*$D$50),$D$9*(1-(IF($N19="X",ABS($O19-VALUE(MID(DZ19,FIND("|",DZ19)+1,FIND("-",DZ19)-FIND("|",DZ19)-1))),ABS($Q19-ABS(VALUE(MID(DZ19,FIND("|",DZ19)+1,FIND("-",DZ19)-FIND("|",DZ19)-1))-VALUE(MID(DZ19,FIND("-",DZ19)+1,10)))))*$D$50)))))*$I19,0)),0)</f>
        <v>0</v>
      </c>
      <c r="EB19" s="338"/>
      <c r="EC19" s="363"/>
      <c r="ED19" s="356" t="n">
        <f aca="false">IFERROR(IF($M19=EC19,($D$8+$D$9+$D$10)*$I19,IF($N19=LEFT(EC19,1),($D$8+MAX(0,IF($D$50=1,$D$9*(1-(ABS($Q19-ABS(VALUE(MID(EC19,FIND("|",EC19)+1,FIND("-",EC19)-FIND("|",EC19)-1))-VALUE(MID(EC19,FIND("-",EC19)+1,10)))))*$D$50),$D$9*(1-(IF($N19="X",ABS($O19-VALUE(MID(EC19,FIND("|",EC19)+1,FIND("-",EC19)-FIND("|",EC19)-1))),ABS($Q19-ABS(VALUE(MID(EC19,FIND("|",EC19)+1,FIND("-",EC19)-FIND("|",EC19)-1))-VALUE(MID(EC19,FIND("-",EC19)+1,10)))))*$D$50)))))*$I19,0)),0)</f>
        <v>0</v>
      </c>
      <c r="EE19" s="338"/>
      <c r="EF19" s="363"/>
      <c r="EG19" s="356" t="n">
        <f aca="false">IFERROR(IF($M19=EF19,($D$8+$D$9+$D$10)*$I19,IF($N19=LEFT(EF19,1),($D$8+MAX(0,IF($D$50=1,$D$9*(1-(ABS($Q19-ABS(VALUE(MID(EF19,FIND("|",EF19)+1,FIND("-",EF19)-FIND("|",EF19)-1))-VALUE(MID(EF19,FIND("-",EF19)+1,10)))))*$D$50),$D$9*(1-(IF($N19="X",ABS($O19-VALUE(MID(EF19,FIND("|",EF19)+1,FIND("-",EF19)-FIND("|",EF19)-1))),ABS($Q19-ABS(VALUE(MID(EF19,FIND("|",EF19)+1,FIND("-",EF19)-FIND("|",EF19)-1))-VALUE(MID(EF19,FIND("-",EF19)+1,10)))))*$D$50)))))*$I19,0)),0)</f>
        <v>0</v>
      </c>
      <c r="EH19" s="338"/>
      <c r="EI19" s="338"/>
    </row>
    <row r="20" customFormat="false" ht="15" hidden="false" customHeight="false" outlineLevel="0" collapsed="false">
      <c r="A20" s="327"/>
      <c r="B20" s="327"/>
      <c r="C20" s="360" t="str">
        <f aca="false">Idiomas!D316</f>
        <v>OCTAVOS - Signo 1X2  (local, empate, visitante)</v>
      </c>
      <c r="D20" s="361" t="n">
        <v>5</v>
      </c>
      <c r="E20" s="334"/>
      <c r="F20" s="343" t="n">
        <f aca="false">SUM($D$8:$D$10)*I20</f>
        <v>17</v>
      </c>
      <c r="G20" s="343" t="n">
        <f aca="false">VLOOKUP(H20,Equipos!$Q$1:$R$25,2,0)</f>
        <v>5</v>
      </c>
      <c r="H20" s="351" t="n">
        <f aca="false">TRUNC(INDEX(WORLDCUP!$X$4:$X$147,MATCH(ADMIN!K20,WORLDCUP!$DT$4:$DT$147,0))+INDEX(Horarios!$R$3:$R$86,MATCH(Horarios!$C$3,Horarios!$P$3:$P$86,0))/24)</f>
        <v>46188</v>
      </c>
      <c r="I20" s="352" t="n">
        <v>1</v>
      </c>
      <c r="J20" s="362" t="s">
        <v>290</v>
      </c>
      <c r="K20" s="367" t="str">
        <f aca="false">CONCATENATE(WORLDCUP!AA60,"-",WORLDCUP!AF60)</f>
        <v>España-Cabo Verde</v>
      </c>
      <c r="L20" s="354"/>
      <c r="M20" s="359" t="str">
        <f aca="false">IF(OR(WORLDCUP!AC60="",WORLDCUP!AD60=""),"-",N20&amp;"|"&amp;O20&amp;"-"&amp;P20)</f>
        <v>X|0-0</v>
      </c>
      <c r="N20" s="332" t="str">
        <f aca="false">IF(OR(WORLDCUP!AC60="",WORLDCUP!AD60=""),"",IF(WORLDCUP!AC60&gt;WORLDCUP!AD60,"1",IF(WORLDCUP!AC60&lt;WORLDCUP!AD60,"2","X")))</f>
        <v>X</v>
      </c>
      <c r="O20" s="332" t="n">
        <f aca="false">WORLDCUP!AC60</f>
        <v>0</v>
      </c>
      <c r="P20" s="332" t="n">
        <f aca="false">WORLDCUP!AD60</f>
        <v>0</v>
      </c>
      <c r="Q20" s="332" t="n">
        <f aca="false">ABS(O20-P20)</f>
        <v>0</v>
      </c>
      <c r="R20" s="327"/>
      <c r="S20" s="363" t="s">
        <v>283</v>
      </c>
      <c r="T20" s="356" t="n">
        <f aca="false">IFERROR(IF($M20=S20,($D$8+$D$9+$D$10)*$I20,IF($N20=LEFT(S20,1),($D$8+MAX(0,IF($D$50=1,$D$9*(1-(ABS($Q20-ABS(VALUE(MID(S20,FIND("|",S20)+1,FIND("-",S20)-FIND("|",S20)-1))-VALUE(MID(S20,FIND("-",S20)+1,10)))))*$D$50),$D$9*(1-(IF($N20="X",ABS($O20-VALUE(MID(S20,FIND("|",S20)+1,FIND("-",S20)-FIND("|",S20)-1))),ABS($Q20-ABS(VALUE(MID(S20,FIND("|",S20)+1,FIND("-",S20)-FIND("|",S20)-1))-VALUE(MID(S20,FIND("-",S20)+1,10)))))*$D$50)))))*$I20,0)),0)</f>
        <v>0</v>
      </c>
      <c r="U20" s="338"/>
      <c r="V20" s="363" t="s">
        <v>272</v>
      </c>
      <c r="W20" s="356" t="n">
        <f aca="false">IFERROR(IF($M20=V20,($D$8+$D$9+$D$10)*$I20,IF($N20=LEFT(V20,1),($D$8+MAX(0,IF($D$50=1,$D$9*(1-(ABS($Q20-ABS(VALUE(MID(V20,FIND("|",V20)+1,FIND("-",V20)-FIND("|",V20)-1))-VALUE(MID(V20,FIND("-",V20)+1,10)))))*$D$50),$D$9*(1-(IF($N20="X",ABS($O20-VALUE(MID(V20,FIND("|",V20)+1,FIND("-",V20)-FIND("|",V20)-1))),ABS($Q20-ABS(VALUE(MID(V20,FIND("|",V20)+1,FIND("-",V20)-FIND("|",V20)-1))-VALUE(MID(V20,FIND("-",V20)+1,10)))))*$D$50)))))*$I20,0)),0)</f>
        <v>0</v>
      </c>
      <c r="X20" s="338"/>
      <c r="Y20" s="363" t="s">
        <v>272</v>
      </c>
      <c r="Z20" s="356" t="n">
        <f aca="false">IFERROR(IF($M20=Y20,($D$8+$D$9+$D$10)*$I20,IF($N20=LEFT(Y20,1),($D$8+MAX(0,IF($D$50=1,$D$9*(1-(ABS($Q20-ABS(VALUE(MID(Y20,FIND("|",Y20)+1,FIND("-",Y20)-FIND("|",Y20)-1))-VALUE(MID(Y20,FIND("-",Y20)+1,10)))))*$D$50),$D$9*(1-(IF($N20="X",ABS($O20-VALUE(MID(Y20,FIND("|",Y20)+1,FIND("-",Y20)-FIND("|",Y20)-1))),ABS($Q20-ABS(VALUE(MID(Y20,FIND("|",Y20)+1,FIND("-",Y20)-FIND("|",Y20)-1))-VALUE(MID(Y20,FIND("-",Y20)+1,10)))))*$D$50)))))*$I20,0)),0)</f>
        <v>0</v>
      </c>
      <c r="AA20" s="338"/>
      <c r="AB20" s="363" t="s">
        <v>266</v>
      </c>
      <c r="AC20" s="356" t="n">
        <f aca="false">IFERROR(IF($M20=AB20,($D$8+$D$9+$D$10)*$I20,IF($N20=LEFT(AB20,1),($D$8+MAX(0,IF($D$50=1,$D$9*(1-(ABS($Q20-ABS(VALUE(MID(AB20,FIND("|",AB20)+1,FIND("-",AB20)-FIND("|",AB20)-1))-VALUE(MID(AB20,FIND("-",AB20)+1,10)))))*$D$50),$D$9*(1-(IF($N20="X",ABS($O20-VALUE(MID(AB20,FIND("|",AB20)+1,FIND("-",AB20)-FIND("|",AB20)-1))),ABS($Q20-ABS(VALUE(MID(AB20,FIND("|",AB20)+1,FIND("-",AB20)-FIND("|",AB20)-1))-VALUE(MID(AB20,FIND("-",AB20)+1,10)))))*$D$50)))))*$I20,0)),0)</f>
        <v>0</v>
      </c>
      <c r="AD20" s="338"/>
      <c r="AE20" s="363" t="s">
        <v>285</v>
      </c>
      <c r="AF20" s="356" t="n">
        <f aca="false">IFERROR(IF($M20=AE20,($D$8+$D$9+$D$10)*$I20,IF($N20=LEFT(AE20,1),($D$8+MAX(0,IF($D$50=1,$D$9*(1-(ABS($Q20-ABS(VALUE(MID(AE20,FIND("|",AE20)+1,FIND("-",AE20)-FIND("|",AE20)-1))-VALUE(MID(AE20,FIND("-",AE20)+1,10)))))*$D$50),$D$9*(1-(IF($N20="X",ABS($O20-VALUE(MID(AE20,FIND("|",AE20)+1,FIND("-",AE20)-FIND("|",AE20)-1))),ABS($Q20-ABS(VALUE(MID(AE20,FIND("|",AE20)+1,FIND("-",AE20)-FIND("|",AE20)-1))-VALUE(MID(AE20,FIND("-",AE20)+1,10)))))*$D$50)))))*$I20,0)),0)</f>
        <v>0</v>
      </c>
      <c r="AG20" s="338"/>
      <c r="AH20" s="363" t="s">
        <v>272</v>
      </c>
      <c r="AI20" s="356" t="n">
        <f aca="false">IFERROR(IF($M20=AH20,($D$8+$D$9+$D$10)*$I20,IF($N20=LEFT(AH20,1),($D$8+MAX(0,IF($D$50=1,$D$9*(1-(ABS($Q20-ABS(VALUE(MID(AH20,FIND("|",AH20)+1,FIND("-",AH20)-FIND("|",AH20)-1))-VALUE(MID(AH20,FIND("-",AH20)+1,10)))))*$D$50),$D$9*(1-(IF($N20="X",ABS($O20-VALUE(MID(AH20,FIND("|",AH20)+1,FIND("-",AH20)-FIND("|",AH20)-1))),ABS($Q20-ABS(VALUE(MID(AH20,FIND("|",AH20)+1,FIND("-",AH20)-FIND("|",AH20)-1))-VALUE(MID(AH20,FIND("-",AH20)+1,10)))))*$D$50)))))*$I20,0)),0)</f>
        <v>0</v>
      </c>
      <c r="AJ20" s="338"/>
      <c r="AK20" s="363" t="s">
        <v>272</v>
      </c>
      <c r="AL20" s="356" t="n">
        <f aca="false">IFERROR(IF($M20=AK20,($D$8+$D$9+$D$10)*$I20,IF($N20=LEFT(AK20,1),($D$8+MAX(0,IF($D$50=1,$D$9*(1-(ABS($Q20-ABS(VALUE(MID(AK20,FIND("|",AK20)+1,FIND("-",AK20)-FIND("|",AK20)-1))-VALUE(MID(AK20,FIND("-",AK20)+1,10)))))*$D$50),$D$9*(1-(IF($N20="X",ABS($O20-VALUE(MID(AK20,FIND("|",AK20)+1,FIND("-",AK20)-FIND("|",AK20)-1))),ABS($Q20-ABS(VALUE(MID(AK20,FIND("|",AK20)+1,FIND("-",AK20)-FIND("|",AK20)-1))-VALUE(MID(AK20,FIND("-",AK20)+1,10)))))*$D$50)))))*$I20,0)),0)</f>
        <v>0</v>
      </c>
      <c r="AM20" s="338"/>
      <c r="AN20" s="363" t="s">
        <v>272</v>
      </c>
      <c r="AO20" s="356" t="n">
        <f aca="false">IFERROR(IF($M20=AN20,($D$8+$D$9+$D$10)*$I20,IF($N20=LEFT(AN20,1),($D$8+MAX(0,IF($D$50=1,$D$9*(1-(ABS($Q20-ABS(VALUE(MID(AN20,FIND("|",AN20)+1,FIND("-",AN20)-FIND("|",AN20)-1))-VALUE(MID(AN20,FIND("-",AN20)+1,10)))))*$D$50),$D$9*(1-(IF($N20="X",ABS($O20-VALUE(MID(AN20,FIND("|",AN20)+1,FIND("-",AN20)-FIND("|",AN20)-1))),ABS($Q20-ABS(VALUE(MID(AN20,FIND("|",AN20)+1,FIND("-",AN20)-FIND("|",AN20)-1))-VALUE(MID(AN20,FIND("-",AN20)+1,10)))))*$D$50)))))*$I20,0)),0)</f>
        <v>0</v>
      </c>
      <c r="AP20" s="338"/>
      <c r="AQ20" s="363" t="s">
        <v>285</v>
      </c>
      <c r="AR20" s="356" t="n">
        <f aca="false">IFERROR(IF($M20=AQ20,($D$8+$D$9+$D$10)*$I20,IF($N20=LEFT(AQ20,1),($D$8+MAX(0,IF($D$50=1,$D$9*(1-(ABS($Q20-ABS(VALUE(MID(AQ20,FIND("|",AQ20)+1,FIND("-",AQ20)-FIND("|",AQ20)-1))-VALUE(MID(AQ20,FIND("-",AQ20)+1,10)))))*$D$50),$D$9*(1-(IF($N20="X",ABS($O20-VALUE(MID(AQ20,FIND("|",AQ20)+1,FIND("-",AQ20)-FIND("|",AQ20)-1))),ABS($Q20-ABS(VALUE(MID(AQ20,FIND("|",AQ20)+1,FIND("-",AQ20)-FIND("|",AQ20)-1))-VALUE(MID(AQ20,FIND("-",AQ20)+1,10)))))*$D$50)))))*$I20,0)),0)</f>
        <v>0</v>
      </c>
      <c r="AS20" s="338"/>
      <c r="AT20" s="363" t="s">
        <v>285</v>
      </c>
      <c r="AU20" s="356" t="n">
        <f aca="false">IFERROR(IF($M20=AT20,($D$8+$D$9+$D$10)*$I20,IF($N20=LEFT(AT20,1),($D$8+MAX(0,IF($D$50=1,$D$9*(1-(ABS($Q20-ABS(VALUE(MID(AT20,FIND("|",AT20)+1,FIND("-",AT20)-FIND("|",AT20)-1))-VALUE(MID(AT20,FIND("-",AT20)+1,10)))))*$D$50),$D$9*(1-(IF($N20="X",ABS($O20-VALUE(MID(AT20,FIND("|",AT20)+1,FIND("-",AT20)-FIND("|",AT20)-1))),ABS($Q20-ABS(VALUE(MID(AT20,FIND("|",AT20)+1,FIND("-",AT20)-FIND("|",AT20)-1))-VALUE(MID(AT20,FIND("-",AT20)+1,10)))))*$D$50)))))*$I20,0)),0)</f>
        <v>0</v>
      </c>
      <c r="AV20" s="338"/>
      <c r="AW20" s="363" t="s">
        <v>266</v>
      </c>
      <c r="AX20" s="356" t="n">
        <f aca="false">IFERROR(IF($M20=AW20,($D$8+$D$9+$D$10)*$I20,IF($N20=LEFT(AW20,1),($D$8+MAX(0,IF($D$50=1,$D$9*(1-(ABS($Q20-ABS(VALUE(MID(AW20,FIND("|",AW20)+1,FIND("-",AW20)-FIND("|",AW20)-1))-VALUE(MID(AW20,FIND("-",AW20)+1,10)))))*$D$50),$D$9*(1-(IF($N20="X",ABS($O20-VALUE(MID(AW20,FIND("|",AW20)+1,FIND("-",AW20)-FIND("|",AW20)-1))),ABS($Q20-ABS(VALUE(MID(AW20,FIND("|",AW20)+1,FIND("-",AW20)-FIND("|",AW20)-1))-VALUE(MID(AW20,FIND("-",AW20)+1,10)))))*$D$50)))))*$I20,0)),0)</f>
        <v>0</v>
      </c>
      <c r="AY20" s="338"/>
      <c r="AZ20" s="363" t="s">
        <v>288</v>
      </c>
      <c r="BA20" s="356" t="n">
        <f aca="false">IFERROR(IF($M20=AZ20,($D$8+$D$9+$D$10)*$I20,IF($N20=LEFT(AZ20,1),($D$8+MAX(0,IF($D$50=1,$D$9*(1-(ABS($Q20-ABS(VALUE(MID(AZ20,FIND("|",AZ20)+1,FIND("-",AZ20)-FIND("|",AZ20)-1))-VALUE(MID(AZ20,FIND("-",AZ20)+1,10)))))*$D$50),$D$9*(1-(IF($N20="X",ABS($O20-VALUE(MID(AZ20,FIND("|",AZ20)+1,FIND("-",AZ20)-FIND("|",AZ20)-1))),ABS($Q20-ABS(VALUE(MID(AZ20,FIND("|",AZ20)+1,FIND("-",AZ20)-FIND("|",AZ20)-1))-VALUE(MID(AZ20,FIND("-",AZ20)+1,10)))))*$D$50)))))*$I20,0)),0)</f>
        <v>0</v>
      </c>
      <c r="BB20" s="338"/>
      <c r="BC20" s="363" t="s">
        <v>266</v>
      </c>
      <c r="BD20" s="356" t="n">
        <f aca="false">IFERROR(IF($M20=BC20,($D$8+$D$9+$D$10)*$I20,IF($N20=LEFT(BC20,1),($D$8+MAX(0,IF($D$50=1,$D$9*(1-(ABS($Q20-ABS(VALUE(MID(BC20,FIND("|",BC20)+1,FIND("-",BC20)-FIND("|",BC20)-1))-VALUE(MID(BC20,FIND("-",BC20)+1,10)))))*$D$50),$D$9*(1-(IF($N20="X",ABS($O20-VALUE(MID(BC20,FIND("|",BC20)+1,FIND("-",BC20)-FIND("|",BC20)-1))),ABS($Q20-ABS(VALUE(MID(BC20,FIND("|",BC20)+1,FIND("-",BC20)-FIND("|",BC20)-1))-VALUE(MID(BC20,FIND("-",BC20)+1,10)))))*$D$50)))))*$I20,0)),0)</f>
        <v>0</v>
      </c>
      <c r="BE20" s="338"/>
      <c r="BF20" s="363" t="s">
        <v>284</v>
      </c>
      <c r="BG20" s="356" t="n">
        <f aca="false">IFERROR(IF($M20=BF20,($D$8+$D$9+$D$10)*$I20,IF($N20=LEFT(BF20,1),($D$8+MAX(0,IF($D$50=1,$D$9*(1-(ABS($Q20-ABS(VALUE(MID(BF20,FIND("|",BF20)+1,FIND("-",BF20)-FIND("|",BF20)-1))-VALUE(MID(BF20,FIND("-",BF20)+1,10)))))*$D$50),$D$9*(1-(IF($N20="X",ABS($O20-VALUE(MID(BF20,FIND("|",BF20)+1,FIND("-",BF20)-FIND("|",BF20)-1))),ABS($Q20-ABS(VALUE(MID(BF20,FIND("|",BF20)+1,FIND("-",BF20)-FIND("|",BF20)-1))-VALUE(MID(BF20,FIND("-",BF20)+1,10)))))*$D$50)))))*$I20,0)),0)</f>
        <v>0</v>
      </c>
      <c r="BH20" s="338"/>
      <c r="BI20" s="363" t="s">
        <v>265</v>
      </c>
      <c r="BJ20" s="356" t="n">
        <f aca="false">IFERROR(IF($M20=BI20,($D$8+$D$9+$D$10)*$I20,IF($N20=LEFT(BI20,1),($D$8+MAX(0,IF($D$50=1,$D$9*(1-(ABS($Q20-ABS(VALUE(MID(BI20,FIND("|",BI20)+1,FIND("-",BI20)-FIND("|",BI20)-1))-VALUE(MID(BI20,FIND("-",BI20)+1,10)))))*$D$50),$D$9*(1-(IF($N20="X",ABS($O20-VALUE(MID(BI20,FIND("|",BI20)+1,FIND("-",BI20)-FIND("|",BI20)-1))),ABS($Q20-ABS(VALUE(MID(BI20,FIND("|",BI20)+1,FIND("-",BI20)-FIND("|",BI20)-1))-VALUE(MID(BI20,FIND("-",BI20)+1,10)))))*$D$50)))))*$I20,0)),0)</f>
        <v>0</v>
      </c>
      <c r="BK20" s="338"/>
      <c r="BL20" s="363" t="s">
        <v>266</v>
      </c>
      <c r="BM20" s="356" t="n">
        <f aca="false">IFERROR(IF($M20=BL20,($D$8+$D$9+$D$10)*$I20,IF($N20=LEFT(BL20,1),($D$8+MAX(0,IF($D$50=1,$D$9*(1-(ABS($Q20-ABS(VALUE(MID(BL20,FIND("|",BL20)+1,FIND("-",BL20)-FIND("|",BL20)-1))-VALUE(MID(BL20,FIND("-",BL20)+1,10)))))*$D$50),$D$9*(1-(IF($N20="X",ABS($O20-VALUE(MID(BL20,FIND("|",BL20)+1,FIND("-",BL20)-FIND("|",BL20)-1))),ABS($Q20-ABS(VALUE(MID(BL20,FIND("|",BL20)+1,FIND("-",BL20)-FIND("|",BL20)-1))-VALUE(MID(BL20,FIND("-",BL20)+1,10)))))*$D$50)))))*$I20,0)),0)</f>
        <v>0</v>
      </c>
      <c r="BN20" s="338"/>
      <c r="BO20" s="363" t="s">
        <v>284</v>
      </c>
      <c r="BP20" s="356" t="n">
        <f aca="false">IFERROR(IF($M20=BO20,($D$8+$D$9+$D$10)*$I20,IF($N20=LEFT(BO20,1),($D$8+MAX(0,IF($D$50=1,$D$9*(1-(ABS($Q20-ABS(VALUE(MID(BO20,FIND("|",BO20)+1,FIND("-",BO20)-FIND("|",BO20)-1))-VALUE(MID(BO20,FIND("-",BO20)+1,10)))))*$D$50),$D$9*(1-(IF($N20="X",ABS($O20-VALUE(MID(BO20,FIND("|",BO20)+1,FIND("-",BO20)-FIND("|",BO20)-1))),ABS($Q20-ABS(VALUE(MID(BO20,FIND("|",BO20)+1,FIND("-",BO20)-FIND("|",BO20)-1))-VALUE(MID(BO20,FIND("-",BO20)+1,10)))))*$D$50)))))*$I20,0)),0)</f>
        <v>0</v>
      </c>
      <c r="BQ20" s="338"/>
      <c r="BR20" s="363" t="s">
        <v>272</v>
      </c>
      <c r="BS20" s="356" t="n">
        <f aca="false">IFERROR(IF($M20=BR20,($D$8+$D$9+$D$10)*$I20,IF($N20=LEFT(BR20,1),($D$8+MAX(0,IF($D$50=1,$D$9*(1-(ABS($Q20-ABS(VALUE(MID(BR20,FIND("|",BR20)+1,FIND("-",BR20)-FIND("|",BR20)-1))-VALUE(MID(BR20,FIND("-",BR20)+1,10)))))*$D$50),$D$9*(1-(IF($N20="X",ABS($O20-VALUE(MID(BR20,FIND("|",BR20)+1,FIND("-",BR20)-FIND("|",BR20)-1))),ABS($Q20-ABS(VALUE(MID(BR20,FIND("|",BR20)+1,FIND("-",BR20)-FIND("|",BR20)-1))-VALUE(MID(BR20,FIND("-",BR20)+1,10)))))*$D$50)))))*$I20,0)),0)</f>
        <v>0</v>
      </c>
      <c r="BT20" s="338"/>
      <c r="BU20" s="363"/>
      <c r="BV20" s="356" t="n">
        <f aca="false">IFERROR(IF($M20=BU20,($D$8+$D$9+$D$10)*$I20,IF($N20=LEFT(BU20,1),($D$8+MAX(0,IF($D$50=1,$D$9*(1-(ABS($Q20-ABS(VALUE(MID(BU20,FIND("|",BU20)+1,FIND("-",BU20)-FIND("|",BU20)-1))-VALUE(MID(BU20,FIND("-",BU20)+1,10)))))*$D$50),$D$9*(1-(IF($N20="X",ABS($O20-VALUE(MID(BU20,FIND("|",BU20)+1,FIND("-",BU20)-FIND("|",BU20)-1))),ABS($Q20-ABS(VALUE(MID(BU20,FIND("|",BU20)+1,FIND("-",BU20)-FIND("|",BU20)-1))-VALUE(MID(BU20,FIND("-",BU20)+1,10)))))*$D$50)))))*$I20,0)),0)</f>
        <v>0</v>
      </c>
      <c r="BW20" s="338"/>
      <c r="BX20" s="363"/>
      <c r="BY20" s="356" t="n">
        <f aca="false">IFERROR(IF($M20=BX20,($D$8+$D$9+$D$10)*$I20,IF($N20=LEFT(BX20,1),($D$8+MAX(0,IF($D$50=1,$D$9*(1-(ABS($Q20-ABS(VALUE(MID(BX20,FIND("|",BX20)+1,FIND("-",BX20)-FIND("|",BX20)-1))-VALUE(MID(BX20,FIND("-",BX20)+1,10)))))*$D$50),$D$9*(1-(IF($N20="X",ABS($O20-VALUE(MID(BX20,FIND("|",BX20)+1,FIND("-",BX20)-FIND("|",BX20)-1))),ABS($Q20-ABS(VALUE(MID(BX20,FIND("|",BX20)+1,FIND("-",BX20)-FIND("|",BX20)-1))-VALUE(MID(BX20,FIND("-",BX20)+1,10)))))*$D$50)))))*$I20,0)),0)</f>
        <v>0</v>
      </c>
      <c r="BZ20" s="338"/>
      <c r="CA20" s="363"/>
      <c r="CB20" s="356" t="n">
        <f aca="false">IFERROR(IF($M20=CA20,($D$8+$D$9+$D$10)*$I20,IF($N20=LEFT(CA20,1),($D$8+MAX(0,IF($D$50=1,$D$9*(1-(ABS($Q20-ABS(VALUE(MID(CA20,FIND("|",CA20)+1,FIND("-",CA20)-FIND("|",CA20)-1))-VALUE(MID(CA20,FIND("-",CA20)+1,10)))))*$D$50),$D$9*(1-(IF($N20="X",ABS($O20-VALUE(MID(CA20,FIND("|",CA20)+1,FIND("-",CA20)-FIND("|",CA20)-1))),ABS($Q20-ABS(VALUE(MID(CA20,FIND("|",CA20)+1,FIND("-",CA20)-FIND("|",CA20)-1))-VALUE(MID(CA20,FIND("-",CA20)+1,10)))))*$D$50)))))*$I20,0)),0)</f>
        <v>0</v>
      </c>
      <c r="CC20" s="338"/>
      <c r="CD20" s="363"/>
      <c r="CE20" s="356" t="n">
        <f aca="false">IFERROR(IF($M20=CD20,($D$8+$D$9+$D$10)*$I20,IF($N20=LEFT(CD20,1),($D$8+MAX(0,IF($D$50=1,$D$9*(1-(ABS($Q20-ABS(VALUE(MID(CD20,FIND("|",CD20)+1,FIND("-",CD20)-FIND("|",CD20)-1))-VALUE(MID(CD20,FIND("-",CD20)+1,10)))))*$D$50),$D$9*(1-(IF($N20="X",ABS($O20-VALUE(MID(CD20,FIND("|",CD20)+1,FIND("-",CD20)-FIND("|",CD20)-1))),ABS($Q20-ABS(VALUE(MID(CD20,FIND("|",CD20)+1,FIND("-",CD20)-FIND("|",CD20)-1))-VALUE(MID(CD20,FIND("-",CD20)+1,10)))))*$D$50)))))*$I20,0)),0)</f>
        <v>0</v>
      </c>
      <c r="CF20" s="338"/>
      <c r="CG20" s="363"/>
      <c r="CH20" s="356" t="n">
        <f aca="false">IFERROR(IF($M20=CG20,($D$8+$D$9+$D$10)*$I20,IF($N20=LEFT(CG20,1),($D$8+MAX(0,IF($D$50=1,$D$9*(1-(ABS($Q20-ABS(VALUE(MID(CG20,FIND("|",CG20)+1,FIND("-",CG20)-FIND("|",CG20)-1))-VALUE(MID(CG20,FIND("-",CG20)+1,10)))))*$D$50),$D$9*(1-(IF($N20="X",ABS($O20-VALUE(MID(CG20,FIND("|",CG20)+1,FIND("-",CG20)-FIND("|",CG20)-1))),ABS($Q20-ABS(VALUE(MID(CG20,FIND("|",CG20)+1,FIND("-",CG20)-FIND("|",CG20)-1))-VALUE(MID(CG20,FIND("-",CG20)+1,10)))))*$D$50)))))*$I20,0)),0)</f>
        <v>0</v>
      </c>
      <c r="CI20" s="338"/>
      <c r="CJ20" s="363"/>
      <c r="CK20" s="356" t="n">
        <f aca="false">IFERROR(IF($M20=CJ20,($D$8+$D$9+$D$10)*$I20,IF($N20=LEFT(CJ20,1),($D$8+MAX(0,IF($D$50=1,$D$9*(1-(ABS($Q20-ABS(VALUE(MID(CJ20,FIND("|",CJ20)+1,FIND("-",CJ20)-FIND("|",CJ20)-1))-VALUE(MID(CJ20,FIND("-",CJ20)+1,10)))))*$D$50),$D$9*(1-(IF($N20="X",ABS($O20-VALUE(MID(CJ20,FIND("|",CJ20)+1,FIND("-",CJ20)-FIND("|",CJ20)-1))),ABS($Q20-ABS(VALUE(MID(CJ20,FIND("|",CJ20)+1,FIND("-",CJ20)-FIND("|",CJ20)-1))-VALUE(MID(CJ20,FIND("-",CJ20)+1,10)))))*$D$50)))))*$I20,0)),0)</f>
        <v>0</v>
      </c>
      <c r="CL20" s="338"/>
      <c r="CM20" s="363"/>
      <c r="CN20" s="356" t="n">
        <f aca="false">IFERROR(IF($M20=CM20,($D$8+$D$9+$D$10)*$I20,IF($N20=LEFT(CM20,1),($D$8+MAX(0,IF($D$50=1,$D$9*(1-(ABS($Q20-ABS(VALUE(MID(CM20,FIND("|",CM20)+1,FIND("-",CM20)-FIND("|",CM20)-1))-VALUE(MID(CM20,FIND("-",CM20)+1,10)))))*$D$50),$D$9*(1-(IF($N20="X",ABS($O20-VALUE(MID(CM20,FIND("|",CM20)+1,FIND("-",CM20)-FIND("|",CM20)-1))),ABS($Q20-ABS(VALUE(MID(CM20,FIND("|",CM20)+1,FIND("-",CM20)-FIND("|",CM20)-1))-VALUE(MID(CM20,FIND("-",CM20)+1,10)))))*$D$50)))))*$I20,0)),0)</f>
        <v>0</v>
      </c>
      <c r="CO20" s="338"/>
      <c r="CP20" s="363"/>
      <c r="CQ20" s="356" t="n">
        <f aca="false">IFERROR(IF($M20=CP20,($D$8+$D$9+$D$10)*$I20,IF($N20=LEFT(CP20,1),($D$8+MAX(0,IF($D$50=1,$D$9*(1-(ABS($Q20-ABS(VALUE(MID(CP20,FIND("|",CP20)+1,FIND("-",CP20)-FIND("|",CP20)-1))-VALUE(MID(CP20,FIND("-",CP20)+1,10)))))*$D$50),$D$9*(1-(IF($N20="X",ABS($O20-VALUE(MID(CP20,FIND("|",CP20)+1,FIND("-",CP20)-FIND("|",CP20)-1))),ABS($Q20-ABS(VALUE(MID(CP20,FIND("|",CP20)+1,FIND("-",CP20)-FIND("|",CP20)-1))-VALUE(MID(CP20,FIND("-",CP20)+1,10)))))*$D$50)))))*$I20,0)),0)</f>
        <v>0</v>
      </c>
      <c r="CR20" s="338"/>
      <c r="CS20" s="363"/>
      <c r="CT20" s="356" t="n">
        <f aca="false">IFERROR(IF($M20=CS20,($D$8+$D$9+$D$10)*$I20,IF($N20=LEFT(CS20,1),($D$8+MAX(0,IF($D$50=1,$D$9*(1-(ABS($Q20-ABS(VALUE(MID(CS20,FIND("|",CS20)+1,FIND("-",CS20)-FIND("|",CS20)-1))-VALUE(MID(CS20,FIND("-",CS20)+1,10)))))*$D$50),$D$9*(1-(IF($N20="X",ABS($O20-VALUE(MID(CS20,FIND("|",CS20)+1,FIND("-",CS20)-FIND("|",CS20)-1))),ABS($Q20-ABS(VALUE(MID(CS20,FIND("|",CS20)+1,FIND("-",CS20)-FIND("|",CS20)-1))-VALUE(MID(CS20,FIND("-",CS20)+1,10)))))*$D$50)))))*$I20,0)),0)</f>
        <v>0</v>
      </c>
      <c r="CU20" s="338"/>
      <c r="CV20" s="363"/>
      <c r="CW20" s="356" t="n">
        <f aca="false">IFERROR(IF($M20=CV20,($D$8+$D$9+$D$10)*$I20,IF($N20=LEFT(CV20,1),($D$8+MAX(0,IF($D$50=1,$D$9*(1-(ABS($Q20-ABS(VALUE(MID(CV20,FIND("|",CV20)+1,FIND("-",CV20)-FIND("|",CV20)-1))-VALUE(MID(CV20,FIND("-",CV20)+1,10)))))*$D$50),$D$9*(1-(IF($N20="X",ABS($O20-VALUE(MID(CV20,FIND("|",CV20)+1,FIND("-",CV20)-FIND("|",CV20)-1))),ABS($Q20-ABS(VALUE(MID(CV20,FIND("|",CV20)+1,FIND("-",CV20)-FIND("|",CV20)-1))-VALUE(MID(CV20,FIND("-",CV20)+1,10)))))*$D$50)))))*$I20,0)),0)</f>
        <v>0</v>
      </c>
      <c r="CX20" s="338"/>
      <c r="CY20" s="363"/>
      <c r="CZ20" s="356" t="n">
        <f aca="false">IFERROR(IF($M20=CY20,($D$8+$D$9+$D$10)*$I20,IF($N20=LEFT(CY20,1),($D$8+MAX(0,IF($D$50=1,$D$9*(1-(ABS($Q20-ABS(VALUE(MID(CY20,FIND("|",CY20)+1,FIND("-",CY20)-FIND("|",CY20)-1))-VALUE(MID(CY20,FIND("-",CY20)+1,10)))))*$D$50),$D$9*(1-(IF($N20="X",ABS($O20-VALUE(MID(CY20,FIND("|",CY20)+1,FIND("-",CY20)-FIND("|",CY20)-1))),ABS($Q20-ABS(VALUE(MID(CY20,FIND("|",CY20)+1,FIND("-",CY20)-FIND("|",CY20)-1))-VALUE(MID(CY20,FIND("-",CY20)+1,10)))))*$D$50)))))*$I20,0)),0)</f>
        <v>0</v>
      </c>
      <c r="DA20" s="338"/>
      <c r="DB20" s="363"/>
      <c r="DC20" s="356" t="n">
        <f aca="false">IFERROR(IF($M20=DB20,($D$8+$D$9+$D$10)*$I20,IF($N20=LEFT(DB20,1),($D$8+MAX(0,IF($D$50=1,$D$9*(1-(ABS($Q20-ABS(VALUE(MID(DB20,FIND("|",DB20)+1,FIND("-",DB20)-FIND("|",DB20)-1))-VALUE(MID(DB20,FIND("-",DB20)+1,10)))))*$D$50),$D$9*(1-(IF($N20="X",ABS($O20-VALUE(MID(DB20,FIND("|",DB20)+1,FIND("-",DB20)-FIND("|",DB20)-1))),ABS($Q20-ABS(VALUE(MID(DB20,FIND("|",DB20)+1,FIND("-",DB20)-FIND("|",DB20)-1))-VALUE(MID(DB20,FIND("-",DB20)+1,10)))))*$D$50)))))*$I20,0)),0)</f>
        <v>0</v>
      </c>
      <c r="DD20" s="338"/>
      <c r="DE20" s="363"/>
      <c r="DF20" s="356" t="n">
        <f aca="false">IFERROR(IF($M20=DE20,($D$8+$D$9+$D$10)*$I20,IF($N20=LEFT(DE20,1),($D$8+MAX(0,IF($D$50=1,$D$9*(1-(ABS($Q20-ABS(VALUE(MID(DE20,FIND("|",DE20)+1,FIND("-",DE20)-FIND("|",DE20)-1))-VALUE(MID(DE20,FIND("-",DE20)+1,10)))))*$D$50),$D$9*(1-(IF($N20="X",ABS($O20-VALUE(MID(DE20,FIND("|",DE20)+1,FIND("-",DE20)-FIND("|",DE20)-1))),ABS($Q20-ABS(VALUE(MID(DE20,FIND("|",DE20)+1,FIND("-",DE20)-FIND("|",DE20)-1))-VALUE(MID(DE20,FIND("-",DE20)+1,10)))))*$D$50)))))*$I20,0)),0)</f>
        <v>0</v>
      </c>
      <c r="DG20" s="338"/>
      <c r="DH20" s="363"/>
      <c r="DI20" s="356" t="n">
        <f aca="false">IFERROR(IF($M20=DH20,($D$8+$D$9+$D$10)*$I20,IF($N20=LEFT(DH20,1),($D$8+MAX(0,IF($D$50=1,$D$9*(1-(ABS($Q20-ABS(VALUE(MID(DH20,FIND("|",DH20)+1,FIND("-",DH20)-FIND("|",DH20)-1))-VALUE(MID(DH20,FIND("-",DH20)+1,10)))))*$D$50),$D$9*(1-(IF($N20="X",ABS($O20-VALUE(MID(DH20,FIND("|",DH20)+1,FIND("-",DH20)-FIND("|",DH20)-1))),ABS($Q20-ABS(VALUE(MID(DH20,FIND("|",DH20)+1,FIND("-",DH20)-FIND("|",DH20)-1))-VALUE(MID(DH20,FIND("-",DH20)+1,10)))))*$D$50)))))*$I20,0)),0)</f>
        <v>0</v>
      </c>
      <c r="DJ20" s="338"/>
      <c r="DK20" s="363"/>
      <c r="DL20" s="356" t="n">
        <f aca="false">IFERROR(IF($M20=DK20,($D$8+$D$9+$D$10)*$I20,IF($N20=LEFT(DK20,1),($D$8+MAX(0,IF($D$50=1,$D$9*(1-(ABS($Q20-ABS(VALUE(MID(DK20,FIND("|",DK20)+1,FIND("-",DK20)-FIND("|",DK20)-1))-VALUE(MID(DK20,FIND("-",DK20)+1,10)))))*$D$50),$D$9*(1-(IF($N20="X",ABS($O20-VALUE(MID(DK20,FIND("|",DK20)+1,FIND("-",DK20)-FIND("|",DK20)-1))),ABS($Q20-ABS(VALUE(MID(DK20,FIND("|",DK20)+1,FIND("-",DK20)-FIND("|",DK20)-1))-VALUE(MID(DK20,FIND("-",DK20)+1,10)))))*$D$50)))))*$I20,0)),0)</f>
        <v>0</v>
      </c>
      <c r="DM20" s="338"/>
      <c r="DN20" s="363"/>
      <c r="DO20" s="356" t="n">
        <f aca="false">IFERROR(IF($M20=DN20,($D$8+$D$9+$D$10)*$I20,IF($N20=LEFT(DN20,1),($D$8+MAX(0,IF($D$50=1,$D$9*(1-(ABS($Q20-ABS(VALUE(MID(DN20,FIND("|",DN20)+1,FIND("-",DN20)-FIND("|",DN20)-1))-VALUE(MID(DN20,FIND("-",DN20)+1,10)))))*$D$50),$D$9*(1-(IF($N20="X",ABS($O20-VALUE(MID(DN20,FIND("|",DN20)+1,FIND("-",DN20)-FIND("|",DN20)-1))),ABS($Q20-ABS(VALUE(MID(DN20,FIND("|",DN20)+1,FIND("-",DN20)-FIND("|",DN20)-1))-VALUE(MID(DN20,FIND("-",DN20)+1,10)))))*$D$50)))))*$I20,0)),0)</f>
        <v>0</v>
      </c>
      <c r="DP20" s="338"/>
      <c r="DQ20" s="363"/>
      <c r="DR20" s="356" t="n">
        <f aca="false">IFERROR(IF($M20=DQ20,($D$8+$D$9+$D$10)*$I20,IF($N20=LEFT(DQ20,1),($D$8+MAX(0,IF($D$50=1,$D$9*(1-(ABS($Q20-ABS(VALUE(MID(DQ20,FIND("|",DQ20)+1,FIND("-",DQ20)-FIND("|",DQ20)-1))-VALUE(MID(DQ20,FIND("-",DQ20)+1,10)))))*$D$50),$D$9*(1-(IF($N20="X",ABS($O20-VALUE(MID(DQ20,FIND("|",DQ20)+1,FIND("-",DQ20)-FIND("|",DQ20)-1))),ABS($Q20-ABS(VALUE(MID(DQ20,FIND("|",DQ20)+1,FIND("-",DQ20)-FIND("|",DQ20)-1))-VALUE(MID(DQ20,FIND("-",DQ20)+1,10)))))*$D$50)))))*$I20,0)),0)</f>
        <v>0</v>
      </c>
      <c r="DS20" s="338"/>
      <c r="DT20" s="363"/>
      <c r="DU20" s="356" t="n">
        <f aca="false">IFERROR(IF($M20=DT20,($D$8+$D$9+$D$10)*$I20,IF($N20=LEFT(DT20,1),($D$8+MAX(0,IF($D$50=1,$D$9*(1-(ABS($Q20-ABS(VALUE(MID(DT20,FIND("|",DT20)+1,FIND("-",DT20)-FIND("|",DT20)-1))-VALUE(MID(DT20,FIND("-",DT20)+1,10)))))*$D$50),$D$9*(1-(IF($N20="X",ABS($O20-VALUE(MID(DT20,FIND("|",DT20)+1,FIND("-",DT20)-FIND("|",DT20)-1))),ABS($Q20-ABS(VALUE(MID(DT20,FIND("|",DT20)+1,FIND("-",DT20)-FIND("|",DT20)-1))-VALUE(MID(DT20,FIND("-",DT20)+1,10)))))*$D$50)))))*$I20,0)),0)</f>
        <v>0</v>
      </c>
      <c r="DV20" s="338"/>
      <c r="DW20" s="363"/>
      <c r="DX20" s="356" t="n">
        <f aca="false">IFERROR(IF($M20=DW20,($D$8+$D$9+$D$10)*$I20,IF($N20=LEFT(DW20,1),($D$8+MAX(0,IF($D$50=1,$D$9*(1-(ABS($Q20-ABS(VALUE(MID(DW20,FIND("|",DW20)+1,FIND("-",DW20)-FIND("|",DW20)-1))-VALUE(MID(DW20,FIND("-",DW20)+1,10)))))*$D$50),$D$9*(1-(IF($N20="X",ABS($O20-VALUE(MID(DW20,FIND("|",DW20)+1,FIND("-",DW20)-FIND("|",DW20)-1))),ABS($Q20-ABS(VALUE(MID(DW20,FIND("|",DW20)+1,FIND("-",DW20)-FIND("|",DW20)-1))-VALUE(MID(DW20,FIND("-",DW20)+1,10)))))*$D$50)))))*$I20,0)),0)</f>
        <v>0</v>
      </c>
      <c r="DY20" s="338"/>
      <c r="DZ20" s="363"/>
      <c r="EA20" s="356" t="n">
        <f aca="false">IFERROR(IF($M20=DZ20,($D$8+$D$9+$D$10)*$I20,IF($N20=LEFT(DZ20,1),($D$8+MAX(0,IF($D$50=1,$D$9*(1-(ABS($Q20-ABS(VALUE(MID(DZ20,FIND("|",DZ20)+1,FIND("-",DZ20)-FIND("|",DZ20)-1))-VALUE(MID(DZ20,FIND("-",DZ20)+1,10)))))*$D$50),$D$9*(1-(IF($N20="X",ABS($O20-VALUE(MID(DZ20,FIND("|",DZ20)+1,FIND("-",DZ20)-FIND("|",DZ20)-1))),ABS($Q20-ABS(VALUE(MID(DZ20,FIND("|",DZ20)+1,FIND("-",DZ20)-FIND("|",DZ20)-1))-VALUE(MID(DZ20,FIND("-",DZ20)+1,10)))))*$D$50)))))*$I20,0)),0)</f>
        <v>0</v>
      </c>
      <c r="EB20" s="338"/>
      <c r="EC20" s="363"/>
      <c r="ED20" s="356" t="n">
        <f aca="false">IFERROR(IF($M20=EC20,($D$8+$D$9+$D$10)*$I20,IF($N20=LEFT(EC20,1),($D$8+MAX(0,IF($D$50=1,$D$9*(1-(ABS($Q20-ABS(VALUE(MID(EC20,FIND("|",EC20)+1,FIND("-",EC20)-FIND("|",EC20)-1))-VALUE(MID(EC20,FIND("-",EC20)+1,10)))))*$D$50),$D$9*(1-(IF($N20="X",ABS($O20-VALUE(MID(EC20,FIND("|",EC20)+1,FIND("-",EC20)-FIND("|",EC20)-1))),ABS($Q20-ABS(VALUE(MID(EC20,FIND("|",EC20)+1,FIND("-",EC20)-FIND("|",EC20)-1))-VALUE(MID(EC20,FIND("-",EC20)+1,10)))))*$D$50)))))*$I20,0)),0)</f>
        <v>0</v>
      </c>
      <c r="EE20" s="338"/>
      <c r="EF20" s="363"/>
      <c r="EG20" s="356" t="n">
        <f aca="false">IFERROR(IF($M20=EF20,($D$8+$D$9+$D$10)*$I20,IF($N20=LEFT(EF20,1),($D$8+MAX(0,IF($D$50=1,$D$9*(1-(ABS($Q20-ABS(VALUE(MID(EF20,FIND("|",EF20)+1,FIND("-",EF20)-FIND("|",EF20)-1))-VALUE(MID(EF20,FIND("-",EF20)+1,10)))))*$D$50),$D$9*(1-(IF($N20="X",ABS($O20-VALUE(MID(EF20,FIND("|",EF20)+1,FIND("-",EF20)-FIND("|",EF20)-1))),ABS($Q20-ABS(VALUE(MID(EF20,FIND("|",EF20)+1,FIND("-",EF20)-FIND("|",EF20)-1))-VALUE(MID(EF20,FIND("-",EF20)+1,10)))))*$D$50)))))*$I20,0)),0)</f>
        <v>0</v>
      </c>
      <c r="EH20" s="338"/>
      <c r="EI20" s="338"/>
    </row>
    <row r="21" customFormat="false" ht="15" hidden="false" customHeight="false" outlineLevel="0" collapsed="false">
      <c r="A21" s="327"/>
      <c r="B21" s="327"/>
      <c r="C21" s="364" t="str">
        <f aca="false">Idiomas!D317&amp;"**"</f>
        <v>OCTAVOS -Diferencia/Distancia de goles (Con 1X2 acertado)**</v>
      </c>
      <c r="D21" s="365" t="n">
        <v>2</v>
      </c>
      <c r="E21" s="334"/>
      <c r="F21" s="343" t="n">
        <f aca="false">SUM($D$8:$D$10)*I21</f>
        <v>17</v>
      </c>
      <c r="G21" s="343" t="n">
        <f aca="false">VLOOKUP(H21,Equipos!$Q$1:$R$25,2,0)</f>
        <v>6</v>
      </c>
      <c r="H21" s="351" t="n">
        <f aca="false">TRUNC(INDEX(WORLDCUP!$X$4:$X$147,MATCH(ADMIN!K21,WORLDCUP!$DT$4:$DT$147,0))+INDEX(Horarios!$R$3:$R$86,MATCH(Horarios!$C$3,Horarios!$P$3:$P$86,0))/24)</f>
        <v>46189</v>
      </c>
      <c r="I21" s="352" t="n">
        <v>1</v>
      </c>
      <c r="J21" s="362" t="s">
        <v>290</v>
      </c>
      <c r="K21" s="354" t="str">
        <f aca="false">CONCATENATE(WORLDCUP!AA61,"-",WORLDCUP!AF61)</f>
        <v>Arabia Saudita-Uruguay</v>
      </c>
      <c r="L21" s="354"/>
      <c r="M21" s="359" t="str">
        <f aca="false">IF(OR(WORLDCUP!AC61="",WORLDCUP!AD61=""),"-",N21&amp;"|"&amp;O21&amp;"-"&amp;P21)</f>
        <v>X|1-1</v>
      </c>
      <c r="N21" s="332" t="str">
        <f aca="false">IF(OR(WORLDCUP!AC61="",WORLDCUP!AD61=""),"",IF(WORLDCUP!AC61&gt;WORLDCUP!AD61,"1",IF(WORLDCUP!AC61&lt;WORLDCUP!AD61,"2","X")))</f>
        <v>X</v>
      </c>
      <c r="O21" s="332" t="n">
        <f aca="false">WORLDCUP!AC61</f>
        <v>1</v>
      </c>
      <c r="P21" s="332" t="n">
        <f aca="false">WORLDCUP!AD61</f>
        <v>1</v>
      </c>
      <c r="Q21" s="332" t="n">
        <f aca="false">ABS(O21-P21)</f>
        <v>0</v>
      </c>
      <c r="R21" s="327"/>
      <c r="S21" s="363" t="s">
        <v>267</v>
      </c>
      <c r="T21" s="356" t="n">
        <f aca="false">IFERROR(IF($M21=S21,($D$8+$D$9+$D$10)*$I21,IF($N21=LEFT(S21,1),($D$8+MAX(0,IF($D$50=1,$D$9*(1-(ABS($Q21-ABS(VALUE(MID(S21,FIND("|",S21)+1,FIND("-",S21)-FIND("|",S21)-1))-VALUE(MID(S21,FIND("-",S21)+1,10)))))*$D$50),$D$9*(1-(IF($N21="X",ABS($O21-VALUE(MID(S21,FIND("|",S21)+1,FIND("-",S21)-FIND("|",S21)-1))),ABS($Q21-ABS(VALUE(MID(S21,FIND("|",S21)+1,FIND("-",S21)-FIND("|",S21)-1))-VALUE(MID(S21,FIND("-",S21)+1,10)))))*$D$50)))))*$I21,0)),0)</f>
        <v>17</v>
      </c>
      <c r="U21" s="338"/>
      <c r="V21" s="363" t="s">
        <v>268</v>
      </c>
      <c r="W21" s="356" t="n">
        <f aca="false">IFERROR(IF($M21=V21,($D$8+$D$9+$D$10)*$I21,IF($N21=LEFT(V21,1),($D$8+MAX(0,IF($D$50=1,$D$9*(1-(ABS($Q21-ABS(VALUE(MID(V21,FIND("|",V21)+1,FIND("-",V21)-FIND("|",V21)-1))-VALUE(MID(V21,FIND("-",V21)+1,10)))))*$D$50),$D$9*(1-(IF($N21="X",ABS($O21-VALUE(MID(V21,FIND("|",V21)+1,FIND("-",V21)-FIND("|",V21)-1))),ABS($Q21-ABS(VALUE(MID(V21,FIND("|",V21)+1,FIND("-",V21)-FIND("|",V21)-1))-VALUE(MID(V21,FIND("-",V21)+1,10)))))*$D$50)))))*$I21,0)),0)</f>
        <v>0</v>
      </c>
      <c r="X21" s="338"/>
      <c r="Y21" s="363" t="s">
        <v>268</v>
      </c>
      <c r="Z21" s="356" t="n">
        <f aca="false">IFERROR(IF($M21=Y21,($D$8+$D$9+$D$10)*$I21,IF($N21=LEFT(Y21,1),($D$8+MAX(0,IF($D$50=1,$D$9*(1-(ABS($Q21-ABS(VALUE(MID(Y21,FIND("|",Y21)+1,FIND("-",Y21)-FIND("|",Y21)-1))-VALUE(MID(Y21,FIND("-",Y21)+1,10)))))*$D$50),$D$9*(1-(IF($N21="X",ABS($O21-VALUE(MID(Y21,FIND("|",Y21)+1,FIND("-",Y21)-FIND("|",Y21)-1))),ABS($Q21-ABS(VALUE(MID(Y21,FIND("|",Y21)+1,FIND("-",Y21)-FIND("|",Y21)-1))-VALUE(MID(Y21,FIND("-",Y21)+1,10)))))*$D$50)))))*$I21,0)),0)</f>
        <v>0</v>
      </c>
      <c r="AA21" s="338"/>
      <c r="AB21" s="363" t="s">
        <v>268</v>
      </c>
      <c r="AC21" s="356" t="n">
        <f aca="false">IFERROR(IF($M21=AB21,($D$8+$D$9+$D$10)*$I21,IF($N21=LEFT(AB21,1),($D$8+MAX(0,IF($D$50=1,$D$9*(1-(ABS($Q21-ABS(VALUE(MID(AB21,FIND("|",AB21)+1,FIND("-",AB21)-FIND("|",AB21)-1))-VALUE(MID(AB21,FIND("-",AB21)+1,10)))))*$D$50),$D$9*(1-(IF($N21="X",ABS($O21-VALUE(MID(AB21,FIND("|",AB21)+1,FIND("-",AB21)-FIND("|",AB21)-1))),ABS($Q21-ABS(VALUE(MID(AB21,FIND("|",AB21)+1,FIND("-",AB21)-FIND("|",AB21)-1))-VALUE(MID(AB21,FIND("-",AB21)+1,10)))))*$D$50)))))*$I21,0)),0)</f>
        <v>0</v>
      </c>
      <c r="AD21" s="338"/>
      <c r="AE21" s="363" t="s">
        <v>274</v>
      </c>
      <c r="AF21" s="356" t="n">
        <f aca="false">IFERROR(IF($M21=AE21,($D$8+$D$9+$D$10)*$I21,IF($N21=LEFT(AE21,1),($D$8+MAX(0,IF($D$50=1,$D$9*(1-(ABS($Q21-ABS(VALUE(MID(AE21,FIND("|",AE21)+1,FIND("-",AE21)-FIND("|",AE21)-1))-VALUE(MID(AE21,FIND("-",AE21)+1,10)))))*$D$50),$D$9*(1-(IF($N21="X",ABS($O21-VALUE(MID(AE21,FIND("|",AE21)+1,FIND("-",AE21)-FIND("|",AE21)-1))),ABS($Q21-ABS(VALUE(MID(AE21,FIND("|",AE21)+1,FIND("-",AE21)-FIND("|",AE21)-1))-VALUE(MID(AE21,FIND("-",AE21)+1,10)))))*$D$50)))))*$I21,0)),0)</f>
        <v>0</v>
      </c>
      <c r="AG21" s="338"/>
      <c r="AH21" s="363" t="s">
        <v>274</v>
      </c>
      <c r="AI21" s="356" t="n">
        <f aca="false">IFERROR(IF($M21=AH21,($D$8+$D$9+$D$10)*$I21,IF($N21=LEFT(AH21,1),($D$8+MAX(0,IF($D$50=1,$D$9*(1-(ABS($Q21-ABS(VALUE(MID(AH21,FIND("|",AH21)+1,FIND("-",AH21)-FIND("|",AH21)-1))-VALUE(MID(AH21,FIND("-",AH21)+1,10)))))*$D$50),$D$9*(1-(IF($N21="X",ABS($O21-VALUE(MID(AH21,FIND("|",AH21)+1,FIND("-",AH21)-FIND("|",AH21)-1))),ABS($Q21-ABS(VALUE(MID(AH21,FIND("|",AH21)+1,FIND("-",AH21)-FIND("|",AH21)-1))-VALUE(MID(AH21,FIND("-",AH21)+1,10)))))*$D$50)))))*$I21,0)),0)</f>
        <v>0</v>
      </c>
      <c r="AJ21" s="338"/>
      <c r="AK21" s="363" t="s">
        <v>274</v>
      </c>
      <c r="AL21" s="356" t="n">
        <f aca="false">IFERROR(IF($M21=AK21,($D$8+$D$9+$D$10)*$I21,IF($N21=LEFT(AK21,1),($D$8+MAX(0,IF($D$50=1,$D$9*(1-(ABS($Q21-ABS(VALUE(MID(AK21,FIND("|",AK21)+1,FIND("-",AK21)-FIND("|",AK21)-1))-VALUE(MID(AK21,FIND("-",AK21)+1,10)))))*$D$50),$D$9*(1-(IF($N21="X",ABS($O21-VALUE(MID(AK21,FIND("|",AK21)+1,FIND("-",AK21)-FIND("|",AK21)-1))),ABS($Q21-ABS(VALUE(MID(AK21,FIND("|",AK21)+1,FIND("-",AK21)-FIND("|",AK21)-1))-VALUE(MID(AK21,FIND("-",AK21)+1,10)))))*$D$50)))))*$I21,0)),0)</f>
        <v>0</v>
      </c>
      <c r="AM21" s="338"/>
      <c r="AN21" s="363" t="s">
        <v>274</v>
      </c>
      <c r="AO21" s="356" t="n">
        <f aca="false">IFERROR(IF($M21=AN21,($D$8+$D$9+$D$10)*$I21,IF($N21=LEFT(AN21,1),($D$8+MAX(0,IF($D$50=1,$D$9*(1-(ABS($Q21-ABS(VALUE(MID(AN21,FIND("|",AN21)+1,FIND("-",AN21)-FIND("|",AN21)-1))-VALUE(MID(AN21,FIND("-",AN21)+1,10)))))*$D$50),$D$9*(1-(IF($N21="X",ABS($O21-VALUE(MID(AN21,FIND("|",AN21)+1,FIND("-",AN21)-FIND("|",AN21)-1))),ABS($Q21-ABS(VALUE(MID(AN21,FIND("|",AN21)+1,FIND("-",AN21)-FIND("|",AN21)-1))-VALUE(MID(AN21,FIND("-",AN21)+1,10)))))*$D$50)))))*$I21,0)),0)</f>
        <v>0</v>
      </c>
      <c r="AP21" s="338"/>
      <c r="AQ21" s="363" t="s">
        <v>268</v>
      </c>
      <c r="AR21" s="356" t="n">
        <f aca="false">IFERROR(IF($M21=AQ21,($D$8+$D$9+$D$10)*$I21,IF($N21=LEFT(AQ21,1),($D$8+MAX(0,IF($D$50=1,$D$9*(1-(ABS($Q21-ABS(VALUE(MID(AQ21,FIND("|",AQ21)+1,FIND("-",AQ21)-FIND("|",AQ21)-1))-VALUE(MID(AQ21,FIND("-",AQ21)+1,10)))))*$D$50),$D$9*(1-(IF($N21="X",ABS($O21-VALUE(MID(AQ21,FIND("|",AQ21)+1,FIND("-",AQ21)-FIND("|",AQ21)-1))),ABS($Q21-ABS(VALUE(MID(AQ21,FIND("|",AQ21)+1,FIND("-",AQ21)-FIND("|",AQ21)-1))-VALUE(MID(AQ21,FIND("-",AQ21)+1,10)))))*$D$50)))))*$I21,0)),0)</f>
        <v>0</v>
      </c>
      <c r="AS21" s="338"/>
      <c r="AT21" s="363" t="s">
        <v>271</v>
      </c>
      <c r="AU21" s="356" t="n">
        <f aca="false">IFERROR(IF($M21=AT21,($D$8+$D$9+$D$10)*$I21,IF($N21=LEFT(AT21,1),($D$8+MAX(0,IF($D$50=1,$D$9*(1-(ABS($Q21-ABS(VALUE(MID(AT21,FIND("|",AT21)+1,FIND("-",AT21)-FIND("|",AT21)-1))-VALUE(MID(AT21,FIND("-",AT21)+1,10)))))*$D$50),$D$9*(1-(IF($N21="X",ABS($O21-VALUE(MID(AT21,FIND("|",AT21)+1,FIND("-",AT21)-FIND("|",AT21)-1))),ABS($Q21-ABS(VALUE(MID(AT21,FIND("|",AT21)+1,FIND("-",AT21)-FIND("|",AT21)-1))-VALUE(MID(AT21,FIND("-",AT21)+1,10)))))*$D$50)))))*$I21,0)),0)</f>
        <v>0</v>
      </c>
      <c r="AV21" s="338"/>
      <c r="AW21" s="363" t="s">
        <v>268</v>
      </c>
      <c r="AX21" s="356" t="n">
        <f aca="false">IFERROR(IF($M21=AW21,($D$8+$D$9+$D$10)*$I21,IF($N21=LEFT(AW21,1),($D$8+MAX(0,IF($D$50=1,$D$9*(1-(ABS($Q21-ABS(VALUE(MID(AW21,FIND("|",AW21)+1,FIND("-",AW21)-FIND("|",AW21)-1))-VALUE(MID(AW21,FIND("-",AW21)+1,10)))))*$D$50),$D$9*(1-(IF($N21="X",ABS($O21-VALUE(MID(AW21,FIND("|",AW21)+1,FIND("-",AW21)-FIND("|",AW21)-1))),ABS($Q21-ABS(VALUE(MID(AW21,FIND("|",AW21)+1,FIND("-",AW21)-FIND("|",AW21)-1))-VALUE(MID(AW21,FIND("-",AW21)+1,10)))))*$D$50)))))*$I21,0)),0)</f>
        <v>0</v>
      </c>
      <c r="AY21" s="338"/>
      <c r="AZ21" s="363" t="s">
        <v>268</v>
      </c>
      <c r="BA21" s="356" t="n">
        <f aca="false">IFERROR(IF($M21=AZ21,($D$8+$D$9+$D$10)*$I21,IF($N21=LEFT(AZ21,1),($D$8+MAX(0,IF($D$50=1,$D$9*(1-(ABS($Q21-ABS(VALUE(MID(AZ21,FIND("|",AZ21)+1,FIND("-",AZ21)-FIND("|",AZ21)-1))-VALUE(MID(AZ21,FIND("-",AZ21)+1,10)))))*$D$50),$D$9*(1-(IF($N21="X",ABS($O21-VALUE(MID(AZ21,FIND("|",AZ21)+1,FIND("-",AZ21)-FIND("|",AZ21)-1))),ABS($Q21-ABS(VALUE(MID(AZ21,FIND("|",AZ21)+1,FIND("-",AZ21)-FIND("|",AZ21)-1))-VALUE(MID(AZ21,FIND("-",AZ21)+1,10)))))*$D$50)))))*$I21,0)),0)</f>
        <v>0</v>
      </c>
      <c r="BB21" s="338"/>
      <c r="BC21" s="363" t="s">
        <v>268</v>
      </c>
      <c r="BD21" s="356" t="n">
        <f aca="false">IFERROR(IF($M21=BC21,($D$8+$D$9+$D$10)*$I21,IF($N21=LEFT(BC21,1),($D$8+MAX(0,IF($D$50=1,$D$9*(1-(ABS($Q21-ABS(VALUE(MID(BC21,FIND("|",BC21)+1,FIND("-",BC21)-FIND("|",BC21)-1))-VALUE(MID(BC21,FIND("-",BC21)+1,10)))))*$D$50),$D$9*(1-(IF($N21="X",ABS($O21-VALUE(MID(BC21,FIND("|",BC21)+1,FIND("-",BC21)-FIND("|",BC21)-1))),ABS($Q21-ABS(VALUE(MID(BC21,FIND("|",BC21)+1,FIND("-",BC21)-FIND("|",BC21)-1))-VALUE(MID(BC21,FIND("-",BC21)+1,10)))))*$D$50)))))*$I21,0)),0)</f>
        <v>0</v>
      </c>
      <c r="BE21" s="338"/>
      <c r="BF21" s="363" t="s">
        <v>271</v>
      </c>
      <c r="BG21" s="356" t="n">
        <f aca="false">IFERROR(IF($M21=BF21,($D$8+$D$9+$D$10)*$I21,IF($N21=LEFT(BF21,1),($D$8+MAX(0,IF($D$50=1,$D$9*(1-(ABS($Q21-ABS(VALUE(MID(BF21,FIND("|",BF21)+1,FIND("-",BF21)-FIND("|",BF21)-1))-VALUE(MID(BF21,FIND("-",BF21)+1,10)))))*$D$50),$D$9*(1-(IF($N21="X",ABS($O21-VALUE(MID(BF21,FIND("|",BF21)+1,FIND("-",BF21)-FIND("|",BF21)-1))),ABS($Q21-ABS(VALUE(MID(BF21,FIND("|",BF21)+1,FIND("-",BF21)-FIND("|",BF21)-1))-VALUE(MID(BF21,FIND("-",BF21)+1,10)))))*$D$50)))))*$I21,0)),0)</f>
        <v>0</v>
      </c>
      <c r="BH21" s="338"/>
      <c r="BI21" s="363" t="s">
        <v>271</v>
      </c>
      <c r="BJ21" s="356" t="n">
        <f aca="false">IFERROR(IF($M21=BI21,($D$8+$D$9+$D$10)*$I21,IF($N21=LEFT(BI21,1),($D$8+MAX(0,IF($D$50=1,$D$9*(1-(ABS($Q21-ABS(VALUE(MID(BI21,FIND("|",BI21)+1,FIND("-",BI21)-FIND("|",BI21)-1))-VALUE(MID(BI21,FIND("-",BI21)+1,10)))))*$D$50),$D$9*(1-(IF($N21="X",ABS($O21-VALUE(MID(BI21,FIND("|",BI21)+1,FIND("-",BI21)-FIND("|",BI21)-1))),ABS($Q21-ABS(VALUE(MID(BI21,FIND("|",BI21)+1,FIND("-",BI21)-FIND("|",BI21)-1))-VALUE(MID(BI21,FIND("-",BI21)+1,10)))))*$D$50)))))*$I21,0)),0)</f>
        <v>0</v>
      </c>
      <c r="BK21" s="338"/>
      <c r="BL21" s="363" t="s">
        <v>271</v>
      </c>
      <c r="BM21" s="356" t="n">
        <f aca="false">IFERROR(IF($M21=BL21,($D$8+$D$9+$D$10)*$I21,IF($N21=LEFT(BL21,1),($D$8+MAX(0,IF($D$50=1,$D$9*(1-(ABS($Q21-ABS(VALUE(MID(BL21,FIND("|",BL21)+1,FIND("-",BL21)-FIND("|",BL21)-1))-VALUE(MID(BL21,FIND("-",BL21)+1,10)))))*$D$50),$D$9*(1-(IF($N21="X",ABS($O21-VALUE(MID(BL21,FIND("|",BL21)+1,FIND("-",BL21)-FIND("|",BL21)-1))),ABS($Q21-ABS(VALUE(MID(BL21,FIND("|",BL21)+1,FIND("-",BL21)-FIND("|",BL21)-1))-VALUE(MID(BL21,FIND("-",BL21)+1,10)))))*$D$50)))))*$I21,0)),0)</f>
        <v>0</v>
      </c>
      <c r="BN21" s="338"/>
      <c r="BO21" s="363" t="s">
        <v>267</v>
      </c>
      <c r="BP21" s="356" t="n">
        <f aca="false">IFERROR(IF($M21=BO21,($D$8+$D$9+$D$10)*$I21,IF($N21=LEFT(BO21,1),($D$8+MAX(0,IF($D$50=1,$D$9*(1-(ABS($Q21-ABS(VALUE(MID(BO21,FIND("|",BO21)+1,FIND("-",BO21)-FIND("|",BO21)-1))-VALUE(MID(BO21,FIND("-",BO21)+1,10)))))*$D$50),$D$9*(1-(IF($N21="X",ABS($O21-VALUE(MID(BO21,FIND("|",BO21)+1,FIND("-",BO21)-FIND("|",BO21)-1))),ABS($Q21-ABS(VALUE(MID(BO21,FIND("|",BO21)+1,FIND("-",BO21)-FIND("|",BO21)-1))-VALUE(MID(BO21,FIND("-",BO21)+1,10)))))*$D$50)))))*$I21,0)),0)</f>
        <v>17</v>
      </c>
      <c r="BQ21" s="338"/>
      <c r="BR21" s="363" t="s">
        <v>271</v>
      </c>
      <c r="BS21" s="356" t="n">
        <f aca="false">IFERROR(IF($M21=BR21,($D$8+$D$9+$D$10)*$I21,IF($N21=LEFT(BR21,1),($D$8+MAX(0,IF($D$50=1,$D$9*(1-(ABS($Q21-ABS(VALUE(MID(BR21,FIND("|",BR21)+1,FIND("-",BR21)-FIND("|",BR21)-1))-VALUE(MID(BR21,FIND("-",BR21)+1,10)))))*$D$50),$D$9*(1-(IF($N21="X",ABS($O21-VALUE(MID(BR21,FIND("|",BR21)+1,FIND("-",BR21)-FIND("|",BR21)-1))),ABS($Q21-ABS(VALUE(MID(BR21,FIND("|",BR21)+1,FIND("-",BR21)-FIND("|",BR21)-1))-VALUE(MID(BR21,FIND("-",BR21)+1,10)))))*$D$50)))))*$I21,0)),0)</f>
        <v>0</v>
      </c>
      <c r="BT21" s="338"/>
      <c r="BU21" s="363"/>
      <c r="BV21" s="356" t="n">
        <f aca="false">IFERROR(IF($M21=BU21,($D$8+$D$9+$D$10)*$I21,IF($N21=LEFT(BU21,1),($D$8+MAX(0,IF($D$50=1,$D$9*(1-(ABS($Q21-ABS(VALUE(MID(BU21,FIND("|",BU21)+1,FIND("-",BU21)-FIND("|",BU21)-1))-VALUE(MID(BU21,FIND("-",BU21)+1,10)))))*$D$50),$D$9*(1-(IF($N21="X",ABS($O21-VALUE(MID(BU21,FIND("|",BU21)+1,FIND("-",BU21)-FIND("|",BU21)-1))),ABS($Q21-ABS(VALUE(MID(BU21,FIND("|",BU21)+1,FIND("-",BU21)-FIND("|",BU21)-1))-VALUE(MID(BU21,FIND("-",BU21)+1,10)))))*$D$50)))))*$I21,0)),0)</f>
        <v>0</v>
      </c>
      <c r="BW21" s="338"/>
      <c r="BX21" s="363"/>
      <c r="BY21" s="356" t="n">
        <f aca="false">IFERROR(IF($M21=BX21,($D$8+$D$9+$D$10)*$I21,IF($N21=LEFT(BX21,1),($D$8+MAX(0,IF($D$50=1,$D$9*(1-(ABS($Q21-ABS(VALUE(MID(BX21,FIND("|",BX21)+1,FIND("-",BX21)-FIND("|",BX21)-1))-VALUE(MID(BX21,FIND("-",BX21)+1,10)))))*$D$50),$D$9*(1-(IF($N21="X",ABS($O21-VALUE(MID(BX21,FIND("|",BX21)+1,FIND("-",BX21)-FIND("|",BX21)-1))),ABS($Q21-ABS(VALUE(MID(BX21,FIND("|",BX21)+1,FIND("-",BX21)-FIND("|",BX21)-1))-VALUE(MID(BX21,FIND("-",BX21)+1,10)))))*$D$50)))))*$I21,0)),0)</f>
        <v>0</v>
      </c>
      <c r="BZ21" s="338"/>
      <c r="CA21" s="363"/>
      <c r="CB21" s="356" t="n">
        <f aca="false">IFERROR(IF($M21=CA21,($D$8+$D$9+$D$10)*$I21,IF($N21=LEFT(CA21,1),($D$8+MAX(0,IF($D$50=1,$D$9*(1-(ABS($Q21-ABS(VALUE(MID(CA21,FIND("|",CA21)+1,FIND("-",CA21)-FIND("|",CA21)-1))-VALUE(MID(CA21,FIND("-",CA21)+1,10)))))*$D$50),$D$9*(1-(IF($N21="X",ABS($O21-VALUE(MID(CA21,FIND("|",CA21)+1,FIND("-",CA21)-FIND("|",CA21)-1))),ABS($Q21-ABS(VALUE(MID(CA21,FIND("|",CA21)+1,FIND("-",CA21)-FIND("|",CA21)-1))-VALUE(MID(CA21,FIND("-",CA21)+1,10)))))*$D$50)))))*$I21,0)),0)</f>
        <v>0</v>
      </c>
      <c r="CC21" s="338"/>
      <c r="CD21" s="363"/>
      <c r="CE21" s="356" t="n">
        <f aca="false">IFERROR(IF($M21=CD21,($D$8+$D$9+$D$10)*$I21,IF($N21=LEFT(CD21,1),($D$8+MAX(0,IF($D$50=1,$D$9*(1-(ABS($Q21-ABS(VALUE(MID(CD21,FIND("|",CD21)+1,FIND("-",CD21)-FIND("|",CD21)-1))-VALUE(MID(CD21,FIND("-",CD21)+1,10)))))*$D$50),$D$9*(1-(IF($N21="X",ABS($O21-VALUE(MID(CD21,FIND("|",CD21)+1,FIND("-",CD21)-FIND("|",CD21)-1))),ABS($Q21-ABS(VALUE(MID(CD21,FIND("|",CD21)+1,FIND("-",CD21)-FIND("|",CD21)-1))-VALUE(MID(CD21,FIND("-",CD21)+1,10)))))*$D$50)))))*$I21,0)),0)</f>
        <v>0</v>
      </c>
      <c r="CF21" s="338"/>
      <c r="CG21" s="363"/>
      <c r="CH21" s="356" t="n">
        <f aca="false">IFERROR(IF($M21=CG21,($D$8+$D$9+$D$10)*$I21,IF($N21=LEFT(CG21,1),($D$8+MAX(0,IF($D$50=1,$D$9*(1-(ABS($Q21-ABS(VALUE(MID(CG21,FIND("|",CG21)+1,FIND("-",CG21)-FIND("|",CG21)-1))-VALUE(MID(CG21,FIND("-",CG21)+1,10)))))*$D$50),$D$9*(1-(IF($N21="X",ABS($O21-VALUE(MID(CG21,FIND("|",CG21)+1,FIND("-",CG21)-FIND("|",CG21)-1))),ABS($Q21-ABS(VALUE(MID(CG21,FIND("|",CG21)+1,FIND("-",CG21)-FIND("|",CG21)-1))-VALUE(MID(CG21,FIND("-",CG21)+1,10)))))*$D$50)))))*$I21,0)),0)</f>
        <v>0</v>
      </c>
      <c r="CI21" s="338"/>
      <c r="CJ21" s="363"/>
      <c r="CK21" s="356" t="n">
        <f aca="false">IFERROR(IF($M21=CJ21,($D$8+$D$9+$D$10)*$I21,IF($N21=LEFT(CJ21,1),($D$8+MAX(0,IF($D$50=1,$D$9*(1-(ABS($Q21-ABS(VALUE(MID(CJ21,FIND("|",CJ21)+1,FIND("-",CJ21)-FIND("|",CJ21)-1))-VALUE(MID(CJ21,FIND("-",CJ21)+1,10)))))*$D$50),$D$9*(1-(IF($N21="X",ABS($O21-VALUE(MID(CJ21,FIND("|",CJ21)+1,FIND("-",CJ21)-FIND("|",CJ21)-1))),ABS($Q21-ABS(VALUE(MID(CJ21,FIND("|",CJ21)+1,FIND("-",CJ21)-FIND("|",CJ21)-1))-VALUE(MID(CJ21,FIND("-",CJ21)+1,10)))))*$D$50)))))*$I21,0)),0)</f>
        <v>0</v>
      </c>
      <c r="CL21" s="338"/>
      <c r="CM21" s="363"/>
      <c r="CN21" s="356" t="n">
        <f aca="false">IFERROR(IF($M21=CM21,($D$8+$D$9+$D$10)*$I21,IF($N21=LEFT(CM21,1),($D$8+MAX(0,IF($D$50=1,$D$9*(1-(ABS($Q21-ABS(VALUE(MID(CM21,FIND("|",CM21)+1,FIND("-",CM21)-FIND("|",CM21)-1))-VALUE(MID(CM21,FIND("-",CM21)+1,10)))))*$D$50),$D$9*(1-(IF($N21="X",ABS($O21-VALUE(MID(CM21,FIND("|",CM21)+1,FIND("-",CM21)-FIND("|",CM21)-1))),ABS($Q21-ABS(VALUE(MID(CM21,FIND("|",CM21)+1,FIND("-",CM21)-FIND("|",CM21)-1))-VALUE(MID(CM21,FIND("-",CM21)+1,10)))))*$D$50)))))*$I21,0)),0)</f>
        <v>0</v>
      </c>
      <c r="CO21" s="338"/>
      <c r="CP21" s="363"/>
      <c r="CQ21" s="356" t="n">
        <f aca="false">IFERROR(IF($M21=CP21,($D$8+$D$9+$D$10)*$I21,IF($N21=LEFT(CP21,1),($D$8+MAX(0,IF($D$50=1,$D$9*(1-(ABS($Q21-ABS(VALUE(MID(CP21,FIND("|",CP21)+1,FIND("-",CP21)-FIND("|",CP21)-1))-VALUE(MID(CP21,FIND("-",CP21)+1,10)))))*$D$50),$D$9*(1-(IF($N21="X",ABS($O21-VALUE(MID(CP21,FIND("|",CP21)+1,FIND("-",CP21)-FIND("|",CP21)-1))),ABS($Q21-ABS(VALUE(MID(CP21,FIND("|",CP21)+1,FIND("-",CP21)-FIND("|",CP21)-1))-VALUE(MID(CP21,FIND("-",CP21)+1,10)))))*$D$50)))))*$I21,0)),0)</f>
        <v>0</v>
      </c>
      <c r="CR21" s="338"/>
      <c r="CS21" s="363"/>
      <c r="CT21" s="356" t="n">
        <f aca="false">IFERROR(IF($M21=CS21,($D$8+$D$9+$D$10)*$I21,IF($N21=LEFT(CS21,1),($D$8+MAX(0,IF($D$50=1,$D$9*(1-(ABS($Q21-ABS(VALUE(MID(CS21,FIND("|",CS21)+1,FIND("-",CS21)-FIND("|",CS21)-1))-VALUE(MID(CS21,FIND("-",CS21)+1,10)))))*$D$50),$D$9*(1-(IF($N21="X",ABS($O21-VALUE(MID(CS21,FIND("|",CS21)+1,FIND("-",CS21)-FIND("|",CS21)-1))),ABS($Q21-ABS(VALUE(MID(CS21,FIND("|",CS21)+1,FIND("-",CS21)-FIND("|",CS21)-1))-VALUE(MID(CS21,FIND("-",CS21)+1,10)))))*$D$50)))))*$I21,0)),0)</f>
        <v>0</v>
      </c>
      <c r="CU21" s="338"/>
      <c r="CV21" s="363"/>
      <c r="CW21" s="356" t="n">
        <f aca="false">IFERROR(IF($M21=CV21,($D$8+$D$9+$D$10)*$I21,IF($N21=LEFT(CV21,1),($D$8+MAX(0,IF($D$50=1,$D$9*(1-(ABS($Q21-ABS(VALUE(MID(CV21,FIND("|",CV21)+1,FIND("-",CV21)-FIND("|",CV21)-1))-VALUE(MID(CV21,FIND("-",CV21)+1,10)))))*$D$50),$D$9*(1-(IF($N21="X",ABS($O21-VALUE(MID(CV21,FIND("|",CV21)+1,FIND("-",CV21)-FIND("|",CV21)-1))),ABS($Q21-ABS(VALUE(MID(CV21,FIND("|",CV21)+1,FIND("-",CV21)-FIND("|",CV21)-1))-VALUE(MID(CV21,FIND("-",CV21)+1,10)))))*$D$50)))))*$I21,0)),0)</f>
        <v>0</v>
      </c>
      <c r="CX21" s="338"/>
      <c r="CY21" s="363"/>
      <c r="CZ21" s="356" t="n">
        <f aca="false">IFERROR(IF($M21=CY21,($D$8+$D$9+$D$10)*$I21,IF($N21=LEFT(CY21,1),($D$8+MAX(0,IF($D$50=1,$D$9*(1-(ABS($Q21-ABS(VALUE(MID(CY21,FIND("|",CY21)+1,FIND("-",CY21)-FIND("|",CY21)-1))-VALUE(MID(CY21,FIND("-",CY21)+1,10)))))*$D$50),$D$9*(1-(IF($N21="X",ABS($O21-VALUE(MID(CY21,FIND("|",CY21)+1,FIND("-",CY21)-FIND("|",CY21)-1))),ABS($Q21-ABS(VALUE(MID(CY21,FIND("|",CY21)+1,FIND("-",CY21)-FIND("|",CY21)-1))-VALUE(MID(CY21,FIND("-",CY21)+1,10)))))*$D$50)))))*$I21,0)),0)</f>
        <v>0</v>
      </c>
      <c r="DA21" s="338"/>
      <c r="DB21" s="363"/>
      <c r="DC21" s="356" t="n">
        <f aca="false">IFERROR(IF($M21=DB21,($D$8+$D$9+$D$10)*$I21,IF($N21=LEFT(DB21,1),($D$8+MAX(0,IF($D$50=1,$D$9*(1-(ABS($Q21-ABS(VALUE(MID(DB21,FIND("|",DB21)+1,FIND("-",DB21)-FIND("|",DB21)-1))-VALUE(MID(DB21,FIND("-",DB21)+1,10)))))*$D$50),$D$9*(1-(IF($N21="X",ABS($O21-VALUE(MID(DB21,FIND("|",DB21)+1,FIND("-",DB21)-FIND("|",DB21)-1))),ABS($Q21-ABS(VALUE(MID(DB21,FIND("|",DB21)+1,FIND("-",DB21)-FIND("|",DB21)-1))-VALUE(MID(DB21,FIND("-",DB21)+1,10)))))*$D$50)))))*$I21,0)),0)</f>
        <v>0</v>
      </c>
      <c r="DD21" s="338"/>
      <c r="DE21" s="363"/>
      <c r="DF21" s="356" t="n">
        <f aca="false">IFERROR(IF($M21=DE21,($D$8+$D$9+$D$10)*$I21,IF($N21=LEFT(DE21,1),($D$8+MAX(0,IF($D$50=1,$D$9*(1-(ABS($Q21-ABS(VALUE(MID(DE21,FIND("|",DE21)+1,FIND("-",DE21)-FIND("|",DE21)-1))-VALUE(MID(DE21,FIND("-",DE21)+1,10)))))*$D$50),$D$9*(1-(IF($N21="X",ABS($O21-VALUE(MID(DE21,FIND("|",DE21)+1,FIND("-",DE21)-FIND("|",DE21)-1))),ABS($Q21-ABS(VALUE(MID(DE21,FIND("|",DE21)+1,FIND("-",DE21)-FIND("|",DE21)-1))-VALUE(MID(DE21,FIND("-",DE21)+1,10)))))*$D$50)))))*$I21,0)),0)</f>
        <v>0</v>
      </c>
      <c r="DG21" s="338"/>
      <c r="DH21" s="363"/>
      <c r="DI21" s="356" t="n">
        <f aca="false">IFERROR(IF($M21=DH21,($D$8+$D$9+$D$10)*$I21,IF($N21=LEFT(DH21,1),($D$8+MAX(0,IF($D$50=1,$D$9*(1-(ABS($Q21-ABS(VALUE(MID(DH21,FIND("|",DH21)+1,FIND("-",DH21)-FIND("|",DH21)-1))-VALUE(MID(DH21,FIND("-",DH21)+1,10)))))*$D$50),$D$9*(1-(IF($N21="X",ABS($O21-VALUE(MID(DH21,FIND("|",DH21)+1,FIND("-",DH21)-FIND("|",DH21)-1))),ABS($Q21-ABS(VALUE(MID(DH21,FIND("|",DH21)+1,FIND("-",DH21)-FIND("|",DH21)-1))-VALUE(MID(DH21,FIND("-",DH21)+1,10)))))*$D$50)))))*$I21,0)),0)</f>
        <v>0</v>
      </c>
      <c r="DJ21" s="338"/>
      <c r="DK21" s="363"/>
      <c r="DL21" s="356" t="n">
        <f aca="false">IFERROR(IF($M21=DK21,($D$8+$D$9+$D$10)*$I21,IF($N21=LEFT(DK21,1),($D$8+MAX(0,IF($D$50=1,$D$9*(1-(ABS($Q21-ABS(VALUE(MID(DK21,FIND("|",DK21)+1,FIND("-",DK21)-FIND("|",DK21)-1))-VALUE(MID(DK21,FIND("-",DK21)+1,10)))))*$D$50),$D$9*(1-(IF($N21="X",ABS($O21-VALUE(MID(DK21,FIND("|",DK21)+1,FIND("-",DK21)-FIND("|",DK21)-1))),ABS($Q21-ABS(VALUE(MID(DK21,FIND("|",DK21)+1,FIND("-",DK21)-FIND("|",DK21)-1))-VALUE(MID(DK21,FIND("-",DK21)+1,10)))))*$D$50)))))*$I21,0)),0)</f>
        <v>0</v>
      </c>
      <c r="DM21" s="338"/>
      <c r="DN21" s="363"/>
      <c r="DO21" s="356" t="n">
        <f aca="false">IFERROR(IF($M21=DN21,($D$8+$D$9+$D$10)*$I21,IF($N21=LEFT(DN21,1),($D$8+MAX(0,IF($D$50=1,$D$9*(1-(ABS($Q21-ABS(VALUE(MID(DN21,FIND("|",DN21)+1,FIND("-",DN21)-FIND("|",DN21)-1))-VALUE(MID(DN21,FIND("-",DN21)+1,10)))))*$D$50),$D$9*(1-(IF($N21="X",ABS($O21-VALUE(MID(DN21,FIND("|",DN21)+1,FIND("-",DN21)-FIND("|",DN21)-1))),ABS($Q21-ABS(VALUE(MID(DN21,FIND("|",DN21)+1,FIND("-",DN21)-FIND("|",DN21)-1))-VALUE(MID(DN21,FIND("-",DN21)+1,10)))))*$D$50)))))*$I21,0)),0)</f>
        <v>0</v>
      </c>
      <c r="DP21" s="338"/>
      <c r="DQ21" s="363"/>
      <c r="DR21" s="356" t="n">
        <f aca="false">IFERROR(IF($M21=DQ21,($D$8+$D$9+$D$10)*$I21,IF($N21=LEFT(DQ21,1),($D$8+MAX(0,IF($D$50=1,$D$9*(1-(ABS($Q21-ABS(VALUE(MID(DQ21,FIND("|",DQ21)+1,FIND("-",DQ21)-FIND("|",DQ21)-1))-VALUE(MID(DQ21,FIND("-",DQ21)+1,10)))))*$D$50),$D$9*(1-(IF($N21="X",ABS($O21-VALUE(MID(DQ21,FIND("|",DQ21)+1,FIND("-",DQ21)-FIND("|",DQ21)-1))),ABS($Q21-ABS(VALUE(MID(DQ21,FIND("|",DQ21)+1,FIND("-",DQ21)-FIND("|",DQ21)-1))-VALUE(MID(DQ21,FIND("-",DQ21)+1,10)))))*$D$50)))))*$I21,0)),0)</f>
        <v>0</v>
      </c>
      <c r="DS21" s="338"/>
      <c r="DT21" s="363"/>
      <c r="DU21" s="356" t="n">
        <f aca="false">IFERROR(IF($M21=DT21,($D$8+$D$9+$D$10)*$I21,IF($N21=LEFT(DT21,1),($D$8+MAX(0,IF($D$50=1,$D$9*(1-(ABS($Q21-ABS(VALUE(MID(DT21,FIND("|",DT21)+1,FIND("-",DT21)-FIND("|",DT21)-1))-VALUE(MID(DT21,FIND("-",DT21)+1,10)))))*$D$50),$D$9*(1-(IF($N21="X",ABS($O21-VALUE(MID(DT21,FIND("|",DT21)+1,FIND("-",DT21)-FIND("|",DT21)-1))),ABS($Q21-ABS(VALUE(MID(DT21,FIND("|",DT21)+1,FIND("-",DT21)-FIND("|",DT21)-1))-VALUE(MID(DT21,FIND("-",DT21)+1,10)))))*$D$50)))))*$I21,0)),0)</f>
        <v>0</v>
      </c>
      <c r="DV21" s="338"/>
      <c r="DW21" s="363"/>
      <c r="DX21" s="356" t="n">
        <f aca="false">IFERROR(IF($M21=DW21,($D$8+$D$9+$D$10)*$I21,IF($N21=LEFT(DW21,1),($D$8+MAX(0,IF($D$50=1,$D$9*(1-(ABS($Q21-ABS(VALUE(MID(DW21,FIND("|",DW21)+1,FIND("-",DW21)-FIND("|",DW21)-1))-VALUE(MID(DW21,FIND("-",DW21)+1,10)))))*$D$50),$D$9*(1-(IF($N21="X",ABS($O21-VALUE(MID(DW21,FIND("|",DW21)+1,FIND("-",DW21)-FIND("|",DW21)-1))),ABS($Q21-ABS(VALUE(MID(DW21,FIND("|",DW21)+1,FIND("-",DW21)-FIND("|",DW21)-1))-VALUE(MID(DW21,FIND("-",DW21)+1,10)))))*$D$50)))))*$I21,0)),0)</f>
        <v>0</v>
      </c>
      <c r="DY21" s="338"/>
      <c r="DZ21" s="363"/>
      <c r="EA21" s="356" t="n">
        <f aca="false">IFERROR(IF($M21=DZ21,($D$8+$D$9+$D$10)*$I21,IF($N21=LEFT(DZ21,1),($D$8+MAX(0,IF($D$50=1,$D$9*(1-(ABS($Q21-ABS(VALUE(MID(DZ21,FIND("|",DZ21)+1,FIND("-",DZ21)-FIND("|",DZ21)-1))-VALUE(MID(DZ21,FIND("-",DZ21)+1,10)))))*$D$50),$D$9*(1-(IF($N21="X",ABS($O21-VALUE(MID(DZ21,FIND("|",DZ21)+1,FIND("-",DZ21)-FIND("|",DZ21)-1))),ABS($Q21-ABS(VALUE(MID(DZ21,FIND("|",DZ21)+1,FIND("-",DZ21)-FIND("|",DZ21)-1))-VALUE(MID(DZ21,FIND("-",DZ21)+1,10)))))*$D$50)))))*$I21,0)),0)</f>
        <v>0</v>
      </c>
      <c r="EB21" s="338"/>
      <c r="EC21" s="363"/>
      <c r="ED21" s="356" t="n">
        <f aca="false">IFERROR(IF($M21=EC21,($D$8+$D$9+$D$10)*$I21,IF($N21=LEFT(EC21,1),($D$8+MAX(0,IF($D$50=1,$D$9*(1-(ABS($Q21-ABS(VALUE(MID(EC21,FIND("|",EC21)+1,FIND("-",EC21)-FIND("|",EC21)-1))-VALUE(MID(EC21,FIND("-",EC21)+1,10)))))*$D$50),$D$9*(1-(IF($N21="X",ABS($O21-VALUE(MID(EC21,FIND("|",EC21)+1,FIND("-",EC21)-FIND("|",EC21)-1))),ABS($Q21-ABS(VALUE(MID(EC21,FIND("|",EC21)+1,FIND("-",EC21)-FIND("|",EC21)-1))-VALUE(MID(EC21,FIND("-",EC21)+1,10)))))*$D$50)))))*$I21,0)),0)</f>
        <v>0</v>
      </c>
      <c r="EE21" s="338"/>
      <c r="EF21" s="363"/>
      <c r="EG21" s="356" t="n">
        <f aca="false">IFERROR(IF($M21=EF21,($D$8+$D$9+$D$10)*$I21,IF($N21=LEFT(EF21,1),($D$8+MAX(0,IF($D$50=1,$D$9*(1-(ABS($Q21-ABS(VALUE(MID(EF21,FIND("|",EF21)+1,FIND("-",EF21)-FIND("|",EF21)-1))-VALUE(MID(EF21,FIND("-",EF21)+1,10)))))*$D$50),$D$9*(1-(IF($N21="X",ABS($O21-VALUE(MID(EF21,FIND("|",EF21)+1,FIND("-",EF21)-FIND("|",EF21)-1))),ABS($Q21-ABS(VALUE(MID(EF21,FIND("|",EF21)+1,FIND("-",EF21)-FIND("|",EF21)-1))-VALUE(MID(EF21,FIND("-",EF21)+1,10)))))*$D$50)))))*$I21,0)),0)</f>
        <v>0</v>
      </c>
      <c r="EH21" s="338"/>
      <c r="EI21" s="338"/>
    </row>
    <row r="22" customFormat="false" ht="15" hidden="false" customHeight="false" outlineLevel="0" collapsed="false">
      <c r="A22" s="327"/>
      <c r="B22" s="327"/>
      <c r="C22" s="360" t="str">
        <f aca="false">Idiomas!D318</f>
        <v>OCTAVOS - Resultado exacto</v>
      </c>
      <c r="D22" s="361" t="n">
        <v>10</v>
      </c>
      <c r="E22" s="334"/>
      <c r="F22" s="343" t="n">
        <f aca="false">SUM($D$8:$D$10)*I22</f>
        <v>17</v>
      </c>
      <c r="G22" s="343" t="n">
        <f aca="false">VLOOKUP(H22,Equipos!$Q$1:$R$25,2,0)</f>
        <v>6</v>
      </c>
      <c r="H22" s="351" t="n">
        <f aca="false">TRUNC(INDEX(WORLDCUP!$X$4:$X$147,MATCH(ADMIN!K22,WORLDCUP!$DT$4:$DT$147,0))+INDEX(Horarios!$R$3:$R$86,MATCH(Horarios!$C$3,Horarios!$P$3:$P$86,0))/24)</f>
        <v>46189</v>
      </c>
      <c r="I22" s="352" t="n">
        <v>1</v>
      </c>
      <c r="J22" s="353" t="s">
        <v>291</v>
      </c>
      <c r="K22" s="367" t="str">
        <f aca="false">CONCATENATE(WORLDCUP!AA68,"-",WORLDCUP!AF68)</f>
        <v>Francia-Senegal</v>
      </c>
      <c r="L22" s="354"/>
      <c r="M22" s="359" t="str">
        <f aca="false">IF(OR(WORLDCUP!AC68="",WORLDCUP!AD68=""),"-",N22&amp;"|"&amp;O22&amp;"-"&amp;P22)</f>
        <v>-</v>
      </c>
      <c r="N22" s="332" t="str">
        <f aca="false">IF(OR(WORLDCUP!AC68="",WORLDCUP!AD68=""),"",IF(WORLDCUP!AC68&gt;WORLDCUP!AD68,"1",IF(WORLDCUP!AC68&lt;WORLDCUP!AD68,"2","X")))</f>
        <v/>
      </c>
      <c r="O22" s="332" t="n">
        <f aca="false">WORLDCUP!AC68</f>
        <v>0</v>
      </c>
      <c r="P22" s="332" t="n">
        <f aca="false">WORLDCUP!AD68</f>
        <v>0</v>
      </c>
      <c r="Q22" s="332" t="n">
        <f aca="false">ABS(O22-P22)</f>
        <v>0</v>
      </c>
      <c r="R22" s="327"/>
      <c r="S22" s="363" t="s">
        <v>288</v>
      </c>
      <c r="T22" s="356" t="n">
        <f aca="false">IFERROR(IF($M22=S22,($D$8+$D$9+$D$10)*$I22,IF($N22=LEFT(S22,1),($D$8+MAX(0,IF($D$50=1,$D$9*(1-(ABS($Q22-ABS(VALUE(MID(S22,FIND("|",S22)+1,FIND("-",S22)-FIND("|",S22)-1))-VALUE(MID(S22,FIND("-",S22)+1,10)))))*$D$50),$D$9*(1-(IF($N22="X",ABS($O22-VALUE(MID(S22,FIND("|",S22)+1,FIND("-",S22)-FIND("|",S22)-1))),ABS($Q22-ABS(VALUE(MID(S22,FIND("|",S22)+1,FIND("-",S22)-FIND("|",S22)-1))-VALUE(MID(S22,FIND("-",S22)+1,10)))))*$D$50)))))*$I22,0)),0)</f>
        <v>0</v>
      </c>
      <c r="U22" s="338"/>
      <c r="V22" s="363" t="s">
        <v>266</v>
      </c>
      <c r="W22" s="356" t="n">
        <f aca="false">IFERROR(IF($M22=V22,($D$8+$D$9+$D$10)*$I22,IF($N22=LEFT(V22,1),($D$8+MAX(0,IF($D$50=1,$D$9*(1-(ABS($Q22-ABS(VALUE(MID(V22,FIND("|",V22)+1,FIND("-",V22)-FIND("|",V22)-1))-VALUE(MID(V22,FIND("-",V22)+1,10)))))*$D$50),$D$9*(1-(IF($N22="X",ABS($O22-VALUE(MID(V22,FIND("|",V22)+1,FIND("-",V22)-FIND("|",V22)-1))),ABS($Q22-ABS(VALUE(MID(V22,FIND("|",V22)+1,FIND("-",V22)-FIND("|",V22)-1))-VALUE(MID(V22,FIND("-",V22)+1,10)))))*$D$50)))))*$I22,0)),0)</f>
        <v>0</v>
      </c>
      <c r="X22" s="338"/>
      <c r="Y22" s="363" t="s">
        <v>264</v>
      </c>
      <c r="Z22" s="356" t="n">
        <f aca="false">IFERROR(IF($M22=Y22,($D$8+$D$9+$D$10)*$I22,IF($N22=LEFT(Y22,1),($D$8+MAX(0,IF($D$50=1,$D$9*(1-(ABS($Q22-ABS(VALUE(MID(Y22,FIND("|",Y22)+1,FIND("-",Y22)-FIND("|",Y22)-1))-VALUE(MID(Y22,FIND("-",Y22)+1,10)))))*$D$50),$D$9*(1-(IF($N22="X",ABS($O22-VALUE(MID(Y22,FIND("|",Y22)+1,FIND("-",Y22)-FIND("|",Y22)-1))),ABS($Q22-ABS(VALUE(MID(Y22,FIND("|",Y22)+1,FIND("-",Y22)-FIND("|",Y22)-1))-VALUE(MID(Y22,FIND("-",Y22)+1,10)))))*$D$50)))))*$I22,0)),0)</f>
        <v>0</v>
      </c>
      <c r="AA22" s="338"/>
      <c r="AB22" s="363" t="s">
        <v>272</v>
      </c>
      <c r="AC22" s="356" t="n">
        <f aca="false">IFERROR(IF($M22=AB22,($D$8+$D$9+$D$10)*$I22,IF($N22=LEFT(AB22,1),($D$8+MAX(0,IF($D$50=1,$D$9*(1-(ABS($Q22-ABS(VALUE(MID(AB22,FIND("|",AB22)+1,FIND("-",AB22)-FIND("|",AB22)-1))-VALUE(MID(AB22,FIND("-",AB22)+1,10)))))*$D$50),$D$9*(1-(IF($N22="X",ABS($O22-VALUE(MID(AB22,FIND("|",AB22)+1,FIND("-",AB22)-FIND("|",AB22)-1))),ABS($Q22-ABS(VALUE(MID(AB22,FIND("|",AB22)+1,FIND("-",AB22)-FIND("|",AB22)-1))-VALUE(MID(AB22,FIND("-",AB22)+1,10)))))*$D$50)))))*$I22,0)),0)</f>
        <v>0</v>
      </c>
      <c r="AD22" s="338"/>
      <c r="AE22" s="363" t="s">
        <v>288</v>
      </c>
      <c r="AF22" s="356" t="n">
        <f aca="false">IFERROR(IF($M22=AE22,($D$8+$D$9+$D$10)*$I22,IF($N22=LEFT(AE22,1),($D$8+MAX(0,IF($D$50=1,$D$9*(1-(ABS($Q22-ABS(VALUE(MID(AE22,FIND("|",AE22)+1,FIND("-",AE22)-FIND("|",AE22)-1))-VALUE(MID(AE22,FIND("-",AE22)+1,10)))))*$D$50),$D$9*(1-(IF($N22="X",ABS($O22-VALUE(MID(AE22,FIND("|",AE22)+1,FIND("-",AE22)-FIND("|",AE22)-1))),ABS($Q22-ABS(VALUE(MID(AE22,FIND("|",AE22)+1,FIND("-",AE22)-FIND("|",AE22)-1))-VALUE(MID(AE22,FIND("-",AE22)+1,10)))))*$D$50)))))*$I22,0)),0)</f>
        <v>0</v>
      </c>
      <c r="AG22" s="338"/>
      <c r="AH22" s="363" t="s">
        <v>266</v>
      </c>
      <c r="AI22" s="356" t="n">
        <f aca="false">IFERROR(IF($M22=AH22,($D$8+$D$9+$D$10)*$I22,IF($N22=LEFT(AH22,1),($D$8+MAX(0,IF($D$50=1,$D$9*(1-(ABS($Q22-ABS(VALUE(MID(AH22,FIND("|",AH22)+1,FIND("-",AH22)-FIND("|",AH22)-1))-VALUE(MID(AH22,FIND("-",AH22)+1,10)))))*$D$50),$D$9*(1-(IF($N22="X",ABS($O22-VALUE(MID(AH22,FIND("|",AH22)+1,FIND("-",AH22)-FIND("|",AH22)-1))),ABS($Q22-ABS(VALUE(MID(AH22,FIND("|",AH22)+1,FIND("-",AH22)-FIND("|",AH22)-1))-VALUE(MID(AH22,FIND("-",AH22)+1,10)))))*$D$50)))))*$I22,0)),0)</f>
        <v>0</v>
      </c>
      <c r="AJ22" s="338"/>
      <c r="AK22" s="363" t="s">
        <v>264</v>
      </c>
      <c r="AL22" s="356" t="n">
        <f aca="false">IFERROR(IF($M22=AK22,($D$8+$D$9+$D$10)*$I22,IF($N22=LEFT(AK22,1),($D$8+MAX(0,IF($D$50=1,$D$9*(1-(ABS($Q22-ABS(VALUE(MID(AK22,FIND("|",AK22)+1,FIND("-",AK22)-FIND("|",AK22)-1))-VALUE(MID(AK22,FIND("-",AK22)+1,10)))))*$D$50),$D$9*(1-(IF($N22="X",ABS($O22-VALUE(MID(AK22,FIND("|",AK22)+1,FIND("-",AK22)-FIND("|",AK22)-1))),ABS($Q22-ABS(VALUE(MID(AK22,FIND("|",AK22)+1,FIND("-",AK22)-FIND("|",AK22)-1))-VALUE(MID(AK22,FIND("-",AK22)+1,10)))))*$D$50)))))*$I22,0)),0)</f>
        <v>0</v>
      </c>
      <c r="AM22" s="338"/>
      <c r="AN22" s="363" t="s">
        <v>272</v>
      </c>
      <c r="AO22" s="356" t="n">
        <f aca="false">IFERROR(IF($M22=AN22,($D$8+$D$9+$D$10)*$I22,IF($N22=LEFT(AN22,1),($D$8+MAX(0,IF($D$50=1,$D$9*(1-(ABS($Q22-ABS(VALUE(MID(AN22,FIND("|",AN22)+1,FIND("-",AN22)-FIND("|",AN22)-1))-VALUE(MID(AN22,FIND("-",AN22)+1,10)))))*$D$50),$D$9*(1-(IF($N22="X",ABS($O22-VALUE(MID(AN22,FIND("|",AN22)+1,FIND("-",AN22)-FIND("|",AN22)-1))),ABS($Q22-ABS(VALUE(MID(AN22,FIND("|",AN22)+1,FIND("-",AN22)-FIND("|",AN22)-1))-VALUE(MID(AN22,FIND("-",AN22)+1,10)))))*$D$50)))))*$I22,0)),0)</f>
        <v>0</v>
      </c>
      <c r="AP22" s="338"/>
      <c r="AQ22" s="363" t="s">
        <v>271</v>
      </c>
      <c r="AR22" s="356" t="n">
        <f aca="false">IFERROR(IF($M22=AQ22,($D$8+$D$9+$D$10)*$I22,IF($N22=LEFT(AQ22,1),($D$8+MAX(0,IF($D$50=1,$D$9*(1-(ABS($Q22-ABS(VALUE(MID(AQ22,FIND("|",AQ22)+1,FIND("-",AQ22)-FIND("|",AQ22)-1))-VALUE(MID(AQ22,FIND("-",AQ22)+1,10)))))*$D$50),$D$9*(1-(IF($N22="X",ABS($O22-VALUE(MID(AQ22,FIND("|",AQ22)+1,FIND("-",AQ22)-FIND("|",AQ22)-1))),ABS($Q22-ABS(VALUE(MID(AQ22,FIND("|",AQ22)+1,FIND("-",AQ22)-FIND("|",AQ22)-1))-VALUE(MID(AQ22,FIND("-",AQ22)+1,10)))))*$D$50)))))*$I22,0)),0)</f>
        <v>0</v>
      </c>
      <c r="AS22" s="338"/>
      <c r="AT22" s="363" t="s">
        <v>288</v>
      </c>
      <c r="AU22" s="356" t="n">
        <f aca="false">IFERROR(IF($M22=AT22,($D$8+$D$9+$D$10)*$I22,IF($N22=LEFT(AT22,1),($D$8+MAX(0,IF($D$50=1,$D$9*(1-(ABS($Q22-ABS(VALUE(MID(AT22,FIND("|",AT22)+1,FIND("-",AT22)-FIND("|",AT22)-1))-VALUE(MID(AT22,FIND("-",AT22)+1,10)))))*$D$50),$D$9*(1-(IF($N22="X",ABS($O22-VALUE(MID(AT22,FIND("|",AT22)+1,FIND("-",AT22)-FIND("|",AT22)-1))),ABS($Q22-ABS(VALUE(MID(AT22,FIND("|",AT22)+1,FIND("-",AT22)-FIND("|",AT22)-1))-VALUE(MID(AT22,FIND("-",AT22)+1,10)))))*$D$50)))))*$I22,0)),0)</f>
        <v>0</v>
      </c>
      <c r="AV22" s="338"/>
      <c r="AW22" s="363" t="s">
        <v>264</v>
      </c>
      <c r="AX22" s="356" t="n">
        <f aca="false">IFERROR(IF($M22=AW22,($D$8+$D$9+$D$10)*$I22,IF($N22=LEFT(AW22,1),($D$8+MAX(0,IF($D$50=1,$D$9*(1-(ABS($Q22-ABS(VALUE(MID(AW22,FIND("|",AW22)+1,FIND("-",AW22)-FIND("|",AW22)-1))-VALUE(MID(AW22,FIND("-",AW22)+1,10)))))*$D$50),$D$9*(1-(IF($N22="X",ABS($O22-VALUE(MID(AW22,FIND("|",AW22)+1,FIND("-",AW22)-FIND("|",AW22)-1))),ABS($Q22-ABS(VALUE(MID(AW22,FIND("|",AW22)+1,FIND("-",AW22)-FIND("|",AW22)-1))-VALUE(MID(AW22,FIND("-",AW22)+1,10)))))*$D$50)))))*$I22,0)),0)</f>
        <v>0</v>
      </c>
      <c r="AY22" s="338"/>
      <c r="AZ22" s="363" t="s">
        <v>266</v>
      </c>
      <c r="BA22" s="356" t="n">
        <f aca="false">IFERROR(IF($M22=AZ22,($D$8+$D$9+$D$10)*$I22,IF($N22=LEFT(AZ22,1),($D$8+MAX(0,IF($D$50=1,$D$9*(1-(ABS($Q22-ABS(VALUE(MID(AZ22,FIND("|",AZ22)+1,FIND("-",AZ22)-FIND("|",AZ22)-1))-VALUE(MID(AZ22,FIND("-",AZ22)+1,10)))))*$D$50),$D$9*(1-(IF($N22="X",ABS($O22-VALUE(MID(AZ22,FIND("|",AZ22)+1,FIND("-",AZ22)-FIND("|",AZ22)-1))),ABS($Q22-ABS(VALUE(MID(AZ22,FIND("|",AZ22)+1,FIND("-",AZ22)-FIND("|",AZ22)-1))-VALUE(MID(AZ22,FIND("-",AZ22)+1,10)))))*$D$50)))))*$I22,0)),0)</f>
        <v>0</v>
      </c>
      <c r="BB22" s="338"/>
      <c r="BC22" s="363" t="s">
        <v>266</v>
      </c>
      <c r="BD22" s="356" t="n">
        <f aca="false">IFERROR(IF($M22=BC22,($D$8+$D$9+$D$10)*$I22,IF($N22=LEFT(BC22,1),($D$8+MAX(0,IF($D$50=1,$D$9*(1-(ABS($Q22-ABS(VALUE(MID(BC22,FIND("|",BC22)+1,FIND("-",BC22)-FIND("|",BC22)-1))-VALUE(MID(BC22,FIND("-",BC22)+1,10)))))*$D$50),$D$9*(1-(IF($N22="X",ABS($O22-VALUE(MID(BC22,FIND("|",BC22)+1,FIND("-",BC22)-FIND("|",BC22)-1))),ABS($Q22-ABS(VALUE(MID(BC22,FIND("|",BC22)+1,FIND("-",BC22)-FIND("|",BC22)-1))-VALUE(MID(BC22,FIND("-",BC22)+1,10)))))*$D$50)))))*$I22,0)),0)</f>
        <v>0</v>
      </c>
      <c r="BE22" s="338"/>
      <c r="BF22" s="363" t="s">
        <v>266</v>
      </c>
      <c r="BG22" s="356" t="n">
        <f aca="false">IFERROR(IF($M22=BF22,($D$8+$D$9+$D$10)*$I22,IF($N22=LEFT(BF22,1),($D$8+MAX(0,IF($D$50=1,$D$9*(1-(ABS($Q22-ABS(VALUE(MID(BF22,FIND("|",BF22)+1,FIND("-",BF22)-FIND("|",BF22)-1))-VALUE(MID(BF22,FIND("-",BF22)+1,10)))))*$D$50),$D$9*(1-(IF($N22="X",ABS($O22-VALUE(MID(BF22,FIND("|",BF22)+1,FIND("-",BF22)-FIND("|",BF22)-1))),ABS($Q22-ABS(VALUE(MID(BF22,FIND("|",BF22)+1,FIND("-",BF22)-FIND("|",BF22)-1))-VALUE(MID(BF22,FIND("-",BF22)+1,10)))))*$D$50)))))*$I22,0)),0)</f>
        <v>0</v>
      </c>
      <c r="BH22" s="338"/>
      <c r="BI22" s="363" t="s">
        <v>272</v>
      </c>
      <c r="BJ22" s="356" t="n">
        <f aca="false">IFERROR(IF($M22=BI22,($D$8+$D$9+$D$10)*$I22,IF($N22=LEFT(BI22,1),($D$8+MAX(0,IF($D$50=1,$D$9*(1-(ABS($Q22-ABS(VALUE(MID(BI22,FIND("|",BI22)+1,FIND("-",BI22)-FIND("|",BI22)-1))-VALUE(MID(BI22,FIND("-",BI22)+1,10)))))*$D$50),$D$9*(1-(IF($N22="X",ABS($O22-VALUE(MID(BI22,FIND("|",BI22)+1,FIND("-",BI22)-FIND("|",BI22)-1))),ABS($Q22-ABS(VALUE(MID(BI22,FIND("|",BI22)+1,FIND("-",BI22)-FIND("|",BI22)-1))-VALUE(MID(BI22,FIND("-",BI22)+1,10)))))*$D$50)))))*$I22,0)),0)</f>
        <v>0</v>
      </c>
      <c r="BK22" s="338"/>
      <c r="BL22" s="363" t="s">
        <v>272</v>
      </c>
      <c r="BM22" s="356" t="n">
        <f aca="false">IFERROR(IF($M22=BL22,($D$8+$D$9+$D$10)*$I22,IF($N22=LEFT(BL22,1),($D$8+MAX(0,IF($D$50=1,$D$9*(1-(ABS($Q22-ABS(VALUE(MID(BL22,FIND("|",BL22)+1,FIND("-",BL22)-FIND("|",BL22)-1))-VALUE(MID(BL22,FIND("-",BL22)+1,10)))))*$D$50),$D$9*(1-(IF($N22="X",ABS($O22-VALUE(MID(BL22,FIND("|",BL22)+1,FIND("-",BL22)-FIND("|",BL22)-1))),ABS($Q22-ABS(VALUE(MID(BL22,FIND("|",BL22)+1,FIND("-",BL22)-FIND("|",BL22)-1))-VALUE(MID(BL22,FIND("-",BL22)+1,10)))))*$D$50)))))*$I22,0)),0)</f>
        <v>0</v>
      </c>
      <c r="BN22" s="338"/>
      <c r="BO22" s="363" t="s">
        <v>264</v>
      </c>
      <c r="BP22" s="356" t="n">
        <f aca="false">IFERROR(IF($M22=BO22,($D$8+$D$9+$D$10)*$I22,IF($N22=LEFT(BO22,1),($D$8+MAX(0,IF($D$50=1,$D$9*(1-(ABS($Q22-ABS(VALUE(MID(BO22,FIND("|",BO22)+1,FIND("-",BO22)-FIND("|",BO22)-1))-VALUE(MID(BO22,FIND("-",BO22)+1,10)))))*$D$50),$D$9*(1-(IF($N22="X",ABS($O22-VALUE(MID(BO22,FIND("|",BO22)+1,FIND("-",BO22)-FIND("|",BO22)-1))),ABS($Q22-ABS(VALUE(MID(BO22,FIND("|",BO22)+1,FIND("-",BO22)-FIND("|",BO22)-1))-VALUE(MID(BO22,FIND("-",BO22)+1,10)))))*$D$50)))))*$I22,0)),0)</f>
        <v>0</v>
      </c>
      <c r="BQ22" s="338"/>
      <c r="BR22" s="363" t="s">
        <v>264</v>
      </c>
      <c r="BS22" s="356" t="n">
        <f aca="false">IFERROR(IF($M22=BR22,($D$8+$D$9+$D$10)*$I22,IF($N22=LEFT(BR22,1),($D$8+MAX(0,IF($D$50=1,$D$9*(1-(ABS($Q22-ABS(VALUE(MID(BR22,FIND("|",BR22)+1,FIND("-",BR22)-FIND("|",BR22)-1))-VALUE(MID(BR22,FIND("-",BR22)+1,10)))))*$D$50),$D$9*(1-(IF($N22="X",ABS($O22-VALUE(MID(BR22,FIND("|",BR22)+1,FIND("-",BR22)-FIND("|",BR22)-1))),ABS($Q22-ABS(VALUE(MID(BR22,FIND("|",BR22)+1,FIND("-",BR22)-FIND("|",BR22)-1))-VALUE(MID(BR22,FIND("-",BR22)+1,10)))))*$D$50)))))*$I22,0)),0)</f>
        <v>0</v>
      </c>
      <c r="BT22" s="338"/>
      <c r="BU22" s="363"/>
      <c r="BV22" s="356" t="n">
        <f aca="false">IFERROR(IF($M22=BU22,($D$8+$D$9+$D$10)*$I22,IF($N22=LEFT(BU22,1),($D$8+MAX(0,IF($D$50=1,$D$9*(1-(ABS($Q22-ABS(VALUE(MID(BU22,FIND("|",BU22)+1,FIND("-",BU22)-FIND("|",BU22)-1))-VALUE(MID(BU22,FIND("-",BU22)+1,10)))))*$D$50),$D$9*(1-(IF($N22="X",ABS($O22-VALUE(MID(BU22,FIND("|",BU22)+1,FIND("-",BU22)-FIND("|",BU22)-1))),ABS($Q22-ABS(VALUE(MID(BU22,FIND("|",BU22)+1,FIND("-",BU22)-FIND("|",BU22)-1))-VALUE(MID(BU22,FIND("-",BU22)+1,10)))))*$D$50)))))*$I22,0)),0)</f>
        <v>0</v>
      </c>
      <c r="BW22" s="338"/>
      <c r="BX22" s="363"/>
      <c r="BY22" s="356" t="n">
        <f aca="false">IFERROR(IF($M22=BX22,($D$8+$D$9+$D$10)*$I22,IF($N22=LEFT(BX22,1),($D$8+MAX(0,IF($D$50=1,$D$9*(1-(ABS($Q22-ABS(VALUE(MID(BX22,FIND("|",BX22)+1,FIND("-",BX22)-FIND("|",BX22)-1))-VALUE(MID(BX22,FIND("-",BX22)+1,10)))))*$D$50),$D$9*(1-(IF($N22="X",ABS($O22-VALUE(MID(BX22,FIND("|",BX22)+1,FIND("-",BX22)-FIND("|",BX22)-1))),ABS($Q22-ABS(VALUE(MID(BX22,FIND("|",BX22)+1,FIND("-",BX22)-FIND("|",BX22)-1))-VALUE(MID(BX22,FIND("-",BX22)+1,10)))))*$D$50)))))*$I22,0)),0)</f>
        <v>0</v>
      </c>
      <c r="BZ22" s="338"/>
      <c r="CA22" s="363"/>
      <c r="CB22" s="356" t="n">
        <f aca="false">IFERROR(IF($M22=CA22,($D$8+$D$9+$D$10)*$I22,IF($N22=LEFT(CA22,1),($D$8+MAX(0,IF($D$50=1,$D$9*(1-(ABS($Q22-ABS(VALUE(MID(CA22,FIND("|",CA22)+1,FIND("-",CA22)-FIND("|",CA22)-1))-VALUE(MID(CA22,FIND("-",CA22)+1,10)))))*$D$50),$D$9*(1-(IF($N22="X",ABS($O22-VALUE(MID(CA22,FIND("|",CA22)+1,FIND("-",CA22)-FIND("|",CA22)-1))),ABS($Q22-ABS(VALUE(MID(CA22,FIND("|",CA22)+1,FIND("-",CA22)-FIND("|",CA22)-1))-VALUE(MID(CA22,FIND("-",CA22)+1,10)))))*$D$50)))))*$I22,0)),0)</f>
        <v>0</v>
      </c>
      <c r="CC22" s="338"/>
      <c r="CD22" s="363"/>
      <c r="CE22" s="356" t="n">
        <f aca="false">IFERROR(IF($M22=CD22,($D$8+$D$9+$D$10)*$I22,IF($N22=LEFT(CD22,1),($D$8+MAX(0,IF($D$50=1,$D$9*(1-(ABS($Q22-ABS(VALUE(MID(CD22,FIND("|",CD22)+1,FIND("-",CD22)-FIND("|",CD22)-1))-VALUE(MID(CD22,FIND("-",CD22)+1,10)))))*$D$50),$D$9*(1-(IF($N22="X",ABS($O22-VALUE(MID(CD22,FIND("|",CD22)+1,FIND("-",CD22)-FIND("|",CD22)-1))),ABS($Q22-ABS(VALUE(MID(CD22,FIND("|",CD22)+1,FIND("-",CD22)-FIND("|",CD22)-1))-VALUE(MID(CD22,FIND("-",CD22)+1,10)))))*$D$50)))))*$I22,0)),0)</f>
        <v>0</v>
      </c>
      <c r="CF22" s="338"/>
      <c r="CG22" s="363"/>
      <c r="CH22" s="356" t="n">
        <f aca="false">IFERROR(IF($M22=CG22,($D$8+$D$9+$D$10)*$I22,IF($N22=LEFT(CG22,1),($D$8+MAX(0,IF($D$50=1,$D$9*(1-(ABS($Q22-ABS(VALUE(MID(CG22,FIND("|",CG22)+1,FIND("-",CG22)-FIND("|",CG22)-1))-VALUE(MID(CG22,FIND("-",CG22)+1,10)))))*$D$50),$D$9*(1-(IF($N22="X",ABS($O22-VALUE(MID(CG22,FIND("|",CG22)+1,FIND("-",CG22)-FIND("|",CG22)-1))),ABS($Q22-ABS(VALUE(MID(CG22,FIND("|",CG22)+1,FIND("-",CG22)-FIND("|",CG22)-1))-VALUE(MID(CG22,FIND("-",CG22)+1,10)))))*$D$50)))))*$I22,0)),0)</f>
        <v>0</v>
      </c>
      <c r="CI22" s="338"/>
      <c r="CJ22" s="363"/>
      <c r="CK22" s="356" t="n">
        <f aca="false">IFERROR(IF($M22=CJ22,($D$8+$D$9+$D$10)*$I22,IF($N22=LEFT(CJ22,1),($D$8+MAX(0,IF($D$50=1,$D$9*(1-(ABS($Q22-ABS(VALUE(MID(CJ22,FIND("|",CJ22)+1,FIND("-",CJ22)-FIND("|",CJ22)-1))-VALUE(MID(CJ22,FIND("-",CJ22)+1,10)))))*$D$50),$D$9*(1-(IF($N22="X",ABS($O22-VALUE(MID(CJ22,FIND("|",CJ22)+1,FIND("-",CJ22)-FIND("|",CJ22)-1))),ABS($Q22-ABS(VALUE(MID(CJ22,FIND("|",CJ22)+1,FIND("-",CJ22)-FIND("|",CJ22)-1))-VALUE(MID(CJ22,FIND("-",CJ22)+1,10)))))*$D$50)))))*$I22,0)),0)</f>
        <v>0</v>
      </c>
      <c r="CL22" s="338"/>
      <c r="CM22" s="363"/>
      <c r="CN22" s="356" t="n">
        <f aca="false">IFERROR(IF($M22=CM22,($D$8+$D$9+$D$10)*$I22,IF($N22=LEFT(CM22,1),($D$8+MAX(0,IF($D$50=1,$D$9*(1-(ABS($Q22-ABS(VALUE(MID(CM22,FIND("|",CM22)+1,FIND("-",CM22)-FIND("|",CM22)-1))-VALUE(MID(CM22,FIND("-",CM22)+1,10)))))*$D$50),$D$9*(1-(IF($N22="X",ABS($O22-VALUE(MID(CM22,FIND("|",CM22)+1,FIND("-",CM22)-FIND("|",CM22)-1))),ABS($Q22-ABS(VALUE(MID(CM22,FIND("|",CM22)+1,FIND("-",CM22)-FIND("|",CM22)-1))-VALUE(MID(CM22,FIND("-",CM22)+1,10)))))*$D$50)))))*$I22,0)),0)</f>
        <v>0</v>
      </c>
      <c r="CO22" s="338"/>
      <c r="CP22" s="363"/>
      <c r="CQ22" s="356" t="n">
        <f aca="false">IFERROR(IF($M22=CP22,($D$8+$D$9+$D$10)*$I22,IF($N22=LEFT(CP22,1),($D$8+MAX(0,IF($D$50=1,$D$9*(1-(ABS($Q22-ABS(VALUE(MID(CP22,FIND("|",CP22)+1,FIND("-",CP22)-FIND("|",CP22)-1))-VALUE(MID(CP22,FIND("-",CP22)+1,10)))))*$D$50),$D$9*(1-(IF($N22="X",ABS($O22-VALUE(MID(CP22,FIND("|",CP22)+1,FIND("-",CP22)-FIND("|",CP22)-1))),ABS($Q22-ABS(VALUE(MID(CP22,FIND("|",CP22)+1,FIND("-",CP22)-FIND("|",CP22)-1))-VALUE(MID(CP22,FIND("-",CP22)+1,10)))))*$D$50)))))*$I22,0)),0)</f>
        <v>0</v>
      </c>
      <c r="CR22" s="338"/>
      <c r="CS22" s="363"/>
      <c r="CT22" s="356" t="n">
        <f aca="false">IFERROR(IF($M22=CS22,($D$8+$D$9+$D$10)*$I22,IF($N22=LEFT(CS22,1),($D$8+MAX(0,IF($D$50=1,$D$9*(1-(ABS($Q22-ABS(VALUE(MID(CS22,FIND("|",CS22)+1,FIND("-",CS22)-FIND("|",CS22)-1))-VALUE(MID(CS22,FIND("-",CS22)+1,10)))))*$D$50),$D$9*(1-(IF($N22="X",ABS($O22-VALUE(MID(CS22,FIND("|",CS22)+1,FIND("-",CS22)-FIND("|",CS22)-1))),ABS($Q22-ABS(VALUE(MID(CS22,FIND("|",CS22)+1,FIND("-",CS22)-FIND("|",CS22)-1))-VALUE(MID(CS22,FIND("-",CS22)+1,10)))))*$D$50)))))*$I22,0)),0)</f>
        <v>0</v>
      </c>
      <c r="CU22" s="338"/>
      <c r="CV22" s="363"/>
      <c r="CW22" s="356" t="n">
        <f aca="false">IFERROR(IF($M22=CV22,($D$8+$D$9+$D$10)*$I22,IF($N22=LEFT(CV22,1),($D$8+MAX(0,IF($D$50=1,$D$9*(1-(ABS($Q22-ABS(VALUE(MID(CV22,FIND("|",CV22)+1,FIND("-",CV22)-FIND("|",CV22)-1))-VALUE(MID(CV22,FIND("-",CV22)+1,10)))))*$D$50),$D$9*(1-(IF($N22="X",ABS($O22-VALUE(MID(CV22,FIND("|",CV22)+1,FIND("-",CV22)-FIND("|",CV22)-1))),ABS($Q22-ABS(VALUE(MID(CV22,FIND("|",CV22)+1,FIND("-",CV22)-FIND("|",CV22)-1))-VALUE(MID(CV22,FIND("-",CV22)+1,10)))))*$D$50)))))*$I22,0)),0)</f>
        <v>0</v>
      </c>
      <c r="CX22" s="338"/>
      <c r="CY22" s="363"/>
      <c r="CZ22" s="356" t="n">
        <f aca="false">IFERROR(IF($M22=CY22,($D$8+$D$9+$D$10)*$I22,IF($N22=LEFT(CY22,1),($D$8+MAX(0,IF($D$50=1,$D$9*(1-(ABS($Q22-ABS(VALUE(MID(CY22,FIND("|",CY22)+1,FIND("-",CY22)-FIND("|",CY22)-1))-VALUE(MID(CY22,FIND("-",CY22)+1,10)))))*$D$50),$D$9*(1-(IF($N22="X",ABS($O22-VALUE(MID(CY22,FIND("|",CY22)+1,FIND("-",CY22)-FIND("|",CY22)-1))),ABS($Q22-ABS(VALUE(MID(CY22,FIND("|",CY22)+1,FIND("-",CY22)-FIND("|",CY22)-1))-VALUE(MID(CY22,FIND("-",CY22)+1,10)))))*$D$50)))))*$I22,0)),0)</f>
        <v>0</v>
      </c>
      <c r="DA22" s="338"/>
      <c r="DB22" s="363"/>
      <c r="DC22" s="356" t="n">
        <f aca="false">IFERROR(IF($M22=DB22,($D$8+$D$9+$D$10)*$I22,IF($N22=LEFT(DB22,1),($D$8+MAX(0,IF($D$50=1,$D$9*(1-(ABS($Q22-ABS(VALUE(MID(DB22,FIND("|",DB22)+1,FIND("-",DB22)-FIND("|",DB22)-1))-VALUE(MID(DB22,FIND("-",DB22)+1,10)))))*$D$50),$D$9*(1-(IF($N22="X",ABS($O22-VALUE(MID(DB22,FIND("|",DB22)+1,FIND("-",DB22)-FIND("|",DB22)-1))),ABS($Q22-ABS(VALUE(MID(DB22,FIND("|",DB22)+1,FIND("-",DB22)-FIND("|",DB22)-1))-VALUE(MID(DB22,FIND("-",DB22)+1,10)))))*$D$50)))))*$I22,0)),0)</f>
        <v>0</v>
      </c>
      <c r="DD22" s="338"/>
      <c r="DE22" s="363"/>
      <c r="DF22" s="356" t="n">
        <f aca="false">IFERROR(IF($M22=DE22,($D$8+$D$9+$D$10)*$I22,IF($N22=LEFT(DE22,1),($D$8+MAX(0,IF($D$50=1,$D$9*(1-(ABS($Q22-ABS(VALUE(MID(DE22,FIND("|",DE22)+1,FIND("-",DE22)-FIND("|",DE22)-1))-VALUE(MID(DE22,FIND("-",DE22)+1,10)))))*$D$50),$D$9*(1-(IF($N22="X",ABS($O22-VALUE(MID(DE22,FIND("|",DE22)+1,FIND("-",DE22)-FIND("|",DE22)-1))),ABS($Q22-ABS(VALUE(MID(DE22,FIND("|",DE22)+1,FIND("-",DE22)-FIND("|",DE22)-1))-VALUE(MID(DE22,FIND("-",DE22)+1,10)))))*$D$50)))))*$I22,0)),0)</f>
        <v>0</v>
      </c>
      <c r="DG22" s="338"/>
      <c r="DH22" s="363"/>
      <c r="DI22" s="356" t="n">
        <f aca="false">IFERROR(IF($M22=DH22,($D$8+$D$9+$D$10)*$I22,IF($N22=LEFT(DH22,1),($D$8+MAX(0,IF($D$50=1,$D$9*(1-(ABS($Q22-ABS(VALUE(MID(DH22,FIND("|",DH22)+1,FIND("-",DH22)-FIND("|",DH22)-1))-VALUE(MID(DH22,FIND("-",DH22)+1,10)))))*$D$50),$D$9*(1-(IF($N22="X",ABS($O22-VALUE(MID(DH22,FIND("|",DH22)+1,FIND("-",DH22)-FIND("|",DH22)-1))),ABS($Q22-ABS(VALUE(MID(DH22,FIND("|",DH22)+1,FIND("-",DH22)-FIND("|",DH22)-1))-VALUE(MID(DH22,FIND("-",DH22)+1,10)))))*$D$50)))))*$I22,0)),0)</f>
        <v>0</v>
      </c>
      <c r="DJ22" s="338"/>
      <c r="DK22" s="363"/>
      <c r="DL22" s="356" t="n">
        <f aca="false">IFERROR(IF($M22=DK22,($D$8+$D$9+$D$10)*$I22,IF($N22=LEFT(DK22,1),($D$8+MAX(0,IF($D$50=1,$D$9*(1-(ABS($Q22-ABS(VALUE(MID(DK22,FIND("|",DK22)+1,FIND("-",DK22)-FIND("|",DK22)-1))-VALUE(MID(DK22,FIND("-",DK22)+1,10)))))*$D$50),$D$9*(1-(IF($N22="X",ABS($O22-VALUE(MID(DK22,FIND("|",DK22)+1,FIND("-",DK22)-FIND("|",DK22)-1))),ABS($Q22-ABS(VALUE(MID(DK22,FIND("|",DK22)+1,FIND("-",DK22)-FIND("|",DK22)-1))-VALUE(MID(DK22,FIND("-",DK22)+1,10)))))*$D$50)))))*$I22,0)),0)</f>
        <v>0</v>
      </c>
      <c r="DM22" s="338"/>
      <c r="DN22" s="363"/>
      <c r="DO22" s="356" t="n">
        <f aca="false">IFERROR(IF($M22=DN22,($D$8+$D$9+$D$10)*$I22,IF($N22=LEFT(DN22,1),($D$8+MAX(0,IF($D$50=1,$D$9*(1-(ABS($Q22-ABS(VALUE(MID(DN22,FIND("|",DN22)+1,FIND("-",DN22)-FIND("|",DN22)-1))-VALUE(MID(DN22,FIND("-",DN22)+1,10)))))*$D$50),$D$9*(1-(IF($N22="X",ABS($O22-VALUE(MID(DN22,FIND("|",DN22)+1,FIND("-",DN22)-FIND("|",DN22)-1))),ABS($Q22-ABS(VALUE(MID(DN22,FIND("|",DN22)+1,FIND("-",DN22)-FIND("|",DN22)-1))-VALUE(MID(DN22,FIND("-",DN22)+1,10)))))*$D$50)))))*$I22,0)),0)</f>
        <v>0</v>
      </c>
      <c r="DP22" s="338"/>
      <c r="DQ22" s="363"/>
      <c r="DR22" s="356" t="n">
        <f aca="false">IFERROR(IF($M22=DQ22,($D$8+$D$9+$D$10)*$I22,IF($N22=LEFT(DQ22,1),($D$8+MAX(0,IF($D$50=1,$D$9*(1-(ABS($Q22-ABS(VALUE(MID(DQ22,FIND("|",DQ22)+1,FIND("-",DQ22)-FIND("|",DQ22)-1))-VALUE(MID(DQ22,FIND("-",DQ22)+1,10)))))*$D$50),$D$9*(1-(IF($N22="X",ABS($O22-VALUE(MID(DQ22,FIND("|",DQ22)+1,FIND("-",DQ22)-FIND("|",DQ22)-1))),ABS($Q22-ABS(VALUE(MID(DQ22,FIND("|",DQ22)+1,FIND("-",DQ22)-FIND("|",DQ22)-1))-VALUE(MID(DQ22,FIND("-",DQ22)+1,10)))))*$D$50)))))*$I22,0)),0)</f>
        <v>0</v>
      </c>
      <c r="DS22" s="338"/>
      <c r="DT22" s="363"/>
      <c r="DU22" s="356" t="n">
        <f aca="false">IFERROR(IF($M22=DT22,($D$8+$D$9+$D$10)*$I22,IF($N22=LEFT(DT22,1),($D$8+MAX(0,IF($D$50=1,$D$9*(1-(ABS($Q22-ABS(VALUE(MID(DT22,FIND("|",DT22)+1,FIND("-",DT22)-FIND("|",DT22)-1))-VALUE(MID(DT22,FIND("-",DT22)+1,10)))))*$D$50),$D$9*(1-(IF($N22="X",ABS($O22-VALUE(MID(DT22,FIND("|",DT22)+1,FIND("-",DT22)-FIND("|",DT22)-1))),ABS($Q22-ABS(VALUE(MID(DT22,FIND("|",DT22)+1,FIND("-",DT22)-FIND("|",DT22)-1))-VALUE(MID(DT22,FIND("-",DT22)+1,10)))))*$D$50)))))*$I22,0)),0)</f>
        <v>0</v>
      </c>
      <c r="DV22" s="338"/>
      <c r="DW22" s="363"/>
      <c r="DX22" s="356" t="n">
        <f aca="false">IFERROR(IF($M22=DW22,($D$8+$D$9+$D$10)*$I22,IF($N22=LEFT(DW22,1),($D$8+MAX(0,IF($D$50=1,$D$9*(1-(ABS($Q22-ABS(VALUE(MID(DW22,FIND("|",DW22)+1,FIND("-",DW22)-FIND("|",DW22)-1))-VALUE(MID(DW22,FIND("-",DW22)+1,10)))))*$D$50),$D$9*(1-(IF($N22="X",ABS($O22-VALUE(MID(DW22,FIND("|",DW22)+1,FIND("-",DW22)-FIND("|",DW22)-1))),ABS($Q22-ABS(VALUE(MID(DW22,FIND("|",DW22)+1,FIND("-",DW22)-FIND("|",DW22)-1))-VALUE(MID(DW22,FIND("-",DW22)+1,10)))))*$D$50)))))*$I22,0)),0)</f>
        <v>0</v>
      </c>
      <c r="DY22" s="338"/>
      <c r="DZ22" s="363"/>
      <c r="EA22" s="356" t="n">
        <f aca="false">IFERROR(IF($M22=DZ22,($D$8+$D$9+$D$10)*$I22,IF($N22=LEFT(DZ22,1),($D$8+MAX(0,IF($D$50=1,$D$9*(1-(ABS($Q22-ABS(VALUE(MID(DZ22,FIND("|",DZ22)+1,FIND("-",DZ22)-FIND("|",DZ22)-1))-VALUE(MID(DZ22,FIND("-",DZ22)+1,10)))))*$D$50),$D$9*(1-(IF($N22="X",ABS($O22-VALUE(MID(DZ22,FIND("|",DZ22)+1,FIND("-",DZ22)-FIND("|",DZ22)-1))),ABS($Q22-ABS(VALUE(MID(DZ22,FIND("|",DZ22)+1,FIND("-",DZ22)-FIND("|",DZ22)-1))-VALUE(MID(DZ22,FIND("-",DZ22)+1,10)))))*$D$50)))))*$I22,0)),0)</f>
        <v>0</v>
      </c>
      <c r="EB22" s="338"/>
      <c r="EC22" s="363"/>
      <c r="ED22" s="356" t="n">
        <f aca="false">IFERROR(IF($M22=EC22,($D$8+$D$9+$D$10)*$I22,IF($N22=LEFT(EC22,1),($D$8+MAX(0,IF($D$50=1,$D$9*(1-(ABS($Q22-ABS(VALUE(MID(EC22,FIND("|",EC22)+1,FIND("-",EC22)-FIND("|",EC22)-1))-VALUE(MID(EC22,FIND("-",EC22)+1,10)))))*$D$50),$D$9*(1-(IF($N22="X",ABS($O22-VALUE(MID(EC22,FIND("|",EC22)+1,FIND("-",EC22)-FIND("|",EC22)-1))),ABS($Q22-ABS(VALUE(MID(EC22,FIND("|",EC22)+1,FIND("-",EC22)-FIND("|",EC22)-1))-VALUE(MID(EC22,FIND("-",EC22)+1,10)))))*$D$50)))))*$I22,0)),0)</f>
        <v>0</v>
      </c>
      <c r="EE22" s="338"/>
      <c r="EF22" s="363"/>
      <c r="EG22" s="356" t="n">
        <f aca="false">IFERROR(IF($M22=EF22,($D$8+$D$9+$D$10)*$I22,IF($N22=LEFT(EF22,1),($D$8+MAX(0,IF($D$50=1,$D$9*(1-(ABS($Q22-ABS(VALUE(MID(EF22,FIND("|",EF22)+1,FIND("-",EF22)-FIND("|",EF22)-1))-VALUE(MID(EF22,FIND("-",EF22)+1,10)))))*$D$50),$D$9*(1-(IF($N22="X",ABS($O22-VALUE(MID(EF22,FIND("|",EF22)+1,FIND("-",EF22)-FIND("|",EF22)-1))),ABS($Q22-ABS(VALUE(MID(EF22,FIND("|",EF22)+1,FIND("-",EF22)-FIND("|",EF22)-1))-VALUE(MID(EF22,FIND("-",EF22)+1,10)))))*$D$50)))))*$I22,0)),0)</f>
        <v>0</v>
      </c>
      <c r="EH22" s="338"/>
      <c r="EI22" s="338"/>
    </row>
    <row r="23" customFormat="false" ht="15" hidden="false" customHeight="false" outlineLevel="0" collapsed="false">
      <c r="A23" s="327"/>
      <c r="B23" s="327"/>
      <c r="C23" s="368" t="str">
        <f aca="false">Idiomas!D319</f>
        <v>Equipo clasificado para CUARTOS</v>
      </c>
      <c r="D23" s="369" t="n">
        <v>5</v>
      </c>
      <c r="E23" s="334"/>
      <c r="F23" s="343" t="n">
        <f aca="false">SUM($D$8:$D$10)*I23</f>
        <v>17</v>
      </c>
      <c r="G23" s="343" t="n">
        <f aca="false">VLOOKUP(H23,Equipos!$Q$1:$R$25,2,0)</f>
        <v>7</v>
      </c>
      <c r="H23" s="351" t="n">
        <f aca="false">TRUNC(INDEX(WORLDCUP!$X$4:$X$147,MATCH(ADMIN!K23,WORLDCUP!$DT$4:$DT$147,0))+INDEX(Horarios!$R$3:$R$86,MATCH(Horarios!$C$3,Horarios!$P$3:$P$86,0))/24)</f>
        <v>46190</v>
      </c>
      <c r="I23" s="352" t="n">
        <v>1</v>
      </c>
      <c r="J23" s="353" t="s">
        <v>291</v>
      </c>
      <c r="K23" s="367" t="str">
        <f aca="false">CONCATENATE(WORLDCUP!AA69,"-",WORLDCUP!AF69)</f>
        <v>Irak-Noruega</v>
      </c>
      <c r="L23" s="354"/>
      <c r="M23" s="359" t="str">
        <f aca="false">IF(OR(WORLDCUP!AC69="",WORLDCUP!AD69=""),"-",N23&amp;"|"&amp;O23&amp;"-"&amp;P23)</f>
        <v>-</v>
      </c>
      <c r="N23" s="332" t="str">
        <f aca="false">IF(OR(WORLDCUP!AC69="",WORLDCUP!AD69=""),"",IF(WORLDCUP!AC69&gt;WORLDCUP!AD69,"1",IF(WORLDCUP!AC69&lt;WORLDCUP!AD69,"2","X")))</f>
        <v/>
      </c>
      <c r="O23" s="332" t="n">
        <f aca="false">WORLDCUP!AC69</f>
        <v>0</v>
      </c>
      <c r="P23" s="332" t="n">
        <f aca="false">WORLDCUP!AD69</f>
        <v>0</v>
      </c>
      <c r="Q23" s="332" t="n">
        <f aca="false">ABS(O23-P23)</f>
        <v>0</v>
      </c>
      <c r="R23" s="327"/>
      <c r="S23" s="363" t="s">
        <v>268</v>
      </c>
      <c r="T23" s="356" t="n">
        <f aca="false">IFERROR(IF($M23=S23,($D$8+$D$9+$D$10)*$I23,IF($N23=LEFT(S23,1),($D$8+MAX(0,IF($D$50=1,$D$9*(1-(ABS($Q23-ABS(VALUE(MID(S23,FIND("|",S23)+1,FIND("-",S23)-FIND("|",S23)-1))-VALUE(MID(S23,FIND("-",S23)+1,10)))))*$D$50),$D$9*(1-(IF($N23="X",ABS($O23-VALUE(MID(S23,FIND("|",S23)+1,FIND("-",S23)-FIND("|",S23)-1))),ABS($Q23-ABS(VALUE(MID(S23,FIND("|",S23)+1,FIND("-",S23)-FIND("|",S23)-1))-VALUE(MID(S23,FIND("-",S23)+1,10)))))*$D$50)))))*$I23,0)),0)</f>
        <v>0</v>
      </c>
      <c r="U23" s="338"/>
      <c r="V23" s="363" t="s">
        <v>271</v>
      </c>
      <c r="W23" s="356" t="n">
        <f aca="false">IFERROR(IF($M23=V23,($D$8+$D$9+$D$10)*$I23,IF($N23=LEFT(V23,1),($D$8+MAX(0,IF($D$50=1,$D$9*(1-(ABS($Q23-ABS(VALUE(MID(V23,FIND("|",V23)+1,FIND("-",V23)-FIND("|",V23)-1))-VALUE(MID(V23,FIND("-",V23)+1,10)))))*$D$50),$D$9*(1-(IF($N23="X",ABS($O23-VALUE(MID(V23,FIND("|",V23)+1,FIND("-",V23)-FIND("|",V23)-1))),ABS($Q23-ABS(VALUE(MID(V23,FIND("|",V23)+1,FIND("-",V23)-FIND("|",V23)-1))-VALUE(MID(V23,FIND("-",V23)+1,10)))))*$D$50)))))*$I23,0)),0)</f>
        <v>0</v>
      </c>
      <c r="X23" s="338"/>
      <c r="Y23" s="363" t="s">
        <v>274</v>
      </c>
      <c r="Z23" s="356" t="n">
        <f aca="false">IFERROR(IF($M23=Y23,($D$8+$D$9+$D$10)*$I23,IF($N23=LEFT(Y23,1),($D$8+MAX(0,IF($D$50=1,$D$9*(1-(ABS($Q23-ABS(VALUE(MID(Y23,FIND("|",Y23)+1,FIND("-",Y23)-FIND("|",Y23)-1))-VALUE(MID(Y23,FIND("-",Y23)+1,10)))))*$D$50),$D$9*(1-(IF($N23="X",ABS($O23-VALUE(MID(Y23,FIND("|",Y23)+1,FIND("-",Y23)-FIND("|",Y23)-1))),ABS($Q23-ABS(VALUE(MID(Y23,FIND("|",Y23)+1,FIND("-",Y23)-FIND("|",Y23)-1))-VALUE(MID(Y23,FIND("-",Y23)+1,10)))))*$D$50)))))*$I23,0)),0)</f>
        <v>0</v>
      </c>
      <c r="AA23" s="338"/>
      <c r="AB23" s="363" t="s">
        <v>271</v>
      </c>
      <c r="AC23" s="356" t="n">
        <f aca="false">IFERROR(IF($M23=AB23,($D$8+$D$9+$D$10)*$I23,IF($N23=LEFT(AB23,1),($D$8+MAX(0,IF($D$50=1,$D$9*(1-(ABS($Q23-ABS(VALUE(MID(AB23,FIND("|",AB23)+1,FIND("-",AB23)-FIND("|",AB23)-1))-VALUE(MID(AB23,FIND("-",AB23)+1,10)))))*$D$50),$D$9*(1-(IF($N23="X",ABS($O23-VALUE(MID(AB23,FIND("|",AB23)+1,FIND("-",AB23)-FIND("|",AB23)-1))),ABS($Q23-ABS(VALUE(MID(AB23,FIND("|",AB23)+1,FIND("-",AB23)-FIND("|",AB23)-1))-VALUE(MID(AB23,FIND("-",AB23)+1,10)))))*$D$50)))))*$I23,0)),0)</f>
        <v>0</v>
      </c>
      <c r="AD23" s="338"/>
      <c r="AE23" s="363" t="s">
        <v>274</v>
      </c>
      <c r="AF23" s="356" t="n">
        <f aca="false">IFERROR(IF($M23=AE23,($D$8+$D$9+$D$10)*$I23,IF($N23=LEFT(AE23,1),($D$8+MAX(0,IF($D$50=1,$D$9*(1-(ABS($Q23-ABS(VALUE(MID(AE23,FIND("|",AE23)+1,FIND("-",AE23)-FIND("|",AE23)-1))-VALUE(MID(AE23,FIND("-",AE23)+1,10)))))*$D$50),$D$9*(1-(IF($N23="X",ABS($O23-VALUE(MID(AE23,FIND("|",AE23)+1,FIND("-",AE23)-FIND("|",AE23)-1))),ABS($Q23-ABS(VALUE(MID(AE23,FIND("|",AE23)+1,FIND("-",AE23)-FIND("|",AE23)-1))-VALUE(MID(AE23,FIND("-",AE23)+1,10)))))*$D$50)))))*$I23,0)),0)</f>
        <v>0</v>
      </c>
      <c r="AG23" s="338"/>
      <c r="AH23" s="363" t="s">
        <v>274</v>
      </c>
      <c r="AI23" s="356" t="n">
        <f aca="false">IFERROR(IF($M23=AH23,($D$8+$D$9+$D$10)*$I23,IF($N23=LEFT(AH23,1),($D$8+MAX(0,IF($D$50=1,$D$9*(1-(ABS($Q23-ABS(VALUE(MID(AH23,FIND("|",AH23)+1,FIND("-",AH23)-FIND("|",AH23)-1))-VALUE(MID(AH23,FIND("-",AH23)+1,10)))))*$D$50),$D$9*(1-(IF($N23="X",ABS($O23-VALUE(MID(AH23,FIND("|",AH23)+1,FIND("-",AH23)-FIND("|",AH23)-1))),ABS($Q23-ABS(VALUE(MID(AH23,FIND("|",AH23)+1,FIND("-",AH23)-FIND("|",AH23)-1))-VALUE(MID(AH23,FIND("-",AH23)+1,10)))))*$D$50)))))*$I23,0)),0)</f>
        <v>0</v>
      </c>
      <c r="AJ23" s="338"/>
      <c r="AK23" s="363" t="s">
        <v>274</v>
      </c>
      <c r="AL23" s="356" t="n">
        <f aca="false">IFERROR(IF($M23=AK23,($D$8+$D$9+$D$10)*$I23,IF($N23=LEFT(AK23,1),($D$8+MAX(0,IF($D$50=1,$D$9*(1-(ABS($Q23-ABS(VALUE(MID(AK23,FIND("|",AK23)+1,FIND("-",AK23)-FIND("|",AK23)-1))-VALUE(MID(AK23,FIND("-",AK23)+1,10)))))*$D$50),$D$9*(1-(IF($N23="X",ABS($O23-VALUE(MID(AK23,FIND("|",AK23)+1,FIND("-",AK23)-FIND("|",AK23)-1))),ABS($Q23-ABS(VALUE(MID(AK23,FIND("|",AK23)+1,FIND("-",AK23)-FIND("|",AK23)-1))-VALUE(MID(AK23,FIND("-",AK23)+1,10)))))*$D$50)))))*$I23,0)),0)</f>
        <v>0</v>
      </c>
      <c r="AM23" s="338"/>
      <c r="AN23" s="363" t="s">
        <v>277</v>
      </c>
      <c r="AO23" s="356" t="n">
        <f aca="false">IFERROR(IF($M23=AN23,($D$8+$D$9+$D$10)*$I23,IF($N23=LEFT(AN23,1),($D$8+MAX(0,IF($D$50=1,$D$9*(1-(ABS($Q23-ABS(VALUE(MID(AN23,FIND("|",AN23)+1,FIND("-",AN23)-FIND("|",AN23)-1))-VALUE(MID(AN23,FIND("-",AN23)+1,10)))))*$D$50),$D$9*(1-(IF($N23="X",ABS($O23-VALUE(MID(AN23,FIND("|",AN23)+1,FIND("-",AN23)-FIND("|",AN23)-1))),ABS($Q23-ABS(VALUE(MID(AN23,FIND("|",AN23)+1,FIND("-",AN23)-FIND("|",AN23)-1))-VALUE(MID(AN23,FIND("-",AN23)+1,10)))))*$D$50)))))*$I23,0)),0)</f>
        <v>0</v>
      </c>
      <c r="AP23" s="338"/>
      <c r="AQ23" s="363" t="s">
        <v>271</v>
      </c>
      <c r="AR23" s="356" t="n">
        <f aca="false">IFERROR(IF($M23=AQ23,($D$8+$D$9+$D$10)*$I23,IF($N23=LEFT(AQ23,1),($D$8+MAX(0,IF($D$50=1,$D$9*(1-(ABS($Q23-ABS(VALUE(MID(AQ23,FIND("|",AQ23)+1,FIND("-",AQ23)-FIND("|",AQ23)-1))-VALUE(MID(AQ23,FIND("-",AQ23)+1,10)))))*$D$50),$D$9*(1-(IF($N23="X",ABS($O23-VALUE(MID(AQ23,FIND("|",AQ23)+1,FIND("-",AQ23)-FIND("|",AQ23)-1))),ABS($Q23-ABS(VALUE(MID(AQ23,FIND("|",AQ23)+1,FIND("-",AQ23)-FIND("|",AQ23)-1))-VALUE(MID(AQ23,FIND("-",AQ23)+1,10)))))*$D$50)))))*$I23,0)),0)</f>
        <v>0</v>
      </c>
      <c r="AS23" s="338"/>
      <c r="AT23" s="363" t="s">
        <v>273</v>
      </c>
      <c r="AU23" s="356" t="n">
        <f aca="false">IFERROR(IF($M23=AT23,($D$8+$D$9+$D$10)*$I23,IF($N23=LEFT(AT23,1),($D$8+MAX(0,IF($D$50=1,$D$9*(1-(ABS($Q23-ABS(VALUE(MID(AT23,FIND("|",AT23)+1,FIND("-",AT23)-FIND("|",AT23)-1))-VALUE(MID(AT23,FIND("-",AT23)+1,10)))))*$D$50),$D$9*(1-(IF($N23="X",ABS($O23-VALUE(MID(AT23,FIND("|",AT23)+1,FIND("-",AT23)-FIND("|",AT23)-1))),ABS($Q23-ABS(VALUE(MID(AT23,FIND("|",AT23)+1,FIND("-",AT23)-FIND("|",AT23)-1))-VALUE(MID(AT23,FIND("-",AT23)+1,10)))))*$D$50)))))*$I23,0)),0)</f>
        <v>0</v>
      </c>
      <c r="AV23" s="338"/>
      <c r="AW23" s="363" t="s">
        <v>273</v>
      </c>
      <c r="AX23" s="356" t="n">
        <f aca="false">IFERROR(IF($M23=AW23,($D$8+$D$9+$D$10)*$I23,IF($N23=LEFT(AW23,1),($D$8+MAX(0,IF($D$50=1,$D$9*(1-(ABS($Q23-ABS(VALUE(MID(AW23,FIND("|",AW23)+1,FIND("-",AW23)-FIND("|",AW23)-1))-VALUE(MID(AW23,FIND("-",AW23)+1,10)))))*$D$50),$D$9*(1-(IF($N23="X",ABS($O23-VALUE(MID(AW23,FIND("|",AW23)+1,FIND("-",AW23)-FIND("|",AW23)-1))),ABS($Q23-ABS(VALUE(MID(AW23,FIND("|",AW23)+1,FIND("-",AW23)-FIND("|",AW23)-1))-VALUE(MID(AW23,FIND("-",AW23)+1,10)))))*$D$50)))))*$I23,0)),0)</f>
        <v>0</v>
      </c>
      <c r="AY23" s="338"/>
      <c r="AZ23" s="363" t="s">
        <v>268</v>
      </c>
      <c r="BA23" s="356" t="n">
        <f aca="false">IFERROR(IF($M23=AZ23,($D$8+$D$9+$D$10)*$I23,IF($N23=LEFT(AZ23,1),($D$8+MAX(0,IF($D$50=1,$D$9*(1-(ABS($Q23-ABS(VALUE(MID(AZ23,FIND("|",AZ23)+1,FIND("-",AZ23)-FIND("|",AZ23)-1))-VALUE(MID(AZ23,FIND("-",AZ23)+1,10)))))*$D$50),$D$9*(1-(IF($N23="X",ABS($O23-VALUE(MID(AZ23,FIND("|",AZ23)+1,FIND("-",AZ23)-FIND("|",AZ23)-1))),ABS($Q23-ABS(VALUE(MID(AZ23,FIND("|",AZ23)+1,FIND("-",AZ23)-FIND("|",AZ23)-1))-VALUE(MID(AZ23,FIND("-",AZ23)+1,10)))))*$D$50)))))*$I23,0)),0)</f>
        <v>0</v>
      </c>
      <c r="BB23" s="338"/>
      <c r="BC23" s="363" t="s">
        <v>274</v>
      </c>
      <c r="BD23" s="356" t="n">
        <f aca="false">IFERROR(IF($M23=BC23,($D$8+$D$9+$D$10)*$I23,IF($N23=LEFT(BC23,1),($D$8+MAX(0,IF($D$50=1,$D$9*(1-(ABS($Q23-ABS(VALUE(MID(BC23,FIND("|",BC23)+1,FIND("-",BC23)-FIND("|",BC23)-1))-VALUE(MID(BC23,FIND("-",BC23)+1,10)))))*$D$50),$D$9*(1-(IF($N23="X",ABS($O23-VALUE(MID(BC23,FIND("|",BC23)+1,FIND("-",BC23)-FIND("|",BC23)-1))),ABS($Q23-ABS(VALUE(MID(BC23,FIND("|",BC23)+1,FIND("-",BC23)-FIND("|",BC23)-1))-VALUE(MID(BC23,FIND("-",BC23)+1,10)))))*$D$50)))))*$I23,0)),0)</f>
        <v>0</v>
      </c>
      <c r="BE23" s="338"/>
      <c r="BF23" s="363" t="s">
        <v>274</v>
      </c>
      <c r="BG23" s="356" t="n">
        <f aca="false">IFERROR(IF($M23=BF23,($D$8+$D$9+$D$10)*$I23,IF($N23=LEFT(BF23,1),($D$8+MAX(0,IF($D$50=1,$D$9*(1-(ABS($Q23-ABS(VALUE(MID(BF23,FIND("|",BF23)+1,FIND("-",BF23)-FIND("|",BF23)-1))-VALUE(MID(BF23,FIND("-",BF23)+1,10)))))*$D$50),$D$9*(1-(IF($N23="X",ABS($O23-VALUE(MID(BF23,FIND("|",BF23)+1,FIND("-",BF23)-FIND("|",BF23)-1))),ABS($Q23-ABS(VALUE(MID(BF23,FIND("|",BF23)+1,FIND("-",BF23)-FIND("|",BF23)-1))-VALUE(MID(BF23,FIND("-",BF23)+1,10)))))*$D$50)))))*$I23,0)),0)</f>
        <v>0</v>
      </c>
      <c r="BH23" s="338"/>
      <c r="BI23" s="363" t="s">
        <v>271</v>
      </c>
      <c r="BJ23" s="356" t="n">
        <f aca="false">IFERROR(IF($M23=BI23,($D$8+$D$9+$D$10)*$I23,IF($N23=LEFT(BI23,1),($D$8+MAX(0,IF($D$50=1,$D$9*(1-(ABS($Q23-ABS(VALUE(MID(BI23,FIND("|",BI23)+1,FIND("-",BI23)-FIND("|",BI23)-1))-VALUE(MID(BI23,FIND("-",BI23)+1,10)))))*$D$50),$D$9*(1-(IF($N23="X",ABS($O23-VALUE(MID(BI23,FIND("|",BI23)+1,FIND("-",BI23)-FIND("|",BI23)-1))),ABS($Q23-ABS(VALUE(MID(BI23,FIND("|",BI23)+1,FIND("-",BI23)-FIND("|",BI23)-1))-VALUE(MID(BI23,FIND("-",BI23)+1,10)))))*$D$50)))))*$I23,0)),0)</f>
        <v>0</v>
      </c>
      <c r="BK23" s="338"/>
      <c r="BL23" s="363" t="s">
        <v>274</v>
      </c>
      <c r="BM23" s="356" t="n">
        <f aca="false">IFERROR(IF($M23=BL23,($D$8+$D$9+$D$10)*$I23,IF($N23=LEFT(BL23,1),($D$8+MAX(0,IF($D$50=1,$D$9*(1-(ABS($Q23-ABS(VALUE(MID(BL23,FIND("|",BL23)+1,FIND("-",BL23)-FIND("|",BL23)-1))-VALUE(MID(BL23,FIND("-",BL23)+1,10)))))*$D$50),$D$9*(1-(IF($N23="X",ABS($O23-VALUE(MID(BL23,FIND("|",BL23)+1,FIND("-",BL23)-FIND("|",BL23)-1))),ABS($Q23-ABS(VALUE(MID(BL23,FIND("|",BL23)+1,FIND("-",BL23)-FIND("|",BL23)-1))-VALUE(MID(BL23,FIND("-",BL23)+1,10)))))*$D$50)))))*$I23,0)),0)</f>
        <v>0</v>
      </c>
      <c r="BN23" s="338"/>
      <c r="BO23" s="363" t="s">
        <v>268</v>
      </c>
      <c r="BP23" s="356" t="n">
        <f aca="false">IFERROR(IF($M23=BO23,($D$8+$D$9+$D$10)*$I23,IF($N23=LEFT(BO23,1),($D$8+MAX(0,IF($D$50=1,$D$9*(1-(ABS($Q23-ABS(VALUE(MID(BO23,FIND("|",BO23)+1,FIND("-",BO23)-FIND("|",BO23)-1))-VALUE(MID(BO23,FIND("-",BO23)+1,10)))))*$D$50),$D$9*(1-(IF($N23="X",ABS($O23-VALUE(MID(BO23,FIND("|",BO23)+1,FIND("-",BO23)-FIND("|",BO23)-1))),ABS($Q23-ABS(VALUE(MID(BO23,FIND("|",BO23)+1,FIND("-",BO23)-FIND("|",BO23)-1))-VALUE(MID(BO23,FIND("-",BO23)+1,10)))))*$D$50)))))*$I23,0)),0)</f>
        <v>0</v>
      </c>
      <c r="BQ23" s="338"/>
      <c r="BR23" s="363" t="s">
        <v>274</v>
      </c>
      <c r="BS23" s="356" t="n">
        <f aca="false">IFERROR(IF($M23=BR23,($D$8+$D$9+$D$10)*$I23,IF($N23=LEFT(BR23,1),($D$8+MAX(0,IF($D$50=1,$D$9*(1-(ABS($Q23-ABS(VALUE(MID(BR23,FIND("|",BR23)+1,FIND("-",BR23)-FIND("|",BR23)-1))-VALUE(MID(BR23,FIND("-",BR23)+1,10)))))*$D$50),$D$9*(1-(IF($N23="X",ABS($O23-VALUE(MID(BR23,FIND("|",BR23)+1,FIND("-",BR23)-FIND("|",BR23)-1))),ABS($Q23-ABS(VALUE(MID(BR23,FIND("|",BR23)+1,FIND("-",BR23)-FIND("|",BR23)-1))-VALUE(MID(BR23,FIND("-",BR23)+1,10)))))*$D$50)))))*$I23,0)),0)</f>
        <v>0</v>
      </c>
      <c r="BT23" s="338"/>
      <c r="BU23" s="363"/>
      <c r="BV23" s="356" t="n">
        <f aca="false">IFERROR(IF($M23=BU23,($D$8+$D$9+$D$10)*$I23,IF($N23=LEFT(BU23,1),($D$8+MAX(0,IF($D$50=1,$D$9*(1-(ABS($Q23-ABS(VALUE(MID(BU23,FIND("|",BU23)+1,FIND("-",BU23)-FIND("|",BU23)-1))-VALUE(MID(BU23,FIND("-",BU23)+1,10)))))*$D$50),$D$9*(1-(IF($N23="X",ABS($O23-VALUE(MID(BU23,FIND("|",BU23)+1,FIND("-",BU23)-FIND("|",BU23)-1))),ABS($Q23-ABS(VALUE(MID(BU23,FIND("|",BU23)+1,FIND("-",BU23)-FIND("|",BU23)-1))-VALUE(MID(BU23,FIND("-",BU23)+1,10)))))*$D$50)))))*$I23,0)),0)</f>
        <v>0</v>
      </c>
      <c r="BW23" s="338"/>
      <c r="BX23" s="363"/>
      <c r="BY23" s="356" t="n">
        <f aca="false">IFERROR(IF($M23=BX23,($D$8+$D$9+$D$10)*$I23,IF($N23=LEFT(BX23,1),($D$8+MAX(0,IF($D$50=1,$D$9*(1-(ABS($Q23-ABS(VALUE(MID(BX23,FIND("|",BX23)+1,FIND("-",BX23)-FIND("|",BX23)-1))-VALUE(MID(BX23,FIND("-",BX23)+1,10)))))*$D$50),$D$9*(1-(IF($N23="X",ABS($O23-VALUE(MID(BX23,FIND("|",BX23)+1,FIND("-",BX23)-FIND("|",BX23)-1))),ABS($Q23-ABS(VALUE(MID(BX23,FIND("|",BX23)+1,FIND("-",BX23)-FIND("|",BX23)-1))-VALUE(MID(BX23,FIND("-",BX23)+1,10)))))*$D$50)))))*$I23,0)),0)</f>
        <v>0</v>
      </c>
      <c r="BZ23" s="338"/>
      <c r="CA23" s="363"/>
      <c r="CB23" s="356" t="n">
        <f aca="false">IFERROR(IF($M23=CA23,($D$8+$D$9+$D$10)*$I23,IF($N23=LEFT(CA23,1),($D$8+MAX(0,IF($D$50=1,$D$9*(1-(ABS($Q23-ABS(VALUE(MID(CA23,FIND("|",CA23)+1,FIND("-",CA23)-FIND("|",CA23)-1))-VALUE(MID(CA23,FIND("-",CA23)+1,10)))))*$D$50),$D$9*(1-(IF($N23="X",ABS($O23-VALUE(MID(CA23,FIND("|",CA23)+1,FIND("-",CA23)-FIND("|",CA23)-1))),ABS($Q23-ABS(VALUE(MID(CA23,FIND("|",CA23)+1,FIND("-",CA23)-FIND("|",CA23)-1))-VALUE(MID(CA23,FIND("-",CA23)+1,10)))))*$D$50)))))*$I23,0)),0)</f>
        <v>0</v>
      </c>
      <c r="CC23" s="338"/>
      <c r="CD23" s="363"/>
      <c r="CE23" s="356" t="n">
        <f aca="false">IFERROR(IF($M23=CD23,($D$8+$D$9+$D$10)*$I23,IF($N23=LEFT(CD23,1),($D$8+MAX(0,IF($D$50=1,$D$9*(1-(ABS($Q23-ABS(VALUE(MID(CD23,FIND("|",CD23)+1,FIND("-",CD23)-FIND("|",CD23)-1))-VALUE(MID(CD23,FIND("-",CD23)+1,10)))))*$D$50),$D$9*(1-(IF($N23="X",ABS($O23-VALUE(MID(CD23,FIND("|",CD23)+1,FIND("-",CD23)-FIND("|",CD23)-1))),ABS($Q23-ABS(VALUE(MID(CD23,FIND("|",CD23)+1,FIND("-",CD23)-FIND("|",CD23)-1))-VALUE(MID(CD23,FIND("-",CD23)+1,10)))))*$D$50)))))*$I23,0)),0)</f>
        <v>0</v>
      </c>
      <c r="CF23" s="338"/>
      <c r="CG23" s="363"/>
      <c r="CH23" s="356" t="n">
        <f aca="false">IFERROR(IF($M23=CG23,($D$8+$D$9+$D$10)*$I23,IF($N23=LEFT(CG23,1),($D$8+MAX(0,IF($D$50=1,$D$9*(1-(ABS($Q23-ABS(VALUE(MID(CG23,FIND("|",CG23)+1,FIND("-",CG23)-FIND("|",CG23)-1))-VALUE(MID(CG23,FIND("-",CG23)+1,10)))))*$D$50),$D$9*(1-(IF($N23="X",ABS($O23-VALUE(MID(CG23,FIND("|",CG23)+1,FIND("-",CG23)-FIND("|",CG23)-1))),ABS($Q23-ABS(VALUE(MID(CG23,FIND("|",CG23)+1,FIND("-",CG23)-FIND("|",CG23)-1))-VALUE(MID(CG23,FIND("-",CG23)+1,10)))))*$D$50)))))*$I23,0)),0)</f>
        <v>0</v>
      </c>
      <c r="CI23" s="338"/>
      <c r="CJ23" s="363"/>
      <c r="CK23" s="356" t="n">
        <f aca="false">IFERROR(IF($M23=CJ23,($D$8+$D$9+$D$10)*$I23,IF($N23=LEFT(CJ23,1),($D$8+MAX(0,IF($D$50=1,$D$9*(1-(ABS($Q23-ABS(VALUE(MID(CJ23,FIND("|",CJ23)+1,FIND("-",CJ23)-FIND("|",CJ23)-1))-VALUE(MID(CJ23,FIND("-",CJ23)+1,10)))))*$D$50),$D$9*(1-(IF($N23="X",ABS($O23-VALUE(MID(CJ23,FIND("|",CJ23)+1,FIND("-",CJ23)-FIND("|",CJ23)-1))),ABS($Q23-ABS(VALUE(MID(CJ23,FIND("|",CJ23)+1,FIND("-",CJ23)-FIND("|",CJ23)-1))-VALUE(MID(CJ23,FIND("-",CJ23)+1,10)))))*$D$50)))))*$I23,0)),0)</f>
        <v>0</v>
      </c>
      <c r="CL23" s="338"/>
      <c r="CM23" s="363"/>
      <c r="CN23" s="356" t="n">
        <f aca="false">IFERROR(IF($M23=CM23,($D$8+$D$9+$D$10)*$I23,IF($N23=LEFT(CM23,1),($D$8+MAX(0,IF($D$50=1,$D$9*(1-(ABS($Q23-ABS(VALUE(MID(CM23,FIND("|",CM23)+1,FIND("-",CM23)-FIND("|",CM23)-1))-VALUE(MID(CM23,FIND("-",CM23)+1,10)))))*$D$50),$D$9*(1-(IF($N23="X",ABS($O23-VALUE(MID(CM23,FIND("|",CM23)+1,FIND("-",CM23)-FIND("|",CM23)-1))),ABS($Q23-ABS(VALUE(MID(CM23,FIND("|",CM23)+1,FIND("-",CM23)-FIND("|",CM23)-1))-VALUE(MID(CM23,FIND("-",CM23)+1,10)))))*$D$50)))))*$I23,0)),0)</f>
        <v>0</v>
      </c>
      <c r="CO23" s="338"/>
      <c r="CP23" s="363"/>
      <c r="CQ23" s="356" t="n">
        <f aca="false">IFERROR(IF($M23=CP23,($D$8+$D$9+$D$10)*$I23,IF($N23=LEFT(CP23,1),($D$8+MAX(0,IF($D$50=1,$D$9*(1-(ABS($Q23-ABS(VALUE(MID(CP23,FIND("|",CP23)+1,FIND("-",CP23)-FIND("|",CP23)-1))-VALUE(MID(CP23,FIND("-",CP23)+1,10)))))*$D$50),$D$9*(1-(IF($N23="X",ABS($O23-VALUE(MID(CP23,FIND("|",CP23)+1,FIND("-",CP23)-FIND("|",CP23)-1))),ABS($Q23-ABS(VALUE(MID(CP23,FIND("|",CP23)+1,FIND("-",CP23)-FIND("|",CP23)-1))-VALUE(MID(CP23,FIND("-",CP23)+1,10)))))*$D$50)))))*$I23,0)),0)</f>
        <v>0</v>
      </c>
      <c r="CR23" s="338"/>
      <c r="CS23" s="363"/>
      <c r="CT23" s="356" t="n">
        <f aca="false">IFERROR(IF($M23=CS23,($D$8+$D$9+$D$10)*$I23,IF($N23=LEFT(CS23,1),($D$8+MAX(0,IF($D$50=1,$D$9*(1-(ABS($Q23-ABS(VALUE(MID(CS23,FIND("|",CS23)+1,FIND("-",CS23)-FIND("|",CS23)-1))-VALUE(MID(CS23,FIND("-",CS23)+1,10)))))*$D$50),$D$9*(1-(IF($N23="X",ABS($O23-VALUE(MID(CS23,FIND("|",CS23)+1,FIND("-",CS23)-FIND("|",CS23)-1))),ABS($Q23-ABS(VALUE(MID(CS23,FIND("|",CS23)+1,FIND("-",CS23)-FIND("|",CS23)-1))-VALUE(MID(CS23,FIND("-",CS23)+1,10)))))*$D$50)))))*$I23,0)),0)</f>
        <v>0</v>
      </c>
      <c r="CU23" s="338"/>
      <c r="CV23" s="363"/>
      <c r="CW23" s="356" t="n">
        <f aca="false">IFERROR(IF($M23=CV23,($D$8+$D$9+$D$10)*$I23,IF($N23=LEFT(CV23,1),($D$8+MAX(0,IF($D$50=1,$D$9*(1-(ABS($Q23-ABS(VALUE(MID(CV23,FIND("|",CV23)+1,FIND("-",CV23)-FIND("|",CV23)-1))-VALUE(MID(CV23,FIND("-",CV23)+1,10)))))*$D$50),$D$9*(1-(IF($N23="X",ABS($O23-VALUE(MID(CV23,FIND("|",CV23)+1,FIND("-",CV23)-FIND("|",CV23)-1))),ABS($Q23-ABS(VALUE(MID(CV23,FIND("|",CV23)+1,FIND("-",CV23)-FIND("|",CV23)-1))-VALUE(MID(CV23,FIND("-",CV23)+1,10)))))*$D$50)))))*$I23,0)),0)</f>
        <v>0</v>
      </c>
      <c r="CX23" s="338"/>
      <c r="CY23" s="363"/>
      <c r="CZ23" s="356" t="n">
        <f aca="false">IFERROR(IF($M23=CY23,($D$8+$D$9+$D$10)*$I23,IF($N23=LEFT(CY23,1),($D$8+MAX(0,IF($D$50=1,$D$9*(1-(ABS($Q23-ABS(VALUE(MID(CY23,FIND("|",CY23)+1,FIND("-",CY23)-FIND("|",CY23)-1))-VALUE(MID(CY23,FIND("-",CY23)+1,10)))))*$D$50),$D$9*(1-(IF($N23="X",ABS($O23-VALUE(MID(CY23,FIND("|",CY23)+1,FIND("-",CY23)-FIND("|",CY23)-1))),ABS($Q23-ABS(VALUE(MID(CY23,FIND("|",CY23)+1,FIND("-",CY23)-FIND("|",CY23)-1))-VALUE(MID(CY23,FIND("-",CY23)+1,10)))))*$D$50)))))*$I23,0)),0)</f>
        <v>0</v>
      </c>
      <c r="DA23" s="338"/>
      <c r="DB23" s="363"/>
      <c r="DC23" s="356" t="n">
        <f aca="false">IFERROR(IF($M23=DB23,($D$8+$D$9+$D$10)*$I23,IF($N23=LEFT(DB23,1),($D$8+MAX(0,IF($D$50=1,$D$9*(1-(ABS($Q23-ABS(VALUE(MID(DB23,FIND("|",DB23)+1,FIND("-",DB23)-FIND("|",DB23)-1))-VALUE(MID(DB23,FIND("-",DB23)+1,10)))))*$D$50),$D$9*(1-(IF($N23="X",ABS($O23-VALUE(MID(DB23,FIND("|",DB23)+1,FIND("-",DB23)-FIND("|",DB23)-1))),ABS($Q23-ABS(VALUE(MID(DB23,FIND("|",DB23)+1,FIND("-",DB23)-FIND("|",DB23)-1))-VALUE(MID(DB23,FIND("-",DB23)+1,10)))))*$D$50)))))*$I23,0)),0)</f>
        <v>0</v>
      </c>
      <c r="DD23" s="338"/>
      <c r="DE23" s="363"/>
      <c r="DF23" s="356" t="n">
        <f aca="false">IFERROR(IF($M23=DE23,($D$8+$D$9+$D$10)*$I23,IF($N23=LEFT(DE23,1),($D$8+MAX(0,IF($D$50=1,$D$9*(1-(ABS($Q23-ABS(VALUE(MID(DE23,FIND("|",DE23)+1,FIND("-",DE23)-FIND("|",DE23)-1))-VALUE(MID(DE23,FIND("-",DE23)+1,10)))))*$D$50),$D$9*(1-(IF($N23="X",ABS($O23-VALUE(MID(DE23,FIND("|",DE23)+1,FIND("-",DE23)-FIND("|",DE23)-1))),ABS($Q23-ABS(VALUE(MID(DE23,FIND("|",DE23)+1,FIND("-",DE23)-FIND("|",DE23)-1))-VALUE(MID(DE23,FIND("-",DE23)+1,10)))))*$D$50)))))*$I23,0)),0)</f>
        <v>0</v>
      </c>
      <c r="DG23" s="338"/>
      <c r="DH23" s="363"/>
      <c r="DI23" s="356" t="n">
        <f aca="false">IFERROR(IF($M23=DH23,($D$8+$D$9+$D$10)*$I23,IF($N23=LEFT(DH23,1),($D$8+MAX(0,IF($D$50=1,$D$9*(1-(ABS($Q23-ABS(VALUE(MID(DH23,FIND("|",DH23)+1,FIND("-",DH23)-FIND("|",DH23)-1))-VALUE(MID(DH23,FIND("-",DH23)+1,10)))))*$D$50),$D$9*(1-(IF($N23="X",ABS($O23-VALUE(MID(DH23,FIND("|",DH23)+1,FIND("-",DH23)-FIND("|",DH23)-1))),ABS($Q23-ABS(VALUE(MID(DH23,FIND("|",DH23)+1,FIND("-",DH23)-FIND("|",DH23)-1))-VALUE(MID(DH23,FIND("-",DH23)+1,10)))))*$D$50)))))*$I23,0)),0)</f>
        <v>0</v>
      </c>
      <c r="DJ23" s="338"/>
      <c r="DK23" s="363"/>
      <c r="DL23" s="356" t="n">
        <f aca="false">IFERROR(IF($M23=DK23,($D$8+$D$9+$D$10)*$I23,IF($N23=LEFT(DK23,1),($D$8+MAX(0,IF($D$50=1,$D$9*(1-(ABS($Q23-ABS(VALUE(MID(DK23,FIND("|",DK23)+1,FIND("-",DK23)-FIND("|",DK23)-1))-VALUE(MID(DK23,FIND("-",DK23)+1,10)))))*$D$50),$D$9*(1-(IF($N23="X",ABS($O23-VALUE(MID(DK23,FIND("|",DK23)+1,FIND("-",DK23)-FIND("|",DK23)-1))),ABS($Q23-ABS(VALUE(MID(DK23,FIND("|",DK23)+1,FIND("-",DK23)-FIND("|",DK23)-1))-VALUE(MID(DK23,FIND("-",DK23)+1,10)))))*$D$50)))))*$I23,0)),0)</f>
        <v>0</v>
      </c>
      <c r="DM23" s="338"/>
      <c r="DN23" s="363"/>
      <c r="DO23" s="356" t="n">
        <f aca="false">IFERROR(IF($M23=DN23,($D$8+$D$9+$D$10)*$I23,IF($N23=LEFT(DN23,1),($D$8+MAX(0,IF($D$50=1,$D$9*(1-(ABS($Q23-ABS(VALUE(MID(DN23,FIND("|",DN23)+1,FIND("-",DN23)-FIND("|",DN23)-1))-VALUE(MID(DN23,FIND("-",DN23)+1,10)))))*$D$50),$D$9*(1-(IF($N23="X",ABS($O23-VALUE(MID(DN23,FIND("|",DN23)+1,FIND("-",DN23)-FIND("|",DN23)-1))),ABS($Q23-ABS(VALUE(MID(DN23,FIND("|",DN23)+1,FIND("-",DN23)-FIND("|",DN23)-1))-VALUE(MID(DN23,FIND("-",DN23)+1,10)))))*$D$50)))))*$I23,0)),0)</f>
        <v>0</v>
      </c>
      <c r="DP23" s="338"/>
      <c r="DQ23" s="363"/>
      <c r="DR23" s="356" t="n">
        <f aca="false">IFERROR(IF($M23=DQ23,($D$8+$D$9+$D$10)*$I23,IF($N23=LEFT(DQ23,1),($D$8+MAX(0,IF($D$50=1,$D$9*(1-(ABS($Q23-ABS(VALUE(MID(DQ23,FIND("|",DQ23)+1,FIND("-",DQ23)-FIND("|",DQ23)-1))-VALUE(MID(DQ23,FIND("-",DQ23)+1,10)))))*$D$50),$D$9*(1-(IF($N23="X",ABS($O23-VALUE(MID(DQ23,FIND("|",DQ23)+1,FIND("-",DQ23)-FIND("|",DQ23)-1))),ABS($Q23-ABS(VALUE(MID(DQ23,FIND("|",DQ23)+1,FIND("-",DQ23)-FIND("|",DQ23)-1))-VALUE(MID(DQ23,FIND("-",DQ23)+1,10)))))*$D$50)))))*$I23,0)),0)</f>
        <v>0</v>
      </c>
      <c r="DS23" s="338"/>
      <c r="DT23" s="363"/>
      <c r="DU23" s="356" t="n">
        <f aca="false">IFERROR(IF($M23=DT23,($D$8+$D$9+$D$10)*$I23,IF($N23=LEFT(DT23,1),($D$8+MAX(0,IF($D$50=1,$D$9*(1-(ABS($Q23-ABS(VALUE(MID(DT23,FIND("|",DT23)+1,FIND("-",DT23)-FIND("|",DT23)-1))-VALUE(MID(DT23,FIND("-",DT23)+1,10)))))*$D$50),$D$9*(1-(IF($N23="X",ABS($O23-VALUE(MID(DT23,FIND("|",DT23)+1,FIND("-",DT23)-FIND("|",DT23)-1))),ABS($Q23-ABS(VALUE(MID(DT23,FIND("|",DT23)+1,FIND("-",DT23)-FIND("|",DT23)-1))-VALUE(MID(DT23,FIND("-",DT23)+1,10)))))*$D$50)))))*$I23,0)),0)</f>
        <v>0</v>
      </c>
      <c r="DV23" s="338"/>
      <c r="DW23" s="363"/>
      <c r="DX23" s="356" t="n">
        <f aca="false">IFERROR(IF($M23=DW23,($D$8+$D$9+$D$10)*$I23,IF($N23=LEFT(DW23,1),($D$8+MAX(0,IF($D$50=1,$D$9*(1-(ABS($Q23-ABS(VALUE(MID(DW23,FIND("|",DW23)+1,FIND("-",DW23)-FIND("|",DW23)-1))-VALUE(MID(DW23,FIND("-",DW23)+1,10)))))*$D$50),$D$9*(1-(IF($N23="X",ABS($O23-VALUE(MID(DW23,FIND("|",DW23)+1,FIND("-",DW23)-FIND("|",DW23)-1))),ABS($Q23-ABS(VALUE(MID(DW23,FIND("|",DW23)+1,FIND("-",DW23)-FIND("|",DW23)-1))-VALUE(MID(DW23,FIND("-",DW23)+1,10)))))*$D$50)))))*$I23,0)),0)</f>
        <v>0</v>
      </c>
      <c r="DY23" s="338"/>
      <c r="DZ23" s="363"/>
      <c r="EA23" s="356" t="n">
        <f aca="false">IFERROR(IF($M23=DZ23,($D$8+$D$9+$D$10)*$I23,IF($N23=LEFT(DZ23,1),($D$8+MAX(0,IF($D$50=1,$D$9*(1-(ABS($Q23-ABS(VALUE(MID(DZ23,FIND("|",DZ23)+1,FIND("-",DZ23)-FIND("|",DZ23)-1))-VALUE(MID(DZ23,FIND("-",DZ23)+1,10)))))*$D$50),$D$9*(1-(IF($N23="X",ABS($O23-VALUE(MID(DZ23,FIND("|",DZ23)+1,FIND("-",DZ23)-FIND("|",DZ23)-1))),ABS($Q23-ABS(VALUE(MID(DZ23,FIND("|",DZ23)+1,FIND("-",DZ23)-FIND("|",DZ23)-1))-VALUE(MID(DZ23,FIND("-",DZ23)+1,10)))))*$D$50)))))*$I23,0)),0)</f>
        <v>0</v>
      </c>
      <c r="EB23" s="338"/>
      <c r="EC23" s="363"/>
      <c r="ED23" s="356" t="n">
        <f aca="false">IFERROR(IF($M23=EC23,($D$8+$D$9+$D$10)*$I23,IF($N23=LEFT(EC23,1),($D$8+MAX(0,IF($D$50=1,$D$9*(1-(ABS($Q23-ABS(VALUE(MID(EC23,FIND("|",EC23)+1,FIND("-",EC23)-FIND("|",EC23)-1))-VALUE(MID(EC23,FIND("-",EC23)+1,10)))))*$D$50),$D$9*(1-(IF($N23="X",ABS($O23-VALUE(MID(EC23,FIND("|",EC23)+1,FIND("-",EC23)-FIND("|",EC23)-1))),ABS($Q23-ABS(VALUE(MID(EC23,FIND("|",EC23)+1,FIND("-",EC23)-FIND("|",EC23)-1))-VALUE(MID(EC23,FIND("-",EC23)+1,10)))))*$D$50)))))*$I23,0)),0)</f>
        <v>0</v>
      </c>
      <c r="EE23" s="338"/>
      <c r="EF23" s="363"/>
      <c r="EG23" s="356" t="n">
        <f aca="false">IFERROR(IF($M23=EF23,($D$8+$D$9+$D$10)*$I23,IF($N23=LEFT(EF23,1),($D$8+MAX(0,IF($D$50=1,$D$9*(1-(ABS($Q23-ABS(VALUE(MID(EF23,FIND("|",EF23)+1,FIND("-",EF23)-FIND("|",EF23)-1))-VALUE(MID(EF23,FIND("-",EF23)+1,10)))))*$D$50),$D$9*(1-(IF($N23="X",ABS($O23-VALUE(MID(EF23,FIND("|",EF23)+1,FIND("-",EF23)-FIND("|",EF23)-1))),ABS($Q23-ABS(VALUE(MID(EF23,FIND("|",EF23)+1,FIND("-",EF23)-FIND("|",EF23)-1))-VALUE(MID(EF23,FIND("-",EF23)+1,10)))))*$D$50)))))*$I23,0)),0)</f>
        <v>0</v>
      </c>
      <c r="EH23" s="338"/>
      <c r="EI23" s="338"/>
    </row>
    <row r="24" customFormat="false" ht="15" hidden="false" customHeight="false" outlineLevel="0" collapsed="false">
      <c r="A24" s="327"/>
      <c r="B24" s="327"/>
      <c r="C24" s="360" t="str">
        <f aca="false">Idiomas!D320</f>
        <v>CUARTOS - Signo 1X2  (local, empate, visitante)</v>
      </c>
      <c r="D24" s="361" t="n">
        <v>5</v>
      </c>
      <c r="E24" s="334"/>
      <c r="F24" s="343" t="n">
        <f aca="false">SUM($D$8:$D$10)*I24</f>
        <v>17</v>
      </c>
      <c r="G24" s="343" t="n">
        <f aca="false">VLOOKUP(H24,Equipos!$Q$1:$R$25,2,0)</f>
        <v>7</v>
      </c>
      <c r="H24" s="351" t="n">
        <f aca="false">TRUNC(INDEX(WORLDCUP!$X$4:$X$147,MATCH(ADMIN!K24,WORLDCUP!$DT$4:$DT$147,0))+INDEX(Horarios!$R$3:$R$86,MATCH(Horarios!$C$3,Horarios!$P$3:$P$86,0))/24)</f>
        <v>46190</v>
      </c>
      <c r="I24" s="352" t="n">
        <v>1</v>
      </c>
      <c r="J24" s="362" t="s">
        <v>292</v>
      </c>
      <c r="K24" s="354" t="str">
        <f aca="false">CONCATENATE(WORLDCUP!AA76,"-",WORLDCUP!AF76)</f>
        <v>Argentina-Argelia</v>
      </c>
      <c r="L24" s="354"/>
      <c r="M24" s="359" t="str">
        <f aca="false">IF(OR(WORLDCUP!AC76="",WORLDCUP!AD76=""),"-",N24&amp;"|"&amp;O24&amp;"-"&amp;P24)</f>
        <v>-</v>
      </c>
      <c r="N24" s="332" t="str">
        <f aca="false">IF(OR(WORLDCUP!AC76="",WORLDCUP!AD76=""),"",IF(WORLDCUP!AC76&gt;WORLDCUP!AD76,"1",IF(WORLDCUP!AC76&lt;WORLDCUP!AD76,"2","X")))</f>
        <v/>
      </c>
      <c r="O24" s="332" t="n">
        <f aca="false">WORLDCUP!AC76</f>
        <v>0</v>
      </c>
      <c r="P24" s="332" t="n">
        <f aca="false">WORLDCUP!AD76</f>
        <v>0</v>
      </c>
      <c r="Q24" s="332" t="n">
        <f aca="false">ABS(O24-P24)</f>
        <v>0</v>
      </c>
      <c r="R24" s="327"/>
      <c r="S24" s="370" t="s">
        <v>266</v>
      </c>
      <c r="T24" s="371" t="n">
        <f aca="false">IFERROR(IF($M24=S24,($D$8+$D$9+$D$10)*$I24,IF($N24=LEFT(S24,1),($D$8+MAX(0,IF($D$50=1,$D$9*(1-(ABS($Q24-ABS(VALUE(MID(S24,FIND("|",S24)+1,FIND("-",S24)-FIND("|",S24)-1))-VALUE(MID(S24,FIND("-",S24)+1,10)))))*$D$50),$D$9*(1-(IF($N24="X",ABS($O24-VALUE(MID(S24,FIND("|",S24)+1,FIND("-",S24)-FIND("|",S24)-1))),ABS($Q24-ABS(VALUE(MID(S24,FIND("|",S24)+1,FIND("-",S24)-FIND("|",S24)-1))-VALUE(MID(S24,FIND("-",S24)+1,10)))))*$D$50)))))*$I24,0)),0)</f>
        <v>0</v>
      </c>
      <c r="U24" s="338"/>
      <c r="V24" s="370" t="s">
        <v>266</v>
      </c>
      <c r="W24" s="371" t="n">
        <f aca="false">IFERROR(IF($M24=V24,($D$8+$D$9+$D$10)*$I24,IF($N24=LEFT(V24,1),($D$8+MAX(0,IF($D$50=1,$D$9*(1-(ABS($Q24-ABS(VALUE(MID(V24,FIND("|",V24)+1,FIND("-",V24)-FIND("|",V24)-1))-VALUE(MID(V24,FIND("-",V24)+1,10)))))*$D$50),$D$9*(1-(IF($N24="X",ABS($O24-VALUE(MID(V24,FIND("|",V24)+1,FIND("-",V24)-FIND("|",V24)-1))),ABS($Q24-ABS(VALUE(MID(V24,FIND("|",V24)+1,FIND("-",V24)-FIND("|",V24)-1))-VALUE(MID(V24,FIND("-",V24)+1,10)))))*$D$50)))))*$I24,0)),0)</f>
        <v>0</v>
      </c>
      <c r="X24" s="338"/>
      <c r="Y24" s="370" t="s">
        <v>272</v>
      </c>
      <c r="Z24" s="371" t="n">
        <f aca="false">IFERROR(IF($M24=Y24,($D$8+$D$9+$D$10)*$I24,IF($N24=LEFT(Y24,1),($D$8+MAX(0,IF($D$50=1,$D$9*(1-(ABS($Q24-ABS(VALUE(MID(Y24,FIND("|",Y24)+1,FIND("-",Y24)-FIND("|",Y24)-1))-VALUE(MID(Y24,FIND("-",Y24)+1,10)))))*$D$50),$D$9*(1-(IF($N24="X",ABS($O24-VALUE(MID(Y24,FIND("|",Y24)+1,FIND("-",Y24)-FIND("|",Y24)-1))),ABS($Q24-ABS(VALUE(MID(Y24,FIND("|",Y24)+1,FIND("-",Y24)-FIND("|",Y24)-1))-VALUE(MID(Y24,FIND("-",Y24)+1,10)))))*$D$50)))))*$I24,0)),0)</f>
        <v>0</v>
      </c>
      <c r="AA24" s="338"/>
      <c r="AB24" s="370" t="s">
        <v>265</v>
      </c>
      <c r="AC24" s="371" t="n">
        <f aca="false">IFERROR(IF($M24=AB24,($D$8+$D$9+$D$10)*$I24,IF($N24=LEFT(AB24,1),($D$8+MAX(0,IF($D$50=1,$D$9*(1-(ABS($Q24-ABS(VALUE(MID(AB24,FIND("|",AB24)+1,FIND("-",AB24)-FIND("|",AB24)-1))-VALUE(MID(AB24,FIND("-",AB24)+1,10)))))*$D$50),$D$9*(1-(IF($N24="X",ABS($O24-VALUE(MID(AB24,FIND("|",AB24)+1,FIND("-",AB24)-FIND("|",AB24)-1))),ABS($Q24-ABS(VALUE(MID(AB24,FIND("|",AB24)+1,FIND("-",AB24)-FIND("|",AB24)-1))-VALUE(MID(AB24,FIND("-",AB24)+1,10)))))*$D$50)))))*$I24,0)),0)</f>
        <v>0</v>
      </c>
      <c r="AD24" s="338"/>
      <c r="AE24" s="370" t="s">
        <v>272</v>
      </c>
      <c r="AF24" s="371" t="n">
        <f aca="false">IFERROR(IF($M24=AE24,($D$8+$D$9+$D$10)*$I24,IF($N24=LEFT(AE24,1),($D$8+MAX(0,IF($D$50=1,$D$9*(1-(ABS($Q24-ABS(VALUE(MID(AE24,FIND("|",AE24)+1,FIND("-",AE24)-FIND("|",AE24)-1))-VALUE(MID(AE24,FIND("-",AE24)+1,10)))))*$D$50),$D$9*(1-(IF($N24="X",ABS($O24-VALUE(MID(AE24,FIND("|",AE24)+1,FIND("-",AE24)-FIND("|",AE24)-1))),ABS($Q24-ABS(VALUE(MID(AE24,FIND("|",AE24)+1,FIND("-",AE24)-FIND("|",AE24)-1))-VALUE(MID(AE24,FIND("-",AE24)+1,10)))))*$D$50)))))*$I24,0)),0)</f>
        <v>0</v>
      </c>
      <c r="AG24" s="338"/>
      <c r="AH24" s="370" t="s">
        <v>272</v>
      </c>
      <c r="AI24" s="371" t="n">
        <f aca="false">IFERROR(IF($M24=AH24,($D$8+$D$9+$D$10)*$I24,IF($N24=LEFT(AH24,1),($D$8+MAX(0,IF($D$50=1,$D$9*(1-(ABS($Q24-ABS(VALUE(MID(AH24,FIND("|",AH24)+1,FIND("-",AH24)-FIND("|",AH24)-1))-VALUE(MID(AH24,FIND("-",AH24)+1,10)))))*$D$50),$D$9*(1-(IF($N24="X",ABS($O24-VALUE(MID(AH24,FIND("|",AH24)+1,FIND("-",AH24)-FIND("|",AH24)-1))),ABS($Q24-ABS(VALUE(MID(AH24,FIND("|",AH24)+1,FIND("-",AH24)-FIND("|",AH24)-1))-VALUE(MID(AH24,FIND("-",AH24)+1,10)))))*$D$50)))))*$I24,0)),0)</f>
        <v>0</v>
      </c>
      <c r="AJ24" s="338"/>
      <c r="AK24" s="370" t="s">
        <v>288</v>
      </c>
      <c r="AL24" s="371" t="n">
        <f aca="false">IFERROR(IF($M24=AK24,($D$8+$D$9+$D$10)*$I24,IF($N24=LEFT(AK24,1),($D$8+MAX(0,IF($D$50=1,$D$9*(1-(ABS($Q24-ABS(VALUE(MID(AK24,FIND("|",AK24)+1,FIND("-",AK24)-FIND("|",AK24)-1))-VALUE(MID(AK24,FIND("-",AK24)+1,10)))))*$D$50),$D$9*(1-(IF($N24="X",ABS($O24-VALUE(MID(AK24,FIND("|",AK24)+1,FIND("-",AK24)-FIND("|",AK24)-1))),ABS($Q24-ABS(VALUE(MID(AK24,FIND("|",AK24)+1,FIND("-",AK24)-FIND("|",AK24)-1))-VALUE(MID(AK24,FIND("-",AK24)+1,10)))))*$D$50)))))*$I24,0)),0)</f>
        <v>0</v>
      </c>
      <c r="AM24" s="338"/>
      <c r="AN24" s="370" t="s">
        <v>264</v>
      </c>
      <c r="AO24" s="371" t="n">
        <f aca="false">IFERROR(IF($M24=AN24,($D$8+$D$9+$D$10)*$I24,IF($N24=LEFT(AN24,1),($D$8+MAX(0,IF($D$50=1,$D$9*(1-(ABS($Q24-ABS(VALUE(MID(AN24,FIND("|",AN24)+1,FIND("-",AN24)-FIND("|",AN24)-1))-VALUE(MID(AN24,FIND("-",AN24)+1,10)))))*$D$50),$D$9*(1-(IF($N24="X",ABS($O24-VALUE(MID(AN24,FIND("|",AN24)+1,FIND("-",AN24)-FIND("|",AN24)-1))),ABS($Q24-ABS(VALUE(MID(AN24,FIND("|",AN24)+1,FIND("-",AN24)-FIND("|",AN24)-1))-VALUE(MID(AN24,FIND("-",AN24)+1,10)))))*$D$50)))))*$I24,0)),0)</f>
        <v>0</v>
      </c>
      <c r="AP24" s="338"/>
      <c r="AQ24" s="370" t="s">
        <v>275</v>
      </c>
      <c r="AR24" s="371" t="n">
        <f aca="false">IFERROR(IF($M24=AQ24,($D$8+$D$9+$D$10)*$I24,IF($N24=LEFT(AQ24,1),($D$8+MAX(0,IF($D$50=1,$D$9*(1-(ABS($Q24-ABS(VALUE(MID(AQ24,FIND("|",AQ24)+1,FIND("-",AQ24)-FIND("|",AQ24)-1))-VALUE(MID(AQ24,FIND("-",AQ24)+1,10)))))*$D$50),$D$9*(1-(IF($N24="X",ABS($O24-VALUE(MID(AQ24,FIND("|",AQ24)+1,FIND("-",AQ24)-FIND("|",AQ24)-1))),ABS($Q24-ABS(VALUE(MID(AQ24,FIND("|",AQ24)+1,FIND("-",AQ24)-FIND("|",AQ24)-1))-VALUE(MID(AQ24,FIND("-",AQ24)+1,10)))))*$D$50)))))*$I24,0)),0)</f>
        <v>0</v>
      </c>
      <c r="AS24" s="338"/>
      <c r="AT24" s="370" t="s">
        <v>266</v>
      </c>
      <c r="AU24" s="371" t="n">
        <f aca="false">IFERROR(IF($M24=AT24,($D$8+$D$9+$D$10)*$I24,IF($N24=LEFT(AT24,1),($D$8+MAX(0,IF($D$50=1,$D$9*(1-(ABS($Q24-ABS(VALUE(MID(AT24,FIND("|",AT24)+1,FIND("-",AT24)-FIND("|",AT24)-1))-VALUE(MID(AT24,FIND("-",AT24)+1,10)))))*$D$50),$D$9*(1-(IF($N24="X",ABS($O24-VALUE(MID(AT24,FIND("|",AT24)+1,FIND("-",AT24)-FIND("|",AT24)-1))),ABS($Q24-ABS(VALUE(MID(AT24,FIND("|",AT24)+1,FIND("-",AT24)-FIND("|",AT24)-1))-VALUE(MID(AT24,FIND("-",AT24)+1,10)))))*$D$50)))))*$I24,0)),0)</f>
        <v>0</v>
      </c>
      <c r="AV24" s="338"/>
      <c r="AW24" s="370" t="s">
        <v>265</v>
      </c>
      <c r="AX24" s="371" t="n">
        <f aca="false">IFERROR(IF($M24=AW24,($D$8+$D$9+$D$10)*$I24,IF($N24=LEFT(AW24,1),($D$8+MAX(0,IF($D$50=1,$D$9*(1-(ABS($Q24-ABS(VALUE(MID(AW24,FIND("|",AW24)+1,FIND("-",AW24)-FIND("|",AW24)-1))-VALUE(MID(AW24,FIND("-",AW24)+1,10)))))*$D$50),$D$9*(1-(IF($N24="X",ABS($O24-VALUE(MID(AW24,FIND("|",AW24)+1,FIND("-",AW24)-FIND("|",AW24)-1))),ABS($Q24-ABS(VALUE(MID(AW24,FIND("|",AW24)+1,FIND("-",AW24)-FIND("|",AW24)-1))-VALUE(MID(AW24,FIND("-",AW24)+1,10)))))*$D$50)))))*$I24,0)),0)</f>
        <v>0</v>
      </c>
      <c r="AY24" s="338"/>
      <c r="AZ24" s="370" t="s">
        <v>272</v>
      </c>
      <c r="BA24" s="371" t="n">
        <f aca="false">IFERROR(IF($M24=AZ24,($D$8+$D$9+$D$10)*$I24,IF($N24=LEFT(AZ24,1),($D$8+MAX(0,IF($D$50=1,$D$9*(1-(ABS($Q24-ABS(VALUE(MID(AZ24,FIND("|",AZ24)+1,FIND("-",AZ24)-FIND("|",AZ24)-1))-VALUE(MID(AZ24,FIND("-",AZ24)+1,10)))))*$D$50),$D$9*(1-(IF($N24="X",ABS($O24-VALUE(MID(AZ24,FIND("|",AZ24)+1,FIND("-",AZ24)-FIND("|",AZ24)-1))),ABS($Q24-ABS(VALUE(MID(AZ24,FIND("|",AZ24)+1,FIND("-",AZ24)-FIND("|",AZ24)-1))-VALUE(MID(AZ24,FIND("-",AZ24)+1,10)))))*$D$50)))))*$I24,0)),0)</f>
        <v>0</v>
      </c>
      <c r="BB24" s="338"/>
      <c r="BC24" s="370" t="s">
        <v>266</v>
      </c>
      <c r="BD24" s="371" t="n">
        <f aca="false">IFERROR(IF($M24=BC24,($D$8+$D$9+$D$10)*$I24,IF($N24=LEFT(BC24,1),($D$8+MAX(0,IF($D$50=1,$D$9*(1-(ABS($Q24-ABS(VALUE(MID(BC24,FIND("|",BC24)+1,FIND("-",BC24)-FIND("|",BC24)-1))-VALUE(MID(BC24,FIND("-",BC24)+1,10)))))*$D$50),$D$9*(1-(IF($N24="X",ABS($O24-VALUE(MID(BC24,FIND("|",BC24)+1,FIND("-",BC24)-FIND("|",BC24)-1))),ABS($Q24-ABS(VALUE(MID(BC24,FIND("|",BC24)+1,FIND("-",BC24)-FIND("|",BC24)-1))-VALUE(MID(BC24,FIND("-",BC24)+1,10)))))*$D$50)))))*$I24,0)),0)</f>
        <v>0</v>
      </c>
      <c r="BE24" s="338"/>
      <c r="BF24" s="370" t="s">
        <v>283</v>
      </c>
      <c r="BG24" s="371" t="n">
        <f aca="false">IFERROR(IF($M24=BF24,($D$8+$D$9+$D$10)*$I24,IF($N24=LEFT(BF24,1),($D$8+MAX(0,IF($D$50=1,$D$9*(1-(ABS($Q24-ABS(VALUE(MID(BF24,FIND("|",BF24)+1,FIND("-",BF24)-FIND("|",BF24)-1))-VALUE(MID(BF24,FIND("-",BF24)+1,10)))))*$D$50),$D$9*(1-(IF($N24="X",ABS($O24-VALUE(MID(BF24,FIND("|",BF24)+1,FIND("-",BF24)-FIND("|",BF24)-1))),ABS($Q24-ABS(VALUE(MID(BF24,FIND("|",BF24)+1,FIND("-",BF24)-FIND("|",BF24)-1))-VALUE(MID(BF24,FIND("-",BF24)+1,10)))))*$D$50)))))*$I24,0)),0)</f>
        <v>0</v>
      </c>
      <c r="BH24" s="338"/>
      <c r="BI24" s="370" t="s">
        <v>266</v>
      </c>
      <c r="BJ24" s="371" t="n">
        <f aca="false">IFERROR(IF($M24=BI24,($D$8+$D$9+$D$10)*$I24,IF($N24=LEFT(BI24,1),($D$8+MAX(0,IF($D$50=1,$D$9*(1-(ABS($Q24-ABS(VALUE(MID(BI24,FIND("|",BI24)+1,FIND("-",BI24)-FIND("|",BI24)-1))-VALUE(MID(BI24,FIND("-",BI24)+1,10)))))*$D$50),$D$9*(1-(IF($N24="X",ABS($O24-VALUE(MID(BI24,FIND("|",BI24)+1,FIND("-",BI24)-FIND("|",BI24)-1))),ABS($Q24-ABS(VALUE(MID(BI24,FIND("|",BI24)+1,FIND("-",BI24)-FIND("|",BI24)-1))-VALUE(MID(BI24,FIND("-",BI24)+1,10)))))*$D$50)))))*$I24,0)),0)</f>
        <v>0</v>
      </c>
      <c r="BK24" s="338"/>
      <c r="BL24" s="370" t="s">
        <v>272</v>
      </c>
      <c r="BM24" s="371" t="n">
        <f aca="false">IFERROR(IF($M24=BL24,($D$8+$D$9+$D$10)*$I24,IF($N24=LEFT(BL24,1),($D$8+MAX(0,IF($D$50=1,$D$9*(1-(ABS($Q24-ABS(VALUE(MID(BL24,FIND("|",BL24)+1,FIND("-",BL24)-FIND("|",BL24)-1))-VALUE(MID(BL24,FIND("-",BL24)+1,10)))))*$D$50),$D$9*(1-(IF($N24="X",ABS($O24-VALUE(MID(BL24,FIND("|",BL24)+1,FIND("-",BL24)-FIND("|",BL24)-1))),ABS($Q24-ABS(VALUE(MID(BL24,FIND("|",BL24)+1,FIND("-",BL24)-FIND("|",BL24)-1))-VALUE(MID(BL24,FIND("-",BL24)+1,10)))))*$D$50)))))*$I24,0)),0)</f>
        <v>0</v>
      </c>
      <c r="BN24" s="338"/>
      <c r="BO24" s="370" t="s">
        <v>264</v>
      </c>
      <c r="BP24" s="371" t="n">
        <f aca="false">IFERROR(IF($M24=BO24,($D$8+$D$9+$D$10)*$I24,IF($N24=LEFT(BO24,1),($D$8+MAX(0,IF($D$50=1,$D$9*(1-(ABS($Q24-ABS(VALUE(MID(BO24,FIND("|",BO24)+1,FIND("-",BO24)-FIND("|",BO24)-1))-VALUE(MID(BO24,FIND("-",BO24)+1,10)))))*$D$50),$D$9*(1-(IF($N24="X",ABS($O24-VALUE(MID(BO24,FIND("|",BO24)+1,FIND("-",BO24)-FIND("|",BO24)-1))),ABS($Q24-ABS(VALUE(MID(BO24,FIND("|",BO24)+1,FIND("-",BO24)-FIND("|",BO24)-1))-VALUE(MID(BO24,FIND("-",BO24)+1,10)))))*$D$50)))))*$I24,0)),0)</f>
        <v>0</v>
      </c>
      <c r="BQ24" s="338"/>
      <c r="BR24" s="370" t="s">
        <v>272</v>
      </c>
      <c r="BS24" s="371" t="n">
        <f aca="false">IFERROR(IF($M24=BR24,($D$8+$D$9+$D$10)*$I24,IF($N24=LEFT(BR24,1),($D$8+MAX(0,IF($D$50=1,$D$9*(1-(ABS($Q24-ABS(VALUE(MID(BR24,FIND("|",BR24)+1,FIND("-",BR24)-FIND("|",BR24)-1))-VALUE(MID(BR24,FIND("-",BR24)+1,10)))))*$D$50),$D$9*(1-(IF($N24="X",ABS($O24-VALUE(MID(BR24,FIND("|",BR24)+1,FIND("-",BR24)-FIND("|",BR24)-1))),ABS($Q24-ABS(VALUE(MID(BR24,FIND("|",BR24)+1,FIND("-",BR24)-FIND("|",BR24)-1))-VALUE(MID(BR24,FIND("-",BR24)+1,10)))))*$D$50)))))*$I24,0)),0)</f>
        <v>0</v>
      </c>
      <c r="BT24" s="338"/>
      <c r="BU24" s="370"/>
      <c r="BV24" s="371" t="n">
        <f aca="false">IFERROR(IF($M24=BU24,($D$8+$D$9+$D$10)*$I24,IF($N24=LEFT(BU24,1),($D$8+MAX(0,IF($D$50=1,$D$9*(1-(ABS($Q24-ABS(VALUE(MID(BU24,FIND("|",BU24)+1,FIND("-",BU24)-FIND("|",BU24)-1))-VALUE(MID(BU24,FIND("-",BU24)+1,10)))))*$D$50),$D$9*(1-(IF($N24="X",ABS($O24-VALUE(MID(BU24,FIND("|",BU24)+1,FIND("-",BU24)-FIND("|",BU24)-1))),ABS($Q24-ABS(VALUE(MID(BU24,FIND("|",BU24)+1,FIND("-",BU24)-FIND("|",BU24)-1))-VALUE(MID(BU24,FIND("-",BU24)+1,10)))))*$D$50)))))*$I24,0)),0)</f>
        <v>0</v>
      </c>
      <c r="BW24" s="338"/>
      <c r="BX24" s="370"/>
      <c r="BY24" s="371" t="n">
        <f aca="false">IFERROR(IF($M24=BX24,($D$8+$D$9+$D$10)*$I24,IF($N24=LEFT(BX24,1),($D$8+MAX(0,IF($D$50=1,$D$9*(1-(ABS($Q24-ABS(VALUE(MID(BX24,FIND("|",BX24)+1,FIND("-",BX24)-FIND("|",BX24)-1))-VALUE(MID(BX24,FIND("-",BX24)+1,10)))))*$D$50),$D$9*(1-(IF($N24="X",ABS($O24-VALUE(MID(BX24,FIND("|",BX24)+1,FIND("-",BX24)-FIND("|",BX24)-1))),ABS($Q24-ABS(VALUE(MID(BX24,FIND("|",BX24)+1,FIND("-",BX24)-FIND("|",BX24)-1))-VALUE(MID(BX24,FIND("-",BX24)+1,10)))))*$D$50)))))*$I24,0)),0)</f>
        <v>0</v>
      </c>
      <c r="BZ24" s="338"/>
      <c r="CA24" s="370"/>
      <c r="CB24" s="371" t="n">
        <f aca="false">IFERROR(IF($M24=CA24,($D$8+$D$9+$D$10)*$I24,IF($N24=LEFT(CA24,1),($D$8+MAX(0,IF($D$50=1,$D$9*(1-(ABS($Q24-ABS(VALUE(MID(CA24,FIND("|",CA24)+1,FIND("-",CA24)-FIND("|",CA24)-1))-VALUE(MID(CA24,FIND("-",CA24)+1,10)))))*$D$50),$D$9*(1-(IF($N24="X",ABS($O24-VALUE(MID(CA24,FIND("|",CA24)+1,FIND("-",CA24)-FIND("|",CA24)-1))),ABS($Q24-ABS(VALUE(MID(CA24,FIND("|",CA24)+1,FIND("-",CA24)-FIND("|",CA24)-1))-VALUE(MID(CA24,FIND("-",CA24)+1,10)))))*$D$50)))))*$I24,0)),0)</f>
        <v>0</v>
      </c>
      <c r="CC24" s="338"/>
      <c r="CD24" s="370"/>
      <c r="CE24" s="371" t="n">
        <f aca="false">IFERROR(IF($M24=CD24,($D$8+$D$9+$D$10)*$I24,IF($N24=LEFT(CD24,1),($D$8+MAX(0,IF($D$50=1,$D$9*(1-(ABS($Q24-ABS(VALUE(MID(CD24,FIND("|",CD24)+1,FIND("-",CD24)-FIND("|",CD24)-1))-VALUE(MID(CD24,FIND("-",CD24)+1,10)))))*$D$50),$D$9*(1-(IF($N24="X",ABS($O24-VALUE(MID(CD24,FIND("|",CD24)+1,FIND("-",CD24)-FIND("|",CD24)-1))),ABS($Q24-ABS(VALUE(MID(CD24,FIND("|",CD24)+1,FIND("-",CD24)-FIND("|",CD24)-1))-VALUE(MID(CD24,FIND("-",CD24)+1,10)))))*$D$50)))))*$I24,0)),0)</f>
        <v>0</v>
      </c>
      <c r="CF24" s="338"/>
      <c r="CG24" s="370"/>
      <c r="CH24" s="371" t="n">
        <f aca="false">IFERROR(IF($M24=CG24,($D$8+$D$9+$D$10)*$I24,IF($N24=LEFT(CG24,1),($D$8+MAX(0,IF($D$50=1,$D$9*(1-(ABS($Q24-ABS(VALUE(MID(CG24,FIND("|",CG24)+1,FIND("-",CG24)-FIND("|",CG24)-1))-VALUE(MID(CG24,FIND("-",CG24)+1,10)))))*$D$50),$D$9*(1-(IF($N24="X",ABS($O24-VALUE(MID(CG24,FIND("|",CG24)+1,FIND("-",CG24)-FIND("|",CG24)-1))),ABS($Q24-ABS(VALUE(MID(CG24,FIND("|",CG24)+1,FIND("-",CG24)-FIND("|",CG24)-1))-VALUE(MID(CG24,FIND("-",CG24)+1,10)))))*$D$50)))))*$I24,0)),0)</f>
        <v>0</v>
      </c>
      <c r="CI24" s="338"/>
      <c r="CJ24" s="370"/>
      <c r="CK24" s="371" t="n">
        <f aca="false">IFERROR(IF($M24=CJ24,($D$8+$D$9+$D$10)*$I24,IF($N24=LEFT(CJ24,1),($D$8+MAX(0,IF($D$50=1,$D$9*(1-(ABS($Q24-ABS(VALUE(MID(CJ24,FIND("|",CJ24)+1,FIND("-",CJ24)-FIND("|",CJ24)-1))-VALUE(MID(CJ24,FIND("-",CJ24)+1,10)))))*$D$50),$D$9*(1-(IF($N24="X",ABS($O24-VALUE(MID(CJ24,FIND("|",CJ24)+1,FIND("-",CJ24)-FIND("|",CJ24)-1))),ABS($Q24-ABS(VALUE(MID(CJ24,FIND("|",CJ24)+1,FIND("-",CJ24)-FIND("|",CJ24)-1))-VALUE(MID(CJ24,FIND("-",CJ24)+1,10)))))*$D$50)))))*$I24,0)),0)</f>
        <v>0</v>
      </c>
      <c r="CL24" s="338"/>
      <c r="CM24" s="370"/>
      <c r="CN24" s="371" t="n">
        <f aca="false">IFERROR(IF($M24=CM24,($D$8+$D$9+$D$10)*$I24,IF($N24=LEFT(CM24,1),($D$8+MAX(0,IF($D$50=1,$D$9*(1-(ABS($Q24-ABS(VALUE(MID(CM24,FIND("|",CM24)+1,FIND("-",CM24)-FIND("|",CM24)-1))-VALUE(MID(CM24,FIND("-",CM24)+1,10)))))*$D$50),$D$9*(1-(IF($N24="X",ABS($O24-VALUE(MID(CM24,FIND("|",CM24)+1,FIND("-",CM24)-FIND("|",CM24)-1))),ABS($Q24-ABS(VALUE(MID(CM24,FIND("|",CM24)+1,FIND("-",CM24)-FIND("|",CM24)-1))-VALUE(MID(CM24,FIND("-",CM24)+1,10)))))*$D$50)))))*$I24,0)),0)</f>
        <v>0</v>
      </c>
      <c r="CO24" s="338"/>
      <c r="CP24" s="370"/>
      <c r="CQ24" s="371" t="n">
        <f aca="false">IFERROR(IF($M24=CP24,($D$8+$D$9+$D$10)*$I24,IF($N24=LEFT(CP24,1),($D$8+MAX(0,IF($D$50=1,$D$9*(1-(ABS($Q24-ABS(VALUE(MID(CP24,FIND("|",CP24)+1,FIND("-",CP24)-FIND("|",CP24)-1))-VALUE(MID(CP24,FIND("-",CP24)+1,10)))))*$D$50),$D$9*(1-(IF($N24="X",ABS($O24-VALUE(MID(CP24,FIND("|",CP24)+1,FIND("-",CP24)-FIND("|",CP24)-1))),ABS($Q24-ABS(VALUE(MID(CP24,FIND("|",CP24)+1,FIND("-",CP24)-FIND("|",CP24)-1))-VALUE(MID(CP24,FIND("-",CP24)+1,10)))))*$D$50)))))*$I24,0)),0)</f>
        <v>0</v>
      </c>
      <c r="CR24" s="338"/>
      <c r="CS24" s="370"/>
      <c r="CT24" s="371" t="n">
        <f aca="false">IFERROR(IF($M24=CS24,($D$8+$D$9+$D$10)*$I24,IF($N24=LEFT(CS24,1),($D$8+MAX(0,IF($D$50=1,$D$9*(1-(ABS($Q24-ABS(VALUE(MID(CS24,FIND("|",CS24)+1,FIND("-",CS24)-FIND("|",CS24)-1))-VALUE(MID(CS24,FIND("-",CS24)+1,10)))))*$D$50),$D$9*(1-(IF($N24="X",ABS($O24-VALUE(MID(CS24,FIND("|",CS24)+1,FIND("-",CS24)-FIND("|",CS24)-1))),ABS($Q24-ABS(VALUE(MID(CS24,FIND("|",CS24)+1,FIND("-",CS24)-FIND("|",CS24)-1))-VALUE(MID(CS24,FIND("-",CS24)+1,10)))))*$D$50)))))*$I24,0)),0)</f>
        <v>0</v>
      </c>
      <c r="CU24" s="338"/>
      <c r="CV24" s="370"/>
      <c r="CW24" s="371" t="n">
        <f aca="false">IFERROR(IF($M24=CV24,($D$8+$D$9+$D$10)*$I24,IF($N24=LEFT(CV24,1),($D$8+MAX(0,IF($D$50=1,$D$9*(1-(ABS($Q24-ABS(VALUE(MID(CV24,FIND("|",CV24)+1,FIND("-",CV24)-FIND("|",CV24)-1))-VALUE(MID(CV24,FIND("-",CV24)+1,10)))))*$D$50),$D$9*(1-(IF($N24="X",ABS($O24-VALUE(MID(CV24,FIND("|",CV24)+1,FIND("-",CV24)-FIND("|",CV24)-1))),ABS($Q24-ABS(VALUE(MID(CV24,FIND("|",CV24)+1,FIND("-",CV24)-FIND("|",CV24)-1))-VALUE(MID(CV24,FIND("-",CV24)+1,10)))))*$D$50)))))*$I24,0)),0)</f>
        <v>0</v>
      </c>
      <c r="CX24" s="338"/>
      <c r="CY24" s="370"/>
      <c r="CZ24" s="371" t="n">
        <f aca="false">IFERROR(IF($M24=CY24,($D$8+$D$9+$D$10)*$I24,IF($N24=LEFT(CY24,1),($D$8+MAX(0,IF($D$50=1,$D$9*(1-(ABS($Q24-ABS(VALUE(MID(CY24,FIND("|",CY24)+1,FIND("-",CY24)-FIND("|",CY24)-1))-VALUE(MID(CY24,FIND("-",CY24)+1,10)))))*$D$50),$D$9*(1-(IF($N24="X",ABS($O24-VALUE(MID(CY24,FIND("|",CY24)+1,FIND("-",CY24)-FIND("|",CY24)-1))),ABS($Q24-ABS(VALUE(MID(CY24,FIND("|",CY24)+1,FIND("-",CY24)-FIND("|",CY24)-1))-VALUE(MID(CY24,FIND("-",CY24)+1,10)))))*$D$50)))))*$I24,0)),0)</f>
        <v>0</v>
      </c>
      <c r="DA24" s="338"/>
      <c r="DB24" s="370"/>
      <c r="DC24" s="371" t="n">
        <f aca="false">IFERROR(IF($M24=DB24,($D$8+$D$9+$D$10)*$I24,IF($N24=LEFT(DB24,1),($D$8+MAX(0,IF($D$50=1,$D$9*(1-(ABS($Q24-ABS(VALUE(MID(DB24,FIND("|",DB24)+1,FIND("-",DB24)-FIND("|",DB24)-1))-VALUE(MID(DB24,FIND("-",DB24)+1,10)))))*$D$50),$D$9*(1-(IF($N24="X",ABS($O24-VALUE(MID(DB24,FIND("|",DB24)+1,FIND("-",DB24)-FIND("|",DB24)-1))),ABS($Q24-ABS(VALUE(MID(DB24,FIND("|",DB24)+1,FIND("-",DB24)-FIND("|",DB24)-1))-VALUE(MID(DB24,FIND("-",DB24)+1,10)))))*$D$50)))))*$I24,0)),0)</f>
        <v>0</v>
      </c>
      <c r="DD24" s="338"/>
      <c r="DE24" s="370"/>
      <c r="DF24" s="371" t="n">
        <f aca="false">IFERROR(IF($M24=DE24,($D$8+$D$9+$D$10)*$I24,IF($N24=LEFT(DE24,1),($D$8+MAX(0,IF($D$50=1,$D$9*(1-(ABS($Q24-ABS(VALUE(MID(DE24,FIND("|",DE24)+1,FIND("-",DE24)-FIND("|",DE24)-1))-VALUE(MID(DE24,FIND("-",DE24)+1,10)))))*$D$50),$D$9*(1-(IF($N24="X",ABS($O24-VALUE(MID(DE24,FIND("|",DE24)+1,FIND("-",DE24)-FIND("|",DE24)-1))),ABS($Q24-ABS(VALUE(MID(DE24,FIND("|",DE24)+1,FIND("-",DE24)-FIND("|",DE24)-1))-VALUE(MID(DE24,FIND("-",DE24)+1,10)))))*$D$50)))))*$I24,0)),0)</f>
        <v>0</v>
      </c>
      <c r="DG24" s="338"/>
      <c r="DH24" s="370"/>
      <c r="DI24" s="371" t="n">
        <f aca="false">IFERROR(IF($M24=DH24,($D$8+$D$9+$D$10)*$I24,IF($N24=LEFT(DH24,1),($D$8+MAX(0,IF($D$50=1,$D$9*(1-(ABS($Q24-ABS(VALUE(MID(DH24,FIND("|",DH24)+1,FIND("-",DH24)-FIND("|",DH24)-1))-VALUE(MID(DH24,FIND("-",DH24)+1,10)))))*$D$50),$D$9*(1-(IF($N24="X",ABS($O24-VALUE(MID(DH24,FIND("|",DH24)+1,FIND("-",DH24)-FIND("|",DH24)-1))),ABS($Q24-ABS(VALUE(MID(DH24,FIND("|",DH24)+1,FIND("-",DH24)-FIND("|",DH24)-1))-VALUE(MID(DH24,FIND("-",DH24)+1,10)))))*$D$50)))))*$I24,0)),0)</f>
        <v>0</v>
      </c>
      <c r="DJ24" s="338"/>
      <c r="DK24" s="370"/>
      <c r="DL24" s="371" t="n">
        <f aca="false">IFERROR(IF($M24=DK24,($D$8+$D$9+$D$10)*$I24,IF($N24=LEFT(DK24,1),($D$8+MAX(0,IF($D$50=1,$D$9*(1-(ABS($Q24-ABS(VALUE(MID(DK24,FIND("|",DK24)+1,FIND("-",DK24)-FIND("|",DK24)-1))-VALUE(MID(DK24,FIND("-",DK24)+1,10)))))*$D$50),$D$9*(1-(IF($N24="X",ABS($O24-VALUE(MID(DK24,FIND("|",DK24)+1,FIND("-",DK24)-FIND("|",DK24)-1))),ABS($Q24-ABS(VALUE(MID(DK24,FIND("|",DK24)+1,FIND("-",DK24)-FIND("|",DK24)-1))-VALUE(MID(DK24,FIND("-",DK24)+1,10)))))*$D$50)))))*$I24,0)),0)</f>
        <v>0</v>
      </c>
      <c r="DM24" s="338"/>
      <c r="DN24" s="370"/>
      <c r="DO24" s="371" t="n">
        <f aca="false">IFERROR(IF($M24=DN24,($D$8+$D$9+$D$10)*$I24,IF($N24=LEFT(DN24,1),($D$8+MAX(0,IF($D$50=1,$D$9*(1-(ABS($Q24-ABS(VALUE(MID(DN24,FIND("|",DN24)+1,FIND("-",DN24)-FIND("|",DN24)-1))-VALUE(MID(DN24,FIND("-",DN24)+1,10)))))*$D$50),$D$9*(1-(IF($N24="X",ABS($O24-VALUE(MID(DN24,FIND("|",DN24)+1,FIND("-",DN24)-FIND("|",DN24)-1))),ABS($Q24-ABS(VALUE(MID(DN24,FIND("|",DN24)+1,FIND("-",DN24)-FIND("|",DN24)-1))-VALUE(MID(DN24,FIND("-",DN24)+1,10)))))*$D$50)))))*$I24,0)),0)</f>
        <v>0</v>
      </c>
      <c r="DP24" s="338"/>
      <c r="DQ24" s="370"/>
      <c r="DR24" s="371" t="n">
        <f aca="false">IFERROR(IF($M24=DQ24,($D$8+$D$9+$D$10)*$I24,IF($N24=LEFT(DQ24,1),($D$8+MAX(0,IF($D$50=1,$D$9*(1-(ABS($Q24-ABS(VALUE(MID(DQ24,FIND("|",DQ24)+1,FIND("-",DQ24)-FIND("|",DQ24)-1))-VALUE(MID(DQ24,FIND("-",DQ24)+1,10)))))*$D$50),$D$9*(1-(IF($N24="X",ABS($O24-VALUE(MID(DQ24,FIND("|",DQ24)+1,FIND("-",DQ24)-FIND("|",DQ24)-1))),ABS($Q24-ABS(VALUE(MID(DQ24,FIND("|",DQ24)+1,FIND("-",DQ24)-FIND("|",DQ24)-1))-VALUE(MID(DQ24,FIND("-",DQ24)+1,10)))))*$D$50)))))*$I24,0)),0)</f>
        <v>0</v>
      </c>
      <c r="DS24" s="338"/>
      <c r="DT24" s="370"/>
      <c r="DU24" s="371" t="n">
        <f aca="false">IFERROR(IF($M24=DT24,($D$8+$D$9+$D$10)*$I24,IF($N24=LEFT(DT24,1),($D$8+MAX(0,IF($D$50=1,$D$9*(1-(ABS($Q24-ABS(VALUE(MID(DT24,FIND("|",DT24)+1,FIND("-",DT24)-FIND("|",DT24)-1))-VALUE(MID(DT24,FIND("-",DT24)+1,10)))))*$D$50),$D$9*(1-(IF($N24="X",ABS($O24-VALUE(MID(DT24,FIND("|",DT24)+1,FIND("-",DT24)-FIND("|",DT24)-1))),ABS($Q24-ABS(VALUE(MID(DT24,FIND("|",DT24)+1,FIND("-",DT24)-FIND("|",DT24)-1))-VALUE(MID(DT24,FIND("-",DT24)+1,10)))))*$D$50)))))*$I24,0)),0)</f>
        <v>0</v>
      </c>
      <c r="DV24" s="338"/>
      <c r="DW24" s="370"/>
      <c r="DX24" s="371" t="n">
        <f aca="false">IFERROR(IF($M24=DW24,($D$8+$D$9+$D$10)*$I24,IF($N24=LEFT(DW24,1),($D$8+MAX(0,IF($D$50=1,$D$9*(1-(ABS($Q24-ABS(VALUE(MID(DW24,FIND("|",DW24)+1,FIND("-",DW24)-FIND("|",DW24)-1))-VALUE(MID(DW24,FIND("-",DW24)+1,10)))))*$D$50),$D$9*(1-(IF($N24="X",ABS($O24-VALUE(MID(DW24,FIND("|",DW24)+1,FIND("-",DW24)-FIND("|",DW24)-1))),ABS($Q24-ABS(VALUE(MID(DW24,FIND("|",DW24)+1,FIND("-",DW24)-FIND("|",DW24)-1))-VALUE(MID(DW24,FIND("-",DW24)+1,10)))))*$D$50)))))*$I24,0)),0)</f>
        <v>0</v>
      </c>
      <c r="DY24" s="338"/>
      <c r="DZ24" s="370"/>
      <c r="EA24" s="371" t="n">
        <f aca="false">IFERROR(IF($M24=DZ24,($D$8+$D$9+$D$10)*$I24,IF($N24=LEFT(DZ24,1),($D$8+MAX(0,IF($D$50=1,$D$9*(1-(ABS($Q24-ABS(VALUE(MID(DZ24,FIND("|",DZ24)+1,FIND("-",DZ24)-FIND("|",DZ24)-1))-VALUE(MID(DZ24,FIND("-",DZ24)+1,10)))))*$D$50),$D$9*(1-(IF($N24="X",ABS($O24-VALUE(MID(DZ24,FIND("|",DZ24)+1,FIND("-",DZ24)-FIND("|",DZ24)-1))),ABS($Q24-ABS(VALUE(MID(DZ24,FIND("|",DZ24)+1,FIND("-",DZ24)-FIND("|",DZ24)-1))-VALUE(MID(DZ24,FIND("-",DZ24)+1,10)))))*$D$50)))))*$I24,0)),0)</f>
        <v>0</v>
      </c>
      <c r="EB24" s="338"/>
      <c r="EC24" s="370"/>
      <c r="ED24" s="371" t="n">
        <f aca="false">IFERROR(IF($M24=EC24,($D$8+$D$9+$D$10)*$I24,IF($N24=LEFT(EC24,1),($D$8+MAX(0,IF($D$50=1,$D$9*(1-(ABS($Q24-ABS(VALUE(MID(EC24,FIND("|",EC24)+1,FIND("-",EC24)-FIND("|",EC24)-1))-VALUE(MID(EC24,FIND("-",EC24)+1,10)))))*$D$50),$D$9*(1-(IF($N24="X",ABS($O24-VALUE(MID(EC24,FIND("|",EC24)+1,FIND("-",EC24)-FIND("|",EC24)-1))),ABS($Q24-ABS(VALUE(MID(EC24,FIND("|",EC24)+1,FIND("-",EC24)-FIND("|",EC24)-1))-VALUE(MID(EC24,FIND("-",EC24)+1,10)))))*$D$50)))))*$I24,0)),0)</f>
        <v>0</v>
      </c>
      <c r="EE24" s="338"/>
      <c r="EF24" s="370"/>
      <c r="EG24" s="371" t="n">
        <f aca="false">IFERROR(IF($M24=EF24,($D$8+$D$9+$D$10)*$I24,IF($N24=LEFT(EF24,1),($D$8+MAX(0,IF($D$50=1,$D$9*(1-(ABS($Q24-ABS(VALUE(MID(EF24,FIND("|",EF24)+1,FIND("-",EF24)-FIND("|",EF24)-1))-VALUE(MID(EF24,FIND("-",EF24)+1,10)))))*$D$50),$D$9*(1-(IF($N24="X",ABS($O24-VALUE(MID(EF24,FIND("|",EF24)+1,FIND("-",EF24)-FIND("|",EF24)-1))),ABS($Q24-ABS(VALUE(MID(EF24,FIND("|",EF24)+1,FIND("-",EF24)-FIND("|",EF24)-1))-VALUE(MID(EF24,FIND("-",EF24)+1,10)))))*$D$50)))))*$I24,0)),0)</f>
        <v>0</v>
      </c>
      <c r="EH24" s="338"/>
      <c r="EI24" s="338"/>
    </row>
    <row r="25" customFormat="false" ht="15" hidden="false" customHeight="false" outlineLevel="0" collapsed="false">
      <c r="A25" s="327"/>
      <c r="B25" s="327"/>
      <c r="C25" s="364" t="str">
        <f aca="false">Idiomas!D321&amp;"**"</f>
        <v>CUARTOS -Diferencia/Distancia de goles (Con 1X2 acertado)**</v>
      </c>
      <c r="D25" s="365" t="n">
        <v>2</v>
      </c>
      <c r="E25" s="334"/>
      <c r="F25" s="343" t="n">
        <f aca="false">SUM($D$8:$D$10)*I25</f>
        <v>17</v>
      </c>
      <c r="G25" s="343" t="n">
        <f aca="false">VLOOKUP(H25,Equipos!$Q$1:$R$25,2,0)</f>
        <v>7</v>
      </c>
      <c r="H25" s="351" t="n">
        <f aca="false">TRUNC(INDEX(WORLDCUP!$X$4:$X$147,MATCH(ADMIN!K25,WORLDCUP!$DT$4:$DT$147,0))+INDEX(Horarios!$R$3:$R$86,MATCH(Horarios!$C$3,Horarios!$P$3:$P$86,0))/24)</f>
        <v>46190</v>
      </c>
      <c r="I25" s="352" t="n">
        <v>1</v>
      </c>
      <c r="J25" s="362" t="s">
        <v>292</v>
      </c>
      <c r="K25" s="354" t="str">
        <f aca="false">CONCATENATE(WORLDCUP!AA77,"-",WORLDCUP!AF77)</f>
        <v>Austria-Jordania</v>
      </c>
      <c r="L25" s="354"/>
      <c r="M25" s="359" t="str">
        <f aca="false">IF(OR(WORLDCUP!AC77="",WORLDCUP!AD77=""),"-",N25&amp;"|"&amp;O25&amp;"-"&amp;P25)</f>
        <v>-</v>
      </c>
      <c r="N25" s="332" t="str">
        <f aca="false">IF(OR(WORLDCUP!AC77="",WORLDCUP!AD77=""),"",IF(WORLDCUP!AC77&gt;WORLDCUP!AD77,"1",IF(WORLDCUP!AC77&lt;WORLDCUP!AD77,"2","X")))</f>
        <v/>
      </c>
      <c r="O25" s="332" t="n">
        <f aca="false">WORLDCUP!AC77</f>
        <v>0</v>
      </c>
      <c r="P25" s="332" t="n">
        <f aca="false">WORLDCUP!AD77</f>
        <v>0</v>
      </c>
      <c r="Q25" s="332" t="n">
        <f aca="false">ABS(O25-P25)</f>
        <v>0</v>
      </c>
      <c r="R25" s="327"/>
      <c r="S25" s="363" t="s">
        <v>265</v>
      </c>
      <c r="T25" s="356" t="n">
        <f aca="false">IFERROR(IF($M25=S25,($D$8+$D$9+$D$10)*$I25,IF($N25=LEFT(S25,1),($D$8+MAX(0,IF($D$50=1,$D$9*(1-(ABS($Q25-ABS(VALUE(MID(S25,FIND("|",S25)+1,FIND("-",S25)-FIND("|",S25)-1))-VALUE(MID(S25,FIND("-",S25)+1,10)))))*$D$50),$D$9*(1-(IF($N25="X",ABS($O25-VALUE(MID(S25,FIND("|",S25)+1,FIND("-",S25)-FIND("|",S25)-1))),ABS($Q25-ABS(VALUE(MID(S25,FIND("|",S25)+1,FIND("-",S25)-FIND("|",S25)-1))-VALUE(MID(S25,FIND("-",S25)+1,10)))))*$D$50)))))*$I25,0)),0)</f>
        <v>0</v>
      </c>
      <c r="U25" s="338"/>
      <c r="V25" s="363" t="s">
        <v>266</v>
      </c>
      <c r="W25" s="356" t="n">
        <f aca="false">IFERROR(IF($M25=V25,($D$8+$D$9+$D$10)*$I25,IF($N25=LEFT(V25,1),($D$8+MAX(0,IF($D$50=1,$D$9*(1-(ABS($Q25-ABS(VALUE(MID(V25,FIND("|",V25)+1,FIND("-",V25)-FIND("|",V25)-1))-VALUE(MID(V25,FIND("-",V25)+1,10)))))*$D$50),$D$9*(1-(IF($N25="X",ABS($O25-VALUE(MID(V25,FIND("|",V25)+1,FIND("-",V25)-FIND("|",V25)-1))),ABS($Q25-ABS(VALUE(MID(V25,FIND("|",V25)+1,FIND("-",V25)-FIND("|",V25)-1))-VALUE(MID(V25,FIND("-",V25)+1,10)))))*$D$50)))))*$I25,0)),0)</f>
        <v>0</v>
      </c>
      <c r="X25" s="338"/>
      <c r="Y25" s="363" t="s">
        <v>266</v>
      </c>
      <c r="Z25" s="356" t="n">
        <f aca="false">IFERROR(IF($M25=Y25,($D$8+$D$9+$D$10)*$I25,IF($N25=LEFT(Y25,1),($D$8+MAX(0,IF($D$50=1,$D$9*(1-(ABS($Q25-ABS(VALUE(MID(Y25,FIND("|",Y25)+1,FIND("-",Y25)-FIND("|",Y25)-1))-VALUE(MID(Y25,FIND("-",Y25)+1,10)))))*$D$50),$D$9*(1-(IF($N25="X",ABS($O25-VALUE(MID(Y25,FIND("|",Y25)+1,FIND("-",Y25)-FIND("|",Y25)-1))),ABS($Q25-ABS(VALUE(MID(Y25,FIND("|",Y25)+1,FIND("-",Y25)-FIND("|",Y25)-1))-VALUE(MID(Y25,FIND("-",Y25)+1,10)))))*$D$50)))))*$I25,0)),0)</f>
        <v>0</v>
      </c>
      <c r="AA25" s="338"/>
      <c r="AB25" s="363" t="s">
        <v>266</v>
      </c>
      <c r="AC25" s="356" t="n">
        <f aca="false">IFERROR(IF($M25=AB25,($D$8+$D$9+$D$10)*$I25,IF($N25=LEFT(AB25,1),($D$8+MAX(0,IF($D$50=1,$D$9*(1-(ABS($Q25-ABS(VALUE(MID(AB25,FIND("|",AB25)+1,FIND("-",AB25)-FIND("|",AB25)-1))-VALUE(MID(AB25,FIND("-",AB25)+1,10)))))*$D$50),$D$9*(1-(IF($N25="X",ABS($O25-VALUE(MID(AB25,FIND("|",AB25)+1,FIND("-",AB25)-FIND("|",AB25)-1))),ABS($Q25-ABS(VALUE(MID(AB25,FIND("|",AB25)+1,FIND("-",AB25)-FIND("|",AB25)-1))-VALUE(MID(AB25,FIND("-",AB25)+1,10)))))*$D$50)))))*$I25,0)),0)</f>
        <v>0</v>
      </c>
      <c r="AD25" s="338"/>
      <c r="AE25" s="363" t="s">
        <v>266</v>
      </c>
      <c r="AF25" s="356" t="n">
        <f aca="false">IFERROR(IF($M25=AE25,($D$8+$D$9+$D$10)*$I25,IF($N25=LEFT(AE25,1),($D$8+MAX(0,IF($D$50=1,$D$9*(1-(ABS($Q25-ABS(VALUE(MID(AE25,FIND("|",AE25)+1,FIND("-",AE25)-FIND("|",AE25)-1))-VALUE(MID(AE25,FIND("-",AE25)+1,10)))))*$D$50),$D$9*(1-(IF($N25="X",ABS($O25-VALUE(MID(AE25,FIND("|",AE25)+1,FIND("-",AE25)-FIND("|",AE25)-1))),ABS($Q25-ABS(VALUE(MID(AE25,FIND("|",AE25)+1,FIND("-",AE25)-FIND("|",AE25)-1))-VALUE(MID(AE25,FIND("-",AE25)+1,10)))))*$D$50)))))*$I25,0)),0)</f>
        <v>0</v>
      </c>
      <c r="AG25" s="338"/>
      <c r="AH25" s="363" t="s">
        <v>266</v>
      </c>
      <c r="AI25" s="356" t="n">
        <f aca="false">IFERROR(IF($M25=AH25,($D$8+$D$9+$D$10)*$I25,IF($N25=LEFT(AH25,1),($D$8+MAX(0,IF($D$50=1,$D$9*(1-(ABS($Q25-ABS(VALUE(MID(AH25,FIND("|",AH25)+1,FIND("-",AH25)-FIND("|",AH25)-1))-VALUE(MID(AH25,FIND("-",AH25)+1,10)))))*$D$50),$D$9*(1-(IF($N25="X",ABS($O25-VALUE(MID(AH25,FIND("|",AH25)+1,FIND("-",AH25)-FIND("|",AH25)-1))),ABS($Q25-ABS(VALUE(MID(AH25,FIND("|",AH25)+1,FIND("-",AH25)-FIND("|",AH25)-1))-VALUE(MID(AH25,FIND("-",AH25)+1,10)))))*$D$50)))))*$I25,0)),0)</f>
        <v>0</v>
      </c>
      <c r="AJ25" s="338"/>
      <c r="AK25" s="363" t="s">
        <v>266</v>
      </c>
      <c r="AL25" s="356" t="n">
        <f aca="false">IFERROR(IF($M25=AK25,($D$8+$D$9+$D$10)*$I25,IF($N25=LEFT(AK25,1),($D$8+MAX(0,IF($D$50=1,$D$9*(1-(ABS($Q25-ABS(VALUE(MID(AK25,FIND("|",AK25)+1,FIND("-",AK25)-FIND("|",AK25)-1))-VALUE(MID(AK25,FIND("-",AK25)+1,10)))))*$D$50),$D$9*(1-(IF($N25="X",ABS($O25-VALUE(MID(AK25,FIND("|",AK25)+1,FIND("-",AK25)-FIND("|",AK25)-1))),ABS($Q25-ABS(VALUE(MID(AK25,FIND("|",AK25)+1,FIND("-",AK25)-FIND("|",AK25)-1))-VALUE(MID(AK25,FIND("-",AK25)+1,10)))))*$D$50)))))*$I25,0)),0)</f>
        <v>0</v>
      </c>
      <c r="AM25" s="338"/>
      <c r="AN25" s="363" t="s">
        <v>265</v>
      </c>
      <c r="AO25" s="356" t="n">
        <f aca="false">IFERROR(IF($M25=AN25,($D$8+$D$9+$D$10)*$I25,IF($N25=LEFT(AN25,1),($D$8+MAX(0,IF($D$50=1,$D$9*(1-(ABS($Q25-ABS(VALUE(MID(AN25,FIND("|",AN25)+1,FIND("-",AN25)-FIND("|",AN25)-1))-VALUE(MID(AN25,FIND("-",AN25)+1,10)))))*$D$50),$D$9*(1-(IF($N25="X",ABS($O25-VALUE(MID(AN25,FIND("|",AN25)+1,FIND("-",AN25)-FIND("|",AN25)-1))),ABS($Q25-ABS(VALUE(MID(AN25,FIND("|",AN25)+1,FIND("-",AN25)-FIND("|",AN25)-1))-VALUE(MID(AN25,FIND("-",AN25)+1,10)))))*$D$50)))))*$I25,0)),0)</f>
        <v>0</v>
      </c>
      <c r="AP25" s="338"/>
      <c r="AQ25" s="363" t="s">
        <v>266</v>
      </c>
      <c r="AR25" s="356" t="n">
        <f aca="false">IFERROR(IF($M25=AQ25,($D$8+$D$9+$D$10)*$I25,IF($N25=LEFT(AQ25,1),($D$8+MAX(0,IF($D$50=1,$D$9*(1-(ABS($Q25-ABS(VALUE(MID(AQ25,FIND("|",AQ25)+1,FIND("-",AQ25)-FIND("|",AQ25)-1))-VALUE(MID(AQ25,FIND("-",AQ25)+1,10)))))*$D$50),$D$9*(1-(IF($N25="X",ABS($O25-VALUE(MID(AQ25,FIND("|",AQ25)+1,FIND("-",AQ25)-FIND("|",AQ25)-1))),ABS($Q25-ABS(VALUE(MID(AQ25,FIND("|",AQ25)+1,FIND("-",AQ25)-FIND("|",AQ25)-1))-VALUE(MID(AQ25,FIND("-",AQ25)+1,10)))))*$D$50)))))*$I25,0)),0)</f>
        <v>0</v>
      </c>
      <c r="AS25" s="338"/>
      <c r="AT25" s="363" t="s">
        <v>266</v>
      </c>
      <c r="AU25" s="356" t="n">
        <f aca="false">IFERROR(IF($M25=AT25,($D$8+$D$9+$D$10)*$I25,IF($N25=LEFT(AT25,1),($D$8+MAX(0,IF($D$50=1,$D$9*(1-(ABS($Q25-ABS(VALUE(MID(AT25,FIND("|",AT25)+1,FIND("-",AT25)-FIND("|",AT25)-1))-VALUE(MID(AT25,FIND("-",AT25)+1,10)))))*$D$50),$D$9*(1-(IF($N25="X",ABS($O25-VALUE(MID(AT25,FIND("|",AT25)+1,FIND("-",AT25)-FIND("|",AT25)-1))),ABS($Q25-ABS(VALUE(MID(AT25,FIND("|",AT25)+1,FIND("-",AT25)-FIND("|",AT25)-1))-VALUE(MID(AT25,FIND("-",AT25)+1,10)))))*$D$50)))))*$I25,0)),0)</f>
        <v>0</v>
      </c>
      <c r="AV25" s="338"/>
      <c r="AW25" s="363" t="s">
        <v>265</v>
      </c>
      <c r="AX25" s="356" t="n">
        <f aca="false">IFERROR(IF($M25=AW25,($D$8+$D$9+$D$10)*$I25,IF($N25=LEFT(AW25,1),($D$8+MAX(0,IF($D$50=1,$D$9*(1-(ABS($Q25-ABS(VALUE(MID(AW25,FIND("|",AW25)+1,FIND("-",AW25)-FIND("|",AW25)-1))-VALUE(MID(AW25,FIND("-",AW25)+1,10)))))*$D$50),$D$9*(1-(IF($N25="X",ABS($O25-VALUE(MID(AW25,FIND("|",AW25)+1,FIND("-",AW25)-FIND("|",AW25)-1))),ABS($Q25-ABS(VALUE(MID(AW25,FIND("|",AW25)+1,FIND("-",AW25)-FIND("|",AW25)-1))-VALUE(MID(AW25,FIND("-",AW25)+1,10)))))*$D$50)))))*$I25,0)),0)</f>
        <v>0</v>
      </c>
      <c r="AY25" s="338"/>
      <c r="AZ25" s="363" t="s">
        <v>265</v>
      </c>
      <c r="BA25" s="356" t="n">
        <f aca="false">IFERROR(IF($M25=AZ25,($D$8+$D$9+$D$10)*$I25,IF($N25=LEFT(AZ25,1),($D$8+MAX(0,IF($D$50=1,$D$9*(1-(ABS($Q25-ABS(VALUE(MID(AZ25,FIND("|",AZ25)+1,FIND("-",AZ25)-FIND("|",AZ25)-1))-VALUE(MID(AZ25,FIND("-",AZ25)+1,10)))))*$D$50),$D$9*(1-(IF($N25="X",ABS($O25-VALUE(MID(AZ25,FIND("|",AZ25)+1,FIND("-",AZ25)-FIND("|",AZ25)-1))),ABS($Q25-ABS(VALUE(MID(AZ25,FIND("|",AZ25)+1,FIND("-",AZ25)-FIND("|",AZ25)-1))-VALUE(MID(AZ25,FIND("-",AZ25)+1,10)))))*$D$50)))))*$I25,0)),0)</f>
        <v>0</v>
      </c>
      <c r="BB25" s="338"/>
      <c r="BC25" s="363" t="s">
        <v>266</v>
      </c>
      <c r="BD25" s="356" t="n">
        <f aca="false">IFERROR(IF($M25=BC25,($D$8+$D$9+$D$10)*$I25,IF($N25=LEFT(BC25,1),($D$8+MAX(0,IF($D$50=1,$D$9*(1-(ABS($Q25-ABS(VALUE(MID(BC25,FIND("|",BC25)+1,FIND("-",BC25)-FIND("|",BC25)-1))-VALUE(MID(BC25,FIND("-",BC25)+1,10)))))*$D$50),$D$9*(1-(IF($N25="X",ABS($O25-VALUE(MID(BC25,FIND("|",BC25)+1,FIND("-",BC25)-FIND("|",BC25)-1))),ABS($Q25-ABS(VALUE(MID(BC25,FIND("|",BC25)+1,FIND("-",BC25)-FIND("|",BC25)-1))-VALUE(MID(BC25,FIND("-",BC25)+1,10)))))*$D$50)))))*$I25,0)),0)</f>
        <v>0</v>
      </c>
      <c r="BE25" s="338"/>
      <c r="BF25" s="363" t="s">
        <v>264</v>
      </c>
      <c r="BG25" s="356" t="n">
        <f aca="false">IFERROR(IF($M25=BF25,($D$8+$D$9+$D$10)*$I25,IF($N25=LEFT(BF25,1),($D$8+MAX(0,IF($D$50=1,$D$9*(1-(ABS($Q25-ABS(VALUE(MID(BF25,FIND("|",BF25)+1,FIND("-",BF25)-FIND("|",BF25)-1))-VALUE(MID(BF25,FIND("-",BF25)+1,10)))))*$D$50),$D$9*(1-(IF($N25="X",ABS($O25-VALUE(MID(BF25,FIND("|",BF25)+1,FIND("-",BF25)-FIND("|",BF25)-1))),ABS($Q25-ABS(VALUE(MID(BF25,FIND("|",BF25)+1,FIND("-",BF25)-FIND("|",BF25)-1))-VALUE(MID(BF25,FIND("-",BF25)+1,10)))))*$D$50)))))*$I25,0)),0)</f>
        <v>0</v>
      </c>
      <c r="BH25" s="338"/>
      <c r="BI25" s="363" t="s">
        <v>275</v>
      </c>
      <c r="BJ25" s="356" t="n">
        <f aca="false">IFERROR(IF($M25=BI25,($D$8+$D$9+$D$10)*$I25,IF($N25=LEFT(BI25,1),($D$8+MAX(0,IF($D$50=1,$D$9*(1-(ABS($Q25-ABS(VALUE(MID(BI25,FIND("|",BI25)+1,FIND("-",BI25)-FIND("|",BI25)-1))-VALUE(MID(BI25,FIND("-",BI25)+1,10)))))*$D$50),$D$9*(1-(IF($N25="X",ABS($O25-VALUE(MID(BI25,FIND("|",BI25)+1,FIND("-",BI25)-FIND("|",BI25)-1))),ABS($Q25-ABS(VALUE(MID(BI25,FIND("|",BI25)+1,FIND("-",BI25)-FIND("|",BI25)-1))-VALUE(MID(BI25,FIND("-",BI25)+1,10)))))*$D$50)))))*$I25,0)),0)</f>
        <v>0</v>
      </c>
      <c r="BK25" s="338"/>
      <c r="BL25" s="363" t="s">
        <v>266</v>
      </c>
      <c r="BM25" s="356" t="n">
        <f aca="false">IFERROR(IF($M25=BL25,($D$8+$D$9+$D$10)*$I25,IF($N25=LEFT(BL25,1),($D$8+MAX(0,IF($D$50=1,$D$9*(1-(ABS($Q25-ABS(VALUE(MID(BL25,FIND("|",BL25)+1,FIND("-",BL25)-FIND("|",BL25)-1))-VALUE(MID(BL25,FIND("-",BL25)+1,10)))))*$D$50),$D$9*(1-(IF($N25="X",ABS($O25-VALUE(MID(BL25,FIND("|",BL25)+1,FIND("-",BL25)-FIND("|",BL25)-1))),ABS($Q25-ABS(VALUE(MID(BL25,FIND("|",BL25)+1,FIND("-",BL25)-FIND("|",BL25)-1))-VALUE(MID(BL25,FIND("-",BL25)+1,10)))))*$D$50)))))*$I25,0)),0)</f>
        <v>0</v>
      </c>
      <c r="BN25" s="338"/>
      <c r="BO25" s="363" t="s">
        <v>265</v>
      </c>
      <c r="BP25" s="356" t="n">
        <f aca="false">IFERROR(IF($M25=BO25,($D$8+$D$9+$D$10)*$I25,IF($N25=LEFT(BO25,1),($D$8+MAX(0,IF($D$50=1,$D$9*(1-(ABS($Q25-ABS(VALUE(MID(BO25,FIND("|",BO25)+1,FIND("-",BO25)-FIND("|",BO25)-1))-VALUE(MID(BO25,FIND("-",BO25)+1,10)))))*$D$50),$D$9*(1-(IF($N25="X",ABS($O25-VALUE(MID(BO25,FIND("|",BO25)+1,FIND("-",BO25)-FIND("|",BO25)-1))),ABS($Q25-ABS(VALUE(MID(BO25,FIND("|",BO25)+1,FIND("-",BO25)-FIND("|",BO25)-1))-VALUE(MID(BO25,FIND("-",BO25)+1,10)))))*$D$50)))))*$I25,0)),0)</f>
        <v>0</v>
      </c>
      <c r="BQ25" s="338"/>
      <c r="BR25" s="363" t="s">
        <v>266</v>
      </c>
      <c r="BS25" s="356" t="n">
        <f aca="false">IFERROR(IF($M25=BR25,($D$8+$D$9+$D$10)*$I25,IF($N25=LEFT(BR25,1),($D$8+MAX(0,IF($D$50=1,$D$9*(1-(ABS($Q25-ABS(VALUE(MID(BR25,FIND("|",BR25)+1,FIND("-",BR25)-FIND("|",BR25)-1))-VALUE(MID(BR25,FIND("-",BR25)+1,10)))))*$D$50),$D$9*(1-(IF($N25="X",ABS($O25-VALUE(MID(BR25,FIND("|",BR25)+1,FIND("-",BR25)-FIND("|",BR25)-1))),ABS($Q25-ABS(VALUE(MID(BR25,FIND("|",BR25)+1,FIND("-",BR25)-FIND("|",BR25)-1))-VALUE(MID(BR25,FIND("-",BR25)+1,10)))))*$D$50)))))*$I25,0)),0)</f>
        <v>0</v>
      </c>
      <c r="BT25" s="338"/>
      <c r="BU25" s="363"/>
      <c r="BV25" s="356" t="n">
        <f aca="false">IFERROR(IF($M25=BU25,($D$8+$D$9+$D$10)*$I25,IF($N25=LEFT(BU25,1),($D$8+MAX(0,IF($D$50=1,$D$9*(1-(ABS($Q25-ABS(VALUE(MID(BU25,FIND("|",BU25)+1,FIND("-",BU25)-FIND("|",BU25)-1))-VALUE(MID(BU25,FIND("-",BU25)+1,10)))))*$D$50),$D$9*(1-(IF($N25="X",ABS($O25-VALUE(MID(BU25,FIND("|",BU25)+1,FIND("-",BU25)-FIND("|",BU25)-1))),ABS($Q25-ABS(VALUE(MID(BU25,FIND("|",BU25)+1,FIND("-",BU25)-FIND("|",BU25)-1))-VALUE(MID(BU25,FIND("-",BU25)+1,10)))))*$D$50)))))*$I25,0)),0)</f>
        <v>0</v>
      </c>
      <c r="BW25" s="338"/>
      <c r="BX25" s="363"/>
      <c r="BY25" s="356" t="n">
        <f aca="false">IFERROR(IF($M25=BX25,($D$8+$D$9+$D$10)*$I25,IF($N25=LEFT(BX25,1),($D$8+MAX(0,IF($D$50=1,$D$9*(1-(ABS($Q25-ABS(VALUE(MID(BX25,FIND("|",BX25)+1,FIND("-",BX25)-FIND("|",BX25)-1))-VALUE(MID(BX25,FIND("-",BX25)+1,10)))))*$D$50),$D$9*(1-(IF($N25="X",ABS($O25-VALUE(MID(BX25,FIND("|",BX25)+1,FIND("-",BX25)-FIND("|",BX25)-1))),ABS($Q25-ABS(VALUE(MID(BX25,FIND("|",BX25)+1,FIND("-",BX25)-FIND("|",BX25)-1))-VALUE(MID(BX25,FIND("-",BX25)+1,10)))))*$D$50)))))*$I25,0)),0)</f>
        <v>0</v>
      </c>
      <c r="BZ25" s="338"/>
      <c r="CA25" s="363"/>
      <c r="CB25" s="356" t="n">
        <f aca="false">IFERROR(IF($M25=CA25,($D$8+$D$9+$D$10)*$I25,IF($N25=LEFT(CA25,1),($D$8+MAX(0,IF($D$50=1,$D$9*(1-(ABS($Q25-ABS(VALUE(MID(CA25,FIND("|",CA25)+1,FIND("-",CA25)-FIND("|",CA25)-1))-VALUE(MID(CA25,FIND("-",CA25)+1,10)))))*$D$50),$D$9*(1-(IF($N25="X",ABS($O25-VALUE(MID(CA25,FIND("|",CA25)+1,FIND("-",CA25)-FIND("|",CA25)-1))),ABS($Q25-ABS(VALUE(MID(CA25,FIND("|",CA25)+1,FIND("-",CA25)-FIND("|",CA25)-1))-VALUE(MID(CA25,FIND("-",CA25)+1,10)))))*$D$50)))))*$I25,0)),0)</f>
        <v>0</v>
      </c>
      <c r="CC25" s="338"/>
      <c r="CD25" s="363"/>
      <c r="CE25" s="356" t="n">
        <f aca="false">IFERROR(IF($M25=CD25,($D$8+$D$9+$D$10)*$I25,IF($N25=LEFT(CD25,1),($D$8+MAX(0,IF($D$50=1,$D$9*(1-(ABS($Q25-ABS(VALUE(MID(CD25,FIND("|",CD25)+1,FIND("-",CD25)-FIND("|",CD25)-1))-VALUE(MID(CD25,FIND("-",CD25)+1,10)))))*$D$50),$D$9*(1-(IF($N25="X",ABS($O25-VALUE(MID(CD25,FIND("|",CD25)+1,FIND("-",CD25)-FIND("|",CD25)-1))),ABS($Q25-ABS(VALUE(MID(CD25,FIND("|",CD25)+1,FIND("-",CD25)-FIND("|",CD25)-1))-VALUE(MID(CD25,FIND("-",CD25)+1,10)))))*$D$50)))))*$I25,0)),0)</f>
        <v>0</v>
      </c>
      <c r="CF25" s="338"/>
      <c r="CG25" s="363"/>
      <c r="CH25" s="356" t="n">
        <f aca="false">IFERROR(IF($M25=CG25,($D$8+$D$9+$D$10)*$I25,IF($N25=LEFT(CG25,1),($D$8+MAX(0,IF($D$50=1,$D$9*(1-(ABS($Q25-ABS(VALUE(MID(CG25,FIND("|",CG25)+1,FIND("-",CG25)-FIND("|",CG25)-1))-VALUE(MID(CG25,FIND("-",CG25)+1,10)))))*$D$50),$D$9*(1-(IF($N25="X",ABS($O25-VALUE(MID(CG25,FIND("|",CG25)+1,FIND("-",CG25)-FIND("|",CG25)-1))),ABS($Q25-ABS(VALUE(MID(CG25,FIND("|",CG25)+1,FIND("-",CG25)-FIND("|",CG25)-1))-VALUE(MID(CG25,FIND("-",CG25)+1,10)))))*$D$50)))))*$I25,0)),0)</f>
        <v>0</v>
      </c>
      <c r="CI25" s="338"/>
      <c r="CJ25" s="363"/>
      <c r="CK25" s="356" t="n">
        <f aca="false">IFERROR(IF($M25=CJ25,($D$8+$D$9+$D$10)*$I25,IF($N25=LEFT(CJ25,1),($D$8+MAX(0,IF($D$50=1,$D$9*(1-(ABS($Q25-ABS(VALUE(MID(CJ25,FIND("|",CJ25)+1,FIND("-",CJ25)-FIND("|",CJ25)-1))-VALUE(MID(CJ25,FIND("-",CJ25)+1,10)))))*$D$50),$D$9*(1-(IF($N25="X",ABS($O25-VALUE(MID(CJ25,FIND("|",CJ25)+1,FIND("-",CJ25)-FIND("|",CJ25)-1))),ABS($Q25-ABS(VALUE(MID(CJ25,FIND("|",CJ25)+1,FIND("-",CJ25)-FIND("|",CJ25)-1))-VALUE(MID(CJ25,FIND("-",CJ25)+1,10)))))*$D$50)))))*$I25,0)),0)</f>
        <v>0</v>
      </c>
      <c r="CL25" s="338"/>
      <c r="CM25" s="363"/>
      <c r="CN25" s="356" t="n">
        <f aca="false">IFERROR(IF($M25=CM25,($D$8+$D$9+$D$10)*$I25,IF($N25=LEFT(CM25,1),($D$8+MAX(0,IF($D$50=1,$D$9*(1-(ABS($Q25-ABS(VALUE(MID(CM25,FIND("|",CM25)+1,FIND("-",CM25)-FIND("|",CM25)-1))-VALUE(MID(CM25,FIND("-",CM25)+1,10)))))*$D$50),$D$9*(1-(IF($N25="X",ABS($O25-VALUE(MID(CM25,FIND("|",CM25)+1,FIND("-",CM25)-FIND("|",CM25)-1))),ABS($Q25-ABS(VALUE(MID(CM25,FIND("|",CM25)+1,FIND("-",CM25)-FIND("|",CM25)-1))-VALUE(MID(CM25,FIND("-",CM25)+1,10)))))*$D$50)))))*$I25,0)),0)</f>
        <v>0</v>
      </c>
      <c r="CO25" s="338"/>
      <c r="CP25" s="363"/>
      <c r="CQ25" s="356" t="n">
        <f aca="false">IFERROR(IF($M25=CP25,($D$8+$D$9+$D$10)*$I25,IF($N25=LEFT(CP25,1),($D$8+MAX(0,IF($D$50=1,$D$9*(1-(ABS($Q25-ABS(VALUE(MID(CP25,FIND("|",CP25)+1,FIND("-",CP25)-FIND("|",CP25)-1))-VALUE(MID(CP25,FIND("-",CP25)+1,10)))))*$D$50),$D$9*(1-(IF($N25="X",ABS($O25-VALUE(MID(CP25,FIND("|",CP25)+1,FIND("-",CP25)-FIND("|",CP25)-1))),ABS($Q25-ABS(VALUE(MID(CP25,FIND("|",CP25)+1,FIND("-",CP25)-FIND("|",CP25)-1))-VALUE(MID(CP25,FIND("-",CP25)+1,10)))))*$D$50)))))*$I25,0)),0)</f>
        <v>0</v>
      </c>
      <c r="CR25" s="338"/>
      <c r="CS25" s="363"/>
      <c r="CT25" s="356" t="n">
        <f aca="false">IFERROR(IF($M25=CS25,($D$8+$D$9+$D$10)*$I25,IF($N25=LEFT(CS25,1),($D$8+MAX(0,IF($D$50=1,$D$9*(1-(ABS($Q25-ABS(VALUE(MID(CS25,FIND("|",CS25)+1,FIND("-",CS25)-FIND("|",CS25)-1))-VALUE(MID(CS25,FIND("-",CS25)+1,10)))))*$D$50),$D$9*(1-(IF($N25="X",ABS($O25-VALUE(MID(CS25,FIND("|",CS25)+1,FIND("-",CS25)-FIND("|",CS25)-1))),ABS($Q25-ABS(VALUE(MID(CS25,FIND("|",CS25)+1,FIND("-",CS25)-FIND("|",CS25)-1))-VALUE(MID(CS25,FIND("-",CS25)+1,10)))))*$D$50)))))*$I25,0)),0)</f>
        <v>0</v>
      </c>
      <c r="CU25" s="338"/>
      <c r="CV25" s="363"/>
      <c r="CW25" s="356" t="n">
        <f aca="false">IFERROR(IF($M25=CV25,($D$8+$D$9+$D$10)*$I25,IF($N25=LEFT(CV25,1),($D$8+MAX(0,IF($D$50=1,$D$9*(1-(ABS($Q25-ABS(VALUE(MID(CV25,FIND("|",CV25)+1,FIND("-",CV25)-FIND("|",CV25)-1))-VALUE(MID(CV25,FIND("-",CV25)+1,10)))))*$D$50),$D$9*(1-(IF($N25="X",ABS($O25-VALUE(MID(CV25,FIND("|",CV25)+1,FIND("-",CV25)-FIND("|",CV25)-1))),ABS($Q25-ABS(VALUE(MID(CV25,FIND("|",CV25)+1,FIND("-",CV25)-FIND("|",CV25)-1))-VALUE(MID(CV25,FIND("-",CV25)+1,10)))))*$D$50)))))*$I25,0)),0)</f>
        <v>0</v>
      </c>
      <c r="CX25" s="338"/>
      <c r="CY25" s="363"/>
      <c r="CZ25" s="356" t="n">
        <f aca="false">IFERROR(IF($M25=CY25,($D$8+$D$9+$D$10)*$I25,IF($N25=LEFT(CY25,1),($D$8+MAX(0,IF($D$50=1,$D$9*(1-(ABS($Q25-ABS(VALUE(MID(CY25,FIND("|",CY25)+1,FIND("-",CY25)-FIND("|",CY25)-1))-VALUE(MID(CY25,FIND("-",CY25)+1,10)))))*$D$50),$D$9*(1-(IF($N25="X",ABS($O25-VALUE(MID(CY25,FIND("|",CY25)+1,FIND("-",CY25)-FIND("|",CY25)-1))),ABS($Q25-ABS(VALUE(MID(CY25,FIND("|",CY25)+1,FIND("-",CY25)-FIND("|",CY25)-1))-VALUE(MID(CY25,FIND("-",CY25)+1,10)))))*$D$50)))))*$I25,0)),0)</f>
        <v>0</v>
      </c>
      <c r="DA25" s="338"/>
      <c r="DB25" s="363"/>
      <c r="DC25" s="356" t="n">
        <f aca="false">IFERROR(IF($M25=DB25,($D$8+$D$9+$D$10)*$I25,IF($N25=LEFT(DB25,1),($D$8+MAX(0,IF($D$50=1,$D$9*(1-(ABS($Q25-ABS(VALUE(MID(DB25,FIND("|",DB25)+1,FIND("-",DB25)-FIND("|",DB25)-1))-VALUE(MID(DB25,FIND("-",DB25)+1,10)))))*$D$50),$D$9*(1-(IF($N25="X",ABS($O25-VALUE(MID(DB25,FIND("|",DB25)+1,FIND("-",DB25)-FIND("|",DB25)-1))),ABS($Q25-ABS(VALUE(MID(DB25,FIND("|",DB25)+1,FIND("-",DB25)-FIND("|",DB25)-1))-VALUE(MID(DB25,FIND("-",DB25)+1,10)))))*$D$50)))))*$I25,0)),0)</f>
        <v>0</v>
      </c>
      <c r="DD25" s="338"/>
      <c r="DE25" s="363"/>
      <c r="DF25" s="356" t="n">
        <f aca="false">IFERROR(IF($M25=DE25,($D$8+$D$9+$D$10)*$I25,IF($N25=LEFT(DE25,1),($D$8+MAX(0,IF($D$50=1,$D$9*(1-(ABS($Q25-ABS(VALUE(MID(DE25,FIND("|",DE25)+1,FIND("-",DE25)-FIND("|",DE25)-1))-VALUE(MID(DE25,FIND("-",DE25)+1,10)))))*$D$50),$D$9*(1-(IF($N25="X",ABS($O25-VALUE(MID(DE25,FIND("|",DE25)+1,FIND("-",DE25)-FIND("|",DE25)-1))),ABS($Q25-ABS(VALUE(MID(DE25,FIND("|",DE25)+1,FIND("-",DE25)-FIND("|",DE25)-1))-VALUE(MID(DE25,FIND("-",DE25)+1,10)))))*$D$50)))))*$I25,0)),0)</f>
        <v>0</v>
      </c>
      <c r="DG25" s="338"/>
      <c r="DH25" s="363"/>
      <c r="DI25" s="356" t="n">
        <f aca="false">IFERROR(IF($M25=DH25,($D$8+$D$9+$D$10)*$I25,IF($N25=LEFT(DH25,1),($D$8+MAX(0,IF($D$50=1,$D$9*(1-(ABS($Q25-ABS(VALUE(MID(DH25,FIND("|",DH25)+1,FIND("-",DH25)-FIND("|",DH25)-1))-VALUE(MID(DH25,FIND("-",DH25)+1,10)))))*$D$50),$D$9*(1-(IF($N25="X",ABS($O25-VALUE(MID(DH25,FIND("|",DH25)+1,FIND("-",DH25)-FIND("|",DH25)-1))),ABS($Q25-ABS(VALUE(MID(DH25,FIND("|",DH25)+1,FIND("-",DH25)-FIND("|",DH25)-1))-VALUE(MID(DH25,FIND("-",DH25)+1,10)))))*$D$50)))))*$I25,0)),0)</f>
        <v>0</v>
      </c>
      <c r="DJ25" s="338"/>
      <c r="DK25" s="363"/>
      <c r="DL25" s="356" t="n">
        <f aca="false">IFERROR(IF($M25=DK25,($D$8+$D$9+$D$10)*$I25,IF($N25=LEFT(DK25,1),($D$8+MAX(0,IF($D$50=1,$D$9*(1-(ABS($Q25-ABS(VALUE(MID(DK25,FIND("|",DK25)+1,FIND("-",DK25)-FIND("|",DK25)-1))-VALUE(MID(DK25,FIND("-",DK25)+1,10)))))*$D$50),$D$9*(1-(IF($N25="X",ABS($O25-VALUE(MID(DK25,FIND("|",DK25)+1,FIND("-",DK25)-FIND("|",DK25)-1))),ABS($Q25-ABS(VALUE(MID(DK25,FIND("|",DK25)+1,FIND("-",DK25)-FIND("|",DK25)-1))-VALUE(MID(DK25,FIND("-",DK25)+1,10)))))*$D$50)))))*$I25,0)),0)</f>
        <v>0</v>
      </c>
      <c r="DM25" s="338"/>
      <c r="DN25" s="363"/>
      <c r="DO25" s="356" t="n">
        <f aca="false">IFERROR(IF($M25=DN25,($D$8+$D$9+$D$10)*$I25,IF($N25=LEFT(DN25,1),($D$8+MAX(0,IF($D$50=1,$D$9*(1-(ABS($Q25-ABS(VALUE(MID(DN25,FIND("|",DN25)+1,FIND("-",DN25)-FIND("|",DN25)-1))-VALUE(MID(DN25,FIND("-",DN25)+1,10)))))*$D$50),$D$9*(1-(IF($N25="X",ABS($O25-VALUE(MID(DN25,FIND("|",DN25)+1,FIND("-",DN25)-FIND("|",DN25)-1))),ABS($Q25-ABS(VALUE(MID(DN25,FIND("|",DN25)+1,FIND("-",DN25)-FIND("|",DN25)-1))-VALUE(MID(DN25,FIND("-",DN25)+1,10)))))*$D$50)))))*$I25,0)),0)</f>
        <v>0</v>
      </c>
      <c r="DP25" s="338"/>
      <c r="DQ25" s="363"/>
      <c r="DR25" s="356" t="n">
        <f aca="false">IFERROR(IF($M25=DQ25,($D$8+$D$9+$D$10)*$I25,IF($N25=LEFT(DQ25,1),($D$8+MAX(0,IF($D$50=1,$D$9*(1-(ABS($Q25-ABS(VALUE(MID(DQ25,FIND("|",DQ25)+1,FIND("-",DQ25)-FIND("|",DQ25)-1))-VALUE(MID(DQ25,FIND("-",DQ25)+1,10)))))*$D$50),$D$9*(1-(IF($N25="X",ABS($O25-VALUE(MID(DQ25,FIND("|",DQ25)+1,FIND("-",DQ25)-FIND("|",DQ25)-1))),ABS($Q25-ABS(VALUE(MID(DQ25,FIND("|",DQ25)+1,FIND("-",DQ25)-FIND("|",DQ25)-1))-VALUE(MID(DQ25,FIND("-",DQ25)+1,10)))))*$D$50)))))*$I25,0)),0)</f>
        <v>0</v>
      </c>
      <c r="DS25" s="338"/>
      <c r="DT25" s="363"/>
      <c r="DU25" s="356" t="n">
        <f aca="false">IFERROR(IF($M25=DT25,($D$8+$D$9+$D$10)*$I25,IF($N25=LEFT(DT25,1),($D$8+MAX(0,IF($D$50=1,$D$9*(1-(ABS($Q25-ABS(VALUE(MID(DT25,FIND("|",DT25)+1,FIND("-",DT25)-FIND("|",DT25)-1))-VALUE(MID(DT25,FIND("-",DT25)+1,10)))))*$D$50),$D$9*(1-(IF($N25="X",ABS($O25-VALUE(MID(DT25,FIND("|",DT25)+1,FIND("-",DT25)-FIND("|",DT25)-1))),ABS($Q25-ABS(VALUE(MID(DT25,FIND("|",DT25)+1,FIND("-",DT25)-FIND("|",DT25)-1))-VALUE(MID(DT25,FIND("-",DT25)+1,10)))))*$D$50)))))*$I25,0)),0)</f>
        <v>0</v>
      </c>
      <c r="DV25" s="338"/>
      <c r="DW25" s="363"/>
      <c r="DX25" s="356" t="n">
        <f aca="false">IFERROR(IF($M25=DW25,($D$8+$D$9+$D$10)*$I25,IF($N25=LEFT(DW25,1),($D$8+MAX(0,IF($D$50=1,$D$9*(1-(ABS($Q25-ABS(VALUE(MID(DW25,FIND("|",DW25)+1,FIND("-",DW25)-FIND("|",DW25)-1))-VALUE(MID(DW25,FIND("-",DW25)+1,10)))))*$D$50),$D$9*(1-(IF($N25="X",ABS($O25-VALUE(MID(DW25,FIND("|",DW25)+1,FIND("-",DW25)-FIND("|",DW25)-1))),ABS($Q25-ABS(VALUE(MID(DW25,FIND("|",DW25)+1,FIND("-",DW25)-FIND("|",DW25)-1))-VALUE(MID(DW25,FIND("-",DW25)+1,10)))))*$D$50)))))*$I25,0)),0)</f>
        <v>0</v>
      </c>
      <c r="DY25" s="338"/>
      <c r="DZ25" s="363"/>
      <c r="EA25" s="356" t="n">
        <f aca="false">IFERROR(IF($M25=DZ25,($D$8+$D$9+$D$10)*$I25,IF($N25=LEFT(DZ25,1),($D$8+MAX(0,IF($D$50=1,$D$9*(1-(ABS($Q25-ABS(VALUE(MID(DZ25,FIND("|",DZ25)+1,FIND("-",DZ25)-FIND("|",DZ25)-1))-VALUE(MID(DZ25,FIND("-",DZ25)+1,10)))))*$D$50),$D$9*(1-(IF($N25="X",ABS($O25-VALUE(MID(DZ25,FIND("|",DZ25)+1,FIND("-",DZ25)-FIND("|",DZ25)-1))),ABS($Q25-ABS(VALUE(MID(DZ25,FIND("|",DZ25)+1,FIND("-",DZ25)-FIND("|",DZ25)-1))-VALUE(MID(DZ25,FIND("-",DZ25)+1,10)))))*$D$50)))))*$I25,0)),0)</f>
        <v>0</v>
      </c>
      <c r="EB25" s="338"/>
      <c r="EC25" s="363"/>
      <c r="ED25" s="356" t="n">
        <f aca="false">IFERROR(IF($M25=EC25,($D$8+$D$9+$D$10)*$I25,IF($N25=LEFT(EC25,1),($D$8+MAX(0,IF($D$50=1,$D$9*(1-(ABS($Q25-ABS(VALUE(MID(EC25,FIND("|",EC25)+1,FIND("-",EC25)-FIND("|",EC25)-1))-VALUE(MID(EC25,FIND("-",EC25)+1,10)))))*$D$50),$D$9*(1-(IF($N25="X",ABS($O25-VALUE(MID(EC25,FIND("|",EC25)+1,FIND("-",EC25)-FIND("|",EC25)-1))),ABS($Q25-ABS(VALUE(MID(EC25,FIND("|",EC25)+1,FIND("-",EC25)-FIND("|",EC25)-1))-VALUE(MID(EC25,FIND("-",EC25)+1,10)))))*$D$50)))))*$I25,0)),0)</f>
        <v>0</v>
      </c>
      <c r="EE25" s="338"/>
      <c r="EF25" s="363"/>
      <c r="EG25" s="356" t="n">
        <f aca="false">IFERROR(IF($M25=EF25,($D$8+$D$9+$D$10)*$I25,IF($N25=LEFT(EF25,1),($D$8+MAX(0,IF($D$50=1,$D$9*(1-(ABS($Q25-ABS(VALUE(MID(EF25,FIND("|",EF25)+1,FIND("-",EF25)-FIND("|",EF25)-1))-VALUE(MID(EF25,FIND("-",EF25)+1,10)))))*$D$50),$D$9*(1-(IF($N25="X",ABS($O25-VALUE(MID(EF25,FIND("|",EF25)+1,FIND("-",EF25)-FIND("|",EF25)-1))),ABS($Q25-ABS(VALUE(MID(EF25,FIND("|",EF25)+1,FIND("-",EF25)-FIND("|",EF25)-1))-VALUE(MID(EF25,FIND("-",EF25)+1,10)))))*$D$50)))))*$I25,0)),0)</f>
        <v>0</v>
      </c>
      <c r="EH25" s="338"/>
      <c r="EI25" s="338"/>
    </row>
    <row r="26" customFormat="false" ht="15" hidden="false" customHeight="false" outlineLevel="0" collapsed="false">
      <c r="A26" s="327"/>
      <c r="B26" s="327"/>
      <c r="C26" s="360" t="str">
        <f aca="false">Idiomas!D322</f>
        <v>CUARTOS - Resultado exacto</v>
      </c>
      <c r="D26" s="361" t="n">
        <v>10</v>
      </c>
      <c r="E26" s="334"/>
      <c r="F26" s="343" t="n">
        <f aca="false">SUM($D$8:$D$10)*I26</f>
        <v>17</v>
      </c>
      <c r="G26" s="343" t="n">
        <f aca="false">VLOOKUP(H26,Equipos!$Q$1:$R$25,2,0)</f>
        <v>7</v>
      </c>
      <c r="H26" s="351" t="n">
        <f aca="false">TRUNC(INDEX(WORLDCUP!$X$4:$X$147,MATCH(ADMIN!K26,WORLDCUP!$DT$4:$DT$147,0))+INDEX(Horarios!$R$3:$R$86,MATCH(Horarios!$C$3,Horarios!$P$3:$P$86,0))/24)</f>
        <v>46190</v>
      </c>
      <c r="I26" s="352" t="n">
        <v>1</v>
      </c>
      <c r="J26" s="353" t="s">
        <v>293</v>
      </c>
      <c r="K26" s="367" t="str">
        <f aca="false">CONCATENATE(WORLDCUP!AA84,"-",WORLDCUP!AF84)</f>
        <v>Portugal-RD Congo</v>
      </c>
      <c r="L26" s="354"/>
      <c r="M26" s="359" t="str">
        <f aca="false">IF(OR(WORLDCUP!AC84="",WORLDCUP!AD84=""),"-",N26&amp;"|"&amp;O26&amp;"-"&amp;P26)</f>
        <v>-</v>
      </c>
      <c r="N26" s="332" t="str">
        <f aca="false">IF(OR(WORLDCUP!AC84="",WORLDCUP!AD84=""),"",IF(WORLDCUP!AC84&gt;WORLDCUP!AD84,"1",IF(WORLDCUP!AC84&lt;WORLDCUP!AD84,"2","X")))</f>
        <v/>
      </c>
      <c r="O26" s="332" t="n">
        <f aca="false">WORLDCUP!AC84</f>
        <v>0</v>
      </c>
      <c r="P26" s="332" t="n">
        <f aca="false">WORLDCUP!AD84</f>
        <v>0</v>
      </c>
      <c r="Q26" s="332" t="n">
        <f aca="false">ABS(O26-P26)</f>
        <v>0</v>
      </c>
      <c r="R26" s="327"/>
      <c r="S26" s="363" t="s">
        <v>283</v>
      </c>
      <c r="T26" s="356" t="n">
        <f aca="false">IFERROR(IF($M26=S26,($D$8+$D$9+$D$10)*$I26,IF($N26=LEFT(S26,1),($D$8+MAX(0,IF($D$50=1,$D$9*(1-(ABS($Q26-ABS(VALUE(MID(S26,FIND("|",S26)+1,FIND("-",S26)-FIND("|",S26)-1))-VALUE(MID(S26,FIND("-",S26)+1,10)))))*$D$50),$D$9*(1-(IF($N26="X",ABS($O26-VALUE(MID(S26,FIND("|",S26)+1,FIND("-",S26)-FIND("|",S26)-1))),ABS($Q26-ABS(VALUE(MID(S26,FIND("|",S26)+1,FIND("-",S26)-FIND("|",S26)-1))-VALUE(MID(S26,FIND("-",S26)+1,10)))))*$D$50)))))*$I26,0)),0)</f>
        <v>0</v>
      </c>
      <c r="U26" s="338"/>
      <c r="V26" s="363" t="s">
        <v>266</v>
      </c>
      <c r="W26" s="356" t="n">
        <f aca="false">IFERROR(IF($M26=V26,($D$8+$D$9+$D$10)*$I26,IF($N26=LEFT(V26,1),($D$8+MAX(0,IF($D$50=1,$D$9*(1-(ABS($Q26-ABS(VALUE(MID(V26,FIND("|",V26)+1,FIND("-",V26)-FIND("|",V26)-1))-VALUE(MID(V26,FIND("-",V26)+1,10)))))*$D$50),$D$9*(1-(IF($N26="X",ABS($O26-VALUE(MID(V26,FIND("|",V26)+1,FIND("-",V26)-FIND("|",V26)-1))),ABS($Q26-ABS(VALUE(MID(V26,FIND("|",V26)+1,FIND("-",V26)-FIND("|",V26)-1))-VALUE(MID(V26,FIND("-",V26)+1,10)))))*$D$50)))))*$I26,0)),0)</f>
        <v>0</v>
      </c>
      <c r="X26" s="338"/>
      <c r="Y26" s="363" t="s">
        <v>266</v>
      </c>
      <c r="Z26" s="356" t="n">
        <f aca="false">IFERROR(IF($M26=Y26,($D$8+$D$9+$D$10)*$I26,IF($N26=LEFT(Y26,1),($D$8+MAX(0,IF($D$50=1,$D$9*(1-(ABS($Q26-ABS(VALUE(MID(Y26,FIND("|",Y26)+1,FIND("-",Y26)-FIND("|",Y26)-1))-VALUE(MID(Y26,FIND("-",Y26)+1,10)))))*$D$50),$D$9*(1-(IF($N26="X",ABS($O26-VALUE(MID(Y26,FIND("|",Y26)+1,FIND("-",Y26)-FIND("|",Y26)-1))),ABS($Q26-ABS(VALUE(MID(Y26,FIND("|",Y26)+1,FIND("-",Y26)-FIND("|",Y26)-1))-VALUE(MID(Y26,FIND("-",Y26)+1,10)))))*$D$50)))))*$I26,0)),0)</f>
        <v>0</v>
      </c>
      <c r="AA26" s="338"/>
      <c r="AB26" s="363" t="s">
        <v>272</v>
      </c>
      <c r="AC26" s="356" t="n">
        <f aca="false">IFERROR(IF($M26=AB26,($D$8+$D$9+$D$10)*$I26,IF($N26=LEFT(AB26,1),($D$8+MAX(0,IF($D$50=1,$D$9*(1-(ABS($Q26-ABS(VALUE(MID(AB26,FIND("|",AB26)+1,FIND("-",AB26)-FIND("|",AB26)-1))-VALUE(MID(AB26,FIND("-",AB26)+1,10)))))*$D$50),$D$9*(1-(IF($N26="X",ABS($O26-VALUE(MID(AB26,FIND("|",AB26)+1,FIND("-",AB26)-FIND("|",AB26)-1))),ABS($Q26-ABS(VALUE(MID(AB26,FIND("|",AB26)+1,FIND("-",AB26)-FIND("|",AB26)-1))-VALUE(MID(AB26,FIND("-",AB26)+1,10)))))*$D$50)))))*$I26,0)),0)</f>
        <v>0</v>
      </c>
      <c r="AD26" s="338"/>
      <c r="AE26" s="363" t="s">
        <v>284</v>
      </c>
      <c r="AF26" s="356" t="n">
        <f aca="false">IFERROR(IF($M26=AE26,($D$8+$D$9+$D$10)*$I26,IF($N26=LEFT(AE26,1),($D$8+MAX(0,IF($D$50=1,$D$9*(1-(ABS($Q26-ABS(VALUE(MID(AE26,FIND("|",AE26)+1,FIND("-",AE26)-FIND("|",AE26)-1))-VALUE(MID(AE26,FIND("-",AE26)+1,10)))))*$D$50),$D$9*(1-(IF($N26="X",ABS($O26-VALUE(MID(AE26,FIND("|",AE26)+1,FIND("-",AE26)-FIND("|",AE26)-1))),ABS($Q26-ABS(VALUE(MID(AE26,FIND("|",AE26)+1,FIND("-",AE26)-FIND("|",AE26)-1))-VALUE(MID(AE26,FIND("-",AE26)+1,10)))))*$D$50)))))*$I26,0)),0)</f>
        <v>0</v>
      </c>
      <c r="AG26" s="338"/>
      <c r="AH26" s="363" t="s">
        <v>266</v>
      </c>
      <c r="AI26" s="356" t="n">
        <f aca="false">IFERROR(IF($M26=AH26,($D$8+$D$9+$D$10)*$I26,IF($N26=LEFT(AH26,1),($D$8+MAX(0,IF($D$50=1,$D$9*(1-(ABS($Q26-ABS(VALUE(MID(AH26,FIND("|",AH26)+1,FIND("-",AH26)-FIND("|",AH26)-1))-VALUE(MID(AH26,FIND("-",AH26)+1,10)))))*$D$50),$D$9*(1-(IF($N26="X",ABS($O26-VALUE(MID(AH26,FIND("|",AH26)+1,FIND("-",AH26)-FIND("|",AH26)-1))),ABS($Q26-ABS(VALUE(MID(AH26,FIND("|",AH26)+1,FIND("-",AH26)-FIND("|",AH26)-1))-VALUE(MID(AH26,FIND("-",AH26)+1,10)))))*$D$50)))))*$I26,0)),0)</f>
        <v>0</v>
      </c>
      <c r="AJ26" s="338"/>
      <c r="AK26" s="363" t="s">
        <v>266</v>
      </c>
      <c r="AL26" s="356" t="n">
        <f aca="false">IFERROR(IF($M26=AK26,($D$8+$D$9+$D$10)*$I26,IF($N26=LEFT(AK26,1),($D$8+MAX(0,IF($D$50=1,$D$9*(1-(ABS($Q26-ABS(VALUE(MID(AK26,FIND("|",AK26)+1,FIND("-",AK26)-FIND("|",AK26)-1))-VALUE(MID(AK26,FIND("-",AK26)+1,10)))))*$D$50),$D$9*(1-(IF($N26="X",ABS($O26-VALUE(MID(AK26,FIND("|",AK26)+1,FIND("-",AK26)-FIND("|",AK26)-1))),ABS($Q26-ABS(VALUE(MID(AK26,FIND("|",AK26)+1,FIND("-",AK26)-FIND("|",AK26)-1))-VALUE(MID(AK26,FIND("-",AK26)+1,10)))))*$D$50)))))*$I26,0)),0)</f>
        <v>0</v>
      </c>
      <c r="AM26" s="338"/>
      <c r="AN26" s="363" t="s">
        <v>272</v>
      </c>
      <c r="AO26" s="356" t="n">
        <f aca="false">IFERROR(IF($M26=AN26,($D$8+$D$9+$D$10)*$I26,IF($N26=LEFT(AN26,1),($D$8+MAX(0,IF($D$50=1,$D$9*(1-(ABS($Q26-ABS(VALUE(MID(AN26,FIND("|",AN26)+1,FIND("-",AN26)-FIND("|",AN26)-1))-VALUE(MID(AN26,FIND("-",AN26)+1,10)))))*$D$50),$D$9*(1-(IF($N26="X",ABS($O26-VALUE(MID(AN26,FIND("|",AN26)+1,FIND("-",AN26)-FIND("|",AN26)-1))),ABS($Q26-ABS(VALUE(MID(AN26,FIND("|",AN26)+1,FIND("-",AN26)-FIND("|",AN26)-1))-VALUE(MID(AN26,FIND("-",AN26)+1,10)))))*$D$50)))))*$I26,0)),0)</f>
        <v>0</v>
      </c>
      <c r="AP26" s="338"/>
      <c r="AQ26" s="363" t="s">
        <v>272</v>
      </c>
      <c r="AR26" s="356" t="n">
        <f aca="false">IFERROR(IF($M26=AQ26,($D$8+$D$9+$D$10)*$I26,IF($N26=LEFT(AQ26,1),($D$8+MAX(0,IF($D$50=1,$D$9*(1-(ABS($Q26-ABS(VALUE(MID(AQ26,FIND("|",AQ26)+1,FIND("-",AQ26)-FIND("|",AQ26)-1))-VALUE(MID(AQ26,FIND("-",AQ26)+1,10)))))*$D$50),$D$9*(1-(IF($N26="X",ABS($O26-VALUE(MID(AQ26,FIND("|",AQ26)+1,FIND("-",AQ26)-FIND("|",AQ26)-1))),ABS($Q26-ABS(VALUE(MID(AQ26,FIND("|",AQ26)+1,FIND("-",AQ26)-FIND("|",AQ26)-1))-VALUE(MID(AQ26,FIND("-",AQ26)+1,10)))))*$D$50)))))*$I26,0)),0)</f>
        <v>0</v>
      </c>
      <c r="AS26" s="338"/>
      <c r="AT26" s="363" t="s">
        <v>284</v>
      </c>
      <c r="AU26" s="356" t="n">
        <f aca="false">IFERROR(IF($M26=AT26,($D$8+$D$9+$D$10)*$I26,IF($N26=LEFT(AT26,1),($D$8+MAX(0,IF($D$50=1,$D$9*(1-(ABS($Q26-ABS(VALUE(MID(AT26,FIND("|",AT26)+1,FIND("-",AT26)-FIND("|",AT26)-1))-VALUE(MID(AT26,FIND("-",AT26)+1,10)))))*$D$50),$D$9*(1-(IF($N26="X",ABS($O26-VALUE(MID(AT26,FIND("|",AT26)+1,FIND("-",AT26)-FIND("|",AT26)-1))),ABS($Q26-ABS(VALUE(MID(AT26,FIND("|",AT26)+1,FIND("-",AT26)-FIND("|",AT26)-1))-VALUE(MID(AT26,FIND("-",AT26)+1,10)))))*$D$50)))))*$I26,0)),0)</f>
        <v>0</v>
      </c>
      <c r="AV26" s="338"/>
      <c r="AW26" s="363" t="s">
        <v>272</v>
      </c>
      <c r="AX26" s="356" t="n">
        <f aca="false">IFERROR(IF($M26=AW26,($D$8+$D$9+$D$10)*$I26,IF($N26=LEFT(AW26,1),($D$8+MAX(0,IF($D$50=1,$D$9*(1-(ABS($Q26-ABS(VALUE(MID(AW26,FIND("|",AW26)+1,FIND("-",AW26)-FIND("|",AW26)-1))-VALUE(MID(AW26,FIND("-",AW26)+1,10)))))*$D$50),$D$9*(1-(IF($N26="X",ABS($O26-VALUE(MID(AW26,FIND("|",AW26)+1,FIND("-",AW26)-FIND("|",AW26)-1))),ABS($Q26-ABS(VALUE(MID(AW26,FIND("|",AW26)+1,FIND("-",AW26)-FIND("|",AW26)-1))-VALUE(MID(AW26,FIND("-",AW26)+1,10)))))*$D$50)))))*$I26,0)),0)</f>
        <v>0</v>
      </c>
      <c r="AY26" s="338"/>
      <c r="AZ26" s="363" t="s">
        <v>266</v>
      </c>
      <c r="BA26" s="356" t="n">
        <f aca="false">IFERROR(IF($M26=AZ26,($D$8+$D$9+$D$10)*$I26,IF($N26=LEFT(AZ26,1),($D$8+MAX(0,IF($D$50=1,$D$9*(1-(ABS($Q26-ABS(VALUE(MID(AZ26,FIND("|",AZ26)+1,FIND("-",AZ26)-FIND("|",AZ26)-1))-VALUE(MID(AZ26,FIND("-",AZ26)+1,10)))))*$D$50),$D$9*(1-(IF($N26="X",ABS($O26-VALUE(MID(AZ26,FIND("|",AZ26)+1,FIND("-",AZ26)-FIND("|",AZ26)-1))),ABS($Q26-ABS(VALUE(MID(AZ26,FIND("|",AZ26)+1,FIND("-",AZ26)-FIND("|",AZ26)-1))-VALUE(MID(AZ26,FIND("-",AZ26)+1,10)))))*$D$50)))))*$I26,0)),0)</f>
        <v>0</v>
      </c>
      <c r="BB26" s="338"/>
      <c r="BC26" s="363" t="s">
        <v>294</v>
      </c>
      <c r="BD26" s="356" t="n">
        <f aca="false">IFERROR(IF($M26=BC26,($D$8+$D$9+$D$10)*$I26,IF($N26=LEFT(BC26,1),($D$8+MAX(0,IF($D$50=1,$D$9*(1-(ABS($Q26-ABS(VALUE(MID(BC26,FIND("|",BC26)+1,FIND("-",BC26)-FIND("|",BC26)-1))-VALUE(MID(BC26,FIND("-",BC26)+1,10)))))*$D$50),$D$9*(1-(IF($N26="X",ABS($O26-VALUE(MID(BC26,FIND("|",BC26)+1,FIND("-",BC26)-FIND("|",BC26)-1))),ABS($Q26-ABS(VALUE(MID(BC26,FIND("|",BC26)+1,FIND("-",BC26)-FIND("|",BC26)-1))-VALUE(MID(BC26,FIND("-",BC26)+1,10)))))*$D$50)))))*$I26,0)),0)</f>
        <v>0</v>
      </c>
      <c r="BE26" s="338"/>
      <c r="BF26" s="363" t="s">
        <v>272</v>
      </c>
      <c r="BG26" s="356" t="n">
        <f aca="false">IFERROR(IF($M26=BF26,($D$8+$D$9+$D$10)*$I26,IF($N26=LEFT(BF26,1),($D$8+MAX(0,IF($D$50=1,$D$9*(1-(ABS($Q26-ABS(VALUE(MID(BF26,FIND("|",BF26)+1,FIND("-",BF26)-FIND("|",BF26)-1))-VALUE(MID(BF26,FIND("-",BF26)+1,10)))))*$D$50),$D$9*(1-(IF($N26="X",ABS($O26-VALUE(MID(BF26,FIND("|",BF26)+1,FIND("-",BF26)-FIND("|",BF26)-1))),ABS($Q26-ABS(VALUE(MID(BF26,FIND("|",BF26)+1,FIND("-",BF26)-FIND("|",BF26)-1))-VALUE(MID(BF26,FIND("-",BF26)+1,10)))))*$D$50)))))*$I26,0)),0)</f>
        <v>0</v>
      </c>
      <c r="BH26" s="338"/>
      <c r="BI26" s="363" t="s">
        <v>265</v>
      </c>
      <c r="BJ26" s="356" t="n">
        <f aca="false">IFERROR(IF($M26=BI26,($D$8+$D$9+$D$10)*$I26,IF($N26=LEFT(BI26,1),($D$8+MAX(0,IF($D$50=1,$D$9*(1-(ABS($Q26-ABS(VALUE(MID(BI26,FIND("|",BI26)+1,FIND("-",BI26)-FIND("|",BI26)-1))-VALUE(MID(BI26,FIND("-",BI26)+1,10)))))*$D$50),$D$9*(1-(IF($N26="X",ABS($O26-VALUE(MID(BI26,FIND("|",BI26)+1,FIND("-",BI26)-FIND("|",BI26)-1))),ABS($Q26-ABS(VALUE(MID(BI26,FIND("|",BI26)+1,FIND("-",BI26)-FIND("|",BI26)-1))-VALUE(MID(BI26,FIND("-",BI26)+1,10)))))*$D$50)))))*$I26,0)),0)</f>
        <v>0</v>
      </c>
      <c r="BK26" s="338"/>
      <c r="BL26" s="363" t="s">
        <v>272</v>
      </c>
      <c r="BM26" s="356" t="n">
        <f aca="false">IFERROR(IF($M26=BL26,($D$8+$D$9+$D$10)*$I26,IF($N26=LEFT(BL26,1),($D$8+MAX(0,IF($D$50=1,$D$9*(1-(ABS($Q26-ABS(VALUE(MID(BL26,FIND("|",BL26)+1,FIND("-",BL26)-FIND("|",BL26)-1))-VALUE(MID(BL26,FIND("-",BL26)+1,10)))))*$D$50),$D$9*(1-(IF($N26="X",ABS($O26-VALUE(MID(BL26,FIND("|",BL26)+1,FIND("-",BL26)-FIND("|",BL26)-1))),ABS($Q26-ABS(VALUE(MID(BL26,FIND("|",BL26)+1,FIND("-",BL26)-FIND("|",BL26)-1))-VALUE(MID(BL26,FIND("-",BL26)+1,10)))))*$D$50)))))*$I26,0)),0)</f>
        <v>0</v>
      </c>
      <c r="BN26" s="338"/>
      <c r="BO26" s="363" t="s">
        <v>264</v>
      </c>
      <c r="BP26" s="356" t="n">
        <f aca="false">IFERROR(IF($M26=BO26,($D$8+$D$9+$D$10)*$I26,IF($N26=LEFT(BO26,1),($D$8+MAX(0,IF($D$50=1,$D$9*(1-(ABS($Q26-ABS(VALUE(MID(BO26,FIND("|",BO26)+1,FIND("-",BO26)-FIND("|",BO26)-1))-VALUE(MID(BO26,FIND("-",BO26)+1,10)))))*$D$50),$D$9*(1-(IF($N26="X",ABS($O26-VALUE(MID(BO26,FIND("|",BO26)+1,FIND("-",BO26)-FIND("|",BO26)-1))),ABS($Q26-ABS(VALUE(MID(BO26,FIND("|",BO26)+1,FIND("-",BO26)-FIND("|",BO26)-1))-VALUE(MID(BO26,FIND("-",BO26)+1,10)))))*$D$50)))))*$I26,0)),0)</f>
        <v>0</v>
      </c>
      <c r="BQ26" s="338"/>
      <c r="BR26" s="363" t="s">
        <v>266</v>
      </c>
      <c r="BS26" s="356" t="n">
        <f aca="false">IFERROR(IF($M26=BR26,($D$8+$D$9+$D$10)*$I26,IF($N26=LEFT(BR26,1),($D$8+MAX(0,IF($D$50=1,$D$9*(1-(ABS($Q26-ABS(VALUE(MID(BR26,FIND("|",BR26)+1,FIND("-",BR26)-FIND("|",BR26)-1))-VALUE(MID(BR26,FIND("-",BR26)+1,10)))))*$D$50),$D$9*(1-(IF($N26="X",ABS($O26-VALUE(MID(BR26,FIND("|",BR26)+1,FIND("-",BR26)-FIND("|",BR26)-1))),ABS($Q26-ABS(VALUE(MID(BR26,FIND("|",BR26)+1,FIND("-",BR26)-FIND("|",BR26)-1))-VALUE(MID(BR26,FIND("-",BR26)+1,10)))))*$D$50)))))*$I26,0)),0)</f>
        <v>0</v>
      </c>
      <c r="BT26" s="338"/>
      <c r="BU26" s="363"/>
      <c r="BV26" s="356" t="n">
        <f aca="false">IFERROR(IF($M26=BU26,($D$8+$D$9+$D$10)*$I26,IF($N26=LEFT(BU26,1),($D$8+MAX(0,IF($D$50=1,$D$9*(1-(ABS($Q26-ABS(VALUE(MID(BU26,FIND("|",BU26)+1,FIND("-",BU26)-FIND("|",BU26)-1))-VALUE(MID(BU26,FIND("-",BU26)+1,10)))))*$D$50),$D$9*(1-(IF($N26="X",ABS($O26-VALUE(MID(BU26,FIND("|",BU26)+1,FIND("-",BU26)-FIND("|",BU26)-1))),ABS($Q26-ABS(VALUE(MID(BU26,FIND("|",BU26)+1,FIND("-",BU26)-FIND("|",BU26)-1))-VALUE(MID(BU26,FIND("-",BU26)+1,10)))))*$D$50)))))*$I26,0)),0)</f>
        <v>0</v>
      </c>
      <c r="BW26" s="338"/>
      <c r="BX26" s="363"/>
      <c r="BY26" s="356" t="n">
        <f aca="false">IFERROR(IF($M26=BX26,($D$8+$D$9+$D$10)*$I26,IF($N26=LEFT(BX26,1),($D$8+MAX(0,IF($D$50=1,$D$9*(1-(ABS($Q26-ABS(VALUE(MID(BX26,FIND("|",BX26)+1,FIND("-",BX26)-FIND("|",BX26)-1))-VALUE(MID(BX26,FIND("-",BX26)+1,10)))))*$D$50),$D$9*(1-(IF($N26="X",ABS($O26-VALUE(MID(BX26,FIND("|",BX26)+1,FIND("-",BX26)-FIND("|",BX26)-1))),ABS($Q26-ABS(VALUE(MID(BX26,FIND("|",BX26)+1,FIND("-",BX26)-FIND("|",BX26)-1))-VALUE(MID(BX26,FIND("-",BX26)+1,10)))))*$D$50)))))*$I26,0)),0)</f>
        <v>0</v>
      </c>
      <c r="BZ26" s="338"/>
      <c r="CA26" s="363"/>
      <c r="CB26" s="356" t="n">
        <f aca="false">IFERROR(IF($M26=CA26,($D$8+$D$9+$D$10)*$I26,IF($N26=LEFT(CA26,1),($D$8+MAX(0,IF($D$50=1,$D$9*(1-(ABS($Q26-ABS(VALUE(MID(CA26,FIND("|",CA26)+1,FIND("-",CA26)-FIND("|",CA26)-1))-VALUE(MID(CA26,FIND("-",CA26)+1,10)))))*$D$50),$D$9*(1-(IF($N26="X",ABS($O26-VALUE(MID(CA26,FIND("|",CA26)+1,FIND("-",CA26)-FIND("|",CA26)-1))),ABS($Q26-ABS(VALUE(MID(CA26,FIND("|",CA26)+1,FIND("-",CA26)-FIND("|",CA26)-1))-VALUE(MID(CA26,FIND("-",CA26)+1,10)))))*$D$50)))))*$I26,0)),0)</f>
        <v>0</v>
      </c>
      <c r="CC26" s="338"/>
      <c r="CD26" s="363"/>
      <c r="CE26" s="356" t="n">
        <f aca="false">IFERROR(IF($M26=CD26,($D$8+$D$9+$D$10)*$I26,IF($N26=LEFT(CD26,1),($D$8+MAX(0,IF($D$50=1,$D$9*(1-(ABS($Q26-ABS(VALUE(MID(CD26,FIND("|",CD26)+1,FIND("-",CD26)-FIND("|",CD26)-1))-VALUE(MID(CD26,FIND("-",CD26)+1,10)))))*$D$50),$D$9*(1-(IF($N26="X",ABS($O26-VALUE(MID(CD26,FIND("|",CD26)+1,FIND("-",CD26)-FIND("|",CD26)-1))),ABS($Q26-ABS(VALUE(MID(CD26,FIND("|",CD26)+1,FIND("-",CD26)-FIND("|",CD26)-1))-VALUE(MID(CD26,FIND("-",CD26)+1,10)))))*$D$50)))))*$I26,0)),0)</f>
        <v>0</v>
      </c>
      <c r="CF26" s="338"/>
      <c r="CG26" s="363"/>
      <c r="CH26" s="356" t="n">
        <f aca="false">IFERROR(IF($M26=CG26,($D$8+$D$9+$D$10)*$I26,IF($N26=LEFT(CG26,1),($D$8+MAX(0,IF($D$50=1,$D$9*(1-(ABS($Q26-ABS(VALUE(MID(CG26,FIND("|",CG26)+1,FIND("-",CG26)-FIND("|",CG26)-1))-VALUE(MID(CG26,FIND("-",CG26)+1,10)))))*$D$50),$D$9*(1-(IF($N26="X",ABS($O26-VALUE(MID(CG26,FIND("|",CG26)+1,FIND("-",CG26)-FIND("|",CG26)-1))),ABS($Q26-ABS(VALUE(MID(CG26,FIND("|",CG26)+1,FIND("-",CG26)-FIND("|",CG26)-1))-VALUE(MID(CG26,FIND("-",CG26)+1,10)))))*$D$50)))))*$I26,0)),0)</f>
        <v>0</v>
      </c>
      <c r="CI26" s="338"/>
      <c r="CJ26" s="363"/>
      <c r="CK26" s="356" t="n">
        <f aca="false">IFERROR(IF($M26=CJ26,($D$8+$D$9+$D$10)*$I26,IF($N26=LEFT(CJ26,1),($D$8+MAX(0,IF($D$50=1,$D$9*(1-(ABS($Q26-ABS(VALUE(MID(CJ26,FIND("|",CJ26)+1,FIND("-",CJ26)-FIND("|",CJ26)-1))-VALUE(MID(CJ26,FIND("-",CJ26)+1,10)))))*$D$50),$D$9*(1-(IF($N26="X",ABS($O26-VALUE(MID(CJ26,FIND("|",CJ26)+1,FIND("-",CJ26)-FIND("|",CJ26)-1))),ABS($Q26-ABS(VALUE(MID(CJ26,FIND("|",CJ26)+1,FIND("-",CJ26)-FIND("|",CJ26)-1))-VALUE(MID(CJ26,FIND("-",CJ26)+1,10)))))*$D$50)))))*$I26,0)),0)</f>
        <v>0</v>
      </c>
      <c r="CL26" s="338"/>
      <c r="CM26" s="363"/>
      <c r="CN26" s="356" t="n">
        <f aca="false">IFERROR(IF($M26=CM26,($D$8+$D$9+$D$10)*$I26,IF($N26=LEFT(CM26,1),($D$8+MAX(0,IF($D$50=1,$D$9*(1-(ABS($Q26-ABS(VALUE(MID(CM26,FIND("|",CM26)+1,FIND("-",CM26)-FIND("|",CM26)-1))-VALUE(MID(CM26,FIND("-",CM26)+1,10)))))*$D$50),$D$9*(1-(IF($N26="X",ABS($O26-VALUE(MID(CM26,FIND("|",CM26)+1,FIND("-",CM26)-FIND("|",CM26)-1))),ABS($Q26-ABS(VALUE(MID(CM26,FIND("|",CM26)+1,FIND("-",CM26)-FIND("|",CM26)-1))-VALUE(MID(CM26,FIND("-",CM26)+1,10)))))*$D$50)))))*$I26,0)),0)</f>
        <v>0</v>
      </c>
      <c r="CO26" s="338"/>
      <c r="CP26" s="363"/>
      <c r="CQ26" s="356" t="n">
        <f aca="false">IFERROR(IF($M26=CP26,($D$8+$D$9+$D$10)*$I26,IF($N26=LEFT(CP26,1),($D$8+MAX(0,IF($D$50=1,$D$9*(1-(ABS($Q26-ABS(VALUE(MID(CP26,FIND("|",CP26)+1,FIND("-",CP26)-FIND("|",CP26)-1))-VALUE(MID(CP26,FIND("-",CP26)+1,10)))))*$D$50),$D$9*(1-(IF($N26="X",ABS($O26-VALUE(MID(CP26,FIND("|",CP26)+1,FIND("-",CP26)-FIND("|",CP26)-1))),ABS($Q26-ABS(VALUE(MID(CP26,FIND("|",CP26)+1,FIND("-",CP26)-FIND("|",CP26)-1))-VALUE(MID(CP26,FIND("-",CP26)+1,10)))))*$D$50)))))*$I26,0)),0)</f>
        <v>0</v>
      </c>
      <c r="CR26" s="338"/>
      <c r="CS26" s="363"/>
      <c r="CT26" s="356" t="n">
        <f aca="false">IFERROR(IF($M26=CS26,($D$8+$D$9+$D$10)*$I26,IF($N26=LEFT(CS26,1),($D$8+MAX(0,IF($D$50=1,$D$9*(1-(ABS($Q26-ABS(VALUE(MID(CS26,FIND("|",CS26)+1,FIND("-",CS26)-FIND("|",CS26)-1))-VALUE(MID(CS26,FIND("-",CS26)+1,10)))))*$D$50),$D$9*(1-(IF($N26="X",ABS($O26-VALUE(MID(CS26,FIND("|",CS26)+1,FIND("-",CS26)-FIND("|",CS26)-1))),ABS($Q26-ABS(VALUE(MID(CS26,FIND("|",CS26)+1,FIND("-",CS26)-FIND("|",CS26)-1))-VALUE(MID(CS26,FIND("-",CS26)+1,10)))))*$D$50)))))*$I26,0)),0)</f>
        <v>0</v>
      </c>
      <c r="CU26" s="338"/>
      <c r="CV26" s="363"/>
      <c r="CW26" s="356" t="n">
        <f aca="false">IFERROR(IF($M26=CV26,($D$8+$D$9+$D$10)*$I26,IF($N26=LEFT(CV26,1),($D$8+MAX(0,IF($D$50=1,$D$9*(1-(ABS($Q26-ABS(VALUE(MID(CV26,FIND("|",CV26)+1,FIND("-",CV26)-FIND("|",CV26)-1))-VALUE(MID(CV26,FIND("-",CV26)+1,10)))))*$D$50),$D$9*(1-(IF($N26="X",ABS($O26-VALUE(MID(CV26,FIND("|",CV26)+1,FIND("-",CV26)-FIND("|",CV26)-1))),ABS($Q26-ABS(VALUE(MID(CV26,FIND("|",CV26)+1,FIND("-",CV26)-FIND("|",CV26)-1))-VALUE(MID(CV26,FIND("-",CV26)+1,10)))))*$D$50)))))*$I26,0)),0)</f>
        <v>0</v>
      </c>
      <c r="CX26" s="338"/>
      <c r="CY26" s="363"/>
      <c r="CZ26" s="356" t="n">
        <f aca="false">IFERROR(IF($M26=CY26,($D$8+$D$9+$D$10)*$I26,IF($N26=LEFT(CY26,1),($D$8+MAX(0,IF($D$50=1,$D$9*(1-(ABS($Q26-ABS(VALUE(MID(CY26,FIND("|",CY26)+1,FIND("-",CY26)-FIND("|",CY26)-1))-VALUE(MID(CY26,FIND("-",CY26)+1,10)))))*$D$50),$D$9*(1-(IF($N26="X",ABS($O26-VALUE(MID(CY26,FIND("|",CY26)+1,FIND("-",CY26)-FIND("|",CY26)-1))),ABS($Q26-ABS(VALUE(MID(CY26,FIND("|",CY26)+1,FIND("-",CY26)-FIND("|",CY26)-1))-VALUE(MID(CY26,FIND("-",CY26)+1,10)))))*$D$50)))))*$I26,0)),0)</f>
        <v>0</v>
      </c>
      <c r="DA26" s="338"/>
      <c r="DB26" s="363"/>
      <c r="DC26" s="356" t="n">
        <f aca="false">IFERROR(IF($M26=DB26,($D$8+$D$9+$D$10)*$I26,IF($N26=LEFT(DB26,1),($D$8+MAX(0,IF($D$50=1,$D$9*(1-(ABS($Q26-ABS(VALUE(MID(DB26,FIND("|",DB26)+1,FIND("-",DB26)-FIND("|",DB26)-1))-VALUE(MID(DB26,FIND("-",DB26)+1,10)))))*$D$50),$D$9*(1-(IF($N26="X",ABS($O26-VALUE(MID(DB26,FIND("|",DB26)+1,FIND("-",DB26)-FIND("|",DB26)-1))),ABS($Q26-ABS(VALUE(MID(DB26,FIND("|",DB26)+1,FIND("-",DB26)-FIND("|",DB26)-1))-VALUE(MID(DB26,FIND("-",DB26)+1,10)))))*$D$50)))))*$I26,0)),0)</f>
        <v>0</v>
      </c>
      <c r="DD26" s="338"/>
      <c r="DE26" s="363"/>
      <c r="DF26" s="356" t="n">
        <f aca="false">IFERROR(IF($M26=DE26,($D$8+$D$9+$D$10)*$I26,IF($N26=LEFT(DE26,1),($D$8+MAX(0,IF($D$50=1,$D$9*(1-(ABS($Q26-ABS(VALUE(MID(DE26,FIND("|",DE26)+1,FIND("-",DE26)-FIND("|",DE26)-1))-VALUE(MID(DE26,FIND("-",DE26)+1,10)))))*$D$50),$D$9*(1-(IF($N26="X",ABS($O26-VALUE(MID(DE26,FIND("|",DE26)+1,FIND("-",DE26)-FIND("|",DE26)-1))),ABS($Q26-ABS(VALUE(MID(DE26,FIND("|",DE26)+1,FIND("-",DE26)-FIND("|",DE26)-1))-VALUE(MID(DE26,FIND("-",DE26)+1,10)))))*$D$50)))))*$I26,0)),0)</f>
        <v>0</v>
      </c>
      <c r="DG26" s="338"/>
      <c r="DH26" s="363"/>
      <c r="DI26" s="356" t="n">
        <f aca="false">IFERROR(IF($M26=DH26,($D$8+$D$9+$D$10)*$I26,IF($N26=LEFT(DH26,1),($D$8+MAX(0,IF($D$50=1,$D$9*(1-(ABS($Q26-ABS(VALUE(MID(DH26,FIND("|",DH26)+1,FIND("-",DH26)-FIND("|",DH26)-1))-VALUE(MID(DH26,FIND("-",DH26)+1,10)))))*$D$50),$D$9*(1-(IF($N26="X",ABS($O26-VALUE(MID(DH26,FIND("|",DH26)+1,FIND("-",DH26)-FIND("|",DH26)-1))),ABS($Q26-ABS(VALUE(MID(DH26,FIND("|",DH26)+1,FIND("-",DH26)-FIND("|",DH26)-1))-VALUE(MID(DH26,FIND("-",DH26)+1,10)))))*$D$50)))))*$I26,0)),0)</f>
        <v>0</v>
      </c>
      <c r="DJ26" s="338"/>
      <c r="DK26" s="363"/>
      <c r="DL26" s="356" t="n">
        <f aca="false">IFERROR(IF($M26=DK26,($D$8+$D$9+$D$10)*$I26,IF($N26=LEFT(DK26,1),($D$8+MAX(0,IF($D$50=1,$D$9*(1-(ABS($Q26-ABS(VALUE(MID(DK26,FIND("|",DK26)+1,FIND("-",DK26)-FIND("|",DK26)-1))-VALUE(MID(DK26,FIND("-",DK26)+1,10)))))*$D$50),$D$9*(1-(IF($N26="X",ABS($O26-VALUE(MID(DK26,FIND("|",DK26)+1,FIND("-",DK26)-FIND("|",DK26)-1))),ABS($Q26-ABS(VALUE(MID(DK26,FIND("|",DK26)+1,FIND("-",DK26)-FIND("|",DK26)-1))-VALUE(MID(DK26,FIND("-",DK26)+1,10)))))*$D$50)))))*$I26,0)),0)</f>
        <v>0</v>
      </c>
      <c r="DM26" s="338"/>
      <c r="DN26" s="363"/>
      <c r="DO26" s="356" t="n">
        <f aca="false">IFERROR(IF($M26=DN26,($D$8+$D$9+$D$10)*$I26,IF($N26=LEFT(DN26,1),($D$8+MAX(0,IF($D$50=1,$D$9*(1-(ABS($Q26-ABS(VALUE(MID(DN26,FIND("|",DN26)+1,FIND("-",DN26)-FIND("|",DN26)-1))-VALUE(MID(DN26,FIND("-",DN26)+1,10)))))*$D$50),$D$9*(1-(IF($N26="X",ABS($O26-VALUE(MID(DN26,FIND("|",DN26)+1,FIND("-",DN26)-FIND("|",DN26)-1))),ABS($Q26-ABS(VALUE(MID(DN26,FIND("|",DN26)+1,FIND("-",DN26)-FIND("|",DN26)-1))-VALUE(MID(DN26,FIND("-",DN26)+1,10)))))*$D$50)))))*$I26,0)),0)</f>
        <v>0</v>
      </c>
      <c r="DP26" s="338"/>
      <c r="DQ26" s="363"/>
      <c r="DR26" s="356" t="n">
        <f aca="false">IFERROR(IF($M26=DQ26,($D$8+$D$9+$D$10)*$I26,IF($N26=LEFT(DQ26,1),($D$8+MAX(0,IF($D$50=1,$D$9*(1-(ABS($Q26-ABS(VALUE(MID(DQ26,FIND("|",DQ26)+1,FIND("-",DQ26)-FIND("|",DQ26)-1))-VALUE(MID(DQ26,FIND("-",DQ26)+1,10)))))*$D$50),$D$9*(1-(IF($N26="X",ABS($O26-VALUE(MID(DQ26,FIND("|",DQ26)+1,FIND("-",DQ26)-FIND("|",DQ26)-1))),ABS($Q26-ABS(VALUE(MID(DQ26,FIND("|",DQ26)+1,FIND("-",DQ26)-FIND("|",DQ26)-1))-VALUE(MID(DQ26,FIND("-",DQ26)+1,10)))))*$D$50)))))*$I26,0)),0)</f>
        <v>0</v>
      </c>
      <c r="DS26" s="338"/>
      <c r="DT26" s="363"/>
      <c r="DU26" s="356" t="n">
        <f aca="false">IFERROR(IF($M26=DT26,($D$8+$D$9+$D$10)*$I26,IF($N26=LEFT(DT26,1),($D$8+MAX(0,IF($D$50=1,$D$9*(1-(ABS($Q26-ABS(VALUE(MID(DT26,FIND("|",DT26)+1,FIND("-",DT26)-FIND("|",DT26)-1))-VALUE(MID(DT26,FIND("-",DT26)+1,10)))))*$D$50),$D$9*(1-(IF($N26="X",ABS($O26-VALUE(MID(DT26,FIND("|",DT26)+1,FIND("-",DT26)-FIND("|",DT26)-1))),ABS($Q26-ABS(VALUE(MID(DT26,FIND("|",DT26)+1,FIND("-",DT26)-FIND("|",DT26)-1))-VALUE(MID(DT26,FIND("-",DT26)+1,10)))))*$D$50)))))*$I26,0)),0)</f>
        <v>0</v>
      </c>
      <c r="DV26" s="338"/>
      <c r="DW26" s="363"/>
      <c r="DX26" s="356" t="n">
        <f aca="false">IFERROR(IF($M26=DW26,($D$8+$D$9+$D$10)*$I26,IF($N26=LEFT(DW26,1),($D$8+MAX(0,IF($D$50=1,$D$9*(1-(ABS($Q26-ABS(VALUE(MID(DW26,FIND("|",DW26)+1,FIND("-",DW26)-FIND("|",DW26)-1))-VALUE(MID(DW26,FIND("-",DW26)+1,10)))))*$D$50),$D$9*(1-(IF($N26="X",ABS($O26-VALUE(MID(DW26,FIND("|",DW26)+1,FIND("-",DW26)-FIND("|",DW26)-1))),ABS($Q26-ABS(VALUE(MID(DW26,FIND("|",DW26)+1,FIND("-",DW26)-FIND("|",DW26)-1))-VALUE(MID(DW26,FIND("-",DW26)+1,10)))))*$D$50)))))*$I26,0)),0)</f>
        <v>0</v>
      </c>
      <c r="DY26" s="338"/>
      <c r="DZ26" s="363"/>
      <c r="EA26" s="356" t="n">
        <f aca="false">IFERROR(IF($M26=DZ26,($D$8+$D$9+$D$10)*$I26,IF($N26=LEFT(DZ26,1),($D$8+MAX(0,IF($D$50=1,$D$9*(1-(ABS($Q26-ABS(VALUE(MID(DZ26,FIND("|",DZ26)+1,FIND("-",DZ26)-FIND("|",DZ26)-1))-VALUE(MID(DZ26,FIND("-",DZ26)+1,10)))))*$D$50),$D$9*(1-(IF($N26="X",ABS($O26-VALUE(MID(DZ26,FIND("|",DZ26)+1,FIND("-",DZ26)-FIND("|",DZ26)-1))),ABS($Q26-ABS(VALUE(MID(DZ26,FIND("|",DZ26)+1,FIND("-",DZ26)-FIND("|",DZ26)-1))-VALUE(MID(DZ26,FIND("-",DZ26)+1,10)))))*$D$50)))))*$I26,0)),0)</f>
        <v>0</v>
      </c>
      <c r="EB26" s="338"/>
      <c r="EC26" s="363"/>
      <c r="ED26" s="356" t="n">
        <f aca="false">IFERROR(IF($M26=EC26,($D$8+$D$9+$D$10)*$I26,IF($N26=LEFT(EC26,1),($D$8+MAX(0,IF($D$50=1,$D$9*(1-(ABS($Q26-ABS(VALUE(MID(EC26,FIND("|",EC26)+1,FIND("-",EC26)-FIND("|",EC26)-1))-VALUE(MID(EC26,FIND("-",EC26)+1,10)))))*$D$50),$D$9*(1-(IF($N26="X",ABS($O26-VALUE(MID(EC26,FIND("|",EC26)+1,FIND("-",EC26)-FIND("|",EC26)-1))),ABS($Q26-ABS(VALUE(MID(EC26,FIND("|",EC26)+1,FIND("-",EC26)-FIND("|",EC26)-1))-VALUE(MID(EC26,FIND("-",EC26)+1,10)))))*$D$50)))))*$I26,0)),0)</f>
        <v>0</v>
      </c>
      <c r="EE26" s="338"/>
      <c r="EF26" s="363"/>
      <c r="EG26" s="356" t="n">
        <f aca="false">IFERROR(IF($M26=EF26,($D$8+$D$9+$D$10)*$I26,IF($N26=LEFT(EF26,1),($D$8+MAX(0,IF($D$50=1,$D$9*(1-(ABS($Q26-ABS(VALUE(MID(EF26,FIND("|",EF26)+1,FIND("-",EF26)-FIND("|",EF26)-1))-VALUE(MID(EF26,FIND("-",EF26)+1,10)))))*$D$50),$D$9*(1-(IF($N26="X",ABS($O26-VALUE(MID(EF26,FIND("|",EF26)+1,FIND("-",EF26)-FIND("|",EF26)-1))),ABS($Q26-ABS(VALUE(MID(EF26,FIND("|",EF26)+1,FIND("-",EF26)-FIND("|",EF26)-1))-VALUE(MID(EF26,FIND("-",EF26)+1,10)))))*$D$50)))))*$I26,0)),0)</f>
        <v>0</v>
      </c>
      <c r="EH26" s="338"/>
      <c r="EI26" s="338"/>
    </row>
    <row r="27" customFormat="false" ht="15" hidden="false" customHeight="false" outlineLevel="0" collapsed="false">
      <c r="A27" s="327"/>
      <c r="B27" s="327"/>
      <c r="C27" s="368" t="str">
        <f aca="false">Idiomas!D323</f>
        <v>Equipo clasificado para SEMIFINALES</v>
      </c>
      <c r="D27" s="369" t="n">
        <v>6</v>
      </c>
      <c r="E27" s="334"/>
      <c r="F27" s="343" t="n">
        <f aca="false">SUM($D$8:$D$10)*I27</f>
        <v>17</v>
      </c>
      <c r="G27" s="343" t="n">
        <f aca="false">VLOOKUP(H27,Equipos!$Q$1:$R$25,2,0)</f>
        <v>8</v>
      </c>
      <c r="H27" s="351" t="n">
        <f aca="false">TRUNC(INDEX(WORLDCUP!$X$4:$X$147,MATCH(ADMIN!K27,WORLDCUP!$DT$4:$DT$147,0))+INDEX(Horarios!$R$3:$R$86,MATCH(Horarios!$C$3,Horarios!$P$3:$P$86,0))/24)</f>
        <v>46191</v>
      </c>
      <c r="I27" s="352" t="n">
        <v>1</v>
      </c>
      <c r="J27" s="353" t="s">
        <v>293</v>
      </c>
      <c r="K27" s="354" t="str">
        <f aca="false">CONCATENATE(WORLDCUP!AA85,"-",WORLDCUP!AF85)</f>
        <v>Uzbekistán-Colombia</v>
      </c>
      <c r="L27" s="354"/>
      <c r="M27" s="354" t="str">
        <f aca="false">IF(OR(WORLDCUP!AC85="",WORLDCUP!AD85=""),"-",N27&amp;"|"&amp;O27&amp;"-"&amp;P27)</f>
        <v>-</v>
      </c>
      <c r="N27" s="332" t="str">
        <f aca="false">IF(OR(WORLDCUP!AC85="",WORLDCUP!AD85=""),"",IF(WORLDCUP!AC85&gt;WORLDCUP!AD85,"1",IF(WORLDCUP!AC85&lt;WORLDCUP!AD85,"2","X")))</f>
        <v/>
      </c>
      <c r="O27" s="332" t="n">
        <f aca="false">WORLDCUP!AC85</f>
        <v>0</v>
      </c>
      <c r="P27" s="332" t="n">
        <f aca="false">WORLDCUP!AD85</f>
        <v>0</v>
      </c>
      <c r="Q27" s="332" t="n">
        <f aca="false">ABS(O27-P27)</f>
        <v>0</v>
      </c>
      <c r="R27" s="327"/>
      <c r="S27" s="363" t="s">
        <v>276</v>
      </c>
      <c r="T27" s="356" t="n">
        <f aca="false">IFERROR(IF($M27=S27,($D$8+$D$9+$D$10)*$I27,IF($N27=LEFT(S27,1),($D$8+MAX(0,IF($D$50=1,$D$9*(1-(ABS($Q27-ABS(VALUE(MID(S27,FIND("|",S27)+1,FIND("-",S27)-FIND("|",S27)-1))-VALUE(MID(S27,FIND("-",S27)+1,10)))))*$D$50),$D$9*(1-(IF($N27="X",ABS($O27-VALUE(MID(S27,FIND("|",S27)+1,FIND("-",S27)-FIND("|",S27)-1))),ABS($Q27-ABS(VALUE(MID(S27,FIND("|",S27)+1,FIND("-",S27)-FIND("|",S27)-1))-VALUE(MID(S27,FIND("-",S27)+1,10)))))*$D$50)))))*$I27,0)),0)</f>
        <v>0</v>
      </c>
      <c r="U27" s="338"/>
      <c r="V27" s="363" t="s">
        <v>274</v>
      </c>
      <c r="W27" s="356" t="n">
        <f aca="false">IFERROR(IF($M27=V27,($D$8+$D$9+$D$10)*$I27,IF($N27=LEFT(V27,1),($D$8+MAX(0,IF($D$50=1,$D$9*(1-(ABS($Q27-ABS(VALUE(MID(V27,FIND("|",V27)+1,FIND("-",V27)-FIND("|",V27)-1))-VALUE(MID(V27,FIND("-",V27)+1,10)))))*$D$50),$D$9*(1-(IF($N27="X",ABS($O27-VALUE(MID(V27,FIND("|",V27)+1,FIND("-",V27)-FIND("|",V27)-1))),ABS($Q27-ABS(VALUE(MID(V27,FIND("|",V27)+1,FIND("-",V27)-FIND("|",V27)-1))-VALUE(MID(V27,FIND("-",V27)+1,10)))))*$D$50)))))*$I27,0)),0)</f>
        <v>0</v>
      </c>
      <c r="X27" s="338"/>
      <c r="Y27" s="363" t="s">
        <v>268</v>
      </c>
      <c r="Z27" s="356" t="n">
        <f aca="false">IFERROR(IF($M27=Y27,($D$8+$D$9+$D$10)*$I27,IF($N27=LEFT(Y27,1),($D$8+MAX(0,IF($D$50=1,$D$9*(1-(ABS($Q27-ABS(VALUE(MID(Y27,FIND("|",Y27)+1,FIND("-",Y27)-FIND("|",Y27)-1))-VALUE(MID(Y27,FIND("-",Y27)+1,10)))))*$D$50),$D$9*(1-(IF($N27="X",ABS($O27-VALUE(MID(Y27,FIND("|",Y27)+1,FIND("-",Y27)-FIND("|",Y27)-1))),ABS($Q27-ABS(VALUE(MID(Y27,FIND("|",Y27)+1,FIND("-",Y27)-FIND("|",Y27)-1))-VALUE(MID(Y27,FIND("-",Y27)+1,10)))))*$D$50)))))*$I27,0)),0)</f>
        <v>0</v>
      </c>
      <c r="AA27" s="338"/>
      <c r="AB27" s="363" t="s">
        <v>274</v>
      </c>
      <c r="AC27" s="356" t="n">
        <f aca="false">IFERROR(IF($M27=AB27,($D$8+$D$9+$D$10)*$I27,IF($N27=LEFT(AB27,1),($D$8+MAX(0,IF($D$50=1,$D$9*(1-(ABS($Q27-ABS(VALUE(MID(AB27,FIND("|",AB27)+1,FIND("-",AB27)-FIND("|",AB27)-1))-VALUE(MID(AB27,FIND("-",AB27)+1,10)))))*$D$50),$D$9*(1-(IF($N27="X",ABS($O27-VALUE(MID(AB27,FIND("|",AB27)+1,FIND("-",AB27)-FIND("|",AB27)-1))),ABS($Q27-ABS(VALUE(MID(AB27,FIND("|",AB27)+1,FIND("-",AB27)-FIND("|",AB27)-1))-VALUE(MID(AB27,FIND("-",AB27)+1,10)))))*$D$50)))))*$I27,0)),0)</f>
        <v>0</v>
      </c>
      <c r="AD27" s="338"/>
      <c r="AE27" s="363" t="s">
        <v>274</v>
      </c>
      <c r="AF27" s="356" t="n">
        <f aca="false">IFERROR(IF($M27=AE27,($D$8+$D$9+$D$10)*$I27,IF($N27=LEFT(AE27,1),($D$8+MAX(0,IF($D$50=1,$D$9*(1-(ABS($Q27-ABS(VALUE(MID(AE27,FIND("|",AE27)+1,FIND("-",AE27)-FIND("|",AE27)-1))-VALUE(MID(AE27,FIND("-",AE27)+1,10)))))*$D$50),$D$9*(1-(IF($N27="X",ABS($O27-VALUE(MID(AE27,FIND("|",AE27)+1,FIND("-",AE27)-FIND("|",AE27)-1))),ABS($Q27-ABS(VALUE(MID(AE27,FIND("|",AE27)+1,FIND("-",AE27)-FIND("|",AE27)-1))-VALUE(MID(AE27,FIND("-",AE27)+1,10)))))*$D$50)))))*$I27,0)),0)</f>
        <v>0</v>
      </c>
      <c r="AG27" s="338"/>
      <c r="AH27" s="363" t="s">
        <v>268</v>
      </c>
      <c r="AI27" s="356" t="n">
        <f aca="false">IFERROR(IF($M27=AH27,($D$8+$D$9+$D$10)*$I27,IF($N27=LEFT(AH27,1),($D$8+MAX(0,IF($D$50=1,$D$9*(1-(ABS($Q27-ABS(VALUE(MID(AH27,FIND("|",AH27)+1,FIND("-",AH27)-FIND("|",AH27)-1))-VALUE(MID(AH27,FIND("-",AH27)+1,10)))))*$D$50),$D$9*(1-(IF($N27="X",ABS($O27-VALUE(MID(AH27,FIND("|",AH27)+1,FIND("-",AH27)-FIND("|",AH27)-1))),ABS($Q27-ABS(VALUE(MID(AH27,FIND("|",AH27)+1,FIND("-",AH27)-FIND("|",AH27)-1))-VALUE(MID(AH27,FIND("-",AH27)+1,10)))))*$D$50)))))*$I27,0)),0)</f>
        <v>0</v>
      </c>
      <c r="AJ27" s="338"/>
      <c r="AK27" s="363" t="s">
        <v>268</v>
      </c>
      <c r="AL27" s="356" t="n">
        <f aca="false">IFERROR(IF($M27=AK27,($D$8+$D$9+$D$10)*$I27,IF($N27=LEFT(AK27,1),($D$8+MAX(0,IF($D$50=1,$D$9*(1-(ABS($Q27-ABS(VALUE(MID(AK27,FIND("|",AK27)+1,FIND("-",AK27)-FIND("|",AK27)-1))-VALUE(MID(AK27,FIND("-",AK27)+1,10)))))*$D$50),$D$9*(1-(IF($N27="X",ABS($O27-VALUE(MID(AK27,FIND("|",AK27)+1,FIND("-",AK27)-FIND("|",AK27)-1))),ABS($Q27-ABS(VALUE(MID(AK27,FIND("|",AK27)+1,FIND("-",AK27)-FIND("|",AK27)-1))-VALUE(MID(AK27,FIND("-",AK27)+1,10)))))*$D$50)))))*$I27,0)),0)</f>
        <v>0</v>
      </c>
      <c r="AM27" s="338"/>
      <c r="AN27" s="363" t="s">
        <v>274</v>
      </c>
      <c r="AO27" s="356" t="n">
        <f aca="false">IFERROR(IF($M27=AN27,($D$8+$D$9+$D$10)*$I27,IF($N27=LEFT(AN27,1),($D$8+MAX(0,IF($D$50=1,$D$9*(1-(ABS($Q27-ABS(VALUE(MID(AN27,FIND("|",AN27)+1,FIND("-",AN27)-FIND("|",AN27)-1))-VALUE(MID(AN27,FIND("-",AN27)+1,10)))))*$D$50),$D$9*(1-(IF($N27="X",ABS($O27-VALUE(MID(AN27,FIND("|",AN27)+1,FIND("-",AN27)-FIND("|",AN27)-1))),ABS($Q27-ABS(VALUE(MID(AN27,FIND("|",AN27)+1,FIND("-",AN27)-FIND("|",AN27)-1))-VALUE(MID(AN27,FIND("-",AN27)+1,10)))))*$D$50)))))*$I27,0)),0)</f>
        <v>0</v>
      </c>
      <c r="AP27" s="338"/>
      <c r="AQ27" s="363" t="s">
        <v>273</v>
      </c>
      <c r="AR27" s="356" t="n">
        <f aca="false">IFERROR(IF($M27=AQ27,($D$8+$D$9+$D$10)*$I27,IF($N27=LEFT(AQ27,1),($D$8+MAX(0,IF($D$50=1,$D$9*(1-(ABS($Q27-ABS(VALUE(MID(AQ27,FIND("|",AQ27)+1,FIND("-",AQ27)-FIND("|",AQ27)-1))-VALUE(MID(AQ27,FIND("-",AQ27)+1,10)))))*$D$50),$D$9*(1-(IF($N27="X",ABS($O27-VALUE(MID(AQ27,FIND("|",AQ27)+1,FIND("-",AQ27)-FIND("|",AQ27)-1))),ABS($Q27-ABS(VALUE(MID(AQ27,FIND("|",AQ27)+1,FIND("-",AQ27)-FIND("|",AQ27)-1))-VALUE(MID(AQ27,FIND("-",AQ27)+1,10)))))*$D$50)))))*$I27,0)),0)</f>
        <v>0</v>
      </c>
      <c r="AS27" s="338"/>
      <c r="AT27" s="363" t="s">
        <v>274</v>
      </c>
      <c r="AU27" s="356" t="n">
        <f aca="false">IFERROR(IF($M27=AT27,($D$8+$D$9+$D$10)*$I27,IF($N27=LEFT(AT27,1),($D$8+MAX(0,IF($D$50=1,$D$9*(1-(ABS($Q27-ABS(VALUE(MID(AT27,FIND("|",AT27)+1,FIND("-",AT27)-FIND("|",AT27)-1))-VALUE(MID(AT27,FIND("-",AT27)+1,10)))))*$D$50),$D$9*(1-(IF($N27="X",ABS($O27-VALUE(MID(AT27,FIND("|",AT27)+1,FIND("-",AT27)-FIND("|",AT27)-1))),ABS($Q27-ABS(VALUE(MID(AT27,FIND("|",AT27)+1,FIND("-",AT27)-FIND("|",AT27)-1))-VALUE(MID(AT27,FIND("-",AT27)+1,10)))))*$D$50)))))*$I27,0)),0)</f>
        <v>0</v>
      </c>
      <c r="AV27" s="338"/>
      <c r="AW27" s="363" t="s">
        <v>274</v>
      </c>
      <c r="AX27" s="356" t="n">
        <f aca="false">IFERROR(IF($M27=AW27,($D$8+$D$9+$D$10)*$I27,IF($N27=LEFT(AW27,1),($D$8+MAX(0,IF($D$50=1,$D$9*(1-(ABS($Q27-ABS(VALUE(MID(AW27,FIND("|",AW27)+1,FIND("-",AW27)-FIND("|",AW27)-1))-VALUE(MID(AW27,FIND("-",AW27)+1,10)))))*$D$50),$D$9*(1-(IF($N27="X",ABS($O27-VALUE(MID(AW27,FIND("|",AW27)+1,FIND("-",AW27)-FIND("|",AW27)-1))),ABS($Q27-ABS(VALUE(MID(AW27,FIND("|",AW27)+1,FIND("-",AW27)-FIND("|",AW27)-1))-VALUE(MID(AW27,FIND("-",AW27)+1,10)))))*$D$50)))))*$I27,0)),0)</f>
        <v>0</v>
      </c>
      <c r="AY27" s="338"/>
      <c r="AZ27" s="363" t="s">
        <v>268</v>
      </c>
      <c r="BA27" s="356" t="n">
        <f aca="false">IFERROR(IF($M27=AZ27,($D$8+$D$9+$D$10)*$I27,IF($N27=LEFT(AZ27,1),($D$8+MAX(0,IF($D$50=1,$D$9*(1-(ABS($Q27-ABS(VALUE(MID(AZ27,FIND("|",AZ27)+1,FIND("-",AZ27)-FIND("|",AZ27)-1))-VALUE(MID(AZ27,FIND("-",AZ27)+1,10)))))*$D$50),$D$9*(1-(IF($N27="X",ABS($O27-VALUE(MID(AZ27,FIND("|",AZ27)+1,FIND("-",AZ27)-FIND("|",AZ27)-1))),ABS($Q27-ABS(VALUE(MID(AZ27,FIND("|",AZ27)+1,FIND("-",AZ27)-FIND("|",AZ27)-1))-VALUE(MID(AZ27,FIND("-",AZ27)+1,10)))))*$D$50)))))*$I27,0)),0)</f>
        <v>0</v>
      </c>
      <c r="BB27" s="338"/>
      <c r="BC27" s="363" t="s">
        <v>273</v>
      </c>
      <c r="BD27" s="356" t="n">
        <f aca="false">IFERROR(IF($M27=BC27,($D$8+$D$9+$D$10)*$I27,IF($N27=LEFT(BC27,1),($D$8+MAX(0,IF($D$50=1,$D$9*(1-(ABS($Q27-ABS(VALUE(MID(BC27,FIND("|",BC27)+1,FIND("-",BC27)-FIND("|",BC27)-1))-VALUE(MID(BC27,FIND("-",BC27)+1,10)))))*$D$50),$D$9*(1-(IF($N27="X",ABS($O27-VALUE(MID(BC27,FIND("|",BC27)+1,FIND("-",BC27)-FIND("|",BC27)-1))),ABS($Q27-ABS(VALUE(MID(BC27,FIND("|",BC27)+1,FIND("-",BC27)-FIND("|",BC27)-1))-VALUE(MID(BC27,FIND("-",BC27)+1,10)))))*$D$50)))))*$I27,0)),0)</f>
        <v>0</v>
      </c>
      <c r="BE27" s="338"/>
      <c r="BF27" s="363" t="s">
        <v>274</v>
      </c>
      <c r="BG27" s="356" t="n">
        <f aca="false">IFERROR(IF($M27=BF27,($D$8+$D$9+$D$10)*$I27,IF($N27=LEFT(BF27,1),($D$8+MAX(0,IF($D$50=1,$D$9*(1-(ABS($Q27-ABS(VALUE(MID(BF27,FIND("|",BF27)+1,FIND("-",BF27)-FIND("|",BF27)-1))-VALUE(MID(BF27,FIND("-",BF27)+1,10)))))*$D$50),$D$9*(1-(IF($N27="X",ABS($O27-VALUE(MID(BF27,FIND("|",BF27)+1,FIND("-",BF27)-FIND("|",BF27)-1))),ABS($Q27-ABS(VALUE(MID(BF27,FIND("|",BF27)+1,FIND("-",BF27)-FIND("|",BF27)-1))-VALUE(MID(BF27,FIND("-",BF27)+1,10)))))*$D$50)))))*$I27,0)),0)</f>
        <v>0</v>
      </c>
      <c r="BH27" s="338"/>
      <c r="BI27" s="363" t="s">
        <v>271</v>
      </c>
      <c r="BJ27" s="356" t="n">
        <f aca="false">IFERROR(IF($M27=BI27,($D$8+$D$9+$D$10)*$I27,IF($N27=LEFT(BI27,1),($D$8+MAX(0,IF($D$50=1,$D$9*(1-(ABS($Q27-ABS(VALUE(MID(BI27,FIND("|",BI27)+1,FIND("-",BI27)-FIND("|",BI27)-1))-VALUE(MID(BI27,FIND("-",BI27)+1,10)))))*$D$50),$D$9*(1-(IF($N27="X",ABS($O27-VALUE(MID(BI27,FIND("|",BI27)+1,FIND("-",BI27)-FIND("|",BI27)-1))),ABS($Q27-ABS(VALUE(MID(BI27,FIND("|",BI27)+1,FIND("-",BI27)-FIND("|",BI27)-1))-VALUE(MID(BI27,FIND("-",BI27)+1,10)))))*$D$50)))))*$I27,0)),0)</f>
        <v>0</v>
      </c>
      <c r="BK27" s="338"/>
      <c r="BL27" s="363" t="s">
        <v>274</v>
      </c>
      <c r="BM27" s="356" t="n">
        <f aca="false">IFERROR(IF($M27=BL27,($D$8+$D$9+$D$10)*$I27,IF($N27=LEFT(BL27,1),($D$8+MAX(0,IF($D$50=1,$D$9*(1-(ABS($Q27-ABS(VALUE(MID(BL27,FIND("|",BL27)+1,FIND("-",BL27)-FIND("|",BL27)-1))-VALUE(MID(BL27,FIND("-",BL27)+1,10)))))*$D$50),$D$9*(1-(IF($N27="X",ABS($O27-VALUE(MID(BL27,FIND("|",BL27)+1,FIND("-",BL27)-FIND("|",BL27)-1))),ABS($Q27-ABS(VALUE(MID(BL27,FIND("|",BL27)+1,FIND("-",BL27)-FIND("|",BL27)-1))-VALUE(MID(BL27,FIND("-",BL27)+1,10)))))*$D$50)))))*$I27,0)),0)</f>
        <v>0</v>
      </c>
      <c r="BN27" s="338"/>
      <c r="BO27" s="363" t="s">
        <v>267</v>
      </c>
      <c r="BP27" s="356" t="n">
        <f aca="false">IFERROR(IF($M27=BO27,($D$8+$D$9+$D$10)*$I27,IF($N27=LEFT(BO27,1),($D$8+MAX(0,IF($D$50=1,$D$9*(1-(ABS($Q27-ABS(VALUE(MID(BO27,FIND("|",BO27)+1,FIND("-",BO27)-FIND("|",BO27)-1))-VALUE(MID(BO27,FIND("-",BO27)+1,10)))))*$D$50),$D$9*(1-(IF($N27="X",ABS($O27-VALUE(MID(BO27,FIND("|",BO27)+1,FIND("-",BO27)-FIND("|",BO27)-1))),ABS($Q27-ABS(VALUE(MID(BO27,FIND("|",BO27)+1,FIND("-",BO27)-FIND("|",BO27)-1))-VALUE(MID(BO27,FIND("-",BO27)+1,10)))))*$D$50)))))*$I27,0)),0)</f>
        <v>0</v>
      </c>
      <c r="BQ27" s="338"/>
      <c r="BR27" s="363" t="s">
        <v>274</v>
      </c>
      <c r="BS27" s="356" t="n">
        <f aca="false">IFERROR(IF($M27=BR27,($D$8+$D$9+$D$10)*$I27,IF($N27=LEFT(BR27,1),($D$8+MAX(0,IF($D$50=1,$D$9*(1-(ABS($Q27-ABS(VALUE(MID(BR27,FIND("|",BR27)+1,FIND("-",BR27)-FIND("|",BR27)-1))-VALUE(MID(BR27,FIND("-",BR27)+1,10)))))*$D$50),$D$9*(1-(IF($N27="X",ABS($O27-VALUE(MID(BR27,FIND("|",BR27)+1,FIND("-",BR27)-FIND("|",BR27)-1))),ABS($Q27-ABS(VALUE(MID(BR27,FIND("|",BR27)+1,FIND("-",BR27)-FIND("|",BR27)-1))-VALUE(MID(BR27,FIND("-",BR27)+1,10)))))*$D$50)))))*$I27,0)),0)</f>
        <v>0</v>
      </c>
      <c r="BT27" s="338"/>
      <c r="BU27" s="363"/>
      <c r="BV27" s="356" t="n">
        <f aca="false">IFERROR(IF($M27=BU27,($D$8+$D$9+$D$10)*$I27,IF($N27=LEFT(BU27,1),($D$8+MAX(0,IF($D$50=1,$D$9*(1-(ABS($Q27-ABS(VALUE(MID(BU27,FIND("|",BU27)+1,FIND("-",BU27)-FIND("|",BU27)-1))-VALUE(MID(BU27,FIND("-",BU27)+1,10)))))*$D$50),$D$9*(1-(IF($N27="X",ABS($O27-VALUE(MID(BU27,FIND("|",BU27)+1,FIND("-",BU27)-FIND("|",BU27)-1))),ABS($Q27-ABS(VALUE(MID(BU27,FIND("|",BU27)+1,FIND("-",BU27)-FIND("|",BU27)-1))-VALUE(MID(BU27,FIND("-",BU27)+1,10)))))*$D$50)))))*$I27,0)),0)</f>
        <v>0</v>
      </c>
      <c r="BW27" s="338"/>
      <c r="BX27" s="363"/>
      <c r="BY27" s="356" t="n">
        <f aca="false">IFERROR(IF($M27=BX27,($D$8+$D$9+$D$10)*$I27,IF($N27=LEFT(BX27,1),($D$8+MAX(0,IF($D$50=1,$D$9*(1-(ABS($Q27-ABS(VALUE(MID(BX27,FIND("|",BX27)+1,FIND("-",BX27)-FIND("|",BX27)-1))-VALUE(MID(BX27,FIND("-",BX27)+1,10)))))*$D$50),$D$9*(1-(IF($N27="X",ABS($O27-VALUE(MID(BX27,FIND("|",BX27)+1,FIND("-",BX27)-FIND("|",BX27)-1))),ABS($Q27-ABS(VALUE(MID(BX27,FIND("|",BX27)+1,FIND("-",BX27)-FIND("|",BX27)-1))-VALUE(MID(BX27,FIND("-",BX27)+1,10)))))*$D$50)))))*$I27,0)),0)</f>
        <v>0</v>
      </c>
      <c r="BZ27" s="338"/>
      <c r="CA27" s="363"/>
      <c r="CB27" s="356" t="n">
        <f aca="false">IFERROR(IF($M27=CA27,($D$8+$D$9+$D$10)*$I27,IF($N27=LEFT(CA27,1),($D$8+MAX(0,IF($D$50=1,$D$9*(1-(ABS($Q27-ABS(VALUE(MID(CA27,FIND("|",CA27)+1,FIND("-",CA27)-FIND("|",CA27)-1))-VALUE(MID(CA27,FIND("-",CA27)+1,10)))))*$D$50),$D$9*(1-(IF($N27="X",ABS($O27-VALUE(MID(CA27,FIND("|",CA27)+1,FIND("-",CA27)-FIND("|",CA27)-1))),ABS($Q27-ABS(VALUE(MID(CA27,FIND("|",CA27)+1,FIND("-",CA27)-FIND("|",CA27)-1))-VALUE(MID(CA27,FIND("-",CA27)+1,10)))))*$D$50)))))*$I27,0)),0)</f>
        <v>0</v>
      </c>
      <c r="CC27" s="338"/>
      <c r="CD27" s="363"/>
      <c r="CE27" s="356" t="n">
        <f aca="false">IFERROR(IF($M27=CD27,($D$8+$D$9+$D$10)*$I27,IF($N27=LEFT(CD27,1),($D$8+MAX(0,IF($D$50=1,$D$9*(1-(ABS($Q27-ABS(VALUE(MID(CD27,FIND("|",CD27)+1,FIND("-",CD27)-FIND("|",CD27)-1))-VALUE(MID(CD27,FIND("-",CD27)+1,10)))))*$D$50),$D$9*(1-(IF($N27="X",ABS($O27-VALUE(MID(CD27,FIND("|",CD27)+1,FIND("-",CD27)-FIND("|",CD27)-1))),ABS($Q27-ABS(VALUE(MID(CD27,FIND("|",CD27)+1,FIND("-",CD27)-FIND("|",CD27)-1))-VALUE(MID(CD27,FIND("-",CD27)+1,10)))))*$D$50)))))*$I27,0)),0)</f>
        <v>0</v>
      </c>
      <c r="CF27" s="338"/>
      <c r="CG27" s="363"/>
      <c r="CH27" s="356" t="n">
        <f aca="false">IFERROR(IF($M27=CG27,($D$8+$D$9+$D$10)*$I27,IF($N27=LEFT(CG27,1),($D$8+MAX(0,IF($D$50=1,$D$9*(1-(ABS($Q27-ABS(VALUE(MID(CG27,FIND("|",CG27)+1,FIND("-",CG27)-FIND("|",CG27)-1))-VALUE(MID(CG27,FIND("-",CG27)+1,10)))))*$D$50),$D$9*(1-(IF($N27="X",ABS($O27-VALUE(MID(CG27,FIND("|",CG27)+1,FIND("-",CG27)-FIND("|",CG27)-1))),ABS($Q27-ABS(VALUE(MID(CG27,FIND("|",CG27)+1,FIND("-",CG27)-FIND("|",CG27)-1))-VALUE(MID(CG27,FIND("-",CG27)+1,10)))))*$D$50)))))*$I27,0)),0)</f>
        <v>0</v>
      </c>
      <c r="CI27" s="338"/>
      <c r="CJ27" s="363"/>
      <c r="CK27" s="356" t="n">
        <f aca="false">IFERROR(IF($M27=CJ27,($D$8+$D$9+$D$10)*$I27,IF($N27=LEFT(CJ27,1),($D$8+MAX(0,IF($D$50=1,$D$9*(1-(ABS($Q27-ABS(VALUE(MID(CJ27,FIND("|",CJ27)+1,FIND("-",CJ27)-FIND("|",CJ27)-1))-VALUE(MID(CJ27,FIND("-",CJ27)+1,10)))))*$D$50),$D$9*(1-(IF($N27="X",ABS($O27-VALUE(MID(CJ27,FIND("|",CJ27)+1,FIND("-",CJ27)-FIND("|",CJ27)-1))),ABS($Q27-ABS(VALUE(MID(CJ27,FIND("|",CJ27)+1,FIND("-",CJ27)-FIND("|",CJ27)-1))-VALUE(MID(CJ27,FIND("-",CJ27)+1,10)))))*$D$50)))))*$I27,0)),0)</f>
        <v>0</v>
      </c>
      <c r="CL27" s="338"/>
      <c r="CM27" s="363"/>
      <c r="CN27" s="356" t="n">
        <f aca="false">IFERROR(IF($M27=CM27,($D$8+$D$9+$D$10)*$I27,IF($N27=LEFT(CM27,1),($D$8+MAX(0,IF($D$50=1,$D$9*(1-(ABS($Q27-ABS(VALUE(MID(CM27,FIND("|",CM27)+1,FIND("-",CM27)-FIND("|",CM27)-1))-VALUE(MID(CM27,FIND("-",CM27)+1,10)))))*$D$50),$D$9*(1-(IF($N27="X",ABS($O27-VALUE(MID(CM27,FIND("|",CM27)+1,FIND("-",CM27)-FIND("|",CM27)-1))),ABS($Q27-ABS(VALUE(MID(CM27,FIND("|",CM27)+1,FIND("-",CM27)-FIND("|",CM27)-1))-VALUE(MID(CM27,FIND("-",CM27)+1,10)))))*$D$50)))))*$I27,0)),0)</f>
        <v>0</v>
      </c>
      <c r="CO27" s="338"/>
      <c r="CP27" s="363"/>
      <c r="CQ27" s="356" t="n">
        <f aca="false">IFERROR(IF($M27=CP27,($D$8+$D$9+$D$10)*$I27,IF($N27=LEFT(CP27,1),($D$8+MAX(0,IF($D$50=1,$D$9*(1-(ABS($Q27-ABS(VALUE(MID(CP27,FIND("|",CP27)+1,FIND("-",CP27)-FIND("|",CP27)-1))-VALUE(MID(CP27,FIND("-",CP27)+1,10)))))*$D$50),$D$9*(1-(IF($N27="X",ABS($O27-VALUE(MID(CP27,FIND("|",CP27)+1,FIND("-",CP27)-FIND("|",CP27)-1))),ABS($Q27-ABS(VALUE(MID(CP27,FIND("|",CP27)+1,FIND("-",CP27)-FIND("|",CP27)-1))-VALUE(MID(CP27,FIND("-",CP27)+1,10)))))*$D$50)))))*$I27,0)),0)</f>
        <v>0</v>
      </c>
      <c r="CR27" s="338"/>
      <c r="CS27" s="363"/>
      <c r="CT27" s="356" t="n">
        <f aca="false">IFERROR(IF($M27=CS27,($D$8+$D$9+$D$10)*$I27,IF($N27=LEFT(CS27,1),($D$8+MAX(0,IF($D$50=1,$D$9*(1-(ABS($Q27-ABS(VALUE(MID(CS27,FIND("|",CS27)+1,FIND("-",CS27)-FIND("|",CS27)-1))-VALUE(MID(CS27,FIND("-",CS27)+1,10)))))*$D$50),$D$9*(1-(IF($N27="X",ABS($O27-VALUE(MID(CS27,FIND("|",CS27)+1,FIND("-",CS27)-FIND("|",CS27)-1))),ABS($Q27-ABS(VALUE(MID(CS27,FIND("|",CS27)+1,FIND("-",CS27)-FIND("|",CS27)-1))-VALUE(MID(CS27,FIND("-",CS27)+1,10)))))*$D$50)))))*$I27,0)),0)</f>
        <v>0</v>
      </c>
      <c r="CU27" s="338"/>
      <c r="CV27" s="363"/>
      <c r="CW27" s="356" t="n">
        <f aca="false">IFERROR(IF($M27=CV27,($D$8+$D$9+$D$10)*$I27,IF($N27=LEFT(CV27,1),($D$8+MAX(0,IF($D$50=1,$D$9*(1-(ABS($Q27-ABS(VALUE(MID(CV27,FIND("|",CV27)+1,FIND("-",CV27)-FIND("|",CV27)-1))-VALUE(MID(CV27,FIND("-",CV27)+1,10)))))*$D$50),$D$9*(1-(IF($N27="X",ABS($O27-VALUE(MID(CV27,FIND("|",CV27)+1,FIND("-",CV27)-FIND("|",CV27)-1))),ABS($Q27-ABS(VALUE(MID(CV27,FIND("|",CV27)+1,FIND("-",CV27)-FIND("|",CV27)-1))-VALUE(MID(CV27,FIND("-",CV27)+1,10)))))*$D$50)))))*$I27,0)),0)</f>
        <v>0</v>
      </c>
      <c r="CX27" s="338"/>
      <c r="CY27" s="363"/>
      <c r="CZ27" s="356" t="n">
        <f aca="false">IFERROR(IF($M27=CY27,($D$8+$D$9+$D$10)*$I27,IF($N27=LEFT(CY27,1),($D$8+MAX(0,IF($D$50=1,$D$9*(1-(ABS($Q27-ABS(VALUE(MID(CY27,FIND("|",CY27)+1,FIND("-",CY27)-FIND("|",CY27)-1))-VALUE(MID(CY27,FIND("-",CY27)+1,10)))))*$D$50),$D$9*(1-(IF($N27="X",ABS($O27-VALUE(MID(CY27,FIND("|",CY27)+1,FIND("-",CY27)-FIND("|",CY27)-1))),ABS($Q27-ABS(VALUE(MID(CY27,FIND("|",CY27)+1,FIND("-",CY27)-FIND("|",CY27)-1))-VALUE(MID(CY27,FIND("-",CY27)+1,10)))))*$D$50)))))*$I27,0)),0)</f>
        <v>0</v>
      </c>
      <c r="DA27" s="338"/>
      <c r="DB27" s="363"/>
      <c r="DC27" s="356" t="n">
        <f aca="false">IFERROR(IF($M27=DB27,($D$8+$D$9+$D$10)*$I27,IF($N27=LEFT(DB27,1),($D$8+MAX(0,IF($D$50=1,$D$9*(1-(ABS($Q27-ABS(VALUE(MID(DB27,FIND("|",DB27)+1,FIND("-",DB27)-FIND("|",DB27)-1))-VALUE(MID(DB27,FIND("-",DB27)+1,10)))))*$D$50),$D$9*(1-(IF($N27="X",ABS($O27-VALUE(MID(DB27,FIND("|",DB27)+1,FIND("-",DB27)-FIND("|",DB27)-1))),ABS($Q27-ABS(VALUE(MID(DB27,FIND("|",DB27)+1,FIND("-",DB27)-FIND("|",DB27)-1))-VALUE(MID(DB27,FIND("-",DB27)+1,10)))))*$D$50)))))*$I27,0)),0)</f>
        <v>0</v>
      </c>
      <c r="DD27" s="338"/>
      <c r="DE27" s="363"/>
      <c r="DF27" s="356" t="n">
        <f aca="false">IFERROR(IF($M27=DE27,($D$8+$D$9+$D$10)*$I27,IF($N27=LEFT(DE27,1),($D$8+MAX(0,IF($D$50=1,$D$9*(1-(ABS($Q27-ABS(VALUE(MID(DE27,FIND("|",DE27)+1,FIND("-",DE27)-FIND("|",DE27)-1))-VALUE(MID(DE27,FIND("-",DE27)+1,10)))))*$D$50),$D$9*(1-(IF($N27="X",ABS($O27-VALUE(MID(DE27,FIND("|",DE27)+1,FIND("-",DE27)-FIND("|",DE27)-1))),ABS($Q27-ABS(VALUE(MID(DE27,FIND("|",DE27)+1,FIND("-",DE27)-FIND("|",DE27)-1))-VALUE(MID(DE27,FIND("-",DE27)+1,10)))))*$D$50)))))*$I27,0)),0)</f>
        <v>0</v>
      </c>
      <c r="DG27" s="338"/>
      <c r="DH27" s="363"/>
      <c r="DI27" s="356" t="n">
        <f aca="false">IFERROR(IF($M27=DH27,($D$8+$D$9+$D$10)*$I27,IF($N27=LEFT(DH27,1),($D$8+MAX(0,IF($D$50=1,$D$9*(1-(ABS($Q27-ABS(VALUE(MID(DH27,FIND("|",DH27)+1,FIND("-",DH27)-FIND("|",DH27)-1))-VALUE(MID(DH27,FIND("-",DH27)+1,10)))))*$D$50),$D$9*(1-(IF($N27="X",ABS($O27-VALUE(MID(DH27,FIND("|",DH27)+1,FIND("-",DH27)-FIND("|",DH27)-1))),ABS($Q27-ABS(VALUE(MID(DH27,FIND("|",DH27)+1,FIND("-",DH27)-FIND("|",DH27)-1))-VALUE(MID(DH27,FIND("-",DH27)+1,10)))))*$D$50)))))*$I27,0)),0)</f>
        <v>0</v>
      </c>
      <c r="DJ27" s="338"/>
      <c r="DK27" s="363"/>
      <c r="DL27" s="356" t="n">
        <f aca="false">IFERROR(IF($M27=DK27,($D$8+$D$9+$D$10)*$I27,IF($N27=LEFT(DK27,1),($D$8+MAX(0,IF($D$50=1,$D$9*(1-(ABS($Q27-ABS(VALUE(MID(DK27,FIND("|",DK27)+1,FIND("-",DK27)-FIND("|",DK27)-1))-VALUE(MID(DK27,FIND("-",DK27)+1,10)))))*$D$50),$D$9*(1-(IF($N27="X",ABS($O27-VALUE(MID(DK27,FIND("|",DK27)+1,FIND("-",DK27)-FIND("|",DK27)-1))),ABS($Q27-ABS(VALUE(MID(DK27,FIND("|",DK27)+1,FIND("-",DK27)-FIND("|",DK27)-1))-VALUE(MID(DK27,FIND("-",DK27)+1,10)))))*$D$50)))))*$I27,0)),0)</f>
        <v>0</v>
      </c>
      <c r="DM27" s="338"/>
      <c r="DN27" s="363"/>
      <c r="DO27" s="356" t="n">
        <f aca="false">IFERROR(IF($M27=DN27,($D$8+$D$9+$D$10)*$I27,IF($N27=LEFT(DN27,1),($D$8+MAX(0,IF($D$50=1,$D$9*(1-(ABS($Q27-ABS(VALUE(MID(DN27,FIND("|",DN27)+1,FIND("-",DN27)-FIND("|",DN27)-1))-VALUE(MID(DN27,FIND("-",DN27)+1,10)))))*$D$50),$D$9*(1-(IF($N27="X",ABS($O27-VALUE(MID(DN27,FIND("|",DN27)+1,FIND("-",DN27)-FIND("|",DN27)-1))),ABS($Q27-ABS(VALUE(MID(DN27,FIND("|",DN27)+1,FIND("-",DN27)-FIND("|",DN27)-1))-VALUE(MID(DN27,FIND("-",DN27)+1,10)))))*$D$50)))))*$I27,0)),0)</f>
        <v>0</v>
      </c>
      <c r="DP27" s="338"/>
      <c r="DQ27" s="363"/>
      <c r="DR27" s="356" t="n">
        <f aca="false">IFERROR(IF($M27=DQ27,($D$8+$D$9+$D$10)*$I27,IF($N27=LEFT(DQ27,1),($D$8+MAX(0,IF($D$50=1,$D$9*(1-(ABS($Q27-ABS(VALUE(MID(DQ27,FIND("|",DQ27)+1,FIND("-",DQ27)-FIND("|",DQ27)-1))-VALUE(MID(DQ27,FIND("-",DQ27)+1,10)))))*$D$50),$D$9*(1-(IF($N27="X",ABS($O27-VALUE(MID(DQ27,FIND("|",DQ27)+1,FIND("-",DQ27)-FIND("|",DQ27)-1))),ABS($Q27-ABS(VALUE(MID(DQ27,FIND("|",DQ27)+1,FIND("-",DQ27)-FIND("|",DQ27)-1))-VALUE(MID(DQ27,FIND("-",DQ27)+1,10)))))*$D$50)))))*$I27,0)),0)</f>
        <v>0</v>
      </c>
      <c r="DS27" s="338"/>
      <c r="DT27" s="363"/>
      <c r="DU27" s="356" t="n">
        <f aca="false">IFERROR(IF($M27=DT27,($D$8+$D$9+$D$10)*$I27,IF($N27=LEFT(DT27,1),($D$8+MAX(0,IF($D$50=1,$D$9*(1-(ABS($Q27-ABS(VALUE(MID(DT27,FIND("|",DT27)+1,FIND("-",DT27)-FIND("|",DT27)-1))-VALUE(MID(DT27,FIND("-",DT27)+1,10)))))*$D$50),$D$9*(1-(IF($N27="X",ABS($O27-VALUE(MID(DT27,FIND("|",DT27)+1,FIND("-",DT27)-FIND("|",DT27)-1))),ABS($Q27-ABS(VALUE(MID(DT27,FIND("|",DT27)+1,FIND("-",DT27)-FIND("|",DT27)-1))-VALUE(MID(DT27,FIND("-",DT27)+1,10)))))*$D$50)))))*$I27,0)),0)</f>
        <v>0</v>
      </c>
      <c r="DV27" s="338"/>
      <c r="DW27" s="363"/>
      <c r="DX27" s="356" t="n">
        <f aca="false">IFERROR(IF($M27=DW27,($D$8+$D$9+$D$10)*$I27,IF($N27=LEFT(DW27,1),($D$8+MAX(0,IF($D$50=1,$D$9*(1-(ABS($Q27-ABS(VALUE(MID(DW27,FIND("|",DW27)+1,FIND("-",DW27)-FIND("|",DW27)-1))-VALUE(MID(DW27,FIND("-",DW27)+1,10)))))*$D$50),$D$9*(1-(IF($N27="X",ABS($O27-VALUE(MID(DW27,FIND("|",DW27)+1,FIND("-",DW27)-FIND("|",DW27)-1))),ABS($Q27-ABS(VALUE(MID(DW27,FIND("|",DW27)+1,FIND("-",DW27)-FIND("|",DW27)-1))-VALUE(MID(DW27,FIND("-",DW27)+1,10)))))*$D$50)))))*$I27,0)),0)</f>
        <v>0</v>
      </c>
      <c r="DY27" s="338"/>
      <c r="DZ27" s="363"/>
      <c r="EA27" s="356" t="n">
        <f aca="false">IFERROR(IF($M27=DZ27,($D$8+$D$9+$D$10)*$I27,IF($N27=LEFT(DZ27,1),($D$8+MAX(0,IF($D$50=1,$D$9*(1-(ABS($Q27-ABS(VALUE(MID(DZ27,FIND("|",DZ27)+1,FIND("-",DZ27)-FIND("|",DZ27)-1))-VALUE(MID(DZ27,FIND("-",DZ27)+1,10)))))*$D$50),$D$9*(1-(IF($N27="X",ABS($O27-VALUE(MID(DZ27,FIND("|",DZ27)+1,FIND("-",DZ27)-FIND("|",DZ27)-1))),ABS($Q27-ABS(VALUE(MID(DZ27,FIND("|",DZ27)+1,FIND("-",DZ27)-FIND("|",DZ27)-1))-VALUE(MID(DZ27,FIND("-",DZ27)+1,10)))))*$D$50)))))*$I27,0)),0)</f>
        <v>0</v>
      </c>
      <c r="EB27" s="338"/>
      <c r="EC27" s="363"/>
      <c r="ED27" s="356" t="n">
        <f aca="false">IFERROR(IF($M27=EC27,($D$8+$D$9+$D$10)*$I27,IF($N27=LEFT(EC27,1),($D$8+MAX(0,IF($D$50=1,$D$9*(1-(ABS($Q27-ABS(VALUE(MID(EC27,FIND("|",EC27)+1,FIND("-",EC27)-FIND("|",EC27)-1))-VALUE(MID(EC27,FIND("-",EC27)+1,10)))))*$D$50),$D$9*(1-(IF($N27="X",ABS($O27-VALUE(MID(EC27,FIND("|",EC27)+1,FIND("-",EC27)-FIND("|",EC27)-1))),ABS($Q27-ABS(VALUE(MID(EC27,FIND("|",EC27)+1,FIND("-",EC27)-FIND("|",EC27)-1))-VALUE(MID(EC27,FIND("-",EC27)+1,10)))))*$D$50)))))*$I27,0)),0)</f>
        <v>0</v>
      </c>
      <c r="EE27" s="338"/>
      <c r="EF27" s="363"/>
      <c r="EG27" s="356" t="n">
        <f aca="false">IFERROR(IF($M27=EF27,($D$8+$D$9+$D$10)*$I27,IF($N27=LEFT(EF27,1),($D$8+MAX(0,IF($D$50=1,$D$9*(1-(ABS($Q27-ABS(VALUE(MID(EF27,FIND("|",EF27)+1,FIND("-",EF27)-FIND("|",EF27)-1))-VALUE(MID(EF27,FIND("-",EF27)+1,10)))))*$D$50),$D$9*(1-(IF($N27="X",ABS($O27-VALUE(MID(EF27,FIND("|",EF27)+1,FIND("-",EF27)-FIND("|",EF27)-1))),ABS($Q27-ABS(VALUE(MID(EF27,FIND("|",EF27)+1,FIND("-",EF27)-FIND("|",EF27)-1))-VALUE(MID(EF27,FIND("-",EF27)+1,10)))))*$D$50)))))*$I27,0)),0)</f>
        <v>0</v>
      </c>
      <c r="EH27" s="338"/>
      <c r="EI27" s="338"/>
    </row>
    <row r="28" customFormat="false" ht="15" hidden="false" customHeight="false" outlineLevel="0" collapsed="false">
      <c r="A28" s="327"/>
      <c r="B28" s="327"/>
      <c r="C28" s="360" t="str">
        <f aca="false">Idiomas!D324</f>
        <v>SEMIFINALES - Signo 1X2  (local, empate, visitante)</v>
      </c>
      <c r="D28" s="361" t="n">
        <v>6</v>
      </c>
      <c r="E28" s="334"/>
      <c r="F28" s="343" t="n">
        <f aca="false">SUM($D$8:$D$10)*I28</f>
        <v>17</v>
      </c>
      <c r="G28" s="343" t="n">
        <f aca="false">VLOOKUP(H28,Equipos!$Q$1:$R$25,2,0)</f>
        <v>8</v>
      </c>
      <c r="H28" s="351" t="n">
        <f aca="false">TRUNC(INDEX(WORLDCUP!$X$4:$X$147,MATCH(ADMIN!K28,WORLDCUP!$DT$4:$DT$147,0))+INDEX(Horarios!$R$3:$R$86,MATCH(Horarios!$C$3,Horarios!$P$3:$P$86,0))/24)</f>
        <v>46191</v>
      </c>
      <c r="I28" s="352" t="n">
        <v>1</v>
      </c>
      <c r="J28" s="362" t="s">
        <v>295</v>
      </c>
      <c r="K28" s="354" t="str">
        <f aca="false">CONCATENATE(WORLDCUP!AA92,"-",WORLDCUP!AF92)</f>
        <v>Inglaterra-Croacia</v>
      </c>
      <c r="L28" s="354"/>
      <c r="M28" s="359" t="str">
        <f aca="false">IF(OR(WORLDCUP!AC92="",WORLDCUP!AD92=""),"-",N28&amp;"|"&amp;O28&amp;"-"&amp;P28)</f>
        <v>-</v>
      </c>
      <c r="N28" s="332" t="str">
        <f aca="false">IF(OR(WORLDCUP!AC92="",WORLDCUP!AD92=""),"",IF(WORLDCUP!AC92&gt;WORLDCUP!AD92,"1",IF(WORLDCUP!AC92&lt;WORLDCUP!AD92,"2","X")))</f>
        <v/>
      </c>
      <c r="O28" s="332" t="n">
        <f aca="false">WORLDCUP!AC92</f>
        <v>0</v>
      </c>
      <c r="P28" s="332" t="n">
        <f aca="false">WORLDCUP!AD92</f>
        <v>0</v>
      </c>
      <c r="Q28" s="332" t="n">
        <f aca="false">ABS(O28-P28)</f>
        <v>0</v>
      </c>
      <c r="R28" s="327"/>
      <c r="S28" s="363" t="s">
        <v>288</v>
      </c>
      <c r="T28" s="356" t="n">
        <f aca="false">IFERROR(IF($M28=S28,($D$8+$D$9+$D$10)*$I28,IF($N28=LEFT(S28,1),($D$8+MAX(0,IF($D$50=1,$D$9*(1-(ABS($Q28-ABS(VALUE(MID(S28,FIND("|",S28)+1,FIND("-",S28)-FIND("|",S28)-1))-VALUE(MID(S28,FIND("-",S28)+1,10)))))*$D$50),$D$9*(1-(IF($N28="X",ABS($O28-VALUE(MID(S28,FIND("|",S28)+1,FIND("-",S28)-FIND("|",S28)-1))),ABS($Q28-ABS(VALUE(MID(S28,FIND("|",S28)+1,FIND("-",S28)-FIND("|",S28)-1))-VALUE(MID(S28,FIND("-",S28)+1,10)))))*$D$50)))))*$I28,0)),0)</f>
        <v>0</v>
      </c>
      <c r="U28" s="338"/>
      <c r="V28" s="363" t="s">
        <v>264</v>
      </c>
      <c r="W28" s="356" t="n">
        <f aca="false">IFERROR(IF($M28=V28,($D$8+$D$9+$D$10)*$I28,IF($N28=LEFT(V28,1),($D$8+MAX(0,IF($D$50=1,$D$9*(1-(ABS($Q28-ABS(VALUE(MID(V28,FIND("|",V28)+1,FIND("-",V28)-FIND("|",V28)-1))-VALUE(MID(V28,FIND("-",V28)+1,10)))))*$D$50),$D$9*(1-(IF($N28="X",ABS($O28-VALUE(MID(V28,FIND("|",V28)+1,FIND("-",V28)-FIND("|",V28)-1))),ABS($Q28-ABS(VALUE(MID(V28,FIND("|",V28)+1,FIND("-",V28)-FIND("|",V28)-1))-VALUE(MID(V28,FIND("-",V28)+1,10)))))*$D$50)))))*$I28,0)),0)</f>
        <v>0</v>
      </c>
      <c r="X28" s="338"/>
      <c r="Y28" s="363" t="s">
        <v>264</v>
      </c>
      <c r="Z28" s="356" t="n">
        <f aca="false">IFERROR(IF($M28=Y28,($D$8+$D$9+$D$10)*$I28,IF($N28=LEFT(Y28,1),($D$8+MAX(0,IF($D$50=1,$D$9*(1-(ABS($Q28-ABS(VALUE(MID(Y28,FIND("|",Y28)+1,FIND("-",Y28)-FIND("|",Y28)-1))-VALUE(MID(Y28,FIND("-",Y28)+1,10)))))*$D$50),$D$9*(1-(IF($N28="X",ABS($O28-VALUE(MID(Y28,FIND("|",Y28)+1,FIND("-",Y28)-FIND("|",Y28)-1))),ABS($Q28-ABS(VALUE(MID(Y28,FIND("|",Y28)+1,FIND("-",Y28)-FIND("|",Y28)-1))-VALUE(MID(Y28,FIND("-",Y28)+1,10)))))*$D$50)))))*$I28,0)),0)</f>
        <v>0</v>
      </c>
      <c r="AA28" s="338"/>
      <c r="AB28" s="363" t="s">
        <v>269</v>
      </c>
      <c r="AC28" s="356" t="n">
        <f aca="false">IFERROR(IF($M28=AB28,($D$8+$D$9+$D$10)*$I28,IF($N28=LEFT(AB28,1),($D$8+MAX(0,IF($D$50=1,$D$9*(1-(ABS($Q28-ABS(VALUE(MID(AB28,FIND("|",AB28)+1,FIND("-",AB28)-FIND("|",AB28)-1))-VALUE(MID(AB28,FIND("-",AB28)+1,10)))))*$D$50),$D$9*(1-(IF($N28="X",ABS($O28-VALUE(MID(AB28,FIND("|",AB28)+1,FIND("-",AB28)-FIND("|",AB28)-1))),ABS($Q28-ABS(VALUE(MID(AB28,FIND("|",AB28)+1,FIND("-",AB28)-FIND("|",AB28)-1))-VALUE(MID(AB28,FIND("-",AB28)+1,10)))))*$D$50)))))*$I28,0)),0)</f>
        <v>0</v>
      </c>
      <c r="AD28" s="338"/>
      <c r="AE28" s="363" t="s">
        <v>264</v>
      </c>
      <c r="AF28" s="356" t="n">
        <f aca="false">IFERROR(IF($M28=AE28,($D$8+$D$9+$D$10)*$I28,IF($N28=LEFT(AE28,1),($D$8+MAX(0,IF($D$50=1,$D$9*(1-(ABS($Q28-ABS(VALUE(MID(AE28,FIND("|",AE28)+1,FIND("-",AE28)-FIND("|",AE28)-1))-VALUE(MID(AE28,FIND("-",AE28)+1,10)))))*$D$50),$D$9*(1-(IF($N28="X",ABS($O28-VALUE(MID(AE28,FIND("|",AE28)+1,FIND("-",AE28)-FIND("|",AE28)-1))),ABS($Q28-ABS(VALUE(MID(AE28,FIND("|",AE28)+1,FIND("-",AE28)-FIND("|",AE28)-1))-VALUE(MID(AE28,FIND("-",AE28)+1,10)))))*$D$50)))))*$I28,0)),0)</f>
        <v>0</v>
      </c>
      <c r="AG28" s="338"/>
      <c r="AH28" s="363" t="s">
        <v>264</v>
      </c>
      <c r="AI28" s="356" t="n">
        <f aca="false">IFERROR(IF($M28=AH28,($D$8+$D$9+$D$10)*$I28,IF($N28=LEFT(AH28,1),($D$8+MAX(0,IF($D$50=1,$D$9*(1-(ABS($Q28-ABS(VALUE(MID(AH28,FIND("|",AH28)+1,FIND("-",AH28)-FIND("|",AH28)-1))-VALUE(MID(AH28,FIND("-",AH28)+1,10)))))*$D$50),$D$9*(1-(IF($N28="X",ABS($O28-VALUE(MID(AH28,FIND("|",AH28)+1,FIND("-",AH28)-FIND("|",AH28)-1))),ABS($Q28-ABS(VALUE(MID(AH28,FIND("|",AH28)+1,FIND("-",AH28)-FIND("|",AH28)-1))-VALUE(MID(AH28,FIND("-",AH28)+1,10)))))*$D$50)))))*$I28,0)),0)</f>
        <v>0</v>
      </c>
      <c r="AJ28" s="338"/>
      <c r="AK28" s="363" t="s">
        <v>264</v>
      </c>
      <c r="AL28" s="356" t="n">
        <f aca="false">IFERROR(IF($M28=AK28,($D$8+$D$9+$D$10)*$I28,IF($N28=LEFT(AK28,1),($D$8+MAX(0,IF($D$50=1,$D$9*(1-(ABS($Q28-ABS(VALUE(MID(AK28,FIND("|",AK28)+1,FIND("-",AK28)-FIND("|",AK28)-1))-VALUE(MID(AK28,FIND("-",AK28)+1,10)))))*$D$50),$D$9*(1-(IF($N28="X",ABS($O28-VALUE(MID(AK28,FIND("|",AK28)+1,FIND("-",AK28)-FIND("|",AK28)-1))),ABS($Q28-ABS(VALUE(MID(AK28,FIND("|",AK28)+1,FIND("-",AK28)-FIND("|",AK28)-1))-VALUE(MID(AK28,FIND("-",AK28)+1,10)))))*$D$50)))))*$I28,0)),0)</f>
        <v>0</v>
      </c>
      <c r="AM28" s="338"/>
      <c r="AN28" s="363" t="s">
        <v>265</v>
      </c>
      <c r="AO28" s="356" t="n">
        <f aca="false">IFERROR(IF($M28=AN28,($D$8+$D$9+$D$10)*$I28,IF($N28=LEFT(AN28,1),($D$8+MAX(0,IF($D$50=1,$D$9*(1-(ABS($Q28-ABS(VALUE(MID(AN28,FIND("|",AN28)+1,FIND("-",AN28)-FIND("|",AN28)-1))-VALUE(MID(AN28,FIND("-",AN28)+1,10)))))*$D$50),$D$9*(1-(IF($N28="X",ABS($O28-VALUE(MID(AN28,FIND("|",AN28)+1,FIND("-",AN28)-FIND("|",AN28)-1))),ABS($Q28-ABS(VALUE(MID(AN28,FIND("|",AN28)+1,FIND("-",AN28)-FIND("|",AN28)-1))-VALUE(MID(AN28,FIND("-",AN28)+1,10)))))*$D$50)))))*$I28,0)),0)</f>
        <v>0</v>
      </c>
      <c r="AP28" s="338"/>
      <c r="AQ28" s="363" t="s">
        <v>267</v>
      </c>
      <c r="AR28" s="356" t="n">
        <f aca="false">IFERROR(IF($M28=AQ28,($D$8+$D$9+$D$10)*$I28,IF($N28=LEFT(AQ28,1),($D$8+MAX(0,IF($D$50=1,$D$9*(1-(ABS($Q28-ABS(VALUE(MID(AQ28,FIND("|",AQ28)+1,FIND("-",AQ28)-FIND("|",AQ28)-1))-VALUE(MID(AQ28,FIND("-",AQ28)+1,10)))))*$D$50),$D$9*(1-(IF($N28="X",ABS($O28-VALUE(MID(AQ28,FIND("|",AQ28)+1,FIND("-",AQ28)-FIND("|",AQ28)-1))),ABS($Q28-ABS(VALUE(MID(AQ28,FIND("|",AQ28)+1,FIND("-",AQ28)-FIND("|",AQ28)-1))-VALUE(MID(AQ28,FIND("-",AQ28)+1,10)))))*$D$50)))))*$I28,0)),0)</f>
        <v>0</v>
      </c>
      <c r="AS28" s="338"/>
      <c r="AT28" s="363" t="s">
        <v>267</v>
      </c>
      <c r="AU28" s="356" t="n">
        <f aca="false">IFERROR(IF($M28=AT28,($D$8+$D$9+$D$10)*$I28,IF($N28=LEFT(AT28,1),($D$8+MAX(0,IF($D$50=1,$D$9*(1-(ABS($Q28-ABS(VALUE(MID(AT28,FIND("|",AT28)+1,FIND("-",AT28)-FIND("|",AT28)-1))-VALUE(MID(AT28,FIND("-",AT28)+1,10)))))*$D$50),$D$9*(1-(IF($N28="X",ABS($O28-VALUE(MID(AT28,FIND("|",AT28)+1,FIND("-",AT28)-FIND("|",AT28)-1))),ABS($Q28-ABS(VALUE(MID(AT28,FIND("|",AT28)+1,FIND("-",AT28)-FIND("|",AT28)-1))-VALUE(MID(AT28,FIND("-",AT28)+1,10)))))*$D$50)))))*$I28,0)),0)</f>
        <v>0</v>
      </c>
      <c r="AV28" s="338"/>
      <c r="AW28" s="363" t="s">
        <v>264</v>
      </c>
      <c r="AX28" s="356" t="n">
        <f aca="false">IFERROR(IF($M28=AW28,($D$8+$D$9+$D$10)*$I28,IF($N28=LEFT(AW28,1),($D$8+MAX(0,IF($D$50=1,$D$9*(1-(ABS($Q28-ABS(VALUE(MID(AW28,FIND("|",AW28)+1,FIND("-",AW28)-FIND("|",AW28)-1))-VALUE(MID(AW28,FIND("-",AW28)+1,10)))))*$D$50),$D$9*(1-(IF($N28="X",ABS($O28-VALUE(MID(AW28,FIND("|",AW28)+1,FIND("-",AW28)-FIND("|",AW28)-1))),ABS($Q28-ABS(VALUE(MID(AW28,FIND("|",AW28)+1,FIND("-",AW28)-FIND("|",AW28)-1))-VALUE(MID(AW28,FIND("-",AW28)+1,10)))))*$D$50)))))*$I28,0)),0)</f>
        <v>0</v>
      </c>
      <c r="AY28" s="338"/>
      <c r="AZ28" s="363" t="s">
        <v>288</v>
      </c>
      <c r="BA28" s="356" t="n">
        <f aca="false">IFERROR(IF($M28=AZ28,($D$8+$D$9+$D$10)*$I28,IF($N28=LEFT(AZ28,1),($D$8+MAX(0,IF($D$50=1,$D$9*(1-(ABS($Q28-ABS(VALUE(MID(AZ28,FIND("|",AZ28)+1,FIND("-",AZ28)-FIND("|",AZ28)-1))-VALUE(MID(AZ28,FIND("-",AZ28)+1,10)))))*$D$50),$D$9*(1-(IF($N28="X",ABS($O28-VALUE(MID(AZ28,FIND("|",AZ28)+1,FIND("-",AZ28)-FIND("|",AZ28)-1))),ABS($Q28-ABS(VALUE(MID(AZ28,FIND("|",AZ28)+1,FIND("-",AZ28)-FIND("|",AZ28)-1))-VALUE(MID(AZ28,FIND("-",AZ28)+1,10)))))*$D$50)))))*$I28,0)),0)</f>
        <v>0</v>
      </c>
      <c r="BB28" s="338"/>
      <c r="BC28" s="363" t="s">
        <v>267</v>
      </c>
      <c r="BD28" s="356" t="n">
        <f aca="false">IFERROR(IF($M28=BC28,($D$8+$D$9+$D$10)*$I28,IF($N28=LEFT(BC28,1),($D$8+MAX(0,IF($D$50=1,$D$9*(1-(ABS($Q28-ABS(VALUE(MID(BC28,FIND("|",BC28)+1,FIND("-",BC28)-FIND("|",BC28)-1))-VALUE(MID(BC28,FIND("-",BC28)+1,10)))))*$D$50),$D$9*(1-(IF($N28="X",ABS($O28-VALUE(MID(BC28,FIND("|",BC28)+1,FIND("-",BC28)-FIND("|",BC28)-1))),ABS($Q28-ABS(VALUE(MID(BC28,FIND("|",BC28)+1,FIND("-",BC28)-FIND("|",BC28)-1))-VALUE(MID(BC28,FIND("-",BC28)+1,10)))))*$D$50)))))*$I28,0)),0)</f>
        <v>0</v>
      </c>
      <c r="BE28" s="338"/>
      <c r="BF28" s="363" t="s">
        <v>265</v>
      </c>
      <c r="BG28" s="356" t="n">
        <f aca="false">IFERROR(IF($M28=BF28,($D$8+$D$9+$D$10)*$I28,IF($N28=LEFT(BF28,1),($D$8+MAX(0,IF($D$50=1,$D$9*(1-(ABS($Q28-ABS(VALUE(MID(BF28,FIND("|",BF28)+1,FIND("-",BF28)-FIND("|",BF28)-1))-VALUE(MID(BF28,FIND("-",BF28)+1,10)))))*$D$50),$D$9*(1-(IF($N28="X",ABS($O28-VALUE(MID(BF28,FIND("|",BF28)+1,FIND("-",BF28)-FIND("|",BF28)-1))),ABS($Q28-ABS(VALUE(MID(BF28,FIND("|",BF28)+1,FIND("-",BF28)-FIND("|",BF28)-1))-VALUE(MID(BF28,FIND("-",BF28)+1,10)))))*$D$50)))))*$I28,0)),0)</f>
        <v>0</v>
      </c>
      <c r="BH28" s="338"/>
      <c r="BI28" s="363" t="s">
        <v>265</v>
      </c>
      <c r="BJ28" s="356" t="n">
        <f aca="false">IFERROR(IF($M28=BI28,($D$8+$D$9+$D$10)*$I28,IF($N28=LEFT(BI28,1),($D$8+MAX(0,IF($D$50=1,$D$9*(1-(ABS($Q28-ABS(VALUE(MID(BI28,FIND("|",BI28)+1,FIND("-",BI28)-FIND("|",BI28)-1))-VALUE(MID(BI28,FIND("-",BI28)+1,10)))))*$D$50),$D$9*(1-(IF($N28="X",ABS($O28-VALUE(MID(BI28,FIND("|",BI28)+1,FIND("-",BI28)-FIND("|",BI28)-1))),ABS($Q28-ABS(VALUE(MID(BI28,FIND("|",BI28)+1,FIND("-",BI28)-FIND("|",BI28)-1))-VALUE(MID(BI28,FIND("-",BI28)+1,10)))))*$D$50)))))*$I28,0)),0)</f>
        <v>0</v>
      </c>
      <c r="BK28" s="338"/>
      <c r="BL28" s="363" t="s">
        <v>266</v>
      </c>
      <c r="BM28" s="356" t="n">
        <f aca="false">IFERROR(IF($M28=BL28,($D$8+$D$9+$D$10)*$I28,IF($N28=LEFT(BL28,1),($D$8+MAX(0,IF($D$50=1,$D$9*(1-(ABS($Q28-ABS(VALUE(MID(BL28,FIND("|",BL28)+1,FIND("-",BL28)-FIND("|",BL28)-1))-VALUE(MID(BL28,FIND("-",BL28)+1,10)))))*$D$50),$D$9*(1-(IF($N28="X",ABS($O28-VALUE(MID(BL28,FIND("|",BL28)+1,FIND("-",BL28)-FIND("|",BL28)-1))),ABS($Q28-ABS(VALUE(MID(BL28,FIND("|",BL28)+1,FIND("-",BL28)-FIND("|",BL28)-1))-VALUE(MID(BL28,FIND("-",BL28)+1,10)))))*$D$50)))))*$I28,0)),0)</f>
        <v>0</v>
      </c>
      <c r="BN28" s="338"/>
      <c r="BO28" s="363" t="s">
        <v>266</v>
      </c>
      <c r="BP28" s="356" t="n">
        <f aca="false">IFERROR(IF($M28=BO28,($D$8+$D$9+$D$10)*$I28,IF($N28=LEFT(BO28,1),($D$8+MAX(0,IF($D$50=1,$D$9*(1-(ABS($Q28-ABS(VALUE(MID(BO28,FIND("|",BO28)+1,FIND("-",BO28)-FIND("|",BO28)-1))-VALUE(MID(BO28,FIND("-",BO28)+1,10)))))*$D$50),$D$9*(1-(IF($N28="X",ABS($O28-VALUE(MID(BO28,FIND("|",BO28)+1,FIND("-",BO28)-FIND("|",BO28)-1))),ABS($Q28-ABS(VALUE(MID(BO28,FIND("|",BO28)+1,FIND("-",BO28)-FIND("|",BO28)-1))-VALUE(MID(BO28,FIND("-",BO28)+1,10)))))*$D$50)))))*$I28,0)),0)</f>
        <v>0</v>
      </c>
      <c r="BQ28" s="338"/>
      <c r="BR28" s="363" t="s">
        <v>264</v>
      </c>
      <c r="BS28" s="356" t="n">
        <f aca="false">IFERROR(IF($M28=BR28,($D$8+$D$9+$D$10)*$I28,IF($N28=LEFT(BR28,1),($D$8+MAX(0,IF($D$50=1,$D$9*(1-(ABS($Q28-ABS(VALUE(MID(BR28,FIND("|",BR28)+1,FIND("-",BR28)-FIND("|",BR28)-1))-VALUE(MID(BR28,FIND("-",BR28)+1,10)))))*$D$50),$D$9*(1-(IF($N28="X",ABS($O28-VALUE(MID(BR28,FIND("|",BR28)+1,FIND("-",BR28)-FIND("|",BR28)-1))),ABS($Q28-ABS(VALUE(MID(BR28,FIND("|",BR28)+1,FIND("-",BR28)-FIND("|",BR28)-1))-VALUE(MID(BR28,FIND("-",BR28)+1,10)))))*$D$50)))))*$I28,0)),0)</f>
        <v>0</v>
      </c>
      <c r="BT28" s="338"/>
      <c r="BU28" s="363"/>
      <c r="BV28" s="356" t="n">
        <f aca="false">IFERROR(IF($M28=BU28,($D$8+$D$9+$D$10)*$I28,IF($N28=LEFT(BU28,1),($D$8+MAX(0,IF($D$50=1,$D$9*(1-(ABS($Q28-ABS(VALUE(MID(BU28,FIND("|",BU28)+1,FIND("-",BU28)-FIND("|",BU28)-1))-VALUE(MID(BU28,FIND("-",BU28)+1,10)))))*$D$50),$D$9*(1-(IF($N28="X",ABS($O28-VALUE(MID(BU28,FIND("|",BU28)+1,FIND("-",BU28)-FIND("|",BU28)-1))),ABS($Q28-ABS(VALUE(MID(BU28,FIND("|",BU28)+1,FIND("-",BU28)-FIND("|",BU28)-1))-VALUE(MID(BU28,FIND("-",BU28)+1,10)))))*$D$50)))))*$I28,0)),0)</f>
        <v>0</v>
      </c>
      <c r="BW28" s="338"/>
      <c r="BX28" s="363"/>
      <c r="BY28" s="356" t="n">
        <f aca="false">IFERROR(IF($M28=BX28,($D$8+$D$9+$D$10)*$I28,IF($N28=LEFT(BX28,1),($D$8+MAX(0,IF($D$50=1,$D$9*(1-(ABS($Q28-ABS(VALUE(MID(BX28,FIND("|",BX28)+1,FIND("-",BX28)-FIND("|",BX28)-1))-VALUE(MID(BX28,FIND("-",BX28)+1,10)))))*$D$50),$D$9*(1-(IF($N28="X",ABS($O28-VALUE(MID(BX28,FIND("|",BX28)+1,FIND("-",BX28)-FIND("|",BX28)-1))),ABS($Q28-ABS(VALUE(MID(BX28,FIND("|",BX28)+1,FIND("-",BX28)-FIND("|",BX28)-1))-VALUE(MID(BX28,FIND("-",BX28)+1,10)))))*$D$50)))))*$I28,0)),0)</f>
        <v>0</v>
      </c>
      <c r="BZ28" s="338"/>
      <c r="CA28" s="363"/>
      <c r="CB28" s="356" t="n">
        <f aca="false">IFERROR(IF($M28=CA28,($D$8+$D$9+$D$10)*$I28,IF($N28=LEFT(CA28,1),($D$8+MAX(0,IF($D$50=1,$D$9*(1-(ABS($Q28-ABS(VALUE(MID(CA28,FIND("|",CA28)+1,FIND("-",CA28)-FIND("|",CA28)-1))-VALUE(MID(CA28,FIND("-",CA28)+1,10)))))*$D$50),$D$9*(1-(IF($N28="X",ABS($O28-VALUE(MID(CA28,FIND("|",CA28)+1,FIND("-",CA28)-FIND("|",CA28)-1))),ABS($Q28-ABS(VALUE(MID(CA28,FIND("|",CA28)+1,FIND("-",CA28)-FIND("|",CA28)-1))-VALUE(MID(CA28,FIND("-",CA28)+1,10)))))*$D$50)))))*$I28,0)),0)</f>
        <v>0</v>
      </c>
      <c r="CC28" s="338"/>
      <c r="CD28" s="363"/>
      <c r="CE28" s="356" t="n">
        <f aca="false">IFERROR(IF($M28=CD28,($D$8+$D$9+$D$10)*$I28,IF($N28=LEFT(CD28,1),($D$8+MAX(0,IF($D$50=1,$D$9*(1-(ABS($Q28-ABS(VALUE(MID(CD28,FIND("|",CD28)+1,FIND("-",CD28)-FIND("|",CD28)-1))-VALUE(MID(CD28,FIND("-",CD28)+1,10)))))*$D$50),$D$9*(1-(IF($N28="X",ABS($O28-VALUE(MID(CD28,FIND("|",CD28)+1,FIND("-",CD28)-FIND("|",CD28)-1))),ABS($Q28-ABS(VALUE(MID(CD28,FIND("|",CD28)+1,FIND("-",CD28)-FIND("|",CD28)-1))-VALUE(MID(CD28,FIND("-",CD28)+1,10)))))*$D$50)))))*$I28,0)),0)</f>
        <v>0</v>
      </c>
      <c r="CF28" s="338"/>
      <c r="CG28" s="363"/>
      <c r="CH28" s="356" t="n">
        <f aca="false">IFERROR(IF($M28=CG28,($D$8+$D$9+$D$10)*$I28,IF($N28=LEFT(CG28,1),($D$8+MAX(0,IF($D$50=1,$D$9*(1-(ABS($Q28-ABS(VALUE(MID(CG28,FIND("|",CG28)+1,FIND("-",CG28)-FIND("|",CG28)-1))-VALUE(MID(CG28,FIND("-",CG28)+1,10)))))*$D$50),$D$9*(1-(IF($N28="X",ABS($O28-VALUE(MID(CG28,FIND("|",CG28)+1,FIND("-",CG28)-FIND("|",CG28)-1))),ABS($Q28-ABS(VALUE(MID(CG28,FIND("|",CG28)+1,FIND("-",CG28)-FIND("|",CG28)-1))-VALUE(MID(CG28,FIND("-",CG28)+1,10)))))*$D$50)))))*$I28,0)),0)</f>
        <v>0</v>
      </c>
      <c r="CI28" s="338"/>
      <c r="CJ28" s="363"/>
      <c r="CK28" s="356" t="n">
        <f aca="false">IFERROR(IF($M28=CJ28,($D$8+$D$9+$D$10)*$I28,IF($N28=LEFT(CJ28,1),($D$8+MAX(0,IF($D$50=1,$D$9*(1-(ABS($Q28-ABS(VALUE(MID(CJ28,FIND("|",CJ28)+1,FIND("-",CJ28)-FIND("|",CJ28)-1))-VALUE(MID(CJ28,FIND("-",CJ28)+1,10)))))*$D$50),$D$9*(1-(IF($N28="X",ABS($O28-VALUE(MID(CJ28,FIND("|",CJ28)+1,FIND("-",CJ28)-FIND("|",CJ28)-1))),ABS($Q28-ABS(VALUE(MID(CJ28,FIND("|",CJ28)+1,FIND("-",CJ28)-FIND("|",CJ28)-1))-VALUE(MID(CJ28,FIND("-",CJ28)+1,10)))))*$D$50)))))*$I28,0)),0)</f>
        <v>0</v>
      </c>
      <c r="CL28" s="338"/>
      <c r="CM28" s="363"/>
      <c r="CN28" s="356" t="n">
        <f aca="false">IFERROR(IF($M28=CM28,($D$8+$D$9+$D$10)*$I28,IF($N28=LEFT(CM28,1),($D$8+MAX(0,IF($D$50=1,$D$9*(1-(ABS($Q28-ABS(VALUE(MID(CM28,FIND("|",CM28)+1,FIND("-",CM28)-FIND("|",CM28)-1))-VALUE(MID(CM28,FIND("-",CM28)+1,10)))))*$D$50),$D$9*(1-(IF($N28="X",ABS($O28-VALUE(MID(CM28,FIND("|",CM28)+1,FIND("-",CM28)-FIND("|",CM28)-1))),ABS($Q28-ABS(VALUE(MID(CM28,FIND("|",CM28)+1,FIND("-",CM28)-FIND("|",CM28)-1))-VALUE(MID(CM28,FIND("-",CM28)+1,10)))))*$D$50)))))*$I28,0)),0)</f>
        <v>0</v>
      </c>
      <c r="CO28" s="338"/>
      <c r="CP28" s="363"/>
      <c r="CQ28" s="356" t="n">
        <f aca="false">IFERROR(IF($M28=CP28,($D$8+$D$9+$D$10)*$I28,IF($N28=LEFT(CP28,1),($D$8+MAX(0,IF($D$50=1,$D$9*(1-(ABS($Q28-ABS(VALUE(MID(CP28,FIND("|",CP28)+1,FIND("-",CP28)-FIND("|",CP28)-1))-VALUE(MID(CP28,FIND("-",CP28)+1,10)))))*$D$50),$D$9*(1-(IF($N28="X",ABS($O28-VALUE(MID(CP28,FIND("|",CP28)+1,FIND("-",CP28)-FIND("|",CP28)-1))),ABS($Q28-ABS(VALUE(MID(CP28,FIND("|",CP28)+1,FIND("-",CP28)-FIND("|",CP28)-1))-VALUE(MID(CP28,FIND("-",CP28)+1,10)))))*$D$50)))))*$I28,0)),0)</f>
        <v>0</v>
      </c>
      <c r="CR28" s="338"/>
      <c r="CS28" s="363"/>
      <c r="CT28" s="356" t="n">
        <f aca="false">IFERROR(IF($M28=CS28,($D$8+$D$9+$D$10)*$I28,IF($N28=LEFT(CS28,1),($D$8+MAX(0,IF($D$50=1,$D$9*(1-(ABS($Q28-ABS(VALUE(MID(CS28,FIND("|",CS28)+1,FIND("-",CS28)-FIND("|",CS28)-1))-VALUE(MID(CS28,FIND("-",CS28)+1,10)))))*$D$50),$D$9*(1-(IF($N28="X",ABS($O28-VALUE(MID(CS28,FIND("|",CS28)+1,FIND("-",CS28)-FIND("|",CS28)-1))),ABS($Q28-ABS(VALUE(MID(CS28,FIND("|",CS28)+1,FIND("-",CS28)-FIND("|",CS28)-1))-VALUE(MID(CS28,FIND("-",CS28)+1,10)))))*$D$50)))))*$I28,0)),0)</f>
        <v>0</v>
      </c>
      <c r="CU28" s="338"/>
      <c r="CV28" s="363"/>
      <c r="CW28" s="356" t="n">
        <f aca="false">IFERROR(IF($M28=CV28,($D$8+$D$9+$D$10)*$I28,IF($N28=LEFT(CV28,1),($D$8+MAX(0,IF($D$50=1,$D$9*(1-(ABS($Q28-ABS(VALUE(MID(CV28,FIND("|",CV28)+1,FIND("-",CV28)-FIND("|",CV28)-1))-VALUE(MID(CV28,FIND("-",CV28)+1,10)))))*$D$50),$D$9*(1-(IF($N28="X",ABS($O28-VALUE(MID(CV28,FIND("|",CV28)+1,FIND("-",CV28)-FIND("|",CV28)-1))),ABS($Q28-ABS(VALUE(MID(CV28,FIND("|",CV28)+1,FIND("-",CV28)-FIND("|",CV28)-1))-VALUE(MID(CV28,FIND("-",CV28)+1,10)))))*$D$50)))))*$I28,0)),0)</f>
        <v>0</v>
      </c>
      <c r="CX28" s="338"/>
      <c r="CY28" s="363"/>
      <c r="CZ28" s="356" t="n">
        <f aca="false">IFERROR(IF($M28=CY28,($D$8+$D$9+$D$10)*$I28,IF($N28=LEFT(CY28,1),($D$8+MAX(0,IF($D$50=1,$D$9*(1-(ABS($Q28-ABS(VALUE(MID(CY28,FIND("|",CY28)+1,FIND("-",CY28)-FIND("|",CY28)-1))-VALUE(MID(CY28,FIND("-",CY28)+1,10)))))*$D$50),$D$9*(1-(IF($N28="X",ABS($O28-VALUE(MID(CY28,FIND("|",CY28)+1,FIND("-",CY28)-FIND("|",CY28)-1))),ABS($Q28-ABS(VALUE(MID(CY28,FIND("|",CY28)+1,FIND("-",CY28)-FIND("|",CY28)-1))-VALUE(MID(CY28,FIND("-",CY28)+1,10)))))*$D$50)))))*$I28,0)),0)</f>
        <v>0</v>
      </c>
      <c r="DA28" s="338"/>
      <c r="DB28" s="363"/>
      <c r="DC28" s="356" t="n">
        <f aca="false">IFERROR(IF($M28=DB28,($D$8+$D$9+$D$10)*$I28,IF($N28=LEFT(DB28,1),($D$8+MAX(0,IF($D$50=1,$D$9*(1-(ABS($Q28-ABS(VALUE(MID(DB28,FIND("|",DB28)+1,FIND("-",DB28)-FIND("|",DB28)-1))-VALUE(MID(DB28,FIND("-",DB28)+1,10)))))*$D$50),$D$9*(1-(IF($N28="X",ABS($O28-VALUE(MID(DB28,FIND("|",DB28)+1,FIND("-",DB28)-FIND("|",DB28)-1))),ABS($Q28-ABS(VALUE(MID(DB28,FIND("|",DB28)+1,FIND("-",DB28)-FIND("|",DB28)-1))-VALUE(MID(DB28,FIND("-",DB28)+1,10)))))*$D$50)))))*$I28,0)),0)</f>
        <v>0</v>
      </c>
      <c r="DD28" s="338"/>
      <c r="DE28" s="363"/>
      <c r="DF28" s="356" t="n">
        <f aca="false">IFERROR(IF($M28=DE28,($D$8+$D$9+$D$10)*$I28,IF($N28=LEFT(DE28,1),($D$8+MAX(0,IF($D$50=1,$D$9*(1-(ABS($Q28-ABS(VALUE(MID(DE28,FIND("|",DE28)+1,FIND("-",DE28)-FIND("|",DE28)-1))-VALUE(MID(DE28,FIND("-",DE28)+1,10)))))*$D$50),$D$9*(1-(IF($N28="X",ABS($O28-VALUE(MID(DE28,FIND("|",DE28)+1,FIND("-",DE28)-FIND("|",DE28)-1))),ABS($Q28-ABS(VALUE(MID(DE28,FIND("|",DE28)+1,FIND("-",DE28)-FIND("|",DE28)-1))-VALUE(MID(DE28,FIND("-",DE28)+1,10)))))*$D$50)))))*$I28,0)),0)</f>
        <v>0</v>
      </c>
      <c r="DG28" s="338"/>
      <c r="DH28" s="363"/>
      <c r="DI28" s="356" t="n">
        <f aca="false">IFERROR(IF($M28=DH28,($D$8+$D$9+$D$10)*$I28,IF($N28=LEFT(DH28,1),($D$8+MAX(0,IF($D$50=1,$D$9*(1-(ABS($Q28-ABS(VALUE(MID(DH28,FIND("|",DH28)+1,FIND("-",DH28)-FIND("|",DH28)-1))-VALUE(MID(DH28,FIND("-",DH28)+1,10)))))*$D$50),$D$9*(1-(IF($N28="X",ABS($O28-VALUE(MID(DH28,FIND("|",DH28)+1,FIND("-",DH28)-FIND("|",DH28)-1))),ABS($Q28-ABS(VALUE(MID(DH28,FIND("|",DH28)+1,FIND("-",DH28)-FIND("|",DH28)-1))-VALUE(MID(DH28,FIND("-",DH28)+1,10)))))*$D$50)))))*$I28,0)),0)</f>
        <v>0</v>
      </c>
      <c r="DJ28" s="338"/>
      <c r="DK28" s="363"/>
      <c r="DL28" s="356" t="n">
        <f aca="false">IFERROR(IF($M28=DK28,($D$8+$D$9+$D$10)*$I28,IF($N28=LEFT(DK28,1),($D$8+MAX(0,IF($D$50=1,$D$9*(1-(ABS($Q28-ABS(VALUE(MID(DK28,FIND("|",DK28)+1,FIND("-",DK28)-FIND("|",DK28)-1))-VALUE(MID(DK28,FIND("-",DK28)+1,10)))))*$D$50),$D$9*(1-(IF($N28="X",ABS($O28-VALUE(MID(DK28,FIND("|",DK28)+1,FIND("-",DK28)-FIND("|",DK28)-1))),ABS($Q28-ABS(VALUE(MID(DK28,FIND("|",DK28)+1,FIND("-",DK28)-FIND("|",DK28)-1))-VALUE(MID(DK28,FIND("-",DK28)+1,10)))))*$D$50)))))*$I28,0)),0)</f>
        <v>0</v>
      </c>
      <c r="DM28" s="338"/>
      <c r="DN28" s="363"/>
      <c r="DO28" s="356" t="n">
        <f aca="false">IFERROR(IF($M28=DN28,($D$8+$D$9+$D$10)*$I28,IF($N28=LEFT(DN28,1),($D$8+MAX(0,IF($D$50=1,$D$9*(1-(ABS($Q28-ABS(VALUE(MID(DN28,FIND("|",DN28)+1,FIND("-",DN28)-FIND("|",DN28)-1))-VALUE(MID(DN28,FIND("-",DN28)+1,10)))))*$D$50),$D$9*(1-(IF($N28="X",ABS($O28-VALUE(MID(DN28,FIND("|",DN28)+1,FIND("-",DN28)-FIND("|",DN28)-1))),ABS($Q28-ABS(VALUE(MID(DN28,FIND("|",DN28)+1,FIND("-",DN28)-FIND("|",DN28)-1))-VALUE(MID(DN28,FIND("-",DN28)+1,10)))))*$D$50)))))*$I28,0)),0)</f>
        <v>0</v>
      </c>
      <c r="DP28" s="338"/>
      <c r="DQ28" s="363"/>
      <c r="DR28" s="356" t="n">
        <f aca="false">IFERROR(IF($M28=DQ28,($D$8+$D$9+$D$10)*$I28,IF($N28=LEFT(DQ28,1),($D$8+MAX(0,IF($D$50=1,$D$9*(1-(ABS($Q28-ABS(VALUE(MID(DQ28,FIND("|",DQ28)+1,FIND("-",DQ28)-FIND("|",DQ28)-1))-VALUE(MID(DQ28,FIND("-",DQ28)+1,10)))))*$D$50),$D$9*(1-(IF($N28="X",ABS($O28-VALUE(MID(DQ28,FIND("|",DQ28)+1,FIND("-",DQ28)-FIND("|",DQ28)-1))),ABS($Q28-ABS(VALUE(MID(DQ28,FIND("|",DQ28)+1,FIND("-",DQ28)-FIND("|",DQ28)-1))-VALUE(MID(DQ28,FIND("-",DQ28)+1,10)))))*$D$50)))))*$I28,0)),0)</f>
        <v>0</v>
      </c>
      <c r="DS28" s="338"/>
      <c r="DT28" s="363"/>
      <c r="DU28" s="356" t="n">
        <f aca="false">IFERROR(IF($M28=DT28,($D$8+$D$9+$D$10)*$I28,IF($N28=LEFT(DT28,1),($D$8+MAX(0,IF($D$50=1,$D$9*(1-(ABS($Q28-ABS(VALUE(MID(DT28,FIND("|",DT28)+1,FIND("-",DT28)-FIND("|",DT28)-1))-VALUE(MID(DT28,FIND("-",DT28)+1,10)))))*$D$50),$D$9*(1-(IF($N28="X",ABS($O28-VALUE(MID(DT28,FIND("|",DT28)+1,FIND("-",DT28)-FIND("|",DT28)-1))),ABS($Q28-ABS(VALUE(MID(DT28,FIND("|",DT28)+1,FIND("-",DT28)-FIND("|",DT28)-1))-VALUE(MID(DT28,FIND("-",DT28)+1,10)))))*$D$50)))))*$I28,0)),0)</f>
        <v>0</v>
      </c>
      <c r="DV28" s="338"/>
      <c r="DW28" s="363"/>
      <c r="DX28" s="356" t="n">
        <f aca="false">IFERROR(IF($M28=DW28,($D$8+$D$9+$D$10)*$I28,IF($N28=LEFT(DW28,1),($D$8+MAX(0,IF($D$50=1,$D$9*(1-(ABS($Q28-ABS(VALUE(MID(DW28,FIND("|",DW28)+1,FIND("-",DW28)-FIND("|",DW28)-1))-VALUE(MID(DW28,FIND("-",DW28)+1,10)))))*$D$50),$D$9*(1-(IF($N28="X",ABS($O28-VALUE(MID(DW28,FIND("|",DW28)+1,FIND("-",DW28)-FIND("|",DW28)-1))),ABS($Q28-ABS(VALUE(MID(DW28,FIND("|",DW28)+1,FIND("-",DW28)-FIND("|",DW28)-1))-VALUE(MID(DW28,FIND("-",DW28)+1,10)))))*$D$50)))))*$I28,0)),0)</f>
        <v>0</v>
      </c>
      <c r="DY28" s="338"/>
      <c r="DZ28" s="363"/>
      <c r="EA28" s="356" t="n">
        <f aca="false">IFERROR(IF($M28=DZ28,($D$8+$D$9+$D$10)*$I28,IF($N28=LEFT(DZ28,1),($D$8+MAX(0,IF($D$50=1,$D$9*(1-(ABS($Q28-ABS(VALUE(MID(DZ28,FIND("|",DZ28)+1,FIND("-",DZ28)-FIND("|",DZ28)-1))-VALUE(MID(DZ28,FIND("-",DZ28)+1,10)))))*$D$50),$D$9*(1-(IF($N28="X",ABS($O28-VALUE(MID(DZ28,FIND("|",DZ28)+1,FIND("-",DZ28)-FIND("|",DZ28)-1))),ABS($Q28-ABS(VALUE(MID(DZ28,FIND("|",DZ28)+1,FIND("-",DZ28)-FIND("|",DZ28)-1))-VALUE(MID(DZ28,FIND("-",DZ28)+1,10)))))*$D$50)))))*$I28,0)),0)</f>
        <v>0</v>
      </c>
      <c r="EB28" s="338"/>
      <c r="EC28" s="363"/>
      <c r="ED28" s="356" t="n">
        <f aca="false">IFERROR(IF($M28=EC28,($D$8+$D$9+$D$10)*$I28,IF($N28=LEFT(EC28,1),($D$8+MAX(0,IF($D$50=1,$D$9*(1-(ABS($Q28-ABS(VALUE(MID(EC28,FIND("|",EC28)+1,FIND("-",EC28)-FIND("|",EC28)-1))-VALUE(MID(EC28,FIND("-",EC28)+1,10)))))*$D$50),$D$9*(1-(IF($N28="X",ABS($O28-VALUE(MID(EC28,FIND("|",EC28)+1,FIND("-",EC28)-FIND("|",EC28)-1))),ABS($Q28-ABS(VALUE(MID(EC28,FIND("|",EC28)+1,FIND("-",EC28)-FIND("|",EC28)-1))-VALUE(MID(EC28,FIND("-",EC28)+1,10)))))*$D$50)))))*$I28,0)),0)</f>
        <v>0</v>
      </c>
      <c r="EE28" s="338"/>
      <c r="EF28" s="363"/>
      <c r="EG28" s="356" t="n">
        <f aca="false">IFERROR(IF($M28=EF28,($D$8+$D$9+$D$10)*$I28,IF($N28=LEFT(EF28,1),($D$8+MAX(0,IF($D$50=1,$D$9*(1-(ABS($Q28-ABS(VALUE(MID(EF28,FIND("|",EF28)+1,FIND("-",EF28)-FIND("|",EF28)-1))-VALUE(MID(EF28,FIND("-",EF28)+1,10)))))*$D$50),$D$9*(1-(IF($N28="X",ABS($O28-VALUE(MID(EF28,FIND("|",EF28)+1,FIND("-",EF28)-FIND("|",EF28)-1))),ABS($Q28-ABS(VALUE(MID(EF28,FIND("|",EF28)+1,FIND("-",EF28)-FIND("|",EF28)-1))-VALUE(MID(EF28,FIND("-",EF28)+1,10)))))*$D$50)))))*$I28,0)),0)</f>
        <v>0</v>
      </c>
      <c r="EH28" s="338"/>
      <c r="EI28" s="338"/>
    </row>
    <row r="29" customFormat="false" ht="15" hidden="false" customHeight="false" outlineLevel="0" collapsed="false">
      <c r="A29" s="327"/>
      <c r="B29" s="327"/>
      <c r="C29" s="364" t="str">
        <f aca="false">Idiomas!D325&amp;"**"</f>
        <v>SEMIFINALES -Diferencia/Distancia de goles (Con 1X2 acertado)**</v>
      </c>
      <c r="D29" s="365" t="n">
        <v>2</v>
      </c>
      <c r="E29" s="334"/>
      <c r="F29" s="343" t="n">
        <f aca="false">SUM($D$8:$D$10)*I29</f>
        <v>17</v>
      </c>
      <c r="G29" s="343" t="n">
        <f aca="false">VLOOKUP(H29,Equipos!$Q$1:$R$25,2,0)</f>
        <v>8</v>
      </c>
      <c r="H29" s="351" t="n">
        <f aca="false">TRUNC(INDEX(WORLDCUP!$X$4:$X$147,MATCH(ADMIN!K29,WORLDCUP!$DT$4:$DT$147,0))+INDEX(Horarios!$R$3:$R$86,MATCH(Horarios!$C$3,Horarios!$P$3:$P$86,0))/24)</f>
        <v>46191</v>
      </c>
      <c r="I29" s="352" t="n">
        <v>1</v>
      </c>
      <c r="J29" s="362" t="s">
        <v>295</v>
      </c>
      <c r="K29" s="372" t="str">
        <f aca="false">CONCATENATE(WORLDCUP!AA93,"-",WORLDCUP!AF93)</f>
        <v>Ghana-Panamá</v>
      </c>
      <c r="L29" s="373"/>
      <c r="M29" s="374" t="str">
        <f aca="false">IF(OR(WORLDCUP!AC93="",WORLDCUP!AD93=""),"-",N29&amp;"|"&amp;O29&amp;"-"&amp;P29)</f>
        <v>-</v>
      </c>
      <c r="N29" s="332" t="str">
        <f aca="false">IF(OR(WORLDCUP!AC93="",WORLDCUP!AD93=""),"",IF(WORLDCUP!AC93&gt;WORLDCUP!AD93,"1",IF(WORLDCUP!AC93&lt;WORLDCUP!AD93,"2","X")))</f>
        <v/>
      </c>
      <c r="O29" s="332" t="n">
        <f aca="false">WORLDCUP!AC93</f>
        <v>0</v>
      </c>
      <c r="P29" s="332" t="n">
        <f aca="false">WORLDCUP!AD93</f>
        <v>0</v>
      </c>
      <c r="Q29" s="332" t="n">
        <f aca="false">ABS(O29-P29)</f>
        <v>0</v>
      </c>
      <c r="R29" s="327"/>
      <c r="S29" s="375" t="s">
        <v>267</v>
      </c>
      <c r="T29" s="376" t="n">
        <f aca="false">IFERROR(IF($M29=S29,($D$8+$D$9+$D$10)*$I29,IF($N29=LEFT(S29,1),($D$8+MAX(0,IF($D$50=1,$D$9*(1-(ABS($Q29-ABS(VALUE(MID(S29,FIND("|",S29)+1,FIND("-",S29)-FIND("|",S29)-1))-VALUE(MID(S29,FIND("-",S29)+1,10)))))*$D$50),$D$9*(1-(IF($N29="X",ABS($O29-VALUE(MID(S29,FIND("|",S29)+1,FIND("-",S29)-FIND("|",S29)-1))),ABS($Q29-ABS(VALUE(MID(S29,FIND("|",S29)+1,FIND("-",S29)-FIND("|",S29)-1))-VALUE(MID(S29,FIND("-",S29)+1,10)))))*$D$50)))))*$I29,0)),0)</f>
        <v>0</v>
      </c>
      <c r="U29" s="338"/>
      <c r="V29" s="375" t="s">
        <v>266</v>
      </c>
      <c r="W29" s="376" t="n">
        <f aca="false">IFERROR(IF($M29=V29,($D$8+$D$9+$D$10)*$I29,IF($N29=LEFT(V29,1),($D$8+MAX(0,IF($D$50=1,$D$9*(1-(ABS($Q29-ABS(VALUE(MID(V29,FIND("|",V29)+1,FIND("-",V29)-FIND("|",V29)-1))-VALUE(MID(V29,FIND("-",V29)+1,10)))))*$D$50),$D$9*(1-(IF($N29="X",ABS($O29-VALUE(MID(V29,FIND("|",V29)+1,FIND("-",V29)-FIND("|",V29)-1))),ABS($Q29-ABS(VALUE(MID(V29,FIND("|",V29)+1,FIND("-",V29)-FIND("|",V29)-1))-VALUE(MID(V29,FIND("-",V29)+1,10)))))*$D$50)))))*$I29,0)),0)</f>
        <v>0</v>
      </c>
      <c r="X29" s="338"/>
      <c r="Y29" s="375" t="s">
        <v>266</v>
      </c>
      <c r="Z29" s="376" t="n">
        <f aca="false">IFERROR(IF($M29=Y29,($D$8+$D$9+$D$10)*$I29,IF($N29=LEFT(Y29,1),($D$8+MAX(0,IF($D$50=1,$D$9*(1-(ABS($Q29-ABS(VALUE(MID(Y29,FIND("|",Y29)+1,FIND("-",Y29)-FIND("|",Y29)-1))-VALUE(MID(Y29,FIND("-",Y29)+1,10)))))*$D$50),$D$9*(1-(IF($N29="X",ABS($O29-VALUE(MID(Y29,FIND("|",Y29)+1,FIND("-",Y29)-FIND("|",Y29)-1))),ABS($Q29-ABS(VALUE(MID(Y29,FIND("|",Y29)+1,FIND("-",Y29)-FIND("|",Y29)-1))-VALUE(MID(Y29,FIND("-",Y29)+1,10)))))*$D$50)))))*$I29,0)),0)</f>
        <v>0</v>
      </c>
      <c r="AA29" s="338"/>
      <c r="AB29" s="375" t="s">
        <v>267</v>
      </c>
      <c r="AC29" s="376" t="n">
        <f aca="false">IFERROR(IF($M29=AB29,($D$8+$D$9+$D$10)*$I29,IF($N29=LEFT(AB29,1),($D$8+MAX(0,IF($D$50=1,$D$9*(1-(ABS($Q29-ABS(VALUE(MID(AB29,FIND("|",AB29)+1,FIND("-",AB29)-FIND("|",AB29)-1))-VALUE(MID(AB29,FIND("-",AB29)+1,10)))))*$D$50),$D$9*(1-(IF($N29="X",ABS($O29-VALUE(MID(AB29,FIND("|",AB29)+1,FIND("-",AB29)-FIND("|",AB29)-1))),ABS($Q29-ABS(VALUE(MID(AB29,FIND("|",AB29)+1,FIND("-",AB29)-FIND("|",AB29)-1))-VALUE(MID(AB29,FIND("-",AB29)+1,10)))))*$D$50)))))*$I29,0)),0)</f>
        <v>0</v>
      </c>
      <c r="AD29" s="338"/>
      <c r="AE29" s="375" t="s">
        <v>288</v>
      </c>
      <c r="AF29" s="376" t="n">
        <f aca="false">IFERROR(IF($M29=AE29,($D$8+$D$9+$D$10)*$I29,IF($N29=LEFT(AE29,1),($D$8+MAX(0,IF($D$50=1,$D$9*(1-(ABS($Q29-ABS(VALUE(MID(AE29,FIND("|",AE29)+1,FIND("-",AE29)-FIND("|",AE29)-1))-VALUE(MID(AE29,FIND("-",AE29)+1,10)))))*$D$50),$D$9*(1-(IF($N29="X",ABS($O29-VALUE(MID(AE29,FIND("|",AE29)+1,FIND("-",AE29)-FIND("|",AE29)-1))),ABS($Q29-ABS(VALUE(MID(AE29,FIND("|",AE29)+1,FIND("-",AE29)-FIND("|",AE29)-1))-VALUE(MID(AE29,FIND("-",AE29)+1,10)))))*$D$50)))))*$I29,0)),0)</f>
        <v>0</v>
      </c>
      <c r="AG29" s="338"/>
      <c r="AH29" s="375" t="s">
        <v>264</v>
      </c>
      <c r="AI29" s="376" t="n">
        <f aca="false">IFERROR(IF($M29=AH29,($D$8+$D$9+$D$10)*$I29,IF($N29=LEFT(AH29,1),($D$8+MAX(0,IF($D$50=1,$D$9*(1-(ABS($Q29-ABS(VALUE(MID(AH29,FIND("|",AH29)+1,FIND("-",AH29)-FIND("|",AH29)-1))-VALUE(MID(AH29,FIND("-",AH29)+1,10)))))*$D$50),$D$9*(1-(IF($N29="X",ABS($O29-VALUE(MID(AH29,FIND("|",AH29)+1,FIND("-",AH29)-FIND("|",AH29)-1))),ABS($Q29-ABS(VALUE(MID(AH29,FIND("|",AH29)+1,FIND("-",AH29)-FIND("|",AH29)-1))-VALUE(MID(AH29,FIND("-",AH29)+1,10)))))*$D$50)))))*$I29,0)),0)</f>
        <v>0</v>
      </c>
      <c r="AJ29" s="338"/>
      <c r="AK29" s="375" t="s">
        <v>264</v>
      </c>
      <c r="AL29" s="376" t="n">
        <f aca="false">IFERROR(IF($M29=AK29,($D$8+$D$9+$D$10)*$I29,IF($N29=LEFT(AK29,1),($D$8+MAX(0,IF($D$50=1,$D$9*(1-(ABS($Q29-ABS(VALUE(MID(AK29,FIND("|",AK29)+1,FIND("-",AK29)-FIND("|",AK29)-1))-VALUE(MID(AK29,FIND("-",AK29)+1,10)))))*$D$50),$D$9*(1-(IF($N29="X",ABS($O29-VALUE(MID(AK29,FIND("|",AK29)+1,FIND("-",AK29)-FIND("|",AK29)-1))),ABS($Q29-ABS(VALUE(MID(AK29,FIND("|",AK29)+1,FIND("-",AK29)-FIND("|",AK29)-1))-VALUE(MID(AK29,FIND("-",AK29)+1,10)))))*$D$50)))))*$I29,0)),0)</f>
        <v>0</v>
      </c>
      <c r="AM29" s="338"/>
      <c r="AN29" s="375" t="s">
        <v>264</v>
      </c>
      <c r="AO29" s="376" t="n">
        <f aca="false">IFERROR(IF($M29=AN29,($D$8+$D$9+$D$10)*$I29,IF($N29=LEFT(AN29,1),($D$8+MAX(0,IF($D$50=1,$D$9*(1-(ABS($Q29-ABS(VALUE(MID(AN29,FIND("|",AN29)+1,FIND("-",AN29)-FIND("|",AN29)-1))-VALUE(MID(AN29,FIND("-",AN29)+1,10)))))*$D$50),$D$9*(1-(IF($N29="X",ABS($O29-VALUE(MID(AN29,FIND("|",AN29)+1,FIND("-",AN29)-FIND("|",AN29)-1))),ABS($Q29-ABS(VALUE(MID(AN29,FIND("|",AN29)+1,FIND("-",AN29)-FIND("|",AN29)-1))-VALUE(MID(AN29,FIND("-",AN29)+1,10)))))*$D$50)))))*$I29,0)),0)</f>
        <v>0</v>
      </c>
      <c r="AP29" s="338"/>
      <c r="AQ29" s="375" t="s">
        <v>264</v>
      </c>
      <c r="AR29" s="376" t="n">
        <f aca="false">IFERROR(IF($M29=AQ29,($D$8+$D$9+$D$10)*$I29,IF($N29=LEFT(AQ29,1),($D$8+MAX(0,IF($D$50=1,$D$9*(1-(ABS($Q29-ABS(VALUE(MID(AQ29,FIND("|",AQ29)+1,FIND("-",AQ29)-FIND("|",AQ29)-1))-VALUE(MID(AQ29,FIND("-",AQ29)+1,10)))))*$D$50),$D$9*(1-(IF($N29="X",ABS($O29-VALUE(MID(AQ29,FIND("|",AQ29)+1,FIND("-",AQ29)-FIND("|",AQ29)-1))),ABS($Q29-ABS(VALUE(MID(AQ29,FIND("|",AQ29)+1,FIND("-",AQ29)-FIND("|",AQ29)-1))-VALUE(MID(AQ29,FIND("-",AQ29)+1,10)))))*$D$50)))))*$I29,0)),0)</f>
        <v>0</v>
      </c>
      <c r="AS29" s="338"/>
      <c r="AT29" s="375" t="s">
        <v>267</v>
      </c>
      <c r="AU29" s="376" t="n">
        <f aca="false">IFERROR(IF($M29=AT29,($D$8+$D$9+$D$10)*$I29,IF($N29=LEFT(AT29,1),($D$8+MAX(0,IF($D$50=1,$D$9*(1-(ABS($Q29-ABS(VALUE(MID(AT29,FIND("|",AT29)+1,FIND("-",AT29)-FIND("|",AT29)-1))-VALUE(MID(AT29,FIND("-",AT29)+1,10)))))*$D$50),$D$9*(1-(IF($N29="X",ABS($O29-VALUE(MID(AT29,FIND("|",AT29)+1,FIND("-",AT29)-FIND("|",AT29)-1))),ABS($Q29-ABS(VALUE(MID(AT29,FIND("|",AT29)+1,FIND("-",AT29)-FIND("|",AT29)-1))-VALUE(MID(AT29,FIND("-",AT29)+1,10)))))*$D$50)))))*$I29,0)),0)</f>
        <v>0</v>
      </c>
      <c r="AV29" s="338"/>
      <c r="AW29" s="375" t="s">
        <v>264</v>
      </c>
      <c r="AX29" s="376" t="n">
        <f aca="false">IFERROR(IF($M29=AW29,($D$8+$D$9+$D$10)*$I29,IF($N29=LEFT(AW29,1),($D$8+MAX(0,IF($D$50=1,$D$9*(1-(ABS($Q29-ABS(VALUE(MID(AW29,FIND("|",AW29)+1,FIND("-",AW29)-FIND("|",AW29)-1))-VALUE(MID(AW29,FIND("-",AW29)+1,10)))))*$D$50),$D$9*(1-(IF($N29="X",ABS($O29-VALUE(MID(AW29,FIND("|",AW29)+1,FIND("-",AW29)-FIND("|",AW29)-1))),ABS($Q29-ABS(VALUE(MID(AW29,FIND("|",AW29)+1,FIND("-",AW29)-FIND("|",AW29)-1))-VALUE(MID(AW29,FIND("-",AW29)+1,10)))))*$D$50)))))*$I29,0)),0)</f>
        <v>0</v>
      </c>
      <c r="AY29" s="338"/>
      <c r="AZ29" s="375" t="s">
        <v>265</v>
      </c>
      <c r="BA29" s="376" t="n">
        <f aca="false">IFERROR(IF($M29=AZ29,($D$8+$D$9+$D$10)*$I29,IF($N29=LEFT(AZ29,1),($D$8+MAX(0,IF($D$50=1,$D$9*(1-(ABS($Q29-ABS(VALUE(MID(AZ29,FIND("|",AZ29)+1,FIND("-",AZ29)-FIND("|",AZ29)-1))-VALUE(MID(AZ29,FIND("-",AZ29)+1,10)))))*$D$50),$D$9*(1-(IF($N29="X",ABS($O29-VALUE(MID(AZ29,FIND("|",AZ29)+1,FIND("-",AZ29)-FIND("|",AZ29)-1))),ABS($Q29-ABS(VALUE(MID(AZ29,FIND("|",AZ29)+1,FIND("-",AZ29)-FIND("|",AZ29)-1))-VALUE(MID(AZ29,FIND("-",AZ29)+1,10)))))*$D$50)))))*$I29,0)),0)</f>
        <v>0</v>
      </c>
      <c r="BB29" s="338"/>
      <c r="BC29" s="375" t="s">
        <v>266</v>
      </c>
      <c r="BD29" s="376" t="n">
        <f aca="false">IFERROR(IF($M29=BC29,($D$8+$D$9+$D$10)*$I29,IF($N29=LEFT(BC29,1),($D$8+MAX(0,IF($D$50=1,$D$9*(1-(ABS($Q29-ABS(VALUE(MID(BC29,FIND("|",BC29)+1,FIND("-",BC29)-FIND("|",BC29)-1))-VALUE(MID(BC29,FIND("-",BC29)+1,10)))))*$D$50),$D$9*(1-(IF($N29="X",ABS($O29-VALUE(MID(BC29,FIND("|",BC29)+1,FIND("-",BC29)-FIND("|",BC29)-1))),ABS($Q29-ABS(VALUE(MID(BC29,FIND("|",BC29)+1,FIND("-",BC29)-FIND("|",BC29)-1))-VALUE(MID(BC29,FIND("-",BC29)+1,10)))))*$D$50)))))*$I29,0)),0)</f>
        <v>0</v>
      </c>
      <c r="BE29" s="338"/>
      <c r="BF29" s="375" t="s">
        <v>275</v>
      </c>
      <c r="BG29" s="376" t="n">
        <f aca="false">IFERROR(IF($M29=BF29,($D$8+$D$9+$D$10)*$I29,IF($N29=LEFT(BF29,1),($D$8+MAX(0,IF($D$50=1,$D$9*(1-(ABS($Q29-ABS(VALUE(MID(BF29,FIND("|",BF29)+1,FIND("-",BF29)-FIND("|",BF29)-1))-VALUE(MID(BF29,FIND("-",BF29)+1,10)))))*$D$50),$D$9*(1-(IF($N29="X",ABS($O29-VALUE(MID(BF29,FIND("|",BF29)+1,FIND("-",BF29)-FIND("|",BF29)-1))),ABS($Q29-ABS(VALUE(MID(BF29,FIND("|",BF29)+1,FIND("-",BF29)-FIND("|",BF29)-1))-VALUE(MID(BF29,FIND("-",BF29)+1,10)))))*$D$50)))))*$I29,0)),0)</f>
        <v>0</v>
      </c>
      <c r="BH29" s="338"/>
      <c r="BI29" s="375" t="s">
        <v>265</v>
      </c>
      <c r="BJ29" s="376" t="n">
        <f aca="false">IFERROR(IF($M29=BI29,($D$8+$D$9+$D$10)*$I29,IF($N29=LEFT(BI29,1),($D$8+MAX(0,IF($D$50=1,$D$9*(1-(ABS($Q29-ABS(VALUE(MID(BI29,FIND("|",BI29)+1,FIND("-",BI29)-FIND("|",BI29)-1))-VALUE(MID(BI29,FIND("-",BI29)+1,10)))))*$D$50),$D$9*(1-(IF($N29="X",ABS($O29-VALUE(MID(BI29,FIND("|",BI29)+1,FIND("-",BI29)-FIND("|",BI29)-1))),ABS($Q29-ABS(VALUE(MID(BI29,FIND("|",BI29)+1,FIND("-",BI29)-FIND("|",BI29)-1))-VALUE(MID(BI29,FIND("-",BI29)+1,10)))))*$D$50)))))*$I29,0)),0)</f>
        <v>0</v>
      </c>
      <c r="BK29" s="338"/>
      <c r="BL29" s="375" t="s">
        <v>265</v>
      </c>
      <c r="BM29" s="376" t="n">
        <f aca="false">IFERROR(IF($M29=BL29,($D$8+$D$9+$D$10)*$I29,IF($N29=LEFT(BL29,1),($D$8+MAX(0,IF($D$50=1,$D$9*(1-(ABS($Q29-ABS(VALUE(MID(BL29,FIND("|",BL29)+1,FIND("-",BL29)-FIND("|",BL29)-1))-VALUE(MID(BL29,FIND("-",BL29)+1,10)))))*$D$50),$D$9*(1-(IF($N29="X",ABS($O29-VALUE(MID(BL29,FIND("|",BL29)+1,FIND("-",BL29)-FIND("|",BL29)-1))),ABS($Q29-ABS(VALUE(MID(BL29,FIND("|",BL29)+1,FIND("-",BL29)-FIND("|",BL29)-1))-VALUE(MID(BL29,FIND("-",BL29)+1,10)))))*$D$50)))))*$I29,0)),0)</f>
        <v>0</v>
      </c>
      <c r="BN29" s="338"/>
      <c r="BO29" s="375" t="s">
        <v>275</v>
      </c>
      <c r="BP29" s="376" t="n">
        <f aca="false">IFERROR(IF($M29=BO29,($D$8+$D$9+$D$10)*$I29,IF($N29=LEFT(BO29,1),($D$8+MAX(0,IF($D$50=1,$D$9*(1-(ABS($Q29-ABS(VALUE(MID(BO29,FIND("|",BO29)+1,FIND("-",BO29)-FIND("|",BO29)-1))-VALUE(MID(BO29,FIND("-",BO29)+1,10)))))*$D$50),$D$9*(1-(IF($N29="X",ABS($O29-VALUE(MID(BO29,FIND("|",BO29)+1,FIND("-",BO29)-FIND("|",BO29)-1))),ABS($Q29-ABS(VALUE(MID(BO29,FIND("|",BO29)+1,FIND("-",BO29)-FIND("|",BO29)-1))-VALUE(MID(BO29,FIND("-",BO29)+1,10)))))*$D$50)))))*$I29,0)),0)</f>
        <v>0</v>
      </c>
      <c r="BQ29" s="338"/>
      <c r="BR29" s="375" t="s">
        <v>265</v>
      </c>
      <c r="BS29" s="376" t="n">
        <f aca="false">IFERROR(IF($M29=BR29,($D$8+$D$9+$D$10)*$I29,IF($N29=LEFT(BR29,1),($D$8+MAX(0,IF($D$50=1,$D$9*(1-(ABS($Q29-ABS(VALUE(MID(BR29,FIND("|",BR29)+1,FIND("-",BR29)-FIND("|",BR29)-1))-VALUE(MID(BR29,FIND("-",BR29)+1,10)))))*$D$50),$D$9*(1-(IF($N29="X",ABS($O29-VALUE(MID(BR29,FIND("|",BR29)+1,FIND("-",BR29)-FIND("|",BR29)-1))),ABS($Q29-ABS(VALUE(MID(BR29,FIND("|",BR29)+1,FIND("-",BR29)-FIND("|",BR29)-1))-VALUE(MID(BR29,FIND("-",BR29)+1,10)))))*$D$50)))))*$I29,0)),0)</f>
        <v>0</v>
      </c>
      <c r="BT29" s="338"/>
      <c r="BU29" s="375"/>
      <c r="BV29" s="376" t="n">
        <f aca="false">IFERROR(IF($M29=BU29,($D$8+$D$9+$D$10)*$I29,IF($N29=LEFT(BU29,1),($D$8+MAX(0,IF($D$50=1,$D$9*(1-(ABS($Q29-ABS(VALUE(MID(BU29,FIND("|",BU29)+1,FIND("-",BU29)-FIND("|",BU29)-1))-VALUE(MID(BU29,FIND("-",BU29)+1,10)))))*$D$50),$D$9*(1-(IF($N29="X",ABS($O29-VALUE(MID(BU29,FIND("|",BU29)+1,FIND("-",BU29)-FIND("|",BU29)-1))),ABS($Q29-ABS(VALUE(MID(BU29,FIND("|",BU29)+1,FIND("-",BU29)-FIND("|",BU29)-1))-VALUE(MID(BU29,FIND("-",BU29)+1,10)))))*$D$50)))))*$I29,0)),0)</f>
        <v>0</v>
      </c>
      <c r="BW29" s="338"/>
      <c r="BX29" s="375"/>
      <c r="BY29" s="376" t="n">
        <f aca="false">IFERROR(IF($M29=BX29,($D$8+$D$9+$D$10)*$I29,IF($N29=LEFT(BX29,1),($D$8+MAX(0,IF($D$50=1,$D$9*(1-(ABS($Q29-ABS(VALUE(MID(BX29,FIND("|",BX29)+1,FIND("-",BX29)-FIND("|",BX29)-1))-VALUE(MID(BX29,FIND("-",BX29)+1,10)))))*$D$50),$D$9*(1-(IF($N29="X",ABS($O29-VALUE(MID(BX29,FIND("|",BX29)+1,FIND("-",BX29)-FIND("|",BX29)-1))),ABS($Q29-ABS(VALUE(MID(BX29,FIND("|",BX29)+1,FIND("-",BX29)-FIND("|",BX29)-1))-VALUE(MID(BX29,FIND("-",BX29)+1,10)))))*$D$50)))))*$I29,0)),0)</f>
        <v>0</v>
      </c>
      <c r="BZ29" s="338"/>
      <c r="CA29" s="375"/>
      <c r="CB29" s="376" t="n">
        <f aca="false">IFERROR(IF($M29=CA29,($D$8+$D$9+$D$10)*$I29,IF($N29=LEFT(CA29,1),($D$8+MAX(0,IF($D$50=1,$D$9*(1-(ABS($Q29-ABS(VALUE(MID(CA29,FIND("|",CA29)+1,FIND("-",CA29)-FIND("|",CA29)-1))-VALUE(MID(CA29,FIND("-",CA29)+1,10)))))*$D$50),$D$9*(1-(IF($N29="X",ABS($O29-VALUE(MID(CA29,FIND("|",CA29)+1,FIND("-",CA29)-FIND("|",CA29)-1))),ABS($Q29-ABS(VALUE(MID(CA29,FIND("|",CA29)+1,FIND("-",CA29)-FIND("|",CA29)-1))-VALUE(MID(CA29,FIND("-",CA29)+1,10)))))*$D$50)))))*$I29,0)),0)</f>
        <v>0</v>
      </c>
      <c r="CC29" s="338"/>
      <c r="CD29" s="375"/>
      <c r="CE29" s="376" t="n">
        <f aca="false">IFERROR(IF($M29=CD29,($D$8+$D$9+$D$10)*$I29,IF($N29=LEFT(CD29,1),($D$8+MAX(0,IF($D$50=1,$D$9*(1-(ABS($Q29-ABS(VALUE(MID(CD29,FIND("|",CD29)+1,FIND("-",CD29)-FIND("|",CD29)-1))-VALUE(MID(CD29,FIND("-",CD29)+1,10)))))*$D$50),$D$9*(1-(IF($N29="X",ABS($O29-VALUE(MID(CD29,FIND("|",CD29)+1,FIND("-",CD29)-FIND("|",CD29)-1))),ABS($Q29-ABS(VALUE(MID(CD29,FIND("|",CD29)+1,FIND("-",CD29)-FIND("|",CD29)-1))-VALUE(MID(CD29,FIND("-",CD29)+1,10)))))*$D$50)))))*$I29,0)),0)</f>
        <v>0</v>
      </c>
      <c r="CF29" s="338"/>
      <c r="CG29" s="375"/>
      <c r="CH29" s="376" t="n">
        <f aca="false">IFERROR(IF($M29=CG29,($D$8+$D$9+$D$10)*$I29,IF($N29=LEFT(CG29,1),($D$8+MAX(0,IF($D$50=1,$D$9*(1-(ABS($Q29-ABS(VALUE(MID(CG29,FIND("|",CG29)+1,FIND("-",CG29)-FIND("|",CG29)-1))-VALUE(MID(CG29,FIND("-",CG29)+1,10)))))*$D$50),$D$9*(1-(IF($N29="X",ABS($O29-VALUE(MID(CG29,FIND("|",CG29)+1,FIND("-",CG29)-FIND("|",CG29)-1))),ABS($Q29-ABS(VALUE(MID(CG29,FIND("|",CG29)+1,FIND("-",CG29)-FIND("|",CG29)-1))-VALUE(MID(CG29,FIND("-",CG29)+1,10)))))*$D$50)))))*$I29,0)),0)</f>
        <v>0</v>
      </c>
      <c r="CI29" s="338"/>
      <c r="CJ29" s="375"/>
      <c r="CK29" s="376" t="n">
        <f aca="false">IFERROR(IF($M29=CJ29,($D$8+$D$9+$D$10)*$I29,IF($N29=LEFT(CJ29,1),($D$8+MAX(0,IF($D$50=1,$D$9*(1-(ABS($Q29-ABS(VALUE(MID(CJ29,FIND("|",CJ29)+1,FIND("-",CJ29)-FIND("|",CJ29)-1))-VALUE(MID(CJ29,FIND("-",CJ29)+1,10)))))*$D$50),$D$9*(1-(IF($N29="X",ABS($O29-VALUE(MID(CJ29,FIND("|",CJ29)+1,FIND("-",CJ29)-FIND("|",CJ29)-1))),ABS($Q29-ABS(VALUE(MID(CJ29,FIND("|",CJ29)+1,FIND("-",CJ29)-FIND("|",CJ29)-1))-VALUE(MID(CJ29,FIND("-",CJ29)+1,10)))))*$D$50)))))*$I29,0)),0)</f>
        <v>0</v>
      </c>
      <c r="CL29" s="338"/>
      <c r="CM29" s="375"/>
      <c r="CN29" s="376" t="n">
        <f aca="false">IFERROR(IF($M29=CM29,($D$8+$D$9+$D$10)*$I29,IF($N29=LEFT(CM29,1),($D$8+MAX(0,IF($D$50=1,$D$9*(1-(ABS($Q29-ABS(VALUE(MID(CM29,FIND("|",CM29)+1,FIND("-",CM29)-FIND("|",CM29)-1))-VALUE(MID(CM29,FIND("-",CM29)+1,10)))))*$D$50),$D$9*(1-(IF($N29="X",ABS($O29-VALUE(MID(CM29,FIND("|",CM29)+1,FIND("-",CM29)-FIND("|",CM29)-1))),ABS($Q29-ABS(VALUE(MID(CM29,FIND("|",CM29)+1,FIND("-",CM29)-FIND("|",CM29)-1))-VALUE(MID(CM29,FIND("-",CM29)+1,10)))))*$D$50)))))*$I29,0)),0)</f>
        <v>0</v>
      </c>
      <c r="CO29" s="338"/>
      <c r="CP29" s="375"/>
      <c r="CQ29" s="376" t="n">
        <f aca="false">IFERROR(IF($M29=CP29,($D$8+$D$9+$D$10)*$I29,IF($N29=LEFT(CP29,1),($D$8+MAX(0,IF($D$50=1,$D$9*(1-(ABS($Q29-ABS(VALUE(MID(CP29,FIND("|",CP29)+1,FIND("-",CP29)-FIND("|",CP29)-1))-VALUE(MID(CP29,FIND("-",CP29)+1,10)))))*$D$50),$D$9*(1-(IF($N29="X",ABS($O29-VALUE(MID(CP29,FIND("|",CP29)+1,FIND("-",CP29)-FIND("|",CP29)-1))),ABS($Q29-ABS(VALUE(MID(CP29,FIND("|",CP29)+1,FIND("-",CP29)-FIND("|",CP29)-1))-VALUE(MID(CP29,FIND("-",CP29)+1,10)))))*$D$50)))))*$I29,0)),0)</f>
        <v>0</v>
      </c>
      <c r="CR29" s="338"/>
      <c r="CS29" s="375"/>
      <c r="CT29" s="376" t="n">
        <f aca="false">IFERROR(IF($M29=CS29,($D$8+$D$9+$D$10)*$I29,IF($N29=LEFT(CS29,1),($D$8+MAX(0,IF($D$50=1,$D$9*(1-(ABS($Q29-ABS(VALUE(MID(CS29,FIND("|",CS29)+1,FIND("-",CS29)-FIND("|",CS29)-1))-VALUE(MID(CS29,FIND("-",CS29)+1,10)))))*$D$50),$D$9*(1-(IF($N29="X",ABS($O29-VALUE(MID(CS29,FIND("|",CS29)+1,FIND("-",CS29)-FIND("|",CS29)-1))),ABS($Q29-ABS(VALUE(MID(CS29,FIND("|",CS29)+1,FIND("-",CS29)-FIND("|",CS29)-1))-VALUE(MID(CS29,FIND("-",CS29)+1,10)))))*$D$50)))))*$I29,0)),0)</f>
        <v>0</v>
      </c>
      <c r="CU29" s="338"/>
      <c r="CV29" s="375"/>
      <c r="CW29" s="376" t="n">
        <f aca="false">IFERROR(IF($M29=CV29,($D$8+$D$9+$D$10)*$I29,IF($N29=LEFT(CV29,1),($D$8+MAX(0,IF($D$50=1,$D$9*(1-(ABS($Q29-ABS(VALUE(MID(CV29,FIND("|",CV29)+1,FIND("-",CV29)-FIND("|",CV29)-1))-VALUE(MID(CV29,FIND("-",CV29)+1,10)))))*$D$50),$D$9*(1-(IF($N29="X",ABS($O29-VALUE(MID(CV29,FIND("|",CV29)+1,FIND("-",CV29)-FIND("|",CV29)-1))),ABS($Q29-ABS(VALUE(MID(CV29,FIND("|",CV29)+1,FIND("-",CV29)-FIND("|",CV29)-1))-VALUE(MID(CV29,FIND("-",CV29)+1,10)))))*$D$50)))))*$I29,0)),0)</f>
        <v>0</v>
      </c>
      <c r="CX29" s="338"/>
      <c r="CY29" s="375"/>
      <c r="CZ29" s="376" t="n">
        <f aca="false">IFERROR(IF($M29=CY29,($D$8+$D$9+$D$10)*$I29,IF($N29=LEFT(CY29,1),($D$8+MAX(0,IF($D$50=1,$D$9*(1-(ABS($Q29-ABS(VALUE(MID(CY29,FIND("|",CY29)+1,FIND("-",CY29)-FIND("|",CY29)-1))-VALUE(MID(CY29,FIND("-",CY29)+1,10)))))*$D$50),$D$9*(1-(IF($N29="X",ABS($O29-VALUE(MID(CY29,FIND("|",CY29)+1,FIND("-",CY29)-FIND("|",CY29)-1))),ABS($Q29-ABS(VALUE(MID(CY29,FIND("|",CY29)+1,FIND("-",CY29)-FIND("|",CY29)-1))-VALUE(MID(CY29,FIND("-",CY29)+1,10)))))*$D$50)))))*$I29,0)),0)</f>
        <v>0</v>
      </c>
      <c r="DA29" s="338"/>
      <c r="DB29" s="375"/>
      <c r="DC29" s="376" t="n">
        <f aca="false">IFERROR(IF($M29=DB29,($D$8+$D$9+$D$10)*$I29,IF($N29=LEFT(DB29,1),($D$8+MAX(0,IF($D$50=1,$D$9*(1-(ABS($Q29-ABS(VALUE(MID(DB29,FIND("|",DB29)+1,FIND("-",DB29)-FIND("|",DB29)-1))-VALUE(MID(DB29,FIND("-",DB29)+1,10)))))*$D$50),$D$9*(1-(IF($N29="X",ABS($O29-VALUE(MID(DB29,FIND("|",DB29)+1,FIND("-",DB29)-FIND("|",DB29)-1))),ABS($Q29-ABS(VALUE(MID(DB29,FIND("|",DB29)+1,FIND("-",DB29)-FIND("|",DB29)-1))-VALUE(MID(DB29,FIND("-",DB29)+1,10)))))*$D$50)))))*$I29,0)),0)</f>
        <v>0</v>
      </c>
      <c r="DD29" s="338"/>
      <c r="DE29" s="375"/>
      <c r="DF29" s="376" t="n">
        <f aca="false">IFERROR(IF($M29=DE29,($D$8+$D$9+$D$10)*$I29,IF($N29=LEFT(DE29,1),($D$8+MAX(0,IF($D$50=1,$D$9*(1-(ABS($Q29-ABS(VALUE(MID(DE29,FIND("|",DE29)+1,FIND("-",DE29)-FIND("|",DE29)-1))-VALUE(MID(DE29,FIND("-",DE29)+1,10)))))*$D$50),$D$9*(1-(IF($N29="X",ABS($O29-VALUE(MID(DE29,FIND("|",DE29)+1,FIND("-",DE29)-FIND("|",DE29)-1))),ABS($Q29-ABS(VALUE(MID(DE29,FIND("|",DE29)+1,FIND("-",DE29)-FIND("|",DE29)-1))-VALUE(MID(DE29,FIND("-",DE29)+1,10)))))*$D$50)))))*$I29,0)),0)</f>
        <v>0</v>
      </c>
      <c r="DG29" s="338"/>
      <c r="DH29" s="375"/>
      <c r="DI29" s="376" t="n">
        <f aca="false">IFERROR(IF($M29=DH29,($D$8+$D$9+$D$10)*$I29,IF($N29=LEFT(DH29,1),($D$8+MAX(0,IF($D$50=1,$D$9*(1-(ABS($Q29-ABS(VALUE(MID(DH29,FIND("|",DH29)+1,FIND("-",DH29)-FIND("|",DH29)-1))-VALUE(MID(DH29,FIND("-",DH29)+1,10)))))*$D$50),$D$9*(1-(IF($N29="X",ABS($O29-VALUE(MID(DH29,FIND("|",DH29)+1,FIND("-",DH29)-FIND("|",DH29)-1))),ABS($Q29-ABS(VALUE(MID(DH29,FIND("|",DH29)+1,FIND("-",DH29)-FIND("|",DH29)-1))-VALUE(MID(DH29,FIND("-",DH29)+1,10)))))*$D$50)))))*$I29,0)),0)</f>
        <v>0</v>
      </c>
      <c r="DJ29" s="338"/>
      <c r="DK29" s="375"/>
      <c r="DL29" s="376" t="n">
        <f aca="false">IFERROR(IF($M29=DK29,($D$8+$D$9+$D$10)*$I29,IF($N29=LEFT(DK29,1),($D$8+MAX(0,IF($D$50=1,$D$9*(1-(ABS($Q29-ABS(VALUE(MID(DK29,FIND("|",DK29)+1,FIND("-",DK29)-FIND("|",DK29)-1))-VALUE(MID(DK29,FIND("-",DK29)+1,10)))))*$D$50),$D$9*(1-(IF($N29="X",ABS($O29-VALUE(MID(DK29,FIND("|",DK29)+1,FIND("-",DK29)-FIND("|",DK29)-1))),ABS($Q29-ABS(VALUE(MID(DK29,FIND("|",DK29)+1,FIND("-",DK29)-FIND("|",DK29)-1))-VALUE(MID(DK29,FIND("-",DK29)+1,10)))))*$D$50)))))*$I29,0)),0)</f>
        <v>0</v>
      </c>
      <c r="DM29" s="338"/>
      <c r="DN29" s="375"/>
      <c r="DO29" s="376" t="n">
        <f aca="false">IFERROR(IF($M29=DN29,($D$8+$D$9+$D$10)*$I29,IF($N29=LEFT(DN29,1),($D$8+MAX(0,IF($D$50=1,$D$9*(1-(ABS($Q29-ABS(VALUE(MID(DN29,FIND("|",DN29)+1,FIND("-",DN29)-FIND("|",DN29)-1))-VALUE(MID(DN29,FIND("-",DN29)+1,10)))))*$D$50),$D$9*(1-(IF($N29="X",ABS($O29-VALUE(MID(DN29,FIND("|",DN29)+1,FIND("-",DN29)-FIND("|",DN29)-1))),ABS($Q29-ABS(VALUE(MID(DN29,FIND("|",DN29)+1,FIND("-",DN29)-FIND("|",DN29)-1))-VALUE(MID(DN29,FIND("-",DN29)+1,10)))))*$D$50)))))*$I29,0)),0)</f>
        <v>0</v>
      </c>
      <c r="DP29" s="338"/>
      <c r="DQ29" s="375"/>
      <c r="DR29" s="376" t="n">
        <f aca="false">IFERROR(IF($M29=DQ29,($D$8+$D$9+$D$10)*$I29,IF($N29=LEFT(DQ29,1),($D$8+MAX(0,IF($D$50=1,$D$9*(1-(ABS($Q29-ABS(VALUE(MID(DQ29,FIND("|",DQ29)+1,FIND("-",DQ29)-FIND("|",DQ29)-1))-VALUE(MID(DQ29,FIND("-",DQ29)+1,10)))))*$D$50),$D$9*(1-(IF($N29="X",ABS($O29-VALUE(MID(DQ29,FIND("|",DQ29)+1,FIND("-",DQ29)-FIND("|",DQ29)-1))),ABS($Q29-ABS(VALUE(MID(DQ29,FIND("|",DQ29)+1,FIND("-",DQ29)-FIND("|",DQ29)-1))-VALUE(MID(DQ29,FIND("-",DQ29)+1,10)))))*$D$50)))))*$I29,0)),0)</f>
        <v>0</v>
      </c>
      <c r="DS29" s="338"/>
      <c r="DT29" s="375"/>
      <c r="DU29" s="376" t="n">
        <f aca="false">IFERROR(IF($M29=DT29,($D$8+$D$9+$D$10)*$I29,IF($N29=LEFT(DT29,1),($D$8+MAX(0,IF($D$50=1,$D$9*(1-(ABS($Q29-ABS(VALUE(MID(DT29,FIND("|",DT29)+1,FIND("-",DT29)-FIND("|",DT29)-1))-VALUE(MID(DT29,FIND("-",DT29)+1,10)))))*$D$50),$D$9*(1-(IF($N29="X",ABS($O29-VALUE(MID(DT29,FIND("|",DT29)+1,FIND("-",DT29)-FIND("|",DT29)-1))),ABS($Q29-ABS(VALUE(MID(DT29,FIND("|",DT29)+1,FIND("-",DT29)-FIND("|",DT29)-1))-VALUE(MID(DT29,FIND("-",DT29)+1,10)))))*$D$50)))))*$I29,0)),0)</f>
        <v>0</v>
      </c>
      <c r="DV29" s="338"/>
      <c r="DW29" s="375"/>
      <c r="DX29" s="376" t="n">
        <f aca="false">IFERROR(IF($M29=DW29,($D$8+$D$9+$D$10)*$I29,IF($N29=LEFT(DW29,1),($D$8+MAX(0,IF($D$50=1,$D$9*(1-(ABS($Q29-ABS(VALUE(MID(DW29,FIND("|",DW29)+1,FIND("-",DW29)-FIND("|",DW29)-1))-VALUE(MID(DW29,FIND("-",DW29)+1,10)))))*$D$50),$D$9*(1-(IF($N29="X",ABS($O29-VALUE(MID(DW29,FIND("|",DW29)+1,FIND("-",DW29)-FIND("|",DW29)-1))),ABS($Q29-ABS(VALUE(MID(DW29,FIND("|",DW29)+1,FIND("-",DW29)-FIND("|",DW29)-1))-VALUE(MID(DW29,FIND("-",DW29)+1,10)))))*$D$50)))))*$I29,0)),0)</f>
        <v>0</v>
      </c>
      <c r="DY29" s="338"/>
      <c r="DZ29" s="375"/>
      <c r="EA29" s="376" t="n">
        <f aca="false">IFERROR(IF($M29=DZ29,($D$8+$D$9+$D$10)*$I29,IF($N29=LEFT(DZ29,1),($D$8+MAX(0,IF($D$50=1,$D$9*(1-(ABS($Q29-ABS(VALUE(MID(DZ29,FIND("|",DZ29)+1,FIND("-",DZ29)-FIND("|",DZ29)-1))-VALUE(MID(DZ29,FIND("-",DZ29)+1,10)))))*$D$50),$D$9*(1-(IF($N29="X",ABS($O29-VALUE(MID(DZ29,FIND("|",DZ29)+1,FIND("-",DZ29)-FIND("|",DZ29)-1))),ABS($Q29-ABS(VALUE(MID(DZ29,FIND("|",DZ29)+1,FIND("-",DZ29)-FIND("|",DZ29)-1))-VALUE(MID(DZ29,FIND("-",DZ29)+1,10)))))*$D$50)))))*$I29,0)),0)</f>
        <v>0</v>
      </c>
      <c r="EB29" s="338"/>
      <c r="EC29" s="375"/>
      <c r="ED29" s="376" t="n">
        <f aca="false">IFERROR(IF($M29=EC29,($D$8+$D$9+$D$10)*$I29,IF($N29=LEFT(EC29,1),($D$8+MAX(0,IF($D$50=1,$D$9*(1-(ABS($Q29-ABS(VALUE(MID(EC29,FIND("|",EC29)+1,FIND("-",EC29)-FIND("|",EC29)-1))-VALUE(MID(EC29,FIND("-",EC29)+1,10)))))*$D$50),$D$9*(1-(IF($N29="X",ABS($O29-VALUE(MID(EC29,FIND("|",EC29)+1,FIND("-",EC29)-FIND("|",EC29)-1))),ABS($Q29-ABS(VALUE(MID(EC29,FIND("|",EC29)+1,FIND("-",EC29)-FIND("|",EC29)-1))-VALUE(MID(EC29,FIND("-",EC29)+1,10)))))*$D$50)))))*$I29,0)),0)</f>
        <v>0</v>
      </c>
      <c r="EE29" s="338"/>
      <c r="EF29" s="375"/>
      <c r="EG29" s="376" t="n">
        <f aca="false">IFERROR(IF($M29=EF29,($D$8+$D$9+$D$10)*$I29,IF($N29=LEFT(EF29,1),($D$8+MAX(0,IF($D$50=1,$D$9*(1-(ABS($Q29-ABS(VALUE(MID(EF29,FIND("|",EF29)+1,FIND("-",EF29)-FIND("|",EF29)-1))-VALUE(MID(EF29,FIND("-",EF29)+1,10)))))*$D$50),$D$9*(1-(IF($N29="X",ABS($O29-VALUE(MID(EF29,FIND("|",EF29)+1,FIND("-",EF29)-FIND("|",EF29)-1))),ABS($Q29-ABS(VALUE(MID(EF29,FIND("|",EF29)+1,FIND("-",EF29)-FIND("|",EF29)-1))-VALUE(MID(EF29,FIND("-",EF29)+1,10)))))*$D$50)))))*$I29,0)),0)</f>
        <v>0</v>
      </c>
      <c r="EH29" s="338"/>
      <c r="EI29" s="338"/>
    </row>
    <row r="30" customFormat="false" ht="15" hidden="false" customHeight="false" outlineLevel="0" collapsed="false">
      <c r="A30" s="327"/>
      <c r="B30" s="327"/>
      <c r="C30" s="360" t="str">
        <f aca="false">Idiomas!D326</f>
        <v>SEMIFINALES - Resultado exacto</v>
      </c>
      <c r="D30" s="361" t="n">
        <v>10</v>
      </c>
      <c r="E30" s="334"/>
      <c r="F30" s="343" t="n">
        <f aca="false">SUM($D$8:$D$10)*I30</f>
        <v>17</v>
      </c>
      <c r="G30" s="343" t="n">
        <f aca="false">VLOOKUP(H30,Equipos!$Q$1:$R$25,2,0)</f>
        <v>8</v>
      </c>
      <c r="H30" s="351" t="n">
        <f aca="false">TRUNC(INDEX(WORLDCUP!$X$4:$X$147,MATCH(ADMIN!K30,WORLDCUP!$DT$4:$DT$147,0))+INDEX(Horarios!$R$3:$R$86,MATCH(Horarios!$C$3,Horarios!$P$3:$P$86,0))/24)</f>
        <v>46191</v>
      </c>
      <c r="I30" s="352" t="n">
        <v>1</v>
      </c>
      <c r="J30" s="353" t="s">
        <v>296</v>
      </c>
      <c r="K30" s="354" t="str">
        <f aca="false">CONCATENATE(WORLDCUP!AA6,"-",WORLDCUP!AF6)</f>
        <v>República Checa-Sudáfrica</v>
      </c>
      <c r="L30" s="354"/>
      <c r="M30" s="359" t="str">
        <f aca="false">IF(OR(WORLDCUP!AC6="",WORLDCUP!AD6=""),"-",N30&amp;"|"&amp;O30&amp;"-"&amp;P30)</f>
        <v>-</v>
      </c>
      <c r="N30" s="332" t="str">
        <f aca="false">IF(OR(WORLDCUP!AC6="",WORLDCUP!AD6=""),"",IF(WORLDCUP!AC6&gt;WORLDCUP!AD6,"1",IF(WORLDCUP!AC6&lt;WORLDCUP!AD6,"2","X")))</f>
        <v/>
      </c>
      <c r="O30" s="332" t="n">
        <f aca="false">WORLDCUP!AC6</f>
        <v>0</v>
      </c>
      <c r="P30" s="332" t="n">
        <f aca="false">WORLDCUP!AD6</f>
        <v>0</v>
      </c>
      <c r="Q30" s="332" t="n">
        <f aca="false">ABS(O30-P30)</f>
        <v>0</v>
      </c>
      <c r="R30" s="327"/>
      <c r="S30" s="370" t="s">
        <v>267</v>
      </c>
      <c r="T30" s="371" t="n">
        <f aca="false">IFERROR(IF($M30=S30,($D$8+$D$9+$D$10)*$I30,IF($N30=LEFT(S30,1),($D$8+MAX(0,IF($D$50=1,$D$9*(1-(ABS($Q30-ABS(VALUE(MID(S30,FIND("|",S30)+1,FIND("-",S30)-FIND("|",S30)-1))-VALUE(MID(S30,FIND("-",S30)+1,10)))))*$D$50),$D$9*(1-(IF($N30="X",ABS($O30-VALUE(MID(S30,FIND("|",S30)+1,FIND("-",S30)-FIND("|",S30)-1))),ABS($Q30-ABS(VALUE(MID(S30,FIND("|",S30)+1,FIND("-",S30)-FIND("|",S30)-1))-VALUE(MID(S30,FIND("-",S30)+1,10)))))*$D$50)))))*$I30,0)),0)</f>
        <v>0</v>
      </c>
      <c r="U30" s="338"/>
      <c r="V30" s="370" t="s">
        <v>265</v>
      </c>
      <c r="W30" s="371" t="n">
        <f aca="false">IFERROR(IF($M30=V30,($D$8+$D$9+$D$10)*$I30,IF($N30=LEFT(V30,1),($D$8+MAX(0,IF($D$50=1,$D$9*(1-(ABS($Q30-ABS(VALUE(MID(V30,FIND("|",V30)+1,FIND("-",V30)-FIND("|",V30)-1))-VALUE(MID(V30,FIND("-",V30)+1,10)))))*$D$50),$D$9*(1-(IF($N30="X",ABS($O30-VALUE(MID(V30,FIND("|",V30)+1,FIND("-",V30)-FIND("|",V30)-1))),ABS($Q30-ABS(VALUE(MID(V30,FIND("|",V30)+1,FIND("-",V30)-FIND("|",V30)-1))-VALUE(MID(V30,FIND("-",V30)+1,10)))))*$D$50)))))*$I30,0)),0)</f>
        <v>0</v>
      </c>
      <c r="X30" s="338"/>
      <c r="Y30" s="370" t="s">
        <v>271</v>
      </c>
      <c r="Z30" s="371" t="n">
        <f aca="false">IFERROR(IF($M30=Y30,($D$8+$D$9+$D$10)*$I30,IF($N30=LEFT(Y30,1),($D$8+MAX(0,IF($D$50=1,$D$9*(1-(ABS($Q30-ABS(VALUE(MID(Y30,FIND("|",Y30)+1,FIND("-",Y30)-FIND("|",Y30)-1))-VALUE(MID(Y30,FIND("-",Y30)+1,10)))))*$D$50),$D$9*(1-(IF($N30="X",ABS($O30-VALUE(MID(Y30,FIND("|",Y30)+1,FIND("-",Y30)-FIND("|",Y30)-1))),ABS($Q30-ABS(VALUE(MID(Y30,FIND("|",Y30)+1,FIND("-",Y30)-FIND("|",Y30)-1))-VALUE(MID(Y30,FIND("-",Y30)+1,10)))))*$D$50)))))*$I30,0)),0)</f>
        <v>0</v>
      </c>
      <c r="AA30" s="338"/>
      <c r="AB30" s="370" t="s">
        <v>264</v>
      </c>
      <c r="AC30" s="371" t="n">
        <f aca="false">IFERROR(IF($M30=AB30,($D$8+$D$9+$D$10)*$I30,IF($N30=LEFT(AB30,1),($D$8+MAX(0,IF($D$50=1,$D$9*(1-(ABS($Q30-ABS(VALUE(MID(AB30,FIND("|",AB30)+1,FIND("-",AB30)-FIND("|",AB30)-1))-VALUE(MID(AB30,FIND("-",AB30)+1,10)))))*$D$50),$D$9*(1-(IF($N30="X",ABS($O30-VALUE(MID(AB30,FIND("|",AB30)+1,FIND("-",AB30)-FIND("|",AB30)-1))),ABS($Q30-ABS(VALUE(MID(AB30,FIND("|",AB30)+1,FIND("-",AB30)-FIND("|",AB30)-1))-VALUE(MID(AB30,FIND("-",AB30)+1,10)))))*$D$50)))))*$I30,0)),0)</f>
        <v>0</v>
      </c>
      <c r="AD30" s="338"/>
      <c r="AE30" s="370" t="s">
        <v>265</v>
      </c>
      <c r="AF30" s="371" t="n">
        <f aca="false">IFERROR(IF($M30=AE30,($D$8+$D$9+$D$10)*$I30,IF($N30=LEFT(AE30,1),($D$8+MAX(0,IF($D$50=1,$D$9*(1-(ABS($Q30-ABS(VALUE(MID(AE30,FIND("|",AE30)+1,FIND("-",AE30)-FIND("|",AE30)-1))-VALUE(MID(AE30,FIND("-",AE30)+1,10)))))*$D$50),$D$9*(1-(IF($N30="X",ABS($O30-VALUE(MID(AE30,FIND("|",AE30)+1,FIND("-",AE30)-FIND("|",AE30)-1))),ABS($Q30-ABS(VALUE(MID(AE30,FIND("|",AE30)+1,FIND("-",AE30)-FIND("|",AE30)-1))-VALUE(MID(AE30,FIND("-",AE30)+1,10)))))*$D$50)))))*$I30,0)),0)</f>
        <v>0</v>
      </c>
      <c r="AG30" s="338"/>
      <c r="AH30" s="370" t="s">
        <v>267</v>
      </c>
      <c r="AI30" s="371" t="n">
        <f aca="false">IFERROR(IF($M30=AH30,($D$8+$D$9+$D$10)*$I30,IF($N30=LEFT(AH30,1),($D$8+MAX(0,IF($D$50=1,$D$9*(1-(ABS($Q30-ABS(VALUE(MID(AH30,FIND("|",AH30)+1,FIND("-",AH30)-FIND("|",AH30)-1))-VALUE(MID(AH30,FIND("-",AH30)+1,10)))))*$D$50),$D$9*(1-(IF($N30="X",ABS($O30-VALUE(MID(AH30,FIND("|",AH30)+1,FIND("-",AH30)-FIND("|",AH30)-1))),ABS($Q30-ABS(VALUE(MID(AH30,FIND("|",AH30)+1,FIND("-",AH30)-FIND("|",AH30)-1))-VALUE(MID(AH30,FIND("-",AH30)+1,10)))))*$D$50)))))*$I30,0)),0)</f>
        <v>0</v>
      </c>
      <c r="AJ30" s="338"/>
      <c r="AK30" s="370" t="s">
        <v>264</v>
      </c>
      <c r="AL30" s="371" t="n">
        <f aca="false">IFERROR(IF($M30=AK30,($D$8+$D$9+$D$10)*$I30,IF($N30=LEFT(AK30,1),($D$8+MAX(0,IF($D$50=1,$D$9*(1-(ABS($Q30-ABS(VALUE(MID(AK30,FIND("|",AK30)+1,FIND("-",AK30)-FIND("|",AK30)-1))-VALUE(MID(AK30,FIND("-",AK30)+1,10)))))*$D$50),$D$9*(1-(IF($N30="X",ABS($O30-VALUE(MID(AK30,FIND("|",AK30)+1,FIND("-",AK30)-FIND("|",AK30)-1))),ABS($Q30-ABS(VALUE(MID(AK30,FIND("|",AK30)+1,FIND("-",AK30)-FIND("|",AK30)-1))-VALUE(MID(AK30,FIND("-",AK30)+1,10)))))*$D$50)))))*$I30,0)),0)</f>
        <v>0</v>
      </c>
      <c r="AM30" s="338"/>
      <c r="AN30" s="370" t="s">
        <v>265</v>
      </c>
      <c r="AO30" s="371" t="n">
        <f aca="false">IFERROR(IF($M30=AN30,($D$8+$D$9+$D$10)*$I30,IF($N30=LEFT(AN30,1),($D$8+MAX(0,IF($D$50=1,$D$9*(1-(ABS($Q30-ABS(VALUE(MID(AN30,FIND("|",AN30)+1,FIND("-",AN30)-FIND("|",AN30)-1))-VALUE(MID(AN30,FIND("-",AN30)+1,10)))))*$D$50),$D$9*(1-(IF($N30="X",ABS($O30-VALUE(MID(AN30,FIND("|",AN30)+1,FIND("-",AN30)-FIND("|",AN30)-1))),ABS($Q30-ABS(VALUE(MID(AN30,FIND("|",AN30)+1,FIND("-",AN30)-FIND("|",AN30)-1))-VALUE(MID(AN30,FIND("-",AN30)+1,10)))))*$D$50)))))*$I30,0)),0)</f>
        <v>0</v>
      </c>
      <c r="AP30" s="338"/>
      <c r="AQ30" s="370" t="s">
        <v>267</v>
      </c>
      <c r="AR30" s="371" t="n">
        <f aca="false">IFERROR(IF($M30=AQ30,($D$8+$D$9+$D$10)*$I30,IF($N30=LEFT(AQ30,1),($D$8+MAX(0,IF($D$50=1,$D$9*(1-(ABS($Q30-ABS(VALUE(MID(AQ30,FIND("|",AQ30)+1,FIND("-",AQ30)-FIND("|",AQ30)-1))-VALUE(MID(AQ30,FIND("-",AQ30)+1,10)))))*$D$50),$D$9*(1-(IF($N30="X",ABS($O30-VALUE(MID(AQ30,FIND("|",AQ30)+1,FIND("-",AQ30)-FIND("|",AQ30)-1))),ABS($Q30-ABS(VALUE(MID(AQ30,FIND("|",AQ30)+1,FIND("-",AQ30)-FIND("|",AQ30)-1))-VALUE(MID(AQ30,FIND("-",AQ30)+1,10)))))*$D$50)))))*$I30,0)),0)</f>
        <v>0</v>
      </c>
      <c r="AS30" s="338"/>
      <c r="AT30" s="370" t="s">
        <v>288</v>
      </c>
      <c r="AU30" s="371" t="n">
        <f aca="false">IFERROR(IF($M30=AT30,($D$8+$D$9+$D$10)*$I30,IF($N30=LEFT(AT30,1),($D$8+MAX(0,IF($D$50=1,$D$9*(1-(ABS($Q30-ABS(VALUE(MID(AT30,FIND("|",AT30)+1,FIND("-",AT30)-FIND("|",AT30)-1))-VALUE(MID(AT30,FIND("-",AT30)+1,10)))))*$D$50),$D$9*(1-(IF($N30="X",ABS($O30-VALUE(MID(AT30,FIND("|",AT30)+1,FIND("-",AT30)-FIND("|",AT30)-1))),ABS($Q30-ABS(VALUE(MID(AT30,FIND("|",AT30)+1,FIND("-",AT30)-FIND("|",AT30)-1))-VALUE(MID(AT30,FIND("-",AT30)+1,10)))))*$D$50)))))*$I30,0)),0)</f>
        <v>0</v>
      </c>
      <c r="AV30" s="338"/>
      <c r="AW30" s="370" t="s">
        <v>266</v>
      </c>
      <c r="AX30" s="371" t="n">
        <f aca="false">IFERROR(IF($M30=AW30,($D$8+$D$9+$D$10)*$I30,IF($N30=LEFT(AW30,1),($D$8+MAX(0,IF($D$50=1,$D$9*(1-(ABS($Q30-ABS(VALUE(MID(AW30,FIND("|",AW30)+1,FIND("-",AW30)-FIND("|",AW30)-1))-VALUE(MID(AW30,FIND("-",AW30)+1,10)))))*$D$50),$D$9*(1-(IF($N30="X",ABS($O30-VALUE(MID(AW30,FIND("|",AW30)+1,FIND("-",AW30)-FIND("|",AW30)-1))),ABS($Q30-ABS(VALUE(MID(AW30,FIND("|",AW30)+1,FIND("-",AW30)-FIND("|",AW30)-1))-VALUE(MID(AW30,FIND("-",AW30)+1,10)))))*$D$50)))))*$I30,0)),0)</f>
        <v>0</v>
      </c>
      <c r="AY30" s="338"/>
      <c r="AZ30" s="370" t="s">
        <v>264</v>
      </c>
      <c r="BA30" s="371" t="n">
        <f aca="false">IFERROR(IF($M30=AZ30,($D$8+$D$9+$D$10)*$I30,IF($N30=LEFT(AZ30,1),($D$8+MAX(0,IF($D$50=1,$D$9*(1-(ABS($Q30-ABS(VALUE(MID(AZ30,FIND("|",AZ30)+1,FIND("-",AZ30)-FIND("|",AZ30)-1))-VALUE(MID(AZ30,FIND("-",AZ30)+1,10)))))*$D$50),$D$9*(1-(IF($N30="X",ABS($O30-VALUE(MID(AZ30,FIND("|",AZ30)+1,FIND("-",AZ30)-FIND("|",AZ30)-1))),ABS($Q30-ABS(VALUE(MID(AZ30,FIND("|",AZ30)+1,FIND("-",AZ30)-FIND("|",AZ30)-1))-VALUE(MID(AZ30,FIND("-",AZ30)+1,10)))))*$D$50)))))*$I30,0)),0)</f>
        <v>0</v>
      </c>
      <c r="BB30" s="338"/>
      <c r="BC30" s="370" t="s">
        <v>266</v>
      </c>
      <c r="BD30" s="371" t="n">
        <f aca="false">IFERROR(IF($M30=BC30,($D$8+$D$9+$D$10)*$I30,IF($N30=LEFT(BC30,1),($D$8+MAX(0,IF($D$50=1,$D$9*(1-(ABS($Q30-ABS(VALUE(MID(BC30,FIND("|",BC30)+1,FIND("-",BC30)-FIND("|",BC30)-1))-VALUE(MID(BC30,FIND("-",BC30)+1,10)))))*$D$50),$D$9*(1-(IF($N30="X",ABS($O30-VALUE(MID(BC30,FIND("|",BC30)+1,FIND("-",BC30)-FIND("|",BC30)-1))),ABS($Q30-ABS(VALUE(MID(BC30,FIND("|",BC30)+1,FIND("-",BC30)-FIND("|",BC30)-1))-VALUE(MID(BC30,FIND("-",BC30)+1,10)))))*$D$50)))))*$I30,0)),0)</f>
        <v>0</v>
      </c>
      <c r="BE30" s="338"/>
      <c r="BF30" s="370" t="s">
        <v>264</v>
      </c>
      <c r="BG30" s="371" t="n">
        <f aca="false">IFERROR(IF($M30=BF30,($D$8+$D$9+$D$10)*$I30,IF($N30=LEFT(BF30,1),($D$8+MAX(0,IF($D$50=1,$D$9*(1-(ABS($Q30-ABS(VALUE(MID(BF30,FIND("|",BF30)+1,FIND("-",BF30)-FIND("|",BF30)-1))-VALUE(MID(BF30,FIND("-",BF30)+1,10)))))*$D$50),$D$9*(1-(IF($N30="X",ABS($O30-VALUE(MID(BF30,FIND("|",BF30)+1,FIND("-",BF30)-FIND("|",BF30)-1))),ABS($Q30-ABS(VALUE(MID(BF30,FIND("|",BF30)+1,FIND("-",BF30)-FIND("|",BF30)-1))-VALUE(MID(BF30,FIND("-",BF30)+1,10)))))*$D$50)))))*$I30,0)),0)</f>
        <v>0</v>
      </c>
      <c r="BH30" s="338"/>
      <c r="BI30" s="370" t="s">
        <v>271</v>
      </c>
      <c r="BJ30" s="371" t="n">
        <f aca="false">IFERROR(IF($M30=BI30,($D$8+$D$9+$D$10)*$I30,IF($N30=LEFT(BI30,1),($D$8+MAX(0,IF($D$50=1,$D$9*(1-(ABS($Q30-ABS(VALUE(MID(BI30,FIND("|",BI30)+1,FIND("-",BI30)-FIND("|",BI30)-1))-VALUE(MID(BI30,FIND("-",BI30)+1,10)))))*$D$50),$D$9*(1-(IF($N30="X",ABS($O30-VALUE(MID(BI30,FIND("|",BI30)+1,FIND("-",BI30)-FIND("|",BI30)-1))),ABS($Q30-ABS(VALUE(MID(BI30,FIND("|",BI30)+1,FIND("-",BI30)-FIND("|",BI30)-1))-VALUE(MID(BI30,FIND("-",BI30)+1,10)))))*$D$50)))))*$I30,0)),0)</f>
        <v>0</v>
      </c>
      <c r="BK30" s="338"/>
      <c r="BL30" s="370" t="s">
        <v>267</v>
      </c>
      <c r="BM30" s="371" t="n">
        <f aca="false">IFERROR(IF($M30=BL30,($D$8+$D$9+$D$10)*$I30,IF($N30=LEFT(BL30,1),($D$8+MAX(0,IF($D$50=1,$D$9*(1-(ABS($Q30-ABS(VALUE(MID(BL30,FIND("|",BL30)+1,FIND("-",BL30)-FIND("|",BL30)-1))-VALUE(MID(BL30,FIND("-",BL30)+1,10)))))*$D$50),$D$9*(1-(IF($N30="X",ABS($O30-VALUE(MID(BL30,FIND("|",BL30)+1,FIND("-",BL30)-FIND("|",BL30)-1))),ABS($Q30-ABS(VALUE(MID(BL30,FIND("|",BL30)+1,FIND("-",BL30)-FIND("|",BL30)-1))-VALUE(MID(BL30,FIND("-",BL30)+1,10)))))*$D$50)))))*$I30,0)),0)</f>
        <v>0</v>
      </c>
      <c r="BN30" s="338"/>
      <c r="BO30" s="370" t="s">
        <v>288</v>
      </c>
      <c r="BP30" s="371" t="n">
        <f aca="false">IFERROR(IF($M30=BO30,($D$8+$D$9+$D$10)*$I30,IF($N30=LEFT(BO30,1),($D$8+MAX(0,IF($D$50=1,$D$9*(1-(ABS($Q30-ABS(VALUE(MID(BO30,FIND("|",BO30)+1,FIND("-",BO30)-FIND("|",BO30)-1))-VALUE(MID(BO30,FIND("-",BO30)+1,10)))))*$D$50),$D$9*(1-(IF($N30="X",ABS($O30-VALUE(MID(BO30,FIND("|",BO30)+1,FIND("-",BO30)-FIND("|",BO30)-1))),ABS($Q30-ABS(VALUE(MID(BO30,FIND("|",BO30)+1,FIND("-",BO30)-FIND("|",BO30)-1))-VALUE(MID(BO30,FIND("-",BO30)+1,10)))))*$D$50)))))*$I30,0)),0)</f>
        <v>0</v>
      </c>
      <c r="BQ30" s="338"/>
      <c r="BR30" s="370" t="s">
        <v>265</v>
      </c>
      <c r="BS30" s="371" t="n">
        <f aca="false">IFERROR(IF($M30=BR30,($D$8+$D$9+$D$10)*$I30,IF($N30=LEFT(BR30,1),($D$8+MAX(0,IF($D$50=1,$D$9*(1-(ABS($Q30-ABS(VALUE(MID(BR30,FIND("|",BR30)+1,FIND("-",BR30)-FIND("|",BR30)-1))-VALUE(MID(BR30,FIND("-",BR30)+1,10)))))*$D$50),$D$9*(1-(IF($N30="X",ABS($O30-VALUE(MID(BR30,FIND("|",BR30)+1,FIND("-",BR30)-FIND("|",BR30)-1))),ABS($Q30-ABS(VALUE(MID(BR30,FIND("|",BR30)+1,FIND("-",BR30)-FIND("|",BR30)-1))-VALUE(MID(BR30,FIND("-",BR30)+1,10)))))*$D$50)))))*$I30,0)),0)</f>
        <v>0</v>
      </c>
      <c r="BT30" s="338"/>
      <c r="BU30" s="370" t="str">
        <f aca="false">Idiomas!$D$365</f>
        <v>Pegar Valores (J2)</v>
      </c>
      <c r="BV30" s="371" t="n">
        <f aca="false">IFERROR(IF($M30=BU30,($D$8+$D$9+$D$10)*$I30,IF($N30=LEFT(BU30,1),($D$8+MAX(0,IF($D$50=1,$D$9*(1-(ABS($Q30-ABS(VALUE(MID(BU30,FIND("|",BU30)+1,FIND("-",BU30)-FIND("|",BU30)-1))-VALUE(MID(BU30,FIND("-",BU30)+1,10)))))*$D$50),$D$9*(1-(IF($N30="X",ABS($O30-VALUE(MID(BU30,FIND("|",BU30)+1,FIND("-",BU30)-FIND("|",BU30)-1))),ABS($Q30-ABS(VALUE(MID(BU30,FIND("|",BU30)+1,FIND("-",BU30)-FIND("|",BU30)-1))-VALUE(MID(BU30,FIND("-",BU30)+1,10)))))*$D$50)))))*$I30,0)),0)</f>
        <v>0</v>
      </c>
      <c r="BW30" s="338"/>
      <c r="BX30" s="370" t="str">
        <f aca="false">Idiomas!$D$365</f>
        <v>Pegar Valores (J2)</v>
      </c>
      <c r="BY30" s="371" t="n">
        <f aca="false">IFERROR(IF($M30=BX30,($D$8+$D$9+$D$10)*$I30,IF($N30=LEFT(BX30,1),($D$8+MAX(0,IF($D$50=1,$D$9*(1-(ABS($Q30-ABS(VALUE(MID(BX30,FIND("|",BX30)+1,FIND("-",BX30)-FIND("|",BX30)-1))-VALUE(MID(BX30,FIND("-",BX30)+1,10)))))*$D$50),$D$9*(1-(IF($N30="X",ABS($O30-VALUE(MID(BX30,FIND("|",BX30)+1,FIND("-",BX30)-FIND("|",BX30)-1))),ABS($Q30-ABS(VALUE(MID(BX30,FIND("|",BX30)+1,FIND("-",BX30)-FIND("|",BX30)-1))-VALUE(MID(BX30,FIND("-",BX30)+1,10)))))*$D$50)))))*$I30,0)),0)</f>
        <v>0</v>
      </c>
      <c r="BZ30" s="338"/>
      <c r="CA30" s="370" t="str">
        <f aca="false">Idiomas!$D$365</f>
        <v>Pegar Valores (J2)</v>
      </c>
      <c r="CB30" s="371" t="n">
        <f aca="false">IFERROR(IF($M30=CA30,($D$8+$D$9+$D$10)*$I30,IF($N30=LEFT(CA30,1),($D$8+MAX(0,IF($D$50=1,$D$9*(1-(ABS($Q30-ABS(VALUE(MID(CA30,FIND("|",CA30)+1,FIND("-",CA30)-FIND("|",CA30)-1))-VALUE(MID(CA30,FIND("-",CA30)+1,10)))))*$D$50),$D$9*(1-(IF($N30="X",ABS($O30-VALUE(MID(CA30,FIND("|",CA30)+1,FIND("-",CA30)-FIND("|",CA30)-1))),ABS($Q30-ABS(VALUE(MID(CA30,FIND("|",CA30)+1,FIND("-",CA30)-FIND("|",CA30)-1))-VALUE(MID(CA30,FIND("-",CA30)+1,10)))))*$D$50)))))*$I30,0)),0)</f>
        <v>0</v>
      </c>
      <c r="CC30" s="338"/>
      <c r="CD30" s="370" t="str">
        <f aca="false">Idiomas!$D$365</f>
        <v>Pegar Valores (J2)</v>
      </c>
      <c r="CE30" s="371" t="n">
        <f aca="false">IFERROR(IF($M30=CD30,($D$8+$D$9+$D$10)*$I30,IF($N30=LEFT(CD30,1),($D$8+MAX(0,IF($D$50=1,$D$9*(1-(ABS($Q30-ABS(VALUE(MID(CD30,FIND("|",CD30)+1,FIND("-",CD30)-FIND("|",CD30)-1))-VALUE(MID(CD30,FIND("-",CD30)+1,10)))))*$D$50),$D$9*(1-(IF($N30="X",ABS($O30-VALUE(MID(CD30,FIND("|",CD30)+1,FIND("-",CD30)-FIND("|",CD30)-1))),ABS($Q30-ABS(VALUE(MID(CD30,FIND("|",CD30)+1,FIND("-",CD30)-FIND("|",CD30)-1))-VALUE(MID(CD30,FIND("-",CD30)+1,10)))))*$D$50)))))*$I30,0)),0)</f>
        <v>0</v>
      </c>
      <c r="CF30" s="338"/>
      <c r="CG30" s="370" t="str">
        <f aca="false">Idiomas!$D$365</f>
        <v>Pegar Valores (J2)</v>
      </c>
      <c r="CH30" s="371" t="n">
        <f aca="false">IFERROR(IF($M30=CG30,($D$8+$D$9+$D$10)*$I30,IF($N30=LEFT(CG30,1),($D$8+MAX(0,IF($D$50=1,$D$9*(1-(ABS($Q30-ABS(VALUE(MID(CG30,FIND("|",CG30)+1,FIND("-",CG30)-FIND("|",CG30)-1))-VALUE(MID(CG30,FIND("-",CG30)+1,10)))))*$D$50),$D$9*(1-(IF($N30="X",ABS($O30-VALUE(MID(CG30,FIND("|",CG30)+1,FIND("-",CG30)-FIND("|",CG30)-1))),ABS($Q30-ABS(VALUE(MID(CG30,FIND("|",CG30)+1,FIND("-",CG30)-FIND("|",CG30)-1))-VALUE(MID(CG30,FIND("-",CG30)+1,10)))))*$D$50)))))*$I30,0)),0)</f>
        <v>0</v>
      </c>
      <c r="CI30" s="338"/>
      <c r="CJ30" s="370" t="str">
        <f aca="false">Idiomas!$D$365</f>
        <v>Pegar Valores (J2)</v>
      </c>
      <c r="CK30" s="371" t="n">
        <f aca="false">IFERROR(IF($M30=CJ30,($D$8+$D$9+$D$10)*$I30,IF($N30=LEFT(CJ30,1),($D$8+MAX(0,IF($D$50=1,$D$9*(1-(ABS($Q30-ABS(VALUE(MID(CJ30,FIND("|",CJ30)+1,FIND("-",CJ30)-FIND("|",CJ30)-1))-VALUE(MID(CJ30,FIND("-",CJ30)+1,10)))))*$D$50),$D$9*(1-(IF($N30="X",ABS($O30-VALUE(MID(CJ30,FIND("|",CJ30)+1,FIND("-",CJ30)-FIND("|",CJ30)-1))),ABS($Q30-ABS(VALUE(MID(CJ30,FIND("|",CJ30)+1,FIND("-",CJ30)-FIND("|",CJ30)-1))-VALUE(MID(CJ30,FIND("-",CJ30)+1,10)))))*$D$50)))))*$I30,0)),0)</f>
        <v>0</v>
      </c>
      <c r="CL30" s="338"/>
      <c r="CM30" s="370" t="str">
        <f aca="false">Idiomas!$D$365</f>
        <v>Pegar Valores (J2)</v>
      </c>
      <c r="CN30" s="371" t="n">
        <f aca="false">IFERROR(IF($M30=CM30,($D$8+$D$9+$D$10)*$I30,IF($N30=LEFT(CM30,1),($D$8+MAX(0,IF($D$50=1,$D$9*(1-(ABS($Q30-ABS(VALUE(MID(CM30,FIND("|",CM30)+1,FIND("-",CM30)-FIND("|",CM30)-1))-VALUE(MID(CM30,FIND("-",CM30)+1,10)))))*$D$50),$D$9*(1-(IF($N30="X",ABS($O30-VALUE(MID(CM30,FIND("|",CM30)+1,FIND("-",CM30)-FIND("|",CM30)-1))),ABS($Q30-ABS(VALUE(MID(CM30,FIND("|",CM30)+1,FIND("-",CM30)-FIND("|",CM30)-1))-VALUE(MID(CM30,FIND("-",CM30)+1,10)))))*$D$50)))))*$I30,0)),0)</f>
        <v>0</v>
      </c>
      <c r="CO30" s="338"/>
      <c r="CP30" s="370" t="str">
        <f aca="false">Idiomas!$D$365</f>
        <v>Pegar Valores (J2)</v>
      </c>
      <c r="CQ30" s="371" t="n">
        <f aca="false">IFERROR(IF($M30=CP30,($D$8+$D$9+$D$10)*$I30,IF($N30=LEFT(CP30,1),($D$8+MAX(0,IF($D$50=1,$D$9*(1-(ABS($Q30-ABS(VALUE(MID(CP30,FIND("|",CP30)+1,FIND("-",CP30)-FIND("|",CP30)-1))-VALUE(MID(CP30,FIND("-",CP30)+1,10)))))*$D$50),$D$9*(1-(IF($N30="X",ABS($O30-VALUE(MID(CP30,FIND("|",CP30)+1,FIND("-",CP30)-FIND("|",CP30)-1))),ABS($Q30-ABS(VALUE(MID(CP30,FIND("|",CP30)+1,FIND("-",CP30)-FIND("|",CP30)-1))-VALUE(MID(CP30,FIND("-",CP30)+1,10)))))*$D$50)))))*$I30,0)),0)</f>
        <v>0</v>
      </c>
      <c r="CR30" s="338"/>
      <c r="CS30" s="370" t="str">
        <f aca="false">Idiomas!$D$365</f>
        <v>Pegar Valores (J2)</v>
      </c>
      <c r="CT30" s="371" t="n">
        <f aca="false">IFERROR(IF($M30=CS30,($D$8+$D$9+$D$10)*$I30,IF($N30=LEFT(CS30,1),($D$8+MAX(0,IF($D$50=1,$D$9*(1-(ABS($Q30-ABS(VALUE(MID(CS30,FIND("|",CS30)+1,FIND("-",CS30)-FIND("|",CS30)-1))-VALUE(MID(CS30,FIND("-",CS30)+1,10)))))*$D$50),$D$9*(1-(IF($N30="X",ABS($O30-VALUE(MID(CS30,FIND("|",CS30)+1,FIND("-",CS30)-FIND("|",CS30)-1))),ABS($Q30-ABS(VALUE(MID(CS30,FIND("|",CS30)+1,FIND("-",CS30)-FIND("|",CS30)-1))-VALUE(MID(CS30,FIND("-",CS30)+1,10)))))*$D$50)))))*$I30,0)),0)</f>
        <v>0</v>
      </c>
      <c r="CU30" s="338"/>
      <c r="CV30" s="370" t="str">
        <f aca="false">Idiomas!$D$365</f>
        <v>Pegar Valores (J2)</v>
      </c>
      <c r="CW30" s="371" t="n">
        <f aca="false">IFERROR(IF($M30=CV30,($D$8+$D$9+$D$10)*$I30,IF($N30=LEFT(CV30,1),($D$8+MAX(0,IF($D$50=1,$D$9*(1-(ABS($Q30-ABS(VALUE(MID(CV30,FIND("|",CV30)+1,FIND("-",CV30)-FIND("|",CV30)-1))-VALUE(MID(CV30,FIND("-",CV30)+1,10)))))*$D$50),$D$9*(1-(IF($N30="X",ABS($O30-VALUE(MID(CV30,FIND("|",CV30)+1,FIND("-",CV30)-FIND("|",CV30)-1))),ABS($Q30-ABS(VALUE(MID(CV30,FIND("|",CV30)+1,FIND("-",CV30)-FIND("|",CV30)-1))-VALUE(MID(CV30,FIND("-",CV30)+1,10)))))*$D$50)))))*$I30,0)),0)</f>
        <v>0</v>
      </c>
      <c r="CX30" s="338"/>
      <c r="CY30" s="370" t="str">
        <f aca="false">Idiomas!$D$365</f>
        <v>Pegar Valores (J2)</v>
      </c>
      <c r="CZ30" s="371" t="n">
        <f aca="false">IFERROR(IF($M30=CY30,($D$8+$D$9+$D$10)*$I30,IF($N30=LEFT(CY30,1),($D$8+MAX(0,IF($D$50=1,$D$9*(1-(ABS($Q30-ABS(VALUE(MID(CY30,FIND("|",CY30)+1,FIND("-",CY30)-FIND("|",CY30)-1))-VALUE(MID(CY30,FIND("-",CY30)+1,10)))))*$D$50),$D$9*(1-(IF($N30="X",ABS($O30-VALUE(MID(CY30,FIND("|",CY30)+1,FIND("-",CY30)-FIND("|",CY30)-1))),ABS($Q30-ABS(VALUE(MID(CY30,FIND("|",CY30)+1,FIND("-",CY30)-FIND("|",CY30)-1))-VALUE(MID(CY30,FIND("-",CY30)+1,10)))))*$D$50)))))*$I30,0)),0)</f>
        <v>0</v>
      </c>
      <c r="DA30" s="338"/>
      <c r="DB30" s="370" t="str">
        <f aca="false">Idiomas!$D$365</f>
        <v>Pegar Valores (J2)</v>
      </c>
      <c r="DC30" s="371" t="n">
        <f aca="false">IFERROR(IF($M30=DB30,($D$8+$D$9+$D$10)*$I30,IF($N30=LEFT(DB30,1),($D$8+MAX(0,IF($D$50=1,$D$9*(1-(ABS($Q30-ABS(VALUE(MID(DB30,FIND("|",DB30)+1,FIND("-",DB30)-FIND("|",DB30)-1))-VALUE(MID(DB30,FIND("-",DB30)+1,10)))))*$D$50),$D$9*(1-(IF($N30="X",ABS($O30-VALUE(MID(DB30,FIND("|",DB30)+1,FIND("-",DB30)-FIND("|",DB30)-1))),ABS($Q30-ABS(VALUE(MID(DB30,FIND("|",DB30)+1,FIND("-",DB30)-FIND("|",DB30)-1))-VALUE(MID(DB30,FIND("-",DB30)+1,10)))))*$D$50)))))*$I30,0)),0)</f>
        <v>0</v>
      </c>
      <c r="DD30" s="338"/>
      <c r="DE30" s="370" t="str">
        <f aca="false">Idiomas!$D$365</f>
        <v>Pegar Valores (J2)</v>
      </c>
      <c r="DF30" s="371" t="n">
        <f aca="false">IFERROR(IF($M30=DE30,($D$8+$D$9+$D$10)*$I30,IF($N30=LEFT(DE30,1),($D$8+MAX(0,IF($D$50=1,$D$9*(1-(ABS($Q30-ABS(VALUE(MID(DE30,FIND("|",DE30)+1,FIND("-",DE30)-FIND("|",DE30)-1))-VALUE(MID(DE30,FIND("-",DE30)+1,10)))))*$D$50),$D$9*(1-(IF($N30="X",ABS($O30-VALUE(MID(DE30,FIND("|",DE30)+1,FIND("-",DE30)-FIND("|",DE30)-1))),ABS($Q30-ABS(VALUE(MID(DE30,FIND("|",DE30)+1,FIND("-",DE30)-FIND("|",DE30)-1))-VALUE(MID(DE30,FIND("-",DE30)+1,10)))))*$D$50)))))*$I30,0)),0)</f>
        <v>0</v>
      </c>
      <c r="DG30" s="338"/>
      <c r="DH30" s="370" t="str">
        <f aca="false">Idiomas!$D$365</f>
        <v>Pegar Valores (J2)</v>
      </c>
      <c r="DI30" s="371" t="n">
        <f aca="false">IFERROR(IF($M30=DH30,($D$8+$D$9+$D$10)*$I30,IF($N30=LEFT(DH30,1),($D$8+MAX(0,IF($D$50=1,$D$9*(1-(ABS($Q30-ABS(VALUE(MID(DH30,FIND("|",DH30)+1,FIND("-",DH30)-FIND("|",DH30)-1))-VALUE(MID(DH30,FIND("-",DH30)+1,10)))))*$D$50),$D$9*(1-(IF($N30="X",ABS($O30-VALUE(MID(DH30,FIND("|",DH30)+1,FIND("-",DH30)-FIND("|",DH30)-1))),ABS($Q30-ABS(VALUE(MID(DH30,FIND("|",DH30)+1,FIND("-",DH30)-FIND("|",DH30)-1))-VALUE(MID(DH30,FIND("-",DH30)+1,10)))))*$D$50)))))*$I30,0)),0)</f>
        <v>0</v>
      </c>
      <c r="DJ30" s="338"/>
      <c r="DK30" s="370" t="str">
        <f aca="false">Idiomas!$D$365</f>
        <v>Pegar Valores (J2)</v>
      </c>
      <c r="DL30" s="371" t="n">
        <f aca="false">IFERROR(IF($M30=DK30,($D$8+$D$9+$D$10)*$I30,IF($N30=LEFT(DK30,1),($D$8+MAX(0,IF($D$50=1,$D$9*(1-(ABS($Q30-ABS(VALUE(MID(DK30,FIND("|",DK30)+1,FIND("-",DK30)-FIND("|",DK30)-1))-VALUE(MID(DK30,FIND("-",DK30)+1,10)))))*$D$50),$D$9*(1-(IF($N30="X",ABS($O30-VALUE(MID(DK30,FIND("|",DK30)+1,FIND("-",DK30)-FIND("|",DK30)-1))),ABS($Q30-ABS(VALUE(MID(DK30,FIND("|",DK30)+1,FIND("-",DK30)-FIND("|",DK30)-1))-VALUE(MID(DK30,FIND("-",DK30)+1,10)))))*$D$50)))))*$I30,0)),0)</f>
        <v>0</v>
      </c>
      <c r="DM30" s="338"/>
      <c r="DN30" s="370" t="str">
        <f aca="false">Idiomas!$D$365</f>
        <v>Pegar Valores (J2)</v>
      </c>
      <c r="DO30" s="371" t="n">
        <f aca="false">IFERROR(IF($M30=DN30,($D$8+$D$9+$D$10)*$I30,IF($N30=LEFT(DN30,1),($D$8+MAX(0,IF($D$50=1,$D$9*(1-(ABS($Q30-ABS(VALUE(MID(DN30,FIND("|",DN30)+1,FIND("-",DN30)-FIND("|",DN30)-1))-VALUE(MID(DN30,FIND("-",DN30)+1,10)))))*$D$50),$D$9*(1-(IF($N30="X",ABS($O30-VALUE(MID(DN30,FIND("|",DN30)+1,FIND("-",DN30)-FIND("|",DN30)-1))),ABS($Q30-ABS(VALUE(MID(DN30,FIND("|",DN30)+1,FIND("-",DN30)-FIND("|",DN30)-1))-VALUE(MID(DN30,FIND("-",DN30)+1,10)))))*$D$50)))))*$I30,0)),0)</f>
        <v>0</v>
      </c>
      <c r="DP30" s="338"/>
      <c r="DQ30" s="370" t="str">
        <f aca="false">Idiomas!$D$365</f>
        <v>Pegar Valores (J2)</v>
      </c>
      <c r="DR30" s="371" t="n">
        <f aca="false">IFERROR(IF($M30=DQ30,($D$8+$D$9+$D$10)*$I30,IF($N30=LEFT(DQ30,1),($D$8+MAX(0,IF($D$50=1,$D$9*(1-(ABS($Q30-ABS(VALUE(MID(DQ30,FIND("|",DQ30)+1,FIND("-",DQ30)-FIND("|",DQ30)-1))-VALUE(MID(DQ30,FIND("-",DQ30)+1,10)))))*$D$50),$D$9*(1-(IF($N30="X",ABS($O30-VALUE(MID(DQ30,FIND("|",DQ30)+1,FIND("-",DQ30)-FIND("|",DQ30)-1))),ABS($Q30-ABS(VALUE(MID(DQ30,FIND("|",DQ30)+1,FIND("-",DQ30)-FIND("|",DQ30)-1))-VALUE(MID(DQ30,FIND("-",DQ30)+1,10)))))*$D$50)))))*$I30,0)),0)</f>
        <v>0</v>
      </c>
      <c r="DS30" s="338"/>
      <c r="DT30" s="370" t="str">
        <f aca="false">Idiomas!$D$365</f>
        <v>Pegar Valores (J2)</v>
      </c>
      <c r="DU30" s="371" t="n">
        <f aca="false">IFERROR(IF($M30=DT30,($D$8+$D$9+$D$10)*$I30,IF($N30=LEFT(DT30,1),($D$8+MAX(0,IF($D$50=1,$D$9*(1-(ABS($Q30-ABS(VALUE(MID(DT30,FIND("|",DT30)+1,FIND("-",DT30)-FIND("|",DT30)-1))-VALUE(MID(DT30,FIND("-",DT30)+1,10)))))*$D$50),$D$9*(1-(IF($N30="X",ABS($O30-VALUE(MID(DT30,FIND("|",DT30)+1,FIND("-",DT30)-FIND("|",DT30)-1))),ABS($Q30-ABS(VALUE(MID(DT30,FIND("|",DT30)+1,FIND("-",DT30)-FIND("|",DT30)-1))-VALUE(MID(DT30,FIND("-",DT30)+1,10)))))*$D$50)))))*$I30,0)),0)</f>
        <v>0</v>
      </c>
      <c r="DV30" s="338"/>
      <c r="DW30" s="370" t="str">
        <f aca="false">Idiomas!$D$365</f>
        <v>Pegar Valores (J2)</v>
      </c>
      <c r="DX30" s="371" t="n">
        <f aca="false">IFERROR(IF($M30=DW30,($D$8+$D$9+$D$10)*$I30,IF($N30=LEFT(DW30,1),($D$8+MAX(0,IF($D$50=1,$D$9*(1-(ABS($Q30-ABS(VALUE(MID(DW30,FIND("|",DW30)+1,FIND("-",DW30)-FIND("|",DW30)-1))-VALUE(MID(DW30,FIND("-",DW30)+1,10)))))*$D$50),$D$9*(1-(IF($N30="X",ABS($O30-VALUE(MID(DW30,FIND("|",DW30)+1,FIND("-",DW30)-FIND("|",DW30)-1))),ABS($Q30-ABS(VALUE(MID(DW30,FIND("|",DW30)+1,FIND("-",DW30)-FIND("|",DW30)-1))-VALUE(MID(DW30,FIND("-",DW30)+1,10)))))*$D$50)))))*$I30,0)),0)</f>
        <v>0</v>
      </c>
      <c r="DY30" s="338"/>
      <c r="DZ30" s="370" t="str">
        <f aca="false">Idiomas!$D$365</f>
        <v>Pegar Valores (J2)</v>
      </c>
      <c r="EA30" s="371" t="n">
        <f aca="false">IFERROR(IF($M30=DZ30,($D$8+$D$9+$D$10)*$I30,IF($N30=LEFT(DZ30,1),($D$8+MAX(0,IF($D$50=1,$D$9*(1-(ABS($Q30-ABS(VALUE(MID(DZ30,FIND("|",DZ30)+1,FIND("-",DZ30)-FIND("|",DZ30)-1))-VALUE(MID(DZ30,FIND("-",DZ30)+1,10)))))*$D$50),$D$9*(1-(IF($N30="X",ABS($O30-VALUE(MID(DZ30,FIND("|",DZ30)+1,FIND("-",DZ30)-FIND("|",DZ30)-1))),ABS($Q30-ABS(VALUE(MID(DZ30,FIND("|",DZ30)+1,FIND("-",DZ30)-FIND("|",DZ30)-1))-VALUE(MID(DZ30,FIND("-",DZ30)+1,10)))))*$D$50)))))*$I30,0)),0)</f>
        <v>0</v>
      </c>
      <c r="EB30" s="338"/>
      <c r="EC30" s="370" t="str">
        <f aca="false">Idiomas!$D$365</f>
        <v>Pegar Valores (J2)</v>
      </c>
      <c r="ED30" s="371" t="n">
        <f aca="false">IFERROR(IF($M30=EC30,($D$8+$D$9+$D$10)*$I30,IF($N30=LEFT(EC30,1),($D$8+MAX(0,IF($D$50=1,$D$9*(1-(ABS($Q30-ABS(VALUE(MID(EC30,FIND("|",EC30)+1,FIND("-",EC30)-FIND("|",EC30)-1))-VALUE(MID(EC30,FIND("-",EC30)+1,10)))))*$D$50),$D$9*(1-(IF($N30="X",ABS($O30-VALUE(MID(EC30,FIND("|",EC30)+1,FIND("-",EC30)-FIND("|",EC30)-1))),ABS($Q30-ABS(VALUE(MID(EC30,FIND("|",EC30)+1,FIND("-",EC30)-FIND("|",EC30)-1))-VALUE(MID(EC30,FIND("-",EC30)+1,10)))))*$D$50)))))*$I30,0)),0)</f>
        <v>0</v>
      </c>
      <c r="EE30" s="338"/>
      <c r="EF30" s="370" t="str">
        <f aca="false">Idiomas!$D$365</f>
        <v>Pegar Valores (J2)</v>
      </c>
      <c r="EG30" s="371" t="n">
        <f aca="false">IFERROR(IF($M30=EF30,($D$8+$D$9+$D$10)*$I30,IF($N30=LEFT(EF30,1),($D$8+MAX(0,IF($D$50=1,$D$9*(1-(ABS($Q30-ABS(VALUE(MID(EF30,FIND("|",EF30)+1,FIND("-",EF30)-FIND("|",EF30)-1))-VALUE(MID(EF30,FIND("-",EF30)+1,10)))))*$D$50),$D$9*(1-(IF($N30="X",ABS($O30-VALUE(MID(EF30,FIND("|",EF30)+1,FIND("-",EF30)-FIND("|",EF30)-1))),ABS($Q30-ABS(VALUE(MID(EF30,FIND("|",EF30)+1,FIND("-",EF30)-FIND("|",EF30)-1))-VALUE(MID(EF30,FIND("-",EF30)+1,10)))))*$D$50)))))*$I30,0)),0)</f>
        <v>0</v>
      </c>
      <c r="EH30" s="338"/>
      <c r="EI30" s="338"/>
    </row>
    <row r="31" customFormat="false" ht="15" hidden="false" customHeight="false" outlineLevel="0" collapsed="false">
      <c r="A31" s="327"/>
      <c r="B31" s="327"/>
      <c r="C31" s="364" t="str">
        <f aca="false">Idiomas!D327</f>
        <v>Equipo clasificado para 3º y 4º puesto</v>
      </c>
      <c r="D31" s="365" t="n">
        <v>7</v>
      </c>
      <c r="E31" s="334"/>
      <c r="F31" s="343" t="n">
        <f aca="false">SUM($D$8:$D$10)*I31</f>
        <v>17</v>
      </c>
      <c r="G31" s="343" t="n">
        <f aca="false">VLOOKUP(H31,Equipos!$Q$1:$R$25,2,0)</f>
        <v>9</v>
      </c>
      <c r="H31" s="351" t="n">
        <f aca="false">TRUNC(INDEX(WORLDCUP!$X$4:$X$147,MATCH(ADMIN!K31,WORLDCUP!$DT$4:$DT$147,0))+INDEX(Horarios!$R$3:$R$86,MATCH(Horarios!$C$3,Horarios!$P$3:$P$86,0))/24)</f>
        <v>46192</v>
      </c>
      <c r="I31" s="352" t="n">
        <v>1</v>
      </c>
      <c r="J31" s="353" t="s">
        <v>296</v>
      </c>
      <c r="K31" s="367" t="str">
        <f aca="false">CONCATENATE(WORLDCUP!AA7,"-",WORLDCUP!AF7)</f>
        <v>México-Corea del Sur</v>
      </c>
      <c r="L31" s="354"/>
      <c r="M31" s="359" t="str">
        <f aca="false">IF(OR(WORLDCUP!AC7="",WORLDCUP!AD7=""),"-",N31&amp;"|"&amp;O31&amp;"-"&amp;P31)</f>
        <v>-</v>
      </c>
      <c r="N31" s="332" t="str">
        <f aca="false">IF(OR(WORLDCUP!AC7="",WORLDCUP!AD7=""),"",IF(WORLDCUP!AC7&gt;WORLDCUP!AD7,"1",IF(WORLDCUP!AC7&lt;WORLDCUP!AD7,"2","X")))</f>
        <v/>
      </c>
      <c r="O31" s="332" t="n">
        <f aca="false">WORLDCUP!AC7</f>
        <v>0</v>
      </c>
      <c r="P31" s="332" t="n">
        <f aca="false">WORLDCUP!AD7</f>
        <v>0</v>
      </c>
      <c r="Q31" s="332" t="n">
        <f aca="false">ABS(O31-P31)</f>
        <v>0</v>
      </c>
      <c r="R31" s="327"/>
      <c r="S31" s="363" t="s">
        <v>266</v>
      </c>
      <c r="T31" s="356" t="n">
        <f aca="false">IFERROR(IF($M31=S31,($D$8+$D$9+$D$10)*$I31,IF($N31=LEFT(S31,1),($D$8+MAX(0,IF($D$50=1,$D$9*(1-(ABS($Q31-ABS(VALUE(MID(S31,FIND("|",S31)+1,FIND("-",S31)-FIND("|",S31)-1))-VALUE(MID(S31,FIND("-",S31)+1,10)))))*$D$50),$D$9*(1-(IF($N31="X",ABS($O31-VALUE(MID(S31,FIND("|",S31)+1,FIND("-",S31)-FIND("|",S31)-1))),ABS($Q31-ABS(VALUE(MID(S31,FIND("|",S31)+1,FIND("-",S31)-FIND("|",S31)-1))-VALUE(MID(S31,FIND("-",S31)+1,10)))))*$D$50)))))*$I31,0)),0)</f>
        <v>0</v>
      </c>
      <c r="U31" s="338"/>
      <c r="V31" s="363" t="s">
        <v>267</v>
      </c>
      <c r="W31" s="356" t="n">
        <f aca="false">IFERROR(IF($M31=V31,($D$8+$D$9+$D$10)*$I31,IF($N31=LEFT(V31,1),($D$8+MAX(0,IF($D$50=1,$D$9*(1-(ABS($Q31-ABS(VALUE(MID(V31,FIND("|",V31)+1,FIND("-",V31)-FIND("|",V31)-1))-VALUE(MID(V31,FIND("-",V31)+1,10)))))*$D$50),$D$9*(1-(IF($N31="X",ABS($O31-VALUE(MID(V31,FIND("|",V31)+1,FIND("-",V31)-FIND("|",V31)-1))),ABS($Q31-ABS(VALUE(MID(V31,FIND("|",V31)+1,FIND("-",V31)-FIND("|",V31)-1))-VALUE(MID(V31,FIND("-",V31)+1,10)))))*$D$50)))))*$I31,0)),0)</f>
        <v>0</v>
      </c>
      <c r="X31" s="338"/>
      <c r="Y31" s="363" t="s">
        <v>264</v>
      </c>
      <c r="Z31" s="356" t="n">
        <f aca="false">IFERROR(IF($M31=Y31,($D$8+$D$9+$D$10)*$I31,IF($N31=LEFT(Y31,1),($D$8+MAX(0,IF($D$50=1,$D$9*(1-(ABS($Q31-ABS(VALUE(MID(Y31,FIND("|",Y31)+1,FIND("-",Y31)-FIND("|",Y31)-1))-VALUE(MID(Y31,FIND("-",Y31)+1,10)))))*$D$50),$D$9*(1-(IF($N31="X",ABS($O31-VALUE(MID(Y31,FIND("|",Y31)+1,FIND("-",Y31)-FIND("|",Y31)-1))),ABS($Q31-ABS(VALUE(MID(Y31,FIND("|",Y31)+1,FIND("-",Y31)-FIND("|",Y31)-1))-VALUE(MID(Y31,FIND("-",Y31)+1,10)))))*$D$50)))))*$I31,0)),0)</f>
        <v>0</v>
      </c>
      <c r="AA31" s="338"/>
      <c r="AB31" s="363" t="s">
        <v>267</v>
      </c>
      <c r="AC31" s="356" t="n">
        <f aca="false">IFERROR(IF($M31=AB31,($D$8+$D$9+$D$10)*$I31,IF($N31=LEFT(AB31,1),($D$8+MAX(0,IF($D$50=1,$D$9*(1-(ABS($Q31-ABS(VALUE(MID(AB31,FIND("|",AB31)+1,FIND("-",AB31)-FIND("|",AB31)-1))-VALUE(MID(AB31,FIND("-",AB31)+1,10)))))*$D$50),$D$9*(1-(IF($N31="X",ABS($O31-VALUE(MID(AB31,FIND("|",AB31)+1,FIND("-",AB31)-FIND("|",AB31)-1))),ABS($Q31-ABS(VALUE(MID(AB31,FIND("|",AB31)+1,FIND("-",AB31)-FIND("|",AB31)-1))-VALUE(MID(AB31,FIND("-",AB31)+1,10)))))*$D$50)))))*$I31,0)),0)</f>
        <v>0</v>
      </c>
      <c r="AD31" s="338"/>
      <c r="AE31" s="363" t="s">
        <v>269</v>
      </c>
      <c r="AF31" s="356" t="n">
        <f aca="false">IFERROR(IF($M31=AE31,($D$8+$D$9+$D$10)*$I31,IF($N31=LEFT(AE31,1),($D$8+MAX(0,IF($D$50=1,$D$9*(1-(ABS($Q31-ABS(VALUE(MID(AE31,FIND("|",AE31)+1,FIND("-",AE31)-FIND("|",AE31)-1))-VALUE(MID(AE31,FIND("-",AE31)+1,10)))))*$D$50),$D$9*(1-(IF($N31="X",ABS($O31-VALUE(MID(AE31,FIND("|",AE31)+1,FIND("-",AE31)-FIND("|",AE31)-1))),ABS($Q31-ABS(VALUE(MID(AE31,FIND("|",AE31)+1,FIND("-",AE31)-FIND("|",AE31)-1))-VALUE(MID(AE31,FIND("-",AE31)+1,10)))))*$D$50)))))*$I31,0)),0)</f>
        <v>0</v>
      </c>
      <c r="AG31" s="338"/>
      <c r="AH31" s="363" t="s">
        <v>267</v>
      </c>
      <c r="AI31" s="356" t="n">
        <f aca="false">IFERROR(IF($M31=AH31,($D$8+$D$9+$D$10)*$I31,IF($N31=LEFT(AH31,1),($D$8+MAX(0,IF($D$50=1,$D$9*(1-(ABS($Q31-ABS(VALUE(MID(AH31,FIND("|",AH31)+1,FIND("-",AH31)-FIND("|",AH31)-1))-VALUE(MID(AH31,FIND("-",AH31)+1,10)))))*$D$50),$D$9*(1-(IF($N31="X",ABS($O31-VALUE(MID(AH31,FIND("|",AH31)+1,FIND("-",AH31)-FIND("|",AH31)-1))),ABS($Q31-ABS(VALUE(MID(AH31,FIND("|",AH31)+1,FIND("-",AH31)-FIND("|",AH31)-1))-VALUE(MID(AH31,FIND("-",AH31)+1,10)))))*$D$50)))))*$I31,0)),0)</f>
        <v>0</v>
      </c>
      <c r="AJ31" s="338"/>
      <c r="AK31" s="363" t="s">
        <v>267</v>
      </c>
      <c r="AL31" s="356" t="n">
        <f aca="false">IFERROR(IF($M31=AK31,($D$8+$D$9+$D$10)*$I31,IF($N31=LEFT(AK31,1),($D$8+MAX(0,IF($D$50=1,$D$9*(1-(ABS($Q31-ABS(VALUE(MID(AK31,FIND("|",AK31)+1,FIND("-",AK31)-FIND("|",AK31)-1))-VALUE(MID(AK31,FIND("-",AK31)+1,10)))))*$D$50),$D$9*(1-(IF($N31="X",ABS($O31-VALUE(MID(AK31,FIND("|",AK31)+1,FIND("-",AK31)-FIND("|",AK31)-1))),ABS($Q31-ABS(VALUE(MID(AK31,FIND("|",AK31)+1,FIND("-",AK31)-FIND("|",AK31)-1))-VALUE(MID(AK31,FIND("-",AK31)+1,10)))))*$D$50)))))*$I31,0)),0)</f>
        <v>0</v>
      </c>
      <c r="AM31" s="338"/>
      <c r="AN31" s="363" t="s">
        <v>267</v>
      </c>
      <c r="AO31" s="356" t="n">
        <f aca="false">IFERROR(IF($M31=AN31,($D$8+$D$9+$D$10)*$I31,IF($N31=LEFT(AN31,1),($D$8+MAX(0,IF($D$50=1,$D$9*(1-(ABS($Q31-ABS(VALUE(MID(AN31,FIND("|",AN31)+1,FIND("-",AN31)-FIND("|",AN31)-1))-VALUE(MID(AN31,FIND("-",AN31)+1,10)))))*$D$50),$D$9*(1-(IF($N31="X",ABS($O31-VALUE(MID(AN31,FIND("|",AN31)+1,FIND("-",AN31)-FIND("|",AN31)-1))),ABS($Q31-ABS(VALUE(MID(AN31,FIND("|",AN31)+1,FIND("-",AN31)-FIND("|",AN31)-1))-VALUE(MID(AN31,FIND("-",AN31)+1,10)))))*$D$50)))))*$I31,0)),0)</f>
        <v>0</v>
      </c>
      <c r="AP31" s="338"/>
      <c r="AQ31" s="363" t="s">
        <v>268</v>
      </c>
      <c r="AR31" s="356" t="n">
        <f aca="false">IFERROR(IF($M31=AQ31,($D$8+$D$9+$D$10)*$I31,IF($N31=LEFT(AQ31,1),($D$8+MAX(0,IF($D$50=1,$D$9*(1-(ABS($Q31-ABS(VALUE(MID(AQ31,FIND("|",AQ31)+1,FIND("-",AQ31)-FIND("|",AQ31)-1))-VALUE(MID(AQ31,FIND("-",AQ31)+1,10)))))*$D$50),$D$9*(1-(IF($N31="X",ABS($O31-VALUE(MID(AQ31,FIND("|",AQ31)+1,FIND("-",AQ31)-FIND("|",AQ31)-1))),ABS($Q31-ABS(VALUE(MID(AQ31,FIND("|",AQ31)+1,FIND("-",AQ31)-FIND("|",AQ31)-1))-VALUE(MID(AQ31,FIND("-",AQ31)+1,10)))))*$D$50)))))*$I31,0)),0)</f>
        <v>0</v>
      </c>
      <c r="AS31" s="338"/>
      <c r="AT31" s="363" t="s">
        <v>267</v>
      </c>
      <c r="AU31" s="356" t="n">
        <f aca="false">IFERROR(IF($M31=AT31,($D$8+$D$9+$D$10)*$I31,IF($N31=LEFT(AT31,1),($D$8+MAX(0,IF($D$50=1,$D$9*(1-(ABS($Q31-ABS(VALUE(MID(AT31,FIND("|",AT31)+1,FIND("-",AT31)-FIND("|",AT31)-1))-VALUE(MID(AT31,FIND("-",AT31)+1,10)))))*$D$50),$D$9*(1-(IF($N31="X",ABS($O31-VALUE(MID(AT31,FIND("|",AT31)+1,FIND("-",AT31)-FIND("|",AT31)-1))),ABS($Q31-ABS(VALUE(MID(AT31,FIND("|",AT31)+1,FIND("-",AT31)-FIND("|",AT31)-1))-VALUE(MID(AT31,FIND("-",AT31)+1,10)))))*$D$50)))))*$I31,0)),0)</f>
        <v>0</v>
      </c>
      <c r="AV31" s="338"/>
      <c r="AW31" s="363" t="s">
        <v>267</v>
      </c>
      <c r="AX31" s="356" t="n">
        <f aca="false">IFERROR(IF($M31=AW31,($D$8+$D$9+$D$10)*$I31,IF($N31=LEFT(AW31,1),($D$8+MAX(0,IF($D$50=1,$D$9*(1-(ABS($Q31-ABS(VALUE(MID(AW31,FIND("|",AW31)+1,FIND("-",AW31)-FIND("|",AW31)-1))-VALUE(MID(AW31,FIND("-",AW31)+1,10)))))*$D$50),$D$9*(1-(IF($N31="X",ABS($O31-VALUE(MID(AW31,FIND("|",AW31)+1,FIND("-",AW31)-FIND("|",AW31)-1))),ABS($Q31-ABS(VALUE(MID(AW31,FIND("|",AW31)+1,FIND("-",AW31)-FIND("|",AW31)-1))-VALUE(MID(AW31,FIND("-",AW31)+1,10)))))*$D$50)))))*$I31,0)),0)</f>
        <v>0</v>
      </c>
      <c r="AY31" s="338"/>
      <c r="AZ31" s="363" t="s">
        <v>264</v>
      </c>
      <c r="BA31" s="356" t="n">
        <f aca="false">IFERROR(IF($M31=AZ31,($D$8+$D$9+$D$10)*$I31,IF($N31=LEFT(AZ31,1),($D$8+MAX(0,IF($D$50=1,$D$9*(1-(ABS($Q31-ABS(VALUE(MID(AZ31,FIND("|",AZ31)+1,FIND("-",AZ31)-FIND("|",AZ31)-1))-VALUE(MID(AZ31,FIND("-",AZ31)+1,10)))))*$D$50),$D$9*(1-(IF($N31="X",ABS($O31-VALUE(MID(AZ31,FIND("|",AZ31)+1,FIND("-",AZ31)-FIND("|",AZ31)-1))),ABS($Q31-ABS(VALUE(MID(AZ31,FIND("|",AZ31)+1,FIND("-",AZ31)-FIND("|",AZ31)-1))-VALUE(MID(AZ31,FIND("-",AZ31)+1,10)))))*$D$50)))))*$I31,0)),0)</f>
        <v>0</v>
      </c>
      <c r="BB31" s="338"/>
      <c r="BC31" s="363" t="s">
        <v>288</v>
      </c>
      <c r="BD31" s="356" t="n">
        <f aca="false">IFERROR(IF($M31=BC31,($D$8+$D$9+$D$10)*$I31,IF($N31=LEFT(BC31,1),($D$8+MAX(0,IF($D$50=1,$D$9*(1-(ABS($Q31-ABS(VALUE(MID(BC31,FIND("|",BC31)+1,FIND("-",BC31)-FIND("|",BC31)-1))-VALUE(MID(BC31,FIND("-",BC31)+1,10)))))*$D$50),$D$9*(1-(IF($N31="X",ABS($O31-VALUE(MID(BC31,FIND("|",BC31)+1,FIND("-",BC31)-FIND("|",BC31)-1))),ABS($Q31-ABS(VALUE(MID(BC31,FIND("|",BC31)+1,FIND("-",BC31)-FIND("|",BC31)-1))-VALUE(MID(BC31,FIND("-",BC31)+1,10)))))*$D$50)))))*$I31,0)),0)</f>
        <v>0</v>
      </c>
      <c r="BE31" s="338"/>
      <c r="BF31" s="363" t="s">
        <v>266</v>
      </c>
      <c r="BG31" s="356" t="n">
        <f aca="false">IFERROR(IF($M31=BF31,($D$8+$D$9+$D$10)*$I31,IF($N31=LEFT(BF31,1),($D$8+MAX(0,IF($D$50=1,$D$9*(1-(ABS($Q31-ABS(VALUE(MID(BF31,FIND("|",BF31)+1,FIND("-",BF31)-FIND("|",BF31)-1))-VALUE(MID(BF31,FIND("-",BF31)+1,10)))))*$D$50),$D$9*(1-(IF($N31="X",ABS($O31-VALUE(MID(BF31,FIND("|",BF31)+1,FIND("-",BF31)-FIND("|",BF31)-1))),ABS($Q31-ABS(VALUE(MID(BF31,FIND("|",BF31)+1,FIND("-",BF31)-FIND("|",BF31)-1))-VALUE(MID(BF31,FIND("-",BF31)+1,10)))))*$D$50)))))*$I31,0)),0)</f>
        <v>0</v>
      </c>
      <c r="BH31" s="338"/>
      <c r="BI31" s="363" t="s">
        <v>265</v>
      </c>
      <c r="BJ31" s="356" t="n">
        <f aca="false">IFERROR(IF($M31=BI31,($D$8+$D$9+$D$10)*$I31,IF($N31=LEFT(BI31,1),($D$8+MAX(0,IF($D$50=1,$D$9*(1-(ABS($Q31-ABS(VALUE(MID(BI31,FIND("|",BI31)+1,FIND("-",BI31)-FIND("|",BI31)-1))-VALUE(MID(BI31,FIND("-",BI31)+1,10)))))*$D$50),$D$9*(1-(IF($N31="X",ABS($O31-VALUE(MID(BI31,FIND("|",BI31)+1,FIND("-",BI31)-FIND("|",BI31)-1))),ABS($Q31-ABS(VALUE(MID(BI31,FIND("|",BI31)+1,FIND("-",BI31)-FIND("|",BI31)-1))-VALUE(MID(BI31,FIND("-",BI31)+1,10)))))*$D$50)))))*$I31,0)),0)</f>
        <v>0</v>
      </c>
      <c r="BK31" s="338"/>
      <c r="BL31" s="363" t="s">
        <v>274</v>
      </c>
      <c r="BM31" s="356" t="n">
        <f aca="false">IFERROR(IF($M31=BL31,($D$8+$D$9+$D$10)*$I31,IF($N31=LEFT(BL31,1),($D$8+MAX(0,IF($D$50=1,$D$9*(1-(ABS($Q31-ABS(VALUE(MID(BL31,FIND("|",BL31)+1,FIND("-",BL31)-FIND("|",BL31)-1))-VALUE(MID(BL31,FIND("-",BL31)+1,10)))))*$D$50),$D$9*(1-(IF($N31="X",ABS($O31-VALUE(MID(BL31,FIND("|",BL31)+1,FIND("-",BL31)-FIND("|",BL31)-1))),ABS($Q31-ABS(VALUE(MID(BL31,FIND("|",BL31)+1,FIND("-",BL31)-FIND("|",BL31)-1))-VALUE(MID(BL31,FIND("-",BL31)+1,10)))))*$D$50)))))*$I31,0)),0)</f>
        <v>0</v>
      </c>
      <c r="BN31" s="338"/>
      <c r="BO31" s="363" t="s">
        <v>264</v>
      </c>
      <c r="BP31" s="356" t="n">
        <f aca="false">IFERROR(IF($M31=BO31,($D$8+$D$9+$D$10)*$I31,IF($N31=LEFT(BO31,1),($D$8+MAX(0,IF($D$50=1,$D$9*(1-(ABS($Q31-ABS(VALUE(MID(BO31,FIND("|",BO31)+1,FIND("-",BO31)-FIND("|",BO31)-1))-VALUE(MID(BO31,FIND("-",BO31)+1,10)))))*$D$50),$D$9*(1-(IF($N31="X",ABS($O31-VALUE(MID(BO31,FIND("|",BO31)+1,FIND("-",BO31)-FIND("|",BO31)-1))),ABS($Q31-ABS(VALUE(MID(BO31,FIND("|",BO31)+1,FIND("-",BO31)-FIND("|",BO31)-1))-VALUE(MID(BO31,FIND("-",BO31)+1,10)))))*$D$50)))))*$I31,0)),0)</f>
        <v>0</v>
      </c>
      <c r="BQ31" s="338"/>
      <c r="BR31" s="363" t="s">
        <v>265</v>
      </c>
      <c r="BS31" s="356" t="n">
        <f aca="false">IFERROR(IF($M31=BR31,($D$8+$D$9+$D$10)*$I31,IF($N31=LEFT(BR31,1),($D$8+MAX(0,IF($D$50=1,$D$9*(1-(ABS($Q31-ABS(VALUE(MID(BR31,FIND("|",BR31)+1,FIND("-",BR31)-FIND("|",BR31)-1))-VALUE(MID(BR31,FIND("-",BR31)+1,10)))))*$D$50),$D$9*(1-(IF($N31="X",ABS($O31-VALUE(MID(BR31,FIND("|",BR31)+1,FIND("-",BR31)-FIND("|",BR31)-1))),ABS($Q31-ABS(VALUE(MID(BR31,FIND("|",BR31)+1,FIND("-",BR31)-FIND("|",BR31)-1))-VALUE(MID(BR31,FIND("-",BR31)+1,10)))))*$D$50)))))*$I31,0)),0)</f>
        <v>0</v>
      </c>
      <c r="BT31" s="338"/>
      <c r="BU31" s="363"/>
      <c r="BV31" s="356" t="n">
        <f aca="false">IFERROR(IF($M31=BU31,($D$8+$D$9+$D$10)*$I31,IF($N31=LEFT(BU31,1),($D$8+MAX(0,IF($D$50=1,$D$9*(1-(ABS($Q31-ABS(VALUE(MID(BU31,FIND("|",BU31)+1,FIND("-",BU31)-FIND("|",BU31)-1))-VALUE(MID(BU31,FIND("-",BU31)+1,10)))))*$D$50),$D$9*(1-(IF($N31="X",ABS($O31-VALUE(MID(BU31,FIND("|",BU31)+1,FIND("-",BU31)-FIND("|",BU31)-1))),ABS($Q31-ABS(VALUE(MID(BU31,FIND("|",BU31)+1,FIND("-",BU31)-FIND("|",BU31)-1))-VALUE(MID(BU31,FIND("-",BU31)+1,10)))))*$D$50)))))*$I31,0)),0)</f>
        <v>0</v>
      </c>
      <c r="BW31" s="338"/>
      <c r="BX31" s="363"/>
      <c r="BY31" s="356" t="n">
        <f aca="false">IFERROR(IF($M31=BX31,($D$8+$D$9+$D$10)*$I31,IF($N31=LEFT(BX31,1),($D$8+MAX(0,IF($D$50=1,$D$9*(1-(ABS($Q31-ABS(VALUE(MID(BX31,FIND("|",BX31)+1,FIND("-",BX31)-FIND("|",BX31)-1))-VALUE(MID(BX31,FIND("-",BX31)+1,10)))))*$D$50),$D$9*(1-(IF($N31="X",ABS($O31-VALUE(MID(BX31,FIND("|",BX31)+1,FIND("-",BX31)-FIND("|",BX31)-1))),ABS($Q31-ABS(VALUE(MID(BX31,FIND("|",BX31)+1,FIND("-",BX31)-FIND("|",BX31)-1))-VALUE(MID(BX31,FIND("-",BX31)+1,10)))))*$D$50)))))*$I31,0)),0)</f>
        <v>0</v>
      </c>
      <c r="BZ31" s="338"/>
      <c r="CA31" s="363"/>
      <c r="CB31" s="356" t="n">
        <f aca="false">IFERROR(IF($M31=CA31,($D$8+$D$9+$D$10)*$I31,IF($N31=LEFT(CA31,1),($D$8+MAX(0,IF($D$50=1,$D$9*(1-(ABS($Q31-ABS(VALUE(MID(CA31,FIND("|",CA31)+1,FIND("-",CA31)-FIND("|",CA31)-1))-VALUE(MID(CA31,FIND("-",CA31)+1,10)))))*$D$50),$D$9*(1-(IF($N31="X",ABS($O31-VALUE(MID(CA31,FIND("|",CA31)+1,FIND("-",CA31)-FIND("|",CA31)-1))),ABS($Q31-ABS(VALUE(MID(CA31,FIND("|",CA31)+1,FIND("-",CA31)-FIND("|",CA31)-1))-VALUE(MID(CA31,FIND("-",CA31)+1,10)))))*$D$50)))))*$I31,0)),0)</f>
        <v>0</v>
      </c>
      <c r="CC31" s="338"/>
      <c r="CD31" s="363"/>
      <c r="CE31" s="356" t="n">
        <f aca="false">IFERROR(IF($M31=CD31,($D$8+$D$9+$D$10)*$I31,IF($N31=LEFT(CD31,1),($D$8+MAX(0,IF($D$50=1,$D$9*(1-(ABS($Q31-ABS(VALUE(MID(CD31,FIND("|",CD31)+1,FIND("-",CD31)-FIND("|",CD31)-1))-VALUE(MID(CD31,FIND("-",CD31)+1,10)))))*$D$50),$D$9*(1-(IF($N31="X",ABS($O31-VALUE(MID(CD31,FIND("|",CD31)+1,FIND("-",CD31)-FIND("|",CD31)-1))),ABS($Q31-ABS(VALUE(MID(CD31,FIND("|",CD31)+1,FIND("-",CD31)-FIND("|",CD31)-1))-VALUE(MID(CD31,FIND("-",CD31)+1,10)))))*$D$50)))))*$I31,0)),0)</f>
        <v>0</v>
      </c>
      <c r="CF31" s="338"/>
      <c r="CG31" s="363"/>
      <c r="CH31" s="356" t="n">
        <f aca="false">IFERROR(IF($M31=CG31,($D$8+$D$9+$D$10)*$I31,IF($N31=LEFT(CG31,1),($D$8+MAX(0,IF($D$50=1,$D$9*(1-(ABS($Q31-ABS(VALUE(MID(CG31,FIND("|",CG31)+1,FIND("-",CG31)-FIND("|",CG31)-1))-VALUE(MID(CG31,FIND("-",CG31)+1,10)))))*$D$50),$D$9*(1-(IF($N31="X",ABS($O31-VALUE(MID(CG31,FIND("|",CG31)+1,FIND("-",CG31)-FIND("|",CG31)-1))),ABS($Q31-ABS(VALUE(MID(CG31,FIND("|",CG31)+1,FIND("-",CG31)-FIND("|",CG31)-1))-VALUE(MID(CG31,FIND("-",CG31)+1,10)))))*$D$50)))))*$I31,0)),0)</f>
        <v>0</v>
      </c>
      <c r="CI31" s="338"/>
      <c r="CJ31" s="363"/>
      <c r="CK31" s="356" t="n">
        <f aca="false">IFERROR(IF($M31=CJ31,($D$8+$D$9+$D$10)*$I31,IF($N31=LEFT(CJ31,1),($D$8+MAX(0,IF($D$50=1,$D$9*(1-(ABS($Q31-ABS(VALUE(MID(CJ31,FIND("|",CJ31)+1,FIND("-",CJ31)-FIND("|",CJ31)-1))-VALUE(MID(CJ31,FIND("-",CJ31)+1,10)))))*$D$50),$D$9*(1-(IF($N31="X",ABS($O31-VALUE(MID(CJ31,FIND("|",CJ31)+1,FIND("-",CJ31)-FIND("|",CJ31)-1))),ABS($Q31-ABS(VALUE(MID(CJ31,FIND("|",CJ31)+1,FIND("-",CJ31)-FIND("|",CJ31)-1))-VALUE(MID(CJ31,FIND("-",CJ31)+1,10)))))*$D$50)))))*$I31,0)),0)</f>
        <v>0</v>
      </c>
      <c r="CL31" s="338"/>
      <c r="CM31" s="363"/>
      <c r="CN31" s="356" t="n">
        <f aca="false">IFERROR(IF($M31=CM31,($D$8+$D$9+$D$10)*$I31,IF($N31=LEFT(CM31,1),($D$8+MAX(0,IF($D$50=1,$D$9*(1-(ABS($Q31-ABS(VALUE(MID(CM31,FIND("|",CM31)+1,FIND("-",CM31)-FIND("|",CM31)-1))-VALUE(MID(CM31,FIND("-",CM31)+1,10)))))*$D$50),$D$9*(1-(IF($N31="X",ABS($O31-VALUE(MID(CM31,FIND("|",CM31)+1,FIND("-",CM31)-FIND("|",CM31)-1))),ABS($Q31-ABS(VALUE(MID(CM31,FIND("|",CM31)+1,FIND("-",CM31)-FIND("|",CM31)-1))-VALUE(MID(CM31,FIND("-",CM31)+1,10)))))*$D$50)))))*$I31,0)),0)</f>
        <v>0</v>
      </c>
      <c r="CO31" s="338"/>
      <c r="CP31" s="363"/>
      <c r="CQ31" s="356" t="n">
        <f aca="false">IFERROR(IF($M31=CP31,($D$8+$D$9+$D$10)*$I31,IF($N31=LEFT(CP31,1),($D$8+MAX(0,IF($D$50=1,$D$9*(1-(ABS($Q31-ABS(VALUE(MID(CP31,FIND("|",CP31)+1,FIND("-",CP31)-FIND("|",CP31)-1))-VALUE(MID(CP31,FIND("-",CP31)+1,10)))))*$D$50),$D$9*(1-(IF($N31="X",ABS($O31-VALUE(MID(CP31,FIND("|",CP31)+1,FIND("-",CP31)-FIND("|",CP31)-1))),ABS($Q31-ABS(VALUE(MID(CP31,FIND("|",CP31)+1,FIND("-",CP31)-FIND("|",CP31)-1))-VALUE(MID(CP31,FIND("-",CP31)+1,10)))))*$D$50)))))*$I31,0)),0)</f>
        <v>0</v>
      </c>
      <c r="CR31" s="338"/>
      <c r="CS31" s="363"/>
      <c r="CT31" s="356" t="n">
        <f aca="false">IFERROR(IF($M31=CS31,($D$8+$D$9+$D$10)*$I31,IF($N31=LEFT(CS31,1),($D$8+MAX(0,IF($D$50=1,$D$9*(1-(ABS($Q31-ABS(VALUE(MID(CS31,FIND("|",CS31)+1,FIND("-",CS31)-FIND("|",CS31)-1))-VALUE(MID(CS31,FIND("-",CS31)+1,10)))))*$D$50),$D$9*(1-(IF($N31="X",ABS($O31-VALUE(MID(CS31,FIND("|",CS31)+1,FIND("-",CS31)-FIND("|",CS31)-1))),ABS($Q31-ABS(VALUE(MID(CS31,FIND("|",CS31)+1,FIND("-",CS31)-FIND("|",CS31)-1))-VALUE(MID(CS31,FIND("-",CS31)+1,10)))))*$D$50)))))*$I31,0)),0)</f>
        <v>0</v>
      </c>
      <c r="CU31" s="338"/>
      <c r="CV31" s="363"/>
      <c r="CW31" s="356" t="n">
        <f aca="false">IFERROR(IF($M31=CV31,($D$8+$D$9+$D$10)*$I31,IF($N31=LEFT(CV31,1),($D$8+MAX(0,IF($D$50=1,$D$9*(1-(ABS($Q31-ABS(VALUE(MID(CV31,FIND("|",CV31)+1,FIND("-",CV31)-FIND("|",CV31)-1))-VALUE(MID(CV31,FIND("-",CV31)+1,10)))))*$D$50),$D$9*(1-(IF($N31="X",ABS($O31-VALUE(MID(CV31,FIND("|",CV31)+1,FIND("-",CV31)-FIND("|",CV31)-1))),ABS($Q31-ABS(VALUE(MID(CV31,FIND("|",CV31)+1,FIND("-",CV31)-FIND("|",CV31)-1))-VALUE(MID(CV31,FIND("-",CV31)+1,10)))))*$D$50)))))*$I31,0)),0)</f>
        <v>0</v>
      </c>
      <c r="CX31" s="338"/>
      <c r="CY31" s="363"/>
      <c r="CZ31" s="356" t="n">
        <f aca="false">IFERROR(IF($M31=CY31,($D$8+$D$9+$D$10)*$I31,IF($N31=LEFT(CY31,1),($D$8+MAX(0,IF($D$50=1,$D$9*(1-(ABS($Q31-ABS(VALUE(MID(CY31,FIND("|",CY31)+1,FIND("-",CY31)-FIND("|",CY31)-1))-VALUE(MID(CY31,FIND("-",CY31)+1,10)))))*$D$50),$D$9*(1-(IF($N31="X",ABS($O31-VALUE(MID(CY31,FIND("|",CY31)+1,FIND("-",CY31)-FIND("|",CY31)-1))),ABS($Q31-ABS(VALUE(MID(CY31,FIND("|",CY31)+1,FIND("-",CY31)-FIND("|",CY31)-1))-VALUE(MID(CY31,FIND("-",CY31)+1,10)))))*$D$50)))))*$I31,0)),0)</f>
        <v>0</v>
      </c>
      <c r="DA31" s="338"/>
      <c r="DB31" s="363"/>
      <c r="DC31" s="356" t="n">
        <f aca="false">IFERROR(IF($M31=DB31,($D$8+$D$9+$D$10)*$I31,IF($N31=LEFT(DB31,1),($D$8+MAX(0,IF($D$50=1,$D$9*(1-(ABS($Q31-ABS(VALUE(MID(DB31,FIND("|",DB31)+1,FIND("-",DB31)-FIND("|",DB31)-1))-VALUE(MID(DB31,FIND("-",DB31)+1,10)))))*$D$50),$D$9*(1-(IF($N31="X",ABS($O31-VALUE(MID(DB31,FIND("|",DB31)+1,FIND("-",DB31)-FIND("|",DB31)-1))),ABS($Q31-ABS(VALUE(MID(DB31,FIND("|",DB31)+1,FIND("-",DB31)-FIND("|",DB31)-1))-VALUE(MID(DB31,FIND("-",DB31)+1,10)))))*$D$50)))))*$I31,0)),0)</f>
        <v>0</v>
      </c>
      <c r="DD31" s="338"/>
      <c r="DE31" s="363"/>
      <c r="DF31" s="356" t="n">
        <f aca="false">IFERROR(IF($M31=DE31,($D$8+$D$9+$D$10)*$I31,IF($N31=LEFT(DE31,1),($D$8+MAX(0,IF($D$50=1,$D$9*(1-(ABS($Q31-ABS(VALUE(MID(DE31,FIND("|",DE31)+1,FIND("-",DE31)-FIND("|",DE31)-1))-VALUE(MID(DE31,FIND("-",DE31)+1,10)))))*$D$50),$D$9*(1-(IF($N31="X",ABS($O31-VALUE(MID(DE31,FIND("|",DE31)+1,FIND("-",DE31)-FIND("|",DE31)-1))),ABS($Q31-ABS(VALUE(MID(DE31,FIND("|",DE31)+1,FIND("-",DE31)-FIND("|",DE31)-1))-VALUE(MID(DE31,FIND("-",DE31)+1,10)))))*$D$50)))))*$I31,0)),0)</f>
        <v>0</v>
      </c>
      <c r="DG31" s="338"/>
      <c r="DH31" s="363"/>
      <c r="DI31" s="356" t="n">
        <f aca="false">IFERROR(IF($M31=DH31,($D$8+$D$9+$D$10)*$I31,IF($N31=LEFT(DH31,1),($D$8+MAX(0,IF($D$50=1,$D$9*(1-(ABS($Q31-ABS(VALUE(MID(DH31,FIND("|",DH31)+1,FIND("-",DH31)-FIND("|",DH31)-1))-VALUE(MID(DH31,FIND("-",DH31)+1,10)))))*$D$50),$D$9*(1-(IF($N31="X",ABS($O31-VALUE(MID(DH31,FIND("|",DH31)+1,FIND("-",DH31)-FIND("|",DH31)-1))),ABS($Q31-ABS(VALUE(MID(DH31,FIND("|",DH31)+1,FIND("-",DH31)-FIND("|",DH31)-1))-VALUE(MID(DH31,FIND("-",DH31)+1,10)))))*$D$50)))))*$I31,0)),0)</f>
        <v>0</v>
      </c>
      <c r="DJ31" s="338"/>
      <c r="DK31" s="363"/>
      <c r="DL31" s="356" t="n">
        <f aca="false">IFERROR(IF($M31=DK31,($D$8+$D$9+$D$10)*$I31,IF($N31=LEFT(DK31,1),($D$8+MAX(0,IF($D$50=1,$D$9*(1-(ABS($Q31-ABS(VALUE(MID(DK31,FIND("|",DK31)+1,FIND("-",DK31)-FIND("|",DK31)-1))-VALUE(MID(DK31,FIND("-",DK31)+1,10)))))*$D$50),$D$9*(1-(IF($N31="X",ABS($O31-VALUE(MID(DK31,FIND("|",DK31)+1,FIND("-",DK31)-FIND("|",DK31)-1))),ABS($Q31-ABS(VALUE(MID(DK31,FIND("|",DK31)+1,FIND("-",DK31)-FIND("|",DK31)-1))-VALUE(MID(DK31,FIND("-",DK31)+1,10)))))*$D$50)))))*$I31,0)),0)</f>
        <v>0</v>
      </c>
      <c r="DM31" s="338"/>
      <c r="DN31" s="363"/>
      <c r="DO31" s="356" t="n">
        <f aca="false">IFERROR(IF($M31=DN31,($D$8+$D$9+$D$10)*$I31,IF($N31=LEFT(DN31,1),($D$8+MAX(0,IF($D$50=1,$D$9*(1-(ABS($Q31-ABS(VALUE(MID(DN31,FIND("|",DN31)+1,FIND("-",DN31)-FIND("|",DN31)-1))-VALUE(MID(DN31,FIND("-",DN31)+1,10)))))*$D$50),$D$9*(1-(IF($N31="X",ABS($O31-VALUE(MID(DN31,FIND("|",DN31)+1,FIND("-",DN31)-FIND("|",DN31)-1))),ABS($Q31-ABS(VALUE(MID(DN31,FIND("|",DN31)+1,FIND("-",DN31)-FIND("|",DN31)-1))-VALUE(MID(DN31,FIND("-",DN31)+1,10)))))*$D$50)))))*$I31,0)),0)</f>
        <v>0</v>
      </c>
      <c r="DP31" s="338"/>
      <c r="DQ31" s="363"/>
      <c r="DR31" s="356" t="n">
        <f aca="false">IFERROR(IF($M31=DQ31,($D$8+$D$9+$D$10)*$I31,IF($N31=LEFT(DQ31,1),($D$8+MAX(0,IF($D$50=1,$D$9*(1-(ABS($Q31-ABS(VALUE(MID(DQ31,FIND("|",DQ31)+1,FIND("-",DQ31)-FIND("|",DQ31)-1))-VALUE(MID(DQ31,FIND("-",DQ31)+1,10)))))*$D$50),$D$9*(1-(IF($N31="X",ABS($O31-VALUE(MID(DQ31,FIND("|",DQ31)+1,FIND("-",DQ31)-FIND("|",DQ31)-1))),ABS($Q31-ABS(VALUE(MID(DQ31,FIND("|",DQ31)+1,FIND("-",DQ31)-FIND("|",DQ31)-1))-VALUE(MID(DQ31,FIND("-",DQ31)+1,10)))))*$D$50)))))*$I31,0)),0)</f>
        <v>0</v>
      </c>
      <c r="DS31" s="338"/>
      <c r="DT31" s="363"/>
      <c r="DU31" s="356" t="n">
        <f aca="false">IFERROR(IF($M31=DT31,($D$8+$D$9+$D$10)*$I31,IF($N31=LEFT(DT31,1),($D$8+MAX(0,IF($D$50=1,$D$9*(1-(ABS($Q31-ABS(VALUE(MID(DT31,FIND("|",DT31)+1,FIND("-",DT31)-FIND("|",DT31)-1))-VALUE(MID(DT31,FIND("-",DT31)+1,10)))))*$D$50),$D$9*(1-(IF($N31="X",ABS($O31-VALUE(MID(DT31,FIND("|",DT31)+1,FIND("-",DT31)-FIND("|",DT31)-1))),ABS($Q31-ABS(VALUE(MID(DT31,FIND("|",DT31)+1,FIND("-",DT31)-FIND("|",DT31)-1))-VALUE(MID(DT31,FIND("-",DT31)+1,10)))))*$D$50)))))*$I31,0)),0)</f>
        <v>0</v>
      </c>
      <c r="DV31" s="338"/>
      <c r="DW31" s="363"/>
      <c r="DX31" s="356" t="n">
        <f aca="false">IFERROR(IF($M31=DW31,($D$8+$D$9+$D$10)*$I31,IF($N31=LEFT(DW31,1),($D$8+MAX(0,IF($D$50=1,$D$9*(1-(ABS($Q31-ABS(VALUE(MID(DW31,FIND("|",DW31)+1,FIND("-",DW31)-FIND("|",DW31)-1))-VALUE(MID(DW31,FIND("-",DW31)+1,10)))))*$D$50),$D$9*(1-(IF($N31="X",ABS($O31-VALUE(MID(DW31,FIND("|",DW31)+1,FIND("-",DW31)-FIND("|",DW31)-1))),ABS($Q31-ABS(VALUE(MID(DW31,FIND("|",DW31)+1,FIND("-",DW31)-FIND("|",DW31)-1))-VALUE(MID(DW31,FIND("-",DW31)+1,10)))))*$D$50)))))*$I31,0)),0)</f>
        <v>0</v>
      </c>
      <c r="DY31" s="338"/>
      <c r="DZ31" s="363"/>
      <c r="EA31" s="356" t="n">
        <f aca="false">IFERROR(IF($M31=DZ31,($D$8+$D$9+$D$10)*$I31,IF($N31=LEFT(DZ31,1),($D$8+MAX(0,IF($D$50=1,$D$9*(1-(ABS($Q31-ABS(VALUE(MID(DZ31,FIND("|",DZ31)+1,FIND("-",DZ31)-FIND("|",DZ31)-1))-VALUE(MID(DZ31,FIND("-",DZ31)+1,10)))))*$D$50),$D$9*(1-(IF($N31="X",ABS($O31-VALUE(MID(DZ31,FIND("|",DZ31)+1,FIND("-",DZ31)-FIND("|",DZ31)-1))),ABS($Q31-ABS(VALUE(MID(DZ31,FIND("|",DZ31)+1,FIND("-",DZ31)-FIND("|",DZ31)-1))-VALUE(MID(DZ31,FIND("-",DZ31)+1,10)))))*$D$50)))))*$I31,0)),0)</f>
        <v>0</v>
      </c>
      <c r="EB31" s="338"/>
      <c r="EC31" s="363"/>
      <c r="ED31" s="356" t="n">
        <f aca="false">IFERROR(IF($M31=EC31,($D$8+$D$9+$D$10)*$I31,IF($N31=LEFT(EC31,1),($D$8+MAX(0,IF($D$50=1,$D$9*(1-(ABS($Q31-ABS(VALUE(MID(EC31,FIND("|",EC31)+1,FIND("-",EC31)-FIND("|",EC31)-1))-VALUE(MID(EC31,FIND("-",EC31)+1,10)))))*$D$50),$D$9*(1-(IF($N31="X",ABS($O31-VALUE(MID(EC31,FIND("|",EC31)+1,FIND("-",EC31)-FIND("|",EC31)-1))),ABS($Q31-ABS(VALUE(MID(EC31,FIND("|",EC31)+1,FIND("-",EC31)-FIND("|",EC31)-1))-VALUE(MID(EC31,FIND("-",EC31)+1,10)))))*$D$50)))))*$I31,0)),0)</f>
        <v>0</v>
      </c>
      <c r="EE31" s="338"/>
      <c r="EF31" s="363"/>
      <c r="EG31" s="356" t="n">
        <f aca="false">IFERROR(IF($M31=EF31,($D$8+$D$9+$D$10)*$I31,IF($N31=LEFT(EF31,1),($D$8+MAX(0,IF($D$50=1,$D$9*(1-(ABS($Q31-ABS(VALUE(MID(EF31,FIND("|",EF31)+1,FIND("-",EF31)-FIND("|",EF31)-1))-VALUE(MID(EF31,FIND("-",EF31)+1,10)))))*$D$50),$D$9*(1-(IF($N31="X",ABS($O31-VALUE(MID(EF31,FIND("|",EF31)+1,FIND("-",EF31)-FIND("|",EF31)-1))),ABS($Q31-ABS(VALUE(MID(EF31,FIND("|",EF31)+1,FIND("-",EF31)-FIND("|",EF31)-1))-VALUE(MID(EF31,FIND("-",EF31)+1,10)))))*$D$50)))))*$I31,0)),0)</f>
        <v>0</v>
      </c>
      <c r="EH31" s="338"/>
      <c r="EI31" s="338"/>
    </row>
    <row r="32" customFormat="false" ht="15" hidden="false" customHeight="false" outlineLevel="0" collapsed="false">
      <c r="A32" s="327"/>
      <c r="B32" s="327"/>
      <c r="C32" s="377" t="str">
        <f aca="false">Idiomas!D328</f>
        <v>Equipo clasificado para FINAL</v>
      </c>
      <c r="D32" s="378" t="n">
        <v>7</v>
      </c>
      <c r="E32" s="334"/>
      <c r="F32" s="343" t="n">
        <f aca="false">SUM($D$8:$D$10)*I32</f>
        <v>17</v>
      </c>
      <c r="G32" s="343" t="n">
        <f aca="false">VLOOKUP(H32,Equipos!$Q$1:$R$25,2,0)</f>
        <v>8</v>
      </c>
      <c r="H32" s="351" t="n">
        <f aca="false">TRUNC(INDEX(WORLDCUP!$X$4:$X$147,MATCH(ADMIN!K32,WORLDCUP!$DT$4:$DT$147,0))+INDEX(Horarios!$R$3:$R$86,MATCH(Horarios!$C$3,Horarios!$P$3:$P$86,0))/24)</f>
        <v>46191</v>
      </c>
      <c r="I32" s="352" t="n">
        <v>1</v>
      </c>
      <c r="J32" s="362" t="s">
        <v>297</v>
      </c>
      <c r="K32" s="354" t="str">
        <f aca="false">CONCATENATE(WORLDCUP!AA14,"-",WORLDCUP!AF14)</f>
        <v>Suiza-Bosnia y Herzegovina</v>
      </c>
      <c r="L32" s="354"/>
      <c r="M32" s="359" t="str">
        <f aca="false">IF(OR(WORLDCUP!AC14="",WORLDCUP!AD14=""),"-",N32&amp;"|"&amp;O32&amp;"-"&amp;P32)</f>
        <v>-</v>
      </c>
      <c r="N32" s="332" t="str">
        <f aca="false">IF(OR(WORLDCUP!AC14="",WORLDCUP!AD14=""),"",IF(WORLDCUP!AC14&gt;WORLDCUP!AD14,"1",IF(WORLDCUP!AC14&lt;WORLDCUP!AD14,"2","X")))</f>
        <v/>
      </c>
      <c r="O32" s="332" t="n">
        <f aca="false">WORLDCUP!AC14</f>
        <v>0</v>
      </c>
      <c r="P32" s="332" t="n">
        <f aca="false">WORLDCUP!AD14</f>
        <v>0</v>
      </c>
      <c r="Q32" s="332" t="n">
        <f aca="false">ABS(O32-P32)</f>
        <v>0</v>
      </c>
      <c r="R32" s="327"/>
      <c r="S32" s="363" t="s">
        <v>267</v>
      </c>
      <c r="T32" s="356" t="n">
        <f aca="false">IFERROR(IF($M32=S32,($D$8+$D$9+$D$10)*$I32,IF($N32=LEFT(S32,1),($D$8+MAX(0,IF($D$50=1,$D$9*(1-(ABS($Q32-ABS(VALUE(MID(S32,FIND("|",S32)+1,FIND("-",S32)-FIND("|",S32)-1))-VALUE(MID(S32,FIND("-",S32)+1,10)))))*$D$50),$D$9*(1-(IF($N32="X",ABS($O32-VALUE(MID(S32,FIND("|",S32)+1,FIND("-",S32)-FIND("|",S32)-1))),ABS($Q32-ABS(VALUE(MID(S32,FIND("|",S32)+1,FIND("-",S32)-FIND("|",S32)-1))-VALUE(MID(S32,FIND("-",S32)+1,10)))))*$D$50)))))*$I32,0)),0)</f>
        <v>0</v>
      </c>
      <c r="U32" s="338"/>
      <c r="V32" s="363" t="s">
        <v>288</v>
      </c>
      <c r="W32" s="356" t="n">
        <f aca="false">IFERROR(IF($M32=V32,($D$8+$D$9+$D$10)*$I32,IF($N32=LEFT(V32,1),($D$8+MAX(0,IF($D$50=1,$D$9*(1-(ABS($Q32-ABS(VALUE(MID(V32,FIND("|",V32)+1,FIND("-",V32)-FIND("|",V32)-1))-VALUE(MID(V32,FIND("-",V32)+1,10)))))*$D$50),$D$9*(1-(IF($N32="X",ABS($O32-VALUE(MID(V32,FIND("|",V32)+1,FIND("-",V32)-FIND("|",V32)-1))),ABS($Q32-ABS(VALUE(MID(V32,FIND("|",V32)+1,FIND("-",V32)-FIND("|",V32)-1))-VALUE(MID(V32,FIND("-",V32)+1,10)))))*$D$50)))))*$I32,0)),0)</f>
        <v>0</v>
      </c>
      <c r="X32" s="338"/>
      <c r="Y32" s="363" t="s">
        <v>267</v>
      </c>
      <c r="Z32" s="356" t="n">
        <f aca="false">IFERROR(IF($M32=Y32,($D$8+$D$9+$D$10)*$I32,IF($N32=LEFT(Y32,1),($D$8+MAX(0,IF($D$50=1,$D$9*(1-(ABS($Q32-ABS(VALUE(MID(Y32,FIND("|",Y32)+1,FIND("-",Y32)-FIND("|",Y32)-1))-VALUE(MID(Y32,FIND("-",Y32)+1,10)))))*$D$50),$D$9*(1-(IF($N32="X",ABS($O32-VALUE(MID(Y32,FIND("|",Y32)+1,FIND("-",Y32)-FIND("|",Y32)-1))),ABS($Q32-ABS(VALUE(MID(Y32,FIND("|",Y32)+1,FIND("-",Y32)-FIND("|",Y32)-1))-VALUE(MID(Y32,FIND("-",Y32)+1,10)))))*$D$50)))))*$I32,0)),0)</f>
        <v>0</v>
      </c>
      <c r="AA32" s="338"/>
      <c r="AB32" s="363" t="s">
        <v>265</v>
      </c>
      <c r="AC32" s="356" t="n">
        <f aca="false">IFERROR(IF($M32=AB32,($D$8+$D$9+$D$10)*$I32,IF($N32=LEFT(AB32,1),($D$8+MAX(0,IF($D$50=1,$D$9*(1-(ABS($Q32-ABS(VALUE(MID(AB32,FIND("|",AB32)+1,FIND("-",AB32)-FIND("|",AB32)-1))-VALUE(MID(AB32,FIND("-",AB32)+1,10)))))*$D$50),$D$9*(1-(IF($N32="X",ABS($O32-VALUE(MID(AB32,FIND("|",AB32)+1,FIND("-",AB32)-FIND("|",AB32)-1))),ABS($Q32-ABS(VALUE(MID(AB32,FIND("|",AB32)+1,FIND("-",AB32)-FIND("|",AB32)-1))-VALUE(MID(AB32,FIND("-",AB32)+1,10)))))*$D$50)))))*$I32,0)),0)</f>
        <v>0</v>
      </c>
      <c r="AD32" s="338"/>
      <c r="AE32" s="363" t="s">
        <v>264</v>
      </c>
      <c r="AF32" s="356" t="n">
        <f aca="false">IFERROR(IF($M32=AE32,($D$8+$D$9+$D$10)*$I32,IF($N32=LEFT(AE32,1),($D$8+MAX(0,IF($D$50=1,$D$9*(1-(ABS($Q32-ABS(VALUE(MID(AE32,FIND("|",AE32)+1,FIND("-",AE32)-FIND("|",AE32)-1))-VALUE(MID(AE32,FIND("-",AE32)+1,10)))))*$D$50),$D$9*(1-(IF($N32="X",ABS($O32-VALUE(MID(AE32,FIND("|",AE32)+1,FIND("-",AE32)-FIND("|",AE32)-1))),ABS($Q32-ABS(VALUE(MID(AE32,FIND("|",AE32)+1,FIND("-",AE32)-FIND("|",AE32)-1))-VALUE(MID(AE32,FIND("-",AE32)+1,10)))))*$D$50)))))*$I32,0)),0)</f>
        <v>0</v>
      </c>
      <c r="AG32" s="338"/>
      <c r="AH32" s="363" t="s">
        <v>267</v>
      </c>
      <c r="AI32" s="356" t="n">
        <f aca="false">IFERROR(IF($M32=AH32,($D$8+$D$9+$D$10)*$I32,IF($N32=LEFT(AH32,1),($D$8+MAX(0,IF($D$50=1,$D$9*(1-(ABS($Q32-ABS(VALUE(MID(AH32,FIND("|",AH32)+1,FIND("-",AH32)-FIND("|",AH32)-1))-VALUE(MID(AH32,FIND("-",AH32)+1,10)))))*$D$50),$D$9*(1-(IF($N32="X",ABS($O32-VALUE(MID(AH32,FIND("|",AH32)+1,FIND("-",AH32)-FIND("|",AH32)-1))),ABS($Q32-ABS(VALUE(MID(AH32,FIND("|",AH32)+1,FIND("-",AH32)-FIND("|",AH32)-1))-VALUE(MID(AH32,FIND("-",AH32)+1,10)))))*$D$50)))))*$I32,0)),0)</f>
        <v>0</v>
      </c>
      <c r="AJ32" s="338"/>
      <c r="AK32" s="363" t="s">
        <v>265</v>
      </c>
      <c r="AL32" s="356" t="n">
        <f aca="false">IFERROR(IF($M32=AK32,($D$8+$D$9+$D$10)*$I32,IF($N32=LEFT(AK32,1),($D$8+MAX(0,IF($D$50=1,$D$9*(1-(ABS($Q32-ABS(VALUE(MID(AK32,FIND("|",AK32)+1,FIND("-",AK32)-FIND("|",AK32)-1))-VALUE(MID(AK32,FIND("-",AK32)+1,10)))))*$D$50),$D$9*(1-(IF($N32="X",ABS($O32-VALUE(MID(AK32,FIND("|",AK32)+1,FIND("-",AK32)-FIND("|",AK32)-1))),ABS($Q32-ABS(VALUE(MID(AK32,FIND("|",AK32)+1,FIND("-",AK32)-FIND("|",AK32)-1))-VALUE(MID(AK32,FIND("-",AK32)+1,10)))))*$D$50)))))*$I32,0)),0)</f>
        <v>0</v>
      </c>
      <c r="AM32" s="338"/>
      <c r="AN32" s="363" t="s">
        <v>266</v>
      </c>
      <c r="AO32" s="356" t="n">
        <f aca="false">IFERROR(IF($M32=AN32,($D$8+$D$9+$D$10)*$I32,IF($N32=LEFT(AN32,1),($D$8+MAX(0,IF($D$50=1,$D$9*(1-(ABS($Q32-ABS(VALUE(MID(AN32,FIND("|",AN32)+1,FIND("-",AN32)-FIND("|",AN32)-1))-VALUE(MID(AN32,FIND("-",AN32)+1,10)))))*$D$50),$D$9*(1-(IF($N32="X",ABS($O32-VALUE(MID(AN32,FIND("|",AN32)+1,FIND("-",AN32)-FIND("|",AN32)-1))),ABS($Q32-ABS(VALUE(MID(AN32,FIND("|",AN32)+1,FIND("-",AN32)-FIND("|",AN32)-1))-VALUE(MID(AN32,FIND("-",AN32)+1,10)))))*$D$50)))))*$I32,0)),0)</f>
        <v>0</v>
      </c>
      <c r="AP32" s="338"/>
      <c r="AQ32" s="363" t="s">
        <v>272</v>
      </c>
      <c r="AR32" s="356" t="n">
        <f aca="false">IFERROR(IF($M32=AQ32,($D$8+$D$9+$D$10)*$I32,IF($N32=LEFT(AQ32,1),($D$8+MAX(0,IF($D$50=1,$D$9*(1-(ABS($Q32-ABS(VALUE(MID(AQ32,FIND("|",AQ32)+1,FIND("-",AQ32)-FIND("|",AQ32)-1))-VALUE(MID(AQ32,FIND("-",AQ32)+1,10)))))*$D$50),$D$9*(1-(IF($N32="X",ABS($O32-VALUE(MID(AQ32,FIND("|",AQ32)+1,FIND("-",AQ32)-FIND("|",AQ32)-1))),ABS($Q32-ABS(VALUE(MID(AQ32,FIND("|",AQ32)+1,FIND("-",AQ32)-FIND("|",AQ32)-1))-VALUE(MID(AQ32,FIND("-",AQ32)+1,10)))))*$D$50)))))*$I32,0)),0)</f>
        <v>0</v>
      </c>
      <c r="AS32" s="338"/>
      <c r="AT32" s="363" t="s">
        <v>267</v>
      </c>
      <c r="AU32" s="356" t="n">
        <f aca="false">IFERROR(IF($M32=AT32,($D$8+$D$9+$D$10)*$I32,IF($N32=LEFT(AT32,1),($D$8+MAX(0,IF($D$50=1,$D$9*(1-(ABS($Q32-ABS(VALUE(MID(AT32,FIND("|",AT32)+1,FIND("-",AT32)-FIND("|",AT32)-1))-VALUE(MID(AT32,FIND("-",AT32)+1,10)))))*$D$50),$D$9*(1-(IF($N32="X",ABS($O32-VALUE(MID(AT32,FIND("|",AT32)+1,FIND("-",AT32)-FIND("|",AT32)-1))),ABS($Q32-ABS(VALUE(MID(AT32,FIND("|",AT32)+1,FIND("-",AT32)-FIND("|",AT32)-1))-VALUE(MID(AT32,FIND("-",AT32)+1,10)))))*$D$50)))))*$I32,0)),0)</f>
        <v>0</v>
      </c>
      <c r="AV32" s="338"/>
      <c r="AW32" s="363" t="s">
        <v>267</v>
      </c>
      <c r="AX32" s="356" t="n">
        <f aca="false">IFERROR(IF($M32=AW32,($D$8+$D$9+$D$10)*$I32,IF($N32=LEFT(AW32,1),($D$8+MAX(0,IF($D$50=1,$D$9*(1-(ABS($Q32-ABS(VALUE(MID(AW32,FIND("|",AW32)+1,FIND("-",AW32)-FIND("|",AW32)-1))-VALUE(MID(AW32,FIND("-",AW32)+1,10)))))*$D$50),$D$9*(1-(IF($N32="X",ABS($O32-VALUE(MID(AW32,FIND("|",AW32)+1,FIND("-",AW32)-FIND("|",AW32)-1))),ABS($Q32-ABS(VALUE(MID(AW32,FIND("|",AW32)+1,FIND("-",AW32)-FIND("|",AW32)-1))-VALUE(MID(AW32,FIND("-",AW32)+1,10)))))*$D$50)))))*$I32,0)),0)</f>
        <v>0</v>
      </c>
      <c r="AY32" s="338"/>
      <c r="AZ32" s="363" t="s">
        <v>264</v>
      </c>
      <c r="BA32" s="356" t="n">
        <f aca="false">IFERROR(IF($M32=AZ32,($D$8+$D$9+$D$10)*$I32,IF($N32=LEFT(AZ32,1),($D$8+MAX(0,IF($D$50=1,$D$9*(1-(ABS($Q32-ABS(VALUE(MID(AZ32,FIND("|",AZ32)+1,FIND("-",AZ32)-FIND("|",AZ32)-1))-VALUE(MID(AZ32,FIND("-",AZ32)+1,10)))))*$D$50),$D$9*(1-(IF($N32="X",ABS($O32-VALUE(MID(AZ32,FIND("|",AZ32)+1,FIND("-",AZ32)-FIND("|",AZ32)-1))),ABS($Q32-ABS(VALUE(MID(AZ32,FIND("|",AZ32)+1,FIND("-",AZ32)-FIND("|",AZ32)-1))-VALUE(MID(AZ32,FIND("-",AZ32)+1,10)))))*$D$50)))))*$I32,0)),0)</f>
        <v>0</v>
      </c>
      <c r="BB32" s="338"/>
      <c r="BC32" s="363" t="s">
        <v>264</v>
      </c>
      <c r="BD32" s="356" t="n">
        <f aca="false">IFERROR(IF($M32=BC32,($D$8+$D$9+$D$10)*$I32,IF($N32=LEFT(BC32,1),($D$8+MAX(0,IF($D$50=1,$D$9*(1-(ABS($Q32-ABS(VALUE(MID(BC32,FIND("|",BC32)+1,FIND("-",BC32)-FIND("|",BC32)-1))-VALUE(MID(BC32,FIND("-",BC32)+1,10)))))*$D$50),$D$9*(1-(IF($N32="X",ABS($O32-VALUE(MID(BC32,FIND("|",BC32)+1,FIND("-",BC32)-FIND("|",BC32)-1))),ABS($Q32-ABS(VALUE(MID(BC32,FIND("|",BC32)+1,FIND("-",BC32)-FIND("|",BC32)-1))-VALUE(MID(BC32,FIND("-",BC32)+1,10)))))*$D$50)))))*$I32,0)),0)</f>
        <v>0</v>
      </c>
      <c r="BE32" s="338"/>
      <c r="BF32" s="363" t="s">
        <v>265</v>
      </c>
      <c r="BG32" s="356" t="n">
        <f aca="false">IFERROR(IF($M32=BF32,($D$8+$D$9+$D$10)*$I32,IF($N32=LEFT(BF32,1),($D$8+MAX(0,IF($D$50=1,$D$9*(1-(ABS($Q32-ABS(VALUE(MID(BF32,FIND("|",BF32)+1,FIND("-",BF32)-FIND("|",BF32)-1))-VALUE(MID(BF32,FIND("-",BF32)+1,10)))))*$D$50),$D$9*(1-(IF($N32="X",ABS($O32-VALUE(MID(BF32,FIND("|",BF32)+1,FIND("-",BF32)-FIND("|",BF32)-1))),ABS($Q32-ABS(VALUE(MID(BF32,FIND("|",BF32)+1,FIND("-",BF32)-FIND("|",BF32)-1))-VALUE(MID(BF32,FIND("-",BF32)+1,10)))))*$D$50)))))*$I32,0)),0)</f>
        <v>0</v>
      </c>
      <c r="BH32" s="338"/>
      <c r="BI32" s="363" t="s">
        <v>267</v>
      </c>
      <c r="BJ32" s="356" t="n">
        <f aca="false">IFERROR(IF($M32=BI32,($D$8+$D$9+$D$10)*$I32,IF($N32=LEFT(BI32,1),($D$8+MAX(0,IF($D$50=1,$D$9*(1-(ABS($Q32-ABS(VALUE(MID(BI32,FIND("|",BI32)+1,FIND("-",BI32)-FIND("|",BI32)-1))-VALUE(MID(BI32,FIND("-",BI32)+1,10)))))*$D$50),$D$9*(1-(IF($N32="X",ABS($O32-VALUE(MID(BI32,FIND("|",BI32)+1,FIND("-",BI32)-FIND("|",BI32)-1))),ABS($Q32-ABS(VALUE(MID(BI32,FIND("|",BI32)+1,FIND("-",BI32)-FIND("|",BI32)-1))-VALUE(MID(BI32,FIND("-",BI32)+1,10)))))*$D$50)))))*$I32,0)),0)</f>
        <v>0</v>
      </c>
      <c r="BK32" s="338"/>
      <c r="BL32" s="363" t="s">
        <v>265</v>
      </c>
      <c r="BM32" s="356" t="n">
        <f aca="false">IFERROR(IF($M32=BL32,($D$8+$D$9+$D$10)*$I32,IF($N32=LEFT(BL32,1),($D$8+MAX(0,IF($D$50=1,$D$9*(1-(ABS($Q32-ABS(VALUE(MID(BL32,FIND("|",BL32)+1,FIND("-",BL32)-FIND("|",BL32)-1))-VALUE(MID(BL32,FIND("-",BL32)+1,10)))))*$D$50),$D$9*(1-(IF($N32="X",ABS($O32-VALUE(MID(BL32,FIND("|",BL32)+1,FIND("-",BL32)-FIND("|",BL32)-1))),ABS($Q32-ABS(VALUE(MID(BL32,FIND("|",BL32)+1,FIND("-",BL32)-FIND("|",BL32)-1))-VALUE(MID(BL32,FIND("-",BL32)+1,10)))))*$D$50)))))*$I32,0)),0)</f>
        <v>0</v>
      </c>
      <c r="BN32" s="338"/>
      <c r="BO32" s="363" t="s">
        <v>266</v>
      </c>
      <c r="BP32" s="356" t="n">
        <f aca="false">IFERROR(IF($M32=BO32,($D$8+$D$9+$D$10)*$I32,IF($N32=LEFT(BO32,1),($D$8+MAX(0,IF($D$50=1,$D$9*(1-(ABS($Q32-ABS(VALUE(MID(BO32,FIND("|",BO32)+1,FIND("-",BO32)-FIND("|",BO32)-1))-VALUE(MID(BO32,FIND("-",BO32)+1,10)))))*$D$50),$D$9*(1-(IF($N32="X",ABS($O32-VALUE(MID(BO32,FIND("|",BO32)+1,FIND("-",BO32)-FIND("|",BO32)-1))),ABS($Q32-ABS(VALUE(MID(BO32,FIND("|",BO32)+1,FIND("-",BO32)-FIND("|",BO32)-1))-VALUE(MID(BO32,FIND("-",BO32)+1,10)))))*$D$50)))))*$I32,0)),0)</f>
        <v>0</v>
      </c>
      <c r="BQ32" s="338"/>
      <c r="BR32" s="363" t="s">
        <v>266</v>
      </c>
      <c r="BS32" s="356" t="n">
        <f aca="false">IFERROR(IF($M32=BR32,($D$8+$D$9+$D$10)*$I32,IF($N32=LEFT(BR32,1),($D$8+MAX(0,IF($D$50=1,$D$9*(1-(ABS($Q32-ABS(VALUE(MID(BR32,FIND("|",BR32)+1,FIND("-",BR32)-FIND("|",BR32)-1))-VALUE(MID(BR32,FIND("-",BR32)+1,10)))))*$D$50),$D$9*(1-(IF($N32="X",ABS($O32-VALUE(MID(BR32,FIND("|",BR32)+1,FIND("-",BR32)-FIND("|",BR32)-1))),ABS($Q32-ABS(VALUE(MID(BR32,FIND("|",BR32)+1,FIND("-",BR32)-FIND("|",BR32)-1))-VALUE(MID(BR32,FIND("-",BR32)+1,10)))))*$D$50)))))*$I32,0)),0)</f>
        <v>0</v>
      </c>
      <c r="BT32" s="338"/>
      <c r="BU32" s="363"/>
      <c r="BV32" s="356" t="n">
        <f aca="false">IFERROR(IF($M32=BU32,($D$8+$D$9+$D$10)*$I32,IF($N32=LEFT(BU32,1),($D$8+MAX(0,IF($D$50=1,$D$9*(1-(ABS($Q32-ABS(VALUE(MID(BU32,FIND("|",BU32)+1,FIND("-",BU32)-FIND("|",BU32)-1))-VALUE(MID(BU32,FIND("-",BU32)+1,10)))))*$D$50),$D$9*(1-(IF($N32="X",ABS($O32-VALUE(MID(BU32,FIND("|",BU32)+1,FIND("-",BU32)-FIND("|",BU32)-1))),ABS($Q32-ABS(VALUE(MID(BU32,FIND("|",BU32)+1,FIND("-",BU32)-FIND("|",BU32)-1))-VALUE(MID(BU32,FIND("-",BU32)+1,10)))))*$D$50)))))*$I32,0)),0)</f>
        <v>0</v>
      </c>
      <c r="BW32" s="338"/>
      <c r="BX32" s="363"/>
      <c r="BY32" s="356" t="n">
        <f aca="false">IFERROR(IF($M32=BX32,($D$8+$D$9+$D$10)*$I32,IF($N32=LEFT(BX32,1),($D$8+MAX(0,IF($D$50=1,$D$9*(1-(ABS($Q32-ABS(VALUE(MID(BX32,FIND("|",BX32)+1,FIND("-",BX32)-FIND("|",BX32)-1))-VALUE(MID(BX32,FIND("-",BX32)+1,10)))))*$D$50),$D$9*(1-(IF($N32="X",ABS($O32-VALUE(MID(BX32,FIND("|",BX32)+1,FIND("-",BX32)-FIND("|",BX32)-1))),ABS($Q32-ABS(VALUE(MID(BX32,FIND("|",BX32)+1,FIND("-",BX32)-FIND("|",BX32)-1))-VALUE(MID(BX32,FIND("-",BX32)+1,10)))))*$D$50)))))*$I32,0)),0)</f>
        <v>0</v>
      </c>
      <c r="BZ32" s="338"/>
      <c r="CA32" s="363"/>
      <c r="CB32" s="356" t="n">
        <f aca="false">IFERROR(IF($M32=CA32,($D$8+$D$9+$D$10)*$I32,IF($N32=LEFT(CA32,1),($D$8+MAX(0,IF($D$50=1,$D$9*(1-(ABS($Q32-ABS(VALUE(MID(CA32,FIND("|",CA32)+1,FIND("-",CA32)-FIND("|",CA32)-1))-VALUE(MID(CA32,FIND("-",CA32)+1,10)))))*$D$50),$D$9*(1-(IF($N32="X",ABS($O32-VALUE(MID(CA32,FIND("|",CA32)+1,FIND("-",CA32)-FIND("|",CA32)-1))),ABS($Q32-ABS(VALUE(MID(CA32,FIND("|",CA32)+1,FIND("-",CA32)-FIND("|",CA32)-1))-VALUE(MID(CA32,FIND("-",CA32)+1,10)))))*$D$50)))))*$I32,0)),0)</f>
        <v>0</v>
      </c>
      <c r="CC32" s="338"/>
      <c r="CD32" s="363"/>
      <c r="CE32" s="356" t="n">
        <f aca="false">IFERROR(IF($M32=CD32,($D$8+$D$9+$D$10)*$I32,IF($N32=LEFT(CD32,1),($D$8+MAX(0,IF($D$50=1,$D$9*(1-(ABS($Q32-ABS(VALUE(MID(CD32,FIND("|",CD32)+1,FIND("-",CD32)-FIND("|",CD32)-1))-VALUE(MID(CD32,FIND("-",CD32)+1,10)))))*$D$50),$D$9*(1-(IF($N32="X",ABS($O32-VALUE(MID(CD32,FIND("|",CD32)+1,FIND("-",CD32)-FIND("|",CD32)-1))),ABS($Q32-ABS(VALUE(MID(CD32,FIND("|",CD32)+1,FIND("-",CD32)-FIND("|",CD32)-1))-VALUE(MID(CD32,FIND("-",CD32)+1,10)))))*$D$50)))))*$I32,0)),0)</f>
        <v>0</v>
      </c>
      <c r="CF32" s="338"/>
      <c r="CG32" s="363"/>
      <c r="CH32" s="356" t="n">
        <f aca="false">IFERROR(IF($M32=CG32,($D$8+$D$9+$D$10)*$I32,IF($N32=LEFT(CG32,1),($D$8+MAX(0,IF($D$50=1,$D$9*(1-(ABS($Q32-ABS(VALUE(MID(CG32,FIND("|",CG32)+1,FIND("-",CG32)-FIND("|",CG32)-1))-VALUE(MID(CG32,FIND("-",CG32)+1,10)))))*$D$50),$D$9*(1-(IF($N32="X",ABS($O32-VALUE(MID(CG32,FIND("|",CG32)+1,FIND("-",CG32)-FIND("|",CG32)-1))),ABS($Q32-ABS(VALUE(MID(CG32,FIND("|",CG32)+1,FIND("-",CG32)-FIND("|",CG32)-1))-VALUE(MID(CG32,FIND("-",CG32)+1,10)))))*$D$50)))))*$I32,0)),0)</f>
        <v>0</v>
      </c>
      <c r="CI32" s="338"/>
      <c r="CJ32" s="363"/>
      <c r="CK32" s="356" t="n">
        <f aca="false">IFERROR(IF($M32=CJ32,($D$8+$D$9+$D$10)*$I32,IF($N32=LEFT(CJ32,1),($D$8+MAX(0,IF($D$50=1,$D$9*(1-(ABS($Q32-ABS(VALUE(MID(CJ32,FIND("|",CJ32)+1,FIND("-",CJ32)-FIND("|",CJ32)-1))-VALUE(MID(CJ32,FIND("-",CJ32)+1,10)))))*$D$50),$D$9*(1-(IF($N32="X",ABS($O32-VALUE(MID(CJ32,FIND("|",CJ32)+1,FIND("-",CJ32)-FIND("|",CJ32)-1))),ABS($Q32-ABS(VALUE(MID(CJ32,FIND("|",CJ32)+1,FIND("-",CJ32)-FIND("|",CJ32)-1))-VALUE(MID(CJ32,FIND("-",CJ32)+1,10)))))*$D$50)))))*$I32,0)),0)</f>
        <v>0</v>
      </c>
      <c r="CL32" s="338"/>
      <c r="CM32" s="363"/>
      <c r="CN32" s="356" t="n">
        <f aca="false">IFERROR(IF($M32=CM32,($D$8+$D$9+$D$10)*$I32,IF($N32=LEFT(CM32,1),($D$8+MAX(0,IF($D$50=1,$D$9*(1-(ABS($Q32-ABS(VALUE(MID(CM32,FIND("|",CM32)+1,FIND("-",CM32)-FIND("|",CM32)-1))-VALUE(MID(CM32,FIND("-",CM32)+1,10)))))*$D$50),$D$9*(1-(IF($N32="X",ABS($O32-VALUE(MID(CM32,FIND("|",CM32)+1,FIND("-",CM32)-FIND("|",CM32)-1))),ABS($Q32-ABS(VALUE(MID(CM32,FIND("|",CM32)+1,FIND("-",CM32)-FIND("|",CM32)-1))-VALUE(MID(CM32,FIND("-",CM32)+1,10)))))*$D$50)))))*$I32,0)),0)</f>
        <v>0</v>
      </c>
      <c r="CO32" s="338"/>
      <c r="CP32" s="363"/>
      <c r="CQ32" s="356" t="n">
        <f aca="false">IFERROR(IF($M32=CP32,($D$8+$D$9+$D$10)*$I32,IF($N32=LEFT(CP32,1),($D$8+MAX(0,IF($D$50=1,$D$9*(1-(ABS($Q32-ABS(VALUE(MID(CP32,FIND("|",CP32)+1,FIND("-",CP32)-FIND("|",CP32)-1))-VALUE(MID(CP32,FIND("-",CP32)+1,10)))))*$D$50),$D$9*(1-(IF($N32="X",ABS($O32-VALUE(MID(CP32,FIND("|",CP32)+1,FIND("-",CP32)-FIND("|",CP32)-1))),ABS($Q32-ABS(VALUE(MID(CP32,FIND("|",CP32)+1,FIND("-",CP32)-FIND("|",CP32)-1))-VALUE(MID(CP32,FIND("-",CP32)+1,10)))))*$D$50)))))*$I32,0)),0)</f>
        <v>0</v>
      </c>
      <c r="CR32" s="338"/>
      <c r="CS32" s="363"/>
      <c r="CT32" s="356" t="n">
        <f aca="false">IFERROR(IF($M32=CS32,($D$8+$D$9+$D$10)*$I32,IF($N32=LEFT(CS32,1),($D$8+MAX(0,IF($D$50=1,$D$9*(1-(ABS($Q32-ABS(VALUE(MID(CS32,FIND("|",CS32)+1,FIND("-",CS32)-FIND("|",CS32)-1))-VALUE(MID(CS32,FIND("-",CS32)+1,10)))))*$D$50),$D$9*(1-(IF($N32="X",ABS($O32-VALUE(MID(CS32,FIND("|",CS32)+1,FIND("-",CS32)-FIND("|",CS32)-1))),ABS($Q32-ABS(VALUE(MID(CS32,FIND("|",CS32)+1,FIND("-",CS32)-FIND("|",CS32)-1))-VALUE(MID(CS32,FIND("-",CS32)+1,10)))))*$D$50)))))*$I32,0)),0)</f>
        <v>0</v>
      </c>
      <c r="CU32" s="338"/>
      <c r="CV32" s="363"/>
      <c r="CW32" s="356" t="n">
        <f aca="false">IFERROR(IF($M32=CV32,($D$8+$D$9+$D$10)*$I32,IF($N32=LEFT(CV32,1),($D$8+MAX(0,IF($D$50=1,$D$9*(1-(ABS($Q32-ABS(VALUE(MID(CV32,FIND("|",CV32)+1,FIND("-",CV32)-FIND("|",CV32)-1))-VALUE(MID(CV32,FIND("-",CV32)+1,10)))))*$D$50),$D$9*(1-(IF($N32="X",ABS($O32-VALUE(MID(CV32,FIND("|",CV32)+1,FIND("-",CV32)-FIND("|",CV32)-1))),ABS($Q32-ABS(VALUE(MID(CV32,FIND("|",CV32)+1,FIND("-",CV32)-FIND("|",CV32)-1))-VALUE(MID(CV32,FIND("-",CV32)+1,10)))))*$D$50)))))*$I32,0)),0)</f>
        <v>0</v>
      </c>
      <c r="CX32" s="338"/>
      <c r="CY32" s="363"/>
      <c r="CZ32" s="356" t="n">
        <f aca="false">IFERROR(IF($M32=CY32,($D$8+$D$9+$D$10)*$I32,IF($N32=LEFT(CY32,1),($D$8+MAX(0,IF($D$50=1,$D$9*(1-(ABS($Q32-ABS(VALUE(MID(CY32,FIND("|",CY32)+1,FIND("-",CY32)-FIND("|",CY32)-1))-VALUE(MID(CY32,FIND("-",CY32)+1,10)))))*$D$50),$D$9*(1-(IF($N32="X",ABS($O32-VALUE(MID(CY32,FIND("|",CY32)+1,FIND("-",CY32)-FIND("|",CY32)-1))),ABS($Q32-ABS(VALUE(MID(CY32,FIND("|",CY32)+1,FIND("-",CY32)-FIND("|",CY32)-1))-VALUE(MID(CY32,FIND("-",CY32)+1,10)))))*$D$50)))))*$I32,0)),0)</f>
        <v>0</v>
      </c>
      <c r="DA32" s="338"/>
      <c r="DB32" s="363"/>
      <c r="DC32" s="356" t="n">
        <f aca="false">IFERROR(IF($M32=DB32,($D$8+$D$9+$D$10)*$I32,IF($N32=LEFT(DB32,1),($D$8+MAX(0,IF($D$50=1,$D$9*(1-(ABS($Q32-ABS(VALUE(MID(DB32,FIND("|",DB32)+1,FIND("-",DB32)-FIND("|",DB32)-1))-VALUE(MID(DB32,FIND("-",DB32)+1,10)))))*$D$50),$D$9*(1-(IF($N32="X",ABS($O32-VALUE(MID(DB32,FIND("|",DB32)+1,FIND("-",DB32)-FIND("|",DB32)-1))),ABS($Q32-ABS(VALUE(MID(DB32,FIND("|",DB32)+1,FIND("-",DB32)-FIND("|",DB32)-1))-VALUE(MID(DB32,FIND("-",DB32)+1,10)))))*$D$50)))))*$I32,0)),0)</f>
        <v>0</v>
      </c>
      <c r="DD32" s="338"/>
      <c r="DE32" s="363"/>
      <c r="DF32" s="356" t="n">
        <f aca="false">IFERROR(IF($M32=DE32,($D$8+$D$9+$D$10)*$I32,IF($N32=LEFT(DE32,1),($D$8+MAX(0,IF($D$50=1,$D$9*(1-(ABS($Q32-ABS(VALUE(MID(DE32,FIND("|",DE32)+1,FIND("-",DE32)-FIND("|",DE32)-1))-VALUE(MID(DE32,FIND("-",DE32)+1,10)))))*$D$50),$D$9*(1-(IF($N32="X",ABS($O32-VALUE(MID(DE32,FIND("|",DE32)+1,FIND("-",DE32)-FIND("|",DE32)-1))),ABS($Q32-ABS(VALUE(MID(DE32,FIND("|",DE32)+1,FIND("-",DE32)-FIND("|",DE32)-1))-VALUE(MID(DE32,FIND("-",DE32)+1,10)))))*$D$50)))))*$I32,0)),0)</f>
        <v>0</v>
      </c>
      <c r="DG32" s="338"/>
      <c r="DH32" s="363"/>
      <c r="DI32" s="356" t="n">
        <f aca="false">IFERROR(IF($M32=DH32,($D$8+$D$9+$D$10)*$I32,IF($N32=LEFT(DH32,1),($D$8+MAX(0,IF($D$50=1,$D$9*(1-(ABS($Q32-ABS(VALUE(MID(DH32,FIND("|",DH32)+1,FIND("-",DH32)-FIND("|",DH32)-1))-VALUE(MID(DH32,FIND("-",DH32)+1,10)))))*$D$50),$D$9*(1-(IF($N32="X",ABS($O32-VALUE(MID(DH32,FIND("|",DH32)+1,FIND("-",DH32)-FIND("|",DH32)-1))),ABS($Q32-ABS(VALUE(MID(DH32,FIND("|",DH32)+1,FIND("-",DH32)-FIND("|",DH32)-1))-VALUE(MID(DH32,FIND("-",DH32)+1,10)))))*$D$50)))))*$I32,0)),0)</f>
        <v>0</v>
      </c>
      <c r="DJ32" s="338"/>
      <c r="DK32" s="363"/>
      <c r="DL32" s="356" t="n">
        <f aca="false">IFERROR(IF($M32=DK32,($D$8+$D$9+$D$10)*$I32,IF($N32=LEFT(DK32,1),($D$8+MAX(0,IF($D$50=1,$D$9*(1-(ABS($Q32-ABS(VALUE(MID(DK32,FIND("|",DK32)+1,FIND("-",DK32)-FIND("|",DK32)-1))-VALUE(MID(DK32,FIND("-",DK32)+1,10)))))*$D$50),$D$9*(1-(IF($N32="X",ABS($O32-VALUE(MID(DK32,FIND("|",DK32)+1,FIND("-",DK32)-FIND("|",DK32)-1))),ABS($Q32-ABS(VALUE(MID(DK32,FIND("|",DK32)+1,FIND("-",DK32)-FIND("|",DK32)-1))-VALUE(MID(DK32,FIND("-",DK32)+1,10)))))*$D$50)))))*$I32,0)),0)</f>
        <v>0</v>
      </c>
      <c r="DM32" s="338"/>
      <c r="DN32" s="363"/>
      <c r="DO32" s="356" t="n">
        <f aca="false">IFERROR(IF($M32=DN32,($D$8+$D$9+$D$10)*$I32,IF($N32=LEFT(DN32,1),($D$8+MAX(0,IF($D$50=1,$D$9*(1-(ABS($Q32-ABS(VALUE(MID(DN32,FIND("|",DN32)+1,FIND("-",DN32)-FIND("|",DN32)-1))-VALUE(MID(DN32,FIND("-",DN32)+1,10)))))*$D$50),$D$9*(1-(IF($N32="X",ABS($O32-VALUE(MID(DN32,FIND("|",DN32)+1,FIND("-",DN32)-FIND("|",DN32)-1))),ABS($Q32-ABS(VALUE(MID(DN32,FIND("|",DN32)+1,FIND("-",DN32)-FIND("|",DN32)-1))-VALUE(MID(DN32,FIND("-",DN32)+1,10)))))*$D$50)))))*$I32,0)),0)</f>
        <v>0</v>
      </c>
      <c r="DP32" s="338"/>
      <c r="DQ32" s="363"/>
      <c r="DR32" s="356" t="n">
        <f aca="false">IFERROR(IF($M32=DQ32,($D$8+$D$9+$D$10)*$I32,IF($N32=LEFT(DQ32,1),($D$8+MAX(0,IF($D$50=1,$D$9*(1-(ABS($Q32-ABS(VALUE(MID(DQ32,FIND("|",DQ32)+1,FIND("-",DQ32)-FIND("|",DQ32)-1))-VALUE(MID(DQ32,FIND("-",DQ32)+1,10)))))*$D$50),$D$9*(1-(IF($N32="X",ABS($O32-VALUE(MID(DQ32,FIND("|",DQ32)+1,FIND("-",DQ32)-FIND("|",DQ32)-1))),ABS($Q32-ABS(VALUE(MID(DQ32,FIND("|",DQ32)+1,FIND("-",DQ32)-FIND("|",DQ32)-1))-VALUE(MID(DQ32,FIND("-",DQ32)+1,10)))))*$D$50)))))*$I32,0)),0)</f>
        <v>0</v>
      </c>
      <c r="DS32" s="338"/>
      <c r="DT32" s="363"/>
      <c r="DU32" s="356" t="n">
        <f aca="false">IFERROR(IF($M32=DT32,($D$8+$D$9+$D$10)*$I32,IF($N32=LEFT(DT32,1),($D$8+MAX(0,IF($D$50=1,$D$9*(1-(ABS($Q32-ABS(VALUE(MID(DT32,FIND("|",DT32)+1,FIND("-",DT32)-FIND("|",DT32)-1))-VALUE(MID(DT32,FIND("-",DT32)+1,10)))))*$D$50),$D$9*(1-(IF($N32="X",ABS($O32-VALUE(MID(DT32,FIND("|",DT32)+1,FIND("-",DT32)-FIND("|",DT32)-1))),ABS($Q32-ABS(VALUE(MID(DT32,FIND("|",DT32)+1,FIND("-",DT32)-FIND("|",DT32)-1))-VALUE(MID(DT32,FIND("-",DT32)+1,10)))))*$D$50)))))*$I32,0)),0)</f>
        <v>0</v>
      </c>
      <c r="DV32" s="338"/>
      <c r="DW32" s="363"/>
      <c r="DX32" s="356" t="n">
        <f aca="false">IFERROR(IF($M32=DW32,($D$8+$D$9+$D$10)*$I32,IF($N32=LEFT(DW32,1),($D$8+MAX(0,IF($D$50=1,$D$9*(1-(ABS($Q32-ABS(VALUE(MID(DW32,FIND("|",DW32)+1,FIND("-",DW32)-FIND("|",DW32)-1))-VALUE(MID(DW32,FIND("-",DW32)+1,10)))))*$D$50),$D$9*(1-(IF($N32="X",ABS($O32-VALUE(MID(DW32,FIND("|",DW32)+1,FIND("-",DW32)-FIND("|",DW32)-1))),ABS($Q32-ABS(VALUE(MID(DW32,FIND("|",DW32)+1,FIND("-",DW32)-FIND("|",DW32)-1))-VALUE(MID(DW32,FIND("-",DW32)+1,10)))))*$D$50)))))*$I32,0)),0)</f>
        <v>0</v>
      </c>
      <c r="DY32" s="338"/>
      <c r="DZ32" s="363"/>
      <c r="EA32" s="356" t="n">
        <f aca="false">IFERROR(IF($M32=DZ32,($D$8+$D$9+$D$10)*$I32,IF($N32=LEFT(DZ32,1),($D$8+MAX(0,IF($D$50=1,$D$9*(1-(ABS($Q32-ABS(VALUE(MID(DZ32,FIND("|",DZ32)+1,FIND("-",DZ32)-FIND("|",DZ32)-1))-VALUE(MID(DZ32,FIND("-",DZ32)+1,10)))))*$D$50),$D$9*(1-(IF($N32="X",ABS($O32-VALUE(MID(DZ32,FIND("|",DZ32)+1,FIND("-",DZ32)-FIND("|",DZ32)-1))),ABS($Q32-ABS(VALUE(MID(DZ32,FIND("|",DZ32)+1,FIND("-",DZ32)-FIND("|",DZ32)-1))-VALUE(MID(DZ32,FIND("-",DZ32)+1,10)))))*$D$50)))))*$I32,0)),0)</f>
        <v>0</v>
      </c>
      <c r="EB32" s="338"/>
      <c r="EC32" s="363"/>
      <c r="ED32" s="356" t="n">
        <f aca="false">IFERROR(IF($M32=EC32,($D$8+$D$9+$D$10)*$I32,IF($N32=LEFT(EC32,1),($D$8+MAX(0,IF($D$50=1,$D$9*(1-(ABS($Q32-ABS(VALUE(MID(EC32,FIND("|",EC32)+1,FIND("-",EC32)-FIND("|",EC32)-1))-VALUE(MID(EC32,FIND("-",EC32)+1,10)))))*$D$50),$D$9*(1-(IF($N32="X",ABS($O32-VALUE(MID(EC32,FIND("|",EC32)+1,FIND("-",EC32)-FIND("|",EC32)-1))),ABS($Q32-ABS(VALUE(MID(EC32,FIND("|",EC32)+1,FIND("-",EC32)-FIND("|",EC32)-1))-VALUE(MID(EC32,FIND("-",EC32)+1,10)))))*$D$50)))))*$I32,0)),0)</f>
        <v>0</v>
      </c>
      <c r="EE32" s="338"/>
      <c r="EF32" s="363"/>
      <c r="EG32" s="356" t="n">
        <f aca="false">IFERROR(IF($M32=EF32,($D$8+$D$9+$D$10)*$I32,IF($N32=LEFT(EF32,1),($D$8+MAX(0,IF($D$50=1,$D$9*(1-(ABS($Q32-ABS(VALUE(MID(EF32,FIND("|",EF32)+1,FIND("-",EF32)-FIND("|",EF32)-1))-VALUE(MID(EF32,FIND("-",EF32)+1,10)))))*$D$50),$D$9*(1-(IF($N32="X",ABS($O32-VALUE(MID(EF32,FIND("|",EF32)+1,FIND("-",EF32)-FIND("|",EF32)-1))),ABS($Q32-ABS(VALUE(MID(EF32,FIND("|",EF32)+1,FIND("-",EF32)-FIND("|",EF32)-1))-VALUE(MID(EF32,FIND("-",EF32)+1,10)))))*$D$50)))))*$I32,0)),0)</f>
        <v>0</v>
      </c>
      <c r="EH32" s="338"/>
      <c r="EI32" s="338"/>
    </row>
    <row r="33" customFormat="false" ht="15" hidden="false" customHeight="false" outlineLevel="0" collapsed="false">
      <c r="A33" s="327"/>
      <c r="B33" s="327"/>
      <c r="C33" s="364" t="str">
        <f aca="false">Idiomas!D329</f>
        <v>3ºy4º PUESTO - Signo 1X2  (local, empate, visitante)</v>
      </c>
      <c r="D33" s="365" t="n">
        <v>5</v>
      </c>
      <c r="E33" s="334"/>
      <c r="F33" s="343" t="n">
        <f aca="false">SUM($D$8:$D$10)*I33</f>
        <v>17</v>
      </c>
      <c r="G33" s="343" t="n">
        <f aca="false">VLOOKUP(H33,Equipos!$Q$1:$R$25,2,0)</f>
        <v>9</v>
      </c>
      <c r="H33" s="351" t="n">
        <f aca="false">TRUNC(INDEX(WORLDCUP!$X$4:$X$147,MATCH(ADMIN!K33,WORLDCUP!$DT$4:$DT$147,0))+INDEX(Horarios!$R$3:$R$86,MATCH(Horarios!$C$3,Horarios!$P$3:$P$86,0))/24)</f>
        <v>46192</v>
      </c>
      <c r="I33" s="352" t="n">
        <v>1</v>
      </c>
      <c r="J33" s="362" t="s">
        <v>297</v>
      </c>
      <c r="K33" s="367" t="str">
        <f aca="false">CONCATENATE(WORLDCUP!AA15,"-",WORLDCUP!AF15)</f>
        <v>Canadá-Catar</v>
      </c>
      <c r="L33" s="354"/>
      <c r="M33" s="359" t="str">
        <f aca="false">IF(OR(WORLDCUP!AC15="",WORLDCUP!AD15=""),"-",N33&amp;"|"&amp;O33&amp;"-"&amp;P33)</f>
        <v>-</v>
      </c>
      <c r="N33" s="332" t="str">
        <f aca="false">IF(OR(WORLDCUP!AC15="",WORLDCUP!AD15=""),"",IF(WORLDCUP!AC15&gt;WORLDCUP!AD15,"1",IF(WORLDCUP!AC15&lt;WORLDCUP!AD15,"2","X")))</f>
        <v/>
      </c>
      <c r="O33" s="332" t="n">
        <f aca="false">WORLDCUP!AC15</f>
        <v>0</v>
      </c>
      <c r="P33" s="332" t="n">
        <f aca="false">WORLDCUP!AD15</f>
        <v>0</v>
      </c>
      <c r="Q33" s="332" t="n">
        <f aca="false">ABS(O33-P33)</f>
        <v>0</v>
      </c>
      <c r="R33" s="327"/>
      <c r="S33" s="363" t="s">
        <v>264</v>
      </c>
      <c r="T33" s="356" t="n">
        <f aca="false">IFERROR(IF($M33=S33,($D$8+$D$9+$D$10)*$I33,IF($N33=LEFT(S33,1),($D$8+MAX(0,IF($D$50=1,$D$9*(1-(ABS($Q33-ABS(VALUE(MID(S33,FIND("|",S33)+1,FIND("-",S33)-FIND("|",S33)-1))-VALUE(MID(S33,FIND("-",S33)+1,10)))))*$D$50),$D$9*(1-(IF($N33="X",ABS($O33-VALUE(MID(S33,FIND("|",S33)+1,FIND("-",S33)-FIND("|",S33)-1))),ABS($Q33-ABS(VALUE(MID(S33,FIND("|",S33)+1,FIND("-",S33)-FIND("|",S33)-1))-VALUE(MID(S33,FIND("-",S33)+1,10)))))*$D$50)))))*$I33,0)),0)</f>
        <v>0</v>
      </c>
      <c r="U33" s="338"/>
      <c r="V33" s="363" t="s">
        <v>266</v>
      </c>
      <c r="W33" s="356" t="n">
        <f aca="false">IFERROR(IF($M33=V33,($D$8+$D$9+$D$10)*$I33,IF($N33=LEFT(V33,1),($D$8+MAX(0,IF($D$50=1,$D$9*(1-(ABS($Q33-ABS(VALUE(MID(V33,FIND("|",V33)+1,FIND("-",V33)-FIND("|",V33)-1))-VALUE(MID(V33,FIND("-",V33)+1,10)))))*$D$50),$D$9*(1-(IF($N33="X",ABS($O33-VALUE(MID(V33,FIND("|",V33)+1,FIND("-",V33)-FIND("|",V33)-1))),ABS($Q33-ABS(VALUE(MID(V33,FIND("|",V33)+1,FIND("-",V33)-FIND("|",V33)-1))-VALUE(MID(V33,FIND("-",V33)+1,10)))))*$D$50)))))*$I33,0)),0)</f>
        <v>0</v>
      </c>
      <c r="X33" s="338"/>
      <c r="Y33" s="363" t="s">
        <v>264</v>
      </c>
      <c r="Z33" s="356" t="n">
        <f aca="false">IFERROR(IF($M33=Y33,($D$8+$D$9+$D$10)*$I33,IF($N33=LEFT(Y33,1),($D$8+MAX(0,IF($D$50=1,$D$9*(1-(ABS($Q33-ABS(VALUE(MID(Y33,FIND("|",Y33)+1,FIND("-",Y33)-FIND("|",Y33)-1))-VALUE(MID(Y33,FIND("-",Y33)+1,10)))))*$D$50),$D$9*(1-(IF($N33="X",ABS($O33-VALUE(MID(Y33,FIND("|",Y33)+1,FIND("-",Y33)-FIND("|",Y33)-1))),ABS($Q33-ABS(VALUE(MID(Y33,FIND("|",Y33)+1,FIND("-",Y33)-FIND("|",Y33)-1))-VALUE(MID(Y33,FIND("-",Y33)+1,10)))))*$D$50)))))*$I33,0)),0)</f>
        <v>0</v>
      </c>
      <c r="AA33" s="338"/>
      <c r="AB33" s="363" t="s">
        <v>265</v>
      </c>
      <c r="AC33" s="356" t="n">
        <f aca="false">IFERROR(IF($M33=AB33,($D$8+$D$9+$D$10)*$I33,IF($N33=LEFT(AB33,1),($D$8+MAX(0,IF($D$50=1,$D$9*(1-(ABS($Q33-ABS(VALUE(MID(AB33,FIND("|",AB33)+1,FIND("-",AB33)-FIND("|",AB33)-1))-VALUE(MID(AB33,FIND("-",AB33)+1,10)))))*$D$50),$D$9*(1-(IF($N33="X",ABS($O33-VALUE(MID(AB33,FIND("|",AB33)+1,FIND("-",AB33)-FIND("|",AB33)-1))),ABS($Q33-ABS(VALUE(MID(AB33,FIND("|",AB33)+1,FIND("-",AB33)-FIND("|",AB33)-1))-VALUE(MID(AB33,FIND("-",AB33)+1,10)))))*$D$50)))))*$I33,0)),0)</f>
        <v>0</v>
      </c>
      <c r="AD33" s="338"/>
      <c r="AE33" s="363" t="s">
        <v>266</v>
      </c>
      <c r="AF33" s="356" t="n">
        <f aca="false">IFERROR(IF($M33=AE33,($D$8+$D$9+$D$10)*$I33,IF($N33=LEFT(AE33,1),($D$8+MAX(0,IF($D$50=1,$D$9*(1-(ABS($Q33-ABS(VALUE(MID(AE33,FIND("|",AE33)+1,FIND("-",AE33)-FIND("|",AE33)-1))-VALUE(MID(AE33,FIND("-",AE33)+1,10)))))*$D$50),$D$9*(1-(IF($N33="X",ABS($O33-VALUE(MID(AE33,FIND("|",AE33)+1,FIND("-",AE33)-FIND("|",AE33)-1))),ABS($Q33-ABS(VALUE(MID(AE33,FIND("|",AE33)+1,FIND("-",AE33)-FIND("|",AE33)-1))-VALUE(MID(AE33,FIND("-",AE33)+1,10)))))*$D$50)))))*$I33,0)),0)</f>
        <v>0</v>
      </c>
      <c r="AG33" s="338"/>
      <c r="AH33" s="363" t="s">
        <v>272</v>
      </c>
      <c r="AI33" s="356" t="n">
        <f aca="false">IFERROR(IF($M33=AH33,($D$8+$D$9+$D$10)*$I33,IF($N33=LEFT(AH33,1),($D$8+MAX(0,IF($D$50=1,$D$9*(1-(ABS($Q33-ABS(VALUE(MID(AH33,FIND("|",AH33)+1,FIND("-",AH33)-FIND("|",AH33)-1))-VALUE(MID(AH33,FIND("-",AH33)+1,10)))))*$D$50),$D$9*(1-(IF($N33="X",ABS($O33-VALUE(MID(AH33,FIND("|",AH33)+1,FIND("-",AH33)-FIND("|",AH33)-1))),ABS($Q33-ABS(VALUE(MID(AH33,FIND("|",AH33)+1,FIND("-",AH33)-FIND("|",AH33)-1))-VALUE(MID(AH33,FIND("-",AH33)+1,10)))))*$D$50)))))*$I33,0)),0)</f>
        <v>0</v>
      </c>
      <c r="AJ33" s="338"/>
      <c r="AK33" s="363" t="s">
        <v>266</v>
      </c>
      <c r="AL33" s="356" t="n">
        <f aca="false">IFERROR(IF($M33=AK33,($D$8+$D$9+$D$10)*$I33,IF($N33=LEFT(AK33,1),($D$8+MAX(0,IF($D$50=1,$D$9*(1-(ABS($Q33-ABS(VALUE(MID(AK33,FIND("|",AK33)+1,FIND("-",AK33)-FIND("|",AK33)-1))-VALUE(MID(AK33,FIND("-",AK33)+1,10)))))*$D$50),$D$9*(1-(IF($N33="X",ABS($O33-VALUE(MID(AK33,FIND("|",AK33)+1,FIND("-",AK33)-FIND("|",AK33)-1))),ABS($Q33-ABS(VALUE(MID(AK33,FIND("|",AK33)+1,FIND("-",AK33)-FIND("|",AK33)-1))-VALUE(MID(AK33,FIND("-",AK33)+1,10)))))*$D$50)))))*$I33,0)),0)</f>
        <v>0</v>
      </c>
      <c r="AM33" s="338"/>
      <c r="AN33" s="363" t="s">
        <v>266</v>
      </c>
      <c r="AO33" s="356" t="n">
        <f aca="false">IFERROR(IF($M33=AN33,($D$8+$D$9+$D$10)*$I33,IF($N33=LEFT(AN33,1),($D$8+MAX(0,IF($D$50=1,$D$9*(1-(ABS($Q33-ABS(VALUE(MID(AN33,FIND("|",AN33)+1,FIND("-",AN33)-FIND("|",AN33)-1))-VALUE(MID(AN33,FIND("-",AN33)+1,10)))))*$D$50),$D$9*(1-(IF($N33="X",ABS($O33-VALUE(MID(AN33,FIND("|",AN33)+1,FIND("-",AN33)-FIND("|",AN33)-1))),ABS($Q33-ABS(VALUE(MID(AN33,FIND("|",AN33)+1,FIND("-",AN33)-FIND("|",AN33)-1))-VALUE(MID(AN33,FIND("-",AN33)+1,10)))))*$D$50)))))*$I33,0)),0)</f>
        <v>0</v>
      </c>
      <c r="AP33" s="338"/>
      <c r="AQ33" s="363" t="s">
        <v>265</v>
      </c>
      <c r="AR33" s="356" t="n">
        <f aca="false">IFERROR(IF($M33=AQ33,($D$8+$D$9+$D$10)*$I33,IF($N33=LEFT(AQ33,1),($D$8+MAX(0,IF($D$50=1,$D$9*(1-(ABS($Q33-ABS(VALUE(MID(AQ33,FIND("|",AQ33)+1,FIND("-",AQ33)-FIND("|",AQ33)-1))-VALUE(MID(AQ33,FIND("-",AQ33)+1,10)))))*$D$50),$D$9*(1-(IF($N33="X",ABS($O33-VALUE(MID(AQ33,FIND("|",AQ33)+1,FIND("-",AQ33)-FIND("|",AQ33)-1))),ABS($Q33-ABS(VALUE(MID(AQ33,FIND("|",AQ33)+1,FIND("-",AQ33)-FIND("|",AQ33)-1))-VALUE(MID(AQ33,FIND("-",AQ33)+1,10)))))*$D$50)))))*$I33,0)),0)</f>
        <v>0</v>
      </c>
      <c r="AS33" s="338"/>
      <c r="AT33" s="363" t="s">
        <v>266</v>
      </c>
      <c r="AU33" s="356" t="n">
        <f aca="false">IFERROR(IF($M33=AT33,($D$8+$D$9+$D$10)*$I33,IF($N33=LEFT(AT33,1),($D$8+MAX(0,IF($D$50=1,$D$9*(1-(ABS($Q33-ABS(VALUE(MID(AT33,FIND("|",AT33)+1,FIND("-",AT33)-FIND("|",AT33)-1))-VALUE(MID(AT33,FIND("-",AT33)+1,10)))))*$D$50),$D$9*(1-(IF($N33="X",ABS($O33-VALUE(MID(AT33,FIND("|",AT33)+1,FIND("-",AT33)-FIND("|",AT33)-1))),ABS($Q33-ABS(VALUE(MID(AT33,FIND("|",AT33)+1,FIND("-",AT33)-FIND("|",AT33)-1))-VALUE(MID(AT33,FIND("-",AT33)+1,10)))))*$D$50)))))*$I33,0)),0)</f>
        <v>0</v>
      </c>
      <c r="AV33" s="338"/>
      <c r="AW33" s="363" t="s">
        <v>266</v>
      </c>
      <c r="AX33" s="356" t="n">
        <f aca="false">IFERROR(IF($M33=AW33,($D$8+$D$9+$D$10)*$I33,IF($N33=LEFT(AW33,1),($D$8+MAX(0,IF($D$50=1,$D$9*(1-(ABS($Q33-ABS(VALUE(MID(AW33,FIND("|",AW33)+1,FIND("-",AW33)-FIND("|",AW33)-1))-VALUE(MID(AW33,FIND("-",AW33)+1,10)))))*$D$50),$D$9*(1-(IF($N33="X",ABS($O33-VALUE(MID(AW33,FIND("|",AW33)+1,FIND("-",AW33)-FIND("|",AW33)-1))),ABS($Q33-ABS(VALUE(MID(AW33,FIND("|",AW33)+1,FIND("-",AW33)-FIND("|",AW33)-1))-VALUE(MID(AW33,FIND("-",AW33)+1,10)))))*$D$50)))))*$I33,0)),0)</f>
        <v>0</v>
      </c>
      <c r="AY33" s="338"/>
      <c r="AZ33" s="363" t="s">
        <v>264</v>
      </c>
      <c r="BA33" s="356" t="n">
        <f aca="false">IFERROR(IF($M33=AZ33,($D$8+$D$9+$D$10)*$I33,IF($N33=LEFT(AZ33,1),($D$8+MAX(0,IF($D$50=1,$D$9*(1-(ABS($Q33-ABS(VALUE(MID(AZ33,FIND("|",AZ33)+1,FIND("-",AZ33)-FIND("|",AZ33)-1))-VALUE(MID(AZ33,FIND("-",AZ33)+1,10)))))*$D$50),$D$9*(1-(IF($N33="X",ABS($O33-VALUE(MID(AZ33,FIND("|",AZ33)+1,FIND("-",AZ33)-FIND("|",AZ33)-1))),ABS($Q33-ABS(VALUE(MID(AZ33,FIND("|",AZ33)+1,FIND("-",AZ33)-FIND("|",AZ33)-1))-VALUE(MID(AZ33,FIND("-",AZ33)+1,10)))))*$D$50)))))*$I33,0)),0)</f>
        <v>0</v>
      </c>
      <c r="BB33" s="338"/>
      <c r="BC33" s="363" t="s">
        <v>272</v>
      </c>
      <c r="BD33" s="356" t="n">
        <f aca="false">IFERROR(IF($M33=BC33,($D$8+$D$9+$D$10)*$I33,IF($N33=LEFT(BC33,1),($D$8+MAX(0,IF($D$50=1,$D$9*(1-(ABS($Q33-ABS(VALUE(MID(BC33,FIND("|",BC33)+1,FIND("-",BC33)-FIND("|",BC33)-1))-VALUE(MID(BC33,FIND("-",BC33)+1,10)))))*$D$50),$D$9*(1-(IF($N33="X",ABS($O33-VALUE(MID(BC33,FIND("|",BC33)+1,FIND("-",BC33)-FIND("|",BC33)-1))),ABS($Q33-ABS(VALUE(MID(BC33,FIND("|",BC33)+1,FIND("-",BC33)-FIND("|",BC33)-1))-VALUE(MID(BC33,FIND("-",BC33)+1,10)))))*$D$50)))))*$I33,0)),0)</f>
        <v>0</v>
      </c>
      <c r="BE33" s="338"/>
      <c r="BF33" s="363" t="s">
        <v>266</v>
      </c>
      <c r="BG33" s="356" t="n">
        <f aca="false">IFERROR(IF($M33=BF33,($D$8+$D$9+$D$10)*$I33,IF($N33=LEFT(BF33,1),($D$8+MAX(0,IF($D$50=1,$D$9*(1-(ABS($Q33-ABS(VALUE(MID(BF33,FIND("|",BF33)+1,FIND("-",BF33)-FIND("|",BF33)-1))-VALUE(MID(BF33,FIND("-",BF33)+1,10)))))*$D$50),$D$9*(1-(IF($N33="X",ABS($O33-VALUE(MID(BF33,FIND("|",BF33)+1,FIND("-",BF33)-FIND("|",BF33)-1))),ABS($Q33-ABS(VALUE(MID(BF33,FIND("|",BF33)+1,FIND("-",BF33)-FIND("|",BF33)-1))-VALUE(MID(BF33,FIND("-",BF33)+1,10)))))*$D$50)))))*$I33,0)),0)</f>
        <v>0</v>
      </c>
      <c r="BH33" s="338"/>
      <c r="BI33" s="363" t="s">
        <v>266</v>
      </c>
      <c r="BJ33" s="356" t="n">
        <f aca="false">IFERROR(IF($M33=BI33,($D$8+$D$9+$D$10)*$I33,IF($N33=LEFT(BI33,1),($D$8+MAX(0,IF($D$50=1,$D$9*(1-(ABS($Q33-ABS(VALUE(MID(BI33,FIND("|",BI33)+1,FIND("-",BI33)-FIND("|",BI33)-1))-VALUE(MID(BI33,FIND("-",BI33)+1,10)))))*$D$50),$D$9*(1-(IF($N33="X",ABS($O33-VALUE(MID(BI33,FIND("|",BI33)+1,FIND("-",BI33)-FIND("|",BI33)-1))),ABS($Q33-ABS(VALUE(MID(BI33,FIND("|",BI33)+1,FIND("-",BI33)-FIND("|",BI33)-1))-VALUE(MID(BI33,FIND("-",BI33)+1,10)))))*$D$50)))))*$I33,0)),0)</f>
        <v>0</v>
      </c>
      <c r="BK33" s="338"/>
      <c r="BL33" s="363" t="s">
        <v>269</v>
      </c>
      <c r="BM33" s="356" t="n">
        <f aca="false">IFERROR(IF($M33=BL33,($D$8+$D$9+$D$10)*$I33,IF($N33=LEFT(BL33,1),($D$8+MAX(0,IF($D$50=1,$D$9*(1-(ABS($Q33-ABS(VALUE(MID(BL33,FIND("|",BL33)+1,FIND("-",BL33)-FIND("|",BL33)-1))-VALUE(MID(BL33,FIND("-",BL33)+1,10)))))*$D$50),$D$9*(1-(IF($N33="X",ABS($O33-VALUE(MID(BL33,FIND("|",BL33)+1,FIND("-",BL33)-FIND("|",BL33)-1))),ABS($Q33-ABS(VALUE(MID(BL33,FIND("|",BL33)+1,FIND("-",BL33)-FIND("|",BL33)-1))-VALUE(MID(BL33,FIND("-",BL33)+1,10)))))*$D$50)))))*$I33,0)),0)</f>
        <v>0</v>
      </c>
      <c r="BN33" s="338"/>
      <c r="BO33" s="363" t="s">
        <v>264</v>
      </c>
      <c r="BP33" s="356" t="n">
        <f aca="false">IFERROR(IF($M33=BO33,($D$8+$D$9+$D$10)*$I33,IF($N33=LEFT(BO33,1),($D$8+MAX(0,IF($D$50=1,$D$9*(1-(ABS($Q33-ABS(VALUE(MID(BO33,FIND("|",BO33)+1,FIND("-",BO33)-FIND("|",BO33)-1))-VALUE(MID(BO33,FIND("-",BO33)+1,10)))))*$D$50),$D$9*(1-(IF($N33="X",ABS($O33-VALUE(MID(BO33,FIND("|",BO33)+1,FIND("-",BO33)-FIND("|",BO33)-1))),ABS($Q33-ABS(VALUE(MID(BO33,FIND("|",BO33)+1,FIND("-",BO33)-FIND("|",BO33)-1))-VALUE(MID(BO33,FIND("-",BO33)+1,10)))))*$D$50)))))*$I33,0)),0)</f>
        <v>0</v>
      </c>
      <c r="BQ33" s="338"/>
      <c r="BR33" s="363" t="s">
        <v>265</v>
      </c>
      <c r="BS33" s="356" t="n">
        <f aca="false">IFERROR(IF($M33=BR33,($D$8+$D$9+$D$10)*$I33,IF($N33=LEFT(BR33,1),($D$8+MAX(0,IF($D$50=1,$D$9*(1-(ABS($Q33-ABS(VALUE(MID(BR33,FIND("|",BR33)+1,FIND("-",BR33)-FIND("|",BR33)-1))-VALUE(MID(BR33,FIND("-",BR33)+1,10)))))*$D$50),$D$9*(1-(IF($N33="X",ABS($O33-VALUE(MID(BR33,FIND("|",BR33)+1,FIND("-",BR33)-FIND("|",BR33)-1))),ABS($Q33-ABS(VALUE(MID(BR33,FIND("|",BR33)+1,FIND("-",BR33)-FIND("|",BR33)-1))-VALUE(MID(BR33,FIND("-",BR33)+1,10)))))*$D$50)))))*$I33,0)),0)</f>
        <v>0</v>
      </c>
      <c r="BT33" s="338"/>
      <c r="BU33" s="363"/>
      <c r="BV33" s="356" t="n">
        <f aca="false">IFERROR(IF($M33=BU33,($D$8+$D$9+$D$10)*$I33,IF($N33=LEFT(BU33,1),($D$8+MAX(0,IF($D$50=1,$D$9*(1-(ABS($Q33-ABS(VALUE(MID(BU33,FIND("|",BU33)+1,FIND("-",BU33)-FIND("|",BU33)-1))-VALUE(MID(BU33,FIND("-",BU33)+1,10)))))*$D$50),$D$9*(1-(IF($N33="X",ABS($O33-VALUE(MID(BU33,FIND("|",BU33)+1,FIND("-",BU33)-FIND("|",BU33)-1))),ABS($Q33-ABS(VALUE(MID(BU33,FIND("|",BU33)+1,FIND("-",BU33)-FIND("|",BU33)-1))-VALUE(MID(BU33,FIND("-",BU33)+1,10)))))*$D$50)))))*$I33,0)),0)</f>
        <v>0</v>
      </c>
      <c r="BW33" s="338"/>
      <c r="BX33" s="363"/>
      <c r="BY33" s="356" t="n">
        <f aca="false">IFERROR(IF($M33=BX33,($D$8+$D$9+$D$10)*$I33,IF($N33=LEFT(BX33,1),($D$8+MAX(0,IF($D$50=1,$D$9*(1-(ABS($Q33-ABS(VALUE(MID(BX33,FIND("|",BX33)+1,FIND("-",BX33)-FIND("|",BX33)-1))-VALUE(MID(BX33,FIND("-",BX33)+1,10)))))*$D$50),$D$9*(1-(IF($N33="X",ABS($O33-VALUE(MID(BX33,FIND("|",BX33)+1,FIND("-",BX33)-FIND("|",BX33)-1))),ABS($Q33-ABS(VALUE(MID(BX33,FIND("|",BX33)+1,FIND("-",BX33)-FIND("|",BX33)-1))-VALUE(MID(BX33,FIND("-",BX33)+1,10)))))*$D$50)))))*$I33,0)),0)</f>
        <v>0</v>
      </c>
      <c r="BZ33" s="338"/>
      <c r="CA33" s="363"/>
      <c r="CB33" s="356" t="n">
        <f aca="false">IFERROR(IF($M33=CA33,($D$8+$D$9+$D$10)*$I33,IF($N33=LEFT(CA33,1),($D$8+MAX(0,IF($D$50=1,$D$9*(1-(ABS($Q33-ABS(VALUE(MID(CA33,FIND("|",CA33)+1,FIND("-",CA33)-FIND("|",CA33)-1))-VALUE(MID(CA33,FIND("-",CA33)+1,10)))))*$D$50),$D$9*(1-(IF($N33="X",ABS($O33-VALUE(MID(CA33,FIND("|",CA33)+1,FIND("-",CA33)-FIND("|",CA33)-1))),ABS($Q33-ABS(VALUE(MID(CA33,FIND("|",CA33)+1,FIND("-",CA33)-FIND("|",CA33)-1))-VALUE(MID(CA33,FIND("-",CA33)+1,10)))))*$D$50)))))*$I33,0)),0)</f>
        <v>0</v>
      </c>
      <c r="CC33" s="338"/>
      <c r="CD33" s="363"/>
      <c r="CE33" s="356" t="n">
        <f aca="false">IFERROR(IF($M33=CD33,($D$8+$D$9+$D$10)*$I33,IF($N33=LEFT(CD33,1),($D$8+MAX(0,IF($D$50=1,$D$9*(1-(ABS($Q33-ABS(VALUE(MID(CD33,FIND("|",CD33)+1,FIND("-",CD33)-FIND("|",CD33)-1))-VALUE(MID(CD33,FIND("-",CD33)+1,10)))))*$D$50),$D$9*(1-(IF($N33="X",ABS($O33-VALUE(MID(CD33,FIND("|",CD33)+1,FIND("-",CD33)-FIND("|",CD33)-1))),ABS($Q33-ABS(VALUE(MID(CD33,FIND("|",CD33)+1,FIND("-",CD33)-FIND("|",CD33)-1))-VALUE(MID(CD33,FIND("-",CD33)+1,10)))))*$D$50)))))*$I33,0)),0)</f>
        <v>0</v>
      </c>
      <c r="CF33" s="338"/>
      <c r="CG33" s="363"/>
      <c r="CH33" s="356" t="n">
        <f aca="false">IFERROR(IF($M33=CG33,($D$8+$D$9+$D$10)*$I33,IF($N33=LEFT(CG33,1),($D$8+MAX(0,IF($D$50=1,$D$9*(1-(ABS($Q33-ABS(VALUE(MID(CG33,FIND("|",CG33)+1,FIND("-",CG33)-FIND("|",CG33)-1))-VALUE(MID(CG33,FIND("-",CG33)+1,10)))))*$D$50),$D$9*(1-(IF($N33="X",ABS($O33-VALUE(MID(CG33,FIND("|",CG33)+1,FIND("-",CG33)-FIND("|",CG33)-1))),ABS($Q33-ABS(VALUE(MID(CG33,FIND("|",CG33)+1,FIND("-",CG33)-FIND("|",CG33)-1))-VALUE(MID(CG33,FIND("-",CG33)+1,10)))))*$D$50)))))*$I33,0)),0)</f>
        <v>0</v>
      </c>
      <c r="CI33" s="338"/>
      <c r="CJ33" s="363"/>
      <c r="CK33" s="356" t="n">
        <f aca="false">IFERROR(IF($M33=CJ33,($D$8+$D$9+$D$10)*$I33,IF($N33=LEFT(CJ33,1),($D$8+MAX(0,IF($D$50=1,$D$9*(1-(ABS($Q33-ABS(VALUE(MID(CJ33,FIND("|",CJ33)+1,FIND("-",CJ33)-FIND("|",CJ33)-1))-VALUE(MID(CJ33,FIND("-",CJ33)+1,10)))))*$D$50),$D$9*(1-(IF($N33="X",ABS($O33-VALUE(MID(CJ33,FIND("|",CJ33)+1,FIND("-",CJ33)-FIND("|",CJ33)-1))),ABS($Q33-ABS(VALUE(MID(CJ33,FIND("|",CJ33)+1,FIND("-",CJ33)-FIND("|",CJ33)-1))-VALUE(MID(CJ33,FIND("-",CJ33)+1,10)))))*$D$50)))))*$I33,0)),0)</f>
        <v>0</v>
      </c>
      <c r="CL33" s="338"/>
      <c r="CM33" s="363"/>
      <c r="CN33" s="356" t="n">
        <f aca="false">IFERROR(IF($M33=CM33,($D$8+$D$9+$D$10)*$I33,IF($N33=LEFT(CM33,1),($D$8+MAX(0,IF($D$50=1,$D$9*(1-(ABS($Q33-ABS(VALUE(MID(CM33,FIND("|",CM33)+1,FIND("-",CM33)-FIND("|",CM33)-1))-VALUE(MID(CM33,FIND("-",CM33)+1,10)))))*$D$50),$D$9*(1-(IF($N33="X",ABS($O33-VALUE(MID(CM33,FIND("|",CM33)+1,FIND("-",CM33)-FIND("|",CM33)-1))),ABS($Q33-ABS(VALUE(MID(CM33,FIND("|",CM33)+1,FIND("-",CM33)-FIND("|",CM33)-1))-VALUE(MID(CM33,FIND("-",CM33)+1,10)))))*$D$50)))))*$I33,0)),0)</f>
        <v>0</v>
      </c>
      <c r="CO33" s="338"/>
      <c r="CP33" s="363"/>
      <c r="CQ33" s="356" t="n">
        <f aca="false">IFERROR(IF($M33=CP33,($D$8+$D$9+$D$10)*$I33,IF($N33=LEFT(CP33,1),($D$8+MAX(0,IF($D$50=1,$D$9*(1-(ABS($Q33-ABS(VALUE(MID(CP33,FIND("|",CP33)+1,FIND("-",CP33)-FIND("|",CP33)-1))-VALUE(MID(CP33,FIND("-",CP33)+1,10)))))*$D$50),$D$9*(1-(IF($N33="X",ABS($O33-VALUE(MID(CP33,FIND("|",CP33)+1,FIND("-",CP33)-FIND("|",CP33)-1))),ABS($Q33-ABS(VALUE(MID(CP33,FIND("|",CP33)+1,FIND("-",CP33)-FIND("|",CP33)-1))-VALUE(MID(CP33,FIND("-",CP33)+1,10)))))*$D$50)))))*$I33,0)),0)</f>
        <v>0</v>
      </c>
      <c r="CR33" s="338"/>
      <c r="CS33" s="363"/>
      <c r="CT33" s="356" t="n">
        <f aca="false">IFERROR(IF($M33=CS33,($D$8+$D$9+$D$10)*$I33,IF($N33=LEFT(CS33,1),($D$8+MAX(0,IF($D$50=1,$D$9*(1-(ABS($Q33-ABS(VALUE(MID(CS33,FIND("|",CS33)+1,FIND("-",CS33)-FIND("|",CS33)-1))-VALUE(MID(CS33,FIND("-",CS33)+1,10)))))*$D$50),$D$9*(1-(IF($N33="X",ABS($O33-VALUE(MID(CS33,FIND("|",CS33)+1,FIND("-",CS33)-FIND("|",CS33)-1))),ABS($Q33-ABS(VALUE(MID(CS33,FIND("|",CS33)+1,FIND("-",CS33)-FIND("|",CS33)-1))-VALUE(MID(CS33,FIND("-",CS33)+1,10)))))*$D$50)))))*$I33,0)),0)</f>
        <v>0</v>
      </c>
      <c r="CU33" s="338"/>
      <c r="CV33" s="363"/>
      <c r="CW33" s="356" t="n">
        <f aca="false">IFERROR(IF($M33=CV33,($D$8+$D$9+$D$10)*$I33,IF($N33=LEFT(CV33,1),($D$8+MAX(0,IF($D$50=1,$D$9*(1-(ABS($Q33-ABS(VALUE(MID(CV33,FIND("|",CV33)+1,FIND("-",CV33)-FIND("|",CV33)-1))-VALUE(MID(CV33,FIND("-",CV33)+1,10)))))*$D$50),$D$9*(1-(IF($N33="X",ABS($O33-VALUE(MID(CV33,FIND("|",CV33)+1,FIND("-",CV33)-FIND("|",CV33)-1))),ABS($Q33-ABS(VALUE(MID(CV33,FIND("|",CV33)+1,FIND("-",CV33)-FIND("|",CV33)-1))-VALUE(MID(CV33,FIND("-",CV33)+1,10)))))*$D$50)))))*$I33,0)),0)</f>
        <v>0</v>
      </c>
      <c r="CX33" s="338"/>
      <c r="CY33" s="363"/>
      <c r="CZ33" s="356" t="n">
        <f aca="false">IFERROR(IF($M33=CY33,($D$8+$D$9+$D$10)*$I33,IF($N33=LEFT(CY33,1),($D$8+MAX(0,IF($D$50=1,$D$9*(1-(ABS($Q33-ABS(VALUE(MID(CY33,FIND("|",CY33)+1,FIND("-",CY33)-FIND("|",CY33)-1))-VALUE(MID(CY33,FIND("-",CY33)+1,10)))))*$D$50),$D$9*(1-(IF($N33="X",ABS($O33-VALUE(MID(CY33,FIND("|",CY33)+1,FIND("-",CY33)-FIND("|",CY33)-1))),ABS($Q33-ABS(VALUE(MID(CY33,FIND("|",CY33)+1,FIND("-",CY33)-FIND("|",CY33)-1))-VALUE(MID(CY33,FIND("-",CY33)+1,10)))))*$D$50)))))*$I33,0)),0)</f>
        <v>0</v>
      </c>
      <c r="DA33" s="338"/>
      <c r="DB33" s="363"/>
      <c r="DC33" s="356" t="n">
        <f aca="false">IFERROR(IF($M33=DB33,($D$8+$D$9+$D$10)*$I33,IF($N33=LEFT(DB33,1),($D$8+MAX(0,IF($D$50=1,$D$9*(1-(ABS($Q33-ABS(VALUE(MID(DB33,FIND("|",DB33)+1,FIND("-",DB33)-FIND("|",DB33)-1))-VALUE(MID(DB33,FIND("-",DB33)+1,10)))))*$D$50),$D$9*(1-(IF($N33="X",ABS($O33-VALUE(MID(DB33,FIND("|",DB33)+1,FIND("-",DB33)-FIND("|",DB33)-1))),ABS($Q33-ABS(VALUE(MID(DB33,FIND("|",DB33)+1,FIND("-",DB33)-FIND("|",DB33)-1))-VALUE(MID(DB33,FIND("-",DB33)+1,10)))))*$D$50)))))*$I33,0)),0)</f>
        <v>0</v>
      </c>
      <c r="DD33" s="338"/>
      <c r="DE33" s="363"/>
      <c r="DF33" s="356" t="n">
        <f aca="false">IFERROR(IF($M33=DE33,($D$8+$D$9+$D$10)*$I33,IF($N33=LEFT(DE33,1),($D$8+MAX(0,IF($D$50=1,$D$9*(1-(ABS($Q33-ABS(VALUE(MID(DE33,FIND("|",DE33)+1,FIND("-",DE33)-FIND("|",DE33)-1))-VALUE(MID(DE33,FIND("-",DE33)+1,10)))))*$D$50),$D$9*(1-(IF($N33="X",ABS($O33-VALUE(MID(DE33,FIND("|",DE33)+1,FIND("-",DE33)-FIND("|",DE33)-1))),ABS($Q33-ABS(VALUE(MID(DE33,FIND("|",DE33)+1,FIND("-",DE33)-FIND("|",DE33)-1))-VALUE(MID(DE33,FIND("-",DE33)+1,10)))))*$D$50)))))*$I33,0)),0)</f>
        <v>0</v>
      </c>
      <c r="DG33" s="338"/>
      <c r="DH33" s="363"/>
      <c r="DI33" s="356" t="n">
        <f aca="false">IFERROR(IF($M33=DH33,($D$8+$D$9+$D$10)*$I33,IF($N33=LEFT(DH33,1),($D$8+MAX(0,IF($D$50=1,$D$9*(1-(ABS($Q33-ABS(VALUE(MID(DH33,FIND("|",DH33)+1,FIND("-",DH33)-FIND("|",DH33)-1))-VALUE(MID(DH33,FIND("-",DH33)+1,10)))))*$D$50),$D$9*(1-(IF($N33="X",ABS($O33-VALUE(MID(DH33,FIND("|",DH33)+1,FIND("-",DH33)-FIND("|",DH33)-1))),ABS($Q33-ABS(VALUE(MID(DH33,FIND("|",DH33)+1,FIND("-",DH33)-FIND("|",DH33)-1))-VALUE(MID(DH33,FIND("-",DH33)+1,10)))))*$D$50)))))*$I33,0)),0)</f>
        <v>0</v>
      </c>
      <c r="DJ33" s="338"/>
      <c r="DK33" s="363"/>
      <c r="DL33" s="356" t="n">
        <f aca="false">IFERROR(IF($M33=DK33,($D$8+$D$9+$D$10)*$I33,IF($N33=LEFT(DK33,1),($D$8+MAX(0,IF($D$50=1,$D$9*(1-(ABS($Q33-ABS(VALUE(MID(DK33,FIND("|",DK33)+1,FIND("-",DK33)-FIND("|",DK33)-1))-VALUE(MID(DK33,FIND("-",DK33)+1,10)))))*$D$50),$D$9*(1-(IF($N33="X",ABS($O33-VALUE(MID(DK33,FIND("|",DK33)+1,FIND("-",DK33)-FIND("|",DK33)-1))),ABS($Q33-ABS(VALUE(MID(DK33,FIND("|",DK33)+1,FIND("-",DK33)-FIND("|",DK33)-1))-VALUE(MID(DK33,FIND("-",DK33)+1,10)))))*$D$50)))))*$I33,0)),0)</f>
        <v>0</v>
      </c>
      <c r="DM33" s="338"/>
      <c r="DN33" s="363"/>
      <c r="DO33" s="356" t="n">
        <f aca="false">IFERROR(IF($M33=DN33,($D$8+$D$9+$D$10)*$I33,IF($N33=LEFT(DN33,1),($D$8+MAX(0,IF($D$50=1,$D$9*(1-(ABS($Q33-ABS(VALUE(MID(DN33,FIND("|",DN33)+1,FIND("-",DN33)-FIND("|",DN33)-1))-VALUE(MID(DN33,FIND("-",DN33)+1,10)))))*$D$50),$D$9*(1-(IF($N33="X",ABS($O33-VALUE(MID(DN33,FIND("|",DN33)+1,FIND("-",DN33)-FIND("|",DN33)-1))),ABS($Q33-ABS(VALUE(MID(DN33,FIND("|",DN33)+1,FIND("-",DN33)-FIND("|",DN33)-1))-VALUE(MID(DN33,FIND("-",DN33)+1,10)))))*$D$50)))))*$I33,0)),0)</f>
        <v>0</v>
      </c>
      <c r="DP33" s="338"/>
      <c r="DQ33" s="363"/>
      <c r="DR33" s="356" t="n">
        <f aca="false">IFERROR(IF($M33=DQ33,($D$8+$D$9+$D$10)*$I33,IF($N33=LEFT(DQ33,1),($D$8+MAX(0,IF($D$50=1,$D$9*(1-(ABS($Q33-ABS(VALUE(MID(DQ33,FIND("|",DQ33)+1,FIND("-",DQ33)-FIND("|",DQ33)-1))-VALUE(MID(DQ33,FIND("-",DQ33)+1,10)))))*$D$50),$D$9*(1-(IF($N33="X",ABS($O33-VALUE(MID(DQ33,FIND("|",DQ33)+1,FIND("-",DQ33)-FIND("|",DQ33)-1))),ABS($Q33-ABS(VALUE(MID(DQ33,FIND("|",DQ33)+1,FIND("-",DQ33)-FIND("|",DQ33)-1))-VALUE(MID(DQ33,FIND("-",DQ33)+1,10)))))*$D$50)))))*$I33,0)),0)</f>
        <v>0</v>
      </c>
      <c r="DS33" s="338"/>
      <c r="DT33" s="363"/>
      <c r="DU33" s="356" t="n">
        <f aca="false">IFERROR(IF($M33=DT33,($D$8+$D$9+$D$10)*$I33,IF($N33=LEFT(DT33,1),($D$8+MAX(0,IF($D$50=1,$D$9*(1-(ABS($Q33-ABS(VALUE(MID(DT33,FIND("|",DT33)+1,FIND("-",DT33)-FIND("|",DT33)-1))-VALUE(MID(DT33,FIND("-",DT33)+1,10)))))*$D$50),$D$9*(1-(IF($N33="X",ABS($O33-VALUE(MID(DT33,FIND("|",DT33)+1,FIND("-",DT33)-FIND("|",DT33)-1))),ABS($Q33-ABS(VALUE(MID(DT33,FIND("|",DT33)+1,FIND("-",DT33)-FIND("|",DT33)-1))-VALUE(MID(DT33,FIND("-",DT33)+1,10)))))*$D$50)))))*$I33,0)),0)</f>
        <v>0</v>
      </c>
      <c r="DV33" s="338"/>
      <c r="DW33" s="363"/>
      <c r="DX33" s="356" t="n">
        <f aca="false">IFERROR(IF($M33=DW33,($D$8+$D$9+$D$10)*$I33,IF($N33=LEFT(DW33,1),($D$8+MAX(0,IF($D$50=1,$D$9*(1-(ABS($Q33-ABS(VALUE(MID(DW33,FIND("|",DW33)+1,FIND("-",DW33)-FIND("|",DW33)-1))-VALUE(MID(DW33,FIND("-",DW33)+1,10)))))*$D$50),$D$9*(1-(IF($N33="X",ABS($O33-VALUE(MID(DW33,FIND("|",DW33)+1,FIND("-",DW33)-FIND("|",DW33)-1))),ABS($Q33-ABS(VALUE(MID(DW33,FIND("|",DW33)+1,FIND("-",DW33)-FIND("|",DW33)-1))-VALUE(MID(DW33,FIND("-",DW33)+1,10)))))*$D$50)))))*$I33,0)),0)</f>
        <v>0</v>
      </c>
      <c r="DY33" s="338"/>
      <c r="DZ33" s="363"/>
      <c r="EA33" s="356" t="n">
        <f aca="false">IFERROR(IF($M33=DZ33,($D$8+$D$9+$D$10)*$I33,IF($N33=LEFT(DZ33,1),($D$8+MAX(0,IF($D$50=1,$D$9*(1-(ABS($Q33-ABS(VALUE(MID(DZ33,FIND("|",DZ33)+1,FIND("-",DZ33)-FIND("|",DZ33)-1))-VALUE(MID(DZ33,FIND("-",DZ33)+1,10)))))*$D$50),$D$9*(1-(IF($N33="X",ABS($O33-VALUE(MID(DZ33,FIND("|",DZ33)+1,FIND("-",DZ33)-FIND("|",DZ33)-1))),ABS($Q33-ABS(VALUE(MID(DZ33,FIND("|",DZ33)+1,FIND("-",DZ33)-FIND("|",DZ33)-1))-VALUE(MID(DZ33,FIND("-",DZ33)+1,10)))))*$D$50)))))*$I33,0)),0)</f>
        <v>0</v>
      </c>
      <c r="EB33" s="338"/>
      <c r="EC33" s="363"/>
      <c r="ED33" s="356" t="n">
        <f aca="false">IFERROR(IF($M33=EC33,($D$8+$D$9+$D$10)*$I33,IF($N33=LEFT(EC33,1),($D$8+MAX(0,IF($D$50=1,$D$9*(1-(ABS($Q33-ABS(VALUE(MID(EC33,FIND("|",EC33)+1,FIND("-",EC33)-FIND("|",EC33)-1))-VALUE(MID(EC33,FIND("-",EC33)+1,10)))))*$D$50),$D$9*(1-(IF($N33="X",ABS($O33-VALUE(MID(EC33,FIND("|",EC33)+1,FIND("-",EC33)-FIND("|",EC33)-1))),ABS($Q33-ABS(VALUE(MID(EC33,FIND("|",EC33)+1,FIND("-",EC33)-FIND("|",EC33)-1))-VALUE(MID(EC33,FIND("-",EC33)+1,10)))))*$D$50)))))*$I33,0)),0)</f>
        <v>0</v>
      </c>
      <c r="EE33" s="338"/>
      <c r="EF33" s="363"/>
      <c r="EG33" s="356" t="n">
        <f aca="false">IFERROR(IF($M33=EF33,($D$8+$D$9+$D$10)*$I33,IF($N33=LEFT(EF33,1),($D$8+MAX(0,IF($D$50=1,$D$9*(1-(ABS($Q33-ABS(VALUE(MID(EF33,FIND("|",EF33)+1,FIND("-",EF33)-FIND("|",EF33)-1))-VALUE(MID(EF33,FIND("-",EF33)+1,10)))))*$D$50),$D$9*(1-(IF($N33="X",ABS($O33-VALUE(MID(EF33,FIND("|",EF33)+1,FIND("-",EF33)-FIND("|",EF33)-1))),ABS($Q33-ABS(VALUE(MID(EF33,FIND("|",EF33)+1,FIND("-",EF33)-FIND("|",EF33)-1))-VALUE(MID(EF33,FIND("-",EF33)+1,10)))))*$D$50)))))*$I33,0)),0)</f>
        <v>0</v>
      </c>
      <c r="EH33" s="338"/>
      <c r="EI33" s="338"/>
    </row>
    <row r="34" customFormat="false" ht="15" hidden="false" customHeight="false" outlineLevel="0" collapsed="false">
      <c r="A34" s="327"/>
      <c r="B34" s="327"/>
      <c r="C34" s="360" t="str">
        <f aca="false">Idiomas!D330&amp;"**"</f>
        <v>3ºy4º PUESTO - Diferencia/Distancia de goles (Con 1X2 acertado)**</v>
      </c>
      <c r="D34" s="361" t="n">
        <v>2</v>
      </c>
      <c r="E34" s="334"/>
      <c r="F34" s="343" t="n">
        <f aca="false">SUM($D$8:$D$10)*I34</f>
        <v>17</v>
      </c>
      <c r="G34" s="343" t="n">
        <f aca="false">VLOOKUP(H34,Equipos!$Q$1:$R$25,2,0)</f>
        <v>10</v>
      </c>
      <c r="H34" s="351" t="n">
        <f aca="false">TRUNC(INDEX(WORLDCUP!$X$4:$X$147,MATCH(ADMIN!K34,WORLDCUP!$DT$4:$DT$147,0))+INDEX(Horarios!$R$3:$R$86,MATCH(Horarios!$C$3,Horarios!$P$3:$P$86,0))/24)</f>
        <v>46193</v>
      </c>
      <c r="I34" s="352" t="n">
        <v>1</v>
      </c>
      <c r="J34" s="353" t="s">
        <v>298</v>
      </c>
      <c r="K34" s="354" t="str">
        <f aca="false">CONCATENATE(WORLDCUP!AA22,"-",WORLDCUP!AF22)</f>
        <v>Escocia-Marruecos</v>
      </c>
      <c r="L34" s="354"/>
      <c r="M34" s="359" t="str">
        <f aca="false">IF(OR(WORLDCUP!AC22="",WORLDCUP!AD22=""),"-",N34&amp;"|"&amp;O34&amp;"-"&amp;P34)</f>
        <v>-</v>
      </c>
      <c r="N34" s="332" t="str">
        <f aca="false">IF(OR(WORLDCUP!AC22="",WORLDCUP!AD22=""),"",IF(WORLDCUP!AC22&gt;WORLDCUP!AD22,"1",IF(WORLDCUP!AC22&lt;WORLDCUP!AD22,"2","X")))</f>
        <v/>
      </c>
      <c r="O34" s="332" t="n">
        <f aca="false">WORLDCUP!AC22</f>
        <v>0</v>
      </c>
      <c r="P34" s="332" t="n">
        <f aca="false">WORLDCUP!AD22</f>
        <v>0</v>
      </c>
      <c r="Q34" s="332" t="n">
        <f aca="false">ABS(O34-P34)</f>
        <v>0</v>
      </c>
      <c r="R34" s="327"/>
      <c r="S34" s="363" t="s">
        <v>277</v>
      </c>
      <c r="T34" s="356" t="n">
        <f aca="false">IFERROR(IF($M34=S34,($D$8+$D$9+$D$10)*$I34,IF($N34=LEFT(S34,1),($D$8+MAX(0,IF($D$50=1,$D$9*(1-(ABS($Q34-ABS(VALUE(MID(S34,FIND("|",S34)+1,FIND("-",S34)-FIND("|",S34)-1))-VALUE(MID(S34,FIND("-",S34)+1,10)))))*$D$50),$D$9*(1-(IF($N34="X",ABS($O34-VALUE(MID(S34,FIND("|",S34)+1,FIND("-",S34)-FIND("|",S34)-1))),ABS($Q34-ABS(VALUE(MID(S34,FIND("|",S34)+1,FIND("-",S34)-FIND("|",S34)-1))-VALUE(MID(S34,FIND("-",S34)+1,10)))))*$D$50)))))*$I34,0)),0)</f>
        <v>0</v>
      </c>
      <c r="U34" s="338"/>
      <c r="V34" s="363" t="s">
        <v>274</v>
      </c>
      <c r="W34" s="356" t="n">
        <f aca="false">IFERROR(IF($M34=V34,($D$8+$D$9+$D$10)*$I34,IF($N34=LEFT(V34,1),($D$8+MAX(0,IF($D$50=1,$D$9*(1-(ABS($Q34-ABS(VALUE(MID(V34,FIND("|",V34)+1,FIND("-",V34)-FIND("|",V34)-1))-VALUE(MID(V34,FIND("-",V34)+1,10)))))*$D$50),$D$9*(1-(IF($N34="X",ABS($O34-VALUE(MID(V34,FIND("|",V34)+1,FIND("-",V34)-FIND("|",V34)-1))),ABS($Q34-ABS(VALUE(MID(V34,FIND("|",V34)+1,FIND("-",V34)-FIND("|",V34)-1))-VALUE(MID(V34,FIND("-",V34)+1,10)))))*$D$50)))))*$I34,0)),0)</f>
        <v>0</v>
      </c>
      <c r="X34" s="338"/>
      <c r="Y34" s="363" t="s">
        <v>271</v>
      </c>
      <c r="Z34" s="356" t="n">
        <f aca="false">IFERROR(IF($M34=Y34,($D$8+$D$9+$D$10)*$I34,IF($N34=LEFT(Y34,1),($D$8+MAX(0,IF($D$50=1,$D$9*(1-(ABS($Q34-ABS(VALUE(MID(Y34,FIND("|",Y34)+1,FIND("-",Y34)-FIND("|",Y34)-1))-VALUE(MID(Y34,FIND("-",Y34)+1,10)))))*$D$50),$D$9*(1-(IF($N34="X",ABS($O34-VALUE(MID(Y34,FIND("|",Y34)+1,FIND("-",Y34)-FIND("|",Y34)-1))),ABS($Q34-ABS(VALUE(MID(Y34,FIND("|",Y34)+1,FIND("-",Y34)-FIND("|",Y34)-1))-VALUE(MID(Y34,FIND("-",Y34)+1,10)))))*$D$50)))))*$I34,0)),0)</f>
        <v>0</v>
      </c>
      <c r="AA34" s="338"/>
      <c r="AB34" s="363" t="s">
        <v>267</v>
      </c>
      <c r="AC34" s="356" t="n">
        <f aca="false">IFERROR(IF($M34=AB34,($D$8+$D$9+$D$10)*$I34,IF($N34=LEFT(AB34,1),($D$8+MAX(0,IF($D$50=1,$D$9*(1-(ABS($Q34-ABS(VALUE(MID(AB34,FIND("|",AB34)+1,FIND("-",AB34)-FIND("|",AB34)-1))-VALUE(MID(AB34,FIND("-",AB34)+1,10)))))*$D$50),$D$9*(1-(IF($N34="X",ABS($O34-VALUE(MID(AB34,FIND("|",AB34)+1,FIND("-",AB34)-FIND("|",AB34)-1))),ABS($Q34-ABS(VALUE(MID(AB34,FIND("|",AB34)+1,FIND("-",AB34)-FIND("|",AB34)-1))-VALUE(MID(AB34,FIND("-",AB34)+1,10)))))*$D$50)))))*$I34,0)),0)</f>
        <v>0</v>
      </c>
      <c r="AD34" s="338"/>
      <c r="AE34" s="363" t="s">
        <v>268</v>
      </c>
      <c r="AF34" s="356" t="n">
        <f aca="false">IFERROR(IF($M34=AE34,($D$8+$D$9+$D$10)*$I34,IF($N34=LEFT(AE34,1),($D$8+MAX(0,IF($D$50=1,$D$9*(1-(ABS($Q34-ABS(VALUE(MID(AE34,FIND("|",AE34)+1,FIND("-",AE34)-FIND("|",AE34)-1))-VALUE(MID(AE34,FIND("-",AE34)+1,10)))))*$D$50),$D$9*(1-(IF($N34="X",ABS($O34-VALUE(MID(AE34,FIND("|",AE34)+1,FIND("-",AE34)-FIND("|",AE34)-1))),ABS($Q34-ABS(VALUE(MID(AE34,FIND("|",AE34)+1,FIND("-",AE34)-FIND("|",AE34)-1))-VALUE(MID(AE34,FIND("-",AE34)+1,10)))))*$D$50)))))*$I34,0)),0)</f>
        <v>0</v>
      </c>
      <c r="AG34" s="338"/>
      <c r="AH34" s="363" t="s">
        <v>267</v>
      </c>
      <c r="AI34" s="356" t="n">
        <f aca="false">IFERROR(IF($M34=AH34,($D$8+$D$9+$D$10)*$I34,IF($N34=LEFT(AH34,1),($D$8+MAX(0,IF($D$50=1,$D$9*(1-(ABS($Q34-ABS(VALUE(MID(AH34,FIND("|",AH34)+1,FIND("-",AH34)-FIND("|",AH34)-1))-VALUE(MID(AH34,FIND("-",AH34)+1,10)))))*$D$50),$D$9*(1-(IF($N34="X",ABS($O34-VALUE(MID(AH34,FIND("|",AH34)+1,FIND("-",AH34)-FIND("|",AH34)-1))),ABS($Q34-ABS(VALUE(MID(AH34,FIND("|",AH34)+1,FIND("-",AH34)-FIND("|",AH34)-1))-VALUE(MID(AH34,FIND("-",AH34)+1,10)))))*$D$50)))))*$I34,0)),0)</f>
        <v>0</v>
      </c>
      <c r="AJ34" s="338"/>
      <c r="AK34" s="363" t="s">
        <v>267</v>
      </c>
      <c r="AL34" s="356" t="n">
        <f aca="false">IFERROR(IF($M34=AK34,($D$8+$D$9+$D$10)*$I34,IF($N34=LEFT(AK34,1),($D$8+MAX(0,IF($D$50=1,$D$9*(1-(ABS($Q34-ABS(VALUE(MID(AK34,FIND("|",AK34)+1,FIND("-",AK34)-FIND("|",AK34)-1))-VALUE(MID(AK34,FIND("-",AK34)+1,10)))))*$D$50),$D$9*(1-(IF($N34="X",ABS($O34-VALUE(MID(AK34,FIND("|",AK34)+1,FIND("-",AK34)-FIND("|",AK34)-1))),ABS($Q34-ABS(VALUE(MID(AK34,FIND("|",AK34)+1,FIND("-",AK34)-FIND("|",AK34)-1))-VALUE(MID(AK34,FIND("-",AK34)+1,10)))))*$D$50)))))*$I34,0)),0)</f>
        <v>0</v>
      </c>
      <c r="AM34" s="338"/>
      <c r="AN34" s="363" t="s">
        <v>271</v>
      </c>
      <c r="AO34" s="356" t="n">
        <f aca="false">IFERROR(IF($M34=AN34,($D$8+$D$9+$D$10)*$I34,IF($N34=LEFT(AN34,1),($D$8+MAX(0,IF($D$50=1,$D$9*(1-(ABS($Q34-ABS(VALUE(MID(AN34,FIND("|",AN34)+1,FIND("-",AN34)-FIND("|",AN34)-1))-VALUE(MID(AN34,FIND("-",AN34)+1,10)))))*$D$50),$D$9*(1-(IF($N34="X",ABS($O34-VALUE(MID(AN34,FIND("|",AN34)+1,FIND("-",AN34)-FIND("|",AN34)-1))),ABS($Q34-ABS(VALUE(MID(AN34,FIND("|",AN34)+1,FIND("-",AN34)-FIND("|",AN34)-1))-VALUE(MID(AN34,FIND("-",AN34)+1,10)))))*$D$50)))))*$I34,0)),0)</f>
        <v>0</v>
      </c>
      <c r="AP34" s="338"/>
      <c r="AQ34" s="363" t="s">
        <v>268</v>
      </c>
      <c r="AR34" s="356" t="n">
        <f aca="false">IFERROR(IF($M34=AQ34,($D$8+$D$9+$D$10)*$I34,IF($N34=LEFT(AQ34,1),($D$8+MAX(0,IF($D$50=1,$D$9*(1-(ABS($Q34-ABS(VALUE(MID(AQ34,FIND("|",AQ34)+1,FIND("-",AQ34)-FIND("|",AQ34)-1))-VALUE(MID(AQ34,FIND("-",AQ34)+1,10)))))*$D$50),$D$9*(1-(IF($N34="X",ABS($O34-VALUE(MID(AQ34,FIND("|",AQ34)+1,FIND("-",AQ34)-FIND("|",AQ34)-1))),ABS($Q34-ABS(VALUE(MID(AQ34,FIND("|",AQ34)+1,FIND("-",AQ34)-FIND("|",AQ34)-1))-VALUE(MID(AQ34,FIND("-",AQ34)+1,10)))))*$D$50)))))*$I34,0)),0)</f>
        <v>0</v>
      </c>
      <c r="AS34" s="338"/>
      <c r="AT34" s="363" t="s">
        <v>268</v>
      </c>
      <c r="AU34" s="356" t="n">
        <f aca="false">IFERROR(IF($M34=AT34,($D$8+$D$9+$D$10)*$I34,IF($N34=LEFT(AT34,1),($D$8+MAX(0,IF($D$50=1,$D$9*(1-(ABS($Q34-ABS(VALUE(MID(AT34,FIND("|",AT34)+1,FIND("-",AT34)-FIND("|",AT34)-1))-VALUE(MID(AT34,FIND("-",AT34)+1,10)))))*$D$50),$D$9*(1-(IF($N34="X",ABS($O34-VALUE(MID(AT34,FIND("|",AT34)+1,FIND("-",AT34)-FIND("|",AT34)-1))),ABS($Q34-ABS(VALUE(MID(AT34,FIND("|",AT34)+1,FIND("-",AT34)-FIND("|",AT34)-1))-VALUE(MID(AT34,FIND("-",AT34)+1,10)))))*$D$50)))))*$I34,0)),0)</f>
        <v>0</v>
      </c>
      <c r="AV34" s="338"/>
      <c r="AW34" s="363" t="s">
        <v>268</v>
      </c>
      <c r="AX34" s="356" t="n">
        <f aca="false">IFERROR(IF($M34=AW34,($D$8+$D$9+$D$10)*$I34,IF($N34=LEFT(AW34,1),($D$8+MAX(0,IF($D$50=1,$D$9*(1-(ABS($Q34-ABS(VALUE(MID(AW34,FIND("|",AW34)+1,FIND("-",AW34)-FIND("|",AW34)-1))-VALUE(MID(AW34,FIND("-",AW34)+1,10)))))*$D$50),$D$9*(1-(IF($N34="X",ABS($O34-VALUE(MID(AW34,FIND("|",AW34)+1,FIND("-",AW34)-FIND("|",AW34)-1))),ABS($Q34-ABS(VALUE(MID(AW34,FIND("|",AW34)+1,FIND("-",AW34)-FIND("|",AW34)-1))-VALUE(MID(AW34,FIND("-",AW34)+1,10)))))*$D$50)))))*$I34,0)),0)</f>
        <v>0</v>
      </c>
      <c r="AY34" s="338"/>
      <c r="AZ34" s="363" t="s">
        <v>271</v>
      </c>
      <c r="BA34" s="356" t="n">
        <f aca="false">IFERROR(IF($M34=AZ34,($D$8+$D$9+$D$10)*$I34,IF($N34=LEFT(AZ34,1),($D$8+MAX(0,IF($D$50=1,$D$9*(1-(ABS($Q34-ABS(VALUE(MID(AZ34,FIND("|",AZ34)+1,FIND("-",AZ34)-FIND("|",AZ34)-1))-VALUE(MID(AZ34,FIND("-",AZ34)+1,10)))))*$D$50),$D$9*(1-(IF($N34="X",ABS($O34-VALUE(MID(AZ34,FIND("|",AZ34)+1,FIND("-",AZ34)-FIND("|",AZ34)-1))),ABS($Q34-ABS(VALUE(MID(AZ34,FIND("|",AZ34)+1,FIND("-",AZ34)-FIND("|",AZ34)-1))-VALUE(MID(AZ34,FIND("-",AZ34)+1,10)))))*$D$50)))))*$I34,0)),0)</f>
        <v>0</v>
      </c>
      <c r="BB34" s="338"/>
      <c r="BC34" s="363" t="s">
        <v>274</v>
      </c>
      <c r="BD34" s="356" t="n">
        <f aca="false">IFERROR(IF($M34=BC34,($D$8+$D$9+$D$10)*$I34,IF($N34=LEFT(BC34,1),($D$8+MAX(0,IF($D$50=1,$D$9*(1-(ABS($Q34-ABS(VALUE(MID(BC34,FIND("|",BC34)+1,FIND("-",BC34)-FIND("|",BC34)-1))-VALUE(MID(BC34,FIND("-",BC34)+1,10)))))*$D$50),$D$9*(1-(IF($N34="X",ABS($O34-VALUE(MID(BC34,FIND("|",BC34)+1,FIND("-",BC34)-FIND("|",BC34)-1))),ABS($Q34-ABS(VALUE(MID(BC34,FIND("|",BC34)+1,FIND("-",BC34)-FIND("|",BC34)-1))-VALUE(MID(BC34,FIND("-",BC34)+1,10)))))*$D$50)))))*$I34,0)),0)</f>
        <v>0</v>
      </c>
      <c r="BE34" s="338"/>
      <c r="BF34" s="363" t="s">
        <v>274</v>
      </c>
      <c r="BG34" s="356" t="n">
        <f aca="false">IFERROR(IF($M34=BF34,($D$8+$D$9+$D$10)*$I34,IF($N34=LEFT(BF34,1),($D$8+MAX(0,IF($D$50=1,$D$9*(1-(ABS($Q34-ABS(VALUE(MID(BF34,FIND("|",BF34)+1,FIND("-",BF34)-FIND("|",BF34)-1))-VALUE(MID(BF34,FIND("-",BF34)+1,10)))))*$D$50),$D$9*(1-(IF($N34="X",ABS($O34-VALUE(MID(BF34,FIND("|",BF34)+1,FIND("-",BF34)-FIND("|",BF34)-1))),ABS($Q34-ABS(VALUE(MID(BF34,FIND("|",BF34)+1,FIND("-",BF34)-FIND("|",BF34)-1))-VALUE(MID(BF34,FIND("-",BF34)+1,10)))))*$D$50)))))*$I34,0)),0)</f>
        <v>0</v>
      </c>
      <c r="BH34" s="338"/>
      <c r="BI34" s="363" t="s">
        <v>271</v>
      </c>
      <c r="BJ34" s="356" t="n">
        <f aca="false">IFERROR(IF($M34=BI34,($D$8+$D$9+$D$10)*$I34,IF($N34=LEFT(BI34,1),($D$8+MAX(0,IF($D$50=1,$D$9*(1-(ABS($Q34-ABS(VALUE(MID(BI34,FIND("|",BI34)+1,FIND("-",BI34)-FIND("|",BI34)-1))-VALUE(MID(BI34,FIND("-",BI34)+1,10)))))*$D$50),$D$9*(1-(IF($N34="X",ABS($O34-VALUE(MID(BI34,FIND("|",BI34)+1,FIND("-",BI34)-FIND("|",BI34)-1))),ABS($Q34-ABS(VALUE(MID(BI34,FIND("|",BI34)+1,FIND("-",BI34)-FIND("|",BI34)-1))-VALUE(MID(BI34,FIND("-",BI34)+1,10)))))*$D$50)))))*$I34,0)),0)</f>
        <v>0</v>
      </c>
      <c r="BK34" s="338"/>
      <c r="BL34" s="363" t="s">
        <v>274</v>
      </c>
      <c r="BM34" s="356" t="n">
        <f aca="false">IFERROR(IF($M34=BL34,($D$8+$D$9+$D$10)*$I34,IF($N34=LEFT(BL34,1),($D$8+MAX(0,IF($D$50=1,$D$9*(1-(ABS($Q34-ABS(VALUE(MID(BL34,FIND("|",BL34)+1,FIND("-",BL34)-FIND("|",BL34)-1))-VALUE(MID(BL34,FIND("-",BL34)+1,10)))))*$D$50),$D$9*(1-(IF($N34="X",ABS($O34-VALUE(MID(BL34,FIND("|",BL34)+1,FIND("-",BL34)-FIND("|",BL34)-1))),ABS($Q34-ABS(VALUE(MID(BL34,FIND("|",BL34)+1,FIND("-",BL34)-FIND("|",BL34)-1))-VALUE(MID(BL34,FIND("-",BL34)+1,10)))))*$D$50)))))*$I34,0)),0)</f>
        <v>0</v>
      </c>
      <c r="BN34" s="338"/>
      <c r="BO34" s="363" t="s">
        <v>267</v>
      </c>
      <c r="BP34" s="356" t="n">
        <f aca="false">IFERROR(IF($M34=BO34,($D$8+$D$9+$D$10)*$I34,IF($N34=LEFT(BO34,1),($D$8+MAX(0,IF($D$50=1,$D$9*(1-(ABS($Q34-ABS(VALUE(MID(BO34,FIND("|",BO34)+1,FIND("-",BO34)-FIND("|",BO34)-1))-VALUE(MID(BO34,FIND("-",BO34)+1,10)))))*$D$50),$D$9*(1-(IF($N34="X",ABS($O34-VALUE(MID(BO34,FIND("|",BO34)+1,FIND("-",BO34)-FIND("|",BO34)-1))),ABS($Q34-ABS(VALUE(MID(BO34,FIND("|",BO34)+1,FIND("-",BO34)-FIND("|",BO34)-1))-VALUE(MID(BO34,FIND("-",BO34)+1,10)))))*$D$50)))))*$I34,0)),0)</f>
        <v>0</v>
      </c>
      <c r="BQ34" s="338"/>
      <c r="BR34" s="363" t="s">
        <v>271</v>
      </c>
      <c r="BS34" s="356" t="n">
        <f aca="false">IFERROR(IF($M34=BR34,($D$8+$D$9+$D$10)*$I34,IF($N34=LEFT(BR34,1),($D$8+MAX(0,IF($D$50=1,$D$9*(1-(ABS($Q34-ABS(VALUE(MID(BR34,FIND("|",BR34)+1,FIND("-",BR34)-FIND("|",BR34)-1))-VALUE(MID(BR34,FIND("-",BR34)+1,10)))))*$D$50),$D$9*(1-(IF($N34="X",ABS($O34-VALUE(MID(BR34,FIND("|",BR34)+1,FIND("-",BR34)-FIND("|",BR34)-1))),ABS($Q34-ABS(VALUE(MID(BR34,FIND("|",BR34)+1,FIND("-",BR34)-FIND("|",BR34)-1))-VALUE(MID(BR34,FIND("-",BR34)+1,10)))))*$D$50)))))*$I34,0)),0)</f>
        <v>0</v>
      </c>
      <c r="BT34" s="338"/>
      <c r="BU34" s="363"/>
      <c r="BV34" s="356" t="n">
        <f aca="false">IFERROR(IF($M34=BU34,($D$8+$D$9+$D$10)*$I34,IF($N34=LEFT(BU34,1),($D$8+MAX(0,IF($D$50=1,$D$9*(1-(ABS($Q34-ABS(VALUE(MID(BU34,FIND("|",BU34)+1,FIND("-",BU34)-FIND("|",BU34)-1))-VALUE(MID(BU34,FIND("-",BU34)+1,10)))))*$D$50),$D$9*(1-(IF($N34="X",ABS($O34-VALUE(MID(BU34,FIND("|",BU34)+1,FIND("-",BU34)-FIND("|",BU34)-1))),ABS($Q34-ABS(VALUE(MID(BU34,FIND("|",BU34)+1,FIND("-",BU34)-FIND("|",BU34)-1))-VALUE(MID(BU34,FIND("-",BU34)+1,10)))))*$D$50)))))*$I34,0)),0)</f>
        <v>0</v>
      </c>
      <c r="BW34" s="338"/>
      <c r="BX34" s="363"/>
      <c r="BY34" s="356" t="n">
        <f aca="false">IFERROR(IF($M34=BX34,($D$8+$D$9+$D$10)*$I34,IF($N34=LEFT(BX34,1),($D$8+MAX(0,IF($D$50=1,$D$9*(1-(ABS($Q34-ABS(VALUE(MID(BX34,FIND("|",BX34)+1,FIND("-",BX34)-FIND("|",BX34)-1))-VALUE(MID(BX34,FIND("-",BX34)+1,10)))))*$D$50),$D$9*(1-(IF($N34="X",ABS($O34-VALUE(MID(BX34,FIND("|",BX34)+1,FIND("-",BX34)-FIND("|",BX34)-1))),ABS($Q34-ABS(VALUE(MID(BX34,FIND("|",BX34)+1,FIND("-",BX34)-FIND("|",BX34)-1))-VALUE(MID(BX34,FIND("-",BX34)+1,10)))))*$D$50)))))*$I34,0)),0)</f>
        <v>0</v>
      </c>
      <c r="BZ34" s="338"/>
      <c r="CA34" s="363"/>
      <c r="CB34" s="356" t="n">
        <f aca="false">IFERROR(IF($M34=CA34,($D$8+$D$9+$D$10)*$I34,IF($N34=LEFT(CA34,1),($D$8+MAX(0,IF($D$50=1,$D$9*(1-(ABS($Q34-ABS(VALUE(MID(CA34,FIND("|",CA34)+1,FIND("-",CA34)-FIND("|",CA34)-1))-VALUE(MID(CA34,FIND("-",CA34)+1,10)))))*$D$50),$D$9*(1-(IF($N34="X",ABS($O34-VALUE(MID(CA34,FIND("|",CA34)+1,FIND("-",CA34)-FIND("|",CA34)-1))),ABS($Q34-ABS(VALUE(MID(CA34,FIND("|",CA34)+1,FIND("-",CA34)-FIND("|",CA34)-1))-VALUE(MID(CA34,FIND("-",CA34)+1,10)))))*$D$50)))))*$I34,0)),0)</f>
        <v>0</v>
      </c>
      <c r="CC34" s="338"/>
      <c r="CD34" s="363"/>
      <c r="CE34" s="356" t="n">
        <f aca="false">IFERROR(IF($M34=CD34,($D$8+$D$9+$D$10)*$I34,IF($N34=LEFT(CD34,1),($D$8+MAX(0,IF($D$50=1,$D$9*(1-(ABS($Q34-ABS(VALUE(MID(CD34,FIND("|",CD34)+1,FIND("-",CD34)-FIND("|",CD34)-1))-VALUE(MID(CD34,FIND("-",CD34)+1,10)))))*$D$50),$D$9*(1-(IF($N34="X",ABS($O34-VALUE(MID(CD34,FIND("|",CD34)+1,FIND("-",CD34)-FIND("|",CD34)-1))),ABS($Q34-ABS(VALUE(MID(CD34,FIND("|",CD34)+1,FIND("-",CD34)-FIND("|",CD34)-1))-VALUE(MID(CD34,FIND("-",CD34)+1,10)))))*$D$50)))))*$I34,0)),0)</f>
        <v>0</v>
      </c>
      <c r="CF34" s="338"/>
      <c r="CG34" s="363"/>
      <c r="CH34" s="356" t="n">
        <f aca="false">IFERROR(IF($M34=CG34,($D$8+$D$9+$D$10)*$I34,IF($N34=LEFT(CG34,1),($D$8+MAX(0,IF($D$50=1,$D$9*(1-(ABS($Q34-ABS(VALUE(MID(CG34,FIND("|",CG34)+1,FIND("-",CG34)-FIND("|",CG34)-1))-VALUE(MID(CG34,FIND("-",CG34)+1,10)))))*$D$50),$D$9*(1-(IF($N34="X",ABS($O34-VALUE(MID(CG34,FIND("|",CG34)+1,FIND("-",CG34)-FIND("|",CG34)-1))),ABS($Q34-ABS(VALUE(MID(CG34,FIND("|",CG34)+1,FIND("-",CG34)-FIND("|",CG34)-1))-VALUE(MID(CG34,FIND("-",CG34)+1,10)))))*$D$50)))))*$I34,0)),0)</f>
        <v>0</v>
      </c>
      <c r="CI34" s="338"/>
      <c r="CJ34" s="363"/>
      <c r="CK34" s="356" t="n">
        <f aca="false">IFERROR(IF($M34=CJ34,($D$8+$D$9+$D$10)*$I34,IF($N34=LEFT(CJ34,1),($D$8+MAX(0,IF($D$50=1,$D$9*(1-(ABS($Q34-ABS(VALUE(MID(CJ34,FIND("|",CJ34)+1,FIND("-",CJ34)-FIND("|",CJ34)-1))-VALUE(MID(CJ34,FIND("-",CJ34)+1,10)))))*$D$50),$D$9*(1-(IF($N34="X",ABS($O34-VALUE(MID(CJ34,FIND("|",CJ34)+1,FIND("-",CJ34)-FIND("|",CJ34)-1))),ABS($Q34-ABS(VALUE(MID(CJ34,FIND("|",CJ34)+1,FIND("-",CJ34)-FIND("|",CJ34)-1))-VALUE(MID(CJ34,FIND("-",CJ34)+1,10)))))*$D$50)))))*$I34,0)),0)</f>
        <v>0</v>
      </c>
      <c r="CL34" s="338"/>
      <c r="CM34" s="363"/>
      <c r="CN34" s="356" t="n">
        <f aca="false">IFERROR(IF($M34=CM34,($D$8+$D$9+$D$10)*$I34,IF($N34=LEFT(CM34,1),($D$8+MAX(0,IF($D$50=1,$D$9*(1-(ABS($Q34-ABS(VALUE(MID(CM34,FIND("|",CM34)+1,FIND("-",CM34)-FIND("|",CM34)-1))-VALUE(MID(CM34,FIND("-",CM34)+1,10)))))*$D$50),$D$9*(1-(IF($N34="X",ABS($O34-VALUE(MID(CM34,FIND("|",CM34)+1,FIND("-",CM34)-FIND("|",CM34)-1))),ABS($Q34-ABS(VALUE(MID(CM34,FIND("|",CM34)+1,FIND("-",CM34)-FIND("|",CM34)-1))-VALUE(MID(CM34,FIND("-",CM34)+1,10)))))*$D$50)))))*$I34,0)),0)</f>
        <v>0</v>
      </c>
      <c r="CO34" s="338"/>
      <c r="CP34" s="363"/>
      <c r="CQ34" s="356" t="n">
        <f aca="false">IFERROR(IF($M34=CP34,($D$8+$D$9+$D$10)*$I34,IF($N34=LEFT(CP34,1),($D$8+MAX(0,IF($D$50=1,$D$9*(1-(ABS($Q34-ABS(VALUE(MID(CP34,FIND("|",CP34)+1,FIND("-",CP34)-FIND("|",CP34)-1))-VALUE(MID(CP34,FIND("-",CP34)+1,10)))))*$D$50),$D$9*(1-(IF($N34="X",ABS($O34-VALUE(MID(CP34,FIND("|",CP34)+1,FIND("-",CP34)-FIND("|",CP34)-1))),ABS($Q34-ABS(VALUE(MID(CP34,FIND("|",CP34)+1,FIND("-",CP34)-FIND("|",CP34)-1))-VALUE(MID(CP34,FIND("-",CP34)+1,10)))))*$D$50)))))*$I34,0)),0)</f>
        <v>0</v>
      </c>
      <c r="CR34" s="338"/>
      <c r="CS34" s="363"/>
      <c r="CT34" s="356" t="n">
        <f aca="false">IFERROR(IF($M34=CS34,($D$8+$D$9+$D$10)*$I34,IF($N34=LEFT(CS34,1),($D$8+MAX(0,IF($D$50=1,$D$9*(1-(ABS($Q34-ABS(VALUE(MID(CS34,FIND("|",CS34)+1,FIND("-",CS34)-FIND("|",CS34)-1))-VALUE(MID(CS34,FIND("-",CS34)+1,10)))))*$D$50),$D$9*(1-(IF($N34="X",ABS($O34-VALUE(MID(CS34,FIND("|",CS34)+1,FIND("-",CS34)-FIND("|",CS34)-1))),ABS($Q34-ABS(VALUE(MID(CS34,FIND("|",CS34)+1,FIND("-",CS34)-FIND("|",CS34)-1))-VALUE(MID(CS34,FIND("-",CS34)+1,10)))))*$D$50)))))*$I34,0)),0)</f>
        <v>0</v>
      </c>
      <c r="CU34" s="338"/>
      <c r="CV34" s="363"/>
      <c r="CW34" s="356" t="n">
        <f aca="false">IFERROR(IF($M34=CV34,($D$8+$D$9+$D$10)*$I34,IF($N34=LEFT(CV34,1),($D$8+MAX(0,IF($D$50=1,$D$9*(1-(ABS($Q34-ABS(VALUE(MID(CV34,FIND("|",CV34)+1,FIND("-",CV34)-FIND("|",CV34)-1))-VALUE(MID(CV34,FIND("-",CV34)+1,10)))))*$D$50),$D$9*(1-(IF($N34="X",ABS($O34-VALUE(MID(CV34,FIND("|",CV34)+1,FIND("-",CV34)-FIND("|",CV34)-1))),ABS($Q34-ABS(VALUE(MID(CV34,FIND("|",CV34)+1,FIND("-",CV34)-FIND("|",CV34)-1))-VALUE(MID(CV34,FIND("-",CV34)+1,10)))))*$D$50)))))*$I34,0)),0)</f>
        <v>0</v>
      </c>
      <c r="CX34" s="338"/>
      <c r="CY34" s="363"/>
      <c r="CZ34" s="356" t="n">
        <f aca="false">IFERROR(IF($M34=CY34,($D$8+$D$9+$D$10)*$I34,IF($N34=LEFT(CY34,1),($D$8+MAX(0,IF($D$50=1,$D$9*(1-(ABS($Q34-ABS(VALUE(MID(CY34,FIND("|",CY34)+1,FIND("-",CY34)-FIND("|",CY34)-1))-VALUE(MID(CY34,FIND("-",CY34)+1,10)))))*$D$50),$D$9*(1-(IF($N34="X",ABS($O34-VALUE(MID(CY34,FIND("|",CY34)+1,FIND("-",CY34)-FIND("|",CY34)-1))),ABS($Q34-ABS(VALUE(MID(CY34,FIND("|",CY34)+1,FIND("-",CY34)-FIND("|",CY34)-1))-VALUE(MID(CY34,FIND("-",CY34)+1,10)))))*$D$50)))))*$I34,0)),0)</f>
        <v>0</v>
      </c>
      <c r="DA34" s="338"/>
      <c r="DB34" s="363"/>
      <c r="DC34" s="356" t="n">
        <f aca="false">IFERROR(IF($M34=DB34,($D$8+$D$9+$D$10)*$I34,IF($N34=LEFT(DB34,1),($D$8+MAX(0,IF($D$50=1,$D$9*(1-(ABS($Q34-ABS(VALUE(MID(DB34,FIND("|",DB34)+1,FIND("-",DB34)-FIND("|",DB34)-1))-VALUE(MID(DB34,FIND("-",DB34)+1,10)))))*$D$50),$D$9*(1-(IF($N34="X",ABS($O34-VALUE(MID(DB34,FIND("|",DB34)+1,FIND("-",DB34)-FIND("|",DB34)-1))),ABS($Q34-ABS(VALUE(MID(DB34,FIND("|",DB34)+1,FIND("-",DB34)-FIND("|",DB34)-1))-VALUE(MID(DB34,FIND("-",DB34)+1,10)))))*$D$50)))))*$I34,0)),0)</f>
        <v>0</v>
      </c>
      <c r="DD34" s="338"/>
      <c r="DE34" s="363"/>
      <c r="DF34" s="356" t="n">
        <f aca="false">IFERROR(IF($M34=DE34,($D$8+$D$9+$D$10)*$I34,IF($N34=LEFT(DE34,1),($D$8+MAX(0,IF($D$50=1,$D$9*(1-(ABS($Q34-ABS(VALUE(MID(DE34,FIND("|",DE34)+1,FIND("-",DE34)-FIND("|",DE34)-1))-VALUE(MID(DE34,FIND("-",DE34)+1,10)))))*$D$50),$D$9*(1-(IF($N34="X",ABS($O34-VALUE(MID(DE34,FIND("|",DE34)+1,FIND("-",DE34)-FIND("|",DE34)-1))),ABS($Q34-ABS(VALUE(MID(DE34,FIND("|",DE34)+1,FIND("-",DE34)-FIND("|",DE34)-1))-VALUE(MID(DE34,FIND("-",DE34)+1,10)))))*$D$50)))))*$I34,0)),0)</f>
        <v>0</v>
      </c>
      <c r="DG34" s="338"/>
      <c r="DH34" s="363"/>
      <c r="DI34" s="356" t="n">
        <f aca="false">IFERROR(IF($M34=DH34,($D$8+$D$9+$D$10)*$I34,IF($N34=LEFT(DH34,1),($D$8+MAX(0,IF($D$50=1,$D$9*(1-(ABS($Q34-ABS(VALUE(MID(DH34,FIND("|",DH34)+1,FIND("-",DH34)-FIND("|",DH34)-1))-VALUE(MID(DH34,FIND("-",DH34)+1,10)))))*$D$50),$D$9*(1-(IF($N34="X",ABS($O34-VALUE(MID(DH34,FIND("|",DH34)+1,FIND("-",DH34)-FIND("|",DH34)-1))),ABS($Q34-ABS(VALUE(MID(DH34,FIND("|",DH34)+1,FIND("-",DH34)-FIND("|",DH34)-1))-VALUE(MID(DH34,FIND("-",DH34)+1,10)))))*$D$50)))))*$I34,0)),0)</f>
        <v>0</v>
      </c>
      <c r="DJ34" s="338"/>
      <c r="DK34" s="363"/>
      <c r="DL34" s="356" t="n">
        <f aca="false">IFERROR(IF($M34=DK34,($D$8+$D$9+$D$10)*$I34,IF($N34=LEFT(DK34,1),($D$8+MAX(0,IF($D$50=1,$D$9*(1-(ABS($Q34-ABS(VALUE(MID(DK34,FIND("|",DK34)+1,FIND("-",DK34)-FIND("|",DK34)-1))-VALUE(MID(DK34,FIND("-",DK34)+1,10)))))*$D$50),$D$9*(1-(IF($N34="X",ABS($O34-VALUE(MID(DK34,FIND("|",DK34)+1,FIND("-",DK34)-FIND("|",DK34)-1))),ABS($Q34-ABS(VALUE(MID(DK34,FIND("|",DK34)+1,FIND("-",DK34)-FIND("|",DK34)-1))-VALUE(MID(DK34,FIND("-",DK34)+1,10)))))*$D$50)))))*$I34,0)),0)</f>
        <v>0</v>
      </c>
      <c r="DM34" s="338"/>
      <c r="DN34" s="363"/>
      <c r="DO34" s="356" t="n">
        <f aca="false">IFERROR(IF($M34=DN34,($D$8+$D$9+$D$10)*$I34,IF($N34=LEFT(DN34,1),($D$8+MAX(0,IF($D$50=1,$D$9*(1-(ABS($Q34-ABS(VALUE(MID(DN34,FIND("|",DN34)+1,FIND("-",DN34)-FIND("|",DN34)-1))-VALUE(MID(DN34,FIND("-",DN34)+1,10)))))*$D$50),$D$9*(1-(IF($N34="X",ABS($O34-VALUE(MID(DN34,FIND("|",DN34)+1,FIND("-",DN34)-FIND("|",DN34)-1))),ABS($Q34-ABS(VALUE(MID(DN34,FIND("|",DN34)+1,FIND("-",DN34)-FIND("|",DN34)-1))-VALUE(MID(DN34,FIND("-",DN34)+1,10)))))*$D$50)))))*$I34,0)),0)</f>
        <v>0</v>
      </c>
      <c r="DP34" s="338"/>
      <c r="DQ34" s="363"/>
      <c r="DR34" s="356" t="n">
        <f aca="false">IFERROR(IF($M34=DQ34,($D$8+$D$9+$D$10)*$I34,IF($N34=LEFT(DQ34,1),($D$8+MAX(0,IF($D$50=1,$D$9*(1-(ABS($Q34-ABS(VALUE(MID(DQ34,FIND("|",DQ34)+1,FIND("-",DQ34)-FIND("|",DQ34)-1))-VALUE(MID(DQ34,FIND("-",DQ34)+1,10)))))*$D$50),$D$9*(1-(IF($N34="X",ABS($O34-VALUE(MID(DQ34,FIND("|",DQ34)+1,FIND("-",DQ34)-FIND("|",DQ34)-1))),ABS($Q34-ABS(VALUE(MID(DQ34,FIND("|",DQ34)+1,FIND("-",DQ34)-FIND("|",DQ34)-1))-VALUE(MID(DQ34,FIND("-",DQ34)+1,10)))))*$D$50)))))*$I34,0)),0)</f>
        <v>0</v>
      </c>
      <c r="DS34" s="338"/>
      <c r="DT34" s="363"/>
      <c r="DU34" s="356" t="n">
        <f aca="false">IFERROR(IF($M34=DT34,($D$8+$D$9+$D$10)*$I34,IF($N34=LEFT(DT34,1),($D$8+MAX(0,IF($D$50=1,$D$9*(1-(ABS($Q34-ABS(VALUE(MID(DT34,FIND("|",DT34)+1,FIND("-",DT34)-FIND("|",DT34)-1))-VALUE(MID(DT34,FIND("-",DT34)+1,10)))))*$D$50),$D$9*(1-(IF($N34="X",ABS($O34-VALUE(MID(DT34,FIND("|",DT34)+1,FIND("-",DT34)-FIND("|",DT34)-1))),ABS($Q34-ABS(VALUE(MID(DT34,FIND("|",DT34)+1,FIND("-",DT34)-FIND("|",DT34)-1))-VALUE(MID(DT34,FIND("-",DT34)+1,10)))))*$D$50)))))*$I34,0)),0)</f>
        <v>0</v>
      </c>
      <c r="DV34" s="338"/>
      <c r="DW34" s="363"/>
      <c r="DX34" s="356" t="n">
        <f aca="false">IFERROR(IF($M34=DW34,($D$8+$D$9+$D$10)*$I34,IF($N34=LEFT(DW34,1),($D$8+MAX(0,IF($D$50=1,$D$9*(1-(ABS($Q34-ABS(VALUE(MID(DW34,FIND("|",DW34)+1,FIND("-",DW34)-FIND("|",DW34)-1))-VALUE(MID(DW34,FIND("-",DW34)+1,10)))))*$D$50),$D$9*(1-(IF($N34="X",ABS($O34-VALUE(MID(DW34,FIND("|",DW34)+1,FIND("-",DW34)-FIND("|",DW34)-1))),ABS($Q34-ABS(VALUE(MID(DW34,FIND("|",DW34)+1,FIND("-",DW34)-FIND("|",DW34)-1))-VALUE(MID(DW34,FIND("-",DW34)+1,10)))))*$D$50)))))*$I34,0)),0)</f>
        <v>0</v>
      </c>
      <c r="DY34" s="338"/>
      <c r="DZ34" s="363"/>
      <c r="EA34" s="356" t="n">
        <f aca="false">IFERROR(IF($M34=DZ34,($D$8+$D$9+$D$10)*$I34,IF($N34=LEFT(DZ34,1),($D$8+MAX(0,IF($D$50=1,$D$9*(1-(ABS($Q34-ABS(VALUE(MID(DZ34,FIND("|",DZ34)+1,FIND("-",DZ34)-FIND("|",DZ34)-1))-VALUE(MID(DZ34,FIND("-",DZ34)+1,10)))))*$D$50),$D$9*(1-(IF($N34="X",ABS($O34-VALUE(MID(DZ34,FIND("|",DZ34)+1,FIND("-",DZ34)-FIND("|",DZ34)-1))),ABS($Q34-ABS(VALUE(MID(DZ34,FIND("|",DZ34)+1,FIND("-",DZ34)-FIND("|",DZ34)-1))-VALUE(MID(DZ34,FIND("-",DZ34)+1,10)))))*$D$50)))))*$I34,0)),0)</f>
        <v>0</v>
      </c>
      <c r="EB34" s="338"/>
      <c r="EC34" s="363"/>
      <c r="ED34" s="356" t="n">
        <f aca="false">IFERROR(IF($M34=EC34,($D$8+$D$9+$D$10)*$I34,IF($N34=LEFT(EC34,1),($D$8+MAX(0,IF($D$50=1,$D$9*(1-(ABS($Q34-ABS(VALUE(MID(EC34,FIND("|",EC34)+1,FIND("-",EC34)-FIND("|",EC34)-1))-VALUE(MID(EC34,FIND("-",EC34)+1,10)))))*$D$50),$D$9*(1-(IF($N34="X",ABS($O34-VALUE(MID(EC34,FIND("|",EC34)+1,FIND("-",EC34)-FIND("|",EC34)-1))),ABS($Q34-ABS(VALUE(MID(EC34,FIND("|",EC34)+1,FIND("-",EC34)-FIND("|",EC34)-1))-VALUE(MID(EC34,FIND("-",EC34)+1,10)))))*$D$50)))))*$I34,0)),0)</f>
        <v>0</v>
      </c>
      <c r="EE34" s="338"/>
      <c r="EF34" s="363"/>
      <c r="EG34" s="356" t="n">
        <f aca="false">IFERROR(IF($M34=EF34,($D$8+$D$9+$D$10)*$I34,IF($N34=LEFT(EF34,1),($D$8+MAX(0,IF($D$50=1,$D$9*(1-(ABS($Q34-ABS(VALUE(MID(EF34,FIND("|",EF34)+1,FIND("-",EF34)-FIND("|",EF34)-1))-VALUE(MID(EF34,FIND("-",EF34)+1,10)))))*$D$50),$D$9*(1-(IF($N34="X",ABS($O34-VALUE(MID(EF34,FIND("|",EF34)+1,FIND("-",EF34)-FIND("|",EF34)-1))),ABS($Q34-ABS(VALUE(MID(EF34,FIND("|",EF34)+1,FIND("-",EF34)-FIND("|",EF34)-1))-VALUE(MID(EF34,FIND("-",EF34)+1,10)))))*$D$50)))))*$I34,0)),0)</f>
        <v>0</v>
      </c>
      <c r="EH34" s="338"/>
      <c r="EI34" s="338"/>
    </row>
    <row r="35" customFormat="false" ht="15" hidden="false" customHeight="false" outlineLevel="0" collapsed="false">
      <c r="A35" s="327"/>
      <c r="B35" s="327"/>
      <c r="C35" s="368" t="str">
        <f aca="false">Idiomas!D331</f>
        <v>3ºy4º PUESTO - Resultado exacto</v>
      </c>
      <c r="D35" s="369" t="n">
        <v>10</v>
      </c>
      <c r="E35" s="334"/>
      <c r="F35" s="343" t="n">
        <f aca="false">SUM($D$8:$D$10)*I35</f>
        <v>17</v>
      </c>
      <c r="G35" s="343" t="n">
        <f aca="false">VLOOKUP(H35,Equipos!$Q$1:$R$25,2,0)</f>
        <v>10</v>
      </c>
      <c r="H35" s="351" t="n">
        <f aca="false">TRUNC(INDEX(WORLDCUP!$X$4:$X$147,MATCH(ADMIN!K35,WORLDCUP!$DT$4:$DT$147,0))+INDEX(Horarios!$R$3:$R$86,MATCH(Horarios!$C$3,Horarios!$P$3:$P$86,0))/24)</f>
        <v>46193</v>
      </c>
      <c r="I35" s="352" t="n">
        <v>1</v>
      </c>
      <c r="J35" s="353" t="s">
        <v>298</v>
      </c>
      <c r="K35" s="367" t="str">
        <f aca="false">CONCATENATE(WORLDCUP!AA23,"-",WORLDCUP!AF23)</f>
        <v>Brasil-Haití</v>
      </c>
      <c r="L35" s="354"/>
      <c r="M35" s="359" t="str">
        <f aca="false">IF(OR(WORLDCUP!AC23="",WORLDCUP!AD23=""),"-",N35&amp;"|"&amp;O35&amp;"-"&amp;P35)</f>
        <v>-</v>
      </c>
      <c r="N35" s="332" t="str">
        <f aca="false">IF(OR(WORLDCUP!AC23="",WORLDCUP!AD23=""),"",IF(WORLDCUP!AC23&gt;WORLDCUP!AD23,"1",IF(WORLDCUP!AC23&lt;WORLDCUP!AD23,"2","X")))</f>
        <v/>
      </c>
      <c r="O35" s="332" t="n">
        <f aca="false">WORLDCUP!AC23</f>
        <v>0</v>
      </c>
      <c r="P35" s="332" t="n">
        <f aca="false">WORLDCUP!AD23</f>
        <v>0</v>
      </c>
      <c r="Q35" s="332" t="n">
        <f aca="false">ABS(O35-P35)</f>
        <v>0</v>
      </c>
      <c r="R35" s="327"/>
      <c r="S35" s="363" t="s">
        <v>284</v>
      </c>
      <c r="T35" s="356" t="n">
        <f aca="false">IFERROR(IF($M35=S35,($D$8+$D$9+$D$10)*$I35,IF($N35=LEFT(S35,1),($D$8+MAX(0,IF($D$50=1,$D$9*(1-(ABS($Q35-ABS(VALUE(MID(S35,FIND("|",S35)+1,FIND("-",S35)-FIND("|",S35)-1))-VALUE(MID(S35,FIND("-",S35)+1,10)))))*$D$50),$D$9*(1-(IF($N35="X",ABS($O35-VALUE(MID(S35,FIND("|",S35)+1,FIND("-",S35)-FIND("|",S35)-1))),ABS($Q35-ABS(VALUE(MID(S35,FIND("|",S35)+1,FIND("-",S35)-FIND("|",S35)-1))-VALUE(MID(S35,FIND("-",S35)+1,10)))))*$D$50)))))*$I35,0)),0)</f>
        <v>0</v>
      </c>
      <c r="U35" s="338"/>
      <c r="V35" s="363" t="s">
        <v>283</v>
      </c>
      <c r="W35" s="356" t="n">
        <f aca="false">IFERROR(IF($M35=V35,($D$8+$D$9+$D$10)*$I35,IF($N35=LEFT(V35,1),($D$8+MAX(0,IF($D$50=1,$D$9*(1-(ABS($Q35-ABS(VALUE(MID(V35,FIND("|",V35)+1,FIND("-",V35)-FIND("|",V35)-1))-VALUE(MID(V35,FIND("-",V35)+1,10)))))*$D$50),$D$9*(1-(IF($N35="X",ABS($O35-VALUE(MID(V35,FIND("|",V35)+1,FIND("-",V35)-FIND("|",V35)-1))),ABS($Q35-ABS(VALUE(MID(V35,FIND("|",V35)+1,FIND("-",V35)-FIND("|",V35)-1))-VALUE(MID(V35,FIND("-",V35)+1,10)))))*$D$50)))))*$I35,0)),0)</f>
        <v>0</v>
      </c>
      <c r="X35" s="338"/>
      <c r="Y35" s="363" t="s">
        <v>283</v>
      </c>
      <c r="Z35" s="356" t="n">
        <f aca="false">IFERROR(IF($M35=Y35,($D$8+$D$9+$D$10)*$I35,IF($N35=LEFT(Y35,1),($D$8+MAX(0,IF($D$50=1,$D$9*(1-(ABS($Q35-ABS(VALUE(MID(Y35,FIND("|",Y35)+1,FIND("-",Y35)-FIND("|",Y35)-1))-VALUE(MID(Y35,FIND("-",Y35)+1,10)))))*$D$50),$D$9*(1-(IF($N35="X",ABS($O35-VALUE(MID(Y35,FIND("|",Y35)+1,FIND("-",Y35)-FIND("|",Y35)-1))),ABS($Q35-ABS(VALUE(MID(Y35,FIND("|",Y35)+1,FIND("-",Y35)-FIND("|",Y35)-1))-VALUE(MID(Y35,FIND("-",Y35)+1,10)))))*$D$50)))))*$I35,0)),0)</f>
        <v>0</v>
      </c>
      <c r="AA35" s="338"/>
      <c r="AB35" s="363" t="s">
        <v>272</v>
      </c>
      <c r="AC35" s="356" t="n">
        <f aca="false">IFERROR(IF($M35=AB35,($D$8+$D$9+$D$10)*$I35,IF($N35=LEFT(AB35,1),($D$8+MAX(0,IF($D$50=1,$D$9*(1-(ABS($Q35-ABS(VALUE(MID(AB35,FIND("|",AB35)+1,FIND("-",AB35)-FIND("|",AB35)-1))-VALUE(MID(AB35,FIND("-",AB35)+1,10)))))*$D$50),$D$9*(1-(IF($N35="X",ABS($O35-VALUE(MID(AB35,FIND("|",AB35)+1,FIND("-",AB35)-FIND("|",AB35)-1))),ABS($Q35-ABS(VALUE(MID(AB35,FIND("|",AB35)+1,FIND("-",AB35)-FIND("|",AB35)-1))-VALUE(MID(AB35,FIND("-",AB35)+1,10)))))*$D$50)))))*$I35,0)),0)</f>
        <v>0</v>
      </c>
      <c r="AD35" s="338"/>
      <c r="AE35" s="363" t="s">
        <v>283</v>
      </c>
      <c r="AF35" s="356" t="n">
        <f aca="false">IFERROR(IF($M35=AE35,($D$8+$D$9+$D$10)*$I35,IF($N35=LEFT(AE35,1),($D$8+MAX(0,IF($D$50=1,$D$9*(1-(ABS($Q35-ABS(VALUE(MID(AE35,FIND("|",AE35)+1,FIND("-",AE35)-FIND("|",AE35)-1))-VALUE(MID(AE35,FIND("-",AE35)+1,10)))))*$D$50),$D$9*(1-(IF($N35="X",ABS($O35-VALUE(MID(AE35,FIND("|",AE35)+1,FIND("-",AE35)-FIND("|",AE35)-1))),ABS($Q35-ABS(VALUE(MID(AE35,FIND("|",AE35)+1,FIND("-",AE35)-FIND("|",AE35)-1))-VALUE(MID(AE35,FIND("-",AE35)+1,10)))))*$D$50)))))*$I35,0)),0)</f>
        <v>0</v>
      </c>
      <c r="AG35" s="338"/>
      <c r="AH35" s="363" t="s">
        <v>283</v>
      </c>
      <c r="AI35" s="356" t="n">
        <f aca="false">IFERROR(IF($M35=AH35,($D$8+$D$9+$D$10)*$I35,IF($N35=LEFT(AH35,1),($D$8+MAX(0,IF($D$50=1,$D$9*(1-(ABS($Q35-ABS(VALUE(MID(AH35,FIND("|",AH35)+1,FIND("-",AH35)-FIND("|",AH35)-1))-VALUE(MID(AH35,FIND("-",AH35)+1,10)))))*$D$50),$D$9*(1-(IF($N35="X",ABS($O35-VALUE(MID(AH35,FIND("|",AH35)+1,FIND("-",AH35)-FIND("|",AH35)-1))),ABS($Q35-ABS(VALUE(MID(AH35,FIND("|",AH35)+1,FIND("-",AH35)-FIND("|",AH35)-1))-VALUE(MID(AH35,FIND("-",AH35)+1,10)))))*$D$50)))))*$I35,0)),0)</f>
        <v>0</v>
      </c>
      <c r="AJ35" s="338"/>
      <c r="AK35" s="363" t="s">
        <v>283</v>
      </c>
      <c r="AL35" s="356" t="n">
        <f aca="false">IFERROR(IF($M35=AK35,($D$8+$D$9+$D$10)*$I35,IF($N35=LEFT(AK35,1),($D$8+MAX(0,IF($D$50=1,$D$9*(1-(ABS($Q35-ABS(VALUE(MID(AK35,FIND("|",AK35)+1,FIND("-",AK35)-FIND("|",AK35)-1))-VALUE(MID(AK35,FIND("-",AK35)+1,10)))))*$D$50),$D$9*(1-(IF($N35="X",ABS($O35-VALUE(MID(AK35,FIND("|",AK35)+1,FIND("-",AK35)-FIND("|",AK35)-1))),ABS($Q35-ABS(VALUE(MID(AK35,FIND("|",AK35)+1,FIND("-",AK35)-FIND("|",AK35)-1))-VALUE(MID(AK35,FIND("-",AK35)+1,10)))))*$D$50)))))*$I35,0)),0)</f>
        <v>0</v>
      </c>
      <c r="AM35" s="338"/>
      <c r="AN35" s="363" t="s">
        <v>283</v>
      </c>
      <c r="AO35" s="356" t="n">
        <f aca="false">IFERROR(IF($M35=AN35,($D$8+$D$9+$D$10)*$I35,IF($N35=LEFT(AN35,1),($D$8+MAX(0,IF($D$50=1,$D$9*(1-(ABS($Q35-ABS(VALUE(MID(AN35,FIND("|",AN35)+1,FIND("-",AN35)-FIND("|",AN35)-1))-VALUE(MID(AN35,FIND("-",AN35)+1,10)))))*$D$50),$D$9*(1-(IF($N35="X",ABS($O35-VALUE(MID(AN35,FIND("|",AN35)+1,FIND("-",AN35)-FIND("|",AN35)-1))),ABS($Q35-ABS(VALUE(MID(AN35,FIND("|",AN35)+1,FIND("-",AN35)-FIND("|",AN35)-1))-VALUE(MID(AN35,FIND("-",AN35)+1,10)))))*$D$50)))))*$I35,0)),0)</f>
        <v>0</v>
      </c>
      <c r="AP35" s="338"/>
      <c r="AQ35" s="363" t="s">
        <v>299</v>
      </c>
      <c r="AR35" s="356" t="n">
        <f aca="false">IFERROR(IF($M35=AQ35,($D$8+$D$9+$D$10)*$I35,IF($N35=LEFT(AQ35,1),($D$8+MAX(0,IF($D$50=1,$D$9*(1-(ABS($Q35-ABS(VALUE(MID(AQ35,FIND("|",AQ35)+1,FIND("-",AQ35)-FIND("|",AQ35)-1))-VALUE(MID(AQ35,FIND("-",AQ35)+1,10)))))*$D$50),$D$9*(1-(IF($N35="X",ABS($O35-VALUE(MID(AQ35,FIND("|",AQ35)+1,FIND("-",AQ35)-FIND("|",AQ35)-1))),ABS($Q35-ABS(VALUE(MID(AQ35,FIND("|",AQ35)+1,FIND("-",AQ35)-FIND("|",AQ35)-1))-VALUE(MID(AQ35,FIND("-",AQ35)+1,10)))))*$D$50)))))*$I35,0)),0)</f>
        <v>0</v>
      </c>
      <c r="AS35" s="338"/>
      <c r="AT35" s="363" t="s">
        <v>272</v>
      </c>
      <c r="AU35" s="356" t="n">
        <f aca="false">IFERROR(IF($M35=AT35,($D$8+$D$9+$D$10)*$I35,IF($N35=LEFT(AT35,1),($D$8+MAX(0,IF($D$50=1,$D$9*(1-(ABS($Q35-ABS(VALUE(MID(AT35,FIND("|",AT35)+1,FIND("-",AT35)-FIND("|",AT35)-1))-VALUE(MID(AT35,FIND("-",AT35)+1,10)))))*$D$50),$D$9*(1-(IF($N35="X",ABS($O35-VALUE(MID(AT35,FIND("|",AT35)+1,FIND("-",AT35)-FIND("|",AT35)-1))),ABS($Q35-ABS(VALUE(MID(AT35,FIND("|",AT35)+1,FIND("-",AT35)-FIND("|",AT35)-1))-VALUE(MID(AT35,FIND("-",AT35)+1,10)))))*$D$50)))))*$I35,0)),0)</f>
        <v>0</v>
      </c>
      <c r="AV35" s="338"/>
      <c r="AW35" s="363" t="s">
        <v>283</v>
      </c>
      <c r="AX35" s="356" t="n">
        <f aca="false">IFERROR(IF($M35=AW35,($D$8+$D$9+$D$10)*$I35,IF($N35=LEFT(AW35,1),($D$8+MAX(0,IF($D$50=1,$D$9*(1-(ABS($Q35-ABS(VALUE(MID(AW35,FIND("|",AW35)+1,FIND("-",AW35)-FIND("|",AW35)-1))-VALUE(MID(AW35,FIND("-",AW35)+1,10)))))*$D$50),$D$9*(1-(IF($N35="X",ABS($O35-VALUE(MID(AW35,FIND("|",AW35)+1,FIND("-",AW35)-FIND("|",AW35)-1))),ABS($Q35-ABS(VALUE(MID(AW35,FIND("|",AW35)+1,FIND("-",AW35)-FIND("|",AW35)-1))-VALUE(MID(AW35,FIND("-",AW35)+1,10)))))*$D$50)))))*$I35,0)),0)</f>
        <v>0</v>
      </c>
      <c r="AY35" s="338"/>
      <c r="AZ35" s="363" t="s">
        <v>266</v>
      </c>
      <c r="BA35" s="356" t="n">
        <f aca="false">IFERROR(IF($M35=AZ35,($D$8+$D$9+$D$10)*$I35,IF($N35=LEFT(AZ35,1),($D$8+MAX(0,IF($D$50=1,$D$9*(1-(ABS($Q35-ABS(VALUE(MID(AZ35,FIND("|",AZ35)+1,FIND("-",AZ35)-FIND("|",AZ35)-1))-VALUE(MID(AZ35,FIND("-",AZ35)+1,10)))))*$D$50),$D$9*(1-(IF($N35="X",ABS($O35-VALUE(MID(AZ35,FIND("|",AZ35)+1,FIND("-",AZ35)-FIND("|",AZ35)-1))),ABS($Q35-ABS(VALUE(MID(AZ35,FIND("|",AZ35)+1,FIND("-",AZ35)-FIND("|",AZ35)-1))-VALUE(MID(AZ35,FIND("-",AZ35)+1,10)))))*$D$50)))))*$I35,0)),0)</f>
        <v>0</v>
      </c>
      <c r="BB35" s="338"/>
      <c r="BC35" s="363" t="s">
        <v>300</v>
      </c>
      <c r="BD35" s="356" t="n">
        <f aca="false">IFERROR(IF($M35=BC35,($D$8+$D$9+$D$10)*$I35,IF($N35=LEFT(BC35,1),($D$8+MAX(0,IF($D$50=1,$D$9*(1-(ABS($Q35-ABS(VALUE(MID(BC35,FIND("|",BC35)+1,FIND("-",BC35)-FIND("|",BC35)-1))-VALUE(MID(BC35,FIND("-",BC35)+1,10)))))*$D$50),$D$9*(1-(IF($N35="X",ABS($O35-VALUE(MID(BC35,FIND("|",BC35)+1,FIND("-",BC35)-FIND("|",BC35)-1))),ABS($Q35-ABS(VALUE(MID(BC35,FIND("|",BC35)+1,FIND("-",BC35)-FIND("|",BC35)-1))-VALUE(MID(BC35,FIND("-",BC35)+1,10)))))*$D$50)))))*$I35,0)),0)</f>
        <v>0</v>
      </c>
      <c r="BE35" s="338"/>
      <c r="BF35" s="363" t="s">
        <v>266</v>
      </c>
      <c r="BG35" s="356" t="n">
        <f aca="false">IFERROR(IF($M35=BF35,($D$8+$D$9+$D$10)*$I35,IF($N35=LEFT(BF35,1),($D$8+MAX(0,IF($D$50=1,$D$9*(1-(ABS($Q35-ABS(VALUE(MID(BF35,FIND("|",BF35)+1,FIND("-",BF35)-FIND("|",BF35)-1))-VALUE(MID(BF35,FIND("-",BF35)+1,10)))))*$D$50),$D$9*(1-(IF($N35="X",ABS($O35-VALUE(MID(BF35,FIND("|",BF35)+1,FIND("-",BF35)-FIND("|",BF35)-1))),ABS($Q35-ABS(VALUE(MID(BF35,FIND("|",BF35)+1,FIND("-",BF35)-FIND("|",BF35)-1))-VALUE(MID(BF35,FIND("-",BF35)+1,10)))))*$D$50)))))*$I35,0)),0)</f>
        <v>0</v>
      </c>
      <c r="BH35" s="338"/>
      <c r="BI35" s="363" t="s">
        <v>272</v>
      </c>
      <c r="BJ35" s="356" t="n">
        <f aca="false">IFERROR(IF($M35=BI35,($D$8+$D$9+$D$10)*$I35,IF($N35=LEFT(BI35,1),($D$8+MAX(0,IF($D$50=1,$D$9*(1-(ABS($Q35-ABS(VALUE(MID(BI35,FIND("|",BI35)+1,FIND("-",BI35)-FIND("|",BI35)-1))-VALUE(MID(BI35,FIND("-",BI35)+1,10)))))*$D$50),$D$9*(1-(IF($N35="X",ABS($O35-VALUE(MID(BI35,FIND("|",BI35)+1,FIND("-",BI35)-FIND("|",BI35)-1))),ABS($Q35-ABS(VALUE(MID(BI35,FIND("|",BI35)+1,FIND("-",BI35)-FIND("|",BI35)-1))-VALUE(MID(BI35,FIND("-",BI35)+1,10)))))*$D$50)))))*$I35,0)),0)</f>
        <v>0</v>
      </c>
      <c r="BK35" s="338"/>
      <c r="BL35" s="363" t="s">
        <v>283</v>
      </c>
      <c r="BM35" s="356" t="n">
        <f aca="false">IFERROR(IF($M35=BL35,($D$8+$D$9+$D$10)*$I35,IF($N35=LEFT(BL35,1),($D$8+MAX(0,IF($D$50=1,$D$9*(1-(ABS($Q35-ABS(VALUE(MID(BL35,FIND("|",BL35)+1,FIND("-",BL35)-FIND("|",BL35)-1))-VALUE(MID(BL35,FIND("-",BL35)+1,10)))))*$D$50),$D$9*(1-(IF($N35="X",ABS($O35-VALUE(MID(BL35,FIND("|",BL35)+1,FIND("-",BL35)-FIND("|",BL35)-1))),ABS($Q35-ABS(VALUE(MID(BL35,FIND("|",BL35)+1,FIND("-",BL35)-FIND("|",BL35)-1))-VALUE(MID(BL35,FIND("-",BL35)+1,10)))))*$D$50)))))*$I35,0)),0)</f>
        <v>0</v>
      </c>
      <c r="BN35" s="338"/>
      <c r="BO35" s="363" t="s">
        <v>272</v>
      </c>
      <c r="BP35" s="356" t="n">
        <f aca="false">IFERROR(IF($M35=BO35,($D$8+$D$9+$D$10)*$I35,IF($N35=LEFT(BO35,1),($D$8+MAX(0,IF($D$50=1,$D$9*(1-(ABS($Q35-ABS(VALUE(MID(BO35,FIND("|",BO35)+1,FIND("-",BO35)-FIND("|",BO35)-1))-VALUE(MID(BO35,FIND("-",BO35)+1,10)))))*$D$50),$D$9*(1-(IF($N35="X",ABS($O35-VALUE(MID(BO35,FIND("|",BO35)+1,FIND("-",BO35)-FIND("|",BO35)-1))),ABS($Q35-ABS(VALUE(MID(BO35,FIND("|",BO35)+1,FIND("-",BO35)-FIND("|",BO35)-1))-VALUE(MID(BO35,FIND("-",BO35)+1,10)))))*$D$50)))))*$I35,0)),0)</f>
        <v>0</v>
      </c>
      <c r="BQ35" s="338"/>
      <c r="BR35" s="363" t="s">
        <v>272</v>
      </c>
      <c r="BS35" s="356" t="n">
        <f aca="false">IFERROR(IF($M35=BR35,($D$8+$D$9+$D$10)*$I35,IF($N35=LEFT(BR35,1),($D$8+MAX(0,IF($D$50=1,$D$9*(1-(ABS($Q35-ABS(VALUE(MID(BR35,FIND("|",BR35)+1,FIND("-",BR35)-FIND("|",BR35)-1))-VALUE(MID(BR35,FIND("-",BR35)+1,10)))))*$D$50),$D$9*(1-(IF($N35="X",ABS($O35-VALUE(MID(BR35,FIND("|",BR35)+1,FIND("-",BR35)-FIND("|",BR35)-1))),ABS($Q35-ABS(VALUE(MID(BR35,FIND("|",BR35)+1,FIND("-",BR35)-FIND("|",BR35)-1))-VALUE(MID(BR35,FIND("-",BR35)+1,10)))))*$D$50)))))*$I35,0)),0)</f>
        <v>0</v>
      </c>
      <c r="BT35" s="338"/>
      <c r="BU35" s="363"/>
      <c r="BV35" s="356" t="n">
        <f aca="false">IFERROR(IF($M35=BU35,($D$8+$D$9+$D$10)*$I35,IF($N35=LEFT(BU35,1),($D$8+MAX(0,IF($D$50=1,$D$9*(1-(ABS($Q35-ABS(VALUE(MID(BU35,FIND("|",BU35)+1,FIND("-",BU35)-FIND("|",BU35)-1))-VALUE(MID(BU35,FIND("-",BU35)+1,10)))))*$D$50),$D$9*(1-(IF($N35="X",ABS($O35-VALUE(MID(BU35,FIND("|",BU35)+1,FIND("-",BU35)-FIND("|",BU35)-1))),ABS($Q35-ABS(VALUE(MID(BU35,FIND("|",BU35)+1,FIND("-",BU35)-FIND("|",BU35)-1))-VALUE(MID(BU35,FIND("-",BU35)+1,10)))))*$D$50)))))*$I35,0)),0)</f>
        <v>0</v>
      </c>
      <c r="BW35" s="338"/>
      <c r="BX35" s="363"/>
      <c r="BY35" s="356" t="n">
        <f aca="false">IFERROR(IF($M35=BX35,($D$8+$D$9+$D$10)*$I35,IF($N35=LEFT(BX35,1),($D$8+MAX(0,IF($D$50=1,$D$9*(1-(ABS($Q35-ABS(VALUE(MID(BX35,FIND("|",BX35)+1,FIND("-",BX35)-FIND("|",BX35)-1))-VALUE(MID(BX35,FIND("-",BX35)+1,10)))))*$D$50),$D$9*(1-(IF($N35="X",ABS($O35-VALUE(MID(BX35,FIND("|",BX35)+1,FIND("-",BX35)-FIND("|",BX35)-1))),ABS($Q35-ABS(VALUE(MID(BX35,FIND("|",BX35)+1,FIND("-",BX35)-FIND("|",BX35)-1))-VALUE(MID(BX35,FIND("-",BX35)+1,10)))))*$D$50)))))*$I35,0)),0)</f>
        <v>0</v>
      </c>
      <c r="BZ35" s="338"/>
      <c r="CA35" s="363"/>
      <c r="CB35" s="356" t="n">
        <f aca="false">IFERROR(IF($M35=CA35,($D$8+$D$9+$D$10)*$I35,IF($N35=LEFT(CA35,1),($D$8+MAX(0,IF($D$50=1,$D$9*(1-(ABS($Q35-ABS(VALUE(MID(CA35,FIND("|",CA35)+1,FIND("-",CA35)-FIND("|",CA35)-1))-VALUE(MID(CA35,FIND("-",CA35)+1,10)))))*$D$50),$D$9*(1-(IF($N35="X",ABS($O35-VALUE(MID(CA35,FIND("|",CA35)+1,FIND("-",CA35)-FIND("|",CA35)-1))),ABS($Q35-ABS(VALUE(MID(CA35,FIND("|",CA35)+1,FIND("-",CA35)-FIND("|",CA35)-1))-VALUE(MID(CA35,FIND("-",CA35)+1,10)))))*$D$50)))))*$I35,0)),0)</f>
        <v>0</v>
      </c>
      <c r="CC35" s="338"/>
      <c r="CD35" s="363"/>
      <c r="CE35" s="356" t="n">
        <f aca="false">IFERROR(IF($M35=CD35,($D$8+$D$9+$D$10)*$I35,IF($N35=LEFT(CD35,1),($D$8+MAX(0,IF($D$50=1,$D$9*(1-(ABS($Q35-ABS(VALUE(MID(CD35,FIND("|",CD35)+1,FIND("-",CD35)-FIND("|",CD35)-1))-VALUE(MID(CD35,FIND("-",CD35)+1,10)))))*$D$50),$D$9*(1-(IF($N35="X",ABS($O35-VALUE(MID(CD35,FIND("|",CD35)+1,FIND("-",CD35)-FIND("|",CD35)-1))),ABS($Q35-ABS(VALUE(MID(CD35,FIND("|",CD35)+1,FIND("-",CD35)-FIND("|",CD35)-1))-VALUE(MID(CD35,FIND("-",CD35)+1,10)))))*$D$50)))))*$I35,0)),0)</f>
        <v>0</v>
      </c>
      <c r="CF35" s="338"/>
      <c r="CG35" s="363"/>
      <c r="CH35" s="356" t="n">
        <f aca="false">IFERROR(IF($M35=CG35,($D$8+$D$9+$D$10)*$I35,IF($N35=LEFT(CG35,1),($D$8+MAX(0,IF($D$50=1,$D$9*(1-(ABS($Q35-ABS(VALUE(MID(CG35,FIND("|",CG35)+1,FIND("-",CG35)-FIND("|",CG35)-1))-VALUE(MID(CG35,FIND("-",CG35)+1,10)))))*$D$50),$D$9*(1-(IF($N35="X",ABS($O35-VALUE(MID(CG35,FIND("|",CG35)+1,FIND("-",CG35)-FIND("|",CG35)-1))),ABS($Q35-ABS(VALUE(MID(CG35,FIND("|",CG35)+1,FIND("-",CG35)-FIND("|",CG35)-1))-VALUE(MID(CG35,FIND("-",CG35)+1,10)))))*$D$50)))))*$I35,0)),0)</f>
        <v>0</v>
      </c>
      <c r="CI35" s="338"/>
      <c r="CJ35" s="363"/>
      <c r="CK35" s="356" t="n">
        <f aca="false">IFERROR(IF($M35=CJ35,($D$8+$D$9+$D$10)*$I35,IF($N35=LEFT(CJ35,1),($D$8+MAX(0,IF($D$50=1,$D$9*(1-(ABS($Q35-ABS(VALUE(MID(CJ35,FIND("|",CJ35)+1,FIND("-",CJ35)-FIND("|",CJ35)-1))-VALUE(MID(CJ35,FIND("-",CJ35)+1,10)))))*$D$50),$D$9*(1-(IF($N35="X",ABS($O35-VALUE(MID(CJ35,FIND("|",CJ35)+1,FIND("-",CJ35)-FIND("|",CJ35)-1))),ABS($Q35-ABS(VALUE(MID(CJ35,FIND("|",CJ35)+1,FIND("-",CJ35)-FIND("|",CJ35)-1))-VALUE(MID(CJ35,FIND("-",CJ35)+1,10)))))*$D$50)))))*$I35,0)),0)</f>
        <v>0</v>
      </c>
      <c r="CL35" s="338"/>
      <c r="CM35" s="363"/>
      <c r="CN35" s="356" t="n">
        <f aca="false">IFERROR(IF($M35=CM35,($D$8+$D$9+$D$10)*$I35,IF($N35=LEFT(CM35,1),($D$8+MAX(0,IF($D$50=1,$D$9*(1-(ABS($Q35-ABS(VALUE(MID(CM35,FIND("|",CM35)+1,FIND("-",CM35)-FIND("|",CM35)-1))-VALUE(MID(CM35,FIND("-",CM35)+1,10)))))*$D$50),$D$9*(1-(IF($N35="X",ABS($O35-VALUE(MID(CM35,FIND("|",CM35)+1,FIND("-",CM35)-FIND("|",CM35)-1))),ABS($Q35-ABS(VALUE(MID(CM35,FIND("|",CM35)+1,FIND("-",CM35)-FIND("|",CM35)-1))-VALUE(MID(CM35,FIND("-",CM35)+1,10)))))*$D$50)))))*$I35,0)),0)</f>
        <v>0</v>
      </c>
      <c r="CO35" s="338"/>
      <c r="CP35" s="363"/>
      <c r="CQ35" s="356" t="n">
        <f aca="false">IFERROR(IF($M35=CP35,($D$8+$D$9+$D$10)*$I35,IF($N35=LEFT(CP35,1),($D$8+MAX(0,IF($D$50=1,$D$9*(1-(ABS($Q35-ABS(VALUE(MID(CP35,FIND("|",CP35)+1,FIND("-",CP35)-FIND("|",CP35)-1))-VALUE(MID(CP35,FIND("-",CP35)+1,10)))))*$D$50),$D$9*(1-(IF($N35="X",ABS($O35-VALUE(MID(CP35,FIND("|",CP35)+1,FIND("-",CP35)-FIND("|",CP35)-1))),ABS($Q35-ABS(VALUE(MID(CP35,FIND("|",CP35)+1,FIND("-",CP35)-FIND("|",CP35)-1))-VALUE(MID(CP35,FIND("-",CP35)+1,10)))))*$D$50)))))*$I35,0)),0)</f>
        <v>0</v>
      </c>
      <c r="CR35" s="338"/>
      <c r="CS35" s="363"/>
      <c r="CT35" s="356" t="n">
        <f aca="false">IFERROR(IF($M35=CS35,($D$8+$D$9+$D$10)*$I35,IF($N35=LEFT(CS35,1),($D$8+MAX(0,IF($D$50=1,$D$9*(1-(ABS($Q35-ABS(VALUE(MID(CS35,FIND("|",CS35)+1,FIND("-",CS35)-FIND("|",CS35)-1))-VALUE(MID(CS35,FIND("-",CS35)+1,10)))))*$D$50),$D$9*(1-(IF($N35="X",ABS($O35-VALUE(MID(CS35,FIND("|",CS35)+1,FIND("-",CS35)-FIND("|",CS35)-1))),ABS($Q35-ABS(VALUE(MID(CS35,FIND("|",CS35)+1,FIND("-",CS35)-FIND("|",CS35)-1))-VALUE(MID(CS35,FIND("-",CS35)+1,10)))))*$D$50)))))*$I35,0)),0)</f>
        <v>0</v>
      </c>
      <c r="CU35" s="338"/>
      <c r="CV35" s="363"/>
      <c r="CW35" s="356" t="n">
        <f aca="false">IFERROR(IF($M35=CV35,($D$8+$D$9+$D$10)*$I35,IF($N35=LEFT(CV35,1),($D$8+MAX(0,IF($D$50=1,$D$9*(1-(ABS($Q35-ABS(VALUE(MID(CV35,FIND("|",CV35)+1,FIND("-",CV35)-FIND("|",CV35)-1))-VALUE(MID(CV35,FIND("-",CV35)+1,10)))))*$D$50),$D$9*(1-(IF($N35="X",ABS($O35-VALUE(MID(CV35,FIND("|",CV35)+1,FIND("-",CV35)-FIND("|",CV35)-1))),ABS($Q35-ABS(VALUE(MID(CV35,FIND("|",CV35)+1,FIND("-",CV35)-FIND("|",CV35)-1))-VALUE(MID(CV35,FIND("-",CV35)+1,10)))))*$D$50)))))*$I35,0)),0)</f>
        <v>0</v>
      </c>
      <c r="CX35" s="338"/>
      <c r="CY35" s="363"/>
      <c r="CZ35" s="356" t="n">
        <f aca="false">IFERROR(IF($M35=CY35,($D$8+$D$9+$D$10)*$I35,IF($N35=LEFT(CY35,1),($D$8+MAX(0,IF($D$50=1,$D$9*(1-(ABS($Q35-ABS(VALUE(MID(CY35,FIND("|",CY35)+1,FIND("-",CY35)-FIND("|",CY35)-1))-VALUE(MID(CY35,FIND("-",CY35)+1,10)))))*$D$50),$D$9*(1-(IF($N35="X",ABS($O35-VALUE(MID(CY35,FIND("|",CY35)+1,FIND("-",CY35)-FIND("|",CY35)-1))),ABS($Q35-ABS(VALUE(MID(CY35,FIND("|",CY35)+1,FIND("-",CY35)-FIND("|",CY35)-1))-VALUE(MID(CY35,FIND("-",CY35)+1,10)))))*$D$50)))))*$I35,0)),0)</f>
        <v>0</v>
      </c>
      <c r="DA35" s="338"/>
      <c r="DB35" s="363"/>
      <c r="DC35" s="356" t="n">
        <f aca="false">IFERROR(IF($M35=DB35,($D$8+$D$9+$D$10)*$I35,IF($N35=LEFT(DB35,1),($D$8+MAX(0,IF($D$50=1,$D$9*(1-(ABS($Q35-ABS(VALUE(MID(DB35,FIND("|",DB35)+1,FIND("-",DB35)-FIND("|",DB35)-1))-VALUE(MID(DB35,FIND("-",DB35)+1,10)))))*$D$50),$D$9*(1-(IF($N35="X",ABS($O35-VALUE(MID(DB35,FIND("|",DB35)+1,FIND("-",DB35)-FIND("|",DB35)-1))),ABS($Q35-ABS(VALUE(MID(DB35,FIND("|",DB35)+1,FIND("-",DB35)-FIND("|",DB35)-1))-VALUE(MID(DB35,FIND("-",DB35)+1,10)))))*$D$50)))))*$I35,0)),0)</f>
        <v>0</v>
      </c>
      <c r="DD35" s="338"/>
      <c r="DE35" s="363"/>
      <c r="DF35" s="356" t="n">
        <f aca="false">IFERROR(IF($M35=DE35,($D$8+$D$9+$D$10)*$I35,IF($N35=LEFT(DE35,1),($D$8+MAX(0,IF($D$50=1,$D$9*(1-(ABS($Q35-ABS(VALUE(MID(DE35,FIND("|",DE35)+1,FIND("-",DE35)-FIND("|",DE35)-1))-VALUE(MID(DE35,FIND("-",DE35)+1,10)))))*$D$50),$D$9*(1-(IF($N35="X",ABS($O35-VALUE(MID(DE35,FIND("|",DE35)+1,FIND("-",DE35)-FIND("|",DE35)-1))),ABS($Q35-ABS(VALUE(MID(DE35,FIND("|",DE35)+1,FIND("-",DE35)-FIND("|",DE35)-1))-VALUE(MID(DE35,FIND("-",DE35)+1,10)))))*$D$50)))))*$I35,0)),0)</f>
        <v>0</v>
      </c>
      <c r="DG35" s="338"/>
      <c r="DH35" s="363"/>
      <c r="DI35" s="356" t="n">
        <f aca="false">IFERROR(IF($M35=DH35,($D$8+$D$9+$D$10)*$I35,IF($N35=LEFT(DH35,1),($D$8+MAX(0,IF($D$50=1,$D$9*(1-(ABS($Q35-ABS(VALUE(MID(DH35,FIND("|",DH35)+1,FIND("-",DH35)-FIND("|",DH35)-1))-VALUE(MID(DH35,FIND("-",DH35)+1,10)))))*$D$50),$D$9*(1-(IF($N35="X",ABS($O35-VALUE(MID(DH35,FIND("|",DH35)+1,FIND("-",DH35)-FIND("|",DH35)-1))),ABS($Q35-ABS(VALUE(MID(DH35,FIND("|",DH35)+1,FIND("-",DH35)-FIND("|",DH35)-1))-VALUE(MID(DH35,FIND("-",DH35)+1,10)))))*$D$50)))))*$I35,0)),0)</f>
        <v>0</v>
      </c>
      <c r="DJ35" s="338"/>
      <c r="DK35" s="363"/>
      <c r="DL35" s="356" t="n">
        <f aca="false">IFERROR(IF($M35=DK35,($D$8+$D$9+$D$10)*$I35,IF($N35=LEFT(DK35,1),($D$8+MAX(0,IF($D$50=1,$D$9*(1-(ABS($Q35-ABS(VALUE(MID(DK35,FIND("|",DK35)+1,FIND("-",DK35)-FIND("|",DK35)-1))-VALUE(MID(DK35,FIND("-",DK35)+1,10)))))*$D$50),$D$9*(1-(IF($N35="X",ABS($O35-VALUE(MID(DK35,FIND("|",DK35)+1,FIND("-",DK35)-FIND("|",DK35)-1))),ABS($Q35-ABS(VALUE(MID(DK35,FIND("|",DK35)+1,FIND("-",DK35)-FIND("|",DK35)-1))-VALUE(MID(DK35,FIND("-",DK35)+1,10)))))*$D$50)))))*$I35,0)),0)</f>
        <v>0</v>
      </c>
      <c r="DM35" s="338"/>
      <c r="DN35" s="363"/>
      <c r="DO35" s="356" t="n">
        <f aca="false">IFERROR(IF($M35=DN35,($D$8+$D$9+$D$10)*$I35,IF($N35=LEFT(DN35,1),($D$8+MAX(0,IF($D$50=1,$D$9*(1-(ABS($Q35-ABS(VALUE(MID(DN35,FIND("|",DN35)+1,FIND("-",DN35)-FIND("|",DN35)-1))-VALUE(MID(DN35,FIND("-",DN35)+1,10)))))*$D$50),$D$9*(1-(IF($N35="X",ABS($O35-VALUE(MID(DN35,FIND("|",DN35)+1,FIND("-",DN35)-FIND("|",DN35)-1))),ABS($Q35-ABS(VALUE(MID(DN35,FIND("|",DN35)+1,FIND("-",DN35)-FIND("|",DN35)-1))-VALUE(MID(DN35,FIND("-",DN35)+1,10)))))*$D$50)))))*$I35,0)),0)</f>
        <v>0</v>
      </c>
      <c r="DP35" s="338"/>
      <c r="DQ35" s="363"/>
      <c r="DR35" s="356" t="n">
        <f aca="false">IFERROR(IF($M35=DQ35,($D$8+$D$9+$D$10)*$I35,IF($N35=LEFT(DQ35,1),($D$8+MAX(0,IF($D$50=1,$D$9*(1-(ABS($Q35-ABS(VALUE(MID(DQ35,FIND("|",DQ35)+1,FIND("-",DQ35)-FIND("|",DQ35)-1))-VALUE(MID(DQ35,FIND("-",DQ35)+1,10)))))*$D$50),$D$9*(1-(IF($N35="X",ABS($O35-VALUE(MID(DQ35,FIND("|",DQ35)+1,FIND("-",DQ35)-FIND("|",DQ35)-1))),ABS($Q35-ABS(VALUE(MID(DQ35,FIND("|",DQ35)+1,FIND("-",DQ35)-FIND("|",DQ35)-1))-VALUE(MID(DQ35,FIND("-",DQ35)+1,10)))))*$D$50)))))*$I35,0)),0)</f>
        <v>0</v>
      </c>
      <c r="DS35" s="338"/>
      <c r="DT35" s="363"/>
      <c r="DU35" s="356" t="n">
        <f aca="false">IFERROR(IF($M35=DT35,($D$8+$D$9+$D$10)*$I35,IF($N35=LEFT(DT35,1),($D$8+MAX(0,IF($D$50=1,$D$9*(1-(ABS($Q35-ABS(VALUE(MID(DT35,FIND("|",DT35)+1,FIND("-",DT35)-FIND("|",DT35)-1))-VALUE(MID(DT35,FIND("-",DT35)+1,10)))))*$D$50),$D$9*(1-(IF($N35="X",ABS($O35-VALUE(MID(DT35,FIND("|",DT35)+1,FIND("-",DT35)-FIND("|",DT35)-1))),ABS($Q35-ABS(VALUE(MID(DT35,FIND("|",DT35)+1,FIND("-",DT35)-FIND("|",DT35)-1))-VALUE(MID(DT35,FIND("-",DT35)+1,10)))))*$D$50)))))*$I35,0)),0)</f>
        <v>0</v>
      </c>
      <c r="DV35" s="338"/>
      <c r="DW35" s="363"/>
      <c r="DX35" s="356" t="n">
        <f aca="false">IFERROR(IF($M35=DW35,($D$8+$D$9+$D$10)*$I35,IF($N35=LEFT(DW35,1),($D$8+MAX(0,IF($D$50=1,$D$9*(1-(ABS($Q35-ABS(VALUE(MID(DW35,FIND("|",DW35)+1,FIND("-",DW35)-FIND("|",DW35)-1))-VALUE(MID(DW35,FIND("-",DW35)+1,10)))))*$D$50),$D$9*(1-(IF($N35="X",ABS($O35-VALUE(MID(DW35,FIND("|",DW35)+1,FIND("-",DW35)-FIND("|",DW35)-1))),ABS($Q35-ABS(VALUE(MID(DW35,FIND("|",DW35)+1,FIND("-",DW35)-FIND("|",DW35)-1))-VALUE(MID(DW35,FIND("-",DW35)+1,10)))))*$D$50)))))*$I35,0)),0)</f>
        <v>0</v>
      </c>
      <c r="DY35" s="338"/>
      <c r="DZ35" s="363"/>
      <c r="EA35" s="356" t="n">
        <f aca="false">IFERROR(IF($M35=DZ35,($D$8+$D$9+$D$10)*$I35,IF($N35=LEFT(DZ35,1),($D$8+MAX(0,IF($D$50=1,$D$9*(1-(ABS($Q35-ABS(VALUE(MID(DZ35,FIND("|",DZ35)+1,FIND("-",DZ35)-FIND("|",DZ35)-1))-VALUE(MID(DZ35,FIND("-",DZ35)+1,10)))))*$D$50),$D$9*(1-(IF($N35="X",ABS($O35-VALUE(MID(DZ35,FIND("|",DZ35)+1,FIND("-",DZ35)-FIND("|",DZ35)-1))),ABS($Q35-ABS(VALUE(MID(DZ35,FIND("|",DZ35)+1,FIND("-",DZ35)-FIND("|",DZ35)-1))-VALUE(MID(DZ35,FIND("-",DZ35)+1,10)))))*$D$50)))))*$I35,0)),0)</f>
        <v>0</v>
      </c>
      <c r="EB35" s="338"/>
      <c r="EC35" s="363"/>
      <c r="ED35" s="356" t="n">
        <f aca="false">IFERROR(IF($M35=EC35,($D$8+$D$9+$D$10)*$I35,IF($N35=LEFT(EC35,1),($D$8+MAX(0,IF($D$50=1,$D$9*(1-(ABS($Q35-ABS(VALUE(MID(EC35,FIND("|",EC35)+1,FIND("-",EC35)-FIND("|",EC35)-1))-VALUE(MID(EC35,FIND("-",EC35)+1,10)))))*$D$50),$D$9*(1-(IF($N35="X",ABS($O35-VALUE(MID(EC35,FIND("|",EC35)+1,FIND("-",EC35)-FIND("|",EC35)-1))),ABS($Q35-ABS(VALUE(MID(EC35,FIND("|",EC35)+1,FIND("-",EC35)-FIND("|",EC35)-1))-VALUE(MID(EC35,FIND("-",EC35)+1,10)))))*$D$50)))))*$I35,0)),0)</f>
        <v>0</v>
      </c>
      <c r="EE35" s="338"/>
      <c r="EF35" s="363"/>
      <c r="EG35" s="356" t="n">
        <f aca="false">IFERROR(IF($M35=EF35,($D$8+$D$9+$D$10)*$I35,IF($N35=LEFT(EF35,1),($D$8+MAX(0,IF($D$50=1,$D$9*(1-(ABS($Q35-ABS(VALUE(MID(EF35,FIND("|",EF35)+1,FIND("-",EF35)-FIND("|",EF35)-1))-VALUE(MID(EF35,FIND("-",EF35)+1,10)))))*$D$50),$D$9*(1-(IF($N35="X",ABS($O35-VALUE(MID(EF35,FIND("|",EF35)+1,FIND("-",EF35)-FIND("|",EF35)-1))),ABS($Q35-ABS(VALUE(MID(EF35,FIND("|",EF35)+1,FIND("-",EF35)-FIND("|",EF35)-1))-VALUE(MID(EF35,FIND("-",EF35)+1,10)))))*$D$50)))))*$I35,0)),0)</f>
        <v>0</v>
      </c>
      <c r="EH35" s="338"/>
      <c r="EI35" s="338"/>
    </row>
    <row r="36" customFormat="false" ht="15" hidden="false" customHeight="false" outlineLevel="0" collapsed="false">
      <c r="A36" s="327"/>
      <c r="B36" s="327"/>
      <c r="C36" s="360" t="str">
        <f aca="false">Idiomas!D332</f>
        <v>FINAL - Signo 1X2  (local, empate, visitante)</v>
      </c>
      <c r="D36" s="361" t="n">
        <v>5</v>
      </c>
      <c r="E36" s="334"/>
      <c r="F36" s="343" t="n">
        <f aca="false">SUM($D$8:$D$10)*I36</f>
        <v>17</v>
      </c>
      <c r="G36" s="343" t="n">
        <f aca="false">VLOOKUP(H36,Equipos!$Q$1:$R$25,2,0)</f>
        <v>9</v>
      </c>
      <c r="H36" s="351" t="n">
        <f aca="false">TRUNC(INDEX(WORLDCUP!$X$4:$X$147,MATCH(ADMIN!K36,WORLDCUP!$DT$4:$DT$147,0))+INDEX(Horarios!$R$3:$R$86,MATCH(Horarios!$C$3,Horarios!$P$3:$P$86,0))/24)</f>
        <v>46192</v>
      </c>
      <c r="I36" s="352" t="n">
        <v>1</v>
      </c>
      <c r="J36" s="362" t="s">
        <v>301</v>
      </c>
      <c r="K36" s="354" t="str">
        <f aca="false">CONCATENATE(WORLDCUP!AA30,"-",WORLDCUP!AF30)</f>
        <v>Estados Unidos-Australia</v>
      </c>
      <c r="L36" s="354"/>
      <c r="M36" s="359" t="str">
        <f aca="false">IF(OR(WORLDCUP!AC30="",WORLDCUP!AD30=""),"-",N36&amp;"|"&amp;O36&amp;"-"&amp;P36)</f>
        <v>-</v>
      </c>
      <c r="N36" s="332" t="str">
        <f aca="false">IF(OR(WORLDCUP!AC30="",WORLDCUP!AD30=""),"",IF(WORLDCUP!AC30&gt;WORLDCUP!AD30,"1",IF(WORLDCUP!AC30&lt;WORLDCUP!AD30,"2","X")))</f>
        <v/>
      </c>
      <c r="O36" s="332" t="n">
        <f aca="false">WORLDCUP!AC30</f>
        <v>0</v>
      </c>
      <c r="P36" s="332" t="n">
        <f aca="false">WORLDCUP!AD30</f>
        <v>0</v>
      </c>
      <c r="Q36" s="332" t="n">
        <f aca="false">ABS(O36-P36)</f>
        <v>0</v>
      </c>
      <c r="R36" s="327"/>
      <c r="S36" s="363" t="s">
        <v>265</v>
      </c>
      <c r="T36" s="356" t="n">
        <f aca="false">IFERROR(IF($M36=S36,($D$8+$D$9+$D$10)*$I36,IF($N36=LEFT(S36,1),($D$8+MAX(0,IF($D$50=1,$D$9*(1-(ABS($Q36-ABS(VALUE(MID(S36,FIND("|",S36)+1,FIND("-",S36)-FIND("|",S36)-1))-VALUE(MID(S36,FIND("-",S36)+1,10)))))*$D$50),$D$9*(1-(IF($N36="X",ABS($O36-VALUE(MID(S36,FIND("|",S36)+1,FIND("-",S36)-FIND("|",S36)-1))),ABS($Q36-ABS(VALUE(MID(S36,FIND("|",S36)+1,FIND("-",S36)-FIND("|",S36)-1))-VALUE(MID(S36,FIND("-",S36)+1,10)))))*$D$50)))))*$I36,0)),0)</f>
        <v>0</v>
      </c>
      <c r="U36" s="338"/>
      <c r="V36" s="363" t="s">
        <v>264</v>
      </c>
      <c r="W36" s="356" t="n">
        <f aca="false">IFERROR(IF($M36=V36,($D$8+$D$9+$D$10)*$I36,IF($N36=LEFT(V36,1),($D$8+MAX(0,IF($D$50=1,$D$9*(1-(ABS($Q36-ABS(VALUE(MID(V36,FIND("|",V36)+1,FIND("-",V36)-FIND("|",V36)-1))-VALUE(MID(V36,FIND("-",V36)+1,10)))))*$D$50),$D$9*(1-(IF($N36="X",ABS($O36-VALUE(MID(V36,FIND("|",V36)+1,FIND("-",V36)-FIND("|",V36)-1))),ABS($Q36-ABS(VALUE(MID(V36,FIND("|",V36)+1,FIND("-",V36)-FIND("|",V36)-1))-VALUE(MID(V36,FIND("-",V36)+1,10)))))*$D$50)))))*$I36,0)),0)</f>
        <v>0</v>
      </c>
      <c r="X36" s="338"/>
      <c r="Y36" s="363" t="s">
        <v>267</v>
      </c>
      <c r="Z36" s="356" t="n">
        <f aca="false">IFERROR(IF($M36=Y36,($D$8+$D$9+$D$10)*$I36,IF($N36=LEFT(Y36,1),($D$8+MAX(0,IF($D$50=1,$D$9*(1-(ABS($Q36-ABS(VALUE(MID(Y36,FIND("|",Y36)+1,FIND("-",Y36)-FIND("|",Y36)-1))-VALUE(MID(Y36,FIND("-",Y36)+1,10)))))*$D$50),$D$9*(1-(IF($N36="X",ABS($O36-VALUE(MID(Y36,FIND("|",Y36)+1,FIND("-",Y36)-FIND("|",Y36)-1))),ABS($Q36-ABS(VALUE(MID(Y36,FIND("|",Y36)+1,FIND("-",Y36)-FIND("|",Y36)-1))-VALUE(MID(Y36,FIND("-",Y36)+1,10)))))*$D$50)))))*$I36,0)),0)</f>
        <v>0</v>
      </c>
      <c r="AA36" s="338"/>
      <c r="AB36" s="363" t="s">
        <v>267</v>
      </c>
      <c r="AC36" s="356" t="n">
        <f aca="false">IFERROR(IF($M36=AB36,($D$8+$D$9+$D$10)*$I36,IF($N36=LEFT(AB36,1),($D$8+MAX(0,IF($D$50=1,$D$9*(1-(ABS($Q36-ABS(VALUE(MID(AB36,FIND("|",AB36)+1,FIND("-",AB36)-FIND("|",AB36)-1))-VALUE(MID(AB36,FIND("-",AB36)+1,10)))))*$D$50),$D$9*(1-(IF($N36="X",ABS($O36-VALUE(MID(AB36,FIND("|",AB36)+1,FIND("-",AB36)-FIND("|",AB36)-1))),ABS($Q36-ABS(VALUE(MID(AB36,FIND("|",AB36)+1,FIND("-",AB36)-FIND("|",AB36)-1))-VALUE(MID(AB36,FIND("-",AB36)+1,10)))))*$D$50)))))*$I36,0)),0)</f>
        <v>0</v>
      </c>
      <c r="AD36" s="338"/>
      <c r="AE36" s="363" t="s">
        <v>266</v>
      </c>
      <c r="AF36" s="356" t="n">
        <f aca="false">IFERROR(IF($M36=AE36,($D$8+$D$9+$D$10)*$I36,IF($N36=LEFT(AE36,1),($D$8+MAX(0,IF($D$50=1,$D$9*(1-(ABS($Q36-ABS(VALUE(MID(AE36,FIND("|",AE36)+1,FIND("-",AE36)-FIND("|",AE36)-1))-VALUE(MID(AE36,FIND("-",AE36)+1,10)))))*$D$50),$D$9*(1-(IF($N36="X",ABS($O36-VALUE(MID(AE36,FIND("|",AE36)+1,FIND("-",AE36)-FIND("|",AE36)-1))),ABS($Q36-ABS(VALUE(MID(AE36,FIND("|",AE36)+1,FIND("-",AE36)-FIND("|",AE36)-1))-VALUE(MID(AE36,FIND("-",AE36)+1,10)))))*$D$50)))))*$I36,0)),0)</f>
        <v>0</v>
      </c>
      <c r="AG36" s="338"/>
      <c r="AH36" s="363" t="s">
        <v>266</v>
      </c>
      <c r="AI36" s="356" t="n">
        <f aca="false">IFERROR(IF($M36=AH36,($D$8+$D$9+$D$10)*$I36,IF($N36=LEFT(AH36,1),($D$8+MAX(0,IF($D$50=1,$D$9*(1-(ABS($Q36-ABS(VALUE(MID(AH36,FIND("|",AH36)+1,FIND("-",AH36)-FIND("|",AH36)-1))-VALUE(MID(AH36,FIND("-",AH36)+1,10)))))*$D$50),$D$9*(1-(IF($N36="X",ABS($O36-VALUE(MID(AH36,FIND("|",AH36)+1,FIND("-",AH36)-FIND("|",AH36)-1))),ABS($Q36-ABS(VALUE(MID(AH36,FIND("|",AH36)+1,FIND("-",AH36)-FIND("|",AH36)-1))-VALUE(MID(AH36,FIND("-",AH36)+1,10)))))*$D$50)))))*$I36,0)),0)</f>
        <v>0</v>
      </c>
      <c r="AJ36" s="338"/>
      <c r="AK36" s="363" t="s">
        <v>266</v>
      </c>
      <c r="AL36" s="356" t="n">
        <f aca="false">IFERROR(IF($M36=AK36,($D$8+$D$9+$D$10)*$I36,IF($N36=LEFT(AK36,1),($D$8+MAX(0,IF($D$50=1,$D$9*(1-(ABS($Q36-ABS(VALUE(MID(AK36,FIND("|",AK36)+1,FIND("-",AK36)-FIND("|",AK36)-1))-VALUE(MID(AK36,FIND("-",AK36)+1,10)))))*$D$50),$D$9*(1-(IF($N36="X",ABS($O36-VALUE(MID(AK36,FIND("|",AK36)+1,FIND("-",AK36)-FIND("|",AK36)-1))),ABS($Q36-ABS(VALUE(MID(AK36,FIND("|",AK36)+1,FIND("-",AK36)-FIND("|",AK36)-1))-VALUE(MID(AK36,FIND("-",AK36)+1,10)))))*$D$50)))))*$I36,0)),0)</f>
        <v>0</v>
      </c>
      <c r="AM36" s="338"/>
      <c r="AN36" s="363" t="s">
        <v>264</v>
      </c>
      <c r="AO36" s="356" t="n">
        <f aca="false">IFERROR(IF($M36=AN36,($D$8+$D$9+$D$10)*$I36,IF($N36=LEFT(AN36,1),($D$8+MAX(0,IF($D$50=1,$D$9*(1-(ABS($Q36-ABS(VALUE(MID(AN36,FIND("|",AN36)+1,FIND("-",AN36)-FIND("|",AN36)-1))-VALUE(MID(AN36,FIND("-",AN36)+1,10)))))*$D$50),$D$9*(1-(IF($N36="X",ABS($O36-VALUE(MID(AN36,FIND("|",AN36)+1,FIND("-",AN36)-FIND("|",AN36)-1))),ABS($Q36-ABS(VALUE(MID(AN36,FIND("|",AN36)+1,FIND("-",AN36)-FIND("|",AN36)-1))-VALUE(MID(AN36,FIND("-",AN36)+1,10)))))*$D$50)))))*$I36,0)),0)</f>
        <v>0</v>
      </c>
      <c r="AP36" s="338"/>
      <c r="AQ36" s="363" t="s">
        <v>266</v>
      </c>
      <c r="AR36" s="356" t="n">
        <f aca="false">IFERROR(IF($M36=AQ36,($D$8+$D$9+$D$10)*$I36,IF($N36=LEFT(AQ36,1),($D$8+MAX(0,IF($D$50=1,$D$9*(1-(ABS($Q36-ABS(VALUE(MID(AQ36,FIND("|",AQ36)+1,FIND("-",AQ36)-FIND("|",AQ36)-1))-VALUE(MID(AQ36,FIND("-",AQ36)+1,10)))))*$D$50),$D$9*(1-(IF($N36="X",ABS($O36-VALUE(MID(AQ36,FIND("|",AQ36)+1,FIND("-",AQ36)-FIND("|",AQ36)-1))),ABS($Q36-ABS(VALUE(MID(AQ36,FIND("|",AQ36)+1,FIND("-",AQ36)-FIND("|",AQ36)-1))-VALUE(MID(AQ36,FIND("-",AQ36)+1,10)))))*$D$50)))))*$I36,0)),0)</f>
        <v>0</v>
      </c>
      <c r="AS36" s="338"/>
      <c r="AT36" s="363" t="s">
        <v>267</v>
      </c>
      <c r="AU36" s="356" t="n">
        <f aca="false">IFERROR(IF($M36=AT36,($D$8+$D$9+$D$10)*$I36,IF($N36=LEFT(AT36,1),($D$8+MAX(0,IF($D$50=1,$D$9*(1-(ABS($Q36-ABS(VALUE(MID(AT36,FIND("|",AT36)+1,FIND("-",AT36)-FIND("|",AT36)-1))-VALUE(MID(AT36,FIND("-",AT36)+1,10)))))*$D$50),$D$9*(1-(IF($N36="X",ABS($O36-VALUE(MID(AT36,FIND("|",AT36)+1,FIND("-",AT36)-FIND("|",AT36)-1))),ABS($Q36-ABS(VALUE(MID(AT36,FIND("|",AT36)+1,FIND("-",AT36)-FIND("|",AT36)-1))-VALUE(MID(AT36,FIND("-",AT36)+1,10)))))*$D$50)))))*$I36,0)),0)</f>
        <v>0</v>
      </c>
      <c r="AV36" s="338"/>
      <c r="AW36" s="363" t="s">
        <v>265</v>
      </c>
      <c r="AX36" s="356" t="n">
        <f aca="false">IFERROR(IF($M36=AW36,($D$8+$D$9+$D$10)*$I36,IF($N36=LEFT(AW36,1),($D$8+MAX(0,IF($D$50=1,$D$9*(1-(ABS($Q36-ABS(VALUE(MID(AW36,FIND("|",AW36)+1,FIND("-",AW36)-FIND("|",AW36)-1))-VALUE(MID(AW36,FIND("-",AW36)+1,10)))))*$D$50),$D$9*(1-(IF($N36="X",ABS($O36-VALUE(MID(AW36,FIND("|",AW36)+1,FIND("-",AW36)-FIND("|",AW36)-1))),ABS($Q36-ABS(VALUE(MID(AW36,FIND("|",AW36)+1,FIND("-",AW36)-FIND("|",AW36)-1))-VALUE(MID(AW36,FIND("-",AW36)+1,10)))))*$D$50)))))*$I36,0)),0)</f>
        <v>0</v>
      </c>
      <c r="AY36" s="338"/>
      <c r="AZ36" s="363" t="s">
        <v>267</v>
      </c>
      <c r="BA36" s="356" t="n">
        <f aca="false">IFERROR(IF($M36=AZ36,($D$8+$D$9+$D$10)*$I36,IF($N36=LEFT(AZ36,1),($D$8+MAX(0,IF($D$50=1,$D$9*(1-(ABS($Q36-ABS(VALUE(MID(AZ36,FIND("|",AZ36)+1,FIND("-",AZ36)-FIND("|",AZ36)-1))-VALUE(MID(AZ36,FIND("-",AZ36)+1,10)))))*$D$50),$D$9*(1-(IF($N36="X",ABS($O36-VALUE(MID(AZ36,FIND("|",AZ36)+1,FIND("-",AZ36)-FIND("|",AZ36)-1))),ABS($Q36-ABS(VALUE(MID(AZ36,FIND("|",AZ36)+1,FIND("-",AZ36)-FIND("|",AZ36)-1))-VALUE(MID(AZ36,FIND("-",AZ36)+1,10)))))*$D$50)))))*$I36,0)),0)</f>
        <v>0</v>
      </c>
      <c r="BB36" s="338"/>
      <c r="BC36" s="363" t="s">
        <v>264</v>
      </c>
      <c r="BD36" s="356" t="n">
        <f aca="false">IFERROR(IF($M36=BC36,($D$8+$D$9+$D$10)*$I36,IF($N36=LEFT(BC36,1),($D$8+MAX(0,IF($D$50=1,$D$9*(1-(ABS($Q36-ABS(VALUE(MID(BC36,FIND("|",BC36)+1,FIND("-",BC36)-FIND("|",BC36)-1))-VALUE(MID(BC36,FIND("-",BC36)+1,10)))))*$D$50),$D$9*(1-(IF($N36="X",ABS($O36-VALUE(MID(BC36,FIND("|",BC36)+1,FIND("-",BC36)-FIND("|",BC36)-1))),ABS($Q36-ABS(VALUE(MID(BC36,FIND("|",BC36)+1,FIND("-",BC36)-FIND("|",BC36)-1))-VALUE(MID(BC36,FIND("-",BC36)+1,10)))))*$D$50)))))*$I36,0)),0)</f>
        <v>0</v>
      </c>
      <c r="BE36" s="338"/>
      <c r="BF36" s="363" t="s">
        <v>275</v>
      </c>
      <c r="BG36" s="356" t="n">
        <f aca="false">IFERROR(IF($M36=BF36,($D$8+$D$9+$D$10)*$I36,IF($N36=LEFT(BF36,1),($D$8+MAX(0,IF($D$50=1,$D$9*(1-(ABS($Q36-ABS(VALUE(MID(BF36,FIND("|",BF36)+1,FIND("-",BF36)-FIND("|",BF36)-1))-VALUE(MID(BF36,FIND("-",BF36)+1,10)))))*$D$50),$D$9*(1-(IF($N36="X",ABS($O36-VALUE(MID(BF36,FIND("|",BF36)+1,FIND("-",BF36)-FIND("|",BF36)-1))),ABS($Q36-ABS(VALUE(MID(BF36,FIND("|",BF36)+1,FIND("-",BF36)-FIND("|",BF36)-1))-VALUE(MID(BF36,FIND("-",BF36)+1,10)))))*$D$50)))))*$I36,0)),0)</f>
        <v>0</v>
      </c>
      <c r="BH36" s="338"/>
      <c r="BI36" s="363" t="s">
        <v>265</v>
      </c>
      <c r="BJ36" s="356" t="n">
        <f aca="false">IFERROR(IF($M36=BI36,($D$8+$D$9+$D$10)*$I36,IF($N36=LEFT(BI36,1),($D$8+MAX(0,IF($D$50=1,$D$9*(1-(ABS($Q36-ABS(VALUE(MID(BI36,FIND("|",BI36)+1,FIND("-",BI36)-FIND("|",BI36)-1))-VALUE(MID(BI36,FIND("-",BI36)+1,10)))))*$D$50),$D$9*(1-(IF($N36="X",ABS($O36-VALUE(MID(BI36,FIND("|",BI36)+1,FIND("-",BI36)-FIND("|",BI36)-1))),ABS($Q36-ABS(VALUE(MID(BI36,FIND("|",BI36)+1,FIND("-",BI36)-FIND("|",BI36)-1))-VALUE(MID(BI36,FIND("-",BI36)+1,10)))))*$D$50)))))*$I36,0)),0)</f>
        <v>0</v>
      </c>
      <c r="BK36" s="338"/>
      <c r="BL36" s="363" t="s">
        <v>267</v>
      </c>
      <c r="BM36" s="356" t="n">
        <f aca="false">IFERROR(IF($M36=BL36,($D$8+$D$9+$D$10)*$I36,IF($N36=LEFT(BL36,1),($D$8+MAX(0,IF($D$50=1,$D$9*(1-(ABS($Q36-ABS(VALUE(MID(BL36,FIND("|",BL36)+1,FIND("-",BL36)-FIND("|",BL36)-1))-VALUE(MID(BL36,FIND("-",BL36)+1,10)))))*$D$50),$D$9*(1-(IF($N36="X",ABS($O36-VALUE(MID(BL36,FIND("|",BL36)+1,FIND("-",BL36)-FIND("|",BL36)-1))),ABS($Q36-ABS(VALUE(MID(BL36,FIND("|",BL36)+1,FIND("-",BL36)-FIND("|",BL36)-1))-VALUE(MID(BL36,FIND("-",BL36)+1,10)))))*$D$50)))))*$I36,0)),0)</f>
        <v>0</v>
      </c>
      <c r="BN36" s="338"/>
      <c r="BO36" s="363" t="s">
        <v>264</v>
      </c>
      <c r="BP36" s="356" t="n">
        <f aca="false">IFERROR(IF($M36=BO36,($D$8+$D$9+$D$10)*$I36,IF($N36=LEFT(BO36,1),($D$8+MAX(0,IF($D$50=1,$D$9*(1-(ABS($Q36-ABS(VALUE(MID(BO36,FIND("|",BO36)+1,FIND("-",BO36)-FIND("|",BO36)-1))-VALUE(MID(BO36,FIND("-",BO36)+1,10)))))*$D$50),$D$9*(1-(IF($N36="X",ABS($O36-VALUE(MID(BO36,FIND("|",BO36)+1,FIND("-",BO36)-FIND("|",BO36)-1))),ABS($Q36-ABS(VALUE(MID(BO36,FIND("|",BO36)+1,FIND("-",BO36)-FIND("|",BO36)-1))-VALUE(MID(BO36,FIND("-",BO36)+1,10)))))*$D$50)))))*$I36,0)),0)</f>
        <v>0</v>
      </c>
      <c r="BQ36" s="338"/>
      <c r="BR36" s="363" t="s">
        <v>266</v>
      </c>
      <c r="BS36" s="356" t="n">
        <f aca="false">IFERROR(IF($M36=BR36,($D$8+$D$9+$D$10)*$I36,IF($N36=LEFT(BR36,1),($D$8+MAX(0,IF($D$50=1,$D$9*(1-(ABS($Q36-ABS(VALUE(MID(BR36,FIND("|",BR36)+1,FIND("-",BR36)-FIND("|",BR36)-1))-VALUE(MID(BR36,FIND("-",BR36)+1,10)))))*$D$50),$D$9*(1-(IF($N36="X",ABS($O36-VALUE(MID(BR36,FIND("|",BR36)+1,FIND("-",BR36)-FIND("|",BR36)-1))),ABS($Q36-ABS(VALUE(MID(BR36,FIND("|",BR36)+1,FIND("-",BR36)-FIND("|",BR36)-1))-VALUE(MID(BR36,FIND("-",BR36)+1,10)))))*$D$50)))))*$I36,0)),0)</f>
        <v>0</v>
      </c>
      <c r="BT36" s="338"/>
      <c r="BU36" s="363"/>
      <c r="BV36" s="356" t="n">
        <f aca="false">IFERROR(IF($M36=BU36,($D$8+$D$9+$D$10)*$I36,IF($N36=LEFT(BU36,1),($D$8+MAX(0,IF($D$50=1,$D$9*(1-(ABS($Q36-ABS(VALUE(MID(BU36,FIND("|",BU36)+1,FIND("-",BU36)-FIND("|",BU36)-1))-VALUE(MID(BU36,FIND("-",BU36)+1,10)))))*$D$50),$D$9*(1-(IF($N36="X",ABS($O36-VALUE(MID(BU36,FIND("|",BU36)+1,FIND("-",BU36)-FIND("|",BU36)-1))),ABS($Q36-ABS(VALUE(MID(BU36,FIND("|",BU36)+1,FIND("-",BU36)-FIND("|",BU36)-1))-VALUE(MID(BU36,FIND("-",BU36)+1,10)))))*$D$50)))))*$I36,0)),0)</f>
        <v>0</v>
      </c>
      <c r="BW36" s="338"/>
      <c r="BX36" s="363"/>
      <c r="BY36" s="356" t="n">
        <f aca="false">IFERROR(IF($M36=BX36,($D$8+$D$9+$D$10)*$I36,IF($N36=LEFT(BX36,1),($D$8+MAX(0,IF($D$50=1,$D$9*(1-(ABS($Q36-ABS(VALUE(MID(BX36,FIND("|",BX36)+1,FIND("-",BX36)-FIND("|",BX36)-1))-VALUE(MID(BX36,FIND("-",BX36)+1,10)))))*$D$50),$D$9*(1-(IF($N36="X",ABS($O36-VALUE(MID(BX36,FIND("|",BX36)+1,FIND("-",BX36)-FIND("|",BX36)-1))),ABS($Q36-ABS(VALUE(MID(BX36,FIND("|",BX36)+1,FIND("-",BX36)-FIND("|",BX36)-1))-VALUE(MID(BX36,FIND("-",BX36)+1,10)))))*$D$50)))))*$I36,0)),0)</f>
        <v>0</v>
      </c>
      <c r="BZ36" s="338"/>
      <c r="CA36" s="363"/>
      <c r="CB36" s="356" t="n">
        <f aca="false">IFERROR(IF($M36=CA36,($D$8+$D$9+$D$10)*$I36,IF($N36=LEFT(CA36,1),($D$8+MAX(0,IF($D$50=1,$D$9*(1-(ABS($Q36-ABS(VALUE(MID(CA36,FIND("|",CA36)+1,FIND("-",CA36)-FIND("|",CA36)-1))-VALUE(MID(CA36,FIND("-",CA36)+1,10)))))*$D$50),$D$9*(1-(IF($N36="X",ABS($O36-VALUE(MID(CA36,FIND("|",CA36)+1,FIND("-",CA36)-FIND("|",CA36)-1))),ABS($Q36-ABS(VALUE(MID(CA36,FIND("|",CA36)+1,FIND("-",CA36)-FIND("|",CA36)-1))-VALUE(MID(CA36,FIND("-",CA36)+1,10)))))*$D$50)))))*$I36,0)),0)</f>
        <v>0</v>
      </c>
      <c r="CC36" s="338"/>
      <c r="CD36" s="363"/>
      <c r="CE36" s="356" t="n">
        <f aca="false">IFERROR(IF($M36=CD36,($D$8+$D$9+$D$10)*$I36,IF($N36=LEFT(CD36,1),($D$8+MAX(0,IF($D$50=1,$D$9*(1-(ABS($Q36-ABS(VALUE(MID(CD36,FIND("|",CD36)+1,FIND("-",CD36)-FIND("|",CD36)-1))-VALUE(MID(CD36,FIND("-",CD36)+1,10)))))*$D$50),$D$9*(1-(IF($N36="X",ABS($O36-VALUE(MID(CD36,FIND("|",CD36)+1,FIND("-",CD36)-FIND("|",CD36)-1))),ABS($Q36-ABS(VALUE(MID(CD36,FIND("|",CD36)+1,FIND("-",CD36)-FIND("|",CD36)-1))-VALUE(MID(CD36,FIND("-",CD36)+1,10)))))*$D$50)))))*$I36,0)),0)</f>
        <v>0</v>
      </c>
      <c r="CF36" s="338"/>
      <c r="CG36" s="363"/>
      <c r="CH36" s="356" t="n">
        <f aca="false">IFERROR(IF($M36=CG36,($D$8+$D$9+$D$10)*$I36,IF($N36=LEFT(CG36,1),($D$8+MAX(0,IF($D$50=1,$D$9*(1-(ABS($Q36-ABS(VALUE(MID(CG36,FIND("|",CG36)+1,FIND("-",CG36)-FIND("|",CG36)-1))-VALUE(MID(CG36,FIND("-",CG36)+1,10)))))*$D$50),$D$9*(1-(IF($N36="X",ABS($O36-VALUE(MID(CG36,FIND("|",CG36)+1,FIND("-",CG36)-FIND("|",CG36)-1))),ABS($Q36-ABS(VALUE(MID(CG36,FIND("|",CG36)+1,FIND("-",CG36)-FIND("|",CG36)-1))-VALUE(MID(CG36,FIND("-",CG36)+1,10)))))*$D$50)))))*$I36,0)),0)</f>
        <v>0</v>
      </c>
      <c r="CI36" s="338"/>
      <c r="CJ36" s="363"/>
      <c r="CK36" s="356" t="n">
        <f aca="false">IFERROR(IF($M36=CJ36,($D$8+$D$9+$D$10)*$I36,IF($N36=LEFT(CJ36,1),($D$8+MAX(0,IF($D$50=1,$D$9*(1-(ABS($Q36-ABS(VALUE(MID(CJ36,FIND("|",CJ36)+1,FIND("-",CJ36)-FIND("|",CJ36)-1))-VALUE(MID(CJ36,FIND("-",CJ36)+1,10)))))*$D$50),$D$9*(1-(IF($N36="X",ABS($O36-VALUE(MID(CJ36,FIND("|",CJ36)+1,FIND("-",CJ36)-FIND("|",CJ36)-1))),ABS($Q36-ABS(VALUE(MID(CJ36,FIND("|",CJ36)+1,FIND("-",CJ36)-FIND("|",CJ36)-1))-VALUE(MID(CJ36,FIND("-",CJ36)+1,10)))))*$D$50)))))*$I36,0)),0)</f>
        <v>0</v>
      </c>
      <c r="CL36" s="338"/>
      <c r="CM36" s="363"/>
      <c r="CN36" s="356" t="n">
        <f aca="false">IFERROR(IF($M36=CM36,($D$8+$D$9+$D$10)*$I36,IF($N36=LEFT(CM36,1),($D$8+MAX(0,IF($D$50=1,$D$9*(1-(ABS($Q36-ABS(VALUE(MID(CM36,FIND("|",CM36)+1,FIND("-",CM36)-FIND("|",CM36)-1))-VALUE(MID(CM36,FIND("-",CM36)+1,10)))))*$D$50),$D$9*(1-(IF($N36="X",ABS($O36-VALUE(MID(CM36,FIND("|",CM36)+1,FIND("-",CM36)-FIND("|",CM36)-1))),ABS($Q36-ABS(VALUE(MID(CM36,FIND("|",CM36)+1,FIND("-",CM36)-FIND("|",CM36)-1))-VALUE(MID(CM36,FIND("-",CM36)+1,10)))))*$D$50)))))*$I36,0)),0)</f>
        <v>0</v>
      </c>
      <c r="CO36" s="338"/>
      <c r="CP36" s="363"/>
      <c r="CQ36" s="356" t="n">
        <f aca="false">IFERROR(IF($M36=CP36,($D$8+$D$9+$D$10)*$I36,IF($N36=LEFT(CP36,1),($D$8+MAX(0,IF($D$50=1,$D$9*(1-(ABS($Q36-ABS(VALUE(MID(CP36,FIND("|",CP36)+1,FIND("-",CP36)-FIND("|",CP36)-1))-VALUE(MID(CP36,FIND("-",CP36)+1,10)))))*$D$50),$D$9*(1-(IF($N36="X",ABS($O36-VALUE(MID(CP36,FIND("|",CP36)+1,FIND("-",CP36)-FIND("|",CP36)-1))),ABS($Q36-ABS(VALUE(MID(CP36,FIND("|",CP36)+1,FIND("-",CP36)-FIND("|",CP36)-1))-VALUE(MID(CP36,FIND("-",CP36)+1,10)))))*$D$50)))))*$I36,0)),0)</f>
        <v>0</v>
      </c>
      <c r="CR36" s="338"/>
      <c r="CS36" s="363"/>
      <c r="CT36" s="356" t="n">
        <f aca="false">IFERROR(IF($M36=CS36,($D$8+$D$9+$D$10)*$I36,IF($N36=LEFT(CS36,1),($D$8+MAX(0,IF($D$50=1,$D$9*(1-(ABS($Q36-ABS(VALUE(MID(CS36,FIND("|",CS36)+1,FIND("-",CS36)-FIND("|",CS36)-1))-VALUE(MID(CS36,FIND("-",CS36)+1,10)))))*$D$50),$D$9*(1-(IF($N36="X",ABS($O36-VALUE(MID(CS36,FIND("|",CS36)+1,FIND("-",CS36)-FIND("|",CS36)-1))),ABS($Q36-ABS(VALUE(MID(CS36,FIND("|",CS36)+1,FIND("-",CS36)-FIND("|",CS36)-1))-VALUE(MID(CS36,FIND("-",CS36)+1,10)))))*$D$50)))))*$I36,0)),0)</f>
        <v>0</v>
      </c>
      <c r="CU36" s="338"/>
      <c r="CV36" s="363"/>
      <c r="CW36" s="356" t="n">
        <f aca="false">IFERROR(IF($M36=CV36,($D$8+$D$9+$D$10)*$I36,IF($N36=LEFT(CV36,1),($D$8+MAX(0,IF($D$50=1,$D$9*(1-(ABS($Q36-ABS(VALUE(MID(CV36,FIND("|",CV36)+1,FIND("-",CV36)-FIND("|",CV36)-1))-VALUE(MID(CV36,FIND("-",CV36)+1,10)))))*$D$50),$D$9*(1-(IF($N36="X",ABS($O36-VALUE(MID(CV36,FIND("|",CV36)+1,FIND("-",CV36)-FIND("|",CV36)-1))),ABS($Q36-ABS(VALUE(MID(CV36,FIND("|",CV36)+1,FIND("-",CV36)-FIND("|",CV36)-1))-VALUE(MID(CV36,FIND("-",CV36)+1,10)))))*$D$50)))))*$I36,0)),0)</f>
        <v>0</v>
      </c>
      <c r="CX36" s="338"/>
      <c r="CY36" s="363"/>
      <c r="CZ36" s="356" t="n">
        <f aca="false">IFERROR(IF($M36=CY36,($D$8+$D$9+$D$10)*$I36,IF($N36=LEFT(CY36,1),($D$8+MAX(0,IF($D$50=1,$D$9*(1-(ABS($Q36-ABS(VALUE(MID(CY36,FIND("|",CY36)+1,FIND("-",CY36)-FIND("|",CY36)-1))-VALUE(MID(CY36,FIND("-",CY36)+1,10)))))*$D$50),$D$9*(1-(IF($N36="X",ABS($O36-VALUE(MID(CY36,FIND("|",CY36)+1,FIND("-",CY36)-FIND("|",CY36)-1))),ABS($Q36-ABS(VALUE(MID(CY36,FIND("|",CY36)+1,FIND("-",CY36)-FIND("|",CY36)-1))-VALUE(MID(CY36,FIND("-",CY36)+1,10)))))*$D$50)))))*$I36,0)),0)</f>
        <v>0</v>
      </c>
      <c r="DA36" s="338"/>
      <c r="DB36" s="363"/>
      <c r="DC36" s="356" t="n">
        <f aca="false">IFERROR(IF($M36=DB36,($D$8+$D$9+$D$10)*$I36,IF($N36=LEFT(DB36,1),($D$8+MAX(0,IF($D$50=1,$D$9*(1-(ABS($Q36-ABS(VALUE(MID(DB36,FIND("|",DB36)+1,FIND("-",DB36)-FIND("|",DB36)-1))-VALUE(MID(DB36,FIND("-",DB36)+1,10)))))*$D$50),$D$9*(1-(IF($N36="X",ABS($O36-VALUE(MID(DB36,FIND("|",DB36)+1,FIND("-",DB36)-FIND("|",DB36)-1))),ABS($Q36-ABS(VALUE(MID(DB36,FIND("|",DB36)+1,FIND("-",DB36)-FIND("|",DB36)-1))-VALUE(MID(DB36,FIND("-",DB36)+1,10)))))*$D$50)))))*$I36,0)),0)</f>
        <v>0</v>
      </c>
      <c r="DD36" s="338"/>
      <c r="DE36" s="363"/>
      <c r="DF36" s="356" t="n">
        <f aca="false">IFERROR(IF($M36=DE36,($D$8+$D$9+$D$10)*$I36,IF($N36=LEFT(DE36,1),($D$8+MAX(0,IF($D$50=1,$D$9*(1-(ABS($Q36-ABS(VALUE(MID(DE36,FIND("|",DE36)+1,FIND("-",DE36)-FIND("|",DE36)-1))-VALUE(MID(DE36,FIND("-",DE36)+1,10)))))*$D$50),$D$9*(1-(IF($N36="X",ABS($O36-VALUE(MID(DE36,FIND("|",DE36)+1,FIND("-",DE36)-FIND("|",DE36)-1))),ABS($Q36-ABS(VALUE(MID(DE36,FIND("|",DE36)+1,FIND("-",DE36)-FIND("|",DE36)-1))-VALUE(MID(DE36,FIND("-",DE36)+1,10)))))*$D$50)))))*$I36,0)),0)</f>
        <v>0</v>
      </c>
      <c r="DG36" s="338"/>
      <c r="DH36" s="363"/>
      <c r="DI36" s="356" t="n">
        <f aca="false">IFERROR(IF($M36=DH36,($D$8+$D$9+$D$10)*$I36,IF($N36=LEFT(DH36,1),($D$8+MAX(0,IF($D$50=1,$D$9*(1-(ABS($Q36-ABS(VALUE(MID(DH36,FIND("|",DH36)+1,FIND("-",DH36)-FIND("|",DH36)-1))-VALUE(MID(DH36,FIND("-",DH36)+1,10)))))*$D$50),$D$9*(1-(IF($N36="X",ABS($O36-VALUE(MID(DH36,FIND("|",DH36)+1,FIND("-",DH36)-FIND("|",DH36)-1))),ABS($Q36-ABS(VALUE(MID(DH36,FIND("|",DH36)+1,FIND("-",DH36)-FIND("|",DH36)-1))-VALUE(MID(DH36,FIND("-",DH36)+1,10)))))*$D$50)))))*$I36,0)),0)</f>
        <v>0</v>
      </c>
      <c r="DJ36" s="338"/>
      <c r="DK36" s="363"/>
      <c r="DL36" s="356" t="n">
        <f aca="false">IFERROR(IF($M36=DK36,($D$8+$D$9+$D$10)*$I36,IF($N36=LEFT(DK36,1),($D$8+MAX(0,IF($D$50=1,$D$9*(1-(ABS($Q36-ABS(VALUE(MID(DK36,FIND("|",DK36)+1,FIND("-",DK36)-FIND("|",DK36)-1))-VALUE(MID(DK36,FIND("-",DK36)+1,10)))))*$D$50),$D$9*(1-(IF($N36="X",ABS($O36-VALUE(MID(DK36,FIND("|",DK36)+1,FIND("-",DK36)-FIND("|",DK36)-1))),ABS($Q36-ABS(VALUE(MID(DK36,FIND("|",DK36)+1,FIND("-",DK36)-FIND("|",DK36)-1))-VALUE(MID(DK36,FIND("-",DK36)+1,10)))))*$D$50)))))*$I36,0)),0)</f>
        <v>0</v>
      </c>
      <c r="DM36" s="338"/>
      <c r="DN36" s="363"/>
      <c r="DO36" s="356" t="n">
        <f aca="false">IFERROR(IF($M36=DN36,($D$8+$D$9+$D$10)*$I36,IF($N36=LEFT(DN36,1),($D$8+MAX(0,IF($D$50=1,$D$9*(1-(ABS($Q36-ABS(VALUE(MID(DN36,FIND("|",DN36)+1,FIND("-",DN36)-FIND("|",DN36)-1))-VALUE(MID(DN36,FIND("-",DN36)+1,10)))))*$D$50),$D$9*(1-(IF($N36="X",ABS($O36-VALUE(MID(DN36,FIND("|",DN36)+1,FIND("-",DN36)-FIND("|",DN36)-1))),ABS($Q36-ABS(VALUE(MID(DN36,FIND("|",DN36)+1,FIND("-",DN36)-FIND("|",DN36)-1))-VALUE(MID(DN36,FIND("-",DN36)+1,10)))))*$D$50)))))*$I36,0)),0)</f>
        <v>0</v>
      </c>
      <c r="DP36" s="338"/>
      <c r="DQ36" s="363"/>
      <c r="DR36" s="356" t="n">
        <f aca="false">IFERROR(IF($M36=DQ36,($D$8+$D$9+$D$10)*$I36,IF($N36=LEFT(DQ36,1),($D$8+MAX(0,IF($D$50=1,$D$9*(1-(ABS($Q36-ABS(VALUE(MID(DQ36,FIND("|",DQ36)+1,FIND("-",DQ36)-FIND("|",DQ36)-1))-VALUE(MID(DQ36,FIND("-",DQ36)+1,10)))))*$D$50),$D$9*(1-(IF($N36="X",ABS($O36-VALUE(MID(DQ36,FIND("|",DQ36)+1,FIND("-",DQ36)-FIND("|",DQ36)-1))),ABS($Q36-ABS(VALUE(MID(DQ36,FIND("|",DQ36)+1,FIND("-",DQ36)-FIND("|",DQ36)-1))-VALUE(MID(DQ36,FIND("-",DQ36)+1,10)))))*$D$50)))))*$I36,0)),0)</f>
        <v>0</v>
      </c>
      <c r="DS36" s="338"/>
      <c r="DT36" s="363"/>
      <c r="DU36" s="356" t="n">
        <f aca="false">IFERROR(IF($M36=DT36,($D$8+$D$9+$D$10)*$I36,IF($N36=LEFT(DT36,1),($D$8+MAX(0,IF($D$50=1,$D$9*(1-(ABS($Q36-ABS(VALUE(MID(DT36,FIND("|",DT36)+1,FIND("-",DT36)-FIND("|",DT36)-1))-VALUE(MID(DT36,FIND("-",DT36)+1,10)))))*$D$50),$D$9*(1-(IF($N36="X",ABS($O36-VALUE(MID(DT36,FIND("|",DT36)+1,FIND("-",DT36)-FIND("|",DT36)-1))),ABS($Q36-ABS(VALUE(MID(DT36,FIND("|",DT36)+1,FIND("-",DT36)-FIND("|",DT36)-1))-VALUE(MID(DT36,FIND("-",DT36)+1,10)))))*$D$50)))))*$I36,0)),0)</f>
        <v>0</v>
      </c>
      <c r="DV36" s="338"/>
      <c r="DW36" s="363"/>
      <c r="DX36" s="356" t="n">
        <f aca="false">IFERROR(IF($M36=DW36,($D$8+$D$9+$D$10)*$I36,IF($N36=LEFT(DW36,1),($D$8+MAX(0,IF($D$50=1,$D$9*(1-(ABS($Q36-ABS(VALUE(MID(DW36,FIND("|",DW36)+1,FIND("-",DW36)-FIND("|",DW36)-1))-VALUE(MID(DW36,FIND("-",DW36)+1,10)))))*$D$50),$D$9*(1-(IF($N36="X",ABS($O36-VALUE(MID(DW36,FIND("|",DW36)+1,FIND("-",DW36)-FIND("|",DW36)-1))),ABS($Q36-ABS(VALUE(MID(DW36,FIND("|",DW36)+1,FIND("-",DW36)-FIND("|",DW36)-1))-VALUE(MID(DW36,FIND("-",DW36)+1,10)))))*$D$50)))))*$I36,0)),0)</f>
        <v>0</v>
      </c>
      <c r="DY36" s="338"/>
      <c r="DZ36" s="363"/>
      <c r="EA36" s="356" t="n">
        <f aca="false">IFERROR(IF($M36=DZ36,($D$8+$D$9+$D$10)*$I36,IF($N36=LEFT(DZ36,1),($D$8+MAX(0,IF($D$50=1,$D$9*(1-(ABS($Q36-ABS(VALUE(MID(DZ36,FIND("|",DZ36)+1,FIND("-",DZ36)-FIND("|",DZ36)-1))-VALUE(MID(DZ36,FIND("-",DZ36)+1,10)))))*$D$50),$D$9*(1-(IF($N36="X",ABS($O36-VALUE(MID(DZ36,FIND("|",DZ36)+1,FIND("-",DZ36)-FIND("|",DZ36)-1))),ABS($Q36-ABS(VALUE(MID(DZ36,FIND("|",DZ36)+1,FIND("-",DZ36)-FIND("|",DZ36)-1))-VALUE(MID(DZ36,FIND("-",DZ36)+1,10)))))*$D$50)))))*$I36,0)),0)</f>
        <v>0</v>
      </c>
      <c r="EB36" s="338"/>
      <c r="EC36" s="363"/>
      <c r="ED36" s="356" t="n">
        <f aca="false">IFERROR(IF($M36=EC36,($D$8+$D$9+$D$10)*$I36,IF($N36=LEFT(EC36,1),($D$8+MAX(0,IF($D$50=1,$D$9*(1-(ABS($Q36-ABS(VALUE(MID(EC36,FIND("|",EC36)+1,FIND("-",EC36)-FIND("|",EC36)-1))-VALUE(MID(EC36,FIND("-",EC36)+1,10)))))*$D$50),$D$9*(1-(IF($N36="X",ABS($O36-VALUE(MID(EC36,FIND("|",EC36)+1,FIND("-",EC36)-FIND("|",EC36)-1))),ABS($Q36-ABS(VALUE(MID(EC36,FIND("|",EC36)+1,FIND("-",EC36)-FIND("|",EC36)-1))-VALUE(MID(EC36,FIND("-",EC36)+1,10)))))*$D$50)))))*$I36,0)),0)</f>
        <v>0</v>
      </c>
      <c r="EE36" s="338"/>
      <c r="EF36" s="363"/>
      <c r="EG36" s="356" t="n">
        <f aca="false">IFERROR(IF($M36=EF36,($D$8+$D$9+$D$10)*$I36,IF($N36=LEFT(EF36,1),($D$8+MAX(0,IF($D$50=1,$D$9*(1-(ABS($Q36-ABS(VALUE(MID(EF36,FIND("|",EF36)+1,FIND("-",EF36)-FIND("|",EF36)-1))-VALUE(MID(EF36,FIND("-",EF36)+1,10)))))*$D$50),$D$9*(1-(IF($N36="X",ABS($O36-VALUE(MID(EF36,FIND("|",EF36)+1,FIND("-",EF36)-FIND("|",EF36)-1))),ABS($Q36-ABS(VALUE(MID(EF36,FIND("|",EF36)+1,FIND("-",EF36)-FIND("|",EF36)-1))-VALUE(MID(EF36,FIND("-",EF36)+1,10)))))*$D$50)))))*$I36,0)),0)</f>
        <v>0</v>
      </c>
      <c r="EH36" s="338"/>
      <c r="EI36" s="338"/>
    </row>
    <row r="37" customFormat="false" ht="15" hidden="false" customHeight="false" outlineLevel="0" collapsed="false">
      <c r="A37" s="327"/>
      <c r="B37" s="327"/>
      <c r="C37" s="364" t="str">
        <f aca="false">Idiomas!D333&amp;"**"</f>
        <v>FINAL - Diferencia/Distancia de goles (Con 1X2 acertado)**</v>
      </c>
      <c r="D37" s="365" t="n">
        <v>2</v>
      </c>
      <c r="E37" s="334"/>
      <c r="F37" s="343" t="n">
        <f aca="false">SUM($D$8:$D$10)*I37</f>
        <v>17</v>
      </c>
      <c r="G37" s="343" t="n">
        <f aca="false">VLOOKUP(H37,Equipos!$Q$1:$R$25,2,0)</f>
        <v>10</v>
      </c>
      <c r="H37" s="351" t="n">
        <f aca="false">TRUNC(INDEX(WORLDCUP!$X$4:$X$147,MATCH(ADMIN!K37,WORLDCUP!$DT$4:$DT$147,0))+INDEX(Horarios!$R$3:$R$86,MATCH(Horarios!$C$3,Horarios!$P$3:$P$86,0))/24)</f>
        <v>46193</v>
      </c>
      <c r="I37" s="352" t="n">
        <v>1</v>
      </c>
      <c r="J37" s="362" t="s">
        <v>301</v>
      </c>
      <c r="K37" s="367" t="str">
        <f aca="false">CONCATENATE(WORLDCUP!AA31,"-",WORLDCUP!AF31)</f>
        <v>Turquía-Paraguay</v>
      </c>
      <c r="L37" s="354"/>
      <c r="M37" s="359" t="str">
        <f aca="false">IF(OR(WORLDCUP!AC31="",WORLDCUP!AD31=""),"-",N37&amp;"|"&amp;O37&amp;"-"&amp;P37)</f>
        <v>-</v>
      </c>
      <c r="N37" s="332" t="str">
        <f aca="false">IF(OR(WORLDCUP!AC31="",WORLDCUP!AD31=""),"",IF(WORLDCUP!AC31&gt;WORLDCUP!AD31,"1",IF(WORLDCUP!AC31&lt;WORLDCUP!AD31,"2","X")))</f>
        <v/>
      </c>
      <c r="O37" s="332" t="n">
        <f aca="false">WORLDCUP!AC31</f>
        <v>0</v>
      </c>
      <c r="P37" s="332" t="n">
        <f aca="false">WORLDCUP!AD31</f>
        <v>0</v>
      </c>
      <c r="Q37" s="332" t="n">
        <f aca="false">ABS(O37-P37)</f>
        <v>0</v>
      </c>
      <c r="R37" s="327"/>
      <c r="S37" s="363" t="s">
        <v>266</v>
      </c>
      <c r="T37" s="356" t="n">
        <f aca="false">IFERROR(IF($M37=S37,($D$8+$D$9+$D$10)*$I37,IF($N37=LEFT(S37,1),($D$8+MAX(0,IF($D$50=1,$D$9*(1-(ABS($Q37-ABS(VALUE(MID(S37,FIND("|",S37)+1,FIND("-",S37)-FIND("|",S37)-1))-VALUE(MID(S37,FIND("-",S37)+1,10)))))*$D$50),$D$9*(1-(IF($N37="X",ABS($O37-VALUE(MID(S37,FIND("|",S37)+1,FIND("-",S37)-FIND("|",S37)-1))),ABS($Q37-ABS(VALUE(MID(S37,FIND("|",S37)+1,FIND("-",S37)-FIND("|",S37)-1))-VALUE(MID(S37,FIND("-",S37)+1,10)))))*$D$50)))))*$I37,0)),0)</f>
        <v>0</v>
      </c>
      <c r="U37" s="338"/>
      <c r="V37" s="363" t="s">
        <v>267</v>
      </c>
      <c r="W37" s="356" t="n">
        <f aca="false">IFERROR(IF($M37=V37,($D$8+$D$9+$D$10)*$I37,IF($N37=LEFT(V37,1),($D$8+MAX(0,IF($D$50=1,$D$9*(1-(ABS($Q37-ABS(VALUE(MID(V37,FIND("|",V37)+1,FIND("-",V37)-FIND("|",V37)-1))-VALUE(MID(V37,FIND("-",V37)+1,10)))))*$D$50),$D$9*(1-(IF($N37="X",ABS($O37-VALUE(MID(V37,FIND("|",V37)+1,FIND("-",V37)-FIND("|",V37)-1))),ABS($Q37-ABS(VALUE(MID(V37,FIND("|",V37)+1,FIND("-",V37)-FIND("|",V37)-1))-VALUE(MID(V37,FIND("-",V37)+1,10)))))*$D$50)))))*$I37,0)),0)</f>
        <v>0</v>
      </c>
      <c r="X37" s="338"/>
      <c r="Y37" s="363" t="s">
        <v>265</v>
      </c>
      <c r="Z37" s="356" t="n">
        <f aca="false">IFERROR(IF($M37=Y37,($D$8+$D$9+$D$10)*$I37,IF($N37=LEFT(Y37,1),($D$8+MAX(0,IF($D$50=1,$D$9*(1-(ABS($Q37-ABS(VALUE(MID(Y37,FIND("|",Y37)+1,FIND("-",Y37)-FIND("|",Y37)-1))-VALUE(MID(Y37,FIND("-",Y37)+1,10)))))*$D$50),$D$9*(1-(IF($N37="X",ABS($O37-VALUE(MID(Y37,FIND("|",Y37)+1,FIND("-",Y37)-FIND("|",Y37)-1))),ABS($Q37-ABS(VALUE(MID(Y37,FIND("|",Y37)+1,FIND("-",Y37)-FIND("|",Y37)-1))-VALUE(MID(Y37,FIND("-",Y37)+1,10)))))*$D$50)))))*$I37,0)),0)</f>
        <v>0</v>
      </c>
      <c r="AA37" s="338"/>
      <c r="AB37" s="363" t="s">
        <v>266</v>
      </c>
      <c r="AC37" s="356" t="n">
        <f aca="false">IFERROR(IF($M37=AB37,($D$8+$D$9+$D$10)*$I37,IF($N37=LEFT(AB37,1),($D$8+MAX(0,IF($D$50=1,$D$9*(1-(ABS($Q37-ABS(VALUE(MID(AB37,FIND("|",AB37)+1,FIND("-",AB37)-FIND("|",AB37)-1))-VALUE(MID(AB37,FIND("-",AB37)+1,10)))))*$D$50),$D$9*(1-(IF($N37="X",ABS($O37-VALUE(MID(AB37,FIND("|",AB37)+1,FIND("-",AB37)-FIND("|",AB37)-1))),ABS($Q37-ABS(VALUE(MID(AB37,FIND("|",AB37)+1,FIND("-",AB37)-FIND("|",AB37)-1))-VALUE(MID(AB37,FIND("-",AB37)+1,10)))))*$D$50)))))*$I37,0)),0)</f>
        <v>0</v>
      </c>
      <c r="AD37" s="338"/>
      <c r="AE37" s="363" t="s">
        <v>266</v>
      </c>
      <c r="AF37" s="356" t="n">
        <f aca="false">IFERROR(IF($M37=AE37,($D$8+$D$9+$D$10)*$I37,IF($N37=LEFT(AE37,1),($D$8+MAX(0,IF($D$50=1,$D$9*(1-(ABS($Q37-ABS(VALUE(MID(AE37,FIND("|",AE37)+1,FIND("-",AE37)-FIND("|",AE37)-1))-VALUE(MID(AE37,FIND("-",AE37)+1,10)))))*$D$50),$D$9*(1-(IF($N37="X",ABS($O37-VALUE(MID(AE37,FIND("|",AE37)+1,FIND("-",AE37)-FIND("|",AE37)-1))),ABS($Q37-ABS(VALUE(MID(AE37,FIND("|",AE37)+1,FIND("-",AE37)-FIND("|",AE37)-1))-VALUE(MID(AE37,FIND("-",AE37)+1,10)))))*$D$50)))))*$I37,0)),0)</f>
        <v>0</v>
      </c>
      <c r="AG37" s="338"/>
      <c r="AH37" s="363" t="s">
        <v>264</v>
      </c>
      <c r="AI37" s="356" t="n">
        <f aca="false">IFERROR(IF($M37=AH37,($D$8+$D$9+$D$10)*$I37,IF($N37=LEFT(AH37,1),($D$8+MAX(0,IF($D$50=1,$D$9*(1-(ABS($Q37-ABS(VALUE(MID(AH37,FIND("|",AH37)+1,FIND("-",AH37)-FIND("|",AH37)-1))-VALUE(MID(AH37,FIND("-",AH37)+1,10)))))*$D$50),$D$9*(1-(IF($N37="X",ABS($O37-VALUE(MID(AH37,FIND("|",AH37)+1,FIND("-",AH37)-FIND("|",AH37)-1))),ABS($Q37-ABS(VALUE(MID(AH37,FIND("|",AH37)+1,FIND("-",AH37)-FIND("|",AH37)-1))-VALUE(MID(AH37,FIND("-",AH37)+1,10)))))*$D$50)))))*$I37,0)),0)</f>
        <v>0</v>
      </c>
      <c r="AJ37" s="338"/>
      <c r="AK37" s="363" t="s">
        <v>264</v>
      </c>
      <c r="AL37" s="356" t="n">
        <f aca="false">IFERROR(IF($M37=AK37,($D$8+$D$9+$D$10)*$I37,IF($N37=LEFT(AK37,1),($D$8+MAX(0,IF($D$50=1,$D$9*(1-(ABS($Q37-ABS(VALUE(MID(AK37,FIND("|",AK37)+1,FIND("-",AK37)-FIND("|",AK37)-1))-VALUE(MID(AK37,FIND("-",AK37)+1,10)))))*$D$50),$D$9*(1-(IF($N37="X",ABS($O37-VALUE(MID(AK37,FIND("|",AK37)+1,FIND("-",AK37)-FIND("|",AK37)-1))),ABS($Q37-ABS(VALUE(MID(AK37,FIND("|",AK37)+1,FIND("-",AK37)-FIND("|",AK37)-1))-VALUE(MID(AK37,FIND("-",AK37)+1,10)))))*$D$50)))))*$I37,0)),0)</f>
        <v>0</v>
      </c>
      <c r="AM37" s="338"/>
      <c r="AN37" s="363" t="s">
        <v>267</v>
      </c>
      <c r="AO37" s="356" t="n">
        <f aca="false">IFERROR(IF($M37=AN37,($D$8+$D$9+$D$10)*$I37,IF($N37=LEFT(AN37,1),($D$8+MAX(0,IF($D$50=1,$D$9*(1-(ABS($Q37-ABS(VALUE(MID(AN37,FIND("|",AN37)+1,FIND("-",AN37)-FIND("|",AN37)-1))-VALUE(MID(AN37,FIND("-",AN37)+1,10)))))*$D$50),$D$9*(1-(IF($N37="X",ABS($O37-VALUE(MID(AN37,FIND("|",AN37)+1,FIND("-",AN37)-FIND("|",AN37)-1))),ABS($Q37-ABS(VALUE(MID(AN37,FIND("|",AN37)+1,FIND("-",AN37)-FIND("|",AN37)-1))-VALUE(MID(AN37,FIND("-",AN37)+1,10)))))*$D$50)))))*$I37,0)),0)</f>
        <v>0</v>
      </c>
      <c r="AP37" s="338"/>
      <c r="AQ37" s="363" t="s">
        <v>264</v>
      </c>
      <c r="AR37" s="356" t="n">
        <f aca="false">IFERROR(IF($M37=AQ37,($D$8+$D$9+$D$10)*$I37,IF($N37=LEFT(AQ37,1),($D$8+MAX(0,IF($D$50=1,$D$9*(1-(ABS($Q37-ABS(VALUE(MID(AQ37,FIND("|",AQ37)+1,FIND("-",AQ37)-FIND("|",AQ37)-1))-VALUE(MID(AQ37,FIND("-",AQ37)+1,10)))))*$D$50),$D$9*(1-(IF($N37="X",ABS($O37-VALUE(MID(AQ37,FIND("|",AQ37)+1,FIND("-",AQ37)-FIND("|",AQ37)-1))),ABS($Q37-ABS(VALUE(MID(AQ37,FIND("|",AQ37)+1,FIND("-",AQ37)-FIND("|",AQ37)-1))-VALUE(MID(AQ37,FIND("-",AQ37)+1,10)))))*$D$50)))))*$I37,0)),0)</f>
        <v>0</v>
      </c>
      <c r="AS37" s="338"/>
      <c r="AT37" s="363" t="s">
        <v>264</v>
      </c>
      <c r="AU37" s="356" t="n">
        <f aca="false">IFERROR(IF($M37=AT37,($D$8+$D$9+$D$10)*$I37,IF($N37=LEFT(AT37,1),($D$8+MAX(0,IF($D$50=1,$D$9*(1-(ABS($Q37-ABS(VALUE(MID(AT37,FIND("|",AT37)+1,FIND("-",AT37)-FIND("|",AT37)-1))-VALUE(MID(AT37,FIND("-",AT37)+1,10)))))*$D$50),$D$9*(1-(IF($N37="X",ABS($O37-VALUE(MID(AT37,FIND("|",AT37)+1,FIND("-",AT37)-FIND("|",AT37)-1))),ABS($Q37-ABS(VALUE(MID(AT37,FIND("|",AT37)+1,FIND("-",AT37)-FIND("|",AT37)-1))-VALUE(MID(AT37,FIND("-",AT37)+1,10)))))*$D$50)))))*$I37,0)),0)</f>
        <v>0</v>
      </c>
      <c r="AV37" s="338"/>
      <c r="AW37" s="363" t="s">
        <v>265</v>
      </c>
      <c r="AX37" s="356" t="n">
        <f aca="false">IFERROR(IF($M37=AW37,($D$8+$D$9+$D$10)*$I37,IF($N37=LEFT(AW37,1),($D$8+MAX(0,IF($D$50=1,$D$9*(1-(ABS($Q37-ABS(VALUE(MID(AW37,FIND("|",AW37)+1,FIND("-",AW37)-FIND("|",AW37)-1))-VALUE(MID(AW37,FIND("-",AW37)+1,10)))))*$D$50),$D$9*(1-(IF($N37="X",ABS($O37-VALUE(MID(AW37,FIND("|",AW37)+1,FIND("-",AW37)-FIND("|",AW37)-1))),ABS($Q37-ABS(VALUE(MID(AW37,FIND("|",AW37)+1,FIND("-",AW37)-FIND("|",AW37)-1))-VALUE(MID(AW37,FIND("-",AW37)+1,10)))))*$D$50)))))*$I37,0)),0)</f>
        <v>0</v>
      </c>
      <c r="AY37" s="338"/>
      <c r="AZ37" s="363" t="s">
        <v>264</v>
      </c>
      <c r="BA37" s="356" t="n">
        <f aca="false">IFERROR(IF($M37=AZ37,($D$8+$D$9+$D$10)*$I37,IF($N37=LEFT(AZ37,1),($D$8+MAX(0,IF($D$50=1,$D$9*(1-(ABS($Q37-ABS(VALUE(MID(AZ37,FIND("|",AZ37)+1,FIND("-",AZ37)-FIND("|",AZ37)-1))-VALUE(MID(AZ37,FIND("-",AZ37)+1,10)))))*$D$50),$D$9*(1-(IF($N37="X",ABS($O37-VALUE(MID(AZ37,FIND("|",AZ37)+1,FIND("-",AZ37)-FIND("|",AZ37)-1))),ABS($Q37-ABS(VALUE(MID(AZ37,FIND("|",AZ37)+1,FIND("-",AZ37)-FIND("|",AZ37)-1))-VALUE(MID(AZ37,FIND("-",AZ37)+1,10)))))*$D$50)))))*$I37,0)),0)</f>
        <v>0</v>
      </c>
      <c r="BB37" s="338"/>
      <c r="BC37" s="363" t="s">
        <v>266</v>
      </c>
      <c r="BD37" s="356" t="n">
        <f aca="false">IFERROR(IF($M37=BC37,($D$8+$D$9+$D$10)*$I37,IF($N37=LEFT(BC37,1),($D$8+MAX(0,IF($D$50=1,$D$9*(1-(ABS($Q37-ABS(VALUE(MID(BC37,FIND("|",BC37)+1,FIND("-",BC37)-FIND("|",BC37)-1))-VALUE(MID(BC37,FIND("-",BC37)+1,10)))))*$D$50),$D$9*(1-(IF($N37="X",ABS($O37-VALUE(MID(BC37,FIND("|",BC37)+1,FIND("-",BC37)-FIND("|",BC37)-1))),ABS($Q37-ABS(VALUE(MID(BC37,FIND("|",BC37)+1,FIND("-",BC37)-FIND("|",BC37)-1))-VALUE(MID(BC37,FIND("-",BC37)+1,10)))))*$D$50)))))*$I37,0)),0)</f>
        <v>0</v>
      </c>
      <c r="BE37" s="338"/>
      <c r="BF37" s="363" t="s">
        <v>266</v>
      </c>
      <c r="BG37" s="356" t="n">
        <f aca="false">IFERROR(IF($M37=BF37,($D$8+$D$9+$D$10)*$I37,IF($N37=LEFT(BF37,1),($D$8+MAX(0,IF($D$50=1,$D$9*(1-(ABS($Q37-ABS(VALUE(MID(BF37,FIND("|",BF37)+1,FIND("-",BF37)-FIND("|",BF37)-1))-VALUE(MID(BF37,FIND("-",BF37)+1,10)))))*$D$50),$D$9*(1-(IF($N37="X",ABS($O37-VALUE(MID(BF37,FIND("|",BF37)+1,FIND("-",BF37)-FIND("|",BF37)-1))),ABS($Q37-ABS(VALUE(MID(BF37,FIND("|",BF37)+1,FIND("-",BF37)-FIND("|",BF37)-1))-VALUE(MID(BF37,FIND("-",BF37)+1,10)))))*$D$50)))))*$I37,0)),0)</f>
        <v>0</v>
      </c>
      <c r="BH37" s="338"/>
      <c r="BI37" s="363" t="s">
        <v>267</v>
      </c>
      <c r="BJ37" s="356" t="n">
        <f aca="false">IFERROR(IF($M37=BI37,($D$8+$D$9+$D$10)*$I37,IF($N37=LEFT(BI37,1),($D$8+MAX(0,IF($D$50=1,$D$9*(1-(ABS($Q37-ABS(VALUE(MID(BI37,FIND("|",BI37)+1,FIND("-",BI37)-FIND("|",BI37)-1))-VALUE(MID(BI37,FIND("-",BI37)+1,10)))))*$D$50),$D$9*(1-(IF($N37="X",ABS($O37-VALUE(MID(BI37,FIND("|",BI37)+1,FIND("-",BI37)-FIND("|",BI37)-1))),ABS($Q37-ABS(VALUE(MID(BI37,FIND("|",BI37)+1,FIND("-",BI37)-FIND("|",BI37)-1))-VALUE(MID(BI37,FIND("-",BI37)+1,10)))))*$D$50)))))*$I37,0)),0)</f>
        <v>0</v>
      </c>
      <c r="BK37" s="338"/>
      <c r="BL37" s="363" t="s">
        <v>264</v>
      </c>
      <c r="BM37" s="356" t="n">
        <f aca="false">IFERROR(IF($M37=BL37,($D$8+$D$9+$D$10)*$I37,IF($N37=LEFT(BL37,1),($D$8+MAX(0,IF($D$50=1,$D$9*(1-(ABS($Q37-ABS(VALUE(MID(BL37,FIND("|",BL37)+1,FIND("-",BL37)-FIND("|",BL37)-1))-VALUE(MID(BL37,FIND("-",BL37)+1,10)))))*$D$50),$D$9*(1-(IF($N37="X",ABS($O37-VALUE(MID(BL37,FIND("|",BL37)+1,FIND("-",BL37)-FIND("|",BL37)-1))),ABS($Q37-ABS(VALUE(MID(BL37,FIND("|",BL37)+1,FIND("-",BL37)-FIND("|",BL37)-1))-VALUE(MID(BL37,FIND("-",BL37)+1,10)))))*$D$50)))))*$I37,0)),0)</f>
        <v>0</v>
      </c>
      <c r="BN37" s="338"/>
      <c r="BO37" s="363" t="s">
        <v>265</v>
      </c>
      <c r="BP37" s="356" t="n">
        <f aca="false">IFERROR(IF($M37=BO37,($D$8+$D$9+$D$10)*$I37,IF($N37=LEFT(BO37,1),($D$8+MAX(0,IF($D$50=1,$D$9*(1-(ABS($Q37-ABS(VALUE(MID(BO37,FIND("|",BO37)+1,FIND("-",BO37)-FIND("|",BO37)-1))-VALUE(MID(BO37,FIND("-",BO37)+1,10)))))*$D$50),$D$9*(1-(IF($N37="X",ABS($O37-VALUE(MID(BO37,FIND("|",BO37)+1,FIND("-",BO37)-FIND("|",BO37)-1))),ABS($Q37-ABS(VALUE(MID(BO37,FIND("|",BO37)+1,FIND("-",BO37)-FIND("|",BO37)-1))-VALUE(MID(BO37,FIND("-",BO37)+1,10)))))*$D$50)))))*$I37,0)),0)</f>
        <v>0</v>
      </c>
      <c r="BQ37" s="338"/>
      <c r="BR37" s="363" t="s">
        <v>265</v>
      </c>
      <c r="BS37" s="356" t="n">
        <f aca="false">IFERROR(IF($M37=BR37,($D$8+$D$9+$D$10)*$I37,IF($N37=LEFT(BR37,1),($D$8+MAX(0,IF($D$50=1,$D$9*(1-(ABS($Q37-ABS(VALUE(MID(BR37,FIND("|",BR37)+1,FIND("-",BR37)-FIND("|",BR37)-1))-VALUE(MID(BR37,FIND("-",BR37)+1,10)))))*$D$50),$D$9*(1-(IF($N37="X",ABS($O37-VALUE(MID(BR37,FIND("|",BR37)+1,FIND("-",BR37)-FIND("|",BR37)-1))),ABS($Q37-ABS(VALUE(MID(BR37,FIND("|",BR37)+1,FIND("-",BR37)-FIND("|",BR37)-1))-VALUE(MID(BR37,FIND("-",BR37)+1,10)))))*$D$50)))))*$I37,0)),0)</f>
        <v>0</v>
      </c>
      <c r="BT37" s="338"/>
      <c r="BU37" s="363"/>
      <c r="BV37" s="356" t="n">
        <f aca="false">IFERROR(IF($M37=BU37,($D$8+$D$9+$D$10)*$I37,IF($N37=LEFT(BU37,1),($D$8+MAX(0,IF($D$50=1,$D$9*(1-(ABS($Q37-ABS(VALUE(MID(BU37,FIND("|",BU37)+1,FIND("-",BU37)-FIND("|",BU37)-1))-VALUE(MID(BU37,FIND("-",BU37)+1,10)))))*$D$50),$D$9*(1-(IF($N37="X",ABS($O37-VALUE(MID(BU37,FIND("|",BU37)+1,FIND("-",BU37)-FIND("|",BU37)-1))),ABS($Q37-ABS(VALUE(MID(BU37,FIND("|",BU37)+1,FIND("-",BU37)-FIND("|",BU37)-1))-VALUE(MID(BU37,FIND("-",BU37)+1,10)))))*$D$50)))))*$I37,0)),0)</f>
        <v>0</v>
      </c>
      <c r="BW37" s="338"/>
      <c r="BX37" s="363"/>
      <c r="BY37" s="356" t="n">
        <f aca="false">IFERROR(IF($M37=BX37,($D$8+$D$9+$D$10)*$I37,IF($N37=LEFT(BX37,1),($D$8+MAX(0,IF($D$50=1,$D$9*(1-(ABS($Q37-ABS(VALUE(MID(BX37,FIND("|",BX37)+1,FIND("-",BX37)-FIND("|",BX37)-1))-VALUE(MID(BX37,FIND("-",BX37)+1,10)))))*$D$50),$D$9*(1-(IF($N37="X",ABS($O37-VALUE(MID(BX37,FIND("|",BX37)+1,FIND("-",BX37)-FIND("|",BX37)-1))),ABS($Q37-ABS(VALUE(MID(BX37,FIND("|",BX37)+1,FIND("-",BX37)-FIND("|",BX37)-1))-VALUE(MID(BX37,FIND("-",BX37)+1,10)))))*$D$50)))))*$I37,0)),0)</f>
        <v>0</v>
      </c>
      <c r="BZ37" s="338"/>
      <c r="CA37" s="363"/>
      <c r="CB37" s="356" t="n">
        <f aca="false">IFERROR(IF($M37=CA37,($D$8+$D$9+$D$10)*$I37,IF($N37=LEFT(CA37,1),($D$8+MAX(0,IF($D$50=1,$D$9*(1-(ABS($Q37-ABS(VALUE(MID(CA37,FIND("|",CA37)+1,FIND("-",CA37)-FIND("|",CA37)-1))-VALUE(MID(CA37,FIND("-",CA37)+1,10)))))*$D$50),$D$9*(1-(IF($N37="X",ABS($O37-VALUE(MID(CA37,FIND("|",CA37)+1,FIND("-",CA37)-FIND("|",CA37)-1))),ABS($Q37-ABS(VALUE(MID(CA37,FIND("|",CA37)+1,FIND("-",CA37)-FIND("|",CA37)-1))-VALUE(MID(CA37,FIND("-",CA37)+1,10)))))*$D$50)))))*$I37,0)),0)</f>
        <v>0</v>
      </c>
      <c r="CC37" s="338"/>
      <c r="CD37" s="363"/>
      <c r="CE37" s="356" t="n">
        <f aca="false">IFERROR(IF($M37=CD37,($D$8+$D$9+$D$10)*$I37,IF($N37=LEFT(CD37,1),($D$8+MAX(0,IF($D$50=1,$D$9*(1-(ABS($Q37-ABS(VALUE(MID(CD37,FIND("|",CD37)+1,FIND("-",CD37)-FIND("|",CD37)-1))-VALUE(MID(CD37,FIND("-",CD37)+1,10)))))*$D$50),$D$9*(1-(IF($N37="X",ABS($O37-VALUE(MID(CD37,FIND("|",CD37)+1,FIND("-",CD37)-FIND("|",CD37)-1))),ABS($Q37-ABS(VALUE(MID(CD37,FIND("|",CD37)+1,FIND("-",CD37)-FIND("|",CD37)-1))-VALUE(MID(CD37,FIND("-",CD37)+1,10)))))*$D$50)))))*$I37,0)),0)</f>
        <v>0</v>
      </c>
      <c r="CF37" s="338"/>
      <c r="CG37" s="363"/>
      <c r="CH37" s="356" t="n">
        <f aca="false">IFERROR(IF($M37=CG37,($D$8+$D$9+$D$10)*$I37,IF($N37=LEFT(CG37,1),($D$8+MAX(0,IF($D$50=1,$D$9*(1-(ABS($Q37-ABS(VALUE(MID(CG37,FIND("|",CG37)+1,FIND("-",CG37)-FIND("|",CG37)-1))-VALUE(MID(CG37,FIND("-",CG37)+1,10)))))*$D$50),$D$9*(1-(IF($N37="X",ABS($O37-VALUE(MID(CG37,FIND("|",CG37)+1,FIND("-",CG37)-FIND("|",CG37)-1))),ABS($Q37-ABS(VALUE(MID(CG37,FIND("|",CG37)+1,FIND("-",CG37)-FIND("|",CG37)-1))-VALUE(MID(CG37,FIND("-",CG37)+1,10)))))*$D$50)))))*$I37,0)),0)</f>
        <v>0</v>
      </c>
      <c r="CI37" s="338"/>
      <c r="CJ37" s="363"/>
      <c r="CK37" s="356" t="n">
        <f aca="false">IFERROR(IF($M37=CJ37,($D$8+$D$9+$D$10)*$I37,IF($N37=LEFT(CJ37,1),($D$8+MAX(0,IF($D$50=1,$D$9*(1-(ABS($Q37-ABS(VALUE(MID(CJ37,FIND("|",CJ37)+1,FIND("-",CJ37)-FIND("|",CJ37)-1))-VALUE(MID(CJ37,FIND("-",CJ37)+1,10)))))*$D$50),$D$9*(1-(IF($N37="X",ABS($O37-VALUE(MID(CJ37,FIND("|",CJ37)+1,FIND("-",CJ37)-FIND("|",CJ37)-1))),ABS($Q37-ABS(VALUE(MID(CJ37,FIND("|",CJ37)+1,FIND("-",CJ37)-FIND("|",CJ37)-1))-VALUE(MID(CJ37,FIND("-",CJ37)+1,10)))))*$D$50)))))*$I37,0)),0)</f>
        <v>0</v>
      </c>
      <c r="CL37" s="338"/>
      <c r="CM37" s="363"/>
      <c r="CN37" s="356" t="n">
        <f aca="false">IFERROR(IF($M37=CM37,($D$8+$D$9+$D$10)*$I37,IF($N37=LEFT(CM37,1),($D$8+MAX(0,IF($D$50=1,$D$9*(1-(ABS($Q37-ABS(VALUE(MID(CM37,FIND("|",CM37)+1,FIND("-",CM37)-FIND("|",CM37)-1))-VALUE(MID(CM37,FIND("-",CM37)+1,10)))))*$D$50),$D$9*(1-(IF($N37="X",ABS($O37-VALUE(MID(CM37,FIND("|",CM37)+1,FIND("-",CM37)-FIND("|",CM37)-1))),ABS($Q37-ABS(VALUE(MID(CM37,FIND("|",CM37)+1,FIND("-",CM37)-FIND("|",CM37)-1))-VALUE(MID(CM37,FIND("-",CM37)+1,10)))))*$D$50)))))*$I37,0)),0)</f>
        <v>0</v>
      </c>
      <c r="CO37" s="338"/>
      <c r="CP37" s="363"/>
      <c r="CQ37" s="356" t="n">
        <f aca="false">IFERROR(IF($M37=CP37,($D$8+$D$9+$D$10)*$I37,IF($N37=LEFT(CP37,1),($D$8+MAX(0,IF($D$50=1,$D$9*(1-(ABS($Q37-ABS(VALUE(MID(CP37,FIND("|",CP37)+1,FIND("-",CP37)-FIND("|",CP37)-1))-VALUE(MID(CP37,FIND("-",CP37)+1,10)))))*$D$50),$D$9*(1-(IF($N37="X",ABS($O37-VALUE(MID(CP37,FIND("|",CP37)+1,FIND("-",CP37)-FIND("|",CP37)-1))),ABS($Q37-ABS(VALUE(MID(CP37,FIND("|",CP37)+1,FIND("-",CP37)-FIND("|",CP37)-1))-VALUE(MID(CP37,FIND("-",CP37)+1,10)))))*$D$50)))))*$I37,0)),0)</f>
        <v>0</v>
      </c>
      <c r="CR37" s="338"/>
      <c r="CS37" s="363"/>
      <c r="CT37" s="356" t="n">
        <f aca="false">IFERROR(IF($M37=CS37,($D$8+$D$9+$D$10)*$I37,IF($N37=LEFT(CS37,1),($D$8+MAX(0,IF($D$50=1,$D$9*(1-(ABS($Q37-ABS(VALUE(MID(CS37,FIND("|",CS37)+1,FIND("-",CS37)-FIND("|",CS37)-1))-VALUE(MID(CS37,FIND("-",CS37)+1,10)))))*$D$50),$D$9*(1-(IF($N37="X",ABS($O37-VALUE(MID(CS37,FIND("|",CS37)+1,FIND("-",CS37)-FIND("|",CS37)-1))),ABS($Q37-ABS(VALUE(MID(CS37,FIND("|",CS37)+1,FIND("-",CS37)-FIND("|",CS37)-1))-VALUE(MID(CS37,FIND("-",CS37)+1,10)))))*$D$50)))))*$I37,0)),0)</f>
        <v>0</v>
      </c>
      <c r="CU37" s="338"/>
      <c r="CV37" s="363"/>
      <c r="CW37" s="356" t="n">
        <f aca="false">IFERROR(IF($M37=CV37,($D$8+$D$9+$D$10)*$I37,IF($N37=LEFT(CV37,1),($D$8+MAX(0,IF($D$50=1,$D$9*(1-(ABS($Q37-ABS(VALUE(MID(CV37,FIND("|",CV37)+1,FIND("-",CV37)-FIND("|",CV37)-1))-VALUE(MID(CV37,FIND("-",CV37)+1,10)))))*$D$50),$D$9*(1-(IF($N37="X",ABS($O37-VALUE(MID(CV37,FIND("|",CV37)+1,FIND("-",CV37)-FIND("|",CV37)-1))),ABS($Q37-ABS(VALUE(MID(CV37,FIND("|",CV37)+1,FIND("-",CV37)-FIND("|",CV37)-1))-VALUE(MID(CV37,FIND("-",CV37)+1,10)))))*$D$50)))))*$I37,0)),0)</f>
        <v>0</v>
      </c>
      <c r="CX37" s="338"/>
      <c r="CY37" s="363"/>
      <c r="CZ37" s="356" t="n">
        <f aca="false">IFERROR(IF($M37=CY37,($D$8+$D$9+$D$10)*$I37,IF($N37=LEFT(CY37,1),($D$8+MAX(0,IF($D$50=1,$D$9*(1-(ABS($Q37-ABS(VALUE(MID(CY37,FIND("|",CY37)+1,FIND("-",CY37)-FIND("|",CY37)-1))-VALUE(MID(CY37,FIND("-",CY37)+1,10)))))*$D$50),$D$9*(1-(IF($N37="X",ABS($O37-VALUE(MID(CY37,FIND("|",CY37)+1,FIND("-",CY37)-FIND("|",CY37)-1))),ABS($Q37-ABS(VALUE(MID(CY37,FIND("|",CY37)+1,FIND("-",CY37)-FIND("|",CY37)-1))-VALUE(MID(CY37,FIND("-",CY37)+1,10)))))*$D$50)))))*$I37,0)),0)</f>
        <v>0</v>
      </c>
      <c r="DA37" s="338"/>
      <c r="DB37" s="363"/>
      <c r="DC37" s="356" t="n">
        <f aca="false">IFERROR(IF($M37=DB37,($D$8+$D$9+$D$10)*$I37,IF($N37=LEFT(DB37,1),($D$8+MAX(0,IF($D$50=1,$D$9*(1-(ABS($Q37-ABS(VALUE(MID(DB37,FIND("|",DB37)+1,FIND("-",DB37)-FIND("|",DB37)-1))-VALUE(MID(DB37,FIND("-",DB37)+1,10)))))*$D$50),$D$9*(1-(IF($N37="X",ABS($O37-VALUE(MID(DB37,FIND("|",DB37)+1,FIND("-",DB37)-FIND("|",DB37)-1))),ABS($Q37-ABS(VALUE(MID(DB37,FIND("|",DB37)+1,FIND("-",DB37)-FIND("|",DB37)-1))-VALUE(MID(DB37,FIND("-",DB37)+1,10)))))*$D$50)))))*$I37,0)),0)</f>
        <v>0</v>
      </c>
      <c r="DD37" s="338"/>
      <c r="DE37" s="363"/>
      <c r="DF37" s="356" t="n">
        <f aca="false">IFERROR(IF($M37=DE37,($D$8+$D$9+$D$10)*$I37,IF($N37=LEFT(DE37,1),($D$8+MAX(0,IF($D$50=1,$D$9*(1-(ABS($Q37-ABS(VALUE(MID(DE37,FIND("|",DE37)+1,FIND("-",DE37)-FIND("|",DE37)-1))-VALUE(MID(DE37,FIND("-",DE37)+1,10)))))*$D$50),$D$9*(1-(IF($N37="X",ABS($O37-VALUE(MID(DE37,FIND("|",DE37)+1,FIND("-",DE37)-FIND("|",DE37)-1))),ABS($Q37-ABS(VALUE(MID(DE37,FIND("|",DE37)+1,FIND("-",DE37)-FIND("|",DE37)-1))-VALUE(MID(DE37,FIND("-",DE37)+1,10)))))*$D$50)))))*$I37,0)),0)</f>
        <v>0</v>
      </c>
      <c r="DG37" s="338"/>
      <c r="DH37" s="363"/>
      <c r="DI37" s="356" t="n">
        <f aca="false">IFERROR(IF($M37=DH37,($D$8+$D$9+$D$10)*$I37,IF($N37=LEFT(DH37,1),($D$8+MAX(0,IF($D$50=1,$D$9*(1-(ABS($Q37-ABS(VALUE(MID(DH37,FIND("|",DH37)+1,FIND("-",DH37)-FIND("|",DH37)-1))-VALUE(MID(DH37,FIND("-",DH37)+1,10)))))*$D$50),$D$9*(1-(IF($N37="X",ABS($O37-VALUE(MID(DH37,FIND("|",DH37)+1,FIND("-",DH37)-FIND("|",DH37)-1))),ABS($Q37-ABS(VALUE(MID(DH37,FIND("|",DH37)+1,FIND("-",DH37)-FIND("|",DH37)-1))-VALUE(MID(DH37,FIND("-",DH37)+1,10)))))*$D$50)))))*$I37,0)),0)</f>
        <v>0</v>
      </c>
      <c r="DJ37" s="338"/>
      <c r="DK37" s="363"/>
      <c r="DL37" s="356" t="n">
        <f aca="false">IFERROR(IF($M37=DK37,($D$8+$D$9+$D$10)*$I37,IF($N37=LEFT(DK37,1),($D$8+MAX(0,IF($D$50=1,$D$9*(1-(ABS($Q37-ABS(VALUE(MID(DK37,FIND("|",DK37)+1,FIND("-",DK37)-FIND("|",DK37)-1))-VALUE(MID(DK37,FIND("-",DK37)+1,10)))))*$D$50),$D$9*(1-(IF($N37="X",ABS($O37-VALUE(MID(DK37,FIND("|",DK37)+1,FIND("-",DK37)-FIND("|",DK37)-1))),ABS($Q37-ABS(VALUE(MID(DK37,FIND("|",DK37)+1,FIND("-",DK37)-FIND("|",DK37)-1))-VALUE(MID(DK37,FIND("-",DK37)+1,10)))))*$D$50)))))*$I37,0)),0)</f>
        <v>0</v>
      </c>
      <c r="DM37" s="338"/>
      <c r="DN37" s="363"/>
      <c r="DO37" s="356" t="n">
        <f aca="false">IFERROR(IF($M37=DN37,($D$8+$D$9+$D$10)*$I37,IF($N37=LEFT(DN37,1),($D$8+MAX(0,IF($D$50=1,$D$9*(1-(ABS($Q37-ABS(VALUE(MID(DN37,FIND("|",DN37)+1,FIND("-",DN37)-FIND("|",DN37)-1))-VALUE(MID(DN37,FIND("-",DN37)+1,10)))))*$D$50),$D$9*(1-(IF($N37="X",ABS($O37-VALUE(MID(DN37,FIND("|",DN37)+1,FIND("-",DN37)-FIND("|",DN37)-1))),ABS($Q37-ABS(VALUE(MID(DN37,FIND("|",DN37)+1,FIND("-",DN37)-FIND("|",DN37)-1))-VALUE(MID(DN37,FIND("-",DN37)+1,10)))))*$D$50)))))*$I37,0)),0)</f>
        <v>0</v>
      </c>
      <c r="DP37" s="338"/>
      <c r="DQ37" s="363"/>
      <c r="DR37" s="356" t="n">
        <f aca="false">IFERROR(IF($M37=DQ37,($D$8+$D$9+$D$10)*$I37,IF($N37=LEFT(DQ37,1),($D$8+MAX(0,IF($D$50=1,$D$9*(1-(ABS($Q37-ABS(VALUE(MID(DQ37,FIND("|",DQ37)+1,FIND("-",DQ37)-FIND("|",DQ37)-1))-VALUE(MID(DQ37,FIND("-",DQ37)+1,10)))))*$D$50),$D$9*(1-(IF($N37="X",ABS($O37-VALUE(MID(DQ37,FIND("|",DQ37)+1,FIND("-",DQ37)-FIND("|",DQ37)-1))),ABS($Q37-ABS(VALUE(MID(DQ37,FIND("|",DQ37)+1,FIND("-",DQ37)-FIND("|",DQ37)-1))-VALUE(MID(DQ37,FIND("-",DQ37)+1,10)))))*$D$50)))))*$I37,0)),0)</f>
        <v>0</v>
      </c>
      <c r="DS37" s="338"/>
      <c r="DT37" s="363"/>
      <c r="DU37" s="356" t="n">
        <f aca="false">IFERROR(IF($M37=DT37,($D$8+$D$9+$D$10)*$I37,IF($N37=LEFT(DT37,1),($D$8+MAX(0,IF($D$50=1,$D$9*(1-(ABS($Q37-ABS(VALUE(MID(DT37,FIND("|",DT37)+1,FIND("-",DT37)-FIND("|",DT37)-1))-VALUE(MID(DT37,FIND("-",DT37)+1,10)))))*$D$50),$D$9*(1-(IF($N37="X",ABS($O37-VALUE(MID(DT37,FIND("|",DT37)+1,FIND("-",DT37)-FIND("|",DT37)-1))),ABS($Q37-ABS(VALUE(MID(DT37,FIND("|",DT37)+1,FIND("-",DT37)-FIND("|",DT37)-1))-VALUE(MID(DT37,FIND("-",DT37)+1,10)))))*$D$50)))))*$I37,0)),0)</f>
        <v>0</v>
      </c>
      <c r="DV37" s="338"/>
      <c r="DW37" s="363"/>
      <c r="DX37" s="356" t="n">
        <f aca="false">IFERROR(IF($M37=DW37,($D$8+$D$9+$D$10)*$I37,IF($N37=LEFT(DW37,1),($D$8+MAX(0,IF($D$50=1,$D$9*(1-(ABS($Q37-ABS(VALUE(MID(DW37,FIND("|",DW37)+1,FIND("-",DW37)-FIND("|",DW37)-1))-VALUE(MID(DW37,FIND("-",DW37)+1,10)))))*$D$50),$D$9*(1-(IF($N37="X",ABS($O37-VALUE(MID(DW37,FIND("|",DW37)+1,FIND("-",DW37)-FIND("|",DW37)-1))),ABS($Q37-ABS(VALUE(MID(DW37,FIND("|",DW37)+1,FIND("-",DW37)-FIND("|",DW37)-1))-VALUE(MID(DW37,FIND("-",DW37)+1,10)))))*$D$50)))))*$I37,0)),0)</f>
        <v>0</v>
      </c>
      <c r="DY37" s="338"/>
      <c r="DZ37" s="363"/>
      <c r="EA37" s="356" t="n">
        <f aca="false">IFERROR(IF($M37=DZ37,($D$8+$D$9+$D$10)*$I37,IF($N37=LEFT(DZ37,1),($D$8+MAX(0,IF($D$50=1,$D$9*(1-(ABS($Q37-ABS(VALUE(MID(DZ37,FIND("|",DZ37)+1,FIND("-",DZ37)-FIND("|",DZ37)-1))-VALUE(MID(DZ37,FIND("-",DZ37)+1,10)))))*$D$50),$D$9*(1-(IF($N37="X",ABS($O37-VALUE(MID(DZ37,FIND("|",DZ37)+1,FIND("-",DZ37)-FIND("|",DZ37)-1))),ABS($Q37-ABS(VALUE(MID(DZ37,FIND("|",DZ37)+1,FIND("-",DZ37)-FIND("|",DZ37)-1))-VALUE(MID(DZ37,FIND("-",DZ37)+1,10)))))*$D$50)))))*$I37,0)),0)</f>
        <v>0</v>
      </c>
      <c r="EB37" s="338"/>
      <c r="EC37" s="363"/>
      <c r="ED37" s="356" t="n">
        <f aca="false">IFERROR(IF($M37=EC37,($D$8+$D$9+$D$10)*$I37,IF($N37=LEFT(EC37,1),($D$8+MAX(0,IF($D$50=1,$D$9*(1-(ABS($Q37-ABS(VALUE(MID(EC37,FIND("|",EC37)+1,FIND("-",EC37)-FIND("|",EC37)-1))-VALUE(MID(EC37,FIND("-",EC37)+1,10)))))*$D$50),$D$9*(1-(IF($N37="X",ABS($O37-VALUE(MID(EC37,FIND("|",EC37)+1,FIND("-",EC37)-FIND("|",EC37)-1))),ABS($Q37-ABS(VALUE(MID(EC37,FIND("|",EC37)+1,FIND("-",EC37)-FIND("|",EC37)-1))-VALUE(MID(EC37,FIND("-",EC37)+1,10)))))*$D$50)))))*$I37,0)),0)</f>
        <v>0</v>
      </c>
      <c r="EE37" s="338"/>
      <c r="EF37" s="363"/>
      <c r="EG37" s="356" t="n">
        <f aca="false">IFERROR(IF($M37=EF37,($D$8+$D$9+$D$10)*$I37,IF($N37=LEFT(EF37,1),($D$8+MAX(0,IF($D$50=1,$D$9*(1-(ABS($Q37-ABS(VALUE(MID(EF37,FIND("|",EF37)+1,FIND("-",EF37)-FIND("|",EF37)-1))-VALUE(MID(EF37,FIND("-",EF37)+1,10)))))*$D$50),$D$9*(1-(IF($N37="X",ABS($O37-VALUE(MID(EF37,FIND("|",EF37)+1,FIND("-",EF37)-FIND("|",EF37)-1))),ABS($Q37-ABS(VALUE(MID(EF37,FIND("|",EF37)+1,FIND("-",EF37)-FIND("|",EF37)-1))-VALUE(MID(EF37,FIND("-",EF37)+1,10)))))*$D$50)))))*$I37,0)),0)</f>
        <v>0</v>
      </c>
      <c r="EH37" s="338"/>
      <c r="EI37" s="338"/>
    </row>
    <row r="38" customFormat="false" ht="15" hidden="false" customHeight="false" outlineLevel="0" collapsed="false">
      <c r="A38" s="327"/>
      <c r="B38" s="327"/>
      <c r="C38" s="377" t="str">
        <f aca="false">Idiomas!D334</f>
        <v>FINAL - Resultado exacto</v>
      </c>
      <c r="D38" s="378" t="n">
        <v>10</v>
      </c>
      <c r="E38" s="334"/>
      <c r="F38" s="343" t="n">
        <f aca="false">SUM($D$8:$D$10)*I38</f>
        <v>17</v>
      </c>
      <c r="G38" s="343" t="n">
        <f aca="false">VLOOKUP(H38,Equipos!$Q$1:$R$25,2,0)</f>
        <v>11</v>
      </c>
      <c r="H38" s="351" t="n">
        <f aca="false">TRUNC(INDEX(WORLDCUP!$X$4:$X$147,MATCH(ADMIN!K38,WORLDCUP!$DT$4:$DT$147,0))+INDEX(Horarios!$R$3:$R$86,MATCH(Horarios!$C$3,Horarios!$P$3:$P$86,0))/24)</f>
        <v>46194</v>
      </c>
      <c r="I38" s="352" t="n">
        <v>1</v>
      </c>
      <c r="J38" s="353" t="s">
        <v>302</v>
      </c>
      <c r="K38" s="354" t="str">
        <f aca="false">CONCATENATE(WORLDCUP!AA38,"-",WORLDCUP!AF38)</f>
        <v>Alemania-Costa de Marfil</v>
      </c>
      <c r="L38" s="354"/>
      <c r="M38" s="359" t="str">
        <f aca="false">IF(OR(WORLDCUP!AC38="",WORLDCUP!AD38=""),"-",N38&amp;"|"&amp;O38&amp;"-"&amp;P38)</f>
        <v>-</v>
      </c>
      <c r="N38" s="332" t="str">
        <f aca="false">IF(OR(WORLDCUP!AC38="",WORLDCUP!AD38=""),"",IF(WORLDCUP!AC38&gt;WORLDCUP!AD38,"1",IF(WORLDCUP!AC38&lt;WORLDCUP!AD38,"2","X")))</f>
        <v/>
      </c>
      <c r="O38" s="332" t="n">
        <f aca="false">WORLDCUP!AC38</f>
        <v>0</v>
      </c>
      <c r="P38" s="332" t="n">
        <f aca="false">WORLDCUP!AD38</f>
        <v>0</v>
      </c>
      <c r="Q38" s="332" t="n">
        <f aca="false">ABS(O38-P38)</f>
        <v>0</v>
      </c>
      <c r="R38" s="327"/>
      <c r="S38" s="363" t="s">
        <v>283</v>
      </c>
      <c r="T38" s="356" t="n">
        <f aca="false">IFERROR(IF($M38=S38,($D$8+$D$9+$D$10)*$I38,IF($N38=LEFT(S38,1),($D$8+MAX(0,IF($D$50=1,$D$9*(1-(ABS($Q38-ABS(VALUE(MID(S38,FIND("|",S38)+1,FIND("-",S38)-FIND("|",S38)-1))-VALUE(MID(S38,FIND("-",S38)+1,10)))))*$D$50),$D$9*(1-(IF($N38="X",ABS($O38-VALUE(MID(S38,FIND("|",S38)+1,FIND("-",S38)-FIND("|",S38)-1))),ABS($Q38-ABS(VALUE(MID(S38,FIND("|",S38)+1,FIND("-",S38)-FIND("|",S38)-1))-VALUE(MID(S38,FIND("-",S38)+1,10)))))*$D$50)))))*$I38,0)),0)</f>
        <v>0</v>
      </c>
      <c r="U38" s="338"/>
      <c r="V38" s="363" t="s">
        <v>264</v>
      </c>
      <c r="W38" s="356" t="n">
        <f aca="false">IFERROR(IF($M38=V38,($D$8+$D$9+$D$10)*$I38,IF($N38=LEFT(V38,1),($D$8+MAX(0,IF($D$50=1,$D$9*(1-(ABS($Q38-ABS(VALUE(MID(V38,FIND("|",V38)+1,FIND("-",V38)-FIND("|",V38)-1))-VALUE(MID(V38,FIND("-",V38)+1,10)))))*$D$50),$D$9*(1-(IF($N38="X",ABS($O38-VALUE(MID(V38,FIND("|",V38)+1,FIND("-",V38)-FIND("|",V38)-1))),ABS($Q38-ABS(VALUE(MID(V38,FIND("|",V38)+1,FIND("-",V38)-FIND("|",V38)-1))-VALUE(MID(V38,FIND("-",V38)+1,10)))))*$D$50)))))*$I38,0)),0)</f>
        <v>0</v>
      </c>
      <c r="X38" s="338"/>
      <c r="Y38" s="363" t="s">
        <v>264</v>
      </c>
      <c r="Z38" s="356" t="n">
        <f aca="false">IFERROR(IF($M38=Y38,($D$8+$D$9+$D$10)*$I38,IF($N38=LEFT(Y38,1),($D$8+MAX(0,IF($D$50=1,$D$9*(1-(ABS($Q38-ABS(VALUE(MID(Y38,FIND("|",Y38)+1,FIND("-",Y38)-FIND("|",Y38)-1))-VALUE(MID(Y38,FIND("-",Y38)+1,10)))))*$D$50),$D$9*(1-(IF($N38="X",ABS($O38-VALUE(MID(Y38,FIND("|",Y38)+1,FIND("-",Y38)-FIND("|",Y38)-1))),ABS($Q38-ABS(VALUE(MID(Y38,FIND("|",Y38)+1,FIND("-",Y38)-FIND("|",Y38)-1))-VALUE(MID(Y38,FIND("-",Y38)+1,10)))))*$D$50)))))*$I38,0)),0)</f>
        <v>0</v>
      </c>
      <c r="AA38" s="338"/>
      <c r="AB38" s="363" t="s">
        <v>264</v>
      </c>
      <c r="AC38" s="356" t="n">
        <f aca="false">IFERROR(IF($M38=AB38,($D$8+$D$9+$D$10)*$I38,IF($N38=LEFT(AB38,1),($D$8+MAX(0,IF($D$50=1,$D$9*(1-(ABS($Q38-ABS(VALUE(MID(AB38,FIND("|",AB38)+1,FIND("-",AB38)-FIND("|",AB38)-1))-VALUE(MID(AB38,FIND("-",AB38)+1,10)))))*$D$50),$D$9*(1-(IF($N38="X",ABS($O38-VALUE(MID(AB38,FIND("|",AB38)+1,FIND("-",AB38)-FIND("|",AB38)-1))),ABS($Q38-ABS(VALUE(MID(AB38,FIND("|",AB38)+1,FIND("-",AB38)-FIND("|",AB38)-1))-VALUE(MID(AB38,FIND("-",AB38)+1,10)))))*$D$50)))))*$I38,0)),0)</f>
        <v>0</v>
      </c>
      <c r="AD38" s="338"/>
      <c r="AE38" s="363" t="s">
        <v>267</v>
      </c>
      <c r="AF38" s="356" t="n">
        <f aca="false">IFERROR(IF($M38=AE38,($D$8+$D$9+$D$10)*$I38,IF($N38=LEFT(AE38,1),($D$8+MAX(0,IF($D$50=1,$D$9*(1-(ABS($Q38-ABS(VALUE(MID(AE38,FIND("|",AE38)+1,FIND("-",AE38)-FIND("|",AE38)-1))-VALUE(MID(AE38,FIND("-",AE38)+1,10)))))*$D$50),$D$9*(1-(IF($N38="X",ABS($O38-VALUE(MID(AE38,FIND("|",AE38)+1,FIND("-",AE38)-FIND("|",AE38)-1))),ABS($Q38-ABS(VALUE(MID(AE38,FIND("|",AE38)+1,FIND("-",AE38)-FIND("|",AE38)-1))-VALUE(MID(AE38,FIND("-",AE38)+1,10)))))*$D$50)))))*$I38,0)),0)</f>
        <v>0</v>
      </c>
      <c r="AG38" s="338"/>
      <c r="AH38" s="363" t="s">
        <v>266</v>
      </c>
      <c r="AI38" s="356" t="n">
        <f aca="false">IFERROR(IF($M38=AH38,($D$8+$D$9+$D$10)*$I38,IF($N38=LEFT(AH38,1),($D$8+MAX(0,IF($D$50=1,$D$9*(1-(ABS($Q38-ABS(VALUE(MID(AH38,FIND("|",AH38)+1,FIND("-",AH38)-FIND("|",AH38)-1))-VALUE(MID(AH38,FIND("-",AH38)+1,10)))))*$D$50),$D$9*(1-(IF($N38="X",ABS($O38-VALUE(MID(AH38,FIND("|",AH38)+1,FIND("-",AH38)-FIND("|",AH38)-1))),ABS($Q38-ABS(VALUE(MID(AH38,FIND("|",AH38)+1,FIND("-",AH38)-FIND("|",AH38)-1))-VALUE(MID(AH38,FIND("-",AH38)+1,10)))))*$D$50)))))*$I38,0)),0)</f>
        <v>0</v>
      </c>
      <c r="AJ38" s="338"/>
      <c r="AK38" s="363" t="s">
        <v>267</v>
      </c>
      <c r="AL38" s="356" t="n">
        <f aca="false">IFERROR(IF($M38=AK38,($D$8+$D$9+$D$10)*$I38,IF($N38=LEFT(AK38,1),($D$8+MAX(0,IF($D$50=1,$D$9*(1-(ABS($Q38-ABS(VALUE(MID(AK38,FIND("|",AK38)+1,FIND("-",AK38)-FIND("|",AK38)-1))-VALUE(MID(AK38,FIND("-",AK38)+1,10)))))*$D$50),$D$9*(1-(IF($N38="X",ABS($O38-VALUE(MID(AK38,FIND("|",AK38)+1,FIND("-",AK38)-FIND("|",AK38)-1))),ABS($Q38-ABS(VALUE(MID(AK38,FIND("|",AK38)+1,FIND("-",AK38)-FIND("|",AK38)-1))-VALUE(MID(AK38,FIND("-",AK38)+1,10)))))*$D$50)))))*$I38,0)),0)</f>
        <v>0</v>
      </c>
      <c r="AM38" s="338"/>
      <c r="AN38" s="363" t="s">
        <v>266</v>
      </c>
      <c r="AO38" s="356" t="n">
        <f aca="false">IFERROR(IF($M38=AN38,($D$8+$D$9+$D$10)*$I38,IF($N38=LEFT(AN38,1),($D$8+MAX(0,IF($D$50=1,$D$9*(1-(ABS($Q38-ABS(VALUE(MID(AN38,FIND("|",AN38)+1,FIND("-",AN38)-FIND("|",AN38)-1))-VALUE(MID(AN38,FIND("-",AN38)+1,10)))))*$D$50),$D$9*(1-(IF($N38="X",ABS($O38-VALUE(MID(AN38,FIND("|",AN38)+1,FIND("-",AN38)-FIND("|",AN38)-1))),ABS($Q38-ABS(VALUE(MID(AN38,FIND("|",AN38)+1,FIND("-",AN38)-FIND("|",AN38)-1))-VALUE(MID(AN38,FIND("-",AN38)+1,10)))))*$D$50)))))*$I38,0)),0)</f>
        <v>0</v>
      </c>
      <c r="AP38" s="338"/>
      <c r="AQ38" s="363" t="s">
        <v>267</v>
      </c>
      <c r="AR38" s="356" t="n">
        <f aca="false">IFERROR(IF($M38=AQ38,($D$8+$D$9+$D$10)*$I38,IF($N38=LEFT(AQ38,1),($D$8+MAX(0,IF($D$50=1,$D$9*(1-(ABS($Q38-ABS(VALUE(MID(AQ38,FIND("|",AQ38)+1,FIND("-",AQ38)-FIND("|",AQ38)-1))-VALUE(MID(AQ38,FIND("-",AQ38)+1,10)))))*$D$50),$D$9*(1-(IF($N38="X",ABS($O38-VALUE(MID(AQ38,FIND("|",AQ38)+1,FIND("-",AQ38)-FIND("|",AQ38)-1))),ABS($Q38-ABS(VALUE(MID(AQ38,FIND("|",AQ38)+1,FIND("-",AQ38)-FIND("|",AQ38)-1))-VALUE(MID(AQ38,FIND("-",AQ38)+1,10)))))*$D$50)))))*$I38,0)),0)</f>
        <v>0</v>
      </c>
      <c r="AS38" s="338"/>
      <c r="AT38" s="363" t="s">
        <v>266</v>
      </c>
      <c r="AU38" s="356" t="n">
        <f aca="false">IFERROR(IF($M38=AT38,($D$8+$D$9+$D$10)*$I38,IF($N38=LEFT(AT38,1),($D$8+MAX(0,IF($D$50=1,$D$9*(1-(ABS($Q38-ABS(VALUE(MID(AT38,FIND("|",AT38)+1,FIND("-",AT38)-FIND("|",AT38)-1))-VALUE(MID(AT38,FIND("-",AT38)+1,10)))))*$D$50),$D$9*(1-(IF($N38="X",ABS($O38-VALUE(MID(AT38,FIND("|",AT38)+1,FIND("-",AT38)-FIND("|",AT38)-1))),ABS($Q38-ABS(VALUE(MID(AT38,FIND("|",AT38)+1,FIND("-",AT38)-FIND("|",AT38)-1))-VALUE(MID(AT38,FIND("-",AT38)+1,10)))))*$D$50)))))*$I38,0)),0)</f>
        <v>0</v>
      </c>
      <c r="AV38" s="338"/>
      <c r="AW38" s="363" t="s">
        <v>264</v>
      </c>
      <c r="AX38" s="356" t="n">
        <f aca="false">IFERROR(IF($M38=AW38,($D$8+$D$9+$D$10)*$I38,IF($N38=LEFT(AW38,1),($D$8+MAX(0,IF($D$50=1,$D$9*(1-(ABS($Q38-ABS(VALUE(MID(AW38,FIND("|",AW38)+1,FIND("-",AW38)-FIND("|",AW38)-1))-VALUE(MID(AW38,FIND("-",AW38)+1,10)))))*$D$50),$D$9*(1-(IF($N38="X",ABS($O38-VALUE(MID(AW38,FIND("|",AW38)+1,FIND("-",AW38)-FIND("|",AW38)-1))),ABS($Q38-ABS(VALUE(MID(AW38,FIND("|",AW38)+1,FIND("-",AW38)-FIND("|",AW38)-1))-VALUE(MID(AW38,FIND("-",AW38)+1,10)))))*$D$50)))))*$I38,0)),0)</f>
        <v>0</v>
      </c>
      <c r="AY38" s="338"/>
      <c r="AZ38" s="363" t="s">
        <v>266</v>
      </c>
      <c r="BA38" s="356" t="n">
        <f aca="false">IFERROR(IF($M38=AZ38,($D$8+$D$9+$D$10)*$I38,IF($N38=LEFT(AZ38,1),($D$8+MAX(0,IF($D$50=1,$D$9*(1-(ABS($Q38-ABS(VALUE(MID(AZ38,FIND("|",AZ38)+1,FIND("-",AZ38)-FIND("|",AZ38)-1))-VALUE(MID(AZ38,FIND("-",AZ38)+1,10)))))*$D$50),$D$9*(1-(IF($N38="X",ABS($O38-VALUE(MID(AZ38,FIND("|",AZ38)+1,FIND("-",AZ38)-FIND("|",AZ38)-1))),ABS($Q38-ABS(VALUE(MID(AZ38,FIND("|",AZ38)+1,FIND("-",AZ38)-FIND("|",AZ38)-1))-VALUE(MID(AZ38,FIND("-",AZ38)+1,10)))))*$D$50)))))*$I38,0)),0)</f>
        <v>0</v>
      </c>
      <c r="BB38" s="338"/>
      <c r="BC38" s="363" t="s">
        <v>264</v>
      </c>
      <c r="BD38" s="356" t="n">
        <f aca="false">IFERROR(IF($M38=BC38,($D$8+$D$9+$D$10)*$I38,IF($N38=LEFT(BC38,1),($D$8+MAX(0,IF($D$50=1,$D$9*(1-(ABS($Q38-ABS(VALUE(MID(BC38,FIND("|",BC38)+1,FIND("-",BC38)-FIND("|",BC38)-1))-VALUE(MID(BC38,FIND("-",BC38)+1,10)))))*$D$50),$D$9*(1-(IF($N38="X",ABS($O38-VALUE(MID(BC38,FIND("|",BC38)+1,FIND("-",BC38)-FIND("|",BC38)-1))),ABS($Q38-ABS(VALUE(MID(BC38,FIND("|",BC38)+1,FIND("-",BC38)-FIND("|",BC38)-1))-VALUE(MID(BC38,FIND("-",BC38)+1,10)))))*$D$50)))))*$I38,0)),0)</f>
        <v>0</v>
      </c>
      <c r="BE38" s="338"/>
      <c r="BF38" s="363" t="s">
        <v>272</v>
      </c>
      <c r="BG38" s="356" t="n">
        <f aca="false">IFERROR(IF($M38=BF38,($D$8+$D$9+$D$10)*$I38,IF($N38=LEFT(BF38,1),($D$8+MAX(0,IF($D$50=1,$D$9*(1-(ABS($Q38-ABS(VALUE(MID(BF38,FIND("|",BF38)+1,FIND("-",BF38)-FIND("|",BF38)-1))-VALUE(MID(BF38,FIND("-",BF38)+1,10)))))*$D$50),$D$9*(1-(IF($N38="X",ABS($O38-VALUE(MID(BF38,FIND("|",BF38)+1,FIND("-",BF38)-FIND("|",BF38)-1))),ABS($Q38-ABS(VALUE(MID(BF38,FIND("|",BF38)+1,FIND("-",BF38)-FIND("|",BF38)-1))-VALUE(MID(BF38,FIND("-",BF38)+1,10)))))*$D$50)))))*$I38,0)),0)</f>
        <v>0</v>
      </c>
      <c r="BH38" s="338"/>
      <c r="BI38" s="363" t="s">
        <v>266</v>
      </c>
      <c r="BJ38" s="356" t="n">
        <f aca="false">IFERROR(IF($M38=BI38,($D$8+$D$9+$D$10)*$I38,IF($N38=LEFT(BI38,1),($D$8+MAX(0,IF($D$50=1,$D$9*(1-(ABS($Q38-ABS(VALUE(MID(BI38,FIND("|",BI38)+1,FIND("-",BI38)-FIND("|",BI38)-1))-VALUE(MID(BI38,FIND("-",BI38)+1,10)))))*$D$50),$D$9*(1-(IF($N38="X",ABS($O38-VALUE(MID(BI38,FIND("|",BI38)+1,FIND("-",BI38)-FIND("|",BI38)-1))),ABS($Q38-ABS(VALUE(MID(BI38,FIND("|",BI38)+1,FIND("-",BI38)-FIND("|",BI38)-1))-VALUE(MID(BI38,FIND("-",BI38)+1,10)))))*$D$50)))))*$I38,0)),0)</f>
        <v>0</v>
      </c>
      <c r="BK38" s="338"/>
      <c r="BL38" s="363" t="s">
        <v>288</v>
      </c>
      <c r="BM38" s="356" t="n">
        <f aca="false">IFERROR(IF($M38=BL38,($D$8+$D$9+$D$10)*$I38,IF($N38=LEFT(BL38,1),($D$8+MAX(0,IF($D$50=1,$D$9*(1-(ABS($Q38-ABS(VALUE(MID(BL38,FIND("|",BL38)+1,FIND("-",BL38)-FIND("|",BL38)-1))-VALUE(MID(BL38,FIND("-",BL38)+1,10)))))*$D$50),$D$9*(1-(IF($N38="X",ABS($O38-VALUE(MID(BL38,FIND("|",BL38)+1,FIND("-",BL38)-FIND("|",BL38)-1))),ABS($Q38-ABS(VALUE(MID(BL38,FIND("|",BL38)+1,FIND("-",BL38)-FIND("|",BL38)-1))-VALUE(MID(BL38,FIND("-",BL38)+1,10)))))*$D$50)))))*$I38,0)),0)</f>
        <v>0</v>
      </c>
      <c r="BN38" s="338"/>
      <c r="BO38" s="363" t="s">
        <v>267</v>
      </c>
      <c r="BP38" s="356" t="n">
        <f aca="false">IFERROR(IF($M38=BO38,($D$8+$D$9+$D$10)*$I38,IF($N38=LEFT(BO38,1),($D$8+MAX(0,IF($D$50=1,$D$9*(1-(ABS($Q38-ABS(VALUE(MID(BO38,FIND("|",BO38)+1,FIND("-",BO38)-FIND("|",BO38)-1))-VALUE(MID(BO38,FIND("-",BO38)+1,10)))))*$D$50),$D$9*(1-(IF($N38="X",ABS($O38-VALUE(MID(BO38,FIND("|",BO38)+1,FIND("-",BO38)-FIND("|",BO38)-1))),ABS($Q38-ABS(VALUE(MID(BO38,FIND("|",BO38)+1,FIND("-",BO38)-FIND("|",BO38)-1))-VALUE(MID(BO38,FIND("-",BO38)+1,10)))))*$D$50)))))*$I38,0)),0)</f>
        <v>0</v>
      </c>
      <c r="BQ38" s="338"/>
      <c r="BR38" s="363" t="s">
        <v>266</v>
      </c>
      <c r="BS38" s="356" t="n">
        <f aca="false">IFERROR(IF($M38=BR38,($D$8+$D$9+$D$10)*$I38,IF($N38=LEFT(BR38,1),($D$8+MAX(0,IF($D$50=1,$D$9*(1-(ABS($Q38-ABS(VALUE(MID(BR38,FIND("|",BR38)+1,FIND("-",BR38)-FIND("|",BR38)-1))-VALUE(MID(BR38,FIND("-",BR38)+1,10)))))*$D$50),$D$9*(1-(IF($N38="X",ABS($O38-VALUE(MID(BR38,FIND("|",BR38)+1,FIND("-",BR38)-FIND("|",BR38)-1))),ABS($Q38-ABS(VALUE(MID(BR38,FIND("|",BR38)+1,FIND("-",BR38)-FIND("|",BR38)-1))-VALUE(MID(BR38,FIND("-",BR38)+1,10)))))*$D$50)))))*$I38,0)),0)</f>
        <v>0</v>
      </c>
      <c r="BT38" s="338"/>
      <c r="BU38" s="363"/>
      <c r="BV38" s="356" t="n">
        <f aca="false">IFERROR(IF($M38=BU38,($D$8+$D$9+$D$10)*$I38,IF($N38=LEFT(BU38,1),($D$8+MAX(0,IF($D$50=1,$D$9*(1-(ABS($Q38-ABS(VALUE(MID(BU38,FIND("|",BU38)+1,FIND("-",BU38)-FIND("|",BU38)-1))-VALUE(MID(BU38,FIND("-",BU38)+1,10)))))*$D$50),$D$9*(1-(IF($N38="X",ABS($O38-VALUE(MID(BU38,FIND("|",BU38)+1,FIND("-",BU38)-FIND("|",BU38)-1))),ABS($Q38-ABS(VALUE(MID(BU38,FIND("|",BU38)+1,FIND("-",BU38)-FIND("|",BU38)-1))-VALUE(MID(BU38,FIND("-",BU38)+1,10)))))*$D$50)))))*$I38,0)),0)</f>
        <v>0</v>
      </c>
      <c r="BW38" s="338"/>
      <c r="BX38" s="363"/>
      <c r="BY38" s="356" t="n">
        <f aca="false">IFERROR(IF($M38=BX38,($D$8+$D$9+$D$10)*$I38,IF($N38=LEFT(BX38,1),($D$8+MAX(0,IF($D$50=1,$D$9*(1-(ABS($Q38-ABS(VALUE(MID(BX38,FIND("|",BX38)+1,FIND("-",BX38)-FIND("|",BX38)-1))-VALUE(MID(BX38,FIND("-",BX38)+1,10)))))*$D$50),$D$9*(1-(IF($N38="X",ABS($O38-VALUE(MID(BX38,FIND("|",BX38)+1,FIND("-",BX38)-FIND("|",BX38)-1))),ABS($Q38-ABS(VALUE(MID(BX38,FIND("|",BX38)+1,FIND("-",BX38)-FIND("|",BX38)-1))-VALUE(MID(BX38,FIND("-",BX38)+1,10)))))*$D$50)))))*$I38,0)),0)</f>
        <v>0</v>
      </c>
      <c r="BZ38" s="338"/>
      <c r="CA38" s="363"/>
      <c r="CB38" s="356" t="n">
        <f aca="false">IFERROR(IF($M38=CA38,($D$8+$D$9+$D$10)*$I38,IF($N38=LEFT(CA38,1),($D$8+MAX(0,IF($D$50=1,$D$9*(1-(ABS($Q38-ABS(VALUE(MID(CA38,FIND("|",CA38)+1,FIND("-",CA38)-FIND("|",CA38)-1))-VALUE(MID(CA38,FIND("-",CA38)+1,10)))))*$D$50),$D$9*(1-(IF($N38="X",ABS($O38-VALUE(MID(CA38,FIND("|",CA38)+1,FIND("-",CA38)-FIND("|",CA38)-1))),ABS($Q38-ABS(VALUE(MID(CA38,FIND("|",CA38)+1,FIND("-",CA38)-FIND("|",CA38)-1))-VALUE(MID(CA38,FIND("-",CA38)+1,10)))))*$D$50)))))*$I38,0)),0)</f>
        <v>0</v>
      </c>
      <c r="CC38" s="338"/>
      <c r="CD38" s="363"/>
      <c r="CE38" s="356" t="n">
        <f aca="false">IFERROR(IF($M38=CD38,($D$8+$D$9+$D$10)*$I38,IF($N38=LEFT(CD38,1),($D$8+MAX(0,IF($D$50=1,$D$9*(1-(ABS($Q38-ABS(VALUE(MID(CD38,FIND("|",CD38)+1,FIND("-",CD38)-FIND("|",CD38)-1))-VALUE(MID(CD38,FIND("-",CD38)+1,10)))))*$D$50),$D$9*(1-(IF($N38="X",ABS($O38-VALUE(MID(CD38,FIND("|",CD38)+1,FIND("-",CD38)-FIND("|",CD38)-1))),ABS($Q38-ABS(VALUE(MID(CD38,FIND("|",CD38)+1,FIND("-",CD38)-FIND("|",CD38)-1))-VALUE(MID(CD38,FIND("-",CD38)+1,10)))))*$D$50)))))*$I38,0)),0)</f>
        <v>0</v>
      </c>
      <c r="CF38" s="338"/>
      <c r="CG38" s="363"/>
      <c r="CH38" s="356" t="n">
        <f aca="false">IFERROR(IF($M38=CG38,($D$8+$D$9+$D$10)*$I38,IF($N38=LEFT(CG38,1),($D$8+MAX(0,IF($D$50=1,$D$9*(1-(ABS($Q38-ABS(VALUE(MID(CG38,FIND("|",CG38)+1,FIND("-",CG38)-FIND("|",CG38)-1))-VALUE(MID(CG38,FIND("-",CG38)+1,10)))))*$D$50),$D$9*(1-(IF($N38="X",ABS($O38-VALUE(MID(CG38,FIND("|",CG38)+1,FIND("-",CG38)-FIND("|",CG38)-1))),ABS($Q38-ABS(VALUE(MID(CG38,FIND("|",CG38)+1,FIND("-",CG38)-FIND("|",CG38)-1))-VALUE(MID(CG38,FIND("-",CG38)+1,10)))))*$D$50)))))*$I38,0)),0)</f>
        <v>0</v>
      </c>
      <c r="CI38" s="338"/>
      <c r="CJ38" s="363"/>
      <c r="CK38" s="356" t="n">
        <f aca="false">IFERROR(IF($M38=CJ38,($D$8+$D$9+$D$10)*$I38,IF($N38=LEFT(CJ38,1),($D$8+MAX(0,IF($D$50=1,$D$9*(1-(ABS($Q38-ABS(VALUE(MID(CJ38,FIND("|",CJ38)+1,FIND("-",CJ38)-FIND("|",CJ38)-1))-VALUE(MID(CJ38,FIND("-",CJ38)+1,10)))))*$D$50),$D$9*(1-(IF($N38="X",ABS($O38-VALUE(MID(CJ38,FIND("|",CJ38)+1,FIND("-",CJ38)-FIND("|",CJ38)-1))),ABS($Q38-ABS(VALUE(MID(CJ38,FIND("|",CJ38)+1,FIND("-",CJ38)-FIND("|",CJ38)-1))-VALUE(MID(CJ38,FIND("-",CJ38)+1,10)))))*$D$50)))))*$I38,0)),0)</f>
        <v>0</v>
      </c>
      <c r="CL38" s="338"/>
      <c r="CM38" s="363"/>
      <c r="CN38" s="356" t="n">
        <f aca="false">IFERROR(IF($M38=CM38,($D$8+$D$9+$D$10)*$I38,IF($N38=LEFT(CM38,1),($D$8+MAX(0,IF($D$50=1,$D$9*(1-(ABS($Q38-ABS(VALUE(MID(CM38,FIND("|",CM38)+1,FIND("-",CM38)-FIND("|",CM38)-1))-VALUE(MID(CM38,FIND("-",CM38)+1,10)))))*$D$50),$D$9*(1-(IF($N38="X",ABS($O38-VALUE(MID(CM38,FIND("|",CM38)+1,FIND("-",CM38)-FIND("|",CM38)-1))),ABS($Q38-ABS(VALUE(MID(CM38,FIND("|",CM38)+1,FIND("-",CM38)-FIND("|",CM38)-1))-VALUE(MID(CM38,FIND("-",CM38)+1,10)))))*$D$50)))))*$I38,0)),0)</f>
        <v>0</v>
      </c>
      <c r="CO38" s="338"/>
      <c r="CP38" s="363"/>
      <c r="CQ38" s="356" t="n">
        <f aca="false">IFERROR(IF($M38=CP38,($D$8+$D$9+$D$10)*$I38,IF($N38=LEFT(CP38,1),($D$8+MAX(0,IF($D$50=1,$D$9*(1-(ABS($Q38-ABS(VALUE(MID(CP38,FIND("|",CP38)+1,FIND("-",CP38)-FIND("|",CP38)-1))-VALUE(MID(CP38,FIND("-",CP38)+1,10)))))*$D$50),$D$9*(1-(IF($N38="X",ABS($O38-VALUE(MID(CP38,FIND("|",CP38)+1,FIND("-",CP38)-FIND("|",CP38)-1))),ABS($Q38-ABS(VALUE(MID(CP38,FIND("|",CP38)+1,FIND("-",CP38)-FIND("|",CP38)-1))-VALUE(MID(CP38,FIND("-",CP38)+1,10)))))*$D$50)))))*$I38,0)),0)</f>
        <v>0</v>
      </c>
      <c r="CR38" s="338"/>
      <c r="CS38" s="363"/>
      <c r="CT38" s="356" t="n">
        <f aca="false">IFERROR(IF($M38=CS38,($D$8+$D$9+$D$10)*$I38,IF($N38=LEFT(CS38,1),($D$8+MAX(0,IF($D$50=1,$D$9*(1-(ABS($Q38-ABS(VALUE(MID(CS38,FIND("|",CS38)+1,FIND("-",CS38)-FIND("|",CS38)-1))-VALUE(MID(CS38,FIND("-",CS38)+1,10)))))*$D$50),$D$9*(1-(IF($N38="X",ABS($O38-VALUE(MID(CS38,FIND("|",CS38)+1,FIND("-",CS38)-FIND("|",CS38)-1))),ABS($Q38-ABS(VALUE(MID(CS38,FIND("|",CS38)+1,FIND("-",CS38)-FIND("|",CS38)-1))-VALUE(MID(CS38,FIND("-",CS38)+1,10)))))*$D$50)))))*$I38,0)),0)</f>
        <v>0</v>
      </c>
      <c r="CU38" s="338"/>
      <c r="CV38" s="363"/>
      <c r="CW38" s="356" t="n">
        <f aca="false">IFERROR(IF($M38=CV38,($D$8+$D$9+$D$10)*$I38,IF($N38=LEFT(CV38,1),($D$8+MAX(0,IF($D$50=1,$D$9*(1-(ABS($Q38-ABS(VALUE(MID(CV38,FIND("|",CV38)+1,FIND("-",CV38)-FIND("|",CV38)-1))-VALUE(MID(CV38,FIND("-",CV38)+1,10)))))*$D$50),$D$9*(1-(IF($N38="X",ABS($O38-VALUE(MID(CV38,FIND("|",CV38)+1,FIND("-",CV38)-FIND("|",CV38)-1))),ABS($Q38-ABS(VALUE(MID(CV38,FIND("|",CV38)+1,FIND("-",CV38)-FIND("|",CV38)-1))-VALUE(MID(CV38,FIND("-",CV38)+1,10)))))*$D$50)))))*$I38,0)),0)</f>
        <v>0</v>
      </c>
      <c r="CX38" s="338"/>
      <c r="CY38" s="363"/>
      <c r="CZ38" s="356" t="n">
        <f aca="false">IFERROR(IF($M38=CY38,($D$8+$D$9+$D$10)*$I38,IF($N38=LEFT(CY38,1),($D$8+MAX(0,IF($D$50=1,$D$9*(1-(ABS($Q38-ABS(VALUE(MID(CY38,FIND("|",CY38)+1,FIND("-",CY38)-FIND("|",CY38)-1))-VALUE(MID(CY38,FIND("-",CY38)+1,10)))))*$D$50),$D$9*(1-(IF($N38="X",ABS($O38-VALUE(MID(CY38,FIND("|",CY38)+1,FIND("-",CY38)-FIND("|",CY38)-1))),ABS($Q38-ABS(VALUE(MID(CY38,FIND("|",CY38)+1,FIND("-",CY38)-FIND("|",CY38)-1))-VALUE(MID(CY38,FIND("-",CY38)+1,10)))))*$D$50)))))*$I38,0)),0)</f>
        <v>0</v>
      </c>
      <c r="DA38" s="338"/>
      <c r="DB38" s="363"/>
      <c r="DC38" s="356" t="n">
        <f aca="false">IFERROR(IF($M38=DB38,($D$8+$D$9+$D$10)*$I38,IF($N38=LEFT(DB38,1),($D$8+MAX(0,IF($D$50=1,$D$9*(1-(ABS($Q38-ABS(VALUE(MID(DB38,FIND("|",DB38)+1,FIND("-",DB38)-FIND("|",DB38)-1))-VALUE(MID(DB38,FIND("-",DB38)+1,10)))))*$D$50),$D$9*(1-(IF($N38="X",ABS($O38-VALUE(MID(DB38,FIND("|",DB38)+1,FIND("-",DB38)-FIND("|",DB38)-1))),ABS($Q38-ABS(VALUE(MID(DB38,FIND("|",DB38)+1,FIND("-",DB38)-FIND("|",DB38)-1))-VALUE(MID(DB38,FIND("-",DB38)+1,10)))))*$D$50)))))*$I38,0)),0)</f>
        <v>0</v>
      </c>
      <c r="DD38" s="338"/>
      <c r="DE38" s="363"/>
      <c r="DF38" s="356" t="n">
        <f aca="false">IFERROR(IF($M38=DE38,($D$8+$D$9+$D$10)*$I38,IF($N38=LEFT(DE38,1),($D$8+MAX(0,IF($D$50=1,$D$9*(1-(ABS($Q38-ABS(VALUE(MID(DE38,FIND("|",DE38)+1,FIND("-",DE38)-FIND("|",DE38)-1))-VALUE(MID(DE38,FIND("-",DE38)+1,10)))))*$D$50),$D$9*(1-(IF($N38="X",ABS($O38-VALUE(MID(DE38,FIND("|",DE38)+1,FIND("-",DE38)-FIND("|",DE38)-1))),ABS($Q38-ABS(VALUE(MID(DE38,FIND("|",DE38)+1,FIND("-",DE38)-FIND("|",DE38)-1))-VALUE(MID(DE38,FIND("-",DE38)+1,10)))))*$D$50)))))*$I38,0)),0)</f>
        <v>0</v>
      </c>
      <c r="DG38" s="338"/>
      <c r="DH38" s="363"/>
      <c r="DI38" s="356" t="n">
        <f aca="false">IFERROR(IF($M38=DH38,($D$8+$D$9+$D$10)*$I38,IF($N38=LEFT(DH38,1),($D$8+MAX(0,IF($D$50=1,$D$9*(1-(ABS($Q38-ABS(VALUE(MID(DH38,FIND("|",DH38)+1,FIND("-",DH38)-FIND("|",DH38)-1))-VALUE(MID(DH38,FIND("-",DH38)+1,10)))))*$D$50),$D$9*(1-(IF($N38="X",ABS($O38-VALUE(MID(DH38,FIND("|",DH38)+1,FIND("-",DH38)-FIND("|",DH38)-1))),ABS($Q38-ABS(VALUE(MID(DH38,FIND("|",DH38)+1,FIND("-",DH38)-FIND("|",DH38)-1))-VALUE(MID(DH38,FIND("-",DH38)+1,10)))))*$D$50)))))*$I38,0)),0)</f>
        <v>0</v>
      </c>
      <c r="DJ38" s="338"/>
      <c r="DK38" s="363"/>
      <c r="DL38" s="356" t="n">
        <f aca="false">IFERROR(IF($M38=DK38,($D$8+$D$9+$D$10)*$I38,IF($N38=LEFT(DK38,1),($D$8+MAX(0,IF($D$50=1,$D$9*(1-(ABS($Q38-ABS(VALUE(MID(DK38,FIND("|",DK38)+1,FIND("-",DK38)-FIND("|",DK38)-1))-VALUE(MID(DK38,FIND("-",DK38)+1,10)))))*$D$50),$D$9*(1-(IF($N38="X",ABS($O38-VALUE(MID(DK38,FIND("|",DK38)+1,FIND("-",DK38)-FIND("|",DK38)-1))),ABS($Q38-ABS(VALUE(MID(DK38,FIND("|",DK38)+1,FIND("-",DK38)-FIND("|",DK38)-1))-VALUE(MID(DK38,FIND("-",DK38)+1,10)))))*$D$50)))))*$I38,0)),0)</f>
        <v>0</v>
      </c>
      <c r="DM38" s="338"/>
      <c r="DN38" s="363"/>
      <c r="DO38" s="356" t="n">
        <f aca="false">IFERROR(IF($M38=DN38,($D$8+$D$9+$D$10)*$I38,IF($N38=LEFT(DN38,1),($D$8+MAX(0,IF($D$50=1,$D$9*(1-(ABS($Q38-ABS(VALUE(MID(DN38,FIND("|",DN38)+1,FIND("-",DN38)-FIND("|",DN38)-1))-VALUE(MID(DN38,FIND("-",DN38)+1,10)))))*$D$50),$D$9*(1-(IF($N38="X",ABS($O38-VALUE(MID(DN38,FIND("|",DN38)+1,FIND("-",DN38)-FIND("|",DN38)-1))),ABS($Q38-ABS(VALUE(MID(DN38,FIND("|",DN38)+1,FIND("-",DN38)-FIND("|",DN38)-1))-VALUE(MID(DN38,FIND("-",DN38)+1,10)))))*$D$50)))))*$I38,0)),0)</f>
        <v>0</v>
      </c>
      <c r="DP38" s="338"/>
      <c r="DQ38" s="363"/>
      <c r="DR38" s="356" t="n">
        <f aca="false">IFERROR(IF($M38=DQ38,($D$8+$D$9+$D$10)*$I38,IF($N38=LEFT(DQ38,1),($D$8+MAX(0,IF($D$50=1,$D$9*(1-(ABS($Q38-ABS(VALUE(MID(DQ38,FIND("|",DQ38)+1,FIND("-",DQ38)-FIND("|",DQ38)-1))-VALUE(MID(DQ38,FIND("-",DQ38)+1,10)))))*$D$50),$D$9*(1-(IF($N38="X",ABS($O38-VALUE(MID(DQ38,FIND("|",DQ38)+1,FIND("-",DQ38)-FIND("|",DQ38)-1))),ABS($Q38-ABS(VALUE(MID(DQ38,FIND("|",DQ38)+1,FIND("-",DQ38)-FIND("|",DQ38)-1))-VALUE(MID(DQ38,FIND("-",DQ38)+1,10)))))*$D$50)))))*$I38,0)),0)</f>
        <v>0</v>
      </c>
      <c r="DS38" s="338"/>
      <c r="DT38" s="363"/>
      <c r="DU38" s="356" t="n">
        <f aca="false">IFERROR(IF($M38=DT38,($D$8+$D$9+$D$10)*$I38,IF($N38=LEFT(DT38,1),($D$8+MAX(0,IF($D$50=1,$D$9*(1-(ABS($Q38-ABS(VALUE(MID(DT38,FIND("|",DT38)+1,FIND("-",DT38)-FIND("|",DT38)-1))-VALUE(MID(DT38,FIND("-",DT38)+1,10)))))*$D$50),$D$9*(1-(IF($N38="X",ABS($O38-VALUE(MID(DT38,FIND("|",DT38)+1,FIND("-",DT38)-FIND("|",DT38)-1))),ABS($Q38-ABS(VALUE(MID(DT38,FIND("|",DT38)+1,FIND("-",DT38)-FIND("|",DT38)-1))-VALUE(MID(DT38,FIND("-",DT38)+1,10)))))*$D$50)))))*$I38,0)),0)</f>
        <v>0</v>
      </c>
      <c r="DV38" s="338"/>
      <c r="DW38" s="363"/>
      <c r="DX38" s="356" t="n">
        <f aca="false">IFERROR(IF($M38=DW38,($D$8+$D$9+$D$10)*$I38,IF($N38=LEFT(DW38,1),($D$8+MAX(0,IF($D$50=1,$D$9*(1-(ABS($Q38-ABS(VALUE(MID(DW38,FIND("|",DW38)+1,FIND("-",DW38)-FIND("|",DW38)-1))-VALUE(MID(DW38,FIND("-",DW38)+1,10)))))*$D$50),$D$9*(1-(IF($N38="X",ABS($O38-VALUE(MID(DW38,FIND("|",DW38)+1,FIND("-",DW38)-FIND("|",DW38)-1))),ABS($Q38-ABS(VALUE(MID(DW38,FIND("|",DW38)+1,FIND("-",DW38)-FIND("|",DW38)-1))-VALUE(MID(DW38,FIND("-",DW38)+1,10)))))*$D$50)))))*$I38,0)),0)</f>
        <v>0</v>
      </c>
      <c r="DY38" s="338"/>
      <c r="DZ38" s="363"/>
      <c r="EA38" s="356" t="n">
        <f aca="false">IFERROR(IF($M38=DZ38,($D$8+$D$9+$D$10)*$I38,IF($N38=LEFT(DZ38,1),($D$8+MAX(0,IF($D$50=1,$D$9*(1-(ABS($Q38-ABS(VALUE(MID(DZ38,FIND("|",DZ38)+1,FIND("-",DZ38)-FIND("|",DZ38)-1))-VALUE(MID(DZ38,FIND("-",DZ38)+1,10)))))*$D$50),$D$9*(1-(IF($N38="X",ABS($O38-VALUE(MID(DZ38,FIND("|",DZ38)+1,FIND("-",DZ38)-FIND("|",DZ38)-1))),ABS($Q38-ABS(VALUE(MID(DZ38,FIND("|",DZ38)+1,FIND("-",DZ38)-FIND("|",DZ38)-1))-VALUE(MID(DZ38,FIND("-",DZ38)+1,10)))))*$D$50)))))*$I38,0)),0)</f>
        <v>0</v>
      </c>
      <c r="EB38" s="338"/>
      <c r="EC38" s="363"/>
      <c r="ED38" s="356" t="n">
        <f aca="false">IFERROR(IF($M38=EC38,($D$8+$D$9+$D$10)*$I38,IF($N38=LEFT(EC38,1),($D$8+MAX(0,IF($D$50=1,$D$9*(1-(ABS($Q38-ABS(VALUE(MID(EC38,FIND("|",EC38)+1,FIND("-",EC38)-FIND("|",EC38)-1))-VALUE(MID(EC38,FIND("-",EC38)+1,10)))))*$D$50),$D$9*(1-(IF($N38="X",ABS($O38-VALUE(MID(EC38,FIND("|",EC38)+1,FIND("-",EC38)-FIND("|",EC38)-1))),ABS($Q38-ABS(VALUE(MID(EC38,FIND("|",EC38)+1,FIND("-",EC38)-FIND("|",EC38)-1))-VALUE(MID(EC38,FIND("-",EC38)+1,10)))))*$D$50)))))*$I38,0)),0)</f>
        <v>0</v>
      </c>
      <c r="EE38" s="338"/>
      <c r="EF38" s="363"/>
      <c r="EG38" s="356" t="n">
        <f aca="false">IFERROR(IF($M38=EF38,($D$8+$D$9+$D$10)*$I38,IF($N38=LEFT(EF38,1),($D$8+MAX(0,IF($D$50=1,$D$9*(1-(ABS($Q38-ABS(VALUE(MID(EF38,FIND("|",EF38)+1,FIND("-",EF38)-FIND("|",EF38)-1))-VALUE(MID(EF38,FIND("-",EF38)+1,10)))))*$D$50),$D$9*(1-(IF($N38="X",ABS($O38-VALUE(MID(EF38,FIND("|",EF38)+1,FIND("-",EF38)-FIND("|",EF38)-1))),ABS($Q38-ABS(VALUE(MID(EF38,FIND("|",EF38)+1,FIND("-",EF38)-FIND("|",EF38)-1))-VALUE(MID(EF38,FIND("-",EF38)+1,10)))))*$D$50)))))*$I38,0)),0)</f>
        <v>0</v>
      </c>
      <c r="EH38" s="338"/>
      <c r="EI38" s="338"/>
    </row>
    <row r="39" customFormat="false" ht="15" hidden="false" customHeight="false" outlineLevel="0" collapsed="false">
      <c r="A39" s="327"/>
      <c r="B39" s="327"/>
      <c r="C39" s="364" t="str">
        <f aca="false">Idiomas!D335</f>
        <v>Campeón</v>
      </c>
      <c r="D39" s="365" t="n">
        <v>25</v>
      </c>
      <c r="E39" s="334"/>
      <c r="F39" s="343" t="n">
        <f aca="false">SUM($D$8:$D$10)*I39</f>
        <v>17</v>
      </c>
      <c r="G39" s="343" t="n">
        <f aca="false">VLOOKUP(H39,Equipos!$Q$1:$R$25,2,0)</f>
        <v>11</v>
      </c>
      <c r="H39" s="351" t="n">
        <f aca="false">TRUNC(INDEX(WORLDCUP!$X$4:$X$147,MATCH(ADMIN!K39,WORLDCUP!$DT$4:$DT$147,0))+INDEX(Horarios!$R$3:$R$86,MATCH(Horarios!$C$3,Horarios!$P$3:$P$86,0))/24)</f>
        <v>46194</v>
      </c>
      <c r="I39" s="352" t="n">
        <v>1</v>
      </c>
      <c r="J39" s="353" t="s">
        <v>302</v>
      </c>
      <c r="K39" s="367" t="str">
        <f aca="false">CONCATENATE(WORLDCUP!AA39,"-",WORLDCUP!AF39)</f>
        <v>Ecuador-Curazao</v>
      </c>
      <c r="L39" s="354"/>
      <c r="M39" s="359" t="str">
        <f aca="false">IF(OR(WORLDCUP!AC39="",WORLDCUP!AD39=""),"-",N39&amp;"|"&amp;O39&amp;"-"&amp;P39)</f>
        <v>-</v>
      </c>
      <c r="N39" s="332" t="str">
        <f aca="false">IF(OR(WORLDCUP!AC39="",WORLDCUP!AD39=""),"",IF(WORLDCUP!AC39&gt;WORLDCUP!AD39,"1",IF(WORLDCUP!AC39&lt;WORLDCUP!AD39,"2","X")))</f>
        <v/>
      </c>
      <c r="O39" s="332" t="n">
        <f aca="false">WORLDCUP!AC39</f>
        <v>0</v>
      </c>
      <c r="P39" s="332" t="n">
        <f aca="false">WORLDCUP!AD39</f>
        <v>0</v>
      </c>
      <c r="Q39" s="332" t="n">
        <f aca="false">ABS(O39-P39)</f>
        <v>0</v>
      </c>
      <c r="R39" s="327"/>
      <c r="S39" s="363" t="s">
        <v>272</v>
      </c>
      <c r="T39" s="356" t="n">
        <f aca="false">IFERROR(IF($M39=S39,($D$8+$D$9+$D$10)*$I39,IF($N39=LEFT(S39,1),($D$8+MAX(0,IF($D$50=1,$D$9*(1-(ABS($Q39-ABS(VALUE(MID(S39,FIND("|",S39)+1,FIND("-",S39)-FIND("|",S39)-1))-VALUE(MID(S39,FIND("-",S39)+1,10)))))*$D$50),$D$9*(1-(IF($N39="X",ABS($O39-VALUE(MID(S39,FIND("|",S39)+1,FIND("-",S39)-FIND("|",S39)-1))),ABS($Q39-ABS(VALUE(MID(S39,FIND("|",S39)+1,FIND("-",S39)-FIND("|",S39)-1))-VALUE(MID(S39,FIND("-",S39)+1,10)))))*$D$50)))))*$I39,0)),0)</f>
        <v>0</v>
      </c>
      <c r="U39" s="338"/>
      <c r="V39" s="363" t="s">
        <v>266</v>
      </c>
      <c r="W39" s="356" t="n">
        <f aca="false">IFERROR(IF($M39=V39,($D$8+$D$9+$D$10)*$I39,IF($N39=LEFT(V39,1),($D$8+MAX(0,IF($D$50=1,$D$9*(1-(ABS($Q39-ABS(VALUE(MID(V39,FIND("|",V39)+1,FIND("-",V39)-FIND("|",V39)-1))-VALUE(MID(V39,FIND("-",V39)+1,10)))))*$D$50),$D$9*(1-(IF($N39="X",ABS($O39-VALUE(MID(V39,FIND("|",V39)+1,FIND("-",V39)-FIND("|",V39)-1))),ABS($Q39-ABS(VALUE(MID(V39,FIND("|",V39)+1,FIND("-",V39)-FIND("|",V39)-1))-VALUE(MID(V39,FIND("-",V39)+1,10)))))*$D$50)))))*$I39,0)),0)</f>
        <v>0</v>
      </c>
      <c r="X39" s="338"/>
      <c r="Y39" s="363" t="s">
        <v>266</v>
      </c>
      <c r="Z39" s="356" t="n">
        <f aca="false">IFERROR(IF($M39=Y39,($D$8+$D$9+$D$10)*$I39,IF($N39=LEFT(Y39,1),($D$8+MAX(0,IF($D$50=1,$D$9*(1-(ABS($Q39-ABS(VALUE(MID(Y39,FIND("|",Y39)+1,FIND("-",Y39)-FIND("|",Y39)-1))-VALUE(MID(Y39,FIND("-",Y39)+1,10)))))*$D$50),$D$9*(1-(IF($N39="X",ABS($O39-VALUE(MID(Y39,FIND("|",Y39)+1,FIND("-",Y39)-FIND("|",Y39)-1))),ABS($Q39-ABS(VALUE(MID(Y39,FIND("|",Y39)+1,FIND("-",Y39)-FIND("|",Y39)-1))-VALUE(MID(Y39,FIND("-",Y39)+1,10)))))*$D$50)))))*$I39,0)),0)</f>
        <v>0</v>
      </c>
      <c r="AA39" s="338"/>
      <c r="AB39" s="363" t="s">
        <v>265</v>
      </c>
      <c r="AC39" s="356" t="n">
        <f aca="false">IFERROR(IF($M39=AB39,($D$8+$D$9+$D$10)*$I39,IF($N39=LEFT(AB39,1),($D$8+MAX(0,IF($D$50=1,$D$9*(1-(ABS($Q39-ABS(VALUE(MID(AB39,FIND("|",AB39)+1,FIND("-",AB39)-FIND("|",AB39)-1))-VALUE(MID(AB39,FIND("-",AB39)+1,10)))))*$D$50),$D$9*(1-(IF($N39="X",ABS($O39-VALUE(MID(AB39,FIND("|",AB39)+1,FIND("-",AB39)-FIND("|",AB39)-1))),ABS($Q39-ABS(VALUE(MID(AB39,FIND("|",AB39)+1,FIND("-",AB39)-FIND("|",AB39)-1))-VALUE(MID(AB39,FIND("-",AB39)+1,10)))))*$D$50)))))*$I39,0)),0)</f>
        <v>0</v>
      </c>
      <c r="AD39" s="338"/>
      <c r="AE39" s="363" t="s">
        <v>283</v>
      </c>
      <c r="AF39" s="356" t="n">
        <f aca="false">IFERROR(IF($M39=AE39,($D$8+$D$9+$D$10)*$I39,IF($N39=LEFT(AE39,1),($D$8+MAX(0,IF($D$50=1,$D$9*(1-(ABS($Q39-ABS(VALUE(MID(AE39,FIND("|",AE39)+1,FIND("-",AE39)-FIND("|",AE39)-1))-VALUE(MID(AE39,FIND("-",AE39)+1,10)))))*$D$50),$D$9*(1-(IF($N39="X",ABS($O39-VALUE(MID(AE39,FIND("|",AE39)+1,FIND("-",AE39)-FIND("|",AE39)-1))),ABS($Q39-ABS(VALUE(MID(AE39,FIND("|",AE39)+1,FIND("-",AE39)-FIND("|",AE39)-1))-VALUE(MID(AE39,FIND("-",AE39)+1,10)))))*$D$50)))))*$I39,0)),0)</f>
        <v>0</v>
      </c>
      <c r="AG39" s="338"/>
      <c r="AH39" s="363" t="s">
        <v>266</v>
      </c>
      <c r="AI39" s="356" t="n">
        <f aca="false">IFERROR(IF($M39=AH39,($D$8+$D$9+$D$10)*$I39,IF($N39=LEFT(AH39,1),($D$8+MAX(0,IF($D$50=1,$D$9*(1-(ABS($Q39-ABS(VALUE(MID(AH39,FIND("|",AH39)+1,FIND("-",AH39)-FIND("|",AH39)-1))-VALUE(MID(AH39,FIND("-",AH39)+1,10)))))*$D$50),$D$9*(1-(IF($N39="X",ABS($O39-VALUE(MID(AH39,FIND("|",AH39)+1,FIND("-",AH39)-FIND("|",AH39)-1))),ABS($Q39-ABS(VALUE(MID(AH39,FIND("|",AH39)+1,FIND("-",AH39)-FIND("|",AH39)-1))-VALUE(MID(AH39,FIND("-",AH39)+1,10)))))*$D$50)))))*$I39,0)),0)</f>
        <v>0</v>
      </c>
      <c r="AJ39" s="338"/>
      <c r="AK39" s="363" t="s">
        <v>266</v>
      </c>
      <c r="AL39" s="356" t="n">
        <f aca="false">IFERROR(IF($M39=AK39,($D$8+$D$9+$D$10)*$I39,IF($N39=LEFT(AK39,1),($D$8+MAX(0,IF($D$50=1,$D$9*(1-(ABS($Q39-ABS(VALUE(MID(AK39,FIND("|",AK39)+1,FIND("-",AK39)-FIND("|",AK39)-1))-VALUE(MID(AK39,FIND("-",AK39)+1,10)))))*$D$50),$D$9*(1-(IF($N39="X",ABS($O39-VALUE(MID(AK39,FIND("|",AK39)+1,FIND("-",AK39)-FIND("|",AK39)-1))),ABS($Q39-ABS(VALUE(MID(AK39,FIND("|",AK39)+1,FIND("-",AK39)-FIND("|",AK39)-1))-VALUE(MID(AK39,FIND("-",AK39)+1,10)))))*$D$50)))))*$I39,0)),0)</f>
        <v>0</v>
      </c>
      <c r="AM39" s="338"/>
      <c r="AN39" s="363" t="s">
        <v>272</v>
      </c>
      <c r="AO39" s="356" t="n">
        <f aca="false">IFERROR(IF($M39=AN39,($D$8+$D$9+$D$10)*$I39,IF($N39=LEFT(AN39,1),($D$8+MAX(0,IF($D$50=1,$D$9*(1-(ABS($Q39-ABS(VALUE(MID(AN39,FIND("|",AN39)+1,FIND("-",AN39)-FIND("|",AN39)-1))-VALUE(MID(AN39,FIND("-",AN39)+1,10)))))*$D$50),$D$9*(1-(IF($N39="X",ABS($O39-VALUE(MID(AN39,FIND("|",AN39)+1,FIND("-",AN39)-FIND("|",AN39)-1))),ABS($Q39-ABS(VALUE(MID(AN39,FIND("|",AN39)+1,FIND("-",AN39)-FIND("|",AN39)-1))-VALUE(MID(AN39,FIND("-",AN39)+1,10)))))*$D$50)))))*$I39,0)),0)</f>
        <v>0</v>
      </c>
      <c r="AP39" s="338"/>
      <c r="AQ39" s="363" t="s">
        <v>272</v>
      </c>
      <c r="AR39" s="356" t="n">
        <f aca="false">IFERROR(IF($M39=AQ39,($D$8+$D$9+$D$10)*$I39,IF($N39=LEFT(AQ39,1),($D$8+MAX(0,IF($D$50=1,$D$9*(1-(ABS($Q39-ABS(VALUE(MID(AQ39,FIND("|",AQ39)+1,FIND("-",AQ39)-FIND("|",AQ39)-1))-VALUE(MID(AQ39,FIND("-",AQ39)+1,10)))))*$D$50),$D$9*(1-(IF($N39="X",ABS($O39-VALUE(MID(AQ39,FIND("|",AQ39)+1,FIND("-",AQ39)-FIND("|",AQ39)-1))),ABS($Q39-ABS(VALUE(MID(AQ39,FIND("|",AQ39)+1,FIND("-",AQ39)-FIND("|",AQ39)-1))-VALUE(MID(AQ39,FIND("-",AQ39)+1,10)))))*$D$50)))))*$I39,0)),0)</f>
        <v>0</v>
      </c>
      <c r="AS39" s="338"/>
      <c r="AT39" s="363" t="s">
        <v>266</v>
      </c>
      <c r="AU39" s="356" t="n">
        <f aca="false">IFERROR(IF($M39=AT39,($D$8+$D$9+$D$10)*$I39,IF($N39=LEFT(AT39,1),($D$8+MAX(0,IF($D$50=1,$D$9*(1-(ABS($Q39-ABS(VALUE(MID(AT39,FIND("|",AT39)+1,FIND("-",AT39)-FIND("|",AT39)-1))-VALUE(MID(AT39,FIND("-",AT39)+1,10)))))*$D$50),$D$9*(1-(IF($N39="X",ABS($O39-VALUE(MID(AT39,FIND("|",AT39)+1,FIND("-",AT39)-FIND("|",AT39)-1))),ABS($Q39-ABS(VALUE(MID(AT39,FIND("|",AT39)+1,FIND("-",AT39)-FIND("|",AT39)-1))-VALUE(MID(AT39,FIND("-",AT39)+1,10)))))*$D$50)))))*$I39,0)),0)</f>
        <v>0</v>
      </c>
      <c r="AV39" s="338"/>
      <c r="AW39" s="363" t="s">
        <v>265</v>
      </c>
      <c r="AX39" s="356" t="n">
        <f aca="false">IFERROR(IF($M39=AW39,($D$8+$D$9+$D$10)*$I39,IF($N39=LEFT(AW39,1),($D$8+MAX(0,IF($D$50=1,$D$9*(1-(ABS($Q39-ABS(VALUE(MID(AW39,FIND("|",AW39)+1,FIND("-",AW39)-FIND("|",AW39)-1))-VALUE(MID(AW39,FIND("-",AW39)+1,10)))))*$D$50),$D$9*(1-(IF($N39="X",ABS($O39-VALUE(MID(AW39,FIND("|",AW39)+1,FIND("-",AW39)-FIND("|",AW39)-1))),ABS($Q39-ABS(VALUE(MID(AW39,FIND("|",AW39)+1,FIND("-",AW39)-FIND("|",AW39)-1))-VALUE(MID(AW39,FIND("-",AW39)+1,10)))))*$D$50)))))*$I39,0)),0)</f>
        <v>0</v>
      </c>
      <c r="AY39" s="338"/>
      <c r="AZ39" s="363" t="s">
        <v>266</v>
      </c>
      <c r="BA39" s="356" t="n">
        <f aca="false">IFERROR(IF($M39=AZ39,($D$8+$D$9+$D$10)*$I39,IF($N39=LEFT(AZ39,1),($D$8+MAX(0,IF($D$50=1,$D$9*(1-(ABS($Q39-ABS(VALUE(MID(AZ39,FIND("|",AZ39)+1,FIND("-",AZ39)-FIND("|",AZ39)-1))-VALUE(MID(AZ39,FIND("-",AZ39)+1,10)))))*$D$50),$D$9*(1-(IF($N39="X",ABS($O39-VALUE(MID(AZ39,FIND("|",AZ39)+1,FIND("-",AZ39)-FIND("|",AZ39)-1))),ABS($Q39-ABS(VALUE(MID(AZ39,FIND("|",AZ39)+1,FIND("-",AZ39)-FIND("|",AZ39)-1))-VALUE(MID(AZ39,FIND("-",AZ39)+1,10)))))*$D$50)))))*$I39,0)),0)</f>
        <v>0</v>
      </c>
      <c r="BB39" s="338"/>
      <c r="BC39" s="363" t="s">
        <v>285</v>
      </c>
      <c r="BD39" s="356" t="n">
        <f aca="false">IFERROR(IF($M39=BC39,($D$8+$D$9+$D$10)*$I39,IF($N39=LEFT(BC39,1),($D$8+MAX(0,IF($D$50=1,$D$9*(1-(ABS($Q39-ABS(VALUE(MID(BC39,FIND("|",BC39)+1,FIND("-",BC39)-FIND("|",BC39)-1))-VALUE(MID(BC39,FIND("-",BC39)+1,10)))))*$D$50),$D$9*(1-(IF($N39="X",ABS($O39-VALUE(MID(BC39,FIND("|",BC39)+1,FIND("-",BC39)-FIND("|",BC39)-1))),ABS($Q39-ABS(VALUE(MID(BC39,FIND("|",BC39)+1,FIND("-",BC39)-FIND("|",BC39)-1))-VALUE(MID(BC39,FIND("-",BC39)+1,10)))))*$D$50)))))*$I39,0)),0)</f>
        <v>0</v>
      </c>
      <c r="BE39" s="338"/>
      <c r="BF39" s="363" t="s">
        <v>266</v>
      </c>
      <c r="BG39" s="356" t="n">
        <f aca="false">IFERROR(IF($M39=BF39,($D$8+$D$9+$D$10)*$I39,IF($N39=LEFT(BF39,1),($D$8+MAX(0,IF($D$50=1,$D$9*(1-(ABS($Q39-ABS(VALUE(MID(BF39,FIND("|",BF39)+1,FIND("-",BF39)-FIND("|",BF39)-1))-VALUE(MID(BF39,FIND("-",BF39)+1,10)))))*$D$50),$D$9*(1-(IF($N39="X",ABS($O39-VALUE(MID(BF39,FIND("|",BF39)+1,FIND("-",BF39)-FIND("|",BF39)-1))),ABS($Q39-ABS(VALUE(MID(BF39,FIND("|",BF39)+1,FIND("-",BF39)-FIND("|",BF39)-1))-VALUE(MID(BF39,FIND("-",BF39)+1,10)))))*$D$50)))))*$I39,0)),0)</f>
        <v>0</v>
      </c>
      <c r="BH39" s="338"/>
      <c r="BI39" s="363" t="s">
        <v>265</v>
      </c>
      <c r="BJ39" s="356" t="n">
        <f aca="false">IFERROR(IF($M39=BI39,($D$8+$D$9+$D$10)*$I39,IF($N39=LEFT(BI39,1),($D$8+MAX(0,IF($D$50=1,$D$9*(1-(ABS($Q39-ABS(VALUE(MID(BI39,FIND("|",BI39)+1,FIND("-",BI39)-FIND("|",BI39)-1))-VALUE(MID(BI39,FIND("-",BI39)+1,10)))))*$D$50),$D$9*(1-(IF($N39="X",ABS($O39-VALUE(MID(BI39,FIND("|",BI39)+1,FIND("-",BI39)-FIND("|",BI39)-1))),ABS($Q39-ABS(VALUE(MID(BI39,FIND("|",BI39)+1,FIND("-",BI39)-FIND("|",BI39)-1))-VALUE(MID(BI39,FIND("-",BI39)+1,10)))))*$D$50)))))*$I39,0)),0)</f>
        <v>0</v>
      </c>
      <c r="BK39" s="338"/>
      <c r="BL39" s="363" t="s">
        <v>264</v>
      </c>
      <c r="BM39" s="356" t="n">
        <f aca="false">IFERROR(IF($M39=BL39,($D$8+$D$9+$D$10)*$I39,IF($N39=LEFT(BL39,1),($D$8+MAX(0,IF($D$50=1,$D$9*(1-(ABS($Q39-ABS(VALUE(MID(BL39,FIND("|",BL39)+1,FIND("-",BL39)-FIND("|",BL39)-1))-VALUE(MID(BL39,FIND("-",BL39)+1,10)))))*$D$50),$D$9*(1-(IF($N39="X",ABS($O39-VALUE(MID(BL39,FIND("|",BL39)+1,FIND("-",BL39)-FIND("|",BL39)-1))),ABS($Q39-ABS(VALUE(MID(BL39,FIND("|",BL39)+1,FIND("-",BL39)-FIND("|",BL39)-1))-VALUE(MID(BL39,FIND("-",BL39)+1,10)))))*$D$50)))))*$I39,0)),0)</f>
        <v>0</v>
      </c>
      <c r="BN39" s="338"/>
      <c r="BO39" s="363" t="s">
        <v>272</v>
      </c>
      <c r="BP39" s="356" t="n">
        <f aca="false">IFERROR(IF($M39=BO39,($D$8+$D$9+$D$10)*$I39,IF($N39=LEFT(BO39,1),($D$8+MAX(0,IF($D$50=1,$D$9*(1-(ABS($Q39-ABS(VALUE(MID(BO39,FIND("|",BO39)+1,FIND("-",BO39)-FIND("|",BO39)-1))-VALUE(MID(BO39,FIND("-",BO39)+1,10)))))*$D$50),$D$9*(1-(IF($N39="X",ABS($O39-VALUE(MID(BO39,FIND("|",BO39)+1,FIND("-",BO39)-FIND("|",BO39)-1))),ABS($Q39-ABS(VALUE(MID(BO39,FIND("|",BO39)+1,FIND("-",BO39)-FIND("|",BO39)-1))-VALUE(MID(BO39,FIND("-",BO39)+1,10)))))*$D$50)))))*$I39,0)),0)</f>
        <v>0</v>
      </c>
      <c r="BQ39" s="338"/>
      <c r="BR39" s="363" t="s">
        <v>266</v>
      </c>
      <c r="BS39" s="356" t="n">
        <f aca="false">IFERROR(IF($M39=BR39,($D$8+$D$9+$D$10)*$I39,IF($N39=LEFT(BR39,1),($D$8+MAX(0,IF($D$50=1,$D$9*(1-(ABS($Q39-ABS(VALUE(MID(BR39,FIND("|",BR39)+1,FIND("-",BR39)-FIND("|",BR39)-1))-VALUE(MID(BR39,FIND("-",BR39)+1,10)))))*$D$50),$D$9*(1-(IF($N39="X",ABS($O39-VALUE(MID(BR39,FIND("|",BR39)+1,FIND("-",BR39)-FIND("|",BR39)-1))),ABS($Q39-ABS(VALUE(MID(BR39,FIND("|",BR39)+1,FIND("-",BR39)-FIND("|",BR39)-1))-VALUE(MID(BR39,FIND("-",BR39)+1,10)))))*$D$50)))))*$I39,0)),0)</f>
        <v>0</v>
      </c>
      <c r="BT39" s="338"/>
      <c r="BU39" s="363"/>
      <c r="BV39" s="356" t="n">
        <f aca="false">IFERROR(IF($M39=BU39,($D$8+$D$9+$D$10)*$I39,IF($N39=LEFT(BU39,1),($D$8+MAX(0,IF($D$50=1,$D$9*(1-(ABS($Q39-ABS(VALUE(MID(BU39,FIND("|",BU39)+1,FIND("-",BU39)-FIND("|",BU39)-1))-VALUE(MID(BU39,FIND("-",BU39)+1,10)))))*$D$50),$D$9*(1-(IF($N39="X",ABS($O39-VALUE(MID(BU39,FIND("|",BU39)+1,FIND("-",BU39)-FIND("|",BU39)-1))),ABS($Q39-ABS(VALUE(MID(BU39,FIND("|",BU39)+1,FIND("-",BU39)-FIND("|",BU39)-1))-VALUE(MID(BU39,FIND("-",BU39)+1,10)))))*$D$50)))))*$I39,0)),0)</f>
        <v>0</v>
      </c>
      <c r="BW39" s="338"/>
      <c r="BX39" s="363"/>
      <c r="BY39" s="356" t="n">
        <f aca="false">IFERROR(IF($M39=BX39,($D$8+$D$9+$D$10)*$I39,IF($N39=LEFT(BX39,1),($D$8+MAX(0,IF($D$50=1,$D$9*(1-(ABS($Q39-ABS(VALUE(MID(BX39,FIND("|",BX39)+1,FIND("-",BX39)-FIND("|",BX39)-1))-VALUE(MID(BX39,FIND("-",BX39)+1,10)))))*$D$50),$D$9*(1-(IF($N39="X",ABS($O39-VALUE(MID(BX39,FIND("|",BX39)+1,FIND("-",BX39)-FIND("|",BX39)-1))),ABS($Q39-ABS(VALUE(MID(BX39,FIND("|",BX39)+1,FIND("-",BX39)-FIND("|",BX39)-1))-VALUE(MID(BX39,FIND("-",BX39)+1,10)))))*$D$50)))))*$I39,0)),0)</f>
        <v>0</v>
      </c>
      <c r="BZ39" s="338"/>
      <c r="CA39" s="363"/>
      <c r="CB39" s="356" t="n">
        <f aca="false">IFERROR(IF($M39=CA39,($D$8+$D$9+$D$10)*$I39,IF($N39=LEFT(CA39,1),($D$8+MAX(0,IF($D$50=1,$D$9*(1-(ABS($Q39-ABS(VALUE(MID(CA39,FIND("|",CA39)+1,FIND("-",CA39)-FIND("|",CA39)-1))-VALUE(MID(CA39,FIND("-",CA39)+1,10)))))*$D$50),$D$9*(1-(IF($N39="X",ABS($O39-VALUE(MID(CA39,FIND("|",CA39)+1,FIND("-",CA39)-FIND("|",CA39)-1))),ABS($Q39-ABS(VALUE(MID(CA39,FIND("|",CA39)+1,FIND("-",CA39)-FIND("|",CA39)-1))-VALUE(MID(CA39,FIND("-",CA39)+1,10)))))*$D$50)))))*$I39,0)),0)</f>
        <v>0</v>
      </c>
      <c r="CC39" s="338"/>
      <c r="CD39" s="363"/>
      <c r="CE39" s="356" t="n">
        <f aca="false">IFERROR(IF($M39=CD39,($D$8+$D$9+$D$10)*$I39,IF($N39=LEFT(CD39,1),($D$8+MAX(0,IF($D$50=1,$D$9*(1-(ABS($Q39-ABS(VALUE(MID(CD39,FIND("|",CD39)+1,FIND("-",CD39)-FIND("|",CD39)-1))-VALUE(MID(CD39,FIND("-",CD39)+1,10)))))*$D$50),$D$9*(1-(IF($N39="X",ABS($O39-VALUE(MID(CD39,FIND("|",CD39)+1,FIND("-",CD39)-FIND("|",CD39)-1))),ABS($Q39-ABS(VALUE(MID(CD39,FIND("|",CD39)+1,FIND("-",CD39)-FIND("|",CD39)-1))-VALUE(MID(CD39,FIND("-",CD39)+1,10)))))*$D$50)))))*$I39,0)),0)</f>
        <v>0</v>
      </c>
      <c r="CF39" s="338"/>
      <c r="CG39" s="363"/>
      <c r="CH39" s="356" t="n">
        <f aca="false">IFERROR(IF($M39=CG39,($D$8+$D$9+$D$10)*$I39,IF($N39=LEFT(CG39,1),($D$8+MAX(0,IF($D$50=1,$D$9*(1-(ABS($Q39-ABS(VALUE(MID(CG39,FIND("|",CG39)+1,FIND("-",CG39)-FIND("|",CG39)-1))-VALUE(MID(CG39,FIND("-",CG39)+1,10)))))*$D$50),$D$9*(1-(IF($N39="X",ABS($O39-VALUE(MID(CG39,FIND("|",CG39)+1,FIND("-",CG39)-FIND("|",CG39)-1))),ABS($Q39-ABS(VALUE(MID(CG39,FIND("|",CG39)+1,FIND("-",CG39)-FIND("|",CG39)-1))-VALUE(MID(CG39,FIND("-",CG39)+1,10)))))*$D$50)))))*$I39,0)),0)</f>
        <v>0</v>
      </c>
      <c r="CI39" s="338"/>
      <c r="CJ39" s="363"/>
      <c r="CK39" s="356" t="n">
        <f aca="false">IFERROR(IF($M39=CJ39,($D$8+$D$9+$D$10)*$I39,IF($N39=LEFT(CJ39,1),($D$8+MAX(0,IF($D$50=1,$D$9*(1-(ABS($Q39-ABS(VALUE(MID(CJ39,FIND("|",CJ39)+1,FIND("-",CJ39)-FIND("|",CJ39)-1))-VALUE(MID(CJ39,FIND("-",CJ39)+1,10)))))*$D$50),$D$9*(1-(IF($N39="X",ABS($O39-VALUE(MID(CJ39,FIND("|",CJ39)+1,FIND("-",CJ39)-FIND("|",CJ39)-1))),ABS($Q39-ABS(VALUE(MID(CJ39,FIND("|",CJ39)+1,FIND("-",CJ39)-FIND("|",CJ39)-1))-VALUE(MID(CJ39,FIND("-",CJ39)+1,10)))))*$D$50)))))*$I39,0)),0)</f>
        <v>0</v>
      </c>
      <c r="CL39" s="338"/>
      <c r="CM39" s="363"/>
      <c r="CN39" s="356" t="n">
        <f aca="false">IFERROR(IF($M39=CM39,($D$8+$D$9+$D$10)*$I39,IF($N39=LEFT(CM39,1),($D$8+MAX(0,IF($D$50=1,$D$9*(1-(ABS($Q39-ABS(VALUE(MID(CM39,FIND("|",CM39)+1,FIND("-",CM39)-FIND("|",CM39)-1))-VALUE(MID(CM39,FIND("-",CM39)+1,10)))))*$D$50),$D$9*(1-(IF($N39="X",ABS($O39-VALUE(MID(CM39,FIND("|",CM39)+1,FIND("-",CM39)-FIND("|",CM39)-1))),ABS($Q39-ABS(VALUE(MID(CM39,FIND("|",CM39)+1,FIND("-",CM39)-FIND("|",CM39)-1))-VALUE(MID(CM39,FIND("-",CM39)+1,10)))))*$D$50)))))*$I39,0)),0)</f>
        <v>0</v>
      </c>
      <c r="CO39" s="338"/>
      <c r="CP39" s="363"/>
      <c r="CQ39" s="356" t="n">
        <f aca="false">IFERROR(IF($M39=CP39,($D$8+$D$9+$D$10)*$I39,IF($N39=LEFT(CP39,1),($D$8+MAX(0,IF($D$50=1,$D$9*(1-(ABS($Q39-ABS(VALUE(MID(CP39,FIND("|",CP39)+1,FIND("-",CP39)-FIND("|",CP39)-1))-VALUE(MID(CP39,FIND("-",CP39)+1,10)))))*$D$50),$D$9*(1-(IF($N39="X",ABS($O39-VALUE(MID(CP39,FIND("|",CP39)+1,FIND("-",CP39)-FIND("|",CP39)-1))),ABS($Q39-ABS(VALUE(MID(CP39,FIND("|",CP39)+1,FIND("-",CP39)-FIND("|",CP39)-1))-VALUE(MID(CP39,FIND("-",CP39)+1,10)))))*$D$50)))))*$I39,0)),0)</f>
        <v>0</v>
      </c>
      <c r="CR39" s="338"/>
      <c r="CS39" s="363"/>
      <c r="CT39" s="356" t="n">
        <f aca="false">IFERROR(IF($M39=CS39,($D$8+$D$9+$D$10)*$I39,IF($N39=LEFT(CS39,1),($D$8+MAX(0,IF($D$50=1,$D$9*(1-(ABS($Q39-ABS(VALUE(MID(CS39,FIND("|",CS39)+1,FIND("-",CS39)-FIND("|",CS39)-1))-VALUE(MID(CS39,FIND("-",CS39)+1,10)))))*$D$50),$D$9*(1-(IF($N39="X",ABS($O39-VALUE(MID(CS39,FIND("|",CS39)+1,FIND("-",CS39)-FIND("|",CS39)-1))),ABS($Q39-ABS(VALUE(MID(CS39,FIND("|",CS39)+1,FIND("-",CS39)-FIND("|",CS39)-1))-VALUE(MID(CS39,FIND("-",CS39)+1,10)))))*$D$50)))))*$I39,0)),0)</f>
        <v>0</v>
      </c>
      <c r="CU39" s="338"/>
      <c r="CV39" s="363"/>
      <c r="CW39" s="356" t="n">
        <f aca="false">IFERROR(IF($M39=CV39,($D$8+$D$9+$D$10)*$I39,IF($N39=LEFT(CV39,1),($D$8+MAX(0,IF($D$50=1,$D$9*(1-(ABS($Q39-ABS(VALUE(MID(CV39,FIND("|",CV39)+1,FIND("-",CV39)-FIND("|",CV39)-1))-VALUE(MID(CV39,FIND("-",CV39)+1,10)))))*$D$50),$D$9*(1-(IF($N39="X",ABS($O39-VALUE(MID(CV39,FIND("|",CV39)+1,FIND("-",CV39)-FIND("|",CV39)-1))),ABS($Q39-ABS(VALUE(MID(CV39,FIND("|",CV39)+1,FIND("-",CV39)-FIND("|",CV39)-1))-VALUE(MID(CV39,FIND("-",CV39)+1,10)))))*$D$50)))))*$I39,0)),0)</f>
        <v>0</v>
      </c>
      <c r="CX39" s="338"/>
      <c r="CY39" s="363"/>
      <c r="CZ39" s="356" t="n">
        <f aca="false">IFERROR(IF($M39=CY39,($D$8+$D$9+$D$10)*$I39,IF($N39=LEFT(CY39,1),($D$8+MAX(0,IF($D$50=1,$D$9*(1-(ABS($Q39-ABS(VALUE(MID(CY39,FIND("|",CY39)+1,FIND("-",CY39)-FIND("|",CY39)-1))-VALUE(MID(CY39,FIND("-",CY39)+1,10)))))*$D$50),$D$9*(1-(IF($N39="X",ABS($O39-VALUE(MID(CY39,FIND("|",CY39)+1,FIND("-",CY39)-FIND("|",CY39)-1))),ABS($Q39-ABS(VALUE(MID(CY39,FIND("|",CY39)+1,FIND("-",CY39)-FIND("|",CY39)-1))-VALUE(MID(CY39,FIND("-",CY39)+1,10)))))*$D$50)))))*$I39,0)),0)</f>
        <v>0</v>
      </c>
      <c r="DA39" s="338"/>
      <c r="DB39" s="363"/>
      <c r="DC39" s="356" t="n">
        <f aca="false">IFERROR(IF($M39=DB39,($D$8+$D$9+$D$10)*$I39,IF($N39=LEFT(DB39,1),($D$8+MAX(0,IF($D$50=1,$D$9*(1-(ABS($Q39-ABS(VALUE(MID(DB39,FIND("|",DB39)+1,FIND("-",DB39)-FIND("|",DB39)-1))-VALUE(MID(DB39,FIND("-",DB39)+1,10)))))*$D$50),$D$9*(1-(IF($N39="X",ABS($O39-VALUE(MID(DB39,FIND("|",DB39)+1,FIND("-",DB39)-FIND("|",DB39)-1))),ABS($Q39-ABS(VALUE(MID(DB39,FIND("|",DB39)+1,FIND("-",DB39)-FIND("|",DB39)-1))-VALUE(MID(DB39,FIND("-",DB39)+1,10)))))*$D$50)))))*$I39,0)),0)</f>
        <v>0</v>
      </c>
      <c r="DD39" s="338"/>
      <c r="DE39" s="363"/>
      <c r="DF39" s="356" t="n">
        <f aca="false">IFERROR(IF($M39=DE39,($D$8+$D$9+$D$10)*$I39,IF($N39=LEFT(DE39,1),($D$8+MAX(0,IF($D$50=1,$D$9*(1-(ABS($Q39-ABS(VALUE(MID(DE39,FIND("|",DE39)+1,FIND("-",DE39)-FIND("|",DE39)-1))-VALUE(MID(DE39,FIND("-",DE39)+1,10)))))*$D$50),$D$9*(1-(IF($N39="X",ABS($O39-VALUE(MID(DE39,FIND("|",DE39)+1,FIND("-",DE39)-FIND("|",DE39)-1))),ABS($Q39-ABS(VALUE(MID(DE39,FIND("|",DE39)+1,FIND("-",DE39)-FIND("|",DE39)-1))-VALUE(MID(DE39,FIND("-",DE39)+1,10)))))*$D$50)))))*$I39,0)),0)</f>
        <v>0</v>
      </c>
      <c r="DG39" s="338"/>
      <c r="DH39" s="363"/>
      <c r="DI39" s="356" t="n">
        <f aca="false">IFERROR(IF($M39=DH39,($D$8+$D$9+$D$10)*$I39,IF($N39=LEFT(DH39,1),($D$8+MAX(0,IF($D$50=1,$D$9*(1-(ABS($Q39-ABS(VALUE(MID(DH39,FIND("|",DH39)+1,FIND("-",DH39)-FIND("|",DH39)-1))-VALUE(MID(DH39,FIND("-",DH39)+1,10)))))*$D$50),$D$9*(1-(IF($N39="X",ABS($O39-VALUE(MID(DH39,FIND("|",DH39)+1,FIND("-",DH39)-FIND("|",DH39)-1))),ABS($Q39-ABS(VALUE(MID(DH39,FIND("|",DH39)+1,FIND("-",DH39)-FIND("|",DH39)-1))-VALUE(MID(DH39,FIND("-",DH39)+1,10)))))*$D$50)))))*$I39,0)),0)</f>
        <v>0</v>
      </c>
      <c r="DJ39" s="338"/>
      <c r="DK39" s="363"/>
      <c r="DL39" s="356" t="n">
        <f aca="false">IFERROR(IF($M39=DK39,($D$8+$D$9+$D$10)*$I39,IF($N39=LEFT(DK39,1),($D$8+MAX(0,IF($D$50=1,$D$9*(1-(ABS($Q39-ABS(VALUE(MID(DK39,FIND("|",DK39)+1,FIND("-",DK39)-FIND("|",DK39)-1))-VALUE(MID(DK39,FIND("-",DK39)+1,10)))))*$D$50),$D$9*(1-(IF($N39="X",ABS($O39-VALUE(MID(DK39,FIND("|",DK39)+1,FIND("-",DK39)-FIND("|",DK39)-1))),ABS($Q39-ABS(VALUE(MID(DK39,FIND("|",DK39)+1,FIND("-",DK39)-FIND("|",DK39)-1))-VALUE(MID(DK39,FIND("-",DK39)+1,10)))))*$D$50)))))*$I39,0)),0)</f>
        <v>0</v>
      </c>
      <c r="DM39" s="338"/>
      <c r="DN39" s="363"/>
      <c r="DO39" s="356" t="n">
        <f aca="false">IFERROR(IF($M39=DN39,($D$8+$D$9+$D$10)*$I39,IF($N39=LEFT(DN39,1),($D$8+MAX(0,IF($D$50=1,$D$9*(1-(ABS($Q39-ABS(VALUE(MID(DN39,FIND("|",DN39)+1,FIND("-",DN39)-FIND("|",DN39)-1))-VALUE(MID(DN39,FIND("-",DN39)+1,10)))))*$D$50),$D$9*(1-(IF($N39="X",ABS($O39-VALUE(MID(DN39,FIND("|",DN39)+1,FIND("-",DN39)-FIND("|",DN39)-1))),ABS($Q39-ABS(VALUE(MID(DN39,FIND("|",DN39)+1,FIND("-",DN39)-FIND("|",DN39)-1))-VALUE(MID(DN39,FIND("-",DN39)+1,10)))))*$D$50)))))*$I39,0)),0)</f>
        <v>0</v>
      </c>
      <c r="DP39" s="338"/>
      <c r="DQ39" s="363"/>
      <c r="DR39" s="356" t="n">
        <f aca="false">IFERROR(IF($M39=DQ39,($D$8+$D$9+$D$10)*$I39,IF($N39=LEFT(DQ39,1),($D$8+MAX(0,IF($D$50=1,$D$9*(1-(ABS($Q39-ABS(VALUE(MID(DQ39,FIND("|",DQ39)+1,FIND("-",DQ39)-FIND("|",DQ39)-1))-VALUE(MID(DQ39,FIND("-",DQ39)+1,10)))))*$D$50),$D$9*(1-(IF($N39="X",ABS($O39-VALUE(MID(DQ39,FIND("|",DQ39)+1,FIND("-",DQ39)-FIND("|",DQ39)-1))),ABS($Q39-ABS(VALUE(MID(DQ39,FIND("|",DQ39)+1,FIND("-",DQ39)-FIND("|",DQ39)-1))-VALUE(MID(DQ39,FIND("-",DQ39)+1,10)))))*$D$50)))))*$I39,0)),0)</f>
        <v>0</v>
      </c>
      <c r="DS39" s="338"/>
      <c r="DT39" s="363"/>
      <c r="DU39" s="356" t="n">
        <f aca="false">IFERROR(IF($M39=DT39,($D$8+$D$9+$D$10)*$I39,IF($N39=LEFT(DT39,1),($D$8+MAX(0,IF($D$50=1,$D$9*(1-(ABS($Q39-ABS(VALUE(MID(DT39,FIND("|",DT39)+1,FIND("-",DT39)-FIND("|",DT39)-1))-VALUE(MID(DT39,FIND("-",DT39)+1,10)))))*$D$50),$D$9*(1-(IF($N39="X",ABS($O39-VALUE(MID(DT39,FIND("|",DT39)+1,FIND("-",DT39)-FIND("|",DT39)-1))),ABS($Q39-ABS(VALUE(MID(DT39,FIND("|",DT39)+1,FIND("-",DT39)-FIND("|",DT39)-1))-VALUE(MID(DT39,FIND("-",DT39)+1,10)))))*$D$50)))))*$I39,0)),0)</f>
        <v>0</v>
      </c>
      <c r="DV39" s="338"/>
      <c r="DW39" s="363"/>
      <c r="DX39" s="356" t="n">
        <f aca="false">IFERROR(IF($M39=DW39,($D$8+$D$9+$D$10)*$I39,IF($N39=LEFT(DW39,1),($D$8+MAX(0,IF($D$50=1,$D$9*(1-(ABS($Q39-ABS(VALUE(MID(DW39,FIND("|",DW39)+1,FIND("-",DW39)-FIND("|",DW39)-1))-VALUE(MID(DW39,FIND("-",DW39)+1,10)))))*$D$50),$D$9*(1-(IF($N39="X",ABS($O39-VALUE(MID(DW39,FIND("|",DW39)+1,FIND("-",DW39)-FIND("|",DW39)-1))),ABS($Q39-ABS(VALUE(MID(DW39,FIND("|",DW39)+1,FIND("-",DW39)-FIND("|",DW39)-1))-VALUE(MID(DW39,FIND("-",DW39)+1,10)))))*$D$50)))))*$I39,0)),0)</f>
        <v>0</v>
      </c>
      <c r="DY39" s="338"/>
      <c r="DZ39" s="363"/>
      <c r="EA39" s="356" t="n">
        <f aca="false">IFERROR(IF($M39=DZ39,($D$8+$D$9+$D$10)*$I39,IF($N39=LEFT(DZ39,1),($D$8+MAX(0,IF($D$50=1,$D$9*(1-(ABS($Q39-ABS(VALUE(MID(DZ39,FIND("|",DZ39)+1,FIND("-",DZ39)-FIND("|",DZ39)-1))-VALUE(MID(DZ39,FIND("-",DZ39)+1,10)))))*$D$50),$D$9*(1-(IF($N39="X",ABS($O39-VALUE(MID(DZ39,FIND("|",DZ39)+1,FIND("-",DZ39)-FIND("|",DZ39)-1))),ABS($Q39-ABS(VALUE(MID(DZ39,FIND("|",DZ39)+1,FIND("-",DZ39)-FIND("|",DZ39)-1))-VALUE(MID(DZ39,FIND("-",DZ39)+1,10)))))*$D$50)))))*$I39,0)),0)</f>
        <v>0</v>
      </c>
      <c r="EB39" s="338"/>
      <c r="EC39" s="363"/>
      <c r="ED39" s="356" t="n">
        <f aca="false">IFERROR(IF($M39=EC39,($D$8+$D$9+$D$10)*$I39,IF($N39=LEFT(EC39,1),($D$8+MAX(0,IF($D$50=1,$D$9*(1-(ABS($Q39-ABS(VALUE(MID(EC39,FIND("|",EC39)+1,FIND("-",EC39)-FIND("|",EC39)-1))-VALUE(MID(EC39,FIND("-",EC39)+1,10)))))*$D$50),$D$9*(1-(IF($N39="X",ABS($O39-VALUE(MID(EC39,FIND("|",EC39)+1,FIND("-",EC39)-FIND("|",EC39)-1))),ABS($Q39-ABS(VALUE(MID(EC39,FIND("|",EC39)+1,FIND("-",EC39)-FIND("|",EC39)-1))-VALUE(MID(EC39,FIND("-",EC39)+1,10)))))*$D$50)))))*$I39,0)),0)</f>
        <v>0</v>
      </c>
      <c r="EE39" s="338"/>
      <c r="EF39" s="363"/>
      <c r="EG39" s="356" t="n">
        <f aca="false">IFERROR(IF($M39=EF39,($D$8+$D$9+$D$10)*$I39,IF($N39=LEFT(EF39,1),($D$8+MAX(0,IF($D$50=1,$D$9*(1-(ABS($Q39-ABS(VALUE(MID(EF39,FIND("|",EF39)+1,FIND("-",EF39)-FIND("|",EF39)-1))-VALUE(MID(EF39,FIND("-",EF39)+1,10)))))*$D$50),$D$9*(1-(IF($N39="X",ABS($O39-VALUE(MID(EF39,FIND("|",EF39)+1,FIND("-",EF39)-FIND("|",EF39)-1))),ABS($Q39-ABS(VALUE(MID(EF39,FIND("|",EF39)+1,FIND("-",EF39)-FIND("|",EF39)-1))-VALUE(MID(EF39,FIND("-",EF39)+1,10)))))*$D$50)))))*$I39,0)),0)</f>
        <v>0</v>
      </c>
      <c r="EH39" s="338"/>
      <c r="EI39" s="338"/>
    </row>
    <row r="40" customFormat="false" ht="15" hidden="false" customHeight="false" outlineLevel="0" collapsed="false">
      <c r="A40" s="327"/>
      <c r="B40" s="327"/>
      <c r="C40" s="360" t="str">
        <f aca="false">Idiomas!D336</f>
        <v>Subcampeón</v>
      </c>
      <c r="D40" s="361" t="n">
        <v>20</v>
      </c>
      <c r="E40" s="334"/>
      <c r="F40" s="343" t="n">
        <f aca="false">SUM($D$8:$D$10)*I40</f>
        <v>17</v>
      </c>
      <c r="G40" s="343" t="n">
        <f aca="false">VLOOKUP(H40,Equipos!$Q$1:$R$25,2,0)</f>
        <v>10</v>
      </c>
      <c r="H40" s="351" t="n">
        <f aca="false">TRUNC(INDEX(WORLDCUP!$X$4:$X$147,MATCH(ADMIN!K40,WORLDCUP!$DT$4:$DT$147,0))+INDEX(Horarios!$R$3:$R$86,MATCH(Horarios!$C$3,Horarios!$P$3:$P$86,0))/24)</f>
        <v>46193</v>
      </c>
      <c r="I40" s="352" t="n">
        <v>1</v>
      </c>
      <c r="J40" s="362" t="s">
        <v>303</v>
      </c>
      <c r="K40" s="354" t="str">
        <f aca="false">CONCATENATE(WORLDCUP!AA46,"-",WORLDCUP!AF46)</f>
        <v>Países Bajos-Suecia</v>
      </c>
      <c r="L40" s="354"/>
      <c r="M40" s="359" t="str">
        <f aca="false">IF(OR(WORLDCUP!AC46="",WORLDCUP!AD46=""),"-",N40&amp;"|"&amp;O40&amp;"-"&amp;P40)</f>
        <v>-</v>
      </c>
      <c r="N40" s="332" t="str">
        <f aca="false">IF(OR(WORLDCUP!AC46="",WORLDCUP!AD46=""),"",IF(WORLDCUP!AC46&gt;WORLDCUP!AD46,"1",IF(WORLDCUP!AC46&lt;WORLDCUP!AD46,"2","X")))</f>
        <v/>
      </c>
      <c r="O40" s="332" t="n">
        <f aca="false">WORLDCUP!AC46</f>
        <v>0</v>
      </c>
      <c r="P40" s="332" t="n">
        <f aca="false">WORLDCUP!AD46</f>
        <v>0</v>
      </c>
      <c r="Q40" s="332" t="n">
        <f aca="false">ABS(O40-P40)</f>
        <v>0</v>
      </c>
      <c r="R40" s="327"/>
      <c r="S40" s="363" t="s">
        <v>266</v>
      </c>
      <c r="T40" s="356" t="n">
        <f aca="false">IFERROR(IF($M40=S40,($D$8+$D$9+$D$10)*$I40,IF($N40=LEFT(S40,1),($D$8+MAX(0,IF($D$50=1,$D$9*(1-(ABS($Q40-ABS(VALUE(MID(S40,FIND("|",S40)+1,FIND("-",S40)-FIND("|",S40)-1))-VALUE(MID(S40,FIND("-",S40)+1,10)))))*$D$50),$D$9*(1-(IF($N40="X",ABS($O40-VALUE(MID(S40,FIND("|",S40)+1,FIND("-",S40)-FIND("|",S40)-1))),ABS($Q40-ABS(VALUE(MID(S40,FIND("|",S40)+1,FIND("-",S40)-FIND("|",S40)-1))-VALUE(MID(S40,FIND("-",S40)+1,10)))))*$D$50)))))*$I40,0)),0)</f>
        <v>0</v>
      </c>
      <c r="U40" s="338"/>
      <c r="V40" s="363" t="s">
        <v>264</v>
      </c>
      <c r="W40" s="356" t="n">
        <f aca="false">IFERROR(IF($M40=V40,($D$8+$D$9+$D$10)*$I40,IF($N40=LEFT(V40,1),($D$8+MAX(0,IF($D$50=1,$D$9*(1-(ABS($Q40-ABS(VALUE(MID(V40,FIND("|",V40)+1,FIND("-",V40)-FIND("|",V40)-1))-VALUE(MID(V40,FIND("-",V40)+1,10)))))*$D$50),$D$9*(1-(IF($N40="X",ABS($O40-VALUE(MID(V40,FIND("|",V40)+1,FIND("-",V40)-FIND("|",V40)-1))),ABS($Q40-ABS(VALUE(MID(V40,FIND("|",V40)+1,FIND("-",V40)-FIND("|",V40)-1))-VALUE(MID(V40,FIND("-",V40)+1,10)))))*$D$50)))))*$I40,0)),0)</f>
        <v>0</v>
      </c>
      <c r="X40" s="338"/>
      <c r="Y40" s="363" t="s">
        <v>267</v>
      </c>
      <c r="Z40" s="356" t="n">
        <f aca="false">IFERROR(IF($M40=Y40,($D$8+$D$9+$D$10)*$I40,IF($N40=LEFT(Y40,1),($D$8+MAX(0,IF($D$50=1,$D$9*(1-(ABS($Q40-ABS(VALUE(MID(Y40,FIND("|",Y40)+1,FIND("-",Y40)-FIND("|",Y40)-1))-VALUE(MID(Y40,FIND("-",Y40)+1,10)))))*$D$50),$D$9*(1-(IF($N40="X",ABS($O40-VALUE(MID(Y40,FIND("|",Y40)+1,FIND("-",Y40)-FIND("|",Y40)-1))),ABS($Q40-ABS(VALUE(MID(Y40,FIND("|",Y40)+1,FIND("-",Y40)-FIND("|",Y40)-1))-VALUE(MID(Y40,FIND("-",Y40)+1,10)))))*$D$50)))))*$I40,0)),0)</f>
        <v>0</v>
      </c>
      <c r="AA40" s="338"/>
      <c r="AB40" s="363" t="s">
        <v>264</v>
      </c>
      <c r="AC40" s="356" t="n">
        <f aca="false">IFERROR(IF($M40=AB40,($D$8+$D$9+$D$10)*$I40,IF($N40=LEFT(AB40,1),($D$8+MAX(0,IF($D$50=1,$D$9*(1-(ABS($Q40-ABS(VALUE(MID(AB40,FIND("|",AB40)+1,FIND("-",AB40)-FIND("|",AB40)-1))-VALUE(MID(AB40,FIND("-",AB40)+1,10)))))*$D$50),$D$9*(1-(IF($N40="X",ABS($O40-VALUE(MID(AB40,FIND("|",AB40)+1,FIND("-",AB40)-FIND("|",AB40)-1))),ABS($Q40-ABS(VALUE(MID(AB40,FIND("|",AB40)+1,FIND("-",AB40)-FIND("|",AB40)-1))-VALUE(MID(AB40,FIND("-",AB40)+1,10)))))*$D$50)))))*$I40,0)),0)</f>
        <v>0</v>
      </c>
      <c r="AD40" s="338"/>
      <c r="AE40" s="363" t="s">
        <v>264</v>
      </c>
      <c r="AF40" s="356" t="n">
        <f aca="false">IFERROR(IF($M40=AE40,($D$8+$D$9+$D$10)*$I40,IF($N40=LEFT(AE40,1),($D$8+MAX(0,IF($D$50=1,$D$9*(1-(ABS($Q40-ABS(VALUE(MID(AE40,FIND("|",AE40)+1,FIND("-",AE40)-FIND("|",AE40)-1))-VALUE(MID(AE40,FIND("-",AE40)+1,10)))))*$D$50),$D$9*(1-(IF($N40="X",ABS($O40-VALUE(MID(AE40,FIND("|",AE40)+1,FIND("-",AE40)-FIND("|",AE40)-1))),ABS($Q40-ABS(VALUE(MID(AE40,FIND("|",AE40)+1,FIND("-",AE40)-FIND("|",AE40)-1))-VALUE(MID(AE40,FIND("-",AE40)+1,10)))))*$D$50)))))*$I40,0)),0)</f>
        <v>0</v>
      </c>
      <c r="AG40" s="338"/>
      <c r="AH40" s="363" t="s">
        <v>264</v>
      </c>
      <c r="AI40" s="356" t="n">
        <f aca="false">IFERROR(IF($M40=AH40,($D$8+$D$9+$D$10)*$I40,IF($N40=LEFT(AH40,1),($D$8+MAX(0,IF($D$50=1,$D$9*(1-(ABS($Q40-ABS(VALUE(MID(AH40,FIND("|",AH40)+1,FIND("-",AH40)-FIND("|",AH40)-1))-VALUE(MID(AH40,FIND("-",AH40)+1,10)))))*$D$50),$D$9*(1-(IF($N40="X",ABS($O40-VALUE(MID(AH40,FIND("|",AH40)+1,FIND("-",AH40)-FIND("|",AH40)-1))),ABS($Q40-ABS(VALUE(MID(AH40,FIND("|",AH40)+1,FIND("-",AH40)-FIND("|",AH40)-1))-VALUE(MID(AH40,FIND("-",AH40)+1,10)))))*$D$50)))))*$I40,0)),0)</f>
        <v>0</v>
      </c>
      <c r="AJ40" s="338"/>
      <c r="AK40" s="363" t="s">
        <v>266</v>
      </c>
      <c r="AL40" s="356" t="n">
        <f aca="false">IFERROR(IF($M40=AK40,($D$8+$D$9+$D$10)*$I40,IF($N40=LEFT(AK40,1),($D$8+MAX(0,IF($D$50=1,$D$9*(1-(ABS($Q40-ABS(VALUE(MID(AK40,FIND("|",AK40)+1,FIND("-",AK40)-FIND("|",AK40)-1))-VALUE(MID(AK40,FIND("-",AK40)+1,10)))))*$D$50),$D$9*(1-(IF($N40="X",ABS($O40-VALUE(MID(AK40,FIND("|",AK40)+1,FIND("-",AK40)-FIND("|",AK40)-1))),ABS($Q40-ABS(VALUE(MID(AK40,FIND("|",AK40)+1,FIND("-",AK40)-FIND("|",AK40)-1))-VALUE(MID(AK40,FIND("-",AK40)+1,10)))))*$D$50)))))*$I40,0)),0)</f>
        <v>0</v>
      </c>
      <c r="AM40" s="338"/>
      <c r="AN40" s="363" t="s">
        <v>265</v>
      </c>
      <c r="AO40" s="356" t="n">
        <f aca="false">IFERROR(IF($M40=AN40,($D$8+$D$9+$D$10)*$I40,IF($N40=LEFT(AN40,1),($D$8+MAX(0,IF($D$50=1,$D$9*(1-(ABS($Q40-ABS(VALUE(MID(AN40,FIND("|",AN40)+1,FIND("-",AN40)-FIND("|",AN40)-1))-VALUE(MID(AN40,FIND("-",AN40)+1,10)))))*$D$50),$D$9*(1-(IF($N40="X",ABS($O40-VALUE(MID(AN40,FIND("|",AN40)+1,FIND("-",AN40)-FIND("|",AN40)-1))),ABS($Q40-ABS(VALUE(MID(AN40,FIND("|",AN40)+1,FIND("-",AN40)-FIND("|",AN40)-1))-VALUE(MID(AN40,FIND("-",AN40)+1,10)))))*$D$50)))))*$I40,0)),0)</f>
        <v>0</v>
      </c>
      <c r="AP40" s="338"/>
      <c r="AQ40" s="363" t="s">
        <v>266</v>
      </c>
      <c r="AR40" s="356" t="n">
        <f aca="false">IFERROR(IF($M40=AQ40,($D$8+$D$9+$D$10)*$I40,IF($N40=LEFT(AQ40,1),($D$8+MAX(0,IF($D$50=1,$D$9*(1-(ABS($Q40-ABS(VALUE(MID(AQ40,FIND("|",AQ40)+1,FIND("-",AQ40)-FIND("|",AQ40)-1))-VALUE(MID(AQ40,FIND("-",AQ40)+1,10)))))*$D$50),$D$9*(1-(IF($N40="X",ABS($O40-VALUE(MID(AQ40,FIND("|",AQ40)+1,FIND("-",AQ40)-FIND("|",AQ40)-1))),ABS($Q40-ABS(VALUE(MID(AQ40,FIND("|",AQ40)+1,FIND("-",AQ40)-FIND("|",AQ40)-1))-VALUE(MID(AQ40,FIND("-",AQ40)+1,10)))))*$D$50)))))*$I40,0)),0)</f>
        <v>0</v>
      </c>
      <c r="AS40" s="338"/>
      <c r="AT40" s="363" t="s">
        <v>288</v>
      </c>
      <c r="AU40" s="356" t="n">
        <f aca="false">IFERROR(IF($M40=AT40,($D$8+$D$9+$D$10)*$I40,IF($N40=LEFT(AT40,1),($D$8+MAX(0,IF($D$50=1,$D$9*(1-(ABS($Q40-ABS(VALUE(MID(AT40,FIND("|",AT40)+1,FIND("-",AT40)-FIND("|",AT40)-1))-VALUE(MID(AT40,FIND("-",AT40)+1,10)))))*$D$50),$D$9*(1-(IF($N40="X",ABS($O40-VALUE(MID(AT40,FIND("|",AT40)+1,FIND("-",AT40)-FIND("|",AT40)-1))),ABS($Q40-ABS(VALUE(MID(AT40,FIND("|",AT40)+1,FIND("-",AT40)-FIND("|",AT40)-1))-VALUE(MID(AT40,FIND("-",AT40)+1,10)))))*$D$50)))))*$I40,0)),0)</f>
        <v>0</v>
      </c>
      <c r="AV40" s="338"/>
      <c r="AW40" s="363" t="s">
        <v>264</v>
      </c>
      <c r="AX40" s="356" t="n">
        <f aca="false">IFERROR(IF($M40=AW40,($D$8+$D$9+$D$10)*$I40,IF($N40=LEFT(AW40,1),($D$8+MAX(0,IF($D$50=1,$D$9*(1-(ABS($Q40-ABS(VALUE(MID(AW40,FIND("|",AW40)+1,FIND("-",AW40)-FIND("|",AW40)-1))-VALUE(MID(AW40,FIND("-",AW40)+1,10)))))*$D$50),$D$9*(1-(IF($N40="X",ABS($O40-VALUE(MID(AW40,FIND("|",AW40)+1,FIND("-",AW40)-FIND("|",AW40)-1))),ABS($Q40-ABS(VALUE(MID(AW40,FIND("|",AW40)+1,FIND("-",AW40)-FIND("|",AW40)-1))-VALUE(MID(AW40,FIND("-",AW40)+1,10)))))*$D$50)))))*$I40,0)),0)</f>
        <v>0</v>
      </c>
      <c r="AY40" s="338"/>
      <c r="AZ40" s="363" t="s">
        <v>264</v>
      </c>
      <c r="BA40" s="356" t="n">
        <f aca="false">IFERROR(IF($M40=AZ40,($D$8+$D$9+$D$10)*$I40,IF($N40=LEFT(AZ40,1),($D$8+MAX(0,IF($D$50=1,$D$9*(1-(ABS($Q40-ABS(VALUE(MID(AZ40,FIND("|",AZ40)+1,FIND("-",AZ40)-FIND("|",AZ40)-1))-VALUE(MID(AZ40,FIND("-",AZ40)+1,10)))))*$D$50),$D$9*(1-(IF($N40="X",ABS($O40-VALUE(MID(AZ40,FIND("|",AZ40)+1,FIND("-",AZ40)-FIND("|",AZ40)-1))),ABS($Q40-ABS(VALUE(MID(AZ40,FIND("|",AZ40)+1,FIND("-",AZ40)-FIND("|",AZ40)-1))-VALUE(MID(AZ40,FIND("-",AZ40)+1,10)))))*$D$50)))))*$I40,0)),0)</f>
        <v>0</v>
      </c>
      <c r="BB40" s="338"/>
      <c r="BC40" s="363" t="s">
        <v>266</v>
      </c>
      <c r="BD40" s="356" t="n">
        <f aca="false">IFERROR(IF($M40=BC40,($D$8+$D$9+$D$10)*$I40,IF($N40=LEFT(BC40,1),($D$8+MAX(0,IF($D$50=1,$D$9*(1-(ABS($Q40-ABS(VALUE(MID(BC40,FIND("|",BC40)+1,FIND("-",BC40)-FIND("|",BC40)-1))-VALUE(MID(BC40,FIND("-",BC40)+1,10)))))*$D$50),$D$9*(1-(IF($N40="X",ABS($O40-VALUE(MID(BC40,FIND("|",BC40)+1,FIND("-",BC40)-FIND("|",BC40)-1))),ABS($Q40-ABS(VALUE(MID(BC40,FIND("|",BC40)+1,FIND("-",BC40)-FIND("|",BC40)-1))-VALUE(MID(BC40,FIND("-",BC40)+1,10)))))*$D$50)))))*$I40,0)),0)</f>
        <v>0</v>
      </c>
      <c r="BE40" s="338"/>
      <c r="BF40" s="363" t="s">
        <v>304</v>
      </c>
      <c r="BG40" s="356" t="n">
        <f aca="false">IFERROR(IF($M40=BF40,($D$8+$D$9+$D$10)*$I40,IF($N40=LEFT(BF40,1),($D$8+MAX(0,IF($D$50=1,$D$9*(1-(ABS($Q40-ABS(VALUE(MID(BF40,FIND("|",BF40)+1,FIND("-",BF40)-FIND("|",BF40)-1))-VALUE(MID(BF40,FIND("-",BF40)+1,10)))))*$D$50),$D$9*(1-(IF($N40="X",ABS($O40-VALUE(MID(BF40,FIND("|",BF40)+1,FIND("-",BF40)-FIND("|",BF40)-1))),ABS($Q40-ABS(VALUE(MID(BF40,FIND("|",BF40)+1,FIND("-",BF40)-FIND("|",BF40)-1))-VALUE(MID(BF40,FIND("-",BF40)+1,10)))))*$D$50)))))*$I40,0)),0)</f>
        <v>0</v>
      </c>
      <c r="BH40" s="338"/>
      <c r="BI40" s="363" t="s">
        <v>264</v>
      </c>
      <c r="BJ40" s="356" t="n">
        <f aca="false">IFERROR(IF($M40=BI40,($D$8+$D$9+$D$10)*$I40,IF($N40=LEFT(BI40,1),($D$8+MAX(0,IF($D$50=1,$D$9*(1-(ABS($Q40-ABS(VALUE(MID(BI40,FIND("|",BI40)+1,FIND("-",BI40)-FIND("|",BI40)-1))-VALUE(MID(BI40,FIND("-",BI40)+1,10)))))*$D$50),$D$9*(1-(IF($N40="X",ABS($O40-VALUE(MID(BI40,FIND("|",BI40)+1,FIND("-",BI40)-FIND("|",BI40)-1))),ABS($Q40-ABS(VALUE(MID(BI40,FIND("|",BI40)+1,FIND("-",BI40)-FIND("|",BI40)-1))-VALUE(MID(BI40,FIND("-",BI40)+1,10)))))*$D$50)))))*$I40,0)),0)</f>
        <v>0</v>
      </c>
      <c r="BK40" s="338"/>
      <c r="BL40" s="363" t="s">
        <v>267</v>
      </c>
      <c r="BM40" s="356" t="n">
        <f aca="false">IFERROR(IF($M40=BL40,($D$8+$D$9+$D$10)*$I40,IF($N40=LEFT(BL40,1),($D$8+MAX(0,IF($D$50=1,$D$9*(1-(ABS($Q40-ABS(VALUE(MID(BL40,FIND("|",BL40)+1,FIND("-",BL40)-FIND("|",BL40)-1))-VALUE(MID(BL40,FIND("-",BL40)+1,10)))))*$D$50),$D$9*(1-(IF($N40="X",ABS($O40-VALUE(MID(BL40,FIND("|",BL40)+1,FIND("-",BL40)-FIND("|",BL40)-1))),ABS($Q40-ABS(VALUE(MID(BL40,FIND("|",BL40)+1,FIND("-",BL40)-FIND("|",BL40)-1))-VALUE(MID(BL40,FIND("-",BL40)+1,10)))))*$D$50)))))*$I40,0)),0)</f>
        <v>0</v>
      </c>
      <c r="BN40" s="338"/>
      <c r="BO40" s="363" t="s">
        <v>265</v>
      </c>
      <c r="BP40" s="356" t="n">
        <f aca="false">IFERROR(IF($M40=BO40,($D$8+$D$9+$D$10)*$I40,IF($N40=LEFT(BO40,1),($D$8+MAX(0,IF($D$50=1,$D$9*(1-(ABS($Q40-ABS(VALUE(MID(BO40,FIND("|",BO40)+1,FIND("-",BO40)-FIND("|",BO40)-1))-VALUE(MID(BO40,FIND("-",BO40)+1,10)))))*$D$50),$D$9*(1-(IF($N40="X",ABS($O40-VALUE(MID(BO40,FIND("|",BO40)+1,FIND("-",BO40)-FIND("|",BO40)-1))),ABS($Q40-ABS(VALUE(MID(BO40,FIND("|",BO40)+1,FIND("-",BO40)-FIND("|",BO40)-1))-VALUE(MID(BO40,FIND("-",BO40)+1,10)))))*$D$50)))))*$I40,0)),0)</f>
        <v>0</v>
      </c>
      <c r="BQ40" s="338"/>
      <c r="BR40" s="363" t="s">
        <v>266</v>
      </c>
      <c r="BS40" s="356" t="n">
        <f aca="false">IFERROR(IF($M40=BR40,($D$8+$D$9+$D$10)*$I40,IF($N40=LEFT(BR40,1),($D$8+MAX(0,IF($D$50=1,$D$9*(1-(ABS($Q40-ABS(VALUE(MID(BR40,FIND("|",BR40)+1,FIND("-",BR40)-FIND("|",BR40)-1))-VALUE(MID(BR40,FIND("-",BR40)+1,10)))))*$D$50),$D$9*(1-(IF($N40="X",ABS($O40-VALUE(MID(BR40,FIND("|",BR40)+1,FIND("-",BR40)-FIND("|",BR40)-1))),ABS($Q40-ABS(VALUE(MID(BR40,FIND("|",BR40)+1,FIND("-",BR40)-FIND("|",BR40)-1))-VALUE(MID(BR40,FIND("-",BR40)+1,10)))))*$D$50)))))*$I40,0)),0)</f>
        <v>0</v>
      </c>
      <c r="BT40" s="338"/>
      <c r="BU40" s="363"/>
      <c r="BV40" s="356" t="n">
        <f aca="false">IFERROR(IF($M40=BU40,($D$8+$D$9+$D$10)*$I40,IF($N40=LEFT(BU40,1),($D$8+MAX(0,IF($D$50=1,$D$9*(1-(ABS($Q40-ABS(VALUE(MID(BU40,FIND("|",BU40)+1,FIND("-",BU40)-FIND("|",BU40)-1))-VALUE(MID(BU40,FIND("-",BU40)+1,10)))))*$D$50),$D$9*(1-(IF($N40="X",ABS($O40-VALUE(MID(BU40,FIND("|",BU40)+1,FIND("-",BU40)-FIND("|",BU40)-1))),ABS($Q40-ABS(VALUE(MID(BU40,FIND("|",BU40)+1,FIND("-",BU40)-FIND("|",BU40)-1))-VALUE(MID(BU40,FIND("-",BU40)+1,10)))))*$D$50)))))*$I40,0)),0)</f>
        <v>0</v>
      </c>
      <c r="BW40" s="338"/>
      <c r="BX40" s="363"/>
      <c r="BY40" s="356" t="n">
        <f aca="false">IFERROR(IF($M40=BX40,($D$8+$D$9+$D$10)*$I40,IF($N40=LEFT(BX40,1),($D$8+MAX(0,IF($D$50=1,$D$9*(1-(ABS($Q40-ABS(VALUE(MID(BX40,FIND("|",BX40)+1,FIND("-",BX40)-FIND("|",BX40)-1))-VALUE(MID(BX40,FIND("-",BX40)+1,10)))))*$D$50),$D$9*(1-(IF($N40="X",ABS($O40-VALUE(MID(BX40,FIND("|",BX40)+1,FIND("-",BX40)-FIND("|",BX40)-1))),ABS($Q40-ABS(VALUE(MID(BX40,FIND("|",BX40)+1,FIND("-",BX40)-FIND("|",BX40)-1))-VALUE(MID(BX40,FIND("-",BX40)+1,10)))))*$D$50)))))*$I40,0)),0)</f>
        <v>0</v>
      </c>
      <c r="BZ40" s="338"/>
      <c r="CA40" s="363"/>
      <c r="CB40" s="356" t="n">
        <f aca="false">IFERROR(IF($M40=CA40,($D$8+$D$9+$D$10)*$I40,IF($N40=LEFT(CA40,1),($D$8+MAX(0,IF($D$50=1,$D$9*(1-(ABS($Q40-ABS(VALUE(MID(CA40,FIND("|",CA40)+1,FIND("-",CA40)-FIND("|",CA40)-1))-VALUE(MID(CA40,FIND("-",CA40)+1,10)))))*$D$50),$D$9*(1-(IF($N40="X",ABS($O40-VALUE(MID(CA40,FIND("|",CA40)+1,FIND("-",CA40)-FIND("|",CA40)-1))),ABS($Q40-ABS(VALUE(MID(CA40,FIND("|",CA40)+1,FIND("-",CA40)-FIND("|",CA40)-1))-VALUE(MID(CA40,FIND("-",CA40)+1,10)))))*$D$50)))))*$I40,0)),0)</f>
        <v>0</v>
      </c>
      <c r="CC40" s="338"/>
      <c r="CD40" s="363"/>
      <c r="CE40" s="356" t="n">
        <f aca="false">IFERROR(IF($M40=CD40,($D$8+$D$9+$D$10)*$I40,IF($N40=LEFT(CD40,1),($D$8+MAX(0,IF($D$50=1,$D$9*(1-(ABS($Q40-ABS(VALUE(MID(CD40,FIND("|",CD40)+1,FIND("-",CD40)-FIND("|",CD40)-1))-VALUE(MID(CD40,FIND("-",CD40)+1,10)))))*$D$50),$D$9*(1-(IF($N40="X",ABS($O40-VALUE(MID(CD40,FIND("|",CD40)+1,FIND("-",CD40)-FIND("|",CD40)-1))),ABS($Q40-ABS(VALUE(MID(CD40,FIND("|",CD40)+1,FIND("-",CD40)-FIND("|",CD40)-1))-VALUE(MID(CD40,FIND("-",CD40)+1,10)))))*$D$50)))))*$I40,0)),0)</f>
        <v>0</v>
      </c>
      <c r="CF40" s="338"/>
      <c r="CG40" s="363"/>
      <c r="CH40" s="356" t="n">
        <f aca="false">IFERROR(IF($M40=CG40,($D$8+$D$9+$D$10)*$I40,IF($N40=LEFT(CG40,1),($D$8+MAX(0,IF($D$50=1,$D$9*(1-(ABS($Q40-ABS(VALUE(MID(CG40,FIND("|",CG40)+1,FIND("-",CG40)-FIND("|",CG40)-1))-VALUE(MID(CG40,FIND("-",CG40)+1,10)))))*$D$50),$D$9*(1-(IF($N40="X",ABS($O40-VALUE(MID(CG40,FIND("|",CG40)+1,FIND("-",CG40)-FIND("|",CG40)-1))),ABS($Q40-ABS(VALUE(MID(CG40,FIND("|",CG40)+1,FIND("-",CG40)-FIND("|",CG40)-1))-VALUE(MID(CG40,FIND("-",CG40)+1,10)))))*$D$50)))))*$I40,0)),0)</f>
        <v>0</v>
      </c>
      <c r="CI40" s="338"/>
      <c r="CJ40" s="363"/>
      <c r="CK40" s="356" t="n">
        <f aca="false">IFERROR(IF($M40=CJ40,($D$8+$D$9+$D$10)*$I40,IF($N40=LEFT(CJ40,1),($D$8+MAX(0,IF($D$50=1,$D$9*(1-(ABS($Q40-ABS(VALUE(MID(CJ40,FIND("|",CJ40)+1,FIND("-",CJ40)-FIND("|",CJ40)-1))-VALUE(MID(CJ40,FIND("-",CJ40)+1,10)))))*$D$50),$D$9*(1-(IF($N40="X",ABS($O40-VALUE(MID(CJ40,FIND("|",CJ40)+1,FIND("-",CJ40)-FIND("|",CJ40)-1))),ABS($Q40-ABS(VALUE(MID(CJ40,FIND("|",CJ40)+1,FIND("-",CJ40)-FIND("|",CJ40)-1))-VALUE(MID(CJ40,FIND("-",CJ40)+1,10)))))*$D$50)))))*$I40,0)),0)</f>
        <v>0</v>
      </c>
      <c r="CL40" s="338"/>
      <c r="CM40" s="363"/>
      <c r="CN40" s="356" t="n">
        <f aca="false">IFERROR(IF($M40=CM40,($D$8+$D$9+$D$10)*$I40,IF($N40=LEFT(CM40,1),($D$8+MAX(0,IF($D$50=1,$D$9*(1-(ABS($Q40-ABS(VALUE(MID(CM40,FIND("|",CM40)+1,FIND("-",CM40)-FIND("|",CM40)-1))-VALUE(MID(CM40,FIND("-",CM40)+1,10)))))*$D$50),$D$9*(1-(IF($N40="X",ABS($O40-VALUE(MID(CM40,FIND("|",CM40)+1,FIND("-",CM40)-FIND("|",CM40)-1))),ABS($Q40-ABS(VALUE(MID(CM40,FIND("|",CM40)+1,FIND("-",CM40)-FIND("|",CM40)-1))-VALUE(MID(CM40,FIND("-",CM40)+1,10)))))*$D$50)))))*$I40,0)),0)</f>
        <v>0</v>
      </c>
      <c r="CO40" s="338"/>
      <c r="CP40" s="363"/>
      <c r="CQ40" s="356" t="n">
        <f aca="false">IFERROR(IF($M40=CP40,($D$8+$D$9+$D$10)*$I40,IF($N40=LEFT(CP40,1),($D$8+MAX(0,IF($D$50=1,$D$9*(1-(ABS($Q40-ABS(VALUE(MID(CP40,FIND("|",CP40)+1,FIND("-",CP40)-FIND("|",CP40)-1))-VALUE(MID(CP40,FIND("-",CP40)+1,10)))))*$D$50),$D$9*(1-(IF($N40="X",ABS($O40-VALUE(MID(CP40,FIND("|",CP40)+1,FIND("-",CP40)-FIND("|",CP40)-1))),ABS($Q40-ABS(VALUE(MID(CP40,FIND("|",CP40)+1,FIND("-",CP40)-FIND("|",CP40)-1))-VALUE(MID(CP40,FIND("-",CP40)+1,10)))))*$D$50)))))*$I40,0)),0)</f>
        <v>0</v>
      </c>
      <c r="CR40" s="338"/>
      <c r="CS40" s="363"/>
      <c r="CT40" s="356" t="n">
        <f aca="false">IFERROR(IF($M40=CS40,($D$8+$D$9+$D$10)*$I40,IF($N40=LEFT(CS40,1),($D$8+MAX(0,IF($D$50=1,$D$9*(1-(ABS($Q40-ABS(VALUE(MID(CS40,FIND("|",CS40)+1,FIND("-",CS40)-FIND("|",CS40)-1))-VALUE(MID(CS40,FIND("-",CS40)+1,10)))))*$D$50),$D$9*(1-(IF($N40="X",ABS($O40-VALUE(MID(CS40,FIND("|",CS40)+1,FIND("-",CS40)-FIND("|",CS40)-1))),ABS($Q40-ABS(VALUE(MID(CS40,FIND("|",CS40)+1,FIND("-",CS40)-FIND("|",CS40)-1))-VALUE(MID(CS40,FIND("-",CS40)+1,10)))))*$D$50)))))*$I40,0)),0)</f>
        <v>0</v>
      </c>
      <c r="CU40" s="338"/>
      <c r="CV40" s="363"/>
      <c r="CW40" s="356" t="n">
        <f aca="false">IFERROR(IF($M40=CV40,($D$8+$D$9+$D$10)*$I40,IF($N40=LEFT(CV40,1),($D$8+MAX(0,IF($D$50=1,$D$9*(1-(ABS($Q40-ABS(VALUE(MID(CV40,FIND("|",CV40)+1,FIND("-",CV40)-FIND("|",CV40)-1))-VALUE(MID(CV40,FIND("-",CV40)+1,10)))))*$D$50),$D$9*(1-(IF($N40="X",ABS($O40-VALUE(MID(CV40,FIND("|",CV40)+1,FIND("-",CV40)-FIND("|",CV40)-1))),ABS($Q40-ABS(VALUE(MID(CV40,FIND("|",CV40)+1,FIND("-",CV40)-FIND("|",CV40)-1))-VALUE(MID(CV40,FIND("-",CV40)+1,10)))))*$D$50)))))*$I40,0)),0)</f>
        <v>0</v>
      </c>
      <c r="CX40" s="338"/>
      <c r="CY40" s="363"/>
      <c r="CZ40" s="356" t="n">
        <f aca="false">IFERROR(IF($M40=CY40,($D$8+$D$9+$D$10)*$I40,IF($N40=LEFT(CY40,1),($D$8+MAX(0,IF($D$50=1,$D$9*(1-(ABS($Q40-ABS(VALUE(MID(CY40,FIND("|",CY40)+1,FIND("-",CY40)-FIND("|",CY40)-1))-VALUE(MID(CY40,FIND("-",CY40)+1,10)))))*$D$50),$D$9*(1-(IF($N40="X",ABS($O40-VALUE(MID(CY40,FIND("|",CY40)+1,FIND("-",CY40)-FIND("|",CY40)-1))),ABS($Q40-ABS(VALUE(MID(CY40,FIND("|",CY40)+1,FIND("-",CY40)-FIND("|",CY40)-1))-VALUE(MID(CY40,FIND("-",CY40)+1,10)))))*$D$50)))))*$I40,0)),0)</f>
        <v>0</v>
      </c>
      <c r="DA40" s="338"/>
      <c r="DB40" s="363"/>
      <c r="DC40" s="356" t="n">
        <f aca="false">IFERROR(IF($M40=DB40,($D$8+$D$9+$D$10)*$I40,IF($N40=LEFT(DB40,1),($D$8+MAX(0,IF($D$50=1,$D$9*(1-(ABS($Q40-ABS(VALUE(MID(DB40,FIND("|",DB40)+1,FIND("-",DB40)-FIND("|",DB40)-1))-VALUE(MID(DB40,FIND("-",DB40)+1,10)))))*$D$50),$D$9*(1-(IF($N40="X",ABS($O40-VALUE(MID(DB40,FIND("|",DB40)+1,FIND("-",DB40)-FIND("|",DB40)-1))),ABS($Q40-ABS(VALUE(MID(DB40,FIND("|",DB40)+1,FIND("-",DB40)-FIND("|",DB40)-1))-VALUE(MID(DB40,FIND("-",DB40)+1,10)))))*$D$50)))))*$I40,0)),0)</f>
        <v>0</v>
      </c>
      <c r="DD40" s="338"/>
      <c r="DE40" s="363"/>
      <c r="DF40" s="356" t="n">
        <f aca="false">IFERROR(IF($M40=DE40,($D$8+$D$9+$D$10)*$I40,IF($N40=LEFT(DE40,1),($D$8+MAX(0,IF($D$50=1,$D$9*(1-(ABS($Q40-ABS(VALUE(MID(DE40,FIND("|",DE40)+1,FIND("-",DE40)-FIND("|",DE40)-1))-VALUE(MID(DE40,FIND("-",DE40)+1,10)))))*$D$50),$D$9*(1-(IF($N40="X",ABS($O40-VALUE(MID(DE40,FIND("|",DE40)+1,FIND("-",DE40)-FIND("|",DE40)-1))),ABS($Q40-ABS(VALUE(MID(DE40,FIND("|",DE40)+1,FIND("-",DE40)-FIND("|",DE40)-1))-VALUE(MID(DE40,FIND("-",DE40)+1,10)))))*$D$50)))))*$I40,0)),0)</f>
        <v>0</v>
      </c>
      <c r="DG40" s="338"/>
      <c r="DH40" s="363"/>
      <c r="DI40" s="356" t="n">
        <f aca="false">IFERROR(IF($M40=DH40,($D$8+$D$9+$D$10)*$I40,IF($N40=LEFT(DH40,1),($D$8+MAX(0,IF($D$50=1,$D$9*(1-(ABS($Q40-ABS(VALUE(MID(DH40,FIND("|",DH40)+1,FIND("-",DH40)-FIND("|",DH40)-1))-VALUE(MID(DH40,FIND("-",DH40)+1,10)))))*$D$50),$D$9*(1-(IF($N40="X",ABS($O40-VALUE(MID(DH40,FIND("|",DH40)+1,FIND("-",DH40)-FIND("|",DH40)-1))),ABS($Q40-ABS(VALUE(MID(DH40,FIND("|",DH40)+1,FIND("-",DH40)-FIND("|",DH40)-1))-VALUE(MID(DH40,FIND("-",DH40)+1,10)))))*$D$50)))))*$I40,0)),0)</f>
        <v>0</v>
      </c>
      <c r="DJ40" s="338"/>
      <c r="DK40" s="363"/>
      <c r="DL40" s="356" t="n">
        <f aca="false">IFERROR(IF($M40=DK40,($D$8+$D$9+$D$10)*$I40,IF($N40=LEFT(DK40,1),($D$8+MAX(0,IF($D$50=1,$D$9*(1-(ABS($Q40-ABS(VALUE(MID(DK40,FIND("|",DK40)+1,FIND("-",DK40)-FIND("|",DK40)-1))-VALUE(MID(DK40,FIND("-",DK40)+1,10)))))*$D$50),$D$9*(1-(IF($N40="X",ABS($O40-VALUE(MID(DK40,FIND("|",DK40)+1,FIND("-",DK40)-FIND("|",DK40)-1))),ABS($Q40-ABS(VALUE(MID(DK40,FIND("|",DK40)+1,FIND("-",DK40)-FIND("|",DK40)-1))-VALUE(MID(DK40,FIND("-",DK40)+1,10)))))*$D$50)))))*$I40,0)),0)</f>
        <v>0</v>
      </c>
      <c r="DM40" s="338"/>
      <c r="DN40" s="363"/>
      <c r="DO40" s="356" t="n">
        <f aca="false">IFERROR(IF($M40=DN40,($D$8+$D$9+$D$10)*$I40,IF($N40=LEFT(DN40,1),($D$8+MAX(0,IF($D$50=1,$D$9*(1-(ABS($Q40-ABS(VALUE(MID(DN40,FIND("|",DN40)+1,FIND("-",DN40)-FIND("|",DN40)-1))-VALUE(MID(DN40,FIND("-",DN40)+1,10)))))*$D$50),$D$9*(1-(IF($N40="X",ABS($O40-VALUE(MID(DN40,FIND("|",DN40)+1,FIND("-",DN40)-FIND("|",DN40)-1))),ABS($Q40-ABS(VALUE(MID(DN40,FIND("|",DN40)+1,FIND("-",DN40)-FIND("|",DN40)-1))-VALUE(MID(DN40,FIND("-",DN40)+1,10)))))*$D$50)))))*$I40,0)),0)</f>
        <v>0</v>
      </c>
      <c r="DP40" s="338"/>
      <c r="DQ40" s="363"/>
      <c r="DR40" s="356" t="n">
        <f aca="false">IFERROR(IF($M40=DQ40,($D$8+$D$9+$D$10)*$I40,IF($N40=LEFT(DQ40,1),($D$8+MAX(0,IF($D$50=1,$D$9*(1-(ABS($Q40-ABS(VALUE(MID(DQ40,FIND("|",DQ40)+1,FIND("-",DQ40)-FIND("|",DQ40)-1))-VALUE(MID(DQ40,FIND("-",DQ40)+1,10)))))*$D$50),$D$9*(1-(IF($N40="X",ABS($O40-VALUE(MID(DQ40,FIND("|",DQ40)+1,FIND("-",DQ40)-FIND("|",DQ40)-1))),ABS($Q40-ABS(VALUE(MID(DQ40,FIND("|",DQ40)+1,FIND("-",DQ40)-FIND("|",DQ40)-1))-VALUE(MID(DQ40,FIND("-",DQ40)+1,10)))))*$D$50)))))*$I40,0)),0)</f>
        <v>0</v>
      </c>
      <c r="DS40" s="338"/>
      <c r="DT40" s="363"/>
      <c r="DU40" s="356" t="n">
        <f aca="false">IFERROR(IF($M40=DT40,($D$8+$D$9+$D$10)*$I40,IF($N40=LEFT(DT40,1),($D$8+MAX(0,IF($D$50=1,$D$9*(1-(ABS($Q40-ABS(VALUE(MID(DT40,FIND("|",DT40)+1,FIND("-",DT40)-FIND("|",DT40)-1))-VALUE(MID(DT40,FIND("-",DT40)+1,10)))))*$D$50),$D$9*(1-(IF($N40="X",ABS($O40-VALUE(MID(DT40,FIND("|",DT40)+1,FIND("-",DT40)-FIND("|",DT40)-1))),ABS($Q40-ABS(VALUE(MID(DT40,FIND("|",DT40)+1,FIND("-",DT40)-FIND("|",DT40)-1))-VALUE(MID(DT40,FIND("-",DT40)+1,10)))))*$D$50)))))*$I40,0)),0)</f>
        <v>0</v>
      </c>
      <c r="DV40" s="338"/>
      <c r="DW40" s="363"/>
      <c r="DX40" s="356" t="n">
        <f aca="false">IFERROR(IF($M40=DW40,($D$8+$D$9+$D$10)*$I40,IF($N40=LEFT(DW40,1),($D$8+MAX(0,IF($D$50=1,$D$9*(1-(ABS($Q40-ABS(VALUE(MID(DW40,FIND("|",DW40)+1,FIND("-",DW40)-FIND("|",DW40)-1))-VALUE(MID(DW40,FIND("-",DW40)+1,10)))))*$D$50),$D$9*(1-(IF($N40="X",ABS($O40-VALUE(MID(DW40,FIND("|",DW40)+1,FIND("-",DW40)-FIND("|",DW40)-1))),ABS($Q40-ABS(VALUE(MID(DW40,FIND("|",DW40)+1,FIND("-",DW40)-FIND("|",DW40)-1))-VALUE(MID(DW40,FIND("-",DW40)+1,10)))))*$D$50)))))*$I40,0)),0)</f>
        <v>0</v>
      </c>
      <c r="DY40" s="338"/>
      <c r="DZ40" s="363"/>
      <c r="EA40" s="356" t="n">
        <f aca="false">IFERROR(IF($M40=DZ40,($D$8+$D$9+$D$10)*$I40,IF($N40=LEFT(DZ40,1),($D$8+MAX(0,IF($D$50=1,$D$9*(1-(ABS($Q40-ABS(VALUE(MID(DZ40,FIND("|",DZ40)+1,FIND("-",DZ40)-FIND("|",DZ40)-1))-VALUE(MID(DZ40,FIND("-",DZ40)+1,10)))))*$D$50),$D$9*(1-(IF($N40="X",ABS($O40-VALUE(MID(DZ40,FIND("|",DZ40)+1,FIND("-",DZ40)-FIND("|",DZ40)-1))),ABS($Q40-ABS(VALUE(MID(DZ40,FIND("|",DZ40)+1,FIND("-",DZ40)-FIND("|",DZ40)-1))-VALUE(MID(DZ40,FIND("-",DZ40)+1,10)))))*$D$50)))))*$I40,0)),0)</f>
        <v>0</v>
      </c>
      <c r="EB40" s="338"/>
      <c r="EC40" s="363"/>
      <c r="ED40" s="356" t="n">
        <f aca="false">IFERROR(IF($M40=EC40,($D$8+$D$9+$D$10)*$I40,IF($N40=LEFT(EC40,1),($D$8+MAX(0,IF($D$50=1,$D$9*(1-(ABS($Q40-ABS(VALUE(MID(EC40,FIND("|",EC40)+1,FIND("-",EC40)-FIND("|",EC40)-1))-VALUE(MID(EC40,FIND("-",EC40)+1,10)))))*$D$50),$D$9*(1-(IF($N40="X",ABS($O40-VALUE(MID(EC40,FIND("|",EC40)+1,FIND("-",EC40)-FIND("|",EC40)-1))),ABS($Q40-ABS(VALUE(MID(EC40,FIND("|",EC40)+1,FIND("-",EC40)-FIND("|",EC40)-1))-VALUE(MID(EC40,FIND("-",EC40)+1,10)))))*$D$50)))))*$I40,0)),0)</f>
        <v>0</v>
      </c>
      <c r="EE40" s="338"/>
      <c r="EF40" s="363"/>
      <c r="EG40" s="356" t="n">
        <f aca="false">IFERROR(IF($M40=EF40,($D$8+$D$9+$D$10)*$I40,IF($N40=LEFT(EF40,1),($D$8+MAX(0,IF($D$50=1,$D$9*(1-(ABS($Q40-ABS(VALUE(MID(EF40,FIND("|",EF40)+1,FIND("-",EF40)-FIND("|",EF40)-1))-VALUE(MID(EF40,FIND("-",EF40)+1,10)))))*$D$50),$D$9*(1-(IF($N40="X",ABS($O40-VALUE(MID(EF40,FIND("|",EF40)+1,FIND("-",EF40)-FIND("|",EF40)-1))),ABS($Q40-ABS(VALUE(MID(EF40,FIND("|",EF40)+1,FIND("-",EF40)-FIND("|",EF40)-1))-VALUE(MID(EF40,FIND("-",EF40)+1,10)))))*$D$50)))))*$I40,0)),0)</f>
        <v>0</v>
      </c>
      <c r="EH40" s="338"/>
      <c r="EI40" s="338"/>
    </row>
    <row r="41" customFormat="false" ht="15" hidden="false" customHeight="false" outlineLevel="0" collapsed="false">
      <c r="A41" s="327"/>
      <c r="B41" s="327"/>
      <c r="C41" s="364" t="str">
        <f aca="false">Idiomas!D337</f>
        <v>3º puesto</v>
      </c>
      <c r="D41" s="365" t="n">
        <v>15</v>
      </c>
      <c r="E41" s="334"/>
      <c r="F41" s="343" t="n">
        <f aca="false">SUM($D$8:$D$10)*I41</f>
        <v>17</v>
      </c>
      <c r="G41" s="343" t="n">
        <f aca="false">VLOOKUP(H41,Equipos!$Q$1:$R$25,2,0)</f>
        <v>11</v>
      </c>
      <c r="H41" s="351" t="n">
        <f aca="false">TRUNC(INDEX(WORLDCUP!$X$4:$X$147,MATCH(ADMIN!K41,WORLDCUP!$DT$4:$DT$147,0))+INDEX(Horarios!$R$3:$R$86,MATCH(Horarios!$C$3,Horarios!$P$3:$P$86,0))/24)</f>
        <v>46194</v>
      </c>
      <c r="I41" s="352" t="n">
        <v>1</v>
      </c>
      <c r="J41" s="362" t="s">
        <v>303</v>
      </c>
      <c r="K41" s="367" t="str">
        <f aca="false">CONCATENATE(WORLDCUP!AA47,"-",WORLDCUP!AF47)</f>
        <v>Túnez-Japón</v>
      </c>
      <c r="L41" s="354"/>
      <c r="M41" s="359" t="str">
        <f aca="false">IF(OR(WORLDCUP!AC47="",WORLDCUP!AD47=""),"-",N41&amp;"|"&amp;O41&amp;"-"&amp;P41)</f>
        <v>-</v>
      </c>
      <c r="N41" s="332" t="str">
        <f aca="false">IF(OR(WORLDCUP!AC47="",WORLDCUP!AD47=""),"",IF(WORLDCUP!AC47&gt;WORLDCUP!AD47,"1",IF(WORLDCUP!AC47&lt;WORLDCUP!AD47,"2","X")))</f>
        <v/>
      </c>
      <c r="O41" s="332" t="n">
        <f aca="false">WORLDCUP!AC47</f>
        <v>0</v>
      </c>
      <c r="P41" s="332" t="n">
        <f aca="false">WORLDCUP!AD47</f>
        <v>0</v>
      </c>
      <c r="Q41" s="332" t="n">
        <f aca="false">ABS(O41-P41)</f>
        <v>0</v>
      </c>
      <c r="R41" s="327"/>
      <c r="S41" s="363" t="s">
        <v>268</v>
      </c>
      <c r="T41" s="356" t="n">
        <f aca="false">IFERROR(IF($M41=S41,($D$8+$D$9+$D$10)*$I41,IF($N41=LEFT(S41,1),($D$8+MAX(0,IF($D$50=1,$D$9*(1-(ABS($Q41-ABS(VALUE(MID(S41,FIND("|",S41)+1,FIND("-",S41)-FIND("|",S41)-1))-VALUE(MID(S41,FIND("-",S41)+1,10)))))*$D$50),$D$9*(1-(IF($N41="X",ABS($O41-VALUE(MID(S41,FIND("|",S41)+1,FIND("-",S41)-FIND("|",S41)-1))),ABS($Q41-ABS(VALUE(MID(S41,FIND("|",S41)+1,FIND("-",S41)-FIND("|",S41)-1))-VALUE(MID(S41,FIND("-",S41)+1,10)))))*$D$50)))))*$I41,0)),0)</f>
        <v>0</v>
      </c>
      <c r="U41" s="338"/>
      <c r="V41" s="363" t="s">
        <v>274</v>
      </c>
      <c r="W41" s="356" t="n">
        <f aca="false">IFERROR(IF($M41=V41,($D$8+$D$9+$D$10)*$I41,IF($N41=LEFT(V41,1),($D$8+MAX(0,IF($D$50=1,$D$9*(1-(ABS($Q41-ABS(VALUE(MID(V41,FIND("|",V41)+1,FIND("-",V41)-FIND("|",V41)-1))-VALUE(MID(V41,FIND("-",V41)+1,10)))))*$D$50),$D$9*(1-(IF($N41="X",ABS($O41-VALUE(MID(V41,FIND("|",V41)+1,FIND("-",V41)-FIND("|",V41)-1))),ABS($Q41-ABS(VALUE(MID(V41,FIND("|",V41)+1,FIND("-",V41)-FIND("|",V41)-1))-VALUE(MID(V41,FIND("-",V41)+1,10)))))*$D$50)))))*$I41,0)),0)</f>
        <v>0</v>
      </c>
      <c r="X41" s="338"/>
      <c r="Y41" s="363" t="s">
        <v>271</v>
      </c>
      <c r="Z41" s="356" t="n">
        <f aca="false">IFERROR(IF($M41=Y41,($D$8+$D$9+$D$10)*$I41,IF($N41=LEFT(Y41,1),($D$8+MAX(0,IF($D$50=1,$D$9*(1-(ABS($Q41-ABS(VALUE(MID(Y41,FIND("|",Y41)+1,FIND("-",Y41)-FIND("|",Y41)-1))-VALUE(MID(Y41,FIND("-",Y41)+1,10)))))*$D$50),$D$9*(1-(IF($N41="X",ABS($O41-VALUE(MID(Y41,FIND("|",Y41)+1,FIND("-",Y41)-FIND("|",Y41)-1))),ABS($Q41-ABS(VALUE(MID(Y41,FIND("|",Y41)+1,FIND("-",Y41)-FIND("|",Y41)-1))-VALUE(MID(Y41,FIND("-",Y41)+1,10)))))*$D$50)))))*$I41,0)),0)</f>
        <v>0</v>
      </c>
      <c r="AA41" s="338"/>
      <c r="AB41" s="363" t="s">
        <v>274</v>
      </c>
      <c r="AC41" s="356" t="n">
        <f aca="false">IFERROR(IF($M41=AB41,($D$8+$D$9+$D$10)*$I41,IF($N41=LEFT(AB41,1),($D$8+MAX(0,IF($D$50=1,$D$9*(1-(ABS($Q41-ABS(VALUE(MID(AB41,FIND("|",AB41)+1,FIND("-",AB41)-FIND("|",AB41)-1))-VALUE(MID(AB41,FIND("-",AB41)+1,10)))))*$D$50),$D$9*(1-(IF($N41="X",ABS($O41-VALUE(MID(AB41,FIND("|",AB41)+1,FIND("-",AB41)-FIND("|",AB41)-1))),ABS($Q41-ABS(VALUE(MID(AB41,FIND("|",AB41)+1,FIND("-",AB41)-FIND("|",AB41)-1))-VALUE(MID(AB41,FIND("-",AB41)+1,10)))))*$D$50)))))*$I41,0)),0)</f>
        <v>0</v>
      </c>
      <c r="AD41" s="338"/>
      <c r="AE41" s="363" t="s">
        <v>274</v>
      </c>
      <c r="AF41" s="356" t="n">
        <f aca="false">IFERROR(IF($M41=AE41,($D$8+$D$9+$D$10)*$I41,IF($N41=LEFT(AE41,1),($D$8+MAX(0,IF($D$50=1,$D$9*(1-(ABS($Q41-ABS(VALUE(MID(AE41,FIND("|",AE41)+1,FIND("-",AE41)-FIND("|",AE41)-1))-VALUE(MID(AE41,FIND("-",AE41)+1,10)))))*$D$50),$D$9*(1-(IF($N41="X",ABS($O41-VALUE(MID(AE41,FIND("|",AE41)+1,FIND("-",AE41)-FIND("|",AE41)-1))),ABS($Q41-ABS(VALUE(MID(AE41,FIND("|",AE41)+1,FIND("-",AE41)-FIND("|",AE41)-1))-VALUE(MID(AE41,FIND("-",AE41)+1,10)))))*$D$50)))))*$I41,0)),0)</f>
        <v>0</v>
      </c>
      <c r="AG41" s="338"/>
      <c r="AH41" s="363" t="s">
        <v>268</v>
      </c>
      <c r="AI41" s="356" t="n">
        <f aca="false">IFERROR(IF($M41=AH41,($D$8+$D$9+$D$10)*$I41,IF($N41=LEFT(AH41,1),($D$8+MAX(0,IF($D$50=1,$D$9*(1-(ABS($Q41-ABS(VALUE(MID(AH41,FIND("|",AH41)+1,FIND("-",AH41)-FIND("|",AH41)-1))-VALUE(MID(AH41,FIND("-",AH41)+1,10)))))*$D$50),$D$9*(1-(IF($N41="X",ABS($O41-VALUE(MID(AH41,FIND("|",AH41)+1,FIND("-",AH41)-FIND("|",AH41)-1))),ABS($Q41-ABS(VALUE(MID(AH41,FIND("|",AH41)+1,FIND("-",AH41)-FIND("|",AH41)-1))-VALUE(MID(AH41,FIND("-",AH41)+1,10)))))*$D$50)))))*$I41,0)),0)</f>
        <v>0</v>
      </c>
      <c r="AJ41" s="338"/>
      <c r="AK41" s="363" t="s">
        <v>268</v>
      </c>
      <c r="AL41" s="356" t="n">
        <f aca="false">IFERROR(IF($M41=AK41,($D$8+$D$9+$D$10)*$I41,IF($N41=LEFT(AK41,1),($D$8+MAX(0,IF($D$50=1,$D$9*(1-(ABS($Q41-ABS(VALUE(MID(AK41,FIND("|",AK41)+1,FIND("-",AK41)-FIND("|",AK41)-1))-VALUE(MID(AK41,FIND("-",AK41)+1,10)))))*$D$50),$D$9*(1-(IF($N41="X",ABS($O41-VALUE(MID(AK41,FIND("|",AK41)+1,FIND("-",AK41)-FIND("|",AK41)-1))),ABS($Q41-ABS(VALUE(MID(AK41,FIND("|",AK41)+1,FIND("-",AK41)-FIND("|",AK41)-1))-VALUE(MID(AK41,FIND("-",AK41)+1,10)))))*$D$50)))))*$I41,0)),0)</f>
        <v>0</v>
      </c>
      <c r="AM41" s="338"/>
      <c r="AN41" s="363" t="s">
        <v>274</v>
      </c>
      <c r="AO41" s="356" t="n">
        <f aca="false">IFERROR(IF($M41=AN41,($D$8+$D$9+$D$10)*$I41,IF($N41=LEFT(AN41,1),($D$8+MAX(0,IF($D$50=1,$D$9*(1-(ABS($Q41-ABS(VALUE(MID(AN41,FIND("|",AN41)+1,FIND("-",AN41)-FIND("|",AN41)-1))-VALUE(MID(AN41,FIND("-",AN41)+1,10)))))*$D$50),$D$9*(1-(IF($N41="X",ABS($O41-VALUE(MID(AN41,FIND("|",AN41)+1,FIND("-",AN41)-FIND("|",AN41)-1))),ABS($Q41-ABS(VALUE(MID(AN41,FIND("|",AN41)+1,FIND("-",AN41)-FIND("|",AN41)-1))-VALUE(MID(AN41,FIND("-",AN41)+1,10)))))*$D$50)))))*$I41,0)),0)</f>
        <v>0</v>
      </c>
      <c r="AP41" s="338"/>
      <c r="AQ41" s="363" t="s">
        <v>274</v>
      </c>
      <c r="AR41" s="356" t="n">
        <f aca="false">IFERROR(IF($M41=AQ41,($D$8+$D$9+$D$10)*$I41,IF($N41=LEFT(AQ41,1),($D$8+MAX(0,IF($D$50=1,$D$9*(1-(ABS($Q41-ABS(VALUE(MID(AQ41,FIND("|",AQ41)+1,FIND("-",AQ41)-FIND("|",AQ41)-1))-VALUE(MID(AQ41,FIND("-",AQ41)+1,10)))))*$D$50),$D$9*(1-(IF($N41="X",ABS($O41-VALUE(MID(AQ41,FIND("|",AQ41)+1,FIND("-",AQ41)-FIND("|",AQ41)-1))),ABS($Q41-ABS(VALUE(MID(AQ41,FIND("|",AQ41)+1,FIND("-",AQ41)-FIND("|",AQ41)-1))-VALUE(MID(AQ41,FIND("-",AQ41)+1,10)))))*$D$50)))))*$I41,0)),0)</f>
        <v>0</v>
      </c>
      <c r="AS41" s="338"/>
      <c r="AT41" s="363" t="s">
        <v>274</v>
      </c>
      <c r="AU41" s="356" t="n">
        <f aca="false">IFERROR(IF($M41=AT41,($D$8+$D$9+$D$10)*$I41,IF($N41=LEFT(AT41,1),($D$8+MAX(0,IF($D$50=1,$D$9*(1-(ABS($Q41-ABS(VALUE(MID(AT41,FIND("|",AT41)+1,FIND("-",AT41)-FIND("|",AT41)-1))-VALUE(MID(AT41,FIND("-",AT41)+1,10)))))*$D$50),$D$9*(1-(IF($N41="X",ABS($O41-VALUE(MID(AT41,FIND("|",AT41)+1,FIND("-",AT41)-FIND("|",AT41)-1))),ABS($Q41-ABS(VALUE(MID(AT41,FIND("|",AT41)+1,FIND("-",AT41)-FIND("|",AT41)-1))-VALUE(MID(AT41,FIND("-",AT41)+1,10)))))*$D$50)))))*$I41,0)),0)</f>
        <v>0</v>
      </c>
      <c r="AV41" s="338"/>
      <c r="AW41" s="363" t="s">
        <v>267</v>
      </c>
      <c r="AX41" s="356" t="n">
        <f aca="false">IFERROR(IF($M41=AW41,($D$8+$D$9+$D$10)*$I41,IF($N41=LEFT(AW41,1),($D$8+MAX(0,IF($D$50=1,$D$9*(1-(ABS($Q41-ABS(VALUE(MID(AW41,FIND("|",AW41)+1,FIND("-",AW41)-FIND("|",AW41)-1))-VALUE(MID(AW41,FIND("-",AW41)+1,10)))))*$D$50),$D$9*(1-(IF($N41="X",ABS($O41-VALUE(MID(AW41,FIND("|",AW41)+1,FIND("-",AW41)-FIND("|",AW41)-1))),ABS($Q41-ABS(VALUE(MID(AW41,FIND("|",AW41)+1,FIND("-",AW41)-FIND("|",AW41)-1))-VALUE(MID(AW41,FIND("-",AW41)+1,10)))))*$D$50)))))*$I41,0)),0)</f>
        <v>0</v>
      </c>
      <c r="AY41" s="338"/>
      <c r="AZ41" s="363" t="s">
        <v>268</v>
      </c>
      <c r="BA41" s="356" t="n">
        <f aca="false">IFERROR(IF($M41=AZ41,($D$8+$D$9+$D$10)*$I41,IF($N41=LEFT(AZ41,1),($D$8+MAX(0,IF($D$50=1,$D$9*(1-(ABS($Q41-ABS(VALUE(MID(AZ41,FIND("|",AZ41)+1,FIND("-",AZ41)-FIND("|",AZ41)-1))-VALUE(MID(AZ41,FIND("-",AZ41)+1,10)))))*$D$50),$D$9*(1-(IF($N41="X",ABS($O41-VALUE(MID(AZ41,FIND("|",AZ41)+1,FIND("-",AZ41)-FIND("|",AZ41)-1))),ABS($Q41-ABS(VALUE(MID(AZ41,FIND("|",AZ41)+1,FIND("-",AZ41)-FIND("|",AZ41)-1))-VALUE(MID(AZ41,FIND("-",AZ41)+1,10)))))*$D$50)))))*$I41,0)),0)</f>
        <v>0</v>
      </c>
      <c r="BB41" s="338"/>
      <c r="BC41" s="363" t="s">
        <v>267</v>
      </c>
      <c r="BD41" s="356" t="n">
        <f aca="false">IFERROR(IF($M41=BC41,($D$8+$D$9+$D$10)*$I41,IF($N41=LEFT(BC41,1),($D$8+MAX(0,IF($D$50=1,$D$9*(1-(ABS($Q41-ABS(VALUE(MID(BC41,FIND("|",BC41)+1,FIND("-",BC41)-FIND("|",BC41)-1))-VALUE(MID(BC41,FIND("-",BC41)+1,10)))))*$D$50),$D$9*(1-(IF($N41="X",ABS($O41-VALUE(MID(BC41,FIND("|",BC41)+1,FIND("-",BC41)-FIND("|",BC41)-1))),ABS($Q41-ABS(VALUE(MID(BC41,FIND("|",BC41)+1,FIND("-",BC41)-FIND("|",BC41)-1))-VALUE(MID(BC41,FIND("-",BC41)+1,10)))))*$D$50)))))*$I41,0)),0)</f>
        <v>0</v>
      </c>
      <c r="BE41" s="338"/>
      <c r="BF41" s="363" t="s">
        <v>274</v>
      </c>
      <c r="BG41" s="356" t="n">
        <f aca="false">IFERROR(IF($M41=BF41,($D$8+$D$9+$D$10)*$I41,IF($N41=LEFT(BF41,1),($D$8+MAX(0,IF($D$50=1,$D$9*(1-(ABS($Q41-ABS(VALUE(MID(BF41,FIND("|",BF41)+1,FIND("-",BF41)-FIND("|",BF41)-1))-VALUE(MID(BF41,FIND("-",BF41)+1,10)))))*$D$50),$D$9*(1-(IF($N41="X",ABS($O41-VALUE(MID(BF41,FIND("|",BF41)+1,FIND("-",BF41)-FIND("|",BF41)-1))),ABS($Q41-ABS(VALUE(MID(BF41,FIND("|",BF41)+1,FIND("-",BF41)-FIND("|",BF41)-1))-VALUE(MID(BF41,FIND("-",BF41)+1,10)))))*$D$50)))))*$I41,0)),0)</f>
        <v>0</v>
      </c>
      <c r="BH41" s="338"/>
      <c r="BI41" s="363" t="s">
        <v>271</v>
      </c>
      <c r="BJ41" s="356" t="n">
        <f aca="false">IFERROR(IF($M41=BI41,($D$8+$D$9+$D$10)*$I41,IF($N41=LEFT(BI41,1),($D$8+MAX(0,IF($D$50=1,$D$9*(1-(ABS($Q41-ABS(VALUE(MID(BI41,FIND("|",BI41)+1,FIND("-",BI41)-FIND("|",BI41)-1))-VALUE(MID(BI41,FIND("-",BI41)+1,10)))))*$D$50),$D$9*(1-(IF($N41="X",ABS($O41-VALUE(MID(BI41,FIND("|",BI41)+1,FIND("-",BI41)-FIND("|",BI41)-1))),ABS($Q41-ABS(VALUE(MID(BI41,FIND("|",BI41)+1,FIND("-",BI41)-FIND("|",BI41)-1))-VALUE(MID(BI41,FIND("-",BI41)+1,10)))))*$D$50)))))*$I41,0)),0)</f>
        <v>0</v>
      </c>
      <c r="BK41" s="338"/>
      <c r="BL41" s="363" t="s">
        <v>273</v>
      </c>
      <c r="BM41" s="356" t="n">
        <f aca="false">IFERROR(IF($M41=BL41,($D$8+$D$9+$D$10)*$I41,IF($N41=LEFT(BL41,1),($D$8+MAX(0,IF($D$50=1,$D$9*(1-(ABS($Q41-ABS(VALUE(MID(BL41,FIND("|",BL41)+1,FIND("-",BL41)-FIND("|",BL41)-1))-VALUE(MID(BL41,FIND("-",BL41)+1,10)))))*$D$50),$D$9*(1-(IF($N41="X",ABS($O41-VALUE(MID(BL41,FIND("|",BL41)+1,FIND("-",BL41)-FIND("|",BL41)-1))),ABS($Q41-ABS(VALUE(MID(BL41,FIND("|",BL41)+1,FIND("-",BL41)-FIND("|",BL41)-1))-VALUE(MID(BL41,FIND("-",BL41)+1,10)))))*$D$50)))))*$I41,0)),0)</f>
        <v>0</v>
      </c>
      <c r="BN41" s="338"/>
      <c r="BO41" s="363" t="s">
        <v>268</v>
      </c>
      <c r="BP41" s="356" t="n">
        <f aca="false">IFERROR(IF($M41=BO41,($D$8+$D$9+$D$10)*$I41,IF($N41=LEFT(BO41,1),($D$8+MAX(0,IF($D$50=1,$D$9*(1-(ABS($Q41-ABS(VALUE(MID(BO41,FIND("|",BO41)+1,FIND("-",BO41)-FIND("|",BO41)-1))-VALUE(MID(BO41,FIND("-",BO41)+1,10)))))*$D$50),$D$9*(1-(IF($N41="X",ABS($O41-VALUE(MID(BO41,FIND("|",BO41)+1,FIND("-",BO41)-FIND("|",BO41)-1))),ABS($Q41-ABS(VALUE(MID(BO41,FIND("|",BO41)+1,FIND("-",BO41)-FIND("|",BO41)-1))-VALUE(MID(BO41,FIND("-",BO41)+1,10)))))*$D$50)))))*$I41,0)),0)</f>
        <v>0</v>
      </c>
      <c r="BQ41" s="338"/>
      <c r="BR41" s="363" t="s">
        <v>271</v>
      </c>
      <c r="BS41" s="356" t="n">
        <f aca="false">IFERROR(IF($M41=BR41,($D$8+$D$9+$D$10)*$I41,IF($N41=LEFT(BR41,1),($D$8+MAX(0,IF($D$50=1,$D$9*(1-(ABS($Q41-ABS(VALUE(MID(BR41,FIND("|",BR41)+1,FIND("-",BR41)-FIND("|",BR41)-1))-VALUE(MID(BR41,FIND("-",BR41)+1,10)))))*$D$50),$D$9*(1-(IF($N41="X",ABS($O41-VALUE(MID(BR41,FIND("|",BR41)+1,FIND("-",BR41)-FIND("|",BR41)-1))),ABS($Q41-ABS(VALUE(MID(BR41,FIND("|",BR41)+1,FIND("-",BR41)-FIND("|",BR41)-1))-VALUE(MID(BR41,FIND("-",BR41)+1,10)))))*$D$50)))))*$I41,0)),0)</f>
        <v>0</v>
      </c>
      <c r="BT41" s="338"/>
      <c r="BU41" s="363"/>
      <c r="BV41" s="356" t="n">
        <f aca="false">IFERROR(IF($M41=BU41,($D$8+$D$9+$D$10)*$I41,IF($N41=LEFT(BU41,1),($D$8+MAX(0,IF($D$50=1,$D$9*(1-(ABS($Q41-ABS(VALUE(MID(BU41,FIND("|",BU41)+1,FIND("-",BU41)-FIND("|",BU41)-1))-VALUE(MID(BU41,FIND("-",BU41)+1,10)))))*$D$50),$D$9*(1-(IF($N41="X",ABS($O41-VALUE(MID(BU41,FIND("|",BU41)+1,FIND("-",BU41)-FIND("|",BU41)-1))),ABS($Q41-ABS(VALUE(MID(BU41,FIND("|",BU41)+1,FIND("-",BU41)-FIND("|",BU41)-1))-VALUE(MID(BU41,FIND("-",BU41)+1,10)))))*$D$50)))))*$I41,0)),0)</f>
        <v>0</v>
      </c>
      <c r="BW41" s="338"/>
      <c r="BX41" s="363"/>
      <c r="BY41" s="356" t="n">
        <f aca="false">IFERROR(IF($M41=BX41,($D$8+$D$9+$D$10)*$I41,IF($N41=LEFT(BX41,1),($D$8+MAX(0,IF($D$50=1,$D$9*(1-(ABS($Q41-ABS(VALUE(MID(BX41,FIND("|",BX41)+1,FIND("-",BX41)-FIND("|",BX41)-1))-VALUE(MID(BX41,FIND("-",BX41)+1,10)))))*$D$50),$D$9*(1-(IF($N41="X",ABS($O41-VALUE(MID(BX41,FIND("|",BX41)+1,FIND("-",BX41)-FIND("|",BX41)-1))),ABS($Q41-ABS(VALUE(MID(BX41,FIND("|",BX41)+1,FIND("-",BX41)-FIND("|",BX41)-1))-VALUE(MID(BX41,FIND("-",BX41)+1,10)))))*$D$50)))))*$I41,0)),0)</f>
        <v>0</v>
      </c>
      <c r="BZ41" s="338"/>
      <c r="CA41" s="363"/>
      <c r="CB41" s="356" t="n">
        <f aca="false">IFERROR(IF($M41=CA41,($D$8+$D$9+$D$10)*$I41,IF($N41=LEFT(CA41,1),($D$8+MAX(0,IF($D$50=1,$D$9*(1-(ABS($Q41-ABS(VALUE(MID(CA41,FIND("|",CA41)+1,FIND("-",CA41)-FIND("|",CA41)-1))-VALUE(MID(CA41,FIND("-",CA41)+1,10)))))*$D$50),$D$9*(1-(IF($N41="X",ABS($O41-VALUE(MID(CA41,FIND("|",CA41)+1,FIND("-",CA41)-FIND("|",CA41)-1))),ABS($Q41-ABS(VALUE(MID(CA41,FIND("|",CA41)+1,FIND("-",CA41)-FIND("|",CA41)-1))-VALUE(MID(CA41,FIND("-",CA41)+1,10)))))*$D$50)))))*$I41,0)),0)</f>
        <v>0</v>
      </c>
      <c r="CC41" s="338"/>
      <c r="CD41" s="363"/>
      <c r="CE41" s="356" t="n">
        <f aca="false">IFERROR(IF($M41=CD41,($D$8+$D$9+$D$10)*$I41,IF($N41=LEFT(CD41,1),($D$8+MAX(0,IF($D$50=1,$D$9*(1-(ABS($Q41-ABS(VALUE(MID(CD41,FIND("|",CD41)+1,FIND("-",CD41)-FIND("|",CD41)-1))-VALUE(MID(CD41,FIND("-",CD41)+1,10)))))*$D$50),$D$9*(1-(IF($N41="X",ABS($O41-VALUE(MID(CD41,FIND("|",CD41)+1,FIND("-",CD41)-FIND("|",CD41)-1))),ABS($Q41-ABS(VALUE(MID(CD41,FIND("|",CD41)+1,FIND("-",CD41)-FIND("|",CD41)-1))-VALUE(MID(CD41,FIND("-",CD41)+1,10)))))*$D$50)))))*$I41,0)),0)</f>
        <v>0</v>
      </c>
      <c r="CF41" s="338"/>
      <c r="CG41" s="363"/>
      <c r="CH41" s="356" t="n">
        <f aca="false">IFERROR(IF($M41=CG41,($D$8+$D$9+$D$10)*$I41,IF($N41=LEFT(CG41,1),($D$8+MAX(0,IF($D$50=1,$D$9*(1-(ABS($Q41-ABS(VALUE(MID(CG41,FIND("|",CG41)+1,FIND("-",CG41)-FIND("|",CG41)-1))-VALUE(MID(CG41,FIND("-",CG41)+1,10)))))*$D$50),$D$9*(1-(IF($N41="X",ABS($O41-VALUE(MID(CG41,FIND("|",CG41)+1,FIND("-",CG41)-FIND("|",CG41)-1))),ABS($Q41-ABS(VALUE(MID(CG41,FIND("|",CG41)+1,FIND("-",CG41)-FIND("|",CG41)-1))-VALUE(MID(CG41,FIND("-",CG41)+1,10)))))*$D$50)))))*$I41,0)),0)</f>
        <v>0</v>
      </c>
      <c r="CI41" s="338"/>
      <c r="CJ41" s="363"/>
      <c r="CK41" s="356" t="n">
        <f aca="false">IFERROR(IF($M41=CJ41,($D$8+$D$9+$D$10)*$I41,IF($N41=LEFT(CJ41,1),($D$8+MAX(0,IF($D$50=1,$D$9*(1-(ABS($Q41-ABS(VALUE(MID(CJ41,FIND("|",CJ41)+1,FIND("-",CJ41)-FIND("|",CJ41)-1))-VALUE(MID(CJ41,FIND("-",CJ41)+1,10)))))*$D$50),$D$9*(1-(IF($N41="X",ABS($O41-VALUE(MID(CJ41,FIND("|",CJ41)+1,FIND("-",CJ41)-FIND("|",CJ41)-1))),ABS($Q41-ABS(VALUE(MID(CJ41,FIND("|",CJ41)+1,FIND("-",CJ41)-FIND("|",CJ41)-1))-VALUE(MID(CJ41,FIND("-",CJ41)+1,10)))))*$D$50)))))*$I41,0)),0)</f>
        <v>0</v>
      </c>
      <c r="CL41" s="338"/>
      <c r="CM41" s="363"/>
      <c r="CN41" s="356" t="n">
        <f aca="false">IFERROR(IF($M41=CM41,($D$8+$D$9+$D$10)*$I41,IF($N41=LEFT(CM41,1),($D$8+MAX(0,IF($D$50=1,$D$9*(1-(ABS($Q41-ABS(VALUE(MID(CM41,FIND("|",CM41)+1,FIND("-",CM41)-FIND("|",CM41)-1))-VALUE(MID(CM41,FIND("-",CM41)+1,10)))))*$D$50),$D$9*(1-(IF($N41="X",ABS($O41-VALUE(MID(CM41,FIND("|",CM41)+1,FIND("-",CM41)-FIND("|",CM41)-1))),ABS($Q41-ABS(VALUE(MID(CM41,FIND("|",CM41)+1,FIND("-",CM41)-FIND("|",CM41)-1))-VALUE(MID(CM41,FIND("-",CM41)+1,10)))))*$D$50)))))*$I41,0)),0)</f>
        <v>0</v>
      </c>
      <c r="CO41" s="338"/>
      <c r="CP41" s="363"/>
      <c r="CQ41" s="356" t="n">
        <f aca="false">IFERROR(IF($M41=CP41,($D$8+$D$9+$D$10)*$I41,IF($N41=LEFT(CP41,1),($D$8+MAX(0,IF($D$50=1,$D$9*(1-(ABS($Q41-ABS(VALUE(MID(CP41,FIND("|",CP41)+1,FIND("-",CP41)-FIND("|",CP41)-1))-VALUE(MID(CP41,FIND("-",CP41)+1,10)))))*$D$50),$D$9*(1-(IF($N41="X",ABS($O41-VALUE(MID(CP41,FIND("|",CP41)+1,FIND("-",CP41)-FIND("|",CP41)-1))),ABS($Q41-ABS(VALUE(MID(CP41,FIND("|",CP41)+1,FIND("-",CP41)-FIND("|",CP41)-1))-VALUE(MID(CP41,FIND("-",CP41)+1,10)))))*$D$50)))))*$I41,0)),0)</f>
        <v>0</v>
      </c>
      <c r="CR41" s="338"/>
      <c r="CS41" s="363"/>
      <c r="CT41" s="356" t="n">
        <f aca="false">IFERROR(IF($M41=CS41,($D$8+$D$9+$D$10)*$I41,IF($N41=LEFT(CS41,1),($D$8+MAX(0,IF($D$50=1,$D$9*(1-(ABS($Q41-ABS(VALUE(MID(CS41,FIND("|",CS41)+1,FIND("-",CS41)-FIND("|",CS41)-1))-VALUE(MID(CS41,FIND("-",CS41)+1,10)))))*$D$50),$D$9*(1-(IF($N41="X",ABS($O41-VALUE(MID(CS41,FIND("|",CS41)+1,FIND("-",CS41)-FIND("|",CS41)-1))),ABS($Q41-ABS(VALUE(MID(CS41,FIND("|",CS41)+1,FIND("-",CS41)-FIND("|",CS41)-1))-VALUE(MID(CS41,FIND("-",CS41)+1,10)))))*$D$50)))))*$I41,0)),0)</f>
        <v>0</v>
      </c>
      <c r="CU41" s="338"/>
      <c r="CV41" s="363"/>
      <c r="CW41" s="356" t="n">
        <f aca="false">IFERROR(IF($M41=CV41,($D$8+$D$9+$D$10)*$I41,IF($N41=LEFT(CV41,1),($D$8+MAX(0,IF($D$50=1,$D$9*(1-(ABS($Q41-ABS(VALUE(MID(CV41,FIND("|",CV41)+1,FIND("-",CV41)-FIND("|",CV41)-1))-VALUE(MID(CV41,FIND("-",CV41)+1,10)))))*$D$50),$D$9*(1-(IF($N41="X",ABS($O41-VALUE(MID(CV41,FIND("|",CV41)+1,FIND("-",CV41)-FIND("|",CV41)-1))),ABS($Q41-ABS(VALUE(MID(CV41,FIND("|",CV41)+1,FIND("-",CV41)-FIND("|",CV41)-1))-VALUE(MID(CV41,FIND("-",CV41)+1,10)))))*$D$50)))))*$I41,0)),0)</f>
        <v>0</v>
      </c>
      <c r="CX41" s="338"/>
      <c r="CY41" s="363"/>
      <c r="CZ41" s="356" t="n">
        <f aca="false">IFERROR(IF($M41=CY41,($D$8+$D$9+$D$10)*$I41,IF($N41=LEFT(CY41,1),($D$8+MAX(0,IF($D$50=1,$D$9*(1-(ABS($Q41-ABS(VALUE(MID(CY41,FIND("|",CY41)+1,FIND("-",CY41)-FIND("|",CY41)-1))-VALUE(MID(CY41,FIND("-",CY41)+1,10)))))*$D$50),$D$9*(1-(IF($N41="X",ABS($O41-VALUE(MID(CY41,FIND("|",CY41)+1,FIND("-",CY41)-FIND("|",CY41)-1))),ABS($Q41-ABS(VALUE(MID(CY41,FIND("|",CY41)+1,FIND("-",CY41)-FIND("|",CY41)-1))-VALUE(MID(CY41,FIND("-",CY41)+1,10)))))*$D$50)))))*$I41,0)),0)</f>
        <v>0</v>
      </c>
      <c r="DA41" s="338"/>
      <c r="DB41" s="363"/>
      <c r="DC41" s="356" t="n">
        <f aca="false">IFERROR(IF($M41=DB41,($D$8+$D$9+$D$10)*$I41,IF($N41=LEFT(DB41,1),($D$8+MAX(0,IF($D$50=1,$D$9*(1-(ABS($Q41-ABS(VALUE(MID(DB41,FIND("|",DB41)+1,FIND("-",DB41)-FIND("|",DB41)-1))-VALUE(MID(DB41,FIND("-",DB41)+1,10)))))*$D$50),$D$9*(1-(IF($N41="X",ABS($O41-VALUE(MID(DB41,FIND("|",DB41)+1,FIND("-",DB41)-FIND("|",DB41)-1))),ABS($Q41-ABS(VALUE(MID(DB41,FIND("|",DB41)+1,FIND("-",DB41)-FIND("|",DB41)-1))-VALUE(MID(DB41,FIND("-",DB41)+1,10)))))*$D$50)))))*$I41,0)),0)</f>
        <v>0</v>
      </c>
      <c r="DD41" s="338"/>
      <c r="DE41" s="363"/>
      <c r="DF41" s="356" t="n">
        <f aca="false">IFERROR(IF($M41=DE41,($D$8+$D$9+$D$10)*$I41,IF($N41=LEFT(DE41,1),($D$8+MAX(0,IF($D$50=1,$D$9*(1-(ABS($Q41-ABS(VALUE(MID(DE41,FIND("|",DE41)+1,FIND("-",DE41)-FIND("|",DE41)-1))-VALUE(MID(DE41,FIND("-",DE41)+1,10)))))*$D$50),$D$9*(1-(IF($N41="X",ABS($O41-VALUE(MID(DE41,FIND("|",DE41)+1,FIND("-",DE41)-FIND("|",DE41)-1))),ABS($Q41-ABS(VALUE(MID(DE41,FIND("|",DE41)+1,FIND("-",DE41)-FIND("|",DE41)-1))-VALUE(MID(DE41,FIND("-",DE41)+1,10)))))*$D$50)))))*$I41,0)),0)</f>
        <v>0</v>
      </c>
      <c r="DG41" s="338"/>
      <c r="DH41" s="363"/>
      <c r="DI41" s="356" t="n">
        <f aca="false">IFERROR(IF($M41=DH41,($D$8+$D$9+$D$10)*$I41,IF($N41=LEFT(DH41,1),($D$8+MAX(0,IF($D$50=1,$D$9*(1-(ABS($Q41-ABS(VALUE(MID(DH41,FIND("|",DH41)+1,FIND("-",DH41)-FIND("|",DH41)-1))-VALUE(MID(DH41,FIND("-",DH41)+1,10)))))*$D$50),$D$9*(1-(IF($N41="X",ABS($O41-VALUE(MID(DH41,FIND("|",DH41)+1,FIND("-",DH41)-FIND("|",DH41)-1))),ABS($Q41-ABS(VALUE(MID(DH41,FIND("|",DH41)+1,FIND("-",DH41)-FIND("|",DH41)-1))-VALUE(MID(DH41,FIND("-",DH41)+1,10)))))*$D$50)))))*$I41,0)),0)</f>
        <v>0</v>
      </c>
      <c r="DJ41" s="338"/>
      <c r="DK41" s="363"/>
      <c r="DL41" s="356" t="n">
        <f aca="false">IFERROR(IF($M41=DK41,($D$8+$D$9+$D$10)*$I41,IF($N41=LEFT(DK41,1),($D$8+MAX(0,IF($D$50=1,$D$9*(1-(ABS($Q41-ABS(VALUE(MID(DK41,FIND("|",DK41)+1,FIND("-",DK41)-FIND("|",DK41)-1))-VALUE(MID(DK41,FIND("-",DK41)+1,10)))))*$D$50),$D$9*(1-(IF($N41="X",ABS($O41-VALUE(MID(DK41,FIND("|",DK41)+1,FIND("-",DK41)-FIND("|",DK41)-1))),ABS($Q41-ABS(VALUE(MID(DK41,FIND("|",DK41)+1,FIND("-",DK41)-FIND("|",DK41)-1))-VALUE(MID(DK41,FIND("-",DK41)+1,10)))))*$D$50)))))*$I41,0)),0)</f>
        <v>0</v>
      </c>
      <c r="DM41" s="338"/>
      <c r="DN41" s="363"/>
      <c r="DO41" s="356" t="n">
        <f aca="false">IFERROR(IF($M41=DN41,($D$8+$D$9+$D$10)*$I41,IF($N41=LEFT(DN41,1),($D$8+MAX(0,IF($D$50=1,$D$9*(1-(ABS($Q41-ABS(VALUE(MID(DN41,FIND("|",DN41)+1,FIND("-",DN41)-FIND("|",DN41)-1))-VALUE(MID(DN41,FIND("-",DN41)+1,10)))))*$D$50),$D$9*(1-(IF($N41="X",ABS($O41-VALUE(MID(DN41,FIND("|",DN41)+1,FIND("-",DN41)-FIND("|",DN41)-1))),ABS($Q41-ABS(VALUE(MID(DN41,FIND("|",DN41)+1,FIND("-",DN41)-FIND("|",DN41)-1))-VALUE(MID(DN41,FIND("-",DN41)+1,10)))))*$D$50)))))*$I41,0)),0)</f>
        <v>0</v>
      </c>
      <c r="DP41" s="338"/>
      <c r="DQ41" s="363"/>
      <c r="DR41" s="356" t="n">
        <f aca="false">IFERROR(IF($M41=DQ41,($D$8+$D$9+$D$10)*$I41,IF($N41=LEFT(DQ41,1),($D$8+MAX(0,IF($D$50=1,$D$9*(1-(ABS($Q41-ABS(VALUE(MID(DQ41,FIND("|",DQ41)+1,FIND("-",DQ41)-FIND("|",DQ41)-1))-VALUE(MID(DQ41,FIND("-",DQ41)+1,10)))))*$D$50),$D$9*(1-(IF($N41="X",ABS($O41-VALUE(MID(DQ41,FIND("|",DQ41)+1,FIND("-",DQ41)-FIND("|",DQ41)-1))),ABS($Q41-ABS(VALUE(MID(DQ41,FIND("|",DQ41)+1,FIND("-",DQ41)-FIND("|",DQ41)-1))-VALUE(MID(DQ41,FIND("-",DQ41)+1,10)))))*$D$50)))))*$I41,0)),0)</f>
        <v>0</v>
      </c>
      <c r="DS41" s="338"/>
      <c r="DT41" s="363"/>
      <c r="DU41" s="356" t="n">
        <f aca="false">IFERROR(IF($M41=DT41,($D$8+$D$9+$D$10)*$I41,IF($N41=LEFT(DT41,1),($D$8+MAX(0,IF($D$50=1,$D$9*(1-(ABS($Q41-ABS(VALUE(MID(DT41,FIND("|",DT41)+1,FIND("-",DT41)-FIND("|",DT41)-1))-VALUE(MID(DT41,FIND("-",DT41)+1,10)))))*$D$50),$D$9*(1-(IF($N41="X",ABS($O41-VALUE(MID(DT41,FIND("|",DT41)+1,FIND("-",DT41)-FIND("|",DT41)-1))),ABS($Q41-ABS(VALUE(MID(DT41,FIND("|",DT41)+1,FIND("-",DT41)-FIND("|",DT41)-1))-VALUE(MID(DT41,FIND("-",DT41)+1,10)))))*$D$50)))))*$I41,0)),0)</f>
        <v>0</v>
      </c>
      <c r="DV41" s="338"/>
      <c r="DW41" s="363"/>
      <c r="DX41" s="356" t="n">
        <f aca="false">IFERROR(IF($M41=DW41,($D$8+$D$9+$D$10)*$I41,IF($N41=LEFT(DW41,1),($D$8+MAX(0,IF($D$50=1,$D$9*(1-(ABS($Q41-ABS(VALUE(MID(DW41,FIND("|",DW41)+1,FIND("-",DW41)-FIND("|",DW41)-1))-VALUE(MID(DW41,FIND("-",DW41)+1,10)))))*$D$50),$D$9*(1-(IF($N41="X",ABS($O41-VALUE(MID(DW41,FIND("|",DW41)+1,FIND("-",DW41)-FIND("|",DW41)-1))),ABS($Q41-ABS(VALUE(MID(DW41,FIND("|",DW41)+1,FIND("-",DW41)-FIND("|",DW41)-1))-VALUE(MID(DW41,FIND("-",DW41)+1,10)))))*$D$50)))))*$I41,0)),0)</f>
        <v>0</v>
      </c>
      <c r="DY41" s="338"/>
      <c r="DZ41" s="363"/>
      <c r="EA41" s="356" t="n">
        <f aca="false">IFERROR(IF($M41=DZ41,($D$8+$D$9+$D$10)*$I41,IF($N41=LEFT(DZ41,1),($D$8+MAX(0,IF($D$50=1,$D$9*(1-(ABS($Q41-ABS(VALUE(MID(DZ41,FIND("|",DZ41)+1,FIND("-",DZ41)-FIND("|",DZ41)-1))-VALUE(MID(DZ41,FIND("-",DZ41)+1,10)))))*$D$50),$D$9*(1-(IF($N41="X",ABS($O41-VALUE(MID(DZ41,FIND("|",DZ41)+1,FIND("-",DZ41)-FIND("|",DZ41)-1))),ABS($Q41-ABS(VALUE(MID(DZ41,FIND("|",DZ41)+1,FIND("-",DZ41)-FIND("|",DZ41)-1))-VALUE(MID(DZ41,FIND("-",DZ41)+1,10)))))*$D$50)))))*$I41,0)),0)</f>
        <v>0</v>
      </c>
      <c r="EB41" s="338"/>
      <c r="EC41" s="363"/>
      <c r="ED41" s="356" t="n">
        <f aca="false">IFERROR(IF($M41=EC41,($D$8+$D$9+$D$10)*$I41,IF($N41=LEFT(EC41,1),($D$8+MAX(0,IF($D$50=1,$D$9*(1-(ABS($Q41-ABS(VALUE(MID(EC41,FIND("|",EC41)+1,FIND("-",EC41)-FIND("|",EC41)-1))-VALUE(MID(EC41,FIND("-",EC41)+1,10)))))*$D$50),$D$9*(1-(IF($N41="X",ABS($O41-VALUE(MID(EC41,FIND("|",EC41)+1,FIND("-",EC41)-FIND("|",EC41)-1))),ABS($Q41-ABS(VALUE(MID(EC41,FIND("|",EC41)+1,FIND("-",EC41)-FIND("|",EC41)-1))-VALUE(MID(EC41,FIND("-",EC41)+1,10)))))*$D$50)))))*$I41,0)),0)</f>
        <v>0</v>
      </c>
      <c r="EE41" s="338"/>
      <c r="EF41" s="363"/>
      <c r="EG41" s="356" t="n">
        <f aca="false">IFERROR(IF($M41=EF41,($D$8+$D$9+$D$10)*$I41,IF($N41=LEFT(EF41,1),($D$8+MAX(0,IF($D$50=1,$D$9*(1-(ABS($Q41-ABS(VALUE(MID(EF41,FIND("|",EF41)+1,FIND("-",EF41)-FIND("|",EF41)-1))-VALUE(MID(EF41,FIND("-",EF41)+1,10)))))*$D$50),$D$9*(1-(IF($N41="X",ABS($O41-VALUE(MID(EF41,FIND("|",EF41)+1,FIND("-",EF41)-FIND("|",EF41)-1))),ABS($Q41-ABS(VALUE(MID(EF41,FIND("|",EF41)+1,FIND("-",EF41)-FIND("|",EF41)-1))-VALUE(MID(EF41,FIND("-",EF41)+1,10)))))*$D$50)))))*$I41,0)),0)</f>
        <v>0</v>
      </c>
      <c r="EH41" s="338"/>
      <c r="EI41" s="338"/>
    </row>
    <row r="42" customFormat="false" ht="15" hidden="false" customHeight="false" outlineLevel="0" collapsed="false">
      <c r="A42" s="327"/>
      <c r="B42" s="327"/>
      <c r="C42" s="360" t="str">
        <f aca="false">Idiomas!D338</f>
        <v>Bota de Oro  (máximo goleador)</v>
      </c>
      <c r="D42" s="361" t="n">
        <v>20</v>
      </c>
      <c r="E42" s="334"/>
      <c r="F42" s="343" t="n">
        <f aca="false">SUM($D$8:$D$10)*I42</f>
        <v>17</v>
      </c>
      <c r="G42" s="343" t="n">
        <f aca="false">VLOOKUP(H42,Equipos!$Q$1:$R$25,2,0)</f>
        <v>11</v>
      </c>
      <c r="H42" s="351" t="n">
        <f aca="false">TRUNC(INDEX(WORLDCUP!$X$4:$X$147,MATCH(ADMIN!K42,WORLDCUP!$DT$4:$DT$147,0))+INDEX(Horarios!$R$3:$R$86,MATCH(Horarios!$C$3,Horarios!$P$3:$P$86,0))/24)</f>
        <v>46194</v>
      </c>
      <c r="I42" s="352" t="n">
        <v>1</v>
      </c>
      <c r="J42" s="353" t="s">
        <v>305</v>
      </c>
      <c r="K42" s="354" t="str">
        <f aca="false">CONCATENATE(WORLDCUP!AA54,"-",WORLDCUP!AF54)</f>
        <v>Bélgica-Irán</v>
      </c>
      <c r="L42" s="354"/>
      <c r="M42" s="359" t="str">
        <f aca="false">IF(OR(WORLDCUP!AC54="",WORLDCUP!AD54=""),"-",N42&amp;"|"&amp;O42&amp;"-"&amp;P42)</f>
        <v>-</v>
      </c>
      <c r="N42" s="332" t="str">
        <f aca="false">IF(OR(WORLDCUP!AC54="",WORLDCUP!AD54=""),"",IF(WORLDCUP!AC54&gt;WORLDCUP!AD54,"1",IF(WORLDCUP!AC54&lt;WORLDCUP!AD54,"2","X")))</f>
        <v/>
      </c>
      <c r="O42" s="332" t="n">
        <f aca="false">WORLDCUP!AC54</f>
        <v>0</v>
      </c>
      <c r="P42" s="332" t="n">
        <f aca="false">WORLDCUP!AD54</f>
        <v>0</v>
      </c>
      <c r="Q42" s="332" t="n">
        <f aca="false">ABS(O42-P42)</f>
        <v>0</v>
      </c>
      <c r="R42" s="327"/>
      <c r="S42" s="370" t="s">
        <v>288</v>
      </c>
      <c r="T42" s="371" t="n">
        <f aca="false">IFERROR(IF($M42=S42,($D$8+$D$9+$D$10)*$I42,IF($N42=LEFT(S42,1),($D$8+MAX(0,IF($D$50=1,$D$9*(1-(ABS($Q42-ABS(VALUE(MID(S42,FIND("|",S42)+1,FIND("-",S42)-FIND("|",S42)-1))-VALUE(MID(S42,FIND("-",S42)+1,10)))))*$D$50),$D$9*(1-(IF($N42="X",ABS($O42-VALUE(MID(S42,FIND("|",S42)+1,FIND("-",S42)-FIND("|",S42)-1))),ABS($Q42-ABS(VALUE(MID(S42,FIND("|",S42)+1,FIND("-",S42)-FIND("|",S42)-1))-VALUE(MID(S42,FIND("-",S42)+1,10)))))*$D$50)))))*$I42,0)),0)</f>
        <v>0</v>
      </c>
      <c r="U42" s="338"/>
      <c r="V42" s="370" t="s">
        <v>264</v>
      </c>
      <c r="W42" s="371" t="n">
        <f aca="false">IFERROR(IF($M42=V42,($D$8+$D$9+$D$10)*$I42,IF($N42=LEFT(V42,1),($D$8+MAX(0,IF($D$50=1,$D$9*(1-(ABS($Q42-ABS(VALUE(MID(V42,FIND("|",V42)+1,FIND("-",V42)-FIND("|",V42)-1))-VALUE(MID(V42,FIND("-",V42)+1,10)))))*$D$50),$D$9*(1-(IF($N42="X",ABS($O42-VALUE(MID(V42,FIND("|",V42)+1,FIND("-",V42)-FIND("|",V42)-1))),ABS($Q42-ABS(VALUE(MID(V42,FIND("|",V42)+1,FIND("-",V42)-FIND("|",V42)-1))-VALUE(MID(V42,FIND("-",V42)+1,10)))))*$D$50)))))*$I42,0)),0)</f>
        <v>0</v>
      </c>
      <c r="X42" s="338"/>
      <c r="Y42" s="370" t="s">
        <v>266</v>
      </c>
      <c r="Z42" s="371" t="n">
        <f aca="false">IFERROR(IF($M42=Y42,($D$8+$D$9+$D$10)*$I42,IF($N42=LEFT(Y42,1),($D$8+MAX(0,IF($D$50=1,$D$9*(1-(ABS($Q42-ABS(VALUE(MID(Y42,FIND("|",Y42)+1,FIND("-",Y42)-FIND("|",Y42)-1))-VALUE(MID(Y42,FIND("-",Y42)+1,10)))))*$D$50),$D$9*(1-(IF($N42="X",ABS($O42-VALUE(MID(Y42,FIND("|",Y42)+1,FIND("-",Y42)-FIND("|",Y42)-1))),ABS($Q42-ABS(VALUE(MID(Y42,FIND("|",Y42)+1,FIND("-",Y42)-FIND("|",Y42)-1))-VALUE(MID(Y42,FIND("-",Y42)+1,10)))))*$D$50)))))*$I42,0)),0)</f>
        <v>0</v>
      </c>
      <c r="AA42" s="338"/>
      <c r="AB42" s="370" t="s">
        <v>267</v>
      </c>
      <c r="AC42" s="371" t="n">
        <f aca="false">IFERROR(IF($M42=AB42,($D$8+$D$9+$D$10)*$I42,IF($N42=LEFT(AB42,1),($D$8+MAX(0,IF($D$50=1,$D$9*(1-(ABS($Q42-ABS(VALUE(MID(AB42,FIND("|",AB42)+1,FIND("-",AB42)-FIND("|",AB42)-1))-VALUE(MID(AB42,FIND("-",AB42)+1,10)))))*$D$50),$D$9*(1-(IF($N42="X",ABS($O42-VALUE(MID(AB42,FIND("|",AB42)+1,FIND("-",AB42)-FIND("|",AB42)-1))),ABS($Q42-ABS(VALUE(MID(AB42,FIND("|",AB42)+1,FIND("-",AB42)-FIND("|",AB42)-1))-VALUE(MID(AB42,FIND("-",AB42)+1,10)))))*$D$50)))))*$I42,0)),0)</f>
        <v>0</v>
      </c>
      <c r="AD42" s="338"/>
      <c r="AE42" s="370" t="s">
        <v>272</v>
      </c>
      <c r="AF42" s="371" t="n">
        <f aca="false">IFERROR(IF($M42=AE42,($D$8+$D$9+$D$10)*$I42,IF($N42=LEFT(AE42,1),($D$8+MAX(0,IF($D$50=1,$D$9*(1-(ABS($Q42-ABS(VALUE(MID(AE42,FIND("|",AE42)+1,FIND("-",AE42)-FIND("|",AE42)-1))-VALUE(MID(AE42,FIND("-",AE42)+1,10)))))*$D$50),$D$9*(1-(IF($N42="X",ABS($O42-VALUE(MID(AE42,FIND("|",AE42)+1,FIND("-",AE42)-FIND("|",AE42)-1))),ABS($Q42-ABS(VALUE(MID(AE42,FIND("|",AE42)+1,FIND("-",AE42)-FIND("|",AE42)-1))-VALUE(MID(AE42,FIND("-",AE42)+1,10)))))*$D$50)))))*$I42,0)),0)</f>
        <v>0</v>
      </c>
      <c r="AG42" s="338"/>
      <c r="AH42" s="370" t="s">
        <v>272</v>
      </c>
      <c r="AI42" s="371" t="n">
        <f aca="false">IFERROR(IF($M42=AH42,($D$8+$D$9+$D$10)*$I42,IF($N42=LEFT(AH42,1),($D$8+MAX(0,IF($D$50=1,$D$9*(1-(ABS($Q42-ABS(VALUE(MID(AH42,FIND("|",AH42)+1,FIND("-",AH42)-FIND("|",AH42)-1))-VALUE(MID(AH42,FIND("-",AH42)+1,10)))))*$D$50),$D$9*(1-(IF($N42="X",ABS($O42-VALUE(MID(AH42,FIND("|",AH42)+1,FIND("-",AH42)-FIND("|",AH42)-1))),ABS($Q42-ABS(VALUE(MID(AH42,FIND("|",AH42)+1,FIND("-",AH42)-FIND("|",AH42)-1))-VALUE(MID(AH42,FIND("-",AH42)+1,10)))))*$D$50)))))*$I42,0)),0)</f>
        <v>0</v>
      </c>
      <c r="AJ42" s="338"/>
      <c r="AK42" s="370" t="s">
        <v>267</v>
      </c>
      <c r="AL42" s="371" t="n">
        <f aca="false">IFERROR(IF($M42=AK42,($D$8+$D$9+$D$10)*$I42,IF($N42=LEFT(AK42,1),($D$8+MAX(0,IF($D$50=1,$D$9*(1-(ABS($Q42-ABS(VALUE(MID(AK42,FIND("|",AK42)+1,FIND("-",AK42)-FIND("|",AK42)-1))-VALUE(MID(AK42,FIND("-",AK42)+1,10)))))*$D$50),$D$9*(1-(IF($N42="X",ABS($O42-VALUE(MID(AK42,FIND("|",AK42)+1,FIND("-",AK42)-FIND("|",AK42)-1))),ABS($Q42-ABS(VALUE(MID(AK42,FIND("|",AK42)+1,FIND("-",AK42)-FIND("|",AK42)-1))-VALUE(MID(AK42,FIND("-",AK42)+1,10)))))*$D$50)))))*$I42,0)),0)</f>
        <v>0</v>
      </c>
      <c r="AM42" s="338"/>
      <c r="AN42" s="370" t="s">
        <v>264</v>
      </c>
      <c r="AO42" s="371" t="n">
        <f aca="false">IFERROR(IF($M42=AN42,($D$8+$D$9+$D$10)*$I42,IF($N42=LEFT(AN42,1),($D$8+MAX(0,IF($D$50=1,$D$9*(1-(ABS($Q42-ABS(VALUE(MID(AN42,FIND("|",AN42)+1,FIND("-",AN42)-FIND("|",AN42)-1))-VALUE(MID(AN42,FIND("-",AN42)+1,10)))))*$D$50),$D$9*(1-(IF($N42="X",ABS($O42-VALUE(MID(AN42,FIND("|",AN42)+1,FIND("-",AN42)-FIND("|",AN42)-1))),ABS($Q42-ABS(VALUE(MID(AN42,FIND("|",AN42)+1,FIND("-",AN42)-FIND("|",AN42)-1))-VALUE(MID(AN42,FIND("-",AN42)+1,10)))))*$D$50)))))*$I42,0)),0)</f>
        <v>0</v>
      </c>
      <c r="AP42" s="338"/>
      <c r="AQ42" s="370" t="s">
        <v>283</v>
      </c>
      <c r="AR42" s="371" t="n">
        <f aca="false">IFERROR(IF($M42=AQ42,($D$8+$D$9+$D$10)*$I42,IF($N42=LEFT(AQ42,1),($D$8+MAX(0,IF($D$50=1,$D$9*(1-(ABS($Q42-ABS(VALUE(MID(AQ42,FIND("|",AQ42)+1,FIND("-",AQ42)-FIND("|",AQ42)-1))-VALUE(MID(AQ42,FIND("-",AQ42)+1,10)))))*$D$50),$D$9*(1-(IF($N42="X",ABS($O42-VALUE(MID(AQ42,FIND("|",AQ42)+1,FIND("-",AQ42)-FIND("|",AQ42)-1))),ABS($Q42-ABS(VALUE(MID(AQ42,FIND("|",AQ42)+1,FIND("-",AQ42)-FIND("|",AQ42)-1))-VALUE(MID(AQ42,FIND("-",AQ42)+1,10)))))*$D$50)))))*$I42,0)),0)</f>
        <v>0</v>
      </c>
      <c r="AS42" s="338"/>
      <c r="AT42" s="370" t="s">
        <v>288</v>
      </c>
      <c r="AU42" s="371" t="n">
        <f aca="false">IFERROR(IF($M42=AT42,($D$8+$D$9+$D$10)*$I42,IF($N42=LEFT(AT42,1),($D$8+MAX(0,IF($D$50=1,$D$9*(1-(ABS($Q42-ABS(VALUE(MID(AT42,FIND("|",AT42)+1,FIND("-",AT42)-FIND("|",AT42)-1))-VALUE(MID(AT42,FIND("-",AT42)+1,10)))))*$D$50),$D$9*(1-(IF($N42="X",ABS($O42-VALUE(MID(AT42,FIND("|",AT42)+1,FIND("-",AT42)-FIND("|",AT42)-1))),ABS($Q42-ABS(VALUE(MID(AT42,FIND("|",AT42)+1,FIND("-",AT42)-FIND("|",AT42)-1))-VALUE(MID(AT42,FIND("-",AT42)+1,10)))))*$D$50)))))*$I42,0)),0)</f>
        <v>0</v>
      </c>
      <c r="AV42" s="338"/>
      <c r="AW42" s="370" t="s">
        <v>266</v>
      </c>
      <c r="AX42" s="371" t="n">
        <f aca="false">IFERROR(IF($M42=AW42,($D$8+$D$9+$D$10)*$I42,IF($N42=LEFT(AW42,1),($D$8+MAX(0,IF($D$50=1,$D$9*(1-(ABS($Q42-ABS(VALUE(MID(AW42,FIND("|",AW42)+1,FIND("-",AW42)-FIND("|",AW42)-1))-VALUE(MID(AW42,FIND("-",AW42)+1,10)))))*$D$50),$D$9*(1-(IF($N42="X",ABS($O42-VALUE(MID(AW42,FIND("|",AW42)+1,FIND("-",AW42)-FIND("|",AW42)-1))),ABS($Q42-ABS(VALUE(MID(AW42,FIND("|",AW42)+1,FIND("-",AW42)-FIND("|",AW42)-1))-VALUE(MID(AW42,FIND("-",AW42)+1,10)))))*$D$50)))))*$I42,0)),0)</f>
        <v>0</v>
      </c>
      <c r="AY42" s="338"/>
      <c r="AZ42" s="370" t="s">
        <v>266</v>
      </c>
      <c r="BA42" s="371" t="n">
        <f aca="false">IFERROR(IF($M42=AZ42,($D$8+$D$9+$D$10)*$I42,IF($N42=LEFT(AZ42,1),($D$8+MAX(0,IF($D$50=1,$D$9*(1-(ABS($Q42-ABS(VALUE(MID(AZ42,FIND("|",AZ42)+1,FIND("-",AZ42)-FIND("|",AZ42)-1))-VALUE(MID(AZ42,FIND("-",AZ42)+1,10)))))*$D$50),$D$9*(1-(IF($N42="X",ABS($O42-VALUE(MID(AZ42,FIND("|",AZ42)+1,FIND("-",AZ42)-FIND("|",AZ42)-1))),ABS($Q42-ABS(VALUE(MID(AZ42,FIND("|",AZ42)+1,FIND("-",AZ42)-FIND("|",AZ42)-1))-VALUE(MID(AZ42,FIND("-",AZ42)+1,10)))))*$D$50)))))*$I42,0)),0)</f>
        <v>0</v>
      </c>
      <c r="BB42" s="338"/>
      <c r="BC42" s="370" t="s">
        <v>272</v>
      </c>
      <c r="BD42" s="371" t="n">
        <f aca="false">IFERROR(IF($M42=BC42,($D$8+$D$9+$D$10)*$I42,IF($N42=LEFT(BC42,1),($D$8+MAX(0,IF($D$50=1,$D$9*(1-(ABS($Q42-ABS(VALUE(MID(BC42,FIND("|",BC42)+1,FIND("-",BC42)-FIND("|",BC42)-1))-VALUE(MID(BC42,FIND("-",BC42)+1,10)))))*$D$50),$D$9*(1-(IF($N42="X",ABS($O42-VALUE(MID(BC42,FIND("|",BC42)+1,FIND("-",BC42)-FIND("|",BC42)-1))),ABS($Q42-ABS(VALUE(MID(BC42,FIND("|",BC42)+1,FIND("-",BC42)-FIND("|",BC42)-1))-VALUE(MID(BC42,FIND("-",BC42)+1,10)))))*$D$50)))))*$I42,0)),0)</f>
        <v>0</v>
      </c>
      <c r="BE42" s="338"/>
      <c r="BF42" s="370" t="s">
        <v>266</v>
      </c>
      <c r="BG42" s="371" t="n">
        <f aca="false">IFERROR(IF($M42=BF42,($D$8+$D$9+$D$10)*$I42,IF($N42=LEFT(BF42,1),($D$8+MAX(0,IF($D$50=1,$D$9*(1-(ABS($Q42-ABS(VALUE(MID(BF42,FIND("|",BF42)+1,FIND("-",BF42)-FIND("|",BF42)-1))-VALUE(MID(BF42,FIND("-",BF42)+1,10)))))*$D$50),$D$9*(1-(IF($N42="X",ABS($O42-VALUE(MID(BF42,FIND("|",BF42)+1,FIND("-",BF42)-FIND("|",BF42)-1))),ABS($Q42-ABS(VALUE(MID(BF42,FIND("|",BF42)+1,FIND("-",BF42)-FIND("|",BF42)-1))-VALUE(MID(BF42,FIND("-",BF42)+1,10)))))*$D$50)))))*$I42,0)),0)</f>
        <v>0</v>
      </c>
      <c r="BH42" s="338"/>
      <c r="BI42" s="370" t="s">
        <v>265</v>
      </c>
      <c r="BJ42" s="371" t="n">
        <f aca="false">IFERROR(IF($M42=BI42,($D$8+$D$9+$D$10)*$I42,IF($N42=LEFT(BI42,1),($D$8+MAX(0,IF($D$50=1,$D$9*(1-(ABS($Q42-ABS(VALUE(MID(BI42,FIND("|",BI42)+1,FIND("-",BI42)-FIND("|",BI42)-1))-VALUE(MID(BI42,FIND("-",BI42)+1,10)))))*$D$50),$D$9*(1-(IF($N42="X",ABS($O42-VALUE(MID(BI42,FIND("|",BI42)+1,FIND("-",BI42)-FIND("|",BI42)-1))),ABS($Q42-ABS(VALUE(MID(BI42,FIND("|",BI42)+1,FIND("-",BI42)-FIND("|",BI42)-1))-VALUE(MID(BI42,FIND("-",BI42)+1,10)))))*$D$50)))))*$I42,0)),0)</f>
        <v>0</v>
      </c>
      <c r="BK42" s="338"/>
      <c r="BL42" s="370" t="s">
        <v>288</v>
      </c>
      <c r="BM42" s="371" t="n">
        <f aca="false">IFERROR(IF($M42=BL42,($D$8+$D$9+$D$10)*$I42,IF($N42=LEFT(BL42,1),($D$8+MAX(0,IF($D$50=1,$D$9*(1-(ABS($Q42-ABS(VALUE(MID(BL42,FIND("|",BL42)+1,FIND("-",BL42)-FIND("|",BL42)-1))-VALUE(MID(BL42,FIND("-",BL42)+1,10)))))*$D$50),$D$9*(1-(IF($N42="X",ABS($O42-VALUE(MID(BL42,FIND("|",BL42)+1,FIND("-",BL42)-FIND("|",BL42)-1))),ABS($Q42-ABS(VALUE(MID(BL42,FIND("|",BL42)+1,FIND("-",BL42)-FIND("|",BL42)-1))-VALUE(MID(BL42,FIND("-",BL42)+1,10)))))*$D$50)))))*$I42,0)),0)</f>
        <v>0</v>
      </c>
      <c r="BN42" s="338"/>
      <c r="BO42" s="370" t="s">
        <v>279</v>
      </c>
      <c r="BP42" s="371" t="n">
        <f aca="false">IFERROR(IF($M42=BO42,($D$8+$D$9+$D$10)*$I42,IF($N42=LEFT(BO42,1),($D$8+MAX(0,IF($D$50=1,$D$9*(1-(ABS($Q42-ABS(VALUE(MID(BO42,FIND("|",BO42)+1,FIND("-",BO42)-FIND("|",BO42)-1))-VALUE(MID(BO42,FIND("-",BO42)+1,10)))))*$D$50),$D$9*(1-(IF($N42="X",ABS($O42-VALUE(MID(BO42,FIND("|",BO42)+1,FIND("-",BO42)-FIND("|",BO42)-1))),ABS($Q42-ABS(VALUE(MID(BO42,FIND("|",BO42)+1,FIND("-",BO42)-FIND("|",BO42)-1))-VALUE(MID(BO42,FIND("-",BO42)+1,10)))))*$D$50)))))*$I42,0)),0)</f>
        <v>0</v>
      </c>
      <c r="BQ42" s="338"/>
      <c r="BR42" s="370" t="s">
        <v>265</v>
      </c>
      <c r="BS42" s="371" t="n">
        <f aca="false">IFERROR(IF($M42=BR42,($D$8+$D$9+$D$10)*$I42,IF($N42=LEFT(BR42,1),($D$8+MAX(0,IF($D$50=1,$D$9*(1-(ABS($Q42-ABS(VALUE(MID(BR42,FIND("|",BR42)+1,FIND("-",BR42)-FIND("|",BR42)-1))-VALUE(MID(BR42,FIND("-",BR42)+1,10)))))*$D$50),$D$9*(1-(IF($N42="X",ABS($O42-VALUE(MID(BR42,FIND("|",BR42)+1,FIND("-",BR42)-FIND("|",BR42)-1))),ABS($Q42-ABS(VALUE(MID(BR42,FIND("|",BR42)+1,FIND("-",BR42)-FIND("|",BR42)-1))-VALUE(MID(BR42,FIND("-",BR42)+1,10)))))*$D$50)))))*$I42,0)),0)</f>
        <v>0</v>
      </c>
      <c r="BT42" s="338"/>
      <c r="BU42" s="370"/>
      <c r="BV42" s="371" t="n">
        <f aca="false">IFERROR(IF($M42=BU42,($D$8+$D$9+$D$10)*$I42,IF($N42=LEFT(BU42,1),($D$8+MAX(0,IF($D$50=1,$D$9*(1-(ABS($Q42-ABS(VALUE(MID(BU42,FIND("|",BU42)+1,FIND("-",BU42)-FIND("|",BU42)-1))-VALUE(MID(BU42,FIND("-",BU42)+1,10)))))*$D$50),$D$9*(1-(IF($N42="X",ABS($O42-VALUE(MID(BU42,FIND("|",BU42)+1,FIND("-",BU42)-FIND("|",BU42)-1))),ABS($Q42-ABS(VALUE(MID(BU42,FIND("|",BU42)+1,FIND("-",BU42)-FIND("|",BU42)-1))-VALUE(MID(BU42,FIND("-",BU42)+1,10)))))*$D$50)))))*$I42,0)),0)</f>
        <v>0</v>
      </c>
      <c r="BW42" s="338"/>
      <c r="BX42" s="370"/>
      <c r="BY42" s="371" t="n">
        <f aca="false">IFERROR(IF($M42=BX42,($D$8+$D$9+$D$10)*$I42,IF($N42=LEFT(BX42,1),($D$8+MAX(0,IF($D$50=1,$D$9*(1-(ABS($Q42-ABS(VALUE(MID(BX42,FIND("|",BX42)+1,FIND("-",BX42)-FIND("|",BX42)-1))-VALUE(MID(BX42,FIND("-",BX42)+1,10)))))*$D$50),$D$9*(1-(IF($N42="X",ABS($O42-VALUE(MID(BX42,FIND("|",BX42)+1,FIND("-",BX42)-FIND("|",BX42)-1))),ABS($Q42-ABS(VALUE(MID(BX42,FIND("|",BX42)+1,FIND("-",BX42)-FIND("|",BX42)-1))-VALUE(MID(BX42,FIND("-",BX42)+1,10)))))*$D$50)))))*$I42,0)),0)</f>
        <v>0</v>
      </c>
      <c r="BZ42" s="338"/>
      <c r="CA42" s="370"/>
      <c r="CB42" s="371" t="n">
        <f aca="false">IFERROR(IF($M42=CA42,($D$8+$D$9+$D$10)*$I42,IF($N42=LEFT(CA42,1),($D$8+MAX(0,IF($D$50=1,$D$9*(1-(ABS($Q42-ABS(VALUE(MID(CA42,FIND("|",CA42)+1,FIND("-",CA42)-FIND("|",CA42)-1))-VALUE(MID(CA42,FIND("-",CA42)+1,10)))))*$D$50),$D$9*(1-(IF($N42="X",ABS($O42-VALUE(MID(CA42,FIND("|",CA42)+1,FIND("-",CA42)-FIND("|",CA42)-1))),ABS($Q42-ABS(VALUE(MID(CA42,FIND("|",CA42)+1,FIND("-",CA42)-FIND("|",CA42)-1))-VALUE(MID(CA42,FIND("-",CA42)+1,10)))))*$D$50)))))*$I42,0)),0)</f>
        <v>0</v>
      </c>
      <c r="CC42" s="338"/>
      <c r="CD42" s="370"/>
      <c r="CE42" s="371" t="n">
        <f aca="false">IFERROR(IF($M42=CD42,($D$8+$D$9+$D$10)*$I42,IF($N42=LEFT(CD42,1),($D$8+MAX(0,IF($D$50=1,$D$9*(1-(ABS($Q42-ABS(VALUE(MID(CD42,FIND("|",CD42)+1,FIND("-",CD42)-FIND("|",CD42)-1))-VALUE(MID(CD42,FIND("-",CD42)+1,10)))))*$D$50),$D$9*(1-(IF($N42="X",ABS($O42-VALUE(MID(CD42,FIND("|",CD42)+1,FIND("-",CD42)-FIND("|",CD42)-1))),ABS($Q42-ABS(VALUE(MID(CD42,FIND("|",CD42)+1,FIND("-",CD42)-FIND("|",CD42)-1))-VALUE(MID(CD42,FIND("-",CD42)+1,10)))))*$D$50)))))*$I42,0)),0)</f>
        <v>0</v>
      </c>
      <c r="CF42" s="338"/>
      <c r="CG42" s="370"/>
      <c r="CH42" s="371" t="n">
        <f aca="false">IFERROR(IF($M42=CG42,($D$8+$D$9+$D$10)*$I42,IF($N42=LEFT(CG42,1),($D$8+MAX(0,IF($D$50=1,$D$9*(1-(ABS($Q42-ABS(VALUE(MID(CG42,FIND("|",CG42)+1,FIND("-",CG42)-FIND("|",CG42)-1))-VALUE(MID(CG42,FIND("-",CG42)+1,10)))))*$D$50),$D$9*(1-(IF($N42="X",ABS($O42-VALUE(MID(CG42,FIND("|",CG42)+1,FIND("-",CG42)-FIND("|",CG42)-1))),ABS($Q42-ABS(VALUE(MID(CG42,FIND("|",CG42)+1,FIND("-",CG42)-FIND("|",CG42)-1))-VALUE(MID(CG42,FIND("-",CG42)+1,10)))))*$D$50)))))*$I42,0)),0)</f>
        <v>0</v>
      </c>
      <c r="CI42" s="338"/>
      <c r="CJ42" s="370"/>
      <c r="CK42" s="371" t="n">
        <f aca="false">IFERROR(IF($M42=CJ42,($D$8+$D$9+$D$10)*$I42,IF($N42=LEFT(CJ42,1),($D$8+MAX(0,IF($D$50=1,$D$9*(1-(ABS($Q42-ABS(VALUE(MID(CJ42,FIND("|",CJ42)+1,FIND("-",CJ42)-FIND("|",CJ42)-1))-VALUE(MID(CJ42,FIND("-",CJ42)+1,10)))))*$D$50),$D$9*(1-(IF($N42="X",ABS($O42-VALUE(MID(CJ42,FIND("|",CJ42)+1,FIND("-",CJ42)-FIND("|",CJ42)-1))),ABS($Q42-ABS(VALUE(MID(CJ42,FIND("|",CJ42)+1,FIND("-",CJ42)-FIND("|",CJ42)-1))-VALUE(MID(CJ42,FIND("-",CJ42)+1,10)))))*$D$50)))))*$I42,0)),0)</f>
        <v>0</v>
      </c>
      <c r="CL42" s="338"/>
      <c r="CM42" s="370"/>
      <c r="CN42" s="371" t="n">
        <f aca="false">IFERROR(IF($M42=CM42,($D$8+$D$9+$D$10)*$I42,IF($N42=LEFT(CM42,1),($D$8+MAX(0,IF($D$50=1,$D$9*(1-(ABS($Q42-ABS(VALUE(MID(CM42,FIND("|",CM42)+1,FIND("-",CM42)-FIND("|",CM42)-1))-VALUE(MID(CM42,FIND("-",CM42)+1,10)))))*$D$50),$D$9*(1-(IF($N42="X",ABS($O42-VALUE(MID(CM42,FIND("|",CM42)+1,FIND("-",CM42)-FIND("|",CM42)-1))),ABS($Q42-ABS(VALUE(MID(CM42,FIND("|",CM42)+1,FIND("-",CM42)-FIND("|",CM42)-1))-VALUE(MID(CM42,FIND("-",CM42)+1,10)))))*$D$50)))))*$I42,0)),0)</f>
        <v>0</v>
      </c>
      <c r="CO42" s="338"/>
      <c r="CP42" s="370"/>
      <c r="CQ42" s="371" t="n">
        <f aca="false">IFERROR(IF($M42=CP42,($D$8+$D$9+$D$10)*$I42,IF($N42=LEFT(CP42,1),($D$8+MAX(0,IF($D$50=1,$D$9*(1-(ABS($Q42-ABS(VALUE(MID(CP42,FIND("|",CP42)+1,FIND("-",CP42)-FIND("|",CP42)-1))-VALUE(MID(CP42,FIND("-",CP42)+1,10)))))*$D$50),$D$9*(1-(IF($N42="X",ABS($O42-VALUE(MID(CP42,FIND("|",CP42)+1,FIND("-",CP42)-FIND("|",CP42)-1))),ABS($Q42-ABS(VALUE(MID(CP42,FIND("|",CP42)+1,FIND("-",CP42)-FIND("|",CP42)-1))-VALUE(MID(CP42,FIND("-",CP42)+1,10)))))*$D$50)))))*$I42,0)),0)</f>
        <v>0</v>
      </c>
      <c r="CR42" s="338"/>
      <c r="CS42" s="370"/>
      <c r="CT42" s="371" t="n">
        <f aca="false">IFERROR(IF($M42=CS42,($D$8+$D$9+$D$10)*$I42,IF($N42=LEFT(CS42,1),($D$8+MAX(0,IF($D$50=1,$D$9*(1-(ABS($Q42-ABS(VALUE(MID(CS42,FIND("|",CS42)+1,FIND("-",CS42)-FIND("|",CS42)-1))-VALUE(MID(CS42,FIND("-",CS42)+1,10)))))*$D$50),$D$9*(1-(IF($N42="X",ABS($O42-VALUE(MID(CS42,FIND("|",CS42)+1,FIND("-",CS42)-FIND("|",CS42)-1))),ABS($Q42-ABS(VALUE(MID(CS42,FIND("|",CS42)+1,FIND("-",CS42)-FIND("|",CS42)-1))-VALUE(MID(CS42,FIND("-",CS42)+1,10)))))*$D$50)))))*$I42,0)),0)</f>
        <v>0</v>
      </c>
      <c r="CU42" s="338"/>
      <c r="CV42" s="370"/>
      <c r="CW42" s="371" t="n">
        <f aca="false">IFERROR(IF($M42=CV42,($D$8+$D$9+$D$10)*$I42,IF($N42=LEFT(CV42,1),($D$8+MAX(0,IF($D$50=1,$D$9*(1-(ABS($Q42-ABS(VALUE(MID(CV42,FIND("|",CV42)+1,FIND("-",CV42)-FIND("|",CV42)-1))-VALUE(MID(CV42,FIND("-",CV42)+1,10)))))*$D$50),$D$9*(1-(IF($N42="X",ABS($O42-VALUE(MID(CV42,FIND("|",CV42)+1,FIND("-",CV42)-FIND("|",CV42)-1))),ABS($Q42-ABS(VALUE(MID(CV42,FIND("|",CV42)+1,FIND("-",CV42)-FIND("|",CV42)-1))-VALUE(MID(CV42,FIND("-",CV42)+1,10)))))*$D$50)))))*$I42,0)),0)</f>
        <v>0</v>
      </c>
      <c r="CX42" s="338"/>
      <c r="CY42" s="370"/>
      <c r="CZ42" s="371" t="n">
        <f aca="false">IFERROR(IF($M42=CY42,($D$8+$D$9+$D$10)*$I42,IF($N42=LEFT(CY42,1),($D$8+MAX(0,IF($D$50=1,$D$9*(1-(ABS($Q42-ABS(VALUE(MID(CY42,FIND("|",CY42)+1,FIND("-",CY42)-FIND("|",CY42)-1))-VALUE(MID(CY42,FIND("-",CY42)+1,10)))))*$D$50),$D$9*(1-(IF($N42="X",ABS($O42-VALUE(MID(CY42,FIND("|",CY42)+1,FIND("-",CY42)-FIND("|",CY42)-1))),ABS($Q42-ABS(VALUE(MID(CY42,FIND("|",CY42)+1,FIND("-",CY42)-FIND("|",CY42)-1))-VALUE(MID(CY42,FIND("-",CY42)+1,10)))))*$D$50)))))*$I42,0)),0)</f>
        <v>0</v>
      </c>
      <c r="DA42" s="338"/>
      <c r="DB42" s="370"/>
      <c r="DC42" s="371" t="n">
        <f aca="false">IFERROR(IF($M42=DB42,($D$8+$D$9+$D$10)*$I42,IF($N42=LEFT(DB42,1),($D$8+MAX(0,IF($D$50=1,$D$9*(1-(ABS($Q42-ABS(VALUE(MID(DB42,FIND("|",DB42)+1,FIND("-",DB42)-FIND("|",DB42)-1))-VALUE(MID(DB42,FIND("-",DB42)+1,10)))))*$D$50),$D$9*(1-(IF($N42="X",ABS($O42-VALUE(MID(DB42,FIND("|",DB42)+1,FIND("-",DB42)-FIND("|",DB42)-1))),ABS($Q42-ABS(VALUE(MID(DB42,FIND("|",DB42)+1,FIND("-",DB42)-FIND("|",DB42)-1))-VALUE(MID(DB42,FIND("-",DB42)+1,10)))))*$D$50)))))*$I42,0)),0)</f>
        <v>0</v>
      </c>
      <c r="DD42" s="338"/>
      <c r="DE42" s="370"/>
      <c r="DF42" s="371" t="n">
        <f aca="false">IFERROR(IF($M42=DE42,($D$8+$D$9+$D$10)*$I42,IF($N42=LEFT(DE42,1),($D$8+MAX(0,IF($D$50=1,$D$9*(1-(ABS($Q42-ABS(VALUE(MID(DE42,FIND("|",DE42)+1,FIND("-",DE42)-FIND("|",DE42)-1))-VALUE(MID(DE42,FIND("-",DE42)+1,10)))))*$D$50),$D$9*(1-(IF($N42="X",ABS($O42-VALUE(MID(DE42,FIND("|",DE42)+1,FIND("-",DE42)-FIND("|",DE42)-1))),ABS($Q42-ABS(VALUE(MID(DE42,FIND("|",DE42)+1,FIND("-",DE42)-FIND("|",DE42)-1))-VALUE(MID(DE42,FIND("-",DE42)+1,10)))))*$D$50)))))*$I42,0)),0)</f>
        <v>0</v>
      </c>
      <c r="DG42" s="338"/>
      <c r="DH42" s="370"/>
      <c r="DI42" s="371" t="n">
        <f aca="false">IFERROR(IF($M42=DH42,($D$8+$D$9+$D$10)*$I42,IF($N42=LEFT(DH42,1),($D$8+MAX(0,IF($D$50=1,$D$9*(1-(ABS($Q42-ABS(VALUE(MID(DH42,FIND("|",DH42)+1,FIND("-",DH42)-FIND("|",DH42)-1))-VALUE(MID(DH42,FIND("-",DH42)+1,10)))))*$D$50),$D$9*(1-(IF($N42="X",ABS($O42-VALUE(MID(DH42,FIND("|",DH42)+1,FIND("-",DH42)-FIND("|",DH42)-1))),ABS($Q42-ABS(VALUE(MID(DH42,FIND("|",DH42)+1,FIND("-",DH42)-FIND("|",DH42)-1))-VALUE(MID(DH42,FIND("-",DH42)+1,10)))))*$D$50)))))*$I42,0)),0)</f>
        <v>0</v>
      </c>
      <c r="DJ42" s="338"/>
      <c r="DK42" s="370"/>
      <c r="DL42" s="371" t="n">
        <f aca="false">IFERROR(IF($M42=DK42,($D$8+$D$9+$D$10)*$I42,IF($N42=LEFT(DK42,1),($D$8+MAX(0,IF($D$50=1,$D$9*(1-(ABS($Q42-ABS(VALUE(MID(DK42,FIND("|",DK42)+1,FIND("-",DK42)-FIND("|",DK42)-1))-VALUE(MID(DK42,FIND("-",DK42)+1,10)))))*$D$50),$D$9*(1-(IF($N42="X",ABS($O42-VALUE(MID(DK42,FIND("|",DK42)+1,FIND("-",DK42)-FIND("|",DK42)-1))),ABS($Q42-ABS(VALUE(MID(DK42,FIND("|",DK42)+1,FIND("-",DK42)-FIND("|",DK42)-1))-VALUE(MID(DK42,FIND("-",DK42)+1,10)))))*$D$50)))))*$I42,0)),0)</f>
        <v>0</v>
      </c>
      <c r="DM42" s="338"/>
      <c r="DN42" s="370"/>
      <c r="DO42" s="371" t="n">
        <f aca="false">IFERROR(IF($M42=DN42,($D$8+$D$9+$D$10)*$I42,IF($N42=LEFT(DN42,1),($D$8+MAX(0,IF($D$50=1,$D$9*(1-(ABS($Q42-ABS(VALUE(MID(DN42,FIND("|",DN42)+1,FIND("-",DN42)-FIND("|",DN42)-1))-VALUE(MID(DN42,FIND("-",DN42)+1,10)))))*$D$50),$D$9*(1-(IF($N42="X",ABS($O42-VALUE(MID(DN42,FIND("|",DN42)+1,FIND("-",DN42)-FIND("|",DN42)-1))),ABS($Q42-ABS(VALUE(MID(DN42,FIND("|",DN42)+1,FIND("-",DN42)-FIND("|",DN42)-1))-VALUE(MID(DN42,FIND("-",DN42)+1,10)))))*$D$50)))))*$I42,0)),0)</f>
        <v>0</v>
      </c>
      <c r="DP42" s="338"/>
      <c r="DQ42" s="370"/>
      <c r="DR42" s="371" t="n">
        <f aca="false">IFERROR(IF($M42=DQ42,($D$8+$D$9+$D$10)*$I42,IF($N42=LEFT(DQ42,1),($D$8+MAX(0,IF($D$50=1,$D$9*(1-(ABS($Q42-ABS(VALUE(MID(DQ42,FIND("|",DQ42)+1,FIND("-",DQ42)-FIND("|",DQ42)-1))-VALUE(MID(DQ42,FIND("-",DQ42)+1,10)))))*$D$50),$D$9*(1-(IF($N42="X",ABS($O42-VALUE(MID(DQ42,FIND("|",DQ42)+1,FIND("-",DQ42)-FIND("|",DQ42)-1))),ABS($Q42-ABS(VALUE(MID(DQ42,FIND("|",DQ42)+1,FIND("-",DQ42)-FIND("|",DQ42)-1))-VALUE(MID(DQ42,FIND("-",DQ42)+1,10)))))*$D$50)))))*$I42,0)),0)</f>
        <v>0</v>
      </c>
      <c r="DS42" s="338"/>
      <c r="DT42" s="370"/>
      <c r="DU42" s="371" t="n">
        <f aca="false">IFERROR(IF($M42=DT42,($D$8+$D$9+$D$10)*$I42,IF($N42=LEFT(DT42,1),($D$8+MAX(0,IF($D$50=1,$D$9*(1-(ABS($Q42-ABS(VALUE(MID(DT42,FIND("|",DT42)+1,FIND("-",DT42)-FIND("|",DT42)-1))-VALUE(MID(DT42,FIND("-",DT42)+1,10)))))*$D$50),$D$9*(1-(IF($N42="X",ABS($O42-VALUE(MID(DT42,FIND("|",DT42)+1,FIND("-",DT42)-FIND("|",DT42)-1))),ABS($Q42-ABS(VALUE(MID(DT42,FIND("|",DT42)+1,FIND("-",DT42)-FIND("|",DT42)-1))-VALUE(MID(DT42,FIND("-",DT42)+1,10)))))*$D$50)))))*$I42,0)),0)</f>
        <v>0</v>
      </c>
      <c r="DV42" s="338"/>
      <c r="DW42" s="370"/>
      <c r="DX42" s="371" t="n">
        <f aca="false">IFERROR(IF($M42=DW42,($D$8+$D$9+$D$10)*$I42,IF($N42=LEFT(DW42,1),($D$8+MAX(0,IF($D$50=1,$D$9*(1-(ABS($Q42-ABS(VALUE(MID(DW42,FIND("|",DW42)+1,FIND("-",DW42)-FIND("|",DW42)-1))-VALUE(MID(DW42,FIND("-",DW42)+1,10)))))*$D$50),$D$9*(1-(IF($N42="X",ABS($O42-VALUE(MID(DW42,FIND("|",DW42)+1,FIND("-",DW42)-FIND("|",DW42)-1))),ABS($Q42-ABS(VALUE(MID(DW42,FIND("|",DW42)+1,FIND("-",DW42)-FIND("|",DW42)-1))-VALUE(MID(DW42,FIND("-",DW42)+1,10)))))*$D$50)))))*$I42,0)),0)</f>
        <v>0</v>
      </c>
      <c r="DY42" s="338"/>
      <c r="DZ42" s="370"/>
      <c r="EA42" s="371" t="n">
        <f aca="false">IFERROR(IF($M42=DZ42,($D$8+$D$9+$D$10)*$I42,IF($N42=LEFT(DZ42,1),($D$8+MAX(0,IF($D$50=1,$D$9*(1-(ABS($Q42-ABS(VALUE(MID(DZ42,FIND("|",DZ42)+1,FIND("-",DZ42)-FIND("|",DZ42)-1))-VALUE(MID(DZ42,FIND("-",DZ42)+1,10)))))*$D$50),$D$9*(1-(IF($N42="X",ABS($O42-VALUE(MID(DZ42,FIND("|",DZ42)+1,FIND("-",DZ42)-FIND("|",DZ42)-1))),ABS($Q42-ABS(VALUE(MID(DZ42,FIND("|",DZ42)+1,FIND("-",DZ42)-FIND("|",DZ42)-1))-VALUE(MID(DZ42,FIND("-",DZ42)+1,10)))))*$D$50)))))*$I42,0)),0)</f>
        <v>0</v>
      </c>
      <c r="EB42" s="338"/>
      <c r="EC42" s="370"/>
      <c r="ED42" s="371" t="n">
        <f aca="false">IFERROR(IF($M42=EC42,($D$8+$D$9+$D$10)*$I42,IF($N42=LEFT(EC42,1),($D$8+MAX(0,IF($D$50=1,$D$9*(1-(ABS($Q42-ABS(VALUE(MID(EC42,FIND("|",EC42)+1,FIND("-",EC42)-FIND("|",EC42)-1))-VALUE(MID(EC42,FIND("-",EC42)+1,10)))))*$D$50),$D$9*(1-(IF($N42="X",ABS($O42-VALUE(MID(EC42,FIND("|",EC42)+1,FIND("-",EC42)-FIND("|",EC42)-1))),ABS($Q42-ABS(VALUE(MID(EC42,FIND("|",EC42)+1,FIND("-",EC42)-FIND("|",EC42)-1))-VALUE(MID(EC42,FIND("-",EC42)+1,10)))))*$D$50)))))*$I42,0)),0)</f>
        <v>0</v>
      </c>
      <c r="EE42" s="338"/>
      <c r="EF42" s="370"/>
      <c r="EG42" s="371" t="n">
        <f aca="false">IFERROR(IF($M42=EF42,($D$8+$D$9+$D$10)*$I42,IF($N42=LEFT(EF42,1),($D$8+MAX(0,IF($D$50=1,$D$9*(1-(ABS($Q42-ABS(VALUE(MID(EF42,FIND("|",EF42)+1,FIND("-",EF42)-FIND("|",EF42)-1))-VALUE(MID(EF42,FIND("-",EF42)+1,10)))))*$D$50),$D$9*(1-(IF($N42="X",ABS($O42-VALUE(MID(EF42,FIND("|",EF42)+1,FIND("-",EF42)-FIND("|",EF42)-1))),ABS($Q42-ABS(VALUE(MID(EF42,FIND("|",EF42)+1,FIND("-",EF42)-FIND("|",EF42)-1))-VALUE(MID(EF42,FIND("-",EF42)+1,10)))))*$D$50)))))*$I42,0)),0)</f>
        <v>0</v>
      </c>
      <c r="EH42" s="338"/>
      <c r="EI42" s="338"/>
    </row>
    <row r="43" customFormat="false" ht="15" hidden="false" customHeight="false" outlineLevel="0" collapsed="false">
      <c r="A43" s="327"/>
      <c r="B43" s="327"/>
      <c r="C43" s="364" t="str">
        <f aca="false">Idiomas!D338</f>
        <v>Bota de Oro  (máximo goleador)</v>
      </c>
      <c r="D43" s="365" t="n">
        <v>20</v>
      </c>
      <c r="E43" s="334"/>
      <c r="F43" s="343" t="n">
        <f aca="false">SUM($D$8:$D$10)*I43</f>
        <v>17</v>
      </c>
      <c r="G43" s="343" t="n">
        <f aca="false">VLOOKUP(H43,Equipos!$Q$1:$R$25,2,0)</f>
        <v>12</v>
      </c>
      <c r="H43" s="351" t="n">
        <f aca="false">TRUNC(INDEX(WORLDCUP!$X$4:$X$147,MATCH(ADMIN!K43,WORLDCUP!$DT$4:$DT$147,0))+INDEX(Horarios!$R$3:$R$86,MATCH(Horarios!$C$3,Horarios!$P$3:$P$86,0))/24)</f>
        <v>46195</v>
      </c>
      <c r="I43" s="352" t="n">
        <v>1</v>
      </c>
      <c r="J43" s="353" t="s">
        <v>305</v>
      </c>
      <c r="K43" s="367" t="str">
        <f aca="false">CONCATENATE(WORLDCUP!AA55,"-",WORLDCUP!AF55)</f>
        <v>Nueva Zelanda-Egipto</v>
      </c>
      <c r="L43" s="354"/>
      <c r="M43" s="359" t="str">
        <f aca="false">IF(OR(WORLDCUP!AC55="",WORLDCUP!AD55=""),"-",N43&amp;"|"&amp;O43&amp;"-"&amp;P43)</f>
        <v>-</v>
      </c>
      <c r="N43" s="332" t="str">
        <f aca="false">IF(OR(WORLDCUP!AC55="",WORLDCUP!AD55=""),"",IF(WORLDCUP!AC55&gt;WORLDCUP!AD55,"1",IF(WORLDCUP!AC55&lt;WORLDCUP!AD55,"2","X")))</f>
        <v/>
      </c>
      <c r="O43" s="332" t="n">
        <f aca="false">WORLDCUP!AC55</f>
        <v>0</v>
      </c>
      <c r="P43" s="332" t="n">
        <f aca="false">WORLDCUP!AD55</f>
        <v>0</v>
      </c>
      <c r="Q43" s="332" t="n">
        <f aca="false">ABS(O43-P43)</f>
        <v>0</v>
      </c>
      <c r="R43" s="327"/>
      <c r="S43" s="363" t="s">
        <v>267</v>
      </c>
      <c r="T43" s="356" t="n">
        <f aca="false">IFERROR(IF($M43=S43,($D$8+$D$9+$D$10)*$I43,IF($N43=LEFT(S43,1),($D$8+MAX(0,IF($D$50=1,$D$9*(1-(ABS($Q43-ABS(VALUE(MID(S43,FIND("|",S43)+1,FIND("-",S43)-FIND("|",S43)-1))-VALUE(MID(S43,FIND("-",S43)+1,10)))))*$D$50),$D$9*(1-(IF($N43="X",ABS($O43-VALUE(MID(S43,FIND("|",S43)+1,FIND("-",S43)-FIND("|",S43)-1))),ABS($Q43-ABS(VALUE(MID(S43,FIND("|",S43)+1,FIND("-",S43)-FIND("|",S43)-1))-VALUE(MID(S43,FIND("-",S43)+1,10)))))*$D$50)))))*$I43,0)),0)</f>
        <v>0</v>
      </c>
      <c r="U43" s="338"/>
      <c r="V43" s="363" t="s">
        <v>274</v>
      </c>
      <c r="W43" s="356" t="n">
        <f aca="false">IFERROR(IF($M43=V43,($D$8+$D$9+$D$10)*$I43,IF($N43=LEFT(V43,1),($D$8+MAX(0,IF($D$50=1,$D$9*(1-(ABS($Q43-ABS(VALUE(MID(V43,FIND("|",V43)+1,FIND("-",V43)-FIND("|",V43)-1))-VALUE(MID(V43,FIND("-",V43)+1,10)))))*$D$50),$D$9*(1-(IF($N43="X",ABS($O43-VALUE(MID(V43,FIND("|",V43)+1,FIND("-",V43)-FIND("|",V43)-1))),ABS($Q43-ABS(VALUE(MID(V43,FIND("|",V43)+1,FIND("-",V43)-FIND("|",V43)-1))-VALUE(MID(V43,FIND("-",V43)+1,10)))))*$D$50)))))*$I43,0)),0)</f>
        <v>0</v>
      </c>
      <c r="X43" s="338"/>
      <c r="Y43" s="363" t="s">
        <v>268</v>
      </c>
      <c r="Z43" s="356" t="n">
        <f aca="false">IFERROR(IF($M43=Y43,($D$8+$D$9+$D$10)*$I43,IF($N43=LEFT(Y43,1),($D$8+MAX(0,IF($D$50=1,$D$9*(1-(ABS($Q43-ABS(VALUE(MID(Y43,FIND("|",Y43)+1,FIND("-",Y43)-FIND("|",Y43)-1))-VALUE(MID(Y43,FIND("-",Y43)+1,10)))))*$D$50),$D$9*(1-(IF($N43="X",ABS($O43-VALUE(MID(Y43,FIND("|",Y43)+1,FIND("-",Y43)-FIND("|",Y43)-1))),ABS($Q43-ABS(VALUE(MID(Y43,FIND("|",Y43)+1,FIND("-",Y43)-FIND("|",Y43)-1))-VALUE(MID(Y43,FIND("-",Y43)+1,10)))))*$D$50)))))*$I43,0)),0)</f>
        <v>0</v>
      </c>
      <c r="AA43" s="338"/>
      <c r="AB43" s="363" t="s">
        <v>268</v>
      </c>
      <c r="AC43" s="356" t="n">
        <f aca="false">IFERROR(IF($M43=AB43,($D$8+$D$9+$D$10)*$I43,IF($N43=LEFT(AB43,1),($D$8+MAX(0,IF($D$50=1,$D$9*(1-(ABS($Q43-ABS(VALUE(MID(AB43,FIND("|",AB43)+1,FIND("-",AB43)-FIND("|",AB43)-1))-VALUE(MID(AB43,FIND("-",AB43)+1,10)))))*$D$50),$D$9*(1-(IF($N43="X",ABS($O43-VALUE(MID(AB43,FIND("|",AB43)+1,FIND("-",AB43)-FIND("|",AB43)-1))),ABS($Q43-ABS(VALUE(MID(AB43,FIND("|",AB43)+1,FIND("-",AB43)-FIND("|",AB43)-1))-VALUE(MID(AB43,FIND("-",AB43)+1,10)))))*$D$50)))))*$I43,0)),0)</f>
        <v>0</v>
      </c>
      <c r="AD43" s="338"/>
      <c r="AE43" s="363" t="s">
        <v>274</v>
      </c>
      <c r="AF43" s="356" t="n">
        <f aca="false">IFERROR(IF($M43=AE43,($D$8+$D$9+$D$10)*$I43,IF($N43=LEFT(AE43,1),($D$8+MAX(0,IF($D$50=1,$D$9*(1-(ABS($Q43-ABS(VALUE(MID(AE43,FIND("|",AE43)+1,FIND("-",AE43)-FIND("|",AE43)-1))-VALUE(MID(AE43,FIND("-",AE43)+1,10)))))*$D$50),$D$9*(1-(IF($N43="X",ABS($O43-VALUE(MID(AE43,FIND("|",AE43)+1,FIND("-",AE43)-FIND("|",AE43)-1))),ABS($Q43-ABS(VALUE(MID(AE43,FIND("|",AE43)+1,FIND("-",AE43)-FIND("|",AE43)-1))-VALUE(MID(AE43,FIND("-",AE43)+1,10)))))*$D$50)))))*$I43,0)),0)</f>
        <v>0</v>
      </c>
      <c r="AG43" s="338"/>
      <c r="AH43" s="363" t="s">
        <v>274</v>
      </c>
      <c r="AI43" s="356" t="n">
        <f aca="false">IFERROR(IF($M43=AH43,($D$8+$D$9+$D$10)*$I43,IF($N43=LEFT(AH43,1),($D$8+MAX(0,IF($D$50=1,$D$9*(1-(ABS($Q43-ABS(VALUE(MID(AH43,FIND("|",AH43)+1,FIND("-",AH43)-FIND("|",AH43)-1))-VALUE(MID(AH43,FIND("-",AH43)+1,10)))))*$D$50),$D$9*(1-(IF($N43="X",ABS($O43-VALUE(MID(AH43,FIND("|",AH43)+1,FIND("-",AH43)-FIND("|",AH43)-1))),ABS($Q43-ABS(VALUE(MID(AH43,FIND("|",AH43)+1,FIND("-",AH43)-FIND("|",AH43)-1))-VALUE(MID(AH43,FIND("-",AH43)+1,10)))))*$D$50)))))*$I43,0)),0)</f>
        <v>0</v>
      </c>
      <c r="AJ43" s="338"/>
      <c r="AK43" s="363" t="s">
        <v>274</v>
      </c>
      <c r="AL43" s="356" t="n">
        <f aca="false">IFERROR(IF($M43=AK43,($D$8+$D$9+$D$10)*$I43,IF($N43=LEFT(AK43,1),($D$8+MAX(0,IF($D$50=1,$D$9*(1-(ABS($Q43-ABS(VALUE(MID(AK43,FIND("|",AK43)+1,FIND("-",AK43)-FIND("|",AK43)-1))-VALUE(MID(AK43,FIND("-",AK43)+1,10)))))*$D$50),$D$9*(1-(IF($N43="X",ABS($O43-VALUE(MID(AK43,FIND("|",AK43)+1,FIND("-",AK43)-FIND("|",AK43)-1))),ABS($Q43-ABS(VALUE(MID(AK43,FIND("|",AK43)+1,FIND("-",AK43)-FIND("|",AK43)-1))-VALUE(MID(AK43,FIND("-",AK43)+1,10)))))*$D$50)))))*$I43,0)),0)</f>
        <v>0</v>
      </c>
      <c r="AM43" s="338"/>
      <c r="AN43" s="363" t="s">
        <v>274</v>
      </c>
      <c r="AO43" s="356" t="n">
        <f aca="false">IFERROR(IF($M43=AN43,($D$8+$D$9+$D$10)*$I43,IF($N43=LEFT(AN43,1),($D$8+MAX(0,IF($D$50=1,$D$9*(1-(ABS($Q43-ABS(VALUE(MID(AN43,FIND("|",AN43)+1,FIND("-",AN43)-FIND("|",AN43)-1))-VALUE(MID(AN43,FIND("-",AN43)+1,10)))))*$D$50),$D$9*(1-(IF($N43="X",ABS($O43-VALUE(MID(AN43,FIND("|",AN43)+1,FIND("-",AN43)-FIND("|",AN43)-1))),ABS($Q43-ABS(VALUE(MID(AN43,FIND("|",AN43)+1,FIND("-",AN43)-FIND("|",AN43)-1))-VALUE(MID(AN43,FIND("-",AN43)+1,10)))))*$D$50)))))*$I43,0)),0)</f>
        <v>0</v>
      </c>
      <c r="AP43" s="338"/>
      <c r="AQ43" s="363" t="s">
        <v>281</v>
      </c>
      <c r="AR43" s="356" t="n">
        <f aca="false">IFERROR(IF($M43=AQ43,($D$8+$D$9+$D$10)*$I43,IF($N43=LEFT(AQ43,1),($D$8+MAX(0,IF($D$50=1,$D$9*(1-(ABS($Q43-ABS(VALUE(MID(AQ43,FIND("|",AQ43)+1,FIND("-",AQ43)-FIND("|",AQ43)-1))-VALUE(MID(AQ43,FIND("-",AQ43)+1,10)))))*$D$50),$D$9*(1-(IF($N43="X",ABS($O43-VALUE(MID(AQ43,FIND("|",AQ43)+1,FIND("-",AQ43)-FIND("|",AQ43)-1))),ABS($Q43-ABS(VALUE(MID(AQ43,FIND("|",AQ43)+1,FIND("-",AQ43)-FIND("|",AQ43)-1))-VALUE(MID(AQ43,FIND("-",AQ43)+1,10)))))*$D$50)))))*$I43,0)),0)</f>
        <v>0</v>
      </c>
      <c r="AS43" s="338"/>
      <c r="AT43" s="363" t="s">
        <v>267</v>
      </c>
      <c r="AU43" s="356" t="n">
        <f aca="false">IFERROR(IF($M43=AT43,($D$8+$D$9+$D$10)*$I43,IF($N43=LEFT(AT43,1),($D$8+MAX(0,IF($D$50=1,$D$9*(1-(ABS($Q43-ABS(VALUE(MID(AT43,FIND("|",AT43)+1,FIND("-",AT43)-FIND("|",AT43)-1))-VALUE(MID(AT43,FIND("-",AT43)+1,10)))))*$D$50),$D$9*(1-(IF($N43="X",ABS($O43-VALUE(MID(AT43,FIND("|",AT43)+1,FIND("-",AT43)-FIND("|",AT43)-1))),ABS($Q43-ABS(VALUE(MID(AT43,FIND("|",AT43)+1,FIND("-",AT43)-FIND("|",AT43)-1))-VALUE(MID(AT43,FIND("-",AT43)+1,10)))))*$D$50)))))*$I43,0)),0)</f>
        <v>0</v>
      </c>
      <c r="AV43" s="338"/>
      <c r="AW43" s="363" t="s">
        <v>275</v>
      </c>
      <c r="AX43" s="356" t="n">
        <f aca="false">IFERROR(IF($M43=AW43,($D$8+$D$9+$D$10)*$I43,IF($N43=LEFT(AW43,1),($D$8+MAX(0,IF($D$50=1,$D$9*(1-(ABS($Q43-ABS(VALUE(MID(AW43,FIND("|",AW43)+1,FIND("-",AW43)-FIND("|",AW43)-1))-VALUE(MID(AW43,FIND("-",AW43)+1,10)))))*$D$50),$D$9*(1-(IF($N43="X",ABS($O43-VALUE(MID(AW43,FIND("|",AW43)+1,FIND("-",AW43)-FIND("|",AW43)-1))),ABS($Q43-ABS(VALUE(MID(AW43,FIND("|",AW43)+1,FIND("-",AW43)-FIND("|",AW43)-1))-VALUE(MID(AW43,FIND("-",AW43)+1,10)))))*$D$50)))))*$I43,0)),0)</f>
        <v>0</v>
      </c>
      <c r="AY43" s="338"/>
      <c r="AZ43" s="363" t="s">
        <v>274</v>
      </c>
      <c r="BA43" s="356" t="n">
        <f aca="false">IFERROR(IF($M43=AZ43,($D$8+$D$9+$D$10)*$I43,IF($N43=LEFT(AZ43,1),($D$8+MAX(0,IF($D$50=1,$D$9*(1-(ABS($Q43-ABS(VALUE(MID(AZ43,FIND("|",AZ43)+1,FIND("-",AZ43)-FIND("|",AZ43)-1))-VALUE(MID(AZ43,FIND("-",AZ43)+1,10)))))*$D$50),$D$9*(1-(IF($N43="X",ABS($O43-VALUE(MID(AZ43,FIND("|",AZ43)+1,FIND("-",AZ43)-FIND("|",AZ43)-1))),ABS($Q43-ABS(VALUE(MID(AZ43,FIND("|",AZ43)+1,FIND("-",AZ43)-FIND("|",AZ43)-1))-VALUE(MID(AZ43,FIND("-",AZ43)+1,10)))))*$D$50)))))*$I43,0)),0)</f>
        <v>0</v>
      </c>
      <c r="BB43" s="338"/>
      <c r="BC43" s="363" t="s">
        <v>268</v>
      </c>
      <c r="BD43" s="356" t="n">
        <f aca="false">IFERROR(IF($M43=BC43,($D$8+$D$9+$D$10)*$I43,IF($N43=LEFT(BC43,1),($D$8+MAX(0,IF($D$50=1,$D$9*(1-(ABS($Q43-ABS(VALUE(MID(BC43,FIND("|",BC43)+1,FIND("-",BC43)-FIND("|",BC43)-1))-VALUE(MID(BC43,FIND("-",BC43)+1,10)))))*$D$50),$D$9*(1-(IF($N43="X",ABS($O43-VALUE(MID(BC43,FIND("|",BC43)+1,FIND("-",BC43)-FIND("|",BC43)-1))),ABS($Q43-ABS(VALUE(MID(BC43,FIND("|",BC43)+1,FIND("-",BC43)-FIND("|",BC43)-1))-VALUE(MID(BC43,FIND("-",BC43)+1,10)))))*$D$50)))))*$I43,0)),0)</f>
        <v>0</v>
      </c>
      <c r="BE43" s="338"/>
      <c r="BF43" s="363" t="s">
        <v>271</v>
      </c>
      <c r="BG43" s="356" t="n">
        <f aca="false">IFERROR(IF($M43=BF43,($D$8+$D$9+$D$10)*$I43,IF($N43=LEFT(BF43,1),($D$8+MAX(0,IF($D$50=1,$D$9*(1-(ABS($Q43-ABS(VALUE(MID(BF43,FIND("|",BF43)+1,FIND("-",BF43)-FIND("|",BF43)-1))-VALUE(MID(BF43,FIND("-",BF43)+1,10)))))*$D$50),$D$9*(1-(IF($N43="X",ABS($O43-VALUE(MID(BF43,FIND("|",BF43)+1,FIND("-",BF43)-FIND("|",BF43)-1))),ABS($Q43-ABS(VALUE(MID(BF43,FIND("|",BF43)+1,FIND("-",BF43)-FIND("|",BF43)-1))-VALUE(MID(BF43,FIND("-",BF43)+1,10)))))*$D$50)))))*$I43,0)),0)</f>
        <v>0</v>
      </c>
      <c r="BH43" s="338"/>
      <c r="BI43" s="363" t="s">
        <v>271</v>
      </c>
      <c r="BJ43" s="356" t="n">
        <f aca="false">IFERROR(IF($M43=BI43,($D$8+$D$9+$D$10)*$I43,IF($N43=LEFT(BI43,1),($D$8+MAX(0,IF($D$50=1,$D$9*(1-(ABS($Q43-ABS(VALUE(MID(BI43,FIND("|",BI43)+1,FIND("-",BI43)-FIND("|",BI43)-1))-VALUE(MID(BI43,FIND("-",BI43)+1,10)))))*$D$50),$D$9*(1-(IF($N43="X",ABS($O43-VALUE(MID(BI43,FIND("|",BI43)+1,FIND("-",BI43)-FIND("|",BI43)-1))),ABS($Q43-ABS(VALUE(MID(BI43,FIND("|",BI43)+1,FIND("-",BI43)-FIND("|",BI43)-1))-VALUE(MID(BI43,FIND("-",BI43)+1,10)))))*$D$50)))))*$I43,0)),0)</f>
        <v>0</v>
      </c>
      <c r="BK43" s="338"/>
      <c r="BL43" s="363" t="s">
        <v>267</v>
      </c>
      <c r="BM43" s="356" t="n">
        <f aca="false">IFERROR(IF($M43=BL43,($D$8+$D$9+$D$10)*$I43,IF($N43=LEFT(BL43,1),($D$8+MAX(0,IF($D$50=1,$D$9*(1-(ABS($Q43-ABS(VALUE(MID(BL43,FIND("|",BL43)+1,FIND("-",BL43)-FIND("|",BL43)-1))-VALUE(MID(BL43,FIND("-",BL43)+1,10)))))*$D$50),$D$9*(1-(IF($N43="X",ABS($O43-VALUE(MID(BL43,FIND("|",BL43)+1,FIND("-",BL43)-FIND("|",BL43)-1))),ABS($Q43-ABS(VALUE(MID(BL43,FIND("|",BL43)+1,FIND("-",BL43)-FIND("|",BL43)-1))-VALUE(MID(BL43,FIND("-",BL43)+1,10)))))*$D$50)))))*$I43,0)),0)</f>
        <v>0</v>
      </c>
      <c r="BN43" s="338"/>
      <c r="BO43" s="363" t="s">
        <v>267</v>
      </c>
      <c r="BP43" s="356" t="n">
        <f aca="false">IFERROR(IF($M43=BO43,($D$8+$D$9+$D$10)*$I43,IF($N43=LEFT(BO43,1),($D$8+MAX(0,IF($D$50=1,$D$9*(1-(ABS($Q43-ABS(VALUE(MID(BO43,FIND("|",BO43)+1,FIND("-",BO43)-FIND("|",BO43)-1))-VALUE(MID(BO43,FIND("-",BO43)+1,10)))))*$D$50),$D$9*(1-(IF($N43="X",ABS($O43-VALUE(MID(BO43,FIND("|",BO43)+1,FIND("-",BO43)-FIND("|",BO43)-1))),ABS($Q43-ABS(VALUE(MID(BO43,FIND("|",BO43)+1,FIND("-",BO43)-FIND("|",BO43)-1))-VALUE(MID(BO43,FIND("-",BO43)+1,10)))))*$D$50)))))*$I43,0)),0)</f>
        <v>0</v>
      </c>
      <c r="BQ43" s="338"/>
      <c r="BR43" s="363" t="s">
        <v>271</v>
      </c>
      <c r="BS43" s="356" t="n">
        <f aca="false">IFERROR(IF($M43=BR43,($D$8+$D$9+$D$10)*$I43,IF($N43=LEFT(BR43,1),($D$8+MAX(0,IF($D$50=1,$D$9*(1-(ABS($Q43-ABS(VALUE(MID(BR43,FIND("|",BR43)+1,FIND("-",BR43)-FIND("|",BR43)-1))-VALUE(MID(BR43,FIND("-",BR43)+1,10)))))*$D$50),$D$9*(1-(IF($N43="X",ABS($O43-VALUE(MID(BR43,FIND("|",BR43)+1,FIND("-",BR43)-FIND("|",BR43)-1))),ABS($Q43-ABS(VALUE(MID(BR43,FIND("|",BR43)+1,FIND("-",BR43)-FIND("|",BR43)-1))-VALUE(MID(BR43,FIND("-",BR43)+1,10)))))*$D$50)))))*$I43,0)),0)</f>
        <v>0</v>
      </c>
      <c r="BT43" s="338"/>
      <c r="BU43" s="363"/>
      <c r="BV43" s="356" t="n">
        <f aca="false">IFERROR(IF($M43=BU43,($D$8+$D$9+$D$10)*$I43,IF($N43=LEFT(BU43,1),($D$8+MAX(0,IF($D$50=1,$D$9*(1-(ABS($Q43-ABS(VALUE(MID(BU43,FIND("|",BU43)+1,FIND("-",BU43)-FIND("|",BU43)-1))-VALUE(MID(BU43,FIND("-",BU43)+1,10)))))*$D$50),$D$9*(1-(IF($N43="X",ABS($O43-VALUE(MID(BU43,FIND("|",BU43)+1,FIND("-",BU43)-FIND("|",BU43)-1))),ABS($Q43-ABS(VALUE(MID(BU43,FIND("|",BU43)+1,FIND("-",BU43)-FIND("|",BU43)-1))-VALUE(MID(BU43,FIND("-",BU43)+1,10)))))*$D$50)))))*$I43,0)),0)</f>
        <v>0</v>
      </c>
      <c r="BW43" s="338"/>
      <c r="BX43" s="363"/>
      <c r="BY43" s="356" t="n">
        <f aca="false">IFERROR(IF($M43=BX43,($D$8+$D$9+$D$10)*$I43,IF($N43=LEFT(BX43,1),($D$8+MAX(0,IF($D$50=1,$D$9*(1-(ABS($Q43-ABS(VALUE(MID(BX43,FIND("|",BX43)+1,FIND("-",BX43)-FIND("|",BX43)-1))-VALUE(MID(BX43,FIND("-",BX43)+1,10)))))*$D$50),$D$9*(1-(IF($N43="X",ABS($O43-VALUE(MID(BX43,FIND("|",BX43)+1,FIND("-",BX43)-FIND("|",BX43)-1))),ABS($Q43-ABS(VALUE(MID(BX43,FIND("|",BX43)+1,FIND("-",BX43)-FIND("|",BX43)-1))-VALUE(MID(BX43,FIND("-",BX43)+1,10)))))*$D$50)))))*$I43,0)),0)</f>
        <v>0</v>
      </c>
      <c r="BZ43" s="338"/>
      <c r="CA43" s="363"/>
      <c r="CB43" s="356" t="n">
        <f aca="false">IFERROR(IF($M43=CA43,($D$8+$D$9+$D$10)*$I43,IF($N43=LEFT(CA43,1),($D$8+MAX(0,IF($D$50=1,$D$9*(1-(ABS($Q43-ABS(VALUE(MID(CA43,FIND("|",CA43)+1,FIND("-",CA43)-FIND("|",CA43)-1))-VALUE(MID(CA43,FIND("-",CA43)+1,10)))))*$D$50),$D$9*(1-(IF($N43="X",ABS($O43-VALUE(MID(CA43,FIND("|",CA43)+1,FIND("-",CA43)-FIND("|",CA43)-1))),ABS($Q43-ABS(VALUE(MID(CA43,FIND("|",CA43)+1,FIND("-",CA43)-FIND("|",CA43)-1))-VALUE(MID(CA43,FIND("-",CA43)+1,10)))))*$D$50)))))*$I43,0)),0)</f>
        <v>0</v>
      </c>
      <c r="CC43" s="338"/>
      <c r="CD43" s="363"/>
      <c r="CE43" s="356" t="n">
        <f aca="false">IFERROR(IF($M43=CD43,($D$8+$D$9+$D$10)*$I43,IF($N43=LEFT(CD43,1),($D$8+MAX(0,IF($D$50=1,$D$9*(1-(ABS($Q43-ABS(VALUE(MID(CD43,FIND("|",CD43)+1,FIND("-",CD43)-FIND("|",CD43)-1))-VALUE(MID(CD43,FIND("-",CD43)+1,10)))))*$D$50),$D$9*(1-(IF($N43="X",ABS($O43-VALUE(MID(CD43,FIND("|",CD43)+1,FIND("-",CD43)-FIND("|",CD43)-1))),ABS($Q43-ABS(VALUE(MID(CD43,FIND("|",CD43)+1,FIND("-",CD43)-FIND("|",CD43)-1))-VALUE(MID(CD43,FIND("-",CD43)+1,10)))))*$D$50)))))*$I43,0)),0)</f>
        <v>0</v>
      </c>
      <c r="CF43" s="338"/>
      <c r="CG43" s="363"/>
      <c r="CH43" s="356" t="n">
        <f aca="false">IFERROR(IF($M43=CG43,($D$8+$D$9+$D$10)*$I43,IF($N43=LEFT(CG43,1),($D$8+MAX(0,IF($D$50=1,$D$9*(1-(ABS($Q43-ABS(VALUE(MID(CG43,FIND("|",CG43)+1,FIND("-",CG43)-FIND("|",CG43)-1))-VALUE(MID(CG43,FIND("-",CG43)+1,10)))))*$D$50),$D$9*(1-(IF($N43="X",ABS($O43-VALUE(MID(CG43,FIND("|",CG43)+1,FIND("-",CG43)-FIND("|",CG43)-1))),ABS($Q43-ABS(VALUE(MID(CG43,FIND("|",CG43)+1,FIND("-",CG43)-FIND("|",CG43)-1))-VALUE(MID(CG43,FIND("-",CG43)+1,10)))))*$D$50)))))*$I43,0)),0)</f>
        <v>0</v>
      </c>
      <c r="CI43" s="338"/>
      <c r="CJ43" s="363"/>
      <c r="CK43" s="356" t="n">
        <f aca="false">IFERROR(IF($M43=CJ43,($D$8+$D$9+$D$10)*$I43,IF($N43=LEFT(CJ43,1),($D$8+MAX(0,IF($D$50=1,$D$9*(1-(ABS($Q43-ABS(VALUE(MID(CJ43,FIND("|",CJ43)+1,FIND("-",CJ43)-FIND("|",CJ43)-1))-VALUE(MID(CJ43,FIND("-",CJ43)+1,10)))))*$D$50),$D$9*(1-(IF($N43="X",ABS($O43-VALUE(MID(CJ43,FIND("|",CJ43)+1,FIND("-",CJ43)-FIND("|",CJ43)-1))),ABS($Q43-ABS(VALUE(MID(CJ43,FIND("|",CJ43)+1,FIND("-",CJ43)-FIND("|",CJ43)-1))-VALUE(MID(CJ43,FIND("-",CJ43)+1,10)))))*$D$50)))))*$I43,0)),0)</f>
        <v>0</v>
      </c>
      <c r="CL43" s="338"/>
      <c r="CM43" s="363"/>
      <c r="CN43" s="356" t="n">
        <f aca="false">IFERROR(IF($M43=CM43,($D$8+$D$9+$D$10)*$I43,IF($N43=LEFT(CM43,1),($D$8+MAX(0,IF($D$50=1,$D$9*(1-(ABS($Q43-ABS(VALUE(MID(CM43,FIND("|",CM43)+1,FIND("-",CM43)-FIND("|",CM43)-1))-VALUE(MID(CM43,FIND("-",CM43)+1,10)))))*$D$50),$D$9*(1-(IF($N43="X",ABS($O43-VALUE(MID(CM43,FIND("|",CM43)+1,FIND("-",CM43)-FIND("|",CM43)-1))),ABS($Q43-ABS(VALUE(MID(CM43,FIND("|",CM43)+1,FIND("-",CM43)-FIND("|",CM43)-1))-VALUE(MID(CM43,FIND("-",CM43)+1,10)))))*$D$50)))))*$I43,0)),0)</f>
        <v>0</v>
      </c>
      <c r="CO43" s="338"/>
      <c r="CP43" s="363"/>
      <c r="CQ43" s="356" t="n">
        <f aca="false">IFERROR(IF($M43=CP43,($D$8+$D$9+$D$10)*$I43,IF($N43=LEFT(CP43,1),($D$8+MAX(0,IF($D$50=1,$D$9*(1-(ABS($Q43-ABS(VALUE(MID(CP43,FIND("|",CP43)+1,FIND("-",CP43)-FIND("|",CP43)-1))-VALUE(MID(CP43,FIND("-",CP43)+1,10)))))*$D$50),$D$9*(1-(IF($N43="X",ABS($O43-VALUE(MID(CP43,FIND("|",CP43)+1,FIND("-",CP43)-FIND("|",CP43)-1))),ABS($Q43-ABS(VALUE(MID(CP43,FIND("|",CP43)+1,FIND("-",CP43)-FIND("|",CP43)-1))-VALUE(MID(CP43,FIND("-",CP43)+1,10)))))*$D$50)))))*$I43,0)),0)</f>
        <v>0</v>
      </c>
      <c r="CR43" s="338"/>
      <c r="CS43" s="363"/>
      <c r="CT43" s="356" t="n">
        <f aca="false">IFERROR(IF($M43=CS43,($D$8+$D$9+$D$10)*$I43,IF($N43=LEFT(CS43,1),($D$8+MAX(0,IF($D$50=1,$D$9*(1-(ABS($Q43-ABS(VALUE(MID(CS43,FIND("|",CS43)+1,FIND("-",CS43)-FIND("|",CS43)-1))-VALUE(MID(CS43,FIND("-",CS43)+1,10)))))*$D$50),$D$9*(1-(IF($N43="X",ABS($O43-VALUE(MID(CS43,FIND("|",CS43)+1,FIND("-",CS43)-FIND("|",CS43)-1))),ABS($Q43-ABS(VALUE(MID(CS43,FIND("|",CS43)+1,FIND("-",CS43)-FIND("|",CS43)-1))-VALUE(MID(CS43,FIND("-",CS43)+1,10)))))*$D$50)))))*$I43,0)),0)</f>
        <v>0</v>
      </c>
      <c r="CU43" s="338"/>
      <c r="CV43" s="363"/>
      <c r="CW43" s="356" t="n">
        <f aca="false">IFERROR(IF($M43=CV43,($D$8+$D$9+$D$10)*$I43,IF($N43=LEFT(CV43,1),($D$8+MAX(0,IF($D$50=1,$D$9*(1-(ABS($Q43-ABS(VALUE(MID(CV43,FIND("|",CV43)+1,FIND("-",CV43)-FIND("|",CV43)-1))-VALUE(MID(CV43,FIND("-",CV43)+1,10)))))*$D$50),$D$9*(1-(IF($N43="X",ABS($O43-VALUE(MID(CV43,FIND("|",CV43)+1,FIND("-",CV43)-FIND("|",CV43)-1))),ABS($Q43-ABS(VALUE(MID(CV43,FIND("|",CV43)+1,FIND("-",CV43)-FIND("|",CV43)-1))-VALUE(MID(CV43,FIND("-",CV43)+1,10)))))*$D$50)))))*$I43,0)),0)</f>
        <v>0</v>
      </c>
      <c r="CX43" s="338"/>
      <c r="CY43" s="363"/>
      <c r="CZ43" s="356" t="n">
        <f aca="false">IFERROR(IF($M43=CY43,($D$8+$D$9+$D$10)*$I43,IF($N43=LEFT(CY43,1),($D$8+MAX(0,IF($D$50=1,$D$9*(1-(ABS($Q43-ABS(VALUE(MID(CY43,FIND("|",CY43)+1,FIND("-",CY43)-FIND("|",CY43)-1))-VALUE(MID(CY43,FIND("-",CY43)+1,10)))))*$D$50),$D$9*(1-(IF($N43="X",ABS($O43-VALUE(MID(CY43,FIND("|",CY43)+1,FIND("-",CY43)-FIND("|",CY43)-1))),ABS($Q43-ABS(VALUE(MID(CY43,FIND("|",CY43)+1,FIND("-",CY43)-FIND("|",CY43)-1))-VALUE(MID(CY43,FIND("-",CY43)+1,10)))))*$D$50)))))*$I43,0)),0)</f>
        <v>0</v>
      </c>
      <c r="DA43" s="338"/>
      <c r="DB43" s="363"/>
      <c r="DC43" s="356" t="n">
        <f aca="false">IFERROR(IF($M43=DB43,($D$8+$D$9+$D$10)*$I43,IF($N43=LEFT(DB43,1),($D$8+MAX(0,IF($D$50=1,$D$9*(1-(ABS($Q43-ABS(VALUE(MID(DB43,FIND("|",DB43)+1,FIND("-",DB43)-FIND("|",DB43)-1))-VALUE(MID(DB43,FIND("-",DB43)+1,10)))))*$D$50),$D$9*(1-(IF($N43="X",ABS($O43-VALUE(MID(DB43,FIND("|",DB43)+1,FIND("-",DB43)-FIND("|",DB43)-1))),ABS($Q43-ABS(VALUE(MID(DB43,FIND("|",DB43)+1,FIND("-",DB43)-FIND("|",DB43)-1))-VALUE(MID(DB43,FIND("-",DB43)+1,10)))))*$D$50)))))*$I43,0)),0)</f>
        <v>0</v>
      </c>
      <c r="DD43" s="338"/>
      <c r="DE43" s="363"/>
      <c r="DF43" s="356" t="n">
        <f aca="false">IFERROR(IF($M43=DE43,($D$8+$D$9+$D$10)*$I43,IF($N43=LEFT(DE43,1),($D$8+MAX(0,IF($D$50=1,$D$9*(1-(ABS($Q43-ABS(VALUE(MID(DE43,FIND("|",DE43)+1,FIND("-",DE43)-FIND("|",DE43)-1))-VALUE(MID(DE43,FIND("-",DE43)+1,10)))))*$D$50),$D$9*(1-(IF($N43="X",ABS($O43-VALUE(MID(DE43,FIND("|",DE43)+1,FIND("-",DE43)-FIND("|",DE43)-1))),ABS($Q43-ABS(VALUE(MID(DE43,FIND("|",DE43)+1,FIND("-",DE43)-FIND("|",DE43)-1))-VALUE(MID(DE43,FIND("-",DE43)+1,10)))))*$D$50)))))*$I43,0)),0)</f>
        <v>0</v>
      </c>
      <c r="DG43" s="338"/>
      <c r="DH43" s="363"/>
      <c r="DI43" s="356" t="n">
        <f aca="false">IFERROR(IF($M43=DH43,($D$8+$D$9+$D$10)*$I43,IF($N43=LEFT(DH43,1),($D$8+MAX(0,IF($D$50=1,$D$9*(1-(ABS($Q43-ABS(VALUE(MID(DH43,FIND("|",DH43)+1,FIND("-",DH43)-FIND("|",DH43)-1))-VALUE(MID(DH43,FIND("-",DH43)+1,10)))))*$D$50),$D$9*(1-(IF($N43="X",ABS($O43-VALUE(MID(DH43,FIND("|",DH43)+1,FIND("-",DH43)-FIND("|",DH43)-1))),ABS($Q43-ABS(VALUE(MID(DH43,FIND("|",DH43)+1,FIND("-",DH43)-FIND("|",DH43)-1))-VALUE(MID(DH43,FIND("-",DH43)+1,10)))))*$D$50)))))*$I43,0)),0)</f>
        <v>0</v>
      </c>
      <c r="DJ43" s="338"/>
      <c r="DK43" s="363"/>
      <c r="DL43" s="356" t="n">
        <f aca="false">IFERROR(IF($M43=DK43,($D$8+$D$9+$D$10)*$I43,IF($N43=LEFT(DK43,1),($D$8+MAX(0,IF($D$50=1,$D$9*(1-(ABS($Q43-ABS(VALUE(MID(DK43,FIND("|",DK43)+1,FIND("-",DK43)-FIND("|",DK43)-1))-VALUE(MID(DK43,FIND("-",DK43)+1,10)))))*$D$50),$D$9*(1-(IF($N43="X",ABS($O43-VALUE(MID(DK43,FIND("|",DK43)+1,FIND("-",DK43)-FIND("|",DK43)-1))),ABS($Q43-ABS(VALUE(MID(DK43,FIND("|",DK43)+1,FIND("-",DK43)-FIND("|",DK43)-1))-VALUE(MID(DK43,FIND("-",DK43)+1,10)))))*$D$50)))))*$I43,0)),0)</f>
        <v>0</v>
      </c>
      <c r="DM43" s="338"/>
      <c r="DN43" s="363"/>
      <c r="DO43" s="356" t="n">
        <f aca="false">IFERROR(IF($M43=DN43,($D$8+$D$9+$D$10)*$I43,IF($N43=LEFT(DN43,1),($D$8+MAX(0,IF($D$50=1,$D$9*(1-(ABS($Q43-ABS(VALUE(MID(DN43,FIND("|",DN43)+1,FIND("-",DN43)-FIND("|",DN43)-1))-VALUE(MID(DN43,FIND("-",DN43)+1,10)))))*$D$50),$D$9*(1-(IF($N43="X",ABS($O43-VALUE(MID(DN43,FIND("|",DN43)+1,FIND("-",DN43)-FIND("|",DN43)-1))),ABS($Q43-ABS(VALUE(MID(DN43,FIND("|",DN43)+1,FIND("-",DN43)-FIND("|",DN43)-1))-VALUE(MID(DN43,FIND("-",DN43)+1,10)))))*$D$50)))))*$I43,0)),0)</f>
        <v>0</v>
      </c>
      <c r="DP43" s="338"/>
      <c r="DQ43" s="363"/>
      <c r="DR43" s="356" t="n">
        <f aca="false">IFERROR(IF($M43=DQ43,($D$8+$D$9+$D$10)*$I43,IF($N43=LEFT(DQ43,1),($D$8+MAX(0,IF($D$50=1,$D$9*(1-(ABS($Q43-ABS(VALUE(MID(DQ43,FIND("|",DQ43)+1,FIND("-",DQ43)-FIND("|",DQ43)-1))-VALUE(MID(DQ43,FIND("-",DQ43)+1,10)))))*$D$50),$D$9*(1-(IF($N43="X",ABS($O43-VALUE(MID(DQ43,FIND("|",DQ43)+1,FIND("-",DQ43)-FIND("|",DQ43)-1))),ABS($Q43-ABS(VALUE(MID(DQ43,FIND("|",DQ43)+1,FIND("-",DQ43)-FIND("|",DQ43)-1))-VALUE(MID(DQ43,FIND("-",DQ43)+1,10)))))*$D$50)))))*$I43,0)),0)</f>
        <v>0</v>
      </c>
      <c r="DS43" s="338"/>
      <c r="DT43" s="363"/>
      <c r="DU43" s="356" t="n">
        <f aca="false">IFERROR(IF($M43=DT43,($D$8+$D$9+$D$10)*$I43,IF($N43=LEFT(DT43,1),($D$8+MAX(0,IF($D$50=1,$D$9*(1-(ABS($Q43-ABS(VALUE(MID(DT43,FIND("|",DT43)+1,FIND("-",DT43)-FIND("|",DT43)-1))-VALUE(MID(DT43,FIND("-",DT43)+1,10)))))*$D$50),$D$9*(1-(IF($N43="X",ABS($O43-VALUE(MID(DT43,FIND("|",DT43)+1,FIND("-",DT43)-FIND("|",DT43)-1))),ABS($Q43-ABS(VALUE(MID(DT43,FIND("|",DT43)+1,FIND("-",DT43)-FIND("|",DT43)-1))-VALUE(MID(DT43,FIND("-",DT43)+1,10)))))*$D$50)))))*$I43,0)),0)</f>
        <v>0</v>
      </c>
      <c r="DV43" s="338"/>
      <c r="DW43" s="363"/>
      <c r="DX43" s="356" t="n">
        <f aca="false">IFERROR(IF($M43=DW43,($D$8+$D$9+$D$10)*$I43,IF($N43=LEFT(DW43,1),($D$8+MAX(0,IF($D$50=1,$D$9*(1-(ABS($Q43-ABS(VALUE(MID(DW43,FIND("|",DW43)+1,FIND("-",DW43)-FIND("|",DW43)-1))-VALUE(MID(DW43,FIND("-",DW43)+1,10)))))*$D$50),$D$9*(1-(IF($N43="X",ABS($O43-VALUE(MID(DW43,FIND("|",DW43)+1,FIND("-",DW43)-FIND("|",DW43)-1))),ABS($Q43-ABS(VALUE(MID(DW43,FIND("|",DW43)+1,FIND("-",DW43)-FIND("|",DW43)-1))-VALUE(MID(DW43,FIND("-",DW43)+1,10)))))*$D$50)))))*$I43,0)),0)</f>
        <v>0</v>
      </c>
      <c r="DY43" s="338"/>
      <c r="DZ43" s="363"/>
      <c r="EA43" s="356" t="n">
        <f aca="false">IFERROR(IF($M43=DZ43,($D$8+$D$9+$D$10)*$I43,IF($N43=LEFT(DZ43,1),($D$8+MAX(0,IF($D$50=1,$D$9*(1-(ABS($Q43-ABS(VALUE(MID(DZ43,FIND("|",DZ43)+1,FIND("-",DZ43)-FIND("|",DZ43)-1))-VALUE(MID(DZ43,FIND("-",DZ43)+1,10)))))*$D$50),$D$9*(1-(IF($N43="X",ABS($O43-VALUE(MID(DZ43,FIND("|",DZ43)+1,FIND("-",DZ43)-FIND("|",DZ43)-1))),ABS($Q43-ABS(VALUE(MID(DZ43,FIND("|",DZ43)+1,FIND("-",DZ43)-FIND("|",DZ43)-1))-VALUE(MID(DZ43,FIND("-",DZ43)+1,10)))))*$D$50)))))*$I43,0)),0)</f>
        <v>0</v>
      </c>
      <c r="EB43" s="338"/>
      <c r="EC43" s="363"/>
      <c r="ED43" s="356" t="n">
        <f aca="false">IFERROR(IF($M43=EC43,($D$8+$D$9+$D$10)*$I43,IF($N43=LEFT(EC43,1),($D$8+MAX(0,IF($D$50=1,$D$9*(1-(ABS($Q43-ABS(VALUE(MID(EC43,FIND("|",EC43)+1,FIND("-",EC43)-FIND("|",EC43)-1))-VALUE(MID(EC43,FIND("-",EC43)+1,10)))))*$D$50),$D$9*(1-(IF($N43="X",ABS($O43-VALUE(MID(EC43,FIND("|",EC43)+1,FIND("-",EC43)-FIND("|",EC43)-1))),ABS($Q43-ABS(VALUE(MID(EC43,FIND("|",EC43)+1,FIND("-",EC43)-FIND("|",EC43)-1))-VALUE(MID(EC43,FIND("-",EC43)+1,10)))))*$D$50)))))*$I43,0)),0)</f>
        <v>0</v>
      </c>
      <c r="EE43" s="338"/>
      <c r="EF43" s="363"/>
      <c r="EG43" s="356" t="n">
        <f aca="false">IFERROR(IF($M43=EF43,($D$8+$D$9+$D$10)*$I43,IF($N43=LEFT(EF43,1),($D$8+MAX(0,IF($D$50=1,$D$9*(1-(ABS($Q43-ABS(VALUE(MID(EF43,FIND("|",EF43)+1,FIND("-",EF43)-FIND("|",EF43)-1))-VALUE(MID(EF43,FIND("-",EF43)+1,10)))))*$D$50),$D$9*(1-(IF($N43="X",ABS($O43-VALUE(MID(EF43,FIND("|",EF43)+1,FIND("-",EF43)-FIND("|",EF43)-1))),ABS($Q43-ABS(VALUE(MID(EF43,FIND("|",EF43)+1,FIND("-",EF43)-FIND("|",EF43)-1))-VALUE(MID(EF43,FIND("-",EF43)+1,10)))))*$D$50)))))*$I43,0)),0)</f>
        <v>0</v>
      </c>
      <c r="EH43" s="338"/>
      <c r="EI43" s="338"/>
    </row>
    <row r="44" customFormat="false" ht="15" hidden="false" customHeight="false" outlineLevel="0" collapsed="false">
      <c r="A44" s="327"/>
      <c r="B44" s="327"/>
      <c r="C44" s="360" t="str">
        <f aca="false">Idiomas!D338</f>
        <v>Bota de Oro  (máximo goleador)</v>
      </c>
      <c r="D44" s="361" t="n">
        <v>20</v>
      </c>
      <c r="E44" s="334"/>
      <c r="F44" s="343" t="n">
        <f aca="false">SUM($D$8:$D$10)*I44</f>
        <v>17</v>
      </c>
      <c r="G44" s="343" t="n">
        <f aca="false">VLOOKUP(H44,Equipos!$Q$1:$R$25,2,0)</f>
        <v>11</v>
      </c>
      <c r="H44" s="351" t="n">
        <f aca="false">TRUNC(INDEX(WORLDCUP!$X$4:$X$147,MATCH(ADMIN!K44,WORLDCUP!$DT$4:$DT$147,0))+INDEX(Horarios!$R$3:$R$86,MATCH(Horarios!$C$3,Horarios!$P$3:$P$86,0))/24)</f>
        <v>46194</v>
      </c>
      <c r="I44" s="352" t="n">
        <v>1</v>
      </c>
      <c r="J44" s="362" t="s">
        <v>306</v>
      </c>
      <c r="K44" s="367" t="str">
        <f aca="false">CONCATENATE(WORLDCUP!AA62,"-",WORLDCUP!AF62)</f>
        <v>España-Arabia Saudita</v>
      </c>
      <c r="L44" s="354"/>
      <c r="M44" s="359" t="str">
        <f aca="false">IF(OR(WORLDCUP!AC62="",WORLDCUP!AD62=""),"-",N44&amp;"|"&amp;O44&amp;"-"&amp;P44)</f>
        <v>-</v>
      </c>
      <c r="N44" s="332" t="str">
        <f aca="false">IF(OR(WORLDCUP!AC62="",WORLDCUP!AD62=""),"",IF(WORLDCUP!AC62&gt;WORLDCUP!AD62,"1",IF(WORLDCUP!AC62&lt;WORLDCUP!AD62,"2","X")))</f>
        <v/>
      </c>
      <c r="O44" s="332" t="n">
        <f aca="false">WORLDCUP!AC62</f>
        <v>0</v>
      </c>
      <c r="P44" s="332" t="n">
        <f aca="false">WORLDCUP!AD62</f>
        <v>0</v>
      </c>
      <c r="Q44" s="332" t="n">
        <f aca="false">ABS(O44-P44)</f>
        <v>0</v>
      </c>
      <c r="R44" s="327"/>
      <c r="S44" s="363" t="s">
        <v>272</v>
      </c>
      <c r="T44" s="356" t="n">
        <f aca="false">IFERROR(IF($M44=S44,($D$8+$D$9+$D$10)*$I44,IF($N44=LEFT(S44,1),($D$8+MAX(0,IF($D$50=1,$D$9*(1-(ABS($Q44-ABS(VALUE(MID(S44,FIND("|",S44)+1,FIND("-",S44)-FIND("|",S44)-1))-VALUE(MID(S44,FIND("-",S44)+1,10)))))*$D$50),$D$9*(1-(IF($N44="X",ABS($O44-VALUE(MID(S44,FIND("|",S44)+1,FIND("-",S44)-FIND("|",S44)-1))),ABS($Q44-ABS(VALUE(MID(S44,FIND("|",S44)+1,FIND("-",S44)-FIND("|",S44)-1))-VALUE(MID(S44,FIND("-",S44)+1,10)))))*$D$50)))))*$I44,0)),0)</f>
        <v>0</v>
      </c>
      <c r="U44" s="338"/>
      <c r="V44" s="363" t="s">
        <v>266</v>
      </c>
      <c r="W44" s="356" t="n">
        <f aca="false">IFERROR(IF($M44=V44,($D$8+$D$9+$D$10)*$I44,IF($N44=LEFT(V44,1),($D$8+MAX(0,IF($D$50=1,$D$9*(1-(ABS($Q44-ABS(VALUE(MID(V44,FIND("|",V44)+1,FIND("-",V44)-FIND("|",V44)-1))-VALUE(MID(V44,FIND("-",V44)+1,10)))))*$D$50),$D$9*(1-(IF($N44="X",ABS($O44-VALUE(MID(V44,FIND("|",V44)+1,FIND("-",V44)-FIND("|",V44)-1))),ABS($Q44-ABS(VALUE(MID(V44,FIND("|",V44)+1,FIND("-",V44)-FIND("|",V44)-1))-VALUE(MID(V44,FIND("-",V44)+1,10)))))*$D$50)))))*$I44,0)),0)</f>
        <v>0</v>
      </c>
      <c r="X44" s="338"/>
      <c r="Y44" s="363" t="s">
        <v>266</v>
      </c>
      <c r="Z44" s="356" t="n">
        <f aca="false">IFERROR(IF($M44=Y44,($D$8+$D$9+$D$10)*$I44,IF($N44=LEFT(Y44,1),($D$8+MAX(0,IF($D$50=1,$D$9*(1-(ABS($Q44-ABS(VALUE(MID(Y44,FIND("|",Y44)+1,FIND("-",Y44)-FIND("|",Y44)-1))-VALUE(MID(Y44,FIND("-",Y44)+1,10)))))*$D$50),$D$9*(1-(IF($N44="X",ABS($O44-VALUE(MID(Y44,FIND("|",Y44)+1,FIND("-",Y44)-FIND("|",Y44)-1))),ABS($Q44-ABS(VALUE(MID(Y44,FIND("|",Y44)+1,FIND("-",Y44)-FIND("|",Y44)-1))-VALUE(MID(Y44,FIND("-",Y44)+1,10)))))*$D$50)))))*$I44,0)),0)</f>
        <v>0</v>
      </c>
      <c r="AA44" s="338"/>
      <c r="AB44" s="363" t="s">
        <v>264</v>
      </c>
      <c r="AC44" s="356" t="n">
        <f aca="false">IFERROR(IF($M44=AB44,($D$8+$D$9+$D$10)*$I44,IF($N44=LEFT(AB44,1),($D$8+MAX(0,IF($D$50=1,$D$9*(1-(ABS($Q44-ABS(VALUE(MID(AB44,FIND("|",AB44)+1,FIND("-",AB44)-FIND("|",AB44)-1))-VALUE(MID(AB44,FIND("-",AB44)+1,10)))))*$D$50),$D$9*(1-(IF($N44="X",ABS($O44-VALUE(MID(AB44,FIND("|",AB44)+1,FIND("-",AB44)-FIND("|",AB44)-1))),ABS($Q44-ABS(VALUE(MID(AB44,FIND("|",AB44)+1,FIND("-",AB44)-FIND("|",AB44)-1))-VALUE(MID(AB44,FIND("-",AB44)+1,10)))))*$D$50)))))*$I44,0)),0)</f>
        <v>0</v>
      </c>
      <c r="AD44" s="338"/>
      <c r="AE44" s="363" t="s">
        <v>272</v>
      </c>
      <c r="AF44" s="356" t="n">
        <f aca="false">IFERROR(IF($M44=AE44,($D$8+$D$9+$D$10)*$I44,IF($N44=LEFT(AE44,1),($D$8+MAX(0,IF($D$50=1,$D$9*(1-(ABS($Q44-ABS(VALUE(MID(AE44,FIND("|",AE44)+1,FIND("-",AE44)-FIND("|",AE44)-1))-VALUE(MID(AE44,FIND("-",AE44)+1,10)))))*$D$50),$D$9*(1-(IF($N44="X",ABS($O44-VALUE(MID(AE44,FIND("|",AE44)+1,FIND("-",AE44)-FIND("|",AE44)-1))),ABS($Q44-ABS(VALUE(MID(AE44,FIND("|",AE44)+1,FIND("-",AE44)-FIND("|",AE44)-1))-VALUE(MID(AE44,FIND("-",AE44)+1,10)))))*$D$50)))))*$I44,0)),0)</f>
        <v>0</v>
      </c>
      <c r="AG44" s="338"/>
      <c r="AH44" s="363" t="s">
        <v>266</v>
      </c>
      <c r="AI44" s="356" t="n">
        <f aca="false">IFERROR(IF($M44=AH44,($D$8+$D$9+$D$10)*$I44,IF($N44=LEFT(AH44,1),($D$8+MAX(0,IF($D$50=1,$D$9*(1-(ABS($Q44-ABS(VALUE(MID(AH44,FIND("|",AH44)+1,FIND("-",AH44)-FIND("|",AH44)-1))-VALUE(MID(AH44,FIND("-",AH44)+1,10)))))*$D$50),$D$9*(1-(IF($N44="X",ABS($O44-VALUE(MID(AH44,FIND("|",AH44)+1,FIND("-",AH44)-FIND("|",AH44)-1))),ABS($Q44-ABS(VALUE(MID(AH44,FIND("|",AH44)+1,FIND("-",AH44)-FIND("|",AH44)-1))-VALUE(MID(AH44,FIND("-",AH44)+1,10)))))*$D$50)))))*$I44,0)),0)</f>
        <v>0</v>
      </c>
      <c r="AJ44" s="338"/>
      <c r="AK44" s="363" t="s">
        <v>266</v>
      </c>
      <c r="AL44" s="356" t="n">
        <f aca="false">IFERROR(IF($M44=AK44,($D$8+$D$9+$D$10)*$I44,IF($N44=LEFT(AK44,1),($D$8+MAX(0,IF($D$50=1,$D$9*(1-(ABS($Q44-ABS(VALUE(MID(AK44,FIND("|",AK44)+1,FIND("-",AK44)-FIND("|",AK44)-1))-VALUE(MID(AK44,FIND("-",AK44)+1,10)))))*$D$50),$D$9*(1-(IF($N44="X",ABS($O44-VALUE(MID(AK44,FIND("|",AK44)+1,FIND("-",AK44)-FIND("|",AK44)-1))),ABS($Q44-ABS(VALUE(MID(AK44,FIND("|",AK44)+1,FIND("-",AK44)-FIND("|",AK44)-1))-VALUE(MID(AK44,FIND("-",AK44)+1,10)))))*$D$50)))))*$I44,0)),0)</f>
        <v>0</v>
      </c>
      <c r="AM44" s="338"/>
      <c r="AN44" s="363" t="s">
        <v>272</v>
      </c>
      <c r="AO44" s="356" t="n">
        <f aca="false">IFERROR(IF($M44=AN44,($D$8+$D$9+$D$10)*$I44,IF($N44=LEFT(AN44,1),($D$8+MAX(0,IF($D$50=1,$D$9*(1-(ABS($Q44-ABS(VALUE(MID(AN44,FIND("|",AN44)+1,FIND("-",AN44)-FIND("|",AN44)-1))-VALUE(MID(AN44,FIND("-",AN44)+1,10)))))*$D$50),$D$9*(1-(IF($N44="X",ABS($O44-VALUE(MID(AN44,FIND("|",AN44)+1,FIND("-",AN44)-FIND("|",AN44)-1))),ABS($Q44-ABS(VALUE(MID(AN44,FIND("|",AN44)+1,FIND("-",AN44)-FIND("|",AN44)-1))-VALUE(MID(AN44,FIND("-",AN44)+1,10)))))*$D$50)))))*$I44,0)),0)</f>
        <v>0</v>
      </c>
      <c r="AP44" s="338"/>
      <c r="AQ44" s="363" t="s">
        <v>264</v>
      </c>
      <c r="AR44" s="356" t="n">
        <f aca="false">IFERROR(IF($M44=AQ44,($D$8+$D$9+$D$10)*$I44,IF($N44=LEFT(AQ44,1),($D$8+MAX(0,IF($D$50=1,$D$9*(1-(ABS($Q44-ABS(VALUE(MID(AQ44,FIND("|",AQ44)+1,FIND("-",AQ44)-FIND("|",AQ44)-1))-VALUE(MID(AQ44,FIND("-",AQ44)+1,10)))))*$D$50),$D$9*(1-(IF($N44="X",ABS($O44-VALUE(MID(AQ44,FIND("|",AQ44)+1,FIND("-",AQ44)-FIND("|",AQ44)-1))),ABS($Q44-ABS(VALUE(MID(AQ44,FIND("|",AQ44)+1,FIND("-",AQ44)-FIND("|",AQ44)-1))-VALUE(MID(AQ44,FIND("-",AQ44)+1,10)))))*$D$50)))))*$I44,0)),0)</f>
        <v>0</v>
      </c>
      <c r="AS44" s="338"/>
      <c r="AT44" s="363" t="s">
        <v>272</v>
      </c>
      <c r="AU44" s="356" t="n">
        <f aca="false">IFERROR(IF($M44=AT44,($D$8+$D$9+$D$10)*$I44,IF($N44=LEFT(AT44,1),($D$8+MAX(0,IF($D$50=1,$D$9*(1-(ABS($Q44-ABS(VALUE(MID(AT44,FIND("|",AT44)+1,FIND("-",AT44)-FIND("|",AT44)-1))-VALUE(MID(AT44,FIND("-",AT44)+1,10)))))*$D$50),$D$9*(1-(IF($N44="X",ABS($O44-VALUE(MID(AT44,FIND("|",AT44)+1,FIND("-",AT44)-FIND("|",AT44)-1))),ABS($Q44-ABS(VALUE(MID(AT44,FIND("|",AT44)+1,FIND("-",AT44)-FIND("|",AT44)-1))-VALUE(MID(AT44,FIND("-",AT44)+1,10)))))*$D$50)))))*$I44,0)),0)</f>
        <v>0</v>
      </c>
      <c r="AV44" s="338"/>
      <c r="AW44" s="363" t="s">
        <v>266</v>
      </c>
      <c r="AX44" s="356" t="n">
        <f aca="false">IFERROR(IF($M44=AW44,($D$8+$D$9+$D$10)*$I44,IF($N44=LEFT(AW44,1),($D$8+MAX(0,IF($D$50=1,$D$9*(1-(ABS($Q44-ABS(VALUE(MID(AW44,FIND("|",AW44)+1,FIND("-",AW44)-FIND("|",AW44)-1))-VALUE(MID(AW44,FIND("-",AW44)+1,10)))))*$D$50),$D$9*(1-(IF($N44="X",ABS($O44-VALUE(MID(AW44,FIND("|",AW44)+1,FIND("-",AW44)-FIND("|",AW44)-1))),ABS($Q44-ABS(VALUE(MID(AW44,FIND("|",AW44)+1,FIND("-",AW44)-FIND("|",AW44)-1))-VALUE(MID(AW44,FIND("-",AW44)+1,10)))))*$D$50)))))*$I44,0)),0)</f>
        <v>0</v>
      </c>
      <c r="AY44" s="338"/>
      <c r="AZ44" s="363" t="s">
        <v>266</v>
      </c>
      <c r="BA44" s="356" t="n">
        <f aca="false">IFERROR(IF($M44=AZ44,($D$8+$D$9+$D$10)*$I44,IF($N44=LEFT(AZ44,1),($D$8+MAX(0,IF($D$50=1,$D$9*(1-(ABS($Q44-ABS(VALUE(MID(AZ44,FIND("|",AZ44)+1,FIND("-",AZ44)-FIND("|",AZ44)-1))-VALUE(MID(AZ44,FIND("-",AZ44)+1,10)))))*$D$50),$D$9*(1-(IF($N44="X",ABS($O44-VALUE(MID(AZ44,FIND("|",AZ44)+1,FIND("-",AZ44)-FIND("|",AZ44)-1))),ABS($Q44-ABS(VALUE(MID(AZ44,FIND("|",AZ44)+1,FIND("-",AZ44)-FIND("|",AZ44)-1))-VALUE(MID(AZ44,FIND("-",AZ44)+1,10)))))*$D$50)))))*$I44,0)),0)</f>
        <v>0</v>
      </c>
      <c r="BB44" s="338"/>
      <c r="BC44" s="363" t="s">
        <v>266</v>
      </c>
      <c r="BD44" s="356" t="n">
        <f aca="false">IFERROR(IF($M44=BC44,($D$8+$D$9+$D$10)*$I44,IF($N44=LEFT(BC44,1),($D$8+MAX(0,IF($D$50=1,$D$9*(1-(ABS($Q44-ABS(VALUE(MID(BC44,FIND("|",BC44)+1,FIND("-",BC44)-FIND("|",BC44)-1))-VALUE(MID(BC44,FIND("-",BC44)+1,10)))))*$D$50),$D$9*(1-(IF($N44="X",ABS($O44-VALUE(MID(BC44,FIND("|",BC44)+1,FIND("-",BC44)-FIND("|",BC44)-1))),ABS($Q44-ABS(VALUE(MID(BC44,FIND("|",BC44)+1,FIND("-",BC44)-FIND("|",BC44)-1))-VALUE(MID(BC44,FIND("-",BC44)+1,10)))))*$D$50)))))*$I44,0)),0)</f>
        <v>0</v>
      </c>
      <c r="BE44" s="338"/>
      <c r="BF44" s="363" t="s">
        <v>266</v>
      </c>
      <c r="BG44" s="356" t="n">
        <f aca="false">IFERROR(IF($M44=BF44,($D$8+$D$9+$D$10)*$I44,IF($N44=LEFT(BF44,1),($D$8+MAX(0,IF($D$50=1,$D$9*(1-(ABS($Q44-ABS(VALUE(MID(BF44,FIND("|",BF44)+1,FIND("-",BF44)-FIND("|",BF44)-1))-VALUE(MID(BF44,FIND("-",BF44)+1,10)))))*$D$50),$D$9*(1-(IF($N44="X",ABS($O44-VALUE(MID(BF44,FIND("|",BF44)+1,FIND("-",BF44)-FIND("|",BF44)-1))),ABS($Q44-ABS(VALUE(MID(BF44,FIND("|",BF44)+1,FIND("-",BF44)-FIND("|",BF44)-1))-VALUE(MID(BF44,FIND("-",BF44)+1,10)))))*$D$50)))))*$I44,0)),0)</f>
        <v>0</v>
      </c>
      <c r="BH44" s="338"/>
      <c r="BI44" s="363" t="s">
        <v>264</v>
      </c>
      <c r="BJ44" s="356" t="n">
        <f aca="false">IFERROR(IF($M44=BI44,($D$8+$D$9+$D$10)*$I44,IF($N44=LEFT(BI44,1),($D$8+MAX(0,IF($D$50=1,$D$9*(1-(ABS($Q44-ABS(VALUE(MID(BI44,FIND("|",BI44)+1,FIND("-",BI44)-FIND("|",BI44)-1))-VALUE(MID(BI44,FIND("-",BI44)+1,10)))))*$D$50),$D$9*(1-(IF($N44="X",ABS($O44-VALUE(MID(BI44,FIND("|",BI44)+1,FIND("-",BI44)-FIND("|",BI44)-1))),ABS($Q44-ABS(VALUE(MID(BI44,FIND("|",BI44)+1,FIND("-",BI44)-FIND("|",BI44)-1))-VALUE(MID(BI44,FIND("-",BI44)+1,10)))))*$D$50)))))*$I44,0)),0)</f>
        <v>0</v>
      </c>
      <c r="BK44" s="338"/>
      <c r="BL44" s="363" t="s">
        <v>288</v>
      </c>
      <c r="BM44" s="356" t="n">
        <f aca="false">IFERROR(IF($M44=BL44,($D$8+$D$9+$D$10)*$I44,IF($N44=LEFT(BL44,1),($D$8+MAX(0,IF($D$50=1,$D$9*(1-(ABS($Q44-ABS(VALUE(MID(BL44,FIND("|",BL44)+1,FIND("-",BL44)-FIND("|",BL44)-1))-VALUE(MID(BL44,FIND("-",BL44)+1,10)))))*$D$50),$D$9*(1-(IF($N44="X",ABS($O44-VALUE(MID(BL44,FIND("|",BL44)+1,FIND("-",BL44)-FIND("|",BL44)-1))),ABS($Q44-ABS(VALUE(MID(BL44,FIND("|",BL44)+1,FIND("-",BL44)-FIND("|",BL44)-1))-VALUE(MID(BL44,FIND("-",BL44)+1,10)))))*$D$50)))))*$I44,0)),0)</f>
        <v>0</v>
      </c>
      <c r="BN44" s="338"/>
      <c r="BO44" s="363" t="s">
        <v>266</v>
      </c>
      <c r="BP44" s="356" t="n">
        <f aca="false">IFERROR(IF($M44=BO44,($D$8+$D$9+$D$10)*$I44,IF($N44=LEFT(BO44,1),($D$8+MAX(0,IF($D$50=1,$D$9*(1-(ABS($Q44-ABS(VALUE(MID(BO44,FIND("|",BO44)+1,FIND("-",BO44)-FIND("|",BO44)-1))-VALUE(MID(BO44,FIND("-",BO44)+1,10)))))*$D$50),$D$9*(1-(IF($N44="X",ABS($O44-VALUE(MID(BO44,FIND("|",BO44)+1,FIND("-",BO44)-FIND("|",BO44)-1))),ABS($Q44-ABS(VALUE(MID(BO44,FIND("|",BO44)+1,FIND("-",BO44)-FIND("|",BO44)-1))-VALUE(MID(BO44,FIND("-",BO44)+1,10)))))*$D$50)))))*$I44,0)),0)</f>
        <v>0</v>
      </c>
      <c r="BQ44" s="338"/>
      <c r="BR44" s="363" t="s">
        <v>266</v>
      </c>
      <c r="BS44" s="356" t="n">
        <f aca="false">IFERROR(IF($M44=BR44,($D$8+$D$9+$D$10)*$I44,IF($N44=LEFT(BR44,1),($D$8+MAX(0,IF($D$50=1,$D$9*(1-(ABS($Q44-ABS(VALUE(MID(BR44,FIND("|",BR44)+1,FIND("-",BR44)-FIND("|",BR44)-1))-VALUE(MID(BR44,FIND("-",BR44)+1,10)))))*$D$50),$D$9*(1-(IF($N44="X",ABS($O44-VALUE(MID(BR44,FIND("|",BR44)+1,FIND("-",BR44)-FIND("|",BR44)-1))),ABS($Q44-ABS(VALUE(MID(BR44,FIND("|",BR44)+1,FIND("-",BR44)-FIND("|",BR44)-1))-VALUE(MID(BR44,FIND("-",BR44)+1,10)))))*$D$50)))))*$I44,0)),0)</f>
        <v>0</v>
      </c>
      <c r="BT44" s="338"/>
      <c r="BU44" s="363"/>
      <c r="BV44" s="356" t="n">
        <f aca="false">IFERROR(IF($M44=BU44,($D$8+$D$9+$D$10)*$I44,IF($N44=LEFT(BU44,1),($D$8+MAX(0,IF($D$50=1,$D$9*(1-(ABS($Q44-ABS(VALUE(MID(BU44,FIND("|",BU44)+1,FIND("-",BU44)-FIND("|",BU44)-1))-VALUE(MID(BU44,FIND("-",BU44)+1,10)))))*$D$50),$D$9*(1-(IF($N44="X",ABS($O44-VALUE(MID(BU44,FIND("|",BU44)+1,FIND("-",BU44)-FIND("|",BU44)-1))),ABS($Q44-ABS(VALUE(MID(BU44,FIND("|",BU44)+1,FIND("-",BU44)-FIND("|",BU44)-1))-VALUE(MID(BU44,FIND("-",BU44)+1,10)))))*$D$50)))))*$I44,0)),0)</f>
        <v>0</v>
      </c>
      <c r="BW44" s="338"/>
      <c r="BX44" s="363"/>
      <c r="BY44" s="356" t="n">
        <f aca="false">IFERROR(IF($M44=BX44,($D$8+$D$9+$D$10)*$I44,IF($N44=LEFT(BX44,1),($D$8+MAX(0,IF($D$50=1,$D$9*(1-(ABS($Q44-ABS(VALUE(MID(BX44,FIND("|",BX44)+1,FIND("-",BX44)-FIND("|",BX44)-1))-VALUE(MID(BX44,FIND("-",BX44)+1,10)))))*$D$50),$D$9*(1-(IF($N44="X",ABS($O44-VALUE(MID(BX44,FIND("|",BX44)+1,FIND("-",BX44)-FIND("|",BX44)-1))),ABS($Q44-ABS(VALUE(MID(BX44,FIND("|",BX44)+1,FIND("-",BX44)-FIND("|",BX44)-1))-VALUE(MID(BX44,FIND("-",BX44)+1,10)))))*$D$50)))))*$I44,0)),0)</f>
        <v>0</v>
      </c>
      <c r="BZ44" s="338"/>
      <c r="CA44" s="363"/>
      <c r="CB44" s="356" t="n">
        <f aca="false">IFERROR(IF($M44=CA44,($D$8+$D$9+$D$10)*$I44,IF($N44=LEFT(CA44,1),($D$8+MAX(0,IF($D$50=1,$D$9*(1-(ABS($Q44-ABS(VALUE(MID(CA44,FIND("|",CA44)+1,FIND("-",CA44)-FIND("|",CA44)-1))-VALUE(MID(CA44,FIND("-",CA44)+1,10)))))*$D$50),$D$9*(1-(IF($N44="X",ABS($O44-VALUE(MID(CA44,FIND("|",CA44)+1,FIND("-",CA44)-FIND("|",CA44)-1))),ABS($Q44-ABS(VALUE(MID(CA44,FIND("|",CA44)+1,FIND("-",CA44)-FIND("|",CA44)-1))-VALUE(MID(CA44,FIND("-",CA44)+1,10)))))*$D$50)))))*$I44,0)),0)</f>
        <v>0</v>
      </c>
      <c r="CC44" s="338"/>
      <c r="CD44" s="363"/>
      <c r="CE44" s="356" t="n">
        <f aca="false">IFERROR(IF($M44=CD44,($D$8+$D$9+$D$10)*$I44,IF($N44=LEFT(CD44,1),($D$8+MAX(0,IF($D$50=1,$D$9*(1-(ABS($Q44-ABS(VALUE(MID(CD44,FIND("|",CD44)+1,FIND("-",CD44)-FIND("|",CD44)-1))-VALUE(MID(CD44,FIND("-",CD44)+1,10)))))*$D$50),$D$9*(1-(IF($N44="X",ABS($O44-VALUE(MID(CD44,FIND("|",CD44)+1,FIND("-",CD44)-FIND("|",CD44)-1))),ABS($Q44-ABS(VALUE(MID(CD44,FIND("|",CD44)+1,FIND("-",CD44)-FIND("|",CD44)-1))-VALUE(MID(CD44,FIND("-",CD44)+1,10)))))*$D$50)))))*$I44,0)),0)</f>
        <v>0</v>
      </c>
      <c r="CF44" s="338"/>
      <c r="CG44" s="363"/>
      <c r="CH44" s="356" t="n">
        <f aca="false">IFERROR(IF($M44=CG44,($D$8+$D$9+$D$10)*$I44,IF($N44=LEFT(CG44,1),($D$8+MAX(0,IF($D$50=1,$D$9*(1-(ABS($Q44-ABS(VALUE(MID(CG44,FIND("|",CG44)+1,FIND("-",CG44)-FIND("|",CG44)-1))-VALUE(MID(CG44,FIND("-",CG44)+1,10)))))*$D$50),$D$9*(1-(IF($N44="X",ABS($O44-VALUE(MID(CG44,FIND("|",CG44)+1,FIND("-",CG44)-FIND("|",CG44)-1))),ABS($Q44-ABS(VALUE(MID(CG44,FIND("|",CG44)+1,FIND("-",CG44)-FIND("|",CG44)-1))-VALUE(MID(CG44,FIND("-",CG44)+1,10)))))*$D$50)))))*$I44,0)),0)</f>
        <v>0</v>
      </c>
      <c r="CI44" s="338"/>
      <c r="CJ44" s="363"/>
      <c r="CK44" s="356" t="n">
        <f aca="false">IFERROR(IF($M44=CJ44,($D$8+$D$9+$D$10)*$I44,IF($N44=LEFT(CJ44,1),($D$8+MAX(0,IF($D$50=1,$D$9*(1-(ABS($Q44-ABS(VALUE(MID(CJ44,FIND("|",CJ44)+1,FIND("-",CJ44)-FIND("|",CJ44)-1))-VALUE(MID(CJ44,FIND("-",CJ44)+1,10)))))*$D$50),$D$9*(1-(IF($N44="X",ABS($O44-VALUE(MID(CJ44,FIND("|",CJ44)+1,FIND("-",CJ44)-FIND("|",CJ44)-1))),ABS($Q44-ABS(VALUE(MID(CJ44,FIND("|",CJ44)+1,FIND("-",CJ44)-FIND("|",CJ44)-1))-VALUE(MID(CJ44,FIND("-",CJ44)+1,10)))))*$D$50)))))*$I44,0)),0)</f>
        <v>0</v>
      </c>
      <c r="CL44" s="338"/>
      <c r="CM44" s="363"/>
      <c r="CN44" s="356" t="n">
        <f aca="false">IFERROR(IF($M44=CM44,($D$8+$D$9+$D$10)*$I44,IF($N44=LEFT(CM44,1),($D$8+MAX(0,IF($D$50=1,$D$9*(1-(ABS($Q44-ABS(VALUE(MID(CM44,FIND("|",CM44)+1,FIND("-",CM44)-FIND("|",CM44)-1))-VALUE(MID(CM44,FIND("-",CM44)+1,10)))))*$D$50),$D$9*(1-(IF($N44="X",ABS($O44-VALUE(MID(CM44,FIND("|",CM44)+1,FIND("-",CM44)-FIND("|",CM44)-1))),ABS($Q44-ABS(VALUE(MID(CM44,FIND("|",CM44)+1,FIND("-",CM44)-FIND("|",CM44)-1))-VALUE(MID(CM44,FIND("-",CM44)+1,10)))))*$D$50)))))*$I44,0)),0)</f>
        <v>0</v>
      </c>
      <c r="CO44" s="338"/>
      <c r="CP44" s="363"/>
      <c r="CQ44" s="356" t="n">
        <f aca="false">IFERROR(IF($M44=CP44,($D$8+$D$9+$D$10)*$I44,IF($N44=LEFT(CP44,1),($D$8+MAX(0,IF($D$50=1,$D$9*(1-(ABS($Q44-ABS(VALUE(MID(CP44,FIND("|",CP44)+1,FIND("-",CP44)-FIND("|",CP44)-1))-VALUE(MID(CP44,FIND("-",CP44)+1,10)))))*$D$50),$D$9*(1-(IF($N44="X",ABS($O44-VALUE(MID(CP44,FIND("|",CP44)+1,FIND("-",CP44)-FIND("|",CP44)-1))),ABS($Q44-ABS(VALUE(MID(CP44,FIND("|",CP44)+1,FIND("-",CP44)-FIND("|",CP44)-1))-VALUE(MID(CP44,FIND("-",CP44)+1,10)))))*$D$50)))))*$I44,0)),0)</f>
        <v>0</v>
      </c>
      <c r="CR44" s="338"/>
      <c r="CS44" s="363"/>
      <c r="CT44" s="356" t="n">
        <f aca="false">IFERROR(IF($M44=CS44,($D$8+$D$9+$D$10)*$I44,IF($N44=LEFT(CS44,1),($D$8+MAX(0,IF($D$50=1,$D$9*(1-(ABS($Q44-ABS(VALUE(MID(CS44,FIND("|",CS44)+1,FIND("-",CS44)-FIND("|",CS44)-1))-VALUE(MID(CS44,FIND("-",CS44)+1,10)))))*$D$50),$D$9*(1-(IF($N44="X",ABS($O44-VALUE(MID(CS44,FIND("|",CS44)+1,FIND("-",CS44)-FIND("|",CS44)-1))),ABS($Q44-ABS(VALUE(MID(CS44,FIND("|",CS44)+1,FIND("-",CS44)-FIND("|",CS44)-1))-VALUE(MID(CS44,FIND("-",CS44)+1,10)))))*$D$50)))))*$I44,0)),0)</f>
        <v>0</v>
      </c>
      <c r="CU44" s="338"/>
      <c r="CV44" s="363"/>
      <c r="CW44" s="356" t="n">
        <f aca="false">IFERROR(IF($M44=CV44,($D$8+$D$9+$D$10)*$I44,IF($N44=LEFT(CV44,1),($D$8+MAX(0,IF($D$50=1,$D$9*(1-(ABS($Q44-ABS(VALUE(MID(CV44,FIND("|",CV44)+1,FIND("-",CV44)-FIND("|",CV44)-1))-VALUE(MID(CV44,FIND("-",CV44)+1,10)))))*$D$50),$D$9*(1-(IF($N44="X",ABS($O44-VALUE(MID(CV44,FIND("|",CV44)+1,FIND("-",CV44)-FIND("|",CV44)-1))),ABS($Q44-ABS(VALUE(MID(CV44,FIND("|",CV44)+1,FIND("-",CV44)-FIND("|",CV44)-1))-VALUE(MID(CV44,FIND("-",CV44)+1,10)))))*$D$50)))))*$I44,0)),0)</f>
        <v>0</v>
      </c>
      <c r="CX44" s="338"/>
      <c r="CY44" s="363"/>
      <c r="CZ44" s="356" t="n">
        <f aca="false">IFERROR(IF($M44=CY44,($D$8+$D$9+$D$10)*$I44,IF($N44=LEFT(CY44,1),($D$8+MAX(0,IF($D$50=1,$D$9*(1-(ABS($Q44-ABS(VALUE(MID(CY44,FIND("|",CY44)+1,FIND("-",CY44)-FIND("|",CY44)-1))-VALUE(MID(CY44,FIND("-",CY44)+1,10)))))*$D$50),$D$9*(1-(IF($N44="X",ABS($O44-VALUE(MID(CY44,FIND("|",CY44)+1,FIND("-",CY44)-FIND("|",CY44)-1))),ABS($Q44-ABS(VALUE(MID(CY44,FIND("|",CY44)+1,FIND("-",CY44)-FIND("|",CY44)-1))-VALUE(MID(CY44,FIND("-",CY44)+1,10)))))*$D$50)))))*$I44,0)),0)</f>
        <v>0</v>
      </c>
      <c r="DA44" s="338"/>
      <c r="DB44" s="363"/>
      <c r="DC44" s="356" t="n">
        <f aca="false">IFERROR(IF($M44=DB44,($D$8+$D$9+$D$10)*$I44,IF($N44=LEFT(DB44,1),($D$8+MAX(0,IF($D$50=1,$D$9*(1-(ABS($Q44-ABS(VALUE(MID(DB44,FIND("|",DB44)+1,FIND("-",DB44)-FIND("|",DB44)-1))-VALUE(MID(DB44,FIND("-",DB44)+1,10)))))*$D$50),$D$9*(1-(IF($N44="X",ABS($O44-VALUE(MID(DB44,FIND("|",DB44)+1,FIND("-",DB44)-FIND("|",DB44)-1))),ABS($Q44-ABS(VALUE(MID(DB44,FIND("|",DB44)+1,FIND("-",DB44)-FIND("|",DB44)-1))-VALUE(MID(DB44,FIND("-",DB44)+1,10)))))*$D$50)))))*$I44,0)),0)</f>
        <v>0</v>
      </c>
      <c r="DD44" s="338"/>
      <c r="DE44" s="363"/>
      <c r="DF44" s="356" t="n">
        <f aca="false">IFERROR(IF($M44=DE44,($D$8+$D$9+$D$10)*$I44,IF($N44=LEFT(DE44,1),($D$8+MAX(0,IF($D$50=1,$D$9*(1-(ABS($Q44-ABS(VALUE(MID(DE44,FIND("|",DE44)+1,FIND("-",DE44)-FIND("|",DE44)-1))-VALUE(MID(DE44,FIND("-",DE44)+1,10)))))*$D$50),$D$9*(1-(IF($N44="X",ABS($O44-VALUE(MID(DE44,FIND("|",DE44)+1,FIND("-",DE44)-FIND("|",DE44)-1))),ABS($Q44-ABS(VALUE(MID(DE44,FIND("|",DE44)+1,FIND("-",DE44)-FIND("|",DE44)-1))-VALUE(MID(DE44,FIND("-",DE44)+1,10)))))*$D$50)))))*$I44,0)),0)</f>
        <v>0</v>
      </c>
      <c r="DG44" s="338"/>
      <c r="DH44" s="363"/>
      <c r="DI44" s="356" t="n">
        <f aca="false">IFERROR(IF($M44=DH44,($D$8+$D$9+$D$10)*$I44,IF($N44=LEFT(DH44,1),($D$8+MAX(0,IF($D$50=1,$D$9*(1-(ABS($Q44-ABS(VALUE(MID(DH44,FIND("|",DH44)+1,FIND("-",DH44)-FIND("|",DH44)-1))-VALUE(MID(DH44,FIND("-",DH44)+1,10)))))*$D$50),$D$9*(1-(IF($N44="X",ABS($O44-VALUE(MID(DH44,FIND("|",DH44)+1,FIND("-",DH44)-FIND("|",DH44)-1))),ABS($Q44-ABS(VALUE(MID(DH44,FIND("|",DH44)+1,FIND("-",DH44)-FIND("|",DH44)-1))-VALUE(MID(DH44,FIND("-",DH44)+1,10)))))*$D$50)))))*$I44,0)),0)</f>
        <v>0</v>
      </c>
      <c r="DJ44" s="338"/>
      <c r="DK44" s="363"/>
      <c r="DL44" s="356" t="n">
        <f aca="false">IFERROR(IF($M44=DK44,($D$8+$D$9+$D$10)*$I44,IF($N44=LEFT(DK44,1),($D$8+MAX(0,IF($D$50=1,$D$9*(1-(ABS($Q44-ABS(VALUE(MID(DK44,FIND("|",DK44)+1,FIND("-",DK44)-FIND("|",DK44)-1))-VALUE(MID(DK44,FIND("-",DK44)+1,10)))))*$D$50),$D$9*(1-(IF($N44="X",ABS($O44-VALUE(MID(DK44,FIND("|",DK44)+1,FIND("-",DK44)-FIND("|",DK44)-1))),ABS($Q44-ABS(VALUE(MID(DK44,FIND("|",DK44)+1,FIND("-",DK44)-FIND("|",DK44)-1))-VALUE(MID(DK44,FIND("-",DK44)+1,10)))))*$D$50)))))*$I44,0)),0)</f>
        <v>0</v>
      </c>
      <c r="DM44" s="338"/>
      <c r="DN44" s="363"/>
      <c r="DO44" s="356" t="n">
        <f aca="false">IFERROR(IF($M44=DN44,($D$8+$D$9+$D$10)*$I44,IF($N44=LEFT(DN44,1),($D$8+MAX(0,IF($D$50=1,$D$9*(1-(ABS($Q44-ABS(VALUE(MID(DN44,FIND("|",DN44)+1,FIND("-",DN44)-FIND("|",DN44)-1))-VALUE(MID(DN44,FIND("-",DN44)+1,10)))))*$D$50),$D$9*(1-(IF($N44="X",ABS($O44-VALUE(MID(DN44,FIND("|",DN44)+1,FIND("-",DN44)-FIND("|",DN44)-1))),ABS($Q44-ABS(VALUE(MID(DN44,FIND("|",DN44)+1,FIND("-",DN44)-FIND("|",DN44)-1))-VALUE(MID(DN44,FIND("-",DN44)+1,10)))))*$D$50)))))*$I44,0)),0)</f>
        <v>0</v>
      </c>
      <c r="DP44" s="338"/>
      <c r="DQ44" s="363"/>
      <c r="DR44" s="356" t="n">
        <f aca="false">IFERROR(IF($M44=DQ44,($D$8+$D$9+$D$10)*$I44,IF($N44=LEFT(DQ44,1),($D$8+MAX(0,IF($D$50=1,$D$9*(1-(ABS($Q44-ABS(VALUE(MID(DQ44,FIND("|",DQ44)+1,FIND("-",DQ44)-FIND("|",DQ44)-1))-VALUE(MID(DQ44,FIND("-",DQ44)+1,10)))))*$D$50),$D$9*(1-(IF($N44="X",ABS($O44-VALUE(MID(DQ44,FIND("|",DQ44)+1,FIND("-",DQ44)-FIND("|",DQ44)-1))),ABS($Q44-ABS(VALUE(MID(DQ44,FIND("|",DQ44)+1,FIND("-",DQ44)-FIND("|",DQ44)-1))-VALUE(MID(DQ44,FIND("-",DQ44)+1,10)))))*$D$50)))))*$I44,0)),0)</f>
        <v>0</v>
      </c>
      <c r="DS44" s="338"/>
      <c r="DT44" s="363"/>
      <c r="DU44" s="356" t="n">
        <f aca="false">IFERROR(IF($M44=DT44,($D$8+$D$9+$D$10)*$I44,IF($N44=LEFT(DT44,1),($D$8+MAX(0,IF($D$50=1,$D$9*(1-(ABS($Q44-ABS(VALUE(MID(DT44,FIND("|",DT44)+1,FIND("-",DT44)-FIND("|",DT44)-1))-VALUE(MID(DT44,FIND("-",DT44)+1,10)))))*$D$50),$D$9*(1-(IF($N44="X",ABS($O44-VALUE(MID(DT44,FIND("|",DT44)+1,FIND("-",DT44)-FIND("|",DT44)-1))),ABS($Q44-ABS(VALUE(MID(DT44,FIND("|",DT44)+1,FIND("-",DT44)-FIND("|",DT44)-1))-VALUE(MID(DT44,FIND("-",DT44)+1,10)))))*$D$50)))))*$I44,0)),0)</f>
        <v>0</v>
      </c>
      <c r="DV44" s="338"/>
      <c r="DW44" s="363"/>
      <c r="DX44" s="356" t="n">
        <f aca="false">IFERROR(IF($M44=DW44,($D$8+$D$9+$D$10)*$I44,IF($N44=LEFT(DW44,1),($D$8+MAX(0,IF($D$50=1,$D$9*(1-(ABS($Q44-ABS(VALUE(MID(DW44,FIND("|",DW44)+1,FIND("-",DW44)-FIND("|",DW44)-1))-VALUE(MID(DW44,FIND("-",DW44)+1,10)))))*$D$50),$D$9*(1-(IF($N44="X",ABS($O44-VALUE(MID(DW44,FIND("|",DW44)+1,FIND("-",DW44)-FIND("|",DW44)-1))),ABS($Q44-ABS(VALUE(MID(DW44,FIND("|",DW44)+1,FIND("-",DW44)-FIND("|",DW44)-1))-VALUE(MID(DW44,FIND("-",DW44)+1,10)))))*$D$50)))))*$I44,0)),0)</f>
        <v>0</v>
      </c>
      <c r="DY44" s="338"/>
      <c r="DZ44" s="363"/>
      <c r="EA44" s="356" t="n">
        <f aca="false">IFERROR(IF($M44=DZ44,($D$8+$D$9+$D$10)*$I44,IF($N44=LEFT(DZ44,1),($D$8+MAX(0,IF($D$50=1,$D$9*(1-(ABS($Q44-ABS(VALUE(MID(DZ44,FIND("|",DZ44)+1,FIND("-",DZ44)-FIND("|",DZ44)-1))-VALUE(MID(DZ44,FIND("-",DZ44)+1,10)))))*$D$50),$D$9*(1-(IF($N44="X",ABS($O44-VALUE(MID(DZ44,FIND("|",DZ44)+1,FIND("-",DZ44)-FIND("|",DZ44)-1))),ABS($Q44-ABS(VALUE(MID(DZ44,FIND("|",DZ44)+1,FIND("-",DZ44)-FIND("|",DZ44)-1))-VALUE(MID(DZ44,FIND("-",DZ44)+1,10)))))*$D$50)))))*$I44,0)),0)</f>
        <v>0</v>
      </c>
      <c r="EB44" s="338"/>
      <c r="EC44" s="363"/>
      <c r="ED44" s="356" t="n">
        <f aca="false">IFERROR(IF($M44=EC44,($D$8+$D$9+$D$10)*$I44,IF($N44=LEFT(EC44,1),($D$8+MAX(0,IF($D$50=1,$D$9*(1-(ABS($Q44-ABS(VALUE(MID(EC44,FIND("|",EC44)+1,FIND("-",EC44)-FIND("|",EC44)-1))-VALUE(MID(EC44,FIND("-",EC44)+1,10)))))*$D$50),$D$9*(1-(IF($N44="X",ABS($O44-VALUE(MID(EC44,FIND("|",EC44)+1,FIND("-",EC44)-FIND("|",EC44)-1))),ABS($Q44-ABS(VALUE(MID(EC44,FIND("|",EC44)+1,FIND("-",EC44)-FIND("|",EC44)-1))-VALUE(MID(EC44,FIND("-",EC44)+1,10)))))*$D$50)))))*$I44,0)),0)</f>
        <v>0</v>
      </c>
      <c r="EE44" s="338"/>
      <c r="EF44" s="363"/>
      <c r="EG44" s="356" t="n">
        <f aca="false">IFERROR(IF($M44=EF44,($D$8+$D$9+$D$10)*$I44,IF($N44=LEFT(EF44,1),($D$8+MAX(0,IF($D$50=1,$D$9*(1-(ABS($Q44-ABS(VALUE(MID(EF44,FIND("|",EF44)+1,FIND("-",EF44)-FIND("|",EF44)-1))-VALUE(MID(EF44,FIND("-",EF44)+1,10)))))*$D$50),$D$9*(1-(IF($N44="X",ABS($O44-VALUE(MID(EF44,FIND("|",EF44)+1,FIND("-",EF44)-FIND("|",EF44)-1))),ABS($Q44-ABS(VALUE(MID(EF44,FIND("|",EF44)+1,FIND("-",EF44)-FIND("|",EF44)-1))-VALUE(MID(EF44,FIND("-",EF44)+1,10)))))*$D$50)))))*$I44,0)),0)</f>
        <v>0</v>
      </c>
      <c r="EH44" s="338"/>
      <c r="EI44" s="338"/>
    </row>
    <row r="45" customFormat="false" ht="15" hidden="false" customHeight="false" outlineLevel="0" collapsed="false">
      <c r="A45" s="327"/>
      <c r="B45" s="327"/>
      <c r="C45" s="364" t="str">
        <f aca="false">Idiomas!D341</f>
        <v>Equipo máximo goleador</v>
      </c>
      <c r="D45" s="365" t="n">
        <v>20</v>
      </c>
      <c r="E45" s="334"/>
      <c r="F45" s="343" t="n">
        <f aca="false">SUM($D$8:$D$10)*I45</f>
        <v>17</v>
      </c>
      <c r="G45" s="343" t="n">
        <f aca="false">VLOOKUP(H45,Equipos!$Q$1:$R$25,2,0)</f>
        <v>12</v>
      </c>
      <c r="H45" s="351" t="n">
        <f aca="false">TRUNC(INDEX(WORLDCUP!$X$4:$X$147,MATCH(ADMIN!K45,WORLDCUP!$DT$4:$DT$147,0))+INDEX(Horarios!$R$3:$R$86,MATCH(Horarios!$C$3,Horarios!$P$3:$P$86,0))/24)</f>
        <v>46195</v>
      </c>
      <c r="I45" s="352" t="n">
        <v>1</v>
      </c>
      <c r="J45" s="362" t="s">
        <v>306</v>
      </c>
      <c r="K45" s="354" t="str">
        <f aca="false">CONCATENATE(WORLDCUP!AA63,"-",WORLDCUP!AF63)</f>
        <v>Uruguay-Cabo Verde</v>
      </c>
      <c r="L45" s="354"/>
      <c r="M45" s="359" t="str">
        <f aca="false">IF(OR(WORLDCUP!AC63="",WORLDCUP!AD63=""),"-",N45&amp;"|"&amp;O45&amp;"-"&amp;P45)</f>
        <v>-</v>
      </c>
      <c r="N45" s="332" t="str">
        <f aca="false">IF(OR(WORLDCUP!AC63="",WORLDCUP!AD63=""),"",IF(WORLDCUP!AC63&gt;WORLDCUP!AD63,"1",IF(WORLDCUP!AC63&lt;WORLDCUP!AD63,"2","X")))</f>
        <v/>
      </c>
      <c r="O45" s="332" t="n">
        <f aca="false">WORLDCUP!AC63</f>
        <v>0</v>
      </c>
      <c r="P45" s="332" t="n">
        <f aca="false">WORLDCUP!AD63</f>
        <v>0</v>
      </c>
      <c r="Q45" s="332" t="n">
        <f aca="false">ABS(O45-P45)</f>
        <v>0</v>
      </c>
      <c r="R45" s="327"/>
      <c r="S45" s="363" t="s">
        <v>288</v>
      </c>
      <c r="T45" s="356" t="n">
        <f aca="false">IFERROR(IF($M45=S45,($D$8+$D$9+$D$10)*$I45,IF($N45=LEFT(S45,1),($D$8+MAX(0,IF($D$50=1,$D$9*(1-(ABS($Q45-ABS(VALUE(MID(S45,FIND("|",S45)+1,FIND("-",S45)-FIND("|",S45)-1))-VALUE(MID(S45,FIND("-",S45)+1,10)))))*$D$50),$D$9*(1-(IF($N45="X",ABS($O45-VALUE(MID(S45,FIND("|",S45)+1,FIND("-",S45)-FIND("|",S45)-1))),ABS($Q45-ABS(VALUE(MID(S45,FIND("|",S45)+1,FIND("-",S45)-FIND("|",S45)-1))-VALUE(MID(S45,FIND("-",S45)+1,10)))))*$D$50)))))*$I45,0)),0)</f>
        <v>0</v>
      </c>
      <c r="U45" s="338"/>
      <c r="V45" s="363" t="s">
        <v>266</v>
      </c>
      <c r="W45" s="356" t="n">
        <f aca="false">IFERROR(IF($M45=V45,($D$8+$D$9+$D$10)*$I45,IF($N45=LEFT(V45,1),($D$8+MAX(0,IF($D$50=1,$D$9*(1-(ABS($Q45-ABS(VALUE(MID(V45,FIND("|",V45)+1,FIND("-",V45)-FIND("|",V45)-1))-VALUE(MID(V45,FIND("-",V45)+1,10)))))*$D$50),$D$9*(1-(IF($N45="X",ABS($O45-VALUE(MID(V45,FIND("|",V45)+1,FIND("-",V45)-FIND("|",V45)-1))),ABS($Q45-ABS(VALUE(MID(V45,FIND("|",V45)+1,FIND("-",V45)-FIND("|",V45)-1))-VALUE(MID(V45,FIND("-",V45)+1,10)))))*$D$50)))))*$I45,0)),0)</f>
        <v>0</v>
      </c>
      <c r="X45" s="338"/>
      <c r="Y45" s="363" t="s">
        <v>266</v>
      </c>
      <c r="Z45" s="356" t="n">
        <f aca="false">IFERROR(IF($M45=Y45,($D$8+$D$9+$D$10)*$I45,IF($N45=LEFT(Y45,1),($D$8+MAX(0,IF($D$50=1,$D$9*(1-(ABS($Q45-ABS(VALUE(MID(Y45,FIND("|",Y45)+1,FIND("-",Y45)-FIND("|",Y45)-1))-VALUE(MID(Y45,FIND("-",Y45)+1,10)))))*$D$50),$D$9*(1-(IF($N45="X",ABS($O45-VALUE(MID(Y45,FIND("|",Y45)+1,FIND("-",Y45)-FIND("|",Y45)-1))),ABS($Q45-ABS(VALUE(MID(Y45,FIND("|",Y45)+1,FIND("-",Y45)-FIND("|",Y45)-1))-VALUE(MID(Y45,FIND("-",Y45)+1,10)))))*$D$50)))))*$I45,0)),0)</f>
        <v>0</v>
      </c>
      <c r="AA45" s="338"/>
      <c r="AB45" s="363" t="s">
        <v>264</v>
      </c>
      <c r="AC45" s="356" t="n">
        <f aca="false">IFERROR(IF($M45=AB45,($D$8+$D$9+$D$10)*$I45,IF($N45=LEFT(AB45,1),($D$8+MAX(0,IF($D$50=1,$D$9*(1-(ABS($Q45-ABS(VALUE(MID(AB45,FIND("|",AB45)+1,FIND("-",AB45)-FIND("|",AB45)-1))-VALUE(MID(AB45,FIND("-",AB45)+1,10)))))*$D$50),$D$9*(1-(IF($N45="X",ABS($O45-VALUE(MID(AB45,FIND("|",AB45)+1,FIND("-",AB45)-FIND("|",AB45)-1))),ABS($Q45-ABS(VALUE(MID(AB45,FIND("|",AB45)+1,FIND("-",AB45)-FIND("|",AB45)-1))-VALUE(MID(AB45,FIND("-",AB45)+1,10)))))*$D$50)))))*$I45,0)),0)</f>
        <v>0</v>
      </c>
      <c r="AD45" s="338"/>
      <c r="AE45" s="363" t="s">
        <v>283</v>
      </c>
      <c r="AF45" s="356" t="n">
        <f aca="false">IFERROR(IF($M45=AE45,($D$8+$D$9+$D$10)*$I45,IF($N45=LEFT(AE45,1),($D$8+MAX(0,IF($D$50=1,$D$9*(1-(ABS($Q45-ABS(VALUE(MID(AE45,FIND("|",AE45)+1,FIND("-",AE45)-FIND("|",AE45)-1))-VALUE(MID(AE45,FIND("-",AE45)+1,10)))))*$D$50),$D$9*(1-(IF($N45="X",ABS($O45-VALUE(MID(AE45,FIND("|",AE45)+1,FIND("-",AE45)-FIND("|",AE45)-1))),ABS($Q45-ABS(VALUE(MID(AE45,FIND("|",AE45)+1,FIND("-",AE45)-FIND("|",AE45)-1))-VALUE(MID(AE45,FIND("-",AE45)+1,10)))))*$D$50)))))*$I45,0)),0)</f>
        <v>0</v>
      </c>
      <c r="AG45" s="338"/>
      <c r="AH45" s="363" t="s">
        <v>266</v>
      </c>
      <c r="AI45" s="356" t="n">
        <f aca="false">IFERROR(IF($M45=AH45,($D$8+$D$9+$D$10)*$I45,IF($N45=LEFT(AH45,1),($D$8+MAX(0,IF($D$50=1,$D$9*(1-(ABS($Q45-ABS(VALUE(MID(AH45,FIND("|",AH45)+1,FIND("-",AH45)-FIND("|",AH45)-1))-VALUE(MID(AH45,FIND("-",AH45)+1,10)))))*$D$50),$D$9*(1-(IF($N45="X",ABS($O45-VALUE(MID(AH45,FIND("|",AH45)+1,FIND("-",AH45)-FIND("|",AH45)-1))),ABS($Q45-ABS(VALUE(MID(AH45,FIND("|",AH45)+1,FIND("-",AH45)-FIND("|",AH45)-1))-VALUE(MID(AH45,FIND("-",AH45)+1,10)))))*$D$50)))))*$I45,0)),0)</f>
        <v>0</v>
      </c>
      <c r="AJ45" s="338"/>
      <c r="AK45" s="363" t="s">
        <v>264</v>
      </c>
      <c r="AL45" s="356" t="n">
        <f aca="false">IFERROR(IF($M45=AK45,($D$8+$D$9+$D$10)*$I45,IF($N45=LEFT(AK45,1),($D$8+MAX(0,IF($D$50=1,$D$9*(1-(ABS($Q45-ABS(VALUE(MID(AK45,FIND("|",AK45)+1,FIND("-",AK45)-FIND("|",AK45)-1))-VALUE(MID(AK45,FIND("-",AK45)+1,10)))))*$D$50),$D$9*(1-(IF($N45="X",ABS($O45-VALUE(MID(AK45,FIND("|",AK45)+1,FIND("-",AK45)-FIND("|",AK45)-1))),ABS($Q45-ABS(VALUE(MID(AK45,FIND("|",AK45)+1,FIND("-",AK45)-FIND("|",AK45)-1))-VALUE(MID(AK45,FIND("-",AK45)+1,10)))))*$D$50)))))*$I45,0)),0)</f>
        <v>0</v>
      </c>
      <c r="AM45" s="338"/>
      <c r="AN45" s="363" t="s">
        <v>272</v>
      </c>
      <c r="AO45" s="356" t="n">
        <f aca="false">IFERROR(IF($M45=AN45,($D$8+$D$9+$D$10)*$I45,IF($N45=LEFT(AN45,1),($D$8+MAX(0,IF($D$50=1,$D$9*(1-(ABS($Q45-ABS(VALUE(MID(AN45,FIND("|",AN45)+1,FIND("-",AN45)-FIND("|",AN45)-1))-VALUE(MID(AN45,FIND("-",AN45)+1,10)))))*$D$50),$D$9*(1-(IF($N45="X",ABS($O45-VALUE(MID(AN45,FIND("|",AN45)+1,FIND("-",AN45)-FIND("|",AN45)-1))),ABS($Q45-ABS(VALUE(MID(AN45,FIND("|",AN45)+1,FIND("-",AN45)-FIND("|",AN45)-1))-VALUE(MID(AN45,FIND("-",AN45)+1,10)))))*$D$50)))))*$I45,0)),0)</f>
        <v>0</v>
      </c>
      <c r="AP45" s="338"/>
      <c r="AQ45" s="363" t="s">
        <v>266</v>
      </c>
      <c r="AR45" s="356" t="n">
        <f aca="false">IFERROR(IF($M45=AQ45,($D$8+$D$9+$D$10)*$I45,IF($N45=LEFT(AQ45,1),($D$8+MAX(0,IF($D$50=1,$D$9*(1-(ABS($Q45-ABS(VALUE(MID(AQ45,FIND("|",AQ45)+1,FIND("-",AQ45)-FIND("|",AQ45)-1))-VALUE(MID(AQ45,FIND("-",AQ45)+1,10)))))*$D$50),$D$9*(1-(IF($N45="X",ABS($O45-VALUE(MID(AQ45,FIND("|",AQ45)+1,FIND("-",AQ45)-FIND("|",AQ45)-1))),ABS($Q45-ABS(VALUE(MID(AQ45,FIND("|",AQ45)+1,FIND("-",AQ45)-FIND("|",AQ45)-1))-VALUE(MID(AQ45,FIND("-",AQ45)+1,10)))))*$D$50)))))*$I45,0)),0)</f>
        <v>0</v>
      </c>
      <c r="AS45" s="338"/>
      <c r="AT45" s="363" t="s">
        <v>266</v>
      </c>
      <c r="AU45" s="356" t="n">
        <f aca="false">IFERROR(IF($M45=AT45,($D$8+$D$9+$D$10)*$I45,IF($N45=LEFT(AT45,1),($D$8+MAX(0,IF($D$50=1,$D$9*(1-(ABS($Q45-ABS(VALUE(MID(AT45,FIND("|",AT45)+1,FIND("-",AT45)-FIND("|",AT45)-1))-VALUE(MID(AT45,FIND("-",AT45)+1,10)))))*$D$50),$D$9*(1-(IF($N45="X",ABS($O45-VALUE(MID(AT45,FIND("|",AT45)+1,FIND("-",AT45)-FIND("|",AT45)-1))),ABS($Q45-ABS(VALUE(MID(AT45,FIND("|",AT45)+1,FIND("-",AT45)-FIND("|",AT45)-1))-VALUE(MID(AT45,FIND("-",AT45)+1,10)))))*$D$50)))))*$I45,0)),0)</f>
        <v>0</v>
      </c>
      <c r="AV45" s="338"/>
      <c r="AW45" s="363" t="s">
        <v>265</v>
      </c>
      <c r="AX45" s="356" t="n">
        <f aca="false">IFERROR(IF($M45=AW45,($D$8+$D$9+$D$10)*$I45,IF($N45=LEFT(AW45,1),($D$8+MAX(0,IF($D$50=1,$D$9*(1-(ABS($Q45-ABS(VALUE(MID(AW45,FIND("|",AW45)+1,FIND("-",AW45)-FIND("|",AW45)-1))-VALUE(MID(AW45,FIND("-",AW45)+1,10)))))*$D$50),$D$9*(1-(IF($N45="X",ABS($O45-VALUE(MID(AW45,FIND("|",AW45)+1,FIND("-",AW45)-FIND("|",AW45)-1))),ABS($Q45-ABS(VALUE(MID(AW45,FIND("|",AW45)+1,FIND("-",AW45)-FIND("|",AW45)-1))-VALUE(MID(AW45,FIND("-",AW45)+1,10)))))*$D$50)))))*$I45,0)),0)</f>
        <v>0</v>
      </c>
      <c r="AY45" s="338"/>
      <c r="AZ45" s="363" t="s">
        <v>266</v>
      </c>
      <c r="BA45" s="356" t="n">
        <f aca="false">IFERROR(IF($M45=AZ45,($D$8+$D$9+$D$10)*$I45,IF($N45=LEFT(AZ45,1),($D$8+MAX(0,IF($D$50=1,$D$9*(1-(ABS($Q45-ABS(VALUE(MID(AZ45,FIND("|",AZ45)+1,FIND("-",AZ45)-FIND("|",AZ45)-1))-VALUE(MID(AZ45,FIND("-",AZ45)+1,10)))))*$D$50),$D$9*(1-(IF($N45="X",ABS($O45-VALUE(MID(AZ45,FIND("|",AZ45)+1,FIND("-",AZ45)-FIND("|",AZ45)-1))),ABS($Q45-ABS(VALUE(MID(AZ45,FIND("|",AZ45)+1,FIND("-",AZ45)-FIND("|",AZ45)-1))-VALUE(MID(AZ45,FIND("-",AZ45)+1,10)))))*$D$50)))))*$I45,0)),0)</f>
        <v>0</v>
      </c>
      <c r="BB45" s="338"/>
      <c r="BC45" s="363" t="s">
        <v>266</v>
      </c>
      <c r="BD45" s="356" t="n">
        <f aca="false">IFERROR(IF($M45=BC45,($D$8+$D$9+$D$10)*$I45,IF($N45=LEFT(BC45,1),($D$8+MAX(0,IF($D$50=1,$D$9*(1-(ABS($Q45-ABS(VALUE(MID(BC45,FIND("|",BC45)+1,FIND("-",BC45)-FIND("|",BC45)-1))-VALUE(MID(BC45,FIND("-",BC45)+1,10)))))*$D$50),$D$9*(1-(IF($N45="X",ABS($O45-VALUE(MID(BC45,FIND("|",BC45)+1,FIND("-",BC45)-FIND("|",BC45)-1))),ABS($Q45-ABS(VALUE(MID(BC45,FIND("|",BC45)+1,FIND("-",BC45)-FIND("|",BC45)-1))-VALUE(MID(BC45,FIND("-",BC45)+1,10)))))*$D$50)))))*$I45,0)),0)</f>
        <v>0</v>
      </c>
      <c r="BE45" s="338"/>
      <c r="BF45" s="363" t="s">
        <v>265</v>
      </c>
      <c r="BG45" s="356" t="n">
        <f aca="false">IFERROR(IF($M45=BF45,($D$8+$D$9+$D$10)*$I45,IF($N45=LEFT(BF45,1),($D$8+MAX(0,IF($D$50=1,$D$9*(1-(ABS($Q45-ABS(VALUE(MID(BF45,FIND("|",BF45)+1,FIND("-",BF45)-FIND("|",BF45)-1))-VALUE(MID(BF45,FIND("-",BF45)+1,10)))))*$D$50),$D$9*(1-(IF($N45="X",ABS($O45-VALUE(MID(BF45,FIND("|",BF45)+1,FIND("-",BF45)-FIND("|",BF45)-1))),ABS($Q45-ABS(VALUE(MID(BF45,FIND("|",BF45)+1,FIND("-",BF45)-FIND("|",BF45)-1))-VALUE(MID(BF45,FIND("-",BF45)+1,10)))))*$D$50)))))*$I45,0)),0)</f>
        <v>0</v>
      </c>
      <c r="BH45" s="338"/>
      <c r="BI45" s="363" t="s">
        <v>267</v>
      </c>
      <c r="BJ45" s="356" t="n">
        <f aca="false">IFERROR(IF($M45=BI45,($D$8+$D$9+$D$10)*$I45,IF($N45=LEFT(BI45,1),($D$8+MAX(0,IF($D$50=1,$D$9*(1-(ABS($Q45-ABS(VALUE(MID(BI45,FIND("|",BI45)+1,FIND("-",BI45)-FIND("|",BI45)-1))-VALUE(MID(BI45,FIND("-",BI45)+1,10)))))*$D$50),$D$9*(1-(IF($N45="X",ABS($O45-VALUE(MID(BI45,FIND("|",BI45)+1,FIND("-",BI45)-FIND("|",BI45)-1))),ABS($Q45-ABS(VALUE(MID(BI45,FIND("|",BI45)+1,FIND("-",BI45)-FIND("|",BI45)-1))-VALUE(MID(BI45,FIND("-",BI45)+1,10)))))*$D$50)))))*$I45,0)),0)</f>
        <v>0</v>
      </c>
      <c r="BK45" s="338"/>
      <c r="BL45" s="363" t="s">
        <v>266</v>
      </c>
      <c r="BM45" s="356" t="n">
        <f aca="false">IFERROR(IF($M45=BL45,($D$8+$D$9+$D$10)*$I45,IF($N45=LEFT(BL45,1),($D$8+MAX(0,IF($D$50=1,$D$9*(1-(ABS($Q45-ABS(VALUE(MID(BL45,FIND("|",BL45)+1,FIND("-",BL45)-FIND("|",BL45)-1))-VALUE(MID(BL45,FIND("-",BL45)+1,10)))))*$D$50),$D$9*(1-(IF($N45="X",ABS($O45-VALUE(MID(BL45,FIND("|",BL45)+1,FIND("-",BL45)-FIND("|",BL45)-1))),ABS($Q45-ABS(VALUE(MID(BL45,FIND("|",BL45)+1,FIND("-",BL45)-FIND("|",BL45)-1))-VALUE(MID(BL45,FIND("-",BL45)+1,10)))))*$D$50)))))*$I45,0)),0)</f>
        <v>0</v>
      </c>
      <c r="BN45" s="338"/>
      <c r="BO45" s="363" t="s">
        <v>272</v>
      </c>
      <c r="BP45" s="356" t="n">
        <f aca="false">IFERROR(IF($M45=BO45,($D$8+$D$9+$D$10)*$I45,IF($N45=LEFT(BO45,1),($D$8+MAX(0,IF($D$50=1,$D$9*(1-(ABS($Q45-ABS(VALUE(MID(BO45,FIND("|",BO45)+1,FIND("-",BO45)-FIND("|",BO45)-1))-VALUE(MID(BO45,FIND("-",BO45)+1,10)))))*$D$50),$D$9*(1-(IF($N45="X",ABS($O45-VALUE(MID(BO45,FIND("|",BO45)+1,FIND("-",BO45)-FIND("|",BO45)-1))),ABS($Q45-ABS(VALUE(MID(BO45,FIND("|",BO45)+1,FIND("-",BO45)-FIND("|",BO45)-1))-VALUE(MID(BO45,FIND("-",BO45)+1,10)))))*$D$50)))))*$I45,0)),0)</f>
        <v>0</v>
      </c>
      <c r="BQ45" s="338"/>
      <c r="BR45" s="363" t="s">
        <v>266</v>
      </c>
      <c r="BS45" s="356" t="n">
        <f aca="false">IFERROR(IF($M45=BR45,($D$8+$D$9+$D$10)*$I45,IF($N45=LEFT(BR45,1),($D$8+MAX(0,IF($D$50=1,$D$9*(1-(ABS($Q45-ABS(VALUE(MID(BR45,FIND("|",BR45)+1,FIND("-",BR45)-FIND("|",BR45)-1))-VALUE(MID(BR45,FIND("-",BR45)+1,10)))))*$D$50),$D$9*(1-(IF($N45="X",ABS($O45-VALUE(MID(BR45,FIND("|",BR45)+1,FIND("-",BR45)-FIND("|",BR45)-1))),ABS($Q45-ABS(VALUE(MID(BR45,FIND("|",BR45)+1,FIND("-",BR45)-FIND("|",BR45)-1))-VALUE(MID(BR45,FIND("-",BR45)+1,10)))))*$D$50)))))*$I45,0)),0)</f>
        <v>0</v>
      </c>
      <c r="BT45" s="338"/>
      <c r="BU45" s="363"/>
      <c r="BV45" s="356" t="n">
        <f aca="false">IFERROR(IF($M45=BU45,($D$8+$D$9+$D$10)*$I45,IF($N45=LEFT(BU45,1),($D$8+MAX(0,IF($D$50=1,$D$9*(1-(ABS($Q45-ABS(VALUE(MID(BU45,FIND("|",BU45)+1,FIND("-",BU45)-FIND("|",BU45)-1))-VALUE(MID(BU45,FIND("-",BU45)+1,10)))))*$D$50),$D$9*(1-(IF($N45="X",ABS($O45-VALUE(MID(BU45,FIND("|",BU45)+1,FIND("-",BU45)-FIND("|",BU45)-1))),ABS($Q45-ABS(VALUE(MID(BU45,FIND("|",BU45)+1,FIND("-",BU45)-FIND("|",BU45)-1))-VALUE(MID(BU45,FIND("-",BU45)+1,10)))))*$D$50)))))*$I45,0)),0)</f>
        <v>0</v>
      </c>
      <c r="BW45" s="338"/>
      <c r="BX45" s="363"/>
      <c r="BY45" s="356" t="n">
        <f aca="false">IFERROR(IF($M45=BX45,($D$8+$D$9+$D$10)*$I45,IF($N45=LEFT(BX45,1),($D$8+MAX(0,IF($D$50=1,$D$9*(1-(ABS($Q45-ABS(VALUE(MID(BX45,FIND("|",BX45)+1,FIND("-",BX45)-FIND("|",BX45)-1))-VALUE(MID(BX45,FIND("-",BX45)+1,10)))))*$D$50),$D$9*(1-(IF($N45="X",ABS($O45-VALUE(MID(BX45,FIND("|",BX45)+1,FIND("-",BX45)-FIND("|",BX45)-1))),ABS($Q45-ABS(VALUE(MID(BX45,FIND("|",BX45)+1,FIND("-",BX45)-FIND("|",BX45)-1))-VALUE(MID(BX45,FIND("-",BX45)+1,10)))))*$D$50)))))*$I45,0)),0)</f>
        <v>0</v>
      </c>
      <c r="BZ45" s="338"/>
      <c r="CA45" s="363"/>
      <c r="CB45" s="356" t="n">
        <f aca="false">IFERROR(IF($M45=CA45,($D$8+$D$9+$D$10)*$I45,IF($N45=LEFT(CA45,1),($D$8+MAX(0,IF($D$50=1,$D$9*(1-(ABS($Q45-ABS(VALUE(MID(CA45,FIND("|",CA45)+1,FIND("-",CA45)-FIND("|",CA45)-1))-VALUE(MID(CA45,FIND("-",CA45)+1,10)))))*$D$50),$D$9*(1-(IF($N45="X",ABS($O45-VALUE(MID(CA45,FIND("|",CA45)+1,FIND("-",CA45)-FIND("|",CA45)-1))),ABS($Q45-ABS(VALUE(MID(CA45,FIND("|",CA45)+1,FIND("-",CA45)-FIND("|",CA45)-1))-VALUE(MID(CA45,FIND("-",CA45)+1,10)))))*$D$50)))))*$I45,0)),0)</f>
        <v>0</v>
      </c>
      <c r="CC45" s="338"/>
      <c r="CD45" s="363"/>
      <c r="CE45" s="356" t="n">
        <f aca="false">IFERROR(IF($M45=CD45,($D$8+$D$9+$D$10)*$I45,IF($N45=LEFT(CD45,1),($D$8+MAX(0,IF($D$50=1,$D$9*(1-(ABS($Q45-ABS(VALUE(MID(CD45,FIND("|",CD45)+1,FIND("-",CD45)-FIND("|",CD45)-1))-VALUE(MID(CD45,FIND("-",CD45)+1,10)))))*$D$50),$D$9*(1-(IF($N45="X",ABS($O45-VALUE(MID(CD45,FIND("|",CD45)+1,FIND("-",CD45)-FIND("|",CD45)-1))),ABS($Q45-ABS(VALUE(MID(CD45,FIND("|",CD45)+1,FIND("-",CD45)-FIND("|",CD45)-1))-VALUE(MID(CD45,FIND("-",CD45)+1,10)))))*$D$50)))))*$I45,0)),0)</f>
        <v>0</v>
      </c>
      <c r="CF45" s="338"/>
      <c r="CG45" s="363"/>
      <c r="CH45" s="356" t="n">
        <f aca="false">IFERROR(IF($M45=CG45,($D$8+$D$9+$D$10)*$I45,IF($N45=LEFT(CG45,1),($D$8+MAX(0,IF($D$50=1,$D$9*(1-(ABS($Q45-ABS(VALUE(MID(CG45,FIND("|",CG45)+1,FIND("-",CG45)-FIND("|",CG45)-1))-VALUE(MID(CG45,FIND("-",CG45)+1,10)))))*$D$50),$D$9*(1-(IF($N45="X",ABS($O45-VALUE(MID(CG45,FIND("|",CG45)+1,FIND("-",CG45)-FIND("|",CG45)-1))),ABS($Q45-ABS(VALUE(MID(CG45,FIND("|",CG45)+1,FIND("-",CG45)-FIND("|",CG45)-1))-VALUE(MID(CG45,FIND("-",CG45)+1,10)))))*$D$50)))))*$I45,0)),0)</f>
        <v>0</v>
      </c>
      <c r="CI45" s="338"/>
      <c r="CJ45" s="363"/>
      <c r="CK45" s="356" t="n">
        <f aca="false">IFERROR(IF($M45=CJ45,($D$8+$D$9+$D$10)*$I45,IF($N45=LEFT(CJ45,1),($D$8+MAX(0,IF($D$50=1,$D$9*(1-(ABS($Q45-ABS(VALUE(MID(CJ45,FIND("|",CJ45)+1,FIND("-",CJ45)-FIND("|",CJ45)-1))-VALUE(MID(CJ45,FIND("-",CJ45)+1,10)))))*$D$50),$D$9*(1-(IF($N45="X",ABS($O45-VALUE(MID(CJ45,FIND("|",CJ45)+1,FIND("-",CJ45)-FIND("|",CJ45)-1))),ABS($Q45-ABS(VALUE(MID(CJ45,FIND("|",CJ45)+1,FIND("-",CJ45)-FIND("|",CJ45)-1))-VALUE(MID(CJ45,FIND("-",CJ45)+1,10)))))*$D$50)))))*$I45,0)),0)</f>
        <v>0</v>
      </c>
      <c r="CL45" s="338"/>
      <c r="CM45" s="363"/>
      <c r="CN45" s="356" t="n">
        <f aca="false">IFERROR(IF($M45=CM45,($D$8+$D$9+$D$10)*$I45,IF($N45=LEFT(CM45,1),($D$8+MAX(0,IF($D$50=1,$D$9*(1-(ABS($Q45-ABS(VALUE(MID(CM45,FIND("|",CM45)+1,FIND("-",CM45)-FIND("|",CM45)-1))-VALUE(MID(CM45,FIND("-",CM45)+1,10)))))*$D$50),$D$9*(1-(IF($N45="X",ABS($O45-VALUE(MID(CM45,FIND("|",CM45)+1,FIND("-",CM45)-FIND("|",CM45)-1))),ABS($Q45-ABS(VALUE(MID(CM45,FIND("|",CM45)+1,FIND("-",CM45)-FIND("|",CM45)-1))-VALUE(MID(CM45,FIND("-",CM45)+1,10)))))*$D$50)))))*$I45,0)),0)</f>
        <v>0</v>
      </c>
      <c r="CO45" s="338"/>
      <c r="CP45" s="363"/>
      <c r="CQ45" s="356" t="n">
        <f aca="false">IFERROR(IF($M45=CP45,($D$8+$D$9+$D$10)*$I45,IF($N45=LEFT(CP45,1),($D$8+MAX(0,IF($D$50=1,$D$9*(1-(ABS($Q45-ABS(VALUE(MID(CP45,FIND("|",CP45)+1,FIND("-",CP45)-FIND("|",CP45)-1))-VALUE(MID(CP45,FIND("-",CP45)+1,10)))))*$D$50),$D$9*(1-(IF($N45="X",ABS($O45-VALUE(MID(CP45,FIND("|",CP45)+1,FIND("-",CP45)-FIND("|",CP45)-1))),ABS($Q45-ABS(VALUE(MID(CP45,FIND("|",CP45)+1,FIND("-",CP45)-FIND("|",CP45)-1))-VALUE(MID(CP45,FIND("-",CP45)+1,10)))))*$D$50)))))*$I45,0)),0)</f>
        <v>0</v>
      </c>
      <c r="CR45" s="338"/>
      <c r="CS45" s="363"/>
      <c r="CT45" s="356" t="n">
        <f aca="false">IFERROR(IF($M45=CS45,($D$8+$D$9+$D$10)*$I45,IF($N45=LEFT(CS45,1),($D$8+MAX(0,IF($D$50=1,$D$9*(1-(ABS($Q45-ABS(VALUE(MID(CS45,FIND("|",CS45)+1,FIND("-",CS45)-FIND("|",CS45)-1))-VALUE(MID(CS45,FIND("-",CS45)+1,10)))))*$D$50),$D$9*(1-(IF($N45="X",ABS($O45-VALUE(MID(CS45,FIND("|",CS45)+1,FIND("-",CS45)-FIND("|",CS45)-1))),ABS($Q45-ABS(VALUE(MID(CS45,FIND("|",CS45)+1,FIND("-",CS45)-FIND("|",CS45)-1))-VALUE(MID(CS45,FIND("-",CS45)+1,10)))))*$D$50)))))*$I45,0)),0)</f>
        <v>0</v>
      </c>
      <c r="CU45" s="338"/>
      <c r="CV45" s="363"/>
      <c r="CW45" s="356" t="n">
        <f aca="false">IFERROR(IF($M45=CV45,($D$8+$D$9+$D$10)*$I45,IF($N45=LEFT(CV45,1),($D$8+MAX(0,IF($D$50=1,$D$9*(1-(ABS($Q45-ABS(VALUE(MID(CV45,FIND("|",CV45)+1,FIND("-",CV45)-FIND("|",CV45)-1))-VALUE(MID(CV45,FIND("-",CV45)+1,10)))))*$D$50),$D$9*(1-(IF($N45="X",ABS($O45-VALUE(MID(CV45,FIND("|",CV45)+1,FIND("-",CV45)-FIND("|",CV45)-1))),ABS($Q45-ABS(VALUE(MID(CV45,FIND("|",CV45)+1,FIND("-",CV45)-FIND("|",CV45)-1))-VALUE(MID(CV45,FIND("-",CV45)+1,10)))))*$D$50)))))*$I45,0)),0)</f>
        <v>0</v>
      </c>
      <c r="CX45" s="338"/>
      <c r="CY45" s="363"/>
      <c r="CZ45" s="356" t="n">
        <f aca="false">IFERROR(IF($M45=CY45,($D$8+$D$9+$D$10)*$I45,IF($N45=LEFT(CY45,1),($D$8+MAX(0,IF($D$50=1,$D$9*(1-(ABS($Q45-ABS(VALUE(MID(CY45,FIND("|",CY45)+1,FIND("-",CY45)-FIND("|",CY45)-1))-VALUE(MID(CY45,FIND("-",CY45)+1,10)))))*$D$50),$D$9*(1-(IF($N45="X",ABS($O45-VALUE(MID(CY45,FIND("|",CY45)+1,FIND("-",CY45)-FIND("|",CY45)-1))),ABS($Q45-ABS(VALUE(MID(CY45,FIND("|",CY45)+1,FIND("-",CY45)-FIND("|",CY45)-1))-VALUE(MID(CY45,FIND("-",CY45)+1,10)))))*$D$50)))))*$I45,0)),0)</f>
        <v>0</v>
      </c>
      <c r="DA45" s="338"/>
      <c r="DB45" s="363"/>
      <c r="DC45" s="356" t="n">
        <f aca="false">IFERROR(IF($M45=DB45,($D$8+$D$9+$D$10)*$I45,IF($N45=LEFT(DB45,1),($D$8+MAX(0,IF($D$50=1,$D$9*(1-(ABS($Q45-ABS(VALUE(MID(DB45,FIND("|",DB45)+1,FIND("-",DB45)-FIND("|",DB45)-1))-VALUE(MID(DB45,FIND("-",DB45)+1,10)))))*$D$50),$D$9*(1-(IF($N45="X",ABS($O45-VALUE(MID(DB45,FIND("|",DB45)+1,FIND("-",DB45)-FIND("|",DB45)-1))),ABS($Q45-ABS(VALUE(MID(DB45,FIND("|",DB45)+1,FIND("-",DB45)-FIND("|",DB45)-1))-VALUE(MID(DB45,FIND("-",DB45)+1,10)))))*$D$50)))))*$I45,0)),0)</f>
        <v>0</v>
      </c>
      <c r="DD45" s="338"/>
      <c r="DE45" s="363"/>
      <c r="DF45" s="356" t="n">
        <f aca="false">IFERROR(IF($M45=DE45,($D$8+$D$9+$D$10)*$I45,IF($N45=LEFT(DE45,1),($D$8+MAX(0,IF($D$50=1,$D$9*(1-(ABS($Q45-ABS(VALUE(MID(DE45,FIND("|",DE45)+1,FIND("-",DE45)-FIND("|",DE45)-1))-VALUE(MID(DE45,FIND("-",DE45)+1,10)))))*$D$50),$D$9*(1-(IF($N45="X",ABS($O45-VALUE(MID(DE45,FIND("|",DE45)+1,FIND("-",DE45)-FIND("|",DE45)-1))),ABS($Q45-ABS(VALUE(MID(DE45,FIND("|",DE45)+1,FIND("-",DE45)-FIND("|",DE45)-1))-VALUE(MID(DE45,FIND("-",DE45)+1,10)))))*$D$50)))))*$I45,0)),0)</f>
        <v>0</v>
      </c>
      <c r="DG45" s="338"/>
      <c r="DH45" s="363"/>
      <c r="DI45" s="356" t="n">
        <f aca="false">IFERROR(IF($M45=DH45,($D$8+$D$9+$D$10)*$I45,IF($N45=LEFT(DH45,1),($D$8+MAX(0,IF($D$50=1,$D$9*(1-(ABS($Q45-ABS(VALUE(MID(DH45,FIND("|",DH45)+1,FIND("-",DH45)-FIND("|",DH45)-1))-VALUE(MID(DH45,FIND("-",DH45)+1,10)))))*$D$50),$D$9*(1-(IF($N45="X",ABS($O45-VALUE(MID(DH45,FIND("|",DH45)+1,FIND("-",DH45)-FIND("|",DH45)-1))),ABS($Q45-ABS(VALUE(MID(DH45,FIND("|",DH45)+1,FIND("-",DH45)-FIND("|",DH45)-1))-VALUE(MID(DH45,FIND("-",DH45)+1,10)))))*$D$50)))))*$I45,0)),0)</f>
        <v>0</v>
      </c>
      <c r="DJ45" s="338"/>
      <c r="DK45" s="363"/>
      <c r="DL45" s="356" t="n">
        <f aca="false">IFERROR(IF($M45=DK45,($D$8+$D$9+$D$10)*$I45,IF($N45=LEFT(DK45,1),($D$8+MAX(0,IF($D$50=1,$D$9*(1-(ABS($Q45-ABS(VALUE(MID(DK45,FIND("|",DK45)+1,FIND("-",DK45)-FIND("|",DK45)-1))-VALUE(MID(DK45,FIND("-",DK45)+1,10)))))*$D$50),$D$9*(1-(IF($N45="X",ABS($O45-VALUE(MID(DK45,FIND("|",DK45)+1,FIND("-",DK45)-FIND("|",DK45)-1))),ABS($Q45-ABS(VALUE(MID(DK45,FIND("|",DK45)+1,FIND("-",DK45)-FIND("|",DK45)-1))-VALUE(MID(DK45,FIND("-",DK45)+1,10)))))*$D$50)))))*$I45,0)),0)</f>
        <v>0</v>
      </c>
      <c r="DM45" s="338"/>
      <c r="DN45" s="363"/>
      <c r="DO45" s="356" t="n">
        <f aca="false">IFERROR(IF($M45=DN45,($D$8+$D$9+$D$10)*$I45,IF($N45=LEFT(DN45,1),($D$8+MAX(0,IF($D$50=1,$D$9*(1-(ABS($Q45-ABS(VALUE(MID(DN45,FIND("|",DN45)+1,FIND("-",DN45)-FIND("|",DN45)-1))-VALUE(MID(DN45,FIND("-",DN45)+1,10)))))*$D$50),$D$9*(1-(IF($N45="X",ABS($O45-VALUE(MID(DN45,FIND("|",DN45)+1,FIND("-",DN45)-FIND("|",DN45)-1))),ABS($Q45-ABS(VALUE(MID(DN45,FIND("|",DN45)+1,FIND("-",DN45)-FIND("|",DN45)-1))-VALUE(MID(DN45,FIND("-",DN45)+1,10)))))*$D$50)))))*$I45,0)),0)</f>
        <v>0</v>
      </c>
      <c r="DP45" s="338"/>
      <c r="DQ45" s="363"/>
      <c r="DR45" s="356" t="n">
        <f aca="false">IFERROR(IF($M45=DQ45,($D$8+$D$9+$D$10)*$I45,IF($N45=LEFT(DQ45,1),($D$8+MAX(0,IF($D$50=1,$D$9*(1-(ABS($Q45-ABS(VALUE(MID(DQ45,FIND("|",DQ45)+1,FIND("-",DQ45)-FIND("|",DQ45)-1))-VALUE(MID(DQ45,FIND("-",DQ45)+1,10)))))*$D$50),$D$9*(1-(IF($N45="X",ABS($O45-VALUE(MID(DQ45,FIND("|",DQ45)+1,FIND("-",DQ45)-FIND("|",DQ45)-1))),ABS($Q45-ABS(VALUE(MID(DQ45,FIND("|",DQ45)+1,FIND("-",DQ45)-FIND("|",DQ45)-1))-VALUE(MID(DQ45,FIND("-",DQ45)+1,10)))))*$D$50)))))*$I45,0)),0)</f>
        <v>0</v>
      </c>
      <c r="DS45" s="338"/>
      <c r="DT45" s="363"/>
      <c r="DU45" s="356" t="n">
        <f aca="false">IFERROR(IF($M45=DT45,($D$8+$D$9+$D$10)*$I45,IF($N45=LEFT(DT45,1),($D$8+MAX(0,IF($D$50=1,$D$9*(1-(ABS($Q45-ABS(VALUE(MID(DT45,FIND("|",DT45)+1,FIND("-",DT45)-FIND("|",DT45)-1))-VALUE(MID(DT45,FIND("-",DT45)+1,10)))))*$D$50),$D$9*(1-(IF($N45="X",ABS($O45-VALUE(MID(DT45,FIND("|",DT45)+1,FIND("-",DT45)-FIND("|",DT45)-1))),ABS($Q45-ABS(VALUE(MID(DT45,FIND("|",DT45)+1,FIND("-",DT45)-FIND("|",DT45)-1))-VALUE(MID(DT45,FIND("-",DT45)+1,10)))))*$D$50)))))*$I45,0)),0)</f>
        <v>0</v>
      </c>
      <c r="DV45" s="338"/>
      <c r="DW45" s="363"/>
      <c r="DX45" s="356" t="n">
        <f aca="false">IFERROR(IF($M45=DW45,($D$8+$D$9+$D$10)*$I45,IF($N45=LEFT(DW45,1),($D$8+MAX(0,IF($D$50=1,$D$9*(1-(ABS($Q45-ABS(VALUE(MID(DW45,FIND("|",DW45)+1,FIND("-",DW45)-FIND("|",DW45)-1))-VALUE(MID(DW45,FIND("-",DW45)+1,10)))))*$D$50),$D$9*(1-(IF($N45="X",ABS($O45-VALUE(MID(DW45,FIND("|",DW45)+1,FIND("-",DW45)-FIND("|",DW45)-1))),ABS($Q45-ABS(VALUE(MID(DW45,FIND("|",DW45)+1,FIND("-",DW45)-FIND("|",DW45)-1))-VALUE(MID(DW45,FIND("-",DW45)+1,10)))))*$D$50)))))*$I45,0)),0)</f>
        <v>0</v>
      </c>
      <c r="DY45" s="338"/>
      <c r="DZ45" s="363"/>
      <c r="EA45" s="356" t="n">
        <f aca="false">IFERROR(IF($M45=DZ45,($D$8+$D$9+$D$10)*$I45,IF($N45=LEFT(DZ45,1),($D$8+MAX(0,IF($D$50=1,$D$9*(1-(ABS($Q45-ABS(VALUE(MID(DZ45,FIND("|",DZ45)+1,FIND("-",DZ45)-FIND("|",DZ45)-1))-VALUE(MID(DZ45,FIND("-",DZ45)+1,10)))))*$D$50),$D$9*(1-(IF($N45="X",ABS($O45-VALUE(MID(DZ45,FIND("|",DZ45)+1,FIND("-",DZ45)-FIND("|",DZ45)-1))),ABS($Q45-ABS(VALUE(MID(DZ45,FIND("|",DZ45)+1,FIND("-",DZ45)-FIND("|",DZ45)-1))-VALUE(MID(DZ45,FIND("-",DZ45)+1,10)))))*$D$50)))))*$I45,0)),0)</f>
        <v>0</v>
      </c>
      <c r="EB45" s="338"/>
      <c r="EC45" s="363"/>
      <c r="ED45" s="356" t="n">
        <f aca="false">IFERROR(IF($M45=EC45,($D$8+$D$9+$D$10)*$I45,IF($N45=LEFT(EC45,1),($D$8+MAX(0,IF($D$50=1,$D$9*(1-(ABS($Q45-ABS(VALUE(MID(EC45,FIND("|",EC45)+1,FIND("-",EC45)-FIND("|",EC45)-1))-VALUE(MID(EC45,FIND("-",EC45)+1,10)))))*$D$50),$D$9*(1-(IF($N45="X",ABS($O45-VALUE(MID(EC45,FIND("|",EC45)+1,FIND("-",EC45)-FIND("|",EC45)-1))),ABS($Q45-ABS(VALUE(MID(EC45,FIND("|",EC45)+1,FIND("-",EC45)-FIND("|",EC45)-1))-VALUE(MID(EC45,FIND("-",EC45)+1,10)))))*$D$50)))))*$I45,0)),0)</f>
        <v>0</v>
      </c>
      <c r="EE45" s="338"/>
      <c r="EF45" s="363"/>
      <c r="EG45" s="356" t="n">
        <f aca="false">IFERROR(IF($M45=EF45,($D$8+$D$9+$D$10)*$I45,IF($N45=LEFT(EF45,1),($D$8+MAX(0,IF($D$50=1,$D$9*(1-(ABS($Q45-ABS(VALUE(MID(EF45,FIND("|",EF45)+1,FIND("-",EF45)-FIND("|",EF45)-1))-VALUE(MID(EF45,FIND("-",EF45)+1,10)))))*$D$50),$D$9*(1-(IF($N45="X",ABS($O45-VALUE(MID(EF45,FIND("|",EF45)+1,FIND("-",EF45)-FIND("|",EF45)-1))),ABS($Q45-ABS(VALUE(MID(EF45,FIND("|",EF45)+1,FIND("-",EF45)-FIND("|",EF45)-1))-VALUE(MID(EF45,FIND("-",EF45)+1,10)))))*$D$50)))))*$I45,0)),0)</f>
        <v>0</v>
      </c>
      <c r="EH45" s="338"/>
      <c r="EI45" s="338"/>
    </row>
    <row r="46" customFormat="false" ht="15" hidden="false" customHeight="false" outlineLevel="0" collapsed="false">
      <c r="A46" s="327"/>
      <c r="B46" s="327"/>
      <c r="C46" s="360" t="str">
        <f aca="false">Idiomas!D341</f>
        <v>Equipo máximo goleador</v>
      </c>
      <c r="D46" s="361" t="n">
        <v>20</v>
      </c>
      <c r="E46" s="334"/>
      <c r="F46" s="343" t="n">
        <f aca="false">SUM($D$8:$D$10)*I46</f>
        <v>17</v>
      </c>
      <c r="G46" s="343" t="n">
        <f aca="false">VLOOKUP(H46,Equipos!$Q$1:$R$25,2,0)</f>
        <v>13</v>
      </c>
      <c r="H46" s="351" t="n">
        <f aca="false">TRUNC(INDEX(WORLDCUP!$X$4:$X$147,MATCH(ADMIN!K46,WORLDCUP!$DT$4:$DT$147,0))+INDEX(Horarios!$R$3:$R$86,MATCH(Horarios!$C$3,Horarios!$P$3:$P$86,0))/24)</f>
        <v>46196</v>
      </c>
      <c r="I46" s="352" t="n">
        <v>1</v>
      </c>
      <c r="J46" s="353" t="s">
        <v>307</v>
      </c>
      <c r="K46" s="354" t="str">
        <f aca="false">CONCATENATE(WORLDCUP!AA70,"-",WORLDCUP!AF70)</f>
        <v>Francia-Irak</v>
      </c>
      <c r="L46" s="354"/>
      <c r="M46" s="359" t="str">
        <f aca="false">IF(OR(WORLDCUP!AC70="",WORLDCUP!AD70=""),"-",N46&amp;"|"&amp;O46&amp;"-"&amp;P46)</f>
        <v>-</v>
      </c>
      <c r="N46" s="332" t="str">
        <f aca="false">IF(OR(WORLDCUP!AC70="",WORLDCUP!AD70=""),"",IF(WORLDCUP!AC70&gt;WORLDCUP!AD70,"1",IF(WORLDCUP!AC70&lt;WORLDCUP!AD70,"2","X")))</f>
        <v/>
      </c>
      <c r="O46" s="332" t="n">
        <f aca="false">WORLDCUP!AC70</f>
        <v>0</v>
      </c>
      <c r="P46" s="332" t="n">
        <f aca="false">WORLDCUP!AD70</f>
        <v>0</v>
      </c>
      <c r="Q46" s="332" t="n">
        <f aca="false">ABS(O46-P46)</f>
        <v>0</v>
      </c>
      <c r="R46" s="327"/>
      <c r="S46" s="363" t="s">
        <v>272</v>
      </c>
      <c r="T46" s="356" t="n">
        <f aca="false">IFERROR(IF($M46=S46,($D$8+$D$9+$D$10)*$I46,IF($N46=LEFT(S46,1),($D$8+MAX(0,IF($D$50=1,$D$9*(1-(ABS($Q46-ABS(VALUE(MID(S46,FIND("|",S46)+1,FIND("-",S46)-FIND("|",S46)-1))-VALUE(MID(S46,FIND("-",S46)+1,10)))))*$D$50),$D$9*(1-(IF($N46="X",ABS($O46-VALUE(MID(S46,FIND("|",S46)+1,FIND("-",S46)-FIND("|",S46)-1))),ABS($Q46-ABS(VALUE(MID(S46,FIND("|",S46)+1,FIND("-",S46)-FIND("|",S46)-1))-VALUE(MID(S46,FIND("-",S46)+1,10)))))*$D$50)))))*$I46,0)),0)</f>
        <v>0</v>
      </c>
      <c r="U46" s="338"/>
      <c r="V46" s="363" t="s">
        <v>266</v>
      </c>
      <c r="W46" s="356" t="n">
        <f aca="false">IFERROR(IF($M46=V46,($D$8+$D$9+$D$10)*$I46,IF($N46=LEFT(V46,1),($D$8+MAX(0,IF($D$50=1,$D$9*(1-(ABS($Q46-ABS(VALUE(MID(V46,FIND("|",V46)+1,FIND("-",V46)-FIND("|",V46)-1))-VALUE(MID(V46,FIND("-",V46)+1,10)))))*$D$50),$D$9*(1-(IF($N46="X",ABS($O46-VALUE(MID(V46,FIND("|",V46)+1,FIND("-",V46)-FIND("|",V46)-1))),ABS($Q46-ABS(VALUE(MID(V46,FIND("|",V46)+1,FIND("-",V46)-FIND("|",V46)-1))-VALUE(MID(V46,FIND("-",V46)+1,10)))))*$D$50)))))*$I46,0)),0)</f>
        <v>0</v>
      </c>
      <c r="X46" s="338"/>
      <c r="Y46" s="363" t="s">
        <v>272</v>
      </c>
      <c r="Z46" s="356" t="n">
        <f aca="false">IFERROR(IF($M46=Y46,($D$8+$D$9+$D$10)*$I46,IF($N46=LEFT(Y46,1),($D$8+MAX(0,IF($D$50=1,$D$9*(1-(ABS($Q46-ABS(VALUE(MID(Y46,FIND("|",Y46)+1,FIND("-",Y46)-FIND("|",Y46)-1))-VALUE(MID(Y46,FIND("-",Y46)+1,10)))))*$D$50),$D$9*(1-(IF($N46="X",ABS($O46-VALUE(MID(Y46,FIND("|",Y46)+1,FIND("-",Y46)-FIND("|",Y46)-1))),ABS($Q46-ABS(VALUE(MID(Y46,FIND("|",Y46)+1,FIND("-",Y46)-FIND("|",Y46)-1))-VALUE(MID(Y46,FIND("-",Y46)+1,10)))))*$D$50)))))*$I46,0)),0)</f>
        <v>0</v>
      </c>
      <c r="AA46" s="338"/>
      <c r="AB46" s="363" t="s">
        <v>266</v>
      </c>
      <c r="AC46" s="356" t="n">
        <f aca="false">IFERROR(IF($M46=AB46,($D$8+$D$9+$D$10)*$I46,IF($N46=LEFT(AB46,1),($D$8+MAX(0,IF($D$50=1,$D$9*(1-(ABS($Q46-ABS(VALUE(MID(AB46,FIND("|",AB46)+1,FIND("-",AB46)-FIND("|",AB46)-1))-VALUE(MID(AB46,FIND("-",AB46)+1,10)))))*$D$50),$D$9*(1-(IF($N46="X",ABS($O46-VALUE(MID(AB46,FIND("|",AB46)+1,FIND("-",AB46)-FIND("|",AB46)-1))),ABS($Q46-ABS(VALUE(MID(AB46,FIND("|",AB46)+1,FIND("-",AB46)-FIND("|",AB46)-1))-VALUE(MID(AB46,FIND("-",AB46)+1,10)))))*$D$50)))))*$I46,0)),0)</f>
        <v>0</v>
      </c>
      <c r="AD46" s="338"/>
      <c r="AE46" s="363" t="s">
        <v>272</v>
      </c>
      <c r="AF46" s="356" t="n">
        <f aca="false">IFERROR(IF($M46=AE46,($D$8+$D$9+$D$10)*$I46,IF($N46=LEFT(AE46,1),($D$8+MAX(0,IF($D$50=1,$D$9*(1-(ABS($Q46-ABS(VALUE(MID(AE46,FIND("|",AE46)+1,FIND("-",AE46)-FIND("|",AE46)-1))-VALUE(MID(AE46,FIND("-",AE46)+1,10)))))*$D$50),$D$9*(1-(IF($N46="X",ABS($O46-VALUE(MID(AE46,FIND("|",AE46)+1,FIND("-",AE46)-FIND("|",AE46)-1))),ABS($Q46-ABS(VALUE(MID(AE46,FIND("|",AE46)+1,FIND("-",AE46)-FIND("|",AE46)-1))-VALUE(MID(AE46,FIND("-",AE46)+1,10)))))*$D$50)))))*$I46,0)),0)</f>
        <v>0</v>
      </c>
      <c r="AG46" s="338"/>
      <c r="AH46" s="363" t="s">
        <v>272</v>
      </c>
      <c r="AI46" s="356" t="n">
        <f aca="false">IFERROR(IF($M46=AH46,($D$8+$D$9+$D$10)*$I46,IF($N46=LEFT(AH46,1),($D$8+MAX(0,IF($D$50=1,$D$9*(1-(ABS($Q46-ABS(VALUE(MID(AH46,FIND("|",AH46)+1,FIND("-",AH46)-FIND("|",AH46)-1))-VALUE(MID(AH46,FIND("-",AH46)+1,10)))))*$D$50),$D$9*(1-(IF($N46="X",ABS($O46-VALUE(MID(AH46,FIND("|",AH46)+1,FIND("-",AH46)-FIND("|",AH46)-1))),ABS($Q46-ABS(VALUE(MID(AH46,FIND("|",AH46)+1,FIND("-",AH46)-FIND("|",AH46)-1))-VALUE(MID(AH46,FIND("-",AH46)+1,10)))))*$D$50)))))*$I46,0)),0)</f>
        <v>0</v>
      </c>
      <c r="AJ46" s="338"/>
      <c r="AK46" s="363" t="s">
        <v>272</v>
      </c>
      <c r="AL46" s="356" t="n">
        <f aca="false">IFERROR(IF($M46=AK46,($D$8+$D$9+$D$10)*$I46,IF($N46=LEFT(AK46,1),($D$8+MAX(0,IF($D$50=1,$D$9*(1-(ABS($Q46-ABS(VALUE(MID(AK46,FIND("|",AK46)+1,FIND("-",AK46)-FIND("|",AK46)-1))-VALUE(MID(AK46,FIND("-",AK46)+1,10)))))*$D$50),$D$9*(1-(IF($N46="X",ABS($O46-VALUE(MID(AK46,FIND("|",AK46)+1,FIND("-",AK46)-FIND("|",AK46)-1))),ABS($Q46-ABS(VALUE(MID(AK46,FIND("|",AK46)+1,FIND("-",AK46)-FIND("|",AK46)-1))-VALUE(MID(AK46,FIND("-",AK46)+1,10)))))*$D$50)))))*$I46,0)),0)</f>
        <v>0</v>
      </c>
      <c r="AM46" s="338"/>
      <c r="AN46" s="363" t="s">
        <v>283</v>
      </c>
      <c r="AO46" s="356" t="n">
        <f aca="false">IFERROR(IF($M46=AN46,($D$8+$D$9+$D$10)*$I46,IF($N46=LEFT(AN46,1),($D$8+MAX(0,IF($D$50=1,$D$9*(1-(ABS($Q46-ABS(VALUE(MID(AN46,FIND("|",AN46)+1,FIND("-",AN46)-FIND("|",AN46)-1))-VALUE(MID(AN46,FIND("-",AN46)+1,10)))))*$D$50),$D$9*(1-(IF($N46="X",ABS($O46-VALUE(MID(AN46,FIND("|",AN46)+1,FIND("-",AN46)-FIND("|",AN46)-1))),ABS($Q46-ABS(VALUE(MID(AN46,FIND("|",AN46)+1,FIND("-",AN46)-FIND("|",AN46)-1))-VALUE(MID(AN46,FIND("-",AN46)+1,10)))))*$D$50)))))*$I46,0)),0)</f>
        <v>0</v>
      </c>
      <c r="AP46" s="338"/>
      <c r="AQ46" s="363" t="s">
        <v>266</v>
      </c>
      <c r="AR46" s="356" t="n">
        <f aca="false">IFERROR(IF($M46=AQ46,($D$8+$D$9+$D$10)*$I46,IF($N46=LEFT(AQ46,1),($D$8+MAX(0,IF($D$50=1,$D$9*(1-(ABS($Q46-ABS(VALUE(MID(AQ46,FIND("|",AQ46)+1,FIND("-",AQ46)-FIND("|",AQ46)-1))-VALUE(MID(AQ46,FIND("-",AQ46)+1,10)))))*$D$50),$D$9*(1-(IF($N46="X",ABS($O46-VALUE(MID(AQ46,FIND("|",AQ46)+1,FIND("-",AQ46)-FIND("|",AQ46)-1))),ABS($Q46-ABS(VALUE(MID(AQ46,FIND("|",AQ46)+1,FIND("-",AQ46)-FIND("|",AQ46)-1))-VALUE(MID(AQ46,FIND("-",AQ46)+1,10)))))*$D$50)))))*$I46,0)),0)</f>
        <v>0</v>
      </c>
      <c r="AS46" s="338"/>
      <c r="AT46" s="363" t="s">
        <v>272</v>
      </c>
      <c r="AU46" s="356" t="n">
        <f aca="false">IFERROR(IF($M46=AT46,($D$8+$D$9+$D$10)*$I46,IF($N46=LEFT(AT46,1),($D$8+MAX(0,IF($D$50=1,$D$9*(1-(ABS($Q46-ABS(VALUE(MID(AT46,FIND("|",AT46)+1,FIND("-",AT46)-FIND("|",AT46)-1))-VALUE(MID(AT46,FIND("-",AT46)+1,10)))))*$D$50),$D$9*(1-(IF($N46="X",ABS($O46-VALUE(MID(AT46,FIND("|",AT46)+1,FIND("-",AT46)-FIND("|",AT46)-1))),ABS($Q46-ABS(VALUE(MID(AT46,FIND("|",AT46)+1,FIND("-",AT46)-FIND("|",AT46)-1))-VALUE(MID(AT46,FIND("-",AT46)+1,10)))))*$D$50)))))*$I46,0)),0)</f>
        <v>0</v>
      </c>
      <c r="AV46" s="338"/>
      <c r="AW46" s="363" t="s">
        <v>272</v>
      </c>
      <c r="AX46" s="356" t="n">
        <f aca="false">IFERROR(IF($M46=AW46,($D$8+$D$9+$D$10)*$I46,IF($N46=LEFT(AW46,1),($D$8+MAX(0,IF($D$50=1,$D$9*(1-(ABS($Q46-ABS(VALUE(MID(AW46,FIND("|",AW46)+1,FIND("-",AW46)-FIND("|",AW46)-1))-VALUE(MID(AW46,FIND("-",AW46)+1,10)))))*$D$50),$D$9*(1-(IF($N46="X",ABS($O46-VALUE(MID(AW46,FIND("|",AW46)+1,FIND("-",AW46)-FIND("|",AW46)-1))),ABS($Q46-ABS(VALUE(MID(AW46,FIND("|",AW46)+1,FIND("-",AW46)-FIND("|",AW46)-1))-VALUE(MID(AW46,FIND("-",AW46)+1,10)))))*$D$50)))))*$I46,0)),0)</f>
        <v>0</v>
      </c>
      <c r="AY46" s="338"/>
      <c r="AZ46" s="363" t="s">
        <v>264</v>
      </c>
      <c r="BA46" s="356" t="n">
        <f aca="false">IFERROR(IF($M46=AZ46,($D$8+$D$9+$D$10)*$I46,IF($N46=LEFT(AZ46,1),($D$8+MAX(0,IF($D$50=1,$D$9*(1-(ABS($Q46-ABS(VALUE(MID(AZ46,FIND("|",AZ46)+1,FIND("-",AZ46)-FIND("|",AZ46)-1))-VALUE(MID(AZ46,FIND("-",AZ46)+1,10)))))*$D$50),$D$9*(1-(IF($N46="X",ABS($O46-VALUE(MID(AZ46,FIND("|",AZ46)+1,FIND("-",AZ46)-FIND("|",AZ46)-1))),ABS($Q46-ABS(VALUE(MID(AZ46,FIND("|",AZ46)+1,FIND("-",AZ46)-FIND("|",AZ46)-1))-VALUE(MID(AZ46,FIND("-",AZ46)+1,10)))))*$D$50)))))*$I46,0)),0)</f>
        <v>0</v>
      </c>
      <c r="BB46" s="338"/>
      <c r="BC46" s="363" t="s">
        <v>288</v>
      </c>
      <c r="BD46" s="356" t="n">
        <f aca="false">IFERROR(IF($M46=BC46,($D$8+$D$9+$D$10)*$I46,IF($N46=LEFT(BC46,1),($D$8+MAX(0,IF($D$50=1,$D$9*(1-(ABS($Q46-ABS(VALUE(MID(BC46,FIND("|",BC46)+1,FIND("-",BC46)-FIND("|",BC46)-1))-VALUE(MID(BC46,FIND("-",BC46)+1,10)))))*$D$50),$D$9*(1-(IF($N46="X",ABS($O46-VALUE(MID(BC46,FIND("|",BC46)+1,FIND("-",BC46)-FIND("|",BC46)-1))),ABS($Q46-ABS(VALUE(MID(BC46,FIND("|",BC46)+1,FIND("-",BC46)-FIND("|",BC46)-1))-VALUE(MID(BC46,FIND("-",BC46)+1,10)))))*$D$50)))))*$I46,0)),0)</f>
        <v>0</v>
      </c>
      <c r="BE46" s="338"/>
      <c r="BF46" s="363" t="s">
        <v>265</v>
      </c>
      <c r="BG46" s="356" t="n">
        <f aca="false">IFERROR(IF($M46=BF46,($D$8+$D$9+$D$10)*$I46,IF($N46=LEFT(BF46,1),($D$8+MAX(0,IF($D$50=1,$D$9*(1-(ABS($Q46-ABS(VALUE(MID(BF46,FIND("|",BF46)+1,FIND("-",BF46)-FIND("|",BF46)-1))-VALUE(MID(BF46,FIND("-",BF46)+1,10)))))*$D$50),$D$9*(1-(IF($N46="X",ABS($O46-VALUE(MID(BF46,FIND("|",BF46)+1,FIND("-",BF46)-FIND("|",BF46)-1))),ABS($Q46-ABS(VALUE(MID(BF46,FIND("|",BF46)+1,FIND("-",BF46)-FIND("|",BF46)-1))-VALUE(MID(BF46,FIND("-",BF46)+1,10)))))*$D$50)))))*$I46,0)),0)</f>
        <v>0</v>
      </c>
      <c r="BH46" s="338"/>
      <c r="BI46" s="363" t="s">
        <v>266</v>
      </c>
      <c r="BJ46" s="356" t="n">
        <f aca="false">IFERROR(IF($M46=BI46,($D$8+$D$9+$D$10)*$I46,IF($N46=LEFT(BI46,1),($D$8+MAX(0,IF($D$50=1,$D$9*(1-(ABS($Q46-ABS(VALUE(MID(BI46,FIND("|",BI46)+1,FIND("-",BI46)-FIND("|",BI46)-1))-VALUE(MID(BI46,FIND("-",BI46)+1,10)))))*$D$50),$D$9*(1-(IF($N46="X",ABS($O46-VALUE(MID(BI46,FIND("|",BI46)+1,FIND("-",BI46)-FIND("|",BI46)-1))),ABS($Q46-ABS(VALUE(MID(BI46,FIND("|",BI46)+1,FIND("-",BI46)-FIND("|",BI46)-1))-VALUE(MID(BI46,FIND("-",BI46)+1,10)))))*$D$50)))))*$I46,0)),0)</f>
        <v>0</v>
      </c>
      <c r="BK46" s="338"/>
      <c r="BL46" s="363" t="s">
        <v>288</v>
      </c>
      <c r="BM46" s="356" t="n">
        <f aca="false">IFERROR(IF($M46=BL46,($D$8+$D$9+$D$10)*$I46,IF($N46=LEFT(BL46,1),($D$8+MAX(0,IF($D$50=1,$D$9*(1-(ABS($Q46-ABS(VALUE(MID(BL46,FIND("|",BL46)+1,FIND("-",BL46)-FIND("|",BL46)-1))-VALUE(MID(BL46,FIND("-",BL46)+1,10)))))*$D$50),$D$9*(1-(IF($N46="X",ABS($O46-VALUE(MID(BL46,FIND("|",BL46)+1,FIND("-",BL46)-FIND("|",BL46)-1))),ABS($Q46-ABS(VALUE(MID(BL46,FIND("|",BL46)+1,FIND("-",BL46)-FIND("|",BL46)-1))-VALUE(MID(BL46,FIND("-",BL46)+1,10)))))*$D$50)))))*$I46,0)),0)</f>
        <v>0</v>
      </c>
      <c r="BN46" s="338"/>
      <c r="BO46" s="363" t="s">
        <v>266</v>
      </c>
      <c r="BP46" s="356" t="n">
        <f aca="false">IFERROR(IF($M46=BO46,($D$8+$D$9+$D$10)*$I46,IF($N46=LEFT(BO46,1),($D$8+MAX(0,IF($D$50=1,$D$9*(1-(ABS($Q46-ABS(VALUE(MID(BO46,FIND("|",BO46)+1,FIND("-",BO46)-FIND("|",BO46)-1))-VALUE(MID(BO46,FIND("-",BO46)+1,10)))))*$D$50),$D$9*(1-(IF($N46="X",ABS($O46-VALUE(MID(BO46,FIND("|",BO46)+1,FIND("-",BO46)-FIND("|",BO46)-1))),ABS($Q46-ABS(VALUE(MID(BO46,FIND("|",BO46)+1,FIND("-",BO46)-FIND("|",BO46)-1))-VALUE(MID(BO46,FIND("-",BO46)+1,10)))))*$D$50)))))*$I46,0)),0)</f>
        <v>0</v>
      </c>
      <c r="BQ46" s="338"/>
      <c r="BR46" s="363" t="s">
        <v>272</v>
      </c>
      <c r="BS46" s="356" t="n">
        <f aca="false">IFERROR(IF($M46=BR46,($D$8+$D$9+$D$10)*$I46,IF($N46=LEFT(BR46,1),($D$8+MAX(0,IF($D$50=1,$D$9*(1-(ABS($Q46-ABS(VALUE(MID(BR46,FIND("|",BR46)+1,FIND("-",BR46)-FIND("|",BR46)-1))-VALUE(MID(BR46,FIND("-",BR46)+1,10)))))*$D$50),$D$9*(1-(IF($N46="X",ABS($O46-VALUE(MID(BR46,FIND("|",BR46)+1,FIND("-",BR46)-FIND("|",BR46)-1))),ABS($Q46-ABS(VALUE(MID(BR46,FIND("|",BR46)+1,FIND("-",BR46)-FIND("|",BR46)-1))-VALUE(MID(BR46,FIND("-",BR46)+1,10)))))*$D$50)))))*$I46,0)),0)</f>
        <v>0</v>
      </c>
      <c r="BT46" s="338"/>
      <c r="BU46" s="363"/>
      <c r="BV46" s="356" t="n">
        <f aca="false">IFERROR(IF($M46=BU46,($D$8+$D$9+$D$10)*$I46,IF($N46=LEFT(BU46,1),($D$8+MAX(0,IF($D$50=1,$D$9*(1-(ABS($Q46-ABS(VALUE(MID(BU46,FIND("|",BU46)+1,FIND("-",BU46)-FIND("|",BU46)-1))-VALUE(MID(BU46,FIND("-",BU46)+1,10)))))*$D$50),$D$9*(1-(IF($N46="X",ABS($O46-VALUE(MID(BU46,FIND("|",BU46)+1,FIND("-",BU46)-FIND("|",BU46)-1))),ABS($Q46-ABS(VALUE(MID(BU46,FIND("|",BU46)+1,FIND("-",BU46)-FIND("|",BU46)-1))-VALUE(MID(BU46,FIND("-",BU46)+1,10)))))*$D$50)))))*$I46,0)),0)</f>
        <v>0</v>
      </c>
      <c r="BW46" s="338"/>
      <c r="BX46" s="363"/>
      <c r="BY46" s="356" t="n">
        <f aca="false">IFERROR(IF($M46=BX46,($D$8+$D$9+$D$10)*$I46,IF($N46=LEFT(BX46,1),($D$8+MAX(0,IF($D$50=1,$D$9*(1-(ABS($Q46-ABS(VALUE(MID(BX46,FIND("|",BX46)+1,FIND("-",BX46)-FIND("|",BX46)-1))-VALUE(MID(BX46,FIND("-",BX46)+1,10)))))*$D$50),$D$9*(1-(IF($N46="X",ABS($O46-VALUE(MID(BX46,FIND("|",BX46)+1,FIND("-",BX46)-FIND("|",BX46)-1))),ABS($Q46-ABS(VALUE(MID(BX46,FIND("|",BX46)+1,FIND("-",BX46)-FIND("|",BX46)-1))-VALUE(MID(BX46,FIND("-",BX46)+1,10)))))*$D$50)))))*$I46,0)),0)</f>
        <v>0</v>
      </c>
      <c r="BZ46" s="338"/>
      <c r="CA46" s="363"/>
      <c r="CB46" s="356" t="n">
        <f aca="false">IFERROR(IF($M46=CA46,($D$8+$D$9+$D$10)*$I46,IF($N46=LEFT(CA46,1),($D$8+MAX(0,IF($D$50=1,$D$9*(1-(ABS($Q46-ABS(VALUE(MID(CA46,FIND("|",CA46)+1,FIND("-",CA46)-FIND("|",CA46)-1))-VALUE(MID(CA46,FIND("-",CA46)+1,10)))))*$D$50),$D$9*(1-(IF($N46="X",ABS($O46-VALUE(MID(CA46,FIND("|",CA46)+1,FIND("-",CA46)-FIND("|",CA46)-1))),ABS($Q46-ABS(VALUE(MID(CA46,FIND("|",CA46)+1,FIND("-",CA46)-FIND("|",CA46)-1))-VALUE(MID(CA46,FIND("-",CA46)+1,10)))))*$D$50)))))*$I46,0)),0)</f>
        <v>0</v>
      </c>
      <c r="CC46" s="338"/>
      <c r="CD46" s="363"/>
      <c r="CE46" s="356" t="n">
        <f aca="false">IFERROR(IF($M46=CD46,($D$8+$D$9+$D$10)*$I46,IF($N46=LEFT(CD46,1),($D$8+MAX(0,IF($D$50=1,$D$9*(1-(ABS($Q46-ABS(VALUE(MID(CD46,FIND("|",CD46)+1,FIND("-",CD46)-FIND("|",CD46)-1))-VALUE(MID(CD46,FIND("-",CD46)+1,10)))))*$D$50),$D$9*(1-(IF($N46="X",ABS($O46-VALUE(MID(CD46,FIND("|",CD46)+1,FIND("-",CD46)-FIND("|",CD46)-1))),ABS($Q46-ABS(VALUE(MID(CD46,FIND("|",CD46)+1,FIND("-",CD46)-FIND("|",CD46)-1))-VALUE(MID(CD46,FIND("-",CD46)+1,10)))))*$D$50)))))*$I46,0)),0)</f>
        <v>0</v>
      </c>
      <c r="CF46" s="338"/>
      <c r="CG46" s="363"/>
      <c r="CH46" s="356" t="n">
        <f aca="false">IFERROR(IF($M46=CG46,($D$8+$D$9+$D$10)*$I46,IF($N46=LEFT(CG46,1),($D$8+MAX(0,IF($D$50=1,$D$9*(1-(ABS($Q46-ABS(VALUE(MID(CG46,FIND("|",CG46)+1,FIND("-",CG46)-FIND("|",CG46)-1))-VALUE(MID(CG46,FIND("-",CG46)+1,10)))))*$D$50),$D$9*(1-(IF($N46="X",ABS($O46-VALUE(MID(CG46,FIND("|",CG46)+1,FIND("-",CG46)-FIND("|",CG46)-1))),ABS($Q46-ABS(VALUE(MID(CG46,FIND("|",CG46)+1,FIND("-",CG46)-FIND("|",CG46)-1))-VALUE(MID(CG46,FIND("-",CG46)+1,10)))))*$D$50)))))*$I46,0)),0)</f>
        <v>0</v>
      </c>
      <c r="CI46" s="338"/>
      <c r="CJ46" s="363"/>
      <c r="CK46" s="356" t="n">
        <f aca="false">IFERROR(IF($M46=CJ46,($D$8+$D$9+$D$10)*$I46,IF($N46=LEFT(CJ46,1),($D$8+MAX(0,IF($D$50=1,$D$9*(1-(ABS($Q46-ABS(VALUE(MID(CJ46,FIND("|",CJ46)+1,FIND("-",CJ46)-FIND("|",CJ46)-1))-VALUE(MID(CJ46,FIND("-",CJ46)+1,10)))))*$D$50),$D$9*(1-(IF($N46="X",ABS($O46-VALUE(MID(CJ46,FIND("|",CJ46)+1,FIND("-",CJ46)-FIND("|",CJ46)-1))),ABS($Q46-ABS(VALUE(MID(CJ46,FIND("|",CJ46)+1,FIND("-",CJ46)-FIND("|",CJ46)-1))-VALUE(MID(CJ46,FIND("-",CJ46)+1,10)))))*$D$50)))))*$I46,0)),0)</f>
        <v>0</v>
      </c>
      <c r="CL46" s="338"/>
      <c r="CM46" s="363"/>
      <c r="CN46" s="356" t="n">
        <f aca="false">IFERROR(IF($M46=CM46,($D$8+$D$9+$D$10)*$I46,IF($N46=LEFT(CM46,1),($D$8+MAX(0,IF($D$50=1,$D$9*(1-(ABS($Q46-ABS(VALUE(MID(CM46,FIND("|",CM46)+1,FIND("-",CM46)-FIND("|",CM46)-1))-VALUE(MID(CM46,FIND("-",CM46)+1,10)))))*$D$50),$D$9*(1-(IF($N46="X",ABS($O46-VALUE(MID(CM46,FIND("|",CM46)+1,FIND("-",CM46)-FIND("|",CM46)-1))),ABS($Q46-ABS(VALUE(MID(CM46,FIND("|",CM46)+1,FIND("-",CM46)-FIND("|",CM46)-1))-VALUE(MID(CM46,FIND("-",CM46)+1,10)))))*$D$50)))))*$I46,0)),0)</f>
        <v>0</v>
      </c>
      <c r="CO46" s="338"/>
      <c r="CP46" s="363"/>
      <c r="CQ46" s="356" t="n">
        <f aca="false">IFERROR(IF($M46=CP46,($D$8+$D$9+$D$10)*$I46,IF($N46=LEFT(CP46,1),($D$8+MAX(0,IF($D$50=1,$D$9*(1-(ABS($Q46-ABS(VALUE(MID(CP46,FIND("|",CP46)+1,FIND("-",CP46)-FIND("|",CP46)-1))-VALUE(MID(CP46,FIND("-",CP46)+1,10)))))*$D$50),$D$9*(1-(IF($N46="X",ABS($O46-VALUE(MID(CP46,FIND("|",CP46)+1,FIND("-",CP46)-FIND("|",CP46)-1))),ABS($Q46-ABS(VALUE(MID(CP46,FIND("|",CP46)+1,FIND("-",CP46)-FIND("|",CP46)-1))-VALUE(MID(CP46,FIND("-",CP46)+1,10)))))*$D$50)))))*$I46,0)),0)</f>
        <v>0</v>
      </c>
      <c r="CR46" s="338"/>
      <c r="CS46" s="363"/>
      <c r="CT46" s="356" t="n">
        <f aca="false">IFERROR(IF($M46=CS46,($D$8+$D$9+$D$10)*$I46,IF($N46=LEFT(CS46,1),($D$8+MAX(0,IF($D$50=1,$D$9*(1-(ABS($Q46-ABS(VALUE(MID(CS46,FIND("|",CS46)+1,FIND("-",CS46)-FIND("|",CS46)-1))-VALUE(MID(CS46,FIND("-",CS46)+1,10)))))*$D$50),$D$9*(1-(IF($N46="X",ABS($O46-VALUE(MID(CS46,FIND("|",CS46)+1,FIND("-",CS46)-FIND("|",CS46)-1))),ABS($Q46-ABS(VALUE(MID(CS46,FIND("|",CS46)+1,FIND("-",CS46)-FIND("|",CS46)-1))-VALUE(MID(CS46,FIND("-",CS46)+1,10)))))*$D$50)))))*$I46,0)),0)</f>
        <v>0</v>
      </c>
      <c r="CU46" s="338"/>
      <c r="CV46" s="363"/>
      <c r="CW46" s="356" t="n">
        <f aca="false">IFERROR(IF($M46=CV46,($D$8+$D$9+$D$10)*$I46,IF($N46=LEFT(CV46,1),($D$8+MAX(0,IF($D$50=1,$D$9*(1-(ABS($Q46-ABS(VALUE(MID(CV46,FIND("|",CV46)+1,FIND("-",CV46)-FIND("|",CV46)-1))-VALUE(MID(CV46,FIND("-",CV46)+1,10)))))*$D$50),$D$9*(1-(IF($N46="X",ABS($O46-VALUE(MID(CV46,FIND("|",CV46)+1,FIND("-",CV46)-FIND("|",CV46)-1))),ABS($Q46-ABS(VALUE(MID(CV46,FIND("|",CV46)+1,FIND("-",CV46)-FIND("|",CV46)-1))-VALUE(MID(CV46,FIND("-",CV46)+1,10)))))*$D$50)))))*$I46,0)),0)</f>
        <v>0</v>
      </c>
      <c r="CX46" s="338"/>
      <c r="CY46" s="363"/>
      <c r="CZ46" s="356" t="n">
        <f aca="false">IFERROR(IF($M46=CY46,($D$8+$D$9+$D$10)*$I46,IF($N46=LEFT(CY46,1),($D$8+MAX(0,IF($D$50=1,$D$9*(1-(ABS($Q46-ABS(VALUE(MID(CY46,FIND("|",CY46)+1,FIND("-",CY46)-FIND("|",CY46)-1))-VALUE(MID(CY46,FIND("-",CY46)+1,10)))))*$D$50),$D$9*(1-(IF($N46="X",ABS($O46-VALUE(MID(CY46,FIND("|",CY46)+1,FIND("-",CY46)-FIND("|",CY46)-1))),ABS($Q46-ABS(VALUE(MID(CY46,FIND("|",CY46)+1,FIND("-",CY46)-FIND("|",CY46)-1))-VALUE(MID(CY46,FIND("-",CY46)+1,10)))))*$D$50)))))*$I46,0)),0)</f>
        <v>0</v>
      </c>
      <c r="DA46" s="338"/>
      <c r="DB46" s="363"/>
      <c r="DC46" s="356" t="n">
        <f aca="false">IFERROR(IF($M46=DB46,($D$8+$D$9+$D$10)*$I46,IF($N46=LEFT(DB46,1),($D$8+MAX(0,IF($D$50=1,$D$9*(1-(ABS($Q46-ABS(VALUE(MID(DB46,FIND("|",DB46)+1,FIND("-",DB46)-FIND("|",DB46)-1))-VALUE(MID(DB46,FIND("-",DB46)+1,10)))))*$D$50),$D$9*(1-(IF($N46="X",ABS($O46-VALUE(MID(DB46,FIND("|",DB46)+1,FIND("-",DB46)-FIND("|",DB46)-1))),ABS($Q46-ABS(VALUE(MID(DB46,FIND("|",DB46)+1,FIND("-",DB46)-FIND("|",DB46)-1))-VALUE(MID(DB46,FIND("-",DB46)+1,10)))))*$D$50)))))*$I46,0)),0)</f>
        <v>0</v>
      </c>
      <c r="DD46" s="338"/>
      <c r="DE46" s="363"/>
      <c r="DF46" s="356" t="n">
        <f aca="false">IFERROR(IF($M46=DE46,($D$8+$D$9+$D$10)*$I46,IF($N46=LEFT(DE46,1),($D$8+MAX(0,IF($D$50=1,$D$9*(1-(ABS($Q46-ABS(VALUE(MID(DE46,FIND("|",DE46)+1,FIND("-",DE46)-FIND("|",DE46)-1))-VALUE(MID(DE46,FIND("-",DE46)+1,10)))))*$D$50),$D$9*(1-(IF($N46="X",ABS($O46-VALUE(MID(DE46,FIND("|",DE46)+1,FIND("-",DE46)-FIND("|",DE46)-1))),ABS($Q46-ABS(VALUE(MID(DE46,FIND("|",DE46)+1,FIND("-",DE46)-FIND("|",DE46)-1))-VALUE(MID(DE46,FIND("-",DE46)+1,10)))))*$D$50)))))*$I46,0)),0)</f>
        <v>0</v>
      </c>
      <c r="DG46" s="338"/>
      <c r="DH46" s="363"/>
      <c r="DI46" s="356" t="n">
        <f aca="false">IFERROR(IF($M46=DH46,($D$8+$D$9+$D$10)*$I46,IF($N46=LEFT(DH46,1),($D$8+MAX(0,IF($D$50=1,$D$9*(1-(ABS($Q46-ABS(VALUE(MID(DH46,FIND("|",DH46)+1,FIND("-",DH46)-FIND("|",DH46)-1))-VALUE(MID(DH46,FIND("-",DH46)+1,10)))))*$D$50),$D$9*(1-(IF($N46="X",ABS($O46-VALUE(MID(DH46,FIND("|",DH46)+1,FIND("-",DH46)-FIND("|",DH46)-1))),ABS($Q46-ABS(VALUE(MID(DH46,FIND("|",DH46)+1,FIND("-",DH46)-FIND("|",DH46)-1))-VALUE(MID(DH46,FIND("-",DH46)+1,10)))))*$D$50)))))*$I46,0)),0)</f>
        <v>0</v>
      </c>
      <c r="DJ46" s="338"/>
      <c r="DK46" s="363"/>
      <c r="DL46" s="356" t="n">
        <f aca="false">IFERROR(IF($M46=DK46,($D$8+$D$9+$D$10)*$I46,IF($N46=LEFT(DK46,1),($D$8+MAX(0,IF($D$50=1,$D$9*(1-(ABS($Q46-ABS(VALUE(MID(DK46,FIND("|",DK46)+1,FIND("-",DK46)-FIND("|",DK46)-1))-VALUE(MID(DK46,FIND("-",DK46)+1,10)))))*$D$50),$D$9*(1-(IF($N46="X",ABS($O46-VALUE(MID(DK46,FIND("|",DK46)+1,FIND("-",DK46)-FIND("|",DK46)-1))),ABS($Q46-ABS(VALUE(MID(DK46,FIND("|",DK46)+1,FIND("-",DK46)-FIND("|",DK46)-1))-VALUE(MID(DK46,FIND("-",DK46)+1,10)))))*$D$50)))))*$I46,0)),0)</f>
        <v>0</v>
      </c>
      <c r="DM46" s="338"/>
      <c r="DN46" s="363"/>
      <c r="DO46" s="356" t="n">
        <f aca="false">IFERROR(IF($M46=DN46,($D$8+$D$9+$D$10)*$I46,IF($N46=LEFT(DN46,1),($D$8+MAX(0,IF($D$50=1,$D$9*(1-(ABS($Q46-ABS(VALUE(MID(DN46,FIND("|",DN46)+1,FIND("-",DN46)-FIND("|",DN46)-1))-VALUE(MID(DN46,FIND("-",DN46)+1,10)))))*$D$50),$D$9*(1-(IF($N46="X",ABS($O46-VALUE(MID(DN46,FIND("|",DN46)+1,FIND("-",DN46)-FIND("|",DN46)-1))),ABS($Q46-ABS(VALUE(MID(DN46,FIND("|",DN46)+1,FIND("-",DN46)-FIND("|",DN46)-1))-VALUE(MID(DN46,FIND("-",DN46)+1,10)))))*$D$50)))))*$I46,0)),0)</f>
        <v>0</v>
      </c>
      <c r="DP46" s="338"/>
      <c r="DQ46" s="363"/>
      <c r="DR46" s="356" t="n">
        <f aca="false">IFERROR(IF($M46=DQ46,($D$8+$D$9+$D$10)*$I46,IF($N46=LEFT(DQ46,1),($D$8+MAX(0,IF($D$50=1,$D$9*(1-(ABS($Q46-ABS(VALUE(MID(DQ46,FIND("|",DQ46)+1,FIND("-",DQ46)-FIND("|",DQ46)-1))-VALUE(MID(DQ46,FIND("-",DQ46)+1,10)))))*$D$50),$D$9*(1-(IF($N46="X",ABS($O46-VALUE(MID(DQ46,FIND("|",DQ46)+1,FIND("-",DQ46)-FIND("|",DQ46)-1))),ABS($Q46-ABS(VALUE(MID(DQ46,FIND("|",DQ46)+1,FIND("-",DQ46)-FIND("|",DQ46)-1))-VALUE(MID(DQ46,FIND("-",DQ46)+1,10)))))*$D$50)))))*$I46,0)),0)</f>
        <v>0</v>
      </c>
      <c r="DS46" s="338"/>
      <c r="DT46" s="363"/>
      <c r="DU46" s="356" t="n">
        <f aca="false">IFERROR(IF($M46=DT46,($D$8+$D$9+$D$10)*$I46,IF($N46=LEFT(DT46,1),($D$8+MAX(0,IF($D$50=1,$D$9*(1-(ABS($Q46-ABS(VALUE(MID(DT46,FIND("|",DT46)+1,FIND("-",DT46)-FIND("|",DT46)-1))-VALUE(MID(DT46,FIND("-",DT46)+1,10)))))*$D$50),$D$9*(1-(IF($N46="X",ABS($O46-VALUE(MID(DT46,FIND("|",DT46)+1,FIND("-",DT46)-FIND("|",DT46)-1))),ABS($Q46-ABS(VALUE(MID(DT46,FIND("|",DT46)+1,FIND("-",DT46)-FIND("|",DT46)-1))-VALUE(MID(DT46,FIND("-",DT46)+1,10)))))*$D$50)))))*$I46,0)),0)</f>
        <v>0</v>
      </c>
      <c r="DV46" s="338"/>
      <c r="DW46" s="363"/>
      <c r="DX46" s="356" t="n">
        <f aca="false">IFERROR(IF($M46=DW46,($D$8+$D$9+$D$10)*$I46,IF($N46=LEFT(DW46,1),($D$8+MAX(0,IF($D$50=1,$D$9*(1-(ABS($Q46-ABS(VALUE(MID(DW46,FIND("|",DW46)+1,FIND("-",DW46)-FIND("|",DW46)-1))-VALUE(MID(DW46,FIND("-",DW46)+1,10)))))*$D$50),$D$9*(1-(IF($N46="X",ABS($O46-VALUE(MID(DW46,FIND("|",DW46)+1,FIND("-",DW46)-FIND("|",DW46)-1))),ABS($Q46-ABS(VALUE(MID(DW46,FIND("|",DW46)+1,FIND("-",DW46)-FIND("|",DW46)-1))-VALUE(MID(DW46,FIND("-",DW46)+1,10)))))*$D$50)))))*$I46,0)),0)</f>
        <v>0</v>
      </c>
      <c r="DY46" s="338"/>
      <c r="DZ46" s="363"/>
      <c r="EA46" s="356" t="n">
        <f aca="false">IFERROR(IF($M46=DZ46,($D$8+$D$9+$D$10)*$I46,IF($N46=LEFT(DZ46,1),($D$8+MAX(0,IF($D$50=1,$D$9*(1-(ABS($Q46-ABS(VALUE(MID(DZ46,FIND("|",DZ46)+1,FIND("-",DZ46)-FIND("|",DZ46)-1))-VALUE(MID(DZ46,FIND("-",DZ46)+1,10)))))*$D$50),$D$9*(1-(IF($N46="X",ABS($O46-VALUE(MID(DZ46,FIND("|",DZ46)+1,FIND("-",DZ46)-FIND("|",DZ46)-1))),ABS($Q46-ABS(VALUE(MID(DZ46,FIND("|",DZ46)+1,FIND("-",DZ46)-FIND("|",DZ46)-1))-VALUE(MID(DZ46,FIND("-",DZ46)+1,10)))))*$D$50)))))*$I46,0)),0)</f>
        <v>0</v>
      </c>
      <c r="EB46" s="338"/>
      <c r="EC46" s="363"/>
      <c r="ED46" s="356" t="n">
        <f aca="false">IFERROR(IF($M46=EC46,($D$8+$D$9+$D$10)*$I46,IF($N46=LEFT(EC46,1),($D$8+MAX(0,IF($D$50=1,$D$9*(1-(ABS($Q46-ABS(VALUE(MID(EC46,FIND("|",EC46)+1,FIND("-",EC46)-FIND("|",EC46)-1))-VALUE(MID(EC46,FIND("-",EC46)+1,10)))))*$D$50),$D$9*(1-(IF($N46="X",ABS($O46-VALUE(MID(EC46,FIND("|",EC46)+1,FIND("-",EC46)-FIND("|",EC46)-1))),ABS($Q46-ABS(VALUE(MID(EC46,FIND("|",EC46)+1,FIND("-",EC46)-FIND("|",EC46)-1))-VALUE(MID(EC46,FIND("-",EC46)+1,10)))))*$D$50)))))*$I46,0)),0)</f>
        <v>0</v>
      </c>
      <c r="EE46" s="338"/>
      <c r="EF46" s="363"/>
      <c r="EG46" s="356" t="n">
        <f aca="false">IFERROR(IF($M46=EF46,($D$8+$D$9+$D$10)*$I46,IF($N46=LEFT(EF46,1),($D$8+MAX(0,IF($D$50=1,$D$9*(1-(ABS($Q46-ABS(VALUE(MID(EF46,FIND("|",EF46)+1,FIND("-",EF46)-FIND("|",EF46)-1))-VALUE(MID(EF46,FIND("-",EF46)+1,10)))))*$D$50),$D$9*(1-(IF($N46="X",ABS($O46-VALUE(MID(EF46,FIND("|",EF46)+1,FIND("-",EF46)-FIND("|",EF46)-1))),ABS($Q46-ABS(VALUE(MID(EF46,FIND("|",EF46)+1,FIND("-",EF46)-FIND("|",EF46)-1))-VALUE(MID(EF46,FIND("-",EF46)+1,10)))))*$D$50)))))*$I46,0)),0)</f>
        <v>0</v>
      </c>
      <c r="EH46" s="338"/>
      <c r="EI46" s="338"/>
    </row>
    <row r="47" customFormat="false" ht="15" hidden="false" customHeight="false" outlineLevel="0" collapsed="false">
      <c r="A47" s="327"/>
      <c r="B47" s="327"/>
      <c r="C47" s="368" t="str">
        <f aca="false">Idiomas!D341</f>
        <v>Equipo máximo goleador</v>
      </c>
      <c r="D47" s="369" t="n">
        <v>20</v>
      </c>
      <c r="E47" s="334"/>
      <c r="F47" s="343" t="n">
        <f aca="false">SUM($D$8:$D$10)*I47</f>
        <v>17</v>
      </c>
      <c r="G47" s="343" t="n">
        <f aca="false">VLOOKUP(H47,Equipos!$Q$1:$R$25,2,0)</f>
        <v>13</v>
      </c>
      <c r="H47" s="351" t="n">
        <f aca="false">TRUNC(INDEX(WORLDCUP!$X$4:$X$147,MATCH(ADMIN!K47,WORLDCUP!$DT$4:$DT$147,0))+INDEX(Horarios!$R$3:$R$86,MATCH(Horarios!$C$3,Horarios!$P$3:$P$86,0))/24)</f>
        <v>46196</v>
      </c>
      <c r="I47" s="352" t="n">
        <v>1</v>
      </c>
      <c r="J47" s="353" t="s">
        <v>307</v>
      </c>
      <c r="K47" s="367" t="str">
        <f aca="false">CONCATENATE(WORLDCUP!AA71,"-",WORLDCUP!AF71)</f>
        <v>Noruega-Senegal</v>
      </c>
      <c r="L47" s="354"/>
      <c r="M47" s="359" t="str">
        <f aca="false">IF(OR(WORLDCUP!AC71="",WORLDCUP!AD71=""),"-",N47&amp;"|"&amp;O47&amp;"-"&amp;P47)</f>
        <v>-</v>
      </c>
      <c r="N47" s="332" t="str">
        <f aca="false">IF(OR(WORLDCUP!AC71="",WORLDCUP!AD71=""),"",IF(WORLDCUP!AC71&gt;WORLDCUP!AD71,"1",IF(WORLDCUP!AC71&lt;WORLDCUP!AD71,"2","X")))</f>
        <v/>
      </c>
      <c r="O47" s="332" t="n">
        <f aca="false">WORLDCUP!AC71</f>
        <v>0</v>
      </c>
      <c r="P47" s="332" t="n">
        <f aca="false">WORLDCUP!AD71</f>
        <v>0</v>
      </c>
      <c r="Q47" s="332" t="n">
        <f aca="false">ABS(O47-P47)</f>
        <v>0</v>
      </c>
      <c r="R47" s="327"/>
      <c r="S47" s="363" t="s">
        <v>268</v>
      </c>
      <c r="T47" s="356" t="n">
        <f aca="false">IFERROR(IF($M47=S47,($D$8+$D$9+$D$10)*$I47,IF($N47=LEFT(S47,1),($D$8+MAX(0,IF($D$50=1,$D$9*(1-(ABS($Q47-ABS(VALUE(MID(S47,FIND("|",S47)+1,FIND("-",S47)-FIND("|",S47)-1))-VALUE(MID(S47,FIND("-",S47)+1,10)))))*$D$50),$D$9*(1-(IF($N47="X",ABS($O47-VALUE(MID(S47,FIND("|",S47)+1,FIND("-",S47)-FIND("|",S47)-1))),ABS($Q47-ABS(VALUE(MID(S47,FIND("|",S47)+1,FIND("-",S47)-FIND("|",S47)-1))-VALUE(MID(S47,FIND("-",S47)+1,10)))))*$D$50)))))*$I47,0)),0)</f>
        <v>0</v>
      </c>
      <c r="U47" s="338"/>
      <c r="V47" s="363" t="s">
        <v>267</v>
      </c>
      <c r="W47" s="356" t="n">
        <f aca="false">IFERROR(IF($M47=V47,($D$8+$D$9+$D$10)*$I47,IF($N47=LEFT(V47,1),($D$8+MAX(0,IF($D$50=1,$D$9*(1-(ABS($Q47-ABS(VALUE(MID(V47,FIND("|",V47)+1,FIND("-",V47)-FIND("|",V47)-1))-VALUE(MID(V47,FIND("-",V47)+1,10)))))*$D$50),$D$9*(1-(IF($N47="X",ABS($O47-VALUE(MID(V47,FIND("|",V47)+1,FIND("-",V47)-FIND("|",V47)-1))),ABS($Q47-ABS(VALUE(MID(V47,FIND("|",V47)+1,FIND("-",V47)-FIND("|",V47)-1))-VALUE(MID(V47,FIND("-",V47)+1,10)))))*$D$50)))))*$I47,0)),0)</f>
        <v>0</v>
      </c>
      <c r="X47" s="338"/>
      <c r="Y47" s="363" t="s">
        <v>267</v>
      </c>
      <c r="Z47" s="356" t="n">
        <f aca="false">IFERROR(IF($M47=Y47,($D$8+$D$9+$D$10)*$I47,IF($N47=LEFT(Y47,1),($D$8+MAX(0,IF($D$50=1,$D$9*(1-(ABS($Q47-ABS(VALUE(MID(Y47,FIND("|",Y47)+1,FIND("-",Y47)-FIND("|",Y47)-1))-VALUE(MID(Y47,FIND("-",Y47)+1,10)))))*$D$50),$D$9*(1-(IF($N47="X",ABS($O47-VALUE(MID(Y47,FIND("|",Y47)+1,FIND("-",Y47)-FIND("|",Y47)-1))),ABS($Q47-ABS(VALUE(MID(Y47,FIND("|",Y47)+1,FIND("-",Y47)-FIND("|",Y47)-1))-VALUE(MID(Y47,FIND("-",Y47)+1,10)))))*$D$50)))))*$I47,0)),0)</f>
        <v>0</v>
      </c>
      <c r="AA47" s="338"/>
      <c r="AB47" s="363" t="s">
        <v>267</v>
      </c>
      <c r="AC47" s="356" t="n">
        <f aca="false">IFERROR(IF($M47=AB47,($D$8+$D$9+$D$10)*$I47,IF($N47=LEFT(AB47,1),($D$8+MAX(0,IF($D$50=1,$D$9*(1-(ABS($Q47-ABS(VALUE(MID(AB47,FIND("|",AB47)+1,FIND("-",AB47)-FIND("|",AB47)-1))-VALUE(MID(AB47,FIND("-",AB47)+1,10)))))*$D$50),$D$9*(1-(IF($N47="X",ABS($O47-VALUE(MID(AB47,FIND("|",AB47)+1,FIND("-",AB47)-FIND("|",AB47)-1))),ABS($Q47-ABS(VALUE(MID(AB47,FIND("|",AB47)+1,FIND("-",AB47)-FIND("|",AB47)-1))-VALUE(MID(AB47,FIND("-",AB47)+1,10)))))*$D$50)))))*$I47,0)),0)</f>
        <v>0</v>
      </c>
      <c r="AD47" s="338"/>
      <c r="AE47" s="363" t="s">
        <v>264</v>
      </c>
      <c r="AF47" s="356" t="n">
        <f aca="false">IFERROR(IF($M47=AE47,($D$8+$D$9+$D$10)*$I47,IF($N47=LEFT(AE47,1),($D$8+MAX(0,IF($D$50=1,$D$9*(1-(ABS($Q47-ABS(VALUE(MID(AE47,FIND("|",AE47)+1,FIND("-",AE47)-FIND("|",AE47)-1))-VALUE(MID(AE47,FIND("-",AE47)+1,10)))))*$D$50),$D$9*(1-(IF($N47="X",ABS($O47-VALUE(MID(AE47,FIND("|",AE47)+1,FIND("-",AE47)-FIND("|",AE47)-1))),ABS($Q47-ABS(VALUE(MID(AE47,FIND("|",AE47)+1,FIND("-",AE47)-FIND("|",AE47)-1))-VALUE(MID(AE47,FIND("-",AE47)+1,10)))))*$D$50)))))*$I47,0)),0)</f>
        <v>0</v>
      </c>
      <c r="AG47" s="338"/>
      <c r="AH47" s="363" t="s">
        <v>267</v>
      </c>
      <c r="AI47" s="356" t="n">
        <f aca="false">IFERROR(IF($M47=AH47,($D$8+$D$9+$D$10)*$I47,IF($N47=LEFT(AH47,1),($D$8+MAX(0,IF($D$50=1,$D$9*(1-(ABS($Q47-ABS(VALUE(MID(AH47,FIND("|",AH47)+1,FIND("-",AH47)-FIND("|",AH47)-1))-VALUE(MID(AH47,FIND("-",AH47)+1,10)))))*$D$50),$D$9*(1-(IF($N47="X",ABS($O47-VALUE(MID(AH47,FIND("|",AH47)+1,FIND("-",AH47)-FIND("|",AH47)-1))),ABS($Q47-ABS(VALUE(MID(AH47,FIND("|",AH47)+1,FIND("-",AH47)-FIND("|",AH47)-1))-VALUE(MID(AH47,FIND("-",AH47)+1,10)))))*$D$50)))))*$I47,0)),0)</f>
        <v>0</v>
      </c>
      <c r="AJ47" s="338"/>
      <c r="AK47" s="363" t="s">
        <v>267</v>
      </c>
      <c r="AL47" s="356" t="n">
        <f aca="false">IFERROR(IF($M47=AK47,($D$8+$D$9+$D$10)*$I47,IF($N47=LEFT(AK47,1),($D$8+MAX(0,IF($D$50=1,$D$9*(1-(ABS($Q47-ABS(VALUE(MID(AK47,FIND("|",AK47)+1,FIND("-",AK47)-FIND("|",AK47)-1))-VALUE(MID(AK47,FIND("-",AK47)+1,10)))))*$D$50),$D$9*(1-(IF($N47="X",ABS($O47-VALUE(MID(AK47,FIND("|",AK47)+1,FIND("-",AK47)-FIND("|",AK47)-1))),ABS($Q47-ABS(VALUE(MID(AK47,FIND("|",AK47)+1,FIND("-",AK47)-FIND("|",AK47)-1))-VALUE(MID(AK47,FIND("-",AK47)+1,10)))))*$D$50)))))*$I47,0)),0)</f>
        <v>0</v>
      </c>
      <c r="AM47" s="338"/>
      <c r="AN47" s="363" t="s">
        <v>265</v>
      </c>
      <c r="AO47" s="356" t="n">
        <f aca="false">IFERROR(IF($M47=AN47,($D$8+$D$9+$D$10)*$I47,IF($N47=LEFT(AN47,1),($D$8+MAX(0,IF($D$50=1,$D$9*(1-(ABS($Q47-ABS(VALUE(MID(AN47,FIND("|",AN47)+1,FIND("-",AN47)-FIND("|",AN47)-1))-VALUE(MID(AN47,FIND("-",AN47)+1,10)))))*$D$50),$D$9*(1-(IF($N47="X",ABS($O47-VALUE(MID(AN47,FIND("|",AN47)+1,FIND("-",AN47)-FIND("|",AN47)-1))),ABS($Q47-ABS(VALUE(MID(AN47,FIND("|",AN47)+1,FIND("-",AN47)-FIND("|",AN47)-1))-VALUE(MID(AN47,FIND("-",AN47)+1,10)))))*$D$50)))))*$I47,0)),0)</f>
        <v>0</v>
      </c>
      <c r="AP47" s="338"/>
      <c r="AQ47" s="363" t="s">
        <v>267</v>
      </c>
      <c r="AR47" s="356" t="n">
        <f aca="false">IFERROR(IF($M47=AQ47,($D$8+$D$9+$D$10)*$I47,IF($N47=LEFT(AQ47,1),($D$8+MAX(0,IF($D$50=1,$D$9*(1-(ABS($Q47-ABS(VALUE(MID(AQ47,FIND("|",AQ47)+1,FIND("-",AQ47)-FIND("|",AQ47)-1))-VALUE(MID(AQ47,FIND("-",AQ47)+1,10)))))*$D$50),$D$9*(1-(IF($N47="X",ABS($O47-VALUE(MID(AQ47,FIND("|",AQ47)+1,FIND("-",AQ47)-FIND("|",AQ47)-1))),ABS($Q47-ABS(VALUE(MID(AQ47,FIND("|",AQ47)+1,FIND("-",AQ47)-FIND("|",AQ47)-1))-VALUE(MID(AQ47,FIND("-",AQ47)+1,10)))))*$D$50)))))*$I47,0)),0)</f>
        <v>0</v>
      </c>
      <c r="AS47" s="338"/>
      <c r="AT47" s="363" t="s">
        <v>269</v>
      </c>
      <c r="AU47" s="356" t="n">
        <f aca="false">IFERROR(IF($M47=AT47,($D$8+$D$9+$D$10)*$I47,IF($N47=LEFT(AT47,1),($D$8+MAX(0,IF($D$50=1,$D$9*(1-(ABS($Q47-ABS(VALUE(MID(AT47,FIND("|",AT47)+1,FIND("-",AT47)-FIND("|",AT47)-1))-VALUE(MID(AT47,FIND("-",AT47)+1,10)))))*$D$50),$D$9*(1-(IF($N47="X",ABS($O47-VALUE(MID(AT47,FIND("|",AT47)+1,FIND("-",AT47)-FIND("|",AT47)-1))),ABS($Q47-ABS(VALUE(MID(AT47,FIND("|",AT47)+1,FIND("-",AT47)-FIND("|",AT47)-1))-VALUE(MID(AT47,FIND("-",AT47)+1,10)))))*$D$50)))))*$I47,0)),0)</f>
        <v>0</v>
      </c>
      <c r="AV47" s="338"/>
      <c r="AW47" s="363" t="s">
        <v>264</v>
      </c>
      <c r="AX47" s="356" t="n">
        <f aca="false">IFERROR(IF($M47=AW47,($D$8+$D$9+$D$10)*$I47,IF($N47=LEFT(AW47,1),($D$8+MAX(0,IF($D$50=1,$D$9*(1-(ABS($Q47-ABS(VALUE(MID(AW47,FIND("|",AW47)+1,FIND("-",AW47)-FIND("|",AW47)-1))-VALUE(MID(AW47,FIND("-",AW47)+1,10)))))*$D$50),$D$9*(1-(IF($N47="X",ABS($O47-VALUE(MID(AW47,FIND("|",AW47)+1,FIND("-",AW47)-FIND("|",AW47)-1))),ABS($Q47-ABS(VALUE(MID(AW47,FIND("|",AW47)+1,FIND("-",AW47)-FIND("|",AW47)-1))-VALUE(MID(AW47,FIND("-",AW47)+1,10)))))*$D$50)))))*$I47,0)),0)</f>
        <v>0</v>
      </c>
      <c r="AY47" s="338"/>
      <c r="AZ47" s="363" t="s">
        <v>264</v>
      </c>
      <c r="BA47" s="356" t="n">
        <f aca="false">IFERROR(IF($M47=AZ47,($D$8+$D$9+$D$10)*$I47,IF($N47=LEFT(AZ47,1),($D$8+MAX(0,IF($D$50=1,$D$9*(1-(ABS($Q47-ABS(VALUE(MID(AZ47,FIND("|",AZ47)+1,FIND("-",AZ47)-FIND("|",AZ47)-1))-VALUE(MID(AZ47,FIND("-",AZ47)+1,10)))))*$D$50),$D$9*(1-(IF($N47="X",ABS($O47-VALUE(MID(AZ47,FIND("|",AZ47)+1,FIND("-",AZ47)-FIND("|",AZ47)-1))),ABS($Q47-ABS(VALUE(MID(AZ47,FIND("|",AZ47)+1,FIND("-",AZ47)-FIND("|",AZ47)-1))-VALUE(MID(AZ47,FIND("-",AZ47)+1,10)))))*$D$50)))))*$I47,0)),0)</f>
        <v>0</v>
      </c>
      <c r="BB47" s="338"/>
      <c r="BC47" s="363" t="s">
        <v>267</v>
      </c>
      <c r="BD47" s="356" t="n">
        <f aca="false">IFERROR(IF($M47=BC47,($D$8+$D$9+$D$10)*$I47,IF($N47=LEFT(BC47,1),($D$8+MAX(0,IF($D$50=1,$D$9*(1-(ABS($Q47-ABS(VALUE(MID(BC47,FIND("|",BC47)+1,FIND("-",BC47)-FIND("|",BC47)-1))-VALUE(MID(BC47,FIND("-",BC47)+1,10)))))*$D$50),$D$9*(1-(IF($N47="X",ABS($O47-VALUE(MID(BC47,FIND("|",BC47)+1,FIND("-",BC47)-FIND("|",BC47)-1))),ABS($Q47-ABS(VALUE(MID(BC47,FIND("|",BC47)+1,FIND("-",BC47)-FIND("|",BC47)-1))-VALUE(MID(BC47,FIND("-",BC47)+1,10)))))*$D$50)))))*$I47,0)),0)</f>
        <v>0</v>
      </c>
      <c r="BE47" s="338"/>
      <c r="BF47" s="363" t="s">
        <v>272</v>
      </c>
      <c r="BG47" s="356" t="n">
        <f aca="false">IFERROR(IF($M47=BF47,($D$8+$D$9+$D$10)*$I47,IF($N47=LEFT(BF47,1),($D$8+MAX(0,IF($D$50=1,$D$9*(1-(ABS($Q47-ABS(VALUE(MID(BF47,FIND("|",BF47)+1,FIND("-",BF47)-FIND("|",BF47)-1))-VALUE(MID(BF47,FIND("-",BF47)+1,10)))))*$D$50),$D$9*(1-(IF($N47="X",ABS($O47-VALUE(MID(BF47,FIND("|",BF47)+1,FIND("-",BF47)-FIND("|",BF47)-1))),ABS($Q47-ABS(VALUE(MID(BF47,FIND("|",BF47)+1,FIND("-",BF47)-FIND("|",BF47)-1))-VALUE(MID(BF47,FIND("-",BF47)+1,10)))))*$D$50)))))*$I47,0)),0)</f>
        <v>0</v>
      </c>
      <c r="BH47" s="338"/>
      <c r="BI47" s="363" t="s">
        <v>267</v>
      </c>
      <c r="BJ47" s="356" t="n">
        <f aca="false">IFERROR(IF($M47=BI47,($D$8+$D$9+$D$10)*$I47,IF($N47=LEFT(BI47,1),($D$8+MAX(0,IF($D$50=1,$D$9*(1-(ABS($Q47-ABS(VALUE(MID(BI47,FIND("|",BI47)+1,FIND("-",BI47)-FIND("|",BI47)-1))-VALUE(MID(BI47,FIND("-",BI47)+1,10)))))*$D$50),$D$9*(1-(IF($N47="X",ABS($O47-VALUE(MID(BI47,FIND("|",BI47)+1,FIND("-",BI47)-FIND("|",BI47)-1))),ABS($Q47-ABS(VALUE(MID(BI47,FIND("|",BI47)+1,FIND("-",BI47)-FIND("|",BI47)-1))-VALUE(MID(BI47,FIND("-",BI47)+1,10)))))*$D$50)))))*$I47,0)),0)</f>
        <v>0</v>
      </c>
      <c r="BK47" s="338"/>
      <c r="BL47" s="363" t="s">
        <v>267</v>
      </c>
      <c r="BM47" s="356" t="n">
        <f aca="false">IFERROR(IF($M47=BL47,($D$8+$D$9+$D$10)*$I47,IF($N47=LEFT(BL47,1),($D$8+MAX(0,IF($D$50=1,$D$9*(1-(ABS($Q47-ABS(VALUE(MID(BL47,FIND("|",BL47)+1,FIND("-",BL47)-FIND("|",BL47)-1))-VALUE(MID(BL47,FIND("-",BL47)+1,10)))))*$D$50),$D$9*(1-(IF($N47="X",ABS($O47-VALUE(MID(BL47,FIND("|",BL47)+1,FIND("-",BL47)-FIND("|",BL47)-1))),ABS($Q47-ABS(VALUE(MID(BL47,FIND("|",BL47)+1,FIND("-",BL47)-FIND("|",BL47)-1))-VALUE(MID(BL47,FIND("-",BL47)+1,10)))))*$D$50)))))*$I47,0)),0)</f>
        <v>0</v>
      </c>
      <c r="BN47" s="338"/>
      <c r="BO47" s="363" t="s">
        <v>267</v>
      </c>
      <c r="BP47" s="356" t="n">
        <f aca="false">IFERROR(IF($M47=BO47,($D$8+$D$9+$D$10)*$I47,IF($N47=LEFT(BO47,1),($D$8+MAX(0,IF($D$50=1,$D$9*(1-(ABS($Q47-ABS(VALUE(MID(BO47,FIND("|",BO47)+1,FIND("-",BO47)-FIND("|",BO47)-1))-VALUE(MID(BO47,FIND("-",BO47)+1,10)))))*$D$50),$D$9*(1-(IF($N47="X",ABS($O47-VALUE(MID(BO47,FIND("|",BO47)+1,FIND("-",BO47)-FIND("|",BO47)-1))),ABS($Q47-ABS(VALUE(MID(BO47,FIND("|",BO47)+1,FIND("-",BO47)-FIND("|",BO47)-1))-VALUE(MID(BO47,FIND("-",BO47)+1,10)))))*$D$50)))))*$I47,0)),0)</f>
        <v>0</v>
      </c>
      <c r="BQ47" s="338"/>
      <c r="BR47" s="363" t="s">
        <v>268</v>
      </c>
      <c r="BS47" s="356" t="n">
        <f aca="false">IFERROR(IF($M47=BR47,($D$8+$D$9+$D$10)*$I47,IF($N47=LEFT(BR47,1),($D$8+MAX(0,IF($D$50=1,$D$9*(1-(ABS($Q47-ABS(VALUE(MID(BR47,FIND("|",BR47)+1,FIND("-",BR47)-FIND("|",BR47)-1))-VALUE(MID(BR47,FIND("-",BR47)+1,10)))))*$D$50),$D$9*(1-(IF($N47="X",ABS($O47-VALUE(MID(BR47,FIND("|",BR47)+1,FIND("-",BR47)-FIND("|",BR47)-1))),ABS($Q47-ABS(VALUE(MID(BR47,FIND("|",BR47)+1,FIND("-",BR47)-FIND("|",BR47)-1))-VALUE(MID(BR47,FIND("-",BR47)+1,10)))))*$D$50)))))*$I47,0)),0)</f>
        <v>0</v>
      </c>
      <c r="BT47" s="338"/>
      <c r="BU47" s="363"/>
      <c r="BV47" s="356" t="n">
        <f aca="false">IFERROR(IF($M47=BU47,($D$8+$D$9+$D$10)*$I47,IF($N47=LEFT(BU47,1),($D$8+MAX(0,IF($D$50=1,$D$9*(1-(ABS($Q47-ABS(VALUE(MID(BU47,FIND("|",BU47)+1,FIND("-",BU47)-FIND("|",BU47)-1))-VALUE(MID(BU47,FIND("-",BU47)+1,10)))))*$D$50),$D$9*(1-(IF($N47="X",ABS($O47-VALUE(MID(BU47,FIND("|",BU47)+1,FIND("-",BU47)-FIND("|",BU47)-1))),ABS($Q47-ABS(VALUE(MID(BU47,FIND("|",BU47)+1,FIND("-",BU47)-FIND("|",BU47)-1))-VALUE(MID(BU47,FIND("-",BU47)+1,10)))))*$D$50)))))*$I47,0)),0)</f>
        <v>0</v>
      </c>
      <c r="BW47" s="338"/>
      <c r="BX47" s="363"/>
      <c r="BY47" s="356" t="n">
        <f aca="false">IFERROR(IF($M47=BX47,($D$8+$D$9+$D$10)*$I47,IF($N47=LEFT(BX47,1),($D$8+MAX(0,IF($D$50=1,$D$9*(1-(ABS($Q47-ABS(VALUE(MID(BX47,FIND("|",BX47)+1,FIND("-",BX47)-FIND("|",BX47)-1))-VALUE(MID(BX47,FIND("-",BX47)+1,10)))))*$D$50),$D$9*(1-(IF($N47="X",ABS($O47-VALUE(MID(BX47,FIND("|",BX47)+1,FIND("-",BX47)-FIND("|",BX47)-1))),ABS($Q47-ABS(VALUE(MID(BX47,FIND("|",BX47)+1,FIND("-",BX47)-FIND("|",BX47)-1))-VALUE(MID(BX47,FIND("-",BX47)+1,10)))))*$D$50)))))*$I47,0)),0)</f>
        <v>0</v>
      </c>
      <c r="BZ47" s="338"/>
      <c r="CA47" s="363"/>
      <c r="CB47" s="356" t="n">
        <f aca="false">IFERROR(IF($M47=CA47,($D$8+$D$9+$D$10)*$I47,IF($N47=LEFT(CA47,1),($D$8+MAX(0,IF($D$50=1,$D$9*(1-(ABS($Q47-ABS(VALUE(MID(CA47,FIND("|",CA47)+1,FIND("-",CA47)-FIND("|",CA47)-1))-VALUE(MID(CA47,FIND("-",CA47)+1,10)))))*$D$50),$D$9*(1-(IF($N47="X",ABS($O47-VALUE(MID(CA47,FIND("|",CA47)+1,FIND("-",CA47)-FIND("|",CA47)-1))),ABS($Q47-ABS(VALUE(MID(CA47,FIND("|",CA47)+1,FIND("-",CA47)-FIND("|",CA47)-1))-VALUE(MID(CA47,FIND("-",CA47)+1,10)))))*$D$50)))))*$I47,0)),0)</f>
        <v>0</v>
      </c>
      <c r="CC47" s="338"/>
      <c r="CD47" s="363"/>
      <c r="CE47" s="356" t="n">
        <f aca="false">IFERROR(IF($M47=CD47,($D$8+$D$9+$D$10)*$I47,IF($N47=LEFT(CD47,1),($D$8+MAX(0,IF($D$50=1,$D$9*(1-(ABS($Q47-ABS(VALUE(MID(CD47,FIND("|",CD47)+1,FIND("-",CD47)-FIND("|",CD47)-1))-VALUE(MID(CD47,FIND("-",CD47)+1,10)))))*$D$50),$D$9*(1-(IF($N47="X",ABS($O47-VALUE(MID(CD47,FIND("|",CD47)+1,FIND("-",CD47)-FIND("|",CD47)-1))),ABS($Q47-ABS(VALUE(MID(CD47,FIND("|",CD47)+1,FIND("-",CD47)-FIND("|",CD47)-1))-VALUE(MID(CD47,FIND("-",CD47)+1,10)))))*$D$50)))))*$I47,0)),0)</f>
        <v>0</v>
      </c>
      <c r="CF47" s="338"/>
      <c r="CG47" s="363"/>
      <c r="CH47" s="356" t="n">
        <f aca="false">IFERROR(IF($M47=CG47,($D$8+$D$9+$D$10)*$I47,IF($N47=LEFT(CG47,1),($D$8+MAX(0,IF($D$50=1,$D$9*(1-(ABS($Q47-ABS(VALUE(MID(CG47,FIND("|",CG47)+1,FIND("-",CG47)-FIND("|",CG47)-1))-VALUE(MID(CG47,FIND("-",CG47)+1,10)))))*$D$50),$D$9*(1-(IF($N47="X",ABS($O47-VALUE(MID(CG47,FIND("|",CG47)+1,FIND("-",CG47)-FIND("|",CG47)-1))),ABS($Q47-ABS(VALUE(MID(CG47,FIND("|",CG47)+1,FIND("-",CG47)-FIND("|",CG47)-1))-VALUE(MID(CG47,FIND("-",CG47)+1,10)))))*$D$50)))))*$I47,0)),0)</f>
        <v>0</v>
      </c>
      <c r="CI47" s="338"/>
      <c r="CJ47" s="363"/>
      <c r="CK47" s="356" t="n">
        <f aca="false">IFERROR(IF($M47=CJ47,($D$8+$D$9+$D$10)*$I47,IF($N47=LEFT(CJ47,1),($D$8+MAX(0,IF($D$50=1,$D$9*(1-(ABS($Q47-ABS(VALUE(MID(CJ47,FIND("|",CJ47)+1,FIND("-",CJ47)-FIND("|",CJ47)-1))-VALUE(MID(CJ47,FIND("-",CJ47)+1,10)))))*$D$50),$D$9*(1-(IF($N47="X",ABS($O47-VALUE(MID(CJ47,FIND("|",CJ47)+1,FIND("-",CJ47)-FIND("|",CJ47)-1))),ABS($Q47-ABS(VALUE(MID(CJ47,FIND("|",CJ47)+1,FIND("-",CJ47)-FIND("|",CJ47)-1))-VALUE(MID(CJ47,FIND("-",CJ47)+1,10)))))*$D$50)))))*$I47,0)),0)</f>
        <v>0</v>
      </c>
      <c r="CL47" s="338"/>
      <c r="CM47" s="363"/>
      <c r="CN47" s="356" t="n">
        <f aca="false">IFERROR(IF($M47=CM47,($D$8+$D$9+$D$10)*$I47,IF($N47=LEFT(CM47,1),($D$8+MAX(0,IF($D$50=1,$D$9*(1-(ABS($Q47-ABS(VALUE(MID(CM47,FIND("|",CM47)+1,FIND("-",CM47)-FIND("|",CM47)-1))-VALUE(MID(CM47,FIND("-",CM47)+1,10)))))*$D$50),$D$9*(1-(IF($N47="X",ABS($O47-VALUE(MID(CM47,FIND("|",CM47)+1,FIND("-",CM47)-FIND("|",CM47)-1))),ABS($Q47-ABS(VALUE(MID(CM47,FIND("|",CM47)+1,FIND("-",CM47)-FIND("|",CM47)-1))-VALUE(MID(CM47,FIND("-",CM47)+1,10)))))*$D$50)))))*$I47,0)),0)</f>
        <v>0</v>
      </c>
      <c r="CO47" s="338"/>
      <c r="CP47" s="363"/>
      <c r="CQ47" s="356" t="n">
        <f aca="false">IFERROR(IF($M47=CP47,($D$8+$D$9+$D$10)*$I47,IF($N47=LEFT(CP47,1),($D$8+MAX(0,IF($D$50=1,$D$9*(1-(ABS($Q47-ABS(VALUE(MID(CP47,FIND("|",CP47)+1,FIND("-",CP47)-FIND("|",CP47)-1))-VALUE(MID(CP47,FIND("-",CP47)+1,10)))))*$D$50),$D$9*(1-(IF($N47="X",ABS($O47-VALUE(MID(CP47,FIND("|",CP47)+1,FIND("-",CP47)-FIND("|",CP47)-1))),ABS($Q47-ABS(VALUE(MID(CP47,FIND("|",CP47)+1,FIND("-",CP47)-FIND("|",CP47)-1))-VALUE(MID(CP47,FIND("-",CP47)+1,10)))))*$D$50)))))*$I47,0)),0)</f>
        <v>0</v>
      </c>
      <c r="CR47" s="338"/>
      <c r="CS47" s="363"/>
      <c r="CT47" s="356" t="n">
        <f aca="false">IFERROR(IF($M47=CS47,($D$8+$D$9+$D$10)*$I47,IF($N47=LEFT(CS47,1),($D$8+MAX(0,IF($D$50=1,$D$9*(1-(ABS($Q47-ABS(VALUE(MID(CS47,FIND("|",CS47)+1,FIND("-",CS47)-FIND("|",CS47)-1))-VALUE(MID(CS47,FIND("-",CS47)+1,10)))))*$D$50),$D$9*(1-(IF($N47="X",ABS($O47-VALUE(MID(CS47,FIND("|",CS47)+1,FIND("-",CS47)-FIND("|",CS47)-1))),ABS($Q47-ABS(VALUE(MID(CS47,FIND("|",CS47)+1,FIND("-",CS47)-FIND("|",CS47)-1))-VALUE(MID(CS47,FIND("-",CS47)+1,10)))))*$D$50)))))*$I47,0)),0)</f>
        <v>0</v>
      </c>
      <c r="CU47" s="338"/>
      <c r="CV47" s="363"/>
      <c r="CW47" s="356" t="n">
        <f aca="false">IFERROR(IF($M47=CV47,($D$8+$D$9+$D$10)*$I47,IF($N47=LEFT(CV47,1),($D$8+MAX(0,IF($D$50=1,$D$9*(1-(ABS($Q47-ABS(VALUE(MID(CV47,FIND("|",CV47)+1,FIND("-",CV47)-FIND("|",CV47)-1))-VALUE(MID(CV47,FIND("-",CV47)+1,10)))))*$D$50),$D$9*(1-(IF($N47="X",ABS($O47-VALUE(MID(CV47,FIND("|",CV47)+1,FIND("-",CV47)-FIND("|",CV47)-1))),ABS($Q47-ABS(VALUE(MID(CV47,FIND("|",CV47)+1,FIND("-",CV47)-FIND("|",CV47)-1))-VALUE(MID(CV47,FIND("-",CV47)+1,10)))))*$D$50)))))*$I47,0)),0)</f>
        <v>0</v>
      </c>
      <c r="CX47" s="338"/>
      <c r="CY47" s="363"/>
      <c r="CZ47" s="356" t="n">
        <f aca="false">IFERROR(IF($M47=CY47,($D$8+$D$9+$D$10)*$I47,IF($N47=LEFT(CY47,1),($D$8+MAX(0,IF($D$50=1,$D$9*(1-(ABS($Q47-ABS(VALUE(MID(CY47,FIND("|",CY47)+1,FIND("-",CY47)-FIND("|",CY47)-1))-VALUE(MID(CY47,FIND("-",CY47)+1,10)))))*$D$50),$D$9*(1-(IF($N47="X",ABS($O47-VALUE(MID(CY47,FIND("|",CY47)+1,FIND("-",CY47)-FIND("|",CY47)-1))),ABS($Q47-ABS(VALUE(MID(CY47,FIND("|",CY47)+1,FIND("-",CY47)-FIND("|",CY47)-1))-VALUE(MID(CY47,FIND("-",CY47)+1,10)))))*$D$50)))))*$I47,0)),0)</f>
        <v>0</v>
      </c>
      <c r="DA47" s="338"/>
      <c r="DB47" s="363"/>
      <c r="DC47" s="356" t="n">
        <f aca="false">IFERROR(IF($M47=DB47,($D$8+$D$9+$D$10)*$I47,IF($N47=LEFT(DB47,1),($D$8+MAX(0,IF($D$50=1,$D$9*(1-(ABS($Q47-ABS(VALUE(MID(DB47,FIND("|",DB47)+1,FIND("-",DB47)-FIND("|",DB47)-1))-VALUE(MID(DB47,FIND("-",DB47)+1,10)))))*$D$50),$D$9*(1-(IF($N47="X",ABS($O47-VALUE(MID(DB47,FIND("|",DB47)+1,FIND("-",DB47)-FIND("|",DB47)-1))),ABS($Q47-ABS(VALUE(MID(DB47,FIND("|",DB47)+1,FIND("-",DB47)-FIND("|",DB47)-1))-VALUE(MID(DB47,FIND("-",DB47)+1,10)))))*$D$50)))))*$I47,0)),0)</f>
        <v>0</v>
      </c>
      <c r="DD47" s="338"/>
      <c r="DE47" s="363"/>
      <c r="DF47" s="356" t="n">
        <f aca="false">IFERROR(IF($M47=DE47,($D$8+$D$9+$D$10)*$I47,IF($N47=LEFT(DE47,1),($D$8+MAX(0,IF($D$50=1,$D$9*(1-(ABS($Q47-ABS(VALUE(MID(DE47,FIND("|",DE47)+1,FIND("-",DE47)-FIND("|",DE47)-1))-VALUE(MID(DE47,FIND("-",DE47)+1,10)))))*$D$50),$D$9*(1-(IF($N47="X",ABS($O47-VALUE(MID(DE47,FIND("|",DE47)+1,FIND("-",DE47)-FIND("|",DE47)-1))),ABS($Q47-ABS(VALUE(MID(DE47,FIND("|",DE47)+1,FIND("-",DE47)-FIND("|",DE47)-1))-VALUE(MID(DE47,FIND("-",DE47)+1,10)))))*$D$50)))))*$I47,0)),0)</f>
        <v>0</v>
      </c>
      <c r="DG47" s="338"/>
      <c r="DH47" s="363"/>
      <c r="DI47" s="356" t="n">
        <f aca="false">IFERROR(IF($M47=DH47,($D$8+$D$9+$D$10)*$I47,IF($N47=LEFT(DH47,1),($D$8+MAX(0,IF($D$50=1,$D$9*(1-(ABS($Q47-ABS(VALUE(MID(DH47,FIND("|",DH47)+1,FIND("-",DH47)-FIND("|",DH47)-1))-VALUE(MID(DH47,FIND("-",DH47)+1,10)))))*$D$50),$D$9*(1-(IF($N47="X",ABS($O47-VALUE(MID(DH47,FIND("|",DH47)+1,FIND("-",DH47)-FIND("|",DH47)-1))),ABS($Q47-ABS(VALUE(MID(DH47,FIND("|",DH47)+1,FIND("-",DH47)-FIND("|",DH47)-1))-VALUE(MID(DH47,FIND("-",DH47)+1,10)))))*$D$50)))))*$I47,0)),0)</f>
        <v>0</v>
      </c>
      <c r="DJ47" s="338"/>
      <c r="DK47" s="363"/>
      <c r="DL47" s="356" t="n">
        <f aca="false">IFERROR(IF($M47=DK47,($D$8+$D$9+$D$10)*$I47,IF($N47=LEFT(DK47,1),($D$8+MAX(0,IF($D$50=1,$D$9*(1-(ABS($Q47-ABS(VALUE(MID(DK47,FIND("|",DK47)+1,FIND("-",DK47)-FIND("|",DK47)-1))-VALUE(MID(DK47,FIND("-",DK47)+1,10)))))*$D$50),$D$9*(1-(IF($N47="X",ABS($O47-VALUE(MID(DK47,FIND("|",DK47)+1,FIND("-",DK47)-FIND("|",DK47)-1))),ABS($Q47-ABS(VALUE(MID(DK47,FIND("|",DK47)+1,FIND("-",DK47)-FIND("|",DK47)-1))-VALUE(MID(DK47,FIND("-",DK47)+1,10)))))*$D$50)))))*$I47,0)),0)</f>
        <v>0</v>
      </c>
      <c r="DM47" s="338"/>
      <c r="DN47" s="363"/>
      <c r="DO47" s="356" t="n">
        <f aca="false">IFERROR(IF($M47=DN47,($D$8+$D$9+$D$10)*$I47,IF($N47=LEFT(DN47,1),($D$8+MAX(0,IF($D$50=1,$D$9*(1-(ABS($Q47-ABS(VALUE(MID(DN47,FIND("|",DN47)+1,FIND("-",DN47)-FIND("|",DN47)-1))-VALUE(MID(DN47,FIND("-",DN47)+1,10)))))*$D$50),$D$9*(1-(IF($N47="X",ABS($O47-VALUE(MID(DN47,FIND("|",DN47)+1,FIND("-",DN47)-FIND("|",DN47)-1))),ABS($Q47-ABS(VALUE(MID(DN47,FIND("|",DN47)+1,FIND("-",DN47)-FIND("|",DN47)-1))-VALUE(MID(DN47,FIND("-",DN47)+1,10)))))*$D$50)))))*$I47,0)),0)</f>
        <v>0</v>
      </c>
      <c r="DP47" s="338"/>
      <c r="DQ47" s="363"/>
      <c r="DR47" s="356" t="n">
        <f aca="false">IFERROR(IF($M47=DQ47,($D$8+$D$9+$D$10)*$I47,IF($N47=LEFT(DQ47,1),($D$8+MAX(0,IF($D$50=1,$D$9*(1-(ABS($Q47-ABS(VALUE(MID(DQ47,FIND("|",DQ47)+1,FIND("-",DQ47)-FIND("|",DQ47)-1))-VALUE(MID(DQ47,FIND("-",DQ47)+1,10)))))*$D$50),$D$9*(1-(IF($N47="X",ABS($O47-VALUE(MID(DQ47,FIND("|",DQ47)+1,FIND("-",DQ47)-FIND("|",DQ47)-1))),ABS($Q47-ABS(VALUE(MID(DQ47,FIND("|",DQ47)+1,FIND("-",DQ47)-FIND("|",DQ47)-1))-VALUE(MID(DQ47,FIND("-",DQ47)+1,10)))))*$D$50)))))*$I47,0)),0)</f>
        <v>0</v>
      </c>
      <c r="DS47" s="338"/>
      <c r="DT47" s="363"/>
      <c r="DU47" s="356" t="n">
        <f aca="false">IFERROR(IF($M47=DT47,($D$8+$D$9+$D$10)*$I47,IF($N47=LEFT(DT47,1),($D$8+MAX(0,IF($D$50=1,$D$9*(1-(ABS($Q47-ABS(VALUE(MID(DT47,FIND("|",DT47)+1,FIND("-",DT47)-FIND("|",DT47)-1))-VALUE(MID(DT47,FIND("-",DT47)+1,10)))))*$D$50),$D$9*(1-(IF($N47="X",ABS($O47-VALUE(MID(DT47,FIND("|",DT47)+1,FIND("-",DT47)-FIND("|",DT47)-1))),ABS($Q47-ABS(VALUE(MID(DT47,FIND("|",DT47)+1,FIND("-",DT47)-FIND("|",DT47)-1))-VALUE(MID(DT47,FIND("-",DT47)+1,10)))))*$D$50)))))*$I47,0)),0)</f>
        <v>0</v>
      </c>
      <c r="DV47" s="338"/>
      <c r="DW47" s="363"/>
      <c r="DX47" s="356" t="n">
        <f aca="false">IFERROR(IF($M47=DW47,($D$8+$D$9+$D$10)*$I47,IF($N47=LEFT(DW47,1),($D$8+MAX(0,IF($D$50=1,$D$9*(1-(ABS($Q47-ABS(VALUE(MID(DW47,FIND("|",DW47)+1,FIND("-",DW47)-FIND("|",DW47)-1))-VALUE(MID(DW47,FIND("-",DW47)+1,10)))))*$D$50),$D$9*(1-(IF($N47="X",ABS($O47-VALUE(MID(DW47,FIND("|",DW47)+1,FIND("-",DW47)-FIND("|",DW47)-1))),ABS($Q47-ABS(VALUE(MID(DW47,FIND("|",DW47)+1,FIND("-",DW47)-FIND("|",DW47)-1))-VALUE(MID(DW47,FIND("-",DW47)+1,10)))))*$D$50)))))*$I47,0)),0)</f>
        <v>0</v>
      </c>
      <c r="DY47" s="338"/>
      <c r="DZ47" s="363"/>
      <c r="EA47" s="356" t="n">
        <f aca="false">IFERROR(IF($M47=DZ47,($D$8+$D$9+$D$10)*$I47,IF($N47=LEFT(DZ47,1),($D$8+MAX(0,IF($D$50=1,$D$9*(1-(ABS($Q47-ABS(VALUE(MID(DZ47,FIND("|",DZ47)+1,FIND("-",DZ47)-FIND("|",DZ47)-1))-VALUE(MID(DZ47,FIND("-",DZ47)+1,10)))))*$D$50),$D$9*(1-(IF($N47="X",ABS($O47-VALUE(MID(DZ47,FIND("|",DZ47)+1,FIND("-",DZ47)-FIND("|",DZ47)-1))),ABS($Q47-ABS(VALUE(MID(DZ47,FIND("|",DZ47)+1,FIND("-",DZ47)-FIND("|",DZ47)-1))-VALUE(MID(DZ47,FIND("-",DZ47)+1,10)))))*$D$50)))))*$I47,0)),0)</f>
        <v>0</v>
      </c>
      <c r="EB47" s="338"/>
      <c r="EC47" s="363"/>
      <c r="ED47" s="356" t="n">
        <f aca="false">IFERROR(IF($M47=EC47,($D$8+$D$9+$D$10)*$I47,IF($N47=LEFT(EC47,1),($D$8+MAX(0,IF($D$50=1,$D$9*(1-(ABS($Q47-ABS(VALUE(MID(EC47,FIND("|",EC47)+1,FIND("-",EC47)-FIND("|",EC47)-1))-VALUE(MID(EC47,FIND("-",EC47)+1,10)))))*$D$50),$D$9*(1-(IF($N47="X",ABS($O47-VALUE(MID(EC47,FIND("|",EC47)+1,FIND("-",EC47)-FIND("|",EC47)-1))),ABS($Q47-ABS(VALUE(MID(EC47,FIND("|",EC47)+1,FIND("-",EC47)-FIND("|",EC47)-1))-VALUE(MID(EC47,FIND("-",EC47)+1,10)))))*$D$50)))))*$I47,0)),0)</f>
        <v>0</v>
      </c>
      <c r="EE47" s="338"/>
      <c r="EF47" s="363"/>
      <c r="EG47" s="356" t="n">
        <f aca="false">IFERROR(IF($M47=EF47,($D$8+$D$9+$D$10)*$I47,IF($N47=LEFT(EF47,1),($D$8+MAX(0,IF($D$50=1,$D$9*(1-(ABS($Q47-ABS(VALUE(MID(EF47,FIND("|",EF47)+1,FIND("-",EF47)-FIND("|",EF47)-1))-VALUE(MID(EF47,FIND("-",EF47)+1,10)))))*$D$50),$D$9*(1-(IF($N47="X",ABS($O47-VALUE(MID(EF47,FIND("|",EF47)+1,FIND("-",EF47)-FIND("|",EF47)-1))),ABS($Q47-ABS(VALUE(MID(EF47,FIND("|",EF47)+1,FIND("-",EF47)-FIND("|",EF47)-1))-VALUE(MID(EF47,FIND("-",EF47)+1,10)))))*$D$50)))))*$I47,0)),0)</f>
        <v>0</v>
      </c>
      <c r="EH47" s="338"/>
      <c r="EI47" s="338"/>
    </row>
    <row r="48" customFormat="false" ht="15" hidden="false" customHeight="false" outlineLevel="0" collapsed="false">
      <c r="A48" s="327"/>
      <c r="B48" s="327"/>
      <c r="C48" s="248"/>
      <c r="D48" s="248"/>
      <c r="E48" s="379"/>
      <c r="F48" s="343" t="n">
        <f aca="false">SUM($D$8:$D$10)*I48</f>
        <v>17</v>
      </c>
      <c r="G48" s="343" t="n">
        <f aca="false">VLOOKUP(H48,Equipos!$Q$1:$R$25,2,0)</f>
        <v>12</v>
      </c>
      <c r="H48" s="351" t="n">
        <f aca="false">TRUNC(INDEX(WORLDCUP!$X$4:$X$147,MATCH(ADMIN!K48,WORLDCUP!$DT$4:$DT$147,0))+INDEX(Horarios!$R$3:$R$86,MATCH(Horarios!$C$3,Horarios!$P$3:$P$86,0))/24)</f>
        <v>46195</v>
      </c>
      <c r="I48" s="352" t="n">
        <v>1</v>
      </c>
      <c r="J48" s="362" t="s">
        <v>308</v>
      </c>
      <c r="K48" s="354" t="str">
        <f aca="false">CONCATENATE(WORLDCUP!AA78,"-",WORLDCUP!AF78)</f>
        <v>Argentina-Austria</v>
      </c>
      <c r="L48" s="354"/>
      <c r="M48" s="354" t="str">
        <f aca="false">IF(OR(WORLDCUP!AC78="",WORLDCUP!AD78=""),"-",N48&amp;"|"&amp;O48&amp;"-"&amp;P48)</f>
        <v>-</v>
      </c>
      <c r="N48" s="332" t="str">
        <f aca="false">IF(OR(WORLDCUP!AC78="",WORLDCUP!AD78=""),"",IF(WORLDCUP!AC78&gt;WORLDCUP!AD78,"1",IF(WORLDCUP!AC78&lt;WORLDCUP!AD78,"2","X")))</f>
        <v/>
      </c>
      <c r="O48" s="332" t="n">
        <f aca="false">WORLDCUP!AC78</f>
        <v>0</v>
      </c>
      <c r="P48" s="332" t="n">
        <f aca="false">WORLDCUP!AD78</f>
        <v>0</v>
      </c>
      <c r="Q48" s="332" t="n">
        <f aca="false">ABS(O48-P48)</f>
        <v>0</v>
      </c>
      <c r="R48" s="327"/>
      <c r="S48" s="363" t="s">
        <v>267</v>
      </c>
      <c r="T48" s="356" t="n">
        <f aca="false">IFERROR(IF($M48=S48,($D$8+$D$9+$D$10)*$I48,IF($N48=LEFT(S48,1),($D$8+MAX(0,IF($D$50=1,$D$9*(1-(ABS($Q48-ABS(VALUE(MID(S48,FIND("|",S48)+1,FIND("-",S48)-FIND("|",S48)-1))-VALUE(MID(S48,FIND("-",S48)+1,10)))))*$D$50),$D$9*(1-(IF($N48="X",ABS($O48-VALUE(MID(S48,FIND("|",S48)+1,FIND("-",S48)-FIND("|",S48)-1))),ABS($Q48-ABS(VALUE(MID(S48,FIND("|",S48)+1,FIND("-",S48)-FIND("|",S48)-1))-VALUE(MID(S48,FIND("-",S48)+1,10)))))*$D$50)))))*$I48,0)),0)</f>
        <v>0</v>
      </c>
      <c r="U48" s="338"/>
      <c r="V48" s="363" t="s">
        <v>266</v>
      </c>
      <c r="W48" s="356" t="n">
        <f aca="false">IFERROR(IF($M48=V48,($D$8+$D$9+$D$10)*$I48,IF($N48=LEFT(V48,1),($D$8+MAX(0,IF($D$50=1,$D$9*(1-(ABS($Q48-ABS(VALUE(MID(V48,FIND("|",V48)+1,FIND("-",V48)-FIND("|",V48)-1))-VALUE(MID(V48,FIND("-",V48)+1,10)))))*$D$50),$D$9*(1-(IF($N48="X",ABS($O48-VALUE(MID(V48,FIND("|",V48)+1,FIND("-",V48)-FIND("|",V48)-1))),ABS($Q48-ABS(VALUE(MID(V48,FIND("|",V48)+1,FIND("-",V48)-FIND("|",V48)-1))-VALUE(MID(V48,FIND("-",V48)+1,10)))))*$D$50)))))*$I48,0)),0)</f>
        <v>0</v>
      </c>
      <c r="X48" s="338"/>
      <c r="Y48" s="363" t="s">
        <v>264</v>
      </c>
      <c r="Z48" s="356" t="n">
        <f aca="false">IFERROR(IF($M48=Y48,($D$8+$D$9+$D$10)*$I48,IF($N48=LEFT(Y48,1),($D$8+MAX(0,IF($D$50=1,$D$9*(1-(ABS($Q48-ABS(VALUE(MID(Y48,FIND("|",Y48)+1,FIND("-",Y48)-FIND("|",Y48)-1))-VALUE(MID(Y48,FIND("-",Y48)+1,10)))))*$D$50),$D$9*(1-(IF($N48="X",ABS($O48-VALUE(MID(Y48,FIND("|",Y48)+1,FIND("-",Y48)-FIND("|",Y48)-1))),ABS($Q48-ABS(VALUE(MID(Y48,FIND("|",Y48)+1,FIND("-",Y48)-FIND("|",Y48)-1))-VALUE(MID(Y48,FIND("-",Y48)+1,10)))))*$D$50)))))*$I48,0)),0)</f>
        <v>0</v>
      </c>
      <c r="AA48" s="338"/>
      <c r="AB48" s="363" t="s">
        <v>288</v>
      </c>
      <c r="AC48" s="356" t="n">
        <f aca="false">IFERROR(IF($M48=AB48,($D$8+$D$9+$D$10)*$I48,IF($N48=LEFT(AB48,1),($D$8+MAX(0,IF($D$50=1,$D$9*(1-(ABS($Q48-ABS(VALUE(MID(AB48,FIND("|",AB48)+1,FIND("-",AB48)-FIND("|",AB48)-1))-VALUE(MID(AB48,FIND("-",AB48)+1,10)))))*$D$50),$D$9*(1-(IF($N48="X",ABS($O48-VALUE(MID(AB48,FIND("|",AB48)+1,FIND("-",AB48)-FIND("|",AB48)-1))),ABS($Q48-ABS(VALUE(MID(AB48,FIND("|",AB48)+1,FIND("-",AB48)-FIND("|",AB48)-1))-VALUE(MID(AB48,FIND("-",AB48)+1,10)))))*$D$50)))))*$I48,0)),0)</f>
        <v>0</v>
      </c>
      <c r="AD48" s="338"/>
      <c r="AE48" s="363" t="s">
        <v>288</v>
      </c>
      <c r="AF48" s="356" t="n">
        <f aca="false">IFERROR(IF($M48=AE48,($D$8+$D$9+$D$10)*$I48,IF($N48=LEFT(AE48,1),($D$8+MAX(0,IF($D$50=1,$D$9*(1-(ABS($Q48-ABS(VALUE(MID(AE48,FIND("|",AE48)+1,FIND("-",AE48)-FIND("|",AE48)-1))-VALUE(MID(AE48,FIND("-",AE48)+1,10)))))*$D$50),$D$9*(1-(IF($N48="X",ABS($O48-VALUE(MID(AE48,FIND("|",AE48)+1,FIND("-",AE48)-FIND("|",AE48)-1))),ABS($Q48-ABS(VALUE(MID(AE48,FIND("|",AE48)+1,FIND("-",AE48)-FIND("|",AE48)-1))-VALUE(MID(AE48,FIND("-",AE48)+1,10)))))*$D$50)))))*$I48,0)),0)</f>
        <v>0</v>
      </c>
      <c r="AG48" s="338"/>
      <c r="AH48" s="363" t="s">
        <v>264</v>
      </c>
      <c r="AI48" s="356" t="n">
        <f aca="false">IFERROR(IF($M48=AH48,($D$8+$D$9+$D$10)*$I48,IF($N48=LEFT(AH48,1),($D$8+MAX(0,IF($D$50=1,$D$9*(1-(ABS($Q48-ABS(VALUE(MID(AH48,FIND("|",AH48)+1,FIND("-",AH48)-FIND("|",AH48)-1))-VALUE(MID(AH48,FIND("-",AH48)+1,10)))))*$D$50),$D$9*(1-(IF($N48="X",ABS($O48-VALUE(MID(AH48,FIND("|",AH48)+1,FIND("-",AH48)-FIND("|",AH48)-1))),ABS($Q48-ABS(VALUE(MID(AH48,FIND("|",AH48)+1,FIND("-",AH48)-FIND("|",AH48)-1))-VALUE(MID(AH48,FIND("-",AH48)+1,10)))))*$D$50)))))*$I48,0)),0)</f>
        <v>0</v>
      </c>
      <c r="AJ48" s="338"/>
      <c r="AK48" s="363" t="s">
        <v>264</v>
      </c>
      <c r="AL48" s="356" t="n">
        <f aca="false">IFERROR(IF($M48=AK48,($D$8+$D$9+$D$10)*$I48,IF($N48=LEFT(AK48,1),($D$8+MAX(0,IF($D$50=1,$D$9*(1-(ABS($Q48-ABS(VALUE(MID(AK48,FIND("|",AK48)+1,FIND("-",AK48)-FIND("|",AK48)-1))-VALUE(MID(AK48,FIND("-",AK48)+1,10)))))*$D$50),$D$9*(1-(IF($N48="X",ABS($O48-VALUE(MID(AK48,FIND("|",AK48)+1,FIND("-",AK48)-FIND("|",AK48)-1))),ABS($Q48-ABS(VALUE(MID(AK48,FIND("|",AK48)+1,FIND("-",AK48)-FIND("|",AK48)-1))-VALUE(MID(AK48,FIND("-",AK48)+1,10)))))*$D$50)))))*$I48,0)),0)</f>
        <v>0</v>
      </c>
      <c r="AM48" s="338"/>
      <c r="AN48" s="363" t="s">
        <v>265</v>
      </c>
      <c r="AO48" s="356" t="n">
        <f aca="false">IFERROR(IF($M48=AN48,($D$8+$D$9+$D$10)*$I48,IF($N48=LEFT(AN48,1),($D$8+MAX(0,IF($D$50=1,$D$9*(1-(ABS($Q48-ABS(VALUE(MID(AN48,FIND("|",AN48)+1,FIND("-",AN48)-FIND("|",AN48)-1))-VALUE(MID(AN48,FIND("-",AN48)+1,10)))))*$D$50),$D$9*(1-(IF($N48="X",ABS($O48-VALUE(MID(AN48,FIND("|",AN48)+1,FIND("-",AN48)-FIND("|",AN48)-1))),ABS($Q48-ABS(VALUE(MID(AN48,FIND("|",AN48)+1,FIND("-",AN48)-FIND("|",AN48)-1))-VALUE(MID(AN48,FIND("-",AN48)+1,10)))))*$D$50)))))*$I48,0)),0)</f>
        <v>0</v>
      </c>
      <c r="AP48" s="338"/>
      <c r="AQ48" s="363" t="s">
        <v>271</v>
      </c>
      <c r="AR48" s="356" t="n">
        <f aca="false">IFERROR(IF($M48=AQ48,($D$8+$D$9+$D$10)*$I48,IF($N48=LEFT(AQ48,1),($D$8+MAX(0,IF($D$50=1,$D$9*(1-(ABS($Q48-ABS(VALUE(MID(AQ48,FIND("|",AQ48)+1,FIND("-",AQ48)-FIND("|",AQ48)-1))-VALUE(MID(AQ48,FIND("-",AQ48)+1,10)))))*$D$50),$D$9*(1-(IF($N48="X",ABS($O48-VALUE(MID(AQ48,FIND("|",AQ48)+1,FIND("-",AQ48)-FIND("|",AQ48)-1))),ABS($Q48-ABS(VALUE(MID(AQ48,FIND("|",AQ48)+1,FIND("-",AQ48)-FIND("|",AQ48)-1))-VALUE(MID(AQ48,FIND("-",AQ48)+1,10)))))*$D$50)))))*$I48,0)),0)</f>
        <v>0</v>
      </c>
      <c r="AS48" s="338"/>
      <c r="AT48" s="363" t="s">
        <v>267</v>
      </c>
      <c r="AU48" s="356" t="n">
        <f aca="false">IFERROR(IF($M48=AT48,($D$8+$D$9+$D$10)*$I48,IF($N48=LEFT(AT48,1),($D$8+MAX(0,IF($D$50=1,$D$9*(1-(ABS($Q48-ABS(VALUE(MID(AT48,FIND("|",AT48)+1,FIND("-",AT48)-FIND("|",AT48)-1))-VALUE(MID(AT48,FIND("-",AT48)+1,10)))))*$D$50),$D$9*(1-(IF($N48="X",ABS($O48-VALUE(MID(AT48,FIND("|",AT48)+1,FIND("-",AT48)-FIND("|",AT48)-1))),ABS($Q48-ABS(VALUE(MID(AT48,FIND("|",AT48)+1,FIND("-",AT48)-FIND("|",AT48)-1))-VALUE(MID(AT48,FIND("-",AT48)+1,10)))))*$D$50)))))*$I48,0)),0)</f>
        <v>0</v>
      </c>
      <c r="AV48" s="338"/>
      <c r="AW48" s="363" t="s">
        <v>266</v>
      </c>
      <c r="AX48" s="356" t="n">
        <f aca="false">IFERROR(IF($M48=AW48,($D$8+$D$9+$D$10)*$I48,IF($N48=LEFT(AW48,1),($D$8+MAX(0,IF($D$50=1,$D$9*(1-(ABS($Q48-ABS(VALUE(MID(AW48,FIND("|",AW48)+1,FIND("-",AW48)-FIND("|",AW48)-1))-VALUE(MID(AW48,FIND("-",AW48)+1,10)))))*$D$50),$D$9*(1-(IF($N48="X",ABS($O48-VALUE(MID(AW48,FIND("|",AW48)+1,FIND("-",AW48)-FIND("|",AW48)-1))),ABS($Q48-ABS(VALUE(MID(AW48,FIND("|",AW48)+1,FIND("-",AW48)-FIND("|",AW48)-1))-VALUE(MID(AW48,FIND("-",AW48)+1,10)))))*$D$50)))))*$I48,0)),0)</f>
        <v>0</v>
      </c>
      <c r="AY48" s="338"/>
      <c r="AZ48" s="363" t="s">
        <v>264</v>
      </c>
      <c r="BA48" s="356" t="n">
        <f aca="false">IFERROR(IF($M48=AZ48,($D$8+$D$9+$D$10)*$I48,IF($N48=LEFT(AZ48,1),($D$8+MAX(0,IF($D$50=1,$D$9*(1-(ABS($Q48-ABS(VALUE(MID(AZ48,FIND("|",AZ48)+1,FIND("-",AZ48)-FIND("|",AZ48)-1))-VALUE(MID(AZ48,FIND("-",AZ48)+1,10)))))*$D$50),$D$9*(1-(IF($N48="X",ABS($O48-VALUE(MID(AZ48,FIND("|",AZ48)+1,FIND("-",AZ48)-FIND("|",AZ48)-1))),ABS($Q48-ABS(VALUE(MID(AZ48,FIND("|",AZ48)+1,FIND("-",AZ48)-FIND("|",AZ48)-1))-VALUE(MID(AZ48,FIND("-",AZ48)+1,10)))))*$D$50)))))*$I48,0)),0)</f>
        <v>0</v>
      </c>
      <c r="BB48" s="338"/>
      <c r="BC48" s="363" t="s">
        <v>288</v>
      </c>
      <c r="BD48" s="356" t="n">
        <f aca="false">IFERROR(IF($M48=BC48,($D$8+$D$9+$D$10)*$I48,IF($N48=LEFT(BC48,1),($D$8+MAX(0,IF($D$50=1,$D$9*(1-(ABS($Q48-ABS(VALUE(MID(BC48,FIND("|",BC48)+1,FIND("-",BC48)-FIND("|",BC48)-1))-VALUE(MID(BC48,FIND("-",BC48)+1,10)))))*$D$50),$D$9*(1-(IF($N48="X",ABS($O48-VALUE(MID(BC48,FIND("|",BC48)+1,FIND("-",BC48)-FIND("|",BC48)-1))),ABS($Q48-ABS(VALUE(MID(BC48,FIND("|",BC48)+1,FIND("-",BC48)-FIND("|",BC48)-1))-VALUE(MID(BC48,FIND("-",BC48)+1,10)))))*$D$50)))))*$I48,0)),0)</f>
        <v>0</v>
      </c>
      <c r="BE48" s="338"/>
      <c r="BF48" s="363" t="s">
        <v>266</v>
      </c>
      <c r="BG48" s="356" t="n">
        <f aca="false">IFERROR(IF($M48=BF48,($D$8+$D$9+$D$10)*$I48,IF($N48=LEFT(BF48,1),($D$8+MAX(0,IF($D$50=1,$D$9*(1-(ABS($Q48-ABS(VALUE(MID(BF48,FIND("|",BF48)+1,FIND("-",BF48)-FIND("|",BF48)-1))-VALUE(MID(BF48,FIND("-",BF48)+1,10)))))*$D$50),$D$9*(1-(IF($N48="X",ABS($O48-VALUE(MID(BF48,FIND("|",BF48)+1,FIND("-",BF48)-FIND("|",BF48)-1))),ABS($Q48-ABS(VALUE(MID(BF48,FIND("|",BF48)+1,FIND("-",BF48)-FIND("|",BF48)-1))-VALUE(MID(BF48,FIND("-",BF48)+1,10)))))*$D$50)))))*$I48,0)),0)</f>
        <v>0</v>
      </c>
      <c r="BH48" s="338"/>
      <c r="BI48" s="363" t="s">
        <v>266</v>
      </c>
      <c r="BJ48" s="356" t="n">
        <f aca="false">IFERROR(IF($M48=BI48,($D$8+$D$9+$D$10)*$I48,IF($N48=LEFT(BI48,1),($D$8+MAX(0,IF($D$50=1,$D$9*(1-(ABS($Q48-ABS(VALUE(MID(BI48,FIND("|",BI48)+1,FIND("-",BI48)-FIND("|",BI48)-1))-VALUE(MID(BI48,FIND("-",BI48)+1,10)))))*$D$50),$D$9*(1-(IF($N48="X",ABS($O48-VALUE(MID(BI48,FIND("|",BI48)+1,FIND("-",BI48)-FIND("|",BI48)-1))),ABS($Q48-ABS(VALUE(MID(BI48,FIND("|",BI48)+1,FIND("-",BI48)-FIND("|",BI48)-1))-VALUE(MID(BI48,FIND("-",BI48)+1,10)))))*$D$50)))))*$I48,0)),0)</f>
        <v>0</v>
      </c>
      <c r="BK48" s="338"/>
      <c r="BL48" s="363" t="s">
        <v>264</v>
      </c>
      <c r="BM48" s="356" t="n">
        <f aca="false">IFERROR(IF($M48=BL48,($D$8+$D$9+$D$10)*$I48,IF($N48=LEFT(BL48,1),($D$8+MAX(0,IF($D$50=1,$D$9*(1-(ABS($Q48-ABS(VALUE(MID(BL48,FIND("|",BL48)+1,FIND("-",BL48)-FIND("|",BL48)-1))-VALUE(MID(BL48,FIND("-",BL48)+1,10)))))*$D$50),$D$9*(1-(IF($N48="X",ABS($O48-VALUE(MID(BL48,FIND("|",BL48)+1,FIND("-",BL48)-FIND("|",BL48)-1))),ABS($Q48-ABS(VALUE(MID(BL48,FIND("|",BL48)+1,FIND("-",BL48)-FIND("|",BL48)-1))-VALUE(MID(BL48,FIND("-",BL48)+1,10)))))*$D$50)))))*$I48,0)),0)</f>
        <v>0</v>
      </c>
      <c r="BN48" s="338"/>
      <c r="BO48" s="363" t="s">
        <v>267</v>
      </c>
      <c r="BP48" s="356" t="n">
        <f aca="false">IFERROR(IF($M48=BO48,($D$8+$D$9+$D$10)*$I48,IF($N48=LEFT(BO48,1),($D$8+MAX(0,IF($D$50=1,$D$9*(1-(ABS($Q48-ABS(VALUE(MID(BO48,FIND("|",BO48)+1,FIND("-",BO48)-FIND("|",BO48)-1))-VALUE(MID(BO48,FIND("-",BO48)+1,10)))))*$D$50),$D$9*(1-(IF($N48="X",ABS($O48-VALUE(MID(BO48,FIND("|",BO48)+1,FIND("-",BO48)-FIND("|",BO48)-1))),ABS($Q48-ABS(VALUE(MID(BO48,FIND("|",BO48)+1,FIND("-",BO48)-FIND("|",BO48)-1))-VALUE(MID(BO48,FIND("-",BO48)+1,10)))))*$D$50)))))*$I48,0)),0)</f>
        <v>0</v>
      </c>
      <c r="BQ48" s="338"/>
      <c r="BR48" s="363" t="s">
        <v>266</v>
      </c>
      <c r="BS48" s="356" t="n">
        <f aca="false">IFERROR(IF($M48=BR48,($D$8+$D$9+$D$10)*$I48,IF($N48=LEFT(BR48,1),($D$8+MAX(0,IF($D$50=1,$D$9*(1-(ABS($Q48-ABS(VALUE(MID(BR48,FIND("|",BR48)+1,FIND("-",BR48)-FIND("|",BR48)-1))-VALUE(MID(BR48,FIND("-",BR48)+1,10)))))*$D$50),$D$9*(1-(IF($N48="X",ABS($O48-VALUE(MID(BR48,FIND("|",BR48)+1,FIND("-",BR48)-FIND("|",BR48)-1))),ABS($Q48-ABS(VALUE(MID(BR48,FIND("|",BR48)+1,FIND("-",BR48)-FIND("|",BR48)-1))-VALUE(MID(BR48,FIND("-",BR48)+1,10)))))*$D$50)))))*$I48,0)),0)</f>
        <v>0</v>
      </c>
      <c r="BT48" s="338"/>
      <c r="BU48" s="363"/>
      <c r="BV48" s="356" t="n">
        <f aca="false">IFERROR(IF($M48=BU48,($D$8+$D$9+$D$10)*$I48,IF($N48=LEFT(BU48,1),($D$8+MAX(0,IF($D$50=1,$D$9*(1-(ABS($Q48-ABS(VALUE(MID(BU48,FIND("|",BU48)+1,FIND("-",BU48)-FIND("|",BU48)-1))-VALUE(MID(BU48,FIND("-",BU48)+1,10)))))*$D$50),$D$9*(1-(IF($N48="X",ABS($O48-VALUE(MID(BU48,FIND("|",BU48)+1,FIND("-",BU48)-FIND("|",BU48)-1))),ABS($Q48-ABS(VALUE(MID(BU48,FIND("|",BU48)+1,FIND("-",BU48)-FIND("|",BU48)-1))-VALUE(MID(BU48,FIND("-",BU48)+1,10)))))*$D$50)))))*$I48,0)),0)</f>
        <v>0</v>
      </c>
      <c r="BW48" s="338"/>
      <c r="BX48" s="363"/>
      <c r="BY48" s="356" t="n">
        <f aca="false">IFERROR(IF($M48=BX48,($D$8+$D$9+$D$10)*$I48,IF($N48=LEFT(BX48,1),($D$8+MAX(0,IF($D$50=1,$D$9*(1-(ABS($Q48-ABS(VALUE(MID(BX48,FIND("|",BX48)+1,FIND("-",BX48)-FIND("|",BX48)-1))-VALUE(MID(BX48,FIND("-",BX48)+1,10)))))*$D$50),$D$9*(1-(IF($N48="X",ABS($O48-VALUE(MID(BX48,FIND("|",BX48)+1,FIND("-",BX48)-FIND("|",BX48)-1))),ABS($Q48-ABS(VALUE(MID(BX48,FIND("|",BX48)+1,FIND("-",BX48)-FIND("|",BX48)-1))-VALUE(MID(BX48,FIND("-",BX48)+1,10)))))*$D$50)))))*$I48,0)),0)</f>
        <v>0</v>
      </c>
      <c r="BZ48" s="338"/>
      <c r="CA48" s="363"/>
      <c r="CB48" s="356" t="n">
        <f aca="false">IFERROR(IF($M48=CA48,($D$8+$D$9+$D$10)*$I48,IF($N48=LEFT(CA48,1),($D$8+MAX(0,IF($D$50=1,$D$9*(1-(ABS($Q48-ABS(VALUE(MID(CA48,FIND("|",CA48)+1,FIND("-",CA48)-FIND("|",CA48)-1))-VALUE(MID(CA48,FIND("-",CA48)+1,10)))))*$D$50),$D$9*(1-(IF($N48="X",ABS($O48-VALUE(MID(CA48,FIND("|",CA48)+1,FIND("-",CA48)-FIND("|",CA48)-1))),ABS($Q48-ABS(VALUE(MID(CA48,FIND("|",CA48)+1,FIND("-",CA48)-FIND("|",CA48)-1))-VALUE(MID(CA48,FIND("-",CA48)+1,10)))))*$D$50)))))*$I48,0)),0)</f>
        <v>0</v>
      </c>
      <c r="CC48" s="338"/>
      <c r="CD48" s="363"/>
      <c r="CE48" s="356" t="n">
        <f aca="false">IFERROR(IF($M48=CD48,($D$8+$D$9+$D$10)*$I48,IF($N48=LEFT(CD48,1),($D$8+MAX(0,IF($D$50=1,$D$9*(1-(ABS($Q48-ABS(VALUE(MID(CD48,FIND("|",CD48)+1,FIND("-",CD48)-FIND("|",CD48)-1))-VALUE(MID(CD48,FIND("-",CD48)+1,10)))))*$D$50),$D$9*(1-(IF($N48="X",ABS($O48-VALUE(MID(CD48,FIND("|",CD48)+1,FIND("-",CD48)-FIND("|",CD48)-1))),ABS($Q48-ABS(VALUE(MID(CD48,FIND("|",CD48)+1,FIND("-",CD48)-FIND("|",CD48)-1))-VALUE(MID(CD48,FIND("-",CD48)+1,10)))))*$D$50)))))*$I48,0)),0)</f>
        <v>0</v>
      </c>
      <c r="CF48" s="338"/>
      <c r="CG48" s="363"/>
      <c r="CH48" s="356" t="n">
        <f aca="false">IFERROR(IF($M48=CG48,($D$8+$D$9+$D$10)*$I48,IF($N48=LEFT(CG48,1),($D$8+MAX(0,IF($D$50=1,$D$9*(1-(ABS($Q48-ABS(VALUE(MID(CG48,FIND("|",CG48)+1,FIND("-",CG48)-FIND("|",CG48)-1))-VALUE(MID(CG48,FIND("-",CG48)+1,10)))))*$D$50),$D$9*(1-(IF($N48="X",ABS($O48-VALUE(MID(CG48,FIND("|",CG48)+1,FIND("-",CG48)-FIND("|",CG48)-1))),ABS($Q48-ABS(VALUE(MID(CG48,FIND("|",CG48)+1,FIND("-",CG48)-FIND("|",CG48)-1))-VALUE(MID(CG48,FIND("-",CG48)+1,10)))))*$D$50)))))*$I48,0)),0)</f>
        <v>0</v>
      </c>
      <c r="CI48" s="338"/>
      <c r="CJ48" s="363"/>
      <c r="CK48" s="356" t="n">
        <f aca="false">IFERROR(IF($M48=CJ48,($D$8+$D$9+$D$10)*$I48,IF($N48=LEFT(CJ48,1),($D$8+MAX(0,IF($D$50=1,$D$9*(1-(ABS($Q48-ABS(VALUE(MID(CJ48,FIND("|",CJ48)+1,FIND("-",CJ48)-FIND("|",CJ48)-1))-VALUE(MID(CJ48,FIND("-",CJ48)+1,10)))))*$D$50),$D$9*(1-(IF($N48="X",ABS($O48-VALUE(MID(CJ48,FIND("|",CJ48)+1,FIND("-",CJ48)-FIND("|",CJ48)-1))),ABS($Q48-ABS(VALUE(MID(CJ48,FIND("|",CJ48)+1,FIND("-",CJ48)-FIND("|",CJ48)-1))-VALUE(MID(CJ48,FIND("-",CJ48)+1,10)))))*$D$50)))))*$I48,0)),0)</f>
        <v>0</v>
      </c>
      <c r="CL48" s="338"/>
      <c r="CM48" s="363"/>
      <c r="CN48" s="356" t="n">
        <f aca="false">IFERROR(IF($M48=CM48,($D$8+$D$9+$D$10)*$I48,IF($N48=LEFT(CM48,1),($D$8+MAX(0,IF($D$50=1,$D$9*(1-(ABS($Q48-ABS(VALUE(MID(CM48,FIND("|",CM48)+1,FIND("-",CM48)-FIND("|",CM48)-1))-VALUE(MID(CM48,FIND("-",CM48)+1,10)))))*$D$50),$D$9*(1-(IF($N48="X",ABS($O48-VALUE(MID(CM48,FIND("|",CM48)+1,FIND("-",CM48)-FIND("|",CM48)-1))),ABS($Q48-ABS(VALUE(MID(CM48,FIND("|",CM48)+1,FIND("-",CM48)-FIND("|",CM48)-1))-VALUE(MID(CM48,FIND("-",CM48)+1,10)))))*$D$50)))))*$I48,0)),0)</f>
        <v>0</v>
      </c>
      <c r="CO48" s="338"/>
      <c r="CP48" s="363"/>
      <c r="CQ48" s="356" t="n">
        <f aca="false">IFERROR(IF($M48=CP48,($D$8+$D$9+$D$10)*$I48,IF($N48=LEFT(CP48,1),($D$8+MAX(0,IF($D$50=1,$D$9*(1-(ABS($Q48-ABS(VALUE(MID(CP48,FIND("|",CP48)+1,FIND("-",CP48)-FIND("|",CP48)-1))-VALUE(MID(CP48,FIND("-",CP48)+1,10)))))*$D$50),$D$9*(1-(IF($N48="X",ABS($O48-VALUE(MID(CP48,FIND("|",CP48)+1,FIND("-",CP48)-FIND("|",CP48)-1))),ABS($Q48-ABS(VALUE(MID(CP48,FIND("|",CP48)+1,FIND("-",CP48)-FIND("|",CP48)-1))-VALUE(MID(CP48,FIND("-",CP48)+1,10)))))*$D$50)))))*$I48,0)),0)</f>
        <v>0</v>
      </c>
      <c r="CR48" s="338"/>
      <c r="CS48" s="363"/>
      <c r="CT48" s="356" t="n">
        <f aca="false">IFERROR(IF($M48=CS48,($D$8+$D$9+$D$10)*$I48,IF($N48=LEFT(CS48,1),($D$8+MAX(0,IF($D$50=1,$D$9*(1-(ABS($Q48-ABS(VALUE(MID(CS48,FIND("|",CS48)+1,FIND("-",CS48)-FIND("|",CS48)-1))-VALUE(MID(CS48,FIND("-",CS48)+1,10)))))*$D$50),$D$9*(1-(IF($N48="X",ABS($O48-VALUE(MID(CS48,FIND("|",CS48)+1,FIND("-",CS48)-FIND("|",CS48)-1))),ABS($Q48-ABS(VALUE(MID(CS48,FIND("|",CS48)+1,FIND("-",CS48)-FIND("|",CS48)-1))-VALUE(MID(CS48,FIND("-",CS48)+1,10)))))*$D$50)))))*$I48,0)),0)</f>
        <v>0</v>
      </c>
      <c r="CU48" s="338"/>
      <c r="CV48" s="363"/>
      <c r="CW48" s="356" t="n">
        <f aca="false">IFERROR(IF($M48=CV48,($D$8+$D$9+$D$10)*$I48,IF($N48=LEFT(CV48,1),($D$8+MAX(0,IF($D$50=1,$D$9*(1-(ABS($Q48-ABS(VALUE(MID(CV48,FIND("|",CV48)+1,FIND("-",CV48)-FIND("|",CV48)-1))-VALUE(MID(CV48,FIND("-",CV48)+1,10)))))*$D$50),$D$9*(1-(IF($N48="X",ABS($O48-VALUE(MID(CV48,FIND("|",CV48)+1,FIND("-",CV48)-FIND("|",CV48)-1))),ABS($Q48-ABS(VALUE(MID(CV48,FIND("|",CV48)+1,FIND("-",CV48)-FIND("|",CV48)-1))-VALUE(MID(CV48,FIND("-",CV48)+1,10)))))*$D$50)))))*$I48,0)),0)</f>
        <v>0</v>
      </c>
      <c r="CX48" s="338"/>
      <c r="CY48" s="363"/>
      <c r="CZ48" s="356" t="n">
        <f aca="false">IFERROR(IF($M48=CY48,($D$8+$D$9+$D$10)*$I48,IF($N48=LEFT(CY48,1),($D$8+MAX(0,IF($D$50=1,$D$9*(1-(ABS($Q48-ABS(VALUE(MID(CY48,FIND("|",CY48)+1,FIND("-",CY48)-FIND("|",CY48)-1))-VALUE(MID(CY48,FIND("-",CY48)+1,10)))))*$D$50),$D$9*(1-(IF($N48="X",ABS($O48-VALUE(MID(CY48,FIND("|",CY48)+1,FIND("-",CY48)-FIND("|",CY48)-1))),ABS($Q48-ABS(VALUE(MID(CY48,FIND("|",CY48)+1,FIND("-",CY48)-FIND("|",CY48)-1))-VALUE(MID(CY48,FIND("-",CY48)+1,10)))))*$D$50)))))*$I48,0)),0)</f>
        <v>0</v>
      </c>
      <c r="DA48" s="338"/>
      <c r="DB48" s="363"/>
      <c r="DC48" s="356" t="n">
        <f aca="false">IFERROR(IF($M48=DB48,($D$8+$D$9+$D$10)*$I48,IF($N48=LEFT(DB48,1),($D$8+MAX(0,IF($D$50=1,$D$9*(1-(ABS($Q48-ABS(VALUE(MID(DB48,FIND("|",DB48)+1,FIND("-",DB48)-FIND("|",DB48)-1))-VALUE(MID(DB48,FIND("-",DB48)+1,10)))))*$D$50),$D$9*(1-(IF($N48="X",ABS($O48-VALUE(MID(DB48,FIND("|",DB48)+1,FIND("-",DB48)-FIND("|",DB48)-1))),ABS($Q48-ABS(VALUE(MID(DB48,FIND("|",DB48)+1,FIND("-",DB48)-FIND("|",DB48)-1))-VALUE(MID(DB48,FIND("-",DB48)+1,10)))))*$D$50)))))*$I48,0)),0)</f>
        <v>0</v>
      </c>
      <c r="DD48" s="338"/>
      <c r="DE48" s="363"/>
      <c r="DF48" s="356" t="n">
        <f aca="false">IFERROR(IF($M48=DE48,($D$8+$D$9+$D$10)*$I48,IF($N48=LEFT(DE48,1),($D$8+MAX(0,IF($D$50=1,$D$9*(1-(ABS($Q48-ABS(VALUE(MID(DE48,FIND("|",DE48)+1,FIND("-",DE48)-FIND("|",DE48)-1))-VALUE(MID(DE48,FIND("-",DE48)+1,10)))))*$D$50),$D$9*(1-(IF($N48="X",ABS($O48-VALUE(MID(DE48,FIND("|",DE48)+1,FIND("-",DE48)-FIND("|",DE48)-1))),ABS($Q48-ABS(VALUE(MID(DE48,FIND("|",DE48)+1,FIND("-",DE48)-FIND("|",DE48)-1))-VALUE(MID(DE48,FIND("-",DE48)+1,10)))))*$D$50)))))*$I48,0)),0)</f>
        <v>0</v>
      </c>
      <c r="DG48" s="338"/>
      <c r="DH48" s="363"/>
      <c r="DI48" s="356" t="n">
        <f aca="false">IFERROR(IF($M48=DH48,($D$8+$D$9+$D$10)*$I48,IF($N48=LEFT(DH48,1),($D$8+MAX(0,IF($D$50=1,$D$9*(1-(ABS($Q48-ABS(VALUE(MID(DH48,FIND("|",DH48)+1,FIND("-",DH48)-FIND("|",DH48)-1))-VALUE(MID(DH48,FIND("-",DH48)+1,10)))))*$D$50),$D$9*(1-(IF($N48="X",ABS($O48-VALUE(MID(DH48,FIND("|",DH48)+1,FIND("-",DH48)-FIND("|",DH48)-1))),ABS($Q48-ABS(VALUE(MID(DH48,FIND("|",DH48)+1,FIND("-",DH48)-FIND("|",DH48)-1))-VALUE(MID(DH48,FIND("-",DH48)+1,10)))))*$D$50)))))*$I48,0)),0)</f>
        <v>0</v>
      </c>
      <c r="DJ48" s="338"/>
      <c r="DK48" s="363"/>
      <c r="DL48" s="356" t="n">
        <f aca="false">IFERROR(IF($M48=DK48,($D$8+$D$9+$D$10)*$I48,IF($N48=LEFT(DK48,1),($D$8+MAX(0,IF($D$50=1,$D$9*(1-(ABS($Q48-ABS(VALUE(MID(DK48,FIND("|",DK48)+1,FIND("-",DK48)-FIND("|",DK48)-1))-VALUE(MID(DK48,FIND("-",DK48)+1,10)))))*$D$50),$D$9*(1-(IF($N48="X",ABS($O48-VALUE(MID(DK48,FIND("|",DK48)+1,FIND("-",DK48)-FIND("|",DK48)-1))),ABS($Q48-ABS(VALUE(MID(DK48,FIND("|",DK48)+1,FIND("-",DK48)-FIND("|",DK48)-1))-VALUE(MID(DK48,FIND("-",DK48)+1,10)))))*$D$50)))))*$I48,0)),0)</f>
        <v>0</v>
      </c>
      <c r="DM48" s="338"/>
      <c r="DN48" s="363"/>
      <c r="DO48" s="356" t="n">
        <f aca="false">IFERROR(IF($M48=DN48,($D$8+$D$9+$D$10)*$I48,IF($N48=LEFT(DN48,1),($D$8+MAX(0,IF($D$50=1,$D$9*(1-(ABS($Q48-ABS(VALUE(MID(DN48,FIND("|",DN48)+1,FIND("-",DN48)-FIND("|",DN48)-1))-VALUE(MID(DN48,FIND("-",DN48)+1,10)))))*$D$50),$D$9*(1-(IF($N48="X",ABS($O48-VALUE(MID(DN48,FIND("|",DN48)+1,FIND("-",DN48)-FIND("|",DN48)-1))),ABS($Q48-ABS(VALUE(MID(DN48,FIND("|",DN48)+1,FIND("-",DN48)-FIND("|",DN48)-1))-VALUE(MID(DN48,FIND("-",DN48)+1,10)))))*$D$50)))))*$I48,0)),0)</f>
        <v>0</v>
      </c>
      <c r="DP48" s="338"/>
      <c r="DQ48" s="363"/>
      <c r="DR48" s="356" t="n">
        <f aca="false">IFERROR(IF($M48=DQ48,($D$8+$D$9+$D$10)*$I48,IF($N48=LEFT(DQ48,1),($D$8+MAX(0,IF($D$50=1,$D$9*(1-(ABS($Q48-ABS(VALUE(MID(DQ48,FIND("|",DQ48)+1,FIND("-",DQ48)-FIND("|",DQ48)-1))-VALUE(MID(DQ48,FIND("-",DQ48)+1,10)))))*$D$50),$D$9*(1-(IF($N48="X",ABS($O48-VALUE(MID(DQ48,FIND("|",DQ48)+1,FIND("-",DQ48)-FIND("|",DQ48)-1))),ABS($Q48-ABS(VALUE(MID(DQ48,FIND("|",DQ48)+1,FIND("-",DQ48)-FIND("|",DQ48)-1))-VALUE(MID(DQ48,FIND("-",DQ48)+1,10)))))*$D$50)))))*$I48,0)),0)</f>
        <v>0</v>
      </c>
      <c r="DS48" s="338"/>
      <c r="DT48" s="363"/>
      <c r="DU48" s="356" t="n">
        <f aca="false">IFERROR(IF($M48=DT48,($D$8+$D$9+$D$10)*$I48,IF($N48=LEFT(DT48,1),($D$8+MAX(0,IF($D$50=1,$D$9*(1-(ABS($Q48-ABS(VALUE(MID(DT48,FIND("|",DT48)+1,FIND("-",DT48)-FIND("|",DT48)-1))-VALUE(MID(DT48,FIND("-",DT48)+1,10)))))*$D$50),$D$9*(1-(IF($N48="X",ABS($O48-VALUE(MID(DT48,FIND("|",DT48)+1,FIND("-",DT48)-FIND("|",DT48)-1))),ABS($Q48-ABS(VALUE(MID(DT48,FIND("|",DT48)+1,FIND("-",DT48)-FIND("|",DT48)-1))-VALUE(MID(DT48,FIND("-",DT48)+1,10)))))*$D$50)))))*$I48,0)),0)</f>
        <v>0</v>
      </c>
      <c r="DV48" s="338"/>
      <c r="DW48" s="363"/>
      <c r="DX48" s="356" t="n">
        <f aca="false">IFERROR(IF($M48=DW48,($D$8+$D$9+$D$10)*$I48,IF($N48=LEFT(DW48,1),($D$8+MAX(0,IF($D$50=1,$D$9*(1-(ABS($Q48-ABS(VALUE(MID(DW48,FIND("|",DW48)+1,FIND("-",DW48)-FIND("|",DW48)-1))-VALUE(MID(DW48,FIND("-",DW48)+1,10)))))*$D$50),$D$9*(1-(IF($N48="X",ABS($O48-VALUE(MID(DW48,FIND("|",DW48)+1,FIND("-",DW48)-FIND("|",DW48)-1))),ABS($Q48-ABS(VALUE(MID(DW48,FIND("|",DW48)+1,FIND("-",DW48)-FIND("|",DW48)-1))-VALUE(MID(DW48,FIND("-",DW48)+1,10)))))*$D$50)))))*$I48,0)),0)</f>
        <v>0</v>
      </c>
      <c r="DY48" s="338"/>
      <c r="DZ48" s="363"/>
      <c r="EA48" s="356" t="n">
        <f aca="false">IFERROR(IF($M48=DZ48,($D$8+$D$9+$D$10)*$I48,IF($N48=LEFT(DZ48,1),($D$8+MAX(0,IF($D$50=1,$D$9*(1-(ABS($Q48-ABS(VALUE(MID(DZ48,FIND("|",DZ48)+1,FIND("-",DZ48)-FIND("|",DZ48)-1))-VALUE(MID(DZ48,FIND("-",DZ48)+1,10)))))*$D$50),$D$9*(1-(IF($N48="X",ABS($O48-VALUE(MID(DZ48,FIND("|",DZ48)+1,FIND("-",DZ48)-FIND("|",DZ48)-1))),ABS($Q48-ABS(VALUE(MID(DZ48,FIND("|",DZ48)+1,FIND("-",DZ48)-FIND("|",DZ48)-1))-VALUE(MID(DZ48,FIND("-",DZ48)+1,10)))))*$D$50)))))*$I48,0)),0)</f>
        <v>0</v>
      </c>
      <c r="EB48" s="338"/>
      <c r="EC48" s="363"/>
      <c r="ED48" s="356" t="n">
        <f aca="false">IFERROR(IF($M48=EC48,($D$8+$D$9+$D$10)*$I48,IF($N48=LEFT(EC48,1),($D$8+MAX(0,IF($D$50=1,$D$9*(1-(ABS($Q48-ABS(VALUE(MID(EC48,FIND("|",EC48)+1,FIND("-",EC48)-FIND("|",EC48)-1))-VALUE(MID(EC48,FIND("-",EC48)+1,10)))))*$D$50),$D$9*(1-(IF($N48="X",ABS($O48-VALUE(MID(EC48,FIND("|",EC48)+1,FIND("-",EC48)-FIND("|",EC48)-1))),ABS($Q48-ABS(VALUE(MID(EC48,FIND("|",EC48)+1,FIND("-",EC48)-FIND("|",EC48)-1))-VALUE(MID(EC48,FIND("-",EC48)+1,10)))))*$D$50)))))*$I48,0)),0)</f>
        <v>0</v>
      </c>
      <c r="EE48" s="338"/>
      <c r="EF48" s="363"/>
      <c r="EG48" s="356" t="n">
        <f aca="false">IFERROR(IF($M48=EF48,($D$8+$D$9+$D$10)*$I48,IF($N48=LEFT(EF48,1),($D$8+MAX(0,IF($D$50=1,$D$9*(1-(ABS($Q48-ABS(VALUE(MID(EF48,FIND("|",EF48)+1,FIND("-",EF48)-FIND("|",EF48)-1))-VALUE(MID(EF48,FIND("-",EF48)+1,10)))))*$D$50),$D$9*(1-(IF($N48="X",ABS($O48-VALUE(MID(EF48,FIND("|",EF48)+1,FIND("-",EF48)-FIND("|",EF48)-1))),ABS($Q48-ABS(VALUE(MID(EF48,FIND("|",EF48)+1,FIND("-",EF48)-FIND("|",EF48)-1))-VALUE(MID(EF48,FIND("-",EF48)+1,10)))))*$D$50)))))*$I48,0)),0)</f>
        <v>0</v>
      </c>
      <c r="EH48" s="338"/>
      <c r="EI48" s="338"/>
    </row>
    <row r="49" customFormat="false" ht="15" hidden="false" customHeight="false" outlineLevel="0" collapsed="false">
      <c r="A49" s="327"/>
      <c r="B49" s="380"/>
      <c r="C49" s="381" t="str">
        <f aca="false">"**"&amp;Idiomas!D441&amp;": -&gt;"</f>
        <v>**% Ajuste por desvío en Diferencia/Distancia de goles: -&gt;</v>
      </c>
      <c r="D49" s="382" t="s">
        <v>309</v>
      </c>
      <c r="E49" s="379"/>
      <c r="F49" s="343" t="n">
        <f aca="false">SUM($D$8:$D$10)*I49</f>
        <v>17</v>
      </c>
      <c r="G49" s="343" t="n">
        <f aca="false">VLOOKUP(H49,Equipos!$Q$1:$R$25,2,0)</f>
        <v>13</v>
      </c>
      <c r="H49" s="351" t="n">
        <f aca="false">TRUNC(INDEX(WORLDCUP!$X$4:$X$147,MATCH(ADMIN!K49,WORLDCUP!$DT$4:$DT$147,0))+INDEX(Horarios!$R$3:$R$86,MATCH(Horarios!$C$3,Horarios!$P$3:$P$86,0))/24)</f>
        <v>46196</v>
      </c>
      <c r="I49" s="352" t="n">
        <v>1</v>
      </c>
      <c r="J49" s="362" t="s">
        <v>308</v>
      </c>
      <c r="K49" s="354" t="str">
        <f aca="false">CONCATENATE(WORLDCUP!AA79,"-",WORLDCUP!AF79)</f>
        <v>Jordania-Argelia</v>
      </c>
      <c r="L49" s="354"/>
      <c r="M49" s="359" t="str">
        <f aca="false">IF(OR(WORLDCUP!AC79="",WORLDCUP!AD79=""),"-",N49&amp;"|"&amp;O49&amp;"-"&amp;P49)</f>
        <v>-</v>
      </c>
      <c r="N49" s="332" t="str">
        <f aca="false">IF(OR(WORLDCUP!AC79="",WORLDCUP!AD79=""),"",IF(WORLDCUP!AC79&gt;WORLDCUP!AD79,"1",IF(WORLDCUP!AC79&lt;WORLDCUP!AD79,"2","X")))</f>
        <v/>
      </c>
      <c r="O49" s="332" t="n">
        <f aca="false">WORLDCUP!AC79</f>
        <v>0</v>
      </c>
      <c r="P49" s="332" t="n">
        <f aca="false">WORLDCUP!AD79</f>
        <v>0</v>
      </c>
      <c r="Q49" s="332" t="n">
        <f aca="false">ABS(O49-P49)</f>
        <v>0</v>
      </c>
      <c r="R49" s="327"/>
      <c r="S49" s="363" t="s">
        <v>274</v>
      </c>
      <c r="T49" s="356" t="n">
        <f aca="false">IFERROR(IF($M49=S49,($D$8+$D$9+$D$10)*$I49,IF($N49=LEFT(S49,1),($D$8+MAX(0,IF($D$50=1,$D$9*(1-(ABS($Q49-ABS(VALUE(MID(S49,FIND("|",S49)+1,FIND("-",S49)-FIND("|",S49)-1))-VALUE(MID(S49,FIND("-",S49)+1,10)))))*$D$50),$D$9*(1-(IF($N49="X",ABS($O49-VALUE(MID(S49,FIND("|",S49)+1,FIND("-",S49)-FIND("|",S49)-1))),ABS($Q49-ABS(VALUE(MID(S49,FIND("|",S49)+1,FIND("-",S49)-FIND("|",S49)-1))-VALUE(MID(S49,FIND("-",S49)+1,10)))))*$D$50)))))*$I49,0)),0)</f>
        <v>0</v>
      </c>
      <c r="U49" s="338"/>
      <c r="V49" s="363" t="s">
        <v>267</v>
      </c>
      <c r="W49" s="356" t="n">
        <f aca="false">IFERROR(IF($M49=V49,($D$8+$D$9+$D$10)*$I49,IF($N49=LEFT(V49,1),($D$8+MAX(0,IF($D$50=1,$D$9*(1-(ABS($Q49-ABS(VALUE(MID(V49,FIND("|",V49)+1,FIND("-",V49)-FIND("|",V49)-1))-VALUE(MID(V49,FIND("-",V49)+1,10)))))*$D$50),$D$9*(1-(IF($N49="X",ABS($O49-VALUE(MID(V49,FIND("|",V49)+1,FIND("-",V49)-FIND("|",V49)-1))),ABS($Q49-ABS(VALUE(MID(V49,FIND("|",V49)+1,FIND("-",V49)-FIND("|",V49)-1))-VALUE(MID(V49,FIND("-",V49)+1,10)))))*$D$50)))))*$I49,0)),0)</f>
        <v>0</v>
      </c>
      <c r="X49" s="338"/>
      <c r="Y49" s="363" t="s">
        <v>274</v>
      </c>
      <c r="Z49" s="356" t="n">
        <f aca="false">IFERROR(IF($M49=Y49,($D$8+$D$9+$D$10)*$I49,IF($N49=LEFT(Y49,1),($D$8+MAX(0,IF($D$50=1,$D$9*(1-(ABS($Q49-ABS(VALUE(MID(Y49,FIND("|",Y49)+1,FIND("-",Y49)-FIND("|",Y49)-1))-VALUE(MID(Y49,FIND("-",Y49)+1,10)))))*$D$50),$D$9*(1-(IF($N49="X",ABS($O49-VALUE(MID(Y49,FIND("|",Y49)+1,FIND("-",Y49)-FIND("|",Y49)-1))),ABS($Q49-ABS(VALUE(MID(Y49,FIND("|",Y49)+1,FIND("-",Y49)-FIND("|",Y49)-1))-VALUE(MID(Y49,FIND("-",Y49)+1,10)))))*$D$50)))))*$I49,0)),0)</f>
        <v>0</v>
      </c>
      <c r="AA49" s="338"/>
      <c r="AB49" s="363" t="s">
        <v>271</v>
      </c>
      <c r="AC49" s="356" t="n">
        <f aca="false">IFERROR(IF($M49=AB49,($D$8+$D$9+$D$10)*$I49,IF($N49=LEFT(AB49,1),($D$8+MAX(0,IF($D$50=1,$D$9*(1-(ABS($Q49-ABS(VALUE(MID(AB49,FIND("|",AB49)+1,FIND("-",AB49)-FIND("|",AB49)-1))-VALUE(MID(AB49,FIND("-",AB49)+1,10)))))*$D$50),$D$9*(1-(IF($N49="X",ABS($O49-VALUE(MID(AB49,FIND("|",AB49)+1,FIND("-",AB49)-FIND("|",AB49)-1))),ABS($Q49-ABS(VALUE(MID(AB49,FIND("|",AB49)+1,FIND("-",AB49)-FIND("|",AB49)-1))-VALUE(MID(AB49,FIND("-",AB49)+1,10)))))*$D$50)))))*$I49,0)),0)</f>
        <v>0</v>
      </c>
      <c r="AD49" s="338"/>
      <c r="AE49" s="363" t="s">
        <v>274</v>
      </c>
      <c r="AF49" s="356" t="n">
        <f aca="false">IFERROR(IF($M49=AE49,($D$8+$D$9+$D$10)*$I49,IF($N49=LEFT(AE49,1),($D$8+MAX(0,IF($D$50=1,$D$9*(1-(ABS($Q49-ABS(VALUE(MID(AE49,FIND("|",AE49)+1,FIND("-",AE49)-FIND("|",AE49)-1))-VALUE(MID(AE49,FIND("-",AE49)+1,10)))))*$D$50),$D$9*(1-(IF($N49="X",ABS($O49-VALUE(MID(AE49,FIND("|",AE49)+1,FIND("-",AE49)-FIND("|",AE49)-1))),ABS($Q49-ABS(VALUE(MID(AE49,FIND("|",AE49)+1,FIND("-",AE49)-FIND("|",AE49)-1))-VALUE(MID(AE49,FIND("-",AE49)+1,10)))))*$D$50)))))*$I49,0)),0)</f>
        <v>0</v>
      </c>
      <c r="AG49" s="338"/>
      <c r="AH49" s="363" t="s">
        <v>267</v>
      </c>
      <c r="AI49" s="356" t="n">
        <f aca="false">IFERROR(IF($M49=AH49,($D$8+$D$9+$D$10)*$I49,IF($N49=LEFT(AH49,1),($D$8+MAX(0,IF($D$50=1,$D$9*(1-(ABS($Q49-ABS(VALUE(MID(AH49,FIND("|",AH49)+1,FIND("-",AH49)-FIND("|",AH49)-1))-VALUE(MID(AH49,FIND("-",AH49)+1,10)))))*$D$50),$D$9*(1-(IF($N49="X",ABS($O49-VALUE(MID(AH49,FIND("|",AH49)+1,FIND("-",AH49)-FIND("|",AH49)-1))),ABS($Q49-ABS(VALUE(MID(AH49,FIND("|",AH49)+1,FIND("-",AH49)-FIND("|",AH49)-1))-VALUE(MID(AH49,FIND("-",AH49)+1,10)))))*$D$50)))))*$I49,0)),0)</f>
        <v>0</v>
      </c>
      <c r="AJ49" s="338"/>
      <c r="AK49" s="363" t="s">
        <v>267</v>
      </c>
      <c r="AL49" s="356" t="n">
        <f aca="false">IFERROR(IF($M49=AK49,($D$8+$D$9+$D$10)*$I49,IF($N49=LEFT(AK49,1),($D$8+MAX(0,IF($D$50=1,$D$9*(1-(ABS($Q49-ABS(VALUE(MID(AK49,FIND("|",AK49)+1,FIND("-",AK49)-FIND("|",AK49)-1))-VALUE(MID(AK49,FIND("-",AK49)+1,10)))))*$D$50),$D$9*(1-(IF($N49="X",ABS($O49-VALUE(MID(AK49,FIND("|",AK49)+1,FIND("-",AK49)-FIND("|",AK49)-1))),ABS($Q49-ABS(VALUE(MID(AK49,FIND("|",AK49)+1,FIND("-",AK49)-FIND("|",AK49)-1))-VALUE(MID(AK49,FIND("-",AK49)+1,10)))))*$D$50)))))*$I49,0)),0)</f>
        <v>0</v>
      </c>
      <c r="AM49" s="338"/>
      <c r="AN49" s="363" t="s">
        <v>271</v>
      </c>
      <c r="AO49" s="356" t="n">
        <f aca="false">IFERROR(IF($M49=AN49,($D$8+$D$9+$D$10)*$I49,IF($N49=LEFT(AN49,1),($D$8+MAX(0,IF($D$50=1,$D$9*(1-(ABS($Q49-ABS(VALUE(MID(AN49,FIND("|",AN49)+1,FIND("-",AN49)-FIND("|",AN49)-1))-VALUE(MID(AN49,FIND("-",AN49)+1,10)))))*$D$50),$D$9*(1-(IF($N49="X",ABS($O49-VALUE(MID(AN49,FIND("|",AN49)+1,FIND("-",AN49)-FIND("|",AN49)-1))),ABS($Q49-ABS(VALUE(MID(AN49,FIND("|",AN49)+1,FIND("-",AN49)-FIND("|",AN49)-1))-VALUE(MID(AN49,FIND("-",AN49)+1,10)))))*$D$50)))))*$I49,0)),0)</f>
        <v>0</v>
      </c>
      <c r="AP49" s="338"/>
      <c r="AQ49" s="363" t="s">
        <v>273</v>
      </c>
      <c r="AR49" s="356" t="n">
        <f aca="false">IFERROR(IF($M49=AQ49,($D$8+$D$9+$D$10)*$I49,IF($N49=LEFT(AQ49,1),($D$8+MAX(0,IF($D$50=1,$D$9*(1-(ABS($Q49-ABS(VALUE(MID(AQ49,FIND("|",AQ49)+1,FIND("-",AQ49)-FIND("|",AQ49)-1))-VALUE(MID(AQ49,FIND("-",AQ49)+1,10)))))*$D$50),$D$9*(1-(IF($N49="X",ABS($O49-VALUE(MID(AQ49,FIND("|",AQ49)+1,FIND("-",AQ49)-FIND("|",AQ49)-1))),ABS($Q49-ABS(VALUE(MID(AQ49,FIND("|",AQ49)+1,FIND("-",AQ49)-FIND("|",AQ49)-1))-VALUE(MID(AQ49,FIND("-",AQ49)+1,10)))))*$D$50)))))*$I49,0)),0)</f>
        <v>0</v>
      </c>
      <c r="AS49" s="338"/>
      <c r="AT49" s="363" t="s">
        <v>275</v>
      </c>
      <c r="AU49" s="356" t="n">
        <f aca="false">IFERROR(IF($M49=AT49,($D$8+$D$9+$D$10)*$I49,IF($N49=LEFT(AT49,1),($D$8+MAX(0,IF($D$50=1,$D$9*(1-(ABS($Q49-ABS(VALUE(MID(AT49,FIND("|",AT49)+1,FIND("-",AT49)-FIND("|",AT49)-1))-VALUE(MID(AT49,FIND("-",AT49)+1,10)))))*$D$50),$D$9*(1-(IF($N49="X",ABS($O49-VALUE(MID(AT49,FIND("|",AT49)+1,FIND("-",AT49)-FIND("|",AT49)-1))),ABS($Q49-ABS(VALUE(MID(AT49,FIND("|",AT49)+1,FIND("-",AT49)-FIND("|",AT49)-1))-VALUE(MID(AT49,FIND("-",AT49)+1,10)))))*$D$50)))))*$I49,0)),0)</f>
        <v>0</v>
      </c>
      <c r="AV49" s="338"/>
      <c r="AW49" s="363" t="s">
        <v>271</v>
      </c>
      <c r="AX49" s="356" t="n">
        <f aca="false">IFERROR(IF($M49=AW49,($D$8+$D$9+$D$10)*$I49,IF($N49=LEFT(AW49,1),($D$8+MAX(0,IF($D$50=1,$D$9*(1-(ABS($Q49-ABS(VALUE(MID(AW49,FIND("|",AW49)+1,FIND("-",AW49)-FIND("|",AW49)-1))-VALUE(MID(AW49,FIND("-",AW49)+1,10)))))*$D$50),$D$9*(1-(IF($N49="X",ABS($O49-VALUE(MID(AW49,FIND("|",AW49)+1,FIND("-",AW49)-FIND("|",AW49)-1))),ABS($Q49-ABS(VALUE(MID(AW49,FIND("|",AW49)+1,FIND("-",AW49)-FIND("|",AW49)-1))-VALUE(MID(AW49,FIND("-",AW49)+1,10)))))*$D$50)))))*$I49,0)),0)</f>
        <v>0</v>
      </c>
      <c r="AY49" s="338"/>
      <c r="AZ49" s="363" t="s">
        <v>267</v>
      </c>
      <c r="BA49" s="356" t="n">
        <f aca="false">IFERROR(IF($M49=AZ49,($D$8+$D$9+$D$10)*$I49,IF($N49=LEFT(AZ49,1),($D$8+MAX(0,IF($D$50=1,$D$9*(1-(ABS($Q49-ABS(VALUE(MID(AZ49,FIND("|",AZ49)+1,FIND("-",AZ49)-FIND("|",AZ49)-1))-VALUE(MID(AZ49,FIND("-",AZ49)+1,10)))))*$D$50),$D$9*(1-(IF($N49="X",ABS($O49-VALUE(MID(AZ49,FIND("|",AZ49)+1,FIND("-",AZ49)-FIND("|",AZ49)-1))),ABS($Q49-ABS(VALUE(MID(AZ49,FIND("|",AZ49)+1,FIND("-",AZ49)-FIND("|",AZ49)-1))-VALUE(MID(AZ49,FIND("-",AZ49)+1,10)))))*$D$50)))))*$I49,0)),0)</f>
        <v>0</v>
      </c>
      <c r="BB49" s="338"/>
      <c r="BC49" s="363" t="s">
        <v>274</v>
      </c>
      <c r="BD49" s="356" t="n">
        <f aca="false">IFERROR(IF($M49=BC49,($D$8+$D$9+$D$10)*$I49,IF($N49=LEFT(BC49,1),($D$8+MAX(0,IF($D$50=1,$D$9*(1-(ABS($Q49-ABS(VALUE(MID(BC49,FIND("|",BC49)+1,FIND("-",BC49)-FIND("|",BC49)-1))-VALUE(MID(BC49,FIND("-",BC49)+1,10)))))*$D$50),$D$9*(1-(IF($N49="X",ABS($O49-VALUE(MID(BC49,FIND("|",BC49)+1,FIND("-",BC49)-FIND("|",BC49)-1))),ABS($Q49-ABS(VALUE(MID(BC49,FIND("|",BC49)+1,FIND("-",BC49)-FIND("|",BC49)-1))-VALUE(MID(BC49,FIND("-",BC49)+1,10)))))*$D$50)))))*$I49,0)),0)</f>
        <v>0</v>
      </c>
      <c r="BE49" s="338"/>
      <c r="BF49" s="363" t="s">
        <v>271</v>
      </c>
      <c r="BG49" s="356" t="n">
        <f aca="false">IFERROR(IF($M49=BF49,($D$8+$D$9+$D$10)*$I49,IF($N49=LEFT(BF49,1),($D$8+MAX(0,IF($D$50=1,$D$9*(1-(ABS($Q49-ABS(VALUE(MID(BF49,FIND("|",BF49)+1,FIND("-",BF49)-FIND("|",BF49)-1))-VALUE(MID(BF49,FIND("-",BF49)+1,10)))))*$D$50),$D$9*(1-(IF($N49="X",ABS($O49-VALUE(MID(BF49,FIND("|",BF49)+1,FIND("-",BF49)-FIND("|",BF49)-1))),ABS($Q49-ABS(VALUE(MID(BF49,FIND("|",BF49)+1,FIND("-",BF49)-FIND("|",BF49)-1))-VALUE(MID(BF49,FIND("-",BF49)+1,10)))))*$D$50)))))*$I49,0)),0)</f>
        <v>0</v>
      </c>
      <c r="BH49" s="338"/>
      <c r="BI49" s="363" t="s">
        <v>271</v>
      </c>
      <c r="BJ49" s="356" t="n">
        <f aca="false">IFERROR(IF($M49=BI49,($D$8+$D$9+$D$10)*$I49,IF($N49=LEFT(BI49,1),($D$8+MAX(0,IF($D$50=1,$D$9*(1-(ABS($Q49-ABS(VALUE(MID(BI49,FIND("|",BI49)+1,FIND("-",BI49)-FIND("|",BI49)-1))-VALUE(MID(BI49,FIND("-",BI49)+1,10)))))*$D$50),$D$9*(1-(IF($N49="X",ABS($O49-VALUE(MID(BI49,FIND("|",BI49)+1,FIND("-",BI49)-FIND("|",BI49)-1))),ABS($Q49-ABS(VALUE(MID(BI49,FIND("|",BI49)+1,FIND("-",BI49)-FIND("|",BI49)-1))-VALUE(MID(BI49,FIND("-",BI49)+1,10)))))*$D$50)))))*$I49,0)),0)</f>
        <v>0</v>
      </c>
      <c r="BK49" s="338"/>
      <c r="BL49" s="363" t="s">
        <v>274</v>
      </c>
      <c r="BM49" s="356" t="n">
        <f aca="false">IFERROR(IF($M49=BL49,($D$8+$D$9+$D$10)*$I49,IF($N49=LEFT(BL49,1),($D$8+MAX(0,IF($D$50=1,$D$9*(1-(ABS($Q49-ABS(VALUE(MID(BL49,FIND("|",BL49)+1,FIND("-",BL49)-FIND("|",BL49)-1))-VALUE(MID(BL49,FIND("-",BL49)+1,10)))))*$D$50),$D$9*(1-(IF($N49="X",ABS($O49-VALUE(MID(BL49,FIND("|",BL49)+1,FIND("-",BL49)-FIND("|",BL49)-1))),ABS($Q49-ABS(VALUE(MID(BL49,FIND("|",BL49)+1,FIND("-",BL49)-FIND("|",BL49)-1))-VALUE(MID(BL49,FIND("-",BL49)+1,10)))))*$D$50)))))*$I49,0)),0)</f>
        <v>0</v>
      </c>
      <c r="BN49" s="338"/>
      <c r="BO49" s="363" t="s">
        <v>268</v>
      </c>
      <c r="BP49" s="356" t="n">
        <f aca="false">IFERROR(IF($M49=BO49,($D$8+$D$9+$D$10)*$I49,IF($N49=LEFT(BO49,1),($D$8+MAX(0,IF($D$50=1,$D$9*(1-(ABS($Q49-ABS(VALUE(MID(BO49,FIND("|",BO49)+1,FIND("-",BO49)-FIND("|",BO49)-1))-VALUE(MID(BO49,FIND("-",BO49)+1,10)))))*$D$50),$D$9*(1-(IF($N49="X",ABS($O49-VALUE(MID(BO49,FIND("|",BO49)+1,FIND("-",BO49)-FIND("|",BO49)-1))),ABS($Q49-ABS(VALUE(MID(BO49,FIND("|",BO49)+1,FIND("-",BO49)-FIND("|",BO49)-1))-VALUE(MID(BO49,FIND("-",BO49)+1,10)))))*$D$50)))))*$I49,0)),0)</f>
        <v>0</v>
      </c>
      <c r="BQ49" s="338"/>
      <c r="BR49" s="363" t="s">
        <v>271</v>
      </c>
      <c r="BS49" s="356" t="n">
        <f aca="false">IFERROR(IF($M49=BR49,($D$8+$D$9+$D$10)*$I49,IF($N49=LEFT(BR49,1),($D$8+MAX(0,IF($D$50=1,$D$9*(1-(ABS($Q49-ABS(VALUE(MID(BR49,FIND("|",BR49)+1,FIND("-",BR49)-FIND("|",BR49)-1))-VALUE(MID(BR49,FIND("-",BR49)+1,10)))))*$D$50),$D$9*(1-(IF($N49="X",ABS($O49-VALUE(MID(BR49,FIND("|",BR49)+1,FIND("-",BR49)-FIND("|",BR49)-1))),ABS($Q49-ABS(VALUE(MID(BR49,FIND("|",BR49)+1,FIND("-",BR49)-FIND("|",BR49)-1))-VALUE(MID(BR49,FIND("-",BR49)+1,10)))))*$D$50)))))*$I49,0)),0)</f>
        <v>0</v>
      </c>
      <c r="BT49" s="338"/>
      <c r="BU49" s="363"/>
      <c r="BV49" s="356" t="n">
        <f aca="false">IFERROR(IF($M49=BU49,($D$8+$D$9+$D$10)*$I49,IF($N49=LEFT(BU49,1),($D$8+MAX(0,IF($D$50=1,$D$9*(1-(ABS($Q49-ABS(VALUE(MID(BU49,FIND("|",BU49)+1,FIND("-",BU49)-FIND("|",BU49)-1))-VALUE(MID(BU49,FIND("-",BU49)+1,10)))))*$D$50),$D$9*(1-(IF($N49="X",ABS($O49-VALUE(MID(BU49,FIND("|",BU49)+1,FIND("-",BU49)-FIND("|",BU49)-1))),ABS($Q49-ABS(VALUE(MID(BU49,FIND("|",BU49)+1,FIND("-",BU49)-FIND("|",BU49)-1))-VALUE(MID(BU49,FIND("-",BU49)+1,10)))))*$D$50)))))*$I49,0)),0)</f>
        <v>0</v>
      </c>
      <c r="BW49" s="338"/>
      <c r="BX49" s="363"/>
      <c r="BY49" s="356" t="n">
        <f aca="false">IFERROR(IF($M49=BX49,($D$8+$D$9+$D$10)*$I49,IF($N49=LEFT(BX49,1),($D$8+MAX(0,IF($D$50=1,$D$9*(1-(ABS($Q49-ABS(VALUE(MID(BX49,FIND("|",BX49)+1,FIND("-",BX49)-FIND("|",BX49)-1))-VALUE(MID(BX49,FIND("-",BX49)+1,10)))))*$D$50),$D$9*(1-(IF($N49="X",ABS($O49-VALUE(MID(BX49,FIND("|",BX49)+1,FIND("-",BX49)-FIND("|",BX49)-1))),ABS($Q49-ABS(VALUE(MID(BX49,FIND("|",BX49)+1,FIND("-",BX49)-FIND("|",BX49)-1))-VALUE(MID(BX49,FIND("-",BX49)+1,10)))))*$D$50)))))*$I49,0)),0)</f>
        <v>0</v>
      </c>
      <c r="BZ49" s="338"/>
      <c r="CA49" s="363"/>
      <c r="CB49" s="356" t="n">
        <f aca="false">IFERROR(IF($M49=CA49,($D$8+$D$9+$D$10)*$I49,IF($N49=LEFT(CA49,1),($D$8+MAX(0,IF($D$50=1,$D$9*(1-(ABS($Q49-ABS(VALUE(MID(CA49,FIND("|",CA49)+1,FIND("-",CA49)-FIND("|",CA49)-1))-VALUE(MID(CA49,FIND("-",CA49)+1,10)))))*$D$50),$D$9*(1-(IF($N49="X",ABS($O49-VALUE(MID(CA49,FIND("|",CA49)+1,FIND("-",CA49)-FIND("|",CA49)-1))),ABS($Q49-ABS(VALUE(MID(CA49,FIND("|",CA49)+1,FIND("-",CA49)-FIND("|",CA49)-1))-VALUE(MID(CA49,FIND("-",CA49)+1,10)))))*$D$50)))))*$I49,0)),0)</f>
        <v>0</v>
      </c>
      <c r="CC49" s="338"/>
      <c r="CD49" s="363"/>
      <c r="CE49" s="356" t="n">
        <f aca="false">IFERROR(IF($M49=CD49,($D$8+$D$9+$D$10)*$I49,IF($N49=LEFT(CD49,1),($D$8+MAX(0,IF($D$50=1,$D$9*(1-(ABS($Q49-ABS(VALUE(MID(CD49,FIND("|",CD49)+1,FIND("-",CD49)-FIND("|",CD49)-1))-VALUE(MID(CD49,FIND("-",CD49)+1,10)))))*$D$50),$D$9*(1-(IF($N49="X",ABS($O49-VALUE(MID(CD49,FIND("|",CD49)+1,FIND("-",CD49)-FIND("|",CD49)-1))),ABS($Q49-ABS(VALUE(MID(CD49,FIND("|",CD49)+1,FIND("-",CD49)-FIND("|",CD49)-1))-VALUE(MID(CD49,FIND("-",CD49)+1,10)))))*$D$50)))))*$I49,0)),0)</f>
        <v>0</v>
      </c>
      <c r="CF49" s="338"/>
      <c r="CG49" s="363"/>
      <c r="CH49" s="356" t="n">
        <f aca="false">IFERROR(IF($M49=CG49,($D$8+$D$9+$D$10)*$I49,IF($N49=LEFT(CG49,1),($D$8+MAX(0,IF($D$50=1,$D$9*(1-(ABS($Q49-ABS(VALUE(MID(CG49,FIND("|",CG49)+1,FIND("-",CG49)-FIND("|",CG49)-1))-VALUE(MID(CG49,FIND("-",CG49)+1,10)))))*$D$50),$D$9*(1-(IF($N49="X",ABS($O49-VALUE(MID(CG49,FIND("|",CG49)+1,FIND("-",CG49)-FIND("|",CG49)-1))),ABS($Q49-ABS(VALUE(MID(CG49,FIND("|",CG49)+1,FIND("-",CG49)-FIND("|",CG49)-1))-VALUE(MID(CG49,FIND("-",CG49)+1,10)))))*$D$50)))))*$I49,0)),0)</f>
        <v>0</v>
      </c>
      <c r="CI49" s="338"/>
      <c r="CJ49" s="363"/>
      <c r="CK49" s="356" t="n">
        <f aca="false">IFERROR(IF($M49=CJ49,($D$8+$D$9+$D$10)*$I49,IF($N49=LEFT(CJ49,1),($D$8+MAX(0,IF($D$50=1,$D$9*(1-(ABS($Q49-ABS(VALUE(MID(CJ49,FIND("|",CJ49)+1,FIND("-",CJ49)-FIND("|",CJ49)-1))-VALUE(MID(CJ49,FIND("-",CJ49)+1,10)))))*$D$50),$D$9*(1-(IF($N49="X",ABS($O49-VALUE(MID(CJ49,FIND("|",CJ49)+1,FIND("-",CJ49)-FIND("|",CJ49)-1))),ABS($Q49-ABS(VALUE(MID(CJ49,FIND("|",CJ49)+1,FIND("-",CJ49)-FIND("|",CJ49)-1))-VALUE(MID(CJ49,FIND("-",CJ49)+1,10)))))*$D$50)))))*$I49,0)),0)</f>
        <v>0</v>
      </c>
      <c r="CL49" s="338"/>
      <c r="CM49" s="363"/>
      <c r="CN49" s="356" t="n">
        <f aca="false">IFERROR(IF($M49=CM49,($D$8+$D$9+$D$10)*$I49,IF($N49=LEFT(CM49,1),($D$8+MAX(0,IF($D$50=1,$D$9*(1-(ABS($Q49-ABS(VALUE(MID(CM49,FIND("|",CM49)+1,FIND("-",CM49)-FIND("|",CM49)-1))-VALUE(MID(CM49,FIND("-",CM49)+1,10)))))*$D$50),$D$9*(1-(IF($N49="X",ABS($O49-VALUE(MID(CM49,FIND("|",CM49)+1,FIND("-",CM49)-FIND("|",CM49)-1))),ABS($Q49-ABS(VALUE(MID(CM49,FIND("|",CM49)+1,FIND("-",CM49)-FIND("|",CM49)-1))-VALUE(MID(CM49,FIND("-",CM49)+1,10)))))*$D$50)))))*$I49,0)),0)</f>
        <v>0</v>
      </c>
      <c r="CO49" s="338"/>
      <c r="CP49" s="363"/>
      <c r="CQ49" s="356" t="n">
        <f aca="false">IFERROR(IF($M49=CP49,($D$8+$D$9+$D$10)*$I49,IF($N49=LEFT(CP49,1),($D$8+MAX(0,IF($D$50=1,$D$9*(1-(ABS($Q49-ABS(VALUE(MID(CP49,FIND("|",CP49)+1,FIND("-",CP49)-FIND("|",CP49)-1))-VALUE(MID(CP49,FIND("-",CP49)+1,10)))))*$D$50),$D$9*(1-(IF($N49="X",ABS($O49-VALUE(MID(CP49,FIND("|",CP49)+1,FIND("-",CP49)-FIND("|",CP49)-1))),ABS($Q49-ABS(VALUE(MID(CP49,FIND("|",CP49)+1,FIND("-",CP49)-FIND("|",CP49)-1))-VALUE(MID(CP49,FIND("-",CP49)+1,10)))))*$D$50)))))*$I49,0)),0)</f>
        <v>0</v>
      </c>
      <c r="CR49" s="338"/>
      <c r="CS49" s="363"/>
      <c r="CT49" s="356" t="n">
        <f aca="false">IFERROR(IF($M49=CS49,($D$8+$D$9+$D$10)*$I49,IF($N49=LEFT(CS49,1),($D$8+MAX(0,IF($D$50=1,$D$9*(1-(ABS($Q49-ABS(VALUE(MID(CS49,FIND("|",CS49)+1,FIND("-",CS49)-FIND("|",CS49)-1))-VALUE(MID(CS49,FIND("-",CS49)+1,10)))))*$D$50),$D$9*(1-(IF($N49="X",ABS($O49-VALUE(MID(CS49,FIND("|",CS49)+1,FIND("-",CS49)-FIND("|",CS49)-1))),ABS($Q49-ABS(VALUE(MID(CS49,FIND("|",CS49)+1,FIND("-",CS49)-FIND("|",CS49)-1))-VALUE(MID(CS49,FIND("-",CS49)+1,10)))))*$D$50)))))*$I49,0)),0)</f>
        <v>0</v>
      </c>
      <c r="CU49" s="338"/>
      <c r="CV49" s="363"/>
      <c r="CW49" s="356" t="n">
        <f aca="false">IFERROR(IF($M49=CV49,($D$8+$D$9+$D$10)*$I49,IF($N49=LEFT(CV49,1),($D$8+MAX(0,IF($D$50=1,$D$9*(1-(ABS($Q49-ABS(VALUE(MID(CV49,FIND("|",CV49)+1,FIND("-",CV49)-FIND("|",CV49)-1))-VALUE(MID(CV49,FIND("-",CV49)+1,10)))))*$D$50),$D$9*(1-(IF($N49="X",ABS($O49-VALUE(MID(CV49,FIND("|",CV49)+1,FIND("-",CV49)-FIND("|",CV49)-1))),ABS($Q49-ABS(VALUE(MID(CV49,FIND("|",CV49)+1,FIND("-",CV49)-FIND("|",CV49)-1))-VALUE(MID(CV49,FIND("-",CV49)+1,10)))))*$D$50)))))*$I49,0)),0)</f>
        <v>0</v>
      </c>
      <c r="CX49" s="338"/>
      <c r="CY49" s="363"/>
      <c r="CZ49" s="356" t="n">
        <f aca="false">IFERROR(IF($M49=CY49,($D$8+$D$9+$D$10)*$I49,IF($N49=LEFT(CY49,1),($D$8+MAX(0,IF($D$50=1,$D$9*(1-(ABS($Q49-ABS(VALUE(MID(CY49,FIND("|",CY49)+1,FIND("-",CY49)-FIND("|",CY49)-1))-VALUE(MID(CY49,FIND("-",CY49)+1,10)))))*$D$50),$D$9*(1-(IF($N49="X",ABS($O49-VALUE(MID(CY49,FIND("|",CY49)+1,FIND("-",CY49)-FIND("|",CY49)-1))),ABS($Q49-ABS(VALUE(MID(CY49,FIND("|",CY49)+1,FIND("-",CY49)-FIND("|",CY49)-1))-VALUE(MID(CY49,FIND("-",CY49)+1,10)))))*$D$50)))))*$I49,0)),0)</f>
        <v>0</v>
      </c>
      <c r="DA49" s="338"/>
      <c r="DB49" s="363"/>
      <c r="DC49" s="356" t="n">
        <f aca="false">IFERROR(IF($M49=DB49,($D$8+$D$9+$D$10)*$I49,IF($N49=LEFT(DB49,1),($D$8+MAX(0,IF($D$50=1,$D$9*(1-(ABS($Q49-ABS(VALUE(MID(DB49,FIND("|",DB49)+1,FIND("-",DB49)-FIND("|",DB49)-1))-VALUE(MID(DB49,FIND("-",DB49)+1,10)))))*$D$50),$D$9*(1-(IF($N49="X",ABS($O49-VALUE(MID(DB49,FIND("|",DB49)+1,FIND("-",DB49)-FIND("|",DB49)-1))),ABS($Q49-ABS(VALUE(MID(DB49,FIND("|",DB49)+1,FIND("-",DB49)-FIND("|",DB49)-1))-VALUE(MID(DB49,FIND("-",DB49)+1,10)))))*$D$50)))))*$I49,0)),0)</f>
        <v>0</v>
      </c>
      <c r="DD49" s="338"/>
      <c r="DE49" s="363"/>
      <c r="DF49" s="356" t="n">
        <f aca="false">IFERROR(IF($M49=DE49,($D$8+$D$9+$D$10)*$I49,IF($N49=LEFT(DE49,1),($D$8+MAX(0,IF($D$50=1,$D$9*(1-(ABS($Q49-ABS(VALUE(MID(DE49,FIND("|",DE49)+1,FIND("-",DE49)-FIND("|",DE49)-1))-VALUE(MID(DE49,FIND("-",DE49)+1,10)))))*$D$50),$D$9*(1-(IF($N49="X",ABS($O49-VALUE(MID(DE49,FIND("|",DE49)+1,FIND("-",DE49)-FIND("|",DE49)-1))),ABS($Q49-ABS(VALUE(MID(DE49,FIND("|",DE49)+1,FIND("-",DE49)-FIND("|",DE49)-1))-VALUE(MID(DE49,FIND("-",DE49)+1,10)))))*$D$50)))))*$I49,0)),0)</f>
        <v>0</v>
      </c>
      <c r="DG49" s="338"/>
      <c r="DH49" s="363"/>
      <c r="DI49" s="356" t="n">
        <f aca="false">IFERROR(IF($M49=DH49,($D$8+$D$9+$D$10)*$I49,IF($N49=LEFT(DH49,1),($D$8+MAX(0,IF($D$50=1,$D$9*(1-(ABS($Q49-ABS(VALUE(MID(DH49,FIND("|",DH49)+1,FIND("-",DH49)-FIND("|",DH49)-1))-VALUE(MID(DH49,FIND("-",DH49)+1,10)))))*$D$50),$D$9*(1-(IF($N49="X",ABS($O49-VALUE(MID(DH49,FIND("|",DH49)+1,FIND("-",DH49)-FIND("|",DH49)-1))),ABS($Q49-ABS(VALUE(MID(DH49,FIND("|",DH49)+1,FIND("-",DH49)-FIND("|",DH49)-1))-VALUE(MID(DH49,FIND("-",DH49)+1,10)))))*$D$50)))))*$I49,0)),0)</f>
        <v>0</v>
      </c>
      <c r="DJ49" s="338"/>
      <c r="DK49" s="363"/>
      <c r="DL49" s="356" t="n">
        <f aca="false">IFERROR(IF($M49=DK49,($D$8+$D$9+$D$10)*$I49,IF($N49=LEFT(DK49,1),($D$8+MAX(0,IF($D$50=1,$D$9*(1-(ABS($Q49-ABS(VALUE(MID(DK49,FIND("|",DK49)+1,FIND("-",DK49)-FIND("|",DK49)-1))-VALUE(MID(DK49,FIND("-",DK49)+1,10)))))*$D$50),$D$9*(1-(IF($N49="X",ABS($O49-VALUE(MID(DK49,FIND("|",DK49)+1,FIND("-",DK49)-FIND("|",DK49)-1))),ABS($Q49-ABS(VALUE(MID(DK49,FIND("|",DK49)+1,FIND("-",DK49)-FIND("|",DK49)-1))-VALUE(MID(DK49,FIND("-",DK49)+1,10)))))*$D$50)))))*$I49,0)),0)</f>
        <v>0</v>
      </c>
      <c r="DM49" s="338"/>
      <c r="DN49" s="363"/>
      <c r="DO49" s="356" t="n">
        <f aca="false">IFERROR(IF($M49=DN49,($D$8+$D$9+$D$10)*$I49,IF($N49=LEFT(DN49,1),($D$8+MAX(0,IF($D$50=1,$D$9*(1-(ABS($Q49-ABS(VALUE(MID(DN49,FIND("|",DN49)+1,FIND("-",DN49)-FIND("|",DN49)-1))-VALUE(MID(DN49,FIND("-",DN49)+1,10)))))*$D$50),$D$9*(1-(IF($N49="X",ABS($O49-VALUE(MID(DN49,FIND("|",DN49)+1,FIND("-",DN49)-FIND("|",DN49)-1))),ABS($Q49-ABS(VALUE(MID(DN49,FIND("|",DN49)+1,FIND("-",DN49)-FIND("|",DN49)-1))-VALUE(MID(DN49,FIND("-",DN49)+1,10)))))*$D$50)))))*$I49,0)),0)</f>
        <v>0</v>
      </c>
      <c r="DP49" s="338"/>
      <c r="DQ49" s="363"/>
      <c r="DR49" s="356" t="n">
        <f aca="false">IFERROR(IF($M49=DQ49,($D$8+$D$9+$D$10)*$I49,IF($N49=LEFT(DQ49,1),($D$8+MAX(0,IF($D$50=1,$D$9*(1-(ABS($Q49-ABS(VALUE(MID(DQ49,FIND("|",DQ49)+1,FIND("-",DQ49)-FIND("|",DQ49)-1))-VALUE(MID(DQ49,FIND("-",DQ49)+1,10)))))*$D$50),$D$9*(1-(IF($N49="X",ABS($O49-VALUE(MID(DQ49,FIND("|",DQ49)+1,FIND("-",DQ49)-FIND("|",DQ49)-1))),ABS($Q49-ABS(VALUE(MID(DQ49,FIND("|",DQ49)+1,FIND("-",DQ49)-FIND("|",DQ49)-1))-VALUE(MID(DQ49,FIND("-",DQ49)+1,10)))))*$D$50)))))*$I49,0)),0)</f>
        <v>0</v>
      </c>
      <c r="DS49" s="338"/>
      <c r="DT49" s="363"/>
      <c r="DU49" s="356" t="n">
        <f aca="false">IFERROR(IF($M49=DT49,($D$8+$D$9+$D$10)*$I49,IF($N49=LEFT(DT49,1),($D$8+MAX(0,IF($D$50=1,$D$9*(1-(ABS($Q49-ABS(VALUE(MID(DT49,FIND("|",DT49)+1,FIND("-",DT49)-FIND("|",DT49)-1))-VALUE(MID(DT49,FIND("-",DT49)+1,10)))))*$D$50),$D$9*(1-(IF($N49="X",ABS($O49-VALUE(MID(DT49,FIND("|",DT49)+1,FIND("-",DT49)-FIND("|",DT49)-1))),ABS($Q49-ABS(VALUE(MID(DT49,FIND("|",DT49)+1,FIND("-",DT49)-FIND("|",DT49)-1))-VALUE(MID(DT49,FIND("-",DT49)+1,10)))))*$D$50)))))*$I49,0)),0)</f>
        <v>0</v>
      </c>
      <c r="DV49" s="338"/>
      <c r="DW49" s="363"/>
      <c r="DX49" s="356" t="n">
        <f aca="false">IFERROR(IF($M49=DW49,($D$8+$D$9+$D$10)*$I49,IF($N49=LEFT(DW49,1),($D$8+MAX(0,IF($D$50=1,$D$9*(1-(ABS($Q49-ABS(VALUE(MID(DW49,FIND("|",DW49)+1,FIND("-",DW49)-FIND("|",DW49)-1))-VALUE(MID(DW49,FIND("-",DW49)+1,10)))))*$D$50),$D$9*(1-(IF($N49="X",ABS($O49-VALUE(MID(DW49,FIND("|",DW49)+1,FIND("-",DW49)-FIND("|",DW49)-1))),ABS($Q49-ABS(VALUE(MID(DW49,FIND("|",DW49)+1,FIND("-",DW49)-FIND("|",DW49)-1))-VALUE(MID(DW49,FIND("-",DW49)+1,10)))))*$D$50)))))*$I49,0)),0)</f>
        <v>0</v>
      </c>
      <c r="DY49" s="338"/>
      <c r="DZ49" s="363"/>
      <c r="EA49" s="356" t="n">
        <f aca="false">IFERROR(IF($M49=DZ49,($D$8+$D$9+$D$10)*$I49,IF($N49=LEFT(DZ49,1),($D$8+MAX(0,IF($D$50=1,$D$9*(1-(ABS($Q49-ABS(VALUE(MID(DZ49,FIND("|",DZ49)+1,FIND("-",DZ49)-FIND("|",DZ49)-1))-VALUE(MID(DZ49,FIND("-",DZ49)+1,10)))))*$D$50),$D$9*(1-(IF($N49="X",ABS($O49-VALUE(MID(DZ49,FIND("|",DZ49)+1,FIND("-",DZ49)-FIND("|",DZ49)-1))),ABS($Q49-ABS(VALUE(MID(DZ49,FIND("|",DZ49)+1,FIND("-",DZ49)-FIND("|",DZ49)-1))-VALUE(MID(DZ49,FIND("-",DZ49)+1,10)))))*$D$50)))))*$I49,0)),0)</f>
        <v>0</v>
      </c>
      <c r="EB49" s="338"/>
      <c r="EC49" s="363"/>
      <c r="ED49" s="356" t="n">
        <f aca="false">IFERROR(IF($M49=EC49,($D$8+$D$9+$D$10)*$I49,IF($N49=LEFT(EC49,1),($D$8+MAX(0,IF($D$50=1,$D$9*(1-(ABS($Q49-ABS(VALUE(MID(EC49,FIND("|",EC49)+1,FIND("-",EC49)-FIND("|",EC49)-1))-VALUE(MID(EC49,FIND("-",EC49)+1,10)))))*$D$50),$D$9*(1-(IF($N49="X",ABS($O49-VALUE(MID(EC49,FIND("|",EC49)+1,FIND("-",EC49)-FIND("|",EC49)-1))),ABS($Q49-ABS(VALUE(MID(EC49,FIND("|",EC49)+1,FIND("-",EC49)-FIND("|",EC49)-1))-VALUE(MID(EC49,FIND("-",EC49)+1,10)))))*$D$50)))))*$I49,0)),0)</f>
        <v>0</v>
      </c>
      <c r="EE49" s="338"/>
      <c r="EF49" s="363"/>
      <c r="EG49" s="356" t="n">
        <f aca="false">IFERROR(IF($M49=EF49,($D$8+$D$9+$D$10)*$I49,IF($N49=LEFT(EF49,1),($D$8+MAX(0,IF($D$50=1,$D$9*(1-(ABS($Q49-ABS(VALUE(MID(EF49,FIND("|",EF49)+1,FIND("-",EF49)-FIND("|",EF49)-1))-VALUE(MID(EF49,FIND("-",EF49)+1,10)))))*$D$50),$D$9*(1-(IF($N49="X",ABS($O49-VALUE(MID(EF49,FIND("|",EF49)+1,FIND("-",EF49)-FIND("|",EF49)-1))),ABS($Q49-ABS(VALUE(MID(EF49,FIND("|",EF49)+1,FIND("-",EF49)-FIND("|",EF49)-1))-VALUE(MID(EF49,FIND("-",EF49)+1,10)))))*$D$50)))))*$I49,0)),0)</f>
        <v>0</v>
      </c>
      <c r="EH49" s="338"/>
      <c r="EI49" s="338"/>
    </row>
    <row r="50" customFormat="false" ht="15" hidden="false" customHeight="false" outlineLevel="0" collapsed="false">
      <c r="A50" s="327"/>
      <c r="B50" s="327"/>
      <c r="C50" s="383" t="str">
        <f aca="false">HYPERLINK(Idiomas!D444,Idiomas!D443)</f>
        <v>**¿Qué es esto y cómo funciona?</v>
      </c>
      <c r="D50" s="162" t="n">
        <f aca="false">IF(D49=Idiomas!$D$442,1,D49)</f>
        <v>1</v>
      </c>
      <c r="E50" s="379"/>
      <c r="F50" s="343" t="n">
        <f aca="false">SUM($D$8:$D$10)*I50</f>
        <v>17</v>
      </c>
      <c r="G50" s="343" t="n">
        <f aca="false">VLOOKUP(H50,Equipos!$Q$1:$R$25,2,0)</f>
        <v>13</v>
      </c>
      <c r="H50" s="351" t="n">
        <f aca="false">TRUNC(INDEX(WORLDCUP!$X$4:$X$147,MATCH(ADMIN!K50,WORLDCUP!$DT$4:$DT$147,0))+INDEX(Horarios!$R$3:$R$86,MATCH(Horarios!$C$3,Horarios!$P$3:$P$86,0))/24)</f>
        <v>46196</v>
      </c>
      <c r="I50" s="352" t="n">
        <v>1</v>
      </c>
      <c r="J50" s="353" t="s">
        <v>310</v>
      </c>
      <c r="K50" s="367" t="str">
        <f aca="false">CONCATENATE(WORLDCUP!AA86,"-",WORLDCUP!AF86)</f>
        <v>Portugal-Uzbekistán</v>
      </c>
      <c r="L50" s="354"/>
      <c r="M50" s="359" t="str">
        <f aca="false">IF(OR(WORLDCUP!AC86="",WORLDCUP!AD86=""),"-",N50&amp;"|"&amp;O50&amp;"-"&amp;P50)</f>
        <v>-</v>
      </c>
      <c r="N50" s="332" t="str">
        <f aca="false">IF(OR(WORLDCUP!AC86="",WORLDCUP!AD86=""),"",IF(WORLDCUP!AC86&gt;WORLDCUP!AD86,"1",IF(WORLDCUP!AC86&lt;WORLDCUP!AD86,"2","X")))</f>
        <v/>
      </c>
      <c r="O50" s="332" t="n">
        <f aca="false">WORLDCUP!AC86</f>
        <v>0</v>
      </c>
      <c r="P50" s="332" t="n">
        <f aca="false">WORLDCUP!AD86</f>
        <v>0</v>
      </c>
      <c r="Q50" s="332" t="n">
        <f aca="false">ABS(O50-P50)</f>
        <v>0</v>
      </c>
      <c r="R50" s="327"/>
      <c r="S50" s="363" t="s">
        <v>294</v>
      </c>
      <c r="T50" s="356" t="n">
        <f aca="false">IFERROR(IF($M50=S50,($D$8+$D$9+$D$10)*$I50,IF($N50=LEFT(S50,1),($D$8+MAX(0,IF($D$50=1,$D$9*(1-(ABS($Q50-ABS(VALUE(MID(S50,FIND("|",S50)+1,FIND("-",S50)-FIND("|",S50)-1))-VALUE(MID(S50,FIND("-",S50)+1,10)))))*$D$50),$D$9*(1-(IF($N50="X",ABS($O50-VALUE(MID(S50,FIND("|",S50)+1,FIND("-",S50)-FIND("|",S50)-1))),ABS($Q50-ABS(VALUE(MID(S50,FIND("|",S50)+1,FIND("-",S50)-FIND("|",S50)-1))-VALUE(MID(S50,FIND("-",S50)+1,10)))))*$D$50)))))*$I50,0)),0)</f>
        <v>0</v>
      </c>
      <c r="U50" s="338"/>
      <c r="V50" s="363" t="s">
        <v>266</v>
      </c>
      <c r="W50" s="356" t="n">
        <f aca="false">IFERROR(IF($M50=V50,($D$8+$D$9+$D$10)*$I50,IF($N50=LEFT(V50,1),($D$8+MAX(0,IF($D$50=1,$D$9*(1-(ABS($Q50-ABS(VALUE(MID(V50,FIND("|",V50)+1,FIND("-",V50)-FIND("|",V50)-1))-VALUE(MID(V50,FIND("-",V50)+1,10)))))*$D$50),$D$9*(1-(IF($N50="X",ABS($O50-VALUE(MID(V50,FIND("|",V50)+1,FIND("-",V50)-FIND("|",V50)-1))),ABS($Q50-ABS(VALUE(MID(V50,FIND("|",V50)+1,FIND("-",V50)-FIND("|",V50)-1))-VALUE(MID(V50,FIND("-",V50)+1,10)))))*$D$50)))))*$I50,0)),0)</f>
        <v>0</v>
      </c>
      <c r="X50" s="338"/>
      <c r="Y50" s="363" t="s">
        <v>288</v>
      </c>
      <c r="Z50" s="356" t="n">
        <f aca="false">IFERROR(IF($M50=Y50,($D$8+$D$9+$D$10)*$I50,IF($N50=LEFT(Y50,1),($D$8+MAX(0,IF($D$50=1,$D$9*(1-(ABS($Q50-ABS(VALUE(MID(Y50,FIND("|",Y50)+1,FIND("-",Y50)-FIND("|",Y50)-1))-VALUE(MID(Y50,FIND("-",Y50)+1,10)))))*$D$50),$D$9*(1-(IF($N50="X",ABS($O50-VALUE(MID(Y50,FIND("|",Y50)+1,FIND("-",Y50)-FIND("|",Y50)-1))),ABS($Q50-ABS(VALUE(MID(Y50,FIND("|",Y50)+1,FIND("-",Y50)-FIND("|",Y50)-1))-VALUE(MID(Y50,FIND("-",Y50)+1,10)))))*$D$50)))))*$I50,0)),0)</f>
        <v>0</v>
      </c>
      <c r="AA50" s="338"/>
      <c r="AB50" s="363" t="s">
        <v>264</v>
      </c>
      <c r="AC50" s="356" t="n">
        <f aca="false">IFERROR(IF($M50=AB50,($D$8+$D$9+$D$10)*$I50,IF($N50=LEFT(AB50,1),($D$8+MAX(0,IF($D$50=1,$D$9*(1-(ABS($Q50-ABS(VALUE(MID(AB50,FIND("|",AB50)+1,FIND("-",AB50)-FIND("|",AB50)-1))-VALUE(MID(AB50,FIND("-",AB50)+1,10)))))*$D$50),$D$9*(1-(IF($N50="X",ABS($O50-VALUE(MID(AB50,FIND("|",AB50)+1,FIND("-",AB50)-FIND("|",AB50)-1))),ABS($Q50-ABS(VALUE(MID(AB50,FIND("|",AB50)+1,FIND("-",AB50)-FIND("|",AB50)-1))-VALUE(MID(AB50,FIND("-",AB50)+1,10)))))*$D$50)))))*$I50,0)),0)</f>
        <v>0</v>
      </c>
      <c r="AD50" s="338"/>
      <c r="AE50" s="363" t="s">
        <v>284</v>
      </c>
      <c r="AF50" s="356" t="n">
        <f aca="false">IFERROR(IF($M50=AE50,($D$8+$D$9+$D$10)*$I50,IF($N50=LEFT(AE50,1),($D$8+MAX(0,IF($D$50=1,$D$9*(1-(ABS($Q50-ABS(VALUE(MID(AE50,FIND("|",AE50)+1,FIND("-",AE50)-FIND("|",AE50)-1))-VALUE(MID(AE50,FIND("-",AE50)+1,10)))))*$D$50),$D$9*(1-(IF($N50="X",ABS($O50-VALUE(MID(AE50,FIND("|",AE50)+1,FIND("-",AE50)-FIND("|",AE50)-1))),ABS($Q50-ABS(VALUE(MID(AE50,FIND("|",AE50)+1,FIND("-",AE50)-FIND("|",AE50)-1))-VALUE(MID(AE50,FIND("-",AE50)+1,10)))))*$D$50)))))*$I50,0)),0)</f>
        <v>0</v>
      </c>
      <c r="AG50" s="338"/>
      <c r="AH50" s="363" t="s">
        <v>266</v>
      </c>
      <c r="AI50" s="356" t="n">
        <f aca="false">IFERROR(IF($M50=AH50,($D$8+$D$9+$D$10)*$I50,IF($N50=LEFT(AH50,1),($D$8+MAX(0,IF($D$50=1,$D$9*(1-(ABS($Q50-ABS(VALUE(MID(AH50,FIND("|",AH50)+1,FIND("-",AH50)-FIND("|",AH50)-1))-VALUE(MID(AH50,FIND("-",AH50)+1,10)))))*$D$50),$D$9*(1-(IF($N50="X",ABS($O50-VALUE(MID(AH50,FIND("|",AH50)+1,FIND("-",AH50)-FIND("|",AH50)-1))),ABS($Q50-ABS(VALUE(MID(AH50,FIND("|",AH50)+1,FIND("-",AH50)-FIND("|",AH50)-1))-VALUE(MID(AH50,FIND("-",AH50)+1,10)))))*$D$50)))))*$I50,0)),0)</f>
        <v>0</v>
      </c>
      <c r="AJ50" s="338"/>
      <c r="AK50" s="363" t="s">
        <v>288</v>
      </c>
      <c r="AL50" s="356" t="n">
        <f aca="false">IFERROR(IF($M50=AK50,($D$8+$D$9+$D$10)*$I50,IF($N50=LEFT(AK50,1),($D$8+MAX(0,IF($D$50=1,$D$9*(1-(ABS($Q50-ABS(VALUE(MID(AK50,FIND("|",AK50)+1,FIND("-",AK50)-FIND("|",AK50)-1))-VALUE(MID(AK50,FIND("-",AK50)+1,10)))))*$D$50),$D$9*(1-(IF($N50="X",ABS($O50-VALUE(MID(AK50,FIND("|",AK50)+1,FIND("-",AK50)-FIND("|",AK50)-1))),ABS($Q50-ABS(VALUE(MID(AK50,FIND("|",AK50)+1,FIND("-",AK50)-FIND("|",AK50)-1))-VALUE(MID(AK50,FIND("-",AK50)+1,10)))))*$D$50)))))*$I50,0)),0)</f>
        <v>0</v>
      </c>
      <c r="AM50" s="338"/>
      <c r="AN50" s="363" t="s">
        <v>266</v>
      </c>
      <c r="AO50" s="356" t="n">
        <f aca="false">IFERROR(IF($M50=AN50,($D$8+$D$9+$D$10)*$I50,IF($N50=LEFT(AN50,1),($D$8+MAX(0,IF($D$50=1,$D$9*(1-(ABS($Q50-ABS(VALUE(MID(AN50,FIND("|",AN50)+1,FIND("-",AN50)-FIND("|",AN50)-1))-VALUE(MID(AN50,FIND("-",AN50)+1,10)))))*$D$50),$D$9*(1-(IF($N50="X",ABS($O50-VALUE(MID(AN50,FIND("|",AN50)+1,FIND("-",AN50)-FIND("|",AN50)-1))),ABS($Q50-ABS(VALUE(MID(AN50,FIND("|",AN50)+1,FIND("-",AN50)-FIND("|",AN50)-1))-VALUE(MID(AN50,FIND("-",AN50)+1,10)))))*$D$50)))))*$I50,0)),0)</f>
        <v>0</v>
      </c>
      <c r="AP50" s="338"/>
      <c r="AQ50" s="363" t="s">
        <v>264</v>
      </c>
      <c r="AR50" s="356" t="n">
        <f aca="false">IFERROR(IF($M50=AQ50,($D$8+$D$9+$D$10)*$I50,IF($N50=LEFT(AQ50,1),($D$8+MAX(0,IF($D$50=1,$D$9*(1-(ABS($Q50-ABS(VALUE(MID(AQ50,FIND("|",AQ50)+1,FIND("-",AQ50)-FIND("|",AQ50)-1))-VALUE(MID(AQ50,FIND("-",AQ50)+1,10)))))*$D$50),$D$9*(1-(IF($N50="X",ABS($O50-VALUE(MID(AQ50,FIND("|",AQ50)+1,FIND("-",AQ50)-FIND("|",AQ50)-1))),ABS($Q50-ABS(VALUE(MID(AQ50,FIND("|",AQ50)+1,FIND("-",AQ50)-FIND("|",AQ50)-1))-VALUE(MID(AQ50,FIND("-",AQ50)+1,10)))))*$D$50)))))*$I50,0)),0)</f>
        <v>0</v>
      </c>
      <c r="AS50" s="338"/>
      <c r="AT50" s="363" t="s">
        <v>288</v>
      </c>
      <c r="AU50" s="356" t="n">
        <f aca="false">IFERROR(IF($M50=AT50,($D$8+$D$9+$D$10)*$I50,IF($N50=LEFT(AT50,1),($D$8+MAX(0,IF($D$50=1,$D$9*(1-(ABS($Q50-ABS(VALUE(MID(AT50,FIND("|",AT50)+1,FIND("-",AT50)-FIND("|",AT50)-1))-VALUE(MID(AT50,FIND("-",AT50)+1,10)))))*$D$50),$D$9*(1-(IF($N50="X",ABS($O50-VALUE(MID(AT50,FIND("|",AT50)+1,FIND("-",AT50)-FIND("|",AT50)-1))),ABS($Q50-ABS(VALUE(MID(AT50,FIND("|",AT50)+1,FIND("-",AT50)-FIND("|",AT50)-1))-VALUE(MID(AT50,FIND("-",AT50)+1,10)))))*$D$50)))))*$I50,0)),0)</f>
        <v>0</v>
      </c>
      <c r="AV50" s="338"/>
      <c r="AW50" s="363" t="s">
        <v>266</v>
      </c>
      <c r="AX50" s="356" t="n">
        <f aca="false">IFERROR(IF($M50=AW50,($D$8+$D$9+$D$10)*$I50,IF($N50=LEFT(AW50,1),($D$8+MAX(0,IF($D$50=1,$D$9*(1-(ABS($Q50-ABS(VALUE(MID(AW50,FIND("|",AW50)+1,FIND("-",AW50)-FIND("|",AW50)-1))-VALUE(MID(AW50,FIND("-",AW50)+1,10)))))*$D$50),$D$9*(1-(IF($N50="X",ABS($O50-VALUE(MID(AW50,FIND("|",AW50)+1,FIND("-",AW50)-FIND("|",AW50)-1))),ABS($Q50-ABS(VALUE(MID(AW50,FIND("|",AW50)+1,FIND("-",AW50)-FIND("|",AW50)-1))-VALUE(MID(AW50,FIND("-",AW50)+1,10)))))*$D$50)))))*$I50,0)),0)</f>
        <v>0</v>
      </c>
      <c r="AY50" s="338"/>
      <c r="AZ50" s="363" t="s">
        <v>266</v>
      </c>
      <c r="BA50" s="356" t="n">
        <f aca="false">IFERROR(IF($M50=AZ50,($D$8+$D$9+$D$10)*$I50,IF($N50=LEFT(AZ50,1),($D$8+MAX(0,IF($D$50=1,$D$9*(1-(ABS($Q50-ABS(VALUE(MID(AZ50,FIND("|",AZ50)+1,FIND("-",AZ50)-FIND("|",AZ50)-1))-VALUE(MID(AZ50,FIND("-",AZ50)+1,10)))))*$D$50),$D$9*(1-(IF($N50="X",ABS($O50-VALUE(MID(AZ50,FIND("|",AZ50)+1,FIND("-",AZ50)-FIND("|",AZ50)-1))),ABS($Q50-ABS(VALUE(MID(AZ50,FIND("|",AZ50)+1,FIND("-",AZ50)-FIND("|",AZ50)-1))-VALUE(MID(AZ50,FIND("-",AZ50)+1,10)))))*$D$50)))))*$I50,0)),0)</f>
        <v>0</v>
      </c>
      <c r="BB50" s="338"/>
      <c r="BC50" s="363" t="s">
        <v>284</v>
      </c>
      <c r="BD50" s="356" t="n">
        <f aca="false">IFERROR(IF($M50=BC50,($D$8+$D$9+$D$10)*$I50,IF($N50=LEFT(BC50,1),($D$8+MAX(0,IF($D$50=1,$D$9*(1-(ABS($Q50-ABS(VALUE(MID(BC50,FIND("|",BC50)+1,FIND("-",BC50)-FIND("|",BC50)-1))-VALUE(MID(BC50,FIND("-",BC50)+1,10)))))*$D$50),$D$9*(1-(IF($N50="X",ABS($O50-VALUE(MID(BC50,FIND("|",BC50)+1,FIND("-",BC50)-FIND("|",BC50)-1))),ABS($Q50-ABS(VALUE(MID(BC50,FIND("|",BC50)+1,FIND("-",BC50)-FIND("|",BC50)-1))-VALUE(MID(BC50,FIND("-",BC50)+1,10)))))*$D$50)))))*$I50,0)),0)</f>
        <v>0</v>
      </c>
      <c r="BE50" s="338"/>
      <c r="BF50" s="363" t="s">
        <v>283</v>
      </c>
      <c r="BG50" s="356" t="n">
        <f aca="false">IFERROR(IF($M50=BF50,($D$8+$D$9+$D$10)*$I50,IF($N50=LEFT(BF50,1),($D$8+MAX(0,IF($D$50=1,$D$9*(1-(ABS($Q50-ABS(VALUE(MID(BF50,FIND("|",BF50)+1,FIND("-",BF50)-FIND("|",BF50)-1))-VALUE(MID(BF50,FIND("-",BF50)+1,10)))))*$D$50),$D$9*(1-(IF($N50="X",ABS($O50-VALUE(MID(BF50,FIND("|",BF50)+1,FIND("-",BF50)-FIND("|",BF50)-1))),ABS($Q50-ABS(VALUE(MID(BF50,FIND("|",BF50)+1,FIND("-",BF50)-FIND("|",BF50)-1))-VALUE(MID(BF50,FIND("-",BF50)+1,10)))))*$D$50)))))*$I50,0)),0)</f>
        <v>0</v>
      </c>
      <c r="BH50" s="338"/>
      <c r="BI50" s="363" t="s">
        <v>265</v>
      </c>
      <c r="BJ50" s="356" t="n">
        <f aca="false">IFERROR(IF($M50=BI50,($D$8+$D$9+$D$10)*$I50,IF($N50=LEFT(BI50,1),($D$8+MAX(0,IF($D$50=1,$D$9*(1-(ABS($Q50-ABS(VALUE(MID(BI50,FIND("|",BI50)+1,FIND("-",BI50)-FIND("|",BI50)-1))-VALUE(MID(BI50,FIND("-",BI50)+1,10)))))*$D$50),$D$9*(1-(IF($N50="X",ABS($O50-VALUE(MID(BI50,FIND("|",BI50)+1,FIND("-",BI50)-FIND("|",BI50)-1))),ABS($Q50-ABS(VALUE(MID(BI50,FIND("|",BI50)+1,FIND("-",BI50)-FIND("|",BI50)-1))-VALUE(MID(BI50,FIND("-",BI50)+1,10)))))*$D$50)))))*$I50,0)),0)</f>
        <v>0</v>
      </c>
      <c r="BK50" s="338"/>
      <c r="BL50" s="363" t="s">
        <v>266</v>
      </c>
      <c r="BM50" s="356" t="n">
        <f aca="false">IFERROR(IF($M50=BL50,($D$8+$D$9+$D$10)*$I50,IF($N50=LEFT(BL50,1),($D$8+MAX(0,IF($D$50=1,$D$9*(1-(ABS($Q50-ABS(VALUE(MID(BL50,FIND("|",BL50)+1,FIND("-",BL50)-FIND("|",BL50)-1))-VALUE(MID(BL50,FIND("-",BL50)+1,10)))))*$D$50),$D$9*(1-(IF($N50="X",ABS($O50-VALUE(MID(BL50,FIND("|",BL50)+1,FIND("-",BL50)-FIND("|",BL50)-1))),ABS($Q50-ABS(VALUE(MID(BL50,FIND("|",BL50)+1,FIND("-",BL50)-FIND("|",BL50)-1))-VALUE(MID(BL50,FIND("-",BL50)+1,10)))))*$D$50)))))*$I50,0)),0)</f>
        <v>0</v>
      </c>
      <c r="BN50" s="338"/>
      <c r="BO50" s="363" t="s">
        <v>272</v>
      </c>
      <c r="BP50" s="356" t="n">
        <f aca="false">IFERROR(IF($M50=BO50,($D$8+$D$9+$D$10)*$I50,IF($N50=LEFT(BO50,1),($D$8+MAX(0,IF($D$50=1,$D$9*(1-(ABS($Q50-ABS(VALUE(MID(BO50,FIND("|",BO50)+1,FIND("-",BO50)-FIND("|",BO50)-1))-VALUE(MID(BO50,FIND("-",BO50)+1,10)))))*$D$50),$D$9*(1-(IF($N50="X",ABS($O50-VALUE(MID(BO50,FIND("|",BO50)+1,FIND("-",BO50)-FIND("|",BO50)-1))),ABS($Q50-ABS(VALUE(MID(BO50,FIND("|",BO50)+1,FIND("-",BO50)-FIND("|",BO50)-1))-VALUE(MID(BO50,FIND("-",BO50)+1,10)))))*$D$50)))))*$I50,0)),0)</f>
        <v>0</v>
      </c>
      <c r="BQ50" s="338"/>
      <c r="BR50" s="363" t="s">
        <v>272</v>
      </c>
      <c r="BS50" s="356" t="n">
        <f aca="false">IFERROR(IF($M50=BR50,($D$8+$D$9+$D$10)*$I50,IF($N50=LEFT(BR50,1),($D$8+MAX(0,IF($D$50=1,$D$9*(1-(ABS($Q50-ABS(VALUE(MID(BR50,FIND("|",BR50)+1,FIND("-",BR50)-FIND("|",BR50)-1))-VALUE(MID(BR50,FIND("-",BR50)+1,10)))))*$D$50),$D$9*(1-(IF($N50="X",ABS($O50-VALUE(MID(BR50,FIND("|",BR50)+1,FIND("-",BR50)-FIND("|",BR50)-1))),ABS($Q50-ABS(VALUE(MID(BR50,FIND("|",BR50)+1,FIND("-",BR50)-FIND("|",BR50)-1))-VALUE(MID(BR50,FIND("-",BR50)+1,10)))))*$D$50)))))*$I50,0)),0)</f>
        <v>0</v>
      </c>
      <c r="BT50" s="338"/>
      <c r="BU50" s="363"/>
      <c r="BV50" s="356" t="n">
        <f aca="false">IFERROR(IF($M50=BU50,($D$8+$D$9+$D$10)*$I50,IF($N50=LEFT(BU50,1),($D$8+MAX(0,IF($D$50=1,$D$9*(1-(ABS($Q50-ABS(VALUE(MID(BU50,FIND("|",BU50)+1,FIND("-",BU50)-FIND("|",BU50)-1))-VALUE(MID(BU50,FIND("-",BU50)+1,10)))))*$D$50),$D$9*(1-(IF($N50="X",ABS($O50-VALUE(MID(BU50,FIND("|",BU50)+1,FIND("-",BU50)-FIND("|",BU50)-1))),ABS($Q50-ABS(VALUE(MID(BU50,FIND("|",BU50)+1,FIND("-",BU50)-FIND("|",BU50)-1))-VALUE(MID(BU50,FIND("-",BU50)+1,10)))))*$D$50)))))*$I50,0)),0)</f>
        <v>0</v>
      </c>
      <c r="BW50" s="338"/>
      <c r="BX50" s="363"/>
      <c r="BY50" s="356" t="n">
        <f aca="false">IFERROR(IF($M50=BX50,($D$8+$D$9+$D$10)*$I50,IF($N50=LEFT(BX50,1),($D$8+MAX(0,IF($D$50=1,$D$9*(1-(ABS($Q50-ABS(VALUE(MID(BX50,FIND("|",BX50)+1,FIND("-",BX50)-FIND("|",BX50)-1))-VALUE(MID(BX50,FIND("-",BX50)+1,10)))))*$D$50),$D$9*(1-(IF($N50="X",ABS($O50-VALUE(MID(BX50,FIND("|",BX50)+1,FIND("-",BX50)-FIND("|",BX50)-1))),ABS($Q50-ABS(VALUE(MID(BX50,FIND("|",BX50)+1,FIND("-",BX50)-FIND("|",BX50)-1))-VALUE(MID(BX50,FIND("-",BX50)+1,10)))))*$D$50)))))*$I50,0)),0)</f>
        <v>0</v>
      </c>
      <c r="BZ50" s="338"/>
      <c r="CA50" s="363"/>
      <c r="CB50" s="356" t="n">
        <f aca="false">IFERROR(IF($M50=CA50,($D$8+$D$9+$D$10)*$I50,IF($N50=LEFT(CA50,1),($D$8+MAX(0,IF($D$50=1,$D$9*(1-(ABS($Q50-ABS(VALUE(MID(CA50,FIND("|",CA50)+1,FIND("-",CA50)-FIND("|",CA50)-1))-VALUE(MID(CA50,FIND("-",CA50)+1,10)))))*$D$50),$D$9*(1-(IF($N50="X",ABS($O50-VALUE(MID(CA50,FIND("|",CA50)+1,FIND("-",CA50)-FIND("|",CA50)-1))),ABS($Q50-ABS(VALUE(MID(CA50,FIND("|",CA50)+1,FIND("-",CA50)-FIND("|",CA50)-1))-VALUE(MID(CA50,FIND("-",CA50)+1,10)))))*$D$50)))))*$I50,0)),0)</f>
        <v>0</v>
      </c>
      <c r="CC50" s="338"/>
      <c r="CD50" s="363"/>
      <c r="CE50" s="356" t="n">
        <f aca="false">IFERROR(IF($M50=CD50,($D$8+$D$9+$D$10)*$I50,IF($N50=LEFT(CD50,1),($D$8+MAX(0,IF($D$50=1,$D$9*(1-(ABS($Q50-ABS(VALUE(MID(CD50,FIND("|",CD50)+1,FIND("-",CD50)-FIND("|",CD50)-1))-VALUE(MID(CD50,FIND("-",CD50)+1,10)))))*$D$50),$D$9*(1-(IF($N50="X",ABS($O50-VALUE(MID(CD50,FIND("|",CD50)+1,FIND("-",CD50)-FIND("|",CD50)-1))),ABS($Q50-ABS(VALUE(MID(CD50,FIND("|",CD50)+1,FIND("-",CD50)-FIND("|",CD50)-1))-VALUE(MID(CD50,FIND("-",CD50)+1,10)))))*$D$50)))))*$I50,0)),0)</f>
        <v>0</v>
      </c>
      <c r="CF50" s="338"/>
      <c r="CG50" s="363"/>
      <c r="CH50" s="356" t="n">
        <f aca="false">IFERROR(IF($M50=CG50,($D$8+$D$9+$D$10)*$I50,IF($N50=LEFT(CG50,1),($D$8+MAX(0,IF($D$50=1,$D$9*(1-(ABS($Q50-ABS(VALUE(MID(CG50,FIND("|",CG50)+1,FIND("-",CG50)-FIND("|",CG50)-1))-VALUE(MID(CG50,FIND("-",CG50)+1,10)))))*$D$50),$D$9*(1-(IF($N50="X",ABS($O50-VALUE(MID(CG50,FIND("|",CG50)+1,FIND("-",CG50)-FIND("|",CG50)-1))),ABS($Q50-ABS(VALUE(MID(CG50,FIND("|",CG50)+1,FIND("-",CG50)-FIND("|",CG50)-1))-VALUE(MID(CG50,FIND("-",CG50)+1,10)))))*$D$50)))))*$I50,0)),0)</f>
        <v>0</v>
      </c>
      <c r="CI50" s="338"/>
      <c r="CJ50" s="363"/>
      <c r="CK50" s="356" t="n">
        <f aca="false">IFERROR(IF($M50=CJ50,($D$8+$D$9+$D$10)*$I50,IF($N50=LEFT(CJ50,1),($D$8+MAX(0,IF($D$50=1,$D$9*(1-(ABS($Q50-ABS(VALUE(MID(CJ50,FIND("|",CJ50)+1,FIND("-",CJ50)-FIND("|",CJ50)-1))-VALUE(MID(CJ50,FIND("-",CJ50)+1,10)))))*$D$50),$D$9*(1-(IF($N50="X",ABS($O50-VALUE(MID(CJ50,FIND("|",CJ50)+1,FIND("-",CJ50)-FIND("|",CJ50)-1))),ABS($Q50-ABS(VALUE(MID(CJ50,FIND("|",CJ50)+1,FIND("-",CJ50)-FIND("|",CJ50)-1))-VALUE(MID(CJ50,FIND("-",CJ50)+1,10)))))*$D$50)))))*$I50,0)),0)</f>
        <v>0</v>
      </c>
      <c r="CL50" s="338"/>
      <c r="CM50" s="363"/>
      <c r="CN50" s="356" t="n">
        <f aca="false">IFERROR(IF($M50=CM50,($D$8+$D$9+$D$10)*$I50,IF($N50=LEFT(CM50,1),($D$8+MAX(0,IF($D$50=1,$D$9*(1-(ABS($Q50-ABS(VALUE(MID(CM50,FIND("|",CM50)+1,FIND("-",CM50)-FIND("|",CM50)-1))-VALUE(MID(CM50,FIND("-",CM50)+1,10)))))*$D$50),$D$9*(1-(IF($N50="X",ABS($O50-VALUE(MID(CM50,FIND("|",CM50)+1,FIND("-",CM50)-FIND("|",CM50)-1))),ABS($Q50-ABS(VALUE(MID(CM50,FIND("|",CM50)+1,FIND("-",CM50)-FIND("|",CM50)-1))-VALUE(MID(CM50,FIND("-",CM50)+1,10)))))*$D$50)))))*$I50,0)),0)</f>
        <v>0</v>
      </c>
      <c r="CO50" s="338"/>
      <c r="CP50" s="363"/>
      <c r="CQ50" s="356" t="n">
        <f aca="false">IFERROR(IF($M50=CP50,($D$8+$D$9+$D$10)*$I50,IF($N50=LEFT(CP50,1),($D$8+MAX(0,IF($D$50=1,$D$9*(1-(ABS($Q50-ABS(VALUE(MID(CP50,FIND("|",CP50)+1,FIND("-",CP50)-FIND("|",CP50)-1))-VALUE(MID(CP50,FIND("-",CP50)+1,10)))))*$D$50),$D$9*(1-(IF($N50="X",ABS($O50-VALUE(MID(CP50,FIND("|",CP50)+1,FIND("-",CP50)-FIND("|",CP50)-1))),ABS($Q50-ABS(VALUE(MID(CP50,FIND("|",CP50)+1,FIND("-",CP50)-FIND("|",CP50)-1))-VALUE(MID(CP50,FIND("-",CP50)+1,10)))))*$D$50)))))*$I50,0)),0)</f>
        <v>0</v>
      </c>
      <c r="CR50" s="338"/>
      <c r="CS50" s="363"/>
      <c r="CT50" s="356" t="n">
        <f aca="false">IFERROR(IF($M50=CS50,($D$8+$D$9+$D$10)*$I50,IF($N50=LEFT(CS50,1),($D$8+MAX(0,IF($D$50=1,$D$9*(1-(ABS($Q50-ABS(VALUE(MID(CS50,FIND("|",CS50)+1,FIND("-",CS50)-FIND("|",CS50)-1))-VALUE(MID(CS50,FIND("-",CS50)+1,10)))))*$D$50),$D$9*(1-(IF($N50="X",ABS($O50-VALUE(MID(CS50,FIND("|",CS50)+1,FIND("-",CS50)-FIND("|",CS50)-1))),ABS($Q50-ABS(VALUE(MID(CS50,FIND("|",CS50)+1,FIND("-",CS50)-FIND("|",CS50)-1))-VALUE(MID(CS50,FIND("-",CS50)+1,10)))))*$D$50)))))*$I50,0)),0)</f>
        <v>0</v>
      </c>
      <c r="CU50" s="338"/>
      <c r="CV50" s="363"/>
      <c r="CW50" s="356" t="n">
        <f aca="false">IFERROR(IF($M50=CV50,($D$8+$D$9+$D$10)*$I50,IF($N50=LEFT(CV50,1),($D$8+MAX(0,IF($D$50=1,$D$9*(1-(ABS($Q50-ABS(VALUE(MID(CV50,FIND("|",CV50)+1,FIND("-",CV50)-FIND("|",CV50)-1))-VALUE(MID(CV50,FIND("-",CV50)+1,10)))))*$D$50),$D$9*(1-(IF($N50="X",ABS($O50-VALUE(MID(CV50,FIND("|",CV50)+1,FIND("-",CV50)-FIND("|",CV50)-1))),ABS($Q50-ABS(VALUE(MID(CV50,FIND("|",CV50)+1,FIND("-",CV50)-FIND("|",CV50)-1))-VALUE(MID(CV50,FIND("-",CV50)+1,10)))))*$D$50)))))*$I50,0)),0)</f>
        <v>0</v>
      </c>
      <c r="CX50" s="338"/>
      <c r="CY50" s="363"/>
      <c r="CZ50" s="356" t="n">
        <f aca="false">IFERROR(IF($M50=CY50,($D$8+$D$9+$D$10)*$I50,IF($N50=LEFT(CY50,1),($D$8+MAX(0,IF($D$50=1,$D$9*(1-(ABS($Q50-ABS(VALUE(MID(CY50,FIND("|",CY50)+1,FIND("-",CY50)-FIND("|",CY50)-1))-VALUE(MID(CY50,FIND("-",CY50)+1,10)))))*$D$50),$D$9*(1-(IF($N50="X",ABS($O50-VALUE(MID(CY50,FIND("|",CY50)+1,FIND("-",CY50)-FIND("|",CY50)-1))),ABS($Q50-ABS(VALUE(MID(CY50,FIND("|",CY50)+1,FIND("-",CY50)-FIND("|",CY50)-1))-VALUE(MID(CY50,FIND("-",CY50)+1,10)))))*$D$50)))))*$I50,0)),0)</f>
        <v>0</v>
      </c>
      <c r="DA50" s="338"/>
      <c r="DB50" s="363"/>
      <c r="DC50" s="356" t="n">
        <f aca="false">IFERROR(IF($M50=DB50,($D$8+$D$9+$D$10)*$I50,IF($N50=LEFT(DB50,1),($D$8+MAX(0,IF($D$50=1,$D$9*(1-(ABS($Q50-ABS(VALUE(MID(DB50,FIND("|",DB50)+1,FIND("-",DB50)-FIND("|",DB50)-1))-VALUE(MID(DB50,FIND("-",DB50)+1,10)))))*$D$50),$D$9*(1-(IF($N50="X",ABS($O50-VALUE(MID(DB50,FIND("|",DB50)+1,FIND("-",DB50)-FIND("|",DB50)-1))),ABS($Q50-ABS(VALUE(MID(DB50,FIND("|",DB50)+1,FIND("-",DB50)-FIND("|",DB50)-1))-VALUE(MID(DB50,FIND("-",DB50)+1,10)))))*$D$50)))))*$I50,0)),0)</f>
        <v>0</v>
      </c>
      <c r="DD50" s="338"/>
      <c r="DE50" s="363"/>
      <c r="DF50" s="356" t="n">
        <f aca="false">IFERROR(IF($M50=DE50,($D$8+$D$9+$D$10)*$I50,IF($N50=LEFT(DE50,1),($D$8+MAX(0,IF($D$50=1,$D$9*(1-(ABS($Q50-ABS(VALUE(MID(DE50,FIND("|",DE50)+1,FIND("-",DE50)-FIND("|",DE50)-1))-VALUE(MID(DE50,FIND("-",DE50)+1,10)))))*$D$50),$D$9*(1-(IF($N50="X",ABS($O50-VALUE(MID(DE50,FIND("|",DE50)+1,FIND("-",DE50)-FIND("|",DE50)-1))),ABS($Q50-ABS(VALUE(MID(DE50,FIND("|",DE50)+1,FIND("-",DE50)-FIND("|",DE50)-1))-VALUE(MID(DE50,FIND("-",DE50)+1,10)))))*$D$50)))))*$I50,0)),0)</f>
        <v>0</v>
      </c>
      <c r="DG50" s="338"/>
      <c r="DH50" s="363"/>
      <c r="DI50" s="356" t="n">
        <f aca="false">IFERROR(IF($M50=DH50,($D$8+$D$9+$D$10)*$I50,IF($N50=LEFT(DH50,1),($D$8+MAX(0,IF($D$50=1,$D$9*(1-(ABS($Q50-ABS(VALUE(MID(DH50,FIND("|",DH50)+1,FIND("-",DH50)-FIND("|",DH50)-1))-VALUE(MID(DH50,FIND("-",DH50)+1,10)))))*$D$50),$D$9*(1-(IF($N50="X",ABS($O50-VALUE(MID(DH50,FIND("|",DH50)+1,FIND("-",DH50)-FIND("|",DH50)-1))),ABS($Q50-ABS(VALUE(MID(DH50,FIND("|",DH50)+1,FIND("-",DH50)-FIND("|",DH50)-1))-VALUE(MID(DH50,FIND("-",DH50)+1,10)))))*$D$50)))))*$I50,0)),0)</f>
        <v>0</v>
      </c>
      <c r="DJ50" s="338"/>
      <c r="DK50" s="363"/>
      <c r="DL50" s="356" t="n">
        <f aca="false">IFERROR(IF($M50=DK50,($D$8+$D$9+$D$10)*$I50,IF($N50=LEFT(DK50,1),($D$8+MAX(0,IF($D$50=1,$D$9*(1-(ABS($Q50-ABS(VALUE(MID(DK50,FIND("|",DK50)+1,FIND("-",DK50)-FIND("|",DK50)-1))-VALUE(MID(DK50,FIND("-",DK50)+1,10)))))*$D$50),$D$9*(1-(IF($N50="X",ABS($O50-VALUE(MID(DK50,FIND("|",DK50)+1,FIND("-",DK50)-FIND("|",DK50)-1))),ABS($Q50-ABS(VALUE(MID(DK50,FIND("|",DK50)+1,FIND("-",DK50)-FIND("|",DK50)-1))-VALUE(MID(DK50,FIND("-",DK50)+1,10)))))*$D$50)))))*$I50,0)),0)</f>
        <v>0</v>
      </c>
      <c r="DM50" s="338"/>
      <c r="DN50" s="363"/>
      <c r="DO50" s="356" t="n">
        <f aca="false">IFERROR(IF($M50=DN50,($D$8+$D$9+$D$10)*$I50,IF($N50=LEFT(DN50,1),($D$8+MAX(0,IF($D$50=1,$D$9*(1-(ABS($Q50-ABS(VALUE(MID(DN50,FIND("|",DN50)+1,FIND("-",DN50)-FIND("|",DN50)-1))-VALUE(MID(DN50,FIND("-",DN50)+1,10)))))*$D$50),$D$9*(1-(IF($N50="X",ABS($O50-VALUE(MID(DN50,FIND("|",DN50)+1,FIND("-",DN50)-FIND("|",DN50)-1))),ABS($Q50-ABS(VALUE(MID(DN50,FIND("|",DN50)+1,FIND("-",DN50)-FIND("|",DN50)-1))-VALUE(MID(DN50,FIND("-",DN50)+1,10)))))*$D$50)))))*$I50,0)),0)</f>
        <v>0</v>
      </c>
      <c r="DP50" s="338"/>
      <c r="DQ50" s="363"/>
      <c r="DR50" s="356" t="n">
        <f aca="false">IFERROR(IF($M50=DQ50,($D$8+$D$9+$D$10)*$I50,IF($N50=LEFT(DQ50,1),($D$8+MAX(0,IF($D$50=1,$D$9*(1-(ABS($Q50-ABS(VALUE(MID(DQ50,FIND("|",DQ50)+1,FIND("-",DQ50)-FIND("|",DQ50)-1))-VALUE(MID(DQ50,FIND("-",DQ50)+1,10)))))*$D$50),$D$9*(1-(IF($N50="X",ABS($O50-VALUE(MID(DQ50,FIND("|",DQ50)+1,FIND("-",DQ50)-FIND("|",DQ50)-1))),ABS($Q50-ABS(VALUE(MID(DQ50,FIND("|",DQ50)+1,FIND("-",DQ50)-FIND("|",DQ50)-1))-VALUE(MID(DQ50,FIND("-",DQ50)+1,10)))))*$D$50)))))*$I50,0)),0)</f>
        <v>0</v>
      </c>
      <c r="DS50" s="338"/>
      <c r="DT50" s="363"/>
      <c r="DU50" s="356" t="n">
        <f aca="false">IFERROR(IF($M50=DT50,($D$8+$D$9+$D$10)*$I50,IF($N50=LEFT(DT50,1),($D$8+MAX(0,IF($D$50=1,$D$9*(1-(ABS($Q50-ABS(VALUE(MID(DT50,FIND("|",DT50)+1,FIND("-",DT50)-FIND("|",DT50)-1))-VALUE(MID(DT50,FIND("-",DT50)+1,10)))))*$D$50),$D$9*(1-(IF($N50="X",ABS($O50-VALUE(MID(DT50,FIND("|",DT50)+1,FIND("-",DT50)-FIND("|",DT50)-1))),ABS($Q50-ABS(VALUE(MID(DT50,FIND("|",DT50)+1,FIND("-",DT50)-FIND("|",DT50)-1))-VALUE(MID(DT50,FIND("-",DT50)+1,10)))))*$D$50)))))*$I50,0)),0)</f>
        <v>0</v>
      </c>
      <c r="DV50" s="338"/>
      <c r="DW50" s="363"/>
      <c r="DX50" s="356" t="n">
        <f aca="false">IFERROR(IF($M50=DW50,($D$8+$D$9+$D$10)*$I50,IF($N50=LEFT(DW50,1),($D$8+MAX(0,IF($D$50=1,$D$9*(1-(ABS($Q50-ABS(VALUE(MID(DW50,FIND("|",DW50)+1,FIND("-",DW50)-FIND("|",DW50)-1))-VALUE(MID(DW50,FIND("-",DW50)+1,10)))))*$D$50),$D$9*(1-(IF($N50="X",ABS($O50-VALUE(MID(DW50,FIND("|",DW50)+1,FIND("-",DW50)-FIND("|",DW50)-1))),ABS($Q50-ABS(VALUE(MID(DW50,FIND("|",DW50)+1,FIND("-",DW50)-FIND("|",DW50)-1))-VALUE(MID(DW50,FIND("-",DW50)+1,10)))))*$D$50)))))*$I50,0)),0)</f>
        <v>0</v>
      </c>
      <c r="DY50" s="338"/>
      <c r="DZ50" s="363"/>
      <c r="EA50" s="356" t="n">
        <f aca="false">IFERROR(IF($M50=DZ50,($D$8+$D$9+$D$10)*$I50,IF($N50=LEFT(DZ50,1),($D$8+MAX(0,IF($D$50=1,$D$9*(1-(ABS($Q50-ABS(VALUE(MID(DZ50,FIND("|",DZ50)+1,FIND("-",DZ50)-FIND("|",DZ50)-1))-VALUE(MID(DZ50,FIND("-",DZ50)+1,10)))))*$D$50),$D$9*(1-(IF($N50="X",ABS($O50-VALUE(MID(DZ50,FIND("|",DZ50)+1,FIND("-",DZ50)-FIND("|",DZ50)-1))),ABS($Q50-ABS(VALUE(MID(DZ50,FIND("|",DZ50)+1,FIND("-",DZ50)-FIND("|",DZ50)-1))-VALUE(MID(DZ50,FIND("-",DZ50)+1,10)))))*$D$50)))))*$I50,0)),0)</f>
        <v>0</v>
      </c>
      <c r="EB50" s="338"/>
      <c r="EC50" s="363"/>
      <c r="ED50" s="356" t="n">
        <f aca="false">IFERROR(IF($M50=EC50,($D$8+$D$9+$D$10)*$I50,IF($N50=LEFT(EC50,1),($D$8+MAX(0,IF($D$50=1,$D$9*(1-(ABS($Q50-ABS(VALUE(MID(EC50,FIND("|",EC50)+1,FIND("-",EC50)-FIND("|",EC50)-1))-VALUE(MID(EC50,FIND("-",EC50)+1,10)))))*$D$50),$D$9*(1-(IF($N50="X",ABS($O50-VALUE(MID(EC50,FIND("|",EC50)+1,FIND("-",EC50)-FIND("|",EC50)-1))),ABS($Q50-ABS(VALUE(MID(EC50,FIND("|",EC50)+1,FIND("-",EC50)-FIND("|",EC50)-1))-VALUE(MID(EC50,FIND("-",EC50)+1,10)))))*$D$50)))))*$I50,0)),0)</f>
        <v>0</v>
      </c>
      <c r="EE50" s="338"/>
      <c r="EF50" s="363"/>
      <c r="EG50" s="356" t="n">
        <f aca="false">IFERROR(IF($M50=EF50,($D$8+$D$9+$D$10)*$I50,IF($N50=LEFT(EF50,1),($D$8+MAX(0,IF($D$50=1,$D$9*(1-(ABS($Q50-ABS(VALUE(MID(EF50,FIND("|",EF50)+1,FIND("-",EF50)-FIND("|",EF50)-1))-VALUE(MID(EF50,FIND("-",EF50)+1,10)))))*$D$50),$D$9*(1-(IF($N50="X",ABS($O50-VALUE(MID(EF50,FIND("|",EF50)+1,FIND("-",EF50)-FIND("|",EF50)-1))),ABS($Q50-ABS(VALUE(MID(EF50,FIND("|",EF50)+1,FIND("-",EF50)-FIND("|",EF50)-1))-VALUE(MID(EF50,FIND("-",EF50)+1,10)))))*$D$50)))))*$I50,0)),0)</f>
        <v>0</v>
      </c>
      <c r="EH50" s="338"/>
      <c r="EI50" s="338"/>
    </row>
    <row r="51" customFormat="false" ht="15" hidden="false" customHeight="false" outlineLevel="0" collapsed="false">
      <c r="A51" s="327"/>
      <c r="B51" s="327"/>
      <c r="C51" s="248"/>
      <c r="D51" s="248"/>
      <c r="E51" s="379"/>
      <c r="F51" s="343" t="n">
        <f aca="false">SUM($D$8:$D$10)*I51</f>
        <v>17</v>
      </c>
      <c r="G51" s="343" t="n">
        <f aca="false">VLOOKUP(H51,Equipos!$Q$1:$R$25,2,0)</f>
        <v>14</v>
      </c>
      <c r="H51" s="351" t="n">
        <f aca="false">TRUNC(INDEX(WORLDCUP!$X$4:$X$147,MATCH(ADMIN!K51,WORLDCUP!$DT$4:$DT$147,0))+INDEX(Horarios!$R$3:$R$86,MATCH(Horarios!$C$3,Horarios!$P$3:$P$86,0))/24)</f>
        <v>46197</v>
      </c>
      <c r="I51" s="352" t="n">
        <v>1</v>
      </c>
      <c r="J51" s="353" t="s">
        <v>310</v>
      </c>
      <c r="K51" s="354" t="str">
        <f aca="false">CONCATENATE(WORLDCUP!AA87,"-",WORLDCUP!AF87)</f>
        <v>Colombia-RD Congo</v>
      </c>
      <c r="L51" s="354"/>
      <c r="M51" s="359" t="str">
        <f aca="false">IF(OR(WORLDCUP!AC87="",WORLDCUP!AD87=""),"-",N51&amp;"|"&amp;O51&amp;"-"&amp;P51)</f>
        <v>-</v>
      </c>
      <c r="N51" s="332" t="str">
        <f aca="false">IF(OR(WORLDCUP!AC87="",WORLDCUP!AD87=""),"",IF(WORLDCUP!AC87&gt;WORLDCUP!AD87,"1",IF(WORLDCUP!AC87&lt;WORLDCUP!AD87,"2","X")))</f>
        <v/>
      </c>
      <c r="O51" s="332" t="n">
        <f aca="false">WORLDCUP!AC87</f>
        <v>0</v>
      </c>
      <c r="P51" s="332" t="n">
        <f aca="false">WORLDCUP!AD87</f>
        <v>0</v>
      </c>
      <c r="Q51" s="332" t="n">
        <f aca="false">ABS(O51-P51)</f>
        <v>0</v>
      </c>
      <c r="R51" s="327"/>
      <c r="S51" s="363" t="s">
        <v>283</v>
      </c>
      <c r="T51" s="356" t="n">
        <f aca="false">IFERROR(IF($M51=S51,($D$8+$D$9+$D$10)*$I51,IF($N51=LEFT(S51,1),($D$8+MAX(0,IF($D$50=1,$D$9*(1-(ABS($Q51-ABS(VALUE(MID(S51,FIND("|",S51)+1,FIND("-",S51)-FIND("|",S51)-1))-VALUE(MID(S51,FIND("-",S51)+1,10)))))*$D$50),$D$9*(1-(IF($N51="X",ABS($O51-VALUE(MID(S51,FIND("|",S51)+1,FIND("-",S51)-FIND("|",S51)-1))),ABS($Q51-ABS(VALUE(MID(S51,FIND("|",S51)+1,FIND("-",S51)-FIND("|",S51)-1))-VALUE(MID(S51,FIND("-",S51)+1,10)))))*$D$50)))))*$I51,0)),0)</f>
        <v>0</v>
      </c>
      <c r="U51" s="338"/>
      <c r="V51" s="363" t="s">
        <v>266</v>
      </c>
      <c r="W51" s="356" t="n">
        <f aca="false">IFERROR(IF($M51=V51,($D$8+$D$9+$D$10)*$I51,IF($N51=LEFT(V51,1),($D$8+MAX(0,IF($D$50=1,$D$9*(1-(ABS($Q51-ABS(VALUE(MID(V51,FIND("|",V51)+1,FIND("-",V51)-FIND("|",V51)-1))-VALUE(MID(V51,FIND("-",V51)+1,10)))))*$D$50),$D$9*(1-(IF($N51="X",ABS($O51-VALUE(MID(V51,FIND("|",V51)+1,FIND("-",V51)-FIND("|",V51)-1))),ABS($Q51-ABS(VALUE(MID(V51,FIND("|",V51)+1,FIND("-",V51)-FIND("|",V51)-1))-VALUE(MID(V51,FIND("-",V51)+1,10)))))*$D$50)))))*$I51,0)),0)</f>
        <v>0</v>
      </c>
      <c r="X51" s="338"/>
      <c r="Y51" s="363" t="s">
        <v>267</v>
      </c>
      <c r="Z51" s="356" t="n">
        <f aca="false">IFERROR(IF($M51=Y51,($D$8+$D$9+$D$10)*$I51,IF($N51=LEFT(Y51,1),($D$8+MAX(0,IF($D$50=1,$D$9*(1-(ABS($Q51-ABS(VALUE(MID(Y51,FIND("|",Y51)+1,FIND("-",Y51)-FIND("|",Y51)-1))-VALUE(MID(Y51,FIND("-",Y51)+1,10)))))*$D$50),$D$9*(1-(IF($N51="X",ABS($O51-VALUE(MID(Y51,FIND("|",Y51)+1,FIND("-",Y51)-FIND("|",Y51)-1))),ABS($Q51-ABS(VALUE(MID(Y51,FIND("|",Y51)+1,FIND("-",Y51)-FIND("|",Y51)-1))-VALUE(MID(Y51,FIND("-",Y51)+1,10)))))*$D$50)))))*$I51,0)),0)</f>
        <v>0</v>
      </c>
      <c r="AA51" s="338"/>
      <c r="AB51" s="363" t="s">
        <v>265</v>
      </c>
      <c r="AC51" s="356" t="n">
        <f aca="false">IFERROR(IF($M51=AB51,($D$8+$D$9+$D$10)*$I51,IF($N51=LEFT(AB51,1),($D$8+MAX(0,IF($D$50=1,$D$9*(1-(ABS($Q51-ABS(VALUE(MID(AB51,FIND("|",AB51)+1,FIND("-",AB51)-FIND("|",AB51)-1))-VALUE(MID(AB51,FIND("-",AB51)+1,10)))))*$D$50),$D$9*(1-(IF($N51="X",ABS($O51-VALUE(MID(AB51,FIND("|",AB51)+1,FIND("-",AB51)-FIND("|",AB51)-1))),ABS($Q51-ABS(VALUE(MID(AB51,FIND("|",AB51)+1,FIND("-",AB51)-FIND("|",AB51)-1))-VALUE(MID(AB51,FIND("-",AB51)+1,10)))))*$D$50)))))*$I51,0)),0)</f>
        <v>0</v>
      </c>
      <c r="AD51" s="338"/>
      <c r="AE51" s="363" t="s">
        <v>266</v>
      </c>
      <c r="AF51" s="356" t="n">
        <f aca="false">IFERROR(IF($M51=AE51,($D$8+$D$9+$D$10)*$I51,IF($N51=LEFT(AE51,1),($D$8+MAX(0,IF($D$50=1,$D$9*(1-(ABS($Q51-ABS(VALUE(MID(AE51,FIND("|",AE51)+1,FIND("-",AE51)-FIND("|",AE51)-1))-VALUE(MID(AE51,FIND("-",AE51)+1,10)))))*$D$50),$D$9*(1-(IF($N51="X",ABS($O51-VALUE(MID(AE51,FIND("|",AE51)+1,FIND("-",AE51)-FIND("|",AE51)-1))),ABS($Q51-ABS(VALUE(MID(AE51,FIND("|",AE51)+1,FIND("-",AE51)-FIND("|",AE51)-1))-VALUE(MID(AE51,FIND("-",AE51)+1,10)))))*$D$50)))))*$I51,0)),0)</f>
        <v>0</v>
      </c>
      <c r="AG51" s="338"/>
      <c r="AH51" s="363" t="s">
        <v>266</v>
      </c>
      <c r="AI51" s="356" t="n">
        <f aca="false">IFERROR(IF($M51=AH51,($D$8+$D$9+$D$10)*$I51,IF($N51=LEFT(AH51,1),($D$8+MAX(0,IF($D$50=1,$D$9*(1-(ABS($Q51-ABS(VALUE(MID(AH51,FIND("|",AH51)+1,FIND("-",AH51)-FIND("|",AH51)-1))-VALUE(MID(AH51,FIND("-",AH51)+1,10)))))*$D$50),$D$9*(1-(IF($N51="X",ABS($O51-VALUE(MID(AH51,FIND("|",AH51)+1,FIND("-",AH51)-FIND("|",AH51)-1))),ABS($Q51-ABS(VALUE(MID(AH51,FIND("|",AH51)+1,FIND("-",AH51)-FIND("|",AH51)-1))-VALUE(MID(AH51,FIND("-",AH51)+1,10)))))*$D$50)))))*$I51,0)),0)</f>
        <v>0</v>
      </c>
      <c r="AJ51" s="338"/>
      <c r="AK51" s="363" t="s">
        <v>266</v>
      </c>
      <c r="AL51" s="356" t="n">
        <f aca="false">IFERROR(IF($M51=AK51,($D$8+$D$9+$D$10)*$I51,IF($N51=LEFT(AK51,1),($D$8+MAX(0,IF($D$50=1,$D$9*(1-(ABS($Q51-ABS(VALUE(MID(AK51,FIND("|",AK51)+1,FIND("-",AK51)-FIND("|",AK51)-1))-VALUE(MID(AK51,FIND("-",AK51)+1,10)))))*$D$50),$D$9*(1-(IF($N51="X",ABS($O51-VALUE(MID(AK51,FIND("|",AK51)+1,FIND("-",AK51)-FIND("|",AK51)-1))),ABS($Q51-ABS(VALUE(MID(AK51,FIND("|",AK51)+1,FIND("-",AK51)-FIND("|",AK51)-1))-VALUE(MID(AK51,FIND("-",AK51)+1,10)))))*$D$50)))))*$I51,0)),0)</f>
        <v>0</v>
      </c>
      <c r="AM51" s="338"/>
      <c r="AN51" s="363" t="s">
        <v>264</v>
      </c>
      <c r="AO51" s="356" t="n">
        <f aca="false">IFERROR(IF($M51=AN51,($D$8+$D$9+$D$10)*$I51,IF($N51=LEFT(AN51,1),($D$8+MAX(0,IF($D$50=1,$D$9*(1-(ABS($Q51-ABS(VALUE(MID(AN51,FIND("|",AN51)+1,FIND("-",AN51)-FIND("|",AN51)-1))-VALUE(MID(AN51,FIND("-",AN51)+1,10)))))*$D$50),$D$9*(1-(IF($N51="X",ABS($O51-VALUE(MID(AN51,FIND("|",AN51)+1,FIND("-",AN51)-FIND("|",AN51)-1))),ABS($Q51-ABS(VALUE(MID(AN51,FIND("|",AN51)+1,FIND("-",AN51)-FIND("|",AN51)-1))-VALUE(MID(AN51,FIND("-",AN51)+1,10)))))*$D$50)))))*$I51,0)),0)</f>
        <v>0</v>
      </c>
      <c r="AP51" s="338"/>
      <c r="AQ51" s="363" t="s">
        <v>288</v>
      </c>
      <c r="AR51" s="356" t="n">
        <f aca="false">IFERROR(IF($M51=AQ51,($D$8+$D$9+$D$10)*$I51,IF($N51=LEFT(AQ51,1),($D$8+MAX(0,IF($D$50=1,$D$9*(1-(ABS($Q51-ABS(VALUE(MID(AQ51,FIND("|",AQ51)+1,FIND("-",AQ51)-FIND("|",AQ51)-1))-VALUE(MID(AQ51,FIND("-",AQ51)+1,10)))))*$D$50),$D$9*(1-(IF($N51="X",ABS($O51-VALUE(MID(AQ51,FIND("|",AQ51)+1,FIND("-",AQ51)-FIND("|",AQ51)-1))),ABS($Q51-ABS(VALUE(MID(AQ51,FIND("|",AQ51)+1,FIND("-",AQ51)-FIND("|",AQ51)-1))-VALUE(MID(AQ51,FIND("-",AQ51)+1,10)))))*$D$50)))))*$I51,0)),0)</f>
        <v>0</v>
      </c>
      <c r="AS51" s="338"/>
      <c r="AT51" s="363" t="s">
        <v>266</v>
      </c>
      <c r="AU51" s="356" t="n">
        <f aca="false">IFERROR(IF($M51=AT51,($D$8+$D$9+$D$10)*$I51,IF($N51=LEFT(AT51,1),($D$8+MAX(0,IF($D$50=1,$D$9*(1-(ABS($Q51-ABS(VALUE(MID(AT51,FIND("|",AT51)+1,FIND("-",AT51)-FIND("|",AT51)-1))-VALUE(MID(AT51,FIND("-",AT51)+1,10)))))*$D$50),$D$9*(1-(IF($N51="X",ABS($O51-VALUE(MID(AT51,FIND("|",AT51)+1,FIND("-",AT51)-FIND("|",AT51)-1))),ABS($Q51-ABS(VALUE(MID(AT51,FIND("|",AT51)+1,FIND("-",AT51)-FIND("|",AT51)-1))-VALUE(MID(AT51,FIND("-",AT51)+1,10)))))*$D$50)))))*$I51,0)),0)</f>
        <v>0</v>
      </c>
      <c r="AV51" s="338"/>
      <c r="AW51" s="363" t="s">
        <v>266</v>
      </c>
      <c r="AX51" s="356" t="n">
        <f aca="false">IFERROR(IF($M51=AW51,($D$8+$D$9+$D$10)*$I51,IF($N51=LEFT(AW51,1),($D$8+MAX(0,IF($D$50=1,$D$9*(1-(ABS($Q51-ABS(VALUE(MID(AW51,FIND("|",AW51)+1,FIND("-",AW51)-FIND("|",AW51)-1))-VALUE(MID(AW51,FIND("-",AW51)+1,10)))))*$D$50),$D$9*(1-(IF($N51="X",ABS($O51-VALUE(MID(AW51,FIND("|",AW51)+1,FIND("-",AW51)-FIND("|",AW51)-1))),ABS($Q51-ABS(VALUE(MID(AW51,FIND("|",AW51)+1,FIND("-",AW51)-FIND("|",AW51)-1))-VALUE(MID(AW51,FIND("-",AW51)+1,10)))))*$D$50)))))*$I51,0)),0)</f>
        <v>0</v>
      </c>
      <c r="AY51" s="338"/>
      <c r="AZ51" s="363" t="s">
        <v>266</v>
      </c>
      <c r="BA51" s="356" t="n">
        <f aca="false">IFERROR(IF($M51=AZ51,($D$8+$D$9+$D$10)*$I51,IF($N51=LEFT(AZ51,1),($D$8+MAX(0,IF($D$50=1,$D$9*(1-(ABS($Q51-ABS(VALUE(MID(AZ51,FIND("|",AZ51)+1,FIND("-",AZ51)-FIND("|",AZ51)-1))-VALUE(MID(AZ51,FIND("-",AZ51)+1,10)))))*$D$50),$D$9*(1-(IF($N51="X",ABS($O51-VALUE(MID(AZ51,FIND("|",AZ51)+1,FIND("-",AZ51)-FIND("|",AZ51)-1))),ABS($Q51-ABS(VALUE(MID(AZ51,FIND("|",AZ51)+1,FIND("-",AZ51)-FIND("|",AZ51)-1))-VALUE(MID(AZ51,FIND("-",AZ51)+1,10)))))*$D$50)))))*$I51,0)),0)</f>
        <v>0</v>
      </c>
      <c r="BB51" s="338"/>
      <c r="BC51" s="363" t="s">
        <v>266</v>
      </c>
      <c r="BD51" s="356" t="n">
        <f aca="false">IFERROR(IF($M51=BC51,($D$8+$D$9+$D$10)*$I51,IF($N51=LEFT(BC51,1),($D$8+MAX(0,IF($D$50=1,$D$9*(1-(ABS($Q51-ABS(VALUE(MID(BC51,FIND("|",BC51)+1,FIND("-",BC51)-FIND("|",BC51)-1))-VALUE(MID(BC51,FIND("-",BC51)+1,10)))))*$D$50),$D$9*(1-(IF($N51="X",ABS($O51-VALUE(MID(BC51,FIND("|",BC51)+1,FIND("-",BC51)-FIND("|",BC51)-1))),ABS($Q51-ABS(VALUE(MID(BC51,FIND("|",BC51)+1,FIND("-",BC51)-FIND("|",BC51)-1))-VALUE(MID(BC51,FIND("-",BC51)+1,10)))))*$D$50)))))*$I51,0)),0)</f>
        <v>0</v>
      </c>
      <c r="BE51" s="338"/>
      <c r="BF51" s="363" t="s">
        <v>266</v>
      </c>
      <c r="BG51" s="356" t="n">
        <f aca="false">IFERROR(IF($M51=BF51,($D$8+$D$9+$D$10)*$I51,IF($N51=LEFT(BF51,1),($D$8+MAX(0,IF($D$50=1,$D$9*(1-(ABS($Q51-ABS(VALUE(MID(BF51,FIND("|",BF51)+1,FIND("-",BF51)-FIND("|",BF51)-1))-VALUE(MID(BF51,FIND("-",BF51)+1,10)))))*$D$50),$D$9*(1-(IF($N51="X",ABS($O51-VALUE(MID(BF51,FIND("|",BF51)+1,FIND("-",BF51)-FIND("|",BF51)-1))),ABS($Q51-ABS(VALUE(MID(BF51,FIND("|",BF51)+1,FIND("-",BF51)-FIND("|",BF51)-1))-VALUE(MID(BF51,FIND("-",BF51)+1,10)))))*$D$50)))))*$I51,0)),0)</f>
        <v>0</v>
      </c>
      <c r="BH51" s="338"/>
      <c r="BI51" s="363" t="s">
        <v>275</v>
      </c>
      <c r="BJ51" s="356" t="n">
        <f aca="false">IFERROR(IF($M51=BI51,($D$8+$D$9+$D$10)*$I51,IF($N51=LEFT(BI51,1),($D$8+MAX(0,IF($D$50=1,$D$9*(1-(ABS($Q51-ABS(VALUE(MID(BI51,FIND("|",BI51)+1,FIND("-",BI51)-FIND("|",BI51)-1))-VALUE(MID(BI51,FIND("-",BI51)+1,10)))))*$D$50),$D$9*(1-(IF($N51="X",ABS($O51-VALUE(MID(BI51,FIND("|",BI51)+1,FIND("-",BI51)-FIND("|",BI51)-1))),ABS($Q51-ABS(VALUE(MID(BI51,FIND("|",BI51)+1,FIND("-",BI51)-FIND("|",BI51)-1))-VALUE(MID(BI51,FIND("-",BI51)+1,10)))))*$D$50)))))*$I51,0)),0)</f>
        <v>0</v>
      </c>
      <c r="BK51" s="338"/>
      <c r="BL51" s="363" t="s">
        <v>265</v>
      </c>
      <c r="BM51" s="356" t="n">
        <f aca="false">IFERROR(IF($M51=BL51,($D$8+$D$9+$D$10)*$I51,IF($N51=LEFT(BL51,1),($D$8+MAX(0,IF($D$50=1,$D$9*(1-(ABS($Q51-ABS(VALUE(MID(BL51,FIND("|",BL51)+1,FIND("-",BL51)-FIND("|",BL51)-1))-VALUE(MID(BL51,FIND("-",BL51)+1,10)))))*$D$50),$D$9*(1-(IF($N51="X",ABS($O51-VALUE(MID(BL51,FIND("|",BL51)+1,FIND("-",BL51)-FIND("|",BL51)-1))),ABS($Q51-ABS(VALUE(MID(BL51,FIND("|",BL51)+1,FIND("-",BL51)-FIND("|",BL51)-1))-VALUE(MID(BL51,FIND("-",BL51)+1,10)))))*$D$50)))))*$I51,0)),0)</f>
        <v>0</v>
      </c>
      <c r="BN51" s="338"/>
      <c r="BO51" s="363" t="s">
        <v>288</v>
      </c>
      <c r="BP51" s="356" t="n">
        <f aca="false">IFERROR(IF($M51=BO51,($D$8+$D$9+$D$10)*$I51,IF($N51=LEFT(BO51,1),($D$8+MAX(0,IF($D$50=1,$D$9*(1-(ABS($Q51-ABS(VALUE(MID(BO51,FIND("|",BO51)+1,FIND("-",BO51)-FIND("|",BO51)-1))-VALUE(MID(BO51,FIND("-",BO51)+1,10)))))*$D$50),$D$9*(1-(IF($N51="X",ABS($O51-VALUE(MID(BO51,FIND("|",BO51)+1,FIND("-",BO51)-FIND("|",BO51)-1))),ABS($Q51-ABS(VALUE(MID(BO51,FIND("|",BO51)+1,FIND("-",BO51)-FIND("|",BO51)-1))-VALUE(MID(BO51,FIND("-",BO51)+1,10)))))*$D$50)))))*$I51,0)),0)</f>
        <v>0</v>
      </c>
      <c r="BQ51" s="338"/>
      <c r="BR51" s="363" t="s">
        <v>266</v>
      </c>
      <c r="BS51" s="356" t="n">
        <f aca="false">IFERROR(IF($M51=BR51,($D$8+$D$9+$D$10)*$I51,IF($N51=LEFT(BR51,1),($D$8+MAX(0,IF($D$50=1,$D$9*(1-(ABS($Q51-ABS(VALUE(MID(BR51,FIND("|",BR51)+1,FIND("-",BR51)-FIND("|",BR51)-1))-VALUE(MID(BR51,FIND("-",BR51)+1,10)))))*$D$50),$D$9*(1-(IF($N51="X",ABS($O51-VALUE(MID(BR51,FIND("|",BR51)+1,FIND("-",BR51)-FIND("|",BR51)-1))),ABS($Q51-ABS(VALUE(MID(BR51,FIND("|",BR51)+1,FIND("-",BR51)-FIND("|",BR51)-1))-VALUE(MID(BR51,FIND("-",BR51)+1,10)))))*$D$50)))))*$I51,0)),0)</f>
        <v>0</v>
      </c>
      <c r="BT51" s="338"/>
      <c r="BU51" s="363"/>
      <c r="BV51" s="356" t="n">
        <f aca="false">IFERROR(IF($M51=BU51,($D$8+$D$9+$D$10)*$I51,IF($N51=LEFT(BU51,1),($D$8+MAX(0,IF($D$50=1,$D$9*(1-(ABS($Q51-ABS(VALUE(MID(BU51,FIND("|",BU51)+1,FIND("-",BU51)-FIND("|",BU51)-1))-VALUE(MID(BU51,FIND("-",BU51)+1,10)))))*$D$50),$D$9*(1-(IF($N51="X",ABS($O51-VALUE(MID(BU51,FIND("|",BU51)+1,FIND("-",BU51)-FIND("|",BU51)-1))),ABS($Q51-ABS(VALUE(MID(BU51,FIND("|",BU51)+1,FIND("-",BU51)-FIND("|",BU51)-1))-VALUE(MID(BU51,FIND("-",BU51)+1,10)))))*$D$50)))))*$I51,0)),0)</f>
        <v>0</v>
      </c>
      <c r="BW51" s="338"/>
      <c r="BX51" s="363"/>
      <c r="BY51" s="356" t="n">
        <f aca="false">IFERROR(IF($M51=BX51,($D$8+$D$9+$D$10)*$I51,IF($N51=LEFT(BX51,1),($D$8+MAX(0,IF($D$50=1,$D$9*(1-(ABS($Q51-ABS(VALUE(MID(BX51,FIND("|",BX51)+1,FIND("-",BX51)-FIND("|",BX51)-1))-VALUE(MID(BX51,FIND("-",BX51)+1,10)))))*$D$50),$D$9*(1-(IF($N51="X",ABS($O51-VALUE(MID(BX51,FIND("|",BX51)+1,FIND("-",BX51)-FIND("|",BX51)-1))),ABS($Q51-ABS(VALUE(MID(BX51,FIND("|",BX51)+1,FIND("-",BX51)-FIND("|",BX51)-1))-VALUE(MID(BX51,FIND("-",BX51)+1,10)))))*$D$50)))))*$I51,0)),0)</f>
        <v>0</v>
      </c>
      <c r="BZ51" s="338"/>
      <c r="CA51" s="363"/>
      <c r="CB51" s="356" t="n">
        <f aca="false">IFERROR(IF($M51=CA51,($D$8+$D$9+$D$10)*$I51,IF($N51=LEFT(CA51,1),($D$8+MAX(0,IF($D$50=1,$D$9*(1-(ABS($Q51-ABS(VALUE(MID(CA51,FIND("|",CA51)+1,FIND("-",CA51)-FIND("|",CA51)-1))-VALUE(MID(CA51,FIND("-",CA51)+1,10)))))*$D$50),$D$9*(1-(IF($N51="X",ABS($O51-VALUE(MID(CA51,FIND("|",CA51)+1,FIND("-",CA51)-FIND("|",CA51)-1))),ABS($Q51-ABS(VALUE(MID(CA51,FIND("|",CA51)+1,FIND("-",CA51)-FIND("|",CA51)-1))-VALUE(MID(CA51,FIND("-",CA51)+1,10)))))*$D$50)))))*$I51,0)),0)</f>
        <v>0</v>
      </c>
      <c r="CC51" s="338"/>
      <c r="CD51" s="363"/>
      <c r="CE51" s="356" t="n">
        <f aca="false">IFERROR(IF($M51=CD51,($D$8+$D$9+$D$10)*$I51,IF($N51=LEFT(CD51,1),($D$8+MAX(0,IF($D$50=1,$D$9*(1-(ABS($Q51-ABS(VALUE(MID(CD51,FIND("|",CD51)+1,FIND("-",CD51)-FIND("|",CD51)-1))-VALUE(MID(CD51,FIND("-",CD51)+1,10)))))*$D$50),$D$9*(1-(IF($N51="X",ABS($O51-VALUE(MID(CD51,FIND("|",CD51)+1,FIND("-",CD51)-FIND("|",CD51)-1))),ABS($Q51-ABS(VALUE(MID(CD51,FIND("|",CD51)+1,FIND("-",CD51)-FIND("|",CD51)-1))-VALUE(MID(CD51,FIND("-",CD51)+1,10)))))*$D$50)))))*$I51,0)),0)</f>
        <v>0</v>
      </c>
      <c r="CF51" s="338"/>
      <c r="CG51" s="363"/>
      <c r="CH51" s="356" t="n">
        <f aca="false">IFERROR(IF($M51=CG51,($D$8+$D$9+$D$10)*$I51,IF($N51=LEFT(CG51,1),($D$8+MAX(0,IF($D$50=1,$D$9*(1-(ABS($Q51-ABS(VALUE(MID(CG51,FIND("|",CG51)+1,FIND("-",CG51)-FIND("|",CG51)-1))-VALUE(MID(CG51,FIND("-",CG51)+1,10)))))*$D$50),$D$9*(1-(IF($N51="X",ABS($O51-VALUE(MID(CG51,FIND("|",CG51)+1,FIND("-",CG51)-FIND("|",CG51)-1))),ABS($Q51-ABS(VALUE(MID(CG51,FIND("|",CG51)+1,FIND("-",CG51)-FIND("|",CG51)-1))-VALUE(MID(CG51,FIND("-",CG51)+1,10)))))*$D$50)))))*$I51,0)),0)</f>
        <v>0</v>
      </c>
      <c r="CI51" s="338"/>
      <c r="CJ51" s="363"/>
      <c r="CK51" s="356" t="n">
        <f aca="false">IFERROR(IF($M51=CJ51,($D$8+$D$9+$D$10)*$I51,IF($N51=LEFT(CJ51,1),($D$8+MAX(0,IF($D$50=1,$D$9*(1-(ABS($Q51-ABS(VALUE(MID(CJ51,FIND("|",CJ51)+1,FIND("-",CJ51)-FIND("|",CJ51)-1))-VALUE(MID(CJ51,FIND("-",CJ51)+1,10)))))*$D$50),$D$9*(1-(IF($N51="X",ABS($O51-VALUE(MID(CJ51,FIND("|",CJ51)+1,FIND("-",CJ51)-FIND("|",CJ51)-1))),ABS($Q51-ABS(VALUE(MID(CJ51,FIND("|",CJ51)+1,FIND("-",CJ51)-FIND("|",CJ51)-1))-VALUE(MID(CJ51,FIND("-",CJ51)+1,10)))))*$D$50)))))*$I51,0)),0)</f>
        <v>0</v>
      </c>
      <c r="CL51" s="338"/>
      <c r="CM51" s="363"/>
      <c r="CN51" s="356" t="n">
        <f aca="false">IFERROR(IF($M51=CM51,($D$8+$D$9+$D$10)*$I51,IF($N51=LEFT(CM51,1),($D$8+MAX(0,IF($D$50=1,$D$9*(1-(ABS($Q51-ABS(VALUE(MID(CM51,FIND("|",CM51)+1,FIND("-",CM51)-FIND("|",CM51)-1))-VALUE(MID(CM51,FIND("-",CM51)+1,10)))))*$D$50),$D$9*(1-(IF($N51="X",ABS($O51-VALUE(MID(CM51,FIND("|",CM51)+1,FIND("-",CM51)-FIND("|",CM51)-1))),ABS($Q51-ABS(VALUE(MID(CM51,FIND("|",CM51)+1,FIND("-",CM51)-FIND("|",CM51)-1))-VALUE(MID(CM51,FIND("-",CM51)+1,10)))))*$D$50)))))*$I51,0)),0)</f>
        <v>0</v>
      </c>
      <c r="CO51" s="338"/>
      <c r="CP51" s="363"/>
      <c r="CQ51" s="356" t="n">
        <f aca="false">IFERROR(IF($M51=CP51,($D$8+$D$9+$D$10)*$I51,IF($N51=LEFT(CP51,1),($D$8+MAX(0,IF($D$50=1,$D$9*(1-(ABS($Q51-ABS(VALUE(MID(CP51,FIND("|",CP51)+1,FIND("-",CP51)-FIND("|",CP51)-1))-VALUE(MID(CP51,FIND("-",CP51)+1,10)))))*$D$50),$D$9*(1-(IF($N51="X",ABS($O51-VALUE(MID(CP51,FIND("|",CP51)+1,FIND("-",CP51)-FIND("|",CP51)-1))),ABS($Q51-ABS(VALUE(MID(CP51,FIND("|",CP51)+1,FIND("-",CP51)-FIND("|",CP51)-1))-VALUE(MID(CP51,FIND("-",CP51)+1,10)))))*$D$50)))))*$I51,0)),0)</f>
        <v>0</v>
      </c>
      <c r="CR51" s="338"/>
      <c r="CS51" s="363"/>
      <c r="CT51" s="356" t="n">
        <f aca="false">IFERROR(IF($M51=CS51,($D$8+$D$9+$D$10)*$I51,IF($N51=LEFT(CS51,1),($D$8+MAX(0,IF($D$50=1,$D$9*(1-(ABS($Q51-ABS(VALUE(MID(CS51,FIND("|",CS51)+1,FIND("-",CS51)-FIND("|",CS51)-1))-VALUE(MID(CS51,FIND("-",CS51)+1,10)))))*$D$50),$D$9*(1-(IF($N51="X",ABS($O51-VALUE(MID(CS51,FIND("|",CS51)+1,FIND("-",CS51)-FIND("|",CS51)-1))),ABS($Q51-ABS(VALUE(MID(CS51,FIND("|",CS51)+1,FIND("-",CS51)-FIND("|",CS51)-1))-VALUE(MID(CS51,FIND("-",CS51)+1,10)))))*$D$50)))))*$I51,0)),0)</f>
        <v>0</v>
      </c>
      <c r="CU51" s="338"/>
      <c r="CV51" s="363"/>
      <c r="CW51" s="356" t="n">
        <f aca="false">IFERROR(IF($M51=CV51,($D$8+$D$9+$D$10)*$I51,IF($N51=LEFT(CV51,1),($D$8+MAX(0,IF($D$50=1,$D$9*(1-(ABS($Q51-ABS(VALUE(MID(CV51,FIND("|",CV51)+1,FIND("-",CV51)-FIND("|",CV51)-1))-VALUE(MID(CV51,FIND("-",CV51)+1,10)))))*$D$50),$D$9*(1-(IF($N51="X",ABS($O51-VALUE(MID(CV51,FIND("|",CV51)+1,FIND("-",CV51)-FIND("|",CV51)-1))),ABS($Q51-ABS(VALUE(MID(CV51,FIND("|",CV51)+1,FIND("-",CV51)-FIND("|",CV51)-1))-VALUE(MID(CV51,FIND("-",CV51)+1,10)))))*$D$50)))))*$I51,0)),0)</f>
        <v>0</v>
      </c>
      <c r="CX51" s="338"/>
      <c r="CY51" s="363"/>
      <c r="CZ51" s="356" t="n">
        <f aca="false">IFERROR(IF($M51=CY51,($D$8+$D$9+$D$10)*$I51,IF($N51=LEFT(CY51,1),($D$8+MAX(0,IF($D$50=1,$D$9*(1-(ABS($Q51-ABS(VALUE(MID(CY51,FIND("|",CY51)+1,FIND("-",CY51)-FIND("|",CY51)-1))-VALUE(MID(CY51,FIND("-",CY51)+1,10)))))*$D$50),$D$9*(1-(IF($N51="X",ABS($O51-VALUE(MID(CY51,FIND("|",CY51)+1,FIND("-",CY51)-FIND("|",CY51)-1))),ABS($Q51-ABS(VALUE(MID(CY51,FIND("|",CY51)+1,FIND("-",CY51)-FIND("|",CY51)-1))-VALUE(MID(CY51,FIND("-",CY51)+1,10)))))*$D$50)))))*$I51,0)),0)</f>
        <v>0</v>
      </c>
      <c r="DA51" s="338"/>
      <c r="DB51" s="363"/>
      <c r="DC51" s="356" t="n">
        <f aca="false">IFERROR(IF($M51=DB51,($D$8+$D$9+$D$10)*$I51,IF($N51=LEFT(DB51,1),($D$8+MAX(0,IF($D$50=1,$D$9*(1-(ABS($Q51-ABS(VALUE(MID(DB51,FIND("|",DB51)+1,FIND("-",DB51)-FIND("|",DB51)-1))-VALUE(MID(DB51,FIND("-",DB51)+1,10)))))*$D$50),$D$9*(1-(IF($N51="X",ABS($O51-VALUE(MID(DB51,FIND("|",DB51)+1,FIND("-",DB51)-FIND("|",DB51)-1))),ABS($Q51-ABS(VALUE(MID(DB51,FIND("|",DB51)+1,FIND("-",DB51)-FIND("|",DB51)-1))-VALUE(MID(DB51,FIND("-",DB51)+1,10)))))*$D$50)))))*$I51,0)),0)</f>
        <v>0</v>
      </c>
      <c r="DD51" s="338"/>
      <c r="DE51" s="363"/>
      <c r="DF51" s="356" t="n">
        <f aca="false">IFERROR(IF($M51=DE51,($D$8+$D$9+$D$10)*$I51,IF($N51=LEFT(DE51,1),($D$8+MAX(0,IF($D$50=1,$D$9*(1-(ABS($Q51-ABS(VALUE(MID(DE51,FIND("|",DE51)+1,FIND("-",DE51)-FIND("|",DE51)-1))-VALUE(MID(DE51,FIND("-",DE51)+1,10)))))*$D$50),$D$9*(1-(IF($N51="X",ABS($O51-VALUE(MID(DE51,FIND("|",DE51)+1,FIND("-",DE51)-FIND("|",DE51)-1))),ABS($Q51-ABS(VALUE(MID(DE51,FIND("|",DE51)+1,FIND("-",DE51)-FIND("|",DE51)-1))-VALUE(MID(DE51,FIND("-",DE51)+1,10)))))*$D$50)))))*$I51,0)),0)</f>
        <v>0</v>
      </c>
      <c r="DG51" s="338"/>
      <c r="DH51" s="363"/>
      <c r="DI51" s="356" t="n">
        <f aca="false">IFERROR(IF($M51=DH51,($D$8+$D$9+$D$10)*$I51,IF($N51=LEFT(DH51,1),($D$8+MAX(0,IF($D$50=1,$D$9*(1-(ABS($Q51-ABS(VALUE(MID(DH51,FIND("|",DH51)+1,FIND("-",DH51)-FIND("|",DH51)-1))-VALUE(MID(DH51,FIND("-",DH51)+1,10)))))*$D$50),$D$9*(1-(IF($N51="X",ABS($O51-VALUE(MID(DH51,FIND("|",DH51)+1,FIND("-",DH51)-FIND("|",DH51)-1))),ABS($Q51-ABS(VALUE(MID(DH51,FIND("|",DH51)+1,FIND("-",DH51)-FIND("|",DH51)-1))-VALUE(MID(DH51,FIND("-",DH51)+1,10)))))*$D$50)))))*$I51,0)),0)</f>
        <v>0</v>
      </c>
      <c r="DJ51" s="338"/>
      <c r="DK51" s="363"/>
      <c r="DL51" s="356" t="n">
        <f aca="false">IFERROR(IF($M51=DK51,($D$8+$D$9+$D$10)*$I51,IF($N51=LEFT(DK51,1),($D$8+MAX(0,IF($D$50=1,$D$9*(1-(ABS($Q51-ABS(VALUE(MID(DK51,FIND("|",DK51)+1,FIND("-",DK51)-FIND("|",DK51)-1))-VALUE(MID(DK51,FIND("-",DK51)+1,10)))))*$D$50),$D$9*(1-(IF($N51="X",ABS($O51-VALUE(MID(DK51,FIND("|",DK51)+1,FIND("-",DK51)-FIND("|",DK51)-1))),ABS($Q51-ABS(VALUE(MID(DK51,FIND("|",DK51)+1,FIND("-",DK51)-FIND("|",DK51)-1))-VALUE(MID(DK51,FIND("-",DK51)+1,10)))))*$D$50)))))*$I51,0)),0)</f>
        <v>0</v>
      </c>
      <c r="DM51" s="338"/>
      <c r="DN51" s="363"/>
      <c r="DO51" s="356" t="n">
        <f aca="false">IFERROR(IF($M51=DN51,($D$8+$D$9+$D$10)*$I51,IF($N51=LEFT(DN51,1),($D$8+MAX(0,IF($D$50=1,$D$9*(1-(ABS($Q51-ABS(VALUE(MID(DN51,FIND("|",DN51)+1,FIND("-",DN51)-FIND("|",DN51)-1))-VALUE(MID(DN51,FIND("-",DN51)+1,10)))))*$D$50),$D$9*(1-(IF($N51="X",ABS($O51-VALUE(MID(DN51,FIND("|",DN51)+1,FIND("-",DN51)-FIND("|",DN51)-1))),ABS($Q51-ABS(VALUE(MID(DN51,FIND("|",DN51)+1,FIND("-",DN51)-FIND("|",DN51)-1))-VALUE(MID(DN51,FIND("-",DN51)+1,10)))))*$D$50)))))*$I51,0)),0)</f>
        <v>0</v>
      </c>
      <c r="DP51" s="338"/>
      <c r="DQ51" s="363"/>
      <c r="DR51" s="356" t="n">
        <f aca="false">IFERROR(IF($M51=DQ51,($D$8+$D$9+$D$10)*$I51,IF($N51=LEFT(DQ51,1),($D$8+MAX(0,IF($D$50=1,$D$9*(1-(ABS($Q51-ABS(VALUE(MID(DQ51,FIND("|",DQ51)+1,FIND("-",DQ51)-FIND("|",DQ51)-1))-VALUE(MID(DQ51,FIND("-",DQ51)+1,10)))))*$D$50),$D$9*(1-(IF($N51="X",ABS($O51-VALUE(MID(DQ51,FIND("|",DQ51)+1,FIND("-",DQ51)-FIND("|",DQ51)-1))),ABS($Q51-ABS(VALUE(MID(DQ51,FIND("|",DQ51)+1,FIND("-",DQ51)-FIND("|",DQ51)-1))-VALUE(MID(DQ51,FIND("-",DQ51)+1,10)))))*$D$50)))))*$I51,0)),0)</f>
        <v>0</v>
      </c>
      <c r="DS51" s="338"/>
      <c r="DT51" s="363"/>
      <c r="DU51" s="356" t="n">
        <f aca="false">IFERROR(IF($M51=DT51,($D$8+$D$9+$D$10)*$I51,IF($N51=LEFT(DT51,1),($D$8+MAX(0,IF($D$50=1,$D$9*(1-(ABS($Q51-ABS(VALUE(MID(DT51,FIND("|",DT51)+1,FIND("-",DT51)-FIND("|",DT51)-1))-VALUE(MID(DT51,FIND("-",DT51)+1,10)))))*$D$50),$D$9*(1-(IF($N51="X",ABS($O51-VALUE(MID(DT51,FIND("|",DT51)+1,FIND("-",DT51)-FIND("|",DT51)-1))),ABS($Q51-ABS(VALUE(MID(DT51,FIND("|",DT51)+1,FIND("-",DT51)-FIND("|",DT51)-1))-VALUE(MID(DT51,FIND("-",DT51)+1,10)))))*$D$50)))))*$I51,0)),0)</f>
        <v>0</v>
      </c>
      <c r="DV51" s="338"/>
      <c r="DW51" s="363"/>
      <c r="DX51" s="356" t="n">
        <f aca="false">IFERROR(IF($M51=DW51,($D$8+$D$9+$D$10)*$I51,IF($N51=LEFT(DW51,1),($D$8+MAX(0,IF($D$50=1,$D$9*(1-(ABS($Q51-ABS(VALUE(MID(DW51,FIND("|",DW51)+1,FIND("-",DW51)-FIND("|",DW51)-1))-VALUE(MID(DW51,FIND("-",DW51)+1,10)))))*$D$50),$D$9*(1-(IF($N51="X",ABS($O51-VALUE(MID(DW51,FIND("|",DW51)+1,FIND("-",DW51)-FIND("|",DW51)-1))),ABS($Q51-ABS(VALUE(MID(DW51,FIND("|",DW51)+1,FIND("-",DW51)-FIND("|",DW51)-1))-VALUE(MID(DW51,FIND("-",DW51)+1,10)))))*$D$50)))))*$I51,0)),0)</f>
        <v>0</v>
      </c>
      <c r="DY51" s="338"/>
      <c r="DZ51" s="363"/>
      <c r="EA51" s="356" t="n">
        <f aca="false">IFERROR(IF($M51=DZ51,($D$8+$D$9+$D$10)*$I51,IF($N51=LEFT(DZ51,1),($D$8+MAX(0,IF($D$50=1,$D$9*(1-(ABS($Q51-ABS(VALUE(MID(DZ51,FIND("|",DZ51)+1,FIND("-",DZ51)-FIND("|",DZ51)-1))-VALUE(MID(DZ51,FIND("-",DZ51)+1,10)))))*$D$50),$D$9*(1-(IF($N51="X",ABS($O51-VALUE(MID(DZ51,FIND("|",DZ51)+1,FIND("-",DZ51)-FIND("|",DZ51)-1))),ABS($Q51-ABS(VALUE(MID(DZ51,FIND("|",DZ51)+1,FIND("-",DZ51)-FIND("|",DZ51)-1))-VALUE(MID(DZ51,FIND("-",DZ51)+1,10)))))*$D$50)))))*$I51,0)),0)</f>
        <v>0</v>
      </c>
      <c r="EB51" s="338"/>
      <c r="EC51" s="363"/>
      <c r="ED51" s="356" t="n">
        <f aca="false">IFERROR(IF($M51=EC51,($D$8+$D$9+$D$10)*$I51,IF($N51=LEFT(EC51,1),($D$8+MAX(0,IF($D$50=1,$D$9*(1-(ABS($Q51-ABS(VALUE(MID(EC51,FIND("|",EC51)+1,FIND("-",EC51)-FIND("|",EC51)-1))-VALUE(MID(EC51,FIND("-",EC51)+1,10)))))*$D$50),$D$9*(1-(IF($N51="X",ABS($O51-VALUE(MID(EC51,FIND("|",EC51)+1,FIND("-",EC51)-FIND("|",EC51)-1))),ABS($Q51-ABS(VALUE(MID(EC51,FIND("|",EC51)+1,FIND("-",EC51)-FIND("|",EC51)-1))-VALUE(MID(EC51,FIND("-",EC51)+1,10)))))*$D$50)))))*$I51,0)),0)</f>
        <v>0</v>
      </c>
      <c r="EE51" s="338"/>
      <c r="EF51" s="363"/>
      <c r="EG51" s="356" t="n">
        <f aca="false">IFERROR(IF($M51=EF51,($D$8+$D$9+$D$10)*$I51,IF($N51=LEFT(EF51,1),($D$8+MAX(0,IF($D$50=1,$D$9*(1-(ABS($Q51-ABS(VALUE(MID(EF51,FIND("|",EF51)+1,FIND("-",EF51)-FIND("|",EF51)-1))-VALUE(MID(EF51,FIND("-",EF51)+1,10)))))*$D$50),$D$9*(1-(IF($N51="X",ABS($O51-VALUE(MID(EF51,FIND("|",EF51)+1,FIND("-",EF51)-FIND("|",EF51)-1))),ABS($Q51-ABS(VALUE(MID(EF51,FIND("|",EF51)+1,FIND("-",EF51)-FIND("|",EF51)-1))-VALUE(MID(EF51,FIND("-",EF51)+1,10)))))*$D$50)))))*$I51,0)),0)</f>
        <v>0</v>
      </c>
      <c r="EH51" s="338"/>
      <c r="EI51" s="338"/>
    </row>
    <row r="52" customFormat="false" ht="15" hidden="false" customHeight="false" outlineLevel="0" collapsed="false">
      <c r="A52" s="327"/>
      <c r="B52" s="327"/>
      <c r="C52" s="248"/>
      <c r="D52" s="248"/>
      <c r="E52" s="379"/>
      <c r="F52" s="343" t="n">
        <f aca="false">SUM($D$8:$D$10)*I52</f>
        <v>17</v>
      </c>
      <c r="G52" s="343" t="n">
        <f aca="false">VLOOKUP(H52,Equipos!$Q$1:$R$25,2,0)</f>
        <v>14</v>
      </c>
      <c r="H52" s="351" t="n">
        <f aca="false">TRUNC(INDEX(WORLDCUP!$X$4:$X$147,MATCH(ADMIN!K52,WORLDCUP!$DT$4:$DT$147,0))+INDEX(Horarios!$R$3:$R$86,MATCH(Horarios!$C$3,Horarios!$P$3:$P$86,0))/24)</f>
        <v>46197</v>
      </c>
      <c r="I52" s="352" t="n">
        <v>1</v>
      </c>
      <c r="J52" s="362" t="s">
        <v>311</v>
      </c>
      <c r="K52" s="367" t="str">
        <f aca="false">CONCATENATE(WORLDCUP!AA94,"-",WORLDCUP!AF94)</f>
        <v>Inglaterra-Ghana</v>
      </c>
      <c r="L52" s="354"/>
      <c r="M52" s="359" t="str">
        <f aca="false">IF(OR(WORLDCUP!AC94="",WORLDCUP!AD94=""),"-",N52&amp;"|"&amp;O52&amp;"-"&amp;P52)</f>
        <v>-</v>
      </c>
      <c r="N52" s="332" t="str">
        <f aca="false">IF(OR(WORLDCUP!AC94="",WORLDCUP!AD94=""),"",IF(WORLDCUP!AC94&gt;WORLDCUP!AD94,"1",IF(WORLDCUP!AC94&lt;WORLDCUP!AD94,"2","X")))</f>
        <v/>
      </c>
      <c r="O52" s="332" t="n">
        <f aca="false">WORLDCUP!AC94</f>
        <v>0</v>
      </c>
      <c r="P52" s="332" t="n">
        <f aca="false">WORLDCUP!AD94</f>
        <v>0</v>
      </c>
      <c r="Q52" s="332" t="n">
        <f aca="false">ABS(O52-P52)</f>
        <v>0</v>
      </c>
      <c r="R52" s="327"/>
      <c r="S52" s="363" t="s">
        <v>288</v>
      </c>
      <c r="T52" s="356" t="n">
        <f aca="false">IFERROR(IF($M52=S52,($D$8+$D$9+$D$10)*$I52,IF($N52=LEFT(S52,1),($D$8+MAX(0,IF($D$50=1,$D$9*(1-(ABS($Q52-ABS(VALUE(MID(S52,FIND("|",S52)+1,FIND("-",S52)-FIND("|",S52)-1))-VALUE(MID(S52,FIND("-",S52)+1,10)))))*$D$50),$D$9*(1-(IF($N52="X",ABS($O52-VALUE(MID(S52,FIND("|",S52)+1,FIND("-",S52)-FIND("|",S52)-1))),ABS($Q52-ABS(VALUE(MID(S52,FIND("|",S52)+1,FIND("-",S52)-FIND("|",S52)-1))-VALUE(MID(S52,FIND("-",S52)+1,10)))))*$D$50)))))*$I52,0)),0)</f>
        <v>0</v>
      </c>
      <c r="U52" s="338"/>
      <c r="V52" s="363" t="s">
        <v>266</v>
      </c>
      <c r="W52" s="356" t="n">
        <f aca="false">IFERROR(IF($M52=V52,($D$8+$D$9+$D$10)*$I52,IF($N52=LEFT(V52,1),($D$8+MAX(0,IF($D$50=1,$D$9*(1-(ABS($Q52-ABS(VALUE(MID(V52,FIND("|",V52)+1,FIND("-",V52)-FIND("|",V52)-1))-VALUE(MID(V52,FIND("-",V52)+1,10)))))*$D$50),$D$9*(1-(IF($N52="X",ABS($O52-VALUE(MID(V52,FIND("|",V52)+1,FIND("-",V52)-FIND("|",V52)-1))),ABS($Q52-ABS(VALUE(MID(V52,FIND("|",V52)+1,FIND("-",V52)-FIND("|",V52)-1))-VALUE(MID(V52,FIND("-",V52)+1,10)))))*$D$50)))))*$I52,0)),0)</f>
        <v>0</v>
      </c>
      <c r="X52" s="338"/>
      <c r="Y52" s="363" t="s">
        <v>288</v>
      </c>
      <c r="Z52" s="356" t="n">
        <f aca="false">IFERROR(IF($M52=Y52,($D$8+$D$9+$D$10)*$I52,IF($N52=LEFT(Y52,1),($D$8+MAX(0,IF($D$50=1,$D$9*(1-(ABS($Q52-ABS(VALUE(MID(Y52,FIND("|",Y52)+1,FIND("-",Y52)-FIND("|",Y52)-1))-VALUE(MID(Y52,FIND("-",Y52)+1,10)))))*$D$50),$D$9*(1-(IF($N52="X",ABS($O52-VALUE(MID(Y52,FIND("|",Y52)+1,FIND("-",Y52)-FIND("|",Y52)-1))),ABS($Q52-ABS(VALUE(MID(Y52,FIND("|",Y52)+1,FIND("-",Y52)-FIND("|",Y52)-1))-VALUE(MID(Y52,FIND("-",Y52)+1,10)))))*$D$50)))))*$I52,0)),0)</f>
        <v>0</v>
      </c>
      <c r="AA52" s="338"/>
      <c r="AB52" s="363" t="s">
        <v>264</v>
      </c>
      <c r="AC52" s="356" t="n">
        <f aca="false">IFERROR(IF($M52=AB52,($D$8+$D$9+$D$10)*$I52,IF($N52=LEFT(AB52,1),($D$8+MAX(0,IF($D$50=1,$D$9*(1-(ABS($Q52-ABS(VALUE(MID(AB52,FIND("|",AB52)+1,FIND("-",AB52)-FIND("|",AB52)-1))-VALUE(MID(AB52,FIND("-",AB52)+1,10)))))*$D$50),$D$9*(1-(IF($N52="X",ABS($O52-VALUE(MID(AB52,FIND("|",AB52)+1,FIND("-",AB52)-FIND("|",AB52)-1))),ABS($Q52-ABS(VALUE(MID(AB52,FIND("|",AB52)+1,FIND("-",AB52)-FIND("|",AB52)-1))-VALUE(MID(AB52,FIND("-",AB52)+1,10)))))*$D$50)))))*$I52,0)),0)</f>
        <v>0</v>
      </c>
      <c r="AD52" s="338"/>
      <c r="AE52" s="363" t="s">
        <v>266</v>
      </c>
      <c r="AF52" s="356" t="n">
        <f aca="false">IFERROR(IF($M52=AE52,($D$8+$D$9+$D$10)*$I52,IF($N52=LEFT(AE52,1),($D$8+MAX(0,IF($D$50=1,$D$9*(1-(ABS($Q52-ABS(VALUE(MID(AE52,FIND("|",AE52)+1,FIND("-",AE52)-FIND("|",AE52)-1))-VALUE(MID(AE52,FIND("-",AE52)+1,10)))))*$D$50),$D$9*(1-(IF($N52="X",ABS($O52-VALUE(MID(AE52,FIND("|",AE52)+1,FIND("-",AE52)-FIND("|",AE52)-1))),ABS($Q52-ABS(VALUE(MID(AE52,FIND("|",AE52)+1,FIND("-",AE52)-FIND("|",AE52)-1))-VALUE(MID(AE52,FIND("-",AE52)+1,10)))))*$D$50)))))*$I52,0)),0)</f>
        <v>0</v>
      </c>
      <c r="AG52" s="338"/>
      <c r="AH52" s="363" t="s">
        <v>266</v>
      </c>
      <c r="AI52" s="356" t="n">
        <f aca="false">IFERROR(IF($M52=AH52,($D$8+$D$9+$D$10)*$I52,IF($N52=LEFT(AH52,1),($D$8+MAX(0,IF($D$50=1,$D$9*(1-(ABS($Q52-ABS(VALUE(MID(AH52,FIND("|",AH52)+1,FIND("-",AH52)-FIND("|",AH52)-1))-VALUE(MID(AH52,FIND("-",AH52)+1,10)))))*$D$50),$D$9*(1-(IF($N52="X",ABS($O52-VALUE(MID(AH52,FIND("|",AH52)+1,FIND("-",AH52)-FIND("|",AH52)-1))),ABS($Q52-ABS(VALUE(MID(AH52,FIND("|",AH52)+1,FIND("-",AH52)-FIND("|",AH52)-1))-VALUE(MID(AH52,FIND("-",AH52)+1,10)))))*$D$50)))))*$I52,0)),0)</f>
        <v>0</v>
      </c>
      <c r="AJ52" s="338"/>
      <c r="AK52" s="363" t="s">
        <v>266</v>
      </c>
      <c r="AL52" s="356" t="n">
        <f aca="false">IFERROR(IF($M52=AK52,($D$8+$D$9+$D$10)*$I52,IF($N52=LEFT(AK52,1),($D$8+MAX(0,IF($D$50=1,$D$9*(1-(ABS($Q52-ABS(VALUE(MID(AK52,FIND("|",AK52)+1,FIND("-",AK52)-FIND("|",AK52)-1))-VALUE(MID(AK52,FIND("-",AK52)+1,10)))))*$D$50),$D$9*(1-(IF($N52="X",ABS($O52-VALUE(MID(AK52,FIND("|",AK52)+1,FIND("-",AK52)-FIND("|",AK52)-1))),ABS($Q52-ABS(VALUE(MID(AK52,FIND("|",AK52)+1,FIND("-",AK52)-FIND("|",AK52)-1))-VALUE(MID(AK52,FIND("-",AK52)+1,10)))))*$D$50)))))*$I52,0)),0)</f>
        <v>0</v>
      </c>
      <c r="AM52" s="338"/>
      <c r="AN52" s="363" t="s">
        <v>288</v>
      </c>
      <c r="AO52" s="356" t="n">
        <f aca="false">IFERROR(IF($M52=AN52,($D$8+$D$9+$D$10)*$I52,IF($N52=LEFT(AN52,1),($D$8+MAX(0,IF($D$50=1,$D$9*(1-(ABS($Q52-ABS(VALUE(MID(AN52,FIND("|",AN52)+1,FIND("-",AN52)-FIND("|",AN52)-1))-VALUE(MID(AN52,FIND("-",AN52)+1,10)))))*$D$50),$D$9*(1-(IF($N52="X",ABS($O52-VALUE(MID(AN52,FIND("|",AN52)+1,FIND("-",AN52)-FIND("|",AN52)-1))),ABS($Q52-ABS(VALUE(MID(AN52,FIND("|",AN52)+1,FIND("-",AN52)-FIND("|",AN52)-1))-VALUE(MID(AN52,FIND("-",AN52)+1,10)))))*$D$50)))))*$I52,0)),0)</f>
        <v>0</v>
      </c>
      <c r="AP52" s="338"/>
      <c r="AQ52" s="363" t="s">
        <v>264</v>
      </c>
      <c r="AR52" s="356" t="n">
        <f aca="false">IFERROR(IF($M52=AQ52,($D$8+$D$9+$D$10)*$I52,IF($N52=LEFT(AQ52,1),($D$8+MAX(0,IF($D$50=1,$D$9*(1-(ABS($Q52-ABS(VALUE(MID(AQ52,FIND("|",AQ52)+1,FIND("-",AQ52)-FIND("|",AQ52)-1))-VALUE(MID(AQ52,FIND("-",AQ52)+1,10)))))*$D$50),$D$9*(1-(IF($N52="X",ABS($O52-VALUE(MID(AQ52,FIND("|",AQ52)+1,FIND("-",AQ52)-FIND("|",AQ52)-1))),ABS($Q52-ABS(VALUE(MID(AQ52,FIND("|",AQ52)+1,FIND("-",AQ52)-FIND("|",AQ52)-1))-VALUE(MID(AQ52,FIND("-",AQ52)+1,10)))))*$D$50)))))*$I52,0)),0)</f>
        <v>0</v>
      </c>
      <c r="AS52" s="338"/>
      <c r="AT52" s="363" t="s">
        <v>266</v>
      </c>
      <c r="AU52" s="356" t="n">
        <f aca="false">IFERROR(IF($M52=AT52,($D$8+$D$9+$D$10)*$I52,IF($N52=LEFT(AT52,1),($D$8+MAX(0,IF($D$50=1,$D$9*(1-(ABS($Q52-ABS(VALUE(MID(AT52,FIND("|",AT52)+1,FIND("-",AT52)-FIND("|",AT52)-1))-VALUE(MID(AT52,FIND("-",AT52)+1,10)))))*$D$50),$D$9*(1-(IF($N52="X",ABS($O52-VALUE(MID(AT52,FIND("|",AT52)+1,FIND("-",AT52)-FIND("|",AT52)-1))),ABS($Q52-ABS(VALUE(MID(AT52,FIND("|",AT52)+1,FIND("-",AT52)-FIND("|",AT52)-1))-VALUE(MID(AT52,FIND("-",AT52)+1,10)))))*$D$50)))))*$I52,0)),0)</f>
        <v>0</v>
      </c>
      <c r="AV52" s="338"/>
      <c r="AW52" s="363" t="s">
        <v>266</v>
      </c>
      <c r="AX52" s="356" t="n">
        <f aca="false">IFERROR(IF($M52=AW52,($D$8+$D$9+$D$10)*$I52,IF($N52=LEFT(AW52,1),($D$8+MAX(0,IF($D$50=1,$D$9*(1-(ABS($Q52-ABS(VALUE(MID(AW52,FIND("|",AW52)+1,FIND("-",AW52)-FIND("|",AW52)-1))-VALUE(MID(AW52,FIND("-",AW52)+1,10)))))*$D$50),$D$9*(1-(IF($N52="X",ABS($O52-VALUE(MID(AW52,FIND("|",AW52)+1,FIND("-",AW52)-FIND("|",AW52)-1))),ABS($Q52-ABS(VALUE(MID(AW52,FIND("|",AW52)+1,FIND("-",AW52)-FIND("|",AW52)-1))-VALUE(MID(AW52,FIND("-",AW52)+1,10)))))*$D$50)))))*$I52,0)),0)</f>
        <v>0</v>
      </c>
      <c r="AY52" s="338"/>
      <c r="AZ52" s="363" t="s">
        <v>264</v>
      </c>
      <c r="BA52" s="356" t="n">
        <f aca="false">IFERROR(IF($M52=AZ52,($D$8+$D$9+$D$10)*$I52,IF($N52=LEFT(AZ52,1),($D$8+MAX(0,IF($D$50=1,$D$9*(1-(ABS($Q52-ABS(VALUE(MID(AZ52,FIND("|",AZ52)+1,FIND("-",AZ52)-FIND("|",AZ52)-1))-VALUE(MID(AZ52,FIND("-",AZ52)+1,10)))))*$D$50),$D$9*(1-(IF($N52="X",ABS($O52-VALUE(MID(AZ52,FIND("|",AZ52)+1,FIND("-",AZ52)-FIND("|",AZ52)-1))),ABS($Q52-ABS(VALUE(MID(AZ52,FIND("|",AZ52)+1,FIND("-",AZ52)-FIND("|",AZ52)-1))-VALUE(MID(AZ52,FIND("-",AZ52)+1,10)))))*$D$50)))))*$I52,0)),0)</f>
        <v>0</v>
      </c>
      <c r="BB52" s="338"/>
      <c r="BC52" s="363" t="s">
        <v>267</v>
      </c>
      <c r="BD52" s="356" t="n">
        <f aca="false">IFERROR(IF($M52=BC52,($D$8+$D$9+$D$10)*$I52,IF($N52=LEFT(BC52,1),($D$8+MAX(0,IF($D$50=1,$D$9*(1-(ABS($Q52-ABS(VALUE(MID(BC52,FIND("|",BC52)+1,FIND("-",BC52)-FIND("|",BC52)-1))-VALUE(MID(BC52,FIND("-",BC52)+1,10)))))*$D$50),$D$9*(1-(IF($N52="X",ABS($O52-VALUE(MID(BC52,FIND("|",BC52)+1,FIND("-",BC52)-FIND("|",BC52)-1))),ABS($Q52-ABS(VALUE(MID(BC52,FIND("|",BC52)+1,FIND("-",BC52)-FIND("|",BC52)-1))-VALUE(MID(BC52,FIND("-",BC52)+1,10)))))*$D$50)))))*$I52,0)),0)</f>
        <v>0</v>
      </c>
      <c r="BE52" s="338"/>
      <c r="BF52" s="363" t="s">
        <v>266</v>
      </c>
      <c r="BG52" s="356" t="n">
        <f aca="false">IFERROR(IF($M52=BF52,($D$8+$D$9+$D$10)*$I52,IF($N52=LEFT(BF52,1),($D$8+MAX(0,IF($D$50=1,$D$9*(1-(ABS($Q52-ABS(VALUE(MID(BF52,FIND("|",BF52)+1,FIND("-",BF52)-FIND("|",BF52)-1))-VALUE(MID(BF52,FIND("-",BF52)+1,10)))))*$D$50),$D$9*(1-(IF($N52="X",ABS($O52-VALUE(MID(BF52,FIND("|",BF52)+1,FIND("-",BF52)-FIND("|",BF52)-1))),ABS($Q52-ABS(VALUE(MID(BF52,FIND("|",BF52)+1,FIND("-",BF52)-FIND("|",BF52)-1))-VALUE(MID(BF52,FIND("-",BF52)+1,10)))))*$D$50)))))*$I52,0)),0)</f>
        <v>0</v>
      </c>
      <c r="BH52" s="338"/>
      <c r="BI52" s="363" t="s">
        <v>266</v>
      </c>
      <c r="BJ52" s="356" t="n">
        <f aca="false">IFERROR(IF($M52=BI52,($D$8+$D$9+$D$10)*$I52,IF($N52=LEFT(BI52,1),($D$8+MAX(0,IF($D$50=1,$D$9*(1-(ABS($Q52-ABS(VALUE(MID(BI52,FIND("|",BI52)+1,FIND("-",BI52)-FIND("|",BI52)-1))-VALUE(MID(BI52,FIND("-",BI52)+1,10)))))*$D$50),$D$9*(1-(IF($N52="X",ABS($O52-VALUE(MID(BI52,FIND("|",BI52)+1,FIND("-",BI52)-FIND("|",BI52)-1))),ABS($Q52-ABS(VALUE(MID(BI52,FIND("|",BI52)+1,FIND("-",BI52)-FIND("|",BI52)-1))-VALUE(MID(BI52,FIND("-",BI52)+1,10)))))*$D$50)))))*$I52,0)),0)</f>
        <v>0</v>
      </c>
      <c r="BK52" s="338"/>
      <c r="BL52" s="363" t="s">
        <v>272</v>
      </c>
      <c r="BM52" s="356" t="n">
        <f aca="false">IFERROR(IF($M52=BL52,($D$8+$D$9+$D$10)*$I52,IF($N52=LEFT(BL52,1),($D$8+MAX(0,IF($D$50=1,$D$9*(1-(ABS($Q52-ABS(VALUE(MID(BL52,FIND("|",BL52)+1,FIND("-",BL52)-FIND("|",BL52)-1))-VALUE(MID(BL52,FIND("-",BL52)+1,10)))))*$D$50),$D$9*(1-(IF($N52="X",ABS($O52-VALUE(MID(BL52,FIND("|",BL52)+1,FIND("-",BL52)-FIND("|",BL52)-1))),ABS($Q52-ABS(VALUE(MID(BL52,FIND("|",BL52)+1,FIND("-",BL52)-FIND("|",BL52)-1))-VALUE(MID(BL52,FIND("-",BL52)+1,10)))))*$D$50)))))*$I52,0)),0)</f>
        <v>0</v>
      </c>
      <c r="BN52" s="338"/>
      <c r="BO52" s="363" t="s">
        <v>267</v>
      </c>
      <c r="BP52" s="356" t="n">
        <f aca="false">IFERROR(IF($M52=BO52,($D$8+$D$9+$D$10)*$I52,IF($N52=LEFT(BO52,1),($D$8+MAX(0,IF($D$50=1,$D$9*(1-(ABS($Q52-ABS(VALUE(MID(BO52,FIND("|",BO52)+1,FIND("-",BO52)-FIND("|",BO52)-1))-VALUE(MID(BO52,FIND("-",BO52)+1,10)))))*$D$50),$D$9*(1-(IF($N52="X",ABS($O52-VALUE(MID(BO52,FIND("|",BO52)+1,FIND("-",BO52)-FIND("|",BO52)-1))),ABS($Q52-ABS(VALUE(MID(BO52,FIND("|",BO52)+1,FIND("-",BO52)-FIND("|",BO52)-1))-VALUE(MID(BO52,FIND("-",BO52)+1,10)))))*$D$50)))))*$I52,0)),0)</f>
        <v>0</v>
      </c>
      <c r="BQ52" s="338"/>
      <c r="BR52" s="363" t="s">
        <v>266</v>
      </c>
      <c r="BS52" s="356" t="n">
        <f aca="false">IFERROR(IF($M52=BR52,($D$8+$D$9+$D$10)*$I52,IF($N52=LEFT(BR52,1),($D$8+MAX(0,IF($D$50=1,$D$9*(1-(ABS($Q52-ABS(VALUE(MID(BR52,FIND("|",BR52)+1,FIND("-",BR52)-FIND("|",BR52)-1))-VALUE(MID(BR52,FIND("-",BR52)+1,10)))))*$D$50),$D$9*(1-(IF($N52="X",ABS($O52-VALUE(MID(BR52,FIND("|",BR52)+1,FIND("-",BR52)-FIND("|",BR52)-1))),ABS($Q52-ABS(VALUE(MID(BR52,FIND("|",BR52)+1,FIND("-",BR52)-FIND("|",BR52)-1))-VALUE(MID(BR52,FIND("-",BR52)+1,10)))))*$D$50)))))*$I52,0)),0)</f>
        <v>0</v>
      </c>
      <c r="BT52" s="338"/>
      <c r="BU52" s="363"/>
      <c r="BV52" s="356" t="n">
        <f aca="false">IFERROR(IF($M52=BU52,($D$8+$D$9+$D$10)*$I52,IF($N52=LEFT(BU52,1),($D$8+MAX(0,IF($D$50=1,$D$9*(1-(ABS($Q52-ABS(VALUE(MID(BU52,FIND("|",BU52)+1,FIND("-",BU52)-FIND("|",BU52)-1))-VALUE(MID(BU52,FIND("-",BU52)+1,10)))))*$D$50),$D$9*(1-(IF($N52="X",ABS($O52-VALUE(MID(BU52,FIND("|",BU52)+1,FIND("-",BU52)-FIND("|",BU52)-1))),ABS($Q52-ABS(VALUE(MID(BU52,FIND("|",BU52)+1,FIND("-",BU52)-FIND("|",BU52)-1))-VALUE(MID(BU52,FIND("-",BU52)+1,10)))))*$D$50)))))*$I52,0)),0)</f>
        <v>0</v>
      </c>
      <c r="BW52" s="338"/>
      <c r="BX52" s="363"/>
      <c r="BY52" s="356" t="n">
        <f aca="false">IFERROR(IF($M52=BX52,($D$8+$D$9+$D$10)*$I52,IF($N52=LEFT(BX52,1),($D$8+MAX(0,IF($D$50=1,$D$9*(1-(ABS($Q52-ABS(VALUE(MID(BX52,FIND("|",BX52)+1,FIND("-",BX52)-FIND("|",BX52)-1))-VALUE(MID(BX52,FIND("-",BX52)+1,10)))))*$D$50),$D$9*(1-(IF($N52="X",ABS($O52-VALUE(MID(BX52,FIND("|",BX52)+1,FIND("-",BX52)-FIND("|",BX52)-1))),ABS($Q52-ABS(VALUE(MID(BX52,FIND("|",BX52)+1,FIND("-",BX52)-FIND("|",BX52)-1))-VALUE(MID(BX52,FIND("-",BX52)+1,10)))))*$D$50)))))*$I52,0)),0)</f>
        <v>0</v>
      </c>
      <c r="BZ52" s="338"/>
      <c r="CA52" s="363"/>
      <c r="CB52" s="356" t="n">
        <f aca="false">IFERROR(IF($M52=CA52,($D$8+$D$9+$D$10)*$I52,IF($N52=LEFT(CA52,1),($D$8+MAX(0,IF($D$50=1,$D$9*(1-(ABS($Q52-ABS(VALUE(MID(CA52,FIND("|",CA52)+1,FIND("-",CA52)-FIND("|",CA52)-1))-VALUE(MID(CA52,FIND("-",CA52)+1,10)))))*$D$50),$D$9*(1-(IF($N52="X",ABS($O52-VALUE(MID(CA52,FIND("|",CA52)+1,FIND("-",CA52)-FIND("|",CA52)-1))),ABS($Q52-ABS(VALUE(MID(CA52,FIND("|",CA52)+1,FIND("-",CA52)-FIND("|",CA52)-1))-VALUE(MID(CA52,FIND("-",CA52)+1,10)))))*$D$50)))))*$I52,0)),0)</f>
        <v>0</v>
      </c>
      <c r="CC52" s="338"/>
      <c r="CD52" s="363"/>
      <c r="CE52" s="356" t="n">
        <f aca="false">IFERROR(IF($M52=CD52,($D$8+$D$9+$D$10)*$I52,IF($N52=LEFT(CD52,1),($D$8+MAX(0,IF($D$50=1,$D$9*(1-(ABS($Q52-ABS(VALUE(MID(CD52,FIND("|",CD52)+1,FIND("-",CD52)-FIND("|",CD52)-1))-VALUE(MID(CD52,FIND("-",CD52)+1,10)))))*$D$50),$D$9*(1-(IF($N52="X",ABS($O52-VALUE(MID(CD52,FIND("|",CD52)+1,FIND("-",CD52)-FIND("|",CD52)-1))),ABS($Q52-ABS(VALUE(MID(CD52,FIND("|",CD52)+1,FIND("-",CD52)-FIND("|",CD52)-1))-VALUE(MID(CD52,FIND("-",CD52)+1,10)))))*$D$50)))))*$I52,0)),0)</f>
        <v>0</v>
      </c>
      <c r="CF52" s="338"/>
      <c r="CG52" s="363"/>
      <c r="CH52" s="356" t="n">
        <f aca="false">IFERROR(IF($M52=CG52,($D$8+$D$9+$D$10)*$I52,IF($N52=LEFT(CG52,1),($D$8+MAX(0,IF($D$50=1,$D$9*(1-(ABS($Q52-ABS(VALUE(MID(CG52,FIND("|",CG52)+1,FIND("-",CG52)-FIND("|",CG52)-1))-VALUE(MID(CG52,FIND("-",CG52)+1,10)))))*$D$50),$D$9*(1-(IF($N52="X",ABS($O52-VALUE(MID(CG52,FIND("|",CG52)+1,FIND("-",CG52)-FIND("|",CG52)-1))),ABS($Q52-ABS(VALUE(MID(CG52,FIND("|",CG52)+1,FIND("-",CG52)-FIND("|",CG52)-1))-VALUE(MID(CG52,FIND("-",CG52)+1,10)))))*$D$50)))))*$I52,0)),0)</f>
        <v>0</v>
      </c>
      <c r="CI52" s="338"/>
      <c r="CJ52" s="363"/>
      <c r="CK52" s="356" t="n">
        <f aca="false">IFERROR(IF($M52=CJ52,($D$8+$D$9+$D$10)*$I52,IF($N52=LEFT(CJ52,1),($D$8+MAX(0,IF($D$50=1,$D$9*(1-(ABS($Q52-ABS(VALUE(MID(CJ52,FIND("|",CJ52)+1,FIND("-",CJ52)-FIND("|",CJ52)-1))-VALUE(MID(CJ52,FIND("-",CJ52)+1,10)))))*$D$50),$D$9*(1-(IF($N52="X",ABS($O52-VALUE(MID(CJ52,FIND("|",CJ52)+1,FIND("-",CJ52)-FIND("|",CJ52)-1))),ABS($Q52-ABS(VALUE(MID(CJ52,FIND("|",CJ52)+1,FIND("-",CJ52)-FIND("|",CJ52)-1))-VALUE(MID(CJ52,FIND("-",CJ52)+1,10)))))*$D$50)))))*$I52,0)),0)</f>
        <v>0</v>
      </c>
      <c r="CL52" s="338"/>
      <c r="CM52" s="363"/>
      <c r="CN52" s="356" t="n">
        <f aca="false">IFERROR(IF($M52=CM52,($D$8+$D$9+$D$10)*$I52,IF($N52=LEFT(CM52,1),($D$8+MAX(0,IF($D$50=1,$D$9*(1-(ABS($Q52-ABS(VALUE(MID(CM52,FIND("|",CM52)+1,FIND("-",CM52)-FIND("|",CM52)-1))-VALUE(MID(CM52,FIND("-",CM52)+1,10)))))*$D$50),$D$9*(1-(IF($N52="X",ABS($O52-VALUE(MID(CM52,FIND("|",CM52)+1,FIND("-",CM52)-FIND("|",CM52)-1))),ABS($Q52-ABS(VALUE(MID(CM52,FIND("|",CM52)+1,FIND("-",CM52)-FIND("|",CM52)-1))-VALUE(MID(CM52,FIND("-",CM52)+1,10)))))*$D$50)))))*$I52,0)),0)</f>
        <v>0</v>
      </c>
      <c r="CO52" s="338"/>
      <c r="CP52" s="363"/>
      <c r="CQ52" s="356" t="n">
        <f aca="false">IFERROR(IF($M52=CP52,($D$8+$D$9+$D$10)*$I52,IF($N52=LEFT(CP52,1),($D$8+MAX(0,IF($D$50=1,$D$9*(1-(ABS($Q52-ABS(VALUE(MID(CP52,FIND("|",CP52)+1,FIND("-",CP52)-FIND("|",CP52)-1))-VALUE(MID(CP52,FIND("-",CP52)+1,10)))))*$D$50),$D$9*(1-(IF($N52="X",ABS($O52-VALUE(MID(CP52,FIND("|",CP52)+1,FIND("-",CP52)-FIND("|",CP52)-1))),ABS($Q52-ABS(VALUE(MID(CP52,FIND("|",CP52)+1,FIND("-",CP52)-FIND("|",CP52)-1))-VALUE(MID(CP52,FIND("-",CP52)+1,10)))))*$D$50)))))*$I52,0)),0)</f>
        <v>0</v>
      </c>
      <c r="CR52" s="338"/>
      <c r="CS52" s="363"/>
      <c r="CT52" s="356" t="n">
        <f aca="false">IFERROR(IF($M52=CS52,($D$8+$D$9+$D$10)*$I52,IF($N52=LEFT(CS52,1),($D$8+MAX(0,IF($D$50=1,$D$9*(1-(ABS($Q52-ABS(VALUE(MID(CS52,FIND("|",CS52)+1,FIND("-",CS52)-FIND("|",CS52)-1))-VALUE(MID(CS52,FIND("-",CS52)+1,10)))))*$D$50),$D$9*(1-(IF($N52="X",ABS($O52-VALUE(MID(CS52,FIND("|",CS52)+1,FIND("-",CS52)-FIND("|",CS52)-1))),ABS($Q52-ABS(VALUE(MID(CS52,FIND("|",CS52)+1,FIND("-",CS52)-FIND("|",CS52)-1))-VALUE(MID(CS52,FIND("-",CS52)+1,10)))))*$D$50)))))*$I52,0)),0)</f>
        <v>0</v>
      </c>
      <c r="CU52" s="338"/>
      <c r="CV52" s="363"/>
      <c r="CW52" s="356" t="n">
        <f aca="false">IFERROR(IF($M52=CV52,($D$8+$D$9+$D$10)*$I52,IF($N52=LEFT(CV52,1),($D$8+MAX(0,IF($D$50=1,$D$9*(1-(ABS($Q52-ABS(VALUE(MID(CV52,FIND("|",CV52)+1,FIND("-",CV52)-FIND("|",CV52)-1))-VALUE(MID(CV52,FIND("-",CV52)+1,10)))))*$D$50),$D$9*(1-(IF($N52="X",ABS($O52-VALUE(MID(CV52,FIND("|",CV52)+1,FIND("-",CV52)-FIND("|",CV52)-1))),ABS($Q52-ABS(VALUE(MID(CV52,FIND("|",CV52)+1,FIND("-",CV52)-FIND("|",CV52)-1))-VALUE(MID(CV52,FIND("-",CV52)+1,10)))))*$D$50)))))*$I52,0)),0)</f>
        <v>0</v>
      </c>
      <c r="CX52" s="338"/>
      <c r="CY52" s="363"/>
      <c r="CZ52" s="356" t="n">
        <f aca="false">IFERROR(IF($M52=CY52,($D$8+$D$9+$D$10)*$I52,IF($N52=LEFT(CY52,1),($D$8+MAX(0,IF($D$50=1,$D$9*(1-(ABS($Q52-ABS(VALUE(MID(CY52,FIND("|",CY52)+1,FIND("-",CY52)-FIND("|",CY52)-1))-VALUE(MID(CY52,FIND("-",CY52)+1,10)))))*$D$50),$D$9*(1-(IF($N52="X",ABS($O52-VALUE(MID(CY52,FIND("|",CY52)+1,FIND("-",CY52)-FIND("|",CY52)-1))),ABS($Q52-ABS(VALUE(MID(CY52,FIND("|",CY52)+1,FIND("-",CY52)-FIND("|",CY52)-1))-VALUE(MID(CY52,FIND("-",CY52)+1,10)))))*$D$50)))))*$I52,0)),0)</f>
        <v>0</v>
      </c>
      <c r="DA52" s="338"/>
      <c r="DB52" s="363"/>
      <c r="DC52" s="356" t="n">
        <f aca="false">IFERROR(IF($M52=DB52,($D$8+$D$9+$D$10)*$I52,IF($N52=LEFT(DB52,1),($D$8+MAX(0,IF($D$50=1,$D$9*(1-(ABS($Q52-ABS(VALUE(MID(DB52,FIND("|",DB52)+1,FIND("-",DB52)-FIND("|",DB52)-1))-VALUE(MID(DB52,FIND("-",DB52)+1,10)))))*$D$50),$D$9*(1-(IF($N52="X",ABS($O52-VALUE(MID(DB52,FIND("|",DB52)+1,FIND("-",DB52)-FIND("|",DB52)-1))),ABS($Q52-ABS(VALUE(MID(DB52,FIND("|",DB52)+1,FIND("-",DB52)-FIND("|",DB52)-1))-VALUE(MID(DB52,FIND("-",DB52)+1,10)))))*$D$50)))))*$I52,0)),0)</f>
        <v>0</v>
      </c>
      <c r="DD52" s="338"/>
      <c r="DE52" s="363"/>
      <c r="DF52" s="356" t="n">
        <f aca="false">IFERROR(IF($M52=DE52,($D$8+$D$9+$D$10)*$I52,IF($N52=LEFT(DE52,1),($D$8+MAX(0,IF($D$50=1,$D$9*(1-(ABS($Q52-ABS(VALUE(MID(DE52,FIND("|",DE52)+1,FIND("-",DE52)-FIND("|",DE52)-1))-VALUE(MID(DE52,FIND("-",DE52)+1,10)))))*$D$50),$D$9*(1-(IF($N52="X",ABS($O52-VALUE(MID(DE52,FIND("|",DE52)+1,FIND("-",DE52)-FIND("|",DE52)-1))),ABS($Q52-ABS(VALUE(MID(DE52,FIND("|",DE52)+1,FIND("-",DE52)-FIND("|",DE52)-1))-VALUE(MID(DE52,FIND("-",DE52)+1,10)))))*$D$50)))))*$I52,0)),0)</f>
        <v>0</v>
      </c>
      <c r="DG52" s="338"/>
      <c r="DH52" s="363"/>
      <c r="DI52" s="356" t="n">
        <f aca="false">IFERROR(IF($M52=DH52,($D$8+$D$9+$D$10)*$I52,IF($N52=LEFT(DH52,1),($D$8+MAX(0,IF($D$50=1,$D$9*(1-(ABS($Q52-ABS(VALUE(MID(DH52,FIND("|",DH52)+1,FIND("-",DH52)-FIND("|",DH52)-1))-VALUE(MID(DH52,FIND("-",DH52)+1,10)))))*$D$50),$D$9*(1-(IF($N52="X",ABS($O52-VALUE(MID(DH52,FIND("|",DH52)+1,FIND("-",DH52)-FIND("|",DH52)-1))),ABS($Q52-ABS(VALUE(MID(DH52,FIND("|",DH52)+1,FIND("-",DH52)-FIND("|",DH52)-1))-VALUE(MID(DH52,FIND("-",DH52)+1,10)))))*$D$50)))))*$I52,0)),0)</f>
        <v>0</v>
      </c>
      <c r="DJ52" s="338"/>
      <c r="DK52" s="363"/>
      <c r="DL52" s="356" t="n">
        <f aca="false">IFERROR(IF($M52=DK52,($D$8+$D$9+$D$10)*$I52,IF($N52=LEFT(DK52,1),($D$8+MAX(0,IF($D$50=1,$D$9*(1-(ABS($Q52-ABS(VALUE(MID(DK52,FIND("|",DK52)+1,FIND("-",DK52)-FIND("|",DK52)-1))-VALUE(MID(DK52,FIND("-",DK52)+1,10)))))*$D$50),$D$9*(1-(IF($N52="X",ABS($O52-VALUE(MID(DK52,FIND("|",DK52)+1,FIND("-",DK52)-FIND("|",DK52)-1))),ABS($Q52-ABS(VALUE(MID(DK52,FIND("|",DK52)+1,FIND("-",DK52)-FIND("|",DK52)-1))-VALUE(MID(DK52,FIND("-",DK52)+1,10)))))*$D$50)))))*$I52,0)),0)</f>
        <v>0</v>
      </c>
      <c r="DM52" s="338"/>
      <c r="DN52" s="363"/>
      <c r="DO52" s="356" t="n">
        <f aca="false">IFERROR(IF($M52=DN52,($D$8+$D$9+$D$10)*$I52,IF($N52=LEFT(DN52,1),($D$8+MAX(0,IF($D$50=1,$D$9*(1-(ABS($Q52-ABS(VALUE(MID(DN52,FIND("|",DN52)+1,FIND("-",DN52)-FIND("|",DN52)-1))-VALUE(MID(DN52,FIND("-",DN52)+1,10)))))*$D$50),$D$9*(1-(IF($N52="X",ABS($O52-VALUE(MID(DN52,FIND("|",DN52)+1,FIND("-",DN52)-FIND("|",DN52)-1))),ABS($Q52-ABS(VALUE(MID(DN52,FIND("|",DN52)+1,FIND("-",DN52)-FIND("|",DN52)-1))-VALUE(MID(DN52,FIND("-",DN52)+1,10)))))*$D$50)))))*$I52,0)),0)</f>
        <v>0</v>
      </c>
      <c r="DP52" s="338"/>
      <c r="DQ52" s="363"/>
      <c r="DR52" s="356" t="n">
        <f aca="false">IFERROR(IF($M52=DQ52,($D$8+$D$9+$D$10)*$I52,IF($N52=LEFT(DQ52,1),($D$8+MAX(0,IF($D$50=1,$D$9*(1-(ABS($Q52-ABS(VALUE(MID(DQ52,FIND("|",DQ52)+1,FIND("-",DQ52)-FIND("|",DQ52)-1))-VALUE(MID(DQ52,FIND("-",DQ52)+1,10)))))*$D$50),$D$9*(1-(IF($N52="X",ABS($O52-VALUE(MID(DQ52,FIND("|",DQ52)+1,FIND("-",DQ52)-FIND("|",DQ52)-1))),ABS($Q52-ABS(VALUE(MID(DQ52,FIND("|",DQ52)+1,FIND("-",DQ52)-FIND("|",DQ52)-1))-VALUE(MID(DQ52,FIND("-",DQ52)+1,10)))))*$D$50)))))*$I52,0)),0)</f>
        <v>0</v>
      </c>
      <c r="DS52" s="338"/>
      <c r="DT52" s="363"/>
      <c r="DU52" s="356" t="n">
        <f aca="false">IFERROR(IF($M52=DT52,($D$8+$D$9+$D$10)*$I52,IF($N52=LEFT(DT52,1),($D$8+MAX(0,IF($D$50=1,$D$9*(1-(ABS($Q52-ABS(VALUE(MID(DT52,FIND("|",DT52)+1,FIND("-",DT52)-FIND("|",DT52)-1))-VALUE(MID(DT52,FIND("-",DT52)+1,10)))))*$D$50),$D$9*(1-(IF($N52="X",ABS($O52-VALUE(MID(DT52,FIND("|",DT52)+1,FIND("-",DT52)-FIND("|",DT52)-1))),ABS($Q52-ABS(VALUE(MID(DT52,FIND("|",DT52)+1,FIND("-",DT52)-FIND("|",DT52)-1))-VALUE(MID(DT52,FIND("-",DT52)+1,10)))))*$D$50)))))*$I52,0)),0)</f>
        <v>0</v>
      </c>
      <c r="DV52" s="338"/>
      <c r="DW52" s="363"/>
      <c r="DX52" s="356" t="n">
        <f aca="false">IFERROR(IF($M52=DW52,($D$8+$D$9+$D$10)*$I52,IF($N52=LEFT(DW52,1),($D$8+MAX(0,IF($D$50=1,$D$9*(1-(ABS($Q52-ABS(VALUE(MID(DW52,FIND("|",DW52)+1,FIND("-",DW52)-FIND("|",DW52)-1))-VALUE(MID(DW52,FIND("-",DW52)+1,10)))))*$D$50),$D$9*(1-(IF($N52="X",ABS($O52-VALUE(MID(DW52,FIND("|",DW52)+1,FIND("-",DW52)-FIND("|",DW52)-1))),ABS($Q52-ABS(VALUE(MID(DW52,FIND("|",DW52)+1,FIND("-",DW52)-FIND("|",DW52)-1))-VALUE(MID(DW52,FIND("-",DW52)+1,10)))))*$D$50)))))*$I52,0)),0)</f>
        <v>0</v>
      </c>
      <c r="DY52" s="338"/>
      <c r="DZ52" s="363"/>
      <c r="EA52" s="356" t="n">
        <f aca="false">IFERROR(IF($M52=DZ52,($D$8+$D$9+$D$10)*$I52,IF($N52=LEFT(DZ52,1),($D$8+MAX(0,IF($D$50=1,$D$9*(1-(ABS($Q52-ABS(VALUE(MID(DZ52,FIND("|",DZ52)+1,FIND("-",DZ52)-FIND("|",DZ52)-1))-VALUE(MID(DZ52,FIND("-",DZ52)+1,10)))))*$D$50),$D$9*(1-(IF($N52="X",ABS($O52-VALUE(MID(DZ52,FIND("|",DZ52)+1,FIND("-",DZ52)-FIND("|",DZ52)-1))),ABS($Q52-ABS(VALUE(MID(DZ52,FIND("|",DZ52)+1,FIND("-",DZ52)-FIND("|",DZ52)-1))-VALUE(MID(DZ52,FIND("-",DZ52)+1,10)))))*$D$50)))))*$I52,0)),0)</f>
        <v>0</v>
      </c>
      <c r="EB52" s="338"/>
      <c r="EC52" s="363"/>
      <c r="ED52" s="356" t="n">
        <f aca="false">IFERROR(IF($M52=EC52,($D$8+$D$9+$D$10)*$I52,IF($N52=LEFT(EC52,1),($D$8+MAX(0,IF($D$50=1,$D$9*(1-(ABS($Q52-ABS(VALUE(MID(EC52,FIND("|",EC52)+1,FIND("-",EC52)-FIND("|",EC52)-1))-VALUE(MID(EC52,FIND("-",EC52)+1,10)))))*$D$50),$D$9*(1-(IF($N52="X",ABS($O52-VALUE(MID(EC52,FIND("|",EC52)+1,FIND("-",EC52)-FIND("|",EC52)-1))),ABS($Q52-ABS(VALUE(MID(EC52,FIND("|",EC52)+1,FIND("-",EC52)-FIND("|",EC52)-1))-VALUE(MID(EC52,FIND("-",EC52)+1,10)))))*$D$50)))))*$I52,0)),0)</f>
        <v>0</v>
      </c>
      <c r="EE52" s="338"/>
      <c r="EF52" s="363"/>
      <c r="EG52" s="356" t="n">
        <f aca="false">IFERROR(IF($M52=EF52,($D$8+$D$9+$D$10)*$I52,IF($N52=LEFT(EF52,1),($D$8+MAX(0,IF($D$50=1,$D$9*(1-(ABS($Q52-ABS(VALUE(MID(EF52,FIND("|",EF52)+1,FIND("-",EF52)-FIND("|",EF52)-1))-VALUE(MID(EF52,FIND("-",EF52)+1,10)))))*$D$50),$D$9*(1-(IF($N52="X",ABS($O52-VALUE(MID(EF52,FIND("|",EF52)+1,FIND("-",EF52)-FIND("|",EF52)-1))),ABS($Q52-ABS(VALUE(MID(EF52,FIND("|",EF52)+1,FIND("-",EF52)-FIND("|",EF52)-1))-VALUE(MID(EF52,FIND("-",EF52)+1,10)))))*$D$50)))))*$I52,0)),0)</f>
        <v>0</v>
      </c>
      <c r="EH52" s="338"/>
      <c r="EI52" s="338"/>
    </row>
    <row r="53" customFormat="false" ht="15" hidden="false" customHeight="false" outlineLevel="0" collapsed="false">
      <c r="A53" s="327"/>
      <c r="B53" s="327"/>
      <c r="C53" s="248"/>
      <c r="D53" s="90"/>
      <c r="E53" s="379"/>
      <c r="F53" s="343" t="n">
        <f aca="false">SUM($D$8:$D$10)*I53</f>
        <v>17</v>
      </c>
      <c r="G53" s="343" t="n">
        <f aca="false">VLOOKUP(H53,Equipos!$Q$1:$R$25,2,0)</f>
        <v>14</v>
      </c>
      <c r="H53" s="351" t="n">
        <f aca="false">TRUNC(INDEX(WORLDCUP!$X$4:$X$147,MATCH(ADMIN!K53,WORLDCUP!$DT$4:$DT$147,0))+INDEX(Horarios!$R$3:$R$86,MATCH(Horarios!$C$3,Horarios!$P$3:$P$86,0))/24)</f>
        <v>46197</v>
      </c>
      <c r="I53" s="352" t="n">
        <v>1</v>
      </c>
      <c r="J53" s="362" t="s">
        <v>311</v>
      </c>
      <c r="K53" s="372" t="str">
        <f aca="false">CONCATENATE(WORLDCUP!AA95,"-",WORLDCUP!AF95)</f>
        <v>Panamá-Croacia</v>
      </c>
      <c r="L53" s="373"/>
      <c r="M53" s="374" t="str">
        <f aca="false">IF(OR(WORLDCUP!AC95="",WORLDCUP!AD95=""),"-",N53&amp;"|"&amp;O53&amp;"-"&amp;P53)</f>
        <v>-</v>
      </c>
      <c r="N53" s="332" t="str">
        <f aca="false">IF(OR(WORLDCUP!AC95="",WORLDCUP!AD95=""),"",IF(WORLDCUP!AC95&gt;WORLDCUP!AD95,"1",IF(WORLDCUP!AC95&lt;WORLDCUP!AD95,"2","X")))</f>
        <v/>
      </c>
      <c r="O53" s="332" t="n">
        <f aca="false">WORLDCUP!AC95</f>
        <v>0</v>
      </c>
      <c r="P53" s="332" t="n">
        <f aca="false">WORLDCUP!AD95</f>
        <v>0</v>
      </c>
      <c r="Q53" s="332" t="n">
        <f aca="false">ABS(O53-P53)</f>
        <v>0</v>
      </c>
      <c r="R53" s="327"/>
      <c r="S53" s="375" t="s">
        <v>274</v>
      </c>
      <c r="T53" s="376" t="n">
        <f aca="false">IFERROR(IF($M53=S53,($D$8+$D$9+$D$10)*$I53,IF($N53=LEFT(S53,1),($D$8+MAX(0,IF($D$50=1,$D$9*(1-(ABS($Q53-ABS(VALUE(MID(S53,FIND("|",S53)+1,FIND("-",S53)-FIND("|",S53)-1))-VALUE(MID(S53,FIND("-",S53)+1,10)))))*$D$50),$D$9*(1-(IF($N53="X",ABS($O53-VALUE(MID(S53,FIND("|",S53)+1,FIND("-",S53)-FIND("|",S53)-1))),ABS($Q53-ABS(VALUE(MID(S53,FIND("|",S53)+1,FIND("-",S53)-FIND("|",S53)-1))-VALUE(MID(S53,FIND("-",S53)+1,10)))))*$D$50)))))*$I53,0)),0)</f>
        <v>0</v>
      </c>
      <c r="U53" s="338"/>
      <c r="V53" s="375" t="s">
        <v>271</v>
      </c>
      <c r="W53" s="376" t="n">
        <f aca="false">IFERROR(IF($M53=V53,($D$8+$D$9+$D$10)*$I53,IF($N53=LEFT(V53,1),($D$8+MAX(0,IF($D$50=1,$D$9*(1-(ABS($Q53-ABS(VALUE(MID(V53,FIND("|",V53)+1,FIND("-",V53)-FIND("|",V53)-1))-VALUE(MID(V53,FIND("-",V53)+1,10)))))*$D$50),$D$9*(1-(IF($N53="X",ABS($O53-VALUE(MID(V53,FIND("|",V53)+1,FIND("-",V53)-FIND("|",V53)-1))),ABS($Q53-ABS(VALUE(MID(V53,FIND("|",V53)+1,FIND("-",V53)-FIND("|",V53)-1))-VALUE(MID(V53,FIND("-",V53)+1,10)))))*$D$50)))))*$I53,0)),0)</f>
        <v>0</v>
      </c>
      <c r="X53" s="338"/>
      <c r="Y53" s="375" t="s">
        <v>274</v>
      </c>
      <c r="Z53" s="376" t="n">
        <f aca="false">IFERROR(IF($M53=Y53,($D$8+$D$9+$D$10)*$I53,IF($N53=LEFT(Y53,1),($D$8+MAX(0,IF($D$50=1,$D$9*(1-(ABS($Q53-ABS(VALUE(MID(Y53,FIND("|",Y53)+1,FIND("-",Y53)-FIND("|",Y53)-1))-VALUE(MID(Y53,FIND("-",Y53)+1,10)))))*$D$50),$D$9*(1-(IF($N53="X",ABS($O53-VALUE(MID(Y53,FIND("|",Y53)+1,FIND("-",Y53)-FIND("|",Y53)-1))),ABS($Q53-ABS(VALUE(MID(Y53,FIND("|",Y53)+1,FIND("-",Y53)-FIND("|",Y53)-1))-VALUE(MID(Y53,FIND("-",Y53)+1,10)))))*$D$50)))))*$I53,0)),0)</f>
        <v>0</v>
      </c>
      <c r="AA53" s="338"/>
      <c r="AB53" s="375" t="s">
        <v>274</v>
      </c>
      <c r="AC53" s="376" t="n">
        <f aca="false">IFERROR(IF($M53=AB53,($D$8+$D$9+$D$10)*$I53,IF($N53=LEFT(AB53,1),($D$8+MAX(0,IF($D$50=1,$D$9*(1-(ABS($Q53-ABS(VALUE(MID(AB53,FIND("|",AB53)+1,FIND("-",AB53)-FIND("|",AB53)-1))-VALUE(MID(AB53,FIND("-",AB53)+1,10)))))*$D$50),$D$9*(1-(IF($N53="X",ABS($O53-VALUE(MID(AB53,FIND("|",AB53)+1,FIND("-",AB53)-FIND("|",AB53)-1))),ABS($Q53-ABS(VALUE(MID(AB53,FIND("|",AB53)+1,FIND("-",AB53)-FIND("|",AB53)-1))-VALUE(MID(AB53,FIND("-",AB53)+1,10)))))*$D$50)))))*$I53,0)),0)</f>
        <v>0</v>
      </c>
      <c r="AD53" s="338"/>
      <c r="AE53" s="375" t="s">
        <v>273</v>
      </c>
      <c r="AF53" s="376" t="n">
        <f aca="false">IFERROR(IF($M53=AE53,($D$8+$D$9+$D$10)*$I53,IF($N53=LEFT(AE53,1),($D$8+MAX(0,IF($D$50=1,$D$9*(1-(ABS($Q53-ABS(VALUE(MID(AE53,FIND("|",AE53)+1,FIND("-",AE53)-FIND("|",AE53)-1))-VALUE(MID(AE53,FIND("-",AE53)+1,10)))))*$D$50),$D$9*(1-(IF($N53="X",ABS($O53-VALUE(MID(AE53,FIND("|",AE53)+1,FIND("-",AE53)-FIND("|",AE53)-1))),ABS($Q53-ABS(VALUE(MID(AE53,FIND("|",AE53)+1,FIND("-",AE53)-FIND("|",AE53)-1))-VALUE(MID(AE53,FIND("-",AE53)+1,10)))))*$D$50)))))*$I53,0)),0)</f>
        <v>0</v>
      </c>
      <c r="AG53" s="338"/>
      <c r="AH53" s="375" t="s">
        <v>271</v>
      </c>
      <c r="AI53" s="376" t="n">
        <f aca="false">IFERROR(IF($M53=AH53,($D$8+$D$9+$D$10)*$I53,IF($N53=LEFT(AH53,1),($D$8+MAX(0,IF($D$50=1,$D$9*(1-(ABS($Q53-ABS(VALUE(MID(AH53,FIND("|",AH53)+1,FIND("-",AH53)-FIND("|",AH53)-1))-VALUE(MID(AH53,FIND("-",AH53)+1,10)))))*$D$50),$D$9*(1-(IF($N53="X",ABS($O53-VALUE(MID(AH53,FIND("|",AH53)+1,FIND("-",AH53)-FIND("|",AH53)-1))),ABS($Q53-ABS(VALUE(MID(AH53,FIND("|",AH53)+1,FIND("-",AH53)-FIND("|",AH53)-1))-VALUE(MID(AH53,FIND("-",AH53)+1,10)))))*$D$50)))))*$I53,0)),0)</f>
        <v>0</v>
      </c>
      <c r="AJ53" s="338"/>
      <c r="AK53" s="375" t="s">
        <v>274</v>
      </c>
      <c r="AL53" s="376" t="n">
        <f aca="false">IFERROR(IF($M53=AK53,($D$8+$D$9+$D$10)*$I53,IF($N53=LEFT(AK53,1),($D$8+MAX(0,IF($D$50=1,$D$9*(1-(ABS($Q53-ABS(VALUE(MID(AK53,FIND("|",AK53)+1,FIND("-",AK53)-FIND("|",AK53)-1))-VALUE(MID(AK53,FIND("-",AK53)+1,10)))))*$D$50),$D$9*(1-(IF($N53="X",ABS($O53-VALUE(MID(AK53,FIND("|",AK53)+1,FIND("-",AK53)-FIND("|",AK53)-1))),ABS($Q53-ABS(VALUE(MID(AK53,FIND("|",AK53)+1,FIND("-",AK53)-FIND("|",AK53)-1))-VALUE(MID(AK53,FIND("-",AK53)+1,10)))))*$D$50)))))*$I53,0)),0)</f>
        <v>0</v>
      </c>
      <c r="AM53" s="338"/>
      <c r="AN53" s="375" t="s">
        <v>274</v>
      </c>
      <c r="AO53" s="376" t="n">
        <f aca="false">IFERROR(IF($M53=AN53,($D$8+$D$9+$D$10)*$I53,IF($N53=LEFT(AN53,1),($D$8+MAX(0,IF($D$50=1,$D$9*(1-(ABS($Q53-ABS(VALUE(MID(AN53,FIND("|",AN53)+1,FIND("-",AN53)-FIND("|",AN53)-1))-VALUE(MID(AN53,FIND("-",AN53)+1,10)))))*$D$50),$D$9*(1-(IF($N53="X",ABS($O53-VALUE(MID(AN53,FIND("|",AN53)+1,FIND("-",AN53)-FIND("|",AN53)-1))),ABS($Q53-ABS(VALUE(MID(AN53,FIND("|",AN53)+1,FIND("-",AN53)-FIND("|",AN53)-1))-VALUE(MID(AN53,FIND("-",AN53)+1,10)))))*$D$50)))))*$I53,0)),0)</f>
        <v>0</v>
      </c>
      <c r="AP53" s="338"/>
      <c r="AQ53" s="375" t="s">
        <v>268</v>
      </c>
      <c r="AR53" s="376" t="n">
        <f aca="false">IFERROR(IF($M53=AQ53,($D$8+$D$9+$D$10)*$I53,IF($N53=LEFT(AQ53,1),($D$8+MAX(0,IF($D$50=1,$D$9*(1-(ABS($Q53-ABS(VALUE(MID(AQ53,FIND("|",AQ53)+1,FIND("-",AQ53)-FIND("|",AQ53)-1))-VALUE(MID(AQ53,FIND("-",AQ53)+1,10)))))*$D$50),$D$9*(1-(IF($N53="X",ABS($O53-VALUE(MID(AQ53,FIND("|",AQ53)+1,FIND("-",AQ53)-FIND("|",AQ53)-1))),ABS($Q53-ABS(VALUE(MID(AQ53,FIND("|",AQ53)+1,FIND("-",AQ53)-FIND("|",AQ53)-1))-VALUE(MID(AQ53,FIND("-",AQ53)+1,10)))))*$D$50)))))*$I53,0)),0)</f>
        <v>0</v>
      </c>
      <c r="AS53" s="338"/>
      <c r="AT53" s="375" t="s">
        <v>274</v>
      </c>
      <c r="AU53" s="376" t="n">
        <f aca="false">IFERROR(IF($M53=AT53,($D$8+$D$9+$D$10)*$I53,IF($N53=LEFT(AT53,1),($D$8+MAX(0,IF($D$50=1,$D$9*(1-(ABS($Q53-ABS(VALUE(MID(AT53,FIND("|",AT53)+1,FIND("-",AT53)-FIND("|",AT53)-1))-VALUE(MID(AT53,FIND("-",AT53)+1,10)))))*$D$50),$D$9*(1-(IF($N53="X",ABS($O53-VALUE(MID(AT53,FIND("|",AT53)+1,FIND("-",AT53)-FIND("|",AT53)-1))),ABS($Q53-ABS(VALUE(MID(AT53,FIND("|",AT53)+1,FIND("-",AT53)-FIND("|",AT53)-1))-VALUE(MID(AT53,FIND("-",AT53)+1,10)))))*$D$50)))))*$I53,0)),0)</f>
        <v>0</v>
      </c>
      <c r="AV53" s="338"/>
      <c r="AW53" s="375" t="s">
        <v>268</v>
      </c>
      <c r="AX53" s="376" t="n">
        <f aca="false">IFERROR(IF($M53=AW53,($D$8+$D$9+$D$10)*$I53,IF($N53=LEFT(AW53,1),($D$8+MAX(0,IF($D$50=1,$D$9*(1-(ABS($Q53-ABS(VALUE(MID(AW53,FIND("|",AW53)+1,FIND("-",AW53)-FIND("|",AW53)-1))-VALUE(MID(AW53,FIND("-",AW53)+1,10)))))*$D$50),$D$9*(1-(IF($N53="X",ABS($O53-VALUE(MID(AW53,FIND("|",AW53)+1,FIND("-",AW53)-FIND("|",AW53)-1))),ABS($Q53-ABS(VALUE(MID(AW53,FIND("|",AW53)+1,FIND("-",AW53)-FIND("|",AW53)-1))-VALUE(MID(AW53,FIND("-",AW53)+1,10)))))*$D$50)))))*$I53,0)),0)</f>
        <v>0</v>
      </c>
      <c r="AY53" s="338"/>
      <c r="AZ53" s="375" t="s">
        <v>277</v>
      </c>
      <c r="BA53" s="376" t="n">
        <f aca="false">IFERROR(IF($M53=AZ53,($D$8+$D$9+$D$10)*$I53,IF($N53=LEFT(AZ53,1),($D$8+MAX(0,IF($D$50=1,$D$9*(1-(ABS($Q53-ABS(VALUE(MID(AZ53,FIND("|",AZ53)+1,FIND("-",AZ53)-FIND("|",AZ53)-1))-VALUE(MID(AZ53,FIND("-",AZ53)+1,10)))))*$D$50),$D$9*(1-(IF($N53="X",ABS($O53-VALUE(MID(AZ53,FIND("|",AZ53)+1,FIND("-",AZ53)-FIND("|",AZ53)-1))),ABS($Q53-ABS(VALUE(MID(AZ53,FIND("|",AZ53)+1,FIND("-",AZ53)-FIND("|",AZ53)-1))-VALUE(MID(AZ53,FIND("-",AZ53)+1,10)))))*$D$50)))))*$I53,0)),0)</f>
        <v>0</v>
      </c>
      <c r="BB53" s="338"/>
      <c r="BC53" s="375" t="s">
        <v>274</v>
      </c>
      <c r="BD53" s="376" t="n">
        <f aca="false">IFERROR(IF($M53=BC53,($D$8+$D$9+$D$10)*$I53,IF($N53=LEFT(BC53,1),($D$8+MAX(0,IF($D$50=1,$D$9*(1-(ABS($Q53-ABS(VALUE(MID(BC53,FIND("|",BC53)+1,FIND("-",BC53)-FIND("|",BC53)-1))-VALUE(MID(BC53,FIND("-",BC53)+1,10)))))*$D$50),$D$9*(1-(IF($N53="X",ABS($O53-VALUE(MID(BC53,FIND("|",BC53)+1,FIND("-",BC53)-FIND("|",BC53)-1))),ABS($Q53-ABS(VALUE(MID(BC53,FIND("|",BC53)+1,FIND("-",BC53)-FIND("|",BC53)-1))-VALUE(MID(BC53,FIND("-",BC53)+1,10)))))*$D$50)))))*$I53,0)),0)</f>
        <v>0</v>
      </c>
      <c r="BE53" s="338"/>
      <c r="BF53" s="375" t="s">
        <v>266</v>
      </c>
      <c r="BG53" s="376" t="n">
        <f aca="false">IFERROR(IF($M53=BF53,($D$8+$D$9+$D$10)*$I53,IF($N53=LEFT(BF53,1),($D$8+MAX(0,IF($D$50=1,$D$9*(1-(ABS($Q53-ABS(VALUE(MID(BF53,FIND("|",BF53)+1,FIND("-",BF53)-FIND("|",BF53)-1))-VALUE(MID(BF53,FIND("-",BF53)+1,10)))))*$D$50),$D$9*(1-(IF($N53="X",ABS($O53-VALUE(MID(BF53,FIND("|",BF53)+1,FIND("-",BF53)-FIND("|",BF53)-1))),ABS($Q53-ABS(VALUE(MID(BF53,FIND("|",BF53)+1,FIND("-",BF53)-FIND("|",BF53)-1))-VALUE(MID(BF53,FIND("-",BF53)+1,10)))))*$D$50)))))*$I53,0)),0)</f>
        <v>0</v>
      </c>
      <c r="BH53" s="338"/>
      <c r="BI53" s="375" t="s">
        <v>268</v>
      </c>
      <c r="BJ53" s="376" t="n">
        <f aca="false">IFERROR(IF($M53=BI53,($D$8+$D$9+$D$10)*$I53,IF($N53=LEFT(BI53,1),($D$8+MAX(0,IF($D$50=1,$D$9*(1-(ABS($Q53-ABS(VALUE(MID(BI53,FIND("|",BI53)+1,FIND("-",BI53)-FIND("|",BI53)-1))-VALUE(MID(BI53,FIND("-",BI53)+1,10)))))*$D$50),$D$9*(1-(IF($N53="X",ABS($O53-VALUE(MID(BI53,FIND("|",BI53)+1,FIND("-",BI53)-FIND("|",BI53)-1))),ABS($Q53-ABS(VALUE(MID(BI53,FIND("|",BI53)+1,FIND("-",BI53)-FIND("|",BI53)-1))-VALUE(MID(BI53,FIND("-",BI53)+1,10)))))*$D$50)))))*$I53,0)),0)</f>
        <v>0</v>
      </c>
      <c r="BK53" s="338"/>
      <c r="BL53" s="375" t="s">
        <v>268</v>
      </c>
      <c r="BM53" s="376" t="n">
        <f aca="false">IFERROR(IF($M53=BL53,($D$8+$D$9+$D$10)*$I53,IF($N53=LEFT(BL53,1),($D$8+MAX(0,IF($D$50=1,$D$9*(1-(ABS($Q53-ABS(VALUE(MID(BL53,FIND("|",BL53)+1,FIND("-",BL53)-FIND("|",BL53)-1))-VALUE(MID(BL53,FIND("-",BL53)+1,10)))))*$D$50),$D$9*(1-(IF($N53="X",ABS($O53-VALUE(MID(BL53,FIND("|",BL53)+1,FIND("-",BL53)-FIND("|",BL53)-1))),ABS($Q53-ABS(VALUE(MID(BL53,FIND("|",BL53)+1,FIND("-",BL53)-FIND("|",BL53)-1))-VALUE(MID(BL53,FIND("-",BL53)+1,10)))))*$D$50)))))*$I53,0)),0)</f>
        <v>0</v>
      </c>
      <c r="BN53" s="338"/>
      <c r="BO53" s="375" t="s">
        <v>312</v>
      </c>
      <c r="BP53" s="376" t="n">
        <f aca="false">IFERROR(IF($M53=BO53,($D$8+$D$9+$D$10)*$I53,IF($N53=LEFT(BO53,1),($D$8+MAX(0,IF($D$50=1,$D$9*(1-(ABS($Q53-ABS(VALUE(MID(BO53,FIND("|",BO53)+1,FIND("-",BO53)-FIND("|",BO53)-1))-VALUE(MID(BO53,FIND("-",BO53)+1,10)))))*$D$50),$D$9*(1-(IF($N53="X",ABS($O53-VALUE(MID(BO53,FIND("|",BO53)+1,FIND("-",BO53)-FIND("|",BO53)-1))),ABS($Q53-ABS(VALUE(MID(BO53,FIND("|",BO53)+1,FIND("-",BO53)-FIND("|",BO53)-1))-VALUE(MID(BO53,FIND("-",BO53)+1,10)))))*$D$50)))))*$I53,0)),0)</f>
        <v>0</v>
      </c>
      <c r="BQ53" s="338"/>
      <c r="BR53" s="375" t="s">
        <v>271</v>
      </c>
      <c r="BS53" s="376" t="n">
        <f aca="false">IFERROR(IF($M53=BR53,($D$8+$D$9+$D$10)*$I53,IF($N53=LEFT(BR53,1),($D$8+MAX(0,IF($D$50=1,$D$9*(1-(ABS($Q53-ABS(VALUE(MID(BR53,FIND("|",BR53)+1,FIND("-",BR53)-FIND("|",BR53)-1))-VALUE(MID(BR53,FIND("-",BR53)+1,10)))))*$D$50),$D$9*(1-(IF($N53="X",ABS($O53-VALUE(MID(BR53,FIND("|",BR53)+1,FIND("-",BR53)-FIND("|",BR53)-1))),ABS($Q53-ABS(VALUE(MID(BR53,FIND("|",BR53)+1,FIND("-",BR53)-FIND("|",BR53)-1))-VALUE(MID(BR53,FIND("-",BR53)+1,10)))))*$D$50)))))*$I53,0)),0)</f>
        <v>0</v>
      </c>
      <c r="BT53" s="338"/>
      <c r="BU53" s="375"/>
      <c r="BV53" s="376" t="n">
        <f aca="false">IFERROR(IF($M53=BU53,($D$8+$D$9+$D$10)*$I53,IF($N53=LEFT(BU53,1),($D$8+MAX(0,IF($D$50=1,$D$9*(1-(ABS($Q53-ABS(VALUE(MID(BU53,FIND("|",BU53)+1,FIND("-",BU53)-FIND("|",BU53)-1))-VALUE(MID(BU53,FIND("-",BU53)+1,10)))))*$D$50),$D$9*(1-(IF($N53="X",ABS($O53-VALUE(MID(BU53,FIND("|",BU53)+1,FIND("-",BU53)-FIND("|",BU53)-1))),ABS($Q53-ABS(VALUE(MID(BU53,FIND("|",BU53)+1,FIND("-",BU53)-FIND("|",BU53)-1))-VALUE(MID(BU53,FIND("-",BU53)+1,10)))))*$D$50)))))*$I53,0)),0)</f>
        <v>0</v>
      </c>
      <c r="BW53" s="338"/>
      <c r="BX53" s="375"/>
      <c r="BY53" s="376" t="n">
        <f aca="false">IFERROR(IF($M53=BX53,($D$8+$D$9+$D$10)*$I53,IF($N53=LEFT(BX53,1),($D$8+MAX(0,IF($D$50=1,$D$9*(1-(ABS($Q53-ABS(VALUE(MID(BX53,FIND("|",BX53)+1,FIND("-",BX53)-FIND("|",BX53)-1))-VALUE(MID(BX53,FIND("-",BX53)+1,10)))))*$D$50),$D$9*(1-(IF($N53="X",ABS($O53-VALUE(MID(BX53,FIND("|",BX53)+1,FIND("-",BX53)-FIND("|",BX53)-1))),ABS($Q53-ABS(VALUE(MID(BX53,FIND("|",BX53)+1,FIND("-",BX53)-FIND("|",BX53)-1))-VALUE(MID(BX53,FIND("-",BX53)+1,10)))))*$D$50)))))*$I53,0)),0)</f>
        <v>0</v>
      </c>
      <c r="BZ53" s="338"/>
      <c r="CA53" s="375"/>
      <c r="CB53" s="376" t="n">
        <f aca="false">IFERROR(IF($M53=CA53,($D$8+$D$9+$D$10)*$I53,IF($N53=LEFT(CA53,1),($D$8+MAX(0,IF($D$50=1,$D$9*(1-(ABS($Q53-ABS(VALUE(MID(CA53,FIND("|",CA53)+1,FIND("-",CA53)-FIND("|",CA53)-1))-VALUE(MID(CA53,FIND("-",CA53)+1,10)))))*$D$50),$D$9*(1-(IF($N53="X",ABS($O53-VALUE(MID(CA53,FIND("|",CA53)+1,FIND("-",CA53)-FIND("|",CA53)-1))),ABS($Q53-ABS(VALUE(MID(CA53,FIND("|",CA53)+1,FIND("-",CA53)-FIND("|",CA53)-1))-VALUE(MID(CA53,FIND("-",CA53)+1,10)))))*$D$50)))))*$I53,0)),0)</f>
        <v>0</v>
      </c>
      <c r="CC53" s="338"/>
      <c r="CD53" s="375"/>
      <c r="CE53" s="376" t="n">
        <f aca="false">IFERROR(IF($M53=CD53,($D$8+$D$9+$D$10)*$I53,IF($N53=LEFT(CD53,1),($D$8+MAX(0,IF($D$50=1,$D$9*(1-(ABS($Q53-ABS(VALUE(MID(CD53,FIND("|",CD53)+1,FIND("-",CD53)-FIND("|",CD53)-1))-VALUE(MID(CD53,FIND("-",CD53)+1,10)))))*$D$50),$D$9*(1-(IF($N53="X",ABS($O53-VALUE(MID(CD53,FIND("|",CD53)+1,FIND("-",CD53)-FIND("|",CD53)-1))),ABS($Q53-ABS(VALUE(MID(CD53,FIND("|",CD53)+1,FIND("-",CD53)-FIND("|",CD53)-1))-VALUE(MID(CD53,FIND("-",CD53)+1,10)))))*$D$50)))))*$I53,0)),0)</f>
        <v>0</v>
      </c>
      <c r="CF53" s="338"/>
      <c r="CG53" s="375"/>
      <c r="CH53" s="376" t="n">
        <f aca="false">IFERROR(IF($M53=CG53,($D$8+$D$9+$D$10)*$I53,IF($N53=LEFT(CG53,1),($D$8+MAX(0,IF($D$50=1,$D$9*(1-(ABS($Q53-ABS(VALUE(MID(CG53,FIND("|",CG53)+1,FIND("-",CG53)-FIND("|",CG53)-1))-VALUE(MID(CG53,FIND("-",CG53)+1,10)))))*$D$50),$D$9*(1-(IF($N53="X",ABS($O53-VALUE(MID(CG53,FIND("|",CG53)+1,FIND("-",CG53)-FIND("|",CG53)-1))),ABS($Q53-ABS(VALUE(MID(CG53,FIND("|",CG53)+1,FIND("-",CG53)-FIND("|",CG53)-1))-VALUE(MID(CG53,FIND("-",CG53)+1,10)))))*$D$50)))))*$I53,0)),0)</f>
        <v>0</v>
      </c>
      <c r="CI53" s="338"/>
      <c r="CJ53" s="375"/>
      <c r="CK53" s="376" t="n">
        <f aca="false">IFERROR(IF($M53=CJ53,($D$8+$D$9+$D$10)*$I53,IF($N53=LEFT(CJ53,1),($D$8+MAX(0,IF($D$50=1,$D$9*(1-(ABS($Q53-ABS(VALUE(MID(CJ53,FIND("|",CJ53)+1,FIND("-",CJ53)-FIND("|",CJ53)-1))-VALUE(MID(CJ53,FIND("-",CJ53)+1,10)))))*$D$50),$D$9*(1-(IF($N53="X",ABS($O53-VALUE(MID(CJ53,FIND("|",CJ53)+1,FIND("-",CJ53)-FIND("|",CJ53)-1))),ABS($Q53-ABS(VALUE(MID(CJ53,FIND("|",CJ53)+1,FIND("-",CJ53)-FIND("|",CJ53)-1))-VALUE(MID(CJ53,FIND("-",CJ53)+1,10)))))*$D$50)))))*$I53,0)),0)</f>
        <v>0</v>
      </c>
      <c r="CL53" s="338"/>
      <c r="CM53" s="375"/>
      <c r="CN53" s="376" t="n">
        <f aca="false">IFERROR(IF($M53=CM53,($D$8+$D$9+$D$10)*$I53,IF($N53=LEFT(CM53,1),($D$8+MAX(0,IF($D$50=1,$D$9*(1-(ABS($Q53-ABS(VALUE(MID(CM53,FIND("|",CM53)+1,FIND("-",CM53)-FIND("|",CM53)-1))-VALUE(MID(CM53,FIND("-",CM53)+1,10)))))*$D$50),$D$9*(1-(IF($N53="X",ABS($O53-VALUE(MID(CM53,FIND("|",CM53)+1,FIND("-",CM53)-FIND("|",CM53)-1))),ABS($Q53-ABS(VALUE(MID(CM53,FIND("|",CM53)+1,FIND("-",CM53)-FIND("|",CM53)-1))-VALUE(MID(CM53,FIND("-",CM53)+1,10)))))*$D$50)))))*$I53,0)),0)</f>
        <v>0</v>
      </c>
      <c r="CO53" s="338"/>
      <c r="CP53" s="375"/>
      <c r="CQ53" s="376" t="n">
        <f aca="false">IFERROR(IF($M53=CP53,($D$8+$D$9+$D$10)*$I53,IF($N53=LEFT(CP53,1),($D$8+MAX(0,IF($D$50=1,$D$9*(1-(ABS($Q53-ABS(VALUE(MID(CP53,FIND("|",CP53)+1,FIND("-",CP53)-FIND("|",CP53)-1))-VALUE(MID(CP53,FIND("-",CP53)+1,10)))))*$D$50),$D$9*(1-(IF($N53="X",ABS($O53-VALUE(MID(CP53,FIND("|",CP53)+1,FIND("-",CP53)-FIND("|",CP53)-1))),ABS($Q53-ABS(VALUE(MID(CP53,FIND("|",CP53)+1,FIND("-",CP53)-FIND("|",CP53)-1))-VALUE(MID(CP53,FIND("-",CP53)+1,10)))))*$D$50)))))*$I53,0)),0)</f>
        <v>0</v>
      </c>
      <c r="CR53" s="338"/>
      <c r="CS53" s="375"/>
      <c r="CT53" s="376" t="n">
        <f aca="false">IFERROR(IF($M53=CS53,($D$8+$D$9+$D$10)*$I53,IF($N53=LEFT(CS53,1),($D$8+MAX(0,IF($D$50=1,$D$9*(1-(ABS($Q53-ABS(VALUE(MID(CS53,FIND("|",CS53)+1,FIND("-",CS53)-FIND("|",CS53)-1))-VALUE(MID(CS53,FIND("-",CS53)+1,10)))))*$D$50),$D$9*(1-(IF($N53="X",ABS($O53-VALUE(MID(CS53,FIND("|",CS53)+1,FIND("-",CS53)-FIND("|",CS53)-1))),ABS($Q53-ABS(VALUE(MID(CS53,FIND("|",CS53)+1,FIND("-",CS53)-FIND("|",CS53)-1))-VALUE(MID(CS53,FIND("-",CS53)+1,10)))))*$D$50)))))*$I53,0)),0)</f>
        <v>0</v>
      </c>
      <c r="CU53" s="338"/>
      <c r="CV53" s="375"/>
      <c r="CW53" s="376" t="n">
        <f aca="false">IFERROR(IF($M53=CV53,($D$8+$D$9+$D$10)*$I53,IF($N53=LEFT(CV53,1),($D$8+MAX(0,IF($D$50=1,$D$9*(1-(ABS($Q53-ABS(VALUE(MID(CV53,FIND("|",CV53)+1,FIND("-",CV53)-FIND("|",CV53)-1))-VALUE(MID(CV53,FIND("-",CV53)+1,10)))))*$D$50),$D$9*(1-(IF($N53="X",ABS($O53-VALUE(MID(CV53,FIND("|",CV53)+1,FIND("-",CV53)-FIND("|",CV53)-1))),ABS($Q53-ABS(VALUE(MID(CV53,FIND("|",CV53)+1,FIND("-",CV53)-FIND("|",CV53)-1))-VALUE(MID(CV53,FIND("-",CV53)+1,10)))))*$D$50)))))*$I53,0)),0)</f>
        <v>0</v>
      </c>
      <c r="CX53" s="338"/>
      <c r="CY53" s="375"/>
      <c r="CZ53" s="376" t="n">
        <f aca="false">IFERROR(IF($M53=CY53,($D$8+$D$9+$D$10)*$I53,IF($N53=LEFT(CY53,1),($D$8+MAX(0,IF($D$50=1,$D$9*(1-(ABS($Q53-ABS(VALUE(MID(CY53,FIND("|",CY53)+1,FIND("-",CY53)-FIND("|",CY53)-1))-VALUE(MID(CY53,FIND("-",CY53)+1,10)))))*$D$50),$D$9*(1-(IF($N53="X",ABS($O53-VALUE(MID(CY53,FIND("|",CY53)+1,FIND("-",CY53)-FIND("|",CY53)-1))),ABS($Q53-ABS(VALUE(MID(CY53,FIND("|",CY53)+1,FIND("-",CY53)-FIND("|",CY53)-1))-VALUE(MID(CY53,FIND("-",CY53)+1,10)))))*$D$50)))))*$I53,0)),0)</f>
        <v>0</v>
      </c>
      <c r="DA53" s="338"/>
      <c r="DB53" s="375"/>
      <c r="DC53" s="376" t="n">
        <f aca="false">IFERROR(IF($M53=DB53,($D$8+$D$9+$D$10)*$I53,IF($N53=LEFT(DB53,1),($D$8+MAX(0,IF($D$50=1,$D$9*(1-(ABS($Q53-ABS(VALUE(MID(DB53,FIND("|",DB53)+1,FIND("-",DB53)-FIND("|",DB53)-1))-VALUE(MID(DB53,FIND("-",DB53)+1,10)))))*$D$50),$D$9*(1-(IF($N53="X",ABS($O53-VALUE(MID(DB53,FIND("|",DB53)+1,FIND("-",DB53)-FIND("|",DB53)-1))),ABS($Q53-ABS(VALUE(MID(DB53,FIND("|",DB53)+1,FIND("-",DB53)-FIND("|",DB53)-1))-VALUE(MID(DB53,FIND("-",DB53)+1,10)))))*$D$50)))))*$I53,0)),0)</f>
        <v>0</v>
      </c>
      <c r="DD53" s="338"/>
      <c r="DE53" s="375"/>
      <c r="DF53" s="376" t="n">
        <f aca="false">IFERROR(IF($M53=DE53,($D$8+$D$9+$D$10)*$I53,IF($N53=LEFT(DE53,1),($D$8+MAX(0,IF($D$50=1,$D$9*(1-(ABS($Q53-ABS(VALUE(MID(DE53,FIND("|",DE53)+1,FIND("-",DE53)-FIND("|",DE53)-1))-VALUE(MID(DE53,FIND("-",DE53)+1,10)))))*$D$50),$D$9*(1-(IF($N53="X",ABS($O53-VALUE(MID(DE53,FIND("|",DE53)+1,FIND("-",DE53)-FIND("|",DE53)-1))),ABS($Q53-ABS(VALUE(MID(DE53,FIND("|",DE53)+1,FIND("-",DE53)-FIND("|",DE53)-1))-VALUE(MID(DE53,FIND("-",DE53)+1,10)))))*$D$50)))))*$I53,0)),0)</f>
        <v>0</v>
      </c>
      <c r="DG53" s="338"/>
      <c r="DH53" s="375"/>
      <c r="DI53" s="376" t="n">
        <f aca="false">IFERROR(IF($M53=DH53,($D$8+$D$9+$D$10)*$I53,IF($N53=LEFT(DH53,1),($D$8+MAX(0,IF($D$50=1,$D$9*(1-(ABS($Q53-ABS(VALUE(MID(DH53,FIND("|",DH53)+1,FIND("-",DH53)-FIND("|",DH53)-1))-VALUE(MID(DH53,FIND("-",DH53)+1,10)))))*$D$50),$D$9*(1-(IF($N53="X",ABS($O53-VALUE(MID(DH53,FIND("|",DH53)+1,FIND("-",DH53)-FIND("|",DH53)-1))),ABS($Q53-ABS(VALUE(MID(DH53,FIND("|",DH53)+1,FIND("-",DH53)-FIND("|",DH53)-1))-VALUE(MID(DH53,FIND("-",DH53)+1,10)))))*$D$50)))))*$I53,0)),0)</f>
        <v>0</v>
      </c>
      <c r="DJ53" s="338"/>
      <c r="DK53" s="375"/>
      <c r="DL53" s="376" t="n">
        <f aca="false">IFERROR(IF($M53=DK53,($D$8+$D$9+$D$10)*$I53,IF($N53=LEFT(DK53,1),($D$8+MAX(0,IF($D$50=1,$D$9*(1-(ABS($Q53-ABS(VALUE(MID(DK53,FIND("|",DK53)+1,FIND("-",DK53)-FIND("|",DK53)-1))-VALUE(MID(DK53,FIND("-",DK53)+1,10)))))*$D$50),$D$9*(1-(IF($N53="X",ABS($O53-VALUE(MID(DK53,FIND("|",DK53)+1,FIND("-",DK53)-FIND("|",DK53)-1))),ABS($Q53-ABS(VALUE(MID(DK53,FIND("|",DK53)+1,FIND("-",DK53)-FIND("|",DK53)-1))-VALUE(MID(DK53,FIND("-",DK53)+1,10)))))*$D$50)))))*$I53,0)),0)</f>
        <v>0</v>
      </c>
      <c r="DM53" s="338"/>
      <c r="DN53" s="375"/>
      <c r="DO53" s="376" t="n">
        <f aca="false">IFERROR(IF($M53=DN53,($D$8+$D$9+$D$10)*$I53,IF($N53=LEFT(DN53,1),($D$8+MAX(0,IF($D$50=1,$D$9*(1-(ABS($Q53-ABS(VALUE(MID(DN53,FIND("|",DN53)+1,FIND("-",DN53)-FIND("|",DN53)-1))-VALUE(MID(DN53,FIND("-",DN53)+1,10)))))*$D$50),$D$9*(1-(IF($N53="X",ABS($O53-VALUE(MID(DN53,FIND("|",DN53)+1,FIND("-",DN53)-FIND("|",DN53)-1))),ABS($Q53-ABS(VALUE(MID(DN53,FIND("|",DN53)+1,FIND("-",DN53)-FIND("|",DN53)-1))-VALUE(MID(DN53,FIND("-",DN53)+1,10)))))*$D$50)))))*$I53,0)),0)</f>
        <v>0</v>
      </c>
      <c r="DP53" s="338"/>
      <c r="DQ53" s="375"/>
      <c r="DR53" s="376" t="n">
        <f aca="false">IFERROR(IF($M53=DQ53,($D$8+$D$9+$D$10)*$I53,IF($N53=LEFT(DQ53,1),($D$8+MAX(0,IF($D$50=1,$D$9*(1-(ABS($Q53-ABS(VALUE(MID(DQ53,FIND("|",DQ53)+1,FIND("-",DQ53)-FIND("|",DQ53)-1))-VALUE(MID(DQ53,FIND("-",DQ53)+1,10)))))*$D$50),$D$9*(1-(IF($N53="X",ABS($O53-VALUE(MID(DQ53,FIND("|",DQ53)+1,FIND("-",DQ53)-FIND("|",DQ53)-1))),ABS($Q53-ABS(VALUE(MID(DQ53,FIND("|",DQ53)+1,FIND("-",DQ53)-FIND("|",DQ53)-1))-VALUE(MID(DQ53,FIND("-",DQ53)+1,10)))))*$D$50)))))*$I53,0)),0)</f>
        <v>0</v>
      </c>
      <c r="DS53" s="338"/>
      <c r="DT53" s="375"/>
      <c r="DU53" s="376" t="n">
        <f aca="false">IFERROR(IF($M53=DT53,($D$8+$D$9+$D$10)*$I53,IF($N53=LEFT(DT53,1),($D$8+MAX(0,IF($D$50=1,$D$9*(1-(ABS($Q53-ABS(VALUE(MID(DT53,FIND("|",DT53)+1,FIND("-",DT53)-FIND("|",DT53)-1))-VALUE(MID(DT53,FIND("-",DT53)+1,10)))))*$D$50),$D$9*(1-(IF($N53="X",ABS($O53-VALUE(MID(DT53,FIND("|",DT53)+1,FIND("-",DT53)-FIND("|",DT53)-1))),ABS($Q53-ABS(VALUE(MID(DT53,FIND("|",DT53)+1,FIND("-",DT53)-FIND("|",DT53)-1))-VALUE(MID(DT53,FIND("-",DT53)+1,10)))))*$D$50)))))*$I53,0)),0)</f>
        <v>0</v>
      </c>
      <c r="DV53" s="338"/>
      <c r="DW53" s="375"/>
      <c r="DX53" s="376" t="n">
        <f aca="false">IFERROR(IF($M53=DW53,($D$8+$D$9+$D$10)*$I53,IF($N53=LEFT(DW53,1),($D$8+MAX(0,IF($D$50=1,$D$9*(1-(ABS($Q53-ABS(VALUE(MID(DW53,FIND("|",DW53)+1,FIND("-",DW53)-FIND("|",DW53)-1))-VALUE(MID(DW53,FIND("-",DW53)+1,10)))))*$D$50),$D$9*(1-(IF($N53="X",ABS($O53-VALUE(MID(DW53,FIND("|",DW53)+1,FIND("-",DW53)-FIND("|",DW53)-1))),ABS($Q53-ABS(VALUE(MID(DW53,FIND("|",DW53)+1,FIND("-",DW53)-FIND("|",DW53)-1))-VALUE(MID(DW53,FIND("-",DW53)+1,10)))))*$D$50)))))*$I53,0)),0)</f>
        <v>0</v>
      </c>
      <c r="DY53" s="338"/>
      <c r="DZ53" s="375"/>
      <c r="EA53" s="376" t="n">
        <f aca="false">IFERROR(IF($M53=DZ53,($D$8+$D$9+$D$10)*$I53,IF($N53=LEFT(DZ53,1),($D$8+MAX(0,IF($D$50=1,$D$9*(1-(ABS($Q53-ABS(VALUE(MID(DZ53,FIND("|",DZ53)+1,FIND("-",DZ53)-FIND("|",DZ53)-1))-VALUE(MID(DZ53,FIND("-",DZ53)+1,10)))))*$D$50),$D$9*(1-(IF($N53="X",ABS($O53-VALUE(MID(DZ53,FIND("|",DZ53)+1,FIND("-",DZ53)-FIND("|",DZ53)-1))),ABS($Q53-ABS(VALUE(MID(DZ53,FIND("|",DZ53)+1,FIND("-",DZ53)-FIND("|",DZ53)-1))-VALUE(MID(DZ53,FIND("-",DZ53)+1,10)))))*$D$50)))))*$I53,0)),0)</f>
        <v>0</v>
      </c>
      <c r="EB53" s="338"/>
      <c r="EC53" s="375"/>
      <c r="ED53" s="376" t="n">
        <f aca="false">IFERROR(IF($M53=EC53,($D$8+$D$9+$D$10)*$I53,IF($N53=LEFT(EC53,1),($D$8+MAX(0,IF($D$50=1,$D$9*(1-(ABS($Q53-ABS(VALUE(MID(EC53,FIND("|",EC53)+1,FIND("-",EC53)-FIND("|",EC53)-1))-VALUE(MID(EC53,FIND("-",EC53)+1,10)))))*$D$50),$D$9*(1-(IF($N53="X",ABS($O53-VALUE(MID(EC53,FIND("|",EC53)+1,FIND("-",EC53)-FIND("|",EC53)-1))),ABS($Q53-ABS(VALUE(MID(EC53,FIND("|",EC53)+1,FIND("-",EC53)-FIND("|",EC53)-1))-VALUE(MID(EC53,FIND("-",EC53)+1,10)))))*$D$50)))))*$I53,0)),0)</f>
        <v>0</v>
      </c>
      <c r="EE53" s="338"/>
      <c r="EF53" s="375"/>
      <c r="EG53" s="376" t="n">
        <f aca="false">IFERROR(IF($M53=EF53,($D$8+$D$9+$D$10)*$I53,IF($N53=LEFT(EF53,1),($D$8+MAX(0,IF($D$50=1,$D$9*(1-(ABS($Q53-ABS(VALUE(MID(EF53,FIND("|",EF53)+1,FIND("-",EF53)-FIND("|",EF53)-1))-VALUE(MID(EF53,FIND("-",EF53)+1,10)))))*$D$50),$D$9*(1-(IF($N53="X",ABS($O53-VALUE(MID(EF53,FIND("|",EF53)+1,FIND("-",EF53)-FIND("|",EF53)-1))),ABS($Q53-ABS(VALUE(MID(EF53,FIND("|",EF53)+1,FIND("-",EF53)-FIND("|",EF53)-1))-VALUE(MID(EF53,FIND("-",EF53)+1,10)))))*$D$50)))))*$I53,0)),0)</f>
        <v>0</v>
      </c>
      <c r="EH53" s="338"/>
      <c r="EI53" s="338"/>
    </row>
    <row r="54" customFormat="false" ht="15" hidden="false" customHeight="false" outlineLevel="0" collapsed="false">
      <c r="A54" s="327"/>
      <c r="B54" s="327"/>
      <c r="C54" s="248"/>
      <c r="D54" s="90"/>
      <c r="E54" s="379"/>
      <c r="F54" s="343" t="n">
        <f aca="false">SUM($D$8:$D$10)*I54</f>
        <v>17</v>
      </c>
      <c r="G54" s="343" t="n">
        <f aca="false">VLOOKUP(H54,Equipos!$Q$1:$R$25,2,0)</f>
        <v>15</v>
      </c>
      <c r="H54" s="351" t="n">
        <f aca="false">TRUNC(INDEX(WORLDCUP!$X$4:$X$147,MATCH(ADMIN!K54,WORLDCUP!$DT$4:$DT$147,0))+INDEX(Horarios!$R$3:$R$86,MATCH(Horarios!$C$3,Horarios!$P$3:$P$86,0))/24)</f>
        <v>46198</v>
      </c>
      <c r="I54" s="352" t="n">
        <v>1</v>
      </c>
      <c r="J54" s="353" t="s">
        <v>313</v>
      </c>
      <c r="K54" s="354" t="str">
        <f aca="false">CONCATENATE(WORLDCUP!AA8,"-",WORLDCUP!AF8)</f>
        <v>República Checa-México</v>
      </c>
      <c r="L54" s="354"/>
      <c r="M54" s="359" t="str">
        <f aca="false">IF(OR(WORLDCUP!AC8="",WORLDCUP!AD8=""),"-",N54&amp;"|"&amp;O54&amp;"-"&amp;P54)</f>
        <v>-</v>
      </c>
      <c r="N54" s="332" t="str">
        <f aca="false">IF(OR(WORLDCUP!AC8="",WORLDCUP!AD8=""),"",IF(WORLDCUP!AC8&gt;WORLDCUP!AD8,"1",IF(WORLDCUP!AC8&lt;WORLDCUP!AD8,"2","X")))</f>
        <v/>
      </c>
      <c r="O54" s="332" t="n">
        <f aca="false">WORLDCUP!AC8</f>
        <v>0</v>
      </c>
      <c r="P54" s="332" t="n">
        <f aca="false">WORLDCUP!AD8</f>
        <v>0</v>
      </c>
      <c r="Q54" s="332" t="n">
        <f aca="false">ABS(O54-P54)</f>
        <v>0</v>
      </c>
      <c r="R54" s="327"/>
      <c r="S54" s="370" t="s">
        <v>265</v>
      </c>
      <c r="T54" s="371" t="n">
        <f aca="false">IFERROR(IF($M54=S54,($D$8+$D$9+$D$10)*$I54,IF($N54=LEFT(S54,1),($D$8+MAX(0,IF($D$50=1,$D$9*(1-(ABS($Q54-ABS(VALUE(MID(S54,FIND("|",S54)+1,FIND("-",S54)-FIND("|",S54)-1))-VALUE(MID(S54,FIND("-",S54)+1,10)))))*$D$50),$D$9*(1-(IF($N54="X",ABS($O54-VALUE(MID(S54,FIND("|",S54)+1,FIND("-",S54)-FIND("|",S54)-1))),ABS($Q54-ABS(VALUE(MID(S54,FIND("|",S54)+1,FIND("-",S54)-FIND("|",S54)-1))-VALUE(MID(S54,FIND("-",S54)+1,10)))))*$D$50)))))*$I54,0)),0)</f>
        <v>0</v>
      </c>
      <c r="U54" s="338"/>
      <c r="V54" s="370" t="s">
        <v>266</v>
      </c>
      <c r="W54" s="371" t="n">
        <f aca="false">IFERROR(IF($M54=V54,($D$8+$D$9+$D$10)*$I54,IF($N54=LEFT(V54,1),($D$8+MAX(0,IF($D$50=1,$D$9*(1-(ABS($Q54-ABS(VALUE(MID(V54,FIND("|",V54)+1,FIND("-",V54)-FIND("|",V54)-1))-VALUE(MID(V54,FIND("-",V54)+1,10)))))*$D$50),$D$9*(1-(IF($N54="X",ABS($O54-VALUE(MID(V54,FIND("|",V54)+1,FIND("-",V54)-FIND("|",V54)-1))),ABS($Q54-ABS(VALUE(MID(V54,FIND("|",V54)+1,FIND("-",V54)-FIND("|",V54)-1))-VALUE(MID(V54,FIND("-",V54)+1,10)))))*$D$50)))))*$I54,0)),0)</f>
        <v>0</v>
      </c>
      <c r="X54" s="338"/>
      <c r="Y54" s="370" t="s">
        <v>268</v>
      </c>
      <c r="Z54" s="371" t="n">
        <f aca="false">IFERROR(IF($M54=Y54,($D$8+$D$9+$D$10)*$I54,IF($N54=LEFT(Y54,1),($D$8+MAX(0,IF($D$50=1,$D$9*(1-(ABS($Q54-ABS(VALUE(MID(Y54,FIND("|",Y54)+1,FIND("-",Y54)-FIND("|",Y54)-1))-VALUE(MID(Y54,FIND("-",Y54)+1,10)))))*$D$50),$D$9*(1-(IF($N54="X",ABS($O54-VALUE(MID(Y54,FIND("|",Y54)+1,FIND("-",Y54)-FIND("|",Y54)-1))),ABS($Q54-ABS(VALUE(MID(Y54,FIND("|",Y54)+1,FIND("-",Y54)-FIND("|",Y54)-1))-VALUE(MID(Y54,FIND("-",Y54)+1,10)))))*$D$50)))))*$I54,0)),0)</f>
        <v>0</v>
      </c>
      <c r="AA54" s="338"/>
      <c r="AB54" s="370" t="s">
        <v>267</v>
      </c>
      <c r="AC54" s="371" t="n">
        <f aca="false">IFERROR(IF($M54=AB54,($D$8+$D$9+$D$10)*$I54,IF($N54=LEFT(AB54,1),($D$8+MAX(0,IF($D$50=1,$D$9*(1-(ABS($Q54-ABS(VALUE(MID(AB54,FIND("|",AB54)+1,FIND("-",AB54)-FIND("|",AB54)-1))-VALUE(MID(AB54,FIND("-",AB54)+1,10)))))*$D$50),$D$9*(1-(IF($N54="X",ABS($O54-VALUE(MID(AB54,FIND("|",AB54)+1,FIND("-",AB54)-FIND("|",AB54)-1))),ABS($Q54-ABS(VALUE(MID(AB54,FIND("|",AB54)+1,FIND("-",AB54)-FIND("|",AB54)-1))-VALUE(MID(AB54,FIND("-",AB54)+1,10)))))*$D$50)))))*$I54,0)),0)</f>
        <v>0</v>
      </c>
      <c r="AD54" s="338"/>
      <c r="AE54" s="370" t="s">
        <v>271</v>
      </c>
      <c r="AF54" s="371" t="n">
        <f aca="false">IFERROR(IF($M54=AE54,($D$8+$D$9+$D$10)*$I54,IF($N54=LEFT(AE54,1),($D$8+MAX(0,IF($D$50=1,$D$9*(1-(ABS($Q54-ABS(VALUE(MID(AE54,FIND("|",AE54)+1,FIND("-",AE54)-FIND("|",AE54)-1))-VALUE(MID(AE54,FIND("-",AE54)+1,10)))))*$D$50),$D$9*(1-(IF($N54="X",ABS($O54-VALUE(MID(AE54,FIND("|",AE54)+1,FIND("-",AE54)-FIND("|",AE54)-1))),ABS($Q54-ABS(VALUE(MID(AE54,FIND("|",AE54)+1,FIND("-",AE54)-FIND("|",AE54)-1))-VALUE(MID(AE54,FIND("-",AE54)+1,10)))))*$D$50)))))*$I54,0)),0)</f>
        <v>0</v>
      </c>
      <c r="AG54" s="338"/>
      <c r="AH54" s="370" t="s">
        <v>268</v>
      </c>
      <c r="AI54" s="371" t="n">
        <f aca="false">IFERROR(IF($M54=AH54,($D$8+$D$9+$D$10)*$I54,IF($N54=LEFT(AH54,1),($D$8+MAX(0,IF($D$50=1,$D$9*(1-(ABS($Q54-ABS(VALUE(MID(AH54,FIND("|",AH54)+1,FIND("-",AH54)-FIND("|",AH54)-1))-VALUE(MID(AH54,FIND("-",AH54)+1,10)))))*$D$50),$D$9*(1-(IF($N54="X",ABS($O54-VALUE(MID(AH54,FIND("|",AH54)+1,FIND("-",AH54)-FIND("|",AH54)-1))),ABS($Q54-ABS(VALUE(MID(AH54,FIND("|",AH54)+1,FIND("-",AH54)-FIND("|",AH54)-1))-VALUE(MID(AH54,FIND("-",AH54)+1,10)))))*$D$50)))))*$I54,0)),0)</f>
        <v>0</v>
      </c>
      <c r="AJ54" s="338"/>
      <c r="AK54" s="370" t="s">
        <v>267</v>
      </c>
      <c r="AL54" s="371" t="n">
        <f aca="false">IFERROR(IF($M54=AK54,($D$8+$D$9+$D$10)*$I54,IF($N54=LEFT(AK54,1),($D$8+MAX(0,IF($D$50=1,$D$9*(1-(ABS($Q54-ABS(VALUE(MID(AK54,FIND("|",AK54)+1,FIND("-",AK54)-FIND("|",AK54)-1))-VALUE(MID(AK54,FIND("-",AK54)+1,10)))))*$D$50),$D$9*(1-(IF($N54="X",ABS($O54-VALUE(MID(AK54,FIND("|",AK54)+1,FIND("-",AK54)-FIND("|",AK54)-1))),ABS($Q54-ABS(VALUE(MID(AK54,FIND("|",AK54)+1,FIND("-",AK54)-FIND("|",AK54)-1))-VALUE(MID(AK54,FIND("-",AK54)+1,10)))))*$D$50)))))*$I54,0)),0)</f>
        <v>0</v>
      </c>
      <c r="AM54" s="338"/>
      <c r="AN54" s="370" t="s">
        <v>271</v>
      </c>
      <c r="AO54" s="371" t="n">
        <f aca="false">IFERROR(IF($M54=AN54,($D$8+$D$9+$D$10)*$I54,IF($N54=LEFT(AN54,1),($D$8+MAX(0,IF($D$50=1,$D$9*(1-(ABS($Q54-ABS(VALUE(MID(AN54,FIND("|",AN54)+1,FIND("-",AN54)-FIND("|",AN54)-1))-VALUE(MID(AN54,FIND("-",AN54)+1,10)))))*$D$50),$D$9*(1-(IF($N54="X",ABS($O54-VALUE(MID(AN54,FIND("|",AN54)+1,FIND("-",AN54)-FIND("|",AN54)-1))),ABS($Q54-ABS(VALUE(MID(AN54,FIND("|",AN54)+1,FIND("-",AN54)-FIND("|",AN54)-1))-VALUE(MID(AN54,FIND("-",AN54)+1,10)))))*$D$50)))))*$I54,0)),0)</f>
        <v>0</v>
      </c>
      <c r="AP54" s="338"/>
      <c r="AQ54" s="370" t="s">
        <v>267</v>
      </c>
      <c r="AR54" s="371" t="n">
        <f aca="false">IFERROR(IF($M54=AQ54,($D$8+$D$9+$D$10)*$I54,IF($N54=LEFT(AQ54,1),($D$8+MAX(0,IF($D$50=1,$D$9*(1-(ABS($Q54-ABS(VALUE(MID(AQ54,FIND("|",AQ54)+1,FIND("-",AQ54)-FIND("|",AQ54)-1))-VALUE(MID(AQ54,FIND("-",AQ54)+1,10)))))*$D$50),$D$9*(1-(IF($N54="X",ABS($O54-VALUE(MID(AQ54,FIND("|",AQ54)+1,FIND("-",AQ54)-FIND("|",AQ54)-1))),ABS($Q54-ABS(VALUE(MID(AQ54,FIND("|",AQ54)+1,FIND("-",AQ54)-FIND("|",AQ54)-1))-VALUE(MID(AQ54,FIND("-",AQ54)+1,10)))))*$D$50)))))*$I54,0)),0)</f>
        <v>0</v>
      </c>
      <c r="AS54" s="338"/>
      <c r="AT54" s="370" t="s">
        <v>265</v>
      </c>
      <c r="AU54" s="371" t="n">
        <f aca="false">IFERROR(IF($M54=AT54,($D$8+$D$9+$D$10)*$I54,IF($N54=LEFT(AT54,1),($D$8+MAX(0,IF($D$50=1,$D$9*(1-(ABS($Q54-ABS(VALUE(MID(AT54,FIND("|",AT54)+1,FIND("-",AT54)-FIND("|",AT54)-1))-VALUE(MID(AT54,FIND("-",AT54)+1,10)))))*$D$50),$D$9*(1-(IF($N54="X",ABS($O54-VALUE(MID(AT54,FIND("|",AT54)+1,FIND("-",AT54)-FIND("|",AT54)-1))),ABS($Q54-ABS(VALUE(MID(AT54,FIND("|",AT54)+1,FIND("-",AT54)-FIND("|",AT54)-1))-VALUE(MID(AT54,FIND("-",AT54)+1,10)))))*$D$50)))))*$I54,0)),0)</f>
        <v>0</v>
      </c>
      <c r="AV54" s="338"/>
      <c r="AW54" s="370" t="s">
        <v>267</v>
      </c>
      <c r="AX54" s="371" t="n">
        <f aca="false">IFERROR(IF($M54=AW54,($D$8+$D$9+$D$10)*$I54,IF($N54=LEFT(AW54,1),($D$8+MAX(0,IF($D$50=1,$D$9*(1-(ABS($Q54-ABS(VALUE(MID(AW54,FIND("|",AW54)+1,FIND("-",AW54)-FIND("|",AW54)-1))-VALUE(MID(AW54,FIND("-",AW54)+1,10)))))*$D$50),$D$9*(1-(IF($N54="X",ABS($O54-VALUE(MID(AW54,FIND("|",AW54)+1,FIND("-",AW54)-FIND("|",AW54)-1))),ABS($Q54-ABS(VALUE(MID(AW54,FIND("|",AW54)+1,FIND("-",AW54)-FIND("|",AW54)-1))-VALUE(MID(AW54,FIND("-",AW54)+1,10)))))*$D$50)))))*$I54,0)),0)</f>
        <v>0</v>
      </c>
      <c r="AY54" s="338"/>
      <c r="AZ54" s="370" t="s">
        <v>271</v>
      </c>
      <c r="BA54" s="371" t="n">
        <f aca="false">IFERROR(IF($M54=AZ54,($D$8+$D$9+$D$10)*$I54,IF($N54=LEFT(AZ54,1),($D$8+MAX(0,IF($D$50=1,$D$9*(1-(ABS($Q54-ABS(VALUE(MID(AZ54,FIND("|",AZ54)+1,FIND("-",AZ54)-FIND("|",AZ54)-1))-VALUE(MID(AZ54,FIND("-",AZ54)+1,10)))))*$D$50),$D$9*(1-(IF($N54="X",ABS($O54-VALUE(MID(AZ54,FIND("|",AZ54)+1,FIND("-",AZ54)-FIND("|",AZ54)-1))),ABS($Q54-ABS(VALUE(MID(AZ54,FIND("|",AZ54)+1,FIND("-",AZ54)-FIND("|",AZ54)-1))-VALUE(MID(AZ54,FIND("-",AZ54)+1,10)))))*$D$50)))))*$I54,0)),0)</f>
        <v>0</v>
      </c>
      <c r="BB54" s="338"/>
      <c r="BC54" s="370" t="s">
        <v>274</v>
      </c>
      <c r="BD54" s="371" t="n">
        <f aca="false">IFERROR(IF($M54=BC54,($D$8+$D$9+$D$10)*$I54,IF($N54=LEFT(BC54,1),($D$8+MAX(0,IF($D$50=1,$D$9*(1-(ABS($Q54-ABS(VALUE(MID(BC54,FIND("|",BC54)+1,FIND("-",BC54)-FIND("|",BC54)-1))-VALUE(MID(BC54,FIND("-",BC54)+1,10)))))*$D$50),$D$9*(1-(IF($N54="X",ABS($O54-VALUE(MID(BC54,FIND("|",BC54)+1,FIND("-",BC54)-FIND("|",BC54)-1))),ABS($Q54-ABS(VALUE(MID(BC54,FIND("|",BC54)+1,FIND("-",BC54)-FIND("|",BC54)-1))-VALUE(MID(BC54,FIND("-",BC54)+1,10)))))*$D$50)))))*$I54,0)),0)</f>
        <v>0</v>
      </c>
      <c r="BE54" s="338"/>
      <c r="BF54" s="370" t="s">
        <v>268</v>
      </c>
      <c r="BG54" s="371" t="n">
        <f aca="false">IFERROR(IF($M54=BF54,($D$8+$D$9+$D$10)*$I54,IF($N54=LEFT(BF54,1),($D$8+MAX(0,IF($D$50=1,$D$9*(1-(ABS($Q54-ABS(VALUE(MID(BF54,FIND("|",BF54)+1,FIND("-",BF54)-FIND("|",BF54)-1))-VALUE(MID(BF54,FIND("-",BF54)+1,10)))))*$D$50),$D$9*(1-(IF($N54="X",ABS($O54-VALUE(MID(BF54,FIND("|",BF54)+1,FIND("-",BF54)-FIND("|",BF54)-1))),ABS($Q54-ABS(VALUE(MID(BF54,FIND("|",BF54)+1,FIND("-",BF54)-FIND("|",BF54)-1))-VALUE(MID(BF54,FIND("-",BF54)+1,10)))))*$D$50)))))*$I54,0)),0)</f>
        <v>0</v>
      </c>
      <c r="BH54" s="338"/>
      <c r="BI54" s="370" t="s">
        <v>274</v>
      </c>
      <c r="BJ54" s="371" t="n">
        <f aca="false">IFERROR(IF($M54=BI54,($D$8+$D$9+$D$10)*$I54,IF($N54=LEFT(BI54,1),($D$8+MAX(0,IF($D$50=1,$D$9*(1-(ABS($Q54-ABS(VALUE(MID(BI54,FIND("|",BI54)+1,FIND("-",BI54)-FIND("|",BI54)-1))-VALUE(MID(BI54,FIND("-",BI54)+1,10)))))*$D$50),$D$9*(1-(IF($N54="X",ABS($O54-VALUE(MID(BI54,FIND("|",BI54)+1,FIND("-",BI54)-FIND("|",BI54)-1))),ABS($Q54-ABS(VALUE(MID(BI54,FIND("|",BI54)+1,FIND("-",BI54)-FIND("|",BI54)-1))-VALUE(MID(BI54,FIND("-",BI54)+1,10)))))*$D$50)))))*$I54,0)),0)</f>
        <v>0</v>
      </c>
      <c r="BK54" s="338"/>
      <c r="BL54" s="370" t="s">
        <v>268</v>
      </c>
      <c r="BM54" s="371" t="n">
        <f aca="false">IFERROR(IF($M54=BL54,($D$8+$D$9+$D$10)*$I54,IF($N54=LEFT(BL54,1),($D$8+MAX(0,IF($D$50=1,$D$9*(1-(ABS($Q54-ABS(VALUE(MID(BL54,FIND("|",BL54)+1,FIND("-",BL54)-FIND("|",BL54)-1))-VALUE(MID(BL54,FIND("-",BL54)+1,10)))))*$D$50),$D$9*(1-(IF($N54="X",ABS($O54-VALUE(MID(BL54,FIND("|",BL54)+1,FIND("-",BL54)-FIND("|",BL54)-1))),ABS($Q54-ABS(VALUE(MID(BL54,FIND("|",BL54)+1,FIND("-",BL54)-FIND("|",BL54)-1))-VALUE(MID(BL54,FIND("-",BL54)+1,10)))))*$D$50)))))*$I54,0)),0)</f>
        <v>0</v>
      </c>
      <c r="BN54" s="338"/>
      <c r="BO54" s="370" t="s">
        <v>269</v>
      </c>
      <c r="BP54" s="371" t="n">
        <f aca="false">IFERROR(IF($M54=BO54,($D$8+$D$9+$D$10)*$I54,IF($N54=LEFT(BO54,1),($D$8+MAX(0,IF($D$50=1,$D$9*(1-(ABS($Q54-ABS(VALUE(MID(BO54,FIND("|",BO54)+1,FIND("-",BO54)-FIND("|",BO54)-1))-VALUE(MID(BO54,FIND("-",BO54)+1,10)))))*$D$50),$D$9*(1-(IF($N54="X",ABS($O54-VALUE(MID(BO54,FIND("|",BO54)+1,FIND("-",BO54)-FIND("|",BO54)-1))),ABS($Q54-ABS(VALUE(MID(BO54,FIND("|",BO54)+1,FIND("-",BO54)-FIND("|",BO54)-1))-VALUE(MID(BO54,FIND("-",BO54)+1,10)))))*$D$50)))))*$I54,0)),0)</f>
        <v>0</v>
      </c>
      <c r="BQ54" s="338"/>
      <c r="BR54" s="370" t="s">
        <v>271</v>
      </c>
      <c r="BS54" s="371" t="n">
        <f aca="false">IFERROR(IF($M54=BR54,($D$8+$D$9+$D$10)*$I54,IF($N54=LEFT(BR54,1),($D$8+MAX(0,IF($D$50=1,$D$9*(1-(ABS($Q54-ABS(VALUE(MID(BR54,FIND("|",BR54)+1,FIND("-",BR54)-FIND("|",BR54)-1))-VALUE(MID(BR54,FIND("-",BR54)+1,10)))))*$D$50),$D$9*(1-(IF($N54="X",ABS($O54-VALUE(MID(BR54,FIND("|",BR54)+1,FIND("-",BR54)-FIND("|",BR54)-1))),ABS($Q54-ABS(VALUE(MID(BR54,FIND("|",BR54)+1,FIND("-",BR54)-FIND("|",BR54)-1))-VALUE(MID(BR54,FIND("-",BR54)+1,10)))))*$D$50)))))*$I54,0)),0)</f>
        <v>0</v>
      </c>
      <c r="BT54" s="338"/>
      <c r="BU54" s="370" t="str">
        <f aca="false">Idiomas!$D$366</f>
        <v>Pegar Valores (J3)</v>
      </c>
      <c r="BV54" s="371" t="n">
        <f aca="false">IFERROR(IF($M54=BU54,($D$8+$D$9+$D$10)*$I54,IF($N54=LEFT(BU54,1),($D$8+MAX(0,IF($D$50=1,$D$9*(1-(ABS($Q54-ABS(VALUE(MID(BU54,FIND("|",BU54)+1,FIND("-",BU54)-FIND("|",BU54)-1))-VALUE(MID(BU54,FIND("-",BU54)+1,10)))))*$D$50),$D$9*(1-(IF($N54="X",ABS($O54-VALUE(MID(BU54,FIND("|",BU54)+1,FIND("-",BU54)-FIND("|",BU54)-1))),ABS($Q54-ABS(VALUE(MID(BU54,FIND("|",BU54)+1,FIND("-",BU54)-FIND("|",BU54)-1))-VALUE(MID(BU54,FIND("-",BU54)+1,10)))))*$D$50)))))*$I54,0)),0)</f>
        <v>0</v>
      </c>
      <c r="BW54" s="338"/>
      <c r="BX54" s="370" t="str">
        <f aca="false">Idiomas!$D$366</f>
        <v>Pegar Valores (J3)</v>
      </c>
      <c r="BY54" s="371" t="n">
        <f aca="false">IFERROR(IF($M54=BX54,($D$8+$D$9+$D$10)*$I54,IF($N54=LEFT(BX54,1),($D$8+MAX(0,IF($D$50=1,$D$9*(1-(ABS($Q54-ABS(VALUE(MID(BX54,FIND("|",BX54)+1,FIND("-",BX54)-FIND("|",BX54)-1))-VALUE(MID(BX54,FIND("-",BX54)+1,10)))))*$D$50),$D$9*(1-(IF($N54="X",ABS($O54-VALUE(MID(BX54,FIND("|",BX54)+1,FIND("-",BX54)-FIND("|",BX54)-1))),ABS($Q54-ABS(VALUE(MID(BX54,FIND("|",BX54)+1,FIND("-",BX54)-FIND("|",BX54)-1))-VALUE(MID(BX54,FIND("-",BX54)+1,10)))))*$D$50)))))*$I54,0)),0)</f>
        <v>0</v>
      </c>
      <c r="BZ54" s="338"/>
      <c r="CA54" s="370" t="str">
        <f aca="false">Idiomas!$D$366</f>
        <v>Pegar Valores (J3)</v>
      </c>
      <c r="CB54" s="371" t="n">
        <f aca="false">IFERROR(IF($M54=CA54,($D$8+$D$9+$D$10)*$I54,IF($N54=LEFT(CA54,1),($D$8+MAX(0,IF($D$50=1,$D$9*(1-(ABS($Q54-ABS(VALUE(MID(CA54,FIND("|",CA54)+1,FIND("-",CA54)-FIND("|",CA54)-1))-VALUE(MID(CA54,FIND("-",CA54)+1,10)))))*$D$50),$D$9*(1-(IF($N54="X",ABS($O54-VALUE(MID(CA54,FIND("|",CA54)+1,FIND("-",CA54)-FIND("|",CA54)-1))),ABS($Q54-ABS(VALUE(MID(CA54,FIND("|",CA54)+1,FIND("-",CA54)-FIND("|",CA54)-1))-VALUE(MID(CA54,FIND("-",CA54)+1,10)))))*$D$50)))))*$I54,0)),0)</f>
        <v>0</v>
      </c>
      <c r="CC54" s="338"/>
      <c r="CD54" s="370" t="str">
        <f aca="false">Idiomas!$D$366</f>
        <v>Pegar Valores (J3)</v>
      </c>
      <c r="CE54" s="371" t="n">
        <f aca="false">IFERROR(IF($M54=CD54,($D$8+$D$9+$D$10)*$I54,IF($N54=LEFT(CD54,1),($D$8+MAX(0,IF($D$50=1,$D$9*(1-(ABS($Q54-ABS(VALUE(MID(CD54,FIND("|",CD54)+1,FIND("-",CD54)-FIND("|",CD54)-1))-VALUE(MID(CD54,FIND("-",CD54)+1,10)))))*$D$50),$D$9*(1-(IF($N54="X",ABS($O54-VALUE(MID(CD54,FIND("|",CD54)+1,FIND("-",CD54)-FIND("|",CD54)-1))),ABS($Q54-ABS(VALUE(MID(CD54,FIND("|",CD54)+1,FIND("-",CD54)-FIND("|",CD54)-1))-VALUE(MID(CD54,FIND("-",CD54)+1,10)))))*$D$50)))))*$I54,0)),0)</f>
        <v>0</v>
      </c>
      <c r="CF54" s="338"/>
      <c r="CG54" s="370" t="str">
        <f aca="false">Idiomas!$D$366</f>
        <v>Pegar Valores (J3)</v>
      </c>
      <c r="CH54" s="371" t="n">
        <f aca="false">IFERROR(IF($M54=CG54,($D$8+$D$9+$D$10)*$I54,IF($N54=LEFT(CG54,1),($D$8+MAX(0,IF($D$50=1,$D$9*(1-(ABS($Q54-ABS(VALUE(MID(CG54,FIND("|",CG54)+1,FIND("-",CG54)-FIND("|",CG54)-1))-VALUE(MID(CG54,FIND("-",CG54)+1,10)))))*$D$50),$D$9*(1-(IF($N54="X",ABS($O54-VALUE(MID(CG54,FIND("|",CG54)+1,FIND("-",CG54)-FIND("|",CG54)-1))),ABS($Q54-ABS(VALUE(MID(CG54,FIND("|",CG54)+1,FIND("-",CG54)-FIND("|",CG54)-1))-VALUE(MID(CG54,FIND("-",CG54)+1,10)))))*$D$50)))))*$I54,0)),0)</f>
        <v>0</v>
      </c>
      <c r="CI54" s="338"/>
      <c r="CJ54" s="370" t="str">
        <f aca="false">Idiomas!$D$366</f>
        <v>Pegar Valores (J3)</v>
      </c>
      <c r="CK54" s="371" t="n">
        <f aca="false">IFERROR(IF($M54=CJ54,($D$8+$D$9+$D$10)*$I54,IF($N54=LEFT(CJ54,1),($D$8+MAX(0,IF($D$50=1,$D$9*(1-(ABS($Q54-ABS(VALUE(MID(CJ54,FIND("|",CJ54)+1,FIND("-",CJ54)-FIND("|",CJ54)-1))-VALUE(MID(CJ54,FIND("-",CJ54)+1,10)))))*$D$50),$D$9*(1-(IF($N54="X",ABS($O54-VALUE(MID(CJ54,FIND("|",CJ54)+1,FIND("-",CJ54)-FIND("|",CJ54)-1))),ABS($Q54-ABS(VALUE(MID(CJ54,FIND("|",CJ54)+1,FIND("-",CJ54)-FIND("|",CJ54)-1))-VALUE(MID(CJ54,FIND("-",CJ54)+1,10)))))*$D$50)))))*$I54,0)),0)</f>
        <v>0</v>
      </c>
      <c r="CL54" s="338"/>
      <c r="CM54" s="370" t="str">
        <f aca="false">Idiomas!$D$366</f>
        <v>Pegar Valores (J3)</v>
      </c>
      <c r="CN54" s="371" t="n">
        <f aca="false">IFERROR(IF($M54=CM54,($D$8+$D$9+$D$10)*$I54,IF($N54=LEFT(CM54,1),($D$8+MAX(0,IF($D$50=1,$D$9*(1-(ABS($Q54-ABS(VALUE(MID(CM54,FIND("|",CM54)+1,FIND("-",CM54)-FIND("|",CM54)-1))-VALUE(MID(CM54,FIND("-",CM54)+1,10)))))*$D$50),$D$9*(1-(IF($N54="X",ABS($O54-VALUE(MID(CM54,FIND("|",CM54)+1,FIND("-",CM54)-FIND("|",CM54)-1))),ABS($Q54-ABS(VALUE(MID(CM54,FIND("|",CM54)+1,FIND("-",CM54)-FIND("|",CM54)-1))-VALUE(MID(CM54,FIND("-",CM54)+1,10)))))*$D$50)))))*$I54,0)),0)</f>
        <v>0</v>
      </c>
      <c r="CO54" s="338"/>
      <c r="CP54" s="370" t="str">
        <f aca="false">Idiomas!$D$366</f>
        <v>Pegar Valores (J3)</v>
      </c>
      <c r="CQ54" s="371" t="n">
        <f aca="false">IFERROR(IF($M54=CP54,($D$8+$D$9+$D$10)*$I54,IF($N54=LEFT(CP54,1),($D$8+MAX(0,IF($D$50=1,$D$9*(1-(ABS($Q54-ABS(VALUE(MID(CP54,FIND("|",CP54)+1,FIND("-",CP54)-FIND("|",CP54)-1))-VALUE(MID(CP54,FIND("-",CP54)+1,10)))))*$D$50),$D$9*(1-(IF($N54="X",ABS($O54-VALUE(MID(CP54,FIND("|",CP54)+1,FIND("-",CP54)-FIND("|",CP54)-1))),ABS($Q54-ABS(VALUE(MID(CP54,FIND("|",CP54)+1,FIND("-",CP54)-FIND("|",CP54)-1))-VALUE(MID(CP54,FIND("-",CP54)+1,10)))))*$D$50)))))*$I54,0)),0)</f>
        <v>0</v>
      </c>
      <c r="CR54" s="338"/>
      <c r="CS54" s="370" t="str">
        <f aca="false">Idiomas!$D$366</f>
        <v>Pegar Valores (J3)</v>
      </c>
      <c r="CT54" s="371" t="n">
        <f aca="false">IFERROR(IF($M54=CS54,($D$8+$D$9+$D$10)*$I54,IF($N54=LEFT(CS54,1),($D$8+MAX(0,IF($D$50=1,$D$9*(1-(ABS($Q54-ABS(VALUE(MID(CS54,FIND("|",CS54)+1,FIND("-",CS54)-FIND("|",CS54)-1))-VALUE(MID(CS54,FIND("-",CS54)+1,10)))))*$D$50),$D$9*(1-(IF($N54="X",ABS($O54-VALUE(MID(CS54,FIND("|",CS54)+1,FIND("-",CS54)-FIND("|",CS54)-1))),ABS($Q54-ABS(VALUE(MID(CS54,FIND("|",CS54)+1,FIND("-",CS54)-FIND("|",CS54)-1))-VALUE(MID(CS54,FIND("-",CS54)+1,10)))))*$D$50)))))*$I54,0)),0)</f>
        <v>0</v>
      </c>
      <c r="CU54" s="338"/>
      <c r="CV54" s="370" t="str">
        <f aca="false">Idiomas!$D$366</f>
        <v>Pegar Valores (J3)</v>
      </c>
      <c r="CW54" s="371" t="n">
        <f aca="false">IFERROR(IF($M54=CV54,($D$8+$D$9+$D$10)*$I54,IF($N54=LEFT(CV54,1),($D$8+MAX(0,IF($D$50=1,$D$9*(1-(ABS($Q54-ABS(VALUE(MID(CV54,FIND("|",CV54)+1,FIND("-",CV54)-FIND("|",CV54)-1))-VALUE(MID(CV54,FIND("-",CV54)+1,10)))))*$D$50),$D$9*(1-(IF($N54="X",ABS($O54-VALUE(MID(CV54,FIND("|",CV54)+1,FIND("-",CV54)-FIND("|",CV54)-1))),ABS($Q54-ABS(VALUE(MID(CV54,FIND("|",CV54)+1,FIND("-",CV54)-FIND("|",CV54)-1))-VALUE(MID(CV54,FIND("-",CV54)+1,10)))))*$D$50)))))*$I54,0)),0)</f>
        <v>0</v>
      </c>
      <c r="CX54" s="338"/>
      <c r="CY54" s="370" t="str">
        <f aca="false">Idiomas!$D$366</f>
        <v>Pegar Valores (J3)</v>
      </c>
      <c r="CZ54" s="371" t="n">
        <f aca="false">IFERROR(IF($M54=CY54,($D$8+$D$9+$D$10)*$I54,IF($N54=LEFT(CY54,1),($D$8+MAX(0,IF($D$50=1,$D$9*(1-(ABS($Q54-ABS(VALUE(MID(CY54,FIND("|",CY54)+1,FIND("-",CY54)-FIND("|",CY54)-1))-VALUE(MID(CY54,FIND("-",CY54)+1,10)))))*$D$50),$D$9*(1-(IF($N54="X",ABS($O54-VALUE(MID(CY54,FIND("|",CY54)+1,FIND("-",CY54)-FIND("|",CY54)-1))),ABS($Q54-ABS(VALUE(MID(CY54,FIND("|",CY54)+1,FIND("-",CY54)-FIND("|",CY54)-1))-VALUE(MID(CY54,FIND("-",CY54)+1,10)))))*$D$50)))))*$I54,0)),0)</f>
        <v>0</v>
      </c>
      <c r="DA54" s="338"/>
      <c r="DB54" s="370" t="str">
        <f aca="false">Idiomas!$D$366</f>
        <v>Pegar Valores (J3)</v>
      </c>
      <c r="DC54" s="371" t="n">
        <f aca="false">IFERROR(IF($M54=DB54,($D$8+$D$9+$D$10)*$I54,IF($N54=LEFT(DB54,1),($D$8+MAX(0,IF($D$50=1,$D$9*(1-(ABS($Q54-ABS(VALUE(MID(DB54,FIND("|",DB54)+1,FIND("-",DB54)-FIND("|",DB54)-1))-VALUE(MID(DB54,FIND("-",DB54)+1,10)))))*$D$50),$D$9*(1-(IF($N54="X",ABS($O54-VALUE(MID(DB54,FIND("|",DB54)+1,FIND("-",DB54)-FIND("|",DB54)-1))),ABS($Q54-ABS(VALUE(MID(DB54,FIND("|",DB54)+1,FIND("-",DB54)-FIND("|",DB54)-1))-VALUE(MID(DB54,FIND("-",DB54)+1,10)))))*$D$50)))))*$I54,0)),0)</f>
        <v>0</v>
      </c>
      <c r="DD54" s="338"/>
      <c r="DE54" s="370" t="str">
        <f aca="false">Idiomas!$D$366</f>
        <v>Pegar Valores (J3)</v>
      </c>
      <c r="DF54" s="371" t="n">
        <f aca="false">IFERROR(IF($M54=DE54,($D$8+$D$9+$D$10)*$I54,IF($N54=LEFT(DE54,1),($D$8+MAX(0,IF($D$50=1,$D$9*(1-(ABS($Q54-ABS(VALUE(MID(DE54,FIND("|",DE54)+1,FIND("-",DE54)-FIND("|",DE54)-1))-VALUE(MID(DE54,FIND("-",DE54)+1,10)))))*$D$50),$D$9*(1-(IF($N54="X",ABS($O54-VALUE(MID(DE54,FIND("|",DE54)+1,FIND("-",DE54)-FIND("|",DE54)-1))),ABS($Q54-ABS(VALUE(MID(DE54,FIND("|",DE54)+1,FIND("-",DE54)-FIND("|",DE54)-1))-VALUE(MID(DE54,FIND("-",DE54)+1,10)))))*$D$50)))))*$I54,0)),0)</f>
        <v>0</v>
      </c>
      <c r="DG54" s="338"/>
      <c r="DH54" s="370" t="str">
        <f aca="false">Idiomas!$D$366</f>
        <v>Pegar Valores (J3)</v>
      </c>
      <c r="DI54" s="371" t="n">
        <f aca="false">IFERROR(IF($M54=DH54,($D$8+$D$9+$D$10)*$I54,IF($N54=LEFT(DH54,1),($D$8+MAX(0,IF($D$50=1,$D$9*(1-(ABS($Q54-ABS(VALUE(MID(DH54,FIND("|",DH54)+1,FIND("-",DH54)-FIND("|",DH54)-1))-VALUE(MID(DH54,FIND("-",DH54)+1,10)))))*$D$50),$D$9*(1-(IF($N54="X",ABS($O54-VALUE(MID(DH54,FIND("|",DH54)+1,FIND("-",DH54)-FIND("|",DH54)-1))),ABS($Q54-ABS(VALUE(MID(DH54,FIND("|",DH54)+1,FIND("-",DH54)-FIND("|",DH54)-1))-VALUE(MID(DH54,FIND("-",DH54)+1,10)))))*$D$50)))))*$I54,0)),0)</f>
        <v>0</v>
      </c>
      <c r="DJ54" s="338"/>
      <c r="DK54" s="370" t="str">
        <f aca="false">Idiomas!$D$366</f>
        <v>Pegar Valores (J3)</v>
      </c>
      <c r="DL54" s="371" t="n">
        <f aca="false">IFERROR(IF($M54=DK54,($D$8+$D$9+$D$10)*$I54,IF($N54=LEFT(DK54,1),($D$8+MAX(0,IF($D$50=1,$D$9*(1-(ABS($Q54-ABS(VALUE(MID(DK54,FIND("|",DK54)+1,FIND("-",DK54)-FIND("|",DK54)-1))-VALUE(MID(DK54,FIND("-",DK54)+1,10)))))*$D$50),$D$9*(1-(IF($N54="X",ABS($O54-VALUE(MID(DK54,FIND("|",DK54)+1,FIND("-",DK54)-FIND("|",DK54)-1))),ABS($Q54-ABS(VALUE(MID(DK54,FIND("|",DK54)+1,FIND("-",DK54)-FIND("|",DK54)-1))-VALUE(MID(DK54,FIND("-",DK54)+1,10)))))*$D$50)))))*$I54,0)),0)</f>
        <v>0</v>
      </c>
      <c r="DM54" s="338"/>
      <c r="DN54" s="370" t="str">
        <f aca="false">Idiomas!$D$366</f>
        <v>Pegar Valores (J3)</v>
      </c>
      <c r="DO54" s="371" t="n">
        <f aca="false">IFERROR(IF($M54=DN54,($D$8+$D$9+$D$10)*$I54,IF($N54=LEFT(DN54,1),($D$8+MAX(0,IF($D$50=1,$D$9*(1-(ABS($Q54-ABS(VALUE(MID(DN54,FIND("|",DN54)+1,FIND("-",DN54)-FIND("|",DN54)-1))-VALUE(MID(DN54,FIND("-",DN54)+1,10)))))*$D$50),$D$9*(1-(IF($N54="X",ABS($O54-VALUE(MID(DN54,FIND("|",DN54)+1,FIND("-",DN54)-FIND("|",DN54)-1))),ABS($Q54-ABS(VALUE(MID(DN54,FIND("|",DN54)+1,FIND("-",DN54)-FIND("|",DN54)-1))-VALUE(MID(DN54,FIND("-",DN54)+1,10)))))*$D$50)))))*$I54,0)),0)</f>
        <v>0</v>
      </c>
      <c r="DP54" s="338"/>
      <c r="DQ54" s="370" t="str">
        <f aca="false">Idiomas!$D$366</f>
        <v>Pegar Valores (J3)</v>
      </c>
      <c r="DR54" s="371" t="n">
        <f aca="false">IFERROR(IF($M54=DQ54,($D$8+$D$9+$D$10)*$I54,IF($N54=LEFT(DQ54,1),($D$8+MAX(0,IF($D$50=1,$D$9*(1-(ABS($Q54-ABS(VALUE(MID(DQ54,FIND("|",DQ54)+1,FIND("-",DQ54)-FIND("|",DQ54)-1))-VALUE(MID(DQ54,FIND("-",DQ54)+1,10)))))*$D$50),$D$9*(1-(IF($N54="X",ABS($O54-VALUE(MID(DQ54,FIND("|",DQ54)+1,FIND("-",DQ54)-FIND("|",DQ54)-1))),ABS($Q54-ABS(VALUE(MID(DQ54,FIND("|",DQ54)+1,FIND("-",DQ54)-FIND("|",DQ54)-1))-VALUE(MID(DQ54,FIND("-",DQ54)+1,10)))))*$D$50)))))*$I54,0)),0)</f>
        <v>0</v>
      </c>
      <c r="DS54" s="338"/>
      <c r="DT54" s="370" t="str">
        <f aca="false">Idiomas!$D$366</f>
        <v>Pegar Valores (J3)</v>
      </c>
      <c r="DU54" s="371" t="n">
        <f aca="false">IFERROR(IF($M54=DT54,($D$8+$D$9+$D$10)*$I54,IF($N54=LEFT(DT54,1),($D$8+MAX(0,IF($D$50=1,$D$9*(1-(ABS($Q54-ABS(VALUE(MID(DT54,FIND("|",DT54)+1,FIND("-",DT54)-FIND("|",DT54)-1))-VALUE(MID(DT54,FIND("-",DT54)+1,10)))))*$D$50),$D$9*(1-(IF($N54="X",ABS($O54-VALUE(MID(DT54,FIND("|",DT54)+1,FIND("-",DT54)-FIND("|",DT54)-1))),ABS($Q54-ABS(VALUE(MID(DT54,FIND("|",DT54)+1,FIND("-",DT54)-FIND("|",DT54)-1))-VALUE(MID(DT54,FIND("-",DT54)+1,10)))))*$D$50)))))*$I54,0)),0)</f>
        <v>0</v>
      </c>
      <c r="DV54" s="338"/>
      <c r="DW54" s="370" t="str">
        <f aca="false">Idiomas!$D$366</f>
        <v>Pegar Valores (J3)</v>
      </c>
      <c r="DX54" s="371" t="n">
        <f aca="false">IFERROR(IF($M54=DW54,($D$8+$D$9+$D$10)*$I54,IF($N54=LEFT(DW54,1),($D$8+MAX(0,IF($D$50=1,$D$9*(1-(ABS($Q54-ABS(VALUE(MID(DW54,FIND("|",DW54)+1,FIND("-",DW54)-FIND("|",DW54)-1))-VALUE(MID(DW54,FIND("-",DW54)+1,10)))))*$D$50),$D$9*(1-(IF($N54="X",ABS($O54-VALUE(MID(DW54,FIND("|",DW54)+1,FIND("-",DW54)-FIND("|",DW54)-1))),ABS($Q54-ABS(VALUE(MID(DW54,FIND("|",DW54)+1,FIND("-",DW54)-FIND("|",DW54)-1))-VALUE(MID(DW54,FIND("-",DW54)+1,10)))))*$D$50)))))*$I54,0)),0)</f>
        <v>0</v>
      </c>
      <c r="DY54" s="338"/>
      <c r="DZ54" s="370" t="str">
        <f aca="false">Idiomas!$D$366</f>
        <v>Pegar Valores (J3)</v>
      </c>
      <c r="EA54" s="371" t="n">
        <f aca="false">IFERROR(IF($M54=DZ54,($D$8+$D$9+$D$10)*$I54,IF($N54=LEFT(DZ54,1),($D$8+MAX(0,IF($D$50=1,$D$9*(1-(ABS($Q54-ABS(VALUE(MID(DZ54,FIND("|",DZ54)+1,FIND("-",DZ54)-FIND("|",DZ54)-1))-VALUE(MID(DZ54,FIND("-",DZ54)+1,10)))))*$D$50),$D$9*(1-(IF($N54="X",ABS($O54-VALUE(MID(DZ54,FIND("|",DZ54)+1,FIND("-",DZ54)-FIND("|",DZ54)-1))),ABS($Q54-ABS(VALUE(MID(DZ54,FIND("|",DZ54)+1,FIND("-",DZ54)-FIND("|",DZ54)-1))-VALUE(MID(DZ54,FIND("-",DZ54)+1,10)))))*$D$50)))))*$I54,0)),0)</f>
        <v>0</v>
      </c>
      <c r="EB54" s="338"/>
      <c r="EC54" s="370" t="str">
        <f aca="false">Idiomas!$D$366</f>
        <v>Pegar Valores (J3)</v>
      </c>
      <c r="ED54" s="371" t="n">
        <f aca="false">IFERROR(IF($M54=EC54,($D$8+$D$9+$D$10)*$I54,IF($N54=LEFT(EC54,1),($D$8+MAX(0,IF($D$50=1,$D$9*(1-(ABS($Q54-ABS(VALUE(MID(EC54,FIND("|",EC54)+1,FIND("-",EC54)-FIND("|",EC54)-1))-VALUE(MID(EC54,FIND("-",EC54)+1,10)))))*$D$50),$D$9*(1-(IF($N54="X",ABS($O54-VALUE(MID(EC54,FIND("|",EC54)+1,FIND("-",EC54)-FIND("|",EC54)-1))),ABS($Q54-ABS(VALUE(MID(EC54,FIND("|",EC54)+1,FIND("-",EC54)-FIND("|",EC54)-1))-VALUE(MID(EC54,FIND("-",EC54)+1,10)))))*$D$50)))))*$I54,0)),0)</f>
        <v>0</v>
      </c>
      <c r="EE54" s="338"/>
      <c r="EF54" s="370" t="str">
        <f aca="false">Idiomas!$D$366</f>
        <v>Pegar Valores (J3)</v>
      </c>
      <c r="EG54" s="371" t="n">
        <f aca="false">IFERROR(IF($M54=EF54,($D$8+$D$9+$D$10)*$I54,IF($N54=LEFT(EF54,1),($D$8+MAX(0,IF($D$50=1,$D$9*(1-(ABS($Q54-ABS(VALUE(MID(EF54,FIND("|",EF54)+1,FIND("-",EF54)-FIND("|",EF54)-1))-VALUE(MID(EF54,FIND("-",EF54)+1,10)))))*$D$50),$D$9*(1-(IF($N54="X",ABS($O54-VALUE(MID(EF54,FIND("|",EF54)+1,FIND("-",EF54)-FIND("|",EF54)-1))),ABS($Q54-ABS(VALUE(MID(EF54,FIND("|",EF54)+1,FIND("-",EF54)-FIND("|",EF54)-1))-VALUE(MID(EF54,FIND("-",EF54)+1,10)))))*$D$50)))))*$I54,0)),0)</f>
        <v>0</v>
      </c>
      <c r="EH54" s="338"/>
      <c r="EI54" s="338"/>
    </row>
    <row r="55" customFormat="false" ht="15" hidden="false" customHeight="false" outlineLevel="0" collapsed="false">
      <c r="A55" s="327"/>
      <c r="B55" s="327"/>
      <c r="C55" s="248"/>
      <c r="D55" s="248"/>
      <c r="E55" s="379"/>
      <c r="F55" s="343" t="n">
        <f aca="false">SUM($D$8:$D$10)*I55</f>
        <v>17</v>
      </c>
      <c r="G55" s="343" t="n">
        <f aca="false">VLOOKUP(H55,Equipos!$Q$1:$R$25,2,0)</f>
        <v>15</v>
      </c>
      <c r="H55" s="351" t="n">
        <f aca="false">TRUNC(INDEX(WORLDCUP!$X$4:$X$147,MATCH(ADMIN!K55,WORLDCUP!$DT$4:$DT$147,0))+INDEX(Horarios!$R$3:$R$86,MATCH(Horarios!$C$3,Horarios!$P$3:$P$86,0))/24)</f>
        <v>46198</v>
      </c>
      <c r="I55" s="352" t="n">
        <v>1</v>
      </c>
      <c r="J55" s="353" t="s">
        <v>313</v>
      </c>
      <c r="K55" s="354" t="str">
        <f aca="false">CONCATENATE(WORLDCUP!AA9,"-",WORLDCUP!AF9)</f>
        <v>Sudáfrica-Corea del Sur</v>
      </c>
      <c r="L55" s="354"/>
      <c r="M55" s="359" t="str">
        <f aca="false">IF(OR(WORLDCUP!AC9="",WORLDCUP!AD9=""),"-",N55&amp;"|"&amp;O55&amp;"-"&amp;P55)</f>
        <v>-</v>
      </c>
      <c r="N55" s="332" t="str">
        <f aca="false">IF(OR(WORLDCUP!AC9="",WORLDCUP!AD9=""),"",IF(WORLDCUP!AC9&gt;WORLDCUP!AD9,"1",IF(WORLDCUP!AC9&lt;WORLDCUP!AD9,"2","X")))</f>
        <v/>
      </c>
      <c r="O55" s="332" t="n">
        <f aca="false">WORLDCUP!AC9</f>
        <v>0</v>
      </c>
      <c r="P55" s="332" t="n">
        <f aca="false">WORLDCUP!AD9</f>
        <v>0</v>
      </c>
      <c r="Q55" s="332" t="n">
        <f aca="false">ABS(O55-P55)</f>
        <v>0</v>
      </c>
      <c r="R55" s="327"/>
      <c r="S55" s="363" t="s">
        <v>275</v>
      </c>
      <c r="T55" s="356" t="n">
        <f aca="false">IFERROR(IF($M55=S55,($D$8+$D$9+$D$10)*$I55,IF($N55=LEFT(S55,1),($D$8+MAX(0,IF($D$50=1,$D$9*(1-(ABS($Q55-ABS(VALUE(MID(S55,FIND("|",S55)+1,FIND("-",S55)-FIND("|",S55)-1))-VALUE(MID(S55,FIND("-",S55)+1,10)))))*$D$50),$D$9*(1-(IF($N55="X",ABS($O55-VALUE(MID(S55,FIND("|",S55)+1,FIND("-",S55)-FIND("|",S55)-1))),ABS($Q55-ABS(VALUE(MID(S55,FIND("|",S55)+1,FIND("-",S55)-FIND("|",S55)-1))-VALUE(MID(S55,FIND("-",S55)+1,10)))))*$D$50)))))*$I55,0)),0)</f>
        <v>0</v>
      </c>
      <c r="U55" s="338"/>
      <c r="V55" s="363" t="s">
        <v>268</v>
      </c>
      <c r="W55" s="356" t="n">
        <f aca="false">IFERROR(IF($M55=V55,($D$8+$D$9+$D$10)*$I55,IF($N55=LEFT(V55,1),($D$8+MAX(0,IF($D$50=1,$D$9*(1-(ABS($Q55-ABS(VALUE(MID(V55,FIND("|",V55)+1,FIND("-",V55)-FIND("|",V55)-1))-VALUE(MID(V55,FIND("-",V55)+1,10)))))*$D$50),$D$9*(1-(IF($N55="X",ABS($O55-VALUE(MID(V55,FIND("|",V55)+1,FIND("-",V55)-FIND("|",V55)-1))),ABS($Q55-ABS(VALUE(MID(V55,FIND("|",V55)+1,FIND("-",V55)-FIND("|",V55)-1))-VALUE(MID(V55,FIND("-",V55)+1,10)))))*$D$50)))))*$I55,0)),0)</f>
        <v>0</v>
      </c>
      <c r="X55" s="338"/>
      <c r="Y55" s="363" t="s">
        <v>267</v>
      </c>
      <c r="Z55" s="356" t="n">
        <f aca="false">IFERROR(IF($M55=Y55,($D$8+$D$9+$D$10)*$I55,IF($N55=LEFT(Y55,1),($D$8+MAX(0,IF($D$50=1,$D$9*(1-(ABS($Q55-ABS(VALUE(MID(Y55,FIND("|",Y55)+1,FIND("-",Y55)-FIND("|",Y55)-1))-VALUE(MID(Y55,FIND("-",Y55)+1,10)))))*$D$50),$D$9*(1-(IF($N55="X",ABS($O55-VALUE(MID(Y55,FIND("|",Y55)+1,FIND("-",Y55)-FIND("|",Y55)-1))),ABS($Q55-ABS(VALUE(MID(Y55,FIND("|",Y55)+1,FIND("-",Y55)-FIND("|",Y55)-1))-VALUE(MID(Y55,FIND("-",Y55)+1,10)))))*$D$50)))))*$I55,0)),0)</f>
        <v>0</v>
      </c>
      <c r="AA55" s="338"/>
      <c r="AB55" s="363" t="s">
        <v>271</v>
      </c>
      <c r="AC55" s="356" t="n">
        <f aca="false">IFERROR(IF($M55=AB55,($D$8+$D$9+$D$10)*$I55,IF($N55=LEFT(AB55,1),($D$8+MAX(0,IF($D$50=1,$D$9*(1-(ABS($Q55-ABS(VALUE(MID(AB55,FIND("|",AB55)+1,FIND("-",AB55)-FIND("|",AB55)-1))-VALUE(MID(AB55,FIND("-",AB55)+1,10)))))*$D$50),$D$9*(1-(IF($N55="X",ABS($O55-VALUE(MID(AB55,FIND("|",AB55)+1,FIND("-",AB55)-FIND("|",AB55)-1))),ABS($Q55-ABS(VALUE(MID(AB55,FIND("|",AB55)+1,FIND("-",AB55)-FIND("|",AB55)-1))-VALUE(MID(AB55,FIND("-",AB55)+1,10)))))*$D$50)))))*$I55,0)),0)</f>
        <v>0</v>
      </c>
      <c r="AD55" s="338"/>
      <c r="AE55" s="363" t="s">
        <v>274</v>
      </c>
      <c r="AF55" s="356" t="n">
        <f aca="false">IFERROR(IF($M55=AE55,($D$8+$D$9+$D$10)*$I55,IF($N55=LEFT(AE55,1),($D$8+MAX(0,IF($D$50=1,$D$9*(1-(ABS($Q55-ABS(VALUE(MID(AE55,FIND("|",AE55)+1,FIND("-",AE55)-FIND("|",AE55)-1))-VALUE(MID(AE55,FIND("-",AE55)+1,10)))))*$D$50),$D$9*(1-(IF($N55="X",ABS($O55-VALUE(MID(AE55,FIND("|",AE55)+1,FIND("-",AE55)-FIND("|",AE55)-1))),ABS($Q55-ABS(VALUE(MID(AE55,FIND("|",AE55)+1,FIND("-",AE55)-FIND("|",AE55)-1))-VALUE(MID(AE55,FIND("-",AE55)+1,10)))))*$D$50)))))*$I55,0)),0)</f>
        <v>0</v>
      </c>
      <c r="AG55" s="338"/>
      <c r="AH55" s="363" t="s">
        <v>268</v>
      </c>
      <c r="AI55" s="356" t="n">
        <f aca="false">IFERROR(IF($M55=AH55,($D$8+$D$9+$D$10)*$I55,IF($N55=LEFT(AH55,1),($D$8+MAX(0,IF($D$50=1,$D$9*(1-(ABS($Q55-ABS(VALUE(MID(AH55,FIND("|",AH55)+1,FIND("-",AH55)-FIND("|",AH55)-1))-VALUE(MID(AH55,FIND("-",AH55)+1,10)))))*$D$50),$D$9*(1-(IF($N55="X",ABS($O55-VALUE(MID(AH55,FIND("|",AH55)+1,FIND("-",AH55)-FIND("|",AH55)-1))),ABS($Q55-ABS(VALUE(MID(AH55,FIND("|",AH55)+1,FIND("-",AH55)-FIND("|",AH55)-1))-VALUE(MID(AH55,FIND("-",AH55)+1,10)))))*$D$50)))))*$I55,0)),0)</f>
        <v>0</v>
      </c>
      <c r="AJ55" s="338"/>
      <c r="AK55" s="363" t="s">
        <v>268</v>
      </c>
      <c r="AL55" s="356" t="n">
        <f aca="false">IFERROR(IF($M55=AK55,($D$8+$D$9+$D$10)*$I55,IF($N55=LEFT(AK55,1),($D$8+MAX(0,IF($D$50=1,$D$9*(1-(ABS($Q55-ABS(VALUE(MID(AK55,FIND("|",AK55)+1,FIND("-",AK55)-FIND("|",AK55)-1))-VALUE(MID(AK55,FIND("-",AK55)+1,10)))))*$D$50),$D$9*(1-(IF($N55="X",ABS($O55-VALUE(MID(AK55,FIND("|",AK55)+1,FIND("-",AK55)-FIND("|",AK55)-1))),ABS($Q55-ABS(VALUE(MID(AK55,FIND("|",AK55)+1,FIND("-",AK55)-FIND("|",AK55)-1))-VALUE(MID(AK55,FIND("-",AK55)+1,10)))))*$D$50)))))*$I55,0)),0)</f>
        <v>0</v>
      </c>
      <c r="AM55" s="338"/>
      <c r="AN55" s="363" t="s">
        <v>268</v>
      </c>
      <c r="AO55" s="356" t="n">
        <f aca="false">IFERROR(IF($M55=AN55,($D$8+$D$9+$D$10)*$I55,IF($N55=LEFT(AN55,1),($D$8+MAX(0,IF($D$50=1,$D$9*(1-(ABS($Q55-ABS(VALUE(MID(AN55,FIND("|",AN55)+1,FIND("-",AN55)-FIND("|",AN55)-1))-VALUE(MID(AN55,FIND("-",AN55)+1,10)))))*$D$50),$D$9*(1-(IF($N55="X",ABS($O55-VALUE(MID(AN55,FIND("|",AN55)+1,FIND("-",AN55)-FIND("|",AN55)-1))),ABS($Q55-ABS(VALUE(MID(AN55,FIND("|",AN55)+1,FIND("-",AN55)-FIND("|",AN55)-1))-VALUE(MID(AN55,FIND("-",AN55)+1,10)))))*$D$50)))))*$I55,0)),0)</f>
        <v>0</v>
      </c>
      <c r="AP55" s="338"/>
      <c r="AQ55" s="363" t="s">
        <v>277</v>
      </c>
      <c r="AR55" s="356" t="n">
        <f aca="false">IFERROR(IF($M55=AQ55,($D$8+$D$9+$D$10)*$I55,IF($N55=LEFT(AQ55,1),($D$8+MAX(0,IF($D$50=1,$D$9*(1-(ABS($Q55-ABS(VALUE(MID(AQ55,FIND("|",AQ55)+1,FIND("-",AQ55)-FIND("|",AQ55)-1))-VALUE(MID(AQ55,FIND("-",AQ55)+1,10)))))*$D$50),$D$9*(1-(IF($N55="X",ABS($O55-VALUE(MID(AQ55,FIND("|",AQ55)+1,FIND("-",AQ55)-FIND("|",AQ55)-1))),ABS($Q55-ABS(VALUE(MID(AQ55,FIND("|",AQ55)+1,FIND("-",AQ55)-FIND("|",AQ55)-1))-VALUE(MID(AQ55,FIND("-",AQ55)+1,10)))))*$D$50)))))*$I55,0)),0)</f>
        <v>0</v>
      </c>
      <c r="AS55" s="338"/>
      <c r="AT55" s="363" t="s">
        <v>275</v>
      </c>
      <c r="AU55" s="356" t="n">
        <f aca="false">IFERROR(IF($M55=AT55,($D$8+$D$9+$D$10)*$I55,IF($N55=LEFT(AT55,1),($D$8+MAX(0,IF($D$50=1,$D$9*(1-(ABS($Q55-ABS(VALUE(MID(AT55,FIND("|",AT55)+1,FIND("-",AT55)-FIND("|",AT55)-1))-VALUE(MID(AT55,FIND("-",AT55)+1,10)))))*$D$50),$D$9*(1-(IF($N55="X",ABS($O55-VALUE(MID(AT55,FIND("|",AT55)+1,FIND("-",AT55)-FIND("|",AT55)-1))),ABS($Q55-ABS(VALUE(MID(AT55,FIND("|",AT55)+1,FIND("-",AT55)-FIND("|",AT55)-1))-VALUE(MID(AT55,FIND("-",AT55)+1,10)))))*$D$50)))))*$I55,0)),0)</f>
        <v>0</v>
      </c>
      <c r="AV55" s="338"/>
      <c r="AW55" s="363" t="s">
        <v>271</v>
      </c>
      <c r="AX55" s="356" t="n">
        <f aca="false">IFERROR(IF($M55=AW55,($D$8+$D$9+$D$10)*$I55,IF($N55=LEFT(AW55,1),($D$8+MAX(0,IF($D$50=1,$D$9*(1-(ABS($Q55-ABS(VALUE(MID(AW55,FIND("|",AW55)+1,FIND("-",AW55)-FIND("|",AW55)-1))-VALUE(MID(AW55,FIND("-",AW55)+1,10)))))*$D$50),$D$9*(1-(IF($N55="X",ABS($O55-VALUE(MID(AW55,FIND("|",AW55)+1,FIND("-",AW55)-FIND("|",AW55)-1))),ABS($Q55-ABS(VALUE(MID(AW55,FIND("|",AW55)+1,FIND("-",AW55)-FIND("|",AW55)-1))-VALUE(MID(AW55,FIND("-",AW55)+1,10)))))*$D$50)))))*$I55,0)),0)</f>
        <v>0</v>
      </c>
      <c r="AY55" s="338"/>
      <c r="AZ55" s="363" t="s">
        <v>271</v>
      </c>
      <c r="BA55" s="356" t="n">
        <f aca="false">IFERROR(IF($M55=AZ55,($D$8+$D$9+$D$10)*$I55,IF($N55=LEFT(AZ55,1),($D$8+MAX(0,IF($D$50=1,$D$9*(1-(ABS($Q55-ABS(VALUE(MID(AZ55,FIND("|",AZ55)+1,FIND("-",AZ55)-FIND("|",AZ55)-1))-VALUE(MID(AZ55,FIND("-",AZ55)+1,10)))))*$D$50),$D$9*(1-(IF($N55="X",ABS($O55-VALUE(MID(AZ55,FIND("|",AZ55)+1,FIND("-",AZ55)-FIND("|",AZ55)-1))),ABS($Q55-ABS(VALUE(MID(AZ55,FIND("|",AZ55)+1,FIND("-",AZ55)-FIND("|",AZ55)-1))-VALUE(MID(AZ55,FIND("-",AZ55)+1,10)))))*$D$50)))))*$I55,0)),0)</f>
        <v>0</v>
      </c>
      <c r="BB55" s="338"/>
      <c r="BC55" s="363" t="s">
        <v>267</v>
      </c>
      <c r="BD55" s="356" t="n">
        <f aca="false">IFERROR(IF($M55=BC55,($D$8+$D$9+$D$10)*$I55,IF($N55=LEFT(BC55,1),($D$8+MAX(0,IF($D$50=1,$D$9*(1-(ABS($Q55-ABS(VALUE(MID(BC55,FIND("|",BC55)+1,FIND("-",BC55)-FIND("|",BC55)-1))-VALUE(MID(BC55,FIND("-",BC55)+1,10)))))*$D$50),$D$9*(1-(IF($N55="X",ABS($O55-VALUE(MID(BC55,FIND("|",BC55)+1,FIND("-",BC55)-FIND("|",BC55)-1))),ABS($Q55-ABS(VALUE(MID(BC55,FIND("|",BC55)+1,FIND("-",BC55)-FIND("|",BC55)-1))-VALUE(MID(BC55,FIND("-",BC55)+1,10)))))*$D$50)))))*$I55,0)),0)</f>
        <v>0</v>
      </c>
      <c r="BE55" s="338"/>
      <c r="BF55" s="363" t="s">
        <v>265</v>
      </c>
      <c r="BG55" s="356" t="n">
        <f aca="false">IFERROR(IF($M55=BF55,($D$8+$D$9+$D$10)*$I55,IF($N55=LEFT(BF55,1),($D$8+MAX(0,IF($D$50=1,$D$9*(1-(ABS($Q55-ABS(VALUE(MID(BF55,FIND("|",BF55)+1,FIND("-",BF55)-FIND("|",BF55)-1))-VALUE(MID(BF55,FIND("-",BF55)+1,10)))))*$D$50),$D$9*(1-(IF($N55="X",ABS($O55-VALUE(MID(BF55,FIND("|",BF55)+1,FIND("-",BF55)-FIND("|",BF55)-1))),ABS($Q55-ABS(VALUE(MID(BF55,FIND("|",BF55)+1,FIND("-",BF55)-FIND("|",BF55)-1))-VALUE(MID(BF55,FIND("-",BF55)+1,10)))))*$D$50)))))*$I55,0)),0)</f>
        <v>0</v>
      </c>
      <c r="BH55" s="338"/>
      <c r="BI55" s="363" t="s">
        <v>271</v>
      </c>
      <c r="BJ55" s="356" t="n">
        <f aca="false">IFERROR(IF($M55=BI55,($D$8+$D$9+$D$10)*$I55,IF($N55=LEFT(BI55,1),($D$8+MAX(0,IF($D$50=1,$D$9*(1-(ABS($Q55-ABS(VALUE(MID(BI55,FIND("|",BI55)+1,FIND("-",BI55)-FIND("|",BI55)-1))-VALUE(MID(BI55,FIND("-",BI55)+1,10)))))*$D$50),$D$9*(1-(IF($N55="X",ABS($O55-VALUE(MID(BI55,FIND("|",BI55)+1,FIND("-",BI55)-FIND("|",BI55)-1))),ABS($Q55-ABS(VALUE(MID(BI55,FIND("|",BI55)+1,FIND("-",BI55)-FIND("|",BI55)-1))-VALUE(MID(BI55,FIND("-",BI55)+1,10)))))*$D$50)))))*$I55,0)),0)</f>
        <v>0</v>
      </c>
      <c r="BK55" s="338"/>
      <c r="BL55" s="363" t="s">
        <v>273</v>
      </c>
      <c r="BM55" s="356" t="n">
        <f aca="false">IFERROR(IF($M55=BL55,($D$8+$D$9+$D$10)*$I55,IF($N55=LEFT(BL55,1),($D$8+MAX(0,IF($D$50=1,$D$9*(1-(ABS($Q55-ABS(VALUE(MID(BL55,FIND("|",BL55)+1,FIND("-",BL55)-FIND("|",BL55)-1))-VALUE(MID(BL55,FIND("-",BL55)+1,10)))))*$D$50),$D$9*(1-(IF($N55="X",ABS($O55-VALUE(MID(BL55,FIND("|",BL55)+1,FIND("-",BL55)-FIND("|",BL55)-1))),ABS($Q55-ABS(VALUE(MID(BL55,FIND("|",BL55)+1,FIND("-",BL55)-FIND("|",BL55)-1))-VALUE(MID(BL55,FIND("-",BL55)+1,10)))))*$D$50)))))*$I55,0)),0)</f>
        <v>0</v>
      </c>
      <c r="BN55" s="338"/>
      <c r="BO55" s="363" t="s">
        <v>267</v>
      </c>
      <c r="BP55" s="356" t="n">
        <f aca="false">IFERROR(IF($M55=BO55,($D$8+$D$9+$D$10)*$I55,IF($N55=LEFT(BO55,1),($D$8+MAX(0,IF($D$50=1,$D$9*(1-(ABS($Q55-ABS(VALUE(MID(BO55,FIND("|",BO55)+1,FIND("-",BO55)-FIND("|",BO55)-1))-VALUE(MID(BO55,FIND("-",BO55)+1,10)))))*$D$50),$D$9*(1-(IF($N55="X",ABS($O55-VALUE(MID(BO55,FIND("|",BO55)+1,FIND("-",BO55)-FIND("|",BO55)-1))),ABS($Q55-ABS(VALUE(MID(BO55,FIND("|",BO55)+1,FIND("-",BO55)-FIND("|",BO55)-1))-VALUE(MID(BO55,FIND("-",BO55)+1,10)))))*$D$50)))))*$I55,0)),0)</f>
        <v>0</v>
      </c>
      <c r="BQ55" s="338"/>
      <c r="BR55" s="363" t="s">
        <v>271</v>
      </c>
      <c r="BS55" s="356" t="n">
        <f aca="false">IFERROR(IF($M55=BR55,($D$8+$D$9+$D$10)*$I55,IF($N55=LEFT(BR55,1),($D$8+MAX(0,IF($D$50=1,$D$9*(1-(ABS($Q55-ABS(VALUE(MID(BR55,FIND("|",BR55)+1,FIND("-",BR55)-FIND("|",BR55)-1))-VALUE(MID(BR55,FIND("-",BR55)+1,10)))))*$D$50),$D$9*(1-(IF($N55="X",ABS($O55-VALUE(MID(BR55,FIND("|",BR55)+1,FIND("-",BR55)-FIND("|",BR55)-1))),ABS($Q55-ABS(VALUE(MID(BR55,FIND("|",BR55)+1,FIND("-",BR55)-FIND("|",BR55)-1))-VALUE(MID(BR55,FIND("-",BR55)+1,10)))))*$D$50)))))*$I55,0)),0)</f>
        <v>0</v>
      </c>
      <c r="BT55" s="338"/>
      <c r="BU55" s="363"/>
      <c r="BV55" s="356" t="n">
        <f aca="false">IFERROR(IF($M55=BU55,($D$8+$D$9+$D$10)*$I55,IF($N55=LEFT(BU55,1),($D$8+MAX(0,IF($D$50=1,$D$9*(1-(ABS($Q55-ABS(VALUE(MID(BU55,FIND("|",BU55)+1,FIND("-",BU55)-FIND("|",BU55)-1))-VALUE(MID(BU55,FIND("-",BU55)+1,10)))))*$D$50),$D$9*(1-(IF($N55="X",ABS($O55-VALUE(MID(BU55,FIND("|",BU55)+1,FIND("-",BU55)-FIND("|",BU55)-1))),ABS($Q55-ABS(VALUE(MID(BU55,FIND("|",BU55)+1,FIND("-",BU55)-FIND("|",BU55)-1))-VALUE(MID(BU55,FIND("-",BU55)+1,10)))))*$D$50)))))*$I55,0)),0)</f>
        <v>0</v>
      </c>
      <c r="BW55" s="338"/>
      <c r="BX55" s="363"/>
      <c r="BY55" s="356" t="n">
        <f aca="false">IFERROR(IF($M55=BX55,($D$8+$D$9+$D$10)*$I55,IF($N55=LEFT(BX55,1),($D$8+MAX(0,IF($D$50=1,$D$9*(1-(ABS($Q55-ABS(VALUE(MID(BX55,FIND("|",BX55)+1,FIND("-",BX55)-FIND("|",BX55)-1))-VALUE(MID(BX55,FIND("-",BX55)+1,10)))))*$D$50),$D$9*(1-(IF($N55="X",ABS($O55-VALUE(MID(BX55,FIND("|",BX55)+1,FIND("-",BX55)-FIND("|",BX55)-1))),ABS($Q55-ABS(VALUE(MID(BX55,FIND("|",BX55)+1,FIND("-",BX55)-FIND("|",BX55)-1))-VALUE(MID(BX55,FIND("-",BX55)+1,10)))))*$D$50)))))*$I55,0)),0)</f>
        <v>0</v>
      </c>
      <c r="BZ55" s="338"/>
      <c r="CA55" s="363"/>
      <c r="CB55" s="356" t="n">
        <f aca="false">IFERROR(IF($M55=CA55,($D$8+$D$9+$D$10)*$I55,IF($N55=LEFT(CA55,1),($D$8+MAX(0,IF($D$50=1,$D$9*(1-(ABS($Q55-ABS(VALUE(MID(CA55,FIND("|",CA55)+1,FIND("-",CA55)-FIND("|",CA55)-1))-VALUE(MID(CA55,FIND("-",CA55)+1,10)))))*$D$50),$D$9*(1-(IF($N55="X",ABS($O55-VALUE(MID(CA55,FIND("|",CA55)+1,FIND("-",CA55)-FIND("|",CA55)-1))),ABS($Q55-ABS(VALUE(MID(CA55,FIND("|",CA55)+1,FIND("-",CA55)-FIND("|",CA55)-1))-VALUE(MID(CA55,FIND("-",CA55)+1,10)))))*$D$50)))))*$I55,0)),0)</f>
        <v>0</v>
      </c>
      <c r="CC55" s="338"/>
      <c r="CD55" s="363"/>
      <c r="CE55" s="356" t="n">
        <f aca="false">IFERROR(IF($M55=CD55,($D$8+$D$9+$D$10)*$I55,IF($N55=LEFT(CD55,1),($D$8+MAX(0,IF($D$50=1,$D$9*(1-(ABS($Q55-ABS(VALUE(MID(CD55,FIND("|",CD55)+1,FIND("-",CD55)-FIND("|",CD55)-1))-VALUE(MID(CD55,FIND("-",CD55)+1,10)))))*$D$50),$D$9*(1-(IF($N55="X",ABS($O55-VALUE(MID(CD55,FIND("|",CD55)+1,FIND("-",CD55)-FIND("|",CD55)-1))),ABS($Q55-ABS(VALUE(MID(CD55,FIND("|",CD55)+1,FIND("-",CD55)-FIND("|",CD55)-1))-VALUE(MID(CD55,FIND("-",CD55)+1,10)))))*$D$50)))))*$I55,0)),0)</f>
        <v>0</v>
      </c>
      <c r="CF55" s="338"/>
      <c r="CG55" s="363"/>
      <c r="CH55" s="356" t="n">
        <f aca="false">IFERROR(IF($M55=CG55,($D$8+$D$9+$D$10)*$I55,IF($N55=LEFT(CG55,1),($D$8+MAX(0,IF($D$50=1,$D$9*(1-(ABS($Q55-ABS(VALUE(MID(CG55,FIND("|",CG55)+1,FIND("-",CG55)-FIND("|",CG55)-1))-VALUE(MID(CG55,FIND("-",CG55)+1,10)))))*$D$50),$D$9*(1-(IF($N55="X",ABS($O55-VALUE(MID(CG55,FIND("|",CG55)+1,FIND("-",CG55)-FIND("|",CG55)-1))),ABS($Q55-ABS(VALUE(MID(CG55,FIND("|",CG55)+1,FIND("-",CG55)-FIND("|",CG55)-1))-VALUE(MID(CG55,FIND("-",CG55)+1,10)))))*$D$50)))))*$I55,0)),0)</f>
        <v>0</v>
      </c>
      <c r="CI55" s="338"/>
      <c r="CJ55" s="363"/>
      <c r="CK55" s="356" t="n">
        <f aca="false">IFERROR(IF($M55=CJ55,($D$8+$D$9+$D$10)*$I55,IF($N55=LEFT(CJ55,1),($D$8+MAX(0,IF($D$50=1,$D$9*(1-(ABS($Q55-ABS(VALUE(MID(CJ55,FIND("|",CJ55)+1,FIND("-",CJ55)-FIND("|",CJ55)-1))-VALUE(MID(CJ55,FIND("-",CJ55)+1,10)))))*$D$50),$D$9*(1-(IF($N55="X",ABS($O55-VALUE(MID(CJ55,FIND("|",CJ55)+1,FIND("-",CJ55)-FIND("|",CJ55)-1))),ABS($Q55-ABS(VALUE(MID(CJ55,FIND("|",CJ55)+1,FIND("-",CJ55)-FIND("|",CJ55)-1))-VALUE(MID(CJ55,FIND("-",CJ55)+1,10)))))*$D$50)))))*$I55,0)),0)</f>
        <v>0</v>
      </c>
      <c r="CL55" s="338"/>
      <c r="CM55" s="363"/>
      <c r="CN55" s="356" t="n">
        <f aca="false">IFERROR(IF($M55=CM55,($D$8+$D$9+$D$10)*$I55,IF($N55=LEFT(CM55,1),($D$8+MAX(0,IF($D$50=1,$D$9*(1-(ABS($Q55-ABS(VALUE(MID(CM55,FIND("|",CM55)+1,FIND("-",CM55)-FIND("|",CM55)-1))-VALUE(MID(CM55,FIND("-",CM55)+1,10)))))*$D$50),$D$9*(1-(IF($N55="X",ABS($O55-VALUE(MID(CM55,FIND("|",CM55)+1,FIND("-",CM55)-FIND("|",CM55)-1))),ABS($Q55-ABS(VALUE(MID(CM55,FIND("|",CM55)+1,FIND("-",CM55)-FIND("|",CM55)-1))-VALUE(MID(CM55,FIND("-",CM55)+1,10)))))*$D$50)))))*$I55,0)),0)</f>
        <v>0</v>
      </c>
      <c r="CO55" s="338"/>
      <c r="CP55" s="363"/>
      <c r="CQ55" s="356" t="n">
        <f aca="false">IFERROR(IF($M55=CP55,($D$8+$D$9+$D$10)*$I55,IF($N55=LEFT(CP55,1),($D$8+MAX(0,IF($D$50=1,$D$9*(1-(ABS($Q55-ABS(VALUE(MID(CP55,FIND("|",CP55)+1,FIND("-",CP55)-FIND("|",CP55)-1))-VALUE(MID(CP55,FIND("-",CP55)+1,10)))))*$D$50),$D$9*(1-(IF($N55="X",ABS($O55-VALUE(MID(CP55,FIND("|",CP55)+1,FIND("-",CP55)-FIND("|",CP55)-1))),ABS($Q55-ABS(VALUE(MID(CP55,FIND("|",CP55)+1,FIND("-",CP55)-FIND("|",CP55)-1))-VALUE(MID(CP55,FIND("-",CP55)+1,10)))))*$D$50)))))*$I55,0)),0)</f>
        <v>0</v>
      </c>
      <c r="CR55" s="338"/>
      <c r="CS55" s="363"/>
      <c r="CT55" s="356" t="n">
        <f aca="false">IFERROR(IF($M55=CS55,($D$8+$D$9+$D$10)*$I55,IF($N55=LEFT(CS55,1),($D$8+MAX(0,IF($D$50=1,$D$9*(1-(ABS($Q55-ABS(VALUE(MID(CS55,FIND("|",CS55)+1,FIND("-",CS55)-FIND("|",CS55)-1))-VALUE(MID(CS55,FIND("-",CS55)+1,10)))))*$D$50),$D$9*(1-(IF($N55="X",ABS($O55-VALUE(MID(CS55,FIND("|",CS55)+1,FIND("-",CS55)-FIND("|",CS55)-1))),ABS($Q55-ABS(VALUE(MID(CS55,FIND("|",CS55)+1,FIND("-",CS55)-FIND("|",CS55)-1))-VALUE(MID(CS55,FIND("-",CS55)+1,10)))))*$D$50)))))*$I55,0)),0)</f>
        <v>0</v>
      </c>
      <c r="CU55" s="338"/>
      <c r="CV55" s="363"/>
      <c r="CW55" s="356" t="n">
        <f aca="false">IFERROR(IF($M55=CV55,($D$8+$D$9+$D$10)*$I55,IF($N55=LEFT(CV55,1),($D$8+MAX(0,IF($D$50=1,$D$9*(1-(ABS($Q55-ABS(VALUE(MID(CV55,FIND("|",CV55)+1,FIND("-",CV55)-FIND("|",CV55)-1))-VALUE(MID(CV55,FIND("-",CV55)+1,10)))))*$D$50),$D$9*(1-(IF($N55="X",ABS($O55-VALUE(MID(CV55,FIND("|",CV55)+1,FIND("-",CV55)-FIND("|",CV55)-1))),ABS($Q55-ABS(VALUE(MID(CV55,FIND("|",CV55)+1,FIND("-",CV55)-FIND("|",CV55)-1))-VALUE(MID(CV55,FIND("-",CV55)+1,10)))))*$D$50)))))*$I55,0)),0)</f>
        <v>0</v>
      </c>
      <c r="CX55" s="338"/>
      <c r="CY55" s="363"/>
      <c r="CZ55" s="356" t="n">
        <f aca="false">IFERROR(IF($M55=CY55,($D$8+$D$9+$D$10)*$I55,IF($N55=LEFT(CY55,1),($D$8+MAX(0,IF($D$50=1,$D$9*(1-(ABS($Q55-ABS(VALUE(MID(CY55,FIND("|",CY55)+1,FIND("-",CY55)-FIND("|",CY55)-1))-VALUE(MID(CY55,FIND("-",CY55)+1,10)))))*$D$50),$D$9*(1-(IF($N55="X",ABS($O55-VALUE(MID(CY55,FIND("|",CY55)+1,FIND("-",CY55)-FIND("|",CY55)-1))),ABS($Q55-ABS(VALUE(MID(CY55,FIND("|",CY55)+1,FIND("-",CY55)-FIND("|",CY55)-1))-VALUE(MID(CY55,FIND("-",CY55)+1,10)))))*$D$50)))))*$I55,0)),0)</f>
        <v>0</v>
      </c>
      <c r="DA55" s="338"/>
      <c r="DB55" s="363"/>
      <c r="DC55" s="356" t="n">
        <f aca="false">IFERROR(IF($M55=DB55,($D$8+$D$9+$D$10)*$I55,IF($N55=LEFT(DB55,1),($D$8+MAX(0,IF($D$50=1,$D$9*(1-(ABS($Q55-ABS(VALUE(MID(DB55,FIND("|",DB55)+1,FIND("-",DB55)-FIND("|",DB55)-1))-VALUE(MID(DB55,FIND("-",DB55)+1,10)))))*$D$50),$D$9*(1-(IF($N55="X",ABS($O55-VALUE(MID(DB55,FIND("|",DB55)+1,FIND("-",DB55)-FIND("|",DB55)-1))),ABS($Q55-ABS(VALUE(MID(DB55,FIND("|",DB55)+1,FIND("-",DB55)-FIND("|",DB55)-1))-VALUE(MID(DB55,FIND("-",DB55)+1,10)))))*$D$50)))))*$I55,0)),0)</f>
        <v>0</v>
      </c>
      <c r="DD55" s="338"/>
      <c r="DE55" s="363"/>
      <c r="DF55" s="356" t="n">
        <f aca="false">IFERROR(IF($M55=DE55,($D$8+$D$9+$D$10)*$I55,IF($N55=LEFT(DE55,1),($D$8+MAX(0,IF($D$50=1,$D$9*(1-(ABS($Q55-ABS(VALUE(MID(DE55,FIND("|",DE55)+1,FIND("-",DE55)-FIND("|",DE55)-1))-VALUE(MID(DE55,FIND("-",DE55)+1,10)))))*$D$50),$D$9*(1-(IF($N55="X",ABS($O55-VALUE(MID(DE55,FIND("|",DE55)+1,FIND("-",DE55)-FIND("|",DE55)-1))),ABS($Q55-ABS(VALUE(MID(DE55,FIND("|",DE55)+1,FIND("-",DE55)-FIND("|",DE55)-1))-VALUE(MID(DE55,FIND("-",DE55)+1,10)))))*$D$50)))))*$I55,0)),0)</f>
        <v>0</v>
      </c>
      <c r="DG55" s="338"/>
      <c r="DH55" s="363"/>
      <c r="DI55" s="356" t="n">
        <f aca="false">IFERROR(IF($M55=DH55,($D$8+$D$9+$D$10)*$I55,IF($N55=LEFT(DH55,1),($D$8+MAX(0,IF($D$50=1,$D$9*(1-(ABS($Q55-ABS(VALUE(MID(DH55,FIND("|",DH55)+1,FIND("-",DH55)-FIND("|",DH55)-1))-VALUE(MID(DH55,FIND("-",DH55)+1,10)))))*$D$50),$D$9*(1-(IF($N55="X",ABS($O55-VALUE(MID(DH55,FIND("|",DH55)+1,FIND("-",DH55)-FIND("|",DH55)-1))),ABS($Q55-ABS(VALUE(MID(DH55,FIND("|",DH55)+1,FIND("-",DH55)-FIND("|",DH55)-1))-VALUE(MID(DH55,FIND("-",DH55)+1,10)))))*$D$50)))))*$I55,0)),0)</f>
        <v>0</v>
      </c>
      <c r="DJ55" s="338"/>
      <c r="DK55" s="363"/>
      <c r="DL55" s="356" t="n">
        <f aca="false">IFERROR(IF($M55=DK55,($D$8+$D$9+$D$10)*$I55,IF($N55=LEFT(DK55,1),($D$8+MAX(0,IF($D$50=1,$D$9*(1-(ABS($Q55-ABS(VALUE(MID(DK55,FIND("|",DK55)+1,FIND("-",DK55)-FIND("|",DK55)-1))-VALUE(MID(DK55,FIND("-",DK55)+1,10)))))*$D$50),$D$9*(1-(IF($N55="X",ABS($O55-VALUE(MID(DK55,FIND("|",DK55)+1,FIND("-",DK55)-FIND("|",DK55)-1))),ABS($Q55-ABS(VALUE(MID(DK55,FIND("|",DK55)+1,FIND("-",DK55)-FIND("|",DK55)-1))-VALUE(MID(DK55,FIND("-",DK55)+1,10)))))*$D$50)))))*$I55,0)),0)</f>
        <v>0</v>
      </c>
      <c r="DM55" s="338"/>
      <c r="DN55" s="363"/>
      <c r="DO55" s="356" t="n">
        <f aca="false">IFERROR(IF($M55=DN55,($D$8+$D$9+$D$10)*$I55,IF($N55=LEFT(DN55,1),($D$8+MAX(0,IF($D$50=1,$D$9*(1-(ABS($Q55-ABS(VALUE(MID(DN55,FIND("|",DN55)+1,FIND("-",DN55)-FIND("|",DN55)-1))-VALUE(MID(DN55,FIND("-",DN55)+1,10)))))*$D$50),$D$9*(1-(IF($N55="X",ABS($O55-VALUE(MID(DN55,FIND("|",DN55)+1,FIND("-",DN55)-FIND("|",DN55)-1))),ABS($Q55-ABS(VALUE(MID(DN55,FIND("|",DN55)+1,FIND("-",DN55)-FIND("|",DN55)-1))-VALUE(MID(DN55,FIND("-",DN55)+1,10)))))*$D$50)))))*$I55,0)),0)</f>
        <v>0</v>
      </c>
      <c r="DP55" s="338"/>
      <c r="DQ55" s="363"/>
      <c r="DR55" s="356" t="n">
        <f aca="false">IFERROR(IF($M55=DQ55,($D$8+$D$9+$D$10)*$I55,IF($N55=LEFT(DQ55,1),($D$8+MAX(0,IF($D$50=1,$D$9*(1-(ABS($Q55-ABS(VALUE(MID(DQ55,FIND("|",DQ55)+1,FIND("-",DQ55)-FIND("|",DQ55)-1))-VALUE(MID(DQ55,FIND("-",DQ55)+1,10)))))*$D$50),$D$9*(1-(IF($N55="X",ABS($O55-VALUE(MID(DQ55,FIND("|",DQ55)+1,FIND("-",DQ55)-FIND("|",DQ55)-1))),ABS($Q55-ABS(VALUE(MID(DQ55,FIND("|",DQ55)+1,FIND("-",DQ55)-FIND("|",DQ55)-1))-VALUE(MID(DQ55,FIND("-",DQ55)+1,10)))))*$D$50)))))*$I55,0)),0)</f>
        <v>0</v>
      </c>
      <c r="DS55" s="338"/>
      <c r="DT55" s="363"/>
      <c r="DU55" s="356" t="n">
        <f aca="false">IFERROR(IF($M55=DT55,($D$8+$D$9+$D$10)*$I55,IF($N55=LEFT(DT55,1),($D$8+MAX(0,IF($D$50=1,$D$9*(1-(ABS($Q55-ABS(VALUE(MID(DT55,FIND("|",DT55)+1,FIND("-",DT55)-FIND("|",DT55)-1))-VALUE(MID(DT55,FIND("-",DT55)+1,10)))))*$D$50),$D$9*(1-(IF($N55="X",ABS($O55-VALUE(MID(DT55,FIND("|",DT55)+1,FIND("-",DT55)-FIND("|",DT55)-1))),ABS($Q55-ABS(VALUE(MID(DT55,FIND("|",DT55)+1,FIND("-",DT55)-FIND("|",DT55)-1))-VALUE(MID(DT55,FIND("-",DT55)+1,10)))))*$D$50)))))*$I55,0)),0)</f>
        <v>0</v>
      </c>
      <c r="DV55" s="338"/>
      <c r="DW55" s="363"/>
      <c r="DX55" s="356" t="n">
        <f aca="false">IFERROR(IF($M55=DW55,($D$8+$D$9+$D$10)*$I55,IF($N55=LEFT(DW55,1),($D$8+MAX(0,IF($D$50=1,$D$9*(1-(ABS($Q55-ABS(VALUE(MID(DW55,FIND("|",DW55)+1,FIND("-",DW55)-FIND("|",DW55)-1))-VALUE(MID(DW55,FIND("-",DW55)+1,10)))))*$D$50),$D$9*(1-(IF($N55="X",ABS($O55-VALUE(MID(DW55,FIND("|",DW55)+1,FIND("-",DW55)-FIND("|",DW55)-1))),ABS($Q55-ABS(VALUE(MID(DW55,FIND("|",DW55)+1,FIND("-",DW55)-FIND("|",DW55)-1))-VALUE(MID(DW55,FIND("-",DW55)+1,10)))))*$D$50)))))*$I55,0)),0)</f>
        <v>0</v>
      </c>
      <c r="DY55" s="338"/>
      <c r="DZ55" s="363"/>
      <c r="EA55" s="356" t="n">
        <f aca="false">IFERROR(IF($M55=DZ55,($D$8+$D$9+$D$10)*$I55,IF($N55=LEFT(DZ55,1),($D$8+MAX(0,IF($D$50=1,$D$9*(1-(ABS($Q55-ABS(VALUE(MID(DZ55,FIND("|",DZ55)+1,FIND("-",DZ55)-FIND("|",DZ55)-1))-VALUE(MID(DZ55,FIND("-",DZ55)+1,10)))))*$D$50),$D$9*(1-(IF($N55="X",ABS($O55-VALUE(MID(DZ55,FIND("|",DZ55)+1,FIND("-",DZ55)-FIND("|",DZ55)-1))),ABS($Q55-ABS(VALUE(MID(DZ55,FIND("|",DZ55)+1,FIND("-",DZ55)-FIND("|",DZ55)-1))-VALUE(MID(DZ55,FIND("-",DZ55)+1,10)))))*$D$50)))))*$I55,0)),0)</f>
        <v>0</v>
      </c>
      <c r="EB55" s="338"/>
      <c r="EC55" s="363"/>
      <c r="ED55" s="356" t="n">
        <f aca="false">IFERROR(IF($M55=EC55,($D$8+$D$9+$D$10)*$I55,IF($N55=LEFT(EC55,1),($D$8+MAX(0,IF($D$50=1,$D$9*(1-(ABS($Q55-ABS(VALUE(MID(EC55,FIND("|",EC55)+1,FIND("-",EC55)-FIND("|",EC55)-1))-VALUE(MID(EC55,FIND("-",EC55)+1,10)))))*$D$50),$D$9*(1-(IF($N55="X",ABS($O55-VALUE(MID(EC55,FIND("|",EC55)+1,FIND("-",EC55)-FIND("|",EC55)-1))),ABS($Q55-ABS(VALUE(MID(EC55,FIND("|",EC55)+1,FIND("-",EC55)-FIND("|",EC55)-1))-VALUE(MID(EC55,FIND("-",EC55)+1,10)))))*$D$50)))))*$I55,0)),0)</f>
        <v>0</v>
      </c>
      <c r="EE55" s="338"/>
      <c r="EF55" s="363"/>
      <c r="EG55" s="356" t="n">
        <f aca="false">IFERROR(IF($M55=EF55,($D$8+$D$9+$D$10)*$I55,IF($N55=LEFT(EF55,1),($D$8+MAX(0,IF($D$50=1,$D$9*(1-(ABS($Q55-ABS(VALUE(MID(EF55,FIND("|",EF55)+1,FIND("-",EF55)-FIND("|",EF55)-1))-VALUE(MID(EF55,FIND("-",EF55)+1,10)))))*$D$50),$D$9*(1-(IF($N55="X",ABS($O55-VALUE(MID(EF55,FIND("|",EF55)+1,FIND("-",EF55)-FIND("|",EF55)-1))),ABS($Q55-ABS(VALUE(MID(EF55,FIND("|",EF55)+1,FIND("-",EF55)-FIND("|",EF55)-1))-VALUE(MID(EF55,FIND("-",EF55)+1,10)))))*$D$50)))))*$I55,0)),0)</f>
        <v>0</v>
      </c>
      <c r="EH55" s="338"/>
      <c r="EI55" s="338"/>
    </row>
    <row r="56" customFormat="false" ht="15" hidden="false" customHeight="false" outlineLevel="0" collapsed="false">
      <c r="A56" s="327"/>
      <c r="B56" s="327"/>
      <c r="C56" s="384" t="str">
        <f aca="false">"MAX. "&amp;K5</f>
        <v>MAX. FASE DE GRUPOS</v>
      </c>
      <c r="D56" s="385" t="n">
        <f aca="false">SUM($D$8:$D$10)*SUM($I$6:$I$77)+SUM($D$11:$D$14)*12+$D$15*32</f>
        <v>1560</v>
      </c>
      <c r="E56" s="334"/>
      <c r="F56" s="343" t="n">
        <f aca="false">SUM($D$8:$D$10)*I56</f>
        <v>17</v>
      </c>
      <c r="G56" s="343" t="n">
        <f aca="false">VLOOKUP(H56,Equipos!$Q$1:$R$25,2,0)</f>
        <v>14</v>
      </c>
      <c r="H56" s="351" t="n">
        <f aca="false">TRUNC(INDEX(WORLDCUP!$X$4:$X$147,MATCH(ADMIN!K56,WORLDCUP!$DT$4:$DT$147,0))+INDEX(Horarios!$R$3:$R$86,MATCH(Horarios!$C$3,Horarios!$P$3:$P$86,0))/24)</f>
        <v>46197</v>
      </c>
      <c r="I56" s="352" t="n">
        <v>1</v>
      </c>
      <c r="J56" s="362" t="s">
        <v>314</v>
      </c>
      <c r="K56" s="367" t="str">
        <f aca="false">CONCATENATE(WORLDCUP!AA16,"-",WORLDCUP!AF16)</f>
        <v>Suiza-Canadá</v>
      </c>
      <c r="L56" s="354"/>
      <c r="M56" s="359" t="str">
        <f aca="false">IF(OR(WORLDCUP!AC16="",WORLDCUP!AD16=""),"-",N56&amp;"|"&amp;O56&amp;"-"&amp;P56)</f>
        <v>-</v>
      </c>
      <c r="N56" s="332" t="str">
        <f aca="false">IF(OR(WORLDCUP!AC16="",WORLDCUP!AD16=""),"",IF(WORLDCUP!AC16&gt;WORLDCUP!AD16,"1",IF(WORLDCUP!AC16&lt;WORLDCUP!AD16,"2","X")))</f>
        <v/>
      </c>
      <c r="O56" s="332" t="n">
        <f aca="false">WORLDCUP!AC16</f>
        <v>0</v>
      </c>
      <c r="P56" s="332" t="n">
        <f aca="false">WORLDCUP!AD16</f>
        <v>0</v>
      </c>
      <c r="Q56" s="332" t="n">
        <f aca="false">ABS(O56-P56)</f>
        <v>0</v>
      </c>
      <c r="R56" s="327"/>
      <c r="S56" s="363" t="s">
        <v>275</v>
      </c>
      <c r="T56" s="356" t="n">
        <f aca="false">IFERROR(IF($M56=S56,($D$8+$D$9+$D$10)*$I56,IF($N56=LEFT(S56,1),($D$8+MAX(0,IF($D$50=1,$D$9*(1-(ABS($Q56-ABS(VALUE(MID(S56,FIND("|",S56)+1,FIND("-",S56)-FIND("|",S56)-1))-VALUE(MID(S56,FIND("-",S56)+1,10)))))*$D$50),$D$9*(1-(IF($N56="X",ABS($O56-VALUE(MID(S56,FIND("|",S56)+1,FIND("-",S56)-FIND("|",S56)-1))),ABS($Q56-ABS(VALUE(MID(S56,FIND("|",S56)+1,FIND("-",S56)-FIND("|",S56)-1))-VALUE(MID(S56,FIND("-",S56)+1,10)))))*$D$50)))))*$I56,0)),0)</f>
        <v>0</v>
      </c>
      <c r="U56" s="338"/>
      <c r="V56" s="363" t="s">
        <v>267</v>
      </c>
      <c r="W56" s="356" t="n">
        <f aca="false">IFERROR(IF($M56=V56,($D$8+$D$9+$D$10)*$I56,IF($N56=LEFT(V56,1),($D$8+MAX(0,IF($D$50=1,$D$9*(1-(ABS($Q56-ABS(VALUE(MID(V56,FIND("|",V56)+1,FIND("-",V56)-FIND("|",V56)-1))-VALUE(MID(V56,FIND("-",V56)+1,10)))))*$D$50),$D$9*(1-(IF($N56="X",ABS($O56-VALUE(MID(V56,FIND("|",V56)+1,FIND("-",V56)-FIND("|",V56)-1))),ABS($Q56-ABS(VALUE(MID(V56,FIND("|",V56)+1,FIND("-",V56)-FIND("|",V56)-1))-VALUE(MID(V56,FIND("-",V56)+1,10)))))*$D$50)))))*$I56,0)),0)</f>
        <v>0</v>
      </c>
      <c r="X56" s="338"/>
      <c r="Y56" s="363" t="s">
        <v>279</v>
      </c>
      <c r="Z56" s="356" t="n">
        <f aca="false">IFERROR(IF($M56=Y56,($D$8+$D$9+$D$10)*$I56,IF($N56=LEFT(Y56,1),($D$8+MAX(0,IF($D$50=1,$D$9*(1-(ABS($Q56-ABS(VALUE(MID(Y56,FIND("|",Y56)+1,FIND("-",Y56)-FIND("|",Y56)-1))-VALUE(MID(Y56,FIND("-",Y56)+1,10)))))*$D$50),$D$9*(1-(IF($N56="X",ABS($O56-VALUE(MID(Y56,FIND("|",Y56)+1,FIND("-",Y56)-FIND("|",Y56)-1))),ABS($Q56-ABS(VALUE(MID(Y56,FIND("|",Y56)+1,FIND("-",Y56)-FIND("|",Y56)-1))-VALUE(MID(Y56,FIND("-",Y56)+1,10)))))*$D$50)))))*$I56,0)),0)</f>
        <v>0</v>
      </c>
      <c r="AA56" s="338"/>
      <c r="AB56" s="363" t="s">
        <v>267</v>
      </c>
      <c r="AC56" s="356" t="n">
        <f aca="false">IFERROR(IF($M56=AB56,($D$8+$D$9+$D$10)*$I56,IF($N56=LEFT(AB56,1),($D$8+MAX(0,IF($D$50=1,$D$9*(1-(ABS($Q56-ABS(VALUE(MID(AB56,FIND("|",AB56)+1,FIND("-",AB56)-FIND("|",AB56)-1))-VALUE(MID(AB56,FIND("-",AB56)+1,10)))))*$D$50),$D$9*(1-(IF($N56="X",ABS($O56-VALUE(MID(AB56,FIND("|",AB56)+1,FIND("-",AB56)-FIND("|",AB56)-1))),ABS($Q56-ABS(VALUE(MID(AB56,FIND("|",AB56)+1,FIND("-",AB56)-FIND("|",AB56)-1))-VALUE(MID(AB56,FIND("-",AB56)+1,10)))))*$D$50)))))*$I56,0)),0)</f>
        <v>0</v>
      </c>
      <c r="AD56" s="338"/>
      <c r="AE56" s="363" t="s">
        <v>267</v>
      </c>
      <c r="AF56" s="356" t="n">
        <f aca="false">IFERROR(IF($M56=AE56,($D$8+$D$9+$D$10)*$I56,IF($N56=LEFT(AE56,1),($D$8+MAX(0,IF($D$50=1,$D$9*(1-(ABS($Q56-ABS(VALUE(MID(AE56,FIND("|",AE56)+1,FIND("-",AE56)-FIND("|",AE56)-1))-VALUE(MID(AE56,FIND("-",AE56)+1,10)))))*$D$50),$D$9*(1-(IF($N56="X",ABS($O56-VALUE(MID(AE56,FIND("|",AE56)+1,FIND("-",AE56)-FIND("|",AE56)-1))),ABS($Q56-ABS(VALUE(MID(AE56,FIND("|",AE56)+1,FIND("-",AE56)-FIND("|",AE56)-1))-VALUE(MID(AE56,FIND("-",AE56)+1,10)))))*$D$50)))))*$I56,0)),0)</f>
        <v>0</v>
      </c>
      <c r="AG56" s="338"/>
      <c r="AH56" s="363" t="s">
        <v>267</v>
      </c>
      <c r="AI56" s="356" t="n">
        <f aca="false">IFERROR(IF($M56=AH56,($D$8+$D$9+$D$10)*$I56,IF($N56=LEFT(AH56,1),($D$8+MAX(0,IF($D$50=1,$D$9*(1-(ABS($Q56-ABS(VALUE(MID(AH56,FIND("|",AH56)+1,FIND("-",AH56)-FIND("|",AH56)-1))-VALUE(MID(AH56,FIND("-",AH56)+1,10)))))*$D$50),$D$9*(1-(IF($N56="X",ABS($O56-VALUE(MID(AH56,FIND("|",AH56)+1,FIND("-",AH56)-FIND("|",AH56)-1))),ABS($Q56-ABS(VALUE(MID(AH56,FIND("|",AH56)+1,FIND("-",AH56)-FIND("|",AH56)-1))-VALUE(MID(AH56,FIND("-",AH56)+1,10)))))*$D$50)))))*$I56,0)),0)</f>
        <v>0</v>
      </c>
      <c r="AJ56" s="338"/>
      <c r="AK56" s="363" t="s">
        <v>267</v>
      </c>
      <c r="AL56" s="356" t="n">
        <f aca="false">IFERROR(IF($M56=AK56,($D$8+$D$9+$D$10)*$I56,IF($N56=LEFT(AK56,1),($D$8+MAX(0,IF($D$50=1,$D$9*(1-(ABS($Q56-ABS(VALUE(MID(AK56,FIND("|",AK56)+1,FIND("-",AK56)-FIND("|",AK56)-1))-VALUE(MID(AK56,FIND("-",AK56)+1,10)))))*$D$50),$D$9*(1-(IF($N56="X",ABS($O56-VALUE(MID(AK56,FIND("|",AK56)+1,FIND("-",AK56)-FIND("|",AK56)-1))),ABS($Q56-ABS(VALUE(MID(AK56,FIND("|",AK56)+1,FIND("-",AK56)-FIND("|",AK56)-1))-VALUE(MID(AK56,FIND("-",AK56)+1,10)))))*$D$50)))))*$I56,0)),0)</f>
        <v>0</v>
      </c>
      <c r="AM56" s="338"/>
      <c r="AN56" s="363" t="s">
        <v>267</v>
      </c>
      <c r="AO56" s="356" t="n">
        <f aca="false">IFERROR(IF($M56=AN56,($D$8+$D$9+$D$10)*$I56,IF($N56=LEFT(AN56,1),($D$8+MAX(0,IF($D$50=1,$D$9*(1-(ABS($Q56-ABS(VALUE(MID(AN56,FIND("|",AN56)+1,FIND("-",AN56)-FIND("|",AN56)-1))-VALUE(MID(AN56,FIND("-",AN56)+1,10)))))*$D$50),$D$9*(1-(IF($N56="X",ABS($O56-VALUE(MID(AN56,FIND("|",AN56)+1,FIND("-",AN56)-FIND("|",AN56)-1))),ABS($Q56-ABS(VALUE(MID(AN56,FIND("|",AN56)+1,FIND("-",AN56)-FIND("|",AN56)-1))-VALUE(MID(AN56,FIND("-",AN56)+1,10)))))*$D$50)))))*$I56,0)),0)</f>
        <v>0</v>
      </c>
      <c r="AP56" s="338"/>
      <c r="AQ56" s="363" t="s">
        <v>267</v>
      </c>
      <c r="AR56" s="356" t="n">
        <f aca="false">IFERROR(IF($M56=AQ56,($D$8+$D$9+$D$10)*$I56,IF($N56=LEFT(AQ56,1),($D$8+MAX(0,IF($D$50=1,$D$9*(1-(ABS($Q56-ABS(VALUE(MID(AQ56,FIND("|",AQ56)+1,FIND("-",AQ56)-FIND("|",AQ56)-1))-VALUE(MID(AQ56,FIND("-",AQ56)+1,10)))))*$D$50),$D$9*(1-(IF($N56="X",ABS($O56-VALUE(MID(AQ56,FIND("|",AQ56)+1,FIND("-",AQ56)-FIND("|",AQ56)-1))),ABS($Q56-ABS(VALUE(MID(AQ56,FIND("|",AQ56)+1,FIND("-",AQ56)-FIND("|",AQ56)-1))-VALUE(MID(AQ56,FIND("-",AQ56)+1,10)))))*$D$50)))))*$I56,0)),0)</f>
        <v>0</v>
      </c>
      <c r="AS56" s="338"/>
      <c r="AT56" s="363" t="s">
        <v>288</v>
      </c>
      <c r="AU56" s="356" t="n">
        <f aca="false">IFERROR(IF($M56=AT56,($D$8+$D$9+$D$10)*$I56,IF($N56=LEFT(AT56,1),($D$8+MAX(0,IF($D$50=1,$D$9*(1-(ABS($Q56-ABS(VALUE(MID(AT56,FIND("|",AT56)+1,FIND("-",AT56)-FIND("|",AT56)-1))-VALUE(MID(AT56,FIND("-",AT56)+1,10)))))*$D$50),$D$9*(1-(IF($N56="X",ABS($O56-VALUE(MID(AT56,FIND("|",AT56)+1,FIND("-",AT56)-FIND("|",AT56)-1))),ABS($Q56-ABS(VALUE(MID(AT56,FIND("|",AT56)+1,FIND("-",AT56)-FIND("|",AT56)-1))-VALUE(MID(AT56,FIND("-",AT56)+1,10)))))*$D$50)))))*$I56,0)),0)</f>
        <v>0</v>
      </c>
      <c r="AV56" s="338"/>
      <c r="AW56" s="363" t="s">
        <v>267</v>
      </c>
      <c r="AX56" s="356" t="n">
        <f aca="false">IFERROR(IF($M56=AW56,($D$8+$D$9+$D$10)*$I56,IF($N56=LEFT(AW56,1),($D$8+MAX(0,IF($D$50=1,$D$9*(1-(ABS($Q56-ABS(VALUE(MID(AW56,FIND("|",AW56)+1,FIND("-",AW56)-FIND("|",AW56)-1))-VALUE(MID(AW56,FIND("-",AW56)+1,10)))))*$D$50),$D$9*(1-(IF($N56="X",ABS($O56-VALUE(MID(AW56,FIND("|",AW56)+1,FIND("-",AW56)-FIND("|",AW56)-1))),ABS($Q56-ABS(VALUE(MID(AW56,FIND("|",AW56)+1,FIND("-",AW56)-FIND("|",AW56)-1))-VALUE(MID(AW56,FIND("-",AW56)+1,10)))))*$D$50)))))*$I56,0)),0)</f>
        <v>0</v>
      </c>
      <c r="AY56" s="338"/>
      <c r="AZ56" s="363" t="s">
        <v>265</v>
      </c>
      <c r="BA56" s="356" t="n">
        <f aca="false">IFERROR(IF($M56=AZ56,($D$8+$D$9+$D$10)*$I56,IF($N56=LEFT(AZ56,1),($D$8+MAX(0,IF($D$50=1,$D$9*(1-(ABS($Q56-ABS(VALUE(MID(AZ56,FIND("|",AZ56)+1,FIND("-",AZ56)-FIND("|",AZ56)-1))-VALUE(MID(AZ56,FIND("-",AZ56)+1,10)))))*$D$50),$D$9*(1-(IF($N56="X",ABS($O56-VALUE(MID(AZ56,FIND("|",AZ56)+1,FIND("-",AZ56)-FIND("|",AZ56)-1))),ABS($Q56-ABS(VALUE(MID(AZ56,FIND("|",AZ56)+1,FIND("-",AZ56)-FIND("|",AZ56)-1))-VALUE(MID(AZ56,FIND("-",AZ56)+1,10)))))*$D$50)))))*$I56,0)),0)</f>
        <v>0</v>
      </c>
      <c r="BB56" s="338"/>
      <c r="BC56" s="363" t="s">
        <v>267</v>
      </c>
      <c r="BD56" s="356" t="n">
        <f aca="false">IFERROR(IF($M56=BC56,($D$8+$D$9+$D$10)*$I56,IF($N56=LEFT(BC56,1),($D$8+MAX(0,IF($D$50=1,$D$9*(1-(ABS($Q56-ABS(VALUE(MID(BC56,FIND("|",BC56)+1,FIND("-",BC56)-FIND("|",BC56)-1))-VALUE(MID(BC56,FIND("-",BC56)+1,10)))))*$D$50),$D$9*(1-(IF($N56="X",ABS($O56-VALUE(MID(BC56,FIND("|",BC56)+1,FIND("-",BC56)-FIND("|",BC56)-1))),ABS($Q56-ABS(VALUE(MID(BC56,FIND("|",BC56)+1,FIND("-",BC56)-FIND("|",BC56)-1))-VALUE(MID(BC56,FIND("-",BC56)+1,10)))))*$D$50)))))*$I56,0)),0)</f>
        <v>0</v>
      </c>
      <c r="BE56" s="338"/>
      <c r="BF56" s="363" t="s">
        <v>265</v>
      </c>
      <c r="BG56" s="356" t="n">
        <f aca="false">IFERROR(IF($M56=BF56,($D$8+$D$9+$D$10)*$I56,IF($N56=LEFT(BF56,1),($D$8+MAX(0,IF($D$50=1,$D$9*(1-(ABS($Q56-ABS(VALUE(MID(BF56,FIND("|",BF56)+1,FIND("-",BF56)-FIND("|",BF56)-1))-VALUE(MID(BF56,FIND("-",BF56)+1,10)))))*$D$50),$D$9*(1-(IF($N56="X",ABS($O56-VALUE(MID(BF56,FIND("|",BF56)+1,FIND("-",BF56)-FIND("|",BF56)-1))),ABS($Q56-ABS(VALUE(MID(BF56,FIND("|",BF56)+1,FIND("-",BF56)-FIND("|",BF56)-1))-VALUE(MID(BF56,FIND("-",BF56)+1,10)))))*$D$50)))))*$I56,0)),0)</f>
        <v>0</v>
      </c>
      <c r="BH56" s="338"/>
      <c r="BI56" s="363" t="s">
        <v>267</v>
      </c>
      <c r="BJ56" s="356" t="n">
        <f aca="false">IFERROR(IF($M56=BI56,($D$8+$D$9+$D$10)*$I56,IF($N56=LEFT(BI56,1),($D$8+MAX(0,IF($D$50=1,$D$9*(1-(ABS($Q56-ABS(VALUE(MID(BI56,FIND("|",BI56)+1,FIND("-",BI56)-FIND("|",BI56)-1))-VALUE(MID(BI56,FIND("-",BI56)+1,10)))))*$D$50),$D$9*(1-(IF($N56="X",ABS($O56-VALUE(MID(BI56,FIND("|",BI56)+1,FIND("-",BI56)-FIND("|",BI56)-1))),ABS($Q56-ABS(VALUE(MID(BI56,FIND("|",BI56)+1,FIND("-",BI56)-FIND("|",BI56)-1))-VALUE(MID(BI56,FIND("-",BI56)+1,10)))))*$D$50)))))*$I56,0)),0)</f>
        <v>0</v>
      </c>
      <c r="BK56" s="338"/>
      <c r="BL56" s="363" t="s">
        <v>267</v>
      </c>
      <c r="BM56" s="356" t="n">
        <f aca="false">IFERROR(IF($M56=BL56,($D$8+$D$9+$D$10)*$I56,IF($N56=LEFT(BL56,1),($D$8+MAX(0,IF($D$50=1,$D$9*(1-(ABS($Q56-ABS(VALUE(MID(BL56,FIND("|",BL56)+1,FIND("-",BL56)-FIND("|",BL56)-1))-VALUE(MID(BL56,FIND("-",BL56)+1,10)))))*$D$50),$D$9*(1-(IF($N56="X",ABS($O56-VALUE(MID(BL56,FIND("|",BL56)+1,FIND("-",BL56)-FIND("|",BL56)-1))),ABS($Q56-ABS(VALUE(MID(BL56,FIND("|",BL56)+1,FIND("-",BL56)-FIND("|",BL56)-1))-VALUE(MID(BL56,FIND("-",BL56)+1,10)))))*$D$50)))))*$I56,0)),0)</f>
        <v>0</v>
      </c>
      <c r="BN56" s="338"/>
      <c r="BO56" s="363" t="s">
        <v>264</v>
      </c>
      <c r="BP56" s="356" t="n">
        <f aca="false">IFERROR(IF($M56=BO56,($D$8+$D$9+$D$10)*$I56,IF($N56=LEFT(BO56,1),($D$8+MAX(0,IF($D$50=1,$D$9*(1-(ABS($Q56-ABS(VALUE(MID(BO56,FIND("|",BO56)+1,FIND("-",BO56)-FIND("|",BO56)-1))-VALUE(MID(BO56,FIND("-",BO56)+1,10)))))*$D$50),$D$9*(1-(IF($N56="X",ABS($O56-VALUE(MID(BO56,FIND("|",BO56)+1,FIND("-",BO56)-FIND("|",BO56)-1))),ABS($Q56-ABS(VALUE(MID(BO56,FIND("|",BO56)+1,FIND("-",BO56)-FIND("|",BO56)-1))-VALUE(MID(BO56,FIND("-",BO56)+1,10)))))*$D$50)))))*$I56,0)),0)</f>
        <v>0</v>
      </c>
      <c r="BQ56" s="338"/>
      <c r="BR56" s="363" t="s">
        <v>265</v>
      </c>
      <c r="BS56" s="356" t="n">
        <f aca="false">IFERROR(IF($M56=BR56,($D$8+$D$9+$D$10)*$I56,IF($N56=LEFT(BR56,1),($D$8+MAX(0,IF($D$50=1,$D$9*(1-(ABS($Q56-ABS(VALUE(MID(BR56,FIND("|",BR56)+1,FIND("-",BR56)-FIND("|",BR56)-1))-VALUE(MID(BR56,FIND("-",BR56)+1,10)))))*$D$50),$D$9*(1-(IF($N56="X",ABS($O56-VALUE(MID(BR56,FIND("|",BR56)+1,FIND("-",BR56)-FIND("|",BR56)-1))),ABS($Q56-ABS(VALUE(MID(BR56,FIND("|",BR56)+1,FIND("-",BR56)-FIND("|",BR56)-1))-VALUE(MID(BR56,FIND("-",BR56)+1,10)))))*$D$50)))))*$I56,0)),0)</f>
        <v>0</v>
      </c>
      <c r="BT56" s="338"/>
      <c r="BU56" s="363"/>
      <c r="BV56" s="356" t="n">
        <f aca="false">IFERROR(IF($M56=BU56,($D$8+$D$9+$D$10)*$I56,IF($N56=LEFT(BU56,1),($D$8+MAX(0,IF($D$50=1,$D$9*(1-(ABS($Q56-ABS(VALUE(MID(BU56,FIND("|",BU56)+1,FIND("-",BU56)-FIND("|",BU56)-1))-VALUE(MID(BU56,FIND("-",BU56)+1,10)))))*$D$50),$D$9*(1-(IF($N56="X",ABS($O56-VALUE(MID(BU56,FIND("|",BU56)+1,FIND("-",BU56)-FIND("|",BU56)-1))),ABS($Q56-ABS(VALUE(MID(BU56,FIND("|",BU56)+1,FIND("-",BU56)-FIND("|",BU56)-1))-VALUE(MID(BU56,FIND("-",BU56)+1,10)))))*$D$50)))))*$I56,0)),0)</f>
        <v>0</v>
      </c>
      <c r="BW56" s="338"/>
      <c r="BX56" s="363"/>
      <c r="BY56" s="356" t="n">
        <f aca="false">IFERROR(IF($M56=BX56,($D$8+$D$9+$D$10)*$I56,IF($N56=LEFT(BX56,1),($D$8+MAX(0,IF($D$50=1,$D$9*(1-(ABS($Q56-ABS(VALUE(MID(BX56,FIND("|",BX56)+1,FIND("-",BX56)-FIND("|",BX56)-1))-VALUE(MID(BX56,FIND("-",BX56)+1,10)))))*$D$50),$D$9*(1-(IF($N56="X",ABS($O56-VALUE(MID(BX56,FIND("|",BX56)+1,FIND("-",BX56)-FIND("|",BX56)-1))),ABS($Q56-ABS(VALUE(MID(BX56,FIND("|",BX56)+1,FIND("-",BX56)-FIND("|",BX56)-1))-VALUE(MID(BX56,FIND("-",BX56)+1,10)))))*$D$50)))))*$I56,0)),0)</f>
        <v>0</v>
      </c>
      <c r="BZ56" s="338"/>
      <c r="CA56" s="363"/>
      <c r="CB56" s="356" t="n">
        <f aca="false">IFERROR(IF($M56=CA56,($D$8+$D$9+$D$10)*$I56,IF($N56=LEFT(CA56,1),($D$8+MAX(0,IF($D$50=1,$D$9*(1-(ABS($Q56-ABS(VALUE(MID(CA56,FIND("|",CA56)+1,FIND("-",CA56)-FIND("|",CA56)-1))-VALUE(MID(CA56,FIND("-",CA56)+1,10)))))*$D$50),$D$9*(1-(IF($N56="X",ABS($O56-VALUE(MID(CA56,FIND("|",CA56)+1,FIND("-",CA56)-FIND("|",CA56)-1))),ABS($Q56-ABS(VALUE(MID(CA56,FIND("|",CA56)+1,FIND("-",CA56)-FIND("|",CA56)-1))-VALUE(MID(CA56,FIND("-",CA56)+1,10)))))*$D$50)))))*$I56,0)),0)</f>
        <v>0</v>
      </c>
      <c r="CC56" s="338"/>
      <c r="CD56" s="363"/>
      <c r="CE56" s="356" t="n">
        <f aca="false">IFERROR(IF($M56=CD56,($D$8+$D$9+$D$10)*$I56,IF($N56=LEFT(CD56,1),($D$8+MAX(0,IF($D$50=1,$D$9*(1-(ABS($Q56-ABS(VALUE(MID(CD56,FIND("|",CD56)+1,FIND("-",CD56)-FIND("|",CD56)-1))-VALUE(MID(CD56,FIND("-",CD56)+1,10)))))*$D$50),$D$9*(1-(IF($N56="X",ABS($O56-VALUE(MID(CD56,FIND("|",CD56)+1,FIND("-",CD56)-FIND("|",CD56)-1))),ABS($Q56-ABS(VALUE(MID(CD56,FIND("|",CD56)+1,FIND("-",CD56)-FIND("|",CD56)-1))-VALUE(MID(CD56,FIND("-",CD56)+1,10)))))*$D$50)))))*$I56,0)),0)</f>
        <v>0</v>
      </c>
      <c r="CF56" s="338"/>
      <c r="CG56" s="363"/>
      <c r="CH56" s="356" t="n">
        <f aca="false">IFERROR(IF($M56=CG56,($D$8+$D$9+$D$10)*$I56,IF($N56=LEFT(CG56,1),($D$8+MAX(0,IF($D$50=1,$D$9*(1-(ABS($Q56-ABS(VALUE(MID(CG56,FIND("|",CG56)+1,FIND("-",CG56)-FIND("|",CG56)-1))-VALUE(MID(CG56,FIND("-",CG56)+1,10)))))*$D$50),$D$9*(1-(IF($N56="X",ABS($O56-VALUE(MID(CG56,FIND("|",CG56)+1,FIND("-",CG56)-FIND("|",CG56)-1))),ABS($Q56-ABS(VALUE(MID(CG56,FIND("|",CG56)+1,FIND("-",CG56)-FIND("|",CG56)-1))-VALUE(MID(CG56,FIND("-",CG56)+1,10)))))*$D$50)))))*$I56,0)),0)</f>
        <v>0</v>
      </c>
      <c r="CI56" s="338"/>
      <c r="CJ56" s="363"/>
      <c r="CK56" s="356" t="n">
        <f aca="false">IFERROR(IF($M56=CJ56,($D$8+$D$9+$D$10)*$I56,IF($N56=LEFT(CJ56,1),($D$8+MAX(0,IF($D$50=1,$D$9*(1-(ABS($Q56-ABS(VALUE(MID(CJ56,FIND("|",CJ56)+1,FIND("-",CJ56)-FIND("|",CJ56)-1))-VALUE(MID(CJ56,FIND("-",CJ56)+1,10)))))*$D$50),$D$9*(1-(IF($N56="X",ABS($O56-VALUE(MID(CJ56,FIND("|",CJ56)+1,FIND("-",CJ56)-FIND("|",CJ56)-1))),ABS($Q56-ABS(VALUE(MID(CJ56,FIND("|",CJ56)+1,FIND("-",CJ56)-FIND("|",CJ56)-1))-VALUE(MID(CJ56,FIND("-",CJ56)+1,10)))))*$D$50)))))*$I56,0)),0)</f>
        <v>0</v>
      </c>
      <c r="CL56" s="338"/>
      <c r="CM56" s="363"/>
      <c r="CN56" s="356" t="n">
        <f aca="false">IFERROR(IF($M56=CM56,($D$8+$D$9+$D$10)*$I56,IF($N56=LEFT(CM56,1),($D$8+MAX(0,IF($D$50=1,$D$9*(1-(ABS($Q56-ABS(VALUE(MID(CM56,FIND("|",CM56)+1,FIND("-",CM56)-FIND("|",CM56)-1))-VALUE(MID(CM56,FIND("-",CM56)+1,10)))))*$D$50),$D$9*(1-(IF($N56="X",ABS($O56-VALUE(MID(CM56,FIND("|",CM56)+1,FIND("-",CM56)-FIND("|",CM56)-1))),ABS($Q56-ABS(VALUE(MID(CM56,FIND("|",CM56)+1,FIND("-",CM56)-FIND("|",CM56)-1))-VALUE(MID(CM56,FIND("-",CM56)+1,10)))))*$D$50)))))*$I56,0)),0)</f>
        <v>0</v>
      </c>
      <c r="CO56" s="338"/>
      <c r="CP56" s="363"/>
      <c r="CQ56" s="356" t="n">
        <f aca="false">IFERROR(IF($M56=CP56,($D$8+$D$9+$D$10)*$I56,IF($N56=LEFT(CP56,1),($D$8+MAX(0,IF($D$50=1,$D$9*(1-(ABS($Q56-ABS(VALUE(MID(CP56,FIND("|",CP56)+1,FIND("-",CP56)-FIND("|",CP56)-1))-VALUE(MID(CP56,FIND("-",CP56)+1,10)))))*$D$50),$D$9*(1-(IF($N56="X",ABS($O56-VALUE(MID(CP56,FIND("|",CP56)+1,FIND("-",CP56)-FIND("|",CP56)-1))),ABS($Q56-ABS(VALUE(MID(CP56,FIND("|",CP56)+1,FIND("-",CP56)-FIND("|",CP56)-1))-VALUE(MID(CP56,FIND("-",CP56)+1,10)))))*$D$50)))))*$I56,0)),0)</f>
        <v>0</v>
      </c>
      <c r="CR56" s="338"/>
      <c r="CS56" s="363"/>
      <c r="CT56" s="356" t="n">
        <f aca="false">IFERROR(IF($M56=CS56,($D$8+$D$9+$D$10)*$I56,IF($N56=LEFT(CS56,1),($D$8+MAX(0,IF($D$50=1,$D$9*(1-(ABS($Q56-ABS(VALUE(MID(CS56,FIND("|",CS56)+1,FIND("-",CS56)-FIND("|",CS56)-1))-VALUE(MID(CS56,FIND("-",CS56)+1,10)))))*$D$50),$D$9*(1-(IF($N56="X",ABS($O56-VALUE(MID(CS56,FIND("|",CS56)+1,FIND("-",CS56)-FIND("|",CS56)-1))),ABS($Q56-ABS(VALUE(MID(CS56,FIND("|",CS56)+1,FIND("-",CS56)-FIND("|",CS56)-1))-VALUE(MID(CS56,FIND("-",CS56)+1,10)))))*$D$50)))))*$I56,0)),0)</f>
        <v>0</v>
      </c>
      <c r="CU56" s="338"/>
      <c r="CV56" s="363"/>
      <c r="CW56" s="356" t="n">
        <f aca="false">IFERROR(IF($M56=CV56,($D$8+$D$9+$D$10)*$I56,IF($N56=LEFT(CV56,1),($D$8+MAX(0,IF($D$50=1,$D$9*(1-(ABS($Q56-ABS(VALUE(MID(CV56,FIND("|",CV56)+1,FIND("-",CV56)-FIND("|",CV56)-1))-VALUE(MID(CV56,FIND("-",CV56)+1,10)))))*$D$50),$D$9*(1-(IF($N56="X",ABS($O56-VALUE(MID(CV56,FIND("|",CV56)+1,FIND("-",CV56)-FIND("|",CV56)-1))),ABS($Q56-ABS(VALUE(MID(CV56,FIND("|",CV56)+1,FIND("-",CV56)-FIND("|",CV56)-1))-VALUE(MID(CV56,FIND("-",CV56)+1,10)))))*$D$50)))))*$I56,0)),0)</f>
        <v>0</v>
      </c>
      <c r="CX56" s="338"/>
      <c r="CY56" s="363"/>
      <c r="CZ56" s="356" t="n">
        <f aca="false">IFERROR(IF($M56=CY56,($D$8+$D$9+$D$10)*$I56,IF($N56=LEFT(CY56,1),($D$8+MAX(0,IF($D$50=1,$D$9*(1-(ABS($Q56-ABS(VALUE(MID(CY56,FIND("|",CY56)+1,FIND("-",CY56)-FIND("|",CY56)-1))-VALUE(MID(CY56,FIND("-",CY56)+1,10)))))*$D$50),$D$9*(1-(IF($N56="X",ABS($O56-VALUE(MID(CY56,FIND("|",CY56)+1,FIND("-",CY56)-FIND("|",CY56)-1))),ABS($Q56-ABS(VALUE(MID(CY56,FIND("|",CY56)+1,FIND("-",CY56)-FIND("|",CY56)-1))-VALUE(MID(CY56,FIND("-",CY56)+1,10)))))*$D$50)))))*$I56,0)),0)</f>
        <v>0</v>
      </c>
      <c r="DA56" s="338"/>
      <c r="DB56" s="363"/>
      <c r="DC56" s="356" t="n">
        <f aca="false">IFERROR(IF($M56=DB56,($D$8+$D$9+$D$10)*$I56,IF($N56=LEFT(DB56,1),($D$8+MAX(0,IF($D$50=1,$D$9*(1-(ABS($Q56-ABS(VALUE(MID(DB56,FIND("|",DB56)+1,FIND("-",DB56)-FIND("|",DB56)-1))-VALUE(MID(DB56,FIND("-",DB56)+1,10)))))*$D$50),$D$9*(1-(IF($N56="X",ABS($O56-VALUE(MID(DB56,FIND("|",DB56)+1,FIND("-",DB56)-FIND("|",DB56)-1))),ABS($Q56-ABS(VALUE(MID(DB56,FIND("|",DB56)+1,FIND("-",DB56)-FIND("|",DB56)-1))-VALUE(MID(DB56,FIND("-",DB56)+1,10)))))*$D$50)))))*$I56,0)),0)</f>
        <v>0</v>
      </c>
      <c r="DD56" s="338"/>
      <c r="DE56" s="363"/>
      <c r="DF56" s="356" t="n">
        <f aca="false">IFERROR(IF($M56=DE56,($D$8+$D$9+$D$10)*$I56,IF($N56=LEFT(DE56,1),($D$8+MAX(0,IF($D$50=1,$D$9*(1-(ABS($Q56-ABS(VALUE(MID(DE56,FIND("|",DE56)+1,FIND("-",DE56)-FIND("|",DE56)-1))-VALUE(MID(DE56,FIND("-",DE56)+1,10)))))*$D$50),$D$9*(1-(IF($N56="X",ABS($O56-VALUE(MID(DE56,FIND("|",DE56)+1,FIND("-",DE56)-FIND("|",DE56)-1))),ABS($Q56-ABS(VALUE(MID(DE56,FIND("|",DE56)+1,FIND("-",DE56)-FIND("|",DE56)-1))-VALUE(MID(DE56,FIND("-",DE56)+1,10)))))*$D$50)))))*$I56,0)),0)</f>
        <v>0</v>
      </c>
      <c r="DG56" s="338"/>
      <c r="DH56" s="363"/>
      <c r="DI56" s="356" t="n">
        <f aca="false">IFERROR(IF($M56=DH56,($D$8+$D$9+$D$10)*$I56,IF($N56=LEFT(DH56,1),($D$8+MAX(0,IF($D$50=1,$D$9*(1-(ABS($Q56-ABS(VALUE(MID(DH56,FIND("|",DH56)+1,FIND("-",DH56)-FIND("|",DH56)-1))-VALUE(MID(DH56,FIND("-",DH56)+1,10)))))*$D$50),$D$9*(1-(IF($N56="X",ABS($O56-VALUE(MID(DH56,FIND("|",DH56)+1,FIND("-",DH56)-FIND("|",DH56)-1))),ABS($Q56-ABS(VALUE(MID(DH56,FIND("|",DH56)+1,FIND("-",DH56)-FIND("|",DH56)-1))-VALUE(MID(DH56,FIND("-",DH56)+1,10)))))*$D$50)))))*$I56,0)),0)</f>
        <v>0</v>
      </c>
      <c r="DJ56" s="338"/>
      <c r="DK56" s="363"/>
      <c r="DL56" s="356" t="n">
        <f aca="false">IFERROR(IF($M56=DK56,($D$8+$D$9+$D$10)*$I56,IF($N56=LEFT(DK56,1),($D$8+MAX(0,IF($D$50=1,$D$9*(1-(ABS($Q56-ABS(VALUE(MID(DK56,FIND("|",DK56)+1,FIND("-",DK56)-FIND("|",DK56)-1))-VALUE(MID(DK56,FIND("-",DK56)+1,10)))))*$D$50),$D$9*(1-(IF($N56="X",ABS($O56-VALUE(MID(DK56,FIND("|",DK56)+1,FIND("-",DK56)-FIND("|",DK56)-1))),ABS($Q56-ABS(VALUE(MID(DK56,FIND("|",DK56)+1,FIND("-",DK56)-FIND("|",DK56)-1))-VALUE(MID(DK56,FIND("-",DK56)+1,10)))))*$D$50)))))*$I56,0)),0)</f>
        <v>0</v>
      </c>
      <c r="DM56" s="338"/>
      <c r="DN56" s="363"/>
      <c r="DO56" s="356" t="n">
        <f aca="false">IFERROR(IF($M56=DN56,($D$8+$D$9+$D$10)*$I56,IF($N56=LEFT(DN56,1),($D$8+MAX(0,IF($D$50=1,$D$9*(1-(ABS($Q56-ABS(VALUE(MID(DN56,FIND("|",DN56)+1,FIND("-",DN56)-FIND("|",DN56)-1))-VALUE(MID(DN56,FIND("-",DN56)+1,10)))))*$D$50),$D$9*(1-(IF($N56="X",ABS($O56-VALUE(MID(DN56,FIND("|",DN56)+1,FIND("-",DN56)-FIND("|",DN56)-1))),ABS($Q56-ABS(VALUE(MID(DN56,FIND("|",DN56)+1,FIND("-",DN56)-FIND("|",DN56)-1))-VALUE(MID(DN56,FIND("-",DN56)+1,10)))))*$D$50)))))*$I56,0)),0)</f>
        <v>0</v>
      </c>
      <c r="DP56" s="338"/>
      <c r="DQ56" s="363"/>
      <c r="DR56" s="356" t="n">
        <f aca="false">IFERROR(IF($M56=DQ56,($D$8+$D$9+$D$10)*$I56,IF($N56=LEFT(DQ56,1),($D$8+MAX(0,IF($D$50=1,$D$9*(1-(ABS($Q56-ABS(VALUE(MID(DQ56,FIND("|",DQ56)+1,FIND("-",DQ56)-FIND("|",DQ56)-1))-VALUE(MID(DQ56,FIND("-",DQ56)+1,10)))))*$D$50),$D$9*(1-(IF($N56="X",ABS($O56-VALUE(MID(DQ56,FIND("|",DQ56)+1,FIND("-",DQ56)-FIND("|",DQ56)-1))),ABS($Q56-ABS(VALUE(MID(DQ56,FIND("|",DQ56)+1,FIND("-",DQ56)-FIND("|",DQ56)-1))-VALUE(MID(DQ56,FIND("-",DQ56)+1,10)))))*$D$50)))))*$I56,0)),0)</f>
        <v>0</v>
      </c>
      <c r="DS56" s="338"/>
      <c r="DT56" s="363"/>
      <c r="DU56" s="356" t="n">
        <f aca="false">IFERROR(IF($M56=DT56,($D$8+$D$9+$D$10)*$I56,IF($N56=LEFT(DT56,1),($D$8+MAX(0,IF($D$50=1,$D$9*(1-(ABS($Q56-ABS(VALUE(MID(DT56,FIND("|",DT56)+1,FIND("-",DT56)-FIND("|",DT56)-1))-VALUE(MID(DT56,FIND("-",DT56)+1,10)))))*$D$50),$D$9*(1-(IF($N56="X",ABS($O56-VALUE(MID(DT56,FIND("|",DT56)+1,FIND("-",DT56)-FIND("|",DT56)-1))),ABS($Q56-ABS(VALUE(MID(DT56,FIND("|",DT56)+1,FIND("-",DT56)-FIND("|",DT56)-1))-VALUE(MID(DT56,FIND("-",DT56)+1,10)))))*$D$50)))))*$I56,0)),0)</f>
        <v>0</v>
      </c>
      <c r="DV56" s="338"/>
      <c r="DW56" s="363"/>
      <c r="DX56" s="356" t="n">
        <f aca="false">IFERROR(IF($M56=DW56,($D$8+$D$9+$D$10)*$I56,IF($N56=LEFT(DW56,1),($D$8+MAX(0,IF($D$50=1,$D$9*(1-(ABS($Q56-ABS(VALUE(MID(DW56,FIND("|",DW56)+1,FIND("-",DW56)-FIND("|",DW56)-1))-VALUE(MID(DW56,FIND("-",DW56)+1,10)))))*$D$50),$D$9*(1-(IF($N56="X",ABS($O56-VALUE(MID(DW56,FIND("|",DW56)+1,FIND("-",DW56)-FIND("|",DW56)-1))),ABS($Q56-ABS(VALUE(MID(DW56,FIND("|",DW56)+1,FIND("-",DW56)-FIND("|",DW56)-1))-VALUE(MID(DW56,FIND("-",DW56)+1,10)))))*$D$50)))))*$I56,0)),0)</f>
        <v>0</v>
      </c>
      <c r="DY56" s="338"/>
      <c r="DZ56" s="363"/>
      <c r="EA56" s="356" t="n">
        <f aca="false">IFERROR(IF($M56=DZ56,($D$8+$D$9+$D$10)*$I56,IF($N56=LEFT(DZ56,1),($D$8+MAX(0,IF($D$50=1,$D$9*(1-(ABS($Q56-ABS(VALUE(MID(DZ56,FIND("|",DZ56)+1,FIND("-",DZ56)-FIND("|",DZ56)-1))-VALUE(MID(DZ56,FIND("-",DZ56)+1,10)))))*$D$50),$D$9*(1-(IF($N56="X",ABS($O56-VALUE(MID(DZ56,FIND("|",DZ56)+1,FIND("-",DZ56)-FIND("|",DZ56)-1))),ABS($Q56-ABS(VALUE(MID(DZ56,FIND("|",DZ56)+1,FIND("-",DZ56)-FIND("|",DZ56)-1))-VALUE(MID(DZ56,FIND("-",DZ56)+1,10)))))*$D$50)))))*$I56,0)),0)</f>
        <v>0</v>
      </c>
      <c r="EB56" s="338"/>
      <c r="EC56" s="363"/>
      <c r="ED56" s="356" t="n">
        <f aca="false">IFERROR(IF($M56=EC56,($D$8+$D$9+$D$10)*$I56,IF($N56=LEFT(EC56,1),($D$8+MAX(0,IF($D$50=1,$D$9*(1-(ABS($Q56-ABS(VALUE(MID(EC56,FIND("|",EC56)+1,FIND("-",EC56)-FIND("|",EC56)-1))-VALUE(MID(EC56,FIND("-",EC56)+1,10)))))*$D$50),$D$9*(1-(IF($N56="X",ABS($O56-VALUE(MID(EC56,FIND("|",EC56)+1,FIND("-",EC56)-FIND("|",EC56)-1))),ABS($Q56-ABS(VALUE(MID(EC56,FIND("|",EC56)+1,FIND("-",EC56)-FIND("|",EC56)-1))-VALUE(MID(EC56,FIND("-",EC56)+1,10)))))*$D$50)))))*$I56,0)),0)</f>
        <v>0</v>
      </c>
      <c r="EE56" s="338"/>
      <c r="EF56" s="363"/>
      <c r="EG56" s="356" t="n">
        <f aca="false">IFERROR(IF($M56=EF56,($D$8+$D$9+$D$10)*$I56,IF($N56=LEFT(EF56,1),($D$8+MAX(0,IF($D$50=1,$D$9*(1-(ABS($Q56-ABS(VALUE(MID(EF56,FIND("|",EF56)+1,FIND("-",EF56)-FIND("|",EF56)-1))-VALUE(MID(EF56,FIND("-",EF56)+1,10)))))*$D$50),$D$9*(1-(IF($N56="X",ABS($O56-VALUE(MID(EF56,FIND("|",EF56)+1,FIND("-",EF56)-FIND("|",EF56)-1))),ABS($Q56-ABS(VALUE(MID(EF56,FIND("|",EF56)+1,FIND("-",EF56)-FIND("|",EF56)-1))-VALUE(MID(EF56,FIND("-",EF56)+1,10)))))*$D$50)))))*$I56,0)),0)</f>
        <v>0</v>
      </c>
      <c r="EH56" s="338"/>
      <c r="EI56" s="338"/>
    </row>
    <row r="57" customFormat="false" ht="15" hidden="false" customHeight="false" outlineLevel="0" collapsed="false">
      <c r="A57" s="327"/>
      <c r="B57" s="327"/>
      <c r="C57" s="386" t="str">
        <f aca="false">"MAX. "&amp;UPPER(Idiomas!D260)</f>
        <v>MAX. DIECISEISAVOS DE FINAL</v>
      </c>
      <c r="D57" s="387" t="n">
        <f aca="false">SUM($D$16:$D$18)*SUM($I$164:$I$179)+$D$19*16</f>
        <v>336</v>
      </c>
      <c r="E57" s="334"/>
      <c r="F57" s="343" t="n">
        <f aca="false">SUM($D$8:$D$10)*I57</f>
        <v>17</v>
      </c>
      <c r="G57" s="343" t="n">
        <f aca="false">VLOOKUP(H57,Equipos!$Q$1:$R$25,2,0)</f>
        <v>14</v>
      </c>
      <c r="H57" s="351" t="n">
        <f aca="false">TRUNC(INDEX(WORLDCUP!$X$4:$X$147,MATCH(ADMIN!K57,WORLDCUP!$DT$4:$DT$147,0))+INDEX(Horarios!$R$3:$R$86,MATCH(Horarios!$C$3,Horarios!$P$3:$P$86,0))/24)</f>
        <v>46197</v>
      </c>
      <c r="I57" s="352" t="n">
        <v>1</v>
      </c>
      <c r="J57" s="362" t="s">
        <v>314</v>
      </c>
      <c r="K57" s="354" t="str">
        <f aca="false">CONCATENATE(WORLDCUP!AA17,"-",WORLDCUP!AF17)</f>
        <v>Bosnia y Herzegovina-Catar</v>
      </c>
      <c r="L57" s="354"/>
      <c r="M57" s="359" t="str">
        <f aca="false">IF(OR(WORLDCUP!AC17="",WORLDCUP!AD17=""),"-",N57&amp;"|"&amp;O57&amp;"-"&amp;P57)</f>
        <v>-</v>
      </c>
      <c r="N57" s="332" t="str">
        <f aca="false">IF(OR(WORLDCUP!AC17="",WORLDCUP!AD17=""),"",IF(WORLDCUP!AC17&gt;WORLDCUP!AD17,"1",IF(WORLDCUP!AC17&lt;WORLDCUP!AD17,"2","X")))</f>
        <v/>
      </c>
      <c r="O57" s="332" t="n">
        <f aca="false">WORLDCUP!AC17</f>
        <v>0</v>
      </c>
      <c r="P57" s="332" t="n">
        <f aca="false">WORLDCUP!AD17</f>
        <v>0</v>
      </c>
      <c r="Q57" s="332" t="n">
        <f aca="false">ABS(O57-P57)</f>
        <v>0</v>
      </c>
      <c r="R57" s="327"/>
      <c r="S57" s="363" t="s">
        <v>272</v>
      </c>
      <c r="T57" s="356" t="n">
        <f aca="false">IFERROR(IF($M57=S57,($D$8+$D$9+$D$10)*$I57,IF($N57=LEFT(S57,1),($D$8+MAX(0,IF($D$50=1,$D$9*(1-(ABS($Q57-ABS(VALUE(MID(S57,FIND("|",S57)+1,FIND("-",S57)-FIND("|",S57)-1))-VALUE(MID(S57,FIND("-",S57)+1,10)))))*$D$50),$D$9*(1-(IF($N57="X",ABS($O57-VALUE(MID(S57,FIND("|",S57)+1,FIND("-",S57)-FIND("|",S57)-1))),ABS($Q57-ABS(VALUE(MID(S57,FIND("|",S57)+1,FIND("-",S57)-FIND("|",S57)-1))-VALUE(MID(S57,FIND("-",S57)+1,10)))))*$D$50)))))*$I57,0)),0)</f>
        <v>0</v>
      </c>
      <c r="U57" s="338"/>
      <c r="V57" s="363" t="s">
        <v>265</v>
      </c>
      <c r="W57" s="356" t="n">
        <f aca="false">IFERROR(IF($M57=V57,($D$8+$D$9+$D$10)*$I57,IF($N57=LEFT(V57,1),($D$8+MAX(0,IF($D$50=1,$D$9*(1-(ABS($Q57-ABS(VALUE(MID(V57,FIND("|",V57)+1,FIND("-",V57)-FIND("|",V57)-1))-VALUE(MID(V57,FIND("-",V57)+1,10)))))*$D$50),$D$9*(1-(IF($N57="X",ABS($O57-VALUE(MID(V57,FIND("|",V57)+1,FIND("-",V57)-FIND("|",V57)-1))),ABS($Q57-ABS(VALUE(MID(V57,FIND("|",V57)+1,FIND("-",V57)-FIND("|",V57)-1))-VALUE(MID(V57,FIND("-",V57)+1,10)))))*$D$50)))))*$I57,0)),0)</f>
        <v>0</v>
      </c>
      <c r="X57" s="338"/>
      <c r="Y57" s="363" t="s">
        <v>264</v>
      </c>
      <c r="Z57" s="356" t="n">
        <f aca="false">IFERROR(IF($M57=Y57,($D$8+$D$9+$D$10)*$I57,IF($N57=LEFT(Y57,1),($D$8+MAX(0,IF($D$50=1,$D$9*(1-(ABS($Q57-ABS(VALUE(MID(Y57,FIND("|",Y57)+1,FIND("-",Y57)-FIND("|",Y57)-1))-VALUE(MID(Y57,FIND("-",Y57)+1,10)))))*$D$50),$D$9*(1-(IF($N57="X",ABS($O57-VALUE(MID(Y57,FIND("|",Y57)+1,FIND("-",Y57)-FIND("|",Y57)-1))),ABS($Q57-ABS(VALUE(MID(Y57,FIND("|",Y57)+1,FIND("-",Y57)-FIND("|",Y57)-1))-VALUE(MID(Y57,FIND("-",Y57)+1,10)))))*$D$50)))))*$I57,0)),0)</f>
        <v>0</v>
      </c>
      <c r="AA57" s="338"/>
      <c r="AB57" s="363" t="s">
        <v>265</v>
      </c>
      <c r="AC57" s="356" t="n">
        <f aca="false">IFERROR(IF($M57=AB57,($D$8+$D$9+$D$10)*$I57,IF($N57=LEFT(AB57,1),($D$8+MAX(0,IF($D$50=1,$D$9*(1-(ABS($Q57-ABS(VALUE(MID(AB57,FIND("|",AB57)+1,FIND("-",AB57)-FIND("|",AB57)-1))-VALUE(MID(AB57,FIND("-",AB57)+1,10)))))*$D$50),$D$9*(1-(IF($N57="X",ABS($O57-VALUE(MID(AB57,FIND("|",AB57)+1,FIND("-",AB57)-FIND("|",AB57)-1))),ABS($Q57-ABS(VALUE(MID(AB57,FIND("|",AB57)+1,FIND("-",AB57)-FIND("|",AB57)-1))-VALUE(MID(AB57,FIND("-",AB57)+1,10)))))*$D$50)))))*$I57,0)),0)</f>
        <v>0</v>
      </c>
      <c r="AD57" s="338"/>
      <c r="AE57" s="363" t="s">
        <v>266</v>
      </c>
      <c r="AF57" s="356" t="n">
        <f aca="false">IFERROR(IF($M57=AE57,($D$8+$D$9+$D$10)*$I57,IF($N57=LEFT(AE57,1),($D$8+MAX(0,IF($D$50=1,$D$9*(1-(ABS($Q57-ABS(VALUE(MID(AE57,FIND("|",AE57)+1,FIND("-",AE57)-FIND("|",AE57)-1))-VALUE(MID(AE57,FIND("-",AE57)+1,10)))))*$D$50),$D$9*(1-(IF($N57="X",ABS($O57-VALUE(MID(AE57,FIND("|",AE57)+1,FIND("-",AE57)-FIND("|",AE57)-1))),ABS($Q57-ABS(VALUE(MID(AE57,FIND("|",AE57)+1,FIND("-",AE57)-FIND("|",AE57)-1))-VALUE(MID(AE57,FIND("-",AE57)+1,10)))))*$D$50)))))*$I57,0)),0)</f>
        <v>0</v>
      </c>
      <c r="AG57" s="338"/>
      <c r="AH57" s="363" t="s">
        <v>266</v>
      </c>
      <c r="AI57" s="356" t="n">
        <f aca="false">IFERROR(IF($M57=AH57,($D$8+$D$9+$D$10)*$I57,IF($N57=LEFT(AH57,1),($D$8+MAX(0,IF($D$50=1,$D$9*(1-(ABS($Q57-ABS(VALUE(MID(AH57,FIND("|",AH57)+1,FIND("-",AH57)-FIND("|",AH57)-1))-VALUE(MID(AH57,FIND("-",AH57)+1,10)))))*$D$50),$D$9*(1-(IF($N57="X",ABS($O57-VALUE(MID(AH57,FIND("|",AH57)+1,FIND("-",AH57)-FIND("|",AH57)-1))),ABS($Q57-ABS(VALUE(MID(AH57,FIND("|",AH57)+1,FIND("-",AH57)-FIND("|",AH57)-1))-VALUE(MID(AH57,FIND("-",AH57)+1,10)))))*$D$50)))))*$I57,0)),0)</f>
        <v>0</v>
      </c>
      <c r="AJ57" s="338"/>
      <c r="AK57" s="363" t="s">
        <v>267</v>
      </c>
      <c r="AL57" s="356" t="n">
        <f aca="false">IFERROR(IF($M57=AK57,($D$8+$D$9+$D$10)*$I57,IF($N57=LEFT(AK57,1),($D$8+MAX(0,IF($D$50=1,$D$9*(1-(ABS($Q57-ABS(VALUE(MID(AK57,FIND("|",AK57)+1,FIND("-",AK57)-FIND("|",AK57)-1))-VALUE(MID(AK57,FIND("-",AK57)+1,10)))))*$D$50),$D$9*(1-(IF($N57="X",ABS($O57-VALUE(MID(AK57,FIND("|",AK57)+1,FIND("-",AK57)-FIND("|",AK57)-1))),ABS($Q57-ABS(VALUE(MID(AK57,FIND("|",AK57)+1,FIND("-",AK57)-FIND("|",AK57)-1))-VALUE(MID(AK57,FIND("-",AK57)+1,10)))))*$D$50)))))*$I57,0)),0)</f>
        <v>0</v>
      </c>
      <c r="AM57" s="338"/>
      <c r="AN57" s="363" t="s">
        <v>265</v>
      </c>
      <c r="AO57" s="356" t="n">
        <f aca="false">IFERROR(IF($M57=AN57,($D$8+$D$9+$D$10)*$I57,IF($N57=LEFT(AN57,1),($D$8+MAX(0,IF($D$50=1,$D$9*(1-(ABS($Q57-ABS(VALUE(MID(AN57,FIND("|",AN57)+1,FIND("-",AN57)-FIND("|",AN57)-1))-VALUE(MID(AN57,FIND("-",AN57)+1,10)))))*$D$50),$D$9*(1-(IF($N57="X",ABS($O57-VALUE(MID(AN57,FIND("|",AN57)+1,FIND("-",AN57)-FIND("|",AN57)-1))),ABS($Q57-ABS(VALUE(MID(AN57,FIND("|",AN57)+1,FIND("-",AN57)-FIND("|",AN57)-1))-VALUE(MID(AN57,FIND("-",AN57)+1,10)))))*$D$50)))))*$I57,0)),0)</f>
        <v>0</v>
      </c>
      <c r="AP57" s="338"/>
      <c r="AQ57" s="363" t="s">
        <v>264</v>
      </c>
      <c r="AR57" s="356" t="n">
        <f aca="false">IFERROR(IF($M57=AQ57,($D$8+$D$9+$D$10)*$I57,IF($N57=LEFT(AQ57,1),($D$8+MAX(0,IF($D$50=1,$D$9*(1-(ABS($Q57-ABS(VALUE(MID(AQ57,FIND("|",AQ57)+1,FIND("-",AQ57)-FIND("|",AQ57)-1))-VALUE(MID(AQ57,FIND("-",AQ57)+1,10)))))*$D$50),$D$9*(1-(IF($N57="X",ABS($O57-VALUE(MID(AQ57,FIND("|",AQ57)+1,FIND("-",AQ57)-FIND("|",AQ57)-1))),ABS($Q57-ABS(VALUE(MID(AQ57,FIND("|",AQ57)+1,FIND("-",AQ57)-FIND("|",AQ57)-1))-VALUE(MID(AQ57,FIND("-",AQ57)+1,10)))))*$D$50)))))*$I57,0)),0)</f>
        <v>0</v>
      </c>
      <c r="AS57" s="338"/>
      <c r="AT57" s="363" t="s">
        <v>266</v>
      </c>
      <c r="AU57" s="356" t="n">
        <f aca="false">IFERROR(IF($M57=AT57,($D$8+$D$9+$D$10)*$I57,IF($N57=LEFT(AT57,1),($D$8+MAX(0,IF($D$50=1,$D$9*(1-(ABS($Q57-ABS(VALUE(MID(AT57,FIND("|",AT57)+1,FIND("-",AT57)-FIND("|",AT57)-1))-VALUE(MID(AT57,FIND("-",AT57)+1,10)))))*$D$50),$D$9*(1-(IF($N57="X",ABS($O57-VALUE(MID(AT57,FIND("|",AT57)+1,FIND("-",AT57)-FIND("|",AT57)-1))),ABS($Q57-ABS(VALUE(MID(AT57,FIND("|",AT57)+1,FIND("-",AT57)-FIND("|",AT57)-1))-VALUE(MID(AT57,FIND("-",AT57)+1,10)))))*$D$50)))))*$I57,0)),0)</f>
        <v>0</v>
      </c>
      <c r="AV57" s="338"/>
      <c r="AW57" s="363" t="s">
        <v>265</v>
      </c>
      <c r="AX57" s="356" t="n">
        <f aca="false">IFERROR(IF($M57=AW57,($D$8+$D$9+$D$10)*$I57,IF($N57=LEFT(AW57,1),($D$8+MAX(0,IF($D$50=1,$D$9*(1-(ABS($Q57-ABS(VALUE(MID(AW57,FIND("|",AW57)+1,FIND("-",AW57)-FIND("|",AW57)-1))-VALUE(MID(AW57,FIND("-",AW57)+1,10)))))*$D$50),$D$9*(1-(IF($N57="X",ABS($O57-VALUE(MID(AW57,FIND("|",AW57)+1,FIND("-",AW57)-FIND("|",AW57)-1))),ABS($Q57-ABS(VALUE(MID(AW57,FIND("|",AW57)+1,FIND("-",AW57)-FIND("|",AW57)-1))-VALUE(MID(AW57,FIND("-",AW57)+1,10)))))*$D$50)))))*$I57,0)),0)</f>
        <v>0</v>
      </c>
      <c r="AY57" s="338"/>
      <c r="AZ57" s="363" t="s">
        <v>264</v>
      </c>
      <c r="BA57" s="356" t="n">
        <f aca="false">IFERROR(IF($M57=AZ57,($D$8+$D$9+$D$10)*$I57,IF($N57=LEFT(AZ57,1),($D$8+MAX(0,IF($D$50=1,$D$9*(1-(ABS($Q57-ABS(VALUE(MID(AZ57,FIND("|",AZ57)+1,FIND("-",AZ57)-FIND("|",AZ57)-1))-VALUE(MID(AZ57,FIND("-",AZ57)+1,10)))))*$D$50),$D$9*(1-(IF($N57="X",ABS($O57-VALUE(MID(AZ57,FIND("|",AZ57)+1,FIND("-",AZ57)-FIND("|",AZ57)-1))),ABS($Q57-ABS(VALUE(MID(AZ57,FIND("|",AZ57)+1,FIND("-",AZ57)-FIND("|",AZ57)-1))-VALUE(MID(AZ57,FIND("-",AZ57)+1,10)))))*$D$50)))))*$I57,0)),0)</f>
        <v>0</v>
      </c>
      <c r="BB57" s="338"/>
      <c r="BC57" s="363" t="s">
        <v>266</v>
      </c>
      <c r="BD57" s="356" t="n">
        <f aca="false">IFERROR(IF($M57=BC57,($D$8+$D$9+$D$10)*$I57,IF($N57=LEFT(BC57,1),($D$8+MAX(0,IF($D$50=1,$D$9*(1-(ABS($Q57-ABS(VALUE(MID(BC57,FIND("|",BC57)+1,FIND("-",BC57)-FIND("|",BC57)-1))-VALUE(MID(BC57,FIND("-",BC57)+1,10)))))*$D$50),$D$9*(1-(IF($N57="X",ABS($O57-VALUE(MID(BC57,FIND("|",BC57)+1,FIND("-",BC57)-FIND("|",BC57)-1))),ABS($Q57-ABS(VALUE(MID(BC57,FIND("|",BC57)+1,FIND("-",BC57)-FIND("|",BC57)-1))-VALUE(MID(BC57,FIND("-",BC57)+1,10)))))*$D$50)))))*$I57,0)),0)</f>
        <v>0</v>
      </c>
      <c r="BE57" s="338"/>
      <c r="BF57" s="363" t="s">
        <v>265</v>
      </c>
      <c r="BG57" s="356" t="n">
        <f aca="false">IFERROR(IF($M57=BF57,($D$8+$D$9+$D$10)*$I57,IF($N57=LEFT(BF57,1),($D$8+MAX(0,IF($D$50=1,$D$9*(1-(ABS($Q57-ABS(VALUE(MID(BF57,FIND("|",BF57)+1,FIND("-",BF57)-FIND("|",BF57)-1))-VALUE(MID(BF57,FIND("-",BF57)+1,10)))))*$D$50),$D$9*(1-(IF($N57="X",ABS($O57-VALUE(MID(BF57,FIND("|",BF57)+1,FIND("-",BF57)-FIND("|",BF57)-1))),ABS($Q57-ABS(VALUE(MID(BF57,FIND("|",BF57)+1,FIND("-",BF57)-FIND("|",BF57)-1))-VALUE(MID(BF57,FIND("-",BF57)+1,10)))))*$D$50)))))*$I57,0)),0)</f>
        <v>0</v>
      </c>
      <c r="BH57" s="338"/>
      <c r="BI57" s="363" t="s">
        <v>265</v>
      </c>
      <c r="BJ57" s="356" t="n">
        <f aca="false">IFERROR(IF($M57=BI57,($D$8+$D$9+$D$10)*$I57,IF($N57=LEFT(BI57,1),($D$8+MAX(0,IF($D$50=1,$D$9*(1-(ABS($Q57-ABS(VALUE(MID(BI57,FIND("|",BI57)+1,FIND("-",BI57)-FIND("|",BI57)-1))-VALUE(MID(BI57,FIND("-",BI57)+1,10)))))*$D$50),$D$9*(1-(IF($N57="X",ABS($O57-VALUE(MID(BI57,FIND("|",BI57)+1,FIND("-",BI57)-FIND("|",BI57)-1))),ABS($Q57-ABS(VALUE(MID(BI57,FIND("|",BI57)+1,FIND("-",BI57)-FIND("|",BI57)-1))-VALUE(MID(BI57,FIND("-",BI57)+1,10)))))*$D$50)))))*$I57,0)),0)</f>
        <v>0</v>
      </c>
      <c r="BK57" s="338"/>
      <c r="BL57" s="363" t="s">
        <v>264</v>
      </c>
      <c r="BM57" s="356" t="n">
        <f aca="false">IFERROR(IF($M57=BL57,($D$8+$D$9+$D$10)*$I57,IF($N57=LEFT(BL57,1),($D$8+MAX(0,IF($D$50=1,$D$9*(1-(ABS($Q57-ABS(VALUE(MID(BL57,FIND("|",BL57)+1,FIND("-",BL57)-FIND("|",BL57)-1))-VALUE(MID(BL57,FIND("-",BL57)+1,10)))))*$D$50),$D$9*(1-(IF($N57="X",ABS($O57-VALUE(MID(BL57,FIND("|",BL57)+1,FIND("-",BL57)-FIND("|",BL57)-1))),ABS($Q57-ABS(VALUE(MID(BL57,FIND("|",BL57)+1,FIND("-",BL57)-FIND("|",BL57)-1))-VALUE(MID(BL57,FIND("-",BL57)+1,10)))))*$D$50)))))*$I57,0)),0)</f>
        <v>0</v>
      </c>
      <c r="BN57" s="338"/>
      <c r="BO57" s="363" t="s">
        <v>288</v>
      </c>
      <c r="BP57" s="356" t="n">
        <f aca="false">IFERROR(IF($M57=BO57,($D$8+$D$9+$D$10)*$I57,IF($N57=LEFT(BO57,1),($D$8+MAX(0,IF($D$50=1,$D$9*(1-(ABS($Q57-ABS(VALUE(MID(BO57,FIND("|",BO57)+1,FIND("-",BO57)-FIND("|",BO57)-1))-VALUE(MID(BO57,FIND("-",BO57)+1,10)))))*$D$50),$D$9*(1-(IF($N57="X",ABS($O57-VALUE(MID(BO57,FIND("|",BO57)+1,FIND("-",BO57)-FIND("|",BO57)-1))),ABS($Q57-ABS(VALUE(MID(BO57,FIND("|",BO57)+1,FIND("-",BO57)-FIND("|",BO57)-1))-VALUE(MID(BO57,FIND("-",BO57)+1,10)))))*$D$50)))))*$I57,0)),0)</f>
        <v>0</v>
      </c>
      <c r="BQ57" s="338"/>
      <c r="BR57" s="363" t="s">
        <v>265</v>
      </c>
      <c r="BS57" s="356" t="n">
        <f aca="false">IFERROR(IF($M57=BR57,($D$8+$D$9+$D$10)*$I57,IF($N57=LEFT(BR57,1),($D$8+MAX(0,IF($D$50=1,$D$9*(1-(ABS($Q57-ABS(VALUE(MID(BR57,FIND("|",BR57)+1,FIND("-",BR57)-FIND("|",BR57)-1))-VALUE(MID(BR57,FIND("-",BR57)+1,10)))))*$D$50),$D$9*(1-(IF($N57="X",ABS($O57-VALUE(MID(BR57,FIND("|",BR57)+1,FIND("-",BR57)-FIND("|",BR57)-1))),ABS($Q57-ABS(VALUE(MID(BR57,FIND("|",BR57)+1,FIND("-",BR57)-FIND("|",BR57)-1))-VALUE(MID(BR57,FIND("-",BR57)+1,10)))))*$D$50)))))*$I57,0)),0)</f>
        <v>0</v>
      </c>
      <c r="BT57" s="338"/>
      <c r="BU57" s="363"/>
      <c r="BV57" s="356" t="n">
        <f aca="false">IFERROR(IF($M57=BU57,($D$8+$D$9+$D$10)*$I57,IF($N57=LEFT(BU57,1),($D$8+MAX(0,IF($D$50=1,$D$9*(1-(ABS($Q57-ABS(VALUE(MID(BU57,FIND("|",BU57)+1,FIND("-",BU57)-FIND("|",BU57)-1))-VALUE(MID(BU57,FIND("-",BU57)+1,10)))))*$D$50),$D$9*(1-(IF($N57="X",ABS($O57-VALUE(MID(BU57,FIND("|",BU57)+1,FIND("-",BU57)-FIND("|",BU57)-1))),ABS($Q57-ABS(VALUE(MID(BU57,FIND("|",BU57)+1,FIND("-",BU57)-FIND("|",BU57)-1))-VALUE(MID(BU57,FIND("-",BU57)+1,10)))))*$D$50)))))*$I57,0)),0)</f>
        <v>0</v>
      </c>
      <c r="BW57" s="338"/>
      <c r="BX57" s="363"/>
      <c r="BY57" s="356" t="n">
        <f aca="false">IFERROR(IF($M57=BX57,($D$8+$D$9+$D$10)*$I57,IF($N57=LEFT(BX57,1),($D$8+MAX(0,IF($D$50=1,$D$9*(1-(ABS($Q57-ABS(VALUE(MID(BX57,FIND("|",BX57)+1,FIND("-",BX57)-FIND("|",BX57)-1))-VALUE(MID(BX57,FIND("-",BX57)+1,10)))))*$D$50),$D$9*(1-(IF($N57="X",ABS($O57-VALUE(MID(BX57,FIND("|",BX57)+1,FIND("-",BX57)-FIND("|",BX57)-1))),ABS($Q57-ABS(VALUE(MID(BX57,FIND("|",BX57)+1,FIND("-",BX57)-FIND("|",BX57)-1))-VALUE(MID(BX57,FIND("-",BX57)+1,10)))))*$D$50)))))*$I57,0)),0)</f>
        <v>0</v>
      </c>
      <c r="BZ57" s="338"/>
      <c r="CA57" s="363"/>
      <c r="CB57" s="356" t="n">
        <f aca="false">IFERROR(IF($M57=CA57,($D$8+$D$9+$D$10)*$I57,IF($N57=LEFT(CA57,1),($D$8+MAX(0,IF($D$50=1,$D$9*(1-(ABS($Q57-ABS(VALUE(MID(CA57,FIND("|",CA57)+1,FIND("-",CA57)-FIND("|",CA57)-1))-VALUE(MID(CA57,FIND("-",CA57)+1,10)))))*$D$50),$D$9*(1-(IF($N57="X",ABS($O57-VALUE(MID(CA57,FIND("|",CA57)+1,FIND("-",CA57)-FIND("|",CA57)-1))),ABS($Q57-ABS(VALUE(MID(CA57,FIND("|",CA57)+1,FIND("-",CA57)-FIND("|",CA57)-1))-VALUE(MID(CA57,FIND("-",CA57)+1,10)))))*$D$50)))))*$I57,0)),0)</f>
        <v>0</v>
      </c>
      <c r="CC57" s="338"/>
      <c r="CD57" s="363"/>
      <c r="CE57" s="356" t="n">
        <f aca="false">IFERROR(IF($M57=CD57,($D$8+$D$9+$D$10)*$I57,IF($N57=LEFT(CD57,1),($D$8+MAX(0,IF($D$50=1,$D$9*(1-(ABS($Q57-ABS(VALUE(MID(CD57,FIND("|",CD57)+1,FIND("-",CD57)-FIND("|",CD57)-1))-VALUE(MID(CD57,FIND("-",CD57)+1,10)))))*$D$50),$D$9*(1-(IF($N57="X",ABS($O57-VALUE(MID(CD57,FIND("|",CD57)+1,FIND("-",CD57)-FIND("|",CD57)-1))),ABS($Q57-ABS(VALUE(MID(CD57,FIND("|",CD57)+1,FIND("-",CD57)-FIND("|",CD57)-1))-VALUE(MID(CD57,FIND("-",CD57)+1,10)))))*$D$50)))))*$I57,0)),0)</f>
        <v>0</v>
      </c>
      <c r="CF57" s="338"/>
      <c r="CG57" s="363"/>
      <c r="CH57" s="356" t="n">
        <f aca="false">IFERROR(IF($M57=CG57,($D$8+$D$9+$D$10)*$I57,IF($N57=LEFT(CG57,1),($D$8+MAX(0,IF($D$50=1,$D$9*(1-(ABS($Q57-ABS(VALUE(MID(CG57,FIND("|",CG57)+1,FIND("-",CG57)-FIND("|",CG57)-1))-VALUE(MID(CG57,FIND("-",CG57)+1,10)))))*$D$50),$D$9*(1-(IF($N57="X",ABS($O57-VALUE(MID(CG57,FIND("|",CG57)+1,FIND("-",CG57)-FIND("|",CG57)-1))),ABS($Q57-ABS(VALUE(MID(CG57,FIND("|",CG57)+1,FIND("-",CG57)-FIND("|",CG57)-1))-VALUE(MID(CG57,FIND("-",CG57)+1,10)))))*$D$50)))))*$I57,0)),0)</f>
        <v>0</v>
      </c>
      <c r="CI57" s="338"/>
      <c r="CJ57" s="363"/>
      <c r="CK57" s="356" t="n">
        <f aca="false">IFERROR(IF($M57=CJ57,($D$8+$D$9+$D$10)*$I57,IF($N57=LEFT(CJ57,1),($D$8+MAX(0,IF($D$50=1,$D$9*(1-(ABS($Q57-ABS(VALUE(MID(CJ57,FIND("|",CJ57)+1,FIND("-",CJ57)-FIND("|",CJ57)-1))-VALUE(MID(CJ57,FIND("-",CJ57)+1,10)))))*$D$50),$D$9*(1-(IF($N57="X",ABS($O57-VALUE(MID(CJ57,FIND("|",CJ57)+1,FIND("-",CJ57)-FIND("|",CJ57)-1))),ABS($Q57-ABS(VALUE(MID(CJ57,FIND("|",CJ57)+1,FIND("-",CJ57)-FIND("|",CJ57)-1))-VALUE(MID(CJ57,FIND("-",CJ57)+1,10)))))*$D$50)))))*$I57,0)),0)</f>
        <v>0</v>
      </c>
      <c r="CL57" s="338"/>
      <c r="CM57" s="363"/>
      <c r="CN57" s="356" t="n">
        <f aca="false">IFERROR(IF($M57=CM57,($D$8+$D$9+$D$10)*$I57,IF($N57=LEFT(CM57,1),($D$8+MAX(0,IF($D$50=1,$D$9*(1-(ABS($Q57-ABS(VALUE(MID(CM57,FIND("|",CM57)+1,FIND("-",CM57)-FIND("|",CM57)-1))-VALUE(MID(CM57,FIND("-",CM57)+1,10)))))*$D$50),$D$9*(1-(IF($N57="X",ABS($O57-VALUE(MID(CM57,FIND("|",CM57)+1,FIND("-",CM57)-FIND("|",CM57)-1))),ABS($Q57-ABS(VALUE(MID(CM57,FIND("|",CM57)+1,FIND("-",CM57)-FIND("|",CM57)-1))-VALUE(MID(CM57,FIND("-",CM57)+1,10)))))*$D$50)))))*$I57,0)),0)</f>
        <v>0</v>
      </c>
      <c r="CO57" s="338"/>
      <c r="CP57" s="363"/>
      <c r="CQ57" s="356" t="n">
        <f aca="false">IFERROR(IF($M57=CP57,($D$8+$D$9+$D$10)*$I57,IF($N57=LEFT(CP57,1),($D$8+MAX(0,IF($D$50=1,$D$9*(1-(ABS($Q57-ABS(VALUE(MID(CP57,FIND("|",CP57)+1,FIND("-",CP57)-FIND("|",CP57)-1))-VALUE(MID(CP57,FIND("-",CP57)+1,10)))))*$D$50),$D$9*(1-(IF($N57="X",ABS($O57-VALUE(MID(CP57,FIND("|",CP57)+1,FIND("-",CP57)-FIND("|",CP57)-1))),ABS($Q57-ABS(VALUE(MID(CP57,FIND("|",CP57)+1,FIND("-",CP57)-FIND("|",CP57)-1))-VALUE(MID(CP57,FIND("-",CP57)+1,10)))))*$D$50)))))*$I57,0)),0)</f>
        <v>0</v>
      </c>
      <c r="CR57" s="338"/>
      <c r="CS57" s="363"/>
      <c r="CT57" s="356" t="n">
        <f aca="false">IFERROR(IF($M57=CS57,($D$8+$D$9+$D$10)*$I57,IF($N57=LEFT(CS57,1),($D$8+MAX(0,IF($D$50=1,$D$9*(1-(ABS($Q57-ABS(VALUE(MID(CS57,FIND("|",CS57)+1,FIND("-",CS57)-FIND("|",CS57)-1))-VALUE(MID(CS57,FIND("-",CS57)+1,10)))))*$D$50),$D$9*(1-(IF($N57="X",ABS($O57-VALUE(MID(CS57,FIND("|",CS57)+1,FIND("-",CS57)-FIND("|",CS57)-1))),ABS($Q57-ABS(VALUE(MID(CS57,FIND("|",CS57)+1,FIND("-",CS57)-FIND("|",CS57)-1))-VALUE(MID(CS57,FIND("-",CS57)+1,10)))))*$D$50)))))*$I57,0)),0)</f>
        <v>0</v>
      </c>
      <c r="CU57" s="338"/>
      <c r="CV57" s="363"/>
      <c r="CW57" s="356" t="n">
        <f aca="false">IFERROR(IF($M57=CV57,($D$8+$D$9+$D$10)*$I57,IF($N57=LEFT(CV57,1),($D$8+MAX(0,IF($D$50=1,$D$9*(1-(ABS($Q57-ABS(VALUE(MID(CV57,FIND("|",CV57)+1,FIND("-",CV57)-FIND("|",CV57)-1))-VALUE(MID(CV57,FIND("-",CV57)+1,10)))))*$D$50),$D$9*(1-(IF($N57="X",ABS($O57-VALUE(MID(CV57,FIND("|",CV57)+1,FIND("-",CV57)-FIND("|",CV57)-1))),ABS($Q57-ABS(VALUE(MID(CV57,FIND("|",CV57)+1,FIND("-",CV57)-FIND("|",CV57)-1))-VALUE(MID(CV57,FIND("-",CV57)+1,10)))))*$D$50)))))*$I57,0)),0)</f>
        <v>0</v>
      </c>
      <c r="CX57" s="338"/>
      <c r="CY57" s="363"/>
      <c r="CZ57" s="356" t="n">
        <f aca="false">IFERROR(IF($M57=CY57,($D$8+$D$9+$D$10)*$I57,IF($N57=LEFT(CY57,1),($D$8+MAX(0,IF($D$50=1,$D$9*(1-(ABS($Q57-ABS(VALUE(MID(CY57,FIND("|",CY57)+1,FIND("-",CY57)-FIND("|",CY57)-1))-VALUE(MID(CY57,FIND("-",CY57)+1,10)))))*$D$50),$D$9*(1-(IF($N57="X",ABS($O57-VALUE(MID(CY57,FIND("|",CY57)+1,FIND("-",CY57)-FIND("|",CY57)-1))),ABS($Q57-ABS(VALUE(MID(CY57,FIND("|",CY57)+1,FIND("-",CY57)-FIND("|",CY57)-1))-VALUE(MID(CY57,FIND("-",CY57)+1,10)))))*$D$50)))))*$I57,0)),0)</f>
        <v>0</v>
      </c>
      <c r="DA57" s="338"/>
      <c r="DB57" s="363"/>
      <c r="DC57" s="356" t="n">
        <f aca="false">IFERROR(IF($M57=DB57,($D$8+$D$9+$D$10)*$I57,IF($N57=LEFT(DB57,1),($D$8+MAX(0,IF($D$50=1,$D$9*(1-(ABS($Q57-ABS(VALUE(MID(DB57,FIND("|",DB57)+1,FIND("-",DB57)-FIND("|",DB57)-1))-VALUE(MID(DB57,FIND("-",DB57)+1,10)))))*$D$50),$D$9*(1-(IF($N57="X",ABS($O57-VALUE(MID(DB57,FIND("|",DB57)+1,FIND("-",DB57)-FIND("|",DB57)-1))),ABS($Q57-ABS(VALUE(MID(DB57,FIND("|",DB57)+1,FIND("-",DB57)-FIND("|",DB57)-1))-VALUE(MID(DB57,FIND("-",DB57)+1,10)))))*$D$50)))))*$I57,0)),0)</f>
        <v>0</v>
      </c>
      <c r="DD57" s="338"/>
      <c r="DE57" s="363"/>
      <c r="DF57" s="356" t="n">
        <f aca="false">IFERROR(IF($M57=DE57,($D$8+$D$9+$D$10)*$I57,IF($N57=LEFT(DE57,1),($D$8+MAX(0,IF($D$50=1,$D$9*(1-(ABS($Q57-ABS(VALUE(MID(DE57,FIND("|",DE57)+1,FIND("-",DE57)-FIND("|",DE57)-1))-VALUE(MID(DE57,FIND("-",DE57)+1,10)))))*$D$50),$D$9*(1-(IF($N57="X",ABS($O57-VALUE(MID(DE57,FIND("|",DE57)+1,FIND("-",DE57)-FIND("|",DE57)-1))),ABS($Q57-ABS(VALUE(MID(DE57,FIND("|",DE57)+1,FIND("-",DE57)-FIND("|",DE57)-1))-VALUE(MID(DE57,FIND("-",DE57)+1,10)))))*$D$50)))))*$I57,0)),0)</f>
        <v>0</v>
      </c>
      <c r="DG57" s="338"/>
      <c r="DH57" s="363"/>
      <c r="DI57" s="356" t="n">
        <f aca="false">IFERROR(IF($M57=DH57,($D$8+$D$9+$D$10)*$I57,IF($N57=LEFT(DH57,1),($D$8+MAX(0,IF($D$50=1,$D$9*(1-(ABS($Q57-ABS(VALUE(MID(DH57,FIND("|",DH57)+1,FIND("-",DH57)-FIND("|",DH57)-1))-VALUE(MID(DH57,FIND("-",DH57)+1,10)))))*$D$50),$D$9*(1-(IF($N57="X",ABS($O57-VALUE(MID(DH57,FIND("|",DH57)+1,FIND("-",DH57)-FIND("|",DH57)-1))),ABS($Q57-ABS(VALUE(MID(DH57,FIND("|",DH57)+1,FIND("-",DH57)-FIND("|",DH57)-1))-VALUE(MID(DH57,FIND("-",DH57)+1,10)))))*$D$50)))))*$I57,0)),0)</f>
        <v>0</v>
      </c>
      <c r="DJ57" s="338"/>
      <c r="DK57" s="363"/>
      <c r="DL57" s="356" t="n">
        <f aca="false">IFERROR(IF($M57=DK57,($D$8+$D$9+$D$10)*$I57,IF($N57=LEFT(DK57,1),($D$8+MAX(0,IF($D$50=1,$D$9*(1-(ABS($Q57-ABS(VALUE(MID(DK57,FIND("|",DK57)+1,FIND("-",DK57)-FIND("|",DK57)-1))-VALUE(MID(DK57,FIND("-",DK57)+1,10)))))*$D$50),$D$9*(1-(IF($N57="X",ABS($O57-VALUE(MID(DK57,FIND("|",DK57)+1,FIND("-",DK57)-FIND("|",DK57)-1))),ABS($Q57-ABS(VALUE(MID(DK57,FIND("|",DK57)+1,FIND("-",DK57)-FIND("|",DK57)-1))-VALUE(MID(DK57,FIND("-",DK57)+1,10)))))*$D$50)))))*$I57,0)),0)</f>
        <v>0</v>
      </c>
      <c r="DM57" s="338"/>
      <c r="DN57" s="363"/>
      <c r="DO57" s="356" t="n">
        <f aca="false">IFERROR(IF($M57=DN57,($D$8+$D$9+$D$10)*$I57,IF($N57=LEFT(DN57,1),($D$8+MAX(0,IF($D$50=1,$D$9*(1-(ABS($Q57-ABS(VALUE(MID(DN57,FIND("|",DN57)+1,FIND("-",DN57)-FIND("|",DN57)-1))-VALUE(MID(DN57,FIND("-",DN57)+1,10)))))*$D$50),$D$9*(1-(IF($N57="X",ABS($O57-VALUE(MID(DN57,FIND("|",DN57)+1,FIND("-",DN57)-FIND("|",DN57)-1))),ABS($Q57-ABS(VALUE(MID(DN57,FIND("|",DN57)+1,FIND("-",DN57)-FIND("|",DN57)-1))-VALUE(MID(DN57,FIND("-",DN57)+1,10)))))*$D$50)))))*$I57,0)),0)</f>
        <v>0</v>
      </c>
      <c r="DP57" s="338"/>
      <c r="DQ57" s="363"/>
      <c r="DR57" s="356" t="n">
        <f aca="false">IFERROR(IF($M57=DQ57,($D$8+$D$9+$D$10)*$I57,IF($N57=LEFT(DQ57,1),($D$8+MAX(0,IF($D$50=1,$D$9*(1-(ABS($Q57-ABS(VALUE(MID(DQ57,FIND("|",DQ57)+1,FIND("-",DQ57)-FIND("|",DQ57)-1))-VALUE(MID(DQ57,FIND("-",DQ57)+1,10)))))*$D$50),$D$9*(1-(IF($N57="X",ABS($O57-VALUE(MID(DQ57,FIND("|",DQ57)+1,FIND("-",DQ57)-FIND("|",DQ57)-1))),ABS($Q57-ABS(VALUE(MID(DQ57,FIND("|",DQ57)+1,FIND("-",DQ57)-FIND("|",DQ57)-1))-VALUE(MID(DQ57,FIND("-",DQ57)+1,10)))))*$D$50)))))*$I57,0)),0)</f>
        <v>0</v>
      </c>
      <c r="DS57" s="338"/>
      <c r="DT57" s="363"/>
      <c r="DU57" s="356" t="n">
        <f aca="false">IFERROR(IF($M57=DT57,($D$8+$D$9+$D$10)*$I57,IF($N57=LEFT(DT57,1),($D$8+MAX(0,IF($D$50=1,$D$9*(1-(ABS($Q57-ABS(VALUE(MID(DT57,FIND("|",DT57)+1,FIND("-",DT57)-FIND("|",DT57)-1))-VALUE(MID(DT57,FIND("-",DT57)+1,10)))))*$D$50),$D$9*(1-(IF($N57="X",ABS($O57-VALUE(MID(DT57,FIND("|",DT57)+1,FIND("-",DT57)-FIND("|",DT57)-1))),ABS($Q57-ABS(VALUE(MID(DT57,FIND("|",DT57)+1,FIND("-",DT57)-FIND("|",DT57)-1))-VALUE(MID(DT57,FIND("-",DT57)+1,10)))))*$D$50)))))*$I57,0)),0)</f>
        <v>0</v>
      </c>
      <c r="DV57" s="338"/>
      <c r="DW57" s="363"/>
      <c r="DX57" s="356" t="n">
        <f aca="false">IFERROR(IF($M57=DW57,($D$8+$D$9+$D$10)*$I57,IF($N57=LEFT(DW57,1),($D$8+MAX(0,IF($D$50=1,$D$9*(1-(ABS($Q57-ABS(VALUE(MID(DW57,FIND("|",DW57)+1,FIND("-",DW57)-FIND("|",DW57)-1))-VALUE(MID(DW57,FIND("-",DW57)+1,10)))))*$D$50),$D$9*(1-(IF($N57="X",ABS($O57-VALUE(MID(DW57,FIND("|",DW57)+1,FIND("-",DW57)-FIND("|",DW57)-1))),ABS($Q57-ABS(VALUE(MID(DW57,FIND("|",DW57)+1,FIND("-",DW57)-FIND("|",DW57)-1))-VALUE(MID(DW57,FIND("-",DW57)+1,10)))))*$D$50)))))*$I57,0)),0)</f>
        <v>0</v>
      </c>
      <c r="DY57" s="338"/>
      <c r="DZ57" s="363"/>
      <c r="EA57" s="356" t="n">
        <f aca="false">IFERROR(IF($M57=DZ57,($D$8+$D$9+$D$10)*$I57,IF($N57=LEFT(DZ57,1),($D$8+MAX(0,IF($D$50=1,$D$9*(1-(ABS($Q57-ABS(VALUE(MID(DZ57,FIND("|",DZ57)+1,FIND("-",DZ57)-FIND("|",DZ57)-1))-VALUE(MID(DZ57,FIND("-",DZ57)+1,10)))))*$D$50),$D$9*(1-(IF($N57="X",ABS($O57-VALUE(MID(DZ57,FIND("|",DZ57)+1,FIND("-",DZ57)-FIND("|",DZ57)-1))),ABS($Q57-ABS(VALUE(MID(DZ57,FIND("|",DZ57)+1,FIND("-",DZ57)-FIND("|",DZ57)-1))-VALUE(MID(DZ57,FIND("-",DZ57)+1,10)))))*$D$50)))))*$I57,0)),0)</f>
        <v>0</v>
      </c>
      <c r="EB57" s="338"/>
      <c r="EC57" s="363"/>
      <c r="ED57" s="356" t="n">
        <f aca="false">IFERROR(IF($M57=EC57,($D$8+$D$9+$D$10)*$I57,IF($N57=LEFT(EC57,1),($D$8+MAX(0,IF($D$50=1,$D$9*(1-(ABS($Q57-ABS(VALUE(MID(EC57,FIND("|",EC57)+1,FIND("-",EC57)-FIND("|",EC57)-1))-VALUE(MID(EC57,FIND("-",EC57)+1,10)))))*$D$50),$D$9*(1-(IF($N57="X",ABS($O57-VALUE(MID(EC57,FIND("|",EC57)+1,FIND("-",EC57)-FIND("|",EC57)-1))),ABS($Q57-ABS(VALUE(MID(EC57,FIND("|",EC57)+1,FIND("-",EC57)-FIND("|",EC57)-1))-VALUE(MID(EC57,FIND("-",EC57)+1,10)))))*$D$50)))))*$I57,0)),0)</f>
        <v>0</v>
      </c>
      <c r="EE57" s="338"/>
      <c r="EF57" s="363"/>
      <c r="EG57" s="356" t="n">
        <f aca="false">IFERROR(IF($M57=EF57,($D$8+$D$9+$D$10)*$I57,IF($N57=LEFT(EF57,1),($D$8+MAX(0,IF($D$50=1,$D$9*(1-(ABS($Q57-ABS(VALUE(MID(EF57,FIND("|",EF57)+1,FIND("-",EF57)-FIND("|",EF57)-1))-VALUE(MID(EF57,FIND("-",EF57)+1,10)))))*$D$50),$D$9*(1-(IF($N57="X",ABS($O57-VALUE(MID(EF57,FIND("|",EF57)+1,FIND("-",EF57)-FIND("|",EF57)-1))),ABS($Q57-ABS(VALUE(MID(EF57,FIND("|",EF57)+1,FIND("-",EF57)-FIND("|",EF57)-1))-VALUE(MID(EF57,FIND("-",EF57)+1,10)))))*$D$50)))))*$I57,0)),0)</f>
        <v>0</v>
      </c>
      <c r="EH57" s="338"/>
      <c r="EI57" s="338"/>
    </row>
    <row r="58" customFormat="false" ht="15" hidden="false" customHeight="false" outlineLevel="0" collapsed="false">
      <c r="A58" s="327"/>
      <c r="B58" s="327"/>
      <c r="C58" s="388" t="str">
        <f aca="false">"MAX. "&amp;UPPER(Idiomas!D261)</f>
        <v>MAX. OCTAVOS DE FINAL</v>
      </c>
      <c r="D58" s="389" t="n">
        <f aca="false">SUM($D$20:$D$22)*SUM($I$200:$I$207)+$D$23*8</f>
        <v>176</v>
      </c>
      <c r="E58" s="334"/>
      <c r="F58" s="343" t="n">
        <f aca="false">SUM($D$8:$D$10)*I58</f>
        <v>17</v>
      </c>
      <c r="G58" s="343" t="n">
        <f aca="false">VLOOKUP(H58,Equipos!$Q$1:$R$25,2,0)</f>
        <v>15</v>
      </c>
      <c r="H58" s="351" t="n">
        <f aca="false">TRUNC(INDEX(WORLDCUP!$X$4:$X$147,MATCH(ADMIN!K58,WORLDCUP!$DT$4:$DT$147,0))+INDEX(Horarios!$R$3:$R$86,MATCH(Horarios!$C$3,Horarios!$P$3:$P$86,0))/24)</f>
        <v>46198</v>
      </c>
      <c r="I58" s="352" t="n">
        <v>1</v>
      </c>
      <c r="J58" s="353" t="s">
        <v>315</v>
      </c>
      <c r="K58" s="367" t="str">
        <f aca="false">CONCATENATE(WORLDCUP!AA24,"-",WORLDCUP!AF24)</f>
        <v>Escocia-Brasil</v>
      </c>
      <c r="L58" s="354"/>
      <c r="M58" s="359" t="str">
        <f aca="false">IF(OR(WORLDCUP!AC24="",WORLDCUP!AD24=""),"-",N58&amp;"|"&amp;O58&amp;"-"&amp;P58)</f>
        <v>-</v>
      </c>
      <c r="N58" s="332" t="str">
        <f aca="false">IF(OR(WORLDCUP!AC24="",WORLDCUP!AD24=""),"",IF(WORLDCUP!AC24&gt;WORLDCUP!AD24,"1",IF(WORLDCUP!AC24&lt;WORLDCUP!AD24,"2","X")))</f>
        <v/>
      </c>
      <c r="O58" s="332" t="n">
        <f aca="false">WORLDCUP!AC24</f>
        <v>0</v>
      </c>
      <c r="P58" s="332" t="n">
        <f aca="false">WORLDCUP!AD24</f>
        <v>0</v>
      </c>
      <c r="Q58" s="332" t="n">
        <f aca="false">ABS(O58-P58)</f>
        <v>0</v>
      </c>
      <c r="R58" s="327"/>
      <c r="S58" s="363" t="s">
        <v>274</v>
      </c>
      <c r="T58" s="356" t="n">
        <f aca="false">IFERROR(IF($M58=S58,($D$8+$D$9+$D$10)*$I58,IF($N58=LEFT(S58,1),($D$8+MAX(0,IF($D$50=1,$D$9*(1-(ABS($Q58-ABS(VALUE(MID(S58,FIND("|",S58)+1,FIND("-",S58)-FIND("|",S58)-1))-VALUE(MID(S58,FIND("-",S58)+1,10)))))*$D$50),$D$9*(1-(IF($N58="X",ABS($O58-VALUE(MID(S58,FIND("|",S58)+1,FIND("-",S58)-FIND("|",S58)-1))),ABS($Q58-ABS(VALUE(MID(S58,FIND("|",S58)+1,FIND("-",S58)-FIND("|",S58)-1))-VALUE(MID(S58,FIND("-",S58)+1,10)))))*$D$50)))))*$I58,0)),0)</f>
        <v>0</v>
      </c>
      <c r="U58" s="338"/>
      <c r="V58" s="363" t="s">
        <v>274</v>
      </c>
      <c r="W58" s="356" t="n">
        <f aca="false">IFERROR(IF($M58=V58,($D$8+$D$9+$D$10)*$I58,IF($N58=LEFT(V58,1),($D$8+MAX(0,IF($D$50=1,$D$9*(1-(ABS($Q58-ABS(VALUE(MID(V58,FIND("|",V58)+1,FIND("-",V58)-FIND("|",V58)-1))-VALUE(MID(V58,FIND("-",V58)+1,10)))))*$D$50),$D$9*(1-(IF($N58="X",ABS($O58-VALUE(MID(V58,FIND("|",V58)+1,FIND("-",V58)-FIND("|",V58)-1))),ABS($Q58-ABS(VALUE(MID(V58,FIND("|",V58)+1,FIND("-",V58)-FIND("|",V58)-1))-VALUE(MID(V58,FIND("-",V58)+1,10)))))*$D$50)))))*$I58,0)),0)</f>
        <v>0</v>
      </c>
      <c r="X58" s="338"/>
      <c r="Y58" s="363" t="s">
        <v>274</v>
      </c>
      <c r="Z58" s="356" t="n">
        <f aca="false">IFERROR(IF($M58=Y58,($D$8+$D$9+$D$10)*$I58,IF($N58=LEFT(Y58,1),($D$8+MAX(0,IF($D$50=1,$D$9*(1-(ABS($Q58-ABS(VALUE(MID(Y58,FIND("|",Y58)+1,FIND("-",Y58)-FIND("|",Y58)-1))-VALUE(MID(Y58,FIND("-",Y58)+1,10)))))*$D$50),$D$9*(1-(IF($N58="X",ABS($O58-VALUE(MID(Y58,FIND("|",Y58)+1,FIND("-",Y58)-FIND("|",Y58)-1))),ABS($Q58-ABS(VALUE(MID(Y58,FIND("|",Y58)+1,FIND("-",Y58)-FIND("|",Y58)-1))-VALUE(MID(Y58,FIND("-",Y58)+1,10)))))*$D$50)))))*$I58,0)),0)</f>
        <v>0</v>
      </c>
      <c r="AA58" s="338"/>
      <c r="AB58" s="363" t="s">
        <v>277</v>
      </c>
      <c r="AC58" s="356" t="n">
        <f aca="false">IFERROR(IF($M58=AB58,($D$8+$D$9+$D$10)*$I58,IF($N58=LEFT(AB58,1),($D$8+MAX(0,IF($D$50=1,$D$9*(1-(ABS($Q58-ABS(VALUE(MID(AB58,FIND("|",AB58)+1,FIND("-",AB58)-FIND("|",AB58)-1))-VALUE(MID(AB58,FIND("-",AB58)+1,10)))))*$D$50),$D$9*(1-(IF($N58="X",ABS($O58-VALUE(MID(AB58,FIND("|",AB58)+1,FIND("-",AB58)-FIND("|",AB58)-1))),ABS($Q58-ABS(VALUE(MID(AB58,FIND("|",AB58)+1,FIND("-",AB58)-FIND("|",AB58)-1))-VALUE(MID(AB58,FIND("-",AB58)+1,10)))))*$D$50)))))*$I58,0)),0)</f>
        <v>0</v>
      </c>
      <c r="AD58" s="338"/>
      <c r="AE58" s="363" t="s">
        <v>271</v>
      </c>
      <c r="AF58" s="356" t="n">
        <f aca="false">IFERROR(IF($M58=AE58,($D$8+$D$9+$D$10)*$I58,IF($N58=LEFT(AE58,1),($D$8+MAX(0,IF($D$50=1,$D$9*(1-(ABS($Q58-ABS(VALUE(MID(AE58,FIND("|",AE58)+1,FIND("-",AE58)-FIND("|",AE58)-1))-VALUE(MID(AE58,FIND("-",AE58)+1,10)))))*$D$50),$D$9*(1-(IF($N58="X",ABS($O58-VALUE(MID(AE58,FIND("|",AE58)+1,FIND("-",AE58)-FIND("|",AE58)-1))),ABS($Q58-ABS(VALUE(MID(AE58,FIND("|",AE58)+1,FIND("-",AE58)-FIND("|",AE58)-1))-VALUE(MID(AE58,FIND("-",AE58)+1,10)))))*$D$50)))))*$I58,0)),0)</f>
        <v>0</v>
      </c>
      <c r="AG58" s="338"/>
      <c r="AH58" s="363" t="s">
        <v>268</v>
      </c>
      <c r="AI58" s="356" t="n">
        <f aca="false">IFERROR(IF($M58=AH58,($D$8+$D$9+$D$10)*$I58,IF($N58=LEFT(AH58,1),($D$8+MAX(0,IF($D$50=1,$D$9*(1-(ABS($Q58-ABS(VALUE(MID(AH58,FIND("|",AH58)+1,FIND("-",AH58)-FIND("|",AH58)-1))-VALUE(MID(AH58,FIND("-",AH58)+1,10)))))*$D$50),$D$9*(1-(IF($N58="X",ABS($O58-VALUE(MID(AH58,FIND("|",AH58)+1,FIND("-",AH58)-FIND("|",AH58)-1))),ABS($Q58-ABS(VALUE(MID(AH58,FIND("|",AH58)+1,FIND("-",AH58)-FIND("|",AH58)-1))-VALUE(MID(AH58,FIND("-",AH58)+1,10)))))*$D$50)))))*$I58,0)),0)</f>
        <v>0</v>
      </c>
      <c r="AJ58" s="338"/>
      <c r="AK58" s="363" t="s">
        <v>274</v>
      </c>
      <c r="AL58" s="356" t="n">
        <f aca="false">IFERROR(IF($M58=AK58,($D$8+$D$9+$D$10)*$I58,IF($N58=LEFT(AK58,1),($D$8+MAX(0,IF($D$50=1,$D$9*(1-(ABS($Q58-ABS(VALUE(MID(AK58,FIND("|",AK58)+1,FIND("-",AK58)-FIND("|",AK58)-1))-VALUE(MID(AK58,FIND("-",AK58)+1,10)))))*$D$50),$D$9*(1-(IF($N58="X",ABS($O58-VALUE(MID(AK58,FIND("|",AK58)+1,FIND("-",AK58)-FIND("|",AK58)-1))),ABS($Q58-ABS(VALUE(MID(AK58,FIND("|",AK58)+1,FIND("-",AK58)-FIND("|",AK58)-1))-VALUE(MID(AK58,FIND("-",AK58)+1,10)))))*$D$50)))))*$I58,0)),0)</f>
        <v>0</v>
      </c>
      <c r="AM58" s="338"/>
      <c r="AN58" s="363" t="s">
        <v>277</v>
      </c>
      <c r="AO58" s="356" t="n">
        <f aca="false">IFERROR(IF($M58=AN58,($D$8+$D$9+$D$10)*$I58,IF($N58=LEFT(AN58,1),($D$8+MAX(0,IF($D$50=1,$D$9*(1-(ABS($Q58-ABS(VALUE(MID(AN58,FIND("|",AN58)+1,FIND("-",AN58)-FIND("|",AN58)-1))-VALUE(MID(AN58,FIND("-",AN58)+1,10)))))*$D$50),$D$9*(1-(IF($N58="X",ABS($O58-VALUE(MID(AN58,FIND("|",AN58)+1,FIND("-",AN58)-FIND("|",AN58)-1))),ABS($Q58-ABS(VALUE(MID(AN58,FIND("|",AN58)+1,FIND("-",AN58)-FIND("|",AN58)-1))-VALUE(MID(AN58,FIND("-",AN58)+1,10)))))*$D$50)))))*$I58,0)),0)</f>
        <v>0</v>
      </c>
      <c r="AP58" s="338"/>
      <c r="AQ58" s="363" t="s">
        <v>268</v>
      </c>
      <c r="AR58" s="356" t="n">
        <f aca="false">IFERROR(IF($M58=AQ58,($D$8+$D$9+$D$10)*$I58,IF($N58=LEFT(AQ58,1),($D$8+MAX(0,IF($D$50=1,$D$9*(1-(ABS($Q58-ABS(VALUE(MID(AQ58,FIND("|",AQ58)+1,FIND("-",AQ58)-FIND("|",AQ58)-1))-VALUE(MID(AQ58,FIND("-",AQ58)+1,10)))))*$D$50),$D$9*(1-(IF($N58="X",ABS($O58-VALUE(MID(AQ58,FIND("|",AQ58)+1,FIND("-",AQ58)-FIND("|",AQ58)-1))),ABS($Q58-ABS(VALUE(MID(AQ58,FIND("|",AQ58)+1,FIND("-",AQ58)-FIND("|",AQ58)-1))-VALUE(MID(AQ58,FIND("-",AQ58)+1,10)))))*$D$50)))))*$I58,0)),0)</f>
        <v>0</v>
      </c>
      <c r="AS58" s="338"/>
      <c r="AT58" s="363" t="s">
        <v>271</v>
      </c>
      <c r="AU58" s="356" t="n">
        <f aca="false">IFERROR(IF($M58=AT58,($D$8+$D$9+$D$10)*$I58,IF($N58=LEFT(AT58,1),($D$8+MAX(0,IF($D$50=1,$D$9*(1-(ABS($Q58-ABS(VALUE(MID(AT58,FIND("|",AT58)+1,FIND("-",AT58)-FIND("|",AT58)-1))-VALUE(MID(AT58,FIND("-",AT58)+1,10)))))*$D$50),$D$9*(1-(IF($N58="X",ABS($O58-VALUE(MID(AT58,FIND("|",AT58)+1,FIND("-",AT58)-FIND("|",AT58)-1))),ABS($Q58-ABS(VALUE(MID(AT58,FIND("|",AT58)+1,FIND("-",AT58)-FIND("|",AT58)-1))-VALUE(MID(AT58,FIND("-",AT58)+1,10)))))*$D$50)))))*$I58,0)),0)</f>
        <v>0</v>
      </c>
      <c r="AV58" s="338"/>
      <c r="AW58" s="363" t="s">
        <v>274</v>
      </c>
      <c r="AX58" s="356" t="n">
        <f aca="false">IFERROR(IF($M58=AW58,($D$8+$D$9+$D$10)*$I58,IF($N58=LEFT(AW58,1),($D$8+MAX(0,IF($D$50=1,$D$9*(1-(ABS($Q58-ABS(VALUE(MID(AW58,FIND("|",AW58)+1,FIND("-",AW58)-FIND("|",AW58)-1))-VALUE(MID(AW58,FIND("-",AW58)+1,10)))))*$D$50),$D$9*(1-(IF($N58="X",ABS($O58-VALUE(MID(AW58,FIND("|",AW58)+1,FIND("-",AW58)-FIND("|",AW58)-1))),ABS($Q58-ABS(VALUE(MID(AW58,FIND("|",AW58)+1,FIND("-",AW58)-FIND("|",AW58)-1))-VALUE(MID(AW58,FIND("-",AW58)+1,10)))))*$D$50)))))*$I58,0)),0)</f>
        <v>0</v>
      </c>
      <c r="AY58" s="338"/>
      <c r="AZ58" s="363" t="s">
        <v>267</v>
      </c>
      <c r="BA58" s="356" t="n">
        <f aca="false">IFERROR(IF($M58=AZ58,($D$8+$D$9+$D$10)*$I58,IF($N58=LEFT(AZ58,1),($D$8+MAX(0,IF($D$50=1,$D$9*(1-(ABS($Q58-ABS(VALUE(MID(AZ58,FIND("|",AZ58)+1,FIND("-",AZ58)-FIND("|",AZ58)-1))-VALUE(MID(AZ58,FIND("-",AZ58)+1,10)))))*$D$50),$D$9*(1-(IF($N58="X",ABS($O58-VALUE(MID(AZ58,FIND("|",AZ58)+1,FIND("-",AZ58)-FIND("|",AZ58)-1))),ABS($Q58-ABS(VALUE(MID(AZ58,FIND("|",AZ58)+1,FIND("-",AZ58)-FIND("|",AZ58)-1))-VALUE(MID(AZ58,FIND("-",AZ58)+1,10)))))*$D$50)))))*$I58,0)),0)</f>
        <v>0</v>
      </c>
      <c r="BB58" s="338"/>
      <c r="BC58" s="363" t="s">
        <v>273</v>
      </c>
      <c r="BD58" s="356" t="n">
        <f aca="false">IFERROR(IF($M58=BC58,($D$8+$D$9+$D$10)*$I58,IF($N58=LEFT(BC58,1),($D$8+MAX(0,IF($D$50=1,$D$9*(1-(ABS($Q58-ABS(VALUE(MID(BC58,FIND("|",BC58)+1,FIND("-",BC58)-FIND("|",BC58)-1))-VALUE(MID(BC58,FIND("-",BC58)+1,10)))))*$D$50),$D$9*(1-(IF($N58="X",ABS($O58-VALUE(MID(BC58,FIND("|",BC58)+1,FIND("-",BC58)-FIND("|",BC58)-1))),ABS($Q58-ABS(VALUE(MID(BC58,FIND("|",BC58)+1,FIND("-",BC58)-FIND("|",BC58)-1))-VALUE(MID(BC58,FIND("-",BC58)+1,10)))))*$D$50)))))*$I58,0)),0)</f>
        <v>0</v>
      </c>
      <c r="BE58" s="338"/>
      <c r="BF58" s="363" t="s">
        <v>271</v>
      </c>
      <c r="BG58" s="356" t="n">
        <f aca="false">IFERROR(IF($M58=BF58,($D$8+$D$9+$D$10)*$I58,IF($N58=LEFT(BF58,1),($D$8+MAX(0,IF($D$50=1,$D$9*(1-(ABS($Q58-ABS(VALUE(MID(BF58,FIND("|",BF58)+1,FIND("-",BF58)-FIND("|",BF58)-1))-VALUE(MID(BF58,FIND("-",BF58)+1,10)))))*$D$50),$D$9*(1-(IF($N58="X",ABS($O58-VALUE(MID(BF58,FIND("|",BF58)+1,FIND("-",BF58)-FIND("|",BF58)-1))),ABS($Q58-ABS(VALUE(MID(BF58,FIND("|",BF58)+1,FIND("-",BF58)-FIND("|",BF58)-1))-VALUE(MID(BF58,FIND("-",BF58)+1,10)))))*$D$50)))))*$I58,0)),0)</f>
        <v>0</v>
      </c>
      <c r="BH58" s="338"/>
      <c r="BI58" s="363" t="s">
        <v>268</v>
      </c>
      <c r="BJ58" s="356" t="n">
        <f aca="false">IFERROR(IF($M58=BI58,($D$8+$D$9+$D$10)*$I58,IF($N58=LEFT(BI58,1),($D$8+MAX(0,IF($D$50=1,$D$9*(1-(ABS($Q58-ABS(VALUE(MID(BI58,FIND("|",BI58)+1,FIND("-",BI58)-FIND("|",BI58)-1))-VALUE(MID(BI58,FIND("-",BI58)+1,10)))))*$D$50),$D$9*(1-(IF($N58="X",ABS($O58-VALUE(MID(BI58,FIND("|",BI58)+1,FIND("-",BI58)-FIND("|",BI58)-1))),ABS($Q58-ABS(VALUE(MID(BI58,FIND("|",BI58)+1,FIND("-",BI58)-FIND("|",BI58)-1))-VALUE(MID(BI58,FIND("-",BI58)+1,10)))))*$D$50)))))*$I58,0)),0)</f>
        <v>0</v>
      </c>
      <c r="BK58" s="338"/>
      <c r="BL58" s="363" t="s">
        <v>277</v>
      </c>
      <c r="BM58" s="356" t="n">
        <f aca="false">IFERROR(IF($M58=BL58,($D$8+$D$9+$D$10)*$I58,IF($N58=LEFT(BL58,1),($D$8+MAX(0,IF($D$50=1,$D$9*(1-(ABS($Q58-ABS(VALUE(MID(BL58,FIND("|",BL58)+1,FIND("-",BL58)-FIND("|",BL58)-1))-VALUE(MID(BL58,FIND("-",BL58)+1,10)))))*$D$50),$D$9*(1-(IF($N58="X",ABS($O58-VALUE(MID(BL58,FIND("|",BL58)+1,FIND("-",BL58)-FIND("|",BL58)-1))),ABS($Q58-ABS(VALUE(MID(BL58,FIND("|",BL58)+1,FIND("-",BL58)-FIND("|",BL58)-1))-VALUE(MID(BL58,FIND("-",BL58)+1,10)))))*$D$50)))))*$I58,0)),0)</f>
        <v>0</v>
      </c>
      <c r="BN58" s="338"/>
      <c r="BO58" s="363" t="s">
        <v>268</v>
      </c>
      <c r="BP58" s="356" t="n">
        <f aca="false">IFERROR(IF($M58=BO58,($D$8+$D$9+$D$10)*$I58,IF($N58=LEFT(BO58,1),($D$8+MAX(0,IF($D$50=1,$D$9*(1-(ABS($Q58-ABS(VALUE(MID(BO58,FIND("|",BO58)+1,FIND("-",BO58)-FIND("|",BO58)-1))-VALUE(MID(BO58,FIND("-",BO58)+1,10)))))*$D$50),$D$9*(1-(IF($N58="X",ABS($O58-VALUE(MID(BO58,FIND("|",BO58)+1,FIND("-",BO58)-FIND("|",BO58)-1))),ABS($Q58-ABS(VALUE(MID(BO58,FIND("|",BO58)+1,FIND("-",BO58)-FIND("|",BO58)-1))-VALUE(MID(BO58,FIND("-",BO58)+1,10)))))*$D$50)))))*$I58,0)),0)</f>
        <v>0</v>
      </c>
      <c r="BQ58" s="338"/>
      <c r="BR58" s="363" t="s">
        <v>274</v>
      </c>
      <c r="BS58" s="356" t="n">
        <f aca="false">IFERROR(IF($M58=BR58,($D$8+$D$9+$D$10)*$I58,IF($N58=LEFT(BR58,1),($D$8+MAX(0,IF($D$50=1,$D$9*(1-(ABS($Q58-ABS(VALUE(MID(BR58,FIND("|",BR58)+1,FIND("-",BR58)-FIND("|",BR58)-1))-VALUE(MID(BR58,FIND("-",BR58)+1,10)))))*$D$50),$D$9*(1-(IF($N58="X",ABS($O58-VALUE(MID(BR58,FIND("|",BR58)+1,FIND("-",BR58)-FIND("|",BR58)-1))),ABS($Q58-ABS(VALUE(MID(BR58,FIND("|",BR58)+1,FIND("-",BR58)-FIND("|",BR58)-1))-VALUE(MID(BR58,FIND("-",BR58)+1,10)))))*$D$50)))))*$I58,0)),0)</f>
        <v>0</v>
      </c>
      <c r="BT58" s="338"/>
      <c r="BU58" s="363"/>
      <c r="BV58" s="356" t="n">
        <f aca="false">IFERROR(IF($M58=BU58,($D$8+$D$9+$D$10)*$I58,IF($N58=LEFT(BU58,1),($D$8+MAX(0,IF($D$50=1,$D$9*(1-(ABS($Q58-ABS(VALUE(MID(BU58,FIND("|",BU58)+1,FIND("-",BU58)-FIND("|",BU58)-1))-VALUE(MID(BU58,FIND("-",BU58)+1,10)))))*$D$50),$D$9*(1-(IF($N58="X",ABS($O58-VALUE(MID(BU58,FIND("|",BU58)+1,FIND("-",BU58)-FIND("|",BU58)-1))),ABS($Q58-ABS(VALUE(MID(BU58,FIND("|",BU58)+1,FIND("-",BU58)-FIND("|",BU58)-1))-VALUE(MID(BU58,FIND("-",BU58)+1,10)))))*$D$50)))))*$I58,0)),0)</f>
        <v>0</v>
      </c>
      <c r="BW58" s="338"/>
      <c r="BX58" s="363"/>
      <c r="BY58" s="356" t="n">
        <f aca="false">IFERROR(IF($M58=BX58,($D$8+$D$9+$D$10)*$I58,IF($N58=LEFT(BX58,1),($D$8+MAX(0,IF($D$50=1,$D$9*(1-(ABS($Q58-ABS(VALUE(MID(BX58,FIND("|",BX58)+1,FIND("-",BX58)-FIND("|",BX58)-1))-VALUE(MID(BX58,FIND("-",BX58)+1,10)))))*$D$50),$D$9*(1-(IF($N58="X",ABS($O58-VALUE(MID(BX58,FIND("|",BX58)+1,FIND("-",BX58)-FIND("|",BX58)-1))),ABS($Q58-ABS(VALUE(MID(BX58,FIND("|",BX58)+1,FIND("-",BX58)-FIND("|",BX58)-1))-VALUE(MID(BX58,FIND("-",BX58)+1,10)))))*$D$50)))))*$I58,0)),0)</f>
        <v>0</v>
      </c>
      <c r="BZ58" s="338"/>
      <c r="CA58" s="363"/>
      <c r="CB58" s="356" t="n">
        <f aca="false">IFERROR(IF($M58=CA58,($D$8+$D$9+$D$10)*$I58,IF($N58=LEFT(CA58,1),($D$8+MAX(0,IF($D$50=1,$D$9*(1-(ABS($Q58-ABS(VALUE(MID(CA58,FIND("|",CA58)+1,FIND("-",CA58)-FIND("|",CA58)-1))-VALUE(MID(CA58,FIND("-",CA58)+1,10)))))*$D$50),$D$9*(1-(IF($N58="X",ABS($O58-VALUE(MID(CA58,FIND("|",CA58)+1,FIND("-",CA58)-FIND("|",CA58)-1))),ABS($Q58-ABS(VALUE(MID(CA58,FIND("|",CA58)+1,FIND("-",CA58)-FIND("|",CA58)-1))-VALUE(MID(CA58,FIND("-",CA58)+1,10)))))*$D$50)))))*$I58,0)),0)</f>
        <v>0</v>
      </c>
      <c r="CC58" s="338"/>
      <c r="CD58" s="363"/>
      <c r="CE58" s="356" t="n">
        <f aca="false">IFERROR(IF($M58=CD58,($D$8+$D$9+$D$10)*$I58,IF($N58=LEFT(CD58,1),($D$8+MAX(0,IF($D$50=1,$D$9*(1-(ABS($Q58-ABS(VALUE(MID(CD58,FIND("|",CD58)+1,FIND("-",CD58)-FIND("|",CD58)-1))-VALUE(MID(CD58,FIND("-",CD58)+1,10)))))*$D$50),$D$9*(1-(IF($N58="X",ABS($O58-VALUE(MID(CD58,FIND("|",CD58)+1,FIND("-",CD58)-FIND("|",CD58)-1))),ABS($Q58-ABS(VALUE(MID(CD58,FIND("|",CD58)+1,FIND("-",CD58)-FIND("|",CD58)-1))-VALUE(MID(CD58,FIND("-",CD58)+1,10)))))*$D$50)))))*$I58,0)),0)</f>
        <v>0</v>
      </c>
      <c r="CF58" s="338"/>
      <c r="CG58" s="363"/>
      <c r="CH58" s="356" t="n">
        <f aca="false">IFERROR(IF($M58=CG58,($D$8+$D$9+$D$10)*$I58,IF($N58=LEFT(CG58,1),($D$8+MAX(0,IF($D$50=1,$D$9*(1-(ABS($Q58-ABS(VALUE(MID(CG58,FIND("|",CG58)+1,FIND("-",CG58)-FIND("|",CG58)-1))-VALUE(MID(CG58,FIND("-",CG58)+1,10)))))*$D$50),$D$9*(1-(IF($N58="X",ABS($O58-VALUE(MID(CG58,FIND("|",CG58)+1,FIND("-",CG58)-FIND("|",CG58)-1))),ABS($Q58-ABS(VALUE(MID(CG58,FIND("|",CG58)+1,FIND("-",CG58)-FIND("|",CG58)-1))-VALUE(MID(CG58,FIND("-",CG58)+1,10)))))*$D$50)))))*$I58,0)),0)</f>
        <v>0</v>
      </c>
      <c r="CI58" s="338"/>
      <c r="CJ58" s="363"/>
      <c r="CK58" s="356" t="n">
        <f aca="false">IFERROR(IF($M58=CJ58,($D$8+$D$9+$D$10)*$I58,IF($N58=LEFT(CJ58,1),($D$8+MAX(0,IF($D$50=1,$D$9*(1-(ABS($Q58-ABS(VALUE(MID(CJ58,FIND("|",CJ58)+1,FIND("-",CJ58)-FIND("|",CJ58)-1))-VALUE(MID(CJ58,FIND("-",CJ58)+1,10)))))*$D$50),$D$9*(1-(IF($N58="X",ABS($O58-VALUE(MID(CJ58,FIND("|",CJ58)+1,FIND("-",CJ58)-FIND("|",CJ58)-1))),ABS($Q58-ABS(VALUE(MID(CJ58,FIND("|",CJ58)+1,FIND("-",CJ58)-FIND("|",CJ58)-1))-VALUE(MID(CJ58,FIND("-",CJ58)+1,10)))))*$D$50)))))*$I58,0)),0)</f>
        <v>0</v>
      </c>
      <c r="CL58" s="338"/>
      <c r="CM58" s="363"/>
      <c r="CN58" s="356" t="n">
        <f aca="false">IFERROR(IF($M58=CM58,($D$8+$D$9+$D$10)*$I58,IF($N58=LEFT(CM58,1),($D$8+MAX(0,IF($D$50=1,$D$9*(1-(ABS($Q58-ABS(VALUE(MID(CM58,FIND("|",CM58)+1,FIND("-",CM58)-FIND("|",CM58)-1))-VALUE(MID(CM58,FIND("-",CM58)+1,10)))))*$D$50),$D$9*(1-(IF($N58="X",ABS($O58-VALUE(MID(CM58,FIND("|",CM58)+1,FIND("-",CM58)-FIND("|",CM58)-1))),ABS($Q58-ABS(VALUE(MID(CM58,FIND("|",CM58)+1,FIND("-",CM58)-FIND("|",CM58)-1))-VALUE(MID(CM58,FIND("-",CM58)+1,10)))))*$D$50)))))*$I58,0)),0)</f>
        <v>0</v>
      </c>
      <c r="CO58" s="338"/>
      <c r="CP58" s="363"/>
      <c r="CQ58" s="356" t="n">
        <f aca="false">IFERROR(IF($M58=CP58,($D$8+$D$9+$D$10)*$I58,IF($N58=LEFT(CP58,1),($D$8+MAX(0,IF($D$50=1,$D$9*(1-(ABS($Q58-ABS(VALUE(MID(CP58,FIND("|",CP58)+1,FIND("-",CP58)-FIND("|",CP58)-1))-VALUE(MID(CP58,FIND("-",CP58)+1,10)))))*$D$50),$D$9*(1-(IF($N58="X",ABS($O58-VALUE(MID(CP58,FIND("|",CP58)+1,FIND("-",CP58)-FIND("|",CP58)-1))),ABS($Q58-ABS(VALUE(MID(CP58,FIND("|",CP58)+1,FIND("-",CP58)-FIND("|",CP58)-1))-VALUE(MID(CP58,FIND("-",CP58)+1,10)))))*$D$50)))))*$I58,0)),0)</f>
        <v>0</v>
      </c>
      <c r="CR58" s="338"/>
      <c r="CS58" s="363"/>
      <c r="CT58" s="356" t="n">
        <f aca="false">IFERROR(IF($M58=CS58,($D$8+$D$9+$D$10)*$I58,IF($N58=LEFT(CS58,1),($D$8+MAX(0,IF($D$50=1,$D$9*(1-(ABS($Q58-ABS(VALUE(MID(CS58,FIND("|",CS58)+1,FIND("-",CS58)-FIND("|",CS58)-1))-VALUE(MID(CS58,FIND("-",CS58)+1,10)))))*$D$50),$D$9*(1-(IF($N58="X",ABS($O58-VALUE(MID(CS58,FIND("|",CS58)+1,FIND("-",CS58)-FIND("|",CS58)-1))),ABS($Q58-ABS(VALUE(MID(CS58,FIND("|",CS58)+1,FIND("-",CS58)-FIND("|",CS58)-1))-VALUE(MID(CS58,FIND("-",CS58)+1,10)))))*$D$50)))))*$I58,0)),0)</f>
        <v>0</v>
      </c>
      <c r="CU58" s="338"/>
      <c r="CV58" s="363"/>
      <c r="CW58" s="356" t="n">
        <f aca="false">IFERROR(IF($M58=CV58,($D$8+$D$9+$D$10)*$I58,IF($N58=LEFT(CV58,1),($D$8+MAX(0,IF($D$50=1,$D$9*(1-(ABS($Q58-ABS(VALUE(MID(CV58,FIND("|",CV58)+1,FIND("-",CV58)-FIND("|",CV58)-1))-VALUE(MID(CV58,FIND("-",CV58)+1,10)))))*$D$50),$D$9*(1-(IF($N58="X",ABS($O58-VALUE(MID(CV58,FIND("|",CV58)+1,FIND("-",CV58)-FIND("|",CV58)-1))),ABS($Q58-ABS(VALUE(MID(CV58,FIND("|",CV58)+1,FIND("-",CV58)-FIND("|",CV58)-1))-VALUE(MID(CV58,FIND("-",CV58)+1,10)))))*$D$50)))))*$I58,0)),0)</f>
        <v>0</v>
      </c>
      <c r="CX58" s="338"/>
      <c r="CY58" s="363"/>
      <c r="CZ58" s="356" t="n">
        <f aca="false">IFERROR(IF($M58=CY58,($D$8+$D$9+$D$10)*$I58,IF($N58=LEFT(CY58,1),($D$8+MAX(0,IF($D$50=1,$D$9*(1-(ABS($Q58-ABS(VALUE(MID(CY58,FIND("|",CY58)+1,FIND("-",CY58)-FIND("|",CY58)-1))-VALUE(MID(CY58,FIND("-",CY58)+1,10)))))*$D$50),$D$9*(1-(IF($N58="X",ABS($O58-VALUE(MID(CY58,FIND("|",CY58)+1,FIND("-",CY58)-FIND("|",CY58)-1))),ABS($Q58-ABS(VALUE(MID(CY58,FIND("|",CY58)+1,FIND("-",CY58)-FIND("|",CY58)-1))-VALUE(MID(CY58,FIND("-",CY58)+1,10)))))*$D$50)))))*$I58,0)),0)</f>
        <v>0</v>
      </c>
      <c r="DA58" s="338"/>
      <c r="DB58" s="363"/>
      <c r="DC58" s="356" t="n">
        <f aca="false">IFERROR(IF($M58=DB58,($D$8+$D$9+$D$10)*$I58,IF($N58=LEFT(DB58,1),($D$8+MAX(0,IF($D$50=1,$D$9*(1-(ABS($Q58-ABS(VALUE(MID(DB58,FIND("|",DB58)+1,FIND("-",DB58)-FIND("|",DB58)-1))-VALUE(MID(DB58,FIND("-",DB58)+1,10)))))*$D$50),$D$9*(1-(IF($N58="X",ABS($O58-VALUE(MID(DB58,FIND("|",DB58)+1,FIND("-",DB58)-FIND("|",DB58)-1))),ABS($Q58-ABS(VALUE(MID(DB58,FIND("|",DB58)+1,FIND("-",DB58)-FIND("|",DB58)-1))-VALUE(MID(DB58,FIND("-",DB58)+1,10)))))*$D$50)))))*$I58,0)),0)</f>
        <v>0</v>
      </c>
      <c r="DD58" s="338"/>
      <c r="DE58" s="363"/>
      <c r="DF58" s="356" t="n">
        <f aca="false">IFERROR(IF($M58=DE58,($D$8+$D$9+$D$10)*$I58,IF($N58=LEFT(DE58,1),($D$8+MAX(0,IF($D$50=1,$D$9*(1-(ABS($Q58-ABS(VALUE(MID(DE58,FIND("|",DE58)+1,FIND("-",DE58)-FIND("|",DE58)-1))-VALUE(MID(DE58,FIND("-",DE58)+1,10)))))*$D$50),$D$9*(1-(IF($N58="X",ABS($O58-VALUE(MID(DE58,FIND("|",DE58)+1,FIND("-",DE58)-FIND("|",DE58)-1))),ABS($Q58-ABS(VALUE(MID(DE58,FIND("|",DE58)+1,FIND("-",DE58)-FIND("|",DE58)-1))-VALUE(MID(DE58,FIND("-",DE58)+1,10)))))*$D$50)))))*$I58,0)),0)</f>
        <v>0</v>
      </c>
      <c r="DG58" s="338"/>
      <c r="DH58" s="363"/>
      <c r="DI58" s="356" t="n">
        <f aca="false">IFERROR(IF($M58=DH58,($D$8+$D$9+$D$10)*$I58,IF($N58=LEFT(DH58,1),($D$8+MAX(0,IF($D$50=1,$D$9*(1-(ABS($Q58-ABS(VALUE(MID(DH58,FIND("|",DH58)+1,FIND("-",DH58)-FIND("|",DH58)-1))-VALUE(MID(DH58,FIND("-",DH58)+1,10)))))*$D$50),$D$9*(1-(IF($N58="X",ABS($O58-VALUE(MID(DH58,FIND("|",DH58)+1,FIND("-",DH58)-FIND("|",DH58)-1))),ABS($Q58-ABS(VALUE(MID(DH58,FIND("|",DH58)+1,FIND("-",DH58)-FIND("|",DH58)-1))-VALUE(MID(DH58,FIND("-",DH58)+1,10)))))*$D$50)))))*$I58,0)),0)</f>
        <v>0</v>
      </c>
      <c r="DJ58" s="338"/>
      <c r="DK58" s="363"/>
      <c r="DL58" s="356" t="n">
        <f aca="false">IFERROR(IF($M58=DK58,($D$8+$D$9+$D$10)*$I58,IF($N58=LEFT(DK58,1),($D$8+MAX(0,IF($D$50=1,$D$9*(1-(ABS($Q58-ABS(VALUE(MID(DK58,FIND("|",DK58)+1,FIND("-",DK58)-FIND("|",DK58)-1))-VALUE(MID(DK58,FIND("-",DK58)+1,10)))))*$D$50),$D$9*(1-(IF($N58="X",ABS($O58-VALUE(MID(DK58,FIND("|",DK58)+1,FIND("-",DK58)-FIND("|",DK58)-1))),ABS($Q58-ABS(VALUE(MID(DK58,FIND("|",DK58)+1,FIND("-",DK58)-FIND("|",DK58)-1))-VALUE(MID(DK58,FIND("-",DK58)+1,10)))))*$D$50)))))*$I58,0)),0)</f>
        <v>0</v>
      </c>
      <c r="DM58" s="338"/>
      <c r="DN58" s="363"/>
      <c r="DO58" s="356" t="n">
        <f aca="false">IFERROR(IF($M58=DN58,($D$8+$D$9+$D$10)*$I58,IF($N58=LEFT(DN58,1),($D$8+MAX(0,IF($D$50=1,$D$9*(1-(ABS($Q58-ABS(VALUE(MID(DN58,FIND("|",DN58)+1,FIND("-",DN58)-FIND("|",DN58)-1))-VALUE(MID(DN58,FIND("-",DN58)+1,10)))))*$D$50),$D$9*(1-(IF($N58="X",ABS($O58-VALUE(MID(DN58,FIND("|",DN58)+1,FIND("-",DN58)-FIND("|",DN58)-1))),ABS($Q58-ABS(VALUE(MID(DN58,FIND("|",DN58)+1,FIND("-",DN58)-FIND("|",DN58)-1))-VALUE(MID(DN58,FIND("-",DN58)+1,10)))))*$D$50)))))*$I58,0)),0)</f>
        <v>0</v>
      </c>
      <c r="DP58" s="338"/>
      <c r="DQ58" s="363"/>
      <c r="DR58" s="356" t="n">
        <f aca="false">IFERROR(IF($M58=DQ58,($D$8+$D$9+$D$10)*$I58,IF($N58=LEFT(DQ58,1),($D$8+MAX(0,IF($D$50=1,$D$9*(1-(ABS($Q58-ABS(VALUE(MID(DQ58,FIND("|",DQ58)+1,FIND("-",DQ58)-FIND("|",DQ58)-1))-VALUE(MID(DQ58,FIND("-",DQ58)+1,10)))))*$D$50),$D$9*(1-(IF($N58="X",ABS($O58-VALUE(MID(DQ58,FIND("|",DQ58)+1,FIND("-",DQ58)-FIND("|",DQ58)-1))),ABS($Q58-ABS(VALUE(MID(DQ58,FIND("|",DQ58)+1,FIND("-",DQ58)-FIND("|",DQ58)-1))-VALUE(MID(DQ58,FIND("-",DQ58)+1,10)))))*$D$50)))))*$I58,0)),0)</f>
        <v>0</v>
      </c>
      <c r="DS58" s="338"/>
      <c r="DT58" s="363"/>
      <c r="DU58" s="356" t="n">
        <f aca="false">IFERROR(IF($M58=DT58,($D$8+$D$9+$D$10)*$I58,IF($N58=LEFT(DT58,1),($D$8+MAX(0,IF($D$50=1,$D$9*(1-(ABS($Q58-ABS(VALUE(MID(DT58,FIND("|",DT58)+1,FIND("-",DT58)-FIND("|",DT58)-1))-VALUE(MID(DT58,FIND("-",DT58)+1,10)))))*$D$50),$D$9*(1-(IF($N58="X",ABS($O58-VALUE(MID(DT58,FIND("|",DT58)+1,FIND("-",DT58)-FIND("|",DT58)-1))),ABS($Q58-ABS(VALUE(MID(DT58,FIND("|",DT58)+1,FIND("-",DT58)-FIND("|",DT58)-1))-VALUE(MID(DT58,FIND("-",DT58)+1,10)))))*$D$50)))))*$I58,0)),0)</f>
        <v>0</v>
      </c>
      <c r="DV58" s="338"/>
      <c r="DW58" s="363"/>
      <c r="DX58" s="356" t="n">
        <f aca="false">IFERROR(IF($M58=DW58,($D$8+$D$9+$D$10)*$I58,IF($N58=LEFT(DW58,1),($D$8+MAX(0,IF($D$50=1,$D$9*(1-(ABS($Q58-ABS(VALUE(MID(DW58,FIND("|",DW58)+1,FIND("-",DW58)-FIND("|",DW58)-1))-VALUE(MID(DW58,FIND("-",DW58)+1,10)))))*$D$50),$D$9*(1-(IF($N58="X",ABS($O58-VALUE(MID(DW58,FIND("|",DW58)+1,FIND("-",DW58)-FIND("|",DW58)-1))),ABS($Q58-ABS(VALUE(MID(DW58,FIND("|",DW58)+1,FIND("-",DW58)-FIND("|",DW58)-1))-VALUE(MID(DW58,FIND("-",DW58)+1,10)))))*$D$50)))))*$I58,0)),0)</f>
        <v>0</v>
      </c>
      <c r="DY58" s="338"/>
      <c r="DZ58" s="363"/>
      <c r="EA58" s="356" t="n">
        <f aca="false">IFERROR(IF($M58=DZ58,($D$8+$D$9+$D$10)*$I58,IF($N58=LEFT(DZ58,1),($D$8+MAX(0,IF($D$50=1,$D$9*(1-(ABS($Q58-ABS(VALUE(MID(DZ58,FIND("|",DZ58)+1,FIND("-",DZ58)-FIND("|",DZ58)-1))-VALUE(MID(DZ58,FIND("-",DZ58)+1,10)))))*$D$50),$D$9*(1-(IF($N58="X",ABS($O58-VALUE(MID(DZ58,FIND("|",DZ58)+1,FIND("-",DZ58)-FIND("|",DZ58)-1))),ABS($Q58-ABS(VALUE(MID(DZ58,FIND("|",DZ58)+1,FIND("-",DZ58)-FIND("|",DZ58)-1))-VALUE(MID(DZ58,FIND("-",DZ58)+1,10)))))*$D$50)))))*$I58,0)),0)</f>
        <v>0</v>
      </c>
      <c r="EB58" s="338"/>
      <c r="EC58" s="363"/>
      <c r="ED58" s="356" t="n">
        <f aca="false">IFERROR(IF($M58=EC58,($D$8+$D$9+$D$10)*$I58,IF($N58=LEFT(EC58,1),($D$8+MAX(0,IF($D$50=1,$D$9*(1-(ABS($Q58-ABS(VALUE(MID(EC58,FIND("|",EC58)+1,FIND("-",EC58)-FIND("|",EC58)-1))-VALUE(MID(EC58,FIND("-",EC58)+1,10)))))*$D$50),$D$9*(1-(IF($N58="X",ABS($O58-VALUE(MID(EC58,FIND("|",EC58)+1,FIND("-",EC58)-FIND("|",EC58)-1))),ABS($Q58-ABS(VALUE(MID(EC58,FIND("|",EC58)+1,FIND("-",EC58)-FIND("|",EC58)-1))-VALUE(MID(EC58,FIND("-",EC58)+1,10)))))*$D$50)))))*$I58,0)),0)</f>
        <v>0</v>
      </c>
      <c r="EE58" s="338"/>
      <c r="EF58" s="363"/>
      <c r="EG58" s="356" t="n">
        <f aca="false">IFERROR(IF($M58=EF58,($D$8+$D$9+$D$10)*$I58,IF($N58=LEFT(EF58,1),($D$8+MAX(0,IF($D$50=1,$D$9*(1-(ABS($Q58-ABS(VALUE(MID(EF58,FIND("|",EF58)+1,FIND("-",EF58)-FIND("|",EF58)-1))-VALUE(MID(EF58,FIND("-",EF58)+1,10)))))*$D$50),$D$9*(1-(IF($N58="X",ABS($O58-VALUE(MID(EF58,FIND("|",EF58)+1,FIND("-",EF58)-FIND("|",EF58)-1))),ABS($Q58-ABS(VALUE(MID(EF58,FIND("|",EF58)+1,FIND("-",EF58)-FIND("|",EF58)-1))-VALUE(MID(EF58,FIND("-",EF58)+1,10)))))*$D$50)))))*$I58,0)),0)</f>
        <v>0</v>
      </c>
      <c r="EH58" s="338"/>
      <c r="EI58" s="338"/>
    </row>
    <row r="59" customFormat="false" ht="15" hidden="false" customHeight="false" outlineLevel="0" collapsed="false">
      <c r="A59" s="327"/>
      <c r="B59" s="327"/>
      <c r="C59" s="386" t="str">
        <f aca="false">"MAX. "&amp;UPPER(Idiomas!D262)</f>
        <v>MAX. CUARTOS DE FINAL</v>
      </c>
      <c r="D59" s="387" t="n">
        <f aca="false">SUM($D$24:$D$26)*SUM($I$220:$I$223)+$D$27*4</f>
        <v>92</v>
      </c>
      <c r="E59" s="334"/>
      <c r="F59" s="343" t="n">
        <f aca="false">SUM($D$8:$D$10)*I59</f>
        <v>17</v>
      </c>
      <c r="G59" s="343" t="n">
        <f aca="false">VLOOKUP(H59,Equipos!$Q$1:$R$25,2,0)</f>
        <v>15</v>
      </c>
      <c r="H59" s="351" t="n">
        <f aca="false">TRUNC(INDEX(WORLDCUP!$X$4:$X$147,MATCH(ADMIN!K59,WORLDCUP!$DT$4:$DT$147,0))+INDEX(Horarios!$R$3:$R$86,MATCH(Horarios!$C$3,Horarios!$P$3:$P$86,0))/24)</f>
        <v>46198</v>
      </c>
      <c r="I59" s="352" t="n">
        <v>1</v>
      </c>
      <c r="J59" s="353" t="s">
        <v>315</v>
      </c>
      <c r="K59" s="354" t="str">
        <f aca="false">CONCATENATE(WORLDCUP!AA25,"-",WORLDCUP!AF25)</f>
        <v>Marruecos-Haití</v>
      </c>
      <c r="L59" s="354"/>
      <c r="M59" s="359" t="str">
        <f aca="false">IF(OR(WORLDCUP!AC25="",WORLDCUP!AD25=""),"-",N59&amp;"|"&amp;O59&amp;"-"&amp;P59)</f>
        <v>-</v>
      </c>
      <c r="N59" s="332" t="str">
        <f aca="false">IF(OR(WORLDCUP!AC25="",WORLDCUP!AD25=""),"",IF(WORLDCUP!AC25&gt;WORLDCUP!AD25,"1",IF(WORLDCUP!AC25&lt;WORLDCUP!AD25,"2","X")))</f>
        <v/>
      </c>
      <c r="O59" s="332" t="n">
        <f aca="false">WORLDCUP!AC25</f>
        <v>0</v>
      </c>
      <c r="P59" s="332" t="n">
        <f aca="false">WORLDCUP!AD25</f>
        <v>0</v>
      </c>
      <c r="Q59" s="332" t="n">
        <f aca="false">ABS(O59-P59)</f>
        <v>0</v>
      </c>
      <c r="R59" s="327"/>
      <c r="S59" s="363" t="s">
        <v>272</v>
      </c>
      <c r="T59" s="356" t="n">
        <f aca="false">IFERROR(IF($M59=S59,($D$8+$D$9+$D$10)*$I59,IF($N59=LEFT(S59,1),($D$8+MAX(0,IF($D$50=1,$D$9*(1-(ABS($Q59-ABS(VALUE(MID(S59,FIND("|",S59)+1,FIND("-",S59)-FIND("|",S59)-1))-VALUE(MID(S59,FIND("-",S59)+1,10)))))*$D$50),$D$9*(1-(IF($N59="X",ABS($O59-VALUE(MID(S59,FIND("|",S59)+1,FIND("-",S59)-FIND("|",S59)-1))),ABS($Q59-ABS(VALUE(MID(S59,FIND("|",S59)+1,FIND("-",S59)-FIND("|",S59)-1))-VALUE(MID(S59,FIND("-",S59)+1,10)))))*$D$50)))))*$I59,0)),0)</f>
        <v>0</v>
      </c>
      <c r="U59" s="338"/>
      <c r="V59" s="363" t="s">
        <v>266</v>
      </c>
      <c r="W59" s="356" t="n">
        <f aca="false">IFERROR(IF($M59=V59,($D$8+$D$9+$D$10)*$I59,IF($N59=LEFT(V59,1),($D$8+MAX(0,IF($D$50=1,$D$9*(1-(ABS($Q59-ABS(VALUE(MID(V59,FIND("|",V59)+1,FIND("-",V59)-FIND("|",V59)-1))-VALUE(MID(V59,FIND("-",V59)+1,10)))))*$D$50),$D$9*(1-(IF($N59="X",ABS($O59-VALUE(MID(V59,FIND("|",V59)+1,FIND("-",V59)-FIND("|",V59)-1))),ABS($Q59-ABS(VALUE(MID(V59,FIND("|",V59)+1,FIND("-",V59)-FIND("|",V59)-1))-VALUE(MID(V59,FIND("-",V59)+1,10)))))*$D$50)))))*$I59,0)),0)</f>
        <v>0</v>
      </c>
      <c r="X59" s="338"/>
      <c r="Y59" s="363" t="s">
        <v>272</v>
      </c>
      <c r="Z59" s="356" t="n">
        <f aca="false">IFERROR(IF($M59=Y59,($D$8+$D$9+$D$10)*$I59,IF($N59=LEFT(Y59,1),($D$8+MAX(0,IF($D$50=1,$D$9*(1-(ABS($Q59-ABS(VALUE(MID(Y59,FIND("|",Y59)+1,FIND("-",Y59)-FIND("|",Y59)-1))-VALUE(MID(Y59,FIND("-",Y59)+1,10)))))*$D$50),$D$9*(1-(IF($N59="X",ABS($O59-VALUE(MID(Y59,FIND("|",Y59)+1,FIND("-",Y59)-FIND("|",Y59)-1))),ABS($Q59-ABS(VALUE(MID(Y59,FIND("|",Y59)+1,FIND("-",Y59)-FIND("|",Y59)-1))-VALUE(MID(Y59,FIND("-",Y59)+1,10)))))*$D$50)))))*$I59,0)),0)</f>
        <v>0</v>
      </c>
      <c r="AA59" s="338"/>
      <c r="AB59" s="363" t="s">
        <v>266</v>
      </c>
      <c r="AC59" s="356" t="n">
        <f aca="false">IFERROR(IF($M59=AB59,($D$8+$D$9+$D$10)*$I59,IF($N59=LEFT(AB59,1),($D$8+MAX(0,IF($D$50=1,$D$9*(1-(ABS($Q59-ABS(VALUE(MID(AB59,FIND("|",AB59)+1,FIND("-",AB59)-FIND("|",AB59)-1))-VALUE(MID(AB59,FIND("-",AB59)+1,10)))))*$D$50),$D$9*(1-(IF($N59="X",ABS($O59-VALUE(MID(AB59,FIND("|",AB59)+1,FIND("-",AB59)-FIND("|",AB59)-1))),ABS($Q59-ABS(VALUE(MID(AB59,FIND("|",AB59)+1,FIND("-",AB59)-FIND("|",AB59)-1))-VALUE(MID(AB59,FIND("-",AB59)+1,10)))))*$D$50)))))*$I59,0)),0)</f>
        <v>0</v>
      </c>
      <c r="AD59" s="338"/>
      <c r="AE59" s="363" t="s">
        <v>283</v>
      </c>
      <c r="AF59" s="356" t="n">
        <f aca="false">IFERROR(IF($M59=AE59,($D$8+$D$9+$D$10)*$I59,IF($N59=LEFT(AE59,1),($D$8+MAX(0,IF($D$50=1,$D$9*(1-(ABS($Q59-ABS(VALUE(MID(AE59,FIND("|",AE59)+1,FIND("-",AE59)-FIND("|",AE59)-1))-VALUE(MID(AE59,FIND("-",AE59)+1,10)))))*$D$50),$D$9*(1-(IF($N59="X",ABS($O59-VALUE(MID(AE59,FIND("|",AE59)+1,FIND("-",AE59)-FIND("|",AE59)-1))),ABS($Q59-ABS(VALUE(MID(AE59,FIND("|",AE59)+1,FIND("-",AE59)-FIND("|",AE59)-1))-VALUE(MID(AE59,FIND("-",AE59)+1,10)))))*$D$50)))))*$I59,0)),0)</f>
        <v>0</v>
      </c>
      <c r="AG59" s="338"/>
      <c r="AH59" s="363" t="s">
        <v>272</v>
      </c>
      <c r="AI59" s="356" t="n">
        <f aca="false">IFERROR(IF($M59=AH59,($D$8+$D$9+$D$10)*$I59,IF($N59=LEFT(AH59,1),($D$8+MAX(0,IF($D$50=1,$D$9*(1-(ABS($Q59-ABS(VALUE(MID(AH59,FIND("|",AH59)+1,FIND("-",AH59)-FIND("|",AH59)-1))-VALUE(MID(AH59,FIND("-",AH59)+1,10)))))*$D$50),$D$9*(1-(IF($N59="X",ABS($O59-VALUE(MID(AH59,FIND("|",AH59)+1,FIND("-",AH59)-FIND("|",AH59)-1))),ABS($Q59-ABS(VALUE(MID(AH59,FIND("|",AH59)+1,FIND("-",AH59)-FIND("|",AH59)-1))-VALUE(MID(AH59,FIND("-",AH59)+1,10)))))*$D$50)))))*$I59,0)),0)</f>
        <v>0</v>
      </c>
      <c r="AJ59" s="338"/>
      <c r="AK59" s="363" t="s">
        <v>272</v>
      </c>
      <c r="AL59" s="356" t="n">
        <f aca="false">IFERROR(IF($M59=AK59,($D$8+$D$9+$D$10)*$I59,IF($N59=LEFT(AK59,1),($D$8+MAX(0,IF($D$50=1,$D$9*(1-(ABS($Q59-ABS(VALUE(MID(AK59,FIND("|",AK59)+1,FIND("-",AK59)-FIND("|",AK59)-1))-VALUE(MID(AK59,FIND("-",AK59)+1,10)))))*$D$50),$D$9*(1-(IF($N59="X",ABS($O59-VALUE(MID(AK59,FIND("|",AK59)+1,FIND("-",AK59)-FIND("|",AK59)-1))),ABS($Q59-ABS(VALUE(MID(AK59,FIND("|",AK59)+1,FIND("-",AK59)-FIND("|",AK59)-1))-VALUE(MID(AK59,FIND("-",AK59)+1,10)))))*$D$50)))))*$I59,0)),0)</f>
        <v>0</v>
      </c>
      <c r="AM59" s="338"/>
      <c r="AN59" s="363" t="s">
        <v>272</v>
      </c>
      <c r="AO59" s="356" t="n">
        <f aca="false">IFERROR(IF($M59=AN59,($D$8+$D$9+$D$10)*$I59,IF($N59=LEFT(AN59,1),($D$8+MAX(0,IF($D$50=1,$D$9*(1-(ABS($Q59-ABS(VALUE(MID(AN59,FIND("|",AN59)+1,FIND("-",AN59)-FIND("|",AN59)-1))-VALUE(MID(AN59,FIND("-",AN59)+1,10)))))*$D$50),$D$9*(1-(IF($N59="X",ABS($O59-VALUE(MID(AN59,FIND("|",AN59)+1,FIND("-",AN59)-FIND("|",AN59)-1))),ABS($Q59-ABS(VALUE(MID(AN59,FIND("|",AN59)+1,FIND("-",AN59)-FIND("|",AN59)-1))-VALUE(MID(AN59,FIND("-",AN59)+1,10)))))*$D$50)))))*$I59,0)),0)</f>
        <v>0</v>
      </c>
      <c r="AP59" s="338"/>
      <c r="AQ59" s="363" t="s">
        <v>283</v>
      </c>
      <c r="AR59" s="356" t="n">
        <f aca="false">IFERROR(IF($M59=AQ59,($D$8+$D$9+$D$10)*$I59,IF($N59=LEFT(AQ59,1),($D$8+MAX(0,IF($D$50=1,$D$9*(1-(ABS($Q59-ABS(VALUE(MID(AQ59,FIND("|",AQ59)+1,FIND("-",AQ59)-FIND("|",AQ59)-1))-VALUE(MID(AQ59,FIND("-",AQ59)+1,10)))))*$D$50),$D$9*(1-(IF($N59="X",ABS($O59-VALUE(MID(AQ59,FIND("|",AQ59)+1,FIND("-",AQ59)-FIND("|",AQ59)-1))),ABS($Q59-ABS(VALUE(MID(AQ59,FIND("|",AQ59)+1,FIND("-",AQ59)-FIND("|",AQ59)-1))-VALUE(MID(AQ59,FIND("-",AQ59)+1,10)))))*$D$50)))))*$I59,0)),0)</f>
        <v>0</v>
      </c>
      <c r="AS59" s="338"/>
      <c r="AT59" s="363" t="s">
        <v>283</v>
      </c>
      <c r="AU59" s="356" t="n">
        <f aca="false">IFERROR(IF($M59=AT59,($D$8+$D$9+$D$10)*$I59,IF($N59=LEFT(AT59,1),($D$8+MAX(0,IF($D$50=1,$D$9*(1-(ABS($Q59-ABS(VALUE(MID(AT59,FIND("|",AT59)+1,FIND("-",AT59)-FIND("|",AT59)-1))-VALUE(MID(AT59,FIND("-",AT59)+1,10)))))*$D$50),$D$9*(1-(IF($N59="X",ABS($O59-VALUE(MID(AT59,FIND("|",AT59)+1,FIND("-",AT59)-FIND("|",AT59)-1))),ABS($Q59-ABS(VALUE(MID(AT59,FIND("|",AT59)+1,FIND("-",AT59)-FIND("|",AT59)-1))-VALUE(MID(AT59,FIND("-",AT59)+1,10)))))*$D$50)))))*$I59,0)),0)</f>
        <v>0</v>
      </c>
      <c r="AV59" s="338"/>
      <c r="AW59" s="363" t="s">
        <v>272</v>
      </c>
      <c r="AX59" s="356" t="n">
        <f aca="false">IFERROR(IF($M59=AW59,($D$8+$D$9+$D$10)*$I59,IF($N59=LEFT(AW59,1),($D$8+MAX(0,IF($D$50=1,$D$9*(1-(ABS($Q59-ABS(VALUE(MID(AW59,FIND("|",AW59)+1,FIND("-",AW59)-FIND("|",AW59)-1))-VALUE(MID(AW59,FIND("-",AW59)+1,10)))))*$D$50),$D$9*(1-(IF($N59="X",ABS($O59-VALUE(MID(AW59,FIND("|",AW59)+1,FIND("-",AW59)-FIND("|",AW59)-1))),ABS($Q59-ABS(VALUE(MID(AW59,FIND("|",AW59)+1,FIND("-",AW59)-FIND("|",AW59)-1))-VALUE(MID(AW59,FIND("-",AW59)+1,10)))))*$D$50)))))*$I59,0)),0)</f>
        <v>0</v>
      </c>
      <c r="AY59" s="338"/>
      <c r="AZ59" s="363" t="s">
        <v>266</v>
      </c>
      <c r="BA59" s="356" t="n">
        <f aca="false">IFERROR(IF($M59=AZ59,($D$8+$D$9+$D$10)*$I59,IF($N59=LEFT(AZ59,1),($D$8+MAX(0,IF($D$50=1,$D$9*(1-(ABS($Q59-ABS(VALUE(MID(AZ59,FIND("|",AZ59)+1,FIND("-",AZ59)-FIND("|",AZ59)-1))-VALUE(MID(AZ59,FIND("-",AZ59)+1,10)))))*$D$50),$D$9*(1-(IF($N59="X",ABS($O59-VALUE(MID(AZ59,FIND("|",AZ59)+1,FIND("-",AZ59)-FIND("|",AZ59)-1))),ABS($Q59-ABS(VALUE(MID(AZ59,FIND("|",AZ59)+1,FIND("-",AZ59)-FIND("|",AZ59)-1))-VALUE(MID(AZ59,FIND("-",AZ59)+1,10)))))*$D$50)))))*$I59,0)),0)</f>
        <v>0</v>
      </c>
      <c r="BB59" s="338"/>
      <c r="BC59" s="363" t="s">
        <v>284</v>
      </c>
      <c r="BD59" s="356" t="n">
        <f aca="false">IFERROR(IF($M59=BC59,($D$8+$D$9+$D$10)*$I59,IF($N59=LEFT(BC59,1),($D$8+MAX(0,IF($D$50=1,$D$9*(1-(ABS($Q59-ABS(VALUE(MID(BC59,FIND("|",BC59)+1,FIND("-",BC59)-FIND("|",BC59)-1))-VALUE(MID(BC59,FIND("-",BC59)+1,10)))))*$D$50),$D$9*(1-(IF($N59="X",ABS($O59-VALUE(MID(BC59,FIND("|",BC59)+1,FIND("-",BC59)-FIND("|",BC59)-1))),ABS($Q59-ABS(VALUE(MID(BC59,FIND("|",BC59)+1,FIND("-",BC59)-FIND("|",BC59)-1))-VALUE(MID(BC59,FIND("-",BC59)+1,10)))))*$D$50)))))*$I59,0)),0)</f>
        <v>0</v>
      </c>
      <c r="BE59" s="338"/>
      <c r="BF59" s="363" t="s">
        <v>265</v>
      </c>
      <c r="BG59" s="356" t="n">
        <f aca="false">IFERROR(IF($M59=BF59,($D$8+$D$9+$D$10)*$I59,IF($N59=LEFT(BF59,1),($D$8+MAX(0,IF($D$50=1,$D$9*(1-(ABS($Q59-ABS(VALUE(MID(BF59,FIND("|",BF59)+1,FIND("-",BF59)-FIND("|",BF59)-1))-VALUE(MID(BF59,FIND("-",BF59)+1,10)))))*$D$50),$D$9*(1-(IF($N59="X",ABS($O59-VALUE(MID(BF59,FIND("|",BF59)+1,FIND("-",BF59)-FIND("|",BF59)-1))),ABS($Q59-ABS(VALUE(MID(BF59,FIND("|",BF59)+1,FIND("-",BF59)-FIND("|",BF59)-1))-VALUE(MID(BF59,FIND("-",BF59)+1,10)))))*$D$50)))))*$I59,0)),0)</f>
        <v>0</v>
      </c>
      <c r="BH59" s="338"/>
      <c r="BI59" s="363" t="s">
        <v>265</v>
      </c>
      <c r="BJ59" s="356" t="n">
        <f aca="false">IFERROR(IF($M59=BI59,($D$8+$D$9+$D$10)*$I59,IF($N59=LEFT(BI59,1),($D$8+MAX(0,IF($D$50=1,$D$9*(1-(ABS($Q59-ABS(VALUE(MID(BI59,FIND("|",BI59)+1,FIND("-",BI59)-FIND("|",BI59)-1))-VALUE(MID(BI59,FIND("-",BI59)+1,10)))))*$D$50),$D$9*(1-(IF($N59="X",ABS($O59-VALUE(MID(BI59,FIND("|",BI59)+1,FIND("-",BI59)-FIND("|",BI59)-1))),ABS($Q59-ABS(VALUE(MID(BI59,FIND("|",BI59)+1,FIND("-",BI59)-FIND("|",BI59)-1))-VALUE(MID(BI59,FIND("-",BI59)+1,10)))))*$D$50)))))*$I59,0)),0)</f>
        <v>0</v>
      </c>
      <c r="BK59" s="338"/>
      <c r="BL59" s="363" t="s">
        <v>288</v>
      </c>
      <c r="BM59" s="356" t="n">
        <f aca="false">IFERROR(IF($M59=BL59,($D$8+$D$9+$D$10)*$I59,IF($N59=LEFT(BL59,1),($D$8+MAX(0,IF($D$50=1,$D$9*(1-(ABS($Q59-ABS(VALUE(MID(BL59,FIND("|",BL59)+1,FIND("-",BL59)-FIND("|",BL59)-1))-VALUE(MID(BL59,FIND("-",BL59)+1,10)))))*$D$50),$D$9*(1-(IF($N59="X",ABS($O59-VALUE(MID(BL59,FIND("|",BL59)+1,FIND("-",BL59)-FIND("|",BL59)-1))),ABS($Q59-ABS(VALUE(MID(BL59,FIND("|",BL59)+1,FIND("-",BL59)-FIND("|",BL59)-1))-VALUE(MID(BL59,FIND("-",BL59)+1,10)))))*$D$50)))))*$I59,0)),0)</f>
        <v>0</v>
      </c>
      <c r="BN59" s="338"/>
      <c r="BO59" s="363" t="s">
        <v>316</v>
      </c>
      <c r="BP59" s="356" t="n">
        <f aca="false">IFERROR(IF($M59=BO59,($D$8+$D$9+$D$10)*$I59,IF($N59=LEFT(BO59,1),($D$8+MAX(0,IF($D$50=1,$D$9*(1-(ABS($Q59-ABS(VALUE(MID(BO59,FIND("|",BO59)+1,FIND("-",BO59)-FIND("|",BO59)-1))-VALUE(MID(BO59,FIND("-",BO59)+1,10)))))*$D$50),$D$9*(1-(IF($N59="X",ABS($O59-VALUE(MID(BO59,FIND("|",BO59)+1,FIND("-",BO59)-FIND("|",BO59)-1))),ABS($Q59-ABS(VALUE(MID(BO59,FIND("|",BO59)+1,FIND("-",BO59)-FIND("|",BO59)-1))-VALUE(MID(BO59,FIND("-",BO59)+1,10)))))*$D$50)))))*$I59,0)),0)</f>
        <v>0</v>
      </c>
      <c r="BQ59" s="338"/>
      <c r="BR59" s="363" t="s">
        <v>266</v>
      </c>
      <c r="BS59" s="356" t="n">
        <f aca="false">IFERROR(IF($M59=BR59,($D$8+$D$9+$D$10)*$I59,IF($N59=LEFT(BR59,1),($D$8+MAX(0,IF($D$50=1,$D$9*(1-(ABS($Q59-ABS(VALUE(MID(BR59,FIND("|",BR59)+1,FIND("-",BR59)-FIND("|",BR59)-1))-VALUE(MID(BR59,FIND("-",BR59)+1,10)))))*$D$50),$D$9*(1-(IF($N59="X",ABS($O59-VALUE(MID(BR59,FIND("|",BR59)+1,FIND("-",BR59)-FIND("|",BR59)-1))),ABS($Q59-ABS(VALUE(MID(BR59,FIND("|",BR59)+1,FIND("-",BR59)-FIND("|",BR59)-1))-VALUE(MID(BR59,FIND("-",BR59)+1,10)))))*$D$50)))))*$I59,0)),0)</f>
        <v>0</v>
      </c>
      <c r="BT59" s="338"/>
      <c r="BU59" s="363"/>
      <c r="BV59" s="356" t="n">
        <f aca="false">IFERROR(IF($M59=BU59,($D$8+$D$9+$D$10)*$I59,IF($N59=LEFT(BU59,1),($D$8+MAX(0,IF($D$50=1,$D$9*(1-(ABS($Q59-ABS(VALUE(MID(BU59,FIND("|",BU59)+1,FIND("-",BU59)-FIND("|",BU59)-1))-VALUE(MID(BU59,FIND("-",BU59)+1,10)))))*$D$50),$D$9*(1-(IF($N59="X",ABS($O59-VALUE(MID(BU59,FIND("|",BU59)+1,FIND("-",BU59)-FIND("|",BU59)-1))),ABS($Q59-ABS(VALUE(MID(BU59,FIND("|",BU59)+1,FIND("-",BU59)-FIND("|",BU59)-1))-VALUE(MID(BU59,FIND("-",BU59)+1,10)))))*$D$50)))))*$I59,0)),0)</f>
        <v>0</v>
      </c>
      <c r="BW59" s="338"/>
      <c r="BX59" s="363"/>
      <c r="BY59" s="356" t="n">
        <f aca="false">IFERROR(IF($M59=BX59,($D$8+$D$9+$D$10)*$I59,IF($N59=LEFT(BX59,1),($D$8+MAX(0,IF($D$50=1,$D$9*(1-(ABS($Q59-ABS(VALUE(MID(BX59,FIND("|",BX59)+1,FIND("-",BX59)-FIND("|",BX59)-1))-VALUE(MID(BX59,FIND("-",BX59)+1,10)))))*$D$50),$D$9*(1-(IF($N59="X",ABS($O59-VALUE(MID(BX59,FIND("|",BX59)+1,FIND("-",BX59)-FIND("|",BX59)-1))),ABS($Q59-ABS(VALUE(MID(BX59,FIND("|",BX59)+1,FIND("-",BX59)-FIND("|",BX59)-1))-VALUE(MID(BX59,FIND("-",BX59)+1,10)))))*$D$50)))))*$I59,0)),0)</f>
        <v>0</v>
      </c>
      <c r="BZ59" s="338"/>
      <c r="CA59" s="363"/>
      <c r="CB59" s="356" t="n">
        <f aca="false">IFERROR(IF($M59=CA59,($D$8+$D$9+$D$10)*$I59,IF($N59=LEFT(CA59,1),($D$8+MAX(0,IF($D$50=1,$D$9*(1-(ABS($Q59-ABS(VALUE(MID(CA59,FIND("|",CA59)+1,FIND("-",CA59)-FIND("|",CA59)-1))-VALUE(MID(CA59,FIND("-",CA59)+1,10)))))*$D$50),$D$9*(1-(IF($N59="X",ABS($O59-VALUE(MID(CA59,FIND("|",CA59)+1,FIND("-",CA59)-FIND("|",CA59)-1))),ABS($Q59-ABS(VALUE(MID(CA59,FIND("|",CA59)+1,FIND("-",CA59)-FIND("|",CA59)-1))-VALUE(MID(CA59,FIND("-",CA59)+1,10)))))*$D$50)))))*$I59,0)),0)</f>
        <v>0</v>
      </c>
      <c r="CC59" s="338"/>
      <c r="CD59" s="363"/>
      <c r="CE59" s="356" t="n">
        <f aca="false">IFERROR(IF($M59=CD59,($D$8+$D$9+$D$10)*$I59,IF($N59=LEFT(CD59,1),($D$8+MAX(0,IF($D$50=1,$D$9*(1-(ABS($Q59-ABS(VALUE(MID(CD59,FIND("|",CD59)+1,FIND("-",CD59)-FIND("|",CD59)-1))-VALUE(MID(CD59,FIND("-",CD59)+1,10)))))*$D$50),$D$9*(1-(IF($N59="X",ABS($O59-VALUE(MID(CD59,FIND("|",CD59)+1,FIND("-",CD59)-FIND("|",CD59)-1))),ABS($Q59-ABS(VALUE(MID(CD59,FIND("|",CD59)+1,FIND("-",CD59)-FIND("|",CD59)-1))-VALUE(MID(CD59,FIND("-",CD59)+1,10)))))*$D$50)))))*$I59,0)),0)</f>
        <v>0</v>
      </c>
      <c r="CF59" s="338"/>
      <c r="CG59" s="363"/>
      <c r="CH59" s="356" t="n">
        <f aca="false">IFERROR(IF($M59=CG59,($D$8+$D$9+$D$10)*$I59,IF($N59=LEFT(CG59,1),($D$8+MAX(0,IF($D$50=1,$D$9*(1-(ABS($Q59-ABS(VALUE(MID(CG59,FIND("|",CG59)+1,FIND("-",CG59)-FIND("|",CG59)-1))-VALUE(MID(CG59,FIND("-",CG59)+1,10)))))*$D$50),$D$9*(1-(IF($N59="X",ABS($O59-VALUE(MID(CG59,FIND("|",CG59)+1,FIND("-",CG59)-FIND("|",CG59)-1))),ABS($Q59-ABS(VALUE(MID(CG59,FIND("|",CG59)+1,FIND("-",CG59)-FIND("|",CG59)-1))-VALUE(MID(CG59,FIND("-",CG59)+1,10)))))*$D$50)))))*$I59,0)),0)</f>
        <v>0</v>
      </c>
      <c r="CI59" s="338"/>
      <c r="CJ59" s="363"/>
      <c r="CK59" s="356" t="n">
        <f aca="false">IFERROR(IF($M59=CJ59,($D$8+$D$9+$D$10)*$I59,IF($N59=LEFT(CJ59,1),($D$8+MAX(0,IF($D$50=1,$D$9*(1-(ABS($Q59-ABS(VALUE(MID(CJ59,FIND("|",CJ59)+1,FIND("-",CJ59)-FIND("|",CJ59)-1))-VALUE(MID(CJ59,FIND("-",CJ59)+1,10)))))*$D$50),$D$9*(1-(IF($N59="X",ABS($O59-VALUE(MID(CJ59,FIND("|",CJ59)+1,FIND("-",CJ59)-FIND("|",CJ59)-1))),ABS($Q59-ABS(VALUE(MID(CJ59,FIND("|",CJ59)+1,FIND("-",CJ59)-FIND("|",CJ59)-1))-VALUE(MID(CJ59,FIND("-",CJ59)+1,10)))))*$D$50)))))*$I59,0)),0)</f>
        <v>0</v>
      </c>
      <c r="CL59" s="338"/>
      <c r="CM59" s="363"/>
      <c r="CN59" s="356" t="n">
        <f aca="false">IFERROR(IF($M59=CM59,($D$8+$D$9+$D$10)*$I59,IF($N59=LEFT(CM59,1),($D$8+MAX(0,IF($D$50=1,$D$9*(1-(ABS($Q59-ABS(VALUE(MID(CM59,FIND("|",CM59)+1,FIND("-",CM59)-FIND("|",CM59)-1))-VALUE(MID(CM59,FIND("-",CM59)+1,10)))))*$D$50),$D$9*(1-(IF($N59="X",ABS($O59-VALUE(MID(CM59,FIND("|",CM59)+1,FIND("-",CM59)-FIND("|",CM59)-1))),ABS($Q59-ABS(VALUE(MID(CM59,FIND("|",CM59)+1,FIND("-",CM59)-FIND("|",CM59)-1))-VALUE(MID(CM59,FIND("-",CM59)+1,10)))))*$D$50)))))*$I59,0)),0)</f>
        <v>0</v>
      </c>
      <c r="CO59" s="338"/>
      <c r="CP59" s="363"/>
      <c r="CQ59" s="356" t="n">
        <f aca="false">IFERROR(IF($M59=CP59,($D$8+$D$9+$D$10)*$I59,IF($N59=LEFT(CP59,1),($D$8+MAX(0,IF($D$50=1,$D$9*(1-(ABS($Q59-ABS(VALUE(MID(CP59,FIND("|",CP59)+1,FIND("-",CP59)-FIND("|",CP59)-1))-VALUE(MID(CP59,FIND("-",CP59)+1,10)))))*$D$50),$D$9*(1-(IF($N59="X",ABS($O59-VALUE(MID(CP59,FIND("|",CP59)+1,FIND("-",CP59)-FIND("|",CP59)-1))),ABS($Q59-ABS(VALUE(MID(CP59,FIND("|",CP59)+1,FIND("-",CP59)-FIND("|",CP59)-1))-VALUE(MID(CP59,FIND("-",CP59)+1,10)))))*$D$50)))))*$I59,0)),0)</f>
        <v>0</v>
      </c>
      <c r="CR59" s="338"/>
      <c r="CS59" s="363"/>
      <c r="CT59" s="356" t="n">
        <f aca="false">IFERROR(IF($M59=CS59,($D$8+$D$9+$D$10)*$I59,IF($N59=LEFT(CS59,1),($D$8+MAX(0,IF($D$50=1,$D$9*(1-(ABS($Q59-ABS(VALUE(MID(CS59,FIND("|",CS59)+1,FIND("-",CS59)-FIND("|",CS59)-1))-VALUE(MID(CS59,FIND("-",CS59)+1,10)))))*$D$50),$D$9*(1-(IF($N59="X",ABS($O59-VALUE(MID(CS59,FIND("|",CS59)+1,FIND("-",CS59)-FIND("|",CS59)-1))),ABS($Q59-ABS(VALUE(MID(CS59,FIND("|",CS59)+1,FIND("-",CS59)-FIND("|",CS59)-1))-VALUE(MID(CS59,FIND("-",CS59)+1,10)))))*$D$50)))))*$I59,0)),0)</f>
        <v>0</v>
      </c>
      <c r="CU59" s="338"/>
      <c r="CV59" s="363"/>
      <c r="CW59" s="356" t="n">
        <f aca="false">IFERROR(IF($M59=CV59,($D$8+$D$9+$D$10)*$I59,IF($N59=LEFT(CV59,1),($D$8+MAX(0,IF($D$50=1,$D$9*(1-(ABS($Q59-ABS(VALUE(MID(CV59,FIND("|",CV59)+1,FIND("-",CV59)-FIND("|",CV59)-1))-VALUE(MID(CV59,FIND("-",CV59)+1,10)))))*$D$50),$D$9*(1-(IF($N59="X",ABS($O59-VALUE(MID(CV59,FIND("|",CV59)+1,FIND("-",CV59)-FIND("|",CV59)-1))),ABS($Q59-ABS(VALUE(MID(CV59,FIND("|",CV59)+1,FIND("-",CV59)-FIND("|",CV59)-1))-VALUE(MID(CV59,FIND("-",CV59)+1,10)))))*$D$50)))))*$I59,0)),0)</f>
        <v>0</v>
      </c>
      <c r="CX59" s="338"/>
      <c r="CY59" s="363"/>
      <c r="CZ59" s="356" t="n">
        <f aca="false">IFERROR(IF($M59=CY59,($D$8+$D$9+$D$10)*$I59,IF($N59=LEFT(CY59,1),($D$8+MAX(0,IF($D$50=1,$D$9*(1-(ABS($Q59-ABS(VALUE(MID(CY59,FIND("|",CY59)+1,FIND("-",CY59)-FIND("|",CY59)-1))-VALUE(MID(CY59,FIND("-",CY59)+1,10)))))*$D$50),$D$9*(1-(IF($N59="X",ABS($O59-VALUE(MID(CY59,FIND("|",CY59)+1,FIND("-",CY59)-FIND("|",CY59)-1))),ABS($Q59-ABS(VALUE(MID(CY59,FIND("|",CY59)+1,FIND("-",CY59)-FIND("|",CY59)-1))-VALUE(MID(CY59,FIND("-",CY59)+1,10)))))*$D$50)))))*$I59,0)),0)</f>
        <v>0</v>
      </c>
      <c r="DA59" s="338"/>
      <c r="DB59" s="363"/>
      <c r="DC59" s="356" t="n">
        <f aca="false">IFERROR(IF($M59=DB59,($D$8+$D$9+$D$10)*$I59,IF($N59=LEFT(DB59,1),($D$8+MAX(0,IF($D$50=1,$D$9*(1-(ABS($Q59-ABS(VALUE(MID(DB59,FIND("|",DB59)+1,FIND("-",DB59)-FIND("|",DB59)-1))-VALUE(MID(DB59,FIND("-",DB59)+1,10)))))*$D$50),$D$9*(1-(IF($N59="X",ABS($O59-VALUE(MID(DB59,FIND("|",DB59)+1,FIND("-",DB59)-FIND("|",DB59)-1))),ABS($Q59-ABS(VALUE(MID(DB59,FIND("|",DB59)+1,FIND("-",DB59)-FIND("|",DB59)-1))-VALUE(MID(DB59,FIND("-",DB59)+1,10)))))*$D$50)))))*$I59,0)),0)</f>
        <v>0</v>
      </c>
      <c r="DD59" s="338"/>
      <c r="DE59" s="363"/>
      <c r="DF59" s="356" t="n">
        <f aca="false">IFERROR(IF($M59=DE59,($D$8+$D$9+$D$10)*$I59,IF($N59=LEFT(DE59,1),($D$8+MAX(0,IF($D$50=1,$D$9*(1-(ABS($Q59-ABS(VALUE(MID(DE59,FIND("|",DE59)+1,FIND("-",DE59)-FIND("|",DE59)-1))-VALUE(MID(DE59,FIND("-",DE59)+1,10)))))*$D$50),$D$9*(1-(IF($N59="X",ABS($O59-VALUE(MID(DE59,FIND("|",DE59)+1,FIND("-",DE59)-FIND("|",DE59)-1))),ABS($Q59-ABS(VALUE(MID(DE59,FIND("|",DE59)+1,FIND("-",DE59)-FIND("|",DE59)-1))-VALUE(MID(DE59,FIND("-",DE59)+1,10)))))*$D$50)))))*$I59,0)),0)</f>
        <v>0</v>
      </c>
      <c r="DG59" s="338"/>
      <c r="DH59" s="363"/>
      <c r="DI59" s="356" t="n">
        <f aca="false">IFERROR(IF($M59=DH59,($D$8+$D$9+$D$10)*$I59,IF($N59=LEFT(DH59,1),($D$8+MAX(0,IF($D$50=1,$D$9*(1-(ABS($Q59-ABS(VALUE(MID(DH59,FIND("|",DH59)+1,FIND("-",DH59)-FIND("|",DH59)-1))-VALUE(MID(DH59,FIND("-",DH59)+1,10)))))*$D$50),$D$9*(1-(IF($N59="X",ABS($O59-VALUE(MID(DH59,FIND("|",DH59)+1,FIND("-",DH59)-FIND("|",DH59)-1))),ABS($Q59-ABS(VALUE(MID(DH59,FIND("|",DH59)+1,FIND("-",DH59)-FIND("|",DH59)-1))-VALUE(MID(DH59,FIND("-",DH59)+1,10)))))*$D$50)))))*$I59,0)),0)</f>
        <v>0</v>
      </c>
      <c r="DJ59" s="338"/>
      <c r="DK59" s="363"/>
      <c r="DL59" s="356" t="n">
        <f aca="false">IFERROR(IF($M59=DK59,($D$8+$D$9+$D$10)*$I59,IF($N59=LEFT(DK59,1),($D$8+MAX(0,IF($D$50=1,$D$9*(1-(ABS($Q59-ABS(VALUE(MID(DK59,FIND("|",DK59)+1,FIND("-",DK59)-FIND("|",DK59)-1))-VALUE(MID(DK59,FIND("-",DK59)+1,10)))))*$D$50),$D$9*(1-(IF($N59="X",ABS($O59-VALUE(MID(DK59,FIND("|",DK59)+1,FIND("-",DK59)-FIND("|",DK59)-1))),ABS($Q59-ABS(VALUE(MID(DK59,FIND("|",DK59)+1,FIND("-",DK59)-FIND("|",DK59)-1))-VALUE(MID(DK59,FIND("-",DK59)+1,10)))))*$D$50)))))*$I59,0)),0)</f>
        <v>0</v>
      </c>
      <c r="DM59" s="338"/>
      <c r="DN59" s="363"/>
      <c r="DO59" s="356" t="n">
        <f aca="false">IFERROR(IF($M59=DN59,($D$8+$D$9+$D$10)*$I59,IF($N59=LEFT(DN59,1),($D$8+MAX(0,IF($D$50=1,$D$9*(1-(ABS($Q59-ABS(VALUE(MID(DN59,FIND("|",DN59)+1,FIND("-",DN59)-FIND("|",DN59)-1))-VALUE(MID(DN59,FIND("-",DN59)+1,10)))))*$D$50),$D$9*(1-(IF($N59="X",ABS($O59-VALUE(MID(DN59,FIND("|",DN59)+1,FIND("-",DN59)-FIND("|",DN59)-1))),ABS($Q59-ABS(VALUE(MID(DN59,FIND("|",DN59)+1,FIND("-",DN59)-FIND("|",DN59)-1))-VALUE(MID(DN59,FIND("-",DN59)+1,10)))))*$D$50)))))*$I59,0)),0)</f>
        <v>0</v>
      </c>
      <c r="DP59" s="338"/>
      <c r="DQ59" s="363"/>
      <c r="DR59" s="356" t="n">
        <f aca="false">IFERROR(IF($M59=DQ59,($D$8+$D$9+$D$10)*$I59,IF($N59=LEFT(DQ59,1),($D$8+MAX(0,IF($D$50=1,$D$9*(1-(ABS($Q59-ABS(VALUE(MID(DQ59,FIND("|",DQ59)+1,FIND("-",DQ59)-FIND("|",DQ59)-1))-VALUE(MID(DQ59,FIND("-",DQ59)+1,10)))))*$D$50),$D$9*(1-(IF($N59="X",ABS($O59-VALUE(MID(DQ59,FIND("|",DQ59)+1,FIND("-",DQ59)-FIND("|",DQ59)-1))),ABS($Q59-ABS(VALUE(MID(DQ59,FIND("|",DQ59)+1,FIND("-",DQ59)-FIND("|",DQ59)-1))-VALUE(MID(DQ59,FIND("-",DQ59)+1,10)))))*$D$50)))))*$I59,0)),0)</f>
        <v>0</v>
      </c>
      <c r="DS59" s="338"/>
      <c r="DT59" s="363"/>
      <c r="DU59" s="356" t="n">
        <f aca="false">IFERROR(IF($M59=DT59,($D$8+$D$9+$D$10)*$I59,IF($N59=LEFT(DT59,1),($D$8+MAX(0,IF($D$50=1,$D$9*(1-(ABS($Q59-ABS(VALUE(MID(DT59,FIND("|",DT59)+1,FIND("-",DT59)-FIND("|",DT59)-1))-VALUE(MID(DT59,FIND("-",DT59)+1,10)))))*$D$50),$D$9*(1-(IF($N59="X",ABS($O59-VALUE(MID(DT59,FIND("|",DT59)+1,FIND("-",DT59)-FIND("|",DT59)-1))),ABS($Q59-ABS(VALUE(MID(DT59,FIND("|",DT59)+1,FIND("-",DT59)-FIND("|",DT59)-1))-VALUE(MID(DT59,FIND("-",DT59)+1,10)))))*$D$50)))))*$I59,0)),0)</f>
        <v>0</v>
      </c>
      <c r="DV59" s="338"/>
      <c r="DW59" s="363"/>
      <c r="DX59" s="356" t="n">
        <f aca="false">IFERROR(IF($M59=DW59,($D$8+$D$9+$D$10)*$I59,IF($N59=LEFT(DW59,1),($D$8+MAX(0,IF($D$50=1,$D$9*(1-(ABS($Q59-ABS(VALUE(MID(DW59,FIND("|",DW59)+1,FIND("-",DW59)-FIND("|",DW59)-1))-VALUE(MID(DW59,FIND("-",DW59)+1,10)))))*$D$50),$D$9*(1-(IF($N59="X",ABS($O59-VALUE(MID(DW59,FIND("|",DW59)+1,FIND("-",DW59)-FIND("|",DW59)-1))),ABS($Q59-ABS(VALUE(MID(DW59,FIND("|",DW59)+1,FIND("-",DW59)-FIND("|",DW59)-1))-VALUE(MID(DW59,FIND("-",DW59)+1,10)))))*$D$50)))))*$I59,0)),0)</f>
        <v>0</v>
      </c>
      <c r="DY59" s="338"/>
      <c r="DZ59" s="363"/>
      <c r="EA59" s="356" t="n">
        <f aca="false">IFERROR(IF($M59=DZ59,($D$8+$D$9+$D$10)*$I59,IF($N59=LEFT(DZ59,1),($D$8+MAX(0,IF($D$50=1,$D$9*(1-(ABS($Q59-ABS(VALUE(MID(DZ59,FIND("|",DZ59)+1,FIND("-",DZ59)-FIND("|",DZ59)-1))-VALUE(MID(DZ59,FIND("-",DZ59)+1,10)))))*$D$50),$D$9*(1-(IF($N59="X",ABS($O59-VALUE(MID(DZ59,FIND("|",DZ59)+1,FIND("-",DZ59)-FIND("|",DZ59)-1))),ABS($Q59-ABS(VALUE(MID(DZ59,FIND("|",DZ59)+1,FIND("-",DZ59)-FIND("|",DZ59)-1))-VALUE(MID(DZ59,FIND("-",DZ59)+1,10)))))*$D$50)))))*$I59,0)),0)</f>
        <v>0</v>
      </c>
      <c r="EB59" s="338"/>
      <c r="EC59" s="363"/>
      <c r="ED59" s="356" t="n">
        <f aca="false">IFERROR(IF($M59=EC59,($D$8+$D$9+$D$10)*$I59,IF($N59=LEFT(EC59,1),($D$8+MAX(0,IF($D$50=1,$D$9*(1-(ABS($Q59-ABS(VALUE(MID(EC59,FIND("|",EC59)+1,FIND("-",EC59)-FIND("|",EC59)-1))-VALUE(MID(EC59,FIND("-",EC59)+1,10)))))*$D$50),$D$9*(1-(IF($N59="X",ABS($O59-VALUE(MID(EC59,FIND("|",EC59)+1,FIND("-",EC59)-FIND("|",EC59)-1))),ABS($Q59-ABS(VALUE(MID(EC59,FIND("|",EC59)+1,FIND("-",EC59)-FIND("|",EC59)-1))-VALUE(MID(EC59,FIND("-",EC59)+1,10)))))*$D$50)))))*$I59,0)),0)</f>
        <v>0</v>
      </c>
      <c r="EE59" s="338"/>
      <c r="EF59" s="363"/>
      <c r="EG59" s="356" t="n">
        <f aca="false">IFERROR(IF($M59=EF59,($D$8+$D$9+$D$10)*$I59,IF($N59=LEFT(EF59,1),($D$8+MAX(0,IF($D$50=1,$D$9*(1-(ABS($Q59-ABS(VALUE(MID(EF59,FIND("|",EF59)+1,FIND("-",EF59)-FIND("|",EF59)-1))-VALUE(MID(EF59,FIND("-",EF59)+1,10)))))*$D$50),$D$9*(1-(IF($N59="X",ABS($O59-VALUE(MID(EF59,FIND("|",EF59)+1,FIND("-",EF59)-FIND("|",EF59)-1))),ABS($Q59-ABS(VALUE(MID(EF59,FIND("|",EF59)+1,FIND("-",EF59)-FIND("|",EF59)-1))-VALUE(MID(EF59,FIND("-",EF59)+1,10)))))*$D$50)))))*$I59,0)),0)</f>
        <v>0</v>
      </c>
      <c r="EH59" s="338"/>
      <c r="EI59" s="338"/>
    </row>
    <row r="60" customFormat="false" ht="15" hidden="false" customHeight="false" outlineLevel="0" collapsed="false">
      <c r="A60" s="327"/>
      <c r="B60" s="327"/>
      <c r="C60" s="388" t="str">
        <f aca="false">"MAX. "&amp;UPPER(Idiomas!D263)</f>
        <v>MAX. SEMIFINALES</v>
      </c>
      <c r="D60" s="389" t="n">
        <f aca="false">SUM($D$28:$D$30)*SUM($I$232:$I$233)+$D$31*2+$D$32*2</f>
        <v>64</v>
      </c>
      <c r="E60" s="334"/>
      <c r="F60" s="343" t="n">
        <f aca="false">SUM($D$8:$D$10)*I60</f>
        <v>17</v>
      </c>
      <c r="G60" s="343" t="n">
        <f aca="false">VLOOKUP(H60,Equipos!$Q$1:$R$25,2,0)</f>
        <v>16</v>
      </c>
      <c r="H60" s="351" t="n">
        <f aca="false">TRUNC(INDEX(WORLDCUP!$X$4:$X$147,MATCH(ADMIN!K60,WORLDCUP!$DT$4:$DT$147,0))+INDEX(Horarios!$R$3:$R$86,MATCH(Horarios!$C$3,Horarios!$P$3:$P$86,0))/24)</f>
        <v>46199</v>
      </c>
      <c r="I60" s="352" t="n">
        <v>1</v>
      </c>
      <c r="J60" s="362" t="s">
        <v>317</v>
      </c>
      <c r="K60" s="367" t="str">
        <f aca="false">CONCATENATE(WORLDCUP!AA32,"-",WORLDCUP!AF32)</f>
        <v>Turquía-Estados Unidos</v>
      </c>
      <c r="L60" s="354"/>
      <c r="M60" s="359" t="str">
        <f aca="false">IF(OR(WORLDCUP!AC32="",WORLDCUP!AD32=""),"-",N60&amp;"|"&amp;O60&amp;"-"&amp;P60)</f>
        <v>-</v>
      </c>
      <c r="N60" s="332" t="str">
        <f aca="false">IF(OR(WORLDCUP!AC32="",WORLDCUP!AD32=""),"",IF(WORLDCUP!AC32&gt;WORLDCUP!AD32,"1",IF(WORLDCUP!AC32&lt;WORLDCUP!AD32,"2","X")))</f>
        <v/>
      </c>
      <c r="O60" s="332" t="n">
        <f aca="false">WORLDCUP!AC32</f>
        <v>0</v>
      </c>
      <c r="P60" s="332" t="n">
        <f aca="false">WORLDCUP!AD32</f>
        <v>0</v>
      </c>
      <c r="Q60" s="332" t="n">
        <f aca="false">ABS(O60-P60)</f>
        <v>0</v>
      </c>
      <c r="R60" s="327"/>
      <c r="S60" s="370" t="s">
        <v>288</v>
      </c>
      <c r="T60" s="371" t="n">
        <f aca="false">IFERROR(IF($M60=S60,($D$8+$D$9+$D$10)*$I60,IF($N60=LEFT(S60,1),($D$8+MAX(0,IF($D$50=1,$D$9*(1-(ABS($Q60-ABS(VALUE(MID(S60,FIND("|",S60)+1,FIND("-",S60)-FIND("|",S60)-1))-VALUE(MID(S60,FIND("-",S60)+1,10)))))*$D$50),$D$9*(1-(IF($N60="X",ABS($O60-VALUE(MID(S60,FIND("|",S60)+1,FIND("-",S60)-FIND("|",S60)-1))),ABS($Q60-ABS(VALUE(MID(S60,FIND("|",S60)+1,FIND("-",S60)-FIND("|",S60)-1))-VALUE(MID(S60,FIND("-",S60)+1,10)))))*$D$50)))))*$I60,0)),0)</f>
        <v>0</v>
      </c>
      <c r="U60" s="338"/>
      <c r="V60" s="370" t="s">
        <v>268</v>
      </c>
      <c r="W60" s="371" t="n">
        <f aca="false">IFERROR(IF($M60=V60,($D$8+$D$9+$D$10)*$I60,IF($N60=LEFT(V60,1),($D$8+MAX(0,IF($D$50=1,$D$9*(1-(ABS($Q60-ABS(VALUE(MID(V60,FIND("|",V60)+1,FIND("-",V60)-FIND("|",V60)-1))-VALUE(MID(V60,FIND("-",V60)+1,10)))))*$D$50),$D$9*(1-(IF($N60="X",ABS($O60-VALUE(MID(V60,FIND("|",V60)+1,FIND("-",V60)-FIND("|",V60)-1))),ABS($Q60-ABS(VALUE(MID(V60,FIND("|",V60)+1,FIND("-",V60)-FIND("|",V60)-1))-VALUE(MID(V60,FIND("-",V60)+1,10)))))*$D$50)))))*$I60,0)),0)</f>
        <v>0</v>
      </c>
      <c r="X60" s="338"/>
      <c r="Y60" s="370" t="s">
        <v>269</v>
      </c>
      <c r="Z60" s="371" t="n">
        <f aca="false">IFERROR(IF($M60=Y60,($D$8+$D$9+$D$10)*$I60,IF($N60=LEFT(Y60,1),($D$8+MAX(0,IF($D$50=1,$D$9*(1-(ABS($Q60-ABS(VALUE(MID(Y60,FIND("|",Y60)+1,FIND("-",Y60)-FIND("|",Y60)-1))-VALUE(MID(Y60,FIND("-",Y60)+1,10)))))*$D$50),$D$9*(1-(IF($N60="X",ABS($O60-VALUE(MID(Y60,FIND("|",Y60)+1,FIND("-",Y60)-FIND("|",Y60)-1))),ABS($Q60-ABS(VALUE(MID(Y60,FIND("|",Y60)+1,FIND("-",Y60)-FIND("|",Y60)-1))-VALUE(MID(Y60,FIND("-",Y60)+1,10)))))*$D$50)))))*$I60,0)),0)</f>
        <v>0</v>
      </c>
      <c r="AA60" s="338"/>
      <c r="AB60" s="363" t="s">
        <v>268</v>
      </c>
      <c r="AC60" s="371" t="n">
        <f aca="false">IFERROR(IF($M60=AB60,($D$8+$D$9+$D$10)*$I60,IF($N60=LEFT(AB60,1),($D$8+MAX(0,IF($D$50=1,$D$9*(1-(ABS($Q60-ABS(VALUE(MID(AB60,FIND("|",AB60)+1,FIND("-",AB60)-FIND("|",AB60)-1))-VALUE(MID(AB60,FIND("-",AB60)+1,10)))))*$D$50),$D$9*(1-(IF($N60="X",ABS($O60-VALUE(MID(AB60,FIND("|",AB60)+1,FIND("-",AB60)-FIND("|",AB60)-1))),ABS($Q60-ABS(VALUE(MID(AB60,FIND("|",AB60)+1,FIND("-",AB60)-FIND("|",AB60)-1))-VALUE(MID(AB60,FIND("-",AB60)+1,10)))))*$D$50)))))*$I60,0)),0)</f>
        <v>0</v>
      </c>
      <c r="AD60" s="338"/>
      <c r="AE60" s="370" t="s">
        <v>264</v>
      </c>
      <c r="AF60" s="371" t="n">
        <f aca="false">IFERROR(IF($M60=AE60,($D$8+$D$9+$D$10)*$I60,IF($N60=LEFT(AE60,1),($D$8+MAX(0,IF($D$50=1,$D$9*(1-(ABS($Q60-ABS(VALUE(MID(AE60,FIND("|",AE60)+1,FIND("-",AE60)-FIND("|",AE60)-1))-VALUE(MID(AE60,FIND("-",AE60)+1,10)))))*$D$50),$D$9*(1-(IF($N60="X",ABS($O60-VALUE(MID(AE60,FIND("|",AE60)+1,FIND("-",AE60)-FIND("|",AE60)-1))),ABS($Q60-ABS(VALUE(MID(AE60,FIND("|",AE60)+1,FIND("-",AE60)-FIND("|",AE60)-1))-VALUE(MID(AE60,FIND("-",AE60)+1,10)))))*$D$50)))))*$I60,0)),0)</f>
        <v>0</v>
      </c>
      <c r="AG60" s="338"/>
      <c r="AH60" s="370" t="s">
        <v>267</v>
      </c>
      <c r="AI60" s="371" t="n">
        <f aca="false">IFERROR(IF($M60=AH60,($D$8+$D$9+$D$10)*$I60,IF($N60=LEFT(AH60,1),($D$8+MAX(0,IF($D$50=1,$D$9*(1-(ABS($Q60-ABS(VALUE(MID(AH60,FIND("|",AH60)+1,FIND("-",AH60)-FIND("|",AH60)-1))-VALUE(MID(AH60,FIND("-",AH60)+1,10)))))*$D$50),$D$9*(1-(IF($N60="X",ABS($O60-VALUE(MID(AH60,FIND("|",AH60)+1,FIND("-",AH60)-FIND("|",AH60)-1))),ABS($Q60-ABS(VALUE(MID(AH60,FIND("|",AH60)+1,FIND("-",AH60)-FIND("|",AH60)-1))-VALUE(MID(AH60,FIND("-",AH60)+1,10)))))*$D$50)))))*$I60,0)),0)</f>
        <v>0</v>
      </c>
      <c r="AJ60" s="338"/>
      <c r="AK60" s="370" t="s">
        <v>267</v>
      </c>
      <c r="AL60" s="371" t="n">
        <f aca="false">IFERROR(IF($M60=AK60,($D$8+$D$9+$D$10)*$I60,IF($N60=LEFT(AK60,1),($D$8+MAX(0,IF($D$50=1,$D$9*(1-(ABS($Q60-ABS(VALUE(MID(AK60,FIND("|",AK60)+1,FIND("-",AK60)-FIND("|",AK60)-1))-VALUE(MID(AK60,FIND("-",AK60)+1,10)))))*$D$50),$D$9*(1-(IF($N60="X",ABS($O60-VALUE(MID(AK60,FIND("|",AK60)+1,FIND("-",AK60)-FIND("|",AK60)-1))),ABS($Q60-ABS(VALUE(MID(AK60,FIND("|",AK60)+1,FIND("-",AK60)-FIND("|",AK60)-1))-VALUE(MID(AK60,FIND("-",AK60)+1,10)))))*$D$50)))))*$I60,0)),0)</f>
        <v>0</v>
      </c>
      <c r="AM60" s="338"/>
      <c r="AN60" s="370" t="s">
        <v>267</v>
      </c>
      <c r="AO60" s="371" t="n">
        <f aca="false">IFERROR(IF($M60=AN60,($D$8+$D$9+$D$10)*$I60,IF($N60=LEFT(AN60,1),($D$8+MAX(0,IF($D$50=1,$D$9*(1-(ABS($Q60-ABS(VALUE(MID(AN60,FIND("|",AN60)+1,FIND("-",AN60)-FIND("|",AN60)-1))-VALUE(MID(AN60,FIND("-",AN60)+1,10)))))*$D$50),$D$9*(1-(IF($N60="X",ABS($O60-VALUE(MID(AN60,FIND("|",AN60)+1,FIND("-",AN60)-FIND("|",AN60)-1))),ABS($Q60-ABS(VALUE(MID(AN60,FIND("|",AN60)+1,FIND("-",AN60)-FIND("|",AN60)-1))-VALUE(MID(AN60,FIND("-",AN60)+1,10)))))*$D$50)))))*$I60,0)),0)</f>
        <v>0</v>
      </c>
      <c r="AP60" s="338"/>
      <c r="AQ60" s="370" t="s">
        <v>267</v>
      </c>
      <c r="AR60" s="371" t="n">
        <f aca="false">IFERROR(IF($M60=AQ60,($D$8+$D$9+$D$10)*$I60,IF($N60=LEFT(AQ60,1),($D$8+MAX(0,IF($D$50=1,$D$9*(1-(ABS($Q60-ABS(VALUE(MID(AQ60,FIND("|",AQ60)+1,FIND("-",AQ60)-FIND("|",AQ60)-1))-VALUE(MID(AQ60,FIND("-",AQ60)+1,10)))))*$D$50),$D$9*(1-(IF($N60="X",ABS($O60-VALUE(MID(AQ60,FIND("|",AQ60)+1,FIND("-",AQ60)-FIND("|",AQ60)-1))),ABS($Q60-ABS(VALUE(MID(AQ60,FIND("|",AQ60)+1,FIND("-",AQ60)-FIND("|",AQ60)-1))-VALUE(MID(AQ60,FIND("-",AQ60)+1,10)))))*$D$50)))))*$I60,0)),0)</f>
        <v>0</v>
      </c>
      <c r="AS60" s="338"/>
      <c r="AT60" s="370" t="s">
        <v>272</v>
      </c>
      <c r="AU60" s="371" t="n">
        <f aca="false">IFERROR(IF($M60=AT60,($D$8+$D$9+$D$10)*$I60,IF($N60=LEFT(AT60,1),($D$8+MAX(0,IF($D$50=1,$D$9*(1-(ABS($Q60-ABS(VALUE(MID(AT60,FIND("|",AT60)+1,FIND("-",AT60)-FIND("|",AT60)-1))-VALUE(MID(AT60,FIND("-",AT60)+1,10)))))*$D$50),$D$9*(1-(IF($N60="X",ABS($O60-VALUE(MID(AT60,FIND("|",AT60)+1,FIND("-",AT60)-FIND("|",AT60)-1))),ABS($Q60-ABS(VALUE(MID(AT60,FIND("|",AT60)+1,FIND("-",AT60)-FIND("|",AT60)-1))-VALUE(MID(AT60,FIND("-",AT60)+1,10)))))*$D$50)))))*$I60,0)),0)</f>
        <v>0</v>
      </c>
      <c r="AV60" s="338"/>
      <c r="AW60" s="370" t="s">
        <v>267</v>
      </c>
      <c r="AX60" s="371" t="n">
        <f aca="false">IFERROR(IF($M60=AW60,($D$8+$D$9+$D$10)*$I60,IF($N60=LEFT(AW60,1),($D$8+MAX(0,IF($D$50=1,$D$9*(1-(ABS($Q60-ABS(VALUE(MID(AW60,FIND("|",AW60)+1,FIND("-",AW60)-FIND("|",AW60)-1))-VALUE(MID(AW60,FIND("-",AW60)+1,10)))))*$D$50),$D$9*(1-(IF($N60="X",ABS($O60-VALUE(MID(AW60,FIND("|",AW60)+1,FIND("-",AW60)-FIND("|",AW60)-1))),ABS($Q60-ABS(VALUE(MID(AW60,FIND("|",AW60)+1,FIND("-",AW60)-FIND("|",AW60)-1))-VALUE(MID(AW60,FIND("-",AW60)+1,10)))))*$D$50)))))*$I60,0)),0)</f>
        <v>0</v>
      </c>
      <c r="AY60" s="338"/>
      <c r="AZ60" s="370" t="s">
        <v>264</v>
      </c>
      <c r="BA60" s="371" t="n">
        <f aca="false">IFERROR(IF($M60=AZ60,($D$8+$D$9+$D$10)*$I60,IF($N60=LEFT(AZ60,1),($D$8+MAX(0,IF($D$50=1,$D$9*(1-(ABS($Q60-ABS(VALUE(MID(AZ60,FIND("|",AZ60)+1,FIND("-",AZ60)-FIND("|",AZ60)-1))-VALUE(MID(AZ60,FIND("-",AZ60)+1,10)))))*$D$50),$D$9*(1-(IF($N60="X",ABS($O60-VALUE(MID(AZ60,FIND("|",AZ60)+1,FIND("-",AZ60)-FIND("|",AZ60)-1))),ABS($Q60-ABS(VALUE(MID(AZ60,FIND("|",AZ60)+1,FIND("-",AZ60)-FIND("|",AZ60)-1))-VALUE(MID(AZ60,FIND("-",AZ60)+1,10)))))*$D$50)))))*$I60,0)),0)</f>
        <v>0</v>
      </c>
      <c r="BB60" s="338"/>
      <c r="BC60" s="370" t="s">
        <v>267</v>
      </c>
      <c r="BD60" s="371" t="n">
        <f aca="false">IFERROR(IF($M60=BC60,($D$8+$D$9+$D$10)*$I60,IF($N60=LEFT(BC60,1),($D$8+MAX(0,IF($D$50=1,$D$9*(1-(ABS($Q60-ABS(VALUE(MID(BC60,FIND("|",BC60)+1,FIND("-",BC60)-FIND("|",BC60)-1))-VALUE(MID(BC60,FIND("-",BC60)+1,10)))))*$D$50),$D$9*(1-(IF($N60="X",ABS($O60-VALUE(MID(BC60,FIND("|",BC60)+1,FIND("-",BC60)-FIND("|",BC60)-1))),ABS($Q60-ABS(VALUE(MID(BC60,FIND("|",BC60)+1,FIND("-",BC60)-FIND("|",BC60)-1))-VALUE(MID(BC60,FIND("-",BC60)+1,10)))))*$D$50)))))*$I60,0)),0)</f>
        <v>0</v>
      </c>
      <c r="BE60" s="338"/>
      <c r="BF60" s="370" t="s">
        <v>265</v>
      </c>
      <c r="BG60" s="371" t="n">
        <f aca="false">IFERROR(IF($M60=BF60,($D$8+$D$9+$D$10)*$I60,IF($N60=LEFT(BF60,1),($D$8+MAX(0,IF($D$50=1,$D$9*(1-(ABS($Q60-ABS(VALUE(MID(BF60,FIND("|",BF60)+1,FIND("-",BF60)-FIND("|",BF60)-1))-VALUE(MID(BF60,FIND("-",BF60)+1,10)))))*$D$50),$D$9*(1-(IF($N60="X",ABS($O60-VALUE(MID(BF60,FIND("|",BF60)+1,FIND("-",BF60)-FIND("|",BF60)-1))),ABS($Q60-ABS(VALUE(MID(BF60,FIND("|",BF60)+1,FIND("-",BF60)-FIND("|",BF60)-1))-VALUE(MID(BF60,FIND("-",BF60)+1,10)))))*$D$50)))))*$I60,0)),0)</f>
        <v>0</v>
      </c>
      <c r="BH60" s="338"/>
      <c r="BI60" s="370" t="s">
        <v>267</v>
      </c>
      <c r="BJ60" s="371" t="n">
        <f aca="false">IFERROR(IF($M60=BI60,($D$8+$D$9+$D$10)*$I60,IF($N60=LEFT(BI60,1),($D$8+MAX(0,IF($D$50=1,$D$9*(1-(ABS($Q60-ABS(VALUE(MID(BI60,FIND("|",BI60)+1,FIND("-",BI60)-FIND("|",BI60)-1))-VALUE(MID(BI60,FIND("-",BI60)+1,10)))))*$D$50),$D$9*(1-(IF($N60="X",ABS($O60-VALUE(MID(BI60,FIND("|",BI60)+1,FIND("-",BI60)-FIND("|",BI60)-1))),ABS($Q60-ABS(VALUE(MID(BI60,FIND("|",BI60)+1,FIND("-",BI60)-FIND("|",BI60)-1))-VALUE(MID(BI60,FIND("-",BI60)+1,10)))))*$D$50)))))*$I60,0)),0)</f>
        <v>0</v>
      </c>
      <c r="BK60" s="338"/>
      <c r="BL60" s="370" t="s">
        <v>274</v>
      </c>
      <c r="BM60" s="371" t="n">
        <f aca="false">IFERROR(IF($M60=BL60,($D$8+$D$9+$D$10)*$I60,IF($N60=LEFT(BL60,1),($D$8+MAX(0,IF($D$50=1,$D$9*(1-(ABS($Q60-ABS(VALUE(MID(BL60,FIND("|",BL60)+1,FIND("-",BL60)-FIND("|",BL60)-1))-VALUE(MID(BL60,FIND("-",BL60)+1,10)))))*$D$50),$D$9*(1-(IF($N60="X",ABS($O60-VALUE(MID(BL60,FIND("|",BL60)+1,FIND("-",BL60)-FIND("|",BL60)-1))),ABS($Q60-ABS(VALUE(MID(BL60,FIND("|",BL60)+1,FIND("-",BL60)-FIND("|",BL60)-1))-VALUE(MID(BL60,FIND("-",BL60)+1,10)))))*$D$50)))))*$I60,0)),0)</f>
        <v>0</v>
      </c>
      <c r="BN60" s="338"/>
      <c r="BO60" s="370" t="s">
        <v>318</v>
      </c>
      <c r="BP60" s="371" t="n">
        <f aca="false">IFERROR(IF($M60=BO60,($D$8+$D$9+$D$10)*$I60,IF($N60=LEFT(BO60,1),($D$8+MAX(0,IF($D$50=1,$D$9*(1-(ABS($Q60-ABS(VALUE(MID(BO60,FIND("|",BO60)+1,FIND("-",BO60)-FIND("|",BO60)-1))-VALUE(MID(BO60,FIND("-",BO60)+1,10)))))*$D$50),$D$9*(1-(IF($N60="X",ABS($O60-VALUE(MID(BO60,FIND("|",BO60)+1,FIND("-",BO60)-FIND("|",BO60)-1))),ABS($Q60-ABS(VALUE(MID(BO60,FIND("|",BO60)+1,FIND("-",BO60)-FIND("|",BO60)-1))-VALUE(MID(BO60,FIND("-",BO60)+1,10)))))*$D$50)))))*$I60,0)),0)</f>
        <v>0</v>
      </c>
      <c r="BQ60" s="338"/>
      <c r="BR60" s="370" t="s">
        <v>268</v>
      </c>
      <c r="BS60" s="371" t="n">
        <f aca="false">IFERROR(IF($M60=BR60,($D$8+$D$9+$D$10)*$I60,IF($N60=LEFT(BR60,1),($D$8+MAX(0,IF($D$50=1,$D$9*(1-(ABS($Q60-ABS(VALUE(MID(BR60,FIND("|",BR60)+1,FIND("-",BR60)-FIND("|",BR60)-1))-VALUE(MID(BR60,FIND("-",BR60)+1,10)))))*$D$50),$D$9*(1-(IF($N60="X",ABS($O60-VALUE(MID(BR60,FIND("|",BR60)+1,FIND("-",BR60)-FIND("|",BR60)-1))),ABS($Q60-ABS(VALUE(MID(BR60,FIND("|",BR60)+1,FIND("-",BR60)-FIND("|",BR60)-1))-VALUE(MID(BR60,FIND("-",BR60)+1,10)))))*$D$50)))))*$I60,0)),0)</f>
        <v>0</v>
      </c>
      <c r="BT60" s="338"/>
      <c r="BU60" s="370"/>
      <c r="BV60" s="371" t="n">
        <f aca="false">IFERROR(IF($M60=BU60,($D$8+$D$9+$D$10)*$I60,IF($N60=LEFT(BU60,1),($D$8+MAX(0,IF($D$50=1,$D$9*(1-(ABS($Q60-ABS(VALUE(MID(BU60,FIND("|",BU60)+1,FIND("-",BU60)-FIND("|",BU60)-1))-VALUE(MID(BU60,FIND("-",BU60)+1,10)))))*$D$50),$D$9*(1-(IF($N60="X",ABS($O60-VALUE(MID(BU60,FIND("|",BU60)+1,FIND("-",BU60)-FIND("|",BU60)-1))),ABS($Q60-ABS(VALUE(MID(BU60,FIND("|",BU60)+1,FIND("-",BU60)-FIND("|",BU60)-1))-VALUE(MID(BU60,FIND("-",BU60)+1,10)))))*$D$50)))))*$I60,0)),0)</f>
        <v>0</v>
      </c>
      <c r="BW60" s="338"/>
      <c r="BX60" s="370"/>
      <c r="BY60" s="371" t="n">
        <f aca="false">IFERROR(IF($M60=BX60,($D$8+$D$9+$D$10)*$I60,IF($N60=LEFT(BX60,1),($D$8+MAX(0,IF($D$50=1,$D$9*(1-(ABS($Q60-ABS(VALUE(MID(BX60,FIND("|",BX60)+1,FIND("-",BX60)-FIND("|",BX60)-1))-VALUE(MID(BX60,FIND("-",BX60)+1,10)))))*$D$50),$D$9*(1-(IF($N60="X",ABS($O60-VALUE(MID(BX60,FIND("|",BX60)+1,FIND("-",BX60)-FIND("|",BX60)-1))),ABS($Q60-ABS(VALUE(MID(BX60,FIND("|",BX60)+1,FIND("-",BX60)-FIND("|",BX60)-1))-VALUE(MID(BX60,FIND("-",BX60)+1,10)))))*$D$50)))))*$I60,0)),0)</f>
        <v>0</v>
      </c>
      <c r="BZ60" s="338"/>
      <c r="CA60" s="370"/>
      <c r="CB60" s="371" t="n">
        <f aca="false">IFERROR(IF($M60=CA60,($D$8+$D$9+$D$10)*$I60,IF($N60=LEFT(CA60,1),($D$8+MAX(0,IF($D$50=1,$D$9*(1-(ABS($Q60-ABS(VALUE(MID(CA60,FIND("|",CA60)+1,FIND("-",CA60)-FIND("|",CA60)-1))-VALUE(MID(CA60,FIND("-",CA60)+1,10)))))*$D$50),$D$9*(1-(IF($N60="X",ABS($O60-VALUE(MID(CA60,FIND("|",CA60)+1,FIND("-",CA60)-FIND("|",CA60)-1))),ABS($Q60-ABS(VALUE(MID(CA60,FIND("|",CA60)+1,FIND("-",CA60)-FIND("|",CA60)-1))-VALUE(MID(CA60,FIND("-",CA60)+1,10)))))*$D$50)))))*$I60,0)),0)</f>
        <v>0</v>
      </c>
      <c r="CC60" s="338"/>
      <c r="CD60" s="370"/>
      <c r="CE60" s="371" t="n">
        <f aca="false">IFERROR(IF($M60=CD60,($D$8+$D$9+$D$10)*$I60,IF($N60=LEFT(CD60,1),($D$8+MAX(0,IF($D$50=1,$D$9*(1-(ABS($Q60-ABS(VALUE(MID(CD60,FIND("|",CD60)+1,FIND("-",CD60)-FIND("|",CD60)-1))-VALUE(MID(CD60,FIND("-",CD60)+1,10)))))*$D$50),$D$9*(1-(IF($N60="X",ABS($O60-VALUE(MID(CD60,FIND("|",CD60)+1,FIND("-",CD60)-FIND("|",CD60)-1))),ABS($Q60-ABS(VALUE(MID(CD60,FIND("|",CD60)+1,FIND("-",CD60)-FIND("|",CD60)-1))-VALUE(MID(CD60,FIND("-",CD60)+1,10)))))*$D$50)))))*$I60,0)),0)</f>
        <v>0</v>
      </c>
      <c r="CF60" s="338"/>
      <c r="CG60" s="370"/>
      <c r="CH60" s="371" t="n">
        <f aca="false">IFERROR(IF($M60=CG60,($D$8+$D$9+$D$10)*$I60,IF($N60=LEFT(CG60,1),($D$8+MAX(0,IF($D$50=1,$D$9*(1-(ABS($Q60-ABS(VALUE(MID(CG60,FIND("|",CG60)+1,FIND("-",CG60)-FIND("|",CG60)-1))-VALUE(MID(CG60,FIND("-",CG60)+1,10)))))*$D$50),$D$9*(1-(IF($N60="X",ABS($O60-VALUE(MID(CG60,FIND("|",CG60)+1,FIND("-",CG60)-FIND("|",CG60)-1))),ABS($Q60-ABS(VALUE(MID(CG60,FIND("|",CG60)+1,FIND("-",CG60)-FIND("|",CG60)-1))-VALUE(MID(CG60,FIND("-",CG60)+1,10)))))*$D$50)))))*$I60,0)),0)</f>
        <v>0</v>
      </c>
      <c r="CI60" s="338"/>
      <c r="CJ60" s="370"/>
      <c r="CK60" s="371" t="n">
        <f aca="false">IFERROR(IF($M60=CJ60,($D$8+$D$9+$D$10)*$I60,IF($N60=LEFT(CJ60,1),($D$8+MAX(0,IF($D$50=1,$D$9*(1-(ABS($Q60-ABS(VALUE(MID(CJ60,FIND("|",CJ60)+1,FIND("-",CJ60)-FIND("|",CJ60)-1))-VALUE(MID(CJ60,FIND("-",CJ60)+1,10)))))*$D$50),$D$9*(1-(IF($N60="X",ABS($O60-VALUE(MID(CJ60,FIND("|",CJ60)+1,FIND("-",CJ60)-FIND("|",CJ60)-1))),ABS($Q60-ABS(VALUE(MID(CJ60,FIND("|",CJ60)+1,FIND("-",CJ60)-FIND("|",CJ60)-1))-VALUE(MID(CJ60,FIND("-",CJ60)+1,10)))))*$D$50)))))*$I60,0)),0)</f>
        <v>0</v>
      </c>
      <c r="CL60" s="338"/>
      <c r="CM60" s="370"/>
      <c r="CN60" s="371" t="n">
        <f aca="false">IFERROR(IF($M60=CM60,($D$8+$D$9+$D$10)*$I60,IF($N60=LEFT(CM60,1),($D$8+MAX(0,IF($D$50=1,$D$9*(1-(ABS($Q60-ABS(VALUE(MID(CM60,FIND("|",CM60)+1,FIND("-",CM60)-FIND("|",CM60)-1))-VALUE(MID(CM60,FIND("-",CM60)+1,10)))))*$D$50),$D$9*(1-(IF($N60="X",ABS($O60-VALUE(MID(CM60,FIND("|",CM60)+1,FIND("-",CM60)-FIND("|",CM60)-1))),ABS($Q60-ABS(VALUE(MID(CM60,FIND("|",CM60)+1,FIND("-",CM60)-FIND("|",CM60)-1))-VALUE(MID(CM60,FIND("-",CM60)+1,10)))))*$D$50)))))*$I60,0)),0)</f>
        <v>0</v>
      </c>
      <c r="CO60" s="338"/>
      <c r="CP60" s="370"/>
      <c r="CQ60" s="371" t="n">
        <f aca="false">IFERROR(IF($M60=CP60,($D$8+$D$9+$D$10)*$I60,IF($N60=LEFT(CP60,1),($D$8+MAX(0,IF($D$50=1,$D$9*(1-(ABS($Q60-ABS(VALUE(MID(CP60,FIND("|",CP60)+1,FIND("-",CP60)-FIND("|",CP60)-1))-VALUE(MID(CP60,FIND("-",CP60)+1,10)))))*$D$50),$D$9*(1-(IF($N60="X",ABS($O60-VALUE(MID(CP60,FIND("|",CP60)+1,FIND("-",CP60)-FIND("|",CP60)-1))),ABS($Q60-ABS(VALUE(MID(CP60,FIND("|",CP60)+1,FIND("-",CP60)-FIND("|",CP60)-1))-VALUE(MID(CP60,FIND("-",CP60)+1,10)))))*$D$50)))))*$I60,0)),0)</f>
        <v>0</v>
      </c>
      <c r="CR60" s="338"/>
      <c r="CS60" s="370"/>
      <c r="CT60" s="371" t="n">
        <f aca="false">IFERROR(IF($M60=CS60,($D$8+$D$9+$D$10)*$I60,IF($N60=LEFT(CS60,1),($D$8+MAX(0,IF($D$50=1,$D$9*(1-(ABS($Q60-ABS(VALUE(MID(CS60,FIND("|",CS60)+1,FIND("-",CS60)-FIND("|",CS60)-1))-VALUE(MID(CS60,FIND("-",CS60)+1,10)))))*$D$50),$D$9*(1-(IF($N60="X",ABS($O60-VALUE(MID(CS60,FIND("|",CS60)+1,FIND("-",CS60)-FIND("|",CS60)-1))),ABS($Q60-ABS(VALUE(MID(CS60,FIND("|",CS60)+1,FIND("-",CS60)-FIND("|",CS60)-1))-VALUE(MID(CS60,FIND("-",CS60)+1,10)))))*$D$50)))))*$I60,0)),0)</f>
        <v>0</v>
      </c>
      <c r="CU60" s="338"/>
      <c r="CV60" s="370"/>
      <c r="CW60" s="371" t="n">
        <f aca="false">IFERROR(IF($M60=CV60,($D$8+$D$9+$D$10)*$I60,IF($N60=LEFT(CV60,1),($D$8+MAX(0,IF($D$50=1,$D$9*(1-(ABS($Q60-ABS(VALUE(MID(CV60,FIND("|",CV60)+1,FIND("-",CV60)-FIND("|",CV60)-1))-VALUE(MID(CV60,FIND("-",CV60)+1,10)))))*$D$50),$D$9*(1-(IF($N60="X",ABS($O60-VALUE(MID(CV60,FIND("|",CV60)+1,FIND("-",CV60)-FIND("|",CV60)-1))),ABS($Q60-ABS(VALUE(MID(CV60,FIND("|",CV60)+1,FIND("-",CV60)-FIND("|",CV60)-1))-VALUE(MID(CV60,FIND("-",CV60)+1,10)))))*$D$50)))))*$I60,0)),0)</f>
        <v>0</v>
      </c>
      <c r="CX60" s="338"/>
      <c r="CY60" s="370"/>
      <c r="CZ60" s="371" t="n">
        <f aca="false">IFERROR(IF($M60=CY60,($D$8+$D$9+$D$10)*$I60,IF($N60=LEFT(CY60,1),($D$8+MAX(0,IF($D$50=1,$D$9*(1-(ABS($Q60-ABS(VALUE(MID(CY60,FIND("|",CY60)+1,FIND("-",CY60)-FIND("|",CY60)-1))-VALUE(MID(CY60,FIND("-",CY60)+1,10)))))*$D$50),$D$9*(1-(IF($N60="X",ABS($O60-VALUE(MID(CY60,FIND("|",CY60)+1,FIND("-",CY60)-FIND("|",CY60)-1))),ABS($Q60-ABS(VALUE(MID(CY60,FIND("|",CY60)+1,FIND("-",CY60)-FIND("|",CY60)-1))-VALUE(MID(CY60,FIND("-",CY60)+1,10)))))*$D$50)))))*$I60,0)),0)</f>
        <v>0</v>
      </c>
      <c r="DA60" s="338"/>
      <c r="DB60" s="370"/>
      <c r="DC60" s="371" t="n">
        <f aca="false">IFERROR(IF($M60=DB60,($D$8+$D$9+$D$10)*$I60,IF($N60=LEFT(DB60,1),($D$8+MAX(0,IF($D$50=1,$D$9*(1-(ABS($Q60-ABS(VALUE(MID(DB60,FIND("|",DB60)+1,FIND("-",DB60)-FIND("|",DB60)-1))-VALUE(MID(DB60,FIND("-",DB60)+1,10)))))*$D$50),$D$9*(1-(IF($N60="X",ABS($O60-VALUE(MID(DB60,FIND("|",DB60)+1,FIND("-",DB60)-FIND("|",DB60)-1))),ABS($Q60-ABS(VALUE(MID(DB60,FIND("|",DB60)+1,FIND("-",DB60)-FIND("|",DB60)-1))-VALUE(MID(DB60,FIND("-",DB60)+1,10)))))*$D$50)))))*$I60,0)),0)</f>
        <v>0</v>
      </c>
      <c r="DD60" s="338"/>
      <c r="DE60" s="370"/>
      <c r="DF60" s="371" t="n">
        <f aca="false">IFERROR(IF($M60=DE60,($D$8+$D$9+$D$10)*$I60,IF($N60=LEFT(DE60,1),($D$8+MAX(0,IF($D$50=1,$D$9*(1-(ABS($Q60-ABS(VALUE(MID(DE60,FIND("|",DE60)+1,FIND("-",DE60)-FIND("|",DE60)-1))-VALUE(MID(DE60,FIND("-",DE60)+1,10)))))*$D$50),$D$9*(1-(IF($N60="X",ABS($O60-VALUE(MID(DE60,FIND("|",DE60)+1,FIND("-",DE60)-FIND("|",DE60)-1))),ABS($Q60-ABS(VALUE(MID(DE60,FIND("|",DE60)+1,FIND("-",DE60)-FIND("|",DE60)-1))-VALUE(MID(DE60,FIND("-",DE60)+1,10)))))*$D$50)))))*$I60,0)),0)</f>
        <v>0</v>
      </c>
      <c r="DG60" s="338"/>
      <c r="DH60" s="370"/>
      <c r="DI60" s="371" t="n">
        <f aca="false">IFERROR(IF($M60=DH60,($D$8+$D$9+$D$10)*$I60,IF($N60=LEFT(DH60,1),($D$8+MAX(0,IF($D$50=1,$D$9*(1-(ABS($Q60-ABS(VALUE(MID(DH60,FIND("|",DH60)+1,FIND("-",DH60)-FIND("|",DH60)-1))-VALUE(MID(DH60,FIND("-",DH60)+1,10)))))*$D$50),$D$9*(1-(IF($N60="X",ABS($O60-VALUE(MID(DH60,FIND("|",DH60)+1,FIND("-",DH60)-FIND("|",DH60)-1))),ABS($Q60-ABS(VALUE(MID(DH60,FIND("|",DH60)+1,FIND("-",DH60)-FIND("|",DH60)-1))-VALUE(MID(DH60,FIND("-",DH60)+1,10)))))*$D$50)))))*$I60,0)),0)</f>
        <v>0</v>
      </c>
      <c r="DJ60" s="338"/>
      <c r="DK60" s="370"/>
      <c r="DL60" s="371" t="n">
        <f aca="false">IFERROR(IF($M60=DK60,($D$8+$D$9+$D$10)*$I60,IF($N60=LEFT(DK60,1),($D$8+MAX(0,IF($D$50=1,$D$9*(1-(ABS($Q60-ABS(VALUE(MID(DK60,FIND("|",DK60)+1,FIND("-",DK60)-FIND("|",DK60)-1))-VALUE(MID(DK60,FIND("-",DK60)+1,10)))))*$D$50),$D$9*(1-(IF($N60="X",ABS($O60-VALUE(MID(DK60,FIND("|",DK60)+1,FIND("-",DK60)-FIND("|",DK60)-1))),ABS($Q60-ABS(VALUE(MID(DK60,FIND("|",DK60)+1,FIND("-",DK60)-FIND("|",DK60)-1))-VALUE(MID(DK60,FIND("-",DK60)+1,10)))))*$D$50)))))*$I60,0)),0)</f>
        <v>0</v>
      </c>
      <c r="DM60" s="338"/>
      <c r="DN60" s="370"/>
      <c r="DO60" s="371" t="n">
        <f aca="false">IFERROR(IF($M60=DN60,($D$8+$D$9+$D$10)*$I60,IF($N60=LEFT(DN60,1),($D$8+MAX(0,IF($D$50=1,$D$9*(1-(ABS($Q60-ABS(VALUE(MID(DN60,FIND("|",DN60)+1,FIND("-",DN60)-FIND("|",DN60)-1))-VALUE(MID(DN60,FIND("-",DN60)+1,10)))))*$D$50),$D$9*(1-(IF($N60="X",ABS($O60-VALUE(MID(DN60,FIND("|",DN60)+1,FIND("-",DN60)-FIND("|",DN60)-1))),ABS($Q60-ABS(VALUE(MID(DN60,FIND("|",DN60)+1,FIND("-",DN60)-FIND("|",DN60)-1))-VALUE(MID(DN60,FIND("-",DN60)+1,10)))))*$D$50)))))*$I60,0)),0)</f>
        <v>0</v>
      </c>
      <c r="DP60" s="338"/>
      <c r="DQ60" s="370"/>
      <c r="DR60" s="371" t="n">
        <f aca="false">IFERROR(IF($M60=DQ60,($D$8+$D$9+$D$10)*$I60,IF($N60=LEFT(DQ60,1),($D$8+MAX(0,IF($D$50=1,$D$9*(1-(ABS($Q60-ABS(VALUE(MID(DQ60,FIND("|",DQ60)+1,FIND("-",DQ60)-FIND("|",DQ60)-1))-VALUE(MID(DQ60,FIND("-",DQ60)+1,10)))))*$D$50),$D$9*(1-(IF($N60="X",ABS($O60-VALUE(MID(DQ60,FIND("|",DQ60)+1,FIND("-",DQ60)-FIND("|",DQ60)-1))),ABS($Q60-ABS(VALUE(MID(DQ60,FIND("|",DQ60)+1,FIND("-",DQ60)-FIND("|",DQ60)-1))-VALUE(MID(DQ60,FIND("-",DQ60)+1,10)))))*$D$50)))))*$I60,0)),0)</f>
        <v>0</v>
      </c>
      <c r="DS60" s="338"/>
      <c r="DT60" s="370"/>
      <c r="DU60" s="371" t="n">
        <f aca="false">IFERROR(IF($M60=DT60,($D$8+$D$9+$D$10)*$I60,IF($N60=LEFT(DT60,1),($D$8+MAX(0,IF($D$50=1,$D$9*(1-(ABS($Q60-ABS(VALUE(MID(DT60,FIND("|",DT60)+1,FIND("-",DT60)-FIND("|",DT60)-1))-VALUE(MID(DT60,FIND("-",DT60)+1,10)))))*$D$50),$D$9*(1-(IF($N60="X",ABS($O60-VALUE(MID(DT60,FIND("|",DT60)+1,FIND("-",DT60)-FIND("|",DT60)-1))),ABS($Q60-ABS(VALUE(MID(DT60,FIND("|",DT60)+1,FIND("-",DT60)-FIND("|",DT60)-1))-VALUE(MID(DT60,FIND("-",DT60)+1,10)))))*$D$50)))))*$I60,0)),0)</f>
        <v>0</v>
      </c>
      <c r="DV60" s="338"/>
      <c r="DW60" s="370"/>
      <c r="DX60" s="371" t="n">
        <f aca="false">IFERROR(IF($M60=DW60,($D$8+$D$9+$D$10)*$I60,IF($N60=LEFT(DW60,1),($D$8+MAX(0,IF($D$50=1,$D$9*(1-(ABS($Q60-ABS(VALUE(MID(DW60,FIND("|",DW60)+1,FIND("-",DW60)-FIND("|",DW60)-1))-VALUE(MID(DW60,FIND("-",DW60)+1,10)))))*$D$50),$D$9*(1-(IF($N60="X",ABS($O60-VALUE(MID(DW60,FIND("|",DW60)+1,FIND("-",DW60)-FIND("|",DW60)-1))),ABS($Q60-ABS(VALUE(MID(DW60,FIND("|",DW60)+1,FIND("-",DW60)-FIND("|",DW60)-1))-VALUE(MID(DW60,FIND("-",DW60)+1,10)))))*$D$50)))))*$I60,0)),0)</f>
        <v>0</v>
      </c>
      <c r="DY60" s="338"/>
      <c r="DZ60" s="370"/>
      <c r="EA60" s="371" t="n">
        <f aca="false">IFERROR(IF($M60=DZ60,($D$8+$D$9+$D$10)*$I60,IF($N60=LEFT(DZ60,1),($D$8+MAX(0,IF($D$50=1,$D$9*(1-(ABS($Q60-ABS(VALUE(MID(DZ60,FIND("|",DZ60)+1,FIND("-",DZ60)-FIND("|",DZ60)-1))-VALUE(MID(DZ60,FIND("-",DZ60)+1,10)))))*$D$50),$D$9*(1-(IF($N60="X",ABS($O60-VALUE(MID(DZ60,FIND("|",DZ60)+1,FIND("-",DZ60)-FIND("|",DZ60)-1))),ABS($Q60-ABS(VALUE(MID(DZ60,FIND("|",DZ60)+1,FIND("-",DZ60)-FIND("|",DZ60)-1))-VALUE(MID(DZ60,FIND("-",DZ60)+1,10)))))*$D$50)))))*$I60,0)),0)</f>
        <v>0</v>
      </c>
      <c r="EB60" s="338"/>
      <c r="EC60" s="370"/>
      <c r="ED60" s="371" t="n">
        <f aca="false">IFERROR(IF($M60=EC60,($D$8+$D$9+$D$10)*$I60,IF($N60=LEFT(EC60,1),($D$8+MAX(0,IF($D$50=1,$D$9*(1-(ABS($Q60-ABS(VALUE(MID(EC60,FIND("|",EC60)+1,FIND("-",EC60)-FIND("|",EC60)-1))-VALUE(MID(EC60,FIND("-",EC60)+1,10)))))*$D$50),$D$9*(1-(IF($N60="X",ABS($O60-VALUE(MID(EC60,FIND("|",EC60)+1,FIND("-",EC60)-FIND("|",EC60)-1))),ABS($Q60-ABS(VALUE(MID(EC60,FIND("|",EC60)+1,FIND("-",EC60)-FIND("|",EC60)-1))-VALUE(MID(EC60,FIND("-",EC60)+1,10)))))*$D$50)))))*$I60,0)),0)</f>
        <v>0</v>
      </c>
      <c r="EE60" s="338"/>
      <c r="EF60" s="370"/>
      <c r="EG60" s="371" t="n">
        <f aca="false">IFERROR(IF($M60=EF60,($D$8+$D$9+$D$10)*$I60,IF($N60=LEFT(EF60,1),($D$8+MAX(0,IF($D$50=1,$D$9*(1-(ABS($Q60-ABS(VALUE(MID(EF60,FIND("|",EF60)+1,FIND("-",EF60)-FIND("|",EF60)-1))-VALUE(MID(EF60,FIND("-",EF60)+1,10)))))*$D$50),$D$9*(1-(IF($N60="X",ABS($O60-VALUE(MID(EF60,FIND("|",EF60)+1,FIND("-",EF60)-FIND("|",EF60)-1))),ABS($Q60-ABS(VALUE(MID(EF60,FIND("|",EF60)+1,FIND("-",EF60)-FIND("|",EF60)-1))-VALUE(MID(EF60,FIND("-",EF60)+1,10)))))*$D$50)))))*$I60,0)),0)</f>
        <v>0</v>
      </c>
      <c r="EH60" s="338"/>
      <c r="EI60" s="338"/>
    </row>
    <row r="61" customFormat="false" ht="15" hidden="false" customHeight="false" outlineLevel="0" collapsed="false">
      <c r="A61" s="327"/>
      <c r="B61" s="327"/>
      <c r="C61" s="386" t="str">
        <f aca="false">"MAX. "&amp;UPPER(Idiomas!D264)</f>
        <v>MAX. 3-4 &amp; FINAL</v>
      </c>
      <c r="D61" s="387" t="n">
        <f aca="false">SUM($D$33:$D$35)*$I$244+SUM($D$36:$D$38)*$I$247</f>
        <v>34</v>
      </c>
      <c r="E61" s="334"/>
      <c r="F61" s="343" t="n">
        <f aca="false">SUM($D$8:$D$10)*I61</f>
        <v>17</v>
      </c>
      <c r="G61" s="343" t="n">
        <f aca="false">VLOOKUP(H61,Equipos!$Q$1:$R$25,2,0)</f>
        <v>16</v>
      </c>
      <c r="H61" s="351" t="n">
        <f aca="false">TRUNC(INDEX(WORLDCUP!$X$4:$X$147,MATCH(ADMIN!K61,WORLDCUP!$DT$4:$DT$147,0))+INDEX(Horarios!$R$3:$R$86,MATCH(Horarios!$C$3,Horarios!$P$3:$P$86,0))/24)</f>
        <v>46199</v>
      </c>
      <c r="I61" s="352" t="n">
        <v>1</v>
      </c>
      <c r="J61" s="362" t="s">
        <v>317</v>
      </c>
      <c r="K61" s="354" t="str">
        <f aca="false">CONCATENATE(WORLDCUP!AA33,"-",WORLDCUP!AF33)</f>
        <v>Paraguay-Australia</v>
      </c>
      <c r="L61" s="354"/>
      <c r="M61" s="359" t="str">
        <f aca="false">IF(OR(WORLDCUP!AC33="",WORLDCUP!AD33=""),"-",N61&amp;"|"&amp;O61&amp;"-"&amp;P61)</f>
        <v>-</v>
      </c>
      <c r="N61" s="332" t="str">
        <f aca="false">IF(OR(WORLDCUP!AC33="",WORLDCUP!AD33=""),"",IF(WORLDCUP!AC33&gt;WORLDCUP!AD33,"1",IF(WORLDCUP!AC33&lt;WORLDCUP!AD33,"2","X")))</f>
        <v/>
      </c>
      <c r="O61" s="332" t="n">
        <f aca="false">WORLDCUP!AC33</f>
        <v>0</v>
      </c>
      <c r="P61" s="332" t="n">
        <f aca="false">WORLDCUP!AD33</f>
        <v>0</v>
      </c>
      <c r="Q61" s="332" t="n">
        <f aca="false">ABS(O61-P61)</f>
        <v>0</v>
      </c>
      <c r="R61" s="327"/>
      <c r="S61" s="363" t="s">
        <v>265</v>
      </c>
      <c r="T61" s="356" t="n">
        <f aca="false">IFERROR(IF($M61=S61,($D$8+$D$9+$D$10)*$I61,IF($N61=LEFT(S61,1),($D$8+MAX(0,IF($D$50=1,$D$9*(1-(ABS($Q61-ABS(VALUE(MID(S61,FIND("|",S61)+1,FIND("-",S61)-FIND("|",S61)-1))-VALUE(MID(S61,FIND("-",S61)+1,10)))))*$D$50),$D$9*(1-(IF($N61="X",ABS($O61-VALUE(MID(S61,FIND("|",S61)+1,FIND("-",S61)-FIND("|",S61)-1))),ABS($Q61-ABS(VALUE(MID(S61,FIND("|",S61)+1,FIND("-",S61)-FIND("|",S61)-1))-VALUE(MID(S61,FIND("-",S61)+1,10)))))*$D$50)))))*$I61,0)),0)</f>
        <v>0</v>
      </c>
      <c r="U61" s="338"/>
      <c r="V61" s="363" t="s">
        <v>267</v>
      </c>
      <c r="W61" s="356" t="n">
        <f aca="false">IFERROR(IF($M61=V61,($D$8+$D$9+$D$10)*$I61,IF($N61=LEFT(V61,1),($D$8+MAX(0,IF($D$50=1,$D$9*(1-(ABS($Q61-ABS(VALUE(MID(V61,FIND("|",V61)+1,FIND("-",V61)-FIND("|",V61)-1))-VALUE(MID(V61,FIND("-",V61)+1,10)))))*$D$50),$D$9*(1-(IF($N61="X",ABS($O61-VALUE(MID(V61,FIND("|",V61)+1,FIND("-",V61)-FIND("|",V61)-1))),ABS($Q61-ABS(VALUE(MID(V61,FIND("|",V61)+1,FIND("-",V61)-FIND("|",V61)-1))-VALUE(MID(V61,FIND("-",V61)+1,10)))))*$D$50)))))*$I61,0)),0)</f>
        <v>0</v>
      </c>
      <c r="X61" s="338"/>
      <c r="Y61" s="363" t="s">
        <v>265</v>
      </c>
      <c r="Z61" s="356" t="n">
        <f aca="false">IFERROR(IF($M61=Y61,($D$8+$D$9+$D$10)*$I61,IF($N61=LEFT(Y61,1),($D$8+MAX(0,IF($D$50=1,$D$9*(1-(ABS($Q61-ABS(VALUE(MID(Y61,FIND("|",Y61)+1,FIND("-",Y61)-FIND("|",Y61)-1))-VALUE(MID(Y61,FIND("-",Y61)+1,10)))))*$D$50),$D$9*(1-(IF($N61="X",ABS($O61-VALUE(MID(Y61,FIND("|",Y61)+1,FIND("-",Y61)-FIND("|",Y61)-1))),ABS($Q61-ABS(VALUE(MID(Y61,FIND("|",Y61)+1,FIND("-",Y61)-FIND("|",Y61)-1))-VALUE(MID(Y61,FIND("-",Y61)+1,10)))))*$D$50)))))*$I61,0)),0)</f>
        <v>0</v>
      </c>
      <c r="AA61" s="338"/>
      <c r="AB61" s="363" t="s">
        <v>267</v>
      </c>
      <c r="AC61" s="356" t="n">
        <f aca="false">IFERROR(IF($M61=AB61,($D$8+$D$9+$D$10)*$I61,IF($N61=LEFT(AB61,1),($D$8+MAX(0,IF($D$50=1,$D$9*(1-(ABS($Q61-ABS(VALUE(MID(AB61,FIND("|",AB61)+1,FIND("-",AB61)-FIND("|",AB61)-1))-VALUE(MID(AB61,FIND("-",AB61)+1,10)))))*$D$50),$D$9*(1-(IF($N61="X",ABS($O61-VALUE(MID(AB61,FIND("|",AB61)+1,FIND("-",AB61)-FIND("|",AB61)-1))),ABS($Q61-ABS(VALUE(MID(AB61,FIND("|",AB61)+1,FIND("-",AB61)-FIND("|",AB61)-1))-VALUE(MID(AB61,FIND("-",AB61)+1,10)))))*$D$50)))))*$I61,0)),0)</f>
        <v>0</v>
      </c>
      <c r="AD61" s="338"/>
      <c r="AE61" s="363" t="s">
        <v>266</v>
      </c>
      <c r="AF61" s="356" t="n">
        <f aca="false">IFERROR(IF($M61=AE61,($D$8+$D$9+$D$10)*$I61,IF($N61=LEFT(AE61,1),($D$8+MAX(0,IF($D$50=1,$D$9*(1-(ABS($Q61-ABS(VALUE(MID(AE61,FIND("|",AE61)+1,FIND("-",AE61)-FIND("|",AE61)-1))-VALUE(MID(AE61,FIND("-",AE61)+1,10)))))*$D$50),$D$9*(1-(IF($N61="X",ABS($O61-VALUE(MID(AE61,FIND("|",AE61)+1,FIND("-",AE61)-FIND("|",AE61)-1))),ABS($Q61-ABS(VALUE(MID(AE61,FIND("|",AE61)+1,FIND("-",AE61)-FIND("|",AE61)-1))-VALUE(MID(AE61,FIND("-",AE61)+1,10)))))*$D$50)))))*$I61,0)),0)</f>
        <v>0</v>
      </c>
      <c r="AG61" s="338"/>
      <c r="AH61" s="363" t="s">
        <v>267</v>
      </c>
      <c r="AI61" s="356" t="n">
        <f aca="false">IFERROR(IF($M61=AH61,($D$8+$D$9+$D$10)*$I61,IF($N61=LEFT(AH61,1),($D$8+MAX(0,IF($D$50=1,$D$9*(1-(ABS($Q61-ABS(VALUE(MID(AH61,FIND("|",AH61)+1,FIND("-",AH61)-FIND("|",AH61)-1))-VALUE(MID(AH61,FIND("-",AH61)+1,10)))))*$D$50),$D$9*(1-(IF($N61="X",ABS($O61-VALUE(MID(AH61,FIND("|",AH61)+1,FIND("-",AH61)-FIND("|",AH61)-1))),ABS($Q61-ABS(VALUE(MID(AH61,FIND("|",AH61)+1,FIND("-",AH61)-FIND("|",AH61)-1))-VALUE(MID(AH61,FIND("-",AH61)+1,10)))))*$D$50)))))*$I61,0)),0)</f>
        <v>0</v>
      </c>
      <c r="AJ61" s="338"/>
      <c r="AK61" s="363" t="s">
        <v>264</v>
      </c>
      <c r="AL61" s="356" t="n">
        <f aca="false">IFERROR(IF($M61=AK61,($D$8+$D$9+$D$10)*$I61,IF($N61=LEFT(AK61,1),($D$8+MAX(0,IF($D$50=1,$D$9*(1-(ABS($Q61-ABS(VALUE(MID(AK61,FIND("|",AK61)+1,FIND("-",AK61)-FIND("|",AK61)-1))-VALUE(MID(AK61,FIND("-",AK61)+1,10)))))*$D$50),$D$9*(1-(IF($N61="X",ABS($O61-VALUE(MID(AK61,FIND("|",AK61)+1,FIND("-",AK61)-FIND("|",AK61)-1))),ABS($Q61-ABS(VALUE(MID(AK61,FIND("|",AK61)+1,FIND("-",AK61)-FIND("|",AK61)-1))-VALUE(MID(AK61,FIND("-",AK61)+1,10)))))*$D$50)))))*$I61,0)),0)</f>
        <v>0</v>
      </c>
      <c r="AM61" s="338"/>
      <c r="AN61" s="363" t="s">
        <v>265</v>
      </c>
      <c r="AO61" s="356" t="n">
        <f aca="false">IFERROR(IF($M61=AN61,($D$8+$D$9+$D$10)*$I61,IF($N61=LEFT(AN61,1),($D$8+MAX(0,IF($D$50=1,$D$9*(1-(ABS($Q61-ABS(VALUE(MID(AN61,FIND("|",AN61)+1,FIND("-",AN61)-FIND("|",AN61)-1))-VALUE(MID(AN61,FIND("-",AN61)+1,10)))))*$D$50),$D$9*(1-(IF($N61="X",ABS($O61-VALUE(MID(AN61,FIND("|",AN61)+1,FIND("-",AN61)-FIND("|",AN61)-1))),ABS($Q61-ABS(VALUE(MID(AN61,FIND("|",AN61)+1,FIND("-",AN61)-FIND("|",AN61)-1))-VALUE(MID(AN61,FIND("-",AN61)+1,10)))))*$D$50)))))*$I61,0)),0)</f>
        <v>0</v>
      </c>
      <c r="AP61" s="338"/>
      <c r="AQ61" s="363" t="s">
        <v>266</v>
      </c>
      <c r="AR61" s="356" t="n">
        <f aca="false">IFERROR(IF($M61=AQ61,($D$8+$D$9+$D$10)*$I61,IF($N61=LEFT(AQ61,1),($D$8+MAX(0,IF($D$50=1,$D$9*(1-(ABS($Q61-ABS(VALUE(MID(AQ61,FIND("|",AQ61)+1,FIND("-",AQ61)-FIND("|",AQ61)-1))-VALUE(MID(AQ61,FIND("-",AQ61)+1,10)))))*$D$50),$D$9*(1-(IF($N61="X",ABS($O61-VALUE(MID(AQ61,FIND("|",AQ61)+1,FIND("-",AQ61)-FIND("|",AQ61)-1))),ABS($Q61-ABS(VALUE(MID(AQ61,FIND("|",AQ61)+1,FIND("-",AQ61)-FIND("|",AQ61)-1))-VALUE(MID(AQ61,FIND("-",AQ61)+1,10)))))*$D$50)))))*$I61,0)),0)</f>
        <v>0</v>
      </c>
      <c r="AS61" s="338"/>
      <c r="AT61" s="363" t="s">
        <v>265</v>
      </c>
      <c r="AU61" s="356" t="n">
        <f aca="false">IFERROR(IF($M61=AT61,($D$8+$D$9+$D$10)*$I61,IF($N61=LEFT(AT61,1),($D$8+MAX(0,IF($D$50=1,$D$9*(1-(ABS($Q61-ABS(VALUE(MID(AT61,FIND("|",AT61)+1,FIND("-",AT61)-FIND("|",AT61)-1))-VALUE(MID(AT61,FIND("-",AT61)+1,10)))))*$D$50),$D$9*(1-(IF($N61="X",ABS($O61-VALUE(MID(AT61,FIND("|",AT61)+1,FIND("-",AT61)-FIND("|",AT61)-1))),ABS($Q61-ABS(VALUE(MID(AT61,FIND("|",AT61)+1,FIND("-",AT61)-FIND("|",AT61)-1))-VALUE(MID(AT61,FIND("-",AT61)+1,10)))))*$D$50)))))*$I61,0)),0)</f>
        <v>0</v>
      </c>
      <c r="AV61" s="338"/>
      <c r="AW61" s="363" t="s">
        <v>265</v>
      </c>
      <c r="AX61" s="356" t="n">
        <f aca="false">IFERROR(IF($M61=AW61,($D$8+$D$9+$D$10)*$I61,IF($N61=LEFT(AW61,1),($D$8+MAX(0,IF($D$50=1,$D$9*(1-(ABS($Q61-ABS(VALUE(MID(AW61,FIND("|",AW61)+1,FIND("-",AW61)-FIND("|",AW61)-1))-VALUE(MID(AW61,FIND("-",AW61)+1,10)))))*$D$50),$D$9*(1-(IF($N61="X",ABS($O61-VALUE(MID(AW61,FIND("|",AW61)+1,FIND("-",AW61)-FIND("|",AW61)-1))),ABS($Q61-ABS(VALUE(MID(AW61,FIND("|",AW61)+1,FIND("-",AW61)-FIND("|",AW61)-1))-VALUE(MID(AW61,FIND("-",AW61)+1,10)))))*$D$50)))))*$I61,0)),0)</f>
        <v>0</v>
      </c>
      <c r="AY61" s="338"/>
      <c r="AZ61" s="363" t="s">
        <v>265</v>
      </c>
      <c r="BA61" s="356" t="n">
        <f aca="false">IFERROR(IF($M61=AZ61,($D$8+$D$9+$D$10)*$I61,IF($N61=LEFT(AZ61,1),($D$8+MAX(0,IF($D$50=1,$D$9*(1-(ABS($Q61-ABS(VALUE(MID(AZ61,FIND("|",AZ61)+1,FIND("-",AZ61)-FIND("|",AZ61)-1))-VALUE(MID(AZ61,FIND("-",AZ61)+1,10)))))*$D$50),$D$9*(1-(IF($N61="X",ABS($O61-VALUE(MID(AZ61,FIND("|",AZ61)+1,FIND("-",AZ61)-FIND("|",AZ61)-1))),ABS($Q61-ABS(VALUE(MID(AZ61,FIND("|",AZ61)+1,FIND("-",AZ61)-FIND("|",AZ61)-1))-VALUE(MID(AZ61,FIND("-",AZ61)+1,10)))))*$D$50)))))*$I61,0)),0)</f>
        <v>0</v>
      </c>
      <c r="BB61" s="338"/>
      <c r="BC61" s="363" t="s">
        <v>274</v>
      </c>
      <c r="BD61" s="356" t="n">
        <f aca="false">IFERROR(IF($M61=BC61,($D$8+$D$9+$D$10)*$I61,IF($N61=LEFT(BC61,1),($D$8+MAX(0,IF($D$50=1,$D$9*(1-(ABS($Q61-ABS(VALUE(MID(BC61,FIND("|",BC61)+1,FIND("-",BC61)-FIND("|",BC61)-1))-VALUE(MID(BC61,FIND("-",BC61)+1,10)))))*$D$50),$D$9*(1-(IF($N61="X",ABS($O61-VALUE(MID(BC61,FIND("|",BC61)+1,FIND("-",BC61)-FIND("|",BC61)-1))),ABS($Q61-ABS(VALUE(MID(BC61,FIND("|",BC61)+1,FIND("-",BC61)-FIND("|",BC61)-1))-VALUE(MID(BC61,FIND("-",BC61)+1,10)))))*$D$50)))))*$I61,0)),0)</f>
        <v>0</v>
      </c>
      <c r="BE61" s="338"/>
      <c r="BF61" s="363" t="s">
        <v>265</v>
      </c>
      <c r="BG61" s="356" t="n">
        <f aca="false">IFERROR(IF($M61=BF61,($D$8+$D$9+$D$10)*$I61,IF($N61=LEFT(BF61,1),($D$8+MAX(0,IF($D$50=1,$D$9*(1-(ABS($Q61-ABS(VALUE(MID(BF61,FIND("|",BF61)+1,FIND("-",BF61)-FIND("|",BF61)-1))-VALUE(MID(BF61,FIND("-",BF61)+1,10)))))*$D$50),$D$9*(1-(IF($N61="X",ABS($O61-VALUE(MID(BF61,FIND("|",BF61)+1,FIND("-",BF61)-FIND("|",BF61)-1))),ABS($Q61-ABS(VALUE(MID(BF61,FIND("|",BF61)+1,FIND("-",BF61)-FIND("|",BF61)-1))-VALUE(MID(BF61,FIND("-",BF61)+1,10)))))*$D$50)))))*$I61,0)),0)</f>
        <v>0</v>
      </c>
      <c r="BH61" s="338"/>
      <c r="BI61" s="363" t="s">
        <v>265</v>
      </c>
      <c r="BJ61" s="356" t="n">
        <f aca="false">IFERROR(IF($M61=BI61,($D$8+$D$9+$D$10)*$I61,IF($N61=LEFT(BI61,1),($D$8+MAX(0,IF($D$50=1,$D$9*(1-(ABS($Q61-ABS(VALUE(MID(BI61,FIND("|",BI61)+1,FIND("-",BI61)-FIND("|",BI61)-1))-VALUE(MID(BI61,FIND("-",BI61)+1,10)))))*$D$50),$D$9*(1-(IF($N61="X",ABS($O61-VALUE(MID(BI61,FIND("|",BI61)+1,FIND("-",BI61)-FIND("|",BI61)-1))),ABS($Q61-ABS(VALUE(MID(BI61,FIND("|",BI61)+1,FIND("-",BI61)-FIND("|",BI61)-1))-VALUE(MID(BI61,FIND("-",BI61)+1,10)))))*$D$50)))))*$I61,0)),0)</f>
        <v>0</v>
      </c>
      <c r="BK61" s="338"/>
      <c r="BL61" s="363" t="s">
        <v>288</v>
      </c>
      <c r="BM61" s="356" t="n">
        <f aca="false">IFERROR(IF($M61=BL61,($D$8+$D$9+$D$10)*$I61,IF($N61=LEFT(BL61,1),($D$8+MAX(0,IF($D$50=1,$D$9*(1-(ABS($Q61-ABS(VALUE(MID(BL61,FIND("|",BL61)+1,FIND("-",BL61)-FIND("|",BL61)-1))-VALUE(MID(BL61,FIND("-",BL61)+1,10)))))*$D$50),$D$9*(1-(IF($N61="X",ABS($O61-VALUE(MID(BL61,FIND("|",BL61)+1,FIND("-",BL61)-FIND("|",BL61)-1))),ABS($Q61-ABS(VALUE(MID(BL61,FIND("|",BL61)+1,FIND("-",BL61)-FIND("|",BL61)-1))-VALUE(MID(BL61,FIND("-",BL61)+1,10)))))*$D$50)))))*$I61,0)),0)</f>
        <v>0</v>
      </c>
      <c r="BN61" s="338"/>
      <c r="BO61" s="363" t="s">
        <v>267</v>
      </c>
      <c r="BP61" s="356" t="n">
        <f aca="false">IFERROR(IF($M61=BO61,($D$8+$D$9+$D$10)*$I61,IF($N61=LEFT(BO61,1),($D$8+MAX(0,IF($D$50=1,$D$9*(1-(ABS($Q61-ABS(VALUE(MID(BO61,FIND("|",BO61)+1,FIND("-",BO61)-FIND("|",BO61)-1))-VALUE(MID(BO61,FIND("-",BO61)+1,10)))))*$D$50),$D$9*(1-(IF($N61="X",ABS($O61-VALUE(MID(BO61,FIND("|",BO61)+1,FIND("-",BO61)-FIND("|",BO61)-1))),ABS($Q61-ABS(VALUE(MID(BO61,FIND("|",BO61)+1,FIND("-",BO61)-FIND("|",BO61)-1))-VALUE(MID(BO61,FIND("-",BO61)+1,10)))))*$D$50)))))*$I61,0)),0)</f>
        <v>0</v>
      </c>
      <c r="BQ61" s="338"/>
      <c r="BR61" s="363" t="s">
        <v>265</v>
      </c>
      <c r="BS61" s="356" t="n">
        <f aca="false">IFERROR(IF($M61=BR61,($D$8+$D$9+$D$10)*$I61,IF($N61=LEFT(BR61,1),($D$8+MAX(0,IF($D$50=1,$D$9*(1-(ABS($Q61-ABS(VALUE(MID(BR61,FIND("|",BR61)+1,FIND("-",BR61)-FIND("|",BR61)-1))-VALUE(MID(BR61,FIND("-",BR61)+1,10)))))*$D$50),$D$9*(1-(IF($N61="X",ABS($O61-VALUE(MID(BR61,FIND("|",BR61)+1,FIND("-",BR61)-FIND("|",BR61)-1))),ABS($Q61-ABS(VALUE(MID(BR61,FIND("|",BR61)+1,FIND("-",BR61)-FIND("|",BR61)-1))-VALUE(MID(BR61,FIND("-",BR61)+1,10)))))*$D$50)))))*$I61,0)),0)</f>
        <v>0</v>
      </c>
      <c r="BT61" s="338"/>
      <c r="BU61" s="363"/>
      <c r="BV61" s="356" t="n">
        <f aca="false">IFERROR(IF($M61=BU61,($D$8+$D$9+$D$10)*$I61,IF($N61=LEFT(BU61,1),($D$8+MAX(0,IF($D$50=1,$D$9*(1-(ABS($Q61-ABS(VALUE(MID(BU61,FIND("|",BU61)+1,FIND("-",BU61)-FIND("|",BU61)-1))-VALUE(MID(BU61,FIND("-",BU61)+1,10)))))*$D$50),$D$9*(1-(IF($N61="X",ABS($O61-VALUE(MID(BU61,FIND("|",BU61)+1,FIND("-",BU61)-FIND("|",BU61)-1))),ABS($Q61-ABS(VALUE(MID(BU61,FIND("|",BU61)+1,FIND("-",BU61)-FIND("|",BU61)-1))-VALUE(MID(BU61,FIND("-",BU61)+1,10)))))*$D$50)))))*$I61,0)),0)</f>
        <v>0</v>
      </c>
      <c r="BW61" s="338"/>
      <c r="BX61" s="363"/>
      <c r="BY61" s="356" t="n">
        <f aca="false">IFERROR(IF($M61=BX61,($D$8+$D$9+$D$10)*$I61,IF($N61=LEFT(BX61,1),($D$8+MAX(0,IF($D$50=1,$D$9*(1-(ABS($Q61-ABS(VALUE(MID(BX61,FIND("|",BX61)+1,FIND("-",BX61)-FIND("|",BX61)-1))-VALUE(MID(BX61,FIND("-",BX61)+1,10)))))*$D$50),$D$9*(1-(IF($N61="X",ABS($O61-VALUE(MID(BX61,FIND("|",BX61)+1,FIND("-",BX61)-FIND("|",BX61)-1))),ABS($Q61-ABS(VALUE(MID(BX61,FIND("|",BX61)+1,FIND("-",BX61)-FIND("|",BX61)-1))-VALUE(MID(BX61,FIND("-",BX61)+1,10)))))*$D$50)))))*$I61,0)),0)</f>
        <v>0</v>
      </c>
      <c r="BZ61" s="338"/>
      <c r="CA61" s="363"/>
      <c r="CB61" s="356" t="n">
        <f aca="false">IFERROR(IF($M61=CA61,($D$8+$D$9+$D$10)*$I61,IF($N61=LEFT(CA61,1),($D$8+MAX(0,IF($D$50=1,$D$9*(1-(ABS($Q61-ABS(VALUE(MID(CA61,FIND("|",CA61)+1,FIND("-",CA61)-FIND("|",CA61)-1))-VALUE(MID(CA61,FIND("-",CA61)+1,10)))))*$D$50),$D$9*(1-(IF($N61="X",ABS($O61-VALUE(MID(CA61,FIND("|",CA61)+1,FIND("-",CA61)-FIND("|",CA61)-1))),ABS($Q61-ABS(VALUE(MID(CA61,FIND("|",CA61)+1,FIND("-",CA61)-FIND("|",CA61)-1))-VALUE(MID(CA61,FIND("-",CA61)+1,10)))))*$D$50)))))*$I61,0)),0)</f>
        <v>0</v>
      </c>
      <c r="CC61" s="338"/>
      <c r="CD61" s="363"/>
      <c r="CE61" s="356" t="n">
        <f aca="false">IFERROR(IF($M61=CD61,($D$8+$D$9+$D$10)*$I61,IF($N61=LEFT(CD61,1),($D$8+MAX(0,IF($D$50=1,$D$9*(1-(ABS($Q61-ABS(VALUE(MID(CD61,FIND("|",CD61)+1,FIND("-",CD61)-FIND("|",CD61)-1))-VALUE(MID(CD61,FIND("-",CD61)+1,10)))))*$D$50),$D$9*(1-(IF($N61="X",ABS($O61-VALUE(MID(CD61,FIND("|",CD61)+1,FIND("-",CD61)-FIND("|",CD61)-1))),ABS($Q61-ABS(VALUE(MID(CD61,FIND("|",CD61)+1,FIND("-",CD61)-FIND("|",CD61)-1))-VALUE(MID(CD61,FIND("-",CD61)+1,10)))))*$D$50)))))*$I61,0)),0)</f>
        <v>0</v>
      </c>
      <c r="CF61" s="338"/>
      <c r="CG61" s="363"/>
      <c r="CH61" s="356" t="n">
        <f aca="false">IFERROR(IF($M61=CG61,($D$8+$D$9+$D$10)*$I61,IF($N61=LEFT(CG61,1),($D$8+MAX(0,IF($D$50=1,$D$9*(1-(ABS($Q61-ABS(VALUE(MID(CG61,FIND("|",CG61)+1,FIND("-",CG61)-FIND("|",CG61)-1))-VALUE(MID(CG61,FIND("-",CG61)+1,10)))))*$D$50),$D$9*(1-(IF($N61="X",ABS($O61-VALUE(MID(CG61,FIND("|",CG61)+1,FIND("-",CG61)-FIND("|",CG61)-1))),ABS($Q61-ABS(VALUE(MID(CG61,FIND("|",CG61)+1,FIND("-",CG61)-FIND("|",CG61)-1))-VALUE(MID(CG61,FIND("-",CG61)+1,10)))))*$D$50)))))*$I61,0)),0)</f>
        <v>0</v>
      </c>
      <c r="CI61" s="338"/>
      <c r="CJ61" s="363"/>
      <c r="CK61" s="356" t="n">
        <f aca="false">IFERROR(IF($M61=CJ61,($D$8+$D$9+$D$10)*$I61,IF($N61=LEFT(CJ61,1),($D$8+MAX(0,IF($D$50=1,$D$9*(1-(ABS($Q61-ABS(VALUE(MID(CJ61,FIND("|",CJ61)+1,FIND("-",CJ61)-FIND("|",CJ61)-1))-VALUE(MID(CJ61,FIND("-",CJ61)+1,10)))))*$D$50),$D$9*(1-(IF($N61="X",ABS($O61-VALUE(MID(CJ61,FIND("|",CJ61)+1,FIND("-",CJ61)-FIND("|",CJ61)-1))),ABS($Q61-ABS(VALUE(MID(CJ61,FIND("|",CJ61)+1,FIND("-",CJ61)-FIND("|",CJ61)-1))-VALUE(MID(CJ61,FIND("-",CJ61)+1,10)))))*$D$50)))))*$I61,0)),0)</f>
        <v>0</v>
      </c>
      <c r="CL61" s="338"/>
      <c r="CM61" s="363"/>
      <c r="CN61" s="356" t="n">
        <f aca="false">IFERROR(IF($M61=CM61,($D$8+$D$9+$D$10)*$I61,IF($N61=LEFT(CM61,1),($D$8+MAX(0,IF($D$50=1,$D$9*(1-(ABS($Q61-ABS(VALUE(MID(CM61,FIND("|",CM61)+1,FIND("-",CM61)-FIND("|",CM61)-1))-VALUE(MID(CM61,FIND("-",CM61)+1,10)))))*$D$50),$D$9*(1-(IF($N61="X",ABS($O61-VALUE(MID(CM61,FIND("|",CM61)+1,FIND("-",CM61)-FIND("|",CM61)-1))),ABS($Q61-ABS(VALUE(MID(CM61,FIND("|",CM61)+1,FIND("-",CM61)-FIND("|",CM61)-1))-VALUE(MID(CM61,FIND("-",CM61)+1,10)))))*$D$50)))))*$I61,0)),0)</f>
        <v>0</v>
      </c>
      <c r="CO61" s="338"/>
      <c r="CP61" s="363"/>
      <c r="CQ61" s="356" t="n">
        <f aca="false">IFERROR(IF($M61=CP61,($D$8+$D$9+$D$10)*$I61,IF($N61=LEFT(CP61,1),($D$8+MAX(0,IF($D$50=1,$D$9*(1-(ABS($Q61-ABS(VALUE(MID(CP61,FIND("|",CP61)+1,FIND("-",CP61)-FIND("|",CP61)-1))-VALUE(MID(CP61,FIND("-",CP61)+1,10)))))*$D$50),$D$9*(1-(IF($N61="X",ABS($O61-VALUE(MID(CP61,FIND("|",CP61)+1,FIND("-",CP61)-FIND("|",CP61)-1))),ABS($Q61-ABS(VALUE(MID(CP61,FIND("|",CP61)+1,FIND("-",CP61)-FIND("|",CP61)-1))-VALUE(MID(CP61,FIND("-",CP61)+1,10)))))*$D$50)))))*$I61,0)),0)</f>
        <v>0</v>
      </c>
      <c r="CR61" s="338"/>
      <c r="CS61" s="363"/>
      <c r="CT61" s="356" t="n">
        <f aca="false">IFERROR(IF($M61=CS61,($D$8+$D$9+$D$10)*$I61,IF($N61=LEFT(CS61,1),($D$8+MAX(0,IF($D$50=1,$D$9*(1-(ABS($Q61-ABS(VALUE(MID(CS61,FIND("|",CS61)+1,FIND("-",CS61)-FIND("|",CS61)-1))-VALUE(MID(CS61,FIND("-",CS61)+1,10)))))*$D$50),$D$9*(1-(IF($N61="X",ABS($O61-VALUE(MID(CS61,FIND("|",CS61)+1,FIND("-",CS61)-FIND("|",CS61)-1))),ABS($Q61-ABS(VALUE(MID(CS61,FIND("|",CS61)+1,FIND("-",CS61)-FIND("|",CS61)-1))-VALUE(MID(CS61,FIND("-",CS61)+1,10)))))*$D$50)))))*$I61,0)),0)</f>
        <v>0</v>
      </c>
      <c r="CU61" s="338"/>
      <c r="CV61" s="363"/>
      <c r="CW61" s="356" t="n">
        <f aca="false">IFERROR(IF($M61=CV61,($D$8+$D$9+$D$10)*$I61,IF($N61=LEFT(CV61,1),($D$8+MAX(0,IF($D$50=1,$D$9*(1-(ABS($Q61-ABS(VALUE(MID(CV61,FIND("|",CV61)+1,FIND("-",CV61)-FIND("|",CV61)-1))-VALUE(MID(CV61,FIND("-",CV61)+1,10)))))*$D$50),$D$9*(1-(IF($N61="X",ABS($O61-VALUE(MID(CV61,FIND("|",CV61)+1,FIND("-",CV61)-FIND("|",CV61)-1))),ABS($Q61-ABS(VALUE(MID(CV61,FIND("|",CV61)+1,FIND("-",CV61)-FIND("|",CV61)-1))-VALUE(MID(CV61,FIND("-",CV61)+1,10)))))*$D$50)))))*$I61,0)),0)</f>
        <v>0</v>
      </c>
      <c r="CX61" s="338"/>
      <c r="CY61" s="363"/>
      <c r="CZ61" s="356" t="n">
        <f aca="false">IFERROR(IF($M61=CY61,($D$8+$D$9+$D$10)*$I61,IF($N61=LEFT(CY61,1),($D$8+MAX(0,IF($D$50=1,$D$9*(1-(ABS($Q61-ABS(VALUE(MID(CY61,FIND("|",CY61)+1,FIND("-",CY61)-FIND("|",CY61)-1))-VALUE(MID(CY61,FIND("-",CY61)+1,10)))))*$D$50),$D$9*(1-(IF($N61="X",ABS($O61-VALUE(MID(CY61,FIND("|",CY61)+1,FIND("-",CY61)-FIND("|",CY61)-1))),ABS($Q61-ABS(VALUE(MID(CY61,FIND("|",CY61)+1,FIND("-",CY61)-FIND("|",CY61)-1))-VALUE(MID(CY61,FIND("-",CY61)+1,10)))))*$D$50)))))*$I61,0)),0)</f>
        <v>0</v>
      </c>
      <c r="DA61" s="338"/>
      <c r="DB61" s="363"/>
      <c r="DC61" s="356" t="n">
        <f aca="false">IFERROR(IF($M61=DB61,($D$8+$D$9+$D$10)*$I61,IF($N61=LEFT(DB61,1),($D$8+MAX(0,IF($D$50=1,$D$9*(1-(ABS($Q61-ABS(VALUE(MID(DB61,FIND("|",DB61)+1,FIND("-",DB61)-FIND("|",DB61)-1))-VALUE(MID(DB61,FIND("-",DB61)+1,10)))))*$D$50),$D$9*(1-(IF($N61="X",ABS($O61-VALUE(MID(DB61,FIND("|",DB61)+1,FIND("-",DB61)-FIND("|",DB61)-1))),ABS($Q61-ABS(VALUE(MID(DB61,FIND("|",DB61)+1,FIND("-",DB61)-FIND("|",DB61)-1))-VALUE(MID(DB61,FIND("-",DB61)+1,10)))))*$D$50)))))*$I61,0)),0)</f>
        <v>0</v>
      </c>
      <c r="DD61" s="338"/>
      <c r="DE61" s="363"/>
      <c r="DF61" s="356" t="n">
        <f aca="false">IFERROR(IF($M61=DE61,($D$8+$D$9+$D$10)*$I61,IF($N61=LEFT(DE61,1),($D$8+MAX(0,IF($D$50=1,$D$9*(1-(ABS($Q61-ABS(VALUE(MID(DE61,FIND("|",DE61)+1,FIND("-",DE61)-FIND("|",DE61)-1))-VALUE(MID(DE61,FIND("-",DE61)+1,10)))))*$D$50),$D$9*(1-(IF($N61="X",ABS($O61-VALUE(MID(DE61,FIND("|",DE61)+1,FIND("-",DE61)-FIND("|",DE61)-1))),ABS($Q61-ABS(VALUE(MID(DE61,FIND("|",DE61)+1,FIND("-",DE61)-FIND("|",DE61)-1))-VALUE(MID(DE61,FIND("-",DE61)+1,10)))))*$D$50)))))*$I61,0)),0)</f>
        <v>0</v>
      </c>
      <c r="DG61" s="338"/>
      <c r="DH61" s="363"/>
      <c r="DI61" s="356" t="n">
        <f aca="false">IFERROR(IF($M61=DH61,($D$8+$D$9+$D$10)*$I61,IF($N61=LEFT(DH61,1),($D$8+MAX(0,IF($D$50=1,$D$9*(1-(ABS($Q61-ABS(VALUE(MID(DH61,FIND("|",DH61)+1,FIND("-",DH61)-FIND("|",DH61)-1))-VALUE(MID(DH61,FIND("-",DH61)+1,10)))))*$D$50),$D$9*(1-(IF($N61="X",ABS($O61-VALUE(MID(DH61,FIND("|",DH61)+1,FIND("-",DH61)-FIND("|",DH61)-1))),ABS($Q61-ABS(VALUE(MID(DH61,FIND("|",DH61)+1,FIND("-",DH61)-FIND("|",DH61)-1))-VALUE(MID(DH61,FIND("-",DH61)+1,10)))))*$D$50)))))*$I61,0)),0)</f>
        <v>0</v>
      </c>
      <c r="DJ61" s="338"/>
      <c r="DK61" s="363"/>
      <c r="DL61" s="356" t="n">
        <f aca="false">IFERROR(IF($M61=DK61,($D$8+$D$9+$D$10)*$I61,IF($N61=LEFT(DK61,1),($D$8+MAX(0,IF($D$50=1,$D$9*(1-(ABS($Q61-ABS(VALUE(MID(DK61,FIND("|",DK61)+1,FIND("-",DK61)-FIND("|",DK61)-1))-VALUE(MID(DK61,FIND("-",DK61)+1,10)))))*$D$50),$D$9*(1-(IF($N61="X",ABS($O61-VALUE(MID(DK61,FIND("|",DK61)+1,FIND("-",DK61)-FIND("|",DK61)-1))),ABS($Q61-ABS(VALUE(MID(DK61,FIND("|",DK61)+1,FIND("-",DK61)-FIND("|",DK61)-1))-VALUE(MID(DK61,FIND("-",DK61)+1,10)))))*$D$50)))))*$I61,0)),0)</f>
        <v>0</v>
      </c>
      <c r="DM61" s="338"/>
      <c r="DN61" s="363"/>
      <c r="DO61" s="356" t="n">
        <f aca="false">IFERROR(IF($M61=DN61,($D$8+$D$9+$D$10)*$I61,IF($N61=LEFT(DN61,1),($D$8+MAX(0,IF($D$50=1,$D$9*(1-(ABS($Q61-ABS(VALUE(MID(DN61,FIND("|",DN61)+1,FIND("-",DN61)-FIND("|",DN61)-1))-VALUE(MID(DN61,FIND("-",DN61)+1,10)))))*$D$50),$D$9*(1-(IF($N61="X",ABS($O61-VALUE(MID(DN61,FIND("|",DN61)+1,FIND("-",DN61)-FIND("|",DN61)-1))),ABS($Q61-ABS(VALUE(MID(DN61,FIND("|",DN61)+1,FIND("-",DN61)-FIND("|",DN61)-1))-VALUE(MID(DN61,FIND("-",DN61)+1,10)))))*$D$50)))))*$I61,0)),0)</f>
        <v>0</v>
      </c>
      <c r="DP61" s="338"/>
      <c r="DQ61" s="363"/>
      <c r="DR61" s="356" t="n">
        <f aca="false">IFERROR(IF($M61=DQ61,($D$8+$D$9+$D$10)*$I61,IF($N61=LEFT(DQ61,1),($D$8+MAX(0,IF($D$50=1,$D$9*(1-(ABS($Q61-ABS(VALUE(MID(DQ61,FIND("|",DQ61)+1,FIND("-",DQ61)-FIND("|",DQ61)-1))-VALUE(MID(DQ61,FIND("-",DQ61)+1,10)))))*$D$50),$D$9*(1-(IF($N61="X",ABS($O61-VALUE(MID(DQ61,FIND("|",DQ61)+1,FIND("-",DQ61)-FIND("|",DQ61)-1))),ABS($Q61-ABS(VALUE(MID(DQ61,FIND("|",DQ61)+1,FIND("-",DQ61)-FIND("|",DQ61)-1))-VALUE(MID(DQ61,FIND("-",DQ61)+1,10)))))*$D$50)))))*$I61,0)),0)</f>
        <v>0</v>
      </c>
      <c r="DS61" s="338"/>
      <c r="DT61" s="363"/>
      <c r="DU61" s="356" t="n">
        <f aca="false">IFERROR(IF($M61=DT61,($D$8+$D$9+$D$10)*$I61,IF($N61=LEFT(DT61,1),($D$8+MAX(0,IF($D$50=1,$D$9*(1-(ABS($Q61-ABS(VALUE(MID(DT61,FIND("|",DT61)+1,FIND("-",DT61)-FIND("|",DT61)-1))-VALUE(MID(DT61,FIND("-",DT61)+1,10)))))*$D$50),$D$9*(1-(IF($N61="X",ABS($O61-VALUE(MID(DT61,FIND("|",DT61)+1,FIND("-",DT61)-FIND("|",DT61)-1))),ABS($Q61-ABS(VALUE(MID(DT61,FIND("|",DT61)+1,FIND("-",DT61)-FIND("|",DT61)-1))-VALUE(MID(DT61,FIND("-",DT61)+1,10)))))*$D$50)))))*$I61,0)),0)</f>
        <v>0</v>
      </c>
      <c r="DV61" s="338"/>
      <c r="DW61" s="363"/>
      <c r="DX61" s="356" t="n">
        <f aca="false">IFERROR(IF($M61=DW61,($D$8+$D$9+$D$10)*$I61,IF($N61=LEFT(DW61,1),($D$8+MAX(0,IF($D$50=1,$D$9*(1-(ABS($Q61-ABS(VALUE(MID(DW61,FIND("|",DW61)+1,FIND("-",DW61)-FIND("|",DW61)-1))-VALUE(MID(DW61,FIND("-",DW61)+1,10)))))*$D$50),$D$9*(1-(IF($N61="X",ABS($O61-VALUE(MID(DW61,FIND("|",DW61)+1,FIND("-",DW61)-FIND("|",DW61)-1))),ABS($Q61-ABS(VALUE(MID(DW61,FIND("|",DW61)+1,FIND("-",DW61)-FIND("|",DW61)-1))-VALUE(MID(DW61,FIND("-",DW61)+1,10)))))*$D$50)))))*$I61,0)),0)</f>
        <v>0</v>
      </c>
      <c r="DY61" s="338"/>
      <c r="DZ61" s="363"/>
      <c r="EA61" s="356" t="n">
        <f aca="false">IFERROR(IF($M61=DZ61,($D$8+$D$9+$D$10)*$I61,IF($N61=LEFT(DZ61,1),($D$8+MAX(0,IF($D$50=1,$D$9*(1-(ABS($Q61-ABS(VALUE(MID(DZ61,FIND("|",DZ61)+1,FIND("-",DZ61)-FIND("|",DZ61)-1))-VALUE(MID(DZ61,FIND("-",DZ61)+1,10)))))*$D$50),$D$9*(1-(IF($N61="X",ABS($O61-VALUE(MID(DZ61,FIND("|",DZ61)+1,FIND("-",DZ61)-FIND("|",DZ61)-1))),ABS($Q61-ABS(VALUE(MID(DZ61,FIND("|",DZ61)+1,FIND("-",DZ61)-FIND("|",DZ61)-1))-VALUE(MID(DZ61,FIND("-",DZ61)+1,10)))))*$D$50)))))*$I61,0)),0)</f>
        <v>0</v>
      </c>
      <c r="EB61" s="338"/>
      <c r="EC61" s="363"/>
      <c r="ED61" s="356" t="n">
        <f aca="false">IFERROR(IF($M61=EC61,($D$8+$D$9+$D$10)*$I61,IF($N61=LEFT(EC61,1),($D$8+MAX(0,IF($D$50=1,$D$9*(1-(ABS($Q61-ABS(VALUE(MID(EC61,FIND("|",EC61)+1,FIND("-",EC61)-FIND("|",EC61)-1))-VALUE(MID(EC61,FIND("-",EC61)+1,10)))))*$D$50),$D$9*(1-(IF($N61="X",ABS($O61-VALUE(MID(EC61,FIND("|",EC61)+1,FIND("-",EC61)-FIND("|",EC61)-1))),ABS($Q61-ABS(VALUE(MID(EC61,FIND("|",EC61)+1,FIND("-",EC61)-FIND("|",EC61)-1))-VALUE(MID(EC61,FIND("-",EC61)+1,10)))))*$D$50)))))*$I61,0)),0)</f>
        <v>0</v>
      </c>
      <c r="EE61" s="338"/>
      <c r="EF61" s="363"/>
      <c r="EG61" s="356" t="n">
        <f aca="false">IFERROR(IF($M61=EF61,($D$8+$D$9+$D$10)*$I61,IF($N61=LEFT(EF61,1),($D$8+MAX(0,IF($D$50=1,$D$9*(1-(ABS($Q61-ABS(VALUE(MID(EF61,FIND("|",EF61)+1,FIND("-",EF61)-FIND("|",EF61)-1))-VALUE(MID(EF61,FIND("-",EF61)+1,10)))))*$D$50),$D$9*(1-(IF($N61="X",ABS($O61-VALUE(MID(EF61,FIND("|",EF61)+1,FIND("-",EF61)-FIND("|",EF61)-1))),ABS($Q61-ABS(VALUE(MID(EF61,FIND("|",EF61)+1,FIND("-",EF61)-FIND("|",EF61)-1))-VALUE(MID(EF61,FIND("-",EF61)+1,10)))))*$D$50)))))*$I61,0)),0)</f>
        <v>0</v>
      </c>
      <c r="EH61" s="338"/>
      <c r="EI61" s="338"/>
    </row>
    <row r="62" customFormat="false" ht="15" hidden="false" customHeight="false" outlineLevel="0" collapsed="false">
      <c r="A62" s="327"/>
      <c r="B62" s="327"/>
      <c r="C62" s="390" t="str">
        <f aca="false">"MAX. "&amp;$K$249</f>
        <v>MAX. CUADRO DE HONOR</v>
      </c>
      <c r="D62" s="391" t="n">
        <f aca="false">SUM($D$39:$D$47)</f>
        <v>180</v>
      </c>
      <c r="E62" s="334"/>
      <c r="F62" s="343" t="n">
        <f aca="false">SUM($D$8:$D$10)*I62</f>
        <v>17</v>
      </c>
      <c r="G62" s="343" t="n">
        <f aca="false">VLOOKUP(H62,Equipos!$Q$1:$R$25,2,0)</f>
        <v>16</v>
      </c>
      <c r="H62" s="351" t="n">
        <f aca="false">TRUNC(INDEX(WORLDCUP!$X$4:$X$147,MATCH(ADMIN!K62,WORLDCUP!$DT$4:$DT$147,0))+INDEX(Horarios!$R$3:$R$86,MATCH(Horarios!$C$3,Horarios!$P$3:$P$86,0))/24)</f>
        <v>46199</v>
      </c>
      <c r="I62" s="352" t="n">
        <v>1</v>
      </c>
      <c r="J62" s="353" t="s">
        <v>319</v>
      </c>
      <c r="K62" s="367" t="str">
        <f aca="false">CONCATENATE(WORLDCUP!AA40,"-",WORLDCUP!AF40)</f>
        <v>Curazao-Costa de Marfil</v>
      </c>
      <c r="L62" s="354"/>
      <c r="M62" s="359" t="str">
        <f aca="false">IF(OR(WORLDCUP!AC40="",WORLDCUP!AD40=""),"-",N62&amp;"|"&amp;O62&amp;"-"&amp;P62)</f>
        <v>-</v>
      </c>
      <c r="N62" s="332" t="str">
        <f aca="false">IF(OR(WORLDCUP!AC40="",WORLDCUP!AD40=""),"",IF(WORLDCUP!AC40&gt;WORLDCUP!AD40,"1",IF(WORLDCUP!AC40&lt;WORLDCUP!AD40,"2","X")))</f>
        <v/>
      </c>
      <c r="O62" s="332" t="n">
        <f aca="false">WORLDCUP!AC40</f>
        <v>0</v>
      </c>
      <c r="P62" s="332" t="n">
        <f aca="false">WORLDCUP!AD40</f>
        <v>0</v>
      </c>
      <c r="Q62" s="332" t="n">
        <f aca="false">ABS(O62-P62)</f>
        <v>0</v>
      </c>
      <c r="R62" s="327"/>
      <c r="S62" s="363" t="s">
        <v>277</v>
      </c>
      <c r="T62" s="356" t="n">
        <f aca="false">IFERROR(IF($M62=S62,($D$8+$D$9+$D$10)*$I62,IF($N62=LEFT(S62,1),($D$8+MAX(0,IF($D$50=1,$D$9*(1-(ABS($Q62-ABS(VALUE(MID(S62,FIND("|",S62)+1,FIND("-",S62)-FIND("|",S62)-1))-VALUE(MID(S62,FIND("-",S62)+1,10)))))*$D$50),$D$9*(1-(IF($N62="X",ABS($O62-VALUE(MID(S62,FIND("|",S62)+1,FIND("-",S62)-FIND("|",S62)-1))),ABS($Q62-ABS(VALUE(MID(S62,FIND("|",S62)+1,FIND("-",S62)-FIND("|",S62)-1))-VALUE(MID(S62,FIND("-",S62)+1,10)))))*$D$50)))))*$I62,0)),0)</f>
        <v>0</v>
      </c>
      <c r="U62" s="338"/>
      <c r="V62" s="363" t="s">
        <v>274</v>
      </c>
      <c r="W62" s="356" t="n">
        <f aca="false">IFERROR(IF($M62=V62,($D$8+$D$9+$D$10)*$I62,IF($N62=LEFT(V62,1),($D$8+MAX(0,IF($D$50=1,$D$9*(1-(ABS($Q62-ABS(VALUE(MID(V62,FIND("|",V62)+1,FIND("-",V62)-FIND("|",V62)-1))-VALUE(MID(V62,FIND("-",V62)+1,10)))))*$D$50),$D$9*(1-(IF($N62="X",ABS($O62-VALUE(MID(V62,FIND("|",V62)+1,FIND("-",V62)-FIND("|",V62)-1))),ABS($Q62-ABS(VALUE(MID(V62,FIND("|",V62)+1,FIND("-",V62)-FIND("|",V62)-1))-VALUE(MID(V62,FIND("-",V62)+1,10)))))*$D$50)))))*$I62,0)),0)</f>
        <v>0</v>
      </c>
      <c r="X62" s="338"/>
      <c r="Y62" s="363" t="s">
        <v>274</v>
      </c>
      <c r="Z62" s="356" t="n">
        <f aca="false">IFERROR(IF($M62=Y62,($D$8+$D$9+$D$10)*$I62,IF($N62=LEFT(Y62,1),($D$8+MAX(0,IF($D$50=1,$D$9*(1-(ABS($Q62-ABS(VALUE(MID(Y62,FIND("|",Y62)+1,FIND("-",Y62)-FIND("|",Y62)-1))-VALUE(MID(Y62,FIND("-",Y62)+1,10)))))*$D$50),$D$9*(1-(IF($N62="X",ABS($O62-VALUE(MID(Y62,FIND("|",Y62)+1,FIND("-",Y62)-FIND("|",Y62)-1))),ABS($Q62-ABS(VALUE(MID(Y62,FIND("|",Y62)+1,FIND("-",Y62)-FIND("|",Y62)-1))-VALUE(MID(Y62,FIND("-",Y62)+1,10)))))*$D$50)))))*$I62,0)),0)</f>
        <v>0</v>
      </c>
      <c r="AA62" s="338"/>
      <c r="AB62" s="363" t="s">
        <v>271</v>
      </c>
      <c r="AC62" s="356" t="n">
        <f aca="false">IFERROR(IF($M62=AB62,($D$8+$D$9+$D$10)*$I62,IF($N62=LEFT(AB62,1),($D$8+MAX(0,IF($D$50=1,$D$9*(1-(ABS($Q62-ABS(VALUE(MID(AB62,FIND("|",AB62)+1,FIND("-",AB62)-FIND("|",AB62)-1))-VALUE(MID(AB62,FIND("-",AB62)+1,10)))))*$D$50),$D$9*(1-(IF($N62="X",ABS($O62-VALUE(MID(AB62,FIND("|",AB62)+1,FIND("-",AB62)-FIND("|",AB62)-1))),ABS($Q62-ABS(VALUE(MID(AB62,FIND("|",AB62)+1,FIND("-",AB62)-FIND("|",AB62)-1))-VALUE(MID(AB62,FIND("-",AB62)+1,10)))))*$D$50)))))*$I62,0)),0)</f>
        <v>0</v>
      </c>
      <c r="AD62" s="338"/>
      <c r="AE62" s="363" t="s">
        <v>274</v>
      </c>
      <c r="AF62" s="356" t="n">
        <f aca="false">IFERROR(IF($M62=AE62,($D$8+$D$9+$D$10)*$I62,IF($N62=LEFT(AE62,1),($D$8+MAX(0,IF($D$50=1,$D$9*(1-(ABS($Q62-ABS(VALUE(MID(AE62,FIND("|",AE62)+1,FIND("-",AE62)-FIND("|",AE62)-1))-VALUE(MID(AE62,FIND("-",AE62)+1,10)))))*$D$50),$D$9*(1-(IF($N62="X",ABS($O62-VALUE(MID(AE62,FIND("|",AE62)+1,FIND("-",AE62)-FIND("|",AE62)-1))),ABS($Q62-ABS(VALUE(MID(AE62,FIND("|",AE62)+1,FIND("-",AE62)-FIND("|",AE62)-1))-VALUE(MID(AE62,FIND("-",AE62)+1,10)))))*$D$50)))))*$I62,0)),0)</f>
        <v>0</v>
      </c>
      <c r="AG62" s="338"/>
      <c r="AH62" s="363" t="s">
        <v>274</v>
      </c>
      <c r="AI62" s="356" t="n">
        <f aca="false">IFERROR(IF($M62=AH62,($D$8+$D$9+$D$10)*$I62,IF($N62=LEFT(AH62,1),($D$8+MAX(0,IF($D$50=1,$D$9*(1-(ABS($Q62-ABS(VALUE(MID(AH62,FIND("|",AH62)+1,FIND("-",AH62)-FIND("|",AH62)-1))-VALUE(MID(AH62,FIND("-",AH62)+1,10)))))*$D$50),$D$9*(1-(IF($N62="X",ABS($O62-VALUE(MID(AH62,FIND("|",AH62)+1,FIND("-",AH62)-FIND("|",AH62)-1))),ABS($Q62-ABS(VALUE(MID(AH62,FIND("|",AH62)+1,FIND("-",AH62)-FIND("|",AH62)-1))-VALUE(MID(AH62,FIND("-",AH62)+1,10)))))*$D$50)))))*$I62,0)),0)</f>
        <v>0</v>
      </c>
      <c r="AJ62" s="338"/>
      <c r="AK62" s="363" t="s">
        <v>273</v>
      </c>
      <c r="AL62" s="356" t="n">
        <f aca="false">IFERROR(IF($M62=AK62,($D$8+$D$9+$D$10)*$I62,IF($N62=LEFT(AK62,1),($D$8+MAX(0,IF($D$50=1,$D$9*(1-(ABS($Q62-ABS(VALUE(MID(AK62,FIND("|",AK62)+1,FIND("-",AK62)-FIND("|",AK62)-1))-VALUE(MID(AK62,FIND("-",AK62)+1,10)))))*$D$50),$D$9*(1-(IF($N62="X",ABS($O62-VALUE(MID(AK62,FIND("|",AK62)+1,FIND("-",AK62)-FIND("|",AK62)-1))),ABS($Q62-ABS(VALUE(MID(AK62,FIND("|",AK62)+1,FIND("-",AK62)-FIND("|",AK62)-1))-VALUE(MID(AK62,FIND("-",AK62)+1,10)))))*$D$50)))))*$I62,0)),0)</f>
        <v>0</v>
      </c>
      <c r="AM62" s="338"/>
      <c r="AN62" s="363" t="s">
        <v>277</v>
      </c>
      <c r="AO62" s="356" t="n">
        <f aca="false">IFERROR(IF($M62=AN62,($D$8+$D$9+$D$10)*$I62,IF($N62=LEFT(AN62,1),($D$8+MAX(0,IF($D$50=1,$D$9*(1-(ABS($Q62-ABS(VALUE(MID(AN62,FIND("|",AN62)+1,FIND("-",AN62)-FIND("|",AN62)-1))-VALUE(MID(AN62,FIND("-",AN62)+1,10)))))*$D$50),$D$9*(1-(IF($N62="X",ABS($O62-VALUE(MID(AN62,FIND("|",AN62)+1,FIND("-",AN62)-FIND("|",AN62)-1))),ABS($Q62-ABS(VALUE(MID(AN62,FIND("|",AN62)+1,FIND("-",AN62)-FIND("|",AN62)-1))-VALUE(MID(AN62,FIND("-",AN62)+1,10)))))*$D$50)))))*$I62,0)),0)</f>
        <v>0</v>
      </c>
      <c r="AP62" s="338"/>
      <c r="AQ62" s="363" t="s">
        <v>274</v>
      </c>
      <c r="AR62" s="356" t="n">
        <f aca="false">IFERROR(IF($M62=AQ62,($D$8+$D$9+$D$10)*$I62,IF($N62=LEFT(AQ62,1),($D$8+MAX(0,IF($D$50=1,$D$9*(1-(ABS($Q62-ABS(VALUE(MID(AQ62,FIND("|",AQ62)+1,FIND("-",AQ62)-FIND("|",AQ62)-1))-VALUE(MID(AQ62,FIND("-",AQ62)+1,10)))))*$D$50),$D$9*(1-(IF($N62="X",ABS($O62-VALUE(MID(AQ62,FIND("|",AQ62)+1,FIND("-",AQ62)-FIND("|",AQ62)-1))),ABS($Q62-ABS(VALUE(MID(AQ62,FIND("|",AQ62)+1,FIND("-",AQ62)-FIND("|",AQ62)-1))-VALUE(MID(AQ62,FIND("-",AQ62)+1,10)))))*$D$50)))))*$I62,0)),0)</f>
        <v>0</v>
      </c>
      <c r="AS62" s="338"/>
      <c r="AT62" s="363" t="s">
        <v>277</v>
      </c>
      <c r="AU62" s="356" t="n">
        <f aca="false">IFERROR(IF($M62=AT62,($D$8+$D$9+$D$10)*$I62,IF($N62=LEFT(AT62,1),($D$8+MAX(0,IF($D$50=1,$D$9*(1-(ABS($Q62-ABS(VALUE(MID(AT62,FIND("|",AT62)+1,FIND("-",AT62)-FIND("|",AT62)-1))-VALUE(MID(AT62,FIND("-",AT62)+1,10)))))*$D$50),$D$9*(1-(IF($N62="X",ABS($O62-VALUE(MID(AT62,FIND("|",AT62)+1,FIND("-",AT62)-FIND("|",AT62)-1))),ABS($Q62-ABS(VALUE(MID(AT62,FIND("|",AT62)+1,FIND("-",AT62)-FIND("|",AT62)-1))-VALUE(MID(AT62,FIND("-",AT62)+1,10)))))*$D$50)))))*$I62,0)),0)</f>
        <v>0</v>
      </c>
      <c r="AV62" s="338"/>
      <c r="AW62" s="363" t="s">
        <v>268</v>
      </c>
      <c r="AX62" s="356" t="n">
        <f aca="false">IFERROR(IF($M62=AW62,($D$8+$D$9+$D$10)*$I62,IF($N62=LEFT(AW62,1),($D$8+MAX(0,IF($D$50=1,$D$9*(1-(ABS($Q62-ABS(VALUE(MID(AW62,FIND("|",AW62)+1,FIND("-",AW62)-FIND("|",AW62)-1))-VALUE(MID(AW62,FIND("-",AW62)+1,10)))))*$D$50),$D$9*(1-(IF($N62="X",ABS($O62-VALUE(MID(AW62,FIND("|",AW62)+1,FIND("-",AW62)-FIND("|",AW62)-1))),ABS($Q62-ABS(VALUE(MID(AW62,FIND("|",AW62)+1,FIND("-",AW62)-FIND("|",AW62)-1))-VALUE(MID(AW62,FIND("-",AW62)+1,10)))))*$D$50)))))*$I62,0)),0)</f>
        <v>0</v>
      </c>
      <c r="AY62" s="338"/>
      <c r="AZ62" s="363" t="s">
        <v>268</v>
      </c>
      <c r="BA62" s="356" t="n">
        <f aca="false">IFERROR(IF($M62=AZ62,($D$8+$D$9+$D$10)*$I62,IF($N62=LEFT(AZ62,1),($D$8+MAX(0,IF($D$50=1,$D$9*(1-(ABS($Q62-ABS(VALUE(MID(AZ62,FIND("|",AZ62)+1,FIND("-",AZ62)-FIND("|",AZ62)-1))-VALUE(MID(AZ62,FIND("-",AZ62)+1,10)))))*$D$50),$D$9*(1-(IF($N62="X",ABS($O62-VALUE(MID(AZ62,FIND("|",AZ62)+1,FIND("-",AZ62)-FIND("|",AZ62)-1))),ABS($Q62-ABS(VALUE(MID(AZ62,FIND("|",AZ62)+1,FIND("-",AZ62)-FIND("|",AZ62)-1))-VALUE(MID(AZ62,FIND("-",AZ62)+1,10)))))*$D$50)))))*$I62,0)),0)</f>
        <v>0</v>
      </c>
      <c r="BB62" s="338"/>
      <c r="BC62" s="363" t="s">
        <v>320</v>
      </c>
      <c r="BD62" s="356" t="n">
        <f aca="false">IFERROR(IF($M62=BC62,($D$8+$D$9+$D$10)*$I62,IF($N62=LEFT(BC62,1),($D$8+MAX(0,IF($D$50=1,$D$9*(1-(ABS($Q62-ABS(VALUE(MID(BC62,FIND("|",BC62)+1,FIND("-",BC62)-FIND("|",BC62)-1))-VALUE(MID(BC62,FIND("-",BC62)+1,10)))))*$D$50),$D$9*(1-(IF($N62="X",ABS($O62-VALUE(MID(BC62,FIND("|",BC62)+1,FIND("-",BC62)-FIND("|",BC62)-1))),ABS($Q62-ABS(VALUE(MID(BC62,FIND("|",BC62)+1,FIND("-",BC62)-FIND("|",BC62)-1))-VALUE(MID(BC62,FIND("-",BC62)+1,10)))))*$D$50)))))*$I62,0)),0)</f>
        <v>0</v>
      </c>
      <c r="BE62" s="338"/>
      <c r="BF62" s="363" t="s">
        <v>275</v>
      </c>
      <c r="BG62" s="356" t="n">
        <f aca="false">IFERROR(IF($M62=BF62,($D$8+$D$9+$D$10)*$I62,IF($N62=LEFT(BF62,1),($D$8+MAX(0,IF($D$50=1,$D$9*(1-(ABS($Q62-ABS(VALUE(MID(BF62,FIND("|",BF62)+1,FIND("-",BF62)-FIND("|",BF62)-1))-VALUE(MID(BF62,FIND("-",BF62)+1,10)))))*$D$50),$D$9*(1-(IF($N62="X",ABS($O62-VALUE(MID(BF62,FIND("|",BF62)+1,FIND("-",BF62)-FIND("|",BF62)-1))),ABS($Q62-ABS(VALUE(MID(BF62,FIND("|",BF62)+1,FIND("-",BF62)-FIND("|",BF62)-1))-VALUE(MID(BF62,FIND("-",BF62)+1,10)))))*$D$50)))))*$I62,0)),0)</f>
        <v>0</v>
      </c>
      <c r="BH62" s="338"/>
      <c r="BI62" s="363" t="s">
        <v>271</v>
      </c>
      <c r="BJ62" s="356" t="n">
        <f aca="false">IFERROR(IF($M62=BI62,($D$8+$D$9+$D$10)*$I62,IF($N62=LEFT(BI62,1),($D$8+MAX(0,IF($D$50=1,$D$9*(1-(ABS($Q62-ABS(VALUE(MID(BI62,FIND("|",BI62)+1,FIND("-",BI62)-FIND("|",BI62)-1))-VALUE(MID(BI62,FIND("-",BI62)+1,10)))))*$D$50),$D$9*(1-(IF($N62="X",ABS($O62-VALUE(MID(BI62,FIND("|",BI62)+1,FIND("-",BI62)-FIND("|",BI62)-1))),ABS($Q62-ABS(VALUE(MID(BI62,FIND("|",BI62)+1,FIND("-",BI62)-FIND("|",BI62)-1))-VALUE(MID(BI62,FIND("-",BI62)+1,10)))))*$D$50)))))*$I62,0)),0)</f>
        <v>0</v>
      </c>
      <c r="BK62" s="338"/>
      <c r="BL62" s="363" t="s">
        <v>267</v>
      </c>
      <c r="BM62" s="356" t="n">
        <f aca="false">IFERROR(IF($M62=BL62,($D$8+$D$9+$D$10)*$I62,IF($N62=LEFT(BL62,1),($D$8+MAX(0,IF($D$50=1,$D$9*(1-(ABS($Q62-ABS(VALUE(MID(BL62,FIND("|",BL62)+1,FIND("-",BL62)-FIND("|",BL62)-1))-VALUE(MID(BL62,FIND("-",BL62)+1,10)))))*$D$50),$D$9*(1-(IF($N62="X",ABS($O62-VALUE(MID(BL62,FIND("|",BL62)+1,FIND("-",BL62)-FIND("|",BL62)-1))),ABS($Q62-ABS(VALUE(MID(BL62,FIND("|",BL62)+1,FIND("-",BL62)-FIND("|",BL62)-1))-VALUE(MID(BL62,FIND("-",BL62)+1,10)))))*$D$50)))))*$I62,0)),0)</f>
        <v>0</v>
      </c>
      <c r="BN62" s="338"/>
      <c r="BO62" s="363" t="s">
        <v>277</v>
      </c>
      <c r="BP62" s="356" t="n">
        <f aca="false">IFERROR(IF($M62=BO62,($D$8+$D$9+$D$10)*$I62,IF($N62=LEFT(BO62,1),($D$8+MAX(0,IF($D$50=1,$D$9*(1-(ABS($Q62-ABS(VALUE(MID(BO62,FIND("|",BO62)+1,FIND("-",BO62)-FIND("|",BO62)-1))-VALUE(MID(BO62,FIND("-",BO62)+1,10)))))*$D$50),$D$9*(1-(IF($N62="X",ABS($O62-VALUE(MID(BO62,FIND("|",BO62)+1,FIND("-",BO62)-FIND("|",BO62)-1))),ABS($Q62-ABS(VALUE(MID(BO62,FIND("|",BO62)+1,FIND("-",BO62)-FIND("|",BO62)-1))-VALUE(MID(BO62,FIND("-",BO62)+1,10)))))*$D$50)))))*$I62,0)),0)</f>
        <v>0</v>
      </c>
      <c r="BQ62" s="338"/>
      <c r="BR62" s="363" t="s">
        <v>274</v>
      </c>
      <c r="BS62" s="356" t="n">
        <f aca="false">IFERROR(IF($M62=BR62,($D$8+$D$9+$D$10)*$I62,IF($N62=LEFT(BR62,1),($D$8+MAX(0,IF($D$50=1,$D$9*(1-(ABS($Q62-ABS(VALUE(MID(BR62,FIND("|",BR62)+1,FIND("-",BR62)-FIND("|",BR62)-1))-VALUE(MID(BR62,FIND("-",BR62)+1,10)))))*$D$50),$D$9*(1-(IF($N62="X",ABS($O62-VALUE(MID(BR62,FIND("|",BR62)+1,FIND("-",BR62)-FIND("|",BR62)-1))),ABS($Q62-ABS(VALUE(MID(BR62,FIND("|",BR62)+1,FIND("-",BR62)-FIND("|",BR62)-1))-VALUE(MID(BR62,FIND("-",BR62)+1,10)))))*$D$50)))))*$I62,0)),0)</f>
        <v>0</v>
      </c>
      <c r="BT62" s="338"/>
      <c r="BU62" s="363"/>
      <c r="BV62" s="356" t="n">
        <f aca="false">IFERROR(IF($M62=BU62,($D$8+$D$9+$D$10)*$I62,IF($N62=LEFT(BU62,1),($D$8+MAX(0,IF($D$50=1,$D$9*(1-(ABS($Q62-ABS(VALUE(MID(BU62,FIND("|",BU62)+1,FIND("-",BU62)-FIND("|",BU62)-1))-VALUE(MID(BU62,FIND("-",BU62)+1,10)))))*$D$50),$D$9*(1-(IF($N62="X",ABS($O62-VALUE(MID(BU62,FIND("|",BU62)+1,FIND("-",BU62)-FIND("|",BU62)-1))),ABS($Q62-ABS(VALUE(MID(BU62,FIND("|",BU62)+1,FIND("-",BU62)-FIND("|",BU62)-1))-VALUE(MID(BU62,FIND("-",BU62)+1,10)))))*$D$50)))))*$I62,0)),0)</f>
        <v>0</v>
      </c>
      <c r="BW62" s="338"/>
      <c r="BX62" s="363"/>
      <c r="BY62" s="356" t="n">
        <f aca="false">IFERROR(IF($M62=BX62,($D$8+$D$9+$D$10)*$I62,IF($N62=LEFT(BX62,1),($D$8+MAX(0,IF($D$50=1,$D$9*(1-(ABS($Q62-ABS(VALUE(MID(BX62,FIND("|",BX62)+1,FIND("-",BX62)-FIND("|",BX62)-1))-VALUE(MID(BX62,FIND("-",BX62)+1,10)))))*$D$50),$D$9*(1-(IF($N62="X",ABS($O62-VALUE(MID(BX62,FIND("|",BX62)+1,FIND("-",BX62)-FIND("|",BX62)-1))),ABS($Q62-ABS(VALUE(MID(BX62,FIND("|",BX62)+1,FIND("-",BX62)-FIND("|",BX62)-1))-VALUE(MID(BX62,FIND("-",BX62)+1,10)))))*$D$50)))))*$I62,0)),0)</f>
        <v>0</v>
      </c>
      <c r="BZ62" s="338"/>
      <c r="CA62" s="363"/>
      <c r="CB62" s="356" t="n">
        <f aca="false">IFERROR(IF($M62=CA62,($D$8+$D$9+$D$10)*$I62,IF($N62=LEFT(CA62,1),($D$8+MAX(0,IF($D$50=1,$D$9*(1-(ABS($Q62-ABS(VALUE(MID(CA62,FIND("|",CA62)+1,FIND("-",CA62)-FIND("|",CA62)-1))-VALUE(MID(CA62,FIND("-",CA62)+1,10)))))*$D$50),$D$9*(1-(IF($N62="X",ABS($O62-VALUE(MID(CA62,FIND("|",CA62)+1,FIND("-",CA62)-FIND("|",CA62)-1))),ABS($Q62-ABS(VALUE(MID(CA62,FIND("|",CA62)+1,FIND("-",CA62)-FIND("|",CA62)-1))-VALUE(MID(CA62,FIND("-",CA62)+1,10)))))*$D$50)))))*$I62,0)),0)</f>
        <v>0</v>
      </c>
      <c r="CC62" s="338"/>
      <c r="CD62" s="363"/>
      <c r="CE62" s="356" t="n">
        <f aca="false">IFERROR(IF($M62=CD62,($D$8+$D$9+$D$10)*$I62,IF($N62=LEFT(CD62,1),($D$8+MAX(0,IF($D$50=1,$D$9*(1-(ABS($Q62-ABS(VALUE(MID(CD62,FIND("|",CD62)+1,FIND("-",CD62)-FIND("|",CD62)-1))-VALUE(MID(CD62,FIND("-",CD62)+1,10)))))*$D$50),$D$9*(1-(IF($N62="X",ABS($O62-VALUE(MID(CD62,FIND("|",CD62)+1,FIND("-",CD62)-FIND("|",CD62)-1))),ABS($Q62-ABS(VALUE(MID(CD62,FIND("|",CD62)+1,FIND("-",CD62)-FIND("|",CD62)-1))-VALUE(MID(CD62,FIND("-",CD62)+1,10)))))*$D$50)))))*$I62,0)),0)</f>
        <v>0</v>
      </c>
      <c r="CF62" s="338"/>
      <c r="CG62" s="363"/>
      <c r="CH62" s="356" t="n">
        <f aca="false">IFERROR(IF($M62=CG62,($D$8+$D$9+$D$10)*$I62,IF($N62=LEFT(CG62,1),($D$8+MAX(0,IF($D$50=1,$D$9*(1-(ABS($Q62-ABS(VALUE(MID(CG62,FIND("|",CG62)+1,FIND("-",CG62)-FIND("|",CG62)-1))-VALUE(MID(CG62,FIND("-",CG62)+1,10)))))*$D$50),$D$9*(1-(IF($N62="X",ABS($O62-VALUE(MID(CG62,FIND("|",CG62)+1,FIND("-",CG62)-FIND("|",CG62)-1))),ABS($Q62-ABS(VALUE(MID(CG62,FIND("|",CG62)+1,FIND("-",CG62)-FIND("|",CG62)-1))-VALUE(MID(CG62,FIND("-",CG62)+1,10)))))*$D$50)))))*$I62,0)),0)</f>
        <v>0</v>
      </c>
      <c r="CI62" s="338"/>
      <c r="CJ62" s="363"/>
      <c r="CK62" s="356" t="n">
        <f aca="false">IFERROR(IF($M62=CJ62,($D$8+$D$9+$D$10)*$I62,IF($N62=LEFT(CJ62,1),($D$8+MAX(0,IF($D$50=1,$D$9*(1-(ABS($Q62-ABS(VALUE(MID(CJ62,FIND("|",CJ62)+1,FIND("-",CJ62)-FIND("|",CJ62)-1))-VALUE(MID(CJ62,FIND("-",CJ62)+1,10)))))*$D$50),$D$9*(1-(IF($N62="X",ABS($O62-VALUE(MID(CJ62,FIND("|",CJ62)+1,FIND("-",CJ62)-FIND("|",CJ62)-1))),ABS($Q62-ABS(VALUE(MID(CJ62,FIND("|",CJ62)+1,FIND("-",CJ62)-FIND("|",CJ62)-1))-VALUE(MID(CJ62,FIND("-",CJ62)+1,10)))))*$D$50)))))*$I62,0)),0)</f>
        <v>0</v>
      </c>
      <c r="CL62" s="338"/>
      <c r="CM62" s="363"/>
      <c r="CN62" s="356" t="n">
        <f aca="false">IFERROR(IF($M62=CM62,($D$8+$D$9+$D$10)*$I62,IF($N62=LEFT(CM62,1),($D$8+MAX(0,IF($D$50=1,$D$9*(1-(ABS($Q62-ABS(VALUE(MID(CM62,FIND("|",CM62)+1,FIND("-",CM62)-FIND("|",CM62)-1))-VALUE(MID(CM62,FIND("-",CM62)+1,10)))))*$D$50),$D$9*(1-(IF($N62="X",ABS($O62-VALUE(MID(CM62,FIND("|",CM62)+1,FIND("-",CM62)-FIND("|",CM62)-1))),ABS($Q62-ABS(VALUE(MID(CM62,FIND("|",CM62)+1,FIND("-",CM62)-FIND("|",CM62)-1))-VALUE(MID(CM62,FIND("-",CM62)+1,10)))))*$D$50)))))*$I62,0)),0)</f>
        <v>0</v>
      </c>
      <c r="CO62" s="338"/>
      <c r="CP62" s="363"/>
      <c r="CQ62" s="356" t="n">
        <f aca="false">IFERROR(IF($M62=CP62,($D$8+$D$9+$D$10)*$I62,IF($N62=LEFT(CP62,1),($D$8+MAX(0,IF($D$50=1,$D$9*(1-(ABS($Q62-ABS(VALUE(MID(CP62,FIND("|",CP62)+1,FIND("-",CP62)-FIND("|",CP62)-1))-VALUE(MID(CP62,FIND("-",CP62)+1,10)))))*$D$50),$D$9*(1-(IF($N62="X",ABS($O62-VALUE(MID(CP62,FIND("|",CP62)+1,FIND("-",CP62)-FIND("|",CP62)-1))),ABS($Q62-ABS(VALUE(MID(CP62,FIND("|",CP62)+1,FIND("-",CP62)-FIND("|",CP62)-1))-VALUE(MID(CP62,FIND("-",CP62)+1,10)))))*$D$50)))))*$I62,0)),0)</f>
        <v>0</v>
      </c>
      <c r="CR62" s="338"/>
      <c r="CS62" s="363"/>
      <c r="CT62" s="356" t="n">
        <f aca="false">IFERROR(IF($M62=CS62,($D$8+$D$9+$D$10)*$I62,IF($N62=LEFT(CS62,1),($D$8+MAX(0,IF($D$50=1,$D$9*(1-(ABS($Q62-ABS(VALUE(MID(CS62,FIND("|",CS62)+1,FIND("-",CS62)-FIND("|",CS62)-1))-VALUE(MID(CS62,FIND("-",CS62)+1,10)))))*$D$50),$D$9*(1-(IF($N62="X",ABS($O62-VALUE(MID(CS62,FIND("|",CS62)+1,FIND("-",CS62)-FIND("|",CS62)-1))),ABS($Q62-ABS(VALUE(MID(CS62,FIND("|",CS62)+1,FIND("-",CS62)-FIND("|",CS62)-1))-VALUE(MID(CS62,FIND("-",CS62)+1,10)))))*$D$50)))))*$I62,0)),0)</f>
        <v>0</v>
      </c>
      <c r="CU62" s="338"/>
      <c r="CV62" s="363"/>
      <c r="CW62" s="356" t="n">
        <f aca="false">IFERROR(IF($M62=CV62,($D$8+$D$9+$D$10)*$I62,IF($N62=LEFT(CV62,1),($D$8+MAX(0,IF($D$50=1,$D$9*(1-(ABS($Q62-ABS(VALUE(MID(CV62,FIND("|",CV62)+1,FIND("-",CV62)-FIND("|",CV62)-1))-VALUE(MID(CV62,FIND("-",CV62)+1,10)))))*$D$50),$D$9*(1-(IF($N62="X",ABS($O62-VALUE(MID(CV62,FIND("|",CV62)+1,FIND("-",CV62)-FIND("|",CV62)-1))),ABS($Q62-ABS(VALUE(MID(CV62,FIND("|",CV62)+1,FIND("-",CV62)-FIND("|",CV62)-1))-VALUE(MID(CV62,FIND("-",CV62)+1,10)))))*$D$50)))))*$I62,0)),0)</f>
        <v>0</v>
      </c>
      <c r="CX62" s="338"/>
      <c r="CY62" s="363"/>
      <c r="CZ62" s="356" t="n">
        <f aca="false">IFERROR(IF($M62=CY62,($D$8+$D$9+$D$10)*$I62,IF($N62=LEFT(CY62,1),($D$8+MAX(0,IF($D$50=1,$D$9*(1-(ABS($Q62-ABS(VALUE(MID(CY62,FIND("|",CY62)+1,FIND("-",CY62)-FIND("|",CY62)-1))-VALUE(MID(CY62,FIND("-",CY62)+1,10)))))*$D$50),$D$9*(1-(IF($N62="X",ABS($O62-VALUE(MID(CY62,FIND("|",CY62)+1,FIND("-",CY62)-FIND("|",CY62)-1))),ABS($Q62-ABS(VALUE(MID(CY62,FIND("|",CY62)+1,FIND("-",CY62)-FIND("|",CY62)-1))-VALUE(MID(CY62,FIND("-",CY62)+1,10)))))*$D$50)))))*$I62,0)),0)</f>
        <v>0</v>
      </c>
      <c r="DA62" s="338"/>
      <c r="DB62" s="363"/>
      <c r="DC62" s="356" t="n">
        <f aca="false">IFERROR(IF($M62=DB62,($D$8+$D$9+$D$10)*$I62,IF($N62=LEFT(DB62,1),($D$8+MAX(0,IF($D$50=1,$D$9*(1-(ABS($Q62-ABS(VALUE(MID(DB62,FIND("|",DB62)+1,FIND("-",DB62)-FIND("|",DB62)-1))-VALUE(MID(DB62,FIND("-",DB62)+1,10)))))*$D$50),$D$9*(1-(IF($N62="X",ABS($O62-VALUE(MID(DB62,FIND("|",DB62)+1,FIND("-",DB62)-FIND("|",DB62)-1))),ABS($Q62-ABS(VALUE(MID(DB62,FIND("|",DB62)+1,FIND("-",DB62)-FIND("|",DB62)-1))-VALUE(MID(DB62,FIND("-",DB62)+1,10)))))*$D$50)))))*$I62,0)),0)</f>
        <v>0</v>
      </c>
      <c r="DD62" s="338"/>
      <c r="DE62" s="363"/>
      <c r="DF62" s="356" t="n">
        <f aca="false">IFERROR(IF($M62=DE62,($D$8+$D$9+$D$10)*$I62,IF($N62=LEFT(DE62,1),($D$8+MAX(0,IF($D$50=1,$D$9*(1-(ABS($Q62-ABS(VALUE(MID(DE62,FIND("|",DE62)+1,FIND("-",DE62)-FIND("|",DE62)-1))-VALUE(MID(DE62,FIND("-",DE62)+1,10)))))*$D$50),$D$9*(1-(IF($N62="X",ABS($O62-VALUE(MID(DE62,FIND("|",DE62)+1,FIND("-",DE62)-FIND("|",DE62)-1))),ABS($Q62-ABS(VALUE(MID(DE62,FIND("|",DE62)+1,FIND("-",DE62)-FIND("|",DE62)-1))-VALUE(MID(DE62,FIND("-",DE62)+1,10)))))*$D$50)))))*$I62,0)),0)</f>
        <v>0</v>
      </c>
      <c r="DG62" s="338"/>
      <c r="DH62" s="363"/>
      <c r="DI62" s="356" t="n">
        <f aca="false">IFERROR(IF($M62=DH62,($D$8+$D$9+$D$10)*$I62,IF($N62=LEFT(DH62,1),($D$8+MAX(0,IF($D$50=1,$D$9*(1-(ABS($Q62-ABS(VALUE(MID(DH62,FIND("|",DH62)+1,FIND("-",DH62)-FIND("|",DH62)-1))-VALUE(MID(DH62,FIND("-",DH62)+1,10)))))*$D$50),$D$9*(1-(IF($N62="X",ABS($O62-VALUE(MID(DH62,FIND("|",DH62)+1,FIND("-",DH62)-FIND("|",DH62)-1))),ABS($Q62-ABS(VALUE(MID(DH62,FIND("|",DH62)+1,FIND("-",DH62)-FIND("|",DH62)-1))-VALUE(MID(DH62,FIND("-",DH62)+1,10)))))*$D$50)))))*$I62,0)),0)</f>
        <v>0</v>
      </c>
      <c r="DJ62" s="338"/>
      <c r="DK62" s="363"/>
      <c r="DL62" s="356" t="n">
        <f aca="false">IFERROR(IF($M62=DK62,($D$8+$D$9+$D$10)*$I62,IF($N62=LEFT(DK62,1),($D$8+MAX(0,IF($D$50=1,$D$9*(1-(ABS($Q62-ABS(VALUE(MID(DK62,FIND("|",DK62)+1,FIND("-",DK62)-FIND("|",DK62)-1))-VALUE(MID(DK62,FIND("-",DK62)+1,10)))))*$D$50),$D$9*(1-(IF($N62="X",ABS($O62-VALUE(MID(DK62,FIND("|",DK62)+1,FIND("-",DK62)-FIND("|",DK62)-1))),ABS($Q62-ABS(VALUE(MID(DK62,FIND("|",DK62)+1,FIND("-",DK62)-FIND("|",DK62)-1))-VALUE(MID(DK62,FIND("-",DK62)+1,10)))))*$D$50)))))*$I62,0)),0)</f>
        <v>0</v>
      </c>
      <c r="DM62" s="338"/>
      <c r="DN62" s="363"/>
      <c r="DO62" s="356" t="n">
        <f aca="false">IFERROR(IF($M62=DN62,($D$8+$D$9+$D$10)*$I62,IF($N62=LEFT(DN62,1),($D$8+MAX(0,IF($D$50=1,$D$9*(1-(ABS($Q62-ABS(VALUE(MID(DN62,FIND("|",DN62)+1,FIND("-",DN62)-FIND("|",DN62)-1))-VALUE(MID(DN62,FIND("-",DN62)+1,10)))))*$D$50),$D$9*(1-(IF($N62="X",ABS($O62-VALUE(MID(DN62,FIND("|",DN62)+1,FIND("-",DN62)-FIND("|",DN62)-1))),ABS($Q62-ABS(VALUE(MID(DN62,FIND("|",DN62)+1,FIND("-",DN62)-FIND("|",DN62)-1))-VALUE(MID(DN62,FIND("-",DN62)+1,10)))))*$D$50)))))*$I62,0)),0)</f>
        <v>0</v>
      </c>
      <c r="DP62" s="338"/>
      <c r="DQ62" s="363"/>
      <c r="DR62" s="356" t="n">
        <f aca="false">IFERROR(IF($M62=DQ62,($D$8+$D$9+$D$10)*$I62,IF($N62=LEFT(DQ62,1),($D$8+MAX(0,IF($D$50=1,$D$9*(1-(ABS($Q62-ABS(VALUE(MID(DQ62,FIND("|",DQ62)+1,FIND("-",DQ62)-FIND("|",DQ62)-1))-VALUE(MID(DQ62,FIND("-",DQ62)+1,10)))))*$D$50),$D$9*(1-(IF($N62="X",ABS($O62-VALUE(MID(DQ62,FIND("|",DQ62)+1,FIND("-",DQ62)-FIND("|",DQ62)-1))),ABS($Q62-ABS(VALUE(MID(DQ62,FIND("|",DQ62)+1,FIND("-",DQ62)-FIND("|",DQ62)-1))-VALUE(MID(DQ62,FIND("-",DQ62)+1,10)))))*$D$50)))))*$I62,0)),0)</f>
        <v>0</v>
      </c>
      <c r="DS62" s="338"/>
      <c r="DT62" s="363"/>
      <c r="DU62" s="356" t="n">
        <f aca="false">IFERROR(IF($M62=DT62,($D$8+$D$9+$D$10)*$I62,IF($N62=LEFT(DT62,1),($D$8+MAX(0,IF($D$50=1,$D$9*(1-(ABS($Q62-ABS(VALUE(MID(DT62,FIND("|",DT62)+1,FIND("-",DT62)-FIND("|",DT62)-1))-VALUE(MID(DT62,FIND("-",DT62)+1,10)))))*$D$50),$D$9*(1-(IF($N62="X",ABS($O62-VALUE(MID(DT62,FIND("|",DT62)+1,FIND("-",DT62)-FIND("|",DT62)-1))),ABS($Q62-ABS(VALUE(MID(DT62,FIND("|",DT62)+1,FIND("-",DT62)-FIND("|",DT62)-1))-VALUE(MID(DT62,FIND("-",DT62)+1,10)))))*$D$50)))))*$I62,0)),0)</f>
        <v>0</v>
      </c>
      <c r="DV62" s="338"/>
      <c r="DW62" s="363"/>
      <c r="DX62" s="356" t="n">
        <f aca="false">IFERROR(IF($M62=DW62,($D$8+$D$9+$D$10)*$I62,IF($N62=LEFT(DW62,1),($D$8+MAX(0,IF($D$50=1,$D$9*(1-(ABS($Q62-ABS(VALUE(MID(DW62,FIND("|",DW62)+1,FIND("-",DW62)-FIND("|",DW62)-1))-VALUE(MID(DW62,FIND("-",DW62)+1,10)))))*$D$50),$D$9*(1-(IF($N62="X",ABS($O62-VALUE(MID(DW62,FIND("|",DW62)+1,FIND("-",DW62)-FIND("|",DW62)-1))),ABS($Q62-ABS(VALUE(MID(DW62,FIND("|",DW62)+1,FIND("-",DW62)-FIND("|",DW62)-1))-VALUE(MID(DW62,FIND("-",DW62)+1,10)))))*$D$50)))))*$I62,0)),0)</f>
        <v>0</v>
      </c>
      <c r="DY62" s="338"/>
      <c r="DZ62" s="363"/>
      <c r="EA62" s="356" t="n">
        <f aca="false">IFERROR(IF($M62=DZ62,($D$8+$D$9+$D$10)*$I62,IF($N62=LEFT(DZ62,1),($D$8+MAX(0,IF($D$50=1,$D$9*(1-(ABS($Q62-ABS(VALUE(MID(DZ62,FIND("|",DZ62)+1,FIND("-",DZ62)-FIND("|",DZ62)-1))-VALUE(MID(DZ62,FIND("-",DZ62)+1,10)))))*$D$50),$D$9*(1-(IF($N62="X",ABS($O62-VALUE(MID(DZ62,FIND("|",DZ62)+1,FIND("-",DZ62)-FIND("|",DZ62)-1))),ABS($Q62-ABS(VALUE(MID(DZ62,FIND("|",DZ62)+1,FIND("-",DZ62)-FIND("|",DZ62)-1))-VALUE(MID(DZ62,FIND("-",DZ62)+1,10)))))*$D$50)))))*$I62,0)),0)</f>
        <v>0</v>
      </c>
      <c r="EB62" s="338"/>
      <c r="EC62" s="363"/>
      <c r="ED62" s="356" t="n">
        <f aca="false">IFERROR(IF($M62=EC62,($D$8+$D$9+$D$10)*$I62,IF($N62=LEFT(EC62,1),($D$8+MAX(0,IF($D$50=1,$D$9*(1-(ABS($Q62-ABS(VALUE(MID(EC62,FIND("|",EC62)+1,FIND("-",EC62)-FIND("|",EC62)-1))-VALUE(MID(EC62,FIND("-",EC62)+1,10)))))*$D$50),$D$9*(1-(IF($N62="X",ABS($O62-VALUE(MID(EC62,FIND("|",EC62)+1,FIND("-",EC62)-FIND("|",EC62)-1))),ABS($Q62-ABS(VALUE(MID(EC62,FIND("|",EC62)+1,FIND("-",EC62)-FIND("|",EC62)-1))-VALUE(MID(EC62,FIND("-",EC62)+1,10)))))*$D$50)))))*$I62,0)),0)</f>
        <v>0</v>
      </c>
      <c r="EE62" s="338"/>
      <c r="EF62" s="363"/>
      <c r="EG62" s="356" t="n">
        <f aca="false">IFERROR(IF($M62=EF62,($D$8+$D$9+$D$10)*$I62,IF($N62=LEFT(EF62,1),($D$8+MAX(0,IF($D$50=1,$D$9*(1-(ABS($Q62-ABS(VALUE(MID(EF62,FIND("|",EF62)+1,FIND("-",EF62)-FIND("|",EF62)-1))-VALUE(MID(EF62,FIND("-",EF62)+1,10)))))*$D$50),$D$9*(1-(IF($N62="X",ABS($O62-VALUE(MID(EF62,FIND("|",EF62)+1,FIND("-",EF62)-FIND("|",EF62)-1))),ABS($Q62-ABS(VALUE(MID(EF62,FIND("|",EF62)+1,FIND("-",EF62)-FIND("|",EF62)-1))-VALUE(MID(EF62,FIND("-",EF62)+1,10)))))*$D$50)))))*$I62,0)),0)</f>
        <v>0</v>
      </c>
      <c r="EH62" s="338"/>
      <c r="EI62" s="338"/>
    </row>
    <row r="63" customFormat="false" ht="15" hidden="false" customHeight="false" outlineLevel="0" collapsed="false">
      <c r="A63" s="327"/>
      <c r="B63" s="327"/>
      <c r="C63" s="327"/>
      <c r="D63" s="327"/>
      <c r="E63" s="334"/>
      <c r="F63" s="343" t="n">
        <f aca="false">SUM($D$8:$D$10)*I63</f>
        <v>17</v>
      </c>
      <c r="G63" s="343" t="n">
        <f aca="false">VLOOKUP(H63,Equipos!$Q$1:$R$25,2,0)</f>
        <v>16</v>
      </c>
      <c r="H63" s="351" t="n">
        <f aca="false">TRUNC(INDEX(WORLDCUP!$X$4:$X$147,MATCH(ADMIN!K63,WORLDCUP!$DT$4:$DT$147,0))+INDEX(Horarios!$R$3:$R$86,MATCH(Horarios!$C$3,Horarios!$P$3:$P$86,0))/24)</f>
        <v>46199</v>
      </c>
      <c r="I63" s="352" t="n">
        <v>1</v>
      </c>
      <c r="J63" s="353" t="s">
        <v>319</v>
      </c>
      <c r="K63" s="354" t="str">
        <f aca="false">CONCATENATE(WORLDCUP!AA41,"-",WORLDCUP!AF41)</f>
        <v>Ecuador-Alemania</v>
      </c>
      <c r="L63" s="354"/>
      <c r="M63" s="359" t="str">
        <f aca="false">IF(OR(WORLDCUP!AC41="",WORLDCUP!AD41=""),"-",N63&amp;"|"&amp;O63&amp;"-"&amp;P63)</f>
        <v>-</v>
      </c>
      <c r="N63" s="332" t="str">
        <f aca="false">IF(OR(WORLDCUP!AC41="",WORLDCUP!AD41=""),"",IF(WORLDCUP!AC41&gt;WORLDCUP!AD41,"1",IF(WORLDCUP!AC41&lt;WORLDCUP!AD41,"2","X")))</f>
        <v/>
      </c>
      <c r="O63" s="332" t="n">
        <f aca="false">WORLDCUP!AC41</f>
        <v>0</v>
      </c>
      <c r="P63" s="332" t="n">
        <f aca="false">WORLDCUP!AD41</f>
        <v>0</v>
      </c>
      <c r="Q63" s="332" t="n">
        <f aca="false">ABS(O63-P63)</f>
        <v>0</v>
      </c>
      <c r="R63" s="327"/>
      <c r="S63" s="363" t="s">
        <v>268</v>
      </c>
      <c r="T63" s="356" t="n">
        <f aca="false">IFERROR(IF($M63=S63,($D$8+$D$9+$D$10)*$I63,IF($N63=LEFT(S63,1),($D$8+MAX(0,IF($D$50=1,$D$9*(1-(ABS($Q63-ABS(VALUE(MID(S63,FIND("|",S63)+1,FIND("-",S63)-FIND("|",S63)-1))-VALUE(MID(S63,FIND("-",S63)+1,10)))))*$D$50),$D$9*(1-(IF($N63="X",ABS($O63-VALUE(MID(S63,FIND("|",S63)+1,FIND("-",S63)-FIND("|",S63)-1))),ABS($Q63-ABS(VALUE(MID(S63,FIND("|",S63)+1,FIND("-",S63)-FIND("|",S63)-1))-VALUE(MID(S63,FIND("-",S63)+1,10)))))*$D$50)))))*$I63,0)),0)</f>
        <v>0</v>
      </c>
      <c r="U63" s="338"/>
      <c r="V63" s="363" t="s">
        <v>268</v>
      </c>
      <c r="W63" s="356" t="n">
        <f aca="false">IFERROR(IF($M63=V63,($D$8+$D$9+$D$10)*$I63,IF($N63=LEFT(V63,1),($D$8+MAX(0,IF($D$50=1,$D$9*(1-(ABS($Q63-ABS(VALUE(MID(V63,FIND("|",V63)+1,FIND("-",V63)-FIND("|",V63)-1))-VALUE(MID(V63,FIND("-",V63)+1,10)))))*$D$50),$D$9*(1-(IF($N63="X",ABS($O63-VALUE(MID(V63,FIND("|",V63)+1,FIND("-",V63)-FIND("|",V63)-1))),ABS($Q63-ABS(VALUE(MID(V63,FIND("|",V63)+1,FIND("-",V63)-FIND("|",V63)-1))-VALUE(MID(V63,FIND("-",V63)+1,10)))))*$D$50)))))*$I63,0)),0)</f>
        <v>0</v>
      </c>
      <c r="X63" s="338"/>
      <c r="Y63" s="363" t="s">
        <v>277</v>
      </c>
      <c r="Z63" s="356" t="n">
        <f aca="false">IFERROR(IF($M63=Y63,($D$8+$D$9+$D$10)*$I63,IF($N63=LEFT(Y63,1),($D$8+MAX(0,IF($D$50=1,$D$9*(1-(ABS($Q63-ABS(VALUE(MID(Y63,FIND("|",Y63)+1,FIND("-",Y63)-FIND("|",Y63)-1))-VALUE(MID(Y63,FIND("-",Y63)+1,10)))))*$D$50),$D$9*(1-(IF($N63="X",ABS($O63-VALUE(MID(Y63,FIND("|",Y63)+1,FIND("-",Y63)-FIND("|",Y63)-1))),ABS($Q63-ABS(VALUE(MID(Y63,FIND("|",Y63)+1,FIND("-",Y63)-FIND("|",Y63)-1))-VALUE(MID(Y63,FIND("-",Y63)+1,10)))))*$D$50)))))*$I63,0)),0)</f>
        <v>0</v>
      </c>
      <c r="AA63" s="338"/>
      <c r="AB63" s="363" t="s">
        <v>267</v>
      </c>
      <c r="AC63" s="356" t="n">
        <f aca="false">IFERROR(IF($M63=AB63,($D$8+$D$9+$D$10)*$I63,IF($N63=LEFT(AB63,1),($D$8+MAX(0,IF($D$50=1,$D$9*(1-(ABS($Q63-ABS(VALUE(MID(AB63,FIND("|",AB63)+1,FIND("-",AB63)-FIND("|",AB63)-1))-VALUE(MID(AB63,FIND("-",AB63)+1,10)))))*$D$50),$D$9*(1-(IF($N63="X",ABS($O63-VALUE(MID(AB63,FIND("|",AB63)+1,FIND("-",AB63)-FIND("|",AB63)-1))),ABS($Q63-ABS(VALUE(MID(AB63,FIND("|",AB63)+1,FIND("-",AB63)-FIND("|",AB63)-1))-VALUE(MID(AB63,FIND("-",AB63)+1,10)))))*$D$50)))))*$I63,0)),0)</f>
        <v>0</v>
      </c>
      <c r="AD63" s="338"/>
      <c r="AE63" s="363" t="s">
        <v>268</v>
      </c>
      <c r="AF63" s="356" t="n">
        <f aca="false">IFERROR(IF($M63=AE63,($D$8+$D$9+$D$10)*$I63,IF($N63=LEFT(AE63,1),($D$8+MAX(0,IF($D$50=1,$D$9*(1-(ABS($Q63-ABS(VALUE(MID(AE63,FIND("|",AE63)+1,FIND("-",AE63)-FIND("|",AE63)-1))-VALUE(MID(AE63,FIND("-",AE63)+1,10)))))*$D$50),$D$9*(1-(IF($N63="X",ABS($O63-VALUE(MID(AE63,FIND("|",AE63)+1,FIND("-",AE63)-FIND("|",AE63)-1))),ABS($Q63-ABS(VALUE(MID(AE63,FIND("|",AE63)+1,FIND("-",AE63)-FIND("|",AE63)-1))-VALUE(MID(AE63,FIND("-",AE63)+1,10)))))*$D$50)))))*$I63,0)),0)</f>
        <v>0</v>
      </c>
      <c r="AG63" s="338"/>
      <c r="AH63" s="363" t="s">
        <v>274</v>
      </c>
      <c r="AI63" s="356" t="n">
        <f aca="false">IFERROR(IF($M63=AH63,($D$8+$D$9+$D$10)*$I63,IF($N63=LEFT(AH63,1),($D$8+MAX(0,IF($D$50=1,$D$9*(1-(ABS($Q63-ABS(VALUE(MID(AH63,FIND("|",AH63)+1,FIND("-",AH63)-FIND("|",AH63)-1))-VALUE(MID(AH63,FIND("-",AH63)+1,10)))))*$D$50),$D$9*(1-(IF($N63="X",ABS($O63-VALUE(MID(AH63,FIND("|",AH63)+1,FIND("-",AH63)-FIND("|",AH63)-1))),ABS($Q63-ABS(VALUE(MID(AH63,FIND("|",AH63)+1,FIND("-",AH63)-FIND("|",AH63)-1))-VALUE(MID(AH63,FIND("-",AH63)+1,10)))))*$D$50)))))*$I63,0)),0)</f>
        <v>0</v>
      </c>
      <c r="AJ63" s="338"/>
      <c r="AK63" s="363" t="s">
        <v>268</v>
      </c>
      <c r="AL63" s="356" t="n">
        <f aca="false">IFERROR(IF($M63=AK63,($D$8+$D$9+$D$10)*$I63,IF($N63=LEFT(AK63,1),($D$8+MAX(0,IF($D$50=1,$D$9*(1-(ABS($Q63-ABS(VALUE(MID(AK63,FIND("|",AK63)+1,FIND("-",AK63)-FIND("|",AK63)-1))-VALUE(MID(AK63,FIND("-",AK63)+1,10)))))*$D$50),$D$9*(1-(IF($N63="X",ABS($O63-VALUE(MID(AK63,FIND("|",AK63)+1,FIND("-",AK63)-FIND("|",AK63)-1))),ABS($Q63-ABS(VALUE(MID(AK63,FIND("|",AK63)+1,FIND("-",AK63)-FIND("|",AK63)-1))-VALUE(MID(AK63,FIND("-",AK63)+1,10)))))*$D$50)))))*$I63,0)),0)</f>
        <v>0</v>
      </c>
      <c r="AM63" s="338"/>
      <c r="AN63" s="363" t="s">
        <v>268</v>
      </c>
      <c r="AO63" s="356" t="n">
        <f aca="false">IFERROR(IF($M63=AN63,($D$8+$D$9+$D$10)*$I63,IF($N63=LEFT(AN63,1),($D$8+MAX(0,IF($D$50=1,$D$9*(1-(ABS($Q63-ABS(VALUE(MID(AN63,FIND("|",AN63)+1,FIND("-",AN63)-FIND("|",AN63)-1))-VALUE(MID(AN63,FIND("-",AN63)+1,10)))))*$D$50),$D$9*(1-(IF($N63="X",ABS($O63-VALUE(MID(AN63,FIND("|",AN63)+1,FIND("-",AN63)-FIND("|",AN63)-1))),ABS($Q63-ABS(VALUE(MID(AN63,FIND("|",AN63)+1,FIND("-",AN63)-FIND("|",AN63)-1))-VALUE(MID(AN63,FIND("-",AN63)+1,10)))))*$D$50)))))*$I63,0)),0)</f>
        <v>0</v>
      </c>
      <c r="AP63" s="338"/>
      <c r="AQ63" s="363" t="s">
        <v>269</v>
      </c>
      <c r="AR63" s="356" t="n">
        <f aca="false">IFERROR(IF($M63=AQ63,($D$8+$D$9+$D$10)*$I63,IF($N63=LEFT(AQ63,1),($D$8+MAX(0,IF($D$50=1,$D$9*(1-(ABS($Q63-ABS(VALUE(MID(AQ63,FIND("|",AQ63)+1,FIND("-",AQ63)-FIND("|",AQ63)-1))-VALUE(MID(AQ63,FIND("-",AQ63)+1,10)))))*$D$50),$D$9*(1-(IF($N63="X",ABS($O63-VALUE(MID(AQ63,FIND("|",AQ63)+1,FIND("-",AQ63)-FIND("|",AQ63)-1))),ABS($Q63-ABS(VALUE(MID(AQ63,FIND("|",AQ63)+1,FIND("-",AQ63)-FIND("|",AQ63)-1))-VALUE(MID(AQ63,FIND("-",AQ63)+1,10)))))*$D$50)))))*$I63,0)),0)</f>
        <v>0</v>
      </c>
      <c r="AS63" s="338"/>
      <c r="AT63" s="363" t="s">
        <v>267</v>
      </c>
      <c r="AU63" s="356" t="n">
        <f aca="false">IFERROR(IF($M63=AT63,($D$8+$D$9+$D$10)*$I63,IF($N63=LEFT(AT63,1),($D$8+MAX(0,IF($D$50=1,$D$9*(1-(ABS($Q63-ABS(VALUE(MID(AT63,FIND("|",AT63)+1,FIND("-",AT63)-FIND("|",AT63)-1))-VALUE(MID(AT63,FIND("-",AT63)+1,10)))))*$D$50),$D$9*(1-(IF($N63="X",ABS($O63-VALUE(MID(AT63,FIND("|",AT63)+1,FIND("-",AT63)-FIND("|",AT63)-1))),ABS($Q63-ABS(VALUE(MID(AT63,FIND("|",AT63)+1,FIND("-",AT63)-FIND("|",AT63)-1))-VALUE(MID(AT63,FIND("-",AT63)+1,10)))))*$D$50)))))*$I63,0)),0)</f>
        <v>0</v>
      </c>
      <c r="AV63" s="338"/>
      <c r="AW63" s="363" t="s">
        <v>268</v>
      </c>
      <c r="AX63" s="356" t="n">
        <f aca="false">IFERROR(IF($M63=AW63,($D$8+$D$9+$D$10)*$I63,IF($N63=LEFT(AW63,1),($D$8+MAX(0,IF($D$50=1,$D$9*(1-(ABS($Q63-ABS(VALUE(MID(AW63,FIND("|",AW63)+1,FIND("-",AW63)-FIND("|",AW63)-1))-VALUE(MID(AW63,FIND("-",AW63)+1,10)))))*$D$50),$D$9*(1-(IF($N63="X",ABS($O63-VALUE(MID(AW63,FIND("|",AW63)+1,FIND("-",AW63)-FIND("|",AW63)-1))),ABS($Q63-ABS(VALUE(MID(AW63,FIND("|",AW63)+1,FIND("-",AW63)-FIND("|",AW63)-1))-VALUE(MID(AW63,FIND("-",AW63)+1,10)))))*$D$50)))))*$I63,0)),0)</f>
        <v>0</v>
      </c>
      <c r="AY63" s="338"/>
      <c r="AZ63" s="363" t="s">
        <v>277</v>
      </c>
      <c r="BA63" s="356" t="n">
        <f aca="false">IFERROR(IF($M63=AZ63,($D$8+$D$9+$D$10)*$I63,IF($N63=LEFT(AZ63,1),($D$8+MAX(0,IF($D$50=1,$D$9*(1-(ABS($Q63-ABS(VALUE(MID(AZ63,FIND("|",AZ63)+1,FIND("-",AZ63)-FIND("|",AZ63)-1))-VALUE(MID(AZ63,FIND("-",AZ63)+1,10)))))*$D$50),$D$9*(1-(IF($N63="X",ABS($O63-VALUE(MID(AZ63,FIND("|",AZ63)+1,FIND("-",AZ63)-FIND("|",AZ63)-1))),ABS($Q63-ABS(VALUE(MID(AZ63,FIND("|",AZ63)+1,FIND("-",AZ63)-FIND("|",AZ63)-1))-VALUE(MID(AZ63,FIND("-",AZ63)+1,10)))))*$D$50)))))*$I63,0)),0)</f>
        <v>0</v>
      </c>
      <c r="BB63" s="338"/>
      <c r="BC63" s="363" t="s">
        <v>273</v>
      </c>
      <c r="BD63" s="356" t="n">
        <f aca="false">IFERROR(IF($M63=BC63,($D$8+$D$9+$D$10)*$I63,IF($N63=LEFT(BC63,1),($D$8+MAX(0,IF($D$50=1,$D$9*(1-(ABS($Q63-ABS(VALUE(MID(BC63,FIND("|",BC63)+1,FIND("-",BC63)-FIND("|",BC63)-1))-VALUE(MID(BC63,FIND("-",BC63)+1,10)))))*$D$50),$D$9*(1-(IF($N63="X",ABS($O63-VALUE(MID(BC63,FIND("|",BC63)+1,FIND("-",BC63)-FIND("|",BC63)-1))),ABS($Q63-ABS(VALUE(MID(BC63,FIND("|",BC63)+1,FIND("-",BC63)-FIND("|",BC63)-1))-VALUE(MID(BC63,FIND("-",BC63)+1,10)))))*$D$50)))))*$I63,0)),0)</f>
        <v>0</v>
      </c>
      <c r="BE63" s="338"/>
      <c r="BF63" s="363" t="s">
        <v>273</v>
      </c>
      <c r="BG63" s="356" t="n">
        <f aca="false">IFERROR(IF($M63=BF63,($D$8+$D$9+$D$10)*$I63,IF($N63=LEFT(BF63,1),($D$8+MAX(0,IF($D$50=1,$D$9*(1-(ABS($Q63-ABS(VALUE(MID(BF63,FIND("|",BF63)+1,FIND("-",BF63)-FIND("|",BF63)-1))-VALUE(MID(BF63,FIND("-",BF63)+1,10)))))*$D$50),$D$9*(1-(IF($N63="X",ABS($O63-VALUE(MID(BF63,FIND("|",BF63)+1,FIND("-",BF63)-FIND("|",BF63)-1))),ABS($Q63-ABS(VALUE(MID(BF63,FIND("|",BF63)+1,FIND("-",BF63)-FIND("|",BF63)-1))-VALUE(MID(BF63,FIND("-",BF63)+1,10)))))*$D$50)))))*$I63,0)),0)</f>
        <v>0</v>
      </c>
      <c r="BH63" s="338"/>
      <c r="BI63" s="363" t="s">
        <v>268</v>
      </c>
      <c r="BJ63" s="356" t="n">
        <f aca="false">IFERROR(IF($M63=BI63,($D$8+$D$9+$D$10)*$I63,IF($N63=LEFT(BI63,1),($D$8+MAX(0,IF($D$50=1,$D$9*(1-(ABS($Q63-ABS(VALUE(MID(BI63,FIND("|",BI63)+1,FIND("-",BI63)-FIND("|",BI63)-1))-VALUE(MID(BI63,FIND("-",BI63)+1,10)))))*$D$50),$D$9*(1-(IF($N63="X",ABS($O63-VALUE(MID(BI63,FIND("|",BI63)+1,FIND("-",BI63)-FIND("|",BI63)-1))),ABS($Q63-ABS(VALUE(MID(BI63,FIND("|",BI63)+1,FIND("-",BI63)-FIND("|",BI63)-1))-VALUE(MID(BI63,FIND("-",BI63)+1,10)))))*$D$50)))))*$I63,0)),0)</f>
        <v>0</v>
      </c>
      <c r="BK63" s="338"/>
      <c r="BL63" s="363" t="s">
        <v>318</v>
      </c>
      <c r="BM63" s="356" t="n">
        <f aca="false">IFERROR(IF($M63=BL63,($D$8+$D$9+$D$10)*$I63,IF($N63=LEFT(BL63,1),($D$8+MAX(0,IF($D$50=1,$D$9*(1-(ABS($Q63-ABS(VALUE(MID(BL63,FIND("|",BL63)+1,FIND("-",BL63)-FIND("|",BL63)-1))-VALUE(MID(BL63,FIND("-",BL63)+1,10)))))*$D$50),$D$9*(1-(IF($N63="X",ABS($O63-VALUE(MID(BL63,FIND("|",BL63)+1,FIND("-",BL63)-FIND("|",BL63)-1))),ABS($Q63-ABS(VALUE(MID(BL63,FIND("|",BL63)+1,FIND("-",BL63)-FIND("|",BL63)-1))-VALUE(MID(BL63,FIND("-",BL63)+1,10)))))*$D$50)))))*$I63,0)),0)</f>
        <v>0</v>
      </c>
      <c r="BN63" s="338"/>
      <c r="BO63" s="363" t="s">
        <v>267</v>
      </c>
      <c r="BP63" s="356" t="n">
        <f aca="false">IFERROR(IF($M63=BO63,($D$8+$D$9+$D$10)*$I63,IF($N63=LEFT(BO63,1),($D$8+MAX(0,IF($D$50=1,$D$9*(1-(ABS($Q63-ABS(VALUE(MID(BO63,FIND("|",BO63)+1,FIND("-",BO63)-FIND("|",BO63)-1))-VALUE(MID(BO63,FIND("-",BO63)+1,10)))))*$D$50),$D$9*(1-(IF($N63="X",ABS($O63-VALUE(MID(BO63,FIND("|",BO63)+1,FIND("-",BO63)-FIND("|",BO63)-1))),ABS($Q63-ABS(VALUE(MID(BO63,FIND("|",BO63)+1,FIND("-",BO63)-FIND("|",BO63)-1))-VALUE(MID(BO63,FIND("-",BO63)+1,10)))))*$D$50)))))*$I63,0)),0)</f>
        <v>0</v>
      </c>
      <c r="BQ63" s="338"/>
      <c r="BR63" s="363" t="s">
        <v>274</v>
      </c>
      <c r="BS63" s="356" t="n">
        <f aca="false">IFERROR(IF($M63=BR63,($D$8+$D$9+$D$10)*$I63,IF($N63=LEFT(BR63,1),($D$8+MAX(0,IF($D$50=1,$D$9*(1-(ABS($Q63-ABS(VALUE(MID(BR63,FIND("|",BR63)+1,FIND("-",BR63)-FIND("|",BR63)-1))-VALUE(MID(BR63,FIND("-",BR63)+1,10)))))*$D$50),$D$9*(1-(IF($N63="X",ABS($O63-VALUE(MID(BR63,FIND("|",BR63)+1,FIND("-",BR63)-FIND("|",BR63)-1))),ABS($Q63-ABS(VALUE(MID(BR63,FIND("|",BR63)+1,FIND("-",BR63)-FIND("|",BR63)-1))-VALUE(MID(BR63,FIND("-",BR63)+1,10)))))*$D$50)))))*$I63,0)),0)</f>
        <v>0</v>
      </c>
      <c r="BT63" s="338"/>
      <c r="BU63" s="363"/>
      <c r="BV63" s="356" t="n">
        <f aca="false">IFERROR(IF($M63=BU63,($D$8+$D$9+$D$10)*$I63,IF($N63=LEFT(BU63,1),($D$8+MAX(0,IF($D$50=1,$D$9*(1-(ABS($Q63-ABS(VALUE(MID(BU63,FIND("|",BU63)+1,FIND("-",BU63)-FIND("|",BU63)-1))-VALUE(MID(BU63,FIND("-",BU63)+1,10)))))*$D$50),$D$9*(1-(IF($N63="X",ABS($O63-VALUE(MID(BU63,FIND("|",BU63)+1,FIND("-",BU63)-FIND("|",BU63)-1))),ABS($Q63-ABS(VALUE(MID(BU63,FIND("|",BU63)+1,FIND("-",BU63)-FIND("|",BU63)-1))-VALUE(MID(BU63,FIND("-",BU63)+1,10)))))*$D$50)))))*$I63,0)),0)</f>
        <v>0</v>
      </c>
      <c r="BW63" s="338"/>
      <c r="BX63" s="363"/>
      <c r="BY63" s="356" t="n">
        <f aca="false">IFERROR(IF($M63=BX63,($D$8+$D$9+$D$10)*$I63,IF($N63=LEFT(BX63,1),($D$8+MAX(0,IF($D$50=1,$D$9*(1-(ABS($Q63-ABS(VALUE(MID(BX63,FIND("|",BX63)+1,FIND("-",BX63)-FIND("|",BX63)-1))-VALUE(MID(BX63,FIND("-",BX63)+1,10)))))*$D$50),$D$9*(1-(IF($N63="X",ABS($O63-VALUE(MID(BX63,FIND("|",BX63)+1,FIND("-",BX63)-FIND("|",BX63)-1))),ABS($Q63-ABS(VALUE(MID(BX63,FIND("|",BX63)+1,FIND("-",BX63)-FIND("|",BX63)-1))-VALUE(MID(BX63,FIND("-",BX63)+1,10)))))*$D$50)))))*$I63,0)),0)</f>
        <v>0</v>
      </c>
      <c r="BZ63" s="338"/>
      <c r="CA63" s="363"/>
      <c r="CB63" s="356" t="n">
        <f aca="false">IFERROR(IF($M63=CA63,($D$8+$D$9+$D$10)*$I63,IF($N63=LEFT(CA63,1),($D$8+MAX(0,IF($D$50=1,$D$9*(1-(ABS($Q63-ABS(VALUE(MID(CA63,FIND("|",CA63)+1,FIND("-",CA63)-FIND("|",CA63)-1))-VALUE(MID(CA63,FIND("-",CA63)+1,10)))))*$D$50),$D$9*(1-(IF($N63="X",ABS($O63-VALUE(MID(CA63,FIND("|",CA63)+1,FIND("-",CA63)-FIND("|",CA63)-1))),ABS($Q63-ABS(VALUE(MID(CA63,FIND("|",CA63)+1,FIND("-",CA63)-FIND("|",CA63)-1))-VALUE(MID(CA63,FIND("-",CA63)+1,10)))))*$D$50)))))*$I63,0)),0)</f>
        <v>0</v>
      </c>
      <c r="CC63" s="338"/>
      <c r="CD63" s="363"/>
      <c r="CE63" s="356" t="n">
        <f aca="false">IFERROR(IF($M63=CD63,($D$8+$D$9+$D$10)*$I63,IF($N63=LEFT(CD63,1),($D$8+MAX(0,IF($D$50=1,$D$9*(1-(ABS($Q63-ABS(VALUE(MID(CD63,FIND("|",CD63)+1,FIND("-",CD63)-FIND("|",CD63)-1))-VALUE(MID(CD63,FIND("-",CD63)+1,10)))))*$D$50),$D$9*(1-(IF($N63="X",ABS($O63-VALUE(MID(CD63,FIND("|",CD63)+1,FIND("-",CD63)-FIND("|",CD63)-1))),ABS($Q63-ABS(VALUE(MID(CD63,FIND("|",CD63)+1,FIND("-",CD63)-FIND("|",CD63)-1))-VALUE(MID(CD63,FIND("-",CD63)+1,10)))))*$D$50)))))*$I63,0)),0)</f>
        <v>0</v>
      </c>
      <c r="CF63" s="338"/>
      <c r="CG63" s="363"/>
      <c r="CH63" s="356" t="n">
        <f aca="false">IFERROR(IF($M63=CG63,($D$8+$D$9+$D$10)*$I63,IF($N63=LEFT(CG63,1),($D$8+MAX(0,IF($D$50=1,$D$9*(1-(ABS($Q63-ABS(VALUE(MID(CG63,FIND("|",CG63)+1,FIND("-",CG63)-FIND("|",CG63)-1))-VALUE(MID(CG63,FIND("-",CG63)+1,10)))))*$D$50),$D$9*(1-(IF($N63="X",ABS($O63-VALUE(MID(CG63,FIND("|",CG63)+1,FIND("-",CG63)-FIND("|",CG63)-1))),ABS($Q63-ABS(VALUE(MID(CG63,FIND("|",CG63)+1,FIND("-",CG63)-FIND("|",CG63)-1))-VALUE(MID(CG63,FIND("-",CG63)+1,10)))))*$D$50)))))*$I63,0)),0)</f>
        <v>0</v>
      </c>
      <c r="CI63" s="338"/>
      <c r="CJ63" s="363"/>
      <c r="CK63" s="356" t="n">
        <f aca="false">IFERROR(IF($M63=CJ63,($D$8+$D$9+$D$10)*$I63,IF($N63=LEFT(CJ63,1),($D$8+MAX(0,IF($D$50=1,$D$9*(1-(ABS($Q63-ABS(VALUE(MID(CJ63,FIND("|",CJ63)+1,FIND("-",CJ63)-FIND("|",CJ63)-1))-VALUE(MID(CJ63,FIND("-",CJ63)+1,10)))))*$D$50),$D$9*(1-(IF($N63="X",ABS($O63-VALUE(MID(CJ63,FIND("|",CJ63)+1,FIND("-",CJ63)-FIND("|",CJ63)-1))),ABS($Q63-ABS(VALUE(MID(CJ63,FIND("|",CJ63)+1,FIND("-",CJ63)-FIND("|",CJ63)-1))-VALUE(MID(CJ63,FIND("-",CJ63)+1,10)))))*$D$50)))))*$I63,0)),0)</f>
        <v>0</v>
      </c>
      <c r="CL63" s="338"/>
      <c r="CM63" s="363"/>
      <c r="CN63" s="356" t="n">
        <f aca="false">IFERROR(IF($M63=CM63,($D$8+$D$9+$D$10)*$I63,IF($N63=LEFT(CM63,1),($D$8+MAX(0,IF($D$50=1,$D$9*(1-(ABS($Q63-ABS(VALUE(MID(CM63,FIND("|",CM63)+1,FIND("-",CM63)-FIND("|",CM63)-1))-VALUE(MID(CM63,FIND("-",CM63)+1,10)))))*$D$50),$D$9*(1-(IF($N63="X",ABS($O63-VALUE(MID(CM63,FIND("|",CM63)+1,FIND("-",CM63)-FIND("|",CM63)-1))),ABS($Q63-ABS(VALUE(MID(CM63,FIND("|",CM63)+1,FIND("-",CM63)-FIND("|",CM63)-1))-VALUE(MID(CM63,FIND("-",CM63)+1,10)))))*$D$50)))))*$I63,0)),0)</f>
        <v>0</v>
      </c>
      <c r="CO63" s="338"/>
      <c r="CP63" s="363"/>
      <c r="CQ63" s="356" t="n">
        <f aca="false">IFERROR(IF($M63=CP63,($D$8+$D$9+$D$10)*$I63,IF($N63=LEFT(CP63,1),($D$8+MAX(0,IF($D$50=1,$D$9*(1-(ABS($Q63-ABS(VALUE(MID(CP63,FIND("|",CP63)+1,FIND("-",CP63)-FIND("|",CP63)-1))-VALUE(MID(CP63,FIND("-",CP63)+1,10)))))*$D$50),$D$9*(1-(IF($N63="X",ABS($O63-VALUE(MID(CP63,FIND("|",CP63)+1,FIND("-",CP63)-FIND("|",CP63)-1))),ABS($Q63-ABS(VALUE(MID(CP63,FIND("|",CP63)+1,FIND("-",CP63)-FIND("|",CP63)-1))-VALUE(MID(CP63,FIND("-",CP63)+1,10)))))*$D$50)))))*$I63,0)),0)</f>
        <v>0</v>
      </c>
      <c r="CR63" s="338"/>
      <c r="CS63" s="363"/>
      <c r="CT63" s="356" t="n">
        <f aca="false">IFERROR(IF($M63=CS63,($D$8+$D$9+$D$10)*$I63,IF($N63=LEFT(CS63,1),($D$8+MAX(0,IF($D$50=1,$D$9*(1-(ABS($Q63-ABS(VALUE(MID(CS63,FIND("|",CS63)+1,FIND("-",CS63)-FIND("|",CS63)-1))-VALUE(MID(CS63,FIND("-",CS63)+1,10)))))*$D$50),$D$9*(1-(IF($N63="X",ABS($O63-VALUE(MID(CS63,FIND("|",CS63)+1,FIND("-",CS63)-FIND("|",CS63)-1))),ABS($Q63-ABS(VALUE(MID(CS63,FIND("|",CS63)+1,FIND("-",CS63)-FIND("|",CS63)-1))-VALUE(MID(CS63,FIND("-",CS63)+1,10)))))*$D$50)))))*$I63,0)),0)</f>
        <v>0</v>
      </c>
      <c r="CU63" s="338"/>
      <c r="CV63" s="363"/>
      <c r="CW63" s="356" t="n">
        <f aca="false">IFERROR(IF($M63=CV63,($D$8+$D$9+$D$10)*$I63,IF($N63=LEFT(CV63,1),($D$8+MAX(0,IF($D$50=1,$D$9*(1-(ABS($Q63-ABS(VALUE(MID(CV63,FIND("|",CV63)+1,FIND("-",CV63)-FIND("|",CV63)-1))-VALUE(MID(CV63,FIND("-",CV63)+1,10)))))*$D$50),$D$9*(1-(IF($N63="X",ABS($O63-VALUE(MID(CV63,FIND("|",CV63)+1,FIND("-",CV63)-FIND("|",CV63)-1))),ABS($Q63-ABS(VALUE(MID(CV63,FIND("|",CV63)+1,FIND("-",CV63)-FIND("|",CV63)-1))-VALUE(MID(CV63,FIND("-",CV63)+1,10)))))*$D$50)))))*$I63,0)),0)</f>
        <v>0</v>
      </c>
      <c r="CX63" s="338"/>
      <c r="CY63" s="363"/>
      <c r="CZ63" s="356" t="n">
        <f aca="false">IFERROR(IF($M63=CY63,($D$8+$D$9+$D$10)*$I63,IF($N63=LEFT(CY63,1),($D$8+MAX(0,IF($D$50=1,$D$9*(1-(ABS($Q63-ABS(VALUE(MID(CY63,FIND("|",CY63)+1,FIND("-",CY63)-FIND("|",CY63)-1))-VALUE(MID(CY63,FIND("-",CY63)+1,10)))))*$D$50),$D$9*(1-(IF($N63="X",ABS($O63-VALUE(MID(CY63,FIND("|",CY63)+1,FIND("-",CY63)-FIND("|",CY63)-1))),ABS($Q63-ABS(VALUE(MID(CY63,FIND("|",CY63)+1,FIND("-",CY63)-FIND("|",CY63)-1))-VALUE(MID(CY63,FIND("-",CY63)+1,10)))))*$D$50)))))*$I63,0)),0)</f>
        <v>0</v>
      </c>
      <c r="DA63" s="338"/>
      <c r="DB63" s="363"/>
      <c r="DC63" s="356" t="n">
        <f aca="false">IFERROR(IF($M63=DB63,($D$8+$D$9+$D$10)*$I63,IF($N63=LEFT(DB63,1),($D$8+MAX(0,IF($D$50=1,$D$9*(1-(ABS($Q63-ABS(VALUE(MID(DB63,FIND("|",DB63)+1,FIND("-",DB63)-FIND("|",DB63)-1))-VALUE(MID(DB63,FIND("-",DB63)+1,10)))))*$D$50),$D$9*(1-(IF($N63="X",ABS($O63-VALUE(MID(DB63,FIND("|",DB63)+1,FIND("-",DB63)-FIND("|",DB63)-1))),ABS($Q63-ABS(VALUE(MID(DB63,FIND("|",DB63)+1,FIND("-",DB63)-FIND("|",DB63)-1))-VALUE(MID(DB63,FIND("-",DB63)+1,10)))))*$D$50)))))*$I63,0)),0)</f>
        <v>0</v>
      </c>
      <c r="DD63" s="338"/>
      <c r="DE63" s="363"/>
      <c r="DF63" s="356" t="n">
        <f aca="false">IFERROR(IF($M63=DE63,($D$8+$D$9+$D$10)*$I63,IF($N63=LEFT(DE63,1),($D$8+MAX(0,IF($D$50=1,$D$9*(1-(ABS($Q63-ABS(VALUE(MID(DE63,FIND("|",DE63)+1,FIND("-",DE63)-FIND("|",DE63)-1))-VALUE(MID(DE63,FIND("-",DE63)+1,10)))))*$D$50),$D$9*(1-(IF($N63="X",ABS($O63-VALUE(MID(DE63,FIND("|",DE63)+1,FIND("-",DE63)-FIND("|",DE63)-1))),ABS($Q63-ABS(VALUE(MID(DE63,FIND("|",DE63)+1,FIND("-",DE63)-FIND("|",DE63)-1))-VALUE(MID(DE63,FIND("-",DE63)+1,10)))))*$D$50)))))*$I63,0)),0)</f>
        <v>0</v>
      </c>
      <c r="DG63" s="338"/>
      <c r="DH63" s="363"/>
      <c r="DI63" s="356" t="n">
        <f aca="false">IFERROR(IF($M63=DH63,($D$8+$D$9+$D$10)*$I63,IF($N63=LEFT(DH63,1),($D$8+MAX(0,IF($D$50=1,$D$9*(1-(ABS($Q63-ABS(VALUE(MID(DH63,FIND("|",DH63)+1,FIND("-",DH63)-FIND("|",DH63)-1))-VALUE(MID(DH63,FIND("-",DH63)+1,10)))))*$D$50),$D$9*(1-(IF($N63="X",ABS($O63-VALUE(MID(DH63,FIND("|",DH63)+1,FIND("-",DH63)-FIND("|",DH63)-1))),ABS($Q63-ABS(VALUE(MID(DH63,FIND("|",DH63)+1,FIND("-",DH63)-FIND("|",DH63)-1))-VALUE(MID(DH63,FIND("-",DH63)+1,10)))))*$D$50)))))*$I63,0)),0)</f>
        <v>0</v>
      </c>
      <c r="DJ63" s="338"/>
      <c r="DK63" s="363"/>
      <c r="DL63" s="356" t="n">
        <f aca="false">IFERROR(IF($M63=DK63,($D$8+$D$9+$D$10)*$I63,IF($N63=LEFT(DK63,1),($D$8+MAX(0,IF($D$50=1,$D$9*(1-(ABS($Q63-ABS(VALUE(MID(DK63,FIND("|",DK63)+1,FIND("-",DK63)-FIND("|",DK63)-1))-VALUE(MID(DK63,FIND("-",DK63)+1,10)))))*$D$50),$D$9*(1-(IF($N63="X",ABS($O63-VALUE(MID(DK63,FIND("|",DK63)+1,FIND("-",DK63)-FIND("|",DK63)-1))),ABS($Q63-ABS(VALUE(MID(DK63,FIND("|",DK63)+1,FIND("-",DK63)-FIND("|",DK63)-1))-VALUE(MID(DK63,FIND("-",DK63)+1,10)))))*$D$50)))))*$I63,0)),0)</f>
        <v>0</v>
      </c>
      <c r="DM63" s="338"/>
      <c r="DN63" s="363"/>
      <c r="DO63" s="356" t="n">
        <f aca="false">IFERROR(IF($M63=DN63,($D$8+$D$9+$D$10)*$I63,IF($N63=LEFT(DN63,1),($D$8+MAX(0,IF($D$50=1,$D$9*(1-(ABS($Q63-ABS(VALUE(MID(DN63,FIND("|",DN63)+1,FIND("-",DN63)-FIND("|",DN63)-1))-VALUE(MID(DN63,FIND("-",DN63)+1,10)))))*$D$50),$D$9*(1-(IF($N63="X",ABS($O63-VALUE(MID(DN63,FIND("|",DN63)+1,FIND("-",DN63)-FIND("|",DN63)-1))),ABS($Q63-ABS(VALUE(MID(DN63,FIND("|",DN63)+1,FIND("-",DN63)-FIND("|",DN63)-1))-VALUE(MID(DN63,FIND("-",DN63)+1,10)))))*$D$50)))))*$I63,0)),0)</f>
        <v>0</v>
      </c>
      <c r="DP63" s="338"/>
      <c r="DQ63" s="363"/>
      <c r="DR63" s="356" t="n">
        <f aca="false">IFERROR(IF($M63=DQ63,($D$8+$D$9+$D$10)*$I63,IF($N63=LEFT(DQ63,1),($D$8+MAX(0,IF($D$50=1,$D$9*(1-(ABS($Q63-ABS(VALUE(MID(DQ63,FIND("|",DQ63)+1,FIND("-",DQ63)-FIND("|",DQ63)-1))-VALUE(MID(DQ63,FIND("-",DQ63)+1,10)))))*$D$50),$D$9*(1-(IF($N63="X",ABS($O63-VALUE(MID(DQ63,FIND("|",DQ63)+1,FIND("-",DQ63)-FIND("|",DQ63)-1))),ABS($Q63-ABS(VALUE(MID(DQ63,FIND("|",DQ63)+1,FIND("-",DQ63)-FIND("|",DQ63)-1))-VALUE(MID(DQ63,FIND("-",DQ63)+1,10)))))*$D$50)))))*$I63,0)),0)</f>
        <v>0</v>
      </c>
      <c r="DS63" s="338"/>
      <c r="DT63" s="363"/>
      <c r="DU63" s="356" t="n">
        <f aca="false">IFERROR(IF($M63=DT63,($D$8+$D$9+$D$10)*$I63,IF($N63=LEFT(DT63,1),($D$8+MAX(0,IF($D$50=1,$D$9*(1-(ABS($Q63-ABS(VALUE(MID(DT63,FIND("|",DT63)+1,FIND("-",DT63)-FIND("|",DT63)-1))-VALUE(MID(DT63,FIND("-",DT63)+1,10)))))*$D$50),$D$9*(1-(IF($N63="X",ABS($O63-VALUE(MID(DT63,FIND("|",DT63)+1,FIND("-",DT63)-FIND("|",DT63)-1))),ABS($Q63-ABS(VALUE(MID(DT63,FIND("|",DT63)+1,FIND("-",DT63)-FIND("|",DT63)-1))-VALUE(MID(DT63,FIND("-",DT63)+1,10)))))*$D$50)))))*$I63,0)),0)</f>
        <v>0</v>
      </c>
      <c r="DV63" s="338"/>
      <c r="DW63" s="363"/>
      <c r="DX63" s="356" t="n">
        <f aca="false">IFERROR(IF($M63=DW63,($D$8+$D$9+$D$10)*$I63,IF($N63=LEFT(DW63,1),($D$8+MAX(0,IF($D$50=1,$D$9*(1-(ABS($Q63-ABS(VALUE(MID(DW63,FIND("|",DW63)+1,FIND("-",DW63)-FIND("|",DW63)-1))-VALUE(MID(DW63,FIND("-",DW63)+1,10)))))*$D$50),$D$9*(1-(IF($N63="X",ABS($O63-VALUE(MID(DW63,FIND("|",DW63)+1,FIND("-",DW63)-FIND("|",DW63)-1))),ABS($Q63-ABS(VALUE(MID(DW63,FIND("|",DW63)+1,FIND("-",DW63)-FIND("|",DW63)-1))-VALUE(MID(DW63,FIND("-",DW63)+1,10)))))*$D$50)))))*$I63,0)),0)</f>
        <v>0</v>
      </c>
      <c r="DY63" s="338"/>
      <c r="DZ63" s="363"/>
      <c r="EA63" s="356" t="n">
        <f aca="false">IFERROR(IF($M63=DZ63,($D$8+$D$9+$D$10)*$I63,IF($N63=LEFT(DZ63,1),($D$8+MAX(0,IF($D$50=1,$D$9*(1-(ABS($Q63-ABS(VALUE(MID(DZ63,FIND("|",DZ63)+1,FIND("-",DZ63)-FIND("|",DZ63)-1))-VALUE(MID(DZ63,FIND("-",DZ63)+1,10)))))*$D$50),$D$9*(1-(IF($N63="X",ABS($O63-VALUE(MID(DZ63,FIND("|",DZ63)+1,FIND("-",DZ63)-FIND("|",DZ63)-1))),ABS($Q63-ABS(VALUE(MID(DZ63,FIND("|",DZ63)+1,FIND("-",DZ63)-FIND("|",DZ63)-1))-VALUE(MID(DZ63,FIND("-",DZ63)+1,10)))))*$D$50)))))*$I63,0)),0)</f>
        <v>0</v>
      </c>
      <c r="EB63" s="338"/>
      <c r="EC63" s="363"/>
      <c r="ED63" s="356" t="n">
        <f aca="false">IFERROR(IF($M63=EC63,($D$8+$D$9+$D$10)*$I63,IF($N63=LEFT(EC63,1),($D$8+MAX(0,IF($D$50=1,$D$9*(1-(ABS($Q63-ABS(VALUE(MID(EC63,FIND("|",EC63)+1,FIND("-",EC63)-FIND("|",EC63)-1))-VALUE(MID(EC63,FIND("-",EC63)+1,10)))))*$D$50),$D$9*(1-(IF($N63="X",ABS($O63-VALUE(MID(EC63,FIND("|",EC63)+1,FIND("-",EC63)-FIND("|",EC63)-1))),ABS($Q63-ABS(VALUE(MID(EC63,FIND("|",EC63)+1,FIND("-",EC63)-FIND("|",EC63)-1))-VALUE(MID(EC63,FIND("-",EC63)+1,10)))))*$D$50)))))*$I63,0)),0)</f>
        <v>0</v>
      </c>
      <c r="EE63" s="338"/>
      <c r="EF63" s="363"/>
      <c r="EG63" s="356" t="n">
        <f aca="false">IFERROR(IF($M63=EF63,($D$8+$D$9+$D$10)*$I63,IF($N63=LEFT(EF63,1),($D$8+MAX(0,IF($D$50=1,$D$9*(1-(ABS($Q63-ABS(VALUE(MID(EF63,FIND("|",EF63)+1,FIND("-",EF63)-FIND("|",EF63)-1))-VALUE(MID(EF63,FIND("-",EF63)+1,10)))))*$D$50),$D$9*(1-(IF($N63="X",ABS($O63-VALUE(MID(EF63,FIND("|",EF63)+1,FIND("-",EF63)-FIND("|",EF63)-1))),ABS($Q63-ABS(VALUE(MID(EF63,FIND("|",EF63)+1,FIND("-",EF63)-FIND("|",EF63)-1))-VALUE(MID(EF63,FIND("-",EF63)+1,10)))))*$D$50)))))*$I63,0)),0)</f>
        <v>0</v>
      </c>
      <c r="EH63" s="338"/>
      <c r="EI63" s="338"/>
    </row>
    <row r="64" customFormat="false" ht="15" hidden="false" customHeight="false" outlineLevel="0" collapsed="false">
      <c r="A64" s="327"/>
      <c r="B64" s="327"/>
      <c r="C64" s="384" t="str">
        <f aca="false">"MAX. "&amp;K5</f>
        <v>MAX. FASE DE GRUPOS</v>
      </c>
      <c r="D64" s="385" t="n">
        <f aca="false">D56</f>
        <v>1560</v>
      </c>
      <c r="E64" s="334"/>
      <c r="F64" s="343" t="n">
        <f aca="false">SUM($D$8:$D$10)*I64</f>
        <v>17</v>
      </c>
      <c r="G64" s="343" t="n">
        <f aca="false">VLOOKUP(H64,Equipos!$Q$1:$R$25,2,0)</f>
        <v>16</v>
      </c>
      <c r="H64" s="351" t="n">
        <f aca="false">TRUNC(INDEX(WORLDCUP!$X$4:$X$147,MATCH(ADMIN!K64,WORLDCUP!$DT$4:$DT$147,0))+INDEX(Horarios!$R$3:$R$86,MATCH(Horarios!$C$3,Horarios!$P$3:$P$86,0))/24)</f>
        <v>46199</v>
      </c>
      <c r="I64" s="352" t="n">
        <v>1</v>
      </c>
      <c r="J64" s="362" t="s">
        <v>321</v>
      </c>
      <c r="K64" s="367" t="str">
        <f aca="false">CONCATENATE(WORLDCUP!AA48,"-",WORLDCUP!AF48)</f>
        <v>Japón-Suecia</v>
      </c>
      <c r="L64" s="354"/>
      <c r="M64" s="359" t="str">
        <f aca="false">IF(OR(WORLDCUP!AC48="",WORLDCUP!AD48=""),"-",N64&amp;"|"&amp;O64&amp;"-"&amp;P64)</f>
        <v>-</v>
      </c>
      <c r="N64" s="332" t="str">
        <f aca="false">IF(OR(WORLDCUP!AC48="",WORLDCUP!AD48=""),"",IF(WORLDCUP!AC48&gt;WORLDCUP!AD48,"1",IF(WORLDCUP!AC48&lt;WORLDCUP!AD48,"2","X")))</f>
        <v/>
      </c>
      <c r="O64" s="332" t="n">
        <f aca="false">WORLDCUP!AC48</f>
        <v>0</v>
      </c>
      <c r="P64" s="332" t="n">
        <f aca="false">WORLDCUP!AD48</f>
        <v>0</v>
      </c>
      <c r="Q64" s="332" t="n">
        <f aca="false">ABS(O64-P64)</f>
        <v>0</v>
      </c>
      <c r="R64" s="327"/>
      <c r="S64" s="363" t="s">
        <v>269</v>
      </c>
      <c r="T64" s="356" t="n">
        <f aca="false">IFERROR(IF($M64=S64,($D$8+$D$9+$D$10)*$I64,IF($N64=LEFT(S64,1),($D$8+MAX(0,IF($D$50=1,$D$9*(1-(ABS($Q64-ABS(VALUE(MID(S64,FIND("|",S64)+1,FIND("-",S64)-FIND("|",S64)-1))-VALUE(MID(S64,FIND("-",S64)+1,10)))))*$D$50),$D$9*(1-(IF($N64="X",ABS($O64-VALUE(MID(S64,FIND("|",S64)+1,FIND("-",S64)-FIND("|",S64)-1))),ABS($Q64-ABS(VALUE(MID(S64,FIND("|",S64)+1,FIND("-",S64)-FIND("|",S64)-1))-VALUE(MID(S64,FIND("-",S64)+1,10)))))*$D$50)))))*$I64,0)),0)</f>
        <v>0</v>
      </c>
      <c r="U64" s="338"/>
      <c r="V64" s="363" t="s">
        <v>265</v>
      </c>
      <c r="W64" s="356" t="n">
        <f aca="false">IFERROR(IF($M64=V64,($D$8+$D$9+$D$10)*$I64,IF($N64=LEFT(V64,1),($D$8+MAX(0,IF($D$50=1,$D$9*(1-(ABS($Q64-ABS(VALUE(MID(V64,FIND("|",V64)+1,FIND("-",V64)-FIND("|",V64)-1))-VALUE(MID(V64,FIND("-",V64)+1,10)))))*$D$50),$D$9*(1-(IF($N64="X",ABS($O64-VALUE(MID(V64,FIND("|",V64)+1,FIND("-",V64)-FIND("|",V64)-1))),ABS($Q64-ABS(VALUE(MID(V64,FIND("|",V64)+1,FIND("-",V64)-FIND("|",V64)-1))-VALUE(MID(V64,FIND("-",V64)+1,10)))))*$D$50)))))*$I64,0)),0)</f>
        <v>0</v>
      </c>
      <c r="X64" s="338"/>
      <c r="Y64" s="363" t="s">
        <v>267</v>
      </c>
      <c r="Z64" s="356" t="n">
        <f aca="false">IFERROR(IF($M64=Y64,($D$8+$D$9+$D$10)*$I64,IF($N64=LEFT(Y64,1),($D$8+MAX(0,IF($D$50=1,$D$9*(1-(ABS($Q64-ABS(VALUE(MID(Y64,FIND("|",Y64)+1,FIND("-",Y64)-FIND("|",Y64)-1))-VALUE(MID(Y64,FIND("-",Y64)+1,10)))))*$D$50),$D$9*(1-(IF($N64="X",ABS($O64-VALUE(MID(Y64,FIND("|",Y64)+1,FIND("-",Y64)-FIND("|",Y64)-1))),ABS($Q64-ABS(VALUE(MID(Y64,FIND("|",Y64)+1,FIND("-",Y64)-FIND("|",Y64)-1))-VALUE(MID(Y64,FIND("-",Y64)+1,10)))))*$D$50)))))*$I64,0)),0)</f>
        <v>0</v>
      </c>
      <c r="AA64" s="338"/>
      <c r="AB64" s="363" t="s">
        <v>267</v>
      </c>
      <c r="AC64" s="356" t="n">
        <f aca="false">IFERROR(IF($M64=AB64,($D$8+$D$9+$D$10)*$I64,IF($N64=LEFT(AB64,1),($D$8+MAX(0,IF($D$50=1,$D$9*(1-(ABS($Q64-ABS(VALUE(MID(AB64,FIND("|",AB64)+1,FIND("-",AB64)-FIND("|",AB64)-1))-VALUE(MID(AB64,FIND("-",AB64)+1,10)))))*$D$50),$D$9*(1-(IF($N64="X",ABS($O64-VALUE(MID(AB64,FIND("|",AB64)+1,FIND("-",AB64)-FIND("|",AB64)-1))),ABS($Q64-ABS(VALUE(MID(AB64,FIND("|",AB64)+1,FIND("-",AB64)-FIND("|",AB64)-1))-VALUE(MID(AB64,FIND("-",AB64)+1,10)))))*$D$50)))))*$I64,0)),0)</f>
        <v>0</v>
      </c>
      <c r="AD64" s="338"/>
      <c r="AE64" s="363" t="s">
        <v>267</v>
      </c>
      <c r="AF64" s="356" t="n">
        <f aca="false">IFERROR(IF($M64=AE64,($D$8+$D$9+$D$10)*$I64,IF($N64=LEFT(AE64,1),($D$8+MAX(0,IF($D$50=1,$D$9*(1-(ABS($Q64-ABS(VALUE(MID(AE64,FIND("|",AE64)+1,FIND("-",AE64)-FIND("|",AE64)-1))-VALUE(MID(AE64,FIND("-",AE64)+1,10)))))*$D$50),$D$9*(1-(IF($N64="X",ABS($O64-VALUE(MID(AE64,FIND("|",AE64)+1,FIND("-",AE64)-FIND("|",AE64)-1))),ABS($Q64-ABS(VALUE(MID(AE64,FIND("|",AE64)+1,FIND("-",AE64)-FIND("|",AE64)-1))-VALUE(MID(AE64,FIND("-",AE64)+1,10)))))*$D$50)))))*$I64,0)),0)</f>
        <v>0</v>
      </c>
      <c r="AG64" s="338"/>
      <c r="AH64" s="363" t="s">
        <v>264</v>
      </c>
      <c r="AI64" s="356" t="n">
        <f aca="false">IFERROR(IF($M64=AH64,($D$8+$D$9+$D$10)*$I64,IF($N64=LEFT(AH64,1),($D$8+MAX(0,IF($D$50=1,$D$9*(1-(ABS($Q64-ABS(VALUE(MID(AH64,FIND("|",AH64)+1,FIND("-",AH64)-FIND("|",AH64)-1))-VALUE(MID(AH64,FIND("-",AH64)+1,10)))))*$D$50),$D$9*(1-(IF($N64="X",ABS($O64-VALUE(MID(AH64,FIND("|",AH64)+1,FIND("-",AH64)-FIND("|",AH64)-1))),ABS($Q64-ABS(VALUE(MID(AH64,FIND("|",AH64)+1,FIND("-",AH64)-FIND("|",AH64)-1))-VALUE(MID(AH64,FIND("-",AH64)+1,10)))))*$D$50)))))*$I64,0)),0)</f>
        <v>0</v>
      </c>
      <c r="AJ64" s="338"/>
      <c r="AK64" s="363" t="s">
        <v>267</v>
      </c>
      <c r="AL64" s="356" t="n">
        <f aca="false">IFERROR(IF($M64=AK64,($D$8+$D$9+$D$10)*$I64,IF($N64=LEFT(AK64,1),($D$8+MAX(0,IF($D$50=1,$D$9*(1-(ABS($Q64-ABS(VALUE(MID(AK64,FIND("|",AK64)+1,FIND("-",AK64)-FIND("|",AK64)-1))-VALUE(MID(AK64,FIND("-",AK64)+1,10)))))*$D$50),$D$9*(1-(IF($N64="X",ABS($O64-VALUE(MID(AK64,FIND("|",AK64)+1,FIND("-",AK64)-FIND("|",AK64)-1))),ABS($Q64-ABS(VALUE(MID(AK64,FIND("|",AK64)+1,FIND("-",AK64)-FIND("|",AK64)-1))-VALUE(MID(AK64,FIND("-",AK64)+1,10)))))*$D$50)))))*$I64,0)),0)</f>
        <v>0</v>
      </c>
      <c r="AM64" s="338"/>
      <c r="AN64" s="363" t="s">
        <v>267</v>
      </c>
      <c r="AO64" s="356" t="n">
        <f aca="false">IFERROR(IF($M64=AN64,($D$8+$D$9+$D$10)*$I64,IF($N64=LEFT(AN64,1),($D$8+MAX(0,IF($D$50=1,$D$9*(1-(ABS($Q64-ABS(VALUE(MID(AN64,FIND("|",AN64)+1,FIND("-",AN64)-FIND("|",AN64)-1))-VALUE(MID(AN64,FIND("-",AN64)+1,10)))))*$D$50),$D$9*(1-(IF($N64="X",ABS($O64-VALUE(MID(AN64,FIND("|",AN64)+1,FIND("-",AN64)-FIND("|",AN64)-1))),ABS($Q64-ABS(VALUE(MID(AN64,FIND("|",AN64)+1,FIND("-",AN64)-FIND("|",AN64)-1))-VALUE(MID(AN64,FIND("-",AN64)+1,10)))))*$D$50)))))*$I64,0)),0)</f>
        <v>0</v>
      </c>
      <c r="AP64" s="338"/>
      <c r="AQ64" s="363" t="s">
        <v>288</v>
      </c>
      <c r="AR64" s="356" t="n">
        <f aca="false">IFERROR(IF($M64=AQ64,($D$8+$D$9+$D$10)*$I64,IF($N64=LEFT(AQ64,1),($D$8+MAX(0,IF($D$50=1,$D$9*(1-(ABS($Q64-ABS(VALUE(MID(AQ64,FIND("|",AQ64)+1,FIND("-",AQ64)-FIND("|",AQ64)-1))-VALUE(MID(AQ64,FIND("-",AQ64)+1,10)))))*$D$50),$D$9*(1-(IF($N64="X",ABS($O64-VALUE(MID(AQ64,FIND("|",AQ64)+1,FIND("-",AQ64)-FIND("|",AQ64)-1))),ABS($Q64-ABS(VALUE(MID(AQ64,FIND("|",AQ64)+1,FIND("-",AQ64)-FIND("|",AQ64)-1))-VALUE(MID(AQ64,FIND("-",AQ64)+1,10)))))*$D$50)))))*$I64,0)),0)</f>
        <v>0</v>
      </c>
      <c r="AS64" s="338"/>
      <c r="AT64" s="363" t="s">
        <v>264</v>
      </c>
      <c r="AU64" s="356" t="n">
        <f aca="false">IFERROR(IF($M64=AT64,($D$8+$D$9+$D$10)*$I64,IF($N64=LEFT(AT64,1),($D$8+MAX(0,IF($D$50=1,$D$9*(1-(ABS($Q64-ABS(VALUE(MID(AT64,FIND("|",AT64)+1,FIND("-",AT64)-FIND("|",AT64)-1))-VALUE(MID(AT64,FIND("-",AT64)+1,10)))))*$D$50),$D$9*(1-(IF($N64="X",ABS($O64-VALUE(MID(AT64,FIND("|",AT64)+1,FIND("-",AT64)-FIND("|",AT64)-1))),ABS($Q64-ABS(VALUE(MID(AT64,FIND("|",AT64)+1,FIND("-",AT64)-FIND("|",AT64)-1))-VALUE(MID(AT64,FIND("-",AT64)+1,10)))))*$D$50)))))*$I64,0)),0)</f>
        <v>0</v>
      </c>
      <c r="AV64" s="338"/>
      <c r="AW64" s="363" t="s">
        <v>268</v>
      </c>
      <c r="AX64" s="356" t="n">
        <f aca="false">IFERROR(IF($M64=AW64,($D$8+$D$9+$D$10)*$I64,IF($N64=LEFT(AW64,1),($D$8+MAX(0,IF($D$50=1,$D$9*(1-(ABS($Q64-ABS(VALUE(MID(AW64,FIND("|",AW64)+1,FIND("-",AW64)-FIND("|",AW64)-1))-VALUE(MID(AW64,FIND("-",AW64)+1,10)))))*$D$50),$D$9*(1-(IF($N64="X",ABS($O64-VALUE(MID(AW64,FIND("|",AW64)+1,FIND("-",AW64)-FIND("|",AW64)-1))),ABS($Q64-ABS(VALUE(MID(AW64,FIND("|",AW64)+1,FIND("-",AW64)-FIND("|",AW64)-1))-VALUE(MID(AW64,FIND("-",AW64)+1,10)))))*$D$50)))))*$I64,0)),0)</f>
        <v>0</v>
      </c>
      <c r="AY64" s="338"/>
      <c r="AZ64" s="363" t="s">
        <v>268</v>
      </c>
      <c r="BA64" s="356" t="n">
        <f aca="false">IFERROR(IF($M64=AZ64,($D$8+$D$9+$D$10)*$I64,IF($N64=LEFT(AZ64,1),($D$8+MAX(0,IF($D$50=1,$D$9*(1-(ABS($Q64-ABS(VALUE(MID(AZ64,FIND("|",AZ64)+1,FIND("-",AZ64)-FIND("|",AZ64)-1))-VALUE(MID(AZ64,FIND("-",AZ64)+1,10)))))*$D$50),$D$9*(1-(IF($N64="X",ABS($O64-VALUE(MID(AZ64,FIND("|",AZ64)+1,FIND("-",AZ64)-FIND("|",AZ64)-1))),ABS($Q64-ABS(VALUE(MID(AZ64,FIND("|",AZ64)+1,FIND("-",AZ64)-FIND("|",AZ64)-1))-VALUE(MID(AZ64,FIND("-",AZ64)+1,10)))))*$D$50)))))*$I64,0)),0)</f>
        <v>0</v>
      </c>
      <c r="BB64" s="338"/>
      <c r="BC64" s="363" t="s">
        <v>274</v>
      </c>
      <c r="BD64" s="356" t="n">
        <f aca="false">IFERROR(IF($M64=BC64,($D$8+$D$9+$D$10)*$I64,IF($N64=LEFT(BC64,1),($D$8+MAX(0,IF($D$50=1,$D$9*(1-(ABS($Q64-ABS(VALUE(MID(BC64,FIND("|",BC64)+1,FIND("-",BC64)-FIND("|",BC64)-1))-VALUE(MID(BC64,FIND("-",BC64)+1,10)))))*$D$50),$D$9*(1-(IF($N64="X",ABS($O64-VALUE(MID(BC64,FIND("|",BC64)+1,FIND("-",BC64)-FIND("|",BC64)-1))),ABS($Q64-ABS(VALUE(MID(BC64,FIND("|",BC64)+1,FIND("-",BC64)-FIND("|",BC64)-1))-VALUE(MID(BC64,FIND("-",BC64)+1,10)))))*$D$50)))))*$I64,0)),0)</f>
        <v>0</v>
      </c>
      <c r="BE64" s="338"/>
      <c r="BF64" s="363" t="s">
        <v>268</v>
      </c>
      <c r="BG64" s="356" t="n">
        <f aca="false">IFERROR(IF($M64=BF64,($D$8+$D$9+$D$10)*$I64,IF($N64=LEFT(BF64,1),($D$8+MAX(0,IF($D$50=1,$D$9*(1-(ABS($Q64-ABS(VALUE(MID(BF64,FIND("|",BF64)+1,FIND("-",BF64)-FIND("|",BF64)-1))-VALUE(MID(BF64,FIND("-",BF64)+1,10)))))*$D$50),$D$9*(1-(IF($N64="X",ABS($O64-VALUE(MID(BF64,FIND("|",BF64)+1,FIND("-",BF64)-FIND("|",BF64)-1))),ABS($Q64-ABS(VALUE(MID(BF64,FIND("|",BF64)+1,FIND("-",BF64)-FIND("|",BF64)-1))-VALUE(MID(BF64,FIND("-",BF64)+1,10)))))*$D$50)))))*$I64,0)),0)</f>
        <v>0</v>
      </c>
      <c r="BH64" s="338"/>
      <c r="BI64" s="363" t="s">
        <v>271</v>
      </c>
      <c r="BJ64" s="356" t="n">
        <f aca="false">IFERROR(IF($M64=BI64,($D$8+$D$9+$D$10)*$I64,IF($N64=LEFT(BI64,1),($D$8+MAX(0,IF($D$50=1,$D$9*(1-(ABS($Q64-ABS(VALUE(MID(BI64,FIND("|",BI64)+1,FIND("-",BI64)-FIND("|",BI64)-1))-VALUE(MID(BI64,FIND("-",BI64)+1,10)))))*$D$50),$D$9*(1-(IF($N64="X",ABS($O64-VALUE(MID(BI64,FIND("|",BI64)+1,FIND("-",BI64)-FIND("|",BI64)-1))),ABS($Q64-ABS(VALUE(MID(BI64,FIND("|",BI64)+1,FIND("-",BI64)-FIND("|",BI64)-1))-VALUE(MID(BI64,FIND("-",BI64)+1,10)))))*$D$50)))))*$I64,0)),0)</f>
        <v>0</v>
      </c>
      <c r="BK64" s="338"/>
      <c r="BL64" s="363" t="s">
        <v>267</v>
      </c>
      <c r="BM64" s="356" t="n">
        <f aca="false">IFERROR(IF($M64=BL64,($D$8+$D$9+$D$10)*$I64,IF($N64=LEFT(BL64,1),($D$8+MAX(0,IF($D$50=1,$D$9*(1-(ABS($Q64-ABS(VALUE(MID(BL64,FIND("|",BL64)+1,FIND("-",BL64)-FIND("|",BL64)-1))-VALUE(MID(BL64,FIND("-",BL64)+1,10)))))*$D$50),$D$9*(1-(IF($N64="X",ABS($O64-VALUE(MID(BL64,FIND("|",BL64)+1,FIND("-",BL64)-FIND("|",BL64)-1))),ABS($Q64-ABS(VALUE(MID(BL64,FIND("|",BL64)+1,FIND("-",BL64)-FIND("|",BL64)-1))-VALUE(MID(BL64,FIND("-",BL64)+1,10)))))*$D$50)))))*$I64,0)),0)</f>
        <v>0</v>
      </c>
      <c r="BN64" s="338"/>
      <c r="BO64" s="363" t="s">
        <v>264</v>
      </c>
      <c r="BP64" s="356" t="n">
        <f aca="false">IFERROR(IF($M64=BO64,($D$8+$D$9+$D$10)*$I64,IF($N64=LEFT(BO64,1),($D$8+MAX(0,IF($D$50=1,$D$9*(1-(ABS($Q64-ABS(VALUE(MID(BO64,FIND("|",BO64)+1,FIND("-",BO64)-FIND("|",BO64)-1))-VALUE(MID(BO64,FIND("-",BO64)+1,10)))))*$D$50),$D$9*(1-(IF($N64="X",ABS($O64-VALUE(MID(BO64,FIND("|",BO64)+1,FIND("-",BO64)-FIND("|",BO64)-1))),ABS($Q64-ABS(VALUE(MID(BO64,FIND("|",BO64)+1,FIND("-",BO64)-FIND("|",BO64)-1))-VALUE(MID(BO64,FIND("-",BO64)+1,10)))))*$D$50)))))*$I64,0)),0)</f>
        <v>0</v>
      </c>
      <c r="BQ64" s="338"/>
      <c r="BR64" s="363" t="s">
        <v>265</v>
      </c>
      <c r="BS64" s="356" t="n">
        <f aca="false">IFERROR(IF($M64=BR64,($D$8+$D$9+$D$10)*$I64,IF($N64=LEFT(BR64,1),($D$8+MAX(0,IF($D$50=1,$D$9*(1-(ABS($Q64-ABS(VALUE(MID(BR64,FIND("|",BR64)+1,FIND("-",BR64)-FIND("|",BR64)-1))-VALUE(MID(BR64,FIND("-",BR64)+1,10)))))*$D$50),$D$9*(1-(IF($N64="X",ABS($O64-VALUE(MID(BR64,FIND("|",BR64)+1,FIND("-",BR64)-FIND("|",BR64)-1))),ABS($Q64-ABS(VALUE(MID(BR64,FIND("|",BR64)+1,FIND("-",BR64)-FIND("|",BR64)-1))-VALUE(MID(BR64,FIND("-",BR64)+1,10)))))*$D$50)))))*$I64,0)),0)</f>
        <v>0</v>
      </c>
      <c r="BT64" s="338"/>
      <c r="BU64" s="363"/>
      <c r="BV64" s="356" t="n">
        <f aca="false">IFERROR(IF($M64=BU64,($D$8+$D$9+$D$10)*$I64,IF($N64=LEFT(BU64,1),($D$8+MAX(0,IF($D$50=1,$D$9*(1-(ABS($Q64-ABS(VALUE(MID(BU64,FIND("|",BU64)+1,FIND("-",BU64)-FIND("|",BU64)-1))-VALUE(MID(BU64,FIND("-",BU64)+1,10)))))*$D$50),$D$9*(1-(IF($N64="X",ABS($O64-VALUE(MID(BU64,FIND("|",BU64)+1,FIND("-",BU64)-FIND("|",BU64)-1))),ABS($Q64-ABS(VALUE(MID(BU64,FIND("|",BU64)+1,FIND("-",BU64)-FIND("|",BU64)-1))-VALUE(MID(BU64,FIND("-",BU64)+1,10)))))*$D$50)))))*$I64,0)),0)</f>
        <v>0</v>
      </c>
      <c r="BW64" s="338"/>
      <c r="BX64" s="363"/>
      <c r="BY64" s="356" t="n">
        <f aca="false">IFERROR(IF($M64=BX64,($D$8+$D$9+$D$10)*$I64,IF($N64=LEFT(BX64,1),($D$8+MAX(0,IF($D$50=1,$D$9*(1-(ABS($Q64-ABS(VALUE(MID(BX64,FIND("|",BX64)+1,FIND("-",BX64)-FIND("|",BX64)-1))-VALUE(MID(BX64,FIND("-",BX64)+1,10)))))*$D$50),$D$9*(1-(IF($N64="X",ABS($O64-VALUE(MID(BX64,FIND("|",BX64)+1,FIND("-",BX64)-FIND("|",BX64)-1))),ABS($Q64-ABS(VALUE(MID(BX64,FIND("|",BX64)+1,FIND("-",BX64)-FIND("|",BX64)-1))-VALUE(MID(BX64,FIND("-",BX64)+1,10)))))*$D$50)))))*$I64,0)),0)</f>
        <v>0</v>
      </c>
      <c r="BZ64" s="338"/>
      <c r="CA64" s="363"/>
      <c r="CB64" s="356" t="n">
        <f aca="false">IFERROR(IF($M64=CA64,($D$8+$D$9+$D$10)*$I64,IF($N64=LEFT(CA64,1),($D$8+MAX(0,IF($D$50=1,$D$9*(1-(ABS($Q64-ABS(VALUE(MID(CA64,FIND("|",CA64)+1,FIND("-",CA64)-FIND("|",CA64)-1))-VALUE(MID(CA64,FIND("-",CA64)+1,10)))))*$D$50),$D$9*(1-(IF($N64="X",ABS($O64-VALUE(MID(CA64,FIND("|",CA64)+1,FIND("-",CA64)-FIND("|",CA64)-1))),ABS($Q64-ABS(VALUE(MID(CA64,FIND("|",CA64)+1,FIND("-",CA64)-FIND("|",CA64)-1))-VALUE(MID(CA64,FIND("-",CA64)+1,10)))))*$D$50)))))*$I64,0)),0)</f>
        <v>0</v>
      </c>
      <c r="CC64" s="338"/>
      <c r="CD64" s="363"/>
      <c r="CE64" s="356" t="n">
        <f aca="false">IFERROR(IF($M64=CD64,($D$8+$D$9+$D$10)*$I64,IF($N64=LEFT(CD64,1),($D$8+MAX(0,IF($D$50=1,$D$9*(1-(ABS($Q64-ABS(VALUE(MID(CD64,FIND("|",CD64)+1,FIND("-",CD64)-FIND("|",CD64)-1))-VALUE(MID(CD64,FIND("-",CD64)+1,10)))))*$D$50),$D$9*(1-(IF($N64="X",ABS($O64-VALUE(MID(CD64,FIND("|",CD64)+1,FIND("-",CD64)-FIND("|",CD64)-1))),ABS($Q64-ABS(VALUE(MID(CD64,FIND("|",CD64)+1,FIND("-",CD64)-FIND("|",CD64)-1))-VALUE(MID(CD64,FIND("-",CD64)+1,10)))))*$D$50)))))*$I64,0)),0)</f>
        <v>0</v>
      </c>
      <c r="CF64" s="338"/>
      <c r="CG64" s="363"/>
      <c r="CH64" s="356" t="n">
        <f aca="false">IFERROR(IF($M64=CG64,($D$8+$D$9+$D$10)*$I64,IF($N64=LEFT(CG64,1),($D$8+MAX(0,IF($D$50=1,$D$9*(1-(ABS($Q64-ABS(VALUE(MID(CG64,FIND("|",CG64)+1,FIND("-",CG64)-FIND("|",CG64)-1))-VALUE(MID(CG64,FIND("-",CG64)+1,10)))))*$D$50),$D$9*(1-(IF($N64="X",ABS($O64-VALUE(MID(CG64,FIND("|",CG64)+1,FIND("-",CG64)-FIND("|",CG64)-1))),ABS($Q64-ABS(VALUE(MID(CG64,FIND("|",CG64)+1,FIND("-",CG64)-FIND("|",CG64)-1))-VALUE(MID(CG64,FIND("-",CG64)+1,10)))))*$D$50)))))*$I64,0)),0)</f>
        <v>0</v>
      </c>
      <c r="CI64" s="338"/>
      <c r="CJ64" s="363"/>
      <c r="CK64" s="356" t="n">
        <f aca="false">IFERROR(IF($M64=CJ64,($D$8+$D$9+$D$10)*$I64,IF($N64=LEFT(CJ64,1),($D$8+MAX(0,IF($D$50=1,$D$9*(1-(ABS($Q64-ABS(VALUE(MID(CJ64,FIND("|",CJ64)+1,FIND("-",CJ64)-FIND("|",CJ64)-1))-VALUE(MID(CJ64,FIND("-",CJ64)+1,10)))))*$D$50),$D$9*(1-(IF($N64="X",ABS($O64-VALUE(MID(CJ64,FIND("|",CJ64)+1,FIND("-",CJ64)-FIND("|",CJ64)-1))),ABS($Q64-ABS(VALUE(MID(CJ64,FIND("|",CJ64)+1,FIND("-",CJ64)-FIND("|",CJ64)-1))-VALUE(MID(CJ64,FIND("-",CJ64)+1,10)))))*$D$50)))))*$I64,0)),0)</f>
        <v>0</v>
      </c>
      <c r="CL64" s="338"/>
      <c r="CM64" s="363"/>
      <c r="CN64" s="356" t="n">
        <f aca="false">IFERROR(IF($M64=CM64,($D$8+$D$9+$D$10)*$I64,IF($N64=LEFT(CM64,1),($D$8+MAX(0,IF($D$50=1,$D$9*(1-(ABS($Q64-ABS(VALUE(MID(CM64,FIND("|",CM64)+1,FIND("-",CM64)-FIND("|",CM64)-1))-VALUE(MID(CM64,FIND("-",CM64)+1,10)))))*$D$50),$D$9*(1-(IF($N64="X",ABS($O64-VALUE(MID(CM64,FIND("|",CM64)+1,FIND("-",CM64)-FIND("|",CM64)-1))),ABS($Q64-ABS(VALUE(MID(CM64,FIND("|",CM64)+1,FIND("-",CM64)-FIND("|",CM64)-1))-VALUE(MID(CM64,FIND("-",CM64)+1,10)))))*$D$50)))))*$I64,0)),0)</f>
        <v>0</v>
      </c>
      <c r="CO64" s="338"/>
      <c r="CP64" s="363"/>
      <c r="CQ64" s="356" t="n">
        <f aca="false">IFERROR(IF($M64=CP64,($D$8+$D$9+$D$10)*$I64,IF($N64=LEFT(CP64,1),($D$8+MAX(0,IF($D$50=1,$D$9*(1-(ABS($Q64-ABS(VALUE(MID(CP64,FIND("|",CP64)+1,FIND("-",CP64)-FIND("|",CP64)-1))-VALUE(MID(CP64,FIND("-",CP64)+1,10)))))*$D$50),$D$9*(1-(IF($N64="X",ABS($O64-VALUE(MID(CP64,FIND("|",CP64)+1,FIND("-",CP64)-FIND("|",CP64)-1))),ABS($Q64-ABS(VALUE(MID(CP64,FIND("|",CP64)+1,FIND("-",CP64)-FIND("|",CP64)-1))-VALUE(MID(CP64,FIND("-",CP64)+1,10)))))*$D$50)))))*$I64,0)),0)</f>
        <v>0</v>
      </c>
      <c r="CR64" s="338"/>
      <c r="CS64" s="363"/>
      <c r="CT64" s="356" t="n">
        <f aca="false">IFERROR(IF($M64=CS64,($D$8+$D$9+$D$10)*$I64,IF($N64=LEFT(CS64,1),($D$8+MAX(0,IF($D$50=1,$D$9*(1-(ABS($Q64-ABS(VALUE(MID(CS64,FIND("|",CS64)+1,FIND("-",CS64)-FIND("|",CS64)-1))-VALUE(MID(CS64,FIND("-",CS64)+1,10)))))*$D$50),$D$9*(1-(IF($N64="X",ABS($O64-VALUE(MID(CS64,FIND("|",CS64)+1,FIND("-",CS64)-FIND("|",CS64)-1))),ABS($Q64-ABS(VALUE(MID(CS64,FIND("|",CS64)+1,FIND("-",CS64)-FIND("|",CS64)-1))-VALUE(MID(CS64,FIND("-",CS64)+1,10)))))*$D$50)))))*$I64,0)),0)</f>
        <v>0</v>
      </c>
      <c r="CU64" s="338"/>
      <c r="CV64" s="363"/>
      <c r="CW64" s="356" t="n">
        <f aca="false">IFERROR(IF($M64=CV64,($D$8+$D$9+$D$10)*$I64,IF($N64=LEFT(CV64,1),($D$8+MAX(0,IF($D$50=1,$D$9*(1-(ABS($Q64-ABS(VALUE(MID(CV64,FIND("|",CV64)+1,FIND("-",CV64)-FIND("|",CV64)-1))-VALUE(MID(CV64,FIND("-",CV64)+1,10)))))*$D$50),$D$9*(1-(IF($N64="X",ABS($O64-VALUE(MID(CV64,FIND("|",CV64)+1,FIND("-",CV64)-FIND("|",CV64)-1))),ABS($Q64-ABS(VALUE(MID(CV64,FIND("|",CV64)+1,FIND("-",CV64)-FIND("|",CV64)-1))-VALUE(MID(CV64,FIND("-",CV64)+1,10)))))*$D$50)))))*$I64,0)),0)</f>
        <v>0</v>
      </c>
      <c r="CX64" s="338"/>
      <c r="CY64" s="363"/>
      <c r="CZ64" s="356" t="n">
        <f aca="false">IFERROR(IF($M64=CY64,($D$8+$D$9+$D$10)*$I64,IF($N64=LEFT(CY64,1),($D$8+MAX(0,IF($D$50=1,$D$9*(1-(ABS($Q64-ABS(VALUE(MID(CY64,FIND("|",CY64)+1,FIND("-",CY64)-FIND("|",CY64)-1))-VALUE(MID(CY64,FIND("-",CY64)+1,10)))))*$D$50),$D$9*(1-(IF($N64="X",ABS($O64-VALUE(MID(CY64,FIND("|",CY64)+1,FIND("-",CY64)-FIND("|",CY64)-1))),ABS($Q64-ABS(VALUE(MID(CY64,FIND("|",CY64)+1,FIND("-",CY64)-FIND("|",CY64)-1))-VALUE(MID(CY64,FIND("-",CY64)+1,10)))))*$D$50)))))*$I64,0)),0)</f>
        <v>0</v>
      </c>
      <c r="DA64" s="338"/>
      <c r="DB64" s="363"/>
      <c r="DC64" s="356" t="n">
        <f aca="false">IFERROR(IF($M64=DB64,($D$8+$D$9+$D$10)*$I64,IF($N64=LEFT(DB64,1),($D$8+MAX(0,IF($D$50=1,$D$9*(1-(ABS($Q64-ABS(VALUE(MID(DB64,FIND("|",DB64)+1,FIND("-",DB64)-FIND("|",DB64)-1))-VALUE(MID(DB64,FIND("-",DB64)+1,10)))))*$D$50),$D$9*(1-(IF($N64="X",ABS($O64-VALUE(MID(DB64,FIND("|",DB64)+1,FIND("-",DB64)-FIND("|",DB64)-1))),ABS($Q64-ABS(VALUE(MID(DB64,FIND("|",DB64)+1,FIND("-",DB64)-FIND("|",DB64)-1))-VALUE(MID(DB64,FIND("-",DB64)+1,10)))))*$D$50)))))*$I64,0)),0)</f>
        <v>0</v>
      </c>
      <c r="DD64" s="338"/>
      <c r="DE64" s="363"/>
      <c r="DF64" s="356" t="n">
        <f aca="false">IFERROR(IF($M64=DE64,($D$8+$D$9+$D$10)*$I64,IF($N64=LEFT(DE64,1),($D$8+MAX(0,IF($D$50=1,$D$9*(1-(ABS($Q64-ABS(VALUE(MID(DE64,FIND("|",DE64)+1,FIND("-",DE64)-FIND("|",DE64)-1))-VALUE(MID(DE64,FIND("-",DE64)+1,10)))))*$D$50),$D$9*(1-(IF($N64="X",ABS($O64-VALUE(MID(DE64,FIND("|",DE64)+1,FIND("-",DE64)-FIND("|",DE64)-1))),ABS($Q64-ABS(VALUE(MID(DE64,FIND("|",DE64)+1,FIND("-",DE64)-FIND("|",DE64)-1))-VALUE(MID(DE64,FIND("-",DE64)+1,10)))))*$D$50)))))*$I64,0)),0)</f>
        <v>0</v>
      </c>
      <c r="DG64" s="338"/>
      <c r="DH64" s="363"/>
      <c r="DI64" s="356" t="n">
        <f aca="false">IFERROR(IF($M64=DH64,($D$8+$D$9+$D$10)*$I64,IF($N64=LEFT(DH64,1),($D$8+MAX(0,IF($D$50=1,$D$9*(1-(ABS($Q64-ABS(VALUE(MID(DH64,FIND("|",DH64)+1,FIND("-",DH64)-FIND("|",DH64)-1))-VALUE(MID(DH64,FIND("-",DH64)+1,10)))))*$D$50),$D$9*(1-(IF($N64="X",ABS($O64-VALUE(MID(DH64,FIND("|",DH64)+1,FIND("-",DH64)-FIND("|",DH64)-1))),ABS($Q64-ABS(VALUE(MID(DH64,FIND("|",DH64)+1,FIND("-",DH64)-FIND("|",DH64)-1))-VALUE(MID(DH64,FIND("-",DH64)+1,10)))))*$D$50)))))*$I64,0)),0)</f>
        <v>0</v>
      </c>
      <c r="DJ64" s="338"/>
      <c r="DK64" s="363"/>
      <c r="DL64" s="356" t="n">
        <f aca="false">IFERROR(IF($M64=DK64,($D$8+$D$9+$D$10)*$I64,IF($N64=LEFT(DK64,1),($D$8+MAX(0,IF($D$50=1,$D$9*(1-(ABS($Q64-ABS(VALUE(MID(DK64,FIND("|",DK64)+1,FIND("-",DK64)-FIND("|",DK64)-1))-VALUE(MID(DK64,FIND("-",DK64)+1,10)))))*$D$50),$D$9*(1-(IF($N64="X",ABS($O64-VALUE(MID(DK64,FIND("|",DK64)+1,FIND("-",DK64)-FIND("|",DK64)-1))),ABS($Q64-ABS(VALUE(MID(DK64,FIND("|",DK64)+1,FIND("-",DK64)-FIND("|",DK64)-1))-VALUE(MID(DK64,FIND("-",DK64)+1,10)))))*$D$50)))))*$I64,0)),0)</f>
        <v>0</v>
      </c>
      <c r="DM64" s="338"/>
      <c r="DN64" s="363"/>
      <c r="DO64" s="356" t="n">
        <f aca="false">IFERROR(IF($M64=DN64,($D$8+$D$9+$D$10)*$I64,IF($N64=LEFT(DN64,1),($D$8+MAX(0,IF($D$50=1,$D$9*(1-(ABS($Q64-ABS(VALUE(MID(DN64,FIND("|",DN64)+1,FIND("-",DN64)-FIND("|",DN64)-1))-VALUE(MID(DN64,FIND("-",DN64)+1,10)))))*$D$50),$D$9*(1-(IF($N64="X",ABS($O64-VALUE(MID(DN64,FIND("|",DN64)+1,FIND("-",DN64)-FIND("|",DN64)-1))),ABS($Q64-ABS(VALUE(MID(DN64,FIND("|",DN64)+1,FIND("-",DN64)-FIND("|",DN64)-1))-VALUE(MID(DN64,FIND("-",DN64)+1,10)))))*$D$50)))))*$I64,0)),0)</f>
        <v>0</v>
      </c>
      <c r="DP64" s="338"/>
      <c r="DQ64" s="363"/>
      <c r="DR64" s="356" t="n">
        <f aca="false">IFERROR(IF($M64=DQ64,($D$8+$D$9+$D$10)*$I64,IF($N64=LEFT(DQ64,1),($D$8+MAX(0,IF($D$50=1,$D$9*(1-(ABS($Q64-ABS(VALUE(MID(DQ64,FIND("|",DQ64)+1,FIND("-",DQ64)-FIND("|",DQ64)-1))-VALUE(MID(DQ64,FIND("-",DQ64)+1,10)))))*$D$50),$D$9*(1-(IF($N64="X",ABS($O64-VALUE(MID(DQ64,FIND("|",DQ64)+1,FIND("-",DQ64)-FIND("|",DQ64)-1))),ABS($Q64-ABS(VALUE(MID(DQ64,FIND("|",DQ64)+1,FIND("-",DQ64)-FIND("|",DQ64)-1))-VALUE(MID(DQ64,FIND("-",DQ64)+1,10)))))*$D$50)))))*$I64,0)),0)</f>
        <v>0</v>
      </c>
      <c r="DS64" s="338"/>
      <c r="DT64" s="363"/>
      <c r="DU64" s="356" t="n">
        <f aca="false">IFERROR(IF($M64=DT64,($D$8+$D$9+$D$10)*$I64,IF($N64=LEFT(DT64,1),($D$8+MAX(0,IF($D$50=1,$D$9*(1-(ABS($Q64-ABS(VALUE(MID(DT64,FIND("|",DT64)+1,FIND("-",DT64)-FIND("|",DT64)-1))-VALUE(MID(DT64,FIND("-",DT64)+1,10)))))*$D$50),$D$9*(1-(IF($N64="X",ABS($O64-VALUE(MID(DT64,FIND("|",DT64)+1,FIND("-",DT64)-FIND("|",DT64)-1))),ABS($Q64-ABS(VALUE(MID(DT64,FIND("|",DT64)+1,FIND("-",DT64)-FIND("|",DT64)-1))-VALUE(MID(DT64,FIND("-",DT64)+1,10)))))*$D$50)))))*$I64,0)),0)</f>
        <v>0</v>
      </c>
      <c r="DV64" s="338"/>
      <c r="DW64" s="363"/>
      <c r="DX64" s="356" t="n">
        <f aca="false">IFERROR(IF($M64=DW64,($D$8+$D$9+$D$10)*$I64,IF($N64=LEFT(DW64,1),($D$8+MAX(0,IF($D$50=1,$D$9*(1-(ABS($Q64-ABS(VALUE(MID(DW64,FIND("|",DW64)+1,FIND("-",DW64)-FIND("|",DW64)-1))-VALUE(MID(DW64,FIND("-",DW64)+1,10)))))*$D$50),$D$9*(1-(IF($N64="X",ABS($O64-VALUE(MID(DW64,FIND("|",DW64)+1,FIND("-",DW64)-FIND("|",DW64)-1))),ABS($Q64-ABS(VALUE(MID(DW64,FIND("|",DW64)+1,FIND("-",DW64)-FIND("|",DW64)-1))-VALUE(MID(DW64,FIND("-",DW64)+1,10)))))*$D$50)))))*$I64,0)),0)</f>
        <v>0</v>
      </c>
      <c r="DY64" s="338"/>
      <c r="DZ64" s="363"/>
      <c r="EA64" s="356" t="n">
        <f aca="false">IFERROR(IF($M64=DZ64,($D$8+$D$9+$D$10)*$I64,IF($N64=LEFT(DZ64,1),($D$8+MAX(0,IF($D$50=1,$D$9*(1-(ABS($Q64-ABS(VALUE(MID(DZ64,FIND("|",DZ64)+1,FIND("-",DZ64)-FIND("|",DZ64)-1))-VALUE(MID(DZ64,FIND("-",DZ64)+1,10)))))*$D$50),$D$9*(1-(IF($N64="X",ABS($O64-VALUE(MID(DZ64,FIND("|",DZ64)+1,FIND("-",DZ64)-FIND("|",DZ64)-1))),ABS($Q64-ABS(VALUE(MID(DZ64,FIND("|",DZ64)+1,FIND("-",DZ64)-FIND("|",DZ64)-1))-VALUE(MID(DZ64,FIND("-",DZ64)+1,10)))))*$D$50)))))*$I64,0)),0)</f>
        <v>0</v>
      </c>
      <c r="EB64" s="338"/>
      <c r="EC64" s="363"/>
      <c r="ED64" s="356" t="n">
        <f aca="false">IFERROR(IF($M64=EC64,($D$8+$D$9+$D$10)*$I64,IF($N64=LEFT(EC64,1),($D$8+MAX(0,IF($D$50=1,$D$9*(1-(ABS($Q64-ABS(VALUE(MID(EC64,FIND("|",EC64)+1,FIND("-",EC64)-FIND("|",EC64)-1))-VALUE(MID(EC64,FIND("-",EC64)+1,10)))))*$D$50),$D$9*(1-(IF($N64="X",ABS($O64-VALUE(MID(EC64,FIND("|",EC64)+1,FIND("-",EC64)-FIND("|",EC64)-1))),ABS($Q64-ABS(VALUE(MID(EC64,FIND("|",EC64)+1,FIND("-",EC64)-FIND("|",EC64)-1))-VALUE(MID(EC64,FIND("-",EC64)+1,10)))))*$D$50)))))*$I64,0)),0)</f>
        <v>0</v>
      </c>
      <c r="EE64" s="338"/>
      <c r="EF64" s="363"/>
      <c r="EG64" s="356" t="n">
        <f aca="false">IFERROR(IF($M64=EF64,($D$8+$D$9+$D$10)*$I64,IF($N64=LEFT(EF64,1),($D$8+MAX(0,IF($D$50=1,$D$9*(1-(ABS($Q64-ABS(VALUE(MID(EF64,FIND("|",EF64)+1,FIND("-",EF64)-FIND("|",EF64)-1))-VALUE(MID(EF64,FIND("-",EF64)+1,10)))))*$D$50),$D$9*(1-(IF($N64="X",ABS($O64-VALUE(MID(EF64,FIND("|",EF64)+1,FIND("-",EF64)-FIND("|",EF64)-1))),ABS($Q64-ABS(VALUE(MID(EF64,FIND("|",EF64)+1,FIND("-",EF64)-FIND("|",EF64)-1))-VALUE(MID(EF64,FIND("-",EF64)+1,10)))))*$D$50)))))*$I64,0)),0)</f>
        <v>0</v>
      </c>
      <c r="EH64" s="338"/>
      <c r="EI64" s="338"/>
    </row>
    <row r="65" customFormat="false" ht="15" hidden="false" customHeight="false" outlineLevel="0" collapsed="false">
      <c r="A65" s="327"/>
      <c r="B65" s="327"/>
      <c r="C65" s="392" t="s">
        <v>322</v>
      </c>
      <c r="D65" s="393" t="n">
        <f aca="false">SUM($D$57:$D$62)</f>
        <v>882</v>
      </c>
      <c r="E65" s="334"/>
      <c r="F65" s="343" t="n">
        <f aca="false">SUM($D$8:$D$10)*I65</f>
        <v>17</v>
      </c>
      <c r="G65" s="343" t="n">
        <f aca="false">VLOOKUP(H65,Equipos!$Q$1:$R$25,2,0)</f>
        <v>16</v>
      </c>
      <c r="H65" s="351" t="n">
        <f aca="false">TRUNC(INDEX(WORLDCUP!$X$4:$X$147,MATCH(ADMIN!K65,WORLDCUP!$DT$4:$DT$147,0))+INDEX(Horarios!$R$3:$R$86,MATCH(Horarios!$C$3,Horarios!$P$3:$P$86,0))/24)</f>
        <v>46199</v>
      </c>
      <c r="I65" s="352" t="n">
        <v>1</v>
      </c>
      <c r="J65" s="362" t="s">
        <v>321</v>
      </c>
      <c r="K65" s="367" t="str">
        <f aca="false">CONCATENATE(WORLDCUP!AA49,"-",WORLDCUP!AF49)</f>
        <v>Túnez-Países Bajos</v>
      </c>
      <c r="L65" s="354"/>
      <c r="M65" s="359" t="str">
        <f aca="false">IF(OR(WORLDCUP!AC49="",WORLDCUP!AD49=""),"-",N65&amp;"|"&amp;O65&amp;"-"&amp;P65)</f>
        <v>-</v>
      </c>
      <c r="N65" s="332" t="str">
        <f aca="false">IF(OR(WORLDCUP!AC49="",WORLDCUP!AD49=""),"",IF(WORLDCUP!AC49&gt;WORLDCUP!AD49,"1",IF(WORLDCUP!AC49&lt;WORLDCUP!AD49,"2","X")))</f>
        <v/>
      </c>
      <c r="O65" s="332" t="n">
        <f aca="false">WORLDCUP!AC49</f>
        <v>0</v>
      </c>
      <c r="P65" s="332" t="n">
        <f aca="false">WORLDCUP!AD49</f>
        <v>0</v>
      </c>
      <c r="Q65" s="332" t="n">
        <f aca="false">ABS(O65-P65)</f>
        <v>0</v>
      </c>
      <c r="R65" s="327"/>
      <c r="S65" s="363" t="s">
        <v>277</v>
      </c>
      <c r="T65" s="356" t="n">
        <f aca="false">IFERROR(IF($M65=S65,($D$8+$D$9+$D$10)*$I65,IF($N65=LEFT(S65,1),($D$8+MAX(0,IF($D$50=1,$D$9*(1-(ABS($Q65-ABS(VALUE(MID(S65,FIND("|",S65)+1,FIND("-",S65)-FIND("|",S65)-1))-VALUE(MID(S65,FIND("-",S65)+1,10)))))*$D$50),$D$9*(1-(IF($N65="X",ABS($O65-VALUE(MID(S65,FIND("|",S65)+1,FIND("-",S65)-FIND("|",S65)-1))),ABS($Q65-ABS(VALUE(MID(S65,FIND("|",S65)+1,FIND("-",S65)-FIND("|",S65)-1))-VALUE(MID(S65,FIND("-",S65)+1,10)))))*$D$50)))))*$I65,0)),0)</f>
        <v>0</v>
      </c>
      <c r="U65" s="338"/>
      <c r="V65" s="363" t="s">
        <v>274</v>
      </c>
      <c r="W65" s="356" t="n">
        <f aca="false">IFERROR(IF($M65=V65,($D$8+$D$9+$D$10)*$I65,IF($N65=LEFT(V65,1),($D$8+MAX(0,IF($D$50=1,$D$9*(1-(ABS($Q65-ABS(VALUE(MID(V65,FIND("|",V65)+1,FIND("-",V65)-FIND("|",V65)-1))-VALUE(MID(V65,FIND("-",V65)+1,10)))))*$D$50),$D$9*(1-(IF($N65="X",ABS($O65-VALUE(MID(V65,FIND("|",V65)+1,FIND("-",V65)-FIND("|",V65)-1))),ABS($Q65-ABS(VALUE(MID(V65,FIND("|",V65)+1,FIND("-",V65)-FIND("|",V65)-1))-VALUE(MID(V65,FIND("-",V65)+1,10)))))*$D$50)))))*$I65,0)),0)</f>
        <v>0</v>
      </c>
      <c r="X65" s="338"/>
      <c r="Y65" s="363" t="s">
        <v>274</v>
      </c>
      <c r="Z65" s="356" t="n">
        <f aca="false">IFERROR(IF($M65=Y65,($D$8+$D$9+$D$10)*$I65,IF($N65=LEFT(Y65,1),($D$8+MAX(0,IF($D$50=1,$D$9*(1-(ABS($Q65-ABS(VALUE(MID(Y65,FIND("|",Y65)+1,FIND("-",Y65)-FIND("|",Y65)-1))-VALUE(MID(Y65,FIND("-",Y65)+1,10)))))*$D$50),$D$9*(1-(IF($N65="X",ABS($O65-VALUE(MID(Y65,FIND("|",Y65)+1,FIND("-",Y65)-FIND("|",Y65)-1))),ABS($Q65-ABS(VALUE(MID(Y65,FIND("|",Y65)+1,FIND("-",Y65)-FIND("|",Y65)-1))-VALUE(MID(Y65,FIND("-",Y65)+1,10)))))*$D$50)))))*$I65,0)),0)</f>
        <v>0</v>
      </c>
      <c r="AA65" s="338"/>
      <c r="AB65" s="363" t="s">
        <v>268</v>
      </c>
      <c r="AC65" s="356" t="n">
        <f aca="false">IFERROR(IF($M65=AB65,($D$8+$D$9+$D$10)*$I65,IF($N65=LEFT(AB65,1),($D$8+MAX(0,IF($D$50=1,$D$9*(1-(ABS($Q65-ABS(VALUE(MID(AB65,FIND("|",AB65)+1,FIND("-",AB65)-FIND("|",AB65)-1))-VALUE(MID(AB65,FIND("-",AB65)+1,10)))))*$D$50),$D$9*(1-(IF($N65="X",ABS($O65-VALUE(MID(AB65,FIND("|",AB65)+1,FIND("-",AB65)-FIND("|",AB65)-1))),ABS($Q65-ABS(VALUE(MID(AB65,FIND("|",AB65)+1,FIND("-",AB65)-FIND("|",AB65)-1))-VALUE(MID(AB65,FIND("-",AB65)+1,10)))))*$D$50)))))*$I65,0)),0)</f>
        <v>0</v>
      </c>
      <c r="AD65" s="338"/>
      <c r="AE65" s="363" t="s">
        <v>271</v>
      </c>
      <c r="AF65" s="356" t="n">
        <f aca="false">IFERROR(IF($M65=AE65,($D$8+$D$9+$D$10)*$I65,IF($N65=LEFT(AE65,1),($D$8+MAX(0,IF($D$50=1,$D$9*(1-(ABS($Q65-ABS(VALUE(MID(AE65,FIND("|",AE65)+1,FIND("-",AE65)-FIND("|",AE65)-1))-VALUE(MID(AE65,FIND("-",AE65)+1,10)))))*$D$50),$D$9*(1-(IF($N65="X",ABS($O65-VALUE(MID(AE65,FIND("|",AE65)+1,FIND("-",AE65)-FIND("|",AE65)-1))),ABS($Q65-ABS(VALUE(MID(AE65,FIND("|",AE65)+1,FIND("-",AE65)-FIND("|",AE65)-1))-VALUE(MID(AE65,FIND("-",AE65)+1,10)))))*$D$50)))))*$I65,0)),0)</f>
        <v>0</v>
      </c>
      <c r="AG65" s="338"/>
      <c r="AH65" s="363" t="s">
        <v>274</v>
      </c>
      <c r="AI65" s="356" t="n">
        <f aca="false">IFERROR(IF($M65=AH65,($D$8+$D$9+$D$10)*$I65,IF($N65=LEFT(AH65,1),($D$8+MAX(0,IF($D$50=1,$D$9*(1-(ABS($Q65-ABS(VALUE(MID(AH65,FIND("|",AH65)+1,FIND("-",AH65)-FIND("|",AH65)-1))-VALUE(MID(AH65,FIND("-",AH65)+1,10)))))*$D$50),$D$9*(1-(IF($N65="X",ABS($O65-VALUE(MID(AH65,FIND("|",AH65)+1,FIND("-",AH65)-FIND("|",AH65)-1))),ABS($Q65-ABS(VALUE(MID(AH65,FIND("|",AH65)+1,FIND("-",AH65)-FIND("|",AH65)-1))-VALUE(MID(AH65,FIND("-",AH65)+1,10)))))*$D$50)))))*$I65,0)),0)</f>
        <v>0</v>
      </c>
      <c r="AJ65" s="338"/>
      <c r="AK65" s="363" t="s">
        <v>277</v>
      </c>
      <c r="AL65" s="356" t="n">
        <f aca="false">IFERROR(IF($M65=AK65,($D$8+$D$9+$D$10)*$I65,IF($N65=LEFT(AK65,1),($D$8+MAX(0,IF($D$50=1,$D$9*(1-(ABS($Q65-ABS(VALUE(MID(AK65,FIND("|",AK65)+1,FIND("-",AK65)-FIND("|",AK65)-1))-VALUE(MID(AK65,FIND("-",AK65)+1,10)))))*$D$50),$D$9*(1-(IF($N65="X",ABS($O65-VALUE(MID(AK65,FIND("|",AK65)+1,FIND("-",AK65)-FIND("|",AK65)-1))),ABS($Q65-ABS(VALUE(MID(AK65,FIND("|",AK65)+1,FIND("-",AK65)-FIND("|",AK65)-1))-VALUE(MID(AK65,FIND("-",AK65)+1,10)))))*$D$50)))))*$I65,0)),0)</f>
        <v>0</v>
      </c>
      <c r="AM65" s="338"/>
      <c r="AN65" s="363" t="s">
        <v>277</v>
      </c>
      <c r="AO65" s="356" t="n">
        <f aca="false">IFERROR(IF($M65=AN65,($D$8+$D$9+$D$10)*$I65,IF($N65=LEFT(AN65,1),($D$8+MAX(0,IF($D$50=1,$D$9*(1-(ABS($Q65-ABS(VALUE(MID(AN65,FIND("|",AN65)+1,FIND("-",AN65)-FIND("|",AN65)-1))-VALUE(MID(AN65,FIND("-",AN65)+1,10)))))*$D$50),$D$9*(1-(IF($N65="X",ABS($O65-VALUE(MID(AN65,FIND("|",AN65)+1,FIND("-",AN65)-FIND("|",AN65)-1))),ABS($Q65-ABS(VALUE(MID(AN65,FIND("|",AN65)+1,FIND("-",AN65)-FIND("|",AN65)-1))-VALUE(MID(AN65,FIND("-",AN65)+1,10)))))*$D$50)))))*$I65,0)),0)</f>
        <v>0</v>
      </c>
      <c r="AP65" s="338"/>
      <c r="AQ65" s="363" t="s">
        <v>277</v>
      </c>
      <c r="AR65" s="356" t="n">
        <f aca="false">IFERROR(IF($M65=AQ65,($D$8+$D$9+$D$10)*$I65,IF($N65=LEFT(AQ65,1),($D$8+MAX(0,IF($D$50=1,$D$9*(1-(ABS($Q65-ABS(VALUE(MID(AQ65,FIND("|",AQ65)+1,FIND("-",AQ65)-FIND("|",AQ65)-1))-VALUE(MID(AQ65,FIND("-",AQ65)+1,10)))))*$D$50),$D$9*(1-(IF($N65="X",ABS($O65-VALUE(MID(AQ65,FIND("|",AQ65)+1,FIND("-",AQ65)-FIND("|",AQ65)-1))),ABS($Q65-ABS(VALUE(MID(AQ65,FIND("|",AQ65)+1,FIND("-",AQ65)-FIND("|",AQ65)-1))-VALUE(MID(AQ65,FIND("-",AQ65)+1,10)))))*$D$50)))))*$I65,0)),0)</f>
        <v>0</v>
      </c>
      <c r="AS65" s="338"/>
      <c r="AT65" s="363" t="s">
        <v>273</v>
      </c>
      <c r="AU65" s="356" t="n">
        <f aca="false">IFERROR(IF($M65=AT65,($D$8+$D$9+$D$10)*$I65,IF($N65=LEFT(AT65,1),($D$8+MAX(0,IF($D$50=1,$D$9*(1-(ABS($Q65-ABS(VALUE(MID(AT65,FIND("|",AT65)+1,FIND("-",AT65)-FIND("|",AT65)-1))-VALUE(MID(AT65,FIND("-",AT65)+1,10)))))*$D$50),$D$9*(1-(IF($N65="X",ABS($O65-VALUE(MID(AT65,FIND("|",AT65)+1,FIND("-",AT65)-FIND("|",AT65)-1))),ABS($Q65-ABS(VALUE(MID(AT65,FIND("|",AT65)+1,FIND("-",AT65)-FIND("|",AT65)-1))-VALUE(MID(AT65,FIND("-",AT65)+1,10)))))*$D$50)))))*$I65,0)),0)</f>
        <v>0</v>
      </c>
      <c r="AV65" s="338"/>
      <c r="AW65" s="363" t="s">
        <v>274</v>
      </c>
      <c r="AX65" s="356" t="n">
        <f aca="false">IFERROR(IF($M65=AW65,($D$8+$D$9+$D$10)*$I65,IF($N65=LEFT(AW65,1),($D$8+MAX(0,IF($D$50=1,$D$9*(1-(ABS($Q65-ABS(VALUE(MID(AW65,FIND("|",AW65)+1,FIND("-",AW65)-FIND("|",AW65)-1))-VALUE(MID(AW65,FIND("-",AW65)+1,10)))))*$D$50),$D$9*(1-(IF($N65="X",ABS($O65-VALUE(MID(AW65,FIND("|",AW65)+1,FIND("-",AW65)-FIND("|",AW65)-1))),ABS($Q65-ABS(VALUE(MID(AW65,FIND("|",AW65)+1,FIND("-",AW65)-FIND("|",AW65)-1))-VALUE(MID(AW65,FIND("-",AW65)+1,10)))))*$D$50)))))*$I65,0)),0)</f>
        <v>0</v>
      </c>
      <c r="AY65" s="338"/>
      <c r="AZ65" s="363" t="s">
        <v>273</v>
      </c>
      <c r="BA65" s="356" t="n">
        <f aca="false">IFERROR(IF($M65=AZ65,($D$8+$D$9+$D$10)*$I65,IF($N65=LEFT(AZ65,1),($D$8+MAX(0,IF($D$50=1,$D$9*(1-(ABS($Q65-ABS(VALUE(MID(AZ65,FIND("|",AZ65)+1,FIND("-",AZ65)-FIND("|",AZ65)-1))-VALUE(MID(AZ65,FIND("-",AZ65)+1,10)))))*$D$50),$D$9*(1-(IF($N65="X",ABS($O65-VALUE(MID(AZ65,FIND("|",AZ65)+1,FIND("-",AZ65)-FIND("|",AZ65)-1))),ABS($Q65-ABS(VALUE(MID(AZ65,FIND("|",AZ65)+1,FIND("-",AZ65)-FIND("|",AZ65)-1))-VALUE(MID(AZ65,FIND("-",AZ65)+1,10)))))*$D$50)))))*$I65,0)),0)</f>
        <v>0</v>
      </c>
      <c r="BB65" s="338"/>
      <c r="BC65" s="363" t="s">
        <v>281</v>
      </c>
      <c r="BD65" s="356" t="n">
        <f aca="false">IFERROR(IF($M65=BC65,($D$8+$D$9+$D$10)*$I65,IF($N65=LEFT(BC65,1),($D$8+MAX(0,IF($D$50=1,$D$9*(1-(ABS($Q65-ABS(VALUE(MID(BC65,FIND("|",BC65)+1,FIND("-",BC65)-FIND("|",BC65)-1))-VALUE(MID(BC65,FIND("-",BC65)+1,10)))))*$D$50),$D$9*(1-(IF($N65="X",ABS($O65-VALUE(MID(BC65,FIND("|",BC65)+1,FIND("-",BC65)-FIND("|",BC65)-1))),ABS($Q65-ABS(VALUE(MID(BC65,FIND("|",BC65)+1,FIND("-",BC65)-FIND("|",BC65)-1))-VALUE(MID(BC65,FIND("-",BC65)+1,10)))))*$D$50)))))*$I65,0)),0)</f>
        <v>0</v>
      </c>
      <c r="BE65" s="338"/>
      <c r="BF65" s="363" t="s">
        <v>273</v>
      </c>
      <c r="BG65" s="356" t="n">
        <f aca="false">IFERROR(IF($M65=BF65,($D$8+$D$9+$D$10)*$I65,IF($N65=LEFT(BF65,1),($D$8+MAX(0,IF($D$50=1,$D$9*(1-(ABS($Q65-ABS(VALUE(MID(BF65,FIND("|",BF65)+1,FIND("-",BF65)-FIND("|",BF65)-1))-VALUE(MID(BF65,FIND("-",BF65)+1,10)))))*$D$50),$D$9*(1-(IF($N65="X",ABS($O65-VALUE(MID(BF65,FIND("|",BF65)+1,FIND("-",BF65)-FIND("|",BF65)-1))),ABS($Q65-ABS(VALUE(MID(BF65,FIND("|",BF65)+1,FIND("-",BF65)-FIND("|",BF65)-1))-VALUE(MID(BF65,FIND("-",BF65)+1,10)))))*$D$50)))))*$I65,0)),0)</f>
        <v>0</v>
      </c>
      <c r="BH65" s="338"/>
      <c r="BI65" s="363" t="s">
        <v>274</v>
      </c>
      <c r="BJ65" s="356" t="n">
        <f aca="false">IFERROR(IF($M65=BI65,($D$8+$D$9+$D$10)*$I65,IF($N65=LEFT(BI65,1),($D$8+MAX(0,IF($D$50=1,$D$9*(1-(ABS($Q65-ABS(VALUE(MID(BI65,FIND("|",BI65)+1,FIND("-",BI65)-FIND("|",BI65)-1))-VALUE(MID(BI65,FIND("-",BI65)+1,10)))))*$D$50),$D$9*(1-(IF($N65="X",ABS($O65-VALUE(MID(BI65,FIND("|",BI65)+1,FIND("-",BI65)-FIND("|",BI65)-1))),ABS($Q65-ABS(VALUE(MID(BI65,FIND("|",BI65)+1,FIND("-",BI65)-FIND("|",BI65)-1))-VALUE(MID(BI65,FIND("-",BI65)+1,10)))))*$D$50)))))*$I65,0)),0)</f>
        <v>0</v>
      </c>
      <c r="BK65" s="338"/>
      <c r="BL65" s="363" t="s">
        <v>273</v>
      </c>
      <c r="BM65" s="356" t="n">
        <f aca="false">IFERROR(IF($M65=BL65,($D$8+$D$9+$D$10)*$I65,IF($N65=LEFT(BL65,1),($D$8+MAX(0,IF($D$50=1,$D$9*(1-(ABS($Q65-ABS(VALUE(MID(BL65,FIND("|",BL65)+1,FIND("-",BL65)-FIND("|",BL65)-1))-VALUE(MID(BL65,FIND("-",BL65)+1,10)))))*$D$50),$D$9*(1-(IF($N65="X",ABS($O65-VALUE(MID(BL65,FIND("|",BL65)+1,FIND("-",BL65)-FIND("|",BL65)-1))),ABS($Q65-ABS(VALUE(MID(BL65,FIND("|",BL65)+1,FIND("-",BL65)-FIND("|",BL65)-1))-VALUE(MID(BL65,FIND("-",BL65)+1,10)))))*$D$50)))))*$I65,0)),0)</f>
        <v>0</v>
      </c>
      <c r="BN65" s="338"/>
      <c r="BO65" s="363" t="s">
        <v>277</v>
      </c>
      <c r="BP65" s="356" t="n">
        <f aca="false">IFERROR(IF($M65=BO65,($D$8+$D$9+$D$10)*$I65,IF($N65=LEFT(BO65,1),($D$8+MAX(0,IF($D$50=1,$D$9*(1-(ABS($Q65-ABS(VALUE(MID(BO65,FIND("|",BO65)+1,FIND("-",BO65)-FIND("|",BO65)-1))-VALUE(MID(BO65,FIND("-",BO65)+1,10)))))*$D$50),$D$9*(1-(IF($N65="X",ABS($O65-VALUE(MID(BO65,FIND("|",BO65)+1,FIND("-",BO65)-FIND("|",BO65)-1))),ABS($Q65-ABS(VALUE(MID(BO65,FIND("|",BO65)+1,FIND("-",BO65)-FIND("|",BO65)-1))-VALUE(MID(BO65,FIND("-",BO65)+1,10)))))*$D$50)))))*$I65,0)),0)</f>
        <v>0</v>
      </c>
      <c r="BQ65" s="338"/>
      <c r="BR65" s="363" t="s">
        <v>274</v>
      </c>
      <c r="BS65" s="356" t="n">
        <f aca="false">IFERROR(IF($M65=BR65,($D$8+$D$9+$D$10)*$I65,IF($N65=LEFT(BR65,1),($D$8+MAX(0,IF($D$50=1,$D$9*(1-(ABS($Q65-ABS(VALUE(MID(BR65,FIND("|",BR65)+1,FIND("-",BR65)-FIND("|",BR65)-1))-VALUE(MID(BR65,FIND("-",BR65)+1,10)))))*$D$50),$D$9*(1-(IF($N65="X",ABS($O65-VALUE(MID(BR65,FIND("|",BR65)+1,FIND("-",BR65)-FIND("|",BR65)-1))),ABS($Q65-ABS(VALUE(MID(BR65,FIND("|",BR65)+1,FIND("-",BR65)-FIND("|",BR65)-1))-VALUE(MID(BR65,FIND("-",BR65)+1,10)))))*$D$50)))))*$I65,0)),0)</f>
        <v>0</v>
      </c>
      <c r="BT65" s="338"/>
      <c r="BU65" s="363"/>
      <c r="BV65" s="356" t="n">
        <f aca="false">IFERROR(IF($M65=BU65,($D$8+$D$9+$D$10)*$I65,IF($N65=LEFT(BU65,1),($D$8+MAX(0,IF($D$50=1,$D$9*(1-(ABS($Q65-ABS(VALUE(MID(BU65,FIND("|",BU65)+1,FIND("-",BU65)-FIND("|",BU65)-1))-VALUE(MID(BU65,FIND("-",BU65)+1,10)))))*$D$50),$D$9*(1-(IF($N65="X",ABS($O65-VALUE(MID(BU65,FIND("|",BU65)+1,FIND("-",BU65)-FIND("|",BU65)-1))),ABS($Q65-ABS(VALUE(MID(BU65,FIND("|",BU65)+1,FIND("-",BU65)-FIND("|",BU65)-1))-VALUE(MID(BU65,FIND("-",BU65)+1,10)))))*$D$50)))))*$I65,0)),0)</f>
        <v>0</v>
      </c>
      <c r="BW65" s="338"/>
      <c r="BX65" s="363"/>
      <c r="BY65" s="356" t="n">
        <f aca="false">IFERROR(IF($M65=BX65,($D$8+$D$9+$D$10)*$I65,IF($N65=LEFT(BX65,1),($D$8+MAX(0,IF($D$50=1,$D$9*(1-(ABS($Q65-ABS(VALUE(MID(BX65,FIND("|",BX65)+1,FIND("-",BX65)-FIND("|",BX65)-1))-VALUE(MID(BX65,FIND("-",BX65)+1,10)))))*$D$50),$D$9*(1-(IF($N65="X",ABS($O65-VALUE(MID(BX65,FIND("|",BX65)+1,FIND("-",BX65)-FIND("|",BX65)-1))),ABS($Q65-ABS(VALUE(MID(BX65,FIND("|",BX65)+1,FIND("-",BX65)-FIND("|",BX65)-1))-VALUE(MID(BX65,FIND("-",BX65)+1,10)))))*$D$50)))))*$I65,0)),0)</f>
        <v>0</v>
      </c>
      <c r="BZ65" s="338"/>
      <c r="CA65" s="363"/>
      <c r="CB65" s="356" t="n">
        <f aca="false">IFERROR(IF($M65=CA65,($D$8+$D$9+$D$10)*$I65,IF($N65=LEFT(CA65,1),($D$8+MAX(0,IF($D$50=1,$D$9*(1-(ABS($Q65-ABS(VALUE(MID(CA65,FIND("|",CA65)+1,FIND("-",CA65)-FIND("|",CA65)-1))-VALUE(MID(CA65,FIND("-",CA65)+1,10)))))*$D$50),$D$9*(1-(IF($N65="X",ABS($O65-VALUE(MID(CA65,FIND("|",CA65)+1,FIND("-",CA65)-FIND("|",CA65)-1))),ABS($Q65-ABS(VALUE(MID(CA65,FIND("|",CA65)+1,FIND("-",CA65)-FIND("|",CA65)-1))-VALUE(MID(CA65,FIND("-",CA65)+1,10)))))*$D$50)))))*$I65,0)),0)</f>
        <v>0</v>
      </c>
      <c r="CC65" s="338"/>
      <c r="CD65" s="363"/>
      <c r="CE65" s="356" t="n">
        <f aca="false">IFERROR(IF($M65=CD65,($D$8+$D$9+$D$10)*$I65,IF($N65=LEFT(CD65,1),($D$8+MAX(0,IF($D$50=1,$D$9*(1-(ABS($Q65-ABS(VALUE(MID(CD65,FIND("|",CD65)+1,FIND("-",CD65)-FIND("|",CD65)-1))-VALUE(MID(CD65,FIND("-",CD65)+1,10)))))*$D$50),$D$9*(1-(IF($N65="X",ABS($O65-VALUE(MID(CD65,FIND("|",CD65)+1,FIND("-",CD65)-FIND("|",CD65)-1))),ABS($Q65-ABS(VALUE(MID(CD65,FIND("|",CD65)+1,FIND("-",CD65)-FIND("|",CD65)-1))-VALUE(MID(CD65,FIND("-",CD65)+1,10)))))*$D$50)))))*$I65,0)),0)</f>
        <v>0</v>
      </c>
      <c r="CF65" s="338"/>
      <c r="CG65" s="363"/>
      <c r="CH65" s="356" t="n">
        <f aca="false">IFERROR(IF($M65=CG65,($D$8+$D$9+$D$10)*$I65,IF($N65=LEFT(CG65,1),($D$8+MAX(0,IF($D$50=1,$D$9*(1-(ABS($Q65-ABS(VALUE(MID(CG65,FIND("|",CG65)+1,FIND("-",CG65)-FIND("|",CG65)-1))-VALUE(MID(CG65,FIND("-",CG65)+1,10)))))*$D$50),$D$9*(1-(IF($N65="X",ABS($O65-VALUE(MID(CG65,FIND("|",CG65)+1,FIND("-",CG65)-FIND("|",CG65)-1))),ABS($Q65-ABS(VALUE(MID(CG65,FIND("|",CG65)+1,FIND("-",CG65)-FIND("|",CG65)-1))-VALUE(MID(CG65,FIND("-",CG65)+1,10)))))*$D$50)))))*$I65,0)),0)</f>
        <v>0</v>
      </c>
      <c r="CI65" s="338"/>
      <c r="CJ65" s="363"/>
      <c r="CK65" s="356" t="n">
        <f aca="false">IFERROR(IF($M65=CJ65,($D$8+$D$9+$D$10)*$I65,IF($N65=LEFT(CJ65,1),($D$8+MAX(0,IF($D$50=1,$D$9*(1-(ABS($Q65-ABS(VALUE(MID(CJ65,FIND("|",CJ65)+1,FIND("-",CJ65)-FIND("|",CJ65)-1))-VALUE(MID(CJ65,FIND("-",CJ65)+1,10)))))*$D$50),$D$9*(1-(IF($N65="X",ABS($O65-VALUE(MID(CJ65,FIND("|",CJ65)+1,FIND("-",CJ65)-FIND("|",CJ65)-1))),ABS($Q65-ABS(VALUE(MID(CJ65,FIND("|",CJ65)+1,FIND("-",CJ65)-FIND("|",CJ65)-1))-VALUE(MID(CJ65,FIND("-",CJ65)+1,10)))))*$D$50)))))*$I65,0)),0)</f>
        <v>0</v>
      </c>
      <c r="CL65" s="338"/>
      <c r="CM65" s="363"/>
      <c r="CN65" s="356" t="n">
        <f aca="false">IFERROR(IF($M65=CM65,($D$8+$D$9+$D$10)*$I65,IF($N65=LEFT(CM65,1),($D$8+MAX(0,IF($D$50=1,$D$9*(1-(ABS($Q65-ABS(VALUE(MID(CM65,FIND("|",CM65)+1,FIND("-",CM65)-FIND("|",CM65)-1))-VALUE(MID(CM65,FIND("-",CM65)+1,10)))))*$D$50),$D$9*(1-(IF($N65="X",ABS($O65-VALUE(MID(CM65,FIND("|",CM65)+1,FIND("-",CM65)-FIND("|",CM65)-1))),ABS($Q65-ABS(VALUE(MID(CM65,FIND("|",CM65)+1,FIND("-",CM65)-FIND("|",CM65)-1))-VALUE(MID(CM65,FIND("-",CM65)+1,10)))))*$D$50)))))*$I65,0)),0)</f>
        <v>0</v>
      </c>
      <c r="CO65" s="338"/>
      <c r="CP65" s="363"/>
      <c r="CQ65" s="356" t="n">
        <f aca="false">IFERROR(IF($M65=CP65,($D$8+$D$9+$D$10)*$I65,IF($N65=LEFT(CP65,1),($D$8+MAX(0,IF($D$50=1,$D$9*(1-(ABS($Q65-ABS(VALUE(MID(CP65,FIND("|",CP65)+1,FIND("-",CP65)-FIND("|",CP65)-1))-VALUE(MID(CP65,FIND("-",CP65)+1,10)))))*$D$50),$D$9*(1-(IF($N65="X",ABS($O65-VALUE(MID(CP65,FIND("|",CP65)+1,FIND("-",CP65)-FIND("|",CP65)-1))),ABS($Q65-ABS(VALUE(MID(CP65,FIND("|",CP65)+1,FIND("-",CP65)-FIND("|",CP65)-1))-VALUE(MID(CP65,FIND("-",CP65)+1,10)))))*$D$50)))))*$I65,0)),0)</f>
        <v>0</v>
      </c>
      <c r="CR65" s="338"/>
      <c r="CS65" s="363"/>
      <c r="CT65" s="356" t="n">
        <f aca="false">IFERROR(IF($M65=CS65,($D$8+$D$9+$D$10)*$I65,IF($N65=LEFT(CS65,1),($D$8+MAX(0,IF($D$50=1,$D$9*(1-(ABS($Q65-ABS(VALUE(MID(CS65,FIND("|",CS65)+1,FIND("-",CS65)-FIND("|",CS65)-1))-VALUE(MID(CS65,FIND("-",CS65)+1,10)))))*$D$50),$D$9*(1-(IF($N65="X",ABS($O65-VALUE(MID(CS65,FIND("|",CS65)+1,FIND("-",CS65)-FIND("|",CS65)-1))),ABS($Q65-ABS(VALUE(MID(CS65,FIND("|",CS65)+1,FIND("-",CS65)-FIND("|",CS65)-1))-VALUE(MID(CS65,FIND("-",CS65)+1,10)))))*$D$50)))))*$I65,0)),0)</f>
        <v>0</v>
      </c>
      <c r="CU65" s="338"/>
      <c r="CV65" s="363"/>
      <c r="CW65" s="356" t="n">
        <f aca="false">IFERROR(IF($M65=CV65,($D$8+$D$9+$D$10)*$I65,IF($N65=LEFT(CV65,1),($D$8+MAX(0,IF($D$50=1,$D$9*(1-(ABS($Q65-ABS(VALUE(MID(CV65,FIND("|",CV65)+1,FIND("-",CV65)-FIND("|",CV65)-1))-VALUE(MID(CV65,FIND("-",CV65)+1,10)))))*$D$50),$D$9*(1-(IF($N65="X",ABS($O65-VALUE(MID(CV65,FIND("|",CV65)+1,FIND("-",CV65)-FIND("|",CV65)-1))),ABS($Q65-ABS(VALUE(MID(CV65,FIND("|",CV65)+1,FIND("-",CV65)-FIND("|",CV65)-1))-VALUE(MID(CV65,FIND("-",CV65)+1,10)))))*$D$50)))))*$I65,0)),0)</f>
        <v>0</v>
      </c>
      <c r="CX65" s="338"/>
      <c r="CY65" s="363"/>
      <c r="CZ65" s="356" t="n">
        <f aca="false">IFERROR(IF($M65=CY65,($D$8+$D$9+$D$10)*$I65,IF($N65=LEFT(CY65,1),($D$8+MAX(0,IF($D$50=1,$D$9*(1-(ABS($Q65-ABS(VALUE(MID(CY65,FIND("|",CY65)+1,FIND("-",CY65)-FIND("|",CY65)-1))-VALUE(MID(CY65,FIND("-",CY65)+1,10)))))*$D$50),$D$9*(1-(IF($N65="X",ABS($O65-VALUE(MID(CY65,FIND("|",CY65)+1,FIND("-",CY65)-FIND("|",CY65)-1))),ABS($Q65-ABS(VALUE(MID(CY65,FIND("|",CY65)+1,FIND("-",CY65)-FIND("|",CY65)-1))-VALUE(MID(CY65,FIND("-",CY65)+1,10)))))*$D$50)))))*$I65,0)),0)</f>
        <v>0</v>
      </c>
      <c r="DA65" s="338"/>
      <c r="DB65" s="363"/>
      <c r="DC65" s="356" t="n">
        <f aca="false">IFERROR(IF($M65=DB65,($D$8+$D$9+$D$10)*$I65,IF($N65=LEFT(DB65,1),($D$8+MAX(0,IF($D$50=1,$D$9*(1-(ABS($Q65-ABS(VALUE(MID(DB65,FIND("|",DB65)+1,FIND("-",DB65)-FIND("|",DB65)-1))-VALUE(MID(DB65,FIND("-",DB65)+1,10)))))*$D$50),$D$9*(1-(IF($N65="X",ABS($O65-VALUE(MID(DB65,FIND("|",DB65)+1,FIND("-",DB65)-FIND("|",DB65)-1))),ABS($Q65-ABS(VALUE(MID(DB65,FIND("|",DB65)+1,FIND("-",DB65)-FIND("|",DB65)-1))-VALUE(MID(DB65,FIND("-",DB65)+1,10)))))*$D$50)))))*$I65,0)),0)</f>
        <v>0</v>
      </c>
      <c r="DD65" s="338"/>
      <c r="DE65" s="363"/>
      <c r="DF65" s="356" t="n">
        <f aca="false">IFERROR(IF($M65=DE65,($D$8+$D$9+$D$10)*$I65,IF($N65=LEFT(DE65,1),($D$8+MAX(0,IF($D$50=1,$D$9*(1-(ABS($Q65-ABS(VALUE(MID(DE65,FIND("|",DE65)+1,FIND("-",DE65)-FIND("|",DE65)-1))-VALUE(MID(DE65,FIND("-",DE65)+1,10)))))*$D$50),$D$9*(1-(IF($N65="X",ABS($O65-VALUE(MID(DE65,FIND("|",DE65)+1,FIND("-",DE65)-FIND("|",DE65)-1))),ABS($Q65-ABS(VALUE(MID(DE65,FIND("|",DE65)+1,FIND("-",DE65)-FIND("|",DE65)-1))-VALUE(MID(DE65,FIND("-",DE65)+1,10)))))*$D$50)))))*$I65,0)),0)</f>
        <v>0</v>
      </c>
      <c r="DG65" s="338"/>
      <c r="DH65" s="363"/>
      <c r="DI65" s="356" t="n">
        <f aca="false">IFERROR(IF($M65=DH65,($D$8+$D$9+$D$10)*$I65,IF($N65=LEFT(DH65,1),($D$8+MAX(0,IF($D$50=1,$D$9*(1-(ABS($Q65-ABS(VALUE(MID(DH65,FIND("|",DH65)+1,FIND("-",DH65)-FIND("|",DH65)-1))-VALUE(MID(DH65,FIND("-",DH65)+1,10)))))*$D$50),$D$9*(1-(IF($N65="X",ABS($O65-VALUE(MID(DH65,FIND("|",DH65)+1,FIND("-",DH65)-FIND("|",DH65)-1))),ABS($Q65-ABS(VALUE(MID(DH65,FIND("|",DH65)+1,FIND("-",DH65)-FIND("|",DH65)-1))-VALUE(MID(DH65,FIND("-",DH65)+1,10)))))*$D$50)))))*$I65,0)),0)</f>
        <v>0</v>
      </c>
      <c r="DJ65" s="338"/>
      <c r="DK65" s="363"/>
      <c r="DL65" s="356" t="n">
        <f aca="false">IFERROR(IF($M65=DK65,($D$8+$D$9+$D$10)*$I65,IF($N65=LEFT(DK65,1),($D$8+MAX(0,IF($D$50=1,$D$9*(1-(ABS($Q65-ABS(VALUE(MID(DK65,FIND("|",DK65)+1,FIND("-",DK65)-FIND("|",DK65)-1))-VALUE(MID(DK65,FIND("-",DK65)+1,10)))))*$D$50),$D$9*(1-(IF($N65="X",ABS($O65-VALUE(MID(DK65,FIND("|",DK65)+1,FIND("-",DK65)-FIND("|",DK65)-1))),ABS($Q65-ABS(VALUE(MID(DK65,FIND("|",DK65)+1,FIND("-",DK65)-FIND("|",DK65)-1))-VALUE(MID(DK65,FIND("-",DK65)+1,10)))))*$D$50)))))*$I65,0)),0)</f>
        <v>0</v>
      </c>
      <c r="DM65" s="338"/>
      <c r="DN65" s="363"/>
      <c r="DO65" s="356" t="n">
        <f aca="false">IFERROR(IF($M65=DN65,($D$8+$D$9+$D$10)*$I65,IF($N65=LEFT(DN65,1),($D$8+MAX(0,IF($D$50=1,$D$9*(1-(ABS($Q65-ABS(VALUE(MID(DN65,FIND("|",DN65)+1,FIND("-",DN65)-FIND("|",DN65)-1))-VALUE(MID(DN65,FIND("-",DN65)+1,10)))))*$D$50),$D$9*(1-(IF($N65="X",ABS($O65-VALUE(MID(DN65,FIND("|",DN65)+1,FIND("-",DN65)-FIND("|",DN65)-1))),ABS($Q65-ABS(VALUE(MID(DN65,FIND("|",DN65)+1,FIND("-",DN65)-FIND("|",DN65)-1))-VALUE(MID(DN65,FIND("-",DN65)+1,10)))))*$D$50)))))*$I65,0)),0)</f>
        <v>0</v>
      </c>
      <c r="DP65" s="338"/>
      <c r="DQ65" s="363"/>
      <c r="DR65" s="356" t="n">
        <f aca="false">IFERROR(IF($M65=DQ65,($D$8+$D$9+$D$10)*$I65,IF($N65=LEFT(DQ65,1),($D$8+MAX(0,IF($D$50=1,$D$9*(1-(ABS($Q65-ABS(VALUE(MID(DQ65,FIND("|",DQ65)+1,FIND("-",DQ65)-FIND("|",DQ65)-1))-VALUE(MID(DQ65,FIND("-",DQ65)+1,10)))))*$D$50),$D$9*(1-(IF($N65="X",ABS($O65-VALUE(MID(DQ65,FIND("|",DQ65)+1,FIND("-",DQ65)-FIND("|",DQ65)-1))),ABS($Q65-ABS(VALUE(MID(DQ65,FIND("|",DQ65)+1,FIND("-",DQ65)-FIND("|",DQ65)-1))-VALUE(MID(DQ65,FIND("-",DQ65)+1,10)))))*$D$50)))))*$I65,0)),0)</f>
        <v>0</v>
      </c>
      <c r="DS65" s="338"/>
      <c r="DT65" s="363"/>
      <c r="DU65" s="356" t="n">
        <f aca="false">IFERROR(IF($M65=DT65,($D$8+$D$9+$D$10)*$I65,IF($N65=LEFT(DT65,1),($D$8+MAX(0,IF($D$50=1,$D$9*(1-(ABS($Q65-ABS(VALUE(MID(DT65,FIND("|",DT65)+1,FIND("-",DT65)-FIND("|",DT65)-1))-VALUE(MID(DT65,FIND("-",DT65)+1,10)))))*$D$50),$D$9*(1-(IF($N65="X",ABS($O65-VALUE(MID(DT65,FIND("|",DT65)+1,FIND("-",DT65)-FIND("|",DT65)-1))),ABS($Q65-ABS(VALUE(MID(DT65,FIND("|",DT65)+1,FIND("-",DT65)-FIND("|",DT65)-1))-VALUE(MID(DT65,FIND("-",DT65)+1,10)))))*$D$50)))))*$I65,0)),0)</f>
        <v>0</v>
      </c>
      <c r="DV65" s="338"/>
      <c r="DW65" s="363"/>
      <c r="DX65" s="356" t="n">
        <f aca="false">IFERROR(IF($M65=DW65,($D$8+$D$9+$D$10)*$I65,IF($N65=LEFT(DW65,1),($D$8+MAX(0,IF($D$50=1,$D$9*(1-(ABS($Q65-ABS(VALUE(MID(DW65,FIND("|",DW65)+1,FIND("-",DW65)-FIND("|",DW65)-1))-VALUE(MID(DW65,FIND("-",DW65)+1,10)))))*$D$50),$D$9*(1-(IF($N65="X",ABS($O65-VALUE(MID(DW65,FIND("|",DW65)+1,FIND("-",DW65)-FIND("|",DW65)-1))),ABS($Q65-ABS(VALUE(MID(DW65,FIND("|",DW65)+1,FIND("-",DW65)-FIND("|",DW65)-1))-VALUE(MID(DW65,FIND("-",DW65)+1,10)))))*$D$50)))))*$I65,0)),0)</f>
        <v>0</v>
      </c>
      <c r="DY65" s="338"/>
      <c r="DZ65" s="363"/>
      <c r="EA65" s="356" t="n">
        <f aca="false">IFERROR(IF($M65=DZ65,($D$8+$D$9+$D$10)*$I65,IF($N65=LEFT(DZ65,1),($D$8+MAX(0,IF($D$50=1,$D$9*(1-(ABS($Q65-ABS(VALUE(MID(DZ65,FIND("|",DZ65)+1,FIND("-",DZ65)-FIND("|",DZ65)-1))-VALUE(MID(DZ65,FIND("-",DZ65)+1,10)))))*$D$50),$D$9*(1-(IF($N65="X",ABS($O65-VALUE(MID(DZ65,FIND("|",DZ65)+1,FIND("-",DZ65)-FIND("|",DZ65)-1))),ABS($Q65-ABS(VALUE(MID(DZ65,FIND("|",DZ65)+1,FIND("-",DZ65)-FIND("|",DZ65)-1))-VALUE(MID(DZ65,FIND("-",DZ65)+1,10)))))*$D$50)))))*$I65,0)),0)</f>
        <v>0</v>
      </c>
      <c r="EB65" s="338"/>
      <c r="EC65" s="363"/>
      <c r="ED65" s="356" t="n">
        <f aca="false">IFERROR(IF($M65=EC65,($D$8+$D$9+$D$10)*$I65,IF($N65=LEFT(EC65,1),($D$8+MAX(0,IF($D$50=1,$D$9*(1-(ABS($Q65-ABS(VALUE(MID(EC65,FIND("|",EC65)+1,FIND("-",EC65)-FIND("|",EC65)-1))-VALUE(MID(EC65,FIND("-",EC65)+1,10)))))*$D$50),$D$9*(1-(IF($N65="X",ABS($O65-VALUE(MID(EC65,FIND("|",EC65)+1,FIND("-",EC65)-FIND("|",EC65)-1))),ABS($Q65-ABS(VALUE(MID(EC65,FIND("|",EC65)+1,FIND("-",EC65)-FIND("|",EC65)-1))-VALUE(MID(EC65,FIND("-",EC65)+1,10)))))*$D$50)))))*$I65,0)),0)</f>
        <v>0</v>
      </c>
      <c r="EE65" s="338"/>
      <c r="EF65" s="363"/>
      <c r="EG65" s="356" t="n">
        <f aca="false">IFERROR(IF($M65=EF65,($D$8+$D$9+$D$10)*$I65,IF($N65=LEFT(EF65,1),($D$8+MAX(0,IF($D$50=1,$D$9*(1-(ABS($Q65-ABS(VALUE(MID(EF65,FIND("|",EF65)+1,FIND("-",EF65)-FIND("|",EF65)-1))-VALUE(MID(EF65,FIND("-",EF65)+1,10)))))*$D$50),$D$9*(1-(IF($N65="X",ABS($O65-VALUE(MID(EF65,FIND("|",EF65)+1,FIND("-",EF65)-FIND("|",EF65)-1))),ABS($Q65-ABS(VALUE(MID(EF65,FIND("|",EF65)+1,FIND("-",EF65)-FIND("|",EF65)-1))-VALUE(MID(EF65,FIND("-",EF65)+1,10)))))*$D$50)))))*$I65,0)),0)</f>
        <v>0</v>
      </c>
      <c r="EH65" s="338"/>
      <c r="EI65" s="338"/>
    </row>
    <row r="66" customFormat="false" ht="15" hidden="false" customHeight="false" outlineLevel="0" collapsed="false">
      <c r="A66" s="327"/>
      <c r="B66" s="327"/>
      <c r="C66" s="248"/>
      <c r="D66" s="248"/>
      <c r="E66" s="327"/>
      <c r="F66" s="394" t="n">
        <f aca="false">SUM($D$8:$D$10)*I66</f>
        <v>17</v>
      </c>
      <c r="G66" s="394" t="n">
        <f aca="false">VLOOKUP(H66,Equipos!$Q$1:$R$25,2,0)</f>
        <v>17</v>
      </c>
      <c r="H66" s="395" t="n">
        <f aca="false">TRUNC(INDEX(WORLDCUP!$X$4:$X$147,MATCH(ADMIN!K66,WORLDCUP!$DT$4:$DT$147,0))+INDEX(Horarios!$R$3:$R$86,MATCH(Horarios!$C$3,Horarios!$P$3:$P$86,0))/24)</f>
        <v>46200</v>
      </c>
      <c r="I66" s="352" t="n">
        <v>1</v>
      </c>
      <c r="J66" s="353" t="s">
        <v>323</v>
      </c>
      <c r="K66" s="354" t="str">
        <f aca="false">CONCATENATE(WORLDCUP!AA56,"-",WORLDCUP!AF56)</f>
        <v>Egipto-Irán</v>
      </c>
      <c r="L66" s="354"/>
      <c r="M66" s="359" t="str">
        <f aca="false">IF(OR(WORLDCUP!AC56="",WORLDCUP!AD56=""),"-",N66&amp;"|"&amp;O66&amp;"-"&amp;P66)</f>
        <v>-</v>
      </c>
      <c r="N66" s="332" t="str">
        <f aca="false">IF(OR(WORLDCUP!AC56="",WORLDCUP!AD56=""),"",IF(WORLDCUP!AC56&gt;WORLDCUP!AD56,"1",IF(WORLDCUP!AC56&lt;WORLDCUP!AD56,"2","X")))</f>
        <v/>
      </c>
      <c r="O66" s="332" t="n">
        <f aca="false">WORLDCUP!AC56</f>
        <v>0</v>
      </c>
      <c r="P66" s="332" t="n">
        <f aca="false">WORLDCUP!AD56</f>
        <v>0</v>
      </c>
      <c r="Q66" s="332" t="n">
        <f aca="false">ABS(O66-P66)</f>
        <v>0</v>
      </c>
      <c r="R66" s="327"/>
      <c r="S66" s="363" t="s">
        <v>266</v>
      </c>
      <c r="T66" s="356" t="n">
        <f aca="false">IFERROR(IF($M66=S66,($D$8+$D$9+$D$10)*$I66,IF($N66=LEFT(S66,1),($D$8+MAX(0,IF($D$50=1,$D$9*(1-(ABS($Q66-ABS(VALUE(MID(S66,FIND("|",S66)+1,FIND("-",S66)-FIND("|",S66)-1))-VALUE(MID(S66,FIND("-",S66)+1,10)))))*$D$50),$D$9*(1-(IF($N66="X",ABS($O66-VALUE(MID(S66,FIND("|",S66)+1,FIND("-",S66)-FIND("|",S66)-1))),ABS($Q66-ABS(VALUE(MID(S66,FIND("|",S66)+1,FIND("-",S66)-FIND("|",S66)-1))-VALUE(MID(S66,FIND("-",S66)+1,10)))))*$D$50)))))*$I66,0)),0)</f>
        <v>0</v>
      </c>
      <c r="U66" s="338"/>
      <c r="V66" s="363" t="s">
        <v>267</v>
      </c>
      <c r="W66" s="356" t="n">
        <f aca="false">IFERROR(IF($M66=V66,($D$8+$D$9+$D$10)*$I66,IF($N66=LEFT(V66,1),($D$8+MAX(0,IF($D$50=1,$D$9*(1-(ABS($Q66-ABS(VALUE(MID(V66,FIND("|",V66)+1,FIND("-",V66)-FIND("|",V66)-1))-VALUE(MID(V66,FIND("-",V66)+1,10)))))*$D$50),$D$9*(1-(IF($N66="X",ABS($O66-VALUE(MID(V66,FIND("|",V66)+1,FIND("-",V66)-FIND("|",V66)-1))),ABS($Q66-ABS(VALUE(MID(V66,FIND("|",V66)+1,FIND("-",V66)-FIND("|",V66)-1))-VALUE(MID(V66,FIND("-",V66)+1,10)))))*$D$50)))))*$I66,0)),0)</f>
        <v>0</v>
      </c>
      <c r="X66" s="338"/>
      <c r="Y66" s="363" t="s">
        <v>265</v>
      </c>
      <c r="Z66" s="356" t="n">
        <f aca="false">IFERROR(IF($M66=Y66,($D$8+$D$9+$D$10)*$I66,IF($N66=LEFT(Y66,1),($D$8+MAX(0,IF($D$50=1,$D$9*(1-(ABS($Q66-ABS(VALUE(MID(Y66,FIND("|",Y66)+1,FIND("-",Y66)-FIND("|",Y66)-1))-VALUE(MID(Y66,FIND("-",Y66)+1,10)))))*$D$50),$D$9*(1-(IF($N66="X",ABS($O66-VALUE(MID(Y66,FIND("|",Y66)+1,FIND("-",Y66)-FIND("|",Y66)-1))),ABS($Q66-ABS(VALUE(MID(Y66,FIND("|",Y66)+1,FIND("-",Y66)-FIND("|",Y66)-1))-VALUE(MID(Y66,FIND("-",Y66)+1,10)))))*$D$50)))))*$I66,0)),0)</f>
        <v>0</v>
      </c>
      <c r="AA66" s="338"/>
      <c r="AB66" s="363" t="s">
        <v>271</v>
      </c>
      <c r="AC66" s="356" t="n">
        <f aca="false">IFERROR(IF($M66=AB66,($D$8+$D$9+$D$10)*$I66,IF($N66=LEFT(AB66,1),($D$8+MAX(0,IF($D$50=1,$D$9*(1-(ABS($Q66-ABS(VALUE(MID(AB66,FIND("|",AB66)+1,FIND("-",AB66)-FIND("|",AB66)-1))-VALUE(MID(AB66,FIND("-",AB66)+1,10)))))*$D$50),$D$9*(1-(IF($N66="X",ABS($O66-VALUE(MID(AB66,FIND("|",AB66)+1,FIND("-",AB66)-FIND("|",AB66)-1))),ABS($Q66-ABS(VALUE(MID(AB66,FIND("|",AB66)+1,FIND("-",AB66)-FIND("|",AB66)-1))-VALUE(MID(AB66,FIND("-",AB66)+1,10)))))*$D$50)))))*$I66,0)),0)</f>
        <v>0</v>
      </c>
      <c r="AD66" s="338"/>
      <c r="AE66" s="363" t="s">
        <v>264</v>
      </c>
      <c r="AF66" s="356" t="n">
        <f aca="false">IFERROR(IF($M66=AE66,($D$8+$D$9+$D$10)*$I66,IF($N66=LEFT(AE66,1),($D$8+MAX(0,IF($D$50=1,$D$9*(1-(ABS($Q66-ABS(VALUE(MID(AE66,FIND("|",AE66)+1,FIND("-",AE66)-FIND("|",AE66)-1))-VALUE(MID(AE66,FIND("-",AE66)+1,10)))))*$D$50),$D$9*(1-(IF($N66="X",ABS($O66-VALUE(MID(AE66,FIND("|",AE66)+1,FIND("-",AE66)-FIND("|",AE66)-1))),ABS($Q66-ABS(VALUE(MID(AE66,FIND("|",AE66)+1,FIND("-",AE66)-FIND("|",AE66)-1))-VALUE(MID(AE66,FIND("-",AE66)+1,10)))))*$D$50)))))*$I66,0)),0)</f>
        <v>0</v>
      </c>
      <c r="AG66" s="338"/>
      <c r="AH66" s="363" t="s">
        <v>264</v>
      </c>
      <c r="AI66" s="356" t="n">
        <f aca="false">IFERROR(IF($M66=AH66,($D$8+$D$9+$D$10)*$I66,IF($N66=LEFT(AH66,1),($D$8+MAX(0,IF($D$50=1,$D$9*(1-(ABS($Q66-ABS(VALUE(MID(AH66,FIND("|",AH66)+1,FIND("-",AH66)-FIND("|",AH66)-1))-VALUE(MID(AH66,FIND("-",AH66)+1,10)))))*$D$50),$D$9*(1-(IF($N66="X",ABS($O66-VALUE(MID(AH66,FIND("|",AH66)+1,FIND("-",AH66)-FIND("|",AH66)-1))),ABS($Q66-ABS(VALUE(MID(AH66,FIND("|",AH66)+1,FIND("-",AH66)-FIND("|",AH66)-1))-VALUE(MID(AH66,FIND("-",AH66)+1,10)))))*$D$50)))))*$I66,0)),0)</f>
        <v>0</v>
      </c>
      <c r="AJ66" s="338"/>
      <c r="AK66" s="363" t="s">
        <v>267</v>
      </c>
      <c r="AL66" s="356" t="n">
        <f aca="false">IFERROR(IF($M66=AK66,($D$8+$D$9+$D$10)*$I66,IF($N66=LEFT(AK66,1),($D$8+MAX(0,IF($D$50=1,$D$9*(1-(ABS($Q66-ABS(VALUE(MID(AK66,FIND("|",AK66)+1,FIND("-",AK66)-FIND("|",AK66)-1))-VALUE(MID(AK66,FIND("-",AK66)+1,10)))))*$D$50),$D$9*(1-(IF($N66="X",ABS($O66-VALUE(MID(AK66,FIND("|",AK66)+1,FIND("-",AK66)-FIND("|",AK66)-1))),ABS($Q66-ABS(VALUE(MID(AK66,FIND("|",AK66)+1,FIND("-",AK66)-FIND("|",AK66)-1))-VALUE(MID(AK66,FIND("-",AK66)+1,10)))))*$D$50)))))*$I66,0)),0)</f>
        <v>0</v>
      </c>
      <c r="AM66" s="338"/>
      <c r="AN66" s="363" t="s">
        <v>265</v>
      </c>
      <c r="AO66" s="356" t="n">
        <f aca="false">IFERROR(IF($M66=AN66,($D$8+$D$9+$D$10)*$I66,IF($N66=LEFT(AN66,1),($D$8+MAX(0,IF($D$50=1,$D$9*(1-(ABS($Q66-ABS(VALUE(MID(AN66,FIND("|",AN66)+1,FIND("-",AN66)-FIND("|",AN66)-1))-VALUE(MID(AN66,FIND("-",AN66)+1,10)))))*$D$50),$D$9*(1-(IF($N66="X",ABS($O66-VALUE(MID(AN66,FIND("|",AN66)+1,FIND("-",AN66)-FIND("|",AN66)-1))),ABS($Q66-ABS(VALUE(MID(AN66,FIND("|",AN66)+1,FIND("-",AN66)-FIND("|",AN66)-1))-VALUE(MID(AN66,FIND("-",AN66)+1,10)))))*$D$50)))))*$I66,0)),0)</f>
        <v>0</v>
      </c>
      <c r="AP66" s="338"/>
      <c r="AQ66" s="363" t="s">
        <v>288</v>
      </c>
      <c r="AR66" s="356" t="n">
        <f aca="false">IFERROR(IF($M66=AQ66,($D$8+$D$9+$D$10)*$I66,IF($N66=LEFT(AQ66,1),($D$8+MAX(0,IF($D$50=1,$D$9*(1-(ABS($Q66-ABS(VALUE(MID(AQ66,FIND("|",AQ66)+1,FIND("-",AQ66)-FIND("|",AQ66)-1))-VALUE(MID(AQ66,FIND("-",AQ66)+1,10)))))*$D$50),$D$9*(1-(IF($N66="X",ABS($O66-VALUE(MID(AQ66,FIND("|",AQ66)+1,FIND("-",AQ66)-FIND("|",AQ66)-1))),ABS($Q66-ABS(VALUE(MID(AQ66,FIND("|",AQ66)+1,FIND("-",AQ66)-FIND("|",AQ66)-1))-VALUE(MID(AQ66,FIND("-",AQ66)+1,10)))))*$D$50)))))*$I66,0)),0)</f>
        <v>0</v>
      </c>
      <c r="AS66" s="338"/>
      <c r="AT66" s="363" t="s">
        <v>266</v>
      </c>
      <c r="AU66" s="356" t="n">
        <f aca="false">IFERROR(IF($M66=AT66,($D$8+$D$9+$D$10)*$I66,IF($N66=LEFT(AT66,1),($D$8+MAX(0,IF($D$50=1,$D$9*(1-(ABS($Q66-ABS(VALUE(MID(AT66,FIND("|",AT66)+1,FIND("-",AT66)-FIND("|",AT66)-1))-VALUE(MID(AT66,FIND("-",AT66)+1,10)))))*$D$50),$D$9*(1-(IF($N66="X",ABS($O66-VALUE(MID(AT66,FIND("|",AT66)+1,FIND("-",AT66)-FIND("|",AT66)-1))),ABS($Q66-ABS(VALUE(MID(AT66,FIND("|",AT66)+1,FIND("-",AT66)-FIND("|",AT66)-1))-VALUE(MID(AT66,FIND("-",AT66)+1,10)))))*$D$50)))))*$I66,0)),0)</f>
        <v>0</v>
      </c>
      <c r="AV66" s="338"/>
      <c r="AW66" s="363" t="s">
        <v>265</v>
      </c>
      <c r="AX66" s="356" t="n">
        <f aca="false">IFERROR(IF($M66=AW66,($D$8+$D$9+$D$10)*$I66,IF($N66=LEFT(AW66,1),($D$8+MAX(0,IF($D$50=1,$D$9*(1-(ABS($Q66-ABS(VALUE(MID(AW66,FIND("|",AW66)+1,FIND("-",AW66)-FIND("|",AW66)-1))-VALUE(MID(AW66,FIND("-",AW66)+1,10)))))*$D$50),$D$9*(1-(IF($N66="X",ABS($O66-VALUE(MID(AW66,FIND("|",AW66)+1,FIND("-",AW66)-FIND("|",AW66)-1))),ABS($Q66-ABS(VALUE(MID(AW66,FIND("|",AW66)+1,FIND("-",AW66)-FIND("|",AW66)-1))-VALUE(MID(AW66,FIND("-",AW66)+1,10)))))*$D$50)))))*$I66,0)),0)</f>
        <v>0</v>
      </c>
      <c r="AY66" s="338"/>
      <c r="AZ66" s="363" t="s">
        <v>267</v>
      </c>
      <c r="BA66" s="356" t="n">
        <f aca="false">IFERROR(IF($M66=AZ66,($D$8+$D$9+$D$10)*$I66,IF($N66=LEFT(AZ66,1),($D$8+MAX(0,IF($D$50=1,$D$9*(1-(ABS($Q66-ABS(VALUE(MID(AZ66,FIND("|",AZ66)+1,FIND("-",AZ66)-FIND("|",AZ66)-1))-VALUE(MID(AZ66,FIND("-",AZ66)+1,10)))))*$D$50),$D$9*(1-(IF($N66="X",ABS($O66-VALUE(MID(AZ66,FIND("|",AZ66)+1,FIND("-",AZ66)-FIND("|",AZ66)-1))),ABS($Q66-ABS(VALUE(MID(AZ66,FIND("|",AZ66)+1,FIND("-",AZ66)-FIND("|",AZ66)-1))-VALUE(MID(AZ66,FIND("-",AZ66)+1,10)))))*$D$50)))))*$I66,0)),0)</f>
        <v>0</v>
      </c>
      <c r="BB66" s="338"/>
      <c r="BC66" s="363" t="s">
        <v>269</v>
      </c>
      <c r="BD66" s="356" t="n">
        <f aca="false">IFERROR(IF($M66=BC66,($D$8+$D$9+$D$10)*$I66,IF($N66=LEFT(BC66,1),($D$8+MAX(0,IF($D$50=1,$D$9*(1-(ABS($Q66-ABS(VALUE(MID(BC66,FIND("|",BC66)+1,FIND("-",BC66)-FIND("|",BC66)-1))-VALUE(MID(BC66,FIND("-",BC66)+1,10)))))*$D$50),$D$9*(1-(IF($N66="X",ABS($O66-VALUE(MID(BC66,FIND("|",BC66)+1,FIND("-",BC66)-FIND("|",BC66)-1))),ABS($Q66-ABS(VALUE(MID(BC66,FIND("|",BC66)+1,FIND("-",BC66)-FIND("|",BC66)-1))-VALUE(MID(BC66,FIND("-",BC66)+1,10)))))*$D$50)))))*$I66,0)),0)</f>
        <v>0</v>
      </c>
      <c r="BE66" s="338"/>
      <c r="BF66" s="363" t="s">
        <v>265</v>
      </c>
      <c r="BG66" s="356" t="n">
        <f aca="false">IFERROR(IF($M66=BF66,($D$8+$D$9+$D$10)*$I66,IF($N66=LEFT(BF66,1),($D$8+MAX(0,IF($D$50=1,$D$9*(1-(ABS($Q66-ABS(VALUE(MID(BF66,FIND("|",BF66)+1,FIND("-",BF66)-FIND("|",BF66)-1))-VALUE(MID(BF66,FIND("-",BF66)+1,10)))))*$D$50),$D$9*(1-(IF($N66="X",ABS($O66-VALUE(MID(BF66,FIND("|",BF66)+1,FIND("-",BF66)-FIND("|",BF66)-1))),ABS($Q66-ABS(VALUE(MID(BF66,FIND("|",BF66)+1,FIND("-",BF66)-FIND("|",BF66)-1))-VALUE(MID(BF66,FIND("-",BF66)+1,10)))))*$D$50)))))*$I66,0)),0)</f>
        <v>0</v>
      </c>
      <c r="BH66" s="338"/>
      <c r="BI66" s="363" t="s">
        <v>265</v>
      </c>
      <c r="BJ66" s="356" t="n">
        <f aca="false">IFERROR(IF($M66=BI66,($D$8+$D$9+$D$10)*$I66,IF($N66=LEFT(BI66,1),($D$8+MAX(0,IF($D$50=1,$D$9*(1-(ABS($Q66-ABS(VALUE(MID(BI66,FIND("|",BI66)+1,FIND("-",BI66)-FIND("|",BI66)-1))-VALUE(MID(BI66,FIND("-",BI66)+1,10)))))*$D$50),$D$9*(1-(IF($N66="X",ABS($O66-VALUE(MID(BI66,FIND("|",BI66)+1,FIND("-",BI66)-FIND("|",BI66)-1))),ABS($Q66-ABS(VALUE(MID(BI66,FIND("|",BI66)+1,FIND("-",BI66)-FIND("|",BI66)-1))-VALUE(MID(BI66,FIND("-",BI66)+1,10)))))*$D$50)))))*$I66,0)),0)</f>
        <v>0</v>
      </c>
      <c r="BK66" s="338"/>
      <c r="BL66" s="363" t="s">
        <v>271</v>
      </c>
      <c r="BM66" s="356" t="n">
        <f aca="false">IFERROR(IF($M66=BL66,($D$8+$D$9+$D$10)*$I66,IF($N66=LEFT(BL66,1),($D$8+MAX(0,IF($D$50=1,$D$9*(1-(ABS($Q66-ABS(VALUE(MID(BL66,FIND("|",BL66)+1,FIND("-",BL66)-FIND("|",BL66)-1))-VALUE(MID(BL66,FIND("-",BL66)+1,10)))))*$D$50),$D$9*(1-(IF($N66="X",ABS($O66-VALUE(MID(BL66,FIND("|",BL66)+1,FIND("-",BL66)-FIND("|",BL66)-1))),ABS($Q66-ABS(VALUE(MID(BL66,FIND("|",BL66)+1,FIND("-",BL66)-FIND("|",BL66)-1))-VALUE(MID(BL66,FIND("-",BL66)+1,10)))))*$D$50)))))*$I66,0)),0)</f>
        <v>0</v>
      </c>
      <c r="BN66" s="338"/>
      <c r="BO66" s="363" t="s">
        <v>264</v>
      </c>
      <c r="BP66" s="356" t="n">
        <f aca="false">IFERROR(IF($M66=BO66,($D$8+$D$9+$D$10)*$I66,IF($N66=LEFT(BO66,1),($D$8+MAX(0,IF($D$50=1,$D$9*(1-(ABS($Q66-ABS(VALUE(MID(BO66,FIND("|",BO66)+1,FIND("-",BO66)-FIND("|",BO66)-1))-VALUE(MID(BO66,FIND("-",BO66)+1,10)))))*$D$50),$D$9*(1-(IF($N66="X",ABS($O66-VALUE(MID(BO66,FIND("|",BO66)+1,FIND("-",BO66)-FIND("|",BO66)-1))),ABS($Q66-ABS(VALUE(MID(BO66,FIND("|",BO66)+1,FIND("-",BO66)-FIND("|",BO66)-1))-VALUE(MID(BO66,FIND("-",BO66)+1,10)))))*$D$50)))))*$I66,0)),0)</f>
        <v>0</v>
      </c>
      <c r="BQ66" s="338"/>
      <c r="BR66" s="363" t="s">
        <v>271</v>
      </c>
      <c r="BS66" s="356" t="n">
        <f aca="false">IFERROR(IF($M66=BR66,($D$8+$D$9+$D$10)*$I66,IF($N66=LEFT(BR66,1),($D$8+MAX(0,IF($D$50=1,$D$9*(1-(ABS($Q66-ABS(VALUE(MID(BR66,FIND("|",BR66)+1,FIND("-",BR66)-FIND("|",BR66)-1))-VALUE(MID(BR66,FIND("-",BR66)+1,10)))))*$D$50),$D$9*(1-(IF($N66="X",ABS($O66-VALUE(MID(BR66,FIND("|",BR66)+1,FIND("-",BR66)-FIND("|",BR66)-1))),ABS($Q66-ABS(VALUE(MID(BR66,FIND("|",BR66)+1,FIND("-",BR66)-FIND("|",BR66)-1))-VALUE(MID(BR66,FIND("-",BR66)+1,10)))))*$D$50)))))*$I66,0)),0)</f>
        <v>0</v>
      </c>
      <c r="BT66" s="338"/>
      <c r="BU66" s="363"/>
      <c r="BV66" s="356" t="n">
        <f aca="false">IFERROR(IF($M66=BU66,($D$8+$D$9+$D$10)*$I66,IF($N66=LEFT(BU66,1),($D$8+MAX(0,IF($D$50=1,$D$9*(1-(ABS($Q66-ABS(VALUE(MID(BU66,FIND("|",BU66)+1,FIND("-",BU66)-FIND("|",BU66)-1))-VALUE(MID(BU66,FIND("-",BU66)+1,10)))))*$D$50),$D$9*(1-(IF($N66="X",ABS($O66-VALUE(MID(BU66,FIND("|",BU66)+1,FIND("-",BU66)-FIND("|",BU66)-1))),ABS($Q66-ABS(VALUE(MID(BU66,FIND("|",BU66)+1,FIND("-",BU66)-FIND("|",BU66)-1))-VALUE(MID(BU66,FIND("-",BU66)+1,10)))))*$D$50)))))*$I66,0)),0)</f>
        <v>0</v>
      </c>
      <c r="BW66" s="338"/>
      <c r="BX66" s="363"/>
      <c r="BY66" s="356" t="n">
        <f aca="false">IFERROR(IF($M66=BX66,($D$8+$D$9+$D$10)*$I66,IF($N66=LEFT(BX66,1),($D$8+MAX(0,IF($D$50=1,$D$9*(1-(ABS($Q66-ABS(VALUE(MID(BX66,FIND("|",BX66)+1,FIND("-",BX66)-FIND("|",BX66)-1))-VALUE(MID(BX66,FIND("-",BX66)+1,10)))))*$D$50),$D$9*(1-(IF($N66="X",ABS($O66-VALUE(MID(BX66,FIND("|",BX66)+1,FIND("-",BX66)-FIND("|",BX66)-1))),ABS($Q66-ABS(VALUE(MID(BX66,FIND("|",BX66)+1,FIND("-",BX66)-FIND("|",BX66)-1))-VALUE(MID(BX66,FIND("-",BX66)+1,10)))))*$D$50)))))*$I66,0)),0)</f>
        <v>0</v>
      </c>
      <c r="BZ66" s="338"/>
      <c r="CA66" s="363"/>
      <c r="CB66" s="356" t="n">
        <f aca="false">IFERROR(IF($M66=CA66,($D$8+$D$9+$D$10)*$I66,IF($N66=LEFT(CA66,1),($D$8+MAX(0,IF($D$50=1,$D$9*(1-(ABS($Q66-ABS(VALUE(MID(CA66,FIND("|",CA66)+1,FIND("-",CA66)-FIND("|",CA66)-1))-VALUE(MID(CA66,FIND("-",CA66)+1,10)))))*$D$50),$D$9*(1-(IF($N66="X",ABS($O66-VALUE(MID(CA66,FIND("|",CA66)+1,FIND("-",CA66)-FIND("|",CA66)-1))),ABS($Q66-ABS(VALUE(MID(CA66,FIND("|",CA66)+1,FIND("-",CA66)-FIND("|",CA66)-1))-VALUE(MID(CA66,FIND("-",CA66)+1,10)))))*$D$50)))))*$I66,0)),0)</f>
        <v>0</v>
      </c>
      <c r="CC66" s="338"/>
      <c r="CD66" s="363"/>
      <c r="CE66" s="356" t="n">
        <f aca="false">IFERROR(IF($M66=CD66,($D$8+$D$9+$D$10)*$I66,IF($N66=LEFT(CD66,1),($D$8+MAX(0,IF($D$50=1,$D$9*(1-(ABS($Q66-ABS(VALUE(MID(CD66,FIND("|",CD66)+1,FIND("-",CD66)-FIND("|",CD66)-1))-VALUE(MID(CD66,FIND("-",CD66)+1,10)))))*$D$50),$D$9*(1-(IF($N66="X",ABS($O66-VALUE(MID(CD66,FIND("|",CD66)+1,FIND("-",CD66)-FIND("|",CD66)-1))),ABS($Q66-ABS(VALUE(MID(CD66,FIND("|",CD66)+1,FIND("-",CD66)-FIND("|",CD66)-1))-VALUE(MID(CD66,FIND("-",CD66)+1,10)))))*$D$50)))))*$I66,0)),0)</f>
        <v>0</v>
      </c>
      <c r="CF66" s="338"/>
      <c r="CG66" s="363"/>
      <c r="CH66" s="356" t="n">
        <f aca="false">IFERROR(IF($M66=CG66,($D$8+$D$9+$D$10)*$I66,IF($N66=LEFT(CG66,1),($D$8+MAX(0,IF($D$50=1,$D$9*(1-(ABS($Q66-ABS(VALUE(MID(CG66,FIND("|",CG66)+1,FIND("-",CG66)-FIND("|",CG66)-1))-VALUE(MID(CG66,FIND("-",CG66)+1,10)))))*$D$50),$D$9*(1-(IF($N66="X",ABS($O66-VALUE(MID(CG66,FIND("|",CG66)+1,FIND("-",CG66)-FIND("|",CG66)-1))),ABS($Q66-ABS(VALUE(MID(CG66,FIND("|",CG66)+1,FIND("-",CG66)-FIND("|",CG66)-1))-VALUE(MID(CG66,FIND("-",CG66)+1,10)))))*$D$50)))))*$I66,0)),0)</f>
        <v>0</v>
      </c>
      <c r="CI66" s="338"/>
      <c r="CJ66" s="363"/>
      <c r="CK66" s="356" t="n">
        <f aca="false">IFERROR(IF($M66=CJ66,($D$8+$D$9+$D$10)*$I66,IF($N66=LEFT(CJ66,1),($D$8+MAX(0,IF($D$50=1,$D$9*(1-(ABS($Q66-ABS(VALUE(MID(CJ66,FIND("|",CJ66)+1,FIND("-",CJ66)-FIND("|",CJ66)-1))-VALUE(MID(CJ66,FIND("-",CJ66)+1,10)))))*$D$50),$D$9*(1-(IF($N66="X",ABS($O66-VALUE(MID(CJ66,FIND("|",CJ66)+1,FIND("-",CJ66)-FIND("|",CJ66)-1))),ABS($Q66-ABS(VALUE(MID(CJ66,FIND("|",CJ66)+1,FIND("-",CJ66)-FIND("|",CJ66)-1))-VALUE(MID(CJ66,FIND("-",CJ66)+1,10)))))*$D$50)))))*$I66,0)),0)</f>
        <v>0</v>
      </c>
      <c r="CL66" s="338"/>
      <c r="CM66" s="363"/>
      <c r="CN66" s="356" t="n">
        <f aca="false">IFERROR(IF($M66=CM66,($D$8+$D$9+$D$10)*$I66,IF($N66=LEFT(CM66,1),($D$8+MAX(0,IF($D$50=1,$D$9*(1-(ABS($Q66-ABS(VALUE(MID(CM66,FIND("|",CM66)+1,FIND("-",CM66)-FIND("|",CM66)-1))-VALUE(MID(CM66,FIND("-",CM66)+1,10)))))*$D$50),$D$9*(1-(IF($N66="X",ABS($O66-VALUE(MID(CM66,FIND("|",CM66)+1,FIND("-",CM66)-FIND("|",CM66)-1))),ABS($Q66-ABS(VALUE(MID(CM66,FIND("|",CM66)+1,FIND("-",CM66)-FIND("|",CM66)-1))-VALUE(MID(CM66,FIND("-",CM66)+1,10)))))*$D$50)))))*$I66,0)),0)</f>
        <v>0</v>
      </c>
      <c r="CO66" s="338"/>
      <c r="CP66" s="363"/>
      <c r="CQ66" s="356" t="n">
        <f aca="false">IFERROR(IF($M66=CP66,($D$8+$D$9+$D$10)*$I66,IF($N66=LEFT(CP66,1),($D$8+MAX(0,IF($D$50=1,$D$9*(1-(ABS($Q66-ABS(VALUE(MID(CP66,FIND("|",CP66)+1,FIND("-",CP66)-FIND("|",CP66)-1))-VALUE(MID(CP66,FIND("-",CP66)+1,10)))))*$D$50),$D$9*(1-(IF($N66="X",ABS($O66-VALUE(MID(CP66,FIND("|",CP66)+1,FIND("-",CP66)-FIND("|",CP66)-1))),ABS($Q66-ABS(VALUE(MID(CP66,FIND("|",CP66)+1,FIND("-",CP66)-FIND("|",CP66)-1))-VALUE(MID(CP66,FIND("-",CP66)+1,10)))))*$D$50)))))*$I66,0)),0)</f>
        <v>0</v>
      </c>
      <c r="CR66" s="338"/>
      <c r="CS66" s="363"/>
      <c r="CT66" s="356" t="n">
        <f aca="false">IFERROR(IF($M66=CS66,($D$8+$D$9+$D$10)*$I66,IF($N66=LEFT(CS66,1),($D$8+MAX(0,IF($D$50=1,$D$9*(1-(ABS($Q66-ABS(VALUE(MID(CS66,FIND("|",CS66)+1,FIND("-",CS66)-FIND("|",CS66)-1))-VALUE(MID(CS66,FIND("-",CS66)+1,10)))))*$D$50),$D$9*(1-(IF($N66="X",ABS($O66-VALUE(MID(CS66,FIND("|",CS66)+1,FIND("-",CS66)-FIND("|",CS66)-1))),ABS($Q66-ABS(VALUE(MID(CS66,FIND("|",CS66)+1,FIND("-",CS66)-FIND("|",CS66)-1))-VALUE(MID(CS66,FIND("-",CS66)+1,10)))))*$D$50)))))*$I66,0)),0)</f>
        <v>0</v>
      </c>
      <c r="CU66" s="338"/>
      <c r="CV66" s="363"/>
      <c r="CW66" s="356" t="n">
        <f aca="false">IFERROR(IF($M66=CV66,($D$8+$D$9+$D$10)*$I66,IF($N66=LEFT(CV66,1),($D$8+MAX(0,IF($D$50=1,$D$9*(1-(ABS($Q66-ABS(VALUE(MID(CV66,FIND("|",CV66)+1,FIND("-",CV66)-FIND("|",CV66)-1))-VALUE(MID(CV66,FIND("-",CV66)+1,10)))))*$D$50),$D$9*(1-(IF($N66="X",ABS($O66-VALUE(MID(CV66,FIND("|",CV66)+1,FIND("-",CV66)-FIND("|",CV66)-1))),ABS($Q66-ABS(VALUE(MID(CV66,FIND("|",CV66)+1,FIND("-",CV66)-FIND("|",CV66)-1))-VALUE(MID(CV66,FIND("-",CV66)+1,10)))))*$D$50)))))*$I66,0)),0)</f>
        <v>0</v>
      </c>
      <c r="CX66" s="338"/>
      <c r="CY66" s="363"/>
      <c r="CZ66" s="356" t="n">
        <f aca="false">IFERROR(IF($M66=CY66,($D$8+$D$9+$D$10)*$I66,IF($N66=LEFT(CY66,1),($D$8+MAX(0,IF($D$50=1,$D$9*(1-(ABS($Q66-ABS(VALUE(MID(CY66,FIND("|",CY66)+1,FIND("-",CY66)-FIND("|",CY66)-1))-VALUE(MID(CY66,FIND("-",CY66)+1,10)))))*$D$50),$D$9*(1-(IF($N66="X",ABS($O66-VALUE(MID(CY66,FIND("|",CY66)+1,FIND("-",CY66)-FIND("|",CY66)-1))),ABS($Q66-ABS(VALUE(MID(CY66,FIND("|",CY66)+1,FIND("-",CY66)-FIND("|",CY66)-1))-VALUE(MID(CY66,FIND("-",CY66)+1,10)))))*$D$50)))))*$I66,0)),0)</f>
        <v>0</v>
      </c>
      <c r="DA66" s="338"/>
      <c r="DB66" s="363"/>
      <c r="DC66" s="356" t="n">
        <f aca="false">IFERROR(IF($M66=DB66,($D$8+$D$9+$D$10)*$I66,IF($N66=LEFT(DB66,1),($D$8+MAX(0,IF($D$50=1,$D$9*(1-(ABS($Q66-ABS(VALUE(MID(DB66,FIND("|",DB66)+1,FIND("-",DB66)-FIND("|",DB66)-1))-VALUE(MID(DB66,FIND("-",DB66)+1,10)))))*$D$50),$D$9*(1-(IF($N66="X",ABS($O66-VALUE(MID(DB66,FIND("|",DB66)+1,FIND("-",DB66)-FIND("|",DB66)-1))),ABS($Q66-ABS(VALUE(MID(DB66,FIND("|",DB66)+1,FIND("-",DB66)-FIND("|",DB66)-1))-VALUE(MID(DB66,FIND("-",DB66)+1,10)))))*$D$50)))))*$I66,0)),0)</f>
        <v>0</v>
      </c>
      <c r="DD66" s="338"/>
      <c r="DE66" s="363"/>
      <c r="DF66" s="356" t="n">
        <f aca="false">IFERROR(IF($M66=DE66,($D$8+$D$9+$D$10)*$I66,IF($N66=LEFT(DE66,1),($D$8+MAX(0,IF($D$50=1,$D$9*(1-(ABS($Q66-ABS(VALUE(MID(DE66,FIND("|",DE66)+1,FIND("-",DE66)-FIND("|",DE66)-1))-VALUE(MID(DE66,FIND("-",DE66)+1,10)))))*$D$50),$D$9*(1-(IF($N66="X",ABS($O66-VALUE(MID(DE66,FIND("|",DE66)+1,FIND("-",DE66)-FIND("|",DE66)-1))),ABS($Q66-ABS(VALUE(MID(DE66,FIND("|",DE66)+1,FIND("-",DE66)-FIND("|",DE66)-1))-VALUE(MID(DE66,FIND("-",DE66)+1,10)))))*$D$50)))))*$I66,0)),0)</f>
        <v>0</v>
      </c>
      <c r="DG66" s="338"/>
      <c r="DH66" s="363"/>
      <c r="DI66" s="356" t="n">
        <f aca="false">IFERROR(IF($M66=DH66,($D$8+$D$9+$D$10)*$I66,IF($N66=LEFT(DH66,1),($D$8+MAX(0,IF($D$50=1,$D$9*(1-(ABS($Q66-ABS(VALUE(MID(DH66,FIND("|",DH66)+1,FIND("-",DH66)-FIND("|",DH66)-1))-VALUE(MID(DH66,FIND("-",DH66)+1,10)))))*$D$50),$D$9*(1-(IF($N66="X",ABS($O66-VALUE(MID(DH66,FIND("|",DH66)+1,FIND("-",DH66)-FIND("|",DH66)-1))),ABS($Q66-ABS(VALUE(MID(DH66,FIND("|",DH66)+1,FIND("-",DH66)-FIND("|",DH66)-1))-VALUE(MID(DH66,FIND("-",DH66)+1,10)))))*$D$50)))))*$I66,0)),0)</f>
        <v>0</v>
      </c>
      <c r="DJ66" s="338"/>
      <c r="DK66" s="363"/>
      <c r="DL66" s="356" t="n">
        <f aca="false">IFERROR(IF($M66=DK66,($D$8+$D$9+$D$10)*$I66,IF($N66=LEFT(DK66,1),($D$8+MAX(0,IF($D$50=1,$D$9*(1-(ABS($Q66-ABS(VALUE(MID(DK66,FIND("|",DK66)+1,FIND("-",DK66)-FIND("|",DK66)-1))-VALUE(MID(DK66,FIND("-",DK66)+1,10)))))*$D$50),$D$9*(1-(IF($N66="X",ABS($O66-VALUE(MID(DK66,FIND("|",DK66)+1,FIND("-",DK66)-FIND("|",DK66)-1))),ABS($Q66-ABS(VALUE(MID(DK66,FIND("|",DK66)+1,FIND("-",DK66)-FIND("|",DK66)-1))-VALUE(MID(DK66,FIND("-",DK66)+1,10)))))*$D$50)))))*$I66,0)),0)</f>
        <v>0</v>
      </c>
      <c r="DM66" s="338"/>
      <c r="DN66" s="363"/>
      <c r="DO66" s="356" t="n">
        <f aca="false">IFERROR(IF($M66=DN66,($D$8+$D$9+$D$10)*$I66,IF($N66=LEFT(DN66,1),($D$8+MAX(0,IF($D$50=1,$D$9*(1-(ABS($Q66-ABS(VALUE(MID(DN66,FIND("|",DN66)+1,FIND("-",DN66)-FIND("|",DN66)-1))-VALUE(MID(DN66,FIND("-",DN66)+1,10)))))*$D$50),$D$9*(1-(IF($N66="X",ABS($O66-VALUE(MID(DN66,FIND("|",DN66)+1,FIND("-",DN66)-FIND("|",DN66)-1))),ABS($Q66-ABS(VALUE(MID(DN66,FIND("|",DN66)+1,FIND("-",DN66)-FIND("|",DN66)-1))-VALUE(MID(DN66,FIND("-",DN66)+1,10)))))*$D$50)))))*$I66,0)),0)</f>
        <v>0</v>
      </c>
      <c r="DP66" s="338"/>
      <c r="DQ66" s="363"/>
      <c r="DR66" s="356" t="n">
        <f aca="false">IFERROR(IF($M66=DQ66,($D$8+$D$9+$D$10)*$I66,IF($N66=LEFT(DQ66,1),($D$8+MAX(0,IF($D$50=1,$D$9*(1-(ABS($Q66-ABS(VALUE(MID(DQ66,FIND("|",DQ66)+1,FIND("-",DQ66)-FIND("|",DQ66)-1))-VALUE(MID(DQ66,FIND("-",DQ66)+1,10)))))*$D$50),$D$9*(1-(IF($N66="X",ABS($O66-VALUE(MID(DQ66,FIND("|",DQ66)+1,FIND("-",DQ66)-FIND("|",DQ66)-1))),ABS($Q66-ABS(VALUE(MID(DQ66,FIND("|",DQ66)+1,FIND("-",DQ66)-FIND("|",DQ66)-1))-VALUE(MID(DQ66,FIND("-",DQ66)+1,10)))))*$D$50)))))*$I66,0)),0)</f>
        <v>0</v>
      </c>
      <c r="DS66" s="338"/>
      <c r="DT66" s="363"/>
      <c r="DU66" s="356" t="n">
        <f aca="false">IFERROR(IF($M66=DT66,($D$8+$D$9+$D$10)*$I66,IF($N66=LEFT(DT66,1),($D$8+MAX(0,IF($D$50=1,$D$9*(1-(ABS($Q66-ABS(VALUE(MID(DT66,FIND("|",DT66)+1,FIND("-",DT66)-FIND("|",DT66)-1))-VALUE(MID(DT66,FIND("-",DT66)+1,10)))))*$D$50),$D$9*(1-(IF($N66="X",ABS($O66-VALUE(MID(DT66,FIND("|",DT66)+1,FIND("-",DT66)-FIND("|",DT66)-1))),ABS($Q66-ABS(VALUE(MID(DT66,FIND("|",DT66)+1,FIND("-",DT66)-FIND("|",DT66)-1))-VALUE(MID(DT66,FIND("-",DT66)+1,10)))))*$D$50)))))*$I66,0)),0)</f>
        <v>0</v>
      </c>
      <c r="DV66" s="338"/>
      <c r="DW66" s="363"/>
      <c r="DX66" s="356" t="n">
        <f aca="false">IFERROR(IF($M66=DW66,($D$8+$D$9+$D$10)*$I66,IF($N66=LEFT(DW66,1),($D$8+MAX(0,IF($D$50=1,$D$9*(1-(ABS($Q66-ABS(VALUE(MID(DW66,FIND("|",DW66)+1,FIND("-",DW66)-FIND("|",DW66)-1))-VALUE(MID(DW66,FIND("-",DW66)+1,10)))))*$D$50),$D$9*(1-(IF($N66="X",ABS($O66-VALUE(MID(DW66,FIND("|",DW66)+1,FIND("-",DW66)-FIND("|",DW66)-1))),ABS($Q66-ABS(VALUE(MID(DW66,FIND("|",DW66)+1,FIND("-",DW66)-FIND("|",DW66)-1))-VALUE(MID(DW66,FIND("-",DW66)+1,10)))))*$D$50)))))*$I66,0)),0)</f>
        <v>0</v>
      </c>
      <c r="DY66" s="338"/>
      <c r="DZ66" s="363"/>
      <c r="EA66" s="356" t="n">
        <f aca="false">IFERROR(IF($M66=DZ66,($D$8+$D$9+$D$10)*$I66,IF($N66=LEFT(DZ66,1),($D$8+MAX(0,IF($D$50=1,$D$9*(1-(ABS($Q66-ABS(VALUE(MID(DZ66,FIND("|",DZ66)+1,FIND("-",DZ66)-FIND("|",DZ66)-1))-VALUE(MID(DZ66,FIND("-",DZ66)+1,10)))))*$D$50),$D$9*(1-(IF($N66="X",ABS($O66-VALUE(MID(DZ66,FIND("|",DZ66)+1,FIND("-",DZ66)-FIND("|",DZ66)-1))),ABS($Q66-ABS(VALUE(MID(DZ66,FIND("|",DZ66)+1,FIND("-",DZ66)-FIND("|",DZ66)-1))-VALUE(MID(DZ66,FIND("-",DZ66)+1,10)))))*$D$50)))))*$I66,0)),0)</f>
        <v>0</v>
      </c>
      <c r="EB66" s="338"/>
      <c r="EC66" s="363"/>
      <c r="ED66" s="356" t="n">
        <f aca="false">IFERROR(IF($M66=EC66,($D$8+$D$9+$D$10)*$I66,IF($N66=LEFT(EC66,1),($D$8+MAX(0,IF($D$50=1,$D$9*(1-(ABS($Q66-ABS(VALUE(MID(EC66,FIND("|",EC66)+1,FIND("-",EC66)-FIND("|",EC66)-1))-VALUE(MID(EC66,FIND("-",EC66)+1,10)))))*$D$50),$D$9*(1-(IF($N66="X",ABS($O66-VALUE(MID(EC66,FIND("|",EC66)+1,FIND("-",EC66)-FIND("|",EC66)-1))),ABS($Q66-ABS(VALUE(MID(EC66,FIND("|",EC66)+1,FIND("-",EC66)-FIND("|",EC66)-1))-VALUE(MID(EC66,FIND("-",EC66)+1,10)))))*$D$50)))))*$I66,0)),0)</f>
        <v>0</v>
      </c>
      <c r="EE66" s="338"/>
      <c r="EF66" s="363"/>
      <c r="EG66" s="356" t="n">
        <f aca="false">IFERROR(IF($M66=EF66,($D$8+$D$9+$D$10)*$I66,IF($N66=LEFT(EF66,1),($D$8+MAX(0,IF($D$50=1,$D$9*(1-(ABS($Q66-ABS(VALUE(MID(EF66,FIND("|",EF66)+1,FIND("-",EF66)-FIND("|",EF66)-1))-VALUE(MID(EF66,FIND("-",EF66)+1,10)))))*$D$50),$D$9*(1-(IF($N66="X",ABS($O66-VALUE(MID(EF66,FIND("|",EF66)+1,FIND("-",EF66)-FIND("|",EF66)-1))),ABS($Q66-ABS(VALUE(MID(EF66,FIND("|",EF66)+1,FIND("-",EF66)-FIND("|",EF66)-1))-VALUE(MID(EF66,FIND("-",EF66)+1,10)))))*$D$50)))))*$I66,0)),0)</f>
        <v>0</v>
      </c>
      <c r="EH66" s="338"/>
      <c r="EI66" s="338"/>
    </row>
    <row r="67" customFormat="false" ht="15" hidden="false" customHeight="false" outlineLevel="0" collapsed="false">
      <c r="A67" s="327"/>
      <c r="B67" s="327"/>
      <c r="C67" s="248"/>
      <c r="D67" s="248"/>
      <c r="E67" s="327"/>
      <c r="F67" s="394" t="n">
        <f aca="false">SUM($D$8:$D$10)*I67</f>
        <v>17</v>
      </c>
      <c r="G67" s="394" t="n">
        <f aca="false">VLOOKUP(H67,Equipos!$Q$1:$R$25,2,0)</f>
        <v>17</v>
      </c>
      <c r="H67" s="395" t="n">
        <f aca="false">TRUNC(INDEX(WORLDCUP!$X$4:$X$147,MATCH(ADMIN!K67,WORLDCUP!$DT$4:$DT$147,0))+INDEX(Horarios!$R$3:$R$86,MATCH(Horarios!$C$3,Horarios!$P$3:$P$86,0))/24)</f>
        <v>46200</v>
      </c>
      <c r="I67" s="352" t="n">
        <v>1</v>
      </c>
      <c r="J67" s="353" t="s">
        <v>323</v>
      </c>
      <c r="K67" s="354" t="str">
        <f aca="false">CONCATENATE(WORLDCUP!AA57,"-",WORLDCUP!AF57)</f>
        <v>Nueva Zelanda-Bélgica</v>
      </c>
      <c r="L67" s="354"/>
      <c r="M67" s="359" t="str">
        <f aca="false">IF(OR(WORLDCUP!AC57="",WORLDCUP!AD57=""),"-",N67&amp;"|"&amp;O67&amp;"-"&amp;P67)</f>
        <v>-</v>
      </c>
      <c r="N67" s="332" t="str">
        <f aca="false">IF(OR(WORLDCUP!AC57="",WORLDCUP!AD57=""),"",IF(WORLDCUP!AC57&gt;WORLDCUP!AD57,"1",IF(WORLDCUP!AC57&lt;WORLDCUP!AD57,"2","X")))</f>
        <v/>
      </c>
      <c r="O67" s="332" t="n">
        <f aca="false">WORLDCUP!AC57</f>
        <v>0</v>
      </c>
      <c r="P67" s="332" t="n">
        <f aca="false">WORLDCUP!AD57</f>
        <v>0</v>
      </c>
      <c r="Q67" s="332" t="n">
        <f aca="false">ABS(O67-P67)</f>
        <v>0</v>
      </c>
      <c r="R67" s="327"/>
      <c r="S67" s="363" t="s">
        <v>273</v>
      </c>
      <c r="T67" s="356" t="n">
        <f aca="false">IFERROR(IF($M67=S67,($D$8+$D$9+$D$10)*$I67,IF($N67=LEFT(S67,1),($D$8+MAX(0,IF($D$50=1,$D$9*(1-(ABS($Q67-ABS(VALUE(MID(S67,FIND("|",S67)+1,FIND("-",S67)-FIND("|",S67)-1))-VALUE(MID(S67,FIND("-",S67)+1,10)))))*$D$50),$D$9*(1-(IF($N67="X",ABS($O67-VALUE(MID(S67,FIND("|",S67)+1,FIND("-",S67)-FIND("|",S67)-1))),ABS($Q67-ABS(VALUE(MID(S67,FIND("|",S67)+1,FIND("-",S67)-FIND("|",S67)-1))-VALUE(MID(S67,FIND("-",S67)+1,10)))))*$D$50)))))*$I67,0)),0)</f>
        <v>0</v>
      </c>
      <c r="U67" s="338"/>
      <c r="V67" s="363" t="s">
        <v>274</v>
      </c>
      <c r="W67" s="356" t="n">
        <f aca="false">IFERROR(IF($M67=V67,($D$8+$D$9+$D$10)*$I67,IF($N67=LEFT(V67,1),($D$8+MAX(0,IF($D$50=1,$D$9*(1-(ABS($Q67-ABS(VALUE(MID(V67,FIND("|",V67)+1,FIND("-",V67)-FIND("|",V67)-1))-VALUE(MID(V67,FIND("-",V67)+1,10)))))*$D$50),$D$9*(1-(IF($N67="X",ABS($O67-VALUE(MID(V67,FIND("|",V67)+1,FIND("-",V67)-FIND("|",V67)-1))),ABS($Q67-ABS(VALUE(MID(V67,FIND("|",V67)+1,FIND("-",V67)-FIND("|",V67)-1))-VALUE(MID(V67,FIND("-",V67)+1,10)))))*$D$50)))))*$I67,0)),0)</f>
        <v>0</v>
      </c>
      <c r="X67" s="338"/>
      <c r="Y67" s="363" t="s">
        <v>273</v>
      </c>
      <c r="Z67" s="356" t="n">
        <f aca="false">IFERROR(IF($M67=Y67,($D$8+$D$9+$D$10)*$I67,IF($N67=LEFT(Y67,1),($D$8+MAX(0,IF($D$50=1,$D$9*(1-(ABS($Q67-ABS(VALUE(MID(Y67,FIND("|",Y67)+1,FIND("-",Y67)-FIND("|",Y67)-1))-VALUE(MID(Y67,FIND("-",Y67)+1,10)))))*$D$50),$D$9*(1-(IF($N67="X",ABS($O67-VALUE(MID(Y67,FIND("|",Y67)+1,FIND("-",Y67)-FIND("|",Y67)-1))),ABS($Q67-ABS(VALUE(MID(Y67,FIND("|",Y67)+1,FIND("-",Y67)-FIND("|",Y67)-1))-VALUE(MID(Y67,FIND("-",Y67)+1,10)))))*$D$50)))))*$I67,0)),0)</f>
        <v>0</v>
      </c>
      <c r="AA67" s="338"/>
      <c r="AB67" s="363" t="s">
        <v>268</v>
      </c>
      <c r="AC67" s="356" t="n">
        <f aca="false">IFERROR(IF($M67=AB67,($D$8+$D$9+$D$10)*$I67,IF($N67=LEFT(AB67,1),($D$8+MAX(0,IF($D$50=1,$D$9*(1-(ABS($Q67-ABS(VALUE(MID(AB67,FIND("|",AB67)+1,FIND("-",AB67)-FIND("|",AB67)-1))-VALUE(MID(AB67,FIND("-",AB67)+1,10)))))*$D$50),$D$9*(1-(IF($N67="X",ABS($O67-VALUE(MID(AB67,FIND("|",AB67)+1,FIND("-",AB67)-FIND("|",AB67)-1))),ABS($Q67-ABS(VALUE(MID(AB67,FIND("|",AB67)+1,FIND("-",AB67)-FIND("|",AB67)-1))-VALUE(MID(AB67,FIND("-",AB67)+1,10)))))*$D$50)))))*$I67,0)),0)</f>
        <v>0</v>
      </c>
      <c r="AD67" s="338"/>
      <c r="AE67" s="363" t="s">
        <v>273</v>
      </c>
      <c r="AF67" s="356" t="n">
        <f aca="false">IFERROR(IF($M67=AE67,($D$8+$D$9+$D$10)*$I67,IF($N67=LEFT(AE67,1),($D$8+MAX(0,IF($D$50=1,$D$9*(1-(ABS($Q67-ABS(VALUE(MID(AE67,FIND("|",AE67)+1,FIND("-",AE67)-FIND("|",AE67)-1))-VALUE(MID(AE67,FIND("-",AE67)+1,10)))))*$D$50),$D$9*(1-(IF($N67="X",ABS($O67-VALUE(MID(AE67,FIND("|",AE67)+1,FIND("-",AE67)-FIND("|",AE67)-1))),ABS($Q67-ABS(VALUE(MID(AE67,FIND("|",AE67)+1,FIND("-",AE67)-FIND("|",AE67)-1))-VALUE(MID(AE67,FIND("-",AE67)+1,10)))))*$D$50)))))*$I67,0)),0)</f>
        <v>0</v>
      </c>
      <c r="AG67" s="338"/>
      <c r="AH67" s="363" t="s">
        <v>274</v>
      </c>
      <c r="AI67" s="356" t="n">
        <f aca="false">IFERROR(IF($M67=AH67,($D$8+$D$9+$D$10)*$I67,IF($N67=LEFT(AH67,1),($D$8+MAX(0,IF($D$50=1,$D$9*(1-(ABS($Q67-ABS(VALUE(MID(AH67,FIND("|",AH67)+1,FIND("-",AH67)-FIND("|",AH67)-1))-VALUE(MID(AH67,FIND("-",AH67)+1,10)))))*$D$50),$D$9*(1-(IF($N67="X",ABS($O67-VALUE(MID(AH67,FIND("|",AH67)+1,FIND("-",AH67)-FIND("|",AH67)-1))),ABS($Q67-ABS(VALUE(MID(AH67,FIND("|",AH67)+1,FIND("-",AH67)-FIND("|",AH67)-1))-VALUE(MID(AH67,FIND("-",AH67)+1,10)))))*$D$50)))))*$I67,0)),0)</f>
        <v>0</v>
      </c>
      <c r="AJ67" s="338"/>
      <c r="AK67" s="363" t="s">
        <v>273</v>
      </c>
      <c r="AL67" s="356" t="n">
        <f aca="false">IFERROR(IF($M67=AK67,($D$8+$D$9+$D$10)*$I67,IF($N67=LEFT(AK67,1),($D$8+MAX(0,IF($D$50=1,$D$9*(1-(ABS($Q67-ABS(VALUE(MID(AK67,FIND("|",AK67)+1,FIND("-",AK67)-FIND("|",AK67)-1))-VALUE(MID(AK67,FIND("-",AK67)+1,10)))))*$D$50),$D$9*(1-(IF($N67="X",ABS($O67-VALUE(MID(AK67,FIND("|",AK67)+1,FIND("-",AK67)-FIND("|",AK67)-1))),ABS($Q67-ABS(VALUE(MID(AK67,FIND("|",AK67)+1,FIND("-",AK67)-FIND("|",AK67)-1))-VALUE(MID(AK67,FIND("-",AK67)+1,10)))))*$D$50)))))*$I67,0)),0)</f>
        <v>0</v>
      </c>
      <c r="AM67" s="338"/>
      <c r="AN67" s="363" t="s">
        <v>277</v>
      </c>
      <c r="AO67" s="356" t="n">
        <f aca="false">IFERROR(IF($M67=AN67,($D$8+$D$9+$D$10)*$I67,IF($N67=LEFT(AN67,1),($D$8+MAX(0,IF($D$50=1,$D$9*(1-(ABS($Q67-ABS(VALUE(MID(AN67,FIND("|",AN67)+1,FIND("-",AN67)-FIND("|",AN67)-1))-VALUE(MID(AN67,FIND("-",AN67)+1,10)))))*$D$50),$D$9*(1-(IF($N67="X",ABS($O67-VALUE(MID(AN67,FIND("|",AN67)+1,FIND("-",AN67)-FIND("|",AN67)-1))),ABS($Q67-ABS(VALUE(MID(AN67,FIND("|",AN67)+1,FIND("-",AN67)-FIND("|",AN67)-1))-VALUE(MID(AN67,FIND("-",AN67)+1,10)))))*$D$50)))))*$I67,0)),0)</f>
        <v>0</v>
      </c>
      <c r="AP67" s="338"/>
      <c r="AQ67" s="363" t="s">
        <v>281</v>
      </c>
      <c r="AR67" s="356" t="n">
        <f aca="false">IFERROR(IF($M67=AQ67,($D$8+$D$9+$D$10)*$I67,IF($N67=LEFT(AQ67,1),($D$8+MAX(0,IF($D$50=1,$D$9*(1-(ABS($Q67-ABS(VALUE(MID(AQ67,FIND("|",AQ67)+1,FIND("-",AQ67)-FIND("|",AQ67)-1))-VALUE(MID(AQ67,FIND("-",AQ67)+1,10)))))*$D$50),$D$9*(1-(IF($N67="X",ABS($O67-VALUE(MID(AQ67,FIND("|",AQ67)+1,FIND("-",AQ67)-FIND("|",AQ67)-1))),ABS($Q67-ABS(VALUE(MID(AQ67,FIND("|",AQ67)+1,FIND("-",AQ67)-FIND("|",AQ67)-1))-VALUE(MID(AQ67,FIND("-",AQ67)+1,10)))))*$D$50)))))*$I67,0)),0)</f>
        <v>0</v>
      </c>
      <c r="AS67" s="338"/>
      <c r="AT67" s="363" t="s">
        <v>274</v>
      </c>
      <c r="AU67" s="356" t="n">
        <f aca="false">IFERROR(IF($M67=AT67,($D$8+$D$9+$D$10)*$I67,IF($N67=LEFT(AT67,1),($D$8+MAX(0,IF($D$50=1,$D$9*(1-(ABS($Q67-ABS(VALUE(MID(AT67,FIND("|",AT67)+1,FIND("-",AT67)-FIND("|",AT67)-1))-VALUE(MID(AT67,FIND("-",AT67)+1,10)))))*$D$50),$D$9*(1-(IF($N67="X",ABS($O67-VALUE(MID(AT67,FIND("|",AT67)+1,FIND("-",AT67)-FIND("|",AT67)-1))),ABS($Q67-ABS(VALUE(MID(AT67,FIND("|",AT67)+1,FIND("-",AT67)-FIND("|",AT67)-1))-VALUE(MID(AT67,FIND("-",AT67)+1,10)))))*$D$50)))))*$I67,0)),0)</f>
        <v>0</v>
      </c>
      <c r="AV67" s="338"/>
      <c r="AW67" s="363" t="s">
        <v>274</v>
      </c>
      <c r="AX67" s="356" t="n">
        <f aca="false">IFERROR(IF($M67=AW67,($D$8+$D$9+$D$10)*$I67,IF($N67=LEFT(AW67,1),($D$8+MAX(0,IF($D$50=1,$D$9*(1-(ABS($Q67-ABS(VALUE(MID(AW67,FIND("|",AW67)+1,FIND("-",AW67)-FIND("|",AW67)-1))-VALUE(MID(AW67,FIND("-",AW67)+1,10)))))*$D$50),$D$9*(1-(IF($N67="X",ABS($O67-VALUE(MID(AW67,FIND("|",AW67)+1,FIND("-",AW67)-FIND("|",AW67)-1))),ABS($Q67-ABS(VALUE(MID(AW67,FIND("|",AW67)+1,FIND("-",AW67)-FIND("|",AW67)-1))-VALUE(MID(AW67,FIND("-",AW67)+1,10)))))*$D$50)))))*$I67,0)),0)</f>
        <v>0</v>
      </c>
      <c r="AY67" s="338"/>
      <c r="AZ67" s="363" t="s">
        <v>273</v>
      </c>
      <c r="BA67" s="356" t="n">
        <f aca="false">IFERROR(IF($M67=AZ67,($D$8+$D$9+$D$10)*$I67,IF($N67=LEFT(AZ67,1),($D$8+MAX(0,IF($D$50=1,$D$9*(1-(ABS($Q67-ABS(VALUE(MID(AZ67,FIND("|",AZ67)+1,FIND("-",AZ67)-FIND("|",AZ67)-1))-VALUE(MID(AZ67,FIND("-",AZ67)+1,10)))))*$D$50),$D$9*(1-(IF($N67="X",ABS($O67-VALUE(MID(AZ67,FIND("|",AZ67)+1,FIND("-",AZ67)-FIND("|",AZ67)-1))),ABS($Q67-ABS(VALUE(MID(AZ67,FIND("|",AZ67)+1,FIND("-",AZ67)-FIND("|",AZ67)-1))-VALUE(MID(AZ67,FIND("-",AZ67)+1,10)))))*$D$50)))))*$I67,0)),0)</f>
        <v>0</v>
      </c>
      <c r="BB67" s="338"/>
      <c r="BC67" s="363" t="s">
        <v>268</v>
      </c>
      <c r="BD67" s="356" t="n">
        <f aca="false">IFERROR(IF($M67=BC67,($D$8+$D$9+$D$10)*$I67,IF($N67=LEFT(BC67,1),($D$8+MAX(0,IF($D$50=1,$D$9*(1-(ABS($Q67-ABS(VALUE(MID(BC67,FIND("|",BC67)+1,FIND("-",BC67)-FIND("|",BC67)-1))-VALUE(MID(BC67,FIND("-",BC67)+1,10)))))*$D$50),$D$9*(1-(IF($N67="X",ABS($O67-VALUE(MID(BC67,FIND("|",BC67)+1,FIND("-",BC67)-FIND("|",BC67)-1))),ABS($Q67-ABS(VALUE(MID(BC67,FIND("|",BC67)+1,FIND("-",BC67)-FIND("|",BC67)-1))-VALUE(MID(BC67,FIND("-",BC67)+1,10)))))*$D$50)))))*$I67,0)),0)</f>
        <v>0</v>
      </c>
      <c r="BE67" s="338"/>
      <c r="BF67" s="363" t="s">
        <v>266</v>
      </c>
      <c r="BG67" s="356" t="n">
        <f aca="false">IFERROR(IF($M67=BF67,($D$8+$D$9+$D$10)*$I67,IF($N67=LEFT(BF67,1),($D$8+MAX(0,IF($D$50=1,$D$9*(1-(ABS($Q67-ABS(VALUE(MID(BF67,FIND("|",BF67)+1,FIND("-",BF67)-FIND("|",BF67)-1))-VALUE(MID(BF67,FIND("-",BF67)+1,10)))))*$D$50),$D$9*(1-(IF($N67="X",ABS($O67-VALUE(MID(BF67,FIND("|",BF67)+1,FIND("-",BF67)-FIND("|",BF67)-1))),ABS($Q67-ABS(VALUE(MID(BF67,FIND("|",BF67)+1,FIND("-",BF67)-FIND("|",BF67)-1))-VALUE(MID(BF67,FIND("-",BF67)+1,10)))))*$D$50)))))*$I67,0)),0)</f>
        <v>0</v>
      </c>
      <c r="BH67" s="338"/>
      <c r="BI67" s="363" t="s">
        <v>271</v>
      </c>
      <c r="BJ67" s="356" t="n">
        <f aca="false">IFERROR(IF($M67=BI67,($D$8+$D$9+$D$10)*$I67,IF($N67=LEFT(BI67,1),($D$8+MAX(0,IF($D$50=1,$D$9*(1-(ABS($Q67-ABS(VALUE(MID(BI67,FIND("|",BI67)+1,FIND("-",BI67)-FIND("|",BI67)-1))-VALUE(MID(BI67,FIND("-",BI67)+1,10)))))*$D$50),$D$9*(1-(IF($N67="X",ABS($O67-VALUE(MID(BI67,FIND("|",BI67)+1,FIND("-",BI67)-FIND("|",BI67)-1))),ABS($Q67-ABS(VALUE(MID(BI67,FIND("|",BI67)+1,FIND("-",BI67)-FIND("|",BI67)-1))-VALUE(MID(BI67,FIND("-",BI67)+1,10)))))*$D$50)))))*$I67,0)),0)</f>
        <v>0</v>
      </c>
      <c r="BK67" s="338"/>
      <c r="BL67" s="363" t="s">
        <v>268</v>
      </c>
      <c r="BM67" s="356" t="n">
        <f aca="false">IFERROR(IF($M67=BL67,($D$8+$D$9+$D$10)*$I67,IF($N67=LEFT(BL67,1),($D$8+MAX(0,IF($D$50=1,$D$9*(1-(ABS($Q67-ABS(VALUE(MID(BL67,FIND("|",BL67)+1,FIND("-",BL67)-FIND("|",BL67)-1))-VALUE(MID(BL67,FIND("-",BL67)+1,10)))))*$D$50),$D$9*(1-(IF($N67="X",ABS($O67-VALUE(MID(BL67,FIND("|",BL67)+1,FIND("-",BL67)-FIND("|",BL67)-1))),ABS($Q67-ABS(VALUE(MID(BL67,FIND("|",BL67)+1,FIND("-",BL67)-FIND("|",BL67)-1))-VALUE(MID(BL67,FIND("-",BL67)+1,10)))))*$D$50)))))*$I67,0)),0)</f>
        <v>0</v>
      </c>
      <c r="BN67" s="338"/>
      <c r="BO67" s="363" t="s">
        <v>318</v>
      </c>
      <c r="BP67" s="356" t="n">
        <f aca="false">IFERROR(IF($M67=BO67,($D$8+$D$9+$D$10)*$I67,IF($N67=LEFT(BO67,1),($D$8+MAX(0,IF($D$50=1,$D$9*(1-(ABS($Q67-ABS(VALUE(MID(BO67,FIND("|",BO67)+1,FIND("-",BO67)-FIND("|",BO67)-1))-VALUE(MID(BO67,FIND("-",BO67)+1,10)))))*$D$50),$D$9*(1-(IF($N67="X",ABS($O67-VALUE(MID(BO67,FIND("|",BO67)+1,FIND("-",BO67)-FIND("|",BO67)-1))),ABS($Q67-ABS(VALUE(MID(BO67,FIND("|",BO67)+1,FIND("-",BO67)-FIND("|",BO67)-1))-VALUE(MID(BO67,FIND("-",BO67)+1,10)))))*$D$50)))))*$I67,0)),0)</f>
        <v>0</v>
      </c>
      <c r="BQ67" s="338"/>
      <c r="BR67" s="363" t="s">
        <v>273</v>
      </c>
      <c r="BS67" s="356" t="n">
        <f aca="false">IFERROR(IF($M67=BR67,($D$8+$D$9+$D$10)*$I67,IF($N67=LEFT(BR67,1),($D$8+MAX(0,IF($D$50=1,$D$9*(1-(ABS($Q67-ABS(VALUE(MID(BR67,FIND("|",BR67)+1,FIND("-",BR67)-FIND("|",BR67)-1))-VALUE(MID(BR67,FIND("-",BR67)+1,10)))))*$D$50),$D$9*(1-(IF($N67="X",ABS($O67-VALUE(MID(BR67,FIND("|",BR67)+1,FIND("-",BR67)-FIND("|",BR67)-1))),ABS($Q67-ABS(VALUE(MID(BR67,FIND("|",BR67)+1,FIND("-",BR67)-FIND("|",BR67)-1))-VALUE(MID(BR67,FIND("-",BR67)+1,10)))))*$D$50)))))*$I67,0)),0)</f>
        <v>0</v>
      </c>
      <c r="BT67" s="338"/>
      <c r="BU67" s="363"/>
      <c r="BV67" s="356" t="n">
        <f aca="false">IFERROR(IF($M67=BU67,($D$8+$D$9+$D$10)*$I67,IF($N67=LEFT(BU67,1),($D$8+MAX(0,IF($D$50=1,$D$9*(1-(ABS($Q67-ABS(VALUE(MID(BU67,FIND("|",BU67)+1,FIND("-",BU67)-FIND("|",BU67)-1))-VALUE(MID(BU67,FIND("-",BU67)+1,10)))))*$D$50),$D$9*(1-(IF($N67="X",ABS($O67-VALUE(MID(BU67,FIND("|",BU67)+1,FIND("-",BU67)-FIND("|",BU67)-1))),ABS($Q67-ABS(VALUE(MID(BU67,FIND("|",BU67)+1,FIND("-",BU67)-FIND("|",BU67)-1))-VALUE(MID(BU67,FIND("-",BU67)+1,10)))))*$D$50)))))*$I67,0)),0)</f>
        <v>0</v>
      </c>
      <c r="BW67" s="338"/>
      <c r="BX67" s="363"/>
      <c r="BY67" s="356" t="n">
        <f aca="false">IFERROR(IF($M67=BX67,($D$8+$D$9+$D$10)*$I67,IF($N67=LEFT(BX67,1),($D$8+MAX(0,IF($D$50=1,$D$9*(1-(ABS($Q67-ABS(VALUE(MID(BX67,FIND("|",BX67)+1,FIND("-",BX67)-FIND("|",BX67)-1))-VALUE(MID(BX67,FIND("-",BX67)+1,10)))))*$D$50),$D$9*(1-(IF($N67="X",ABS($O67-VALUE(MID(BX67,FIND("|",BX67)+1,FIND("-",BX67)-FIND("|",BX67)-1))),ABS($Q67-ABS(VALUE(MID(BX67,FIND("|",BX67)+1,FIND("-",BX67)-FIND("|",BX67)-1))-VALUE(MID(BX67,FIND("-",BX67)+1,10)))))*$D$50)))))*$I67,0)),0)</f>
        <v>0</v>
      </c>
      <c r="BZ67" s="338"/>
      <c r="CA67" s="363"/>
      <c r="CB67" s="356" t="n">
        <f aca="false">IFERROR(IF($M67=CA67,($D$8+$D$9+$D$10)*$I67,IF($N67=LEFT(CA67,1),($D$8+MAX(0,IF($D$50=1,$D$9*(1-(ABS($Q67-ABS(VALUE(MID(CA67,FIND("|",CA67)+1,FIND("-",CA67)-FIND("|",CA67)-1))-VALUE(MID(CA67,FIND("-",CA67)+1,10)))))*$D$50),$D$9*(1-(IF($N67="X",ABS($O67-VALUE(MID(CA67,FIND("|",CA67)+1,FIND("-",CA67)-FIND("|",CA67)-1))),ABS($Q67-ABS(VALUE(MID(CA67,FIND("|",CA67)+1,FIND("-",CA67)-FIND("|",CA67)-1))-VALUE(MID(CA67,FIND("-",CA67)+1,10)))))*$D$50)))))*$I67,0)),0)</f>
        <v>0</v>
      </c>
      <c r="CC67" s="338"/>
      <c r="CD67" s="363"/>
      <c r="CE67" s="356" t="n">
        <f aca="false">IFERROR(IF($M67=CD67,($D$8+$D$9+$D$10)*$I67,IF($N67=LEFT(CD67,1),($D$8+MAX(0,IF($D$50=1,$D$9*(1-(ABS($Q67-ABS(VALUE(MID(CD67,FIND("|",CD67)+1,FIND("-",CD67)-FIND("|",CD67)-1))-VALUE(MID(CD67,FIND("-",CD67)+1,10)))))*$D$50),$D$9*(1-(IF($N67="X",ABS($O67-VALUE(MID(CD67,FIND("|",CD67)+1,FIND("-",CD67)-FIND("|",CD67)-1))),ABS($Q67-ABS(VALUE(MID(CD67,FIND("|",CD67)+1,FIND("-",CD67)-FIND("|",CD67)-1))-VALUE(MID(CD67,FIND("-",CD67)+1,10)))))*$D$50)))))*$I67,0)),0)</f>
        <v>0</v>
      </c>
      <c r="CF67" s="338"/>
      <c r="CG67" s="363"/>
      <c r="CH67" s="356" t="n">
        <f aca="false">IFERROR(IF($M67=CG67,($D$8+$D$9+$D$10)*$I67,IF($N67=LEFT(CG67,1),($D$8+MAX(0,IF($D$50=1,$D$9*(1-(ABS($Q67-ABS(VALUE(MID(CG67,FIND("|",CG67)+1,FIND("-",CG67)-FIND("|",CG67)-1))-VALUE(MID(CG67,FIND("-",CG67)+1,10)))))*$D$50),$D$9*(1-(IF($N67="X",ABS($O67-VALUE(MID(CG67,FIND("|",CG67)+1,FIND("-",CG67)-FIND("|",CG67)-1))),ABS($Q67-ABS(VALUE(MID(CG67,FIND("|",CG67)+1,FIND("-",CG67)-FIND("|",CG67)-1))-VALUE(MID(CG67,FIND("-",CG67)+1,10)))))*$D$50)))))*$I67,0)),0)</f>
        <v>0</v>
      </c>
      <c r="CI67" s="338"/>
      <c r="CJ67" s="363"/>
      <c r="CK67" s="356" t="n">
        <f aca="false">IFERROR(IF($M67=CJ67,($D$8+$D$9+$D$10)*$I67,IF($N67=LEFT(CJ67,1),($D$8+MAX(0,IF($D$50=1,$D$9*(1-(ABS($Q67-ABS(VALUE(MID(CJ67,FIND("|",CJ67)+1,FIND("-",CJ67)-FIND("|",CJ67)-1))-VALUE(MID(CJ67,FIND("-",CJ67)+1,10)))))*$D$50),$D$9*(1-(IF($N67="X",ABS($O67-VALUE(MID(CJ67,FIND("|",CJ67)+1,FIND("-",CJ67)-FIND("|",CJ67)-1))),ABS($Q67-ABS(VALUE(MID(CJ67,FIND("|",CJ67)+1,FIND("-",CJ67)-FIND("|",CJ67)-1))-VALUE(MID(CJ67,FIND("-",CJ67)+1,10)))))*$D$50)))))*$I67,0)),0)</f>
        <v>0</v>
      </c>
      <c r="CL67" s="338"/>
      <c r="CM67" s="363"/>
      <c r="CN67" s="356" t="n">
        <f aca="false">IFERROR(IF($M67=CM67,($D$8+$D$9+$D$10)*$I67,IF($N67=LEFT(CM67,1),($D$8+MAX(0,IF($D$50=1,$D$9*(1-(ABS($Q67-ABS(VALUE(MID(CM67,FIND("|",CM67)+1,FIND("-",CM67)-FIND("|",CM67)-1))-VALUE(MID(CM67,FIND("-",CM67)+1,10)))))*$D$50),$D$9*(1-(IF($N67="X",ABS($O67-VALUE(MID(CM67,FIND("|",CM67)+1,FIND("-",CM67)-FIND("|",CM67)-1))),ABS($Q67-ABS(VALUE(MID(CM67,FIND("|",CM67)+1,FIND("-",CM67)-FIND("|",CM67)-1))-VALUE(MID(CM67,FIND("-",CM67)+1,10)))))*$D$50)))))*$I67,0)),0)</f>
        <v>0</v>
      </c>
      <c r="CO67" s="338"/>
      <c r="CP67" s="363"/>
      <c r="CQ67" s="356" t="n">
        <f aca="false">IFERROR(IF($M67=CP67,($D$8+$D$9+$D$10)*$I67,IF($N67=LEFT(CP67,1),($D$8+MAX(0,IF($D$50=1,$D$9*(1-(ABS($Q67-ABS(VALUE(MID(CP67,FIND("|",CP67)+1,FIND("-",CP67)-FIND("|",CP67)-1))-VALUE(MID(CP67,FIND("-",CP67)+1,10)))))*$D$50),$D$9*(1-(IF($N67="X",ABS($O67-VALUE(MID(CP67,FIND("|",CP67)+1,FIND("-",CP67)-FIND("|",CP67)-1))),ABS($Q67-ABS(VALUE(MID(CP67,FIND("|",CP67)+1,FIND("-",CP67)-FIND("|",CP67)-1))-VALUE(MID(CP67,FIND("-",CP67)+1,10)))))*$D$50)))))*$I67,0)),0)</f>
        <v>0</v>
      </c>
      <c r="CR67" s="338"/>
      <c r="CS67" s="363"/>
      <c r="CT67" s="356" t="n">
        <f aca="false">IFERROR(IF($M67=CS67,($D$8+$D$9+$D$10)*$I67,IF($N67=LEFT(CS67,1),($D$8+MAX(0,IF($D$50=1,$D$9*(1-(ABS($Q67-ABS(VALUE(MID(CS67,FIND("|",CS67)+1,FIND("-",CS67)-FIND("|",CS67)-1))-VALUE(MID(CS67,FIND("-",CS67)+1,10)))))*$D$50),$D$9*(1-(IF($N67="X",ABS($O67-VALUE(MID(CS67,FIND("|",CS67)+1,FIND("-",CS67)-FIND("|",CS67)-1))),ABS($Q67-ABS(VALUE(MID(CS67,FIND("|",CS67)+1,FIND("-",CS67)-FIND("|",CS67)-1))-VALUE(MID(CS67,FIND("-",CS67)+1,10)))))*$D$50)))))*$I67,0)),0)</f>
        <v>0</v>
      </c>
      <c r="CU67" s="338"/>
      <c r="CV67" s="363"/>
      <c r="CW67" s="356" t="n">
        <f aca="false">IFERROR(IF($M67=CV67,($D$8+$D$9+$D$10)*$I67,IF($N67=LEFT(CV67,1),($D$8+MAX(0,IF($D$50=1,$D$9*(1-(ABS($Q67-ABS(VALUE(MID(CV67,FIND("|",CV67)+1,FIND("-",CV67)-FIND("|",CV67)-1))-VALUE(MID(CV67,FIND("-",CV67)+1,10)))))*$D$50),$D$9*(1-(IF($N67="X",ABS($O67-VALUE(MID(CV67,FIND("|",CV67)+1,FIND("-",CV67)-FIND("|",CV67)-1))),ABS($Q67-ABS(VALUE(MID(CV67,FIND("|",CV67)+1,FIND("-",CV67)-FIND("|",CV67)-1))-VALUE(MID(CV67,FIND("-",CV67)+1,10)))))*$D$50)))))*$I67,0)),0)</f>
        <v>0</v>
      </c>
      <c r="CX67" s="338"/>
      <c r="CY67" s="363"/>
      <c r="CZ67" s="356" t="n">
        <f aca="false">IFERROR(IF($M67=CY67,($D$8+$D$9+$D$10)*$I67,IF($N67=LEFT(CY67,1),($D$8+MAX(0,IF($D$50=1,$D$9*(1-(ABS($Q67-ABS(VALUE(MID(CY67,FIND("|",CY67)+1,FIND("-",CY67)-FIND("|",CY67)-1))-VALUE(MID(CY67,FIND("-",CY67)+1,10)))))*$D$50),$D$9*(1-(IF($N67="X",ABS($O67-VALUE(MID(CY67,FIND("|",CY67)+1,FIND("-",CY67)-FIND("|",CY67)-1))),ABS($Q67-ABS(VALUE(MID(CY67,FIND("|",CY67)+1,FIND("-",CY67)-FIND("|",CY67)-1))-VALUE(MID(CY67,FIND("-",CY67)+1,10)))))*$D$50)))))*$I67,0)),0)</f>
        <v>0</v>
      </c>
      <c r="DA67" s="338"/>
      <c r="DB67" s="363"/>
      <c r="DC67" s="356" t="n">
        <f aca="false">IFERROR(IF($M67=DB67,($D$8+$D$9+$D$10)*$I67,IF($N67=LEFT(DB67,1),($D$8+MAX(0,IF($D$50=1,$D$9*(1-(ABS($Q67-ABS(VALUE(MID(DB67,FIND("|",DB67)+1,FIND("-",DB67)-FIND("|",DB67)-1))-VALUE(MID(DB67,FIND("-",DB67)+1,10)))))*$D$50),$D$9*(1-(IF($N67="X",ABS($O67-VALUE(MID(DB67,FIND("|",DB67)+1,FIND("-",DB67)-FIND("|",DB67)-1))),ABS($Q67-ABS(VALUE(MID(DB67,FIND("|",DB67)+1,FIND("-",DB67)-FIND("|",DB67)-1))-VALUE(MID(DB67,FIND("-",DB67)+1,10)))))*$D$50)))))*$I67,0)),0)</f>
        <v>0</v>
      </c>
      <c r="DD67" s="338"/>
      <c r="DE67" s="363"/>
      <c r="DF67" s="356" t="n">
        <f aca="false">IFERROR(IF($M67=DE67,($D$8+$D$9+$D$10)*$I67,IF($N67=LEFT(DE67,1),($D$8+MAX(0,IF($D$50=1,$D$9*(1-(ABS($Q67-ABS(VALUE(MID(DE67,FIND("|",DE67)+1,FIND("-",DE67)-FIND("|",DE67)-1))-VALUE(MID(DE67,FIND("-",DE67)+1,10)))))*$D$50),$D$9*(1-(IF($N67="X",ABS($O67-VALUE(MID(DE67,FIND("|",DE67)+1,FIND("-",DE67)-FIND("|",DE67)-1))),ABS($Q67-ABS(VALUE(MID(DE67,FIND("|",DE67)+1,FIND("-",DE67)-FIND("|",DE67)-1))-VALUE(MID(DE67,FIND("-",DE67)+1,10)))))*$D$50)))))*$I67,0)),0)</f>
        <v>0</v>
      </c>
      <c r="DG67" s="338"/>
      <c r="DH67" s="363"/>
      <c r="DI67" s="356" t="n">
        <f aca="false">IFERROR(IF($M67=DH67,($D$8+$D$9+$D$10)*$I67,IF($N67=LEFT(DH67,1),($D$8+MAX(0,IF($D$50=1,$D$9*(1-(ABS($Q67-ABS(VALUE(MID(DH67,FIND("|",DH67)+1,FIND("-",DH67)-FIND("|",DH67)-1))-VALUE(MID(DH67,FIND("-",DH67)+1,10)))))*$D$50),$D$9*(1-(IF($N67="X",ABS($O67-VALUE(MID(DH67,FIND("|",DH67)+1,FIND("-",DH67)-FIND("|",DH67)-1))),ABS($Q67-ABS(VALUE(MID(DH67,FIND("|",DH67)+1,FIND("-",DH67)-FIND("|",DH67)-1))-VALUE(MID(DH67,FIND("-",DH67)+1,10)))))*$D$50)))))*$I67,0)),0)</f>
        <v>0</v>
      </c>
      <c r="DJ67" s="338"/>
      <c r="DK67" s="363"/>
      <c r="DL67" s="356" t="n">
        <f aca="false">IFERROR(IF($M67=DK67,($D$8+$D$9+$D$10)*$I67,IF($N67=LEFT(DK67,1),($D$8+MAX(0,IF($D$50=1,$D$9*(1-(ABS($Q67-ABS(VALUE(MID(DK67,FIND("|",DK67)+1,FIND("-",DK67)-FIND("|",DK67)-1))-VALUE(MID(DK67,FIND("-",DK67)+1,10)))))*$D$50),$D$9*(1-(IF($N67="X",ABS($O67-VALUE(MID(DK67,FIND("|",DK67)+1,FIND("-",DK67)-FIND("|",DK67)-1))),ABS($Q67-ABS(VALUE(MID(DK67,FIND("|",DK67)+1,FIND("-",DK67)-FIND("|",DK67)-1))-VALUE(MID(DK67,FIND("-",DK67)+1,10)))))*$D$50)))))*$I67,0)),0)</f>
        <v>0</v>
      </c>
      <c r="DM67" s="338"/>
      <c r="DN67" s="363"/>
      <c r="DO67" s="356" t="n">
        <f aca="false">IFERROR(IF($M67=DN67,($D$8+$D$9+$D$10)*$I67,IF($N67=LEFT(DN67,1),($D$8+MAX(0,IF($D$50=1,$D$9*(1-(ABS($Q67-ABS(VALUE(MID(DN67,FIND("|",DN67)+1,FIND("-",DN67)-FIND("|",DN67)-1))-VALUE(MID(DN67,FIND("-",DN67)+1,10)))))*$D$50),$D$9*(1-(IF($N67="X",ABS($O67-VALUE(MID(DN67,FIND("|",DN67)+1,FIND("-",DN67)-FIND("|",DN67)-1))),ABS($Q67-ABS(VALUE(MID(DN67,FIND("|",DN67)+1,FIND("-",DN67)-FIND("|",DN67)-1))-VALUE(MID(DN67,FIND("-",DN67)+1,10)))))*$D$50)))))*$I67,0)),0)</f>
        <v>0</v>
      </c>
      <c r="DP67" s="338"/>
      <c r="DQ67" s="363"/>
      <c r="DR67" s="356" t="n">
        <f aca="false">IFERROR(IF($M67=DQ67,($D$8+$D$9+$D$10)*$I67,IF($N67=LEFT(DQ67,1),($D$8+MAX(0,IF($D$50=1,$D$9*(1-(ABS($Q67-ABS(VALUE(MID(DQ67,FIND("|",DQ67)+1,FIND("-",DQ67)-FIND("|",DQ67)-1))-VALUE(MID(DQ67,FIND("-",DQ67)+1,10)))))*$D$50),$D$9*(1-(IF($N67="X",ABS($O67-VALUE(MID(DQ67,FIND("|",DQ67)+1,FIND("-",DQ67)-FIND("|",DQ67)-1))),ABS($Q67-ABS(VALUE(MID(DQ67,FIND("|",DQ67)+1,FIND("-",DQ67)-FIND("|",DQ67)-1))-VALUE(MID(DQ67,FIND("-",DQ67)+1,10)))))*$D$50)))))*$I67,0)),0)</f>
        <v>0</v>
      </c>
      <c r="DS67" s="338"/>
      <c r="DT67" s="363"/>
      <c r="DU67" s="356" t="n">
        <f aca="false">IFERROR(IF($M67=DT67,($D$8+$D$9+$D$10)*$I67,IF($N67=LEFT(DT67,1),($D$8+MAX(0,IF($D$50=1,$D$9*(1-(ABS($Q67-ABS(VALUE(MID(DT67,FIND("|",DT67)+1,FIND("-",DT67)-FIND("|",DT67)-1))-VALUE(MID(DT67,FIND("-",DT67)+1,10)))))*$D$50),$D$9*(1-(IF($N67="X",ABS($O67-VALUE(MID(DT67,FIND("|",DT67)+1,FIND("-",DT67)-FIND("|",DT67)-1))),ABS($Q67-ABS(VALUE(MID(DT67,FIND("|",DT67)+1,FIND("-",DT67)-FIND("|",DT67)-1))-VALUE(MID(DT67,FIND("-",DT67)+1,10)))))*$D$50)))))*$I67,0)),0)</f>
        <v>0</v>
      </c>
      <c r="DV67" s="338"/>
      <c r="DW67" s="363"/>
      <c r="DX67" s="356" t="n">
        <f aca="false">IFERROR(IF($M67=DW67,($D$8+$D$9+$D$10)*$I67,IF($N67=LEFT(DW67,1),($D$8+MAX(0,IF($D$50=1,$D$9*(1-(ABS($Q67-ABS(VALUE(MID(DW67,FIND("|",DW67)+1,FIND("-",DW67)-FIND("|",DW67)-1))-VALUE(MID(DW67,FIND("-",DW67)+1,10)))))*$D$50),$D$9*(1-(IF($N67="X",ABS($O67-VALUE(MID(DW67,FIND("|",DW67)+1,FIND("-",DW67)-FIND("|",DW67)-1))),ABS($Q67-ABS(VALUE(MID(DW67,FIND("|",DW67)+1,FIND("-",DW67)-FIND("|",DW67)-1))-VALUE(MID(DW67,FIND("-",DW67)+1,10)))))*$D$50)))))*$I67,0)),0)</f>
        <v>0</v>
      </c>
      <c r="DY67" s="338"/>
      <c r="DZ67" s="363"/>
      <c r="EA67" s="356" t="n">
        <f aca="false">IFERROR(IF($M67=DZ67,($D$8+$D$9+$D$10)*$I67,IF($N67=LEFT(DZ67,1),($D$8+MAX(0,IF($D$50=1,$D$9*(1-(ABS($Q67-ABS(VALUE(MID(DZ67,FIND("|",DZ67)+1,FIND("-",DZ67)-FIND("|",DZ67)-1))-VALUE(MID(DZ67,FIND("-",DZ67)+1,10)))))*$D$50),$D$9*(1-(IF($N67="X",ABS($O67-VALUE(MID(DZ67,FIND("|",DZ67)+1,FIND("-",DZ67)-FIND("|",DZ67)-1))),ABS($Q67-ABS(VALUE(MID(DZ67,FIND("|",DZ67)+1,FIND("-",DZ67)-FIND("|",DZ67)-1))-VALUE(MID(DZ67,FIND("-",DZ67)+1,10)))))*$D$50)))))*$I67,0)),0)</f>
        <v>0</v>
      </c>
      <c r="EB67" s="338"/>
      <c r="EC67" s="363"/>
      <c r="ED67" s="356" t="n">
        <f aca="false">IFERROR(IF($M67=EC67,($D$8+$D$9+$D$10)*$I67,IF($N67=LEFT(EC67,1),($D$8+MAX(0,IF($D$50=1,$D$9*(1-(ABS($Q67-ABS(VALUE(MID(EC67,FIND("|",EC67)+1,FIND("-",EC67)-FIND("|",EC67)-1))-VALUE(MID(EC67,FIND("-",EC67)+1,10)))))*$D$50),$D$9*(1-(IF($N67="X",ABS($O67-VALUE(MID(EC67,FIND("|",EC67)+1,FIND("-",EC67)-FIND("|",EC67)-1))),ABS($Q67-ABS(VALUE(MID(EC67,FIND("|",EC67)+1,FIND("-",EC67)-FIND("|",EC67)-1))-VALUE(MID(EC67,FIND("-",EC67)+1,10)))))*$D$50)))))*$I67,0)),0)</f>
        <v>0</v>
      </c>
      <c r="EE67" s="338"/>
      <c r="EF67" s="363"/>
      <c r="EG67" s="356" t="n">
        <f aca="false">IFERROR(IF($M67=EF67,($D$8+$D$9+$D$10)*$I67,IF($N67=LEFT(EF67,1),($D$8+MAX(0,IF($D$50=1,$D$9*(1-(ABS($Q67-ABS(VALUE(MID(EF67,FIND("|",EF67)+1,FIND("-",EF67)-FIND("|",EF67)-1))-VALUE(MID(EF67,FIND("-",EF67)+1,10)))))*$D$50),$D$9*(1-(IF($N67="X",ABS($O67-VALUE(MID(EF67,FIND("|",EF67)+1,FIND("-",EF67)-FIND("|",EF67)-1))),ABS($Q67-ABS(VALUE(MID(EF67,FIND("|",EF67)+1,FIND("-",EF67)-FIND("|",EF67)-1))-VALUE(MID(EF67,FIND("-",EF67)+1,10)))))*$D$50)))))*$I67,0)),0)</f>
        <v>0</v>
      </c>
      <c r="EH67" s="338"/>
      <c r="EI67" s="338"/>
    </row>
    <row r="68" customFormat="false" ht="15" hidden="false" customHeight="false" outlineLevel="0" collapsed="false">
      <c r="A68" s="327"/>
      <c r="B68" s="327"/>
      <c r="C68" s="248"/>
      <c r="D68" s="248"/>
      <c r="E68" s="327"/>
      <c r="F68" s="394" t="n">
        <f aca="false">SUM($D$8:$D$10)*I68</f>
        <v>17</v>
      </c>
      <c r="G68" s="394" t="n">
        <f aca="false">VLOOKUP(H68,Equipos!$Q$1:$R$25,2,0)</f>
        <v>17</v>
      </c>
      <c r="H68" s="395" t="n">
        <f aca="false">TRUNC(INDEX(WORLDCUP!$X$4:$X$147,MATCH(ADMIN!K68,WORLDCUP!$DT$4:$DT$147,0))+INDEX(Horarios!$R$3:$R$86,MATCH(Horarios!$C$3,Horarios!$P$3:$P$86,0))/24)</f>
        <v>46200</v>
      </c>
      <c r="I68" s="352" t="n">
        <v>1</v>
      </c>
      <c r="J68" s="362" t="s">
        <v>324</v>
      </c>
      <c r="K68" s="367" t="str">
        <f aca="false">CONCATENATE(WORLDCUP!AA64,"-",WORLDCUP!AF64)</f>
        <v>Cabo Verde-Arabia Saudita</v>
      </c>
      <c r="L68" s="354"/>
      <c r="M68" s="359" t="str">
        <f aca="false">IF(OR(WORLDCUP!AC64="",WORLDCUP!AD64=""),"-",N68&amp;"|"&amp;O68&amp;"-"&amp;P68)</f>
        <v>-</v>
      </c>
      <c r="N68" s="332" t="str">
        <f aca="false">IF(OR(WORLDCUP!AC64="",WORLDCUP!AD64=""),"",IF(WORLDCUP!AC64&gt;WORLDCUP!AD64,"1",IF(WORLDCUP!AC64&lt;WORLDCUP!AD64,"2","X")))</f>
        <v/>
      </c>
      <c r="O68" s="332" t="n">
        <f aca="false">WORLDCUP!AC64</f>
        <v>0</v>
      </c>
      <c r="P68" s="332" t="n">
        <f aca="false">WORLDCUP!AD64</f>
        <v>0</v>
      </c>
      <c r="Q68" s="332" t="n">
        <f aca="false">ABS(O68-P68)</f>
        <v>0</v>
      </c>
      <c r="R68" s="327"/>
      <c r="S68" s="363" t="s">
        <v>277</v>
      </c>
      <c r="T68" s="356" t="n">
        <f aca="false">IFERROR(IF($M68=S68,($D$8+$D$9+$D$10)*$I68,IF($N68=LEFT(S68,1),($D$8+MAX(0,IF($D$50=1,$D$9*(1-(ABS($Q68-ABS(VALUE(MID(S68,FIND("|",S68)+1,FIND("-",S68)-FIND("|",S68)-1))-VALUE(MID(S68,FIND("-",S68)+1,10)))))*$D$50),$D$9*(1-(IF($N68="X",ABS($O68-VALUE(MID(S68,FIND("|",S68)+1,FIND("-",S68)-FIND("|",S68)-1))),ABS($Q68-ABS(VALUE(MID(S68,FIND("|",S68)+1,FIND("-",S68)-FIND("|",S68)-1))-VALUE(MID(S68,FIND("-",S68)+1,10)))))*$D$50)))))*$I68,0)),0)</f>
        <v>0</v>
      </c>
      <c r="U68" s="338"/>
      <c r="V68" s="363" t="s">
        <v>267</v>
      </c>
      <c r="W68" s="356" t="n">
        <f aca="false">IFERROR(IF($M68=V68,($D$8+$D$9+$D$10)*$I68,IF($N68=LEFT(V68,1),($D$8+MAX(0,IF($D$50=1,$D$9*(1-(ABS($Q68-ABS(VALUE(MID(V68,FIND("|",V68)+1,FIND("-",V68)-FIND("|",V68)-1))-VALUE(MID(V68,FIND("-",V68)+1,10)))))*$D$50),$D$9*(1-(IF($N68="X",ABS($O68-VALUE(MID(V68,FIND("|",V68)+1,FIND("-",V68)-FIND("|",V68)-1))),ABS($Q68-ABS(VALUE(MID(V68,FIND("|",V68)+1,FIND("-",V68)-FIND("|",V68)-1))-VALUE(MID(V68,FIND("-",V68)+1,10)))))*$D$50)))))*$I68,0)),0)</f>
        <v>0</v>
      </c>
      <c r="X68" s="338"/>
      <c r="Y68" s="363" t="s">
        <v>267</v>
      </c>
      <c r="Z68" s="356" t="n">
        <f aca="false">IFERROR(IF($M68=Y68,($D$8+$D$9+$D$10)*$I68,IF($N68=LEFT(Y68,1),($D$8+MAX(0,IF($D$50=1,$D$9*(1-(ABS($Q68-ABS(VALUE(MID(Y68,FIND("|",Y68)+1,FIND("-",Y68)-FIND("|",Y68)-1))-VALUE(MID(Y68,FIND("-",Y68)+1,10)))))*$D$50),$D$9*(1-(IF($N68="X",ABS($O68-VALUE(MID(Y68,FIND("|",Y68)+1,FIND("-",Y68)-FIND("|",Y68)-1))),ABS($Q68-ABS(VALUE(MID(Y68,FIND("|",Y68)+1,FIND("-",Y68)-FIND("|",Y68)-1))-VALUE(MID(Y68,FIND("-",Y68)+1,10)))))*$D$50)))))*$I68,0)),0)</f>
        <v>0</v>
      </c>
      <c r="AA68" s="338"/>
      <c r="AB68" s="363" t="s">
        <v>275</v>
      </c>
      <c r="AC68" s="356" t="n">
        <f aca="false">IFERROR(IF($M68=AB68,($D$8+$D$9+$D$10)*$I68,IF($N68=LEFT(AB68,1),($D$8+MAX(0,IF($D$50=1,$D$9*(1-(ABS($Q68-ABS(VALUE(MID(AB68,FIND("|",AB68)+1,FIND("-",AB68)-FIND("|",AB68)-1))-VALUE(MID(AB68,FIND("-",AB68)+1,10)))))*$D$50),$D$9*(1-(IF($N68="X",ABS($O68-VALUE(MID(AB68,FIND("|",AB68)+1,FIND("-",AB68)-FIND("|",AB68)-1))),ABS($Q68-ABS(VALUE(MID(AB68,FIND("|",AB68)+1,FIND("-",AB68)-FIND("|",AB68)-1))-VALUE(MID(AB68,FIND("-",AB68)+1,10)))))*$D$50)))))*$I68,0)),0)</f>
        <v>0</v>
      </c>
      <c r="AD68" s="338"/>
      <c r="AE68" s="363" t="s">
        <v>271</v>
      </c>
      <c r="AF68" s="356" t="n">
        <f aca="false">IFERROR(IF($M68=AE68,($D$8+$D$9+$D$10)*$I68,IF($N68=LEFT(AE68,1),($D$8+MAX(0,IF($D$50=1,$D$9*(1-(ABS($Q68-ABS(VALUE(MID(AE68,FIND("|",AE68)+1,FIND("-",AE68)-FIND("|",AE68)-1))-VALUE(MID(AE68,FIND("-",AE68)+1,10)))))*$D$50),$D$9*(1-(IF($N68="X",ABS($O68-VALUE(MID(AE68,FIND("|",AE68)+1,FIND("-",AE68)-FIND("|",AE68)-1))),ABS($Q68-ABS(VALUE(MID(AE68,FIND("|",AE68)+1,FIND("-",AE68)-FIND("|",AE68)-1))-VALUE(MID(AE68,FIND("-",AE68)+1,10)))))*$D$50)))))*$I68,0)),0)</f>
        <v>0</v>
      </c>
      <c r="AG68" s="338"/>
      <c r="AH68" s="363" t="s">
        <v>271</v>
      </c>
      <c r="AI68" s="356" t="n">
        <f aca="false">IFERROR(IF($M68=AH68,($D$8+$D$9+$D$10)*$I68,IF($N68=LEFT(AH68,1),($D$8+MAX(0,IF($D$50=1,$D$9*(1-(ABS($Q68-ABS(VALUE(MID(AH68,FIND("|",AH68)+1,FIND("-",AH68)-FIND("|",AH68)-1))-VALUE(MID(AH68,FIND("-",AH68)+1,10)))))*$D$50),$D$9*(1-(IF($N68="X",ABS($O68-VALUE(MID(AH68,FIND("|",AH68)+1,FIND("-",AH68)-FIND("|",AH68)-1))),ABS($Q68-ABS(VALUE(MID(AH68,FIND("|",AH68)+1,FIND("-",AH68)-FIND("|",AH68)-1))-VALUE(MID(AH68,FIND("-",AH68)+1,10)))))*$D$50)))))*$I68,0)),0)</f>
        <v>0</v>
      </c>
      <c r="AJ68" s="338"/>
      <c r="AK68" s="363" t="s">
        <v>267</v>
      </c>
      <c r="AL68" s="356" t="n">
        <f aca="false">IFERROR(IF($M68=AK68,($D$8+$D$9+$D$10)*$I68,IF($N68=LEFT(AK68,1),($D$8+MAX(0,IF($D$50=1,$D$9*(1-(ABS($Q68-ABS(VALUE(MID(AK68,FIND("|",AK68)+1,FIND("-",AK68)-FIND("|",AK68)-1))-VALUE(MID(AK68,FIND("-",AK68)+1,10)))))*$D$50),$D$9*(1-(IF($N68="X",ABS($O68-VALUE(MID(AK68,FIND("|",AK68)+1,FIND("-",AK68)-FIND("|",AK68)-1))),ABS($Q68-ABS(VALUE(MID(AK68,FIND("|",AK68)+1,FIND("-",AK68)-FIND("|",AK68)-1))-VALUE(MID(AK68,FIND("-",AK68)+1,10)))))*$D$50)))))*$I68,0)),0)</f>
        <v>0</v>
      </c>
      <c r="AM68" s="338"/>
      <c r="AN68" s="363" t="s">
        <v>271</v>
      </c>
      <c r="AO68" s="356" t="n">
        <f aca="false">IFERROR(IF($M68=AN68,($D$8+$D$9+$D$10)*$I68,IF($N68=LEFT(AN68,1),($D$8+MAX(0,IF($D$50=1,$D$9*(1-(ABS($Q68-ABS(VALUE(MID(AN68,FIND("|",AN68)+1,FIND("-",AN68)-FIND("|",AN68)-1))-VALUE(MID(AN68,FIND("-",AN68)+1,10)))))*$D$50),$D$9*(1-(IF($N68="X",ABS($O68-VALUE(MID(AN68,FIND("|",AN68)+1,FIND("-",AN68)-FIND("|",AN68)-1))),ABS($Q68-ABS(VALUE(MID(AN68,FIND("|",AN68)+1,FIND("-",AN68)-FIND("|",AN68)-1))-VALUE(MID(AN68,FIND("-",AN68)+1,10)))))*$D$50)))))*$I68,0)),0)</f>
        <v>0</v>
      </c>
      <c r="AP68" s="338"/>
      <c r="AQ68" s="363" t="s">
        <v>277</v>
      </c>
      <c r="AR68" s="356" t="n">
        <f aca="false">IFERROR(IF($M68=AQ68,($D$8+$D$9+$D$10)*$I68,IF($N68=LEFT(AQ68,1),($D$8+MAX(0,IF($D$50=1,$D$9*(1-(ABS($Q68-ABS(VALUE(MID(AQ68,FIND("|",AQ68)+1,FIND("-",AQ68)-FIND("|",AQ68)-1))-VALUE(MID(AQ68,FIND("-",AQ68)+1,10)))))*$D$50),$D$9*(1-(IF($N68="X",ABS($O68-VALUE(MID(AQ68,FIND("|",AQ68)+1,FIND("-",AQ68)-FIND("|",AQ68)-1))),ABS($Q68-ABS(VALUE(MID(AQ68,FIND("|",AQ68)+1,FIND("-",AQ68)-FIND("|",AQ68)-1))-VALUE(MID(AQ68,FIND("-",AQ68)+1,10)))))*$D$50)))))*$I68,0)),0)</f>
        <v>0</v>
      </c>
      <c r="AS68" s="338"/>
      <c r="AT68" s="363" t="s">
        <v>268</v>
      </c>
      <c r="AU68" s="356" t="n">
        <f aca="false">IFERROR(IF($M68=AT68,($D$8+$D$9+$D$10)*$I68,IF($N68=LEFT(AT68,1),($D$8+MAX(0,IF($D$50=1,$D$9*(1-(ABS($Q68-ABS(VALUE(MID(AT68,FIND("|",AT68)+1,FIND("-",AT68)-FIND("|",AT68)-1))-VALUE(MID(AT68,FIND("-",AT68)+1,10)))))*$D$50),$D$9*(1-(IF($N68="X",ABS($O68-VALUE(MID(AT68,FIND("|",AT68)+1,FIND("-",AT68)-FIND("|",AT68)-1))),ABS($Q68-ABS(VALUE(MID(AT68,FIND("|",AT68)+1,FIND("-",AT68)-FIND("|",AT68)-1))-VALUE(MID(AT68,FIND("-",AT68)+1,10)))))*$D$50)))))*$I68,0)),0)</f>
        <v>0</v>
      </c>
      <c r="AV68" s="338"/>
      <c r="AW68" s="363" t="s">
        <v>267</v>
      </c>
      <c r="AX68" s="356" t="n">
        <f aca="false">IFERROR(IF($M68=AW68,($D$8+$D$9+$D$10)*$I68,IF($N68=LEFT(AW68,1),($D$8+MAX(0,IF($D$50=1,$D$9*(1-(ABS($Q68-ABS(VALUE(MID(AW68,FIND("|",AW68)+1,FIND("-",AW68)-FIND("|",AW68)-1))-VALUE(MID(AW68,FIND("-",AW68)+1,10)))))*$D$50),$D$9*(1-(IF($N68="X",ABS($O68-VALUE(MID(AW68,FIND("|",AW68)+1,FIND("-",AW68)-FIND("|",AW68)-1))),ABS($Q68-ABS(VALUE(MID(AW68,FIND("|",AW68)+1,FIND("-",AW68)-FIND("|",AW68)-1))-VALUE(MID(AW68,FIND("-",AW68)+1,10)))))*$D$50)))))*$I68,0)),0)</f>
        <v>0</v>
      </c>
      <c r="AY68" s="338"/>
      <c r="AZ68" s="363" t="s">
        <v>267</v>
      </c>
      <c r="BA68" s="356" t="n">
        <f aca="false">IFERROR(IF($M68=AZ68,($D$8+$D$9+$D$10)*$I68,IF($N68=LEFT(AZ68,1),($D$8+MAX(0,IF($D$50=1,$D$9*(1-(ABS($Q68-ABS(VALUE(MID(AZ68,FIND("|",AZ68)+1,FIND("-",AZ68)-FIND("|",AZ68)-1))-VALUE(MID(AZ68,FIND("-",AZ68)+1,10)))))*$D$50),$D$9*(1-(IF($N68="X",ABS($O68-VALUE(MID(AZ68,FIND("|",AZ68)+1,FIND("-",AZ68)-FIND("|",AZ68)-1))),ABS($Q68-ABS(VALUE(MID(AZ68,FIND("|",AZ68)+1,FIND("-",AZ68)-FIND("|",AZ68)-1))-VALUE(MID(AZ68,FIND("-",AZ68)+1,10)))))*$D$50)))))*$I68,0)),0)</f>
        <v>0</v>
      </c>
      <c r="BB68" s="338"/>
      <c r="BC68" s="363" t="s">
        <v>277</v>
      </c>
      <c r="BD68" s="356" t="n">
        <f aca="false">IFERROR(IF($M68=BC68,($D$8+$D$9+$D$10)*$I68,IF($N68=LEFT(BC68,1),($D$8+MAX(0,IF($D$50=1,$D$9*(1-(ABS($Q68-ABS(VALUE(MID(BC68,FIND("|",BC68)+1,FIND("-",BC68)-FIND("|",BC68)-1))-VALUE(MID(BC68,FIND("-",BC68)+1,10)))))*$D$50),$D$9*(1-(IF($N68="X",ABS($O68-VALUE(MID(BC68,FIND("|",BC68)+1,FIND("-",BC68)-FIND("|",BC68)-1))),ABS($Q68-ABS(VALUE(MID(BC68,FIND("|",BC68)+1,FIND("-",BC68)-FIND("|",BC68)-1))-VALUE(MID(BC68,FIND("-",BC68)+1,10)))))*$D$50)))))*$I68,0)),0)</f>
        <v>0</v>
      </c>
      <c r="BE68" s="338"/>
      <c r="BF68" s="363" t="s">
        <v>275</v>
      </c>
      <c r="BG68" s="356" t="n">
        <f aca="false">IFERROR(IF($M68=BF68,($D$8+$D$9+$D$10)*$I68,IF($N68=LEFT(BF68,1),($D$8+MAX(0,IF($D$50=1,$D$9*(1-(ABS($Q68-ABS(VALUE(MID(BF68,FIND("|",BF68)+1,FIND("-",BF68)-FIND("|",BF68)-1))-VALUE(MID(BF68,FIND("-",BF68)+1,10)))))*$D$50),$D$9*(1-(IF($N68="X",ABS($O68-VALUE(MID(BF68,FIND("|",BF68)+1,FIND("-",BF68)-FIND("|",BF68)-1))),ABS($Q68-ABS(VALUE(MID(BF68,FIND("|",BF68)+1,FIND("-",BF68)-FIND("|",BF68)-1))-VALUE(MID(BF68,FIND("-",BF68)+1,10)))))*$D$50)))))*$I68,0)),0)</f>
        <v>0</v>
      </c>
      <c r="BH68" s="338"/>
      <c r="BI68" s="363" t="s">
        <v>265</v>
      </c>
      <c r="BJ68" s="356" t="n">
        <f aca="false">IFERROR(IF($M68=BI68,($D$8+$D$9+$D$10)*$I68,IF($N68=LEFT(BI68,1),($D$8+MAX(0,IF($D$50=1,$D$9*(1-(ABS($Q68-ABS(VALUE(MID(BI68,FIND("|",BI68)+1,FIND("-",BI68)-FIND("|",BI68)-1))-VALUE(MID(BI68,FIND("-",BI68)+1,10)))))*$D$50),$D$9*(1-(IF($N68="X",ABS($O68-VALUE(MID(BI68,FIND("|",BI68)+1,FIND("-",BI68)-FIND("|",BI68)-1))),ABS($Q68-ABS(VALUE(MID(BI68,FIND("|",BI68)+1,FIND("-",BI68)-FIND("|",BI68)-1))-VALUE(MID(BI68,FIND("-",BI68)+1,10)))))*$D$50)))))*$I68,0)),0)</f>
        <v>0</v>
      </c>
      <c r="BK68" s="338"/>
      <c r="BL68" s="363" t="s">
        <v>274</v>
      </c>
      <c r="BM68" s="356" t="n">
        <f aca="false">IFERROR(IF($M68=BL68,($D$8+$D$9+$D$10)*$I68,IF($N68=LEFT(BL68,1),($D$8+MAX(0,IF($D$50=1,$D$9*(1-(ABS($Q68-ABS(VALUE(MID(BL68,FIND("|",BL68)+1,FIND("-",BL68)-FIND("|",BL68)-1))-VALUE(MID(BL68,FIND("-",BL68)+1,10)))))*$D$50),$D$9*(1-(IF($N68="X",ABS($O68-VALUE(MID(BL68,FIND("|",BL68)+1,FIND("-",BL68)-FIND("|",BL68)-1))),ABS($Q68-ABS(VALUE(MID(BL68,FIND("|",BL68)+1,FIND("-",BL68)-FIND("|",BL68)-1))-VALUE(MID(BL68,FIND("-",BL68)+1,10)))))*$D$50)))))*$I68,0)),0)</f>
        <v>0</v>
      </c>
      <c r="BN68" s="338"/>
      <c r="BO68" s="363" t="s">
        <v>277</v>
      </c>
      <c r="BP68" s="356" t="n">
        <f aca="false">IFERROR(IF($M68=BO68,($D$8+$D$9+$D$10)*$I68,IF($N68=LEFT(BO68,1),($D$8+MAX(0,IF($D$50=1,$D$9*(1-(ABS($Q68-ABS(VALUE(MID(BO68,FIND("|",BO68)+1,FIND("-",BO68)-FIND("|",BO68)-1))-VALUE(MID(BO68,FIND("-",BO68)+1,10)))))*$D$50),$D$9*(1-(IF($N68="X",ABS($O68-VALUE(MID(BO68,FIND("|",BO68)+1,FIND("-",BO68)-FIND("|",BO68)-1))),ABS($Q68-ABS(VALUE(MID(BO68,FIND("|",BO68)+1,FIND("-",BO68)-FIND("|",BO68)-1))-VALUE(MID(BO68,FIND("-",BO68)+1,10)))))*$D$50)))))*$I68,0)),0)</f>
        <v>0</v>
      </c>
      <c r="BQ68" s="338"/>
      <c r="BR68" s="363" t="s">
        <v>271</v>
      </c>
      <c r="BS68" s="356" t="n">
        <f aca="false">IFERROR(IF($M68=BR68,($D$8+$D$9+$D$10)*$I68,IF($N68=LEFT(BR68,1),($D$8+MAX(0,IF($D$50=1,$D$9*(1-(ABS($Q68-ABS(VALUE(MID(BR68,FIND("|",BR68)+1,FIND("-",BR68)-FIND("|",BR68)-1))-VALUE(MID(BR68,FIND("-",BR68)+1,10)))))*$D$50),$D$9*(1-(IF($N68="X",ABS($O68-VALUE(MID(BR68,FIND("|",BR68)+1,FIND("-",BR68)-FIND("|",BR68)-1))),ABS($Q68-ABS(VALUE(MID(BR68,FIND("|",BR68)+1,FIND("-",BR68)-FIND("|",BR68)-1))-VALUE(MID(BR68,FIND("-",BR68)+1,10)))))*$D$50)))))*$I68,0)),0)</f>
        <v>0</v>
      </c>
      <c r="BT68" s="338"/>
      <c r="BU68" s="363"/>
      <c r="BV68" s="356" t="n">
        <f aca="false">IFERROR(IF($M68=BU68,($D$8+$D$9+$D$10)*$I68,IF($N68=LEFT(BU68,1),($D$8+MAX(0,IF($D$50=1,$D$9*(1-(ABS($Q68-ABS(VALUE(MID(BU68,FIND("|",BU68)+1,FIND("-",BU68)-FIND("|",BU68)-1))-VALUE(MID(BU68,FIND("-",BU68)+1,10)))))*$D$50),$D$9*(1-(IF($N68="X",ABS($O68-VALUE(MID(BU68,FIND("|",BU68)+1,FIND("-",BU68)-FIND("|",BU68)-1))),ABS($Q68-ABS(VALUE(MID(BU68,FIND("|",BU68)+1,FIND("-",BU68)-FIND("|",BU68)-1))-VALUE(MID(BU68,FIND("-",BU68)+1,10)))))*$D$50)))))*$I68,0)),0)</f>
        <v>0</v>
      </c>
      <c r="BW68" s="338"/>
      <c r="BX68" s="363"/>
      <c r="BY68" s="356" t="n">
        <f aca="false">IFERROR(IF($M68=BX68,($D$8+$D$9+$D$10)*$I68,IF($N68=LEFT(BX68,1),($D$8+MAX(0,IF($D$50=1,$D$9*(1-(ABS($Q68-ABS(VALUE(MID(BX68,FIND("|",BX68)+1,FIND("-",BX68)-FIND("|",BX68)-1))-VALUE(MID(BX68,FIND("-",BX68)+1,10)))))*$D$50),$D$9*(1-(IF($N68="X",ABS($O68-VALUE(MID(BX68,FIND("|",BX68)+1,FIND("-",BX68)-FIND("|",BX68)-1))),ABS($Q68-ABS(VALUE(MID(BX68,FIND("|",BX68)+1,FIND("-",BX68)-FIND("|",BX68)-1))-VALUE(MID(BX68,FIND("-",BX68)+1,10)))))*$D$50)))))*$I68,0)),0)</f>
        <v>0</v>
      </c>
      <c r="BZ68" s="338"/>
      <c r="CA68" s="363"/>
      <c r="CB68" s="356" t="n">
        <f aca="false">IFERROR(IF($M68=CA68,($D$8+$D$9+$D$10)*$I68,IF($N68=LEFT(CA68,1),($D$8+MAX(0,IF($D$50=1,$D$9*(1-(ABS($Q68-ABS(VALUE(MID(CA68,FIND("|",CA68)+1,FIND("-",CA68)-FIND("|",CA68)-1))-VALUE(MID(CA68,FIND("-",CA68)+1,10)))))*$D$50),$D$9*(1-(IF($N68="X",ABS($O68-VALUE(MID(CA68,FIND("|",CA68)+1,FIND("-",CA68)-FIND("|",CA68)-1))),ABS($Q68-ABS(VALUE(MID(CA68,FIND("|",CA68)+1,FIND("-",CA68)-FIND("|",CA68)-1))-VALUE(MID(CA68,FIND("-",CA68)+1,10)))))*$D$50)))))*$I68,0)),0)</f>
        <v>0</v>
      </c>
      <c r="CC68" s="338"/>
      <c r="CD68" s="363"/>
      <c r="CE68" s="356" t="n">
        <f aca="false">IFERROR(IF($M68=CD68,($D$8+$D$9+$D$10)*$I68,IF($N68=LEFT(CD68,1),($D$8+MAX(0,IF($D$50=1,$D$9*(1-(ABS($Q68-ABS(VALUE(MID(CD68,FIND("|",CD68)+1,FIND("-",CD68)-FIND("|",CD68)-1))-VALUE(MID(CD68,FIND("-",CD68)+1,10)))))*$D$50),$D$9*(1-(IF($N68="X",ABS($O68-VALUE(MID(CD68,FIND("|",CD68)+1,FIND("-",CD68)-FIND("|",CD68)-1))),ABS($Q68-ABS(VALUE(MID(CD68,FIND("|",CD68)+1,FIND("-",CD68)-FIND("|",CD68)-1))-VALUE(MID(CD68,FIND("-",CD68)+1,10)))))*$D$50)))))*$I68,0)),0)</f>
        <v>0</v>
      </c>
      <c r="CF68" s="338"/>
      <c r="CG68" s="363"/>
      <c r="CH68" s="356" t="n">
        <f aca="false">IFERROR(IF($M68=CG68,($D$8+$D$9+$D$10)*$I68,IF($N68=LEFT(CG68,1),($D$8+MAX(0,IF($D$50=1,$D$9*(1-(ABS($Q68-ABS(VALUE(MID(CG68,FIND("|",CG68)+1,FIND("-",CG68)-FIND("|",CG68)-1))-VALUE(MID(CG68,FIND("-",CG68)+1,10)))))*$D$50),$D$9*(1-(IF($N68="X",ABS($O68-VALUE(MID(CG68,FIND("|",CG68)+1,FIND("-",CG68)-FIND("|",CG68)-1))),ABS($Q68-ABS(VALUE(MID(CG68,FIND("|",CG68)+1,FIND("-",CG68)-FIND("|",CG68)-1))-VALUE(MID(CG68,FIND("-",CG68)+1,10)))))*$D$50)))))*$I68,0)),0)</f>
        <v>0</v>
      </c>
      <c r="CI68" s="338"/>
      <c r="CJ68" s="363"/>
      <c r="CK68" s="356" t="n">
        <f aca="false">IFERROR(IF($M68=CJ68,($D$8+$D$9+$D$10)*$I68,IF($N68=LEFT(CJ68,1),($D$8+MAX(0,IF($D$50=1,$D$9*(1-(ABS($Q68-ABS(VALUE(MID(CJ68,FIND("|",CJ68)+1,FIND("-",CJ68)-FIND("|",CJ68)-1))-VALUE(MID(CJ68,FIND("-",CJ68)+1,10)))))*$D$50),$D$9*(1-(IF($N68="X",ABS($O68-VALUE(MID(CJ68,FIND("|",CJ68)+1,FIND("-",CJ68)-FIND("|",CJ68)-1))),ABS($Q68-ABS(VALUE(MID(CJ68,FIND("|",CJ68)+1,FIND("-",CJ68)-FIND("|",CJ68)-1))-VALUE(MID(CJ68,FIND("-",CJ68)+1,10)))))*$D$50)))))*$I68,0)),0)</f>
        <v>0</v>
      </c>
      <c r="CL68" s="338"/>
      <c r="CM68" s="363"/>
      <c r="CN68" s="356" t="n">
        <f aca="false">IFERROR(IF($M68=CM68,($D$8+$D$9+$D$10)*$I68,IF($N68=LEFT(CM68,1),($D$8+MAX(0,IF($D$50=1,$D$9*(1-(ABS($Q68-ABS(VALUE(MID(CM68,FIND("|",CM68)+1,FIND("-",CM68)-FIND("|",CM68)-1))-VALUE(MID(CM68,FIND("-",CM68)+1,10)))))*$D$50),$D$9*(1-(IF($N68="X",ABS($O68-VALUE(MID(CM68,FIND("|",CM68)+1,FIND("-",CM68)-FIND("|",CM68)-1))),ABS($Q68-ABS(VALUE(MID(CM68,FIND("|",CM68)+1,FIND("-",CM68)-FIND("|",CM68)-1))-VALUE(MID(CM68,FIND("-",CM68)+1,10)))))*$D$50)))))*$I68,0)),0)</f>
        <v>0</v>
      </c>
      <c r="CO68" s="338"/>
      <c r="CP68" s="363"/>
      <c r="CQ68" s="356" t="n">
        <f aca="false">IFERROR(IF($M68=CP68,($D$8+$D$9+$D$10)*$I68,IF($N68=LEFT(CP68,1),($D$8+MAX(0,IF($D$50=1,$D$9*(1-(ABS($Q68-ABS(VALUE(MID(CP68,FIND("|",CP68)+1,FIND("-",CP68)-FIND("|",CP68)-1))-VALUE(MID(CP68,FIND("-",CP68)+1,10)))))*$D$50),$D$9*(1-(IF($N68="X",ABS($O68-VALUE(MID(CP68,FIND("|",CP68)+1,FIND("-",CP68)-FIND("|",CP68)-1))),ABS($Q68-ABS(VALUE(MID(CP68,FIND("|",CP68)+1,FIND("-",CP68)-FIND("|",CP68)-1))-VALUE(MID(CP68,FIND("-",CP68)+1,10)))))*$D$50)))))*$I68,0)),0)</f>
        <v>0</v>
      </c>
      <c r="CR68" s="338"/>
      <c r="CS68" s="363"/>
      <c r="CT68" s="356" t="n">
        <f aca="false">IFERROR(IF($M68=CS68,($D$8+$D$9+$D$10)*$I68,IF($N68=LEFT(CS68,1),($D$8+MAX(0,IF($D$50=1,$D$9*(1-(ABS($Q68-ABS(VALUE(MID(CS68,FIND("|",CS68)+1,FIND("-",CS68)-FIND("|",CS68)-1))-VALUE(MID(CS68,FIND("-",CS68)+1,10)))))*$D$50),$D$9*(1-(IF($N68="X",ABS($O68-VALUE(MID(CS68,FIND("|",CS68)+1,FIND("-",CS68)-FIND("|",CS68)-1))),ABS($Q68-ABS(VALUE(MID(CS68,FIND("|",CS68)+1,FIND("-",CS68)-FIND("|",CS68)-1))-VALUE(MID(CS68,FIND("-",CS68)+1,10)))))*$D$50)))))*$I68,0)),0)</f>
        <v>0</v>
      </c>
      <c r="CU68" s="338"/>
      <c r="CV68" s="363"/>
      <c r="CW68" s="356" t="n">
        <f aca="false">IFERROR(IF($M68=CV68,($D$8+$D$9+$D$10)*$I68,IF($N68=LEFT(CV68,1),($D$8+MAX(0,IF($D$50=1,$D$9*(1-(ABS($Q68-ABS(VALUE(MID(CV68,FIND("|",CV68)+1,FIND("-",CV68)-FIND("|",CV68)-1))-VALUE(MID(CV68,FIND("-",CV68)+1,10)))))*$D$50),$D$9*(1-(IF($N68="X",ABS($O68-VALUE(MID(CV68,FIND("|",CV68)+1,FIND("-",CV68)-FIND("|",CV68)-1))),ABS($Q68-ABS(VALUE(MID(CV68,FIND("|",CV68)+1,FIND("-",CV68)-FIND("|",CV68)-1))-VALUE(MID(CV68,FIND("-",CV68)+1,10)))))*$D$50)))))*$I68,0)),0)</f>
        <v>0</v>
      </c>
      <c r="CX68" s="338"/>
      <c r="CY68" s="363"/>
      <c r="CZ68" s="356" t="n">
        <f aca="false">IFERROR(IF($M68=CY68,($D$8+$D$9+$D$10)*$I68,IF($N68=LEFT(CY68,1),($D$8+MAX(0,IF($D$50=1,$D$9*(1-(ABS($Q68-ABS(VALUE(MID(CY68,FIND("|",CY68)+1,FIND("-",CY68)-FIND("|",CY68)-1))-VALUE(MID(CY68,FIND("-",CY68)+1,10)))))*$D$50),$D$9*(1-(IF($N68="X",ABS($O68-VALUE(MID(CY68,FIND("|",CY68)+1,FIND("-",CY68)-FIND("|",CY68)-1))),ABS($Q68-ABS(VALUE(MID(CY68,FIND("|",CY68)+1,FIND("-",CY68)-FIND("|",CY68)-1))-VALUE(MID(CY68,FIND("-",CY68)+1,10)))))*$D$50)))))*$I68,0)),0)</f>
        <v>0</v>
      </c>
      <c r="DA68" s="338"/>
      <c r="DB68" s="363"/>
      <c r="DC68" s="356" t="n">
        <f aca="false">IFERROR(IF($M68=DB68,($D$8+$D$9+$D$10)*$I68,IF($N68=LEFT(DB68,1),($D$8+MAX(0,IF($D$50=1,$D$9*(1-(ABS($Q68-ABS(VALUE(MID(DB68,FIND("|",DB68)+1,FIND("-",DB68)-FIND("|",DB68)-1))-VALUE(MID(DB68,FIND("-",DB68)+1,10)))))*$D$50),$D$9*(1-(IF($N68="X",ABS($O68-VALUE(MID(DB68,FIND("|",DB68)+1,FIND("-",DB68)-FIND("|",DB68)-1))),ABS($Q68-ABS(VALUE(MID(DB68,FIND("|",DB68)+1,FIND("-",DB68)-FIND("|",DB68)-1))-VALUE(MID(DB68,FIND("-",DB68)+1,10)))))*$D$50)))))*$I68,0)),0)</f>
        <v>0</v>
      </c>
      <c r="DD68" s="338"/>
      <c r="DE68" s="363"/>
      <c r="DF68" s="356" t="n">
        <f aca="false">IFERROR(IF($M68=DE68,($D$8+$D$9+$D$10)*$I68,IF($N68=LEFT(DE68,1),($D$8+MAX(0,IF($D$50=1,$D$9*(1-(ABS($Q68-ABS(VALUE(MID(DE68,FIND("|",DE68)+1,FIND("-",DE68)-FIND("|",DE68)-1))-VALUE(MID(DE68,FIND("-",DE68)+1,10)))))*$D$50),$D$9*(1-(IF($N68="X",ABS($O68-VALUE(MID(DE68,FIND("|",DE68)+1,FIND("-",DE68)-FIND("|",DE68)-1))),ABS($Q68-ABS(VALUE(MID(DE68,FIND("|",DE68)+1,FIND("-",DE68)-FIND("|",DE68)-1))-VALUE(MID(DE68,FIND("-",DE68)+1,10)))))*$D$50)))))*$I68,0)),0)</f>
        <v>0</v>
      </c>
      <c r="DG68" s="338"/>
      <c r="DH68" s="363"/>
      <c r="DI68" s="356" t="n">
        <f aca="false">IFERROR(IF($M68=DH68,($D$8+$D$9+$D$10)*$I68,IF($N68=LEFT(DH68,1),($D$8+MAX(0,IF($D$50=1,$D$9*(1-(ABS($Q68-ABS(VALUE(MID(DH68,FIND("|",DH68)+1,FIND("-",DH68)-FIND("|",DH68)-1))-VALUE(MID(DH68,FIND("-",DH68)+1,10)))))*$D$50),$D$9*(1-(IF($N68="X",ABS($O68-VALUE(MID(DH68,FIND("|",DH68)+1,FIND("-",DH68)-FIND("|",DH68)-1))),ABS($Q68-ABS(VALUE(MID(DH68,FIND("|",DH68)+1,FIND("-",DH68)-FIND("|",DH68)-1))-VALUE(MID(DH68,FIND("-",DH68)+1,10)))))*$D$50)))))*$I68,0)),0)</f>
        <v>0</v>
      </c>
      <c r="DJ68" s="338"/>
      <c r="DK68" s="363"/>
      <c r="DL68" s="356" t="n">
        <f aca="false">IFERROR(IF($M68=DK68,($D$8+$D$9+$D$10)*$I68,IF($N68=LEFT(DK68,1),($D$8+MAX(0,IF($D$50=1,$D$9*(1-(ABS($Q68-ABS(VALUE(MID(DK68,FIND("|",DK68)+1,FIND("-",DK68)-FIND("|",DK68)-1))-VALUE(MID(DK68,FIND("-",DK68)+1,10)))))*$D$50),$D$9*(1-(IF($N68="X",ABS($O68-VALUE(MID(DK68,FIND("|",DK68)+1,FIND("-",DK68)-FIND("|",DK68)-1))),ABS($Q68-ABS(VALUE(MID(DK68,FIND("|",DK68)+1,FIND("-",DK68)-FIND("|",DK68)-1))-VALUE(MID(DK68,FIND("-",DK68)+1,10)))))*$D$50)))))*$I68,0)),0)</f>
        <v>0</v>
      </c>
      <c r="DM68" s="338"/>
      <c r="DN68" s="363"/>
      <c r="DO68" s="356" t="n">
        <f aca="false">IFERROR(IF($M68=DN68,($D$8+$D$9+$D$10)*$I68,IF($N68=LEFT(DN68,1),($D$8+MAX(0,IF($D$50=1,$D$9*(1-(ABS($Q68-ABS(VALUE(MID(DN68,FIND("|",DN68)+1,FIND("-",DN68)-FIND("|",DN68)-1))-VALUE(MID(DN68,FIND("-",DN68)+1,10)))))*$D$50),$D$9*(1-(IF($N68="X",ABS($O68-VALUE(MID(DN68,FIND("|",DN68)+1,FIND("-",DN68)-FIND("|",DN68)-1))),ABS($Q68-ABS(VALUE(MID(DN68,FIND("|",DN68)+1,FIND("-",DN68)-FIND("|",DN68)-1))-VALUE(MID(DN68,FIND("-",DN68)+1,10)))))*$D$50)))))*$I68,0)),0)</f>
        <v>0</v>
      </c>
      <c r="DP68" s="338"/>
      <c r="DQ68" s="363"/>
      <c r="DR68" s="356" t="n">
        <f aca="false">IFERROR(IF($M68=DQ68,($D$8+$D$9+$D$10)*$I68,IF($N68=LEFT(DQ68,1),($D$8+MAX(0,IF($D$50=1,$D$9*(1-(ABS($Q68-ABS(VALUE(MID(DQ68,FIND("|",DQ68)+1,FIND("-",DQ68)-FIND("|",DQ68)-1))-VALUE(MID(DQ68,FIND("-",DQ68)+1,10)))))*$D$50),$D$9*(1-(IF($N68="X",ABS($O68-VALUE(MID(DQ68,FIND("|",DQ68)+1,FIND("-",DQ68)-FIND("|",DQ68)-1))),ABS($Q68-ABS(VALUE(MID(DQ68,FIND("|",DQ68)+1,FIND("-",DQ68)-FIND("|",DQ68)-1))-VALUE(MID(DQ68,FIND("-",DQ68)+1,10)))))*$D$50)))))*$I68,0)),0)</f>
        <v>0</v>
      </c>
      <c r="DS68" s="338"/>
      <c r="DT68" s="363"/>
      <c r="DU68" s="356" t="n">
        <f aca="false">IFERROR(IF($M68=DT68,($D$8+$D$9+$D$10)*$I68,IF($N68=LEFT(DT68,1),($D$8+MAX(0,IF($D$50=1,$D$9*(1-(ABS($Q68-ABS(VALUE(MID(DT68,FIND("|",DT68)+1,FIND("-",DT68)-FIND("|",DT68)-1))-VALUE(MID(DT68,FIND("-",DT68)+1,10)))))*$D$50),$D$9*(1-(IF($N68="X",ABS($O68-VALUE(MID(DT68,FIND("|",DT68)+1,FIND("-",DT68)-FIND("|",DT68)-1))),ABS($Q68-ABS(VALUE(MID(DT68,FIND("|",DT68)+1,FIND("-",DT68)-FIND("|",DT68)-1))-VALUE(MID(DT68,FIND("-",DT68)+1,10)))))*$D$50)))))*$I68,0)),0)</f>
        <v>0</v>
      </c>
      <c r="DV68" s="338"/>
      <c r="DW68" s="363"/>
      <c r="DX68" s="356" t="n">
        <f aca="false">IFERROR(IF($M68=DW68,($D$8+$D$9+$D$10)*$I68,IF($N68=LEFT(DW68,1),($D$8+MAX(0,IF($D$50=1,$D$9*(1-(ABS($Q68-ABS(VALUE(MID(DW68,FIND("|",DW68)+1,FIND("-",DW68)-FIND("|",DW68)-1))-VALUE(MID(DW68,FIND("-",DW68)+1,10)))))*$D$50),$D$9*(1-(IF($N68="X",ABS($O68-VALUE(MID(DW68,FIND("|",DW68)+1,FIND("-",DW68)-FIND("|",DW68)-1))),ABS($Q68-ABS(VALUE(MID(DW68,FIND("|",DW68)+1,FIND("-",DW68)-FIND("|",DW68)-1))-VALUE(MID(DW68,FIND("-",DW68)+1,10)))))*$D$50)))))*$I68,0)),0)</f>
        <v>0</v>
      </c>
      <c r="DY68" s="338"/>
      <c r="DZ68" s="363"/>
      <c r="EA68" s="356" t="n">
        <f aca="false">IFERROR(IF($M68=DZ68,($D$8+$D$9+$D$10)*$I68,IF($N68=LEFT(DZ68,1),($D$8+MAX(0,IF($D$50=1,$D$9*(1-(ABS($Q68-ABS(VALUE(MID(DZ68,FIND("|",DZ68)+1,FIND("-",DZ68)-FIND("|",DZ68)-1))-VALUE(MID(DZ68,FIND("-",DZ68)+1,10)))))*$D$50),$D$9*(1-(IF($N68="X",ABS($O68-VALUE(MID(DZ68,FIND("|",DZ68)+1,FIND("-",DZ68)-FIND("|",DZ68)-1))),ABS($Q68-ABS(VALUE(MID(DZ68,FIND("|",DZ68)+1,FIND("-",DZ68)-FIND("|",DZ68)-1))-VALUE(MID(DZ68,FIND("-",DZ68)+1,10)))))*$D$50)))))*$I68,0)),0)</f>
        <v>0</v>
      </c>
      <c r="EB68" s="338"/>
      <c r="EC68" s="363"/>
      <c r="ED68" s="356" t="n">
        <f aca="false">IFERROR(IF($M68=EC68,($D$8+$D$9+$D$10)*$I68,IF($N68=LEFT(EC68,1),($D$8+MAX(0,IF($D$50=1,$D$9*(1-(ABS($Q68-ABS(VALUE(MID(EC68,FIND("|",EC68)+1,FIND("-",EC68)-FIND("|",EC68)-1))-VALUE(MID(EC68,FIND("-",EC68)+1,10)))))*$D$50),$D$9*(1-(IF($N68="X",ABS($O68-VALUE(MID(EC68,FIND("|",EC68)+1,FIND("-",EC68)-FIND("|",EC68)-1))),ABS($Q68-ABS(VALUE(MID(EC68,FIND("|",EC68)+1,FIND("-",EC68)-FIND("|",EC68)-1))-VALUE(MID(EC68,FIND("-",EC68)+1,10)))))*$D$50)))))*$I68,0)),0)</f>
        <v>0</v>
      </c>
      <c r="EE68" s="338"/>
      <c r="EF68" s="363"/>
      <c r="EG68" s="356" t="n">
        <f aca="false">IFERROR(IF($M68=EF68,($D$8+$D$9+$D$10)*$I68,IF($N68=LEFT(EF68,1),($D$8+MAX(0,IF($D$50=1,$D$9*(1-(ABS($Q68-ABS(VALUE(MID(EF68,FIND("|",EF68)+1,FIND("-",EF68)-FIND("|",EF68)-1))-VALUE(MID(EF68,FIND("-",EF68)+1,10)))))*$D$50),$D$9*(1-(IF($N68="X",ABS($O68-VALUE(MID(EF68,FIND("|",EF68)+1,FIND("-",EF68)-FIND("|",EF68)-1))),ABS($Q68-ABS(VALUE(MID(EF68,FIND("|",EF68)+1,FIND("-",EF68)-FIND("|",EF68)-1))-VALUE(MID(EF68,FIND("-",EF68)+1,10)))))*$D$50)))))*$I68,0)),0)</f>
        <v>0</v>
      </c>
      <c r="EH68" s="338"/>
      <c r="EI68" s="338"/>
    </row>
    <row r="69" customFormat="false" ht="15" hidden="false" customHeight="false" outlineLevel="0" collapsed="false">
      <c r="A69" s="327"/>
      <c r="B69" s="327"/>
      <c r="C69" s="248"/>
      <c r="D69" s="248"/>
      <c r="E69" s="327"/>
      <c r="F69" s="394" t="n">
        <f aca="false">SUM($D$8:$D$10)*I69</f>
        <v>17</v>
      </c>
      <c r="G69" s="394" t="n">
        <f aca="false">VLOOKUP(H69,Equipos!$Q$1:$R$25,2,0)</f>
        <v>17</v>
      </c>
      <c r="H69" s="395" t="n">
        <f aca="false">TRUNC(INDEX(WORLDCUP!$X$4:$X$147,MATCH(ADMIN!K69,WORLDCUP!$DT$4:$DT$147,0))+INDEX(Horarios!$R$3:$R$86,MATCH(Horarios!$C$3,Horarios!$P$3:$P$86,0))/24)</f>
        <v>46200</v>
      </c>
      <c r="I69" s="352" t="n">
        <v>1</v>
      </c>
      <c r="J69" s="362" t="s">
        <v>324</v>
      </c>
      <c r="K69" s="354" t="str">
        <f aca="false">CONCATENATE(WORLDCUP!AA65,"-",WORLDCUP!AF65)</f>
        <v>Uruguay-España</v>
      </c>
      <c r="L69" s="354"/>
      <c r="M69" s="354" t="str">
        <f aca="false">IF(OR(WORLDCUP!AC65="",WORLDCUP!AD65=""),"-",N69&amp;"|"&amp;O69&amp;"-"&amp;P69)</f>
        <v>-</v>
      </c>
      <c r="N69" s="332" t="str">
        <f aca="false">IF(OR(WORLDCUP!AC65="",WORLDCUP!AD65=""),"",IF(WORLDCUP!AC65&gt;WORLDCUP!AD65,"1",IF(WORLDCUP!AC65&lt;WORLDCUP!AD65,"2","X")))</f>
        <v/>
      </c>
      <c r="O69" s="332" t="n">
        <f aca="false">WORLDCUP!AC65</f>
        <v>0</v>
      </c>
      <c r="P69" s="332" t="n">
        <f aca="false">WORLDCUP!AD65</f>
        <v>0</v>
      </c>
      <c r="Q69" s="332" t="n">
        <f aca="false">ABS(O69-P69)</f>
        <v>0</v>
      </c>
      <c r="R69" s="327"/>
      <c r="S69" s="363" t="s">
        <v>267</v>
      </c>
      <c r="T69" s="356" t="n">
        <f aca="false">IFERROR(IF($M69=S69,($D$8+$D$9+$D$10)*$I69,IF($N69=LEFT(S69,1),($D$8+MAX(0,IF($D$50=1,$D$9*(1-(ABS($Q69-ABS(VALUE(MID(S69,FIND("|",S69)+1,FIND("-",S69)-FIND("|",S69)-1))-VALUE(MID(S69,FIND("-",S69)+1,10)))))*$D$50),$D$9*(1-(IF($N69="X",ABS($O69-VALUE(MID(S69,FIND("|",S69)+1,FIND("-",S69)-FIND("|",S69)-1))),ABS($Q69-ABS(VALUE(MID(S69,FIND("|",S69)+1,FIND("-",S69)-FIND("|",S69)-1))-VALUE(MID(S69,FIND("-",S69)+1,10)))))*$D$50)))))*$I69,0)),0)</f>
        <v>0</v>
      </c>
      <c r="U69" s="338"/>
      <c r="V69" s="363" t="s">
        <v>269</v>
      </c>
      <c r="W69" s="356" t="n">
        <f aca="false">IFERROR(IF($M69=V69,($D$8+$D$9+$D$10)*$I69,IF($N69=LEFT(V69,1),($D$8+MAX(0,IF($D$50=1,$D$9*(1-(ABS($Q69-ABS(VALUE(MID(V69,FIND("|",V69)+1,FIND("-",V69)-FIND("|",V69)-1))-VALUE(MID(V69,FIND("-",V69)+1,10)))))*$D$50),$D$9*(1-(IF($N69="X",ABS($O69-VALUE(MID(V69,FIND("|",V69)+1,FIND("-",V69)-FIND("|",V69)-1))),ABS($Q69-ABS(VALUE(MID(V69,FIND("|",V69)+1,FIND("-",V69)-FIND("|",V69)-1))-VALUE(MID(V69,FIND("-",V69)+1,10)))))*$D$50)))))*$I69,0)),0)</f>
        <v>0</v>
      </c>
      <c r="X69" s="338"/>
      <c r="Y69" s="363" t="s">
        <v>271</v>
      </c>
      <c r="Z69" s="356" t="n">
        <f aca="false">IFERROR(IF($M69=Y69,($D$8+$D$9+$D$10)*$I69,IF($N69=LEFT(Y69,1),($D$8+MAX(0,IF($D$50=1,$D$9*(1-(ABS($Q69-ABS(VALUE(MID(Y69,FIND("|",Y69)+1,FIND("-",Y69)-FIND("|",Y69)-1))-VALUE(MID(Y69,FIND("-",Y69)+1,10)))))*$D$50),$D$9*(1-(IF($N69="X",ABS($O69-VALUE(MID(Y69,FIND("|",Y69)+1,FIND("-",Y69)-FIND("|",Y69)-1))),ABS($Q69-ABS(VALUE(MID(Y69,FIND("|",Y69)+1,FIND("-",Y69)-FIND("|",Y69)-1))-VALUE(MID(Y69,FIND("-",Y69)+1,10)))))*$D$50)))))*$I69,0)),0)</f>
        <v>0</v>
      </c>
      <c r="AA69" s="338"/>
      <c r="AB69" s="363" t="s">
        <v>267</v>
      </c>
      <c r="AC69" s="356" t="n">
        <f aca="false">IFERROR(IF($M69=AB69,($D$8+$D$9+$D$10)*$I69,IF($N69=LEFT(AB69,1),($D$8+MAX(0,IF($D$50=1,$D$9*(1-(ABS($Q69-ABS(VALUE(MID(AB69,FIND("|",AB69)+1,FIND("-",AB69)-FIND("|",AB69)-1))-VALUE(MID(AB69,FIND("-",AB69)+1,10)))))*$D$50),$D$9*(1-(IF($N69="X",ABS($O69-VALUE(MID(AB69,FIND("|",AB69)+1,FIND("-",AB69)-FIND("|",AB69)-1))),ABS($Q69-ABS(VALUE(MID(AB69,FIND("|",AB69)+1,FIND("-",AB69)-FIND("|",AB69)-1))-VALUE(MID(AB69,FIND("-",AB69)+1,10)))))*$D$50)))))*$I69,0)),0)</f>
        <v>0</v>
      </c>
      <c r="AD69" s="338"/>
      <c r="AE69" s="363" t="s">
        <v>274</v>
      </c>
      <c r="AF69" s="356" t="n">
        <f aca="false">IFERROR(IF($M69=AE69,($D$8+$D$9+$D$10)*$I69,IF($N69=LEFT(AE69,1),($D$8+MAX(0,IF($D$50=1,$D$9*(1-(ABS($Q69-ABS(VALUE(MID(AE69,FIND("|",AE69)+1,FIND("-",AE69)-FIND("|",AE69)-1))-VALUE(MID(AE69,FIND("-",AE69)+1,10)))))*$D$50),$D$9*(1-(IF($N69="X",ABS($O69-VALUE(MID(AE69,FIND("|",AE69)+1,FIND("-",AE69)-FIND("|",AE69)-1))),ABS($Q69-ABS(VALUE(MID(AE69,FIND("|",AE69)+1,FIND("-",AE69)-FIND("|",AE69)-1))-VALUE(MID(AE69,FIND("-",AE69)+1,10)))))*$D$50)))))*$I69,0)),0)</f>
        <v>0</v>
      </c>
      <c r="AG69" s="338"/>
      <c r="AH69" s="363" t="s">
        <v>268</v>
      </c>
      <c r="AI69" s="356" t="n">
        <f aca="false">IFERROR(IF($M69=AH69,($D$8+$D$9+$D$10)*$I69,IF($N69=LEFT(AH69,1),($D$8+MAX(0,IF($D$50=1,$D$9*(1-(ABS($Q69-ABS(VALUE(MID(AH69,FIND("|",AH69)+1,FIND("-",AH69)-FIND("|",AH69)-1))-VALUE(MID(AH69,FIND("-",AH69)+1,10)))))*$D$50),$D$9*(1-(IF($N69="X",ABS($O69-VALUE(MID(AH69,FIND("|",AH69)+1,FIND("-",AH69)-FIND("|",AH69)-1))),ABS($Q69-ABS(VALUE(MID(AH69,FIND("|",AH69)+1,FIND("-",AH69)-FIND("|",AH69)-1))-VALUE(MID(AH69,FIND("-",AH69)+1,10)))))*$D$50)))))*$I69,0)),0)</f>
        <v>0</v>
      </c>
      <c r="AJ69" s="338"/>
      <c r="AK69" s="363" t="s">
        <v>267</v>
      </c>
      <c r="AL69" s="356" t="n">
        <f aca="false">IFERROR(IF($M69=AK69,($D$8+$D$9+$D$10)*$I69,IF($N69=LEFT(AK69,1),($D$8+MAX(0,IF($D$50=1,$D$9*(1-(ABS($Q69-ABS(VALUE(MID(AK69,FIND("|",AK69)+1,FIND("-",AK69)-FIND("|",AK69)-1))-VALUE(MID(AK69,FIND("-",AK69)+1,10)))))*$D$50),$D$9*(1-(IF($N69="X",ABS($O69-VALUE(MID(AK69,FIND("|",AK69)+1,FIND("-",AK69)-FIND("|",AK69)-1))),ABS($Q69-ABS(VALUE(MID(AK69,FIND("|",AK69)+1,FIND("-",AK69)-FIND("|",AK69)-1))-VALUE(MID(AK69,FIND("-",AK69)+1,10)))))*$D$50)))))*$I69,0)),0)</f>
        <v>0</v>
      </c>
      <c r="AM69" s="338"/>
      <c r="AN69" s="363" t="s">
        <v>267</v>
      </c>
      <c r="AO69" s="356" t="n">
        <f aca="false">IFERROR(IF($M69=AN69,($D$8+$D$9+$D$10)*$I69,IF($N69=LEFT(AN69,1),($D$8+MAX(0,IF($D$50=1,$D$9*(1-(ABS($Q69-ABS(VALUE(MID(AN69,FIND("|",AN69)+1,FIND("-",AN69)-FIND("|",AN69)-1))-VALUE(MID(AN69,FIND("-",AN69)+1,10)))))*$D$50),$D$9*(1-(IF($N69="X",ABS($O69-VALUE(MID(AN69,FIND("|",AN69)+1,FIND("-",AN69)-FIND("|",AN69)-1))),ABS($Q69-ABS(VALUE(MID(AN69,FIND("|",AN69)+1,FIND("-",AN69)-FIND("|",AN69)-1))-VALUE(MID(AN69,FIND("-",AN69)+1,10)))))*$D$50)))))*$I69,0)),0)</f>
        <v>0</v>
      </c>
      <c r="AP69" s="338"/>
      <c r="AQ69" s="363" t="s">
        <v>267</v>
      </c>
      <c r="AR69" s="356" t="n">
        <f aca="false">IFERROR(IF($M69=AQ69,($D$8+$D$9+$D$10)*$I69,IF($N69=LEFT(AQ69,1),($D$8+MAX(0,IF($D$50=1,$D$9*(1-(ABS($Q69-ABS(VALUE(MID(AQ69,FIND("|",AQ69)+1,FIND("-",AQ69)-FIND("|",AQ69)-1))-VALUE(MID(AQ69,FIND("-",AQ69)+1,10)))))*$D$50),$D$9*(1-(IF($N69="X",ABS($O69-VALUE(MID(AQ69,FIND("|",AQ69)+1,FIND("-",AQ69)-FIND("|",AQ69)-1))),ABS($Q69-ABS(VALUE(MID(AQ69,FIND("|",AQ69)+1,FIND("-",AQ69)-FIND("|",AQ69)-1))-VALUE(MID(AQ69,FIND("-",AQ69)+1,10)))))*$D$50)))))*$I69,0)),0)</f>
        <v>0</v>
      </c>
      <c r="AS69" s="338"/>
      <c r="AT69" s="363" t="s">
        <v>269</v>
      </c>
      <c r="AU69" s="356" t="n">
        <f aca="false">IFERROR(IF($M69=AT69,($D$8+$D$9+$D$10)*$I69,IF($N69=LEFT(AT69,1),($D$8+MAX(0,IF($D$50=1,$D$9*(1-(ABS($Q69-ABS(VALUE(MID(AT69,FIND("|",AT69)+1,FIND("-",AT69)-FIND("|",AT69)-1))-VALUE(MID(AT69,FIND("-",AT69)+1,10)))))*$D$50),$D$9*(1-(IF($N69="X",ABS($O69-VALUE(MID(AT69,FIND("|",AT69)+1,FIND("-",AT69)-FIND("|",AT69)-1))),ABS($Q69-ABS(VALUE(MID(AT69,FIND("|",AT69)+1,FIND("-",AT69)-FIND("|",AT69)-1))-VALUE(MID(AT69,FIND("-",AT69)+1,10)))))*$D$50)))))*$I69,0)),0)</f>
        <v>0</v>
      </c>
      <c r="AV69" s="338"/>
      <c r="AW69" s="363" t="s">
        <v>268</v>
      </c>
      <c r="AX69" s="356" t="n">
        <f aca="false">IFERROR(IF($M69=AW69,($D$8+$D$9+$D$10)*$I69,IF($N69=LEFT(AW69,1),($D$8+MAX(0,IF($D$50=1,$D$9*(1-(ABS($Q69-ABS(VALUE(MID(AW69,FIND("|",AW69)+1,FIND("-",AW69)-FIND("|",AW69)-1))-VALUE(MID(AW69,FIND("-",AW69)+1,10)))))*$D$50),$D$9*(1-(IF($N69="X",ABS($O69-VALUE(MID(AW69,FIND("|",AW69)+1,FIND("-",AW69)-FIND("|",AW69)-1))),ABS($Q69-ABS(VALUE(MID(AW69,FIND("|",AW69)+1,FIND("-",AW69)-FIND("|",AW69)-1))-VALUE(MID(AW69,FIND("-",AW69)+1,10)))))*$D$50)))))*$I69,0)),0)</f>
        <v>0</v>
      </c>
      <c r="AY69" s="338"/>
      <c r="AZ69" s="363" t="s">
        <v>268</v>
      </c>
      <c r="BA69" s="356" t="n">
        <f aca="false">IFERROR(IF($M69=AZ69,($D$8+$D$9+$D$10)*$I69,IF($N69=LEFT(AZ69,1),($D$8+MAX(0,IF($D$50=1,$D$9*(1-(ABS($Q69-ABS(VALUE(MID(AZ69,FIND("|",AZ69)+1,FIND("-",AZ69)-FIND("|",AZ69)-1))-VALUE(MID(AZ69,FIND("-",AZ69)+1,10)))))*$D$50),$D$9*(1-(IF($N69="X",ABS($O69-VALUE(MID(AZ69,FIND("|",AZ69)+1,FIND("-",AZ69)-FIND("|",AZ69)-1))),ABS($Q69-ABS(VALUE(MID(AZ69,FIND("|",AZ69)+1,FIND("-",AZ69)-FIND("|",AZ69)-1))-VALUE(MID(AZ69,FIND("-",AZ69)+1,10)))))*$D$50)))))*$I69,0)),0)</f>
        <v>0</v>
      </c>
      <c r="BB69" s="338"/>
      <c r="BC69" s="363" t="s">
        <v>277</v>
      </c>
      <c r="BD69" s="356" t="n">
        <f aca="false">IFERROR(IF($M69=BC69,($D$8+$D$9+$D$10)*$I69,IF($N69=LEFT(BC69,1),($D$8+MAX(0,IF($D$50=1,$D$9*(1-(ABS($Q69-ABS(VALUE(MID(BC69,FIND("|",BC69)+1,FIND("-",BC69)-FIND("|",BC69)-1))-VALUE(MID(BC69,FIND("-",BC69)+1,10)))))*$D$50),$D$9*(1-(IF($N69="X",ABS($O69-VALUE(MID(BC69,FIND("|",BC69)+1,FIND("-",BC69)-FIND("|",BC69)-1))),ABS($Q69-ABS(VALUE(MID(BC69,FIND("|",BC69)+1,FIND("-",BC69)-FIND("|",BC69)-1))-VALUE(MID(BC69,FIND("-",BC69)+1,10)))))*$D$50)))))*$I69,0)),0)</f>
        <v>0</v>
      </c>
      <c r="BE69" s="338"/>
      <c r="BF69" s="363" t="s">
        <v>271</v>
      </c>
      <c r="BG69" s="356" t="n">
        <f aca="false">IFERROR(IF($M69=BF69,($D$8+$D$9+$D$10)*$I69,IF($N69=LEFT(BF69,1),($D$8+MAX(0,IF($D$50=1,$D$9*(1-(ABS($Q69-ABS(VALUE(MID(BF69,FIND("|",BF69)+1,FIND("-",BF69)-FIND("|",BF69)-1))-VALUE(MID(BF69,FIND("-",BF69)+1,10)))))*$D$50),$D$9*(1-(IF($N69="X",ABS($O69-VALUE(MID(BF69,FIND("|",BF69)+1,FIND("-",BF69)-FIND("|",BF69)-1))),ABS($Q69-ABS(VALUE(MID(BF69,FIND("|",BF69)+1,FIND("-",BF69)-FIND("|",BF69)-1))-VALUE(MID(BF69,FIND("-",BF69)+1,10)))))*$D$50)))))*$I69,0)),0)</f>
        <v>0</v>
      </c>
      <c r="BH69" s="338"/>
      <c r="BI69" s="363" t="s">
        <v>271</v>
      </c>
      <c r="BJ69" s="356" t="n">
        <f aca="false">IFERROR(IF($M69=BI69,($D$8+$D$9+$D$10)*$I69,IF($N69=LEFT(BI69,1),($D$8+MAX(0,IF($D$50=1,$D$9*(1-(ABS($Q69-ABS(VALUE(MID(BI69,FIND("|",BI69)+1,FIND("-",BI69)-FIND("|",BI69)-1))-VALUE(MID(BI69,FIND("-",BI69)+1,10)))))*$D$50),$D$9*(1-(IF($N69="X",ABS($O69-VALUE(MID(BI69,FIND("|",BI69)+1,FIND("-",BI69)-FIND("|",BI69)-1))),ABS($Q69-ABS(VALUE(MID(BI69,FIND("|",BI69)+1,FIND("-",BI69)-FIND("|",BI69)-1))-VALUE(MID(BI69,FIND("-",BI69)+1,10)))))*$D$50)))))*$I69,0)),0)</f>
        <v>0</v>
      </c>
      <c r="BK69" s="338"/>
      <c r="BL69" s="363" t="s">
        <v>325</v>
      </c>
      <c r="BM69" s="356" t="n">
        <f aca="false">IFERROR(IF($M69=BL69,($D$8+$D$9+$D$10)*$I69,IF($N69=LEFT(BL69,1),($D$8+MAX(0,IF($D$50=1,$D$9*(1-(ABS($Q69-ABS(VALUE(MID(BL69,FIND("|",BL69)+1,FIND("-",BL69)-FIND("|",BL69)-1))-VALUE(MID(BL69,FIND("-",BL69)+1,10)))))*$D$50),$D$9*(1-(IF($N69="X",ABS($O69-VALUE(MID(BL69,FIND("|",BL69)+1,FIND("-",BL69)-FIND("|",BL69)-1))),ABS($Q69-ABS(VALUE(MID(BL69,FIND("|",BL69)+1,FIND("-",BL69)-FIND("|",BL69)-1))-VALUE(MID(BL69,FIND("-",BL69)+1,10)))))*$D$50)))))*$I69,0)),0)</f>
        <v>0</v>
      </c>
      <c r="BN69" s="338"/>
      <c r="BO69" s="363" t="s">
        <v>267</v>
      </c>
      <c r="BP69" s="356" t="n">
        <f aca="false">IFERROR(IF($M69=BO69,($D$8+$D$9+$D$10)*$I69,IF($N69=LEFT(BO69,1),($D$8+MAX(0,IF($D$50=1,$D$9*(1-(ABS($Q69-ABS(VALUE(MID(BO69,FIND("|",BO69)+1,FIND("-",BO69)-FIND("|",BO69)-1))-VALUE(MID(BO69,FIND("-",BO69)+1,10)))))*$D$50),$D$9*(1-(IF($N69="X",ABS($O69-VALUE(MID(BO69,FIND("|",BO69)+1,FIND("-",BO69)-FIND("|",BO69)-1))),ABS($Q69-ABS(VALUE(MID(BO69,FIND("|",BO69)+1,FIND("-",BO69)-FIND("|",BO69)-1))-VALUE(MID(BO69,FIND("-",BO69)+1,10)))))*$D$50)))))*$I69,0)),0)</f>
        <v>0</v>
      </c>
      <c r="BQ69" s="338"/>
      <c r="BR69" s="363" t="s">
        <v>268</v>
      </c>
      <c r="BS69" s="356" t="n">
        <f aca="false">IFERROR(IF($M69=BR69,($D$8+$D$9+$D$10)*$I69,IF($N69=LEFT(BR69,1),($D$8+MAX(0,IF($D$50=1,$D$9*(1-(ABS($Q69-ABS(VALUE(MID(BR69,FIND("|",BR69)+1,FIND("-",BR69)-FIND("|",BR69)-1))-VALUE(MID(BR69,FIND("-",BR69)+1,10)))))*$D$50),$D$9*(1-(IF($N69="X",ABS($O69-VALUE(MID(BR69,FIND("|",BR69)+1,FIND("-",BR69)-FIND("|",BR69)-1))),ABS($Q69-ABS(VALUE(MID(BR69,FIND("|",BR69)+1,FIND("-",BR69)-FIND("|",BR69)-1))-VALUE(MID(BR69,FIND("-",BR69)+1,10)))))*$D$50)))))*$I69,0)),0)</f>
        <v>0</v>
      </c>
      <c r="BT69" s="338"/>
      <c r="BU69" s="363"/>
      <c r="BV69" s="356" t="n">
        <f aca="false">IFERROR(IF($M69=BU69,($D$8+$D$9+$D$10)*$I69,IF($N69=LEFT(BU69,1),($D$8+MAX(0,IF($D$50=1,$D$9*(1-(ABS($Q69-ABS(VALUE(MID(BU69,FIND("|",BU69)+1,FIND("-",BU69)-FIND("|",BU69)-1))-VALUE(MID(BU69,FIND("-",BU69)+1,10)))))*$D$50),$D$9*(1-(IF($N69="X",ABS($O69-VALUE(MID(BU69,FIND("|",BU69)+1,FIND("-",BU69)-FIND("|",BU69)-1))),ABS($Q69-ABS(VALUE(MID(BU69,FIND("|",BU69)+1,FIND("-",BU69)-FIND("|",BU69)-1))-VALUE(MID(BU69,FIND("-",BU69)+1,10)))))*$D$50)))))*$I69,0)),0)</f>
        <v>0</v>
      </c>
      <c r="BW69" s="338"/>
      <c r="BX69" s="363"/>
      <c r="BY69" s="356" t="n">
        <f aca="false">IFERROR(IF($M69=BX69,($D$8+$D$9+$D$10)*$I69,IF($N69=LEFT(BX69,1),($D$8+MAX(0,IF($D$50=1,$D$9*(1-(ABS($Q69-ABS(VALUE(MID(BX69,FIND("|",BX69)+1,FIND("-",BX69)-FIND("|",BX69)-1))-VALUE(MID(BX69,FIND("-",BX69)+1,10)))))*$D$50),$D$9*(1-(IF($N69="X",ABS($O69-VALUE(MID(BX69,FIND("|",BX69)+1,FIND("-",BX69)-FIND("|",BX69)-1))),ABS($Q69-ABS(VALUE(MID(BX69,FIND("|",BX69)+1,FIND("-",BX69)-FIND("|",BX69)-1))-VALUE(MID(BX69,FIND("-",BX69)+1,10)))))*$D$50)))))*$I69,0)),0)</f>
        <v>0</v>
      </c>
      <c r="BZ69" s="338"/>
      <c r="CA69" s="363"/>
      <c r="CB69" s="356" t="n">
        <f aca="false">IFERROR(IF($M69=CA69,($D$8+$D$9+$D$10)*$I69,IF($N69=LEFT(CA69,1),($D$8+MAX(0,IF($D$50=1,$D$9*(1-(ABS($Q69-ABS(VALUE(MID(CA69,FIND("|",CA69)+1,FIND("-",CA69)-FIND("|",CA69)-1))-VALUE(MID(CA69,FIND("-",CA69)+1,10)))))*$D$50),$D$9*(1-(IF($N69="X",ABS($O69-VALUE(MID(CA69,FIND("|",CA69)+1,FIND("-",CA69)-FIND("|",CA69)-1))),ABS($Q69-ABS(VALUE(MID(CA69,FIND("|",CA69)+1,FIND("-",CA69)-FIND("|",CA69)-1))-VALUE(MID(CA69,FIND("-",CA69)+1,10)))))*$D$50)))))*$I69,0)),0)</f>
        <v>0</v>
      </c>
      <c r="CC69" s="338"/>
      <c r="CD69" s="363"/>
      <c r="CE69" s="356" t="n">
        <f aca="false">IFERROR(IF($M69=CD69,($D$8+$D$9+$D$10)*$I69,IF($N69=LEFT(CD69,1),($D$8+MAX(0,IF($D$50=1,$D$9*(1-(ABS($Q69-ABS(VALUE(MID(CD69,FIND("|",CD69)+1,FIND("-",CD69)-FIND("|",CD69)-1))-VALUE(MID(CD69,FIND("-",CD69)+1,10)))))*$D$50),$D$9*(1-(IF($N69="X",ABS($O69-VALUE(MID(CD69,FIND("|",CD69)+1,FIND("-",CD69)-FIND("|",CD69)-1))),ABS($Q69-ABS(VALUE(MID(CD69,FIND("|",CD69)+1,FIND("-",CD69)-FIND("|",CD69)-1))-VALUE(MID(CD69,FIND("-",CD69)+1,10)))))*$D$50)))))*$I69,0)),0)</f>
        <v>0</v>
      </c>
      <c r="CF69" s="338"/>
      <c r="CG69" s="363"/>
      <c r="CH69" s="356" t="n">
        <f aca="false">IFERROR(IF($M69=CG69,($D$8+$D$9+$D$10)*$I69,IF($N69=LEFT(CG69,1),($D$8+MAX(0,IF($D$50=1,$D$9*(1-(ABS($Q69-ABS(VALUE(MID(CG69,FIND("|",CG69)+1,FIND("-",CG69)-FIND("|",CG69)-1))-VALUE(MID(CG69,FIND("-",CG69)+1,10)))))*$D$50),$D$9*(1-(IF($N69="X",ABS($O69-VALUE(MID(CG69,FIND("|",CG69)+1,FIND("-",CG69)-FIND("|",CG69)-1))),ABS($Q69-ABS(VALUE(MID(CG69,FIND("|",CG69)+1,FIND("-",CG69)-FIND("|",CG69)-1))-VALUE(MID(CG69,FIND("-",CG69)+1,10)))))*$D$50)))))*$I69,0)),0)</f>
        <v>0</v>
      </c>
      <c r="CI69" s="338"/>
      <c r="CJ69" s="363"/>
      <c r="CK69" s="356" t="n">
        <f aca="false">IFERROR(IF($M69=CJ69,($D$8+$D$9+$D$10)*$I69,IF($N69=LEFT(CJ69,1),($D$8+MAX(0,IF($D$50=1,$D$9*(1-(ABS($Q69-ABS(VALUE(MID(CJ69,FIND("|",CJ69)+1,FIND("-",CJ69)-FIND("|",CJ69)-1))-VALUE(MID(CJ69,FIND("-",CJ69)+1,10)))))*$D$50),$D$9*(1-(IF($N69="X",ABS($O69-VALUE(MID(CJ69,FIND("|",CJ69)+1,FIND("-",CJ69)-FIND("|",CJ69)-1))),ABS($Q69-ABS(VALUE(MID(CJ69,FIND("|",CJ69)+1,FIND("-",CJ69)-FIND("|",CJ69)-1))-VALUE(MID(CJ69,FIND("-",CJ69)+1,10)))))*$D$50)))))*$I69,0)),0)</f>
        <v>0</v>
      </c>
      <c r="CL69" s="338"/>
      <c r="CM69" s="363"/>
      <c r="CN69" s="356" t="n">
        <f aca="false">IFERROR(IF($M69=CM69,($D$8+$D$9+$D$10)*$I69,IF($N69=LEFT(CM69,1),($D$8+MAX(0,IF($D$50=1,$D$9*(1-(ABS($Q69-ABS(VALUE(MID(CM69,FIND("|",CM69)+1,FIND("-",CM69)-FIND("|",CM69)-1))-VALUE(MID(CM69,FIND("-",CM69)+1,10)))))*$D$50),$D$9*(1-(IF($N69="X",ABS($O69-VALUE(MID(CM69,FIND("|",CM69)+1,FIND("-",CM69)-FIND("|",CM69)-1))),ABS($Q69-ABS(VALUE(MID(CM69,FIND("|",CM69)+1,FIND("-",CM69)-FIND("|",CM69)-1))-VALUE(MID(CM69,FIND("-",CM69)+1,10)))))*$D$50)))))*$I69,0)),0)</f>
        <v>0</v>
      </c>
      <c r="CO69" s="338"/>
      <c r="CP69" s="363"/>
      <c r="CQ69" s="356" t="n">
        <f aca="false">IFERROR(IF($M69=CP69,($D$8+$D$9+$D$10)*$I69,IF($N69=LEFT(CP69,1),($D$8+MAX(0,IF($D$50=1,$D$9*(1-(ABS($Q69-ABS(VALUE(MID(CP69,FIND("|",CP69)+1,FIND("-",CP69)-FIND("|",CP69)-1))-VALUE(MID(CP69,FIND("-",CP69)+1,10)))))*$D$50),$D$9*(1-(IF($N69="X",ABS($O69-VALUE(MID(CP69,FIND("|",CP69)+1,FIND("-",CP69)-FIND("|",CP69)-1))),ABS($Q69-ABS(VALUE(MID(CP69,FIND("|",CP69)+1,FIND("-",CP69)-FIND("|",CP69)-1))-VALUE(MID(CP69,FIND("-",CP69)+1,10)))))*$D$50)))))*$I69,0)),0)</f>
        <v>0</v>
      </c>
      <c r="CR69" s="338"/>
      <c r="CS69" s="363"/>
      <c r="CT69" s="356" t="n">
        <f aca="false">IFERROR(IF($M69=CS69,($D$8+$D$9+$D$10)*$I69,IF($N69=LEFT(CS69,1),($D$8+MAX(0,IF($D$50=1,$D$9*(1-(ABS($Q69-ABS(VALUE(MID(CS69,FIND("|",CS69)+1,FIND("-",CS69)-FIND("|",CS69)-1))-VALUE(MID(CS69,FIND("-",CS69)+1,10)))))*$D$50),$D$9*(1-(IF($N69="X",ABS($O69-VALUE(MID(CS69,FIND("|",CS69)+1,FIND("-",CS69)-FIND("|",CS69)-1))),ABS($Q69-ABS(VALUE(MID(CS69,FIND("|",CS69)+1,FIND("-",CS69)-FIND("|",CS69)-1))-VALUE(MID(CS69,FIND("-",CS69)+1,10)))))*$D$50)))))*$I69,0)),0)</f>
        <v>0</v>
      </c>
      <c r="CU69" s="338"/>
      <c r="CV69" s="363"/>
      <c r="CW69" s="356" t="n">
        <f aca="false">IFERROR(IF($M69=CV69,($D$8+$D$9+$D$10)*$I69,IF($N69=LEFT(CV69,1),($D$8+MAX(0,IF($D$50=1,$D$9*(1-(ABS($Q69-ABS(VALUE(MID(CV69,FIND("|",CV69)+1,FIND("-",CV69)-FIND("|",CV69)-1))-VALUE(MID(CV69,FIND("-",CV69)+1,10)))))*$D$50),$D$9*(1-(IF($N69="X",ABS($O69-VALUE(MID(CV69,FIND("|",CV69)+1,FIND("-",CV69)-FIND("|",CV69)-1))),ABS($Q69-ABS(VALUE(MID(CV69,FIND("|",CV69)+1,FIND("-",CV69)-FIND("|",CV69)-1))-VALUE(MID(CV69,FIND("-",CV69)+1,10)))))*$D$50)))))*$I69,0)),0)</f>
        <v>0</v>
      </c>
      <c r="CX69" s="338"/>
      <c r="CY69" s="363"/>
      <c r="CZ69" s="356" t="n">
        <f aca="false">IFERROR(IF($M69=CY69,($D$8+$D$9+$D$10)*$I69,IF($N69=LEFT(CY69,1),($D$8+MAX(0,IF($D$50=1,$D$9*(1-(ABS($Q69-ABS(VALUE(MID(CY69,FIND("|",CY69)+1,FIND("-",CY69)-FIND("|",CY69)-1))-VALUE(MID(CY69,FIND("-",CY69)+1,10)))))*$D$50),$D$9*(1-(IF($N69="X",ABS($O69-VALUE(MID(CY69,FIND("|",CY69)+1,FIND("-",CY69)-FIND("|",CY69)-1))),ABS($Q69-ABS(VALUE(MID(CY69,FIND("|",CY69)+1,FIND("-",CY69)-FIND("|",CY69)-1))-VALUE(MID(CY69,FIND("-",CY69)+1,10)))))*$D$50)))))*$I69,0)),0)</f>
        <v>0</v>
      </c>
      <c r="DA69" s="338"/>
      <c r="DB69" s="363"/>
      <c r="DC69" s="356" t="n">
        <f aca="false">IFERROR(IF($M69=DB69,($D$8+$D$9+$D$10)*$I69,IF($N69=LEFT(DB69,1),($D$8+MAX(0,IF($D$50=1,$D$9*(1-(ABS($Q69-ABS(VALUE(MID(DB69,FIND("|",DB69)+1,FIND("-",DB69)-FIND("|",DB69)-1))-VALUE(MID(DB69,FIND("-",DB69)+1,10)))))*$D$50),$D$9*(1-(IF($N69="X",ABS($O69-VALUE(MID(DB69,FIND("|",DB69)+1,FIND("-",DB69)-FIND("|",DB69)-1))),ABS($Q69-ABS(VALUE(MID(DB69,FIND("|",DB69)+1,FIND("-",DB69)-FIND("|",DB69)-1))-VALUE(MID(DB69,FIND("-",DB69)+1,10)))))*$D$50)))))*$I69,0)),0)</f>
        <v>0</v>
      </c>
      <c r="DD69" s="338"/>
      <c r="DE69" s="363"/>
      <c r="DF69" s="356" t="n">
        <f aca="false">IFERROR(IF($M69=DE69,($D$8+$D$9+$D$10)*$I69,IF($N69=LEFT(DE69,1),($D$8+MAX(0,IF($D$50=1,$D$9*(1-(ABS($Q69-ABS(VALUE(MID(DE69,FIND("|",DE69)+1,FIND("-",DE69)-FIND("|",DE69)-1))-VALUE(MID(DE69,FIND("-",DE69)+1,10)))))*$D$50),$D$9*(1-(IF($N69="X",ABS($O69-VALUE(MID(DE69,FIND("|",DE69)+1,FIND("-",DE69)-FIND("|",DE69)-1))),ABS($Q69-ABS(VALUE(MID(DE69,FIND("|",DE69)+1,FIND("-",DE69)-FIND("|",DE69)-1))-VALUE(MID(DE69,FIND("-",DE69)+1,10)))))*$D$50)))))*$I69,0)),0)</f>
        <v>0</v>
      </c>
      <c r="DG69" s="338"/>
      <c r="DH69" s="363"/>
      <c r="DI69" s="356" t="n">
        <f aca="false">IFERROR(IF($M69=DH69,($D$8+$D$9+$D$10)*$I69,IF($N69=LEFT(DH69,1),($D$8+MAX(0,IF($D$50=1,$D$9*(1-(ABS($Q69-ABS(VALUE(MID(DH69,FIND("|",DH69)+1,FIND("-",DH69)-FIND("|",DH69)-1))-VALUE(MID(DH69,FIND("-",DH69)+1,10)))))*$D$50),$D$9*(1-(IF($N69="X",ABS($O69-VALUE(MID(DH69,FIND("|",DH69)+1,FIND("-",DH69)-FIND("|",DH69)-1))),ABS($Q69-ABS(VALUE(MID(DH69,FIND("|",DH69)+1,FIND("-",DH69)-FIND("|",DH69)-1))-VALUE(MID(DH69,FIND("-",DH69)+1,10)))))*$D$50)))))*$I69,0)),0)</f>
        <v>0</v>
      </c>
      <c r="DJ69" s="338"/>
      <c r="DK69" s="363"/>
      <c r="DL69" s="356" t="n">
        <f aca="false">IFERROR(IF($M69=DK69,($D$8+$D$9+$D$10)*$I69,IF($N69=LEFT(DK69,1),($D$8+MAX(0,IF($D$50=1,$D$9*(1-(ABS($Q69-ABS(VALUE(MID(DK69,FIND("|",DK69)+1,FIND("-",DK69)-FIND("|",DK69)-1))-VALUE(MID(DK69,FIND("-",DK69)+1,10)))))*$D$50),$D$9*(1-(IF($N69="X",ABS($O69-VALUE(MID(DK69,FIND("|",DK69)+1,FIND("-",DK69)-FIND("|",DK69)-1))),ABS($Q69-ABS(VALUE(MID(DK69,FIND("|",DK69)+1,FIND("-",DK69)-FIND("|",DK69)-1))-VALUE(MID(DK69,FIND("-",DK69)+1,10)))))*$D$50)))))*$I69,0)),0)</f>
        <v>0</v>
      </c>
      <c r="DM69" s="338"/>
      <c r="DN69" s="363"/>
      <c r="DO69" s="356" t="n">
        <f aca="false">IFERROR(IF($M69=DN69,($D$8+$D$9+$D$10)*$I69,IF($N69=LEFT(DN69,1),($D$8+MAX(0,IF($D$50=1,$D$9*(1-(ABS($Q69-ABS(VALUE(MID(DN69,FIND("|",DN69)+1,FIND("-",DN69)-FIND("|",DN69)-1))-VALUE(MID(DN69,FIND("-",DN69)+1,10)))))*$D$50),$D$9*(1-(IF($N69="X",ABS($O69-VALUE(MID(DN69,FIND("|",DN69)+1,FIND("-",DN69)-FIND("|",DN69)-1))),ABS($Q69-ABS(VALUE(MID(DN69,FIND("|",DN69)+1,FIND("-",DN69)-FIND("|",DN69)-1))-VALUE(MID(DN69,FIND("-",DN69)+1,10)))))*$D$50)))))*$I69,0)),0)</f>
        <v>0</v>
      </c>
      <c r="DP69" s="338"/>
      <c r="DQ69" s="363"/>
      <c r="DR69" s="356" t="n">
        <f aca="false">IFERROR(IF($M69=DQ69,($D$8+$D$9+$D$10)*$I69,IF($N69=LEFT(DQ69,1),($D$8+MAX(0,IF($D$50=1,$D$9*(1-(ABS($Q69-ABS(VALUE(MID(DQ69,FIND("|",DQ69)+1,FIND("-",DQ69)-FIND("|",DQ69)-1))-VALUE(MID(DQ69,FIND("-",DQ69)+1,10)))))*$D$50),$D$9*(1-(IF($N69="X",ABS($O69-VALUE(MID(DQ69,FIND("|",DQ69)+1,FIND("-",DQ69)-FIND("|",DQ69)-1))),ABS($Q69-ABS(VALUE(MID(DQ69,FIND("|",DQ69)+1,FIND("-",DQ69)-FIND("|",DQ69)-1))-VALUE(MID(DQ69,FIND("-",DQ69)+1,10)))))*$D$50)))))*$I69,0)),0)</f>
        <v>0</v>
      </c>
      <c r="DS69" s="338"/>
      <c r="DT69" s="363"/>
      <c r="DU69" s="356" t="n">
        <f aca="false">IFERROR(IF($M69=DT69,($D$8+$D$9+$D$10)*$I69,IF($N69=LEFT(DT69,1),($D$8+MAX(0,IF($D$50=1,$D$9*(1-(ABS($Q69-ABS(VALUE(MID(DT69,FIND("|",DT69)+1,FIND("-",DT69)-FIND("|",DT69)-1))-VALUE(MID(DT69,FIND("-",DT69)+1,10)))))*$D$50),$D$9*(1-(IF($N69="X",ABS($O69-VALUE(MID(DT69,FIND("|",DT69)+1,FIND("-",DT69)-FIND("|",DT69)-1))),ABS($Q69-ABS(VALUE(MID(DT69,FIND("|",DT69)+1,FIND("-",DT69)-FIND("|",DT69)-1))-VALUE(MID(DT69,FIND("-",DT69)+1,10)))))*$D$50)))))*$I69,0)),0)</f>
        <v>0</v>
      </c>
      <c r="DV69" s="338"/>
      <c r="DW69" s="363"/>
      <c r="DX69" s="356" t="n">
        <f aca="false">IFERROR(IF($M69=DW69,($D$8+$D$9+$D$10)*$I69,IF($N69=LEFT(DW69,1),($D$8+MAX(0,IF($D$50=1,$D$9*(1-(ABS($Q69-ABS(VALUE(MID(DW69,FIND("|",DW69)+1,FIND("-",DW69)-FIND("|",DW69)-1))-VALUE(MID(DW69,FIND("-",DW69)+1,10)))))*$D$50),$D$9*(1-(IF($N69="X",ABS($O69-VALUE(MID(DW69,FIND("|",DW69)+1,FIND("-",DW69)-FIND("|",DW69)-1))),ABS($Q69-ABS(VALUE(MID(DW69,FIND("|",DW69)+1,FIND("-",DW69)-FIND("|",DW69)-1))-VALUE(MID(DW69,FIND("-",DW69)+1,10)))))*$D$50)))))*$I69,0)),0)</f>
        <v>0</v>
      </c>
      <c r="DY69" s="338"/>
      <c r="DZ69" s="363"/>
      <c r="EA69" s="356" t="n">
        <f aca="false">IFERROR(IF($M69=DZ69,($D$8+$D$9+$D$10)*$I69,IF($N69=LEFT(DZ69,1),($D$8+MAX(0,IF($D$50=1,$D$9*(1-(ABS($Q69-ABS(VALUE(MID(DZ69,FIND("|",DZ69)+1,FIND("-",DZ69)-FIND("|",DZ69)-1))-VALUE(MID(DZ69,FIND("-",DZ69)+1,10)))))*$D$50),$D$9*(1-(IF($N69="X",ABS($O69-VALUE(MID(DZ69,FIND("|",DZ69)+1,FIND("-",DZ69)-FIND("|",DZ69)-1))),ABS($Q69-ABS(VALUE(MID(DZ69,FIND("|",DZ69)+1,FIND("-",DZ69)-FIND("|",DZ69)-1))-VALUE(MID(DZ69,FIND("-",DZ69)+1,10)))))*$D$50)))))*$I69,0)),0)</f>
        <v>0</v>
      </c>
      <c r="EB69" s="338"/>
      <c r="EC69" s="363"/>
      <c r="ED69" s="356" t="n">
        <f aca="false">IFERROR(IF($M69=EC69,($D$8+$D$9+$D$10)*$I69,IF($N69=LEFT(EC69,1),($D$8+MAX(0,IF($D$50=1,$D$9*(1-(ABS($Q69-ABS(VALUE(MID(EC69,FIND("|",EC69)+1,FIND("-",EC69)-FIND("|",EC69)-1))-VALUE(MID(EC69,FIND("-",EC69)+1,10)))))*$D$50),$D$9*(1-(IF($N69="X",ABS($O69-VALUE(MID(EC69,FIND("|",EC69)+1,FIND("-",EC69)-FIND("|",EC69)-1))),ABS($Q69-ABS(VALUE(MID(EC69,FIND("|",EC69)+1,FIND("-",EC69)-FIND("|",EC69)-1))-VALUE(MID(EC69,FIND("-",EC69)+1,10)))))*$D$50)))))*$I69,0)),0)</f>
        <v>0</v>
      </c>
      <c r="EE69" s="338"/>
      <c r="EF69" s="363"/>
      <c r="EG69" s="356" t="n">
        <f aca="false">IFERROR(IF($M69=EF69,($D$8+$D$9+$D$10)*$I69,IF($N69=LEFT(EF69,1),($D$8+MAX(0,IF($D$50=1,$D$9*(1-(ABS($Q69-ABS(VALUE(MID(EF69,FIND("|",EF69)+1,FIND("-",EF69)-FIND("|",EF69)-1))-VALUE(MID(EF69,FIND("-",EF69)+1,10)))))*$D$50),$D$9*(1-(IF($N69="X",ABS($O69-VALUE(MID(EF69,FIND("|",EF69)+1,FIND("-",EF69)-FIND("|",EF69)-1))),ABS($Q69-ABS(VALUE(MID(EF69,FIND("|",EF69)+1,FIND("-",EF69)-FIND("|",EF69)-1))-VALUE(MID(EF69,FIND("-",EF69)+1,10)))))*$D$50)))))*$I69,0)),0)</f>
        <v>0</v>
      </c>
      <c r="EH69" s="338"/>
      <c r="EI69" s="338"/>
    </row>
    <row r="70" customFormat="false" ht="15" hidden="false" customHeight="false" outlineLevel="0" collapsed="false">
      <c r="A70" s="327"/>
      <c r="B70" s="327"/>
      <c r="C70" s="248"/>
      <c r="D70" s="248"/>
      <c r="E70" s="327"/>
      <c r="F70" s="394" t="n">
        <f aca="false">SUM($D$8:$D$10)*I70</f>
        <v>17</v>
      </c>
      <c r="G70" s="394" t="n">
        <f aca="false">VLOOKUP(H70,Equipos!$Q$1:$R$25,2,0)</f>
        <v>16</v>
      </c>
      <c r="H70" s="395" t="n">
        <f aca="false">TRUNC(INDEX(WORLDCUP!$X$4:$X$147,MATCH(ADMIN!K70,WORLDCUP!$DT$4:$DT$147,0))+INDEX(Horarios!$R$3:$R$86,MATCH(Horarios!$C$3,Horarios!$P$3:$P$86,0))/24)</f>
        <v>46199</v>
      </c>
      <c r="I70" s="352" t="n">
        <v>1</v>
      </c>
      <c r="J70" s="353" t="s">
        <v>326</v>
      </c>
      <c r="K70" s="354" t="str">
        <f aca="false">CONCATENATE(WORLDCUP!AA72,"-",WORLDCUP!AF72)</f>
        <v>Noruega-Francia</v>
      </c>
      <c r="L70" s="354"/>
      <c r="M70" s="359" t="str">
        <f aca="false">IF(OR(WORLDCUP!AC72="",WORLDCUP!AD72=""),"-",N70&amp;"|"&amp;O70&amp;"-"&amp;P70)</f>
        <v>-</v>
      </c>
      <c r="N70" s="332" t="str">
        <f aca="false">IF(OR(WORLDCUP!AC72="",WORLDCUP!AD72=""),"",IF(WORLDCUP!AC72&gt;WORLDCUP!AD72,"1",IF(WORLDCUP!AC72&lt;WORLDCUP!AD72,"2","X")))</f>
        <v/>
      </c>
      <c r="O70" s="332" t="n">
        <f aca="false">WORLDCUP!AC72</f>
        <v>0</v>
      </c>
      <c r="P70" s="332" t="n">
        <f aca="false">WORLDCUP!AD72</f>
        <v>0</v>
      </c>
      <c r="Q70" s="332" t="n">
        <f aca="false">ABS(O70-P70)</f>
        <v>0</v>
      </c>
      <c r="R70" s="327"/>
      <c r="S70" s="363" t="s">
        <v>268</v>
      </c>
      <c r="T70" s="356" t="n">
        <f aca="false">IFERROR(IF($M70=S70,($D$8+$D$9+$D$10)*$I70,IF($N70=LEFT(S70,1),($D$8+MAX(0,IF($D$50=1,$D$9*(1-(ABS($Q70-ABS(VALUE(MID(S70,FIND("|",S70)+1,FIND("-",S70)-FIND("|",S70)-1))-VALUE(MID(S70,FIND("-",S70)+1,10)))))*$D$50),$D$9*(1-(IF($N70="X",ABS($O70-VALUE(MID(S70,FIND("|",S70)+1,FIND("-",S70)-FIND("|",S70)-1))),ABS($Q70-ABS(VALUE(MID(S70,FIND("|",S70)+1,FIND("-",S70)-FIND("|",S70)-1))-VALUE(MID(S70,FIND("-",S70)+1,10)))))*$D$50)))))*$I70,0)),0)</f>
        <v>0</v>
      </c>
      <c r="U70" s="338"/>
      <c r="V70" s="363" t="s">
        <v>277</v>
      </c>
      <c r="W70" s="356" t="n">
        <f aca="false">IFERROR(IF($M70=V70,($D$8+$D$9+$D$10)*$I70,IF($N70=LEFT(V70,1),($D$8+MAX(0,IF($D$50=1,$D$9*(1-(ABS($Q70-ABS(VALUE(MID(V70,FIND("|",V70)+1,FIND("-",V70)-FIND("|",V70)-1))-VALUE(MID(V70,FIND("-",V70)+1,10)))))*$D$50),$D$9*(1-(IF($N70="X",ABS($O70-VALUE(MID(V70,FIND("|",V70)+1,FIND("-",V70)-FIND("|",V70)-1))),ABS($Q70-ABS(VALUE(MID(V70,FIND("|",V70)+1,FIND("-",V70)-FIND("|",V70)-1))-VALUE(MID(V70,FIND("-",V70)+1,10)))))*$D$50)))))*$I70,0)),0)</f>
        <v>0</v>
      </c>
      <c r="X70" s="338"/>
      <c r="Y70" s="363" t="s">
        <v>268</v>
      </c>
      <c r="Z70" s="356" t="n">
        <f aca="false">IFERROR(IF($M70=Y70,($D$8+$D$9+$D$10)*$I70,IF($N70=LEFT(Y70,1),($D$8+MAX(0,IF($D$50=1,$D$9*(1-(ABS($Q70-ABS(VALUE(MID(Y70,FIND("|",Y70)+1,FIND("-",Y70)-FIND("|",Y70)-1))-VALUE(MID(Y70,FIND("-",Y70)+1,10)))))*$D$50),$D$9*(1-(IF($N70="X",ABS($O70-VALUE(MID(Y70,FIND("|",Y70)+1,FIND("-",Y70)-FIND("|",Y70)-1))),ABS($Q70-ABS(VALUE(MID(Y70,FIND("|",Y70)+1,FIND("-",Y70)-FIND("|",Y70)-1))-VALUE(MID(Y70,FIND("-",Y70)+1,10)))))*$D$50)))))*$I70,0)),0)</f>
        <v>0</v>
      </c>
      <c r="AA70" s="338"/>
      <c r="AB70" s="363" t="s">
        <v>268</v>
      </c>
      <c r="AC70" s="356" t="n">
        <f aca="false">IFERROR(IF($M70=AB70,($D$8+$D$9+$D$10)*$I70,IF($N70=LEFT(AB70,1),($D$8+MAX(0,IF($D$50=1,$D$9*(1-(ABS($Q70-ABS(VALUE(MID(AB70,FIND("|",AB70)+1,FIND("-",AB70)-FIND("|",AB70)-1))-VALUE(MID(AB70,FIND("-",AB70)+1,10)))))*$D$50),$D$9*(1-(IF($N70="X",ABS($O70-VALUE(MID(AB70,FIND("|",AB70)+1,FIND("-",AB70)-FIND("|",AB70)-1))),ABS($Q70-ABS(VALUE(MID(AB70,FIND("|",AB70)+1,FIND("-",AB70)-FIND("|",AB70)-1))-VALUE(MID(AB70,FIND("-",AB70)+1,10)))))*$D$50)))))*$I70,0)),0)</f>
        <v>0</v>
      </c>
      <c r="AD70" s="338"/>
      <c r="AE70" s="363" t="s">
        <v>267</v>
      </c>
      <c r="AF70" s="356" t="n">
        <f aca="false">IFERROR(IF($M70=AE70,($D$8+$D$9+$D$10)*$I70,IF($N70=LEFT(AE70,1),($D$8+MAX(0,IF($D$50=1,$D$9*(1-(ABS($Q70-ABS(VALUE(MID(AE70,FIND("|",AE70)+1,FIND("-",AE70)-FIND("|",AE70)-1))-VALUE(MID(AE70,FIND("-",AE70)+1,10)))))*$D$50),$D$9*(1-(IF($N70="X",ABS($O70-VALUE(MID(AE70,FIND("|",AE70)+1,FIND("-",AE70)-FIND("|",AE70)-1))),ABS($Q70-ABS(VALUE(MID(AE70,FIND("|",AE70)+1,FIND("-",AE70)-FIND("|",AE70)-1))-VALUE(MID(AE70,FIND("-",AE70)+1,10)))))*$D$50)))))*$I70,0)),0)</f>
        <v>0</v>
      </c>
      <c r="AG70" s="338"/>
      <c r="AH70" s="363" t="s">
        <v>268</v>
      </c>
      <c r="AI70" s="356" t="n">
        <f aca="false">IFERROR(IF($M70=AH70,($D$8+$D$9+$D$10)*$I70,IF($N70=LEFT(AH70,1),($D$8+MAX(0,IF($D$50=1,$D$9*(1-(ABS($Q70-ABS(VALUE(MID(AH70,FIND("|",AH70)+1,FIND("-",AH70)-FIND("|",AH70)-1))-VALUE(MID(AH70,FIND("-",AH70)+1,10)))))*$D$50),$D$9*(1-(IF($N70="X",ABS($O70-VALUE(MID(AH70,FIND("|",AH70)+1,FIND("-",AH70)-FIND("|",AH70)-1))),ABS($Q70-ABS(VALUE(MID(AH70,FIND("|",AH70)+1,FIND("-",AH70)-FIND("|",AH70)-1))-VALUE(MID(AH70,FIND("-",AH70)+1,10)))))*$D$50)))))*$I70,0)),0)</f>
        <v>0</v>
      </c>
      <c r="AJ70" s="338"/>
      <c r="AK70" s="363" t="s">
        <v>268</v>
      </c>
      <c r="AL70" s="356" t="n">
        <f aca="false">IFERROR(IF($M70=AK70,($D$8+$D$9+$D$10)*$I70,IF($N70=LEFT(AK70,1),($D$8+MAX(0,IF($D$50=1,$D$9*(1-(ABS($Q70-ABS(VALUE(MID(AK70,FIND("|",AK70)+1,FIND("-",AK70)-FIND("|",AK70)-1))-VALUE(MID(AK70,FIND("-",AK70)+1,10)))))*$D$50),$D$9*(1-(IF($N70="X",ABS($O70-VALUE(MID(AK70,FIND("|",AK70)+1,FIND("-",AK70)-FIND("|",AK70)-1))),ABS($Q70-ABS(VALUE(MID(AK70,FIND("|",AK70)+1,FIND("-",AK70)-FIND("|",AK70)-1))-VALUE(MID(AK70,FIND("-",AK70)+1,10)))))*$D$50)))))*$I70,0)),0)</f>
        <v>0</v>
      </c>
      <c r="AM70" s="338"/>
      <c r="AN70" s="363" t="s">
        <v>268</v>
      </c>
      <c r="AO70" s="356" t="n">
        <f aca="false">IFERROR(IF($M70=AN70,($D$8+$D$9+$D$10)*$I70,IF($N70=LEFT(AN70,1),($D$8+MAX(0,IF($D$50=1,$D$9*(1-(ABS($Q70-ABS(VALUE(MID(AN70,FIND("|",AN70)+1,FIND("-",AN70)-FIND("|",AN70)-1))-VALUE(MID(AN70,FIND("-",AN70)+1,10)))))*$D$50),$D$9*(1-(IF($N70="X",ABS($O70-VALUE(MID(AN70,FIND("|",AN70)+1,FIND("-",AN70)-FIND("|",AN70)-1))),ABS($Q70-ABS(VALUE(MID(AN70,FIND("|",AN70)+1,FIND("-",AN70)-FIND("|",AN70)-1))-VALUE(MID(AN70,FIND("-",AN70)+1,10)))))*$D$50)))))*$I70,0)),0)</f>
        <v>0</v>
      </c>
      <c r="AP70" s="338"/>
      <c r="AQ70" s="363" t="s">
        <v>277</v>
      </c>
      <c r="AR70" s="356" t="n">
        <f aca="false">IFERROR(IF($M70=AQ70,($D$8+$D$9+$D$10)*$I70,IF($N70=LEFT(AQ70,1),($D$8+MAX(0,IF($D$50=1,$D$9*(1-(ABS($Q70-ABS(VALUE(MID(AQ70,FIND("|",AQ70)+1,FIND("-",AQ70)-FIND("|",AQ70)-1))-VALUE(MID(AQ70,FIND("-",AQ70)+1,10)))))*$D$50),$D$9*(1-(IF($N70="X",ABS($O70-VALUE(MID(AQ70,FIND("|",AQ70)+1,FIND("-",AQ70)-FIND("|",AQ70)-1))),ABS($Q70-ABS(VALUE(MID(AQ70,FIND("|",AQ70)+1,FIND("-",AQ70)-FIND("|",AQ70)-1))-VALUE(MID(AQ70,FIND("-",AQ70)+1,10)))))*$D$50)))))*$I70,0)),0)</f>
        <v>0</v>
      </c>
      <c r="AS70" s="338"/>
      <c r="AT70" s="363" t="s">
        <v>267</v>
      </c>
      <c r="AU70" s="356" t="n">
        <f aca="false">IFERROR(IF($M70=AT70,($D$8+$D$9+$D$10)*$I70,IF($N70=LEFT(AT70,1),($D$8+MAX(0,IF($D$50=1,$D$9*(1-(ABS($Q70-ABS(VALUE(MID(AT70,FIND("|",AT70)+1,FIND("-",AT70)-FIND("|",AT70)-1))-VALUE(MID(AT70,FIND("-",AT70)+1,10)))))*$D$50),$D$9*(1-(IF($N70="X",ABS($O70-VALUE(MID(AT70,FIND("|",AT70)+1,FIND("-",AT70)-FIND("|",AT70)-1))),ABS($Q70-ABS(VALUE(MID(AT70,FIND("|",AT70)+1,FIND("-",AT70)-FIND("|",AT70)-1))-VALUE(MID(AT70,FIND("-",AT70)+1,10)))))*$D$50)))))*$I70,0)),0)</f>
        <v>0</v>
      </c>
      <c r="AV70" s="338"/>
      <c r="AW70" s="363" t="s">
        <v>268</v>
      </c>
      <c r="AX70" s="356" t="n">
        <f aca="false">IFERROR(IF($M70=AW70,($D$8+$D$9+$D$10)*$I70,IF($N70=LEFT(AW70,1),($D$8+MAX(0,IF($D$50=1,$D$9*(1-(ABS($Q70-ABS(VALUE(MID(AW70,FIND("|",AW70)+1,FIND("-",AW70)-FIND("|",AW70)-1))-VALUE(MID(AW70,FIND("-",AW70)+1,10)))))*$D$50),$D$9*(1-(IF($N70="X",ABS($O70-VALUE(MID(AW70,FIND("|",AW70)+1,FIND("-",AW70)-FIND("|",AW70)-1))),ABS($Q70-ABS(VALUE(MID(AW70,FIND("|",AW70)+1,FIND("-",AW70)-FIND("|",AW70)-1))-VALUE(MID(AW70,FIND("-",AW70)+1,10)))))*$D$50)))))*$I70,0)),0)</f>
        <v>0</v>
      </c>
      <c r="AY70" s="338"/>
      <c r="AZ70" s="363" t="s">
        <v>268</v>
      </c>
      <c r="BA70" s="356" t="n">
        <f aca="false">IFERROR(IF($M70=AZ70,($D$8+$D$9+$D$10)*$I70,IF($N70=LEFT(AZ70,1),($D$8+MAX(0,IF($D$50=1,$D$9*(1-(ABS($Q70-ABS(VALUE(MID(AZ70,FIND("|",AZ70)+1,FIND("-",AZ70)-FIND("|",AZ70)-1))-VALUE(MID(AZ70,FIND("-",AZ70)+1,10)))))*$D$50),$D$9*(1-(IF($N70="X",ABS($O70-VALUE(MID(AZ70,FIND("|",AZ70)+1,FIND("-",AZ70)-FIND("|",AZ70)-1))),ABS($Q70-ABS(VALUE(MID(AZ70,FIND("|",AZ70)+1,FIND("-",AZ70)-FIND("|",AZ70)-1))-VALUE(MID(AZ70,FIND("-",AZ70)+1,10)))))*$D$50)))))*$I70,0)),0)</f>
        <v>0</v>
      </c>
      <c r="BB70" s="338"/>
      <c r="BC70" s="363" t="s">
        <v>268</v>
      </c>
      <c r="BD70" s="356" t="n">
        <f aca="false">IFERROR(IF($M70=BC70,($D$8+$D$9+$D$10)*$I70,IF($N70=LEFT(BC70,1),($D$8+MAX(0,IF($D$50=1,$D$9*(1-(ABS($Q70-ABS(VALUE(MID(BC70,FIND("|",BC70)+1,FIND("-",BC70)-FIND("|",BC70)-1))-VALUE(MID(BC70,FIND("-",BC70)+1,10)))))*$D$50),$D$9*(1-(IF($N70="X",ABS($O70-VALUE(MID(BC70,FIND("|",BC70)+1,FIND("-",BC70)-FIND("|",BC70)-1))),ABS($Q70-ABS(VALUE(MID(BC70,FIND("|",BC70)+1,FIND("-",BC70)-FIND("|",BC70)-1))-VALUE(MID(BC70,FIND("-",BC70)+1,10)))))*$D$50)))))*$I70,0)),0)</f>
        <v>0</v>
      </c>
      <c r="BE70" s="338"/>
      <c r="BF70" s="363" t="s">
        <v>271</v>
      </c>
      <c r="BG70" s="356" t="n">
        <f aca="false">IFERROR(IF($M70=BF70,($D$8+$D$9+$D$10)*$I70,IF($N70=LEFT(BF70,1),($D$8+MAX(0,IF($D$50=1,$D$9*(1-(ABS($Q70-ABS(VALUE(MID(BF70,FIND("|",BF70)+1,FIND("-",BF70)-FIND("|",BF70)-1))-VALUE(MID(BF70,FIND("-",BF70)+1,10)))))*$D$50),$D$9*(1-(IF($N70="X",ABS($O70-VALUE(MID(BF70,FIND("|",BF70)+1,FIND("-",BF70)-FIND("|",BF70)-1))),ABS($Q70-ABS(VALUE(MID(BF70,FIND("|",BF70)+1,FIND("-",BF70)-FIND("|",BF70)-1))-VALUE(MID(BF70,FIND("-",BF70)+1,10)))))*$D$50)))))*$I70,0)),0)</f>
        <v>0</v>
      </c>
      <c r="BH70" s="338"/>
      <c r="BI70" s="363" t="s">
        <v>268</v>
      </c>
      <c r="BJ70" s="356" t="n">
        <f aca="false">IFERROR(IF($M70=BI70,($D$8+$D$9+$D$10)*$I70,IF($N70=LEFT(BI70,1),($D$8+MAX(0,IF($D$50=1,$D$9*(1-(ABS($Q70-ABS(VALUE(MID(BI70,FIND("|",BI70)+1,FIND("-",BI70)-FIND("|",BI70)-1))-VALUE(MID(BI70,FIND("-",BI70)+1,10)))))*$D$50),$D$9*(1-(IF($N70="X",ABS($O70-VALUE(MID(BI70,FIND("|",BI70)+1,FIND("-",BI70)-FIND("|",BI70)-1))),ABS($Q70-ABS(VALUE(MID(BI70,FIND("|",BI70)+1,FIND("-",BI70)-FIND("|",BI70)-1))-VALUE(MID(BI70,FIND("-",BI70)+1,10)))))*$D$50)))))*$I70,0)),0)</f>
        <v>0</v>
      </c>
      <c r="BK70" s="338"/>
      <c r="BL70" s="363" t="s">
        <v>268</v>
      </c>
      <c r="BM70" s="356" t="n">
        <f aca="false">IFERROR(IF($M70=BL70,($D$8+$D$9+$D$10)*$I70,IF($N70=LEFT(BL70,1),($D$8+MAX(0,IF($D$50=1,$D$9*(1-(ABS($Q70-ABS(VALUE(MID(BL70,FIND("|",BL70)+1,FIND("-",BL70)-FIND("|",BL70)-1))-VALUE(MID(BL70,FIND("-",BL70)+1,10)))))*$D$50),$D$9*(1-(IF($N70="X",ABS($O70-VALUE(MID(BL70,FIND("|",BL70)+1,FIND("-",BL70)-FIND("|",BL70)-1))),ABS($Q70-ABS(VALUE(MID(BL70,FIND("|",BL70)+1,FIND("-",BL70)-FIND("|",BL70)-1))-VALUE(MID(BL70,FIND("-",BL70)+1,10)))))*$D$50)))))*$I70,0)),0)</f>
        <v>0</v>
      </c>
      <c r="BN70" s="338"/>
      <c r="BO70" s="363" t="s">
        <v>268</v>
      </c>
      <c r="BP70" s="356" t="n">
        <f aca="false">IFERROR(IF($M70=BO70,($D$8+$D$9+$D$10)*$I70,IF($N70=LEFT(BO70,1),($D$8+MAX(0,IF($D$50=1,$D$9*(1-(ABS($Q70-ABS(VALUE(MID(BO70,FIND("|",BO70)+1,FIND("-",BO70)-FIND("|",BO70)-1))-VALUE(MID(BO70,FIND("-",BO70)+1,10)))))*$D$50),$D$9*(1-(IF($N70="X",ABS($O70-VALUE(MID(BO70,FIND("|",BO70)+1,FIND("-",BO70)-FIND("|",BO70)-1))),ABS($Q70-ABS(VALUE(MID(BO70,FIND("|",BO70)+1,FIND("-",BO70)-FIND("|",BO70)-1))-VALUE(MID(BO70,FIND("-",BO70)+1,10)))))*$D$50)))))*$I70,0)),0)</f>
        <v>0</v>
      </c>
      <c r="BQ70" s="338"/>
      <c r="BR70" s="363" t="s">
        <v>268</v>
      </c>
      <c r="BS70" s="356" t="n">
        <f aca="false">IFERROR(IF($M70=BR70,($D$8+$D$9+$D$10)*$I70,IF($N70=LEFT(BR70,1),($D$8+MAX(0,IF($D$50=1,$D$9*(1-(ABS($Q70-ABS(VALUE(MID(BR70,FIND("|",BR70)+1,FIND("-",BR70)-FIND("|",BR70)-1))-VALUE(MID(BR70,FIND("-",BR70)+1,10)))))*$D$50),$D$9*(1-(IF($N70="X",ABS($O70-VALUE(MID(BR70,FIND("|",BR70)+1,FIND("-",BR70)-FIND("|",BR70)-1))),ABS($Q70-ABS(VALUE(MID(BR70,FIND("|",BR70)+1,FIND("-",BR70)-FIND("|",BR70)-1))-VALUE(MID(BR70,FIND("-",BR70)+1,10)))))*$D$50)))))*$I70,0)),0)</f>
        <v>0</v>
      </c>
      <c r="BT70" s="338"/>
      <c r="BU70" s="363"/>
      <c r="BV70" s="356" t="n">
        <f aca="false">IFERROR(IF($M70=BU70,($D$8+$D$9+$D$10)*$I70,IF($N70=LEFT(BU70,1),($D$8+MAX(0,IF($D$50=1,$D$9*(1-(ABS($Q70-ABS(VALUE(MID(BU70,FIND("|",BU70)+1,FIND("-",BU70)-FIND("|",BU70)-1))-VALUE(MID(BU70,FIND("-",BU70)+1,10)))))*$D$50),$D$9*(1-(IF($N70="X",ABS($O70-VALUE(MID(BU70,FIND("|",BU70)+1,FIND("-",BU70)-FIND("|",BU70)-1))),ABS($Q70-ABS(VALUE(MID(BU70,FIND("|",BU70)+1,FIND("-",BU70)-FIND("|",BU70)-1))-VALUE(MID(BU70,FIND("-",BU70)+1,10)))))*$D$50)))))*$I70,0)),0)</f>
        <v>0</v>
      </c>
      <c r="BW70" s="338"/>
      <c r="BX70" s="363"/>
      <c r="BY70" s="356" t="n">
        <f aca="false">IFERROR(IF($M70=BX70,($D$8+$D$9+$D$10)*$I70,IF($N70=LEFT(BX70,1),($D$8+MAX(0,IF($D$50=1,$D$9*(1-(ABS($Q70-ABS(VALUE(MID(BX70,FIND("|",BX70)+1,FIND("-",BX70)-FIND("|",BX70)-1))-VALUE(MID(BX70,FIND("-",BX70)+1,10)))))*$D$50),$D$9*(1-(IF($N70="X",ABS($O70-VALUE(MID(BX70,FIND("|",BX70)+1,FIND("-",BX70)-FIND("|",BX70)-1))),ABS($Q70-ABS(VALUE(MID(BX70,FIND("|",BX70)+1,FIND("-",BX70)-FIND("|",BX70)-1))-VALUE(MID(BX70,FIND("-",BX70)+1,10)))))*$D$50)))))*$I70,0)),0)</f>
        <v>0</v>
      </c>
      <c r="BZ70" s="338"/>
      <c r="CA70" s="363"/>
      <c r="CB70" s="356" t="n">
        <f aca="false">IFERROR(IF($M70=CA70,($D$8+$D$9+$D$10)*$I70,IF($N70=LEFT(CA70,1),($D$8+MAX(0,IF($D$50=1,$D$9*(1-(ABS($Q70-ABS(VALUE(MID(CA70,FIND("|",CA70)+1,FIND("-",CA70)-FIND("|",CA70)-1))-VALUE(MID(CA70,FIND("-",CA70)+1,10)))))*$D$50),$D$9*(1-(IF($N70="X",ABS($O70-VALUE(MID(CA70,FIND("|",CA70)+1,FIND("-",CA70)-FIND("|",CA70)-1))),ABS($Q70-ABS(VALUE(MID(CA70,FIND("|",CA70)+1,FIND("-",CA70)-FIND("|",CA70)-1))-VALUE(MID(CA70,FIND("-",CA70)+1,10)))))*$D$50)))))*$I70,0)),0)</f>
        <v>0</v>
      </c>
      <c r="CC70" s="338"/>
      <c r="CD70" s="363"/>
      <c r="CE70" s="356" t="n">
        <f aca="false">IFERROR(IF($M70=CD70,($D$8+$D$9+$D$10)*$I70,IF($N70=LEFT(CD70,1),($D$8+MAX(0,IF($D$50=1,$D$9*(1-(ABS($Q70-ABS(VALUE(MID(CD70,FIND("|",CD70)+1,FIND("-",CD70)-FIND("|",CD70)-1))-VALUE(MID(CD70,FIND("-",CD70)+1,10)))))*$D$50),$D$9*(1-(IF($N70="X",ABS($O70-VALUE(MID(CD70,FIND("|",CD70)+1,FIND("-",CD70)-FIND("|",CD70)-1))),ABS($Q70-ABS(VALUE(MID(CD70,FIND("|",CD70)+1,FIND("-",CD70)-FIND("|",CD70)-1))-VALUE(MID(CD70,FIND("-",CD70)+1,10)))))*$D$50)))))*$I70,0)),0)</f>
        <v>0</v>
      </c>
      <c r="CF70" s="338"/>
      <c r="CG70" s="363"/>
      <c r="CH70" s="356" t="n">
        <f aca="false">IFERROR(IF($M70=CG70,($D$8+$D$9+$D$10)*$I70,IF($N70=LEFT(CG70,1),($D$8+MAX(0,IF($D$50=1,$D$9*(1-(ABS($Q70-ABS(VALUE(MID(CG70,FIND("|",CG70)+1,FIND("-",CG70)-FIND("|",CG70)-1))-VALUE(MID(CG70,FIND("-",CG70)+1,10)))))*$D$50),$D$9*(1-(IF($N70="X",ABS($O70-VALUE(MID(CG70,FIND("|",CG70)+1,FIND("-",CG70)-FIND("|",CG70)-1))),ABS($Q70-ABS(VALUE(MID(CG70,FIND("|",CG70)+1,FIND("-",CG70)-FIND("|",CG70)-1))-VALUE(MID(CG70,FIND("-",CG70)+1,10)))))*$D$50)))))*$I70,0)),0)</f>
        <v>0</v>
      </c>
      <c r="CI70" s="338"/>
      <c r="CJ70" s="363"/>
      <c r="CK70" s="356" t="n">
        <f aca="false">IFERROR(IF($M70=CJ70,($D$8+$D$9+$D$10)*$I70,IF($N70=LEFT(CJ70,1),($D$8+MAX(0,IF($D$50=1,$D$9*(1-(ABS($Q70-ABS(VALUE(MID(CJ70,FIND("|",CJ70)+1,FIND("-",CJ70)-FIND("|",CJ70)-1))-VALUE(MID(CJ70,FIND("-",CJ70)+1,10)))))*$D$50),$D$9*(1-(IF($N70="X",ABS($O70-VALUE(MID(CJ70,FIND("|",CJ70)+1,FIND("-",CJ70)-FIND("|",CJ70)-1))),ABS($Q70-ABS(VALUE(MID(CJ70,FIND("|",CJ70)+1,FIND("-",CJ70)-FIND("|",CJ70)-1))-VALUE(MID(CJ70,FIND("-",CJ70)+1,10)))))*$D$50)))))*$I70,0)),0)</f>
        <v>0</v>
      </c>
      <c r="CL70" s="338"/>
      <c r="CM70" s="363"/>
      <c r="CN70" s="356" t="n">
        <f aca="false">IFERROR(IF($M70=CM70,($D$8+$D$9+$D$10)*$I70,IF($N70=LEFT(CM70,1),($D$8+MAX(0,IF($D$50=1,$D$9*(1-(ABS($Q70-ABS(VALUE(MID(CM70,FIND("|",CM70)+1,FIND("-",CM70)-FIND("|",CM70)-1))-VALUE(MID(CM70,FIND("-",CM70)+1,10)))))*$D$50),$D$9*(1-(IF($N70="X",ABS($O70-VALUE(MID(CM70,FIND("|",CM70)+1,FIND("-",CM70)-FIND("|",CM70)-1))),ABS($Q70-ABS(VALUE(MID(CM70,FIND("|",CM70)+1,FIND("-",CM70)-FIND("|",CM70)-1))-VALUE(MID(CM70,FIND("-",CM70)+1,10)))))*$D$50)))))*$I70,0)),0)</f>
        <v>0</v>
      </c>
      <c r="CO70" s="338"/>
      <c r="CP70" s="363"/>
      <c r="CQ70" s="356" t="n">
        <f aca="false">IFERROR(IF($M70=CP70,($D$8+$D$9+$D$10)*$I70,IF($N70=LEFT(CP70,1),($D$8+MAX(0,IF($D$50=1,$D$9*(1-(ABS($Q70-ABS(VALUE(MID(CP70,FIND("|",CP70)+1,FIND("-",CP70)-FIND("|",CP70)-1))-VALUE(MID(CP70,FIND("-",CP70)+1,10)))))*$D$50),$D$9*(1-(IF($N70="X",ABS($O70-VALUE(MID(CP70,FIND("|",CP70)+1,FIND("-",CP70)-FIND("|",CP70)-1))),ABS($Q70-ABS(VALUE(MID(CP70,FIND("|",CP70)+1,FIND("-",CP70)-FIND("|",CP70)-1))-VALUE(MID(CP70,FIND("-",CP70)+1,10)))))*$D$50)))))*$I70,0)),0)</f>
        <v>0</v>
      </c>
      <c r="CR70" s="338"/>
      <c r="CS70" s="363"/>
      <c r="CT70" s="356" t="n">
        <f aca="false">IFERROR(IF($M70=CS70,($D$8+$D$9+$D$10)*$I70,IF($N70=LEFT(CS70,1),($D$8+MAX(0,IF($D$50=1,$D$9*(1-(ABS($Q70-ABS(VALUE(MID(CS70,FIND("|",CS70)+1,FIND("-",CS70)-FIND("|",CS70)-1))-VALUE(MID(CS70,FIND("-",CS70)+1,10)))))*$D$50),$D$9*(1-(IF($N70="X",ABS($O70-VALUE(MID(CS70,FIND("|",CS70)+1,FIND("-",CS70)-FIND("|",CS70)-1))),ABS($Q70-ABS(VALUE(MID(CS70,FIND("|",CS70)+1,FIND("-",CS70)-FIND("|",CS70)-1))-VALUE(MID(CS70,FIND("-",CS70)+1,10)))))*$D$50)))))*$I70,0)),0)</f>
        <v>0</v>
      </c>
      <c r="CU70" s="338"/>
      <c r="CV70" s="363"/>
      <c r="CW70" s="356" t="n">
        <f aca="false">IFERROR(IF($M70=CV70,($D$8+$D$9+$D$10)*$I70,IF($N70=LEFT(CV70,1),($D$8+MAX(0,IF($D$50=1,$D$9*(1-(ABS($Q70-ABS(VALUE(MID(CV70,FIND("|",CV70)+1,FIND("-",CV70)-FIND("|",CV70)-1))-VALUE(MID(CV70,FIND("-",CV70)+1,10)))))*$D$50),$D$9*(1-(IF($N70="X",ABS($O70-VALUE(MID(CV70,FIND("|",CV70)+1,FIND("-",CV70)-FIND("|",CV70)-1))),ABS($Q70-ABS(VALUE(MID(CV70,FIND("|",CV70)+1,FIND("-",CV70)-FIND("|",CV70)-1))-VALUE(MID(CV70,FIND("-",CV70)+1,10)))))*$D$50)))))*$I70,0)),0)</f>
        <v>0</v>
      </c>
      <c r="CX70" s="338"/>
      <c r="CY70" s="363"/>
      <c r="CZ70" s="356" t="n">
        <f aca="false">IFERROR(IF($M70=CY70,($D$8+$D$9+$D$10)*$I70,IF($N70=LEFT(CY70,1),($D$8+MAX(0,IF($D$50=1,$D$9*(1-(ABS($Q70-ABS(VALUE(MID(CY70,FIND("|",CY70)+1,FIND("-",CY70)-FIND("|",CY70)-1))-VALUE(MID(CY70,FIND("-",CY70)+1,10)))))*$D$50),$D$9*(1-(IF($N70="X",ABS($O70-VALUE(MID(CY70,FIND("|",CY70)+1,FIND("-",CY70)-FIND("|",CY70)-1))),ABS($Q70-ABS(VALUE(MID(CY70,FIND("|",CY70)+1,FIND("-",CY70)-FIND("|",CY70)-1))-VALUE(MID(CY70,FIND("-",CY70)+1,10)))))*$D$50)))))*$I70,0)),0)</f>
        <v>0</v>
      </c>
      <c r="DA70" s="338"/>
      <c r="DB70" s="363"/>
      <c r="DC70" s="356" t="n">
        <f aca="false">IFERROR(IF($M70=DB70,($D$8+$D$9+$D$10)*$I70,IF($N70=LEFT(DB70,1),($D$8+MAX(0,IF($D$50=1,$D$9*(1-(ABS($Q70-ABS(VALUE(MID(DB70,FIND("|",DB70)+1,FIND("-",DB70)-FIND("|",DB70)-1))-VALUE(MID(DB70,FIND("-",DB70)+1,10)))))*$D$50),$D$9*(1-(IF($N70="X",ABS($O70-VALUE(MID(DB70,FIND("|",DB70)+1,FIND("-",DB70)-FIND("|",DB70)-1))),ABS($Q70-ABS(VALUE(MID(DB70,FIND("|",DB70)+1,FIND("-",DB70)-FIND("|",DB70)-1))-VALUE(MID(DB70,FIND("-",DB70)+1,10)))))*$D$50)))))*$I70,0)),0)</f>
        <v>0</v>
      </c>
      <c r="DD70" s="338"/>
      <c r="DE70" s="363"/>
      <c r="DF70" s="356" t="n">
        <f aca="false">IFERROR(IF($M70=DE70,($D$8+$D$9+$D$10)*$I70,IF($N70=LEFT(DE70,1),($D$8+MAX(0,IF($D$50=1,$D$9*(1-(ABS($Q70-ABS(VALUE(MID(DE70,FIND("|",DE70)+1,FIND("-",DE70)-FIND("|",DE70)-1))-VALUE(MID(DE70,FIND("-",DE70)+1,10)))))*$D$50),$D$9*(1-(IF($N70="X",ABS($O70-VALUE(MID(DE70,FIND("|",DE70)+1,FIND("-",DE70)-FIND("|",DE70)-1))),ABS($Q70-ABS(VALUE(MID(DE70,FIND("|",DE70)+1,FIND("-",DE70)-FIND("|",DE70)-1))-VALUE(MID(DE70,FIND("-",DE70)+1,10)))))*$D$50)))))*$I70,0)),0)</f>
        <v>0</v>
      </c>
      <c r="DG70" s="338"/>
      <c r="DH70" s="363"/>
      <c r="DI70" s="356" t="n">
        <f aca="false">IFERROR(IF($M70=DH70,($D$8+$D$9+$D$10)*$I70,IF($N70=LEFT(DH70,1),($D$8+MAX(0,IF($D$50=1,$D$9*(1-(ABS($Q70-ABS(VALUE(MID(DH70,FIND("|",DH70)+1,FIND("-",DH70)-FIND("|",DH70)-1))-VALUE(MID(DH70,FIND("-",DH70)+1,10)))))*$D$50),$D$9*(1-(IF($N70="X",ABS($O70-VALUE(MID(DH70,FIND("|",DH70)+1,FIND("-",DH70)-FIND("|",DH70)-1))),ABS($Q70-ABS(VALUE(MID(DH70,FIND("|",DH70)+1,FIND("-",DH70)-FIND("|",DH70)-1))-VALUE(MID(DH70,FIND("-",DH70)+1,10)))))*$D$50)))))*$I70,0)),0)</f>
        <v>0</v>
      </c>
      <c r="DJ70" s="338"/>
      <c r="DK70" s="363"/>
      <c r="DL70" s="356" t="n">
        <f aca="false">IFERROR(IF($M70=DK70,($D$8+$D$9+$D$10)*$I70,IF($N70=LEFT(DK70,1),($D$8+MAX(0,IF($D$50=1,$D$9*(1-(ABS($Q70-ABS(VALUE(MID(DK70,FIND("|",DK70)+1,FIND("-",DK70)-FIND("|",DK70)-1))-VALUE(MID(DK70,FIND("-",DK70)+1,10)))))*$D$50),$D$9*(1-(IF($N70="X",ABS($O70-VALUE(MID(DK70,FIND("|",DK70)+1,FIND("-",DK70)-FIND("|",DK70)-1))),ABS($Q70-ABS(VALUE(MID(DK70,FIND("|",DK70)+1,FIND("-",DK70)-FIND("|",DK70)-1))-VALUE(MID(DK70,FIND("-",DK70)+1,10)))))*$D$50)))))*$I70,0)),0)</f>
        <v>0</v>
      </c>
      <c r="DM70" s="338"/>
      <c r="DN70" s="363"/>
      <c r="DO70" s="356" t="n">
        <f aca="false">IFERROR(IF($M70=DN70,($D$8+$D$9+$D$10)*$I70,IF($N70=LEFT(DN70,1),($D$8+MAX(0,IF($D$50=1,$D$9*(1-(ABS($Q70-ABS(VALUE(MID(DN70,FIND("|",DN70)+1,FIND("-",DN70)-FIND("|",DN70)-1))-VALUE(MID(DN70,FIND("-",DN70)+1,10)))))*$D$50),$D$9*(1-(IF($N70="X",ABS($O70-VALUE(MID(DN70,FIND("|",DN70)+1,FIND("-",DN70)-FIND("|",DN70)-1))),ABS($Q70-ABS(VALUE(MID(DN70,FIND("|",DN70)+1,FIND("-",DN70)-FIND("|",DN70)-1))-VALUE(MID(DN70,FIND("-",DN70)+1,10)))))*$D$50)))))*$I70,0)),0)</f>
        <v>0</v>
      </c>
      <c r="DP70" s="338"/>
      <c r="DQ70" s="363"/>
      <c r="DR70" s="356" t="n">
        <f aca="false">IFERROR(IF($M70=DQ70,($D$8+$D$9+$D$10)*$I70,IF($N70=LEFT(DQ70,1),($D$8+MAX(0,IF($D$50=1,$D$9*(1-(ABS($Q70-ABS(VALUE(MID(DQ70,FIND("|",DQ70)+1,FIND("-",DQ70)-FIND("|",DQ70)-1))-VALUE(MID(DQ70,FIND("-",DQ70)+1,10)))))*$D$50),$D$9*(1-(IF($N70="X",ABS($O70-VALUE(MID(DQ70,FIND("|",DQ70)+1,FIND("-",DQ70)-FIND("|",DQ70)-1))),ABS($Q70-ABS(VALUE(MID(DQ70,FIND("|",DQ70)+1,FIND("-",DQ70)-FIND("|",DQ70)-1))-VALUE(MID(DQ70,FIND("-",DQ70)+1,10)))))*$D$50)))))*$I70,0)),0)</f>
        <v>0</v>
      </c>
      <c r="DS70" s="338"/>
      <c r="DT70" s="363"/>
      <c r="DU70" s="356" t="n">
        <f aca="false">IFERROR(IF($M70=DT70,($D$8+$D$9+$D$10)*$I70,IF($N70=LEFT(DT70,1),($D$8+MAX(0,IF($D$50=1,$D$9*(1-(ABS($Q70-ABS(VALUE(MID(DT70,FIND("|",DT70)+1,FIND("-",DT70)-FIND("|",DT70)-1))-VALUE(MID(DT70,FIND("-",DT70)+1,10)))))*$D$50),$D$9*(1-(IF($N70="X",ABS($O70-VALUE(MID(DT70,FIND("|",DT70)+1,FIND("-",DT70)-FIND("|",DT70)-1))),ABS($Q70-ABS(VALUE(MID(DT70,FIND("|",DT70)+1,FIND("-",DT70)-FIND("|",DT70)-1))-VALUE(MID(DT70,FIND("-",DT70)+1,10)))))*$D$50)))))*$I70,0)),0)</f>
        <v>0</v>
      </c>
      <c r="DV70" s="338"/>
      <c r="DW70" s="363"/>
      <c r="DX70" s="356" t="n">
        <f aca="false">IFERROR(IF($M70=DW70,($D$8+$D$9+$D$10)*$I70,IF($N70=LEFT(DW70,1),($D$8+MAX(0,IF($D$50=1,$D$9*(1-(ABS($Q70-ABS(VALUE(MID(DW70,FIND("|",DW70)+1,FIND("-",DW70)-FIND("|",DW70)-1))-VALUE(MID(DW70,FIND("-",DW70)+1,10)))))*$D$50),$D$9*(1-(IF($N70="X",ABS($O70-VALUE(MID(DW70,FIND("|",DW70)+1,FIND("-",DW70)-FIND("|",DW70)-1))),ABS($Q70-ABS(VALUE(MID(DW70,FIND("|",DW70)+1,FIND("-",DW70)-FIND("|",DW70)-1))-VALUE(MID(DW70,FIND("-",DW70)+1,10)))))*$D$50)))))*$I70,0)),0)</f>
        <v>0</v>
      </c>
      <c r="DY70" s="338"/>
      <c r="DZ70" s="363"/>
      <c r="EA70" s="356" t="n">
        <f aca="false">IFERROR(IF($M70=DZ70,($D$8+$D$9+$D$10)*$I70,IF($N70=LEFT(DZ70,1),($D$8+MAX(0,IF($D$50=1,$D$9*(1-(ABS($Q70-ABS(VALUE(MID(DZ70,FIND("|",DZ70)+1,FIND("-",DZ70)-FIND("|",DZ70)-1))-VALUE(MID(DZ70,FIND("-",DZ70)+1,10)))))*$D$50),$D$9*(1-(IF($N70="X",ABS($O70-VALUE(MID(DZ70,FIND("|",DZ70)+1,FIND("-",DZ70)-FIND("|",DZ70)-1))),ABS($Q70-ABS(VALUE(MID(DZ70,FIND("|",DZ70)+1,FIND("-",DZ70)-FIND("|",DZ70)-1))-VALUE(MID(DZ70,FIND("-",DZ70)+1,10)))))*$D$50)))))*$I70,0)),0)</f>
        <v>0</v>
      </c>
      <c r="EB70" s="338"/>
      <c r="EC70" s="363"/>
      <c r="ED70" s="356" t="n">
        <f aca="false">IFERROR(IF($M70=EC70,($D$8+$D$9+$D$10)*$I70,IF($N70=LEFT(EC70,1),($D$8+MAX(0,IF($D$50=1,$D$9*(1-(ABS($Q70-ABS(VALUE(MID(EC70,FIND("|",EC70)+1,FIND("-",EC70)-FIND("|",EC70)-1))-VALUE(MID(EC70,FIND("-",EC70)+1,10)))))*$D$50),$D$9*(1-(IF($N70="X",ABS($O70-VALUE(MID(EC70,FIND("|",EC70)+1,FIND("-",EC70)-FIND("|",EC70)-1))),ABS($Q70-ABS(VALUE(MID(EC70,FIND("|",EC70)+1,FIND("-",EC70)-FIND("|",EC70)-1))-VALUE(MID(EC70,FIND("-",EC70)+1,10)))))*$D$50)))))*$I70,0)),0)</f>
        <v>0</v>
      </c>
      <c r="EE70" s="338"/>
      <c r="EF70" s="363"/>
      <c r="EG70" s="356" t="n">
        <f aca="false">IFERROR(IF($M70=EF70,($D$8+$D$9+$D$10)*$I70,IF($N70=LEFT(EF70,1),($D$8+MAX(0,IF($D$50=1,$D$9*(1-(ABS($Q70-ABS(VALUE(MID(EF70,FIND("|",EF70)+1,FIND("-",EF70)-FIND("|",EF70)-1))-VALUE(MID(EF70,FIND("-",EF70)+1,10)))))*$D$50),$D$9*(1-(IF($N70="X",ABS($O70-VALUE(MID(EF70,FIND("|",EF70)+1,FIND("-",EF70)-FIND("|",EF70)-1))),ABS($Q70-ABS(VALUE(MID(EF70,FIND("|",EF70)+1,FIND("-",EF70)-FIND("|",EF70)-1))-VALUE(MID(EF70,FIND("-",EF70)+1,10)))))*$D$50)))))*$I70,0)),0)</f>
        <v>0</v>
      </c>
      <c r="EH70" s="338"/>
      <c r="EI70" s="338"/>
    </row>
    <row r="71" customFormat="false" ht="15" hidden="false" customHeight="false" outlineLevel="0" collapsed="false">
      <c r="A71" s="327"/>
      <c r="B71" s="327"/>
      <c r="C71" s="332"/>
      <c r="D71" s="332"/>
      <c r="E71" s="327"/>
      <c r="F71" s="394" t="n">
        <f aca="false">SUM($D$8:$D$10)*I71</f>
        <v>17</v>
      </c>
      <c r="G71" s="394" t="n">
        <f aca="false">VLOOKUP(H71,Equipos!$Q$1:$R$25,2,0)</f>
        <v>16</v>
      </c>
      <c r="H71" s="395" t="n">
        <f aca="false">TRUNC(INDEX(WORLDCUP!$X$4:$X$147,MATCH(ADMIN!K71,WORLDCUP!$DT$4:$DT$147,0))+INDEX(Horarios!$R$3:$R$86,MATCH(Horarios!$C$3,Horarios!$P$3:$P$86,0))/24)</f>
        <v>46199</v>
      </c>
      <c r="I71" s="352" t="n">
        <v>1</v>
      </c>
      <c r="J71" s="353" t="s">
        <v>326</v>
      </c>
      <c r="K71" s="367" t="str">
        <f aca="false">CONCATENATE(WORLDCUP!AA73,"-",WORLDCUP!AF73)</f>
        <v>Senegal-Irak</v>
      </c>
      <c r="L71" s="354"/>
      <c r="M71" s="359" t="str">
        <f aca="false">IF(OR(WORLDCUP!AC73="",WORLDCUP!AD73=""),"-",N71&amp;"|"&amp;O71&amp;"-"&amp;P71)</f>
        <v>-</v>
      </c>
      <c r="N71" s="332" t="str">
        <f aca="false">IF(OR(WORLDCUP!AC73="",WORLDCUP!AD73=""),"",IF(WORLDCUP!AC73&gt;WORLDCUP!AD73,"1",IF(WORLDCUP!AC73&lt;WORLDCUP!AD73,"2","X")))</f>
        <v/>
      </c>
      <c r="O71" s="332" t="n">
        <f aca="false">WORLDCUP!AC73</f>
        <v>0</v>
      </c>
      <c r="P71" s="332" t="n">
        <f aca="false">WORLDCUP!AD73</f>
        <v>0</v>
      </c>
      <c r="Q71" s="332" t="n">
        <f aca="false">ABS(O71-P71)</f>
        <v>0</v>
      </c>
      <c r="R71" s="327"/>
      <c r="S71" s="363" t="s">
        <v>275</v>
      </c>
      <c r="T71" s="356" t="n">
        <f aca="false">IFERROR(IF($M71=S71,($D$8+$D$9+$D$10)*$I71,IF($N71=LEFT(S71,1),($D$8+MAX(0,IF($D$50=1,$D$9*(1-(ABS($Q71-ABS(VALUE(MID(S71,FIND("|",S71)+1,FIND("-",S71)-FIND("|",S71)-1))-VALUE(MID(S71,FIND("-",S71)+1,10)))))*$D$50),$D$9*(1-(IF($N71="X",ABS($O71-VALUE(MID(S71,FIND("|",S71)+1,FIND("-",S71)-FIND("|",S71)-1))),ABS($Q71-ABS(VALUE(MID(S71,FIND("|",S71)+1,FIND("-",S71)-FIND("|",S71)-1))-VALUE(MID(S71,FIND("-",S71)+1,10)))))*$D$50)))))*$I71,0)),0)</f>
        <v>0</v>
      </c>
      <c r="U71" s="338"/>
      <c r="V71" s="363" t="s">
        <v>265</v>
      </c>
      <c r="W71" s="356" t="n">
        <f aca="false">IFERROR(IF($M71=V71,($D$8+$D$9+$D$10)*$I71,IF($N71=LEFT(V71,1),($D$8+MAX(0,IF($D$50=1,$D$9*(1-(ABS($Q71-ABS(VALUE(MID(V71,FIND("|",V71)+1,FIND("-",V71)-FIND("|",V71)-1))-VALUE(MID(V71,FIND("-",V71)+1,10)))))*$D$50),$D$9*(1-(IF($N71="X",ABS($O71-VALUE(MID(V71,FIND("|",V71)+1,FIND("-",V71)-FIND("|",V71)-1))),ABS($Q71-ABS(VALUE(MID(V71,FIND("|",V71)+1,FIND("-",V71)-FIND("|",V71)-1))-VALUE(MID(V71,FIND("-",V71)+1,10)))))*$D$50)))))*$I71,0)),0)</f>
        <v>0</v>
      </c>
      <c r="X71" s="338"/>
      <c r="Y71" s="363" t="s">
        <v>266</v>
      </c>
      <c r="Z71" s="356" t="n">
        <f aca="false">IFERROR(IF($M71=Y71,($D$8+$D$9+$D$10)*$I71,IF($N71=LEFT(Y71,1),($D$8+MAX(0,IF($D$50=1,$D$9*(1-(ABS($Q71-ABS(VALUE(MID(Y71,FIND("|",Y71)+1,FIND("-",Y71)-FIND("|",Y71)-1))-VALUE(MID(Y71,FIND("-",Y71)+1,10)))))*$D$50),$D$9*(1-(IF($N71="X",ABS($O71-VALUE(MID(Y71,FIND("|",Y71)+1,FIND("-",Y71)-FIND("|",Y71)-1))),ABS($Q71-ABS(VALUE(MID(Y71,FIND("|",Y71)+1,FIND("-",Y71)-FIND("|",Y71)-1))-VALUE(MID(Y71,FIND("-",Y71)+1,10)))))*$D$50)))))*$I71,0)),0)</f>
        <v>0</v>
      </c>
      <c r="AA71" s="338"/>
      <c r="AB71" s="363" t="s">
        <v>265</v>
      </c>
      <c r="AC71" s="356" t="n">
        <f aca="false">IFERROR(IF($M71=AB71,($D$8+$D$9+$D$10)*$I71,IF($N71=LEFT(AB71,1),($D$8+MAX(0,IF($D$50=1,$D$9*(1-(ABS($Q71-ABS(VALUE(MID(AB71,FIND("|",AB71)+1,FIND("-",AB71)-FIND("|",AB71)-1))-VALUE(MID(AB71,FIND("-",AB71)+1,10)))))*$D$50),$D$9*(1-(IF($N71="X",ABS($O71-VALUE(MID(AB71,FIND("|",AB71)+1,FIND("-",AB71)-FIND("|",AB71)-1))),ABS($Q71-ABS(VALUE(MID(AB71,FIND("|",AB71)+1,FIND("-",AB71)-FIND("|",AB71)-1))-VALUE(MID(AB71,FIND("-",AB71)+1,10)))))*$D$50)))))*$I71,0)),0)</f>
        <v>0</v>
      </c>
      <c r="AD71" s="338"/>
      <c r="AE71" s="363" t="s">
        <v>272</v>
      </c>
      <c r="AF71" s="356" t="n">
        <f aca="false">IFERROR(IF($M71=AE71,($D$8+$D$9+$D$10)*$I71,IF($N71=LEFT(AE71,1),($D$8+MAX(0,IF($D$50=1,$D$9*(1-(ABS($Q71-ABS(VALUE(MID(AE71,FIND("|",AE71)+1,FIND("-",AE71)-FIND("|",AE71)-1))-VALUE(MID(AE71,FIND("-",AE71)+1,10)))))*$D$50),$D$9*(1-(IF($N71="X",ABS($O71-VALUE(MID(AE71,FIND("|",AE71)+1,FIND("-",AE71)-FIND("|",AE71)-1))),ABS($Q71-ABS(VALUE(MID(AE71,FIND("|",AE71)+1,FIND("-",AE71)-FIND("|",AE71)-1))-VALUE(MID(AE71,FIND("-",AE71)+1,10)))))*$D$50)))))*$I71,0)),0)</f>
        <v>0</v>
      </c>
      <c r="AG71" s="338"/>
      <c r="AH71" s="363" t="s">
        <v>266</v>
      </c>
      <c r="AI71" s="356" t="n">
        <f aca="false">IFERROR(IF($M71=AH71,($D$8+$D$9+$D$10)*$I71,IF($N71=LEFT(AH71,1),($D$8+MAX(0,IF($D$50=1,$D$9*(1-(ABS($Q71-ABS(VALUE(MID(AH71,FIND("|",AH71)+1,FIND("-",AH71)-FIND("|",AH71)-1))-VALUE(MID(AH71,FIND("-",AH71)+1,10)))))*$D$50),$D$9*(1-(IF($N71="X",ABS($O71-VALUE(MID(AH71,FIND("|",AH71)+1,FIND("-",AH71)-FIND("|",AH71)-1))),ABS($Q71-ABS(VALUE(MID(AH71,FIND("|",AH71)+1,FIND("-",AH71)-FIND("|",AH71)-1))-VALUE(MID(AH71,FIND("-",AH71)+1,10)))))*$D$50)))))*$I71,0)),0)</f>
        <v>0</v>
      </c>
      <c r="AJ71" s="338"/>
      <c r="AK71" s="363" t="s">
        <v>266</v>
      </c>
      <c r="AL71" s="356" t="n">
        <f aca="false">IFERROR(IF($M71=AK71,($D$8+$D$9+$D$10)*$I71,IF($N71=LEFT(AK71,1),($D$8+MAX(0,IF($D$50=1,$D$9*(1-(ABS($Q71-ABS(VALUE(MID(AK71,FIND("|",AK71)+1,FIND("-",AK71)-FIND("|",AK71)-1))-VALUE(MID(AK71,FIND("-",AK71)+1,10)))))*$D$50),$D$9*(1-(IF($N71="X",ABS($O71-VALUE(MID(AK71,FIND("|",AK71)+1,FIND("-",AK71)-FIND("|",AK71)-1))),ABS($Q71-ABS(VALUE(MID(AK71,FIND("|",AK71)+1,FIND("-",AK71)-FIND("|",AK71)-1))-VALUE(MID(AK71,FIND("-",AK71)+1,10)))))*$D$50)))))*$I71,0)),0)</f>
        <v>0</v>
      </c>
      <c r="AM71" s="338"/>
      <c r="AN71" s="363" t="s">
        <v>266</v>
      </c>
      <c r="AO71" s="356" t="n">
        <f aca="false">IFERROR(IF($M71=AN71,($D$8+$D$9+$D$10)*$I71,IF($N71=LEFT(AN71,1),($D$8+MAX(0,IF($D$50=1,$D$9*(1-(ABS($Q71-ABS(VALUE(MID(AN71,FIND("|",AN71)+1,FIND("-",AN71)-FIND("|",AN71)-1))-VALUE(MID(AN71,FIND("-",AN71)+1,10)))))*$D$50),$D$9*(1-(IF($N71="X",ABS($O71-VALUE(MID(AN71,FIND("|",AN71)+1,FIND("-",AN71)-FIND("|",AN71)-1))),ABS($Q71-ABS(VALUE(MID(AN71,FIND("|",AN71)+1,FIND("-",AN71)-FIND("|",AN71)-1))-VALUE(MID(AN71,FIND("-",AN71)+1,10)))))*$D$50)))))*$I71,0)),0)</f>
        <v>0</v>
      </c>
      <c r="AP71" s="338"/>
      <c r="AQ71" s="363" t="s">
        <v>265</v>
      </c>
      <c r="AR71" s="356" t="n">
        <f aca="false">IFERROR(IF($M71=AQ71,($D$8+$D$9+$D$10)*$I71,IF($N71=LEFT(AQ71,1),($D$8+MAX(0,IF($D$50=1,$D$9*(1-(ABS($Q71-ABS(VALUE(MID(AQ71,FIND("|",AQ71)+1,FIND("-",AQ71)-FIND("|",AQ71)-1))-VALUE(MID(AQ71,FIND("-",AQ71)+1,10)))))*$D$50),$D$9*(1-(IF($N71="X",ABS($O71-VALUE(MID(AQ71,FIND("|",AQ71)+1,FIND("-",AQ71)-FIND("|",AQ71)-1))),ABS($Q71-ABS(VALUE(MID(AQ71,FIND("|",AQ71)+1,FIND("-",AQ71)-FIND("|",AQ71)-1))-VALUE(MID(AQ71,FIND("-",AQ71)+1,10)))))*$D$50)))))*$I71,0)),0)</f>
        <v>0</v>
      </c>
      <c r="AS71" s="338"/>
      <c r="AT71" s="363" t="s">
        <v>272</v>
      </c>
      <c r="AU71" s="356" t="n">
        <f aca="false">IFERROR(IF($M71=AT71,($D$8+$D$9+$D$10)*$I71,IF($N71=LEFT(AT71,1),($D$8+MAX(0,IF($D$50=1,$D$9*(1-(ABS($Q71-ABS(VALUE(MID(AT71,FIND("|",AT71)+1,FIND("-",AT71)-FIND("|",AT71)-1))-VALUE(MID(AT71,FIND("-",AT71)+1,10)))))*$D$50),$D$9*(1-(IF($N71="X",ABS($O71-VALUE(MID(AT71,FIND("|",AT71)+1,FIND("-",AT71)-FIND("|",AT71)-1))),ABS($Q71-ABS(VALUE(MID(AT71,FIND("|",AT71)+1,FIND("-",AT71)-FIND("|",AT71)-1))-VALUE(MID(AT71,FIND("-",AT71)+1,10)))))*$D$50)))))*$I71,0)),0)</f>
        <v>0</v>
      </c>
      <c r="AV71" s="338"/>
      <c r="AW71" s="363" t="s">
        <v>266</v>
      </c>
      <c r="AX71" s="356" t="n">
        <f aca="false">IFERROR(IF($M71=AW71,($D$8+$D$9+$D$10)*$I71,IF($N71=LEFT(AW71,1),($D$8+MAX(0,IF($D$50=1,$D$9*(1-(ABS($Q71-ABS(VALUE(MID(AW71,FIND("|",AW71)+1,FIND("-",AW71)-FIND("|",AW71)-1))-VALUE(MID(AW71,FIND("-",AW71)+1,10)))))*$D$50),$D$9*(1-(IF($N71="X",ABS($O71-VALUE(MID(AW71,FIND("|",AW71)+1,FIND("-",AW71)-FIND("|",AW71)-1))),ABS($Q71-ABS(VALUE(MID(AW71,FIND("|",AW71)+1,FIND("-",AW71)-FIND("|",AW71)-1))-VALUE(MID(AW71,FIND("-",AW71)+1,10)))))*$D$50)))))*$I71,0)),0)</f>
        <v>0</v>
      </c>
      <c r="AY71" s="338"/>
      <c r="AZ71" s="363" t="s">
        <v>266</v>
      </c>
      <c r="BA71" s="356" t="n">
        <f aca="false">IFERROR(IF($M71=AZ71,($D$8+$D$9+$D$10)*$I71,IF($N71=LEFT(AZ71,1),($D$8+MAX(0,IF($D$50=1,$D$9*(1-(ABS($Q71-ABS(VALUE(MID(AZ71,FIND("|",AZ71)+1,FIND("-",AZ71)-FIND("|",AZ71)-1))-VALUE(MID(AZ71,FIND("-",AZ71)+1,10)))))*$D$50),$D$9*(1-(IF($N71="X",ABS($O71-VALUE(MID(AZ71,FIND("|",AZ71)+1,FIND("-",AZ71)-FIND("|",AZ71)-1))),ABS($Q71-ABS(VALUE(MID(AZ71,FIND("|",AZ71)+1,FIND("-",AZ71)-FIND("|",AZ71)-1))-VALUE(MID(AZ71,FIND("-",AZ71)+1,10)))))*$D$50)))))*$I71,0)),0)</f>
        <v>0</v>
      </c>
      <c r="BB71" s="338"/>
      <c r="BC71" s="363" t="s">
        <v>266</v>
      </c>
      <c r="BD71" s="356" t="n">
        <f aca="false">IFERROR(IF($M71=BC71,($D$8+$D$9+$D$10)*$I71,IF($N71=LEFT(BC71,1),($D$8+MAX(0,IF($D$50=1,$D$9*(1-(ABS($Q71-ABS(VALUE(MID(BC71,FIND("|",BC71)+1,FIND("-",BC71)-FIND("|",BC71)-1))-VALUE(MID(BC71,FIND("-",BC71)+1,10)))))*$D$50),$D$9*(1-(IF($N71="X",ABS($O71-VALUE(MID(BC71,FIND("|",BC71)+1,FIND("-",BC71)-FIND("|",BC71)-1))),ABS($Q71-ABS(VALUE(MID(BC71,FIND("|",BC71)+1,FIND("-",BC71)-FIND("|",BC71)-1))-VALUE(MID(BC71,FIND("-",BC71)+1,10)))))*$D$50)))))*$I71,0)),0)</f>
        <v>0</v>
      </c>
      <c r="BE71" s="338"/>
      <c r="BF71" s="363" t="s">
        <v>275</v>
      </c>
      <c r="BG71" s="356" t="n">
        <f aca="false">IFERROR(IF($M71=BF71,($D$8+$D$9+$D$10)*$I71,IF($N71=LEFT(BF71,1),($D$8+MAX(0,IF($D$50=1,$D$9*(1-(ABS($Q71-ABS(VALUE(MID(BF71,FIND("|",BF71)+1,FIND("-",BF71)-FIND("|",BF71)-1))-VALUE(MID(BF71,FIND("-",BF71)+1,10)))))*$D$50),$D$9*(1-(IF($N71="X",ABS($O71-VALUE(MID(BF71,FIND("|",BF71)+1,FIND("-",BF71)-FIND("|",BF71)-1))),ABS($Q71-ABS(VALUE(MID(BF71,FIND("|",BF71)+1,FIND("-",BF71)-FIND("|",BF71)-1))-VALUE(MID(BF71,FIND("-",BF71)+1,10)))))*$D$50)))))*$I71,0)),0)</f>
        <v>0</v>
      </c>
      <c r="BH71" s="338"/>
      <c r="BI71" s="363" t="s">
        <v>265</v>
      </c>
      <c r="BJ71" s="356" t="n">
        <f aca="false">IFERROR(IF($M71=BI71,($D$8+$D$9+$D$10)*$I71,IF($N71=LEFT(BI71,1),($D$8+MAX(0,IF($D$50=1,$D$9*(1-(ABS($Q71-ABS(VALUE(MID(BI71,FIND("|",BI71)+1,FIND("-",BI71)-FIND("|",BI71)-1))-VALUE(MID(BI71,FIND("-",BI71)+1,10)))))*$D$50),$D$9*(1-(IF($N71="X",ABS($O71-VALUE(MID(BI71,FIND("|",BI71)+1,FIND("-",BI71)-FIND("|",BI71)-1))),ABS($Q71-ABS(VALUE(MID(BI71,FIND("|",BI71)+1,FIND("-",BI71)-FIND("|",BI71)-1))-VALUE(MID(BI71,FIND("-",BI71)+1,10)))))*$D$50)))))*$I71,0)),0)</f>
        <v>0</v>
      </c>
      <c r="BK71" s="338"/>
      <c r="BL71" s="363" t="s">
        <v>265</v>
      </c>
      <c r="BM71" s="356" t="n">
        <f aca="false">IFERROR(IF($M71=BL71,($D$8+$D$9+$D$10)*$I71,IF($N71=LEFT(BL71,1),($D$8+MAX(0,IF($D$50=1,$D$9*(1-(ABS($Q71-ABS(VALUE(MID(BL71,FIND("|",BL71)+1,FIND("-",BL71)-FIND("|",BL71)-1))-VALUE(MID(BL71,FIND("-",BL71)+1,10)))))*$D$50),$D$9*(1-(IF($N71="X",ABS($O71-VALUE(MID(BL71,FIND("|",BL71)+1,FIND("-",BL71)-FIND("|",BL71)-1))),ABS($Q71-ABS(VALUE(MID(BL71,FIND("|",BL71)+1,FIND("-",BL71)-FIND("|",BL71)-1))-VALUE(MID(BL71,FIND("-",BL71)+1,10)))))*$D$50)))))*$I71,0)),0)</f>
        <v>0</v>
      </c>
      <c r="BN71" s="338"/>
      <c r="BO71" s="363" t="s">
        <v>288</v>
      </c>
      <c r="BP71" s="356" t="n">
        <f aca="false">IFERROR(IF($M71=BO71,($D$8+$D$9+$D$10)*$I71,IF($N71=LEFT(BO71,1),($D$8+MAX(0,IF($D$50=1,$D$9*(1-(ABS($Q71-ABS(VALUE(MID(BO71,FIND("|",BO71)+1,FIND("-",BO71)-FIND("|",BO71)-1))-VALUE(MID(BO71,FIND("-",BO71)+1,10)))))*$D$50),$D$9*(1-(IF($N71="X",ABS($O71-VALUE(MID(BO71,FIND("|",BO71)+1,FIND("-",BO71)-FIND("|",BO71)-1))),ABS($Q71-ABS(VALUE(MID(BO71,FIND("|",BO71)+1,FIND("-",BO71)-FIND("|",BO71)-1))-VALUE(MID(BO71,FIND("-",BO71)+1,10)))))*$D$50)))))*$I71,0)),0)</f>
        <v>0</v>
      </c>
      <c r="BQ71" s="338"/>
      <c r="BR71" s="363" t="s">
        <v>266</v>
      </c>
      <c r="BS71" s="356" t="n">
        <f aca="false">IFERROR(IF($M71=BR71,($D$8+$D$9+$D$10)*$I71,IF($N71=LEFT(BR71,1),($D$8+MAX(0,IF($D$50=1,$D$9*(1-(ABS($Q71-ABS(VALUE(MID(BR71,FIND("|",BR71)+1,FIND("-",BR71)-FIND("|",BR71)-1))-VALUE(MID(BR71,FIND("-",BR71)+1,10)))))*$D$50),$D$9*(1-(IF($N71="X",ABS($O71-VALUE(MID(BR71,FIND("|",BR71)+1,FIND("-",BR71)-FIND("|",BR71)-1))),ABS($Q71-ABS(VALUE(MID(BR71,FIND("|",BR71)+1,FIND("-",BR71)-FIND("|",BR71)-1))-VALUE(MID(BR71,FIND("-",BR71)+1,10)))))*$D$50)))))*$I71,0)),0)</f>
        <v>0</v>
      </c>
      <c r="BT71" s="338"/>
      <c r="BU71" s="363"/>
      <c r="BV71" s="356" t="n">
        <f aca="false">IFERROR(IF($M71=BU71,($D$8+$D$9+$D$10)*$I71,IF($N71=LEFT(BU71,1),($D$8+MAX(0,IF($D$50=1,$D$9*(1-(ABS($Q71-ABS(VALUE(MID(BU71,FIND("|",BU71)+1,FIND("-",BU71)-FIND("|",BU71)-1))-VALUE(MID(BU71,FIND("-",BU71)+1,10)))))*$D$50),$D$9*(1-(IF($N71="X",ABS($O71-VALUE(MID(BU71,FIND("|",BU71)+1,FIND("-",BU71)-FIND("|",BU71)-1))),ABS($Q71-ABS(VALUE(MID(BU71,FIND("|",BU71)+1,FIND("-",BU71)-FIND("|",BU71)-1))-VALUE(MID(BU71,FIND("-",BU71)+1,10)))))*$D$50)))))*$I71,0)),0)</f>
        <v>0</v>
      </c>
      <c r="BW71" s="338"/>
      <c r="BX71" s="363"/>
      <c r="BY71" s="356" t="n">
        <f aca="false">IFERROR(IF($M71=BX71,($D$8+$D$9+$D$10)*$I71,IF($N71=LEFT(BX71,1),($D$8+MAX(0,IF($D$50=1,$D$9*(1-(ABS($Q71-ABS(VALUE(MID(BX71,FIND("|",BX71)+1,FIND("-",BX71)-FIND("|",BX71)-1))-VALUE(MID(BX71,FIND("-",BX71)+1,10)))))*$D$50),$D$9*(1-(IF($N71="X",ABS($O71-VALUE(MID(BX71,FIND("|",BX71)+1,FIND("-",BX71)-FIND("|",BX71)-1))),ABS($Q71-ABS(VALUE(MID(BX71,FIND("|",BX71)+1,FIND("-",BX71)-FIND("|",BX71)-1))-VALUE(MID(BX71,FIND("-",BX71)+1,10)))))*$D$50)))))*$I71,0)),0)</f>
        <v>0</v>
      </c>
      <c r="BZ71" s="338"/>
      <c r="CA71" s="363"/>
      <c r="CB71" s="356" t="n">
        <f aca="false">IFERROR(IF($M71=CA71,($D$8+$D$9+$D$10)*$I71,IF($N71=LEFT(CA71,1),($D$8+MAX(0,IF($D$50=1,$D$9*(1-(ABS($Q71-ABS(VALUE(MID(CA71,FIND("|",CA71)+1,FIND("-",CA71)-FIND("|",CA71)-1))-VALUE(MID(CA71,FIND("-",CA71)+1,10)))))*$D$50),$D$9*(1-(IF($N71="X",ABS($O71-VALUE(MID(CA71,FIND("|",CA71)+1,FIND("-",CA71)-FIND("|",CA71)-1))),ABS($Q71-ABS(VALUE(MID(CA71,FIND("|",CA71)+1,FIND("-",CA71)-FIND("|",CA71)-1))-VALUE(MID(CA71,FIND("-",CA71)+1,10)))))*$D$50)))))*$I71,0)),0)</f>
        <v>0</v>
      </c>
      <c r="CC71" s="338"/>
      <c r="CD71" s="363"/>
      <c r="CE71" s="356" t="n">
        <f aca="false">IFERROR(IF($M71=CD71,($D$8+$D$9+$D$10)*$I71,IF($N71=LEFT(CD71,1),($D$8+MAX(0,IF($D$50=1,$D$9*(1-(ABS($Q71-ABS(VALUE(MID(CD71,FIND("|",CD71)+1,FIND("-",CD71)-FIND("|",CD71)-1))-VALUE(MID(CD71,FIND("-",CD71)+1,10)))))*$D$50),$D$9*(1-(IF($N71="X",ABS($O71-VALUE(MID(CD71,FIND("|",CD71)+1,FIND("-",CD71)-FIND("|",CD71)-1))),ABS($Q71-ABS(VALUE(MID(CD71,FIND("|",CD71)+1,FIND("-",CD71)-FIND("|",CD71)-1))-VALUE(MID(CD71,FIND("-",CD71)+1,10)))))*$D$50)))))*$I71,0)),0)</f>
        <v>0</v>
      </c>
      <c r="CF71" s="338"/>
      <c r="CG71" s="363"/>
      <c r="CH71" s="356" t="n">
        <f aca="false">IFERROR(IF($M71=CG71,($D$8+$D$9+$D$10)*$I71,IF($N71=LEFT(CG71,1),($D$8+MAX(0,IF($D$50=1,$D$9*(1-(ABS($Q71-ABS(VALUE(MID(CG71,FIND("|",CG71)+1,FIND("-",CG71)-FIND("|",CG71)-1))-VALUE(MID(CG71,FIND("-",CG71)+1,10)))))*$D$50),$D$9*(1-(IF($N71="X",ABS($O71-VALUE(MID(CG71,FIND("|",CG71)+1,FIND("-",CG71)-FIND("|",CG71)-1))),ABS($Q71-ABS(VALUE(MID(CG71,FIND("|",CG71)+1,FIND("-",CG71)-FIND("|",CG71)-1))-VALUE(MID(CG71,FIND("-",CG71)+1,10)))))*$D$50)))))*$I71,0)),0)</f>
        <v>0</v>
      </c>
      <c r="CI71" s="338"/>
      <c r="CJ71" s="363"/>
      <c r="CK71" s="356" t="n">
        <f aca="false">IFERROR(IF($M71=CJ71,($D$8+$D$9+$D$10)*$I71,IF($N71=LEFT(CJ71,1),($D$8+MAX(0,IF($D$50=1,$D$9*(1-(ABS($Q71-ABS(VALUE(MID(CJ71,FIND("|",CJ71)+1,FIND("-",CJ71)-FIND("|",CJ71)-1))-VALUE(MID(CJ71,FIND("-",CJ71)+1,10)))))*$D$50),$D$9*(1-(IF($N71="X",ABS($O71-VALUE(MID(CJ71,FIND("|",CJ71)+1,FIND("-",CJ71)-FIND("|",CJ71)-1))),ABS($Q71-ABS(VALUE(MID(CJ71,FIND("|",CJ71)+1,FIND("-",CJ71)-FIND("|",CJ71)-1))-VALUE(MID(CJ71,FIND("-",CJ71)+1,10)))))*$D$50)))))*$I71,0)),0)</f>
        <v>0</v>
      </c>
      <c r="CL71" s="338"/>
      <c r="CM71" s="363"/>
      <c r="CN71" s="356" t="n">
        <f aca="false">IFERROR(IF($M71=CM71,($D$8+$D$9+$D$10)*$I71,IF($N71=LEFT(CM71,1),($D$8+MAX(0,IF($D$50=1,$D$9*(1-(ABS($Q71-ABS(VALUE(MID(CM71,FIND("|",CM71)+1,FIND("-",CM71)-FIND("|",CM71)-1))-VALUE(MID(CM71,FIND("-",CM71)+1,10)))))*$D$50),$D$9*(1-(IF($N71="X",ABS($O71-VALUE(MID(CM71,FIND("|",CM71)+1,FIND("-",CM71)-FIND("|",CM71)-1))),ABS($Q71-ABS(VALUE(MID(CM71,FIND("|",CM71)+1,FIND("-",CM71)-FIND("|",CM71)-1))-VALUE(MID(CM71,FIND("-",CM71)+1,10)))))*$D$50)))))*$I71,0)),0)</f>
        <v>0</v>
      </c>
      <c r="CO71" s="338"/>
      <c r="CP71" s="363"/>
      <c r="CQ71" s="356" t="n">
        <f aca="false">IFERROR(IF($M71=CP71,($D$8+$D$9+$D$10)*$I71,IF($N71=LEFT(CP71,1),($D$8+MAX(0,IF($D$50=1,$D$9*(1-(ABS($Q71-ABS(VALUE(MID(CP71,FIND("|",CP71)+1,FIND("-",CP71)-FIND("|",CP71)-1))-VALUE(MID(CP71,FIND("-",CP71)+1,10)))))*$D$50),$D$9*(1-(IF($N71="X",ABS($O71-VALUE(MID(CP71,FIND("|",CP71)+1,FIND("-",CP71)-FIND("|",CP71)-1))),ABS($Q71-ABS(VALUE(MID(CP71,FIND("|",CP71)+1,FIND("-",CP71)-FIND("|",CP71)-1))-VALUE(MID(CP71,FIND("-",CP71)+1,10)))))*$D$50)))))*$I71,0)),0)</f>
        <v>0</v>
      </c>
      <c r="CR71" s="338"/>
      <c r="CS71" s="363"/>
      <c r="CT71" s="356" t="n">
        <f aca="false">IFERROR(IF($M71=CS71,($D$8+$D$9+$D$10)*$I71,IF($N71=LEFT(CS71,1),($D$8+MAX(0,IF($D$50=1,$D$9*(1-(ABS($Q71-ABS(VALUE(MID(CS71,FIND("|",CS71)+1,FIND("-",CS71)-FIND("|",CS71)-1))-VALUE(MID(CS71,FIND("-",CS71)+1,10)))))*$D$50),$D$9*(1-(IF($N71="X",ABS($O71-VALUE(MID(CS71,FIND("|",CS71)+1,FIND("-",CS71)-FIND("|",CS71)-1))),ABS($Q71-ABS(VALUE(MID(CS71,FIND("|",CS71)+1,FIND("-",CS71)-FIND("|",CS71)-1))-VALUE(MID(CS71,FIND("-",CS71)+1,10)))))*$D$50)))))*$I71,0)),0)</f>
        <v>0</v>
      </c>
      <c r="CU71" s="338"/>
      <c r="CV71" s="363"/>
      <c r="CW71" s="356" t="n">
        <f aca="false">IFERROR(IF($M71=CV71,($D$8+$D$9+$D$10)*$I71,IF($N71=LEFT(CV71,1),($D$8+MAX(0,IF($D$50=1,$D$9*(1-(ABS($Q71-ABS(VALUE(MID(CV71,FIND("|",CV71)+1,FIND("-",CV71)-FIND("|",CV71)-1))-VALUE(MID(CV71,FIND("-",CV71)+1,10)))))*$D$50),$D$9*(1-(IF($N71="X",ABS($O71-VALUE(MID(CV71,FIND("|",CV71)+1,FIND("-",CV71)-FIND("|",CV71)-1))),ABS($Q71-ABS(VALUE(MID(CV71,FIND("|",CV71)+1,FIND("-",CV71)-FIND("|",CV71)-1))-VALUE(MID(CV71,FIND("-",CV71)+1,10)))))*$D$50)))))*$I71,0)),0)</f>
        <v>0</v>
      </c>
      <c r="CX71" s="338"/>
      <c r="CY71" s="363"/>
      <c r="CZ71" s="356" t="n">
        <f aca="false">IFERROR(IF($M71=CY71,($D$8+$D$9+$D$10)*$I71,IF($N71=LEFT(CY71,1),($D$8+MAX(0,IF($D$50=1,$D$9*(1-(ABS($Q71-ABS(VALUE(MID(CY71,FIND("|",CY71)+1,FIND("-",CY71)-FIND("|",CY71)-1))-VALUE(MID(CY71,FIND("-",CY71)+1,10)))))*$D$50),$D$9*(1-(IF($N71="X",ABS($O71-VALUE(MID(CY71,FIND("|",CY71)+1,FIND("-",CY71)-FIND("|",CY71)-1))),ABS($Q71-ABS(VALUE(MID(CY71,FIND("|",CY71)+1,FIND("-",CY71)-FIND("|",CY71)-1))-VALUE(MID(CY71,FIND("-",CY71)+1,10)))))*$D$50)))))*$I71,0)),0)</f>
        <v>0</v>
      </c>
      <c r="DA71" s="338"/>
      <c r="DB71" s="363"/>
      <c r="DC71" s="356" t="n">
        <f aca="false">IFERROR(IF($M71=DB71,($D$8+$D$9+$D$10)*$I71,IF($N71=LEFT(DB71,1),($D$8+MAX(0,IF($D$50=1,$D$9*(1-(ABS($Q71-ABS(VALUE(MID(DB71,FIND("|",DB71)+1,FIND("-",DB71)-FIND("|",DB71)-1))-VALUE(MID(DB71,FIND("-",DB71)+1,10)))))*$D$50),$D$9*(1-(IF($N71="X",ABS($O71-VALUE(MID(DB71,FIND("|",DB71)+1,FIND("-",DB71)-FIND("|",DB71)-1))),ABS($Q71-ABS(VALUE(MID(DB71,FIND("|",DB71)+1,FIND("-",DB71)-FIND("|",DB71)-1))-VALUE(MID(DB71,FIND("-",DB71)+1,10)))))*$D$50)))))*$I71,0)),0)</f>
        <v>0</v>
      </c>
      <c r="DD71" s="338"/>
      <c r="DE71" s="363"/>
      <c r="DF71" s="356" t="n">
        <f aca="false">IFERROR(IF($M71=DE71,($D$8+$D$9+$D$10)*$I71,IF($N71=LEFT(DE71,1),($D$8+MAX(0,IF($D$50=1,$D$9*(1-(ABS($Q71-ABS(VALUE(MID(DE71,FIND("|",DE71)+1,FIND("-",DE71)-FIND("|",DE71)-1))-VALUE(MID(DE71,FIND("-",DE71)+1,10)))))*$D$50),$D$9*(1-(IF($N71="X",ABS($O71-VALUE(MID(DE71,FIND("|",DE71)+1,FIND("-",DE71)-FIND("|",DE71)-1))),ABS($Q71-ABS(VALUE(MID(DE71,FIND("|",DE71)+1,FIND("-",DE71)-FIND("|",DE71)-1))-VALUE(MID(DE71,FIND("-",DE71)+1,10)))))*$D$50)))))*$I71,0)),0)</f>
        <v>0</v>
      </c>
      <c r="DG71" s="338"/>
      <c r="DH71" s="363"/>
      <c r="DI71" s="356" t="n">
        <f aca="false">IFERROR(IF($M71=DH71,($D$8+$D$9+$D$10)*$I71,IF($N71=LEFT(DH71,1),($D$8+MAX(0,IF($D$50=1,$D$9*(1-(ABS($Q71-ABS(VALUE(MID(DH71,FIND("|",DH71)+1,FIND("-",DH71)-FIND("|",DH71)-1))-VALUE(MID(DH71,FIND("-",DH71)+1,10)))))*$D$50),$D$9*(1-(IF($N71="X",ABS($O71-VALUE(MID(DH71,FIND("|",DH71)+1,FIND("-",DH71)-FIND("|",DH71)-1))),ABS($Q71-ABS(VALUE(MID(DH71,FIND("|",DH71)+1,FIND("-",DH71)-FIND("|",DH71)-1))-VALUE(MID(DH71,FIND("-",DH71)+1,10)))))*$D$50)))))*$I71,0)),0)</f>
        <v>0</v>
      </c>
      <c r="DJ71" s="338"/>
      <c r="DK71" s="363"/>
      <c r="DL71" s="356" t="n">
        <f aca="false">IFERROR(IF($M71=DK71,($D$8+$D$9+$D$10)*$I71,IF($N71=LEFT(DK71,1),($D$8+MAX(0,IF($D$50=1,$D$9*(1-(ABS($Q71-ABS(VALUE(MID(DK71,FIND("|",DK71)+1,FIND("-",DK71)-FIND("|",DK71)-1))-VALUE(MID(DK71,FIND("-",DK71)+1,10)))))*$D$50),$D$9*(1-(IF($N71="X",ABS($O71-VALUE(MID(DK71,FIND("|",DK71)+1,FIND("-",DK71)-FIND("|",DK71)-1))),ABS($Q71-ABS(VALUE(MID(DK71,FIND("|",DK71)+1,FIND("-",DK71)-FIND("|",DK71)-1))-VALUE(MID(DK71,FIND("-",DK71)+1,10)))))*$D$50)))))*$I71,0)),0)</f>
        <v>0</v>
      </c>
      <c r="DM71" s="338"/>
      <c r="DN71" s="363"/>
      <c r="DO71" s="356" t="n">
        <f aca="false">IFERROR(IF($M71=DN71,($D$8+$D$9+$D$10)*$I71,IF($N71=LEFT(DN71,1),($D$8+MAX(0,IF($D$50=1,$D$9*(1-(ABS($Q71-ABS(VALUE(MID(DN71,FIND("|",DN71)+1,FIND("-",DN71)-FIND("|",DN71)-1))-VALUE(MID(DN71,FIND("-",DN71)+1,10)))))*$D$50),$D$9*(1-(IF($N71="X",ABS($O71-VALUE(MID(DN71,FIND("|",DN71)+1,FIND("-",DN71)-FIND("|",DN71)-1))),ABS($Q71-ABS(VALUE(MID(DN71,FIND("|",DN71)+1,FIND("-",DN71)-FIND("|",DN71)-1))-VALUE(MID(DN71,FIND("-",DN71)+1,10)))))*$D$50)))))*$I71,0)),0)</f>
        <v>0</v>
      </c>
      <c r="DP71" s="338"/>
      <c r="DQ71" s="363"/>
      <c r="DR71" s="356" t="n">
        <f aca="false">IFERROR(IF($M71=DQ71,($D$8+$D$9+$D$10)*$I71,IF($N71=LEFT(DQ71,1),($D$8+MAX(0,IF($D$50=1,$D$9*(1-(ABS($Q71-ABS(VALUE(MID(DQ71,FIND("|",DQ71)+1,FIND("-",DQ71)-FIND("|",DQ71)-1))-VALUE(MID(DQ71,FIND("-",DQ71)+1,10)))))*$D$50),$D$9*(1-(IF($N71="X",ABS($O71-VALUE(MID(DQ71,FIND("|",DQ71)+1,FIND("-",DQ71)-FIND("|",DQ71)-1))),ABS($Q71-ABS(VALUE(MID(DQ71,FIND("|",DQ71)+1,FIND("-",DQ71)-FIND("|",DQ71)-1))-VALUE(MID(DQ71,FIND("-",DQ71)+1,10)))))*$D$50)))))*$I71,0)),0)</f>
        <v>0</v>
      </c>
      <c r="DS71" s="338"/>
      <c r="DT71" s="363"/>
      <c r="DU71" s="356" t="n">
        <f aca="false">IFERROR(IF($M71=DT71,($D$8+$D$9+$D$10)*$I71,IF($N71=LEFT(DT71,1),($D$8+MAX(0,IF($D$50=1,$D$9*(1-(ABS($Q71-ABS(VALUE(MID(DT71,FIND("|",DT71)+1,FIND("-",DT71)-FIND("|",DT71)-1))-VALUE(MID(DT71,FIND("-",DT71)+1,10)))))*$D$50),$D$9*(1-(IF($N71="X",ABS($O71-VALUE(MID(DT71,FIND("|",DT71)+1,FIND("-",DT71)-FIND("|",DT71)-1))),ABS($Q71-ABS(VALUE(MID(DT71,FIND("|",DT71)+1,FIND("-",DT71)-FIND("|",DT71)-1))-VALUE(MID(DT71,FIND("-",DT71)+1,10)))))*$D$50)))))*$I71,0)),0)</f>
        <v>0</v>
      </c>
      <c r="DV71" s="338"/>
      <c r="DW71" s="363"/>
      <c r="DX71" s="356" t="n">
        <f aca="false">IFERROR(IF($M71=DW71,($D$8+$D$9+$D$10)*$I71,IF($N71=LEFT(DW71,1),($D$8+MAX(0,IF($D$50=1,$D$9*(1-(ABS($Q71-ABS(VALUE(MID(DW71,FIND("|",DW71)+1,FIND("-",DW71)-FIND("|",DW71)-1))-VALUE(MID(DW71,FIND("-",DW71)+1,10)))))*$D$50),$D$9*(1-(IF($N71="X",ABS($O71-VALUE(MID(DW71,FIND("|",DW71)+1,FIND("-",DW71)-FIND("|",DW71)-1))),ABS($Q71-ABS(VALUE(MID(DW71,FIND("|",DW71)+1,FIND("-",DW71)-FIND("|",DW71)-1))-VALUE(MID(DW71,FIND("-",DW71)+1,10)))))*$D$50)))))*$I71,0)),0)</f>
        <v>0</v>
      </c>
      <c r="DY71" s="338"/>
      <c r="DZ71" s="363"/>
      <c r="EA71" s="356" t="n">
        <f aca="false">IFERROR(IF($M71=DZ71,($D$8+$D$9+$D$10)*$I71,IF($N71=LEFT(DZ71,1),($D$8+MAX(0,IF($D$50=1,$D$9*(1-(ABS($Q71-ABS(VALUE(MID(DZ71,FIND("|",DZ71)+1,FIND("-",DZ71)-FIND("|",DZ71)-1))-VALUE(MID(DZ71,FIND("-",DZ71)+1,10)))))*$D$50),$D$9*(1-(IF($N71="X",ABS($O71-VALUE(MID(DZ71,FIND("|",DZ71)+1,FIND("-",DZ71)-FIND("|",DZ71)-1))),ABS($Q71-ABS(VALUE(MID(DZ71,FIND("|",DZ71)+1,FIND("-",DZ71)-FIND("|",DZ71)-1))-VALUE(MID(DZ71,FIND("-",DZ71)+1,10)))))*$D$50)))))*$I71,0)),0)</f>
        <v>0</v>
      </c>
      <c r="EB71" s="338"/>
      <c r="EC71" s="355"/>
      <c r="ED71" s="356" t="n">
        <f aca="false">IFERROR(IF($M71=EC71,($D$8+$D$9+$D$10)*$I71,IF($N71=LEFT(EC71,1),($D$8+MAX(0,IF($D$50=1,$D$9*(1-(ABS($Q71-ABS(VALUE(MID(EC71,FIND("|",EC71)+1,FIND("-",EC71)-FIND("|",EC71)-1))-VALUE(MID(EC71,FIND("-",EC71)+1,10)))))*$D$50),$D$9*(1-(IF($N71="X",ABS($O71-VALUE(MID(EC71,FIND("|",EC71)+1,FIND("-",EC71)-FIND("|",EC71)-1))),ABS($Q71-ABS(VALUE(MID(EC71,FIND("|",EC71)+1,FIND("-",EC71)-FIND("|",EC71)-1))-VALUE(MID(EC71,FIND("-",EC71)+1,10)))))*$D$50)))))*$I71,0)),0)</f>
        <v>0</v>
      </c>
      <c r="EE71" s="338"/>
      <c r="EF71" s="363"/>
      <c r="EG71" s="356" t="n">
        <f aca="false">IFERROR(IF($M71=EF71,($D$8+$D$9+$D$10)*$I71,IF($N71=LEFT(EF71,1),($D$8+MAX(0,IF($D$50=1,$D$9*(1-(ABS($Q71-ABS(VALUE(MID(EF71,FIND("|",EF71)+1,FIND("-",EF71)-FIND("|",EF71)-1))-VALUE(MID(EF71,FIND("-",EF71)+1,10)))))*$D$50),$D$9*(1-(IF($N71="X",ABS($O71-VALUE(MID(EF71,FIND("|",EF71)+1,FIND("-",EF71)-FIND("|",EF71)-1))),ABS($Q71-ABS(VALUE(MID(EF71,FIND("|",EF71)+1,FIND("-",EF71)-FIND("|",EF71)-1))-VALUE(MID(EF71,FIND("-",EF71)+1,10)))))*$D$50)))))*$I71,0)),0)</f>
        <v>0</v>
      </c>
      <c r="EH71" s="338"/>
      <c r="EI71" s="338"/>
    </row>
    <row r="72" customFormat="false" ht="15" hidden="false" customHeight="false" outlineLevel="0" collapsed="false">
      <c r="A72" s="327"/>
      <c r="B72" s="327"/>
      <c r="C72" s="332"/>
      <c r="D72" s="332"/>
      <c r="E72" s="327"/>
      <c r="F72" s="394" t="n">
        <f aca="false">SUM($D$8:$D$10)*I72</f>
        <v>17</v>
      </c>
      <c r="G72" s="394" t="n">
        <f aca="false">VLOOKUP(H72,Equipos!$Q$1:$R$25,2,0)</f>
        <v>18</v>
      </c>
      <c r="H72" s="395" t="n">
        <f aca="false">TRUNC(INDEX(WORLDCUP!$X$4:$X$147,MATCH(ADMIN!K72,WORLDCUP!$DT$4:$DT$147,0))+INDEX(Horarios!$R$3:$R$86,MATCH(Horarios!$C$3,Horarios!$P$3:$P$86,0))/24)</f>
        <v>46201</v>
      </c>
      <c r="I72" s="352" t="n">
        <v>1</v>
      </c>
      <c r="J72" s="362" t="s">
        <v>327</v>
      </c>
      <c r="K72" s="354" t="str">
        <f aca="false">CONCATENATE(WORLDCUP!AA80,"-",WORLDCUP!AF80)</f>
        <v>Argelia-Austria</v>
      </c>
      <c r="L72" s="354"/>
      <c r="M72" s="359" t="str">
        <f aca="false">IF(OR(WORLDCUP!AC80="",WORLDCUP!AD80=""),"-",N72&amp;"|"&amp;O72&amp;"-"&amp;P72)</f>
        <v>-</v>
      </c>
      <c r="N72" s="332" t="str">
        <f aca="false">IF(OR(WORLDCUP!AC80="",WORLDCUP!AD80=""),"",IF(WORLDCUP!AC80&gt;WORLDCUP!AD80,"1",IF(WORLDCUP!AC80&lt;WORLDCUP!AD80,"2","X")))</f>
        <v/>
      </c>
      <c r="O72" s="332" t="n">
        <f aca="false">WORLDCUP!AC80</f>
        <v>0</v>
      </c>
      <c r="P72" s="332" t="n">
        <f aca="false">WORLDCUP!AD80</f>
        <v>0</v>
      </c>
      <c r="Q72" s="332" t="n">
        <f aca="false">ABS(O72-P72)</f>
        <v>0</v>
      </c>
      <c r="R72" s="327"/>
      <c r="S72" s="363" t="s">
        <v>267</v>
      </c>
      <c r="T72" s="356" t="n">
        <f aca="false">IFERROR(IF($M72=S72,($D$8+$D$9+$D$10)*$I72,IF($N72=LEFT(S72,1),($D$8+MAX(0,IF($D$50=1,$D$9*(1-(ABS($Q72-ABS(VALUE(MID(S72,FIND("|",S72)+1,FIND("-",S72)-FIND("|",S72)-1))-VALUE(MID(S72,FIND("-",S72)+1,10)))))*$D$50),$D$9*(1-(IF($N72="X",ABS($O72-VALUE(MID(S72,FIND("|",S72)+1,FIND("-",S72)-FIND("|",S72)-1))),ABS($Q72-ABS(VALUE(MID(S72,FIND("|",S72)+1,FIND("-",S72)-FIND("|",S72)-1))-VALUE(MID(S72,FIND("-",S72)+1,10)))))*$D$50)))))*$I72,0)),0)</f>
        <v>0</v>
      </c>
      <c r="U72" s="338"/>
      <c r="V72" s="363" t="s">
        <v>267</v>
      </c>
      <c r="W72" s="356" t="n">
        <f aca="false">IFERROR(IF($M72=V72,($D$8+$D$9+$D$10)*$I72,IF($N72=LEFT(V72,1),($D$8+MAX(0,IF($D$50=1,$D$9*(1-(ABS($Q72-ABS(VALUE(MID(V72,FIND("|",V72)+1,FIND("-",V72)-FIND("|",V72)-1))-VALUE(MID(V72,FIND("-",V72)+1,10)))))*$D$50),$D$9*(1-(IF($N72="X",ABS($O72-VALUE(MID(V72,FIND("|",V72)+1,FIND("-",V72)-FIND("|",V72)-1))),ABS($Q72-ABS(VALUE(MID(V72,FIND("|",V72)+1,FIND("-",V72)-FIND("|",V72)-1))-VALUE(MID(V72,FIND("-",V72)+1,10)))))*$D$50)))))*$I72,0)),0)</f>
        <v>0</v>
      </c>
      <c r="X72" s="338"/>
      <c r="Y72" s="363" t="s">
        <v>267</v>
      </c>
      <c r="Z72" s="356" t="n">
        <f aca="false">IFERROR(IF($M72=Y72,($D$8+$D$9+$D$10)*$I72,IF($N72=LEFT(Y72,1),($D$8+MAX(0,IF($D$50=1,$D$9*(1-(ABS($Q72-ABS(VALUE(MID(Y72,FIND("|",Y72)+1,FIND("-",Y72)-FIND("|",Y72)-1))-VALUE(MID(Y72,FIND("-",Y72)+1,10)))))*$D$50),$D$9*(1-(IF($N72="X",ABS($O72-VALUE(MID(Y72,FIND("|",Y72)+1,FIND("-",Y72)-FIND("|",Y72)-1))),ABS($Q72-ABS(VALUE(MID(Y72,FIND("|",Y72)+1,FIND("-",Y72)-FIND("|",Y72)-1))-VALUE(MID(Y72,FIND("-",Y72)+1,10)))))*$D$50)))))*$I72,0)),0)</f>
        <v>0</v>
      </c>
      <c r="AA72" s="338"/>
      <c r="AB72" s="363" t="s">
        <v>274</v>
      </c>
      <c r="AC72" s="356" t="n">
        <f aca="false">IFERROR(IF($M72=AB72,($D$8+$D$9+$D$10)*$I72,IF($N72=LEFT(AB72,1),($D$8+MAX(0,IF($D$50=1,$D$9*(1-(ABS($Q72-ABS(VALUE(MID(AB72,FIND("|",AB72)+1,FIND("-",AB72)-FIND("|",AB72)-1))-VALUE(MID(AB72,FIND("-",AB72)+1,10)))))*$D$50),$D$9*(1-(IF($N72="X",ABS($O72-VALUE(MID(AB72,FIND("|",AB72)+1,FIND("-",AB72)-FIND("|",AB72)-1))),ABS($Q72-ABS(VALUE(MID(AB72,FIND("|",AB72)+1,FIND("-",AB72)-FIND("|",AB72)-1))-VALUE(MID(AB72,FIND("-",AB72)+1,10)))))*$D$50)))))*$I72,0)),0)</f>
        <v>0</v>
      </c>
      <c r="AD72" s="338"/>
      <c r="AE72" s="363" t="s">
        <v>264</v>
      </c>
      <c r="AF72" s="356" t="n">
        <f aca="false">IFERROR(IF($M72=AE72,($D$8+$D$9+$D$10)*$I72,IF($N72=LEFT(AE72,1),($D$8+MAX(0,IF($D$50=1,$D$9*(1-(ABS($Q72-ABS(VALUE(MID(AE72,FIND("|",AE72)+1,FIND("-",AE72)-FIND("|",AE72)-1))-VALUE(MID(AE72,FIND("-",AE72)+1,10)))))*$D$50),$D$9*(1-(IF($N72="X",ABS($O72-VALUE(MID(AE72,FIND("|",AE72)+1,FIND("-",AE72)-FIND("|",AE72)-1))),ABS($Q72-ABS(VALUE(MID(AE72,FIND("|",AE72)+1,FIND("-",AE72)-FIND("|",AE72)-1))-VALUE(MID(AE72,FIND("-",AE72)+1,10)))))*$D$50)))))*$I72,0)),0)</f>
        <v>0</v>
      </c>
      <c r="AG72" s="338"/>
      <c r="AH72" s="363" t="s">
        <v>268</v>
      </c>
      <c r="AI72" s="356" t="n">
        <f aca="false">IFERROR(IF($M72=AH72,($D$8+$D$9+$D$10)*$I72,IF($N72=LEFT(AH72,1),($D$8+MAX(0,IF($D$50=1,$D$9*(1-(ABS($Q72-ABS(VALUE(MID(AH72,FIND("|",AH72)+1,FIND("-",AH72)-FIND("|",AH72)-1))-VALUE(MID(AH72,FIND("-",AH72)+1,10)))))*$D$50),$D$9*(1-(IF($N72="X",ABS($O72-VALUE(MID(AH72,FIND("|",AH72)+1,FIND("-",AH72)-FIND("|",AH72)-1))),ABS($Q72-ABS(VALUE(MID(AH72,FIND("|",AH72)+1,FIND("-",AH72)-FIND("|",AH72)-1))-VALUE(MID(AH72,FIND("-",AH72)+1,10)))))*$D$50)))))*$I72,0)),0)</f>
        <v>0</v>
      </c>
      <c r="AJ72" s="338"/>
      <c r="AK72" s="363" t="s">
        <v>268</v>
      </c>
      <c r="AL72" s="356" t="n">
        <f aca="false">IFERROR(IF($M72=AK72,($D$8+$D$9+$D$10)*$I72,IF($N72=LEFT(AK72,1),($D$8+MAX(0,IF($D$50=1,$D$9*(1-(ABS($Q72-ABS(VALUE(MID(AK72,FIND("|",AK72)+1,FIND("-",AK72)-FIND("|",AK72)-1))-VALUE(MID(AK72,FIND("-",AK72)+1,10)))))*$D$50),$D$9*(1-(IF($N72="X",ABS($O72-VALUE(MID(AK72,FIND("|",AK72)+1,FIND("-",AK72)-FIND("|",AK72)-1))),ABS($Q72-ABS(VALUE(MID(AK72,FIND("|",AK72)+1,FIND("-",AK72)-FIND("|",AK72)-1))-VALUE(MID(AK72,FIND("-",AK72)+1,10)))))*$D$50)))))*$I72,0)),0)</f>
        <v>0</v>
      </c>
      <c r="AM72" s="338"/>
      <c r="AN72" s="363" t="s">
        <v>267</v>
      </c>
      <c r="AO72" s="356" t="n">
        <f aca="false">IFERROR(IF($M72=AN72,($D$8+$D$9+$D$10)*$I72,IF($N72=LEFT(AN72,1),($D$8+MAX(0,IF($D$50=1,$D$9*(1-(ABS($Q72-ABS(VALUE(MID(AN72,FIND("|",AN72)+1,FIND("-",AN72)-FIND("|",AN72)-1))-VALUE(MID(AN72,FIND("-",AN72)+1,10)))))*$D$50),$D$9*(1-(IF($N72="X",ABS($O72-VALUE(MID(AN72,FIND("|",AN72)+1,FIND("-",AN72)-FIND("|",AN72)-1))),ABS($Q72-ABS(VALUE(MID(AN72,FIND("|",AN72)+1,FIND("-",AN72)-FIND("|",AN72)-1))-VALUE(MID(AN72,FIND("-",AN72)+1,10)))))*$D$50)))))*$I72,0)),0)</f>
        <v>0</v>
      </c>
      <c r="AP72" s="338"/>
      <c r="AQ72" s="363" t="s">
        <v>274</v>
      </c>
      <c r="AR72" s="356" t="n">
        <f aca="false">IFERROR(IF($M72=AQ72,($D$8+$D$9+$D$10)*$I72,IF($N72=LEFT(AQ72,1),($D$8+MAX(0,IF($D$50=1,$D$9*(1-(ABS($Q72-ABS(VALUE(MID(AQ72,FIND("|",AQ72)+1,FIND("-",AQ72)-FIND("|",AQ72)-1))-VALUE(MID(AQ72,FIND("-",AQ72)+1,10)))))*$D$50),$D$9*(1-(IF($N72="X",ABS($O72-VALUE(MID(AQ72,FIND("|",AQ72)+1,FIND("-",AQ72)-FIND("|",AQ72)-1))),ABS($Q72-ABS(VALUE(MID(AQ72,FIND("|",AQ72)+1,FIND("-",AQ72)-FIND("|",AQ72)-1))-VALUE(MID(AQ72,FIND("-",AQ72)+1,10)))))*$D$50)))))*$I72,0)),0)</f>
        <v>0</v>
      </c>
      <c r="AS72" s="338"/>
      <c r="AT72" s="363" t="s">
        <v>271</v>
      </c>
      <c r="AU72" s="356" t="n">
        <f aca="false">IFERROR(IF($M72=AT72,($D$8+$D$9+$D$10)*$I72,IF($N72=LEFT(AT72,1),($D$8+MAX(0,IF($D$50=1,$D$9*(1-(ABS($Q72-ABS(VALUE(MID(AT72,FIND("|",AT72)+1,FIND("-",AT72)-FIND("|",AT72)-1))-VALUE(MID(AT72,FIND("-",AT72)+1,10)))))*$D$50),$D$9*(1-(IF($N72="X",ABS($O72-VALUE(MID(AT72,FIND("|",AT72)+1,FIND("-",AT72)-FIND("|",AT72)-1))),ABS($Q72-ABS(VALUE(MID(AT72,FIND("|",AT72)+1,FIND("-",AT72)-FIND("|",AT72)-1))-VALUE(MID(AT72,FIND("-",AT72)+1,10)))))*$D$50)))))*$I72,0)),0)</f>
        <v>0</v>
      </c>
      <c r="AV72" s="338"/>
      <c r="AW72" s="363" t="s">
        <v>267</v>
      </c>
      <c r="AX72" s="356" t="n">
        <f aca="false">IFERROR(IF($M72=AW72,($D$8+$D$9+$D$10)*$I72,IF($N72=LEFT(AW72,1),($D$8+MAX(0,IF($D$50=1,$D$9*(1-(ABS($Q72-ABS(VALUE(MID(AW72,FIND("|",AW72)+1,FIND("-",AW72)-FIND("|",AW72)-1))-VALUE(MID(AW72,FIND("-",AW72)+1,10)))))*$D$50),$D$9*(1-(IF($N72="X",ABS($O72-VALUE(MID(AW72,FIND("|",AW72)+1,FIND("-",AW72)-FIND("|",AW72)-1))),ABS($Q72-ABS(VALUE(MID(AW72,FIND("|",AW72)+1,FIND("-",AW72)-FIND("|",AW72)-1))-VALUE(MID(AW72,FIND("-",AW72)+1,10)))))*$D$50)))))*$I72,0)),0)</f>
        <v>0</v>
      </c>
      <c r="AY72" s="338"/>
      <c r="AZ72" s="363" t="s">
        <v>268</v>
      </c>
      <c r="BA72" s="356" t="n">
        <f aca="false">IFERROR(IF($M72=AZ72,($D$8+$D$9+$D$10)*$I72,IF($N72=LEFT(AZ72,1),($D$8+MAX(0,IF($D$50=1,$D$9*(1-(ABS($Q72-ABS(VALUE(MID(AZ72,FIND("|",AZ72)+1,FIND("-",AZ72)-FIND("|",AZ72)-1))-VALUE(MID(AZ72,FIND("-",AZ72)+1,10)))))*$D$50),$D$9*(1-(IF($N72="X",ABS($O72-VALUE(MID(AZ72,FIND("|",AZ72)+1,FIND("-",AZ72)-FIND("|",AZ72)-1))),ABS($Q72-ABS(VALUE(MID(AZ72,FIND("|",AZ72)+1,FIND("-",AZ72)-FIND("|",AZ72)-1))-VALUE(MID(AZ72,FIND("-",AZ72)+1,10)))))*$D$50)))))*$I72,0)),0)</f>
        <v>0</v>
      </c>
      <c r="BB72" s="338"/>
      <c r="BC72" s="363" t="s">
        <v>267</v>
      </c>
      <c r="BD72" s="356" t="n">
        <f aca="false">IFERROR(IF($M72=BC72,($D$8+$D$9+$D$10)*$I72,IF($N72=LEFT(BC72,1),($D$8+MAX(0,IF($D$50=1,$D$9*(1-(ABS($Q72-ABS(VALUE(MID(BC72,FIND("|",BC72)+1,FIND("-",BC72)-FIND("|",BC72)-1))-VALUE(MID(BC72,FIND("-",BC72)+1,10)))))*$D$50),$D$9*(1-(IF($N72="X",ABS($O72-VALUE(MID(BC72,FIND("|",BC72)+1,FIND("-",BC72)-FIND("|",BC72)-1))),ABS($Q72-ABS(VALUE(MID(BC72,FIND("|",BC72)+1,FIND("-",BC72)-FIND("|",BC72)-1))-VALUE(MID(BC72,FIND("-",BC72)+1,10)))))*$D$50)))))*$I72,0)),0)</f>
        <v>0</v>
      </c>
      <c r="BE72" s="338"/>
      <c r="BF72" s="363" t="s">
        <v>271</v>
      </c>
      <c r="BG72" s="356" t="n">
        <f aca="false">IFERROR(IF($M72=BF72,($D$8+$D$9+$D$10)*$I72,IF($N72=LEFT(BF72,1),($D$8+MAX(0,IF($D$50=1,$D$9*(1-(ABS($Q72-ABS(VALUE(MID(BF72,FIND("|",BF72)+1,FIND("-",BF72)-FIND("|",BF72)-1))-VALUE(MID(BF72,FIND("-",BF72)+1,10)))))*$D$50),$D$9*(1-(IF($N72="X",ABS($O72-VALUE(MID(BF72,FIND("|",BF72)+1,FIND("-",BF72)-FIND("|",BF72)-1))),ABS($Q72-ABS(VALUE(MID(BF72,FIND("|",BF72)+1,FIND("-",BF72)-FIND("|",BF72)-1))-VALUE(MID(BF72,FIND("-",BF72)+1,10)))))*$D$50)))))*$I72,0)),0)</f>
        <v>0</v>
      </c>
      <c r="BH72" s="338"/>
      <c r="BI72" s="363" t="s">
        <v>271</v>
      </c>
      <c r="BJ72" s="356" t="n">
        <f aca="false">IFERROR(IF($M72=BI72,($D$8+$D$9+$D$10)*$I72,IF($N72=LEFT(BI72,1),($D$8+MAX(0,IF($D$50=1,$D$9*(1-(ABS($Q72-ABS(VALUE(MID(BI72,FIND("|",BI72)+1,FIND("-",BI72)-FIND("|",BI72)-1))-VALUE(MID(BI72,FIND("-",BI72)+1,10)))))*$D$50),$D$9*(1-(IF($N72="X",ABS($O72-VALUE(MID(BI72,FIND("|",BI72)+1,FIND("-",BI72)-FIND("|",BI72)-1))),ABS($Q72-ABS(VALUE(MID(BI72,FIND("|",BI72)+1,FIND("-",BI72)-FIND("|",BI72)-1))-VALUE(MID(BI72,FIND("-",BI72)+1,10)))))*$D$50)))))*$I72,0)),0)</f>
        <v>0</v>
      </c>
      <c r="BK72" s="338"/>
      <c r="BL72" s="363" t="s">
        <v>267</v>
      </c>
      <c r="BM72" s="356" t="n">
        <f aca="false">IFERROR(IF($M72=BL72,($D$8+$D$9+$D$10)*$I72,IF($N72=LEFT(BL72,1),($D$8+MAX(0,IF($D$50=1,$D$9*(1-(ABS($Q72-ABS(VALUE(MID(BL72,FIND("|",BL72)+1,FIND("-",BL72)-FIND("|",BL72)-1))-VALUE(MID(BL72,FIND("-",BL72)+1,10)))))*$D$50),$D$9*(1-(IF($N72="X",ABS($O72-VALUE(MID(BL72,FIND("|",BL72)+1,FIND("-",BL72)-FIND("|",BL72)-1))),ABS($Q72-ABS(VALUE(MID(BL72,FIND("|",BL72)+1,FIND("-",BL72)-FIND("|",BL72)-1))-VALUE(MID(BL72,FIND("-",BL72)+1,10)))))*$D$50)))))*$I72,0)),0)</f>
        <v>0</v>
      </c>
      <c r="BN72" s="338"/>
      <c r="BO72" s="363" t="s">
        <v>269</v>
      </c>
      <c r="BP72" s="356" t="n">
        <f aca="false">IFERROR(IF($M72=BO72,($D$8+$D$9+$D$10)*$I72,IF($N72=LEFT(BO72,1),($D$8+MAX(0,IF($D$50=1,$D$9*(1-(ABS($Q72-ABS(VALUE(MID(BO72,FIND("|",BO72)+1,FIND("-",BO72)-FIND("|",BO72)-1))-VALUE(MID(BO72,FIND("-",BO72)+1,10)))))*$D$50),$D$9*(1-(IF($N72="X",ABS($O72-VALUE(MID(BO72,FIND("|",BO72)+1,FIND("-",BO72)-FIND("|",BO72)-1))),ABS($Q72-ABS(VALUE(MID(BO72,FIND("|",BO72)+1,FIND("-",BO72)-FIND("|",BO72)-1))-VALUE(MID(BO72,FIND("-",BO72)+1,10)))))*$D$50)))))*$I72,0)),0)</f>
        <v>0</v>
      </c>
      <c r="BQ72" s="338"/>
      <c r="BR72" s="363" t="s">
        <v>268</v>
      </c>
      <c r="BS72" s="356" t="n">
        <f aca="false">IFERROR(IF($M72=BR72,($D$8+$D$9+$D$10)*$I72,IF($N72=LEFT(BR72,1),($D$8+MAX(0,IF($D$50=1,$D$9*(1-(ABS($Q72-ABS(VALUE(MID(BR72,FIND("|",BR72)+1,FIND("-",BR72)-FIND("|",BR72)-1))-VALUE(MID(BR72,FIND("-",BR72)+1,10)))))*$D$50),$D$9*(1-(IF($N72="X",ABS($O72-VALUE(MID(BR72,FIND("|",BR72)+1,FIND("-",BR72)-FIND("|",BR72)-1))),ABS($Q72-ABS(VALUE(MID(BR72,FIND("|",BR72)+1,FIND("-",BR72)-FIND("|",BR72)-1))-VALUE(MID(BR72,FIND("-",BR72)+1,10)))))*$D$50)))))*$I72,0)),0)</f>
        <v>0</v>
      </c>
      <c r="BT72" s="338"/>
      <c r="BU72" s="363"/>
      <c r="BV72" s="356" t="n">
        <f aca="false">IFERROR(IF($M72=BU72,($D$8+$D$9+$D$10)*$I72,IF($N72=LEFT(BU72,1),($D$8+MAX(0,IF($D$50=1,$D$9*(1-(ABS($Q72-ABS(VALUE(MID(BU72,FIND("|",BU72)+1,FIND("-",BU72)-FIND("|",BU72)-1))-VALUE(MID(BU72,FIND("-",BU72)+1,10)))))*$D$50),$D$9*(1-(IF($N72="X",ABS($O72-VALUE(MID(BU72,FIND("|",BU72)+1,FIND("-",BU72)-FIND("|",BU72)-1))),ABS($Q72-ABS(VALUE(MID(BU72,FIND("|",BU72)+1,FIND("-",BU72)-FIND("|",BU72)-1))-VALUE(MID(BU72,FIND("-",BU72)+1,10)))))*$D$50)))))*$I72,0)),0)</f>
        <v>0</v>
      </c>
      <c r="BW72" s="338"/>
      <c r="BX72" s="363"/>
      <c r="BY72" s="356" t="n">
        <f aca="false">IFERROR(IF($M72=BX72,($D$8+$D$9+$D$10)*$I72,IF($N72=LEFT(BX72,1),($D$8+MAX(0,IF($D$50=1,$D$9*(1-(ABS($Q72-ABS(VALUE(MID(BX72,FIND("|",BX72)+1,FIND("-",BX72)-FIND("|",BX72)-1))-VALUE(MID(BX72,FIND("-",BX72)+1,10)))))*$D$50),$D$9*(1-(IF($N72="X",ABS($O72-VALUE(MID(BX72,FIND("|",BX72)+1,FIND("-",BX72)-FIND("|",BX72)-1))),ABS($Q72-ABS(VALUE(MID(BX72,FIND("|",BX72)+1,FIND("-",BX72)-FIND("|",BX72)-1))-VALUE(MID(BX72,FIND("-",BX72)+1,10)))))*$D$50)))))*$I72,0)),0)</f>
        <v>0</v>
      </c>
      <c r="BZ72" s="338"/>
      <c r="CA72" s="363"/>
      <c r="CB72" s="356" t="n">
        <f aca="false">IFERROR(IF($M72=CA72,($D$8+$D$9+$D$10)*$I72,IF($N72=LEFT(CA72,1),($D$8+MAX(0,IF($D$50=1,$D$9*(1-(ABS($Q72-ABS(VALUE(MID(CA72,FIND("|",CA72)+1,FIND("-",CA72)-FIND("|",CA72)-1))-VALUE(MID(CA72,FIND("-",CA72)+1,10)))))*$D$50),$D$9*(1-(IF($N72="X",ABS($O72-VALUE(MID(CA72,FIND("|",CA72)+1,FIND("-",CA72)-FIND("|",CA72)-1))),ABS($Q72-ABS(VALUE(MID(CA72,FIND("|",CA72)+1,FIND("-",CA72)-FIND("|",CA72)-1))-VALUE(MID(CA72,FIND("-",CA72)+1,10)))))*$D$50)))))*$I72,0)),0)</f>
        <v>0</v>
      </c>
      <c r="CC72" s="338"/>
      <c r="CD72" s="363"/>
      <c r="CE72" s="356" t="n">
        <f aca="false">IFERROR(IF($M72=CD72,($D$8+$D$9+$D$10)*$I72,IF($N72=LEFT(CD72,1),($D$8+MAX(0,IF($D$50=1,$D$9*(1-(ABS($Q72-ABS(VALUE(MID(CD72,FIND("|",CD72)+1,FIND("-",CD72)-FIND("|",CD72)-1))-VALUE(MID(CD72,FIND("-",CD72)+1,10)))))*$D$50),$D$9*(1-(IF($N72="X",ABS($O72-VALUE(MID(CD72,FIND("|",CD72)+1,FIND("-",CD72)-FIND("|",CD72)-1))),ABS($Q72-ABS(VALUE(MID(CD72,FIND("|",CD72)+1,FIND("-",CD72)-FIND("|",CD72)-1))-VALUE(MID(CD72,FIND("-",CD72)+1,10)))))*$D$50)))))*$I72,0)),0)</f>
        <v>0</v>
      </c>
      <c r="CF72" s="338"/>
      <c r="CG72" s="363"/>
      <c r="CH72" s="356" t="n">
        <f aca="false">IFERROR(IF($M72=CG72,($D$8+$D$9+$D$10)*$I72,IF($N72=LEFT(CG72,1),($D$8+MAX(0,IF($D$50=1,$D$9*(1-(ABS($Q72-ABS(VALUE(MID(CG72,FIND("|",CG72)+1,FIND("-",CG72)-FIND("|",CG72)-1))-VALUE(MID(CG72,FIND("-",CG72)+1,10)))))*$D$50),$D$9*(1-(IF($N72="X",ABS($O72-VALUE(MID(CG72,FIND("|",CG72)+1,FIND("-",CG72)-FIND("|",CG72)-1))),ABS($Q72-ABS(VALUE(MID(CG72,FIND("|",CG72)+1,FIND("-",CG72)-FIND("|",CG72)-1))-VALUE(MID(CG72,FIND("-",CG72)+1,10)))))*$D$50)))))*$I72,0)),0)</f>
        <v>0</v>
      </c>
      <c r="CI72" s="338"/>
      <c r="CJ72" s="363"/>
      <c r="CK72" s="356" t="n">
        <f aca="false">IFERROR(IF($M72=CJ72,($D$8+$D$9+$D$10)*$I72,IF($N72=LEFT(CJ72,1),($D$8+MAX(0,IF($D$50=1,$D$9*(1-(ABS($Q72-ABS(VALUE(MID(CJ72,FIND("|",CJ72)+1,FIND("-",CJ72)-FIND("|",CJ72)-1))-VALUE(MID(CJ72,FIND("-",CJ72)+1,10)))))*$D$50),$D$9*(1-(IF($N72="X",ABS($O72-VALUE(MID(CJ72,FIND("|",CJ72)+1,FIND("-",CJ72)-FIND("|",CJ72)-1))),ABS($Q72-ABS(VALUE(MID(CJ72,FIND("|",CJ72)+1,FIND("-",CJ72)-FIND("|",CJ72)-1))-VALUE(MID(CJ72,FIND("-",CJ72)+1,10)))))*$D$50)))))*$I72,0)),0)</f>
        <v>0</v>
      </c>
      <c r="CL72" s="338"/>
      <c r="CM72" s="363"/>
      <c r="CN72" s="356" t="n">
        <f aca="false">IFERROR(IF($M72=CM72,($D$8+$D$9+$D$10)*$I72,IF($N72=LEFT(CM72,1),($D$8+MAX(0,IF($D$50=1,$D$9*(1-(ABS($Q72-ABS(VALUE(MID(CM72,FIND("|",CM72)+1,FIND("-",CM72)-FIND("|",CM72)-1))-VALUE(MID(CM72,FIND("-",CM72)+1,10)))))*$D$50),$D$9*(1-(IF($N72="X",ABS($O72-VALUE(MID(CM72,FIND("|",CM72)+1,FIND("-",CM72)-FIND("|",CM72)-1))),ABS($Q72-ABS(VALUE(MID(CM72,FIND("|",CM72)+1,FIND("-",CM72)-FIND("|",CM72)-1))-VALUE(MID(CM72,FIND("-",CM72)+1,10)))))*$D$50)))))*$I72,0)),0)</f>
        <v>0</v>
      </c>
      <c r="CO72" s="338"/>
      <c r="CP72" s="363"/>
      <c r="CQ72" s="356" t="n">
        <f aca="false">IFERROR(IF($M72=CP72,($D$8+$D$9+$D$10)*$I72,IF($N72=LEFT(CP72,1),($D$8+MAX(0,IF($D$50=1,$D$9*(1-(ABS($Q72-ABS(VALUE(MID(CP72,FIND("|",CP72)+1,FIND("-",CP72)-FIND("|",CP72)-1))-VALUE(MID(CP72,FIND("-",CP72)+1,10)))))*$D$50),$D$9*(1-(IF($N72="X",ABS($O72-VALUE(MID(CP72,FIND("|",CP72)+1,FIND("-",CP72)-FIND("|",CP72)-1))),ABS($Q72-ABS(VALUE(MID(CP72,FIND("|",CP72)+1,FIND("-",CP72)-FIND("|",CP72)-1))-VALUE(MID(CP72,FIND("-",CP72)+1,10)))))*$D$50)))))*$I72,0)),0)</f>
        <v>0</v>
      </c>
      <c r="CR72" s="338"/>
      <c r="CS72" s="363"/>
      <c r="CT72" s="356" t="n">
        <f aca="false">IFERROR(IF($M72=CS72,($D$8+$D$9+$D$10)*$I72,IF($N72=LEFT(CS72,1),($D$8+MAX(0,IF($D$50=1,$D$9*(1-(ABS($Q72-ABS(VALUE(MID(CS72,FIND("|",CS72)+1,FIND("-",CS72)-FIND("|",CS72)-1))-VALUE(MID(CS72,FIND("-",CS72)+1,10)))))*$D$50),$D$9*(1-(IF($N72="X",ABS($O72-VALUE(MID(CS72,FIND("|",CS72)+1,FIND("-",CS72)-FIND("|",CS72)-1))),ABS($Q72-ABS(VALUE(MID(CS72,FIND("|",CS72)+1,FIND("-",CS72)-FIND("|",CS72)-1))-VALUE(MID(CS72,FIND("-",CS72)+1,10)))))*$D$50)))))*$I72,0)),0)</f>
        <v>0</v>
      </c>
      <c r="CU72" s="338"/>
      <c r="CV72" s="363"/>
      <c r="CW72" s="356" t="n">
        <f aca="false">IFERROR(IF($M72=CV72,($D$8+$D$9+$D$10)*$I72,IF($N72=LEFT(CV72,1),($D$8+MAX(0,IF($D$50=1,$D$9*(1-(ABS($Q72-ABS(VALUE(MID(CV72,FIND("|",CV72)+1,FIND("-",CV72)-FIND("|",CV72)-1))-VALUE(MID(CV72,FIND("-",CV72)+1,10)))))*$D$50),$D$9*(1-(IF($N72="X",ABS($O72-VALUE(MID(CV72,FIND("|",CV72)+1,FIND("-",CV72)-FIND("|",CV72)-1))),ABS($Q72-ABS(VALUE(MID(CV72,FIND("|",CV72)+1,FIND("-",CV72)-FIND("|",CV72)-1))-VALUE(MID(CV72,FIND("-",CV72)+1,10)))))*$D$50)))))*$I72,0)),0)</f>
        <v>0</v>
      </c>
      <c r="CX72" s="338"/>
      <c r="CY72" s="363"/>
      <c r="CZ72" s="356" t="n">
        <f aca="false">IFERROR(IF($M72=CY72,($D$8+$D$9+$D$10)*$I72,IF($N72=LEFT(CY72,1),($D$8+MAX(0,IF($D$50=1,$D$9*(1-(ABS($Q72-ABS(VALUE(MID(CY72,FIND("|",CY72)+1,FIND("-",CY72)-FIND("|",CY72)-1))-VALUE(MID(CY72,FIND("-",CY72)+1,10)))))*$D$50),$D$9*(1-(IF($N72="X",ABS($O72-VALUE(MID(CY72,FIND("|",CY72)+1,FIND("-",CY72)-FIND("|",CY72)-1))),ABS($Q72-ABS(VALUE(MID(CY72,FIND("|",CY72)+1,FIND("-",CY72)-FIND("|",CY72)-1))-VALUE(MID(CY72,FIND("-",CY72)+1,10)))))*$D$50)))))*$I72,0)),0)</f>
        <v>0</v>
      </c>
      <c r="DA72" s="338"/>
      <c r="DB72" s="363"/>
      <c r="DC72" s="356" t="n">
        <f aca="false">IFERROR(IF($M72=DB72,($D$8+$D$9+$D$10)*$I72,IF($N72=LEFT(DB72,1),($D$8+MAX(0,IF($D$50=1,$D$9*(1-(ABS($Q72-ABS(VALUE(MID(DB72,FIND("|",DB72)+1,FIND("-",DB72)-FIND("|",DB72)-1))-VALUE(MID(DB72,FIND("-",DB72)+1,10)))))*$D$50),$D$9*(1-(IF($N72="X",ABS($O72-VALUE(MID(DB72,FIND("|",DB72)+1,FIND("-",DB72)-FIND("|",DB72)-1))),ABS($Q72-ABS(VALUE(MID(DB72,FIND("|",DB72)+1,FIND("-",DB72)-FIND("|",DB72)-1))-VALUE(MID(DB72,FIND("-",DB72)+1,10)))))*$D$50)))))*$I72,0)),0)</f>
        <v>0</v>
      </c>
      <c r="DD72" s="338"/>
      <c r="DE72" s="363"/>
      <c r="DF72" s="356" t="n">
        <f aca="false">IFERROR(IF($M72=DE72,($D$8+$D$9+$D$10)*$I72,IF($N72=LEFT(DE72,1),($D$8+MAX(0,IF($D$50=1,$D$9*(1-(ABS($Q72-ABS(VALUE(MID(DE72,FIND("|",DE72)+1,FIND("-",DE72)-FIND("|",DE72)-1))-VALUE(MID(DE72,FIND("-",DE72)+1,10)))))*$D$50),$D$9*(1-(IF($N72="X",ABS($O72-VALUE(MID(DE72,FIND("|",DE72)+1,FIND("-",DE72)-FIND("|",DE72)-1))),ABS($Q72-ABS(VALUE(MID(DE72,FIND("|",DE72)+1,FIND("-",DE72)-FIND("|",DE72)-1))-VALUE(MID(DE72,FIND("-",DE72)+1,10)))))*$D$50)))))*$I72,0)),0)</f>
        <v>0</v>
      </c>
      <c r="DG72" s="338"/>
      <c r="DH72" s="363"/>
      <c r="DI72" s="356" t="n">
        <f aca="false">IFERROR(IF($M72=DH72,($D$8+$D$9+$D$10)*$I72,IF($N72=LEFT(DH72,1),($D$8+MAX(0,IF($D$50=1,$D$9*(1-(ABS($Q72-ABS(VALUE(MID(DH72,FIND("|",DH72)+1,FIND("-",DH72)-FIND("|",DH72)-1))-VALUE(MID(DH72,FIND("-",DH72)+1,10)))))*$D$50),$D$9*(1-(IF($N72="X",ABS($O72-VALUE(MID(DH72,FIND("|",DH72)+1,FIND("-",DH72)-FIND("|",DH72)-1))),ABS($Q72-ABS(VALUE(MID(DH72,FIND("|",DH72)+1,FIND("-",DH72)-FIND("|",DH72)-1))-VALUE(MID(DH72,FIND("-",DH72)+1,10)))))*$D$50)))))*$I72,0)),0)</f>
        <v>0</v>
      </c>
      <c r="DJ72" s="338"/>
      <c r="DK72" s="363"/>
      <c r="DL72" s="356" t="n">
        <f aca="false">IFERROR(IF($M72=DK72,($D$8+$D$9+$D$10)*$I72,IF($N72=LEFT(DK72,1),($D$8+MAX(0,IF($D$50=1,$D$9*(1-(ABS($Q72-ABS(VALUE(MID(DK72,FIND("|",DK72)+1,FIND("-",DK72)-FIND("|",DK72)-1))-VALUE(MID(DK72,FIND("-",DK72)+1,10)))))*$D$50),$D$9*(1-(IF($N72="X",ABS($O72-VALUE(MID(DK72,FIND("|",DK72)+1,FIND("-",DK72)-FIND("|",DK72)-1))),ABS($Q72-ABS(VALUE(MID(DK72,FIND("|",DK72)+1,FIND("-",DK72)-FIND("|",DK72)-1))-VALUE(MID(DK72,FIND("-",DK72)+1,10)))))*$D$50)))))*$I72,0)),0)</f>
        <v>0</v>
      </c>
      <c r="DM72" s="338"/>
      <c r="DN72" s="363"/>
      <c r="DO72" s="356" t="n">
        <f aca="false">IFERROR(IF($M72=DN72,($D$8+$D$9+$D$10)*$I72,IF($N72=LEFT(DN72,1),($D$8+MAX(0,IF($D$50=1,$D$9*(1-(ABS($Q72-ABS(VALUE(MID(DN72,FIND("|",DN72)+1,FIND("-",DN72)-FIND("|",DN72)-1))-VALUE(MID(DN72,FIND("-",DN72)+1,10)))))*$D$50),$D$9*(1-(IF($N72="X",ABS($O72-VALUE(MID(DN72,FIND("|",DN72)+1,FIND("-",DN72)-FIND("|",DN72)-1))),ABS($Q72-ABS(VALUE(MID(DN72,FIND("|",DN72)+1,FIND("-",DN72)-FIND("|",DN72)-1))-VALUE(MID(DN72,FIND("-",DN72)+1,10)))))*$D$50)))))*$I72,0)),0)</f>
        <v>0</v>
      </c>
      <c r="DP72" s="338"/>
      <c r="DQ72" s="363"/>
      <c r="DR72" s="356" t="n">
        <f aca="false">IFERROR(IF($M72=DQ72,($D$8+$D$9+$D$10)*$I72,IF($N72=LEFT(DQ72,1),($D$8+MAX(0,IF($D$50=1,$D$9*(1-(ABS($Q72-ABS(VALUE(MID(DQ72,FIND("|",DQ72)+1,FIND("-",DQ72)-FIND("|",DQ72)-1))-VALUE(MID(DQ72,FIND("-",DQ72)+1,10)))))*$D$50),$D$9*(1-(IF($N72="X",ABS($O72-VALUE(MID(DQ72,FIND("|",DQ72)+1,FIND("-",DQ72)-FIND("|",DQ72)-1))),ABS($Q72-ABS(VALUE(MID(DQ72,FIND("|",DQ72)+1,FIND("-",DQ72)-FIND("|",DQ72)-1))-VALUE(MID(DQ72,FIND("-",DQ72)+1,10)))))*$D$50)))))*$I72,0)),0)</f>
        <v>0</v>
      </c>
      <c r="DS72" s="338"/>
      <c r="DT72" s="363"/>
      <c r="DU72" s="356" t="n">
        <f aca="false">IFERROR(IF($M72=DT72,($D$8+$D$9+$D$10)*$I72,IF($N72=LEFT(DT72,1),($D$8+MAX(0,IF($D$50=1,$D$9*(1-(ABS($Q72-ABS(VALUE(MID(DT72,FIND("|",DT72)+1,FIND("-",DT72)-FIND("|",DT72)-1))-VALUE(MID(DT72,FIND("-",DT72)+1,10)))))*$D$50),$D$9*(1-(IF($N72="X",ABS($O72-VALUE(MID(DT72,FIND("|",DT72)+1,FIND("-",DT72)-FIND("|",DT72)-1))),ABS($Q72-ABS(VALUE(MID(DT72,FIND("|",DT72)+1,FIND("-",DT72)-FIND("|",DT72)-1))-VALUE(MID(DT72,FIND("-",DT72)+1,10)))))*$D$50)))))*$I72,0)),0)</f>
        <v>0</v>
      </c>
      <c r="DV72" s="338"/>
      <c r="DW72" s="363"/>
      <c r="DX72" s="356" t="n">
        <f aca="false">IFERROR(IF($M72=DW72,($D$8+$D$9+$D$10)*$I72,IF($N72=LEFT(DW72,1),($D$8+MAX(0,IF($D$50=1,$D$9*(1-(ABS($Q72-ABS(VALUE(MID(DW72,FIND("|",DW72)+1,FIND("-",DW72)-FIND("|",DW72)-1))-VALUE(MID(DW72,FIND("-",DW72)+1,10)))))*$D$50),$D$9*(1-(IF($N72="X",ABS($O72-VALUE(MID(DW72,FIND("|",DW72)+1,FIND("-",DW72)-FIND("|",DW72)-1))),ABS($Q72-ABS(VALUE(MID(DW72,FIND("|",DW72)+1,FIND("-",DW72)-FIND("|",DW72)-1))-VALUE(MID(DW72,FIND("-",DW72)+1,10)))))*$D$50)))))*$I72,0)),0)</f>
        <v>0</v>
      </c>
      <c r="DY72" s="338"/>
      <c r="DZ72" s="363"/>
      <c r="EA72" s="356" t="n">
        <f aca="false">IFERROR(IF($M72=DZ72,($D$8+$D$9+$D$10)*$I72,IF($N72=LEFT(DZ72,1),($D$8+MAX(0,IF($D$50=1,$D$9*(1-(ABS($Q72-ABS(VALUE(MID(DZ72,FIND("|",DZ72)+1,FIND("-",DZ72)-FIND("|",DZ72)-1))-VALUE(MID(DZ72,FIND("-",DZ72)+1,10)))))*$D$50),$D$9*(1-(IF($N72="X",ABS($O72-VALUE(MID(DZ72,FIND("|",DZ72)+1,FIND("-",DZ72)-FIND("|",DZ72)-1))),ABS($Q72-ABS(VALUE(MID(DZ72,FIND("|",DZ72)+1,FIND("-",DZ72)-FIND("|",DZ72)-1))-VALUE(MID(DZ72,FIND("-",DZ72)+1,10)))))*$D$50)))))*$I72,0)),0)</f>
        <v>0</v>
      </c>
      <c r="EB72" s="338"/>
      <c r="EC72" s="355"/>
      <c r="ED72" s="356" t="n">
        <f aca="false">IFERROR(IF($M72=EC72,($D$8+$D$9+$D$10)*$I72,IF($N72=LEFT(EC72,1),($D$8+MAX(0,IF($D$50=1,$D$9*(1-(ABS($Q72-ABS(VALUE(MID(EC72,FIND("|",EC72)+1,FIND("-",EC72)-FIND("|",EC72)-1))-VALUE(MID(EC72,FIND("-",EC72)+1,10)))))*$D$50),$D$9*(1-(IF($N72="X",ABS($O72-VALUE(MID(EC72,FIND("|",EC72)+1,FIND("-",EC72)-FIND("|",EC72)-1))),ABS($Q72-ABS(VALUE(MID(EC72,FIND("|",EC72)+1,FIND("-",EC72)-FIND("|",EC72)-1))-VALUE(MID(EC72,FIND("-",EC72)+1,10)))))*$D$50)))))*$I72,0)),0)</f>
        <v>0</v>
      </c>
      <c r="EE72" s="338"/>
      <c r="EF72" s="363"/>
      <c r="EG72" s="356" t="n">
        <f aca="false">IFERROR(IF($M72=EF72,($D$8+$D$9+$D$10)*$I72,IF($N72=LEFT(EF72,1),($D$8+MAX(0,IF($D$50=1,$D$9*(1-(ABS($Q72-ABS(VALUE(MID(EF72,FIND("|",EF72)+1,FIND("-",EF72)-FIND("|",EF72)-1))-VALUE(MID(EF72,FIND("-",EF72)+1,10)))))*$D$50),$D$9*(1-(IF($N72="X",ABS($O72-VALUE(MID(EF72,FIND("|",EF72)+1,FIND("-",EF72)-FIND("|",EF72)-1))),ABS($Q72-ABS(VALUE(MID(EF72,FIND("|",EF72)+1,FIND("-",EF72)-FIND("|",EF72)-1))-VALUE(MID(EF72,FIND("-",EF72)+1,10)))))*$D$50)))))*$I72,0)),0)</f>
        <v>0</v>
      </c>
      <c r="EH72" s="338"/>
      <c r="EI72" s="338"/>
    </row>
    <row r="73" customFormat="false" ht="15" hidden="false" customHeight="false" outlineLevel="0" collapsed="false">
      <c r="A73" s="327"/>
      <c r="B73" s="327"/>
      <c r="C73" s="327"/>
      <c r="D73" s="327"/>
      <c r="E73" s="327"/>
      <c r="F73" s="394" t="n">
        <f aca="false">SUM($D$8:$D$10)*I73</f>
        <v>17</v>
      </c>
      <c r="G73" s="394" t="n">
        <f aca="false">VLOOKUP(H73,Equipos!$Q$1:$R$25,2,0)</f>
        <v>18</v>
      </c>
      <c r="H73" s="395" t="n">
        <f aca="false">TRUNC(INDEX(WORLDCUP!$X$4:$X$147,MATCH(ADMIN!K73,WORLDCUP!$DT$4:$DT$147,0))+INDEX(Horarios!$R$3:$R$86,MATCH(Horarios!$C$3,Horarios!$P$3:$P$86,0))/24)</f>
        <v>46201</v>
      </c>
      <c r="I73" s="352" t="n">
        <v>1</v>
      </c>
      <c r="J73" s="362" t="s">
        <v>327</v>
      </c>
      <c r="K73" s="367" t="str">
        <f aca="false">CONCATENATE(WORLDCUP!AA81,"-",WORLDCUP!AF81)</f>
        <v>Jordania-Argentina</v>
      </c>
      <c r="L73" s="354"/>
      <c r="M73" s="359" t="str">
        <f aca="false">IF(OR(WORLDCUP!AC81="",WORLDCUP!AD81=""),"-",N73&amp;"|"&amp;O73&amp;"-"&amp;P73)</f>
        <v>-</v>
      </c>
      <c r="N73" s="332" t="str">
        <f aca="false">IF(OR(WORLDCUP!AC81="",WORLDCUP!AD81=""),"",IF(WORLDCUP!AC81&gt;WORLDCUP!AD81,"1",IF(WORLDCUP!AC81&lt;WORLDCUP!AD81,"2","X")))</f>
        <v/>
      </c>
      <c r="O73" s="332" t="n">
        <f aca="false">WORLDCUP!AC81</f>
        <v>0</v>
      </c>
      <c r="P73" s="332" t="n">
        <f aca="false">WORLDCUP!AD81</f>
        <v>0</v>
      </c>
      <c r="Q73" s="332" t="n">
        <f aca="false">ABS(O73-P73)</f>
        <v>0</v>
      </c>
      <c r="R73" s="327"/>
      <c r="S73" s="363" t="s">
        <v>268</v>
      </c>
      <c r="T73" s="356" t="n">
        <f aca="false">IFERROR(IF($M73=S73,($D$8+$D$9+$D$10)*$I73,IF($N73=LEFT(S73,1),($D$8+MAX(0,IF($D$50=1,$D$9*(1-(ABS($Q73-ABS(VALUE(MID(S73,FIND("|",S73)+1,FIND("-",S73)-FIND("|",S73)-1))-VALUE(MID(S73,FIND("-",S73)+1,10)))))*$D$50),$D$9*(1-(IF($N73="X",ABS($O73-VALUE(MID(S73,FIND("|",S73)+1,FIND("-",S73)-FIND("|",S73)-1))),ABS($Q73-ABS(VALUE(MID(S73,FIND("|",S73)+1,FIND("-",S73)-FIND("|",S73)-1))-VALUE(MID(S73,FIND("-",S73)+1,10)))))*$D$50)))))*$I73,0)),0)</f>
        <v>0</v>
      </c>
      <c r="U73" s="338"/>
      <c r="V73" s="363" t="s">
        <v>273</v>
      </c>
      <c r="W73" s="356" t="n">
        <f aca="false">IFERROR(IF($M73=V73,($D$8+$D$9+$D$10)*$I73,IF($N73=LEFT(V73,1),($D$8+MAX(0,IF($D$50=1,$D$9*(1-(ABS($Q73-ABS(VALUE(MID(V73,FIND("|",V73)+1,FIND("-",V73)-FIND("|",V73)-1))-VALUE(MID(V73,FIND("-",V73)+1,10)))))*$D$50),$D$9*(1-(IF($N73="X",ABS($O73-VALUE(MID(V73,FIND("|",V73)+1,FIND("-",V73)-FIND("|",V73)-1))),ABS($Q73-ABS(VALUE(MID(V73,FIND("|",V73)+1,FIND("-",V73)-FIND("|",V73)-1))-VALUE(MID(V73,FIND("-",V73)+1,10)))))*$D$50)))))*$I73,0)),0)</f>
        <v>0</v>
      </c>
      <c r="X73" s="338"/>
      <c r="Y73" s="363" t="s">
        <v>281</v>
      </c>
      <c r="Z73" s="356" t="n">
        <f aca="false">IFERROR(IF($M73=Y73,($D$8+$D$9+$D$10)*$I73,IF($N73=LEFT(Y73,1),($D$8+MAX(0,IF($D$50=1,$D$9*(1-(ABS($Q73-ABS(VALUE(MID(Y73,FIND("|",Y73)+1,FIND("-",Y73)-FIND("|",Y73)-1))-VALUE(MID(Y73,FIND("-",Y73)+1,10)))))*$D$50),$D$9*(1-(IF($N73="X",ABS($O73-VALUE(MID(Y73,FIND("|",Y73)+1,FIND("-",Y73)-FIND("|",Y73)-1))),ABS($Q73-ABS(VALUE(MID(Y73,FIND("|",Y73)+1,FIND("-",Y73)-FIND("|",Y73)-1))-VALUE(MID(Y73,FIND("-",Y73)+1,10)))))*$D$50)))))*$I73,0)),0)</f>
        <v>0</v>
      </c>
      <c r="AA73" s="338"/>
      <c r="AB73" s="363" t="s">
        <v>274</v>
      </c>
      <c r="AC73" s="356" t="n">
        <f aca="false">IFERROR(IF($M73=AB73,($D$8+$D$9+$D$10)*$I73,IF($N73=LEFT(AB73,1),($D$8+MAX(0,IF($D$50=1,$D$9*(1-(ABS($Q73-ABS(VALUE(MID(AB73,FIND("|",AB73)+1,FIND("-",AB73)-FIND("|",AB73)-1))-VALUE(MID(AB73,FIND("-",AB73)+1,10)))))*$D$50),$D$9*(1-(IF($N73="X",ABS($O73-VALUE(MID(AB73,FIND("|",AB73)+1,FIND("-",AB73)-FIND("|",AB73)-1))),ABS($Q73-ABS(VALUE(MID(AB73,FIND("|",AB73)+1,FIND("-",AB73)-FIND("|",AB73)-1))-VALUE(MID(AB73,FIND("-",AB73)+1,10)))))*$D$50)))))*$I73,0)),0)</f>
        <v>0</v>
      </c>
      <c r="AD73" s="338"/>
      <c r="AE73" s="363" t="s">
        <v>281</v>
      </c>
      <c r="AF73" s="356" t="n">
        <f aca="false">IFERROR(IF($M73=AE73,($D$8+$D$9+$D$10)*$I73,IF($N73=LEFT(AE73,1),($D$8+MAX(0,IF($D$50=1,$D$9*(1-(ABS($Q73-ABS(VALUE(MID(AE73,FIND("|",AE73)+1,FIND("-",AE73)-FIND("|",AE73)-1))-VALUE(MID(AE73,FIND("-",AE73)+1,10)))))*$D$50),$D$9*(1-(IF($N73="X",ABS($O73-VALUE(MID(AE73,FIND("|",AE73)+1,FIND("-",AE73)-FIND("|",AE73)-1))),ABS($Q73-ABS(VALUE(MID(AE73,FIND("|",AE73)+1,FIND("-",AE73)-FIND("|",AE73)-1))-VALUE(MID(AE73,FIND("-",AE73)+1,10)))))*$D$50)))))*$I73,0)),0)</f>
        <v>0</v>
      </c>
      <c r="AG73" s="338"/>
      <c r="AH73" s="363" t="s">
        <v>273</v>
      </c>
      <c r="AI73" s="356" t="n">
        <f aca="false">IFERROR(IF($M73=AH73,($D$8+$D$9+$D$10)*$I73,IF($N73=LEFT(AH73,1),($D$8+MAX(0,IF($D$50=1,$D$9*(1-(ABS($Q73-ABS(VALUE(MID(AH73,FIND("|",AH73)+1,FIND("-",AH73)-FIND("|",AH73)-1))-VALUE(MID(AH73,FIND("-",AH73)+1,10)))))*$D$50),$D$9*(1-(IF($N73="X",ABS($O73-VALUE(MID(AH73,FIND("|",AH73)+1,FIND("-",AH73)-FIND("|",AH73)-1))),ABS($Q73-ABS(VALUE(MID(AH73,FIND("|",AH73)+1,FIND("-",AH73)-FIND("|",AH73)-1))-VALUE(MID(AH73,FIND("-",AH73)+1,10)))))*$D$50)))))*$I73,0)),0)</f>
        <v>0</v>
      </c>
      <c r="AJ73" s="338"/>
      <c r="AK73" s="363" t="s">
        <v>273</v>
      </c>
      <c r="AL73" s="356" t="n">
        <f aca="false">IFERROR(IF($M73=AK73,($D$8+$D$9+$D$10)*$I73,IF($N73=LEFT(AK73,1),($D$8+MAX(0,IF($D$50=1,$D$9*(1-(ABS($Q73-ABS(VALUE(MID(AK73,FIND("|",AK73)+1,FIND("-",AK73)-FIND("|",AK73)-1))-VALUE(MID(AK73,FIND("-",AK73)+1,10)))))*$D$50),$D$9*(1-(IF($N73="X",ABS($O73-VALUE(MID(AK73,FIND("|",AK73)+1,FIND("-",AK73)-FIND("|",AK73)-1))),ABS($Q73-ABS(VALUE(MID(AK73,FIND("|",AK73)+1,FIND("-",AK73)-FIND("|",AK73)-1))-VALUE(MID(AK73,FIND("-",AK73)+1,10)))))*$D$50)))))*$I73,0)),0)</f>
        <v>0</v>
      </c>
      <c r="AM73" s="338"/>
      <c r="AN73" s="363" t="s">
        <v>273</v>
      </c>
      <c r="AO73" s="356" t="n">
        <f aca="false">IFERROR(IF($M73=AN73,($D$8+$D$9+$D$10)*$I73,IF($N73=LEFT(AN73,1),($D$8+MAX(0,IF($D$50=1,$D$9*(1-(ABS($Q73-ABS(VALUE(MID(AN73,FIND("|",AN73)+1,FIND("-",AN73)-FIND("|",AN73)-1))-VALUE(MID(AN73,FIND("-",AN73)+1,10)))))*$D$50),$D$9*(1-(IF($N73="X",ABS($O73-VALUE(MID(AN73,FIND("|",AN73)+1,FIND("-",AN73)-FIND("|",AN73)-1))),ABS($Q73-ABS(VALUE(MID(AN73,FIND("|",AN73)+1,FIND("-",AN73)-FIND("|",AN73)-1))-VALUE(MID(AN73,FIND("-",AN73)+1,10)))))*$D$50)))))*$I73,0)),0)</f>
        <v>0</v>
      </c>
      <c r="AP73" s="338"/>
      <c r="AQ73" s="363" t="s">
        <v>271</v>
      </c>
      <c r="AR73" s="356" t="n">
        <f aca="false">IFERROR(IF($M73=AQ73,($D$8+$D$9+$D$10)*$I73,IF($N73=LEFT(AQ73,1),($D$8+MAX(0,IF($D$50=1,$D$9*(1-(ABS($Q73-ABS(VALUE(MID(AQ73,FIND("|",AQ73)+1,FIND("-",AQ73)-FIND("|",AQ73)-1))-VALUE(MID(AQ73,FIND("-",AQ73)+1,10)))))*$D$50),$D$9*(1-(IF($N73="X",ABS($O73-VALUE(MID(AQ73,FIND("|",AQ73)+1,FIND("-",AQ73)-FIND("|",AQ73)-1))),ABS($Q73-ABS(VALUE(MID(AQ73,FIND("|",AQ73)+1,FIND("-",AQ73)-FIND("|",AQ73)-1))-VALUE(MID(AQ73,FIND("-",AQ73)+1,10)))))*$D$50)))))*$I73,0)),0)</f>
        <v>0</v>
      </c>
      <c r="AS73" s="338"/>
      <c r="AT73" s="363" t="s">
        <v>273</v>
      </c>
      <c r="AU73" s="356" t="n">
        <f aca="false">IFERROR(IF($M73=AT73,($D$8+$D$9+$D$10)*$I73,IF($N73=LEFT(AT73,1),($D$8+MAX(0,IF($D$50=1,$D$9*(1-(ABS($Q73-ABS(VALUE(MID(AT73,FIND("|",AT73)+1,FIND("-",AT73)-FIND("|",AT73)-1))-VALUE(MID(AT73,FIND("-",AT73)+1,10)))))*$D$50),$D$9*(1-(IF($N73="X",ABS($O73-VALUE(MID(AT73,FIND("|",AT73)+1,FIND("-",AT73)-FIND("|",AT73)-1))),ABS($Q73-ABS(VALUE(MID(AT73,FIND("|",AT73)+1,FIND("-",AT73)-FIND("|",AT73)-1))-VALUE(MID(AT73,FIND("-",AT73)+1,10)))))*$D$50)))))*$I73,0)),0)</f>
        <v>0</v>
      </c>
      <c r="AV73" s="338"/>
      <c r="AW73" s="363" t="s">
        <v>273</v>
      </c>
      <c r="AX73" s="356" t="n">
        <f aca="false">IFERROR(IF($M73=AW73,($D$8+$D$9+$D$10)*$I73,IF($N73=LEFT(AW73,1),($D$8+MAX(0,IF($D$50=1,$D$9*(1-(ABS($Q73-ABS(VALUE(MID(AW73,FIND("|",AW73)+1,FIND("-",AW73)-FIND("|",AW73)-1))-VALUE(MID(AW73,FIND("-",AW73)+1,10)))))*$D$50),$D$9*(1-(IF($N73="X",ABS($O73-VALUE(MID(AW73,FIND("|",AW73)+1,FIND("-",AW73)-FIND("|",AW73)-1))),ABS($Q73-ABS(VALUE(MID(AW73,FIND("|",AW73)+1,FIND("-",AW73)-FIND("|",AW73)-1))-VALUE(MID(AW73,FIND("-",AW73)+1,10)))))*$D$50)))))*$I73,0)),0)</f>
        <v>0</v>
      </c>
      <c r="AY73" s="338"/>
      <c r="AZ73" s="363" t="s">
        <v>277</v>
      </c>
      <c r="BA73" s="356" t="n">
        <f aca="false">IFERROR(IF($M73=AZ73,($D$8+$D$9+$D$10)*$I73,IF($N73=LEFT(AZ73,1),($D$8+MAX(0,IF($D$50=1,$D$9*(1-(ABS($Q73-ABS(VALUE(MID(AZ73,FIND("|",AZ73)+1,FIND("-",AZ73)-FIND("|",AZ73)-1))-VALUE(MID(AZ73,FIND("-",AZ73)+1,10)))))*$D$50),$D$9*(1-(IF($N73="X",ABS($O73-VALUE(MID(AZ73,FIND("|",AZ73)+1,FIND("-",AZ73)-FIND("|",AZ73)-1))),ABS($Q73-ABS(VALUE(MID(AZ73,FIND("|",AZ73)+1,FIND("-",AZ73)-FIND("|",AZ73)-1))-VALUE(MID(AZ73,FIND("-",AZ73)+1,10)))))*$D$50)))))*$I73,0)),0)</f>
        <v>0</v>
      </c>
      <c r="BB73" s="338"/>
      <c r="BC73" s="363" t="s">
        <v>273</v>
      </c>
      <c r="BD73" s="356" t="n">
        <f aca="false">IFERROR(IF($M73=BC73,($D$8+$D$9+$D$10)*$I73,IF($N73=LEFT(BC73,1),($D$8+MAX(0,IF($D$50=1,$D$9*(1-(ABS($Q73-ABS(VALUE(MID(BC73,FIND("|",BC73)+1,FIND("-",BC73)-FIND("|",BC73)-1))-VALUE(MID(BC73,FIND("-",BC73)+1,10)))))*$D$50),$D$9*(1-(IF($N73="X",ABS($O73-VALUE(MID(BC73,FIND("|",BC73)+1,FIND("-",BC73)-FIND("|",BC73)-1))),ABS($Q73-ABS(VALUE(MID(BC73,FIND("|",BC73)+1,FIND("-",BC73)-FIND("|",BC73)-1))-VALUE(MID(BC73,FIND("-",BC73)+1,10)))))*$D$50)))))*$I73,0)),0)</f>
        <v>0</v>
      </c>
      <c r="BE73" s="338"/>
      <c r="BF73" s="363" t="s">
        <v>328</v>
      </c>
      <c r="BG73" s="356" t="n">
        <f aca="false">IFERROR(IF($M73=BF73,($D$8+$D$9+$D$10)*$I73,IF($N73=LEFT(BF73,1),($D$8+MAX(0,IF($D$50=1,$D$9*(1-(ABS($Q73-ABS(VALUE(MID(BF73,FIND("|",BF73)+1,FIND("-",BF73)-FIND("|",BF73)-1))-VALUE(MID(BF73,FIND("-",BF73)+1,10)))))*$D$50),$D$9*(1-(IF($N73="X",ABS($O73-VALUE(MID(BF73,FIND("|",BF73)+1,FIND("-",BF73)-FIND("|",BF73)-1))),ABS($Q73-ABS(VALUE(MID(BF73,FIND("|",BF73)+1,FIND("-",BF73)-FIND("|",BF73)-1))-VALUE(MID(BF73,FIND("-",BF73)+1,10)))))*$D$50)))))*$I73,0)),0)</f>
        <v>0</v>
      </c>
      <c r="BH73" s="338"/>
      <c r="BI73" s="363" t="s">
        <v>271</v>
      </c>
      <c r="BJ73" s="356" t="n">
        <f aca="false">IFERROR(IF($M73=BI73,($D$8+$D$9+$D$10)*$I73,IF($N73=LEFT(BI73,1),($D$8+MAX(0,IF($D$50=1,$D$9*(1-(ABS($Q73-ABS(VALUE(MID(BI73,FIND("|",BI73)+1,FIND("-",BI73)-FIND("|",BI73)-1))-VALUE(MID(BI73,FIND("-",BI73)+1,10)))))*$D$50),$D$9*(1-(IF($N73="X",ABS($O73-VALUE(MID(BI73,FIND("|",BI73)+1,FIND("-",BI73)-FIND("|",BI73)-1))),ABS($Q73-ABS(VALUE(MID(BI73,FIND("|",BI73)+1,FIND("-",BI73)-FIND("|",BI73)-1))-VALUE(MID(BI73,FIND("-",BI73)+1,10)))))*$D$50)))))*$I73,0)),0)</f>
        <v>0</v>
      </c>
      <c r="BK73" s="338"/>
      <c r="BL73" s="363" t="s">
        <v>281</v>
      </c>
      <c r="BM73" s="356" t="n">
        <f aca="false">IFERROR(IF($M73=BL73,($D$8+$D$9+$D$10)*$I73,IF($N73=LEFT(BL73,1),($D$8+MAX(0,IF($D$50=1,$D$9*(1-(ABS($Q73-ABS(VALUE(MID(BL73,FIND("|",BL73)+1,FIND("-",BL73)-FIND("|",BL73)-1))-VALUE(MID(BL73,FIND("-",BL73)+1,10)))))*$D$50),$D$9*(1-(IF($N73="X",ABS($O73-VALUE(MID(BL73,FIND("|",BL73)+1,FIND("-",BL73)-FIND("|",BL73)-1))),ABS($Q73-ABS(VALUE(MID(BL73,FIND("|",BL73)+1,FIND("-",BL73)-FIND("|",BL73)-1))-VALUE(MID(BL73,FIND("-",BL73)+1,10)))))*$D$50)))))*$I73,0)),0)</f>
        <v>0</v>
      </c>
      <c r="BN73" s="338"/>
      <c r="BO73" s="363" t="s">
        <v>312</v>
      </c>
      <c r="BP73" s="356" t="n">
        <f aca="false">IFERROR(IF($M73=BO73,($D$8+$D$9+$D$10)*$I73,IF($N73=LEFT(BO73,1),($D$8+MAX(0,IF($D$50=1,$D$9*(1-(ABS($Q73-ABS(VALUE(MID(BO73,FIND("|",BO73)+1,FIND("-",BO73)-FIND("|",BO73)-1))-VALUE(MID(BO73,FIND("-",BO73)+1,10)))))*$D$50),$D$9*(1-(IF($N73="X",ABS($O73-VALUE(MID(BO73,FIND("|",BO73)+1,FIND("-",BO73)-FIND("|",BO73)-1))),ABS($Q73-ABS(VALUE(MID(BO73,FIND("|",BO73)+1,FIND("-",BO73)-FIND("|",BO73)-1))-VALUE(MID(BO73,FIND("-",BO73)+1,10)))))*$D$50)))))*$I73,0)),0)</f>
        <v>0</v>
      </c>
      <c r="BQ73" s="338"/>
      <c r="BR73" s="363" t="s">
        <v>273</v>
      </c>
      <c r="BS73" s="356" t="n">
        <f aca="false">IFERROR(IF($M73=BR73,($D$8+$D$9+$D$10)*$I73,IF($N73=LEFT(BR73,1),($D$8+MAX(0,IF($D$50=1,$D$9*(1-(ABS($Q73-ABS(VALUE(MID(BR73,FIND("|",BR73)+1,FIND("-",BR73)-FIND("|",BR73)-1))-VALUE(MID(BR73,FIND("-",BR73)+1,10)))))*$D$50),$D$9*(1-(IF($N73="X",ABS($O73-VALUE(MID(BR73,FIND("|",BR73)+1,FIND("-",BR73)-FIND("|",BR73)-1))),ABS($Q73-ABS(VALUE(MID(BR73,FIND("|",BR73)+1,FIND("-",BR73)-FIND("|",BR73)-1))-VALUE(MID(BR73,FIND("-",BR73)+1,10)))))*$D$50)))))*$I73,0)),0)</f>
        <v>0</v>
      </c>
      <c r="BT73" s="338"/>
      <c r="BU73" s="363"/>
      <c r="BV73" s="356" t="n">
        <f aca="false">IFERROR(IF($M73=BU73,($D$8+$D$9+$D$10)*$I73,IF($N73=LEFT(BU73,1),($D$8+MAX(0,IF($D$50=1,$D$9*(1-(ABS($Q73-ABS(VALUE(MID(BU73,FIND("|",BU73)+1,FIND("-",BU73)-FIND("|",BU73)-1))-VALUE(MID(BU73,FIND("-",BU73)+1,10)))))*$D$50),$D$9*(1-(IF($N73="X",ABS($O73-VALUE(MID(BU73,FIND("|",BU73)+1,FIND("-",BU73)-FIND("|",BU73)-1))),ABS($Q73-ABS(VALUE(MID(BU73,FIND("|",BU73)+1,FIND("-",BU73)-FIND("|",BU73)-1))-VALUE(MID(BU73,FIND("-",BU73)+1,10)))))*$D$50)))))*$I73,0)),0)</f>
        <v>0</v>
      </c>
      <c r="BW73" s="338"/>
      <c r="BX73" s="363"/>
      <c r="BY73" s="356" t="n">
        <f aca="false">IFERROR(IF($M73=BX73,($D$8+$D$9+$D$10)*$I73,IF($N73=LEFT(BX73,1),($D$8+MAX(0,IF($D$50=1,$D$9*(1-(ABS($Q73-ABS(VALUE(MID(BX73,FIND("|",BX73)+1,FIND("-",BX73)-FIND("|",BX73)-1))-VALUE(MID(BX73,FIND("-",BX73)+1,10)))))*$D$50),$D$9*(1-(IF($N73="X",ABS($O73-VALUE(MID(BX73,FIND("|",BX73)+1,FIND("-",BX73)-FIND("|",BX73)-1))),ABS($Q73-ABS(VALUE(MID(BX73,FIND("|",BX73)+1,FIND("-",BX73)-FIND("|",BX73)-1))-VALUE(MID(BX73,FIND("-",BX73)+1,10)))))*$D$50)))))*$I73,0)),0)</f>
        <v>0</v>
      </c>
      <c r="BZ73" s="338"/>
      <c r="CA73" s="363"/>
      <c r="CB73" s="356" t="n">
        <f aca="false">IFERROR(IF($M73=CA73,($D$8+$D$9+$D$10)*$I73,IF($N73=LEFT(CA73,1),($D$8+MAX(0,IF($D$50=1,$D$9*(1-(ABS($Q73-ABS(VALUE(MID(CA73,FIND("|",CA73)+1,FIND("-",CA73)-FIND("|",CA73)-1))-VALUE(MID(CA73,FIND("-",CA73)+1,10)))))*$D$50),$D$9*(1-(IF($N73="X",ABS($O73-VALUE(MID(CA73,FIND("|",CA73)+1,FIND("-",CA73)-FIND("|",CA73)-1))),ABS($Q73-ABS(VALUE(MID(CA73,FIND("|",CA73)+1,FIND("-",CA73)-FIND("|",CA73)-1))-VALUE(MID(CA73,FIND("-",CA73)+1,10)))))*$D$50)))))*$I73,0)),0)</f>
        <v>0</v>
      </c>
      <c r="CC73" s="338"/>
      <c r="CD73" s="363"/>
      <c r="CE73" s="356" t="n">
        <f aca="false">IFERROR(IF($M73=CD73,($D$8+$D$9+$D$10)*$I73,IF($N73=LEFT(CD73,1),($D$8+MAX(0,IF($D$50=1,$D$9*(1-(ABS($Q73-ABS(VALUE(MID(CD73,FIND("|",CD73)+1,FIND("-",CD73)-FIND("|",CD73)-1))-VALUE(MID(CD73,FIND("-",CD73)+1,10)))))*$D$50),$D$9*(1-(IF($N73="X",ABS($O73-VALUE(MID(CD73,FIND("|",CD73)+1,FIND("-",CD73)-FIND("|",CD73)-1))),ABS($Q73-ABS(VALUE(MID(CD73,FIND("|",CD73)+1,FIND("-",CD73)-FIND("|",CD73)-1))-VALUE(MID(CD73,FIND("-",CD73)+1,10)))))*$D$50)))))*$I73,0)),0)</f>
        <v>0</v>
      </c>
      <c r="CF73" s="338"/>
      <c r="CG73" s="363"/>
      <c r="CH73" s="356" t="n">
        <f aca="false">IFERROR(IF($M73=CG73,($D$8+$D$9+$D$10)*$I73,IF($N73=LEFT(CG73,1),($D$8+MAX(0,IF($D$50=1,$D$9*(1-(ABS($Q73-ABS(VALUE(MID(CG73,FIND("|",CG73)+1,FIND("-",CG73)-FIND("|",CG73)-1))-VALUE(MID(CG73,FIND("-",CG73)+1,10)))))*$D$50),$D$9*(1-(IF($N73="X",ABS($O73-VALUE(MID(CG73,FIND("|",CG73)+1,FIND("-",CG73)-FIND("|",CG73)-1))),ABS($Q73-ABS(VALUE(MID(CG73,FIND("|",CG73)+1,FIND("-",CG73)-FIND("|",CG73)-1))-VALUE(MID(CG73,FIND("-",CG73)+1,10)))))*$D$50)))))*$I73,0)),0)</f>
        <v>0</v>
      </c>
      <c r="CI73" s="338"/>
      <c r="CJ73" s="363"/>
      <c r="CK73" s="356" t="n">
        <f aca="false">IFERROR(IF($M73=CJ73,($D$8+$D$9+$D$10)*$I73,IF($N73=LEFT(CJ73,1),($D$8+MAX(0,IF($D$50=1,$D$9*(1-(ABS($Q73-ABS(VALUE(MID(CJ73,FIND("|",CJ73)+1,FIND("-",CJ73)-FIND("|",CJ73)-1))-VALUE(MID(CJ73,FIND("-",CJ73)+1,10)))))*$D$50),$D$9*(1-(IF($N73="X",ABS($O73-VALUE(MID(CJ73,FIND("|",CJ73)+1,FIND("-",CJ73)-FIND("|",CJ73)-1))),ABS($Q73-ABS(VALUE(MID(CJ73,FIND("|",CJ73)+1,FIND("-",CJ73)-FIND("|",CJ73)-1))-VALUE(MID(CJ73,FIND("-",CJ73)+1,10)))))*$D$50)))))*$I73,0)),0)</f>
        <v>0</v>
      </c>
      <c r="CL73" s="338"/>
      <c r="CM73" s="363"/>
      <c r="CN73" s="356" t="n">
        <f aca="false">IFERROR(IF($M73=CM73,($D$8+$D$9+$D$10)*$I73,IF($N73=LEFT(CM73,1),($D$8+MAX(0,IF($D$50=1,$D$9*(1-(ABS($Q73-ABS(VALUE(MID(CM73,FIND("|",CM73)+1,FIND("-",CM73)-FIND("|",CM73)-1))-VALUE(MID(CM73,FIND("-",CM73)+1,10)))))*$D$50),$D$9*(1-(IF($N73="X",ABS($O73-VALUE(MID(CM73,FIND("|",CM73)+1,FIND("-",CM73)-FIND("|",CM73)-1))),ABS($Q73-ABS(VALUE(MID(CM73,FIND("|",CM73)+1,FIND("-",CM73)-FIND("|",CM73)-1))-VALUE(MID(CM73,FIND("-",CM73)+1,10)))))*$D$50)))))*$I73,0)),0)</f>
        <v>0</v>
      </c>
      <c r="CO73" s="338"/>
      <c r="CP73" s="363"/>
      <c r="CQ73" s="356" t="n">
        <f aca="false">IFERROR(IF($M73=CP73,($D$8+$D$9+$D$10)*$I73,IF($N73=LEFT(CP73,1),($D$8+MAX(0,IF($D$50=1,$D$9*(1-(ABS($Q73-ABS(VALUE(MID(CP73,FIND("|",CP73)+1,FIND("-",CP73)-FIND("|",CP73)-1))-VALUE(MID(CP73,FIND("-",CP73)+1,10)))))*$D$50),$D$9*(1-(IF($N73="X",ABS($O73-VALUE(MID(CP73,FIND("|",CP73)+1,FIND("-",CP73)-FIND("|",CP73)-1))),ABS($Q73-ABS(VALUE(MID(CP73,FIND("|",CP73)+1,FIND("-",CP73)-FIND("|",CP73)-1))-VALUE(MID(CP73,FIND("-",CP73)+1,10)))))*$D$50)))))*$I73,0)),0)</f>
        <v>0</v>
      </c>
      <c r="CR73" s="338"/>
      <c r="CS73" s="363"/>
      <c r="CT73" s="356" t="n">
        <f aca="false">IFERROR(IF($M73=CS73,($D$8+$D$9+$D$10)*$I73,IF($N73=LEFT(CS73,1),($D$8+MAX(0,IF($D$50=1,$D$9*(1-(ABS($Q73-ABS(VALUE(MID(CS73,FIND("|",CS73)+1,FIND("-",CS73)-FIND("|",CS73)-1))-VALUE(MID(CS73,FIND("-",CS73)+1,10)))))*$D$50),$D$9*(1-(IF($N73="X",ABS($O73-VALUE(MID(CS73,FIND("|",CS73)+1,FIND("-",CS73)-FIND("|",CS73)-1))),ABS($Q73-ABS(VALUE(MID(CS73,FIND("|",CS73)+1,FIND("-",CS73)-FIND("|",CS73)-1))-VALUE(MID(CS73,FIND("-",CS73)+1,10)))))*$D$50)))))*$I73,0)),0)</f>
        <v>0</v>
      </c>
      <c r="CU73" s="338"/>
      <c r="CV73" s="363"/>
      <c r="CW73" s="356" t="n">
        <f aca="false">IFERROR(IF($M73=CV73,($D$8+$D$9+$D$10)*$I73,IF($N73=LEFT(CV73,1),($D$8+MAX(0,IF($D$50=1,$D$9*(1-(ABS($Q73-ABS(VALUE(MID(CV73,FIND("|",CV73)+1,FIND("-",CV73)-FIND("|",CV73)-1))-VALUE(MID(CV73,FIND("-",CV73)+1,10)))))*$D$50),$D$9*(1-(IF($N73="X",ABS($O73-VALUE(MID(CV73,FIND("|",CV73)+1,FIND("-",CV73)-FIND("|",CV73)-1))),ABS($Q73-ABS(VALUE(MID(CV73,FIND("|",CV73)+1,FIND("-",CV73)-FIND("|",CV73)-1))-VALUE(MID(CV73,FIND("-",CV73)+1,10)))))*$D$50)))))*$I73,0)),0)</f>
        <v>0</v>
      </c>
      <c r="CX73" s="338"/>
      <c r="CY73" s="363"/>
      <c r="CZ73" s="356" t="n">
        <f aca="false">IFERROR(IF($M73=CY73,($D$8+$D$9+$D$10)*$I73,IF($N73=LEFT(CY73,1),($D$8+MAX(0,IF($D$50=1,$D$9*(1-(ABS($Q73-ABS(VALUE(MID(CY73,FIND("|",CY73)+1,FIND("-",CY73)-FIND("|",CY73)-1))-VALUE(MID(CY73,FIND("-",CY73)+1,10)))))*$D$50),$D$9*(1-(IF($N73="X",ABS($O73-VALUE(MID(CY73,FIND("|",CY73)+1,FIND("-",CY73)-FIND("|",CY73)-1))),ABS($Q73-ABS(VALUE(MID(CY73,FIND("|",CY73)+1,FIND("-",CY73)-FIND("|",CY73)-1))-VALUE(MID(CY73,FIND("-",CY73)+1,10)))))*$D$50)))))*$I73,0)),0)</f>
        <v>0</v>
      </c>
      <c r="DA73" s="338"/>
      <c r="DB73" s="363"/>
      <c r="DC73" s="356" t="n">
        <f aca="false">IFERROR(IF($M73=DB73,($D$8+$D$9+$D$10)*$I73,IF($N73=LEFT(DB73,1),($D$8+MAX(0,IF($D$50=1,$D$9*(1-(ABS($Q73-ABS(VALUE(MID(DB73,FIND("|",DB73)+1,FIND("-",DB73)-FIND("|",DB73)-1))-VALUE(MID(DB73,FIND("-",DB73)+1,10)))))*$D$50),$D$9*(1-(IF($N73="X",ABS($O73-VALUE(MID(DB73,FIND("|",DB73)+1,FIND("-",DB73)-FIND("|",DB73)-1))),ABS($Q73-ABS(VALUE(MID(DB73,FIND("|",DB73)+1,FIND("-",DB73)-FIND("|",DB73)-1))-VALUE(MID(DB73,FIND("-",DB73)+1,10)))))*$D$50)))))*$I73,0)),0)</f>
        <v>0</v>
      </c>
      <c r="DD73" s="338"/>
      <c r="DE73" s="363"/>
      <c r="DF73" s="356" t="n">
        <f aca="false">IFERROR(IF($M73=DE73,($D$8+$D$9+$D$10)*$I73,IF($N73=LEFT(DE73,1),($D$8+MAX(0,IF($D$50=1,$D$9*(1-(ABS($Q73-ABS(VALUE(MID(DE73,FIND("|",DE73)+1,FIND("-",DE73)-FIND("|",DE73)-1))-VALUE(MID(DE73,FIND("-",DE73)+1,10)))))*$D$50),$D$9*(1-(IF($N73="X",ABS($O73-VALUE(MID(DE73,FIND("|",DE73)+1,FIND("-",DE73)-FIND("|",DE73)-1))),ABS($Q73-ABS(VALUE(MID(DE73,FIND("|",DE73)+1,FIND("-",DE73)-FIND("|",DE73)-1))-VALUE(MID(DE73,FIND("-",DE73)+1,10)))))*$D$50)))))*$I73,0)),0)</f>
        <v>0</v>
      </c>
      <c r="DG73" s="338"/>
      <c r="DH73" s="363"/>
      <c r="DI73" s="356" t="n">
        <f aca="false">IFERROR(IF($M73=DH73,($D$8+$D$9+$D$10)*$I73,IF($N73=LEFT(DH73,1),($D$8+MAX(0,IF($D$50=1,$D$9*(1-(ABS($Q73-ABS(VALUE(MID(DH73,FIND("|",DH73)+1,FIND("-",DH73)-FIND("|",DH73)-1))-VALUE(MID(DH73,FIND("-",DH73)+1,10)))))*$D$50),$D$9*(1-(IF($N73="X",ABS($O73-VALUE(MID(DH73,FIND("|",DH73)+1,FIND("-",DH73)-FIND("|",DH73)-1))),ABS($Q73-ABS(VALUE(MID(DH73,FIND("|",DH73)+1,FIND("-",DH73)-FIND("|",DH73)-1))-VALUE(MID(DH73,FIND("-",DH73)+1,10)))))*$D$50)))))*$I73,0)),0)</f>
        <v>0</v>
      </c>
      <c r="DJ73" s="338"/>
      <c r="DK73" s="363"/>
      <c r="DL73" s="356" t="n">
        <f aca="false">IFERROR(IF($M73=DK73,($D$8+$D$9+$D$10)*$I73,IF($N73=LEFT(DK73,1),($D$8+MAX(0,IF($D$50=1,$D$9*(1-(ABS($Q73-ABS(VALUE(MID(DK73,FIND("|",DK73)+1,FIND("-",DK73)-FIND("|",DK73)-1))-VALUE(MID(DK73,FIND("-",DK73)+1,10)))))*$D$50),$D$9*(1-(IF($N73="X",ABS($O73-VALUE(MID(DK73,FIND("|",DK73)+1,FIND("-",DK73)-FIND("|",DK73)-1))),ABS($Q73-ABS(VALUE(MID(DK73,FIND("|",DK73)+1,FIND("-",DK73)-FIND("|",DK73)-1))-VALUE(MID(DK73,FIND("-",DK73)+1,10)))))*$D$50)))))*$I73,0)),0)</f>
        <v>0</v>
      </c>
      <c r="DM73" s="338"/>
      <c r="DN73" s="363"/>
      <c r="DO73" s="356" t="n">
        <f aca="false">IFERROR(IF($M73=DN73,($D$8+$D$9+$D$10)*$I73,IF($N73=LEFT(DN73,1),($D$8+MAX(0,IF($D$50=1,$D$9*(1-(ABS($Q73-ABS(VALUE(MID(DN73,FIND("|",DN73)+1,FIND("-",DN73)-FIND("|",DN73)-1))-VALUE(MID(DN73,FIND("-",DN73)+1,10)))))*$D$50),$D$9*(1-(IF($N73="X",ABS($O73-VALUE(MID(DN73,FIND("|",DN73)+1,FIND("-",DN73)-FIND("|",DN73)-1))),ABS($Q73-ABS(VALUE(MID(DN73,FIND("|",DN73)+1,FIND("-",DN73)-FIND("|",DN73)-1))-VALUE(MID(DN73,FIND("-",DN73)+1,10)))))*$D$50)))))*$I73,0)),0)</f>
        <v>0</v>
      </c>
      <c r="DP73" s="338"/>
      <c r="DQ73" s="363"/>
      <c r="DR73" s="356" t="n">
        <f aca="false">IFERROR(IF($M73=DQ73,($D$8+$D$9+$D$10)*$I73,IF($N73=LEFT(DQ73,1),($D$8+MAX(0,IF($D$50=1,$D$9*(1-(ABS($Q73-ABS(VALUE(MID(DQ73,FIND("|",DQ73)+1,FIND("-",DQ73)-FIND("|",DQ73)-1))-VALUE(MID(DQ73,FIND("-",DQ73)+1,10)))))*$D$50),$D$9*(1-(IF($N73="X",ABS($O73-VALUE(MID(DQ73,FIND("|",DQ73)+1,FIND("-",DQ73)-FIND("|",DQ73)-1))),ABS($Q73-ABS(VALUE(MID(DQ73,FIND("|",DQ73)+1,FIND("-",DQ73)-FIND("|",DQ73)-1))-VALUE(MID(DQ73,FIND("-",DQ73)+1,10)))))*$D$50)))))*$I73,0)),0)</f>
        <v>0</v>
      </c>
      <c r="DS73" s="338"/>
      <c r="DT73" s="363"/>
      <c r="DU73" s="356" t="n">
        <f aca="false">IFERROR(IF($M73=DT73,($D$8+$D$9+$D$10)*$I73,IF($N73=LEFT(DT73,1),($D$8+MAX(0,IF($D$50=1,$D$9*(1-(ABS($Q73-ABS(VALUE(MID(DT73,FIND("|",DT73)+1,FIND("-",DT73)-FIND("|",DT73)-1))-VALUE(MID(DT73,FIND("-",DT73)+1,10)))))*$D$50),$D$9*(1-(IF($N73="X",ABS($O73-VALUE(MID(DT73,FIND("|",DT73)+1,FIND("-",DT73)-FIND("|",DT73)-1))),ABS($Q73-ABS(VALUE(MID(DT73,FIND("|",DT73)+1,FIND("-",DT73)-FIND("|",DT73)-1))-VALUE(MID(DT73,FIND("-",DT73)+1,10)))))*$D$50)))))*$I73,0)),0)</f>
        <v>0</v>
      </c>
      <c r="DV73" s="338"/>
      <c r="DW73" s="363"/>
      <c r="DX73" s="356" t="n">
        <f aca="false">IFERROR(IF($M73=DW73,($D$8+$D$9+$D$10)*$I73,IF($N73=LEFT(DW73,1),($D$8+MAX(0,IF($D$50=1,$D$9*(1-(ABS($Q73-ABS(VALUE(MID(DW73,FIND("|",DW73)+1,FIND("-",DW73)-FIND("|",DW73)-1))-VALUE(MID(DW73,FIND("-",DW73)+1,10)))))*$D$50),$D$9*(1-(IF($N73="X",ABS($O73-VALUE(MID(DW73,FIND("|",DW73)+1,FIND("-",DW73)-FIND("|",DW73)-1))),ABS($Q73-ABS(VALUE(MID(DW73,FIND("|",DW73)+1,FIND("-",DW73)-FIND("|",DW73)-1))-VALUE(MID(DW73,FIND("-",DW73)+1,10)))))*$D$50)))))*$I73,0)),0)</f>
        <v>0</v>
      </c>
      <c r="DY73" s="338"/>
      <c r="DZ73" s="363"/>
      <c r="EA73" s="356" t="n">
        <f aca="false">IFERROR(IF($M73=DZ73,($D$8+$D$9+$D$10)*$I73,IF($N73=LEFT(DZ73,1),($D$8+MAX(0,IF($D$50=1,$D$9*(1-(ABS($Q73-ABS(VALUE(MID(DZ73,FIND("|",DZ73)+1,FIND("-",DZ73)-FIND("|",DZ73)-1))-VALUE(MID(DZ73,FIND("-",DZ73)+1,10)))))*$D$50),$D$9*(1-(IF($N73="X",ABS($O73-VALUE(MID(DZ73,FIND("|",DZ73)+1,FIND("-",DZ73)-FIND("|",DZ73)-1))),ABS($Q73-ABS(VALUE(MID(DZ73,FIND("|",DZ73)+1,FIND("-",DZ73)-FIND("|",DZ73)-1))-VALUE(MID(DZ73,FIND("-",DZ73)+1,10)))))*$D$50)))))*$I73,0)),0)</f>
        <v>0</v>
      </c>
      <c r="EB73" s="338"/>
      <c r="EC73" s="363"/>
      <c r="ED73" s="356" t="n">
        <f aca="false">IFERROR(IF($M73=EC73,($D$8+$D$9+$D$10)*$I73,IF($N73=LEFT(EC73,1),($D$8+MAX(0,IF($D$50=1,$D$9*(1-(ABS($Q73-ABS(VALUE(MID(EC73,FIND("|",EC73)+1,FIND("-",EC73)-FIND("|",EC73)-1))-VALUE(MID(EC73,FIND("-",EC73)+1,10)))))*$D$50),$D$9*(1-(IF($N73="X",ABS($O73-VALUE(MID(EC73,FIND("|",EC73)+1,FIND("-",EC73)-FIND("|",EC73)-1))),ABS($Q73-ABS(VALUE(MID(EC73,FIND("|",EC73)+1,FIND("-",EC73)-FIND("|",EC73)-1))-VALUE(MID(EC73,FIND("-",EC73)+1,10)))))*$D$50)))))*$I73,0)),0)</f>
        <v>0</v>
      </c>
      <c r="EE73" s="338"/>
      <c r="EF73" s="363"/>
      <c r="EG73" s="356" t="n">
        <f aca="false">IFERROR(IF($M73=EF73,($D$8+$D$9+$D$10)*$I73,IF($N73=LEFT(EF73,1),($D$8+MAX(0,IF($D$50=1,$D$9*(1-(ABS($Q73-ABS(VALUE(MID(EF73,FIND("|",EF73)+1,FIND("-",EF73)-FIND("|",EF73)-1))-VALUE(MID(EF73,FIND("-",EF73)+1,10)))))*$D$50),$D$9*(1-(IF($N73="X",ABS($O73-VALUE(MID(EF73,FIND("|",EF73)+1,FIND("-",EF73)-FIND("|",EF73)-1))),ABS($Q73-ABS(VALUE(MID(EF73,FIND("|",EF73)+1,FIND("-",EF73)-FIND("|",EF73)-1))-VALUE(MID(EF73,FIND("-",EF73)+1,10)))))*$D$50)))))*$I73,0)),0)</f>
        <v>0</v>
      </c>
      <c r="EH73" s="338"/>
      <c r="EI73" s="338"/>
    </row>
    <row r="74" customFormat="false" ht="15" hidden="false" customHeight="false" outlineLevel="0" collapsed="false">
      <c r="A74" s="327"/>
      <c r="B74" s="327"/>
      <c r="C74" s="327"/>
      <c r="D74" s="327"/>
      <c r="E74" s="327"/>
      <c r="F74" s="394" t="n">
        <f aca="false">SUM($D$8:$D$10)*I74</f>
        <v>17</v>
      </c>
      <c r="G74" s="394" t="n">
        <f aca="false">VLOOKUP(H74,Equipos!$Q$1:$R$25,2,0)</f>
        <v>18</v>
      </c>
      <c r="H74" s="395" t="n">
        <f aca="false">TRUNC(INDEX(WORLDCUP!$X$4:$X$147,MATCH(ADMIN!K74,WORLDCUP!$DT$4:$DT$147,0))+INDEX(Horarios!$R$3:$R$86,MATCH(Horarios!$C$3,Horarios!$P$3:$P$86,0))/24)</f>
        <v>46201</v>
      </c>
      <c r="I74" s="352" t="n">
        <v>1</v>
      </c>
      <c r="J74" s="353" t="s">
        <v>329</v>
      </c>
      <c r="K74" s="354" t="str">
        <f aca="false">CONCATENATE(WORLDCUP!AA88,"-",WORLDCUP!AF88)</f>
        <v>Colombia-Portugal</v>
      </c>
      <c r="L74" s="354"/>
      <c r="M74" s="359" t="str">
        <f aca="false">IF(OR(WORLDCUP!AC88="",WORLDCUP!AD88=""),"-",N74&amp;"|"&amp;O74&amp;"-"&amp;P74)</f>
        <v>-</v>
      </c>
      <c r="N74" s="332" t="str">
        <f aca="false">IF(OR(WORLDCUP!AC88="",WORLDCUP!AD88=""),"",IF(WORLDCUP!AC88&gt;WORLDCUP!AD88,"1",IF(WORLDCUP!AC88&lt;WORLDCUP!AD88,"2","X")))</f>
        <v/>
      </c>
      <c r="O74" s="332" t="n">
        <f aca="false">WORLDCUP!AC88</f>
        <v>0</v>
      </c>
      <c r="P74" s="332" t="n">
        <f aca="false">WORLDCUP!AD88</f>
        <v>0</v>
      </c>
      <c r="Q74" s="332" t="n">
        <f aca="false">ABS(O74-P74)</f>
        <v>0</v>
      </c>
      <c r="R74" s="327"/>
      <c r="S74" s="363" t="s">
        <v>277</v>
      </c>
      <c r="T74" s="356" t="n">
        <f aca="false">IFERROR(IF($M74=S74,($D$8+$D$9+$D$10)*$I74,IF($N74=LEFT(S74,1),($D$8+MAX(0,IF($D$50=1,$D$9*(1-(ABS($Q74-ABS(VALUE(MID(S74,FIND("|",S74)+1,FIND("-",S74)-FIND("|",S74)-1))-VALUE(MID(S74,FIND("-",S74)+1,10)))))*$D$50),$D$9*(1-(IF($N74="X",ABS($O74-VALUE(MID(S74,FIND("|",S74)+1,FIND("-",S74)-FIND("|",S74)-1))),ABS($Q74-ABS(VALUE(MID(S74,FIND("|",S74)+1,FIND("-",S74)-FIND("|",S74)-1))-VALUE(MID(S74,FIND("-",S74)+1,10)))))*$D$50)))))*$I74,0)),0)</f>
        <v>0</v>
      </c>
      <c r="U74" s="338"/>
      <c r="V74" s="363" t="s">
        <v>267</v>
      </c>
      <c r="W74" s="356" t="n">
        <f aca="false">IFERROR(IF($M74=V74,($D$8+$D$9+$D$10)*$I74,IF($N74=LEFT(V74,1),($D$8+MAX(0,IF($D$50=1,$D$9*(1-(ABS($Q74-ABS(VALUE(MID(V74,FIND("|",V74)+1,FIND("-",V74)-FIND("|",V74)-1))-VALUE(MID(V74,FIND("-",V74)+1,10)))))*$D$50),$D$9*(1-(IF($N74="X",ABS($O74-VALUE(MID(V74,FIND("|",V74)+1,FIND("-",V74)-FIND("|",V74)-1))),ABS($Q74-ABS(VALUE(MID(V74,FIND("|",V74)+1,FIND("-",V74)-FIND("|",V74)-1))-VALUE(MID(V74,FIND("-",V74)+1,10)))))*$D$50)))))*$I74,0)),0)</f>
        <v>0</v>
      </c>
      <c r="X74" s="338"/>
      <c r="Y74" s="363" t="s">
        <v>267</v>
      </c>
      <c r="Z74" s="356" t="n">
        <f aca="false">IFERROR(IF($M74=Y74,($D$8+$D$9+$D$10)*$I74,IF($N74=LEFT(Y74,1),($D$8+MAX(0,IF($D$50=1,$D$9*(1-(ABS($Q74-ABS(VALUE(MID(Y74,FIND("|",Y74)+1,FIND("-",Y74)-FIND("|",Y74)-1))-VALUE(MID(Y74,FIND("-",Y74)+1,10)))))*$D$50),$D$9*(1-(IF($N74="X",ABS($O74-VALUE(MID(Y74,FIND("|",Y74)+1,FIND("-",Y74)-FIND("|",Y74)-1))),ABS($Q74-ABS(VALUE(MID(Y74,FIND("|",Y74)+1,FIND("-",Y74)-FIND("|",Y74)-1))-VALUE(MID(Y74,FIND("-",Y74)+1,10)))))*$D$50)))))*$I74,0)),0)</f>
        <v>0</v>
      </c>
      <c r="AA74" s="338"/>
      <c r="AB74" s="363" t="s">
        <v>318</v>
      </c>
      <c r="AC74" s="356" t="n">
        <f aca="false">IFERROR(IF($M74=AB74,($D$8+$D$9+$D$10)*$I74,IF($N74=LEFT(AB74,1),($D$8+MAX(0,IF($D$50=1,$D$9*(1-(ABS($Q74-ABS(VALUE(MID(AB74,FIND("|",AB74)+1,FIND("-",AB74)-FIND("|",AB74)-1))-VALUE(MID(AB74,FIND("-",AB74)+1,10)))))*$D$50),$D$9*(1-(IF($N74="X",ABS($O74-VALUE(MID(AB74,FIND("|",AB74)+1,FIND("-",AB74)-FIND("|",AB74)-1))),ABS($Q74-ABS(VALUE(MID(AB74,FIND("|",AB74)+1,FIND("-",AB74)-FIND("|",AB74)-1))-VALUE(MID(AB74,FIND("-",AB74)+1,10)))))*$D$50)))))*$I74,0)),0)</f>
        <v>0</v>
      </c>
      <c r="AD74" s="338"/>
      <c r="AE74" s="363" t="s">
        <v>277</v>
      </c>
      <c r="AF74" s="356" t="n">
        <f aca="false">IFERROR(IF($M74=AE74,($D$8+$D$9+$D$10)*$I74,IF($N74=LEFT(AE74,1),($D$8+MAX(0,IF($D$50=1,$D$9*(1-(ABS($Q74-ABS(VALUE(MID(AE74,FIND("|",AE74)+1,FIND("-",AE74)-FIND("|",AE74)-1))-VALUE(MID(AE74,FIND("-",AE74)+1,10)))))*$D$50),$D$9*(1-(IF($N74="X",ABS($O74-VALUE(MID(AE74,FIND("|",AE74)+1,FIND("-",AE74)-FIND("|",AE74)-1))),ABS($Q74-ABS(VALUE(MID(AE74,FIND("|",AE74)+1,FIND("-",AE74)-FIND("|",AE74)-1))-VALUE(MID(AE74,FIND("-",AE74)+1,10)))))*$D$50)))))*$I74,0)),0)</f>
        <v>0</v>
      </c>
      <c r="AG74" s="338"/>
      <c r="AH74" s="363" t="s">
        <v>268</v>
      </c>
      <c r="AI74" s="356" t="n">
        <f aca="false">IFERROR(IF($M74=AH74,($D$8+$D$9+$D$10)*$I74,IF($N74=LEFT(AH74,1),($D$8+MAX(0,IF($D$50=1,$D$9*(1-(ABS($Q74-ABS(VALUE(MID(AH74,FIND("|",AH74)+1,FIND("-",AH74)-FIND("|",AH74)-1))-VALUE(MID(AH74,FIND("-",AH74)+1,10)))))*$D$50),$D$9*(1-(IF($N74="X",ABS($O74-VALUE(MID(AH74,FIND("|",AH74)+1,FIND("-",AH74)-FIND("|",AH74)-1))),ABS($Q74-ABS(VALUE(MID(AH74,FIND("|",AH74)+1,FIND("-",AH74)-FIND("|",AH74)-1))-VALUE(MID(AH74,FIND("-",AH74)+1,10)))))*$D$50)))))*$I74,0)),0)</f>
        <v>0</v>
      </c>
      <c r="AJ74" s="338"/>
      <c r="AK74" s="363" t="s">
        <v>267</v>
      </c>
      <c r="AL74" s="356" t="n">
        <f aca="false">IFERROR(IF($M74=AK74,($D$8+$D$9+$D$10)*$I74,IF($N74=LEFT(AK74,1),($D$8+MAX(0,IF($D$50=1,$D$9*(1-(ABS($Q74-ABS(VALUE(MID(AK74,FIND("|",AK74)+1,FIND("-",AK74)-FIND("|",AK74)-1))-VALUE(MID(AK74,FIND("-",AK74)+1,10)))))*$D$50),$D$9*(1-(IF($N74="X",ABS($O74-VALUE(MID(AK74,FIND("|",AK74)+1,FIND("-",AK74)-FIND("|",AK74)-1))),ABS($Q74-ABS(VALUE(MID(AK74,FIND("|",AK74)+1,FIND("-",AK74)-FIND("|",AK74)-1))-VALUE(MID(AK74,FIND("-",AK74)+1,10)))))*$D$50)))))*$I74,0)),0)</f>
        <v>0</v>
      </c>
      <c r="AM74" s="338"/>
      <c r="AN74" s="363" t="s">
        <v>268</v>
      </c>
      <c r="AO74" s="356" t="n">
        <f aca="false">IFERROR(IF($M74=AN74,($D$8+$D$9+$D$10)*$I74,IF($N74=LEFT(AN74,1),($D$8+MAX(0,IF($D$50=1,$D$9*(1-(ABS($Q74-ABS(VALUE(MID(AN74,FIND("|",AN74)+1,FIND("-",AN74)-FIND("|",AN74)-1))-VALUE(MID(AN74,FIND("-",AN74)+1,10)))))*$D$50),$D$9*(1-(IF($N74="X",ABS($O74-VALUE(MID(AN74,FIND("|",AN74)+1,FIND("-",AN74)-FIND("|",AN74)-1))),ABS($Q74-ABS(VALUE(MID(AN74,FIND("|",AN74)+1,FIND("-",AN74)-FIND("|",AN74)-1))-VALUE(MID(AN74,FIND("-",AN74)+1,10)))))*$D$50)))))*$I74,0)),0)</f>
        <v>0</v>
      </c>
      <c r="AP74" s="338"/>
      <c r="AQ74" s="363" t="s">
        <v>271</v>
      </c>
      <c r="AR74" s="356" t="n">
        <f aca="false">IFERROR(IF($M74=AQ74,($D$8+$D$9+$D$10)*$I74,IF($N74=LEFT(AQ74,1),($D$8+MAX(0,IF($D$50=1,$D$9*(1-(ABS($Q74-ABS(VALUE(MID(AQ74,FIND("|",AQ74)+1,FIND("-",AQ74)-FIND("|",AQ74)-1))-VALUE(MID(AQ74,FIND("-",AQ74)+1,10)))))*$D$50),$D$9*(1-(IF($N74="X",ABS($O74-VALUE(MID(AQ74,FIND("|",AQ74)+1,FIND("-",AQ74)-FIND("|",AQ74)-1))),ABS($Q74-ABS(VALUE(MID(AQ74,FIND("|",AQ74)+1,FIND("-",AQ74)-FIND("|",AQ74)-1))-VALUE(MID(AQ74,FIND("-",AQ74)+1,10)))))*$D$50)))))*$I74,0)),0)</f>
        <v>0</v>
      </c>
      <c r="AS74" s="338"/>
      <c r="AT74" s="363" t="s">
        <v>268</v>
      </c>
      <c r="AU74" s="356" t="n">
        <f aca="false">IFERROR(IF($M74=AT74,($D$8+$D$9+$D$10)*$I74,IF($N74=LEFT(AT74,1),($D$8+MAX(0,IF($D$50=1,$D$9*(1-(ABS($Q74-ABS(VALUE(MID(AT74,FIND("|",AT74)+1,FIND("-",AT74)-FIND("|",AT74)-1))-VALUE(MID(AT74,FIND("-",AT74)+1,10)))))*$D$50),$D$9*(1-(IF($N74="X",ABS($O74-VALUE(MID(AT74,FIND("|",AT74)+1,FIND("-",AT74)-FIND("|",AT74)-1))),ABS($Q74-ABS(VALUE(MID(AT74,FIND("|",AT74)+1,FIND("-",AT74)-FIND("|",AT74)-1))-VALUE(MID(AT74,FIND("-",AT74)+1,10)))))*$D$50)))))*$I74,0)),0)</f>
        <v>0</v>
      </c>
      <c r="AV74" s="338"/>
      <c r="AW74" s="363" t="s">
        <v>267</v>
      </c>
      <c r="AX74" s="356" t="n">
        <f aca="false">IFERROR(IF($M74=AW74,($D$8+$D$9+$D$10)*$I74,IF($N74=LEFT(AW74,1),($D$8+MAX(0,IF($D$50=1,$D$9*(1-(ABS($Q74-ABS(VALUE(MID(AW74,FIND("|",AW74)+1,FIND("-",AW74)-FIND("|",AW74)-1))-VALUE(MID(AW74,FIND("-",AW74)+1,10)))))*$D$50),$D$9*(1-(IF($N74="X",ABS($O74-VALUE(MID(AW74,FIND("|",AW74)+1,FIND("-",AW74)-FIND("|",AW74)-1))),ABS($Q74-ABS(VALUE(MID(AW74,FIND("|",AW74)+1,FIND("-",AW74)-FIND("|",AW74)-1))-VALUE(MID(AW74,FIND("-",AW74)+1,10)))))*$D$50)))))*$I74,0)),0)</f>
        <v>0</v>
      </c>
      <c r="AY74" s="338"/>
      <c r="AZ74" s="363" t="s">
        <v>268</v>
      </c>
      <c r="BA74" s="356" t="n">
        <f aca="false">IFERROR(IF($M74=AZ74,($D$8+$D$9+$D$10)*$I74,IF($N74=LEFT(AZ74,1),($D$8+MAX(0,IF($D$50=1,$D$9*(1-(ABS($Q74-ABS(VALUE(MID(AZ74,FIND("|",AZ74)+1,FIND("-",AZ74)-FIND("|",AZ74)-1))-VALUE(MID(AZ74,FIND("-",AZ74)+1,10)))))*$D$50),$D$9*(1-(IF($N74="X",ABS($O74-VALUE(MID(AZ74,FIND("|",AZ74)+1,FIND("-",AZ74)-FIND("|",AZ74)-1))),ABS($Q74-ABS(VALUE(MID(AZ74,FIND("|",AZ74)+1,FIND("-",AZ74)-FIND("|",AZ74)-1))-VALUE(MID(AZ74,FIND("-",AZ74)+1,10)))))*$D$50)))))*$I74,0)),0)</f>
        <v>0</v>
      </c>
      <c r="BB74" s="338"/>
      <c r="BC74" s="363" t="s">
        <v>318</v>
      </c>
      <c r="BD74" s="356" t="n">
        <f aca="false">IFERROR(IF($M74=BC74,($D$8+$D$9+$D$10)*$I74,IF($N74=LEFT(BC74,1),($D$8+MAX(0,IF($D$50=1,$D$9*(1-(ABS($Q74-ABS(VALUE(MID(BC74,FIND("|",BC74)+1,FIND("-",BC74)-FIND("|",BC74)-1))-VALUE(MID(BC74,FIND("-",BC74)+1,10)))))*$D$50),$D$9*(1-(IF($N74="X",ABS($O74-VALUE(MID(BC74,FIND("|",BC74)+1,FIND("-",BC74)-FIND("|",BC74)-1))),ABS($Q74-ABS(VALUE(MID(BC74,FIND("|",BC74)+1,FIND("-",BC74)-FIND("|",BC74)-1))-VALUE(MID(BC74,FIND("-",BC74)+1,10)))))*$D$50)))))*$I74,0)),0)</f>
        <v>0</v>
      </c>
      <c r="BE74" s="338"/>
      <c r="BF74" s="363" t="s">
        <v>268</v>
      </c>
      <c r="BG74" s="356" t="n">
        <f aca="false">IFERROR(IF($M74=BF74,($D$8+$D$9+$D$10)*$I74,IF($N74=LEFT(BF74,1),($D$8+MAX(0,IF($D$50=1,$D$9*(1-(ABS($Q74-ABS(VALUE(MID(BF74,FIND("|",BF74)+1,FIND("-",BF74)-FIND("|",BF74)-1))-VALUE(MID(BF74,FIND("-",BF74)+1,10)))))*$D$50),$D$9*(1-(IF($N74="X",ABS($O74-VALUE(MID(BF74,FIND("|",BF74)+1,FIND("-",BF74)-FIND("|",BF74)-1))),ABS($Q74-ABS(VALUE(MID(BF74,FIND("|",BF74)+1,FIND("-",BF74)-FIND("|",BF74)-1))-VALUE(MID(BF74,FIND("-",BF74)+1,10)))))*$D$50)))))*$I74,0)),0)</f>
        <v>0</v>
      </c>
      <c r="BH74" s="338"/>
      <c r="BI74" s="363" t="s">
        <v>268</v>
      </c>
      <c r="BJ74" s="356" t="n">
        <f aca="false">IFERROR(IF($M74=BI74,($D$8+$D$9+$D$10)*$I74,IF($N74=LEFT(BI74,1),($D$8+MAX(0,IF($D$50=1,$D$9*(1-(ABS($Q74-ABS(VALUE(MID(BI74,FIND("|",BI74)+1,FIND("-",BI74)-FIND("|",BI74)-1))-VALUE(MID(BI74,FIND("-",BI74)+1,10)))))*$D$50),$D$9*(1-(IF($N74="X",ABS($O74-VALUE(MID(BI74,FIND("|",BI74)+1,FIND("-",BI74)-FIND("|",BI74)-1))),ABS($Q74-ABS(VALUE(MID(BI74,FIND("|",BI74)+1,FIND("-",BI74)-FIND("|",BI74)-1))-VALUE(MID(BI74,FIND("-",BI74)+1,10)))))*$D$50)))))*$I74,0)),0)</f>
        <v>0</v>
      </c>
      <c r="BK74" s="338"/>
      <c r="BL74" s="363" t="s">
        <v>268</v>
      </c>
      <c r="BM74" s="356" t="n">
        <f aca="false">IFERROR(IF($M74=BL74,($D$8+$D$9+$D$10)*$I74,IF($N74=LEFT(BL74,1),($D$8+MAX(0,IF($D$50=1,$D$9*(1-(ABS($Q74-ABS(VALUE(MID(BL74,FIND("|",BL74)+1,FIND("-",BL74)-FIND("|",BL74)-1))-VALUE(MID(BL74,FIND("-",BL74)+1,10)))))*$D$50),$D$9*(1-(IF($N74="X",ABS($O74-VALUE(MID(BL74,FIND("|",BL74)+1,FIND("-",BL74)-FIND("|",BL74)-1))),ABS($Q74-ABS(VALUE(MID(BL74,FIND("|",BL74)+1,FIND("-",BL74)-FIND("|",BL74)-1))-VALUE(MID(BL74,FIND("-",BL74)+1,10)))))*$D$50)))))*$I74,0)),0)</f>
        <v>0</v>
      </c>
      <c r="BN74" s="338"/>
      <c r="BO74" s="363" t="s">
        <v>268</v>
      </c>
      <c r="BP74" s="356" t="n">
        <f aca="false">IFERROR(IF($M74=BO74,($D$8+$D$9+$D$10)*$I74,IF($N74=LEFT(BO74,1),($D$8+MAX(0,IF($D$50=1,$D$9*(1-(ABS($Q74-ABS(VALUE(MID(BO74,FIND("|",BO74)+1,FIND("-",BO74)-FIND("|",BO74)-1))-VALUE(MID(BO74,FIND("-",BO74)+1,10)))))*$D$50),$D$9*(1-(IF($N74="X",ABS($O74-VALUE(MID(BO74,FIND("|",BO74)+1,FIND("-",BO74)-FIND("|",BO74)-1))),ABS($Q74-ABS(VALUE(MID(BO74,FIND("|",BO74)+1,FIND("-",BO74)-FIND("|",BO74)-1))-VALUE(MID(BO74,FIND("-",BO74)+1,10)))))*$D$50)))))*$I74,0)),0)</f>
        <v>0</v>
      </c>
      <c r="BQ74" s="338"/>
      <c r="BR74" s="363" t="s">
        <v>268</v>
      </c>
      <c r="BS74" s="356" t="n">
        <f aca="false">IFERROR(IF($M74=BR74,($D$8+$D$9+$D$10)*$I74,IF($N74=LEFT(BR74,1),($D$8+MAX(0,IF($D$50=1,$D$9*(1-(ABS($Q74-ABS(VALUE(MID(BR74,FIND("|",BR74)+1,FIND("-",BR74)-FIND("|",BR74)-1))-VALUE(MID(BR74,FIND("-",BR74)+1,10)))))*$D$50),$D$9*(1-(IF($N74="X",ABS($O74-VALUE(MID(BR74,FIND("|",BR74)+1,FIND("-",BR74)-FIND("|",BR74)-1))),ABS($Q74-ABS(VALUE(MID(BR74,FIND("|",BR74)+1,FIND("-",BR74)-FIND("|",BR74)-1))-VALUE(MID(BR74,FIND("-",BR74)+1,10)))))*$D$50)))))*$I74,0)),0)</f>
        <v>0</v>
      </c>
      <c r="BT74" s="338"/>
      <c r="BU74" s="363"/>
      <c r="BV74" s="356" t="n">
        <f aca="false">IFERROR(IF($M74=BU74,($D$8+$D$9+$D$10)*$I74,IF($N74=LEFT(BU74,1),($D$8+MAX(0,IF($D$50=1,$D$9*(1-(ABS($Q74-ABS(VALUE(MID(BU74,FIND("|",BU74)+1,FIND("-",BU74)-FIND("|",BU74)-1))-VALUE(MID(BU74,FIND("-",BU74)+1,10)))))*$D$50),$D$9*(1-(IF($N74="X",ABS($O74-VALUE(MID(BU74,FIND("|",BU74)+1,FIND("-",BU74)-FIND("|",BU74)-1))),ABS($Q74-ABS(VALUE(MID(BU74,FIND("|",BU74)+1,FIND("-",BU74)-FIND("|",BU74)-1))-VALUE(MID(BU74,FIND("-",BU74)+1,10)))))*$D$50)))))*$I74,0)),0)</f>
        <v>0</v>
      </c>
      <c r="BW74" s="338"/>
      <c r="BX74" s="363"/>
      <c r="BY74" s="356" t="n">
        <f aca="false">IFERROR(IF($M74=BX74,($D$8+$D$9+$D$10)*$I74,IF($N74=LEFT(BX74,1),($D$8+MAX(0,IF($D$50=1,$D$9*(1-(ABS($Q74-ABS(VALUE(MID(BX74,FIND("|",BX74)+1,FIND("-",BX74)-FIND("|",BX74)-1))-VALUE(MID(BX74,FIND("-",BX74)+1,10)))))*$D$50),$D$9*(1-(IF($N74="X",ABS($O74-VALUE(MID(BX74,FIND("|",BX74)+1,FIND("-",BX74)-FIND("|",BX74)-1))),ABS($Q74-ABS(VALUE(MID(BX74,FIND("|",BX74)+1,FIND("-",BX74)-FIND("|",BX74)-1))-VALUE(MID(BX74,FIND("-",BX74)+1,10)))))*$D$50)))))*$I74,0)),0)</f>
        <v>0</v>
      </c>
      <c r="BZ74" s="338"/>
      <c r="CA74" s="363"/>
      <c r="CB74" s="356" t="n">
        <f aca="false">IFERROR(IF($M74=CA74,($D$8+$D$9+$D$10)*$I74,IF($N74=LEFT(CA74,1),($D$8+MAX(0,IF($D$50=1,$D$9*(1-(ABS($Q74-ABS(VALUE(MID(CA74,FIND("|",CA74)+1,FIND("-",CA74)-FIND("|",CA74)-1))-VALUE(MID(CA74,FIND("-",CA74)+1,10)))))*$D$50),$D$9*(1-(IF($N74="X",ABS($O74-VALUE(MID(CA74,FIND("|",CA74)+1,FIND("-",CA74)-FIND("|",CA74)-1))),ABS($Q74-ABS(VALUE(MID(CA74,FIND("|",CA74)+1,FIND("-",CA74)-FIND("|",CA74)-1))-VALUE(MID(CA74,FIND("-",CA74)+1,10)))))*$D$50)))))*$I74,0)),0)</f>
        <v>0</v>
      </c>
      <c r="CC74" s="338"/>
      <c r="CD74" s="363"/>
      <c r="CE74" s="356" t="n">
        <f aca="false">IFERROR(IF($M74=CD74,($D$8+$D$9+$D$10)*$I74,IF($N74=LEFT(CD74,1),($D$8+MAX(0,IF($D$50=1,$D$9*(1-(ABS($Q74-ABS(VALUE(MID(CD74,FIND("|",CD74)+1,FIND("-",CD74)-FIND("|",CD74)-1))-VALUE(MID(CD74,FIND("-",CD74)+1,10)))))*$D$50),$D$9*(1-(IF($N74="X",ABS($O74-VALUE(MID(CD74,FIND("|",CD74)+1,FIND("-",CD74)-FIND("|",CD74)-1))),ABS($Q74-ABS(VALUE(MID(CD74,FIND("|",CD74)+1,FIND("-",CD74)-FIND("|",CD74)-1))-VALUE(MID(CD74,FIND("-",CD74)+1,10)))))*$D$50)))))*$I74,0)),0)</f>
        <v>0</v>
      </c>
      <c r="CF74" s="338"/>
      <c r="CG74" s="363"/>
      <c r="CH74" s="356" t="n">
        <f aca="false">IFERROR(IF($M74=CG74,($D$8+$D$9+$D$10)*$I74,IF($N74=LEFT(CG74,1),($D$8+MAX(0,IF($D$50=1,$D$9*(1-(ABS($Q74-ABS(VALUE(MID(CG74,FIND("|",CG74)+1,FIND("-",CG74)-FIND("|",CG74)-1))-VALUE(MID(CG74,FIND("-",CG74)+1,10)))))*$D$50),$D$9*(1-(IF($N74="X",ABS($O74-VALUE(MID(CG74,FIND("|",CG74)+1,FIND("-",CG74)-FIND("|",CG74)-1))),ABS($Q74-ABS(VALUE(MID(CG74,FIND("|",CG74)+1,FIND("-",CG74)-FIND("|",CG74)-1))-VALUE(MID(CG74,FIND("-",CG74)+1,10)))))*$D$50)))))*$I74,0)),0)</f>
        <v>0</v>
      </c>
      <c r="CI74" s="338"/>
      <c r="CJ74" s="363"/>
      <c r="CK74" s="356" t="n">
        <f aca="false">IFERROR(IF($M74=CJ74,($D$8+$D$9+$D$10)*$I74,IF($N74=LEFT(CJ74,1),($D$8+MAX(0,IF($D$50=1,$D$9*(1-(ABS($Q74-ABS(VALUE(MID(CJ74,FIND("|",CJ74)+1,FIND("-",CJ74)-FIND("|",CJ74)-1))-VALUE(MID(CJ74,FIND("-",CJ74)+1,10)))))*$D$50),$D$9*(1-(IF($N74="X",ABS($O74-VALUE(MID(CJ74,FIND("|",CJ74)+1,FIND("-",CJ74)-FIND("|",CJ74)-1))),ABS($Q74-ABS(VALUE(MID(CJ74,FIND("|",CJ74)+1,FIND("-",CJ74)-FIND("|",CJ74)-1))-VALUE(MID(CJ74,FIND("-",CJ74)+1,10)))))*$D$50)))))*$I74,0)),0)</f>
        <v>0</v>
      </c>
      <c r="CL74" s="338"/>
      <c r="CM74" s="363"/>
      <c r="CN74" s="356" t="n">
        <f aca="false">IFERROR(IF($M74=CM74,($D$8+$D$9+$D$10)*$I74,IF($N74=LEFT(CM74,1),($D$8+MAX(0,IF($D$50=1,$D$9*(1-(ABS($Q74-ABS(VALUE(MID(CM74,FIND("|",CM74)+1,FIND("-",CM74)-FIND("|",CM74)-1))-VALUE(MID(CM74,FIND("-",CM74)+1,10)))))*$D$50),$D$9*(1-(IF($N74="X",ABS($O74-VALUE(MID(CM74,FIND("|",CM74)+1,FIND("-",CM74)-FIND("|",CM74)-1))),ABS($Q74-ABS(VALUE(MID(CM74,FIND("|",CM74)+1,FIND("-",CM74)-FIND("|",CM74)-1))-VALUE(MID(CM74,FIND("-",CM74)+1,10)))))*$D$50)))))*$I74,0)),0)</f>
        <v>0</v>
      </c>
      <c r="CO74" s="338"/>
      <c r="CP74" s="363"/>
      <c r="CQ74" s="356" t="n">
        <f aca="false">IFERROR(IF($M74=CP74,($D$8+$D$9+$D$10)*$I74,IF($N74=LEFT(CP74,1),($D$8+MAX(0,IF($D$50=1,$D$9*(1-(ABS($Q74-ABS(VALUE(MID(CP74,FIND("|",CP74)+1,FIND("-",CP74)-FIND("|",CP74)-1))-VALUE(MID(CP74,FIND("-",CP74)+1,10)))))*$D$50),$D$9*(1-(IF($N74="X",ABS($O74-VALUE(MID(CP74,FIND("|",CP74)+1,FIND("-",CP74)-FIND("|",CP74)-1))),ABS($Q74-ABS(VALUE(MID(CP74,FIND("|",CP74)+1,FIND("-",CP74)-FIND("|",CP74)-1))-VALUE(MID(CP74,FIND("-",CP74)+1,10)))))*$D$50)))))*$I74,0)),0)</f>
        <v>0</v>
      </c>
      <c r="CR74" s="338"/>
      <c r="CS74" s="363"/>
      <c r="CT74" s="356" t="n">
        <f aca="false">IFERROR(IF($M74=CS74,($D$8+$D$9+$D$10)*$I74,IF($N74=LEFT(CS74,1),($D$8+MAX(0,IF($D$50=1,$D$9*(1-(ABS($Q74-ABS(VALUE(MID(CS74,FIND("|",CS74)+1,FIND("-",CS74)-FIND("|",CS74)-1))-VALUE(MID(CS74,FIND("-",CS74)+1,10)))))*$D$50),$D$9*(1-(IF($N74="X",ABS($O74-VALUE(MID(CS74,FIND("|",CS74)+1,FIND("-",CS74)-FIND("|",CS74)-1))),ABS($Q74-ABS(VALUE(MID(CS74,FIND("|",CS74)+1,FIND("-",CS74)-FIND("|",CS74)-1))-VALUE(MID(CS74,FIND("-",CS74)+1,10)))))*$D$50)))))*$I74,0)),0)</f>
        <v>0</v>
      </c>
      <c r="CU74" s="338"/>
      <c r="CV74" s="363"/>
      <c r="CW74" s="356" t="n">
        <f aca="false">IFERROR(IF($M74=CV74,($D$8+$D$9+$D$10)*$I74,IF($N74=LEFT(CV74,1),($D$8+MAX(0,IF($D$50=1,$D$9*(1-(ABS($Q74-ABS(VALUE(MID(CV74,FIND("|",CV74)+1,FIND("-",CV74)-FIND("|",CV74)-1))-VALUE(MID(CV74,FIND("-",CV74)+1,10)))))*$D$50),$D$9*(1-(IF($N74="X",ABS($O74-VALUE(MID(CV74,FIND("|",CV74)+1,FIND("-",CV74)-FIND("|",CV74)-1))),ABS($Q74-ABS(VALUE(MID(CV74,FIND("|",CV74)+1,FIND("-",CV74)-FIND("|",CV74)-1))-VALUE(MID(CV74,FIND("-",CV74)+1,10)))))*$D$50)))))*$I74,0)),0)</f>
        <v>0</v>
      </c>
      <c r="CX74" s="338"/>
      <c r="CY74" s="363"/>
      <c r="CZ74" s="356" t="n">
        <f aca="false">IFERROR(IF($M74=CY74,($D$8+$D$9+$D$10)*$I74,IF($N74=LEFT(CY74,1),($D$8+MAX(0,IF($D$50=1,$D$9*(1-(ABS($Q74-ABS(VALUE(MID(CY74,FIND("|",CY74)+1,FIND("-",CY74)-FIND("|",CY74)-1))-VALUE(MID(CY74,FIND("-",CY74)+1,10)))))*$D$50),$D$9*(1-(IF($N74="X",ABS($O74-VALUE(MID(CY74,FIND("|",CY74)+1,FIND("-",CY74)-FIND("|",CY74)-1))),ABS($Q74-ABS(VALUE(MID(CY74,FIND("|",CY74)+1,FIND("-",CY74)-FIND("|",CY74)-1))-VALUE(MID(CY74,FIND("-",CY74)+1,10)))))*$D$50)))))*$I74,0)),0)</f>
        <v>0</v>
      </c>
      <c r="DA74" s="338"/>
      <c r="DB74" s="363"/>
      <c r="DC74" s="356" t="n">
        <f aca="false">IFERROR(IF($M74=DB74,($D$8+$D$9+$D$10)*$I74,IF($N74=LEFT(DB74,1),($D$8+MAX(0,IF($D$50=1,$D$9*(1-(ABS($Q74-ABS(VALUE(MID(DB74,FIND("|",DB74)+1,FIND("-",DB74)-FIND("|",DB74)-1))-VALUE(MID(DB74,FIND("-",DB74)+1,10)))))*$D$50),$D$9*(1-(IF($N74="X",ABS($O74-VALUE(MID(DB74,FIND("|",DB74)+1,FIND("-",DB74)-FIND("|",DB74)-1))),ABS($Q74-ABS(VALUE(MID(DB74,FIND("|",DB74)+1,FIND("-",DB74)-FIND("|",DB74)-1))-VALUE(MID(DB74,FIND("-",DB74)+1,10)))))*$D$50)))))*$I74,0)),0)</f>
        <v>0</v>
      </c>
      <c r="DD74" s="338"/>
      <c r="DE74" s="363"/>
      <c r="DF74" s="356" t="n">
        <f aca="false">IFERROR(IF($M74=DE74,($D$8+$D$9+$D$10)*$I74,IF($N74=LEFT(DE74,1),($D$8+MAX(0,IF($D$50=1,$D$9*(1-(ABS($Q74-ABS(VALUE(MID(DE74,FIND("|",DE74)+1,FIND("-",DE74)-FIND("|",DE74)-1))-VALUE(MID(DE74,FIND("-",DE74)+1,10)))))*$D$50),$D$9*(1-(IF($N74="X",ABS($O74-VALUE(MID(DE74,FIND("|",DE74)+1,FIND("-",DE74)-FIND("|",DE74)-1))),ABS($Q74-ABS(VALUE(MID(DE74,FIND("|",DE74)+1,FIND("-",DE74)-FIND("|",DE74)-1))-VALUE(MID(DE74,FIND("-",DE74)+1,10)))))*$D$50)))))*$I74,0)),0)</f>
        <v>0</v>
      </c>
      <c r="DG74" s="338"/>
      <c r="DH74" s="363"/>
      <c r="DI74" s="356" t="n">
        <f aca="false">IFERROR(IF($M74=DH74,($D$8+$D$9+$D$10)*$I74,IF($N74=LEFT(DH74,1),($D$8+MAX(0,IF($D$50=1,$D$9*(1-(ABS($Q74-ABS(VALUE(MID(DH74,FIND("|",DH74)+1,FIND("-",DH74)-FIND("|",DH74)-1))-VALUE(MID(DH74,FIND("-",DH74)+1,10)))))*$D$50),$D$9*(1-(IF($N74="X",ABS($O74-VALUE(MID(DH74,FIND("|",DH74)+1,FIND("-",DH74)-FIND("|",DH74)-1))),ABS($Q74-ABS(VALUE(MID(DH74,FIND("|",DH74)+1,FIND("-",DH74)-FIND("|",DH74)-1))-VALUE(MID(DH74,FIND("-",DH74)+1,10)))))*$D$50)))))*$I74,0)),0)</f>
        <v>0</v>
      </c>
      <c r="DJ74" s="338"/>
      <c r="DK74" s="363"/>
      <c r="DL74" s="356" t="n">
        <f aca="false">IFERROR(IF($M74=DK74,($D$8+$D$9+$D$10)*$I74,IF($N74=LEFT(DK74,1),($D$8+MAX(0,IF($D$50=1,$D$9*(1-(ABS($Q74-ABS(VALUE(MID(DK74,FIND("|",DK74)+1,FIND("-",DK74)-FIND("|",DK74)-1))-VALUE(MID(DK74,FIND("-",DK74)+1,10)))))*$D$50),$D$9*(1-(IF($N74="X",ABS($O74-VALUE(MID(DK74,FIND("|",DK74)+1,FIND("-",DK74)-FIND("|",DK74)-1))),ABS($Q74-ABS(VALUE(MID(DK74,FIND("|",DK74)+1,FIND("-",DK74)-FIND("|",DK74)-1))-VALUE(MID(DK74,FIND("-",DK74)+1,10)))))*$D$50)))))*$I74,0)),0)</f>
        <v>0</v>
      </c>
      <c r="DM74" s="338"/>
      <c r="DN74" s="363"/>
      <c r="DO74" s="356" t="n">
        <f aca="false">IFERROR(IF($M74=DN74,($D$8+$D$9+$D$10)*$I74,IF($N74=LEFT(DN74,1),($D$8+MAX(0,IF($D$50=1,$D$9*(1-(ABS($Q74-ABS(VALUE(MID(DN74,FIND("|",DN74)+1,FIND("-",DN74)-FIND("|",DN74)-1))-VALUE(MID(DN74,FIND("-",DN74)+1,10)))))*$D$50),$D$9*(1-(IF($N74="X",ABS($O74-VALUE(MID(DN74,FIND("|",DN74)+1,FIND("-",DN74)-FIND("|",DN74)-1))),ABS($Q74-ABS(VALUE(MID(DN74,FIND("|",DN74)+1,FIND("-",DN74)-FIND("|",DN74)-1))-VALUE(MID(DN74,FIND("-",DN74)+1,10)))))*$D$50)))))*$I74,0)),0)</f>
        <v>0</v>
      </c>
      <c r="DP74" s="338"/>
      <c r="DQ74" s="363"/>
      <c r="DR74" s="356" t="n">
        <f aca="false">IFERROR(IF($M74=DQ74,($D$8+$D$9+$D$10)*$I74,IF($N74=LEFT(DQ74,1),($D$8+MAX(0,IF($D$50=1,$D$9*(1-(ABS($Q74-ABS(VALUE(MID(DQ74,FIND("|",DQ74)+1,FIND("-",DQ74)-FIND("|",DQ74)-1))-VALUE(MID(DQ74,FIND("-",DQ74)+1,10)))))*$D$50),$D$9*(1-(IF($N74="X",ABS($O74-VALUE(MID(DQ74,FIND("|",DQ74)+1,FIND("-",DQ74)-FIND("|",DQ74)-1))),ABS($Q74-ABS(VALUE(MID(DQ74,FIND("|",DQ74)+1,FIND("-",DQ74)-FIND("|",DQ74)-1))-VALUE(MID(DQ74,FIND("-",DQ74)+1,10)))))*$D$50)))))*$I74,0)),0)</f>
        <v>0</v>
      </c>
      <c r="DS74" s="338"/>
      <c r="DT74" s="363"/>
      <c r="DU74" s="356" t="n">
        <f aca="false">IFERROR(IF($M74=DT74,($D$8+$D$9+$D$10)*$I74,IF($N74=LEFT(DT74,1),($D$8+MAX(0,IF($D$50=1,$D$9*(1-(ABS($Q74-ABS(VALUE(MID(DT74,FIND("|",DT74)+1,FIND("-",DT74)-FIND("|",DT74)-1))-VALUE(MID(DT74,FIND("-",DT74)+1,10)))))*$D$50),$D$9*(1-(IF($N74="X",ABS($O74-VALUE(MID(DT74,FIND("|",DT74)+1,FIND("-",DT74)-FIND("|",DT74)-1))),ABS($Q74-ABS(VALUE(MID(DT74,FIND("|",DT74)+1,FIND("-",DT74)-FIND("|",DT74)-1))-VALUE(MID(DT74,FIND("-",DT74)+1,10)))))*$D$50)))))*$I74,0)),0)</f>
        <v>0</v>
      </c>
      <c r="DV74" s="338"/>
      <c r="DW74" s="363"/>
      <c r="DX74" s="356" t="n">
        <f aca="false">IFERROR(IF($M74=DW74,($D$8+$D$9+$D$10)*$I74,IF($N74=LEFT(DW74,1),($D$8+MAX(0,IF($D$50=1,$D$9*(1-(ABS($Q74-ABS(VALUE(MID(DW74,FIND("|",DW74)+1,FIND("-",DW74)-FIND("|",DW74)-1))-VALUE(MID(DW74,FIND("-",DW74)+1,10)))))*$D$50),$D$9*(1-(IF($N74="X",ABS($O74-VALUE(MID(DW74,FIND("|",DW74)+1,FIND("-",DW74)-FIND("|",DW74)-1))),ABS($Q74-ABS(VALUE(MID(DW74,FIND("|",DW74)+1,FIND("-",DW74)-FIND("|",DW74)-1))-VALUE(MID(DW74,FIND("-",DW74)+1,10)))))*$D$50)))))*$I74,0)),0)</f>
        <v>0</v>
      </c>
      <c r="DY74" s="338"/>
      <c r="DZ74" s="363"/>
      <c r="EA74" s="356" t="n">
        <f aca="false">IFERROR(IF($M74=DZ74,($D$8+$D$9+$D$10)*$I74,IF($N74=LEFT(DZ74,1),($D$8+MAX(0,IF($D$50=1,$D$9*(1-(ABS($Q74-ABS(VALUE(MID(DZ74,FIND("|",DZ74)+1,FIND("-",DZ74)-FIND("|",DZ74)-1))-VALUE(MID(DZ74,FIND("-",DZ74)+1,10)))))*$D$50),$D$9*(1-(IF($N74="X",ABS($O74-VALUE(MID(DZ74,FIND("|",DZ74)+1,FIND("-",DZ74)-FIND("|",DZ74)-1))),ABS($Q74-ABS(VALUE(MID(DZ74,FIND("|",DZ74)+1,FIND("-",DZ74)-FIND("|",DZ74)-1))-VALUE(MID(DZ74,FIND("-",DZ74)+1,10)))))*$D$50)))))*$I74,0)),0)</f>
        <v>0</v>
      </c>
      <c r="EB74" s="338"/>
      <c r="EC74" s="366"/>
      <c r="ED74" s="356" t="n">
        <f aca="false">IFERROR(IF($M74=EC74,($D$8+$D$9+$D$10)*$I74,IF($N74=LEFT(EC74,1),($D$8+MAX(0,IF($D$50=1,$D$9*(1-(ABS($Q74-ABS(VALUE(MID(EC74,FIND("|",EC74)+1,FIND("-",EC74)-FIND("|",EC74)-1))-VALUE(MID(EC74,FIND("-",EC74)+1,10)))))*$D$50),$D$9*(1-(IF($N74="X",ABS($O74-VALUE(MID(EC74,FIND("|",EC74)+1,FIND("-",EC74)-FIND("|",EC74)-1))),ABS($Q74-ABS(VALUE(MID(EC74,FIND("|",EC74)+1,FIND("-",EC74)-FIND("|",EC74)-1))-VALUE(MID(EC74,FIND("-",EC74)+1,10)))))*$D$50)))))*$I74,0)),0)</f>
        <v>0</v>
      </c>
      <c r="EE74" s="338"/>
      <c r="EF74" s="363"/>
      <c r="EG74" s="356" t="n">
        <f aca="false">IFERROR(IF($M74=EF74,($D$8+$D$9+$D$10)*$I74,IF($N74=LEFT(EF74,1),($D$8+MAX(0,IF($D$50=1,$D$9*(1-(ABS($Q74-ABS(VALUE(MID(EF74,FIND("|",EF74)+1,FIND("-",EF74)-FIND("|",EF74)-1))-VALUE(MID(EF74,FIND("-",EF74)+1,10)))))*$D$50),$D$9*(1-(IF($N74="X",ABS($O74-VALUE(MID(EF74,FIND("|",EF74)+1,FIND("-",EF74)-FIND("|",EF74)-1))),ABS($Q74-ABS(VALUE(MID(EF74,FIND("|",EF74)+1,FIND("-",EF74)-FIND("|",EF74)-1))-VALUE(MID(EF74,FIND("-",EF74)+1,10)))))*$D$50)))))*$I74,0)),0)</f>
        <v>0</v>
      </c>
      <c r="EH74" s="338"/>
      <c r="EI74" s="338"/>
    </row>
    <row r="75" customFormat="false" ht="15" hidden="false" customHeight="false" outlineLevel="0" collapsed="false">
      <c r="A75" s="327"/>
      <c r="B75" s="327"/>
      <c r="C75" s="327"/>
      <c r="D75" s="327"/>
      <c r="E75" s="327"/>
      <c r="F75" s="394" t="n">
        <f aca="false">SUM($D$8:$D$10)*I75</f>
        <v>17</v>
      </c>
      <c r="G75" s="394" t="n">
        <f aca="false">VLOOKUP(H75,Equipos!$Q$1:$R$25,2,0)</f>
        <v>18</v>
      </c>
      <c r="H75" s="395" t="n">
        <f aca="false">TRUNC(INDEX(WORLDCUP!$X$4:$X$147,MATCH(ADMIN!K75,WORLDCUP!$DT$4:$DT$147,0))+INDEX(Horarios!$R$3:$R$86,MATCH(Horarios!$C$3,Horarios!$P$3:$P$86,0))/24)</f>
        <v>46201</v>
      </c>
      <c r="I75" s="352" t="n">
        <v>1</v>
      </c>
      <c r="J75" s="353" t="s">
        <v>329</v>
      </c>
      <c r="K75" s="367" t="str">
        <f aca="false">CONCATENATE(WORLDCUP!AA89,"-",WORLDCUP!AF89)</f>
        <v>RD Congo-Uzbekistán</v>
      </c>
      <c r="L75" s="354"/>
      <c r="M75" s="359" t="str">
        <f aca="false">IF(OR(WORLDCUP!AC89="",WORLDCUP!AD89=""),"-",N75&amp;"|"&amp;O75&amp;"-"&amp;P75)</f>
        <v>-</v>
      </c>
      <c r="N75" s="332" t="str">
        <f aca="false">IF(OR(WORLDCUP!AC89="",WORLDCUP!AD89=""),"",IF(WORLDCUP!AC89&gt;WORLDCUP!AD89,"1",IF(WORLDCUP!AC89&lt;WORLDCUP!AD89,"2","X")))</f>
        <v/>
      </c>
      <c r="O75" s="332" t="n">
        <f aca="false">WORLDCUP!AC89</f>
        <v>0</v>
      </c>
      <c r="P75" s="332" t="n">
        <f aca="false">WORLDCUP!AD89</f>
        <v>0</v>
      </c>
      <c r="Q75" s="332" t="n">
        <f aca="false">ABS(O75-P75)</f>
        <v>0</v>
      </c>
      <c r="R75" s="327"/>
      <c r="S75" s="363" t="s">
        <v>265</v>
      </c>
      <c r="T75" s="356" t="n">
        <f aca="false">IFERROR(IF($M75=S75,($D$8+$D$9+$D$10)*$I75,IF($N75=LEFT(S75,1),($D$8+MAX(0,IF($D$50=1,$D$9*(1-(ABS($Q75-ABS(VALUE(MID(S75,FIND("|",S75)+1,FIND("-",S75)-FIND("|",S75)-1))-VALUE(MID(S75,FIND("-",S75)+1,10)))))*$D$50),$D$9*(1-(IF($N75="X",ABS($O75-VALUE(MID(S75,FIND("|",S75)+1,FIND("-",S75)-FIND("|",S75)-1))),ABS($Q75-ABS(VALUE(MID(S75,FIND("|",S75)+1,FIND("-",S75)-FIND("|",S75)-1))-VALUE(MID(S75,FIND("-",S75)+1,10)))))*$D$50)))))*$I75,0)),0)</f>
        <v>0</v>
      </c>
      <c r="U75" s="338"/>
      <c r="V75" s="363" t="s">
        <v>267</v>
      </c>
      <c r="W75" s="356" t="n">
        <f aca="false">IFERROR(IF($M75=V75,($D$8+$D$9+$D$10)*$I75,IF($N75=LEFT(V75,1),($D$8+MAX(0,IF($D$50=1,$D$9*(1-(ABS($Q75-ABS(VALUE(MID(V75,FIND("|",V75)+1,FIND("-",V75)-FIND("|",V75)-1))-VALUE(MID(V75,FIND("-",V75)+1,10)))))*$D$50),$D$9*(1-(IF($N75="X",ABS($O75-VALUE(MID(V75,FIND("|",V75)+1,FIND("-",V75)-FIND("|",V75)-1))),ABS($Q75-ABS(VALUE(MID(V75,FIND("|",V75)+1,FIND("-",V75)-FIND("|",V75)-1))-VALUE(MID(V75,FIND("-",V75)+1,10)))))*$D$50)))))*$I75,0)),0)</f>
        <v>0</v>
      </c>
      <c r="X75" s="338"/>
      <c r="Y75" s="363" t="s">
        <v>267</v>
      </c>
      <c r="Z75" s="356" t="n">
        <f aca="false">IFERROR(IF($M75=Y75,($D$8+$D$9+$D$10)*$I75,IF($N75=LEFT(Y75,1),($D$8+MAX(0,IF($D$50=1,$D$9*(1-(ABS($Q75-ABS(VALUE(MID(Y75,FIND("|",Y75)+1,FIND("-",Y75)-FIND("|",Y75)-1))-VALUE(MID(Y75,FIND("-",Y75)+1,10)))))*$D$50),$D$9*(1-(IF($N75="X",ABS($O75-VALUE(MID(Y75,FIND("|",Y75)+1,FIND("-",Y75)-FIND("|",Y75)-1))),ABS($Q75-ABS(VALUE(MID(Y75,FIND("|",Y75)+1,FIND("-",Y75)-FIND("|",Y75)-1))-VALUE(MID(Y75,FIND("-",Y75)+1,10)))))*$D$50)))))*$I75,0)),0)</f>
        <v>0</v>
      </c>
      <c r="AA75" s="338"/>
      <c r="AB75" s="363" t="s">
        <v>274</v>
      </c>
      <c r="AC75" s="356" t="n">
        <f aca="false">IFERROR(IF($M75=AB75,($D$8+$D$9+$D$10)*$I75,IF($N75=LEFT(AB75,1),($D$8+MAX(0,IF($D$50=1,$D$9*(1-(ABS($Q75-ABS(VALUE(MID(AB75,FIND("|",AB75)+1,FIND("-",AB75)-FIND("|",AB75)-1))-VALUE(MID(AB75,FIND("-",AB75)+1,10)))))*$D$50),$D$9*(1-(IF($N75="X",ABS($O75-VALUE(MID(AB75,FIND("|",AB75)+1,FIND("-",AB75)-FIND("|",AB75)-1))),ABS($Q75-ABS(VALUE(MID(AB75,FIND("|",AB75)+1,FIND("-",AB75)-FIND("|",AB75)-1))-VALUE(MID(AB75,FIND("-",AB75)+1,10)))))*$D$50)))))*$I75,0)),0)</f>
        <v>0</v>
      </c>
      <c r="AD75" s="338"/>
      <c r="AE75" s="363" t="s">
        <v>265</v>
      </c>
      <c r="AF75" s="356" t="n">
        <f aca="false">IFERROR(IF($M75=AE75,($D$8+$D$9+$D$10)*$I75,IF($N75=LEFT(AE75,1),($D$8+MAX(0,IF($D$50=1,$D$9*(1-(ABS($Q75-ABS(VALUE(MID(AE75,FIND("|",AE75)+1,FIND("-",AE75)-FIND("|",AE75)-1))-VALUE(MID(AE75,FIND("-",AE75)+1,10)))))*$D$50),$D$9*(1-(IF($N75="X",ABS($O75-VALUE(MID(AE75,FIND("|",AE75)+1,FIND("-",AE75)-FIND("|",AE75)-1))),ABS($Q75-ABS(VALUE(MID(AE75,FIND("|",AE75)+1,FIND("-",AE75)-FIND("|",AE75)-1))-VALUE(MID(AE75,FIND("-",AE75)+1,10)))))*$D$50)))))*$I75,0)),0)</f>
        <v>0</v>
      </c>
      <c r="AG75" s="338"/>
      <c r="AH75" s="363" t="s">
        <v>271</v>
      </c>
      <c r="AI75" s="356" t="n">
        <f aca="false">IFERROR(IF($M75=AH75,($D$8+$D$9+$D$10)*$I75,IF($N75=LEFT(AH75,1),($D$8+MAX(0,IF($D$50=1,$D$9*(1-(ABS($Q75-ABS(VALUE(MID(AH75,FIND("|",AH75)+1,FIND("-",AH75)-FIND("|",AH75)-1))-VALUE(MID(AH75,FIND("-",AH75)+1,10)))))*$D$50),$D$9*(1-(IF($N75="X",ABS($O75-VALUE(MID(AH75,FIND("|",AH75)+1,FIND("-",AH75)-FIND("|",AH75)-1))),ABS($Q75-ABS(VALUE(MID(AH75,FIND("|",AH75)+1,FIND("-",AH75)-FIND("|",AH75)-1))-VALUE(MID(AH75,FIND("-",AH75)+1,10)))))*$D$50)))))*$I75,0)),0)</f>
        <v>0</v>
      </c>
      <c r="AJ75" s="338"/>
      <c r="AK75" s="363" t="s">
        <v>267</v>
      </c>
      <c r="AL75" s="356" t="n">
        <f aca="false">IFERROR(IF($M75=AK75,($D$8+$D$9+$D$10)*$I75,IF($N75=LEFT(AK75,1),($D$8+MAX(0,IF($D$50=1,$D$9*(1-(ABS($Q75-ABS(VALUE(MID(AK75,FIND("|",AK75)+1,FIND("-",AK75)-FIND("|",AK75)-1))-VALUE(MID(AK75,FIND("-",AK75)+1,10)))))*$D$50),$D$9*(1-(IF($N75="X",ABS($O75-VALUE(MID(AK75,FIND("|",AK75)+1,FIND("-",AK75)-FIND("|",AK75)-1))),ABS($Q75-ABS(VALUE(MID(AK75,FIND("|",AK75)+1,FIND("-",AK75)-FIND("|",AK75)-1))-VALUE(MID(AK75,FIND("-",AK75)+1,10)))))*$D$50)))))*$I75,0)),0)</f>
        <v>0</v>
      </c>
      <c r="AM75" s="338"/>
      <c r="AN75" s="363" t="s">
        <v>265</v>
      </c>
      <c r="AO75" s="356" t="n">
        <f aca="false">IFERROR(IF($M75=AN75,($D$8+$D$9+$D$10)*$I75,IF($N75=LEFT(AN75,1),($D$8+MAX(0,IF($D$50=1,$D$9*(1-(ABS($Q75-ABS(VALUE(MID(AN75,FIND("|",AN75)+1,FIND("-",AN75)-FIND("|",AN75)-1))-VALUE(MID(AN75,FIND("-",AN75)+1,10)))))*$D$50),$D$9*(1-(IF($N75="X",ABS($O75-VALUE(MID(AN75,FIND("|",AN75)+1,FIND("-",AN75)-FIND("|",AN75)-1))),ABS($Q75-ABS(VALUE(MID(AN75,FIND("|",AN75)+1,FIND("-",AN75)-FIND("|",AN75)-1))-VALUE(MID(AN75,FIND("-",AN75)+1,10)))))*$D$50)))))*$I75,0)),0)</f>
        <v>0</v>
      </c>
      <c r="AP75" s="338"/>
      <c r="AQ75" s="363" t="s">
        <v>274</v>
      </c>
      <c r="AR75" s="356" t="n">
        <f aca="false">IFERROR(IF($M75=AQ75,($D$8+$D$9+$D$10)*$I75,IF($N75=LEFT(AQ75,1),($D$8+MAX(0,IF($D$50=1,$D$9*(1-(ABS($Q75-ABS(VALUE(MID(AQ75,FIND("|",AQ75)+1,FIND("-",AQ75)-FIND("|",AQ75)-1))-VALUE(MID(AQ75,FIND("-",AQ75)+1,10)))))*$D$50),$D$9*(1-(IF($N75="X",ABS($O75-VALUE(MID(AQ75,FIND("|",AQ75)+1,FIND("-",AQ75)-FIND("|",AQ75)-1))),ABS($Q75-ABS(VALUE(MID(AQ75,FIND("|",AQ75)+1,FIND("-",AQ75)-FIND("|",AQ75)-1))-VALUE(MID(AQ75,FIND("-",AQ75)+1,10)))))*$D$50)))))*$I75,0)),0)</f>
        <v>0</v>
      </c>
      <c r="AS75" s="338"/>
      <c r="AT75" s="363" t="s">
        <v>267</v>
      </c>
      <c r="AU75" s="356" t="n">
        <f aca="false">IFERROR(IF($M75=AT75,($D$8+$D$9+$D$10)*$I75,IF($N75=LEFT(AT75,1),($D$8+MAX(0,IF($D$50=1,$D$9*(1-(ABS($Q75-ABS(VALUE(MID(AT75,FIND("|",AT75)+1,FIND("-",AT75)-FIND("|",AT75)-1))-VALUE(MID(AT75,FIND("-",AT75)+1,10)))))*$D$50),$D$9*(1-(IF($N75="X",ABS($O75-VALUE(MID(AT75,FIND("|",AT75)+1,FIND("-",AT75)-FIND("|",AT75)-1))),ABS($Q75-ABS(VALUE(MID(AT75,FIND("|",AT75)+1,FIND("-",AT75)-FIND("|",AT75)-1))-VALUE(MID(AT75,FIND("-",AT75)+1,10)))))*$D$50)))))*$I75,0)),0)</f>
        <v>0</v>
      </c>
      <c r="AV75" s="338"/>
      <c r="AW75" s="363" t="s">
        <v>267</v>
      </c>
      <c r="AX75" s="356" t="n">
        <f aca="false">IFERROR(IF($M75=AW75,($D$8+$D$9+$D$10)*$I75,IF($N75=LEFT(AW75,1),($D$8+MAX(0,IF($D$50=1,$D$9*(1-(ABS($Q75-ABS(VALUE(MID(AW75,FIND("|",AW75)+1,FIND("-",AW75)-FIND("|",AW75)-1))-VALUE(MID(AW75,FIND("-",AW75)+1,10)))))*$D$50),$D$9*(1-(IF($N75="X",ABS($O75-VALUE(MID(AW75,FIND("|",AW75)+1,FIND("-",AW75)-FIND("|",AW75)-1))),ABS($Q75-ABS(VALUE(MID(AW75,FIND("|",AW75)+1,FIND("-",AW75)-FIND("|",AW75)-1))-VALUE(MID(AW75,FIND("-",AW75)+1,10)))))*$D$50)))))*$I75,0)),0)</f>
        <v>0</v>
      </c>
      <c r="AY75" s="338"/>
      <c r="AZ75" s="363" t="s">
        <v>268</v>
      </c>
      <c r="BA75" s="356" t="n">
        <f aca="false">IFERROR(IF($M75=AZ75,($D$8+$D$9+$D$10)*$I75,IF($N75=LEFT(AZ75,1),($D$8+MAX(0,IF($D$50=1,$D$9*(1-(ABS($Q75-ABS(VALUE(MID(AZ75,FIND("|",AZ75)+1,FIND("-",AZ75)-FIND("|",AZ75)-1))-VALUE(MID(AZ75,FIND("-",AZ75)+1,10)))))*$D$50),$D$9*(1-(IF($N75="X",ABS($O75-VALUE(MID(AZ75,FIND("|",AZ75)+1,FIND("-",AZ75)-FIND("|",AZ75)-1))),ABS($Q75-ABS(VALUE(MID(AZ75,FIND("|",AZ75)+1,FIND("-",AZ75)-FIND("|",AZ75)-1))-VALUE(MID(AZ75,FIND("-",AZ75)+1,10)))))*$D$50)))))*$I75,0)),0)</f>
        <v>0</v>
      </c>
      <c r="BB75" s="338"/>
      <c r="BC75" s="363" t="s">
        <v>264</v>
      </c>
      <c r="BD75" s="356" t="n">
        <f aca="false">IFERROR(IF($M75=BC75,($D$8+$D$9+$D$10)*$I75,IF($N75=LEFT(BC75,1),($D$8+MAX(0,IF($D$50=1,$D$9*(1-(ABS($Q75-ABS(VALUE(MID(BC75,FIND("|",BC75)+1,FIND("-",BC75)-FIND("|",BC75)-1))-VALUE(MID(BC75,FIND("-",BC75)+1,10)))))*$D$50),$D$9*(1-(IF($N75="X",ABS($O75-VALUE(MID(BC75,FIND("|",BC75)+1,FIND("-",BC75)-FIND("|",BC75)-1))),ABS($Q75-ABS(VALUE(MID(BC75,FIND("|",BC75)+1,FIND("-",BC75)-FIND("|",BC75)-1))-VALUE(MID(BC75,FIND("-",BC75)+1,10)))))*$D$50)))))*$I75,0)),0)</f>
        <v>0</v>
      </c>
      <c r="BE75" s="338"/>
      <c r="BF75" s="363" t="s">
        <v>275</v>
      </c>
      <c r="BG75" s="356" t="n">
        <f aca="false">IFERROR(IF($M75=BF75,($D$8+$D$9+$D$10)*$I75,IF($N75=LEFT(BF75,1),($D$8+MAX(0,IF($D$50=1,$D$9*(1-(ABS($Q75-ABS(VALUE(MID(BF75,FIND("|",BF75)+1,FIND("-",BF75)-FIND("|",BF75)-1))-VALUE(MID(BF75,FIND("-",BF75)+1,10)))))*$D$50),$D$9*(1-(IF($N75="X",ABS($O75-VALUE(MID(BF75,FIND("|",BF75)+1,FIND("-",BF75)-FIND("|",BF75)-1))),ABS($Q75-ABS(VALUE(MID(BF75,FIND("|",BF75)+1,FIND("-",BF75)-FIND("|",BF75)-1))-VALUE(MID(BF75,FIND("-",BF75)+1,10)))))*$D$50)))))*$I75,0)),0)</f>
        <v>0</v>
      </c>
      <c r="BH75" s="338"/>
      <c r="BI75" s="363" t="s">
        <v>267</v>
      </c>
      <c r="BJ75" s="356" t="n">
        <f aca="false">IFERROR(IF($M75=BI75,($D$8+$D$9+$D$10)*$I75,IF($N75=LEFT(BI75,1),($D$8+MAX(0,IF($D$50=1,$D$9*(1-(ABS($Q75-ABS(VALUE(MID(BI75,FIND("|",BI75)+1,FIND("-",BI75)-FIND("|",BI75)-1))-VALUE(MID(BI75,FIND("-",BI75)+1,10)))))*$D$50),$D$9*(1-(IF($N75="X",ABS($O75-VALUE(MID(BI75,FIND("|",BI75)+1,FIND("-",BI75)-FIND("|",BI75)-1))),ABS($Q75-ABS(VALUE(MID(BI75,FIND("|",BI75)+1,FIND("-",BI75)-FIND("|",BI75)-1))-VALUE(MID(BI75,FIND("-",BI75)+1,10)))))*$D$50)))))*$I75,0)),0)</f>
        <v>0</v>
      </c>
      <c r="BK75" s="338"/>
      <c r="BL75" s="363" t="s">
        <v>275</v>
      </c>
      <c r="BM75" s="356" t="n">
        <f aca="false">IFERROR(IF($M75=BL75,($D$8+$D$9+$D$10)*$I75,IF($N75=LEFT(BL75,1),($D$8+MAX(0,IF($D$50=1,$D$9*(1-(ABS($Q75-ABS(VALUE(MID(BL75,FIND("|",BL75)+1,FIND("-",BL75)-FIND("|",BL75)-1))-VALUE(MID(BL75,FIND("-",BL75)+1,10)))))*$D$50),$D$9*(1-(IF($N75="X",ABS($O75-VALUE(MID(BL75,FIND("|",BL75)+1,FIND("-",BL75)-FIND("|",BL75)-1))),ABS($Q75-ABS(VALUE(MID(BL75,FIND("|",BL75)+1,FIND("-",BL75)-FIND("|",BL75)-1))-VALUE(MID(BL75,FIND("-",BL75)+1,10)))))*$D$50)))))*$I75,0)),0)</f>
        <v>0</v>
      </c>
      <c r="BN75" s="338"/>
      <c r="BO75" s="363" t="s">
        <v>264</v>
      </c>
      <c r="BP75" s="356" t="n">
        <f aca="false">IFERROR(IF($M75=BO75,($D$8+$D$9+$D$10)*$I75,IF($N75=LEFT(BO75,1),($D$8+MAX(0,IF($D$50=1,$D$9*(1-(ABS($Q75-ABS(VALUE(MID(BO75,FIND("|",BO75)+1,FIND("-",BO75)-FIND("|",BO75)-1))-VALUE(MID(BO75,FIND("-",BO75)+1,10)))))*$D$50),$D$9*(1-(IF($N75="X",ABS($O75-VALUE(MID(BO75,FIND("|",BO75)+1,FIND("-",BO75)-FIND("|",BO75)-1))),ABS($Q75-ABS(VALUE(MID(BO75,FIND("|",BO75)+1,FIND("-",BO75)-FIND("|",BO75)-1))-VALUE(MID(BO75,FIND("-",BO75)+1,10)))))*$D$50)))))*$I75,0)),0)</f>
        <v>0</v>
      </c>
      <c r="BQ75" s="338"/>
      <c r="BR75" s="363" t="s">
        <v>267</v>
      </c>
      <c r="BS75" s="356" t="n">
        <f aca="false">IFERROR(IF($M75=BR75,($D$8+$D$9+$D$10)*$I75,IF($N75=LEFT(BR75,1),($D$8+MAX(0,IF($D$50=1,$D$9*(1-(ABS($Q75-ABS(VALUE(MID(BR75,FIND("|",BR75)+1,FIND("-",BR75)-FIND("|",BR75)-1))-VALUE(MID(BR75,FIND("-",BR75)+1,10)))))*$D$50),$D$9*(1-(IF($N75="X",ABS($O75-VALUE(MID(BR75,FIND("|",BR75)+1,FIND("-",BR75)-FIND("|",BR75)-1))),ABS($Q75-ABS(VALUE(MID(BR75,FIND("|",BR75)+1,FIND("-",BR75)-FIND("|",BR75)-1))-VALUE(MID(BR75,FIND("-",BR75)+1,10)))))*$D$50)))))*$I75,0)),0)</f>
        <v>0</v>
      </c>
      <c r="BT75" s="338"/>
      <c r="BU75" s="363"/>
      <c r="BV75" s="356" t="n">
        <f aca="false">IFERROR(IF($M75=BU75,($D$8+$D$9+$D$10)*$I75,IF($N75=LEFT(BU75,1),($D$8+MAX(0,IF($D$50=1,$D$9*(1-(ABS($Q75-ABS(VALUE(MID(BU75,FIND("|",BU75)+1,FIND("-",BU75)-FIND("|",BU75)-1))-VALUE(MID(BU75,FIND("-",BU75)+1,10)))))*$D$50),$D$9*(1-(IF($N75="X",ABS($O75-VALUE(MID(BU75,FIND("|",BU75)+1,FIND("-",BU75)-FIND("|",BU75)-1))),ABS($Q75-ABS(VALUE(MID(BU75,FIND("|",BU75)+1,FIND("-",BU75)-FIND("|",BU75)-1))-VALUE(MID(BU75,FIND("-",BU75)+1,10)))))*$D$50)))))*$I75,0)),0)</f>
        <v>0</v>
      </c>
      <c r="BW75" s="338"/>
      <c r="BX75" s="363"/>
      <c r="BY75" s="356" t="n">
        <f aca="false">IFERROR(IF($M75=BX75,($D$8+$D$9+$D$10)*$I75,IF($N75=LEFT(BX75,1),($D$8+MAX(0,IF($D$50=1,$D$9*(1-(ABS($Q75-ABS(VALUE(MID(BX75,FIND("|",BX75)+1,FIND("-",BX75)-FIND("|",BX75)-1))-VALUE(MID(BX75,FIND("-",BX75)+1,10)))))*$D$50),$D$9*(1-(IF($N75="X",ABS($O75-VALUE(MID(BX75,FIND("|",BX75)+1,FIND("-",BX75)-FIND("|",BX75)-1))),ABS($Q75-ABS(VALUE(MID(BX75,FIND("|",BX75)+1,FIND("-",BX75)-FIND("|",BX75)-1))-VALUE(MID(BX75,FIND("-",BX75)+1,10)))))*$D$50)))))*$I75,0)),0)</f>
        <v>0</v>
      </c>
      <c r="BZ75" s="338"/>
      <c r="CA75" s="363"/>
      <c r="CB75" s="356" t="n">
        <f aca="false">IFERROR(IF($M75=CA75,($D$8+$D$9+$D$10)*$I75,IF($N75=LEFT(CA75,1),($D$8+MAX(0,IF($D$50=1,$D$9*(1-(ABS($Q75-ABS(VALUE(MID(CA75,FIND("|",CA75)+1,FIND("-",CA75)-FIND("|",CA75)-1))-VALUE(MID(CA75,FIND("-",CA75)+1,10)))))*$D$50),$D$9*(1-(IF($N75="X",ABS($O75-VALUE(MID(CA75,FIND("|",CA75)+1,FIND("-",CA75)-FIND("|",CA75)-1))),ABS($Q75-ABS(VALUE(MID(CA75,FIND("|",CA75)+1,FIND("-",CA75)-FIND("|",CA75)-1))-VALUE(MID(CA75,FIND("-",CA75)+1,10)))))*$D$50)))))*$I75,0)),0)</f>
        <v>0</v>
      </c>
      <c r="CC75" s="338"/>
      <c r="CD75" s="363"/>
      <c r="CE75" s="356" t="n">
        <f aca="false">IFERROR(IF($M75=CD75,($D$8+$D$9+$D$10)*$I75,IF($N75=LEFT(CD75,1),($D$8+MAX(0,IF($D$50=1,$D$9*(1-(ABS($Q75-ABS(VALUE(MID(CD75,FIND("|",CD75)+1,FIND("-",CD75)-FIND("|",CD75)-1))-VALUE(MID(CD75,FIND("-",CD75)+1,10)))))*$D$50),$D$9*(1-(IF($N75="X",ABS($O75-VALUE(MID(CD75,FIND("|",CD75)+1,FIND("-",CD75)-FIND("|",CD75)-1))),ABS($Q75-ABS(VALUE(MID(CD75,FIND("|",CD75)+1,FIND("-",CD75)-FIND("|",CD75)-1))-VALUE(MID(CD75,FIND("-",CD75)+1,10)))))*$D$50)))))*$I75,0)),0)</f>
        <v>0</v>
      </c>
      <c r="CF75" s="338"/>
      <c r="CG75" s="363"/>
      <c r="CH75" s="356" t="n">
        <f aca="false">IFERROR(IF($M75=CG75,($D$8+$D$9+$D$10)*$I75,IF($N75=LEFT(CG75,1),($D$8+MAX(0,IF($D$50=1,$D$9*(1-(ABS($Q75-ABS(VALUE(MID(CG75,FIND("|",CG75)+1,FIND("-",CG75)-FIND("|",CG75)-1))-VALUE(MID(CG75,FIND("-",CG75)+1,10)))))*$D$50),$D$9*(1-(IF($N75="X",ABS($O75-VALUE(MID(CG75,FIND("|",CG75)+1,FIND("-",CG75)-FIND("|",CG75)-1))),ABS($Q75-ABS(VALUE(MID(CG75,FIND("|",CG75)+1,FIND("-",CG75)-FIND("|",CG75)-1))-VALUE(MID(CG75,FIND("-",CG75)+1,10)))))*$D$50)))))*$I75,0)),0)</f>
        <v>0</v>
      </c>
      <c r="CI75" s="338"/>
      <c r="CJ75" s="363"/>
      <c r="CK75" s="356" t="n">
        <f aca="false">IFERROR(IF($M75=CJ75,($D$8+$D$9+$D$10)*$I75,IF($N75=LEFT(CJ75,1),($D$8+MAX(0,IF($D$50=1,$D$9*(1-(ABS($Q75-ABS(VALUE(MID(CJ75,FIND("|",CJ75)+1,FIND("-",CJ75)-FIND("|",CJ75)-1))-VALUE(MID(CJ75,FIND("-",CJ75)+1,10)))))*$D$50),$D$9*(1-(IF($N75="X",ABS($O75-VALUE(MID(CJ75,FIND("|",CJ75)+1,FIND("-",CJ75)-FIND("|",CJ75)-1))),ABS($Q75-ABS(VALUE(MID(CJ75,FIND("|",CJ75)+1,FIND("-",CJ75)-FIND("|",CJ75)-1))-VALUE(MID(CJ75,FIND("-",CJ75)+1,10)))))*$D$50)))))*$I75,0)),0)</f>
        <v>0</v>
      </c>
      <c r="CL75" s="338"/>
      <c r="CM75" s="363"/>
      <c r="CN75" s="356" t="n">
        <f aca="false">IFERROR(IF($M75=CM75,($D$8+$D$9+$D$10)*$I75,IF($N75=LEFT(CM75,1),($D$8+MAX(0,IF($D$50=1,$D$9*(1-(ABS($Q75-ABS(VALUE(MID(CM75,FIND("|",CM75)+1,FIND("-",CM75)-FIND("|",CM75)-1))-VALUE(MID(CM75,FIND("-",CM75)+1,10)))))*$D$50),$D$9*(1-(IF($N75="X",ABS($O75-VALUE(MID(CM75,FIND("|",CM75)+1,FIND("-",CM75)-FIND("|",CM75)-1))),ABS($Q75-ABS(VALUE(MID(CM75,FIND("|",CM75)+1,FIND("-",CM75)-FIND("|",CM75)-1))-VALUE(MID(CM75,FIND("-",CM75)+1,10)))))*$D$50)))))*$I75,0)),0)</f>
        <v>0</v>
      </c>
      <c r="CO75" s="338"/>
      <c r="CP75" s="363"/>
      <c r="CQ75" s="356" t="n">
        <f aca="false">IFERROR(IF($M75=CP75,($D$8+$D$9+$D$10)*$I75,IF($N75=LEFT(CP75,1),($D$8+MAX(0,IF($D$50=1,$D$9*(1-(ABS($Q75-ABS(VALUE(MID(CP75,FIND("|",CP75)+1,FIND("-",CP75)-FIND("|",CP75)-1))-VALUE(MID(CP75,FIND("-",CP75)+1,10)))))*$D$50),$D$9*(1-(IF($N75="X",ABS($O75-VALUE(MID(CP75,FIND("|",CP75)+1,FIND("-",CP75)-FIND("|",CP75)-1))),ABS($Q75-ABS(VALUE(MID(CP75,FIND("|",CP75)+1,FIND("-",CP75)-FIND("|",CP75)-1))-VALUE(MID(CP75,FIND("-",CP75)+1,10)))))*$D$50)))))*$I75,0)),0)</f>
        <v>0</v>
      </c>
      <c r="CR75" s="338"/>
      <c r="CS75" s="363"/>
      <c r="CT75" s="356" t="n">
        <f aca="false">IFERROR(IF($M75=CS75,($D$8+$D$9+$D$10)*$I75,IF($N75=LEFT(CS75,1),($D$8+MAX(0,IF($D$50=1,$D$9*(1-(ABS($Q75-ABS(VALUE(MID(CS75,FIND("|",CS75)+1,FIND("-",CS75)-FIND("|",CS75)-1))-VALUE(MID(CS75,FIND("-",CS75)+1,10)))))*$D$50),$D$9*(1-(IF($N75="X",ABS($O75-VALUE(MID(CS75,FIND("|",CS75)+1,FIND("-",CS75)-FIND("|",CS75)-1))),ABS($Q75-ABS(VALUE(MID(CS75,FIND("|",CS75)+1,FIND("-",CS75)-FIND("|",CS75)-1))-VALUE(MID(CS75,FIND("-",CS75)+1,10)))))*$D$50)))))*$I75,0)),0)</f>
        <v>0</v>
      </c>
      <c r="CU75" s="338"/>
      <c r="CV75" s="363"/>
      <c r="CW75" s="356" t="n">
        <f aca="false">IFERROR(IF($M75=CV75,($D$8+$D$9+$D$10)*$I75,IF($N75=LEFT(CV75,1),($D$8+MAX(0,IF($D$50=1,$D$9*(1-(ABS($Q75-ABS(VALUE(MID(CV75,FIND("|",CV75)+1,FIND("-",CV75)-FIND("|",CV75)-1))-VALUE(MID(CV75,FIND("-",CV75)+1,10)))))*$D$50),$D$9*(1-(IF($N75="X",ABS($O75-VALUE(MID(CV75,FIND("|",CV75)+1,FIND("-",CV75)-FIND("|",CV75)-1))),ABS($Q75-ABS(VALUE(MID(CV75,FIND("|",CV75)+1,FIND("-",CV75)-FIND("|",CV75)-1))-VALUE(MID(CV75,FIND("-",CV75)+1,10)))))*$D$50)))))*$I75,0)),0)</f>
        <v>0</v>
      </c>
      <c r="CX75" s="338"/>
      <c r="CY75" s="363"/>
      <c r="CZ75" s="356" t="n">
        <f aca="false">IFERROR(IF($M75=CY75,($D$8+$D$9+$D$10)*$I75,IF($N75=LEFT(CY75,1),($D$8+MAX(0,IF($D$50=1,$D$9*(1-(ABS($Q75-ABS(VALUE(MID(CY75,FIND("|",CY75)+1,FIND("-",CY75)-FIND("|",CY75)-1))-VALUE(MID(CY75,FIND("-",CY75)+1,10)))))*$D$50),$D$9*(1-(IF($N75="X",ABS($O75-VALUE(MID(CY75,FIND("|",CY75)+1,FIND("-",CY75)-FIND("|",CY75)-1))),ABS($Q75-ABS(VALUE(MID(CY75,FIND("|",CY75)+1,FIND("-",CY75)-FIND("|",CY75)-1))-VALUE(MID(CY75,FIND("-",CY75)+1,10)))))*$D$50)))))*$I75,0)),0)</f>
        <v>0</v>
      </c>
      <c r="DA75" s="338"/>
      <c r="DB75" s="363"/>
      <c r="DC75" s="356" t="n">
        <f aca="false">IFERROR(IF($M75=DB75,($D$8+$D$9+$D$10)*$I75,IF($N75=LEFT(DB75,1),($D$8+MAX(0,IF($D$50=1,$D$9*(1-(ABS($Q75-ABS(VALUE(MID(DB75,FIND("|",DB75)+1,FIND("-",DB75)-FIND("|",DB75)-1))-VALUE(MID(DB75,FIND("-",DB75)+1,10)))))*$D$50),$D$9*(1-(IF($N75="X",ABS($O75-VALUE(MID(DB75,FIND("|",DB75)+1,FIND("-",DB75)-FIND("|",DB75)-1))),ABS($Q75-ABS(VALUE(MID(DB75,FIND("|",DB75)+1,FIND("-",DB75)-FIND("|",DB75)-1))-VALUE(MID(DB75,FIND("-",DB75)+1,10)))))*$D$50)))))*$I75,0)),0)</f>
        <v>0</v>
      </c>
      <c r="DD75" s="338"/>
      <c r="DE75" s="363"/>
      <c r="DF75" s="356" t="n">
        <f aca="false">IFERROR(IF($M75=DE75,($D$8+$D$9+$D$10)*$I75,IF($N75=LEFT(DE75,1),($D$8+MAX(0,IF($D$50=1,$D$9*(1-(ABS($Q75-ABS(VALUE(MID(DE75,FIND("|",DE75)+1,FIND("-",DE75)-FIND("|",DE75)-1))-VALUE(MID(DE75,FIND("-",DE75)+1,10)))))*$D$50),$D$9*(1-(IF($N75="X",ABS($O75-VALUE(MID(DE75,FIND("|",DE75)+1,FIND("-",DE75)-FIND("|",DE75)-1))),ABS($Q75-ABS(VALUE(MID(DE75,FIND("|",DE75)+1,FIND("-",DE75)-FIND("|",DE75)-1))-VALUE(MID(DE75,FIND("-",DE75)+1,10)))))*$D$50)))))*$I75,0)),0)</f>
        <v>0</v>
      </c>
      <c r="DG75" s="338"/>
      <c r="DH75" s="363"/>
      <c r="DI75" s="356" t="n">
        <f aca="false">IFERROR(IF($M75=DH75,($D$8+$D$9+$D$10)*$I75,IF($N75=LEFT(DH75,1),($D$8+MAX(0,IF($D$50=1,$D$9*(1-(ABS($Q75-ABS(VALUE(MID(DH75,FIND("|",DH75)+1,FIND("-",DH75)-FIND("|",DH75)-1))-VALUE(MID(DH75,FIND("-",DH75)+1,10)))))*$D$50),$D$9*(1-(IF($N75="X",ABS($O75-VALUE(MID(DH75,FIND("|",DH75)+1,FIND("-",DH75)-FIND("|",DH75)-1))),ABS($Q75-ABS(VALUE(MID(DH75,FIND("|",DH75)+1,FIND("-",DH75)-FIND("|",DH75)-1))-VALUE(MID(DH75,FIND("-",DH75)+1,10)))))*$D$50)))))*$I75,0)),0)</f>
        <v>0</v>
      </c>
      <c r="DJ75" s="338"/>
      <c r="DK75" s="363"/>
      <c r="DL75" s="356" t="n">
        <f aca="false">IFERROR(IF($M75=DK75,($D$8+$D$9+$D$10)*$I75,IF($N75=LEFT(DK75,1),($D$8+MAX(0,IF($D$50=1,$D$9*(1-(ABS($Q75-ABS(VALUE(MID(DK75,FIND("|",DK75)+1,FIND("-",DK75)-FIND("|",DK75)-1))-VALUE(MID(DK75,FIND("-",DK75)+1,10)))))*$D$50),$D$9*(1-(IF($N75="X",ABS($O75-VALUE(MID(DK75,FIND("|",DK75)+1,FIND("-",DK75)-FIND("|",DK75)-1))),ABS($Q75-ABS(VALUE(MID(DK75,FIND("|",DK75)+1,FIND("-",DK75)-FIND("|",DK75)-1))-VALUE(MID(DK75,FIND("-",DK75)+1,10)))))*$D$50)))))*$I75,0)),0)</f>
        <v>0</v>
      </c>
      <c r="DM75" s="338"/>
      <c r="DN75" s="363"/>
      <c r="DO75" s="356" t="n">
        <f aca="false">IFERROR(IF($M75=DN75,($D$8+$D$9+$D$10)*$I75,IF($N75=LEFT(DN75,1),($D$8+MAX(0,IF($D$50=1,$D$9*(1-(ABS($Q75-ABS(VALUE(MID(DN75,FIND("|",DN75)+1,FIND("-",DN75)-FIND("|",DN75)-1))-VALUE(MID(DN75,FIND("-",DN75)+1,10)))))*$D$50),$D$9*(1-(IF($N75="X",ABS($O75-VALUE(MID(DN75,FIND("|",DN75)+1,FIND("-",DN75)-FIND("|",DN75)-1))),ABS($Q75-ABS(VALUE(MID(DN75,FIND("|",DN75)+1,FIND("-",DN75)-FIND("|",DN75)-1))-VALUE(MID(DN75,FIND("-",DN75)+1,10)))))*$D$50)))))*$I75,0)),0)</f>
        <v>0</v>
      </c>
      <c r="DP75" s="338"/>
      <c r="DQ75" s="363"/>
      <c r="DR75" s="356" t="n">
        <f aca="false">IFERROR(IF($M75=DQ75,($D$8+$D$9+$D$10)*$I75,IF($N75=LEFT(DQ75,1),($D$8+MAX(0,IF($D$50=1,$D$9*(1-(ABS($Q75-ABS(VALUE(MID(DQ75,FIND("|",DQ75)+1,FIND("-",DQ75)-FIND("|",DQ75)-1))-VALUE(MID(DQ75,FIND("-",DQ75)+1,10)))))*$D$50),$D$9*(1-(IF($N75="X",ABS($O75-VALUE(MID(DQ75,FIND("|",DQ75)+1,FIND("-",DQ75)-FIND("|",DQ75)-1))),ABS($Q75-ABS(VALUE(MID(DQ75,FIND("|",DQ75)+1,FIND("-",DQ75)-FIND("|",DQ75)-1))-VALUE(MID(DQ75,FIND("-",DQ75)+1,10)))))*$D$50)))))*$I75,0)),0)</f>
        <v>0</v>
      </c>
      <c r="DS75" s="338"/>
      <c r="DT75" s="363"/>
      <c r="DU75" s="356" t="n">
        <f aca="false">IFERROR(IF($M75=DT75,($D$8+$D$9+$D$10)*$I75,IF($N75=LEFT(DT75,1),($D$8+MAX(0,IF($D$50=1,$D$9*(1-(ABS($Q75-ABS(VALUE(MID(DT75,FIND("|",DT75)+1,FIND("-",DT75)-FIND("|",DT75)-1))-VALUE(MID(DT75,FIND("-",DT75)+1,10)))))*$D$50),$D$9*(1-(IF($N75="X",ABS($O75-VALUE(MID(DT75,FIND("|",DT75)+1,FIND("-",DT75)-FIND("|",DT75)-1))),ABS($Q75-ABS(VALUE(MID(DT75,FIND("|",DT75)+1,FIND("-",DT75)-FIND("|",DT75)-1))-VALUE(MID(DT75,FIND("-",DT75)+1,10)))))*$D$50)))))*$I75,0)),0)</f>
        <v>0</v>
      </c>
      <c r="DV75" s="338"/>
      <c r="DW75" s="363"/>
      <c r="DX75" s="356" t="n">
        <f aca="false">IFERROR(IF($M75=DW75,($D$8+$D$9+$D$10)*$I75,IF($N75=LEFT(DW75,1),($D$8+MAX(0,IF($D$50=1,$D$9*(1-(ABS($Q75-ABS(VALUE(MID(DW75,FIND("|",DW75)+1,FIND("-",DW75)-FIND("|",DW75)-1))-VALUE(MID(DW75,FIND("-",DW75)+1,10)))))*$D$50),$D$9*(1-(IF($N75="X",ABS($O75-VALUE(MID(DW75,FIND("|",DW75)+1,FIND("-",DW75)-FIND("|",DW75)-1))),ABS($Q75-ABS(VALUE(MID(DW75,FIND("|",DW75)+1,FIND("-",DW75)-FIND("|",DW75)-1))-VALUE(MID(DW75,FIND("-",DW75)+1,10)))))*$D$50)))))*$I75,0)),0)</f>
        <v>0</v>
      </c>
      <c r="DY75" s="338"/>
      <c r="DZ75" s="363"/>
      <c r="EA75" s="356" t="n">
        <f aca="false">IFERROR(IF($M75=DZ75,($D$8+$D$9+$D$10)*$I75,IF($N75=LEFT(DZ75,1),($D$8+MAX(0,IF($D$50=1,$D$9*(1-(ABS($Q75-ABS(VALUE(MID(DZ75,FIND("|",DZ75)+1,FIND("-",DZ75)-FIND("|",DZ75)-1))-VALUE(MID(DZ75,FIND("-",DZ75)+1,10)))))*$D$50),$D$9*(1-(IF($N75="X",ABS($O75-VALUE(MID(DZ75,FIND("|",DZ75)+1,FIND("-",DZ75)-FIND("|",DZ75)-1))),ABS($Q75-ABS(VALUE(MID(DZ75,FIND("|",DZ75)+1,FIND("-",DZ75)-FIND("|",DZ75)-1))-VALUE(MID(DZ75,FIND("-",DZ75)+1,10)))))*$D$50)))))*$I75,0)),0)</f>
        <v>0</v>
      </c>
      <c r="EB75" s="338"/>
      <c r="EC75" s="363"/>
      <c r="ED75" s="356" t="n">
        <f aca="false">IFERROR(IF($M75=EC75,($D$8+$D$9+$D$10)*$I75,IF($N75=LEFT(EC75,1),($D$8+MAX(0,IF($D$50=1,$D$9*(1-(ABS($Q75-ABS(VALUE(MID(EC75,FIND("|",EC75)+1,FIND("-",EC75)-FIND("|",EC75)-1))-VALUE(MID(EC75,FIND("-",EC75)+1,10)))))*$D$50),$D$9*(1-(IF($N75="X",ABS($O75-VALUE(MID(EC75,FIND("|",EC75)+1,FIND("-",EC75)-FIND("|",EC75)-1))),ABS($Q75-ABS(VALUE(MID(EC75,FIND("|",EC75)+1,FIND("-",EC75)-FIND("|",EC75)-1))-VALUE(MID(EC75,FIND("-",EC75)+1,10)))))*$D$50)))))*$I75,0)),0)</f>
        <v>0</v>
      </c>
      <c r="EE75" s="338"/>
      <c r="EF75" s="363"/>
      <c r="EG75" s="356" t="n">
        <f aca="false">IFERROR(IF($M75=EF75,($D$8+$D$9+$D$10)*$I75,IF($N75=LEFT(EF75,1),($D$8+MAX(0,IF($D$50=1,$D$9*(1-(ABS($Q75-ABS(VALUE(MID(EF75,FIND("|",EF75)+1,FIND("-",EF75)-FIND("|",EF75)-1))-VALUE(MID(EF75,FIND("-",EF75)+1,10)))))*$D$50),$D$9*(1-(IF($N75="X",ABS($O75-VALUE(MID(EF75,FIND("|",EF75)+1,FIND("-",EF75)-FIND("|",EF75)-1))),ABS($Q75-ABS(VALUE(MID(EF75,FIND("|",EF75)+1,FIND("-",EF75)-FIND("|",EF75)-1))-VALUE(MID(EF75,FIND("-",EF75)+1,10)))))*$D$50)))))*$I75,0)),0)</f>
        <v>0</v>
      </c>
      <c r="EH75" s="338"/>
      <c r="EI75" s="338"/>
    </row>
    <row r="76" customFormat="false" ht="15" hidden="false" customHeight="false" outlineLevel="0" collapsed="false">
      <c r="A76" s="327"/>
      <c r="B76" s="327"/>
      <c r="C76" s="332"/>
      <c r="D76" s="332"/>
      <c r="E76" s="327"/>
      <c r="F76" s="394" t="n">
        <f aca="false">SUM($D$8:$D$10)*I76</f>
        <v>17</v>
      </c>
      <c r="G76" s="394" t="n">
        <f aca="false">VLOOKUP(H76,Equipos!$Q$1:$R$25,2,0)</f>
        <v>18</v>
      </c>
      <c r="H76" s="395" t="n">
        <f aca="false">TRUNC(INDEX(WORLDCUP!$X$4:$X$147,MATCH(ADMIN!K76,WORLDCUP!$DT$4:$DT$147,0))+INDEX(Horarios!$R$3:$R$86,MATCH(Horarios!$C$3,Horarios!$P$3:$P$86,0))/24)</f>
        <v>46201</v>
      </c>
      <c r="I76" s="352" t="n">
        <v>1</v>
      </c>
      <c r="J76" s="362" t="s">
        <v>330</v>
      </c>
      <c r="K76" s="354" t="str">
        <f aca="false">CONCATENATE(WORLDCUP!AA96,"-",WORLDCUP!AF96)</f>
        <v>Panamá-Inglaterra</v>
      </c>
      <c r="L76" s="354"/>
      <c r="M76" s="359" t="str">
        <f aca="false">IF(OR(WORLDCUP!AC96="",WORLDCUP!AD96=""),"-",N76&amp;"|"&amp;O76&amp;"-"&amp;P76)</f>
        <v>-</v>
      </c>
      <c r="N76" s="332" t="str">
        <f aca="false">IF(OR(WORLDCUP!AC96="",WORLDCUP!AD96=""),"",IF(WORLDCUP!AC96&gt;WORLDCUP!AD96,"1",IF(WORLDCUP!AC96&lt;WORLDCUP!AD96,"2","X")))</f>
        <v/>
      </c>
      <c r="O76" s="332" t="n">
        <f aca="false">WORLDCUP!AC96</f>
        <v>0</v>
      </c>
      <c r="P76" s="332" t="n">
        <f aca="false">WORLDCUP!AD96</f>
        <v>0</v>
      </c>
      <c r="Q76" s="332" t="n">
        <f aca="false">ABS(O76-P76)</f>
        <v>0</v>
      </c>
      <c r="R76" s="327"/>
      <c r="S76" s="363" t="s">
        <v>273</v>
      </c>
      <c r="T76" s="356" t="n">
        <f aca="false">IFERROR(IF($M76=S76,($D$8+$D$9+$D$10)*$I76,IF($N76=LEFT(S76,1),($D$8+MAX(0,IF($D$50=1,$D$9*(1-(ABS($Q76-ABS(VALUE(MID(S76,FIND("|",S76)+1,FIND("-",S76)-FIND("|",S76)-1))-VALUE(MID(S76,FIND("-",S76)+1,10)))))*$D$50),$D$9*(1-(IF($N76="X",ABS($O76-VALUE(MID(S76,FIND("|",S76)+1,FIND("-",S76)-FIND("|",S76)-1))),ABS($Q76-ABS(VALUE(MID(S76,FIND("|",S76)+1,FIND("-",S76)-FIND("|",S76)-1))-VALUE(MID(S76,FIND("-",S76)+1,10)))))*$D$50)))))*$I76,0)),0)</f>
        <v>0</v>
      </c>
      <c r="U76" s="338"/>
      <c r="V76" s="363" t="s">
        <v>274</v>
      </c>
      <c r="W76" s="356" t="n">
        <f aca="false">IFERROR(IF($M76=V76,($D$8+$D$9+$D$10)*$I76,IF($N76=LEFT(V76,1),($D$8+MAX(0,IF($D$50=1,$D$9*(1-(ABS($Q76-ABS(VALUE(MID(V76,FIND("|",V76)+1,FIND("-",V76)-FIND("|",V76)-1))-VALUE(MID(V76,FIND("-",V76)+1,10)))))*$D$50),$D$9*(1-(IF($N76="X",ABS($O76-VALUE(MID(V76,FIND("|",V76)+1,FIND("-",V76)-FIND("|",V76)-1))),ABS($Q76-ABS(VALUE(MID(V76,FIND("|",V76)+1,FIND("-",V76)-FIND("|",V76)-1))-VALUE(MID(V76,FIND("-",V76)+1,10)))))*$D$50)))))*$I76,0)),0)</f>
        <v>0</v>
      </c>
      <c r="X76" s="338"/>
      <c r="Y76" s="363" t="s">
        <v>273</v>
      </c>
      <c r="Z76" s="356" t="n">
        <f aca="false">IFERROR(IF($M76=Y76,($D$8+$D$9+$D$10)*$I76,IF($N76=LEFT(Y76,1),($D$8+MAX(0,IF($D$50=1,$D$9*(1-(ABS($Q76-ABS(VALUE(MID(Y76,FIND("|",Y76)+1,FIND("-",Y76)-FIND("|",Y76)-1))-VALUE(MID(Y76,FIND("-",Y76)+1,10)))))*$D$50),$D$9*(1-(IF($N76="X",ABS($O76-VALUE(MID(Y76,FIND("|",Y76)+1,FIND("-",Y76)-FIND("|",Y76)-1))),ABS($Q76-ABS(VALUE(MID(Y76,FIND("|",Y76)+1,FIND("-",Y76)-FIND("|",Y76)-1))-VALUE(MID(Y76,FIND("-",Y76)+1,10)))))*$D$50)))))*$I76,0)),0)</f>
        <v>0</v>
      </c>
      <c r="AA76" s="338"/>
      <c r="AB76" s="363" t="s">
        <v>268</v>
      </c>
      <c r="AC76" s="356" t="n">
        <f aca="false">IFERROR(IF($M76=AB76,($D$8+$D$9+$D$10)*$I76,IF($N76=LEFT(AB76,1),($D$8+MAX(0,IF($D$50=1,$D$9*(1-(ABS($Q76-ABS(VALUE(MID(AB76,FIND("|",AB76)+1,FIND("-",AB76)-FIND("|",AB76)-1))-VALUE(MID(AB76,FIND("-",AB76)+1,10)))))*$D$50),$D$9*(1-(IF($N76="X",ABS($O76-VALUE(MID(AB76,FIND("|",AB76)+1,FIND("-",AB76)-FIND("|",AB76)-1))),ABS($Q76-ABS(VALUE(MID(AB76,FIND("|",AB76)+1,FIND("-",AB76)-FIND("|",AB76)-1))-VALUE(MID(AB76,FIND("-",AB76)+1,10)))))*$D$50)))))*$I76,0)),0)</f>
        <v>0</v>
      </c>
      <c r="AD76" s="338"/>
      <c r="AE76" s="363" t="s">
        <v>281</v>
      </c>
      <c r="AF76" s="356" t="n">
        <f aca="false">IFERROR(IF($M76=AE76,($D$8+$D$9+$D$10)*$I76,IF($N76=LEFT(AE76,1),($D$8+MAX(0,IF($D$50=1,$D$9*(1-(ABS($Q76-ABS(VALUE(MID(AE76,FIND("|",AE76)+1,FIND("-",AE76)-FIND("|",AE76)-1))-VALUE(MID(AE76,FIND("-",AE76)+1,10)))))*$D$50),$D$9*(1-(IF($N76="X",ABS($O76-VALUE(MID(AE76,FIND("|",AE76)+1,FIND("-",AE76)-FIND("|",AE76)-1))),ABS($Q76-ABS(VALUE(MID(AE76,FIND("|",AE76)+1,FIND("-",AE76)-FIND("|",AE76)-1))-VALUE(MID(AE76,FIND("-",AE76)+1,10)))))*$D$50)))))*$I76,0)),0)</f>
        <v>0</v>
      </c>
      <c r="AG76" s="338"/>
      <c r="AH76" s="363" t="s">
        <v>274</v>
      </c>
      <c r="AI76" s="356" t="n">
        <f aca="false">IFERROR(IF($M76=AH76,($D$8+$D$9+$D$10)*$I76,IF($N76=LEFT(AH76,1),($D$8+MAX(0,IF($D$50=1,$D$9*(1-(ABS($Q76-ABS(VALUE(MID(AH76,FIND("|",AH76)+1,FIND("-",AH76)-FIND("|",AH76)-1))-VALUE(MID(AH76,FIND("-",AH76)+1,10)))))*$D$50),$D$9*(1-(IF($N76="X",ABS($O76-VALUE(MID(AH76,FIND("|",AH76)+1,FIND("-",AH76)-FIND("|",AH76)-1))),ABS($Q76-ABS(VALUE(MID(AH76,FIND("|",AH76)+1,FIND("-",AH76)-FIND("|",AH76)-1))-VALUE(MID(AH76,FIND("-",AH76)+1,10)))))*$D$50)))))*$I76,0)),0)</f>
        <v>0</v>
      </c>
      <c r="AJ76" s="338"/>
      <c r="AK76" s="363" t="s">
        <v>273</v>
      </c>
      <c r="AL76" s="356" t="n">
        <f aca="false">IFERROR(IF($M76=AK76,($D$8+$D$9+$D$10)*$I76,IF($N76=LEFT(AK76,1),($D$8+MAX(0,IF($D$50=1,$D$9*(1-(ABS($Q76-ABS(VALUE(MID(AK76,FIND("|",AK76)+1,FIND("-",AK76)-FIND("|",AK76)-1))-VALUE(MID(AK76,FIND("-",AK76)+1,10)))))*$D$50),$D$9*(1-(IF($N76="X",ABS($O76-VALUE(MID(AK76,FIND("|",AK76)+1,FIND("-",AK76)-FIND("|",AK76)-1))),ABS($Q76-ABS(VALUE(MID(AK76,FIND("|",AK76)+1,FIND("-",AK76)-FIND("|",AK76)-1))-VALUE(MID(AK76,FIND("-",AK76)+1,10)))))*$D$50)))))*$I76,0)),0)</f>
        <v>0</v>
      </c>
      <c r="AM76" s="338"/>
      <c r="AN76" s="363" t="s">
        <v>268</v>
      </c>
      <c r="AO76" s="356" t="n">
        <f aca="false">IFERROR(IF($M76=AN76,($D$8+$D$9+$D$10)*$I76,IF($N76=LEFT(AN76,1),($D$8+MAX(0,IF($D$50=1,$D$9*(1-(ABS($Q76-ABS(VALUE(MID(AN76,FIND("|",AN76)+1,FIND("-",AN76)-FIND("|",AN76)-1))-VALUE(MID(AN76,FIND("-",AN76)+1,10)))))*$D$50),$D$9*(1-(IF($N76="X",ABS($O76-VALUE(MID(AN76,FIND("|",AN76)+1,FIND("-",AN76)-FIND("|",AN76)-1))),ABS($Q76-ABS(VALUE(MID(AN76,FIND("|",AN76)+1,FIND("-",AN76)-FIND("|",AN76)-1))-VALUE(MID(AN76,FIND("-",AN76)+1,10)))))*$D$50)))))*$I76,0)),0)</f>
        <v>0</v>
      </c>
      <c r="AP76" s="338"/>
      <c r="AQ76" s="363" t="s">
        <v>271</v>
      </c>
      <c r="AR76" s="356" t="n">
        <f aca="false">IFERROR(IF($M76=AQ76,($D$8+$D$9+$D$10)*$I76,IF($N76=LEFT(AQ76,1),($D$8+MAX(0,IF($D$50=1,$D$9*(1-(ABS($Q76-ABS(VALUE(MID(AQ76,FIND("|",AQ76)+1,FIND("-",AQ76)-FIND("|",AQ76)-1))-VALUE(MID(AQ76,FIND("-",AQ76)+1,10)))))*$D$50),$D$9*(1-(IF($N76="X",ABS($O76-VALUE(MID(AQ76,FIND("|",AQ76)+1,FIND("-",AQ76)-FIND("|",AQ76)-1))),ABS($Q76-ABS(VALUE(MID(AQ76,FIND("|",AQ76)+1,FIND("-",AQ76)-FIND("|",AQ76)-1))-VALUE(MID(AQ76,FIND("-",AQ76)+1,10)))))*$D$50)))))*$I76,0)),0)</f>
        <v>0</v>
      </c>
      <c r="AS76" s="338"/>
      <c r="AT76" s="363" t="s">
        <v>273</v>
      </c>
      <c r="AU76" s="356" t="n">
        <f aca="false">IFERROR(IF($M76=AT76,($D$8+$D$9+$D$10)*$I76,IF($N76=LEFT(AT76,1),($D$8+MAX(0,IF($D$50=1,$D$9*(1-(ABS($Q76-ABS(VALUE(MID(AT76,FIND("|",AT76)+1,FIND("-",AT76)-FIND("|",AT76)-1))-VALUE(MID(AT76,FIND("-",AT76)+1,10)))))*$D$50),$D$9*(1-(IF($N76="X",ABS($O76-VALUE(MID(AT76,FIND("|",AT76)+1,FIND("-",AT76)-FIND("|",AT76)-1))),ABS($Q76-ABS(VALUE(MID(AT76,FIND("|",AT76)+1,FIND("-",AT76)-FIND("|",AT76)-1))-VALUE(MID(AT76,FIND("-",AT76)+1,10)))))*$D$50)))))*$I76,0)),0)</f>
        <v>0</v>
      </c>
      <c r="AV76" s="338"/>
      <c r="AW76" s="363" t="s">
        <v>274</v>
      </c>
      <c r="AX76" s="356" t="n">
        <f aca="false">IFERROR(IF($M76=AW76,($D$8+$D$9+$D$10)*$I76,IF($N76=LEFT(AW76,1),($D$8+MAX(0,IF($D$50=1,$D$9*(1-(ABS($Q76-ABS(VALUE(MID(AW76,FIND("|",AW76)+1,FIND("-",AW76)-FIND("|",AW76)-1))-VALUE(MID(AW76,FIND("-",AW76)+1,10)))))*$D$50),$D$9*(1-(IF($N76="X",ABS($O76-VALUE(MID(AW76,FIND("|",AW76)+1,FIND("-",AW76)-FIND("|",AW76)-1))),ABS($Q76-ABS(VALUE(MID(AW76,FIND("|",AW76)+1,FIND("-",AW76)-FIND("|",AW76)-1))-VALUE(MID(AW76,FIND("-",AW76)+1,10)))))*$D$50)))))*$I76,0)),0)</f>
        <v>0</v>
      </c>
      <c r="AY76" s="338"/>
      <c r="AZ76" s="363" t="s">
        <v>277</v>
      </c>
      <c r="BA76" s="356" t="n">
        <f aca="false">IFERROR(IF($M76=AZ76,($D$8+$D$9+$D$10)*$I76,IF($N76=LEFT(AZ76,1),($D$8+MAX(0,IF($D$50=1,$D$9*(1-(ABS($Q76-ABS(VALUE(MID(AZ76,FIND("|",AZ76)+1,FIND("-",AZ76)-FIND("|",AZ76)-1))-VALUE(MID(AZ76,FIND("-",AZ76)+1,10)))))*$D$50),$D$9*(1-(IF($N76="X",ABS($O76-VALUE(MID(AZ76,FIND("|",AZ76)+1,FIND("-",AZ76)-FIND("|",AZ76)-1))),ABS($Q76-ABS(VALUE(MID(AZ76,FIND("|",AZ76)+1,FIND("-",AZ76)-FIND("|",AZ76)-1))-VALUE(MID(AZ76,FIND("-",AZ76)+1,10)))))*$D$50)))))*$I76,0)),0)</f>
        <v>0</v>
      </c>
      <c r="BB76" s="338"/>
      <c r="BC76" s="363" t="s">
        <v>273</v>
      </c>
      <c r="BD76" s="356" t="n">
        <f aca="false">IFERROR(IF($M76=BC76,($D$8+$D$9+$D$10)*$I76,IF($N76=LEFT(BC76,1),($D$8+MAX(0,IF($D$50=1,$D$9*(1-(ABS($Q76-ABS(VALUE(MID(BC76,FIND("|",BC76)+1,FIND("-",BC76)-FIND("|",BC76)-1))-VALUE(MID(BC76,FIND("-",BC76)+1,10)))))*$D$50),$D$9*(1-(IF($N76="X",ABS($O76-VALUE(MID(BC76,FIND("|",BC76)+1,FIND("-",BC76)-FIND("|",BC76)-1))),ABS($Q76-ABS(VALUE(MID(BC76,FIND("|",BC76)+1,FIND("-",BC76)-FIND("|",BC76)-1))-VALUE(MID(BC76,FIND("-",BC76)+1,10)))))*$D$50)))))*$I76,0)),0)</f>
        <v>0</v>
      </c>
      <c r="BE76" s="338"/>
      <c r="BF76" s="363" t="s">
        <v>274</v>
      </c>
      <c r="BG76" s="356" t="n">
        <f aca="false">IFERROR(IF($M76=BF76,($D$8+$D$9+$D$10)*$I76,IF($N76=LEFT(BF76,1),($D$8+MAX(0,IF($D$50=1,$D$9*(1-(ABS($Q76-ABS(VALUE(MID(BF76,FIND("|",BF76)+1,FIND("-",BF76)-FIND("|",BF76)-1))-VALUE(MID(BF76,FIND("-",BF76)+1,10)))))*$D$50),$D$9*(1-(IF($N76="X",ABS($O76-VALUE(MID(BF76,FIND("|",BF76)+1,FIND("-",BF76)-FIND("|",BF76)-1))),ABS($Q76-ABS(VALUE(MID(BF76,FIND("|",BF76)+1,FIND("-",BF76)-FIND("|",BF76)-1))-VALUE(MID(BF76,FIND("-",BF76)+1,10)))))*$D$50)))))*$I76,0)),0)</f>
        <v>0</v>
      </c>
      <c r="BH76" s="338"/>
      <c r="BI76" s="363" t="s">
        <v>274</v>
      </c>
      <c r="BJ76" s="356" t="n">
        <f aca="false">IFERROR(IF($M76=BI76,($D$8+$D$9+$D$10)*$I76,IF($N76=LEFT(BI76,1),($D$8+MAX(0,IF($D$50=1,$D$9*(1-(ABS($Q76-ABS(VALUE(MID(BI76,FIND("|",BI76)+1,FIND("-",BI76)-FIND("|",BI76)-1))-VALUE(MID(BI76,FIND("-",BI76)+1,10)))))*$D$50),$D$9*(1-(IF($N76="X",ABS($O76-VALUE(MID(BI76,FIND("|",BI76)+1,FIND("-",BI76)-FIND("|",BI76)-1))),ABS($Q76-ABS(VALUE(MID(BI76,FIND("|",BI76)+1,FIND("-",BI76)-FIND("|",BI76)-1))-VALUE(MID(BI76,FIND("-",BI76)+1,10)))))*$D$50)))))*$I76,0)),0)</f>
        <v>0</v>
      </c>
      <c r="BK76" s="338"/>
      <c r="BL76" s="363" t="s">
        <v>273</v>
      </c>
      <c r="BM76" s="356" t="n">
        <f aca="false">IFERROR(IF($M76=BL76,($D$8+$D$9+$D$10)*$I76,IF($N76=LEFT(BL76,1),($D$8+MAX(0,IF($D$50=1,$D$9*(1-(ABS($Q76-ABS(VALUE(MID(BL76,FIND("|",BL76)+1,FIND("-",BL76)-FIND("|",BL76)-1))-VALUE(MID(BL76,FIND("-",BL76)+1,10)))))*$D$50),$D$9*(1-(IF($N76="X",ABS($O76-VALUE(MID(BL76,FIND("|",BL76)+1,FIND("-",BL76)-FIND("|",BL76)-1))),ABS($Q76-ABS(VALUE(MID(BL76,FIND("|",BL76)+1,FIND("-",BL76)-FIND("|",BL76)-1))-VALUE(MID(BL76,FIND("-",BL76)+1,10)))))*$D$50)))))*$I76,0)),0)</f>
        <v>0</v>
      </c>
      <c r="BN76" s="338"/>
      <c r="BO76" s="363" t="s">
        <v>277</v>
      </c>
      <c r="BP76" s="356" t="n">
        <f aca="false">IFERROR(IF($M76=BO76,($D$8+$D$9+$D$10)*$I76,IF($N76=LEFT(BO76,1),($D$8+MAX(0,IF($D$50=1,$D$9*(1-(ABS($Q76-ABS(VALUE(MID(BO76,FIND("|",BO76)+1,FIND("-",BO76)-FIND("|",BO76)-1))-VALUE(MID(BO76,FIND("-",BO76)+1,10)))))*$D$50),$D$9*(1-(IF($N76="X",ABS($O76-VALUE(MID(BO76,FIND("|",BO76)+1,FIND("-",BO76)-FIND("|",BO76)-1))),ABS($Q76-ABS(VALUE(MID(BO76,FIND("|",BO76)+1,FIND("-",BO76)-FIND("|",BO76)-1))-VALUE(MID(BO76,FIND("-",BO76)+1,10)))))*$D$50)))))*$I76,0)),0)</f>
        <v>0</v>
      </c>
      <c r="BQ76" s="338"/>
      <c r="BR76" s="363" t="s">
        <v>274</v>
      </c>
      <c r="BS76" s="356" t="n">
        <f aca="false">IFERROR(IF($M76=BR76,($D$8+$D$9+$D$10)*$I76,IF($N76=LEFT(BR76,1),($D$8+MAX(0,IF($D$50=1,$D$9*(1-(ABS($Q76-ABS(VALUE(MID(BR76,FIND("|",BR76)+1,FIND("-",BR76)-FIND("|",BR76)-1))-VALUE(MID(BR76,FIND("-",BR76)+1,10)))))*$D$50),$D$9*(1-(IF($N76="X",ABS($O76-VALUE(MID(BR76,FIND("|",BR76)+1,FIND("-",BR76)-FIND("|",BR76)-1))),ABS($Q76-ABS(VALUE(MID(BR76,FIND("|",BR76)+1,FIND("-",BR76)-FIND("|",BR76)-1))-VALUE(MID(BR76,FIND("-",BR76)+1,10)))))*$D$50)))))*$I76,0)),0)</f>
        <v>0</v>
      </c>
      <c r="BT76" s="338"/>
      <c r="BU76" s="363"/>
      <c r="BV76" s="356" t="n">
        <f aca="false">IFERROR(IF($M76=BU76,($D$8+$D$9+$D$10)*$I76,IF($N76=LEFT(BU76,1),($D$8+MAX(0,IF($D$50=1,$D$9*(1-(ABS($Q76-ABS(VALUE(MID(BU76,FIND("|",BU76)+1,FIND("-",BU76)-FIND("|",BU76)-1))-VALUE(MID(BU76,FIND("-",BU76)+1,10)))))*$D$50),$D$9*(1-(IF($N76="X",ABS($O76-VALUE(MID(BU76,FIND("|",BU76)+1,FIND("-",BU76)-FIND("|",BU76)-1))),ABS($Q76-ABS(VALUE(MID(BU76,FIND("|",BU76)+1,FIND("-",BU76)-FIND("|",BU76)-1))-VALUE(MID(BU76,FIND("-",BU76)+1,10)))))*$D$50)))))*$I76,0)),0)</f>
        <v>0</v>
      </c>
      <c r="BW76" s="338"/>
      <c r="BX76" s="363"/>
      <c r="BY76" s="356" t="n">
        <f aca="false">IFERROR(IF($M76=BX76,($D$8+$D$9+$D$10)*$I76,IF($N76=LEFT(BX76,1),($D$8+MAX(0,IF($D$50=1,$D$9*(1-(ABS($Q76-ABS(VALUE(MID(BX76,FIND("|",BX76)+1,FIND("-",BX76)-FIND("|",BX76)-1))-VALUE(MID(BX76,FIND("-",BX76)+1,10)))))*$D$50),$D$9*(1-(IF($N76="X",ABS($O76-VALUE(MID(BX76,FIND("|",BX76)+1,FIND("-",BX76)-FIND("|",BX76)-1))),ABS($Q76-ABS(VALUE(MID(BX76,FIND("|",BX76)+1,FIND("-",BX76)-FIND("|",BX76)-1))-VALUE(MID(BX76,FIND("-",BX76)+1,10)))))*$D$50)))))*$I76,0)),0)</f>
        <v>0</v>
      </c>
      <c r="BZ76" s="338"/>
      <c r="CA76" s="363"/>
      <c r="CB76" s="356" t="n">
        <f aca="false">IFERROR(IF($M76=CA76,($D$8+$D$9+$D$10)*$I76,IF($N76=LEFT(CA76,1),($D$8+MAX(0,IF($D$50=1,$D$9*(1-(ABS($Q76-ABS(VALUE(MID(CA76,FIND("|",CA76)+1,FIND("-",CA76)-FIND("|",CA76)-1))-VALUE(MID(CA76,FIND("-",CA76)+1,10)))))*$D$50),$D$9*(1-(IF($N76="X",ABS($O76-VALUE(MID(CA76,FIND("|",CA76)+1,FIND("-",CA76)-FIND("|",CA76)-1))),ABS($Q76-ABS(VALUE(MID(CA76,FIND("|",CA76)+1,FIND("-",CA76)-FIND("|",CA76)-1))-VALUE(MID(CA76,FIND("-",CA76)+1,10)))))*$D$50)))))*$I76,0)),0)</f>
        <v>0</v>
      </c>
      <c r="CC76" s="338"/>
      <c r="CD76" s="363"/>
      <c r="CE76" s="356" t="n">
        <f aca="false">IFERROR(IF($M76=CD76,($D$8+$D$9+$D$10)*$I76,IF($N76=LEFT(CD76,1),($D$8+MAX(0,IF($D$50=1,$D$9*(1-(ABS($Q76-ABS(VALUE(MID(CD76,FIND("|",CD76)+1,FIND("-",CD76)-FIND("|",CD76)-1))-VALUE(MID(CD76,FIND("-",CD76)+1,10)))))*$D$50),$D$9*(1-(IF($N76="X",ABS($O76-VALUE(MID(CD76,FIND("|",CD76)+1,FIND("-",CD76)-FIND("|",CD76)-1))),ABS($Q76-ABS(VALUE(MID(CD76,FIND("|",CD76)+1,FIND("-",CD76)-FIND("|",CD76)-1))-VALUE(MID(CD76,FIND("-",CD76)+1,10)))))*$D$50)))))*$I76,0)),0)</f>
        <v>0</v>
      </c>
      <c r="CF76" s="338"/>
      <c r="CG76" s="363"/>
      <c r="CH76" s="356" t="n">
        <f aca="false">IFERROR(IF($M76=CG76,($D$8+$D$9+$D$10)*$I76,IF($N76=LEFT(CG76,1),($D$8+MAX(0,IF($D$50=1,$D$9*(1-(ABS($Q76-ABS(VALUE(MID(CG76,FIND("|",CG76)+1,FIND("-",CG76)-FIND("|",CG76)-1))-VALUE(MID(CG76,FIND("-",CG76)+1,10)))))*$D$50),$D$9*(1-(IF($N76="X",ABS($O76-VALUE(MID(CG76,FIND("|",CG76)+1,FIND("-",CG76)-FIND("|",CG76)-1))),ABS($Q76-ABS(VALUE(MID(CG76,FIND("|",CG76)+1,FIND("-",CG76)-FIND("|",CG76)-1))-VALUE(MID(CG76,FIND("-",CG76)+1,10)))))*$D$50)))))*$I76,0)),0)</f>
        <v>0</v>
      </c>
      <c r="CI76" s="338"/>
      <c r="CJ76" s="363"/>
      <c r="CK76" s="356" t="n">
        <f aca="false">IFERROR(IF($M76=CJ76,($D$8+$D$9+$D$10)*$I76,IF($N76=LEFT(CJ76,1),($D$8+MAX(0,IF($D$50=1,$D$9*(1-(ABS($Q76-ABS(VALUE(MID(CJ76,FIND("|",CJ76)+1,FIND("-",CJ76)-FIND("|",CJ76)-1))-VALUE(MID(CJ76,FIND("-",CJ76)+1,10)))))*$D$50),$D$9*(1-(IF($N76="X",ABS($O76-VALUE(MID(CJ76,FIND("|",CJ76)+1,FIND("-",CJ76)-FIND("|",CJ76)-1))),ABS($Q76-ABS(VALUE(MID(CJ76,FIND("|",CJ76)+1,FIND("-",CJ76)-FIND("|",CJ76)-1))-VALUE(MID(CJ76,FIND("-",CJ76)+1,10)))))*$D$50)))))*$I76,0)),0)</f>
        <v>0</v>
      </c>
      <c r="CL76" s="338"/>
      <c r="CM76" s="363"/>
      <c r="CN76" s="356" t="n">
        <f aca="false">IFERROR(IF($M76=CM76,($D$8+$D$9+$D$10)*$I76,IF($N76=LEFT(CM76,1),($D$8+MAX(0,IF($D$50=1,$D$9*(1-(ABS($Q76-ABS(VALUE(MID(CM76,FIND("|",CM76)+1,FIND("-",CM76)-FIND("|",CM76)-1))-VALUE(MID(CM76,FIND("-",CM76)+1,10)))))*$D$50),$D$9*(1-(IF($N76="X",ABS($O76-VALUE(MID(CM76,FIND("|",CM76)+1,FIND("-",CM76)-FIND("|",CM76)-1))),ABS($Q76-ABS(VALUE(MID(CM76,FIND("|",CM76)+1,FIND("-",CM76)-FIND("|",CM76)-1))-VALUE(MID(CM76,FIND("-",CM76)+1,10)))))*$D$50)))))*$I76,0)),0)</f>
        <v>0</v>
      </c>
      <c r="CO76" s="338"/>
      <c r="CP76" s="363"/>
      <c r="CQ76" s="356" t="n">
        <f aca="false">IFERROR(IF($M76=CP76,($D$8+$D$9+$D$10)*$I76,IF($N76=LEFT(CP76,1),($D$8+MAX(0,IF($D$50=1,$D$9*(1-(ABS($Q76-ABS(VALUE(MID(CP76,FIND("|",CP76)+1,FIND("-",CP76)-FIND("|",CP76)-1))-VALUE(MID(CP76,FIND("-",CP76)+1,10)))))*$D$50),$D$9*(1-(IF($N76="X",ABS($O76-VALUE(MID(CP76,FIND("|",CP76)+1,FIND("-",CP76)-FIND("|",CP76)-1))),ABS($Q76-ABS(VALUE(MID(CP76,FIND("|",CP76)+1,FIND("-",CP76)-FIND("|",CP76)-1))-VALUE(MID(CP76,FIND("-",CP76)+1,10)))))*$D$50)))))*$I76,0)),0)</f>
        <v>0</v>
      </c>
      <c r="CR76" s="338"/>
      <c r="CS76" s="363"/>
      <c r="CT76" s="356" t="n">
        <f aca="false">IFERROR(IF($M76=CS76,($D$8+$D$9+$D$10)*$I76,IF($N76=LEFT(CS76,1),($D$8+MAX(0,IF($D$50=1,$D$9*(1-(ABS($Q76-ABS(VALUE(MID(CS76,FIND("|",CS76)+1,FIND("-",CS76)-FIND("|",CS76)-1))-VALUE(MID(CS76,FIND("-",CS76)+1,10)))))*$D$50),$D$9*(1-(IF($N76="X",ABS($O76-VALUE(MID(CS76,FIND("|",CS76)+1,FIND("-",CS76)-FIND("|",CS76)-1))),ABS($Q76-ABS(VALUE(MID(CS76,FIND("|",CS76)+1,FIND("-",CS76)-FIND("|",CS76)-1))-VALUE(MID(CS76,FIND("-",CS76)+1,10)))))*$D$50)))))*$I76,0)),0)</f>
        <v>0</v>
      </c>
      <c r="CU76" s="338"/>
      <c r="CV76" s="363"/>
      <c r="CW76" s="356" t="n">
        <f aca="false">IFERROR(IF($M76=CV76,($D$8+$D$9+$D$10)*$I76,IF($N76=LEFT(CV76,1),($D$8+MAX(0,IF($D$50=1,$D$9*(1-(ABS($Q76-ABS(VALUE(MID(CV76,FIND("|",CV76)+1,FIND("-",CV76)-FIND("|",CV76)-1))-VALUE(MID(CV76,FIND("-",CV76)+1,10)))))*$D$50),$D$9*(1-(IF($N76="X",ABS($O76-VALUE(MID(CV76,FIND("|",CV76)+1,FIND("-",CV76)-FIND("|",CV76)-1))),ABS($Q76-ABS(VALUE(MID(CV76,FIND("|",CV76)+1,FIND("-",CV76)-FIND("|",CV76)-1))-VALUE(MID(CV76,FIND("-",CV76)+1,10)))))*$D$50)))))*$I76,0)),0)</f>
        <v>0</v>
      </c>
      <c r="CX76" s="338"/>
      <c r="CY76" s="363"/>
      <c r="CZ76" s="356" t="n">
        <f aca="false">IFERROR(IF($M76=CY76,($D$8+$D$9+$D$10)*$I76,IF($N76=LEFT(CY76,1),($D$8+MAX(0,IF($D$50=1,$D$9*(1-(ABS($Q76-ABS(VALUE(MID(CY76,FIND("|",CY76)+1,FIND("-",CY76)-FIND("|",CY76)-1))-VALUE(MID(CY76,FIND("-",CY76)+1,10)))))*$D$50),$D$9*(1-(IF($N76="X",ABS($O76-VALUE(MID(CY76,FIND("|",CY76)+1,FIND("-",CY76)-FIND("|",CY76)-1))),ABS($Q76-ABS(VALUE(MID(CY76,FIND("|",CY76)+1,FIND("-",CY76)-FIND("|",CY76)-1))-VALUE(MID(CY76,FIND("-",CY76)+1,10)))))*$D$50)))))*$I76,0)),0)</f>
        <v>0</v>
      </c>
      <c r="DA76" s="338"/>
      <c r="DB76" s="363"/>
      <c r="DC76" s="356" t="n">
        <f aca="false">IFERROR(IF($M76=DB76,($D$8+$D$9+$D$10)*$I76,IF($N76=LEFT(DB76,1),($D$8+MAX(0,IF($D$50=1,$D$9*(1-(ABS($Q76-ABS(VALUE(MID(DB76,FIND("|",DB76)+1,FIND("-",DB76)-FIND("|",DB76)-1))-VALUE(MID(DB76,FIND("-",DB76)+1,10)))))*$D$50),$D$9*(1-(IF($N76="X",ABS($O76-VALUE(MID(DB76,FIND("|",DB76)+1,FIND("-",DB76)-FIND("|",DB76)-1))),ABS($Q76-ABS(VALUE(MID(DB76,FIND("|",DB76)+1,FIND("-",DB76)-FIND("|",DB76)-1))-VALUE(MID(DB76,FIND("-",DB76)+1,10)))))*$D$50)))))*$I76,0)),0)</f>
        <v>0</v>
      </c>
      <c r="DD76" s="338"/>
      <c r="DE76" s="363"/>
      <c r="DF76" s="356" t="n">
        <f aca="false">IFERROR(IF($M76=DE76,($D$8+$D$9+$D$10)*$I76,IF($N76=LEFT(DE76,1),($D$8+MAX(0,IF($D$50=1,$D$9*(1-(ABS($Q76-ABS(VALUE(MID(DE76,FIND("|",DE76)+1,FIND("-",DE76)-FIND("|",DE76)-1))-VALUE(MID(DE76,FIND("-",DE76)+1,10)))))*$D$50),$D$9*(1-(IF($N76="X",ABS($O76-VALUE(MID(DE76,FIND("|",DE76)+1,FIND("-",DE76)-FIND("|",DE76)-1))),ABS($Q76-ABS(VALUE(MID(DE76,FIND("|",DE76)+1,FIND("-",DE76)-FIND("|",DE76)-1))-VALUE(MID(DE76,FIND("-",DE76)+1,10)))))*$D$50)))))*$I76,0)),0)</f>
        <v>0</v>
      </c>
      <c r="DG76" s="338"/>
      <c r="DH76" s="363"/>
      <c r="DI76" s="356" t="n">
        <f aca="false">IFERROR(IF($M76=DH76,($D$8+$D$9+$D$10)*$I76,IF($N76=LEFT(DH76,1),($D$8+MAX(0,IF($D$50=1,$D$9*(1-(ABS($Q76-ABS(VALUE(MID(DH76,FIND("|",DH76)+1,FIND("-",DH76)-FIND("|",DH76)-1))-VALUE(MID(DH76,FIND("-",DH76)+1,10)))))*$D$50),$D$9*(1-(IF($N76="X",ABS($O76-VALUE(MID(DH76,FIND("|",DH76)+1,FIND("-",DH76)-FIND("|",DH76)-1))),ABS($Q76-ABS(VALUE(MID(DH76,FIND("|",DH76)+1,FIND("-",DH76)-FIND("|",DH76)-1))-VALUE(MID(DH76,FIND("-",DH76)+1,10)))))*$D$50)))))*$I76,0)),0)</f>
        <v>0</v>
      </c>
      <c r="DJ76" s="338"/>
      <c r="DK76" s="363"/>
      <c r="DL76" s="356" t="n">
        <f aca="false">IFERROR(IF($M76=DK76,($D$8+$D$9+$D$10)*$I76,IF($N76=LEFT(DK76,1),($D$8+MAX(0,IF($D$50=1,$D$9*(1-(ABS($Q76-ABS(VALUE(MID(DK76,FIND("|",DK76)+1,FIND("-",DK76)-FIND("|",DK76)-1))-VALUE(MID(DK76,FIND("-",DK76)+1,10)))))*$D$50),$D$9*(1-(IF($N76="X",ABS($O76-VALUE(MID(DK76,FIND("|",DK76)+1,FIND("-",DK76)-FIND("|",DK76)-1))),ABS($Q76-ABS(VALUE(MID(DK76,FIND("|",DK76)+1,FIND("-",DK76)-FIND("|",DK76)-1))-VALUE(MID(DK76,FIND("-",DK76)+1,10)))))*$D$50)))))*$I76,0)),0)</f>
        <v>0</v>
      </c>
      <c r="DM76" s="338"/>
      <c r="DN76" s="363"/>
      <c r="DO76" s="356" t="n">
        <f aca="false">IFERROR(IF($M76=DN76,($D$8+$D$9+$D$10)*$I76,IF($N76=LEFT(DN76,1),($D$8+MAX(0,IF($D$50=1,$D$9*(1-(ABS($Q76-ABS(VALUE(MID(DN76,FIND("|",DN76)+1,FIND("-",DN76)-FIND("|",DN76)-1))-VALUE(MID(DN76,FIND("-",DN76)+1,10)))))*$D$50),$D$9*(1-(IF($N76="X",ABS($O76-VALUE(MID(DN76,FIND("|",DN76)+1,FIND("-",DN76)-FIND("|",DN76)-1))),ABS($Q76-ABS(VALUE(MID(DN76,FIND("|",DN76)+1,FIND("-",DN76)-FIND("|",DN76)-1))-VALUE(MID(DN76,FIND("-",DN76)+1,10)))))*$D$50)))))*$I76,0)),0)</f>
        <v>0</v>
      </c>
      <c r="DP76" s="338"/>
      <c r="DQ76" s="363"/>
      <c r="DR76" s="356" t="n">
        <f aca="false">IFERROR(IF($M76=DQ76,($D$8+$D$9+$D$10)*$I76,IF($N76=LEFT(DQ76,1),($D$8+MAX(0,IF($D$50=1,$D$9*(1-(ABS($Q76-ABS(VALUE(MID(DQ76,FIND("|",DQ76)+1,FIND("-",DQ76)-FIND("|",DQ76)-1))-VALUE(MID(DQ76,FIND("-",DQ76)+1,10)))))*$D$50),$D$9*(1-(IF($N76="X",ABS($O76-VALUE(MID(DQ76,FIND("|",DQ76)+1,FIND("-",DQ76)-FIND("|",DQ76)-1))),ABS($Q76-ABS(VALUE(MID(DQ76,FIND("|",DQ76)+1,FIND("-",DQ76)-FIND("|",DQ76)-1))-VALUE(MID(DQ76,FIND("-",DQ76)+1,10)))))*$D$50)))))*$I76,0)),0)</f>
        <v>0</v>
      </c>
      <c r="DS76" s="338"/>
      <c r="DT76" s="363"/>
      <c r="DU76" s="356" t="n">
        <f aca="false">IFERROR(IF($M76=DT76,($D$8+$D$9+$D$10)*$I76,IF($N76=LEFT(DT76,1),($D$8+MAX(0,IF($D$50=1,$D$9*(1-(ABS($Q76-ABS(VALUE(MID(DT76,FIND("|",DT76)+1,FIND("-",DT76)-FIND("|",DT76)-1))-VALUE(MID(DT76,FIND("-",DT76)+1,10)))))*$D$50),$D$9*(1-(IF($N76="X",ABS($O76-VALUE(MID(DT76,FIND("|",DT76)+1,FIND("-",DT76)-FIND("|",DT76)-1))),ABS($Q76-ABS(VALUE(MID(DT76,FIND("|",DT76)+1,FIND("-",DT76)-FIND("|",DT76)-1))-VALUE(MID(DT76,FIND("-",DT76)+1,10)))))*$D$50)))))*$I76,0)),0)</f>
        <v>0</v>
      </c>
      <c r="DV76" s="338"/>
      <c r="DW76" s="363"/>
      <c r="DX76" s="356" t="n">
        <f aca="false">IFERROR(IF($M76=DW76,($D$8+$D$9+$D$10)*$I76,IF($N76=LEFT(DW76,1),($D$8+MAX(0,IF($D$50=1,$D$9*(1-(ABS($Q76-ABS(VALUE(MID(DW76,FIND("|",DW76)+1,FIND("-",DW76)-FIND("|",DW76)-1))-VALUE(MID(DW76,FIND("-",DW76)+1,10)))))*$D$50),$D$9*(1-(IF($N76="X",ABS($O76-VALUE(MID(DW76,FIND("|",DW76)+1,FIND("-",DW76)-FIND("|",DW76)-1))),ABS($Q76-ABS(VALUE(MID(DW76,FIND("|",DW76)+1,FIND("-",DW76)-FIND("|",DW76)-1))-VALUE(MID(DW76,FIND("-",DW76)+1,10)))))*$D$50)))))*$I76,0)),0)</f>
        <v>0</v>
      </c>
      <c r="DY76" s="338"/>
      <c r="DZ76" s="363"/>
      <c r="EA76" s="356" t="n">
        <f aca="false">IFERROR(IF($M76=DZ76,($D$8+$D$9+$D$10)*$I76,IF($N76=LEFT(DZ76,1),($D$8+MAX(0,IF($D$50=1,$D$9*(1-(ABS($Q76-ABS(VALUE(MID(DZ76,FIND("|",DZ76)+1,FIND("-",DZ76)-FIND("|",DZ76)-1))-VALUE(MID(DZ76,FIND("-",DZ76)+1,10)))))*$D$50),$D$9*(1-(IF($N76="X",ABS($O76-VALUE(MID(DZ76,FIND("|",DZ76)+1,FIND("-",DZ76)-FIND("|",DZ76)-1))),ABS($Q76-ABS(VALUE(MID(DZ76,FIND("|",DZ76)+1,FIND("-",DZ76)-FIND("|",DZ76)-1))-VALUE(MID(DZ76,FIND("-",DZ76)+1,10)))))*$D$50)))))*$I76,0)),0)</f>
        <v>0</v>
      </c>
      <c r="EB76" s="338"/>
      <c r="EC76" s="363"/>
      <c r="ED76" s="356" t="n">
        <f aca="false">IFERROR(IF($M76=EC76,($D$8+$D$9+$D$10)*$I76,IF($N76=LEFT(EC76,1),($D$8+MAX(0,IF($D$50=1,$D$9*(1-(ABS($Q76-ABS(VALUE(MID(EC76,FIND("|",EC76)+1,FIND("-",EC76)-FIND("|",EC76)-1))-VALUE(MID(EC76,FIND("-",EC76)+1,10)))))*$D$50),$D$9*(1-(IF($N76="X",ABS($O76-VALUE(MID(EC76,FIND("|",EC76)+1,FIND("-",EC76)-FIND("|",EC76)-1))),ABS($Q76-ABS(VALUE(MID(EC76,FIND("|",EC76)+1,FIND("-",EC76)-FIND("|",EC76)-1))-VALUE(MID(EC76,FIND("-",EC76)+1,10)))))*$D$50)))))*$I76,0)),0)</f>
        <v>0</v>
      </c>
      <c r="EE76" s="338"/>
      <c r="EF76" s="363"/>
      <c r="EG76" s="356" t="n">
        <f aca="false">IFERROR(IF($M76=EF76,($D$8+$D$9+$D$10)*$I76,IF($N76=LEFT(EF76,1),($D$8+MAX(0,IF($D$50=1,$D$9*(1-(ABS($Q76-ABS(VALUE(MID(EF76,FIND("|",EF76)+1,FIND("-",EF76)-FIND("|",EF76)-1))-VALUE(MID(EF76,FIND("-",EF76)+1,10)))))*$D$50),$D$9*(1-(IF($N76="X",ABS($O76-VALUE(MID(EF76,FIND("|",EF76)+1,FIND("-",EF76)-FIND("|",EF76)-1))),ABS($Q76-ABS(VALUE(MID(EF76,FIND("|",EF76)+1,FIND("-",EF76)-FIND("|",EF76)-1))-VALUE(MID(EF76,FIND("-",EF76)+1,10)))))*$D$50)))))*$I76,0)),0)</f>
        <v>0</v>
      </c>
      <c r="EH76" s="338"/>
      <c r="EI76" s="338"/>
    </row>
    <row r="77" customFormat="false" ht="15" hidden="false" customHeight="false" outlineLevel="0" collapsed="false">
      <c r="A77" s="327"/>
      <c r="B77" s="327"/>
      <c r="C77" s="332"/>
      <c r="D77" s="332"/>
      <c r="E77" s="327"/>
      <c r="F77" s="394" t="n">
        <f aca="false">SUM($D$8:$D$10)*I77</f>
        <v>17</v>
      </c>
      <c r="G77" s="394" t="n">
        <f aca="false">VLOOKUP(H77,Equipos!$Q$1:$R$25,2,0)</f>
        <v>18</v>
      </c>
      <c r="H77" s="395" t="n">
        <f aca="false">TRUNC(INDEX(WORLDCUP!$X$4:$X$147,MATCH(ADMIN!K77,WORLDCUP!$DT$4:$DT$147,0))+INDEX(Horarios!$R$3:$R$86,MATCH(Horarios!$C$3,Horarios!$P$3:$P$86,0))/24)</f>
        <v>46201</v>
      </c>
      <c r="I77" s="352" t="n">
        <v>1</v>
      </c>
      <c r="J77" s="362" t="s">
        <v>330</v>
      </c>
      <c r="K77" s="396" t="str">
        <f aca="false">CONCATENATE(WORLDCUP!AA97,"-",WORLDCUP!AF97)</f>
        <v>Croacia-Ghana</v>
      </c>
      <c r="L77" s="396"/>
      <c r="M77" s="397" t="str">
        <f aca="false">IF(OR(WORLDCUP!AC97="",WORLDCUP!AD97=""),"-",N77&amp;"|"&amp;O77&amp;"-"&amp;P77)</f>
        <v>-</v>
      </c>
      <c r="N77" s="332" t="str">
        <f aca="false">IF(OR(WORLDCUP!AC97="",WORLDCUP!AD97=""),"",IF(WORLDCUP!AC97&gt;WORLDCUP!AD97,"1",IF(WORLDCUP!AC97&lt;WORLDCUP!AD97,"2","X")))</f>
        <v/>
      </c>
      <c r="O77" s="332" t="n">
        <f aca="false">WORLDCUP!AC97</f>
        <v>0</v>
      </c>
      <c r="P77" s="332" t="n">
        <f aca="false">WORLDCUP!AD97</f>
        <v>0</v>
      </c>
      <c r="Q77" s="332" t="n">
        <f aca="false">ABS(O77-P77)</f>
        <v>0</v>
      </c>
      <c r="R77" s="327"/>
      <c r="S77" s="398" t="s">
        <v>266</v>
      </c>
      <c r="T77" s="399" t="n">
        <f aca="false">IFERROR(IF($M77=S77,($D$8+$D$9+$D$10)*$I77,IF($N77=LEFT(S77,1),($D$8+MAX(0,IF($D$50=1,$D$9*(1-(ABS($Q77-ABS(VALUE(MID(S77,FIND("|",S77)+1,FIND("-",S77)-FIND("|",S77)-1))-VALUE(MID(S77,FIND("-",S77)+1,10)))))*$D$50),$D$9*(1-(IF($N77="X",ABS($O77-VALUE(MID(S77,FIND("|",S77)+1,FIND("-",S77)-FIND("|",S77)-1))),ABS($Q77-ABS(VALUE(MID(S77,FIND("|",S77)+1,FIND("-",S77)-FIND("|",S77)-1))-VALUE(MID(S77,FIND("-",S77)+1,10)))))*$D$50)))))*$I77,0)),0)</f>
        <v>0</v>
      </c>
      <c r="U77" s="338"/>
      <c r="V77" s="398" t="s">
        <v>267</v>
      </c>
      <c r="W77" s="399" t="n">
        <f aca="false">IFERROR(IF($M77=V77,($D$8+$D$9+$D$10)*$I77,IF($N77=LEFT(V77,1),($D$8+MAX(0,IF($D$50=1,$D$9*(1-(ABS($Q77-ABS(VALUE(MID(V77,FIND("|",V77)+1,FIND("-",V77)-FIND("|",V77)-1))-VALUE(MID(V77,FIND("-",V77)+1,10)))))*$D$50),$D$9*(1-(IF($N77="X",ABS($O77-VALUE(MID(V77,FIND("|",V77)+1,FIND("-",V77)-FIND("|",V77)-1))),ABS($Q77-ABS(VALUE(MID(V77,FIND("|",V77)+1,FIND("-",V77)-FIND("|",V77)-1))-VALUE(MID(V77,FIND("-",V77)+1,10)))))*$D$50)))))*$I77,0)),0)</f>
        <v>0</v>
      </c>
      <c r="X77" s="338"/>
      <c r="Y77" s="398" t="s">
        <v>267</v>
      </c>
      <c r="Z77" s="399" t="n">
        <f aca="false">IFERROR(IF($M77=Y77,($D$8+$D$9+$D$10)*$I77,IF($N77=LEFT(Y77,1),($D$8+MAX(0,IF($D$50=1,$D$9*(1-(ABS($Q77-ABS(VALUE(MID(Y77,FIND("|",Y77)+1,FIND("-",Y77)-FIND("|",Y77)-1))-VALUE(MID(Y77,FIND("-",Y77)+1,10)))))*$D$50),$D$9*(1-(IF($N77="X",ABS($O77-VALUE(MID(Y77,FIND("|",Y77)+1,FIND("-",Y77)-FIND("|",Y77)-1))),ABS($Q77-ABS(VALUE(MID(Y77,FIND("|",Y77)+1,FIND("-",Y77)-FIND("|",Y77)-1))-VALUE(MID(Y77,FIND("-",Y77)+1,10)))))*$D$50)))))*$I77,0)),0)</f>
        <v>0</v>
      </c>
      <c r="AA77" s="338"/>
      <c r="AB77" s="398" t="s">
        <v>266</v>
      </c>
      <c r="AC77" s="399" t="n">
        <f aca="false">IFERROR(IF($M77=AB77,($D$8+$D$9+$D$10)*$I77,IF($N77=LEFT(AB77,1),($D$8+MAX(0,IF($D$50=1,$D$9*(1-(ABS($Q77-ABS(VALUE(MID(AB77,FIND("|",AB77)+1,FIND("-",AB77)-FIND("|",AB77)-1))-VALUE(MID(AB77,FIND("-",AB77)+1,10)))))*$D$50),$D$9*(1-(IF($N77="X",ABS($O77-VALUE(MID(AB77,FIND("|",AB77)+1,FIND("-",AB77)-FIND("|",AB77)-1))),ABS($Q77-ABS(VALUE(MID(AB77,FIND("|",AB77)+1,FIND("-",AB77)-FIND("|",AB77)-1))-VALUE(MID(AB77,FIND("-",AB77)+1,10)))))*$D$50)))))*$I77,0)),0)</f>
        <v>0</v>
      </c>
      <c r="AD77" s="338"/>
      <c r="AE77" s="398" t="s">
        <v>264</v>
      </c>
      <c r="AF77" s="399" t="n">
        <f aca="false">IFERROR(IF($M77=AE77,($D$8+$D$9+$D$10)*$I77,IF($N77=LEFT(AE77,1),($D$8+MAX(0,IF($D$50=1,$D$9*(1-(ABS($Q77-ABS(VALUE(MID(AE77,FIND("|",AE77)+1,FIND("-",AE77)-FIND("|",AE77)-1))-VALUE(MID(AE77,FIND("-",AE77)+1,10)))))*$D$50),$D$9*(1-(IF($N77="X",ABS($O77-VALUE(MID(AE77,FIND("|",AE77)+1,FIND("-",AE77)-FIND("|",AE77)-1))),ABS($Q77-ABS(VALUE(MID(AE77,FIND("|",AE77)+1,FIND("-",AE77)-FIND("|",AE77)-1))-VALUE(MID(AE77,FIND("-",AE77)+1,10)))))*$D$50)))))*$I77,0)),0)</f>
        <v>0</v>
      </c>
      <c r="AG77" s="338"/>
      <c r="AH77" s="398" t="s">
        <v>264</v>
      </c>
      <c r="AI77" s="399" t="n">
        <f aca="false">IFERROR(IF($M77=AH77,($D$8+$D$9+$D$10)*$I77,IF($N77=LEFT(AH77,1),($D$8+MAX(0,IF($D$50=1,$D$9*(1-(ABS($Q77-ABS(VALUE(MID(AH77,FIND("|",AH77)+1,FIND("-",AH77)-FIND("|",AH77)-1))-VALUE(MID(AH77,FIND("-",AH77)+1,10)))))*$D$50),$D$9*(1-(IF($N77="X",ABS($O77-VALUE(MID(AH77,FIND("|",AH77)+1,FIND("-",AH77)-FIND("|",AH77)-1))),ABS($Q77-ABS(VALUE(MID(AH77,FIND("|",AH77)+1,FIND("-",AH77)-FIND("|",AH77)-1))-VALUE(MID(AH77,FIND("-",AH77)+1,10)))))*$D$50)))))*$I77,0)),0)</f>
        <v>0</v>
      </c>
      <c r="AJ77" s="338"/>
      <c r="AK77" s="398" t="s">
        <v>267</v>
      </c>
      <c r="AL77" s="399" t="n">
        <f aca="false">IFERROR(IF($M77=AK77,($D$8+$D$9+$D$10)*$I77,IF($N77=LEFT(AK77,1),($D$8+MAX(0,IF($D$50=1,$D$9*(1-(ABS($Q77-ABS(VALUE(MID(AK77,FIND("|",AK77)+1,FIND("-",AK77)-FIND("|",AK77)-1))-VALUE(MID(AK77,FIND("-",AK77)+1,10)))))*$D$50),$D$9*(1-(IF($N77="X",ABS($O77-VALUE(MID(AK77,FIND("|",AK77)+1,FIND("-",AK77)-FIND("|",AK77)-1))),ABS($Q77-ABS(VALUE(MID(AK77,FIND("|",AK77)+1,FIND("-",AK77)-FIND("|",AK77)-1))-VALUE(MID(AK77,FIND("-",AK77)+1,10)))))*$D$50)))))*$I77,0)),0)</f>
        <v>0</v>
      </c>
      <c r="AM77" s="338"/>
      <c r="AN77" s="398" t="s">
        <v>265</v>
      </c>
      <c r="AO77" s="399" t="n">
        <f aca="false">IFERROR(IF($M77=AN77,($D$8+$D$9+$D$10)*$I77,IF($N77=LEFT(AN77,1),($D$8+MAX(0,IF($D$50=1,$D$9*(1-(ABS($Q77-ABS(VALUE(MID(AN77,FIND("|",AN77)+1,FIND("-",AN77)-FIND("|",AN77)-1))-VALUE(MID(AN77,FIND("-",AN77)+1,10)))))*$D$50),$D$9*(1-(IF($N77="X",ABS($O77-VALUE(MID(AN77,FIND("|",AN77)+1,FIND("-",AN77)-FIND("|",AN77)-1))),ABS($Q77-ABS(VALUE(MID(AN77,FIND("|",AN77)+1,FIND("-",AN77)-FIND("|",AN77)-1))-VALUE(MID(AN77,FIND("-",AN77)+1,10)))))*$D$50)))))*$I77,0)),0)</f>
        <v>0</v>
      </c>
      <c r="AP77" s="338"/>
      <c r="AQ77" s="398" t="s">
        <v>275</v>
      </c>
      <c r="AR77" s="399" t="n">
        <f aca="false">IFERROR(IF($M77=AQ77,($D$8+$D$9+$D$10)*$I77,IF($N77=LEFT(AQ77,1),($D$8+MAX(0,IF($D$50=1,$D$9*(1-(ABS($Q77-ABS(VALUE(MID(AQ77,FIND("|",AQ77)+1,FIND("-",AQ77)-FIND("|",AQ77)-1))-VALUE(MID(AQ77,FIND("-",AQ77)+1,10)))))*$D$50),$D$9*(1-(IF($N77="X",ABS($O77-VALUE(MID(AQ77,FIND("|",AQ77)+1,FIND("-",AQ77)-FIND("|",AQ77)-1))),ABS($Q77-ABS(VALUE(MID(AQ77,FIND("|",AQ77)+1,FIND("-",AQ77)-FIND("|",AQ77)-1))-VALUE(MID(AQ77,FIND("-",AQ77)+1,10)))))*$D$50)))))*$I77,0)),0)</f>
        <v>0</v>
      </c>
      <c r="AS77" s="338"/>
      <c r="AT77" s="398" t="s">
        <v>264</v>
      </c>
      <c r="AU77" s="399" t="n">
        <f aca="false">IFERROR(IF($M77=AT77,($D$8+$D$9+$D$10)*$I77,IF($N77=LEFT(AT77,1),($D$8+MAX(0,IF($D$50=1,$D$9*(1-(ABS($Q77-ABS(VALUE(MID(AT77,FIND("|",AT77)+1,FIND("-",AT77)-FIND("|",AT77)-1))-VALUE(MID(AT77,FIND("-",AT77)+1,10)))))*$D$50),$D$9*(1-(IF($N77="X",ABS($O77-VALUE(MID(AT77,FIND("|",AT77)+1,FIND("-",AT77)-FIND("|",AT77)-1))),ABS($Q77-ABS(VALUE(MID(AT77,FIND("|",AT77)+1,FIND("-",AT77)-FIND("|",AT77)-1))-VALUE(MID(AT77,FIND("-",AT77)+1,10)))))*$D$50)))))*$I77,0)),0)</f>
        <v>0</v>
      </c>
      <c r="AV77" s="338"/>
      <c r="AW77" s="398" t="s">
        <v>265</v>
      </c>
      <c r="AX77" s="399" t="n">
        <f aca="false">IFERROR(IF($M77=AW77,($D$8+$D$9+$D$10)*$I77,IF($N77=LEFT(AW77,1),($D$8+MAX(0,IF($D$50=1,$D$9*(1-(ABS($Q77-ABS(VALUE(MID(AW77,FIND("|",AW77)+1,FIND("-",AW77)-FIND("|",AW77)-1))-VALUE(MID(AW77,FIND("-",AW77)+1,10)))))*$D$50),$D$9*(1-(IF($N77="X",ABS($O77-VALUE(MID(AW77,FIND("|",AW77)+1,FIND("-",AW77)-FIND("|",AW77)-1))),ABS($Q77-ABS(VALUE(MID(AW77,FIND("|",AW77)+1,FIND("-",AW77)-FIND("|",AW77)-1))-VALUE(MID(AW77,FIND("-",AW77)+1,10)))))*$D$50)))))*$I77,0)),0)</f>
        <v>0</v>
      </c>
      <c r="AY77" s="338"/>
      <c r="AZ77" s="398" t="s">
        <v>264</v>
      </c>
      <c r="BA77" s="399" t="n">
        <f aca="false">IFERROR(IF($M77=AZ77,($D$8+$D$9+$D$10)*$I77,IF($N77=LEFT(AZ77,1),($D$8+MAX(0,IF($D$50=1,$D$9*(1-(ABS($Q77-ABS(VALUE(MID(AZ77,FIND("|",AZ77)+1,FIND("-",AZ77)-FIND("|",AZ77)-1))-VALUE(MID(AZ77,FIND("-",AZ77)+1,10)))))*$D$50),$D$9*(1-(IF($N77="X",ABS($O77-VALUE(MID(AZ77,FIND("|",AZ77)+1,FIND("-",AZ77)-FIND("|",AZ77)-1))),ABS($Q77-ABS(VALUE(MID(AZ77,FIND("|",AZ77)+1,FIND("-",AZ77)-FIND("|",AZ77)-1))-VALUE(MID(AZ77,FIND("-",AZ77)+1,10)))))*$D$50)))))*$I77,0)),0)</f>
        <v>0</v>
      </c>
      <c r="BB77" s="338"/>
      <c r="BC77" s="398" t="s">
        <v>318</v>
      </c>
      <c r="BD77" s="399" t="n">
        <f aca="false">IFERROR(IF($M77=BC77,($D$8+$D$9+$D$10)*$I77,IF($N77=LEFT(BC77,1),($D$8+MAX(0,IF($D$50=1,$D$9*(1-(ABS($Q77-ABS(VALUE(MID(BC77,FIND("|",BC77)+1,FIND("-",BC77)-FIND("|",BC77)-1))-VALUE(MID(BC77,FIND("-",BC77)+1,10)))))*$D$50),$D$9*(1-(IF($N77="X",ABS($O77-VALUE(MID(BC77,FIND("|",BC77)+1,FIND("-",BC77)-FIND("|",BC77)-1))),ABS($Q77-ABS(VALUE(MID(BC77,FIND("|",BC77)+1,FIND("-",BC77)-FIND("|",BC77)-1))-VALUE(MID(BC77,FIND("-",BC77)+1,10)))))*$D$50)))))*$I77,0)),0)</f>
        <v>0</v>
      </c>
      <c r="BE77" s="338"/>
      <c r="BF77" s="398" t="s">
        <v>265</v>
      </c>
      <c r="BG77" s="399" t="n">
        <f aca="false">IFERROR(IF($M77=BF77,($D$8+$D$9+$D$10)*$I77,IF($N77=LEFT(BF77,1),($D$8+MAX(0,IF($D$50=1,$D$9*(1-(ABS($Q77-ABS(VALUE(MID(BF77,FIND("|",BF77)+1,FIND("-",BF77)-FIND("|",BF77)-1))-VALUE(MID(BF77,FIND("-",BF77)+1,10)))))*$D$50),$D$9*(1-(IF($N77="X",ABS($O77-VALUE(MID(BF77,FIND("|",BF77)+1,FIND("-",BF77)-FIND("|",BF77)-1))),ABS($Q77-ABS(VALUE(MID(BF77,FIND("|",BF77)+1,FIND("-",BF77)-FIND("|",BF77)-1))-VALUE(MID(BF77,FIND("-",BF77)+1,10)))))*$D$50)))))*$I77,0)),0)</f>
        <v>0</v>
      </c>
      <c r="BH77" s="338"/>
      <c r="BI77" s="398" t="s">
        <v>267</v>
      </c>
      <c r="BJ77" s="399" t="n">
        <f aca="false">IFERROR(IF($M77=BI77,($D$8+$D$9+$D$10)*$I77,IF($N77=LEFT(BI77,1),($D$8+MAX(0,IF($D$50=1,$D$9*(1-(ABS($Q77-ABS(VALUE(MID(BI77,FIND("|",BI77)+1,FIND("-",BI77)-FIND("|",BI77)-1))-VALUE(MID(BI77,FIND("-",BI77)+1,10)))))*$D$50),$D$9*(1-(IF($N77="X",ABS($O77-VALUE(MID(BI77,FIND("|",BI77)+1,FIND("-",BI77)-FIND("|",BI77)-1))),ABS($Q77-ABS(VALUE(MID(BI77,FIND("|",BI77)+1,FIND("-",BI77)-FIND("|",BI77)-1))-VALUE(MID(BI77,FIND("-",BI77)+1,10)))))*$D$50)))))*$I77,0)),0)</f>
        <v>0</v>
      </c>
      <c r="BK77" s="338"/>
      <c r="BL77" s="398" t="s">
        <v>288</v>
      </c>
      <c r="BM77" s="399" t="n">
        <f aca="false">IFERROR(IF($M77=BL77,($D$8+$D$9+$D$10)*$I77,IF($N77=LEFT(BL77,1),($D$8+MAX(0,IF($D$50=1,$D$9*(1-(ABS($Q77-ABS(VALUE(MID(BL77,FIND("|",BL77)+1,FIND("-",BL77)-FIND("|",BL77)-1))-VALUE(MID(BL77,FIND("-",BL77)+1,10)))))*$D$50),$D$9*(1-(IF($N77="X",ABS($O77-VALUE(MID(BL77,FIND("|",BL77)+1,FIND("-",BL77)-FIND("|",BL77)-1))),ABS($Q77-ABS(VALUE(MID(BL77,FIND("|",BL77)+1,FIND("-",BL77)-FIND("|",BL77)-1))-VALUE(MID(BL77,FIND("-",BL77)+1,10)))))*$D$50)))))*$I77,0)),0)</f>
        <v>0</v>
      </c>
      <c r="BN77" s="338"/>
      <c r="BO77" s="398" t="s">
        <v>268</v>
      </c>
      <c r="BP77" s="399" t="n">
        <f aca="false">IFERROR(IF($M77=BO77,($D$8+$D$9+$D$10)*$I77,IF($N77=LEFT(BO77,1),($D$8+MAX(0,IF($D$50=1,$D$9*(1-(ABS($Q77-ABS(VALUE(MID(BO77,FIND("|",BO77)+1,FIND("-",BO77)-FIND("|",BO77)-1))-VALUE(MID(BO77,FIND("-",BO77)+1,10)))))*$D$50),$D$9*(1-(IF($N77="X",ABS($O77-VALUE(MID(BO77,FIND("|",BO77)+1,FIND("-",BO77)-FIND("|",BO77)-1))),ABS($Q77-ABS(VALUE(MID(BO77,FIND("|",BO77)+1,FIND("-",BO77)-FIND("|",BO77)-1))-VALUE(MID(BO77,FIND("-",BO77)+1,10)))))*$D$50)))))*$I77,0)),0)</f>
        <v>0</v>
      </c>
      <c r="BQ77" s="338"/>
      <c r="BR77" s="398" t="s">
        <v>265</v>
      </c>
      <c r="BS77" s="399" t="n">
        <f aca="false">IFERROR(IF($M77=BR77,($D$8+$D$9+$D$10)*$I77,IF($N77=LEFT(BR77,1),($D$8+MAX(0,IF($D$50=1,$D$9*(1-(ABS($Q77-ABS(VALUE(MID(BR77,FIND("|",BR77)+1,FIND("-",BR77)-FIND("|",BR77)-1))-VALUE(MID(BR77,FIND("-",BR77)+1,10)))))*$D$50),$D$9*(1-(IF($N77="X",ABS($O77-VALUE(MID(BR77,FIND("|",BR77)+1,FIND("-",BR77)-FIND("|",BR77)-1))),ABS($Q77-ABS(VALUE(MID(BR77,FIND("|",BR77)+1,FIND("-",BR77)-FIND("|",BR77)-1))-VALUE(MID(BR77,FIND("-",BR77)+1,10)))))*$D$50)))))*$I77,0)),0)</f>
        <v>0</v>
      </c>
      <c r="BT77" s="338"/>
      <c r="BU77" s="398"/>
      <c r="BV77" s="399" t="n">
        <f aca="false">IFERROR(IF($M77=BU77,($D$8+$D$9+$D$10)*$I77,IF($N77=LEFT(BU77,1),($D$8+MAX(0,IF($D$50=1,$D$9*(1-(ABS($Q77-ABS(VALUE(MID(BU77,FIND("|",BU77)+1,FIND("-",BU77)-FIND("|",BU77)-1))-VALUE(MID(BU77,FIND("-",BU77)+1,10)))))*$D$50),$D$9*(1-(IF($N77="X",ABS($O77-VALUE(MID(BU77,FIND("|",BU77)+1,FIND("-",BU77)-FIND("|",BU77)-1))),ABS($Q77-ABS(VALUE(MID(BU77,FIND("|",BU77)+1,FIND("-",BU77)-FIND("|",BU77)-1))-VALUE(MID(BU77,FIND("-",BU77)+1,10)))))*$D$50)))))*$I77,0)),0)</f>
        <v>0</v>
      </c>
      <c r="BW77" s="338"/>
      <c r="BX77" s="398"/>
      <c r="BY77" s="399" t="n">
        <f aca="false">IFERROR(IF($M77=BX77,($D$8+$D$9+$D$10)*$I77,IF($N77=LEFT(BX77,1),($D$8+MAX(0,IF($D$50=1,$D$9*(1-(ABS($Q77-ABS(VALUE(MID(BX77,FIND("|",BX77)+1,FIND("-",BX77)-FIND("|",BX77)-1))-VALUE(MID(BX77,FIND("-",BX77)+1,10)))))*$D$50),$D$9*(1-(IF($N77="X",ABS($O77-VALUE(MID(BX77,FIND("|",BX77)+1,FIND("-",BX77)-FIND("|",BX77)-1))),ABS($Q77-ABS(VALUE(MID(BX77,FIND("|",BX77)+1,FIND("-",BX77)-FIND("|",BX77)-1))-VALUE(MID(BX77,FIND("-",BX77)+1,10)))))*$D$50)))))*$I77,0)),0)</f>
        <v>0</v>
      </c>
      <c r="BZ77" s="338"/>
      <c r="CA77" s="398"/>
      <c r="CB77" s="399" t="n">
        <f aca="false">IFERROR(IF($M77=CA77,($D$8+$D$9+$D$10)*$I77,IF($N77=LEFT(CA77,1),($D$8+MAX(0,IF($D$50=1,$D$9*(1-(ABS($Q77-ABS(VALUE(MID(CA77,FIND("|",CA77)+1,FIND("-",CA77)-FIND("|",CA77)-1))-VALUE(MID(CA77,FIND("-",CA77)+1,10)))))*$D$50),$D$9*(1-(IF($N77="X",ABS($O77-VALUE(MID(CA77,FIND("|",CA77)+1,FIND("-",CA77)-FIND("|",CA77)-1))),ABS($Q77-ABS(VALUE(MID(CA77,FIND("|",CA77)+1,FIND("-",CA77)-FIND("|",CA77)-1))-VALUE(MID(CA77,FIND("-",CA77)+1,10)))))*$D$50)))))*$I77,0)),0)</f>
        <v>0</v>
      </c>
      <c r="CC77" s="338"/>
      <c r="CD77" s="398"/>
      <c r="CE77" s="399" t="n">
        <f aca="false">IFERROR(IF($M77=CD77,($D$8+$D$9+$D$10)*$I77,IF($N77=LEFT(CD77,1),($D$8+MAX(0,IF($D$50=1,$D$9*(1-(ABS($Q77-ABS(VALUE(MID(CD77,FIND("|",CD77)+1,FIND("-",CD77)-FIND("|",CD77)-1))-VALUE(MID(CD77,FIND("-",CD77)+1,10)))))*$D$50),$D$9*(1-(IF($N77="X",ABS($O77-VALUE(MID(CD77,FIND("|",CD77)+1,FIND("-",CD77)-FIND("|",CD77)-1))),ABS($Q77-ABS(VALUE(MID(CD77,FIND("|",CD77)+1,FIND("-",CD77)-FIND("|",CD77)-1))-VALUE(MID(CD77,FIND("-",CD77)+1,10)))))*$D$50)))))*$I77,0)),0)</f>
        <v>0</v>
      </c>
      <c r="CF77" s="338"/>
      <c r="CG77" s="398"/>
      <c r="CH77" s="399" t="n">
        <f aca="false">IFERROR(IF($M77=CG77,($D$8+$D$9+$D$10)*$I77,IF($N77=LEFT(CG77,1),($D$8+MAX(0,IF($D$50=1,$D$9*(1-(ABS($Q77-ABS(VALUE(MID(CG77,FIND("|",CG77)+1,FIND("-",CG77)-FIND("|",CG77)-1))-VALUE(MID(CG77,FIND("-",CG77)+1,10)))))*$D$50),$D$9*(1-(IF($N77="X",ABS($O77-VALUE(MID(CG77,FIND("|",CG77)+1,FIND("-",CG77)-FIND("|",CG77)-1))),ABS($Q77-ABS(VALUE(MID(CG77,FIND("|",CG77)+1,FIND("-",CG77)-FIND("|",CG77)-1))-VALUE(MID(CG77,FIND("-",CG77)+1,10)))))*$D$50)))))*$I77,0)),0)</f>
        <v>0</v>
      </c>
      <c r="CI77" s="338"/>
      <c r="CJ77" s="398"/>
      <c r="CK77" s="399" t="n">
        <f aca="false">IFERROR(IF($M77=CJ77,($D$8+$D$9+$D$10)*$I77,IF($N77=LEFT(CJ77,1),($D$8+MAX(0,IF($D$50=1,$D$9*(1-(ABS($Q77-ABS(VALUE(MID(CJ77,FIND("|",CJ77)+1,FIND("-",CJ77)-FIND("|",CJ77)-1))-VALUE(MID(CJ77,FIND("-",CJ77)+1,10)))))*$D$50),$D$9*(1-(IF($N77="X",ABS($O77-VALUE(MID(CJ77,FIND("|",CJ77)+1,FIND("-",CJ77)-FIND("|",CJ77)-1))),ABS($Q77-ABS(VALUE(MID(CJ77,FIND("|",CJ77)+1,FIND("-",CJ77)-FIND("|",CJ77)-1))-VALUE(MID(CJ77,FIND("-",CJ77)+1,10)))))*$D$50)))))*$I77,0)),0)</f>
        <v>0</v>
      </c>
      <c r="CL77" s="338"/>
      <c r="CM77" s="398"/>
      <c r="CN77" s="399" t="n">
        <f aca="false">IFERROR(IF($M77=CM77,($D$8+$D$9+$D$10)*$I77,IF($N77=LEFT(CM77,1),($D$8+MAX(0,IF($D$50=1,$D$9*(1-(ABS($Q77-ABS(VALUE(MID(CM77,FIND("|",CM77)+1,FIND("-",CM77)-FIND("|",CM77)-1))-VALUE(MID(CM77,FIND("-",CM77)+1,10)))))*$D$50),$D$9*(1-(IF($N77="X",ABS($O77-VALUE(MID(CM77,FIND("|",CM77)+1,FIND("-",CM77)-FIND("|",CM77)-1))),ABS($Q77-ABS(VALUE(MID(CM77,FIND("|",CM77)+1,FIND("-",CM77)-FIND("|",CM77)-1))-VALUE(MID(CM77,FIND("-",CM77)+1,10)))))*$D$50)))))*$I77,0)),0)</f>
        <v>0</v>
      </c>
      <c r="CO77" s="338"/>
      <c r="CP77" s="398"/>
      <c r="CQ77" s="399" t="n">
        <f aca="false">IFERROR(IF($M77=CP77,($D$8+$D$9+$D$10)*$I77,IF($N77=LEFT(CP77,1),($D$8+MAX(0,IF($D$50=1,$D$9*(1-(ABS($Q77-ABS(VALUE(MID(CP77,FIND("|",CP77)+1,FIND("-",CP77)-FIND("|",CP77)-1))-VALUE(MID(CP77,FIND("-",CP77)+1,10)))))*$D$50),$D$9*(1-(IF($N77="X",ABS($O77-VALUE(MID(CP77,FIND("|",CP77)+1,FIND("-",CP77)-FIND("|",CP77)-1))),ABS($Q77-ABS(VALUE(MID(CP77,FIND("|",CP77)+1,FIND("-",CP77)-FIND("|",CP77)-1))-VALUE(MID(CP77,FIND("-",CP77)+1,10)))))*$D$50)))))*$I77,0)),0)</f>
        <v>0</v>
      </c>
      <c r="CR77" s="338"/>
      <c r="CS77" s="398"/>
      <c r="CT77" s="399" t="n">
        <f aca="false">IFERROR(IF($M77=CS77,($D$8+$D$9+$D$10)*$I77,IF($N77=LEFT(CS77,1),($D$8+MAX(0,IF($D$50=1,$D$9*(1-(ABS($Q77-ABS(VALUE(MID(CS77,FIND("|",CS77)+1,FIND("-",CS77)-FIND("|",CS77)-1))-VALUE(MID(CS77,FIND("-",CS77)+1,10)))))*$D$50),$D$9*(1-(IF($N77="X",ABS($O77-VALUE(MID(CS77,FIND("|",CS77)+1,FIND("-",CS77)-FIND("|",CS77)-1))),ABS($Q77-ABS(VALUE(MID(CS77,FIND("|",CS77)+1,FIND("-",CS77)-FIND("|",CS77)-1))-VALUE(MID(CS77,FIND("-",CS77)+1,10)))))*$D$50)))))*$I77,0)),0)</f>
        <v>0</v>
      </c>
      <c r="CU77" s="338"/>
      <c r="CV77" s="398"/>
      <c r="CW77" s="399" t="n">
        <f aca="false">IFERROR(IF($M77=CV77,($D$8+$D$9+$D$10)*$I77,IF($N77=LEFT(CV77,1),($D$8+MAX(0,IF($D$50=1,$D$9*(1-(ABS($Q77-ABS(VALUE(MID(CV77,FIND("|",CV77)+1,FIND("-",CV77)-FIND("|",CV77)-1))-VALUE(MID(CV77,FIND("-",CV77)+1,10)))))*$D$50),$D$9*(1-(IF($N77="X",ABS($O77-VALUE(MID(CV77,FIND("|",CV77)+1,FIND("-",CV77)-FIND("|",CV77)-1))),ABS($Q77-ABS(VALUE(MID(CV77,FIND("|",CV77)+1,FIND("-",CV77)-FIND("|",CV77)-1))-VALUE(MID(CV77,FIND("-",CV77)+1,10)))))*$D$50)))))*$I77,0)),0)</f>
        <v>0</v>
      </c>
      <c r="CX77" s="338"/>
      <c r="CY77" s="398"/>
      <c r="CZ77" s="399" t="n">
        <f aca="false">IFERROR(IF($M77=CY77,($D$8+$D$9+$D$10)*$I77,IF($N77=LEFT(CY77,1),($D$8+MAX(0,IF($D$50=1,$D$9*(1-(ABS($Q77-ABS(VALUE(MID(CY77,FIND("|",CY77)+1,FIND("-",CY77)-FIND("|",CY77)-1))-VALUE(MID(CY77,FIND("-",CY77)+1,10)))))*$D$50),$D$9*(1-(IF($N77="X",ABS($O77-VALUE(MID(CY77,FIND("|",CY77)+1,FIND("-",CY77)-FIND("|",CY77)-1))),ABS($Q77-ABS(VALUE(MID(CY77,FIND("|",CY77)+1,FIND("-",CY77)-FIND("|",CY77)-1))-VALUE(MID(CY77,FIND("-",CY77)+1,10)))))*$D$50)))))*$I77,0)),0)</f>
        <v>0</v>
      </c>
      <c r="DA77" s="338"/>
      <c r="DB77" s="398"/>
      <c r="DC77" s="399" t="n">
        <f aca="false">IFERROR(IF($M77=DB77,($D$8+$D$9+$D$10)*$I77,IF($N77=LEFT(DB77,1),($D$8+MAX(0,IF($D$50=1,$D$9*(1-(ABS($Q77-ABS(VALUE(MID(DB77,FIND("|",DB77)+1,FIND("-",DB77)-FIND("|",DB77)-1))-VALUE(MID(DB77,FIND("-",DB77)+1,10)))))*$D$50),$D$9*(1-(IF($N77="X",ABS($O77-VALUE(MID(DB77,FIND("|",DB77)+1,FIND("-",DB77)-FIND("|",DB77)-1))),ABS($Q77-ABS(VALUE(MID(DB77,FIND("|",DB77)+1,FIND("-",DB77)-FIND("|",DB77)-1))-VALUE(MID(DB77,FIND("-",DB77)+1,10)))))*$D$50)))))*$I77,0)),0)</f>
        <v>0</v>
      </c>
      <c r="DD77" s="338"/>
      <c r="DE77" s="398"/>
      <c r="DF77" s="399" t="n">
        <f aca="false">IFERROR(IF($M77=DE77,($D$8+$D$9+$D$10)*$I77,IF($N77=LEFT(DE77,1),($D$8+MAX(0,IF($D$50=1,$D$9*(1-(ABS($Q77-ABS(VALUE(MID(DE77,FIND("|",DE77)+1,FIND("-",DE77)-FIND("|",DE77)-1))-VALUE(MID(DE77,FIND("-",DE77)+1,10)))))*$D$50),$D$9*(1-(IF($N77="X",ABS($O77-VALUE(MID(DE77,FIND("|",DE77)+1,FIND("-",DE77)-FIND("|",DE77)-1))),ABS($Q77-ABS(VALUE(MID(DE77,FIND("|",DE77)+1,FIND("-",DE77)-FIND("|",DE77)-1))-VALUE(MID(DE77,FIND("-",DE77)+1,10)))))*$D$50)))))*$I77,0)),0)</f>
        <v>0</v>
      </c>
      <c r="DG77" s="338"/>
      <c r="DH77" s="398"/>
      <c r="DI77" s="399" t="n">
        <f aca="false">IFERROR(IF($M77=DH77,($D$8+$D$9+$D$10)*$I77,IF($N77=LEFT(DH77,1),($D$8+MAX(0,IF($D$50=1,$D$9*(1-(ABS($Q77-ABS(VALUE(MID(DH77,FIND("|",DH77)+1,FIND("-",DH77)-FIND("|",DH77)-1))-VALUE(MID(DH77,FIND("-",DH77)+1,10)))))*$D$50),$D$9*(1-(IF($N77="X",ABS($O77-VALUE(MID(DH77,FIND("|",DH77)+1,FIND("-",DH77)-FIND("|",DH77)-1))),ABS($Q77-ABS(VALUE(MID(DH77,FIND("|",DH77)+1,FIND("-",DH77)-FIND("|",DH77)-1))-VALUE(MID(DH77,FIND("-",DH77)+1,10)))))*$D$50)))))*$I77,0)),0)</f>
        <v>0</v>
      </c>
      <c r="DJ77" s="338"/>
      <c r="DK77" s="398"/>
      <c r="DL77" s="399" t="n">
        <f aca="false">IFERROR(IF($M77=DK77,($D$8+$D$9+$D$10)*$I77,IF($N77=LEFT(DK77,1),($D$8+MAX(0,IF($D$50=1,$D$9*(1-(ABS($Q77-ABS(VALUE(MID(DK77,FIND("|",DK77)+1,FIND("-",DK77)-FIND("|",DK77)-1))-VALUE(MID(DK77,FIND("-",DK77)+1,10)))))*$D$50),$D$9*(1-(IF($N77="X",ABS($O77-VALUE(MID(DK77,FIND("|",DK77)+1,FIND("-",DK77)-FIND("|",DK77)-1))),ABS($Q77-ABS(VALUE(MID(DK77,FIND("|",DK77)+1,FIND("-",DK77)-FIND("|",DK77)-1))-VALUE(MID(DK77,FIND("-",DK77)+1,10)))))*$D$50)))))*$I77,0)),0)</f>
        <v>0</v>
      </c>
      <c r="DM77" s="338"/>
      <c r="DN77" s="398"/>
      <c r="DO77" s="399" t="n">
        <f aca="false">IFERROR(IF($M77=DN77,($D$8+$D$9+$D$10)*$I77,IF($N77=LEFT(DN77,1),($D$8+MAX(0,IF($D$50=1,$D$9*(1-(ABS($Q77-ABS(VALUE(MID(DN77,FIND("|",DN77)+1,FIND("-",DN77)-FIND("|",DN77)-1))-VALUE(MID(DN77,FIND("-",DN77)+1,10)))))*$D$50),$D$9*(1-(IF($N77="X",ABS($O77-VALUE(MID(DN77,FIND("|",DN77)+1,FIND("-",DN77)-FIND("|",DN77)-1))),ABS($Q77-ABS(VALUE(MID(DN77,FIND("|",DN77)+1,FIND("-",DN77)-FIND("|",DN77)-1))-VALUE(MID(DN77,FIND("-",DN77)+1,10)))))*$D$50)))))*$I77,0)),0)</f>
        <v>0</v>
      </c>
      <c r="DP77" s="338"/>
      <c r="DQ77" s="398"/>
      <c r="DR77" s="399" t="n">
        <f aca="false">IFERROR(IF($M77=DQ77,($D$8+$D$9+$D$10)*$I77,IF($N77=LEFT(DQ77,1),($D$8+MAX(0,IF($D$50=1,$D$9*(1-(ABS($Q77-ABS(VALUE(MID(DQ77,FIND("|",DQ77)+1,FIND("-",DQ77)-FIND("|",DQ77)-1))-VALUE(MID(DQ77,FIND("-",DQ77)+1,10)))))*$D$50),$D$9*(1-(IF($N77="X",ABS($O77-VALUE(MID(DQ77,FIND("|",DQ77)+1,FIND("-",DQ77)-FIND("|",DQ77)-1))),ABS($Q77-ABS(VALUE(MID(DQ77,FIND("|",DQ77)+1,FIND("-",DQ77)-FIND("|",DQ77)-1))-VALUE(MID(DQ77,FIND("-",DQ77)+1,10)))))*$D$50)))))*$I77,0)),0)</f>
        <v>0</v>
      </c>
      <c r="DS77" s="338"/>
      <c r="DT77" s="398"/>
      <c r="DU77" s="399" t="n">
        <f aca="false">IFERROR(IF($M77=DT77,($D$8+$D$9+$D$10)*$I77,IF($N77=LEFT(DT77,1),($D$8+MAX(0,IF($D$50=1,$D$9*(1-(ABS($Q77-ABS(VALUE(MID(DT77,FIND("|",DT77)+1,FIND("-",DT77)-FIND("|",DT77)-1))-VALUE(MID(DT77,FIND("-",DT77)+1,10)))))*$D$50),$D$9*(1-(IF($N77="X",ABS($O77-VALUE(MID(DT77,FIND("|",DT77)+1,FIND("-",DT77)-FIND("|",DT77)-1))),ABS($Q77-ABS(VALUE(MID(DT77,FIND("|",DT77)+1,FIND("-",DT77)-FIND("|",DT77)-1))-VALUE(MID(DT77,FIND("-",DT77)+1,10)))))*$D$50)))))*$I77,0)),0)</f>
        <v>0</v>
      </c>
      <c r="DV77" s="338"/>
      <c r="DW77" s="398"/>
      <c r="DX77" s="399" t="n">
        <f aca="false">IFERROR(IF($M77=DW77,($D$8+$D$9+$D$10)*$I77,IF($N77=LEFT(DW77,1),($D$8+MAX(0,IF($D$50=1,$D$9*(1-(ABS($Q77-ABS(VALUE(MID(DW77,FIND("|",DW77)+1,FIND("-",DW77)-FIND("|",DW77)-1))-VALUE(MID(DW77,FIND("-",DW77)+1,10)))))*$D$50),$D$9*(1-(IF($N77="X",ABS($O77-VALUE(MID(DW77,FIND("|",DW77)+1,FIND("-",DW77)-FIND("|",DW77)-1))),ABS($Q77-ABS(VALUE(MID(DW77,FIND("|",DW77)+1,FIND("-",DW77)-FIND("|",DW77)-1))-VALUE(MID(DW77,FIND("-",DW77)+1,10)))))*$D$50)))))*$I77,0)),0)</f>
        <v>0</v>
      </c>
      <c r="DY77" s="338"/>
      <c r="DZ77" s="398"/>
      <c r="EA77" s="399" t="n">
        <f aca="false">IFERROR(IF($M77=DZ77,($D$8+$D$9+$D$10)*$I77,IF($N77=LEFT(DZ77,1),($D$8+MAX(0,IF($D$50=1,$D$9*(1-(ABS($Q77-ABS(VALUE(MID(DZ77,FIND("|",DZ77)+1,FIND("-",DZ77)-FIND("|",DZ77)-1))-VALUE(MID(DZ77,FIND("-",DZ77)+1,10)))))*$D$50),$D$9*(1-(IF($N77="X",ABS($O77-VALUE(MID(DZ77,FIND("|",DZ77)+1,FIND("-",DZ77)-FIND("|",DZ77)-1))),ABS($Q77-ABS(VALUE(MID(DZ77,FIND("|",DZ77)+1,FIND("-",DZ77)-FIND("|",DZ77)-1))-VALUE(MID(DZ77,FIND("-",DZ77)+1,10)))))*$D$50)))))*$I77,0)),0)</f>
        <v>0</v>
      </c>
      <c r="EB77" s="338"/>
      <c r="EC77" s="398"/>
      <c r="ED77" s="399" t="n">
        <f aca="false">IFERROR(IF($M77=EC77,($D$8+$D$9+$D$10)*$I77,IF($N77=LEFT(EC77,1),($D$8+MAX(0,IF($D$50=1,$D$9*(1-(ABS($Q77-ABS(VALUE(MID(EC77,FIND("|",EC77)+1,FIND("-",EC77)-FIND("|",EC77)-1))-VALUE(MID(EC77,FIND("-",EC77)+1,10)))))*$D$50),$D$9*(1-(IF($N77="X",ABS($O77-VALUE(MID(EC77,FIND("|",EC77)+1,FIND("-",EC77)-FIND("|",EC77)-1))),ABS($Q77-ABS(VALUE(MID(EC77,FIND("|",EC77)+1,FIND("-",EC77)-FIND("|",EC77)-1))-VALUE(MID(EC77,FIND("-",EC77)+1,10)))))*$D$50)))))*$I77,0)),0)</f>
        <v>0</v>
      </c>
      <c r="EE77" s="338"/>
      <c r="EF77" s="398"/>
      <c r="EG77" s="399" t="n">
        <f aca="false">IFERROR(IF($M77=EF77,($D$8+$D$9+$D$10)*$I77,IF($N77=LEFT(EF77,1),($D$8+MAX(0,IF($D$50=1,$D$9*(1-(ABS($Q77-ABS(VALUE(MID(EF77,FIND("|",EF77)+1,FIND("-",EF77)-FIND("|",EF77)-1))-VALUE(MID(EF77,FIND("-",EF77)+1,10)))))*$D$50),$D$9*(1-(IF($N77="X",ABS($O77-VALUE(MID(EF77,FIND("|",EF77)+1,FIND("-",EF77)-FIND("|",EF77)-1))),ABS($Q77-ABS(VALUE(MID(EF77,FIND("|",EF77)+1,FIND("-",EF77)-FIND("|",EF77)-1))-VALUE(MID(EF77,FIND("-",EF77)+1,10)))))*$D$50)))))*$I77,0)),0)</f>
        <v>0</v>
      </c>
      <c r="EH77" s="338"/>
      <c r="EI77" s="338"/>
    </row>
    <row r="78" customFormat="false" ht="15" hidden="false" customHeight="false" outlineLevel="0" collapsed="false">
      <c r="A78" s="327"/>
      <c r="B78" s="327"/>
      <c r="C78" s="327"/>
      <c r="D78" s="327"/>
      <c r="E78" s="327"/>
      <c r="F78" s="328"/>
      <c r="G78" s="394"/>
      <c r="H78" s="327"/>
      <c r="I78" s="400"/>
      <c r="J78" s="401"/>
      <c r="K78" s="402" t="str">
        <f aca="false">Idiomas!D455</f>
        <v>F. Grupos</v>
      </c>
      <c r="L78" s="403"/>
      <c r="M78" s="402" t="str">
        <f aca="false">"Max: "&amp;SUM($D$8:$D$10)*SUM($I$6:$I$77)</f>
        <v>Max: 1224</v>
      </c>
      <c r="N78" s="332"/>
      <c r="O78" s="332"/>
      <c r="P78" s="332"/>
      <c r="Q78" s="332"/>
      <c r="R78" s="404"/>
      <c r="S78" s="405"/>
      <c r="T78" s="406" t="n">
        <f aca="false">SUM(T6:T77)</f>
        <v>95</v>
      </c>
      <c r="U78" s="407"/>
      <c r="V78" s="405"/>
      <c r="W78" s="406" t="n">
        <f aca="false">SUM(W6:W77)</f>
        <v>27</v>
      </c>
      <c r="X78" s="407"/>
      <c r="Y78" s="405"/>
      <c r="Z78" s="406" t="n">
        <f aca="false">SUM(Z6:Z77)</f>
        <v>32</v>
      </c>
      <c r="AA78" s="407"/>
      <c r="AB78" s="405"/>
      <c r="AC78" s="406" t="n">
        <f aca="false">SUM(AC6:AC77)</f>
        <v>46</v>
      </c>
      <c r="AD78" s="407"/>
      <c r="AE78" s="405"/>
      <c r="AF78" s="406" t="n">
        <f aca="false">SUM(AF6:AF77)</f>
        <v>61</v>
      </c>
      <c r="AG78" s="407"/>
      <c r="AH78" s="405"/>
      <c r="AI78" s="406" t="n">
        <f aca="false">SUM(AI6:AI77)</f>
        <v>68</v>
      </c>
      <c r="AJ78" s="407"/>
      <c r="AK78" s="405"/>
      <c r="AL78" s="406" t="n">
        <f aca="false">SUM(AL6:AL77)</f>
        <v>32</v>
      </c>
      <c r="AM78" s="407"/>
      <c r="AN78" s="405"/>
      <c r="AO78" s="406" t="n">
        <f aca="false">SUM(AO6:AO77)</f>
        <v>44</v>
      </c>
      <c r="AP78" s="407"/>
      <c r="AQ78" s="405"/>
      <c r="AR78" s="406" t="n">
        <f aca="false">SUM(AR6:AR77)</f>
        <v>63</v>
      </c>
      <c r="AS78" s="407"/>
      <c r="AT78" s="405"/>
      <c r="AU78" s="406" t="n">
        <f aca="false">SUM(AU6:AU77)</f>
        <v>82</v>
      </c>
      <c r="AV78" s="407"/>
      <c r="AW78" s="405"/>
      <c r="AX78" s="406" t="n">
        <f aca="false">SUM(AX6:AX77)</f>
        <v>61</v>
      </c>
      <c r="AY78" s="407"/>
      <c r="AZ78" s="405"/>
      <c r="BA78" s="406" t="n">
        <f aca="false">SUM(BA6:BA77)</f>
        <v>25</v>
      </c>
      <c r="BB78" s="407"/>
      <c r="BC78" s="405"/>
      <c r="BD78" s="406" t="n">
        <f aca="false">SUM(BD6:BD77)</f>
        <v>27</v>
      </c>
      <c r="BE78" s="407"/>
      <c r="BF78" s="405"/>
      <c r="BG78" s="406" t="n">
        <f aca="false">SUM(BG6:BG77)</f>
        <v>39</v>
      </c>
      <c r="BH78" s="407"/>
      <c r="BI78" s="405"/>
      <c r="BJ78" s="406" t="n">
        <f aca="false">SUM(BJ6:BJ77)</f>
        <v>44</v>
      </c>
      <c r="BK78" s="407"/>
      <c r="BL78" s="405"/>
      <c r="BM78" s="406" t="n">
        <f aca="false">SUM(BM6:BM77)</f>
        <v>44</v>
      </c>
      <c r="BN78" s="407"/>
      <c r="BO78" s="405"/>
      <c r="BP78" s="406" t="n">
        <f aca="false">SUM(BP6:BP77)</f>
        <v>90</v>
      </c>
      <c r="BQ78" s="407"/>
      <c r="BR78" s="405"/>
      <c r="BS78" s="406" t="n">
        <f aca="false">SUM(BS6:BS77)</f>
        <v>25</v>
      </c>
      <c r="BT78" s="407"/>
      <c r="BU78" s="405"/>
      <c r="BV78" s="406" t="n">
        <f aca="false">SUM(BV6:BV77)</f>
        <v>0</v>
      </c>
      <c r="BW78" s="407"/>
      <c r="BX78" s="405"/>
      <c r="BY78" s="406" t="n">
        <f aca="false">SUM(BY6:BY77)</f>
        <v>0</v>
      </c>
      <c r="BZ78" s="407"/>
      <c r="CA78" s="405"/>
      <c r="CB78" s="406" t="n">
        <f aca="false">SUM(CB6:CB77)</f>
        <v>0</v>
      </c>
      <c r="CC78" s="407"/>
      <c r="CD78" s="405"/>
      <c r="CE78" s="406" t="n">
        <f aca="false">SUM(CE6:CE77)</f>
        <v>0</v>
      </c>
      <c r="CF78" s="407"/>
      <c r="CG78" s="405"/>
      <c r="CH78" s="406" t="n">
        <f aca="false">SUM(CH6:CH77)</f>
        <v>0</v>
      </c>
      <c r="CI78" s="407"/>
      <c r="CJ78" s="405"/>
      <c r="CK78" s="406" t="n">
        <f aca="false">SUM(CK6:CK77)</f>
        <v>0</v>
      </c>
      <c r="CL78" s="407"/>
      <c r="CM78" s="405"/>
      <c r="CN78" s="406" t="n">
        <f aca="false">SUM(CN6:CN77)</f>
        <v>0</v>
      </c>
      <c r="CO78" s="407"/>
      <c r="CP78" s="405"/>
      <c r="CQ78" s="406" t="n">
        <f aca="false">SUM(CQ6:CQ77)</f>
        <v>0</v>
      </c>
      <c r="CR78" s="407"/>
      <c r="CS78" s="405"/>
      <c r="CT78" s="406" t="n">
        <f aca="false">SUM(CT6:CT77)</f>
        <v>0</v>
      </c>
      <c r="CU78" s="407"/>
      <c r="CV78" s="405"/>
      <c r="CW78" s="406" t="n">
        <f aca="false">SUM(CW6:CW77)</f>
        <v>0</v>
      </c>
      <c r="CX78" s="407"/>
      <c r="CY78" s="405"/>
      <c r="CZ78" s="406" t="n">
        <f aca="false">SUM(CZ6:CZ77)</f>
        <v>0</v>
      </c>
      <c r="DA78" s="407"/>
      <c r="DB78" s="405"/>
      <c r="DC78" s="406" t="n">
        <f aca="false">SUM(DC6:DC77)</f>
        <v>0</v>
      </c>
      <c r="DD78" s="407"/>
      <c r="DE78" s="405"/>
      <c r="DF78" s="406" t="n">
        <f aca="false">SUM(DF6:DF77)</f>
        <v>0</v>
      </c>
      <c r="DG78" s="407"/>
      <c r="DH78" s="405"/>
      <c r="DI78" s="406" t="n">
        <f aca="false">SUM(DI6:DI77)</f>
        <v>0</v>
      </c>
      <c r="DJ78" s="407"/>
      <c r="DK78" s="405"/>
      <c r="DL78" s="406" t="n">
        <f aca="false">SUM(DL6:DL77)</f>
        <v>0</v>
      </c>
      <c r="DM78" s="407"/>
      <c r="DN78" s="405"/>
      <c r="DO78" s="406" t="n">
        <f aca="false">SUM(DO6:DO77)</f>
        <v>0</v>
      </c>
      <c r="DP78" s="407"/>
      <c r="DQ78" s="405"/>
      <c r="DR78" s="406" t="n">
        <f aca="false">SUM(DR6:DR77)</f>
        <v>0</v>
      </c>
      <c r="DS78" s="407"/>
      <c r="DT78" s="405"/>
      <c r="DU78" s="406" t="n">
        <f aca="false">SUM(DU6:DU77)</f>
        <v>0</v>
      </c>
      <c r="DV78" s="407"/>
      <c r="DW78" s="405"/>
      <c r="DX78" s="406" t="n">
        <f aca="false">SUM(DX6:DX77)</f>
        <v>0</v>
      </c>
      <c r="DY78" s="407"/>
      <c r="DZ78" s="405"/>
      <c r="EA78" s="406" t="n">
        <f aca="false">SUM(EA6:EA77)</f>
        <v>0</v>
      </c>
      <c r="EB78" s="407"/>
      <c r="EC78" s="405"/>
      <c r="ED78" s="406" t="n">
        <f aca="false">SUM(ED6:ED77)</f>
        <v>0</v>
      </c>
      <c r="EE78" s="407"/>
      <c r="EF78" s="405"/>
      <c r="EG78" s="406" t="n">
        <f aca="false">SUM(EG6:EG77)</f>
        <v>0</v>
      </c>
      <c r="EH78" s="407"/>
      <c r="EI78" s="407"/>
    </row>
    <row r="79" customFormat="false" ht="15" hidden="false" customHeight="false" outlineLevel="0" collapsed="false">
      <c r="A79" s="327"/>
      <c r="B79" s="327"/>
      <c r="C79" s="327"/>
      <c r="D79" s="327"/>
      <c r="E79" s="327"/>
      <c r="F79" s="328"/>
      <c r="G79" s="394"/>
      <c r="H79" s="327"/>
      <c r="I79" s="400"/>
      <c r="J79" s="401"/>
      <c r="K79" s="344" t="str">
        <f aca="false">Idiomas!D136</f>
        <v>POSICIÓN GRUPOS</v>
      </c>
      <c r="L79" s="400"/>
      <c r="M79" s="406"/>
      <c r="N79" s="332"/>
      <c r="O79" s="332"/>
      <c r="P79" s="332"/>
      <c r="Q79" s="332"/>
      <c r="R79" s="404"/>
      <c r="S79" s="405"/>
      <c r="T79" s="406"/>
      <c r="U79" s="407"/>
      <c r="V79" s="405"/>
      <c r="W79" s="406"/>
      <c r="X79" s="407"/>
      <c r="Y79" s="405"/>
      <c r="Z79" s="406"/>
      <c r="AA79" s="407"/>
      <c r="AB79" s="405"/>
      <c r="AC79" s="406"/>
      <c r="AD79" s="407"/>
      <c r="AE79" s="405"/>
      <c r="AF79" s="406"/>
      <c r="AG79" s="407"/>
      <c r="AH79" s="405"/>
      <c r="AI79" s="406"/>
      <c r="AJ79" s="407"/>
      <c r="AK79" s="405"/>
      <c r="AL79" s="406"/>
      <c r="AM79" s="407"/>
      <c r="AN79" s="405"/>
      <c r="AO79" s="406"/>
      <c r="AP79" s="407"/>
      <c r="AQ79" s="405"/>
      <c r="AR79" s="406"/>
      <c r="AS79" s="407"/>
      <c r="AT79" s="405"/>
      <c r="AU79" s="406"/>
      <c r="AV79" s="407"/>
      <c r="AW79" s="405"/>
      <c r="AX79" s="406"/>
      <c r="AY79" s="407"/>
      <c r="AZ79" s="405"/>
      <c r="BA79" s="406"/>
      <c r="BB79" s="407"/>
      <c r="BC79" s="405"/>
      <c r="BD79" s="406"/>
      <c r="BE79" s="407"/>
      <c r="BF79" s="405"/>
      <c r="BG79" s="406"/>
      <c r="BH79" s="407"/>
      <c r="BI79" s="405"/>
      <c r="BJ79" s="406"/>
      <c r="BK79" s="407"/>
      <c r="BL79" s="405"/>
      <c r="BM79" s="406"/>
      <c r="BN79" s="407"/>
      <c r="BO79" s="405"/>
      <c r="BP79" s="406"/>
      <c r="BQ79" s="407"/>
      <c r="BR79" s="405"/>
      <c r="BS79" s="406"/>
      <c r="BT79" s="407"/>
      <c r="BU79" s="405"/>
      <c r="BV79" s="406"/>
      <c r="BW79" s="407"/>
      <c r="BX79" s="405"/>
      <c r="BY79" s="406"/>
      <c r="BZ79" s="407"/>
      <c r="CA79" s="405"/>
      <c r="CB79" s="406"/>
      <c r="CC79" s="407"/>
      <c r="CD79" s="405"/>
      <c r="CE79" s="406"/>
      <c r="CF79" s="407"/>
      <c r="CG79" s="405"/>
      <c r="CH79" s="406"/>
      <c r="CI79" s="407"/>
      <c r="CJ79" s="405"/>
      <c r="CK79" s="406"/>
      <c r="CL79" s="407"/>
      <c r="CM79" s="405"/>
      <c r="CN79" s="406"/>
      <c r="CO79" s="407"/>
      <c r="CP79" s="405"/>
      <c r="CQ79" s="406"/>
      <c r="CR79" s="407"/>
      <c r="CS79" s="405"/>
      <c r="CT79" s="406"/>
      <c r="CU79" s="407"/>
      <c r="CV79" s="405"/>
      <c r="CW79" s="406"/>
      <c r="CX79" s="407"/>
      <c r="CY79" s="405"/>
      <c r="CZ79" s="406"/>
      <c r="DA79" s="407"/>
      <c r="DB79" s="405"/>
      <c r="DC79" s="406"/>
      <c r="DD79" s="407"/>
      <c r="DE79" s="405"/>
      <c r="DF79" s="406"/>
      <c r="DG79" s="407"/>
      <c r="DH79" s="405"/>
      <c r="DI79" s="406"/>
      <c r="DJ79" s="407"/>
      <c r="DK79" s="405"/>
      <c r="DL79" s="406"/>
      <c r="DM79" s="407"/>
      <c r="DN79" s="405"/>
      <c r="DO79" s="406"/>
      <c r="DP79" s="407"/>
      <c r="DQ79" s="405"/>
      <c r="DR79" s="406"/>
      <c r="DS79" s="407"/>
      <c r="DT79" s="405"/>
      <c r="DU79" s="406"/>
      <c r="DV79" s="407"/>
      <c r="DW79" s="405"/>
      <c r="DX79" s="406"/>
      <c r="DY79" s="407"/>
      <c r="DZ79" s="405"/>
      <c r="EA79" s="406"/>
      <c r="EB79" s="407"/>
      <c r="EC79" s="405"/>
      <c r="ED79" s="406"/>
      <c r="EE79" s="407"/>
      <c r="EF79" s="405"/>
      <c r="EG79" s="406"/>
      <c r="EH79" s="407"/>
      <c r="EI79" s="407"/>
    </row>
    <row r="80" customFormat="false" ht="15" hidden="false" customHeight="false" outlineLevel="0" collapsed="false">
      <c r="A80" s="327"/>
      <c r="B80" s="327"/>
      <c r="C80" s="327"/>
      <c r="D80" s="327"/>
      <c r="E80" s="327"/>
      <c r="F80" s="328" t="n">
        <f aca="false">$D$11</f>
        <v>5</v>
      </c>
      <c r="G80" s="394" t="n">
        <f aca="false">VLOOKUP(H80,Equipos!$Q$1:$R$25,2,0)</f>
        <v>15</v>
      </c>
      <c r="H80" s="395" t="n">
        <f aca="false">$H$54</f>
        <v>46198</v>
      </c>
      <c r="I80" s="333"/>
      <c r="J80" s="408" t="s">
        <v>24</v>
      </c>
      <c r="K80" s="354" t="str">
        <f aca="false">Idiomas!D150</f>
        <v>1º GRUPO A</v>
      </c>
      <c r="L80" s="354"/>
      <c r="M80" s="359" t="str">
        <f aca="false">IF(OR(SUM(WORLDCUP!$AN$6:$AN$9)=12,WORLDCUP!$AJ$99=144),WORLDCUP!AL6,LEFT(K80,1)&amp;RIGHT(K80,1))</f>
        <v>1A</v>
      </c>
      <c r="N80" s="332"/>
      <c r="O80" s="332"/>
      <c r="P80" s="332"/>
      <c r="Q80" s="332"/>
      <c r="R80" s="404"/>
      <c r="S80" s="370" t="s">
        <v>331</v>
      </c>
      <c r="T80" s="371" t="n">
        <f aca="false">($M80=S80)*$D$11</f>
        <v>0</v>
      </c>
      <c r="U80" s="407"/>
      <c r="V80" s="370" t="s">
        <v>332</v>
      </c>
      <c r="W80" s="371" t="n">
        <f aca="false">($M80=V80)*$D$11</f>
        <v>0</v>
      </c>
      <c r="X80" s="407"/>
      <c r="Y80" s="370" t="s">
        <v>331</v>
      </c>
      <c r="Z80" s="371" t="n">
        <f aca="false">($M80=Y80)*$D$11</f>
        <v>0</v>
      </c>
      <c r="AA80" s="407"/>
      <c r="AB80" s="370" t="s">
        <v>332</v>
      </c>
      <c r="AC80" s="371" t="n">
        <f aca="false">($M80=AB80)*$D$11</f>
        <v>0</v>
      </c>
      <c r="AD80" s="407"/>
      <c r="AE80" s="370" t="s">
        <v>333</v>
      </c>
      <c r="AF80" s="371" t="n">
        <f aca="false">($M80=AE80)*$D$11</f>
        <v>0</v>
      </c>
      <c r="AG80" s="407"/>
      <c r="AH80" s="370" t="s">
        <v>331</v>
      </c>
      <c r="AI80" s="371" t="n">
        <f aca="false">($M80=AH80)*$D$11</f>
        <v>0</v>
      </c>
      <c r="AJ80" s="407"/>
      <c r="AK80" s="370" t="s">
        <v>331</v>
      </c>
      <c r="AL80" s="371" t="n">
        <f aca="false">($M80=AK80)*$D$11</f>
        <v>0</v>
      </c>
      <c r="AM80" s="407"/>
      <c r="AN80" s="370" t="s">
        <v>331</v>
      </c>
      <c r="AO80" s="371" t="n">
        <f aca="false">($M80=AN80)*$D$11</f>
        <v>0</v>
      </c>
      <c r="AP80" s="407"/>
      <c r="AQ80" s="370" t="s">
        <v>333</v>
      </c>
      <c r="AR80" s="371" t="n">
        <f aca="false">($M80=AQ80)*$D$11</f>
        <v>0</v>
      </c>
      <c r="AS80" s="407"/>
      <c r="AT80" s="370" t="s">
        <v>332</v>
      </c>
      <c r="AU80" s="371" t="n">
        <f aca="false">($M80=AT80)*$D$11</f>
        <v>0</v>
      </c>
      <c r="AV80" s="407"/>
      <c r="AW80" s="370" t="s">
        <v>332</v>
      </c>
      <c r="AX80" s="371" t="n">
        <f aca="false">($M80=AW80)*$D$11</f>
        <v>0</v>
      </c>
      <c r="AY80" s="407"/>
      <c r="AZ80" s="370" t="s">
        <v>331</v>
      </c>
      <c r="BA80" s="371" t="n">
        <f aca="false">($M80=AZ80)*$D$11</f>
        <v>0</v>
      </c>
      <c r="BB80" s="407"/>
      <c r="BC80" s="370" t="s">
        <v>331</v>
      </c>
      <c r="BD80" s="371" t="n">
        <f aca="false">($M80=BC80)*$D$11</f>
        <v>0</v>
      </c>
      <c r="BE80" s="407"/>
      <c r="BF80" s="370" t="s">
        <v>331</v>
      </c>
      <c r="BG80" s="371" t="n">
        <f aca="false">($M80=BF80)*$D$11</f>
        <v>0</v>
      </c>
      <c r="BH80" s="407"/>
      <c r="BI80" s="370" t="s">
        <v>331</v>
      </c>
      <c r="BJ80" s="371" t="n">
        <f aca="false">($M80=BI80)*$D$11</f>
        <v>0</v>
      </c>
      <c r="BK80" s="407"/>
      <c r="BL80" s="370" t="s">
        <v>333</v>
      </c>
      <c r="BM80" s="371" t="n">
        <f aca="false">($M80=BL80)*$D$11</f>
        <v>0</v>
      </c>
      <c r="BN80" s="407"/>
      <c r="BO80" s="370" t="s">
        <v>331</v>
      </c>
      <c r="BP80" s="371" t="n">
        <f aca="false">($M80=BO80)*$D$11</f>
        <v>0</v>
      </c>
      <c r="BQ80" s="407"/>
      <c r="BR80" s="370" t="s">
        <v>331</v>
      </c>
      <c r="BS80" s="371" t="n">
        <f aca="false">($M80=BR80)*$D$11</f>
        <v>0</v>
      </c>
      <c r="BT80" s="407"/>
      <c r="BU80" s="370"/>
      <c r="BV80" s="371" t="n">
        <f aca="false">($M80=BU80)*$D$11</f>
        <v>0</v>
      </c>
      <c r="BW80" s="407"/>
      <c r="BX80" s="370"/>
      <c r="BY80" s="371" t="n">
        <f aca="false">($M80=BX80)*$D$11</f>
        <v>0</v>
      </c>
      <c r="BZ80" s="407"/>
      <c r="CA80" s="370"/>
      <c r="CB80" s="371" t="n">
        <f aca="false">($M80=CA80)*$D$11</f>
        <v>0</v>
      </c>
      <c r="CC80" s="407"/>
      <c r="CD80" s="370"/>
      <c r="CE80" s="371" t="n">
        <f aca="false">($M80=CD80)*$D$11</f>
        <v>0</v>
      </c>
      <c r="CF80" s="407"/>
      <c r="CG80" s="370"/>
      <c r="CH80" s="371" t="n">
        <f aca="false">($M80=CG80)*$D$11</f>
        <v>0</v>
      </c>
      <c r="CI80" s="407"/>
      <c r="CJ80" s="370"/>
      <c r="CK80" s="371" t="n">
        <f aca="false">($M80=CJ80)*$D$11</f>
        <v>0</v>
      </c>
      <c r="CL80" s="407"/>
      <c r="CM80" s="370"/>
      <c r="CN80" s="371" t="n">
        <f aca="false">($M80=CM80)*$D$11</f>
        <v>0</v>
      </c>
      <c r="CO80" s="407"/>
      <c r="CP80" s="370"/>
      <c r="CQ80" s="371" t="n">
        <f aca="false">($M80=CP80)*$D$11</f>
        <v>0</v>
      </c>
      <c r="CR80" s="407"/>
      <c r="CS80" s="370"/>
      <c r="CT80" s="371" t="n">
        <f aca="false">($M80=CS80)*$D$11</f>
        <v>0</v>
      </c>
      <c r="CU80" s="407"/>
      <c r="CV80" s="370"/>
      <c r="CW80" s="371" t="n">
        <f aca="false">($M80=CV80)*$D$11</f>
        <v>0</v>
      </c>
      <c r="CX80" s="407"/>
      <c r="CY80" s="370"/>
      <c r="CZ80" s="371" t="n">
        <f aca="false">($M80=CY80)*$D$11</f>
        <v>0</v>
      </c>
      <c r="DA80" s="407"/>
      <c r="DB80" s="370"/>
      <c r="DC80" s="371" t="n">
        <f aca="false">($M80=DB80)*$D$11</f>
        <v>0</v>
      </c>
      <c r="DD80" s="407"/>
      <c r="DE80" s="370"/>
      <c r="DF80" s="371" t="n">
        <f aca="false">($M80=DE80)*$D$11</f>
        <v>0</v>
      </c>
      <c r="DG80" s="407"/>
      <c r="DH80" s="370"/>
      <c r="DI80" s="371" t="n">
        <f aca="false">($M80=DH80)*$D$11</f>
        <v>0</v>
      </c>
      <c r="DJ80" s="407"/>
      <c r="DK80" s="370"/>
      <c r="DL80" s="371" t="n">
        <f aca="false">($M80=DK80)*$D$11</f>
        <v>0</v>
      </c>
      <c r="DM80" s="407"/>
      <c r="DN80" s="370"/>
      <c r="DO80" s="371" t="n">
        <f aca="false">($M80=DN80)*$D$11</f>
        <v>0</v>
      </c>
      <c r="DP80" s="407"/>
      <c r="DQ80" s="370"/>
      <c r="DR80" s="371" t="n">
        <f aca="false">($M80=DQ80)*$D$11</f>
        <v>0</v>
      </c>
      <c r="DS80" s="407"/>
      <c r="DT80" s="370"/>
      <c r="DU80" s="371" t="n">
        <f aca="false">($M80=DT80)*$D$11</f>
        <v>0</v>
      </c>
      <c r="DV80" s="407"/>
      <c r="DW80" s="370"/>
      <c r="DX80" s="371" t="n">
        <f aca="false">($M80=DW80)*$D$11</f>
        <v>0</v>
      </c>
      <c r="DY80" s="407"/>
      <c r="DZ80" s="370"/>
      <c r="EA80" s="371" t="n">
        <f aca="false">($M80=DZ80)*$D$11</f>
        <v>0</v>
      </c>
      <c r="EB80" s="407"/>
      <c r="EC80" s="370"/>
      <c r="ED80" s="371" t="n">
        <f aca="false">($M80=EC80)*$D$11</f>
        <v>0</v>
      </c>
      <c r="EE80" s="407"/>
      <c r="EF80" s="370"/>
      <c r="EG80" s="371" t="n">
        <f aca="false">($M80=EF80)*$D$11</f>
        <v>0</v>
      </c>
      <c r="EH80" s="407"/>
      <c r="EI80" s="407"/>
    </row>
    <row r="81" customFormat="false" ht="15" hidden="false" customHeight="false" outlineLevel="0" collapsed="false">
      <c r="A81" s="327"/>
      <c r="B81" s="327"/>
      <c r="C81" s="327"/>
      <c r="D81" s="327"/>
      <c r="E81" s="327"/>
      <c r="F81" s="328" t="n">
        <f aca="false">$D$12</f>
        <v>5</v>
      </c>
      <c r="G81" s="394" t="n">
        <f aca="false">VLOOKUP(H81,Equipos!$Q$1:$R$25,2,0)</f>
        <v>15</v>
      </c>
      <c r="H81" s="395" t="n">
        <f aca="false">$H$54</f>
        <v>46198</v>
      </c>
      <c r="I81" s="333"/>
      <c r="J81" s="408"/>
      <c r="K81" s="367" t="str">
        <f aca="false">Idiomas!D151</f>
        <v>2º GRUPO A</v>
      </c>
      <c r="L81" s="354"/>
      <c r="M81" s="359" t="str">
        <f aca="false">IF(OR(SUM(WORLDCUP!$AN$6:$AN$9)=12,WORLDCUP!$AJ$99=144),WORLDCUP!AL7,LEFT(K81,1)&amp;RIGHT(K81,1))</f>
        <v>2A</v>
      </c>
      <c r="N81" s="332"/>
      <c r="O81" s="332"/>
      <c r="P81" s="332"/>
      <c r="Q81" s="332"/>
      <c r="R81" s="404"/>
      <c r="S81" s="363" t="s">
        <v>332</v>
      </c>
      <c r="T81" s="356" t="n">
        <f aca="false">($M81=S81)*$D$12</f>
        <v>0</v>
      </c>
      <c r="U81" s="407"/>
      <c r="V81" s="363" t="s">
        <v>333</v>
      </c>
      <c r="W81" s="356" t="n">
        <f aca="false">($M81=V81)*$D$12</f>
        <v>0</v>
      </c>
      <c r="X81" s="407"/>
      <c r="Y81" s="363" t="s">
        <v>334</v>
      </c>
      <c r="Z81" s="356" t="n">
        <f aca="false">($M81=Y81)*$D$12</f>
        <v>0</v>
      </c>
      <c r="AA81" s="407"/>
      <c r="AB81" s="363" t="s">
        <v>331</v>
      </c>
      <c r="AC81" s="356" t="n">
        <f aca="false">($M81=AB81)*$D$12</f>
        <v>0</v>
      </c>
      <c r="AD81" s="407"/>
      <c r="AE81" s="363" t="s">
        <v>331</v>
      </c>
      <c r="AF81" s="356" t="n">
        <f aca="false">($M81=AE81)*$D$12</f>
        <v>0</v>
      </c>
      <c r="AG81" s="407"/>
      <c r="AH81" s="363" t="s">
        <v>333</v>
      </c>
      <c r="AI81" s="356" t="n">
        <f aca="false">($M81=AH81)*$D$12</f>
        <v>0</v>
      </c>
      <c r="AJ81" s="407"/>
      <c r="AK81" s="363" t="s">
        <v>333</v>
      </c>
      <c r="AL81" s="356" t="n">
        <f aca="false">($M81=AK81)*$D$12</f>
        <v>0</v>
      </c>
      <c r="AM81" s="407"/>
      <c r="AN81" s="363" t="s">
        <v>333</v>
      </c>
      <c r="AO81" s="356" t="n">
        <f aca="false">($M81=AN81)*$D$12</f>
        <v>0</v>
      </c>
      <c r="AP81" s="407"/>
      <c r="AQ81" s="363" t="s">
        <v>331</v>
      </c>
      <c r="AR81" s="356" t="n">
        <f aca="false">($M81=AQ81)*$D$12</f>
        <v>0</v>
      </c>
      <c r="AS81" s="407"/>
      <c r="AT81" s="363" t="s">
        <v>331</v>
      </c>
      <c r="AU81" s="356" t="n">
        <f aca="false">($M81=AT81)*$D$12</f>
        <v>0</v>
      </c>
      <c r="AV81" s="407"/>
      <c r="AW81" s="363" t="s">
        <v>333</v>
      </c>
      <c r="AX81" s="356" t="n">
        <f aca="false">($M81=AW81)*$D$12</f>
        <v>0</v>
      </c>
      <c r="AY81" s="407"/>
      <c r="AZ81" s="363" t="s">
        <v>332</v>
      </c>
      <c r="BA81" s="356" t="n">
        <f aca="false">($M81=AZ81)*$D$12</f>
        <v>0</v>
      </c>
      <c r="BB81" s="407"/>
      <c r="BC81" s="363" t="s">
        <v>332</v>
      </c>
      <c r="BD81" s="356" t="n">
        <f aca="false">($M81=BC81)*$D$12</f>
        <v>0</v>
      </c>
      <c r="BE81" s="407"/>
      <c r="BF81" s="363" t="s">
        <v>332</v>
      </c>
      <c r="BG81" s="356" t="n">
        <f aca="false">($M81=BF81)*$D$12</f>
        <v>0</v>
      </c>
      <c r="BH81" s="407"/>
      <c r="BI81" s="363" t="s">
        <v>333</v>
      </c>
      <c r="BJ81" s="356" t="n">
        <f aca="false">($M81=BI81)*$D$12</f>
        <v>0</v>
      </c>
      <c r="BK81" s="407"/>
      <c r="BL81" s="363" t="s">
        <v>331</v>
      </c>
      <c r="BM81" s="356" t="n">
        <f aca="false">($M81=BL81)*$D$12</f>
        <v>0</v>
      </c>
      <c r="BN81" s="407"/>
      <c r="BO81" s="363" t="s">
        <v>332</v>
      </c>
      <c r="BP81" s="356" t="n">
        <f aca="false">($M81=BO81)*$D$12</f>
        <v>0</v>
      </c>
      <c r="BQ81" s="407"/>
      <c r="BR81" s="363" t="s">
        <v>333</v>
      </c>
      <c r="BS81" s="356" t="n">
        <f aca="false">($M81=BR81)*$D$12</f>
        <v>0</v>
      </c>
      <c r="BT81" s="407"/>
      <c r="BU81" s="363"/>
      <c r="BV81" s="356" t="n">
        <f aca="false">($M81=BU81)*$D$12</f>
        <v>0</v>
      </c>
      <c r="BW81" s="407"/>
      <c r="BX81" s="363"/>
      <c r="BY81" s="356" t="n">
        <f aca="false">($M81=BX81)*$D$12</f>
        <v>0</v>
      </c>
      <c r="BZ81" s="407"/>
      <c r="CA81" s="363"/>
      <c r="CB81" s="356" t="n">
        <f aca="false">($M81=CA81)*$D$12</f>
        <v>0</v>
      </c>
      <c r="CC81" s="407"/>
      <c r="CD81" s="363"/>
      <c r="CE81" s="356" t="n">
        <f aca="false">($M81=CD81)*$D$12</f>
        <v>0</v>
      </c>
      <c r="CF81" s="407"/>
      <c r="CG81" s="363"/>
      <c r="CH81" s="356" t="n">
        <f aca="false">($M81=CG81)*$D$12</f>
        <v>0</v>
      </c>
      <c r="CI81" s="407"/>
      <c r="CJ81" s="363"/>
      <c r="CK81" s="356" t="n">
        <f aca="false">($M81=CJ81)*$D$12</f>
        <v>0</v>
      </c>
      <c r="CL81" s="407"/>
      <c r="CM81" s="363"/>
      <c r="CN81" s="356" t="n">
        <f aca="false">($M81=CM81)*$D$12</f>
        <v>0</v>
      </c>
      <c r="CO81" s="407"/>
      <c r="CP81" s="363"/>
      <c r="CQ81" s="356" t="n">
        <f aca="false">($M81=CP81)*$D$12</f>
        <v>0</v>
      </c>
      <c r="CR81" s="407"/>
      <c r="CS81" s="363"/>
      <c r="CT81" s="356" t="n">
        <f aca="false">($M81=CS81)*$D$12</f>
        <v>0</v>
      </c>
      <c r="CU81" s="407"/>
      <c r="CV81" s="363"/>
      <c r="CW81" s="356" t="n">
        <f aca="false">($M81=CV81)*$D$12</f>
        <v>0</v>
      </c>
      <c r="CX81" s="407"/>
      <c r="CY81" s="363"/>
      <c r="CZ81" s="356" t="n">
        <f aca="false">($M81=CY81)*$D$12</f>
        <v>0</v>
      </c>
      <c r="DA81" s="407"/>
      <c r="DB81" s="363"/>
      <c r="DC81" s="356" t="n">
        <f aca="false">($M81=DB81)*$D$12</f>
        <v>0</v>
      </c>
      <c r="DD81" s="407"/>
      <c r="DE81" s="363"/>
      <c r="DF81" s="356" t="n">
        <f aca="false">($M81=DE81)*$D$12</f>
        <v>0</v>
      </c>
      <c r="DG81" s="407"/>
      <c r="DH81" s="363"/>
      <c r="DI81" s="356" t="n">
        <f aca="false">($M81=DH81)*$D$12</f>
        <v>0</v>
      </c>
      <c r="DJ81" s="407"/>
      <c r="DK81" s="363"/>
      <c r="DL81" s="356" t="n">
        <f aca="false">($M81=DK81)*$D$12</f>
        <v>0</v>
      </c>
      <c r="DM81" s="407"/>
      <c r="DN81" s="363"/>
      <c r="DO81" s="356" t="n">
        <f aca="false">($M81=DN81)*$D$12</f>
        <v>0</v>
      </c>
      <c r="DP81" s="407"/>
      <c r="DQ81" s="363"/>
      <c r="DR81" s="356" t="n">
        <f aca="false">($M81=DQ81)*$D$12</f>
        <v>0</v>
      </c>
      <c r="DS81" s="407"/>
      <c r="DT81" s="363"/>
      <c r="DU81" s="356" t="n">
        <f aca="false">($M81=DT81)*$D$12</f>
        <v>0</v>
      </c>
      <c r="DV81" s="407"/>
      <c r="DW81" s="363"/>
      <c r="DX81" s="356" t="n">
        <f aca="false">($M81=DW81)*$D$12</f>
        <v>0</v>
      </c>
      <c r="DY81" s="407"/>
      <c r="DZ81" s="363"/>
      <c r="EA81" s="356" t="n">
        <f aca="false">($M81=DZ81)*$D$12</f>
        <v>0</v>
      </c>
      <c r="EB81" s="407"/>
      <c r="EC81" s="363"/>
      <c r="ED81" s="356" t="n">
        <f aca="false">($M81=EC81)*$D$12</f>
        <v>0</v>
      </c>
      <c r="EE81" s="407"/>
      <c r="EF81" s="363"/>
      <c r="EG81" s="356" t="n">
        <f aca="false">($M81=EF81)*$D$12</f>
        <v>0</v>
      </c>
      <c r="EH81" s="407"/>
      <c r="EI81" s="407"/>
    </row>
    <row r="82" customFormat="false" ht="15" hidden="false" customHeight="false" outlineLevel="0" collapsed="false">
      <c r="A82" s="327"/>
      <c r="B82" s="327"/>
      <c r="C82" s="327"/>
      <c r="D82" s="327"/>
      <c r="E82" s="327"/>
      <c r="F82" s="328" t="n">
        <f aca="false">$D$13</f>
        <v>5</v>
      </c>
      <c r="G82" s="394" t="n">
        <f aca="false">VLOOKUP(H82,Equipos!$Q$1:$R$25,2,0)</f>
        <v>15</v>
      </c>
      <c r="H82" s="395" t="n">
        <f aca="false">$H$54</f>
        <v>46198</v>
      </c>
      <c r="I82" s="333"/>
      <c r="J82" s="408"/>
      <c r="K82" s="367" t="str">
        <f aca="false">Idiomas!D152</f>
        <v>3º GRUPO A</v>
      </c>
      <c r="L82" s="354"/>
      <c r="M82" s="359" t="str">
        <f aca="false">IF(OR(SUM(WORLDCUP!$AN$6:$AN$9)=12,WORLDCUP!$AJ$99=144),WORLDCUP!AL8,LEFT(K82,1)&amp;RIGHT(K82,1))</f>
        <v>3A</v>
      </c>
      <c r="N82" s="332"/>
      <c r="O82" s="332"/>
      <c r="P82" s="332"/>
      <c r="Q82" s="332"/>
      <c r="R82" s="404"/>
      <c r="S82" s="363" t="s">
        <v>334</v>
      </c>
      <c r="T82" s="356" t="n">
        <f aca="false">($M82=S82)*$D$13</f>
        <v>0</v>
      </c>
      <c r="U82" s="407"/>
      <c r="V82" s="363" t="s">
        <v>331</v>
      </c>
      <c r="W82" s="356" t="n">
        <f aca="false">($M82=V82)*$D$13</f>
        <v>0</v>
      </c>
      <c r="X82" s="407"/>
      <c r="Y82" s="363" t="s">
        <v>333</v>
      </c>
      <c r="Z82" s="356" t="n">
        <f aca="false">($M82=Y82)*$D$13</f>
        <v>0</v>
      </c>
      <c r="AA82" s="407"/>
      <c r="AB82" s="363" t="s">
        <v>333</v>
      </c>
      <c r="AC82" s="356" t="n">
        <f aca="false">($M82=AB82)*$D$13</f>
        <v>0</v>
      </c>
      <c r="AD82" s="407"/>
      <c r="AE82" s="363" t="s">
        <v>332</v>
      </c>
      <c r="AF82" s="356" t="n">
        <f aca="false">($M82=AE82)*$D$13</f>
        <v>0</v>
      </c>
      <c r="AG82" s="407"/>
      <c r="AH82" s="363" t="s">
        <v>332</v>
      </c>
      <c r="AI82" s="356" t="n">
        <f aca="false">($M82=AH82)*$D$13</f>
        <v>0</v>
      </c>
      <c r="AJ82" s="407"/>
      <c r="AK82" s="363" t="s">
        <v>332</v>
      </c>
      <c r="AL82" s="356" t="n">
        <f aca="false">($M82=AK82)*$D$13</f>
        <v>0</v>
      </c>
      <c r="AM82" s="407"/>
      <c r="AN82" s="363" t="s">
        <v>332</v>
      </c>
      <c r="AO82" s="356" t="n">
        <f aca="false">($M82=AN82)*$D$13</f>
        <v>0</v>
      </c>
      <c r="AP82" s="407"/>
      <c r="AQ82" s="363" t="s">
        <v>332</v>
      </c>
      <c r="AR82" s="356" t="n">
        <f aca="false">($M82=AQ82)*$D$13</f>
        <v>0</v>
      </c>
      <c r="AS82" s="407"/>
      <c r="AT82" s="363" t="s">
        <v>333</v>
      </c>
      <c r="AU82" s="356" t="n">
        <f aca="false">($M82=AT82)*$D$13</f>
        <v>0</v>
      </c>
      <c r="AV82" s="407"/>
      <c r="AW82" s="363" t="s">
        <v>331</v>
      </c>
      <c r="AX82" s="356" t="n">
        <f aca="false">($M82=AW82)*$D$13</f>
        <v>0</v>
      </c>
      <c r="AY82" s="407"/>
      <c r="AZ82" s="363" t="s">
        <v>333</v>
      </c>
      <c r="BA82" s="356" t="n">
        <f aca="false">($M82=AZ82)*$D$13</f>
        <v>0</v>
      </c>
      <c r="BB82" s="407"/>
      <c r="BC82" s="363" t="s">
        <v>333</v>
      </c>
      <c r="BD82" s="356" t="n">
        <f aca="false">($M82=BC82)*$D$13</f>
        <v>0</v>
      </c>
      <c r="BE82" s="407"/>
      <c r="BF82" s="363" t="s">
        <v>334</v>
      </c>
      <c r="BG82" s="356" t="n">
        <f aca="false">($M82=BF82)*$D$13</f>
        <v>0</v>
      </c>
      <c r="BH82" s="407"/>
      <c r="BI82" s="363" t="s">
        <v>334</v>
      </c>
      <c r="BJ82" s="356" t="n">
        <f aca="false">($M82=BI82)*$D$13</f>
        <v>0</v>
      </c>
      <c r="BK82" s="407"/>
      <c r="BL82" s="363" t="s">
        <v>332</v>
      </c>
      <c r="BM82" s="356" t="n">
        <f aca="false">($M82=BL82)*$D$13</f>
        <v>0</v>
      </c>
      <c r="BN82" s="407"/>
      <c r="BO82" s="363" t="s">
        <v>333</v>
      </c>
      <c r="BP82" s="356" t="n">
        <f aca="false">($M82=BO82)*$D$13</f>
        <v>0</v>
      </c>
      <c r="BQ82" s="407"/>
      <c r="BR82" s="363" t="s">
        <v>332</v>
      </c>
      <c r="BS82" s="356" t="n">
        <f aca="false">($M82=BR82)*$D$13</f>
        <v>0</v>
      </c>
      <c r="BT82" s="407"/>
      <c r="BU82" s="363"/>
      <c r="BV82" s="356" t="n">
        <f aca="false">($M82=BU82)*$D$13</f>
        <v>0</v>
      </c>
      <c r="BW82" s="407"/>
      <c r="BX82" s="363"/>
      <c r="BY82" s="356" t="n">
        <f aca="false">($M82=BX82)*$D$13</f>
        <v>0</v>
      </c>
      <c r="BZ82" s="407"/>
      <c r="CA82" s="363"/>
      <c r="CB82" s="356" t="n">
        <f aca="false">($M82=CA82)*$D$13</f>
        <v>0</v>
      </c>
      <c r="CC82" s="407"/>
      <c r="CD82" s="363"/>
      <c r="CE82" s="356" t="n">
        <f aca="false">($M82=CD82)*$D$13</f>
        <v>0</v>
      </c>
      <c r="CF82" s="407"/>
      <c r="CG82" s="363"/>
      <c r="CH82" s="356" t="n">
        <f aca="false">($M82=CG82)*$D$13</f>
        <v>0</v>
      </c>
      <c r="CI82" s="407"/>
      <c r="CJ82" s="363"/>
      <c r="CK82" s="356" t="n">
        <f aca="false">($M82=CJ82)*$D$13</f>
        <v>0</v>
      </c>
      <c r="CL82" s="407"/>
      <c r="CM82" s="363"/>
      <c r="CN82" s="356" t="n">
        <f aca="false">($M82=CM82)*$D$13</f>
        <v>0</v>
      </c>
      <c r="CO82" s="407"/>
      <c r="CP82" s="363"/>
      <c r="CQ82" s="356" t="n">
        <f aca="false">($M82=CP82)*$D$13</f>
        <v>0</v>
      </c>
      <c r="CR82" s="407"/>
      <c r="CS82" s="363"/>
      <c r="CT82" s="356" t="n">
        <f aca="false">($M82=CS82)*$D$13</f>
        <v>0</v>
      </c>
      <c r="CU82" s="407"/>
      <c r="CV82" s="363"/>
      <c r="CW82" s="356" t="n">
        <f aca="false">($M82=CV82)*$D$13</f>
        <v>0</v>
      </c>
      <c r="CX82" s="407"/>
      <c r="CY82" s="363"/>
      <c r="CZ82" s="356" t="n">
        <f aca="false">($M82=CY82)*$D$13</f>
        <v>0</v>
      </c>
      <c r="DA82" s="407"/>
      <c r="DB82" s="363"/>
      <c r="DC82" s="356" t="n">
        <f aca="false">($M82=DB82)*$D$13</f>
        <v>0</v>
      </c>
      <c r="DD82" s="407"/>
      <c r="DE82" s="363"/>
      <c r="DF82" s="356" t="n">
        <f aca="false">($M82=DE82)*$D$13</f>
        <v>0</v>
      </c>
      <c r="DG82" s="407"/>
      <c r="DH82" s="363"/>
      <c r="DI82" s="356" t="n">
        <f aca="false">($M82=DH82)*$D$13</f>
        <v>0</v>
      </c>
      <c r="DJ82" s="407"/>
      <c r="DK82" s="363"/>
      <c r="DL82" s="356" t="n">
        <f aca="false">($M82=DK82)*$D$13</f>
        <v>0</v>
      </c>
      <c r="DM82" s="407"/>
      <c r="DN82" s="363"/>
      <c r="DO82" s="356" t="n">
        <f aca="false">($M82=DN82)*$D$13</f>
        <v>0</v>
      </c>
      <c r="DP82" s="407"/>
      <c r="DQ82" s="363"/>
      <c r="DR82" s="356" t="n">
        <f aca="false">($M82=DQ82)*$D$13</f>
        <v>0</v>
      </c>
      <c r="DS82" s="407"/>
      <c r="DT82" s="363"/>
      <c r="DU82" s="356" t="n">
        <f aca="false">($M82=DT82)*$D$13</f>
        <v>0</v>
      </c>
      <c r="DV82" s="407"/>
      <c r="DW82" s="363"/>
      <c r="DX82" s="356" t="n">
        <f aca="false">($M82=DW82)*$D$13</f>
        <v>0</v>
      </c>
      <c r="DY82" s="407"/>
      <c r="DZ82" s="363"/>
      <c r="EA82" s="356" t="n">
        <f aca="false">($M82=DZ82)*$D$13</f>
        <v>0</v>
      </c>
      <c r="EB82" s="407"/>
      <c r="EC82" s="363"/>
      <c r="ED82" s="356" t="n">
        <f aca="false">($M82=EC82)*$D$13</f>
        <v>0</v>
      </c>
      <c r="EE82" s="407"/>
      <c r="EF82" s="363"/>
      <c r="EG82" s="356" t="n">
        <f aca="false">($M82=EF82)*$D$13</f>
        <v>0</v>
      </c>
      <c r="EH82" s="407"/>
      <c r="EI82" s="407"/>
    </row>
    <row r="83" customFormat="false" ht="15" hidden="false" customHeight="false" outlineLevel="0" collapsed="false">
      <c r="A83" s="327"/>
      <c r="B83" s="327"/>
      <c r="C83" s="327"/>
      <c r="D83" s="327"/>
      <c r="E83" s="327"/>
      <c r="F83" s="328" t="n">
        <f aca="false">$D$14</f>
        <v>5</v>
      </c>
      <c r="G83" s="394" t="n">
        <f aca="false">VLOOKUP(H83,Equipos!$Q$1:$R$25,2,0)</f>
        <v>15</v>
      </c>
      <c r="H83" s="395" t="n">
        <f aca="false">$H$54</f>
        <v>46198</v>
      </c>
      <c r="I83" s="333"/>
      <c r="J83" s="408"/>
      <c r="K83" s="367" t="str">
        <f aca="false">Idiomas!D153</f>
        <v>4º GRUPO A</v>
      </c>
      <c r="L83" s="354"/>
      <c r="M83" s="359" t="str">
        <f aca="false">IF(OR(SUM(WORLDCUP!$AN$6:$AN$9)=12,WORLDCUP!$AJ$99=144),WORLDCUP!AL9,LEFT(K83,1)&amp;RIGHT(K83,1))</f>
        <v>4A</v>
      </c>
      <c r="N83" s="332"/>
      <c r="O83" s="332"/>
      <c r="P83" s="332"/>
      <c r="Q83" s="332"/>
      <c r="R83" s="404"/>
      <c r="S83" s="363" t="s">
        <v>333</v>
      </c>
      <c r="T83" s="356" t="n">
        <f aca="false">($M83=S83)*$D$14</f>
        <v>0</v>
      </c>
      <c r="U83" s="407"/>
      <c r="V83" s="363" t="s">
        <v>334</v>
      </c>
      <c r="W83" s="356" t="n">
        <f aca="false">($M83=V83)*$D$14</f>
        <v>0</v>
      </c>
      <c r="X83" s="407"/>
      <c r="Y83" s="363" t="s">
        <v>332</v>
      </c>
      <c r="Z83" s="356" t="n">
        <f aca="false">($M83=Y83)*$D$14</f>
        <v>0</v>
      </c>
      <c r="AA83" s="407"/>
      <c r="AB83" s="363" t="s">
        <v>334</v>
      </c>
      <c r="AC83" s="356" t="n">
        <f aca="false">($M83=AB83)*$D$14</f>
        <v>0</v>
      </c>
      <c r="AD83" s="407"/>
      <c r="AE83" s="363" t="s">
        <v>334</v>
      </c>
      <c r="AF83" s="356" t="n">
        <f aca="false">($M83=AE83)*$D$14</f>
        <v>0</v>
      </c>
      <c r="AG83" s="407"/>
      <c r="AH83" s="363" t="s">
        <v>334</v>
      </c>
      <c r="AI83" s="356" t="n">
        <f aca="false">($M83=AH83)*$D$14</f>
        <v>0</v>
      </c>
      <c r="AJ83" s="407"/>
      <c r="AK83" s="363" t="s">
        <v>334</v>
      </c>
      <c r="AL83" s="356" t="n">
        <f aca="false">($M83=AK83)*$D$14</f>
        <v>0</v>
      </c>
      <c r="AM83" s="407"/>
      <c r="AN83" s="363" t="s">
        <v>334</v>
      </c>
      <c r="AO83" s="356" t="n">
        <f aca="false">($M83=AN83)*$D$14</f>
        <v>0</v>
      </c>
      <c r="AP83" s="407"/>
      <c r="AQ83" s="363" t="s">
        <v>334</v>
      </c>
      <c r="AR83" s="356" t="n">
        <f aca="false">($M83=AQ83)*$D$14</f>
        <v>0</v>
      </c>
      <c r="AS83" s="407"/>
      <c r="AT83" s="363" t="s">
        <v>334</v>
      </c>
      <c r="AU83" s="356" t="n">
        <f aca="false">($M83=AT83)*$D$14</f>
        <v>0</v>
      </c>
      <c r="AV83" s="407"/>
      <c r="AW83" s="363" t="s">
        <v>334</v>
      </c>
      <c r="AX83" s="356" t="n">
        <f aca="false">($M83=AW83)*$D$14</f>
        <v>0</v>
      </c>
      <c r="AY83" s="407"/>
      <c r="AZ83" s="363" t="s">
        <v>334</v>
      </c>
      <c r="BA83" s="356" t="n">
        <f aca="false">($M83=AZ83)*$D$14</f>
        <v>0</v>
      </c>
      <c r="BB83" s="407"/>
      <c r="BC83" s="363" t="s">
        <v>334</v>
      </c>
      <c r="BD83" s="356" t="n">
        <f aca="false">($M83=BC83)*$D$14</f>
        <v>0</v>
      </c>
      <c r="BE83" s="407"/>
      <c r="BF83" s="363" t="s">
        <v>333</v>
      </c>
      <c r="BG83" s="356" t="n">
        <f aca="false">($M83=BF83)*$D$14</f>
        <v>0</v>
      </c>
      <c r="BH83" s="407"/>
      <c r="BI83" s="363" t="s">
        <v>332</v>
      </c>
      <c r="BJ83" s="356" t="n">
        <f aca="false">($M83=BI83)*$D$14</f>
        <v>0</v>
      </c>
      <c r="BK83" s="407"/>
      <c r="BL83" s="363" t="s">
        <v>334</v>
      </c>
      <c r="BM83" s="356" t="n">
        <f aca="false">($M83=BL83)*$D$14</f>
        <v>0</v>
      </c>
      <c r="BN83" s="407"/>
      <c r="BO83" s="363" t="s">
        <v>334</v>
      </c>
      <c r="BP83" s="356" t="n">
        <f aca="false">($M83=BO83)*$D$14</f>
        <v>0</v>
      </c>
      <c r="BQ83" s="407"/>
      <c r="BR83" s="363" t="s">
        <v>334</v>
      </c>
      <c r="BS83" s="356" t="n">
        <f aca="false">($M83=BR83)*$D$14</f>
        <v>0</v>
      </c>
      <c r="BT83" s="407"/>
      <c r="BU83" s="363"/>
      <c r="BV83" s="356" t="n">
        <f aca="false">($M83=BU83)*$D$14</f>
        <v>0</v>
      </c>
      <c r="BW83" s="407"/>
      <c r="BX83" s="363"/>
      <c r="BY83" s="356" t="n">
        <f aca="false">($M83=BX83)*$D$14</f>
        <v>0</v>
      </c>
      <c r="BZ83" s="407"/>
      <c r="CA83" s="363"/>
      <c r="CB83" s="356" t="n">
        <f aca="false">($M83=CA83)*$D$14</f>
        <v>0</v>
      </c>
      <c r="CC83" s="407"/>
      <c r="CD83" s="363"/>
      <c r="CE83" s="356" t="n">
        <f aca="false">($M83=CD83)*$D$14</f>
        <v>0</v>
      </c>
      <c r="CF83" s="407"/>
      <c r="CG83" s="363"/>
      <c r="CH83" s="356" t="n">
        <f aca="false">($M83=CG83)*$D$14</f>
        <v>0</v>
      </c>
      <c r="CI83" s="407"/>
      <c r="CJ83" s="363"/>
      <c r="CK83" s="356" t="n">
        <f aca="false">($M83=CJ83)*$D$14</f>
        <v>0</v>
      </c>
      <c r="CL83" s="407"/>
      <c r="CM83" s="363"/>
      <c r="CN83" s="356" t="n">
        <f aca="false">($M83=CM83)*$D$14</f>
        <v>0</v>
      </c>
      <c r="CO83" s="407"/>
      <c r="CP83" s="363"/>
      <c r="CQ83" s="356" t="n">
        <f aca="false">($M83=CP83)*$D$14</f>
        <v>0</v>
      </c>
      <c r="CR83" s="407"/>
      <c r="CS83" s="363"/>
      <c r="CT83" s="356" t="n">
        <f aca="false">($M83=CS83)*$D$14</f>
        <v>0</v>
      </c>
      <c r="CU83" s="407"/>
      <c r="CV83" s="363"/>
      <c r="CW83" s="356" t="n">
        <f aca="false">($M83=CV83)*$D$14</f>
        <v>0</v>
      </c>
      <c r="CX83" s="407"/>
      <c r="CY83" s="363"/>
      <c r="CZ83" s="356" t="n">
        <f aca="false">($M83=CY83)*$D$14</f>
        <v>0</v>
      </c>
      <c r="DA83" s="407"/>
      <c r="DB83" s="363"/>
      <c r="DC83" s="356" t="n">
        <f aca="false">($M83=DB83)*$D$14</f>
        <v>0</v>
      </c>
      <c r="DD83" s="407"/>
      <c r="DE83" s="363"/>
      <c r="DF83" s="356" t="n">
        <f aca="false">($M83=DE83)*$D$14</f>
        <v>0</v>
      </c>
      <c r="DG83" s="407"/>
      <c r="DH83" s="363"/>
      <c r="DI83" s="356" t="n">
        <f aca="false">($M83=DH83)*$D$14</f>
        <v>0</v>
      </c>
      <c r="DJ83" s="407"/>
      <c r="DK83" s="363"/>
      <c r="DL83" s="356" t="n">
        <f aca="false">($M83=DK83)*$D$14</f>
        <v>0</v>
      </c>
      <c r="DM83" s="407"/>
      <c r="DN83" s="363"/>
      <c r="DO83" s="356" t="n">
        <f aca="false">($M83=DN83)*$D$14</f>
        <v>0</v>
      </c>
      <c r="DP83" s="407"/>
      <c r="DQ83" s="363"/>
      <c r="DR83" s="356" t="n">
        <f aca="false">($M83=DQ83)*$D$14</f>
        <v>0</v>
      </c>
      <c r="DS83" s="407"/>
      <c r="DT83" s="363"/>
      <c r="DU83" s="356" t="n">
        <f aca="false">($M83=DT83)*$D$14</f>
        <v>0</v>
      </c>
      <c r="DV83" s="407"/>
      <c r="DW83" s="363"/>
      <c r="DX83" s="356" t="n">
        <f aca="false">($M83=DW83)*$D$14</f>
        <v>0</v>
      </c>
      <c r="DY83" s="407"/>
      <c r="DZ83" s="363"/>
      <c r="EA83" s="356" t="n">
        <f aca="false">($M83=DZ83)*$D$14</f>
        <v>0</v>
      </c>
      <c r="EB83" s="407"/>
      <c r="EC83" s="363"/>
      <c r="ED83" s="356" t="n">
        <f aca="false">($M83=EC83)*$D$14</f>
        <v>0</v>
      </c>
      <c r="EE83" s="407"/>
      <c r="EF83" s="363"/>
      <c r="EG83" s="356" t="n">
        <f aca="false">($M83=EF83)*$D$14</f>
        <v>0</v>
      </c>
      <c r="EH83" s="407"/>
      <c r="EI83" s="407"/>
    </row>
    <row r="84" customFormat="false" ht="15" hidden="false" customHeight="false" outlineLevel="0" collapsed="false">
      <c r="A84" s="327"/>
      <c r="B84" s="327"/>
      <c r="C84" s="327"/>
      <c r="D84" s="327"/>
      <c r="E84" s="327"/>
      <c r="F84" s="328" t="n">
        <f aca="false">$D$11</f>
        <v>5</v>
      </c>
      <c r="G84" s="394" t="n">
        <f aca="false">VLOOKUP(H84,Equipos!$Q$1:$R$25,2,0)</f>
        <v>14</v>
      </c>
      <c r="H84" s="395" t="n">
        <f aca="false">$H$56</f>
        <v>46197</v>
      </c>
      <c r="I84" s="333"/>
      <c r="J84" s="409" t="s">
        <v>84</v>
      </c>
      <c r="K84" s="367" t="str">
        <f aca="false">Idiomas!D154</f>
        <v>1º GRUPO B</v>
      </c>
      <c r="L84" s="354"/>
      <c r="M84" s="359" t="str">
        <f aca="false">IF(OR(SUM(WORLDCUP!$AN$14:$AN$17)=12,WORLDCUP!$AJ$99=144),WORLDCUP!AL14,LEFT(K84,1)&amp;RIGHT(K84,1))</f>
        <v>1B</v>
      </c>
      <c r="N84" s="332"/>
      <c r="O84" s="332"/>
      <c r="P84" s="332"/>
      <c r="Q84" s="332"/>
      <c r="R84" s="404"/>
      <c r="S84" s="363" t="s">
        <v>335</v>
      </c>
      <c r="T84" s="356" t="n">
        <f aca="false">($M84=S84)*$D$11</f>
        <v>0</v>
      </c>
      <c r="U84" s="407"/>
      <c r="V84" s="363" t="s">
        <v>336</v>
      </c>
      <c r="W84" s="356" t="n">
        <f aca="false">($M84=V84)*$D$11</f>
        <v>0</v>
      </c>
      <c r="X84" s="407"/>
      <c r="Y84" s="363" t="s">
        <v>336</v>
      </c>
      <c r="Z84" s="356" t="n">
        <f aca="false">($M84=Y84)*$D$11</f>
        <v>0</v>
      </c>
      <c r="AA84" s="407"/>
      <c r="AB84" s="363" t="s">
        <v>336</v>
      </c>
      <c r="AC84" s="356" t="n">
        <f aca="false">($M84=AB84)*$D$11</f>
        <v>0</v>
      </c>
      <c r="AD84" s="407"/>
      <c r="AE84" s="363" t="s">
        <v>337</v>
      </c>
      <c r="AF84" s="356" t="n">
        <f aca="false">($M84=AE84)*$D$11</f>
        <v>0</v>
      </c>
      <c r="AG84" s="407"/>
      <c r="AH84" s="363" t="s">
        <v>337</v>
      </c>
      <c r="AI84" s="356" t="n">
        <f aca="false">($M84=AH84)*$D$11</f>
        <v>0</v>
      </c>
      <c r="AJ84" s="407"/>
      <c r="AK84" s="363" t="s">
        <v>337</v>
      </c>
      <c r="AL84" s="356" t="n">
        <f aca="false">($M84=AK84)*$D$11</f>
        <v>0</v>
      </c>
      <c r="AM84" s="407"/>
      <c r="AN84" s="363" t="s">
        <v>336</v>
      </c>
      <c r="AO84" s="356" t="n">
        <f aca="false">($M84=AN84)*$D$11</f>
        <v>0</v>
      </c>
      <c r="AP84" s="407"/>
      <c r="AQ84" s="363" t="s">
        <v>336</v>
      </c>
      <c r="AR84" s="356" t="n">
        <f aca="false">($M84=AQ84)*$D$11</f>
        <v>0</v>
      </c>
      <c r="AS84" s="407"/>
      <c r="AT84" s="363" t="s">
        <v>335</v>
      </c>
      <c r="AU84" s="356" t="n">
        <f aca="false">($M84=AT84)*$D$11</f>
        <v>0</v>
      </c>
      <c r="AV84" s="407"/>
      <c r="AW84" s="363" t="s">
        <v>337</v>
      </c>
      <c r="AX84" s="356" t="n">
        <f aca="false">($M84=AW84)*$D$11</f>
        <v>0</v>
      </c>
      <c r="AY84" s="407"/>
      <c r="AZ84" s="363" t="s">
        <v>336</v>
      </c>
      <c r="BA84" s="356" t="n">
        <f aca="false">($M84=AZ84)*$D$11</f>
        <v>0</v>
      </c>
      <c r="BB84" s="407"/>
      <c r="BC84" s="363" t="s">
        <v>336</v>
      </c>
      <c r="BD84" s="356" t="n">
        <f aca="false">($M84=BC84)*$D$11</f>
        <v>0</v>
      </c>
      <c r="BE84" s="407"/>
      <c r="BF84" s="363" t="s">
        <v>336</v>
      </c>
      <c r="BG84" s="356" t="n">
        <f aca="false">($M84=BF84)*$D$11</f>
        <v>0</v>
      </c>
      <c r="BH84" s="407"/>
      <c r="BI84" s="363" t="s">
        <v>337</v>
      </c>
      <c r="BJ84" s="356" t="n">
        <f aca="false">($M84=BI84)*$D$11</f>
        <v>0</v>
      </c>
      <c r="BK84" s="407"/>
      <c r="BL84" s="363" t="s">
        <v>336</v>
      </c>
      <c r="BM84" s="356" t="n">
        <f aca="false">($M84=BL84)*$D$11</f>
        <v>0</v>
      </c>
      <c r="BN84" s="407"/>
      <c r="BO84" s="363" t="s">
        <v>336</v>
      </c>
      <c r="BP84" s="356" t="n">
        <f aca="false">($M84=BO84)*$D$11</f>
        <v>0</v>
      </c>
      <c r="BQ84" s="407"/>
      <c r="BR84" s="363" t="s">
        <v>336</v>
      </c>
      <c r="BS84" s="356" t="n">
        <f aca="false">($M84=BR84)*$D$11</f>
        <v>0</v>
      </c>
      <c r="BT84" s="407"/>
      <c r="BU84" s="363"/>
      <c r="BV84" s="356" t="n">
        <f aca="false">($M84=BU84)*$D$11</f>
        <v>0</v>
      </c>
      <c r="BW84" s="407"/>
      <c r="BX84" s="363"/>
      <c r="BY84" s="356" t="n">
        <f aca="false">($M84=BX84)*$D$11</f>
        <v>0</v>
      </c>
      <c r="BZ84" s="407"/>
      <c r="CA84" s="363"/>
      <c r="CB84" s="356" t="n">
        <f aca="false">($M84=CA84)*$D$11</f>
        <v>0</v>
      </c>
      <c r="CC84" s="407"/>
      <c r="CD84" s="363"/>
      <c r="CE84" s="356" t="n">
        <f aca="false">($M84=CD84)*$D$11</f>
        <v>0</v>
      </c>
      <c r="CF84" s="407"/>
      <c r="CG84" s="363"/>
      <c r="CH84" s="356" t="n">
        <f aca="false">($M84=CG84)*$D$11</f>
        <v>0</v>
      </c>
      <c r="CI84" s="407"/>
      <c r="CJ84" s="363"/>
      <c r="CK84" s="356" t="n">
        <f aca="false">($M84=CJ84)*$D$11</f>
        <v>0</v>
      </c>
      <c r="CL84" s="407"/>
      <c r="CM84" s="363"/>
      <c r="CN84" s="356" t="n">
        <f aca="false">($M84=CM84)*$D$11</f>
        <v>0</v>
      </c>
      <c r="CO84" s="407"/>
      <c r="CP84" s="363"/>
      <c r="CQ84" s="356" t="n">
        <f aca="false">($M84=CP84)*$D$11</f>
        <v>0</v>
      </c>
      <c r="CR84" s="407"/>
      <c r="CS84" s="363"/>
      <c r="CT84" s="356" t="n">
        <f aca="false">($M84=CS84)*$D$11</f>
        <v>0</v>
      </c>
      <c r="CU84" s="407"/>
      <c r="CV84" s="363"/>
      <c r="CW84" s="356" t="n">
        <f aca="false">($M84=CV84)*$D$11</f>
        <v>0</v>
      </c>
      <c r="CX84" s="407"/>
      <c r="CY84" s="363"/>
      <c r="CZ84" s="356" t="n">
        <f aca="false">($M84=CY84)*$D$11</f>
        <v>0</v>
      </c>
      <c r="DA84" s="407"/>
      <c r="DB84" s="363"/>
      <c r="DC84" s="356" t="n">
        <f aca="false">($M84=DB84)*$D$11</f>
        <v>0</v>
      </c>
      <c r="DD84" s="407"/>
      <c r="DE84" s="363"/>
      <c r="DF84" s="356" t="n">
        <f aca="false">($M84=DE84)*$D$11</f>
        <v>0</v>
      </c>
      <c r="DG84" s="407"/>
      <c r="DH84" s="363"/>
      <c r="DI84" s="356" t="n">
        <f aca="false">($M84=DH84)*$D$11</f>
        <v>0</v>
      </c>
      <c r="DJ84" s="407"/>
      <c r="DK84" s="363"/>
      <c r="DL84" s="356" t="n">
        <f aca="false">($M84=DK84)*$D$11</f>
        <v>0</v>
      </c>
      <c r="DM84" s="407"/>
      <c r="DN84" s="363"/>
      <c r="DO84" s="356" t="n">
        <f aca="false">($M84=DN84)*$D$11</f>
        <v>0</v>
      </c>
      <c r="DP84" s="407"/>
      <c r="DQ84" s="363"/>
      <c r="DR84" s="356" t="n">
        <f aca="false">($M84=DQ84)*$D$11</f>
        <v>0</v>
      </c>
      <c r="DS84" s="407"/>
      <c r="DT84" s="363"/>
      <c r="DU84" s="356" t="n">
        <f aca="false">($M84=DT84)*$D$11</f>
        <v>0</v>
      </c>
      <c r="DV84" s="407"/>
      <c r="DW84" s="363"/>
      <c r="DX84" s="356" t="n">
        <f aca="false">($M84=DW84)*$D$11</f>
        <v>0</v>
      </c>
      <c r="DY84" s="407"/>
      <c r="DZ84" s="363"/>
      <c r="EA84" s="356" t="n">
        <f aca="false">($M84=DZ84)*$D$11</f>
        <v>0</v>
      </c>
      <c r="EB84" s="407"/>
      <c r="EC84" s="363"/>
      <c r="ED84" s="356" t="n">
        <f aca="false">($M84=EC84)*$D$11</f>
        <v>0</v>
      </c>
      <c r="EE84" s="407"/>
      <c r="EF84" s="363"/>
      <c r="EG84" s="356" t="n">
        <f aca="false">($M84=EF84)*$D$11</f>
        <v>0</v>
      </c>
      <c r="EH84" s="407"/>
      <c r="EI84" s="407"/>
    </row>
    <row r="85" customFormat="false" ht="15" hidden="false" customHeight="false" outlineLevel="0" collapsed="false">
      <c r="A85" s="327"/>
      <c r="B85" s="327"/>
      <c r="C85" s="327"/>
      <c r="D85" s="327"/>
      <c r="E85" s="327"/>
      <c r="F85" s="328" t="n">
        <f aca="false">$D$12</f>
        <v>5</v>
      </c>
      <c r="G85" s="394" t="n">
        <f aca="false">VLOOKUP(H85,Equipos!$Q$1:$R$25,2,0)</f>
        <v>14</v>
      </c>
      <c r="H85" s="395" t="n">
        <f aca="false">$H$56</f>
        <v>46197</v>
      </c>
      <c r="I85" s="333"/>
      <c r="J85" s="409"/>
      <c r="K85" s="367" t="str">
        <f aca="false">Idiomas!D155</f>
        <v>2º GRUPO B</v>
      </c>
      <c r="L85" s="354"/>
      <c r="M85" s="359" t="str">
        <f aca="false">IF(OR(SUM(WORLDCUP!$AN$14:$AN$17)=12,WORLDCUP!$AJ$99=144),WORLDCUP!AL15,LEFT(K85,1)&amp;RIGHT(K85,1))</f>
        <v>2B</v>
      </c>
      <c r="N85" s="332"/>
      <c r="O85" s="332"/>
      <c r="P85" s="332"/>
      <c r="Q85" s="332"/>
      <c r="R85" s="404"/>
      <c r="S85" s="363" t="s">
        <v>336</v>
      </c>
      <c r="T85" s="356" t="n">
        <f aca="false">($M85=S85)*$D$12</f>
        <v>0</v>
      </c>
      <c r="U85" s="407"/>
      <c r="V85" s="363" t="s">
        <v>337</v>
      </c>
      <c r="W85" s="356" t="n">
        <f aca="false">($M85=V85)*$D$12</f>
        <v>0</v>
      </c>
      <c r="X85" s="407"/>
      <c r="Y85" s="363" t="s">
        <v>337</v>
      </c>
      <c r="Z85" s="356" t="n">
        <f aca="false">($M85=Y85)*$D$12</f>
        <v>0</v>
      </c>
      <c r="AA85" s="407"/>
      <c r="AB85" s="363" t="s">
        <v>337</v>
      </c>
      <c r="AC85" s="356" t="n">
        <f aca="false">($M85=AB85)*$D$12</f>
        <v>0</v>
      </c>
      <c r="AD85" s="407"/>
      <c r="AE85" s="363" t="s">
        <v>336</v>
      </c>
      <c r="AF85" s="356" t="n">
        <f aca="false">($M85=AE85)*$D$12</f>
        <v>0</v>
      </c>
      <c r="AG85" s="407"/>
      <c r="AH85" s="363" t="s">
        <v>336</v>
      </c>
      <c r="AI85" s="356" t="n">
        <f aca="false">($M85=AH85)*$D$12</f>
        <v>0</v>
      </c>
      <c r="AJ85" s="407"/>
      <c r="AK85" s="363" t="s">
        <v>336</v>
      </c>
      <c r="AL85" s="356" t="n">
        <f aca="false">($M85=AK85)*$D$12</f>
        <v>0</v>
      </c>
      <c r="AM85" s="407"/>
      <c r="AN85" s="363" t="s">
        <v>337</v>
      </c>
      <c r="AO85" s="356" t="n">
        <f aca="false">($M85=AN85)*$D$12</f>
        <v>0</v>
      </c>
      <c r="AP85" s="407"/>
      <c r="AQ85" s="363" t="s">
        <v>337</v>
      </c>
      <c r="AR85" s="356" t="n">
        <f aca="false">($M85=AQ85)*$D$12</f>
        <v>0</v>
      </c>
      <c r="AS85" s="407"/>
      <c r="AT85" s="363" t="s">
        <v>336</v>
      </c>
      <c r="AU85" s="356" t="n">
        <f aca="false">($M85=AT85)*$D$12</f>
        <v>0</v>
      </c>
      <c r="AV85" s="407"/>
      <c r="AW85" s="363" t="s">
        <v>335</v>
      </c>
      <c r="AX85" s="356" t="n">
        <f aca="false">($M85=AW85)*$D$12</f>
        <v>0</v>
      </c>
      <c r="AY85" s="407"/>
      <c r="AZ85" s="363" t="s">
        <v>335</v>
      </c>
      <c r="BA85" s="356" t="n">
        <f aca="false">($M85=AZ85)*$D$12</f>
        <v>0</v>
      </c>
      <c r="BB85" s="407"/>
      <c r="BC85" s="363" t="s">
        <v>337</v>
      </c>
      <c r="BD85" s="356" t="n">
        <f aca="false">($M85=BC85)*$D$12</f>
        <v>0</v>
      </c>
      <c r="BE85" s="407"/>
      <c r="BF85" s="363" t="s">
        <v>337</v>
      </c>
      <c r="BG85" s="356" t="n">
        <f aca="false">($M85=BF85)*$D$12</f>
        <v>0</v>
      </c>
      <c r="BH85" s="407"/>
      <c r="BI85" s="363" t="s">
        <v>336</v>
      </c>
      <c r="BJ85" s="356" t="n">
        <f aca="false">($M85=BI85)*$D$12</f>
        <v>0</v>
      </c>
      <c r="BK85" s="407"/>
      <c r="BL85" s="363" t="s">
        <v>337</v>
      </c>
      <c r="BM85" s="356" t="n">
        <f aca="false">($M85=BL85)*$D$12</f>
        <v>0</v>
      </c>
      <c r="BN85" s="407"/>
      <c r="BO85" s="363" t="s">
        <v>335</v>
      </c>
      <c r="BP85" s="356" t="n">
        <f aca="false">($M85=BO85)*$D$12</f>
        <v>0</v>
      </c>
      <c r="BQ85" s="407"/>
      <c r="BR85" s="363" t="s">
        <v>337</v>
      </c>
      <c r="BS85" s="356" t="n">
        <f aca="false">($M85=BR85)*$D$12</f>
        <v>0</v>
      </c>
      <c r="BT85" s="407"/>
      <c r="BU85" s="363"/>
      <c r="BV85" s="356" t="n">
        <f aca="false">($M85=BU85)*$D$12</f>
        <v>0</v>
      </c>
      <c r="BW85" s="407"/>
      <c r="BX85" s="363"/>
      <c r="BY85" s="356" t="n">
        <f aca="false">($M85=BX85)*$D$12</f>
        <v>0</v>
      </c>
      <c r="BZ85" s="407"/>
      <c r="CA85" s="363"/>
      <c r="CB85" s="356" t="n">
        <f aca="false">($M85=CA85)*$D$12</f>
        <v>0</v>
      </c>
      <c r="CC85" s="407"/>
      <c r="CD85" s="363"/>
      <c r="CE85" s="356" t="n">
        <f aca="false">($M85=CD85)*$D$12</f>
        <v>0</v>
      </c>
      <c r="CF85" s="407"/>
      <c r="CG85" s="363"/>
      <c r="CH85" s="356" t="n">
        <f aca="false">($M85=CG85)*$D$12</f>
        <v>0</v>
      </c>
      <c r="CI85" s="407"/>
      <c r="CJ85" s="363"/>
      <c r="CK85" s="356" t="n">
        <f aca="false">($M85=CJ85)*$D$12</f>
        <v>0</v>
      </c>
      <c r="CL85" s="407"/>
      <c r="CM85" s="363"/>
      <c r="CN85" s="356" t="n">
        <f aca="false">($M85=CM85)*$D$12</f>
        <v>0</v>
      </c>
      <c r="CO85" s="407"/>
      <c r="CP85" s="363"/>
      <c r="CQ85" s="356" t="n">
        <f aca="false">($M85=CP85)*$D$12</f>
        <v>0</v>
      </c>
      <c r="CR85" s="407"/>
      <c r="CS85" s="363"/>
      <c r="CT85" s="356" t="n">
        <f aca="false">($M85=CS85)*$D$12</f>
        <v>0</v>
      </c>
      <c r="CU85" s="407"/>
      <c r="CV85" s="363"/>
      <c r="CW85" s="356" t="n">
        <f aca="false">($M85=CV85)*$D$12</f>
        <v>0</v>
      </c>
      <c r="CX85" s="407"/>
      <c r="CY85" s="363"/>
      <c r="CZ85" s="356" t="n">
        <f aca="false">($M85=CY85)*$D$12</f>
        <v>0</v>
      </c>
      <c r="DA85" s="407"/>
      <c r="DB85" s="363"/>
      <c r="DC85" s="356" t="n">
        <f aca="false">($M85=DB85)*$D$12</f>
        <v>0</v>
      </c>
      <c r="DD85" s="407"/>
      <c r="DE85" s="363"/>
      <c r="DF85" s="356" t="n">
        <f aca="false">($M85=DE85)*$D$12</f>
        <v>0</v>
      </c>
      <c r="DG85" s="407"/>
      <c r="DH85" s="363"/>
      <c r="DI85" s="356" t="n">
        <f aca="false">($M85=DH85)*$D$12</f>
        <v>0</v>
      </c>
      <c r="DJ85" s="407"/>
      <c r="DK85" s="363"/>
      <c r="DL85" s="356" t="n">
        <f aca="false">($M85=DK85)*$D$12</f>
        <v>0</v>
      </c>
      <c r="DM85" s="407"/>
      <c r="DN85" s="363"/>
      <c r="DO85" s="356" t="n">
        <f aca="false">($M85=DN85)*$D$12</f>
        <v>0</v>
      </c>
      <c r="DP85" s="407"/>
      <c r="DQ85" s="363"/>
      <c r="DR85" s="356" t="n">
        <f aca="false">($M85=DQ85)*$D$12</f>
        <v>0</v>
      </c>
      <c r="DS85" s="407"/>
      <c r="DT85" s="363"/>
      <c r="DU85" s="356" t="n">
        <f aca="false">($M85=DT85)*$D$12</f>
        <v>0</v>
      </c>
      <c r="DV85" s="407"/>
      <c r="DW85" s="363"/>
      <c r="DX85" s="356" t="n">
        <f aca="false">($M85=DW85)*$D$12</f>
        <v>0</v>
      </c>
      <c r="DY85" s="407"/>
      <c r="DZ85" s="363"/>
      <c r="EA85" s="356" t="n">
        <f aca="false">($M85=DZ85)*$D$12</f>
        <v>0</v>
      </c>
      <c r="EB85" s="407"/>
      <c r="EC85" s="363"/>
      <c r="ED85" s="356" t="n">
        <f aca="false">($M85=EC85)*$D$12</f>
        <v>0</v>
      </c>
      <c r="EE85" s="407"/>
      <c r="EF85" s="363"/>
      <c r="EG85" s="356" t="n">
        <f aca="false">($M85=EF85)*$D$12</f>
        <v>0</v>
      </c>
      <c r="EH85" s="407"/>
      <c r="EI85" s="407"/>
    </row>
    <row r="86" customFormat="false" ht="15" hidden="false" customHeight="false" outlineLevel="0" collapsed="false">
      <c r="A86" s="327"/>
      <c r="B86" s="327"/>
      <c r="C86" s="327"/>
      <c r="D86" s="327"/>
      <c r="E86" s="327"/>
      <c r="F86" s="328" t="n">
        <f aca="false">$D$13</f>
        <v>5</v>
      </c>
      <c r="G86" s="394" t="n">
        <f aca="false">VLOOKUP(H86,Equipos!$Q$1:$R$25,2,0)</f>
        <v>14</v>
      </c>
      <c r="H86" s="395" t="n">
        <f aca="false">$H$56</f>
        <v>46197</v>
      </c>
      <c r="I86" s="333"/>
      <c r="J86" s="409"/>
      <c r="K86" s="367" t="str">
        <f aca="false">Idiomas!D156</f>
        <v>3º GRUPO B</v>
      </c>
      <c r="L86" s="354"/>
      <c r="M86" s="359" t="str">
        <f aca="false">IF(OR(SUM(WORLDCUP!$AN$14:$AN$17)=12,WORLDCUP!$AJ$99=144),WORLDCUP!AL16,LEFT(K86,1)&amp;RIGHT(K86,1))</f>
        <v>3B</v>
      </c>
      <c r="N86" s="332"/>
      <c r="O86" s="332"/>
      <c r="P86" s="332"/>
      <c r="Q86" s="332"/>
      <c r="R86" s="404"/>
      <c r="S86" s="363" t="s">
        <v>337</v>
      </c>
      <c r="T86" s="356" t="n">
        <f aca="false">($M86=S86)*$D$13</f>
        <v>0</v>
      </c>
      <c r="U86" s="407"/>
      <c r="V86" s="363" t="s">
        <v>335</v>
      </c>
      <c r="W86" s="356" t="n">
        <f aca="false">($M86=V86)*$D$13</f>
        <v>0</v>
      </c>
      <c r="X86" s="407"/>
      <c r="Y86" s="363" t="s">
        <v>335</v>
      </c>
      <c r="Z86" s="356" t="n">
        <f aca="false">($M86=Y86)*$D$13</f>
        <v>0</v>
      </c>
      <c r="AA86" s="407"/>
      <c r="AB86" s="363" t="s">
        <v>335</v>
      </c>
      <c r="AC86" s="356" t="n">
        <f aca="false">($M86=AB86)*$D$13</f>
        <v>0</v>
      </c>
      <c r="AD86" s="407"/>
      <c r="AE86" s="363" t="s">
        <v>335</v>
      </c>
      <c r="AF86" s="356" t="n">
        <f aca="false">($M86=AE86)*$D$13</f>
        <v>0</v>
      </c>
      <c r="AG86" s="407"/>
      <c r="AH86" s="363" t="s">
        <v>335</v>
      </c>
      <c r="AI86" s="356" t="n">
        <f aca="false">($M86=AH86)*$D$13</f>
        <v>0</v>
      </c>
      <c r="AJ86" s="407"/>
      <c r="AK86" s="363" t="s">
        <v>335</v>
      </c>
      <c r="AL86" s="356" t="n">
        <f aca="false">($M86=AK86)*$D$13</f>
        <v>0</v>
      </c>
      <c r="AM86" s="407"/>
      <c r="AN86" s="363" t="s">
        <v>335</v>
      </c>
      <c r="AO86" s="356" t="n">
        <f aca="false">($M86=AN86)*$D$13</f>
        <v>0</v>
      </c>
      <c r="AP86" s="407"/>
      <c r="AQ86" s="363" t="s">
        <v>335</v>
      </c>
      <c r="AR86" s="356" t="n">
        <f aca="false">($M86=AQ86)*$D$13</f>
        <v>0</v>
      </c>
      <c r="AS86" s="407"/>
      <c r="AT86" s="363" t="s">
        <v>337</v>
      </c>
      <c r="AU86" s="356" t="n">
        <f aca="false">($M86=AT86)*$D$13</f>
        <v>0</v>
      </c>
      <c r="AV86" s="407"/>
      <c r="AW86" s="363" t="s">
        <v>336</v>
      </c>
      <c r="AX86" s="356" t="n">
        <f aca="false">($M86=AW86)*$D$13</f>
        <v>0</v>
      </c>
      <c r="AY86" s="407"/>
      <c r="AZ86" s="363" t="s">
        <v>337</v>
      </c>
      <c r="BA86" s="356" t="n">
        <f aca="false">($M86=AZ86)*$D$13</f>
        <v>0</v>
      </c>
      <c r="BB86" s="407"/>
      <c r="BC86" s="363" t="s">
        <v>335</v>
      </c>
      <c r="BD86" s="356" t="n">
        <f aca="false">($M86=BC86)*$D$13</f>
        <v>0</v>
      </c>
      <c r="BE86" s="407"/>
      <c r="BF86" s="363" t="s">
        <v>335</v>
      </c>
      <c r="BG86" s="356" t="n">
        <f aca="false">($M86=BF86)*$D$13</f>
        <v>0</v>
      </c>
      <c r="BH86" s="407"/>
      <c r="BI86" s="363" t="s">
        <v>335</v>
      </c>
      <c r="BJ86" s="356" t="n">
        <f aca="false">($M86=BI86)*$D$13</f>
        <v>0</v>
      </c>
      <c r="BK86" s="407"/>
      <c r="BL86" s="363" t="s">
        <v>335</v>
      </c>
      <c r="BM86" s="356" t="n">
        <f aca="false">($M86=BL86)*$D$13</f>
        <v>0</v>
      </c>
      <c r="BN86" s="407"/>
      <c r="BO86" s="363" t="s">
        <v>337</v>
      </c>
      <c r="BP86" s="356" t="n">
        <f aca="false">($M86=BO86)*$D$13</f>
        <v>0</v>
      </c>
      <c r="BQ86" s="407"/>
      <c r="BR86" s="363" t="s">
        <v>335</v>
      </c>
      <c r="BS86" s="356" t="n">
        <f aca="false">($M86=BR86)*$D$13</f>
        <v>0</v>
      </c>
      <c r="BT86" s="407"/>
      <c r="BU86" s="363"/>
      <c r="BV86" s="356" t="n">
        <f aca="false">($M86=BU86)*$D$13</f>
        <v>0</v>
      </c>
      <c r="BW86" s="407"/>
      <c r="BX86" s="363"/>
      <c r="BY86" s="356" t="n">
        <f aca="false">($M86=BX86)*$D$13</f>
        <v>0</v>
      </c>
      <c r="BZ86" s="407"/>
      <c r="CA86" s="363"/>
      <c r="CB86" s="356" t="n">
        <f aca="false">($M86=CA86)*$D$13</f>
        <v>0</v>
      </c>
      <c r="CC86" s="407"/>
      <c r="CD86" s="363"/>
      <c r="CE86" s="356" t="n">
        <f aca="false">($M86=CD86)*$D$13</f>
        <v>0</v>
      </c>
      <c r="CF86" s="407"/>
      <c r="CG86" s="363"/>
      <c r="CH86" s="356" t="n">
        <f aca="false">($M86=CG86)*$D$13</f>
        <v>0</v>
      </c>
      <c r="CI86" s="407"/>
      <c r="CJ86" s="363"/>
      <c r="CK86" s="356" t="n">
        <f aca="false">($M86=CJ86)*$D$13</f>
        <v>0</v>
      </c>
      <c r="CL86" s="407"/>
      <c r="CM86" s="363"/>
      <c r="CN86" s="356" t="n">
        <f aca="false">($M86=CM86)*$D$13</f>
        <v>0</v>
      </c>
      <c r="CO86" s="407"/>
      <c r="CP86" s="363"/>
      <c r="CQ86" s="356" t="n">
        <f aca="false">($M86=CP86)*$D$13</f>
        <v>0</v>
      </c>
      <c r="CR86" s="407"/>
      <c r="CS86" s="363"/>
      <c r="CT86" s="356" t="n">
        <f aca="false">($M86=CS86)*$D$13</f>
        <v>0</v>
      </c>
      <c r="CU86" s="407"/>
      <c r="CV86" s="363"/>
      <c r="CW86" s="356" t="n">
        <f aca="false">($M86=CV86)*$D$13</f>
        <v>0</v>
      </c>
      <c r="CX86" s="407"/>
      <c r="CY86" s="363"/>
      <c r="CZ86" s="356" t="n">
        <f aca="false">($M86=CY86)*$D$13</f>
        <v>0</v>
      </c>
      <c r="DA86" s="407"/>
      <c r="DB86" s="363"/>
      <c r="DC86" s="356" t="n">
        <f aca="false">($M86=DB86)*$D$13</f>
        <v>0</v>
      </c>
      <c r="DD86" s="407"/>
      <c r="DE86" s="363"/>
      <c r="DF86" s="356" t="n">
        <f aca="false">($M86=DE86)*$D$13</f>
        <v>0</v>
      </c>
      <c r="DG86" s="407"/>
      <c r="DH86" s="363"/>
      <c r="DI86" s="356" t="n">
        <f aca="false">($M86=DH86)*$D$13</f>
        <v>0</v>
      </c>
      <c r="DJ86" s="407"/>
      <c r="DK86" s="363"/>
      <c r="DL86" s="356" t="n">
        <f aca="false">($M86=DK86)*$D$13</f>
        <v>0</v>
      </c>
      <c r="DM86" s="407"/>
      <c r="DN86" s="363"/>
      <c r="DO86" s="356" t="n">
        <f aca="false">($M86=DN86)*$D$13</f>
        <v>0</v>
      </c>
      <c r="DP86" s="407"/>
      <c r="DQ86" s="363"/>
      <c r="DR86" s="356" t="n">
        <f aca="false">($M86=DQ86)*$D$13</f>
        <v>0</v>
      </c>
      <c r="DS86" s="407"/>
      <c r="DT86" s="363"/>
      <c r="DU86" s="356" t="n">
        <f aca="false">($M86=DT86)*$D$13</f>
        <v>0</v>
      </c>
      <c r="DV86" s="407"/>
      <c r="DW86" s="363"/>
      <c r="DX86" s="356" t="n">
        <f aca="false">($M86=DW86)*$D$13</f>
        <v>0</v>
      </c>
      <c r="DY86" s="407"/>
      <c r="DZ86" s="363"/>
      <c r="EA86" s="356" t="n">
        <f aca="false">($M86=DZ86)*$D$13</f>
        <v>0</v>
      </c>
      <c r="EB86" s="407"/>
      <c r="EC86" s="355"/>
      <c r="ED86" s="356" t="n">
        <f aca="false">($M86=EC86)*$D$13</f>
        <v>0</v>
      </c>
      <c r="EE86" s="407"/>
      <c r="EF86" s="363"/>
      <c r="EG86" s="356" t="n">
        <f aca="false">($M86=EF86)*$D$13</f>
        <v>0</v>
      </c>
      <c r="EH86" s="407"/>
      <c r="EI86" s="407"/>
    </row>
    <row r="87" customFormat="false" ht="15" hidden="false" customHeight="false" outlineLevel="0" collapsed="false">
      <c r="A87" s="327"/>
      <c r="B87" s="327"/>
      <c r="C87" s="327"/>
      <c r="D87" s="327"/>
      <c r="E87" s="327"/>
      <c r="F87" s="328" t="n">
        <f aca="false">$D$14</f>
        <v>5</v>
      </c>
      <c r="G87" s="394" t="n">
        <f aca="false">VLOOKUP(H87,Equipos!$Q$1:$R$25,2,0)</f>
        <v>14</v>
      </c>
      <c r="H87" s="395" t="n">
        <f aca="false">$H$56</f>
        <v>46197</v>
      </c>
      <c r="I87" s="333"/>
      <c r="J87" s="409"/>
      <c r="K87" s="367" t="str">
        <f aca="false">Idiomas!D157</f>
        <v>4º GRUPO B</v>
      </c>
      <c r="L87" s="354"/>
      <c r="M87" s="359" t="str">
        <f aca="false">IF(OR(SUM(WORLDCUP!$AN$14:$AN$17)=12,WORLDCUP!$AJ$99=144),WORLDCUP!AL17,LEFT(K87,1)&amp;RIGHT(K87,1))</f>
        <v>4B</v>
      </c>
      <c r="N87" s="332"/>
      <c r="O87" s="332"/>
      <c r="P87" s="332"/>
      <c r="Q87" s="332"/>
      <c r="R87" s="404"/>
      <c r="S87" s="363" t="s">
        <v>338</v>
      </c>
      <c r="T87" s="356" t="n">
        <f aca="false">($M87=S87)*$D$14</f>
        <v>0</v>
      </c>
      <c r="U87" s="407"/>
      <c r="V87" s="363" t="s">
        <v>338</v>
      </c>
      <c r="W87" s="356" t="n">
        <f aca="false">($M87=V87)*$D$14</f>
        <v>0</v>
      </c>
      <c r="X87" s="407"/>
      <c r="Y87" s="363" t="s">
        <v>338</v>
      </c>
      <c r="Z87" s="356" t="n">
        <f aca="false">($M87=Y87)*$D$14</f>
        <v>0</v>
      </c>
      <c r="AA87" s="407"/>
      <c r="AB87" s="363" t="s">
        <v>338</v>
      </c>
      <c r="AC87" s="356" t="n">
        <f aca="false">($M87=AB87)*$D$14</f>
        <v>0</v>
      </c>
      <c r="AD87" s="407"/>
      <c r="AE87" s="363" t="s">
        <v>338</v>
      </c>
      <c r="AF87" s="356" t="n">
        <f aca="false">($M87=AE87)*$D$14</f>
        <v>0</v>
      </c>
      <c r="AG87" s="407"/>
      <c r="AH87" s="363" t="s">
        <v>338</v>
      </c>
      <c r="AI87" s="356" t="n">
        <f aca="false">($M87=AH87)*$D$14</f>
        <v>0</v>
      </c>
      <c r="AJ87" s="407"/>
      <c r="AK87" s="363" t="s">
        <v>338</v>
      </c>
      <c r="AL87" s="356" t="n">
        <f aca="false">($M87=AK87)*$D$14</f>
        <v>0</v>
      </c>
      <c r="AM87" s="407"/>
      <c r="AN87" s="363" t="s">
        <v>338</v>
      </c>
      <c r="AO87" s="356" t="n">
        <f aca="false">($M87=AN87)*$D$14</f>
        <v>0</v>
      </c>
      <c r="AP87" s="407"/>
      <c r="AQ87" s="363" t="s">
        <v>338</v>
      </c>
      <c r="AR87" s="356" t="n">
        <f aca="false">($M87=AQ87)*$D$14</f>
        <v>0</v>
      </c>
      <c r="AS87" s="407"/>
      <c r="AT87" s="363" t="s">
        <v>338</v>
      </c>
      <c r="AU87" s="356" t="n">
        <f aca="false">($M87=AT87)*$D$14</f>
        <v>0</v>
      </c>
      <c r="AV87" s="407"/>
      <c r="AW87" s="363" t="s">
        <v>338</v>
      </c>
      <c r="AX87" s="356" t="n">
        <f aca="false">($M87=AW87)*$D$14</f>
        <v>0</v>
      </c>
      <c r="AY87" s="407"/>
      <c r="AZ87" s="363" t="s">
        <v>338</v>
      </c>
      <c r="BA87" s="356" t="n">
        <f aca="false">($M87=AZ87)*$D$14</f>
        <v>0</v>
      </c>
      <c r="BB87" s="407"/>
      <c r="BC87" s="363" t="s">
        <v>338</v>
      </c>
      <c r="BD87" s="356" t="n">
        <f aca="false">($M87=BC87)*$D$14</f>
        <v>0</v>
      </c>
      <c r="BE87" s="407"/>
      <c r="BF87" s="363" t="s">
        <v>338</v>
      </c>
      <c r="BG87" s="356" t="n">
        <f aca="false">($M87=BF87)*$D$14</f>
        <v>0</v>
      </c>
      <c r="BH87" s="407"/>
      <c r="BI87" s="363" t="s">
        <v>338</v>
      </c>
      <c r="BJ87" s="356" t="n">
        <f aca="false">($M87=BI87)*$D$14</f>
        <v>0</v>
      </c>
      <c r="BK87" s="407"/>
      <c r="BL87" s="363" t="s">
        <v>338</v>
      </c>
      <c r="BM87" s="356" t="n">
        <f aca="false">($M87=BL87)*$D$14</f>
        <v>0</v>
      </c>
      <c r="BN87" s="407"/>
      <c r="BO87" s="363" t="s">
        <v>338</v>
      </c>
      <c r="BP87" s="356" t="n">
        <f aca="false">($M87=BO87)*$D$14</f>
        <v>0</v>
      </c>
      <c r="BQ87" s="407"/>
      <c r="BR87" s="363" t="s">
        <v>338</v>
      </c>
      <c r="BS87" s="356" t="n">
        <f aca="false">($M87=BR87)*$D$14</f>
        <v>0</v>
      </c>
      <c r="BT87" s="407"/>
      <c r="BU87" s="363"/>
      <c r="BV87" s="356" t="n">
        <f aca="false">($M87=BU87)*$D$14</f>
        <v>0</v>
      </c>
      <c r="BW87" s="407"/>
      <c r="BX87" s="363"/>
      <c r="BY87" s="356" t="n">
        <f aca="false">($M87=BX87)*$D$14</f>
        <v>0</v>
      </c>
      <c r="BZ87" s="407"/>
      <c r="CA87" s="363"/>
      <c r="CB87" s="356" t="n">
        <f aca="false">($M87=CA87)*$D$14</f>
        <v>0</v>
      </c>
      <c r="CC87" s="407"/>
      <c r="CD87" s="363"/>
      <c r="CE87" s="356" t="n">
        <f aca="false">($M87=CD87)*$D$14</f>
        <v>0</v>
      </c>
      <c r="CF87" s="407"/>
      <c r="CG87" s="363"/>
      <c r="CH87" s="356" t="n">
        <f aca="false">($M87=CG87)*$D$14</f>
        <v>0</v>
      </c>
      <c r="CI87" s="407"/>
      <c r="CJ87" s="363"/>
      <c r="CK87" s="356" t="n">
        <f aca="false">($M87=CJ87)*$D$14</f>
        <v>0</v>
      </c>
      <c r="CL87" s="407"/>
      <c r="CM87" s="363"/>
      <c r="CN87" s="356" t="n">
        <f aca="false">($M87=CM87)*$D$14</f>
        <v>0</v>
      </c>
      <c r="CO87" s="407"/>
      <c r="CP87" s="363"/>
      <c r="CQ87" s="356" t="n">
        <f aca="false">($M87=CP87)*$D$14</f>
        <v>0</v>
      </c>
      <c r="CR87" s="407"/>
      <c r="CS87" s="363"/>
      <c r="CT87" s="356" t="n">
        <f aca="false">($M87=CS87)*$D$14</f>
        <v>0</v>
      </c>
      <c r="CU87" s="407"/>
      <c r="CV87" s="363"/>
      <c r="CW87" s="356" t="n">
        <f aca="false">($M87=CV87)*$D$14</f>
        <v>0</v>
      </c>
      <c r="CX87" s="407"/>
      <c r="CY87" s="363"/>
      <c r="CZ87" s="356" t="n">
        <f aca="false">($M87=CY87)*$D$14</f>
        <v>0</v>
      </c>
      <c r="DA87" s="407"/>
      <c r="DB87" s="363"/>
      <c r="DC87" s="356" t="n">
        <f aca="false">($M87=DB87)*$D$14</f>
        <v>0</v>
      </c>
      <c r="DD87" s="407"/>
      <c r="DE87" s="363"/>
      <c r="DF87" s="356" t="n">
        <f aca="false">($M87=DE87)*$D$14</f>
        <v>0</v>
      </c>
      <c r="DG87" s="407"/>
      <c r="DH87" s="363"/>
      <c r="DI87" s="356" t="n">
        <f aca="false">($M87=DH87)*$D$14</f>
        <v>0</v>
      </c>
      <c r="DJ87" s="407"/>
      <c r="DK87" s="363"/>
      <c r="DL87" s="356" t="n">
        <f aca="false">($M87=DK87)*$D$14</f>
        <v>0</v>
      </c>
      <c r="DM87" s="407"/>
      <c r="DN87" s="363"/>
      <c r="DO87" s="356" t="n">
        <f aca="false">($M87=DN87)*$D$14</f>
        <v>0</v>
      </c>
      <c r="DP87" s="407"/>
      <c r="DQ87" s="363"/>
      <c r="DR87" s="356" t="n">
        <f aca="false">($M87=DQ87)*$D$14</f>
        <v>0</v>
      </c>
      <c r="DS87" s="407"/>
      <c r="DT87" s="363"/>
      <c r="DU87" s="356" t="n">
        <f aca="false">($M87=DT87)*$D$14</f>
        <v>0</v>
      </c>
      <c r="DV87" s="407"/>
      <c r="DW87" s="363"/>
      <c r="DX87" s="356" t="n">
        <f aca="false">($M87=DW87)*$D$14</f>
        <v>0</v>
      </c>
      <c r="DY87" s="407"/>
      <c r="DZ87" s="363"/>
      <c r="EA87" s="356" t="n">
        <f aca="false">($M87=DZ87)*$D$14</f>
        <v>0</v>
      </c>
      <c r="EB87" s="407"/>
      <c r="EC87" s="355"/>
      <c r="ED87" s="356" t="n">
        <f aca="false">($M87=EC87)*$D$14</f>
        <v>0</v>
      </c>
      <c r="EE87" s="407"/>
      <c r="EF87" s="363"/>
      <c r="EG87" s="356" t="n">
        <f aca="false">($M87=EF87)*$D$14</f>
        <v>0</v>
      </c>
      <c r="EH87" s="407"/>
      <c r="EI87" s="407"/>
    </row>
    <row r="88" customFormat="false" ht="15" hidden="false" customHeight="false" outlineLevel="0" collapsed="false">
      <c r="A88" s="327"/>
      <c r="B88" s="327"/>
      <c r="C88" s="327"/>
      <c r="D88" s="327"/>
      <c r="E88" s="327"/>
      <c r="F88" s="328" t="n">
        <f aca="false">$D$11</f>
        <v>5</v>
      </c>
      <c r="G88" s="394" t="n">
        <f aca="false">VLOOKUP(H88,Equipos!$Q$1:$R$25,2,0)</f>
        <v>15</v>
      </c>
      <c r="H88" s="395" t="n">
        <f aca="false">$H$58</f>
        <v>46198</v>
      </c>
      <c r="I88" s="333"/>
      <c r="J88" s="408" t="s">
        <v>93</v>
      </c>
      <c r="K88" s="367" t="str">
        <f aca="false">Idiomas!D158</f>
        <v>1º GRUPO C</v>
      </c>
      <c r="L88" s="354"/>
      <c r="M88" s="359" t="str">
        <f aca="false">IF(OR(SUM(WORLDCUP!$AN$22:$AN$25)=12,WORLDCUP!$AJ$99=144),WORLDCUP!AL22,LEFT(K88,1)&amp;RIGHT(K88,1))</f>
        <v>1C</v>
      </c>
      <c r="N88" s="332"/>
      <c r="O88" s="332"/>
      <c r="P88" s="332"/>
      <c r="Q88" s="332"/>
      <c r="R88" s="404"/>
      <c r="S88" s="363" t="s">
        <v>339</v>
      </c>
      <c r="T88" s="356" t="n">
        <f aca="false">($M88=S88)*$D$11</f>
        <v>0</v>
      </c>
      <c r="U88" s="407"/>
      <c r="V88" s="363" t="s">
        <v>339</v>
      </c>
      <c r="W88" s="356" t="n">
        <f aca="false">($M88=V88)*$D$11</f>
        <v>0</v>
      </c>
      <c r="X88" s="407"/>
      <c r="Y88" s="363" t="s">
        <v>339</v>
      </c>
      <c r="Z88" s="356" t="n">
        <f aca="false">($M88=Y88)*$D$11</f>
        <v>0</v>
      </c>
      <c r="AA88" s="407"/>
      <c r="AB88" s="363" t="s">
        <v>340</v>
      </c>
      <c r="AC88" s="356" t="n">
        <f aca="false">($M88=AB88)*$D$11</f>
        <v>0</v>
      </c>
      <c r="AD88" s="407"/>
      <c r="AE88" s="363" t="s">
        <v>340</v>
      </c>
      <c r="AF88" s="356" t="n">
        <f aca="false">($M88=AE88)*$D$11</f>
        <v>0</v>
      </c>
      <c r="AG88" s="407"/>
      <c r="AH88" s="363" t="s">
        <v>339</v>
      </c>
      <c r="AI88" s="356" t="n">
        <f aca="false">($M88=AH88)*$D$11</f>
        <v>0</v>
      </c>
      <c r="AJ88" s="407"/>
      <c r="AK88" s="363" t="s">
        <v>339</v>
      </c>
      <c r="AL88" s="356" t="n">
        <f aca="false">($M88=AK88)*$D$11</f>
        <v>0</v>
      </c>
      <c r="AM88" s="407"/>
      <c r="AN88" s="363" t="s">
        <v>339</v>
      </c>
      <c r="AO88" s="356" t="n">
        <f aca="false">($M88=AN88)*$D$11</f>
        <v>0</v>
      </c>
      <c r="AP88" s="407"/>
      <c r="AQ88" s="363" t="s">
        <v>340</v>
      </c>
      <c r="AR88" s="356" t="n">
        <f aca="false">($M88=AQ88)*$D$11</f>
        <v>0</v>
      </c>
      <c r="AS88" s="407"/>
      <c r="AT88" s="363" t="s">
        <v>340</v>
      </c>
      <c r="AU88" s="356" t="n">
        <f aca="false">($M88=AT88)*$D$11</f>
        <v>0</v>
      </c>
      <c r="AV88" s="407"/>
      <c r="AW88" s="363" t="s">
        <v>339</v>
      </c>
      <c r="AX88" s="356" t="n">
        <f aca="false">($M88=AW88)*$D$11</f>
        <v>0</v>
      </c>
      <c r="AY88" s="407"/>
      <c r="AZ88" s="363" t="s">
        <v>339</v>
      </c>
      <c r="BA88" s="356" t="n">
        <f aca="false">($M88=AZ88)*$D$11</f>
        <v>0</v>
      </c>
      <c r="BB88" s="407"/>
      <c r="BC88" s="363" t="s">
        <v>339</v>
      </c>
      <c r="BD88" s="356" t="n">
        <f aca="false">($M88=BC88)*$D$11</f>
        <v>0</v>
      </c>
      <c r="BE88" s="407"/>
      <c r="BF88" s="363" t="s">
        <v>339</v>
      </c>
      <c r="BG88" s="356" t="n">
        <f aca="false">($M88=BF88)*$D$11</f>
        <v>0</v>
      </c>
      <c r="BH88" s="407"/>
      <c r="BI88" s="363" t="s">
        <v>339</v>
      </c>
      <c r="BJ88" s="356" t="n">
        <f aca="false">($M88=BI88)*$D$11</f>
        <v>0</v>
      </c>
      <c r="BK88" s="407"/>
      <c r="BL88" s="363" t="s">
        <v>339</v>
      </c>
      <c r="BM88" s="356" t="n">
        <f aca="false">($M88=BL88)*$D$11</f>
        <v>0</v>
      </c>
      <c r="BN88" s="407"/>
      <c r="BO88" s="363" t="s">
        <v>339</v>
      </c>
      <c r="BP88" s="356" t="n">
        <f aca="false">($M88=BO88)*$D$11</f>
        <v>0</v>
      </c>
      <c r="BQ88" s="407"/>
      <c r="BR88" s="363" t="s">
        <v>339</v>
      </c>
      <c r="BS88" s="356" t="n">
        <f aca="false">($M88=BR88)*$D$11</f>
        <v>0</v>
      </c>
      <c r="BT88" s="407"/>
      <c r="BU88" s="363"/>
      <c r="BV88" s="356" t="n">
        <f aca="false">($M88=BU88)*$D$11</f>
        <v>0</v>
      </c>
      <c r="BW88" s="407"/>
      <c r="BX88" s="363"/>
      <c r="BY88" s="356" t="n">
        <f aca="false">($M88=BX88)*$D$11</f>
        <v>0</v>
      </c>
      <c r="BZ88" s="407"/>
      <c r="CA88" s="363"/>
      <c r="CB88" s="356" t="n">
        <f aca="false">($M88=CA88)*$D$11</f>
        <v>0</v>
      </c>
      <c r="CC88" s="407"/>
      <c r="CD88" s="363"/>
      <c r="CE88" s="356" t="n">
        <f aca="false">($M88=CD88)*$D$11</f>
        <v>0</v>
      </c>
      <c r="CF88" s="407"/>
      <c r="CG88" s="363"/>
      <c r="CH88" s="356" t="n">
        <f aca="false">($M88=CG88)*$D$11</f>
        <v>0</v>
      </c>
      <c r="CI88" s="407"/>
      <c r="CJ88" s="363"/>
      <c r="CK88" s="356" t="n">
        <f aca="false">($M88=CJ88)*$D$11</f>
        <v>0</v>
      </c>
      <c r="CL88" s="407"/>
      <c r="CM88" s="363"/>
      <c r="CN88" s="356" t="n">
        <f aca="false">($M88=CM88)*$D$11</f>
        <v>0</v>
      </c>
      <c r="CO88" s="407"/>
      <c r="CP88" s="363"/>
      <c r="CQ88" s="356" t="n">
        <f aca="false">($M88=CP88)*$D$11</f>
        <v>0</v>
      </c>
      <c r="CR88" s="407"/>
      <c r="CS88" s="363"/>
      <c r="CT88" s="356" t="n">
        <f aca="false">($M88=CS88)*$D$11</f>
        <v>0</v>
      </c>
      <c r="CU88" s="407"/>
      <c r="CV88" s="363"/>
      <c r="CW88" s="356" t="n">
        <f aca="false">($M88=CV88)*$D$11</f>
        <v>0</v>
      </c>
      <c r="CX88" s="407"/>
      <c r="CY88" s="363"/>
      <c r="CZ88" s="356" t="n">
        <f aca="false">($M88=CY88)*$D$11</f>
        <v>0</v>
      </c>
      <c r="DA88" s="407"/>
      <c r="DB88" s="363"/>
      <c r="DC88" s="356" t="n">
        <f aca="false">($M88=DB88)*$D$11</f>
        <v>0</v>
      </c>
      <c r="DD88" s="407"/>
      <c r="DE88" s="363"/>
      <c r="DF88" s="356" t="n">
        <f aca="false">($M88=DE88)*$D$11</f>
        <v>0</v>
      </c>
      <c r="DG88" s="407"/>
      <c r="DH88" s="363"/>
      <c r="DI88" s="356" t="n">
        <f aca="false">($M88=DH88)*$D$11</f>
        <v>0</v>
      </c>
      <c r="DJ88" s="407"/>
      <c r="DK88" s="363"/>
      <c r="DL88" s="356" t="n">
        <f aca="false">($M88=DK88)*$D$11</f>
        <v>0</v>
      </c>
      <c r="DM88" s="407"/>
      <c r="DN88" s="363"/>
      <c r="DO88" s="356" t="n">
        <f aca="false">($M88=DN88)*$D$11</f>
        <v>0</v>
      </c>
      <c r="DP88" s="407"/>
      <c r="DQ88" s="363"/>
      <c r="DR88" s="356" t="n">
        <f aca="false">($M88=DQ88)*$D$11</f>
        <v>0</v>
      </c>
      <c r="DS88" s="407"/>
      <c r="DT88" s="363"/>
      <c r="DU88" s="356" t="n">
        <f aca="false">($M88=DT88)*$D$11</f>
        <v>0</v>
      </c>
      <c r="DV88" s="407"/>
      <c r="DW88" s="363"/>
      <c r="DX88" s="356" t="n">
        <f aca="false">($M88=DW88)*$D$11</f>
        <v>0</v>
      </c>
      <c r="DY88" s="407"/>
      <c r="DZ88" s="363"/>
      <c r="EA88" s="356" t="n">
        <f aca="false">($M88=DZ88)*$D$11</f>
        <v>0</v>
      </c>
      <c r="EB88" s="407"/>
      <c r="EC88" s="363"/>
      <c r="ED88" s="356" t="n">
        <f aca="false">($M88=EC88)*$D$11</f>
        <v>0</v>
      </c>
      <c r="EE88" s="407"/>
      <c r="EF88" s="363"/>
      <c r="EG88" s="356" t="n">
        <f aca="false">($M88=EF88)*$D$11</f>
        <v>0</v>
      </c>
      <c r="EH88" s="407"/>
      <c r="EI88" s="407"/>
    </row>
    <row r="89" customFormat="false" ht="15" hidden="false" customHeight="false" outlineLevel="0" collapsed="false">
      <c r="A89" s="327"/>
      <c r="B89" s="327"/>
      <c r="C89" s="327"/>
      <c r="D89" s="327"/>
      <c r="E89" s="327"/>
      <c r="F89" s="328" t="n">
        <f aca="false">$D$12</f>
        <v>5</v>
      </c>
      <c r="G89" s="394" t="n">
        <f aca="false">VLOOKUP(H89,Equipos!$Q$1:$R$25,2,0)</f>
        <v>15</v>
      </c>
      <c r="H89" s="395" t="n">
        <f aca="false">$H$58</f>
        <v>46198</v>
      </c>
      <c r="I89" s="333"/>
      <c r="J89" s="408"/>
      <c r="K89" s="367" t="str">
        <f aca="false">Idiomas!D159</f>
        <v>2º GRUPO C</v>
      </c>
      <c r="L89" s="354"/>
      <c r="M89" s="359" t="str">
        <f aca="false">IF(OR(SUM(WORLDCUP!$AN$22:$AN$25)=12,WORLDCUP!$AJ$99=144),WORLDCUP!AL23,LEFT(K89,1)&amp;RIGHT(K89,1))</f>
        <v>2C</v>
      </c>
      <c r="N89" s="332"/>
      <c r="O89" s="332"/>
      <c r="P89" s="332"/>
      <c r="Q89" s="332"/>
      <c r="R89" s="404"/>
      <c r="S89" s="363" t="s">
        <v>340</v>
      </c>
      <c r="T89" s="356" t="n">
        <f aca="false">($M89=S89)*$D$12</f>
        <v>0</v>
      </c>
      <c r="U89" s="407"/>
      <c r="V89" s="363" t="s">
        <v>340</v>
      </c>
      <c r="W89" s="356" t="n">
        <f aca="false">($M89=V89)*$D$12</f>
        <v>0</v>
      </c>
      <c r="X89" s="407"/>
      <c r="Y89" s="363" t="s">
        <v>340</v>
      </c>
      <c r="Z89" s="356" t="n">
        <f aca="false">($M89=Y89)*$D$12</f>
        <v>0</v>
      </c>
      <c r="AA89" s="407"/>
      <c r="AB89" s="363" t="s">
        <v>339</v>
      </c>
      <c r="AC89" s="356" t="n">
        <f aca="false">($M89=AB89)*$D$12</f>
        <v>0</v>
      </c>
      <c r="AD89" s="407"/>
      <c r="AE89" s="363" t="s">
        <v>339</v>
      </c>
      <c r="AF89" s="356" t="n">
        <f aca="false">($M89=AE89)*$D$12</f>
        <v>0</v>
      </c>
      <c r="AG89" s="407"/>
      <c r="AH89" s="363" t="s">
        <v>340</v>
      </c>
      <c r="AI89" s="356" t="n">
        <f aca="false">($M89=AH89)*$D$12</f>
        <v>0</v>
      </c>
      <c r="AJ89" s="407"/>
      <c r="AK89" s="363" t="s">
        <v>340</v>
      </c>
      <c r="AL89" s="356" t="n">
        <f aca="false">($M89=AK89)*$D$12</f>
        <v>0</v>
      </c>
      <c r="AM89" s="407"/>
      <c r="AN89" s="363" t="s">
        <v>340</v>
      </c>
      <c r="AO89" s="356" t="n">
        <f aca="false">($M89=AN89)*$D$12</f>
        <v>0</v>
      </c>
      <c r="AP89" s="407"/>
      <c r="AQ89" s="363" t="s">
        <v>339</v>
      </c>
      <c r="AR89" s="356" t="n">
        <f aca="false">($M89=AQ89)*$D$12</f>
        <v>0</v>
      </c>
      <c r="AS89" s="407"/>
      <c r="AT89" s="363" t="s">
        <v>339</v>
      </c>
      <c r="AU89" s="356" t="n">
        <f aca="false">($M89=AT89)*$D$12</f>
        <v>0</v>
      </c>
      <c r="AV89" s="407"/>
      <c r="AW89" s="363" t="s">
        <v>340</v>
      </c>
      <c r="AX89" s="356" t="n">
        <f aca="false">($M89=AW89)*$D$12</f>
        <v>0</v>
      </c>
      <c r="AY89" s="407"/>
      <c r="AZ89" s="363" t="s">
        <v>340</v>
      </c>
      <c r="BA89" s="356" t="n">
        <f aca="false">($M89=AZ89)*$D$12</f>
        <v>0</v>
      </c>
      <c r="BB89" s="407"/>
      <c r="BC89" s="363" t="s">
        <v>340</v>
      </c>
      <c r="BD89" s="356" t="n">
        <f aca="false">($M89=BC89)*$D$12</f>
        <v>0</v>
      </c>
      <c r="BE89" s="407"/>
      <c r="BF89" s="363" t="s">
        <v>340</v>
      </c>
      <c r="BG89" s="356" t="n">
        <f aca="false">($M89=BF89)*$D$12</f>
        <v>0</v>
      </c>
      <c r="BH89" s="407"/>
      <c r="BI89" s="363" t="s">
        <v>340</v>
      </c>
      <c r="BJ89" s="356" t="n">
        <f aca="false">($M89=BI89)*$D$12</f>
        <v>0</v>
      </c>
      <c r="BK89" s="407"/>
      <c r="BL89" s="363" t="s">
        <v>340</v>
      </c>
      <c r="BM89" s="356" t="n">
        <f aca="false">($M89=BL89)*$D$12</f>
        <v>0</v>
      </c>
      <c r="BN89" s="407"/>
      <c r="BO89" s="363" t="s">
        <v>340</v>
      </c>
      <c r="BP89" s="356" t="n">
        <f aca="false">($M89=BO89)*$D$12</f>
        <v>0</v>
      </c>
      <c r="BQ89" s="407"/>
      <c r="BR89" s="363" t="s">
        <v>340</v>
      </c>
      <c r="BS89" s="356" t="n">
        <f aca="false">($M89=BR89)*$D$12</f>
        <v>0</v>
      </c>
      <c r="BT89" s="407"/>
      <c r="BU89" s="363"/>
      <c r="BV89" s="356" t="n">
        <f aca="false">($M89=BU89)*$D$12</f>
        <v>0</v>
      </c>
      <c r="BW89" s="407"/>
      <c r="BX89" s="363"/>
      <c r="BY89" s="356" t="n">
        <f aca="false">($M89=BX89)*$D$12</f>
        <v>0</v>
      </c>
      <c r="BZ89" s="407"/>
      <c r="CA89" s="363"/>
      <c r="CB89" s="356" t="n">
        <f aca="false">($M89=CA89)*$D$12</f>
        <v>0</v>
      </c>
      <c r="CC89" s="407"/>
      <c r="CD89" s="363"/>
      <c r="CE89" s="356" t="n">
        <f aca="false">($M89=CD89)*$D$12</f>
        <v>0</v>
      </c>
      <c r="CF89" s="407"/>
      <c r="CG89" s="363"/>
      <c r="CH89" s="356" t="n">
        <f aca="false">($M89=CG89)*$D$12</f>
        <v>0</v>
      </c>
      <c r="CI89" s="407"/>
      <c r="CJ89" s="363"/>
      <c r="CK89" s="356" t="n">
        <f aca="false">($M89=CJ89)*$D$12</f>
        <v>0</v>
      </c>
      <c r="CL89" s="407"/>
      <c r="CM89" s="363"/>
      <c r="CN89" s="356" t="n">
        <f aca="false">($M89=CM89)*$D$12</f>
        <v>0</v>
      </c>
      <c r="CO89" s="407"/>
      <c r="CP89" s="363"/>
      <c r="CQ89" s="356" t="n">
        <f aca="false">($M89=CP89)*$D$12</f>
        <v>0</v>
      </c>
      <c r="CR89" s="407"/>
      <c r="CS89" s="363"/>
      <c r="CT89" s="356" t="n">
        <f aca="false">($M89=CS89)*$D$12</f>
        <v>0</v>
      </c>
      <c r="CU89" s="407"/>
      <c r="CV89" s="363"/>
      <c r="CW89" s="356" t="n">
        <f aca="false">($M89=CV89)*$D$12</f>
        <v>0</v>
      </c>
      <c r="CX89" s="407"/>
      <c r="CY89" s="363"/>
      <c r="CZ89" s="356" t="n">
        <f aca="false">($M89=CY89)*$D$12</f>
        <v>0</v>
      </c>
      <c r="DA89" s="407"/>
      <c r="DB89" s="363"/>
      <c r="DC89" s="356" t="n">
        <f aca="false">($M89=DB89)*$D$12</f>
        <v>0</v>
      </c>
      <c r="DD89" s="407"/>
      <c r="DE89" s="363"/>
      <c r="DF89" s="356" t="n">
        <f aca="false">($M89=DE89)*$D$12</f>
        <v>0</v>
      </c>
      <c r="DG89" s="407"/>
      <c r="DH89" s="363"/>
      <c r="DI89" s="356" t="n">
        <f aca="false">($M89=DH89)*$D$12</f>
        <v>0</v>
      </c>
      <c r="DJ89" s="407"/>
      <c r="DK89" s="363"/>
      <c r="DL89" s="356" t="n">
        <f aca="false">($M89=DK89)*$D$12</f>
        <v>0</v>
      </c>
      <c r="DM89" s="407"/>
      <c r="DN89" s="363"/>
      <c r="DO89" s="356" t="n">
        <f aca="false">($M89=DN89)*$D$12</f>
        <v>0</v>
      </c>
      <c r="DP89" s="407"/>
      <c r="DQ89" s="363"/>
      <c r="DR89" s="356" t="n">
        <f aca="false">($M89=DQ89)*$D$12</f>
        <v>0</v>
      </c>
      <c r="DS89" s="407"/>
      <c r="DT89" s="363"/>
      <c r="DU89" s="356" t="n">
        <f aca="false">($M89=DT89)*$D$12</f>
        <v>0</v>
      </c>
      <c r="DV89" s="407"/>
      <c r="DW89" s="363"/>
      <c r="DX89" s="356" t="n">
        <f aca="false">($M89=DW89)*$D$12</f>
        <v>0</v>
      </c>
      <c r="DY89" s="407"/>
      <c r="DZ89" s="363"/>
      <c r="EA89" s="356" t="n">
        <f aca="false">($M89=DZ89)*$D$12</f>
        <v>0</v>
      </c>
      <c r="EB89" s="407"/>
      <c r="EC89" s="366"/>
      <c r="ED89" s="356" t="n">
        <f aca="false">($M89=EC89)*$D$12</f>
        <v>0</v>
      </c>
      <c r="EE89" s="407"/>
      <c r="EF89" s="363"/>
      <c r="EG89" s="356" t="n">
        <f aca="false">($M89=EF89)*$D$12</f>
        <v>0</v>
      </c>
      <c r="EH89" s="407"/>
      <c r="EI89" s="407"/>
    </row>
    <row r="90" customFormat="false" ht="15" hidden="false" customHeight="false" outlineLevel="0" collapsed="false">
      <c r="A90" s="327"/>
      <c r="B90" s="327"/>
      <c r="C90" s="327"/>
      <c r="D90" s="327"/>
      <c r="E90" s="327"/>
      <c r="F90" s="328" t="n">
        <f aca="false">$D$13</f>
        <v>5</v>
      </c>
      <c r="G90" s="394" t="n">
        <f aca="false">VLOOKUP(H90,Equipos!$Q$1:$R$25,2,0)</f>
        <v>15</v>
      </c>
      <c r="H90" s="395" t="n">
        <f aca="false">$H$58</f>
        <v>46198</v>
      </c>
      <c r="I90" s="333"/>
      <c r="J90" s="408"/>
      <c r="K90" s="367" t="str">
        <f aca="false">Idiomas!D160</f>
        <v>3º GRUPO C</v>
      </c>
      <c r="L90" s="354"/>
      <c r="M90" s="359" t="str">
        <f aca="false">IF(OR(SUM(WORLDCUP!$AN$22:$AN$25)=12,WORLDCUP!$AJ$99=144),WORLDCUP!AL24,LEFT(K90,1)&amp;RIGHT(K90,1))</f>
        <v>3C</v>
      </c>
      <c r="N90" s="332"/>
      <c r="O90" s="332"/>
      <c r="P90" s="332"/>
      <c r="Q90" s="332"/>
      <c r="R90" s="404"/>
      <c r="S90" s="363" t="s">
        <v>341</v>
      </c>
      <c r="T90" s="356" t="n">
        <f aca="false">($M90=S90)*$D$13</f>
        <v>0</v>
      </c>
      <c r="U90" s="407"/>
      <c r="V90" s="363" t="s">
        <v>341</v>
      </c>
      <c r="W90" s="356" t="n">
        <f aca="false">($M90=V90)*$D$13</f>
        <v>0</v>
      </c>
      <c r="X90" s="407"/>
      <c r="Y90" s="363" t="s">
        <v>341</v>
      </c>
      <c r="Z90" s="356" t="n">
        <f aca="false">($M90=Y90)*$D$13</f>
        <v>0</v>
      </c>
      <c r="AA90" s="407"/>
      <c r="AB90" s="363" t="s">
        <v>341</v>
      </c>
      <c r="AC90" s="356" t="n">
        <f aca="false">($M90=AB90)*$D$13</f>
        <v>0</v>
      </c>
      <c r="AD90" s="407"/>
      <c r="AE90" s="363" t="s">
        <v>341</v>
      </c>
      <c r="AF90" s="356" t="n">
        <f aca="false">($M90=AE90)*$D$13</f>
        <v>0</v>
      </c>
      <c r="AG90" s="407"/>
      <c r="AH90" s="363" t="s">
        <v>341</v>
      </c>
      <c r="AI90" s="356" t="n">
        <f aca="false">($M90=AH90)*$D$13</f>
        <v>0</v>
      </c>
      <c r="AJ90" s="407"/>
      <c r="AK90" s="363" t="s">
        <v>341</v>
      </c>
      <c r="AL90" s="356" t="n">
        <f aca="false">($M90=AK90)*$D$13</f>
        <v>0</v>
      </c>
      <c r="AM90" s="407"/>
      <c r="AN90" s="363" t="s">
        <v>341</v>
      </c>
      <c r="AO90" s="356" t="n">
        <f aca="false">($M90=AN90)*$D$13</f>
        <v>0</v>
      </c>
      <c r="AP90" s="407"/>
      <c r="AQ90" s="363" t="s">
        <v>341</v>
      </c>
      <c r="AR90" s="356" t="n">
        <f aca="false">($M90=AQ90)*$D$13</f>
        <v>0</v>
      </c>
      <c r="AS90" s="407"/>
      <c r="AT90" s="363" t="s">
        <v>341</v>
      </c>
      <c r="AU90" s="356" t="n">
        <f aca="false">($M90=AT90)*$D$13</f>
        <v>0</v>
      </c>
      <c r="AV90" s="407"/>
      <c r="AW90" s="363" t="s">
        <v>341</v>
      </c>
      <c r="AX90" s="356" t="n">
        <f aca="false">($M90=AW90)*$D$13</f>
        <v>0</v>
      </c>
      <c r="AY90" s="407"/>
      <c r="AZ90" s="363" t="s">
        <v>341</v>
      </c>
      <c r="BA90" s="356" t="n">
        <f aca="false">($M90=AZ90)*$D$13</f>
        <v>0</v>
      </c>
      <c r="BB90" s="407"/>
      <c r="BC90" s="363" t="s">
        <v>341</v>
      </c>
      <c r="BD90" s="356" t="n">
        <f aca="false">($M90=BC90)*$D$13</f>
        <v>0</v>
      </c>
      <c r="BE90" s="407"/>
      <c r="BF90" s="363" t="s">
        <v>341</v>
      </c>
      <c r="BG90" s="356" t="n">
        <f aca="false">($M90=BF90)*$D$13</f>
        <v>0</v>
      </c>
      <c r="BH90" s="407"/>
      <c r="BI90" s="363" t="s">
        <v>341</v>
      </c>
      <c r="BJ90" s="356" t="n">
        <f aca="false">($M90=BI90)*$D$13</f>
        <v>0</v>
      </c>
      <c r="BK90" s="407"/>
      <c r="BL90" s="363" t="s">
        <v>341</v>
      </c>
      <c r="BM90" s="356" t="n">
        <f aca="false">($M90=BL90)*$D$13</f>
        <v>0</v>
      </c>
      <c r="BN90" s="407"/>
      <c r="BO90" s="363" t="s">
        <v>341</v>
      </c>
      <c r="BP90" s="356" t="n">
        <f aca="false">($M90=BO90)*$D$13</f>
        <v>0</v>
      </c>
      <c r="BQ90" s="407"/>
      <c r="BR90" s="363" t="s">
        <v>341</v>
      </c>
      <c r="BS90" s="356" t="n">
        <f aca="false">($M90=BR90)*$D$13</f>
        <v>0</v>
      </c>
      <c r="BT90" s="407"/>
      <c r="BU90" s="363"/>
      <c r="BV90" s="356" t="n">
        <f aca="false">($M90=BU90)*$D$13</f>
        <v>0</v>
      </c>
      <c r="BW90" s="407"/>
      <c r="BX90" s="363"/>
      <c r="BY90" s="356" t="n">
        <f aca="false">($M90=BX90)*$D$13</f>
        <v>0</v>
      </c>
      <c r="BZ90" s="407"/>
      <c r="CA90" s="363"/>
      <c r="CB90" s="356" t="n">
        <f aca="false">($M90=CA90)*$D$13</f>
        <v>0</v>
      </c>
      <c r="CC90" s="407"/>
      <c r="CD90" s="363"/>
      <c r="CE90" s="356" t="n">
        <f aca="false">($M90=CD90)*$D$13</f>
        <v>0</v>
      </c>
      <c r="CF90" s="407"/>
      <c r="CG90" s="363"/>
      <c r="CH90" s="356" t="n">
        <f aca="false">($M90=CG90)*$D$13</f>
        <v>0</v>
      </c>
      <c r="CI90" s="407"/>
      <c r="CJ90" s="363"/>
      <c r="CK90" s="356" t="n">
        <f aca="false">($M90=CJ90)*$D$13</f>
        <v>0</v>
      </c>
      <c r="CL90" s="407"/>
      <c r="CM90" s="363"/>
      <c r="CN90" s="356" t="n">
        <f aca="false">($M90=CM90)*$D$13</f>
        <v>0</v>
      </c>
      <c r="CO90" s="407"/>
      <c r="CP90" s="363"/>
      <c r="CQ90" s="356" t="n">
        <f aca="false">($M90=CP90)*$D$13</f>
        <v>0</v>
      </c>
      <c r="CR90" s="407"/>
      <c r="CS90" s="363"/>
      <c r="CT90" s="356" t="n">
        <f aca="false">($M90=CS90)*$D$13</f>
        <v>0</v>
      </c>
      <c r="CU90" s="407"/>
      <c r="CV90" s="363"/>
      <c r="CW90" s="356" t="n">
        <f aca="false">($M90=CV90)*$D$13</f>
        <v>0</v>
      </c>
      <c r="CX90" s="407"/>
      <c r="CY90" s="363"/>
      <c r="CZ90" s="356" t="n">
        <f aca="false">($M90=CY90)*$D$13</f>
        <v>0</v>
      </c>
      <c r="DA90" s="407"/>
      <c r="DB90" s="363"/>
      <c r="DC90" s="356" t="n">
        <f aca="false">($M90=DB90)*$D$13</f>
        <v>0</v>
      </c>
      <c r="DD90" s="407"/>
      <c r="DE90" s="363"/>
      <c r="DF90" s="356" t="n">
        <f aca="false">($M90=DE90)*$D$13</f>
        <v>0</v>
      </c>
      <c r="DG90" s="407"/>
      <c r="DH90" s="363"/>
      <c r="DI90" s="356" t="n">
        <f aca="false">($M90=DH90)*$D$13</f>
        <v>0</v>
      </c>
      <c r="DJ90" s="407"/>
      <c r="DK90" s="363"/>
      <c r="DL90" s="356" t="n">
        <f aca="false">($M90=DK90)*$D$13</f>
        <v>0</v>
      </c>
      <c r="DM90" s="407"/>
      <c r="DN90" s="363"/>
      <c r="DO90" s="356" t="n">
        <f aca="false">($M90=DN90)*$D$13</f>
        <v>0</v>
      </c>
      <c r="DP90" s="407"/>
      <c r="DQ90" s="363"/>
      <c r="DR90" s="356" t="n">
        <f aca="false">($M90=DQ90)*$D$13</f>
        <v>0</v>
      </c>
      <c r="DS90" s="407"/>
      <c r="DT90" s="363"/>
      <c r="DU90" s="356" t="n">
        <f aca="false">($M90=DT90)*$D$13</f>
        <v>0</v>
      </c>
      <c r="DV90" s="407"/>
      <c r="DW90" s="363"/>
      <c r="DX90" s="356" t="n">
        <f aca="false">($M90=DW90)*$D$13</f>
        <v>0</v>
      </c>
      <c r="DY90" s="407"/>
      <c r="DZ90" s="363"/>
      <c r="EA90" s="356" t="n">
        <f aca="false">($M90=DZ90)*$D$13</f>
        <v>0</v>
      </c>
      <c r="EB90" s="407"/>
      <c r="EC90" s="363"/>
      <c r="ED90" s="356" t="n">
        <f aca="false">($M90=EC90)*$D$13</f>
        <v>0</v>
      </c>
      <c r="EE90" s="407"/>
      <c r="EF90" s="363"/>
      <c r="EG90" s="356" t="n">
        <f aca="false">($M90=EF90)*$D$13</f>
        <v>0</v>
      </c>
      <c r="EH90" s="407"/>
      <c r="EI90" s="407"/>
    </row>
    <row r="91" customFormat="false" ht="15" hidden="false" customHeight="false" outlineLevel="0" collapsed="false">
      <c r="A91" s="327"/>
      <c r="B91" s="327"/>
      <c r="C91" s="327"/>
      <c r="D91" s="327"/>
      <c r="E91" s="327"/>
      <c r="F91" s="328" t="n">
        <f aca="false">$D$14</f>
        <v>5</v>
      </c>
      <c r="G91" s="394" t="n">
        <f aca="false">VLOOKUP(H91,Equipos!$Q$1:$R$25,2,0)</f>
        <v>15</v>
      </c>
      <c r="H91" s="395" t="n">
        <f aca="false">$H$58</f>
        <v>46198</v>
      </c>
      <c r="I91" s="333"/>
      <c r="J91" s="408"/>
      <c r="K91" s="367" t="str">
        <f aca="false">Idiomas!D161</f>
        <v>4º GRUPO C</v>
      </c>
      <c r="L91" s="354"/>
      <c r="M91" s="359" t="str">
        <f aca="false">IF(OR(SUM(WORLDCUP!$AN$22:$AN$25)=12,WORLDCUP!$AJ$99=144),WORLDCUP!AL25,LEFT(K91,1)&amp;RIGHT(K91,1))</f>
        <v>4C</v>
      </c>
      <c r="N91" s="332"/>
      <c r="O91" s="332"/>
      <c r="P91" s="332"/>
      <c r="Q91" s="332"/>
      <c r="R91" s="404"/>
      <c r="S91" s="363" t="s">
        <v>342</v>
      </c>
      <c r="T91" s="356" t="n">
        <f aca="false">($M91=S91)*$D$14</f>
        <v>0</v>
      </c>
      <c r="U91" s="407"/>
      <c r="V91" s="363" t="s">
        <v>342</v>
      </c>
      <c r="W91" s="356" t="n">
        <f aca="false">($M91=V91)*$D$14</f>
        <v>0</v>
      </c>
      <c r="X91" s="407"/>
      <c r="Y91" s="363" t="s">
        <v>342</v>
      </c>
      <c r="Z91" s="356" t="n">
        <f aca="false">($M91=Y91)*$D$14</f>
        <v>0</v>
      </c>
      <c r="AA91" s="407"/>
      <c r="AB91" s="363" t="s">
        <v>342</v>
      </c>
      <c r="AC91" s="356" t="n">
        <f aca="false">($M91=AB91)*$D$14</f>
        <v>0</v>
      </c>
      <c r="AD91" s="407"/>
      <c r="AE91" s="363" t="s">
        <v>342</v>
      </c>
      <c r="AF91" s="356" t="n">
        <f aca="false">($M91=AE91)*$D$14</f>
        <v>0</v>
      </c>
      <c r="AG91" s="407"/>
      <c r="AH91" s="363" t="s">
        <v>342</v>
      </c>
      <c r="AI91" s="356" t="n">
        <f aca="false">($M91=AH91)*$D$14</f>
        <v>0</v>
      </c>
      <c r="AJ91" s="407"/>
      <c r="AK91" s="363" t="s">
        <v>342</v>
      </c>
      <c r="AL91" s="356" t="n">
        <f aca="false">($M91=AK91)*$D$14</f>
        <v>0</v>
      </c>
      <c r="AM91" s="407"/>
      <c r="AN91" s="363" t="s">
        <v>342</v>
      </c>
      <c r="AO91" s="356" t="n">
        <f aca="false">($M91=AN91)*$D$14</f>
        <v>0</v>
      </c>
      <c r="AP91" s="407"/>
      <c r="AQ91" s="363" t="s">
        <v>342</v>
      </c>
      <c r="AR91" s="356" t="n">
        <f aca="false">($M91=AQ91)*$D$14</f>
        <v>0</v>
      </c>
      <c r="AS91" s="407"/>
      <c r="AT91" s="363" t="s">
        <v>342</v>
      </c>
      <c r="AU91" s="356" t="n">
        <f aca="false">($M91=AT91)*$D$14</f>
        <v>0</v>
      </c>
      <c r="AV91" s="407"/>
      <c r="AW91" s="363" t="s">
        <v>342</v>
      </c>
      <c r="AX91" s="356" t="n">
        <f aca="false">($M91=AW91)*$D$14</f>
        <v>0</v>
      </c>
      <c r="AY91" s="407"/>
      <c r="AZ91" s="363" t="s">
        <v>342</v>
      </c>
      <c r="BA91" s="356" t="n">
        <f aca="false">($M91=AZ91)*$D$14</f>
        <v>0</v>
      </c>
      <c r="BB91" s="407"/>
      <c r="BC91" s="363" t="s">
        <v>342</v>
      </c>
      <c r="BD91" s="356" t="n">
        <f aca="false">($M91=BC91)*$D$14</f>
        <v>0</v>
      </c>
      <c r="BE91" s="407"/>
      <c r="BF91" s="363" t="s">
        <v>342</v>
      </c>
      <c r="BG91" s="356" t="n">
        <f aca="false">($M91=BF91)*$D$14</f>
        <v>0</v>
      </c>
      <c r="BH91" s="407"/>
      <c r="BI91" s="363" t="s">
        <v>342</v>
      </c>
      <c r="BJ91" s="356" t="n">
        <f aca="false">($M91=BI91)*$D$14</f>
        <v>0</v>
      </c>
      <c r="BK91" s="407"/>
      <c r="BL91" s="363" t="s">
        <v>342</v>
      </c>
      <c r="BM91" s="356" t="n">
        <f aca="false">($M91=BL91)*$D$14</f>
        <v>0</v>
      </c>
      <c r="BN91" s="407"/>
      <c r="BO91" s="363" t="s">
        <v>342</v>
      </c>
      <c r="BP91" s="356" t="n">
        <f aca="false">($M91=BO91)*$D$14</f>
        <v>0</v>
      </c>
      <c r="BQ91" s="407"/>
      <c r="BR91" s="363" t="s">
        <v>342</v>
      </c>
      <c r="BS91" s="356" t="n">
        <f aca="false">($M91=BR91)*$D$14</f>
        <v>0</v>
      </c>
      <c r="BT91" s="407"/>
      <c r="BU91" s="363"/>
      <c r="BV91" s="356" t="n">
        <f aca="false">($M91=BU91)*$D$14</f>
        <v>0</v>
      </c>
      <c r="BW91" s="407"/>
      <c r="BX91" s="363"/>
      <c r="BY91" s="356" t="n">
        <f aca="false">($M91=BX91)*$D$14</f>
        <v>0</v>
      </c>
      <c r="BZ91" s="407"/>
      <c r="CA91" s="363"/>
      <c r="CB91" s="356" t="n">
        <f aca="false">($M91=CA91)*$D$14</f>
        <v>0</v>
      </c>
      <c r="CC91" s="407"/>
      <c r="CD91" s="363"/>
      <c r="CE91" s="356" t="n">
        <f aca="false">($M91=CD91)*$D$14</f>
        <v>0</v>
      </c>
      <c r="CF91" s="407"/>
      <c r="CG91" s="363"/>
      <c r="CH91" s="356" t="n">
        <f aca="false">($M91=CG91)*$D$14</f>
        <v>0</v>
      </c>
      <c r="CI91" s="407"/>
      <c r="CJ91" s="363"/>
      <c r="CK91" s="356" t="n">
        <f aca="false">($M91=CJ91)*$D$14</f>
        <v>0</v>
      </c>
      <c r="CL91" s="407"/>
      <c r="CM91" s="363"/>
      <c r="CN91" s="356" t="n">
        <f aca="false">($M91=CM91)*$D$14</f>
        <v>0</v>
      </c>
      <c r="CO91" s="407"/>
      <c r="CP91" s="363"/>
      <c r="CQ91" s="356" t="n">
        <f aca="false">($M91=CP91)*$D$14</f>
        <v>0</v>
      </c>
      <c r="CR91" s="407"/>
      <c r="CS91" s="363"/>
      <c r="CT91" s="356" t="n">
        <f aca="false">($M91=CS91)*$D$14</f>
        <v>0</v>
      </c>
      <c r="CU91" s="407"/>
      <c r="CV91" s="363"/>
      <c r="CW91" s="356" t="n">
        <f aca="false">($M91=CV91)*$D$14</f>
        <v>0</v>
      </c>
      <c r="CX91" s="407"/>
      <c r="CY91" s="363"/>
      <c r="CZ91" s="356" t="n">
        <f aca="false">($M91=CY91)*$D$14</f>
        <v>0</v>
      </c>
      <c r="DA91" s="407"/>
      <c r="DB91" s="363"/>
      <c r="DC91" s="356" t="n">
        <f aca="false">($M91=DB91)*$D$14</f>
        <v>0</v>
      </c>
      <c r="DD91" s="407"/>
      <c r="DE91" s="363"/>
      <c r="DF91" s="356" t="n">
        <f aca="false">($M91=DE91)*$D$14</f>
        <v>0</v>
      </c>
      <c r="DG91" s="407"/>
      <c r="DH91" s="363"/>
      <c r="DI91" s="356" t="n">
        <f aca="false">($M91=DH91)*$D$14</f>
        <v>0</v>
      </c>
      <c r="DJ91" s="407"/>
      <c r="DK91" s="363"/>
      <c r="DL91" s="356" t="n">
        <f aca="false">($M91=DK91)*$D$14</f>
        <v>0</v>
      </c>
      <c r="DM91" s="407"/>
      <c r="DN91" s="363"/>
      <c r="DO91" s="356" t="n">
        <f aca="false">($M91=DN91)*$D$14</f>
        <v>0</v>
      </c>
      <c r="DP91" s="407"/>
      <c r="DQ91" s="363"/>
      <c r="DR91" s="356" t="n">
        <f aca="false">($M91=DQ91)*$D$14</f>
        <v>0</v>
      </c>
      <c r="DS91" s="407"/>
      <c r="DT91" s="363"/>
      <c r="DU91" s="356" t="n">
        <f aca="false">($M91=DT91)*$D$14</f>
        <v>0</v>
      </c>
      <c r="DV91" s="407"/>
      <c r="DW91" s="363"/>
      <c r="DX91" s="356" t="n">
        <f aca="false">($M91=DW91)*$D$14</f>
        <v>0</v>
      </c>
      <c r="DY91" s="407"/>
      <c r="DZ91" s="363"/>
      <c r="EA91" s="356" t="n">
        <f aca="false">($M91=DZ91)*$D$14</f>
        <v>0</v>
      </c>
      <c r="EB91" s="407"/>
      <c r="EC91" s="363"/>
      <c r="ED91" s="356" t="n">
        <f aca="false">($M91=EC91)*$D$14</f>
        <v>0</v>
      </c>
      <c r="EE91" s="407"/>
      <c r="EF91" s="363"/>
      <c r="EG91" s="356" t="n">
        <f aca="false">($M91=EF91)*$D$14</f>
        <v>0</v>
      </c>
      <c r="EH91" s="407"/>
      <c r="EI91" s="407"/>
    </row>
    <row r="92" customFormat="false" ht="15" hidden="false" customHeight="false" outlineLevel="0" collapsed="false">
      <c r="A92" s="327"/>
      <c r="B92" s="327"/>
      <c r="C92" s="327"/>
      <c r="D92" s="327"/>
      <c r="E92" s="327"/>
      <c r="F92" s="328" t="n">
        <f aca="false">$D$11</f>
        <v>5</v>
      </c>
      <c r="G92" s="394" t="n">
        <f aca="false">VLOOKUP(H92,Equipos!$Q$1:$R$25,2,0)</f>
        <v>16</v>
      </c>
      <c r="H92" s="395" t="n">
        <f aca="false">$H$60</f>
        <v>46199</v>
      </c>
      <c r="I92" s="333"/>
      <c r="J92" s="409" t="s">
        <v>102</v>
      </c>
      <c r="K92" s="367" t="str">
        <f aca="false">Idiomas!D162</f>
        <v>1º GRUPO D</v>
      </c>
      <c r="L92" s="354"/>
      <c r="M92" s="359" t="str">
        <f aca="false">IF(OR(SUM(WORLDCUP!$AN$30:$AN$33)=12,WORLDCUP!$AJ$99=144),WORLDCUP!AL30,LEFT(K92,1)&amp;RIGHT(K92,1))</f>
        <v>1D</v>
      </c>
      <c r="N92" s="332"/>
      <c r="O92" s="332"/>
      <c r="P92" s="332"/>
      <c r="Q92" s="332"/>
      <c r="R92" s="404"/>
      <c r="S92" s="363" t="s">
        <v>343</v>
      </c>
      <c r="T92" s="356" t="n">
        <f aca="false">($M92=S92)*$D$11</f>
        <v>0</v>
      </c>
      <c r="U92" s="407"/>
      <c r="V92" s="363" t="s">
        <v>344</v>
      </c>
      <c r="W92" s="356" t="n">
        <f aca="false">($M92=V92)*$D$11</f>
        <v>0</v>
      </c>
      <c r="X92" s="407"/>
      <c r="Y92" s="363" t="s">
        <v>343</v>
      </c>
      <c r="Z92" s="356" t="n">
        <f aca="false">($M92=Y92)*$D$11</f>
        <v>0</v>
      </c>
      <c r="AA92" s="407"/>
      <c r="AB92" s="363" t="s">
        <v>343</v>
      </c>
      <c r="AC92" s="356" t="n">
        <f aca="false">($M92=AB92)*$D$11</f>
        <v>0</v>
      </c>
      <c r="AD92" s="407"/>
      <c r="AE92" s="363" t="s">
        <v>343</v>
      </c>
      <c r="AF92" s="356" t="n">
        <f aca="false">($M92=AE92)*$D$11</f>
        <v>0</v>
      </c>
      <c r="AG92" s="407"/>
      <c r="AH92" s="363" t="s">
        <v>344</v>
      </c>
      <c r="AI92" s="356" t="n">
        <f aca="false">($M92=AH92)*$D$11</f>
        <v>0</v>
      </c>
      <c r="AJ92" s="407"/>
      <c r="AK92" s="363" t="s">
        <v>344</v>
      </c>
      <c r="AL92" s="356" t="n">
        <f aca="false">($M92=AK92)*$D$11</f>
        <v>0</v>
      </c>
      <c r="AM92" s="407"/>
      <c r="AN92" s="363" t="s">
        <v>344</v>
      </c>
      <c r="AO92" s="356" t="n">
        <f aca="false">($M92=AN92)*$D$11</f>
        <v>0</v>
      </c>
      <c r="AP92" s="407"/>
      <c r="AQ92" s="363" t="s">
        <v>343</v>
      </c>
      <c r="AR92" s="356" t="n">
        <f aca="false">($M92=AQ92)*$D$11</f>
        <v>0</v>
      </c>
      <c r="AS92" s="407"/>
      <c r="AT92" s="363" t="s">
        <v>343</v>
      </c>
      <c r="AU92" s="356" t="n">
        <f aca="false">($M92=AT92)*$D$11</f>
        <v>0</v>
      </c>
      <c r="AV92" s="407"/>
      <c r="AW92" s="363" t="s">
        <v>344</v>
      </c>
      <c r="AX92" s="356" t="n">
        <f aca="false">($M92=AW92)*$D$11</f>
        <v>0</v>
      </c>
      <c r="AY92" s="407"/>
      <c r="AZ92" s="363" t="s">
        <v>343</v>
      </c>
      <c r="BA92" s="356" t="n">
        <f aca="false">($M92=AZ92)*$D$11</f>
        <v>0</v>
      </c>
      <c r="BB92" s="407"/>
      <c r="BC92" s="363" t="s">
        <v>343</v>
      </c>
      <c r="BD92" s="356" t="n">
        <f aca="false">($M92=BC92)*$D$11</f>
        <v>0</v>
      </c>
      <c r="BE92" s="407"/>
      <c r="BF92" s="363" t="s">
        <v>343</v>
      </c>
      <c r="BG92" s="356" t="n">
        <f aca="false">($M92=BF92)*$D$11</f>
        <v>0</v>
      </c>
      <c r="BH92" s="407"/>
      <c r="BI92" s="363" t="s">
        <v>344</v>
      </c>
      <c r="BJ92" s="356" t="n">
        <f aca="false">($M92=BI92)*$D$11</f>
        <v>0</v>
      </c>
      <c r="BK92" s="407"/>
      <c r="BL92" s="363" t="s">
        <v>344</v>
      </c>
      <c r="BM92" s="356" t="n">
        <f aca="false">($M92=BL92)*$D$11</f>
        <v>0</v>
      </c>
      <c r="BN92" s="407"/>
      <c r="BO92" s="363" t="s">
        <v>344</v>
      </c>
      <c r="BP92" s="356" t="n">
        <f aca="false">($M92=BO92)*$D$11</f>
        <v>0</v>
      </c>
      <c r="BQ92" s="407"/>
      <c r="BR92" s="363" t="s">
        <v>344</v>
      </c>
      <c r="BS92" s="356" t="n">
        <f aca="false">($M92=BR92)*$D$11</f>
        <v>0</v>
      </c>
      <c r="BT92" s="407"/>
      <c r="BU92" s="363"/>
      <c r="BV92" s="356" t="n">
        <f aca="false">($M92=BU92)*$D$11</f>
        <v>0</v>
      </c>
      <c r="BW92" s="407"/>
      <c r="BX92" s="363"/>
      <c r="BY92" s="356" t="n">
        <f aca="false">($M92=BX92)*$D$11</f>
        <v>0</v>
      </c>
      <c r="BZ92" s="407"/>
      <c r="CA92" s="363"/>
      <c r="CB92" s="356" t="n">
        <f aca="false">($M92=CA92)*$D$11</f>
        <v>0</v>
      </c>
      <c r="CC92" s="407"/>
      <c r="CD92" s="363"/>
      <c r="CE92" s="356" t="n">
        <f aca="false">($M92=CD92)*$D$11</f>
        <v>0</v>
      </c>
      <c r="CF92" s="407"/>
      <c r="CG92" s="363"/>
      <c r="CH92" s="356" t="n">
        <f aca="false">($M92=CG92)*$D$11</f>
        <v>0</v>
      </c>
      <c r="CI92" s="407"/>
      <c r="CJ92" s="363"/>
      <c r="CK92" s="356" t="n">
        <f aca="false">($M92=CJ92)*$D$11</f>
        <v>0</v>
      </c>
      <c r="CL92" s="407"/>
      <c r="CM92" s="363"/>
      <c r="CN92" s="356" t="n">
        <f aca="false">($M92=CM92)*$D$11</f>
        <v>0</v>
      </c>
      <c r="CO92" s="407"/>
      <c r="CP92" s="363"/>
      <c r="CQ92" s="356" t="n">
        <f aca="false">($M92=CP92)*$D$11</f>
        <v>0</v>
      </c>
      <c r="CR92" s="407"/>
      <c r="CS92" s="363"/>
      <c r="CT92" s="356" t="n">
        <f aca="false">($M92=CS92)*$D$11</f>
        <v>0</v>
      </c>
      <c r="CU92" s="407"/>
      <c r="CV92" s="363"/>
      <c r="CW92" s="356" t="n">
        <f aca="false">($M92=CV92)*$D$11</f>
        <v>0</v>
      </c>
      <c r="CX92" s="407"/>
      <c r="CY92" s="363"/>
      <c r="CZ92" s="356" t="n">
        <f aca="false">($M92=CY92)*$D$11</f>
        <v>0</v>
      </c>
      <c r="DA92" s="407"/>
      <c r="DB92" s="363"/>
      <c r="DC92" s="356" t="n">
        <f aca="false">($M92=DB92)*$D$11</f>
        <v>0</v>
      </c>
      <c r="DD92" s="407"/>
      <c r="DE92" s="363"/>
      <c r="DF92" s="356" t="n">
        <f aca="false">($M92=DE92)*$D$11</f>
        <v>0</v>
      </c>
      <c r="DG92" s="407"/>
      <c r="DH92" s="363"/>
      <c r="DI92" s="356" t="n">
        <f aca="false">($M92=DH92)*$D$11</f>
        <v>0</v>
      </c>
      <c r="DJ92" s="407"/>
      <c r="DK92" s="363"/>
      <c r="DL92" s="356" t="n">
        <f aca="false">($M92=DK92)*$D$11</f>
        <v>0</v>
      </c>
      <c r="DM92" s="407"/>
      <c r="DN92" s="363"/>
      <c r="DO92" s="356" t="n">
        <f aca="false">($M92=DN92)*$D$11</f>
        <v>0</v>
      </c>
      <c r="DP92" s="407"/>
      <c r="DQ92" s="363"/>
      <c r="DR92" s="356" t="n">
        <f aca="false">($M92=DQ92)*$D$11</f>
        <v>0</v>
      </c>
      <c r="DS92" s="407"/>
      <c r="DT92" s="363"/>
      <c r="DU92" s="356" t="n">
        <f aca="false">($M92=DT92)*$D$11</f>
        <v>0</v>
      </c>
      <c r="DV92" s="407"/>
      <c r="DW92" s="363"/>
      <c r="DX92" s="356" t="n">
        <f aca="false">($M92=DW92)*$D$11</f>
        <v>0</v>
      </c>
      <c r="DY92" s="407"/>
      <c r="DZ92" s="363"/>
      <c r="EA92" s="356" t="n">
        <f aca="false">($M92=DZ92)*$D$11</f>
        <v>0</v>
      </c>
      <c r="EB92" s="407"/>
      <c r="EC92" s="363"/>
      <c r="ED92" s="356" t="n">
        <f aca="false">($M92=EC92)*$D$11</f>
        <v>0</v>
      </c>
      <c r="EE92" s="407"/>
      <c r="EF92" s="363"/>
      <c r="EG92" s="356" t="n">
        <f aca="false">($M92=EF92)*$D$11</f>
        <v>0</v>
      </c>
      <c r="EH92" s="407"/>
      <c r="EI92" s="407"/>
    </row>
    <row r="93" customFormat="false" ht="15" hidden="false" customHeight="false" outlineLevel="0" collapsed="false">
      <c r="A93" s="327"/>
      <c r="B93" s="327"/>
      <c r="C93" s="327"/>
      <c r="D93" s="327"/>
      <c r="E93" s="327"/>
      <c r="F93" s="328" t="n">
        <f aca="false">$D$12</f>
        <v>5</v>
      </c>
      <c r="G93" s="394" t="n">
        <f aca="false">VLOOKUP(H93,Equipos!$Q$1:$R$25,2,0)</f>
        <v>16</v>
      </c>
      <c r="H93" s="395" t="n">
        <f aca="false">$H$60</f>
        <v>46199</v>
      </c>
      <c r="I93" s="333"/>
      <c r="J93" s="409"/>
      <c r="K93" s="367" t="str">
        <f aca="false">Idiomas!D163</f>
        <v>2º GRUPO D</v>
      </c>
      <c r="L93" s="354"/>
      <c r="M93" s="359" t="str">
        <f aca="false">IF(OR(SUM(WORLDCUP!$AN$30:$AN$33)=12,WORLDCUP!$AJ$99=144),WORLDCUP!AL31,LEFT(K93,1)&amp;RIGHT(K93,1))</f>
        <v>2D</v>
      </c>
      <c r="N93" s="332"/>
      <c r="O93" s="332"/>
      <c r="P93" s="332"/>
      <c r="Q93" s="332"/>
      <c r="R93" s="404"/>
      <c r="S93" s="363" t="s">
        <v>344</v>
      </c>
      <c r="T93" s="356" t="n">
        <f aca="false">($M93=S93)*$D$12</f>
        <v>0</v>
      </c>
      <c r="U93" s="407"/>
      <c r="V93" s="363" t="s">
        <v>343</v>
      </c>
      <c r="W93" s="356" t="n">
        <f aca="false">($M93=V93)*$D$12</f>
        <v>0</v>
      </c>
      <c r="X93" s="407"/>
      <c r="Y93" s="363" t="s">
        <v>344</v>
      </c>
      <c r="Z93" s="356" t="n">
        <f aca="false">($M93=Y93)*$D$12</f>
        <v>0</v>
      </c>
      <c r="AA93" s="407"/>
      <c r="AB93" s="363" t="s">
        <v>344</v>
      </c>
      <c r="AC93" s="356" t="n">
        <f aca="false">($M93=AB93)*$D$12</f>
        <v>0</v>
      </c>
      <c r="AD93" s="407"/>
      <c r="AE93" s="363" t="s">
        <v>344</v>
      </c>
      <c r="AF93" s="356" t="n">
        <f aca="false">($M93=AE93)*$D$12</f>
        <v>0</v>
      </c>
      <c r="AG93" s="407"/>
      <c r="AH93" s="363" t="s">
        <v>343</v>
      </c>
      <c r="AI93" s="356" t="n">
        <f aca="false">($M93=AH93)*$D$12</f>
        <v>0</v>
      </c>
      <c r="AJ93" s="407"/>
      <c r="AK93" s="363" t="s">
        <v>343</v>
      </c>
      <c r="AL93" s="356" t="n">
        <f aca="false">($M93=AK93)*$D$12</f>
        <v>0</v>
      </c>
      <c r="AM93" s="407"/>
      <c r="AN93" s="363" t="s">
        <v>343</v>
      </c>
      <c r="AO93" s="356" t="n">
        <f aca="false">($M93=AN93)*$D$12</f>
        <v>0</v>
      </c>
      <c r="AP93" s="407"/>
      <c r="AQ93" s="363" t="s">
        <v>344</v>
      </c>
      <c r="AR93" s="356" t="n">
        <f aca="false">($M93=AQ93)*$D$12</f>
        <v>0</v>
      </c>
      <c r="AS93" s="407"/>
      <c r="AT93" s="363" t="s">
        <v>345</v>
      </c>
      <c r="AU93" s="356" t="n">
        <f aca="false">($M93=AT93)*$D$12</f>
        <v>0</v>
      </c>
      <c r="AV93" s="407"/>
      <c r="AW93" s="363" t="s">
        <v>343</v>
      </c>
      <c r="AX93" s="356" t="n">
        <f aca="false">($M93=AW93)*$D$12</f>
        <v>0</v>
      </c>
      <c r="AY93" s="407"/>
      <c r="AZ93" s="363" t="s">
        <v>344</v>
      </c>
      <c r="BA93" s="356" t="n">
        <f aca="false">($M93=AZ93)*$D$12</f>
        <v>0</v>
      </c>
      <c r="BB93" s="407"/>
      <c r="BC93" s="363" t="s">
        <v>344</v>
      </c>
      <c r="BD93" s="356" t="n">
        <f aca="false">($M93=BC93)*$D$12</f>
        <v>0</v>
      </c>
      <c r="BE93" s="407"/>
      <c r="BF93" s="363" t="s">
        <v>345</v>
      </c>
      <c r="BG93" s="356" t="n">
        <f aca="false">($M93=BF93)*$D$12</f>
        <v>0</v>
      </c>
      <c r="BH93" s="407"/>
      <c r="BI93" s="363" t="s">
        <v>343</v>
      </c>
      <c r="BJ93" s="356" t="n">
        <f aca="false">($M93=BI93)*$D$12</f>
        <v>0</v>
      </c>
      <c r="BK93" s="407"/>
      <c r="BL93" s="363" t="s">
        <v>343</v>
      </c>
      <c r="BM93" s="356" t="n">
        <f aca="false">($M93=BL93)*$D$12</f>
        <v>0</v>
      </c>
      <c r="BN93" s="407"/>
      <c r="BO93" s="363" t="s">
        <v>343</v>
      </c>
      <c r="BP93" s="356" t="n">
        <f aca="false">($M93=BO93)*$D$12</f>
        <v>0</v>
      </c>
      <c r="BQ93" s="407"/>
      <c r="BR93" s="363" t="s">
        <v>343</v>
      </c>
      <c r="BS93" s="356" t="n">
        <f aca="false">($M93=BR93)*$D$12</f>
        <v>0</v>
      </c>
      <c r="BT93" s="407"/>
      <c r="BU93" s="363"/>
      <c r="BV93" s="356" t="n">
        <f aca="false">($M93=BU93)*$D$12</f>
        <v>0</v>
      </c>
      <c r="BW93" s="407"/>
      <c r="BX93" s="363"/>
      <c r="BY93" s="356" t="n">
        <f aca="false">($M93=BX93)*$D$12</f>
        <v>0</v>
      </c>
      <c r="BZ93" s="407"/>
      <c r="CA93" s="363"/>
      <c r="CB93" s="356" t="n">
        <f aca="false">($M93=CA93)*$D$12</f>
        <v>0</v>
      </c>
      <c r="CC93" s="407"/>
      <c r="CD93" s="363"/>
      <c r="CE93" s="356" t="n">
        <f aca="false">($M93=CD93)*$D$12</f>
        <v>0</v>
      </c>
      <c r="CF93" s="407"/>
      <c r="CG93" s="363"/>
      <c r="CH93" s="356" t="n">
        <f aca="false">($M93=CG93)*$D$12</f>
        <v>0</v>
      </c>
      <c r="CI93" s="407"/>
      <c r="CJ93" s="363"/>
      <c r="CK93" s="356" t="n">
        <f aca="false">($M93=CJ93)*$D$12</f>
        <v>0</v>
      </c>
      <c r="CL93" s="407"/>
      <c r="CM93" s="363"/>
      <c r="CN93" s="356" t="n">
        <f aca="false">($M93=CM93)*$D$12</f>
        <v>0</v>
      </c>
      <c r="CO93" s="407"/>
      <c r="CP93" s="363"/>
      <c r="CQ93" s="356" t="n">
        <f aca="false">($M93=CP93)*$D$12</f>
        <v>0</v>
      </c>
      <c r="CR93" s="407"/>
      <c r="CS93" s="363"/>
      <c r="CT93" s="356" t="n">
        <f aca="false">($M93=CS93)*$D$12</f>
        <v>0</v>
      </c>
      <c r="CU93" s="407"/>
      <c r="CV93" s="363"/>
      <c r="CW93" s="356" t="n">
        <f aca="false">($M93=CV93)*$D$12</f>
        <v>0</v>
      </c>
      <c r="CX93" s="407"/>
      <c r="CY93" s="363"/>
      <c r="CZ93" s="356" t="n">
        <f aca="false">($M93=CY93)*$D$12</f>
        <v>0</v>
      </c>
      <c r="DA93" s="407"/>
      <c r="DB93" s="363"/>
      <c r="DC93" s="356" t="n">
        <f aca="false">($M93=DB93)*$D$12</f>
        <v>0</v>
      </c>
      <c r="DD93" s="407"/>
      <c r="DE93" s="363"/>
      <c r="DF93" s="356" t="n">
        <f aca="false">($M93=DE93)*$D$12</f>
        <v>0</v>
      </c>
      <c r="DG93" s="407"/>
      <c r="DH93" s="363"/>
      <c r="DI93" s="356" t="n">
        <f aca="false">($M93=DH93)*$D$12</f>
        <v>0</v>
      </c>
      <c r="DJ93" s="407"/>
      <c r="DK93" s="363"/>
      <c r="DL93" s="356" t="n">
        <f aca="false">($M93=DK93)*$D$12</f>
        <v>0</v>
      </c>
      <c r="DM93" s="407"/>
      <c r="DN93" s="363"/>
      <c r="DO93" s="356" t="n">
        <f aca="false">($M93=DN93)*$D$12</f>
        <v>0</v>
      </c>
      <c r="DP93" s="407"/>
      <c r="DQ93" s="363"/>
      <c r="DR93" s="356" t="n">
        <f aca="false">($M93=DQ93)*$D$12</f>
        <v>0</v>
      </c>
      <c r="DS93" s="407"/>
      <c r="DT93" s="363"/>
      <c r="DU93" s="356" t="n">
        <f aca="false">($M93=DT93)*$D$12</f>
        <v>0</v>
      </c>
      <c r="DV93" s="407"/>
      <c r="DW93" s="363"/>
      <c r="DX93" s="356" t="n">
        <f aca="false">($M93=DW93)*$D$12</f>
        <v>0</v>
      </c>
      <c r="DY93" s="407"/>
      <c r="DZ93" s="363"/>
      <c r="EA93" s="356" t="n">
        <f aca="false">($M93=DZ93)*$D$12</f>
        <v>0</v>
      </c>
      <c r="EB93" s="407"/>
      <c r="EC93" s="363"/>
      <c r="ED93" s="356" t="n">
        <f aca="false">($M93=EC93)*$D$12</f>
        <v>0</v>
      </c>
      <c r="EE93" s="407"/>
      <c r="EF93" s="363"/>
      <c r="EG93" s="356" t="n">
        <f aca="false">($M93=EF93)*$D$12</f>
        <v>0</v>
      </c>
      <c r="EH93" s="407"/>
      <c r="EI93" s="407"/>
    </row>
    <row r="94" customFormat="false" ht="15" hidden="false" customHeight="false" outlineLevel="0" collapsed="false">
      <c r="A94" s="327"/>
      <c r="B94" s="327"/>
      <c r="C94" s="327"/>
      <c r="D94" s="327"/>
      <c r="E94" s="327"/>
      <c r="F94" s="328" t="n">
        <f aca="false">$D$13</f>
        <v>5</v>
      </c>
      <c r="G94" s="394" t="n">
        <f aca="false">VLOOKUP(H94,Equipos!$Q$1:$R$25,2,0)</f>
        <v>16</v>
      </c>
      <c r="H94" s="395" t="n">
        <f aca="false">$H$60</f>
        <v>46199</v>
      </c>
      <c r="I94" s="333"/>
      <c r="J94" s="409"/>
      <c r="K94" s="367" t="str">
        <f aca="false">Idiomas!D164</f>
        <v>3º GRUPO D</v>
      </c>
      <c r="L94" s="354"/>
      <c r="M94" s="359" t="str">
        <f aca="false">IF(OR(SUM(WORLDCUP!$AN$30:$AN$33)=12,WORLDCUP!$AJ$99=144),WORLDCUP!AL32,LEFT(K94,1)&amp;RIGHT(K94,1))</f>
        <v>3D</v>
      </c>
      <c r="N94" s="332"/>
      <c r="O94" s="332"/>
      <c r="P94" s="332"/>
      <c r="Q94" s="332"/>
      <c r="R94" s="404"/>
      <c r="S94" s="363" t="s">
        <v>345</v>
      </c>
      <c r="T94" s="356" t="n">
        <f aca="false">($M94=S94)*$D$13</f>
        <v>0</v>
      </c>
      <c r="U94" s="407"/>
      <c r="V94" s="363" t="s">
        <v>345</v>
      </c>
      <c r="W94" s="356" t="n">
        <f aca="false">($M94=V94)*$D$13</f>
        <v>0</v>
      </c>
      <c r="X94" s="407"/>
      <c r="Y94" s="363" t="s">
        <v>345</v>
      </c>
      <c r="Z94" s="356" t="n">
        <f aca="false">($M94=Y94)*$D$13</f>
        <v>0</v>
      </c>
      <c r="AA94" s="407"/>
      <c r="AB94" s="363" t="s">
        <v>346</v>
      </c>
      <c r="AC94" s="356" t="n">
        <f aca="false">($M94=AB94)*$D$13</f>
        <v>0</v>
      </c>
      <c r="AD94" s="407"/>
      <c r="AE94" s="363" t="s">
        <v>345</v>
      </c>
      <c r="AF94" s="356" t="n">
        <f aca="false">($M94=AE94)*$D$13</f>
        <v>0</v>
      </c>
      <c r="AG94" s="407"/>
      <c r="AH94" s="363" t="s">
        <v>345</v>
      </c>
      <c r="AI94" s="356" t="n">
        <f aca="false">($M94=AH94)*$D$13</f>
        <v>0</v>
      </c>
      <c r="AJ94" s="407"/>
      <c r="AK94" s="363" t="s">
        <v>345</v>
      </c>
      <c r="AL94" s="356" t="n">
        <f aca="false">($M94=AK94)*$D$13</f>
        <v>0</v>
      </c>
      <c r="AM94" s="407"/>
      <c r="AN94" s="363" t="s">
        <v>345</v>
      </c>
      <c r="AO94" s="356" t="n">
        <f aca="false">($M94=AN94)*$D$13</f>
        <v>0</v>
      </c>
      <c r="AP94" s="407"/>
      <c r="AQ94" s="363" t="s">
        <v>345</v>
      </c>
      <c r="AR94" s="356" t="n">
        <f aca="false">($M94=AQ94)*$D$13</f>
        <v>0</v>
      </c>
      <c r="AS94" s="407"/>
      <c r="AT94" s="363" t="s">
        <v>346</v>
      </c>
      <c r="AU94" s="356" t="n">
        <f aca="false">($M94=AT94)*$D$13</f>
        <v>0</v>
      </c>
      <c r="AV94" s="407"/>
      <c r="AW94" s="363" t="s">
        <v>345</v>
      </c>
      <c r="AX94" s="356" t="n">
        <f aca="false">($M94=AW94)*$D$13</f>
        <v>0</v>
      </c>
      <c r="AY94" s="407"/>
      <c r="AZ94" s="363" t="s">
        <v>345</v>
      </c>
      <c r="BA94" s="356" t="n">
        <f aca="false">($M94=AZ94)*$D$13</f>
        <v>0</v>
      </c>
      <c r="BB94" s="407"/>
      <c r="BC94" s="363" t="s">
        <v>346</v>
      </c>
      <c r="BD94" s="356" t="n">
        <f aca="false">($M94=BC94)*$D$13</f>
        <v>0</v>
      </c>
      <c r="BE94" s="407"/>
      <c r="BF94" s="363" t="s">
        <v>344</v>
      </c>
      <c r="BG94" s="356" t="n">
        <f aca="false">($M94=BF94)*$D$13</f>
        <v>0</v>
      </c>
      <c r="BH94" s="407"/>
      <c r="BI94" s="363" t="s">
        <v>345</v>
      </c>
      <c r="BJ94" s="356" t="n">
        <f aca="false">($M94=BI94)*$D$13</f>
        <v>0</v>
      </c>
      <c r="BK94" s="407"/>
      <c r="BL94" s="363" t="s">
        <v>345</v>
      </c>
      <c r="BM94" s="356" t="n">
        <f aca="false">($M94=BL94)*$D$13</f>
        <v>0</v>
      </c>
      <c r="BN94" s="407"/>
      <c r="BO94" s="363" t="s">
        <v>345</v>
      </c>
      <c r="BP94" s="356" t="n">
        <f aca="false">($M94=BO94)*$D$13</f>
        <v>0</v>
      </c>
      <c r="BQ94" s="407"/>
      <c r="BR94" s="363" t="s">
        <v>345</v>
      </c>
      <c r="BS94" s="356" t="n">
        <f aca="false">($M94=BR94)*$D$13</f>
        <v>0</v>
      </c>
      <c r="BT94" s="407"/>
      <c r="BU94" s="363"/>
      <c r="BV94" s="356" t="n">
        <f aca="false">($M94=BU94)*$D$13</f>
        <v>0</v>
      </c>
      <c r="BW94" s="407"/>
      <c r="BX94" s="363"/>
      <c r="BY94" s="356" t="n">
        <f aca="false">($M94=BX94)*$D$13</f>
        <v>0</v>
      </c>
      <c r="BZ94" s="407"/>
      <c r="CA94" s="363"/>
      <c r="CB94" s="356" t="n">
        <f aca="false">($M94=CA94)*$D$13</f>
        <v>0</v>
      </c>
      <c r="CC94" s="407"/>
      <c r="CD94" s="363"/>
      <c r="CE94" s="356" t="n">
        <f aca="false">($M94=CD94)*$D$13</f>
        <v>0</v>
      </c>
      <c r="CF94" s="407"/>
      <c r="CG94" s="363"/>
      <c r="CH94" s="356" t="n">
        <f aca="false">($M94=CG94)*$D$13</f>
        <v>0</v>
      </c>
      <c r="CI94" s="407"/>
      <c r="CJ94" s="363"/>
      <c r="CK94" s="356" t="n">
        <f aca="false">($M94=CJ94)*$D$13</f>
        <v>0</v>
      </c>
      <c r="CL94" s="407"/>
      <c r="CM94" s="363"/>
      <c r="CN94" s="356" t="n">
        <f aca="false">($M94=CM94)*$D$13</f>
        <v>0</v>
      </c>
      <c r="CO94" s="407"/>
      <c r="CP94" s="363"/>
      <c r="CQ94" s="356" t="n">
        <f aca="false">($M94=CP94)*$D$13</f>
        <v>0</v>
      </c>
      <c r="CR94" s="407"/>
      <c r="CS94" s="363"/>
      <c r="CT94" s="356" t="n">
        <f aca="false">($M94=CS94)*$D$13</f>
        <v>0</v>
      </c>
      <c r="CU94" s="407"/>
      <c r="CV94" s="363"/>
      <c r="CW94" s="356" t="n">
        <f aca="false">($M94=CV94)*$D$13</f>
        <v>0</v>
      </c>
      <c r="CX94" s="407"/>
      <c r="CY94" s="363"/>
      <c r="CZ94" s="356" t="n">
        <f aca="false">($M94=CY94)*$D$13</f>
        <v>0</v>
      </c>
      <c r="DA94" s="407"/>
      <c r="DB94" s="363"/>
      <c r="DC94" s="356" t="n">
        <f aca="false">($M94=DB94)*$D$13</f>
        <v>0</v>
      </c>
      <c r="DD94" s="407"/>
      <c r="DE94" s="363"/>
      <c r="DF94" s="356" t="n">
        <f aca="false">($M94=DE94)*$D$13</f>
        <v>0</v>
      </c>
      <c r="DG94" s="407"/>
      <c r="DH94" s="363"/>
      <c r="DI94" s="356" t="n">
        <f aca="false">($M94=DH94)*$D$13</f>
        <v>0</v>
      </c>
      <c r="DJ94" s="407"/>
      <c r="DK94" s="363"/>
      <c r="DL94" s="356" t="n">
        <f aca="false">($M94=DK94)*$D$13</f>
        <v>0</v>
      </c>
      <c r="DM94" s="407"/>
      <c r="DN94" s="363"/>
      <c r="DO94" s="356" t="n">
        <f aca="false">($M94=DN94)*$D$13</f>
        <v>0</v>
      </c>
      <c r="DP94" s="407"/>
      <c r="DQ94" s="363"/>
      <c r="DR94" s="356" t="n">
        <f aca="false">($M94=DQ94)*$D$13</f>
        <v>0</v>
      </c>
      <c r="DS94" s="407"/>
      <c r="DT94" s="363"/>
      <c r="DU94" s="356" t="n">
        <f aca="false">($M94=DT94)*$D$13</f>
        <v>0</v>
      </c>
      <c r="DV94" s="407"/>
      <c r="DW94" s="363"/>
      <c r="DX94" s="356" t="n">
        <f aca="false">($M94=DW94)*$D$13</f>
        <v>0</v>
      </c>
      <c r="DY94" s="407"/>
      <c r="DZ94" s="363"/>
      <c r="EA94" s="356" t="n">
        <f aca="false">($M94=DZ94)*$D$13</f>
        <v>0</v>
      </c>
      <c r="EB94" s="407"/>
      <c r="EC94" s="363"/>
      <c r="ED94" s="356" t="n">
        <f aca="false">($M94=EC94)*$D$13</f>
        <v>0</v>
      </c>
      <c r="EE94" s="407"/>
      <c r="EF94" s="363"/>
      <c r="EG94" s="356" t="n">
        <f aca="false">($M94=EF94)*$D$13</f>
        <v>0</v>
      </c>
      <c r="EH94" s="407"/>
      <c r="EI94" s="407"/>
    </row>
    <row r="95" customFormat="false" ht="15" hidden="false" customHeight="false" outlineLevel="0" collapsed="false">
      <c r="A95" s="327"/>
      <c r="B95" s="327"/>
      <c r="C95" s="327"/>
      <c r="D95" s="327"/>
      <c r="E95" s="327"/>
      <c r="F95" s="328" t="n">
        <f aca="false">$D$14</f>
        <v>5</v>
      </c>
      <c r="G95" s="394" t="n">
        <f aca="false">VLOOKUP(H95,Equipos!$Q$1:$R$25,2,0)</f>
        <v>16</v>
      </c>
      <c r="H95" s="395" t="n">
        <f aca="false">$H$60</f>
        <v>46199</v>
      </c>
      <c r="I95" s="333"/>
      <c r="J95" s="409"/>
      <c r="K95" s="367" t="str">
        <f aca="false">Idiomas!D165</f>
        <v>4º GRUPO D</v>
      </c>
      <c r="L95" s="354"/>
      <c r="M95" s="359" t="str">
        <f aca="false">IF(OR(SUM(WORLDCUP!$AN$30:$AN$33)=12,WORLDCUP!$AJ$99=144),WORLDCUP!AL33,LEFT(K95,1)&amp;RIGHT(K95,1))</f>
        <v>4D</v>
      </c>
      <c r="N95" s="332"/>
      <c r="O95" s="332"/>
      <c r="P95" s="332"/>
      <c r="Q95" s="332"/>
      <c r="R95" s="404"/>
      <c r="S95" s="363" t="s">
        <v>346</v>
      </c>
      <c r="T95" s="356" t="n">
        <f aca="false">($M95=S95)*$D$14</f>
        <v>0</v>
      </c>
      <c r="U95" s="407"/>
      <c r="V95" s="363" t="s">
        <v>346</v>
      </c>
      <c r="W95" s="356" t="n">
        <f aca="false">($M95=V95)*$D$14</f>
        <v>0</v>
      </c>
      <c r="X95" s="407"/>
      <c r="Y95" s="363" t="s">
        <v>346</v>
      </c>
      <c r="Z95" s="356" t="n">
        <f aca="false">($M95=Y95)*$D$14</f>
        <v>0</v>
      </c>
      <c r="AA95" s="407"/>
      <c r="AB95" s="363" t="s">
        <v>345</v>
      </c>
      <c r="AC95" s="356" t="n">
        <f aca="false">($M95=AB95)*$D$14</f>
        <v>0</v>
      </c>
      <c r="AD95" s="407"/>
      <c r="AE95" s="363" t="s">
        <v>346</v>
      </c>
      <c r="AF95" s="356" t="n">
        <f aca="false">($M95=AE95)*$D$14</f>
        <v>0</v>
      </c>
      <c r="AG95" s="407"/>
      <c r="AH95" s="363" t="s">
        <v>346</v>
      </c>
      <c r="AI95" s="356" t="n">
        <f aca="false">($M95=AH95)*$D$14</f>
        <v>0</v>
      </c>
      <c r="AJ95" s="407"/>
      <c r="AK95" s="363" t="s">
        <v>346</v>
      </c>
      <c r="AL95" s="356" t="n">
        <f aca="false">($M95=AK95)*$D$14</f>
        <v>0</v>
      </c>
      <c r="AM95" s="407"/>
      <c r="AN95" s="363" t="s">
        <v>346</v>
      </c>
      <c r="AO95" s="356" t="n">
        <f aca="false">($M95=AN95)*$D$14</f>
        <v>0</v>
      </c>
      <c r="AP95" s="407"/>
      <c r="AQ95" s="363" t="s">
        <v>346</v>
      </c>
      <c r="AR95" s="356" t="n">
        <f aca="false">($M95=AQ95)*$D$14</f>
        <v>0</v>
      </c>
      <c r="AS95" s="407"/>
      <c r="AT95" s="363" t="s">
        <v>344</v>
      </c>
      <c r="AU95" s="356" t="n">
        <f aca="false">($M95=AT95)*$D$14</f>
        <v>0</v>
      </c>
      <c r="AV95" s="407"/>
      <c r="AW95" s="363" t="s">
        <v>346</v>
      </c>
      <c r="AX95" s="356" t="n">
        <f aca="false">($M95=AW95)*$D$14</f>
        <v>0</v>
      </c>
      <c r="AY95" s="407"/>
      <c r="AZ95" s="363" t="s">
        <v>346</v>
      </c>
      <c r="BA95" s="356" t="n">
        <f aca="false">($M95=AZ95)*$D$14</f>
        <v>0</v>
      </c>
      <c r="BB95" s="407"/>
      <c r="BC95" s="363" t="s">
        <v>345</v>
      </c>
      <c r="BD95" s="356" t="n">
        <f aca="false">($M95=BC95)*$D$14</f>
        <v>0</v>
      </c>
      <c r="BE95" s="407"/>
      <c r="BF95" s="363" t="s">
        <v>346</v>
      </c>
      <c r="BG95" s="356" t="n">
        <f aca="false">($M95=BF95)*$D$14</f>
        <v>0</v>
      </c>
      <c r="BH95" s="407"/>
      <c r="BI95" s="363" t="s">
        <v>346</v>
      </c>
      <c r="BJ95" s="356" t="n">
        <f aca="false">($M95=BI95)*$D$14</f>
        <v>0</v>
      </c>
      <c r="BK95" s="407"/>
      <c r="BL95" s="363" t="s">
        <v>346</v>
      </c>
      <c r="BM95" s="356" t="n">
        <f aca="false">($M95=BL95)*$D$14</f>
        <v>0</v>
      </c>
      <c r="BN95" s="407"/>
      <c r="BO95" s="363" t="s">
        <v>346</v>
      </c>
      <c r="BP95" s="356" t="n">
        <f aca="false">($M95=BO95)*$D$14</f>
        <v>0</v>
      </c>
      <c r="BQ95" s="407"/>
      <c r="BR95" s="363" t="s">
        <v>346</v>
      </c>
      <c r="BS95" s="356" t="n">
        <f aca="false">($M95=BR95)*$D$14</f>
        <v>0</v>
      </c>
      <c r="BT95" s="407"/>
      <c r="BU95" s="363"/>
      <c r="BV95" s="356" t="n">
        <f aca="false">($M95=BU95)*$D$14</f>
        <v>0</v>
      </c>
      <c r="BW95" s="407"/>
      <c r="BX95" s="363"/>
      <c r="BY95" s="356" t="n">
        <f aca="false">($M95=BX95)*$D$14</f>
        <v>0</v>
      </c>
      <c r="BZ95" s="407"/>
      <c r="CA95" s="363"/>
      <c r="CB95" s="356" t="n">
        <f aca="false">($M95=CA95)*$D$14</f>
        <v>0</v>
      </c>
      <c r="CC95" s="407"/>
      <c r="CD95" s="363"/>
      <c r="CE95" s="356" t="n">
        <f aca="false">($M95=CD95)*$D$14</f>
        <v>0</v>
      </c>
      <c r="CF95" s="407"/>
      <c r="CG95" s="363"/>
      <c r="CH95" s="356" t="n">
        <f aca="false">($M95=CG95)*$D$14</f>
        <v>0</v>
      </c>
      <c r="CI95" s="407"/>
      <c r="CJ95" s="363"/>
      <c r="CK95" s="356" t="n">
        <f aca="false">($M95=CJ95)*$D$14</f>
        <v>0</v>
      </c>
      <c r="CL95" s="407"/>
      <c r="CM95" s="363"/>
      <c r="CN95" s="356" t="n">
        <f aca="false">($M95=CM95)*$D$14</f>
        <v>0</v>
      </c>
      <c r="CO95" s="407"/>
      <c r="CP95" s="363"/>
      <c r="CQ95" s="356" t="n">
        <f aca="false">($M95=CP95)*$D$14</f>
        <v>0</v>
      </c>
      <c r="CR95" s="407"/>
      <c r="CS95" s="363"/>
      <c r="CT95" s="356" t="n">
        <f aca="false">($M95=CS95)*$D$14</f>
        <v>0</v>
      </c>
      <c r="CU95" s="407"/>
      <c r="CV95" s="363"/>
      <c r="CW95" s="356" t="n">
        <f aca="false">($M95=CV95)*$D$14</f>
        <v>0</v>
      </c>
      <c r="CX95" s="407"/>
      <c r="CY95" s="363"/>
      <c r="CZ95" s="356" t="n">
        <f aca="false">($M95=CY95)*$D$14</f>
        <v>0</v>
      </c>
      <c r="DA95" s="407"/>
      <c r="DB95" s="363"/>
      <c r="DC95" s="356" t="n">
        <f aca="false">($M95=DB95)*$D$14</f>
        <v>0</v>
      </c>
      <c r="DD95" s="407"/>
      <c r="DE95" s="363"/>
      <c r="DF95" s="356" t="n">
        <f aca="false">($M95=DE95)*$D$14</f>
        <v>0</v>
      </c>
      <c r="DG95" s="407"/>
      <c r="DH95" s="363"/>
      <c r="DI95" s="356" t="n">
        <f aca="false">($M95=DH95)*$D$14</f>
        <v>0</v>
      </c>
      <c r="DJ95" s="407"/>
      <c r="DK95" s="363"/>
      <c r="DL95" s="356" t="n">
        <f aca="false">($M95=DK95)*$D$14</f>
        <v>0</v>
      </c>
      <c r="DM95" s="407"/>
      <c r="DN95" s="363"/>
      <c r="DO95" s="356" t="n">
        <f aca="false">($M95=DN95)*$D$14</f>
        <v>0</v>
      </c>
      <c r="DP95" s="407"/>
      <c r="DQ95" s="363"/>
      <c r="DR95" s="356" t="n">
        <f aca="false">($M95=DQ95)*$D$14</f>
        <v>0</v>
      </c>
      <c r="DS95" s="407"/>
      <c r="DT95" s="363"/>
      <c r="DU95" s="356" t="n">
        <f aca="false">($M95=DT95)*$D$14</f>
        <v>0</v>
      </c>
      <c r="DV95" s="407"/>
      <c r="DW95" s="363"/>
      <c r="DX95" s="356" t="n">
        <f aca="false">($M95=DW95)*$D$14</f>
        <v>0</v>
      </c>
      <c r="DY95" s="407"/>
      <c r="DZ95" s="363"/>
      <c r="EA95" s="356" t="n">
        <f aca="false">($M95=DZ95)*$D$14</f>
        <v>0</v>
      </c>
      <c r="EB95" s="407"/>
      <c r="EC95" s="363"/>
      <c r="ED95" s="356" t="n">
        <f aca="false">($M95=EC95)*$D$14</f>
        <v>0</v>
      </c>
      <c r="EE95" s="407"/>
      <c r="EF95" s="363"/>
      <c r="EG95" s="356" t="n">
        <f aca="false">($M95=EF95)*$D$14</f>
        <v>0</v>
      </c>
      <c r="EH95" s="407"/>
      <c r="EI95" s="407"/>
    </row>
    <row r="96" customFormat="false" ht="15" hidden="false" customHeight="false" outlineLevel="0" collapsed="false">
      <c r="A96" s="327"/>
      <c r="B96" s="327"/>
      <c r="C96" s="327"/>
      <c r="D96" s="327"/>
      <c r="E96" s="327"/>
      <c r="F96" s="328" t="n">
        <f aca="false">$D$11</f>
        <v>5</v>
      </c>
      <c r="G96" s="394" t="n">
        <f aca="false">VLOOKUP(H96,Equipos!$Q$1:$R$25,2,0)</f>
        <v>16</v>
      </c>
      <c r="H96" s="395" t="n">
        <f aca="false">$H$62</f>
        <v>46199</v>
      </c>
      <c r="I96" s="333"/>
      <c r="J96" s="408" t="s">
        <v>111</v>
      </c>
      <c r="K96" s="367" t="str">
        <f aca="false">Idiomas!D166</f>
        <v>1º GRUPO E</v>
      </c>
      <c r="L96" s="354"/>
      <c r="M96" s="359" t="str">
        <f aca="false">IF(OR(SUM(WORLDCUP!$AN$38:$AN$41)=12,WORLDCUP!$AJ$99=144),WORLDCUP!AL38,LEFT(K96,1)&amp;RIGHT(K96,1))</f>
        <v>1E</v>
      </c>
      <c r="N96" s="332"/>
      <c r="O96" s="332"/>
      <c r="P96" s="332"/>
      <c r="Q96" s="332"/>
      <c r="R96" s="404"/>
      <c r="S96" s="363" t="s">
        <v>347</v>
      </c>
      <c r="T96" s="356" t="n">
        <f aca="false">($M96=S96)*$D$11</f>
        <v>0</v>
      </c>
      <c r="U96" s="407"/>
      <c r="V96" s="363" t="s">
        <v>347</v>
      </c>
      <c r="W96" s="356" t="n">
        <f aca="false">($M96=V96)*$D$11</f>
        <v>0</v>
      </c>
      <c r="X96" s="407"/>
      <c r="Y96" s="363" t="s">
        <v>347</v>
      </c>
      <c r="Z96" s="356" t="n">
        <f aca="false">($M96=Y96)*$D$11</f>
        <v>0</v>
      </c>
      <c r="AA96" s="407"/>
      <c r="AB96" s="363" t="s">
        <v>347</v>
      </c>
      <c r="AC96" s="356" t="n">
        <f aca="false">($M96=AB96)*$D$11</f>
        <v>0</v>
      </c>
      <c r="AD96" s="407"/>
      <c r="AE96" s="363" t="s">
        <v>347</v>
      </c>
      <c r="AF96" s="356" t="n">
        <f aca="false">($M96=AE96)*$D$11</f>
        <v>0</v>
      </c>
      <c r="AG96" s="407"/>
      <c r="AH96" s="363" t="s">
        <v>347</v>
      </c>
      <c r="AI96" s="356" t="n">
        <f aca="false">($M96=AH96)*$D$11</f>
        <v>0</v>
      </c>
      <c r="AJ96" s="407"/>
      <c r="AK96" s="363" t="s">
        <v>347</v>
      </c>
      <c r="AL96" s="356" t="n">
        <f aca="false">($M96=AK96)*$D$11</f>
        <v>0</v>
      </c>
      <c r="AM96" s="407"/>
      <c r="AN96" s="363" t="s">
        <v>347</v>
      </c>
      <c r="AO96" s="356" t="n">
        <f aca="false">($M96=AN96)*$D$11</f>
        <v>0</v>
      </c>
      <c r="AP96" s="407"/>
      <c r="AQ96" s="363" t="s">
        <v>347</v>
      </c>
      <c r="AR96" s="356" t="n">
        <f aca="false">($M96=AQ96)*$D$11</f>
        <v>0</v>
      </c>
      <c r="AS96" s="407"/>
      <c r="AT96" s="363" t="s">
        <v>347</v>
      </c>
      <c r="AU96" s="356" t="n">
        <f aca="false">($M96=AT96)*$D$11</f>
        <v>0</v>
      </c>
      <c r="AV96" s="407"/>
      <c r="AW96" s="363" t="s">
        <v>347</v>
      </c>
      <c r="AX96" s="356" t="n">
        <f aca="false">($M96=AW96)*$D$11</f>
        <v>0</v>
      </c>
      <c r="AY96" s="407"/>
      <c r="AZ96" s="363" t="s">
        <v>347</v>
      </c>
      <c r="BA96" s="356" t="n">
        <f aca="false">($M96=AZ96)*$D$11</f>
        <v>0</v>
      </c>
      <c r="BB96" s="407"/>
      <c r="BC96" s="363" t="s">
        <v>347</v>
      </c>
      <c r="BD96" s="356" t="n">
        <f aca="false">($M96=BC96)*$D$11</f>
        <v>0</v>
      </c>
      <c r="BE96" s="407"/>
      <c r="BF96" s="363" t="s">
        <v>347</v>
      </c>
      <c r="BG96" s="356" t="n">
        <f aca="false">($M96=BF96)*$D$11</f>
        <v>0</v>
      </c>
      <c r="BH96" s="407"/>
      <c r="BI96" s="363" t="s">
        <v>347</v>
      </c>
      <c r="BJ96" s="356" t="n">
        <f aca="false">($M96=BI96)*$D$11</f>
        <v>0</v>
      </c>
      <c r="BK96" s="407"/>
      <c r="BL96" s="363" t="s">
        <v>347</v>
      </c>
      <c r="BM96" s="356" t="n">
        <f aca="false">($M96=BL96)*$D$11</f>
        <v>0</v>
      </c>
      <c r="BN96" s="407"/>
      <c r="BO96" s="363" t="s">
        <v>347</v>
      </c>
      <c r="BP96" s="356" t="n">
        <f aca="false">($M96=BO96)*$D$11</f>
        <v>0</v>
      </c>
      <c r="BQ96" s="407"/>
      <c r="BR96" s="363" t="s">
        <v>347</v>
      </c>
      <c r="BS96" s="356" t="n">
        <f aca="false">($M96=BR96)*$D$11</f>
        <v>0</v>
      </c>
      <c r="BT96" s="407"/>
      <c r="BU96" s="363"/>
      <c r="BV96" s="356" t="n">
        <f aca="false">($M96=BU96)*$D$11</f>
        <v>0</v>
      </c>
      <c r="BW96" s="407"/>
      <c r="BX96" s="363"/>
      <c r="BY96" s="356" t="n">
        <f aca="false">($M96=BX96)*$D$11</f>
        <v>0</v>
      </c>
      <c r="BZ96" s="407"/>
      <c r="CA96" s="363"/>
      <c r="CB96" s="356" t="n">
        <f aca="false">($M96=CA96)*$D$11</f>
        <v>0</v>
      </c>
      <c r="CC96" s="407"/>
      <c r="CD96" s="363"/>
      <c r="CE96" s="356" t="n">
        <f aca="false">($M96=CD96)*$D$11</f>
        <v>0</v>
      </c>
      <c r="CF96" s="407"/>
      <c r="CG96" s="363"/>
      <c r="CH96" s="356" t="n">
        <f aca="false">($M96=CG96)*$D$11</f>
        <v>0</v>
      </c>
      <c r="CI96" s="407"/>
      <c r="CJ96" s="363"/>
      <c r="CK96" s="356" t="n">
        <f aca="false">($M96=CJ96)*$D$11</f>
        <v>0</v>
      </c>
      <c r="CL96" s="407"/>
      <c r="CM96" s="363"/>
      <c r="CN96" s="356" t="n">
        <f aca="false">($M96=CM96)*$D$11</f>
        <v>0</v>
      </c>
      <c r="CO96" s="407"/>
      <c r="CP96" s="363"/>
      <c r="CQ96" s="356" t="n">
        <f aca="false">($M96=CP96)*$D$11</f>
        <v>0</v>
      </c>
      <c r="CR96" s="407"/>
      <c r="CS96" s="363"/>
      <c r="CT96" s="356" t="n">
        <f aca="false">($M96=CS96)*$D$11</f>
        <v>0</v>
      </c>
      <c r="CU96" s="407"/>
      <c r="CV96" s="363"/>
      <c r="CW96" s="356" t="n">
        <f aca="false">($M96=CV96)*$D$11</f>
        <v>0</v>
      </c>
      <c r="CX96" s="407"/>
      <c r="CY96" s="363"/>
      <c r="CZ96" s="356" t="n">
        <f aca="false">($M96=CY96)*$D$11</f>
        <v>0</v>
      </c>
      <c r="DA96" s="407"/>
      <c r="DB96" s="363"/>
      <c r="DC96" s="356" t="n">
        <f aca="false">($M96=DB96)*$D$11</f>
        <v>0</v>
      </c>
      <c r="DD96" s="407"/>
      <c r="DE96" s="363"/>
      <c r="DF96" s="356" t="n">
        <f aca="false">($M96=DE96)*$D$11</f>
        <v>0</v>
      </c>
      <c r="DG96" s="407"/>
      <c r="DH96" s="363"/>
      <c r="DI96" s="356" t="n">
        <f aca="false">($M96=DH96)*$D$11</f>
        <v>0</v>
      </c>
      <c r="DJ96" s="407"/>
      <c r="DK96" s="363"/>
      <c r="DL96" s="356" t="n">
        <f aca="false">($M96=DK96)*$D$11</f>
        <v>0</v>
      </c>
      <c r="DM96" s="407"/>
      <c r="DN96" s="363"/>
      <c r="DO96" s="356" t="n">
        <f aca="false">($M96=DN96)*$D$11</f>
        <v>0</v>
      </c>
      <c r="DP96" s="407"/>
      <c r="DQ96" s="363"/>
      <c r="DR96" s="356" t="n">
        <f aca="false">($M96=DQ96)*$D$11</f>
        <v>0</v>
      </c>
      <c r="DS96" s="407"/>
      <c r="DT96" s="363"/>
      <c r="DU96" s="356" t="n">
        <f aca="false">($M96=DT96)*$D$11</f>
        <v>0</v>
      </c>
      <c r="DV96" s="407"/>
      <c r="DW96" s="363"/>
      <c r="DX96" s="356" t="n">
        <f aca="false">($M96=DW96)*$D$11</f>
        <v>0</v>
      </c>
      <c r="DY96" s="407"/>
      <c r="DZ96" s="363"/>
      <c r="EA96" s="356" t="n">
        <f aca="false">($M96=DZ96)*$D$11</f>
        <v>0</v>
      </c>
      <c r="EB96" s="407"/>
      <c r="EC96" s="363"/>
      <c r="ED96" s="356" t="n">
        <f aca="false">($M96=EC96)*$D$11</f>
        <v>0</v>
      </c>
      <c r="EE96" s="407"/>
      <c r="EF96" s="363"/>
      <c r="EG96" s="356" t="n">
        <f aca="false">($M96=EF96)*$D$11</f>
        <v>0</v>
      </c>
      <c r="EH96" s="407"/>
      <c r="EI96" s="407"/>
    </row>
    <row r="97" customFormat="false" ht="15" hidden="false" customHeight="false" outlineLevel="0" collapsed="false">
      <c r="A97" s="327"/>
      <c r="B97" s="327"/>
      <c r="C97" s="327"/>
      <c r="D97" s="327"/>
      <c r="E97" s="327"/>
      <c r="F97" s="328" t="n">
        <f aca="false">$D$12</f>
        <v>5</v>
      </c>
      <c r="G97" s="394" t="n">
        <f aca="false">VLOOKUP(H97,Equipos!$Q$1:$R$25,2,0)</f>
        <v>16</v>
      </c>
      <c r="H97" s="395" t="n">
        <f aca="false">$H$62</f>
        <v>46199</v>
      </c>
      <c r="I97" s="333"/>
      <c r="J97" s="408"/>
      <c r="K97" s="367" t="str">
        <f aca="false">Idiomas!D167</f>
        <v>2º GRUPO E</v>
      </c>
      <c r="L97" s="354"/>
      <c r="M97" s="359" t="str">
        <f aca="false">IF(OR(SUM(WORLDCUP!$AN$38:$AN$41)=12,WORLDCUP!$AJ$99=144),WORLDCUP!AL39,LEFT(K97,1)&amp;RIGHT(K97,1))</f>
        <v>2E</v>
      </c>
      <c r="N97" s="332"/>
      <c r="O97" s="332"/>
      <c r="P97" s="332"/>
      <c r="Q97" s="332"/>
      <c r="R97" s="404"/>
      <c r="S97" s="363" t="s">
        <v>348</v>
      </c>
      <c r="T97" s="356" t="n">
        <f aca="false">($M97=S97)*$D$12</f>
        <v>0</v>
      </c>
      <c r="U97" s="407"/>
      <c r="V97" s="363" t="s">
        <v>349</v>
      </c>
      <c r="W97" s="356" t="n">
        <f aca="false">($M97=V97)*$D$12</f>
        <v>0</v>
      </c>
      <c r="X97" s="407"/>
      <c r="Y97" s="363" t="s">
        <v>349</v>
      </c>
      <c r="Z97" s="356" t="n">
        <f aca="false">($M97=Y97)*$D$12</f>
        <v>0</v>
      </c>
      <c r="AA97" s="407"/>
      <c r="AB97" s="363" t="s">
        <v>349</v>
      </c>
      <c r="AC97" s="356" t="n">
        <f aca="false">($M97=AB97)*$D$12</f>
        <v>0</v>
      </c>
      <c r="AD97" s="407"/>
      <c r="AE97" s="363" t="s">
        <v>348</v>
      </c>
      <c r="AF97" s="356" t="n">
        <f aca="false">($M97=AE97)*$D$12</f>
        <v>0</v>
      </c>
      <c r="AG97" s="407"/>
      <c r="AH97" s="363" t="s">
        <v>348</v>
      </c>
      <c r="AI97" s="356" t="n">
        <f aca="false">($M97=AH97)*$D$12</f>
        <v>0</v>
      </c>
      <c r="AJ97" s="407"/>
      <c r="AK97" s="363" t="s">
        <v>348</v>
      </c>
      <c r="AL97" s="356" t="n">
        <f aca="false">($M97=AK97)*$D$12</f>
        <v>0</v>
      </c>
      <c r="AM97" s="407"/>
      <c r="AN97" s="363" t="s">
        <v>349</v>
      </c>
      <c r="AO97" s="356" t="n">
        <f aca="false">($M97=AN97)*$D$12</f>
        <v>0</v>
      </c>
      <c r="AP97" s="407"/>
      <c r="AQ97" s="363" t="s">
        <v>349</v>
      </c>
      <c r="AR97" s="356" t="n">
        <f aca="false">($M97=AQ97)*$D$12</f>
        <v>0</v>
      </c>
      <c r="AS97" s="407"/>
      <c r="AT97" s="363" t="s">
        <v>349</v>
      </c>
      <c r="AU97" s="356" t="n">
        <f aca="false">($M97=AT97)*$D$12</f>
        <v>0</v>
      </c>
      <c r="AV97" s="407"/>
      <c r="AW97" s="363" t="s">
        <v>348</v>
      </c>
      <c r="AX97" s="356" t="n">
        <f aca="false">($M97=AW97)*$D$12</f>
        <v>0</v>
      </c>
      <c r="AY97" s="407"/>
      <c r="AZ97" s="363" t="s">
        <v>349</v>
      </c>
      <c r="BA97" s="356" t="n">
        <f aca="false">($M97=AZ97)*$D$12</f>
        <v>0</v>
      </c>
      <c r="BB97" s="407"/>
      <c r="BC97" s="363" t="s">
        <v>348</v>
      </c>
      <c r="BD97" s="356" t="n">
        <f aca="false">($M97=BC97)*$D$12</f>
        <v>0</v>
      </c>
      <c r="BE97" s="407"/>
      <c r="BF97" s="363" t="s">
        <v>349</v>
      </c>
      <c r="BG97" s="356" t="n">
        <f aca="false">($M97=BF97)*$D$12</f>
        <v>0</v>
      </c>
      <c r="BH97" s="407"/>
      <c r="BI97" s="363" t="s">
        <v>349</v>
      </c>
      <c r="BJ97" s="356" t="n">
        <f aca="false">($M97=BI97)*$D$12</f>
        <v>0</v>
      </c>
      <c r="BK97" s="407"/>
      <c r="BL97" s="363" t="s">
        <v>348</v>
      </c>
      <c r="BM97" s="356" t="n">
        <f aca="false">($M97=BL97)*$D$12</f>
        <v>0</v>
      </c>
      <c r="BN97" s="407"/>
      <c r="BO97" s="363" t="s">
        <v>349</v>
      </c>
      <c r="BP97" s="356" t="n">
        <f aca="false">($M97=BO97)*$D$12</f>
        <v>0</v>
      </c>
      <c r="BQ97" s="407"/>
      <c r="BR97" s="363" t="s">
        <v>349</v>
      </c>
      <c r="BS97" s="356" t="n">
        <f aca="false">($M97=BR97)*$D$12</f>
        <v>0</v>
      </c>
      <c r="BT97" s="407"/>
      <c r="BU97" s="363"/>
      <c r="BV97" s="356" t="n">
        <f aca="false">($M97=BU97)*$D$12</f>
        <v>0</v>
      </c>
      <c r="BW97" s="407"/>
      <c r="BX97" s="363"/>
      <c r="BY97" s="356" t="n">
        <f aca="false">($M97=BX97)*$D$12</f>
        <v>0</v>
      </c>
      <c r="BZ97" s="407"/>
      <c r="CA97" s="363"/>
      <c r="CB97" s="356" t="n">
        <f aca="false">($M97=CA97)*$D$12</f>
        <v>0</v>
      </c>
      <c r="CC97" s="407"/>
      <c r="CD97" s="363"/>
      <c r="CE97" s="356" t="n">
        <f aca="false">($M97=CD97)*$D$12</f>
        <v>0</v>
      </c>
      <c r="CF97" s="407"/>
      <c r="CG97" s="363"/>
      <c r="CH97" s="356" t="n">
        <f aca="false">($M97=CG97)*$D$12</f>
        <v>0</v>
      </c>
      <c r="CI97" s="407"/>
      <c r="CJ97" s="363"/>
      <c r="CK97" s="356" t="n">
        <f aca="false">($M97=CJ97)*$D$12</f>
        <v>0</v>
      </c>
      <c r="CL97" s="407"/>
      <c r="CM97" s="363"/>
      <c r="CN97" s="356" t="n">
        <f aca="false">($M97=CM97)*$D$12</f>
        <v>0</v>
      </c>
      <c r="CO97" s="407"/>
      <c r="CP97" s="363"/>
      <c r="CQ97" s="356" t="n">
        <f aca="false">($M97=CP97)*$D$12</f>
        <v>0</v>
      </c>
      <c r="CR97" s="407"/>
      <c r="CS97" s="363"/>
      <c r="CT97" s="356" t="n">
        <f aca="false">($M97=CS97)*$D$12</f>
        <v>0</v>
      </c>
      <c r="CU97" s="407"/>
      <c r="CV97" s="363"/>
      <c r="CW97" s="356" t="n">
        <f aca="false">($M97=CV97)*$D$12</f>
        <v>0</v>
      </c>
      <c r="CX97" s="407"/>
      <c r="CY97" s="363"/>
      <c r="CZ97" s="356" t="n">
        <f aca="false">($M97=CY97)*$D$12</f>
        <v>0</v>
      </c>
      <c r="DA97" s="407"/>
      <c r="DB97" s="363"/>
      <c r="DC97" s="356" t="n">
        <f aca="false">($M97=DB97)*$D$12</f>
        <v>0</v>
      </c>
      <c r="DD97" s="407"/>
      <c r="DE97" s="363"/>
      <c r="DF97" s="356" t="n">
        <f aca="false">($M97=DE97)*$D$12</f>
        <v>0</v>
      </c>
      <c r="DG97" s="407"/>
      <c r="DH97" s="363"/>
      <c r="DI97" s="356" t="n">
        <f aca="false">($M97=DH97)*$D$12</f>
        <v>0</v>
      </c>
      <c r="DJ97" s="407"/>
      <c r="DK97" s="363"/>
      <c r="DL97" s="356" t="n">
        <f aca="false">($M97=DK97)*$D$12</f>
        <v>0</v>
      </c>
      <c r="DM97" s="407"/>
      <c r="DN97" s="363"/>
      <c r="DO97" s="356" t="n">
        <f aca="false">($M97=DN97)*$D$12</f>
        <v>0</v>
      </c>
      <c r="DP97" s="407"/>
      <c r="DQ97" s="363"/>
      <c r="DR97" s="356" t="n">
        <f aca="false">($M97=DQ97)*$D$12</f>
        <v>0</v>
      </c>
      <c r="DS97" s="407"/>
      <c r="DT97" s="363"/>
      <c r="DU97" s="356" t="n">
        <f aca="false">($M97=DT97)*$D$12</f>
        <v>0</v>
      </c>
      <c r="DV97" s="407"/>
      <c r="DW97" s="363"/>
      <c r="DX97" s="356" t="n">
        <f aca="false">($M97=DW97)*$D$12</f>
        <v>0</v>
      </c>
      <c r="DY97" s="407"/>
      <c r="DZ97" s="363"/>
      <c r="EA97" s="356" t="n">
        <f aca="false">($M97=DZ97)*$D$12</f>
        <v>0</v>
      </c>
      <c r="EB97" s="407"/>
      <c r="EC97" s="363"/>
      <c r="ED97" s="356" t="n">
        <f aca="false">($M97=EC97)*$D$12</f>
        <v>0</v>
      </c>
      <c r="EE97" s="407"/>
      <c r="EF97" s="363"/>
      <c r="EG97" s="356" t="n">
        <f aca="false">($M97=EF97)*$D$12</f>
        <v>0</v>
      </c>
      <c r="EH97" s="407"/>
      <c r="EI97" s="407"/>
    </row>
    <row r="98" customFormat="false" ht="15" hidden="false" customHeight="false" outlineLevel="0" collapsed="false">
      <c r="A98" s="327"/>
      <c r="B98" s="327"/>
      <c r="C98" s="327"/>
      <c r="D98" s="327"/>
      <c r="E98" s="327"/>
      <c r="F98" s="328" t="n">
        <f aca="false">$D$13</f>
        <v>5</v>
      </c>
      <c r="G98" s="394" t="n">
        <f aca="false">VLOOKUP(H98,Equipos!$Q$1:$R$25,2,0)</f>
        <v>16</v>
      </c>
      <c r="H98" s="395" t="n">
        <f aca="false">$H$62</f>
        <v>46199</v>
      </c>
      <c r="I98" s="333"/>
      <c r="J98" s="408"/>
      <c r="K98" s="367" t="str">
        <f aca="false">Idiomas!D168</f>
        <v>3º GRUPO E</v>
      </c>
      <c r="L98" s="354"/>
      <c r="M98" s="359" t="str">
        <f aca="false">IF(OR(SUM(WORLDCUP!$AN$38:$AN$41)=12,WORLDCUP!$AJ$99=144),WORLDCUP!AL40,LEFT(K98,1)&amp;RIGHT(K98,1))</f>
        <v>3E</v>
      </c>
      <c r="N98" s="332"/>
      <c r="O98" s="332"/>
      <c r="P98" s="332"/>
      <c r="Q98" s="332"/>
      <c r="R98" s="404"/>
      <c r="S98" s="363" t="s">
        <v>349</v>
      </c>
      <c r="T98" s="356" t="n">
        <f aca="false">($M98=S98)*$D$13</f>
        <v>0</v>
      </c>
      <c r="U98" s="407"/>
      <c r="V98" s="363" t="s">
        <v>348</v>
      </c>
      <c r="W98" s="356" t="n">
        <f aca="false">($M98=V98)*$D$13</f>
        <v>0</v>
      </c>
      <c r="X98" s="407"/>
      <c r="Y98" s="363" t="s">
        <v>348</v>
      </c>
      <c r="Z98" s="356" t="n">
        <f aca="false">($M98=Y98)*$D$13</f>
        <v>0</v>
      </c>
      <c r="AA98" s="407"/>
      <c r="AB98" s="363" t="s">
        <v>348</v>
      </c>
      <c r="AC98" s="356" t="n">
        <f aca="false">($M98=AB98)*$D$13</f>
        <v>0</v>
      </c>
      <c r="AD98" s="407"/>
      <c r="AE98" s="363" t="s">
        <v>349</v>
      </c>
      <c r="AF98" s="356" t="n">
        <f aca="false">($M98=AE98)*$D$13</f>
        <v>0</v>
      </c>
      <c r="AG98" s="407"/>
      <c r="AH98" s="363" t="s">
        <v>349</v>
      </c>
      <c r="AI98" s="356" t="n">
        <f aca="false">($M98=AH98)*$D$13</f>
        <v>0</v>
      </c>
      <c r="AJ98" s="407"/>
      <c r="AK98" s="363" t="s">
        <v>349</v>
      </c>
      <c r="AL98" s="356" t="n">
        <f aca="false">($M98=AK98)*$D$13</f>
        <v>0</v>
      </c>
      <c r="AM98" s="407"/>
      <c r="AN98" s="363" t="s">
        <v>348</v>
      </c>
      <c r="AO98" s="356" t="n">
        <f aca="false">($M98=AN98)*$D$13</f>
        <v>0</v>
      </c>
      <c r="AP98" s="407"/>
      <c r="AQ98" s="363" t="s">
        <v>348</v>
      </c>
      <c r="AR98" s="356" t="n">
        <f aca="false">($M98=AQ98)*$D$13</f>
        <v>0</v>
      </c>
      <c r="AS98" s="407"/>
      <c r="AT98" s="363" t="s">
        <v>348</v>
      </c>
      <c r="AU98" s="356" t="n">
        <f aca="false">($M98=AT98)*$D$13</f>
        <v>0</v>
      </c>
      <c r="AV98" s="407"/>
      <c r="AW98" s="363" t="s">
        <v>349</v>
      </c>
      <c r="AX98" s="356" t="n">
        <f aca="false">($M98=AW98)*$D$13</f>
        <v>0</v>
      </c>
      <c r="AY98" s="407"/>
      <c r="AZ98" s="363" t="s">
        <v>348</v>
      </c>
      <c r="BA98" s="356" t="n">
        <f aca="false">($M98=AZ98)*$D$13</f>
        <v>0</v>
      </c>
      <c r="BB98" s="407"/>
      <c r="BC98" s="363" t="s">
        <v>349</v>
      </c>
      <c r="BD98" s="356" t="n">
        <f aca="false">($M98=BC98)*$D$13</f>
        <v>0</v>
      </c>
      <c r="BE98" s="407"/>
      <c r="BF98" s="363" t="s">
        <v>350</v>
      </c>
      <c r="BG98" s="356" t="n">
        <f aca="false">($M98=BF98)*$D$13</f>
        <v>0</v>
      </c>
      <c r="BH98" s="407"/>
      <c r="BI98" s="363" t="s">
        <v>348</v>
      </c>
      <c r="BJ98" s="356" t="n">
        <f aca="false">($M98=BI98)*$D$13</f>
        <v>0</v>
      </c>
      <c r="BK98" s="407"/>
      <c r="BL98" s="363" t="s">
        <v>349</v>
      </c>
      <c r="BM98" s="356" t="n">
        <f aca="false">($M98=BL98)*$D$13</f>
        <v>0</v>
      </c>
      <c r="BN98" s="407"/>
      <c r="BO98" s="363" t="s">
        <v>348</v>
      </c>
      <c r="BP98" s="356" t="n">
        <f aca="false">($M98=BO98)*$D$13</f>
        <v>0</v>
      </c>
      <c r="BQ98" s="407"/>
      <c r="BR98" s="363" t="s">
        <v>348</v>
      </c>
      <c r="BS98" s="356" t="n">
        <f aca="false">($M98=BR98)*$D$13</f>
        <v>0</v>
      </c>
      <c r="BT98" s="407"/>
      <c r="BU98" s="363"/>
      <c r="BV98" s="356" t="n">
        <f aca="false">($M98=BU98)*$D$13</f>
        <v>0</v>
      </c>
      <c r="BW98" s="407"/>
      <c r="BX98" s="363"/>
      <c r="BY98" s="356" t="n">
        <f aca="false">($M98=BX98)*$D$13</f>
        <v>0</v>
      </c>
      <c r="BZ98" s="407"/>
      <c r="CA98" s="363"/>
      <c r="CB98" s="356" t="n">
        <f aca="false">($M98=CA98)*$D$13</f>
        <v>0</v>
      </c>
      <c r="CC98" s="407"/>
      <c r="CD98" s="363"/>
      <c r="CE98" s="356" t="n">
        <f aca="false">($M98=CD98)*$D$13</f>
        <v>0</v>
      </c>
      <c r="CF98" s="407"/>
      <c r="CG98" s="363"/>
      <c r="CH98" s="356" t="n">
        <f aca="false">($M98=CG98)*$D$13</f>
        <v>0</v>
      </c>
      <c r="CI98" s="407"/>
      <c r="CJ98" s="363"/>
      <c r="CK98" s="356" t="n">
        <f aca="false">($M98=CJ98)*$D$13</f>
        <v>0</v>
      </c>
      <c r="CL98" s="407"/>
      <c r="CM98" s="363"/>
      <c r="CN98" s="356" t="n">
        <f aca="false">($M98=CM98)*$D$13</f>
        <v>0</v>
      </c>
      <c r="CO98" s="407"/>
      <c r="CP98" s="363"/>
      <c r="CQ98" s="356" t="n">
        <f aca="false">($M98=CP98)*$D$13</f>
        <v>0</v>
      </c>
      <c r="CR98" s="407"/>
      <c r="CS98" s="363"/>
      <c r="CT98" s="356" t="n">
        <f aca="false">($M98=CS98)*$D$13</f>
        <v>0</v>
      </c>
      <c r="CU98" s="407"/>
      <c r="CV98" s="363"/>
      <c r="CW98" s="356" t="n">
        <f aca="false">($M98=CV98)*$D$13</f>
        <v>0</v>
      </c>
      <c r="CX98" s="407"/>
      <c r="CY98" s="363"/>
      <c r="CZ98" s="356" t="n">
        <f aca="false">($M98=CY98)*$D$13</f>
        <v>0</v>
      </c>
      <c r="DA98" s="407"/>
      <c r="DB98" s="363"/>
      <c r="DC98" s="356" t="n">
        <f aca="false">($M98=DB98)*$D$13</f>
        <v>0</v>
      </c>
      <c r="DD98" s="407"/>
      <c r="DE98" s="363"/>
      <c r="DF98" s="356" t="n">
        <f aca="false">($M98=DE98)*$D$13</f>
        <v>0</v>
      </c>
      <c r="DG98" s="407"/>
      <c r="DH98" s="363"/>
      <c r="DI98" s="356" t="n">
        <f aca="false">($M98=DH98)*$D$13</f>
        <v>0</v>
      </c>
      <c r="DJ98" s="407"/>
      <c r="DK98" s="363"/>
      <c r="DL98" s="356" t="n">
        <f aca="false">($M98=DK98)*$D$13</f>
        <v>0</v>
      </c>
      <c r="DM98" s="407"/>
      <c r="DN98" s="363"/>
      <c r="DO98" s="356" t="n">
        <f aca="false">($M98=DN98)*$D$13</f>
        <v>0</v>
      </c>
      <c r="DP98" s="407"/>
      <c r="DQ98" s="363"/>
      <c r="DR98" s="356" t="n">
        <f aca="false">($M98=DQ98)*$D$13</f>
        <v>0</v>
      </c>
      <c r="DS98" s="407"/>
      <c r="DT98" s="363"/>
      <c r="DU98" s="356" t="n">
        <f aca="false">($M98=DT98)*$D$13</f>
        <v>0</v>
      </c>
      <c r="DV98" s="407"/>
      <c r="DW98" s="363"/>
      <c r="DX98" s="356" t="n">
        <f aca="false">($M98=DW98)*$D$13</f>
        <v>0</v>
      </c>
      <c r="DY98" s="407"/>
      <c r="DZ98" s="363"/>
      <c r="EA98" s="356" t="n">
        <f aca="false">($M98=DZ98)*$D$13</f>
        <v>0</v>
      </c>
      <c r="EB98" s="407"/>
      <c r="EC98" s="363"/>
      <c r="ED98" s="356" t="n">
        <f aca="false">($M98=EC98)*$D$13</f>
        <v>0</v>
      </c>
      <c r="EE98" s="407"/>
      <c r="EF98" s="363"/>
      <c r="EG98" s="356" t="n">
        <f aca="false">($M98=EF98)*$D$13</f>
        <v>0</v>
      </c>
      <c r="EH98" s="407"/>
      <c r="EI98" s="407"/>
    </row>
    <row r="99" customFormat="false" ht="15" hidden="false" customHeight="false" outlineLevel="0" collapsed="false">
      <c r="A99" s="327"/>
      <c r="B99" s="327"/>
      <c r="C99" s="327"/>
      <c r="D99" s="327"/>
      <c r="E99" s="327"/>
      <c r="F99" s="328" t="n">
        <f aca="false">$D$14</f>
        <v>5</v>
      </c>
      <c r="G99" s="394" t="n">
        <f aca="false">VLOOKUP(H99,Equipos!$Q$1:$R$25,2,0)</f>
        <v>16</v>
      </c>
      <c r="H99" s="395" t="n">
        <f aca="false">$H$62</f>
        <v>46199</v>
      </c>
      <c r="I99" s="333"/>
      <c r="J99" s="408"/>
      <c r="K99" s="367" t="str">
        <f aca="false">Idiomas!D169</f>
        <v>4º GRUPO E</v>
      </c>
      <c r="L99" s="354"/>
      <c r="M99" s="359" t="str">
        <f aca="false">IF(OR(SUM(WORLDCUP!$AN$38:$AN$41)=12,WORLDCUP!$AJ$99=144),WORLDCUP!AL41,LEFT(K99,1)&amp;RIGHT(K99,1))</f>
        <v>4E</v>
      </c>
      <c r="N99" s="332"/>
      <c r="O99" s="332"/>
      <c r="P99" s="332"/>
      <c r="Q99" s="332"/>
      <c r="R99" s="404"/>
      <c r="S99" s="363" t="s">
        <v>350</v>
      </c>
      <c r="T99" s="356" t="n">
        <f aca="false">($M99=S99)*$D$14</f>
        <v>0</v>
      </c>
      <c r="U99" s="407"/>
      <c r="V99" s="363" t="s">
        <v>350</v>
      </c>
      <c r="W99" s="356" t="n">
        <f aca="false">($M99=V99)*$D$14</f>
        <v>0</v>
      </c>
      <c r="X99" s="407"/>
      <c r="Y99" s="363" t="s">
        <v>350</v>
      </c>
      <c r="Z99" s="356" t="n">
        <f aca="false">($M99=Y99)*$D$14</f>
        <v>0</v>
      </c>
      <c r="AA99" s="407"/>
      <c r="AB99" s="363" t="s">
        <v>350</v>
      </c>
      <c r="AC99" s="356" t="n">
        <f aca="false">($M99=AB99)*$D$14</f>
        <v>0</v>
      </c>
      <c r="AD99" s="407"/>
      <c r="AE99" s="363" t="s">
        <v>350</v>
      </c>
      <c r="AF99" s="356" t="n">
        <f aca="false">($M99=AE99)*$D$14</f>
        <v>0</v>
      </c>
      <c r="AG99" s="407"/>
      <c r="AH99" s="363" t="s">
        <v>350</v>
      </c>
      <c r="AI99" s="356" t="n">
        <f aca="false">($M99=AH99)*$D$14</f>
        <v>0</v>
      </c>
      <c r="AJ99" s="407"/>
      <c r="AK99" s="363" t="s">
        <v>350</v>
      </c>
      <c r="AL99" s="356" t="n">
        <f aca="false">($M99=AK99)*$D$14</f>
        <v>0</v>
      </c>
      <c r="AM99" s="407"/>
      <c r="AN99" s="363" t="s">
        <v>350</v>
      </c>
      <c r="AO99" s="356" t="n">
        <f aca="false">($M99=AN99)*$D$14</f>
        <v>0</v>
      </c>
      <c r="AP99" s="407"/>
      <c r="AQ99" s="363" t="s">
        <v>350</v>
      </c>
      <c r="AR99" s="356" t="n">
        <f aca="false">($M99=AQ99)*$D$14</f>
        <v>0</v>
      </c>
      <c r="AS99" s="407"/>
      <c r="AT99" s="363" t="s">
        <v>350</v>
      </c>
      <c r="AU99" s="356" t="n">
        <f aca="false">($M99=AT99)*$D$14</f>
        <v>0</v>
      </c>
      <c r="AV99" s="407"/>
      <c r="AW99" s="363" t="s">
        <v>350</v>
      </c>
      <c r="AX99" s="356" t="n">
        <f aca="false">($M99=AW99)*$D$14</f>
        <v>0</v>
      </c>
      <c r="AY99" s="407"/>
      <c r="AZ99" s="363" t="s">
        <v>350</v>
      </c>
      <c r="BA99" s="356" t="n">
        <f aca="false">($M99=AZ99)*$D$14</f>
        <v>0</v>
      </c>
      <c r="BB99" s="407"/>
      <c r="BC99" s="363" t="s">
        <v>350</v>
      </c>
      <c r="BD99" s="356" t="n">
        <f aca="false">($M99=BC99)*$D$14</f>
        <v>0</v>
      </c>
      <c r="BE99" s="407"/>
      <c r="BF99" s="363" t="s">
        <v>348</v>
      </c>
      <c r="BG99" s="356" t="n">
        <f aca="false">($M99=BF99)*$D$14</f>
        <v>0</v>
      </c>
      <c r="BH99" s="407"/>
      <c r="BI99" s="363" t="s">
        <v>350</v>
      </c>
      <c r="BJ99" s="356" t="n">
        <f aca="false">($M99=BI99)*$D$14</f>
        <v>0</v>
      </c>
      <c r="BK99" s="407"/>
      <c r="BL99" s="363" t="s">
        <v>350</v>
      </c>
      <c r="BM99" s="356" t="n">
        <f aca="false">($M99=BL99)*$D$14</f>
        <v>0</v>
      </c>
      <c r="BN99" s="407"/>
      <c r="BO99" s="363" t="s">
        <v>350</v>
      </c>
      <c r="BP99" s="356" t="n">
        <f aca="false">($M99=BO99)*$D$14</f>
        <v>0</v>
      </c>
      <c r="BQ99" s="407"/>
      <c r="BR99" s="363" t="s">
        <v>350</v>
      </c>
      <c r="BS99" s="356" t="n">
        <f aca="false">($M99=BR99)*$D$14</f>
        <v>0</v>
      </c>
      <c r="BT99" s="407"/>
      <c r="BU99" s="363"/>
      <c r="BV99" s="356" t="n">
        <f aca="false">($M99=BU99)*$D$14</f>
        <v>0</v>
      </c>
      <c r="BW99" s="407"/>
      <c r="BX99" s="363"/>
      <c r="BY99" s="356" t="n">
        <f aca="false">($M99=BX99)*$D$14</f>
        <v>0</v>
      </c>
      <c r="BZ99" s="407"/>
      <c r="CA99" s="363"/>
      <c r="CB99" s="356" t="n">
        <f aca="false">($M99=CA99)*$D$14</f>
        <v>0</v>
      </c>
      <c r="CC99" s="407"/>
      <c r="CD99" s="363"/>
      <c r="CE99" s="356" t="n">
        <f aca="false">($M99=CD99)*$D$14</f>
        <v>0</v>
      </c>
      <c r="CF99" s="407"/>
      <c r="CG99" s="363"/>
      <c r="CH99" s="356" t="n">
        <f aca="false">($M99=CG99)*$D$14</f>
        <v>0</v>
      </c>
      <c r="CI99" s="407"/>
      <c r="CJ99" s="363"/>
      <c r="CK99" s="356" t="n">
        <f aca="false">($M99=CJ99)*$D$14</f>
        <v>0</v>
      </c>
      <c r="CL99" s="407"/>
      <c r="CM99" s="363"/>
      <c r="CN99" s="356" t="n">
        <f aca="false">($M99=CM99)*$D$14</f>
        <v>0</v>
      </c>
      <c r="CO99" s="407"/>
      <c r="CP99" s="363"/>
      <c r="CQ99" s="356" t="n">
        <f aca="false">($M99=CP99)*$D$14</f>
        <v>0</v>
      </c>
      <c r="CR99" s="407"/>
      <c r="CS99" s="363"/>
      <c r="CT99" s="356" t="n">
        <f aca="false">($M99=CS99)*$D$14</f>
        <v>0</v>
      </c>
      <c r="CU99" s="407"/>
      <c r="CV99" s="363"/>
      <c r="CW99" s="356" t="n">
        <f aca="false">($M99=CV99)*$D$14</f>
        <v>0</v>
      </c>
      <c r="CX99" s="407"/>
      <c r="CY99" s="363"/>
      <c r="CZ99" s="356" t="n">
        <f aca="false">($M99=CY99)*$D$14</f>
        <v>0</v>
      </c>
      <c r="DA99" s="407"/>
      <c r="DB99" s="363"/>
      <c r="DC99" s="356" t="n">
        <f aca="false">($M99=DB99)*$D$14</f>
        <v>0</v>
      </c>
      <c r="DD99" s="407"/>
      <c r="DE99" s="363"/>
      <c r="DF99" s="356" t="n">
        <f aca="false">($M99=DE99)*$D$14</f>
        <v>0</v>
      </c>
      <c r="DG99" s="407"/>
      <c r="DH99" s="363"/>
      <c r="DI99" s="356" t="n">
        <f aca="false">($M99=DH99)*$D$14</f>
        <v>0</v>
      </c>
      <c r="DJ99" s="407"/>
      <c r="DK99" s="363"/>
      <c r="DL99" s="356" t="n">
        <f aca="false">($M99=DK99)*$D$14</f>
        <v>0</v>
      </c>
      <c r="DM99" s="407"/>
      <c r="DN99" s="363"/>
      <c r="DO99" s="356" t="n">
        <f aca="false">($M99=DN99)*$D$14</f>
        <v>0</v>
      </c>
      <c r="DP99" s="407"/>
      <c r="DQ99" s="363"/>
      <c r="DR99" s="356" t="n">
        <f aca="false">($M99=DQ99)*$D$14</f>
        <v>0</v>
      </c>
      <c r="DS99" s="407"/>
      <c r="DT99" s="363"/>
      <c r="DU99" s="356" t="n">
        <f aca="false">($M99=DT99)*$D$14</f>
        <v>0</v>
      </c>
      <c r="DV99" s="407"/>
      <c r="DW99" s="363"/>
      <c r="DX99" s="356" t="n">
        <f aca="false">($M99=DW99)*$D$14</f>
        <v>0</v>
      </c>
      <c r="DY99" s="407"/>
      <c r="DZ99" s="363"/>
      <c r="EA99" s="356" t="n">
        <f aca="false">($M99=DZ99)*$D$14</f>
        <v>0</v>
      </c>
      <c r="EB99" s="407"/>
      <c r="EC99" s="363"/>
      <c r="ED99" s="356" t="n">
        <f aca="false">($M99=EC99)*$D$14</f>
        <v>0</v>
      </c>
      <c r="EE99" s="407"/>
      <c r="EF99" s="363"/>
      <c r="EG99" s="356" t="n">
        <f aca="false">($M99=EF99)*$D$14</f>
        <v>0</v>
      </c>
      <c r="EH99" s="407"/>
      <c r="EI99" s="407"/>
    </row>
    <row r="100" customFormat="false" ht="15" hidden="false" customHeight="false" outlineLevel="0" collapsed="false">
      <c r="A100" s="327"/>
      <c r="B100" s="327"/>
      <c r="C100" s="327"/>
      <c r="D100" s="327"/>
      <c r="E100" s="327"/>
      <c r="F100" s="328" t="n">
        <f aca="false">$D$11</f>
        <v>5</v>
      </c>
      <c r="G100" s="394" t="n">
        <f aca="false">VLOOKUP(H100,Equipos!$Q$1:$R$25,2,0)</f>
        <v>16</v>
      </c>
      <c r="H100" s="395" t="n">
        <f aca="false">$H$64</f>
        <v>46199</v>
      </c>
      <c r="I100" s="333"/>
      <c r="J100" s="409" t="s">
        <v>120</v>
      </c>
      <c r="K100" s="367" t="str">
        <f aca="false">Idiomas!D170</f>
        <v>1º GRUPO F</v>
      </c>
      <c r="L100" s="354"/>
      <c r="M100" s="359" t="str">
        <f aca="false">IF(OR(SUM(WORLDCUP!$AN$46:$AN$49)=12,WORLDCUP!$AJ$99=144),WORLDCUP!AL46,LEFT(K100,1)&amp;RIGHT(K100,1))</f>
        <v>1F</v>
      </c>
      <c r="N100" s="332"/>
      <c r="O100" s="332"/>
      <c r="P100" s="332"/>
      <c r="Q100" s="332"/>
      <c r="R100" s="404"/>
      <c r="S100" s="363" t="s">
        <v>351</v>
      </c>
      <c r="T100" s="356" t="n">
        <f aca="false">($M100=S100)*$D$11</f>
        <v>0</v>
      </c>
      <c r="U100" s="407"/>
      <c r="V100" s="363" t="s">
        <v>351</v>
      </c>
      <c r="W100" s="356" t="n">
        <f aca="false">($M100=V100)*$D$11</f>
        <v>0</v>
      </c>
      <c r="X100" s="407"/>
      <c r="Y100" s="363" t="s">
        <v>351</v>
      </c>
      <c r="Z100" s="356" t="n">
        <f aca="false">($M100=Y100)*$D$11</f>
        <v>0</v>
      </c>
      <c r="AA100" s="407"/>
      <c r="AB100" s="363" t="s">
        <v>351</v>
      </c>
      <c r="AC100" s="356" t="n">
        <f aca="false">($M100=AB100)*$D$11</f>
        <v>0</v>
      </c>
      <c r="AD100" s="407"/>
      <c r="AE100" s="363" t="s">
        <v>351</v>
      </c>
      <c r="AF100" s="356" t="n">
        <f aca="false">($M100=AE100)*$D$11</f>
        <v>0</v>
      </c>
      <c r="AG100" s="407"/>
      <c r="AH100" s="363" t="s">
        <v>351</v>
      </c>
      <c r="AI100" s="356" t="n">
        <f aca="false">($M100=AH100)*$D$11</f>
        <v>0</v>
      </c>
      <c r="AJ100" s="407"/>
      <c r="AK100" s="363" t="s">
        <v>351</v>
      </c>
      <c r="AL100" s="356" t="n">
        <f aca="false">($M100=AK100)*$D$11</f>
        <v>0</v>
      </c>
      <c r="AM100" s="407"/>
      <c r="AN100" s="363" t="s">
        <v>351</v>
      </c>
      <c r="AO100" s="356" t="n">
        <f aca="false">($M100=AN100)*$D$11</f>
        <v>0</v>
      </c>
      <c r="AP100" s="407"/>
      <c r="AQ100" s="363" t="s">
        <v>351</v>
      </c>
      <c r="AR100" s="356" t="n">
        <f aca="false">($M100=AQ100)*$D$11</f>
        <v>0</v>
      </c>
      <c r="AS100" s="407"/>
      <c r="AT100" s="363" t="s">
        <v>351</v>
      </c>
      <c r="AU100" s="356" t="n">
        <f aca="false">($M100=AT100)*$D$11</f>
        <v>0</v>
      </c>
      <c r="AV100" s="407"/>
      <c r="AW100" s="363" t="s">
        <v>351</v>
      </c>
      <c r="AX100" s="356" t="n">
        <f aca="false">($M100=AW100)*$D$11</f>
        <v>0</v>
      </c>
      <c r="AY100" s="407"/>
      <c r="AZ100" s="363" t="s">
        <v>351</v>
      </c>
      <c r="BA100" s="356" t="n">
        <f aca="false">($M100=AZ100)*$D$11</f>
        <v>0</v>
      </c>
      <c r="BB100" s="407"/>
      <c r="BC100" s="363" t="s">
        <v>351</v>
      </c>
      <c r="BD100" s="356" t="n">
        <f aca="false">($M100=BC100)*$D$11</f>
        <v>0</v>
      </c>
      <c r="BE100" s="407"/>
      <c r="BF100" s="363" t="s">
        <v>351</v>
      </c>
      <c r="BG100" s="356" t="n">
        <f aca="false">($M100=BF100)*$D$11</f>
        <v>0</v>
      </c>
      <c r="BH100" s="407"/>
      <c r="BI100" s="363" t="s">
        <v>351</v>
      </c>
      <c r="BJ100" s="356" t="n">
        <f aca="false">($M100=BI100)*$D$11</f>
        <v>0</v>
      </c>
      <c r="BK100" s="407"/>
      <c r="BL100" s="363" t="s">
        <v>351</v>
      </c>
      <c r="BM100" s="356" t="n">
        <f aca="false">($M100=BL100)*$D$11</f>
        <v>0</v>
      </c>
      <c r="BN100" s="407"/>
      <c r="BO100" s="363" t="s">
        <v>351</v>
      </c>
      <c r="BP100" s="356" t="n">
        <f aca="false">($M100=BO100)*$D$11</f>
        <v>0</v>
      </c>
      <c r="BQ100" s="407"/>
      <c r="BR100" s="363" t="s">
        <v>351</v>
      </c>
      <c r="BS100" s="356" t="n">
        <f aca="false">($M100=BR100)*$D$11</f>
        <v>0</v>
      </c>
      <c r="BT100" s="407"/>
      <c r="BU100" s="363"/>
      <c r="BV100" s="356" t="n">
        <f aca="false">($M100=BU100)*$D$11</f>
        <v>0</v>
      </c>
      <c r="BW100" s="407"/>
      <c r="BX100" s="363"/>
      <c r="BY100" s="356" t="n">
        <f aca="false">($M100=BX100)*$D$11</f>
        <v>0</v>
      </c>
      <c r="BZ100" s="407"/>
      <c r="CA100" s="363"/>
      <c r="CB100" s="356" t="n">
        <f aca="false">($M100=CA100)*$D$11</f>
        <v>0</v>
      </c>
      <c r="CC100" s="407"/>
      <c r="CD100" s="363"/>
      <c r="CE100" s="356" t="n">
        <f aca="false">($M100=CD100)*$D$11</f>
        <v>0</v>
      </c>
      <c r="CF100" s="407"/>
      <c r="CG100" s="363"/>
      <c r="CH100" s="356" t="n">
        <f aca="false">($M100=CG100)*$D$11</f>
        <v>0</v>
      </c>
      <c r="CI100" s="407"/>
      <c r="CJ100" s="363"/>
      <c r="CK100" s="356" t="n">
        <f aca="false">($M100=CJ100)*$D$11</f>
        <v>0</v>
      </c>
      <c r="CL100" s="407"/>
      <c r="CM100" s="363"/>
      <c r="CN100" s="356" t="n">
        <f aca="false">($M100=CM100)*$D$11</f>
        <v>0</v>
      </c>
      <c r="CO100" s="407"/>
      <c r="CP100" s="363"/>
      <c r="CQ100" s="356" t="n">
        <f aca="false">($M100=CP100)*$D$11</f>
        <v>0</v>
      </c>
      <c r="CR100" s="407"/>
      <c r="CS100" s="363"/>
      <c r="CT100" s="356" t="n">
        <f aca="false">($M100=CS100)*$D$11</f>
        <v>0</v>
      </c>
      <c r="CU100" s="407"/>
      <c r="CV100" s="363"/>
      <c r="CW100" s="356" t="n">
        <f aca="false">($M100=CV100)*$D$11</f>
        <v>0</v>
      </c>
      <c r="CX100" s="407"/>
      <c r="CY100" s="363"/>
      <c r="CZ100" s="356" t="n">
        <f aca="false">($M100=CY100)*$D$11</f>
        <v>0</v>
      </c>
      <c r="DA100" s="407"/>
      <c r="DB100" s="363"/>
      <c r="DC100" s="356" t="n">
        <f aca="false">($M100=DB100)*$D$11</f>
        <v>0</v>
      </c>
      <c r="DD100" s="407"/>
      <c r="DE100" s="363"/>
      <c r="DF100" s="356" t="n">
        <f aca="false">($M100=DE100)*$D$11</f>
        <v>0</v>
      </c>
      <c r="DG100" s="407"/>
      <c r="DH100" s="363"/>
      <c r="DI100" s="356" t="n">
        <f aca="false">($M100=DH100)*$D$11</f>
        <v>0</v>
      </c>
      <c r="DJ100" s="407"/>
      <c r="DK100" s="363"/>
      <c r="DL100" s="356" t="n">
        <f aca="false">($M100=DK100)*$D$11</f>
        <v>0</v>
      </c>
      <c r="DM100" s="407"/>
      <c r="DN100" s="363"/>
      <c r="DO100" s="356" t="n">
        <f aca="false">($M100=DN100)*$D$11</f>
        <v>0</v>
      </c>
      <c r="DP100" s="407"/>
      <c r="DQ100" s="363"/>
      <c r="DR100" s="356" t="n">
        <f aca="false">($M100=DQ100)*$D$11</f>
        <v>0</v>
      </c>
      <c r="DS100" s="407"/>
      <c r="DT100" s="363"/>
      <c r="DU100" s="356" t="n">
        <f aca="false">($M100=DT100)*$D$11</f>
        <v>0</v>
      </c>
      <c r="DV100" s="407"/>
      <c r="DW100" s="363"/>
      <c r="DX100" s="356" t="n">
        <f aca="false">($M100=DW100)*$D$11</f>
        <v>0</v>
      </c>
      <c r="DY100" s="407"/>
      <c r="DZ100" s="363"/>
      <c r="EA100" s="356" t="n">
        <f aca="false">($M100=DZ100)*$D$11</f>
        <v>0</v>
      </c>
      <c r="EB100" s="407"/>
      <c r="EC100" s="363"/>
      <c r="ED100" s="356" t="n">
        <f aca="false">($M100=EC100)*$D$11</f>
        <v>0</v>
      </c>
      <c r="EE100" s="407"/>
      <c r="EF100" s="363"/>
      <c r="EG100" s="356" t="n">
        <f aca="false">($M100=EF100)*$D$11</f>
        <v>0</v>
      </c>
      <c r="EH100" s="407"/>
      <c r="EI100" s="407"/>
    </row>
    <row r="101" customFormat="false" ht="15" hidden="false" customHeight="false" outlineLevel="0" collapsed="false">
      <c r="A101" s="327"/>
      <c r="B101" s="327"/>
      <c r="C101" s="327"/>
      <c r="D101" s="327"/>
      <c r="E101" s="327"/>
      <c r="F101" s="328" t="n">
        <f aca="false">$D$12</f>
        <v>5</v>
      </c>
      <c r="G101" s="394" t="n">
        <f aca="false">VLOOKUP(H101,Equipos!$Q$1:$R$25,2,0)</f>
        <v>16</v>
      </c>
      <c r="H101" s="395" t="n">
        <f aca="false">$H$64</f>
        <v>46199</v>
      </c>
      <c r="I101" s="333"/>
      <c r="J101" s="409"/>
      <c r="K101" s="367" t="str">
        <f aca="false">Idiomas!D171</f>
        <v>2º GRUPO F</v>
      </c>
      <c r="L101" s="354"/>
      <c r="M101" s="359" t="str">
        <f aca="false">IF(OR(SUM(WORLDCUP!$AN$46:$AN$49)=12,WORLDCUP!$AJ$99=144),WORLDCUP!AL47,LEFT(K101,1)&amp;RIGHT(K101,1))</f>
        <v>2F</v>
      </c>
      <c r="N101" s="332"/>
      <c r="O101" s="332"/>
      <c r="P101" s="332"/>
      <c r="Q101" s="332"/>
      <c r="R101" s="404"/>
      <c r="S101" s="363" t="s">
        <v>352</v>
      </c>
      <c r="T101" s="356" t="n">
        <f aca="false">($M101=S101)*$D$12</f>
        <v>0</v>
      </c>
      <c r="U101" s="407"/>
      <c r="V101" s="363" t="s">
        <v>353</v>
      </c>
      <c r="W101" s="356" t="n">
        <f aca="false">($M101=V101)*$D$12</f>
        <v>0</v>
      </c>
      <c r="X101" s="407"/>
      <c r="Y101" s="363" t="s">
        <v>352</v>
      </c>
      <c r="Z101" s="356" t="n">
        <f aca="false">($M101=Y101)*$D$12</f>
        <v>0</v>
      </c>
      <c r="AA101" s="407"/>
      <c r="AB101" s="363" t="s">
        <v>353</v>
      </c>
      <c r="AC101" s="356" t="n">
        <f aca="false">($M101=AB101)*$D$12</f>
        <v>0</v>
      </c>
      <c r="AD101" s="407"/>
      <c r="AE101" s="363" t="s">
        <v>353</v>
      </c>
      <c r="AF101" s="356" t="n">
        <f aca="false">($M101=AE101)*$D$12</f>
        <v>0</v>
      </c>
      <c r="AG101" s="407"/>
      <c r="AH101" s="363" t="s">
        <v>353</v>
      </c>
      <c r="AI101" s="356" t="n">
        <f aca="false">($M101=AH101)*$D$12</f>
        <v>0</v>
      </c>
      <c r="AJ101" s="407"/>
      <c r="AK101" s="363" t="s">
        <v>353</v>
      </c>
      <c r="AL101" s="356" t="n">
        <f aca="false">($M101=AK101)*$D$12</f>
        <v>0</v>
      </c>
      <c r="AM101" s="407"/>
      <c r="AN101" s="363" t="s">
        <v>353</v>
      </c>
      <c r="AO101" s="356" t="n">
        <f aca="false">($M101=AN101)*$D$12</f>
        <v>0</v>
      </c>
      <c r="AP101" s="407"/>
      <c r="AQ101" s="363" t="s">
        <v>353</v>
      </c>
      <c r="AR101" s="356" t="n">
        <f aca="false">($M101=AQ101)*$D$12</f>
        <v>0</v>
      </c>
      <c r="AS101" s="407"/>
      <c r="AT101" s="363" t="s">
        <v>353</v>
      </c>
      <c r="AU101" s="356" t="n">
        <f aca="false">($M101=AT101)*$D$12</f>
        <v>0</v>
      </c>
      <c r="AV101" s="407"/>
      <c r="AW101" s="363" t="s">
        <v>352</v>
      </c>
      <c r="AX101" s="356" t="n">
        <f aca="false">($M101=AW101)*$D$12</f>
        <v>0</v>
      </c>
      <c r="AY101" s="407"/>
      <c r="AZ101" s="363" t="s">
        <v>352</v>
      </c>
      <c r="BA101" s="356" t="n">
        <f aca="false">($M101=AZ101)*$D$12</f>
        <v>0</v>
      </c>
      <c r="BB101" s="407"/>
      <c r="BC101" s="363" t="s">
        <v>352</v>
      </c>
      <c r="BD101" s="356" t="n">
        <f aca="false">($M101=BC101)*$D$12</f>
        <v>0</v>
      </c>
      <c r="BE101" s="407"/>
      <c r="BF101" s="363" t="s">
        <v>352</v>
      </c>
      <c r="BG101" s="356" t="n">
        <f aca="false">($M101=BF101)*$D$12</f>
        <v>0</v>
      </c>
      <c r="BH101" s="407"/>
      <c r="BI101" s="363" t="s">
        <v>352</v>
      </c>
      <c r="BJ101" s="356" t="n">
        <f aca="false">($M101=BI101)*$D$12</f>
        <v>0</v>
      </c>
      <c r="BK101" s="407"/>
      <c r="BL101" s="363" t="s">
        <v>352</v>
      </c>
      <c r="BM101" s="356" t="n">
        <f aca="false">($M101=BL101)*$D$12</f>
        <v>0</v>
      </c>
      <c r="BN101" s="407"/>
      <c r="BO101" s="363" t="s">
        <v>353</v>
      </c>
      <c r="BP101" s="356" t="n">
        <f aca="false">($M101=BO101)*$D$12</f>
        <v>0</v>
      </c>
      <c r="BQ101" s="407"/>
      <c r="BR101" s="363" t="s">
        <v>353</v>
      </c>
      <c r="BS101" s="356" t="n">
        <f aca="false">($M101=BR101)*$D$12</f>
        <v>0</v>
      </c>
      <c r="BT101" s="407"/>
      <c r="BU101" s="363"/>
      <c r="BV101" s="356" t="n">
        <f aca="false">($M101=BU101)*$D$12</f>
        <v>0</v>
      </c>
      <c r="BW101" s="407"/>
      <c r="BX101" s="363"/>
      <c r="BY101" s="356" t="n">
        <f aca="false">($M101=BX101)*$D$12</f>
        <v>0</v>
      </c>
      <c r="BZ101" s="407"/>
      <c r="CA101" s="363"/>
      <c r="CB101" s="356" t="n">
        <f aca="false">($M101=CA101)*$D$12</f>
        <v>0</v>
      </c>
      <c r="CC101" s="407"/>
      <c r="CD101" s="363"/>
      <c r="CE101" s="356" t="n">
        <f aca="false">($M101=CD101)*$D$12</f>
        <v>0</v>
      </c>
      <c r="CF101" s="407"/>
      <c r="CG101" s="363"/>
      <c r="CH101" s="356" t="n">
        <f aca="false">($M101=CG101)*$D$12</f>
        <v>0</v>
      </c>
      <c r="CI101" s="407"/>
      <c r="CJ101" s="363"/>
      <c r="CK101" s="356" t="n">
        <f aca="false">($M101=CJ101)*$D$12</f>
        <v>0</v>
      </c>
      <c r="CL101" s="407"/>
      <c r="CM101" s="363"/>
      <c r="CN101" s="356" t="n">
        <f aca="false">($M101=CM101)*$D$12</f>
        <v>0</v>
      </c>
      <c r="CO101" s="407"/>
      <c r="CP101" s="363"/>
      <c r="CQ101" s="356" t="n">
        <f aca="false">($M101=CP101)*$D$12</f>
        <v>0</v>
      </c>
      <c r="CR101" s="407"/>
      <c r="CS101" s="363"/>
      <c r="CT101" s="356" t="n">
        <f aca="false">($M101=CS101)*$D$12</f>
        <v>0</v>
      </c>
      <c r="CU101" s="407"/>
      <c r="CV101" s="363"/>
      <c r="CW101" s="356" t="n">
        <f aca="false">($M101=CV101)*$D$12</f>
        <v>0</v>
      </c>
      <c r="CX101" s="407"/>
      <c r="CY101" s="363"/>
      <c r="CZ101" s="356" t="n">
        <f aca="false">($M101=CY101)*$D$12</f>
        <v>0</v>
      </c>
      <c r="DA101" s="407"/>
      <c r="DB101" s="363"/>
      <c r="DC101" s="356" t="n">
        <f aca="false">($M101=DB101)*$D$12</f>
        <v>0</v>
      </c>
      <c r="DD101" s="407"/>
      <c r="DE101" s="363"/>
      <c r="DF101" s="356" t="n">
        <f aca="false">($M101=DE101)*$D$12</f>
        <v>0</v>
      </c>
      <c r="DG101" s="407"/>
      <c r="DH101" s="363"/>
      <c r="DI101" s="356" t="n">
        <f aca="false">($M101=DH101)*$D$12</f>
        <v>0</v>
      </c>
      <c r="DJ101" s="407"/>
      <c r="DK101" s="363"/>
      <c r="DL101" s="356" t="n">
        <f aca="false">($M101=DK101)*$D$12</f>
        <v>0</v>
      </c>
      <c r="DM101" s="407"/>
      <c r="DN101" s="363"/>
      <c r="DO101" s="356" t="n">
        <f aca="false">($M101=DN101)*$D$12</f>
        <v>0</v>
      </c>
      <c r="DP101" s="407"/>
      <c r="DQ101" s="363"/>
      <c r="DR101" s="356" t="n">
        <f aca="false">($M101=DQ101)*$D$12</f>
        <v>0</v>
      </c>
      <c r="DS101" s="407"/>
      <c r="DT101" s="363"/>
      <c r="DU101" s="356" t="n">
        <f aca="false">($M101=DT101)*$D$12</f>
        <v>0</v>
      </c>
      <c r="DV101" s="407"/>
      <c r="DW101" s="363"/>
      <c r="DX101" s="356" t="n">
        <f aca="false">($M101=DW101)*$D$12</f>
        <v>0</v>
      </c>
      <c r="DY101" s="407"/>
      <c r="DZ101" s="363"/>
      <c r="EA101" s="356" t="n">
        <f aca="false">($M101=DZ101)*$D$12</f>
        <v>0</v>
      </c>
      <c r="EB101" s="407"/>
      <c r="EC101" s="363"/>
      <c r="ED101" s="356" t="n">
        <f aca="false">($M101=EC101)*$D$12</f>
        <v>0</v>
      </c>
      <c r="EE101" s="407"/>
      <c r="EF101" s="363"/>
      <c r="EG101" s="356" t="n">
        <f aca="false">($M101=EF101)*$D$12</f>
        <v>0</v>
      </c>
      <c r="EH101" s="407"/>
      <c r="EI101" s="407"/>
    </row>
    <row r="102" customFormat="false" ht="15" hidden="false" customHeight="false" outlineLevel="0" collapsed="false">
      <c r="A102" s="327"/>
      <c r="B102" s="327"/>
      <c r="C102" s="327"/>
      <c r="D102" s="327"/>
      <c r="E102" s="327"/>
      <c r="F102" s="328" t="n">
        <f aca="false">$D$13</f>
        <v>5</v>
      </c>
      <c r="G102" s="394" t="n">
        <f aca="false">VLOOKUP(H102,Equipos!$Q$1:$R$25,2,0)</f>
        <v>16</v>
      </c>
      <c r="H102" s="395" t="n">
        <f aca="false">$H$64</f>
        <v>46199</v>
      </c>
      <c r="I102" s="333"/>
      <c r="J102" s="409"/>
      <c r="K102" s="367" t="str">
        <f aca="false">Idiomas!D172</f>
        <v>3º GRUPO F</v>
      </c>
      <c r="L102" s="354"/>
      <c r="M102" s="359" t="str">
        <f aca="false">IF(OR(SUM(WORLDCUP!$AN$46:$AN$49)=12,WORLDCUP!$AJ$99=144),WORLDCUP!AL48,LEFT(K102,1)&amp;RIGHT(K102,1))</f>
        <v>3F</v>
      </c>
      <c r="N102" s="332"/>
      <c r="O102" s="332"/>
      <c r="P102" s="332"/>
      <c r="Q102" s="332"/>
      <c r="R102" s="404"/>
      <c r="S102" s="363" t="s">
        <v>353</v>
      </c>
      <c r="T102" s="356" t="n">
        <f aca="false">($M102=S102)*$D$13</f>
        <v>0</v>
      </c>
      <c r="U102" s="407"/>
      <c r="V102" s="363" t="s">
        <v>352</v>
      </c>
      <c r="W102" s="356" t="n">
        <f aca="false">($M102=V102)*$D$13</f>
        <v>0</v>
      </c>
      <c r="X102" s="407"/>
      <c r="Y102" s="363" t="s">
        <v>353</v>
      </c>
      <c r="Z102" s="356" t="n">
        <f aca="false">($M102=Y102)*$D$13</f>
        <v>0</v>
      </c>
      <c r="AA102" s="407"/>
      <c r="AB102" s="363" t="s">
        <v>352</v>
      </c>
      <c r="AC102" s="356" t="n">
        <f aca="false">($M102=AB102)*$D$13</f>
        <v>0</v>
      </c>
      <c r="AD102" s="407"/>
      <c r="AE102" s="363" t="s">
        <v>352</v>
      </c>
      <c r="AF102" s="356" t="n">
        <f aca="false">($M102=AE102)*$D$13</f>
        <v>0</v>
      </c>
      <c r="AG102" s="407"/>
      <c r="AH102" s="363" t="s">
        <v>352</v>
      </c>
      <c r="AI102" s="356" t="n">
        <f aca="false">($M102=AH102)*$D$13</f>
        <v>0</v>
      </c>
      <c r="AJ102" s="407"/>
      <c r="AK102" s="363" t="s">
        <v>352</v>
      </c>
      <c r="AL102" s="356" t="n">
        <f aca="false">($M102=AK102)*$D$13</f>
        <v>0</v>
      </c>
      <c r="AM102" s="407"/>
      <c r="AN102" s="363" t="s">
        <v>352</v>
      </c>
      <c r="AO102" s="356" t="n">
        <f aca="false">($M102=AN102)*$D$13</f>
        <v>0</v>
      </c>
      <c r="AP102" s="407"/>
      <c r="AQ102" s="363" t="s">
        <v>352</v>
      </c>
      <c r="AR102" s="356" t="n">
        <f aca="false">($M102=AQ102)*$D$13</f>
        <v>0</v>
      </c>
      <c r="AS102" s="407"/>
      <c r="AT102" s="363" t="s">
        <v>352</v>
      </c>
      <c r="AU102" s="356" t="n">
        <f aca="false">($M102=AT102)*$D$13</f>
        <v>0</v>
      </c>
      <c r="AV102" s="407"/>
      <c r="AW102" s="363" t="s">
        <v>353</v>
      </c>
      <c r="AX102" s="356" t="n">
        <f aca="false">($M102=AW102)*$D$13</f>
        <v>0</v>
      </c>
      <c r="AY102" s="407"/>
      <c r="AZ102" s="363" t="s">
        <v>353</v>
      </c>
      <c r="BA102" s="356" t="n">
        <f aca="false">($M102=AZ102)*$D$13</f>
        <v>0</v>
      </c>
      <c r="BB102" s="407"/>
      <c r="BC102" s="363" t="s">
        <v>353</v>
      </c>
      <c r="BD102" s="356" t="n">
        <f aca="false">($M102=BC102)*$D$13</f>
        <v>0</v>
      </c>
      <c r="BE102" s="407"/>
      <c r="BF102" s="363" t="s">
        <v>353</v>
      </c>
      <c r="BG102" s="356" t="n">
        <f aca="false">($M102=BF102)*$D$13</f>
        <v>0</v>
      </c>
      <c r="BH102" s="407"/>
      <c r="BI102" s="363" t="s">
        <v>353</v>
      </c>
      <c r="BJ102" s="356" t="n">
        <f aca="false">($M102=BI102)*$D$13</f>
        <v>0</v>
      </c>
      <c r="BK102" s="407"/>
      <c r="BL102" s="363" t="s">
        <v>353</v>
      </c>
      <c r="BM102" s="356" t="n">
        <f aca="false">($M102=BL102)*$D$13</f>
        <v>0</v>
      </c>
      <c r="BN102" s="407"/>
      <c r="BO102" s="363" t="s">
        <v>352</v>
      </c>
      <c r="BP102" s="356" t="n">
        <f aca="false">($M102=BO102)*$D$13</f>
        <v>0</v>
      </c>
      <c r="BQ102" s="407"/>
      <c r="BR102" s="363" t="s">
        <v>352</v>
      </c>
      <c r="BS102" s="356" t="n">
        <f aca="false">($M102=BR102)*$D$13</f>
        <v>0</v>
      </c>
      <c r="BT102" s="407"/>
      <c r="BU102" s="363"/>
      <c r="BV102" s="356" t="n">
        <f aca="false">($M102=BU102)*$D$13</f>
        <v>0</v>
      </c>
      <c r="BW102" s="407"/>
      <c r="BX102" s="363"/>
      <c r="BY102" s="356" t="n">
        <f aca="false">($M102=BX102)*$D$13</f>
        <v>0</v>
      </c>
      <c r="BZ102" s="407"/>
      <c r="CA102" s="363"/>
      <c r="CB102" s="356" t="n">
        <f aca="false">($M102=CA102)*$D$13</f>
        <v>0</v>
      </c>
      <c r="CC102" s="407"/>
      <c r="CD102" s="363"/>
      <c r="CE102" s="356" t="n">
        <f aca="false">($M102=CD102)*$D$13</f>
        <v>0</v>
      </c>
      <c r="CF102" s="407"/>
      <c r="CG102" s="363"/>
      <c r="CH102" s="356" t="n">
        <f aca="false">($M102=CG102)*$D$13</f>
        <v>0</v>
      </c>
      <c r="CI102" s="407"/>
      <c r="CJ102" s="363"/>
      <c r="CK102" s="356" t="n">
        <f aca="false">($M102=CJ102)*$D$13</f>
        <v>0</v>
      </c>
      <c r="CL102" s="407"/>
      <c r="CM102" s="363"/>
      <c r="CN102" s="356" t="n">
        <f aca="false">($M102=CM102)*$D$13</f>
        <v>0</v>
      </c>
      <c r="CO102" s="407"/>
      <c r="CP102" s="363"/>
      <c r="CQ102" s="356" t="n">
        <f aca="false">($M102=CP102)*$D$13</f>
        <v>0</v>
      </c>
      <c r="CR102" s="407"/>
      <c r="CS102" s="363"/>
      <c r="CT102" s="356" t="n">
        <f aca="false">($M102=CS102)*$D$13</f>
        <v>0</v>
      </c>
      <c r="CU102" s="407"/>
      <c r="CV102" s="363"/>
      <c r="CW102" s="356" t="n">
        <f aca="false">($M102=CV102)*$D$13</f>
        <v>0</v>
      </c>
      <c r="CX102" s="407"/>
      <c r="CY102" s="363"/>
      <c r="CZ102" s="356" t="n">
        <f aca="false">($M102=CY102)*$D$13</f>
        <v>0</v>
      </c>
      <c r="DA102" s="407"/>
      <c r="DB102" s="363"/>
      <c r="DC102" s="356" t="n">
        <f aca="false">($M102=DB102)*$D$13</f>
        <v>0</v>
      </c>
      <c r="DD102" s="407"/>
      <c r="DE102" s="363"/>
      <c r="DF102" s="356" t="n">
        <f aca="false">($M102=DE102)*$D$13</f>
        <v>0</v>
      </c>
      <c r="DG102" s="407"/>
      <c r="DH102" s="363"/>
      <c r="DI102" s="356" t="n">
        <f aca="false">($M102=DH102)*$D$13</f>
        <v>0</v>
      </c>
      <c r="DJ102" s="407"/>
      <c r="DK102" s="363"/>
      <c r="DL102" s="356" t="n">
        <f aca="false">($M102=DK102)*$D$13</f>
        <v>0</v>
      </c>
      <c r="DM102" s="407"/>
      <c r="DN102" s="363"/>
      <c r="DO102" s="356" t="n">
        <f aca="false">($M102=DN102)*$D$13</f>
        <v>0</v>
      </c>
      <c r="DP102" s="407"/>
      <c r="DQ102" s="363"/>
      <c r="DR102" s="356" t="n">
        <f aca="false">($M102=DQ102)*$D$13</f>
        <v>0</v>
      </c>
      <c r="DS102" s="407"/>
      <c r="DT102" s="363"/>
      <c r="DU102" s="356" t="n">
        <f aca="false">($M102=DT102)*$D$13</f>
        <v>0</v>
      </c>
      <c r="DV102" s="407"/>
      <c r="DW102" s="363"/>
      <c r="DX102" s="356" t="n">
        <f aca="false">($M102=DW102)*$D$13</f>
        <v>0</v>
      </c>
      <c r="DY102" s="407"/>
      <c r="DZ102" s="363"/>
      <c r="EA102" s="356" t="n">
        <f aca="false">($M102=DZ102)*$D$13</f>
        <v>0</v>
      </c>
      <c r="EB102" s="407"/>
      <c r="EC102" s="363"/>
      <c r="ED102" s="356" t="n">
        <f aca="false">($M102=EC102)*$D$13</f>
        <v>0</v>
      </c>
      <c r="EE102" s="407"/>
      <c r="EF102" s="363"/>
      <c r="EG102" s="356" t="n">
        <f aca="false">($M102=EF102)*$D$13</f>
        <v>0</v>
      </c>
      <c r="EH102" s="407"/>
      <c r="EI102" s="407"/>
    </row>
    <row r="103" customFormat="false" ht="15" hidden="false" customHeight="false" outlineLevel="0" collapsed="false">
      <c r="A103" s="327"/>
      <c r="B103" s="327"/>
      <c r="C103" s="327"/>
      <c r="D103" s="327"/>
      <c r="E103" s="327"/>
      <c r="F103" s="328" t="n">
        <f aca="false">$D$14</f>
        <v>5</v>
      </c>
      <c r="G103" s="394" t="n">
        <f aca="false">VLOOKUP(H103,Equipos!$Q$1:$R$25,2,0)</f>
        <v>16</v>
      </c>
      <c r="H103" s="395" t="n">
        <f aca="false">$H$64</f>
        <v>46199</v>
      </c>
      <c r="I103" s="333"/>
      <c r="J103" s="409"/>
      <c r="K103" s="367" t="str">
        <f aca="false">Idiomas!D173</f>
        <v>4º GRUPO F</v>
      </c>
      <c r="L103" s="354"/>
      <c r="M103" s="359" t="str">
        <f aca="false">IF(OR(SUM(WORLDCUP!$AN$46:$AN$49)=12,WORLDCUP!$AJ$99=144),WORLDCUP!AL49,LEFT(K103,1)&amp;RIGHT(K103,1))</f>
        <v>4F</v>
      </c>
      <c r="N103" s="332"/>
      <c r="O103" s="332"/>
      <c r="P103" s="332"/>
      <c r="Q103" s="332"/>
      <c r="R103" s="404"/>
      <c r="S103" s="363" t="s">
        <v>354</v>
      </c>
      <c r="T103" s="356" t="n">
        <f aca="false">($M103=S103)*$D$14</f>
        <v>0</v>
      </c>
      <c r="U103" s="407"/>
      <c r="V103" s="363" t="s">
        <v>354</v>
      </c>
      <c r="W103" s="356" t="n">
        <f aca="false">($M103=V103)*$D$14</f>
        <v>0</v>
      </c>
      <c r="X103" s="407"/>
      <c r="Y103" s="363" t="s">
        <v>354</v>
      </c>
      <c r="Z103" s="356" t="n">
        <f aca="false">($M103=Y103)*$D$14</f>
        <v>0</v>
      </c>
      <c r="AA103" s="407"/>
      <c r="AB103" s="363" t="s">
        <v>354</v>
      </c>
      <c r="AC103" s="356" t="n">
        <f aca="false">($M103=AB103)*$D$14</f>
        <v>0</v>
      </c>
      <c r="AD103" s="407"/>
      <c r="AE103" s="363" t="s">
        <v>354</v>
      </c>
      <c r="AF103" s="356" t="n">
        <f aca="false">($M103=AE103)*$D$14</f>
        <v>0</v>
      </c>
      <c r="AG103" s="407"/>
      <c r="AH103" s="363" t="s">
        <v>354</v>
      </c>
      <c r="AI103" s="356" t="n">
        <f aca="false">($M103=AH103)*$D$14</f>
        <v>0</v>
      </c>
      <c r="AJ103" s="407"/>
      <c r="AK103" s="363" t="s">
        <v>354</v>
      </c>
      <c r="AL103" s="356" t="n">
        <f aca="false">($M103=AK103)*$D$14</f>
        <v>0</v>
      </c>
      <c r="AM103" s="407"/>
      <c r="AN103" s="363" t="s">
        <v>354</v>
      </c>
      <c r="AO103" s="356" t="n">
        <f aca="false">($M103=AN103)*$D$14</f>
        <v>0</v>
      </c>
      <c r="AP103" s="407"/>
      <c r="AQ103" s="363" t="s">
        <v>354</v>
      </c>
      <c r="AR103" s="356" t="n">
        <f aca="false">($M103=AQ103)*$D$14</f>
        <v>0</v>
      </c>
      <c r="AS103" s="407"/>
      <c r="AT103" s="363" t="s">
        <v>354</v>
      </c>
      <c r="AU103" s="356" t="n">
        <f aca="false">($M103=AT103)*$D$14</f>
        <v>0</v>
      </c>
      <c r="AV103" s="407"/>
      <c r="AW103" s="363" t="s">
        <v>354</v>
      </c>
      <c r="AX103" s="356" t="n">
        <f aca="false">($M103=AW103)*$D$14</f>
        <v>0</v>
      </c>
      <c r="AY103" s="407"/>
      <c r="AZ103" s="363" t="s">
        <v>354</v>
      </c>
      <c r="BA103" s="356" t="n">
        <f aca="false">($M103=AZ103)*$D$14</f>
        <v>0</v>
      </c>
      <c r="BB103" s="407"/>
      <c r="BC103" s="363" t="s">
        <v>354</v>
      </c>
      <c r="BD103" s="356" t="n">
        <f aca="false">($M103=BC103)*$D$14</f>
        <v>0</v>
      </c>
      <c r="BE103" s="407"/>
      <c r="BF103" s="363" t="s">
        <v>354</v>
      </c>
      <c r="BG103" s="356" t="n">
        <f aca="false">($M103=BF103)*$D$14</f>
        <v>0</v>
      </c>
      <c r="BH103" s="407"/>
      <c r="BI103" s="363" t="s">
        <v>354</v>
      </c>
      <c r="BJ103" s="356" t="n">
        <f aca="false">($M103=BI103)*$D$14</f>
        <v>0</v>
      </c>
      <c r="BK103" s="407"/>
      <c r="BL103" s="363" t="s">
        <v>354</v>
      </c>
      <c r="BM103" s="356" t="n">
        <f aca="false">($M103=BL103)*$D$14</f>
        <v>0</v>
      </c>
      <c r="BN103" s="407"/>
      <c r="BO103" s="363" t="s">
        <v>354</v>
      </c>
      <c r="BP103" s="356" t="n">
        <f aca="false">($M103=BO103)*$D$14</f>
        <v>0</v>
      </c>
      <c r="BQ103" s="407"/>
      <c r="BR103" s="363" t="s">
        <v>354</v>
      </c>
      <c r="BS103" s="356" t="n">
        <f aca="false">($M103=BR103)*$D$14</f>
        <v>0</v>
      </c>
      <c r="BT103" s="407"/>
      <c r="BU103" s="363"/>
      <c r="BV103" s="356" t="n">
        <f aca="false">($M103=BU103)*$D$14</f>
        <v>0</v>
      </c>
      <c r="BW103" s="407"/>
      <c r="BX103" s="363"/>
      <c r="BY103" s="356" t="n">
        <f aca="false">($M103=BX103)*$D$14</f>
        <v>0</v>
      </c>
      <c r="BZ103" s="407"/>
      <c r="CA103" s="363"/>
      <c r="CB103" s="356" t="n">
        <f aca="false">($M103=CA103)*$D$14</f>
        <v>0</v>
      </c>
      <c r="CC103" s="407"/>
      <c r="CD103" s="363"/>
      <c r="CE103" s="356" t="n">
        <f aca="false">($M103=CD103)*$D$14</f>
        <v>0</v>
      </c>
      <c r="CF103" s="407"/>
      <c r="CG103" s="363"/>
      <c r="CH103" s="356" t="n">
        <f aca="false">($M103=CG103)*$D$14</f>
        <v>0</v>
      </c>
      <c r="CI103" s="407"/>
      <c r="CJ103" s="363"/>
      <c r="CK103" s="356" t="n">
        <f aca="false">($M103=CJ103)*$D$14</f>
        <v>0</v>
      </c>
      <c r="CL103" s="407"/>
      <c r="CM103" s="363"/>
      <c r="CN103" s="356" t="n">
        <f aca="false">($M103=CM103)*$D$14</f>
        <v>0</v>
      </c>
      <c r="CO103" s="407"/>
      <c r="CP103" s="363"/>
      <c r="CQ103" s="356" t="n">
        <f aca="false">($M103=CP103)*$D$14</f>
        <v>0</v>
      </c>
      <c r="CR103" s="407"/>
      <c r="CS103" s="363"/>
      <c r="CT103" s="356" t="n">
        <f aca="false">($M103=CS103)*$D$14</f>
        <v>0</v>
      </c>
      <c r="CU103" s="407"/>
      <c r="CV103" s="363"/>
      <c r="CW103" s="356" t="n">
        <f aca="false">($M103=CV103)*$D$14</f>
        <v>0</v>
      </c>
      <c r="CX103" s="407"/>
      <c r="CY103" s="363"/>
      <c r="CZ103" s="356" t="n">
        <f aca="false">($M103=CY103)*$D$14</f>
        <v>0</v>
      </c>
      <c r="DA103" s="407"/>
      <c r="DB103" s="363"/>
      <c r="DC103" s="356" t="n">
        <f aca="false">($M103=DB103)*$D$14</f>
        <v>0</v>
      </c>
      <c r="DD103" s="407"/>
      <c r="DE103" s="363"/>
      <c r="DF103" s="356" t="n">
        <f aca="false">($M103=DE103)*$D$14</f>
        <v>0</v>
      </c>
      <c r="DG103" s="407"/>
      <c r="DH103" s="363"/>
      <c r="DI103" s="356" t="n">
        <f aca="false">($M103=DH103)*$D$14</f>
        <v>0</v>
      </c>
      <c r="DJ103" s="407"/>
      <c r="DK103" s="363"/>
      <c r="DL103" s="356" t="n">
        <f aca="false">($M103=DK103)*$D$14</f>
        <v>0</v>
      </c>
      <c r="DM103" s="407"/>
      <c r="DN103" s="363"/>
      <c r="DO103" s="356" t="n">
        <f aca="false">($M103=DN103)*$D$14</f>
        <v>0</v>
      </c>
      <c r="DP103" s="407"/>
      <c r="DQ103" s="363"/>
      <c r="DR103" s="356" t="n">
        <f aca="false">($M103=DQ103)*$D$14</f>
        <v>0</v>
      </c>
      <c r="DS103" s="407"/>
      <c r="DT103" s="363"/>
      <c r="DU103" s="356" t="n">
        <f aca="false">($M103=DT103)*$D$14</f>
        <v>0</v>
      </c>
      <c r="DV103" s="407"/>
      <c r="DW103" s="363"/>
      <c r="DX103" s="356" t="n">
        <f aca="false">($M103=DW103)*$D$14</f>
        <v>0</v>
      </c>
      <c r="DY103" s="407"/>
      <c r="DZ103" s="363"/>
      <c r="EA103" s="356" t="n">
        <f aca="false">($M103=DZ103)*$D$14</f>
        <v>0</v>
      </c>
      <c r="EB103" s="407"/>
      <c r="EC103" s="363"/>
      <c r="ED103" s="356" t="n">
        <f aca="false">($M103=EC103)*$D$14</f>
        <v>0</v>
      </c>
      <c r="EE103" s="407"/>
      <c r="EF103" s="363"/>
      <c r="EG103" s="356" t="n">
        <f aca="false">($M103=EF103)*$D$14</f>
        <v>0</v>
      </c>
      <c r="EH103" s="407"/>
      <c r="EI103" s="407"/>
    </row>
    <row r="104" customFormat="false" ht="15" hidden="false" customHeight="false" outlineLevel="0" collapsed="false">
      <c r="A104" s="327"/>
      <c r="B104" s="327"/>
      <c r="C104" s="327"/>
      <c r="D104" s="327"/>
      <c r="E104" s="327"/>
      <c r="F104" s="328" t="n">
        <f aca="false">$D$11</f>
        <v>5</v>
      </c>
      <c r="G104" s="394" t="n">
        <f aca="false">VLOOKUP(H104,Equipos!$Q$1:$R$25,2,0)</f>
        <v>17</v>
      </c>
      <c r="H104" s="395" t="n">
        <f aca="false">$H$66</f>
        <v>46200</v>
      </c>
      <c r="I104" s="333"/>
      <c r="J104" s="408" t="s">
        <v>129</v>
      </c>
      <c r="K104" s="367" t="str">
        <f aca="false">Idiomas!D174</f>
        <v>1º GRUPO G</v>
      </c>
      <c r="L104" s="354"/>
      <c r="M104" s="359" t="str">
        <f aca="false">IF(OR(SUM(WORLDCUP!$AN$54:$AN$57)=12,WORLDCUP!$AJ$99=144),WORLDCUP!AL54,LEFT(K104,1)&amp;RIGHT(K104,1))</f>
        <v>1G</v>
      </c>
      <c r="N104" s="332"/>
      <c r="O104" s="332"/>
      <c r="P104" s="332"/>
      <c r="Q104" s="332"/>
      <c r="R104" s="404"/>
      <c r="S104" s="363" t="s">
        <v>355</v>
      </c>
      <c r="T104" s="356" t="n">
        <f aca="false">($M104=S104)*$D$11</f>
        <v>0</v>
      </c>
      <c r="U104" s="407"/>
      <c r="V104" s="363" t="s">
        <v>355</v>
      </c>
      <c r="W104" s="356" t="n">
        <f aca="false">($M104=V104)*$D$11</f>
        <v>0</v>
      </c>
      <c r="X104" s="407"/>
      <c r="Y104" s="363" t="s">
        <v>355</v>
      </c>
      <c r="Z104" s="356" t="n">
        <f aca="false">($M104=Y104)*$D$11</f>
        <v>0</v>
      </c>
      <c r="AA104" s="407"/>
      <c r="AB104" s="363" t="s">
        <v>355</v>
      </c>
      <c r="AC104" s="356" t="n">
        <f aca="false">($M104=AB104)*$D$11</f>
        <v>0</v>
      </c>
      <c r="AD104" s="407"/>
      <c r="AE104" s="363" t="s">
        <v>355</v>
      </c>
      <c r="AF104" s="356" t="n">
        <f aca="false">($M104=AE104)*$D$11</f>
        <v>0</v>
      </c>
      <c r="AG104" s="407"/>
      <c r="AH104" s="363" t="s">
        <v>355</v>
      </c>
      <c r="AI104" s="356" t="n">
        <f aca="false">($M104=AH104)*$D$11</f>
        <v>0</v>
      </c>
      <c r="AJ104" s="407"/>
      <c r="AK104" s="363" t="s">
        <v>355</v>
      </c>
      <c r="AL104" s="356" t="n">
        <f aca="false">($M104=AK104)*$D$11</f>
        <v>0</v>
      </c>
      <c r="AM104" s="407"/>
      <c r="AN104" s="363" t="s">
        <v>355</v>
      </c>
      <c r="AO104" s="356" t="n">
        <f aca="false">($M104=AN104)*$D$11</f>
        <v>0</v>
      </c>
      <c r="AP104" s="407"/>
      <c r="AQ104" s="363" t="s">
        <v>355</v>
      </c>
      <c r="AR104" s="356" t="n">
        <f aca="false">($M104=AQ104)*$D$11</f>
        <v>0</v>
      </c>
      <c r="AS104" s="407"/>
      <c r="AT104" s="363" t="s">
        <v>355</v>
      </c>
      <c r="AU104" s="356" t="n">
        <f aca="false">($M104=AT104)*$D$11</f>
        <v>0</v>
      </c>
      <c r="AV104" s="407"/>
      <c r="AW104" s="363" t="s">
        <v>355</v>
      </c>
      <c r="AX104" s="356" t="n">
        <f aca="false">($M104=AW104)*$D$11</f>
        <v>0</v>
      </c>
      <c r="AY104" s="407"/>
      <c r="AZ104" s="363" t="s">
        <v>355</v>
      </c>
      <c r="BA104" s="356" t="n">
        <f aca="false">($M104=AZ104)*$D$11</f>
        <v>0</v>
      </c>
      <c r="BB104" s="407"/>
      <c r="BC104" s="363" t="s">
        <v>355</v>
      </c>
      <c r="BD104" s="356" t="n">
        <f aca="false">($M104=BC104)*$D$11</f>
        <v>0</v>
      </c>
      <c r="BE104" s="407"/>
      <c r="BF104" s="363" t="s">
        <v>355</v>
      </c>
      <c r="BG104" s="356" t="n">
        <f aca="false">($M104=BF104)*$D$11</f>
        <v>0</v>
      </c>
      <c r="BH104" s="407"/>
      <c r="BI104" s="363" t="s">
        <v>355</v>
      </c>
      <c r="BJ104" s="356" t="n">
        <f aca="false">($M104=BI104)*$D$11</f>
        <v>0</v>
      </c>
      <c r="BK104" s="407"/>
      <c r="BL104" s="363" t="s">
        <v>355</v>
      </c>
      <c r="BM104" s="356" t="n">
        <f aca="false">($M104=BL104)*$D$11</f>
        <v>0</v>
      </c>
      <c r="BN104" s="407"/>
      <c r="BO104" s="363" t="s">
        <v>355</v>
      </c>
      <c r="BP104" s="356" t="n">
        <f aca="false">($M104=BO104)*$D$11</f>
        <v>0</v>
      </c>
      <c r="BQ104" s="407"/>
      <c r="BR104" s="363" t="s">
        <v>355</v>
      </c>
      <c r="BS104" s="356" t="n">
        <f aca="false">($M104=BR104)*$D$11</f>
        <v>0</v>
      </c>
      <c r="BT104" s="407"/>
      <c r="BU104" s="363"/>
      <c r="BV104" s="356" t="n">
        <f aca="false">($M104=BU104)*$D$11</f>
        <v>0</v>
      </c>
      <c r="BW104" s="407"/>
      <c r="BX104" s="363"/>
      <c r="BY104" s="356" t="n">
        <f aca="false">($M104=BX104)*$D$11</f>
        <v>0</v>
      </c>
      <c r="BZ104" s="407"/>
      <c r="CA104" s="363"/>
      <c r="CB104" s="356" t="n">
        <f aca="false">($M104=CA104)*$D$11</f>
        <v>0</v>
      </c>
      <c r="CC104" s="407"/>
      <c r="CD104" s="363"/>
      <c r="CE104" s="356" t="n">
        <f aca="false">($M104=CD104)*$D$11</f>
        <v>0</v>
      </c>
      <c r="CF104" s="407"/>
      <c r="CG104" s="363"/>
      <c r="CH104" s="356" t="n">
        <f aca="false">($M104=CG104)*$D$11</f>
        <v>0</v>
      </c>
      <c r="CI104" s="407"/>
      <c r="CJ104" s="363"/>
      <c r="CK104" s="356" t="n">
        <f aca="false">($M104=CJ104)*$D$11</f>
        <v>0</v>
      </c>
      <c r="CL104" s="407"/>
      <c r="CM104" s="363"/>
      <c r="CN104" s="356" t="n">
        <f aca="false">($M104=CM104)*$D$11</f>
        <v>0</v>
      </c>
      <c r="CO104" s="407"/>
      <c r="CP104" s="363"/>
      <c r="CQ104" s="356" t="n">
        <f aca="false">($M104=CP104)*$D$11</f>
        <v>0</v>
      </c>
      <c r="CR104" s="407"/>
      <c r="CS104" s="363"/>
      <c r="CT104" s="356" t="n">
        <f aca="false">($M104=CS104)*$D$11</f>
        <v>0</v>
      </c>
      <c r="CU104" s="407"/>
      <c r="CV104" s="363"/>
      <c r="CW104" s="356" t="n">
        <f aca="false">($M104=CV104)*$D$11</f>
        <v>0</v>
      </c>
      <c r="CX104" s="407"/>
      <c r="CY104" s="363"/>
      <c r="CZ104" s="356" t="n">
        <f aca="false">($M104=CY104)*$D$11</f>
        <v>0</v>
      </c>
      <c r="DA104" s="407"/>
      <c r="DB104" s="363"/>
      <c r="DC104" s="356" t="n">
        <f aca="false">($M104=DB104)*$D$11</f>
        <v>0</v>
      </c>
      <c r="DD104" s="407"/>
      <c r="DE104" s="363"/>
      <c r="DF104" s="356" t="n">
        <f aca="false">($M104=DE104)*$D$11</f>
        <v>0</v>
      </c>
      <c r="DG104" s="407"/>
      <c r="DH104" s="363"/>
      <c r="DI104" s="356" t="n">
        <f aca="false">($M104=DH104)*$D$11</f>
        <v>0</v>
      </c>
      <c r="DJ104" s="407"/>
      <c r="DK104" s="363"/>
      <c r="DL104" s="356" t="n">
        <f aca="false">($M104=DK104)*$D$11</f>
        <v>0</v>
      </c>
      <c r="DM104" s="407"/>
      <c r="DN104" s="363"/>
      <c r="DO104" s="356" t="n">
        <f aca="false">($M104=DN104)*$D$11</f>
        <v>0</v>
      </c>
      <c r="DP104" s="407"/>
      <c r="DQ104" s="363"/>
      <c r="DR104" s="356" t="n">
        <f aca="false">($M104=DQ104)*$D$11</f>
        <v>0</v>
      </c>
      <c r="DS104" s="407"/>
      <c r="DT104" s="363"/>
      <c r="DU104" s="356" t="n">
        <f aca="false">($M104=DT104)*$D$11</f>
        <v>0</v>
      </c>
      <c r="DV104" s="407"/>
      <c r="DW104" s="363"/>
      <c r="DX104" s="356" t="n">
        <f aca="false">($M104=DW104)*$D$11</f>
        <v>0</v>
      </c>
      <c r="DY104" s="407"/>
      <c r="DZ104" s="363"/>
      <c r="EA104" s="356" t="n">
        <f aca="false">($M104=DZ104)*$D$11</f>
        <v>0</v>
      </c>
      <c r="EB104" s="407"/>
      <c r="EC104" s="363"/>
      <c r="ED104" s="356" t="n">
        <f aca="false">($M104=EC104)*$D$11</f>
        <v>0</v>
      </c>
      <c r="EE104" s="407"/>
      <c r="EF104" s="363"/>
      <c r="EG104" s="356" t="n">
        <f aca="false">($M104=EF104)*$D$11</f>
        <v>0</v>
      </c>
      <c r="EH104" s="407"/>
      <c r="EI104" s="407"/>
    </row>
    <row r="105" customFormat="false" ht="15" hidden="false" customHeight="false" outlineLevel="0" collapsed="false">
      <c r="A105" s="327"/>
      <c r="B105" s="327"/>
      <c r="C105" s="327"/>
      <c r="D105" s="327"/>
      <c r="E105" s="327"/>
      <c r="F105" s="328" t="n">
        <f aca="false">$D$12</f>
        <v>5</v>
      </c>
      <c r="G105" s="394" t="n">
        <f aca="false">VLOOKUP(H105,Equipos!$Q$1:$R$25,2,0)</f>
        <v>17</v>
      </c>
      <c r="H105" s="395" t="n">
        <f aca="false">$H$66</f>
        <v>46200</v>
      </c>
      <c r="I105" s="333"/>
      <c r="J105" s="408"/>
      <c r="K105" s="367" t="str">
        <f aca="false">Idiomas!D175</f>
        <v>2º GRUPO G</v>
      </c>
      <c r="L105" s="354"/>
      <c r="M105" s="359" t="str">
        <f aca="false">IF(OR(SUM(WORLDCUP!$AN$54:$AN$57)=12,WORLDCUP!$AJ$99=144),WORLDCUP!AL55,LEFT(K105,1)&amp;RIGHT(K105,1))</f>
        <v>2G</v>
      </c>
      <c r="N105" s="332"/>
      <c r="O105" s="332"/>
      <c r="P105" s="332"/>
      <c r="Q105" s="332"/>
      <c r="R105" s="404"/>
      <c r="S105" s="363" t="s">
        <v>356</v>
      </c>
      <c r="T105" s="356" t="n">
        <f aca="false">($M105=S105)*$D$12</f>
        <v>0</v>
      </c>
      <c r="U105" s="407"/>
      <c r="V105" s="363" t="s">
        <v>356</v>
      </c>
      <c r="W105" s="356" t="n">
        <f aca="false">($M105=V105)*$D$12</f>
        <v>0</v>
      </c>
      <c r="X105" s="407"/>
      <c r="Y105" s="363" t="s">
        <v>356</v>
      </c>
      <c r="Z105" s="356" t="n">
        <f aca="false">($M105=Y105)*$D$12</f>
        <v>0</v>
      </c>
      <c r="AA105" s="407"/>
      <c r="AB105" s="363" t="s">
        <v>357</v>
      </c>
      <c r="AC105" s="356" t="n">
        <f aca="false">($M105=AB105)*$D$12</f>
        <v>0</v>
      </c>
      <c r="AD105" s="407"/>
      <c r="AE105" s="363" t="s">
        <v>356</v>
      </c>
      <c r="AF105" s="356" t="n">
        <f aca="false">($M105=AE105)*$D$12</f>
        <v>0</v>
      </c>
      <c r="AG105" s="407"/>
      <c r="AH105" s="363" t="s">
        <v>356</v>
      </c>
      <c r="AI105" s="356" t="n">
        <f aca="false">($M105=AH105)*$D$12</f>
        <v>0</v>
      </c>
      <c r="AJ105" s="407"/>
      <c r="AK105" s="363" t="s">
        <v>357</v>
      </c>
      <c r="AL105" s="356" t="n">
        <f aca="false">($M105=AK105)*$D$12</f>
        <v>0</v>
      </c>
      <c r="AM105" s="407"/>
      <c r="AN105" s="363" t="s">
        <v>356</v>
      </c>
      <c r="AO105" s="356" t="n">
        <f aca="false">($M105=AN105)*$D$12</f>
        <v>0</v>
      </c>
      <c r="AP105" s="407"/>
      <c r="AQ105" s="363" t="s">
        <v>356</v>
      </c>
      <c r="AR105" s="356" t="n">
        <f aca="false">($M105=AQ105)*$D$12</f>
        <v>0</v>
      </c>
      <c r="AS105" s="407"/>
      <c r="AT105" s="363" t="s">
        <v>356</v>
      </c>
      <c r="AU105" s="356" t="n">
        <f aca="false">($M105=AT105)*$D$12</f>
        <v>0</v>
      </c>
      <c r="AV105" s="407"/>
      <c r="AW105" s="363" t="s">
        <v>356</v>
      </c>
      <c r="AX105" s="356" t="n">
        <f aca="false">($M105=AW105)*$D$12</f>
        <v>0</v>
      </c>
      <c r="AY105" s="407"/>
      <c r="AZ105" s="363" t="s">
        <v>356</v>
      </c>
      <c r="BA105" s="356" t="n">
        <f aca="false">($M105=AZ105)*$D$12</f>
        <v>0</v>
      </c>
      <c r="BB105" s="407"/>
      <c r="BC105" s="363" t="s">
        <v>356</v>
      </c>
      <c r="BD105" s="356" t="n">
        <f aca="false">($M105=BC105)*$D$12</f>
        <v>0</v>
      </c>
      <c r="BE105" s="407"/>
      <c r="BF105" s="363" t="s">
        <v>356</v>
      </c>
      <c r="BG105" s="356" t="n">
        <f aca="false">($M105=BF105)*$D$12</f>
        <v>0</v>
      </c>
      <c r="BH105" s="407"/>
      <c r="BI105" s="363" t="s">
        <v>356</v>
      </c>
      <c r="BJ105" s="356" t="n">
        <f aca="false">($M105=BI105)*$D$12</f>
        <v>0</v>
      </c>
      <c r="BK105" s="407"/>
      <c r="BL105" s="363" t="s">
        <v>357</v>
      </c>
      <c r="BM105" s="356" t="n">
        <f aca="false">($M105=BL105)*$D$12</f>
        <v>0</v>
      </c>
      <c r="BN105" s="407"/>
      <c r="BO105" s="363" t="s">
        <v>356</v>
      </c>
      <c r="BP105" s="356" t="n">
        <f aca="false">($M105=BO105)*$D$12</f>
        <v>0</v>
      </c>
      <c r="BQ105" s="407"/>
      <c r="BR105" s="363" t="s">
        <v>357</v>
      </c>
      <c r="BS105" s="356" t="n">
        <f aca="false">($M105=BR105)*$D$12</f>
        <v>0</v>
      </c>
      <c r="BT105" s="407"/>
      <c r="BU105" s="363"/>
      <c r="BV105" s="356" t="n">
        <f aca="false">($M105=BU105)*$D$12</f>
        <v>0</v>
      </c>
      <c r="BW105" s="407"/>
      <c r="BX105" s="363"/>
      <c r="BY105" s="356" t="n">
        <f aca="false">($M105=BX105)*$D$12</f>
        <v>0</v>
      </c>
      <c r="BZ105" s="407"/>
      <c r="CA105" s="363"/>
      <c r="CB105" s="356" t="n">
        <f aca="false">($M105=CA105)*$D$12</f>
        <v>0</v>
      </c>
      <c r="CC105" s="407"/>
      <c r="CD105" s="363"/>
      <c r="CE105" s="356" t="n">
        <f aca="false">($M105=CD105)*$D$12</f>
        <v>0</v>
      </c>
      <c r="CF105" s="407"/>
      <c r="CG105" s="363"/>
      <c r="CH105" s="356" t="n">
        <f aca="false">($M105=CG105)*$D$12</f>
        <v>0</v>
      </c>
      <c r="CI105" s="407"/>
      <c r="CJ105" s="363"/>
      <c r="CK105" s="356" t="n">
        <f aca="false">($M105=CJ105)*$D$12</f>
        <v>0</v>
      </c>
      <c r="CL105" s="407"/>
      <c r="CM105" s="363"/>
      <c r="CN105" s="356" t="n">
        <f aca="false">($M105=CM105)*$D$12</f>
        <v>0</v>
      </c>
      <c r="CO105" s="407"/>
      <c r="CP105" s="363"/>
      <c r="CQ105" s="356" t="n">
        <f aca="false">($M105=CP105)*$D$12</f>
        <v>0</v>
      </c>
      <c r="CR105" s="407"/>
      <c r="CS105" s="363"/>
      <c r="CT105" s="356" t="n">
        <f aca="false">($M105=CS105)*$D$12</f>
        <v>0</v>
      </c>
      <c r="CU105" s="407"/>
      <c r="CV105" s="363"/>
      <c r="CW105" s="356" t="n">
        <f aca="false">($M105=CV105)*$D$12</f>
        <v>0</v>
      </c>
      <c r="CX105" s="407"/>
      <c r="CY105" s="363"/>
      <c r="CZ105" s="356" t="n">
        <f aca="false">($M105=CY105)*$D$12</f>
        <v>0</v>
      </c>
      <c r="DA105" s="407"/>
      <c r="DB105" s="363"/>
      <c r="DC105" s="356" t="n">
        <f aca="false">($M105=DB105)*$D$12</f>
        <v>0</v>
      </c>
      <c r="DD105" s="407"/>
      <c r="DE105" s="363"/>
      <c r="DF105" s="356" t="n">
        <f aca="false">($M105=DE105)*$D$12</f>
        <v>0</v>
      </c>
      <c r="DG105" s="407"/>
      <c r="DH105" s="363"/>
      <c r="DI105" s="356" t="n">
        <f aca="false">($M105=DH105)*$D$12</f>
        <v>0</v>
      </c>
      <c r="DJ105" s="407"/>
      <c r="DK105" s="363"/>
      <c r="DL105" s="356" t="n">
        <f aca="false">($M105=DK105)*$D$12</f>
        <v>0</v>
      </c>
      <c r="DM105" s="407"/>
      <c r="DN105" s="363"/>
      <c r="DO105" s="356" t="n">
        <f aca="false">($M105=DN105)*$D$12</f>
        <v>0</v>
      </c>
      <c r="DP105" s="407"/>
      <c r="DQ105" s="363"/>
      <c r="DR105" s="356" t="n">
        <f aca="false">($M105=DQ105)*$D$12</f>
        <v>0</v>
      </c>
      <c r="DS105" s="407"/>
      <c r="DT105" s="363"/>
      <c r="DU105" s="356" t="n">
        <f aca="false">($M105=DT105)*$D$12</f>
        <v>0</v>
      </c>
      <c r="DV105" s="407"/>
      <c r="DW105" s="363"/>
      <c r="DX105" s="356" t="n">
        <f aca="false">($M105=DW105)*$D$12</f>
        <v>0</v>
      </c>
      <c r="DY105" s="407"/>
      <c r="DZ105" s="363"/>
      <c r="EA105" s="356" t="n">
        <f aca="false">($M105=DZ105)*$D$12</f>
        <v>0</v>
      </c>
      <c r="EB105" s="407"/>
      <c r="EC105" s="363"/>
      <c r="ED105" s="356" t="n">
        <f aca="false">($M105=EC105)*$D$12</f>
        <v>0</v>
      </c>
      <c r="EE105" s="407"/>
      <c r="EF105" s="363"/>
      <c r="EG105" s="356" t="n">
        <f aca="false">($M105=EF105)*$D$12</f>
        <v>0</v>
      </c>
      <c r="EH105" s="407"/>
      <c r="EI105" s="407"/>
    </row>
    <row r="106" customFormat="false" ht="15" hidden="false" customHeight="false" outlineLevel="0" collapsed="false">
      <c r="A106" s="327"/>
      <c r="B106" s="327"/>
      <c r="C106" s="327"/>
      <c r="D106" s="327"/>
      <c r="E106" s="327"/>
      <c r="F106" s="328" t="n">
        <f aca="false">$D$13</f>
        <v>5</v>
      </c>
      <c r="G106" s="394" t="n">
        <f aca="false">VLOOKUP(H106,Equipos!$Q$1:$R$25,2,0)</f>
        <v>17</v>
      </c>
      <c r="H106" s="395" t="n">
        <f aca="false">$H$66</f>
        <v>46200</v>
      </c>
      <c r="I106" s="333"/>
      <c r="J106" s="408"/>
      <c r="K106" s="367" t="str">
        <f aca="false">Idiomas!D176</f>
        <v>3º GRUPO G</v>
      </c>
      <c r="L106" s="354"/>
      <c r="M106" s="359" t="str">
        <f aca="false">IF(OR(SUM(WORLDCUP!$AN$54:$AN$57)=12,WORLDCUP!$AJ$99=144),WORLDCUP!AL56,LEFT(K106,1)&amp;RIGHT(K106,1))</f>
        <v>3G</v>
      </c>
      <c r="N106" s="332"/>
      <c r="O106" s="332"/>
      <c r="P106" s="332"/>
      <c r="Q106" s="332"/>
      <c r="R106" s="404"/>
      <c r="S106" s="363" t="s">
        <v>358</v>
      </c>
      <c r="T106" s="356" t="n">
        <f aca="false">($M106=S106)*$D$13</f>
        <v>0</v>
      </c>
      <c r="U106" s="407"/>
      <c r="V106" s="363" t="s">
        <v>357</v>
      </c>
      <c r="W106" s="356" t="n">
        <f aca="false">($M106=V106)*$D$13</f>
        <v>0</v>
      </c>
      <c r="X106" s="407"/>
      <c r="Y106" s="363" t="s">
        <v>357</v>
      </c>
      <c r="Z106" s="356" t="n">
        <f aca="false">($M106=Y106)*$D$13</f>
        <v>0</v>
      </c>
      <c r="AA106" s="407"/>
      <c r="AB106" s="363" t="s">
        <v>356</v>
      </c>
      <c r="AC106" s="356" t="n">
        <f aca="false">($M106=AB106)*$D$13</f>
        <v>0</v>
      </c>
      <c r="AD106" s="407"/>
      <c r="AE106" s="363" t="s">
        <v>357</v>
      </c>
      <c r="AF106" s="356" t="n">
        <f aca="false">($M106=AE106)*$D$13</f>
        <v>0</v>
      </c>
      <c r="AG106" s="407"/>
      <c r="AH106" s="363" t="s">
        <v>357</v>
      </c>
      <c r="AI106" s="356" t="n">
        <f aca="false">($M106=AH106)*$D$13</f>
        <v>0</v>
      </c>
      <c r="AJ106" s="407"/>
      <c r="AK106" s="363" t="s">
        <v>356</v>
      </c>
      <c r="AL106" s="356" t="n">
        <f aca="false">($M106=AK106)*$D$13</f>
        <v>0</v>
      </c>
      <c r="AM106" s="407"/>
      <c r="AN106" s="363" t="s">
        <v>357</v>
      </c>
      <c r="AO106" s="356" t="n">
        <f aca="false">($M106=AN106)*$D$13</f>
        <v>0</v>
      </c>
      <c r="AP106" s="407"/>
      <c r="AQ106" s="363" t="s">
        <v>357</v>
      </c>
      <c r="AR106" s="356" t="n">
        <f aca="false">($M106=AQ106)*$D$13</f>
        <v>0</v>
      </c>
      <c r="AS106" s="407"/>
      <c r="AT106" s="363" t="s">
        <v>358</v>
      </c>
      <c r="AU106" s="356" t="n">
        <f aca="false">($M106=AT106)*$D$13</f>
        <v>0</v>
      </c>
      <c r="AV106" s="407"/>
      <c r="AW106" s="363" t="s">
        <v>358</v>
      </c>
      <c r="AX106" s="356" t="n">
        <f aca="false">($M106=AW106)*$D$13</f>
        <v>0</v>
      </c>
      <c r="AY106" s="407"/>
      <c r="AZ106" s="363" t="s">
        <v>357</v>
      </c>
      <c r="BA106" s="356" t="n">
        <f aca="false">($M106=AZ106)*$D$13</f>
        <v>0</v>
      </c>
      <c r="BB106" s="407"/>
      <c r="BC106" s="363" t="s">
        <v>357</v>
      </c>
      <c r="BD106" s="356" t="n">
        <f aca="false">($M106=BC106)*$D$13</f>
        <v>0</v>
      </c>
      <c r="BE106" s="407"/>
      <c r="BF106" s="363" t="s">
        <v>357</v>
      </c>
      <c r="BG106" s="356" t="n">
        <f aca="false">($M106=BF106)*$D$13</f>
        <v>0</v>
      </c>
      <c r="BH106" s="407"/>
      <c r="BI106" s="363" t="s">
        <v>357</v>
      </c>
      <c r="BJ106" s="356" t="n">
        <f aca="false">($M106=BI106)*$D$13</f>
        <v>0</v>
      </c>
      <c r="BK106" s="407"/>
      <c r="BL106" s="363" t="s">
        <v>358</v>
      </c>
      <c r="BM106" s="356" t="n">
        <f aca="false">($M106=BL106)*$D$13</f>
        <v>0</v>
      </c>
      <c r="BN106" s="407"/>
      <c r="BO106" s="363" t="s">
        <v>357</v>
      </c>
      <c r="BP106" s="356" t="n">
        <f aca="false">($M106=BO106)*$D$13</f>
        <v>0</v>
      </c>
      <c r="BQ106" s="407"/>
      <c r="BR106" s="363" t="s">
        <v>356</v>
      </c>
      <c r="BS106" s="356" t="n">
        <f aca="false">($M106=BR106)*$D$13</f>
        <v>0</v>
      </c>
      <c r="BT106" s="407"/>
      <c r="BU106" s="363"/>
      <c r="BV106" s="356" t="n">
        <f aca="false">($M106=BU106)*$D$13</f>
        <v>0</v>
      </c>
      <c r="BW106" s="407"/>
      <c r="BX106" s="363"/>
      <c r="BY106" s="356" t="n">
        <f aca="false">($M106=BX106)*$D$13</f>
        <v>0</v>
      </c>
      <c r="BZ106" s="407"/>
      <c r="CA106" s="363"/>
      <c r="CB106" s="356" t="n">
        <f aca="false">($M106=CA106)*$D$13</f>
        <v>0</v>
      </c>
      <c r="CC106" s="407"/>
      <c r="CD106" s="363"/>
      <c r="CE106" s="356" t="n">
        <f aca="false">($M106=CD106)*$D$13</f>
        <v>0</v>
      </c>
      <c r="CF106" s="407"/>
      <c r="CG106" s="363"/>
      <c r="CH106" s="356" t="n">
        <f aca="false">($M106=CG106)*$D$13</f>
        <v>0</v>
      </c>
      <c r="CI106" s="407"/>
      <c r="CJ106" s="363"/>
      <c r="CK106" s="356" t="n">
        <f aca="false">($M106=CJ106)*$D$13</f>
        <v>0</v>
      </c>
      <c r="CL106" s="407"/>
      <c r="CM106" s="363"/>
      <c r="CN106" s="356" t="n">
        <f aca="false">($M106=CM106)*$D$13</f>
        <v>0</v>
      </c>
      <c r="CO106" s="407"/>
      <c r="CP106" s="363"/>
      <c r="CQ106" s="356" t="n">
        <f aca="false">($M106=CP106)*$D$13</f>
        <v>0</v>
      </c>
      <c r="CR106" s="407"/>
      <c r="CS106" s="363"/>
      <c r="CT106" s="356" t="n">
        <f aca="false">($M106=CS106)*$D$13</f>
        <v>0</v>
      </c>
      <c r="CU106" s="407"/>
      <c r="CV106" s="363"/>
      <c r="CW106" s="356" t="n">
        <f aca="false">($M106=CV106)*$D$13</f>
        <v>0</v>
      </c>
      <c r="CX106" s="407"/>
      <c r="CY106" s="363"/>
      <c r="CZ106" s="356" t="n">
        <f aca="false">($M106=CY106)*$D$13</f>
        <v>0</v>
      </c>
      <c r="DA106" s="407"/>
      <c r="DB106" s="363"/>
      <c r="DC106" s="356" t="n">
        <f aca="false">($M106=DB106)*$D$13</f>
        <v>0</v>
      </c>
      <c r="DD106" s="407"/>
      <c r="DE106" s="363"/>
      <c r="DF106" s="356" t="n">
        <f aca="false">($M106=DE106)*$D$13</f>
        <v>0</v>
      </c>
      <c r="DG106" s="407"/>
      <c r="DH106" s="363"/>
      <c r="DI106" s="356" t="n">
        <f aca="false">($M106=DH106)*$D$13</f>
        <v>0</v>
      </c>
      <c r="DJ106" s="407"/>
      <c r="DK106" s="363"/>
      <c r="DL106" s="356" t="n">
        <f aca="false">($M106=DK106)*$D$13</f>
        <v>0</v>
      </c>
      <c r="DM106" s="407"/>
      <c r="DN106" s="363"/>
      <c r="DO106" s="356" t="n">
        <f aca="false">($M106=DN106)*$D$13</f>
        <v>0</v>
      </c>
      <c r="DP106" s="407"/>
      <c r="DQ106" s="363"/>
      <c r="DR106" s="356" t="n">
        <f aca="false">($M106=DQ106)*$D$13</f>
        <v>0</v>
      </c>
      <c r="DS106" s="407"/>
      <c r="DT106" s="363"/>
      <c r="DU106" s="356" t="n">
        <f aca="false">($M106=DT106)*$D$13</f>
        <v>0</v>
      </c>
      <c r="DV106" s="407"/>
      <c r="DW106" s="363"/>
      <c r="DX106" s="356" t="n">
        <f aca="false">($M106=DW106)*$D$13</f>
        <v>0</v>
      </c>
      <c r="DY106" s="407"/>
      <c r="DZ106" s="363"/>
      <c r="EA106" s="356" t="n">
        <f aca="false">($M106=DZ106)*$D$13</f>
        <v>0</v>
      </c>
      <c r="EB106" s="407"/>
      <c r="EC106" s="363"/>
      <c r="ED106" s="356" t="n">
        <f aca="false">($M106=EC106)*$D$13</f>
        <v>0</v>
      </c>
      <c r="EE106" s="407"/>
      <c r="EF106" s="363"/>
      <c r="EG106" s="356" t="n">
        <f aca="false">($M106=EF106)*$D$13</f>
        <v>0</v>
      </c>
      <c r="EH106" s="407"/>
      <c r="EI106" s="407"/>
    </row>
    <row r="107" customFormat="false" ht="15" hidden="false" customHeight="false" outlineLevel="0" collapsed="false">
      <c r="A107" s="327"/>
      <c r="B107" s="327"/>
      <c r="C107" s="327"/>
      <c r="D107" s="327"/>
      <c r="E107" s="327"/>
      <c r="F107" s="328" t="n">
        <f aca="false">$D$14</f>
        <v>5</v>
      </c>
      <c r="G107" s="394" t="n">
        <f aca="false">VLOOKUP(H107,Equipos!$Q$1:$R$25,2,0)</f>
        <v>17</v>
      </c>
      <c r="H107" s="395" t="n">
        <f aca="false">$H$66</f>
        <v>46200</v>
      </c>
      <c r="I107" s="333"/>
      <c r="J107" s="408"/>
      <c r="K107" s="367" t="str">
        <f aca="false">Idiomas!D177</f>
        <v>4º GRUPO G</v>
      </c>
      <c r="L107" s="354"/>
      <c r="M107" s="359" t="str">
        <f aca="false">IF(OR(SUM(WORLDCUP!$AN$54:$AN$57)=12,WORLDCUP!$AJ$99=144),WORLDCUP!AL57,LEFT(K107,1)&amp;RIGHT(K107,1))</f>
        <v>4G</v>
      </c>
      <c r="N107" s="332"/>
      <c r="O107" s="332"/>
      <c r="P107" s="332"/>
      <c r="Q107" s="332"/>
      <c r="R107" s="404"/>
      <c r="S107" s="363" t="s">
        <v>357</v>
      </c>
      <c r="T107" s="356" t="n">
        <f aca="false">($M107=S107)*$D$14</f>
        <v>0</v>
      </c>
      <c r="U107" s="407"/>
      <c r="V107" s="363" t="s">
        <v>358</v>
      </c>
      <c r="W107" s="356" t="n">
        <f aca="false">($M107=V107)*$D$14</f>
        <v>0</v>
      </c>
      <c r="X107" s="407"/>
      <c r="Y107" s="363" t="s">
        <v>358</v>
      </c>
      <c r="Z107" s="356" t="n">
        <f aca="false">($M107=Y107)*$D$14</f>
        <v>0</v>
      </c>
      <c r="AA107" s="407"/>
      <c r="AB107" s="363" t="s">
        <v>358</v>
      </c>
      <c r="AC107" s="356" t="n">
        <f aca="false">($M107=AB107)*$D$14</f>
        <v>0</v>
      </c>
      <c r="AD107" s="407"/>
      <c r="AE107" s="363" t="s">
        <v>358</v>
      </c>
      <c r="AF107" s="356" t="n">
        <f aca="false">($M107=AE107)*$D$14</f>
        <v>0</v>
      </c>
      <c r="AG107" s="407"/>
      <c r="AH107" s="363" t="s">
        <v>358</v>
      </c>
      <c r="AI107" s="356" t="n">
        <f aca="false">($M107=AH107)*$D$14</f>
        <v>0</v>
      </c>
      <c r="AJ107" s="407"/>
      <c r="AK107" s="363" t="s">
        <v>358</v>
      </c>
      <c r="AL107" s="356" t="n">
        <f aca="false">($M107=AK107)*$D$14</f>
        <v>0</v>
      </c>
      <c r="AM107" s="407"/>
      <c r="AN107" s="363" t="s">
        <v>358</v>
      </c>
      <c r="AO107" s="356" t="n">
        <f aca="false">($M107=AN107)*$D$14</f>
        <v>0</v>
      </c>
      <c r="AP107" s="407"/>
      <c r="AQ107" s="363" t="s">
        <v>358</v>
      </c>
      <c r="AR107" s="356" t="n">
        <f aca="false">($M107=AQ107)*$D$14</f>
        <v>0</v>
      </c>
      <c r="AS107" s="407"/>
      <c r="AT107" s="363" t="s">
        <v>357</v>
      </c>
      <c r="AU107" s="356" t="n">
        <f aca="false">($M107=AT107)*$D$14</f>
        <v>0</v>
      </c>
      <c r="AV107" s="407"/>
      <c r="AW107" s="363" t="s">
        <v>357</v>
      </c>
      <c r="AX107" s="356" t="n">
        <f aca="false">($M107=AW107)*$D$14</f>
        <v>0</v>
      </c>
      <c r="AY107" s="407"/>
      <c r="AZ107" s="363" t="s">
        <v>358</v>
      </c>
      <c r="BA107" s="356" t="n">
        <f aca="false">($M107=AZ107)*$D$14</f>
        <v>0</v>
      </c>
      <c r="BB107" s="407"/>
      <c r="BC107" s="363" t="s">
        <v>358</v>
      </c>
      <c r="BD107" s="356" t="n">
        <f aca="false">($M107=BC107)*$D$14</f>
        <v>0</v>
      </c>
      <c r="BE107" s="407"/>
      <c r="BF107" s="363" t="s">
        <v>358</v>
      </c>
      <c r="BG107" s="356" t="n">
        <f aca="false">($M107=BF107)*$D$14</f>
        <v>0</v>
      </c>
      <c r="BH107" s="407"/>
      <c r="BI107" s="363" t="s">
        <v>358</v>
      </c>
      <c r="BJ107" s="356" t="n">
        <f aca="false">($M107=BI107)*$D$14</f>
        <v>0</v>
      </c>
      <c r="BK107" s="407"/>
      <c r="BL107" s="363" t="s">
        <v>356</v>
      </c>
      <c r="BM107" s="356" t="n">
        <f aca="false">($M107=BL107)*$D$14</f>
        <v>0</v>
      </c>
      <c r="BN107" s="407"/>
      <c r="BO107" s="363" t="s">
        <v>358</v>
      </c>
      <c r="BP107" s="356" t="n">
        <f aca="false">($M107=BO107)*$D$14</f>
        <v>0</v>
      </c>
      <c r="BQ107" s="407"/>
      <c r="BR107" s="363" t="s">
        <v>358</v>
      </c>
      <c r="BS107" s="356" t="n">
        <f aca="false">($M107=BR107)*$D$14</f>
        <v>0</v>
      </c>
      <c r="BT107" s="407"/>
      <c r="BU107" s="363"/>
      <c r="BV107" s="356" t="n">
        <f aca="false">($M107=BU107)*$D$14</f>
        <v>0</v>
      </c>
      <c r="BW107" s="407"/>
      <c r="BX107" s="363"/>
      <c r="BY107" s="356" t="n">
        <f aca="false">($M107=BX107)*$D$14</f>
        <v>0</v>
      </c>
      <c r="BZ107" s="407"/>
      <c r="CA107" s="363"/>
      <c r="CB107" s="356" t="n">
        <f aca="false">($M107=CA107)*$D$14</f>
        <v>0</v>
      </c>
      <c r="CC107" s="407"/>
      <c r="CD107" s="363"/>
      <c r="CE107" s="356" t="n">
        <f aca="false">($M107=CD107)*$D$14</f>
        <v>0</v>
      </c>
      <c r="CF107" s="407"/>
      <c r="CG107" s="363"/>
      <c r="CH107" s="356" t="n">
        <f aca="false">($M107=CG107)*$D$14</f>
        <v>0</v>
      </c>
      <c r="CI107" s="407"/>
      <c r="CJ107" s="363"/>
      <c r="CK107" s="356" t="n">
        <f aca="false">($M107=CJ107)*$D$14</f>
        <v>0</v>
      </c>
      <c r="CL107" s="407"/>
      <c r="CM107" s="363"/>
      <c r="CN107" s="356" t="n">
        <f aca="false">($M107=CM107)*$D$14</f>
        <v>0</v>
      </c>
      <c r="CO107" s="407"/>
      <c r="CP107" s="363"/>
      <c r="CQ107" s="356" t="n">
        <f aca="false">($M107=CP107)*$D$14</f>
        <v>0</v>
      </c>
      <c r="CR107" s="407"/>
      <c r="CS107" s="363"/>
      <c r="CT107" s="356" t="n">
        <f aca="false">($M107=CS107)*$D$14</f>
        <v>0</v>
      </c>
      <c r="CU107" s="407"/>
      <c r="CV107" s="363"/>
      <c r="CW107" s="356" t="n">
        <f aca="false">($M107=CV107)*$D$14</f>
        <v>0</v>
      </c>
      <c r="CX107" s="407"/>
      <c r="CY107" s="363"/>
      <c r="CZ107" s="356" t="n">
        <f aca="false">($M107=CY107)*$D$14</f>
        <v>0</v>
      </c>
      <c r="DA107" s="407"/>
      <c r="DB107" s="363"/>
      <c r="DC107" s="356" t="n">
        <f aca="false">($M107=DB107)*$D$14</f>
        <v>0</v>
      </c>
      <c r="DD107" s="407"/>
      <c r="DE107" s="363"/>
      <c r="DF107" s="356" t="n">
        <f aca="false">($M107=DE107)*$D$14</f>
        <v>0</v>
      </c>
      <c r="DG107" s="407"/>
      <c r="DH107" s="363"/>
      <c r="DI107" s="356" t="n">
        <f aca="false">($M107=DH107)*$D$14</f>
        <v>0</v>
      </c>
      <c r="DJ107" s="407"/>
      <c r="DK107" s="363"/>
      <c r="DL107" s="356" t="n">
        <f aca="false">($M107=DK107)*$D$14</f>
        <v>0</v>
      </c>
      <c r="DM107" s="407"/>
      <c r="DN107" s="363"/>
      <c r="DO107" s="356" t="n">
        <f aca="false">($M107=DN107)*$D$14</f>
        <v>0</v>
      </c>
      <c r="DP107" s="407"/>
      <c r="DQ107" s="363"/>
      <c r="DR107" s="356" t="n">
        <f aca="false">($M107=DQ107)*$D$14</f>
        <v>0</v>
      </c>
      <c r="DS107" s="407"/>
      <c r="DT107" s="363"/>
      <c r="DU107" s="356" t="n">
        <f aca="false">($M107=DT107)*$D$14</f>
        <v>0</v>
      </c>
      <c r="DV107" s="407"/>
      <c r="DW107" s="363"/>
      <c r="DX107" s="356" t="n">
        <f aca="false">($M107=DW107)*$D$14</f>
        <v>0</v>
      </c>
      <c r="DY107" s="407"/>
      <c r="DZ107" s="363"/>
      <c r="EA107" s="356" t="n">
        <f aca="false">($M107=DZ107)*$D$14</f>
        <v>0</v>
      </c>
      <c r="EB107" s="407"/>
      <c r="EC107" s="363"/>
      <c r="ED107" s="356" t="n">
        <f aca="false">($M107=EC107)*$D$14</f>
        <v>0</v>
      </c>
      <c r="EE107" s="407"/>
      <c r="EF107" s="363"/>
      <c r="EG107" s="356" t="n">
        <f aca="false">($M107=EF107)*$D$14</f>
        <v>0</v>
      </c>
      <c r="EH107" s="407"/>
      <c r="EI107" s="407"/>
    </row>
    <row r="108" customFormat="false" ht="15" hidden="false" customHeight="false" outlineLevel="0" collapsed="false">
      <c r="A108" s="327"/>
      <c r="B108" s="327"/>
      <c r="C108" s="327"/>
      <c r="D108" s="327"/>
      <c r="E108" s="327"/>
      <c r="F108" s="328" t="n">
        <f aca="false">$D$11</f>
        <v>5</v>
      </c>
      <c r="G108" s="394" t="n">
        <f aca="false">VLOOKUP(H108,Equipos!$Q$1:$R$25,2,0)</f>
        <v>17</v>
      </c>
      <c r="H108" s="395" t="n">
        <f aca="false">$H$68</f>
        <v>46200</v>
      </c>
      <c r="I108" s="333"/>
      <c r="J108" s="409" t="s">
        <v>133</v>
      </c>
      <c r="K108" s="367" t="str">
        <f aca="false">Idiomas!D178</f>
        <v>1º GRUPO H</v>
      </c>
      <c r="L108" s="354"/>
      <c r="M108" s="359" t="str">
        <f aca="false">IF(OR(SUM(WORLDCUP!$AN$62:$AN$65)=12,WORLDCUP!$AJ$99=144),WORLDCUP!AL62,LEFT(K108,1)&amp;RIGHT(K108,1))</f>
        <v>1H</v>
      </c>
      <c r="N108" s="332"/>
      <c r="O108" s="332"/>
      <c r="P108" s="332"/>
      <c r="Q108" s="332"/>
      <c r="R108" s="404"/>
      <c r="S108" s="363" t="s">
        <v>2</v>
      </c>
      <c r="T108" s="356" t="n">
        <f aca="false">($M108=S108)*$D$11</f>
        <v>0</v>
      </c>
      <c r="U108" s="407"/>
      <c r="V108" s="363" t="s">
        <v>2</v>
      </c>
      <c r="W108" s="356" t="n">
        <f aca="false">($M108=V108)*$D$11</f>
        <v>0</v>
      </c>
      <c r="X108" s="407"/>
      <c r="Y108" s="363" t="s">
        <v>2</v>
      </c>
      <c r="Z108" s="356" t="n">
        <f aca="false">($M108=Y108)*$D$11</f>
        <v>0</v>
      </c>
      <c r="AA108" s="407"/>
      <c r="AB108" s="363" t="s">
        <v>2</v>
      </c>
      <c r="AC108" s="356" t="n">
        <f aca="false">($M108=AB108)*$D$11</f>
        <v>0</v>
      </c>
      <c r="AD108" s="407"/>
      <c r="AE108" s="363" t="s">
        <v>2</v>
      </c>
      <c r="AF108" s="356" t="n">
        <f aca="false">($M108=AE108)*$D$11</f>
        <v>0</v>
      </c>
      <c r="AG108" s="407"/>
      <c r="AH108" s="363" t="s">
        <v>2</v>
      </c>
      <c r="AI108" s="356" t="n">
        <f aca="false">($M108=AH108)*$D$11</f>
        <v>0</v>
      </c>
      <c r="AJ108" s="407"/>
      <c r="AK108" s="363" t="s">
        <v>2</v>
      </c>
      <c r="AL108" s="356" t="n">
        <f aca="false">($M108=AK108)*$D$11</f>
        <v>0</v>
      </c>
      <c r="AM108" s="407"/>
      <c r="AN108" s="363" t="s">
        <v>2</v>
      </c>
      <c r="AO108" s="356" t="n">
        <f aca="false">($M108=AN108)*$D$11</f>
        <v>0</v>
      </c>
      <c r="AP108" s="407"/>
      <c r="AQ108" s="363" t="s">
        <v>2</v>
      </c>
      <c r="AR108" s="356" t="n">
        <f aca="false">($M108=AQ108)*$D$11</f>
        <v>0</v>
      </c>
      <c r="AS108" s="407"/>
      <c r="AT108" s="363" t="s">
        <v>2</v>
      </c>
      <c r="AU108" s="356" t="n">
        <f aca="false">($M108=AT108)*$D$11</f>
        <v>0</v>
      </c>
      <c r="AV108" s="407"/>
      <c r="AW108" s="363" t="s">
        <v>2</v>
      </c>
      <c r="AX108" s="356" t="n">
        <f aca="false">($M108=AW108)*$D$11</f>
        <v>0</v>
      </c>
      <c r="AY108" s="407"/>
      <c r="AZ108" s="363" t="s">
        <v>2</v>
      </c>
      <c r="BA108" s="356" t="n">
        <f aca="false">($M108=AZ108)*$D$11</f>
        <v>0</v>
      </c>
      <c r="BB108" s="407"/>
      <c r="BC108" s="363" t="s">
        <v>2</v>
      </c>
      <c r="BD108" s="356" t="n">
        <f aca="false">($M108=BC108)*$D$11</f>
        <v>0</v>
      </c>
      <c r="BE108" s="407"/>
      <c r="BF108" s="363" t="s">
        <v>2</v>
      </c>
      <c r="BG108" s="356" t="n">
        <f aca="false">($M108=BF108)*$D$11</f>
        <v>0</v>
      </c>
      <c r="BH108" s="407"/>
      <c r="BI108" s="363" t="s">
        <v>2</v>
      </c>
      <c r="BJ108" s="356" t="n">
        <f aca="false">($M108=BI108)*$D$11</f>
        <v>0</v>
      </c>
      <c r="BK108" s="407"/>
      <c r="BL108" s="363" t="s">
        <v>2</v>
      </c>
      <c r="BM108" s="356" t="n">
        <f aca="false">($M108=BL108)*$D$11</f>
        <v>0</v>
      </c>
      <c r="BN108" s="407"/>
      <c r="BO108" s="363" t="s">
        <v>2</v>
      </c>
      <c r="BP108" s="356" t="n">
        <f aca="false">($M108=BO108)*$D$11</f>
        <v>0</v>
      </c>
      <c r="BQ108" s="407"/>
      <c r="BR108" s="363" t="s">
        <v>2</v>
      </c>
      <c r="BS108" s="356" t="n">
        <f aca="false">($M108=BR108)*$D$11</f>
        <v>0</v>
      </c>
      <c r="BT108" s="407"/>
      <c r="BU108" s="363"/>
      <c r="BV108" s="356" t="n">
        <f aca="false">($M108=BU108)*$D$11</f>
        <v>0</v>
      </c>
      <c r="BW108" s="407"/>
      <c r="BX108" s="363"/>
      <c r="BY108" s="356" t="n">
        <f aca="false">($M108=BX108)*$D$11</f>
        <v>0</v>
      </c>
      <c r="BZ108" s="407"/>
      <c r="CA108" s="363"/>
      <c r="CB108" s="356" t="n">
        <f aca="false">($M108=CA108)*$D$11</f>
        <v>0</v>
      </c>
      <c r="CC108" s="407"/>
      <c r="CD108" s="363"/>
      <c r="CE108" s="356" t="n">
        <f aca="false">($M108=CD108)*$D$11</f>
        <v>0</v>
      </c>
      <c r="CF108" s="407"/>
      <c r="CG108" s="363"/>
      <c r="CH108" s="356" t="n">
        <f aca="false">($M108=CG108)*$D$11</f>
        <v>0</v>
      </c>
      <c r="CI108" s="407"/>
      <c r="CJ108" s="363"/>
      <c r="CK108" s="356" t="n">
        <f aca="false">($M108=CJ108)*$D$11</f>
        <v>0</v>
      </c>
      <c r="CL108" s="407"/>
      <c r="CM108" s="363"/>
      <c r="CN108" s="356" t="n">
        <f aca="false">($M108=CM108)*$D$11</f>
        <v>0</v>
      </c>
      <c r="CO108" s="407"/>
      <c r="CP108" s="363"/>
      <c r="CQ108" s="356" t="n">
        <f aca="false">($M108=CP108)*$D$11</f>
        <v>0</v>
      </c>
      <c r="CR108" s="407"/>
      <c r="CS108" s="363"/>
      <c r="CT108" s="356" t="n">
        <f aca="false">($M108=CS108)*$D$11</f>
        <v>0</v>
      </c>
      <c r="CU108" s="407"/>
      <c r="CV108" s="363"/>
      <c r="CW108" s="356" t="n">
        <f aca="false">($M108=CV108)*$D$11</f>
        <v>0</v>
      </c>
      <c r="CX108" s="407"/>
      <c r="CY108" s="363"/>
      <c r="CZ108" s="356" t="n">
        <f aca="false">($M108=CY108)*$D$11</f>
        <v>0</v>
      </c>
      <c r="DA108" s="407"/>
      <c r="DB108" s="363"/>
      <c r="DC108" s="356" t="n">
        <f aca="false">($M108=DB108)*$D$11</f>
        <v>0</v>
      </c>
      <c r="DD108" s="407"/>
      <c r="DE108" s="363"/>
      <c r="DF108" s="356" t="n">
        <f aca="false">($M108=DE108)*$D$11</f>
        <v>0</v>
      </c>
      <c r="DG108" s="407"/>
      <c r="DH108" s="363"/>
      <c r="DI108" s="356" t="n">
        <f aca="false">($M108=DH108)*$D$11</f>
        <v>0</v>
      </c>
      <c r="DJ108" s="407"/>
      <c r="DK108" s="363"/>
      <c r="DL108" s="356" t="n">
        <f aca="false">($M108=DK108)*$D$11</f>
        <v>0</v>
      </c>
      <c r="DM108" s="407"/>
      <c r="DN108" s="363"/>
      <c r="DO108" s="356" t="n">
        <f aca="false">($M108=DN108)*$D$11</f>
        <v>0</v>
      </c>
      <c r="DP108" s="407"/>
      <c r="DQ108" s="363"/>
      <c r="DR108" s="356" t="n">
        <f aca="false">($M108=DQ108)*$D$11</f>
        <v>0</v>
      </c>
      <c r="DS108" s="407"/>
      <c r="DT108" s="363"/>
      <c r="DU108" s="356" t="n">
        <f aca="false">($M108=DT108)*$D$11</f>
        <v>0</v>
      </c>
      <c r="DV108" s="407"/>
      <c r="DW108" s="363"/>
      <c r="DX108" s="356" t="n">
        <f aca="false">($M108=DW108)*$D$11</f>
        <v>0</v>
      </c>
      <c r="DY108" s="407"/>
      <c r="DZ108" s="363"/>
      <c r="EA108" s="356" t="n">
        <f aca="false">($M108=DZ108)*$D$11</f>
        <v>0</v>
      </c>
      <c r="EB108" s="407"/>
      <c r="EC108" s="363"/>
      <c r="ED108" s="356" t="n">
        <f aca="false">($M108=EC108)*$D$11</f>
        <v>0</v>
      </c>
      <c r="EE108" s="407"/>
      <c r="EF108" s="363"/>
      <c r="EG108" s="356" t="n">
        <f aca="false">($M108=EF108)*$D$11</f>
        <v>0</v>
      </c>
      <c r="EH108" s="407"/>
      <c r="EI108" s="407"/>
    </row>
    <row r="109" customFormat="false" ht="15" hidden="false" customHeight="false" outlineLevel="0" collapsed="false">
      <c r="A109" s="327"/>
      <c r="B109" s="327"/>
      <c r="C109" s="327"/>
      <c r="D109" s="327"/>
      <c r="E109" s="327"/>
      <c r="F109" s="328" t="n">
        <f aca="false">$D$12</f>
        <v>5</v>
      </c>
      <c r="G109" s="394" t="n">
        <f aca="false">VLOOKUP(H109,Equipos!$Q$1:$R$25,2,0)</f>
        <v>17</v>
      </c>
      <c r="H109" s="395" t="n">
        <f aca="false">$H$68</f>
        <v>46200</v>
      </c>
      <c r="I109" s="333"/>
      <c r="J109" s="409"/>
      <c r="K109" s="367" t="str">
        <f aca="false">Idiomas!D179</f>
        <v>2º GRUPO H</v>
      </c>
      <c r="L109" s="354"/>
      <c r="M109" s="359" t="str">
        <f aca="false">IF(OR(SUM(WORLDCUP!$AN$62:$AN$65)=12,WORLDCUP!$AJ$99=144),WORLDCUP!AL63,LEFT(K109,1)&amp;RIGHT(K109,1))</f>
        <v>2H</v>
      </c>
      <c r="N109" s="332"/>
      <c r="O109" s="332"/>
      <c r="P109" s="332"/>
      <c r="Q109" s="332"/>
      <c r="R109" s="404"/>
      <c r="S109" s="363" t="s">
        <v>359</v>
      </c>
      <c r="T109" s="356" t="n">
        <f aca="false">($M109=S109)*$D$12</f>
        <v>0</v>
      </c>
      <c r="U109" s="407"/>
      <c r="V109" s="363" t="s">
        <v>359</v>
      </c>
      <c r="W109" s="356" t="n">
        <f aca="false">($M109=V109)*$D$12</f>
        <v>0</v>
      </c>
      <c r="X109" s="407"/>
      <c r="Y109" s="363" t="s">
        <v>359</v>
      </c>
      <c r="Z109" s="356" t="n">
        <f aca="false">($M109=Y109)*$D$12</f>
        <v>0</v>
      </c>
      <c r="AA109" s="407"/>
      <c r="AB109" s="363" t="s">
        <v>359</v>
      </c>
      <c r="AC109" s="356" t="n">
        <f aca="false">($M109=AB109)*$D$12</f>
        <v>0</v>
      </c>
      <c r="AD109" s="407"/>
      <c r="AE109" s="363" t="s">
        <v>359</v>
      </c>
      <c r="AF109" s="356" t="n">
        <f aca="false">($M109=AE109)*$D$12</f>
        <v>0</v>
      </c>
      <c r="AG109" s="407"/>
      <c r="AH109" s="363" t="s">
        <v>359</v>
      </c>
      <c r="AI109" s="356" t="n">
        <f aca="false">($M109=AH109)*$D$12</f>
        <v>0</v>
      </c>
      <c r="AJ109" s="407"/>
      <c r="AK109" s="363" t="s">
        <v>359</v>
      </c>
      <c r="AL109" s="356" t="n">
        <f aca="false">($M109=AK109)*$D$12</f>
        <v>0</v>
      </c>
      <c r="AM109" s="407"/>
      <c r="AN109" s="363" t="s">
        <v>359</v>
      </c>
      <c r="AO109" s="356" t="n">
        <f aca="false">($M109=AN109)*$D$12</f>
        <v>0</v>
      </c>
      <c r="AP109" s="407"/>
      <c r="AQ109" s="363" t="s">
        <v>359</v>
      </c>
      <c r="AR109" s="356" t="n">
        <f aca="false">($M109=AQ109)*$D$12</f>
        <v>0</v>
      </c>
      <c r="AS109" s="407"/>
      <c r="AT109" s="363" t="s">
        <v>359</v>
      </c>
      <c r="AU109" s="356" t="n">
        <f aca="false">($M109=AT109)*$D$12</f>
        <v>0</v>
      </c>
      <c r="AV109" s="407"/>
      <c r="AW109" s="363" t="s">
        <v>359</v>
      </c>
      <c r="AX109" s="356" t="n">
        <f aca="false">($M109=AW109)*$D$12</f>
        <v>0</v>
      </c>
      <c r="AY109" s="407"/>
      <c r="AZ109" s="363" t="s">
        <v>359</v>
      </c>
      <c r="BA109" s="356" t="n">
        <f aca="false">($M109=AZ109)*$D$12</f>
        <v>0</v>
      </c>
      <c r="BB109" s="407"/>
      <c r="BC109" s="363" t="s">
        <v>359</v>
      </c>
      <c r="BD109" s="356" t="n">
        <f aca="false">($M109=BC109)*$D$12</f>
        <v>0</v>
      </c>
      <c r="BE109" s="407"/>
      <c r="BF109" s="363" t="s">
        <v>359</v>
      </c>
      <c r="BG109" s="356" t="n">
        <f aca="false">($M109=BF109)*$D$12</f>
        <v>0</v>
      </c>
      <c r="BH109" s="407"/>
      <c r="BI109" s="363" t="s">
        <v>360</v>
      </c>
      <c r="BJ109" s="356" t="n">
        <f aca="false">($M109=BI109)*$D$12</f>
        <v>0</v>
      </c>
      <c r="BK109" s="407"/>
      <c r="BL109" s="363" t="s">
        <v>359</v>
      </c>
      <c r="BM109" s="356" t="n">
        <f aca="false">($M109=BL109)*$D$12</f>
        <v>0</v>
      </c>
      <c r="BN109" s="407"/>
      <c r="BO109" s="363" t="s">
        <v>359</v>
      </c>
      <c r="BP109" s="356" t="n">
        <f aca="false">($M109=BO109)*$D$12</f>
        <v>0</v>
      </c>
      <c r="BQ109" s="407"/>
      <c r="BR109" s="363" t="s">
        <v>359</v>
      </c>
      <c r="BS109" s="356" t="n">
        <f aca="false">($M109=BR109)*$D$12</f>
        <v>0</v>
      </c>
      <c r="BT109" s="407"/>
      <c r="BU109" s="363"/>
      <c r="BV109" s="356" t="n">
        <f aca="false">($M109=BU109)*$D$12</f>
        <v>0</v>
      </c>
      <c r="BW109" s="407"/>
      <c r="BX109" s="363"/>
      <c r="BY109" s="356" t="n">
        <f aca="false">($M109=BX109)*$D$12</f>
        <v>0</v>
      </c>
      <c r="BZ109" s="407"/>
      <c r="CA109" s="363"/>
      <c r="CB109" s="356" t="n">
        <f aca="false">($M109=CA109)*$D$12</f>
        <v>0</v>
      </c>
      <c r="CC109" s="407"/>
      <c r="CD109" s="363"/>
      <c r="CE109" s="356" t="n">
        <f aca="false">($M109=CD109)*$D$12</f>
        <v>0</v>
      </c>
      <c r="CF109" s="407"/>
      <c r="CG109" s="363"/>
      <c r="CH109" s="356" t="n">
        <f aca="false">($M109=CG109)*$D$12</f>
        <v>0</v>
      </c>
      <c r="CI109" s="407"/>
      <c r="CJ109" s="363"/>
      <c r="CK109" s="356" t="n">
        <f aca="false">($M109=CJ109)*$D$12</f>
        <v>0</v>
      </c>
      <c r="CL109" s="407"/>
      <c r="CM109" s="363"/>
      <c r="CN109" s="356" t="n">
        <f aca="false">($M109=CM109)*$D$12</f>
        <v>0</v>
      </c>
      <c r="CO109" s="407"/>
      <c r="CP109" s="363"/>
      <c r="CQ109" s="356" t="n">
        <f aca="false">($M109=CP109)*$D$12</f>
        <v>0</v>
      </c>
      <c r="CR109" s="407"/>
      <c r="CS109" s="363"/>
      <c r="CT109" s="356" t="n">
        <f aca="false">($M109=CS109)*$D$12</f>
        <v>0</v>
      </c>
      <c r="CU109" s="407"/>
      <c r="CV109" s="363"/>
      <c r="CW109" s="356" t="n">
        <f aca="false">($M109=CV109)*$D$12</f>
        <v>0</v>
      </c>
      <c r="CX109" s="407"/>
      <c r="CY109" s="363"/>
      <c r="CZ109" s="356" t="n">
        <f aca="false">($M109=CY109)*$D$12</f>
        <v>0</v>
      </c>
      <c r="DA109" s="407"/>
      <c r="DB109" s="363"/>
      <c r="DC109" s="356" t="n">
        <f aca="false">($M109=DB109)*$D$12</f>
        <v>0</v>
      </c>
      <c r="DD109" s="407"/>
      <c r="DE109" s="363"/>
      <c r="DF109" s="356" t="n">
        <f aca="false">($M109=DE109)*$D$12</f>
        <v>0</v>
      </c>
      <c r="DG109" s="407"/>
      <c r="DH109" s="363"/>
      <c r="DI109" s="356" t="n">
        <f aca="false">($M109=DH109)*$D$12</f>
        <v>0</v>
      </c>
      <c r="DJ109" s="407"/>
      <c r="DK109" s="363"/>
      <c r="DL109" s="356" t="n">
        <f aca="false">($M109=DK109)*$D$12</f>
        <v>0</v>
      </c>
      <c r="DM109" s="407"/>
      <c r="DN109" s="363"/>
      <c r="DO109" s="356" t="n">
        <f aca="false">($M109=DN109)*$D$12</f>
        <v>0</v>
      </c>
      <c r="DP109" s="407"/>
      <c r="DQ109" s="363"/>
      <c r="DR109" s="356" t="n">
        <f aca="false">($M109=DQ109)*$D$12</f>
        <v>0</v>
      </c>
      <c r="DS109" s="407"/>
      <c r="DT109" s="363"/>
      <c r="DU109" s="356" t="n">
        <f aca="false">($M109=DT109)*$D$12</f>
        <v>0</v>
      </c>
      <c r="DV109" s="407"/>
      <c r="DW109" s="363"/>
      <c r="DX109" s="356" t="n">
        <f aca="false">($M109=DW109)*$D$12</f>
        <v>0</v>
      </c>
      <c r="DY109" s="407"/>
      <c r="DZ109" s="363"/>
      <c r="EA109" s="356" t="n">
        <f aca="false">($M109=DZ109)*$D$12</f>
        <v>0</v>
      </c>
      <c r="EB109" s="407"/>
      <c r="EC109" s="363"/>
      <c r="ED109" s="356" t="n">
        <f aca="false">($M109=EC109)*$D$12</f>
        <v>0</v>
      </c>
      <c r="EE109" s="407"/>
      <c r="EF109" s="363"/>
      <c r="EG109" s="356" t="n">
        <f aca="false">($M109=EF109)*$D$12</f>
        <v>0</v>
      </c>
      <c r="EH109" s="407"/>
      <c r="EI109" s="407"/>
    </row>
    <row r="110" customFormat="false" ht="15" hidden="false" customHeight="false" outlineLevel="0" collapsed="false">
      <c r="A110" s="327"/>
      <c r="B110" s="327"/>
      <c r="C110" s="327"/>
      <c r="D110" s="327"/>
      <c r="E110" s="327"/>
      <c r="F110" s="328" t="n">
        <f aca="false">$D$13</f>
        <v>5</v>
      </c>
      <c r="G110" s="394" t="n">
        <f aca="false">VLOOKUP(H110,Equipos!$Q$1:$R$25,2,0)</f>
        <v>17</v>
      </c>
      <c r="H110" s="395" t="n">
        <f aca="false">$H$68</f>
        <v>46200</v>
      </c>
      <c r="I110" s="333"/>
      <c r="J110" s="409"/>
      <c r="K110" s="367" t="str">
        <f aca="false">Idiomas!D180</f>
        <v>3º GRUPO H</v>
      </c>
      <c r="L110" s="354"/>
      <c r="M110" s="359" t="str">
        <f aca="false">IF(OR(SUM(WORLDCUP!$AN$62:$AN$65)=12,WORLDCUP!$AJ$99=144),WORLDCUP!AL64,LEFT(K110,1)&amp;RIGHT(K110,1))</f>
        <v>3H</v>
      </c>
      <c r="N110" s="332"/>
      <c r="O110" s="332"/>
      <c r="P110" s="332"/>
      <c r="Q110" s="332"/>
      <c r="R110" s="404"/>
      <c r="S110" s="363" t="s">
        <v>361</v>
      </c>
      <c r="T110" s="356" t="n">
        <f aca="false">($M110=S110)*$D$13</f>
        <v>0</v>
      </c>
      <c r="U110" s="407"/>
      <c r="V110" s="363" t="s">
        <v>361</v>
      </c>
      <c r="W110" s="356" t="n">
        <f aca="false">($M110=V110)*$D$13</f>
        <v>0</v>
      </c>
      <c r="X110" s="407"/>
      <c r="Y110" s="363" t="s">
        <v>361</v>
      </c>
      <c r="Z110" s="356" t="n">
        <f aca="false">($M110=Y110)*$D$13</f>
        <v>0</v>
      </c>
      <c r="AA110" s="407"/>
      <c r="AB110" s="363" t="s">
        <v>361</v>
      </c>
      <c r="AC110" s="356" t="n">
        <f aca="false">($M110=AB110)*$D$13</f>
        <v>0</v>
      </c>
      <c r="AD110" s="407"/>
      <c r="AE110" s="363" t="s">
        <v>361</v>
      </c>
      <c r="AF110" s="356" t="n">
        <f aca="false">($M110=AE110)*$D$13</f>
        <v>0</v>
      </c>
      <c r="AG110" s="407"/>
      <c r="AH110" s="363" t="s">
        <v>361</v>
      </c>
      <c r="AI110" s="356" t="n">
        <f aca="false">($M110=AH110)*$D$13</f>
        <v>0</v>
      </c>
      <c r="AJ110" s="407"/>
      <c r="AK110" s="363" t="s">
        <v>360</v>
      </c>
      <c r="AL110" s="356" t="n">
        <f aca="false">($M110=AK110)*$D$13</f>
        <v>0</v>
      </c>
      <c r="AM110" s="407"/>
      <c r="AN110" s="363" t="s">
        <v>361</v>
      </c>
      <c r="AO110" s="356" t="n">
        <f aca="false">($M110=AN110)*$D$13</f>
        <v>0</v>
      </c>
      <c r="AP110" s="407"/>
      <c r="AQ110" s="363" t="s">
        <v>361</v>
      </c>
      <c r="AR110" s="356" t="n">
        <f aca="false">($M110=AQ110)*$D$13</f>
        <v>0</v>
      </c>
      <c r="AS110" s="407"/>
      <c r="AT110" s="363" t="s">
        <v>361</v>
      </c>
      <c r="AU110" s="356" t="n">
        <f aca="false">($M110=AT110)*$D$13</f>
        <v>0</v>
      </c>
      <c r="AV110" s="407"/>
      <c r="AW110" s="363" t="s">
        <v>361</v>
      </c>
      <c r="AX110" s="356" t="n">
        <f aca="false">($M110=AW110)*$D$13</f>
        <v>0</v>
      </c>
      <c r="AY110" s="407"/>
      <c r="AZ110" s="363" t="s">
        <v>361</v>
      </c>
      <c r="BA110" s="356" t="n">
        <f aca="false">($M110=AZ110)*$D$13</f>
        <v>0</v>
      </c>
      <c r="BB110" s="407"/>
      <c r="BC110" s="363" t="s">
        <v>361</v>
      </c>
      <c r="BD110" s="356" t="n">
        <f aca="false">($M110=BC110)*$D$13</f>
        <v>0</v>
      </c>
      <c r="BE110" s="407"/>
      <c r="BF110" s="363" t="s">
        <v>361</v>
      </c>
      <c r="BG110" s="356" t="n">
        <f aca="false">($M110=BF110)*$D$13</f>
        <v>0</v>
      </c>
      <c r="BH110" s="407"/>
      <c r="BI110" s="363" t="s">
        <v>359</v>
      </c>
      <c r="BJ110" s="356" t="n">
        <f aca="false">($M110=BI110)*$D$13</f>
        <v>0</v>
      </c>
      <c r="BK110" s="407"/>
      <c r="BL110" s="363" t="s">
        <v>361</v>
      </c>
      <c r="BM110" s="356" t="n">
        <f aca="false">($M110=BL110)*$D$13</f>
        <v>0</v>
      </c>
      <c r="BN110" s="407"/>
      <c r="BO110" s="363" t="s">
        <v>361</v>
      </c>
      <c r="BP110" s="356" t="n">
        <f aca="false">($M110=BO110)*$D$13</f>
        <v>0</v>
      </c>
      <c r="BQ110" s="407"/>
      <c r="BR110" s="363" t="s">
        <v>361</v>
      </c>
      <c r="BS110" s="356" t="n">
        <f aca="false">($M110=BR110)*$D$13</f>
        <v>0</v>
      </c>
      <c r="BT110" s="407"/>
      <c r="BU110" s="363"/>
      <c r="BV110" s="356" t="n">
        <f aca="false">($M110=BU110)*$D$13</f>
        <v>0</v>
      </c>
      <c r="BW110" s="407"/>
      <c r="BX110" s="363"/>
      <c r="BY110" s="356" t="n">
        <f aca="false">($M110=BX110)*$D$13</f>
        <v>0</v>
      </c>
      <c r="BZ110" s="407"/>
      <c r="CA110" s="363"/>
      <c r="CB110" s="356" t="n">
        <f aca="false">($M110=CA110)*$D$13</f>
        <v>0</v>
      </c>
      <c r="CC110" s="407"/>
      <c r="CD110" s="363"/>
      <c r="CE110" s="356" t="n">
        <f aca="false">($M110=CD110)*$D$13</f>
        <v>0</v>
      </c>
      <c r="CF110" s="407"/>
      <c r="CG110" s="363"/>
      <c r="CH110" s="356" t="n">
        <f aca="false">($M110=CG110)*$D$13</f>
        <v>0</v>
      </c>
      <c r="CI110" s="407"/>
      <c r="CJ110" s="363"/>
      <c r="CK110" s="356" t="n">
        <f aca="false">($M110=CJ110)*$D$13</f>
        <v>0</v>
      </c>
      <c r="CL110" s="407"/>
      <c r="CM110" s="363"/>
      <c r="CN110" s="356" t="n">
        <f aca="false">($M110=CM110)*$D$13</f>
        <v>0</v>
      </c>
      <c r="CO110" s="407"/>
      <c r="CP110" s="363"/>
      <c r="CQ110" s="356" t="n">
        <f aca="false">($M110=CP110)*$D$13</f>
        <v>0</v>
      </c>
      <c r="CR110" s="407"/>
      <c r="CS110" s="363"/>
      <c r="CT110" s="356" t="n">
        <f aca="false">($M110=CS110)*$D$13</f>
        <v>0</v>
      </c>
      <c r="CU110" s="407"/>
      <c r="CV110" s="363"/>
      <c r="CW110" s="356" t="n">
        <f aca="false">($M110=CV110)*$D$13</f>
        <v>0</v>
      </c>
      <c r="CX110" s="407"/>
      <c r="CY110" s="363"/>
      <c r="CZ110" s="356" t="n">
        <f aca="false">($M110=CY110)*$D$13</f>
        <v>0</v>
      </c>
      <c r="DA110" s="407"/>
      <c r="DB110" s="363"/>
      <c r="DC110" s="356" t="n">
        <f aca="false">($M110=DB110)*$D$13</f>
        <v>0</v>
      </c>
      <c r="DD110" s="407"/>
      <c r="DE110" s="363"/>
      <c r="DF110" s="356" t="n">
        <f aca="false">($M110=DE110)*$D$13</f>
        <v>0</v>
      </c>
      <c r="DG110" s="407"/>
      <c r="DH110" s="363"/>
      <c r="DI110" s="356" t="n">
        <f aca="false">($M110=DH110)*$D$13</f>
        <v>0</v>
      </c>
      <c r="DJ110" s="407"/>
      <c r="DK110" s="363"/>
      <c r="DL110" s="356" t="n">
        <f aca="false">($M110=DK110)*$D$13</f>
        <v>0</v>
      </c>
      <c r="DM110" s="407"/>
      <c r="DN110" s="363"/>
      <c r="DO110" s="356" t="n">
        <f aca="false">($M110=DN110)*$D$13</f>
        <v>0</v>
      </c>
      <c r="DP110" s="407"/>
      <c r="DQ110" s="363"/>
      <c r="DR110" s="356" t="n">
        <f aca="false">($M110=DQ110)*$D$13</f>
        <v>0</v>
      </c>
      <c r="DS110" s="407"/>
      <c r="DT110" s="363"/>
      <c r="DU110" s="356" t="n">
        <f aca="false">($M110=DT110)*$D$13</f>
        <v>0</v>
      </c>
      <c r="DV110" s="407"/>
      <c r="DW110" s="363"/>
      <c r="DX110" s="356" t="n">
        <f aca="false">($M110=DW110)*$D$13</f>
        <v>0</v>
      </c>
      <c r="DY110" s="407"/>
      <c r="DZ110" s="363"/>
      <c r="EA110" s="356" t="n">
        <f aca="false">($M110=DZ110)*$D$13</f>
        <v>0</v>
      </c>
      <c r="EB110" s="407"/>
      <c r="EC110" s="363"/>
      <c r="ED110" s="356" t="n">
        <f aca="false">($M110=EC110)*$D$13</f>
        <v>0</v>
      </c>
      <c r="EE110" s="407"/>
      <c r="EF110" s="363"/>
      <c r="EG110" s="356" t="n">
        <f aca="false">($M110=EF110)*$D$13</f>
        <v>0</v>
      </c>
      <c r="EH110" s="407"/>
      <c r="EI110" s="407"/>
    </row>
    <row r="111" customFormat="false" ht="15" hidden="false" customHeight="false" outlineLevel="0" collapsed="false">
      <c r="A111" s="327"/>
      <c r="B111" s="327"/>
      <c r="C111" s="327"/>
      <c r="D111" s="327"/>
      <c r="E111" s="327"/>
      <c r="F111" s="328" t="n">
        <f aca="false">$D$14</f>
        <v>5</v>
      </c>
      <c r="G111" s="394" t="n">
        <f aca="false">VLOOKUP(H111,Equipos!$Q$1:$R$25,2,0)</f>
        <v>17</v>
      </c>
      <c r="H111" s="395" t="n">
        <f aca="false">$H$68</f>
        <v>46200</v>
      </c>
      <c r="I111" s="333"/>
      <c r="J111" s="409"/>
      <c r="K111" s="367" t="str">
        <f aca="false">Idiomas!D181</f>
        <v>4º GRUPO H</v>
      </c>
      <c r="L111" s="354"/>
      <c r="M111" s="359" t="str">
        <f aca="false">IF(OR(SUM(WORLDCUP!$AN$62:$AN$65)=12,WORLDCUP!$AJ$99=144),WORLDCUP!AL65,LEFT(K111,1)&amp;RIGHT(K111,1))</f>
        <v>4H</v>
      </c>
      <c r="N111" s="332"/>
      <c r="O111" s="332"/>
      <c r="P111" s="332"/>
      <c r="Q111" s="332"/>
      <c r="R111" s="404"/>
      <c r="S111" s="363" t="s">
        <v>360</v>
      </c>
      <c r="T111" s="356" t="n">
        <f aca="false">($M111=S111)*$D$14</f>
        <v>0</v>
      </c>
      <c r="U111" s="407"/>
      <c r="V111" s="363" t="s">
        <v>360</v>
      </c>
      <c r="W111" s="356" t="n">
        <f aca="false">($M111=V111)*$D$14</f>
        <v>0</v>
      </c>
      <c r="X111" s="407"/>
      <c r="Y111" s="363" t="s">
        <v>360</v>
      </c>
      <c r="Z111" s="356" t="n">
        <f aca="false">($M111=Y111)*$D$14</f>
        <v>0</v>
      </c>
      <c r="AA111" s="407"/>
      <c r="AB111" s="363" t="s">
        <v>360</v>
      </c>
      <c r="AC111" s="356" t="n">
        <f aca="false">($M111=AB111)*$D$14</f>
        <v>0</v>
      </c>
      <c r="AD111" s="407"/>
      <c r="AE111" s="363" t="s">
        <v>360</v>
      </c>
      <c r="AF111" s="356" t="n">
        <f aca="false">($M111=AE111)*$D$14</f>
        <v>0</v>
      </c>
      <c r="AG111" s="407"/>
      <c r="AH111" s="363" t="s">
        <v>360</v>
      </c>
      <c r="AI111" s="356" t="n">
        <f aca="false">($M111=AH111)*$D$14</f>
        <v>0</v>
      </c>
      <c r="AJ111" s="407"/>
      <c r="AK111" s="363" t="s">
        <v>361</v>
      </c>
      <c r="AL111" s="356" t="n">
        <f aca="false">($M111=AK111)*$D$14</f>
        <v>0</v>
      </c>
      <c r="AM111" s="407"/>
      <c r="AN111" s="363" t="s">
        <v>360</v>
      </c>
      <c r="AO111" s="356" t="n">
        <f aca="false">($M111=AN111)*$D$14</f>
        <v>0</v>
      </c>
      <c r="AP111" s="407"/>
      <c r="AQ111" s="363" t="s">
        <v>360</v>
      </c>
      <c r="AR111" s="356" t="n">
        <f aca="false">($M111=AQ111)*$D$14</f>
        <v>0</v>
      </c>
      <c r="AS111" s="407"/>
      <c r="AT111" s="363" t="s">
        <v>360</v>
      </c>
      <c r="AU111" s="356" t="n">
        <f aca="false">($M111=AT111)*$D$14</f>
        <v>0</v>
      </c>
      <c r="AV111" s="407"/>
      <c r="AW111" s="363" t="s">
        <v>360</v>
      </c>
      <c r="AX111" s="356" t="n">
        <f aca="false">($M111=AW111)*$D$14</f>
        <v>0</v>
      </c>
      <c r="AY111" s="407"/>
      <c r="AZ111" s="363" t="s">
        <v>360</v>
      </c>
      <c r="BA111" s="356" t="n">
        <f aca="false">($M111=AZ111)*$D$14</f>
        <v>0</v>
      </c>
      <c r="BB111" s="407"/>
      <c r="BC111" s="363" t="s">
        <v>360</v>
      </c>
      <c r="BD111" s="356" t="n">
        <f aca="false">($M111=BC111)*$D$14</f>
        <v>0</v>
      </c>
      <c r="BE111" s="407"/>
      <c r="BF111" s="363" t="s">
        <v>360</v>
      </c>
      <c r="BG111" s="356" t="n">
        <f aca="false">($M111=BF111)*$D$14</f>
        <v>0</v>
      </c>
      <c r="BH111" s="407"/>
      <c r="BI111" s="363" t="s">
        <v>361</v>
      </c>
      <c r="BJ111" s="356" t="n">
        <f aca="false">($M111=BI111)*$D$14</f>
        <v>0</v>
      </c>
      <c r="BK111" s="407"/>
      <c r="BL111" s="363" t="s">
        <v>360</v>
      </c>
      <c r="BM111" s="356" t="n">
        <f aca="false">($M111=BL111)*$D$14</f>
        <v>0</v>
      </c>
      <c r="BN111" s="407"/>
      <c r="BO111" s="363" t="s">
        <v>360</v>
      </c>
      <c r="BP111" s="356" t="n">
        <f aca="false">($M111=BO111)*$D$14</f>
        <v>0</v>
      </c>
      <c r="BQ111" s="407"/>
      <c r="BR111" s="363" t="s">
        <v>360</v>
      </c>
      <c r="BS111" s="356" t="n">
        <f aca="false">($M111=BR111)*$D$14</f>
        <v>0</v>
      </c>
      <c r="BT111" s="407"/>
      <c r="BU111" s="363"/>
      <c r="BV111" s="356" t="n">
        <f aca="false">($M111=BU111)*$D$14</f>
        <v>0</v>
      </c>
      <c r="BW111" s="407"/>
      <c r="BX111" s="363"/>
      <c r="BY111" s="356" t="n">
        <f aca="false">($M111=BX111)*$D$14</f>
        <v>0</v>
      </c>
      <c r="BZ111" s="407"/>
      <c r="CA111" s="363"/>
      <c r="CB111" s="356" t="n">
        <f aca="false">($M111=CA111)*$D$14</f>
        <v>0</v>
      </c>
      <c r="CC111" s="407"/>
      <c r="CD111" s="363"/>
      <c r="CE111" s="356" t="n">
        <f aca="false">($M111=CD111)*$D$14</f>
        <v>0</v>
      </c>
      <c r="CF111" s="407"/>
      <c r="CG111" s="363"/>
      <c r="CH111" s="356" t="n">
        <f aca="false">($M111=CG111)*$D$14</f>
        <v>0</v>
      </c>
      <c r="CI111" s="407"/>
      <c r="CJ111" s="363"/>
      <c r="CK111" s="356" t="n">
        <f aca="false">($M111=CJ111)*$D$14</f>
        <v>0</v>
      </c>
      <c r="CL111" s="407"/>
      <c r="CM111" s="363"/>
      <c r="CN111" s="356" t="n">
        <f aca="false">($M111=CM111)*$D$14</f>
        <v>0</v>
      </c>
      <c r="CO111" s="407"/>
      <c r="CP111" s="363"/>
      <c r="CQ111" s="356" t="n">
        <f aca="false">($M111=CP111)*$D$14</f>
        <v>0</v>
      </c>
      <c r="CR111" s="407"/>
      <c r="CS111" s="363"/>
      <c r="CT111" s="356" t="n">
        <f aca="false">($M111=CS111)*$D$14</f>
        <v>0</v>
      </c>
      <c r="CU111" s="407"/>
      <c r="CV111" s="363"/>
      <c r="CW111" s="356" t="n">
        <f aca="false">($M111=CV111)*$D$14</f>
        <v>0</v>
      </c>
      <c r="CX111" s="407"/>
      <c r="CY111" s="363"/>
      <c r="CZ111" s="356" t="n">
        <f aca="false">($M111=CY111)*$D$14</f>
        <v>0</v>
      </c>
      <c r="DA111" s="407"/>
      <c r="DB111" s="363"/>
      <c r="DC111" s="356" t="n">
        <f aca="false">($M111=DB111)*$D$14</f>
        <v>0</v>
      </c>
      <c r="DD111" s="407"/>
      <c r="DE111" s="363"/>
      <c r="DF111" s="356" t="n">
        <f aca="false">($M111=DE111)*$D$14</f>
        <v>0</v>
      </c>
      <c r="DG111" s="407"/>
      <c r="DH111" s="363"/>
      <c r="DI111" s="356" t="n">
        <f aca="false">($M111=DH111)*$D$14</f>
        <v>0</v>
      </c>
      <c r="DJ111" s="407"/>
      <c r="DK111" s="363"/>
      <c r="DL111" s="356" t="n">
        <f aca="false">($M111=DK111)*$D$14</f>
        <v>0</v>
      </c>
      <c r="DM111" s="407"/>
      <c r="DN111" s="363"/>
      <c r="DO111" s="356" t="n">
        <f aca="false">($M111=DN111)*$D$14</f>
        <v>0</v>
      </c>
      <c r="DP111" s="407"/>
      <c r="DQ111" s="363"/>
      <c r="DR111" s="356" t="n">
        <f aca="false">($M111=DQ111)*$D$14</f>
        <v>0</v>
      </c>
      <c r="DS111" s="407"/>
      <c r="DT111" s="363"/>
      <c r="DU111" s="356" t="n">
        <f aca="false">($M111=DT111)*$D$14</f>
        <v>0</v>
      </c>
      <c r="DV111" s="407"/>
      <c r="DW111" s="363"/>
      <c r="DX111" s="356" t="n">
        <f aca="false">($M111=DW111)*$D$14</f>
        <v>0</v>
      </c>
      <c r="DY111" s="407"/>
      <c r="DZ111" s="363"/>
      <c r="EA111" s="356" t="n">
        <f aca="false">($M111=DZ111)*$D$14</f>
        <v>0</v>
      </c>
      <c r="EB111" s="407"/>
      <c r="EC111" s="363"/>
      <c r="ED111" s="356" t="n">
        <f aca="false">($M111=EC111)*$D$14</f>
        <v>0</v>
      </c>
      <c r="EE111" s="407"/>
      <c r="EF111" s="363"/>
      <c r="EG111" s="356" t="n">
        <f aca="false">($M111=EF111)*$D$14</f>
        <v>0</v>
      </c>
      <c r="EH111" s="407"/>
      <c r="EI111" s="407"/>
    </row>
    <row r="112" customFormat="false" ht="15" hidden="false" customHeight="false" outlineLevel="0" collapsed="false">
      <c r="A112" s="327"/>
      <c r="B112" s="327"/>
      <c r="C112" s="327"/>
      <c r="D112" s="327"/>
      <c r="E112" s="327"/>
      <c r="F112" s="328" t="n">
        <f aca="false">$D$11</f>
        <v>5</v>
      </c>
      <c r="G112" s="394" t="n">
        <f aca="false">VLOOKUP(H112,Equipos!$Q$1:$R$25,2,0)</f>
        <v>16</v>
      </c>
      <c r="H112" s="395" t="n">
        <f aca="false">$H$70</f>
        <v>46199</v>
      </c>
      <c r="I112" s="333"/>
      <c r="J112" s="408" t="s">
        <v>134</v>
      </c>
      <c r="K112" s="367" t="str">
        <f aca="false">Idiomas!D182</f>
        <v>1º GRUPO I</v>
      </c>
      <c r="L112" s="354"/>
      <c r="M112" s="359" t="str">
        <f aca="false">IF(OR(SUM(WORLDCUP!$AN$70:$AN$73)=12,WORLDCUP!$AJ$99=144),WORLDCUP!AL70,LEFT(K112,1)&amp;RIGHT(K112,1))</f>
        <v>1I</v>
      </c>
      <c r="N112" s="332"/>
      <c r="O112" s="332"/>
      <c r="P112" s="332"/>
      <c r="Q112" s="332"/>
      <c r="R112" s="404"/>
      <c r="S112" s="363" t="s">
        <v>362</v>
      </c>
      <c r="T112" s="356" t="n">
        <f aca="false">($M112=S112)*$D$11</f>
        <v>0</v>
      </c>
      <c r="U112" s="407"/>
      <c r="V112" s="363" t="s">
        <v>362</v>
      </c>
      <c r="W112" s="356" t="n">
        <f aca="false">($M112=V112)*$D$11</f>
        <v>0</v>
      </c>
      <c r="X112" s="407"/>
      <c r="Y112" s="363" t="s">
        <v>362</v>
      </c>
      <c r="Z112" s="356" t="n">
        <f aca="false">($M112=Y112)*$D$11</f>
        <v>0</v>
      </c>
      <c r="AA112" s="407"/>
      <c r="AB112" s="363" t="s">
        <v>362</v>
      </c>
      <c r="AC112" s="356" t="n">
        <f aca="false">($M112=AB112)*$D$11</f>
        <v>0</v>
      </c>
      <c r="AD112" s="407"/>
      <c r="AE112" s="363" t="s">
        <v>362</v>
      </c>
      <c r="AF112" s="356" t="n">
        <f aca="false">($M112=AE112)*$D$11</f>
        <v>0</v>
      </c>
      <c r="AG112" s="407"/>
      <c r="AH112" s="363" t="s">
        <v>362</v>
      </c>
      <c r="AI112" s="356" t="n">
        <f aca="false">($M112=AH112)*$D$11</f>
        <v>0</v>
      </c>
      <c r="AJ112" s="407"/>
      <c r="AK112" s="363" t="s">
        <v>362</v>
      </c>
      <c r="AL112" s="356" t="n">
        <f aca="false">($M112=AK112)*$D$11</f>
        <v>0</v>
      </c>
      <c r="AM112" s="407"/>
      <c r="AN112" s="363" t="s">
        <v>362</v>
      </c>
      <c r="AO112" s="356" t="n">
        <f aca="false">($M112=AN112)*$D$11</f>
        <v>0</v>
      </c>
      <c r="AP112" s="407"/>
      <c r="AQ112" s="363" t="s">
        <v>363</v>
      </c>
      <c r="AR112" s="356" t="n">
        <f aca="false">($M112=AQ112)*$D$11</f>
        <v>0</v>
      </c>
      <c r="AS112" s="407"/>
      <c r="AT112" s="363" t="s">
        <v>362</v>
      </c>
      <c r="AU112" s="356" t="n">
        <f aca="false">($M112=AT112)*$D$11</f>
        <v>0</v>
      </c>
      <c r="AV112" s="407"/>
      <c r="AW112" s="363" t="s">
        <v>362</v>
      </c>
      <c r="AX112" s="356" t="n">
        <f aca="false">($M112=AW112)*$D$11</f>
        <v>0</v>
      </c>
      <c r="AY112" s="407"/>
      <c r="AZ112" s="363" t="s">
        <v>362</v>
      </c>
      <c r="BA112" s="356" t="n">
        <f aca="false">($M112=AZ112)*$D$11</f>
        <v>0</v>
      </c>
      <c r="BB112" s="407"/>
      <c r="BC112" s="363" t="s">
        <v>362</v>
      </c>
      <c r="BD112" s="356" t="n">
        <f aca="false">($M112=BC112)*$D$11</f>
        <v>0</v>
      </c>
      <c r="BE112" s="407"/>
      <c r="BF112" s="363" t="s">
        <v>362</v>
      </c>
      <c r="BG112" s="356" t="n">
        <f aca="false">($M112=BF112)*$D$11</f>
        <v>0</v>
      </c>
      <c r="BH112" s="407"/>
      <c r="BI112" s="363" t="s">
        <v>362</v>
      </c>
      <c r="BJ112" s="356" t="n">
        <f aca="false">($M112=BI112)*$D$11</f>
        <v>0</v>
      </c>
      <c r="BK112" s="407"/>
      <c r="BL112" s="363" t="s">
        <v>362</v>
      </c>
      <c r="BM112" s="356" t="n">
        <f aca="false">($M112=BL112)*$D$11</f>
        <v>0</v>
      </c>
      <c r="BN112" s="407"/>
      <c r="BO112" s="363" t="s">
        <v>362</v>
      </c>
      <c r="BP112" s="356" t="n">
        <f aca="false">($M112=BO112)*$D$11</f>
        <v>0</v>
      </c>
      <c r="BQ112" s="407"/>
      <c r="BR112" s="363" t="s">
        <v>362</v>
      </c>
      <c r="BS112" s="356" t="n">
        <f aca="false">($M112=BR112)*$D$11</f>
        <v>0</v>
      </c>
      <c r="BT112" s="407"/>
      <c r="BU112" s="363"/>
      <c r="BV112" s="356" t="n">
        <f aca="false">($M112=BU112)*$D$11</f>
        <v>0</v>
      </c>
      <c r="BW112" s="407"/>
      <c r="BX112" s="363"/>
      <c r="BY112" s="356" t="n">
        <f aca="false">($M112=BX112)*$D$11</f>
        <v>0</v>
      </c>
      <c r="BZ112" s="407"/>
      <c r="CA112" s="363"/>
      <c r="CB112" s="356" t="n">
        <f aca="false">($M112=CA112)*$D$11</f>
        <v>0</v>
      </c>
      <c r="CC112" s="407"/>
      <c r="CD112" s="363"/>
      <c r="CE112" s="356" t="n">
        <f aca="false">($M112=CD112)*$D$11</f>
        <v>0</v>
      </c>
      <c r="CF112" s="407"/>
      <c r="CG112" s="363"/>
      <c r="CH112" s="356" t="n">
        <f aca="false">($M112=CG112)*$D$11</f>
        <v>0</v>
      </c>
      <c r="CI112" s="407"/>
      <c r="CJ112" s="363"/>
      <c r="CK112" s="356" t="n">
        <f aca="false">($M112=CJ112)*$D$11</f>
        <v>0</v>
      </c>
      <c r="CL112" s="407"/>
      <c r="CM112" s="363"/>
      <c r="CN112" s="356" t="n">
        <f aca="false">($M112=CM112)*$D$11</f>
        <v>0</v>
      </c>
      <c r="CO112" s="407"/>
      <c r="CP112" s="363"/>
      <c r="CQ112" s="356" t="n">
        <f aca="false">($M112=CP112)*$D$11</f>
        <v>0</v>
      </c>
      <c r="CR112" s="407"/>
      <c r="CS112" s="363"/>
      <c r="CT112" s="356" t="n">
        <f aca="false">($M112=CS112)*$D$11</f>
        <v>0</v>
      </c>
      <c r="CU112" s="407"/>
      <c r="CV112" s="363"/>
      <c r="CW112" s="356" t="n">
        <f aca="false">($M112=CV112)*$D$11</f>
        <v>0</v>
      </c>
      <c r="CX112" s="407"/>
      <c r="CY112" s="363"/>
      <c r="CZ112" s="356" t="n">
        <f aca="false">($M112=CY112)*$D$11</f>
        <v>0</v>
      </c>
      <c r="DA112" s="407"/>
      <c r="DB112" s="363"/>
      <c r="DC112" s="356" t="n">
        <f aca="false">($M112=DB112)*$D$11</f>
        <v>0</v>
      </c>
      <c r="DD112" s="407"/>
      <c r="DE112" s="363"/>
      <c r="DF112" s="356" t="n">
        <f aca="false">($M112=DE112)*$D$11</f>
        <v>0</v>
      </c>
      <c r="DG112" s="407"/>
      <c r="DH112" s="363"/>
      <c r="DI112" s="356" t="n">
        <f aca="false">($M112=DH112)*$D$11</f>
        <v>0</v>
      </c>
      <c r="DJ112" s="407"/>
      <c r="DK112" s="363"/>
      <c r="DL112" s="356" t="n">
        <f aca="false">($M112=DK112)*$D$11</f>
        <v>0</v>
      </c>
      <c r="DM112" s="407"/>
      <c r="DN112" s="363"/>
      <c r="DO112" s="356" t="n">
        <f aca="false">($M112=DN112)*$D$11</f>
        <v>0</v>
      </c>
      <c r="DP112" s="407"/>
      <c r="DQ112" s="363"/>
      <c r="DR112" s="356" t="n">
        <f aca="false">($M112=DQ112)*$D$11</f>
        <v>0</v>
      </c>
      <c r="DS112" s="407"/>
      <c r="DT112" s="363"/>
      <c r="DU112" s="356" t="n">
        <f aca="false">($M112=DT112)*$D$11</f>
        <v>0</v>
      </c>
      <c r="DV112" s="407"/>
      <c r="DW112" s="363"/>
      <c r="DX112" s="356" t="n">
        <f aca="false">($M112=DW112)*$D$11</f>
        <v>0</v>
      </c>
      <c r="DY112" s="407"/>
      <c r="DZ112" s="363"/>
      <c r="EA112" s="356" t="n">
        <f aca="false">($M112=DZ112)*$D$11</f>
        <v>0</v>
      </c>
      <c r="EB112" s="407"/>
      <c r="EC112" s="363"/>
      <c r="ED112" s="356" t="n">
        <f aca="false">($M112=EC112)*$D$11</f>
        <v>0</v>
      </c>
      <c r="EE112" s="407"/>
      <c r="EF112" s="363"/>
      <c r="EG112" s="356" t="n">
        <f aca="false">($M112=EF112)*$D$11</f>
        <v>0</v>
      </c>
      <c r="EH112" s="407"/>
      <c r="EI112" s="407"/>
    </row>
    <row r="113" customFormat="false" ht="15" hidden="false" customHeight="false" outlineLevel="0" collapsed="false">
      <c r="A113" s="327"/>
      <c r="B113" s="327"/>
      <c r="C113" s="327"/>
      <c r="D113" s="327"/>
      <c r="E113" s="327"/>
      <c r="F113" s="328" t="n">
        <f aca="false">$D$12</f>
        <v>5</v>
      </c>
      <c r="G113" s="394" t="n">
        <f aca="false">VLOOKUP(H113,Equipos!$Q$1:$R$25,2,0)</f>
        <v>16</v>
      </c>
      <c r="H113" s="395" t="n">
        <f aca="false">$H$70</f>
        <v>46199</v>
      </c>
      <c r="I113" s="333"/>
      <c r="J113" s="408"/>
      <c r="K113" s="367" t="str">
        <f aca="false">Idiomas!D183</f>
        <v>2º GRUPO I</v>
      </c>
      <c r="L113" s="354"/>
      <c r="M113" s="359" t="str">
        <f aca="false">IF(OR(SUM(WORLDCUP!$AN$70:$AN$73)=12,WORLDCUP!$AJ$99=144),WORLDCUP!AL71,LEFT(K113,1)&amp;RIGHT(K113,1))</f>
        <v>2I</v>
      </c>
      <c r="N113" s="332"/>
      <c r="O113" s="332"/>
      <c r="P113" s="332"/>
      <c r="Q113" s="332"/>
      <c r="R113" s="404"/>
      <c r="S113" s="363" t="s">
        <v>363</v>
      </c>
      <c r="T113" s="356" t="n">
        <f aca="false">($M113=S113)*$D$12</f>
        <v>0</v>
      </c>
      <c r="U113" s="407"/>
      <c r="V113" s="363" t="s">
        <v>364</v>
      </c>
      <c r="W113" s="356" t="n">
        <f aca="false">($M113=V113)*$D$12</f>
        <v>0</v>
      </c>
      <c r="X113" s="407"/>
      <c r="Y113" s="363" t="s">
        <v>363</v>
      </c>
      <c r="Z113" s="356" t="n">
        <f aca="false">($M113=Y113)*$D$12</f>
        <v>0</v>
      </c>
      <c r="AA113" s="407"/>
      <c r="AB113" s="363" t="s">
        <v>364</v>
      </c>
      <c r="AC113" s="356" t="n">
        <f aca="false">($M113=AB113)*$D$12</f>
        <v>0</v>
      </c>
      <c r="AD113" s="407"/>
      <c r="AE113" s="363" t="s">
        <v>364</v>
      </c>
      <c r="AF113" s="356" t="n">
        <f aca="false">($M113=AE113)*$D$12</f>
        <v>0</v>
      </c>
      <c r="AG113" s="407"/>
      <c r="AH113" s="363" t="s">
        <v>364</v>
      </c>
      <c r="AI113" s="356" t="n">
        <f aca="false">($M113=AH113)*$D$12</f>
        <v>0</v>
      </c>
      <c r="AJ113" s="407"/>
      <c r="AK113" s="363" t="s">
        <v>363</v>
      </c>
      <c r="AL113" s="356" t="n">
        <f aca="false">($M113=AK113)*$D$12</f>
        <v>0</v>
      </c>
      <c r="AM113" s="407"/>
      <c r="AN113" s="363" t="s">
        <v>364</v>
      </c>
      <c r="AO113" s="356" t="n">
        <f aca="false">($M113=AN113)*$D$12</f>
        <v>0</v>
      </c>
      <c r="AP113" s="407"/>
      <c r="AQ113" s="363" t="s">
        <v>362</v>
      </c>
      <c r="AR113" s="356" t="n">
        <f aca="false">($M113=AQ113)*$D$12</f>
        <v>0</v>
      </c>
      <c r="AS113" s="407"/>
      <c r="AT113" s="363" t="s">
        <v>364</v>
      </c>
      <c r="AU113" s="356" t="n">
        <f aca="false">($M113=AT113)*$D$12</f>
        <v>0</v>
      </c>
      <c r="AV113" s="407"/>
      <c r="AW113" s="363" t="s">
        <v>364</v>
      </c>
      <c r="AX113" s="356" t="n">
        <f aca="false">($M113=AW113)*$D$12</f>
        <v>0</v>
      </c>
      <c r="AY113" s="407"/>
      <c r="AZ113" s="363" t="s">
        <v>364</v>
      </c>
      <c r="BA113" s="356" t="n">
        <f aca="false">($M113=AZ113)*$D$12</f>
        <v>0</v>
      </c>
      <c r="BB113" s="407"/>
      <c r="BC113" s="363" t="s">
        <v>364</v>
      </c>
      <c r="BD113" s="356" t="n">
        <f aca="false">($M113=BC113)*$D$12</f>
        <v>0</v>
      </c>
      <c r="BE113" s="407"/>
      <c r="BF113" s="363" t="s">
        <v>364</v>
      </c>
      <c r="BG113" s="356" t="n">
        <f aca="false">($M113=BF113)*$D$12</f>
        <v>0</v>
      </c>
      <c r="BH113" s="407"/>
      <c r="BI113" s="363" t="s">
        <v>364</v>
      </c>
      <c r="BJ113" s="356" t="n">
        <f aca="false">($M113=BI113)*$D$12</f>
        <v>0</v>
      </c>
      <c r="BK113" s="407"/>
      <c r="BL113" s="363" t="s">
        <v>364</v>
      </c>
      <c r="BM113" s="356" t="n">
        <f aca="false">($M113=BL113)*$D$12</f>
        <v>0</v>
      </c>
      <c r="BN113" s="407"/>
      <c r="BO113" s="363" t="s">
        <v>363</v>
      </c>
      <c r="BP113" s="356" t="n">
        <f aca="false">($M113=BO113)*$D$12</f>
        <v>0</v>
      </c>
      <c r="BQ113" s="407"/>
      <c r="BR113" s="363" t="s">
        <v>363</v>
      </c>
      <c r="BS113" s="356" t="n">
        <f aca="false">($M113=BR113)*$D$12</f>
        <v>0</v>
      </c>
      <c r="BT113" s="407"/>
      <c r="BU113" s="363"/>
      <c r="BV113" s="356" t="n">
        <f aca="false">($M113=BU113)*$D$12</f>
        <v>0</v>
      </c>
      <c r="BW113" s="407"/>
      <c r="BX113" s="363"/>
      <c r="BY113" s="356" t="n">
        <f aca="false">($M113=BX113)*$D$12</f>
        <v>0</v>
      </c>
      <c r="BZ113" s="407"/>
      <c r="CA113" s="363"/>
      <c r="CB113" s="356" t="n">
        <f aca="false">($M113=CA113)*$D$12</f>
        <v>0</v>
      </c>
      <c r="CC113" s="407"/>
      <c r="CD113" s="363"/>
      <c r="CE113" s="356" t="n">
        <f aca="false">($M113=CD113)*$D$12</f>
        <v>0</v>
      </c>
      <c r="CF113" s="407"/>
      <c r="CG113" s="363"/>
      <c r="CH113" s="356" t="n">
        <f aca="false">($M113=CG113)*$D$12</f>
        <v>0</v>
      </c>
      <c r="CI113" s="407"/>
      <c r="CJ113" s="363"/>
      <c r="CK113" s="356" t="n">
        <f aca="false">($M113=CJ113)*$D$12</f>
        <v>0</v>
      </c>
      <c r="CL113" s="407"/>
      <c r="CM113" s="363"/>
      <c r="CN113" s="356" t="n">
        <f aca="false">($M113=CM113)*$D$12</f>
        <v>0</v>
      </c>
      <c r="CO113" s="407"/>
      <c r="CP113" s="363"/>
      <c r="CQ113" s="356" t="n">
        <f aca="false">($M113=CP113)*$D$12</f>
        <v>0</v>
      </c>
      <c r="CR113" s="407"/>
      <c r="CS113" s="363"/>
      <c r="CT113" s="356" t="n">
        <f aca="false">($M113=CS113)*$D$12</f>
        <v>0</v>
      </c>
      <c r="CU113" s="407"/>
      <c r="CV113" s="363"/>
      <c r="CW113" s="356" t="n">
        <f aca="false">($M113=CV113)*$D$12</f>
        <v>0</v>
      </c>
      <c r="CX113" s="407"/>
      <c r="CY113" s="363"/>
      <c r="CZ113" s="356" t="n">
        <f aca="false">($M113=CY113)*$D$12</f>
        <v>0</v>
      </c>
      <c r="DA113" s="407"/>
      <c r="DB113" s="363"/>
      <c r="DC113" s="356" t="n">
        <f aca="false">($M113=DB113)*$D$12</f>
        <v>0</v>
      </c>
      <c r="DD113" s="407"/>
      <c r="DE113" s="363"/>
      <c r="DF113" s="356" t="n">
        <f aca="false">($M113=DE113)*$D$12</f>
        <v>0</v>
      </c>
      <c r="DG113" s="407"/>
      <c r="DH113" s="363"/>
      <c r="DI113" s="356" t="n">
        <f aca="false">($M113=DH113)*$D$12</f>
        <v>0</v>
      </c>
      <c r="DJ113" s="407"/>
      <c r="DK113" s="363"/>
      <c r="DL113" s="356" t="n">
        <f aca="false">($M113=DK113)*$D$12</f>
        <v>0</v>
      </c>
      <c r="DM113" s="407"/>
      <c r="DN113" s="363"/>
      <c r="DO113" s="356" t="n">
        <f aca="false">($M113=DN113)*$D$12</f>
        <v>0</v>
      </c>
      <c r="DP113" s="407"/>
      <c r="DQ113" s="363"/>
      <c r="DR113" s="356" t="n">
        <f aca="false">($M113=DQ113)*$D$12</f>
        <v>0</v>
      </c>
      <c r="DS113" s="407"/>
      <c r="DT113" s="363"/>
      <c r="DU113" s="356" t="n">
        <f aca="false">($M113=DT113)*$D$12</f>
        <v>0</v>
      </c>
      <c r="DV113" s="407"/>
      <c r="DW113" s="363"/>
      <c r="DX113" s="356" t="n">
        <f aca="false">($M113=DW113)*$D$12</f>
        <v>0</v>
      </c>
      <c r="DY113" s="407"/>
      <c r="DZ113" s="363"/>
      <c r="EA113" s="356" t="n">
        <f aca="false">($M113=DZ113)*$D$12</f>
        <v>0</v>
      </c>
      <c r="EB113" s="407"/>
      <c r="EC113" s="363"/>
      <c r="ED113" s="356" t="n">
        <f aca="false">($M113=EC113)*$D$12</f>
        <v>0</v>
      </c>
      <c r="EE113" s="407"/>
      <c r="EF113" s="363"/>
      <c r="EG113" s="356" t="n">
        <f aca="false">($M113=EF113)*$D$12</f>
        <v>0</v>
      </c>
      <c r="EH113" s="407"/>
      <c r="EI113" s="407"/>
    </row>
    <row r="114" customFormat="false" ht="15" hidden="false" customHeight="false" outlineLevel="0" collapsed="false">
      <c r="A114" s="327"/>
      <c r="B114" s="327"/>
      <c r="C114" s="327"/>
      <c r="D114" s="327"/>
      <c r="E114" s="327"/>
      <c r="F114" s="328" t="n">
        <f aca="false">$D$13</f>
        <v>5</v>
      </c>
      <c r="G114" s="394" t="n">
        <f aca="false">VLOOKUP(H114,Equipos!$Q$1:$R$25,2,0)</f>
        <v>16</v>
      </c>
      <c r="H114" s="395" t="n">
        <f aca="false">$H$70</f>
        <v>46199</v>
      </c>
      <c r="I114" s="333"/>
      <c r="J114" s="408"/>
      <c r="K114" s="367" t="str">
        <f aca="false">Idiomas!D184</f>
        <v>3º GRUPO I</v>
      </c>
      <c r="L114" s="354"/>
      <c r="M114" s="359" t="str">
        <f aca="false">IF(OR(SUM(WORLDCUP!$AN$70:$AN$73)=12,WORLDCUP!$AJ$99=144),WORLDCUP!AL72,LEFT(K114,1)&amp;RIGHT(K114,1))</f>
        <v>3I</v>
      </c>
      <c r="N114" s="332"/>
      <c r="O114" s="332"/>
      <c r="P114" s="332"/>
      <c r="Q114" s="332"/>
      <c r="R114" s="404"/>
      <c r="S114" s="363" t="s">
        <v>364</v>
      </c>
      <c r="T114" s="356" t="n">
        <f aca="false">($M114=S114)*$D$13</f>
        <v>0</v>
      </c>
      <c r="U114" s="407"/>
      <c r="V114" s="363" t="s">
        <v>363</v>
      </c>
      <c r="W114" s="356" t="n">
        <f aca="false">($M114=V114)*$D$13</f>
        <v>0</v>
      </c>
      <c r="X114" s="407"/>
      <c r="Y114" s="363" t="s">
        <v>364</v>
      </c>
      <c r="Z114" s="356" t="n">
        <f aca="false">($M114=Y114)*$D$13</f>
        <v>0</v>
      </c>
      <c r="AA114" s="407"/>
      <c r="AB114" s="363" t="s">
        <v>363</v>
      </c>
      <c r="AC114" s="356" t="n">
        <f aca="false">($M114=AB114)*$D$13</f>
        <v>0</v>
      </c>
      <c r="AD114" s="407"/>
      <c r="AE114" s="363" t="s">
        <v>363</v>
      </c>
      <c r="AF114" s="356" t="n">
        <f aca="false">($M114=AE114)*$D$13</f>
        <v>0</v>
      </c>
      <c r="AG114" s="407"/>
      <c r="AH114" s="363" t="s">
        <v>363</v>
      </c>
      <c r="AI114" s="356" t="n">
        <f aca="false">($M114=AH114)*$D$13</f>
        <v>0</v>
      </c>
      <c r="AJ114" s="407"/>
      <c r="AK114" s="363" t="s">
        <v>364</v>
      </c>
      <c r="AL114" s="356" t="n">
        <f aca="false">($M114=AK114)*$D$13</f>
        <v>0</v>
      </c>
      <c r="AM114" s="407"/>
      <c r="AN114" s="363" t="s">
        <v>363</v>
      </c>
      <c r="AO114" s="356" t="n">
        <f aca="false">($M114=AN114)*$D$13</f>
        <v>0</v>
      </c>
      <c r="AP114" s="407"/>
      <c r="AQ114" s="363" t="s">
        <v>364</v>
      </c>
      <c r="AR114" s="356" t="n">
        <f aca="false">($M114=AQ114)*$D$13</f>
        <v>0</v>
      </c>
      <c r="AS114" s="407"/>
      <c r="AT114" s="363" t="s">
        <v>363</v>
      </c>
      <c r="AU114" s="356" t="n">
        <f aca="false">($M114=AT114)*$D$13</f>
        <v>0</v>
      </c>
      <c r="AV114" s="407"/>
      <c r="AW114" s="363" t="s">
        <v>363</v>
      </c>
      <c r="AX114" s="356" t="n">
        <f aca="false">($M114=AW114)*$D$13</f>
        <v>0</v>
      </c>
      <c r="AY114" s="407"/>
      <c r="AZ114" s="363" t="s">
        <v>363</v>
      </c>
      <c r="BA114" s="356" t="n">
        <f aca="false">($M114=AZ114)*$D$13</f>
        <v>0</v>
      </c>
      <c r="BB114" s="407"/>
      <c r="BC114" s="363" t="s">
        <v>363</v>
      </c>
      <c r="BD114" s="356" t="n">
        <f aca="false">($M114=BC114)*$D$13</f>
        <v>0</v>
      </c>
      <c r="BE114" s="407"/>
      <c r="BF114" s="363" t="s">
        <v>365</v>
      </c>
      <c r="BG114" s="356" t="n">
        <f aca="false">($M114=BF114)*$D$13</f>
        <v>0</v>
      </c>
      <c r="BH114" s="407"/>
      <c r="BI114" s="363" t="s">
        <v>363</v>
      </c>
      <c r="BJ114" s="356" t="n">
        <f aca="false">($M114=BI114)*$D$13</f>
        <v>0</v>
      </c>
      <c r="BK114" s="407"/>
      <c r="BL114" s="363" t="s">
        <v>363</v>
      </c>
      <c r="BM114" s="356" t="n">
        <f aca="false">($M114=BL114)*$D$13</f>
        <v>0</v>
      </c>
      <c r="BN114" s="407"/>
      <c r="BO114" s="363" t="s">
        <v>364</v>
      </c>
      <c r="BP114" s="356" t="n">
        <f aca="false">($M114=BO114)*$D$13</f>
        <v>0</v>
      </c>
      <c r="BQ114" s="407"/>
      <c r="BR114" s="363" t="s">
        <v>364</v>
      </c>
      <c r="BS114" s="356" t="n">
        <f aca="false">($M114=BR114)*$D$13</f>
        <v>0</v>
      </c>
      <c r="BT114" s="407"/>
      <c r="BU114" s="363"/>
      <c r="BV114" s="356" t="n">
        <f aca="false">($M114=BU114)*$D$13</f>
        <v>0</v>
      </c>
      <c r="BW114" s="407"/>
      <c r="BX114" s="363"/>
      <c r="BY114" s="356" t="n">
        <f aca="false">($M114=BX114)*$D$13</f>
        <v>0</v>
      </c>
      <c r="BZ114" s="407"/>
      <c r="CA114" s="363"/>
      <c r="CB114" s="356" t="n">
        <f aca="false">($M114=CA114)*$D$13</f>
        <v>0</v>
      </c>
      <c r="CC114" s="407"/>
      <c r="CD114" s="363"/>
      <c r="CE114" s="356" t="n">
        <f aca="false">($M114=CD114)*$D$13</f>
        <v>0</v>
      </c>
      <c r="CF114" s="407"/>
      <c r="CG114" s="363"/>
      <c r="CH114" s="356" t="n">
        <f aca="false">($M114=CG114)*$D$13</f>
        <v>0</v>
      </c>
      <c r="CI114" s="407"/>
      <c r="CJ114" s="363"/>
      <c r="CK114" s="356" t="n">
        <f aca="false">($M114=CJ114)*$D$13</f>
        <v>0</v>
      </c>
      <c r="CL114" s="407"/>
      <c r="CM114" s="363"/>
      <c r="CN114" s="356" t="n">
        <f aca="false">($M114=CM114)*$D$13</f>
        <v>0</v>
      </c>
      <c r="CO114" s="407"/>
      <c r="CP114" s="363"/>
      <c r="CQ114" s="356" t="n">
        <f aca="false">($M114=CP114)*$D$13</f>
        <v>0</v>
      </c>
      <c r="CR114" s="407"/>
      <c r="CS114" s="363"/>
      <c r="CT114" s="356" t="n">
        <f aca="false">($M114=CS114)*$D$13</f>
        <v>0</v>
      </c>
      <c r="CU114" s="407"/>
      <c r="CV114" s="363"/>
      <c r="CW114" s="356" t="n">
        <f aca="false">($M114=CV114)*$D$13</f>
        <v>0</v>
      </c>
      <c r="CX114" s="407"/>
      <c r="CY114" s="363"/>
      <c r="CZ114" s="356" t="n">
        <f aca="false">($M114=CY114)*$D$13</f>
        <v>0</v>
      </c>
      <c r="DA114" s="407"/>
      <c r="DB114" s="363"/>
      <c r="DC114" s="356" t="n">
        <f aca="false">($M114=DB114)*$D$13</f>
        <v>0</v>
      </c>
      <c r="DD114" s="407"/>
      <c r="DE114" s="363"/>
      <c r="DF114" s="356" t="n">
        <f aca="false">($M114=DE114)*$D$13</f>
        <v>0</v>
      </c>
      <c r="DG114" s="407"/>
      <c r="DH114" s="363"/>
      <c r="DI114" s="356" t="n">
        <f aca="false">($M114=DH114)*$D$13</f>
        <v>0</v>
      </c>
      <c r="DJ114" s="407"/>
      <c r="DK114" s="363"/>
      <c r="DL114" s="356" t="n">
        <f aca="false">($M114=DK114)*$D$13</f>
        <v>0</v>
      </c>
      <c r="DM114" s="407"/>
      <c r="DN114" s="363"/>
      <c r="DO114" s="356" t="n">
        <f aca="false">($M114=DN114)*$D$13</f>
        <v>0</v>
      </c>
      <c r="DP114" s="407"/>
      <c r="DQ114" s="363"/>
      <c r="DR114" s="356" t="n">
        <f aca="false">($M114=DQ114)*$D$13</f>
        <v>0</v>
      </c>
      <c r="DS114" s="407"/>
      <c r="DT114" s="363"/>
      <c r="DU114" s="356" t="n">
        <f aca="false">($M114=DT114)*$D$13</f>
        <v>0</v>
      </c>
      <c r="DV114" s="407"/>
      <c r="DW114" s="363"/>
      <c r="DX114" s="356" t="n">
        <f aca="false">($M114=DW114)*$D$13</f>
        <v>0</v>
      </c>
      <c r="DY114" s="407"/>
      <c r="DZ114" s="363"/>
      <c r="EA114" s="356" t="n">
        <f aca="false">($M114=DZ114)*$D$13</f>
        <v>0</v>
      </c>
      <c r="EB114" s="407"/>
      <c r="EC114" s="363"/>
      <c r="ED114" s="356" t="n">
        <f aca="false">($M114=EC114)*$D$13</f>
        <v>0</v>
      </c>
      <c r="EE114" s="407"/>
      <c r="EF114" s="363"/>
      <c r="EG114" s="356" t="n">
        <f aca="false">($M114=EF114)*$D$13</f>
        <v>0</v>
      </c>
      <c r="EH114" s="407"/>
      <c r="EI114" s="407"/>
    </row>
    <row r="115" customFormat="false" ht="15" hidden="false" customHeight="false" outlineLevel="0" collapsed="false">
      <c r="A115" s="327"/>
      <c r="B115" s="327"/>
      <c r="C115" s="327"/>
      <c r="D115" s="327"/>
      <c r="E115" s="327"/>
      <c r="F115" s="328" t="n">
        <f aca="false">$D$14</f>
        <v>5</v>
      </c>
      <c r="G115" s="394" t="n">
        <f aca="false">VLOOKUP(H115,Equipos!$Q$1:$R$25,2,0)</f>
        <v>16</v>
      </c>
      <c r="H115" s="395" t="n">
        <f aca="false">$H$70</f>
        <v>46199</v>
      </c>
      <c r="I115" s="333"/>
      <c r="J115" s="408"/>
      <c r="K115" s="367" t="str">
        <f aca="false">Idiomas!D185</f>
        <v>4º GRUPO I</v>
      </c>
      <c r="L115" s="354"/>
      <c r="M115" s="359" t="str">
        <f aca="false">IF(OR(SUM(WORLDCUP!$AN$70:$AN$73)=12,WORLDCUP!$AJ$99=144),WORLDCUP!AL73,LEFT(K115,1)&amp;RIGHT(K115,1))</f>
        <v>4I</v>
      </c>
      <c r="N115" s="332"/>
      <c r="O115" s="332"/>
      <c r="P115" s="332"/>
      <c r="Q115" s="332"/>
      <c r="R115" s="404"/>
      <c r="S115" s="363" t="s">
        <v>365</v>
      </c>
      <c r="T115" s="356" t="n">
        <f aca="false">($M115=S115)*$D$14</f>
        <v>0</v>
      </c>
      <c r="U115" s="407"/>
      <c r="V115" s="363" t="s">
        <v>365</v>
      </c>
      <c r="W115" s="356" t="n">
        <f aca="false">($M115=V115)*$D$14</f>
        <v>0</v>
      </c>
      <c r="X115" s="407"/>
      <c r="Y115" s="363" t="s">
        <v>365</v>
      </c>
      <c r="Z115" s="356" t="n">
        <f aca="false">($M115=Y115)*$D$14</f>
        <v>0</v>
      </c>
      <c r="AA115" s="407"/>
      <c r="AB115" s="363" t="s">
        <v>365</v>
      </c>
      <c r="AC115" s="356" t="n">
        <f aca="false">($M115=AB115)*$D$14</f>
        <v>0</v>
      </c>
      <c r="AD115" s="407"/>
      <c r="AE115" s="363" t="s">
        <v>365</v>
      </c>
      <c r="AF115" s="356" t="n">
        <f aca="false">($M115=AE115)*$D$14</f>
        <v>0</v>
      </c>
      <c r="AG115" s="407"/>
      <c r="AH115" s="363" t="s">
        <v>365</v>
      </c>
      <c r="AI115" s="356" t="n">
        <f aca="false">($M115=AH115)*$D$14</f>
        <v>0</v>
      </c>
      <c r="AJ115" s="407"/>
      <c r="AK115" s="363" t="s">
        <v>365</v>
      </c>
      <c r="AL115" s="356" t="n">
        <f aca="false">($M115=AK115)*$D$14</f>
        <v>0</v>
      </c>
      <c r="AM115" s="407"/>
      <c r="AN115" s="363" t="s">
        <v>365</v>
      </c>
      <c r="AO115" s="356" t="n">
        <f aca="false">($M115=AN115)*$D$14</f>
        <v>0</v>
      </c>
      <c r="AP115" s="407"/>
      <c r="AQ115" s="363" t="s">
        <v>365</v>
      </c>
      <c r="AR115" s="356" t="n">
        <f aca="false">($M115=AQ115)*$D$14</f>
        <v>0</v>
      </c>
      <c r="AS115" s="407"/>
      <c r="AT115" s="363" t="s">
        <v>365</v>
      </c>
      <c r="AU115" s="356" t="n">
        <f aca="false">($M115=AT115)*$D$14</f>
        <v>0</v>
      </c>
      <c r="AV115" s="407"/>
      <c r="AW115" s="363" t="s">
        <v>365</v>
      </c>
      <c r="AX115" s="356" t="n">
        <f aca="false">($M115=AW115)*$D$14</f>
        <v>0</v>
      </c>
      <c r="AY115" s="407"/>
      <c r="AZ115" s="363" t="s">
        <v>365</v>
      </c>
      <c r="BA115" s="356" t="n">
        <f aca="false">($M115=AZ115)*$D$14</f>
        <v>0</v>
      </c>
      <c r="BB115" s="407"/>
      <c r="BC115" s="363" t="s">
        <v>365</v>
      </c>
      <c r="BD115" s="356" t="n">
        <f aca="false">($M115=BC115)*$D$14</f>
        <v>0</v>
      </c>
      <c r="BE115" s="407"/>
      <c r="BF115" s="363" t="s">
        <v>363</v>
      </c>
      <c r="BG115" s="356" t="n">
        <f aca="false">($M115=BF115)*$D$14</f>
        <v>0</v>
      </c>
      <c r="BH115" s="407"/>
      <c r="BI115" s="363" t="s">
        <v>365</v>
      </c>
      <c r="BJ115" s="356" t="n">
        <f aca="false">($M115=BI115)*$D$14</f>
        <v>0</v>
      </c>
      <c r="BK115" s="407"/>
      <c r="BL115" s="363" t="s">
        <v>365</v>
      </c>
      <c r="BM115" s="356" t="n">
        <f aca="false">($M115=BL115)*$D$14</f>
        <v>0</v>
      </c>
      <c r="BN115" s="407"/>
      <c r="BO115" s="363" t="s">
        <v>365</v>
      </c>
      <c r="BP115" s="356" t="n">
        <f aca="false">($M115=BO115)*$D$14</f>
        <v>0</v>
      </c>
      <c r="BQ115" s="407"/>
      <c r="BR115" s="363" t="s">
        <v>365</v>
      </c>
      <c r="BS115" s="356" t="n">
        <f aca="false">($M115=BR115)*$D$14</f>
        <v>0</v>
      </c>
      <c r="BT115" s="407"/>
      <c r="BU115" s="363"/>
      <c r="BV115" s="356" t="n">
        <f aca="false">($M115=BU115)*$D$14</f>
        <v>0</v>
      </c>
      <c r="BW115" s="407"/>
      <c r="BX115" s="363"/>
      <c r="BY115" s="356" t="n">
        <f aca="false">($M115=BX115)*$D$14</f>
        <v>0</v>
      </c>
      <c r="BZ115" s="407"/>
      <c r="CA115" s="363"/>
      <c r="CB115" s="356" t="n">
        <f aca="false">($M115=CA115)*$D$14</f>
        <v>0</v>
      </c>
      <c r="CC115" s="407"/>
      <c r="CD115" s="363"/>
      <c r="CE115" s="356" t="n">
        <f aca="false">($M115=CD115)*$D$14</f>
        <v>0</v>
      </c>
      <c r="CF115" s="407"/>
      <c r="CG115" s="363"/>
      <c r="CH115" s="356" t="n">
        <f aca="false">($M115=CG115)*$D$14</f>
        <v>0</v>
      </c>
      <c r="CI115" s="407"/>
      <c r="CJ115" s="363"/>
      <c r="CK115" s="356" t="n">
        <f aca="false">($M115=CJ115)*$D$14</f>
        <v>0</v>
      </c>
      <c r="CL115" s="407"/>
      <c r="CM115" s="363"/>
      <c r="CN115" s="356" t="n">
        <f aca="false">($M115=CM115)*$D$14</f>
        <v>0</v>
      </c>
      <c r="CO115" s="407"/>
      <c r="CP115" s="363"/>
      <c r="CQ115" s="356" t="n">
        <f aca="false">($M115=CP115)*$D$14</f>
        <v>0</v>
      </c>
      <c r="CR115" s="407"/>
      <c r="CS115" s="363"/>
      <c r="CT115" s="356" t="n">
        <f aca="false">($M115=CS115)*$D$14</f>
        <v>0</v>
      </c>
      <c r="CU115" s="407"/>
      <c r="CV115" s="363"/>
      <c r="CW115" s="356" t="n">
        <f aca="false">($M115=CV115)*$D$14</f>
        <v>0</v>
      </c>
      <c r="CX115" s="407"/>
      <c r="CY115" s="363"/>
      <c r="CZ115" s="356" t="n">
        <f aca="false">($M115=CY115)*$D$14</f>
        <v>0</v>
      </c>
      <c r="DA115" s="407"/>
      <c r="DB115" s="363"/>
      <c r="DC115" s="356" t="n">
        <f aca="false">($M115=DB115)*$D$14</f>
        <v>0</v>
      </c>
      <c r="DD115" s="407"/>
      <c r="DE115" s="363"/>
      <c r="DF115" s="356" t="n">
        <f aca="false">($M115=DE115)*$D$14</f>
        <v>0</v>
      </c>
      <c r="DG115" s="407"/>
      <c r="DH115" s="363"/>
      <c r="DI115" s="356" t="n">
        <f aca="false">($M115=DH115)*$D$14</f>
        <v>0</v>
      </c>
      <c r="DJ115" s="407"/>
      <c r="DK115" s="363"/>
      <c r="DL115" s="356" t="n">
        <f aca="false">($M115=DK115)*$D$14</f>
        <v>0</v>
      </c>
      <c r="DM115" s="407"/>
      <c r="DN115" s="363"/>
      <c r="DO115" s="356" t="n">
        <f aca="false">($M115=DN115)*$D$14</f>
        <v>0</v>
      </c>
      <c r="DP115" s="407"/>
      <c r="DQ115" s="363"/>
      <c r="DR115" s="356" t="n">
        <f aca="false">($M115=DQ115)*$D$14</f>
        <v>0</v>
      </c>
      <c r="DS115" s="407"/>
      <c r="DT115" s="363"/>
      <c r="DU115" s="356" t="n">
        <f aca="false">($M115=DT115)*$D$14</f>
        <v>0</v>
      </c>
      <c r="DV115" s="407"/>
      <c r="DW115" s="363"/>
      <c r="DX115" s="356" t="n">
        <f aca="false">($M115=DW115)*$D$14</f>
        <v>0</v>
      </c>
      <c r="DY115" s="407"/>
      <c r="DZ115" s="363"/>
      <c r="EA115" s="356" t="n">
        <f aca="false">($M115=DZ115)*$D$14</f>
        <v>0</v>
      </c>
      <c r="EB115" s="407"/>
      <c r="EC115" s="363"/>
      <c r="ED115" s="356" t="n">
        <f aca="false">($M115=EC115)*$D$14</f>
        <v>0</v>
      </c>
      <c r="EE115" s="407"/>
      <c r="EF115" s="363"/>
      <c r="EG115" s="356" t="n">
        <f aca="false">($M115=EF115)*$D$14</f>
        <v>0</v>
      </c>
      <c r="EH115" s="407"/>
      <c r="EI115" s="407"/>
    </row>
    <row r="116" customFormat="false" ht="15" hidden="false" customHeight="false" outlineLevel="0" collapsed="false">
      <c r="A116" s="327"/>
      <c r="B116" s="327"/>
      <c r="C116" s="327"/>
      <c r="D116" s="327"/>
      <c r="E116" s="327"/>
      <c r="F116" s="328" t="n">
        <f aca="false">$D$11</f>
        <v>5</v>
      </c>
      <c r="G116" s="394" t="n">
        <f aca="false">VLOOKUP(H116,Equipos!$Q$1:$R$25,2,0)</f>
        <v>18</v>
      </c>
      <c r="H116" s="395" t="n">
        <f aca="false">$H$72</f>
        <v>46201</v>
      </c>
      <c r="I116" s="333"/>
      <c r="J116" s="409" t="s">
        <v>135</v>
      </c>
      <c r="K116" s="367" t="str">
        <f aca="false">Idiomas!D186</f>
        <v>1º GRUPO J</v>
      </c>
      <c r="L116" s="354"/>
      <c r="M116" s="359" t="str">
        <f aca="false">IF(OR(SUM(WORLDCUP!$AN$78:$AN$81)=12,WORLDCUP!$AJ$99=144),WORLDCUP!AL78,LEFT(K116,1)&amp;RIGHT(K116,1))</f>
        <v>1J</v>
      </c>
      <c r="N116" s="332"/>
      <c r="O116" s="332"/>
      <c r="P116" s="332"/>
      <c r="Q116" s="332"/>
      <c r="R116" s="404"/>
      <c r="S116" s="363" t="s">
        <v>366</v>
      </c>
      <c r="T116" s="356" t="n">
        <f aca="false">($M116=S116)*$D$11</f>
        <v>0</v>
      </c>
      <c r="U116" s="407"/>
      <c r="V116" s="363" t="s">
        <v>366</v>
      </c>
      <c r="W116" s="356" t="n">
        <f aca="false">($M116=V116)*$D$11</f>
        <v>0</v>
      </c>
      <c r="X116" s="407"/>
      <c r="Y116" s="363" t="s">
        <v>366</v>
      </c>
      <c r="Z116" s="356" t="n">
        <f aca="false">($M116=Y116)*$D$11</f>
        <v>0</v>
      </c>
      <c r="AA116" s="407"/>
      <c r="AB116" s="363" t="s">
        <v>366</v>
      </c>
      <c r="AC116" s="356" t="n">
        <f aca="false">($M116=AB116)*$D$11</f>
        <v>0</v>
      </c>
      <c r="AD116" s="407"/>
      <c r="AE116" s="363" t="s">
        <v>366</v>
      </c>
      <c r="AF116" s="356" t="n">
        <f aca="false">($M116=AE116)*$D$11</f>
        <v>0</v>
      </c>
      <c r="AG116" s="407"/>
      <c r="AH116" s="363" t="s">
        <v>366</v>
      </c>
      <c r="AI116" s="356" t="n">
        <f aca="false">($M116=AH116)*$D$11</f>
        <v>0</v>
      </c>
      <c r="AJ116" s="407"/>
      <c r="AK116" s="363" t="s">
        <v>366</v>
      </c>
      <c r="AL116" s="356" t="n">
        <f aca="false">($M116=AK116)*$D$11</f>
        <v>0</v>
      </c>
      <c r="AM116" s="407"/>
      <c r="AN116" s="363" t="s">
        <v>366</v>
      </c>
      <c r="AO116" s="356" t="n">
        <f aca="false">($M116=AN116)*$D$11</f>
        <v>0</v>
      </c>
      <c r="AP116" s="407"/>
      <c r="AQ116" s="363" t="s">
        <v>367</v>
      </c>
      <c r="AR116" s="356" t="n">
        <f aca="false">($M116=AQ116)*$D$11</f>
        <v>0</v>
      </c>
      <c r="AS116" s="407"/>
      <c r="AT116" s="363" t="s">
        <v>366</v>
      </c>
      <c r="AU116" s="356" t="n">
        <f aca="false">($M116=AT116)*$D$11</f>
        <v>0</v>
      </c>
      <c r="AV116" s="407"/>
      <c r="AW116" s="363" t="s">
        <v>366</v>
      </c>
      <c r="AX116" s="356" t="n">
        <f aca="false">($M116=AW116)*$D$11</f>
        <v>0</v>
      </c>
      <c r="AY116" s="407"/>
      <c r="AZ116" s="363" t="s">
        <v>366</v>
      </c>
      <c r="BA116" s="356" t="n">
        <f aca="false">($M116=AZ116)*$D$11</f>
        <v>0</v>
      </c>
      <c r="BB116" s="407"/>
      <c r="BC116" s="363" t="s">
        <v>366</v>
      </c>
      <c r="BD116" s="356" t="n">
        <f aca="false">($M116=BC116)*$D$11</f>
        <v>0</v>
      </c>
      <c r="BE116" s="407"/>
      <c r="BF116" s="363" t="s">
        <v>366</v>
      </c>
      <c r="BG116" s="356" t="n">
        <f aca="false">($M116=BF116)*$D$11</f>
        <v>0</v>
      </c>
      <c r="BH116" s="407"/>
      <c r="BI116" s="363" t="s">
        <v>366</v>
      </c>
      <c r="BJ116" s="356" t="n">
        <f aca="false">($M116=BI116)*$D$11</f>
        <v>0</v>
      </c>
      <c r="BK116" s="407"/>
      <c r="BL116" s="363" t="s">
        <v>366</v>
      </c>
      <c r="BM116" s="356" t="n">
        <f aca="false">($M116=BL116)*$D$11</f>
        <v>0</v>
      </c>
      <c r="BN116" s="407"/>
      <c r="BO116" s="363" t="s">
        <v>366</v>
      </c>
      <c r="BP116" s="356" t="n">
        <f aca="false">($M116=BO116)*$D$11</f>
        <v>0</v>
      </c>
      <c r="BQ116" s="407"/>
      <c r="BR116" s="363" t="s">
        <v>366</v>
      </c>
      <c r="BS116" s="356" t="n">
        <f aca="false">($M116=BR116)*$D$11</f>
        <v>0</v>
      </c>
      <c r="BT116" s="407"/>
      <c r="BU116" s="363"/>
      <c r="BV116" s="356" t="n">
        <f aca="false">($M116=BU116)*$D$11</f>
        <v>0</v>
      </c>
      <c r="BW116" s="407"/>
      <c r="BX116" s="363"/>
      <c r="BY116" s="356" t="n">
        <f aca="false">($M116=BX116)*$D$11</f>
        <v>0</v>
      </c>
      <c r="BZ116" s="407"/>
      <c r="CA116" s="363"/>
      <c r="CB116" s="356" t="n">
        <f aca="false">($M116=CA116)*$D$11</f>
        <v>0</v>
      </c>
      <c r="CC116" s="407"/>
      <c r="CD116" s="363"/>
      <c r="CE116" s="356" t="n">
        <f aca="false">($M116=CD116)*$D$11</f>
        <v>0</v>
      </c>
      <c r="CF116" s="407"/>
      <c r="CG116" s="363"/>
      <c r="CH116" s="356" t="n">
        <f aca="false">($M116=CG116)*$D$11</f>
        <v>0</v>
      </c>
      <c r="CI116" s="407"/>
      <c r="CJ116" s="363"/>
      <c r="CK116" s="356" t="n">
        <f aca="false">($M116=CJ116)*$D$11</f>
        <v>0</v>
      </c>
      <c r="CL116" s="407"/>
      <c r="CM116" s="363"/>
      <c r="CN116" s="356" t="n">
        <f aca="false">($M116=CM116)*$D$11</f>
        <v>0</v>
      </c>
      <c r="CO116" s="407"/>
      <c r="CP116" s="363"/>
      <c r="CQ116" s="356" t="n">
        <f aca="false">($M116=CP116)*$D$11</f>
        <v>0</v>
      </c>
      <c r="CR116" s="407"/>
      <c r="CS116" s="363"/>
      <c r="CT116" s="356" t="n">
        <f aca="false">($M116=CS116)*$D$11</f>
        <v>0</v>
      </c>
      <c r="CU116" s="407"/>
      <c r="CV116" s="363"/>
      <c r="CW116" s="356" t="n">
        <f aca="false">($M116=CV116)*$D$11</f>
        <v>0</v>
      </c>
      <c r="CX116" s="407"/>
      <c r="CY116" s="363"/>
      <c r="CZ116" s="356" t="n">
        <f aca="false">($M116=CY116)*$D$11</f>
        <v>0</v>
      </c>
      <c r="DA116" s="407"/>
      <c r="DB116" s="363"/>
      <c r="DC116" s="356" t="n">
        <f aca="false">($M116=DB116)*$D$11</f>
        <v>0</v>
      </c>
      <c r="DD116" s="407"/>
      <c r="DE116" s="363"/>
      <c r="DF116" s="356" t="n">
        <f aca="false">($M116=DE116)*$D$11</f>
        <v>0</v>
      </c>
      <c r="DG116" s="407"/>
      <c r="DH116" s="363"/>
      <c r="DI116" s="356" t="n">
        <f aca="false">($M116=DH116)*$D$11</f>
        <v>0</v>
      </c>
      <c r="DJ116" s="407"/>
      <c r="DK116" s="363"/>
      <c r="DL116" s="356" t="n">
        <f aca="false">($M116=DK116)*$D$11</f>
        <v>0</v>
      </c>
      <c r="DM116" s="407"/>
      <c r="DN116" s="363"/>
      <c r="DO116" s="356" t="n">
        <f aca="false">($M116=DN116)*$D$11</f>
        <v>0</v>
      </c>
      <c r="DP116" s="407"/>
      <c r="DQ116" s="363"/>
      <c r="DR116" s="356" t="n">
        <f aca="false">($M116=DQ116)*$D$11</f>
        <v>0</v>
      </c>
      <c r="DS116" s="407"/>
      <c r="DT116" s="363"/>
      <c r="DU116" s="356" t="n">
        <f aca="false">($M116=DT116)*$D$11</f>
        <v>0</v>
      </c>
      <c r="DV116" s="407"/>
      <c r="DW116" s="363"/>
      <c r="DX116" s="356" t="n">
        <f aca="false">($M116=DW116)*$D$11</f>
        <v>0</v>
      </c>
      <c r="DY116" s="407"/>
      <c r="DZ116" s="363"/>
      <c r="EA116" s="356" t="n">
        <f aca="false">($M116=DZ116)*$D$11</f>
        <v>0</v>
      </c>
      <c r="EB116" s="407"/>
      <c r="EC116" s="363"/>
      <c r="ED116" s="356" t="n">
        <f aca="false">($M116=EC116)*$D$11</f>
        <v>0</v>
      </c>
      <c r="EE116" s="407"/>
      <c r="EF116" s="363"/>
      <c r="EG116" s="356" t="n">
        <f aca="false">($M116=EF116)*$D$11</f>
        <v>0</v>
      </c>
      <c r="EH116" s="407"/>
      <c r="EI116" s="407"/>
    </row>
    <row r="117" customFormat="false" ht="15" hidden="false" customHeight="false" outlineLevel="0" collapsed="false">
      <c r="A117" s="327"/>
      <c r="B117" s="327"/>
      <c r="C117" s="327"/>
      <c r="D117" s="327"/>
      <c r="E117" s="327"/>
      <c r="F117" s="328" t="n">
        <f aca="false">$D$12</f>
        <v>5</v>
      </c>
      <c r="G117" s="394" t="n">
        <f aca="false">VLOOKUP(H117,Equipos!$Q$1:$R$25,2,0)</f>
        <v>18</v>
      </c>
      <c r="H117" s="395" t="n">
        <f aca="false">$H$72</f>
        <v>46201</v>
      </c>
      <c r="I117" s="333"/>
      <c r="J117" s="409"/>
      <c r="K117" s="367" t="str">
        <f aca="false">Idiomas!D187</f>
        <v>2º GRUPO J</v>
      </c>
      <c r="L117" s="354"/>
      <c r="M117" s="359" t="str">
        <f aca="false">IF(OR(SUM(WORLDCUP!$AN$78:$AN$81)=12,WORLDCUP!$AJ$99=144),WORLDCUP!AL79,LEFT(K117,1)&amp;RIGHT(K117,1))</f>
        <v>2J</v>
      </c>
      <c r="N117" s="332"/>
      <c r="O117" s="332"/>
      <c r="P117" s="332"/>
      <c r="Q117" s="332"/>
      <c r="R117" s="404"/>
      <c r="S117" s="363" t="s">
        <v>367</v>
      </c>
      <c r="T117" s="356" t="n">
        <f aca="false">($M117=S117)*$D$12</f>
        <v>0</v>
      </c>
      <c r="U117" s="407"/>
      <c r="V117" s="363" t="s">
        <v>367</v>
      </c>
      <c r="W117" s="356" t="n">
        <f aca="false">($M117=V117)*$D$12</f>
        <v>0</v>
      </c>
      <c r="X117" s="407"/>
      <c r="Y117" s="363" t="s">
        <v>367</v>
      </c>
      <c r="Z117" s="356" t="n">
        <f aca="false">($M117=Y117)*$D$12</f>
        <v>0</v>
      </c>
      <c r="AA117" s="407"/>
      <c r="AB117" s="363" t="s">
        <v>367</v>
      </c>
      <c r="AC117" s="356" t="n">
        <f aca="false">($M117=AB117)*$D$12</f>
        <v>0</v>
      </c>
      <c r="AD117" s="407"/>
      <c r="AE117" s="363" t="s">
        <v>368</v>
      </c>
      <c r="AF117" s="356" t="n">
        <f aca="false">($M117=AE117)*$D$12</f>
        <v>0</v>
      </c>
      <c r="AG117" s="407"/>
      <c r="AH117" s="363" t="s">
        <v>367</v>
      </c>
      <c r="AI117" s="356" t="n">
        <f aca="false">($M117=AH117)*$D$12</f>
        <v>0</v>
      </c>
      <c r="AJ117" s="407"/>
      <c r="AK117" s="363" t="s">
        <v>367</v>
      </c>
      <c r="AL117" s="356" t="n">
        <f aca="false">($M117=AK117)*$D$12</f>
        <v>0</v>
      </c>
      <c r="AM117" s="407"/>
      <c r="AN117" s="363" t="s">
        <v>368</v>
      </c>
      <c r="AO117" s="356" t="n">
        <f aca="false">($M117=AN117)*$D$12</f>
        <v>0</v>
      </c>
      <c r="AP117" s="407"/>
      <c r="AQ117" s="363" t="s">
        <v>368</v>
      </c>
      <c r="AR117" s="356" t="n">
        <f aca="false">($M117=AQ117)*$D$12</f>
        <v>0</v>
      </c>
      <c r="AS117" s="407"/>
      <c r="AT117" s="363" t="s">
        <v>367</v>
      </c>
      <c r="AU117" s="356" t="n">
        <f aca="false">($M117=AT117)*$D$12</f>
        <v>0</v>
      </c>
      <c r="AV117" s="407"/>
      <c r="AW117" s="363" t="s">
        <v>368</v>
      </c>
      <c r="AX117" s="356" t="n">
        <f aca="false">($M117=AW117)*$D$12</f>
        <v>0</v>
      </c>
      <c r="AY117" s="407"/>
      <c r="AZ117" s="363" t="s">
        <v>367</v>
      </c>
      <c r="BA117" s="356" t="n">
        <f aca="false">($M117=AZ117)*$D$12</f>
        <v>0</v>
      </c>
      <c r="BB117" s="407"/>
      <c r="BC117" s="363" t="s">
        <v>367</v>
      </c>
      <c r="BD117" s="356" t="n">
        <f aca="false">($M117=BC117)*$D$12</f>
        <v>0</v>
      </c>
      <c r="BE117" s="407"/>
      <c r="BF117" s="363" t="s">
        <v>367</v>
      </c>
      <c r="BG117" s="356" t="n">
        <f aca="false">($M117=BF117)*$D$12</f>
        <v>0</v>
      </c>
      <c r="BH117" s="407"/>
      <c r="BI117" s="363" t="s">
        <v>367</v>
      </c>
      <c r="BJ117" s="356" t="n">
        <f aca="false">($M117=BI117)*$D$12</f>
        <v>0</v>
      </c>
      <c r="BK117" s="407"/>
      <c r="BL117" s="363" t="s">
        <v>367</v>
      </c>
      <c r="BM117" s="356" t="n">
        <f aca="false">($M117=BL117)*$D$12</f>
        <v>0</v>
      </c>
      <c r="BN117" s="407"/>
      <c r="BO117" s="363" t="s">
        <v>367</v>
      </c>
      <c r="BP117" s="356" t="n">
        <f aca="false">($M117=BO117)*$D$12</f>
        <v>0</v>
      </c>
      <c r="BQ117" s="407"/>
      <c r="BR117" s="363" t="s">
        <v>367</v>
      </c>
      <c r="BS117" s="356" t="n">
        <f aca="false">($M117=BR117)*$D$12</f>
        <v>0</v>
      </c>
      <c r="BT117" s="407"/>
      <c r="BU117" s="363"/>
      <c r="BV117" s="356" t="n">
        <f aca="false">($M117=BU117)*$D$12</f>
        <v>0</v>
      </c>
      <c r="BW117" s="407"/>
      <c r="BX117" s="363"/>
      <c r="BY117" s="356" t="n">
        <f aca="false">($M117=BX117)*$D$12</f>
        <v>0</v>
      </c>
      <c r="BZ117" s="407"/>
      <c r="CA117" s="363"/>
      <c r="CB117" s="356" t="n">
        <f aca="false">($M117=CA117)*$D$12</f>
        <v>0</v>
      </c>
      <c r="CC117" s="407"/>
      <c r="CD117" s="363"/>
      <c r="CE117" s="356" t="n">
        <f aca="false">($M117=CD117)*$D$12</f>
        <v>0</v>
      </c>
      <c r="CF117" s="407"/>
      <c r="CG117" s="363"/>
      <c r="CH117" s="356" t="n">
        <f aca="false">($M117=CG117)*$D$12</f>
        <v>0</v>
      </c>
      <c r="CI117" s="407"/>
      <c r="CJ117" s="363"/>
      <c r="CK117" s="356" t="n">
        <f aca="false">($M117=CJ117)*$D$12</f>
        <v>0</v>
      </c>
      <c r="CL117" s="407"/>
      <c r="CM117" s="363"/>
      <c r="CN117" s="356" t="n">
        <f aca="false">($M117=CM117)*$D$12</f>
        <v>0</v>
      </c>
      <c r="CO117" s="407"/>
      <c r="CP117" s="363"/>
      <c r="CQ117" s="356" t="n">
        <f aca="false">($M117=CP117)*$D$12</f>
        <v>0</v>
      </c>
      <c r="CR117" s="407"/>
      <c r="CS117" s="363"/>
      <c r="CT117" s="356" t="n">
        <f aca="false">($M117=CS117)*$D$12</f>
        <v>0</v>
      </c>
      <c r="CU117" s="407"/>
      <c r="CV117" s="363"/>
      <c r="CW117" s="356" t="n">
        <f aca="false">($M117=CV117)*$D$12</f>
        <v>0</v>
      </c>
      <c r="CX117" s="407"/>
      <c r="CY117" s="363"/>
      <c r="CZ117" s="356" t="n">
        <f aca="false">($M117=CY117)*$D$12</f>
        <v>0</v>
      </c>
      <c r="DA117" s="407"/>
      <c r="DB117" s="363"/>
      <c r="DC117" s="356" t="n">
        <f aca="false">($M117=DB117)*$D$12</f>
        <v>0</v>
      </c>
      <c r="DD117" s="407"/>
      <c r="DE117" s="363"/>
      <c r="DF117" s="356" t="n">
        <f aca="false">($M117=DE117)*$D$12</f>
        <v>0</v>
      </c>
      <c r="DG117" s="407"/>
      <c r="DH117" s="363"/>
      <c r="DI117" s="356" t="n">
        <f aca="false">($M117=DH117)*$D$12</f>
        <v>0</v>
      </c>
      <c r="DJ117" s="407"/>
      <c r="DK117" s="363"/>
      <c r="DL117" s="356" t="n">
        <f aca="false">($M117=DK117)*$D$12</f>
        <v>0</v>
      </c>
      <c r="DM117" s="407"/>
      <c r="DN117" s="363"/>
      <c r="DO117" s="356" t="n">
        <f aca="false">($M117=DN117)*$D$12</f>
        <v>0</v>
      </c>
      <c r="DP117" s="407"/>
      <c r="DQ117" s="363"/>
      <c r="DR117" s="356" t="n">
        <f aca="false">($M117=DQ117)*$D$12</f>
        <v>0</v>
      </c>
      <c r="DS117" s="407"/>
      <c r="DT117" s="363"/>
      <c r="DU117" s="356" t="n">
        <f aca="false">($M117=DT117)*$D$12</f>
        <v>0</v>
      </c>
      <c r="DV117" s="407"/>
      <c r="DW117" s="363"/>
      <c r="DX117" s="356" t="n">
        <f aca="false">($M117=DW117)*$D$12</f>
        <v>0</v>
      </c>
      <c r="DY117" s="407"/>
      <c r="DZ117" s="363"/>
      <c r="EA117" s="356" t="n">
        <f aca="false">($M117=DZ117)*$D$12</f>
        <v>0</v>
      </c>
      <c r="EB117" s="407"/>
      <c r="EC117" s="363"/>
      <c r="ED117" s="356" t="n">
        <f aca="false">($M117=EC117)*$D$12</f>
        <v>0</v>
      </c>
      <c r="EE117" s="407"/>
      <c r="EF117" s="363"/>
      <c r="EG117" s="356" t="n">
        <f aca="false">($M117=EF117)*$D$12</f>
        <v>0</v>
      </c>
      <c r="EH117" s="407"/>
      <c r="EI117" s="407"/>
    </row>
    <row r="118" customFormat="false" ht="15" hidden="false" customHeight="false" outlineLevel="0" collapsed="false">
      <c r="A118" s="327"/>
      <c r="B118" s="327"/>
      <c r="C118" s="327"/>
      <c r="D118" s="327"/>
      <c r="E118" s="327"/>
      <c r="F118" s="328" t="n">
        <f aca="false">$D$13</f>
        <v>5</v>
      </c>
      <c r="G118" s="394" t="n">
        <f aca="false">VLOOKUP(H118,Equipos!$Q$1:$R$25,2,0)</f>
        <v>18</v>
      </c>
      <c r="H118" s="395" t="n">
        <f aca="false">$H$72</f>
        <v>46201</v>
      </c>
      <c r="I118" s="333"/>
      <c r="J118" s="409"/>
      <c r="K118" s="367" t="str">
        <f aca="false">Idiomas!D188</f>
        <v>3º GRUPO J</v>
      </c>
      <c r="L118" s="354"/>
      <c r="M118" s="359" t="str">
        <f aca="false">IF(OR(SUM(WORLDCUP!$AN$78:$AN$81)=12,WORLDCUP!$AJ$99=144),WORLDCUP!AL80,LEFT(K118,1)&amp;RIGHT(K118,1))</f>
        <v>3J</v>
      </c>
      <c r="N118" s="332"/>
      <c r="O118" s="332"/>
      <c r="P118" s="332"/>
      <c r="Q118" s="332"/>
      <c r="R118" s="404"/>
      <c r="S118" s="363" t="s">
        <v>368</v>
      </c>
      <c r="T118" s="356" t="n">
        <f aca="false">($M118=S118)*$D$13</f>
        <v>0</v>
      </c>
      <c r="U118" s="407"/>
      <c r="V118" s="363" t="s">
        <v>368</v>
      </c>
      <c r="W118" s="356" t="n">
        <f aca="false">($M118=V118)*$D$13</f>
        <v>0</v>
      </c>
      <c r="X118" s="407"/>
      <c r="Y118" s="363" t="s">
        <v>368</v>
      </c>
      <c r="Z118" s="356" t="n">
        <f aca="false">($M118=Y118)*$D$13</f>
        <v>0</v>
      </c>
      <c r="AA118" s="407"/>
      <c r="AB118" s="363" t="s">
        <v>368</v>
      </c>
      <c r="AC118" s="356" t="n">
        <f aca="false">($M118=AB118)*$D$13</f>
        <v>0</v>
      </c>
      <c r="AD118" s="407"/>
      <c r="AE118" s="363" t="s">
        <v>367</v>
      </c>
      <c r="AF118" s="356" t="n">
        <f aca="false">($M118=AE118)*$D$13</f>
        <v>0</v>
      </c>
      <c r="AG118" s="407"/>
      <c r="AH118" s="363" t="s">
        <v>368</v>
      </c>
      <c r="AI118" s="356" t="n">
        <f aca="false">($M118=AH118)*$D$13</f>
        <v>0</v>
      </c>
      <c r="AJ118" s="407"/>
      <c r="AK118" s="363" t="s">
        <v>368</v>
      </c>
      <c r="AL118" s="356" t="n">
        <f aca="false">($M118=AK118)*$D$13</f>
        <v>0</v>
      </c>
      <c r="AM118" s="407"/>
      <c r="AN118" s="363" t="s">
        <v>367</v>
      </c>
      <c r="AO118" s="356" t="n">
        <f aca="false">($M118=AN118)*$D$13</f>
        <v>0</v>
      </c>
      <c r="AP118" s="407"/>
      <c r="AQ118" s="363" t="s">
        <v>366</v>
      </c>
      <c r="AR118" s="356" t="n">
        <f aca="false">($M118=AQ118)*$D$13</f>
        <v>0</v>
      </c>
      <c r="AS118" s="407"/>
      <c r="AT118" s="363" t="s">
        <v>368</v>
      </c>
      <c r="AU118" s="356" t="n">
        <f aca="false">($M118=AT118)*$D$13</f>
        <v>0</v>
      </c>
      <c r="AV118" s="407"/>
      <c r="AW118" s="363" t="s">
        <v>367</v>
      </c>
      <c r="AX118" s="356" t="n">
        <f aca="false">($M118=AW118)*$D$13</f>
        <v>0</v>
      </c>
      <c r="AY118" s="407"/>
      <c r="AZ118" s="363" t="s">
        <v>369</v>
      </c>
      <c r="BA118" s="356" t="n">
        <f aca="false">($M118=AZ118)*$D$13</f>
        <v>0</v>
      </c>
      <c r="BB118" s="407"/>
      <c r="BC118" s="363" t="s">
        <v>368</v>
      </c>
      <c r="BD118" s="356" t="n">
        <f aca="false">($M118=BC118)*$D$13</f>
        <v>0</v>
      </c>
      <c r="BE118" s="407"/>
      <c r="BF118" s="363" t="s">
        <v>368</v>
      </c>
      <c r="BG118" s="356" t="n">
        <f aca="false">($M118=BF118)*$D$13</f>
        <v>0</v>
      </c>
      <c r="BH118" s="407"/>
      <c r="BI118" s="363" t="s">
        <v>368</v>
      </c>
      <c r="BJ118" s="356" t="n">
        <f aca="false">($M118=BI118)*$D$13</f>
        <v>0</v>
      </c>
      <c r="BK118" s="407"/>
      <c r="BL118" s="363" t="s">
        <v>368</v>
      </c>
      <c r="BM118" s="356" t="n">
        <f aca="false">($M118=BL118)*$D$13</f>
        <v>0</v>
      </c>
      <c r="BN118" s="407"/>
      <c r="BO118" s="363" t="s">
        <v>368</v>
      </c>
      <c r="BP118" s="356" t="n">
        <f aca="false">($M118=BO118)*$D$13</f>
        <v>0</v>
      </c>
      <c r="BQ118" s="407"/>
      <c r="BR118" s="363" t="s">
        <v>368</v>
      </c>
      <c r="BS118" s="356" t="n">
        <f aca="false">($M118=BR118)*$D$13</f>
        <v>0</v>
      </c>
      <c r="BT118" s="407"/>
      <c r="BU118" s="363"/>
      <c r="BV118" s="356" t="n">
        <f aca="false">($M118=BU118)*$D$13</f>
        <v>0</v>
      </c>
      <c r="BW118" s="407"/>
      <c r="BX118" s="363"/>
      <c r="BY118" s="356" t="n">
        <f aca="false">($M118=BX118)*$D$13</f>
        <v>0</v>
      </c>
      <c r="BZ118" s="407"/>
      <c r="CA118" s="363"/>
      <c r="CB118" s="356" t="n">
        <f aca="false">($M118=CA118)*$D$13</f>
        <v>0</v>
      </c>
      <c r="CC118" s="407"/>
      <c r="CD118" s="363"/>
      <c r="CE118" s="356" t="n">
        <f aca="false">($M118=CD118)*$D$13</f>
        <v>0</v>
      </c>
      <c r="CF118" s="407"/>
      <c r="CG118" s="363"/>
      <c r="CH118" s="356" t="n">
        <f aca="false">($M118=CG118)*$D$13</f>
        <v>0</v>
      </c>
      <c r="CI118" s="407"/>
      <c r="CJ118" s="363"/>
      <c r="CK118" s="356" t="n">
        <f aca="false">($M118=CJ118)*$D$13</f>
        <v>0</v>
      </c>
      <c r="CL118" s="407"/>
      <c r="CM118" s="363"/>
      <c r="CN118" s="356" t="n">
        <f aca="false">($M118=CM118)*$D$13</f>
        <v>0</v>
      </c>
      <c r="CO118" s="407"/>
      <c r="CP118" s="363"/>
      <c r="CQ118" s="356" t="n">
        <f aca="false">($M118=CP118)*$D$13</f>
        <v>0</v>
      </c>
      <c r="CR118" s="407"/>
      <c r="CS118" s="363"/>
      <c r="CT118" s="356" t="n">
        <f aca="false">($M118=CS118)*$D$13</f>
        <v>0</v>
      </c>
      <c r="CU118" s="407"/>
      <c r="CV118" s="363"/>
      <c r="CW118" s="356" t="n">
        <f aca="false">($M118=CV118)*$D$13</f>
        <v>0</v>
      </c>
      <c r="CX118" s="407"/>
      <c r="CY118" s="363"/>
      <c r="CZ118" s="356" t="n">
        <f aca="false">($M118=CY118)*$D$13</f>
        <v>0</v>
      </c>
      <c r="DA118" s="407"/>
      <c r="DB118" s="363"/>
      <c r="DC118" s="356" t="n">
        <f aca="false">($M118=DB118)*$D$13</f>
        <v>0</v>
      </c>
      <c r="DD118" s="407"/>
      <c r="DE118" s="363"/>
      <c r="DF118" s="356" t="n">
        <f aca="false">($M118=DE118)*$D$13</f>
        <v>0</v>
      </c>
      <c r="DG118" s="407"/>
      <c r="DH118" s="363"/>
      <c r="DI118" s="356" t="n">
        <f aca="false">($M118=DH118)*$D$13</f>
        <v>0</v>
      </c>
      <c r="DJ118" s="407"/>
      <c r="DK118" s="363"/>
      <c r="DL118" s="356" t="n">
        <f aca="false">($M118=DK118)*$D$13</f>
        <v>0</v>
      </c>
      <c r="DM118" s="407"/>
      <c r="DN118" s="363"/>
      <c r="DO118" s="356" t="n">
        <f aca="false">($M118=DN118)*$D$13</f>
        <v>0</v>
      </c>
      <c r="DP118" s="407"/>
      <c r="DQ118" s="363"/>
      <c r="DR118" s="356" t="n">
        <f aca="false">($M118=DQ118)*$D$13</f>
        <v>0</v>
      </c>
      <c r="DS118" s="407"/>
      <c r="DT118" s="363"/>
      <c r="DU118" s="356" t="n">
        <f aca="false">($M118=DT118)*$D$13</f>
        <v>0</v>
      </c>
      <c r="DV118" s="407"/>
      <c r="DW118" s="363"/>
      <c r="DX118" s="356" t="n">
        <f aca="false">($M118=DW118)*$D$13</f>
        <v>0</v>
      </c>
      <c r="DY118" s="407"/>
      <c r="DZ118" s="363"/>
      <c r="EA118" s="356" t="n">
        <f aca="false">($M118=DZ118)*$D$13</f>
        <v>0</v>
      </c>
      <c r="EB118" s="407"/>
      <c r="EC118" s="363"/>
      <c r="ED118" s="356" t="n">
        <f aca="false">($M118=EC118)*$D$13</f>
        <v>0</v>
      </c>
      <c r="EE118" s="407"/>
      <c r="EF118" s="363"/>
      <c r="EG118" s="356" t="n">
        <f aca="false">($M118=EF118)*$D$13</f>
        <v>0</v>
      </c>
      <c r="EH118" s="407"/>
      <c r="EI118" s="407"/>
    </row>
    <row r="119" customFormat="false" ht="15" hidden="false" customHeight="false" outlineLevel="0" collapsed="false">
      <c r="A119" s="327"/>
      <c r="B119" s="327"/>
      <c r="C119" s="327"/>
      <c r="D119" s="327"/>
      <c r="E119" s="327"/>
      <c r="F119" s="328" t="n">
        <f aca="false">$D$14</f>
        <v>5</v>
      </c>
      <c r="G119" s="394" t="n">
        <f aca="false">VLOOKUP(H119,Equipos!$Q$1:$R$25,2,0)</f>
        <v>18</v>
      </c>
      <c r="H119" s="395" t="n">
        <f aca="false">$H$72</f>
        <v>46201</v>
      </c>
      <c r="I119" s="333"/>
      <c r="J119" s="409"/>
      <c r="K119" s="367" t="str">
        <f aca="false">Idiomas!D189</f>
        <v>4º GRUPO J</v>
      </c>
      <c r="L119" s="354"/>
      <c r="M119" s="359" t="str">
        <f aca="false">IF(OR(SUM(WORLDCUP!$AN$78:$AN$81)=12,WORLDCUP!$AJ$99=144),WORLDCUP!AL81,LEFT(K119,1)&amp;RIGHT(K119,1))</f>
        <v>4J</v>
      </c>
      <c r="N119" s="332"/>
      <c r="O119" s="332"/>
      <c r="P119" s="332"/>
      <c r="Q119" s="332"/>
      <c r="R119" s="404"/>
      <c r="S119" s="363" t="s">
        <v>369</v>
      </c>
      <c r="T119" s="356" t="n">
        <f aca="false">($M119=S119)*$D$14</f>
        <v>0</v>
      </c>
      <c r="U119" s="407"/>
      <c r="V119" s="363" t="s">
        <v>369</v>
      </c>
      <c r="W119" s="356" t="n">
        <f aca="false">($M119=V119)*$D$14</f>
        <v>0</v>
      </c>
      <c r="X119" s="407"/>
      <c r="Y119" s="363" t="s">
        <v>369</v>
      </c>
      <c r="Z119" s="356" t="n">
        <f aca="false">($M119=Y119)*$D$14</f>
        <v>0</v>
      </c>
      <c r="AA119" s="407"/>
      <c r="AB119" s="363" t="s">
        <v>369</v>
      </c>
      <c r="AC119" s="356" t="n">
        <f aca="false">($M119=AB119)*$D$14</f>
        <v>0</v>
      </c>
      <c r="AD119" s="407"/>
      <c r="AE119" s="363" t="s">
        <v>369</v>
      </c>
      <c r="AF119" s="356" t="n">
        <f aca="false">($M119=AE119)*$D$14</f>
        <v>0</v>
      </c>
      <c r="AG119" s="407"/>
      <c r="AH119" s="363" t="s">
        <v>369</v>
      </c>
      <c r="AI119" s="356" t="n">
        <f aca="false">($M119=AH119)*$D$14</f>
        <v>0</v>
      </c>
      <c r="AJ119" s="407"/>
      <c r="AK119" s="363" t="s">
        <v>369</v>
      </c>
      <c r="AL119" s="356" t="n">
        <f aca="false">($M119=AK119)*$D$14</f>
        <v>0</v>
      </c>
      <c r="AM119" s="407"/>
      <c r="AN119" s="363" t="s">
        <v>369</v>
      </c>
      <c r="AO119" s="356" t="n">
        <f aca="false">($M119=AN119)*$D$14</f>
        <v>0</v>
      </c>
      <c r="AP119" s="407"/>
      <c r="AQ119" s="363" t="s">
        <v>369</v>
      </c>
      <c r="AR119" s="356" t="n">
        <f aca="false">($M119=AQ119)*$D$14</f>
        <v>0</v>
      </c>
      <c r="AS119" s="407"/>
      <c r="AT119" s="363" t="s">
        <v>369</v>
      </c>
      <c r="AU119" s="356" t="n">
        <f aca="false">($M119=AT119)*$D$14</f>
        <v>0</v>
      </c>
      <c r="AV119" s="407"/>
      <c r="AW119" s="363" t="s">
        <v>369</v>
      </c>
      <c r="AX119" s="356" t="n">
        <f aca="false">($M119=AW119)*$D$14</f>
        <v>0</v>
      </c>
      <c r="AY119" s="407"/>
      <c r="AZ119" s="363" t="s">
        <v>368</v>
      </c>
      <c r="BA119" s="356" t="n">
        <f aca="false">($M119=AZ119)*$D$14</f>
        <v>0</v>
      </c>
      <c r="BB119" s="407"/>
      <c r="BC119" s="363" t="s">
        <v>369</v>
      </c>
      <c r="BD119" s="356" t="n">
        <f aca="false">($M119=BC119)*$D$14</f>
        <v>0</v>
      </c>
      <c r="BE119" s="407"/>
      <c r="BF119" s="363" t="s">
        <v>369</v>
      </c>
      <c r="BG119" s="356" t="n">
        <f aca="false">($M119=BF119)*$D$14</f>
        <v>0</v>
      </c>
      <c r="BH119" s="407"/>
      <c r="BI119" s="363" t="s">
        <v>369</v>
      </c>
      <c r="BJ119" s="356" t="n">
        <f aca="false">($M119=BI119)*$D$14</f>
        <v>0</v>
      </c>
      <c r="BK119" s="407"/>
      <c r="BL119" s="363" t="s">
        <v>369</v>
      </c>
      <c r="BM119" s="356" t="n">
        <f aca="false">($M119=BL119)*$D$14</f>
        <v>0</v>
      </c>
      <c r="BN119" s="407"/>
      <c r="BO119" s="363" t="s">
        <v>369</v>
      </c>
      <c r="BP119" s="356" t="n">
        <f aca="false">($M119=BO119)*$D$14</f>
        <v>0</v>
      </c>
      <c r="BQ119" s="407"/>
      <c r="BR119" s="363" t="s">
        <v>369</v>
      </c>
      <c r="BS119" s="356" t="n">
        <f aca="false">($M119=BR119)*$D$14</f>
        <v>0</v>
      </c>
      <c r="BT119" s="407"/>
      <c r="BU119" s="363"/>
      <c r="BV119" s="356" t="n">
        <f aca="false">($M119=BU119)*$D$14</f>
        <v>0</v>
      </c>
      <c r="BW119" s="407"/>
      <c r="BX119" s="363"/>
      <c r="BY119" s="356" t="n">
        <f aca="false">($M119=BX119)*$D$14</f>
        <v>0</v>
      </c>
      <c r="BZ119" s="407"/>
      <c r="CA119" s="363"/>
      <c r="CB119" s="356" t="n">
        <f aca="false">($M119=CA119)*$D$14</f>
        <v>0</v>
      </c>
      <c r="CC119" s="407"/>
      <c r="CD119" s="363"/>
      <c r="CE119" s="356" t="n">
        <f aca="false">($M119=CD119)*$D$14</f>
        <v>0</v>
      </c>
      <c r="CF119" s="407"/>
      <c r="CG119" s="363"/>
      <c r="CH119" s="356" t="n">
        <f aca="false">($M119=CG119)*$D$14</f>
        <v>0</v>
      </c>
      <c r="CI119" s="407"/>
      <c r="CJ119" s="363"/>
      <c r="CK119" s="356" t="n">
        <f aca="false">($M119=CJ119)*$D$14</f>
        <v>0</v>
      </c>
      <c r="CL119" s="407"/>
      <c r="CM119" s="363"/>
      <c r="CN119" s="356" t="n">
        <f aca="false">($M119=CM119)*$D$14</f>
        <v>0</v>
      </c>
      <c r="CO119" s="407"/>
      <c r="CP119" s="363"/>
      <c r="CQ119" s="356" t="n">
        <f aca="false">($M119=CP119)*$D$14</f>
        <v>0</v>
      </c>
      <c r="CR119" s="407"/>
      <c r="CS119" s="363"/>
      <c r="CT119" s="356" t="n">
        <f aca="false">($M119=CS119)*$D$14</f>
        <v>0</v>
      </c>
      <c r="CU119" s="407"/>
      <c r="CV119" s="363"/>
      <c r="CW119" s="356" t="n">
        <f aca="false">($M119=CV119)*$D$14</f>
        <v>0</v>
      </c>
      <c r="CX119" s="407"/>
      <c r="CY119" s="363"/>
      <c r="CZ119" s="356" t="n">
        <f aca="false">($M119=CY119)*$D$14</f>
        <v>0</v>
      </c>
      <c r="DA119" s="407"/>
      <c r="DB119" s="363"/>
      <c r="DC119" s="356" t="n">
        <f aca="false">($M119=DB119)*$D$14</f>
        <v>0</v>
      </c>
      <c r="DD119" s="407"/>
      <c r="DE119" s="363"/>
      <c r="DF119" s="356" t="n">
        <f aca="false">($M119=DE119)*$D$14</f>
        <v>0</v>
      </c>
      <c r="DG119" s="407"/>
      <c r="DH119" s="363"/>
      <c r="DI119" s="356" t="n">
        <f aca="false">($M119=DH119)*$D$14</f>
        <v>0</v>
      </c>
      <c r="DJ119" s="407"/>
      <c r="DK119" s="363"/>
      <c r="DL119" s="356" t="n">
        <f aca="false">($M119=DK119)*$D$14</f>
        <v>0</v>
      </c>
      <c r="DM119" s="407"/>
      <c r="DN119" s="363"/>
      <c r="DO119" s="356" t="n">
        <f aca="false">($M119=DN119)*$D$14</f>
        <v>0</v>
      </c>
      <c r="DP119" s="407"/>
      <c r="DQ119" s="363"/>
      <c r="DR119" s="356" t="n">
        <f aca="false">($M119=DQ119)*$D$14</f>
        <v>0</v>
      </c>
      <c r="DS119" s="407"/>
      <c r="DT119" s="363"/>
      <c r="DU119" s="356" t="n">
        <f aca="false">($M119=DT119)*$D$14</f>
        <v>0</v>
      </c>
      <c r="DV119" s="407"/>
      <c r="DW119" s="363"/>
      <c r="DX119" s="356" t="n">
        <f aca="false">($M119=DW119)*$D$14</f>
        <v>0</v>
      </c>
      <c r="DY119" s="407"/>
      <c r="DZ119" s="363"/>
      <c r="EA119" s="356" t="n">
        <f aca="false">($M119=DZ119)*$D$14</f>
        <v>0</v>
      </c>
      <c r="EB119" s="407"/>
      <c r="EC119" s="363"/>
      <c r="ED119" s="356" t="n">
        <f aca="false">($M119=EC119)*$D$14</f>
        <v>0</v>
      </c>
      <c r="EE119" s="407"/>
      <c r="EF119" s="363"/>
      <c r="EG119" s="356" t="n">
        <f aca="false">($M119=EF119)*$D$14</f>
        <v>0</v>
      </c>
      <c r="EH119" s="407"/>
      <c r="EI119" s="407"/>
    </row>
    <row r="120" customFormat="false" ht="15" hidden="false" customHeight="false" outlineLevel="0" collapsed="false">
      <c r="A120" s="327"/>
      <c r="B120" s="327"/>
      <c r="C120" s="327"/>
      <c r="D120" s="327"/>
      <c r="E120" s="327"/>
      <c r="F120" s="328" t="n">
        <f aca="false">$D$11</f>
        <v>5</v>
      </c>
      <c r="G120" s="394" t="n">
        <f aca="false">VLOOKUP(H120,Equipos!$Q$1:$R$25,2,0)</f>
        <v>18</v>
      </c>
      <c r="H120" s="395" t="n">
        <f aca="false">$H$74</f>
        <v>46201</v>
      </c>
      <c r="I120" s="333"/>
      <c r="J120" s="408" t="s">
        <v>136</v>
      </c>
      <c r="K120" s="367" t="str">
        <f aca="false">Idiomas!D190</f>
        <v>1º GRUPO K</v>
      </c>
      <c r="L120" s="354"/>
      <c r="M120" s="359" t="str">
        <f aca="false">IF(OR(SUM(WORLDCUP!$AN$86:$AN$89)=12,WORLDCUP!$AJ$99=144),WORLDCUP!AL86,LEFT(K120,1)&amp;RIGHT(K120,1))</f>
        <v>1K</v>
      </c>
      <c r="N120" s="332"/>
      <c r="O120" s="332"/>
      <c r="P120" s="332"/>
      <c r="Q120" s="332"/>
      <c r="R120" s="404"/>
      <c r="S120" s="363" t="s">
        <v>370</v>
      </c>
      <c r="T120" s="356" t="n">
        <f aca="false">($M120=S120)*$D$11</f>
        <v>0</v>
      </c>
      <c r="U120" s="407"/>
      <c r="V120" s="363" t="s">
        <v>370</v>
      </c>
      <c r="W120" s="356" t="n">
        <f aca="false">($M120=V120)*$D$11</f>
        <v>0</v>
      </c>
      <c r="X120" s="407"/>
      <c r="Y120" s="363" t="s">
        <v>370</v>
      </c>
      <c r="Z120" s="356" t="n">
        <f aca="false">($M120=Y120)*$D$11</f>
        <v>0</v>
      </c>
      <c r="AA120" s="407"/>
      <c r="AB120" s="363" t="s">
        <v>370</v>
      </c>
      <c r="AC120" s="356" t="n">
        <f aca="false">($M120=AB120)*$D$11</f>
        <v>0</v>
      </c>
      <c r="AD120" s="407"/>
      <c r="AE120" s="363" t="s">
        <v>370</v>
      </c>
      <c r="AF120" s="356" t="n">
        <f aca="false">($M120=AE120)*$D$11</f>
        <v>0</v>
      </c>
      <c r="AG120" s="407"/>
      <c r="AH120" s="363" t="s">
        <v>370</v>
      </c>
      <c r="AI120" s="356" t="n">
        <f aca="false">($M120=AH120)*$D$11</f>
        <v>0</v>
      </c>
      <c r="AJ120" s="407"/>
      <c r="AK120" s="363" t="s">
        <v>370</v>
      </c>
      <c r="AL120" s="356" t="n">
        <f aca="false">($M120=AK120)*$D$11</f>
        <v>0</v>
      </c>
      <c r="AM120" s="407"/>
      <c r="AN120" s="363" t="s">
        <v>370</v>
      </c>
      <c r="AO120" s="356" t="n">
        <f aca="false">($M120=AN120)*$D$11</f>
        <v>0</v>
      </c>
      <c r="AP120" s="407"/>
      <c r="AQ120" s="363" t="s">
        <v>370</v>
      </c>
      <c r="AR120" s="356" t="n">
        <f aca="false">($M120=AQ120)*$D$11</f>
        <v>0</v>
      </c>
      <c r="AS120" s="407"/>
      <c r="AT120" s="363" t="s">
        <v>370</v>
      </c>
      <c r="AU120" s="356" t="n">
        <f aca="false">($M120=AT120)*$D$11</f>
        <v>0</v>
      </c>
      <c r="AV120" s="407"/>
      <c r="AW120" s="363" t="s">
        <v>370</v>
      </c>
      <c r="AX120" s="356" t="n">
        <f aca="false">($M120=AW120)*$D$11</f>
        <v>0</v>
      </c>
      <c r="AY120" s="407"/>
      <c r="AZ120" s="363" t="s">
        <v>370</v>
      </c>
      <c r="BA120" s="356" t="n">
        <f aca="false">($M120=AZ120)*$D$11</f>
        <v>0</v>
      </c>
      <c r="BB120" s="407"/>
      <c r="BC120" s="363" t="s">
        <v>370</v>
      </c>
      <c r="BD120" s="356" t="n">
        <f aca="false">($M120=BC120)*$D$11</f>
        <v>0</v>
      </c>
      <c r="BE120" s="407"/>
      <c r="BF120" s="363" t="s">
        <v>370</v>
      </c>
      <c r="BG120" s="356" t="n">
        <f aca="false">($M120=BF120)*$D$11</f>
        <v>0</v>
      </c>
      <c r="BH120" s="407"/>
      <c r="BI120" s="363" t="s">
        <v>370</v>
      </c>
      <c r="BJ120" s="356" t="n">
        <f aca="false">($M120=BI120)*$D$11</f>
        <v>0</v>
      </c>
      <c r="BK120" s="407"/>
      <c r="BL120" s="363" t="s">
        <v>370</v>
      </c>
      <c r="BM120" s="356" t="n">
        <f aca="false">($M120=BL120)*$D$11</f>
        <v>0</v>
      </c>
      <c r="BN120" s="407"/>
      <c r="BO120" s="363" t="s">
        <v>370</v>
      </c>
      <c r="BP120" s="356" t="n">
        <f aca="false">($M120=BO120)*$D$11</f>
        <v>0</v>
      </c>
      <c r="BQ120" s="407"/>
      <c r="BR120" s="363" t="s">
        <v>370</v>
      </c>
      <c r="BS120" s="356" t="n">
        <f aca="false">($M120=BR120)*$D$11</f>
        <v>0</v>
      </c>
      <c r="BT120" s="407"/>
      <c r="BU120" s="363"/>
      <c r="BV120" s="356" t="n">
        <f aca="false">($M120=BU120)*$D$11</f>
        <v>0</v>
      </c>
      <c r="BW120" s="407"/>
      <c r="BX120" s="363"/>
      <c r="BY120" s="356" t="n">
        <f aca="false">($M120=BX120)*$D$11</f>
        <v>0</v>
      </c>
      <c r="BZ120" s="407"/>
      <c r="CA120" s="363"/>
      <c r="CB120" s="356" t="n">
        <f aca="false">($M120=CA120)*$D$11</f>
        <v>0</v>
      </c>
      <c r="CC120" s="407"/>
      <c r="CD120" s="363"/>
      <c r="CE120" s="356" t="n">
        <f aca="false">($M120=CD120)*$D$11</f>
        <v>0</v>
      </c>
      <c r="CF120" s="407"/>
      <c r="CG120" s="363"/>
      <c r="CH120" s="356" t="n">
        <f aca="false">($M120=CG120)*$D$11</f>
        <v>0</v>
      </c>
      <c r="CI120" s="407"/>
      <c r="CJ120" s="363"/>
      <c r="CK120" s="356" t="n">
        <f aca="false">($M120=CJ120)*$D$11</f>
        <v>0</v>
      </c>
      <c r="CL120" s="407"/>
      <c r="CM120" s="363"/>
      <c r="CN120" s="356" t="n">
        <f aca="false">($M120=CM120)*$D$11</f>
        <v>0</v>
      </c>
      <c r="CO120" s="407"/>
      <c r="CP120" s="363"/>
      <c r="CQ120" s="356" t="n">
        <f aca="false">($M120=CP120)*$D$11</f>
        <v>0</v>
      </c>
      <c r="CR120" s="407"/>
      <c r="CS120" s="363"/>
      <c r="CT120" s="356" t="n">
        <f aca="false">($M120=CS120)*$D$11</f>
        <v>0</v>
      </c>
      <c r="CU120" s="407"/>
      <c r="CV120" s="363"/>
      <c r="CW120" s="356" t="n">
        <f aca="false">($M120=CV120)*$D$11</f>
        <v>0</v>
      </c>
      <c r="CX120" s="407"/>
      <c r="CY120" s="363"/>
      <c r="CZ120" s="356" t="n">
        <f aca="false">($M120=CY120)*$D$11</f>
        <v>0</v>
      </c>
      <c r="DA120" s="407"/>
      <c r="DB120" s="363"/>
      <c r="DC120" s="356" t="n">
        <f aca="false">($M120=DB120)*$D$11</f>
        <v>0</v>
      </c>
      <c r="DD120" s="407"/>
      <c r="DE120" s="363"/>
      <c r="DF120" s="356" t="n">
        <f aca="false">($M120=DE120)*$D$11</f>
        <v>0</v>
      </c>
      <c r="DG120" s="407"/>
      <c r="DH120" s="363"/>
      <c r="DI120" s="356" t="n">
        <f aca="false">($M120=DH120)*$D$11</f>
        <v>0</v>
      </c>
      <c r="DJ120" s="407"/>
      <c r="DK120" s="363"/>
      <c r="DL120" s="356" t="n">
        <f aca="false">($M120=DK120)*$D$11</f>
        <v>0</v>
      </c>
      <c r="DM120" s="407"/>
      <c r="DN120" s="363"/>
      <c r="DO120" s="356" t="n">
        <f aca="false">($M120=DN120)*$D$11</f>
        <v>0</v>
      </c>
      <c r="DP120" s="407"/>
      <c r="DQ120" s="363"/>
      <c r="DR120" s="356" t="n">
        <f aca="false">($M120=DQ120)*$D$11</f>
        <v>0</v>
      </c>
      <c r="DS120" s="407"/>
      <c r="DT120" s="363"/>
      <c r="DU120" s="356" t="n">
        <f aca="false">($M120=DT120)*$D$11</f>
        <v>0</v>
      </c>
      <c r="DV120" s="407"/>
      <c r="DW120" s="363"/>
      <c r="DX120" s="356" t="n">
        <f aca="false">($M120=DW120)*$D$11</f>
        <v>0</v>
      </c>
      <c r="DY120" s="407"/>
      <c r="DZ120" s="363"/>
      <c r="EA120" s="356" t="n">
        <f aca="false">($M120=DZ120)*$D$11</f>
        <v>0</v>
      </c>
      <c r="EB120" s="407"/>
      <c r="EC120" s="363"/>
      <c r="ED120" s="356" t="n">
        <f aca="false">($M120=EC120)*$D$11</f>
        <v>0</v>
      </c>
      <c r="EE120" s="407"/>
      <c r="EF120" s="363"/>
      <c r="EG120" s="356" t="n">
        <f aca="false">($M120=EF120)*$D$11</f>
        <v>0</v>
      </c>
      <c r="EH120" s="407"/>
      <c r="EI120" s="407"/>
    </row>
    <row r="121" customFormat="false" ht="15" hidden="false" customHeight="false" outlineLevel="0" collapsed="false">
      <c r="A121" s="327"/>
      <c r="B121" s="327"/>
      <c r="C121" s="327"/>
      <c r="D121" s="327"/>
      <c r="E121" s="327"/>
      <c r="F121" s="328" t="n">
        <f aca="false">$D$12</f>
        <v>5</v>
      </c>
      <c r="G121" s="394" t="n">
        <f aca="false">VLOOKUP(H121,Equipos!$Q$1:$R$25,2,0)</f>
        <v>18</v>
      </c>
      <c r="H121" s="395" t="n">
        <f aca="false">$H$74</f>
        <v>46201</v>
      </c>
      <c r="I121" s="333"/>
      <c r="J121" s="408"/>
      <c r="K121" s="367" t="str">
        <f aca="false">Idiomas!D191</f>
        <v>2º GRUPO K</v>
      </c>
      <c r="L121" s="354"/>
      <c r="M121" s="359" t="str">
        <f aca="false">IF(OR(SUM(WORLDCUP!$AN$86:$AN$89)=12,WORLDCUP!$AJ$99=144),WORLDCUP!AL87,LEFT(K121,1)&amp;RIGHT(K121,1))</f>
        <v>2K</v>
      </c>
      <c r="N121" s="332"/>
      <c r="O121" s="332"/>
      <c r="P121" s="332"/>
      <c r="Q121" s="332"/>
      <c r="R121" s="404"/>
      <c r="S121" s="363" t="s">
        <v>371</v>
      </c>
      <c r="T121" s="356" t="n">
        <f aca="false">($M121=S121)*$D$12</f>
        <v>0</v>
      </c>
      <c r="U121" s="407"/>
      <c r="V121" s="363" t="s">
        <v>371</v>
      </c>
      <c r="W121" s="356" t="n">
        <f aca="false">($M121=V121)*$D$12</f>
        <v>0</v>
      </c>
      <c r="X121" s="407"/>
      <c r="Y121" s="363" t="s">
        <v>371</v>
      </c>
      <c r="Z121" s="356" t="n">
        <f aca="false">($M121=Y121)*$D$12</f>
        <v>0</v>
      </c>
      <c r="AA121" s="407"/>
      <c r="AB121" s="363" t="s">
        <v>371</v>
      </c>
      <c r="AC121" s="356" t="n">
        <f aca="false">($M121=AB121)*$D$12</f>
        <v>0</v>
      </c>
      <c r="AD121" s="407"/>
      <c r="AE121" s="363" t="s">
        <v>371</v>
      </c>
      <c r="AF121" s="356" t="n">
        <f aca="false">($M121=AE121)*$D$12</f>
        <v>0</v>
      </c>
      <c r="AG121" s="407"/>
      <c r="AH121" s="363" t="s">
        <v>371</v>
      </c>
      <c r="AI121" s="356" t="n">
        <f aca="false">($M121=AH121)*$D$12</f>
        <v>0</v>
      </c>
      <c r="AJ121" s="407"/>
      <c r="AK121" s="363" t="s">
        <v>371</v>
      </c>
      <c r="AL121" s="356" t="n">
        <f aca="false">($M121=AK121)*$D$12</f>
        <v>0</v>
      </c>
      <c r="AM121" s="407"/>
      <c r="AN121" s="363" t="s">
        <v>371</v>
      </c>
      <c r="AO121" s="356" t="n">
        <f aca="false">($M121=AN121)*$D$12</f>
        <v>0</v>
      </c>
      <c r="AP121" s="407"/>
      <c r="AQ121" s="363" t="s">
        <v>371</v>
      </c>
      <c r="AR121" s="356" t="n">
        <f aca="false">($M121=AQ121)*$D$12</f>
        <v>0</v>
      </c>
      <c r="AS121" s="407"/>
      <c r="AT121" s="363" t="s">
        <v>371</v>
      </c>
      <c r="AU121" s="356" t="n">
        <f aca="false">($M121=AT121)*$D$12</f>
        <v>0</v>
      </c>
      <c r="AV121" s="407"/>
      <c r="AW121" s="363" t="s">
        <v>371</v>
      </c>
      <c r="AX121" s="356" t="n">
        <f aca="false">($M121=AW121)*$D$12</f>
        <v>0</v>
      </c>
      <c r="AY121" s="407"/>
      <c r="AZ121" s="363" t="s">
        <v>371</v>
      </c>
      <c r="BA121" s="356" t="n">
        <f aca="false">($M121=AZ121)*$D$12</f>
        <v>0</v>
      </c>
      <c r="BB121" s="407"/>
      <c r="BC121" s="363" t="s">
        <v>371</v>
      </c>
      <c r="BD121" s="356" t="n">
        <f aca="false">($M121=BC121)*$D$12</f>
        <v>0</v>
      </c>
      <c r="BE121" s="407"/>
      <c r="BF121" s="363" t="s">
        <v>371</v>
      </c>
      <c r="BG121" s="356" t="n">
        <f aca="false">($M121=BF121)*$D$12</f>
        <v>0</v>
      </c>
      <c r="BH121" s="407"/>
      <c r="BI121" s="363" t="s">
        <v>371</v>
      </c>
      <c r="BJ121" s="356" t="n">
        <f aca="false">($M121=BI121)*$D$12</f>
        <v>0</v>
      </c>
      <c r="BK121" s="407"/>
      <c r="BL121" s="363" t="s">
        <v>371</v>
      </c>
      <c r="BM121" s="356" t="n">
        <f aca="false">($M121=BL121)*$D$12</f>
        <v>0</v>
      </c>
      <c r="BN121" s="407"/>
      <c r="BO121" s="363" t="s">
        <v>371</v>
      </c>
      <c r="BP121" s="356" t="n">
        <f aca="false">($M121=BO121)*$D$12</f>
        <v>0</v>
      </c>
      <c r="BQ121" s="407"/>
      <c r="BR121" s="363" t="s">
        <v>371</v>
      </c>
      <c r="BS121" s="356" t="n">
        <f aca="false">($M121=BR121)*$D$12</f>
        <v>0</v>
      </c>
      <c r="BT121" s="407"/>
      <c r="BU121" s="363"/>
      <c r="BV121" s="356" t="n">
        <f aca="false">($M121=BU121)*$D$12</f>
        <v>0</v>
      </c>
      <c r="BW121" s="407"/>
      <c r="BX121" s="363"/>
      <c r="BY121" s="356" t="n">
        <f aca="false">($M121=BX121)*$D$12</f>
        <v>0</v>
      </c>
      <c r="BZ121" s="407"/>
      <c r="CA121" s="363"/>
      <c r="CB121" s="356" t="n">
        <f aca="false">($M121=CA121)*$D$12</f>
        <v>0</v>
      </c>
      <c r="CC121" s="407"/>
      <c r="CD121" s="363"/>
      <c r="CE121" s="356" t="n">
        <f aca="false">($M121=CD121)*$D$12</f>
        <v>0</v>
      </c>
      <c r="CF121" s="407"/>
      <c r="CG121" s="363"/>
      <c r="CH121" s="356" t="n">
        <f aca="false">($M121=CG121)*$D$12</f>
        <v>0</v>
      </c>
      <c r="CI121" s="407"/>
      <c r="CJ121" s="363"/>
      <c r="CK121" s="356" t="n">
        <f aca="false">($M121=CJ121)*$D$12</f>
        <v>0</v>
      </c>
      <c r="CL121" s="407"/>
      <c r="CM121" s="363"/>
      <c r="CN121" s="356" t="n">
        <f aca="false">($M121=CM121)*$D$12</f>
        <v>0</v>
      </c>
      <c r="CO121" s="407"/>
      <c r="CP121" s="363"/>
      <c r="CQ121" s="356" t="n">
        <f aca="false">($M121=CP121)*$D$12</f>
        <v>0</v>
      </c>
      <c r="CR121" s="407"/>
      <c r="CS121" s="363"/>
      <c r="CT121" s="356" t="n">
        <f aca="false">($M121=CS121)*$D$12</f>
        <v>0</v>
      </c>
      <c r="CU121" s="407"/>
      <c r="CV121" s="363"/>
      <c r="CW121" s="356" t="n">
        <f aca="false">($M121=CV121)*$D$12</f>
        <v>0</v>
      </c>
      <c r="CX121" s="407"/>
      <c r="CY121" s="363"/>
      <c r="CZ121" s="356" t="n">
        <f aca="false">($M121=CY121)*$D$12</f>
        <v>0</v>
      </c>
      <c r="DA121" s="407"/>
      <c r="DB121" s="363"/>
      <c r="DC121" s="356" t="n">
        <f aca="false">($M121=DB121)*$D$12</f>
        <v>0</v>
      </c>
      <c r="DD121" s="407"/>
      <c r="DE121" s="363"/>
      <c r="DF121" s="356" t="n">
        <f aca="false">($M121=DE121)*$D$12</f>
        <v>0</v>
      </c>
      <c r="DG121" s="407"/>
      <c r="DH121" s="363"/>
      <c r="DI121" s="356" t="n">
        <f aca="false">($M121=DH121)*$D$12</f>
        <v>0</v>
      </c>
      <c r="DJ121" s="407"/>
      <c r="DK121" s="363"/>
      <c r="DL121" s="356" t="n">
        <f aca="false">($M121=DK121)*$D$12</f>
        <v>0</v>
      </c>
      <c r="DM121" s="407"/>
      <c r="DN121" s="363"/>
      <c r="DO121" s="356" t="n">
        <f aca="false">($M121=DN121)*$D$12</f>
        <v>0</v>
      </c>
      <c r="DP121" s="407"/>
      <c r="DQ121" s="363"/>
      <c r="DR121" s="356" t="n">
        <f aca="false">($M121=DQ121)*$D$12</f>
        <v>0</v>
      </c>
      <c r="DS121" s="407"/>
      <c r="DT121" s="363"/>
      <c r="DU121" s="356" t="n">
        <f aca="false">($M121=DT121)*$D$12</f>
        <v>0</v>
      </c>
      <c r="DV121" s="407"/>
      <c r="DW121" s="363"/>
      <c r="DX121" s="356" t="n">
        <f aca="false">($M121=DW121)*$D$12</f>
        <v>0</v>
      </c>
      <c r="DY121" s="407"/>
      <c r="DZ121" s="363"/>
      <c r="EA121" s="356" t="n">
        <f aca="false">($M121=DZ121)*$D$12</f>
        <v>0</v>
      </c>
      <c r="EB121" s="407"/>
      <c r="EC121" s="363"/>
      <c r="ED121" s="356" t="n">
        <f aca="false">($M121=EC121)*$D$12</f>
        <v>0</v>
      </c>
      <c r="EE121" s="407"/>
      <c r="EF121" s="363"/>
      <c r="EG121" s="356" t="n">
        <f aca="false">($M121=EF121)*$D$12</f>
        <v>0</v>
      </c>
      <c r="EH121" s="407"/>
      <c r="EI121" s="407"/>
    </row>
    <row r="122" customFormat="false" ht="15" hidden="false" customHeight="false" outlineLevel="0" collapsed="false">
      <c r="A122" s="327"/>
      <c r="B122" s="327"/>
      <c r="C122" s="327"/>
      <c r="D122" s="327"/>
      <c r="E122" s="327"/>
      <c r="F122" s="328" t="n">
        <f aca="false">$D$13</f>
        <v>5</v>
      </c>
      <c r="G122" s="394" t="n">
        <f aca="false">VLOOKUP(H122,Equipos!$Q$1:$R$25,2,0)</f>
        <v>18</v>
      </c>
      <c r="H122" s="395" t="n">
        <f aca="false">$H$74</f>
        <v>46201</v>
      </c>
      <c r="I122" s="333"/>
      <c r="J122" s="408"/>
      <c r="K122" s="367" t="str">
        <f aca="false">Idiomas!D192</f>
        <v>3º GRUPO K</v>
      </c>
      <c r="L122" s="354"/>
      <c r="M122" s="359" t="str">
        <f aca="false">IF(OR(SUM(WORLDCUP!$AN$86:$AN$89)=12,WORLDCUP!$AJ$99=144),WORLDCUP!AL88,LEFT(K122,1)&amp;RIGHT(K122,1))</f>
        <v>3K</v>
      </c>
      <c r="N122" s="332"/>
      <c r="O122" s="332"/>
      <c r="P122" s="332"/>
      <c r="Q122" s="332"/>
      <c r="R122" s="404"/>
      <c r="S122" s="363" t="s">
        <v>372</v>
      </c>
      <c r="T122" s="356" t="n">
        <f aca="false">($M122=S122)*$D$13</f>
        <v>0</v>
      </c>
      <c r="U122" s="407"/>
      <c r="V122" s="363" t="s">
        <v>372</v>
      </c>
      <c r="W122" s="356" t="n">
        <f aca="false">($M122=V122)*$D$13</f>
        <v>0</v>
      </c>
      <c r="X122" s="407"/>
      <c r="Y122" s="363" t="s">
        <v>372</v>
      </c>
      <c r="Z122" s="356" t="n">
        <f aca="false">($M122=Y122)*$D$13</f>
        <v>0</v>
      </c>
      <c r="AA122" s="407"/>
      <c r="AB122" s="363" t="s">
        <v>373</v>
      </c>
      <c r="AC122" s="356" t="n">
        <f aca="false">($M122=AB122)*$D$13</f>
        <v>0</v>
      </c>
      <c r="AD122" s="407"/>
      <c r="AE122" s="363" t="s">
        <v>372</v>
      </c>
      <c r="AF122" s="356" t="n">
        <f aca="false">($M122=AE122)*$D$13</f>
        <v>0</v>
      </c>
      <c r="AG122" s="407"/>
      <c r="AH122" s="363" t="s">
        <v>373</v>
      </c>
      <c r="AI122" s="356" t="n">
        <f aca="false">($M122=AH122)*$D$13</f>
        <v>0</v>
      </c>
      <c r="AJ122" s="407"/>
      <c r="AK122" s="363" t="s">
        <v>373</v>
      </c>
      <c r="AL122" s="356" t="n">
        <f aca="false">($M122=AK122)*$D$13</f>
        <v>0</v>
      </c>
      <c r="AM122" s="407"/>
      <c r="AN122" s="363" t="s">
        <v>372</v>
      </c>
      <c r="AO122" s="356" t="n">
        <f aca="false">($M122=AN122)*$D$13</f>
        <v>0</v>
      </c>
      <c r="AP122" s="407"/>
      <c r="AQ122" s="363" t="s">
        <v>373</v>
      </c>
      <c r="AR122" s="356" t="n">
        <f aca="false">($M122=AQ122)*$D$13</f>
        <v>0</v>
      </c>
      <c r="AS122" s="407"/>
      <c r="AT122" s="363" t="s">
        <v>373</v>
      </c>
      <c r="AU122" s="356" t="n">
        <f aca="false">($M122=AT122)*$D$13</f>
        <v>0</v>
      </c>
      <c r="AV122" s="407"/>
      <c r="AW122" s="363" t="s">
        <v>373</v>
      </c>
      <c r="AX122" s="356" t="n">
        <f aca="false">($M122=AW122)*$D$13</f>
        <v>0</v>
      </c>
      <c r="AY122" s="407"/>
      <c r="AZ122" s="363" t="s">
        <v>373</v>
      </c>
      <c r="BA122" s="356" t="n">
        <f aca="false">($M122=AZ122)*$D$13</f>
        <v>0</v>
      </c>
      <c r="BB122" s="407"/>
      <c r="BC122" s="363" t="s">
        <v>372</v>
      </c>
      <c r="BD122" s="356" t="n">
        <f aca="false">($M122=BC122)*$D$13</f>
        <v>0</v>
      </c>
      <c r="BE122" s="407"/>
      <c r="BF122" s="363" t="s">
        <v>372</v>
      </c>
      <c r="BG122" s="356" t="n">
        <f aca="false">($M122=BF122)*$D$13</f>
        <v>0</v>
      </c>
      <c r="BH122" s="407"/>
      <c r="BI122" s="363" t="s">
        <v>372</v>
      </c>
      <c r="BJ122" s="356" t="n">
        <f aca="false">($M122=BI122)*$D$13</f>
        <v>0</v>
      </c>
      <c r="BK122" s="407"/>
      <c r="BL122" s="363" t="s">
        <v>372</v>
      </c>
      <c r="BM122" s="356" t="n">
        <f aca="false">($M122=BL122)*$D$13</f>
        <v>0</v>
      </c>
      <c r="BN122" s="407"/>
      <c r="BO122" s="363" t="s">
        <v>372</v>
      </c>
      <c r="BP122" s="356" t="n">
        <f aca="false">($M122=BO122)*$D$13</f>
        <v>0</v>
      </c>
      <c r="BQ122" s="407"/>
      <c r="BR122" s="363" t="s">
        <v>372</v>
      </c>
      <c r="BS122" s="356" t="n">
        <f aca="false">($M122=BR122)*$D$13</f>
        <v>0</v>
      </c>
      <c r="BT122" s="407"/>
      <c r="BU122" s="363"/>
      <c r="BV122" s="356" t="n">
        <f aca="false">($M122=BU122)*$D$13</f>
        <v>0</v>
      </c>
      <c r="BW122" s="407"/>
      <c r="BX122" s="363"/>
      <c r="BY122" s="356" t="n">
        <f aca="false">($M122=BX122)*$D$13</f>
        <v>0</v>
      </c>
      <c r="BZ122" s="407"/>
      <c r="CA122" s="363"/>
      <c r="CB122" s="356" t="n">
        <f aca="false">($M122=CA122)*$D$13</f>
        <v>0</v>
      </c>
      <c r="CC122" s="407"/>
      <c r="CD122" s="363"/>
      <c r="CE122" s="356" t="n">
        <f aca="false">($M122=CD122)*$D$13</f>
        <v>0</v>
      </c>
      <c r="CF122" s="407"/>
      <c r="CG122" s="363"/>
      <c r="CH122" s="356" t="n">
        <f aca="false">($M122=CG122)*$D$13</f>
        <v>0</v>
      </c>
      <c r="CI122" s="407"/>
      <c r="CJ122" s="363"/>
      <c r="CK122" s="356" t="n">
        <f aca="false">($M122=CJ122)*$D$13</f>
        <v>0</v>
      </c>
      <c r="CL122" s="407"/>
      <c r="CM122" s="363"/>
      <c r="CN122" s="356" t="n">
        <f aca="false">($M122=CM122)*$D$13</f>
        <v>0</v>
      </c>
      <c r="CO122" s="407"/>
      <c r="CP122" s="363"/>
      <c r="CQ122" s="356" t="n">
        <f aca="false">($M122=CP122)*$D$13</f>
        <v>0</v>
      </c>
      <c r="CR122" s="407"/>
      <c r="CS122" s="363"/>
      <c r="CT122" s="356" t="n">
        <f aca="false">($M122=CS122)*$D$13</f>
        <v>0</v>
      </c>
      <c r="CU122" s="407"/>
      <c r="CV122" s="363"/>
      <c r="CW122" s="356" t="n">
        <f aca="false">($M122=CV122)*$D$13</f>
        <v>0</v>
      </c>
      <c r="CX122" s="407"/>
      <c r="CY122" s="363"/>
      <c r="CZ122" s="356" t="n">
        <f aca="false">($M122=CY122)*$D$13</f>
        <v>0</v>
      </c>
      <c r="DA122" s="407"/>
      <c r="DB122" s="363"/>
      <c r="DC122" s="356" t="n">
        <f aca="false">($M122=DB122)*$D$13</f>
        <v>0</v>
      </c>
      <c r="DD122" s="407"/>
      <c r="DE122" s="363"/>
      <c r="DF122" s="356" t="n">
        <f aca="false">($M122=DE122)*$D$13</f>
        <v>0</v>
      </c>
      <c r="DG122" s="407"/>
      <c r="DH122" s="363"/>
      <c r="DI122" s="356" t="n">
        <f aca="false">($M122=DH122)*$D$13</f>
        <v>0</v>
      </c>
      <c r="DJ122" s="407"/>
      <c r="DK122" s="363"/>
      <c r="DL122" s="356" t="n">
        <f aca="false">($M122=DK122)*$D$13</f>
        <v>0</v>
      </c>
      <c r="DM122" s="407"/>
      <c r="DN122" s="363"/>
      <c r="DO122" s="356" t="n">
        <f aca="false">($M122=DN122)*$D$13</f>
        <v>0</v>
      </c>
      <c r="DP122" s="407"/>
      <c r="DQ122" s="363"/>
      <c r="DR122" s="356" t="n">
        <f aca="false">($M122=DQ122)*$D$13</f>
        <v>0</v>
      </c>
      <c r="DS122" s="407"/>
      <c r="DT122" s="363"/>
      <c r="DU122" s="356" t="n">
        <f aca="false">($M122=DT122)*$D$13</f>
        <v>0</v>
      </c>
      <c r="DV122" s="407"/>
      <c r="DW122" s="363"/>
      <c r="DX122" s="356" t="n">
        <f aca="false">($M122=DW122)*$D$13</f>
        <v>0</v>
      </c>
      <c r="DY122" s="407"/>
      <c r="DZ122" s="363"/>
      <c r="EA122" s="356" t="n">
        <f aca="false">($M122=DZ122)*$D$13</f>
        <v>0</v>
      </c>
      <c r="EB122" s="407"/>
      <c r="EC122" s="363"/>
      <c r="ED122" s="356" t="n">
        <f aca="false">($M122=EC122)*$D$13</f>
        <v>0</v>
      </c>
      <c r="EE122" s="407"/>
      <c r="EF122" s="363"/>
      <c r="EG122" s="356" t="n">
        <f aca="false">($M122=EF122)*$D$13</f>
        <v>0</v>
      </c>
      <c r="EH122" s="407"/>
      <c r="EI122" s="407"/>
    </row>
    <row r="123" customFormat="false" ht="15" hidden="false" customHeight="false" outlineLevel="0" collapsed="false">
      <c r="A123" s="327"/>
      <c r="B123" s="327"/>
      <c r="C123" s="327"/>
      <c r="D123" s="327"/>
      <c r="E123" s="327"/>
      <c r="F123" s="328" t="n">
        <f aca="false">$D$14</f>
        <v>5</v>
      </c>
      <c r="G123" s="394" t="n">
        <f aca="false">VLOOKUP(H123,Equipos!$Q$1:$R$25,2,0)</f>
        <v>18</v>
      </c>
      <c r="H123" s="395" t="n">
        <f aca="false">$H$74</f>
        <v>46201</v>
      </c>
      <c r="I123" s="333"/>
      <c r="J123" s="408"/>
      <c r="K123" s="367" t="str">
        <f aca="false">Idiomas!D193</f>
        <v>4º GRUPO K</v>
      </c>
      <c r="L123" s="354"/>
      <c r="M123" s="359" t="str">
        <f aca="false">IF(OR(SUM(WORLDCUP!$AN$86:$AN$89)=12,WORLDCUP!$AJ$99=144),WORLDCUP!AL89,LEFT(K123,1)&amp;RIGHT(K123,1))</f>
        <v>4K</v>
      </c>
      <c r="N123" s="332"/>
      <c r="O123" s="332"/>
      <c r="P123" s="332"/>
      <c r="Q123" s="332"/>
      <c r="R123" s="404"/>
      <c r="S123" s="363" t="s">
        <v>373</v>
      </c>
      <c r="T123" s="356" t="n">
        <f aca="false">($M123=S123)*$D$14</f>
        <v>0</v>
      </c>
      <c r="U123" s="407"/>
      <c r="V123" s="363" t="s">
        <v>373</v>
      </c>
      <c r="W123" s="356" t="n">
        <f aca="false">($M123=V123)*$D$14</f>
        <v>0</v>
      </c>
      <c r="X123" s="407"/>
      <c r="Y123" s="363" t="s">
        <v>373</v>
      </c>
      <c r="Z123" s="356" t="n">
        <f aca="false">($M123=Y123)*$D$14</f>
        <v>0</v>
      </c>
      <c r="AA123" s="407"/>
      <c r="AB123" s="363" t="s">
        <v>372</v>
      </c>
      <c r="AC123" s="356" t="n">
        <f aca="false">($M123=AB123)*$D$14</f>
        <v>0</v>
      </c>
      <c r="AD123" s="407"/>
      <c r="AE123" s="363" t="s">
        <v>373</v>
      </c>
      <c r="AF123" s="356" t="n">
        <f aca="false">($M123=AE123)*$D$14</f>
        <v>0</v>
      </c>
      <c r="AG123" s="407"/>
      <c r="AH123" s="363" t="s">
        <v>372</v>
      </c>
      <c r="AI123" s="356" t="n">
        <f aca="false">($M123=AH123)*$D$14</f>
        <v>0</v>
      </c>
      <c r="AJ123" s="407"/>
      <c r="AK123" s="363" t="s">
        <v>372</v>
      </c>
      <c r="AL123" s="356" t="n">
        <f aca="false">($M123=AK123)*$D$14</f>
        <v>0</v>
      </c>
      <c r="AM123" s="407"/>
      <c r="AN123" s="363" t="s">
        <v>373</v>
      </c>
      <c r="AO123" s="356" t="n">
        <f aca="false">($M123=AN123)*$D$14</f>
        <v>0</v>
      </c>
      <c r="AP123" s="407"/>
      <c r="AQ123" s="363" t="s">
        <v>372</v>
      </c>
      <c r="AR123" s="356" t="n">
        <f aca="false">($M123=AQ123)*$D$14</f>
        <v>0</v>
      </c>
      <c r="AS123" s="407"/>
      <c r="AT123" s="363" t="s">
        <v>372</v>
      </c>
      <c r="AU123" s="356" t="n">
        <f aca="false">($M123=AT123)*$D$14</f>
        <v>0</v>
      </c>
      <c r="AV123" s="407"/>
      <c r="AW123" s="363" t="s">
        <v>372</v>
      </c>
      <c r="AX123" s="356" t="n">
        <f aca="false">($M123=AW123)*$D$14</f>
        <v>0</v>
      </c>
      <c r="AY123" s="407"/>
      <c r="AZ123" s="363" t="s">
        <v>372</v>
      </c>
      <c r="BA123" s="356" t="n">
        <f aca="false">($M123=AZ123)*$D$14</f>
        <v>0</v>
      </c>
      <c r="BB123" s="407"/>
      <c r="BC123" s="363" t="s">
        <v>373</v>
      </c>
      <c r="BD123" s="356" t="n">
        <f aca="false">($M123=BC123)*$D$14</f>
        <v>0</v>
      </c>
      <c r="BE123" s="407"/>
      <c r="BF123" s="363" t="s">
        <v>373</v>
      </c>
      <c r="BG123" s="356" t="n">
        <f aca="false">($M123=BF123)*$D$14</f>
        <v>0</v>
      </c>
      <c r="BH123" s="407"/>
      <c r="BI123" s="363" t="s">
        <v>373</v>
      </c>
      <c r="BJ123" s="356" t="n">
        <f aca="false">($M123=BI123)*$D$14</f>
        <v>0</v>
      </c>
      <c r="BK123" s="407"/>
      <c r="BL123" s="363" t="s">
        <v>373</v>
      </c>
      <c r="BM123" s="356" t="n">
        <f aca="false">($M123=BL123)*$D$14</f>
        <v>0</v>
      </c>
      <c r="BN123" s="407"/>
      <c r="BO123" s="363" t="s">
        <v>373</v>
      </c>
      <c r="BP123" s="356" t="n">
        <f aca="false">($M123=BO123)*$D$14</f>
        <v>0</v>
      </c>
      <c r="BQ123" s="407"/>
      <c r="BR123" s="363" t="s">
        <v>373</v>
      </c>
      <c r="BS123" s="356" t="n">
        <f aca="false">($M123=BR123)*$D$14</f>
        <v>0</v>
      </c>
      <c r="BT123" s="407"/>
      <c r="BU123" s="363"/>
      <c r="BV123" s="356" t="n">
        <f aca="false">($M123=BU123)*$D$14</f>
        <v>0</v>
      </c>
      <c r="BW123" s="407"/>
      <c r="BX123" s="363"/>
      <c r="BY123" s="356" t="n">
        <f aca="false">($M123=BX123)*$D$14</f>
        <v>0</v>
      </c>
      <c r="BZ123" s="407"/>
      <c r="CA123" s="363"/>
      <c r="CB123" s="356" t="n">
        <f aca="false">($M123=CA123)*$D$14</f>
        <v>0</v>
      </c>
      <c r="CC123" s="407"/>
      <c r="CD123" s="363"/>
      <c r="CE123" s="356" t="n">
        <f aca="false">($M123=CD123)*$D$14</f>
        <v>0</v>
      </c>
      <c r="CF123" s="407"/>
      <c r="CG123" s="363"/>
      <c r="CH123" s="356" t="n">
        <f aca="false">($M123=CG123)*$D$14</f>
        <v>0</v>
      </c>
      <c r="CI123" s="407"/>
      <c r="CJ123" s="363"/>
      <c r="CK123" s="356" t="n">
        <f aca="false">($M123=CJ123)*$D$14</f>
        <v>0</v>
      </c>
      <c r="CL123" s="407"/>
      <c r="CM123" s="363"/>
      <c r="CN123" s="356" t="n">
        <f aca="false">($M123=CM123)*$D$14</f>
        <v>0</v>
      </c>
      <c r="CO123" s="407"/>
      <c r="CP123" s="363"/>
      <c r="CQ123" s="356" t="n">
        <f aca="false">($M123=CP123)*$D$14</f>
        <v>0</v>
      </c>
      <c r="CR123" s="407"/>
      <c r="CS123" s="363"/>
      <c r="CT123" s="356" t="n">
        <f aca="false">($M123=CS123)*$D$14</f>
        <v>0</v>
      </c>
      <c r="CU123" s="407"/>
      <c r="CV123" s="363"/>
      <c r="CW123" s="356" t="n">
        <f aca="false">($M123=CV123)*$D$14</f>
        <v>0</v>
      </c>
      <c r="CX123" s="407"/>
      <c r="CY123" s="363"/>
      <c r="CZ123" s="356" t="n">
        <f aca="false">($M123=CY123)*$D$14</f>
        <v>0</v>
      </c>
      <c r="DA123" s="407"/>
      <c r="DB123" s="363"/>
      <c r="DC123" s="356" t="n">
        <f aca="false">($M123=DB123)*$D$14</f>
        <v>0</v>
      </c>
      <c r="DD123" s="407"/>
      <c r="DE123" s="363"/>
      <c r="DF123" s="356" t="n">
        <f aca="false">($M123=DE123)*$D$14</f>
        <v>0</v>
      </c>
      <c r="DG123" s="407"/>
      <c r="DH123" s="363"/>
      <c r="DI123" s="356" t="n">
        <f aca="false">($M123=DH123)*$D$14</f>
        <v>0</v>
      </c>
      <c r="DJ123" s="407"/>
      <c r="DK123" s="363"/>
      <c r="DL123" s="356" t="n">
        <f aca="false">($M123=DK123)*$D$14</f>
        <v>0</v>
      </c>
      <c r="DM123" s="407"/>
      <c r="DN123" s="363"/>
      <c r="DO123" s="356" t="n">
        <f aca="false">($M123=DN123)*$D$14</f>
        <v>0</v>
      </c>
      <c r="DP123" s="407"/>
      <c r="DQ123" s="363"/>
      <c r="DR123" s="356" t="n">
        <f aca="false">($M123=DQ123)*$D$14</f>
        <v>0</v>
      </c>
      <c r="DS123" s="407"/>
      <c r="DT123" s="363"/>
      <c r="DU123" s="356" t="n">
        <f aca="false">($M123=DT123)*$D$14</f>
        <v>0</v>
      </c>
      <c r="DV123" s="407"/>
      <c r="DW123" s="363"/>
      <c r="DX123" s="356" t="n">
        <f aca="false">($M123=DW123)*$D$14</f>
        <v>0</v>
      </c>
      <c r="DY123" s="407"/>
      <c r="DZ123" s="363"/>
      <c r="EA123" s="356" t="n">
        <f aca="false">($M123=DZ123)*$D$14</f>
        <v>0</v>
      </c>
      <c r="EB123" s="407"/>
      <c r="EC123" s="363"/>
      <c r="ED123" s="356" t="n">
        <f aca="false">($M123=EC123)*$D$14</f>
        <v>0</v>
      </c>
      <c r="EE123" s="407"/>
      <c r="EF123" s="363"/>
      <c r="EG123" s="356" t="n">
        <f aca="false">($M123=EF123)*$D$14</f>
        <v>0</v>
      </c>
      <c r="EH123" s="407"/>
      <c r="EI123" s="407"/>
    </row>
    <row r="124" customFormat="false" ht="15" hidden="false" customHeight="false" outlineLevel="0" collapsed="false">
      <c r="A124" s="327"/>
      <c r="B124" s="327"/>
      <c r="C124" s="327"/>
      <c r="D124" s="327"/>
      <c r="E124" s="327"/>
      <c r="F124" s="328" t="n">
        <f aca="false">$D$11</f>
        <v>5</v>
      </c>
      <c r="G124" s="394" t="n">
        <f aca="false">VLOOKUP(H124,Equipos!$Q$1:$R$25,2,0)</f>
        <v>18</v>
      </c>
      <c r="H124" s="395" t="n">
        <f aca="false">$H$76</f>
        <v>46201</v>
      </c>
      <c r="I124" s="333"/>
      <c r="J124" s="409" t="s">
        <v>137</v>
      </c>
      <c r="K124" s="367" t="str">
        <f aca="false">Idiomas!D194</f>
        <v>1º GRUPO L</v>
      </c>
      <c r="L124" s="354"/>
      <c r="M124" s="359" t="str">
        <f aca="false">IF(OR(SUM(WORLDCUP!$AN$94:$AN$97)=12,WORLDCUP!$AJ$99=144),WORLDCUP!AL94,LEFT(K124,1)&amp;RIGHT(K124,1))</f>
        <v>1L</v>
      </c>
      <c r="N124" s="332"/>
      <c r="O124" s="332"/>
      <c r="P124" s="332"/>
      <c r="Q124" s="332"/>
      <c r="R124" s="404"/>
      <c r="S124" s="363" t="s">
        <v>374</v>
      </c>
      <c r="T124" s="356" t="n">
        <f aca="false">($M124=S124)*$D$11</f>
        <v>0</v>
      </c>
      <c r="U124" s="407"/>
      <c r="V124" s="363" t="s">
        <v>374</v>
      </c>
      <c r="W124" s="356" t="n">
        <f aca="false">($M124=V124)*$D$11</f>
        <v>0</v>
      </c>
      <c r="X124" s="407"/>
      <c r="Y124" s="363" t="s">
        <v>374</v>
      </c>
      <c r="Z124" s="356" t="n">
        <f aca="false">($M124=Y124)*$D$11</f>
        <v>0</v>
      </c>
      <c r="AA124" s="407"/>
      <c r="AB124" s="363" t="s">
        <v>375</v>
      </c>
      <c r="AC124" s="356" t="n">
        <f aca="false">($M124=AB124)*$D$11</f>
        <v>0</v>
      </c>
      <c r="AD124" s="407"/>
      <c r="AE124" s="363" t="s">
        <v>374</v>
      </c>
      <c r="AF124" s="356" t="n">
        <f aca="false">($M124=AE124)*$D$11</f>
        <v>0</v>
      </c>
      <c r="AG124" s="407"/>
      <c r="AH124" s="363" t="s">
        <v>374</v>
      </c>
      <c r="AI124" s="356" t="n">
        <f aca="false">($M124=AH124)*$D$11</f>
        <v>0</v>
      </c>
      <c r="AJ124" s="407"/>
      <c r="AK124" s="363" t="s">
        <v>374</v>
      </c>
      <c r="AL124" s="356" t="n">
        <f aca="false">($M124=AK124)*$D$11</f>
        <v>0</v>
      </c>
      <c r="AM124" s="407"/>
      <c r="AN124" s="363" t="s">
        <v>374</v>
      </c>
      <c r="AO124" s="356" t="n">
        <f aca="false">($M124=AN124)*$D$11</f>
        <v>0</v>
      </c>
      <c r="AP124" s="407"/>
      <c r="AQ124" s="363" t="s">
        <v>374</v>
      </c>
      <c r="AR124" s="356" t="n">
        <f aca="false">($M124=AQ124)*$D$11</f>
        <v>0</v>
      </c>
      <c r="AS124" s="407"/>
      <c r="AT124" s="363" t="s">
        <v>374</v>
      </c>
      <c r="AU124" s="356" t="n">
        <f aca="false">($M124=AT124)*$D$11</f>
        <v>0</v>
      </c>
      <c r="AV124" s="407"/>
      <c r="AW124" s="363" t="s">
        <v>374</v>
      </c>
      <c r="AX124" s="356" t="n">
        <f aca="false">($M124=AW124)*$D$11</f>
        <v>0</v>
      </c>
      <c r="AY124" s="407"/>
      <c r="AZ124" s="363" t="s">
        <v>374</v>
      </c>
      <c r="BA124" s="356" t="n">
        <f aca="false">($M124=AZ124)*$D$11</f>
        <v>0</v>
      </c>
      <c r="BB124" s="407"/>
      <c r="BC124" s="363" t="s">
        <v>376</v>
      </c>
      <c r="BD124" s="356" t="n">
        <f aca="false">($M124=BC124)*$D$11</f>
        <v>0</v>
      </c>
      <c r="BE124" s="407"/>
      <c r="BF124" s="363" t="s">
        <v>374</v>
      </c>
      <c r="BG124" s="356" t="n">
        <f aca="false">($M124=BF124)*$D$11</f>
        <v>0</v>
      </c>
      <c r="BH124" s="407"/>
      <c r="BI124" s="363" t="s">
        <v>374</v>
      </c>
      <c r="BJ124" s="356" t="n">
        <f aca="false">($M124=BI124)*$D$11</f>
        <v>0</v>
      </c>
      <c r="BK124" s="407"/>
      <c r="BL124" s="363" t="s">
        <v>374</v>
      </c>
      <c r="BM124" s="356" t="n">
        <f aca="false">($M124=BL124)*$D$11</f>
        <v>0</v>
      </c>
      <c r="BN124" s="407"/>
      <c r="BO124" s="363" t="s">
        <v>374</v>
      </c>
      <c r="BP124" s="356" t="n">
        <f aca="false">($M124=BO124)*$D$11</f>
        <v>0</v>
      </c>
      <c r="BQ124" s="407"/>
      <c r="BR124" s="363" t="s">
        <v>374</v>
      </c>
      <c r="BS124" s="356" t="n">
        <f aca="false">($M124=BR124)*$D$11</f>
        <v>0</v>
      </c>
      <c r="BT124" s="407"/>
      <c r="BU124" s="363"/>
      <c r="BV124" s="356" t="n">
        <f aca="false">($M124=BU124)*$D$11</f>
        <v>0</v>
      </c>
      <c r="BW124" s="407"/>
      <c r="BX124" s="363"/>
      <c r="BY124" s="356" t="n">
        <f aca="false">($M124=BX124)*$D$11</f>
        <v>0</v>
      </c>
      <c r="BZ124" s="407"/>
      <c r="CA124" s="363"/>
      <c r="CB124" s="356" t="n">
        <f aca="false">($M124=CA124)*$D$11</f>
        <v>0</v>
      </c>
      <c r="CC124" s="407"/>
      <c r="CD124" s="363"/>
      <c r="CE124" s="356" t="n">
        <f aca="false">($M124=CD124)*$D$11</f>
        <v>0</v>
      </c>
      <c r="CF124" s="407"/>
      <c r="CG124" s="363"/>
      <c r="CH124" s="356" t="n">
        <f aca="false">($M124=CG124)*$D$11</f>
        <v>0</v>
      </c>
      <c r="CI124" s="407"/>
      <c r="CJ124" s="363"/>
      <c r="CK124" s="356" t="n">
        <f aca="false">($M124=CJ124)*$D$11</f>
        <v>0</v>
      </c>
      <c r="CL124" s="407"/>
      <c r="CM124" s="363"/>
      <c r="CN124" s="356" t="n">
        <f aca="false">($M124=CM124)*$D$11</f>
        <v>0</v>
      </c>
      <c r="CO124" s="407"/>
      <c r="CP124" s="363"/>
      <c r="CQ124" s="356" t="n">
        <f aca="false">($M124=CP124)*$D$11</f>
        <v>0</v>
      </c>
      <c r="CR124" s="407"/>
      <c r="CS124" s="363"/>
      <c r="CT124" s="356" t="n">
        <f aca="false">($M124=CS124)*$D$11</f>
        <v>0</v>
      </c>
      <c r="CU124" s="407"/>
      <c r="CV124" s="363"/>
      <c r="CW124" s="356" t="n">
        <f aca="false">($M124=CV124)*$D$11</f>
        <v>0</v>
      </c>
      <c r="CX124" s="407"/>
      <c r="CY124" s="363"/>
      <c r="CZ124" s="356" t="n">
        <f aca="false">($M124=CY124)*$D$11</f>
        <v>0</v>
      </c>
      <c r="DA124" s="407"/>
      <c r="DB124" s="363"/>
      <c r="DC124" s="356" t="n">
        <f aca="false">($M124=DB124)*$D$11</f>
        <v>0</v>
      </c>
      <c r="DD124" s="407"/>
      <c r="DE124" s="363"/>
      <c r="DF124" s="356" t="n">
        <f aca="false">($M124=DE124)*$D$11</f>
        <v>0</v>
      </c>
      <c r="DG124" s="407"/>
      <c r="DH124" s="363"/>
      <c r="DI124" s="356" t="n">
        <f aca="false">($M124=DH124)*$D$11</f>
        <v>0</v>
      </c>
      <c r="DJ124" s="407"/>
      <c r="DK124" s="363"/>
      <c r="DL124" s="356" t="n">
        <f aca="false">($M124=DK124)*$D$11</f>
        <v>0</v>
      </c>
      <c r="DM124" s="407"/>
      <c r="DN124" s="363"/>
      <c r="DO124" s="356" t="n">
        <f aca="false">($M124=DN124)*$D$11</f>
        <v>0</v>
      </c>
      <c r="DP124" s="407"/>
      <c r="DQ124" s="363"/>
      <c r="DR124" s="356" t="n">
        <f aca="false">($M124=DQ124)*$D$11</f>
        <v>0</v>
      </c>
      <c r="DS124" s="407"/>
      <c r="DT124" s="363"/>
      <c r="DU124" s="356" t="n">
        <f aca="false">($M124=DT124)*$D$11</f>
        <v>0</v>
      </c>
      <c r="DV124" s="407"/>
      <c r="DW124" s="363"/>
      <c r="DX124" s="356" t="n">
        <f aca="false">($M124=DW124)*$D$11</f>
        <v>0</v>
      </c>
      <c r="DY124" s="407"/>
      <c r="DZ124" s="363"/>
      <c r="EA124" s="356" t="n">
        <f aca="false">($M124=DZ124)*$D$11</f>
        <v>0</v>
      </c>
      <c r="EB124" s="407"/>
      <c r="EC124" s="363"/>
      <c r="ED124" s="356" t="n">
        <f aca="false">($M124=EC124)*$D$11</f>
        <v>0</v>
      </c>
      <c r="EE124" s="407"/>
      <c r="EF124" s="363"/>
      <c r="EG124" s="356" t="n">
        <f aca="false">($M124=EF124)*$D$11</f>
        <v>0</v>
      </c>
      <c r="EH124" s="407"/>
      <c r="EI124" s="407"/>
    </row>
    <row r="125" customFormat="false" ht="15" hidden="false" customHeight="false" outlineLevel="0" collapsed="false">
      <c r="A125" s="327"/>
      <c r="B125" s="327"/>
      <c r="C125" s="327"/>
      <c r="D125" s="327"/>
      <c r="E125" s="327"/>
      <c r="F125" s="328" t="n">
        <f aca="false">$D$12</f>
        <v>5</v>
      </c>
      <c r="G125" s="394" t="n">
        <f aca="false">VLOOKUP(H125,Equipos!$Q$1:$R$25,2,0)</f>
        <v>18</v>
      </c>
      <c r="H125" s="395" t="n">
        <f aca="false">$H$76</f>
        <v>46201</v>
      </c>
      <c r="I125" s="333"/>
      <c r="J125" s="409"/>
      <c r="K125" s="367" t="str">
        <f aca="false">Idiomas!D195</f>
        <v>2º GRUPO L</v>
      </c>
      <c r="L125" s="354"/>
      <c r="M125" s="359" t="str">
        <f aca="false">IF(OR(SUM(WORLDCUP!$AN$94:$AN$97)=12,WORLDCUP!$AJ$99=144),WORLDCUP!AL95,LEFT(K125,1)&amp;RIGHT(K125,1))</f>
        <v>2L</v>
      </c>
      <c r="N125" s="332"/>
      <c r="O125" s="332"/>
      <c r="P125" s="332"/>
      <c r="Q125" s="332"/>
      <c r="R125" s="404"/>
      <c r="S125" s="363" t="s">
        <v>375</v>
      </c>
      <c r="T125" s="356" t="n">
        <f aca="false">($M125=S125)*$D$12</f>
        <v>0</v>
      </c>
      <c r="U125" s="407"/>
      <c r="V125" s="363" t="s">
        <v>375</v>
      </c>
      <c r="W125" s="356" t="n">
        <f aca="false">($M125=V125)*$D$12</f>
        <v>0</v>
      </c>
      <c r="X125" s="407"/>
      <c r="Y125" s="363" t="s">
        <v>375</v>
      </c>
      <c r="Z125" s="356" t="n">
        <f aca="false">($M125=Y125)*$D$12</f>
        <v>0</v>
      </c>
      <c r="AA125" s="407"/>
      <c r="AB125" s="363" t="s">
        <v>374</v>
      </c>
      <c r="AC125" s="356" t="n">
        <f aca="false">($M125=AB125)*$D$12</f>
        <v>0</v>
      </c>
      <c r="AD125" s="407"/>
      <c r="AE125" s="363" t="s">
        <v>375</v>
      </c>
      <c r="AF125" s="356" t="n">
        <f aca="false">($M125=AE125)*$D$12</f>
        <v>0</v>
      </c>
      <c r="AG125" s="407"/>
      <c r="AH125" s="363" t="s">
        <v>375</v>
      </c>
      <c r="AI125" s="356" t="n">
        <f aca="false">($M125=AH125)*$D$12</f>
        <v>0</v>
      </c>
      <c r="AJ125" s="407"/>
      <c r="AK125" s="363" t="s">
        <v>375</v>
      </c>
      <c r="AL125" s="356" t="n">
        <f aca="false">($M125=AK125)*$D$12</f>
        <v>0</v>
      </c>
      <c r="AM125" s="407"/>
      <c r="AN125" s="363" t="s">
        <v>375</v>
      </c>
      <c r="AO125" s="356" t="n">
        <f aca="false">($M125=AN125)*$D$12</f>
        <v>0</v>
      </c>
      <c r="AP125" s="407"/>
      <c r="AQ125" s="363" t="s">
        <v>375</v>
      </c>
      <c r="AR125" s="356" t="n">
        <f aca="false">($M125=AQ125)*$D$12</f>
        <v>0</v>
      </c>
      <c r="AS125" s="407"/>
      <c r="AT125" s="363" t="s">
        <v>375</v>
      </c>
      <c r="AU125" s="356" t="n">
        <f aca="false">($M125=AT125)*$D$12</f>
        <v>0</v>
      </c>
      <c r="AV125" s="407"/>
      <c r="AW125" s="363" t="s">
        <v>375</v>
      </c>
      <c r="AX125" s="356" t="n">
        <f aca="false">($M125=AW125)*$D$12</f>
        <v>0</v>
      </c>
      <c r="AY125" s="407"/>
      <c r="AZ125" s="363" t="s">
        <v>375</v>
      </c>
      <c r="BA125" s="356" t="n">
        <f aca="false">($M125=AZ125)*$D$12</f>
        <v>0</v>
      </c>
      <c r="BB125" s="407"/>
      <c r="BC125" s="363" t="s">
        <v>374</v>
      </c>
      <c r="BD125" s="356" t="n">
        <f aca="false">($M125=BC125)*$D$12</f>
        <v>0</v>
      </c>
      <c r="BE125" s="407"/>
      <c r="BF125" s="363" t="s">
        <v>377</v>
      </c>
      <c r="BG125" s="356" t="n">
        <f aca="false">($M125=BF125)*$D$12</f>
        <v>0</v>
      </c>
      <c r="BH125" s="407"/>
      <c r="BI125" s="363" t="s">
        <v>375</v>
      </c>
      <c r="BJ125" s="356" t="n">
        <f aca="false">($M125=BI125)*$D$12</f>
        <v>0</v>
      </c>
      <c r="BK125" s="407"/>
      <c r="BL125" s="363" t="s">
        <v>375</v>
      </c>
      <c r="BM125" s="356" t="n">
        <f aca="false">($M125=BL125)*$D$12</f>
        <v>0</v>
      </c>
      <c r="BN125" s="407"/>
      <c r="BO125" s="363" t="s">
        <v>376</v>
      </c>
      <c r="BP125" s="356" t="n">
        <f aca="false">($M125=BO125)*$D$12</f>
        <v>0</v>
      </c>
      <c r="BQ125" s="407"/>
      <c r="BR125" s="363" t="s">
        <v>375</v>
      </c>
      <c r="BS125" s="356" t="n">
        <f aca="false">($M125=BR125)*$D$12</f>
        <v>0</v>
      </c>
      <c r="BT125" s="407"/>
      <c r="BU125" s="363"/>
      <c r="BV125" s="356" t="n">
        <f aca="false">($M125=BU125)*$D$12</f>
        <v>0</v>
      </c>
      <c r="BW125" s="407"/>
      <c r="BX125" s="363"/>
      <c r="BY125" s="356" t="n">
        <f aca="false">($M125=BX125)*$D$12</f>
        <v>0</v>
      </c>
      <c r="BZ125" s="407"/>
      <c r="CA125" s="363"/>
      <c r="CB125" s="356" t="n">
        <f aca="false">($M125=CA125)*$D$12</f>
        <v>0</v>
      </c>
      <c r="CC125" s="407"/>
      <c r="CD125" s="363"/>
      <c r="CE125" s="356" t="n">
        <f aca="false">($M125=CD125)*$D$12</f>
        <v>0</v>
      </c>
      <c r="CF125" s="407"/>
      <c r="CG125" s="363"/>
      <c r="CH125" s="356" t="n">
        <f aca="false">($M125=CG125)*$D$12</f>
        <v>0</v>
      </c>
      <c r="CI125" s="407"/>
      <c r="CJ125" s="363"/>
      <c r="CK125" s="356" t="n">
        <f aca="false">($M125=CJ125)*$D$12</f>
        <v>0</v>
      </c>
      <c r="CL125" s="407"/>
      <c r="CM125" s="363"/>
      <c r="CN125" s="356" t="n">
        <f aca="false">($M125=CM125)*$D$12</f>
        <v>0</v>
      </c>
      <c r="CO125" s="407"/>
      <c r="CP125" s="363"/>
      <c r="CQ125" s="356" t="n">
        <f aca="false">($M125=CP125)*$D$12</f>
        <v>0</v>
      </c>
      <c r="CR125" s="407"/>
      <c r="CS125" s="363"/>
      <c r="CT125" s="356" t="n">
        <f aca="false">($M125=CS125)*$D$12</f>
        <v>0</v>
      </c>
      <c r="CU125" s="407"/>
      <c r="CV125" s="363"/>
      <c r="CW125" s="356" t="n">
        <f aca="false">($M125=CV125)*$D$12</f>
        <v>0</v>
      </c>
      <c r="CX125" s="407"/>
      <c r="CY125" s="363"/>
      <c r="CZ125" s="356" t="n">
        <f aca="false">($M125=CY125)*$D$12</f>
        <v>0</v>
      </c>
      <c r="DA125" s="407"/>
      <c r="DB125" s="363"/>
      <c r="DC125" s="356" t="n">
        <f aca="false">($M125=DB125)*$D$12</f>
        <v>0</v>
      </c>
      <c r="DD125" s="407"/>
      <c r="DE125" s="363"/>
      <c r="DF125" s="356" t="n">
        <f aca="false">($M125=DE125)*$D$12</f>
        <v>0</v>
      </c>
      <c r="DG125" s="407"/>
      <c r="DH125" s="363"/>
      <c r="DI125" s="356" t="n">
        <f aca="false">($M125=DH125)*$D$12</f>
        <v>0</v>
      </c>
      <c r="DJ125" s="407"/>
      <c r="DK125" s="363"/>
      <c r="DL125" s="356" t="n">
        <f aca="false">($M125=DK125)*$D$12</f>
        <v>0</v>
      </c>
      <c r="DM125" s="407"/>
      <c r="DN125" s="363"/>
      <c r="DO125" s="356" t="n">
        <f aca="false">($M125=DN125)*$D$12</f>
        <v>0</v>
      </c>
      <c r="DP125" s="407"/>
      <c r="DQ125" s="363"/>
      <c r="DR125" s="356" t="n">
        <f aca="false">($M125=DQ125)*$D$12</f>
        <v>0</v>
      </c>
      <c r="DS125" s="407"/>
      <c r="DT125" s="363"/>
      <c r="DU125" s="356" t="n">
        <f aca="false">($M125=DT125)*$D$12</f>
        <v>0</v>
      </c>
      <c r="DV125" s="407"/>
      <c r="DW125" s="363"/>
      <c r="DX125" s="356" t="n">
        <f aca="false">($M125=DW125)*$D$12</f>
        <v>0</v>
      </c>
      <c r="DY125" s="407"/>
      <c r="DZ125" s="363"/>
      <c r="EA125" s="356" t="n">
        <f aca="false">($M125=DZ125)*$D$12</f>
        <v>0</v>
      </c>
      <c r="EB125" s="407"/>
      <c r="EC125" s="363"/>
      <c r="ED125" s="356" t="n">
        <f aca="false">($M125=EC125)*$D$12</f>
        <v>0</v>
      </c>
      <c r="EE125" s="407"/>
      <c r="EF125" s="363"/>
      <c r="EG125" s="356" t="n">
        <f aca="false">($M125=EF125)*$D$12</f>
        <v>0</v>
      </c>
      <c r="EH125" s="407"/>
      <c r="EI125" s="407"/>
    </row>
    <row r="126" customFormat="false" ht="15" hidden="false" customHeight="false" outlineLevel="0" collapsed="false">
      <c r="A126" s="327"/>
      <c r="B126" s="327"/>
      <c r="C126" s="327"/>
      <c r="D126" s="327"/>
      <c r="E126" s="327"/>
      <c r="F126" s="328" t="n">
        <f aca="false">$D$13</f>
        <v>5</v>
      </c>
      <c r="G126" s="394" t="n">
        <f aca="false">VLOOKUP(H126,Equipos!$Q$1:$R$25,2,0)</f>
        <v>18</v>
      </c>
      <c r="H126" s="395" t="n">
        <f aca="false">$H$76</f>
        <v>46201</v>
      </c>
      <c r="I126" s="333"/>
      <c r="J126" s="409"/>
      <c r="K126" s="367" t="str">
        <f aca="false">Idiomas!D196</f>
        <v>3º GRUPO L</v>
      </c>
      <c r="L126" s="354"/>
      <c r="M126" s="359" t="str">
        <f aca="false">IF(OR(SUM(WORLDCUP!$AN$94:$AN$97)=12,WORLDCUP!$AJ$99=144),WORLDCUP!AL96,LEFT(K126,1)&amp;RIGHT(K126,1))</f>
        <v>3L</v>
      </c>
      <c r="N126" s="332"/>
      <c r="O126" s="332"/>
      <c r="P126" s="332"/>
      <c r="Q126" s="332"/>
      <c r="R126" s="404"/>
      <c r="S126" s="363" t="s">
        <v>376</v>
      </c>
      <c r="T126" s="356" t="n">
        <f aca="false">($M126=S126)*$D$13</f>
        <v>0</v>
      </c>
      <c r="U126" s="407"/>
      <c r="V126" s="363" t="s">
        <v>376</v>
      </c>
      <c r="W126" s="356" t="n">
        <f aca="false">($M126=V126)*$D$13</f>
        <v>0</v>
      </c>
      <c r="X126" s="407"/>
      <c r="Y126" s="363" t="s">
        <v>376</v>
      </c>
      <c r="Z126" s="356" t="n">
        <f aca="false">($M126=Y126)*$D$13</f>
        <v>0</v>
      </c>
      <c r="AA126" s="407"/>
      <c r="AB126" s="363" t="s">
        <v>376</v>
      </c>
      <c r="AC126" s="356" t="n">
        <f aca="false">($M126=AB126)*$D$13</f>
        <v>0</v>
      </c>
      <c r="AD126" s="407"/>
      <c r="AE126" s="363" t="s">
        <v>376</v>
      </c>
      <c r="AF126" s="356" t="n">
        <f aca="false">($M126=AE126)*$D$13</f>
        <v>0</v>
      </c>
      <c r="AG126" s="407"/>
      <c r="AH126" s="363" t="s">
        <v>376</v>
      </c>
      <c r="AI126" s="356" t="n">
        <f aca="false">($M126=AH126)*$D$13</f>
        <v>0</v>
      </c>
      <c r="AJ126" s="407"/>
      <c r="AK126" s="363" t="s">
        <v>376</v>
      </c>
      <c r="AL126" s="356" t="n">
        <f aca="false">($M126=AK126)*$D$13</f>
        <v>0</v>
      </c>
      <c r="AM126" s="407"/>
      <c r="AN126" s="363" t="s">
        <v>376</v>
      </c>
      <c r="AO126" s="356" t="n">
        <f aca="false">($M126=AN126)*$D$13</f>
        <v>0</v>
      </c>
      <c r="AP126" s="407"/>
      <c r="AQ126" s="363" t="s">
        <v>376</v>
      </c>
      <c r="AR126" s="356" t="n">
        <f aca="false">($M126=AQ126)*$D$13</f>
        <v>0</v>
      </c>
      <c r="AS126" s="407"/>
      <c r="AT126" s="363" t="s">
        <v>376</v>
      </c>
      <c r="AU126" s="356" t="n">
        <f aca="false">($M126=AT126)*$D$13</f>
        <v>0</v>
      </c>
      <c r="AV126" s="407"/>
      <c r="AW126" s="363" t="s">
        <v>376</v>
      </c>
      <c r="AX126" s="356" t="n">
        <f aca="false">($M126=AW126)*$D$13</f>
        <v>0</v>
      </c>
      <c r="AY126" s="407"/>
      <c r="AZ126" s="363" t="s">
        <v>376</v>
      </c>
      <c r="BA126" s="356" t="n">
        <f aca="false">($M126=AZ126)*$D$13</f>
        <v>0</v>
      </c>
      <c r="BB126" s="407"/>
      <c r="BC126" s="363" t="s">
        <v>375</v>
      </c>
      <c r="BD126" s="356" t="n">
        <f aca="false">($M126=BC126)*$D$13</f>
        <v>0</v>
      </c>
      <c r="BE126" s="407"/>
      <c r="BF126" s="363" t="s">
        <v>375</v>
      </c>
      <c r="BG126" s="356" t="n">
        <f aca="false">($M126=BF126)*$D$13</f>
        <v>0</v>
      </c>
      <c r="BH126" s="407"/>
      <c r="BI126" s="363" t="s">
        <v>376</v>
      </c>
      <c r="BJ126" s="356" t="n">
        <f aca="false">($M126=BI126)*$D$13</f>
        <v>0</v>
      </c>
      <c r="BK126" s="407"/>
      <c r="BL126" s="363" t="s">
        <v>376</v>
      </c>
      <c r="BM126" s="356" t="n">
        <f aca="false">($M126=BL126)*$D$13</f>
        <v>0</v>
      </c>
      <c r="BN126" s="407"/>
      <c r="BO126" s="363" t="s">
        <v>375</v>
      </c>
      <c r="BP126" s="356" t="n">
        <f aca="false">($M126=BO126)*$D$13</f>
        <v>0</v>
      </c>
      <c r="BQ126" s="407"/>
      <c r="BR126" s="363" t="s">
        <v>376</v>
      </c>
      <c r="BS126" s="356" t="n">
        <f aca="false">($M126=BR126)*$D$13</f>
        <v>0</v>
      </c>
      <c r="BT126" s="407"/>
      <c r="BU126" s="363"/>
      <c r="BV126" s="356" t="n">
        <f aca="false">($M126=BU126)*$D$13</f>
        <v>0</v>
      </c>
      <c r="BW126" s="407"/>
      <c r="BX126" s="363"/>
      <c r="BY126" s="356" t="n">
        <f aca="false">($M126=BX126)*$D$13</f>
        <v>0</v>
      </c>
      <c r="BZ126" s="407"/>
      <c r="CA126" s="363"/>
      <c r="CB126" s="356" t="n">
        <f aca="false">($M126=CA126)*$D$13</f>
        <v>0</v>
      </c>
      <c r="CC126" s="407"/>
      <c r="CD126" s="363"/>
      <c r="CE126" s="356" t="n">
        <f aca="false">($M126=CD126)*$D$13</f>
        <v>0</v>
      </c>
      <c r="CF126" s="407"/>
      <c r="CG126" s="363"/>
      <c r="CH126" s="356" t="n">
        <f aca="false">($M126=CG126)*$D$13</f>
        <v>0</v>
      </c>
      <c r="CI126" s="407"/>
      <c r="CJ126" s="363"/>
      <c r="CK126" s="356" t="n">
        <f aca="false">($M126=CJ126)*$D$13</f>
        <v>0</v>
      </c>
      <c r="CL126" s="407"/>
      <c r="CM126" s="363"/>
      <c r="CN126" s="356" t="n">
        <f aca="false">($M126=CM126)*$D$13</f>
        <v>0</v>
      </c>
      <c r="CO126" s="407"/>
      <c r="CP126" s="363"/>
      <c r="CQ126" s="356" t="n">
        <f aca="false">($M126=CP126)*$D$13</f>
        <v>0</v>
      </c>
      <c r="CR126" s="407"/>
      <c r="CS126" s="363"/>
      <c r="CT126" s="356" t="n">
        <f aca="false">($M126=CS126)*$D$13</f>
        <v>0</v>
      </c>
      <c r="CU126" s="407"/>
      <c r="CV126" s="363"/>
      <c r="CW126" s="356" t="n">
        <f aca="false">($M126=CV126)*$D$13</f>
        <v>0</v>
      </c>
      <c r="CX126" s="407"/>
      <c r="CY126" s="363"/>
      <c r="CZ126" s="356" t="n">
        <f aca="false">($M126=CY126)*$D$13</f>
        <v>0</v>
      </c>
      <c r="DA126" s="407"/>
      <c r="DB126" s="363"/>
      <c r="DC126" s="356" t="n">
        <f aca="false">($M126=DB126)*$D$13</f>
        <v>0</v>
      </c>
      <c r="DD126" s="407"/>
      <c r="DE126" s="363"/>
      <c r="DF126" s="356" t="n">
        <f aca="false">($M126=DE126)*$D$13</f>
        <v>0</v>
      </c>
      <c r="DG126" s="407"/>
      <c r="DH126" s="363"/>
      <c r="DI126" s="356" t="n">
        <f aca="false">($M126=DH126)*$D$13</f>
        <v>0</v>
      </c>
      <c r="DJ126" s="407"/>
      <c r="DK126" s="363"/>
      <c r="DL126" s="356" t="n">
        <f aca="false">($M126=DK126)*$D$13</f>
        <v>0</v>
      </c>
      <c r="DM126" s="407"/>
      <c r="DN126" s="363"/>
      <c r="DO126" s="356" t="n">
        <f aca="false">($M126=DN126)*$D$13</f>
        <v>0</v>
      </c>
      <c r="DP126" s="407"/>
      <c r="DQ126" s="363"/>
      <c r="DR126" s="356" t="n">
        <f aca="false">($M126=DQ126)*$D$13</f>
        <v>0</v>
      </c>
      <c r="DS126" s="407"/>
      <c r="DT126" s="363"/>
      <c r="DU126" s="356" t="n">
        <f aca="false">($M126=DT126)*$D$13</f>
        <v>0</v>
      </c>
      <c r="DV126" s="407"/>
      <c r="DW126" s="363"/>
      <c r="DX126" s="356" t="n">
        <f aca="false">($M126=DW126)*$D$13</f>
        <v>0</v>
      </c>
      <c r="DY126" s="407"/>
      <c r="DZ126" s="363"/>
      <c r="EA126" s="356" t="n">
        <f aca="false">($M126=DZ126)*$D$13</f>
        <v>0</v>
      </c>
      <c r="EB126" s="407"/>
      <c r="EC126" s="363"/>
      <c r="ED126" s="356" t="n">
        <f aca="false">($M126=EC126)*$D$13</f>
        <v>0</v>
      </c>
      <c r="EE126" s="407"/>
      <c r="EF126" s="363"/>
      <c r="EG126" s="356" t="n">
        <f aca="false">($M126=EF126)*$D$13</f>
        <v>0</v>
      </c>
      <c r="EH126" s="407"/>
      <c r="EI126" s="407"/>
    </row>
    <row r="127" customFormat="false" ht="15" hidden="false" customHeight="false" outlineLevel="0" collapsed="false">
      <c r="A127" s="327"/>
      <c r="B127" s="327"/>
      <c r="C127" s="327"/>
      <c r="D127" s="327"/>
      <c r="E127" s="327"/>
      <c r="F127" s="328" t="n">
        <f aca="false">$D$14</f>
        <v>5</v>
      </c>
      <c r="G127" s="394" t="n">
        <f aca="false">VLOOKUP(H127,Equipos!$Q$1:$R$25,2,0)</f>
        <v>18</v>
      </c>
      <c r="H127" s="395" t="n">
        <f aca="false">$H$76</f>
        <v>46201</v>
      </c>
      <c r="I127" s="333"/>
      <c r="J127" s="409"/>
      <c r="K127" s="396" t="str">
        <f aca="false">Idiomas!D197</f>
        <v>4º GRUPO L</v>
      </c>
      <c r="L127" s="396"/>
      <c r="M127" s="397" t="str">
        <f aca="false">IF(OR(SUM(WORLDCUP!$AN$94:$AN$97)=12,WORLDCUP!$AJ$99=144),WORLDCUP!AL97,LEFT(K127,1)&amp;RIGHT(K127,1))</f>
        <v>4L</v>
      </c>
      <c r="N127" s="332"/>
      <c r="O127" s="332"/>
      <c r="P127" s="332"/>
      <c r="Q127" s="332"/>
      <c r="R127" s="404"/>
      <c r="S127" s="398" t="s">
        <v>377</v>
      </c>
      <c r="T127" s="399" t="n">
        <f aca="false">($M127=S127)*$D$14</f>
        <v>0</v>
      </c>
      <c r="U127" s="407"/>
      <c r="V127" s="398" t="s">
        <v>377</v>
      </c>
      <c r="W127" s="399" t="n">
        <f aca="false">($M127=V127)*$D$14</f>
        <v>0</v>
      </c>
      <c r="X127" s="407"/>
      <c r="Y127" s="398" t="s">
        <v>377</v>
      </c>
      <c r="Z127" s="399" t="n">
        <f aca="false">($M127=Y127)*$D$14</f>
        <v>0</v>
      </c>
      <c r="AA127" s="407"/>
      <c r="AB127" s="398" t="s">
        <v>377</v>
      </c>
      <c r="AC127" s="399" t="n">
        <f aca="false">($M127=AB127)*$D$14</f>
        <v>0</v>
      </c>
      <c r="AD127" s="407"/>
      <c r="AE127" s="398" t="s">
        <v>377</v>
      </c>
      <c r="AF127" s="399" t="n">
        <f aca="false">($M127=AE127)*$D$14</f>
        <v>0</v>
      </c>
      <c r="AG127" s="407"/>
      <c r="AH127" s="398" t="s">
        <v>377</v>
      </c>
      <c r="AI127" s="399" t="n">
        <f aca="false">($M127=AH127)*$D$14</f>
        <v>0</v>
      </c>
      <c r="AJ127" s="407"/>
      <c r="AK127" s="398" t="s">
        <v>377</v>
      </c>
      <c r="AL127" s="399" t="n">
        <f aca="false">($M127=AK127)*$D$14</f>
        <v>0</v>
      </c>
      <c r="AM127" s="407"/>
      <c r="AN127" s="398" t="s">
        <v>377</v>
      </c>
      <c r="AO127" s="399" t="n">
        <f aca="false">($M127=AN127)*$D$14</f>
        <v>0</v>
      </c>
      <c r="AP127" s="407"/>
      <c r="AQ127" s="398" t="s">
        <v>377</v>
      </c>
      <c r="AR127" s="399" t="n">
        <f aca="false">($M127=AQ127)*$D$14</f>
        <v>0</v>
      </c>
      <c r="AS127" s="407"/>
      <c r="AT127" s="398" t="s">
        <v>377</v>
      </c>
      <c r="AU127" s="399" t="n">
        <f aca="false">($M127=AT127)*$D$14</f>
        <v>0</v>
      </c>
      <c r="AV127" s="407"/>
      <c r="AW127" s="398" t="s">
        <v>377</v>
      </c>
      <c r="AX127" s="399" t="n">
        <f aca="false">($M127=AW127)*$D$14</f>
        <v>0</v>
      </c>
      <c r="AY127" s="407"/>
      <c r="AZ127" s="398" t="s">
        <v>377</v>
      </c>
      <c r="BA127" s="399" t="n">
        <f aca="false">($M127=AZ127)*$D$14</f>
        <v>0</v>
      </c>
      <c r="BB127" s="407"/>
      <c r="BC127" s="398" t="s">
        <v>377</v>
      </c>
      <c r="BD127" s="399" t="n">
        <f aca="false">($M127=BC127)*$D$14</f>
        <v>0</v>
      </c>
      <c r="BE127" s="407"/>
      <c r="BF127" s="398" t="s">
        <v>376</v>
      </c>
      <c r="BG127" s="399" t="n">
        <f aca="false">($M127=BF127)*$D$14</f>
        <v>0</v>
      </c>
      <c r="BH127" s="407"/>
      <c r="BI127" s="398" t="s">
        <v>377</v>
      </c>
      <c r="BJ127" s="399" t="n">
        <f aca="false">($M127=BI127)*$D$14</f>
        <v>0</v>
      </c>
      <c r="BK127" s="407"/>
      <c r="BL127" s="398" t="s">
        <v>377</v>
      </c>
      <c r="BM127" s="399" t="n">
        <f aca="false">($M127=BL127)*$D$14</f>
        <v>0</v>
      </c>
      <c r="BN127" s="407"/>
      <c r="BO127" s="398" t="s">
        <v>377</v>
      </c>
      <c r="BP127" s="399" t="n">
        <f aca="false">($M127=BO127)*$D$14</f>
        <v>0</v>
      </c>
      <c r="BQ127" s="407"/>
      <c r="BR127" s="398" t="s">
        <v>377</v>
      </c>
      <c r="BS127" s="399" t="n">
        <f aca="false">($M127=BR127)*$D$14</f>
        <v>0</v>
      </c>
      <c r="BT127" s="407"/>
      <c r="BU127" s="398"/>
      <c r="BV127" s="399" t="n">
        <f aca="false">($M127=BU127)*$D$14</f>
        <v>0</v>
      </c>
      <c r="BW127" s="407"/>
      <c r="BX127" s="398"/>
      <c r="BY127" s="399" t="n">
        <f aca="false">($M127=BX127)*$D$14</f>
        <v>0</v>
      </c>
      <c r="BZ127" s="407"/>
      <c r="CA127" s="398"/>
      <c r="CB127" s="399" t="n">
        <f aca="false">($M127=CA127)*$D$14</f>
        <v>0</v>
      </c>
      <c r="CC127" s="407"/>
      <c r="CD127" s="398"/>
      <c r="CE127" s="399" t="n">
        <f aca="false">($M127=CD127)*$D$14</f>
        <v>0</v>
      </c>
      <c r="CF127" s="407"/>
      <c r="CG127" s="398"/>
      <c r="CH127" s="399" t="n">
        <f aca="false">($M127=CG127)*$D$14</f>
        <v>0</v>
      </c>
      <c r="CI127" s="407"/>
      <c r="CJ127" s="398"/>
      <c r="CK127" s="399" t="n">
        <f aca="false">($M127=CJ127)*$D$14</f>
        <v>0</v>
      </c>
      <c r="CL127" s="407"/>
      <c r="CM127" s="398"/>
      <c r="CN127" s="399" t="n">
        <f aca="false">($M127=CM127)*$D$14</f>
        <v>0</v>
      </c>
      <c r="CO127" s="407"/>
      <c r="CP127" s="398"/>
      <c r="CQ127" s="399" t="n">
        <f aca="false">($M127=CP127)*$D$14</f>
        <v>0</v>
      </c>
      <c r="CR127" s="407"/>
      <c r="CS127" s="398"/>
      <c r="CT127" s="399" t="n">
        <f aca="false">($M127=CS127)*$D$14</f>
        <v>0</v>
      </c>
      <c r="CU127" s="407"/>
      <c r="CV127" s="398"/>
      <c r="CW127" s="399" t="n">
        <f aca="false">($M127=CV127)*$D$14</f>
        <v>0</v>
      </c>
      <c r="CX127" s="407"/>
      <c r="CY127" s="398"/>
      <c r="CZ127" s="399" t="n">
        <f aca="false">($M127=CY127)*$D$14</f>
        <v>0</v>
      </c>
      <c r="DA127" s="407"/>
      <c r="DB127" s="398"/>
      <c r="DC127" s="399" t="n">
        <f aca="false">($M127=DB127)*$D$14</f>
        <v>0</v>
      </c>
      <c r="DD127" s="407"/>
      <c r="DE127" s="398"/>
      <c r="DF127" s="399" t="n">
        <f aca="false">($M127=DE127)*$D$14</f>
        <v>0</v>
      </c>
      <c r="DG127" s="407"/>
      <c r="DH127" s="398"/>
      <c r="DI127" s="399" t="n">
        <f aca="false">($M127=DH127)*$D$14</f>
        <v>0</v>
      </c>
      <c r="DJ127" s="407"/>
      <c r="DK127" s="398"/>
      <c r="DL127" s="399" t="n">
        <f aca="false">($M127=DK127)*$D$14</f>
        <v>0</v>
      </c>
      <c r="DM127" s="407"/>
      <c r="DN127" s="398"/>
      <c r="DO127" s="399" t="n">
        <f aca="false">($M127=DN127)*$D$14</f>
        <v>0</v>
      </c>
      <c r="DP127" s="407"/>
      <c r="DQ127" s="398"/>
      <c r="DR127" s="399" t="n">
        <f aca="false">($M127=DQ127)*$D$14</f>
        <v>0</v>
      </c>
      <c r="DS127" s="407"/>
      <c r="DT127" s="398"/>
      <c r="DU127" s="399" t="n">
        <f aca="false">($M127=DT127)*$D$14</f>
        <v>0</v>
      </c>
      <c r="DV127" s="407"/>
      <c r="DW127" s="398"/>
      <c r="DX127" s="399" t="n">
        <f aca="false">($M127=DW127)*$D$14</f>
        <v>0</v>
      </c>
      <c r="DY127" s="407"/>
      <c r="DZ127" s="398"/>
      <c r="EA127" s="399" t="n">
        <f aca="false">($M127=DZ127)*$D$14</f>
        <v>0</v>
      </c>
      <c r="EB127" s="407"/>
      <c r="EC127" s="398"/>
      <c r="ED127" s="399" t="n">
        <f aca="false">($M127=EC127)*$D$14</f>
        <v>0</v>
      </c>
      <c r="EE127" s="407"/>
      <c r="EF127" s="398"/>
      <c r="EG127" s="399" t="n">
        <f aca="false">($M127=EF127)*$D$14</f>
        <v>0</v>
      </c>
      <c r="EH127" s="407"/>
      <c r="EI127" s="407"/>
    </row>
    <row r="128" customFormat="false" ht="15" hidden="false" customHeight="false" outlineLevel="0" collapsed="false">
      <c r="A128" s="327"/>
      <c r="B128" s="327"/>
      <c r="C128" s="410"/>
      <c r="D128" s="410"/>
      <c r="E128" s="410"/>
      <c r="F128" s="411"/>
      <c r="G128" s="412"/>
      <c r="H128" s="410"/>
      <c r="I128" s="410"/>
      <c r="J128" s="413"/>
      <c r="K128" s="414" t="str">
        <f aca="false">Idiomas!D456</f>
        <v>Pos. Grupos</v>
      </c>
      <c r="L128" s="415"/>
      <c r="M128" s="414" t="str">
        <f aca="false">"Max: "&amp;SUM($D$11:$D$14)*12</f>
        <v>Max: 240</v>
      </c>
      <c r="N128" s="332"/>
      <c r="O128" s="332"/>
      <c r="P128" s="332"/>
      <c r="Q128" s="332"/>
      <c r="R128" s="327"/>
      <c r="S128" s="416"/>
      <c r="T128" s="347" t="n">
        <f aca="false">SUM(T80:T127)</f>
        <v>0</v>
      </c>
      <c r="U128" s="338"/>
      <c r="V128" s="416"/>
      <c r="W128" s="347" t="n">
        <f aca="false">SUM(W80:W127)</f>
        <v>0</v>
      </c>
      <c r="X128" s="338"/>
      <c r="Y128" s="416"/>
      <c r="Z128" s="347" t="n">
        <f aca="false">SUM(Z80:Z127)</f>
        <v>0</v>
      </c>
      <c r="AA128" s="338"/>
      <c r="AB128" s="416"/>
      <c r="AC128" s="347" t="n">
        <f aca="false">SUM(AC80:AC127)</f>
        <v>0</v>
      </c>
      <c r="AD128" s="338"/>
      <c r="AE128" s="416"/>
      <c r="AF128" s="347" t="n">
        <f aca="false">SUM(AF80:AF127)</f>
        <v>0</v>
      </c>
      <c r="AG128" s="338"/>
      <c r="AH128" s="416"/>
      <c r="AI128" s="347" t="n">
        <f aca="false">SUM(AI80:AI127)</f>
        <v>0</v>
      </c>
      <c r="AJ128" s="338"/>
      <c r="AK128" s="416"/>
      <c r="AL128" s="347" t="n">
        <f aca="false">SUM(AL80:AL127)</f>
        <v>0</v>
      </c>
      <c r="AM128" s="338"/>
      <c r="AN128" s="416"/>
      <c r="AO128" s="347" t="n">
        <f aca="false">SUM(AO80:AO127)</f>
        <v>0</v>
      </c>
      <c r="AP128" s="338"/>
      <c r="AQ128" s="416"/>
      <c r="AR128" s="347" t="n">
        <f aca="false">SUM(AR80:AR127)</f>
        <v>0</v>
      </c>
      <c r="AS128" s="338"/>
      <c r="AT128" s="416"/>
      <c r="AU128" s="347" t="n">
        <f aca="false">SUM(AU80:AU127)</f>
        <v>0</v>
      </c>
      <c r="AV128" s="338"/>
      <c r="AW128" s="416"/>
      <c r="AX128" s="347" t="n">
        <f aca="false">SUM(AX80:AX127)</f>
        <v>0</v>
      </c>
      <c r="AY128" s="338"/>
      <c r="AZ128" s="416"/>
      <c r="BA128" s="347" t="n">
        <f aca="false">SUM(BA80:BA127)</f>
        <v>0</v>
      </c>
      <c r="BB128" s="338"/>
      <c r="BC128" s="416"/>
      <c r="BD128" s="347" t="n">
        <f aca="false">SUM(BD80:BD127)</f>
        <v>0</v>
      </c>
      <c r="BE128" s="338"/>
      <c r="BF128" s="416"/>
      <c r="BG128" s="347" t="n">
        <f aca="false">SUM(BG80:BG127)</f>
        <v>0</v>
      </c>
      <c r="BH128" s="338"/>
      <c r="BI128" s="416"/>
      <c r="BJ128" s="347" t="n">
        <f aca="false">SUM(BJ80:BJ127)</f>
        <v>0</v>
      </c>
      <c r="BK128" s="338"/>
      <c r="BL128" s="416"/>
      <c r="BM128" s="347" t="n">
        <f aca="false">SUM(BM80:BM127)</f>
        <v>0</v>
      </c>
      <c r="BN128" s="338"/>
      <c r="BO128" s="416"/>
      <c r="BP128" s="347" t="n">
        <f aca="false">SUM(BP80:BP127)</f>
        <v>0</v>
      </c>
      <c r="BQ128" s="338"/>
      <c r="BR128" s="416"/>
      <c r="BS128" s="347" t="n">
        <f aca="false">SUM(BS80:BS127)</f>
        <v>0</v>
      </c>
      <c r="BT128" s="338"/>
      <c r="BU128" s="416"/>
      <c r="BV128" s="347" t="n">
        <f aca="false">SUM(BV80:BV127)</f>
        <v>0</v>
      </c>
      <c r="BW128" s="338"/>
      <c r="BX128" s="416"/>
      <c r="BY128" s="347" t="n">
        <f aca="false">SUM(BY80:BY127)</f>
        <v>0</v>
      </c>
      <c r="BZ128" s="338"/>
      <c r="CA128" s="416"/>
      <c r="CB128" s="347" t="n">
        <f aca="false">SUM(CB80:CB127)</f>
        <v>0</v>
      </c>
      <c r="CC128" s="338"/>
      <c r="CD128" s="416"/>
      <c r="CE128" s="347" t="n">
        <f aca="false">SUM(CE80:CE127)</f>
        <v>0</v>
      </c>
      <c r="CF128" s="338"/>
      <c r="CG128" s="416"/>
      <c r="CH128" s="347" t="n">
        <f aca="false">SUM(CH80:CH127)</f>
        <v>0</v>
      </c>
      <c r="CI128" s="338"/>
      <c r="CJ128" s="416"/>
      <c r="CK128" s="347" t="n">
        <f aca="false">SUM(CK80:CK127)</f>
        <v>0</v>
      </c>
      <c r="CL128" s="338"/>
      <c r="CM128" s="416"/>
      <c r="CN128" s="347" t="n">
        <f aca="false">SUM(CN80:CN127)</f>
        <v>0</v>
      </c>
      <c r="CO128" s="338"/>
      <c r="CP128" s="416"/>
      <c r="CQ128" s="347" t="n">
        <f aca="false">SUM(CQ80:CQ127)</f>
        <v>0</v>
      </c>
      <c r="CR128" s="338"/>
      <c r="CS128" s="416"/>
      <c r="CT128" s="347" t="n">
        <f aca="false">SUM(CT80:CT127)</f>
        <v>0</v>
      </c>
      <c r="CU128" s="338"/>
      <c r="CV128" s="416"/>
      <c r="CW128" s="347" t="n">
        <f aca="false">SUM(CW80:CW127)</f>
        <v>0</v>
      </c>
      <c r="CX128" s="338"/>
      <c r="CY128" s="416"/>
      <c r="CZ128" s="347" t="n">
        <f aca="false">SUM(CZ80:CZ127)</f>
        <v>0</v>
      </c>
      <c r="DA128" s="338"/>
      <c r="DB128" s="416"/>
      <c r="DC128" s="347" t="n">
        <f aca="false">SUM(DC80:DC127)</f>
        <v>0</v>
      </c>
      <c r="DD128" s="338"/>
      <c r="DE128" s="416"/>
      <c r="DF128" s="347" t="n">
        <f aca="false">SUM(DF80:DF127)</f>
        <v>0</v>
      </c>
      <c r="DG128" s="338"/>
      <c r="DH128" s="416"/>
      <c r="DI128" s="347" t="n">
        <f aca="false">SUM(DI80:DI127)</f>
        <v>0</v>
      </c>
      <c r="DJ128" s="338"/>
      <c r="DK128" s="416"/>
      <c r="DL128" s="347" t="n">
        <f aca="false">SUM(DL80:DL127)</f>
        <v>0</v>
      </c>
      <c r="DM128" s="338"/>
      <c r="DN128" s="416"/>
      <c r="DO128" s="347" t="n">
        <f aca="false">SUM(DO80:DO127)</f>
        <v>0</v>
      </c>
      <c r="DP128" s="338"/>
      <c r="DQ128" s="416"/>
      <c r="DR128" s="347" t="n">
        <f aca="false">SUM(DR80:DR127)</f>
        <v>0</v>
      </c>
      <c r="DS128" s="338"/>
      <c r="DT128" s="416"/>
      <c r="DU128" s="347" t="n">
        <f aca="false">SUM(DU80:DU127)</f>
        <v>0</v>
      </c>
      <c r="DV128" s="338"/>
      <c r="DW128" s="416"/>
      <c r="DX128" s="347" t="n">
        <f aca="false">SUM(DX80:DX127)</f>
        <v>0</v>
      </c>
      <c r="DY128" s="338"/>
      <c r="DZ128" s="416"/>
      <c r="EA128" s="347" t="n">
        <f aca="false">SUM(EA80:EA127)</f>
        <v>0</v>
      </c>
      <c r="EB128" s="338"/>
      <c r="EC128" s="416"/>
      <c r="ED128" s="347" t="n">
        <f aca="false">SUM(ED80:ED127)</f>
        <v>0</v>
      </c>
      <c r="EE128" s="338"/>
      <c r="EF128" s="416"/>
      <c r="EG128" s="347" t="n">
        <f aca="false">SUM(EG80:EG127)</f>
        <v>0</v>
      </c>
      <c r="EH128" s="338"/>
      <c r="EI128" s="338"/>
    </row>
    <row r="129" customFormat="false" ht="15" hidden="false" customHeight="false" outlineLevel="0" collapsed="false">
      <c r="A129" s="327"/>
      <c r="B129" s="327"/>
      <c r="C129" s="410"/>
      <c r="D129" s="410"/>
      <c r="E129" s="410"/>
      <c r="F129" s="411"/>
      <c r="G129" s="412"/>
      <c r="H129" s="410"/>
      <c r="I129" s="410"/>
      <c r="J129" s="413"/>
      <c r="K129" s="346" t="str">
        <f aca="false">Idiomas!D137</f>
        <v>CLASIFICADOS PARA DIECISEISAVOS</v>
      </c>
      <c r="L129" s="333"/>
      <c r="M129" s="347"/>
      <c r="N129" s="332"/>
      <c r="O129" s="332"/>
      <c r="P129" s="332"/>
      <c r="Q129" s="332"/>
      <c r="R129" s="327"/>
      <c r="S129" s="416"/>
      <c r="T129" s="347"/>
      <c r="U129" s="338"/>
      <c r="V129" s="416"/>
      <c r="W129" s="347"/>
      <c r="X129" s="338"/>
      <c r="Y129" s="416"/>
      <c r="Z129" s="347"/>
      <c r="AA129" s="338"/>
      <c r="AB129" s="416"/>
      <c r="AC129" s="347"/>
      <c r="AD129" s="338"/>
      <c r="AE129" s="416"/>
      <c r="AF129" s="347"/>
      <c r="AG129" s="338"/>
      <c r="AH129" s="416"/>
      <c r="AI129" s="347"/>
      <c r="AJ129" s="338"/>
      <c r="AK129" s="416"/>
      <c r="AL129" s="347"/>
      <c r="AM129" s="338"/>
      <c r="AN129" s="416"/>
      <c r="AO129" s="347"/>
      <c r="AP129" s="338"/>
      <c r="AQ129" s="416"/>
      <c r="AR129" s="347"/>
      <c r="AS129" s="338"/>
      <c r="AT129" s="416"/>
      <c r="AU129" s="347"/>
      <c r="AV129" s="338"/>
      <c r="AW129" s="416"/>
      <c r="AX129" s="347"/>
      <c r="AY129" s="338"/>
      <c r="AZ129" s="416"/>
      <c r="BA129" s="347"/>
      <c r="BB129" s="338"/>
      <c r="BC129" s="416"/>
      <c r="BD129" s="347"/>
      <c r="BE129" s="338"/>
      <c r="BF129" s="416"/>
      <c r="BG129" s="347"/>
      <c r="BH129" s="338"/>
      <c r="BI129" s="416"/>
      <c r="BJ129" s="347"/>
      <c r="BK129" s="338"/>
      <c r="BL129" s="416"/>
      <c r="BM129" s="347"/>
      <c r="BN129" s="338"/>
      <c r="BO129" s="416"/>
      <c r="BP129" s="347"/>
      <c r="BQ129" s="338"/>
      <c r="BR129" s="416"/>
      <c r="BS129" s="347"/>
      <c r="BT129" s="338"/>
      <c r="BU129" s="416"/>
      <c r="BV129" s="347"/>
      <c r="BW129" s="338"/>
      <c r="BX129" s="416"/>
      <c r="BY129" s="347"/>
      <c r="BZ129" s="338"/>
      <c r="CA129" s="416"/>
      <c r="CB129" s="347"/>
      <c r="CC129" s="338"/>
      <c r="CD129" s="416"/>
      <c r="CE129" s="347"/>
      <c r="CF129" s="338"/>
      <c r="CG129" s="416"/>
      <c r="CH129" s="347"/>
      <c r="CI129" s="338"/>
      <c r="CJ129" s="416"/>
      <c r="CK129" s="347"/>
      <c r="CL129" s="338"/>
      <c r="CM129" s="416"/>
      <c r="CN129" s="347"/>
      <c r="CO129" s="338"/>
      <c r="CP129" s="416"/>
      <c r="CQ129" s="347"/>
      <c r="CR129" s="338"/>
      <c r="CS129" s="416"/>
      <c r="CT129" s="347"/>
      <c r="CU129" s="338"/>
      <c r="CV129" s="416"/>
      <c r="CW129" s="347"/>
      <c r="CX129" s="338"/>
      <c r="CY129" s="416"/>
      <c r="CZ129" s="347"/>
      <c r="DA129" s="338"/>
      <c r="DB129" s="416"/>
      <c r="DC129" s="347"/>
      <c r="DD129" s="338"/>
      <c r="DE129" s="416"/>
      <c r="DF129" s="347"/>
      <c r="DG129" s="338"/>
      <c r="DH129" s="416"/>
      <c r="DI129" s="347"/>
      <c r="DJ129" s="338"/>
      <c r="DK129" s="416"/>
      <c r="DL129" s="347"/>
      <c r="DM129" s="338"/>
      <c r="DN129" s="416"/>
      <c r="DO129" s="347"/>
      <c r="DP129" s="338"/>
      <c r="DQ129" s="416"/>
      <c r="DR129" s="347"/>
      <c r="DS129" s="338"/>
      <c r="DT129" s="416"/>
      <c r="DU129" s="347"/>
      <c r="DV129" s="338"/>
      <c r="DW129" s="416"/>
      <c r="DX129" s="347"/>
      <c r="DY129" s="338"/>
      <c r="DZ129" s="416"/>
      <c r="EA129" s="347"/>
      <c r="EB129" s="338"/>
      <c r="EC129" s="416"/>
      <c r="ED129" s="347"/>
      <c r="EE129" s="338"/>
      <c r="EF129" s="416"/>
      <c r="EG129" s="347"/>
      <c r="EH129" s="338"/>
      <c r="EI129" s="338"/>
    </row>
    <row r="130" customFormat="false" ht="15" hidden="false" customHeight="false" outlineLevel="0" collapsed="false">
      <c r="A130" s="327"/>
      <c r="B130" s="327"/>
      <c r="C130" s="410"/>
      <c r="D130" s="410"/>
      <c r="E130" s="410"/>
      <c r="F130" s="411" t="n">
        <f aca="false">$D$15</f>
        <v>3</v>
      </c>
      <c r="G130" s="412" t="n">
        <f aca="false">VLOOKUP(H130,Equipos!$Q$1:$R$25,2,0)</f>
        <v>19</v>
      </c>
      <c r="H130" s="417" t="str">
        <f aca="false">Idiomas!$D$137</f>
        <v>CLASIFICADOS PARA DIECISEISAVOS</v>
      </c>
      <c r="I130" s="410"/>
      <c r="J130" s="418" t="s">
        <v>147</v>
      </c>
      <c r="K130" s="354" t="str">
        <f aca="false">Idiomas!$D$198&amp;"-"&amp;ROWS($L$130:L130)</f>
        <v>Dieciseisavofinalista-1</v>
      </c>
      <c r="L130" s="354"/>
      <c r="M130" s="359" t="str">
        <f aca="false">WORLDCUP!AA101</f>
        <v>2A</v>
      </c>
      <c r="N130" s="332"/>
      <c r="O130" s="332"/>
      <c r="P130" s="332"/>
      <c r="Q130" s="332"/>
      <c r="R130" s="404"/>
      <c r="S130" s="370" t="s">
        <v>332</v>
      </c>
      <c r="T130" s="371" t="n">
        <f aca="false">COUNTIF($M$130:$M$161,S130)*$D$15</f>
        <v>0</v>
      </c>
      <c r="U130" s="407"/>
      <c r="V130" s="370" t="s">
        <v>333</v>
      </c>
      <c r="W130" s="371" t="n">
        <f aca="false">COUNTIF($M$130:$M$161,V130)*$D$15</f>
        <v>0</v>
      </c>
      <c r="X130" s="407"/>
      <c r="Y130" s="370" t="s">
        <v>334</v>
      </c>
      <c r="Z130" s="371" t="n">
        <f aca="false">COUNTIF($M$130:$M$161,Y130)*$D$15</f>
        <v>0</v>
      </c>
      <c r="AA130" s="407"/>
      <c r="AB130" s="370" t="s">
        <v>331</v>
      </c>
      <c r="AC130" s="371" t="n">
        <f aca="false">COUNTIF($M$130:$M$161,AB130)*$D$15</f>
        <v>0</v>
      </c>
      <c r="AD130" s="407"/>
      <c r="AE130" s="370" t="s">
        <v>331</v>
      </c>
      <c r="AF130" s="371" t="n">
        <f aca="false">COUNTIF($M$130:$M$161,AE130)*$D$15</f>
        <v>0</v>
      </c>
      <c r="AG130" s="407"/>
      <c r="AH130" s="370" t="s">
        <v>333</v>
      </c>
      <c r="AI130" s="371" t="n">
        <f aca="false">COUNTIF($M$130:$M$161,AH130)*$D$15</f>
        <v>0</v>
      </c>
      <c r="AJ130" s="407"/>
      <c r="AK130" s="370" t="s">
        <v>333</v>
      </c>
      <c r="AL130" s="371" t="n">
        <f aca="false">COUNTIF($M$130:$M$161,AK130)*$D$15</f>
        <v>0</v>
      </c>
      <c r="AM130" s="407"/>
      <c r="AN130" s="370" t="s">
        <v>333</v>
      </c>
      <c r="AO130" s="371" t="n">
        <f aca="false">COUNTIF($M$130:$M$161,AN130)*$D$15</f>
        <v>0</v>
      </c>
      <c r="AP130" s="407"/>
      <c r="AQ130" s="370" t="s">
        <v>331</v>
      </c>
      <c r="AR130" s="371" t="n">
        <f aca="false">COUNTIF($M$130:$M$161,AQ130)*$D$15</f>
        <v>0</v>
      </c>
      <c r="AS130" s="407"/>
      <c r="AT130" s="370" t="s">
        <v>331</v>
      </c>
      <c r="AU130" s="371" t="n">
        <f aca="false">COUNTIF($M$130:$M$161,AT130)*$D$15</f>
        <v>0</v>
      </c>
      <c r="AV130" s="407"/>
      <c r="AW130" s="370" t="s">
        <v>333</v>
      </c>
      <c r="AX130" s="371" t="n">
        <f aca="false">COUNTIF($M$130:$M$161,AW130)*$D$15</f>
        <v>0</v>
      </c>
      <c r="AY130" s="407"/>
      <c r="AZ130" s="370" t="s">
        <v>332</v>
      </c>
      <c r="BA130" s="371" t="n">
        <f aca="false">COUNTIF($M$130:$M$161,AZ130)*$D$15</f>
        <v>0</v>
      </c>
      <c r="BB130" s="407"/>
      <c r="BC130" s="370" t="s">
        <v>332</v>
      </c>
      <c r="BD130" s="371" t="n">
        <f aca="false">COUNTIF($M$130:$M$161,BC130)*$D$15</f>
        <v>0</v>
      </c>
      <c r="BE130" s="407"/>
      <c r="BF130" s="370" t="s">
        <v>332</v>
      </c>
      <c r="BG130" s="371" t="n">
        <f aca="false">COUNTIF($M$130:$M$161,BF130)*$D$15</f>
        <v>0</v>
      </c>
      <c r="BH130" s="407"/>
      <c r="BI130" s="370" t="s">
        <v>333</v>
      </c>
      <c r="BJ130" s="371" t="n">
        <f aca="false">COUNTIF($M$130:$M$161,BI130)*$D$15</f>
        <v>0</v>
      </c>
      <c r="BK130" s="407"/>
      <c r="BL130" s="370" t="s">
        <v>331</v>
      </c>
      <c r="BM130" s="371" t="n">
        <f aca="false">COUNTIF($M$130:$M$161,BL130)*$D$15</f>
        <v>0</v>
      </c>
      <c r="BN130" s="407"/>
      <c r="BO130" s="370" t="s">
        <v>332</v>
      </c>
      <c r="BP130" s="371" t="n">
        <f aca="false">COUNTIF($M$130:$M$161,BO130)*$D$15</f>
        <v>0</v>
      </c>
      <c r="BQ130" s="407"/>
      <c r="BR130" s="370" t="s">
        <v>333</v>
      </c>
      <c r="BS130" s="371" t="n">
        <f aca="false">COUNTIF($M$130:$M$161,BR130)*$D$15</f>
        <v>0</v>
      </c>
      <c r="BT130" s="407"/>
      <c r="BU130" s="370"/>
      <c r="BV130" s="371" t="n">
        <f aca="false">COUNTIF($M$130:$M$161,BU130)*$D$15</f>
        <v>0</v>
      </c>
      <c r="BW130" s="407"/>
      <c r="BX130" s="370"/>
      <c r="BY130" s="371" t="n">
        <f aca="false">COUNTIF($M$130:$M$161,BX130)*$D$15</f>
        <v>0</v>
      </c>
      <c r="BZ130" s="407"/>
      <c r="CA130" s="370"/>
      <c r="CB130" s="371" t="n">
        <f aca="false">COUNTIF($M$130:$M$161,CA130)*$D$15</f>
        <v>0</v>
      </c>
      <c r="CC130" s="407"/>
      <c r="CD130" s="370"/>
      <c r="CE130" s="371" t="n">
        <f aca="false">COUNTIF($M$130:$M$161,CD130)*$D$15</f>
        <v>0</v>
      </c>
      <c r="CF130" s="407"/>
      <c r="CG130" s="370"/>
      <c r="CH130" s="371" t="n">
        <f aca="false">COUNTIF($M$130:$M$161,CG130)*$D$15</f>
        <v>0</v>
      </c>
      <c r="CI130" s="407"/>
      <c r="CJ130" s="370"/>
      <c r="CK130" s="371" t="n">
        <f aca="false">COUNTIF($M$130:$M$161,CJ130)*$D$15</f>
        <v>0</v>
      </c>
      <c r="CL130" s="407"/>
      <c r="CM130" s="370"/>
      <c r="CN130" s="371" t="n">
        <f aca="false">COUNTIF($M$130:$M$161,CM130)*$D$15</f>
        <v>0</v>
      </c>
      <c r="CO130" s="407"/>
      <c r="CP130" s="370"/>
      <c r="CQ130" s="371" t="n">
        <f aca="false">COUNTIF($M$130:$M$161,CP130)*$D$15</f>
        <v>0</v>
      </c>
      <c r="CR130" s="407"/>
      <c r="CS130" s="370"/>
      <c r="CT130" s="371" t="n">
        <f aca="false">COUNTIF($M$130:$M$161,CS130)*$D$15</f>
        <v>0</v>
      </c>
      <c r="CU130" s="407"/>
      <c r="CV130" s="370"/>
      <c r="CW130" s="371" t="n">
        <f aca="false">COUNTIF($M$130:$M$161,CV130)*$D$15</f>
        <v>0</v>
      </c>
      <c r="CX130" s="407"/>
      <c r="CY130" s="370"/>
      <c r="CZ130" s="371" t="n">
        <f aca="false">COUNTIF($M$130:$M$161,CY130)*$D$15</f>
        <v>0</v>
      </c>
      <c r="DA130" s="407"/>
      <c r="DB130" s="370"/>
      <c r="DC130" s="371" t="n">
        <f aca="false">COUNTIF($M$130:$M$161,DB130)*$D$15</f>
        <v>0</v>
      </c>
      <c r="DD130" s="407"/>
      <c r="DE130" s="370"/>
      <c r="DF130" s="371" t="n">
        <f aca="false">COUNTIF($M$130:$M$161,DE130)*$D$15</f>
        <v>0</v>
      </c>
      <c r="DG130" s="407"/>
      <c r="DH130" s="370"/>
      <c r="DI130" s="371" t="n">
        <f aca="false">COUNTIF($M$130:$M$161,DH130)*$D$15</f>
        <v>0</v>
      </c>
      <c r="DJ130" s="407"/>
      <c r="DK130" s="370"/>
      <c r="DL130" s="371" t="n">
        <f aca="false">COUNTIF($M$130:$M$161,DK130)*$D$15</f>
        <v>0</v>
      </c>
      <c r="DM130" s="407"/>
      <c r="DN130" s="370"/>
      <c r="DO130" s="371" t="n">
        <f aca="false">COUNTIF($M$130:$M$161,DN130)*$D$15</f>
        <v>0</v>
      </c>
      <c r="DP130" s="407"/>
      <c r="DQ130" s="370"/>
      <c r="DR130" s="371" t="n">
        <f aca="false">COUNTIF($M$130:$M$161,DQ130)*$D$15</f>
        <v>0</v>
      </c>
      <c r="DS130" s="407"/>
      <c r="DT130" s="370"/>
      <c r="DU130" s="371" t="n">
        <f aca="false">COUNTIF($M$130:$M$161,DT130)*$D$15</f>
        <v>0</v>
      </c>
      <c r="DV130" s="407"/>
      <c r="DW130" s="370"/>
      <c r="DX130" s="371" t="n">
        <f aca="false">COUNTIF($M$130:$M$161,DW130)*$D$15</f>
        <v>0</v>
      </c>
      <c r="DY130" s="407"/>
      <c r="DZ130" s="370"/>
      <c r="EA130" s="371" t="n">
        <f aca="false">COUNTIF($M$130:$M$161,DZ130)*$D$15</f>
        <v>0</v>
      </c>
      <c r="EB130" s="407"/>
      <c r="EC130" s="370"/>
      <c r="ED130" s="371" t="n">
        <f aca="false">COUNTIF($M$130:$M$161,EC130)*$D$15</f>
        <v>0</v>
      </c>
      <c r="EE130" s="407"/>
      <c r="EF130" s="370"/>
      <c r="EG130" s="371" t="n">
        <f aca="false">COUNTIF($M$130:$M$161,EF130)*$D$15</f>
        <v>0</v>
      </c>
      <c r="EH130" s="407"/>
      <c r="EI130" s="407"/>
    </row>
    <row r="131" customFormat="false" ht="15" hidden="false" customHeight="false" outlineLevel="0" collapsed="false">
      <c r="A131" s="327"/>
      <c r="B131" s="327"/>
      <c r="C131" s="410"/>
      <c r="D131" s="410"/>
      <c r="E131" s="410"/>
      <c r="F131" s="411" t="n">
        <f aca="false">$D$15</f>
        <v>3</v>
      </c>
      <c r="G131" s="412" t="n">
        <f aca="false">VLOOKUP(H131,Equipos!$Q$1:$R$25,2,0)</f>
        <v>19</v>
      </c>
      <c r="H131" s="417" t="str">
        <f aca="false">Idiomas!$D$137</f>
        <v>CLASIFICADOS PARA DIECISEISAVOS</v>
      </c>
      <c r="I131" s="410"/>
      <c r="J131" s="418"/>
      <c r="K131" s="367" t="str">
        <f aca="false">Idiomas!$D$198&amp;"-"&amp;ROWS($L$130:L131)</f>
        <v>Dieciseisavofinalista-2</v>
      </c>
      <c r="L131" s="354"/>
      <c r="M131" s="359" t="str">
        <f aca="false">WORLDCUP!AA102</f>
        <v>1C</v>
      </c>
      <c r="N131" s="332"/>
      <c r="O131" s="332"/>
      <c r="P131" s="332"/>
      <c r="Q131" s="332"/>
      <c r="R131" s="404"/>
      <c r="S131" s="363" t="s">
        <v>339</v>
      </c>
      <c r="T131" s="356" t="n">
        <f aca="false">COUNTIF($M$130:$M$161,S131)*$D$15</f>
        <v>0</v>
      </c>
      <c r="U131" s="407"/>
      <c r="V131" s="363" t="s">
        <v>339</v>
      </c>
      <c r="W131" s="356" t="n">
        <f aca="false">COUNTIF($M$130:$M$161,V131)*$D$15</f>
        <v>0</v>
      </c>
      <c r="X131" s="407"/>
      <c r="Y131" s="363" t="s">
        <v>339</v>
      </c>
      <c r="Z131" s="356" t="n">
        <f aca="false">COUNTIF($M$130:$M$161,Y131)*$D$15</f>
        <v>0</v>
      </c>
      <c r="AA131" s="407"/>
      <c r="AB131" s="363" t="s">
        <v>340</v>
      </c>
      <c r="AC131" s="356" t="n">
        <f aca="false">COUNTIF($M$130:$M$161,AB131)*$D$15</f>
        <v>0</v>
      </c>
      <c r="AD131" s="407"/>
      <c r="AE131" s="363" t="s">
        <v>340</v>
      </c>
      <c r="AF131" s="356" t="n">
        <f aca="false">COUNTIF($M$130:$M$161,AE131)*$D$15</f>
        <v>0</v>
      </c>
      <c r="AG131" s="407"/>
      <c r="AH131" s="363" t="s">
        <v>339</v>
      </c>
      <c r="AI131" s="356" t="n">
        <f aca="false">COUNTIF($M$130:$M$161,AH131)*$D$15</f>
        <v>0</v>
      </c>
      <c r="AJ131" s="407"/>
      <c r="AK131" s="363" t="s">
        <v>339</v>
      </c>
      <c r="AL131" s="356" t="n">
        <f aca="false">COUNTIF($M$130:$M$161,AK131)*$D$15</f>
        <v>0</v>
      </c>
      <c r="AM131" s="407"/>
      <c r="AN131" s="363" t="s">
        <v>339</v>
      </c>
      <c r="AO131" s="356" t="n">
        <f aca="false">COUNTIF($M$130:$M$161,AN131)*$D$15</f>
        <v>0</v>
      </c>
      <c r="AP131" s="407"/>
      <c r="AQ131" s="363" t="s">
        <v>340</v>
      </c>
      <c r="AR131" s="356" t="n">
        <f aca="false">COUNTIF($M$130:$M$161,AQ131)*$D$15</f>
        <v>0</v>
      </c>
      <c r="AS131" s="407"/>
      <c r="AT131" s="363" t="s">
        <v>340</v>
      </c>
      <c r="AU131" s="356" t="n">
        <f aca="false">COUNTIF($M$130:$M$161,AT131)*$D$15</f>
        <v>0</v>
      </c>
      <c r="AV131" s="407"/>
      <c r="AW131" s="363" t="s">
        <v>339</v>
      </c>
      <c r="AX131" s="356" t="n">
        <f aca="false">COUNTIF($M$130:$M$161,AW131)*$D$15</f>
        <v>0</v>
      </c>
      <c r="AY131" s="407"/>
      <c r="AZ131" s="363" t="s">
        <v>339</v>
      </c>
      <c r="BA131" s="356" t="n">
        <f aca="false">COUNTIF($M$130:$M$161,AZ131)*$D$15</f>
        <v>0</v>
      </c>
      <c r="BB131" s="407"/>
      <c r="BC131" s="363" t="s">
        <v>339</v>
      </c>
      <c r="BD131" s="356" t="n">
        <f aca="false">COUNTIF($M$130:$M$161,BC131)*$D$15</f>
        <v>0</v>
      </c>
      <c r="BE131" s="407"/>
      <c r="BF131" s="363" t="s">
        <v>339</v>
      </c>
      <c r="BG131" s="356" t="n">
        <f aca="false">COUNTIF($M$130:$M$161,BF131)*$D$15</f>
        <v>0</v>
      </c>
      <c r="BH131" s="407"/>
      <c r="BI131" s="363" t="s">
        <v>339</v>
      </c>
      <c r="BJ131" s="356" t="n">
        <f aca="false">COUNTIF($M$130:$M$161,BI131)*$D$15</f>
        <v>0</v>
      </c>
      <c r="BK131" s="407"/>
      <c r="BL131" s="363" t="s">
        <v>339</v>
      </c>
      <c r="BM131" s="356" t="n">
        <f aca="false">COUNTIF($M$130:$M$161,BL131)*$D$15</f>
        <v>0</v>
      </c>
      <c r="BN131" s="407"/>
      <c r="BO131" s="363" t="s">
        <v>339</v>
      </c>
      <c r="BP131" s="356" t="n">
        <f aca="false">COUNTIF($M$130:$M$161,BO131)*$D$15</f>
        <v>0</v>
      </c>
      <c r="BQ131" s="407"/>
      <c r="BR131" s="363" t="s">
        <v>339</v>
      </c>
      <c r="BS131" s="356" t="n">
        <f aca="false">COUNTIF($M$130:$M$161,BR131)*$D$15</f>
        <v>0</v>
      </c>
      <c r="BT131" s="407"/>
      <c r="BU131" s="363"/>
      <c r="BV131" s="356" t="n">
        <f aca="false">COUNTIF($M$130:$M$161,BU131)*$D$15</f>
        <v>0</v>
      </c>
      <c r="BW131" s="407"/>
      <c r="BX131" s="363"/>
      <c r="BY131" s="356" t="n">
        <f aca="false">COUNTIF($M$130:$M$161,BX131)*$D$15</f>
        <v>0</v>
      </c>
      <c r="BZ131" s="407"/>
      <c r="CA131" s="363"/>
      <c r="CB131" s="356" t="n">
        <f aca="false">COUNTIF($M$130:$M$161,CA131)*$D$15</f>
        <v>0</v>
      </c>
      <c r="CC131" s="407"/>
      <c r="CD131" s="363"/>
      <c r="CE131" s="356" t="n">
        <f aca="false">COUNTIF($M$130:$M$161,CD131)*$D$15</f>
        <v>0</v>
      </c>
      <c r="CF131" s="407"/>
      <c r="CG131" s="363"/>
      <c r="CH131" s="356" t="n">
        <f aca="false">COUNTIF($M$130:$M$161,CG131)*$D$15</f>
        <v>0</v>
      </c>
      <c r="CI131" s="407"/>
      <c r="CJ131" s="363"/>
      <c r="CK131" s="356" t="n">
        <f aca="false">COUNTIF($M$130:$M$161,CJ131)*$D$15</f>
        <v>0</v>
      </c>
      <c r="CL131" s="407"/>
      <c r="CM131" s="363"/>
      <c r="CN131" s="356" t="n">
        <f aca="false">COUNTIF($M$130:$M$161,CM131)*$D$15</f>
        <v>0</v>
      </c>
      <c r="CO131" s="407"/>
      <c r="CP131" s="363"/>
      <c r="CQ131" s="356" t="n">
        <f aca="false">COUNTIF($M$130:$M$161,CP131)*$D$15</f>
        <v>0</v>
      </c>
      <c r="CR131" s="407"/>
      <c r="CS131" s="363"/>
      <c r="CT131" s="356" t="n">
        <f aca="false">COUNTIF($M$130:$M$161,CS131)*$D$15</f>
        <v>0</v>
      </c>
      <c r="CU131" s="407"/>
      <c r="CV131" s="363"/>
      <c r="CW131" s="356" t="n">
        <f aca="false">COUNTIF($M$130:$M$161,CV131)*$D$15</f>
        <v>0</v>
      </c>
      <c r="CX131" s="407"/>
      <c r="CY131" s="363"/>
      <c r="CZ131" s="356" t="n">
        <f aca="false">COUNTIF($M$130:$M$161,CY131)*$D$15</f>
        <v>0</v>
      </c>
      <c r="DA131" s="407"/>
      <c r="DB131" s="363"/>
      <c r="DC131" s="356" t="n">
        <f aca="false">COUNTIF($M$130:$M$161,DB131)*$D$15</f>
        <v>0</v>
      </c>
      <c r="DD131" s="407"/>
      <c r="DE131" s="363"/>
      <c r="DF131" s="356" t="n">
        <f aca="false">COUNTIF($M$130:$M$161,DE131)*$D$15</f>
        <v>0</v>
      </c>
      <c r="DG131" s="407"/>
      <c r="DH131" s="363"/>
      <c r="DI131" s="356" t="n">
        <f aca="false">COUNTIF($M$130:$M$161,DH131)*$D$15</f>
        <v>0</v>
      </c>
      <c r="DJ131" s="407"/>
      <c r="DK131" s="363"/>
      <c r="DL131" s="356" t="n">
        <f aca="false">COUNTIF($M$130:$M$161,DK131)*$D$15</f>
        <v>0</v>
      </c>
      <c r="DM131" s="407"/>
      <c r="DN131" s="363"/>
      <c r="DO131" s="356" t="n">
        <f aca="false">COUNTIF($M$130:$M$161,DN131)*$D$15</f>
        <v>0</v>
      </c>
      <c r="DP131" s="407"/>
      <c r="DQ131" s="363"/>
      <c r="DR131" s="356" t="n">
        <f aca="false">COUNTIF($M$130:$M$161,DQ131)*$D$15</f>
        <v>0</v>
      </c>
      <c r="DS131" s="407"/>
      <c r="DT131" s="363"/>
      <c r="DU131" s="356" t="n">
        <f aca="false">COUNTIF($M$130:$M$161,DT131)*$D$15</f>
        <v>0</v>
      </c>
      <c r="DV131" s="407"/>
      <c r="DW131" s="363"/>
      <c r="DX131" s="356" t="n">
        <f aca="false">COUNTIF($M$130:$M$161,DW131)*$D$15</f>
        <v>0</v>
      </c>
      <c r="DY131" s="407"/>
      <c r="DZ131" s="363"/>
      <c r="EA131" s="356" t="n">
        <f aca="false">COUNTIF($M$130:$M$161,DZ131)*$D$15</f>
        <v>0</v>
      </c>
      <c r="EB131" s="407"/>
      <c r="EC131" s="363"/>
      <c r="ED131" s="356" t="n">
        <f aca="false">COUNTIF($M$130:$M$161,EC131)*$D$15</f>
        <v>0</v>
      </c>
      <c r="EE131" s="407"/>
      <c r="EF131" s="363"/>
      <c r="EG131" s="356" t="n">
        <f aca="false">COUNTIF($M$130:$M$161,EF131)*$D$15</f>
        <v>0</v>
      </c>
      <c r="EH131" s="407"/>
      <c r="EI131" s="407"/>
    </row>
    <row r="132" customFormat="false" ht="15" hidden="false" customHeight="false" outlineLevel="0" collapsed="false">
      <c r="A132" s="327"/>
      <c r="B132" s="327"/>
      <c r="C132" s="410"/>
      <c r="D132" s="410"/>
      <c r="E132" s="410"/>
      <c r="F132" s="411" t="n">
        <f aca="false">$D$15</f>
        <v>3</v>
      </c>
      <c r="G132" s="412" t="n">
        <f aca="false">VLOOKUP(H132,Equipos!$Q$1:$R$25,2,0)</f>
        <v>19</v>
      </c>
      <c r="H132" s="417" t="str">
        <f aca="false">Idiomas!$D$137</f>
        <v>CLASIFICADOS PARA DIECISEISAVOS</v>
      </c>
      <c r="I132" s="410"/>
      <c r="J132" s="418"/>
      <c r="K132" s="367" t="str">
        <f aca="false">Idiomas!$D$198&amp;"-"&amp;ROWS($L$130:L132)</f>
        <v>Dieciseisavofinalista-3</v>
      </c>
      <c r="L132" s="354"/>
      <c r="M132" s="359" t="str">
        <f aca="false">WORLDCUP!AA103</f>
        <v>1E</v>
      </c>
      <c r="N132" s="332"/>
      <c r="O132" s="332"/>
      <c r="P132" s="332"/>
      <c r="Q132" s="332"/>
      <c r="R132" s="404"/>
      <c r="S132" s="363" t="s">
        <v>347</v>
      </c>
      <c r="T132" s="356" t="n">
        <f aca="false">COUNTIF($M$130:$M$161,S132)*$D$15</f>
        <v>0</v>
      </c>
      <c r="U132" s="407"/>
      <c r="V132" s="363" t="s">
        <v>347</v>
      </c>
      <c r="W132" s="356" t="n">
        <f aca="false">COUNTIF($M$130:$M$161,V132)*$D$15</f>
        <v>0</v>
      </c>
      <c r="X132" s="407"/>
      <c r="Y132" s="363" t="s">
        <v>347</v>
      </c>
      <c r="Z132" s="356" t="n">
        <f aca="false">COUNTIF($M$130:$M$161,Y132)*$D$15</f>
        <v>0</v>
      </c>
      <c r="AA132" s="407"/>
      <c r="AB132" s="363" t="s">
        <v>347</v>
      </c>
      <c r="AC132" s="356" t="n">
        <f aca="false">COUNTIF($M$130:$M$161,AB132)*$D$15</f>
        <v>0</v>
      </c>
      <c r="AD132" s="407"/>
      <c r="AE132" s="363" t="s">
        <v>347</v>
      </c>
      <c r="AF132" s="356" t="n">
        <f aca="false">COUNTIF($M$130:$M$161,AE132)*$D$15</f>
        <v>0</v>
      </c>
      <c r="AG132" s="407"/>
      <c r="AH132" s="363" t="s">
        <v>347</v>
      </c>
      <c r="AI132" s="356" t="n">
        <f aca="false">COUNTIF($M$130:$M$161,AH132)*$D$15</f>
        <v>0</v>
      </c>
      <c r="AJ132" s="407"/>
      <c r="AK132" s="363" t="s">
        <v>347</v>
      </c>
      <c r="AL132" s="356" t="n">
        <f aca="false">COUNTIF($M$130:$M$161,AK132)*$D$15</f>
        <v>0</v>
      </c>
      <c r="AM132" s="407"/>
      <c r="AN132" s="363" t="s">
        <v>347</v>
      </c>
      <c r="AO132" s="356" t="n">
        <f aca="false">COUNTIF($M$130:$M$161,AN132)*$D$15</f>
        <v>0</v>
      </c>
      <c r="AP132" s="407"/>
      <c r="AQ132" s="363" t="s">
        <v>347</v>
      </c>
      <c r="AR132" s="356" t="n">
        <f aca="false">COUNTIF($M$130:$M$161,AQ132)*$D$15</f>
        <v>0</v>
      </c>
      <c r="AS132" s="407"/>
      <c r="AT132" s="363" t="s">
        <v>347</v>
      </c>
      <c r="AU132" s="356" t="n">
        <f aca="false">COUNTIF($M$130:$M$161,AT132)*$D$15</f>
        <v>0</v>
      </c>
      <c r="AV132" s="407"/>
      <c r="AW132" s="363" t="s">
        <v>347</v>
      </c>
      <c r="AX132" s="356" t="n">
        <f aca="false">COUNTIF($M$130:$M$161,AW132)*$D$15</f>
        <v>0</v>
      </c>
      <c r="AY132" s="407"/>
      <c r="AZ132" s="363" t="s">
        <v>347</v>
      </c>
      <c r="BA132" s="356" t="n">
        <f aca="false">COUNTIF($M$130:$M$161,AZ132)*$D$15</f>
        <v>0</v>
      </c>
      <c r="BB132" s="407"/>
      <c r="BC132" s="363" t="s">
        <v>347</v>
      </c>
      <c r="BD132" s="356" t="n">
        <f aca="false">COUNTIF($M$130:$M$161,BC132)*$D$15</f>
        <v>0</v>
      </c>
      <c r="BE132" s="407"/>
      <c r="BF132" s="363" t="s">
        <v>347</v>
      </c>
      <c r="BG132" s="356" t="n">
        <f aca="false">COUNTIF($M$130:$M$161,BF132)*$D$15</f>
        <v>0</v>
      </c>
      <c r="BH132" s="407"/>
      <c r="BI132" s="363" t="s">
        <v>347</v>
      </c>
      <c r="BJ132" s="356" t="n">
        <f aca="false">COUNTIF($M$130:$M$161,BI132)*$D$15</f>
        <v>0</v>
      </c>
      <c r="BK132" s="407"/>
      <c r="BL132" s="363" t="s">
        <v>347</v>
      </c>
      <c r="BM132" s="356" t="n">
        <f aca="false">COUNTIF($M$130:$M$161,BL132)*$D$15</f>
        <v>0</v>
      </c>
      <c r="BN132" s="407"/>
      <c r="BO132" s="363" t="s">
        <v>347</v>
      </c>
      <c r="BP132" s="356" t="n">
        <f aca="false">COUNTIF($M$130:$M$161,BO132)*$D$15</f>
        <v>0</v>
      </c>
      <c r="BQ132" s="407"/>
      <c r="BR132" s="363" t="s">
        <v>347</v>
      </c>
      <c r="BS132" s="356" t="n">
        <f aca="false">COUNTIF($M$130:$M$161,BR132)*$D$15</f>
        <v>0</v>
      </c>
      <c r="BT132" s="407"/>
      <c r="BU132" s="363"/>
      <c r="BV132" s="356" t="n">
        <f aca="false">COUNTIF($M$130:$M$161,BU132)*$D$15</f>
        <v>0</v>
      </c>
      <c r="BW132" s="407"/>
      <c r="BX132" s="363"/>
      <c r="BY132" s="356" t="n">
        <f aca="false">COUNTIF($M$130:$M$161,BX132)*$D$15</f>
        <v>0</v>
      </c>
      <c r="BZ132" s="407"/>
      <c r="CA132" s="363"/>
      <c r="CB132" s="356" t="n">
        <f aca="false">COUNTIF($M$130:$M$161,CA132)*$D$15</f>
        <v>0</v>
      </c>
      <c r="CC132" s="407"/>
      <c r="CD132" s="363"/>
      <c r="CE132" s="356" t="n">
        <f aca="false">COUNTIF($M$130:$M$161,CD132)*$D$15</f>
        <v>0</v>
      </c>
      <c r="CF132" s="407"/>
      <c r="CG132" s="363"/>
      <c r="CH132" s="356" t="n">
        <f aca="false">COUNTIF($M$130:$M$161,CG132)*$D$15</f>
        <v>0</v>
      </c>
      <c r="CI132" s="407"/>
      <c r="CJ132" s="363"/>
      <c r="CK132" s="356" t="n">
        <f aca="false">COUNTIF($M$130:$M$161,CJ132)*$D$15</f>
        <v>0</v>
      </c>
      <c r="CL132" s="407"/>
      <c r="CM132" s="363"/>
      <c r="CN132" s="356" t="n">
        <f aca="false">COUNTIF($M$130:$M$161,CM132)*$D$15</f>
        <v>0</v>
      </c>
      <c r="CO132" s="407"/>
      <c r="CP132" s="363"/>
      <c r="CQ132" s="356" t="n">
        <f aca="false">COUNTIF($M$130:$M$161,CP132)*$D$15</f>
        <v>0</v>
      </c>
      <c r="CR132" s="407"/>
      <c r="CS132" s="363"/>
      <c r="CT132" s="356" t="n">
        <f aca="false">COUNTIF($M$130:$M$161,CS132)*$D$15</f>
        <v>0</v>
      </c>
      <c r="CU132" s="407"/>
      <c r="CV132" s="363"/>
      <c r="CW132" s="356" t="n">
        <f aca="false">COUNTIF($M$130:$M$161,CV132)*$D$15</f>
        <v>0</v>
      </c>
      <c r="CX132" s="407"/>
      <c r="CY132" s="363"/>
      <c r="CZ132" s="356" t="n">
        <f aca="false">COUNTIF($M$130:$M$161,CY132)*$D$15</f>
        <v>0</v>
      </c>
      <c r="DA132" s="407"/>
      <c r="DB132" s="363"/>
      <c r="DC132" s="356" t="n">
        <f aca="false">COUNTIF($M$130:$M$161,DB132)*$D$15</f>
        <v>0</v>
      </c>
      <c r="DD132" s="407"/>
      <c r="DE132" s="363"/>
      <c r="DF132" s="356" t="n">
        <f aca="false">COUNTIF($M$130:$M$161,DE132)*$D$15</f>
        <v>0</v>
      </c>
      <c r="DG132" s="407"/>
      <c r="DH132" s="363"/>
      <c r="DI132" s="356" t="n">
        <f aca="false">COUNTIF($M$130:$M$161,DH132)*$D$15</f>
        <v>0</v>
      </c>
      <c r="DJ132" s="407"/>
      <c r="DK132" s="363"/>
      <c r="DL132" s="356" t="n">
        <f aca="false">COUNTIF($M$130:$M$161,DK132)*$D$15</f>
        <v>0</v>
      </c>
      <c r="DM132" s="407"/>
      <c r="DN132" s="363"/>
      <c r="DO132" s="356" t="n">
        <f aca="false">COUNTIF($M$130:$M$161,DN132)*$D$15</f>
        <v>0</v>
      </c>
      <c r="DP132" s="407"/>
      <c r="DQ132" s="363"/>
      <c r="DR132" s="356" t="n">
        <f aca="false">COUNTIF($M$130:$M$161,DQ132)*$D$15</f>
        <v>0</v>
      </c>
      <c r="DS132" s="407"/>
      <c r="DT132" s="363"/>
      <c r="DU132" s="356" t="n">
        <f aca="false">COUNTIF($M$130:$M$161,DT132)*$D$15</f>
        <v>0</v>
      </c>
      <c r="DV132" s="407"/>
      <c r="DW132" s="363"/>
      <c r="DX132" s="356" t="n">
        <f aca="false">COUNTIF($M$130:$M$161,DW132)*$D$15</f>
        <v>0</v>
      </c>
      <c r="DY132" s="407"/>
      <c r="DZ132" s="363"/>
      <c r="EA132" s="356" t="n">
        <f aca="false">COUNTIF($M$130:$M$161,DZ132)*$D$15</f>
        <v>0</v>
      </c>
      <c r="EB132" s="407"/>
      <c r="EC132" s="363"/>
      <c r="ED132" s="356" t="n">
        <f aca="false">COUNTIF($M$130:$M$161,EC132)*$D$15</f>
        <v>0</v>
      </c>
      <c r="EE132" s="407"/>
      <c r="EF132" s="363"/>
      <c r="EG132" s="356" t="n">
        <f aca="false">COUNTIF($M$130:$M$161,EF132)*$D$15</f>
        <v>0</v>
      </c>
      <c r="EH132" s="407"/>
      <c r="EI132" s="407"/>
    </row>
    <row r="133" customFormat="false" ht="15" hidden="false" customHeight="false" outlineLevel="0" collapsed="false">
      <c r="A133" s="327"/>
      <c r="B133" s="327"/>
      <c r="C133" s="410"/>
      <c r="D133" s="410"/>
      <c r="E133" s="410"/>
      <c r="F133" s="411" t="n">
        <f aca="false">$D$15</f>
        <v>3</v>
      </c>
      <c r="G133" s="412" t="n">
        <f aca="false">VLOOKUP(H133,Equipos!$Q$1:$R$25,2,0)</f>
        <v>19</v>
      </c>
      <c r="H133" s="417" t="str">
        <f aca="false">Idiomas!$D$137</f>
        <v>CLASIFICADOS PARA DIECISEISAVOS</v>
      </c>
      <c r="I133" s="410"/>
      <c r="J133" s="418"/>
      <c r="K133" s="367" t="str">
        <f aca="false">Idiomas!$D$198&amp;"-"&amp;ROWS($L$130:L133)</f>
        <v>Dieciseisavofinalista-4</v>
      </c>
      <c r="L133" s="354"/>
      <c r="M133" s="359" t="str">
        <f aca="false">WORLDCUP!AA104</f>
        <v>1F</v>
      </c>
      <c r="N133" s="332"/>
      <c r="O133" s="332"/>
      <c r="P133" s="332"/>
      <c r="Q133" s="332"/>
      <c r="R133" s="404"/>
      <c r="S133" s="363" t="s">
        <v>351</v>
      </c>
      <c r="T133" s="356" t="n">
        <f aca="false">COUNTIF($M$130:$M$161,S133)*$D$15</f>
        <v>0</v>
      </c>
      <c r="U133" s="407"/>
      <c r="V133" s="363" t="s">
        <v>351</v>
      </c>
      <c r="W133" s="356" t="n">
        <f aca="false">COUNTIF($M$130:$M$161,V133)*$D$15</f>
        <v>0</v>
      </c>
      <c r="X133" s="407"/>
      <c r="Y133" s="363" t="s">
        <v>351</v>
      </c>
      <c r="Z133" s="356" t="n">
        <f aca="false">COUNTIF($M$130:$M$161,Y133)*$D$15</f>
        <v>0</v>
      </c>
      <c r="AA133" s="407"/>
      <c r="AB133" s="363" t="s">
        <v>351</v>
      </c>
      <c r="AC133" s="356" t="n">
        <f aca="false">COUNTIF($M$130:$M$161,AB133)*$D$15</f>
        <v>0</v>
      </c>
      <c r="AD133" s="407"/>
      <c r="AE133" s="363" t="s">
        <v>351</v>
      </c>
      <c r="AF133" s="356" t="n">
        <f aca="false">COUNTIF($M$130:$M$161,AE133)*$D$15</f>
        <v>0</v>
      </c>
      <c r="AG133" s="407"/>
      <c r="AH133" s="363" t="s">
        <v>351</v>
      </c>
      <c r="AI133" s="356" t="n">
        <f aca="false">COUNTIF($M$130:$M$161,AH133)*$D$15</f>
        <v>0</v>
      </c>
      <c r="AJ133" s="407"/>
      <c r="AK133" s="363" t="s">
        <v>351</v>
      </c>
      <c r="AL133" s="356" t="n">
        <f aca="false">COUNTIF($M$130:$M$161,AK133)*$D$15</f>
        <v>0</v>
      </c>
      <c r="AM133" s="407"/>
      <c r="AN133" s="363" t="s">
        <v>351</v>
      </c>
      <c r="AO133" s="356" t="n">
        <f aca="false">COUNTIF($M$130:$M$161,AN133)*$D$15</f>
        <v>0</v>
      </c>
      <c r="AP133" s="407"/>
      <c r="AQ133" s="363" t="s">
        <v>351</v>
      </c>
      <c r="AR133" s="356" t="n">
        <f aca="false">COUNTIF($M$130:$M$161,AQ133)*$D$15</f>
        <v>0</v>
      </c>
      <c r="AS133" s="407"/>
      <c r="AT133" s="363" t="s">
        <v>351</v>
      </c>
      <c r="AU133" s="356" t="n">
        <f aca="false">COUNTIF($M$130:$M$161,AT133)*$D$15</f>
        <v>0</v>
      </c>
      <c r="AV133" s="407"/>
      <c r="AW133" s="363" t="s">
        <v>351</v>
      </c>
      <c r="AX133" s="356" t="n">
        <f aca="false">COUNTIF($M$130:$M$161,AW133)*$D$15</f>
        <v>0</v>
      </c>
      <c r="AY133" s="407"/>
      <c r="AZ133" s="363" t="s">
        <v>351</v>
      </c>
      <c r="BA133" s="356" t="n">
        <f aca="false">COUNTIF($M$130:$M$161,AZ133)*$D$15</f>
        <v>0</v>
      </c>
      <c r="BB133" s="407"/>
      <c r="BC133" s="363" t="s">
        <v>351</v>
      </c>
      <c r="BD133" s="356" t="n">
        <f aca="false">COUNTIF($M$130:$M$161,BC133)*$D$15</f>
        <v>0</v>
      </c>
      <c r="BE133" s="407"/>
      <c r="BF133" s="363" t="s">
        <v>351</v>
      </c>
      <c r="BG133" s="356" t="n">
        <f aca="false">COUNTIF($M$130:$M$161,BF133)*$D$15</f>
        <v>0</v>
      </c>
      <c r="BH133" s="407"/>
      <c r="BI133" s="363" t="s">
        <v>351</v>
      </c>
      <c r="BJ133" s="356" t="n">
        <f aca="false">COUNTIF($M$130:$M$161,BI133)*$D$15</f>
        <v>0</v>
      </c>
      <c r="BK133" s="407"/>
      <c r="BL133" s="363" t="s">
        <v>351</v>
      </c>
      <c r="BM133" s="356" t="n">
        <f aca="false">COUNTIF($M$130:$M$161,BL133)*$D$15</f>
        <v>0</v>
      </c>
      <c r="BN133" s="407"/>
      <c r="BO133" s="363" t="s">
        <v>351</v>
      </c>
      <c r="BP133" s="356" t="n">
        <f aca="false">COUNTIF($M$130:$M$161,BO133)*$D$15</f>
        <v>0</v>
      </c>
      <c r="BQ133" s="407"/>
      <c r="BR133" s="363" t="s">
        <v>351</v>
      </c>
      <c r="BS133" s="356" t="n">
        <f aca="false">COUNTIF($M$130:$M$161,BR133)*$D$15</f>
        <v>0</v>
      </c>
      <c r="BT133" s="407"/>
      <c r="BU133" s="363"/>
      <c r="BV133" s="356" t="n">
        <f aca="false">COUNTIF($M$130:$M$161,BU133)*$D$15</f>
        <v>0</v>
      </c>
      <c r="BW133" s="407"/>
      <c r="BX133" s="363"/>
      <c r="BY133" s="356" t="n">
        <f aca="false">COUNTIF($M$130:$M$161,BX133)*$D$15</f>
        <v>0</v>
      </c>
      <c r="BZ133" s="407"/>
      <c r="CA133" s="363"/>
      <c r="CB133" s="356" t="n">
        <f aca="false">COUNTIF($M$130:$M$161,CA133)*$D$15</f>
        <v>0</v>
      </c>
      <c r="CC133" s="407"/>
      <c r="CD133" s="363"/>
      <c r="CE133" s="356" t="n">
        <f aca="false">COUNTIF($M$130:$M$161,CD133)*$D$15</f>
        <v>0</v>
      </c>
      <c r="CF133" s="407"/>
      <c r="CG133" s="363"/>
      <c r="CH133" s="356" t="n">
        <f aca="false">COUNTIF($M$130:$M$161,CG133)*$D$15</f>
        <v>0</v>
      </c>
      <c r="CI133" s="407"/>
      <c r="CJ133" s="363"/>
      <c r="CK133" s="356" t="n">
        <f aca="false">COUNTIF($M$130:$M$161,CJ133)*$D$15</f>
        <v>0</v>
      </c>
      <c r="CL133" s="407"/>
      <c r="CM133" s="363"/>
      <c r="CN133" s="356" t="n">
        <f aca="false">COUNTIF($M$130:$M$161,CM133)*$D$15</f>
        <v>0</v>
      </c>
      <c r="CO133" s="407"/>
      <c r="CP133" s="363"/>
      <c r="CQ133" s="356" t="n">
        <f aca="false">COUNTIF($M$130:$M$161,CP133)*$D$15</f>
        <v>0</v>
      </c>
      <c r="CR133" s="407"/>
      <c r="CS133" s="363"/>
      <c r="CT133" s="356" t="n">
        <f aca="false">COUNTIF($M$130:$M$161,CS133)*$D$15</f>
        <v>0</v>
      </c>
      <c r="CU133" s="407"/>
      <c r="CV133" s="363"/>
      <c r="CW133" s="356" t="n">
        <f aca="false">COUNTIF($M$130:$M$161,CV133)*$D$15</f>
        <v>0</v>
      </c>
      <c r="CX133" s="407"/>
      <c r="CY133" s="363"/>
      <c r="CZ133" s="356" t="n">
        <f aca="false">COUNTIF($M$130:$M$161,CY133)*$D$15</f>
        <v>0</v>
      </c>
      <c r="DA133" s="407"/>
      <c r="DB133" s="363"/>
      <c r="DC133" s="356" t="n">
        <f aca="false">COUNTIF($M$130:$M$161,DB133)*$D$15</f>
        <v>0</v>
      </c>
      <c r="DD133" s="407"/>
      <c r="DE133" s="363"/>
      <c r="DF133" s="356" t="n">
        <f aca="false">COUNTIF($M$130:$M$161,DE133)*$D$15</f>
        <v>0</v>
      </c>
      <c r="DG133" s="407"/>
      <c r="DH133" s="363"/>
      <c r="DI133" s="356" t="n">
        <f aca="false">COUNTIF($M$130:$M$161,DH133)*$D$15</f>
        <v>0</v>
      </c>
      <c r="DJ133" s="407"/>
      <c r="DK133" s="363"/>
      <c r="DL133" s="356" t="n">
        <f aca="false">COUNTIF($M$130:$M$161,DK133)*$D$15</f>
        <v>0</v>
      </c>
      <c r="DM133" s="407"/>
      <c r="DN133" s="363"/>
      <c r="DO133" s="356" t="n">
        <f aca="false">COUNTIF($M$130:$M$161,DN133)*$D$15</f>
        <v>0</v>
      </c>
      <c r="DP133" s="407"/>
      <c r="DQ133" s="363"/>
      <c r="DR133" s="356" t="n">
        <f aca="false">COUNTIF($M$130:$M$161,DQ133)*$D$15</f>
        <v>0</v>
      </c>
      <c r="DS133" s="407"/>
      <c r="DT133" s="363"/>
      <c r="DU133" s="356" t="n">
        <f aca="false">COUNTIF($M$130:$M$161,DT133)*$D$15</f>
        <v>0</v>
      </c>
      <c r="DV133" s="407"/>
      <c r="DW133" s="363"/>
      <c r="DX133" s="356" t="n">
        <f aca="false">COUNTIF($M$130:$M$161,DW133)*$D$15</f>
        <v>0</v>
      </c>
      <c r="DY133" s="407"/>
      <c r="DZ133" s="363"/>
      <c r="EA133" s="356" t="n">
        <f aca="false">COUNTIF($M$130:$M$161,DZ133)*$D$15</f>
        <v>0</v>
      </c>
      <c r="EB133" s="407"/>
      <c r="EC133" s="363"/>
      <c r="ED133" s="356" t="n">
        <f aca="false">COUNTIF($M$130:$M$161,EC133)*$D$15</f>
        <v>0</v>
      </c>
      <c r="EE133" s="407"/>
      <c r="EF133" s="363"/>
      <c r="EG133" s="356" t="n">
        <f aca="false">COUNTIF($M$130:$M$161,EF133)*$D$15</f>
        <v>0</v>
      </c>
      <c r="EH133" s="407"/>
      <c r="EI133" s="407"/>
    </row>
    <row r="134" customFormat="false" ht="15" hidden="false" customHeight="false" outlineLevel="0" collapsed="false">
      <c r="A134" s="327"/>
      <c r="B134" s="327"/>
      <c r="C134" s="410"/>
      <c r="D134" s="410"/>
      <c r="E134" s="410"/>
      <c r="F134" s="411" t="n">
        <f aca="false">$D$15</f>
        <v>3</v>
      </c>
      <c r="G134" s="412" t="n">
        <f aca="false">VLOOKUP(H134,Equipos!$Q$1:$R$25,2,0)</f>
        <v>19</v>
      </c>
      <c r="H134" s="417" t="str">
        <f aca="false">Idiomas!$D$137</f>
        <v>CLASIFICADOS PARA DIECISEISAVOS</v>
      </c>
      <c r="I134" s="410"/>
      <c r="J134" s="418"/>
      <c r="K134" s="367" t="str">
        <f aca="false">Idiomas!$D$198&amp;"-"&amp;ROWS($L$130:L134)</f>
        <v>Dieciseisavofinalista-5</v>
      </c>
      <c r="L134" s="354"/>
      <c r="M134" s="359" t="str">
        <f aca="false">WORLDCUP!AA105</f>
        <v>2E</v>
      </c>
      <c r="N134" s="332"/>
      <c r="O134" s="332"/>
      <c r="P134" s="332"/>
      <c r="Q134" s="332"/>
      <c r="R134" s="404"/>
      <c r="S134" s="363" t="s">
        <v>348</v>
      </c>
      <c r="T134" s="356" t="n">
        <f aca="false">COUNTIF($M$130:$M$161,S134)*$D$15</f>
        <v>0</v>
      </c>
      <c r="U134" s="407"/>
      <c r="V134" s="363" t="s">
        <v>349</v>
      </c>
      <c r="W134" s="356" t="n">
        <f aca="false">COUNTIF($M$130:$M$161,V134)*$D$15</f>
        <v>0</v>
      </c>
      <c r="X134" s="407"/>
      <c r="Y134" s="363" t="s">
        <v>349</v>
      </c>
      <c r="Z134" s="356" t="n">
        <f aca="false">COUNTIF($M$130:$M$161,Y134)*$D$15</f>
        <v>0</v>
      </c>
      <c r="AA134" s="407"/>
      <c r="AB134" s="363" t="s">
        <v>349</v>
      </c>
      <c r="AC134" s="356" t="n">
        <f aca="false">COUNTIF($M$130:$M$161,AB134)*$D$15</f>
        <v>0</v>
      </c>
      <c r="AD134" s="407"/>
      <c r="AE134" s="363" t="s">
        <v>348</v>
      </c>
      <c r="AF134" s="356" t="n">
        <f aca="false">COUNTIF($M$130:$M$161,AE134)*$D$15</f>
        <v>0</v>
      </c>
      <c r="AG134" s="407"/>
      <c r="AH134" s="363" t="s">
        <v>348</v>
      </c>
      <c r="AI134" s="356" t="n">
        <f aca="false">COUNTIF($M$130:$M$161,AH134)*$D$15</f>
        <v>0</v>
      </c>
      <c r="AJ134" s="407"/>
      <c r="AK134" s="363" t="s">
        <v>348</v>
      </c>
      <c r="AL134" s="356" t="n">
        <f aca="false">COUNTIF($M$130:$M$161,AK134)*$D$15</f>
        <v>0</v>
      </c>
      <c r="AM134" s="407"/>
      <c r="AN134" s="363" t="s">
        <v>349</v>
      </c>
      <c r="AO134" s="356" t="n">
        <f aca="false">COUNTIF($M$130:$M$161,AN134)*$D$15</f>
        <v>0</v>
      </c>
      <c r="AP134" s="407"/>
      <c r="AQ134" s="363" t="s">
        <v>349</v>
      </c>
      <c r="AR134" s="356" t="n">
        <f aca="false">COUNTIF($M$130:$M$161,AQ134)*$D$15</f>
        <v>0</v>
      </c>
      <c r="AS134" s="407"/>
      <c r="AT134" s="363" t="s">
        <v>349</v>
      </c>
      <c r="AU134" s="356" t="n">
        <f aca="false">COUNTIF($M$130:$M$161,AT134)*$D$15</f>
        <v>0</v>
      </c>
      <c r="AV134" s="407"/>
      <c r="AW134" s="363" t="s">
        <v>348</v>
      </c>
      <c r="AX134" s="356" t="n">
        <f aca="false">COUNTIF($M$130:$M$161,AW134)*$D$15</f>
        <v>0</v>
      </c>
      <c r="AY134" s="407"/>
      <c r="AZ134" s="363" t="s">
        <v>349</v>
      </c>
      <c r="BA134" s="356" t="n">
        <f aca="false">COUNTIF($M$130:$M$161,AZ134)*$D$15</f>
        <v>0</v>
      </c>
      <c r="BB134" s="407"/>
      <c r="BC134" s="363" t="s">
        <v>348</v>
      </c>
      <c r="BD134" s="356" t="n">
        <f aca="false">COUNTIF($M$130:$M$161,BC134)*$D$15</f>
        <v>0</v>
      </c>
      <c r="BE134" s="407"/>
      <c r="BF134" s="363" t="s">
        <v>349</v>
      </c>
      <c r="BG134" s="356" t="n">
        <f aca="false">COUNTIF($M$130:$M$161,BF134)*$D$15</f>
        <v>0</v>
      </c>
      <c r="BH134" s="407"/>
      <c r="BI134" s="363" t="s">
        <v>349</v>
      </c>
      <c r="BJ134" s="356" t="n">
        <f aca="false">COUNTIF($M$130:$M$161,BI134)*$D$15</f>
        <v>0</v>
      </c>
      <c r="BK134" s="407"/>
      <c r="BL134" s="363" t="s">
        <v>348</v>
      </c>
      <c r="BM134" s="356" t="n">
        <f aca="false">COUNTIF($M$130:$M$161,BL134)*$D$15</f>
        <v>0</v>
      </c>
      <c r="BN134" s="407"/>
      <c r="BO134" s="363" t="s">
        <v>349</v>
      </c>
      <c r="BP134" s="356" t="n">
        <f aca="false">COUNTIF($M$130:$M$161,BO134)*$D$15</f>
        <v>0</v>
      </c>
      <c r="BQ134" s="407"/>
      <c r="BR134" s="363" t="s">
        <v>349</v>
      </c>
      <c r="BS134" s="356" t="n">
        <f aca="false">COUNTIF($M$130:$M$161,BR134)*$D$15</f>
        <v>0</v>
      </c>
      <c r="BT134" s="407"/>
      <c r="BU134" s="363"/>
      <c r="BV134" s="356" t="n">
        <f aca="false">COUNTIF($M$130:$M$161,BU134)*$D$15</f>
        <v>0</v>
      </c>
      <c r="BW134" s="407"/>
      <c r="BX134" s="363"/>
      <c r="BY134" s="356" t="n">
        <f aca="false">COUNTIF($M$130:$M$161,BX134)*$D$15</f>
        <v>0</v>
      </c>
      <c r="BZ134" s="407"/>
      <c r="CA134" s="363"/>
      <c r="CB134" s="356" t="n">
        <f aca="false">COUNTIF($M$130:$M$161,CA134)*$D$15</f>
        <v>0</v>
      </c>
      <c r="CC134" s="407"/>
      <c r="CD134" s="363"/>
      <c r="CE134" s="356" t="n">
        <f aca="false">COUNTIF($M$130:$M$161,CD134)*$D$15</f>
        <v>0</v>
      </c>
      <c r="CF134" s="407"/>
      <c r="CG134" s="363"/>
      <c r="CH134" s="356" t="n">
        <f aca="false">COUNTIF($M$130:$M$161,CG134)*$D$15</f>
        <v>0</v>
      </c>
      <c r="CI134" s="407"/>
      <c r="CJ134" s="363"/>
      <c r="CK134" s="356" t="n">
        <f aca="false">COUNTIF($M$130:$M$161,CJ134)*$D$15</f>
        <v>0</v>
      </c>
      <c r="CL134" s="407"/>
      <c r="CM134" s="363"/>
      <c r="CN134" s="356" t="n">
        <f aca="false">COUNTIF($M$130:$M$161,CM134)*$D$15</f>
        <v>0</v>
      </c>
      <c r="CO134" s="407"/>
      <c r="CP134" s="363"/>
      <c r="CQ134" s="356" t="n">
        <f aca="false">COUNTIF($M$130:$M$161,CP134)*$D$15</f>
        <v>0</v>
      </c>
      <c r="CR134" s="407"/>
      <c r="CS134" s="363"/>
      <c r="CT134" s="356" t="n">
        <f aca="false">COUNTIF($M$130:$M$161,CS134)*$D$15</f>
        <v>0</v>
      </c>
      <c r="CU134" s="407"/>
      <c r="CV134" s="363"/>
      <c r="CW134" s="356" t="n">
        <f aca="false">COUNTIF($M$130:$M$161,CV134)*$D$15</f>
        <v>0</v>
      </c>
      <c r="CX134" s="407"/>
      <c r="CY134" s="363"/>
      <c r="CZ134" s="356" t="n">
        <f aca="false">COUNTIF($M$130:$M$161,CY134)*$D$15</f>
        <v>0</v>
      </c>
      <c r="DA134" s="407"/>
      <c r="DB134" s="363"/>
      <c r="DC134" s="356" t="n">
        <f aca="false">COUNTIF($M$130:$M$161,DB134)*$D$15</f>
        <v>0</v>
      </c>
      <c r="DD134" s="407"/>
      <c r="DE134" s="363"/>
      <c r="DF134" s="356" t="n">
        <f aca="false">COUNTIF($M$130:$M$161,DE134)*$D$15</f>
        <v>0</v>
      </c>
      <c r="DG134" s="407"/>
      <c r="DH134" s="363"/>
      <c r="DI134" s="356" t="n">
        <f aca="false">COUNTIF($M$130:$M$161,DH134)*$D$15</f>
        <v>0</v>
      </c>
      <c r="DJ134" s="407"/>
      <c r="DK134" s="363"/>
      <c r="DL134" s="356" t="n">
        <f aca="false">COUNTIF($M$130:$M$161,DK134)*$D$15</f>
        <v>0</v>
      </c>
      <c r="DM134" s="407"/>
      <c r="DN134" s="363"/>
      <c r="DO134" s="356" t="n">
        <f aca="false">COUNTIF($M$130:$M$161,DN134)*$D$15</f>
        <v>0</v>
      </c>
      <c r="DP134" s="407"/>
      <c r="DQ134" s="363"/>
      <c r="DR134" s="356" t="n">
        <f aca="false">COUNTIF($M$130:$M$161,DQ134)*$D$15</f>
        <v>0</v>
      </c>
      <c r="DS134" s="407"/>
      <c r="DT134" s="363"/>
      <c r="DU134" s="356" t="n">
        <f aca="false">COUNTIF($M$130:$M$161,DT134)*$D$15</f>
        <v>0</v>
      </c>
      <c r="DV134" s="407"/>
      <c r="DW134" s="363"/>
      <c r="DX134" s="356" t="n">
        <f aca="false">COUNTIF($M$130:$M$161,DW134)*$D$15</f>
        <v>0</v>
      </c>
      <c r="DY134" s="407"/>
      <c r="DZ134" s="363"/>
      <c r="EA134" s="356" t="n">
        <f aca="false">COUNTIF($M$130:$M$161,DZ134)*$D$15</f>
        <v>0</v>
      </c>
      <c r="EB134" s="407"/>
      <c r="EC134" s="363"/>
      <c r="ED134" s="356" t="n">
        <f aca="false">COUNTIF($M$130:$M$161,EC134)*$D$15</f>
        <v>0</v>
      </c>
      <c r="EE134" s="407"/>
      <c r="EF134" s="363"/>
      <c r="EG134" s="356" t="n">
        <f aca="false">COUNTIF($M$130:$M$161,EF134)*$D$15</f>
        <v>0</v>
      </c>
      <c r="EH134" s="407"/>
      <c r="EI134" s="407"/>
    </row>
    <row r="135" customFormat="false" ht="15" hidden="false" customHeight="false" outlineLevel="0" collapsed="false">
      <c r="A135" s="327"/>
      <c r="B135" s="327"/>
      <c r="C135" s="410"/>
      <c r="D135" s="410"/>
      <c r="E135" s="410"/>
      <c r="F135" s="411" t="n">
        <f aca="false">$D$15</f>
        <v>3</v>
      </c>
      <c r="G135" s="412" t="n">
        <f aca="false">VLOOKUP(H135,Equipos!$Q$1:$R$25,2,0)</f>
        <v>19</v>
      </c>
      <c r="H135" s="417" t="str">
        <f aca="false">Idiomas!$D$137</f>
        <v>CLASIFICADOS PARA DIECISEISAVOS</v>
      </c>
      <c r="I135" s="410"/>
      <c r="J135" s="418"/>
      <c r="K135" s="367" t="str">
        <f aca="false">Idiomas!$D$198&amp;"-"&amp;ROWS($L$130:L135)</f>
        <v>Dieciseisavofinalista-6</v>
      </c>
      <c r="L135" s="354"/>
      <c r="M135" s="359" t="str">
        <f aca="false">WORLDCUP!AA106</f>
        <v>1I</v>
      </c>
      <c r="N135" s="332"/>
      <c r="O135" s="332"/>
      <c r="P135" s="332"/>
      <c r="Q135" s="332"/>
      <c r="R135" s="404"/>
      <c r="S135" s="363" t="s">
        <v>362</v>
      </c>
      <c r="T135" s="356" t="n">
        <f aca="false">COUNTIF($M$130:$M$161,S135)*$D$15</f>
        <v>0</v>
      </c>
      <c r="U135" s="407"/>
      <c r="V135" s="363" t="s">
        <v>362</v>
      </c>
      <c r="W135" s="356" t="n">
        <f aca="false">COUNTIF($M$130:$M$161,V135)*$D$15</f>
        <v>0</v>
      </c>
      <c r="X135" s="407"/>
      <c r="Y135" s="363" t="s">
        <v>362</v>
      </c>
      <c r="Z135" s="356" t="n">
        <f aca="false">COUNTIF($M$130:$M$161,Y135)*$D$15</f>
        <v>0</v>
      </c>
      <c r="AA135" s="407"/>
      <c r="AB135" s="363" t="s">
        <v>362</v>
      </c>
      <c r="AC135" s="356" t="n">
        <f aca="false">COUNTIF($M$130:$M$161,AB135)*$D$15</f>
        <v>0</v>
      </c>
      <c r="AD135" s="407"/>
      <c r="AE135" s="363" t="s">
        <v>362</v>
      </c>
      <c r="AF135" s="356" t="n">
        <f aca="false">COUNTIF($M$130:$M$161,AE135)*$D$15</f>
        <v>0</v>
      </c>
      <c r="AG135" s="407"/>
      <c r="AH135" s="363" t="s">
        <v>362</v>
      </c>
      <c r="AI135" s="356" t="n">
        <f aca="false">COUNTIF($M$130:$M$161,AH135)*$D$15</f>
        <v>0</v>
      </c>
      <c r="AJ135" s="407"/>
      <c r="AK135" s="363" t="s">
        <v>362</v>
      </c>
      <c r="AL135" s="356" t="n">
        <f aca="false">COUNTIF($M$130:$M$161,AK135)*$D$15</f>
        <v>0</v>
      </c>
      <c r="AM135" s="407"/>
      <c r="AN135" s="363" t="s">
        <v>362</v>
      </c>
      <c r="AO135" s="356" t="n">
        <f aca="false">COUNTIF($M$130:$M$161,AN135)*$D$15</f>
        <v>0</v>
      </c>
      <c r="AP135" s="407"/>
      <c r="AQ135" s="363" t="s">
        <v>363</v>
      </c>
      <c r="AR135" s="356" t="n">
        <f aca="false">COUNTIF($M$130:$M$161,AQ135)*$D$15</f>
        <v>0</v>
      </c>
      <c r="AS135" s="407"/>
      <c r="AT135" s="363" t="s">
        <v>362</v>
      </c>
      <c r="AU135" s="356" t="n">
        <f aca="false">COUNTIF($M$130:$M$161,AT135)*$D$15</f>
        <v>0</v>
      </c>
      <c r="AV135" s="407"/>
      <c r="AW135" s="363" t="s">
        <v>362</v>
      </c>
      <c r="AX135" s="356" t="n">
        <f aca="false">COUNTIF($M$130:$M$161,AW135)*$D$15</f>
        <v>0</v>
      </c>
      <c r="AY135" s="407"/>
      <c r="AZ135" s="363" t="s">
        <v>362</v>
      </c>
      <c r="BA135" s="356" t="n">
        <f aca="false">COUNTIF($M$130:$M$161,AZ135)*$D$15</f>
        <v>0</v>
      </c>
      <c r="BB135" s="407"/>
      <c r="BC135" s="363" t="s">
        <v>362</v>
      </c>
      <c r="BD135" s="356" t="n">
        <f aca="false">COUNTIF($M$130:$M$161,BC135)*$D$15</f>
        <v>0</v>
      </c>
      <c r="BE135" s="407"/>
      <c r="BF135" s="363" t="s">
        <v>362</v>
      </c>
      <c r="BG135" s="356" t="n">
        <f aca="false">COUNTIF($M$130:$M$161,BF135)*$D$15</f>
        <v>0</v>
      </c>
      <c r="BH135" s="407"/>
      <c r="BI135" s="363" t="s">
        <v>362</v>
      </c>
      <c r="BJ135" s="356" t="n">
        <f aca="false">COUNTIF($M$130:$M$161,BI135)*$D$15</f>
        <v>0</v>
      </c>
      <c r="BK135" s="407"/>
      <c r="BL135" s="363" t="s">
        <v>362</v>
      </c>
      <c r="BM135" s="356" t="n">
        <f aca="false">COUNTIF($M$130:$M$161,BL135)*$D$15</f>
        <v>0</v>
      </c>
      <c r="BN135" s="407"/>
      <c r="BO135" s="363" t="s">
        <v>362</v>
      </c>
      <c r="BP135" s="356" t="n">
        <f aca="false">COUNTIF($M$130:$M$161,BO135)*$D$15</f>
        <v>0</v>
      </c>
      <c r="BQ135" s="407"/>
      <c r="BR135" s="363" t="s">
        <v>362</v>
      </c>
      <c r="BS135" s="356" t="n">
        <f aca="false">COUNTIF($M$130:$M$161,BR135)*$D$15</f>
        <v>0</v>
      </c>
      <c r="BT135" s="407"/>
      <c r="BU135" s="363"/>
      <c r="BV135" s="356" t="n">
        <f aca="false">COUNTIF($M$130:$M$161,BU135)*$D$15</f>
        <v>0</v>
      </c>
      <c r="BW135" s="407"/>
      <c r="BX135" s="363"/>
      <c r="BY135" s="356" t="n">
        <f aca="false">COUNTIF($M$130:$M$161,BX135)*$D$15</f>
        <v>0</v>
      </c>
      <c r="BZ135" s="407"/>
      <c r="CA135" s="363"/>
      <c r="CB135" s="356" t="n">
        <f aca="false">COUNTIF($M$130:$M$161,CA135)*$D$15</f>
        <v>0</v>
      </c>
      <c r="CC135" s="407"/>
      <c r="CD135" s="363"/>
      <c r="CE135" s="356" t="n">
        <f aca="false">COUNTIF($M$130:$M$161,CD135)*$D$15</f>
        <v>0</v>
      </c>
      <c r="CF135" s="407"/>
      <c r="CG135" s="363"/>
      <c r="CH135" s="356" t="n">
        <f aca="false">COUNTIF($M$130:$M$161,CG135)*$D$15</f>
        <v>0</v>
      </c>
      <c r="CI135" s="407"/>
      <c r="CJ135" s="363"/>
      <c r="CK135" s="356" t="n">
        <f aca="false">COUNTIF($M$130:$M$161,CJ135)*$D$15</f>
        <v>0</v>
      </c>
      <c r="CL135" s="407"/>
      <c r="CM135" s="363"/>
      <c r="CN135" s="356" t="n">
        <f aca="false">COUNTIF($M$130:$M$161,CM135)*$D$15</f>
        <v>0</v>
      </c>
      <c r="CO135" s="407"/>
      <c r="CP135" s="363"/>
      <c r="CQ135" s="356" t="n">
        <f aca="false">COUNTIF($M$130:$M$161,CP135)*$D$15</f>
        <v>0</v>
      </c>
      <c r="CR135" s="407"/>
      <c r="CS135" s="363"/>
      <c r="CT135" s="356" t="n">
        <f aca="false">COUNTIF($M$130:$M$161,CS135)*$D$15</f>
        <v>0</v>
      </c>
      <c r="CU135" s="407"/>
      <c r="CV135" s="363"/>
      <c r="CW135" s="356" t="n">
        <f aca="false">COUNTIF($M$130:$M$161,CV135)*$D$15</f>
        <v>0</v>
      </c>
      <c r="CX135" s="407"/>
      <c r="CY135" s="363"/>
      <c r="CZ135" s="356" t="n">
        <f aca="false">COUNTIF($M$130:$M$161,CY135)*$D$15</f>
        <v>0</v>
      </c>
      <c r="DA135" s="407"/>
      <c r="DB135" s="363"/>
      <c r="DC135" s="356" t="n">
        <f aca="false">COUNTIF($M$130:$M$161,DB135)*$D$15</f>
        <v>0</v>
      </c>
      <c r="DD135" s="407"/>
      <c r="DE135" s="363"/>
      <c r="DF135" s="356" t="n">
        <f aca="false">COUNTIF($M$130:$M$161,DE135)*$D$15</f>
        <v>0</v>
      </c>
      <c r="DG135" s="407"/>
      <c r="DH135" s="363"/>
      <c r="DI135" s="356" t="n">
        <f aca="false">COUNTIF($M$130:$M$161,DH135)*$D$15</f>
        <v>0</v>
      </c>
      <c r="DJ135" s="407"/>
      <c r="DK135" s="363"/>
      <c r="DL135" s="356" t="n">
        <f aca="false">COUNTIF($M$130:$M$161,DK135)*$D$15</f>
        <v>0</v>
      </c>
      <c r="DM135" s="407"/>
      <c r="DN135" s="363"/>
      <c r="DO135" s="356" t="n">
        <f aca="false">COUNTIF($M$130:$M$161,DN135)*$D$15</f>
        <v>0</v>
      </c>
      <c r="DP135" s="407"/>
      <c r="DQ135" s="363"/>
      <c r="DR135" s="356" t="n">
        <f aca="false">COUNTIF($M$130:$M$161,DQ135)*$D$15</f>
        <v>0</v>
      </c>
      <c r="DS135" s="407"/>
      <c r="DT135" s="363"/>
      <c r="DU135" s="356" t="n">
        <f aca="false">COUNTIF($M$130:$M$161,DT135)*$D$15</f>
        <v>0</v>
      </c>
      <c r="DV135" s="407"/>
      <c r="DW135" s="363"/>
      <c r="DX135" s="356" t="n">
        <f aca="false">COUNTIF($M$130:$M$161,DW135)*$D$15</f>
        <v>0</v>
      </c>
      <c r="DY135" s="407"/>
      <c r="DZ135" s="363"/>
      <c r="EA135" s="356" t="n">
        <f aca="false">COUNTIF($M$130:$M$161,DZ135)*$D$15</f>
        <v>0</v>
      </c>
      <c r="EB135" s="407"/>
      <c r="EC135" s="363"/>
      <c r="ED135" s="356" t="n">
        <f aca="false">COUNTIF($M$130:$M$161,EC135)*$D$15</f>
        <v>0</v>
      </c>
      <c r="EE135" s="407"/>
      <c r="EF135" s="363"/>
      <c r="EG135" s="356" t="n">
        <f aca="false">COUNTIF($M$130:$M$161,EF135)*$D$15</f>
        <v>0</v>
      </c>
      <c r="EH135" s="407"/>
      <c r="EI135" s="407"/>
    </row>
    <row r="136" customFormat="false" ht="15" hidden="false" customHeight="false" outlineLevel="0" collapsed="false">
      <c r="A136" s="327"/>
      <c r="B136" s="327"/>
      <c r="C136" s="410"/>
      <c r="D136" s="410"/>
      <c r="E136" s="410"/>
      <c r="F136" s="411" t="n">
        <f aca="false">$D$15</f>
        <v>3</v>
      </c>
      <c r="G136" s="412" t="n">
        <f aca="false">VLOOKUP(H136,Equipos!$Q$1:$R$25,2,0)</f>
        <v>19</v>
      </c>
      <c r="H136" s="417" t="str">
        <f aca="false">Idiomas!$D$137</f>
        <v>CLASIFICADOS PARA DIECISEISAVOS</v>
      </c>
      <c r="I136" s="410"/>
      <c r="J136" s="418"/>
      <c r="K136" s="367" t="str">
        <f aca="false">Idiomas!$D$198&amp;"-"&amp;ROWS($L$130:L136)</f>
        <v>Dieciseisavofinalista-7</v>
      </c>
      <c r="L136" s="354"/>
      <c r="M136" s="359" t="str">
        <f aca="false">WORLDCUP!AA107</f>
        <v>1A</v>
      </c>
      <c r="N136" s="332"/>
      <c r="O136" s="332"/>
      <c r="P136" s="332"/>
      <c r="Q136" s="332"/>
      <c r="R136" s="404"/>
      <c r="S136" s="363" t="s">
        <v>331</v>
      </c>
      <c r="T136" s="356" t="n">
        <f aca="false">COUNTIF($M$130:$M$161,S136)*$D$15</f>
        <v>0</v>
      </c>
      <c r="U136" s="407"/>
      <c r="V136" s="363" t="s">
        <v>332</v>
      </c>
      <c r="W136" s="356" t="n">
        <f aca="false">COUNTIF($M$130:$M$161,V136)*$D$15</f>
        <v>0</v>
      </c>
      <c r="X136" s="407"/>
      <c r="Y136" s="363" t="s">
        <v>331</v>
      </c>
      <c r="Z136" s="356" t="n">
        <f aca="false">COUNTIF($M$130:$M$161,Y136)*$D$15</f>
        <v>0</v>
      </c>
      <c r="AA136" s="407"/>
      <c r="AB136" s="363" t="s">
        <v>332</v>
      </c>
      <c r="AC136" s="356" t="n">
        <f aca="false">COUNTIF($M$130:$M$161,AB136)*$D$15</f>
        <v>0</v>
      </c>
      <c r="AD136" s="407"/>
      <c r="AE136" s="363" t="s">
        <v>333</v>
      </c>
      <c r="AF136" s="356" t="n">
        <f aca="false">COUNTIF($M$130:$M$161,AE136)*$D$15</f>
        <v>0</v>
      </c>
      <c r="AG136" s="407"/>
      <c r="AH136" s="363" t="s">
        <v>331</v>
      </c>
      <c r="AI136" s="356" t="n">
        <f aca="false">COUNTIF($M$130:$M$161,AH136)*$D$15</f>
        <v>0</v>
      </c>
      <c r="AJ136" s="407"/>
      <c r="AK136" s="363" t="s">
        <v>331</v>
      </c>
      <c r="AL136" s="356" t="n">
        <f aca="false">COUNTIF($M$130:$M$161,AK136)*$D$15</f>
        <v>0</v>
      </c>
      <c r="AM136" s="407"/>
      <c r="AN136" s="363" t="s">
        <v>331</v>
      </c>
      <c r="AO136" s="356" t="n">
        <f aca="false">COUNTIF($M$130:$M$161,AN136)*$D$15</f>
        <v>0</v>
      </c>
      <c r="AP136" s="407"/>
      <c r="AQ136" s="363" t="s">
        <v>333</v>
      </c>
      <c r="AR136" s="356" t="n">
        <f aca="false">COUNTIF($M$130:$M$161,AQ136)*$D$15</f>
        <v>0</v>
      </c>
      <c r="AS136" s="407"/>
      <c r="AT136" s="363" t="s">
        <v>332</v>
      </c>
      <c r="AU136" s="356" t="n">
        <f aca="false">COUNTIF($M$130:$M$161,AT136)*$D$15</f>
        <v>0</v>
      </c>
      <c r="AV136" s="407"/>
      <c r="AW136" s="363" t="s">
        <v>332</v>
      </c>
      <c r="AX136" s="356" t="n">
        <f aca="false">COUNTIF($M$130:$M$161,AW136)*$D$15</f>
        <v>0</v>
      </c>
      <c r="AY136" s="407"/>
      <c r="AZ136" s="363" t="s">
        <v>331</v>
      </c>
      <c r="BA136" s="356" t="n">
        <f aca="false">COUNTIF($M$130:$M$161,AZ136)*$D$15</f>
        <v>0</v>
      </c>
      <c r="BB136" s="407"/>
      <c r="BC136" s="363" t="s">
        <v>331</v>
      </c>
      <c r="BD136" s="356" t="n">
        <f aca="false">COUNTIF($M$130:$M$161,BC136)*$D$15</f>
        <v>0</v>
      </c>
      <c r="BE136" s="407"/>
      <c r="BF136" s="363" t="s">
        <v>331</v>
      </c>
      <c r="BG136" s="356" t="n">
        <f aca="false">COUNTIF($M$130:$M$161,BF136)*$D$15</f>
        <v>0</v>
      </c>
      <c r="BH136" s="407"/>
      <c r="BI136" s="363" t="s">
        <v>331</v>
      </c>
      <c r="BJ136" s="356" t="n">
        <f aca="false">COUNTIF($M$130:$M$161,BI136)*$D$15</f>
        <v>0</v>
      </c>
      <c r="BK136" s="407"/>
      <c r="BL136" s="363" t="s">
        <v>333</v>
      </c>
      <c r="BM136" s="356" t="n">
        <f aca="false">COUNTIF($M$130:$M$161,BL136)*$D$15</f>
        <v>0</v>
      </c>
      <c r="BN136" s="407"/>
      <c r="BO136" s="363" t="s">
        <v>331</v>
      </c>
      <c r="BP136" s="356" t="n">
        <f aca="false">COUNTIF($M$130:$M$161,BO136)*$D$15</f>
        <v>0</v>
      </c>
      <c r="BQ136" s="407"/>
      <c r="BR136" s="363" t="s">
        <v>331</v>
      </c>
      <c r="BS136" s="356" t="n">
        <f aca="false">COUNTIF($M$130:$M$161,BR136)*$D$15</f>
        <v>0</v>
      </c>
      <c r="BT136" s="407"/>
      <c r="BU136" s="363"/>
      <c r="BV136" s="356" t="n">
        <f aca="false">COUNTIF($M$130:$M$161,BU136)*$D$15</f>
        <v>0</v>
      </c>
      <c r="BW136" s="407"/>
      <c r="BX136" s="363"/>
      <c r="BY136" s="356" t="n">
        <f aca="false">COUNTIF($M$130:$M$161,BX136)*$D$15</f>
        <v>0</v>
      </c>
      <c r="BZ136" s="407"/>
      <c r="CA136" s="363"/>
      <c r="CB136" s="356" t="n">
        <f aca="false">COUNTIF($M$130:$M$161,CA136)*$D$15</f>
        <v>0</v>
      </c>
      <c r="CC136" s="407"/>
      <c r="CD136" s="363"/>
      <c r="CE136" s="356" t="n">
        <f aca="false">COUNTIF($M$130:$M$161,CD136)*$D$15</f>
        <v>0</v>
      </c>
      <c r="CF136" s="407"/>
      <c r="CG136" s="363"/>
      <c r="CH136" s="356" t="n">
        <f aca="false">COUNTIF($M$130:$M$161,CG136)*$D$15</f>
        <v>0</v>
      </c>
      <c r="CI136" s="407"/>
      <c r="CJ136" s="363"/>
      <c r="CK136" s="356" t="n">
        <f aca="false">COUNTIF($M$130:$M$161,CJ136)*$D$15</f>
        <v>0</v>
      </c>
      <c r="CL136" s="407"/>
      <c r="CM136" s="363"/>
      <c r="CN136" s="356" t="n">
        <f aca="false">COUNTIF($M$130:$M$161,CM136)*$D$15</f>
        <v>0</v>
      </c>
      <c r="CO136" s="407"/>
      <c r="CP136" s="363"/>
      <c r="CQ136" s="356" t="n">
        <f aca="false">COUNTIF($M$130:$M$161,CP136)*$D$15</f>
        <v>0</v>
      </c>
      <c r="CR136" s="407"/>
      <c r="CS136" s="363"/>
      <c r="CT136" s="356" t="n">
        <f aca="false">COUNTIF($M$130:$M$161,CS136)*$D$15</f>
        <v>0</v>
      </c>
      <c r="CU136" s="407"/>
      <c r="CV136" s="363"/>
      <c r="CW136" s="356" t="n">
        <f aca="false">COUNTIF($M$130:$M$161,CV136)*$D$15</f>
        <v>0</v>
      </c>
      <c r="CX136" s="407"/>
      <c r="CY136" s="363"/>
      <c r="CZ136" s="356" t="n">
        <f aca="false">COUNTIF($M$130:$M$161,CY136)*$D$15</f>
        <v>0</v>
      </c>
      <c r="DA136" s="407"/>
      <c r="DB136" s="363"/>
      <c r="DC136" s="356" t="n">
        <f aca="false">COUNTIF($M$130:$M$161,DB136)*$D$15</f>
        <v>0</v>
      </c>
      <c r="DD136" s="407"/>
      <c r="DE136" s="363"/>
      <c r="DF136" s="356" t="n">
        <f aca="false">COUNTIF($M$130:$M$161,DE136)*$D$15</f>
        <v>0</v>
      </c>
      <c r="DG136" s="407"/>
      <c r="DH136" s="363"/>
      <c r="DI136" s="356" t="n">
        <f aca="false">COUNTIF($M$130:$M$161,DH136)*$D$15</f>
        <v>0</v>
      </c>
      <c r="DJ136" s="407"/>
      <c r="DK136" s="363"/>
      <c r="DL136" s="356" t="n">
        <f aca="false">COUNTIF($M$130:$M$161,DK136)*$D$15</f>
        <v>0</v>
      </c>
      <c r="DM136" s="407"/>
      <c r="DN136" s="363"/>
      <c r="DO136" s="356" t="n">
        <f aca="false">COUNTIF($M$130:$M$161,DN136)*$D$15</f>
        <v>0</v>
      </c>
      <c r="DP136" s="407"/>
      <c r="DQ136" s="363"/>
      <c r="DR136" s="356" t="n">
        <f aca="false">COUNTIF($M$130:$M$161,DQ136)*$D$15</f>
        <v>0</v>
      </c>
      <c r="DS136" s="407"/>
      <c r="DT136" s="363"/>
      <c r="DU136" s="356" t="n">
        <f aca="false">COUNTIF($M$130:$M$161,DT136)*$D$15</f>
        <v>0</v>
      </c>
      <c r="DV136" s="407"/>
      <c r="DW136" s="363"/>
      <c r="DX136" s="356" t="n">
        <f aca="false">COUNTIF($M$130:$M$161,DW136)*$D$15</f>
        <v>0</v>
      </c>
      <c r="DY136" s="407"/>
      <c r="DZ136" s="363"/>
      <c r="EA136" s="356" t="n">
        <f aca="false">COUNTIF($M$130:$M$161,DZ136)*$D$15</f>
        <v>0</v>
      </c>
      <c r="EB136" s="407"/>
      <c r="EC136" s="363"/>
      <c r="ED136" s="356" t="n">
        <f aca="false">COUNTIF($M$130:$M$161,EC136)*$D$15</f>
        <v>0</v>
      </c>
      <c r="EE136" s="407"/>
      <c r="EF136" s="363"/>
      <c r="EG136" s="356" t="n">
        <f aca="false">COUNTIF($M$130:$M$161,EF136)*$D$15</f>
        <v>0</v>
      </c>
      <c r="EH136" s="407"/>
      <c r="EI136" s="407"/>
    </row>
    <row r="137" customFormat="false" ht="15" hidden="false" customHeight="false" outlineLevel="0" collapsed="false">
      <c r="A137" s="327"/>
      <c r="B137" s="327"/>
      <c r="C137" s="410"/>
      <c r="D137" s="410"/>
      <c r="E137" s="410"/>
      <c r="F137" s="411" t="n">
        <f aca="false">$D$15</f>
        <v>3</v>
      </c>
      <c r="G137" s="412" t="n">
        <f aca="false">VLOOKUP(H137,Equipos!$Q$1:$R$25,2,0)</f>
        <v>19</v>
      </c>
      <c r="H137" s="417" t="str">
        <f aca="false">Idiomas!$D$137</f>
        <v>CLASIFICADOS PARA DIECISEISAVOS</v>
      </c>
      <c r="I137" s="410"/>
      <c r="J137" s="418"/>
      <c r="K137" s="367" t="str">
        <f aca="false">Idiomas!$D$198&amp;"-"&amp;ROWS($L$130:L137)</f>
        <v>Dieciseisavofinalista-8</v>
      </c>
      <c r="L137" s="354"/>
      <c r="M137" s="359" t="str">
        <f aca="false">WORLDCUP!AA108</f>
        <v>1L</v>
      </c>
      <c r="N137" s="332"/>
      <c r="O137" s="332"/>
      <c r="P137" s="332"/>
      <c r="Q137" s="332"/>
      <c r="R137" s="404"/>
      <c r="S137" s="363" t="s">
        <v>374</v>
      </c>
      <c r="T137" s="356" t="n">
        <f aca="false">COUNTIF($M$130:$M$161,S137)*$D$15</f>
        <v>0</v>
      </c>
      <c r="U137" s="407"/>
      <c r="V137" s="363" t="s">
        <v>374</v>
      </c>
      <c r="W137" s="356" t="n">
        <f aca="false">COUNTIF($M$130:$M$161,V137)*$D$15</f>
        <v>0</v>
      </c>
      <c r="X137" s="407"/>
      <c r="Y137" s="363" t="s">
        <v>374</v>
      </c>
      <c r="Z137" s="356" t="n">
        <f aca="false">COUNTIF($M$130:$M$161,Y137)*$D$15</f>
        <v>0</v>
      </c>
      <c r="AA137" s="407"/>
      <c r="AB137" s="363" t="s">
        <v>375</v>
      </c>
      <c r="AC137" s="356" t="n">
        <f aca="false">COUNTIF($M$130:$M$161,AB137)*$D$15</f>
        <v>0</v>
      </c>
      <c r="AD137" s="407"/>
      <c r="AE137" s="363" t="s">
        <v>374</v>
      </c>
      <c r="AF137" s="356" t="n">
        <f aca="false">COUNTIF($M$130:$M$161,AE137)*$D$15</f>
        <v>0</v>
      </c>
      <c r="AG137" s="407"/>
      <c r="AH137" s="363" t="s">
        <v>374</v>
      </c>
      <c r="AI137" s="356" t="n">
        <f aca="false">COUNTIF($M$130:$M$161,AH137)*$D$15</f>
        <v>0</v>
      </c>
      <c r="AJ137" s="407"/>
      <c r="AK137" s="363" t="s">
        <v>374</v>
      </c>
      <c r="AL137" s="356" t="n">
        <f aca="false">COUNTIF($M$130:$M$161,AK137)*$D$15</f>
        <v>0</v>
      </c>
      <c r="AM137" s="407"/>
      <c r="AN137" s="363" t="s">
        <v>374</v>
      </c>
      <c r="AO137" s="356" t="n">
        <f aca="false">COUNTIF($M$130:$M$161,AN137)*$D$15</f>
        <v>0</v>
      </c>
      <c r="AP137" s="407"/>
      <c r="AQ137" s="363" t="s">
        <v>374</v>
      </c>
      <c r="AR137" s="356" t="n">
        <f aca="false">COUNTIF($M$130:$M$161,AQ137)*$D$15</f>
        <v>0</v>
      </c>
      <c r="AS137" s="407"/>
      <c r="AT137" s="363" t="s">
        <v>374</v>
      </c>
      <c r="AU137" s="356" t="n">
        <f aca="false">COUNTIF($M$130:$M$161,AT137)*$D$15</f>
        <v>0</v>
      </c>
      <c r="AV137" s="407"/>
      <c r="AW137" s="363" t="s">
        <v>374</v>
      </c>
      <c r="AX137" s="356" t="n">
        <f aca="false">COUNTIF($M$130:$M$161,AW137)*$D$15</f>
        <v>0</v>
      </c>
      <c r="AY137" s="407"/>
      <c r="AZ137" s="363" t="s">
        <v>374</v>
      </c>
      <c r="BA137" s="356" t="n">
        <f aca="false">COUNTIF($M$130:$M$161,AZ137)*$D$15</f>
        <v>0</v>
      </c>
      <c r="BB137" s="407"/>
      <c r="BC137" s="363" t="s">
        <v>376</v>
      </c>
      <c r="BD137" s="356" t="n">
        <f aca="false">COUNTIF($M$130:$M$161,BC137)*$D$15</f>
        <v>0</v>
      </c>
      <c r="BE137" s="407"/>
      <c r="BF137" s="363" t="s">
        <v>374</v>
      </c>
      <c r="BG137" s="356" t="n">
        <f aca="false">COUNTIF($M$130:$M$161,BF137)*$D$15</f>
        <v>0</v>
      </c>
      <c r="BH137" s="407"/>
      <c r="BI137" s="363" t="s">
        <v>374</v>
      </c>
      <c r="BJ137" s="356" t="n">
        <f aca="false">COUNTIF($M$130:$M$161,BI137)*$D$15</f>
        <v>0</v>
      </c>
      <c r="BK137" s="407"/>
      <c r="BL137" s="363" t="s">
        <v>374</v>
      </c>
      <c r="BM137" s="356" t="n">
        <f aca="false">COUNTIF($M$130:$M$161,BL137)*$D$15</f>
        <v>0</v>
      </c>
      <c r="BN137" s="407"/>
      <c r="BO137" s="363" t="s">
        <v>374</v>
      </c>
      <c r="BP137" s="356" t="n">
        <f aca="false">COUNTIF($M$130:$M$161,BO137)*$D$15</f>
        <v>0</v>
      </c>
      <c r="BQ137" s="407"/>
      <c r="BR137" s="363" t="s">
        <v>374</v>
      </c>
      <c r="BS137" s="356" t="n">
        <f aca="false">COUNTIF($M$130:$M$161,BR137)*$D$15</f>
        <v>0</v>
      </c>
      <c r="BT137" s="407"/>
      <c r="BU137" s="363"/>
      <c r="BV137" s="356" t="n">
        <f aca="false">COUNTIF($M$130:$M$161,BU137)*$D$15</f>
        <v>0</v>
      </c>
      <c r="BW137" s="407"/>
      <c r="BX137" s="363"/>
      <c r="BY137" s="356" t="n">
        <f aca="false">COUNTIF($M$130:$M$161,BX137)*$D$15</f>
        <v>0</v>
      </c>
      <c r="BZ137" s="407"/>
      <c r="CA137" s="363"/>
      <c r="CB137" s="356" t="n">
        <f aca="false">COUNTIF($M$130:$M$161,CA137)*$D$15</f>
        <v>0</v>
      </c>
      <c r="CC137" s="407"/>
      <c r="CD137" s="363"/>
      <c r="CE137" s="356" t="n">
        <f aca="false">COUNTIF($M$130:$M$161,CD137)*$D$15</f>
        <v>0</v>
      </c>
      <c r="CF137" s="407"/>
      <c r="CG137" s="363"/>
      <c r="CH137" s="356" t="n">
        <f aca="false">COUNTIF($M$130:$M$161,CG137)*$D$15</f>
        <v>0</v>
      </c>
      <c r="CI137" s="407"/>
      <c r="CJ137" s="363"/>
      <c r="CK137" s="356" t="n">
        <f aca="false">COUNTIF($M$130:$M$161,CJ137)*$D$15</f>
        <v>0</v>
      </c>
      <c r="CL137" s="407"/>
      <c r="CM137" s="363"/>
      <c r="CN137" s="356" t="n">
        <f aca="false">COUNTIF($M$130:$M$161,CM137)*$D$15</f>
        <v>0</v>
      </c>
      <c r="CO137" s="407"/>
      <c r="CP137" s="363"/>
      <c r="CQ137" s="356" t="n">
        <f aca="false">COUNTIF($M$130:$M$161,CP137)*$D$15</f>
        <v>0</v>
      </c>
      <c r="CR137" s="407"/>
      <c r="CS137" s="363"/>
      <c r="CT137" s="356" t="n">
        <f aca="false">COUNTIF($M$130:$M$161,CS137)*$D$15</f>
        <v>0</v>
      </c>
      <c r="CU137" s="407"/>
      <c r="CV137" s="363"/>
      <c r="CW137" s="356" t="n">
        <f aca="false">COUNTIF($M$130:$M$161,CV137)*$D$15</f>
        <v>0</v>
      </c>
      <c r="CX137" s="407"/>
      <c r="CY137" s="363"/>
      <c r="CZ137" s="356" t="n">
        <f aca="false">COUNTIF($M$130:$M$161,CY137)*$D$15</f>
        <v>0</v>
      </c>
      <c r="DA137" s="407"/>
      <c r="DB137" s="363"/>
      <c r="DC137" s="356" t="n">
        <f aca="false">COUNTIF($M$130:$M$161,DB137)*$D$15</f>
        <v>0</v>
      </c>
      <c r="DD137" s="407"/>
      <c r="DE137" s="363"/>
      <c r="DF137" s="356" t="n">
        <f aca="false">COUNTIF($M$130:$M$161,DE137)*$D$15</f>
        <v>0</v>
      </c>
      <c r="DG137" s="407"/>
      <c r="DH137" s="363"/>
      <c r="DI137" s="356" t="n">
        <f aca="false">COUNTIF($M$130:$M$161,DH137)*$D$15</f>
        <v>0</v>
      </c>
      <c r="DJ137" s="407"/>
      <c r="DK137" s="363"/>
      <c r="DL137" s="356" t="n">
        <f aca="false">COUNTIF($M$130:$M$161,DK137)*$D$15</f>
        <v>0</v>
      </c>
      <c r="DM137" s="407"/>
      <c r="DN137" s="363"/>
      <c r="DO137" s="356" t="n">
        <f aca="false">COUNTIF($M$130:$M$161,DN137)*$D$15</f>
        <v>0</v>
      </c>
      <c r="DP137" s="407"/>
      <c r="DQ137" s="363"/>
      <c r="DR137" s="356" t="n">
        <f aca="false">COUNTIF($M$130:$M$161,DQ137)*$D$15</f>
        <v>0</v>
      </c>
      <c r="DS137" s="407"/>
      <c r="DT137" s="363"/>
      <c r="DU137" s="356" t="n">
        <f aca="false">COUNTIF($M$130:$M$161,DT137)*$D$15</f>
        <v>0</v>
      </c>
      <c r="DV137" s="407"/>
      <c r="DW137" s="363"/>
      <c r="DX137" s="356" t="n">
        <f aca="false">COUNTIF($M$130:$M$161,DW137)*$D$15</f>
        <v>0</v>
      </c>
      <c r="DY137" s="407"/>
      <c r="DZ137" s="363"/>
      <c r="EA137" s="356" t="n">
        <f aca="false">COUNTIF($M$130:$M$161,DZ137)*$D$15</f>
        <v>0</v>
      </c>
      <c r="EB137" s="407"/>
      <c r="EC137" s="363"/>
      <c r="ED137" s="356" t="n">
        <f aca="false">COUNTIF($M$130:$M$161,EC137)*$D$15</f>
        <v>0</v>
      </c>
      <c r="EE137" s="407"/>
      <c r="EF137" s="363"/>
      <c r="EG137" s="356" t="n">
        <f aca="false">COUNTIF($M$130:$M$161,EF137)*$D$15</f>
        <v>0</v>
      </c>
      <c r="EH137" s="407"/>
      <c r="EI137" s="407"/>
    </row>
    <row r="138" customFormat="false" ht="15" hidden="false" customHeight="false" outlineLevel="0" collapsed="false">
      <c r="A138" s="327"/>
      <c r="B138" s="327"/>
      <c r="C138" s="410"/>
      <c r="D138" s="410"/>
      <c r="E138" s="410"/>
      <c r="F138" s="411" t="n">
        <f aca="false">$D$15</f>
        <v>3</v>
      </c>
      <c r="G138" s="412" t="n">
        <f aca="false">VLOOKUP(H138,Equipos!$Q$1:$R$25,2,0)</f>
        <v>19</v>
      </c>
      <c r="H138" s="417" t="str">
        <f aca="false">Idiomas!$D$137</f>
        <v>CLASIFICADOS PARA DIECISEISAVOS</v>
      </c>
      <c r="I138" s="410"/>
      <c r="J138" s="418"/>
      <c r="K138" s="367" t="str">
        <f aca="false">Idiomas!$D$198&amp;"-"&amp;ROWS($L$130:L138)</f>
        <v>Dieciseisavofinalista-9</v>
      </c>
      <c r="L138" s="354"/>
      <c r="M138" s="359" t="str">
        <f aca="false">WORLDCUP!AA109</f>
        <v>1G</v>
      </c>
      <c r="N138" s="332"/>
      <c r="O138" s="332"/>
      <c r="P138" s="332"/>
      <c r="Q138" s="332"/>
      <c r="R138" s="404"/>
      <c r="S138" s="363" t="s">
        <v>355</v>
      </c>
      <c r="T138" s="356" t="n">
        <f aca="false">COUNTIF($M$130:$M$161,S138)*$D$15</f>
        <v>0</v>
      </c>
      <c r="U138" s="407"/>
      <c r="V138" s="363" t="s">
        <v>355</v>
      </c>
      <c r="W138" s="356" t="n">
        <f aca="false">COUNTIF($M$130:$M$161,V138)*$D$15</f>
        <v>0</v>
      </c>
      <c r="X138" s="407"/>
      <c r="Y138" s="363" t="s">
        <v>355</v>
      </c>
      <c r="Z138" s="356" t="n">
        <f aca="false">COUNTIF($M$130:$M$161,Y138)*$D$15</f>
        <v>0</v>
      </c>
      <c r="AA138" s="407"/>
      <c r="AB138" s="363" t="s">
        <v>355</v>
      </c>
      <c r="AC138" s="356" t="n">
        <f aca="false">COUNTIF($M$130:$M$161,AB138)*$D$15</f>
        <v>0</v>
      </c>
      <c r="AD138" s="407"/>
      <c r="AE138" s="363" t="s">
        <v>355</v>
      </c>
      <c r="AF138" s="356" t="n">
        <f aca="false">COUNTIF($M$130:$M$161,AE138)*$D$15</f>
        <v>0</v>
      </c>
      <c r="AG138" s="407"/>
      <c r="AH138" s="363" t="s">
        <v>355</v>
      </c>
      <c r="AI138" s="356" t="n">
        <f aca="false">COUNTIF($M$130:$M$161,AH138)*$D$15</f>
        <v>0</v>
      </c>
      <c r="AJ138" s="407"/>
      <c r="AK138" s="363" t="s">
        <v>355</v>
      </c>
      <c r="AL138" s="356" t="n">
        <f aca="false">COUNTIF($M$130:$M$161,AK138)*$D$15</f>
        <v>0</v>
      </c>
      <c r="AM138" s="407"/>
      <c r="AN138" s="363" t="s">
        <v>355</v>
      </c>
      <c r="AO138" s="356" t="n">
        <f aca="false">COUNTIF($M$130:$M$161,AN138)*$D$15</f>
        <v>0</v>
      </c>
      <c r="AP138" s="407"/>
      <c r="AQ138" s="363" t="s">
        <v>355</v>
      </c>
      <c r="AR138" s="356" t="n">
        <f aca="false">COUNTIF($M$130:$M$161,AQ138)*$D$15</f>
        <v>0</v>
      </c>
      <c r="AS138" s="407"/>
      <c r="AT138" s="363" t="s">
        <v>355</v>
      </c>
      <c r="AU138" s="356" t="n">
        <f aca="false">COUNTIF($M$130:$M$161,AT138)*$D$15</f>
        <v>0</v>
      </c>
      <c r="AV138" s="407"/>
      <c r="AW138" s="363" t="s">
        <v>355</v>
      </c>
      <c r="AX138" s="356" t="n">
        <f aca="false">COUNTIF($M$130:$M$161,AW138)*$D$15</f>
        <v>0</v>
      </c>
      <c r="AY138" s="407"/>
      <c r="AZ138" s="363" t="s">
        <v>355</v>
      </c>
      <c r="BA138" s="356" t="n">
        <f aca="false">COUNTIF($M$130:$M$161,AZ138)*$D$15</f>
        <v>0</v>
      </c>
      <c r="BB138" s="407"/>
      <c r="BC138" s="363" t="s">
        <v>355</v>
      </c>
      <c r="BD138" s="356" t="n">
        <f aca="false">COUNTIF($M$130:$M$161,BC138)*$D$15</f>
        <v>0</v>
      </c>
      <c r="BE138" s="407"/>
      <c r="BF138" s="363" t="s">
        <v>355</v>
      </c>
      <c r="BG138" s="356" t="n">
        <f aca="false">COUNTIF($M$130:$M$161,BF138)*$D$15</f>
        <v>0</v>
      </c>
      <c r="BH138" s="407"/>
      <c r="BI138" s="363" t="s">
        <v>355</v>
      </c>
      <c r="BJ138" s="356" t="n">
        <f aca="false">COUNTIF($M$130:$M$161,BI138)*$D$15</f>
        <v>0</v>
      </c>
      <c r="BK138" s="407"/>
      <c r="BL138" s="363" t="s">
        <v>355</v>
      </c>
      <c r="BM138" s="356" t="n">
        <f aca="false">COUNTIF($M$130:$M$161,BL138)*$D$15</f>
        <v>0</v>
      </c>
      <c r="BN138" s="407"/>
      <c r="BO138" s="363" t="s">
        <v>355</v>
      </c>
      <c r="BP138" s="356" t="n">
        <f aca="false">COUNTIF($M$130:$M$161,BO138)*$D$15</f>
        <v>0</v>
      </c>
      <c r="BQ138" s="407"/>
      <c r="BR138" s="363" t="s">
        <v>355</v>
      </c>
      <c r="BS138" s="356" t="n">
        <f aca="false">COUNTIF($M$130:$M$161,BR138)*$D$15</f>
        <v>0</v>
      </c>
      <c r="BT138" s="407"/>
      <c r="BU138" s="363"/>
      <c r="BV138" s="356" t="n">
        <f aca="false">COUNTIF($M$130:$M$161,BU138)*$D$15</f>
        <v>0</v>
      </c>
      <c r="BW138" s="407"/>
      <c r="BX138" s="363"/>
      <c r="BY138" s="356" t="n">
        <f aca="false">COUNTIF($M$130:$M$161,BX138)*$D$15</f>
        <v>0</v>
      </c>
      <c r="BZ138" s="407"/>
      <c r="CA138" s="363"/>
      <c r="CB138" s="356" t="n">
        <f aca="false">COUNTIF($M$130:$M$161,CA138)*$D$15</f>
        <v>0</v>
      </c>
      <c r="CC138" s="407"/>
      <c r="CD138" s="363"/>
      <c r="CE138" s="356" t="n">
        <f aca="false">COUNTIF($M$130:$M$161,CD138)*$D$15</f>
        <v>0</v>
      </c>
      <c r="CF138" s="407"/>
      <c r="CG138" s="363"/>
      <c r="CH138" s="356" t="n">
        <f aca="false">COUNTIF($M$130:$M$161,CG138)*$D$15</f>
        <v>0</v>
      </c>
      <c r="CI138" s="407"/>
      <c r="CJ138" s="363"/>
      <c r="CK138" s="356" t="n">
        <f aca="false">COUNTIF($M$130:$M$161,CJ138)*$D$15</f>
        <v>0</v>
      </c>
      <c r="CL138" s="407"/>
      <c r="CM138" s="363"/>
      <c r="CN138" s="356" t="n">
        <f aca="false">COUNTIF($M$130:$M$161,CM138)*$D$15</f>
        <v>0</v>
      </c>
      <c r="CO138" s="407"/>
      <c r="CP138" s="363"/>
      <c r="CQ138" s="356" t="n">
        <f aca="false">COUNTIF($M$130:$M$161,CP138)*$D$15</f>
        <v>0</v>
      </c>
      <c r="CR138" s="407"/>
      <c r="CS138" s="363"/>
      <c r="CT138" s="356" t="n">
        <f aca="false">COUNTIF($M$130:$M$161,CS138)*$D$15</f>
        <v>0</v>
      </c>
      <c r="CU138" s="407"/>
      <c r="CV138" s="363"/>
      <c r="CW138" s="356" t="n">
        <f aca="false">COUNTIF($M$130:$M$161,CV138)*$D$15</f>
        <v>0</v>
      </c>
      <c r="CX138" s="407"/>
      <c r="CY138" s="363"/>
      <c r="CZ138" s="356" t="n">
        <f aca="false">COUNTIF($M$130:$M$161,CY138)*$D$15</f>
        <v>0</v>
      </c>
      <c r="DA138" s="407"/>
      <c r="DB138" s="363"/>
      <c r="DC138" s="356" t="n">
        <f aca="false">COUNTIF($M$130:$M$161,DB138)*$D$15</f>
        <v>0</v>
      </c>
      <c r="DD138" s="407"/>
      <c r="DE138" s="363"/>
      <c r="DF138" s="356" t="n">
        <f aca="false">COUNTIF($M$130:$M$161,DE138)*$D$15</f>
        <v>0</v>
      </c>
      <c r="DG138" s="407"/>
      <c r="DH138" s="363"/>
      <c r="DI138" s="356" t="n">
        <f aca="false">COUNTIF($M$130:$M$161,DH138)*$D$15</f>
        <v>0</v>
      </c>
      <c r="DJ138" s="407"/>
      <c r="DK138" s="363"/>
      <c r="DL138" s="356" t="n">
        <f aca="false">COUNTIF($M$130:$M$161,DK138)*$D$15</f>
        <v>0</v>
      </c>
      <c r="DM138" s="407"/>
      <c r="DN138" s="363"/>
      <c r="DO138" s="356" t="n">
        <f aca="false">COUNTIF($M$130:$M$161,DN138)*$D$15</f>
        <v>0</v>
      </c>
      <c r="DP138" s="407"/>
      <c r="DQ138" s="363"/>
      <c r="DR138" s="356" t="n">
        <f aca="false">COUNTIF($M$130:$M$161,DQ138)*$D$15</f>
        <v>0</v>
      </c>
      <c r="DS138" s="407"/>
      <c r="DT138" s="363"/>
      <c r="DU138" s="356" t="n">
        <f aca="false">COUNTIF($M$130:$M$161,DT138)*$D$15</f>
        <v>0</v>
      </c>
      <c r="DV138" s="407"/>
      <c r="DW138" s="363"/>
      <c r="DX138" s="356" t="n">
        <f aca="false">COUNTIF($M$130:$M$161,DW138)*$D$15</f>
        <v>0</v>
      </c>
      <c r="DY138" s="407"/>
      <c r="DZ138" s="363"/>
      <c r="EA138" s="356" t="n">
        <f aca="false">COUNTIF($M$130:$M$161,DZ138)*$D$15</f>
        <v>0</v>
      </c>
      <c r="EB138" s="407"/>
      <c r="EC138" s="363"/>
      <c r="ED138" s="356" t="n">
        <f aca="false">COUNTIF($M$130:$M$161,EC138)*$D$15</f>
        <v>0</v>
      </c>
      <c r="EE138" s="407"/>
      <c r="EF138" s="363"/>
      <c r="EG138" s="356" t="n">
        <f aca="false">COUNTIF($M$130:$M$161,EF138)*$D$15</f>
        <v>0</v>
      </c>
      <c r="EH138" s="407"/>
      <c r="EI138" s="407"/>
    </row>
    <row r="139" customFormat="false" ht="15" hidden="false" customHeight="false" outlineLevel="0" collapsed="false">
      <c r="A139" s="327"/>
      <c r="B139" s="327"/>
      <c r="C139" s="410"/>
      <c r="D139" s="410"/>
      <c r="E139" s="410"/>
      <c r="F139" s="411" t="n">
        <f aca="false">$D$15</f>
        <v>3</v>
      </c>
      <c r="G139" s="412" t="n">
        <f aca="false">VLOOKUP(H139,Equipos!$Q$1:$R$25,2,0)</f>
        <v>19</v>
      </c>
      <c r="H139" s="417" t="str">
        <f aca="false">Idiomas!$D$137</f>
        <v>CLASIFICADOS PARA DIECISEISAVOS</v>
      </c>
      <c r="I139" s="410"/>
      <c r="J139" s="418"/>
      <c r="K139" s="367" t="str">
        <f aca="false">Idiomas!$D$198&amp;"-"&amp;ROWS($L$130:L139)</f>
        <v>Dieciseisavofinalista-10</v>
      </c>
      <c r="L139" s="354"/>
      <c r="M139" s="359" t="str">
        <f aca="false">WORLDCUP!AA110</f>
        <v>1D</v>
      </c>
      <c r="N139" s="332"/>
      <c r="O139" s="332"/>
      <c r="P139" s="332"/>
      <c r="Q139" s="332"/>
      <c r="R139" s="404"/>
      <c r="S139" s="363" t="s">
        <v>343</v>
      </c>
      <c r="T139" s="356" t="n">
        <f aca="false">COUNTIF($M$130:$M$161,S139)*$D$15</f>
        <v>0</v>
      </c>
      <c r="U139" s="407"/>
      <c r="V139" s="363" t="s">
        <v>344</v>
      </c>
      <c r="W139" s="356" t="n">
        <f aca="false">COUNTIF($M$130:$M$161,V139)*$D$15</f>
        <v>0</v>
      </c>
      <c r="X139" s="407"/>
      <c r="Y139" s="363" t="s">
        <v>343</v>
      </c>
      <c r="Z139" s="356" t="n">
        <f aca="false">COUNTIF($M$130:$M$161,Y139)*$D$15</f>
        <v>0</v>
      </c>
      <c r="AA139" s="407"/>
      <c r="AB139" s="363" t="s">
        <v>343</v>
      </c>
      <c r="AC139" s="356" t="n">
        <f aca="false">COUNTIF($M$130:$M$161,AB139)*$D$15</f>
        <v>0</v>
      </c>
      <c r="AD139" s="407"/>
      <c r="AE139" s="363" t="s">
        <v>343</v>
      </c>
      <c r="AF139" s="356" t="n">
        <f aca="false">COUNTIF($M$130:$M$161,AE139)*$D$15</f>
        <v>0</v>
      </c>
      <c r="AG139" s="407"/>
      <c r="AH139" s="363" t="s">
        <v>344</v>
      </c>
      <c r="AI139" s="356" t="n">
        <f aca="false">COUNTIF($M$130:$M$161,AH139)*$D$15</f>
        <v>0</v>
      </c>
      <c r="AJ139" s="407"/>
      <c r="AK139" s="363" t="s">
        <v>344</v>
      </c>
      <c r="AL139" s="356" t="n">
        <f aca="false">COUNTIF($M$130:$M$161,AK139)*$D$15</f>
        <v>0</v>
      </c>
      <c r="AM139" s="407"/>
      <c r="AN139" s="363" t="s">
        <v>344</v>
      </c>
      <c r="AO139" s="356" t="n">
        <f aca="false">COUNTIF($M$130:$M$161,AN139)*$D$15</f>
        <v>0</v>
      </c>
      <c r="AP139" s="407"/>
      <c r="AQ139" s="363" t="s">
        <v>343</v>
      </c>
      <c r="AR139" s="356" t="n">
        <f aca="false">COUNTIF($M$130:$M$161,AQ139)*$D$15</f>
        <v>0</v>
      </c>
      <c r="AS139" s="407"/>
      <c r="AT139" s="363" t="s">
        <v>343</v>
      </c>
      <c r="AU139" s="356" t="n">
        <f aca="false">COUNTIF($M$130:$M$161,AT139)*$D$15</f>
        <v>0</v>
      </c>
      <c r="AV139" s="407"/>
      <c r="AW139" s="363" t="s">
        <v>344</v>
      </c>
      <c r="AX139" s="356" t="n">
        <f aca="false">COUNTIF($M$130:$M$161,AW139)*$D$15</f>
        <v>0</v>
      </c>
      <c r="AY139" s="407"/>
      <c r="AZ139" s="363" t="s">
        <v>343</v>
      </c>
      <c r="BA139" s="356" t="n">
        <f aca="false">COUNTIF($M$130:$M$161,AZ139)*$D$15</f>
        <v>0</v>
      </c>
      <c r="BB139" s="407"/>
      <c r="BC139" s="363" t="s">
        <v>343</v>
      </c>
      <c r="BD139" s="356" t="n">
        <f aca="false">COUNTIF($M$130:$M$161,BC139)*$D$15</f>
        <v>0</v>
      </c>
      <c r="BE139" s="407"/>
      <c r="BF139" s="363" t="s">
        <v>343</v>
      </c>
      <c r="BG139" s="356" t="n">
        <f aca="false">COUNTIF($M$130:$M$161,BF139)*$D$15</f>
        <v>0</v>
      </c>
      <c r="BH139" s="407"/>
      <c r="BI139" s="363" t="s">
        <v>344</v>
      </c>
      <c r="BJ139" s="356" t="n">
        <f aca="false">COUNTIF($M$130:$M$161,BI139)*$D$15</f>
        <v>0</v>
      </c>
      <c r="BK139" s="407"/>
      <c r="BL139" s="363" t="s">
        <v>344</v>
      </c>
      <c r="BM139" s="356" t="n">
        <f aca="false">COUNTIF($M$130:$M$161,BL139)*$D$15</f>
        <v>0</v>
      </c>
      <c r="BN139" s="407"/>
      <c r="BO139" s="363" t="s">
        <v>344</v>
      </c>
      <c r="BP139" s="356" t="n">
        <f aca="false">COUNTIF($M$130:$M$161,BO139)*$D$15</f>
        <v>0</v>
      </c>
      <c r="BQ139" s="407"/>
      <c r="BR139" s="363" t="s">
        <v>344</v>
      </c>
      <c r="BS139" s="356" t="n">
        <f aca="false">COUNTIF($M$130:$M$161,BR139)*$D$15</f>
        <v>0</v>
      </c>
      <c r="BT139" s="407"/>
      <c r="BU139" s="363"/>
      <c r="BV139" s="356" t="n">
        <f aca="false">COUNTIF($M$130:$M$161,BU139)*$D$15</f>
        <v>0</v>
      </c>
      <c r="BW139" s="407"/>
      <c r="BX139" s="363"/>
      <c r="BY139" s="356" t="n">
        <f aca="false">COUNTIF($M$130:$M$161,BX139)*$D$15</f>
        <v>0</v>
      </c>
      <c r="BZ139" s="407"/>
      <c r="CA139" s="363"/>
      <c r="CB139" s="356" t="n">
        <f aca="false">COUNTIF($M$130:$M$161,CA139)*$D$15</f>
        <v>0</v>
      </c>
      <c r="CC139" s="407"/>
      <c r="CD139" s="363"/>
      <c r="CE139" s="356" t="n">
        <f aca="false">COUNTIF($M$130:$M$161,CD139)*$D$15</f>
        <v>0</v>
      </c>
      <c r="CF139" s="407"/>
      <c r="CG139" s="363"/>
      <c r="CH139" s="356" t="n">
        <f aca="false">COUNTIF($M$130:$M$161,CG139)*$D$15</f>
        <v>0</v>
      </c>
      <c r="CI139" s="407"/>
      <c r="CJ139" s="363"/>
      <c r="CK139" s="356" t="n">
        <f aca="false">COUNTIF($M$130:$M$161,CJ139)*$D$15</f>
        <v>0</v>
      </c>
      <c r="CL139" s="407"/>
      <c r="CM139" s="363"/>
      <c r="CN139" s="356" t="n">
        <f aca="false">COUNTIF($M$130:$M$161,CM139)*$D$15</f>
        <v>0</v>
      </c>
      <c r="CO139" s="407"/>
      <c r="CP139" s="363"/>
      <c r="CQ139" s="356" t="n">
        <f aca="false">COUNTIF($M$130:$M$161,CP139)*$D$15</f>
        <v>0</v>
      </c>
      <c r="CR139" s="407"/>
      <c r="CS139" s="363"/>
      <c r="CT139" s="356" t="n">
        <f aca="false">COUNTIF($M$130:$M$161,CS139)*$D$15</f>
        <v>0</v>
      </c>
      <c r="CU139" s="407"/>
      <c r="CV139" s="363"/>
      <c r="CW139" s="356" t="n">
        <f aca="false">COUNTIF($M$130:$M$161,CV139)*$D$15</f>
        <v>0</v>
      </c>
      <c r="CX139" s="407"/>
      <c r="CY139" s="363"/>
      <c r="CZ139" s="356" t="n">
        <f aca="false">COUNTIF($M$130:$M$161,CY139)*$D$15</f>
        <v>0</v>
      </c>
      <c r="DA139" s="407"/>
      <c r="DB139" s="363"/>
      <c r="DC139" s="356" t="n">
        <f aca="false">COUNTIF($M$130:$M$161,DB139)*$D$15</f>
        <v>0</v>
      </c>
      <c r="DD139" s="407"/>
      <c r="DE139" s="363"/>
      <c r="DF139" s="356" t="n">
        <f aca="false">COUNTIF($M$130:$M$161,DE139)*$D$15</f>
        <v>0</v>
      </c>
      <c r="DG139" s="407"/>
      <c r="DH139" s="363"/>
      <c r="DI139" s="356" t="n">
        <f aca="false">COUNTIF($M$130:$M$161,DH139)*$D$15</f>
        <v>0</v>
      </c>
      <c r="DJ139" s="407"/>
      <c r="DK139" s="363"/>
      <c r="DL139" s="356" t="n">
        <f aca="false">COUNTIF($M$130:$M$161,DK139)*$D$15</f>
        <v>0</v>
      </c>
      <c r="DM139" s="407"/>
      <c r="DN139" s="363"/>
      <c r="DO139" s="356" t="n">
        <f aca="false">COUNTIF($M$130:$M$161,DN139)*$D$15</f>
        <v>0</v>
      </c>
      <c r="DP139" s="407"/>
      <c r="DQ139" s="363"/>
      <c r="DR139" s="356" t="n">
        <f aca="false">COUNTIF($M$130:$M$161,DQ139)*$D$15</f>
        <v>0</v>
      </c>
      <c r="DS139" s="407"/>
      <c r="DT139" s="363"/>
      <c r="DU139" s="356" t="n">
        <f aca="false">COUNTIF($M$130:$M$161,DT139)*$D$15</f>
        <v>0</v>
      </c>
      <c r="DV139" s="407"/>
      <c r="DW139" s="363"/>
      <c r="DX139" s="356" t="n">
        <f aca="false">COUNTIF($M$130:$M$161,DW139)*$D$15</f>
        <v>0</v>
      </c>
      <c r="DY139" s="407"/>
      <c r="DZ139" s="363"/>
      <c r="EA139" s="356" t="n">
        <f aca="false">COUNTIF($M$130:$M$161,DZ139)*$D$15</f>
        <v>0</v>
      </c>
      <c r="EB139" s="407"/>
      <c r="EC139" s="363"/>
      <c r="ED139" s="356" t="n">
        <f aca="false">COUNTIF($M$130:$M$161,EC139)*$D$15</f>
        <v>0</v>
      </c>
      <c r="EE139" s="407"/>
      <c r="EF139" s="363"/>
      <c r="EG139" s="356" t="n">
        <f aca="false">COUNTIF($M$130:$M$161,EF139)*$D$15</f>
        <v>0</v>
      </c>
      <c r="EH139" s="407"/>
      <c r="EI139" s="407"/>
    </row>
    <row r="140" customFormat="false" ht="15" hidden="false" customHeight="false" outlineLevel="0" collapsed="false">
      <c r="A140" s="327"/>
      <c r="B140" s="327"/>
      <c r="C140" s="410"/>
      <c r="D140" s="410"/>
      <c r="E140" s="410"/>
      <c r="F140" s="411" t="n">
        <f aca="false">$D$15</f>
        <v>3</v>
      </c>
      <c r="G140" s="412" t="n">
        <f aca="false">VLOOKUP(H140,Equipos!$Q$1:$R$25,2,0)</f>
        <v>19</v>
      </c>
      <c r="H140" s="417" t="str">
        <f aca="false">Idiomas!$D$137</f>
        <v>CLASIFICADOS PARA DIECISEISAVOS</v>
      </c>
      <c r="I140" s="410"/>
      <c r="J140" s="418"/>
      <c r="K140" s="367" t="str">
        <f aca="false">Idiomas!$D$198&amp;"-"&amp;ROWS($L$130:L140)</f>
        <v>Dieciseisavofinalista-11</v>
      </c>
      <c r="L140" s="354"/>
      <c r="M140" s="359" t="str">
        <f aca="false">WORLDCUP!AA111</f>
        <v>1H</v>
      </c>
      <c r="N140" s="332"/>
      <c r="O140" s="332"/>
      <c r="P140" s="332"/>
      <c r="Q140" s="332"/>
      <c r="R140" s="404"/>
      <c r="S140" s="363" t="s">
        <v>2</v>
      </c>
      <c r="T140" s="356" t="n">
        <f aca="false">COUNTIF($M$130:$M$161,S140)*$D$15</f>
        <v>0</v>
      </c>
      <c r="U140" s="407"/>
      <c r="V140" s="363" t="s">
        <v>2</v>
      </c>
      <c r="W140" s="356" t="n">
        <f aca="false">COUNTIF($M$130:$M$161,V140)*$D$15</f>
        <v>0</v>
      </c>
      <c r="X140" s="407"/>
      <c r="Y140" s="363" t="s">
        <v>2</v>
      </c>
      <c r="Z140" s="356" t="n">
        <f aca="false">COUNTIF($M$130:$M$161,Y140)*$D$15</f>
        <v>0</v>
      </c>
      <c r="AA140" s="407"/>
      <c r="AB140" s="363" t="s">
        <v>2</v>
      </c>
      <c r="AC140" s="356" t="n">
        <f aca="false">COUNTIF($M$130:$M$161,AB140)*$D$15</f>
        <v>0</v>
      </c>
      <c r="AD140" s="407"/>
      <c r="AE140" s="363" t="s">
        <v>2</v>
      </c>
      <c r="AF140" s="356" t="n">
        <f aca="false">COUNTIF($M$130:$M$161,AE140)*$D$15</f>
        <v>0</v>
      </c>
      <c r="AG140" s="407"/>
      <c r="AH140" s="363" t="s">
        <v>2</v>
      </c>
      <c r="AI140" s="356" t="n">
        <f aca="false">COUNTIF($M$130:$M$161,AH140)*$D$15</f>
        <v>0</v>
      </c>
      <c r="AJ140" s="407"/>
      <c r="AK140" s="363" t="s">
        <v>2</v>
      </c>
      <c r="AL140" s="356" t="n">
        <f aca="false">COUNTIF($M$130:$M$161,AK140)*$D$15</f>
        <v>0</v>
      </c>
      <c r="AM140" s="407"/>
      <c r="AN140" s="363" t="s">
        <v>2</v>
      </c>
      <c r="AO140" s="356" t="n">
        <f aca="false">COUNTIF($M$130:$M$161,AN140)*$D$15</f>
        <v>0</v>
      </c>
      <c r="AP140" s="407"/>
      <c r="AQ140" s="363" t="s">
        <v>2</v>
      </c>
      <c r="AR140" s="356" t="n">
        <f aca="false">COUNTIF($M$130:$M$161,AQ140)*$D$15</f>
        <v>0</v>
      </c>
      <c r="AS140" s="407"/>
      <c r="AT140" s="363" t="s">
        <v>2</v>
      </c>
      <c r="AU140" s="356" t="n">
        <f aca="false">COUNTIF($M$130:$M$161,AT140)*$D$15</f>
        <v>0</v>
      </c>
      <c r="AV140" s="407"/>
      <c r="AW140" s="363" t="s">
        <v>2</v>
      </c>
      <c r="AX140" s="356" t="n">
        <f aca="false">COUNTIF($M$130:$M$161,AW140)*$D$15</f>
        <v>0</v>
      </c>
      <c r="AY140" s="407"/>
      <c r="AZ140" s="363" t="s">
        <v>2</v>
      </c>
      <c r="BA140" s="356" t="n">
        <f aca="false">COUNTIF($M$130:$M$161,AZ140)*$D$15</f>
        <v>0</v>
      </c>
      <c r="BB140" s="407"/>
      <c r="BC140" s="363" t="s">
        <v>2</v>
      </c>
      <c r="BD140" s="356" t="n">
        <f aca="false">COUNTIF($M$130:$M$161,BC140)*$D$15</f>
        <v>0</v>
      </c>
      <c r="BE140" s="407"/>
      <c r="BF140" s="363" t="s">
        <v>2</v>
      </c>
      <c r="BG140" s="356" t="n">
        <f aca="false">COUNTIF($M$130:$M$161,BF140)*$D$15</f>
        <v>0</v>
      </c>
      <c r="BH140" s="407"/>
      <c r="BI140" s="363" t="s">
        <v>2</v>
      </c>
      <c r="BJ140" s="356" t="n">
        <f aca="false">COUNTIF($M$130:$M$161,BI140)*$D$15</f>
        <v>0</v>
      </c>
      <c r="BK140" s="407"/>
      <c r="BL140" s="363" t="s">
        <v>2</v>
      </c>
      <c r="BM140" s="356" t="n">
        <f aca="false">COUNTIF($M$130:$M$161,BL140)*$D$15</f>
        <v>0</v>
      </c>
      <c r="BN140" s="407"/>
      <c r="BO140" s="363" t="s">
        <v>2</v>
      </c>
      <c r="BP140" s="356" t="n">
        <f aca="false">COUNTIF($M$130:$M$161,BO140)*$D$15</f>
        <v>0</v>
      </c>
      <c r="BQ140" s="407"/>
      <c r="BR140" s="363" t="s">
        <v>2</v>
      </c>
      <c r="BS140" s="356" t="n">
        <f aca="false">COUNTIF($M$130:$M$161,BR140)*$D$15</f>
        <v>0</v>
      </c>
      <c r="BT140" s="407"/>
      <c r="BU140" s="363"/>
      <c r="BV140" s="356" t="n">
        <f aca="false">COUNTIF($M$130:$M$161,BU140)*$D$15</f>
        <v>0</v>
      </c>
      <c r="BW140" s="407"/>
      <c r="BX140" s="363"/>
      <c r="BY140" s="356" t="n">
        <f aca="false">COUNTIF($M$130:$M$161,BX140)*$D$15</f>
        <v>0</v>
      </c>
      <c r="BZ140" s="407"/>
      <c r="CA140" s="363"/>
      <c r="CB140" s="356" t="n">
        <f aca="false">COUNTIF($M$130:$M$161,CA140)*$D$15</f>
        <v>0</v>
      </c>
      <c r="CC140" s="407"/>
      <c r="CD140" s="363"/>
      <c r="CE140" s="356" t="n">
        <f aca="false">COUNTIF($M$130:$M$161,CD140)*$D$15</f>
        <v>0</v>
      </c>
      <c r="CF140" s="407"/>
      <c r="CG140" s="363"/>
      <c r="CH140" s="356" t="n">
        <f aca="false">COUNTIF($M$130:$M$161,CG140)*$D$15</f>
        <v>0</v>
      </c>
      <c r="CI140" s="407"/>
      <c r="CJ140" s="363"/>
      <c r="CK140" s="356" t="n">
        <f aca="false">COUNTIF($M$130:$M$161,CJ140)*$D$15</f>
        <v>0</v>
      </c>
      <c r="CL140" s="407"/>
      <c r="CM140" s="363"/>
      <c r="CN140" s="356" t="n">
        <f aca="false">COUNTIF($M$130:$M$161,CM140)*$D$15</f>
        <v>0</v>
      </c>
      <c r="CO140" s="407"/>
      <c r="CP140" s="363"/>
      <c r="CQ140" s="356" t="n">
        <f aca="false">COUNTIF($M$130:$M$161,CP140)*$D$15</f>
        <v>0</v>
      </c>
      <c r="CR140" s="407"/>
      <c r="CS140" s="363"/>
      <c r="CT140" s="356" t="n">
        <f aca="false">COUNTIF($M$130:$M$161,CS140)*$D$15</f>
        <v>0</v>
      </c>
      <c r="CU140" s="407"/>
      <c r="CV140" s="363"/>
      <c r="CW140" s="356" t="n">
        <f aca="false">COUNTIF($M$130:$M$161,CV140)*$D$15</f>
        <v>0</v>
      </c>
      <c r="CX140" s="407"/>
      <c r="CY140" s="363"/>
      <c r="CZ140" s="356" t="n">
        <f aca="false">COUNTIF($M$130:$M$161,CY140)*$D$15</f>
        <v>0</v>
      </c>
      <c r="DA140" s="407"/>
      <c r="DB140" s="363"/>
      <c r="DC140" s="356" t="n">
        <f aca="false">COUNTIF($M$130:$M$161,DB140)*$D$15</f>
        <v>0</v>
      </c>
      <c r="DD140" s="407"/>
      <c r="DE140" s="363"/>
      <c r="DF140" s="356" t="n">
        <f aca="false">COUNTIF($M$130:$M$161,DE140)*$D$15</f>
        <v>0</v>
      </c>
      <c r="DG140" s="407"/>
      <c r="DH140" s="363"/>
      <c r="DI140" s="356" t="n">
        <f aca="false">COUNTIF($M$130:$M$161,DH140)*$D$15</f>
        <v>0</v>
      </c>
      <c r="DJ140" s="407"/>
      <c r="DK140" s="363"/>
      <c r="DL140" s="356" t="n">
        <f aca="false">COUNTIF($M$130:$M$161,DK140)*$D$15</f>
        <v>0</v>
      </c>
      <c r="DM140" s="407"/>
      <c r="DN140" s="363"/>
      <c r="DO140" s="356" t="n">
        <f aca="false">COUNTIF($M$130:$M$161,DN140)*$D$15</f>
        <v>0</v>
      </c>
      <c r="DP140" s="407"/>
      <c r="DQ140" s="363"/>
      <c r="DR140" s="356" t="n">
        <f aca="false">COUNTIF($M$130:$M$161,DQ140)*$D$15</f>
        <v>0</v>
      </c>
      <c r="DS140" s="407"/>
      <c r="DT140" s="363"/>
      <c r="DU140" s="356" t="n">
        <f aca="false">COUNTIF($M$130:$M$161,DT140)*$D$15</f>
        <v>0</v>
      </c>
      <c r="DV140" s="407"/>
      <c r="DW140" s="363"/>
      <c r="DX140" s="356" t="n">
        <f aca="false">COUNTIF($M$130:$M$161,DW140)*$D$15</f>
        <v>0</v>
      </c>
      <c r="DY140" s="407"/>
      <c r="DZ140" s="363"/>
      <c r="EA140" s="356" t="n">
        <f aca="false">COUNTIF($M$130:$M$161,DZ140)*$D$15</f>
        <v>0</v>
      </c>
      <c r="EB140" s="407"/>
      <c r="EC140" s="363"/>
      <c r="ED140" s="356" t="n">
        <f aca="false">COUNTIF($M$130:$M$161,EC140)*$D$15</f>
        <v>0</v>
      </c>
      <c r="EE140" s="407"/>
      <c r="EF140" s="363"/>
      <c r="EG140" s="356" t="n">
        <f aca="false">COUNTIF($M$130:$M$161,EF140)*$D$15</f>
        <v>0</v>
      </c>
      <c r="EH140" s="407"/>
      <c r="EI140" s="407"/>
    </row>
    <row r="141" customFormat="false" ht="15" hidden="false" customHeight="false" outlineLevel="0" collapsed="false">
      <c r="A141" s="327"/>
      <c r="B141" s="327"/>
      <c r="C141" s="410"/>
      <c r="D141" s="410"/>
      <c r="E141" s="410"/>
      <c r="F141" s="411" t="n">
        <f aca="false">$D$15</f>
        <v>3</v>
      </c>
      <c r="G141" s="412" t="n">
        <f aca="false">VLOOKUP(H141,Equipos!$Q$1:$R$25,2,0)</f>
        <v>19</v>
      </c>
      <c r="H141" s="417" t="str">
        <f aca="false">Idiomas!$D$137</f>
        <v>CLASIFICADOS PARA DIECISEISAVOS</v>
      </c>
      <c r="I141" s="410"/>
      <c r="J141" s="418"/>
      <c r="K141" s="367" t="str">
        <f aca="false">Idiomas!$D$198&amp;"-"&amp;ROWS($L$130:L141)</f>
        <v>Dieciseisavofinalista-12</v>
      </c>
      <c r="L141" s="354"/>
      <c r="M141" s="359" t="str">
        <f aca="false">WORLDCUP!AA112</f>
        <v>2K</v>
      </c>
      <c r="N141" s="332"/>
      <c r="O141" s="332"/>
      <c r="P141" s="332"/>
      <c r="Q141" s="332"/>
      <c r="R141" s="404"/>
      <c r="S141" s="363" t="s">
        <v>371</v>
      </c>
      <c r="T141" s="356" t="n">
        <f aca="false">COUNTIF($M$130:$M$161,S141)*$D$15</f>
        <v>0</v>
      </c>
      <c r="U141" s="407"/>
      <c r="V141" s="363" t="s">
        <v>371</v>
      </c>
      <c r="W141" s="356" t="n">
        <f aca="false">COUNTIF($M$130:$M$161,V141)*$D$15</f>
        <v>0</v>
      </c>
      <c r="X141" s="407"/>
      <c r="Y141" s="363" t="s">
        <v>371</v>
      </c>
      <c r="Z141" s="356" t="n">
        <f aca="false">COUNTIF($M$130:$M$161,Y141)*$D$15</f>
        <v>0</v>
      </c>
      <c r="AA141" s="407"/>
      <c r="AB141" s="363" t="s">
        <v>371</v>
      </c>
      <c r="AC141" s="356" t="n">
        <f aca="false">COUNTIF($M$130:$M$161,AB141)*$D$15</f>
        <v>0</v>
      </c>
      <c r="AD141" s="407"/>
      <c r="AE141" s="363" t="s">
        <v>371</v>
      </c>
      <c r="AF141" s="356" t="n">
        <f aca="false">COUNTIF($M$130:$M$161,AE141)*$D$15</f>
        <v>0</v>
      </c>
      <c r="AG141" s="407"/>
      <c r="AH141" s="363" t="s">
        <v>371</v>
      </c>
      <c r="AI141" s="356" t="n">
        <f aca="false">COUNTIF($M$130:$M$161,AH141)*$D$15</f>
        <v>0</v>
      </c>
      <c r="AJ141" s="407"/>
      <c r="AK141" s="363" t="s">
        <v>371</v>
      </c>
      <c r="AL141" s="356" t="n">
        <f aca="false">COUNTIF($M$130:$M$161,AK141)*$D$15</f>
        <v>0</v>
      </c>
      <c r="AM141" s="407"/>
      <c r="AN141" s="363" t="s">
        <v>371</v>
      </c>
      <c r="AO141" s="356" t="n">
        <f aca="false">COUNTIF($M$130:$M$161,AN141)*$D$15</f>
        <v>0</v>
      </c>
      <c r="AP141" s="407"/>
      <c r="AQ141" s="363" t="s">
        <v>371</v>
      </c>
      <c r="AR141" s="356" t="n">
        <f aca="false">COUNTIF($M$130:$M$161,AQ141)*$D$15</f>
        <v>0</v>
      </c>
      <c r="AS141" s="407"/>
      <c r="AT141" s="363" t="s">
        <v>371</v>
      </c>
      <c r="AU141" s="356" t="n">
        <f aca="false">COUNTIF($M$130:$M$161,AT141)*$D$15</f>
        <v>0</v>
      </c>
      <c r="AV141" s="407"/>
      <c r="AW141" s="363" t="s">
        <v>371</v>
      </c>
      <c r="AX141" s="356" t="n">
        <f aca="false">COUNTIF($M$130:$M$161,AW141)*$D$15</f>
        <v>0</v>
      </c>
      <c r="AY141" s="407"/>
      <c r="AZ141" s="363" t="s">
        <v>371</v>
      </c>
      <c r="BA141" s="356" t="n">
        <f aca="false">COUNTIF($M$130:$M$161,AZ141)*$D$15</f>
        <v>0</v>
      </c>
      <c r="BB141" s="407"/>
      <c r="BC141" s="363" t="s">
        <v>371</v>
      </c>
      <c r="BD141" s="356" t="n">
        <f aca="false">COUNTIF($M$130:$M$161,BC141)*$D$15</f>
        <v>0</v>
      </c>
      <c r="BE141" s="407"/>
      <c r="BF141" s="363" t="s">
        <v>371</v>
      </c>
      <c r="BG141" s="356" t="n">
        <f aca="false">COUNTIF($M$130:$M$161,BF141)*$D$15</f>
        <v>0</v>
      </c>
      <c r="BH141" s="407"/>
      <c r="BI141" s="363" t="s">
        <v>371</v>
      </c>
      <c r="BJ141" s="356" t="n">
        <f aca="false">COUNTIF($M$130:$M$161,BI141)*$D$15</f>
        <v>0</v>
      </c>
      <c r="BK141" s="407"/>
      <c r="BL141" s="363" t="s">
        <v>371</v>
      </c>
      <c r="BM141" s="356" t="n">
        <f aca="false">COUNTIF($M$130:$M$161,BL141)*$D$15</f>
        <v>0</v>
      </c>
      <c r="BN141" s="407"/>
      <c r="BO141" s="363" t="s">
        <v>371</v>
      </c>
      <c r="BP141" s="356" t="n">
        <f aca="false">COUNTIF($M$130:$M$161,BO141)*$D$15</f>
        <v>0</v>
      </c>
      <c r="BQ141" s="407"/>
      <c r="BR141" s="363" t="s">
        <v>371</v>
      </c>
      <c r="BS141" s="356" t="n">
        <f aca="false">COUNTIF($M$130:$M$161,BR141)*$D$15</f>
        <v>0</v>
      </c>
      <c r="BT141" s="407"/>
      <c r="BU141" s="363"/>
      <c r="BV141" s="356" t="n">
        <f aca="false">COUNTIF($M$130:$M$161,BU141)*$D$15</f>
        <v>0</v>
      </c>
      <c r="BW141" s="407"/>
      <c r="BX141" s="363"/>
      <c r="BY141" s="356" t="n">
        <f aca="false">COUNTIF($M$130:$M$161,BX141)*$D$15</f>
        <v>0</v>
      </c>
      <c r="BZ141" s="407"/>
      <c r="CA141" s="363"/>
      <c r="CB141" s="356" t="n">
        <f aca="false">COUNTIF($M$130:$M$161,CA141)*$D$15</f>
        <v>0</v>
      </c>
      <c r="CC141" s="407"/>
      <c r="CD141" s="363"/>
      <c r="CE141" s="356" t="n">
        <f aca="false">COUNTIF($M$130:$M$161,CD141)*$D$15</f>
        <v>0</v>
      </c>
      <c r="CF141" s="407"/>
      <c r="CG141" s="363"/>
      <c r="CH141" s="356" t="n">
        <f aca="false">COUNTIF($M$130:$M$161,CG141)*$D$15</f>
        <v>0</v>
      </c>
      <c r="CI141" s="407"/>
      <c r="CJ141" s="363"/>
      <c r="CK141" s="356" t="n">
        <f aca="false">COUNTIF($M$130:$M$161,CJ141)*$D$15</f>
        <v>0</v>
      </c>
      <c r="CL141" s="407"/>
      <c r="CM141" s="363"/>
      <c r="CN141" s="356" t="n">
        <f aca="false">COUNTIF($M$130:$M$161,CM141)*$D$15</f>
        <v>0</v>
      </c>
      <c r="CO141" s="407"/>
      <c r="CP141" s="363"/>
      <c r="CQ141" s="356" t="n">
        <f aca="false">COUNTIF($M$130:$M$161,CP141)*$D$15</f>
        <v>0</v>
      </c>
      <c r="CR141" s="407"/>
      <c r="CS141" s="363"/>
      <c r="CT141" s="356" t="n">
        <f aca="false">COUNTIF($M$130:$M$161,CS141)*$D$15</f>
        <v>0</v>
      </c>
      <c r="CU141" s="407"/>
      <c r="CV141" s="363"/>
      <c r="CW141" s="356" t="n">
        <f aca="false">COUNTIF($M$130:$M$161,CV141)*$D$15</f>
        <v>0</v>
      </c>
      <c r="CX141" s="407"/>
      <c r="CY141" s="363"/>
      <c r="CZ141" s="356" t="n">
        <f aca="false">COUNTIF($M$130:$M$161,CY141)*$D$15</f>
        <v>0</v>
      </c>
      <c r="DA141" s="407"/>
      <c r="DB141" s="363"/>
      <c r="DC141" s="356" t="n">
        <f aca="false">COUNTIF($M$130:$M$161,DB141)*$D$15</f>
        <v>0</v>
      </c>
      <c r="DD141" s="407"/>
      <c r="DE141" s="363"/>
      <c r="DF141" s="356" t="n">
        <f aca="false">COUNTIF($M$130:$M$161,DE141)*$D$15</f>
        <v>0</v>
      </c>
      <c r="DG141" s="407"/>
      <c r="DH141" s="363"/>
      <c r="DI141" s="356" t="n">
        <f aca="false">COUNTIF($M$130:$M$161,DH141)*$D$15</f>
        <v>0</v>
      </c>
      <c r="DJ141" s="407"/>
      <c r="DK141" s="363"/>
      <c r="DL141" s="356" t="n">
        <f aca="false">COUNTIF($M$130:$M$161,DK141)*$D$15</f>
        <v>0</v>
      </c>
      <c r="DM141" s="407"/>
      <c r="DN141" s="363"/>
      <c r="DO141" s="356" t="n">
        <f aca="false">COUNTIF($M$130:$M$161,DN141)*$D$15</f>
        <v>0</v>
      </c>
      <c r="DP141" s="407"/>
      <c r="DQ141" s="363"/>
      <c r="DR141" s="356" t="n">
        <f aca="false">COUNTIF($M$130:$M$161,DQ141)*$D$15</f>
        <v>0</v>
      </c>
      <c r="DS141" s="407"/>
      <c r="DT141" s="363"/>
      <c r="DU141" s="356" t="n">
        <f aca="false">COUNTIF($M$130:$M$161,DT141)*$D$15</f>
        <v>0</v>
      </c>
      <c r="DV141" s="407"/>
      <c r="DW141" s="363"/>
      <c r="DX141" s="356" t="n">
        <f aca="false">COUNTIF($M$130:$M$161,DW141)*$D$15</f>
        <v>0</v>
      </c>
      <c r="DY141" s="407"/>
      <c r="DZ141" s="363"/>
      <c r="EA141" s="356" t="n">
        <f aca="false">COUNTIF($M$130:$M$161,DZ141)*$D$15</f>
        <v>0</v>
      </c>
      <c r="EB141" s="407"/>
      <c r="EC141" s="363"/>
      <c r="ED141" s="356" t="n">
        <f aca="false">COUNTIF($M$130:$M$161,EC141)*$D$15</f>
        <v>0</v>
      </c>
      <c r="EE141" s="407"/>
      <c r="EF141" s="363"/>
      <c r="EG141" s="356" t="n">
        <f aca="false">COUNTIF($M$130:$M$161,EF141)*$D$15</f>
        <v>0</v>
      </c>
      <c r="EH141" s="407"/>
      <c r="EI141" s="407"/>
    </row>
    <row r="142" customFormat="false" ht="15" hidden="false" customHeight="false" outlineLevel="0" collapsed="false">
      <c r="A142" s="327"/>
      <c r="B142" s="327"/>
      <c r="C142" s="410"/>
      <c r="D142" s="410"/>
      <c r="E142" s="410"/>
      <c r="F142" s="411" t="n">
        <f aca="false">$D$15</f>
        <v>3</v>
      </c>
      <c r="G142" s="412" t="n">
        <f aca="false">VLOOKUP(H142,Equipos!$Q$1:$R$25,2,0)</f>
        <v>19</v>
      </c>
      <c r="H142" s="417" t="str">
        <f aca="false">Idiomas!$D$137</f>
        <v>CLASIFICADOS PARA DIECISEISAVOS</v>
      </c>
      <c r="I142" s="410"/>
      <c r="J142" s="418"/>
      <c r="K142" s="367" t="str">
        <f aca="false">Idiomas!$D$198&amp;"-"&amp;ROWS($L$130:L142)</f>
        <v>Dieciseisavofinalista-13</v>
      </c>
      <c r="L142" s="354"/>
      <c r="M142" s="359" t="str">
        <f aca="false">WORLDCUP!AA113</f>
        <v>1B</v>
      </c>
      <c r="N142" s="332"/>
      <c r="O142" s="332"/>
      <c r="P142" s="332"/>
      <c r="Q142" s="332"/>
      <c r="R142" s="404"/>
      <c r="S142" s="363" t="s">
        <v>335</v>
      </c>
      <c r="T142" s="356" t="n">
        <f aca="false">COUNTIF($M$130:$M$161,S142)*$D$15</f>
        <v>0</v>
      </c>
      <c r="U142" s="407"/>
      <c r="V142" s="363" t="s">
        <v>336</v>
      </c>
      <c r="W142" s="356" t="n">
        <f aca="false">COUNTIF($M$130:$M$161,V142)*$D$15</f>
        <v>0</v>
      </c>
      <c r="X142" s="407"/>
      <c r="Y142" s="363" t="s">
        <v>336</v>
      </c>
      <c r="Z142" s="356" t="n">
        <f aca="false">COUNTIF($M$130:$M$161,Y142)*$D$15</f>
        <v>0</v>
      </c>
      <c r="AA142" s="407"/>
      <c r="AB142" s="363" t="s">
        <v>336</v>
      </c>
      <c r="AC142" s="356" t="n">
        <f aca="false">COUNTIF($M$130:$M$161,AB142)*$D$15</f>
        <v>0</v>
      </c>
      <c r="AD142" s="407"/>
      <c r="AE142" s="363" t="s">
        <v>337</v>
      </c>
      <c r="AF142" s="356" t="n">
        <f aca="false">COUNTIF($M$130:$M$161,AE142)*$D$15</f>
        <v>0</v>
      </c>
      <c r="AG142" s="407"/>
      <c r="AH142" s="363" t="s">
        <v>337</v>
      </c>
      <c r="AI142" s="356" t="n">
        <f aca="false">COUNTIF($M$130:$M$161,AH142)*$D$15</f>
        <v>0</v>
      </c>
      <c r="AJ142" s="407"/>
      <c r="AK142" s="363" t="s">
        <v>337</v>
      </c>
      <c r="AL142" s="356" t="n">
        <f aca="false">COUNTIF($M$130:$M$161,AK142)*$D$15</f>
        <v>0</v>
      </c>
      <c r="AM142" s="407"/>
      <c r="AN142" s="363" t="s">
        <v>336</v>
      </c>
      <c r="AO142" s="356" t="n">
        <f aca="false">COUNTIF($M$130:$M$161,AN142)*$D$15</f>
        <v>0</v>
      </c>
      <c r="AP142" s="407"/>
      <c r="AQ142" s="363" t="s">
        <v>336</v>
      </c>
      <c r="AR142" s="356" t="n">
        <f aca="false">COUNTIF($M$130:$M$161,AQ142)*$D$15</f>
        <v>0</v>
      </c>
      <c r="AS142" s="407"/>
      <c r="AT142" s="363" t="s">
        <v>335</v>
      </c>
      <c r="AU142" s="356" t="n">
        <f aca="false">COUNTIF($M$130:$M$161,AT142)*$D$15</f>
        <v>0</v>
      </c>
      <c r="AV142" s="407"/>
      <c r="AW142" s="363" t="s">
        <v>337</v>
      </c>
      <c r="AX142" s="356" t="n">
        <f aca="false">COUNTIF($M$130:$M$161,AW142)*$D$15</f>
        <v>0</v>
      </c>
      <c r="AY142" s="407"/>
      <c r="AZ142" s="363" t="s">
        <v>336</v>
      </c>
      <c r="BA142" s="356" t="n">
        <f aca="false">COUNTIF($M$130:$M$161,AZ142)*$D$15</f>
        <v>0</v>
      </c>
      <c r="BB142" s="407"/>
      <c r="BC142" s="363" t="s">
        <v>336</v>
      </c>
      <c r="BD142" s="356" t="n">
        <f aca="false">COUNTIF($M$130:$M$161,BC142)*$D$15</f>
        <v>0</v>
      </c>
      <c r="BE142" s="407"/>
      <c r="BF142" s="363" t="s">
        <v>336</v>
      </c>
      <c r="BG142" s="356" t="n">
        <f aca="false">COUNTIF($M$130:$M$161,BF142)*$D$15</f>
        <v>0</v>
      </c>
      <c r="BH142" s="407"/>
      <c r="BI142" s="363" t="s">
        <v>337</v>
      </c>
      <c r="BJ142" s="356" t="n">
        <f aca="false">COUNTIF($M$130:$M$161,BI142)*$D$15</f>
        <v>0</v>
      </c>
      <c r="BK142" s="407"/>
      <c r="BL142" s="363" t="s">
        <v>336</v>
      </c>
      <c r="BM142" s="356" t="n">
        <f aca="false">COUNTIF($M$130:$M$161,BL142)*$D$15</f>
        <v>0</v>
      </c>
      <c r="BN142" s="407"/>
      <c r="BO142" s="363" t="s">
        <v>336</v>
      </c>
      <c r="BP142" s="356" t="n">
        <f aca="false">COUNTIF($M$130:$M$161,BO142)*$D$15</f>
        <v>0</v>
      </c>
      <c r="BQ142" s="407"/>
      <c r="BR142" s="363" t="s">
        <v>336</v>
      </c>
      <c r="BS142" s="356" t="n">
        <f aca="false">COUNTIF($M$130:$M$161,BR142)*$D$15</f>
        <v>0</v>
      </c>
      <c r="BT142" s="407"/>
      <c r="BU142" s="363"/>
      <c r="BV142" s="356" t="n">
        <f aca="false">COUNTIF($M$130:$M$161,BU142)*$D$15</f>
        <v>0</v>
      </c>
      <c r="BW142" s="407"/>
      <c r="BX142" s="363"/>
      <c r="BY142" s="356" t="n">
        <f aca="false">COUNTIF($M$130:$M$161,BX142)*$D$15</f>
        <v>0</v>
      </c>
      <c r="BZ142" s="407"/>
      <c r="CA142" s="363"/>
      <c r="CB142" s="356" t="n">
        <f aca="false">COUNTIF($M$130:$M$161,CA142)*$D$15</f>
        <v>0</v>
      </c>
      <c r="CC142" s="407"/>
      <c r="CD142" s="363"/>
      <c r="CE142" s="356" t="n">
        <f aca="false">COUNTIF($M$130:$M$161,CD142)*$D$15</f>
        <v>0</v>
      </c>
      <c r="CF142" s="407"/>
      <c r="CG142" s="363"/>
      <c r="CH142" s="356" t="n">
        <f aca="false">COUNTIF($M$130:$M$161,CG142)*$D$15</f>
        <v>0</v>
      </c>
      <c r="CI142" s="407"/>
      <c r="CJ142" s="363"/>
      <c r="CK142" s="356" t="n">
        <f aca="false">COUNTIF($M$130:$M$161,CJ142)*$D$15</f>
        <v>0</v>
      </c>
      <c r="CL142" s="407"/>
      <c r="CM142" s="363"/>
      <c r="CN142" s="356" t="n">
        <f aca="false">COUNTIF($M$130:$M$161,CM142)*$D$15</f>
        <v>0</v>
      </c>
      <c r="CO142" s="407"/>
      <c r="CP142" s="363"/>
      <c r="CQ142" s="356" t="n">
        <f aca="false">COUNTIF($M$130:$M$161,CP142)*$D$15</f>
        <v>0</v>
      </c>
      <c r="CR142" s="407"/>
      <c r="CS142" s="363"/>
      <c r="CT142" s="356" t="n">
        <f aca="false">COUNTIF($M$130:$M$161,CS142)*$D$15</f>
        <v>0</v>
      </c>
      <c r="CU142" s="407"/>
      <c r="CV142" s="363"/>
      <c r="CW142" s="356" t="n">
        <f aca="false">COUNTIF($M$130:$M$161,CV142)*$D$15</f>
        <v>0</v>
      </c>
      <c r="CX142" s="407"/>
      <c r="CY142" s="363"/>
      <c r="CZ142" s="356" t="n">
        <f aca="false">COUNTIF($M$130:$M$161,CY142)*$D$15</f>
        <v>0</v>
      </c>
      <c r="DA142" s="407"/>
      <c r="DB142" s="363"/>
      <c r="DC142" s="356" t="n">
        <f aca="false">COUNTIF($M$130:$M$161,DB142)*$D$15</f>
        <v>0</v>
      </c>
      <c r="DD142" s="407"/>
      <c r="DE142" s="363"/>
      <c r="DF142" s="356" t="n">
        <f aca="false">COUNTIF($M$130:$M$161,DE142)*$D$15</f>
        <v>0</v>
      </c>
      <c r="DG142" s="407"/>
      <c r="DH142" s="363"/>
      <c r="DI142" s="356" t="n">
        <f aca="false">COUNTIF($M$130:$M$161,DH142)*$D$15</f>
        <v>0</v>
      </c>
      <c r="DJ142" s="407"/>
      <c r="DK142" s="363"/>
      <c r="DL142" s="356" t="n">
        <f aca="false">COUNTIF($M$130:$M$161,DK142)*$D$15</f>
        <v>0</v>
      </c>
      <c r="DM142" s="407"/>
      <c r="DN142" s="363"/>
      <c r="DO142" s="356" t="n">
        <f aca="false">COUNTIF($M$130:$M$161,DN142)*$D$15</f>
        <v>0</v>
      </c>
      <c r="DP142" s="407"/>
      <c r="DQ142" s="363"/>
      <c r="DR142" s="356" t="n">
        <f aca="false">COUNTIF($M$130:$M$161,DQ142)*$D$15</f>
        <v>0</v>
      </c>
      <c r="DS142" s="407"/>
      <c r="DT142" s="363"/>
      <c r="DU142" s="356" t="n">
        <f aca="false">COUNTIF($M$130:$M$161,DT142)*$D$15</f>
        <v>0</v>
      </c>
      <c r="DV142" s="407"/>
      <c r="DW142" s="363"/>
      <c r="DX142" s="356" t="n">
        <f aca="false">COUNTIF($M$130:$M$161,DW142)*$D$15</f>
        <v>0</v>
      </c>
      <c r="DY142" s="407"/>
      <c r="DZ142" s="363"/>
      <c r="EA142" s="356" t="n">
        <f aca="false">COUNTIF($M$130:$M$161,DZ142)*$D$15</f>
        <v>0</v>
      </c>
      <c r="EB142" s="407"/>
      <c r="EC142" s="363"/>
      <c r="ED142" s="356" t="n">
        <f aca="false">COUNTIF($M$130:$M$161,EC142)*$D$15</f>
        <v>0</v>
      </c>
      <c r="EE142" s="407"/>
      <c r="EF142" s="363"/>
      <c r="EG142" s="356" t="n">
        <f aca="false">COUNTIF($M$130:$M$161,EF142)*$D$15</f>
        <v>0</v>
      </c>
      <c r="EH142" s="407"/>
      <c r="EI142" s="407"/>
    </row>
    <row r="143" customFormat="false" ht="15" hidden="false" customHeight="false" outlineLevel="0" collapsed="false">
      <c r="A143" s="327"/>
      <c r="B143" s="327"/>
      <c r="C143" s="410"/>
      <c r="D143" s="410"/>
      <c r="E143" s="410"/>
      <c r="F143" s="411" t="n">
        <f aca="false">$D$15</f>
        <v>3</v>
      </c>
      <c r="G143" s="412" t="n">
        <f aca="false">VLOOKUP(H143,Equipos!$Q$1:$R$25,2,0)</f>
        <v>19</v>
      </c>
      <c r="H143" s="417" t="str">
        <f aca="false">Idiomas!$D$137</f>
        <v>CLASIFICADOS PARA DIECISEISAVOS</v>
      </c>
      <c r="I143" s="410"/>
      <c r="J143" s="418"/>
      <c r="K143" s="367" t="str">
        <f aca="false">Idiomas!$D$198&amp;"-"&amp;ROWS($L$130:L143)</f>
        <v>Dieciseisavofinalista-14</v>
      </c>
      <c r="L143" s="354"/>
      <c r="M143" s="359" t="str">
        <f aca="false">WORLDCUP!AA114</f>
        <v>2D</v>
      </c>
      <c r="N143" s="332"/>
      <c r="O143" s="332"/>
      <c r="P143" s="332"/>
      <c r="Q143" s="332"/>
      <c r="R143" s="404"/>
      <c r="S143" s="363" t="s">
        <v>344</v>
      </c>
      <c r="T143" s="356" t="n">
        <f aca="false">COUNTIF($M$130:$M$161,S143)*$D$15</f>
        <v>0</v>
      </c>
      <c r="U143" s="407"/>
      <c r="V143" s="363" t="s">
        <v>343</v>
      </c>
      <c r="W143" s="356" t="n">
        <f aca="false">COUNTIF($M$130:$M$161,V143)*$D$15</f>
        <v>0</v>
      </c>
      <c r="X143" s="407"/>
      <c r="Y143" s="363" t="s">
        <v>344</v>
      </c>
      <c r="Z143" s="356" t="n">
        <f aca="false">COUNTIF($M$130:$M$161,Y143)*$D$15</f>
        <v>0</v>
      </c>
      <c r="AA143" s="407"/>
      <c r="AB143" s="363" t="s">
        <v>344</v>
      </c>
      <c r="AC143" s="356" t="n">
        <f aca="false">COUNTIF($M$130:$M$161,AB143)*$D$15</f>
        <v>0</v>
      </c>
      <c r="AD143" s="407"/>
      <c r="AE143" s="363" t="s">
        <v>344</v>
      </c>
      <c r="AF143" s="356" t="n">
        <f aca="false">COUNTIF($M$130:$M$161,AE143)*$D$15</f>
        <v>0</v>
      </c>
      <c r="AG143" s="407"/>
      <c r="AH143" s="363" t="s">
        <v>343</v>
      </c>
      <c r="AI143" s="356" t="n">
        <f aca="false">COUNTIF($M$130:$M$161,AH143)*$D$15</f>
        <v>0</v>
      </c>
      <c r="AJ143" s="407"/>
      <c r="AK143" s="363" t="s">
        <v>343</v>
      </c>
      <c r="AL143" s="356" t="n">
        <f aca="false">COUNTIF($M$130:$M$161,AK143)*$D$15</f>
        <v>0</v>
      </c>
      <c r="AM143" s="407"/>
      <c r="AN143" s="363" t="s">
        <v>343</v>
      </c>
      <c r="AO143" s="356" t="n">
        <f aca="false">COUNTIF($M$130:$M$161,AN143)*$D$15</f>
        <v>0</v>
      </c>
      <c r="AP143" s="407"/>
      <c r="AQ143" s="363" t="s">
        <v>344</v>
      </c>
      <c r="AR143" s="356" t="n">
        <f aca="false">COUNTIF($M$130:$M$161,AQ143)*$D$15</f>
        <v>0</v>
      </c>
      <c r="AS143" s="407"/>
      <c r="AT143" s="363" t="s">
        <v>345</v>
      </c>
      <c r="AU143" s="356" t="n">
        <f aca="false">COUNTIF($M$130:$M$161,AT143)*$D$15</f>
        <v>0</v>
      </c>
      <c r="AV143" s="407"/>
      <c r="AW143" s="363" t="s">
        <v>343</v>
      </c>
      <c r="AX143" s="356" t="n">
        <f aca="false">COUNTIF($M$130:$M$161,AW143)*$D$15</f>
        <v>0</v>
      </c>
      <c r="AY143" s="407"/>
      <c r="AZ143" s="363" t="s">
        <v>344</v>
      </c>
      <c r="BA143" s="356" t="n">
        <f aca="false">COUNTIF($M$130:$M$161,AZ143)*$D$15</f>
        <v>0</v>
      </c>
      <c r="BB143" s="407"/>
      <c r="BC143" s="363" t="s">
        <v>344</v>
      </c>
      <c r="BD143" s="356" t="n">
        <f aca="false">COUNTIF($M$130:$M$161,BC143)*$D$15</f>
        <v>0</v>
      </c>
      <c r="BE143" s="407"/>
      <c r="BF143" s="363" t="s">
        <v>345</v>
      </c>
      <c r="BG143" s="356" t="n">
        <f aca="false">COUNTIF($M$130:$M$161,BF143)*$D$15</f>
        <v>0</v>
      </c>
      <c r="BH143" s="407"/>
      <c r="BI143" s="363" t="s">
        <v>343</v>
      </c>
      <c r="BJ143" s="356" t="n">
        <f aca="false">COUNTIF($M$130:$M$161,BI143)*$D$15</f>
        <v>0</v>
      </c>
      <c r="BK143" s="407"/>
      <c r="BL143" s="363" t="s">
        <v>343</v>
      </c>
      <c r="BM143" s="356" t="n">
        <f aca="false">COUNTIF($M$130:$M$161,BL143)*$D$15</f>
        <v>0</v>
      </c>
      <c r="BN143" s="407"/>
      <c r="BO143" s="363" t="s">
        <v>343</v>
      </c>
      <c r="BP143" s="356" t="n">
        <f aca="false">COUNTIF($M$130:$M$161,BO143)*$D$15</f>
        <v>0</v>
      </c>
      <c r="BQ143" s="407"/>
      <c r="BR143" s="363" t="s">
        <v>343</v>
      </c>
      <c r="BS143" s="356" t="n">
        <f aca="false">COUNTIF($M$130:$M$161,BR143)*$D$15</f>
        <v>0</v>
      </c>
      <c r="BT143" s="407"/>
      <c r="BU143" s="363"/>
      <c r="BV143" s="356" t="n">
        <f aca="false">COUNTIF($M$130:$M$161,BU143)*$D$15</f>
        <v>0</v>
      </c>
      <c r="BW143" s="407"/>
      <c r="BX143" s="363"/>
      <c r="BY143" s="356" t="n">
        <f aca="false">COUNTIF($M$130:$M$161,BX143)*$D$15</f>
        <v>0</v>
      </c>
      <c r="BZ143" s="407"/>
      <c r="CA143" s="363"/>
      <c r="CB143" s="356" t="n">
        <f aca="false">COUNTIF($M$130:$M$161,CA143)*$D$15</f>
        <v>0</v>
      </c>
      <c r="CC143" s="407"/>
      <c r="CD143" s="363"/>
      <c r="CE143" s="356" t="n">
        <f aca="false">COUNTIF($M$130:$M$161,CD143)*$D$15</f>
        <v>0</v>
      </c>
      <c r="CF143" s="407"/>
      <c r="CG143" s="363"/>
      <c r="CH143" s="356" t="n">
        <f aca="false">COUNTIF($M$130:$M$161,CG143)*$D$15</f>
        <v>0</v>
      </c>
      <c r="CI143" s="407"/>
      <c r="CJ143" s="363"/>
      <c r="CK143" s="356" t="n">
        <f aca="false">COUNTIF($M$130:$M$161,CJ143)*$D$15</f>
        <v>0</v>
      </c>
      <c r="CL143" s="407"/>
      <c r="CM143" s="363"/>
      <c r="CN143" s="356" t="n">
        <f aca="false">COUNTIF($M$130:$M$161,CM143)*$D$15</f>
        <v>0</v>
      </c>
      <c r="CO143" s="407"/>
      <c r="CP143" s="363"/>
      <c r="CQ143" s="356" t="n">
        <f aca="false">COUNTIF($M$130:$M$161,CP143)*$D$15</f>
        <v>0</v>
      </c>
      <c r="CR143" s="407"/>
      <c r="CS143" s="363"/>
      <c r="CT143" s="356" t="n">
        <f aca="false">COUNTIF($M$130:$M$161,CS143)*$D$15</f>
        <v>0</v>
      </c>
      <c r="CU143" s="407"/>
      <c r="CV143" s="363"/>
      <c r="CW143" s="356" t="n">
        <f aca="false">COUNTIF($M$130:$M$161,CV143)*$D$15</f>
        <v>0</v>
      </c>
      <c r="CX143" s="407"/>
      <c r="CY143" s="363"/>
      <c r="CZ143" s="356" t="n">
        <f aca="false">COUNTIF($M$130:$M$161,CY143)*$D$15</f>
        <v>0</v>
      </c>
      <c r="DA143" s="407"/>
      <c r="DB143" s="363"/>
      <c r="DC143" s="356" t="n">
        <f aca="false">COUNTIF($M$130:$M$161,DB143)*$D$15</f>
        <v>0</v>
      </c>
      <c r="DD143" s="407"/>
      <c r="DE143" s="363"/>
      <c r="DF143" s="356" t="n">
        <f aca="false">COUNTIF($M$130:$M$161,DE143)*$D$15</f>
        <v>0</v>
      </c>
      <c r="DG143" s="407"/>
      <c r="DH143" s="363"/>
      <c r="DI143" s="356" t="n">
        <f aca="false">COUNTIF($M$130:$M$161,DH143)*$D$15</f>
        <v>0</v>
      </c>
      <c r="DJ143" s="407"/>
      <c r="DK143" s="363"/>
      <c r="DL143" s="356" t="n">
        <f aca="false">COUNTIF($M$130:$M$161,DK143)*$D$15</f>
        <v>0</v>
      </c>
      <c r="DM143" s="407"/>
      <c r="DN143" s="363"/>
      <c r="DO143" s="356" t="n">
        <f aca="false">COUNTIF($M$130:$M$161,DN143)*$D$15</f>
        <v>0</v>
      </c>
      <c r="DP143" s="407"/>
      <c r="DQ143" s="363"/>
      <c r="DR143" s="356" t="n">
        <f aca="false">COUNTIF($M$130:$M$161,DQ143)*$D$15</f>
        <v>0</v>
      </c>
      <c r="DS143" s="407"/>
      <c r="DT143" s="363"/>
      <c r="DU143" s="356" t="n">
        <f aca="false">COUNTIF($M$130:$M$161,DT143)*$D$15</f>
        <v>0</v>
      </c>
      <c r="DV143" s="407"/>
      <c r="DW143" s="363"/>
      <c r="DX143" s="356" t="n">
        <f aca="false">COUNTIF($M$130:$M$161,DW143)*$D$15</f>
        <v>0</v>
      </c>
      <c r="DY143" s="407"/>
      <c r="DZ143" s="363"/>
      <c r="EA143" s="356" t="n">
        <f aca="false">COUNTIF($M$130:$M$161,DZ143)*$D$15</f>
        <v>0</v>
      </c>
      <c r="EB143" s="407"/>
      <c r="EC143" s="363"/>
      <c r="ED143" s="356" t="n">
        <f aca="false">COUNTIF($M$130:$M$161,EC143)*$D$15</f>
        <v>0</v>
      </c>
      <c r="EE143" s="407"/>
      <c r="EF143" s="363"/>
      <c r="EG143" s="356" t="n">
        <f aca="false">COUNTIF($M$130:$M$161,EF143)*$D$15</f>
        <v>0</v>
      </c>
      <c r="EH143" s="407"/>
      <c r="EI143" s="407"/>
    </row>
    <row r="144" customFormat="false" ht="15" hidden="false" customHeight="false" outlineLevel="0" collapsed="false">
      <c r="A144" s="327"/>
      <c r="B144" s="327"/>
      <c r="C144" s="410"/>
      <c r="D144" s="410"/>
      <c r="E144" s="410"/>
      <c r="F144" s="411" t="n">
        <f aca="false">$D$15</f>
        <v>3</v>
      </c>
      <c r="G144" s="412" t="n">
        <f aca="false">VLOOKUP(H144,Equipos!$Q$1:$R$25,2,0)</f>
        <v>19</v>
      </c>
      <c r="H144" s="417" t="str">
        <f aca="false">Idiomas!$D$137</f>
        <v>CLASIFICADOS PARA DIECISEISAVOS</v>
      </c>
      <c r="I144" s="410"/>
      <c r="J144" s="418"/>
      <c r="K144" s="367" t="str">
        <f aca="false">Idiomas!$D$198&amp;"-"&amp;ROWS($L$130:L144)</f>
        <v>Dieciseisavofinalista-15</v>
      </c>
      <c r="L144" s="354"/>
      <c r="M144" s="359" t="str">
        <f aca="false">WORLDCUP!AA115</f>
        <v>1J</v>
      </c>
      <c r="N144" s="332"/>
      <c r="O144" s="332"/>
      <c r="P144" s="332"/>
      <c r="Q144" s="332"/>
      <c r="R144" s="404"/>
      <c r="S144" s="363" t="s">
        <v>366</v>
      </c>
      <c r="T144" s="356" t="n">
        <f aca="false">COUNTIF($M$130:$M$161,S144)*$D$15</f>
        <v>0</v>
      </c>
      <c r="U144" s="407"/>
      <c r="V144" s="363" t="s">
        <v>366</v>
      </c>
      <c r="W144" s="356" t="n">
        <f aca="false">COUNTIF($M$130:$M$161,V144)*$D$15</f>
        <v>0</v>
      </c>
      <c r="X144" s="407"/>
      <c r="Y144" s="363" t="s">
        <v>366</v>
      </c>
      <c r="Z144" s="356" t="n">
        <f aca="false">COUNTIF($M$130:$M$161,Y144)*$D$15</f>
        <v>0</v>
      </c>
      <c r="AA144" s="407"/>
      <c r="AB144" s="363" t="s">
        <v>366</v>
      </c>
      <c r="AC144" s="356" t="n">
        <f aca="false">COUNTIF($M$130:$M$161,AB144)*$D$15</f>
        <v>0</v>
      </c>
      <c r="AD144" s="407"/>
      <c r="AE144" s="363" t="s">
        <v>366</v>
      </c>
      <c r="AF144" s="356" t="n">
        <f aca="false">COUNTIF($M$130:$M$161,AE144)*$D$15</f>
        <v>0</v>
      </c>
      <c r="AG144" s="407"/>
      <c r="AH144" s="363" t="s">
        <v>366</v>
      </c>
      <c r="AI144" s="356" t="n">
        <f aca="false">COUNTIF($M$130:$M$161,AH144)*$D$15</f>
        <v>0</v>
      </c>
      <c r="AJ144" s="407"/>
      <c r="AK144" s="363" t="s">
        <v>366</v>
      </c>
      <c r="AL144" s="356" t="n">
        <f aca="false">COUNTIF($M$130:$M$161,AK144)*$D$15</f>
        <v>0</v>
      </c>
      <c r="AM144" s="407"/>
      <c r="AN144" s="363" t="s">
        <v>366</v>
      </c>
      <c r="AO144" s="356" t="n">
        <f aca="false">COUNTIF($M$130:$M$161,AN144)*$D$15</f>
        <v>0</v>
      </c>
      <c r="AP144" s="407"/>
      <c r="AQ144" s="363" t="s">
        <v>367</v>
      </c>
      <c r="AR144" s="356" t="n">
        <f aca="false">COUNTIF($M$130:$M$161,AQ144)*$D$15</f>
        <v>0</v>
      </c>
      <c r="AS144" s="407"/>
      <c r="AT144" s="363" t="s">
        <v>366</v>
      </c>
      <c r="AU144" s="356" t="n">
        <f aca="false">COUNTIF($M$130:$M$161,AT144)*$D$15</f>
        <v>0</v>
      </c>
      <c r="AV144" s="407"/>
      <c r="AW144" s="363" t="s">
        <v>366</v>
      </c>
      <c r="AX144" s="356" t="n">
        <f aca="false">COUNTIF($M$130:$M$161,AW144)*$D$15</f>
        <v>0</v>
      </c>
      <c r="AY144" s="407"/>
      <c r="AZ144" s="363" t="s">
        <v>366</v>
      </c>
      <c r="BA144" s="356" t="n">
        <f aca="false">COUNTIF($M$130:$M$161,AZ144)*$D$15</f>
        <v>0</v>
      </c>
      <c r="BB144" s="407"/>
      <c r="BC144" s="363" t="s">
        <v>366</v>
      </c>
      <c r="BD144" s="356" t="n">
        <f aca="false">COUNTIF($M$130:$M$161,BC144)*$D$15</f>
        <v>0</v>
      </c>
      <c r="BE144" s="407"/>
      <c r="BF144" s="363" t="s">
        <v>366</v>
      </c>
      <c r="BG144" s="356" t="n">
        <f aca="false">COUNTIF($M$130:$M$161,BF144)*$D$15</f>
        <v>0</v>
      </c>
      <c r="BH144" s="407"/>
      <c r="BI144" s="363" t="s">
        <v>366</v>
      </c>
      <c r="BJ144" s="356" t="n">
        <f aca="false">COUNTIF($M$130:$M$161,BI144)*$D$15</f>
        <v>0</v>
      </c>
      <c r="BK144" s="407"/>
      <c r="BL144" s="363" t="s">
        <v>366</v>
      </c>
      <c r="BM144" s="356" t="n">
        <f aca="false">COUNTIF($M$130:$M$161,BL144)*$D$15</f>
        <v>0</v>
      </c>
      <c r="BN144" s="407"/>
      <c r="BO144" s="363" t="s">
        <v>366</v>
      </c>
      <c r="BP144" s="356" t="n">
        <f aca="false">COUNTIF($M$130:$M$161,BO144)*$D$15</f>
        <v>0</v>
      </c>
      <c r="BQ144" s="407"/>
      <c r="BR144" s="363" t="s">
        <v>366</v>
      </c>
      <c r="BS144" s="356" t="n">
        <f aca="false">COUNTIF($M$130:$M$161,BR144)*$D$15</f>
        <v>0</v>
      </c>
      <c r="BT144" s="407"/>
      <c r="BU144" s="363"/>
      <c r="BV144" s="356" t="n">
        <f aca="false">COUNTIF($M$130:$M$161,BU144)*$D$15</f>
        <v>0</v>
      </c>
      <c r="BW144" s="407"/>
      <c r="BX144" s="363"/>
      <c r="BY144" s="356" t="n">
        <f aca="false">COUNTIF($M$130:$M$161,BX144)*$D$15</f>
        <v>0</v>
      </c>
      <c r="BZ144" s="407"/>
      <c r="CA144" s="363"/>
      <c r="CB144" s="356" t="n">
        <f aca="false">COUNTIF($M$130:$M$161,CA144)*$D$15</f>
        <v>0</v>
      </c>
      <c r="CC144" s="407"/>
      <c r="CD144" s="363"/>
      <c r="CE144" s="356" t="n">
        <f aca="false">COUNTIF($M$130:$M$161,CD144)*$D$15</f>
        <v>0</v>
      </c>
      <c r="CF144" s="407"/>
      <c r="CG144" s="363"/>
      <c r="CH144" s="356" t="n">
        <f aca="false">COUNTIF($M$130:$M$161,CG144)*$D$15</f>
        <v>0</v>
      </c>
      <c r="CI144" s="407"/>
      <c r="CJ144" s="363"/>
      <c r="CK144" s="356" t="n">
        <f aca="false">COUNTIF($M$130:$M$161,CJ144)*$D$15</f>
        <v>0</v>
      </c>
      <c r="CL144" s="407"/>
      <c r="CM144" s="363"/>
      <c r="CN144" s="356" t="n">
        <f aca="false">COUNTIF($M$130:$M$161,CM144)*$D$15</f>
        <v>0</v>
      </c>
      <c r="CO144" s="407"/>
      <c r="CP144" s="363"/>
      <c r="CQ144" s="356" t="n">
        <f aca="false">COUNTIF($M$130:$M$161,CP144)*$D$15</f>
        <v>0</v>
      </c>
      <c r="CR144" s="407"/>
      <c r="CS144" s="363"/>
      <c r="CT144" s="356" t="n">
        <f aca="false">COUNTIF($M$130:$M$161,CS144)*$D$15</f>
        <v>0</v>
      </c>
      <c r="CU144" s="407"/>
      <c r="CV144" s="363"/>
      <c r="CW144" s="356" t="n">
        <f aca="false">COUNTIF($M$130:$M$161,CV144)*$D$15</f>
        <v>0</v>
      </c>
      <c r="CX144" s="407"/>
      <c r="CY144" s="363"/>
      <c r="CZ144" s="356" t="n">
        <f aca="false">COUNTIF($M$130:$M$161,CY144)*$D$15</f>
        <v>0</v>
      </c>
      <c r="DA144" s="407"/>
      <c r="DB144" s="363"/>
      <c r="DC144" s="356" t="n">
        <f aca="false">COUNTIF($M$130:$M$161,DB144)*$D$15</f>
        <v>0</v>
      </c>
      <c r="DD144" s="407"/>
      <c r="DE144" s="363"/>
      <c r="DF144" s="356" t="n">
        <f aca="false">COUNTIF($M$130:$M$161,DE144)*$D$15</f>
        <v>0</v>
      </c>
      <c r="DG144" s="407"/>
      <c r="DH144" s="363"/>
      <c r="DI144" s="356" t="n">
        <f aca="false">COUNTIF($M$130:$M$161,DH144)*$D$15</f>
        <v>0</v>
      </c>
      <c r="DJ144" s="407"/>
      <c r="DK144" s="363"/>
      <c r="DL144" s="356" t="n">
        <f aca="false">COUNTIF($M$130:$M$161,DK144)*$D$15</f>
        <v>0</v>
      </c>
      <c r="DM144" s="407"/>
      <c r="DN144" s="363"/>
      <c r="DO144" s="356" t="n">
        <f aca="false">COUNTIF($M$130:$M$161,DN144)*$D$15</f>
        <v>0</v>
      </c>
      <c r="DP144" s="407"/>
      <c r="DQ144" s="363"/>
      <c r="DR144" s="356" t="n">
        <f aca="false">COUNTIF($M$130:$M$161,DQ144)*$D$15</f>
        <v>0</v>
      </c>
      <c r="DS144" s="407"/>
      <c r="DT144" s="363"/>
      <c r="DU144" s="356" t="n">
        <f aca="false">COUNTIF($M$130:$M$161,DT144)*$D$15</f>
        <v>0</v>
      </c>
      <c r="DV144" s="407"/>
      <c r="DW144" s="363"/>
      <c r="DX144" s="356" t="n">
        <f aca="false">COUNTIF($M$130:$M$161,DW144)*$D$15</f>
        <v>0</v>
      </c>
      <c r="DY144" s="407"/>
      <c r="DZ144" s="363"/>
      <c r="EA144" s="356" t="n">
        <f aca="false">COUNTIF($M$130:$M$161,DZ144)*$D$15</f>
        <v>0</v>
      </c>
      <c r="EB144" s="407"/>
      <c r="EC144" s="363"/>
      <c r="ED144" s="356" t="n">
        <f aca="false">COUNTIF($M$130:$M$161,EC144)*$D$15</f>
        <v>0</v>
      </c>
      <c r="EE144" s="407"/>
      <c r="EF144" s="363"/>
      <c r="EG144" s="356" t="n">
        <f aca="false">COUNTIF($M$130:$M$161,EF144)*$D$15</f>
        <v>0</v>
      </c>
      <c r="EH144" s="407"/>
      <c r="EI144" s="407"/>
    </row>
    <row r="145" customFormat="false" ht="15" hidden="false" customHeight="false" outlineLevel="0" collapsed="false">
      <c r="A145" s="327"/>
      <c r="B145" s="327"/>
      <c r="C145" s="410"/>
      <c r="D145" s="410"/>
      <c r="E145" s="410"/>
      <c r="F145" s="411" t="n">
        <f aca="false">$D$15</f>
        <v>3</v>
      </c>
      <c r="G145" s="412" t="n">
        <f aca="false">VLOOKUP(H145,Equipos!$Q$1:$R$25,2,0)</f>
        <v>19</v>
      </c>
      <c r="H145" s="417" t="str">
        <f aca="false">Idiomas!$D$137</f>
        <v>CLASIFICADOS PARA DIECISEISAVOS</v>
      </c>
      <c r="I145" s="410"/>
      <c r="J145" s="418"/>
      <c r="K145" s="367" t="str">
        <f aca="false">Idiomas!$D$198&amp;"-"&amp;ROWS($L$130:L145)</f>
        <v>Dieciseisavofinalista-16</v>
      </c>
      <c r="L145" s="354"/>
      <c r="M145" s="359" t="str">
        <f aca="false">WORLDCUP!AA116</f>
        <v>1K</v>
      </c>
      <c r="N145" s="332"/>
      <c r="O145" s="332"/>
      <c r="P145" s="332"/>
      <c r="Q145" s="332"/>
      <c r="R145" s="404"/>
      <c r="S145" s="363" t="s">
        <v>370</v>
      </c>
      <c r="T145" s="356" t="n">
        <f aca="false">COUNTIF($M$130:$M$161,S145)*$D$15</f>
        <v>0</v>
      </c>
      <c r="U145" s="407"/>
      <c r="V145" s="363" t="s">
        <v>370</v>
      </c>
      <c r="W145" s="356" t="n">
        <f aca="false">COUNTIF($M$130:$M$161,V145)*$D$15</f>
        <v>0</v>
      </c>
      <c r="X145" s="407"/>
      <c r="Y145" s="363" t="s">
        <v>370</v>
      </c>
      <c r="Z145" s="356" t="n">
        <f aca="false">COUNTIF($M$130:$M$161,Y145)*$D$15</f>
        <v>0</v>
      </c>
      <c r="AA145" s="407"/>
      <c r="AB145" s="363" t="s">
        <v>370</v>
      </c>
      <c r="AC145" s="356" t="n">
        <f aca="false">COUNTIF($M$130:$M$161,AB145)*$D$15</f>
        <v>0</v>
      </c>
      <c r="AD145" s="407"/>
      <c r="AE145" s="363" t="s">
        <v>370</v>
      </c>
      <c r="AF145" s="356" t="n">
        <f aca="false">COUNTIF($M$130:$M$161,AE145)*$D$15</f>
        <v>0</v>
      </c>
      <c r="AG145" s="407"/>
      <c r="AH145" s="363" t="s">
        <v>370</v>
      </c>
      <c r="AI145" s="356" t="n">
        <f aca="false">COUNTIF($M$130:$M$161,AH145)*$D$15</f>
        <v>0</v>
      </c>
      <c r="AJ145" s="407"/>
      <c r="AK145" s="363" t="s">
        <v>370</v>
      </c>
      <c r="AL145" s="356" t="n">
        <f aca="false">COUNTIF($M$130:$M$161,AK145)*$D$15</f>
        <v>0</v>
      </c>
      <c r="AM145" s="407"/>
      <c r="AN145" s="363" t="s">
        <v>370</v>
      </c>
      <c r="AO145" s="356" t="n">
        <f aca="false">COUNTIF($M$130:$M$161,AN145)*$D$15</f>
        <v>0</v>
      </c>
      <c r="AP145" s="407"/>
      <c r="AQ145" s="363" t="s">
        <v>370</v>
      </c>
      <c r="AR145" s="356" t="n">
        <f aca="false">COUNTIF($M$130:$M$161,AQ145)*$D$15</f>
        <v>0</v>
      </c>
      <c r="AS145" s="407"/>
      <c r="AT145" s="363" t="s">
        <v>370</v>
      </c>
      <c r="AU145" s="356" t="n">
        <f aca="false">COUNTIF($M$130:$M$161,AT145)*$D$15</f>
        <v>0</v>
      </c>
      <c r="AV145" s="407"/>
      <c r="AW145" s="363" t="s">
        <v>370</v>
      </c>
      <c r="AX145" s="356" t="n">
        <f aca="false">COUNTIF($M$130:$M$161,AW145)*$D$15</f>
        <v>0</v>
      </c>
      <c r="AY145" s="407"/>
      <c r="AZ145" s="363" t="s">
        <v>370</v>
      </c>
      <c r="BA145" s="356" t="n">
        <f aca="false">COUNTIF($M$130:$M$161,AZ145)*$D$15</f>
        <v>0</v>
      </c>
      <c r="BB145" s="407"/>
      <c r="BC145" s="363" t="s">
        <v>370</v>
      </c>
      <c r="BD145" s="356" t="n">
        <f aca="false">COUNTIF($M$130:$M$161,BC145)*$D$15</f>
        <v>0</v>
      </c>
      <c r="BE145" s="407"/>
      <c r="BF145" s="363" t="s">
        <v>370</v>
      </c>
      <c r="BG145" s="356" t="n">
        <f aca="false">COUNTIF($M$130:$M$161,BF145)*$D$15</f>
        <v>0</v>
      </c>
      <c r="BH145" s="407"/>
      <c r="BI145" s="363" t="s">
        <v>370</v>
      </c>
      <c r="BJ145" s="356" t="n">
        <f aca="false">COUNTIF($M$130:$M$161,BI145)*$D$15</f>
        <v>0</v>
      </c>
      <c r="BK145" s="407"/>
      <c r="BL145" s="363" t="s">
        <v>370</v>
      </c>
      <c r="BM145" s="356" t="n">
        <f aca="false">COUNTIF($M$130:$M$161,BL145)*$D$15</f>
        <v>0</v>
      </c>
      <c r="BN145" s="407"/>
      <c r="BO145" s="363" t="s">
        <v>370</v>
      </c>
      <c r="BP145" s="356" t="n">
        <f aca="false">COUNTIF($M$130:$M$161,BO145)*$D$15</f>
        <v>0</v>
      </c>
      <c r="BQ145" s="407"/>
      <c r="BR145" s="363" t="s">
        <v>370</v>
      </c>
      <c r="BS145" s="356" t="n">
        <f aca="false">COUNTIF($M$130:$M$161,BR145)*$D$15</f>
        <v>0</v>
      </c>
      <c r="BT145" s="407"/>
      <c r="BU145" s="363"/>
      <c r="BV145" s="356" t="n">
        <f aca="false">COUNTIF($M$130:$M$161,BU145)*$D$15</f>
        <v>0</v>
      </c>
      <c r="BW145" s="407"/>
      <c r="BX145" s="363"/>
      <c r="BY145" s="356" t="n">
        <f aca="false">COUNTIF($M$130:$M$161,BX145)*$D$15</f>
        <v>0</v>
      </c>
      <c r="BZ145" s="407"/>
      <c r="CA145" s="363"/>
      <c r="CB145" s="356" t="n">
        <f aca="false">COUNTIF($M$130:$M$161,CA145)*$D$15</f>
        <v>0</v>
      </c>
      <c r="CC145" s="407"/>
      <c r="CD145" s="363"/>
      <c r="CE145" s="356" t="n">
        <f aca="false">COUNTIF($M$130:$M$161,CD145)*$D$15</f>
        <v>0</v>
      </c>
      <c r="CF145" s="407"/>
      <c r="CG145" s="363"/>
      <c r="CH145" s="356" t="n">
        <f aca="false">COUNTIF($M$130:$M$161,CG145)*$D$15</f>
        <v>0</v>
      </c>
      <c r="CI145" s="407"/>
      <c r="CJ145" s="363"/>
      <c r="CK145" s="356" t="n">
        <f aca="false">COUNTIF($M$130:$M$161,CJ145)*$D$15</f>
        <v>0</v>
      </c>
      <c r="CL145" s="407"/>
      <c r="CM145" s="363"/>
      <c r="CN145" s="356" t="n">
        <f aca="false">COUNTIF($M$130:$M$161,CM145)*$D$15</f>
        <v>0</v>
      </c>
      <c r="CO145" s="407"/>
      <c r="CP145" s="363"/>
      <c r="CQ145" s="356" t="n">
        <f aca="false">COUNTIF($M$130:$M$161,CP145)*$D$15</f>
        <v>0</v>
      </c>
      <c r="CR145" s="407"/>
      <c r="CS145" s="363"/>
      <c r="CT145" s="356" t="n">
        <f aca="false">COUNTIF($M$130:$M$161,CS145)*$D$15</f>
        <v>0</v>
      </c>
      <c r="CU145" s="407"/>
      <c r="CV145" s="363"/>
      <c r="CW145" s="356" t="n">
        <f aca="false">COUNTIF($M$130:$M$161,CV145)*$D$15</f>
        <v>0</v>
      </c>
      <c r="CX145" s="407"/>
      <c r="CY145" s="363"/>
      <c r="CZ145" s="356" t="n">
        <f aca="false">COUNTIF($M$130:$M$161,CY145)*$D$15</f>
        <v>0</v>
      </c>
      <c r="DA145" s="407"/>
      <c r="DB145" s="363"/>
      <c r="DC145" s="356" t="n">
        <f aca="false">COUNTIF($M$130:$M$161,DB145)*$D$15</f>
        <v>0</v>
      </c>
      <c r="DD145" s="407"/>
      <c r="DE145" s="363"/>
      <c r="DF145" s="356" t="n">
        <f aca="false">COUNTIF($M$130:$M$161,DE145)*$D$15</f>
        <v>0</v>
      </c>
      <c r="DG145" s="407"/>
      <c r="DH145" s="363"/>
      <c r="DI145" s="356" t="n">
        <f aca="false">COUNTIF($M$130:$M$161,DH145)*$D$15</f>
        <v>0</v>
      </c>
      <c r="DJ145" s="407"/>
      <c r="DK145" s="363"/>
      <c r="DL145" s="356" t="n">
        <f aca="false">COUNTIF($M$130:$M$161,DK145)*$D$15</f>
        <v>0</v>
      </c>
      <c r="DM145" s="407"/>
      <c r="DN145" s="363"/>
      <c r="DO145" s="356" t="n">
        <f aca="false">COUNTIF($M$130:$M$161,DN145)*$D$15</f>
        <v>0</v>
      </c>
      <c r="DP145" s="407"/>
      <c r="DQ145" s="363"/>
      <c r="DR145" s="356" t="n">
        <f aca="false">COUNTIF($M$130:$M$161,DQ145)*$D$15</f>
        <v>0</v>
      </c>
      <c r="DS145" s="407"/>
      <c r="DT145" s="363"/>
      <c r="DU145" s="356" t="n">
        <f aca="false">COUNTIF($M$130:$M$161,DT145)*$D$15</f>
        <v>0</v>
      </c>
      <c r="DV145" s="407"/>
      <c r="DW145" s="363"/>
      <c r="DX145" s="356" t="n">
        <f aca="false">COUNTIF($M$130:$M$161,DW145)*$D$15</f>
        <v>0</v>
      </c>
      <c r="DY145" s="407"/>
      <c r="DZ145" s="363"/>
      <c r="EA145" s="356" t="n">
        <f aca="false">COUNTIF($M$130:$M$161,DZ145)*$D$15</f>
        <v>0</v>
      </c>
      <c r="EB145" s="407"/>
      <c r="EC145" s="363"/>
      <c r="ED145" s="356" t="n">
        <f aca="false">COUNTIF($M$130:$M$161,EC145)*$D$15</f>
        <v>0</v>
      </c>
      <c r="EE145" s="407"/>
      <c r="EF145" s="363"/>
      <c r="EG145" s="356" t="n">
        <f aca="false">COUNTIF($M$130:$M$161,EF145)*$D$15</f>
        <v>0</v>
      </c>
      <c r="EH145" s="407"/>
      <c r="EI145" s="407"/>
    </row>
    <row r="146" customFormat="false" ht="15" hidden="false" customHeight="false" outlineLevel="0" collapsed="false">
      <c r="A146" s="327"/>
      <c r="B146" s="327"/>
      <c r="C146" s="410"/>
      <c r="D146" s="410"/>
      <c r="E146" s="410"/>
      <c r="F146" s="411" t="n">
        <f aca="false">$D$15</f>
        <v>3</v>
      </c>
      <c r="G146" s="412" t="n">
        <f aca="false">VLOOKUP(H146,Equipos!$Q$1:$R$25,2,0)</f>
        <v>19</v>
      </c>
      <c r="H146" s="417" t="str">
        <f aca="false">Idiomas!$D$137</f>
        <v>CLASIFICADOS PARA DIECISEISAVOS</v>
      </c>
      <c r="I146" s="410"/>
      <c r="J146" s="418"/>
      <c r="K146" s="367" t="str">
        <f aca="false">Idiomas!$D$198&amp;"-"&amp;ROWS($L$130:L146)</f>
        <v>Dieciseisavofinalista-17</v>
      </c>
      <c r="L146" s="354"/>
      <c r="M146" s="359" t="str">
        <f aca="false">WORLDCUP!AF101</f>
        <v>2B</v>
      </c>
      <c r="N146" s="332"/>
      <c r="O146" s="332"/>
      <c r="P146" s="332"/>
      <c r="Q146" s="332"/>
      <c r="R146" s="404"/>
      <c r="S146" s="363" t="s">
        <v>336</v>
      </c>
      <c r="T146" s="356" t="n">
        <f aca="false">COUNTIF($M$130:$M$161,S146)*$D$15</f>
        <v>0</v>
      </c>
      <c r="U146" s="407"/>
      <c r="V146" s="363" t="s">
        <v>337</v>
      </c>
      <c r="W146" s="356" t="n">
        <f aca="false">COUNTIF($M$130:$M$161,V146)*$D$15</f>
        <v>0</v>
      </c>
      <c r="X146" s="407"/>
      <c r="Y146" s="363" t="s">
        <v>337</v>
      </c>
      <c r="Z146" s="356" t="n">
        <f aca="false">COUNTIF($M$130:$M$161,Y146)*$D$15</f>
        <v>0</v>
      </c>
      <c r="AA146" s="407"/>
      <c r="AB146" s="363" t="s">
        <v>337</v>
      </c>
      <c r="AC146" s="356" t="n">
        <f aca="false">COUNTIF($M$130:$M$161,AB146)*$D$15</f>
        <v>0</v>
      </c>
      <c r="AD146" s="407"/>
      <c r="AE146" s="363" t="s">
        <v>336</v>
      </c>
      <c r="AF146" s="356" t="n">
        <f aca="false">COUNTIF($M$130:$M$161,AE146)*$D$15</f>
        <v>0</v>
      </c>
      <c r="AG146" s="407"/>
      <c r="AH146" s="363" t="s">
        <v>336</v>
      </c>
      <c r="AI146" s="356" t="n">
        <f aca="false">COUNTIF($M$130:$M$161,AH146)*$D$15</f>
        <v>0</v>
      </c>
      <c r="AJ146" s="407"/>
      <c r="AK146" s="363" t="s">
        <v>336</v>
      </c>
      <c r="AL146" s="356" t="n">
        <f aca="false">COUNTIF($M$130:$M$161,AK146)*$D$15</f>
        <v>0</v>
      </c>
      <c r="AM146" s="407"/>
      <c r="AN146" s="363" t="s">
        <v>337</v>
      </c>
      <c r="AO146" s="356" t="n">
        <f aca="false">COUNTIF($M$130:$M$161,AN146)*$D$15</f>
        <v>0</v>
      </c>
      <c r="AP146" s="407"/>
      <c r="AQ146" s="363" t="s">
        <v>337</v>
      </c>
      <c r="AR146" s="356" t="n">
        <f aca="false">COUNTIF($M$130:$M$161,AQ146)*$D$15</f>
        <v>0</v>
      </c>
      <c r="AS146" s="407"/>
      <c r="AT146" s="363" t="s">
        <v>336</v>
      </c>
      <c r="AU146" s="356" t="n">
        <f aca="false">COUNTIF($M$130:$M$161,AT146)*$D$15</f>
        <v>0</v>
      </c>
      <c r="AV146" s="407"/>
      <c r="AW146" s="363" t="s">
        <v>335</v>
      </c>
      <c r="AX146" s="356" t="n">
        <f aca="false">COUNTIF($M$130:$M$161,AW146)*$D$15</f>
        <v>0</v>
      </c>
      <c r="AY146" s="407"/>
      <c r="AZ146" s="363" t="s">
        <v>335</v>
      </c>
      <c r="BA146" s="356" t="n">
        <f aca="false">COUNTIF($M$130:$M$161,AZ146)*$D$15</f>
        <v>0</v>
      </c>
      <c r="BB146" s="407"/>
      <c r="BC146" s="363" t="s">
        <v>337</v>
      </c>
      <c r="BD146" s="356" t="n">
        <f aca="false">COUNTIF($M$130:$M$161,BC146)*$D$15</f>
        <v>0</v>
      </c>
      <c r="BE146" s="407"/>
      <c r="BF146" s="363" t="s">
        <v>337</v>
      </c>
      <c r="BG146" s="356" t="n">
        <f aca="false">COUNTIF($M$130:$M$161,BF146)*$D$15</f>
        <v>0</v>
      </c>
      <c r="BH146" s="407"/>
      <c r="BI146" s="363" t="s">
        <v>336</v>
      </c>
      <c r="BJ146" s="356" t="n">
        <f aca="false">COUNTIF($M$130:$M$161,BI146)*$D$15</f>
        <v>0</v>
      </c>
      <c r="BK146" s="407"/>
      <c r="BL146" s="363" t="s">
        <v>337</v>
      </c>
      <c r="BM146" s="356" t="n">
        <f aca="false">COUNTIF($M$130:$M$161,BL146)*$D$15</f>
        <v>0</v>
      </c>
      <c r="BN146" s="407"/>
      <c r="BO146" s="363" t="s">
        <v>335</v>
      </c>
      <c r="BP146" s="356" t="n">
        <f aca="false">COUNTIF($M$130:$M$161,BO146)*$D$15</f>
        <v>0</v>
      </c>
      <c r="BQ146" s="407"/>
      <c r="BR146" s="363" t="s">
        <v>337</v>
      </c>
      <c r="BS146" s="356" t="n">
        <f aca="false">COUNTIF($M$130:$M$161,BR146)*$D$15</f>
        <v>0</v>
      </c>
      <c r="BT146" s="407"/>
      <c r="BU146" s="363"/>
      <c r="BV146" s="356" t="n">
        <f aca="false">COUNTIF($M$130:$M$161,BU146)*$D$15</f>
        <v>0</v>
      </c>
      <c r="BW146" s="407"/>
      <c r="BX146" s="363"/>
      <c r="BY146" s="356" t="n">
        <f aca="false">COUNTIF($M$130:$M$161,BX146)*$D$15</f>
        <v>0</v>
      </c>
      <c r="BZ146" s="407"/>
      <c r="CA146" s="363"/>
      <c r="CB146" s="356" t="n">
        <f aca="false">COUNTIF($M$130:$M$161,CA146)*$D$15</f>
        <v>0</v>
      </c>
      <c r="CC146" s="407"/>
      <c r="CD146" s="363"/>
      <c r="CE146" s="356" t="n">
        <f aca="false">COUNTIF($M$130:$M$161,CD146)*$D$15</f>
        <v>0</v>
      </c>
      <c r="CF146" s="407"/>
      <c r="CG146" s="363"/>
      <c r="CH146" s="356" t="n">
        <f aca="false">COUNTIF($M$130:$M$161,CG146)*$D$15</f>
        <v>0</v>
      </c>
      <c r="CI146" s="407"/>
      <c r="CJ146" s="363"/>
      <c r="CK146" s="356" t="n">
        <f aca="false">COUNTIF($M$130:$M$161,CJ146)*$D$15</f>
        <v>0</v>
      </c>
      <c r="CL146" s="407"/>
      <c r="CM146" s="363"/>
      <c r="CN146" s="356" t="n">
        <f aca="false">COUNTIF($M$130:$M$161,CM146)*$D$15</f>
        <v>0</v>
      </c>
      <c r="CO146" s="407"/>
      <c r="CP146" s="363"/>
      <c r="CQ146" s="356" t="n">
        <f aca="false">COUNTIF($M$130:$M$161,CP146)*$D$15</f>
        <v>0</v>
      </c>
      <c r="CR146" s="407"/>
      <c r="CS146" s="363"/>
      <c r="CT146" s="356" t="n">
        <f aca="false">COUNTIF($M$130:$M$161,CS146)*$D$15</f>
        <v>0</v>
      </c>
      <c r="CU146" s="407"/>
      <c r="CV146" s="363"/>
      <c r="CW146" s="356" t="n">
        <f aca="false">COUNTIF($M$130:$M$161,CV146)*$D$15</f>
        <v>0</v>
      </c>
      <c r="CX146" s="407"/>
      <c r="CY146" s="363"/>
      <c r="CZ146" s="356" t="n">
        <f aca="false">COUNTIF($M$130:$M$161,CY146)*$D$15</f>
        <v>0</v>
      </c>
      <c r="DA146" s="407"/>
      <c r="DB146" s="363"/>
      <c r="DC146" s="356" t="n">
        <f aca="false">COUNTIF($M$130:$M$161,DB146)*$D$15</f>
        <v>0</v>
      </c>
      <c r="DD146" s="407"/>
      <c r="DE146" s="363"/>
      <c r="DF146" s="356" t="n">
        <f aca="false">COUNTIF($M$130:$M$161,DE146)*$D$15</f>
        <v>0</v>
      </c>
      <c r="DG146" s="407"/>
      <c r="DH146" s="363"/>
      <c r="DI146" s="356" t="n">
        <f aca="false">COUNTIF($M$130:$M$161,DH146)*$D$15</f>
        <v>0</v>
      </c>
      <c r="DJ146" s="407"/>
      <c r="DK146" s="363"/>
      <c r="DL146" s="356" t="n">
        <f aca="false">COUNTIF($M$130:$M$161,DK146)*$D$15</f>
        <v>0</v>
      </c>
      <c r="DM146" s="407"/>
      <c r="DN146" s="363"/>
      <c r="DO146" s="356" t="n">
        <f aca="false">COUNTIF($M$130:$M$161,DN146)*$D$15</f>
        <v>0</v>
      </c>
      <c r="DP146" s="407"/>
      <c r="DQ146" s="363"/>
      <c r="DR146" s="356" t="n">
        <f aca="false">COUNTIF($M$130:$M$161,DQ146)*$D$15</f>
        <v>0</v>
      </c>
      <c r="DS146" s="407"/>
      <c r="DT146" s="363"/>
      <c r="DU146" s="356" t="n">
        <f aca="false">COUNTIF($M$130:$M$161,DT146)*$D$15</f>
        <v>0</v>
      </c>
      <c r="DV146" s="407"/>
      <c r="DW146" s="363"/>
      <c r="DX146" s="356" t="n">
        <f aca="false">COUNTIF($M$130:$M$161,DW146)*$D$15</f>
        <v>0</v>
      </c>
      <c r="DY146" s="407"/>
      <c r="DZ146" s="363"/>
      <c r="EA146" s="356" t="n">
        <f aca="false">COUNTIF($M$130:$M$161,DZ146)*$D$15</f>
        <v>0</v>
      </c>
      <c r="EB146" s="407"/>
      <c r="EC146" s="363"/>
      <c r="ED146" s="356" t="n">
        <f aca="false">COUNTIF($M$130:$M$161,EC146)*$D$15</f>
        <v>0</v>
      </c>
      <c r="EE146" s="407"/>
      <c r="EF146" s="363"/>
      <c r="EG146" s="356" t="n">
        <f aca="false">COUNTIF($M$130:$M$161,EF146)*$D$15</f>
        <v>0</v>
      </c>
      <c r="EH146" s="407"/>
      <c r="EI146" s="407"/>
    </row>
    <row r="147" customFormat="false" ht="15" hidden="false" customHeight="false" outlineLevel="0" collapsed="false">
      <c r="A147" s="327"/>
      <c r="B147" s="327"/>
      <c r="C147" s="410"/>
      <c r="D147" s="410"/>
      <c r="E147" s="410"/>
      <c r="F147" s="411" t="n">
        <f aca="false">$D$15</f>
        <v>3</v>
      </c>
      <c r="G147" s="412" t="n">
        <f aca="false">VLOOKUP(H147,Equipos!$Q$1:$R$25,2,0)</f>
        <v>19</v>
      </c>
      <c r="H147" s="417" t="str">
        <f aca="false">Idiomas!$D$137</f>
        <v>CLASIFICADOS PARA DIECISEISAVOS</v>
      </c>
      <c r="I147" s="410"/>
      <c r="J147" s="418"/>
      <c r="K147" s="367" t="str">
        <f aca="false">Idiomas!$D$198&amp;"-"&amp;ROWS($L$130:L147)</f>
        <v>Dieciseisavofinalista-18</v>
      </c>
      <c r="L147" s="354"/>
      <c r="M147" s="359" t="str">
        <f aca="false">WORLDCUP!AF102</f>
        <v>2F</v>
      </c>
      <c r="N147" s="332"/>
      <c r="O147" s="332"/>
      <c r="P147" s="332"/>
      <c r="Q147" s="332"/>
      <c r="R147" s="404"/>
      <c r="S147" s="363" t="s">
        <v>352</v>
      </c>
      <c r="T147" s="356" t="n">
        <f aca="false">COUNTIF($M$130:$M$161,S147)*$D$15</f>
        <v>0</v>
      </c>
      <c r="U147" s="407"/>
      <c r="V147" s="363" t="s">
        <v>353</v>
      </c>
      <c r="W147" s="356" t="n">
        <f aca="false">COUNTIF($M$130:$M$161,V147)*$D$15</f>
        <v>0</v>
      </c>
      <c r="X147" s="407"/>
      <c r="Y147" s="363" t="s">
        <v>352</v>
      </c>
      <c r="Z147" s="356" t="n">
        <f aca="false">COUNTIF($M$130:$M$161,Y147)*$D$15</f>
        <v>0</v>
      </c>
      <c r="AA147" s="407"/>
      <c r="AB147" s="363" t="s">
        <v>353</v>
      </c>
      <c r="AC147" s="356" t="n">
        <f aca="false">COUNTIF($M$130:$M$161,AB147)*$D$15</f>
        <v>0</v>
      </c>
      <c r="AD147" s="407"/>
      <c r="AE147" s="363" t="s">
        <v>353</v>
      </c>
      <c r="AF147" s="356" t="n">
        <f aca="false">COUNTIF($M$130:$M$161,AE147)*$D$15</f>
        <v>0</v>
      </c>
      <c r="AG147" s="407"/>
      <c r="AH147" s="363" t="s">
        <v>353</v>
      </c>
      <c r="AI147" s="356" t="n">
        <f aca="false">COUNTIF($M$130:$M$161,AH147)*$D$15</f>
        <v>0</v>
      </c>
      <c r="AJ147" s="407"/>
      <c r="AK147" s="363" t="s">
        <v>353</v>
      </c>
      <c r="AL147" s="356" t="n">
        <f aca="false">COUNTIF($M$130:$M$161,AK147)*$D$15</f>
        <v>0</v>
      </c>
      <c r="AM147" s="407"/>
      <c r="AN147" s="363" t="s">
        <v>353</v>
      </c>
      <c r="AO147" s="356" t="n">
        <f aca="false">COUNTIF($M$130:$M$161,AN147)*$D$15</f>
        <v>0</v>
      </c>
      <c r="AP147" s="407"/>
      <c r="AQ147" s="363" t="s">
        <v>353</v>
      </c>
      <c r="AR147" s="356" t="n">
        <f aca="false">COUNTIF($M$130:$M$161,AQ147)*$D$15</f>
        <v>0</v>
      </c>
      <c r="AS147" s="407"/>
      <c r="AT147" s="363" t="s">
        <v>353</v>
      </c>
      <c r="AU147" s="356" t="n">
        <f aca="false">COUNTIF($M$130:$M$161,AT147)*$D$15</f>
        <v>0</v>
      </c>
      <c r="AV147" s="407"/>
      <c r="AW147" s="363" t="s">
        <v>352</v>
      </c>
      <c r="AX147" s="356" t="n">
        <f aca="false">COUNTIF($M$130:$M$161,AW147)*$D$15</f>
        <v>0</v>
      </c>
      <c r="AY147" s="407"/>
      <c r="AZ147" s="363" t="s">
        <v>352</v>
      </c>
      <c r="BA147" s="356" t="n">
        <f aca="false">COUNTIF($M$130:$M$161,AZ147)*$D$15</f>
        <v>0</v>
      </c>
      <c r="BB147" s="407"/>
      <c r="BC147" s="363" t="s">
        <v>352</v>
      </c>
      <c r="BD147" s="356" t="n">
        <f aca="false">COUNTIF($M$130:$M$161,BC147)*$D$15</f>
        <v>0</v>
      </c>
      <c r="BE147" s="407"/>
      <c r="BF147" s="363" t="s">
        <v>352</v>
      </c>
      <c r="BG147" s="356" t="n">
        <f aca="false">COUNTIF($M$130:$M$161,BF147)*$D$15</f>
        <v>0</v>
      </c>
      <c r="BH147" s="407"/>
      <c r="BI147" s="363" t="s">
        <v>352</v>
      </c>
      <c r="BJ147" s="356" t="n">
        <f aca="false">COUNTIF($M$130:$M$161,BI147)*$D$15</f>
        <v>0</v>
      </c>
      <c r="BK147" s="407"/>
      <c r="BL147" s="363" t="s">
        <v>352</v>
      </c>
      <c r="BM147" s="356" t="n">
        <f aca="false">COUNTIF($M$130:$M$161,BL147)*$D$15</f>
        <v>0</v>
      </c>
      <c r="BN147" s="407"/>
      <c r="BO147" s="363" t="s">
        <v>353</v>
      </c>
      <c r="BP147" s="356" t="n">
        <f aca="false">COUNTIF($M$130:$M$161,BO147)*$D$15</f>
        <v>0</v>
      </c>
      <c r="BQ147" s="407"/>
      <c r="BR147" s="363" t="s">
        <v>353</v>
      </c>
      <c r="BS147" s="356" t="n">
        <f aca="false">COUNTIF($M$130:$M$161,BR147)*$D$15</f>
        <v>0</v>
      </c>
      <c r="BT147" s="407"/>
      <c r="BU147" s="363"/>
      <c r="BV147" s="356" t="n">
        <f aca="false">COUNTIF($M$130:$M$161,BU147)*$D$15</f>
        <v>0</v>
      </c>
      <c r="BW147" s="407"/>
      <c r="BX147" s="363"/>
      <c r="BY147" s="356" t="n">
        <f aca="false">COUNTIF($M$130:$M$161,BX147)*$D$15</f>
        <v>0</v>
      </c>
      <c r="BZ147" s="407"/>
      <c r="CA147" s="363"/>
      <c r="CB147" s="356" t="n">
        <f aca="false">COUNTIF($M$130:$M$161,CA147)*$D$15</f>
        <v>0</v>
      </c>
      <c r="CC147" s="407"/>
      <c r="CD147" s="363"/>
      <c r="CE147" s="356" t="n">
        <f aca="false">COUNTIF($M$130:$M$161,CD147)*$D$15</f>
        <v>0</v>
      </c>
      <c r="CF147" s="407"/>
      <c r="CG147" s="363"/>
      <c r="CH147" s="356" t="n">
        <f aca="false">COUNTIF($M$130:$M$161,CG147)*$D$15</f>
        <v>0</v>
      </c>
      <c r="CI147" s="407"/>
      <c r="CJ147" s="363"/>
      <c r="CK147" s="356" t="n">
        <f aca="false">COUNTIF($M$130:$M$161,CJ147)*$D$15</f>
        <v>0</v>
      </c>
      <c r="CL147" s="407"/>
      <c r="CM147" s="363"/>
      <c r="CN147" s="356" t="n">
        <f aca="false">COUNTIF($M$130:$M$161,CM147)*$D$15</f>
        <v>0</v>
      </c>
      <c r="CO147" s="407"/>
      <c r="CP147" s="363"/>
      <c r="CQ147" s="356" t="n">
        <f aca="false">COUNTIF($M$130:$M$161,CP147)*$D$15</f>
        <v>0</v>
      </c>
      <c r="CR147" s="407"/>
      <c r="CS147" s="363"/>
      <c r="CT147" s="356" t="n">
        <f aca="false">COUNTIF($M$130:$M$161,CS147)*$D$15</f>
        <v>0</v>
      </c>
      <c r="CU147" s="407"/>
      <c r="CV147" s="363"/>
      <c r="CW147" s="356" t="n">
        <f aca="false">COUNTIF($M$130:$M$161,CV147)*$D$15</f>
        <v>0</v>
      </c>
      <c r="CX147" s="407"/>
      <c r="CY147" s="363"/>
      <c r="CZ147" s="356" t="n">
        <f aca="false">COUNTIF($M$130:$M$161,CY147)*$D$15</f>
        <v>0</v>
      </c>
      <c r="DA147" s="407"/>
      <c r="DB147" s="363"/>
      <c r="DC147" s="356" t="n">
        <f aca="false">COUNTIF($M$130:$M$161,DB147)*$D$15</f>
        <v>0</v>
      </c>
      <c r="DD147" s="407"/>
      <c r="DE147" s="363"/>
      <c r="DF147" s="356" t="n">
        <f aca="false">COUNTIF($M$130:$M$161,DE147)*$D$15</f>
        <v>0</v>
      </c>
      <c r="DG147" s="407"/>
      <c r="DH147" s="363"/>
      <c r="DI147" s="356" t="n">
        <f aca="false">COUNTIF($M$130:$M$161,DH147)*$D$15</f>
        <v>0</v>
      </c>
      <c r="DJ147" s="407"/>
      <c r="DK147" s="363"/>
      <c r="DL147" s="356" t="n">
        <f aca="false">COUNTIF($M$130:$M$161,DK147)*$D$15</f>
        <v>0</v>
      </c>
      <c r="DM147" s="407"/>
      <c r="DN147" s="363"/>
      <c r="DO147" s="356" t="n">
        <f aca="false">COUNTIF($M$130:$M$161,DN147)*$D$15</f>
        <v>0</v>
      </c>
      <c r="DP147" s="407"/>
      <c r="DQ147" s="363"/>
      <c r="DR147" s="356" t="n">
        <f aca="false">COUNTIF($M$130:$M$161,DQ147)*$D$15</f>
        <v>0</v>
      </c>
      <c r="DS147" s="407"/>
      <c r="DT147" s="363"/>
      <c r="DU147" s="356" t="n">
        <f aca="false">COUNTIF($M$130:$M$161,DT147)*$D$15</f>
        <v>0</v>
      </c>
      <c r="DV147" s="407"/>
      <c r="DW147" s="363"/>
      <c r="DX147" s="356" t="n">
        <f aca="false">COUNTIF($M$130:$M$161,DW147)*$D$15</f>
        <v>0</v>
      </c>
      <c r="DY147" s="407"/>
      <c r="DZ147" s="363"/>
      <c r="EA147" s="356" t="n">
        <f aca="false">COUNTIF($M$130:$M$161,DZ147)*$D$15</f>
        <v>0</v>
      </c>
      <c r="EB147" s="407"/>
      <c r="EC147" s="363"/>
      <c r="ED147" s="356" t="n">
        <f aca="false">COUNTIF($M$130:$M$161,EC147)*$D$15</f>
        <v>0</v>
      </c>
      <c r="EE147" s="407"/>
      <c r="EF147" s="363"/>
      <c r="EG147" s="356" t="n">
        <f aca="false">COUNTIF($M$130:$M$161,EF147)*$D$15</f>
        <v>0</v>
      </c>
      <c r="EH147" s="407"/>
      <c r="EI147" s="407"/>
    </row>
    <row r="148" customFormat="false" ht="15" hidden="false" customHeight="false" outlineLevel="0" collapsed="false">
      <c r="A148" s="327"/>
      <c r="B148" s="327"/>
      <c r="C148" s="410"/>
      <c r="D148" s="410"/>
      <c r="E148" s="410"/>
      <c r="F148" s="411" t="n">
        <f aca="false">$D$15</f>
        <v>3</v>
      </c>
      <c r="G148" s="412" t="n">
        <f aca="false">VLOOKUP(H148,Equipos!$Q$1:$R$25,2,0)</f>
        <v>19</v>
      </c>
      <c r="H148" s="417" t="str">
        <f aca="false">Idiomas!$D$137</f>
        <v>CLASIFICADOS PARA DIECISEISAVOS</v>
      </c>
      <c r="I148" s="410"/>
      <c r="J148" s="418"/>
      <c r="K148" s="367" t="str">
        <f aca="false">Idiomas!$D$198&amp;"-"&amp;ROWS($L$130:L148)</f>
        <v>Dieciseisavofinalista-19</v>
      </c>
      <c r="L148" s="354"/>
      <c r="M148" s="359" t="str">
        <f aca="false">WORLDCUP!AF103</f>
        <v>3ABCDF</v>
      </c>
      <c r="N148" s="332"/>
      <c r="O148" s="332"/>
      <c r="P148" s="332"/>
      <c r="Q148" s="332"/>
      <c r="R148" s="404"/>
      <c r="S148" s="363" t="s">
        <v>345</v>
      </c>
      <c r="T148" s="356" t="n">
        <f aca="false">COUNTIF($M$130:$M$161,S148)*$D$15</f>
        <v>0</v>
      </c>
      <c r="U148" s="407"/>
      <c r="V148" s="363" t="s">
        <v>345</v>
      </c>
      <c r="W148" s="356" t="n">
        <f aca="false">COUNTIF($M$130:$M$161,V148)*$D$15</f>
        <v>0</v>
      </c>
      <c r="X148" s="407"/>
      <c r="Y148" s="363" t="s">
        <v>345</v>
      </c>
      <c r="Z148" s="356" t="n">
        <f aca="false">COUNTIF($M$130:$M$161,Y148)*$D$15</f>
        <v>0</v>
      </c>
      <c r="AA148" s="407"/>
      <c r="AB148" s="363" t="s">
        <v>341</v>
      </c>
      <c r="AC148" s="356" t="n">
        <f aca="false">COUNTIF($M$130:$M$161,AB148)*$D$15</f>
        <v>0</v>
      </c>
      <c r="AD148" s="407"/>
      <c r="AE148" s="363" t="s">
        <v>345</v>
      </c>
      <c r="AF148" s="356" t="n">
        <f aca="false">COUNTIF($M$130:$M$161,AE148)*$D$15</f>
        <v>0</v>
      </c>
      <c r="AG148" s="407"/>
      <c r="AH148" s="363" t="s">
        <v>341</v>
      </c>
      <c r="AI148" s="356" t="n">
        <f aca="false">COUNTIF($M$130:$M$161,AH148)*$D$15</f>
        <v>0</v>
      </c>
      <c r="AJ148" s="407"/>
      <c r="AK148" s="363" t="s">
        <v>345</v>
      </c>
      <c r="AL148" s="356" t="n">
        <f aca="false">COUNTIF($M$130:$M$161,AK148)*$D$15</f>
        <v>0</v>
      </c>
      <c r="AM148" s="407"/>
      <c r="AN148" s="363" t="s">
        <v>345</v>
      </c>
      <c r="AO148" s="356" t="n">
        <f aca="false">COUNTIF($M$130:$M$161,AN148)*$D$15</f>
        <v>0</v>
      </c>
      <c r="AP148" s="407"/>
      <c r="AQ148" s="363" t="s">
        <v>341</v>
      </c>
      <c r="AR148" s="356" t="n">
        <f aca="false">COUNTIF($M$130:$M$161,AQ148)*$D$15</f>
        <v>0</v>
      </c>
      <c r="AS148" s="407"/>
      <c r="AT148" s="363" t="s">
        <v>341</v>
      </c>
      <c r="AU148" s="356" t="n">
        <f aca="false">COUNTIF($M$130:$M$161,AT148)*$D$15</f>
        <v>0</v>
      </c>
      <c r="AV148" s="407"/>
      <c r="AW148" s="363" t="s">
        <v>341</v>
      </c>
      <c r="AX148" s="356" t="n">
        <f aca="false">COUNTIF($M$130:$M$161,AW148)*$D$15</f>
        <v>0</v>
      </c>
      <c r="AY148" s="407"/>
      <c r="AZ148" s="363" t="s">
        <v>345</v>
      </c>
      <c r="BA148" s="356" t="n">
        <f aca="false">COUNTIF($M$130:$M$161,AZ148)*$D$15</f>
        <v>0</v>
      </c>
      <c r="BB148" s="407"/>
      <c r="BC148" s="363" t="s">
        <v>346</v>
      </c>
      <c r="BD148" s="356" t="n">
        <f aca="false">COUNTIF($M$130:$M$161,BC148)*$D$15</f>
        <v>0</v>
      </c>
      <c r="BE148" s="407"/>
      <c r="BF148" s="363" t="s">
        <v>344</v>
      </c>
      <c r="BG148" s="356" t="n">
        <f aca="false">COUNTIF($M$130:$M$161,BF148)*$D$15</f>
        <v>0</v>
      </c>
      <c r="BH148" s="407"/>
      <c r="BI148" s="363" t="s">
        <v>345</v>
      </c>
      <c r="BJ148" s="356" t="n">
        <f aca="false">COUNTIF($M$130:$M$161,BI148)*$D$15</f>
        <v>0</v>
      </c>
      <c r="BK148" s="407"/>
      <c r="BL148" s="363" t="s">
        <v>341</v>
      </c>
      <c r="BM148" s="356" t="n">
        <f aca="false">COUNTIF($M$130:$M$161,BL148)*$D$15</f>
        <v>0</v>
      </c>
      <c r="BN148" s="407"/>
      <c r="BO148" s="363" t="s">
        <v>341</v>
      </c>
      <c r="BP148" s="356" t="n">
        <f aca="false">COUNTIF($M$130:$M$161,BO148)*$D$15</f>
        <v>0</v>
      </c>
      <c r="BQ148" s="407"/>
      <c r="BR148" s="363" t="s">
        <v>341</v>
      </c>
      <c r="BS148" s="356" t="n">
        <f aca="false">COUNTIF($M$130:$M$161,BR148)*$D$15</f>
        <v>0</v>
      </c>
      <c r="BT148" s="407"/>
      <c r="BU148" s="363"/>
      <c r="BV148" s="356" t="n">
        <f aca="false">COUNTIF($M$130:$M$161,BU148)*$D$15</f>
        <v>0</v>
      </c>
      <c r="BW148" s="407"/>
      <c r="BX148" s="363"/>
      <c r="BY148" s="356" t="n">
        <f aca="false">COUNTIF($M$130:$M$161,BX148)*$D$15</f>
        <v>0</v>
      </c>
      <c r="BZ148" s="407"/>
      <c r="CA148" s="363"/>
      <c r="CB148" s="356" t="n">
        <f aca="false">COUNTIF($M$130:$M$161,CA148)*$D$15</f>
        <v>0</v>
      </c>
      <c r="CC148" s="407"/>
      <c r="CD148" s="363"/>
      <c r="CE148" s="356" t="n">
        <f aca="false">COUNTIF($M$130:$M$161,CD148)*$D$15</f>
        <v>0</v>
      </c>
      <c r="CF148" s="407"/>
      <c r="CG148" s="363"/>
      <c r="CH148" s="356" t="n">
        <f aca="false">COUNTIF($M$130:$M$161,CG148)*$D$15</f>
        <v>0</v>
      </c>
      <c r="CI148" s="407"/>
      <c r="CJ148" s="363"/>
      <c r="CK148" s="356" t="n">
        <f aca="false">COUNTIF($M$130:$M$161,CJ148)*$D$15</f>
        <v>0</v>
      </c>
      <c r="CL148" s="407"/>
      <c r="CM148" s="363"/>
      <c r="CN148" s="356" t="n">
        <f aca="false">COUNTIF($M$130:$M$161,CM148)*$D$15</f>
        <v>0</v>
      </c>
      <c r="CO148" s="407"/>
      <c r="CP148" s="363"/>
      <c r="CQ148" s="356" t="n">
        <f aca="false">COUNTIF($M$130:$M$161,CP148)*$D$15</f>
        <v>0</v>
      </c>
      <c r="CR148" s="407"/>
      <c r="CS148" s="363"/>
      <c r="CT148" s="356" t="n">
        <f aca="false">COUNTIF($M$130:$M$161,CS148)*$D$15</f>
        <v>0</v>
      </c>
      <c r="CU148" s="407"/>
      <c r="CV148" s="363"/>
      <c r="CW148" s="356" t="n">
        <f aca="false">COUNTIF($M$130:$M$161,CV148)*$D$15</f>
        <v>0</v>
      </c>
      <c r="CX148" s="407"/>
      <c r="CY148" s="363"/>
      <c r="CZ148" s="356" t="n">
        <f aca="false">COUNTIF($M$130:$M$161,CY148)*$D$15</f>
        <v>0</v>
      </c>
      <c r="DA148" s="407"/>
      <c r="DB148" s="363"/>
      <c r="DC148" s="356" t="n">
        <f aca="false">COUNTIF($M$130:$M$161,DB148)*$D$15</f>
        <v>0</v>
      </c>
      <c r="DD148" s="407"/>
      <c r="DE148" s="363"/>
      <c r="DF148" s="356" t="n">
        <f aca="false">COUNTIF($M$130:$M$161,DE148)*$D$15</f>
        <v>0</v>
      </c>
      <c r="DG148" s="407"/>
      <c r="DH148" s="363"/>
      <c r="DI148" s="356" t="n">
        <f aca="false">COUNTIF($M$130:$M$161,DH148)*$D$15</f>
        <v>0</v>
      </c>
      <c r="DJ148" s="407"/>
      <c r="DK148" s="363"/>
      <c r="DL148" s="356" t="n">
        <f aca="false">COUNTIF($M$130:$M$161,DK148)*$D$15</f>
        <v>0</v>
      </c>
      <c r="DM148" s="407"/>
      <c r="DN148" s="363"/>
      <c r="DO148" s="356" t="n">
        <f aca="false">COUNTIF($M$130:$M$161,DN148)*$D$15</f>
        <v>0</v>
      </c>
      <c r="DP148" s="407"/>
      <c r="DQ148" s="363"/>
      <c r="DR148" s="356" t="n">
        <f aca="false">COUNTIF($M$130:$M$161,DQ148)*$D$15</f>
        <v>0</v>
      </c>
      <c r="DS148" s="407"/>
      <c r="DT148" s="363"/>
      <c r="DU148" s="356" t="n">
        <f aca="false">COUNTIF($M$130:$M$161,DT148)*$D$15</f>
        <v>0</v>
      </c>
      <c r="DV148" s="407"/>
      <c r="DW148" s="363"/>
      <c r="DX148" s="356" t="n">
        <f aca="false">COUNTIF($M$130:$M$161,DW148)*$D$15</f>
        <v>0</v>
      </c>
      <c r="DY148" s="407"/>
      <c r="DZ148" s="363"/>
      <c r="EA148" s="356" t="n">
        <f aca="false">COUNTIF($M$130:$M$161,DZ148)*$D$15</f>
        <v>0</v>
      </c>
      <c r="EB148" s="407"/>
      <c r="EC148" s="363"/>
      <c r="ED148" s="356" t="n">
        <f aca="false">COUNTIF($M$130:$M$161,EC148)*$D$15</f>
        <v>0</v>
      </c>
      <c r="EE148" s="407"/>
      <c r="EF148" s="363"/>
      <c r="EG148" s="356" t="n">
        <f aca="false">COUNTIF($M$130:$M$161,EF148)*$D$15</f>
        <v>0</v>
      </c>
      <c r="EH148" s="407"/>
      <c r="EI148" s="407"/>
    </row>
    <row r="149" customFormat="false" ht="15" hidden="false" customHeight="false" outlineLevel="0" collapsed="false">
      <c r="A149" s="327"/>
      <c r="B149" s="327"/>
      <c r="C149" s="410"/>
      <c r="D149" s="410"/>
      <c r="E149" s="410"/>
      <c r="F149" s="411" t="n">
        <f aca="false">$D$15</f>
        <v>3</v>
      </c>
      <c r="G149" s="412" t="n">
        <f aca="false">VLOOKUP(H149,Equipos!$Q$1:$R$25,2,0)</f>
        <v>19</v>
      </c>
      <c r="H149" s="417" t="str">
        <f aca="false">Idiomas!$D$137</f>
        <v>CLASIFICADOS PARA DIECISEISAVOS</v>
      </c>
      <c r="I149" s="410"/>
      <c r="J149" s="418"/>
      <c r="K149" s="367" t="str">
        <f aca="false">Idiomas!$D$198&amp;"-"&amp;ROWS($L$130:L149)</f>
        <v>Dieciseisavofinalista-20</v>
      </c>
      <c r="L149" s="354"/>
      <c r="M149" s="359" t="str">
        <f aca="false">WORLDCUP!AF104</f>
        <v>2C</v>
      </c>
      <c r="N149" s="332"/>
      <c r="O149" s="332"/>
      <c r="P149" s="332"/>
      <c r="Q149" s="332"/>
      <c r="R149" s="404"/>
      <c r="S149" s="363" t="s">
        <v>340</v>
      </c>
      <c r="T149" s="356" t="n">
        <f aca="false">COUNTIF($M$130:$M$161,S149)*$D$15</f>
        <v>0</v>
      </c>
      <c r="U149" s="407"/>
      <c r="V149" s="363" t="s">
        <v>340</v>
      </c>
      <c r="W149" s="356" t="n">
        <f aca="false">COUNTIF($M$130:$M$161,V149)*$D$15</f>
        <v>0</v>
      </c>
      <c r="X149" s="407"/>
      <c r="Y149" s="363" t="s">
        <v>340</v>
      </c>
      <c r="Z149" s="356" t="n">
        <f aca="false">COUNTIF($M$130:$M$161,Y149)*$D$15</f>
        <v>0</v>
      </c>
      <c r="AA149" s="407"/>
      <c r="AB149" s="363" t="s">
        <v>339</v>
      </c>
      <c r="AC149" s="356" t="n">
        <f aca="false">COUNTIF($M$130:$M$161,AB149)*$D$15</f>
        <v>0</v>
      </c>
      <c r="AD149" s="407"/>
      <c r="AE149" s="363" t="s">
        <v>339</v>
      </c>
      <c r="AF149" s="356" t="n">
        <f aca="false">COUNTIF($M$130:$M$161,AE149)*$D$15</f>
        <v>0</v>
      </c>
      <c r="AG149" s="407"/>
      <c r="AH149" s="363" t="s">
        <v>340</v>
      </c>
      <c r="AI149" s="356" t="n">
        <f aca="false">COUNTIF($M$130:$M$161,AH149)*$D$15</f>
        <v>0</v>
      </c>
      <c r="AJ149" s="407"/>
      <c r="AK149" s="363" t="s">
        <v>340</v>
      </c>
      <c r="AL149" s="356" t="n">
        <f aca="false">COUNTIF($M$130:$M$161,AK149)*$D$15</f>
        <v>0</v>
      </c>
      <c r="AM149" s="407"/>
      <c r="AN149" s="363" t="s">
        <v>340</v>
      </c>
      <c r="AO149" s="356" t="n">
        <f aca="false">COUNTIF($M$130:$M$161,AN149)*$D$15</f>
        <v>0</v>
      </c>
      <c r="AP149" s="407"/>
      <c r="AQ149" s="363" t="s">
        <v>339</v>
      </c>
      <c r="AR149" s="356" t="n">
        <f aca="false">COUNTIF($M$130:$M$161,AQ149)*$D$15</f>
        <v>0</v>
      </c>
      <c r="AS149" s="407"/>
      <c r="AT149" s="363" t="s">
        <v>339</v>
      </c>
      <c r="AU149" s="356" t="n">
        <f aca="false">COUNTIF($M$130:$M$161,AT149)*$D$15</f>
        <v>0</v>
      </c>
      <c r="AV149" s="407"/>
      <c r="AW149" s="363" t="s">
        <v>340</v>
      </c>
      <c r="AX149" s="356" t="n">
        <f aca="false">COUNTIF($M$130:$M$161,AW149)*$D$15</f>
        <v>0</v>
      </c>
      <c r="AY149" s="407"/>
      <c r="AZ149" s="363" t="s">
        <v>340</v>
      </c>
      <c r="BA149" s="356" t="n">
        <f aca="false">COUNTIF($M$130:$M$161,AZ149)*$D$15</f>
        <v>0</v>
      </c>
      <c r="BB149" s="407"/>
      <c r="BC149" s="363" t="s">
        <v>340</v>
      </c>
      <c r="BD149" s="356" t="n">
        <f aca="false">COUNTIF($M$130:$M$161,BC149)*$D$15</f>
        <v>0</v>
      </c>
      <c r="BE149" s="407"/>
      <c r="BF149" s="363" t="s">
        <v>340</v>
      </c>
      <c r="BG149" s="356" t="n">
        <f aca="false">COUNTIF($M$130:$M$161,BF149)*$D$15</f>
        <v>0</v>
      </c>
      <c r="BH149" s="407"/>
      <c r="BI149" s="363" t="s">
        <v>340</v>
      </c>
      <c r="BJ149" s="356" t="n">
        <f aca="false">COUNTIF($M$130:$M$161,BI149)*$D$15</f>
        <v>0</v>
      </c>
      <c r="BK149" s="407"/>
      <c r="BL149" s="363" t="s">
        <v>340</v>
      </c>
      <c r="BM149" s="356" t="n">
        <f aca="false">COUNTIF($M$130:$M$161,BL149)*$D$15</f>
        <v>0</v>
      </c>
      <c r="BN149" s="407"/>
      <c r="BO149" s="363" t="s">
        <v>340</v>
      </c>
      <c r="BP149" s="356" t="n">
        <f aca="false">COUNTIF($M$130:$M$161,BO149)*$D$15</f>
        <v>0</v>
      </c>
      <c r="BQ149" s="407"/>
      <c r="BR149" s="363" t="s">
        <v>340</v>
      </c>
      <c r="BS149" s="356" t="n">
        <f aca="false">COUNTIF($M$130:$M$161,BR149)*$D$15</f>
        <v>0</v>
      </c>
      <c r="BT149" s="407"/>
      <c r="BU149" s="363"/>
      <c r="BV149" s="356" t="n">
        <f aca="false">COUNTIF($M$130:$M$161,BU149)*$D$15</f>
        <v>0</v>
      </c>
      <c r="BW149" s="407"/>
      <c r="BX149" s="363"/>
      <c r="BY149" s="356" t="n">
        <f aca="false">COUNTIF($M$130:$M$161,BX149)*$D$15</f>
        <v>0</v>
      </c>
      <c r="BZ149" s="407"/>
      <c r="CA149" s="363"/>
      <c r="CB149" s="356" t="n">
        <f aca="false">COUNTIF($M$130:$M$161,CA149)*$D$15</f>
        <v>0</v>
      </c>
      <c r="CC149" s="407"/>
      <c r="CD149" s="363"/>
      <c r="CE149" s="356" t="n">
        <f aca="false">COUNTIF($M$130:$M$161,CD149)*$D$15</f>
        <v>0</v>
      </c>
      <c r="CF149" s="407"/>
      <c r="CG149" s="363"/>
      <c r="CH149" s="356" t="n">
        <f aca="false">COUNTIF($M$130:$M$161,CG149)*$D$15</f>
        <v>0</v>
      </c>
      <c r="CI149" s="407"/>
      <c r="CJ149" s="363"/>
      <c r="CK149" s="356" t="n">
        <f aca="false">COUNTIF($M$130:$M$161,CJ149)*$D$15</f>
        <v>0</v>
      </c>
      <c r="CL149" s="407"/>
      <c r="CM149" s="363"/>
      <c r="CN149" s="356" t="n">
        <f aca="false">COUNTIF($M$130:$M$161,CM149)*$D$15</f>
        <v>0</v>
      </c>
      <c r="CO149" s="407"/>
      <c r="CP149" s="363"/>
      <c r="CQ149" s="356" t="n">
        <f aca="false">COUNTIF($M$130:$M$161,CP149)*$D$15</f>
        <v>0</v>
      </c>
      <c r="CR149" s="407"/>
      <c r="CS149" s="363"/>
      <c r="CT149" s="356" t="n">
        <f aca="false">COUNTIF($M$130:$M$161,CS149)*$D$15</f>
        <v>0</v>
      </c>
      <c r="CU149" s="407"/>
      <c r="CV149" s="363"/>
      <c r="CW149" s="356" t="n">
        <f aca="false">COUNTIF($M$130:$M$161,CV149)*$D$15</f>
        <v>0</v>
      </c>
      <c r="CX149" s="407"/>
      <c r="CY149" s="363"/>
      <c r="CZ149" s="356" t="n">
        <f aca="false">COUNTIF($M$130:$M$161,CY149)*$D$15</f>
        <v>0</v>
      </c>
      <c r="DA149" s="407"/>
      <c r="DB149" s="363"/>
      <c r="DC149" s="356" t="n">
        <f aca="false">COUNTIF($M$130:$M$161,DB149)*$D$15</f>
        <v>0</v>
      </c>
      <c r="DD149" s="407"/>
      <c r="DE149" s="363"/>
      <c r="DF149" s="356" t="n">
        <f aca="false">COUNTIF($M$130:$M$161,DE149)*$D$15</f>
        <v>0</v>
      </c>
      <c r="DG149" s="407"/>
      <c r="DH149" s="363"/>
      <c r="DI149" s="356" t="n">
        <f aca="false">COUNTIF($M$130:$M$161,DH149)*$D$15</f>
        <v>0</v>
      </c>
      <c r="DJ149" s="407"/>
      <c r="DK149" s="363"/>
      <c r="DL149" s="356" t="n">
        <f aca="false">COUNTIF($M$130:$M$161,DK149)*$D$15</f>
        <v>0</v>
      </c>
      <c r="DM149" s="407"/>
      <c r="DN149" s="363"/>
      <c r="DO149" s="356" t="n">
        <f aca="false">COUNTIF($M$130:$M$161,DN149)*$D$15</f>
        <v>0</v>
      </c>
      <c r="DP149" s="407"/>
      <c r="DQ149" s="363"/>
      <c r="DR149" s="356" t="n">
        <f aca="false">COUNTIF($M$130:$M$161,DQ149)*$D$15</f>
        <v>0</v>
      </c>
      <c r="DS149" s="407"/>
      <c r="DT149" s="363"/>
      <c r="DU149" s="356" t="n">
        <f aca="false">COUNTIF($M$130:$M$161,DT149)*$D$15</f>
        <v>0</v>
      </c>
      <c r="DV149" s="407"/>
      <c r="DW149" s="363"/>
      <c r="DX149" s="356" t="n">
        <f aca="false">COUNTIF($M$130:$M$161,DW149)*$D$15</f>
        <v>0</v>
      </c>
      <c r="DY149" s="407"/>
      <c r="DZ149" s="363"/>
      <c r="EA149" s="356" t="n">
        <f aca="false">COUNTIF($M$130:$M$161,DZ149)*$D$15</f>
        <v>0</v>
      </c>
      <c r="EB149" s="407"/>
      <c r="EC149" s="363"/>
      <c r="ED149" s="356" t="n">
        <f aca="false">COUNTIF($M$130:$M$161,EC149)*$D$15</f>
        <v>0</v>
      </c>
      <c r="EE149" s="407"/>
      <c r="EF149" s="363"/>
      <c r="EG149" s="356" t="n">
        <f aca="false">COUNTIF($M$130:$M$161,EF149)*$D$15</f>
        <v>0</v>
      </c>
      <c r="EH149" s="407"/>
      <c r="EI149" s="407"/>
    </row>
    <row r="150" customFormat="false" ht="15" hidden="false" customHeight="false" outlineLevel="0" collapsed="false">
      <c r="A150" s="327"/>
      <c r="B150" s="327"/>
      <c r="C150" s="410"/>
      <c r="D150" s="410"/>
      <c r="E150" s="410"/>
      <c r="F150" s="411" t="n">
        <f aca="false">$D$15</f>
        <v>3</v>
      </c>
      <c r="G150" s="412" t="n">
        <f aca="false">VLOOKUP(H150,Equipos!$Q$1:$R$25,2,0)</f>
        <v>19</v>
      </c>
      <c r="H150" s="417" t="str">
        <f aca="false">Idiomas!$D$137</f>
        <v>CLASIFICADOS PARA DIECISEISAVOS</v>
      </c>
      <c r="I150" s="410"/>
      <c r="J150" s="418"/>
      <c r="K150" s="367" t="str">
        <f aca="false">Idiomas!$D$198&amp;"-"&amp;ROWS($L$130:L150)</f>
        <v>Dieciseisavofinalista-21</v>
      </c>
      <c r="L150" s="354"/>
      <c r="M150" s="359" t="str">
        <f aca="false">WORLDCUP!AF105</f>
        <v>2I</v>
      </c>
      <c r="N150" s="332"/>
      <c r="O150" s="332"/>
      <c r="P150" s="332"/>
      <c r="Q150" s="332"/>
      <c r="R150" s="404"/>
      <c r="S150" s="363" t="s">
        <v>363</v>
      </c>
      <c r="T150" s="356" t="n">
        <f aca="false">COUNTIF($M$130:$M$161,S150)*$D$15</f>
        <v>0</v>
      </c>
      <c r="U150" s="407"/>
      <c r="V150" s="363" t="s">
        <v>364</v>
      </c>
      <c r="W150" s="356" t="n">
        <f aca="false">COUNTIF($M$130:$M$161,V150)*$D$15</f>
        <v>0</v>
      </c>
      <c r="X150" s="407"/>
      <c r="Y150" s="363" t="s">
        <v>363</v>
      </c>
      <c r="Z150" s="356" t="n">
        <f aca="false">COUNTIF($M$130:$M$161,Y150)*$D$15</f>
        <v>0</v>
      </c>
      <c r="AA150" s="407"/>
      <c r="AB150" s="363" t="s">
        <v>364</v>
      </c>
      <c r="AC150" s="356" t="n">
        <f aca="false">COUNTIF($M$130:$M$161,AB150)*$D$15</f>
        <v>0</v>
      </c>
      <c r="AD150" s="407"/>
      <c r="AE150" s="363" t="s">
        <v>364</v>
      </c>
      <c r="AF150" s="356" t="n">
        <f aca="false">COUNTIF($M$130:$M$161,AE150)*$D$15</f>
        <v>0</v>
      </c>
      <c r="AG150" s="407"/>
      <c r="AH150" s="363" t="s">
        <v>364</v>
      </c>
      <c r="AI150" s="356" t="n">
        <f aca="false">COUNTIF($M$130:$M$161,AH150)*$D$15</f>
        <v>0</v>
      </c>
      <c r="AJ150" s="407"/>
      <c r="AK150" s="363" t="s">
        <v>363</v>
      </c>
      <c r="AL150" s="356" t="n">
        <f aca="false">COUNTIF($M$130:$M$161,AK150)*$D$15</f>
        <v>0</v>
      </c>
      <c r="AM150" s="407"/>
      <c r="AN150" s="363" t="s">
        <v>364</v>
      </c>
      <c r="AO150" s="356" t="n">
        <f aca="false">COUNTIF($M$130:$M$161,AN150)*$D$15</f>
        <v>0</v>
      </c>
      <c r="AP150" s="407"/>
      <c r="AQ150" s="363" t="s">
        <v>362</v>
      </c>
      <c r="AR150" s="356" t="n">
        <f aca="false">COUNTIF($M$130:$M$161,AQ150)*$D$15</f>
        <v>0</v>
      </c>
      <c r="AS150" s="407"/>
      <c r="AT150" s="363" t="s">
        <v>364</v>
      </c>
      <c r="AU150" s="356" t="n">
        <f aca="false">COUNTIF($M$130:$M$161,AT150)*$D$15</f>
        <v>0</v>
      </c>
      <c r="AV150" s="407"/>
      <c r="AW150" s="363" t="s">
        <v>364</v>
      </c>
      <c r="AX150" s="356" t="n">
        <f aca="false">COUNTIF($M$130:$M$161,AW150)*$D$15</f>
        <v>0</v>
      </c>
      <c r="AY150" s="407"/>
      <c r="AZ150" s="363" t="s">
        <v>364</v>
      </c>
      <c r="BA150" s="356" t="n">
        <f aca="false">COUNTIF($M$130:$M$161,AZ150)*$D$15</f>
        <v>0</v>
      </c>
      <c r="BB150" s="407"/>
      <c r="BC150" s="363" t="s">
        <v>364</v>
      </c>
      <c r="BD150" s="356" t="n">
        <f aca="false">COUNTIF($M$130:$M$161,BC150)*$D$15</f>
        <v>0</v>
      </c>
      <c r="BE150" s="407"/>
      <c r="BF150" s="363" t="s">
        <v>364</v>
      </c>
      <c r="BG150" s="356" t="n">
        <f aca="false">COUNTIF($M$130:$M$161,BF150)*$D$15</f>
        <v>0</v>
      </c>
      <c r="BH150" s="407"/>
      <c r="BI150" s="363" t="s">
        <v>364</v>
      </c>
      <c r="BJ150" s="356" t="n">
        <f aca="false">COUNTIF($M$130:$M$161,BI150)*$D$15</f>
        <v>0</v>
      </c>
      <c r="BK150" s="407"/>
      <c r="BL150" s="363" t="s">
        <v>364</v>
      </c>
      <c r="BM150" s="356" t="n">
        <f aca="false">COUNTIF($M$130:$M$161,BL150)*$D$15</f>
        <v>0</v>
      </c>
      <c r="BN150" s="407"/>
      <c r="BO150" s="363" t="s">
        <v>363</v>
      </c>
      <c r="BP150" s="356" t="n">
        <f aca="false">COUNTIF($M$130:$M$161,BO150)*$D$15</f>
        <v>0</v>
      </c>
      <c r="BQ150" s="407"/>
      <c r="BR150" s="363" t="s">
        <v>363</v>
      </c>
      <c r="BS150" s="356" t="n">
        <f aca="false">COUNTIF($M$130:$M$161,BR150)*$D$15</f>
        <v>0</v>
      </c>
      <c r="BT150" s="407"/>
      <c r="BU150" s="363"/>
      <c r="BV150" s="356" t="n">
        <f aca="false">COUNTIF($M$130:$M$161,BU150)*$D$15</f>
        <v>0</v>
      </c>
      <c r="BW150" s="407"/>
      <c r="BX150" s="363"/>
      <c r="BY150" s="356" t="n">
        <f aca="false">COUNTIF($M$130:$M$161,BX150)*$D$15</f>
        <v>0</v>
      </c>
      <c r="BZ150" s="407"/>
      <c r="CA150" s="363"/>
      <c r="CB150" s="356" t="n">
        <f aca="false">COUNTIF($M$130:$M$161,CA150)*$D$15</f>
        <v>0</v>
      </c>
      <c r="CC150" s="407"/>
      <c r="CD150" s="363"/>
      <c r="CE150" s="356" t="n">
        <f aca="false">COUNTIF($M$130:$M$161,CD150)*$D$15</f>
        <v>0</v>
      </c>
      <c r="CF150" s="407"/>
      <c r="CG150" s="363"/>
      <c r="CH150" s="356" t="n">
        <f aca="false">COUNTIF($M$130:$M$161,CG150)*$D$15</f>
        <v>0</v>
      </c>
      <c r="CI150" s="407"/>
      <c r="CJ150" s="363"/>
      <c r="CK150" s="356" t="n">
        <f aca="false">COUNTIF($M$130:$M$161,CJ150)*$D$15</f>
        <v>0</v>
      </c>
      <c r="CL150" s="407"/>
      <c r="CM150" s="363"/>
      <c r="CN150" s="356" t="n">
        <f aca="false">COUNTIF($M$130:$M$161,CM150)*$D$15</f>
        <v>0</v>
      </c>
      <c r="CO150" s="407"/>
      <c r="CP150" s="363"/>
      <c r="CQ150" s="356" t="n">
        <f aca="false">COUNTIF($M$130:$M$161,CP150)*$D$15</f>
        <v>0</v>
      </c>
      <c r="CR150" s="407"/>
      <c r="CS150" s="363"/>
      <c r="CT150" s="356" t="n">
        <f aca="false">COUNTIF($M$130:$M$161,CS150)*$D$15</f>
        <v>0</v>
      </c>
      <c r="CU150" s="407"/>
      <c r="CV150" s="363"/>
      <c r="CW150" s="356" t="n">
        <f aca="false">COUNTIF($M$130:$M$161,CV150)*$D$15</f>
        <v>0</v>
      </c>
      <c r="CX150" s="407"/>
      <c r="CY150" s="363"/>
      <c r="CZ150" s="356" t="n">
        <f aca="false">COUNTIF($M$130:$M$161,CY150)*$D$15</f>
        <v>0</v>
      </c>
      <c r="DA150" s="407"/>
      <c r="DB150" s="363"/>
      <c r="DC150" s="356" t="n">
        <f aca="false">COUNTIF($M$130:$M$161,DB150)*$D$15</f>
        <v>0</v>
      </c>
      <c r="DD150" s="407"/>
      <c r="DE150" s="363"/>
      <c r="DF150" s="356" t="n">
        <f aca="false">COUNTIF($M$130:$M$161,DE150)*$D$15</f>
        <v>0</v>
      </c>
      <c r="DG150" s="407"/>
      <c r="DH150" s="363"/>
      <c r="DI150" s="356" t="n">
        <f aca="false">COUNTIF($M$130:$M$161,DH150)*$D$15</f>
        <v>0</v>
      </c>
      <c r="DJ150" s="407"/>
      <c r="DK150" s="363"/>
      <c r="DL150" s="356" t="n">
        <f aca="false">COUNTIF($M$130:$M$161,DK150)*$D$15</f>
        <v>0</v>
      </c>
      <c r="DM150" s="407"/>
      <c r="DN150" s="363"/>
      <c r="DO150" s="356" t="n">
        <f aca="false">COUNTIF($M$130:$M$161,DN150)*$D$15</f>
        <v>0</v>
      </c>
      <c r="DP150" s="407"/>
      <c r="DQ150" s="363"/>
      <c r="DR150" s="356" t="n">
        <f aca="false">COUNTIF($M$130:$M$161,DQ150)*$D$15</f>
        <v>0</v>
      </c>
      <c r="DS150" s="407"/>
      <c r="DT150" s="363"/>
      <c r="DU150" s="356" t="n">
        <f aca="false">COUNTIF($M$130:$M$161,DT150)*$D$15</f>
        <v>0</v>
      </c>
      <c r="DV150" s="407"/>
      <c r="DW150" s="363"/>
      <c r="DX150" s="356" t="n">
        <f aca="false">COUNTIF($M$130:$M$161,DW150)*$D$15</f>
        <v>0</v>
      </c>
      <c r="DY150" s="407"/>
      <c r="DZ150" s="363"/>
      <c r="EA150" s="356" t="n">
        <f aca="false">COUNTIF($M$130:$M$161,DZ150)*$D$15</f>
        <v>0</v>
      </c>
      <c r="EB150" s="407"/>
      <c r="EC150" s="363"/>
      <c r="ED150" s="356" t="n">
        <f aca="false">COUNTIF($M$130:$M$161,EC150)*$D$15</f>
        <v>0</v>
      </c>
      <c r="EE150" s="407"/>
      <c r="EF150" s="363"/>
      <c r="EG150" s="356" t="n">
        <f aca="false">COUNTIF($M$130:$M$161,EF150)*$D$15</f>
        <v>0</v>
      </c>
      <c r="EH150" s="407"/>
      <c r="EI150" s="407"/>
    </row>
    <row r="151" customFormat="false" ht="15" hidden="false" customHeight="false" outlineLevel="0" collapsed="false">
      <c r="A151" s="327"/>
      <c r="B151" s="327"/>
      <c r="C151" s="410"/>
      <c r="D151" s="410"/>
      <c r="E151" s="410"/>
      <c r="F151" s="411" t="n">
        <f aca="false">$D$15</f>
        <v>3</v>
      </c>
      <c r="G151" s="412" t="n">
        <f aca="false">VLOOKUP(H151,Equipos!$Q$1:$R$25,2,0)</f>
        <v>19</v>
      </c>
      <c r="H151" s="417" t="str">
        <f aca="false">Idiomas!$D$137</f>
        <v>CLASIFICADOS PARA DIECISEISAVOS</v>
      </c>
      <c r="I151" s="410"/>
      <c r="J151" s="418"/>
      <c r="K151" s="367" t="str">
        <f aca="false">Idiomas!$D$198&amp;"-"&amp;ROWS($L$130:L151)</f>
        <v>Dieciseisavofinalista-22</v>
      </c>
      <c r="L151" s="354"/>
      <c r="M151" s="359" t="str">
        <f aca="false">WORLDCUP!AF106</f>
        <v>3CDFGH</v>
      </c>
      <c r="N151" s="332"/>
      <c r="O151" s="332"/>
      <c r="P151" s="332"/>
      <c r="Q151" s="332"/>
      <c r="R151" s="404"/>
      <c r="S151" s="363" t="s">
        <v>353</v>
      </c>
      <c r="T151" s="356" t="n">
        <f aca="false">COUNTIF($M$130:$M$161,S151)*$D$15</f>
        <v>0</v>
      </c>
      <c r="U151" s="407"/>
      <c r="V151" s="363" t="s">
        <v>352</v>
      </c>
      <c r="W151" s="356" t="n">
        <f aca="false">COUNTIF($M$130:$M$161,V151)*$D$15</f>
        <v>0</v>
      </c>
      <c r="X151" s="407"/>
      <c r="Y151" s="363" t="s">
        <v>353</v>
      </c>
      <c r="Z151" s="356" t="n">
        <f aca="false">COUNTIF($M$130:$M$161,Y151)*$D$15</f>
        <v>0</v>
      </c>
      <c r="AA151" s="407"/>
      <c r="AB151" s="363" t="s">
        <v>352</v>
      </c>
      <c r="AC151" s="356" t="n">
        <f aca="false">COUNTIF($M$130:$M$161,AB151)*$D$15</f>
        <v>0</v>
      </c>
      <c r="AD151" s="407"/>
      <c r="AE151" s="363" t="s">
        <v>352</v>
      </c>
      <c r="AF151" s="356" t="n">
        <f aca="false">COUNTIF($M$130:$M$161,AE151)*$D$15</f>
        <v>0</v>
      </c>
      <c r="AG151" s="407"/>
      <c r="AH151" s="363" t="s">
        <v>352</v>
      </c>
      <c r="AI151" s="356" t="n">
        <f aca="false">COUNTIF($M$130:$M$161,AH151)*$D$15</f>
        <v>0</v>
      </c>
      <c r="AJ151" s="407"/>
      <c r="AK151" s="363" t="s">
        <v>352</v>
      </c>
      <c r="AL151" s="356" t="n">
        <f aca="false">COUNTIF($M$130:$M$161,AK151)*$D$15</f>
        <v>0</v>
      </c>
      <c r="AM151" s="407"/>
      <c r="AN151" s="363" t="s">
        <v>352</v>
      </c>
      <c r="AO151" s="356" t="n">
        <f aca="false">COUNTIF($M$130:$M$161,AN151)*$D$15</f>
        <v>0</v>
      </c>
      <c r="AP151" s="407"/>
      <c r="AQ151" s="363" t="s">
        <v>345</v>
      </c>
      <c r="AR151" s="356" t="n">
        <f aca="false">COUNTIF($M$130:$M$161,AQ151)*$D$15</f>
        <v>0</v>
      </c>
      <c r="AS151" s="407"/>
      <c r="AT151" s="363" t="s">
        <v>352</v>
      </c>
      <c r="AU151" s="356" t="n">
        <f aca="false">COUNTIF($M$130:$M$161,AT151)*$D$15</f>
        <v>0</v>
      </c>
      <c r="AV151" s="407"/>
      <c r="AW151" s="363" t="s">
        <v>345</v>
      </c>
      <c r="AX151" s="356" t="n">
        <f aca="false">COUNTIF($M$130:$M$161,AW151)*$D$15</f>
        <v>0</v>
      </c>
      <c r="AY151" s="407"/>
      <c r="AZ151" s="363" t="s">
        <v>353</v>
      </c>
      <c r="BA151" s="356" t="n">
        <f aca="false">COUNTIF($M$130:$M$161,AZ151)*$D$15</f>
        <v>0</v>
      </c>
      <c r="BB151" s="407"/>
      <c r="BC151" s="363" t="s">
        <v>357</v>
      </c>
      <c r="BD151" s="356" t="n">
        <f aca="false">COUNTIF($M$130:$M$161,BC151)*$D$15</f>
        <v>0</v>
      </c>
      <c r="BE151" s="407"/>
      <c r="BF151" s="363" t="s">
        <v>353</v>
      </c>
      <c r="BG151" s="356" t="n">
        <f aca="false">COUNTIF($M$130:$M$161,BF151)*$D$15</f>
        <v>0</v>
      </c>
      <c r="BH151" s="407"/>
      <c r="BI151" s="363" t="s">
        <v>353</v>
      </c>
      <c r="BJ151" s="356" t="n">
        <f aca="false">COUNTIF($M$130:$M$161,BI151)*$D$15</f>
        <v>0</v>
      </c>
      <c r="BK151" s="407"/>
      <c r="BL151" s="363" t="s">
        <v>353</v>
      </c>
      <c r="BM151" s="356" t="n">
        <f aca="false">COUNTIF($M$130:$M$161,BL151)*$D$15</f>
        <v>0</v>
      </c>
      <c r="BN151" s="407"/>
      <c r="BO151" s="363" t="s">
        <v>345</v>
      </c>
      <c r="BP151" s="356" t="n">
        <f aca="false">COUNTIF($M$130:$M$161,BO151)*$D$15</f>
        <v>0</v>
      </c>
      <c r="BQ151" s="407"/>
      <c r="BR151" s="363" t="s">
        <v>345</v>
      </c>
      <c r="BS151" s="356" t="n">
        <f aca="false">COUNTIF($M$130:$M$161,BR151)*$D$15</f>
        <v>0</v>
      </c>
      <c r="BT151" s="407"/>
      <c r="BU151" s="363"/>
      <c r="BV151" s="356" t="n">
        <f aca="false">COUNTIF($M$130:$M$161,BU151)*$D$15</f>
        <v>0</v>
      </c>
      <c r="BW151" s="407"/>
      <c r="BX151" s="363"/>
      <c r="BY151" s="356" t="n">
        <f aca="false">COUNTIF($M$130:$M$161,BX151)*$D$15</f>
        <v>0</v>
      </c>
      <c r="BZ151" s="407"/>
      <c r="CA151" s="363"/>
      <c r="CB151" s="356" t="n">
        <f aca="false">COUNTIF($M$130:$M$161,CA151)*$D$15</f>
        <v>0</v>
      </c>
      <c r="CC151" s="407"/>
      <c r="CD151" s="363"/>
      <c r="CE151" s="356" t="n">
        <f aca="false">COUNTIF($M$130:$M$161,CD151)*$D$15</f>
        <v>0</v>
      </c>
      <c r="CF151" s="407"/>
      <c r="CG151" s="363"/>
      <c r="CH151" s="356" t="n">
        <f aca="false">COUNTIF($M$130:$M$161,CG151)*$D$15</f>
        <v>0</v>
      </c>
      <c r="CI151" s="407"/>
      <c r="CJ151" s="363"/>
      <c r="CK151" s="356" t="n">
        <f aca="false">COUNTIF($M$130:$M$161,CJ151)*$D$15</f>
        <v>0</v>
      </c>
      <c r="CL151" s="407"/>
      <c r="CM151" s="363"/>
      <c r="CN151" s="356" t="n">
        <f aca="false">COUNTIF($M$130:$M$161,CM151)*$D$15</f>
        <v>0</v>
      </c>
      <c r="CO151" s="407"/>
      <c r="CP151" s="363"/>
      <c r="CQ151" s="356" t="n">
        <f aca="false">COUNTIF($M$130:$M$161,CP151)*$D$15</f>
        <v>0</v>
      </c>
      <c r="CR151" s="407"/>
      <c r="CS151" s="363"/>
      <c r="CT151" s="356" t="n">
        <f aca="false">COUNTIF($M$130:$M$161,CS151)*$D$15</f>
        <v>0</v>
      </c>
      <c r="CU151" s="407"/>
      <c r="CV151" s="363"/>
      <c r="CW151" s="356" t="n">
        <f aca="false">COUNTIF($M$130:$M$161,CV151)*$D$15</f>
        <v>0</v>
      </c>
      <c r="CX151" s="407"/>
      <c r="CY151" s="363"/>
      <c r="CZ151" s="356" t="n">
        <f aca="false">COUNTIF($M$130:$M$161,CY151)*$D$15</f>
        <v>0</v>
      </c>
      <c r="DA151" s="407"/>
      <c r="DB151" s="363"/>
      <c r="DC151" s="356" t="n">
        <f aca="false">COUNTIF($M$130:$M$161,DB151)*$D$15</f>
        <v>0</v>
      </c>
      <c r="DD151" s="407"/>
      <c r="DE151" s="363"/>
      <c r="DF151" s="356" t="n">
        <f aca="false">COUNTIF($M$130:$M$161,DE151)*$D$15</f>
        <v>0</v>
      </c>
      <c r="DG151" s="407"/>
      <c r="DH151" s="363"/>
      <c r="DI151" s="356" t="n">
        <f aca="false">COUNTIF($M$130:$M$161,DH151)*$D$15</f>
        <v>0</v>
      </c>
      <c r="DJ151" s="407"/>
      <c r="DK151" s="363"/>
      <c r="DL151" s="356" t="n">
        <f aca="false">COUNTIF($M$130:$M$161,DK151)*$D$15</f>
        <v>0</v>
      </c>
      <c r="DM151" s="407"/>
      <c r="DN151" s="363"/>
      <c r="DO151" s="356" t="n">
        <f aca="false">COUNTIF($M$130:$M$161,DN151)*$D$15</f>
        <v>0</v>
      </c>
      <c r="DP151" s="407"/>
      <c r="DQ151" s="363"/>
      <c r="DR151" s="356" t="n">
        <f aca="false">COUNTIF($M$130:$M$161,DQ151)*$D$15</f>
        <v>0</v>
      </c>
      <c r="DS151" s="407"/>
      <c r="DT151" s="363"/>
      <c r="DU151" s="356" t="n">
        <f aca="false">COUNTIF($M$130:$M$161,DT151)*$D$15</f>
        <v>0</v>
      </c>
      <c r="DV151" s="407"/>
      <c r="DW151" s="363"/>
      <c r="DX151" s="356" t="n">
        <f aca="false">COUNTIF($M$130:$M$161,DW151)*$D$15</f>
        <v>0</v>
      </c>
      <c r="DY151" s="407"/>
      <c r="DZ151" s="363"/>
      <c r="EA151" s="356" t="n">
        <f aca="false">COUNTIF($M$130:$M$161,DZ151)*$D$15</f>
        <v>0</v>
      </c>
      <c r="EB151" s="407"/>
      <c r="EC151" s="363"/>
      <c r="ED151" s="356" t="n">
        <f aca="false">COUNTIF($M$130:$M$161,EC151)*$D$15</f>
        <v>0</v>
      </c>
      <c r="EE151" s="407"/>
      <c r="EF151" s="363"/>
      <c r="EG151" s="356" t="n">
        <f aca="false">COUNTIF($M$130:$M$161,EF151)*$D$15</f>
        <v>0</v>
      </c>
      <c r="EH151" s="407"/>
      <c r="EI151" s="407"/>
    </row>
    <row r="152" customFormat="false" ht="15" hidden="false" customHeight="false" outlineLevel="0" collapsed="false">
      <c r="A152" s="327"/>
      <c r="B152" s="327"/>
      <c r="C152" s="410"/>
      <c r="D152" s="410"/>
      <c r="E152" s="410"/>
      <c r="F152" s="411" t="n">
        <f aca="false">$D$15</f>
        <v>3</v>
      </c>
      <c r="G152" s="412" t="n">
        <f aca="false">VLOOKUP(H152,Equipos!$Q$1:$R$25,2,0)</f>
        <v>19</v>
      </c>
      <c r="H152" s="417" t="str">
        <f aca="false">Idiomas!$D$137</f>
        <v>CLASIFICADOS PARA DIECISEISAVOS</v>
      </c>
      <c r="I152" s="410"/>
      <c r="J152" s="418"/>
      <c r="K152" s="367" t="str">
        <f aca="false">Idiomas!$D$198&amp;"-"&amp;ROWS($L$130:L152)</f>
        <v>Dieciseisavofinalista-23</v>
      </c>
      <c r="L152" s="354"/>
      <c r="M152" s="359" t="str">
        <f aca="false">WORLDCUP!AF107</f>
        <v>3CEFHI</v>
      </c>
      <c r="N152" s="332"/>
      <c r="O152" s="332"/>
      <c r="P152" s="332"/>
      <c r="Q152" s="332"/>
      <c r="R152" s="404"/>
      <c r="S152" s="363" t="s">
        <v>341</v>
      </c>
      <c r="T152" s="356" t="n">
        <f aca="false">COUNTIF($M$130:$M$161,S152)*$D$15</f>
        <v>0</v>
      </c>
      <c r="U152" s="407"/>
      <c r="V152" s="363" t="s">
        <v>341</v>
      </c>
      <c r="W152" s="356" t="n">
        <f aca="false">COUNTIF($M$130:$M$161,V152)*$D$15</f>
        <v>0</v>
      </c>
      <c r="X152" s="407"/>
      <c r="Y152" s="363" t="s">
        <v>341</v>
      </c>
      <c r="Z152" s="356" t="n">
        <f aca="false">COUNTIF($M$130:$M$161,Y152)*$D$15</f>
        <v>0</v>
      </c>
      <c r="AA152" s="407"/>
      <c r="AB152" s="363" t="s">
        <v>348</v>
      </c>
      <c r="AC152" s="356" t="n">
        <f aca="false">COUNTIF($M$130:$M$161,AB152)*$D$15</f>
        <v>0</v>
      </c>
      <c r="AD152" s="407"/>
      <c r="AE152" s="363" t="s">
        <v>341</v>
      </c>
      <c r="AF152" s="356" t="n">
        <f aca="false">COUNTIF($M$130:$M$161,AE152)*$D$15</f>
        <v>0</v>
      </c>
      <c r="AG152" s="407"/>
      <c r="AH152" s="363" t="s">
        <v>349</v>
      </c>
      <c r="AI152" s="356" t="n">
        <f aca="false">COUNTIF($M$130:$M$161,AH152)*$D$15</f>
        <v>0</v>
      </c>
      <c r="AJ152" s="407"/>
      <c r="AK152" s="363" t="s">
        <v>341</v>
      </c>
      <c r="AL152" s="356" t="n">
        <f aca="false">COUNTIF($M$130:$M$161,AK152)*$D$15</f>
        <v>0</v>
      </c>
      <c r="AM152" s="407"/>
      <c r="AN152" s="363" t="s">
        <v>341</v>
      </c>
      <c r="AO152" s="356" t="n">
        <f aca="false">COUNTIF($M$130:$M$161,AN152)*$D$15</f>
        <v>0</v>
      </c>
      <c r="AP152" s="407"/>
      <c r="AQ152" s="363" t="s">
        <v>348</v>
      </c>
      <c r="AR152" s="356" t="n">
        <f aca="false">COUNTIF($M$130:$M$161,AQ152)*$D$15</f>
        <v>0</v>
      </c>
      <c r="AS152" s="407"/>
      <c r="AT152" s="363" t="s">
        <v>361</v>
      </c>
      <c r="AU152" s="356" t="n">
        <f aca="false">COUNTIF($M$130:$M$161,AT152)*$D$15</f>
        <v>0</v>
      </c>
      <c r="AV152" s="407"/>
      <c r="AW152" s="363" t="s">
        <v>349</v>
      </c>
      <c r="AX152" s="356" t="n">
        <f aca="false">COUNTIF($M$130:$M$161,AW152)*$D$15</f>
        <v>0</v>
      </c>
      <c r="AY152" s="407"/>
      <c r="AZ152" s="363" t="s">
        <v>341</v>
      </c>
      <c r="BA152" s="356" t="n">
        <f aca="false">COUNTIF($M$130:$M$161,AZ152)*$D$15</f>
        <v>0</v>
      </c>
      <c r="BB152" s="407"/>
      <c r="BC152" s="363" t="s">
        <v>349</v>
      </c>
      <c r="BD152" s="356" t="n">
        <f aca="false">COUNTIF($M$130:$M$161,BC152)*$D$15</f>
        <v>0</v>
      </c>
      <c r="BE152" s="407"/>
      <c r="BF152" s="363" t="s">
        <v>341</v>
      </c>
      <c r="BG152" s="356" t="n">
        <f aca="false">COUNTIF($M$130:$M$161,BF152)*$D$15</f>
        <v>0</v>
      </c>
      <c r="BH152" s="407"/>
      <c r="BI152" s="363" t="s">
        <v>359</v>
      </c>
      <c r="BJ152" s="356" t="n">
        <f aca="false">COUNTIF($M$130:$M$161,BI152)*$D$15</f>
        <v>0</v>
      </c>
      <c r="BK152" s="407"/>
      <c r="BL152" s="363" t="s">
        <v>361</v>
      </c>
      <c r="BM152" s="356" t="n">
        <f aca="false">COUNTIF($M$130:$M$161,BL152)*$D$15</f>
        <v>0</v>
      </c>
      <c r="BN152" s="407"/>
      <c r="BO152" s="363" t="s">
        <v>348</v>
      </c>
      <c r="BP152" s="356" t="n">
        <f aca="false">COUNTIF($M$130:$M$161,BO152)*$D$15</f>
        <v>0</v>
      </c>
      <c r="BQ152" s="407"/>
      <c r="BR152" s="363" t="s">
        <v>361</v>
      </c>
      <c r="BS152" s="356" t="n">
        <f aca="false">COUNTIF($M$130:$M$161,BR152)*$D$15</f>
        <v>0</v>
      </c>
      <c r="BT152" s="407"/>
      <c r="BU152" s="363"/>
      <c r="BV152" s="356" t="n">
        <f aca="false">COUNTIF($M$130:$M$161,BU152)*$D$15</f>
        <v>0</v>
      </c>
      <c r="BW152" s="407"/>
      <c r="BX152" s="363"/>
      <c r="BY152" s="356" t="n">
        <f aca="false">COUNTIF($M$130:$M$161,BX152)*$D$15</f>
        <v>0</v>
      </c>
      <c r="BZ152" s="407"/>
      <c r="CA152" s="363"/>
      <c r="CB152" s="356" t="n">
        <f aca="false">COUNTIF($M$130:$M$161,CA152)*$D$15</f>
        <v>0</v>
      </c>
      <c r="CC152" s="407"/>
      <c r="CD152" s="363"/>
      <c r="CE152" s="356" t="n">
        <f aca="false">COUNTIF($M$130:$M$161,CD152)*$D$15</f>
        <v>0</v>
      </c>
      <c r="CF152" s="407"/>
      <c r="CG152" s="363"/>
      <c r="CH152" s="356" t="n">
        <f aca="false">COUNTIF($M$130:$M$161,CG152)*$D$15</f>
        <v>0</v>
      </c>
      <c r="CI152" s="407"/>
      <c r="CJ152" s="363"/>
      <c r="CK152" s="356" t="n">
        <f aca="false">COUNTIF($M$130:$M$161,CJ152)*$D$15</f>
        <v>0</v>
      </c>
      <c r="CL152" s="407"/>
      <c r="CM152" s="363"/>
      <c r="CN152" s="356" t="n">
        <f aca="false">COUNTIF($M$130:$M$161,CM152)*$D$15</f>
        <v>0</v>
      </c>
      <c r="CO152" s="407"/>
      <c r="CP152" s="363"/>
      <c r="CQ152" s="356" t="n">
        <f aca="false">COUNTIF($M$130:$M$161,CP152)*$D$15</f>
        <v>0</v>
      </c>
      <c r="CR152" s="407"/>
      <c r="CS152" s="363"/>
      <c r="CT152" s="356" t="n">
        <f aca="false">COUNTIF($M$130:$M$161,CS152)*$D$15</f>
        <v>0</v>
      </c>
      <c r="CU152" s="407"/>
      <c r="CV152" s="363"/>
      <c r="CW152" s="356" t="n">
        <f aca="false">COUNTIF($M$130:$M$161,CV152)*$D$15</f>
        <v>0</v>
      </c>
      <c r="CX152" s="407"/>
      <c r="CY152" s="363"/>
      <c r="CZ152" s="356" t="n">
        <f aca="false">COUNTIF($M$130:$M$161,CY152)*$D$15</f>
        <v>0</v>
      </c>
      <c r="DA152" s="407"/>
      <c r="DB152" s="363"/>
      <c r="DC152" s="356" t="n">
        <f aca="false">COUNTIF($M$130:$M$161,DB152)*$D$15</f>
        <v>0</v>
      </c>
      <c r="DD152" s="407"/>
      <c r="DE152" s="363"/>
      <c r="DF152" s="356" t="n">
        <f aca="false">COUNTIF($M$130:$M$161,DE152)*$D$15</f>
        <v>0</v>
      </c>
      <c r="DG152" s="407"/>
      <c r="DH152" s="363"/>
      <c r="DI152" s="356" t="n">
        <f aca="false">COUNTIF($M$130:$M$161,DH152)*$D$15</f>
        <v>0</v>
      </c>
      <c r="DJ152" s="407"/>
      <c r="DK152" s="363"/>
      <c r="DL152" s="356" t="n">
        <f aca="false">COUNTIF($M$130:$M$161,DK152)*$D$15</f>
        <v>0</v>
      </c>
      <c r="DM152" s="407"/>
      <c r="DN152" s="363"/>
      <c r="DO152" s="356" t="n">
        <f aca="false">COUNTIF($M$130:$M$161,DN152)*$D$15</f>
        <v>0</v>
      </c>
      <c r="DP152" s="407"/>
      <c r="DQ152" s="363"/>
      <c r="DR152" s="356" t="n">
        <f aca="false">COUNTIF($M$130:$M$161,DQ152)*$D$15</f>
        <v>0</v>
      </c>
      <c r="DS152" s="407"/>
      <c r="DT152" s="363"/>
      <c r="DU152" s="356" t="n">
        <f aca="false">COUNTIF($M$130:$M$161,DT152)*$D$15</f>
        <v>0</v>
      </c>
      <c r="DV152" s="407"/>
      <c r="DW152" s="363"/>
      <c r="DX152" s="356" t="n">
        <f aca="false">COUNTIF($M$130:$M$161,DW152)*$D$15</f>
        <v>0</v>
      </c>
      <c r="DY152" s="407"/>
      <c r="DZ152" s="363"/>
      <c r="EA152" s="356" t="n">
        <f aca="false">COUNTIF($M$130:$M$161,DZ152)*$D$15</f>
        <v>0</v>
      </c>
      <c r="EB152" s="407"/>
      <c r="EC152" s="363"/>
      <c r="ED152" s="356" t="n">
        <f aca="false">COUNTIF($M$130:$M$161,EC152)*$D$15</f>
        <v>0</v>
      </c>
      <c r="EE152" s="407"/>
      <c r="EF152" s="363"/>
      <c r="EG152" s="356" t="n">
        <f aca="false">COUNTIF($M$130:$M$161,EF152)*$D$15</f>
        <v>0</v>
      </c>
      <c r="EH152" s="407"/>
      <c r="EI152" s="407"/>
    </row>
    <row r="153" customFormat="false" ht="15" hidden="false" customHeight="false" outlineLevel="0" collapsed="false">
      <c r="A153" s="327"/>
      <c r="B153" s="327"/>
      <c r="C153" s="410"/>
      <c r="D153" s="410"/>
      <c r="E153" s="410"/>
      <c r="F153" s="411" t="n">
        <f aca="false">$D$15</f>
        <v>3</v>
      </c>
      <c r="G153" s="412" t="n">
        <f aca="false">VLOOKUP(H153,Equipos!$Q$1:$R$25,2,0)</f>
        <v>19</v>
      </c>
      <c r="H153" s="417" t="str">
        <f aca="false">Idiomas!$D$137</f>
        <v>CLASIFICADOS PARA DIECISEISAVOS</v>
      </c>
      <c r="I153" s="410"/>
      <c r="J153" s="418"/>
      <c r="K153" s="367" t="str">
        <f aca="false">Idiomas!$D$198&amp;"-"&amp;ROWS($L$130:L153)</f>
        <v>Dieciseisavofinalista-24</v>
      </c>
      <c r="L153" s="354"/>
      <c r="M153" s="359" t="str">
        <f aca="false">WORLDCUP!AF108</f>
        <v>3EHIJK</v>
      </c>
      <c r="N153" s="332"/>
      <c r="O153" s="332"/>
      <c r="P153" s="332"/>
      <c r="Q153" s="332"/>
      <c r="R153" s="404"/>
      <c r="S153" s="363" t="s">
        <v>364</v>
      </c>
      <c r="T153" s="356" t="n">
        <f aca="false">COUNTIF($M$130:$M$161,S153)*$D$15</f>
        <v>0</v>
      </c>
      <c r="U153" s="407"/>
      <c r="V153" s="363" t="s">
        <v>363</v>
      </c>
      <c r="W153" s="356" t="n">
        <f aca="false">COUNTIF($M$130:$M$161,V153)*$D$15</f>
        <v>0</v>
      </c>
      <c r="X153" s="407"/>
      <c r="Y153" s="363" t="s">
        <v>364</v>
      </c>
      <c r="Z153" s="356" t="n">
        <f aca="false">COUNTIF($M$130:$M$161,Y153)*$D$15</f>
        <v>0</v>
      </c>
      <c r="AA153" s="407"/>
      <c r="AB153" s="363" t="s">
        <v>373</v>
      </c>
      <c r="AC153" s="356" t="n">
        <f aca="false">COUNTIF($M$130:$M$161,AB153)*$D$15</f>
        <v>0</v>
      </c>
      <c r="AD153" s="407"/>
      <c r="AE153" s="363" t="s">
        <v>363</v>
      </c>
      <c r="AF153" s="356" t="n">
        <f aca="false">COUNTIF($M$130:$M$161,AE153)*$D$15</f>
        <v>0</v>
      </c>
      <c r="AG153" s="407"/>
      <c r="AH153" s="363" t="s">
        <v>373</v>
      </c>
      <c r="AI153" s="356" t="n">
        <f aca="false">COUNTIF($M$130:$M$161,AH153)*$D$15</f>
        <v>0</v>
      </c>
      <c r="AJ153" s="407"/>
      <c r="AK153" s="363" t="s">
        <v>364</v>
      </c>
      <c r="AL153" s="356" t="n">
        <f aca="false">COUNTIF($M$130:$M$161,AK153)*$D$15</f>
        <v>0</v>
      </c>
      <c r="AM153" s="407"/>
      <c r="AN153" s="363" t="s">
        <v>348</v>
      </c>
      <c r="AO153" s="356" t="n">
        <f aca="false">COUNTIF($M$130:$M$161,AN153)*$D$15</f>
        <v>0</v>
      </c>
      <c r="AP153" s="407"/>
      <c r="AQ153" s="363" t="s">
        <v>373</v>
      </c>
      <c r="AR153" s="356" t="n">
        <f aca="false">COUNTIF($M$130:$M$161,AQ153)*$D$15</f>
        <v>0</v>
      </c>
      <c r="AS153" s="407"/>
      <c r="AT153" s="363" t="s">
        <v>363</v>
      </c>
      <c r="AU153" s="356" t="n">
        <f aca="false">COUNTIF($M$130:$M$161,AT153)*$D$15</f>
        <v>0</v>
      </c>
      <c r="AV153" s="407"/>
      <c r="AW153" s="363" t="s">
        <v>363</v>
      </c>
      <c r="AX153" s="356" t="n">
        <f aca="false">COUNTIF($M$130:$M$161,AW153)*$D$15</f>
        <v>0</v>
      </c>
      <c r="AY153" s="407"/>
      <c r="AZ153" s="363" t="s">
        <v>363</v>
      </c>
      <c r="BA153" s="356" t="n">
        <f aca="false">COUNTIF($M$130:$M$161,AZ153)*$D$15</f>
        <v>0</v>
      </c>
      <c r="BB153" s="407"/>
      <c r="BC153" s="363" t="s">
        <v>363</v>
      </c>
      <c r="BD153" s="356" t="n">
        <f aca="false">COUNTIF($M$130:$M$161,BC153)*$D$15</f>
        <v>0</v>
      </c>
      <c r="BE153" s="407"/>
      <c r="BF153" s="363" t="s">
        <v>368</v>
      </c>
      <c r="BG153" s="356" t="n">
        <f aca="false">COUNTIF($M$130:$M$161,BF153)*$D$15</f>
        <v>0</v>
      </c>
      <c r="BH153" s="407"/>
      <c r="BI153" s="363" t="s">
        <v>363</v>
      </c>
      <c r="BJ153" s="356" t="n">
        <f aca="false">COUNTIF($M$130:$M$161,BI153)*$D$15</f>
        <v>0</v>
      </c>
      <c r="BK153" s="407"/>
      <c r="BL153" s="363" t="s">
        <v>363</v>
      </c>
      <c r="BM153" s="356" t="n">
        <f aca="false">COUNTIF($M$130:$M$161,BL153)*$D$15</f>
        <v>0</v>
      </c>
      <c r="BN153" s="407"/>
      <c r="BO153" s="363" t="s">
        <v>364</v>
      </c>
      <c r="BP153" s="356" t="n">
        <f aca="false">COUNTIF($M$130:$M$161,BO153)*$D$15</f>
        <v>0</v>
      </c>
      <c r="BQ153" s="407"/>
      <c r="BR153" s="363" t="s">
        <v>364</v>
      </c>
      <c r="BS153" s="356" t="n">
        <f aca="false">COUNTIF($M$130:$M$161,BR153)*$D$15</f>
        <v>0</v>
      </c>
      <c r="BT153" s="407"/>
      <c r="BU153" s="363"/>
      <c r="BV153" s="356" t="n">
        <f aca="false">COUNTIF($M$130:$M$161,BU153)*$D$15</f>
        <v>0</v>
      </c>
      <c r="BW153" s="407"/>
      <c r="BX153" s="363"/>
      <c r="BY153" s="356" t="n">
        <f aca="false">COUNTIF($M$130:$M$161,BX153)*$D$15</f>
        <v>0</v>
      </c>
      <c r="BZ153" s="407"/>
      <c r="CA153" s="363"/>
      <c r="CB153" s="356" t="n">
        <f aca="false">COUNTIF($M$130:$M$161,CA153)*$D$15</f>
        <v>0</v>
      </c>
      <c r="CC153" s="407"/>
      <c r="CD153" s="363"/>
      <c r="CE153" s="356" t="n">
        <f aca="false">COUNTIF($M$130:$M$161,CD153)*$D$15</f>
        <v>0</v>
      </c>
      <c r="CF153" s="407"/>
      <c r="CG153" s="363"/>
      <c r="CH153" s="356" t="n">
        <f aca="false">COUNTIF($M$130:$M$161,CG153)*$D$15</f>
        <v>0</v>
      </c>
      <c r="CI153" s="407"/>
      <c r="CJ153" s="363"/>
      <c r="CK153" s="356" t="n">
        <f aca="false">COUNTIF($M$130:$M$161,CJ153)*$D$15</f>
        <v>0</v>
      </c>
      <c r="CL153" s="407"/>
      <c r="CM153" s="363"/>
      <c r="CN153" s="356" t="n">
        <f aca="false">COUNTIF($M$130:$M$161,CM153)*$D$15</f>
        <v>0</v>
      </c>
      <c r="CO153" s="407"/>
      <c r="CP153" s="363"/>
      <c r="CQ153" s="356" t="n">
        <f aca="false">COUNTIF($M$130:$M$161,CP153)*$D$15</f>
        <v>0</v>
      </c>
      <c r="CR153" s="407"/>
      <c r="CS153" s="363"/>
      <c r="CT153" s="356" t="n">
        <f aca="false">COUNTIF($M$130:$M$161,CS153)*$D$15</f>
        <v>0</v>
      </c>
      <c r="CU153" s="407"/>
      <c r="CV153" s="363"/>
      <c r="CW153" s="356" t="n">
        <f aca="false">COUNTIF($M$130:$M$161,CV153)*$D$15</f>
        <v>0</v>
      </c>
      <c r="CX153" s="407"/>
      <c r="CY153" s="363"/>
      <c r="CZ153" s="356" t="n">
        <f aca="false">COUNTIF($M$130:$M$161,CY153)*$D$15</f>
        <v>0</v>
      </c>
      <c r="DA153" s="407"/>
      <c r="DB153" s="363"/>
      <c r="DC153" s="356" t="n">
        <f aca="false">COUNTIF($M$130:$M$161,DB153)*$D$15</f>
        <v>0</v>
      </c>
      <c r="DD153" s="407"/>
      <c r="DE153" s="363"/>
      <c r="DF153" s="356" t="n">
        <f aca="false">COUNTIF($M$130:$M$161,DE153)*$D$15</f>
        <v>0</v>
      </c>
      <c r="DG153" s="407"/>
      <c r="DH153" s="363"/>
      <c r="DI153" s="356" t="n">
        <f aca="false">COUNTIF($M$130:$M$161,DH153)*$D$15</f>
        <v>0</v>
      </c>
      <c r="DJ153" s="407"/>
      <c r="DK153" s="363"/>
      <c r="DL153" s="356" t="n">
        <f aca="false">COUNTIF($M$130:$M$161,DK153)*$D$15</f>
        <v>0</v>
      </c>
      <c r="DM153" s="407"/>
      <c r="DN153" s="363"/>
      <c r="DO153" s="356" t="n">
        <f aca="false">COUNTIF($M$130:$M$161,DN153)*$D$15</f>
        <v>0</v>
      </c>
      <c r="DP153" s="407"/>
      <c r="DQ153" s="363"/>
      <c r="DR153" s="356" t="n">
        <f aca="false">COUNTIF($M$130:$M$161,DQ153)*$D$15</f>
        <v>0</v>
      </c>
      <c r="DS153" s="407"/>
      <c r="DT153" s="363"/>
      <c r="DU153" s="356" t="n">
        <f aca="false">COUNTIF($M$130:$M$161,DT153)*$D$15</f>
        <v>0</v>
      </c>
      <c r="DV153" s="407"/>
      <c r="DW153" s="363"/>
      <c r="DX153" s="356" t="n">
        <f aca="false">COUNTIF($M$130:$M$161,DW153)*$D$15</f>
        <v>0</v>
      </c>
      <c r="DY153" s="407"/>
      <c r="DZ153" s="363"/>
      <c r="EA153" s="356" t="n">
        <f aca="false">COUNTIF($M$130:$M$161,DZ153)*$D$15</f>
        <v>0</v>
      </c>
      <c r="EB153" s="407"/>
      <c r="EC153" s="363"/>
      <c r="ED153" s="356" t="n">
        <f aca="false">COUNTIF($M$130:$M$161,EC153)*$D$15</f>
        <v>0</v>
      </c>
      <c r="EE153" s="407"/>
      <c r="EF153" s="363"/>
      <c r="EG153" s="356" t="n">
        <f aca="false">COUNTIF($M$130:$M$161,EF153)*$D$15</f>
        <v>0</v>
      </c>
      <c r="EH153" s="407"/>
      <c r="EI153" s="407"/>
    </row>
    <row r="154" customFormat="false" ht="15" hidden="false" customHeight="false" outlineLevel="0" collapsed="false">
      <c r="A154" s="327"/>
      <c r="B154" s="327"/>
      <c r="C154" s="410"/>
      <c r="D154" s="410"/>
      <c r="E154" s="410"/>
      <c r="F154" s="411" t="n">
        <f aca="false">$D$15</f>
        <v>3</v>
      </c>
      <c r="G154" s="412" t="n">
        <f aca="false">VLOOKUP(H154,Equipos!$Q$1:$R$25,2,0)</f>
        <v>19</v>
      </c>
      <c r="H154" s="417" t="str">
        <f aca="false">Idiomas!$D$137</f>
        <v>CLASIFICADOS PARA DIECISEISAVOS</v>
      </c>
      <c r="I154" s="410"/>
      <c r="J154" s="418"/>
      <c r="K154" s="367" t="str">
        <f aca="false">Idiomas!$D$198&amp;"-"&amp;ROWS($L$130:L154)</f>
        <v>Dieciseisavofinalista-25</v>
      </c>
      <c r="L154" s="354"/>
      <c r="M154" s="359" t="str">
        <f aca="false">WORLDCUP!AF109</f>
        <v>3AEHIJ</v>
      </c>
      <c r="N154" s="332"/>
      <c r="O154" s="332"/>
      <c r="P154" s="332"/>
      <c r="Q154" s="332"/>
      <c r="R154" s="404"/>
      <c r="S154" s="363" t="s">
        <v>361</v>
      </c>
      <c r="T154" s="356" t="n">
        <f aca="false">COUNTIF($M$130:$M$161,S154)*$D$15</f>
        <v>0</v>
      </c>
      <c r="U154" s="407"/>
      <c r="V154" s="363" t="s">
        <v>331</v>
      </c>
      <c r="W154" s="356" t="n">
        <f aca="false">COUNTIF($M$130:$M$161,V154)*$D$15</f>
        <v>0</v>
      </c>
      <c r="X154" s="407"/>
      <c r="Y154" s="363" t="s">
        <v>348</v>
      </c>
      <c r="Z154" s="356" t="n">
        <f aca="false">COUNTIF($M$130:$M$161,Y154)*$D$15</f>
        <v>0</v>
      </c>
      <c r="AA154" s="407"/>
      <c r="AB154" s="363" t="s">
        <v>333</v>
      </c>
      <c r="AC154" s="356" t="n">
        <f aca="false">COUNTIF($M$130:$M$161,AB154)*$D$15</f>
        <v>0</v>
      </c>
      <c r="AD154" s="407"/>
      <c r="AE154" s="363" t="s">
        <v>349</v>
      </c>
      <c r="AF154" s="356" t="n">
        <f aca="false">COUNTIF($M$130:$M$161,AE154)*$D$15</f>
        <v>0</v>
      </c>
      <c r="AG154" s="407"/>
      <c r="AH154" s="363" t="s">
        <v>361</v>
      </c>
      <c r="AI154" s="356" t="n">
        <f aca="false">COUNTIF($M$130:$M$161,AH154)*$D$15</f>
        <v>0</v>
      </c>
      <c r="AJ154" s="407"/>
      <c r="AK154" s="363" t="s">
        <v>332</v>
      </c>
      <c r="AL154" s="356" t="n">
        <f aca="false">COUNTIF($M$130:$M$161,AK154)*$D$15</f>
        <v>0</v>
      </c>
      <c r="AM154" s="407"/>
      <c r="AN154" s="363" t="s">
        <v>332</v>
      </c>
      <c r="AO154" s="356" t="n">
        <f aca="false">COUNTIF($M$130:$M$161,AN154)*$D$15</f>
        <v>0</v>
      </c>
      <c r="AP154" s="407"/>
      <c r="AQ154" s="363" t="s">
        <v>361</v>
      </c>
      <c r="AR154" s="356" t="n">
        <f aca="false">COUNTIF($M$130:$M$161,AQ154)*$D$15</f>
        <v>0</v>
      </c>
      <c r="AS154" s="407"/>
      <c r="AT154" s="363" t="s">
        <v>333</v>
      </c>
      <c r="AU154" s="356" t="n">
        <f aca="false">COUNTIF($M$130:$M$161,AT154)*$D$15</f>
        <v>0</v>
      </c>
      <c r="AV154" s="407"/>
      <c r="AW154" s="363" t="s">
        <v>331</v>
      </c>
      <c r="AX154" s="356" t="n">
        <f aca="false">COUNTIF($M$130:$M$161,AW154)*$D$15</f>
        <v>0</v>
      </c>
      <c r="AY154" s="407"/>
      <c r="AZ154" s="363" t="s">
        <v>333</v>
      </c>
      <c r="BA154" s="356" t="n">
        <f aca="false">COUNTIF($M$130:$M$161,AZ154)*$D$15</f>
        <v>0</v>
      </c>
      <c r="BB154" s="407"/>
      <c r="BC154" s="363" t="s">
        <v>361</v>
      </c>
      <c r="BD154" s="356" t="n">
        <f aca="false">COUNTIF($M$130:$M$161,BC154)*$D$15</f>
        <v>0</v>
      </c>
      <c r="BE154" s="407"/>
      <c r="BF154" s="363" t="s">
        <v>334</v>
      </c>
      <c r="BG154" s="356" t="n">
        <f aca="false">COUNTIF($M$130:$M$161,BF154)*$D$15</f>
        <v>0</v>
      </c>
      <c r="BH154" s="407"/>
      <c r="BI154" s="363" t="s">
        <v>334</v>
      </c>
      <c r="BJ154" s="356" t="n">
        <f aca="false">COUNTIF($M$130:$M$161,BI154)*$D$15</f>
        <v>0</v>
      </c>
      <c r="BK154" s="407"/>
      <c r="BL154" s="363" t="s">
        <v>332</v>
      </c>
      <c r="BM154" s="356" t="n">
        <f aca="false">COUNTIF($M$130:$M$161,BL154)*$D$15</f>
        <v>0</v>
      </c>
      <c r="BN154" s="407"/>
      <c r="BO154" s="363" t="s">
        <v>361</v>
      </c>
      <c r="BP154" s="356" t="n">
        <f aca="false">COUNTIF($M$130:$M$161,BO154)*$D$15</f>
        <v>0</v>
      </c>
      <c r="BQ154" s="407"/>
      <c r="BR154" s="363" t="s">
        <v>332</v>
      </c>
      <c r="BS154" s="356" t="n">
        <f aca="false">COUNTIF($M$130:$M$161,BR154)*$D$15</f>
        <v>0</v>
      </c>
      <c r="BT154" s="407"/>
      <c r="BU154" s="363"/>
      <c r="BV154" s="356" t="n">
        <f aca="false">COUNTIF($M$130:$M$161,BU154)*$D$15</f>
        <v>0</v>
      </c>
      <c r="BW154" s="407"/>
      <c r="BX154" s="363"/>
      <c r="BY154" s="356" t="n">
        <f aca="false">COUNTIF($M$130:$M$161,BX154)*$D$15</f>
        <v>0</v>
      </c>
      <c r="BZ154" s="407"/>
      <c r="CA154" s="363"/>
      <c r="CB154" s="356" t="n">
        <f aca="false">COUNTIF($M$130:$M$161,CA154)*$D$15</f>
        <v>0</v>
      </c>
      <c r="CC154" s="407"/>
      <c r="CD154" s="363"/>
      <c r="CE154" s="356" t="n">
        <f aca="false">COUNTIF($M$130:$M$161,CD154)*$D$15</f>
        <v>0</v>
      </c>
      <c r="CF154" s="407"/>
      <c r="CG154" s="363"/>
      <c r="CH154" s="356" t="n">
        <f aca="false">COUNTIF($M$130:$M$161,CG154)*$D$15</f>
        <v>0</v>
      </c>
      <c r="CI154" s="407"/>
      <c r="CJ154" s="363"/>
      <c r="CK154" s="356" t="n">
        <f aca="false">COUNTIF($M$130:$M$161,CJ154)*$D$15</f>
        <v>0</v>
      </c>
      <c r="CL154" s="407"/>
      <c r="CM154" s="363"/>
      <c r="CN154" s="356" t="n">
        <f aca="false">COUNTIF($M$130:$M$161,CM154)*$D$15</f>
        <v>0</v>
      </c>
      <c r="CO154" s="407"/>
      <c r="CP154" s="363"/>
      <c r="CQ154" s="356" t="n">
        <f aca="false">COUNTIF($M$130:$M$161,CP154)*$D$15</f>
        <v>0</v>
      </c>
      <c r="CR154" s="407"/>
      <c r="CS154" s="363"/>
      <c r="CT154" s="356" t="n">
        <f aca="false">COUNTIF($M$130:$M$161,CS154)*$D$15</f>
        <v>0</v>
      </c>
      <c r="CU154" s="407"/>
      <c r="CV154" s="363"/>
      <c r="CW154" s="356" t="n">
        <f aca="false">COUNTIF($M$130:$M$161,CV154)*$D$15</f>
        <v>0</v>
      </c>
      <c r="CX154" s="407"/>
      <c r="CY154" s="363"/>
      <c r="CZ154" s="356" t="n">
        <f aca="false">COUNTIF($M$130:$M$161,CY154)*$D$15</f>
        <v>0</v>
      </c>
      <c r="DA154" s="407"/>
      <c r="DB154" s="363"/>
      <c r="DC154" s="356" t="n">
        <f aca="false">COUNTIF($M$130:$M$161,DB154)*$D$15</f>
        <v>0</v>
      </c>
      <c r="DD154" s="407"/>
      <c r="DE154" s="363"/>
      <c r="DF154" s="356" t="n">
        <f aca="false">COUNTIF($M$130:$M$161,DE154)*$D$15</f>
        <v>0</v>
      </c>
      <c r="DG154" s="407"/>
      <c r="DH154" s="363"/>
      <c r="DI154" s="356" t="n">
        <f aca="false">COUNTIF($M$130:$M$161,DH154)*$D$15</f>
        <v>0</v>
      </c>
      <c r="DJ154" s="407"/>
      <c r="DK154" s="363"/>
      <c r="DL154" s="356" t="n">
        <f aca="false">COUNTIF($M$130:$M$161,DK154)*$D$15</f>
        <v>0</v>
      </c>
      <c r="DM154" s="407"/>
      <c r="DN154" s="363"/>
      <c r="DO154" s="356" t="n">
        <f aca="false">COUNTIF($M$130:$M$161,DN154)*$D$15</f>
        <v>0</v>
      </c>
      <c r="DP154" s="407"/>
      <c r="DQ154" s="363"/>
      <c r="DR154" s="356" t="n">
        <f aca="false">COUNTIF($M$130:$M$161,DQ154)*$D$15</f>
        <v>0</v>
      </c>
      <c r="DS154" s="407"/>
      <c r="DT154" s="363"/>
      <c r="DU154" s="356" t="n">
        <f aca="false">COUNTIF($M$130:$M$161,DT154)*$D$15</f>
        <v>0</v>
      </c>
      <c r="DV154" s="407"/>
      <c r="DW154" s="363"/>
      <c r="DX154" s="356" t="n">
        <f aca="false">COUNTIF($M$130:$M$161,DW154)*$D$15</f>
        <v>0</v>
      </c>
      <c r="DY154" s="407"/>
      <c r="DZ154" s="363"/>
      <c r="EA154" s="356" t="n">
        <f aca="false">COUNTIF($M$130:$M$161,DZ154)*$D$15</f>
        <v>0</v>
      </c>
      <c r="EB154" s="407"/>
      <c r="EC154" s="363"/>
      <c r="ED154" s="356" t="n">
        <f aca="false">COUNTIF($M$130:$M$161,EC154)*$D$15</f>
        <v>0</v>
      </c>
      <c r="EE154" s="407"/>
      <c r="EF154" s="363"/>
      <c r="EG154" s="356" t="n">
        <f aca="false">COUNTIF($M$130:$M$161,EF154)*$D$15</f>
        <v>0</v>
      </c>
      <c r="EH154" s="407"/>
      <c r="EI154" s="407"/>
    </row>
    <row r="155" customFormat="false" ht="15" hidden="false" customHeight="false" outlineLevel="0" collapsed="false">
      <c r="A155" s="327"/>
      <c r="B155" s="327"/>
      <c r="C155" s="410"/>
      <c r="D155" s="410"/>
      <c r="E155" s="410"/>
      <c r="F155" s="411" t="n">
        <f aca="false">$D$15</f>
        <v>3</v>
      </c>
      <c r="G155" s="412" t="n">
        <f aca="false">VLOOKUP(H155,Equipos!$Q$1:$R$25,2,0)</f>
        <v>19</v>
      </c>
      <c r="H155" s="417" t="str">
        <f aca="false">Idiomas!$D$137</f>
        <v>CLASIFICADOS PARA DIECISEISAVOS</v>
      </c>
      <c r="I155" s="410"/>
      <c r="J155" s="418"/>
      <c r="K155" s="367" t="str">
        <f aca="false">Idiomas!$D$198&amp;"-"&amp;ROWS($L$130:L155)</f>
        <v>Dieciseisavofinalista-26</v>
      </c>
      <c r="L155" s="354"/>
      <c r="M155" s="359" t="str">
        <f aca="false">WORLDCUP!AF110</f>
        <v>3BEFIJ</v>
      </c>
      <c r="N155" s="332"/>
      <c r="O155" s="332"/>
      <c r="P155" s="332"/>
      <c r="Q155" s="332"/>
      <c r="R155" s="404"/>
      <c r="S155" s="363" t="s">
        <v>337</v>
      </c>
      <c r="T155" s="356" t="n">
        <f aca="false">COUNTIF($M$130:$M$161,S155)*$D$15</f>
        <v>0</v>
      </c>
      <c r="U155" s="407"/>
      <c r="V155" s="363" t="s">
        <v>348</v>
      </c>
      <c r="W155" s="356" t="n">
        <f aca="false">COUNTIF($M$130:$M$161,V155)*$D$15</f>
        <v>0</v>
      </c>
      <c r="X155" s="407"/>
      <c r="Y155" s="363" t="s">
        <v>335</v>
      </c>
      <c r="Z155" s="356" t="n">
        <f aca="false">COUNTIF($M$130:$M$161,Y155)*$D$15</f>
        <v>0</v>
      </c>
      <c r="AA155" s="407"/>
      <c r="AB155" s="363" t="s">
        <v>335</v>
      </c>
      <c r="AC155" s="356" t="n">
        <f aca="false">COUNTIF($M$130:$M$161,AB155)*$D$15</f>
        <v>0</v>
      </c>
      <c r="AD155" s="407"/>
      <c r="AE155" s="363" t="s">
        <v>335</v>
      </c>
      <c r="AF155" s="356" t="n">
        <f aca="false">COUNTIF($M$130:$M$161,AE155)*$D$15</f>
        <v>0</v>
      </c>
      <c r="AG155" s="407"/>
      <c r="AH155" s="363" t="s">
        <v>335</v>
      </c>
      <c r="AI155" s="356" t="n">
        <f aca="false">COUNTIF($M$130:$M$161,AH155)*$D$15</f>
        <v>0</v>
      </c>
      <c r="AJ155" s="407"/>
      <c r="AK155" s="363" t="s">
        <v>349</v>
      </c>
      <c r="AL155" s="356" t="n">
        <f aca="false">COUNTIF($M$130:$M$161,AK155)*$D$15</f>
        <v>0</v>
      </c>
      <c r="AM155" s="407"/>
      <c r="AN155" s="363" t="s">
        <v>367</v>
      </c>
      <c r="AO155" s="356" t="n">
        <f aca="false">COUNTIF($M$130:$M$161,AN155)*$D$15</f>
        <v>0</v>
      </c>
      <c r="AP155" s="407"/>
      <c r="AQ155" s="363" t="s">
        <v>364</v>
      </c>
      <c r="AR155" s="356" t="n">
        <f aca="false">COUNTIF($M$130:$M$161,AQ155)*$D$15</f>
        <v>0</v>
      </c>
      <c r="AS155" s="407"/>
      <c r="AT155" s="363" t="s">
        <v>337</v>
      </c>
      <c r="AU155" s="356" t="n">
        <f aca="false">COUNTIF($M$130:$M$161,AT155)*$D$15</f>
        <v>0</v>
      </c>
      <c r="AV155" s="407"/>
      <c r="AW155" s="363" t="s">
        <v>336</v>
      </c>
      <c r="AX155" s="356" t="n">
        <f aca="false">COUNTIF($M$130:$M$161,AW155)*$D$15</f>
        <v>0</v>
      </c>
      <c r="AY155" s="407"/>
      <c r="AZ155" s="363" t="s">
        <v>337</v>
      </c>
      <c r="BA155" s="356" t="n">
        <f aca="false">COUNTIF($M$130:$M$161,AZ155)*$D$15</f>
        <v>0</v>
      </c>
      <c r="BB155" s="407"/>
      <c r="BC155" s="363" t="s">
        <v>335</v>
      </c>
      <c r="BD155" s="356" t="n">
        <f aca="false">COUNTIF($M$130:$M$161,BC155)*$D$15</f>
        <v>0</v>
      </c>
      <c r="BE155" s="407"/>
      <c r="BF155" s="363" t="s">
        <v>335</v>
      </c>
      <c r="BG155" s="356" t="n">
        <f aca="false">COUNTIF($M$130:$M$161,BF155)*$D$15</f>
        <v>0</v>
      </c>
      <c r="BH155" s="407"/>
      <c r="BI155" s="363" t="s">
        <v>335</v>
      </c>
      <c r="BJ155" s="356" t="n">
        <f aca="false">COUNTIF($M$130:$M$161,BI155)*$D$15</f>
        <v>0</v>
      </c>
      <c r="BK155" s="407"/>
      <c r="BL155" s="363" t="s">
        <v>349</v>
      </c>
      <c r="BM155" s="356" t="n">
        <f aca="false">COUNTIF($M$130:$M$161,BL155)*$D$15</f>
        <v>0</v>
      </c>
      <c r="BN155" s="407"/>
      <c r="BO155" s="363" t="s">
        <v>337</v>
      </c>
      <c r="BP155" s="356" t="n">
        <f aca="false">COUNTIF($M$130:$M$161,BO155)*$D$15</f>
        <v>0</v>
      </c>
      <c r="BQ155" s="407"/>
      <c r="BR155" s="363" t="s">
        <v>335</v>
      </c>
      <c r="BS155" s="356" t="n">
        <f aca="false">COUNTIF($M$130:$M$161,BR155)*$D$15</f>
        <v>0</v>
      </c>
      <c r="BT155" s="407"/>
      <c r="BU155" s="363"/>
      <c r="BV155" s="356" t="n">
        <f aca="false">COUNTIF($M$130:$M$161,BU155)*$D$15</f>
        <v>0</v>
      </c>
      <c r="BW155" s="407"/>
      <c r="BX155" s="363"/>
      <c r="BY155" s="356" t="n">
        <f aca="false">COUNTIF($M$130:$M$161,BX155)*$D$15</f>
        <v>0</v>
      </c>
      <c r="BZ155" s="407"/>
      <c r="CA155" s="363"/>
      <c r="CB155" s="356" t="n">
        <f aca="false">COUNTIF($M$130:$M$161,CA155)*$D$15</f>
        <v>0</v>
      </c>
      <c r="CC155" s="407"/>
      <c r="CD155" s="363"/>
      <c r="CE155" s="356" t="n">
        <f aca="false">COUNTIF($M$130:$M$161,CD155)*$D$15</f>
        <v>0</v>
      </c>
      <c r="CF155" s="407"/>
      <c r="CG155" s="363"/>
      <c r="CH155" s="356" t="n">
        <f aca="false">COUNTIF($M$130:$M$161,CG155)*$D$15</f>
        <v>0</v>
      </c>
      <c r="CI155" s="407"/>
      <c r="CJ155" s="363"/>
      <c r="CK155" s="356" t="n">
        <f aca="false">COUNTIF($M$130:$M$161,CJ155)*$D$15</f>
        <v>0</v>
      </c>
      <c r="CL155" s="407"/>
      <c r="CM155" s="363"/>
      <c r="CN155" s="356" t="n">
        <f aca="false">COUNTIF($M$130:$M$161,CM155)*$D$15</f>
        <v>0</v>
      </c>
      <c r="CO155" s="407"/>
      <c r="CP155" s="363"/>
      <c r="CQ155" s="356" t="n">
        <f aca="false">COUNTIF($M$130:$M$161,CP155)*$D$15</f>
        <v>0</v>
      </c>
      <c r="CR155" s="407"/>
      <c r="CS155" s="363"/>
      <c r="CT155" s="356" t="n">
        <f aca="false">COUNTIF($M$130:$M$161,CS155)*$D$15</f>
        <v>0</v>
      </c>
      <c r="CU155" s="407"/>
      <c r="CV155" s="363"/>
      <c r="CW155" s="356" t="n">
        <f aca="false">COUNTIF($M$130:$M$161,CV155)*$D$15</f>
        <v>0</v>
      </c>
      <c r="CX155" s="407"/>
      <c r="CY155" s="363"/>
      <c r="CZ155" s="356" t="n">
        <f aca="false">COUNTIF($M$130:$M$161,CY155)*$D$15</f>
        <v>0</v>
      </c>
      <c r="DA155" s="407"/>
      <c r="DB155" s="363"/>
      <c r="DC155" s="356" t="n">
        <f aca="false">COUNTIF($M$130:$M$161,DB155)*$D$15</f>
        <v>0</v>
      </c>
      <c r="DD155" s="407"/>
      <c r="DE155" s="363"/>
      <c r="DF155" s="356" t="n">
        <f aca="false">COUNTIF($M$130:$M$161,DE155)*$D$15</f>
        <v>0</v>
      </c>
      <c r="DG155" s="407"/>
      <c r="DH155" s="363"/>
      <c r="DI155" s="356" t="n">
        <f aca="false">COUNTIF($M$130:$M$161,DH155)*$D$15</f>
        <v>0</v>
      </c>
      <c r="DJ155" s="407"/>
      <c r="DK155" s="363"/>
      <c r="DL155" s="356" t="n">
        <f aca="false">COUNTIF($M$130:$M$161,DK155)*$D$15</f>
        <v>0</v>
      </c>
      <c r="DM155" s="407"/>
      <c r="DN155" s="363"/>
      <c r="DO155" s="356" t="n">
        <f aca="false">COUNTIF($M$130:$M$161,DN155)*$D$15</f>
        <v>0</v>
      </c>
      <c r="DP155" s="407"/>
      <c r="DQ155" s="363"/>
      <c r="DR155" s="356" t="n">
        <f aca="false">COUNTIF($M$130:$M$161,DQ155)*$D$15</f>
        <v>0</v>
      </c>
      <c r="DS155" s="407"/>
      <c r="DT155" s="363"/>
      <c r="DU155" s="356" t="n">
        <f aca="false">COUNTIF($M$130:$M$161,DT155)*$D$15</f>
        <v>0</v>
      </c>
      <c r="DV155" s="407"/>
      <c r="DW155" s="363"/>
      <c r="DX155" s="356" t="n">
        <f aca="false">COUNTIF($M$130:$M$161,DW155)*$D$15</f>
        <v>0</v>
      </c>
      <c r="DY155" s="407"/>
      <c r="DZ155" s="363"/>
      <c r="EA155" s="356" t="n">
        <f aca="false">COUNTIF($M$130:$M$161,DZ155)*$D$15</f>
        <v>0</v>
      </c>
      <c r="EB155" s="407"/>
      <c r="EC155" s="363"/>
      <c r="ED155" s="356" t="n">
        <f aca="false">COUNTIF($M$130:$M$161,EC155)*$D$15</f>
        <v>0</v>
      </c>
      <c r="EE155" s="407"/>
      <c r="EF155" s="363"/>
      <c r="EG155" s="356" t="n">
        <f aca="false">COUNTIF($M$130:$M$161,EF155)*$D$15</f>
        <v>0</v>
      </c>
      <c r="EH155" s="407"/>
      <c r="EI155" s="407"/>
    </row>
    <row r="156" customFormat="false" ht="15" hidden="false" customHeight="false" outlineLevel="0" collapsed="false">
      <c r="A156" s="327"/>
      <c r="B156" s="327"/>
      <c r="C156" s="410"/>
      <c r="D156" s="410"/>
      <c r="E156" s="410"/>
      <c r="F156" s="411" t="n">
        <f aca="false">$D$15</f>
        <v>3</v>
      </c>
      <c r="G156" s="412" t="n">
        <f aca="false">VLOOKUP(H156,Equipos!$Q$1:$R$25,2,0)</f>
        <v>19</v>
      </c>
      <c r="H156" s="417" t="str">
        <f aca="false">Idiomas!$D$137</f>
        <v>CLASIFICADOS PARA DIECISEISAVOS</v>
      </c>
      <c r="I156" s="410"/>
      <c r="J156" s="418"/>
      <c r="K156" s="367" t="str">
        <f aca="false">Idiomas!$D$198&amp;"-"&amp;ROWS($L$130:L156)</f>
        <v>Dieciseisavofinalista-27</v>
      </c>
      <c r="L156" s="354"/>
      <c r="M156" s="359" t="str">
        <f aca="false">WORLDCUP!AF111</f>
        <v>2J</v>
      </c>
      <c r="N156" s="332"/>
      <c r="O156" s="332"/>
      <c r="P156" s="332"/>
      <c r="Q156" s="332"/>
      <c r="R156" s="404"/>
      <c r="S156" s="363" t="s">
        <v>367</v>
      </c>
      <c r="T156" s="356" t="n">
        <f aca="false">COUNTIF($M$130:$M$161,S156)*$D$15</f>
        <v>0</v>
      </c>
      <c r="U156" s="407"/>
      <c r="V156" s="363" t="s">
        <v>367</v>
      </c>
      <c r="W156" s="356" t="n">
        <f aca="false">COUNTIF($M$130:$M$161,V156)*$D$15</f>
        <v>0</v>
      </c>
      <c r="X156" s="407"/>
      <c r="Y156" s="363" t="s">
        <v>367</v>
      </c>
      <c r="Z156" s="356" t="n">
        <f aca="false">COUNTIF($M$130:$M$161,Y156)*$D$15</f>
        <v>0</v>
      </c>
      <c r="AA156" s="407"/>
      <c r="AB156" s="363" t="s">
        <v>367</v>
      </c>
      <c r="AC156" s="356" t="n">
        <f aca="false">COUNTIF($M$130:$M$161,AB156)*$D$15</f>
        <v>0</v>
      </c>
      <c r="AD156" s="407"/>
      <c r="AE156" s="363" t="s">
        <v>368</v>
      </c>
      <c r="AF156" s="356" t="n">
        <f aca="false">COUNTIF($M$130:$M$161,AE156)*$D$15</f>
        <v>0</v>
      </c>
      <c r="AG156" s="407"/>
      <c r="AH156" s="363" t="s">
        <v>367</v>
      </c>
      <c r="AI156" s="356" t="n">
        <f aca="false">COUNTIF($M$130:$M$161,AH156)*$D$15</f>
        <v>0</v>
      </c>
      <c r="AJ156" s="407"/>
      <c r="AK156" s="363" t="s">
        <v>367</v>
      </c>
      <c r="AL156" s="356" t="n">
        <f aca="false">COUNTIF($M$130:$M$161,AK156)*$D$15</f>
        <v>0</v>
      </c>
      <c r="AM156" s="407"/>
      <c r="AN156" s="363" t="s">
        <v>368</v>
      </c>
      <c r="AO156" s="356" t="n">
        <f aca="false">COUNTIF($M$130:$M$161,AN156)*$D$15</f>
        <v>0</v>
      </c>
      <c r="AP156" s="407"/>
      <c r="AQ156" s="363" t="s">
        <v>368</v>
      </c>
      <c r="AR156" s="356" t="n">
        <f aca="false">COUNTIF($M$130:$M$161,AQ156)*$D$15</f>
        <v>0</v>
      </c>
      <c r="AS156" s="407"/>
      <c r="AT156" s="363" t="s">
        <v>367</v>
      </c>
      <c r="AU156" s="356" t="n">
        <f aca="false">COUNTIF($M$130:$M$161,AT156)*$D$15</f>
        <v>0</v>
      </c>
      <c r="AV156" s="407"/>
      <c r="AW156" s="363" t="s">
        <v>368</v>
      </c>
      <c r="AX156" s="356" t="n">
        <f aca="false">COUNTIF($M$130:$M$161,AW156)*$D$15</f>
        <v>0</v>
      </c>
      <c r="AY156" s="407"/>
      <c r="AZ156" s="363" t="s">
        <v>367</v>
      </c>
      <c r="BA156" s="356" t="n">
        <f aca="false">COUNTIF($M$130:$M$161,AZ156)*$D$15</f>
        <v>0</v>
      </c>
      <c r="BB156" s="407"/>
      <c r="BC156" s="363" t="s">
        <v>367</v>
      </c>
      <c r="BD156" s="356" t="n">
        <f aca="false">COUNTIF($M$130:$M$161,BC156)*$D$15</f>
        <v>0</v>
      </c>
      <c r="BE156" s="407"/>
      <c r="BF156" s="363" t="s">
        <v>367</v>
      </c>
      <c r="BG156" s="356" t="n">
        <f aca="false">COUNTIF($M$130:$M$161,BF156)*$D$15</f>
        <v>0</v>
      </c>
      <c r="BH156" s="407"/>
      <c r="BI156" s="363" t="s">
        <v>367</v>
      </c>
      <c r="BJ156" s="356" t="n">
        <f aca="false">COUNTIF($M$130:$M$161,BI156)*$D$15</f>
        <v>0</v>
      </c>
      <c r="BK156" s="407"/>
      <c r="BL156" s="363" t="s">
        <v>367</v>
      </c>
      <c r="BM156" s="356" t="n">
        <f aca="false">COUNTIF($M$130:$M$161,BL156)*$D$15</f>
        <v>0</v>
      </c>
      <c r="BN156" s="407"/>
      <c r="BO156" s="363" t="s">
        <v>367</v>
      </c>
      <c r="BP156" s="356" t="n">
        <f aca="false">COUNTIF($M$130:$M$161,BO156)*$D$15</f>
        <v>0</v>
      </c>
      <c r="BQ156" s="407"/>
      <c r="BR156" s="363" t="s">
        <v>367</v>
      </c>
      <c r="BS156" s="356" t="n">
        <f aca="false">COUNTIF($M$130:$M$161,BR156)*$D$15</f>
        <v>0</v>
      </c>
      <c r="BT156" s="407"/>
      <c r="BU156" s="363"/>
      <c r="BV156" s="356" t="n">
        <f aca="false">COUNTIF($M$130:$M$161,BU156)*$D$15</f>
        <v>0</v>
      </c>
      <c r="BW156" s="407"/>
      <c r="BX156" s="363"/>
      <c r="BY156" s="356" t="n">
        <f aca="false">COUNTIF($M$130:$M$161,BX156)*$D$15</f>
        <v>0</v>
      </c>
      <c r="BZ156" s="407"/>
      <c r="CA156" s="363"/>
      <c r="CB156" s="356" t="n">
        <f aca="false">COUNTIF($M$130:$M$161,CA156)*$D$15</f>
        <v>0</v>
      </c>
      <c r="CC156" s="407"/>
      <c r="CD156" s="363"/>
      <c r="CE156" s="356" t="n">
        <f aca="false">COUNTIF($M$130:$M$161,CD156)*$D$15</f>
        <v>0</v>
      </c>
      <c r="CF156" s="407"/>
      <c r="CG156" s="363"/>
      <c r="CH156" s="356" t="n">
        <f aca="false">COUNTIF($M$130:$M$161,CG156)*$D$15</f>
        <v>0</v>
      </c>
      <c r="CI156" s="407"/>
      <c r="CJ156" s="363"/>
      <c r="CK156" s="356" t="n">
        <f aca="false">COUNTIF($M$130:$M$161,CJ156)*$D$15</f>
        <v>0</v>
      </c>
      <c r="CL156" s="407"/>
      <c r="CM156" s="363"/>
      <c r="CN156" s="356" t="n">
        <f aca="false">COUNTIF($M$130:$M$161,CM156)*$D$15</f>
        <v>0</v>
      </c>
      <c r="CO156" s="407"/>
      <c r="CP156" s="363"/>
      <c r="CQ156" s="356" t="n">
        <f aca="false">COUNTIF($M$130:$M$161,CP156)*$D$15</f>
        <v>0</v>
      </c>
      <c r="CR156" s="407"/>
      <c r="CS156" s="363"/>
      <c r="CT156" s="356" t="n">
        <f aca="false">COUNTIF($M$130:$M$161,CS156)*$D$15</f>
        <v>0</v>
      </c>
      <c r="CU156" s="407"/>
      <c r="CV156" s="363"/>
      <c r="CW156" s="356" t="n">
        <f aca="false">COUNTIF($M$130:$M$161,CV156)*$D$15</f>
        <v>0</v>
      </c>
      <c r="CX156" s="407"/>
      <c r="CY156" s="363"/>
      <c r="CZ156" s="356" t="n">
        <f aca="false">COUNTIF($M$130:$M$161,CY156)*$D$15</f>
        <v>0</v>
      </c>
      <c r="DA156" s="407"/>
      <c r="DB156" s="363"/>
      <c r="DC156" s="356" t="n">
        <f aca="false">COUNTIF($M$130:$M$161,DB156)*$D$15</f>
        <v>0</v>
      </c>
      <c r="DD156" s="407"/>
      <c r="DE156" s="363"/>
      <c r="DF156" s="356" t="n">
        <f aca="false">COUNTIF($M$130:$M$161,DE156)*$D$15</f>
        <v>0</v>
      </c>
      <c r="DG156" s="407"/>
      <c r="DH156" s="363"/>
      <c r="DI156" s="356" t="n">
        <f aca="false">COUNTIF($M$130:$M$161,DH156)*$D$15</f>
        <v>0</v>
      </c>
      <c r="DJ156" s="407"/>
      <c r="DK156" s="363"/>
      <c r="DL156" s="356" t="n">
        <f aca="false">COUNTIF($M$130:$M$161,DK156)*$D$15</f>
        <v>0</v>
      </c>
      <c r="DM156" s="407"/>
      <c r="DN156" s="363"/>
      <c r="DO156" s="356" t="n">
        <f aca="false">COUNTIF($M$130:$M$161,DN156)*$D$15</f>
        <v>0</v>
      </c>
      <c r="DP156" s="407"/>
      <c r="DQ156" s="363"/>
      <c r="DR156" s="356" t="n">
        <f aca="false">COUNTIF($M$130:$M$161,DQ156)*$D$15</f>
        <v>0</v>
      </c>
      <c r="DS156" s="407"/>
      <c r="DT156" s="363"/>
      <c r="DU156" s="356" t="n">
        <f aca="false">COUNTIF($M$130:$M$161,DT156)*$D$15</f>
        <v>0</v>
      </c>
      <c r="DV156" s="407"/>
      <c r="DW156" s="363"/>
      <c r="DX156" s="356" t="n">
        <f aca="false">COUNTIF($M$130:$M$161,DW156)*$D$15</f>
        <v>0</v>
      </c>
      <c r="DY156" s="407"/>
      <c r="DZ156" s="363"/>
      <c r="EA156" s="356" t="n">
        <f aca="false">COUNTIF($M$130:$M$161,DZ156)*$D$15</f>
        <v>0</v>
      </c>
      <c r="EB156" s="407"/>
      <c r="EC156" s="363"/>
      <c r="ED156" s="356" t="n">
        <f aca="false">COUNTIF($M$130:$M$161,EC156)*$D$15</f>
        <v>0</v>
      </c>
      <c r="EE156" s="407"/>
      <c r="EF156" s="363"/>
      <c r="EG156" s="356" t="n">
        <f aca="false">COUNTIF($M$130:$M$161,EF156)*$D$15</f>
        <v>0</v>
      </c>
      <c r="EH156" s="407"/>
      <c r="EI156" s="407"/>
    </row>
    <row r="157" customFormat="false" ht="15" hidden="false" customHeight="false" outlineLevel="0" collapsed="false">
      <c r="A157" s="327"/>
      <c r="B157" s="327"/>
      <c r="C157" s="410"/>
      <c r="D157" s="410"/>
      <c r="E157" s="410"/>
      <c r="F157" s="411" t="n">
        <f aca="false">$D$15</f>
        <v>3</v>
      </c>
      <c r="G157" s="412" t="n">
        <f aca="false">VLOOKUP(H157,Equipos!$Q$1:$R$25,2,0)</f>
        <v>19</v>
      </c>
      <c r="H157" s="417" t="str">
        <f aca="false">Idiomas!$D$137</f>
        <v>CLASIFICADOS PARA DIECISEISAVOS</v>
      </c>
      <c r="I157" s="410"/>
      <c r="J157" s="418"/>
      <c r="K157" s="367" t="str">
        <f aca="false">Idiomas!$D$198&amp;"-"&amp;ROWS($L$130:L157)</f>
        <v>Dieciseisavofinalista-28</v>
      </c>
      <c r="L157" s="354"/>
      <c r="M157" s="359" t="str">
        <f aca="false">WORLDCUP!AF112</f>
        <v>2L</v>
      </c>
      <c r="N157" s="332"/>
      <c r="O157" s="332"/>
      <c r="P157" s="332"/>
      <c r="Q157" s="332"/>
      <c r="R157" s="404"/>
      <c r="S157" s="363" t="s">
        <v>375</v>
      </c>
      <c r="T157" s="356" t="n">
        <f aca="false">COUNTIF($M$130:$M$161,S157)*$D$15</f>
        <v>0</v>
      </c>
      <c r="U157" s="407"/>
      <c r="V157" s="363" t="s">
        <v>375</v>
      </c>
      <c r="W157" s="356" t="n">
        <f aca="false">COUNTIF($M$130:$M$161,V157)*$D$15</f>
        <v>0</v>
      </c>
      <c r="X157" s="407"/>
      <c r="Y157" s="363" t="s">
        <v>375</v>
      </c>
      <c r="Z157" s="356" t="n">
        <f aca="false">COUNTIF($M$130:$M$161,Y157)*$D$15</f>
        <v>0</v>
      </c>
      <c r="AA157" s="407"/>
      <c r="AB157" s="363" t="s">
        <v>374</v>
      </c>
      <c r="AC157" s="356" t="n">
        <f aca="false">COUNTIF($M$130:$M$161,AB157)*$D$15</f>
        <v>0</v>
      </c>
      <c r="AD157" s="407"/>
      <c r="AE157" s="363" t="s">
        <v>375</v>
      </c>
      <c r="AF157" s="356" t="n">
        <f aca="false">COUNTIF($M$130:$M$161,AE157)*$D$15</f>
        <v>0</v>
      </c>
      <c r="AG157" s="407"/>
      <c r="AH157" s="363" t="s">
        <v>375</v>
      </c>
      <c r="AI157" s="356" t="n">
        <f aca="false">COUNTIF($M$130:$M$161,AH157)*$D$15</f>
        <v>0</v>
      </c>
      <c r="AJ157" s="407"/>
      <c r="AK157" s="363" t="s">
        <v>375</v>
      </c>
      <c r="AL157" s="356" t="n">
        <f aca="false">COUNTIF($M$130:$M$161,AK157)*$D$15</f>
        <v>0</v>
      </c>
      <c r="AM157" s="407"/>
      <c r="AN157" s="363" t="s">
        <v>375</v>
      </c>
      <c r="AO157" s="356" t="n">
        <f aca="false">COUNTIF($M$130:$M$161,AN157)*$D$15</f>
        <v>0</v>
      </c>
      <c r="AP157" s="407"/>
      <c r="AQ157" s="363" t="s">
        <v>375</v>
      </c>
      <c r="AR157" s="356" t="n">
        <f aca="false">COUNTIF($M$130:$M$161,AQ157)*$D$15</f>
        <v>0</v>
      </c>
      <c r="AS157" s="407"/>
      <c r="AT157" s="363" t="s">
        <v>375</v>
      </c>
      <c r="AU157" s="356" t="n">
        <f aca="false">COUNTIF($M$130:$M$161,AT157)*$D$15</f>
        <v>0</v>
      </c>
      <c r="AV157" s="407"/>
      <c r="AW157" s="363" t="s">
        <v>375</v>
      </c>
      <c r="AX157" s="356" t="n">
        <f aca="false">COUNTIF($M$130:$M$161,AW157)*$D$15</f>
        <v>0</v>
      </c>
      <c r="AY157" s="407"/>
      <c r="AZ157" s="363" t="s">
        <v>375</v>
      </c>
      <c r="BA157" s="356" t="n">
        <f aca="false">COUNTIF($M$130:$M$161,AZ157)*$D$15</f>
        <v>0</v>
      </c>
      <c r="BB157" s="407"/>
      <c r="BC157" s="363" t="s">
        <v>374</v>
      </c>
      <c r="BD157" s="356" t="n">
        <f aca="false">COUNTIF($M$130:$M$161,BC157)*$D$15</f>
        <v>0</v>
      </c>
      <c r="BE157" s="407"/>
      <c r="BF157" s="363" t="s">
        <v>377</v>
      </c>
      <c r="BG157" s="356" t="n">
        <f aca="false">COUNTIF($M$130:$M$161,BF157)*$D$15</f>
        <v>0</v>
      </c>
      <c r="BH157" s="407"/>
      <c r="BI157" s="363" t="s">
        <v>375</v>
      </c>
      <c r="BJ157" s="356" t="n">
        <f aca="false">COUNTIF($M$130:$M$161,BI157)*$D$15</f>
        <v>0</v>
      </c>
      <c r="BK157" s="407"/>
      <c r="BL157" s="363" t="s">
        <v>375</v>
      </c>
      <c r="BM157" s="356" t="n">
        <f aca="false">COUNTIF($M$130:$M$161,BL157)*$D$15</f>
        <v>0</v>
      </c>
      <c r="BN157" s="407"/>
      <c r="BO157" s="363" t="s">
        <v>376</v>
      </c>
      <c r="BP157" s="356" t="n">
        <f aca="false">COUNTIF($M$130:$M$161,BO157)*$D$15</f>
        <v>0</v>
      </c>
      <c r="BQ157" s="407"/>
      <c r="BR157" s="363" t="s">
        <v>375</v>
      </c>
      <c r="BS157" s="356" t="n">
        <f aca="false">COUNTIF($M$130:$M$161,BR157)*$D$15</f>
        <v>0</v>
      </c>
      <c r="BT157" s="407"/>
      <c r="BU157" s="363"/>
      <c r="BV157" s="356" t="n">
        <f aca="false">COUNTIF($M$130:$M$161,BU157)*$D$15</f>
        <v>0</v>
      </c>
      <c r="BW157" s="407"/>
      <c r="BX157" s="363"/>
      <c r="BY157" s="356" t="n">
        <f aca="false">COUNTIF($M$130:$M$161,BX157)*$D$15</f>
        <v>0</v>
      </c>
      <c r="BZ157" s="407"/>
      <c r="CA157" s="363"/>
      <c r="CB157" s="356" t="n">
        <f aca="false">COUNTIF($M$130:$M$161,CA157)*$D$15</f>
        <v>0</v>
      </c>
      <c r="CC157" s="407"/>
      <c r="CD157" s="363"/>
      <c r="CE157" s="356" t="n">
        <f aca="false">COUNTIF($M$130:$M$161,CD157)*$D$15</f>
        <v>0</v>
      </c>
      <c r="CF157" s="407"/>
      <c r="CG157" s="363"/>
      <c r="CH157" s="356" t="n">
        <f aca="false">COUNTIF($M$130:$M$161,CG157)*$D$15</f>
        <v>0</v>
      </c>
      <c r="CI157" s="407"/>
      <c r="CJ157" s="363"/>
      <c r="CK157" s="356" t="n">
        <f aca="false">COUNTIF($M$130:$M$161,CJ157)*$D$15</f>
        <v>0</v>
      </c>
      <c r="CL157" s="407"/>
      <c r="CM157" s="363"/>
      <c r="CN157" s="356" t="n">
        <f aca="false">COUNTIF($M$130:$M$161,CM157)*$D$15</f>
        <v>0</v>
      </c>
      <c r="CO157" s="407"/>
      <c r="CP157" s="363"/>
      <c r="CQ157" s="356" t="n">
        <f aca="false">COUNTIF($M$130:$M$161,CP157)*$D$15</f>
        <v>0</v>
      </c>
      <c r="CR157" s="407"/>
      <c r="CS157" s="363"/>
      <c r="CT157" s="356" t="n">
        <f aca="false">COUNTIF($M$130:$M$161,CS157)*$D$15</f>
        <v>0</v>
      </c>
      <c r="CU157" s="407"/>
      <c r="CV157" s="363"/>
      <c r="CW157" s="356" t="n">
        <f aca="false">COUNTIF($M$130:$M$161,CV157)*$D$15</f>
        <v>0</v>
      </c>
      <c r="CX157" s="407"/>
      <c r="CY157" s="363"/>
      <c r="CZ157" s="356" t="n">
        <f aca="false">COUNTIF($M$130:$M$161,CY157)*$D$15</f>
        <v>0</v>
      </c>
      <c r="DA157" s="407"/>
      <c r="DB157" s="363"/>
      <c r="DC157" s="356" t="n">
        <f aca="false">COUNTIF($M$130:$M$161,DB157)*$D$15</f>
        <v>0</v>
      </c>
      <c r="DD157" s="407"/>
      <c r="DE157" s="363"/>
      <c r="DF157" s="356" t="n">
        <f aca="false">COUNTIF($M$130:$M$161,DE157)*$D$15</f>
        <v>0</v>
      </c>
      <c r="DG157" s="407"/>
      <c r="DH157" s="363"/>
      <c r="DI157" s="356" t="n">
        <f aca="false">COUNTIF($M$130:$M$161,DH157)*$D$15</f>
        <v>0</v>
      </c>
      <c r="DJ157" s="407"/>
      <c r="DK157" s="363"/>
      <c r="DL157" s="356" t="n">
        <f aca="false">COUNTIF($M$130:$M$161,DK157)*$D$15</f>
        <v>0</v>
      </c>
      <c r="DM157" s="407"/>
      <c r="DN157" s="363"/>
      <c r="DO157" s="356" t="n">
        <f aca="false">COUNTIF($M$130:$M$161,DN157)*$D$15</f>
        <v>0</v>
      </c>
      <c r="DP157" s="407"/>
      <c r="DQ157" s="363"/>
      <c r="DR157" s="356" t="n">
        <f aca="false">COUNTIF($M$130:$M$161,DQ157)*$D$15</f>
        <v>0</v>
      </c>
      <c r="DS157" s="407"/>
      <c r="DT157" s="363"/>
      <c r="DU157" s="356" t="n">
        <f aca="false">COUNTIF($M$130:$M$161,DT157)*$D$15</f>
        <v>0</v>
      </c>
      <c r="DV157" s="407"/>
      <c r="DW157" s="363"/>
      <c r="DX157" s="356" t="n">
        <f aca="false">COUNTIF($M$130:$M$161,DW157)*$D$15</f>
        <v>0</v>
      </c>
      <c r="DY157" s="407"/>
      <c r="DZ157" s="363"/>
      <c r="EA157" s="356" t="n">
        <f aca="false">COUNTIF($M$130:$M$161,DZ157)*$D$15</f>
        <v>0</v>
      </c>
      <c r="EB157" s="407"/>
      <c r="EC157" s="363"/>
      <c r="ED157" s="356" t="n">
        <f aca="false">COUNTIF($M$130:$M$161,EC157)*$D$15</f>
        <v>0</v>
      </c>
      <c r="EE157" s="407"/>
      <c r="EF157" s="363"/>
      <c r="EG157" s="356" t="n">
        <f aca="false">COUNTIF($M$130:$M$161,EF157)*$D$15</f>
        <v>0</v>
      </c>
      <c r="EH157" s="407"/>
      <c r="EI157" s="407"/>
    </row>
    <row r="158" customFormat="false" ht="15" hidden="false" customHeight="false" outlineLevel="0" collapsed="false">
      <c r="A158" s="327"/>
      <c r="B158" s="327"/>
      <c r="C158" s="410"/>
      <c r="D158" s="410"/>
      <c r="E158" s="410"/>
      <c r="F158" s="411" t="n">
        <f aca="false">$D$15</f>
        <v>3</v>
      </c>
      <c r="G158" s="412" t="n">
        <f aca="false">VLOOKUP(H158,Equipos!$Q$1:$R$25,2,0)</f>
        <v>19</v>
      </c>
      <c r="H158" s="417" t="str">
        <f aca="false">Idiomas!$D$137</f>
        <v>CLASIFICADOS PARA DIECISEISAVOS</v>
      </c>
      <c r="I158" s="410"/>
      <c r="J158" s="418"/>
      <c r="K158" s="367" t="str">
        <f aca="false">Idiomas!$D$198&amp;"-"&amp;ROWS($L$130:L158)</f>
        <v>Dieciseisavofinalista-29</v>
      </c>
      <c r="L158" s="354"/>
      <c r="M158" s="359" t="str">
        <f aca="false">WORLDCUP!AF113</f>
        <v>3EFGIJ</v>
      </c>
      <c r="N158" s="332"/>
      <c r="O158" s="332"/>
      <c r="P158" s="332"/>
      <c r="Q158" s="332"/>
      <c r="R158" s="404"/>
      <c r="S158" s="363" t="s">
        <v>368</v>
      </c>
      <c r="T158" s="356" t="n">
        <f aca="false">COUNTIF($M$130:$M$161,S158)*$D$15</f>
        <v>0</v>
      </c>
      <c r="U158" s="407"/>
      <c r="V158" s="363" t="s">
        <v>357</v>
      </c>
      <c r="W158" s="356" t="n">
        <f aca="false">COUNTIF($M$130:$M$161,V158)*$D$15</f>
        <v>0</v>
      </c>
      <c r="X158" s="407"/>
      <c r="Y158" s="363" t="s">
        <v>368</v>
      </c>
      <c r="Z158" s="356" t="n">
        <f aca="false">COUNTIF($M$130:$M$161,Y158)*$D$15</f>
        <v>0</v>
      </c>
      <c r="AA158" s="407"/>
      <c r="AB158" s="363" t="s">
        <v>356</v>
      </c>
      <c r="AC158" s="356" t="n">
        <f aca="false">COUNTIF($M$130:$M$161,AB158)*$D$15</f>
        <v>0</v>
      </c>
      <c r="AD158" s="407"/>
      <c r="AE158" s="363" t="s">
        <v>367</v>
      </c>
      <c r="AF158" s="356" t="n">
        <f aca="false">COUNTIF($M$130:$M$161,AE158)*$D$15</f>
        <v>0</v>
      </c>
      <c r="AG158" s="407"/>
      <c r="AH158" s="363" t="s">
        <v>363</v>
      </c>
      <c r="AI158" s="356" t="n">
        <f aca="false">COUNTIF($M$130:$M$161,AH158)*$D$15</f>
        <v>0</v>
      </c>
      <c r="AJ158" s="407"/>
      <c r="AK158" s="363" t="s">
        <v>356</v>
      </c>
      <c r="AL158" s="356" t="n">
        <f aca="false">COUNTIF($M$130:$M$161,AK158)*$D$15</f>
        <v>0</v>
      </c>
      <c r="AM158" s="407"/>
      <c r="AN158" s="363" t="s">
        <v>357</v>
      </c>
      <c r="AO158" s="356" t="n">
        <f aca="false">COUNTIF($M$130:$M$161,AN158)*$D$15</f>
        <v>0</v>
      </c>
      <c r="AP158" s="407"/>
      <c r="AQ158" s="363" t="s">
        <v>366</v>
      </c>
      <c r="AR158" s="356" t="n">
        <f aca="false">COUNTIF($M$130:$M$161,AQ158)*$D$15</f>
        <v>0</v>
      </c>
      <c r="AS158" s="407"/>
      <c r="AT158" s="363" t="s">
        <v>358</v>
      </c>
      <c r="AU158" s="356" t="n">
        <f aca="false">COUNTIF($M$130:$M$161,AT158)*$D$15</f>
        <v>0</v>
      </c>
      <c r="AV158" s="407"/>
      <c r="AW158" s="363" t="s">
        <v>367</v>
      </c>
      <c r="AX158" s="356" t="n">
        <f aca="false">COUNTIF($M$130:$M$161,AW158)*$D$15</f>
        <v>0</v>
      </c>
      <c r="AY158" s="407"/>
      <c r="AZ158" s="363" t="s">
        <v>357</v>
      </c>
      <c r="BA158" s="356" t="n">
        <f aca="false">COUNTIF($M$130:$M$161,AZ158)*$D$15</f>
        <v>0</v>
      </c>
      <c r="BB158" s="407"/>
      <c r="BC158" s="363" t="s">
        <v>368</v>
      </c>
      <c r="BD158" s="356" t="n">
        <f aca="false">COUNTIF($M$130:$M$161,BC158)*$D$15</f>
        <v>0</v>
      </c>
      <c r="BE158" s="407"/>
      <c r="BF158" s="363" t="s">
        <v>357</v>
      </c>
      <c r="BG158" s="356" t="n">
        <f aca="false">COUNTIF($M$130:$M$161,BF158)*$D$15</f>
        <v>0</v>
      </c>
      <c r="BH158" s="407"/>
      <c r="BI158" s="363" t="s">
        <v>368</v>
      </c>
      <c r="BJ158" s="356" t="n">
        <f aca="false">COUNTIF($M$130:$M$161,BI158)*$D$15</f>
        <v>0</v>
      </c>
      <c r="BK158" s="407"/>
      <c r="BL158" s="363" t="s">
        <v>368</v>
      </c>
      <c r="BM158" s="356" t="n">
        <f aca="false">COUNTIF($M$130:$M$161,BL158)*$D$15</f>
        <v>0</v>
      </c>
      <c r="BN158" s="407"/>
      <c r="BO158" s="363" t="s">
        <v>368</v>
      </c>
      <c r="BP158" s="356" t="n">
        <f aca="false">COUNTIF($M$130:$M$161,BO158)*$D$15</f>
        <v>0</v>
      </c>
      <c r="BQ158" s="407"/>
      <c r="BR158" s="363" t="s">
        <v>356</v>
      </c>
      <c r="BS158" s="356" t="n">
        <f aca="false">COUNTIF($M$130:$M$161,BR158)*$D$15</f>
        <v>0</v>
      </c>
      <c r="BT158" s="407"/>
      <c r="BU158" s="363"/>
      <c r="BV158" s="356" t="n">
        <f aca="false">COUNTIF($M$130:$M$161,BU158)*$D$15</f>
        <v>0</v>
      </c>
      <c r="BW158" s="407"/>
      <c r="BX158" s="363"/>
      <c r="BY158" s="356" t="n">
        <f aca="false">COUNTIF($M$130:$M$161,BX158)*$D$15</f>
        <v>0</v>
      </c>
      <c r="BZ158" s="407"/>
      <c r="CA158" s="363"/>
      <c r="CB158" s="356" t="n">
        <f aca="false">COUNTIF($M$130:$M$161,CA158)*$D$15</f>
        <v>0</v>
      </c>
      <c r="CC158" s="407"/>
      <c r="CD158" s="363"/>
      <c r="CE158" s="356" t="n">
        <f aca="false">COUNTIF($M$130:$M$161,CD158)*$D$15</f>
        <v>0</v>
      </c>
      <c r="CF158" s="407"/>
      <c r="CG158" s="363"/>
      <c r="CH158" s="356" t="n">
        <f aca="false">COUNTIF($M$130:$M$161,CG158)*$D$15</f>
        <v>0</v>
      </c>
      <c r="CI158" s="407"/>
      <c r="CJ158" s="363"/>
      <c r="CK158" s="356" t="n">
        <f aca="false">COUNTIF($M$130:$M$161,CJ158)*$D$15</f>
        <v>0</v>
      </c>
      <c r="CL158" s="407"/>
      <c r="CM158" s="363"/>
      <c r="CN158" s="356" t="n">
        <f aca="false">COUNTIF($M$130:$M$161,CM158)*$D$15</f>
        <v>0</v>
      </c>
      <c r="CO158" s="407"/>
      <c r="CP158" s="363"/>
      <c r="CQ158" s="356" t="n">
        <f aca="false">COUNTIF($M$130:$M$161,CP158)*$D$15</f>
        <v>0</v>
      </c>
      <c r="CR158" s="407"/>
      <c r="CS158" s="363"/>
      <c r="CT158" s="356" t="n">
        <f aca="false">COUNTIF($M$130:$M$161,CS158)*$D$15</f>
        <v>0</v>
      </c>
      <c r="CU158" s="407"/>
      <c r="CV158" s="363"/>
      <c r="CW158" s="356" t="n">
        <f aca="false">COUNTIF($M$130:$M$161,CV158)*$D$15</f>
        <v>0</v>
      </c>
      <c r="CX158" s="407"/>
      <c r="CY158" s="363"/>
      <c r="CZ158" s="356" t="n">
        <f aca="false">COUNTIF($M$130:$M$161,CY158)*$D$15</f>
        <v>0</v>
      </c>
      <c r="DA158" s="407"/>
      <c r="DB158" s="363"/>
      <c r="DC158" s="356" t="n">
        <f aca="false">COUNTIF($M$130:$M$161,DB158)*$D$15</f>
        <v>0</v>
      </c>
      <c r="DD158" s="407"/>
      <c r="DE158" s="363"/>
      <c r="DF158" s="356" t="n">
        <f aca="false">COUNTIF($M$130:$M$161,DE158)*$D$15</f>
        <v>0</v>
      </c>
      <c r="DG158" s="407"/>
      <c r="DH158" s="363"/>
      <c r="DI158" s="356" t="n">
        <f aca="false">COUNTIF($M$130:$M$161,DH158)*$D$15</f>
        <v>0</v>
      </c>
      <c r="DJ158" s="407"/>
      <c r="DK158" s="363"/>
      <c r="DL158" s="356" t="n">
        <f aca="false">COUNTIF($M$130:$M$161,DK158)*$D$15</f>
        <v>0</v>
      </c>
      <c r="DM158" s="407"/>
      <c r="DN158" s="363"/>
      <c r="DO158" s="356" t="n">
        <f aca="false">COUNTIF($M$130:$M$161,DN158)*$D$15</f>
        <v>0</v>
      </c>
      <c r="DP158" s="407"/>
      <c r="DQ158" s="363"/>
      <c r="DR158" s="356" t="n">
        <f aca="false">COUNTIF($M$130:$M$161,DQ158)*$D$15</f>
        <v>0</v>
      </c>
      <c r="DS158" s="407"/>
      <c r="DT158" s="363"/>
      <c r="DU158" s="356" t="n">
        <f aca="false">COUNTIF($M$130:$M$161,DT158)*$D$15</f>
        <v>0</v>
      </c>
      <c r="DV158" s="407"/>
      <c r="DW158" s="363"/>
      <c r="DX158" s="356" t="n">
        <f aca="false">COUNTIF($M$130:$M$161,DW158)*$D$15</f>
        <v>0</v>
      </c>
      <c r="DY158" s="407"/>
      <c r="DZ158" s="363"/>
      <c r="EA158" s="356" t="n">
        <f aca="false">COUNTIF($M$130:$M$161,DZ158)*$D$15</f>
        <v>0</v>
      </c>
      <c r="EB158" s="407"/>
      <c r="EC158" s="363"/>
      <c r="ED158" s="356" t="n">
        <f aca="false">COUNTIF($M$130:$M$161,EC158)*$D$15</f>
        <v>0</v>
      </c>
      <c r="EE158" s="407"/>
      <c r="EF158" s="363"/>
      <c r="EG158" s="356" t="n">
        <f aca="false">COUNTIF($M$130:$M$161,EF158)*$D$15</f>
        <v>0</v>
      </c>
      <c r="EH158" s="407"/>
      <c r="EI158" s="407"/>
    </row>
    <row r="159" customFormat="false" ht="15" hidden="false" customHeight="false" outlineLevel="0" collapsed="false">
      <c r="A159" s="327"/>
      <c r="B159" s="327"/>
      <c r="C159" s="410"/>
      <c r="D159" s="410"/>
      <c r="E159" s="410"/>
      <c r="F159" s="411" t="n">
        <f aca="false">$D$15</f>
        <v>3</v>
      </c>
      <c r="G159" s="412" t="n">
        <f aca="false">VLOOKUP(H159,Equipos!$Q$1:$R$25,2,0)</f>
        <v>19</v>
      </c>
      <c r="H159" s="417" t="str">
        <f aca="false">Idiomas!$D$137</f>
        <v>CLASIFICADOS PARA DIECISEISAVOS</v>
      </c>
      <c r="I159" s="410"/>
      <c r="J159" s="418"/>
      <c r="K159" s="367" t="str">
        <f aca="false">Idiomas!$D$198&amp;"-"&amp;ROWS($L$130:L159)</f>
        <v>Dieciseisavofinalista-30</v>
      </c>
      <c r="L159" s="354"/>
      <c r="M159" s="359" t="str">
        <f aca="false">WORLDCUP!AF114</f>
        <v>2G</v>
      </c>
      <c r="N159" s="332"/>
      <c r="O159" s="332"/>
      <c r="P159" s="332"/>
      <c r="Q159" s="332"/>
      <c r="R159" s="404"/>
      <c r="S159" s="363" t="s">
        <v>356</v>
      </c>
      <c r="T159" s="356" t="n">
        <f aca="false">COUNTIF($M$130:$M$161,S159)*$D$15</f>
        <v>0</v>
      </c>
      <c r="U159" s="407"/>
      <c r="V159" s="363" t="s">
        <v>356</v>
      </c>
      <c r="W159" s="356" t="n">
        <f aca="false">COUNTIF($M$130:$M$161,V159)*$D$15</f>
        <v>0</v>
      </c>
      <c r="X159" s="407"/>
      <c r="Y159" s="363" t="s">
        <v>356</v>
      </c>
      <c r="Z159" s="356" t="n">
        <f aca="false">COUNTIF($M$130:$M$161,Y159)*$D$15</f>
        <v>0</v>
      </c>
      <c r="AA159" s="407"/>
      <c r="AB159" s="363" t="s">
        <v>357</v>
      </c>
      <c r="AC159" s="356" t="n">
        <f aca="false">COUNTIF($M$130:$M$161,AB159)*$D$15</f>
        <v>0</v>
      </c>
      <c r="AD159" s="407"/>
      <c r="AE159" s="363" t="s">
        <v>356</v>
      </c>
      <c r="AF159" s="356" t="n">
        <f aca="false">COUNTIF($M$130:$M$161,AE159)*$D$15</f>
        <v>0</v>
      </c>
      <c r="AG159" s="407"/>
      <c r="AH159" s="363" t="s">
        <v>356</v>
      </c>
      <c r="AI159" s="356" t="n">
        <f aca="false">COUNTIF($M$130:$M$161,AH159)*$D$15</f>
        <v>0</v>
      </c>
      <c r="AJ159" s="407"/>
      <c r="AK159" s="363" t="s">
        <v>357</v>
      </c>
      <c r="AL159" s="356" t="n">
        <f aca="false">COUNTIF($M$130:$M$161,AK159)*$D$15</f>
        <v>0</v>
      </c>
      <c r="AM159" s="407"/>
      <c r="AN159" s="363" t="s">
        <v>356</v>
      </c>
      <c r="AO159" s="356" t="n">
        <f aca="false">COUNTIF($M$130:$M$161,AN159)*$D$15</f>
        <v>0</v>
      </c>
      <c r="AP159" s="407"/>
      <c r="AQ159" s="363" t="s">
        <v>356</v>
      </c>
      <c r="AR159" s="356" t="n">
        <f aca="false">COUNTIF($M$130:$M$161,AQ159)*$D$15</f>
        <v>0</v>
      </c>
      <c r="AS159" s="407"/>
      <c r="AT159" s="363" t="s">
        <v>356</v>
      </c>
      <c r="AU159" s="356" t="n">
        <f aca="false">COUNTIF($M$130:$M$161,AT159)*$D$15</f>
        <v>0</v>
      </c>
      <c r="AV159" s="407"/>
      <c r="AW159" s="363" t="s">
        <v>356</v>
      </c>
      <c r="AX159" s="356" t="n">
        <f aca="false">COUNTIF($M$130:$M$161,AW159)*$D$15</f>
        <v>0</v>
      </c>
      <c r="AY159" s="407"/>
      <c r="AZ159" s="363" t="s">
        <v>356</v>
      </c>
      <c r="BA159" s="356" t="n">
        <f aca="false">COUNTIF($M$130:$M$161,AZ159)*$D$15</f>
        <v>0</v>
      </c>
      <c r="BB159" s="407"/>
      <c r="BC159" s="363" t="s">
        <v>356</v>
      </c>
      <c r="BD159" s="356" t="n">
        <f aca="false">COUNTIF($M$130:$M$161,BC159)*$D$15</f>
        <v>0</v>
      </c>
      <c r="BE159" s="407"/>
      <c r="BF159" s="363" t="s">
        <v>356</v>
      </c>
      <c r="BG159" s="356" t="n">
        <f aca="false">COUNTIF($M$130:$M$161,BF159)*$D$15</f>
        <v>0</v>
      </c>
      <c r="BH159" s="407"/>
      <c r="BI159" s="363" t="s">
        <v>356</v>
      </c>
      <c r="BJ159" s="356" t="n">
        <f aca="false">COUNTIF($M$130:$M$161,BI159)*$D$15</f>
        <v>0</v>
      </c>
      <c r="BK159" s="407"/>
      <c r="BL159" s="363" t="s">
        <v>357</v>
      </c>
      <c r="BM159" s="356" t="n">
        <f aca="false">COUNTIF($M$130:$M$161,BL159)*$D$15</f>
        <v>0</v>
      </c>
      <c r="BN159" s="407"/>
      <c r="BO159" s="363" t="s">
        <v>356</v>
      </c>
      <c r="BP159" s="356" t="n">
        <f aca="false">COUNTIF($M$130:$M$161,BO159)*$D$15</f>
        <v>0</v>
      </c>
      <c r="BQ159" s="407"/>
      <c r="BR159" s="363" t="s">
        <v>357</v>
      </c>
      <c r="BS159" s="356" t="n">
        <f aca="false">COUNTIF($M$130:$M$161,BR159)*$D$15</f>
        <v>0</v>
      </c>
      <c r="BT159" s="407"/>
      <c r="BU159" s="363"/>
      <c r="BV159" s="356" t="n">
        <f aca="false">COUNTIF($M$130:$M$161,BU159)*$D$15</f>
        <v>0</v>
      </c>
      <c r="BW159" s="407"/>
      <c r="BX159" s="363"/>
      <c r="BY159" s="356" t="n">
        <f aca="false">COUNTIF($M$130:$M$161,BX159)*$D$15</f>
        <v>0</v>
      </c>
      <c r="BZ159" s="407"/>
      <c r="CA159" s="363"/>
      <c r="CB159" s="356" t="n">
        <f aca="false">COUNTIF($M$130:$M$161,CA159)*$D$15</f>
        <v>0</v>
      </c>
      <c r="CC159" s="407"/>
      <c r="CD159" s="363"/>
      <c r="CE159" s="356" t="n">
        <f aca="false">COUNTIF($M$130:$M$161,CD159)*$D$15</f>
        <v>0</v>
      </c>
      <c r="CF159" s="407"/>
      <c r="CG159" s="363"/>
      <c r="CH159" s="356" t="n">
        <f aca="false">COUNTIF($M$130:$M$161,CG159)*$D$15</f>
        <v>0</v>
      </c>
      <c r="CI159" s="407"/>
      <c r="CJ159" s="363"/>
      <c r="CK159" s="356" t="n">
        <f aca="false">COUNTIF($M$130:$M$161,CJ159)*$D$15</f>
        <v>0</v>
      </c>
      <c r="CL159" s="407"/>
      <c r="CM159" s="363"/>
      <c r="CN159" s="356" t="n">
        <f aca="false">COUNTIF($M$130:$M$161,CM159)*$D$15</f>
        <v>0</v>
      </c>
      <c r="CO159" s="407"/>
      <c r="CP159" s="363"/>
      <c r="CQ159" s="356" t="n">
        <f aca="false">COUNTIF($M$130:$M$161,CP159)*$D$15</f>
        <v>0</v>
      </c>
      <c r="CR159" s="407"/>
      <c r="CS159" s="363"/>
      <c r="CT159" s="356" t="n">
        <f aca="false">COUNTIF($M$130:$M$161,CS159)*$D$15</f>
        <v>0</v>
      </c>
      <c r="CU159" s="407"/>
      <c r="CV159" s="363"/>
      <c r="CW159" s="356" t="n">
        <f aca="false">COUNTIF($M$130:$M$161,CV159)*$D$15</f>
        <v>0</v>
      </c>
      <c r="CX159" s="407"/>
      <c r="CY159" s="363"/>
      <c r="CZ159" s="356" t="n">
        <f aca="false">COUNTIF($M$130:$M$161,CY159)*$D$15</f>
        <v>0</v>
      </c>
      <c r="DA159" s="407"/>
      <c r="DB159" s="363"/>
      <c r="DC159" s="356" t="n">
        <f aca="false">COUNTIF($M$130:$M$161,DB159)*$D$15</f>
        <v>0</v>
      </c>
      <c r="DD159" s="407"/>
      <c r="DE159" s="363"/>
      <c r="DF159" s="356" t="n">
        <f aca="false">COUNTIF($M$130:$M$161,DE159)*$D$15</f>
        <v>0</v>
      </c>
      <c r="DG159" s="407"/>
      <c r="DH159" s="363"/>
      <c r="DI159" s="356" t="n">
        <f aca="false">COUNTIF($M$130:$M$161,DH159)*$D$15</f>
        <v>0</v>
      </c>
      <c r="DJ159" s="407"/>
      <c r="DK159" s="363"/>
      <c r="DL159" s="356" t="n">
        <f aca="false">COUNTIF($M$130:$M$161,DK159)*$D$15</f>
        <v>0</v>
      </c>
      <c r="DM159" s="407"/>
      <c r="DN159" s="363"/>
      <c r="DO159" s="356" t="n">
        <f aca="false">COUNTIF($M$130:$M$161,DN159)*$D$15</f>
        <v>0</v>
      </c>
      <c r="DP159" s="407"/>
      <c r="DQ159" s="363"/>
      <c r="DR159" s="356" t="n">
        <f aca="false">COUNTIF($M$130:$M$161,DQ159)*$D$15</f>
        <v>0</v>
      </c>
      <c r="DS159" s="407"/>
      <c r="DT159" s="363"/>
      <c r="DU159" s="356" t="n">
        <f aca="false">COUNTIF($M$130:$M$161,DT159)*$D$15</f>
        <v>0</v>
      </c>
      <c r="DV159" s="407"/>
      <c r="DW159" s="363"/>
      <c r="DX159" s="356" t="n">
        <f aca="false">COUNTIF($M$130:$M$161,DW159)*$D$15</f>
        <v>0</v>
      </c>
      <c r="DY159" s="407"/>
      <c r="DZ159" s="363"/>
      <c r="EA159" s="356" t="n">
        <f aca="false">COUNTIF($M$130:$M$161,DZ159)*$D$15</f>
        <v>0</v>
      </c>
      <c r="EB159" s="407"/>
      <c r="EC159" s="363"/>
      <c r="ED159" s="356" t="n">
        <f aca="false">COUNTIF($M$130:$M$161,EC159)*$D$15</f>
        <v>0</v>
      </c>
      <c r="EE159" s="407"/>
      <c r="EF159" s="363"/>
      <c r="EG159" s="356" t="n">
        <f aca="false">COUNTIF($M$130:$M$161,EF159)*$D$15</f>
        <v>0</v>
      </c>
      <c r="EH159" s="407"/>
      <c r="EI159" s="407"/>
    </row>
    <row r="160" customFormat="false" ht="15" hidden="false" customHeight="false" outlineLevel="0" collapsed="false">
      <c r="A160" s="327"/>
      <c r="B160" s="327"/>
      <c r="C160" s="410"/>
      <c r="D160" s="410"/>
      <c r="E160" s="410"/>
      <c r="F160" s="411" t="n">
        <f aca="false">$D$15</f>
        <v>3</v>
      </c>
      <c r="G160" s="412" t="n">
        <f aca="false">VLOOKUP(H160,Equipos!$Q$1:$R$25,2,0)</f>
        <v>19</v>
      </c>
      <c r="H160" s="417" t="str">
        <f aca="false">Idiomas!$D$137</f>
        <v>CLASIFICADOS PARA DIECISEISAVOS</v>
      </c>
      <c r="I160" s="410"/>
      <c r="J160" s="418"/>
      <c r="K160" s="367" t="str">
        <f aca="false">Idiomas!$D$198&amp;"-"&amp;ROWS($L$130:L160)</f>
        <v>Dieciseisavofinalista-31</v>
      </c>
      <c r="L160" s="354"/>
      <c r="M160" s="359" t="str">
        <f aca="false">WORLDCUP!AF115</f>
        <v>2H</v>
      </c>
      <c r="N160" s="332"/>
      <c r="O160" s="332"/>
      <c r="P160" s="332"/>
      <c r="Q160" s="332"/>
      <c r="R160" s="404"/>
      <c r="S160" s="363" t="s">
        <v>359</v>
      </c>
      <c r="T160" s="356" t="n">
        <f aca="false">COUNTIF($M$130:$M$161,S160)*$D$15</f>
        <v>0</v>
      </c>
      <c r="U160" s="407"/>
      <c r="V160" s="363" t="s">
        <v>359</v>
      </c>
      <c r="W160" s="356" t="n">
        <f aca="false">COUNTIF($M$130:$M$161,V160)*$D$15</f>
        <v>0</v>
      </c>
      <c r="X160" s="407"/>
      <c r="Y160" s="363" t="s">
        <v>359</v>
      </c>
      <c r="Z160" s="356" t="n">
        <f aca="false">COUNTIF($M$130:$M$161,Y160)*$D$15</f>
        <v>0</v>
      </c>
      <c r="AA160" s="407"/>
      <c r="AB160" s="363" t="s">
        <v>359</v>
      </c>
      <c r="AC160" s="356" t="n">
        <f aca="false">COUNTIF($M$130:$M$161,AB160)*$D$15</f>
        <v>0</v>
      </c>
      <c r="AD160" s="407"/>
      <c r="AE160" s="363" t="s">
        <v>359</v>
      </c>
      <c r="AF160" s="356" t="n">
        <f aca="false">COUNTIF($M$130:$M$161,AE160)*$D$15</f>
        <v>0</v>
      </c>
      <c r="AG160" s="407"/>
      <c r="AH160" s="363" t="s">
        <v>359</v>
      </c>
      <c r="AI160" s="356" t="n">
        <f aca="false">COUNTIF($M$130:$M$161,AH160)*$D$15</f>
        <v>0</v>
      </c>
      <c r="AJ160" s="407"/>
      <c r="AK160" s="363" t="s">
        <v>359</v>
      </c>
      <c r="AL160" s="356" t="n">
        <f aca="false">COUNTIF($M$130:$M$161,AK160)*$D$15</f>
        <v>0</v>
      </c>
      <c r="AM160" s="407"/>
      <c r="AN160" s="363" t="s">
        <v>359</v>
      </c>
      <c r="AO160" s="356" t="n">
        <f aca="false">COUNTIF($M$130:$M$161,AN160)*$D$15</f>
        <v>0</v>
      </c>
      <c r="AP160" s="407"/>
      <c r="AQ160" s="363" t="s">
        <v>359</v>
      </c>
      <c r="AR160" s="356" t="n">
        <f aca="false">COUNTIF($M$130:$M$161,AQ160)*$D$15</f>
        <v>0</v>
      </c>
      <c r="AS160" s="407"/>
      <c r="AT160" s="363" t="s">
        <v>359</v>
      </c>
      <c r="AU160" s="356" t="n">
        <f aca="false">COUNTIF($M$130:$M$161,AT160)*$D$15</f>
        <v>0</v>
      </c>
      <c r="AV160" s="407"/>
      <c r="AW160" s="363" t="s">
        <v>359</v>
      </c>
      <c r="AX160" s="356" t="n">
        <f aca="false">COUNTIF($M$130:$M$161,AW160)*$D$15</f>
        <v>0</v>
      </c>
      <c r="AY160" s="407"/>
      <c r="AZ160" s="363" t="s">
        <v>359</v>
      </c>
      <c r="BA160" s="356" t="n">
        <f aca="false">COUNTIF($M$130:$M$161,AZ160)*$D$15</f>
        <v>0</v>
      </c>
      <c r="BB160" s="407"/>
      <c r="BC160" s="363" t="s">
        <v>359</v>
      </c>
      <c r="BD160" s="356" t="n">
        <f aca="false">COUNTIF($M$130:$M$161,BC160)*$D$15</f>
        <v>0</v>
      </c>
      <c r="BE160" s="407"/>
      <c r="BF160" s="363" t="s">
        <v>359</v>
      </c>
      <c r="BG160" s="356" t="n">
        <f aca="false">COUNTIF($M$130:$M$161,BF160)*$D$15</f>
        <v>0</v>
      </c>
      <c r="BH160" s="407"/>
      <c r="BI160" s="363" t="s">
        <v>360</v>
      </c>
      <c r="BJ160" s="356" t="n">
        <f aca="false">COUNTIF($M$130:$M$161,BI160)*$D$15</f>
        <v>0</v>
      </c>
      <c r="BK160" s="407"/>
      <c r="BL160" s="363" t="s">
        <v>359</v>
      </c>
      <c r="BM160" s="356" t="n">
        <f aca="false">COUNTIF($M$130:$M$161,BL160)*$D$15</f>
        <v>0</v>
      </c>
      <c r="BN160" s="407"/>
      <c r="BO160" s="363" t="s">
        <v>359</v>
      </c>
      <c r="BP160" s="356" t="n">
        <f aca="false">COUNTIF($M$130:$M$161,BO160)*$D$15</f>
        <v>0</v>
      </c>
      <c r="BQ160" s="407"/>
      <c r="BR160" s="363" t="s">
        <v>359</v>
      </c>
      <c r="BS160" s="356" t="n">
        <f aca="false">COUNTIF($M$130:$M$161,BR160)*$D$15</f>
        <v>0</v>
      </c>
      <c r="BT160" s="407"/>
      <c r="BU160" s="363"/>
      <c r="BV160" s="356" t="n">
        <f aca="false">COUNTIF($M$130:$M$161,BU160)*$D$15</f>
        <v>0</v>
      </c>
      <c r="BW160" s="407"/>
      <c r="BX160" s="363"/>
      <c r="BY160" s="356" t="n">
        <f aca="false">COUNTIF($M$130:$M$161,BX160)*$D$15</f>
        <v>0</v>
      </c>
      <c r="BZ160" s="407"/>
      <c r="CA160" s="363"/>
      <c r="CB160" s="356" t="n">
        <f aca="false">COUNTIF($M$130:$M$161,CA160)*$D$15</f>
        <v>0</v>
      </c>
      <c r="CC160" s="407"/>
      <c r="CD160" s="363"/>
      <c r="CE160" s="356" t="n">
        <f aca="false">COUNTIF($M$130:$M$161,CD160)*$D$15</f>
        <v>0</v>
      </c>
      <c r="CF160" s="407"/>
      <c r="CG160" s="363"/>
      <c r="CH160" s="356" t="n">
        <f aca="false">COUNTIF($M$130:$M$161,CG160)*$D$15</f>
        <v>0</v>
      </c>
      <c r="CI160" s="407"/>
      <c r="CJ160" s="363"/>
      <c r="CK160" s="356" t="n">
        <f aca="false">COUNTIF($M$130:$M$161,CJ160)*$D$15</f>
        <v>0</v>
      </c>
      <c r="CL160" s="407"/>
      <c r="CM160" s="363"/>
      <c r="CN160" s="356" t="n">
        <f aca="false">COUNTIF($M$130:$M$161,CM160)*$D$15</f>
        <v>0</v>
      </c>
      <c r="CO160" s="407"/>
      <c r="CP160" s="363"/>
      <c r="CQ160" s="356" t="n">
        <f aca="false">COUNTIF($M$130:$M$161,CP160)*$D$15</f>
        <v>0</v>
      </c>
      <c r="CR160" s="407"/>
      <c r="CS160" s="363"/>
      <c r="CT160" s="356" t="n">
        <f aca="false">COUNTIF($M$130:$M$161,CS160)*$D$15</f>
        <v>0</v>
      </c>
      <c r="CU160" s="407"/>
      <c r="CV160" s="363"/>
      <c r="CW160" s="356" t="n">
        <f aca="false">COUNTIF($M$130:$M$161,CV160)*$D$15</f>
        <v>0</v>
      </c>
      <c r="CX160" s="407"/>
      <c r="CY160" s="363"/>
      <c r="CZ160" s="356" t="n">
        <f aca="false">COUNTIF($M$130:$M$161,CY160)*$D$15</f>
        <v>0</v>
      </c>
      <c r="DA160" s="407"/>
      <c r="DB160" s="363"/>
      <c r="DC160" s="356" t="n">
        <f aca="false">COUNTIF($M$130:$M$161,DB160)*$D$15</f>
        <v>0</v>
      </c>
      <c r="DD160" s="407"/>
      <c r="DE160" s="363"/>
      <c r="DF160" s="356" t="n">
        <f aca="false">COUNTIF($M$130:$M$161,DE160)*$D$15</f>
        <v>0</v>
      </c>
      <c r="DG160" s="407"/>
      <c r="DH160" s="363"/>
      <c r="DI160" s="356" t="n">
        <f aca="false">COUNTIF($M$130:$M$161,DH160)*$D$15</f>
        <v>0</v>
      </c>
      <c r="DJ160" s="407"/>
      <c r="DK160" s="363"/>
      <c r="DL160" s="356" t="n">
        <f aca="false">COUNTIF($M$130:$M$161,DK160)*$D$15</f>
        <v>0</v>
      </c>
      <c r="DM160" s="407"/>
      <c r="DN160" s="363"/>
      <c r="DO160" s="356" t="n">
        <f aca="false">COUNTIF($M$130:$M$161,DN160)*$D$15</f>
        <v>0</v>
      </c>
      <c r="DP160" s="407"/>
      <c r="DQ160" s="363"/>
      <c r="DR160" s="356" t="n">
        <f aca="false">COUNTIF($M$130:$M$161,DQ160)*$D$15</f>
        <v>0</v>
      </c>
      <c r="DS160" s="407"/>
      <c r="DT160" s="363"/>
      <c r="DU160" s="356" t="n">
        <f aca="false">COUNTIF($M$130:$M$161,DT160)*$D$15</f>
        <v>0</v>
      </c>
      <c r="DV160" s="407"/>
      <c r="DW160" s="363"/>
      <c r="DX160" s="356" t="n">
        <f aca="false">COUNTIF($M$130:$M$161,DW160)*$D$15</f>
        <v>0</v>
      </c>
      <c r="DY160" s="407"/>
      <c r="DZ160" s="363"/>
      <c r="EA160" s="356" t="n">
        <f aca="false">COUNTIF($M$130:$M$161,DZ160)*$D$15</f>
        <v>0</v>
      </c>
      <c r="EB160" s="407"/>
      <c r="EC160" s="363"/>
      <c r="ED160" s="356" t="n">
        <f aca="false">COUNTIF($M$130:$M$161,EC160)*$D$15</f>
        <v>0</v>
      </c>
      <c r="EE160" s="407"/>
      <c r="EF160" s="363"/>
      <c r="EG160" s="356" t="n">
        <f aca="false">COUNTIF($M$130:$M$161,EF160)*$D$15</f>
        <v>0</v>
      </c>
      <c r="EH160" s="407"/>
      <c r="EI160" s="407"/>
    </row>
    <row r="161" customFormat="false" ht="15" hidden="false" customHeight="false" outlineLevel="0" collapsed="false">
      <c r="A161" s="327"/>
      <c r="B161" s="327"/>
      <c r="C161" s="410"/>
      <c r="D161" s="410"/>
      <c r="E161" s="410"/>
      <c r="F161" s="411" t="n">
        <f aca="false">$D$15</f>
        <v>3</v>
      </c>
      <c r="G161" s="412" t="n">
        <f aca="false">VLOOKUP(H161,Equipos!$Q$1:$R$25,2,0)</f>
        <v>19</v>
      </c>
      <c r="H161" s="417" t="str">
        <f aca="false">Idiomas!$D$137</f>
        <v>CLASIFICADOS PARA DIECISEISAVOS</v>
      </c>
      <c r="I161" s="410"/>
      <c r="J161" s="418"/>
      <c r="K161" s="396" t="str">
        <f aca="false">Idiomas!$D$198&amp;"-"&amp;ROWS($L$130:L161)</f>
        <v>Dieciseisavofinalista-32</v>
      </c>
      <c r="L161" s="396"/>
      <c r="M161" s="397" t="str">
        <f aca="false">WORLDCUP!AF116</f>
        <v>3DEIJL</v>
      </c>
      <c r="N161" s="332"/>
      <c r="O161" s="332"/>
      <c r="P161" s="332"/>
      <c r="Q161" s="332"/>
      <c r="R161" s="404"/>
      <c r="S161" s="398" t="s">
        <v>349</v>
      </c>
      <c r="T161" s="399" t="n">
        <f aca="false">COUNTIF($M$130:$M$161,S161)*$D$15</f>
        <v>0</v>
      </c>
      <c r="U161" s="407"/>
      <c r="V161" s="398" t="s">
        <v>376</v>
      </c>
      <c r="W161" s="399" t="n">
        <f aca="false">COUNTIF($M$130:$M$161,V161)*$D$15</f>
        <v>0</v>
      </c>
      <c r="X161" s="407"/>
      <c r="Y161" s="398" t="s">
        <v>376</v>
      </c>
      <c r="Z161" s="399" t="n">
        <f aca="false">COUNTIF($M$130:$M$161,Y161)*$D$15</f>
        <v>0</v>
      </c>
      <c r="AA161" s="407"/>
      <c r="AB161" s="398" t="s">
        <v>363</v>
      </c>
      <c r="AC161" s="399" t="n">
        <f aca="false">COUNTIF($M$130:$M$161,AB161)*$D$15</f>
        <v>0</v>
      </c>
      <c r="AD161" s="407"/>
      <c r="AE161" s="398" t="s">
        <v>376</v>
      </c>
      <c r="AF161" s="399" t="n">
        <f aca="false">COUNTIF($M$130:$M$161,AE161)*$D$15</f>
        <v>0</v>
      </c>
      <c r="AG161" s="407"/>
      <c r="AH161" s="398" t="s">
        <v>376</v>
      </c>
      <c r="AI161" s="399" t="n">
        <f aca="false">COUNTIF($M$130:$M$161,AH161)*$D$15</f>
        <v>0</v>
      </c>
      <c r="AJ161" s="407"/>
      <c r="AK161" s="398" t="s">
        <v>376</v>
      </c>
      <c r="AL161" s="399" t="n">
        <f aca="false">COUNTIF($M$130:$M$161,AK161)*$D$15</f>
        <v>0</v>
      </c>
      <c r="AM161" s="407"/>
      <c r="AN161" s="398" t="s">
        <v>376</v>
      </c>
      <c r="AO161" s="399" t="n">
        <f aca="false">COUNTIF($M$130:$M$161,AN161)*$D$15</f>
        <v>0</v>
      </c>
      <c r="AP161" s="407"/>
      <c r="AQ161" s="398" t="s">
        <v>376</v>
      </c>
      <c r="AR161" s="399" t="n">
        <f aca="false">COUNTIF($M$130:$M$161,AQ161)*$D$15</f>
        <v>0</v>
      </c>
      <c r="AS161" s="407"/>
      <c r="AT161" s="398" t="s">
        <v>348</v>
      </c>
      <c r="AU161" s="399" t="n">
        <f aca="false">COUNTIF($M$130:$M$161,AT161)*$D$15</f>
        <v>0</v>
      </c>
      <c r="AV161" s="407"/>
      <c r="AW161" s="398" t="s">
        <v>376</v>
      </c>
      <c r="AX161" s="399" t="n">
        <f aca="false">COUNTIF($M$130:$M$161,AW161)*$D$15</f>
        <v>0</v>
      </c>
      <c r="AY161" s="407"/>
      <c r="AZ161" s="398" t="s">
        <v>376</v>
      </c>
      <c r="BA161" s="399" t="n">
        <f aca="false">COUNTIF($M$130:$M$161,AZ161)*$D$15</f>
        <v>0</v>
      </c>
      <c r="BB161" s="407"/>
      <c r="BC161" s="398" t="s">
        <v>375</v>
      </c>
      <c r="BD161" s="399" t="n">
        <f aca="false">COUNTIF($M$130:$M$161,BC161)*$D$15</f>
        <v>0</v>
      </c>
      <c r="BE161" s="407"/>
      <c r="BF161" s="398" t="s">
        <v>375</v>
      </c>
      <c r="BG161" s="399" t="n">
        <f aca="false">COUNTIF($M$130:$M$161,BF161)*$D$15</f>
        <v>0</v>
      </c>
      <c r="BH161" s="407"/>
      <c r="BI161" s="398" t="s">
        <v>376</v>
      </c>
      <c r="BJ161" s="399" t="n">
        <f aca="false">COUNTIF($M$130:$M$161,BI161)*$D$15</f>
        <v>0</v>
      </c>
      <c r="BK161" s="407"/>
      <c r="BL161" s="398" t="s">
        <v>345</v>
      </c>
      <c r="BM161" s="399" t="n">
        <f aca="false">COUNTIF($M$130:$M$161,BL161)*$D$15</f>
        <v>0</v>
      </c>
      <c r="BN161" s="407"/>
      <c r="BO161" s="398" t="s">
        <v>375</v>
      </c>
      <c r="BP161" s="399" t="n">
        <f aca="false">COUNTIF($M$130:$M$161,BO161)*$D$15</f>
        <v>0</v>
      </c>
      <c r="BQ161" s="407"/>
      <c r="BR161" s="398" t="s">
        <v>348</v>
      </c>
      <c r="BS161" s="399" t="n">
        <f aca="false">COUNTIF($M$130:$M$161,BR161)*$D$15</f>
        <v>0</v>
      </c>
      <c r="BT161" s="407"/>
      <c r="BU161" s="398"/>
      <c r="BV161" s="399" t="n">
        <f aca="false">COUNTIF($M$130:$M$161,BU161)*$D$15</f>
        <v>0</v>
      </c>
      <c r="BW161" s="407"/>
      <c r="BX161" s="398"/>
      <c r="BY161" s="399" t="n">
        <f aca="false">COUNTIF($M$130:$M$161,BX161)*$D$15</f>
        <v>0</v>
      </c>
      <c r="BZ161" s="407"/>
      <c r="CA161" s="398"/>
      <c r="CB161" s="399" t="n">
        <f aca="false">COUNTIF($M$130:$M$161,CA161)*$D$15</f>
        <v>0</v>
      </c>
      <c r="CC161" s="407"/>
      <c r="CD161" s="398"/>
      <c r="CE161" s="399" t="n">
        <f aca="false">COUNTIF($M$130:$M$161,CD161)*$D$15</f>
        <v>0</v>
      </c>
      <c r="CF161" s="407"/>
      <c r="CG161" s="398"/>
      <c r="CH161" s="399" t="n">
        <f aca="false">COUNTIF($M$130:$M$161,CG161)*$D$15</f>
        <v>0</v>
      </c>
      <c r="CI161" s="407"/>
      <c r="CJ161" s="398"/>
      <c r="CK161" s="399" t="n">
        <f aca="false">COUNTIF($M$130:$M$161,CJ161)*$D$15</f>
        <v>0</v>
      </c>
      <c r="CL161" s="407"/>
      <c r="CM161" s="398"/>
      <c r="CN161" s="399" t="n">
        <f aca="false">COUNTIF($M$130:$M$161,CM161)*$D$15</f>
        <v>0</v>
      </c>
      <c r="CO161" s="407"/>
      <c r="CP161" s="398"/>
      <c r="CQ161" s="399" t="n">
        <f aca="false">COUNTIF($M$130:$M$161,CP161)*$D$15</f>
        <v>0</v>
      </c>
      <c r="CR161" s="407"/>
      <c r="CS161" s="398"/>
      <c r="CT161" s="399" t="n">
        <f aca="false">COUNTIF($M$130:$M$161,CS161)*$D$15</f>
        <v>0</v>
      </c>
      <c r="CU161" s="407"/>
      <c r="CV161" s="398"/>
      <c r="CW161" s="399" t="n">
        <f aca="false">COUNTIF($M$130:$M$161,CV161)*$D$15</f>
        <v>0</v>
      </c>
      <c r="CX161" s="407"/>
      <c r="CY161" s="398"/>
      <c r="CZ161" s="399" t="n">
        <f aca="false">COUNTIF($M$130:$M$161,CY161)*$D$15</f>
        <v>0</v>
      </c>
      <c r="DA161" s="407"/>
      <c r="DB161" s="398"/>
      <c r="DC161" s="399" t="n">
        <f aca="false">COUNTIF($M$130:$M$161,DB161)*$D$15</f>
        <v>0</v>
      </c>
      <c r="DD161" s="407"/>
      <c r="DE161" s="398"/>
      <c r="DF161" s="399" t="n">
        <f aca="false">COUNTIF($M$130:$M$161,DE161)*$D$15</f>
        <v>0</v>
      </c>
      <c r="DG161" s="407"/>
      <c r="DH161" s="398"/>
      <c r="DI161" s="399" t="n">
        <f aca="false">COUNTIF($M$130:$M$161,DH161)*$D$15</f>
        <v>0</v>
      </c>
      <c r="DJ161" s="407"/>
      <c r="DK161" s="398"/>
      <c r="DL161" s="399" t="n">
        <f aca="false">COUNTIF($M$130:$M$161,DK161)*$D$15</f>
        <v>0</v>
      </c>
      <c r="DM161" s="407"/>
      <c r="DN161" s="398"/>
      <c r="DO161" s="399" t="n">
        <f aca="false">COUNTIF($M$130:$M$161,DN161)*$D$15</f>
        <v>0</v>
      </c>
      <c r="DP161" s="407"/>
      <c r="DQ161" s="398"/>
      <c r="DR161" s="399" t="n">
        <f aca="false">COUNTIF($M$130:$M$161,DQ161)*$D$15</f>
        <v>0</v>
      </c>
      <c r="DS161" s="407"/>
      <c r="DT161" s="398"/>
      <c r="DU161" s="399" t="n">
        <f aca="false">COUNTIF($M$130:$M$161,DT161)*$D$15</f>
        <v>0</v>
      </c>
      <c r="DV161" s="407"/>
      <c r="DW161" s="398"/>
      <c r="DX161" s="399" t="n">
        <f aca="false">COUNTIF($M$130:$M$161,DW161)*$D$15</f>
        <v>0</v>
      </c>
      <c r="DY161" s="407"/>
      <c r="DZ161" s="398"/>
      <c r="EA161" s="399" t="n">
        <f aca="false">COUNTIF($M$130:$M$161,DZ161)*$D$15</f>
        <v>0</v>
      </c>
      <c r="EB161" s="407"/>
      <c r="EC161" s="398"/>
      <c r="ED161" s="399" t="n">
        <f aca="false">COUNTIF($M$130:$M$161,EC161)*$D$15</f>
        <v>0</v>
      </c>
      <c r="EE161" s="407"/>
      <c r="EF161" s="398"/>
      <c r="EG161" s="399" t="n">
        <f aca="false">COUNTIF($M$130:$M$161,EF161)*$D$15</f>
        <v>0</v>
      </c>
      <c r="EH161" s="407"/>
      <c r="EI161" s="407"/>
    </row>
    <row r="162" customFormat="false" ht="15" hidden="false" customHeight="false" outlineLevel="0" collapsed="false">
      <c r="A162" s="327"/>
      <c r="B162" s="327"/>
      <c r="C162" s="410"/>
      <c r="D162" s="410"/>
      <c r="E162" s="410"/>
      <c r="F162" s="411"/>
      <c r="G162" s="412"/>
      <c r="H162" s="410"/>
      <c r="I162" s="410"/>
      <c r="J162" s="413"/>
      <c r="K162" s="414" t="str">
        <f aca="false">Idiomas!D457</f>
        <v>Equipos 1/16</v>
      </c>
      <c r="L162" s="415"/>
      <c r="M162" s="414" t="str">
        <f aca="false">"Max: "&amp;$D$15*COUNT(T130:T161)</f>
        <v>Max: 96</v>
      </c>
      <c r="N162" s="332"/>
      <c r="O162" s="332"/>
      <c r="P162" s="332"/>
      <c r="Q162" s="332"/>
      <c r="R162" s="327"/>
      <c r="S162" s="416"/>
      <c r="T162" s="347" t="n">
        <f aca="false">SUM(T130:T161)</f>
        <v>0</v>
      </c>
      <c r="U162" s="338"/>
      <c r="V162" s="416"/>
      <c r="W162" s="347" t="n">
        <f aca="false">SUM(W130:W161)</f>
        <v>0</v>
      </c>
      <c r="X162" s="338"/>
      <c r="Y162" s="416"/>
      <c r="Z162" s="347" t="n">
        <f aca="false">SUM(Z130:Z161)</f>
        <v>0</v>
      </c>
      <c r="AA162" s="338"/>
      <c r="AB162" s="416"/>
      <c r="AC162" s="347" t="n">
        <f aca="false">SUM(AC130:AC161)</f>
        <v>0</v>
      </c>
      <c r="AD162" s="338"/>
      <c r="AE162" s="416"/>
      <c r="AF162" s="347" t="n">
        <f aca="false">SUM(AF130:AF161)</f>
        <v>0</v>
      </c>
      <c r="AG162" s="338"/>
      <c r="AH162" s="416"/>
      <c r="AI162" s="347" t="n">
        <f aca="false">SUM(AI130:AI161)</f>
        <v>0</v>
      </c>
      <c r="AJ162" s="338"/>
      <c r="AK162" s="416"/>
      <c r="AL162" s="347" t="n">
        <f aca="false">SUM(AL130:AL161)</f>
        <v>0</v>
      </c>
      <c r="AM162" s="338"/>
      <c r="AN162" s="416"/>
      <c r="AO162" s="347" t="n">
        <f aca="false">SUM(AO130:AO161)</f>
        <v>0</v>
      </c>
      <c r="AP162" s="338"/>
      <c r="AQ162" s="416"/>
      <c r="AR162" s="347" t="n">
        <f aca="false">SUM(AR130:AR161)</f>
        <v>0</v>
      </c>
      <c r="AS162" s="338"/>
      <c r="AT162" s="416"/>
      <c r="AU162" s="347" t="n">
        <f aca="false">SUM(AU130:AU161)</f>
        <v>0</v>
      </c>
      <c r="AV162" s="338"/>
      <c r="AW162" s="416"/>
      <c r="AX162" s="347" t="n">
        <f aca="false">SUM(AX130:AX161)</f>
        <v>0</v>
      </c>
      <c r="AY162" s="338"/>
      <c r="AZ162" s="416"/>
      <c r="BA162" s="347" t="n">
        <f aca="false">SUM(BA130:BA161)</f>
        <v>0</v>
      </c>
      <c r="BB162" s="338"/>
      <c r="BC162" s="416"/>
      <c r="BD162" s="347" t="n">
        <f aca="false">SUM(BD130:BD161)</f>
        <v>0</v>
      </c>
      <c r="BE162" s="338"/>
      <c r="BF162" s="416"/>
      <c r="BG162" s="347" t="n">
        <f aca="false">SUM(BG130:BG161)</f>
        <v>0</v>
      </c>
      <c r="BH162" s="338"/>
      <c r="BI162" s="416"/>
      <c r="BJ162" s="347" t="n">
        <f aca="false">SUM(BJ130:BJ161)</f>
        <v>0</v>
      </c>
      <c r="BK162" s="338"/>
      <c r="BL162" s="416"/>
      <c r="BM162" s="347" t="n">
        <f aca="false">SUM(BM130:BM161)</f>
        <v>0</v>
      </c>
      <c r="BN162" s="338"/>
      <c r="BO162" s="416" t="s">
        <v>378</v>
      </c>
      <c r="BP162" s="347" t="n">
        <f aca="false">SUM(BP130:BP161)</f>
        <v>0</v>
      </c>
      <c r="BQ162" s="338"/>
      <c r="BR162" s="416"/>
      <c r="BS162" s="347" t="n">
        <f aca="false">SUM(BS130:BS161)</f>
        <v>0</v>
      </c>
      <c r="BT162" s="338"/>
      <c r="BU162" s="416"/>
      <c r="BV162" s="347" t="n">
        <f aca="false">SUM(BV130:BV161)</f>
        <v>0</v>
      </c>
      <c r="BW162" s="338"/>
      <c r="BX162" s="416"/>
      <c r="BY162" s="347" t="n">
        <f aca="false">SUM(BY130:BY161)</f>
        <v>0</v>
      </c>
      <c r="BZ162" s="338"/>
      <c r="CA162" s="416"/>
      <c r="CB162" s="347" t="n">
        <f aca="false">SUM(CB130:CB161)</f>
        <v>0</v>
      </c>
      <c r="CC162" s="338"/>
      <c r="CD162" s="416"/>
      <c r="CE162" s="347" t="n">
        <f aca="false">SUM(CE130:CE161)</f>
        <v>0</v>
      </c>
      <c r="CF162" s="338"/>
      <c r="CG162" s="416"/>
      <c r="CH162" s="347" t="n">
        <f aca="false">SUM(CH130:CH161)</f>
        <v>0</v>
      </c>
      <c r="CI162" s="338"/>
      <c r="CJ162" s="416"/>
      <c r="CK162" s="347" t="n">
        <f aca="false">SUM(CK130:CK161)</f>
        <v>0</v>
      </c>
      <c r="CL162" s="338"/>
      <c r="CM162" s="416"/>
      <c r="CN162" s="347" t="n">
        <f aca="false">SUM(CN130:CN161)</f>
        <v>0</v>
      </c>
      <c r="CO162" s="338"/>
      <c r="CP162" s="416"/>
      <c r="CQ162" s="347" t="n">
        <f aca="false">SUM(CQ130:CQ161)</f>
        <v>0</v>
      </c>
      <c r="CR162" s="338"/>
      <c r="CS162" s="416"/>
      <c r="CT162" s="347" t="n">
        <f aca="false">SUM(CT130:CT161)</f>
        <v>0</v>
      </c>
      <c r="CU162" s="338"/>
      <c r="CV162" s="416"/>
      <c r="CW162" s="347" t="n">
        <f aca="false">SUM(CW130:CW161)</f>
        <v>0</v>
      </c>
      <c r="CX162" s="338"/>
      <c r="CY162" s="416"/>
      <c r="CZ162" s="347" t="n">
        <f aca="false">SUM(CZ130:CZ161)</f>
        <v>0</v>
      </c>
      <c r="DA162" s="338"/>
      <c r="DB162" s="416"/>
      <c r="DC162" s="347" t="n">
        <f aca="false">SUM(DC130:DC161)</f>
        <v>0</v>
      </c>
      <c r="DD162" s="338"/>
      <c r="DE162" s="416"/>
      <c r="DF162" s="347" t="n">
        <f aca="false">SUM(DF130:DF161)</f>
        <v>0</v>
      </c>
      <c r="DG162" s="338"/>
      <c r="DH162" s="416"/>
      <c r="DI162" s="347" t="n">
        <f aca="false">SUM(DI130:DI161)</f>
        <v>0</v>
      </c>
      <c r="DJ162" s="338"/>
      <c r="DK162" s="416"/>
      <c r="DL162" s="347" t="n">
        <f aca="false">SUM(DL130:DL161)</f>
        <v>0</v>
      </c>
      <c r="DM162" s="338"/>
      <c r="DN162" s="416"/>
      <c r="DO162" s="347" t="n">
        <f aca="false">SUM(DO130:DO161)</f>
        <v>0</v>
      </c>
      <c r="DP162" s="338"/>
      <c r="DQ162" s="416"/>
      <c r="DR162" s="347" t="n">
        <f aca="false">SUM(DR130:DR161)</f>
        <v>0</v>
      </c>
      <c r="DS162" s="338"/>
      <c r="DT162" s="416"/>
      <c r="DU162" s="347" t="n">
        <f aca="false">SUM(DU130:DU161)</f>
        <v>0</v>
      </c>
      <c r="DV162" s="338"/>
      <c r="DW162" s="416"/>
      <c r="DX162" s="347" t="n">
        <f aca="false">SUM(DX130:DX161)</f>
        <v>0</v>
      </c>
      <c r="DY162" s="338"/>
      <c r="DZ162" s="416"/>
      <c r="EA162" s="347" t="n">
        <f aca="false">SUM(EA130:EA161)</f>
        <v>0</v>
      </c>
      <c r="EB162" s="338"/>
      <c r="EC162" s="416"/>
      <c r="ED162" s="347" t="n">
        <f aca="false">SUM(ED130:ED161)</f>
        <v>0</v>
      </c>
      <c r="EE162" s="338"/>
      <c r="EF162" s="416"/>
      <c r="EG162" s="347" t="n">
        <f aca="false">SUM(EG130:EG161)</f>
        <v>0</v>
      </c>
      <c r="EH162" s="338"/>
      <c r="EI162" s="338"/>
    </row>
    <row r="163" customFormat="false" ht="15" hidden="false" customHeight="false" outlineLevel="0" collapsed="false">
      <c r="A163" s="327" t="s">
        <v>379</v>
      </c>
      <c r="B163" s="327" t="s">
        <v>380</v>
      </c>
      <c r="C163" s="410" t="s">
        <v>381</v>
      </c>
      <c r="D163" s="410" t="s">
        <v>382</v>
      </c>
      <c r="E163" s="410" t="s">
        <v>383</v>
      </c>
      <c r="F163" s="411"/>
      <c r="G163" s="412"/>
      <c r="H163" s="410"/>
      <c r="I163" s="419" t="s">
        <v>244</v>
      </c>
      <c r="J163" s="413"/>
      <c r="K163" s="346" t="str">
        <f aca="false">Idiomas!D138</f>
        <v>ENFRENTAMIENTOS DIECISEISAVOS</v>
      </c>
      <c r="L163" s="333"/>
      <c r="M163" s="347"/>
      <c r="N163" s="332"/>
      <c r="O163" s="332"/>
      <c r="P163" s="332"/>
      <c r="Q163" s="332"/>
      <c r="R163" s="327"/>
      <c r="S163" s="416"/>
      <c r="T163" s="420"/>
      <c r="U163" s="420"/>
      <c r="V163" s="421"/>
      <c r="W163" s="420"/>
      <c r="X163" s="338"/>
      <c r="Y163" s="416"/>
      <c r="Z163" s="420"/>
      <c r="AA163" s="338"/>
      <c r="AB163" s="416"/>
      <c r="AC163" s="420"/>
      <c r="AD163" s="338"/>
      <c r="AE163" s="416"/>
      <c r="AF163" s="420"/>
      <c r="AG163" s="338"/>
      <c r="AH163" s="416"/>
      <c r="AI163" s="420"/>
      <c r="AJ163" s="420"/>
      <c r="AK163" s="421"/>
      <c r="AL163" s="420"/>
      <c r="AM163" s="338"/>
      <c r="AN163" s="416"/>
      <c r="AO163" s="420"/>
      <c r="AP163" s="338"/>
      <c r="AQ163" s="416"/>
      <c r="AR163" s="420"/>
      <c r="AS163" s="338"/>
      <c r="AT163" s="416"/>
      <c r="AU163" s="420"/>
      <c r="AV163" s="338"/>
      <c r="AW163" s="416"/>
      <c r="AX163" s="420"/>
      <c r="AY163" s="420"/>
      <c r="AZ163" s="421"/>
      <c r="BA163" s="420"/>
      <c r="BB163" s="338"/>
      <c r="BC163" s="416"/>
      <c r="BD163" s="420"/>
      <c r="BE163" s="338"/>
      <c r="BF163" s="416"/>
      <c r="BG163" s="420"/>
      <c r="BH163" s="338"/>
      <c r="BI163" s="416"/>
      <c r="BJ163" s="420"/>
      <c r="BK163" s="338"/>
      <c r="BL163" s="416"/>
      <c r="BM163" s="420"/>
      <c r="BN163" s="420"/>
      <c r="BO163" s="421"/>
      <c r="BP163" s="420"/>
      <c r="BQ163" s="338"/>
      <c r="BR163" s="416"/>
      <c r="BS163" s="420"/>
      <c r="BT163" s="338"/>
      <c r="BU163" s="416"/>
      <c r="BV163" s="420"/>
      <c r="BW163" s="338"/>
      <c r="BX163" s="416"/>
      <c r="BY163" s="420"/>
      <c r="BZ163" s="338"/>
      <c r="CA163" s="416"/>
      <c r="CB163" s="420"/>
      <c r="CC163" s="420"/>
      <c r="CD163" s="421"/>
      <c r="CE163" s="420"/>
      <c r="CF163" s="338"/>
      <c r="CG163" s="416"/>
      <c r="CH163" s="420"/>
      <c r="CI163" s="338"/>
      <c r="CJ163" s="416"/>
      <c r="CK163" s="420"/>
      <c r="CL163" s="338"/>
      <c r="CM163" s="416"/>
      <c r="CN163" s="420"/>
      <c r="CO163" s="338"/>
      <c r="CP163" s="416"/>
      <c r="CQ163" s="420"/>
      <c r="CR163" s="420"/>
      <c r="CS163" s="421"/>
      <c r="CT163" s="420"/>
      <c r="CU163" s="338"/>
      <c r="CV163" s="416"/>
      <c r="CW163" s="420"/>
      <c r="CX163" s="338"/>
      <c r="CY163" s="416"/>
      <c r="CZ163" s="420"/>
      <c r="DA163" s="338"/>
      <c r="DB163" s="416"/>
      <c r="DC163" s="420"/>
      <c r="DD163" s="338"/>
      <c r="DE163" s="416"/>
      <c r="DF163" s="420"/>
      <c r="DG163" s="420"/>
      <c r="DH163" s="421"/>
      <c r="DI163" s="420"/>
      <c r="DJ163" s="338"/>
      <c r="DK163" s="416"/>
      <c r="DL163" s="420"/>
      <c r="DM163" s="338"/>
      <c r="DN163" s="416"/>
      <c r="DO163" s="420"/>
      <c r="DP163" s="338"/>
      <c r="DQ163" s="416"/>
      <c r="DR163" s="420"/>
      <c r="DS163" s="338"/>
      <c r="DT163" s="416"/>
      <c r="DU163" s="420"/>
      <c r="DV163" s="420"/>
      <c r="DW163" s="421"/>
      <c r="DX163" s="420"/>
      <c r="DY163" s="338"/>
      <c r="DZ163" s="416"/>
      <c r="EA163" s="420"/>
      <c r="EB163" s="338"/>
      <c r="EC163" s="416"/>
      <c r="ED163" s="420"/>
      <c r="EE163" s="338"/>
      <c r="EF163" s="416"/>
      <c r="EG163" s="420"/>
      <c r="EH163" s="338"/>
      <c r="EI163" s="338"/>
    </row>
    <row r="164" customFormat="false" ht="15" hidden="false" customHeight="false" outlineLevel="0" collapsed="false">
      <c r="A164" s="332" t="n">
        <f aca="false">WORLDCUP!AD101</f>
        <v>0</v>
      </c>
      <c r="B164" s="332" t="n">
        <f aca="false">WORLDCUP!AC101</f>
        <v>0</v>
      </c>
      <c r="C164" s="422" t="str">
        <f aca="false">CONCATENATE(WORLDCUP!AF101,"-",WORLDCUP!AA101)</f>
        <v>2B-2A</v>
      </c>
      <c r="D164" s="422" t="str">
        <f aca="false">IF(WORLDCUP!AC101&gt;WORLDCUP!AD101,2,IF(WORLDCUP!AC101&lt;WORLDCUP!AD101,1,IF(AND(WORLDCUP!AC101=WORLDCUP!AD101,WORLDCUP!AC101&lt;&gt;"",WORLDCUP!AD101&lt;&gt;""),0,"PD")))</f>
        <v>PD</v>
      </c>
      <c r="E164" s="422" t="str">
        <f aca="false">IF(OR(WORLDCUP!AC101="",WORLDCUP!AD101=""),"-",A164&amp;"-"&amp;B164)</f>
        <v>-</v>
      </c>
      <c r="F164" s="423" t="n">
        <f aca="false">SUM($D$16:$D$18)*I164</f>
        <v>17</v>
      </c>
      <c r="G164" s="423" t="n">
        <f aca="false">VLOOKUP(H164,Equipos!$Q$1:$R$25,2,0)</f>
        <v>20</v>
      </c>
      <c r="H164" s="424" t="str">
        <f aca="false">Idiomas!$D$260</f>
        <v>Dieciseisavos de final</v>
      </c>
      <c r="I164" s="425" t="n">
        <v>1</v>
      </c>
      <c r="J164" s="418" t="s">
        <v>147</v>
      </c>
      <c r="K164" s="354" t="str">
        <f aca="false">CONCATENATE(WORLDCUP!AA101,"-",WORLDCUP!AF101)</f>
        <v>2A-2B</v>
      </c>
      <c r="L164" s="354"/>
      <c r="M164" s="359" t="str">
        <f aca="false">IF(OR(WORLDCUP!AC101="",WORLDCUP!AD101=""),"-",N164&amp;"|"&amp;O164&amp;"-"&amp;P164)</f>
        <v>-</v>
      </c>
      <c r="N164" s="332" t="str">
        <f aca="false">IF(OR(WORLDCUP!AC101="",WORLDCUP!AD101=""),"",IF(WORLDCUP!AC101&gt;WORLDCUP!AD101,"1",IF(WORLDCUP!AC101&lt;WORLDCUP!AD101,"2","X")))</f>
        <v/>
      </c>
      <c r="O164" s="332" t="n">
        <f aca="false">WORLDCUP!AC101</f>
        <v>0</v>
      </c>
      <c r="P164" s="332" t="n">
        <f aca="false">WORLDCUP!AD101</f>
        <v>0</v>
      </c>
      <c r="Q164" s="332" t="n">
        <f aca="false">ABS(O164-P164)</f>
        <v>0</v>
      </c>
      <c r="R164" s="404"/>
      <c r="S164" s="370" t="s">
        <v>267</v>
      </c>
      <c r="T164" s="356" t="n">
        <f aca="false">IFERROR(IF($M164=S164,($D$8+$D$9+$D$10)*$I164,IF($N164=LEFT(S164,1),($D$8+MAX(0,IF($D$50=1,$D$9*(1-(ABS($Q164-ABS(VALUE(MID(S164,FIND("|",S164)+1,FIND("-",S164)-FIND("|",S164)-1))-VALUE(MID(S164,FIND("-",S164)+1,10)))))*$D$50),$D$9*(1-(IF($N164="X",ABS($O164-VALUE(MID(S164,FIND("|",S164)+1,FIND("-",S164)-FIND("|",S164)-1))),ABS($Q164-ABS(VALUE(MID(S164,FIND("|",S164)+1,FIND("-",S164)-FIND("|",S164)-1))-VALUE(MID(S164,FIND("-",S164)+1,10)))))*$D$50)))))*$I164,0)),0)</f>
        <v>0</v>
      </c>
      <c r="U164" s="404"/>
      <c r="V164" s="370" t="s">
        <v>267</v>
      </c>
      <c r="W164" s="356" t="n">
        <f aca="false">IFERROR(IF($M164=V164,($D$8+$D$9+$D$10)*$I164,IF($N164=LEFT(V164,1),($D$8+MAX(0,IF($D$50=1,$D$9*(1-(ABS($Q164-ABS(VALUE(MID(V164,FIND("|",V164)+1,FIND("-",V164)-FIND("|",V164)-1))-VALUE(MID(V164,FIND("-",V164)+1,10)))))*$D$50),$D$9*(1-(IF($N164="X",ABS($O164-VALUE(MID(V164,FIND("|",V164)+1,FIND("-",V164)-FIND("|",V164)-1))),ABS($Q164-ABS(VALUE(MID(V164,FIND("|",V164)+1,FIND("-",V164)-FIND("|",V164)-1))-VALUE(MID(V164,FIND("-",V164)+1,10)))))*$D$50)))))*$I164,0)),0)</f>
        <v>0</v>
      </c>
      <c r="X164" s="404"/>
      <c r="Y164" s="370" t="s">
        <v>268</v>
      </c>
      <c r="Z164" s="356" t="n">
        <f aca="false">IFERROR(IF($M164=Y164,($D$8+$D$9+$D$10)*$I164,IF($N164=LEFT(Y164,1),($D$8+MAX(0,IF($D$50=1,$D$9*(1-(ABS($Q164-ABS(VALUE(MID(Y164,FIND("|",Y164)+1,FIND("-",Y164)-FIND("|",Y164)-1))-VALUE(MID(Y164,FIND("-",Y164)+1,10)))))*$D$50),$D$9*(1-(IF($N164="X",ABS($O164-VALUE(MID(Y164,FIND("|",Y164)+1,FIND("-",Y164)-FIND("|",Y164)-1))),ABS($Q164-ABS(VALUE(MID(Y164,FIND("|",Y164)+1,FIND("-",Y164)-FIND("|",Y164)-1))-VALUE(MID(Y164,FIND("-",Y164)+1,10)))))*$D$50)))))*$I164,0)),0)</f>
        <v>0</v>
      </c>
      <c r="AA164" s="404"/>
      <c r="AB164" s="370" t="s">
        <v>265</v>
      </c>
      <c r="AC164" s="356" t="n">
        <f aca="false">IFERROR(IF($M164=AB164,($D$8+$D$9+$D$10)*$I164,IF($N164=LEFT(AB164,1),($D$8+MAX(0,IF($D$50=1,$D$9*(1-(ABS($Q164-ABS(VALUE(MID(AB164,FIND("|",AB164)+1,FIND("-",AB164)-FIND("|",AB164)-1))-VALUE(MID(AB164,FIND("-",AB164)+1,10)))))*$D$50),$D$9*(1-(IF($N164="X",ABS($O164-VALUE(MID(AB164,FIND("|",AB164)+1,FIND("-",AB164)-FIND("|",AB164)-1))),ABS($Q164-ABS(VALUE(MID(AB164,FIND("|",AB164)+1,FIND("-",AB164)-FIND("|",AB164)-1))-VALUE(MID(AB164,FIND("-",AB164)+1,10)))))*$D$50)))))*$I164,0)),0)</f>
        <v>0</v>
      </c>
      <c r="AD164" s="404"/>
      <c r="AE164" s="370" t="s">
        <v>266</v>
      </c>
      <c r="AF164" s="356" t="n">
        <f aca="false">IFERROR(IF($M164=AE164,($D$8+$D$9+$D$10)*$I164,IF($N164=LEFT(AE164,1),($D$8+MAX(0,IF($D$50=1,$D$9*(1-(ABS($Q164-ABS(VALUE(MID(AE164,FIND("|",AE164)+1,FIND("-",AE164)-FIND("|",AE164)-1))-VALUE(MID(AE164,FIND("-",AE164)+1,10)))))*$D$50),$D$9*(1-(IF($N164="X",ABS($O164-VALUE(MID(AE164,FIND("|",AE164)+1,FIND("-",AE164)-FIND("|",AE164)-1))),ABS($Q164-ABS(VALUE(MID(AE164,FIND("|",AE164)+1,FIND("-",AE164)-FIND("|",AE164)-1))-VALUE(MID(AE164,FIND("-",AE164)+1,10)))))*$D$50)))))*$I164,0)),0)</f>
        <v>0</v>
      </c>
      <c r="AG164" s="404"/>
      <c r="AH164" s="370" t="s">
        <v>264</v>
      </c>
      <c r="AI164" s="356" t="n">
        <f aca="false">IFERROR(IF($M164=AH164,($D$8+$D$9+$D$10)*$I164,IF($N164=LEFT(AH164,1),($D$8+MAX(0,IF($D$50=1,$D$9*(1-(ABS($Q164-ABS(VALUE(MID(AH164,FIND("|",AH164)+1,FIND("-",AH164)-FIND("|",AH164)-1))-VALUE(MID(AH164,FIND("-",AH164)+1,10)))))*$D$50),$D$9*(1-(IF($N164="X",ABS($O164-VALUE(MID(AH164,FIND("|",AH164)+1,FIND("-",AH164)-FIND("|",AH164)-1))),ABS($Q164-ABS(VALUE(MID(AH164,FIND("|",AH164)+1,FIND("-",AH164)-FIND("|",AH164)-1))-VALUE(MID(AH164,FIND("-",AH164)+1,10)))))*$D$50)))))*$I164,0)),0)</f>
        <v>0</v>
      </c>
      <c r="AJ164" s="404"/>
      <c r="AK164" s="370" t="s">
        <v>264</v>
      </c>
      <c r="AL164" s="356" t="n">
        <f aca="false">IFERROR(IF($M164=AK164,($D$8+$D$9+$D$10)*$I164,IF($N164=LEFT(AK164,1),($D$8+MAX(0,IF($D$50=1,$D$9*(1-(ABS($Q164-ABS(VALUE(MID(AK164,FIND("|",AK164)+1,FIND("-",AK164)-FIND("|",AK164)-1))-VALUE(MID(AK164,FIND("-",AK164)+1,10)))))*$D$50),$D$9*(1-(IF($N164="X",ABS($O164-VALUE(MID(AK164,FIND("|",AK164)+1,FIND("-",AK164)-FIND("|",AK164)-1))),ABS($Q164-ABS(VALUE(MID(AK164,FIND("|",AK164)+1,FIND("-",AK164)-FIND("|",AK164)-1))-VALUE(MID(AK164,FIND("-",AK164)+1,10)))))*$D$50)))))*$I164,0)),0)</f>
        <v>0</v>
      </c>
      <c r="AM164" s="404"/>
      <c r="AN164" s="370" t="s">
        <v>265</v>
      </c>
      <c r="AO164" s="356" t="n">
        <f aca="false">IFERROR(IF($M164=AN164,($D$8+$D$9+$D$10)*$I164,IF($N164=LEFT(AN164,1),($D$8+MAX(0,IF($D$50=1,$D$9*(1-(ABS($Q164-ABS(VALUE(MID(AN164,FIND("|",AN164)+1,FIND("-",AN164)-FIND("|",AN164)-1))-VALUE(MID(AN164,FIND("-",AN164)+1,10)))))*$D$50),$D$9*(1-(IF($N164="X",ABS($O164-VALUE(MID(AN164,FIND("|",AN164)+1,FIND("-",AN164)-FIND("|",AN164)-1))),ABS($Q164-ABS(VALUE(MID(AN164,FIND("|",AN164)+1,FIND("-",AN164)-FIND("|",AN164)-1))-VALUE(MID(AN164,FIND("-",AN164)+1,10)))))*$D$50)))))*$I164,0)),0)</f>
        <v>0</v>
      </c>
      <c r="AP164" s="404"/>
      <c r="AQ164" s="370" t="s">
        <v>267</v>
      </c>
      <c r="AR164" s="356" t="n">
        <f aca="false">IFERROR(IF($M164=AQ164,($D$8+$D$9+$D$10)*$I164,IF($N164=LEFT(AQ164,1),($D$8+MAX(0,IF($D$50=1,$D$9*(1-(ABS($Q164-ABS(VALUE(MID(AQ164,FIND("|",AQ164)+1,FIND("-",AQ164)-FIND("|",AQ164)-1))-VALUE(MID(AQ164,FIND("-",AQ164)+1,10)))))*$D$50),$D$9*(1-(IF($N164="X",ABS($O164-VALUE(MID(AQ164,FIND("|",AQ164)+1,FIND("-",AQ164)-FIND("|",AQ164)-1))),ABS($Q164-ABS(VALUE(MID(AQ164,FIND("|",AQ164)+1,FIND("-",AQ164)-FIND("|",AQ164)-1))-VALUE(MID(AQ164,FIND("-",AQ164)+1,10)))))*$D$50)))))*$I164,0)),0)</f>
        <v>0</v>
      </c>
      <c r="AS164" s="404"/>
      <c r="AT164" s="370" t="s">
        <v>267</v>
      </c>
      <c r="AU164" s="356" t="n">
        <f aca="false">IFERROR(IF($M164=AT164,($D$8+$D$9+$D$10)*$I164,IF($N164=LEFT(AT164,1),($D$8+MAX(0,IF($D$50=1,$D$9*(1-(ABS($Q164-ABS(VALUE(MID(AT164,FIND("|",AT164)+1,FIND("-",AT164)-FIND("|",AT164)-1))-VALUE(MID(AT164,FIND("-",AT164)+1,10)))))*$D$50),$D$9*(1-(IF($N164="X",ABS($O164-VALUE(MID(AT164,FIND("|",AT164)+1,FIND("-",AT164)-FIND("|",AT164)-1))),ABS($Q164-ABS(VALUE(MID(AT164,FIND("|",AT164)+1,FIND("-",AT164)-FIND("|",AT164)-1))-VALUE(MID(AT164,FIND("-",AT164)+1,10)))))*$D$50)))))*$I164,0)),0)</f>
        <v>0</v>
      </c>
      <c r="AV164" s="404"/>
      <c r="AW164" s="370" t="s">
        <v>264</v>
      </c>
      <c r="AX164" s="356" t="n">
        <f aca="false">IFERROR(IF($M164=AW164,($D$8+$D$9+$D$10)*$I164,IF($N164=LEFT(AW164,1),($D$8+MAX(0,IF($D$50=1,$D$9*(1-(ABS($Q164-ABS(VALUE(MID(AW164,FIND("|",AW164)+1,FIND("-",AW164)-FIND("|",AW164)-1))-VALUE(MID(AW164,FIND("-",AW164)+1,10)))))*$D$50),$D$9*(1-(IF($N164="X",ABS($O164-VALUE(MID(AW164,FIND("|",AW164)+1,FIND("-",AW164)-FIND("|",AW164)-1))),ABS($Q164-ABS(VALUE(MID(AW164,FIND("|",AW164)+1,FIND("-",AW164)-FIND("|",AW164)-1))-VALUE(MID(AW164,FIND("-",AW164)+1,10)))))*$D$50)))))*$I164,0)),0)</f>
        <v>0</v>
      </c>
      <c r="AY164" s="404"/>
      <c r="AZ164" s="370" t="s">
        <v>264</v>
      </c>
      <c r="BA164" s="356" t="n">
        <f aca="false">IFERROR(IF($M164=AZ164,($D$8+$D$9+$D$10)*$I164,IF($N164=LEFT(AZ164,1),($D$8+MAX(0,IF($D$50=1,$D$9*(1-(ABS($Q164-ABS(VALUE(MID(AZ164,FIND("|",AZ164)+1,FIND("-",AZ164)-FIND("|",AZ164)-1))-VALUE(MID(AZ164,FIND("-",AZ164)+1,10)))))*$D$50),$D$9*(1-(IF($N164="X",ABS($O164-VALUE(MID(AZ164,FIND("|",AZ164)+1,FIND("-",AZ164)-FIND("|",AZ164)-1))),ABS($Q164-ABS(VALUE(MID(AZ164,FIND("|",AZ164)+1,FIND("-",AZ164)-FIND("|",AZ164)-1))-VALUE(MID(AZ164,FIND("-",AZ164)+1,10)))))*$D$50)))))*$I164,0)),0)</f>
        <v>0</v>
      </c>
      <c r="BB164" s="404"/>
      <c r="BC164" s="370" t="s">
        <v>264</v>
      </c>
      <c r="BD164" s="356" t="n">
        <f aca="false">IFERROR(IF($M164=BC164,($D$8+$D$9+$D$10)*$I164,IF($N164=LEFT(BC164,1),($D$8+MAX(0,IF($D$50=1,$D$9*(1-(ABS($Q164-ABS(VALUE(MID(BC164,FIND("|",BC164)+1,FIND("-",BC164)-FIND("|",BC164)-1))-VALUE(MID(BC164,FIND("-",BC164)+1,10)))))*$D$50),$D$9*(1-(IF($N164="X",ABS($O164-VALUE(MID(BC164,FIND("|",BC164)+1,FIND("-",BC164)-FIND("|",BC164)-1))),ABS($Q164-ABS(VALUE(MID(BC164,FIND("|",BC164)+1,FIND("-",BC164)-FIND("|",BC164)-1))-VALUE(MID(BC164,FIND("-",BC164)+1,10)))))*$D$50)))))*$I164,0)),0)</f>
        <v>0</v>
      </c>
      <c r="BE164" s="404"/>
      <c r="BF164" s="370" t="s">
        <v>271</v>
      </c>
      <c r="BG164" s="356" t="n">
        <f aca="false">IFERROR(IF($M164=BF164,($D$8+$D$9+$D$10)*$I164,IF($N164=LEFT(BF164,1),($D$8+MAX(0,IF($D$50=1,$D$9*(1-(ABS($Q164-ABS(VALUE(MID(BF164,FIND("|",BF164)+1,FIND("-",BF164)-FIND("|",BF164)-1))-VALUE(MID(BF164,FIND("-",BF164)+1,10)))))*$D$50),$D$9*(1-(IF($N164="X",ABS($O164-VALUE(MID(BF164,FIND("|",BF164)+1,FIND("-",BF164)-FIND("|",BF164)-1))),ABS($Q164-ABS(VALUE(MID(BF164,FIND("|",BF164)+1,FIND("-",BF164)-FIND("|",BF164)-1))-VALUE(MID(BF164,FIND("-",BF164)+1,10)))))*$D$50)))))*$I164,0)),0)</f>
        <v>0</v>
      </c>
      <c r="BH164" s="404"/>
      <c r="BI164" s="370" t="s">
        <v>265</v>
      </c>
      <c r="BJ164" s="356" t="n">
        <f aca="false">IFERROR(IF($M164=BI164,($D$8+$D$9+$D$10)*$I164,IF($N164=LEFT(BI164,1),($D$8+MAX(0,IF($D$50=1,$D$9*(1-(ABS($Q164-ABS(VALUE(MID(BI164,FIND("|",BI164)+1,FIND("-",BI164)-FIND("|",BI164)-1))-VALUE(MID(BI164,FIND("-",BI164)+1,10)))))*$D$50),$D$9*(1-(IF($N164="X",ABS($O164-VALUE(MID(BI164,FIND("|",BI164)+1,FIND("-",BI164)-FIND("|",BI164)-1))),ABS($Q164-ABS(VALUE(MID(BI164,FIND("|",BI164)+1,FIND("-",BI164)-FIND("|",BI164)-1))-VALUE(MID(BI164,FIND("-",BI164)+1,10)))))*$D$50)))))*$I164,0)),0)</f>
        <v>0</v>
      </c>
      <c r="BK164" s="404"/>
      <c r="BL164" s="370" t="s">
        <v>268</v>
      </c>
      <c r="BM164" s="356" t="n">
        <f aca="false">IFERROR(IF($M164=BL164,($D$8+$D$9+$D$10)*$I164,IF($N164=LEFT(BL164,1),($D$8+MAX(0,IF($D$50=1,$D$9*(1-(ABS($Q164-ABS(VALUE(MID(BL164,FIND("|",BL164)+1,FIND("-",BL164)-FIND("|",BL164)-1))-VALUE(MID(BL164,FIND("-",BL164)+1,10)))))*$D$50),$D$9*(1-(IF($N164="X",ABS($O164-VALUE(MID(BL164,FIND("|",BL164)+1,FIND("-",BL164)-FIND("|",BL164)-1))),ABS($Q164-ABS(VALUE(MID(BL164,FIND("|",BL164)+1,FIND("-",BL164)-FIND("|",BL164)-1))-VALUE(MID(BL164,FIND("-",BL164)+1,10)))))*$D$50)))))*$I164,0)),0)</f>
        <v>0</v>
      </c>
      <c r="BN164" s="404"/>
      <c r="BO164" s="370" t="s">
        <v>267</v>
      </c>
      <c r="BP164" s="356" t="n">
        <f aca="false">IFERROR(IF($M164=BO164,($D$8+$D$9+$D$10)*$I164,IF($N164=LEFT(BO164,1),($D$8+MAX(0,IF($D$50=1,$D$9*(1-(ABS($Q164-ABS(VALUE(MID(BO164,FIND("|",BO164)+1,FIND("-",BO164)-FIND("|",BO164)-1))-VALUE(MID(BO164,FIND("-",BO164)+1,10)))))*$D$50),$D$9*(1-(IF($N164="X",ABS($O164-VALUE(MID(BO164,FIND("|",BO164)+1,FIND("-",BO164)-FIND("|",BO164)-1))),ABS($Q164-ABS(VALUE(MID(BO164,FIND("|",BO164)+1,FIND("-",BO164)-FIND("|",BO164)-1))-VALUE(MID(BO164,FIND("-",BO164)+1,10)))))*$D$50)))))*$I164,0)),0)</f>
        <v>0</v>
      </c>
      <c r="BQ164" s="404"/>
      <c r="BR164" s="370" t="s">
        <v>267</v>
      </c>
      <c r="BS164" s="356" t="n">
        <f aca="false">IFERROR(IF($M164=BR164,($D$8+$D$9+$D$10)*$I164,IF($N164=LEFT(BR164,1),($D$8+MAX(0,IF($D$50=1,$D$9*(1-(ABS($Q164-ABS(VALUE(MID(BR164,FIND("|",BR164)+1,FIND("-",BR164)-FIND("|",BR164)-1))-VALUE(MID(BR164,FIND("-",BR164)+1,10)))))*$D$50),$D$9*(1-(IF($N164="X",ABS($O164-VALUE(MID(BR164,FIND("|",BR164)+1,FIND("-",BR164)-FIND("|",BR164)-1))),ABS($Q164-ABS(VALUE(MID(BR164,FIND("|",BR164)+1,FIND("-",BR164)-FIND("|",BR164)-1))-VALUE(MID(BR164,FIND("-",BR164)+1,10)))))*$D$50)))))*$I164,0)),0)</f>
        <v>0</v>
      </c>
      <c r="BT164" s="404"/>
      <c r="BU164" s="370" t="str">
        <f aca="false">Idiomas!$D$367</f>
        <v>Pegar Valores Dieciseisavos</v>
      </c>
      <c r="BV164" s="356" t="n">
        <f aca="false">IFERROR(IF($M164=BU164,($D$8+$D$9+$D$10)*$I164,IF($N164=LEFT(BU164,1),($D$8+MAX(0,IF($D$50=1,$D$9*(1-(ABS($Q164-ABS(VALUE(MID(BU164,FIND("|",BU164)+1,FIND("-",BU164)-FIND("|",BU164)-1))-VALUE(MID(BU164,FIND("-",BU164)+1,10)))))*$D$50),$D$9*(1-(IF($N164="X",ABS($O164-VALUE(MID(BU164,FIND("|",BU164)+1,FIND("-",BU164)-FIND("|",BU164)-1))),ABS($Q164-ABS(VALUE(MID(BU164,FIND("|",BU164)+1,FIND("-",BU164)-FIND("|",BU164)-1))-VALUE(MID(BU164,FIND("-",BU164)+1,10)))))*$D$50)))))*$I164,0)),0)</f>
        <v>0</v>
      </c>
      <c r="BW164" s="404"/>
      <c r="BX164" s="370" t="str">
        <f aca="false">Idiomas!$D$367</f>
        <v>Pegar Valores Dieciseisavos</v>
      </c>
      <c r="BY164" s="356" t="n">
        <f aca="false">IFERROR(IF($M164=BX164,($D$8+$D$9+$D$10)*$I164,IF($N164=LEFT(BX164,1),($D$8+MAX(0,IF($D$50=1,$D$9*(1-(ABS($Q164-ABS(VALUE(MID(BX164,FIND("|",BX164)+1,FIND("-",BX164)-FIND("|",BX164)-1))-VALUE(MID(BX164,FIND("-",BX164)+1,10)))))*$D$50),$D$9*(1-(IF($N164="X",ABS($O164-VALUE(MID(BX164,FIND("|",BX164)+1,FIND("-",BX164)-FIND("|",BX164)-1))),ABS($Q164-ABS(VALUE(MID(BX164,FIND("|",BX164)+1,FIND("-",BX164)-FIND("|",BX164)-1))-VALUE(MID(BX164,FIND("-",BX164)+1,10)))))*$D$50)))))*$I164,0)),0)</f>
        <v>0</v>
      </c>
      <c r="BZ164" s="404"/>
      <c r="CA164" s="370" t="str">
        <f aca="false">Idiomas!$D$367</f>
        <v>Pegar Valores Dieciseisavos</v>
      </c>
      <c r="CB164" s="356" t="n">
        <f aca="false">IFERROR(IF($M164=CA164,($D$8+$D$9+$D$10)*$I164,IF($N164=LEFT(CA164,1),($D$8+MAX(0,IF($D$50=1,$D$9*(1-(ABS($Q164-ABS(VALUE(MID(CA164,FIND("|",CA164)+1,FIND("-",CA164)-FIND("|",CA164)-1))-VALUE(MID(CA164,FIND("-",CA164)+1,10)))))*$D$50),$D$9*(1-(IF($N164="X",ABS($O164-VALUE(MID(CA164,FIND("|",CA164)+1,FIND("-",CA164)-FIND("|",CA164)-1))),ABS($Q164-ABS(VALUE(MID(CA164,FIND("|",CA164)+1,FIND("-",CA164)-FIND("|",CA164)-1))-VALUE(MID(CA164,FIND("-",CA164)+1,10)))))*$D$50)))))*$I164,0)),0)</f>
        <v>0</v>
      </c>
      <c r="CC164" s="404"/>
      <c r="CD164" s="370" t="str">
        <f aca="false">Idiomas!$D$367</f>
        <v>Pegar Valores Dieciseisavos</v>
      </c>
      <c r="CE164" s="356" t="n">
        <f aca="false">IFERROR(IF($M164=CD164,($D$8+$D$9+$D$10)*$I164,IF($N164=LEFT(CD164,1),($D$8+MAX(0,IF($D$50=1,$D$9*(1-(ABS($Q164-ABS(VALUE(MID(CD164,FIND("|",CD164)+1,FIND("-",CD164)-FIND("|",CD164)-1))-VALUE(MID(CD164,FIND("-",CD164)+1,10)))))*$D$50),$D$9*(1-(IF($N164="X",ABS($O164-VALUE(MID(CD164,FIND("|",CD164)+1,FIND("-",CD164)-FIND("|",CD164)-1))),ABS($Q164-ABS(VALUE(MID(CD164,FIND("|",CD164)+1,FIND("-",CD164)-FIND("|",CD164)-1))-VALUE(MID(CD164,FIND("-",CD164)+1,10)))))*$D$50)))))*$I164,0)),0)</f>
        <v>0</v>
      </c>
      <c r="CF164" s="404"/>
      <c r="CG164" s="370" t="str">
        <f aca="false">Idiomas!$D$367</f>
        <v>Pegar Valores Dieciseisavos</v>
      </c>
      <c r="CH164" s="356" t="n">
        <f aca="false">IFERROR(IF($M164=CG164,($D$8+$D$9+$D$10)*$I164,IF($N164=LEFT(CG164,1),($D$8+MAX(0,IF($D$50=1,$D$9*(1-(ABS($Q164-ABS(VALUE(MID(CG164,FIND("|",CG164)+1,FIND("-",CG164)-FIND("|",CG164)-1))-VALUE(MID(CG164,FIND("-",CG164)+1,10)))))*$D$50),$D$9*(1-(IF($N164="X",ABS($O164-VALUE(MID(CG164,FIND("|",CG164)+1,FIND("-",CG164)-FIND("|",CG164)-1))),ABS($Q164-ABS(VALUE(MID(CG164,FIND("|",CG164)+1,FIND("-",CG164)-FIND("|",CG164)-1))-VALUE(MID(CG164,FIND("-",CG164)+1,10)))))*$D$50)))))*$I164,0)),0)</f>
        <v>0</v>
      </c>
      <c r="CI164" s="404"/>
      <c r="CJ164" s="370" t="str">
        <f aca="false">Idiomas!$D$367</f>
        <v>Pegar Valores Dieciseisavos</v>
      </c>
      <c r="CK164" s="356" t="n">
        <f aca="false">IFERROR(IF($M164=CJ164,($D$8+$D$9+$D$10)*$I164,IF($N164=LEFT(CJ164,1),($D$8+MAX(0,IF($D$50=1,$D$9*(1-(ABS($Q164-ABS(VALUE(MID(CJ164,FIND("|",CJ164)+1,FIND("-",CJ164)-FIND("|",CJ164)-1))-VALUE(MID(CJ164,FIND("-",CJ164)+1,10)))))*$D$50),$D$9*(1-(IF($N164="X",ABS($O164-VALUE(MID(CJ164,FIND("|",CJ164)+1,FIND("-",CJ164)-FIND("|",CJ164)-1))),ABS($Q164-ABS(VALUE(MID(CJ164,FIND("|",CJ164)+1,FIND("-",CJ164)-FIND("|",CJ164)-1))-VALUE(MID(CJ164,FIND("-",CJ164)+1,10)))))*$D$50)))))*$I164,0)),0)</f>
        <v>0</v>
      </c>
      <c r="CL164" s="404"/>
      <c r="CM164" s="370" t="str">
        <f aca="false">Idiomas!$D$367</f>
        <v>Pegar Valores Dieciseisavos</v>
      </c>
      <c r="CN164" s="356" t="n">
        <f aca="false">IFERROR(IF($M164=CM164,($D$8+$D$9+$D$10)*$I164,IF($N164=LEFT(CM164,1),($D$8+MAX(0,IF($D$50=1,$D$9*(1-(ABS($Q164-ABS(VALUE(MID(CM164,FIND("|",CM164)+1,FIND("-",CM164)-FIND("|",CM164)-1))-VALUE(MID(CM164,FIND("-",CM164)+1,10)))))*$D$50),$D$9*(1-(IF($N164="X",ABS($O164-VALUE(MID(CM164,FIND("|",CM164)+1,FIND("-",CM164)-FIND("|",CM164)-1))),ABS($Q164-ABS(VALUE(MID(CM164,FIND("|",CM164)+1,FIND("-",CM164)-FIND("|",CM164)-1))-VALUE(MID(CM164,FIND("-",CM164)+1,10)))))*$D$50)))))*$I164,0)),0)</f>
        <v>0</v>
      </c>
      <c r="CO164" s="404"/>
      <c r="CP164" s="370" t="str">
        <f aca="false">Idiomas!$D$367</f>
        <v>Pegar Valores Dieciseisavos</v>
      </c>
      <c r="CQ164" s="356" t="n">
        <f aca="false">IFERROR(IF($M164=CP164,($D$8+$D$9+$D$10)*$I164,IF($N164=LEFT(CP164,1),($D$8+MAX(0,IF($D$50=1,$D$9*(1-(ABS($Q164-ABS(VALUE(MID(CP164,FIND("|",CP164)+1,FIND("-",CP164)-FIND("|",CP164)-1))-VALUE(MID(CP164,FIND("-",CP164)+1,10)))))*$D$50),$D$9*(1-(IF($N164="X",ABS($O164-VALUE(MID(CP164,FIND("|",CP164)+1,FIND("-",CP164)-FIND("|",CP164)-1))),ABS($Q164-ABS(VALUE(MID(CP164,FIND("|",CP164)+1,FIND("-",CP164)-FIND("|",CP164)-1))-VALUE(MID(CP164,FIND("-",CP164)+1,10)))))*$D$50)))))*$I164,0)),0)</f>
        <v>0</v>
      </c>
      <c r="CR164" s="404"/>
      <c r="CS164" s="370" t="str">
        <f aca="false">Idiomas!$D$367</f>
        <v>Pegar Valores Dieciseisavos</v>
      </c>
      <c r="CT164" s="356" t="n">
        <f aca="false">IFERROR(IF($M164=CS164,($D$8+$D$9+$D$10)*$I164,IF($N164=LEFT(CS164,1),($D$8+MAX(0,IF($D$50=1,$D$9*(1-(ABS($Q164-ABS(VALUE(MID(CS164,FIND("|",CS164)+1,FIND("-",CS164)-FIND("|",CS164)-1))-VALUE(MID(CS164,FIND("-",CS164)+1,10)))))*$D$50),$D$9*(1-(IF($N164="X",ABS($O164-VALUE(MID(CS164,FIND("|",CS164)+1,FIND("-",CS164)-FIND("|",CS164)-1))),ABS($Q164-ABS(VALUE(MID(CS164,FIND("|",CS164)+1,FIND("-",CS164)-FIND("|",CS164)-1))-VALUE(MID(CS164,FIND("-",CS164)+1,10)))))*$D$50)))))*$I164,0)),0)</f>
        <v>0</v>
      </c>
      <c r="CU164" s="404"/>
      <c r="CV164" s="370" t="str">
        <f aca="false">Idiomas!$D$367</f>
        <v>Pegar Valores Dieciseisavos</v>
      </c>
      <c r="CW164" s="356" t="n">
        <f aca="false">IFERROR(IF($M164=CV164,($D$8+$D$9+$D$10)*$I164,IF($N164=LEFT(CV164,1),($D$8+MAX(0,IF($D$50=1,$D$9*(1-(ABS($Q164-ABS(VALUE(MID(CV164,FIND("|",CV164)+1,FIND("-",CV164)-FIND("|",CV164)-1))-VALUE(MID(CV164,FIND("-",CV164)+1,10)))))*$D$50),$D$9*(1-(IF($N164="X",ABS($O164-VALUE(MID(CV164,FIND("|",CV164)+1,FIND("-",CV164)-FIND("|",CV164)-1))),ABS($Q164-ABS(VALUE(MID(CV164,FIND("|",CV164)+1,FIND("-",CV164)-FIND("|",CV164)-1))-VALUE(MID(CV164,FIND("-",CV164)+1,10)))))*$D$50)))))*$I164,0)),0)</f>
        <v>0</v>
      </c>
      <c r="CX164" s="404"/>
      <c r="CY164" s="370" t="str">
        <f aca="false">Idiomas!$D$367</f>
        <v>Pegar Valores Dieciseisavos</v>
      </c>
      <c r="CZ164" s="356" t="n">
        <f aca="false">IFERROR(IF($M164=CY164,($D$8+$D$9+$D$10)*$I164,IF($N164=LEFT(CY164,1),($D$8+MAX(0,IF($D$50=1,$D$9*(1-(ABS($Q164-ABS(VALUE(MID(CY164,FIND("|",CY164)+1,FIND("-",CY164)-FIND("|",CY164)-1))-VALUE(MID(CY164,FIND("-",CY164)+1,10)))))*$D$50),$D$9*(1-(IF($N164="X",ABS($O164-VALUE(MID(CY164,FIND("|",CY164)+1,FIND("-",CY164)-FIND("|",CY164)-1))),ABS($Q164-ABS(VALUE(MID(CY164,FIND("|",CY164)+1,FIND("-",CY164)-FIND("|",CY164)-1))-VALUE(MID(CY164,FIND("-",CY164)+1,10)))))*$D$50)))))*$I164,0)),0)</f>
        <v>0</v>
      </c>
      <c r="DA164" s="404"/>
      <c r="DB164" s="370" t="str">
        <f aca="false">Idiomas!$D$367</f>
        <v>Pegar Valores Dieciseisavos</v>
      </c>
      <c r="DC164" s="356" t="n">
        <f aca="false">IFERROR(IF($M164=DB164,($D$8+$D$9+$D$10)*$I164,IF($N164=LEFT(DB164,1),($D$8+MAX(0,IF($D$50=1,$D$9*(1-(ABS($Q164-ABS(VALUE(MID(DB164,FIND("|",DB164)+1,FIND("-",DB164)-FIND("|",DB164)-1))-VALUE(MID(DB164,FIND("-",DB164)+1,10)))))*$D$50),$D$9*(1-(IF($N164="X",ABS($O164-VALUE(MID(DB164,FIND("|",DB164)+1,FIND("-",DB164)-FIND("|",DB164)-1))),ABS($Q164-ABS(VALUE(MID(DB164,FIND("|",DB164)+1,FIND("-",DB164)-FIND("|",DB164)-1))-VALUE(MID(DB164,FIND("-",DB164)+1,10)))))*$D$50)))))*$I164,0)),0)</f>
        <v>0</v>
      </c>
      <c r="DD164" s="404"/>
      <c r="DE164" s="370" t="str">
        <f aca="false">Idiomas!$D$367</f>
        <v>Pegar Valores Dieciseisavos</v>
      </c>
      <c r="DF164" s="356" t="n">
        <f aca="false">IFERROR(IF($M164=DE164,($D$8+$D$9+$D$10)*$I164,IF($N164=LEFT(DE164,1),($D$8+MAX(0,IF($D$50=1,$D$9*(1-(ABS($Q164-ABS(VALUE(MID(DE164,FIND("|",DE164)+1,FIND("-",DE164)-FIND("|",DE164)-1))-VALUE(MID(DE164,FIND("-",DE164)+1,10)))))*$D$50),$D$9*(1-(IF($N164="X",ABS($O164-VALUE(MID(DE164,FIND("|",DE164)+1,FIND("-",DE164)-FIND("|",DE164)-1))),ABS($Q164-ABS(VALUE(MID(DE164,FIND("|",DE164)+1,FIND("-",DE164)-FIND("|",DE164)-1))-VALUE(MID(DE164,FIND("-",DE164)+1,10)))))*$D$50)))))*$I164,0)),0)</f>
        <v>0</v>
      </c>
      <c r="DG164" s="404"/>
      <c r="DH164" s="370" t="str">
        <f aca="false">Idiomas!$D$367</f>
        <v>Pegar Valores Dieciseisavos</v>
      </c>
      <c r="DI164" s="356" t="n">
        <f aca="false">IFERROR(IF($M164=DH164,($D$8+$D$9+$D$10)*$I164,IF($N164=LEFT(DH164,1),($D$8+MAX(0,IF($D$50=1,$D$9*(1-(ABS($Q164-ABS(VALUE(MID(DH164,FIND("|",DH164)+1,FIND("-",DH164)-FIND("|",DH164)-1))-VALUE(MID(DH164,FIND("-",DH164)+1,10)))))*$D$50),$D$9*(1-(IF($N164="X",ABS($O164-VALUE(MID(DH164,FIND("|",DH164)+1,FIND("-",DH164)-FIND("|",DH164)-1))),ABS($Q164-ABS(VALUE(MID(DH164,FIND("|",DH164)+1,FIND("-",DH164)-FIND("|",DH164)-1))-VALUE(MID(DH164,FIND("-",DH164)+1,10)))))*$D$50)))))*$I164,0)),0)</f>
        <v>0</v>
      </c>
      <c r="DJ164" s="404"/>
      <c r="DK164" s="370" t="str">
        <f aca="false">Idiomas!$D$367</f>
        <v>Pegar Valores Dieciseisavos</v>
      </c>
      <c r="DL164" s="356" t="n">
        <f aca="false">IFERROR(IF($M164=DK164,($D$8+$D$9+$D$10)*$I164,IF($N164=LEFT(DK164,1),($D$8+MAX(0,IF($D$50=1,$D$9*(1-(ABS($Q164-ABS(VALUE(MID(DK164,FIND("|",DK164)+1,FIND("-",DK164)-FIND("|",DK164)-1))-VALUE(MID(DK164,FIND("-",DK164)+1,10)))))*$D$50),$D$9*(1-(IF($N164="X",ABS($O164-VALUE(MID(DK164,FIND("|",DK164)+1,FIND("-",DK164)-FIND("|",DK164)-1))),ABS($Q164-ABS(VALUE(MID(DK164,FIND("|",DK164)+1,FIND("-",DK164)-FIND("|",DK164)-1))-VALUE(MID(DK164,FIND("-",DK164)+1,10)))))*$D$50)))))*$I164,0)),0)</f>
        <v>0</v>
      </c>
      <c r="DM164" s="404"/>
      <c r="DN164" s="370" t="str">
        <f aca="false">Idiomas!$D$367</f>
        <v>Pegar Valores Dieciseisavos</v>
      </c>
      <c r="DO164" s="356" t="n">
        <f aca="false">IFERROR(IF($M164=DN164,($D$8+$D$9+$D$10)*$I164,IF($N164=LEFT(DN164,1),($D$8+MAX(0,IF($D$50=1,$D$9*(1-(ABS($Q164-ABS(VALUE(MID(DN164,FIND("|",DN164)+1,FIND("-",DN164)-FIND("|",DN164)-1))-VALUE(MID(DN164,FIND("-",DN164)+1,10)))))*$D$50),$D$9*(1-(IF($N164="X",ABS($O164-VALUE(MID(DN164,FIND("|",DN164)+1,FIND("-",DN164)-FIND("|",DN164)-1))),ABS($Q164-ABS(VALUE(MID(DN164,FIND("|",DN164)+1,FIND("-",DN164)-FIND("|",DN164)-1))-VALUE(MID(DN164,FIND("-",DN164)+1,10)))))*$D$50)))))*$I164,0)),0)</f>
        <v>0</v>
      </c>
      <c r="DP164" s="404"/>
      <c r="DQ164" s="370" t="str">
        <f aca="false">Idiomas!$D$367</f>
        <v>Pegar Valores Dieciseisavos</v>
      </c>
      <c r="DR164" s="356" t="n">
        <f aca="false">IFERROR(IF($M164=DQ164,($D$8+$D$9+$D$10)*$I164,IF($N164=LEFT(DQ164,1),($D$8+MAX(0,IF($D$50=1,$D$9*(1-(ABS($Q164-ABS(VALUE(MID(DQ164,FIND("|",DQ164)+1,FIND("-",DQ164)-FIND("|",DQ164)-1))-VALUE(MID(DQ164,FIND("-",DQ164)+1,10)))))*$D$50),$D$9*(1-(IF($N164="X",ABS($O164-VALUE(MID(DQ164,FIND("|",DQ164)+1,FIND("-",DQ164)-FIND("|",DQ164)-1))),ABS($Q164-ABS(VALUE(MID(DQ164,FIND("|",DQ164)+1,FIND("-",DQ164)-FIND("|",DQ164)-1))-VALUE(MID(DQ164,FIND("-",DQ164)+1,10)))))*$D$50)))))*$I164,0)),0)</f>
        <v>0</v>
      </c>
      <c r="DS164" s="404"/>
      <c r="DT164" s="370" t="str">
        <f aca="false">Idiomas!$D$367</f>
        <v>Pegar Valores Dieciseisavos</v>
      </c>
      <c r="DU164" s="356" t="n">
        <f aca="false">IFERROR(IF($M164=DT164,($D$8+$D$9+$D$10)*$I164,IF($N164=LEFT(DT164,1),($D$8+MAX(0,IF($D$50=1,$D$9*(1-(ABS($Q164-ABS(VALUE(MID(DT164,FIND("|",DT164)+1,FIND("-",DT164)-FIND("|",DT164)-1))-VALUE(MID(DT164,FIND("-",DT164)+1,10)))))*$D$50),$D$9*(1-(IF($N164="X",ABS($O164-VALUE(MID(DT164,FIND("|",DT164)+1,FIND("-",DT164)-FIND("|",DT164)-1))),ABS($Q164-ABS(VALUE(MID(DT164,FIND("|",DT164)+1,FIND("-",DT164)-FIND("|",DT164)-1))-VALUE(MID(DT164,FIND("-",DT164)+1,10)))))*$D$50)))))*$I164,0)),0)</f>
        <v>0</v>
      </c>
      <c r="DV164" s="404"/>
      <c r="DW164" s="370" t="str">
        <f aca="false">Idiomas!$D$367</f>
        <v>Pegar Valores Dieciseisavos</v>
      </c>
      <c r="DX164" s="356" t="n">
        <f aca="false">IFERROR(IF($M164=DW164,($D$8+$D$9+$D$10)*$I164,IF($N164=LEFT(DW164,1),($D$8+MAX(0,IF($D$50=1,$D$9*(1-(ABS($Q164-ABS(VALUE(MID(DW164,FIND("|",DW164)+1,FIND("-",DW164)-FIND("|",DW164)-1))-VALUE(MID(DW164,FIND("-",DW164)+1,10)))))*$D$50),$D$9*(1-(IF($N164="X",ABS($O164-VALUE(MID(DW164,FIND("|",DW164)+1,FIND("-",DW164)-FIND("|",DW164)-1))),ABS($Q164-ABS(VALUE(MID(DW164,FIND("|",DW164)+1,FIND("-",DW164)-FIND("|",DW164)-1))-VALUE(MID(DW164,FIND("-",DW164)+1,10)))))*$D$50)))))*$I164,0)),0)</f>
        <v>0</v>
      </c>
      <c r="DY164" s="404"/>
      <c r="DZ164" s="370" t="str">
        <f aca="false">Idiomas!$D$367</f>
        <v>Pegar Valores Dieciseisavos</v>
      </c>
      <c r="EA164" s="356" t="n">
        <f aca="false">IFERROR(IF($M164=DZ164,($D$8+$D$9+$D$10)*$I164,IF($N164=LEFT(DZ164,1),($D$8+MAX(0,IF($D$50=1,$D$9*(1-(ABS($Q164-ABS(VALUE(MID(DZ164,FIND("|",DZ164)+1,FIND("-",DZ164)-FIND("|",DZ164)-1))-VALUE(MID(DZ164,FIND("-",DZ164)+1,10)))))*$D$50),$D$9*(1-(IF($N164="X",ABS($O164-VALUE(MID(DZ164,FIND("|",DZ164)+1,FIND("-",DZ164)-FIND("|",DZ164)-1))),ABS($Q164-ABS(VALUE(MID(DZ164,FIND("|",DZ164)+1,FIND("-",DZ164)-FIND("|",DZ164)-1))-VALUE(MID(DZ164,FIND("-",DZ164)+1,10)))))*$D$50)))))*$I164,0)),0)</f>
        <v>0</v>
      </c>
      <c r="EB164" s="404"/>
      <c r="EC164" s="370" t="str">
        <f aca="false">Idiomas!$D$367</f>
        <v>Pegar Valores Dieciseisavos</v>
      </c>
      <c r="ED164" s="356" t="n">
        <f aca="false">IFERROR(IF($M164=EC164,($D$8+$D$9+$D$10)*$I164,IF($N164=LEFT(EC164,1),($D$8+MAX(0,IF($D$50=1,$D$9*(1-(ABS($Q164-ABS(VALUE(MID(EC164,FIND("|",EC164)+1,FIND("-",EC164)-FIND("|",EC164)-1))-VALUE(MID(EC164,FIND("-",EC164)+1,10)))))*$D$50),$D$9*(1-(IF($N164="X",ABS($O164-VALUE(MID(EC164,FIND("|",EC164)+1,FIND("-",EC164)-FIND("|",EC164)-1))),ABS($Q164-ABS(VALUE(MID(EC164,FIND("|",EC164)+1,FIND("-",EC164)-FIND("|",EC164)-1))-VALUE(MID(EC164,FIND("-",EC164)+1,10)))))*$D$50)))))*$I164,0)),0)</f>
        <v>0</v>
      </c>
      <c r="EE164" s="404"/>
      <c r="EF164" s="370" t="str">
        <f aca="false">Idiomas!$D$367</f>
        <v>Pegar Valores Dieciseisavos</v>
      </c>
      <c r="EG164" s="356" t="n">
        <f aca="false">IFERROR(IF($M164=EF164,($D$8+$D$9+$D$10)*$I164,IF($N164=LEFT(EF164,1),($D$8+MAX(0,IF($D$50=1,$D$9*(1-(ABS($Q164-ABS(VALUE(MID(EF164,FIND("|",EF164)+1,FIND("-",EF164)-FIND("|",EF164)-1))-VALUE(MID(EF164,FIND("-",EF164)+1,10)))))*$D$50),$D$9*(1-(IF($N164="X",ABS($O164-VALUE(MID(EF164,FIND("|",EF164)+1,FIND("-",EF164)-FIND("|",EF164)-1))),ABS($Q164-ABS(VALUE(MID(EF164,FIND("|",EF164)+1,FIND("-",EF164)-FIND("|",EF164)-1))-VALUE(MID(EF164,FIND("-",EF164)+1,10)))))*$D$50)))))*$I164,0)),0)</f>
        <v>0</v>
      </c>
      <c r="EH164" s="404"/>
      <c r="EI164" s="404"/>
    </row>
    <row r="165" customFormat="false" ht="15" hidden="false" customHeight="false" outlineLevel="0" collapsed="false">
      <c r="A165" s="332" t="n">
        <f aca="false">WORLDCUP!AD102</f>
        <v>0</v>
      </c>
      <c r="B165" s="332" t="n">
        <f aca="false">WORLDCUP!AC102</f>
        <v>0</v>
      </c>
      <c r="C165" s="422" t="str">
        <f aca="false">CONCATENATE(WORLDCUP!AF102,"-",WORLDCUP!AA102)</f>
        <v>2F-1C</v>
      </c>
      <c r="D165" s="422" t="str">
        <f aca="false">IF(WORLDCUP!AC102&gt;WORLDCUP!AD102,2,IF(WORLDCUP!AC102&lt;WORLDCUP!AD102,1,IF(AND(WORLDCUP!AC102=WORLDCUP!AD102,WORLDCUP!AC102&lt;&gt;"",WORLDCUP!AD102&lt;&gt;""),0,"PD")))</f>
        <v>PD</v>
      </c>
      <c r="E165" s="422" t="str">
        <f aca="false">IF(OR(WORLDCUP!AC102="",WORLDCUP!AD102=""),"-",A165&amp;"-"&amp;B165)</f>
        <v>-</v>
      </c>
      <c r="F165" s="423" t="n">
        <f aca="false">SUM($D$16:$D$18)*I165</f>
        <v>17</v>
      </c>
      <c r="G165" s="423" t="n">
        <f aca="false">VLOOKUP(H165,Equipos!$Q$1:$R$25,2,0)</f>
        <v>20</v>
      </c>
      <c r="H165" s="424" t="str">
        <f aca="false">Idiomas!$D$260</f>
        <v>Dieciseisavos de final</v>
      </c>
      <c r="I165" s="425" t="n">
        <v>1</v>
      </c>
      <c r="J165" s="418"/>
      <c r="K165" s="367" t="str">
        <f aca="false">CONCATENATE(WORLDCUP!AA102,"-",WORLDCUP!AF102)</f>
        <v>1C-2F</v>
      </c>
      <c r="L165" s="354"/>
      <c r="M165" s="359" t="str">
        <f aca="false">IF(OR(WORLDCUP!AC102="",WORLDCUP!AD102=""),"-",N165&amp;"|"&amp;O165&amp;"-"&amp;P165)</f>
        <v>-</v>
      </c>
      <c r="N165" s="332" t="str">
        <f aca="false">IF(OR(WORLDCUP!AC102="",WORLDCUP!AD102=""),"",IF(WORLDCUP!AC102&gt;WORLDCUP!AD102,"1",IF(WORLDCUP!AC102&lt;WORLDCUP!AD102,"2","X")))</f>
        <v/>
      </c>
      <c r="O165" s="332" t="n">
        <f aca="false">WORLDCUP!AC102</f>
        <v>0</v>
      </c>
      <c r="P165" s="332" t="n">
        <f aca="false">WORLDCUP!AD102</f>
        <v>0</v>
      </c>
      <c r="Q165" s="332" t="n">
        <f aca="false">ABS(O165-P165)</f>
        <v>0</v>
      </c>
      <c r="R165" s="404"/>
      <c r="S165" s="370" t="s">
        <v>288</v>
      </c>
      <c r="T165" s="356" t="n">
        <f aca="false">IFERROR(IF($M165=S165,($D$8+$D$9+$D$10)*$I165,IF($N165=LEFT(S165,1),($D$8+MAX(0,IF($D$50=1,$D$9*(1-(ABS($Q165-ABS(VALUE(MID(S165,FIND("|",S165)+1,FIND("-",S165)-FIND("|",S165)-1))-VALUE(MID(S165,FIND("-",S165)+1,10)))))*$D$50),$D$9*(1-(IF($N165="X",ABS($O165-VALUE(MID(S165,FIND("|",S165)+1,FIND("-",S165)-FIND("|",S165)-1))),ABS($Q165-ABS(VALUE(MID(S165,FIND("|",S165)+1,FIND("-",S165)-FIND("|",S165)-1))-VALUE(MID(S165,FIND("-",S165)+1,10)))))*$D$50)))))*$I165,0)),0)</f>
        <v>0</v>
      </c>
      <c r="U165" s="404"/>
      <c r="V165" s="363" t="s">
        <v>264</v>
      </c>
      <c r="W165" s="356" t="n">
        <f aca="false">IFERROR(IF($M165=V165,($D$8+$D$9+$D$10)*$I165,IF($N165=LEFT(V165,1),($D$8+MAX(0,IF($D$50=1,$D$9*(1-(ABS($Q165-ABS(VALUE(MID(V165,FIND("|",V165)+1,FIND("-",V165)-FIND("|",V165)-1))-VALUE(MID(V165,FIND("-",V165)+1,10)))))*$D$50),$D$9*(1-(IF($N165="X",ABS($O165-VALUE(MID(V165,FIND("|",V165)+1,FIND("-",V165)-FIND("|",V165)-1))),ABS($Q165-ABS(VALUE(MID(V165,FIND("|",V165)+1,FIND("-",V165)-FIND("|",V165)-1))-VALUE(MID(V165,FIND("-",V165)+1,10)))))*$D$50)))))*$I165,0)),0)</f>
        <v>0</v>
      </c>
      <c r="X165" s="404"/>
      <c r="Y165" s="363" t="s">
        <v>266</v>
      </c>
      <c r="Z165" s="356" t="n">
        <f aca="false">IFERROR(IF($M165=Y165,($D$8+$D$9+$D$10)*$I165,IF($N165=LEFT(Y165,1),($D$8+MAX(0,IF($D$50=1,$D$9*(1-(ABS($Q165-ABS(VALUE(MID(Y165,FIND("|",Y165)+1,FIND("-",Y165)-FIND("|",Y165)-1))-VALUE(MID(Y165,FIND("-",Y165)+1,10)))))*$D$50),$D$9*(1-(IF($N165="X",ABS($O165-VALUE(MID(Y165,FIND("|",Y165)+1,FIND("-",Y165)-FIND("|",Y165)-1))),ABS($Q165-ABS(VALUE(MID(Y165,FIND("|",Y165)+1,FIND("-",Y165)-FIND("|",Y165)-1))-VALUE(MID(Y165,FIND("-",Y165)+1,10)))))*$D$50)))))*$I165,0)),0)</f>
        <v>0</v>
      </c>
      <c r="AA165" s="404"/>
      <c r="AB165" s="398" t="s">
        <v>269</v>
      </c>
      <c r="AC165" s="356" t="n">
        <f aca="false">IFERROR(IF($M165=AB165,($D$8+$D$9+$D$10)*$I165,IF($N165=LEFT(AB165,1),($D$8+MAX(0,IF($D$50=1,$D$9*(1-(ABS($Q165-ABS(VALUE(MID(AB165,FIND("|",AB165)+1,FIND("-",AB165)-FIND("|",AB165)-1))-VALUE(MID(AB165,FIND("-",AB165)+1,10)))))*$D$50),$D$9*(1-(IF($N165="X",ABS($O165-VALUE(MID(AB165,FIND("|",AB165)+1,FIND("-",AB165)-FIND("|",AB165)-1))),ABS($Q165-ABS(VALUE(MID(AB165,FIND("|",AB165)+1,FIND("-",AB165)-FIND("|",AB165)-1))-VALUE(MID(AB165,FIND("-",AB165)+1,10)))))*$D$50)))))*$I165,0)),0)</f>
        <v>0</v>
      </c>
      <c r="AD165" s="404"/>
      <c r="AE165" s="363" t="s">
        <v>266</v>
      </c>
      <c r="AF165" s="356" t="n">
        <f aca="false">IFERROR(IF($M165=AE165,($D$8+$D$9+$D$10)*$I165,IF($N165=LEFT(AE165,1),($D$8+MAX(0,IF($D$50=1,$D$9*(1-(ABS($Q165-ABS(VALUE(MID(AE165,FIND("|",AE165)+1,FIND("-",AE165)-FIND("|",AE165)-1))-VALUE(MID(AE165,FIND("-",AE165)+1,10)))))*$D$50),$D$9*(1-(IF($N165="X",ABS($O165-VALUE(MID(AE165,FIND("|",AE165)+1,FIND("-",AE165)-FIND("|",AE165)-1))),ABS($Q165-ABS(VALUE(MID(AE165,FIND("|",AE165)+1,FIND("-",AE165)-FIND("|",AE165)-1))-VALUE(MID(AE165,FIND("-",AE165)+1,10)))))*$D$50)))))*$I165,0)),0)</f>
        <v>0</v>
      </c>
      <c r="AG165" s="404"/>
      <c r="AH165" s="370" t="s">
        <v>265</v>
      </c>
      <c r="AI165" s="356" t="n">
        <f aca="false">IFERROR(IF($M165=AH165,($D$8+$D$9+$D$10)*$I165,IF($N165=LEFT(AH165,1),($D$8+MAX(0,IF($D$50=1,$D$9*(1-(ABS($Q165-ABS(VALUE(MID(AH165,FIND("|",AH165)+1,FIND("-",AH165)-FIND("|",AH165)-1))-VALUE(MID(AH165,FIND("-",AH165)+1,10)))))*$D$50),$D$9*(1-(IF($N165="X",ABS($O165-VALUE(MID(AH165,FIND("|",AH165)+1,FIND("-",AH165)-FIND("|",AH165)-1))),ABS($Q165-ABS(VALUE(MID(AH165,FIND("|",AH165)+1,FIND("-",AH165)-FIND("|",AH165)-1))-VALUE(MID(AH165,FIND("-",AH165)+1,10)))))*$D$50)))))*$I165,0)),0)</f>
        <v>0</v>
      </c>
      <c r="AJ165" s="404"/>
      <c r="AK165" s="363" t="s">
        <v>288</v>
      </c>
      <c r="AL165" s="356" t="n">
        <f aca="false">IFERROR(IF($M165=AK165,($D$8+$D$9+$D$10)*$I165,IF($N165=LEFT(AK165,1),($D$8+MAX(0,IF($D$50=1,$D$9*(1-(ABS($Q165-ABS(VALUE(MID(AK165,FIND("|",AK165)+1,FIND("-",AK165)-FIND("|",AK165)-1))-VALUE(MID(AK165,FIND("-",AK165)+1,10)))))*$D$50),$D$9*(1-(IF($N165="X",ABS($O165-VALUE(MID(AK165,FIND("|",AK165)+1,FIND("-",AK165)-FIND("|",AK165)-1))),ABS($Q165-ABS(VALUE(MID(AK165,FIND("|",AK165)+1,FIND("-",AK165)-FIND("|",AK165)-1))-VALUE(MID(AK165,FIND("-",AK165)+1,10)))))*$D$50)))))*$I165,0)),0)</f>
        <v>0</v>
      </c>
      <c r="AM165" s="404"/>
      <c r="AN165" s="363" t="s">
        <v>264</v>
      </c>
      <c r="AO165" s="356" t="n">
        <f aca="false">IFERROR(IF($M165=AN165,($D$8+$D$9+$D$10)*$I165,IF($N165=LEFT(AN165,1),($D$8+MAX(0,IF($D$50=1,$D$9*(1-(ABS($Q165-ABS(VALUE(MID(AN165,FIND("|",AN165)+1,FIND("-",AN165)-FIND("|",AN165)-1))-VALUE(MID(AN165,FIND("-",AN165)+1,10)))))*$D$50),$D$9*(1-(IF($N165="X",ABS($O165-VALUE(MID(AN165,FIND("|",AN165)+1,FIND("-",AN165)-FIND("|",AN165)-1))),ABS($Q165-ABS(VALUE(MID(AN165,FIND("|",AN165)+1,FIND("-",AN165)-FIND("|",AN165)-1))-VALUE(MID(AN165,FIND("-",AN165)+1,10)))))*$D$50)))))*$I165,0)),0)</f>
        <v>0</v>
      </c>
      <c r="AP165" s="404"/>
      <c r="AQ165" s="398" t="s">
        <v>266</v>
      </c>
      <c r="AR165" s="356" t="n">
        <f aca="false">IFERROR(IF($M165=AQ165,($D$8+$D$9+$D$10)*$I165,IF($N165=LEFT(AQ165,1),($D$8+MAX(0,IF($D$50=1,$D$9*(1-(ABS($Q165-ABS(VALUE(MID(AQ165,FIND("|",AQ165)+1,FIND("-",AQ165)-FIND("|",AQ165)-1))-VALUE(MID(AQ165,FIND("-",AQ165)+1,10)))))*$D$50),$D$9*(1-(IF($N165="X",ABS($O165-VALUE(MID(AQ165,FIND("|",AQ165)+1,FIND("-",AQ165)-FIND("|",AQ165)-1))),ABS($Q165-ABS(VALUE(MID(AQ165,FIND("|",AQ165)+1,FIND("-",AQ165)-FIND("|",AQ165)-1))-VALUE(MID(AQ165,FIND("-",AQ165)+1,10)))))*$D$50)))))*$I165,0)),0)</f>
        <v>0</v>
      </c>
      <c r="AS165" s="404"/>
      <c r="AT165" s="363" t="s">
        <v>264</v>
      </c>
      <c r="AU165" s="356" t="n">
        <f aca="false">IFERROR(IF($M165=AT165,($D$8+$D$9+$D$10)*$I165,IF($N165=LEFT(AT165,1),($D$8+MAX(0,IF($D$50=1,$D$9*(1-(ABS($Q165-ABS(VALUE(MID(AT165,FIND("|",AT165)+1,FIND("-",AT165)-FIND("|",AT165)-1))-VALUE(MID(AT165,FIND("-",AT165)+1,10)))))*$D$50),$D$9*(1-(IF($N165="X",ABS($O165-VALUE(MID(AT165,FIND("|",AT165)+1,FIND("-",AT165)-FIND("|",AT165)-1))),ABS($Q165-ABS(VALUE(MID(AT165,FIND("|",AT165)+1,FIND("-",AT165)-FIND("|",AT165)-1))-VALUE(MID(AT165,FIND("-",AT165)+1,10)))))*$D$50)))))*$I165,0)),0)</f>
        <v>0</v>
      </c>
      <c r="AV165" s="404"/>
      <c r="AW165" s="370" t="s">
        <v>264</v>
      </c>
      <c r="AX165" s="356" t="n">
        <f aca="false">IFERROR(IF($M165=AW165,($D$8+$D$9+$D$10)*$I165,IF($N165=LEFT(AW165,1),($D$8+MAX(0,IF($D$50=1,$D$9*(1-(ABS($Q165-ABS(VALUE(MID(AW165,FIND("|",AW165)+1,FIND("-",AW165)-FIND("|",AW165)-1))-VALUE(MID(AW165,FIND("-",AW165)+1,10)))))*$D$50),$D$9*(1-(IF($N165="X",ABS($O165-VALUE(MID(AW165,FIND("|",AW165)+1,FIND("-",AW165)-FIND("|",AW165)-1))),ABS($Q165-ABS(VALUE(MID(AW165,FIND("|",AW165)+1,FIND("-",AW165)-FIND("|",AW165)-1))-VALUE(MID(AW165,FIND("-",AW165)+1,10)))))*$D$50)))))*$I165,0)),0)</f>
        <v>0</v>
      </c>
      <c r="AY165" s="404"/>
      <c r="AZ165" s="363" t="s">
        <v>264</v>
      </c>
      <c r="BA165" s="356" t="n">
        <f aca="false">IFERROR(IF($M165=AZ165,($D$8+$D$9+$D$10)*$I165,IF($N165=LEFT(AZ165,1),($D$8+MAX(0,IF($D$50=1,$D$9*(1-(ABS($Q165-ABS(VALUE(MID(AZ165,FIND("|",AZ165)+1,FIND("-",AZ165)-FIND("|",AZ165)-1))-VALUE(MID(AZ165,FIND("-",AZ165)+1,10)))))*$D$50),$D$9*(1-(IF($N165="X",ABS($O165-VALUE(MID(AZ165,FIND("|",AZ165)+1,FIND("-",AZ165)-FIND("|",AZ165)-1))),ABS($Q165-ABS(VALUE(MID(AZ165,FIND("|",AZ165)+1,FIND("-",AZ165)-FIND("|",AZ165)-1))-VALUE(MID(AZ165,FIND("-",AZ165)+1,10)))))*$D$50)))))*$I165,0)),0)</f>
        <v>0</v>
      </c>
      <c r="BB165" s="404"/>
      <c r="BC165" s="363" t="s">
        <v>269</v>
      </c>
      <c r="BD165" s="356" t="n">
        <f aca="false">IFERROR(IF($M165=BC165,($D$8+$D$9+$D$10)*$I165,IF($N165=LEFT(BC165,1),($D$8+MAX(0,IF($D$50=1,$D$9*(1-(ABS($Q165-ABS(VALUE(MID(BC165,FIND("|",BC165)+1,FIND("-",BC165)-FIND("|",BC165)-1))-VALUE(MID(BC165,FIND("-",BC165)+1,10)))))*$D$50),$D$9*(1-(IF($N165="X",ABS($O165-VALUE(MID(BC165,FIND("|",BC165)+1,FIND("-",BC165)-FIND("|",BC165)-1))),ABS($Q165-ABS(VALUE(MID(BC165,FIND("|",BC165)+1,FIND("-",BC165)-FIND("|",BC165)-1))-VALUE(MID(BC165,FIND("-",BC165)+1,10)))))*$D$50)))))*$I165,0)),0)</f>
        <v>0</v>
      </c>
      <c r="BE165" s="404"/>
      <c r="BF165" s="398" t="s">
        <v>265</v>
      </c>
      <c r="BG165" s="356" t="n">
        <f aca="false">IFERROR(IF($M165=BF165,($D$8+$D$9+$D$10)*$I165,IF($N165=LEFT(BF165,1),($D$8+MAX(0,IF($D$50=1,$D$9*(1-(ABS($Q165-ABS(VALUE(MID(BF165,FIND("|",BF165)+1,FIND("-",BF165)-FIND("|",BF165)-1))-VALUE(MID(BF165,FIND("-",BF165)+1,10)))))*$D$50),$D$9*(1-(IF($N165="X",ABS($O165-VALUE(MID(BF165,FIND("|",BF165)+1,FIND("-",BF165)-FIND("|",BF165)-1))),ABS($Q165-ABS(VALUE(MID(BF165,FIND("|",BF165)+1,FIND("-",BF165)-FIND("|",BF165)-1))-VALUE(MID(BF165,FIND("-",BF165)+1,10)))))*$D$50)))))*$I165,0)),0)</f>
        <v>0</v>
      </c>
      <c r="BH165" s="404"/>
      <c r="BI165" s="363" t="s">
        <v>264</v>
      </c>
      <c r="BJ165" s="356" t="n">
        <f aca="false">IFERROR(IF($M165=BI165,($D$8+$D$9+$D$10)*$I165,IF($N165=LEFT(BI165,1),($D$8+MAX(0,IF($D$50=1,$D$9*(1-(ABS($Q165-ABS(VALUE(MID(BI165,FIND("|",BI165)+1,FIND("-",BI165)-FIND("|",BI165)-1))-VALUE(MID(BI165,FIND("-",BI165)+1,10)))))*$D$50),$D$9*(1-(IF($N165="X",ABS($O165-VALUE(MID(BI165,FIND("|",BI165)+1,FIND("-",BI165)-FIND("|",BI165)-1))),ABS($Q165-ABS(VALUE(MID(BI165,FIND("|",BI165)+1,FIND("-",BI165)-FIND("|",BI165)-1))-VALUE(MID(BI165,FIND("-",BI165)+1,10)))))*$D$50)))))*$I165,0)),0)</f>
        <v>0</v>
      </c>
      <c r="BK165" s="404"/>
      <c r="BL165" s="370" t="s">
        <v>288</v>
      </c>
      <c r="BM165" s="356" t="n">
        <f aca="false">IFERROR(IF($M165=BL165,($D$8+$D$9+$D$10)*$I165,IF($N165=LEFT(BL165,1),($D$8+MAX(0,IF($D$50=1,$D$9*(1-(ABS($Q165-ABS(VALUE(MID(BL165,FIND("|",BL165)+1,FIND("-",BL165)-FIND("|",BL165)-1))-VALUE(MID(BL165,FIND("-",BL165)+1,10)))))*$D$50),$D$9*(1-(IF($N165="X",ABS($O165-VALUE(MID(BL165,FIND("|",BL165)+1,FIND("-",BL165)-FIND("|",BL165)-1))),ABS($Q165-ABS(VALUE(MID(BL165,FIND("|",BL165)+1,FIND("-",BL165)-FIND("|",BL165)-1))-VALUE(MID(BL165,FIND("-",BL165)+1,10)))))*$D$50)))))*$I165,0)),0)</f>
        <v>0</v>
      </c>
      <c r="BN165" s="404"/>
      <c r="BO165" s="363" t="s">
        <v>267</v>
      </c>
      <c r="BP165" s="356" t="n">
        <f aca="false">IFERROR(IF($M165=BO165,($D$8+$D$9+$D$10)*$I165,IF($N165=LEFT(BO165,1),($D$8+MAX(0,IF($D$50=1,$D$9*(1-(ABS($Q165-ABS(VALUE(MID(BO165,FIND("|",BO165)+1,FIND("-",BO165)-FIND("|",BO165)-1))-VALUE(MID(BO165,FIND("-",BO165)+1,10)))))*$D$50),$D$9*(1-(IF($N165="X",ABS($O165-VALUE(MID(BO165,FIND("|",BO165)+1,FIND("-",BO165)-FIND("|",BO165)-1))),ABS($Q165-ABS(VALUE(MID(BO165,FIND("|",BO165)+1,FIND("-",BO165)-FIND("|",BO165)-1))-VALUE(MID(BO165,FIND("-",BO165)+1,10)))))*$D$50)))))*$I165,0)),0)</f>
        <v>0</v>
      </c>
      <c r="BQ165" s="404"/>
      <c r="BR165" s="363" t="s">
        <v>266</v>
      </c>
      <c r="BS165" s="356" t="n">
        <f aca="false">IFERROR(IF($M165=BR165,($D$8+$D$9+$D$10)*$I165,IF($N165=LEFT(BR165,1),($D$8+MAX(0,IF($D$50=1,$D$9*(1-(ABS($Q165-ABS(VALUE(MID(BR165,FIND("|",BR165)+1,FIND("-",BR165)-FIND("|",BR165)-1))-VALUE(MID(BR165,FIND("-",BR165)+1,10)))))*$D$50),$D$9*(1-(IF($N165="X",ABS($O165-VALUE(MID(BR165,FIND("|",BR165)+1,FIND("-",BR165)-FIND("|",BR165)-1))),ABS($Q165-ABS(VALUE(MID(BR165,FIND("|",BR165)+1,FIND("-",BR165)-FIND("|",BR165)-1))-VALUE(MID(BR165,FIND("-",BR165)+1,10)))))*$D$50)))))*$I165,0)),0)</f>
        <v>0</v>
      </c>
      <c r="BT165" s="404"/>
      <c r="BU165" s="398"/>
      <c r="BV165" s="356" t="n">
        <f aca="false">IFERROR(IF($M165=BU165,($D$8+$D$9+$D$10)*$I165,IF($N165=LEFT(BU165,1),($D$8+MAX(0,IF($D$50=1,$D$9*(1-(ABS($Q165-ABS(VALUE(MID(BU165,FIND("|",BU165)+1,FIND("-",BU165)-FIND("|",BU165)-1))-VALUE(MID(BU165,FIND("-",BU165)+1,10)))))*$D$50),$D$9*(1-(IF($N165="X",ABS($O165-VALUE(MID(BU165,FIND("|",BU165)+1,FIND("-",BU165)-FIND("|",BU165)-1))),ABS($Q165-ABS(VALUE(MID(BU165,FIND("|",BU165)+1,FIND("-",BU165)-FIND("|",BU165)-1))-VALUE(MID(BU165,FIND("-",BU165)+1,10)))))*$D$50)))))*$I165,0)),0)</f>
        <v>0</v>
      </c>
      <c r="BW165" s="404"/>
      <c r="BX165" s="363"/>
      <c r="BY165" s="356" t="n">
        <f aca="false">IFERROR(IF($M165=BX165,($D$8+$D$9+$D$10)*$I165,IF($N165=LEFT(BX165,1),($D$8+MAX(0,IF($D$50=1,$D$9*(1-(ABS($Q165-ABS(VALUE(MID(BX165,FIND("|",BX165)+1,FIND("-",BX165)-FIND("|",BX165)-1))-VALUE(MID(BX165,FIND("-",BX165)+1,10)))))*$D$50),$D$9*(1-(IF($N165="X",ABS($O165-VALUE(MID(BX165,FIND("|",BX165)+1,FIND("-",BX165)-FIND("|",BX165)-1))),ABS($Q165-ABS(VALUE(MID(BX165,FIND("|",BX165)+1,FIND("-",BX165)-FIND("|",BX165)-1))-VALUE(MID(BX165,FIND("-",BX165)+1,10)))))*$D$50)))))*$I165,0)),0)</f>
        <v>0</v>
      </c>
      <c r="BZ165" s="404"/>
      <c r="CA165" s="370"/>
      <c r="CB165" s="356" t="n">
        <f aca="false">IFERROR(IF($M165=CA165,($D$8+$D$9+$D$10)*$I165,IF($N165=LEFT(CA165,1),($D$8+MAX(0,IF($D$50=1,$D$9*(1-(ABS($Q165-ABS(VALUE(MID(CA165,FIND("|",CA165)+1,FIND("-",CA165)-FIND("|",CA165)-1))-VALUE(MID(CA165,FIND("-",CA165)+1,10)))))*$D$50),$D$9*(1-(IF($N165="X",ABS($O165-VALUE(MID(CA165,FIND("|",CA165)+1,FIND("-",CA165)-FIND("|",CA165)-1))),ABS($Q165-ABS(VALUE(MID(CA165,FIND("|",CA165)+1,FIND("-",CA165)-FIND("|",CA165)-1))-VALUE(MID(CA165,FIND("-",CA165)+1,10)))))*$D$50)))))*$I165,0)),0)</f>
        <v>0</v>
      </c>
      <c r="CC165" s="404"/>
      <c r="CD165" s="363"/>
      <c r="CE165" s="356" t="n">
        <f aca="false">IFERROR(IF($M165=CD165,($D$8+$D$9+$D$10)*$I165,IF($N165=LEFT(CD165,1),($D$8+MAX(0,IF($D$50=1,$D$9*(1-(ABS($Q165-ABS(VALUE(MID(CD165,FIND("|",CD165)+1,FIND("-",CD165)-FIND("|",CD165)-1))-VALUE(MID(CD165,FIND("-",CD165)+1,10)))))*$D$50),$D$9*(1-(IF($N165="X",ABS($O165-VALUE(MID(CD165,FIND("|",CD165)+1,FIND("-",CD165)-FIND("|",CD165)-1))),ABS($Q165-ABS(VALUE(MID(CD165,FIND("|",CD165)+1,FIND("-",CD165)-FIND("|",CD165)-1))-VALUE(MID(CD165,FIND("-",CD165)+1,10)))))*$D$50)))))*$I165,0)),0)</f>
        <v>0</v>
      </c>
      <c r="CF165" s="404"/>
      <c r="CG165" s="363"/>
      <c r="CH165" s="356" t="n">
        <f aca="false">IFERROR(IF($M165=CG165,($D$8+$D$9+$D$10)*$I165,IF($N165=LEFT(CG165,1),($D$8+MAX(0,IF($D$50=1,$D$9*(1-(ABS($Q165-ABS(VALUE(MID(CG165,FIND("|",CG165)+1,FIND("-",CG165)-FIND("|",CG165)-1))-VALUE(MID(CG165,FIND("-",CG165)+1,10)))))*$D$50),$D$9*(1-(IF($N165="X",ABS($O165-VALUE(MID(CG165,FIND("|",CG165)+1,FIND("-",CG165)-FIND("|",CG165)-1))),ABS($Q165-ABS(VALUE(MID(CG165,FIND("|",CG165)+1,FIND("-",CG165)-FIND("|",CG165)-1))-VALUE(MID(CG165,FIND("-",CG165)+1,10)))))*$D$50)))))*$I165,0)),0)</f>
        <v>0</v>
      </c>
      <c r="CI165" s="404"/>
      <c r="CJ165" s="398"/>
      <c r="CK165" s="356" t="n">
        <f aca="false">IFERROR(IF($M165=CJ165,($D$8+$D$9+$D$10)*$I165,IF($N165=LEFT(CJ165,1),($D$8+MAX(0,IF($D$50=1,$D$9*(1-(ABS($Q165-ABS(VALUE(MID(CJ165,FIND("|",CJ165)+1,FIND("-",CJ165)-FIND("|",CJ165)-1))-VALUE(MID(CJ165,FIND("-",CJ165)+1,10)))))*$D$50),$D$9*(1-(IF($N165="X",ABS($O165-VALUE(MID(CJ165,FIND("|",CJ165)+1,FIND("-",CJ165)-FIND("|",CJ165)-1))),ABS($Q165-ABS(VALUE(MID(CJ165,FIND("|",CJ165)+1,FIND("-",CJ165)-FIND("|",CJ165)-1))-VALUE(MID(CJ165,FIND("-",CJ165)+1,10)))))*$D$50)))))*$I165,0)),0)</f>
        <v>0</v>
      </c>
      <c r="CL165" s="404"/>
      <c r="CM165" s="363"/>
      <c r="CN165" s="356" t="n">
        <f aca="false">IFERROR(IF($M165=CM165,($D$8+$D$9+$D$10)*$I165,IF($N165=LEFT(CM165,1),($D$8+MAX(0,IF($D$50=1,$D$9*(1-(ABS($Q165-ABS(VALUE(MID(CM165,FIND("|",CM165)+1,FIND("-",CM165)-FIND("|",CM165)-1))-VALUE(MID(CM165,FIND("-",CM165)+1,10)))))*$D$50),$D$9*(1-(IF($N165="X",ABS($O165-VALUE(MID(CM165,FIND("|",CM165)+1,FIND("-",CM165)-FIND("|",CM165)-1))),ABS($Q165-ABS(VALUE(MID(CM165,FIND("|",CM165)+1,FIND("-",CM165)-FIND("|",CM165)-1))-VALUE(MID(CM165,FIND("-",CM165)+1,10)))))*$D$50)))))*$I165,0)),0)</f>
        <v>0</v>
      </c>
      <c r="CO165" s="404"/>
      <c r="CP165" s="370"/>
      <c r="CQ165" s="356" t="n">
        <f aca="false">IFERROR(IF($M165=CP165,($D$8+$D$9+$D$10)*$I165,IF($N165=LEFT(CP165,1),($D$8+MAX(0,IF($D$50=1,$D$9*(1-(ABS($Q165-ABS(VALUE(MID(CP165,FIND("|",CP165)+1,FIND("-",CP165)-FIND("|",CP165)-1))-VALUE(MID(CP165,FIND("-",CP165)+1,10)))))*$D$50),$D$9*(1-(IF($N165="X",ABS($O165-VALUE(MID(CP165,FIND("|",CP165)+1,FIND("-",CP165)-FIND("|",CP165)-1))),ABS($Q165-ABS(VALUE(MID(CP165,FIND("|",CP165)+1,FIND("-",CP165)-FIND("|",CP165)-1))-VALUE(MID(CP165,FIND("-",CP165)+1,10)))))*$D$50)))))*$I165,0)),0)</f>
        <v>0</v>
      </c>
      <c r="CR165" s="404"/>
      <c r="CS165" s="363"/>
      <c r="CT165" s="356" t="n">
        <f aca="false">IFERROR(IF($M165=CS165,($D$8+$D$9+$D$10)*$I165,IF($N165=LEFT(CS165,1),($D$8+MAX(0,IF($D$50=1,$D$9*(1-(ABS($Q165-ABS(VALUE(MID(CS165,FIND("|",CS165)+1,FIND("-",CS165)-FIND("|",CS165)-1))-VALUE(MID(CS165,FIND("-",CS165)+1,10)))))*$D$50),$D$9*(1-(IF($N165="X",ABS($O165-VALUE(MID(CS165,FIND("|",CS165)+1,FIND("-",CS165)-FIND("|",CS165)-1))),ABS($Q165-ABS(VALUE(MID(CS165,FIND("|",CS165)+1,FIND("-",CS165)-FIND("|",CS165)-1))-VALUE(MID(CS165,FIND("-",CS165)+1,10)))))*$D$50)))))*$I165,0)),0)</f>
        <v>0</v>
      </c>
      <c r="CU165" s="404"/>
      <c r="CV165" s="363"/>
      <c r="CW165" s="356" t="n">
        <f aca="false">IFERROR(IF($M165=CV165,($D$8+$D$9+$D$10)*$I165,IF($N165=LEFT(CV165,1),($D$8+MAX(0,IF($D$50=1,$D$9*(1-(ABS($Q165-ABS(VALUE(MID(CV165,FIND("|",CV165)+1,FIND("-",CV165)-FIND("|",CV165)-1))-VALUE(MID(CV165,FIND("-",CV165)+1,10)))))*$D$50),$D$9*(1-(IF($N165="X",ABS($O165-VALUE(MID(CV165,FIND("|",CV165)+1,FIND("-",CV165)-FIND("|",CV165)-1))),ABS($Q165-ABS(VALUE(MID(CV165,FIND("|",CV165)+1,FIND("-",CV165)-FIND("|",CV165)-1))-VALUE(MID(CV165,FIND("-",CV165)+1,10)))))*$D$50)))))*$I165,0)),0)</f>
        <v>0</v>
      </c>
      <c r="CX165" s="404"/>
      <c r="CY165" s="398"/>
      <c r="CZ165" s="356" t="n">
        <f aca="false">IFERROR(IF($M165=CY165,($D$8+$D$9+$D$10)*$I165,IF($N165=LEFT(CY165,1),($D$8+MAX(0,IF($D$50=1,$D$9*(1-(ABS($Q165-ABS(VALUE(MID(CY165,FIND("|",CY165)+1,FIND("-",CY165)-FIND("|",CY165)-1))-VALUE(MID(CY165,FIND("-",CY165)+1,10)))))*$D$50),$D$9*(1-(IF($N165="X",ABS($O165-VALUE(MID(CY165,FIND("|",CY165)+1,FIND("-",CY165)-FIND("|",CY165)-1))),ABS($Q165-ABS(VALUE(MID(CY165,FIND("|",CY165)+1,FIND("-",CY165)-FIND("|",CY165)-1))-VALUE(MID(CY165,FIND("-",CY165)+1,10)))))*$D$50)))))*$I165,0)),0)</f>
        <v>0</v>
      </c>
      <c r="DA165" s="404"/>
      <c r="DB165" s="363"/>
      <c r="DC165" s="356" t="n">
        <f aca="false">IFERROR(IF($M165=DB165,($D$8+$D$9+$D$10)*$I165,IF($N165=LEFT(DB165,1),($D$8+MAX(0,IF($D$50=1,$D$9*(1-(ABS($Q165-ABS(VALUE(MID(DB165,FIND("|",DB165)+1,FIND("-",DB165)-FIND("|",DB165)-1))-VALUE(MID(DB165,FIND("-",DB165)+1,10)))))*$D$50),$D$9*(1-(IF($N165="X",ABS($O165-VALUE(MID(DB165,FIND("|",DB165)+1,FIND("-",DB165)-FIND("|",DB165)-1))),ABS($Q165-ABS(VALUE(MID(DB165,FIND("|",DB165)+1,FIND("-",DB165)-FIND("|",DB165)-1))-VALUE(MID(DB165,FIND("-",DB165)+1,10)))))*$D$50)))))*$I165,0)),0)</f>
        <v>0</v>
      </c>
      <c r="DD165" s="404"/>
      <c r="DE165" s="370"/>
      <c r="DF165" s="356" t="n">
        <f aca="false">IFERROR(IF($M165=DE165,($D$8+$D$9+$D$10)*$I165,IF($N165=LEFT(DE165,1),($D$8+MAX(0,IF($D$50=1,$D$9*(1-(ABS($Q165-ABS(VALUE(MID(DE165,FIND("|",DE165)+1,FIND("-",DE165)-FIND("|",DE165)-1))-VALUE(MID(DE165,FIND("-",DE165)+1,10)))))*$D$50),$D$9*(1-(IF($N165="X",ABS($O165-VALUE(MID(DE165,FIND("|",DE165)+1,FIND("-",DE165)-FIND("|",DE165)-1))),ABS($Q165-ABS(VALUE(MID(DE165,FIND("|",DE165)+1,FIND("-",DE165)-FIND("|",DE165)-1))-VALUE(MID(DE165,FIND("-",DE165)+1,10)))))*$D$50)))))*$I165,0)),0)</f>
        <v>0</v>
      </c>
      <c r="DG165" s="404"/>
      <c r="DH165" s="363"/>
      <c r="DI165" s="356" t="n">
        <f aca="false">IFERROR(IF($M165=DH165,($D$8+$D$9+$D$10)*$I165,IF($N165=LEFT(DH165,1),($D$8+MAX(0,IF($D$50=1,$D$9*(1-(ABS($Q165-ABS(VALUE(MID(DH165,FIND("|",DH165)+1,FIND("-",DH165)-FIND("|",DH165)-1))-VALUE(MID(DH165,FIND("-",DH165)+1,10)))))*$D$50),$D$9*(1-(IF($N165="X",ABS($O165-VALUE(MID(DH165,FIND("|",DH165)+1,FIND("-",DH165)-FIND("|",DH165)-1))),ABS($Q165-ABS(VALUE(MID(DH165,FIND("|",DH165)+1,FIND("-",DH165)-FIND("|",DH165)-1))-VALUE(MID(DH165,FIND("-",DH165)+1,10)))))*$D$50)))))*$I165,0)),0)</f>
        <v>0</v>
      </c>
      <c r="DJ165" s="404"/>
      <c r="DK165" s="363"/>
      <c r="DL165" s="356" t="n">
        <f aca="false">IFERROR(IF($M165=DK165,($D$8+$D$9+$D$10)*$I165,IF($N165=LEFT(DK165,1),($D$8+MAX(0,IF($D$50=1,$D$9*(1-(ABS($Q165-ABS(VALUE(MID(DK165,FIND("|",DK165)+1,FIND("-",DK165)-FIND("|",DK165)-1))-VALUE(MID(DK165,FIND("-",DK165)+1,10)))))*$D$50),$D$9*(1-(IF($N165="X",ABS($O165-VALUE(MID(DK165,FIND("|",DK165)+1,FIND("-",DK165)-FIND("|",DK165)-1))),ABS($Q165-ABS(VALUE(MID(DK165,FIND("|",DK165)+1,FIND("-",DK165)-FIND("|",DK165)-1))-VALUE(MID(DK165,FIND("-",DK165)+1,10)))))*$D$50)))))*$I165,0)),0)</f>
        <v>0</v>
      </c>
      <c r="DM165" s="404"/>
      <c r="DN165" s="398"/>
      <c r="DO165" s="356" t="n">
        <f aca="false">IFERROR(IF($M165=DN165,($D$8+$D$9+$D$10)*$I165,IF($N165=LEFT(DN165,1),($D$8+MAX(0,IF($D$50=1,$D$9*(1-(ABS($Q165-ABS(VALUE(MID(DN165,FIND("|",DN165)+1,FIND("-",DN165)-FIND("|",DN165)-1))-VALUE(MID(DN165,FIND("-",DN165)+1,10)))))*$D$50),$D$9*(1-(IF($N165="X",ABS($O165-VALUE(MID(DN165,FIND("|",DN165)+1,FIND("-",DN165)-FIND("|",DN165)-1))),ABS($Q165-ABS(VALUE(MID(DN165,FIND("|",DN165)+1,FIND("-",DN165)-FIND("|",DN165)-1))-VALUE(MID(DN165,FIND("-",DN165)+1,10)))))*$D$50)))))*$I165,0)),0)</f>
        <v>0</v>
      </c>
      <c r="DP165" s="404"/>
      <c r="DQ165" s="363"/>
      <c r="DR165" s="356" t="n">
        <f aca="false">IFERROR(IF($M165=DQ165,($D$8+$D$9+$D$10)*$I165,IF($N165=LEFT(DQ165,1),($D$8+MAX(0,IF($D$50=1,$D$9*(1-(ABS($Q165-ABS(VALUE(MID(DQ165,FIND("|",DQ165)+1,FIND("-",DQ165)-FIND("|",DQ165)-1))-VALUE(MID(DQ165,FIND("-",DQ165)+1,10)))))*$D$50),$D$9*(1-(IF($N165="X",ABS($O165-VALUE(MID(DQ165,FIND("|",DQ165)+1,FIND("-",DQ165)-FIND("|",DQ165)-1))),ABS($Q165-ABS(VALUE(MID(DQ165,FIND("|",DQ165)+1,FIND("-",DQ165)-FIND("|",DQ165)-1))-VALUE(MID(DQ165,FIND("-",DQ165)+1,10)))))*$D$50)))))*$I165,0)),0)</f>
        <v>0</v>
      </c>
      <c r="DS165" s="404"/>
      <c r="DT165" s="370"/>
      <c r="DU165" s="356" t="n">
        <f aca="false">IFERROR(IF($M165=DT165,($D$8+$D$9+$D$10)*$I165,IF($N165=LEFT(DT165,1),($D$8+MAX(0,IF($D$50=1,$D$9*(1-(ABS($Q165-ABS(VALUE(MID(DT165,FIND("|",DT165)+1,FIND("-",DT165)-FIND("|",DT165)-1))-VALUE(MID(DT165,FIND("-",DT165)+1,10)))))*$D$50),$D$9*(1-(IF($N165="X",ABS($O165-VALUE(MID(DT165,FIND("|",DT165)+1,FIND("-",DT165)-FIND("|",DT165)-1))),ABS($Q165-ABS(VALUE(MID(DT165,FIND("|",DT165)+1,FIND("-",DT165)-FIND("|",DT165)-1))-VALUE(MID(DT165,FIND("-",DT165)+1,10)))))*$D$50)))))*$I165,0)),0)</f>
        <v>0</v>
      </c>
      <c r="DV165" s="404"/>
      <c r="DW165" s="363"/>
      <c r="DX165" s="356" t="n">
        <f aca="false">IFERROR(IF($M165=DW165,($D$8+$D$9+$D$10)*$I165,IF($N165=LEFT(DW165,1),($D$8+MAX(0,IF($D$50=1,$D$9*(1-(ABS($Q165-ABS(VALUE(MID(DW165,FIND("|",DW165)+1,FIND("-",DW165)-FIND("|",DW165)-1))-VALUE(MID(DW165,FIND("-",DW165)+1,10)))))*$D$50),$D$9*(1-(IF($N165="X",ABS($O165-VALUE(MID(DW165,FIND("|",DW165)+1,FIND("-",DW165)-FIND("|",DW165)-1))),ABS($Q165-ABS(VALUE(MID(DW165,FIND("|",DW165)+1,FIND("-",DW165)-FIND("|",DW165)-1))-VALUE(MID(DW165,FIND("-",DW165)+1,10)))))*$D$50)))))*$I165,0)),0)</f>
        <v>0</v>
      </c>
      <c r="DY165" s="404"/>
      <c r="DZ165" s="363"/>
      <c r="EA165" s="356" t="n">
        <f aca="false">IFERROR(IF($M165=DZ165,($D$8+$D$9+$D$10)*$I165,IF($N165=LEFT(DZ165,1),($D$8+MAX(0,IF($D$50=1,$D$9*(1-(ABS($Q165-ABS(VALUE(MID(DZ165,FIND("|",DZ165)+1,FIND("-",DZ165)-FIND("|",DZ165)-1))-VALUE(MID(DZ165,FIND("-",DZ165)+1,10)))))*$D$50),$D$9*(1-(IF($N165="X",ABS($O165-VALUE(MID(DZ165,FIND("|",DZ165)+1,FIND("-",DZ165)-FIND("|",DZ165)-1))),ABS($Q165-ABS(VALUE(MID(DZ165,FIND("|",DZ165)+1,FIND("-",DZ165)-FIND("|",DZ165)-1))-VALUE(MID(DZ165,FIND("-",DZ165)+1,10)))))*$D$50)))))*$I165,0)),0)</f>
        <v>0</v>
      </c>
      <c r="EB165" s="404"/>
      <c r="EC165" s="398"/>
      <c r="ED165" s="356" t="n">
        <f aca="false">IFERROR(IF($M165=EC165,($D$8+$D$9+$D$10)*$I165,IF($N165=LEFT(EC165,1),($D$8+MAX(0,IF($D$50=1,$D$9*(1-(ABS($Q165-ABS(VALUE(MID(EC165,FIND("|",EC165)+1,FIND("-",EC165)-FIND("|",EC165)-1))-VALUE(MID(EC165,FIND("-",EC165)+1,10)))))*$D$50),$D$9*(1-(IF($N165="X",ABS($O165-VALUE(MID(EC165,FIND("|",EC165)+1,FIND("-",EC165)-FIND("|",EC165)-1))),ABS($Q165-ABS(VALUE(MID(EC165,FIND("|",EC165)+1,FIND("-",EC165)-FIND("|",EC165)-1))-VALUE(MID(EC165,FIND("-",EC165)+1,10)))))*$D$50)))))*$I165,0)),0)</f>
        <v>0</v>
      </c>
      <c r="EE165" s="404"/>
      <c r="EF165" s="363"/>
      <c r="EG165" s="356" t="n">
        <f aca="false">IFERROR(IF($M165=EF165,($D$8+$D$9+$D$10)*$I165,IF($N165=LEFT(EF165,1),($D$8+MAX(0,IF($D$50=1,$D$9*(1-(ABS($Q165-ABS(VALUE(MID(EF165,FIND("|",EF165)+1,FIND("-",EF165)-FIND("|",EF165)-1))-VALUE(MID(EF165,FIND("-",EF165)+1,10)))))*$D$50),$D$9*(1-(IF($N165="X",ABS($O165-VALUE(MID(EF165,FIND("|",EF165)+1,FIND("-",EF165)-FIND("|",EF165)-1))),ABS($Q165-ABS(VALUE(MID(EF165,FIND("|",EF165)+1,FIND("-",EF165)-FIND("|",EF165)-1))-VALUE(MID(EF165,FIND("-",EF165)+1,10)))))*$D$50)))))*$I165,0)),0)</f>
        <v>0</v>
      </c>
      <c r="EH165" s="404"/>
      <c r="EI165" s="404"/>
    </row>
    <row r="166" customFormat="false" ht="15" hidden="false" customHeight="false" outlineLevel="0" collapsed="false">
      <c r="A166" s="332" t="n">
        <f aca="false">WORLDCUP!AD103</f>
        <v>0</v>
      </c>
      <c r="B166" s="332" t="n">
        <f aca="false">WORLDCUP!AC103</f>
        <v>0</v>
      </c>
      <c r="C166" s="422" t="str">
        <f aca="false">CONCATENATE(WORLDCUP!AF103,"-",WORLDCUP!AA103)</f>
        <v>3ABCDF-1E</v>
      </c>
      <c r="D166" s="422" t="str">
        <f aca="false">IF(WORLDCUP!AC103&gt;WORLDCUP!AD103,2,IF(WORLDCUP!AC103&lt;WORLDCUP!AD103,1,IF(AND(WORLDCUP!AC103=WORLDCUP!AD103,WORLDCUP!AC103&lt;&gt;"",WORLDCUP!AD103&lt;&gt;""),0,"PD")))</f>
        <v>PD</v>
      </c>
      <c r="E166" s="422" t="str">
        <f aca="false">IF(OR(WORLDCUP!AC103="",WORLDCUP!AD103=""),"-",A166&amp;"-"&amp;B166)</f>
        <v>-</v>
      </c>
      <c r="F166" s="423" t="n">
        <f aca="false">SUM($D$16:$D$18)*I166</f>
        <v>17</v>
      </c>
      <c r="G166" s="423" t="n">
        <f aca="false">VLOOKUP(H166,Equipos!$Q$1:$R$25,2,0)</f>
        <v>20</v>
      </c>
      <c r="H166" s="424" t="str">
        <f aca="false">Idiomas!$D$260</f>
        <v>Dieciseisavos de final</v>
      </c>
      <c r="I166" s="425" t="n">
        <v>1</v>
      </c>
      <c r="J166" s="418"/>
      <c r="K166" s="367" t="str">
        <f aca="false">CONCATENATE(WORLDCUP!AA103,"-",WORLDCUP!AF103)</f>
        <v>1E-3ABCDF</v>
      </c>
      <c r="L166" s="354"/>
      <c r="M166" s="359" t="str">
        <f aca="false">IF(OR(WORLDCUP!AC103="",WORLDCUP!AD103=""),"-",N166&amp;"|"&amp;O166&amp;"-"&amp;P166)</f>
        <v>-</v>
      </c>
      <c r="N166" s="332" t="str">
        <f aca="false">IF(OR(WORLDCUP!AC103="",WORLDCUP!AD103=""),"",IF(WORLDCUP!AC103&gt;WORLDCUP!AD103,"1",IF(WORLDCUP!AC103&lt;WORLDCUP!AD103,"2","X")))</f>
        <v/>
      </c>
      <c r="O166" s="332" t="n">
        <f aca="false">WORLDCUP!AC103</f>
        <v>0</v>
      </c>
      <c r="P166" s="332" t="n">
        <f aca="false">WORLDCUP!AD103</f>
        <v>0</v>
      </c>
      <c r="Q166" s="332" t="n">
        <f aca="false">ABS(O166-P166)</f>
        <v>0</v>
      </c>
      <c r="R166" s="404"/>
      <c r="S166" s="363" t="s">
        <v>272</v>
      </c>
      <c r="T166" s="356" t="n">
        <f aca="false">IFERROR(IF($M166=S166,($D$8+$D$9+$D$10)*$I166,IF($N166=LEFT(S166,1),($D$8+MAX(0,IF($D$50=1,$D$9*(1-(ABS($Q166-ABS(VALUE(MID(S166,FIND("|",S166)+1,FIND("-",S166)-FIND("|",S166)-1))-VALUE(MID(S166,FIND("-",S166)+1,10)))))*$D$50),$D$9*(1-(IF($N166="X",ABS($O166-VALUE(MID(S166,FIND("|",S166)+1,FIND("-",S166)-FIND("|",S166)-1))),ABS($Q166-ABS(VALUE(MID(S166,FIND("|",S166)+1,FIND("-",S166)-FIND("|",S166)-1))-VALUE(MID(S166,FIND("-",S166)+1,10)))))*$D$50)))))*$I166,0)),0)</f>
        <v>0</v>
      </c>
      <c r="U166" s="404"/>
      <c r="V166" s="363" t="s">
        <v>266</v>
      </c>
      <c r="W166" s="356" t="n">
        <f aca="false">IFERROR(IF($M166=V166,($D$8+$D$9+$D$10)*$I166,IF($N166=LEFT(V166,1),($D$8+MAX(0,IF($D$50=1,$D$9*(1-(ABS($Q166-ABS(VALUE(MID(V166,FIND("|",V166)+1,FIND("-",V166)-FIND("|",V166)-1))-VALUE(MID(V166,FIND("-",V166)+1,10)))))*$D$50),$D$9*(1-(IF($N166="X",ABS($O166-VALUE(MID(V166,FIND("|",V166)+1,FIND("-",V166)-FIND("|",V166)-1))),ABS($Q166-ABS(VALUE(MID(V166,FIND("|",V166)+1,FIND("-",V166)-FIND("|",V166)-1))-VALUE(MID(V166,FIND("-",V166)+1,10)))))*$D$50)))))*$I166,0)),0)</f>
        <v>0</v>
      </c>
      <c r="X166" s="404"/>
      <c r="Y166" s="363" t="s">
        <v>264</v>
      </c>
      <c r="Z166" s="356" t="n">
        <f aca="false">IFERROR(IF($M166=Y166,($D$8+$D$9+$D$10)*$I166,IF($N166=LEFT(Y166,1),($D$8+MAX(0,IF($D$50=1,$D$9*(1-(ABS($Q166-ABS(VALUE(MID(Y166,FIND("|",Y166)+1,FIND("-",Y166)-FIND("|",Y166)-1))-VALUE(MID(Y166,FIND("-",Y166)+1,10)))))*$D$50),$D$9*(1-(IF($N166="X",ABS($O166-VALUE(MID(Y166,FIND("|",Y166)+1,FIND("-",Y166)-FIND("|",Y166)-1))),ABS($Q166-ABS(VALUE(MID(Y166,FIND("|",Y166)+1,FIND("-",Y166)-FIND("|",Y166)-1))-VALUE(MID(Y166,FIND("-",Y166)+1,10)))))*$D$50)))))*$I166,0)),0)</f>
        <v>0</v>
      </c>
      <c r="AA166" s="404"/>
      <c r="AB166" s="398" t="s">
        <v>265</v>
      </c>
      <c r="AC166" s="356" t="n">
        <f aca="false">IFERROR(IF($M166=AB166,($D$8+$D$9+$D$10)*$I166,IF($N166=LEFT(AB166,1),($D$8+MAX(0,IF($D$50=1,$D$9*(1-(ABS($Q166-ABS(VALUE(MID(AB166,FIND("|",AB166)+1,FIND("-",AB166)-FIND("|",AB166)-1))-VALUE(MID(AB166,FIND("-",AB166)+1,10)))))*$D$50),$D$9*(1-(IF($N166="X",ABS($O166-VALUE(MID(AB166,FIND("|",AB166)+1,FIND("-",AB166)-FIND("|",AB166)-1))),ABS($Q166-ABS(VALUE(MID(AB166,FIND("|",AB166)+1,FIND("-",AB166)-FIND("|",AB166)-1))-VALUE(MID(AB166,FIND("-",AB166)+1,10)))))*$D$50)))))*$I166,0)),0)</f>
        <v>0</v>
      </c>
      <c r="AD166" s="404"/>
      <c r="AE166" s="363" t="s">
        <v>288</v>
      </c>
      <c r="AF166" s="356" t="n">
        <f aca="false">IFERROR(IF($M166=AE166,($D$8+$D$9+$D$10)*$I166,IF($N166=LEFT(AE166,1),($D$8+MAX(0,IF($D$50=1,$D$9*(1-(ABS($Q166-ABS(VALUE(MID(AE166,FIND("|",AE166)+1,FIND("-",AE166)-FIND("|",AE166)-1))-VALUE(MID(AE166,FIND("-",AE166)+1,10)))))*$D$50),$D$9*(1-(IF($N166="X",ABS($O166-VALUE(MID(AE166,FIND("|",AE166)+1,FIND("-",AE166)-FIND("|",AE166)-1))),ABS($Q166-ABS(VALUE(MID(AE166,FIND("|",AE166)+1,FIND("-",AE166)-FIND("|",AE166)-1))-VALUE(MID(AE166,FIND("-",AE166)+1,10)))))*$D$50)))))*$I166,0)),0)</f>
        <v>0</v>
      </c>
      <c r="AG166" s="404"/>
      <c r="AH166" s="363" t="s">
        <v>272</v>
      </c>
      <c r="AI166" s="356" t="n">
        <f aca="false">IFERROR(IF($M166=AH166,($D$8+$D$9+$D$10)*$I166,IF($N166=LEFT(AH166,1),($D$8+MAX(0,IF($D$50=1,$D$9*(1-(ABS($Q166-ABS(VALUE(MID(AH166,FIND("|",AH166)+1,FIND("-",AH166)-FIND("|",AH166)-1))-VALUE(MID(AH166,FIND("-",AH166)+1,10)))))*$D$50),$D$9*(1-(IF($N166="X",ABS($O166-VALUE(MID(AH166,FIND("|",AH166)+1,FIND("-",AH166)-FIND("|",AH166)-1))),ABS($Q166-ABS(VALUE(MID(AH166,FIND("|",AH166)+1,FIND("-",AH166)-FIND("|",AH166)-1))-VALUE(MID(AH166,FIND("-",AH166)+1,10)))))*$D$50)))))*$I166,0)),0)</f>
        <v>0</v>
      </c>
      <c r="AJ166" s="404"/>
      <c r="AK166" s="363" t="s">
        <v>266</v>
      </c>
      <c r="AL166" s="356" t="n">
        <f aca="false">IFERROR(IF($M166=AK166,($D$8+$D$9+$D$10)*$I166,IF($N166=LEFT(AK166,1),($D$8+MAX(0,IF($D$50=1,$D$9*(1-(ABS($Q166-ABS(VALUE(MID(AK166,FIND("|",AK166)+1,FIND("-",AK166)-FIND("|",AK166)-1))-VALUE(MID(AK166,FIND("-",AK166)+1,10)))))*$D$50),$D$9*(1-(IF($N166="X",ABS($O166-VALUE(MID(AK166,FIND("|",AK166)+1,FIND("-",AK166)-FIND("|",AK166)-1))),ABS($Q166-ABS(VALUE(MID(AK166,FIND("|",AK166)+1,FIND("-",AK166)-FIND("|",AK166)-1))-VALUE(MID(AK166,FIND("-",AK166)+1,10)))))*$D$50)))))*$I166,0)),0)</f>
        <v>0</v>
      </c>
      <c r="AM166" s="404"/>
      <c r="AN166" s="363" t="s">
        <v>266</v>
      </c>
      <c r="AO166" s="356" t="n">
        <f aca="false">IFERROR(IF($M166=AN166,($D$8+$D$9+$D$10)*$I166,IF($N166=LEFT(AN166,1),($D$8+MAX(0,IF($D$50=1,$D$9*(1-(ABS($Q166-ABS(VALUE(MID(AN166,FIND("|",AN166)+1,FIND("-",AN166)-FIND("|",AN166)-1))-VALUE(MID(AN166,FIND("-",AN166)+1,10)))))*$D$50),$D$9*(1-(IF($N166="X",ABS($O166-VALUE(MID(AN166,FIND("|",AN166)+1,FIND("-",AN166)-FIND("|",AN166)-1))),ABS($Q166-ABS(VALUE(MID(AN166,FIND("|",AN166)+1,FIND("-",AN166)-FIND("|",AN166)-1))-VALUE(MID(AN166,FIND("-",AN166)+1,10)))))*$D$50)))))*$I166,0)),0)</f>
        <v>0</v>
      </c>
      <c r="AP166" s="404"/>
      <c r="AQ166" s="398" t="s">
        <v>266</v>
      </c>
      <c r="AR166" s="356" t="n">
        <f aca="false">IFERROR(IF($M166=AQ166,($D$8+$D$9+$D$10)*$I166,IF($N166=LEFT(AQ166,1),($D$8+MAX(0,IF($D$50=1,$D$9*(1-(ABS($Q166-ABS(VALUE(MID(AQ166,FIND("|",AQ166)+1,FIND("-",AQ166)-FIND("|",AQ166)-1))-VALUE(MID(AQ166,FIND("-",AQ166)+1,10)))))*$D$50),$D$9*(1-(IF($N166="X",ABS($O166-VALUE(MID(AQ166,FIND("|",AQ166)+1,FIND("-",AQ166)-FIND("|",AQ166)-1))),ABS($Q166-ABS(VALUE(MID(AQ166,FIND("|",AQ166)+1,FIND("-",AQ166)-FIND("|",AQ166)-1))-VALUE(MID(AQ166,FIND("-",AQ166)+1,10)))))*$D$50)))))*$I166,0)),0)</f>
        <v>0</v>
      </c>
      <c r="AS166" s="404"/>
      <c r="AT166" s="363" t="s">
        <v>267</v>
      </c>
      <c r="AU166" s="356" t="n">
        <f aca="false">IFERROR(IF($M166=AT166,($D$8+$D$9+$D$10)*$I166,IF($N166=LEFT(AT166,1),($D$8+MAX(0,IF($D$50=1,$D$9*(1-(ABS($Q166-ABS(VALUE(MID(AT166,FIND("|",AT166)+1,FIND("-",AT166)-FIND("|",AT166)-1))-VALUE(MID(AT166,FIND("-",AT166)+1,10)))))*$D$50),$D$9*(1-(IF($N166="X",ABS($O166-VALUE(MID(AT166,FIND("|",AT166)+1,FIND("-",AT166)-FIND("|",AT166)-1))),ABS($Q166-ABS(VALUE(MID(AT166,FIND("|",AT166)+1,FIND("-",AT166)-FIND("|",AT166)-1))-VALUE(MID(AT166,FIND("-",AT166)+1,10)))))*$D$50)))))*$I166,0)),0)</f>
        <v>0</v>
      </c>
      <c r="AV166" s="404"/>
      <c r="AW166" s="363" t="s">
        <v>265</v>
      </c>
      <c r="AX166" s="356" t="n">
        <f aca="false">IFERROR(IF($M166=AW166,($D$8+$D$9+$D$10)*$I166,IF($N166=LEFT(AW166,1),($D$8+MAX(0,IF($D$50=1,$D$9*(1-(ABS($Q166-ABS(VALUE(MID(AW166,FIND("|",AW166)+1,FIND("-",AW166)-FIND("|",AW166)-1))-VALUE(MID(AW166,FIND("-",AW166)+1,10)))))*$D$50),$D$9*(1-(IF($N166="X",ABS($O166-VALUE(MID(AW166,FIND("|",AW166)+1,FIND("-",AW166)-FIND("|",AW166)-1))),ABS($Q166-ABS(VALUE(MID(AW166,FIND("|",AW166)+1,FIND("-",AW166)-FIND("|",AW166)-1))-VALUE(MID(AW166,FIND("-",AW166)+1,10)))))*$D$50)))))*$I166,0)),0)</f>
        <v>0</v>
      </c>
      <c r="AY166" s="404"/>
      <c r="AZ166" s="363" t="s">
        <v>272</v>
      </c>
      <c r="BA166" s="356" t="n">
        <f aca="false">IFERROR(IF($M166=AZ166,($D$8+$D$9+$D$10)*$I166,IF($N166=LEFT(AZ166,1),($D$8+MAX(0,IF($D$50=1,$D$9*(1-(ABS($Q166-ABS(VALUE(MID(AZ166,FIND("|",AZ166)+1,FIND("-",AZ166)-FIND("|",AZ166)-1))-VALUE(MID(AZ166,FIND("-",AZ166)+1,10)))))*$D$50),$D$9*(1-(IF($N166="X",ABS($O166-VALUE(MID(AZ166,FIND("|",AZ166)+1,FIND("-",AZ166)-FIND("|",AZ166)-1))),ABS($Q166-ABS(VALUE(MID(AZ166,FIND("|",AZ166)+1,FIND("-",AZ166)-FIND("|",AZ166)-1))-VALUE(MID(AZ166,FIND("-",AZ166)+1,10)))))*$D$50)))))*$I166,0)),0)</f>
        <v>0</v>
      </c>
      <c r="BB166" s="404"/>
      <c r="BC166" s="363" t="s">
        <v>264</v>
      </c>
      <c r="BD166" s="356" t="n">
        <f aca="false">IFERROR(IF($M166=BC166,($D$8+$D$9+$D$10)*$I166,IF($N166=LEFT(BC166,1),($D$8+MAX(0,IF($D$50=1,$D$9*(1-(ABS($Q166-ABS(VALUE(MID(BC166,FIND("|",BC166)+1,FIND("-",BC166)-FIND("|",BC166)-1))-VALUE(MID(BC166,FIND("-",BC166)+1,10)))))*$D$50),$D$9*(1-(IF($N166="X",ABS($O166-VALUE(MID(BC166,FIND("|",BC166)+1,FIND("-",BC166)-FIND("|",BC166)-1))),ABS($Q166-ABS(VALUE(MID(BC166,FIND("|",BC166)+1,FIND("-",BC166)-FIND("|",BC166)-1))-VALUE(MID(BC166,FIND("-",BC166)+1,10)))))*$D$50)))))*$I166,0)),0)</f>
        <v>0</v>
      </c>
      <c r="BE166" s="404"/>
      <c r="BF166" s="398" t="s">
        <v>266</v>
      </c>
      <c r="BG166" s="356" t="n">
        <f aca="false">IFERROR(IF($M166=BF166,($D$8+$D$9+$D$10)*$I166,IF($N166=LEFT(BF166,1),($D$8+MAX(0,IF($D$50=1,$D$9*(1-(ABS($Q166-ABS(VALUE(MID(BF166,FIND("|",BF166)+1,FIND("-",BF166)-FIND("|",BF166)-1))-VALUE(MID(BF166,FIND("-",BF166)+1,10)))))*$D$50),$D$9*(1-(IF($N166="X",ABS($O166-VALUE(MID(BF166,FIND("|",BF166)+1,FIND("-",BF166)-FIND("|",BF166)-1))),ABS($Q166-ABS(VALUE(MID(BF166,FIND("|",BF166)+1,FIND("-",BF166)-FIND("|",BF166)-1))-VALUE(MID(BF166,FIND("-",BF166)+1,10)))))*$D$50)))))*$I166,0)),0)</f>
        <v>0</v>
      </c>
      <c r="BH166" s="404"/>
      <c r="BI166" s="363" t="s">
        <v>266</v>
      </c>
      <c r="BJ166" s="356" t="n">
        <f aca="false">IFERROR(IF($M166=BI166,($D$8+$D$9+$D$10)*$I166,IF($N166=LEFT(BI166,1),($D$8+MAX(0,IF($D$50=1,$D$9*(1-(ABS($Q166-ABS(VALUE(MID(BI166,FIND("|",BI166)+1,FIND("-",BI166)-FIND("|",BI166)-1))-VALUE(MID(BI166,FIND("-",BI166)+1,10)))))*$D$50),$D$9*(1-(IF($N166="X",ABS($O166-VALUE(MID(BI166,FIND("|",BI166)+1,FIND("-",BI166)-FIND("|",BI166)-1))),ABS($Q166-ABS(VALUE(MID(BI166,FIND("|",BI166)+1,FIND("-",BI166)-FIND("|",BI166)-1))-VALUE(MID(BI166,FIND("-",BI166)+1,10)))))*$D$50)))))*$I166,0)),0)</f>
        <v>0</v>
      </c>
      <c r="BK166" s="404"/>
      <c r="BL166" s="363" t="s">
        <v>266</v>
      </c>
      <c r="BM166" s="356" t="n">
        <f aca="false">IFERROR(IF($M166=BL166,($D$8+$D$9+$D$10)*$I166,IF($N166=LEFT(BL166,1),($D$8+MAX(0,IF($D$50=1,$D$9*(1-(ABS($Q166-ABS(VALUE(MID(BL166,FIND("|",BL166)+1,FIND("-",BL166)-FIND("|",BL166)-1))-VALUE(MID(BL166,FIND("-",BL166)+1,10)))))*$D$50),$D$9*(1-(IF($N166="X",ABS($O166-VALUE(MID(BL166,FIND("|",BL166)+1,FIND("-",BL166)-FIND("|",BL166)-1))),ABS($Q166-ABS(VALUE(MID(BL166,FIND("|",BL166)+1,FIND("-",BL166)-FIND("|",BL166)-1))-VALUE(MID(BL166,FIND("-",BL166)+1,10)))))*$D$50)))))*$I166,0)),0)</f>
        <v>0</v>
      </c>
      <c r="BN166" s="404"/>
      <c r="BO166" s="363" t="s">
        <v>264</v>
      </c>
      <c r="BP166" s="356" t="n">
        <f aca="false">IFERROR(IF($M166=BO166,($D$8+$D$9+$D$10)*$I166,IF($N166=LEFT(BO166,1),($D$8+MAX(0,IF($D$50=1,$D$9*(1-(ABS($Q166-ABS(VALUE(MID(BO166,FIND("|",BO166)+1,FIND("-",BO166)-FIND("|",BO166)-1))-VALUE(MID(BO166,FIND("-",BO166)+1,10)))))*$D$50),$D$9*(1-(IF($N166="X",ABS($O166-VALUE(MID(BO166,FIND("|",BO166)+1,FIND("-",BO166)-FIND("|",BO166)-1))),ABS($Q166-ABS(VALUE(MID(BO166,FIND("|",BO166)+1,FIND("-",BO166)-FIND("|",BO166)-1))-VALUE(MID(BO166,FIND("-",BO166)+1,10)))))*$D$50)))))*$I166,0)),0)</f>
        <v>0</v>
      </c>
      <c r="BQ166" s="404"/>
      <c r="BR166" s="363" t="s">
        <v>264</v>
      </c>
      <c r="BS166" s="356" t="n">
        <f aca="false">IFERROR(IF($M166=BR166,($D$8+$D$9+$D$10)*$I166,IF($N166=LEFT(BR166,1),($D$8+MAX(0,IF($D$50=1,$D$9*(1-(ABS($Q166-ABS(VALUE(MID(BR166,FIND("|",BR166)+1,FIND("-",BR166)-FIND("|",BR166)-1))-VALUE(MID(BR166,FIND("-",BR166)+1,10)))))*$D$50),$D$9*(1-(IF($N166="X",ABS($O166-VALUE(MID(BR166,FIND("|",BR166)+1,FIND("-",BR166)-FIND("|",BR166)-1))),ABS($Q166-ABS(VALUE(MID(BR166,FIND("|",BR166)+1,FIND("-",BR166)-FIND("|",BR166)-1))-VALUE(MID(BR166,FIND("-",BR166)+1,10)))))*$D$50)))))*$I166,0)),0)</f>
        <v>0</v>
      </c>
      <c r="BT166" s="404"/>
      <c r="BU166" s="398"/>
      <c r="BV166" s="356" t="n">
        <f aca="false">IFERROR(IF($M166=BU166,($D$8+$D$9+$D$10)*$I166,IF($N166=LEFT(BU166,1),($D$8+MAX(0,IF($D$50=1,$D$9*(1-(ABS($Q166-ABS(VALUE(MID(BU166,FIND("|",BU166)+1,FIND("-",BU166)-FIND("|",BU166)-1))-VALUE(MID(BU166,FIND("-",BU166)+1,10)))))*$D$50),$D$9*(1-(IF($N166="X",ABS($O166-VALUE(MID(BU166,FIND("|",BU166)+1,FIND("-",BU166)-FIND("|",BU166)-1))),ABS($Q166-ABS(VALUE(MID(BU166,FIND("|",BU166)+1,FIND("-",BU166)-FIND("|",BU166)-1))-VALUE(MID(BU166,FIND("-",BU166)+1,10)))))*$D$50)))))*$I166,0)),0)</f>
        <v>0</v>
      </c>
      <c r="BW166" s="404"/>
      <c r="BX166" s="363"/>
      <c r="BY166" s="356" t="n">
        <f aca="false">IFERROR(IF($M166=BX166,($D$8+$D$9+$D$10)*$I166,IF($N166=LEFT(BX166,1),($D$8+MAX(0,IF($D$50=1,$D$9*(1-(ABS($Q166-ABS(VALUE(MID(BX166,FIND("|",BX166)+1,FIND("-",BX166)-FIND("|",BX166)-1))-VALUE(MID(BX166,FIND("-",BX166)+1,10)))))*$D$50),$D$9*(1-(IF($N166="X",ABS($O166-VALUE(MID(BX166,FIND("|",BX166)+1,FIND("-",BX166)-FIND("|",BX166)-1))),ABS($Q166-ABS(VALUE(MID(BX166,FIND("|",BX166)+1,FIND("-",BX166)-FIND("|",BX166)-1))-VALUE(MID(BX166,FIND("-",BX166)+1,10)))))*$D$50)))))*$I166,0)),0)</f>
        <v>0</v>
      </c>
      <c r="BZ166" s="404"/>
      <c r="CA166" s="363"/>
      <c r="CB166" s="356" t="n">
        <f aca="false">IFERROR(IF($M166=CA166,($D$8+$D$9+$D$10)*$I166,IF($N166=LEFT(CA166,1),($D$8+MAX(0,IF($D$50=1,$D$9*(1-(ABS($Q166-ABS(VALUE(MID(CA166,FIND("|",CA166)+1,FIND("-",CA166)-FIND("|",CA166)-1))-VALUE(MID(CA166,FIND("-",CA166)+1,10)))))*$D$50),$D$9*(1-(IF($N166="X",ABS($O166-VALUE(MID(CA166,FIND("|",CA166)+1,FIND("-",CA166)-FIND("|",CA166)-1))),ABS($Q166-ABS(VALUE(MID(CA166,FIND("|",CA166)+1,FIND("-",CA166)-FIND("|",CA166)-1))-VALUE(MID(CA166,FIND("-",CA166)+1,10)))))*$D$50)))))*$I166,0)),0)</f>
        <v>0</v>
      </c>
      <c r="CC166" s="404"/>
      <c r="CD166" s="363"/>
      <c r="CE166" s="356" t="n">
        <f aca="false">IFERROR(IF($M166=CD166,($D$8+$D$9+$D$10)*$I166,IF($N166=LEFT(CD166,1),($D$8+MAX(0,IF($D$50=1,$D$9*(1-(ABS($Q166-ABS(VALUE(MID(CD166,FIND("|",CD166)+1,FIND("-",CD166)-FIND("|",CD166)-1))-VALUE(MID(CD166,FIND("-",CD166)+1,10)))))*$D$50),$D$9*(1-(IF($N166="X",ABS($O166-VALUE(MID(CD166,FIND("|",CD166)+1,FIND("-",CD166)-FIND("|",CD166)-1))),ABS($Q166-ABS(VALUE(MID(CD166,FIND("|",CD166)+1,FIND("-",CD166)-FIND("|",CD166)-1))-VALUE(MID(CD166,FIND("-",CD166)+1,10)))))*$D$50)))))*$I166,0)),0)</f>
        <v>0</v>
      </c>
      <c r="CF166" s="404"/>
      <c r="CG166" s="363"/>
      <c r="CH166" s="356" t="n">
        <f aca="false">IFERROR(IF($M166=CG166,($D$8+$D$9+$D$10)*$I166,IF($N166=LEFT(CG166,1),($D$8+MAX(0,IF($D$50=1,$D$9*(1-(ABS($Q166-ABS(VALUE(MID(CG166,FIND("|",CG166)+1,FIND("-",CG166)-FIND("|",CG166)-1))-VALUE(MID(CG166,FIND("-",CG166)+1,10)))))*$D$50),$D$9*(1-(IF($N166="X",ABS($O166-VALUE(MID(CG166,FIND("|",CG166)+1,FIND("-",CG166)-FIND("|",CG166)-1))),ABS($Q166-ABS(VALUE(MID(CG166,FIND("|",CG166)+1,FIND("-",CG166)-FIND("|",CG166)-1))-VALUE(MID(CG166,FIND("-",CG166)+1,10)))))*$D$50)))))*$I166,0)),0)</f>
        <v>0</v>
      </c>
      <c r="CI166" s="404"/>
      <c r="CJ166" s="398"/>
      <c r="CK166" s="356" t="n">
        <f aca="false">IFERROR(IF($M166=CJ166,($D$8+$D$9+$D$10)*$I166,IF($N166=LEFT(CJ166,1),($D$8+MAX(0,IF($D$50=1,$D$9*(1-(ABS($Q166-ABS(VALUE(MID(CJ166,FIND("|",CJ166)+1,FIND("-",CJ166)-FIND("|",CJ166)-1))-VALUE(MID(CJ166,FIND("-",CJ166)+1,10)))))*$D$50),$D$9*(1-(IF($N166="X",ABS($O166-VALUE(MID(CJ166,FIND("|",CJ166)+1,FIND("-",CJ166)-FIND("|",CJ166)-1))),ABS($Q166-ABS(VALUE(MID(CJ166,FIND("|",CJ166)+1,FIND("-",CJ166)-FIND("|",CJ166)-1))-VALUE(MID(CJ166,FIND("-",CJ166)+1,10)))))*$D$50)))))*$I166,0)),0)</f>
        <v>0</v>
      </c>
      <c r="CL166" s="404"/>
      <c r="CM166" s="363"/>
      <c r="CN166" s="356" t="n">
        <f aca="false">IFERROR(IF($M166=CM166,($D$8+$D$9+$D$10)*$I166,IF($N166=LEFT(CM166,1),($D$8+MAX(0,IF($D$50=1,$D$9*(1-(ABS($Q166-ABS(VALUE(MID(CM166,FIND("|",CM166)+1,FIND("-",CM166)-FIND("|",CM166)-1))-VALUE(MID(CM166,FIND("-",CM166)+1,10)))))*$D$50),$D$9*(1-(IF($N166="X",ABS($O166-VALUE(MID(CM166,FIND("|",CM166)+1,FIND("-",CM166)-FIND("|",CM166)-1))),ABS($Q166-ABS(VALUE(MID(CM166,FIND("|",CM166)+1,FIND("-",CM166)-FIND("|",CM166)-1))-VALUE(MID(CM166,FIND("-",CM166)+1,10)))))*$D$50)))))*$I166,0)),0)</f>
        <v>0</v>
      </c>
      <c r="CO166" s="404"/>
      <c r="CP166" s="363"/>
      <c r="CQ166" s="356" t="n">
        <f aca="false">IFERROR(IF($M166=CP166,($D$8+$D$9+$D$10)*$I166,IF($N166=LEFT(CP166,1),($D$8+MAX(0,IF($D$50=1,$D$9*(1-(ABS($Q166-ABS(VALUE(MID(CP166,FIND("|",CP166)+1,FIND("-",CP166)-FIND("|",CP166)-1))-VALUE(MID(CP166,FIND("-",CP166)+1,10)))))*$D$50),$D$9*(1-(IF($N166="X",ABS($O166-VALUE(MID(CP166,FIND("|",CP166)+1,FIND("-",CP166)-FIND("|",CP166)-1))),ABS($Q166-ABS(VALUE(MID(CP166,FIND("|",CP166)+1,FIND("-",CP166)-FIND("|",CP166)-1))-VALUE(MID(CP166,FIND("-",CP166)+1,10)))))*$D$50)))))*$I166,0)),0)</f>
        <v>0</v>
      </c>
      <c r="CR166" s="404"/>
      <c r="CS166" s="363"/>
      <c r="CT166" s="356" t="n">
        <f aca="false">IFERROR(IF($M166=CS166,($D$8+$D$9+$D$10)*$I166,IF($N166=LEFT(CS166,1),($D$8+MAX(0,IF($D$50=1,$D$9*(1-(ABS($Q166-ABS(VALUE(MID(CS166,FIND("|",CS166)+1,FIND("-",CS166)-FIND("|",CS166)-1))-VALUE(MID(CS166,FIND("-",CS166)+1,10)))))*$D$50),$D$9*(1-(IF($N166="X",ABS($O166-VALUE(MID(CS166,FIND("|",CS166)+1,FIND("-",CS166)-FIND("|",CS166)-1))),ABS($Q166-ABS(VALUE(MID(CS166,FIND("|",CS166)+1,FIND("-",CS166)-FIND("|",CS166)-1))-VALUE(MID(CS166,FIND("-",CS166)+1,10)))))*$D$50)))))*$I166,0)),0)</f>
        <v>0</v>
      </c>
      <c r="CU166" s="404"/>
      <c r="CV166" s="363"/>
      <c r="CW166" s="356" t="n">
        <f aca="false">IFERROR(IF($M166=CV166,($D$8+$D$9+$D$10)*$I166,IF($N166=LEFT(CV166,1),($D$8+MAX(0,IF($D$50=1,$D$9*(1-(ABS($Q166-ABS(VALUE(MID(CV166,FIND("|",CV166)+1,FIND("-",CV166)-FIND("|",CV166)-1))-VALUE(MID(CV166,FIND("-",CV166)+1,10)))))*$D$50),$D$9*(1-(IF($N166="X",ABS($O166-VALUE(MID(CV166,FIND("|",CV166)+1,FIND("-",CV166)-FIND("|",CV166)-1))),ABS($Q166-ABS(VALUE(MID(CV166,FIND("|",CV166)+1,FIND("-",CV166)-FIND("|",CV166)-1))-VALUE(MID(CV166,FIND("-",CV166)+1,10)))))*$D$50)))))*$I166,0)),0)</f>
        <v>0</v>
      </c>
      <c r="CX166" s="404"/>
      <c r="CY166" s="398"/>
      <c r="CZ166" s="356" t="n">
        <f aca="false">IFERROR(IF($M166=CY166,($D$8+$D$9+$D$10)*$I166,IF($N166=LEFT(CY166,1),($D$8+MAX(0,IF($D$50=1,$D$9*(1-(ABS($Q166-ABS(VALUE(MID(CY166,FIND("|",CY166)+1,FIND("-",CY166)-FIND("|",CY166)-1))-VALUE(MID(CY166,FIND("-",CY166)+1,10)))))*$D$50),$D$9*(1-(IF($N166="X",ABS($O166-VALUE(MID(CY166,FIND("|",CY166)+1,FIND("-",CY166)-FIND("|",CY166)-1))),ABS($Q166-ABS(VALUE(MID(CY166,FIND("|",CY166)+1,FIND("-",CY166)-FIND("|",CY166)-1))-VALUE(MID(CY166,FIND("-",CY166)+1,10)))))*$D$50)))))*$I166,0)),0)</f>
        <v>0</v>
      </c>
      <c r="DA166" s="404"/>
      <c r="DB166" s="363"/>
      <c r="DC166" s="356" t="n">
        <f aca="false">IFERROR(IF($M166=DB166,($D$8+$D$9+$D$10)*$I166,IF($N166=LEFT(DB166,1),($D$8+MAX(0,IF($D$50=1,$D$9*(1-(ABS($Q166-ABS(VALUE(MID(DB166,FIND("|",DB166)+1,FIND("-",DB166)-FIND("|",DB166)-1))-VALUE(MID(DB166,FIND("-",DB166)+1,10)))))*$D$50),$D$9*(1-(IF($N166="X",ABS($O166-VALUE(MID(DB166,FIND("|",DB166)+1,FIND("-",DB166)-FIND("|",DB166)-1))),ABS($Q166-ABS(VALUE(MID(DB166,FIND("|",DB166)+1,FIND("-",DB166)-FIND("|",DB166)-1))-VALUE(MID(DB166,FIND("-",DB166)+1,10)))))*$D$50)))))*$I166,0)),0)</f>
        <v>0</v>
      </c>
      <c r="DD166" s="404"/>
      <c r="DE166" s="363"/>
      <c r="DF166" s="356" t="n">
        <f aca="false">IFERROR(IF($M166=DE166,($D$8+$D$9+$D$10)*$I166,IF($N166=LEFT(DE166,1),($D$8+MAX(0,IF($D$50=1,$D$9*(1-(ABS($Q166-ABS(VALUE(MID(DE166,FIND("|",DE166)+1,FIND("-",DE166)-FIND("|",DE166)-1))-VALUE(MID(DE166,FIND("-",DE166)+1,10)))))*$D$50),$D$9*(1-(IF($N166="X",ABS($O166-VALUE(MID(DE166,FIND("|",DE166)+1,FIND("-",DE166)-FIND("|",DE166)-1))),ABS($Q166-ABS(VALUE(MID(DE166,FIND("|",DE166)+1,FIND("-",DE166)-FIND("|",DE166)-1))-VALUE(MID(DE166,FIND("-",DE166)+1,10)))))*$D$50)))))*$I166,0)),0)</f>
        <v>0</v>
      </c>
      <c r="DG166" s="404"/>
      <c r="DH166" s="363"/>
      <c r="DI166" s="356" t="n">
        <f aca="false">IFERROR(IF($M166=DH166,($D$8+$D$9+$D$10)*$I166,IF($N166=LEFT(DH166,1),($D$8+MAX(0,IF($D$50=1,$D$9*(1-(ABS($Q166-ABS(VALUE(MID(DH166,FIND("|",DH166)+1,FIND("-",DH166)-FIND("|",DH166)-1))-VALUE(MID(DH166,FIND("-",DH166)+1,10)))))*$D$50),$D$9*(1-(IF($N166="X",ABS($O166-VALUE(MID(DH166,FIND("|",DH166)+1,FIND("-",DH166)-FIND("|",DH166)-1))),ABS($Q166-ABS(VALUE(MID(DH166,FIND("|",DH166)+1,FIND("-",DH166)-FIND("|",DH166)-1))-VALUE(MID(DH166,FIND("-",DH166)+1,10)))))*$D$50)))))*$I166,0)),0)</f>
        <v>0</v>
      </c>
      <c r="DJ166" s="404"/>
      <c r="DK166" s="363"/>
      <c r="DL166" s="356" t="n">
        <f aca="false">IFERROR(IF($M166=DK166,($D$8+$D$9+$D$10)*$I166,IF($N166=LEFT(DK166,1),($D$8+MAX(0,IF($D$50=1,$D$9*(1-(ABS($Q166-ABS(VALUE(MID(DK166,FIND("|",DK166)+1,FIND("-",DK166)-FIND("|",DK166)-1))-VALUE(MID(DK166,FIND("-",DK166)+1,10)))))*$D$50),$D$9*(1-(IF($N166="X",ABS($O166-VALUE(MID(DK166,FIND("|",DK166)+1,FIND("-",DK166)-FIND("|",DK166)-1))),ABS($Q166-ABS(VALUE(MID(DK166,FIND("|",DK166)+1,FIND("-",DK166)-FIND("|",DK166)-1))-VALUE(MID(DK166,FIND("-",DK166)+1,10)))))*$D$50)))))*$I166,0)),0)</f>
        <v>0</v>
      </c>
      <c r="DM166" s="404"/>
      <c r="DN166" s="398"/>
      <c r="DO166" s="356" t="n">
        <f aca="false">IFERROR(IF($M166=DN166,($D$8+$D$9+$D$10)*$I166,IF($N166=LEFT(DN166,1),($D$8+MAX(0,IF($D$50=1,$D$9*(1-(ABS($Q166-ABS(VALUE(MID(DN166,FIND("|",DN166)+1,FIND("-",DN166)-FIND("|",DN166)-1))-VALUE(MID(DN166,FIND("-",DN166)+1,10)))))*$D$50),$D$9*(1-(IF($N166="X",ABS($O166-VALUE(MID(DN166,FIND("|",DN166)+1,FIND("-",DN166)-FIND("|",DN166)-1))),ABS($Q166-ABS(VALUE(MID(DN166,FIND("|",DN166)+1,FIND("-",DN166)-FIND("|",DN166)-1))-VALUE(MID(DN166,FIND("-",DN166)+1,10)))))*$D$50)))))*$I166,0)),0)</f>
        <v>0</v>
      </c>
      <c r="DP166" s="404"/>
      <c r="DQ166" s="363"/>
      <c r="DR166" s="356" t="n">
        <f aca="false">IFERROR(IF($M166=DQ166,($D$8+$D$9+$D$10)*$I166,IF($N166=LEFT(DQ166,1),($D$8+MAX(0,IF($D$50=1,$D$9*(1-(ABS($Q166-ABS(VALUE(MID(DQ166,FIND("|",DQ166)+1,FIND("-",DQ166)-FIND("|",DQ166)-1))-VALUE(MID(DQ166,FIND("-",DQ166)+1,10)))))*$D$50),$D$9*(1-(IF($N166="X",ABS($O166-VALUE(MID(DQ166,FIND("|",DQ166)+1,FIND("-",DQ166)-FIND("|",DQ166)-1))),ABS($Q166-ABS(VALUE(MID(DQ166,FIND("|",DQ166)+1,FIND("-",DQ166)-FIND("|",DQ166)-1))-VALUE(MID(DQ166,FIND("-",DQ166)+1,10)))))*$D$50)))))*$I166,0)),0)</f>
        <v>0</v>
      </c>
      <c r="DS166" s="404"/>
      <c r="DT166" s="363"/>
      <c r="DU166" s="356" t="n">
        <f aca="false">IFERROR(IF($M166=DT166,($D$8+$D$9+$D$10)*$I166,IF($N166=LEFT(DT166,1),($D$8+MAX(0,IF($D$50=1,$D$9*(1-(ABS($Q166-ABS(VALUE(MID(DT166,FIND("|",DT166)+1,FIND("-",DT166)-FIND("|",DT166)-1))-VALUE(MID(DT166,FIND("-",DT166)+1,10)))))*$D$50),$D$9*(1-(IF($N166="X",ABS($O166-VALUE(MID(DT166,FIND("|",DT166)+1,FIND("-",DT166)-FIND("|",DT166)-1))),ABS($Q166-ABS(VALUE(MID(DT166,FIND("|",DT166)+1,FIND("-",DT166)-FIND("|",DT166)-1))-VALUE(MID(DT166,FIND("-",DT166)+1,10)))))*$D$50)))))*$I166,0)),0)</f>
        <v>0</v>
      </c>
      <c r="DV166" s="404"/>
      <c r="DW166" s="363"/>
      <c r="DX166" s="356" t="n">
        <f aca="false">IFERROR(IF($M166=DW166,($D$8+$D$9+$D$10)*$I166,IF($N166=LEFT(DW166,1),($D$8+MAX(0,IF($D$50=1,$D$9*(1-(ABS($Q166-ABS(VALUE(MID(DW166,FIND("|",DW166)+1,FIND("-",DW166)-FIND("|",DW166)-1))-VALUE(MID(DW166,FIND("-",DW166)+1,10)))))*$D$50),$D$9*(1-(IF($N166="X",ABS($O166-VALUE(MID(DW166,FIND("|",DW166)+1,FIND("-",DW166)-FIND("|",DW166)-1))),ABS($Q166-ABS(VALUE(MID(DW166,FIND("|",DW166)+1,FIND("-",DW166)-FIND("|",DW166)-1))-VALUE(MID(DW166,FIND("-",DW166)+1,10)))))*$D$50)))))*$I166,0)),0)</f>
        <v>0</v>
      </c>
      <c r="DY166" s="404"/>
      <c r="DZ166" s="363"/>
      <c r="EA166" s="356" t="n">
        <f aca="false">IFERROR(IF($M166=DZ166,($D$8+$D$9+$D$10)*$I166,IF($N166=LEFT(DZ166,1),($D$8+MAX(0,IF($D$50=1,$D$9*(1-(ABS($Q166-ABS(VALUE(MID(DZ166,FIND("|",DZ166)+1,FIND("-",DZ166)-FIND("|",DZ166)-1))-VALUE(MID(DZ166,FIND("-",DZ166)+1,10)))))*$D$50),$D$9*(1-(IF($N166="X",ABS($O166-VALUE(MID(DZ166,FIND("|",DZ166)+1,FIND("-",DZ166)-FIND("|",DZ166)-1))),ABS($Q166-ABS(VALUE(MID(DZ166,FIND("|",DZ166)+1,FIND("-",DZ166)-FIND("|",DZ166)-1))-VALUE(MID(DZ166,FIND("-",DZ166)+1,10)))))*$D$50)))))*$I166,0)),0)</f>
        <v>0</v>
      </c>
      <c r="EB166" s="404"/>
      <c r="EC166" s="398"/>
      <c r="ED166" s="356" t="n">
        <f aca="false">IFERROR(IF($M166=EC166,($D$8+$D$9+$D$10)*$I166,IF($N166=LEFT(EC166,1),($D$8+MAX(0,IF($D$50=1,$D$9*(1-(ABS($Q166-ABS(VALUE(MID(EC166,FIND("|",EC166)+1,FIND("-",EC166)-FIND("|",EC166)-1))-VALUE(MID(EC166,FIND("-",EC166)+1,10)))))*$D$50),$D$9*(1-(IF($N166="X",ABS($O166-VALUE(MID(EC166,FIND("|",EC166)+1,FIND("-",EC166)-FIND("|",EC166)-1))),ABS($Q166-ABS(VALUE(MID(EC166,FIND("|",EC166)+1,FIND("-",EC166)-FIND("|",EC166)-1))-VALUE(MID(EC166,FIND("-",EC166)+1,10)))))*$D$50)))))*$I166,0)),0)</f>
        <v>0</v>
      </c>
      <c r="EE166" s="404"/>
      <c r="EF166" s="363"/>
      <c r="EG166" s="356" t="n">
        <f aca="false">IFERROR(IF($M166=EF166,($D$8+$D$9+$D$10)*$I166,IF($N166=LEFT(EF166,1),($D$8+MAX(0,IF($D$50=1,$D$9*(1-(ABS($Q166-ABS(VALUE(MID(EF166,FIND("|",EF166)+1,FIND("-",EF166)-FIND("|",EF166)-1))-VALUE(MID(EF166,FIND("-",EF166)+1,10)))))*$D$50),$D$9*(1-(IF($N166="X",ABS($O166-VALUE(MID(EF166,FIND("|",EF166)+1,FIND("-",EF166)-FIND("|",EF166)-1))),ABS($Q166-ABS(VALUE(MID(EF166,FIND("|",EF166)+1,FIND("-",EF166)-FIND("|",EF166)-1))-VALUE(MID(EF166,FIND("-",EF166)+1,10)))))*$D$50)))))*$I166,0)),0)</f>
        <v>0</v>
      </c>
      <c r="EH166" s="404"/>
      <c r="EI166" s="404"/>
    </row>
    <row r="167" customFormat="false" ht="15" hidden="false" customHeight="false" outlineLevel="0" collapsed="false">
      <c r="A167" s="332" t="n">
        <f aca="false">WORLDCUP!AD104</f>
        <v>0</v>
      </c>
      <c r="B167" s="332" t="n">
        <f aca="false">WORLDCUP!AC104</f>
        <v>0</v>
      </c>
      <c r="C167" s="422" t="str">
        <f aca="false">CONCATENATE(WORLDCUP!AF104,"-",WORLDCUP!AA104)</f>
        <v>2C-1F</v>
      </c>
      <c r="D167" s="422" t="str">
        <f aca="false">IF(WORLDCUP!AC104&gt;WORLDCUP!AD104,2,IF(WORLDCUP!AC104&lt;WORLDCUP!AD104,1,IF(AND(WORLDCUP!AC104=WORLDCUP!AD104,WORLDCUP!AC104&lt;&gt;"",WORLDCUP!AD104&lt;&gt;""),0,"PD")))</f>
        <v>PD</v>
      </c>
      <c r="E167" s="422" t="str">
        <f aca="false">IF(OR(WORLDCUP!AC104="",WORLDCUP!AD104=""),"-",A167&amp;"-"&amp;B167)</f>
        <v>-</v>
      </c>
      <c r="F167" s="423" t="n">
        <f aca="false">SUM($D$16:$D$18)*I167</f>
        <v>17</v>
      </c>
      <c r="G167" s="423" t="n">
        <f aca="false">VLOOKUP(H167,Equipos!$Q$1:$R$25,2,0)</f>
        <v>20</v>
      </c>
      <c r="H167" s="424" t="str">
        <f aca="false">Idiomas!$D$260</f>
        <v>Dieciseisavos de final</v>
      </c>
      <c r="I167" s="425" t="n">
        <v>1</v>
      </c>
      <c r="J167" s="418"/>
      <c r="K167" s="367" t="str">
        <f aca="false">CONCATENATE(WORLDCUP!AA104,"-",WORLDCUP!AF104)</f>
        <v>1F-2C</v>
      </c>
      <c r="L167" s="354"/>
      <c r="M167" s="359" t="str">
        <f aca="false">IF(OR(WORLDCUP!AC104="",WORLDCUP!AD104=""),"-",N167&amp;"|"&amp;O167&amp;"-"&amp;P167)</f>
        <v>-</v>
      </c>
      <c r="N167" s="332" t="str">
        <f aca="false">IF(OR(WORLDCUP!AC104="",WORLDCUP!AD104=""),"",IF(WORLDCUP!AC104&gt;WORLDCUP!AD104,"1",IF(WORLDCUP!AC104&lt;WORLDCUP!AD104,"2","X")))</f>
        <v/>
      </c>
      <c r="O167" s="332" t="n">
        <f aca="false">WORLDCUP!AC104</f>
        <v>0</v>
      </c>
      <c r="P167" s="332" t="n">
        <f aca="false">WORLDCUP!AD104</f>
        <v>0</v>
      </c>
      <c r="Q167" s="332" t="n">
        <f aca="false">ABS(O167-P167)</f>
        <v>0</v>
      </c>
      <c r="R167" s="404"/>
      <c r="S167" s="363" t="s">
        <v>268</v>
      </c>
      <c r="T167" s="356" t="n">
        <f aca="false">IFERROR(IF($M167=S167,($D$8+$D$9+$D$10)*$I167,IF($N167=LEFT(S167,1),($D$8+MAX(0,IF($D$50=1,$D$9*(1-(ABS($Q167-ABS(VALUE(MID(S167,FIND("|",S167)+1,FIND("-",S167)-FIND("|",S167)-1))-VALUE(MID(S167,FIND("-",S167)+1,10)))))*$D$50),$D$9*(1-(IF($N167="X",ABS($O167-VALUE(MID(S167,FIND("|",S167)+1,FIND("-",S167)-FIND("|",S167)-1))),ABS($Q167-ABS(VALUE(MID(S167,FIND("|",S167)+1,FIND("-",S167)-FIND("|",S167)-1))-VALUE(MID(S167,FIND("-",S167)+1,10)))))*$D$50)))))*$I167,0)),0)</f>
        <v>0</v>
      </c>
      <c r="U167" s="404"/>
      <c r="V167" s="363" t="s">
        <v>268</v>
      </c>
      <c r="W167" s="356" t="n">
        <f aca="false">IFERROR(IF($M167=V167,($D$8+$D$9+$D$10)*$I167,IF($N167=LEFT(V167,1),($D$8+MAX(0,IF($D$50=1,$D$9*(1-(ABS($Q167-ABS(VALUE(MID(V167,FIND("|",V167)+1,FIND("-",V167)-FIND("|",V167)-1))-VALUE(MID(V167,FIND("-",V167)+1,10)))))*$D$50),$D$9*(1-(IF($N167="X",ABS($O167-VALUE(MID(V167,FIND("|",V167)+1,FIND("-",V167)-FIND("|",V167)-1))),ABS($Q167-ABS(VALUE(MID(V167,FIND("|",V167)+1,FIND("-",V167)-FIND("|",V167)-1))-VALUE(MID(V167,FIND("-",V167)+1,10)))))*$D$50)))))*$I167,0)),0)</f>
        <v>0</v>
      </c>
      <c r="X167" s="404"/>
      <c r="Y167" s="363" t="s">
        <v>264</v>
      </c>
      <c r="Z167" s="356" t="n">
        <f aca="false">IFERROR(IF($M167=Y167,($D$8+$D$9+$D$10)*$I167,IF($N167=LEFT(Y167,1),($D$8+MAX(0,IF($D$50=1,$D$9*(1-(ABS($Q167-ABS(VALUE(MID(Y167,FIND("|",Y167)+1,FIND("-",Y167)-FIND("|",Y167)-1))-VALUE(MID(Y167,FIND("-",Y167)+1,10)))))*$D$50),$D$9*(1-(IF($N167="X",ABS($O167-VALUE(MID(Y167,FIND("|",Y167)+1,FIND("-",Y167)-FIND("|",Y167)-1))),ABS($Q167-ABS(VALUE(MID(Y167,FIND("|",Y167)+1,FIND("-",Y167)-FIND("|",Y167)-1))-VALUE(MID(Y167,FIND("-",Y167)+1,10)))))*$D$50)))))*$I167,0)),0)</f>
        <v>0</v>
      </c>
      <c r="AA167" s="404"/>
      <c r="AB167" s="398" t="s">
        <v>268</v>
      </c>
      <c r="AC167" s="356" t="n">
        <f aca="false">IFERROR(IF($M167=AB167,($D$8+$D$9+$D$10)*$I167,IF($N167=LEFT(AB167,1),($D$8+MAX(0,IF($D$50=1,$D$9*(1-(ABS($Q167-ABS(VALUE(MID(AB167,FIND("|",AB167)+1,FIND("-",AB167)-FIND("|",AB167)-1))-VALUE(MID(AB167,FIND("-",AB167)+1,10)))))*$D$50),$D$9*(1-(IF($N167="X",ABS($O167-VALUE(MID(AB167,FIND("|",AB167)+1,FIND("-",AB167)-FIND("|",AB167)-1))),ABS($Q167-ABS(VALUE(MID(AB167,FIND("|",AB167)+1,FIND("-",AB167)-FIND("|",AB167)-1))-VALUE(MID(AB167,FIND("-",AB167)+1,10)))))*$D$50)))))*$I167,0)),0)</f>
        <v>0</v>
      </c>
      <c r="AD167" s="404"/>
      <c r="AE167" s="363" t="s">
        <v>265</v>
      </c>
      <c r="AF167" s="356" t="n">
        <f aca="false">IFERROR(IF($M167=AE167,($D$8+$D$9+$D$10)*$I167,IF($N167=LEFT(AE167,1),($D$8+MAX(0,IF($D$50=1,$D$9*(1-(ABS($Q167-ABS(VALUE(MID(AE167,FIND("|",AE167)+1,FIND("-",AE167)-FIND("|",AE167)-1))-VALUE(MID(AE167,FIND("-",AE167)+1,10)))))*$D$50),$D$9*(1-(IF($N167="X",ABS($O167-VALUE(MID(AE167,FIND("|",AE167)+1,FIND("-",AE167)-FIND("|",AE167)-1))),ABS($Q167-ABS(VALUE(MID(AE167,FIND("|",AE167)+1,FIND("-",AE167)-FIND("|",AE167)-1))-VALUE(MID(AE167,FIND("-",AE167)+1,10)))))*$D$50)))))*$I167,0)),0)</f>
        <v>0</v>
      </c>
      <c r="AG167" s="404"/>
      <c r="AH167" s="363" t="s">
        <v>268</v>
      </c>
      <c r="AI167" s="356" t="n">
        <f aca="false">IFERROR(IF($M167=AH167,($D$8+$D$9+$D$10)*$I167,IF($N167=LEFT(AH167,1),($D$8+MAX(0,IF($D$50=1,$D$9*(1-(ABS($Q167-ABS(VALUE(MID(AH167,FIND("|",AH167)+1,FIND("-",AH167)-FIND("|",AH167)-1))-VALUE(MID(AH167,FIND("-",AH167)+1,10)))))*$D$50),$D$9*(1-(IF($N167="X",ABS($O167-VALUE(MID(AH167,FIND("|",AH167)+1,FIND("-",AH167)-FIND("|",AH167)-1))),ABS($Q167-ABS(VALUE(MID(AH167,FIND("|",AH167)+1,FIND("-",AH167)-FIND("|",AH167)-1))-VALUE(MID(AH167,FIND("-",AH167)+1,10)))))*$D$50)))))*$I167,0)),0)</f>
        <v>0</v>
      </c>
      <c r="AJ167" s="404"/>
      <c r="AK167" s="363" t="s">
        <v>264</v>
      </c>
      <c r="AL167" s="356" t="n">
        <f aca="false">IFERROR(IF($M167=AK167,($D$8+$D$9+$D$10)*$I167,IF($N167=LEFT(AK167,1),($D$8+MAX(0,IF($D$50=1,$D$9*(1-(ABS($Q167-ABS(VALUE(MID(AK167,FIND("|",AK167)+1,FIND("-",AK167)-FIND("|",AK167)-1))-VALUE(MID(AK167,FIND("-",AK167)+1,10)))))*$D$50),$D$9*(1-(IF($N167="X",ABS($O167-VALUE(MID(AK167,FIND("|",AK167)+1,FIND("-",AK167)-FIND("|",AK167)-1))),ABS($Q167-ABS(VALUE(MID(AK167,FIND("|",AK167)+1,FIND("-",AK167)-FIND("|",AK167)-1))-VALUE(MID(AK167,FIND("-",AK167)+1,10)))))*$D$50)))))*$I167,0)),0)</f>
        <v>0</v>
      </c>
      <c r="AM167" s="404"/>
      <c r="AN167" s="363" t="s">
        <v>265</v>
      </c>
      <c r="AO167" s="356" t="n">
        <f aca="false">IFERROR(IF($M167=AN167,($D$8+$D$9+$D$10)*$I167,IF($N167=LEFT(AN167,1),($D$8+MAX(0,IF($D$50=1,$D$9*(1-(ABS($Q167-ABS(VALUE(MID(AN167,FIND("|",AN167)+1,FIND("-",AN167)-FIND("|",AN167)-1))-VALUE(MID(AN167,FIND("-",AN167)+1,10)))))*$D$50),$D$9*(1-(IF($N167="X",ABS($O167-VALUE(MID(AN167,FIND("|",AN167)+1,FIND("-",AN167)-FIND("|",AN167)-1))),ABS($Q167-ABS(VALUE(MID(AN167,FIND("|",AN167)+1,FIND("-",AN167)-FIND("|",AN167)-1))-VALUE(MID(AN167,FIND("-",AN167)+1,10)))))*$D$50)))))*$I167,0)),0)</f>
        <v>0</v>
      </c>
      <c r="AP167" s="404"/>
      <c r="AQ167" s="398" t="s">
        <v>268</v>
      </c>
      <c r="AR167" s="356" t="n">
        <f aca="false">IFERROR(IF($M167=AQ167,($D$8+$D$9+$D$10)*$I167,IF($N167=LEFT(AQ167,1),($D$8+MAX(0,IF($D$50=1,$D$9*(1-(ABS($Q167-ABS(VALUE(MID(AQ167,FIND("|",AQ167)+1,FIND("-",AQ167)-FIND("|",AQ167)-1))-VALUE(MID(AQ167,FIND("-",AQ167)+1,10)))))*$D$50),$D$9*(1-(IF($N167="X",ABS($O167-VALUE(MID(AQ167,FIND("|",AQ167)+1,FIND("-",AQ167)-FIND("|",AQ167)-1))),ABS($Q167-ABS(VALUE(MID(AQ167,FIND("|",AQ167)+1,FIND("-",AQ167)-FIND("|",AQ167)-1))-VALUE(MID(AQ167,FIND("-",AQ167)+1,10)))))*$D$50)))))*$I167,0)),0)</f>
        <v>0</v>
      </c>
      <c r="AS167" s="404"/>
      <c r="AT167" s="363" t="s">
        <v>268</v>
      </c>
      <c r="AU167" s="356" t="n">
        <f aca="false">IFERROR(IF($M167=AT167,($D$8+$D$9+$D$10)*$I167,IF($N167=LEFT(AT167,1),($D$8+MAX(0,IF($D$50=1,$D$9*(1-(ABS($Q167-ABS(VALUE(MID(AT167,FIND("|",AT167)+1,FIND("-",AT167)-FIND("|",AT167)-1))-VALUE(MID(AT167,FIND("-",AT167)+1,10)))))*$D$50),$D$9*(1-(IF($N167="X",ABS($O167-VALUE(MID(AT167,FIND("|",AT167)+1,FIND("-",AT167)-FIND("|",AT167)-1))),ABS($Q167-ABS(VALUE(MID(AT167,FIND("|",AT167)+1,FIND("-",AT167)-FIND("|",AT167)-1))-VALUE(MID(AT167,FIND("-",AT167)+1,10)))))*$D$50)))))*$I167,0)),0)</f>
        <v>0</v>
      </c>
      <c r="AV167" s="404"/>
      <c r="AW167" s="363" t="s">
        <v>279</v>
      </c>
      <c r="AX167" s="356" t="n">
        <f aca="false">IFERROR(IF($M167=AW167,($D$8+$D$9+$D$10)*$I167,IF($N167=LEFT(AW167,1),($D$8+MAX(0,IF($D$50=1,$D$9*(1-(ABS($Q167-ABS(VALUE(MID(AW167,FIND("|",AW167)+1,FIND("-",AW167)-FIND("|",AW167)-1))-VALUE(MID(AW167,FIND("-",AW167)+1,10)))))*$D$50),$D$9*(1-(IF($N167="X",ABS($O167-VALUE(MID(AW167,FIND("|",AW167)+1,FIND("-",AW167)-FIND("|",AW167)-1))),ABS($Q167-ABS(VALUE(MID(AW167,FIND("|",AW167)+1,FIND("-",AW167)-FIND("|",AW167)-1))-VALUE(MID(AW167,FIND("-",AW167)+1,10)))))*$D$50)))))*$I167,0)),0)</f>
        <v>0</v>
      </c>
      <c r="AY167" s="404"/>
      <c r="AZ167" s="363" t="s">
        <v>266</v>
      </c>
      <c r="BA167" s="356" t="n">
        <f aca="false">IFERROR(IF($M167=AZ167,($D$8+$D$9+$D$10)*$I167,IF($N167=LEFT(AZ167,1),($D$8+MAX(0,IF($D$50=1,$D$9*(1-(ABS($Q167-ABS(VALUE(MID(AZ167,FIND("|",AZ167)+1,FIND("-",AZ167)-FIND("|",AZ167)-1))-VALUE(MID(AZ167,FIND("-",AZ167)+1,10)))))*$D$50),$D$9*(1-(IF($N167="X",ABS($O167-VALUE(MID(AZ167,FIND("|",AZ167)+1,FIND("-",AZ167)-FIND("|",AZ167)-1))),ABS($Q167-ABS(VALUE(MID(AZ167,FIND("|",AZ167)+1,FIND("-",AZ167)-FIND("|",AZ167)-1))-VALUE(MID(AZ167,FIND("-",AZ167)+1,10)))))*$D$50)))))*$I167,0)),0)</f>
        <v>0</v>
      </c>
      <c r="BB167" s="404"/>
      <c r="BC167" s="363" t="s">
        <v>288</v>
      </c>
      <c r="BD167" s="356" t="n">
        <f aca="false">IFERROR(IF($M167=BC167,($D$8+$D$9+$D$10)*$I167,IF($N167=LEFT(BC167,1),($D$8+MAX(0,IF($D$50=1,$D$9*(1-(ABS($Q167-ABS(VALUE(MID(BC167,FIND("|",BC167)+1,FIND("-",BC167)-FIND("|",BC167)-1))-VALUE(MID(BC167,FIND("-",BC167)+1,10)))))*$D$50),$D$9*(1-(IF($N167="X",ABS($O167-VALUE(MID(BC167,FIND("|",BC167)+1,FIND("-",BC167)-FIND("|",BC167)-1))),ABS($Q167-ABS(VALUE(MID(BC167,FIND("|",BC167)+1,FIND("-",BC167)-FIND("|",BC167)-1))-VALUE(MID(BC167,FIND("-",BC167)+1,10)))))*$D$50)))))*$I167,0)),0)</f>
        <v>0</v>
      </c>
      <c r="BE167" s="404"/>
      <c r="BF167" s="398" t="s">
        <v>274</v>
      </c>
      <c r="BG167" s="356" t="n">
        <f aca="false">IFERROR(IF($M167=BF167,($D$8+$D$9+$D$10)*$I167,IF($N167=LEFT(BF167,1),($D$8+MAX(0,IF($D$50=1,$D$9*(1-(ABS($Q167-ABS(VALUE(MID(BF167,FIND("|",BF167)+1,FIND("-",BF167)-FIND("|",BF167)-1))-VALUE(MID(BF167,FIND("-",BF167)+1,10)))))*$D$50),$D$9*(1-(IF($N167="X",ABS($O167-VALUE(MID(BF167,FIND("|",BF167)+1,FIND("-",BF167)-FIND("|",BF167)-1))),ABS($Q167-ABS(VALUE(MID(BF167,FIND("|",BF167)+1,FIND("-",BF167)-FIND("|",BF167)-1))-VALUE(MID(BF167,FIND("-",BF167)+1,10)))))*$D$50)))))*$I167,0)),0)</f>
        <v>0</v>
      </c>
      <c r="BH167" s="404"/>
      <c r="BI167" s="363" t="s">
        <v>265</v>
      </c>
      <c r="BJ167" s="356" t="n">
        <f aca="false">IFERROR(IF($M167=BI167,($D$8+$D$9+$D$10)*$I167,IF($N167=LEFT(BI167,1),($D$8+MAX(0,IF($D$50=1,$D$9*(1-(ABS($Q167-ABS(VALUE(MID(BI167,FIND("|",BI167)+1,FIND("-",BI167)-FIND("|",BI167)-1))-VALUE(MID(BI167,FIND("-",BI167)+1,10)))))*$D$50),$D$9*(1-(IF($N167="X",ABS($O167-VALUE(MID(BI167,FIND("|",BI167)+1,FIND("-",BI167)-FIND("|",BI167)-1))),ABS($Q167-ABS(VALUE(MID(BI167,FIND("|",BI167)+1,FIND("-",BI167)-FIND("|",BI167)-1))-VALUE(MID(BI167,FIND("-",BI167)+1,10)))))*$D$50)))))*$I167,0)),0)</f>
        <v>0</v>
      </c>
      <c r="BK167" s="404"/>
      <c r="BL167" s="363" t="s">
        <v>264</v>
      </c>
      <c r="BM167" s="356" t="n">
        <f aca="false">IFERROR(IF($M167=BL167,($D$8+$D$9+$D$10)*$I167,IF($N167=LEFT(BL167,1),($D$8+MAX(0,IF($D$50=1,$D$9*(1-(ABS($Q167-ABS(VALUE(MID(BL167,FIND("|",BL167)+1,FIND("-",BL167)-FIND("|",BL167)-1))-VALUE(MID(BL167,FIND("-",BL167)+1,10)))))*$D$50),$D$9*(1-(IF($N167="X",ABS($O167-VALUE(MID(BL167,FIND("|",BL167)+1,FIND("-",BL167)-FIND("|",BL167)-1))),ABS($Q167-ABS(VALUE(MID(BL167,FIND("|",BL167)+1,FIND("-",BL167)-FIND("|",BL167)-1))-VALUE(MID(BL167,FIND("-",BL167)+1,10)))))*$D$50)))))*$I167,0)),0)</f>
        <v>0</v>
      </c>
      <c r="BN167" s="404"/>
      <c r="BO167" s="363" t="s">
        <v>267</v>
      </c>
      <c r="BP167" s="356" t="n">
        <f aca="false">IFERROR(IF($M167=BO167,($D$8+$D$9+$D$10)*$I167,IF($N167=LEFT(BO167,1),($D$8+MAX(0,IF($D$50=1,$D$9*(1-(ABS($Q167-ABS(VALUE(MID(BO167,FIND("|",BO167)+1,FIND("-",BO167)-FIND("|",BO167)-1))-VALUE(MID(BO167,FIND("-",BO167)+1,10)))))*$D$50),$D$9*(1-(IF($N167="X",ABS($O167-VALUE(MID(BO167,FIND("|",BO167)+1,FIND("-",BO167)-FIND("|",BO167)-1))),ABS($Q167-ABS(VALUE(MID(BO167,FIND("|",BO167)+1,FIND("-",BO167)-FIND("|",BO167)-1))-VALUE(MID(BO167,FIND("-",BO167)+1,10)))))*$D$50)))))*$I167,0)),0)</f>
        <v>0</v>
      </c>
      <c r="BQ167" s="404"/>
      <c r="BR167" s="363" t="s">
        <v>264</v>
      </c>
      <c r="BS167" s="356" t="n">
        <f aca="false">IFERROR(IF($M167=BR167,($D$8+$D$9+$D$10)*$I167,IF($N167=LEFT(BR167,1),($D$8+MAX(0,IF($D$50=1,$D$9*(1-(ABS($Q167-ABS(VALUE(MID(BR167,FIND("|",BR167)+1,FIND("-",BR167)-FIND("|",BR167)-1))-VALUE(MID(BR167,FIND("-",BR167)+1,10)))))*$D$50),$D$9*(1-(IF($N167="X",ABS($O167-VALUE(MID(BR167,FIND("|",BR167)+1,FIND("-",BR167)-FIND("|",BR167)-1))),ABS($Q167-ABS(VALUE(MID(BR167,FIND("|",BR167)+1,FIND("-",BR167)-FIND("|",BR167)-1))-VALUE(MID(BR167,FIND("-",BR167)+1,10)))))*$D$50)))))*$I167,0)),0)</f>
        <v>0</v>
      </c>
      <c r="BT167" s="404"/>
      <c r="BU167" s="398"/>
      <c r="BV167" s="356" t="n">
        <f aca="false">IFERROR(IF($M167=BU167,($D$8+$D$9+$D$10)*$I167,IF($N167=LEFT(BU167,1),($D$8+MAX(0,IF($D$50=1,$D$9*(1-(ABS($Q167-ABS(VALUE(MID(BU167,FIND("|",BU167)+1,FIND("-",BU167)-FIND("|",BU167)-1))-VALUE(MID(BU167,FIND("-",BU167)+1,10)))))*$D$50),$D$9*(1-(IF($N167="X",ABS($O167-VALUE(MID(BU167,FIND("|",BU167)+1,FIND("-",BU167)-FIND("|",BU167)-1))),ABS($Q167-ABS(VALUE(MID(BU167,FIND("|",BU167)+1,FIND("-",BU167)-FIND("|",BU167)-1))-VALUE(MID(BU167,FIND("-",BU167)+1,10)))))*$D$50)))))*$I167,0)),0)</f>
        <v>0</v>
      </c>
      <c r="BW167" s="404"/>
      <c r="BX167" s="363"/>
      <c r="BY167" s="356" t="n">
        <f aca="false">IFERROR(IF($M167=BX167,($D$8+$D$9+$D$10)*$I167,IF($N167=LEFT(BX167,1),($D$8+MAX(0,IF($D$50=1,$D$9*(1-(ABS($Q167-ABS(VALUE(MID(BX167,FIND("|",BX167)+1,FIND("-",BX167)-FIND("|",BX167)-1))-VALUE(MID(BX167,FIND("-",BX167)+1,10)))))*$D$50),$D$9*(1-(IF($N167="X",ABS($O167-VALUE(MID(BX167,FIND("|",BX167)+1,FIND("-",BX167)-FIND("|",BX167)-1))),ABS($Q167-ABS(VALUE(MID(BX167,FIND("|",BX167)+1,FIND("-",BX167)-FIND("|",BX167)-1))-VALUE(MID(BX167,FIND("-",BX167)+1,10)))))*$D$50)))))*$I167,0)),0)</f>
        <v>0</v>
      </c>
      <c r="BZ167" s="404"/>
      <c r="CA167" s="363"/>
      <c r="CB167" s="356" t="n">
        <f aca="false">IFERROR(IF($M167=CA167,($D$8+$D$9+$D$10)*$I167,IF($N167=LEFT(CA167,1),($D$8+MAX(0,IF($D$50=1,$D$9*(1-(ABS($Q167-ABS(VALUE(MID(CA167,FIND("|",CA167)+1,FIND("-",CA167)-FIND("|",CA167)-1))-VALUE(MID(CA167,FIND("-",CA167)+1,10)))))*$D$50),$D$9*(1-(IF($N167="X",ABS($O167-VALUE(MID(CA167,FIND("|",CA167)+1,FIND("-",CA167)-FIND("|",CA167)-1))),ABS($Q167-ABS(VALUE(MID(CA167,FIND("|",CA167)+1,FIND("-",CA167)-FIND("|",CA167)-1))-VALUE(MID(CA167,FIND("-",CA167)+1,10)))))*$D$50)))))*$I167,0)),0)</f>
        <v>0</v>
      </c>
      <c r="CC167" s="404"/>
      <c r="CD167" s="363"/>
      <c r="CE167" s="356" t="n">
        <f aca="false">IFERROR(IF($M167=CD167,($D$8+$D$9+$D$10)*$I167,IF($N167=LEFT(CD167,1),($D$8+MAX(0,IF($D$50=1,$D$9*(1-(ABS($Q167-ABS(VALUE(MID(CD167,FIND("|",CD167)+1,FIND("-",CD167)-FIND("|",CD167)-1))-VALUE(MID(CD167,FIND("-",CD167)+1,10)))))*$D$50),$D$9*(1-(IF($N167="X",ABS($O167-VALUE(MID(CD167,FIND("|",CD167)+1,FIND("-",CD167)-FIND("|",CD167)-1))),ABS($Q167-ABS(VALUE(MID(CD167,FIND("|",CD167)+1,FIND("-",CD167)-FIND("|",CD167)-1))-VALUE(MID(CD167,FIND("-",CD167)+1,10)))))*$D$50)))))*$I167,0)),0)</f>
        <v>0</v>
      </c>
      <c r="CF167" s="404"/>
      <c r="CG167" s="363"/>
      <c r="CH167" s="356" t="n">
        <f aca="false">IFERROR(IF($M167=CG167,($D$8+$D$9+$D$10)*$I167,IF($N167=LEFT(CG167,1),($D$8+MAX(0,IF($D$50=1,$D$9*(1-(ABS($Q167-ABS(VALUE(MID(CG167,FIND("|",CG167)+1,FIND("-",CG167)-FIND("|",CG167)-1))-VALUE(MID(CG167,FIND("-",CG167)+1,10)))))*$D$50),$D$9*(1-(IF($N167="X",ABS($O167-VALUE(MID(CG167,FIND("|",CG167)+1,FIND("-",CG167)-FIND("|",CG167)-1))),ABS($Q167-ABS(VALUE(MID(CG167,FIND("|",CG167)+1,FIND("-",CG167)-FIND("|",CG167)-1))-VALUE(MID(CG167,FIND("-",CG167)+1,10)))))*$D$50)))))*$I167,0)),0)</f>
        <v>0</v>
      </c>
      <c r="CI167" s="404"/>
      <c r="CJ167" s="398"/>
      <c r="CK167" s="356" t="n">
        <f aca="false">IFERROR(IF($M167=CJ167,($D$8+$D$9+$D$10)*$I167,IF($N167=LEFT(CJ167,1),($D$8+MAX(0,IF($D$50=1,$D$9*(1-(ABS($Q167-ABS(VALUE(MID(CJ167,FIND("|",CJ167)+1,FIND("-",CJ167)-FIND("|",CJ167)-1))-VALUE(MID(CJ167,FIND("-",CJ167)+1,10)))))*$D$50),$D$9*(1-(IF($N167="X",ABS($O167-VALUE(MID(CJ167,FIND("|",CJ167)+1,FIND("-",CJ167)-FIND("|",CJ167)-1))),ABS($Q167-ABS(VALUE(MID(CJ167,FIND("|",CJ167)+1,FIND("-",CJ167)-FIND("|",CJ167)-1))-VALUE(MID(CJ167,FIND("-",CJ167)+1,10)))))*$D$50)))))*$I167,0)),0)</f>
        <v>0</v>
      </c>
      <c r="CL167" s="404"/>
      <c r="CM167" s="363"/>
      <c r="CN167" s="356" t="n">
        <f aca="false">IFERROR(IF($M167=CM167,($D$8+$D$9+$D$10)*$I167,IF($N167=LEFT(CM167,1),($D$8+MAX(0,IF($D$50=1,$D$9*(1-(ABS($Q167-ABS(VALUE(MID(CM167,FIND("|",CM167)+1,FIND("-",CM167)-FIND("|",CM167)-1))-VALUE(MID(CM167,FIND("-",CM167)+1,10)))))*$D$50),$D$9*(1-(IF($N167="X",ABS($O167-VALUE(MID(CM167,FIND("|",CM167)+1,FIND("-",CM167)-FIND("|",CM167)-1))),ABS($Q167-ABS(VALUE(MID(CM167,FIND("|",CM167)+1,FIND("-",CM167)-FIND("|",CM167)-1))-VALUE(MID(CM167,FIND("-",CM167)+1,10)))))*$D$50)))))*$I167,0)),0)</f>
        <v>0</v>
      </c>
      <c r="CO167" s="404"/>
      <c r="CP167" s="363"/>
      <c r="CQ167" s="356" t="n">
        <f aca="false">IFERROR(IF($M167=CP167,($D$8+$D$9+$D$10)*$I167,IF($N167=LEFT(CP167,1),($D$8+MAX(0,IF($D$50=1,$D$9*(1-(ABS($Q167-ABS(VALUE(MID(CP167,FIND("|",CP167)+1,FIND("-",CP167)-FIND("|",CP167)-1))-VALUE(MID(CP167,FIND("-",CP167)+1,10)))))*$D$50),$D$9*(1-(IF($N167="X",ABS($O167-VALUE(MID(CP167,FIND("|",CP167)+1,FIND("-",CP167)-FIND("|",CP167)-1))),ABS($Q167-ABS(VALUE(MID(CP167,FIND("|",CP167)+1,FIND("-",CP167)-FIND("|",CP167)-1))-VALUE(MID(CP167,FIND("-",CP167)+1,10)))))*$D$50)))))*$I167,0)),0)</f>
        <v>0</v>
      </c>
      <c r="CR167" s="404"/>
      <c r="CS167" s="363"/>
      <c r="CT167" s="356" t="n">
        <f aca="false">IFERROR(IF($M167=CS167,($D$8+$D$9+$D$10)*$I167,IF($N167=LEFT(CS167,1),($D$8+MAX(0,IF($D$50=1,$D$9*(1-(ABS($Q167-ABS(VALUE(MID(CS167,FIND("|",CS167)+1,FIND("-",CS167)-FIND("|",CS167)-1))-VALUE(MID(CS167,FIND("-",CS167)+1,10)))))*$D$50),$D$9*(1-(IF($N167="X",ABS($O167-VALUE(MID(CS167,FIND("|",CS167)+1,FIND("-",CS167)-FIND("|",CS167)-1))),ABS($Q167-ABS(VALUE(MID(CS167,FIND("|",CS167)+1,FIND("-",CS167)-FIND("|",CS167)-1))-VALUE(MID(CS167,FIND("-",CS167)+1,10)))))*$D$50)))))*$I167,0)),0)</f>
        <v>0</v>
      </c>
      <c r="CU167" s="404"/>
      <c r="CV167" s="363"/>
      <c r="CW167" s="356" t="n">
        <f aca="false">IFERROR(IF($M167=CV167,($D$8+$D$9+$D$10)*$I167,IF($N167=LEFT(CV167,1),($D$8+MAX(0,IF($D$50=1,$D$9*(1-(ABS($Q167-ABS(VALUE(MID(CV167,FIND("|",CV167)+1,FIND("-",CV167)-FIND("|",CV167)-1))-VALUE(MID(CV167,FIND("-",CV167)+1,10)))))*$D$50),$D$9*(1-(IF($N167="X",ABS($O167-VALUE(MID(CV167,FIND("|",CV167)+1,FIND("-",CV167)-FIND("|",CV167)-1))),ABS($Q167-ABS(VALUE(MID(CV167,FIND("|",CV167)+1,FIND("-",CV167)-FIND("|",CV167)-1))-VALUE(MID(CV167,FIND("-",CV167)+1,10)))))*$D$50)))))*$I167,0)),0)</f>
        <v>0</v>
      </c>
      <c r="CX167" s="404"/>
      <c r="CY167" s="398"/>
      <c r="CZ167" s="356" t="n">
        <f aca="false">IFERROR(IF($M167=CY167,($D$8+$D$9+$D$10)*$I167,IF($N167=LEFT(CY167,1),($D$8+MAX(0,IF($D$50=1,$D$9*(1-(ABS($Q167-ABS(VALUE(MID(CY167,FIND("|",CY167)+1,FIND("-",CY167)-FIND("|",CY167)-1))-VALUE(MID(CY167,FIND("-",CY167)+1,10)))))*$D$50),$D$9*(1-(IF($N167="X",ABS($O167-VALUE(MID(CY167,FIND("|",CY167)+1,FIND("-",CY167)-FIND("|",CY167)-1))),ABS($Q167-ABS(VALUE(MID(CY167,FIND("|",CY167)+1,FIND("-",CY167)-FIND("|",CY167)-1))-VALUE(MID(CY167,FIND("-",CY167)+1,10)))))*$D$50)))))*$I167,0)),0)</f>
        <v>0</v>
      </c>
      <c r="DA167" s="404"/>
      <c r="DB167" s="363"/>
      <c r="DC167" s="356" t="n">
        <f aca="false">IFERROR(IF($M167=DB167,($D$8+$D$9+$D$10)*$I167,IF($N167=LEFT(DB167,1),($D$8+MAX(0,IF($D$50=1,$D$9*(1-(ABS($Q167-ABS(VALUE(MID(DB167,FIND("|",DB167)+1,FIND("-",DB167)-FIND("|",DB167)-1))-VALUE(MID(DB167,FIND("-",DB167)+1,10)))))*$D$50),$D$9*(1-(IF($N167="X",ABS($O167-VALUE(MID(DB167,FIND("|",DB167)+1,FIND("-",DB167)-FIND("|",DB167)-1))),ABS($Q167-ABS(VALUE(MID(DB167,FIND("|",DB167)+1,FIND("-",DB167)-FIND("|",DB167)-1))-VALUE(MID(DB167,FIND("-",DB167)+1,10)))))*$D$50)))))*$I167,0)),0)</f>
        <v>0</v>
      </c>
      <c r="DD167" s="404"/>
      <c r="DE167" s="363"/>
      <c r="DF167" s="356" t="n">
        <f aca="false">IFERROR(IF($M167=DE167,($D$8+$D$9+$D$10)*$I167,IF($N167=LEFT(DE167,1),($D$8+MAX(0,IF($D$50=1,$D$9*(1-(ABS($Q167-ABS(VALUE(MID(DE167,FIND("|",DE167)+1,FIND("-",DE167)-FIND("|",DE167)-1))-VALUE(MID(DE167,FIND("-",DE167)+1,10)))))*$D$50),$D$9*(1-(IF($N167="X",ABS($O167-VALUE(MID(DE167,FIND("|",DE167)+1,FIND("-",DE167)-FIND("|",DE167)-1))),ABS($Q167-ABS(VALUE(MID(DE167,FIND("|",DE167)+1,FIND("-",DE167)-FIND("|",DE167)-1))-VALUE(MID(DE167,FIND("-",DE167)+1,10)))))*$D$50)))))*$I167,0)),0)</f>
        <v>0</v>
      </c>
      <c r="DG167" s="404"/>
      <c r="DH167" s="363"/>
      <c r="DI167" s="356" t="n">
        <f aca="false">IFERROR(IF($M167=DH167,($D$8+$D$9+$D$10)*$I167,IF($N167=LEFT(DH167,1),($D$8+MAX(0,IF($D$50=1,$D$9*(1-(ABS($Q167-ABS(VALUE(MID(DH167,FIND("|",DH167)+1,FIND("-",DH167)-FIND("|",DH167)-1))-VALUE(MID(DH167,FIND("-",DH167)+1,10)))))*$D$50),$D$9*(1-(IF($N167="X",ABS($O167-VALUE(MID(DH167,FIND("|",DH167)+1,FIND("-",DH167)-FIND("|",DH167)-1))),ABS($Q167-ABS(VALUE(MID(DH167,FIND("|",DH167)+1,FIND("-",DH167)-FIND("|",DH167)-1))-VALUE(MID(DH167,FIND("-",DH167)+1,10)))))*$D$50)))))*$I167,0)),0)</f>
        <v>0</v>
      </c>
      <c r="DJ167" s="404"/>
      <c r="DK167" s="363"/>
      <c r="DL167" s="356" t="n">
        <f aca="false">IFERROR(IF($M167=DK167,($D$8+$D$9+$D$10)*$I167,IF($N167=LEFT(DK167,1),($D$8+MAX(0,IF($D$50=1,$D$9*(1-(ABS($Q167-ABS(VALUE(MID(DK167,FIND("|",DK167)+1,FIND("-",DK167)-FIND("|",DK167)-1))-VALUE(MID(DK167,FIND("-",DK167)+1,10)))))*$D$50),$D$9*(1-(IF($N167="X",ABS($O167-VALUE(MID(DK167,FIND("|",DK167)+1,FIND("-",DK167)-FIND("|",DK167)-1))),ABS($Q167-ABS(VALUE(MID(DK167,FIND("|",DK167)+1,FIND("-",DK167)-FIND("|",DK167)-1))-VALUE(MID(DK167,FIND("-",DK167)+1,10)))))*$D$50)))))*$I167,0)),0)</f>
        <v>0</v>
      </c>
      <c r="DM167" s="404"/>
      <c r="DN167" s="398"/>
      <c r="DO167" s="356" t="n">
        <f aca="false">IFERROR(IF($M167=DN167,($D$8+$D$9+$D$10)*$I167,IF($N167=LEFT(DN167,1),($D$8+MAX(0,IF($D$50=1,$D$9*(1-(ABS($Q167-ABS(VALUE(MID(DN167,FIND("|",DN167)+1,FIND("-",DN167)-FIND("|",DN167)-1))-VALUE(MID(DN167,FIND("-",DN167)+1,10)))))*$D$50),$D$9*(1-(IF($N167="X",ABS($O167-VALUE(MID(DN167,FIND("|",DN167)+1,FIND("-",DN167)-FIND("|",DN167)-1))),ABS($Q167-ABS(VALUE(MID(DN167,FIND("|",DN167)+1,FIND("-",DN167)-FIND("|",DN167)-1))-VALUE(MID(DN167,FIND("-",DN167)+1,10)))))*$D$50)))))*$I167,0)),0)</f>
        <v>0</v>
      </c>
      <c r="DP167" s="404"/>
      <c r="DQ167" s="363"/>
      <c r="DR167" s="356" t="n">
        <f aca="false">IFERROR(IF($M167=DQ167,($D$8+$D$9+$D$10)*$I167,IF($N167=LEFT(DQ167,1),($D$8+MAX(0,IF($D$50=1,$D$9*(1-(ABS($Q167-ABS(VALUE(MID(DQ167,FIND("|",DQ167)+1,FIND("-",DQ167)-FIND("|",DQ167)-1))-VALUE(MID(DQ167,FIND("-",DQ167)+1,10)))))*$D$50),$D$9*(1-(IF($N167="X",ABS($O167-VALUE(MID(DQ167,FIND("|",DQ167)+1,FIND("-",DQ167)-FIND("|",DQ167)-1))),ABS($Q167-ABS(VALUE(MID(DQ167,FIND("|",DQ167)+1,FIND("-",DQ167)-FIND("|",DQ167)-1))-VALUE(MID(DQ167,FIND("-",DQ167)+1,10)))))*$D$50)))))*$I167,0)),0)</f>
        <v>0</v>
      </c>
      <c r="DS167" s="404"/>
      <c r="DT167" s="363"/>
      <c r="DU167" s="356" t="n">
        <f aca="false">IFERROR(IF($M167=DT167,($D$8+$D$9+$D$10)*$I167,IF($N167=LEFT(DT167,1),($D$8+MAX(0,IF($D$50=1,$D$9*(1-(ABS($Q167-ABS(VALUE(MID(DT167,FIND("|",DT167)+1,FIND("-",DT167)-FIND("|",DT167)-1))-VALUE(MID(DT167,FIND("-",DT167)+1,10)))))*$D$50),$D$9*(1-(IF($N167="X",ABS($O167-VALUE(MID(DT167,FIND("|",DT167)+1,FIND("-",DT167)-FIND("|",DT167)-1))),ABS($Q167-ABS(VALUE(MID(DT167,FIND("|",DT167)+1,FIND("-",DT167)-FIND("|",DT167)-1))-VALUE(MID(DT167,FIND("-",DT167)+1,10)))))*$D$50)))))*$I167,0)),0)</f>
        <v>0</v>
      </c>
      <c r="DV167" s="404"/>
      <c r="DW167" s="363"/>
      <c r="DX167" s="356" t="n">
        <f aca="false">IFERROR(IF($M167=DW167,($D$8+$D$9+$D$10)*$I167,IF($N167=LEFT(DW167,1),($D$8+MAX(0,IF($D$50=1,$D$9*(1-(ABS($Q167-ABS(VALUE(MID(DW167,FIND("|",DW167)+1,FIND("-",DW167)-FIND("|",DW167)-1))-VALUE(MID(DW167,FIND("-",DW167)+1,10)))))*$D$50),$D$9*(1-(IF($N167="X",ABS($O167-VALUE(MID(DW167,FIND("|",DW167)+1,FIND("-",DW167)-FIND("|",DW167)-1))),ABS($Q167-ABS(VALUE(MID(DW167,FIND("|",DW167)+1,FIND("-",DW167)-FIND("|",DW167)-1))-VALUE(MID(DW167,FIND("-",DW167)+1,10)))))*$D$50)))))*$I167,0)),0)</f>
        <v>0</v>
      </c>
      <c r="DY167" s="404"/>
      <c r="DZ167" s="363"/>
      <c r="EA167" s="356" t="n">
        <f aca="false">IFERROR(IF($M167=DZ167,($D$8+$D$9+$D$10)*$I167,IF($N167=LEFT(DZ167,1),($D$8+MAX(0,IF($D$50=1,$D$9*(1-(ABS($Q167-ABS(VALUE(MID(DZ167,FIND("|",DZ167)+1,FIND("-",DZ167)-FIND("|",DZ167)-1))-VALUE(MID(DZ167,FIND("-",DZ167)+1,10)))))*$D$50),$D$9*(1-(IF($N167="X",ABS($O167-VALUE(MID(DZ167,FIND("|",DZ167)+1,FIND("-",DZ167)-FIND("|",DZ167)-1))),ABS($Q167-ABS(VALUE(MID(DZ167,FIND("|",DZ167)+1,FIND("-",DZ167)-FIND("|",DZ167)-1))-VALUE(MID(DZ167,FIND("-",DZ167)+1,10)))))*$D$50)))))*$I167,0)),0)</f>
        <v>0</v>
      </c>
      <c r="EB167" s="404"/>
      <c r="EC167" s="398"/>
      <c r="ED167" s="356" t="n">
        <f aca="false">IFERROR(IF($M167=EC167,($D$8+$D$9+$D$10)*$I167,IF($N167=LEFT(EC167,1),($D$8+MAX(0,IF($D$50=1,$D$9*(1-(ABS($Q167-ABS(VALUE(MID(EC167,FIND("|",EC167)+1,FIND("-",EC167)-FIND("|",EC167)-1))-VALUE(MID(EC167,FIND("-",EC167)+1,10)))))*$D$50),$D$9*(1-(IF($N167="X",ABS($O167-VALUE(MID(EC167,FIND("|",EC167)+1,FIND("-",EC167)-FIND("|",EC167)-1))),ABS($Q167-ABS(VALUE(MID(EC167,FIND("|",EC167)+1,FIND("-",EC167)-FIND("|",EC167)-1))-VALUE(MID(EC167,FIND("-",EC167)+1,10)))))*$D$50)))))*$I167,0)),0)</f>
        <v>0</v>
      </c>
      <c r="EE167" s="404"/>
      <c r="EF167" s="363"/>
      <c r="EG167" s="356" t="n">
        <f aca="false">IFERROR(IF($M167=EF167,($D$8+$D$9+$D$10)*$I167,IF($N167=LEFT(EF167,1),($D$8+MAX(0,IF($D$50=1,$D$9*(1-(ABS($Q167-ABS(VALUE(MID(EF167,FIND("|",EF167)+1,FIND("-",EF167)-FIND("|",EF167)-1))-VALUE(MID(EF167,FIND("-",EF167)+1,10)))))*$D$50),$D$9*(1-(IF($N167="X",ABS($O167-VALUE(MID(EF167,FIND("|",EF167)+1,FIND("-",EF167)-FIND("|",EF167)-1))),ABS($Q167-ABS(VALUE(MID(EF167,FIND("|",EF167)+1,FIND("-",EF167)-FIND("|",EF167)-1))-VALUE(MID(EF167,FIND("-",EF167)+1,10)))))*$D$50)))))*$I167,0)),0)</f>
        <v>0</v>
      </c>
      <c r="EH167" s="404"/>
      <c r="EI167" s="404"/>
    </row>
    <row r="168" customFormat="false" ht="15" hidden="false" customHeight="false" outlineLevel="0" collapsed="false">
      <c r="A168" s="332" t="n">
        <f aca="false">WORLDCUP!AD105</f>
        <v>0</v>
      </c>
      <c r="B168" s="332" t="n">
        <f aca="false">WORLDCUP!AC105</f>
        <v>0</v>
      </c>
      <c r="C168" s="422" t="str">
        <f aca="false">CONCATENATE(WORLDCUP!AF105,"-",WORLDCUP!AA105)</f>
        <v>2I-2E</v>
      </c>
      <c r="D168" s="422" t="str">
        <f aca="false">IF(WORLDCUP!AC105&gt;WORLDCUP!AD105,2,IF(WORLDCUP!AC105&lt;WORLDCUP!AD105,1,IF(AND(WORLDCUP!AC105=WORLDCUP!AD105,WORLDCUP!AC105&lt;&gt;"",WORLDCUP!AD105&lt;&gt;""),0,"PD")))</f>
        <v>PD</v>
      </c>
      <c r="E168" s="422" t="str">
        <f aca="false">IF(OR(WORLDCUP!AC105="",WORLDCUP!AD105=""),"-",A168&amp;"-"&amp;B168)</f>
        <v>-</v>
      </c>
      <c r="F168" s="423" t="n">
        <f aca="false">SUM($D$16:$D$18)*I168</f>
        <v>17</v>
      </c>
      <c r="G168" s="423" t="n">
        <f aca="false">VLOOKUP(H168,Equipos!$Q$1:$R$25,2,0)</f>
        <v>20</v>
      </c>
      <c r="H168" s="424" t="str">
        <f aca="false">Idiomas!$D$260</f>
        <v>Dieciseisavos de final</v>
      </c>
      <c r="I168" s="425" t="n">
        <v>1</v>
      </c>
      <c r="J168" s="418"/>
      <c r="K168" s="367" t="str">
        <f aca="false">CONCATENATE(WORLDCUP!AA105,"-",WORLDCUP!AF105)</f>
        <v>2E-2I</v>
      </c>
      <c r="L168" s="354"/>
      <c r="M168" s="359" t="str">
        <f aca="false">IF(OR(WORLDCUP!AC105="",WORLDCUP!AD105=""),"-",N168&amp;"|"&amp;O168&amp;"-"&amp;P168)</f>
        <v>-</v>
      </c>
      <c r="N168" s="332" t="str">
        <f aca="false">IF(OR(WORLDCUP!AC105="",WORLDCUP!AD105=""),"",IF(WORLDCUP!AC105&gt;WORLDCUP!AD105,"1",IF(WORLDCUP!AC105&lt;WORLDCUP!AD105,"2","X")))</f>
        <v/>
      </c>
      <c r="O168" s="332" t="n">
        <f aca="false">WORLDCUP!AC105</f>
        <v>0</v>
      </c>
      <c r="P168" s="332" t="n">
        <f aca="false">WORLDCUP!AD105</f>
        <v>0</v>
      </c>
      <c r="Q168" s="332" t="n">
        <f aca="false">ABS(O168-P168)</f>
        <v>0</v>
      </c>
      <c r="R168" s="404"/>
      <c r="S168" s="363" t="s">
        <v>318</v>
      </c>
      <c r="T168" s="356" t="n">
        <f aca="false">IFERROR(IF($M168=S168,($D$8+$D$9+$D$10)*$I168,IF($N168=LEFT(S168,1),($D$8+MAX(0,IF($D$50=1,$D$9*(1-(ABS($Q168-ABS(VALUE(MID(S168,FIND("|",S168)+1,FIND("-",S168)-FIND("|",S168)-1))-VALUE(MID(S168,FIND("-",S168)+1,10)))))*$D$50),$D$9*(1-(IF($N168="X",ABS($O168-VALUE(MID(S168,FIND("|",S168)+1,FIND("-",S168)-FIND("|",S168)-1))),ABS($Q168-ABS(VALUE(MID(S168,FIND("|",S168)+1,FIND("-",S168)-FIND("|",S168)-1))-VALUE(MID(S168,FIND("-",S168)+1,10)))))*$D$50)))))*$I168,0)),0)</f>
        <v>0</v>
      </c>
      <c r="U168" s="404"/>
      <c r="V168" s="363" t="s">
        <v>265</v>
      </c>
      <c r="W168" s="356" t="n">
        <f aca="false">IFERROR(IF($M168=V168,($D$8+$D$9+$D$10)*$I168,IF($N168=LEFT(V168,1),($D$8+MAX(0,IF($D$50=1,$D$9*(1-(ABS($Q168-ABS(VALUE(MID(V168,FIND("|",V168)+1,FIND("-",V168)-FIND("|",V168)-1))-VALUE(MID(V168,FIND("-",V168)+1,10)))))*$D$50),$D$9*(1-(IF($N168="X",ABS($O168-VALUE(MID(V168,FIND("|",V168)+1,FIND("-",V168)-FIND("|",V168)-1))),ABS($Q168-ABS(VALUE(MID(V168,FIND("|",V168)+1,FIND("-",V168)-FIND("|",V168)-1))-VALUE(MID(V168,FIND("-",V168)+1,10)))))*$D$50)))))*$I168,0)),0)</f>
        <v>0</v>
      </c>
      <c r="X168" s="404"/>
      <c r="Y168" s="363" t="s">
        <v>268</v>
      </c>
      <c r="Z168" s="356" t="n">
        <f aca="false">IFERROR(IF($M168=Y168,($D$8+$D$9+$D$10)*$I168,IF($N168=LEFT(Y168,1),($D$8+MAX(0,IF($D$50=1,$D$9*(1-(ABS($Q168-ABS(VALUE(MID(Y168,FIND("|",Y168)+1,FIND("-",Y168)-FIND("|",Y168)-1))-VALUE(MID(Y168,FIND("-",Y168)+1,10)))))*$D$50),$D$9*(1-(IF($N168="X",ABS($O168-VALUE(MID(Y168,FIND("|",Y168)+1,FIND("-",Y168)-FIND("|",Y168)-1))),ABS($Q168-ABS(VALUE(MID(Y168,FIND("|",Y168)+1,FIND("-",Y168)-FIND("|",Y168)-1))-VALUE(MID(Y168,FIND("-",Y168)+1,10)))))*$D$50)))))*$I168,0)),0)</f>
        <v>0</v>
      </c>
      <c r="AA168" s="404"/>
      <c r="AB168" s="363" t="s">
        <v>268</v>
      </c>
      <c r="AC168" s="356" t="n">
        <f aca="false">IFERROR(IF($M168=AB168,($D$8+$D$9+$D$10)*$I168,IF($N168=LEFT(AB168,1),($D$8+MAX(0,IF($D$50=1,$D$9*(1-(ABS($Q168-ABS(VALUE(MID(AB168,FIND("|",AB168)+1,FIND("-",AB168)-FIND("|",AB168)-1))-VALUE(MID(AB168,FIND("-",AB168)+1,10)))))*$D$50),$D$9*(1-(IF($N168="X",ABS($O168-VALUE(MID(AB168,FIND("|",AB168)+1,FIND("-",AB168)-FIND("|",AB168)-1))),ABS($Q168-ABS(VALUE(MID(AB168,FIND("|",AB168)+1,FIND("-",AB168)-FIND("|",AB168)-1))-VALUE(MID(AB168,FIND("-",AB168)+1,10)))))*$D$50)))))*$I168,0)),0)</f>
        <v>0</v>
      </c>
      <c r="AD168" s="404"/>
      <c r="AE168" s="363" t="s">
        <v>274</v>
      </c>
      <c r="AF168" s="356" t="n">
        <f aca="false">IFERROR(IF($M168=AE168,($D$8+$D$9+$D$10)*$I168,IF($N168=LEFT(AE168,1),($D$8+MAX(0,IF($D$50=1,$D$9*(1-(ABS($Q168-ABS(VALUE(MID(AE168,FIND("|",AE168)+1,FIND("-",AE168)-FIND("|",AE168)-1))-VALUE(MID(AE168,FIND("-",AE168)+1,10)))))*$D$50),$D$9*(1-(IF($N168="X",ABS($O168-VALUE(MID(AE168,FIND("|",AE168)+1,FIND("-",AE168)-FIND("|",AE168)-1))),ABS($Q168-ABS(VALUE(MID(AE168,FIND("|",AE168)+1,FIND("-",AE168)-FIND("|",AE168)-1))-VALUE(MID(AE168,FIND("-",AE168)+1,10)))))*$D$50)))))*$I168,0)),0)</f>
        <v>0</v>
      </c>
      <c r="AG168" s="404"/>
      <c r="AH168" s="363" t="s">
        <v>271</v>
      </c>
      <c r="AI168" s="356" t="n">
        <f aca="false">IFERROR(IF($M168=AH168,($D$8+$D$9+$D$10)*$I168,IF($N168=LEFT(AH168,1),($D$8+MAX(0,IF($D$50=1,$D$9*(1-(ABS($Q168-ABS(VALUE(MID(AH168,FIND("|",AH168)+1,FIND("-",AH168)-FIND("|",AH168)-1))-VALUE(MID(AH168,FIND("-",AH168)+1,10)))))*$D$50),$D$9*(1-(IF($N168="X",ABS($O168-VALUE(MID(AH168,FIND("|",AH168)+1,FIND("-",AH168)-FIND("|",AH168)-1))),ABS($Q168-ABS(VALUE(MID(AH168,FIND("|",AH168)+1,FIND("-",AH168)-FIND("|",AH168)-1))-VALUE(MID(AH168,FIND("-",AH168)+1,10)))))*$D$50)))))*$I168,0)),0)</f>
        <v>0</v>
      </c>
      <c r="AJ168" s="404"/>
      <c r="AK168" s="363" t="s">
        <v>268</v>
      </c>
      <c r="AL168" s="356" t="n">
        <f aca="false">IFERROR(IF($M168=AK168,($D$8+$D$9+$D$10)*$I168,IF($N168=LEFT(AK168,1),($D$8+MAX(0,IF($D$50=1,$D$9*(1-(ABS($Q168-ABS(VALUE(MID(AK168,FIND("|",AK168)+1,FIND("-",AK168)-FIND("|",AK168)-1))-VALUE(MID(AK168,FIND("-",AK168)+1,10)))))*$D$50),$D$9*(1-(IF($N168="X",ABS($O168-VALUE(MID(AK168,FIND("|",AK168)+1,FIND("-",AK168)-FIND("|",AK168)-1))),ABS($Q168-ABS(VALUE(MID(AK168,FIND("|",AK168)+1,FIND("-",AK168)-FIND("|",AK168)-1))-VALUE(MID(AK168,FIND("-",AK168)+1,10)))))*$D$50)))))*$I168,0)),0)</f>
        <v>0</v>
      </c>
      <c r="AM168" s="404"/>
      <c r="AN168" s="363" t="s">
        <v>271</v>
      </c>
      <c r="AO168" s="356" t="n">
        <f aca="false">IFERROR(IF($M168=AN168,($D$8+$D$9+$D$10)*$I168,IF($N168=LEFT(AN168,1),($D$8+MAX(0,IF($D$50=1,$D$9*(1-(ABS($Q168-ABS(VALUE(MID(AN168,FIND("|",AN168)+1,FIND("-",AN168)-FIND("|",AN168)-1))-VALUE(MID(AN168,FIND("-",AN168)+1,10)))))*$D$50),$D$9*(1-(IF($N168="X",ABS($O168-VALUE(MID(AN168,FIND("|",AN168)+1,FIND("-",AN168)-FIND("|",AN168)-1))),ABS($Q168-ABS(VALUE(MID(AN168,FIND("|",AN168)+1,FIND("-",AN168)-FIND("|",AN168)-1))-VALUE(MID(AN168,FIND("-",AN168)+1,10)))))*$D$50)))))*$I168,0)),0)</f>
        <v>0</v>
      </c>
      <c r="AP168" s="404"/>
      <c r="AQ168" s="398" t="s">
        <v>269</v>
      </c>
      <c r="AR168" s="356" t="n">
        <f aca="false">IFERROR(IF($M168=AQ168,($D$8+$D$9+$D$10)*$I168,IF($N168=LEFT(AQ168,1),($D$8+MAX(0,IF($D$50=1,$D$9*(1-(ABS($Q168-ABS(VALUE(MID(AQ168,FIND("|",AQ168)+1,FIND("-",AQ168)-FIND("|",AQ168)-1))-VALUE(MID(AQ168,FIND("-",AQ168)+1,10)))))*$D$50),$D$9*(1-(IF($N168="X",ABS($O168-VALUE(MID(AQ168,FIND("|",AQ168)+1,FIND("-",AQ168)-FIND("|",AQ168)-1))),ABS($Q168-ABS(VALUE(MID(AQ168,FIND("|",AQ168)+1,FIND("-",AQ168)-FIND("|",AQ168)-1))-VALUE(MID(AQ168,FIND("-",AQ168)+1,10)))))*$D$50)))))*$I168,0)),0)</f>
        <v>0</v>
      </c>
      <c r="AS168" s="404"/>
      <c r="AT168" s="363" t="s">
        <v>267</v>
      </c>
      <c r="AU168" s="356" t="n">
        <f aca="false">IFERROR(IF($M168=AT168,($D$8+$D$9+$D$10)*$I168,IF($N168=LEFT(AT168,1),($D$8+MAX(0,IF($D$50=1,$D$9*(1-(ABS($Q168-ABS(VALUE(MID(AT168,FIND("|",AT168)+1,FIND("-",AT168)-FIND("|",AT168)-1))-VALUE(MID(AT168,FIND("-",AT168)+1,10)))))*$D$50),$D$9*(1-(IF($N168="X",ABS($O168-VALUE(MID(AT168,FIND("|",AT168)+1,FIND("-",AT168)-FIND("|",AT168)-1))),ABS($Q168-ABS(VALUE(MID(AT168,FIND("|",AT168)+1,FIND("-",AT168)-FIND("|",AT168)-1))-VALUE(MID(AT168,FIND("-",AT168)+1,10)))))*$D$50)))))*$I168,0)),0)</f>
        <v>0</v>
      </c>
      <c r="AV168" s="404"/>
      <c r="AW168" s="363" t="s">
        <v>271</v>
      </c>
      <c r="AX168" s="356" t="n">
        <f aca="false">IFERROR(IF($M168=AW168,($D$8+$D$9+$D$10)*$I168,IF($N168=LEFT(AW168,1),($D$8+MAX(0,IF($D$50=1,$D$9*(1-(ABS($Q168-ABS(VALUE(MID(AW168,FIND("|",AW168)+1,FIND("-",AW168)-FIND("|",AW168)-1))-VALUE(MID(AW168,FIND("-",AW168)+1,10)))))*$D$50),$D$9*(1-(IF($N168="X",ABS($O168-VALUE(MID(AW168,FIND("|",AW168)+1,FIND("-",AW168)-FIND("|",AW168)-1))),ABS($Q168-ABS(VALUE(MID(AW168,FIND("|",AW168)+1,FIND("-",AW168)-FIND("|",AW168)-1))-VALUE(MID(AW168,FIND("-",AW168)+1,10)))))*$D$50)))))*$I168,0)),0)</f>
        <v>0</v>
      </c>
      <c r="AY168" s="404"/>
      <c r="AZ168" s="363" t="s">
        <v>268</v>
      </c>
      <c r="BA168" s="356" t="n">
        <f aca="false">IFERROR(IF($M168=AZ168,($D$8+$D$9+$D$10)*$I168,IF($N168=LEFT(AZ168,1),($D$8+MAX(0,IF($D$50=1,$D$9*(1-(ABS($Q168-ABS(VALUE(MID(AZ168,FIND("|",AZ168)+1,FIND("-",AZ168)-FIND("|",AZ168)-1))-VALUE(MID(AZ168,FIND("-",AZ168)+1,10)))))*$D$50),$D$9*(1-(IF($N168="X",ABS($O168-VALUE(MID(AZ168,FIND("|",AZ168)+1,FIND("-",AZ168)-FIND("|",AZ168)-1))),ABS($Q168-ABS(VALUE(MID(AZ168,FIND("|",AZ168)+1,FIND("-",AZ168)-FIND("|",AZ168)-1))-VALUE(MID(AZ168,FIND("-",AZ168)+1,10)))))*$D$50)))))*$I168,0)),0)</f>
        <v>0</v>
      </c>
      <c r="BB168" s="404"/>
      <c r="BC168" s="363" t="s">
        <v>268</v>
      </c>
      <c r="BD168" s="356" t="n">
        <f aca="false">IFERROR(IF($M168=BC168,($D$8+$D$9+$D$10)*$I168,IF($N168=LEFT(BC168,1),($D$8+MAX(0,IF($D$50=1,$D$9*(1-(ABS($Q168-ABS(VALUE(MID(BC168,FIND("|",BC168)+1,FIND("-",BC168)-FIND("|",BC168)-1))-VALUE(MID(BC168,FIND("-",BC168)+1,10)))))*$D$50),$D$9*(1-(IF($N168="X",ABS($O168-VALUE(MID(BC168,FIND("|",BC168)+1,FIND("-",BC168)-FIND("|",BC168)-1))),ABS($Q168-ABS(VALUE(MID(BC168,FIND("|",BC168)+1,FIND("-",BC168)-FIND("|",BC168)-1))-VALUE(MID(BC168,FIND("-",BC168)+1,10)))))*$D$50)))))*$I168,0)),0)</f>
        <v>0</v>
      </c>
      <c r="BE168" s="404"/>
      <c r="BF168" s="398" t="s">
        <v>274</v>
      </c>
      <c r="BG168" s="356" t="n">
        <f aca="false">IFERROR(IF($M168=BF168,($D$8+$D$9+$D$10)*$I168,IF($N168=LEFT(BF168,1),($D$8+MAX(0,IF($D$50=1,$D$9*(1-(ABS($Q168-ABS(VALUE(MID(BF168,FIND("|",BF168)+1,FIND("-",BF168)-FIND("|",BF168)-1))-VALUE(MID(BF168,FIND("-",BF168)+1,10)))))*$D$50),$D$9*(1-(IF($N168="X",ABS($O168-VALUE(MID(BF168,FIND("|",BF168)+1,FIND("-",BF168)-FIND("|",BF168)-1))),ABS($Q168-ABS(VALUE(MID(BF168,FIND("|",BF168)+1,FIND("-",BF168)-FIND("|",BF168)-1))-VALUE(MID(BF168,FIND("-",BF168)+1,10)))))*$D$50)))))*$I168,0)),0)</f>
        <v>0</v>
      </c>
      <c r="BH168" s="404"/>
      <c r="BI168" s="363" t="s">
        <v>267</v>
      </c>
      <c r="BJ168" s="356" t="n">
        <f aca="false">IFERROR(IF($M168=BI168,($D$8+$D$9+$D$10)*$I168,IF($N168=LEFT(BI168,1),($D$8+MAX(0,IF($D$50=1,$D$9*(1-(ABS($Q168-ABS(VALUE(MID(BI168,FIND("|",BI168)+1,FIND("-",BI168)-FIND("|",BI168)-1))-VALUE(MID(BI168,FIND("-",BI168)+1,10)))))*$D$50),$D$9*(1-(IF($N168="X",ABS($O168-VALUE(MID(BI168,FIND("|",BI168)+1,FIND("-",BI168)-FIND("|",BI168)-1))),ABS($Q168-ABS(VALUE(MID(BI168,FIND("|",BI168)+1,FIND("-",BI168)-FIND("|",BI168)-1))-VALUE(MID(BI168,FIND("-",BI168)+1,10)))))*$D$50)))))*$I168,0)),0)</f>
        <v>0</v>
      </c>
      <c r="BK168" s="404"/>
      <c r="BL168" s="363" t="s">
        <v>274</v>
      </c>
      <c r="BM168" s="356" t="n">
        <f aca="false">IFERROR(IF($M168=BL168,($D$8+$D$9+$D$10)*$I168,IF($N168=LEFT(BL168,1),($D$8+MAX(0,IF($D$50=1,$D$9*(1-(ABS($Q168-ABS(VALUE(MID(BL168,FIND("|",BL168)+1,FIND("-",BL168)-FIND("|",BL168)-1))-VALUE(MID(BL168,FIND("-",BL168)+1,10)))))*$D$50),$D$9*(1-(IF($N168="X",ABS($O168-VALUE(MID(BL168,FIND("|",BL168)+1,FIND("-",BL168)-FIND("|",BL168)-1))),ABS($Q168-ABS(VALUE(MID(BL168,FIND("|",BL168)+1,FIND("-",BL168)-FIND("|",BL168)-1))-VALUE(MID(BL168,FIND("-",BL168)+1,10)))))*$D$50)))))*$I168,0)),0)</f>
        <v>0</v>
      </c>
      <c r="BN168" s="404"/>
      <c r="BO168" s="363" t="s">
        <v>268</v>
      </c>
      <c r="BP168" s="356" t="n">
        <f aca="false">IFERROR(IF($M168=BO168,($D$8+$D$9+$D$10)*$I168,IF($N168=LEFT(BO168,1),($D$8+MAX(0,IF($D$50=1,$D$9*(1-(ABS($Q168-ABS(VALUE(MID(BO168,FIND("|",BO168)+1,FIND("-",BO168)-FIND("|",BO168)-1))-VALUE(MID(BO168,FIND("-",BO168)+1,10)))))*$D$50),$D$9*(1-(IF($N168="X",ABS($O168-VALUE(MID(BO168,FIND("|",BO168)+1,FIND("-",BO168)-FIND("|",BO168)-1))),ABS($Q168-ABS(VALUE(MID(BO168,FIND("|",BO168)+1,FIND("-",BO168)-FIND("|",BO168)-1))-VALUE(MID(BO168,FIND("-",BO168)+1,10)))))*$D$50)))))*$I168,0)),0)</f>
        <v>0</v>
      </c>
      <c r="BQ168" s="404"/>
      <c r="BR168" s="363" t="s">
        <v>267</v>
      </c>
      <c r="BS168" s="356" t="n">
        <f aca="false">IFERROR(IF($M168=BR168,($D$8+$D$9+$D$10)*$I168,IF($N168=LEFT(BR168,1),($D$8+MAX(0,IF($D$50=1,$D$9*(1-(ABS($Q168-ABS(VALUE(MID(BR168,FIND("|",BR168)+1,FIND("-",BR168)-FIND("|",BR168)-1))-VALUE(MID(BR168,FIND("-",BR168)+1,10)))))*$D$50),$D$9*(1-(IF($N168="X",ABS($O168-VALUE(MID(BR168,FIND("|",BR168)+1,FIND("-",BR168)-FIND("|",BR168)-1))),ABS($Q168-ABS(VALUE(MID(BR168,FIND("|",BR168)+1,FIND("-",BR168)-FIND("|",BR168)-1))-VALUE(MID(BR168,FIND("-",BR168)+1,10)))))*$D$50)))))*$I168,0)),0)</f>
        <v>0</v>
      </c>
      <c r="BT168" s="404"/>
      <c r="BU168" s="398"/>
      <c r="BV168" s="356" t="n">
        <f aca="false">IFERROR(IF($M168=BU168,($D$8+$D$9+$D$10)*$I168,IF($N168=LEFT(BU168,1),($D$8+MAX(0,IF($D$50=1,$D$9*(1-(ABS($Q168-ABS(VALUE(MID(BU168,FIND("|",BU168)+1,FIND("-",BU168)-FIND("|",BU168)-1))-VALUE(MID(BU168,FIND("-",BU168)+1,10)))))*$D$50),$D$9*(1-(IF($N168="X",ABS($O168-VALUE(MID(BU168,FIND("|",BU168)+1,FIND("-",BU168)-FIND("|",BU168)-1))),ABS($Q168-ABS(VALUE(MID(BU168,FIND("|",BU168)+1,FIND("-",BU168)-FIND("|",BU168)-1))-VALUE(MID(BU168,FIND("-",BU168)+1,10)))))*$D$50)))))*$I168,0)),0)</f>
        <v>0</v>
      </c>
      <c r="BW168" s="404"/>
      <c r="BX168" s="363"/>
      <c r="BY168" s="356" t="n">
        <f aca="false">IFERROR(IF($M168=BX168,($D$8+$D$9+$D$10)*$I168,IF($N168=LEFT(BX168,1),($D$8+MAX(0,IF($D$50=1,$D$9*(1-(ABS($Q168-ABS(VALUE(MID(BX168,FIND("|",BX168)+1,FIND("-",BX168)-FIND("|",BX168)-1))-VALUE(MID(BX168,FIND("-",BX168)+1,10)))))*$D$50),$D$9*(1-(IF($N168="X",ABS($O168-VALUE(MID(BX168,FIND("|",BX168)+1,FIND("-",BX168)-FIND("|",BX168)-1))),ABS($Q168-ABS(VALUE(MID(BX168,FIND("|",BX168)+1,FIND("-",BX168)-FIND("|",BX168)-1))-VALUE(MID(BX168,FIND("-",BX168)+1,10)))))*$D$50)))))*$I168,0)),0)</f>
        <v>0</v>
      </c>
      <c r="BZ168" s="404"/>
      <c r="CA168" s="363"/>
      <c r="CB168" s="356" t="n">
        <f aca="false">IFERROR(IF($M168=CA168,($D$8+$D$9+$D$10)*$I168,IF($N168=LEFT(CA168,1),($D$8+MAX(0,IF($D$50=1,$D$9*(1-(ABS($Q168-ABS(VALUE(MID(CA168,FIND("|",CA168)+1,FIND("-",CA168)-FIND("|",CA168)-1))-VALUE(MID(CA168,FIND("-",CA168)+1,10)))))*$D$50),$D$9*(1-(IF($N168="X",ABS($O168-VALUE(MID(CA168,FIND("|",CA168)+1,FIND("-",CA168)-FIND("|",CA168)-1))),ABS($Q168-ABS(VALUE(MID(CA168,FIND("|",CA168)+1,FIND("-",CA168)-FIND("|",CA168)-1))-VALUE(MID(CA168,FIND("-",CA168)+1,10)))))*$D$50)))))*$I168,0)),0)</f>
        <v>0</v>
      </c>
      <c r="CC168" s="404"/>
      <c r="CD168" s="363"/>
      <c r="CE168" s="356" t="n">
        <f aca="false">IFERROR(IF($M168=CD168,($D$8+$D$9+$D$10)*$I168,IF($N168=LEFT(CD168,1),($D$8+MAX(0,IF($D$50=1,$D$9*(1-(ABS($Q168-ABS(VALUE(MID(CD168,FIND("|",CD168)+1,FIND("-",CD168)-FIND("|",CD168)-1))-VALUE(MID(CD168,FIND("-",CD168)+1,10)))))*$D$50),$D$9*(1-(IF($N168="X",ABS($O168-VALUE(MID(CD168,FIND("|",CD168)+1,FIND("-",CD168)-FIND("|",CD168)-1))),ABS($Q168-ABS(VALUE(MID(CD168,FIND("|",CD168)+1,FIND("-",CD168)-FIND("|",CD168)-1))-VALUE(MID(CD168,FIND("-",CD168)+1,10)))))*$D$50)))))*$I168,0)),0)</f>
        <v>0</v>
      </c>
      <c r="CF168" s="404"/>
      <c r="CG168" s="363"/>
      <c r="CH168" s="356" t="n">
        <f aca="false">IFERROR(IF($M168=CG168,($D$8+$D$9+$D$10)*$I168,IF($N168=LEFT(CG168,1),($D$8+MAX(0,IF($D$50=1,$D$9*(1-(ABS($Q168-ABS(VALUE(MID(CG168,FIND("|",CG168)+1,FIND("-",CG168)-FIND("|",CG168)-1))-VALUE(MID(CG168,FIND("-",CG168)+1,10)))))*$D$50),$D$9*(1-(IF($N168="X",ABS($O168-VALUE(MID(CG168,FIND("|",CG168)+1,FIND("-",CG168)-FIND("|",CG168)-1))),ABS($Q168-ABS(VALUE(MID(CG168,FIND("|",CG168)+1,FIND("-",CG168)-FIND("|",CG168)-1))-VALUE(MID(CG168,FIND("-",CG168)+1,10)))))*$D$50)))))*$I168,0)),0)</f>
        <v>0</v>
      </c>
      <c r="CI168" s="404"/>
      <c r="CJ168" s="398"/>
      <c r="CK168" s="356" t="n">
        <f aca="false">IFERROR(IF($M168=CJ168,($D$8+$D$9+$D$10)*$I168,IF($N168=LEFT(CJ168,1),($D$8+MAX(0,IF($D$50=1,$D$9*(1-(ABS($Q168-ABS(VALUE(MID(CJ168,FIND("|",CJ168)+1,FIND("-",CJ168)-FIND("|",CJ168)-1))-VALUE(MID(CJ168,FIND("-",CJ168)+1,10)))))*$D$50),$D$9*(1-(IF($N168="X",ABS($O168-VALUE(MID(CJ168,FIND("|",CJ168)+1,FIND("-",CJ168)-FIND("|",CJ168)-1))),ABS($Q168-ABS(VALUE(MID(CJ168,FIND("|",CJ168)+1,FIND("-",CJ168)-FIND("|",CJ168)-1))-VALUE(MID(CJ168,FIND("-",CJ168)+1,10)))))*$D$50)))))*$I168,0)),0)</f>
        <v>0</v>
      </c>
      <c r="CL168" s="404"/>
      <c r="CM168" s="363"/>
      <c r="CN168" s="356" t="n">
        <f aca="false">IFERROR(IF($M168=CM168,($D$8+$D$9+$D$10)*$I168,IF($N168=LEFT(CM168,1),($D$8+MAX(0,IF($D$50=1,$D$9*(1-(ABS($Q168-ABS(VALUE(MID(CM168,FIND("|",CM168)+1,FIND("-",CM168)-FIND("|",CM168)-1))-VALUE(MID(CM168,FIND("-",CM168)+1,10)))))*$D$50),$D$9*(1-(IF($N168="X",ABS($O168-VALUE(MID(CM168,FIND("|",CM168)+1,FIND("-",CM168)-FIND("|",CM168)-1))),ABS($Q168-ABS(VALUE(MID(CM168,FIND("|",CM168)+1,FIND("-",CM168)-FIND("|",CM168)-1))-VALUE(MID(CM168,FIND("-",CM168)+1,10)))))*$D$50)))))*$I168,0)),0)</f>
        <v>0</v>
      </c>
      <c r="CO168" s="404"/>
      <c r="CP168" s="363"/>
      <c r="CQ168" s="356" t="n">
        <f aca="false">IFERROR(IF($M168=CP168,($D$8+$D$9+$D$10)*$I168,IF($N168=LEFT(CP168,1),($D$8+MAX(0,IF($D$50=1,$D$9*(1-(ABS($Q168-ABS(VALUE(MID(CP168,FIND("|",CP168)+1,FIND("-",CP168)-FIND("|",CP168)-1))-VALUE(MID(CP168,FIND("-",CP168)+1,10)))))*$D$50),$D$9*(1-(IF($N168="X",ABS($O168-VALUE(MID(CP168,FIND("|",CP168)+1,FIND("-",CP168)-FIND("|",CP168)-1))),ABS($Q168-ABS(VALUE(MID(CP168,FIND("|",CP168)+1,FIND("-",CP168)-FIND("|",CP168)-1))-VALUE(MID(CP168,FIND("-",CP168)+1,10)))))*$D$50)))))*$I168,0)),0)</f>
        <v>0</v>
      </c>
      <c r="CR168" s="404"/>
      <c r="CS168" s="363"/>
      <c r="CT168" s="356" t="n">
        <f aca="false">IFERROR(IF($M168=CS168,($D$8+$D$9+$D$10)*$I168,IF($N168=LEFT(CS168,1),($D$8+MAX(0,IF($D$50=1,$D$9*(1-(ABS($Q168-ABS(VALUE(MID(CS168,FIND("|",CS168)+1,FIND("-",CS168)-FIND("|",CS168)-1))-VALUE(MID(CS168,FIND("-",CS168)+1,10)))))*$D$50),$D$9*(1-(IF($N168="X",ABS($O168-VALUE(MID(CS168,FIND("|",CS168)+1,FIND("-",CS168)-FIND("|",CS168)-1))),ABS($Q168-ABS(VALUE(MID(CS168,FIND("|",CS168)+1,FIND("-",CS168)-FIND("|",CS168)-1))-VALUE(MID(CS168,FIND("-",CS168)+1,10)))))*$D$50)))))*$I168,0)),0)</f>
        <v>0</v>
      </c>
      <c r="CU168" s="404"/>
      <c r="CV168" s="363"/>
      <c r="CW168" s="356" t="n">
        <f aca="false">IFERROR(IF($M168=CV168,($D$8+$D$9+$D$10)*$I168,IF($N168=LEFT(CV168,1),($D$8+MAX(0,IF($D$50=1,$D$9*(1-(ABS($Q168-ABS(VALUE(MID(CV168,FIND("|",CV168)+1,FIND("-",CV168)-FIND("|",CV168)-1))-VALUE(MID(CV168,FIND("-",CV168)+1,10)))))*$D$50),$D$9*(1-(IF($N168="X",ABS($O168-VALUE(MID(CV168,FIND("|",CV168)+1,FIND("-",CV168)-FIND("|",CV168)-1))),ABS($Q168-ABS(VALUE(MID(CV168,FIND("|",CV168)+1,FIND("-",CV168)-FIND("|",CV168)-1))-VALUE(MID(CV168,FIND("-",CV168)+1,10)))))*$D$50)))))*$I168,0)),0)</f>
        <v>0</v>
      </c>
      <c r="CX168" s="404"/>
      <c r="CY168" s="398"/>
      <c r="CZ168" s="356" t="n">
        <f aca="false">IFERROR(IF($M168=CY168,($D$8+$D$9+$D$10)*$I168,IF($N168=LEFT(CY168,1),($D$8+MAX(0,IF($D$50=1,$D$9*(1-(ABS($Q168-ABS(VALUE(MID(CY168,FIND("|",CY168)+1,FIND("-",CY168)-FIND("|",CY168)-1))-VALUE(MID(CY168,FIND("-",CY168)+1,10)))))*$D$50),$D$9*(1-(IF($N168="X",ABS($O168-VALUE(MID(CY168,FIND("|",CY168)+1,FIND("-",CY168)-FIND("|",CY168)-1))),ABS($Q168-ABS(VALUE(MID(CY168,FIND("|",CY168)+1,FIND("-",CY168)-FIND("|",CY168)-1))-VALUE(MID(CY168,FIND("-",CY168)+1,10)))))*$D$50)))))*$I168,0)),0)</f>
        <v>0</v>
      </c>
      <c r="DA168" s="404"/>
      <c r="DB168" s="363"/>
      <c r="DC168" s="356" t="n">
        <f aca="false">IFERROR(IF($M168=DB168,($D$8+$D$9+$D$10)*$I168,IF($N168=LEFT(DB168,1),($D$8+MAX(0,IF($D$50=1,$D$9*(1-(ABS($Q168-ABS(VALUE(MID(DB168,FIND("|",DB168)+1,FIND("-",DB168)-FIND("|",DB168)-1))-VALUE(MID(DB168,FIND("-",DB168)+1,10)))))*$D$50),$D$9*(1-(IF($N168="X",ABS($O168-VALUE(MID(DB168,FIND("|",DB168)+1,FIND("-",DB168)-FIND("|",DB168)-1))),ABS($Q168-ABS(VALUE(MID(DB168,FIND("|",DB168)+1,FIND("-",DB168)-FIND("|",DB168)-1))-VALUE(MID(DB168,FIND("-",DB168)+1,10)))))*$D$50)))))*$I168,0)),0)</f>
        <v>0</v>
      </c>
      <c r="DD168" s="404"/>
      <c r="DE168" s="363"/>
      <c r="DF168" s="356" t="n">
        <f aca="false">IFERROR(IF($M168=DE168,($D$8+$D$9+$D$10)*$I168,IF($N168=LEFT(DE168,1),($D$8+MAX(0,IF($D$50=1,$D$9*(1-(ABS($Q168-ABS(VALUE(MID(DE168,FIND("|",DE168)+1,FIND("-",DE168)-FIND("|",DE168)-1))-VALUE(MID(DE168,FIND("-",DE168)+1,10)))))*$D$50),$D$9*(1-(IF($N168="X",ABS($O168-VALUE(MID(DE168,FIND("|",DE168)+1,FIND("-",DE168)-FIND("|",DE168)-1))),ABS($Q168-ABS(VALUE(MID(DE168,FIND("|",DE168)+1,FIND("-",DE168)-FIND("|",DE168)-1))-VALUE(MID(DE168,FIND("-",DE168)+1,10)))))*$D$50)))))*$I168,0)),0)</f>
        <v>0</v>
      </c>
      <c r="DG168" s="404"/>
      <c r="DH168" s="363"/>
      <c r="DI168" s="356" t="n">
        <f aca="false">IFERROR(IF($M168=DH168,($D$8+$D$9+$D$10)*$I168,IF($N168=LEFT(DH168,1),($D$8+MAX(0,IF($D$50=1,$D$9*(1-(ABS($Q168-ABS(VALUE(MID(DH168,FIND("|",DH168)+1,FIND("-",DH168)-FIND("|",DH168)-1))-VALUE(MID(DH168,FIND("-",DH168)+1,10)))))*$D$50),$D$9*(1-(IF($N168="X",ABS($O168-VALUE(MID(DH168,FIND("|",DH168)+1,FIND("-",DH168)-FIND("|",DH168)-1))),ABS($Q168-ABS(VALUE(MID(DH168,FIND("|",DH168)+1,FIND("-",DH168)-FIND("|",DH168)-1))-VALUE(MID(DH168,FIND("-",DH168)+1,10)))))*$D$50)))))*$I168,0)),0)</f>
        <v>0</v>
      </c>
      <c r="DJ168" s="404"/>
      <c r="DK168" s="363"/>
      <c r="DL168" s="356" t="n">
        <f aca="false">IFERROR(IF($M168=DK168,($D$8+$D$9+$D$10)*$I168,IF($N168=LEFT(DK168,1),($D$8+MAX(0,IF($D$50=1,$D$9*(1-(ABS($Q168-ABS(VALUE(MID(DK168,FIND("|",DK168)+1,FIND("-",DK168)-FIND("|",DK168)-1))-VALUE(MID(DK168,FIND("-",DK168)+1,10)))))*$D$50),$D$9*(1-(IF($N168="X",ABS($O168-VALUE(MID(DK168,FIND("|",DK168)+1,FIND("-",DK168)-FIND("|",DK168)-1))),ABS($Q168-ABS(VALUE(MID(DK168,FIND("|",DK168)+1,FIND("-",DK168)-FIND("|",DK168)-1))-VALUE(MID(DK168,FIND("-",DK168)+1,10)))))*$D$50)))))*$I168,0)),0)</f>
        <v>0</v>
      </c>
      <c r="DM168" s="404"/>
      <c r="DN168" s="398"/>
      <c r="DO168" s="356" t="n">
        <f aca="false">IFERROR(IF($M168=DN168,($D$8+$D$9+$D$10)*$I168,IF($N168=LEFT(DN168,1),($D$8+MAX(0,IF($D$50=1,$D$9*(1-(ABS($Q168-ABS(VALUE(MID(DN168,FIND("|",DN168)+1,FIND("-",DN168)-FIND("|",DN168)-1))-VALUE(MID(DN168,FIND("-",DN168)+1,10)))))*$D$50),$D$9*(1-(IF($N168="X",ABS($O168-VALUE(MID(DN168,FIND("|",DN168)+1,FIND("-",DN168)-FIND("|",DN168)-1))),ABS($Q168-ABS(VALUE(MID(DN168,FIND("|",DN168)+1,FIND("-",DN168)-FIND("|",DN168)-1))-VALUE(MID(DN168,FIND("-",DN168)+1,10)))))*$D$50)))))*$I168,0)),0)</f>
        <v>0</v>
      </c>
      <c r="DP168" s="404"/>
      <c r="DQ168" s="363"/>
      <c r="DR168" s="356" t="n">
        <f aca="false">IFERROR(IF($M168=DQ168,($D$8+$D$9+$D$10)*$I168,IF($N168=LEFT(DQ168,1),($D$8+MAX(0,IF($D$50=1,$D$9*(1-(ABS($Q168-ABS(VALUE(MID(DQ168,FIND("|",DQ168)+1,FIND("-",DQ168)-FIND("|",DQ168)-1))-VALUE(MID(DQ168,FIND("-",DQ168)+1,10)))))*$D$50),$D$9*(1-(IF($N168="X",ABS($O168-VALUE(MID(DQ168,FIND("|",DQ168)+1,FIND("-",DQ168)-FIND("|",DQ168)-1))),ABS($Q168-ABS(VALUE(MID(DQ168,FIND("|",DQ168)+1,FIND("-",DQ168)-FIND("|",DQ168)-1))-VALUE(MID(DQ168,FIND("-",DQ168)+1,10)))))*$D$50)))))*$I168,0)),0)</f>
        <v>0</v>
      </c>
      <c r="DS168" s="404"/>
      <c r="DT168" s="363"/>
      <c r="DU168" s="356" t="n">
        <f aca="false">IFERROR(IF($M168=DT168,($D$8+$D$9+$D$10)*$I168,IF($N168=LEFT(DT168,1),($D$8+MAX(0,IF($D$50=1,$D$9*(1-(ABS($Q168-ABS(VALUE(MID(DT168,FIND("|",DT168)+1,FIND("-",DT168)-FIND("|",DT168)-1))-VALUE(MID(DT168,FIND("-",DT168)+1,10)))))*$D$50),$D$9*(1-(IF($N168="X",ABS($O168-VALUE(MID(DT168,FIND("|",DT168)+1,FIND("-",DT168)-FIND("|",DT168)-1))),ABS($Q168-ABS(VALUE(MID(DT168,FIND("|",DT168)+1,FIND("-",DT168)-FIND("|",DT168)-1))-VALUE(MID(DT168,FIND("-",DT168)+1,10)))))*$D$50)))))*$I168,0)),0)</f>
        <v>0</v>
      </c>
      <c r="DV168" s="404"/>
      <c r="DW168" s="363"/>
      <c r="DX168" s="356" t="n">
        <f aca="false">IFERROR(IF($M168=DW168,($D$8+$D$9+$D$10)*$I168,IF($N168=LEFT(DW168,1),($D$8+MAX(0,IF($D$50=1,$D$9*(1-(ABS($Q168-ABS(VALUE(MID(DW168,FIND("|",DW168)+1,FIND("-",DW168)-FIND("|",DW168)-1))-VALUE(MID(DW168,FIND("-",DW168)+1,10)))))*$D$50),$D$9*(1-(IF($N168="X",ABS($O168-VALUE(MID(DW168,FIND("|",DW168)+1,FIND("-",DW168)-FIND("|",DW168)-1))),ABS($Q168-ABS(VALUE(MID(DW168,FIND("|",DW168)+1,FIND("-",DW168)-FIND("|",DW168)-1))-VALUE(MID(DW168,FIND("-",DW168)+1,10)))))*$D$50)))))*$I168,0)),0)</f>
        <v>0</v>
      </c>
      <c r="DY168" s="404"/>
      <c r="DZ168" s="363"/>
      <c r="EA168" s="356" t="n">
        <f aca="false">IFERROR(IF($M168=DZ168,($D$8+$D$9+$D$10)*$I168,IF($N168=LEFT(DZ168,1),($D$8+MAX(0,IF($D$50=1,$D$9*(1-(ABS($Q168-ABS(VALUE(MID(DZ168,FIND("|",DZ168)+1,FIND("-",DZ168)-FIND("|",DZ168)-1))-VALUE(MID(DZ168,FIND("-",DZ168)+1,10)))))*$D$50),$D$9*(1-(IF($N168="X",ABS($O168-VALUE(MID(DZ168,FIND("|",DZ168)+1,FIND("-",DZ168)-FIND("|",DZ168)-1))),ABS($Q168-ABS(VALUE(MID(DZ168,FIND("|",DZ168)+1,FIND("-",DZ168)-FIND("|",DZ168)-1))-VALUE(MID(DZ168,FIND("-",DZ168)+1,10)))))*$D$50)))))*$I168,0)),0)</f>
        <v>0</v>
      </c>
      <c r="EB168" s="404"/>
      <c r="EC168" s="398"/>
      <c r="ED168" s="356" t="n">
        <f aca="false">IFERROR(IF($M168=EC168,($D$8+$D$9+$D$10)*$I168,IF($N168=LEFT(EC168,1),($D$8+MAX(0,IF($D$50=1,$D$9*(1-(ABS($Q168-ABS(VALUE(MID(EC168,FIND("|",EC168)+1,FIND("-",EC168)-FIND("|",EC168)-1))-VALUE(MID(EC168,FIND("-",EC168)+1,10)))))*$D$50),$D$9*(1-(IF($N168="X",ABS($O168-VALUE(MID(EC168,FIND("|",EC168)+1,FIND("-",EC168)-FIND("|",EC168)-1))),ABS($Q168-ABS(VALUE(MID(EC168,FIND("|",EC168)+1,FIND("-",EC168)-FIND("|",EC168)-1))-VALUE(MID(EC168,FIND("-",EC168)+1,10)))))*$D$50)))))*$I168,0)),0)</f>
        <v>0</v>
      </c>
      <c r="EE168" s="404"/>
      <c r="EF168" s="363"/>
      <c r="EG168" s="356" t="n">
        <f aca="false">IFERROR(IF($M168=EF168,($D$8+$D$9+$D$10)*$I168,IF($N168=LEFT(EF168,1),($D$8+MAX(0,IF($D$50=1,$D$9*(1-(ABS($Q168-ABS(VALUE(MID(EF168,FIND("|",EF168)+1,FIND("-",EF168)-FIND("|",EF168)-1))-VALUE(MID(EF168,FIND("-",EF168)+1,10)))))*$D$50),$D$9*(1-(IF($N168="X",ABS($O168-VALUE(MID(EF168,FIND("|",EF168)+1,FIND("-",EF168)-FIND("|",EF168)-1))),ABS($Q168-ABS(VALUE(MID(EF168,FIND("|",EF168)+1,FIND("-",EF168)-FIND("|",EF168)-1))-VALUE(MID(EF168,FIND("-",EF168)+1,10)))))*$D$50)))))*$I168,0)),0)</f>
        <v>0</v>
      </c>
      <c r="EH168" s="404"/>
      <c r="EI168" s="404"/>
    </row>
    <row r="169" customFormat="false" ht="15" hidden="false" customHeight="false" outlineLevel="0" collapsed="false">
      <c r="A169" s="332" t="n">
        <f aca="false">WORLDCUP!AD106</f>
        <v>0</v>
      </c>
      <c r="B169" s="332" t="n">
        <f aca="false">WORLDCUP!AC106</f>
        <v>0</v>
      </c>
      <c r="C169" s="422" t="str">
        <f aca="false">CONCATENATE(WORLDCUP!AF106,"-",WORLDCUP!AA106)</f>
        <v>3CDFGH-1I</v>
      </c>
      <c r="D169" s="422" t="str">
        <f aca="false">IF(WORLDCUP!AC106&gt;WORLDCUP!AD106,2,IF(WORLDCUP!AC106&lt;WORLDCUP!AD106,1,IF(AND(WORLDCUP!AC106=WORLDCUP!AD106,WORLDCUP!AC106&lt;&gt;"",WORLDCUP!AD106&lt;&gt;""),0,"PD")))</f>
        <v>PD</v>
      </c>
      <c r="E169" s="422" t="str">
        <f aca="false">IF(OR(WORLDCUP!AC106="",WORLDCUP!AD106=""),"-",A169&amp;"-"&amp;B169)</f>
        <v>-</v>
      </c>
      <c r="F169" s="423" t="n">
        <f aca="false">SUM($D$16:$D$18)*I169</f>
        <v>17</v>
      </c>
      <c r="G169" s="423" t="n">
        <f aca="false">VLOOKUP(H169,Equipos!$Q$1:$R$25,2,0)</f>
        <v>20</v>
      </c>
      <c r="H169" s="424" t="str">
        <f aca="false">Idiomas!$D$260</f>
        <v>Dieciseisavos de final</v>
      </c>
      <c r="I169" s="425" t="n">
        <v>1</v>
      </c>
      <c r="J169" s="418"/>
      <c r="K169" s="367" t="str">
        <f aca="false">CONCATENATE(WORLDCUP!AA106,"-",WORLDCUP!AF106)</f>
        <v>1I-3CDFGH</v>
      </c>
      <c r="L169" s="354"/>
      <c r="M169" s="359" t="str">
        <f aca="false">IF(OR(WORLDCUP!AC106="",WORLDCUP!AD106=""),"-",N169&amp;"|"&amp;O169&amp;"-"&amp;P169)</f>
        <v>-</v>
      </c>
      <c r="N169" s="332" t="str">
        <f aca="false">IF(OR(WORLDCUP!AC106="",WORLDCUP!AD106=""),"",IF(WORLDCUP!AC106&gt;WORLDCUP!AD106,"1",IF(WORLDCUP!AC106&lt;WORLDCUP!AD106,"2","X")))</f>
        <v/>
      </c>
      <c r="O169" s="332" t="n">
        <f aca="false">WORLDCUP!AC106</f>
        <v>0</v>
      </c>
      <c r="P169" s="332" t="n">
        <f aca="false">WORLDCUP!AD106</f>
        <v>0</v>
      </c>
      <c r="Q169" s="332" t="n">
        <f aca="false">ABS(O169-P169)</f>
        <v>0</v>
      </c>
      <c r="R169" s="404"/>
      <c r="S169" s="363" t="s">
        <v>272</v>
      </c>
      <c r="T169" s="356" t="n">
        <f aca="false">IFERROR(IF($M169=S169,($D$8+$D$9+$D$10)*$I169,IF($N169=LEFT(S169,1),($D$8+MAX(0,IF($D$50=1,$D$9*(1-(ABS($Q169-ABS(VALUE(MID(S169,FIND("|",S169)+1,FIND("-",S169)-FIND("|",S169)-1))-VALUE(MID(S169,FIND("-",S169)+1,10)))))*$D$50),$D$9*(1-(IF($N169="X",ABS($O169-VALUE(MID(S169,FIND("|",S169)+1,FIND("-",S169)-FIND("|",S169)-1))),ABS($Q169-ABS(VALUE(MID(S169,FIND("|",S169)+1,FIND("-",S169)-FIND("|",S169)-1))-VALUE(MID(S169,FIND("-",S169)+1,10)))))*$D$50)))))*$I169,0)),0)</f>
        <v>0</v>
      </c>
      <c r="U169" s="404"/>
      <c r="V169" s="363" t="s">
        <v>266</v>
      </c>
      <c r="W169" s="356" t="n">
        <f aca="false">IFERROR(IF($M169=V169,($D$8+$D$9+$D$10)*$I169,IF($N169=LEFT(V169,1),($D$8+MAX(0,IF($D$50=1,$D$9*(1-(ABS($Q169-ABS(VALUE(MID(V169,FIND("|",V169)+1,FIND("-",V169)-FIND("|",V169)-1))-VALUE(MID(V169,FIND("-",V169)+1,10)))))*$D$50),$D$9*(1-(IF($N169="X",ABS($O169-VALUE(MID(V169,FIND("|",V169)+1,FIND("-",V169)-FIND("|",V169)-1))),ABS($Q169-ABS(VALUE(MID(V169,FIND("|",V169)+1,FIND("-",V169)-FIND("|",V169)-1))-VALUE(MID(V169,FIND("-",V169)+1,10)))))*$D$50)))))*$I169,0)),0)</f>
        <v>0</v>
      </c>
      <c r="X169" s="404"/>
      <c r="Y169" s="363" t="s">
        <v>288</v>
      </c>
      <c r="Z169" s="356" t="n">
        <f aca="false">IFERROR(IF($M169=Y169,($D$8+$D$9+$D$10)*$I169,IF($N169=LEFT(Y169,1),($D$8+MAX(0,IF($D$50=1,$D$9*(1-(ABS($Q169-ABS(VALUE(MID(Y169,FIND("|",Y169)+1,FIND("-",Y169)-FIND("|",Y169)-1))-VALUE(MID(Y169,FIND("-",Y169)+1,10)))))*$D$50),$D$9*(1-(IF($N169="X",ABS($O169-VALUE(MID(Y169,FIND("|",Y169)+1,FIND("-",Y169)-FIND("|",Y169)-1))),ABS($Q169-ABS(VALUE(MID(Y169,FIND("|",Y169)+1,FIND("-",Y169)-FIND("|",Y169)-1))-VALUE(MID(Y169,FIND("-",Y169)+1,10)))))*$D$50)))))*$I169,0)),0)</f>
        <v>0</v>
      </c>
      <c r="AA169" s="404"/>
      <c r="AB169" s="363" t="s">
        <v>266</v>
      </c>
      <c r="AC169" s="356" t="n">
        <f aca="false">IFERROR(IF($M169=AB169,($D$8+$D$9+$D$10)*$I169,IF($N169=LEFT(AB169,1),($D$8+MAX(0,IF($D$50=1,$D$9*(1-(ABS($Q169-ABS(VALUE(MID(AB169,FIND("|",AB169)+1,FIND("-",AB169)-FIND("|",AB169)-1))-VALUE(MID(AB169,FIND("-",AB169)+1,10)))))*$D$50),$D$9*(1-(IF($N169="X",ABS($O169-VALUE(MID(AB169,FIND("|",AB169)+1,FIND("-",AB169)-FIND("|",AB169)-1))),ABS($Q169-ABS(VALUE(MID(AB169,FIND("|",AB169)+1,FIND("-",AB169)-FIND("|",AB169)-1))-VALUE(MID(AB169,FIND("-",AB169)+1,10)))))*$D$50)))))*$I169,0)),0)</f>
        <v>0</v>
      </c>
      <c r="AD169" s="404"/>
      <c r="AE169" s="363" t="s">
        <v>288</v>
      </c>
      <c r="AF169" s="356" t="n">
        <f aca="false">IFERROR(IF($M169=AE169,($D$8+$D$9+$D$10)*$I169,IF($N169=LEFT(AE169,1),($D$8+MAX(0,IF($D$50=1,$D$9*(1-(ABS($Q169-ABS(VALUE(MID(AE169,FIND("|",AE169)+1,FIND("-",AE169)-FIND("|",AE169)-1))-VALUE(MID(AE169,FIND("-",AE169)+1,10)))))*$D$50),$D$9*(1-(IF($N169="X",ABS($O169-VALUE(MID(AE169,FIND("|",AE169)+1,FIND("-",AE169)-FIND("|",AE169)-1))),ABS($Q169-ABS(VALUE(MID(AE169,FIND("|",AE169)+1,FIND("-",AE169)-FIND("|",AE169)-1))-VALUE(MID(AE169,FIND("-",AE169)+1,10)))))*$D$50)))))*$I169,0)),0)</f>
        <v>0</v>
      </c>
      <c r="AG169" s="404"/>
      <c r="AH169" s="363" t="s">
        <v>266</v>
      </c>
      <c r="AI169" s="356" t="n">
        <f aca="false">IFERROR(IF($M169=AH169,($D$8+$D$9+$D$10)*$I169,IF($N169=LEFT(AH169,1),($D$8+MAX(0,IF($D$50=1,$D$9*(1-(ABS($Q169-ABS(VALUE(MID(AH169,FIND("|",AH169)+1,FIND("-",AH169)-FIND("|",AH169)-1))-VALUE(MID(AH169,FIND("-",AH169)+1,10)))))*$D$50),$D$9*(1-(IF($N169="X",ABS($O169-VALUE(MID(AH169,FIND("|",AH169)+1,FIND("-",AH169)-FIND("|",AH169)-1))),ABS($Q169-ABS(VALUE(MID(AH169,FIND("|",AH169)+1,FIND("-",AH169)-FIND("|",AH169)-1))-VALUE(MID(AH169,FIND("-",AH169)+1,10)))))*$D$50)))))*$I169,0)),0)</f>
        <v>0</v>
      </c>
      <c r="AJ169" s="404"/>
      <c r="AK169" s="363" t="s">
        <v>266</v>
      </c>
      <c r="AL169" s="356" t="n">
        <f aca="false">IFERROR(IF($M169=AK169,($D$8+$D$9+$D$10)*$I169,IF($N169=LEFT(AK169,1),($D$8+MAX(0,IF($D$50=1,$D$9*(1-(ABS($Q169-ABS(VALUE(MID(AK169,FIND("|",AK169)+1,FIND("-",AK169)-FIND("|",AK169)-1))-VALUE(MID(AK169,FIND("-",AK169)+1,10)))))*$D$50),$D$9*(1-(IF($N169="X",ABS($O169-VALUE(MID(AK169,FIND("|",AK169)+1,FIND("-",AK169)-FIND("|",AK169)-1))),ABS($Q169-ABS(VALUE(MID(AK169,FIND("|",AK169)+1,FIND("-",AK169)-FIND("|",AK169)-1))-VALUE(MID(AK169,FIND("-",AK169)+1,10)))))*$D$50)))))*$I169,0)),0)</f>
        <v>0</v>
      </c>
      <c r="AM169" s="404"/>
      <c r="AN169" s="363" t="s">
        <v>266</v>
      </c>
      <c r="AO169" s="356" t="n">
        <f aca="false">IFERROR(IF($M169=AN169,($D$8+$D$9+$D$10)*$I169,IF($N169=LEFT(AN169,1),($D$8+MAX(0,IF($D$50=1,$D$9*(1-(ABS($Q169-ABS(VALUE(MID(AN169,FIND("|",AN169)+1,FIND("-",AN169)-FIND("|",AN169)-1))-VALUE(MID(AN169,FIND("-",AN169)+1,10)))))*$D$50),$D$9*(1-(IF($N169="X",ABS($O169-VALUE(MID(AN169,FIND("|",AN169)+1,FIND("-",AN169)-FIND("|",AN169)-1))),ABS($Q169-ABS(VALUE(MID(AN169,FIND("|",AN169)+1,FIND("-",AN169)-FIND("|",AN169)-1))-VALUE(MID(AN169,FIND("-",AN169)+1,10)))))*$D$50)))))*$I169,0)),0)</f>
        <v>0</v>
      </c>
      <c r="AP169" s="404"/>
      <c r="AQ169" s="398" t="s">
        <v>275</v>
      </c>
      <c r="AR169" s="356" t="n">
        <f aca="false">IFERROR(IF($M169=AQ169,($D$8+$D$9+$D$10)*$I169,IF($N169=LEFT(AQ169,1),($D$8+MAX(0,IF($D$50=1,$D$9*(1-(ABS($Q169-ABS(VALUE(MID(AQ169,FIND("|",AQ169)+1,FIND("-",AQ169)-FIND("|",AQ169)-1))-VALUE(MID(AQ169,FIND("-",AQ169)+1,10)))))*$D$50),$D$9*(1-(IF($N169="X",ABS($O169-VALUE(MID(AQ169,FIND("|",AQ169)+1,FIND("-",AQ169)-FIND("|",AQ169)-1))),ABS($Q169-ABS(VALUE(MID(AQ169,FIND("|",AQ169)+1,FIND("-",AQ169)-FIND("|",AQ169)-1))-VALUE(MID(AQ169,FIND("-",AQ169)+1,10)))))*$D$50)))))*$I169,0)),0)</f>
        <v>0</v>
      </c>
      <c r="AS169" s="404"/>
      <c r="AT169" s="363" t="s">
        <v>288</v>
      </c>
      <c r="AU169" s="356" t="n">
        <f aca="false">IFERROR(IF($M169=AT169,($D$8+$D$9+$D$10)*$I169,IF($N169=LEFT(AT169,1),($D$8+MAX(0,IF($D$50=1,$D$9*(1-(ABS($Q169-ABS(VALUE(MID(AT169,FIND("|",AT169)+1,FIND("-",AT169)-FIND("|",AT169)-1))-VALUE(MID(AT169,FIND("-",AT169)+1,10)))))*$D$50),$D$9*(1-(IF($N169="X",ABS($O169-VALUE(MID(AT169,FIND("|",AT169)+1,FIND("-",AT169)-FIND("|",AT169)-1))),ABS($Q169-ABS(VALUE(MID(AT169,FIND("|",AT169)+1,FIND("-",AT169)-FIND("|",AT169)-1))-VALUE(MID(AT169,FIND("-",AT169)+1,10)))))*$D$50)))))*$I169,0)),0)</f>
        <v>0</v>
      </c>
      <c r="AV169" s="404"/>
      <c r="AW169" s="363" t="s">
        <v>266</v>
      </c>
      <c r="AX169" s="356" t="n">
        <f aca="false">IFERROR(IF($M169=AW169,($D$8+$D$9+$D$10)*$I169,IF($N169=LEFT(AW169,1),($D$8+MAX(0,IF($D$50=1,$D$9*(1-(ABS($Q169-ABS(VALUE(MID(AW169,FIND("|",AW169)+1,FIND("-",AW169)-FIND("|",AW169)-1))-VALUE(MID(AW169,FIND("-",AW169)+1,10)))))*$D$50),$D$9*(1-(IF($N169="X",ABS($O169-VALUE(MID(AW169,FIND("|",AW169)+1,FIND("-",AW169)-FIND("|",AW169)-1))),ABS($Q169-ABS(VALUE(MID(AW169,FIND("|",AW169)+1,FIND("-",AW169)-FIND("|",AW169)-1))-VALUE(MID(AW169,FIND("-",AW169)+1,10)))))*$D$50)))))*$I169,0)),0)</f>
        <v>0</v>
      </c>
      <c r="AY169" s="404"/>
      <c r="AZ169" s="363" t="s">
        <v>266</v>
      </c>
      <c r="BA169" s="356" t="n">
        <f aca="false">IFERROR(IF($M169=AZ169,($D$8+$D$9+$D$10)*$I169,IF($N169=LEFT(AZ169,1),($D$8+MAX(0,IF($D$50=1,$D$9*(1-(ABS($Q169-ABS(VALUE(MID(AZ169,FIND("|",AZ169)+1,FIND("-",AZ169)-FIND("|",AZ169)-1))-VALUE(MID(AZ169,FIND("-",AZ169)+1,10)))))*$D$50),$D$9*(1-(IF($N169="X",ABS($O169-VALUE(MID(AZ169,FIND("|",AZ169)+1,FIND("-",AZ169)-FIND("|",AZ169)-1))),ABS($Q169-ABS(VALUE(MID(AZ169,FIND("|",AZ169)+1,FIND("-",AZ169)-FIND("|",AZ169)-1))-VALUE(MID(AZ169,FIND("-",AZ169)+1,10)))))*$D$50)))))*$I169,0)),0)</f>
        <v>0</v>
      </c>
      <c r="BB169" s="404"/>
      <c r="BC169" s="363" t="s">
        <v>288</v>
      </c>
      <c r="BD169" s="356" t="n">
        <f aca="false">IFERROR(IF($M169=BC169,($D$8+$D$9+$D$10)*$I169,IF($N169=LEFT(BC169,1),($D$8+MAX(0,IF($D$50=1,$D$9*(1-(ABS($Q169-ABS(VALUE(MID(BC169,FIND("|",BC169)+1,FIND("-",BC169)-FIND("|",BC169)-1))-VALUE(MID(BC169,FIND("-",BC169)+1,10)))))*$D$50),$D$9*(1-(IF($N169="X",ABS($O169-VALUE(MID(BC169,FIND("|",BC169)+1,FIND("-",BC169)-FIND("|",BC169)-1))),ABS($Q169-ABS(VALUE(MID(BC169,FIND("|",BC169)+1,FIND("-",BC169)-FIND("|",BC169)-1))-VALUE(MID(BC169,FIND("-",BC169)+1,10)))))*$D$50)))))*$I169,0)),0)</f>
        <v>0</v>
      </c>
      <c r="BE169" s="404"/>
      <c r="BF169" s="398" t="s">
        <v>265</v>
      </c>
      <c r="BG169" s="356" t="n">
        <f aca="false">IFERROR(IF($M169=BF169,($D$8+$D$9+$D$10)*$I169,IF($N169=LEFT(BF169,1),($D$8+MAX(0,IF($D$50=1,$D$9*(1-(ABS($Q169-ABS(VALUE(MID(BF169,FIND("|",BF169)+1,FIND("-",BF169)-FIND("|",BF169)-1))-VALUE(MID(BF169,FIND("-",BF169)+1,10)))))*$D$50),$D$9*(1-(IF($N169="X",ABS($O169-VALUE(MID(BF169,FIND("|",BF169)+1,FIND("-",BF169)-FIND("|",BF169)-1))),ABS($Q169-ABS(VALUE(MID(BF169,FIND("|",BF169)+1,FIND("-",BF169)-FIND("|",BF169)-1))-VALUE(MID(BF169,FIND("-",BF169)+1,10)))))*$D$50)))))*$I169,0)),0)</f>
        <v>0</v>
      </c>
      <c r="BH169" s="404"/>
      <c r="BI169" s="363" t="s">
        <v>288</v>
      </c>
      <c r="BJ169" s="356" t="n">
        <f aca="false">IFERROR(IF($M169=BI169,($D$8+$D$9+$D$10)*$I169,IF($N169=LEFT(BI169,1),($D$8+MAX(0,IF($D$50=1,$D$9*(1-(ABS($Q169-ABS(VALUE(MID(BI169,FIND("|",BI169)+1,FIND("-",BI169)-FIND("|",BI169)-1))-VALUE(MID(BI169,FIND("-",BI169)+1,10)))))*$D$50),$D$9*(1-(IF($N169="X",ABS($O169-VALUE(MID(BI169,FIND("|",BI169)+1,FIND("-",BI169)-FIND("|",BI169)-1))),ABS($Q169-ABS(VALUE(MID(BI169,FIND("|",BI169)+1,FIND("-",BI169)-FIND("|",BI169)-1))-VALUE(MID(BI169,FIND("-",BI169)+1,10)))))*$D$50)))))*$I169,0)),0)</f>
        <v>0</v>
      </c>
      <c r="BK169" s="404"/>
      <c r="BL169" s="363" t="s">
        <v>288</v>
      </c>
      <c r="BM169" s="356" t="n">
        <f aca="false">IFERROR(IF($M169=BL169,($D$8+$D$9+$D$10)*$I169,IF($N169=LEFT(BL169,1),($D$8+MAX(0,IF($D$50=1,$D$9*(1-(ABS($Q169-ABS(VALUE(MID(BL169,FIND("|",BL169)+1,FIND("-",BL169)-FIND("|",BL169)-1))-VALUE(MID(BL169,FIND("-",BL169)+1,10)))))*$D$50),$D$9*(1-(IF($N169="X",ABS($O169-VALUE(MID(BL169,FIND("|",BL169)+1,FIND("-",BL169)-FIND("|",BL169)-1))),ABS($Q169-ABS(VALUE(MID(BL169,FIND("|",BL169)+1,FIND("-",BL169)-FIND("|",BL169)-1))-VALUE(MID(BL169,FIND("-",BL169)+1,10)))))*$D$50)))))*$I169,0)),0)</f>
        <v>0</v>
      </c>
      <c r="BN169" s="404"/>
      <c r="BO169" s="363" t="s">
        <v>288</v>
      </c>
      <c r="BP169" s="356" t="n">
        <f aca="false">IFERROR(IF($M169=BO169,($D$8+$D$9+$D$10)*$I169,IF($N169=LEFT(BO169,1),($D$8+MAX(0,IF($D$50=1,$D$9*(1-(ABS($Q169-ABS(VALUE(MID(BO169,FIND("|",BO169)+1,FIND("-",BO169)-FIND("|",BO169)-1))-VALUE(MID(BO169,FIND("-",BO169)+1,10)))))*$D$50),$D$9*(1-(IF($N169="X",ABS($O169-VALUE(MID(BO169,FIND("|",BO169)+1,FIND("-",BO169)-FIND("|",BO169)-1))),ABS($Q169-ABS(VALUE(MID(BO169,FIND("|",BO169)+1,FIND("-",BO169)-FIND("|",BO169)-1))-VALUE(MID(BO169,FIND("-",BO169)+1,10)))))*$D$50)))))*$I169,0)),0)</f>
        <v>0</v>
      </c>
      <c r="BQ169" s="404"/>
      <c r="BR169" s="363" t="s">
        <v>266</v>
      </c>
      <c r="BS169" s="356" t="n">
        <f aca="false">IFERROR(IF($M169=BR169,($D$8+$D$9+$D$10)*$I169,IF($N169=LEFT(BR169,1),($D$8+MAX(0,IF($D$50=1,$D$9*(1-(ABS($Q169-ABS(VALUE(MID(BR169,FIND("|",BR169)+1,FIND("-",BR169)-FIND("|",BR169)-1))-VALUE(MID(BR169,FIND("-",BR169)+1,10)))))*$D$50),$D$9*(1-(IF($N169="X",ABS($O169-VALUE(MID(BR169,FIND("|",BR169)+1,FIND("-",BR169)-FIND("|",BR169)-1))),ABS($Q169-ABS(VALUE(MID(BR169,FIND("|",BR169)+1,FIND("-",BR169)-FIND("|",BR169)-1))-VALUE(MID(BR169,FIND("-",BR169)+1,10)))))*$D$50)))))*$I169,0)),0)</f>
        <v>0</v>
      </c>
      <c r="BT169" s="404"/>
      <c r="BU169" s="398"/>
      <c r="BV169" s="356" t="n">
        <f aca="false">IFERROR(IF($M169=BU169,($D$8+$D$9+$D$10)*$I169,IF($N169=LEFT(BU169,1),($D$8+MAX(0,IF($D$50=1,$D$9*(1-(ABS($Q169-ABS(VALUE(MID(BU169,FIND("|",BU169)+1,FIND("-",BU169)-FIND("|",BU169)-1))-VALUE(MID(BU169,FIND("-",BU169)+1,10)))))*$D$50),$D$9*(1-(IF($N169="X",ABS($O169-VALUE(MID(BU169,FIND("|",BU169)+1,FIND("-",BU169)-FIND("|",BU169)-1))),ABS($Q169-ABS(VALUE(MID(BU169,FIND("|",BU169)+1,FIND("-",BU169)-FIND("|",BU169)-1))-VALUE(MID(BU169,FIND("-",BU169)+1,10)))))*$D$50)))))*$I169,0)),0)</f>
        <v>0</v>
      </c>
      <c r="BW169" s="404"/>
      <c r="BX169" s="363"/>
      <c r="BY169" s="356" t="n">
        <f aca="false">IFERROR(IF($M169=BX169,($D$8+$D$9+$D$10)*$I169,IF($N169=LEFT(BX169,1),($D$8+MAX(0,IF($D$50=1,$D$9*(1-(ABS($Q169-ABS(VALUE(MID(BX169,FIND("|",BX169)+1,FIND("-",BX169)-FIND("|",BX169)-1))-VALUE(MID(BX169,FIND("-",BX169)+1,10)))))*$D$50),$D$9*(1-(IF($N169="X",ABS($O169-VALUE(MID(BX169,FIND("|",BX169)+1,FIND("-",BX169)-FIND("|",BX169)-1))),ABS($Q169-ABS(VALUE(MID(BX169,FIND("|",BX169)+1,FIND("-",BX169)-FIND("|",BX169)-1))-VALUE(MID(BX169,FIND("-",BX169)+1,10)))))*$D$50)))))*$I169,0)),0)</f>
        <v>0</v>
      </c>
      <c r="BZ169" s="404"/>
      <c r="CA169" s="363"/>
      <c r="CB169" s="356" t="n">
        <f aca="false">IFERROR(IF($M169=CA169,($D$8+$D$9+$D$10)*$I169,IF($N169=LEFT(CA169,1),($D$8+MAX(0,IF($D$50=1,$D$9*(1-(ABS($Q169-ABS(VALUE(MID(CA169,FIND("|",CA169)+1,FIND("-",CA169)-FIND("|",CA169)-1))-VALUE(MID(CA169,FIND("-",CA169)+1,10)))))*$D$50),$D$9*(1-(IF($N169="X",ABS($O169-VALUE(MID(CA169,FIND("|",CA169)+1,FIND("-",CA169)-FIND("|",CA169)-1))),ABS($Q169-ABS(VALUE(MID(CA169,FIND("|",CA169)+1,FIND("-",CA169)-FIND("|",CA169)-1))-VALUE(MID(CA169,FIND("-",CA169)+1,10)))))*$D$50)))))*$I169,0)),0)</f>
        <v>0</v>
      </c>
      <c r="CC169" s="404"/>
      <c r="CD169" s="363"/>
      <c r="CE169" s="356" t="n">
        <f aca="false">IFERROR(IF($M169=CD169,($D$8+$D$9+$D$10)*$I169,IF($N169=LEFT(CD169,1),($D$8+MAX(0,IF($D$50=1,$D$9*(1-(ABS($Q169-ABS(VALUE(MID(CD169,FIND("|",CD169)+1,FIND("-",CD169)-FIND("|",CD169)-1))-VALUE(MID(CD169,FIND("-",CD169)+1,10)))))*$D$50),$D$9*(1-(IF($N169="X",ABS($O169-VALUE(MID(CD169,FIND("|",CD169)+1,FIND("-",CD169)-FIND("|",CD169)-1))),ABS($Q169-ABS(VALUE(MID(CD169,FIND("|",CD169)+1,FIND("-",CD169)-FIND("|",CD169)-1))-VALUE(MID(CD169,FIND("-",CD169)+1,10)))))*$D$50)))))*$I169,0)),0)</f>
        <v>0</v>
      </c>
      <c r="CF169" s="404"/>
      <c r="CG169" s="363"/>
      <c r="CH169" s="356" t="n">
        <f aca="false">IFERROR(IF($M169=CG169,($D$8+$D$9+$D$10)*$I169,IF($N169=LEFT(CG169,1),($D$8+MAX(0,IF($D$50=1,$D$9*(1-(ABS($Q169-ABS(VALUE(MID(CG169,FIND("|",CG169)+1,FIND("-",CG169)-FIND("|",CG169)-1))-VALUE(MID(CG169,FIND("-",CG169)+1,10)))))*$D$50),$D$9*(1-(IF($N169="X",ABS($O169-VALUE(MID(CG169,FIND("|",CG169)+1,FIND("-",CG169)-FIND("|",CG169)-1))),ABS($Q169-ABS(VALUE(MID(CG169,FIND("|",CG169)+1,FIND("-",CG169)-FIND("|",CG169)-1))-VALUE(MID(CG169,FIND("-",CG169)+1,10)))))*$D$50)))))*$I169,0)),0)</f>
        <v>0</v>
      </c>
      <c r="CI169" s="404"/>
      <c r="CJ169" s="398"/>
      <c r="CK169" s="356" t="n">
        <f aca="false">IFERROR(IF($M169=CJ169,($D$8+$D$9+$D$10)*$I169,IF($N169=LEFT(CJ169,1),($D$8+MAX(0,IF($D$50=1,$D$9*(1-(ABS($Q169-ABS(VALUE(MID(CJ169,FIND("|",CJ169)+1,FIND("-",CJ169)-FIND("|",CJ169)-1))-VALUE(MID(CJ169,FIND("-",CJ169)+1,10)))))*$D$50),$D$9*(1-(IF($N169="X",ABS($O169-VALUE(MID(CJ169,FIND("|",CJ169)+1,FIND("-",CJ169)-FIND("|",CJ169)-1))),ABS($Q169-ABS(VALUE(MID(CJ169,FIND("|",CJ169)+1,FIND("-",CJ169)-FIND("|",CJ169)-1))-VALUE(MID(CJ169,FIND("-",CJ169)+1,10)))))*$D$50)))))*$I169,0)),0)</f>
        <v>0</v>
      </c>
      <c r="CL169" s="404"/>
      <c r="CM169" s="363"/>
      <c r="CN169" s="356" t="n">
        <f aca="false">IFERROR(IF($M169=CM169,($D$8+$D$9+$D$10)*$I169,IF($N169=LEFT(CM169,1),($D$8+MAX(0,IF($D$50=1,$D$9*(1-(ABS($Q169-ABS(VALUE(MID(CM169,FIND("|",CM169)+1,FIND("-",CM169)-FIND("|",CM169)-1))-VALUE(MID(CM169,FIND("-",CM169)+1,10)))))*$D$50),$D$9*(1-(IF($N169="X",ABS($O169-VALUE(MID(CM169,FIND("|",CM169)+1,FIND("-",CM169)-FIND("|",CM169)-1))),ABS($Q169-ABS(VALUE(MID(CM169,FIND("|",CM169)+1,FIND("-",CM169)-FIND("|",CM169)-1))-VALUE(MID(CM169,FIND("-",CM169)+1,10)))))*$D$50)))))*$I169,0)),0)</f>
        <v>0</v>
      </c>
      <c r="CO169" s="404"/>
      <c r="CP169" s="363"/>
      <c r="CQ169" s="356" t="n">
        <f aca="false">IFERROR(IF($M169=CP169,($D$8+$D$9+$D$10)*$I169,IF($N169=LEFT(CP169,1),($D$8+MAX(0,IF($D$50=1,$D$9*(1-(ABS($Q169-ABS(VALUE(MID(CP169,FIND("|",CP169)+1,FIND("-",CP169)-FIND("|",CP169)-1))-VALUE(MID(CP169,FIND("-",CP169)+1,10)))))*$D$50),$D$9*(1-(IF($N169="X",ABS($O169-VALUE(MID(CP169,FIND("|",CP169)+1,FIND("-",CP169)-FIND("|",CP169)-1))),ABS($Q169-ABS(VALUE(MID(CP169,FIND("|",CP169)+1,FIND("-",CP169)-FIND("|",CP169)-1))-VALUE(MID(CP169,FIND("-",CP169)+1,10)))))*$D$50)))))*$I169,0)),0)</f>
        <v>0</v>
      </c>
      <c r="CR169" s="404"/>
      <c r="CS169" s="363"/>
      <c r="CT169" s="356" t="n">
        <f aca="false">IFERROR(IF($M169=CS169,($D$8+$D$9+$D$10)*$I169,IF($N169=LEFT(CS169,1),($D$8+MAX(0,IF($D$50=1,$D$9*(1-(ABS($Q169-ABS(VALUE(MID(CS169,FIND("|",CS169)+1,FIND("-",CS169)-FIND("|",CS169)-1))-VALUE(MID(CS169,FIND("-",CS169)+1,10)))))*$D$50),$D$9*(1-(IF($N169="X",ABS($O169-VALUE(MID(CS169,FIND("|",CS169)+1,FIND("-",CS169)-FIND("|",CS169)-1))),ABS($Q169-ABS(VALUE(MID(CS169,FIND("|",CS169)+1,FIND("-",CS169)-FIND("|",CS169)-1))-VALUE(MID(CS169,FIND("-",CS169)+1,10)))))*$D$50)))))*$I169,0)),0)</f>
        <v>0</v>
      </c>
      <c r="CU169" s="404"/>
      <c r="CV169" s="363"/>
      <c r="CW169" s="356" t="n">
        <f aca="false">IFERROR(IF($M169=CV169,($D$8+$D$9+$D$10)*$I169,IF($N169=LEFT(CV169,1),($D$8+MAX(0,IF($D$50=1,$D$9*(1-(ABS($Q169-ABS(VALUE(MID(CV169,FIND("|",CV169)+1,FIND("-",CV169)-FIND("|",CV169)-1))-VALUE(MID(CV169,FIND("-",CV169)+1,10)))))*$D$50),$D$9*(1-(IF($N169="X",ABS($O169-VALUE(MID(CV169,FIND("|",CV169)+1,FIND("-",CV169)-FIND("|",CV169)-1))),ABS($Q169-ABS(VALUE(MID(CV169,FIND("|",CV169)+1,FIND("-",CV169)-FIND("|",CV169)-1))-VALUE(MID(CV169,FIND("-",CV169)+1,10)))))*$D$50)))))*$I169,0)),0)</f>
        <v>0</v>
      </c>
      <c r="CX169" s="404"/>
      <c r="CY169" s="398"/>
      <c r="CZ169" s="356" t="n">
        <f aca="false">IFERROR(IF($M169=CY169,($D$8+$D$9+$D$10)*$I169,IF($N169=LEFT(CY169,1),($D$8+MAX(0,IF($D$50=1,$D$9*(1-(ABS($Q169-ABS(VALUE(MID(CY169,FIND("|",CY169)+1,FIND("-",CY169)-FIND("|",CY169)-1))-VALUE(MID(CY169,FIND("-",CY169)+1,10)))))*$D$50),$D$9*(1-(IF($N169="X",ABS($O169-VALUE(MID(CY169,FIND("|",CY169)+1,FIND("-",CY169)-FIND("|",CY169)-1))),ABS($Q169-ABS(VALUE(MID(CY169,FIND("|",CY169)+1,FIND("-",CY169)-FIND("|",CY169)-1))-VALUE(MID(CY169,FIND("-",CY169)+1,10)))))*$D$50)))))*$I169,0)),0)</f>
        <v>0</v>
      </c>
      <c r="DA169" s="404"/>
      <c r="DB169" s="363"/>
      <c r="DC169" s="356" t="n">
        <f aca="false">IFERROR(IF($M169=DB169,($D$8+$D$9+$D$10)*$I169,IF($N169=LEFT(DB169,1),($D$8+MAX(0,IF($D$50=1,$D$9*(1-(ABS($Q169-ABS(VALUE(MID(DB169,FIND("|",DB169)+1,FIND("-",DB169)-FIND("|",DB169)-1))-VALUE(MID(DB169,FIND("-",DB169)+1,10)))))*$D$50),$D$9*(1-(IF($N169="X",ABS($O169-VALUE(MID(DB169,FIND("|",DB169)+1,FIND("-",DB169)-FIND("|",DB169)-1))),ABS($Q169-ABS(VALUE(MID(DB169,FIND("|",DB169)+1,FIND("-",DB169)-FIND("|",DB169)-1))-VALUE(MID(DB169,FIND("-",DB169)+1,10)))))*$D$50)))))*$I169,0)),0)</f>
        <v>0</v>
      </c>
      <c r="DD169" s="404"/>
      <c r="DE169" s="363"/>
      <c r="DF169" s="356" t="n">
        <f aca="false">IFERROR(IF($M169=DE169,($D$8+$D$9+$D$10)*$I169,IF($N169=LEFT(DE169,1),($D$8+MAX(0,IF($D$50=1,$D$9*(1-(ABS($Q169-ABS(VALUE(MID(DE169,FIND("|",DE169)+1,FIND("-",DE169)-FIND("|",DE169)-1))-VALUE(MID(DE169,FIND("-",DE169)+1,10)))))*$D$50),$D$9*(1-(IF($N169="X",ABS($O169-VALUE(MID(DE169,FIND("|",DE169)+1,FIND("-",DE169)-FIND("|",DE169)-1))),ABS($Q169-ABS(VALUE(MID(DE169,FIND("|",DE169)+1,FIND("-",DE169)-FIND("|",DE169)-1))-VALUE(MID(DE169,FIND("-",DE169)+1,10)))))*$D$50)))))*$I169,0)),0)</f>
        <v>0</v>
      </c>
      <c r="DG169" s="404"/>
      <c r="DH169" s="363"/>
      <c r="DI169" s="356" t="n">
        <f aca="false">IFERROR(IF($M169=DH169,($D$8+$D$9+$D$10)*$I169,IF($N169=LEFT(DH169,1),($D$8+MAX(0,IF($D$50=1,$D$9*(1-(ABS($Q169-ABS(VALUE(MID(DH169,FIND("|",DH169)+1,FIND("-",DH169)-FIND("|",DH169)-1))-VALUE(MID(DH169,FIND("-",DH169)+1,10)))))*$D$50),$D$9*(1-(IF($N169="X",ABS($O169-VALUE(MID(DH169,FIND("|",DH169)+1,FIND("-",DH169)-FIND("|",DH169)-1))),ABS($Q169-ABS(VALUE(MID(DH169,FIND("|",DH169)+1,FIND("-",DH169)-FIND("|",DH169)-1))-VALUE(MID(DH169,FIND("-",DH169)+1,10)))))*$D$50)))))*$I169,0)),0)</f>
        <v>0</v>
      </c>
      <c r="DJ169" s="404"/>
      <c r="DK169" s="363"/>
      <c r="DL169" s="356" t="n">
        <f aca="false">IFERROR(IF($M169=DK169,($D$8+$D$9+$D$10)*$I169,IF($N169=LEFT(DK169,1),($D$8+MAX(0,IF($D$50=1,$D$9*(1-(ABS($Q169-ABS(VALUE(MID(DK169,FIND("|",DK169)+1,FIND("-",DK169)-FIND("|",DK169)-1))-VALUE(MID(DK169,FIND("-",DK169)+1,10)))))*$D$50),$D$9*(1-(IF($N169="X",ABS($O169-VALUE(MID(DK169,FIND("|",DK169)+1,FIND("-",DK169)-FIND("|",DK169)-1))),ABS($Q169-ABS(VALUE(MID(DK169,FIND("|",DK169)+1,FIND("-",DK169)-FIND("|",DK169)-1))-VALUE(MID(DK169,FIND("-",DK169)+1,10)))))*$D$50)))))*$I169,0)),0)</f>
        <v>0</v>
      </c>
      <c r="DM169" s="404"/>
      <c r="DN169" s="398"/>
      <c r="DO169" s="356" t="n">
        <f aca="false">IFERROR(IF($M169=DN169,($D$8+$D$9+$D$10)*$I169,IF($N169=LEFT(DN169,1),($D$8+MAX(0,IF($D$50=1,$D$9*(1-(ABS($Q169-ABS(VALUE(MID(DN169,FIND("|",DN169)+1,FIND("-",DN169)-FIND("|",DN169)-1))-VALUE(MID(DN169,FIND("-",DN169)+1,10)))))*$D$50),$D$9*(1-(IF($N169="X",ABS($O169-VALUE(MID(DN169,FIND("|",DN169)+1,FIND("-",DN169)-FIND("|",DN169)-1))),ABS($Q169-ABS(VALUE(MID(DN169,FIND("|",DN169)+1,FIND("-",DN169)-FIND("|",DN169)-1))-VALUE(MID(DN169,FIND("-",DN169)+1,10)))))*$D$50)))))*$I169,0)),0)</f>
        <v>0</v>
      </c>
      <c r="DP169" s="404"/>
      <c r="DQ169" s="363"/>
      <c r="DR169" s="356" t="n">
        <f aca="false">IFERROR(IF($M169=DQ169,($D$8+$D$9+$D$10)*$I169,IF($N169=LEFT(DQ169,1),($D$8+MAX(0,IF($D$50=1,$D$9*(1-(ABS($Q169-ABS(VALUE(MID(DQ169,FIND("|",DQ169)+1,FIND("-",DQ169)-FIND("|",DQ169)-1))-VALUE(MID(DQ169,FIND("-",DQ169)+1,10)))))*$D$50),$D$9*(1-(IF($N169="X",ABS($O169-VALUE(MID(DQ169,FIND("|",DQ169)+1,FIND("-",DQ169)-FIND("|",DQ169)-1))),ABS($Q169-ABS(VALUE(MID(DQ169,FIND("|",DQ169)+1,FIND("-",DQ169)-FIND("|",DQ169)-1))-VALUE(MID(DQ169,FIND("-",DQ169)+1,10)))))*$D$50)))))*$I169,0)),0)</f>
        <v>0</v>
      </c>
      <c r="DS169" s="404"/>
      <c r="DT169" s="363"/>
      <c r="DU169" s="356" t="n">
        <f aca="false">IFERROR(IF($M169=DT169,($D$8+$D$9+$D$10)*$I169,IF($N169=LEFT(DT169,1),($D$8+MAX(0,IF($D$50=1,$D$9*(1-(ABS($Q169-ABS(VALUE(MID(DT169,FIND("|",DT169)+1,FIND("-",DT169)-FIND("|",DT169)-1))-VALUE(MID(DT169,FIND("-",DT169)+1,10)))))*$D$50),$D$9*(1-(IF($N169="X",ABS($O169-VALUE(MID(DT169,FIND("|",DT169)+1,FIND("-",DT169)-FIND("|",DT169)-1))),ABS($Q169-ABS(VALUE(MID(DT169,FIND("|",DT169)+1,FIND("-",DT169)-FIND("|",DT169)-1))-VALUE(MID(DT169,FIND("-",DT169)+1,10)))))*$D$50)))))*$I169,0)),0)</f>
        <v>0</v>
      </c>
      <c r="DV169" s="404"/>
      <c r="DW169" s="363"/>
      <c r="DX169" s="356" t="n">
        <f aca="false">IFERROR(IF($M169=DW169,($D$8+$D$9+$D$10)*$I169,IF($N169=LEFT(DW169,1),($D$8+MAX(0,IF($D$50=1,$D$9*(1-(ABS($Q169-ABS(VALUE(MID(DW169,FIND("|",DW169)+1,FIND("-",DW169)-FIND("|",DW169)-1))-VALUE(MID(DW169,FIND("-",DW169)+1,10)))))*$D$50),$D$9*(1-(IF($N169="X",ABS($O169-VALUE(MID(DW169,FIND("|",DW169)+1,FIND("-",DW169)-FIND("|",DW169)-1))),ABS($Q169-ABS(VALUE(MID(DW169,FIND("|",DW169)+1,FIND("-",DW169)-FIND("|",DW169)-1))-VALUE(MID(DW169,FIND("-",DW169)+1,10)))))*$D$50)))))*$I169,0)),0)</f>
        <v>0</v>
      </c>
      <c r="DY169" s="404"/>
      <c r="DZ169" s="363"/>
      <c r="EA169" s="356" t="n">
        <f aca="false">IFERROR(IF($M169=DZ169,($D$8+$D$9+$D$10)*$I169,IF($N169=LEFT(DZ169,1),($D$8+MAX(0,IF($D$50=1,$D$9*(1-(ABS($Q169-ABS(VALUE(MID(DZ169,FIND("|",DZ169)+1,FIND("-",DZ169)-FIND("|",DZ169)-1))-VALUE(MID(DZ169,FIND("-",DZ169)+1,10)))))*$D$50),$D$9*(1-(IF($N169="X",ABS($O169-VALUE(MID(DZ169,FIND("|",DZ169)+1,FIND("-",DZ169)-FIND("|",DZ169)-1))),ABS($Q169-ABS(VALUE(MID(DZ169,FIND("|",DZ169)+1,FIND("-",DZ169)-FIND("|",DZ169)-1))-VALUE(MID(DZ169,FIND("-",DZ169)+1,10)))))*$D$50)))))*$I169,0)),0)</f>
        <v>0</v>
      </c>
      <c r="EB169" s="404"/>
      <c r="EC169" s="398"/>
      <c r="ED169" s="356" t="n">
        <f aca="false">IFERROR(IF($M169=EC169,($D$8+$D$9+$D$10)*$I169,IF($N169=LEFT(EC169,1),($D$8+MAX(0,IF($D$50=1,$D$9*(1-(ABS($Q169-ABS(VALUE(MID(EC169,FIND("|",EC169)+1,FIND("-",EC169)-FIND("|",EC169)-1))-VALUE(MID(EC169,FIND("-",EC169)+1,10)))))*$D$50),$D$9*(1-(IF($N169="X",ABS($O169-VALUE(MID(EC169,FIND("|",EC169)+1,FIND("-",EC169)-FIND("|",EC169)-1))),ABS($Q169-ABS(VALUE(MID(EC169,FIND("|",EC169)+1,FIND("-",EC169)-FIND("|",EC169)-1))-VALUE(MID(EC169,FIND("-",EC169)+1,10)))))*$D$50)))))*$I169,0)),0)</f>
        <v>0</v>
      </c>
      <c r="EE169" s="404"/>
      <c r="EF169" s="363"/>
      <c r="EG169" s="356" t="n">
        <f aca="false">IFERROR(IF($M169=EF169,($D$8+$D$9+$D$10)*$I169,IF($N169=LEFT(EF169,1),($D$8+MAX(0,IF($D$50=1,$D$9*(1-(ABS($Q169-ABS(VALUE(MID(EF169,FIND("|",EF169)+1,FIND("-",EF169)-FIND("|",EF169)-1))-VALUE(MID(EF169,FIND("-",EF169)+1,10)))))*$D$50),$D$9*(1-(IF($N169="X",ABS($O169-VALUE(MID(EF169,FIND("|",EF169)+1,FIND("-",EF169)-FIND("|",EF169)-1))),ABS($Q169-ABS(VALUE(MID(EF169,FIND("|",EF169)+1,FIND("-",EF169)-FIND("|",EF169)-1))-VALUE(MID(EF169,FIND("-",EF169)+1,10)))))*$D$50)))))*$I169,0)),0)</f>
        <v>0</v>
      </c>
      <c r="EH169" s="404"/>
      <c r="EI169" s="404"/>
    </row>
    <row r="170" customFormat="false" ht="15" hidden="false" customHeight="false" outlineLevel="0" collapsed="false">
      <c r="A170" s="332" t="n">
        <f aca="false">WORLDCUP!AD107</f>
        <v>0</v>
      </c>
      <c r="B170" s="332" t="n">
        <f aca="false">WORLDCUP!AC107</f>
        <v>0</v>
      </c>
      <c r="C170" s="422" t="str">
        <f aca="false">CONCATENATE(WORLDCUP!AF107,"-",WORLDCUP!AA107)</f>
        <v>3CEFHI-1A</v>
      </c>
      <c r="D170" s="422" t="str">
        <f aca="false">IF(WORLDCUP!AC107&gt;WORLDCUP!AD107,2,IF(WORLDCUP!AC107&lt;WORLDCUP!AD107,1,IF(AND(WORLDCUP!AC107=WORLDCUP!AD107,WORLDCUP!AC107&lt;&gt;"",WORLDCUP!AD107&lt;&gt;""),0,"PD")))</f>
        <v>PD</v>
      </c>
      <c r="E170" s="422" t="str">
        <f aca="false">IF(OR(WORLDCUP!AC107="",WORLDCUP!AD107=""),"-",A170&amp;"-"&amp;B170)</f>
        <v>-</v>
      </c>
      <c r="F170" s="423" t="n">
        <f aca="false">SUM($D$16:$D$18)*I170</f>
        <v>17</v>
      </c>
      <c r="G170" s="423" t="n">
        <f aca="false">VLOOKUP(H170,Equipos!$Q$1:$R$25,2,0)</f>
        <v>20</v>
      </c>
      <c r="H170" s="424" t="str">
        <f aca="false">Idiomas!$D$260</f>
        <v>Dieciseisavos de final</v>
      </c>
      <c r="I170" s="425" t="n">
        <v>1</v>
      </c>
      <c r="J170" s="418"/>
      <c r="K170" s="367" t="str">
        <f aca="false">CONCATENATE(WORLDCUP!AA107,"-",WORLDCUP!AF107)</f>
        <v>1A-3CEFHI</v>
      </c>
      <c r="L170" s="354"/>
      <c r="M170" s="359" t="str">
        <f aca="false">IF(OR(WORLDCUP!AC107="",WORLDCUP!AD107=""),"-",N170&amp;"|"&amp;O170&amp;"-"&amp;P170)</f>
        <v>-</v>
      </c>
      <c r="N170" s="332" t="str">
        <f aca="false">IF(OR(WORLDCUP!AC107="",WORLDCUP!AD107=""),"",IF(WORLDCUP!AC107&gt;WORLDCUP!AD107,"1",IF(WORLDCUP!AC107&lt;WORLDCUP!AD107,"2","X")))</f>
        <v/>
      </c>
      <c r="O170" s="332" t="n">
        <f aca="false">WORLDCUP!AC107</f>
        <v>0</v>
      </c>
      <c r="P170" s="332" t="n">
        <f aca="false">WORLDCUP!AD107</f>
        <v>0</v>
      </c>
      <c r="Q170" s="332" t="n">
        <f aca="false">ABS(O170-P170)</f>
        <v>0</v>
      </c>
      <c r="R170" s="404"/>
      <c r="S170" s="363" t="s">
        <v>264</v>
      </c>
      <c r="T170" s="356" t="n">
        <f aca="false">IFERROR(IF($M170=S170,($D$8+$D$9+$D$10)*$I170,IF($N170=LEFT(S170,1),($D$8+MAX(0,IF($D$50=1,$D$9*(1-(ABS($Q170-ABS(VALUE(MID(S170,FIND("|",S170)+1,FIND("-",S170)-FIND("|",S170)-1))-VALUE(MID(S170,FIND("-",S170)+1,10)))))*$D$50),$D$9*(1-(IF($N170="X",ABS($O170-VALUE(MID(S170,FIND("|",S170)+1,FIND("-",S170)-FIND("|",S170)-1))),ABS($Q170-ABS(VALUE(MID(S170,FIND("|",S170)+1,FIND("-",S170)-FIND("|",S170)-1))-VALUE(MID(S170,FIND("-",S170)+1,10)))))*$D$50)))))*$I170,0)),0)</f>
        <v>0</v>
      </c>
      <c r="U170" s="404"/>
      <c r="V170" s="363" t="s">
        <v>267</v>
      </c>
      <c r="W170" s="356" t="n">
        <f aca="false">IFERROR(IF($M170=V170,($D$8+$D$9+$D$10)*$I170,IF($N170=LEFT(V170,1),($D$8+MAX(0,IF($D$50=1,$D$9*(1-(ABS($Q170-ABS(VALUE(MID(V170,FIND("|",V170)+1,FIND("-",V170)-FIND("|",V170)-1))-VALUE(MID(V170,FIND("-",V170)+1,10)))))*$D$50),$D$9*(1-(IF($N170="X",ABS($O170-VALUE(MID(V170,FIND("|",V170)+1,FIND("-",V170)-FIND("|",V170)-1))),ABS($Q170-ABS(VALUE(MID(V170,FIND("|",V170)+1,FIND("-",V170)-FIND("|",V170)-1))-VALUE(MID(V170,FIND("-",V170)+1,10)))))*$D$50)))))*$I170,0)),0)</f>
        <v>0</v>
      </c>
      <c r="X170" s="404"/>
      <c r="Y170" s="363" t="s">
        <v>264</v>
      </c>
      <c r="Z170" s="356" t="n">
        <f aca="false">IFERROR(IF($M170=Y170,($D$8+$D$9+$D$10)*$I170,IF($N170=LEFT(Y170,1),($D$8+MAX(0,IF($D$50=1,$D$9*(1-(ABS($Q170-ABS(VALUE(MID(Y170,FIND("|",Y170)+1,FIND("-",Y170)-FIND("|",Y170)-1))-VALUE(MID(Y170,FIND("-",Y170)+1,10)))))*$D$50),$D$9*(1-(IF($N170="X",ABS($O170-VALUE(MID(Y170,FIND("|",Y170)+1,FIND("-",Y170)-FIND("|",Y170)-1))),ABS($Q170-ABS(VALUE(MID(Y170,FIND("|",Y170)+1,FIND("-",Y170)-FIND("|",Y170)-1))-VALUE(MID(Y170,FIND("-",Y170)+1,10)))))*$D$50)))))*$I170,0)),0)</f>
        <v>0</v>
      </c>
      <c r="AA170" s="404"/>
      <c r="AB170" s="363" t="s">
        <v>264</v>
      </c>
      <c r="AC170" s="356" t="n">
        <f aca="false">IFERROR(IF($M170=AB170,($D$8+$D$9+$D$10)*$I170,IF($N170=LEFT(AB170,1),($D$8+MAX(0,IF($D$50=1,$D$9*(1-(ABS($Q170-ABS(VALUE(MID(AB170,FIND("|",AB170)+1,FIND("-",AB170)-FIND("|",AB170)-1))-VALUE(MID(AB170,FIND("-",AB170)+1,10)))))*$D$50),$D$9*(1-(IF($N170="X",ABS($O170-VALUE(MID(AB170,FIND("|",AB170)+1,FIND("-",AB170)-FIND("|",AB170)-1))),ABS($Q170-ABS(VALUE(MID(AB170,FIND("|",AB170)+1,FIND("-",AB170)-FIND("|",AB170)-1))-VALUE(MID(AB170,FIND("-",AB170)+1,10)))))*$D$50)))))*$I170,0)),0)</f>
        <v>0</v>
      </c>
      <c r="AD170" s="404"/>
      <c r="AE170" s="363" t="s">
        <v>265</v>
      </c>
      <c r="AF170" s="356" t="n">
        <f aca="false">IFERROR(IF($M170=AE170,($D$8+$D$9+$D$10)*$I170,IF($N170=LEFT(AE170,1),($D$8+MAX(0,IF($D$50=1,$D$9*(1-(ABS($Q170-ABS(VALUE(MID(AE170,FIND("|",AE170)+1,FIND("-",AE170)-FIND("|",AE170)-1))-VALUE(MID(AE170,FIND("-",AE170)+1,10)))))*$D$50),$D$9*(1-(IF($N170="X",ABS($O170-VALUE(MID(AE170,FIND("|",AE170)+1,FIND("-",AE170)-FIND("|",AE170)-1))),ABS($Q170-ABS(VALUE(MID(AE170,FIND("|",AE170)+1,FIND("-",AE170)-FIND("|",AE170)-1))-VALUE(MID(AE170,FIND("-",AE170)+1,10)))))*$D$50)))))*$I170,0)),0)</f>
        <v>0</v>
      </c>
      <c r="AG170" s="404"/>
      <c r="AH170" s="363" t="s">
        <v>266</v>
      </c>
      <c r="AI170" s="356" t="n">
        <f aca="false">IFERROR(IF($M170=AH170,($D$8+$D$9+$D$10)*$I170,IF($N170=LEFT(AH170,1),($D$8+MAX(0,IF($D$50=1,$D$9*(1-(ABS($Q170-ABS(VALUE(MID(AH170,FIND("|",AH170)+1,FIND("-",AH170)-FIND("|",AH170)-1))-VALUE(MID(AH170,FIND("-",AH170)+1,10)))))*$D$50),$D$9*(1-(IF($N170="X",ABS($O170-VALUE(MID(AH170,FIND("|",AH170)+1,FIND("-",AH170)-FIND("|",AH170)-1))),ABS($Q170-ABS(VALUE(MID(AH170,FIND("|",AH170)+1,FIND("-",AH170)-FIND("|",AH170)-1))-VALUE(MID(AH170,FIND("-",AH170)+1,10)))))*$D$50)))))*$I170,0)),0)</f>
        <v>0</v>
      </c>
      <c r="AJ170" s="404"/>
      <c r="AK170" s="363" t="s">
        <v>264</v>
      </c>
      <c r="AL170" s="356" t="n">
        <f aca="false">IFERROR(IF($M170=AK170,($D$8+$D$9+$D$10)*$I170,IF($N170=LEFT(AK170,1),($D$8+MAX(0,IF($D$50=1,$D$9*(1-(ABS($Q170-ABS(VALUE(MID(AK170,FIND("|",AK170)+1,FIND("-",AK170)-FIND("|",AK170)-1))-VALUE(MID(AK170,FIND("-",AK170)+1,10)))))*$D$50),$D$9*(1-(IF($N170="X",ABS($O170-VALUE(MID(AK170,FIND("|",AK170)+1,FIND("-",AK170)-FIND("|",AK170)-1))),ABS($Q170-ABS(VALUE(MID(AK170,FIND("|",AK170)+1,FIND("-",AK170)-FIND("|",AK170)-1))-VALUE(MID(AK170,FIND("-",AK170)+1,10)))))*$D$50)))))*$I170,0)),0)</f>
        <v>0</v>
      </c>
      <c r="AM170" s="404"/>
      <c r="AN170" s="363" t="s">
        <v>265</v>
      </c>
      <c r="AO170" s="356" t="n">
        <f aca="false">IFERROR(IF($M170=AN170,($D$8+$D$9+$D$10)*$I170,IF($N170=LEFT(AN170,1),($D$8+MAX(0,IF($D$50=1,$D$9*(1-(ABS($Q170-ABS(VALUE(MID(AN170,FIND("|",AN170)+1,FIND("-",AN170)-FIND("|",AN170)-1))-VALUE(MID(AN170,FIND("-",AN170)+1,10)))))*$D$50),$D$9*(1-(IF($N170="X",ABS($O170-VALUE(MID(AN170,FIND("|",AN170)+1,FIND("-",AN170)-FIND("|",AN170)-1))),ABS($Q170-ABS(VALUE(MID(AN170,FIND("|",AN170)+1,FIND("-",AN170)-FIND("|",AN170)-1))-VALUE(MID(AN170,FIND("-",AN170)+1,10)))))*$D$50)))))*$I170,0)),0)</f>
        <v>0</v>
      </c>
      <c r="AP170" s="404"/>
      <c r="AQ170" s="398" t="s">
        <v>264</v>
      </c>
      <c r="AR170" s="356" t="n">
        <f aca="false">IFERROR(IF($M170=AQ170,($D$8+$D$9+$D$10)*$I170,IF($N170=LEFT(AQ170,1),($D$8+MAX(0,IF($D$50=1,$D$9*(1-(ABS($Q170-ABS(VALUE(MID(AQ170,FIND("|",AQ170)+1,FIND("-",AQ170)-FIND("|",AQ170)-1))-VALUE(MID(AQ170,FIND("-",AQ170)+1,10)))))*$D$50),$D$9*(1-(IF($N170="X",ABS($O170-VALUE(MID(AQ170,FIND("|",AQ170)+1,FIND("-",AQ170)-FIND("|",AQ170)-1))),ABS($Q170-ABS(VALUE(MID(AQ170,FIND("|",AQ170)+1,FIND("-",AQ170)-FIND("|",AQ170)-1))-VALUE(MID(AQ170,FIND("-",AQ170)+1,10)))))*$D$50)))))*$I170,0)),0)</f>
        <v>0</v>
      </c>
      <c r="AS170" s="404"/>
      <c r="AT170" s="363" t="s">
        <v>266</v>
      </c>
      <c r="AU170" s="356" t="n">
        <f aca="false">IFERROR(IF($M170=AT170,($D$8+$D$9+$D$10)*$I170,IF($N170=LEFT(AT170,1),($D$8+MAX(0,IF($D$50=1,$D$9*(1-(ABS($Q170-ABS(VALUE(MID(AT170,FIND("|",AT170)+1,FIND("-",AT170)-FIND("|",AT170)-1))-VALUE(MID(AT170,FIND("-",AT170)+1,10)))))*$D$50),$D$9*(1-(IF($N170="X",ABS($O170-VALUE(MID(AT170,FIND("|",AT170)+1,FIND("-",AT170)-FIND("|",AT170)-1))),ABS($Q170-ABS(VALUE(MID(AT170,FIND("|",AT170)+1,FIND("-",AT170)-FIND("|",AT170)-1))-VALUE(MID(AT170,FIND("-",AT170)+1,10)))))*$D$50)))))*$I170,0)),0)</f>
        <v>0</v>
      </c>
      <c r="AV170" s="404"/>
      <c r="AW170" s="363" t="s">
        <v>271</v>
      </c>
      <c r="AX170" s="356" t="n">
        <f aca="false">IFERROR(IF($M170=AW170,($D$8+$D$9+$D$10)*$I170,IF($N170=LEFT(AW170,1),($D$8+MAX(0,IF($D$50=1,$D$9*(1-(ABS($Q170-ABS(VALUE(MID(AW170,FIND("|",AW170)+1,FIND("-",AW170)-FIND("|",AW170)-1))-VALUE(MID(AW170,FIND("-",AW170)+1,10)))))*$D$50),$D$9*(1-(IF($N170="X",ABS($O170-VALUE(MID(AW170,FIND("|",AW170)+1,FIND("-",AW170)-FIND("|",AW170)-1))),ABS($Q170-ABS(VALUE(MID(AW170,FIND("|",AW170)+1,FIND("-",AW170)-FIND("|",AW170)-1))-VALUE(MID(AW170,FIND("-",AW170)+1,10)))))*$D$50)))))*$I170,0)),0)</f>
        <v>0</v>
      </c>
      <c r="AY170" s="404"/>
      <c r="AZ170" s="363" t="s">
        <v>265</v>
      </c>
      <c r="BA170" s="356" t="n">
        <f aca="false">IFERROR(IF($M170=AZ170,($D$8+$D$9+$D$10)*$I170,IF($N170=LEFT(AZ170,1),($D$8+MAX(0,IF($D$50=1,$D$9*(1-(ABS($Q170-ABS(VALUE(MID(AZ170,FIND("|",AZ170)+1,FIND("-",AZ170)-FIND("|",AZ170)-1))-VALUE(MID(AZ170,FIND("-",AZ170)+1,10)))))*$D$50),$D$9*(1-(IF($N170="X",ABS($O170-VALUE(MID(AZ170,FIND("|",AZ170)+1,FIND("-",AZ170)-FIND("|",AZ170)-1))),ABS($Q170-ABS(VALUE(MID(AZ170,FIND("|",AZ170)+1,FIND("-",AZ170)-FIND("|",AZ170)-1))-VALUE(MID(AZ170,FIND("-",AZ170)+1,10)))))*$D$50)))))*$I170,0)),0)</f>
        <v>0</v>
      </c>
      <c r="BB170" s="404"/>
      <c r="BC170" s="363" t="s">
        <v>266</v>
      </c>
      <c r="BD170" s="356" t="n">
        <f aca="false">IFERROR(IF($M170=BC170,($D$8+$D$9+$D$10)*$I170,IF($N170=LEFT(BC170,1),($D$8+MAX(0,IF($D$50=1,$D$9*(1-(ABS($Q170-ABS(VALUE(MID(BC170,FIND("|",BC170)+1,FIND("-",BC170)-FIND("|",BC170)-1))-VALUE(MID(BC170,FIND("-",BC170)+1,10)))))*$D$50),$D$9*(1-(IF($N170="X",ABS($O170-VALUE(MID(BC170,FIND("|",BC170)+1,FIND("-",BC170)-FIND("|",BC170)-1))),ABS($Q170-ABS(VALUE(MID(BC170,FIND("|",BC170)+1,FIND("-",BC170)-FIND("|",BC170)-1))-VALUE(MID(BC170,FIND("-",BC170)+1,10)))))*$D$50)))))*$I170,0)),0)</f>
        <v>0</v>
      </c>
      <c r="BE170" s="404"/>
      <c r="BF170" s="398" t="s">
        <v>265</v>
      </c>
      <c r="BG170" s="356" t="n">
        <f aca="false">IFERROR(IF($M170=BF170,($D$8+$D$9+$D$10)*$I170,IF($N170=LEFT(BF170,1),($D$8+MAX(0,IF($D$50=1,$D$9*(1-(ABS($Q170-ABS(VALUE(MID(BF170,FIND("|",BF170)+1,FIND("-",BF170)-FIND("|",BF170)-1))-VALUE(MID(BF170,FIND("-",BF170)+1,10)))))*$D$50),$D$9*(1-(IF($N170="X",ABS($O170-VALUE(MID(BF170,FIND("|",BF170)+1,FIND("-",BF170)-FIND("|",BF170)-1))),ABS($Q170-ABS(VALUE(MID(BF170,FIND("|",BF170)+1,FIND("-",BF170)-FIND("|",BF170)-1))-VALUE(MID(BF170,FIND("-",BF170)+1,10)))))*$D$50)))))*$I170,0)),0)</f>
        <v>0</v>
      </c>
      <c r="BH170" s="404"/>
      <c r="BI170" s="363" t="s">
        <v>271</v>
      </c>
      <c r="BJ170" s="356" t="n">
        <f aca="false">IFERROR(IF($M170=BI170,($D$8+$D$9+$D$10)*$I170,IF($N170=LEFT(BI170,1),($D$8+MAX(0,IF($D$50=1,$D$9*(1-(ABS($Q170-ABS(VALUE(MID(BI170,FIND("|",BI170)+1,FIND("-",BI170)-FIND("|",BI170)-1))-VALUE(MID(BI170,FIND("-",BI170)+1,10)))))*$D$50),$D$9*(1-(IF($N170="X",ABS($O170-VALUE(MID(BI170,FIND("|",BI170)+1,FIND("-",BI170)-FIND("|",BI170)-1))),ABS($Q170-ABS(VALUE(MID(BI170,FIND("|",BI170)+1,FIND("-",BI170)-FIND("|",BI170)-1))-VALUE(MID(BI170,FIND("-",BI170)+1,10)))))*$D$50)))))*$I170,0)),0)</f>
        <v>0</v>
      </c>
      <c r="BK170" s="404"/>
      <c r="BL170" s="363" t="s">
        <v>264</v>
      </c>
      <c r="BM170" s="356" t="n">
        <f aca="false">IFERROR(IF($M170=BL170,($D$8+$D$9+$D$10)*$I170,IF($N170=LEFT(BL170,1),($D$8+MAX(0,IF($D$50=1,$D$9*(1-(ABS($Q170-ABS(VALUE(MID(BL170,FIND("|",BL170)+1,FIND("-",BL170)-FIND("|",BL170)-1))-VALUE(MID(BL170,FIND("-",BL170)+1,10)))))*$D$50),$D$9*(1-(IF($N170="X",ABS($O170-VALUE(MID(BL170,FIND("|",BL170)+1,FIND("-",BL170)-FIND("|",BL170)-1))),ABS($Q170-ABS(VALUE(MID(BL170,FIND("|",BL170)+1,FIND("-",BL170)-FIND("|",BL170)-1))-VALUE(MID(BL170,FIND("-",BL170)+1,10)))))*$D$50)))))*$I170,0)),0)</f>
        <v>0</v>
      </c>
      <c r="BN170" s="404"/>
      <c r="BO170" s="363" t="s">
        <v>265</v>
      </c>
      <c r="BP170" s="356" t="n">
        <f aca="false">IFERROR(IF($M170=BO170,($D$8+$D$9+$D$10)*$I170,IF($N170=LEFT(BO170,1),($D$8+MAX(0,IF($D$50=1,$D$9*(1-(ABS($Q170-ABS(VALUE(MID(BO170,FIND("|",BO170)+1,FIND("-",BO170)-FIND("|",BO170)-1))-VALUE(MID(BO170,FIND("-",BO170)+1,10)))))*$D$50),$D$9*(1-(IF($N170="X",ABS($O170-VALUE(MID(BO170,FIND("|",BO170)+1,FIND("-",BO170)-FIND("|",BO170)-1))),ABS($Q170-ABS(VALUE(MID(BO170,FIND("|",BO170)+1,FIND("-",BO170)-FIND("|",BO170)-1))-VALUE(MID(BO170,FIND("-",BO170)+1,10)))))*$D$50)))))*$I170,0)),0)</f>
        <v>0</v>
      </c>
      <c r="BQ170" s="404"/>
      <c r="BR170" s="363" t="s">
        <v>266</v>
      </c>
      <c r="BS170" s="356" t="n">
        <f aca="false">IFERROR(IF($M170=BR170,($D$8+$D$9+$D$10)*$I170,IF($N170=LEFT(BR170,1),($D$8+MAX(0,IF($D$50=1,$D$9*(1-(ABS($Q170-ABS(VALUE(MID(BR170,FIND("|",BR170)+1,FIND("-",BR170)-FIND("|",BR170)-1))-VALUE(MID(BR170,FIND("-",BR170)+1,10)))))*$D$50),$D$9*(1-(IF($N170="X",ABS($O170-VALUE(MID(BR170,FIND("|",BR170)+1,FIND("-",BR170)-FIND("|",BR170)-1))),ABS($Q170-ABS(VALUE(MID(BR170,FIND("|",BR170)+1,FIND("-",BR170)-FIND("|",BR170)-1))-VALUE(MID(BR170,FIND("-",BR170)+1,10)))))*$D$50)))))*$I170,0)),0)</f>
        <v>0</v>
      </c>
      <c r="BT170" s="404"/>
      <c r="BU170" s="398"/>
      <c r="BV170" s="356" t="n">
        <f aca="false">IFERROR(IF($M170=BU170,($D$8+$D$9+$D$10)*$I170,IF($N170=LEFT(BU170,1),($D$8+MAX(0,IF($D$50=1,$D$9*(1-(ABS($Q170-ABS(VALUE(MID(BU170,FIND("|",BU170)+1,FIND("-",BU170)-FIND("|",BU170)-1))-VALUE(MID(BU170,FIND("-",BU170)+1,10)))))*$D$50),$D$9*(1-(IF($N170="X",ABS($O170-VALUE(MID(BU170,FIND("|",BU170)+1,FIND("-",BU170)-FIND("|",BU170)-1))),ABS($Q170-ABS(VALUE(MID(BU170,FIND("|",BU170)+1,FIND("-",BU170)-FIND("|",BU170)-1))-VALUE(MID(BU170,FIND("-",BU170)+1,10)))))*$D$50)))))*$I170,0)),0)</f>
        <v>0</v>
      </c>
      <c r="BW170" s="404"/>
      <c r="BX170" s="363"/>
      <c r="BY170" s="356" t="n">
        <f aca="false">IFERROR(IF($M170=BX170,($D$8+$D$9+$D$10)*$I170,IF($N170=LEFT(BX170,1),($D$8+MAX(0,IF($D$50=1,$D$9*(1-(ABS($Q170-ABS(VALUE(MID(BX170,FIND("|",BX170)+1,FIND("-",BX170)-FIND("|",BX170)-1))-VALUE(MID(BX170,FIND("-",BX170)+1,10)))))*$D$50),$D$9*(1-(IF($N170="X",ABS($O170-VALUE(MID(BX170,FIND("|",BX170)+1,FIND("-",BX170)-FIND("|",BX170)-1))),ABS($Q170-ABS(VALUE(MID(BX170,FIND("|",BX170)+1,FIND("-",BX170)-FIND("|",BX170)-1))-VALUE(MID(BX170,FIND("-",BX170)+1,10)))))*$D$50)))))*$I170,0)),0)</f>
        <v>0</v>
      </c>
      <c r="BZ170" s="404"/>
      <c r="CA170" s="363"/>
      <c r="CB170" s="356" t="n">
        <f aca="false">IFERROR(IF($M170=CA170,($D$8+$D$9+$D$10)*$I170,IF($N170=LEFT(CA170,1),($D$8+MAX(0,IF($D$50=1,$D$9*(1-(ABS($Q170-ABS(VALUE(MID(CA170,FIND("|",CA170)+1,FIND("-",CA170)-FIND("|",CA170)-1))-VALUE(MID(CA170,FIND("-",CA170)+1,10)))))*$D$50),$D$9*(1-(IF($N170="X",ABS($O170-VALUE(MID(CA170,FIND("|",CA170)+1,FIND("-",CA170)-FIND("|",CA170)-1))),ABS($Q170-ABS(VALUE(MID(CA170,FIND("|",CA170)+1,FIND("-",CA170)-FIND("|",CA170)-1))-VALUE(MID(CA170,FIND("-",CA170)+1,10)))))*$D$50)))))*$I170,0)),0)</f>
        <v>0</v>
      </c>
      <c r="CC170" s="404"/>
      <c r="CD170" s="363"/>
      <c r="CE170" s="356" t="n">
        <f aca="false">IFERROR(IF($M170=CD170,($D$8+$D$9+$D$10)*$I170,IF($N170=LEFT(CD170,1),($D$8+MAX(0,IF($D$50=1,$D$9*(1-(ABS($Q170-ABS(VALUE(MID(CD170,FIND("|",CD170)+1,FIND("-",CD170)-FIND("|",CD170)-1))-VALUE(MID(CD170,FIND("-",CD170)+1,10)))))*$D$50),$D$9*(1-(IF($N170="X",ABS($O170-VALUE(MID(CD170,FIND("|",CD170)+1,FIND("-",CD170)-FIND("|",CD170)-1))),ABS($Q170-ABS(VALUE(MID(CD170,FIND("|",CD170)+1,FIND("-",CD170)-FIND("|",CD170)-1))-VALUE(MID(CD170,FIND("-",CD170)+1,10)))))*$D$50)))))*$I170,0)),0)</f>
        <v>0</v>
      </c>
      <c r="CF170" s="404"/>
      <c r="CG170" s="363"/>
      <c r="CH170" s="356" t="n">
        <f aca="false">IFERROR(IF($M170=CG170,($D$8+$D$9+$D$10)*$I170,IF($N170=LEFT(CG170,1),($D$8+MAX(0,IF($D$50=1,$D$9*(1-(ABS($Q170-ABS(VALUE(MID(CG170,FIND("|",CG170)+1,FIND("-",CG170)-FIND("|",CG170)-1))-VALUE(MID(CG170,FIND("-",CG170)+1,10)))))*$D$50),$D$9*(1-(IF($N170="X",ABS($O170-VALUE(MID(CG170,FIND("|",CG170)+1,FIND("-",CG170)-FIND("|",CG170)-1))),ABS($Q170-ABS(VALUE(MID(CG170,FIND("|",CG170)+1,FIND("-",CG170)-FIND("|",CG170)-1))-VALUE(MID(CG170,FIND("-",CG170)+1,10)))))*$D$50)))))*$I170,0)),0)</f>
        <v>0</v>
      </c>
      <c r="CI170" s="404"/>
      <c r="CJ170" s="398"/>
      <c r="CK170" s="356" t="n">
        <f aca="false">IFERROR(IF($M170=CJ170,($D$8+$D$9+$D$10)*$I170,IF($N170=LEFT(CJ170,1),($D$8+MAX(0,IF($D$50=1,$D$9*(1-(ABS($Q170-ABS(VALUE(MID(CJ170,FIND("|",CJ170)+1,FIND("-",CJ170)-FIND("|",CJ170)-1))-VALUE(MID(CJ170,FIND("-",CJ170)+1,10)))))*$D$50),$D$9*(1-(IF($N170="X",ABS($O170-VALUE(MID(CJ170,FIND("|",CJ170)+1,FIND("-",CJ170)-FIND("|",CJ170)-1))),ABS($Q170-ABS(VALUE(MID(CJ170,FIND("|",CJ170)+1,FIND("-",CJ170)-FIND("|",CJ170)-1))-VALUE(MID(CJ170,FIND("-",CJ170)+1,10)))))*$D$50)))))*$I170,0)),0)</f>
        <v>0</v>
      </c>
      <c r="CL170" s="404"/>
      <c r="CM170" s="363"/>
      <c r="CN170" s="356" t="n">
        <f aca="false">IFERROR(IF($M170=CM170,($D$8+$D$9+$D$10)*$I170,IF($N170=LEFT(CM170,1),($D$8+MAX(0,IF($D$50=1,$D$9*(1-(ABS($Q170-ABS(VALUE(MID(CM170,FIND("|",CM170)+1,FIND("-",CM170)-FIND("|",CM170)-1))-VALUE(MID(CM170,FIND("-",CM170)+1,10)))))*$D$50),$D$9*(1-(IF($N170="X",ABS($O170-VALUE(MID(CM170,FIND("|",CM170)+1,FIND("-",CM170)-FIND("|",CM170)-1))),ABS($Q170-ABS(VALUE(MID(CM170,FIND("|",CM170)+1,FIND("-",CM170)-FIND("|",CM170)-1))-VALUE(MID(CM170,FIND("-",CM170)+1,10)))))*$D$50)))))*$I170,0)),0)</f>
        <v>0</v>
      </c>
      <c r="CO170" s="404"/>
      <c r="CP170" s="363"/>
      <c r="CQ170" s="356" t="n">
        <f aca="false">IFERROR(IF($M170=CP170,($D$8+$D$9+$D$10)*$I170,IF($N170=LEFT(CP170,1),($D$8+MAX(0,IF($D$50=1,$D$9*(1-(ABS($Q170-ABS(VALUE(MID(CP170,FIND("|",CP170)+1,FIND("-",CP170)-FIND("|",CP170)-1))-VALUE(MID(CP170,FIND("-",CP170)+1,10)))))*$D$50),$D$9*(1-(IF($N170="X",ABS($O170-VALUE(MID(CP170,FIND("|",CP170)+1,FIND("-",CP170)-FIND("|",CP170)-1))),ABS($Q170-ABS(VALUE(MID(CP170,FIND("|",CP170)+1,FIND("-",CP170)-FIND("|",CP170)-1))-VALUE(MID(CP170,FIND("-",CP170)+1,10)))))*$D$50)))))*$I170,0)),0)</f>
        <v>0</v>
      </c>
      <c r="CR170" s="404"/>
      <c r="CS170" s="363"/>
      <c r="CT170" s="356" t="n">
        <f aca="false">IFERROR(IF($M170=CS170,($D$8+$D$9+$D$10)*$I170,IF($N170=LEFT(CS170,1),($D$8+MAX(0,IF($D$50=1,$D$9*(1-(ABS($Q170-ABS(VALUE(MID(CS170,FIND("|",CS170)+1,FIND("-",CS170)-FIND("|",CS170)-1))-VALUE(MID(CS170,FIND("-",CS170)+1,10)))))*$D$50),$D$9*(1-(IF($N170="X",ABS($O170-VALUE(MID(CS170,FIND("|",CS170)+1,FIND("-",CS170)-FIND("|",CS170)-1))),ABS($Q170-ABS(VALUE(MID(CS170,FIND("|",CS170)+1,FIND("-",CS170)-FIND("|",CS170)-1))-VALUE(MID(CS170,FIND("-",CS170)+1,10)))))*$D$50)))))*$I170,0)),0)</f>
        <v>0</v>
      </c>
      <c r="CU170" s="404"/>
      <c r="CV170" s="363"/>
      <c r="CW170" s="356" t="n">
        <f aca="false">IFERROR(IF($M170=CV170,($D$8+$D$9+$D$10)*$I170,IF($N170=LEFT(CV170,1),($D$8+MAX(0,IF($D$50=1,$D$9*(1-(ABS($Q170-ABS(VALUE(MID(CV170,FIND("|",CV170)+1,FIND("-",CV170)-FIND("|",CV170)-1))-VALUE(MID(CV170,FIND("-",CV170)+1,10)))))*$D$50),$D$9*(1-(IF($N170="X",ABS($O170-VALUE(MID(CV170,FIND("|",CV170)+1,FIND("-",CV170)-FIND("|",CV170)-1))),ABS($Q170-ABS(VALUE(MID(CV170,FIND("|",CV170)+1,FIND("-",CV170)-FIND("|",CV170)-1))-VALUE(MID(CV170,FIND("-",CV170)+1,10)))))*$D$50)))))*$I170,0)),0)</f>
        <v>0</v>
      </c>
      <c r="CX170" s="404"/>
      <c r="CY170" s="398"/>
      <c r="CZ170" s="356" t="n">
        <f aca="false">IFERROR(IF($M170=CY170,($D$8+$D$9+$D$10)*$I170,IF($N170=LEFT(CY170,1),($D$8+MAX(0,IF($D$50=1,$D$9*(1-(ABS($Q170-ABS(VALUE(MID(CY170,FIND("|",CY170)+1,FIND("-",CY170)-FIND("|",CY170)-1))-VALUE(MID(CY170,FIND("-",CY170)+1,10)))))*$D$50),$D$9*(1-(IF($N170="X",ABS($O170-VALUE(MID(CY170,FIND("|",CY170)+1,FIND("-",CY170)-FIND("|",CY170)-1))),ABS($Q170-ABS(VALUE(MID(CY170,FIND("|",CY170)+1,FIND("-",CY170)-FIND("|",CY170)-1))-VALUE(MID(CY170,FIND("-",CY170)+1,10)))))*$D$50)))))*$I170,0)),0)</f>
        <v>0</v>
      </c>
      <c r="DA170" s="404"/>
      <c r="DB170" s="363"/>
      <c r="DC170" s="356" t="n">
        <f aca="false">IFERROR(IF($M170=DB170,($D$8+$D$9+$D$10)*$I170,IF($N170=LEFT(DB170,1),($D$8+MAX(0,IF($D$50=1,$D$9*(1-(ABS($Q170-ABS(VALUE(MID(DB170,FIND("|",DB170)+1,FIND("-",DB170)-FIND("|",DB170)-1))-VALUE(MID(DB170,FIND("-",DB170)+1,10)))))*$D$50),$D$9*(1-(IF($N170="X",ABS($O170-VALUE(MID(DB170,FIND("|",DB170)+1,FIND("-",DB170)-FIND("|",DB170)-1))),ABS($Q170-ABS(VALUE(MID(DB170,FIND("|",DB170)+1,FIND("-",DB170)-FIND("|",DB170)-1))-VALUE(MID(DB170,FIND("-",DB170)+1,10)))))*$D$50)))))*$I170,0)),0)</f>
        <v>0</v>
      </c>
      <c r="DD170" s="404"/>
      <c r="DE170" s="363"/>
      <c r="DF170" s="356" t="n">
        <f aca="false">IFERROR(IF($M170=DE170,($D$8+$D$9+$D$10)*$I170,IF($N170=LEFT(DE170,1),($D$8+MAX(0,IF($D$50=1,$D$9*(1-(ABS($Q170-ABS(VALUE(MID(DE170,FIND("|",DE170)+1,FIND("-",DE170)-FIND("|",DE170)-1))-VALUE(MID(DE170,FIND("-",DE170)+1,10)))))*$D$50),$D$9*(1-(IF($N170="X",ABS($O170-VALUE(MID(DE170,FIND("|",DE170)+1,FIND("-",DE170)-FIND("|",DE170)-1))),ABS($Q170-ABS(VALUE(MID(DE170,FIND("|",DE170)+1,FIND("-",DE170)-FIND("|",DE170)-1))-VALUE(MID(DE170,FIND("-",DE170)+1,10)))))*$D$50)))))*$I170,0)),0)</f>
        <v>0</v>
      </c>
      <c r="DG170" s="404"/>
      <c r="DH170" s="363"/>
      <c r="DI170" s="356" t="n">
        <f aca="false">IFERROR(IF($M170=DH170,($D$8+$D$9+$D$10)*$I170,IF($N170=LEFT(DH170,1),($D$8+MAX(0,IF($D$50=1,$D$9*(1-(ABS($Q170-ABS(VALUE(MID(DH170,FIND("|",DH170)+1,FIND("-",DH170)-FIND("|",DH170)-1))-VALUE(MID(DH170,FIND("-",DH170)+1,10)))))*$D$50),$D$9*(1-(IF($N170="X",ABS($O170-VALUE(MID(DH170,FIND("|",DH170)+1,FIND("-",DH170)-FIND("|",DH170)-1))),ABS($Q170-ABS(VALUE(MID(DH170,FIND("|",DH170)+1,FIND("-",DH170)-FIND("|",DH170)-1))-VALUE(MID(DH170,FIND("-",DH170)+1,10)))))*$D$50)))))*$I170,0)),0)</f>
        <v>0</v>
      </c>
      <c r="DJ170" s="404"/>
      <c r="DK170" s="363"/>
      <c r="DL170" s="356" t="n">
        <f aca="false">IFERROR(IF($M170=DK170,($D$8+$D$9+$D$10)*$I170,IF($N170=LEFT(DK170,1),($D$8+MAX(0,IF($D$50=1,$D$9*(1-(ABS($Q170-ABS(VALUE(MID(DK170,FIND("|",DK170)+1,FIND("-",DK170)-FIND("|",DK170)-1))-VALUE(MID(DK170,FIND("-",DK170)+1,10)))))*$D$50),$D$9*(1-(IF($N170="X",ABS($O170-VALUE(MID(DK170,FIND("|",DK170)+1,FIND("-",DK170)-FIND("|",DK170)-1))),ABS($Q170-ABS(VALUE(MID(DK170,FIND("|",DK170)+1,FIND("-",DK170)-FIND("|",DK170)-1))-VALUE(MID(DK170,FIND("-",DK170)+1,10)))))*$D$50)))))*$I170,0)),0)</f>
        <v>0</v>
      </c>
      <c r="DM170" s="404"/>
      <c r="DN170" s="398"/>
      <c r="DO170" s="356" t="n">
        <f aca="false">IFERROR(IF($M170=DN170,($D$8+$D$9+$D$10)*$I170,IF($N170=LEFT(DN170,1),($D$8+MAX(0,IF($D$50=1,$D$9*(1-(ABS($Q170-ABS(VALUE(MID(DN170,FIND("|",DN170)+1,FIND("-",DN170)-FIND("|",DN170)-1))-VALUE(MID(DN170,FIND("-",DN170)+1,10)))))*$D$50),$D$9*(1-(IF($N170="X",ABS($O170-VALUE(MID(DN170,FIND("|",DN170)+1,FIND("-",DN170)-FIND("|",DN170)-1))),ABS($Q170-ABS(VALUE(MID(DN170,FIND("|",DN170)+1,FIND("-",DN170)-FIND("|",DN170)-1))-VALUE(MID(DN170,FIND("-",DN170)+1,10)))))*$D$50)))))*$I170,0)),0)</f>
        <v>0</v>
      </c>
      <c r="DP170" s="404"/>
      <c r="DQ170" s="363"/>
      <c r="DR170" s="356" t="n">
        <f aca="false">IFERROR(IF($M170=DQ170,($D$8+$D$9+$D$10)*$I170,IF($N170=LEFT(DQ170,1),($D$8+MAX(0,IF($D$50=1,$D$9*(1-(ABS($Q170-ABS(VALUE(MID(DQ170,FIND("|",DQ170)+1,FIND("-",DQ170)-FIND("|",DQ170)-1))-VALUE(MID(DQ170,FIND("-",DQ170)+1,10)))))*$D$50),$D$9*(1-(IF($N170="X",ABS($O170-VALUE(MID(DQ170,FIND("|",DQ170)+1,FIND("-",DQ170)-FIND("|",DQ170)-1))),ABS($Q170-ABS(VALUE(MID(DQ170,FIND("|",DQ170)+1,FIND("-",DQ170)-FIND("|",DQ170)-1))-VALUE(MID(DQ170,FIND("-",DQ170)+1,10)))))*$D$50)))))*$I170,0)),0)</f>
        <v>0</v>
      </c>
      <c r="DS170" s="404"/>
      <c r="DT170" s="363"/>
      <c r="DU170" s="356" t="n">
        <f aca="false">IFERROR(IF($M170=DT170,($D$8+$D$9+$D$10)*$I170,IF($N170=LEFT(DT170,1),($D$8+MAX(0,IF($D$50=1,$D$9*(1-(ABS($Q170-ABS(VALUE(MID(DT170,FIND("|",DT170)+1,FIND("-",DT170)-FIND("|",DT170)-1))-VALUE(MID(DT170,FIND("-",DT170)+1,10)))))*$D$50),$D$9*(1-(IF($N170="X",ABS($O170-VALUE(MID(DT170,FIND("|",DT170)+1,FIND("-",DT170)-FIND("|",DT170)-1))),ABS($Q170-ABS(VALUE(MID(DT170,FIND("|",DT170)+1,FIND("-",DT170)-FIND("|",DT170)-1))-VALUE(MID(DT170,FIND("-",DT170)+1,10)))))*$D$50)))))*$I170,0)),0)</f>
        <v>0</v>
      </c>
      <c r="DV170" s="404"/>
      <c r="DW170" s="363"/>
      <c r="DX170" s="356" t="n">
        <f aca="false">IFERROR(IF($M170=DW170,($D$8+$D$9+$D$10)*$I170,IF($N170=LEFT(DW170,1),($D$8+MAX(0,IF($D$50=1,$D$9*(1-(ABS($Q170-ABS(VALUE(MID(DW170,FIND("|",DW170)+1,FIND("-",DW170)-FIND("|",DW170)-1))-VALUE(MID(DW170,FIND("-",DW170)+1,10)))))*$D$50),$D$9*(1-(IF($N170="X",ABS($O170-VALUE(MID(DW170,FIND("|",DW170)+1,FIND("-",DW170)-FIND("|",DW170)-1))),ABS($Q170-ABS(VALUE(MID(DW170,FIND("|",DW170)+1,FIND("-",DW170)-FIND("|",DW170)-1))-VALUE(MID(DW170,FIND("-",DW170)+1,10)))))*$D$50)))))*$I170,0)),0)</f>
        <v>0</v>
      </c>
      <c r="DY170" s="404"/>
      <c r="DZ170" s="363"/>
      <c r="EA170" s="356" t="n">
        <f aca="false">IFERROR(IF($M170=DZ170,($D$8+$D$9+$D$10)*$I170,IF($N170=LEFT(DZ170,1),($D$8+MAX(0,IF($D$50=1,$D$9*(1-(ABS($Q170-ABS(VALUE(MID(DZ170,FIND("|",DZ170)+1,FIND("-",DZ170)-FIND("|",DZ170)-1))-VALUE(MID(DZ170,FIND("-",DZ170)+1,10)))))*$D$50),$D$9*(1-(IF($N170="X",ABS($O170-VALUE(MID(DZ170,FIND("|",DZ170)+1,FIND("-",DZ170)-FIND("|",DZ170)-1))),ABS($Q170-ABS(VALUE(MID(DZ170,FIND("|",DZ170)+1,FIND("-",DZ170)-FIND("|",DZ170)-1))-VALUE(MID(DZ170,FIND("-",DZ170)+1,10)))))*$D$50)))))*$I170,0)),0)</f>
        <v>0</v>
      </c>
      <c r="EB170" s="404"/>
      <c r="EC170" s="355"/>
      <c r="ED170" s="356" t="n">
        <f aca="false">IFERROR(IF($M170=EC170,($D$8+$D$9+$D$10)*$I170,IF($N170=LEFT(EC170,1),($D$8+MAX(0,IF($D$50=1,$D$9*(1-(ABS($Q170-ABS(VALUE(MID(EC170,FIND("|",EC170)+1,FIND("-",EC170)-FIND("|",EC170)-1))-VALUE(MID(EC170,FIND("-",EC170)+1,10)))))*$D$50),$D$9*(1-(IF($N170="X",ABS($O170-VALUE(MID(EC170,FIND("|",EC170)+1,FIND("-",EC170)-FIND("|",EC170)-1))),ABS($Q170-ABS(VALUE(MID(EC170,FIND("|",EC170)+1,FIND("-",EC170)-FIND("|",EC170)-1))-VALUE(MID(EC170,FIND("-",EC170)+1,10)))))*$D$50)))))*$I170,0)),0)</f>
        <v>0</v>
      </c>
      <c r="EE170" s="404"/>
      <c r="EF170" s="363"/>
      <c r="EG170" s="356" t="n">
        <f aca="false">IFERROR(IF($M170=EF170,($D$8+$D$9+$D$10)*$I170,IF($N170=LEFT(EF170,1),($D$8+MAX(0,IF($D$50=1,$D$9*(1-(ABS($Q170-ABS(VALUE(MID(EF170,FIND("|",EF170)+1,FIND("-",EF170)-FIND("|",EF170)-1))-VALUE(MID(EF170,FIND("-",EF170)+1,10)))))*$D$50),$D$9*(1-(IF($N170="X",ABS($O170-VALUE(MID(EF170,FIND("|",EF170)+1,FIND("-",EF170)-FIND("|",EF170)-1))),ABS($Q170-ABS(VALUE(MID(EF170,FIND("|",EF170)+1,FIND("-",EF170)-FIND("|",EF170)-1))-VALUE(MID(EF170,FIND("-",EF170)+1,10)))))*$D$50)))))*$I170,0)),0)</f>
        <v>0</v>
      </c>
      <c r="EH170" s="404"/>
      <c r="EI170" s="404"/>
    </row>
    <row r="171" customFormat="false" ht="15" hidden="false" customHeight="false" outlineLevel="0" collapsed="false">
      <c r="A171" s="332" t="n">
        <f aca="false">WORLDCUP!AD108</f>
        <v>0</v>
      </c>
      <c r="B171" s="332" t="n">
        <f aca="false">WORLDCUP!AC108</f>
        <v>0</v>
      </c>
      <c r="C171" s="422" t="str">
        <f aca="false">CONCATENATE(WORLDCUP!AF108,"-",WORLDCUP!AA108)</f>
        <v>3EHIJK-1L</v>
      </c>
      <c r="D171" s="422" t="str">
        <f aca="false">IF(WORLDCUP!AC108&gt;WORLDCUP!AD108,2,IF(WORLDCUP!AC108&lt;WORLDCUP!AD108,1,IF(AND(WORLDCUP!AC108=WORLDCUP!AD108,WORLDCUP!AC108&lt;&gt;"",WORLDCUP!AD108&lt;&gt;""),0,"PD")))</f>
        <v>PD</v>
      </c>
      <c r="E171" s="422" t="str">
        <f aca="false">IF(OR(WORLDCUP!AC108="",WORLDCUP!AD108=""),"-",A171&amp;"-"&amp;B171)</f>
        <v>-</v>
      </c>
      <c r="F171" s="423" t="n">
        <f aca="false">SUM($D$16:$D$18)*I171</f>
        <v>17</v>
      </c>
      <c r="G171" s="423" t="n">
        <f aca="false">VLOOKUP(H171,Equipos!$Q$1:$R$25,2,0)</f>
        <v>20</v>
      </c>
      <c r="H171" s="424" t="str">
        <f aca="false">Idiomas!$D$260</f>
        <v>Dieciseisavos de final</v>
      </c>
      <c r="I171" s="425" t="n">
        <v>1</v>
      </c>
      <c r="J171" s="418"/>
      <c r="K171" s="367" t="str">
        <f aca="false">CONCATENATE(WORLDCUP!AA108,"-",WORLDCUP!AF108)</f>
        <v>1L-3EHIJK</v>
      </c>
      <c r="L171" s="354"/>
      <c r="M171" s="359" t="str">
        <f aca="false">IF(OR(WORLDCUP!AC108="",WORLDCUP!AD108=""),"-",N171&amp;"|"&amp;O171&amp;"-"&amp;P171)</f>
        <v>-</v>
      </c>
      <c r="N171" s="332" t="str">
        <f aca="false">IF(OR(WORLDCUP!AC108="",WORLDCUP!AD108=""),"",IF(WORLDCUP!AC108&gt;WORLDCUP!AD108,"1",IF(WORLDCUP!AC108&lt;WORLDCUP!AD108,"2","X")))</f>
        <v/>
      </c>
      <c r="O171" s="332" t="n">
        <f aca="false">WORLDCUP!AC108</f>
        <v>0</v>
      </c>
      <c r="P171" s="332" t="n">
        <f aca="false">WORLDCUP!AD108</f>
        <v>0</v>
      </c>
      <c r="Q171" s="332" t="n">
        <f aca="false">ABS(O171-P171)</f>
        <v>0</v>
      </c>
      <c r="R171" s="404"/>
      <c r="S171" s="363" t="s">
        <v>272</v>
      </c>
      <c r="T171" s="356" t="n">
        <f aca="false">IFERROR(IF($M171=S171,($D$8+$D$9+$D$10)*$I171,IF($N171=LEFT(S171,1),($D$8+MAX(0,IF($D$50=1,$D$9*(1-(ABS($Q171-ABS(VALUE(MID(S171,FIND("|",S171)+1,FIND("-",S171)-FIND("|",S171)-1))-VALUE(MID(S171,FIND("-",S171)+1,10)))))*$D$50),$D$9*(1-(IF($N171="X",ABS($O171-VALUE(MID(S171,FIND("|",S171)+1,FIND("-",S171)-FIND("|",S171)-1))),ABS($Q171-ABS(VALUE(MID(S171,FIND("|",S171)+1,FIND("-",S171)-FIND("|",S171)-1))-VALUE(MID(S171,FIND("-",S171)+1,10)))))*$D$50)))))*$I171,0)),0)</f>
        <v>0</v>
      </c>
      <c r="U171" s="404"/>
      <c r="V171" s="363" t="s">
        <v>264</v>
      </c>
      <c r="W171" s="356" t="n">
        <f aca="false">IFERROR(IF($M171=V171,($D$8+$D$9+$D$10)*$I171,IF($N171=LEFT(V171,1),($D$8+MAX(0,IF($D$50=1,$D$9*(1-(ABS($Q171-ABS(VALUE(MID(V171,FIND("|",V171)+1,FIND("-",V171)-FIND("|",V171)-1))-VALUE(MID(V171,FIND("-",V171)+1,10)))))*$D$50),$D$9*(1-(IF($N171="X",ABS($O171-VALUE(MID(V171,FIND("|",V171)+1,FIND("-",V171)-FIND("|",V171)-1))),ABS($Q171-ABS(VALUE(MID(V171,FIND("|",V171)+1,FIND("-",V171)-FIND("|",V171)-1))-VALUE(MID(V171,FIND("-",V171)+1,10)))))*$D$50)))))*$I171,0)),0)</f>
        <v>0</v>
      </c>
      <c r="X171" s="404"/>
      <c r="Y171" s="363" t="s">
        <v>266</v>
      </c>
      <c r="Z171" s="356" t="n">
        <f aca="false">IFERROR(IF($M171=Y171,($D$8+$D$9+$D$10)*$I171,IF($N171=LEFT(Y171,1),($D$8+MAX(0,IF($D$50=1,$D$9*(1-(ABS($Q171-ABS(VALUE(MID(Y171,FIND("|",Y171)+1,FIND("-",Y171)-FIND("|",Y171)-1))-VALUE(MID(Y171,FIND("-",Y171)+1,10)))))*$D$50),$D$9*(1-(IF($N171="X",ABS($O171-VALUE(MID(Y171,FIND("|",Y171)+1,FIND("-",Y171)-FIND("|",Y171)-1))),ABS($Q171-ABS(VALUE(MID(Y171,FIND("|",Y171)+1,FIND("-",Y171)-FIND("|",Y171)-1))-VALUE(MID(Y171,FIND("-",Y171)+1,10)))))*$D$50)))))*$I171,0)),0)</f>
        <v>0</v>
      </c>
      <c r="AA171" s="404"/>
      <c r="AB171" s="363" t="s">
        <v>272</v>
      </c>
      <c r="AC171" s="356" t="n">
        <f aca="false">IFERROR(IF($M171=AB171,($D$8+$D$9+$D$10)*$I171,IF($N171=LEFT(AB171,1),($D$8+MAX(0,IF($D$50=1,$D$9*(1-(ABS($Q171-ABS(VALUE(MID(AB171,FIND("|",AB171)+1,FIND("-",AB171)-FIND("|",AB171)-1))-VALUE(MID(AB171,FIND("-",AB171)+1,10)))))*$D$50),$D$9*(1-(IF($N171="X",ABS($O171-VALUE(MID(AB171,FIND("|",AB171)+1,FIND("-",AB171)-FIND("|",AB171)-1))),ABS($Q171-ABS(VALUE(MID(AB171,FIND("|",AB171)+1,FIND("-",AB171)-FIND("|",AB171)-1))-VALUE(MID(AB171,FIND("-",AB171)+1,10)))))*$D$50)))))*$I171,0)),0)</f>
        <v>0</v>
      </c>
      <c r="AD171" s="404"/>
      <c r="AE171" s="363" t="s">
        <v>266</v>
      </c>
      <c r="AF171" s="356" t="n">
        <f aca="false">IFERROR(IF($M171=AE171,($D$8+$D$9+$D$10)*$I171,IF($N171=LEFT(AE171,1),($D$8+MAX(0,IF($D$50=1,$D$9*(1-(ABS($Q171-ABS(VALUE(MID(AE171,FIND("|",AE171)+1,FIND("-",AE171)-FIND("|",AE171)-1))-VALUE(MID(AE171,FIND("-",AE171)+1,10)))))*$D$50),$D$9*(1-(IF($N171="X",ABS($O171-VALUE(MID(AE171,FIND("|",AE171)+1,FIND("-",AE171)-FIND("|",AE171)-1))),ABS($Q171-ABS(VALUE(MID(AE171,FIND("|",AE171)+1,FIND("-",AE171)-FIND("|",AE171)-1))-VALUE(MID(AE171,FIND("-",AE171)+1,10)))))*$D$50)))))*$I171,0)),0)</f>
        <v>0</v>
      </c>
      <c r="AG171" s="404"/>
      <c r="AH171" s="363" t="s">
        <v>283</v>
      </c>
      <c r="AI171" s="356" t="n">
        <f aca="false">IFERROR(IF($M171=AH171,($D$8+$D$9+$D$10)*$I171,IF($N171=LEFT(AH171,1),($D$8+MAX(0,IF($D$50=1,$D$9*(1-(ABS($Q171-ABS(VALUE(MID(AH171,FIND("|",AH171)+1,FIND("-",AH171)-FIND("|",AH171)-1))-VALUE(MID(AH171,FIND("-",AH171)+1,10)))))*$D$50),$D$9*(1-(IF($N171="X",ABS($O171-VALUE(MID(AH171,FIND("|",AH171)+1,FIND("-",AH171)-FIND("|",AH171)-1))),ABS($Q171-ABS(VALUE(MID(AH171,FIND("|",AH171)+1,FIND("-",AH171)-FIND("|",AH171)-1))-VALUE(MID(AH171,FIND("-",AH171)+1,10)))))*$D$50)))))*$I171,0)),0)</f>
        <v>0</v>
      </c>
      <c r="AJ171" s="404"/>
      <c r="AK171" s="363" t="s">
        <v>288</v>
      </c>
      <c r="AL171" s="356" t="n">
        <f aca="false">IFERROR(IF($M171=AK171,($D$8+$D$9+$D$10)*$I171,IF($N171=LEFT(AK171,1),($D$8+MAX(0,IF($D$50=1,$D$9*(1-(ABS($Q171-ABS(VALUE(MID(AK171,FIND("|",AK171)+1,FIND("-",AK171)-FIND("|",AK171)-1))-VALUE(MID(AK171,FIND("-",AK171)+1,10)))))*$D$50),$D$9*(1-(IF($N171="X",ABS($O171-VALUE(MID(AK171,FIND("|",AK171)+1,FIND("-",AK171)-FIND("|",AK171)-1))),ABS($Q171-ABS(VALUE(MID(AK171,FIND("|",AK171)+1,FIND("-",AK171)-FIND("|",AK171)-1))-VALUE(MID(AK171,FIND("-",AK171)+1,10)))))*$D$50)))))*$I171,0)),0)</f>
        <v>0</v>
      </c>
      <c r="AM171" s="404"/>
      <c r="AN171" s="363" t="s">
        <v>264</v>
      </c>
      <c r="AO171" s="356" t="n">
        <f aca="false">IFERROR(IF($M171=AN171,($D$8+$D$9+$D$10)*$I171,IF($N171=LEFT(AN171,1),($D$8+MAX(0,IF($D$50=1,$D$9*(1-(ABS($Q171-ABS(VALUE(MID(AN171,FIND("|",AN171)+1,FIND("-",AN171)-FIND("|",AN171)-1))-VALUE(MID(AN171,FIND("-",AN171)+1,10)))))*$D$50),$D$9*(1-(IF($N171="X",ABS($O171-VALUE(MID(AN171,FIND("|",AN171)+1,FIND("-",AN171)-FIND("|",AN171)-1))),ABS($Q171-ABS(VALUE(MID(AN171,FIND("|",AN171)+1,FIND("-",AN171)-FIND("|",AN171)-1))-VALUE(MID(AN171,FIND("-",AN171)+1,10)))))*$D$50)))))*$I171,0)),0)</f>
        <v>0</v>
      </c>
      <c r="AP171" s="404"/>
      <c r="AQ171" s="398" t="s">
        <v>272</v>
      </c>
      <c r="AR171" s="356" t="n">
        <f aca="false">IFERROR(IF($M171=AQ171,($D$8+$D$9+$D$10)*$I171,IF($N171=LEFT(AQ171,1),($D$8+MAX(0,IF($D$50=1,$D$9*(1-(ABS($Q171-ABS(VALUE(MID(AQ171,FIND("|",AQ171)+1,FIND("-",AQ171)-FIND("|",AQ171)-1))-VALUE(MID(AQ171,FIND("-",AQ171)+1,10)))))*$D$50),$D$9*(1-(IF($N171="X",ABS($O171-VALUE(MID(AQ171,FIND("|",AQ171)+1,FIND("-",AQ171)-FIND("|",AQ171)-1))),ABS($Q171-ABS(VALUE(MID(AQ171,FIND("|",AQ171)+1,FIND("-",AQ171)-FIND("|",AQ171)-1))-VALUE(MID(AQ171,FIND("-",AQ171)+1,10)))))*$D$50)))))*$I171,0)),0)</f>
        <v>0</v>
      </c>
      <c r="AS171" s="404"/>
      <c r="AT171" s="363" t="s">
        <v>269</v>
      </c>
      <c r="AU171" s="356" t="n">
        <f aca="false">IFERROR(IF($M171=AT171,($D$8+$D$9+$D$10)*$I171,IF($N171=LEFT(AT171,1),($D$8+MAX(0,IF($D$50=1,$D$9*(1-(ABS($Q171-ABS(VALUE(MID(AT171,FIND("|",AT171)+1,FIND("-",AT171)-FIND("|",AT171)-1))-VALUE(MID(AT171,FIND("-",AT171)+1,10)))))*$D$50),$D$9*(1-(IF($N171="X",ABS($O171-VALUE(MID(AT171,FIND("|",AT171)+1,FIND("-",AT171)-FIND("|",AT171)-1))),ABS($Q171-ABS(VALUE(MID(AT171,FIND("|",AT171)+1,FIND("-",AT171)-FIND("|",AT171)-1))-VALUE(MID(AT171,FIND("-",AT171)+1,10)))))*$D$50)))))*$I171,0)),0)</f>
        <v>0</v>
      </c>
      <c r="AV171" s="404"/>
      <c r="AW171" s="363" t="s">
        <v>266</v>
      </c>
      <c r="AX171" s="356" t="n">
        <f aca="false">IFERROR(IF($M171=AW171,($D$8+$D$9+$D$10)*$I171,IF($N171=LEFT(AW171,1),($D$8+MAX(0,IF($D$50=1,$D$9*(1-(ABS($Q171-ABS(VALUE(MID(AW171,FIND("|",AW171)+1,FIND("-",AW171)-FIND("|",AW171)-1))-VALUE(MID(AW171,FIND("-",AW171)+1,10)))))*$D$50),$D$9*(1-(IF($N171="X",ABS($O171-VALUE(MID(AW171,FIND("|",AW171)+1,FIND("-",AW171)-FIND("|",AW171)-1))),ABS($Q171-ABS(VALUE(MID(AW171,FIND("|",AW171)+1,FIND("-",AW171)-FIND("|",AW171)-1))-VALUE(MID(AW171,FIND("-",AW171)+1,10)))))*$D$50)))))*$I171,0)),0)</f>
        <v>0</v>
      </c>
      <c r="AY171" s="404"/>
      <c r="AZ171" s="363" t="s">
        <v>272</v>
      </c>
      <c r="BA171" s="356" t="n">
        <f aca="false">IFERROR(IF($M171=AZ171,($D$8+$D$9+$D$10)*$I171,IF($N171=LEFT(AZ171,1),($D$8+MAX(0,IF($D$50=1,$D$9*(1-(ABS($Q171-ABS(VALUE(MID(AZ171,FIND("|",AZ171)+1,FIND("-",AZ171)-FIND("|",AZ171)-1))-VALUE(MID(AZ171,FIND("-",AZ171)+1,10)))))*$D$50),$D$9*(1-(IF($N171="X",ABS($O171-VALUE(MID(AZ171,FIND("|",AZ171)+1,FIND("-",AZ171)-FIND("|",AZ171)-1))),ABS($Q171-ABS(VALUE(MID(AZ171,FIND("|",AZ171)+1,FIND("-",AZ171)-FIND("|",AZ171)-1))-VALUE(MID(AZ171,FIND("-",AZ171)+1,10)))))*$D$50)))))*$I171,0)),0)</f>
        <v>0</v>
      </c>
      <c r="BB171" s="404"/>
      <c r="BC171" s="363" t="s">
        <v>266</v>
      </c>
      <c r="BD171" s="356" t="n">
        <f aca="false">IFERROR(IF($M171=BC171,($D$8+$D$9+$D$10)*$I171,IF($N171=LEFT(BC171,1),($D$8+MAX(0,IF($D$50=1,$D$9*(1-(ABS($Q171-ABS(VALUE(MID(BC171,FIND("|",BC171)+1,FIND("-",BC171)-FIND("|",BC171)-1))-VALUE(MID(BC171,FIND("-",BC171)+1,10)))))*$D$50),$D$9*(1-(IF($N171="X",ABS($O171-VALUE(MID(BC171,FIND("|",BC171)+1,FIND("-",BC171)-FIND("|",BC171)-1))),ABS($Q171-ABS(VALUE(MID(BC171,FIND("|",BC171)+1,FIND("-",BC171)-FIND("|",BC171)-1))-VALUE(MID(BC171,FIND("-",BC171)+1,10)))))*$D$50)))))*$I171,0)),0)</f>
        <v>0</v>
      </c>
      <c r="BE171" s="404"/>
      <c r="BF171" s="398" t="s">
        <v>264</v>
      </c>
      <c r="BG171" s="356" t="n">
        <f aca="false">IFERROR(IF($M171=BF171,($D$8+$D$9+$D$10)*$I171,IF($N171=LEFT(BF171,1),($D$8+MAX(0,IF($D$50=1,$D$9*(1-(ABS($Q171-ABS(VALUE(MID(BF171,FIND("|",BF171)+1,FIND("-",BF171)-FIND("|",BF171)-1))-VALUE(MID(BF171,FIND("-",BF171)+1,10)))))*$D$50),$D$9*(1-(IF($N171="X",ABS($O171-VALUE(MID(BF171,FIND("|",BF171)+1,FIND("-",BF171)-FIND("|",BF171)-1))),ABS($Q171-ABS(VALUE(MID(BF171,FIND("|",BF171)+1,FIND("-",BF171)-FIND("|",BF171)-1))-VALUE(MID(BF171,FIND("-",BF171)+1,10)))))*$D$50)))))*$I171,0)),0)</f>
        <v>0</v>
      </c>
      <c r="BH171" s="404"/>
      <c r="BI171" s="363" t="s">
        <v>264</v>
      </c>
      <c r="BJ171" s="356" t="n">
        <f aca="false">IFERROR(IF($M171=BI171,($D$8+$D$9+$D$10)*$I171,IF($N171=LEFT(BI171,1),($D$8+MAX(0,IF($D$50=1,$D$9*(1-(ABS($Q171-ABS(VALUE(MID(BI171,FIND("|",BI171)+1,FIND("-",BI171)-FIND("|",BI171)-1))-VALUE(MID(BI171,FIND("-",BI171)+1,10)))))*$D$50),$D$9*(1-(IF($N171="X",ABS($O171-VALUE(MID(BI171,FIND("|",BI171)+1,FIND("-",BI171)-FIND("|",BI171)-1))),ABS($Q171-ABS(VALUE(MID(BI171,FIND("|",BI171)+1,FIND("-",BI171)-FIND("|",BI171)-1))-VALUE(MID(BI171,FIND("-",BI171)+1,10)))))*$D$50)))))*$I171,0)),0)</f>
        <v>0</v>
      </c>
      <c r="BK171" s="404"/>
      <c r="BL171" s="363" t="s">
        <v>272</v>
      </c>
      <c r="BM171" s="356" t="n">
        <f aca="false">IFERROR(IF($M171=BL171,($D$8+$D$9+$D$10)*$I171,IF($N171=LEFT(BL171,1),($D$8+MAX(0,IF($D$50=1,$D$9*(1-(ABS($Q171-ABS(VALUE(MID(BL171,FIND("|",BL171)+1,FIND("-",BL171)-FIND("|",BL171)-1))-VALUE(MID(BL171,FIND("-",BL171)+1,10)))))*$D$50),$D$9*(1-(IF($N171="X",ABS($O171-VALUE(MID(BL171,FIND("|",BL171)+1,FIND("-",BL171)-FIND("|",BL171)-1))),ABS($Q171-ABS(VALUE(MID(BL171,FIND("|",BL171)+1,FIND("-",BL171)-FIND("|",BL171)-1))-VALUE(MID(BL171,FIND("-",BL171)+1,10)))))*$D$50)))))*$I171,0)),0)</f>
        <v>0</v>
      </c>
      <c r="BN171" s="404"/>
      <c r="BO171" s="363" t="s">
        <v>264</v>
      </c>
      <c r="BP171" s="356" t="n">
        <f aca="false">IFERROR(IF($M171=BO171,($D$8+$D$9+$D$10)*$I171,IF($N171=LEFT(BO171,1),($D$8+MAX(0,IF($D$50=1,$D$9*(1-(ABS($Q171-ABS(VALUE(MID(BO171,FIND("|",BO171)+1,FIND("-",BO171)-FIND("|",BO171)-1))-VALUE(MID(BO171,FIND("-",BO171)+1,10)))))*$D$50),$D$9*(1-(IF($N171="X",ABS($O171-VALUE(MID(BO171,FIND("|",BO171)+1,FIND("-",BO171)-FIND("|",BO171)-1))),ABS($Q171-ABS(VALUE(MID(BO171,FIND("|",BO171)+1,FIND("-",BO171)-FIND("|",BO171)-1))-VALUE(MID(BO171,FIND("-",BO171)+1,10)))))*$D$50)))))*$I171,0)),0)</f>
        <v>0</v>
      </c>
      <c r="BQ171" s="404"/>
      <c r="BR171" s="363" t="s">
        <v>264</v>
      </c>
      <c r="BS171" s="356" t="n">
        <f aca="false">IFERROR(IF($M171=BR171,($D$8+$D$9+$D$10)*$I171,IF($N171=LEFT(BR171,1),($D$8+MAX(0,IF($D$50=1,$D$9*(1-(ABS($Q171-ABS(VALUE(MID(BR171,FIND("|",BR171)+1,FIND("-",BR171)-FIND("|",BR171)-1))-VALUE(MID(BR171,FIND("-",BR171)+1,10)))))*$D$50),$D$9*(1-(IF($N171="X",ABS($O171-VALUE(MID(BR171,FIND("|",BR171)+1,FIND("-",BR171)-FIND("|",BR171)-1))),ABS($Q171-ABS(VALUE(MID(BR171,FIND("|",BR171)+1,FIND("-",BR171)-FIND("|",BR171)-1))-VALUE(MID(BR171,FIND("-",BR171)+1,10)))))*$D$50)))))*$I171,0)),0)</f>
        <v>0</v>
      </c>
      <c r="BT171" s="404"/>
      <c r="BU171" s="398"/>
      <c r="BV171" s="356" t="n">
        <f aca="false">IFERROR(IF($M171=BU171,($D$8+$D$9+$D$10)*$I171,IF($N171=LEFT(BU171,1),($D$8+MAX(0,IF($D$50=1,$D$9*(1-(ABS($Q171-ABS(VALUE(MID(BU171,FIND("|",BU171)+1,FIND("-",BU171)-FIND("|",BU171)-1))-VALUE(MID(BU171,FIND("-",BU171)+1,10)))))*$D$50),$D$9*(1-(IF($N171="X",ABS($O171-VALUE(MID(BU171,FIND("|",BU171)+1,FIND("-",BU171)-FIND("|",BU171)-1))),ABS($Q171-ABS(VALUE(MID(BU171,FIND("|",BU171)+1,FIND("-",BU171)-FIND("|",BU171)-1))-VALUE(MID(BU171,FIND("-",BU171)+1,10)))))*$D$50)))))*$I171,0)),0)</f>
        <v>0</v>
      </c>
      <c r="BW171" s="404"/>
      <c r="BX171" s="363"/>
      <c r="BY171" s="356" t="n">
        <f aca="false">IFERROR(IF($M171=BX171,($D$8+$D$9+$D$10)*$I171,IF($N171=LEFT(BX171,1),($D$8+MAX(0,IF($D$50=1,$D$9*(1-(ABS($Q171-ABS(VALUE(MID(BX171,FIND("|",BX171)+1,FIND("-",BX171)-FIND("|",BX171)-1))-VALUE(MID(BX171,FIND("-",BX171)+1,10)))))*$D$50),$D$9*(1-(IF($N171="X",ABS($O171-VALUE(MID(BX171,FIND("|",BX171)+1,FIND("-",BX171)-FIND("|",BX171)-1))),ABS($Q171-ABS(VALUE(MID(BX171,FIND("|",BX171)+1,FIND("-",BX171)-FIND("|",BX171)-1))-VALUE(MID(BX171,FIND("-",BX171)+1,10)))))*$D$50)))))*$I171,0)),0)</f>
        <v>0</v>
      </c>
      <c r="BZ171" s="404"/>
      <c r="CA171" s="363"/>
      <c r="CB171" s="356" t="n">
        <f aca="false">IFERROR(IF($M171=CA171,($D$8+$D$9+$D$10)*$I171,IF($N171=LEFT(CA171,1),($D$8+MAX(0,IF($D$50=1,$D$9*(1-(ABS($Q171-ABS(VALUE(MID(CA171,FIND("|",CA171)+1,FIND("-",CA171)-FIND("|",CA171)-1))-VALUE(MID(CA171,FIND("-",CA171)+1,10)))))*$D$50),$D$9*(1-(IF($N171="X",ABS($O171-VALUE(MID(CA171,FIND("|",CA171)+1,FIND("-",CA171)-FIND("|",CA171)-1))),ABS($Q171-ABS(VALUE(MID(CA171,FIND("|",CA171)+1,FIND("-",CA171)-FIND("|",CA171)-1))-VALUE(MID(CA171,FIND("-",CA171)+1,10)))))*$D$50)))))*$I171,0)),0)</f>
        <v>0</v>
      </c>
      <c r="CC171" s="404"/>
      <c r="CD171" s="363"/>
      <c r="CE171" s="356" t="n">
        <f aca="false">IFERROR(IF($M171=CD171,($D$8+$D$9+$D$10)*$I171,IF($N171=LEFT(CD171,1),($D$8+MAX(0,IF($D$50=1,$D$9*(1-(ABS($Q171-ABS(VALUE(MID(CD171,FIND("|",CD171)+1,FIND("-",CD171)-FIND("|",CD171)-1))-VALUE(MID(CD171,FIND("-",CD171)+1,10)))))*$D$50),$D$9*(1-(IF($N171="X",ABS($O171-VALUE(MID(CD171,FIND("|",CD171)+1,FIND("-",CD171)-FIND("|",CD171)-1))),ABS($Q171-ABS(VALUE(MID(CD171,FIND("|",CD171)+1,FIND("-",CD171)-FIND("|",CD171)-1))-VALUE(MID(CD171,FIND("-",CD171)+1,10)))))*$D$50)))))*$I171,0)),0)</f>
        <v>0</v>
      </c>
      <c r="CF171" s="404"/>
      <c r="CG171" s="363"/>
      <c r="CH171" s="356" t="n">
        <f aca="false">IFERROR(IF($M171=CG171,($D$8+$D$9+$D$10)*$I171,IF($N171=LEFT(CG171,1),($D$8+MAX(0,IF($D$50=1,$D$9*(1-(ABS($Q171-ABS(VALUE(MID(CG171,FIND("|",CG171)+1,FIND("-",CG171)-FIND("|",CG171)-1))-VALUE(MID(CG171,FIND("-",CG171)+1,10)))))*$D$50),$D$9*(1-(IF($N171="X",ABS($O171-VALUE(MID(CG171,FIND("|",CG171)+1,FIND("-",CG171)-FIND("|",CG171)-1))),ABS($Q171-ABS(VALUE(MID(CG171,FIND("|",CG171)+1,FIND("-",CG171)-FIND("|",CG171)-1))-VALUE(MID(CG171,FIND("-",CG171)+1,10)))))*$D$50)))))*$I171,0)),0)</f>
        <v>0</v>
      </c>
      <c r="CI171" s="404"/>
      <c r="CJ171" s="398"/>
      <c r="CK171" s="356" t="n">
        <f aca="false">IFERROR(IF($M171=CJ171,($D$8+$D$9+$D$10)*$I171,IF($N171=LEFT(CJ171,1),($D$8+MAX(0,IF($D$50=1,$D$9*(1-(ABS($Q171-ABS(VALUE(MID(CJ171,FIND("|",CJ171)+1,FIND("-",CJ171)-FIND("|",CJ171)-1))-VALUE(MID(CJ171,FIND("-",CJ171)+1,10)))))*$D$50),$D$9*(1-(IF($N171="X",ABS($O171-VALUE(MID(CJ171,FIND("|",CJ171)+1,FIND("-",CJ171)-FIND("|",CJ171)-1))),ABS($Q171-ABS(VALUE(MID(CJ171,FIND("|",CJ171)+1,FIND("-",CJ171)-FIND("|",CJ171)-1))-VALUE(MID(CJ171,FIND("-",CJ171)+1,10)))))*$D$50)))))*$I171,0)),0)</f>
        <v>0</v>
      </c>
      <c r="CL171" s="404"/>
      <c r="CM171" s="363"/>
      <c r="CN171" s="356" t="n">
        <f aca="false">IFERROR(IF($M171=CM171,($D$8+$D$9+$D$10)*$I171,IF($N171=LEFT(CM171,1),($D$8+MAX(0,IF($D$50=1,$D$9*(1-(ABS($Q171-ABS(VALUE(MID(CM171,FIND("|",CM171)+1,FIND("-",CM171)-FIND("|",CM171)-1))-VALUE(MID(CM171,FIND("-",CM171)+1,10)))))*$D$50),$D$9*(1-(IF($N171="X",ABS($O171-VALUE(MID(CM171,FIND("|",CM171)+1,FIND("-",CM171)-FIND("|",CM171)-1))),ABS($Q171-ABS(VALUE(MID(CM171,FIND("|",CM171)+1,FIND("-",CM171)-FIND("|",CM171)-1))-VALUE(MID(CM171,FIND("-",CM171)+1,10)))))*$D$50)))))*$I171,0)),0)</f>
        <v>0</v>
      </c>
      <c r="CO171" s="404"/>
      <c r="CP171" s="363"/>
      <c r="CQ171" s="356" t="n">
        <f aca="false">IFERROR(IF($M171=CP171,($D$8+$D$9+$D$10)*$I171,IF($N171=LEFT(CP171,1),($D$8+MAX(0,IF($D$50=1,$D$9*(1-(ABS($Q171-ABS(VALUE(MID(CP171,FIND("|",CP171)+1,FIND("-",CP171)-FIND("|",CP171)-1))-VALUE(MID(CP171,FIND("-",CP171)+1,10)))))*$D$50),$D$9*(1-(IF($N171="X",ABS($O171-VALUE(MID(CP171,FIND("|",CP171)+1,FIND("-",CP171)-FIND("|",CP171)-1))),ABS($Q171-ABS(VALUE(MID(CP171,FIND("|",CP171)+1,FIND("-",CP171)-FIND("|",CP171)-1))-VALUE(MID(CP171,FIND("-",CP171)+1,10)))))*$D$50)))))*$I171,0)),0)</f>
        <v>0</v>
      </c>
      <c r="CR171" s="404"/>
      <c r="CS171" s="363"/>
      <c r="CT171" s="356" t="n">
        <f aca="false">IFERROR(IF($M171=CS171,($D$8+$D$9+$D$10)*$I171,IF($N171=LEFT(CS171,1),($D$8+MAX(0,IF($D$50=1,$D$9*(1-(ABS($Q171-ABS(VALUE(MID(CS171,FIND("|",CS171)+1,FIND("-",CS171)-FIND("|",CS171)-1))-VALUE(MID(CS171,FIND("-",CS171)+1,10)))))*$D$50),$D$9*(1-(IF($N171="X",ABS($O171-VALUE(MID(CS171,FIND("|",CS171)+1,FIND("-",CS171)-FIND("|",CS171)-1))),ABS($Q171-ABS(VALUE(MID(CS171,FIND("|",CS171)+1,FIND("-",CS171)-FIND("|",CS171)-1))-VALUE(MID(CS171,FIND("-",CS171)+1,10)))))*$D$50)))))*$I171,0)),0)</f>
        <v>0</v>
      </c>
      <c r="CU171" s="404"/>
      <c r="CV171" s="363"/>
      <c r="CW171" s="356" t="n">
        <f aca="false">IFERROR(IF($M171=CV171,($D$8+$D$9+$D$10)*$I171,IF($N171=LEFT(CV171,1),($D$8+MAX(0,IF($D$50=1,$D$9*(1-(ABS($Q171-ABS(VALUE(MID(CV171,FIND("|",CV171)+1,FIND("-",CV171)-FIND("|",CV171)-1))-VALUE(MID(CV171,FIND("-",CV171)+1,10)))))*$D$50),$D$9*(1-(IF($N171="X",ABS($O171-VALUE(MID(CV171,FIND("|",CV171)+1,FIND("-",CV171)-FIND("|",CV171)-1))),ABS($Q171-ABS(VALUE(MID(CV171,FIND("|",CV171)+1,FIND("-",CV171)-FIND("|",CV171)-1))-VALUE(MID(CV171,FIND("-",CV171)+1,10)))))*$D$50)))))*$I171,0)),0)</f>
        <v>0</v>
      </c>
      <c r="CX171" s="404"/>
      <c r="CY171" s="398"/>
      <c r="CZ171" s="356" t="n">
        <f aca="false">IFERROR(IF($M171=CY171,($D$8+$D$9+$D$10)*$I171,IF($N171=LEFT(CY171,1),($D$8+MAX(0,IF($D$50=1,$D$9*(1-(ABS($Q171-ABS(VALUE(MID(CY171,FIND("|",CY171)+1,FIND("-",CY171)-FIND("|",CY171)-1))-VALUE(MID(CY171,FIND("-",CY171)+1,10)))))*$D$50),$D$9*(1-(IF($N171="X",ABS($O171-VALUE(MID(CY171,FIND("|",CY171)+1,FIND("-",CY171)-FIND("|",CY171)-1))),ABS($Q171-ABS(VALUE(MID(CY171,FIND("|",CY171)+1,FIND("-",CY171)-FIND("|",CY171)-1))-VALUE(MID(CY171,FIND("-",CY171)+1,10)))))*$D$50)))))*$I171,0)),0)</f>
        <v>0</v>
      </c>
      <c r="DA171" s="404"/>
      <c r="DB171" s="363"/>
      <c r="DC171" s="356" t="n">
        <f aca="false">IFERROR(IF($M171=DB171,($D$8+$D$9+$D$10)*$I171,IF($N171=LEFT(DB171,1),($D$8+MAX(0,IF($D$50=1,$D$9*(1-(ABS($Q171-ABS(VALUE(MID(DB171,FIND("|",DB171)+1,FIND("-",DB171)-FIND("|",DB171)-1))-VALUE(MID(DB171,FIND("-",DB171)+1,10)))))*$D$50),$D$9*(1-(IF($N171="X",ABS($O171-VALUE(MID(DB171,FIND("|",DB171)+1,FIND("-",DB171)-FIND("|",DB171)-1))),ABS($Q171-ABS(VALUE(MID(DB171,FIND("|",DB171)+1,FIND("-",DB171)-FIND("|",DB171)-1))-VALUE(MID(DB171,FIND("-",DB171)+1,10)))))*$D$50)))))*$I171,0)),0)</f>
        <v>0</v>
      </c>
      <c r="DD171" s="404"/>
      <c r="DE171" s="363"/>
      <c r="DF171" s="356" t="n">
        <f aca="false">IFERROR(IF($M171=DE171,($D$8+$D$9+$D$10)*$I171,IF($N171=LEFT(DE171,1),($D$8+MAX(0,IF($D$50=1,$D$9*(1-(ABS($Q171-ABS(VALUE(MID(DE171,FIND("|",DE171)+1,FIND("-",DE171)-FIND("|",DE171)-1))-VALUE(MID(DE171,FIND("-",DE171)+1,10)))))*$D$50),$D$9*(1-(IF($N171="X",ABS($O171-VALUE(MID(DE171,FIND("|",DE171)+1,FIND("-",DE171)-FIND("|",DE171)-1))),ABS($Q171-ABS(VALUE(MID(DE171,FIND("|",DE171)+1,FIND("-",DE171)-FIND("|",DE171)-1))-VALUE(MID(DE171,FIND("-",DE171)+1,10)))))*$D$50)))))*$I171,0)),0)</f>
        <v>0</v>
      </c>
      <c r="DG171" s="404"/>
      <c r="DH171" s="363"/>
      <c r="DI171" s="356" t="n">
        <f aca="false">IFERROR(IF($M171=DH171,($D$8+$D$9+$D$10)*$I171,IF($N171=LEFT(DH171,1),($D$8+MAX(0,IF($D$50=1,$D$9*(1-(ABS($Q171-ABS(VALUE(MID(DH171,FIND("|",DH171)+1,FIND("-",DH171)-FIND("|",DH171)-1))-VALUE(MID(DH171,FIND("-",DH171)+1,10)))))*$D$50),$D$9*(1-(IF($N171="X",ABS($O171-VALUE(MID(DH171,FIND("|",DH171)+1,FIND("-",DH171)-FIND("|",DH171)-1))),ABS($Q171-ABS(VALUE(MID(DH171,FIND("|",DH171)+1,FIND("-",DH171)-FIND("|",DH171)-1))-VALUE(MID(DH171,FIND("-",DH171)+1,10)))))*$D$50)))))*$I171,0)),0)</f>
        <v>0</v>
      </c>
      <c r="DJ171" s="404"/>
      <c r="DK171" s="363"/>
      <c r="DL171" s="356" t="n">
        <f aca="false">IFERROR(IF($M171=DK171,($D$8+$D$9+$D$10)*$I171,IF($N171=LEFT(DK171,1),($D$8+MAX(0,IF($D$50=1,$D$9*(1-(ABS($Q171-ABS(VALUE(MID(DK171,FIND("|",DK171)+1,FIND("-",DK171)-FIND("|",DK171)-1))-VALUE(MID(DK171,FIND("-",DK171)+1,10)))))*$D$50),$D$9*(1-(IF($N171="X",ABS($O171-VALUE(MID(DK171,FIND("|",DK171)+1,FIND("-",DK171)-FIND("|",DK171)-1))),ABS($Q171-ABS(VALUE(MID(DK171,FIND("|",DK171)+1,FIND("-",DK171)-FIND("|",DK171)-1))-VALUE(MID(DK171,FIND("-",DK171)+1,10)))))*$D$50)))))*$I171,0)),0)</f>
        <v>0</v>
      </c>
      <c r="DM171" s="404"/>
      <c r="DN171" s="398"/>
      <c r="DO171" s="356" t="n">
        <f aca="false">IFERROR(IF($M171=DN171,($D$8+$D$9+$D$10)*$I171,IF($N171=LEFT(DN171,1),($D$8+MAX(0,IF($D$50=1,$D$9*(1-(ABS($Q171-ABS(VALUE(MID(DN171,FIND("|",DN171)+1,FIND("-",DN171)-FIND("|",DN171)-1))-VALUE(MID(DN171,FIND("-",DN171)+1,10)))))*$D$50),$D$9*(1-(IF($N171="X",ABS($O171-VALUE(MID(DN171,FIND("|",DN171)+1,FIND("-",DN171)-FIND("|",DN171)-1))),ABS($Q171-ABS(VALUE(MID(DN171,FIND("|",DN171)+1,FIND("-",DN171)-FIND("|",DN171)-1))-VALUE(MID(DN171,FIND("-",DN171)+1,10)))))*$D$50)))))*$I171,0)),0)</f>
        <v>0</v>
      </c>
      <c r="DP171" s="404"/>
      <c r="DQ171" s="363"/>
      <c r="DR171" s="356" t="n">
        <f aca="false">IFERROR(IF($M171=DQ171,($D$8+$D$9+$D$10)*$I171,IF($N171=LEFT(DQ171,1),($D$8+MAX(0,IF($D$50=1,$D$9*(1-(ABS($Q171-ABS(VALUE(MID(DQ171,FIND("|",DQ171)+1,FIND("-",DQ171)-FIND("|",DQ171)-1))-VALUE(MID(DQ171,FIND("-",DQ171)+1,10)))))*$D$50),$D$9*(1-(IF($N171="X",ABS($O171-VALUE(MID(DQ171,FIND("|",DQ171)+1,FIND("-",DQ171)-FIND("|",DQ171)-1))),ABS($Q171-ABS(VALUE(MID(DQ171,FIND("|",DQ171)+1,FIND("-",DQ171)-FIND("|",DQ171)-1))-VALUE(MID(DQ171,FIND("-",DQ171)+1,10)))))*$D$50)))))*$I171,0)),0)</f>
        <v>0</v>
      </c>
      <c r="DS171" s="404"/>
      <c r="DT171" s="363"/>
      <c r="DU171" s="356" t="n">
        <f aca="false">IFERROR(IF($M171=DT171,($D$8+$D$9+$D$10)*$I171,IF($N171=LEFT(DT171,1),($D$8+MAX(0,IF($D$50=1,$D$9*(1-(ABS($Q171-ABS(VALUE(MID(DT171,FIND("|",DT171)+1,FIND("-",DT171)-FIND("|",DT171)-1))-VALUE(MID(DT171,FIND("-",DT171)+1,10)))))*$D$50),$D$9*(1-(IF($N171="X",ABS($O171-VALUE(MID(DT171,FIND("|",DT171)+1,FIND("-",DT171)-FIND("|",DT171)-1))),ABS($Q171-ABS(VALUE(MID(DT171,FIND("|",DT171)+1,FIND("-",DT171)-FIND("|",DT171)-1))-VALUE(MID(DT171,FIND("-",DT171)+1,10)))))*$D$50)))))*$I171,0)),0)</f>
        <v>0</v>
      </c>
      <c r="DV171" s="404"/>
      <c r="DW171" s="363"/>
      <c r="DX171" s="356" t="n">
        <f aca="false">IFERROR(IF($M171=DW171,($D$8+$D$9+$D$10)*$I171,IF($N171=LEFT(DW171,1),($D$8+MAX(0,IF($D$50=1,$D$9*(1-(ABS($Q171-ABS(VALUE(MID(DW171,FIND("|",DW171)+1,FIND("-",DW171)-FIND("|",DW171)-1))-VALUE(MID(DW171,FIND("-",DW171)+1,10)))))*$D$50),$D$9*(1-(IF($N171="X",ABS($O171-VALUE(MID(DW171,FIND("|",DW171)+1,FIND("-",DW171)-FIND("|",DW171)-1))),ABS($Q171-ABS(VALUE(MID(DW171,FIND("|",DW171)+1,FIND("-",DW171)-FIND("|",DW171)-1))-VALUE(MID(DW171,FIND("-",DW171)+1,10)))))*$D$50)))))*$I171,0)),0)</f>
        <v>0</v>
      </c>
      <c r="DY171" s="404"/>
      <c r="DZ171" s="363"/>
      <c r="EA171" s="356" t="n">
        <f aca="false">IFERROR(IF($M171=DZ171,($D$8+$D$9+$D$10)*$I171,IF($N171=LEFT(DZ171,1),($D$8+MAX(0,IF($D$50=1,$D$9*(1-(ABS($Q171-ABS(VALUE(MID(DZ171,FIND("|",DZ171)+1,FIND("-",DZ171)-FIND("|",DZ171)-1))-VALUE(MID(DZ171,FIND("-",DZ171)+1,10)))))*$D$50),$D$9*(1-(IF($N171="X",ABS($O171-VALUE(MID(DZ171,FIND("|",DZ171)+1,FIND("-",DZ171)-FIND("|",DZ171)-1))),ABS($Q171-ABS(VALUE(MID(DZ171,FIND("|",DZ171)+1,FIND("-",DZ171)-FIND("|",DZ171)-1))-VALUE(MID(DZ171,FIND("-",DZ171)+1,10)))))*$D$50)))))*$I171,0)),0)</f>
        <v>0</v>
      </c>
      <c r="EB171" s="404"/>
      <c r="EC171" s="355"/>
      <c r="ED171" s="356" t="n">
        <f aca="false">IFERROR(IF($M171=EC171,($D$8+$D$9+$D$10)*$I171,IF($N171=LEFT(EC171,1),($D$8+MAX(0,IF($D$50=1,$D$9*(1-(ABS($Q171-ABS(VALUE(MID(EC171,FIND("|",EC171)+1,FIND("-",EC171)-FIND("|",EC171)-1))-VALUE(MID(EC171,FIND("-",EC171)+1,10)))))*$D$50),$D$9*(1-(IF($N171="X",ABS($O171-VALUE(MID(EC171,FIND("|",EC171)+1,FIND("-",EC171)-FIND("|",EC171)-1))),ABS($Q171-ABS(VALUE(MID(EC171,FIND("|",EC171)+1,FIND("-",EC171)-FIND("|",EC171)-1))-VALUE(MID(EC171,FIND("-",EC171)+1,10)))))*$D$50)))))*$I171,0)),0)</f>
        <v>0</v>
      </c>
      <c r="EE171" s="404"/>
      <c r="EF171" s="363"/>
      <c r="EG171" s="356" t="n">
        <f aca="false">IFERROR(IF($M171=EF171,($D$8+$D$9+$D$10)*$I171,IF($N171=LEFT(EF171,1),($D$8+MAX(0,IF($D$50=1,$D$9*(1-(ABS($Q171-ABS(VALUE(MID(EF171,FIND("|",EF171)+1,FIND("-",EF171)-FIND("|",EF171)-1))-VALUE(MID(EF171,FIND("-",EF171)+1,10)))))*$D$50),$D$9*(1-(IF($N171="X",ABS($O171-VALUE(MID(EF171,FIND("|",EF171)+1,FIND("-",EF171)-FIND("|",EF171)-1))),ABS($Q171-ABS(VALUE(MID(EF171,FIND("|",EF171)+1,FIND("-",EF171)-FIND("|",EF171)-1))-VALUE(MID(EF171,FIND("-",EF171)+1,10)))))*$D$50)))))*$I171,0)),0)</f>
        <v>0</v>
      </c>
      <c r="EH171" s="404"/>
      <c r="EI171" s="404"/>
    </row>
    <row r="172" customFormat="false" ht="15" hidden="false" customHeight="false" outlineLevel="0" collapsed="false">
      <c r="A172" s="332" t="n">
        <f aca="false">WORLDCUP!AD109</f>
        <v>0</v>
      </c>
      <c r="B172" s="332" t="n">
        <f aca="false">WORLDCUP!AC109</f>
        <v>0</v>
      </c>
      <c r="C172" s="422" t="str">
        <f aca="false">CONCATENATE(WORLDCUP!AF109,"-",WORLDCUP!AA109)</f>
        <v>3AEHIJ-1G</v>
      </c>
      <c r="D172" s="422" t="str">
        <f aca="false">IF(WORLDCUP!AC109&gt;WORLDCUP!AD109,2,IF(WORLDCUP!AC109&lt;WORLDCUP!AD109,1,IF(AND(WORLDCUP!AC109=WORLDCUP!AD109,WORLDCUP!AC109&lt;&gt;"",WORLDCUP!AD109&lt;&gt;""),0,"PD")))</f>
        <v>PD</v>
      </c>
      <c r="E172" s="422" t="str">
        <f aca="false">IF(OR(WORLDCUP!AC109="",WORLDCUP!AD109=""),"-",A172&amp;"-"&amp;B172)</f>
        <v>-</v>
      </c>
      <c r="F172" s="423" t="n">
        <f aca="false">SUM($D$16:$D$18)*I172</f>
        <v>17</v>
      </c>
      <c r="G172" s="423" t="n">
        <f aca="false">VLOOKUP(H172,Equipos!$Q$1:$R$25,2,0)</f>
        <v>20</v>
      </c>
      <c r="H172" s="424" t="str">
        <f aca="false">Idiomas!$D$260</f>
        <v>Dieciseisavos de final</v>
      </c>
      <c r="I172" s="425" t="n">
        <v>1</v>
      </c>
      <c r="J172" s="418"/>
      <c r="K172" s="367" t="str">
        <f aca="false">CONCATENATE(WORLDCUP!AA109,"-",WORLDCUP!AF109)</f>
        <v>1G-3AEHIJ</v>
      </c>
      <c r="L172" s="354"/>
      <c r="M172" s="359" t="str">
        <f aca="false">IF(OR(WORLDCUP!AC109="",WORLDCUP!AD109=""),"-",N172&amp;"|"&amp;O172&amp;"-"&amp;P172)</f>
        <v>-</v>
      </c>
      <c r="N172" s="332" t="str">
        <f aca="false">IF(OR(WORLDCUP!AC109="",WORLDCUP!AD109=""),"",IF(WORLDCUP!AC109&gt;WORLDCUP!AD109,"1",IF(WORLDCUP!AC109&lt;WORLDCUP!AD109,"2","X")))</f>
        <v/>
      </c>
      <c r="O172" s="332" t="n">
        <f aca="false">WORLDCUP!AC109</f>
        <v>0</v>
      </c>
      <c r="P172" s="332" t="n">
        <f aca="false">WORLDCUP!AD109</f>
        <v>0</v>
      </c>
      <c r="Q172" s="332" t="n">
        <f aca="false">ABS(O172-P172)</f>
        <v>0</v>
      </c>
      <c r="R172" s="404"/>
      <c r="S172" s="363" t="s">
        <v>265</v>
      </c>
      <c r="T172" s="356" t="n">
        <f aca="false">IFERROR(IF($M172=S172,($D$8+$D$9+$D$10)*$I172,IF($N172=LEFT(S172,1),($D$8+MAX(0,IF($D$50=1,$D$9*(1-(ABS($Q172-ABS(VALUE(MID(S172,FIND("|",S172)+1,FIND("-",S172)-FIND("|",S172)-1))-VALUE(MID(S172,FIND("-",S172)+1,10)))))*$D$50),$D$9*(1-(IF($N172="X",ABS($O172-VALUE(MID(S172,FIND("|",S172)+1,FIND("-",S172)-FIND("|",S172)-1))),ABS($Q172-ABS(VALUE(MID(S172,FIND("|",S172)+1,FIND("-",S172)-FIND("|",S172)-1))-VALUE(MID(S172,FIND("-",S172)+1,10)))))*$D$50)))))*$I172,0)),0)</f>
        <v>0</v>
      </c>
      <c r="U172" s="404"/>
      <c r="V172" s="363" t="s">
        <v>267</v>
      </c>
      <c r="W172" s="356" t="n">
        <f aca="false">IFERROR(IF($M172=V172,($D$8+$D$9+$D$10)*$I172,IF($N172=LEFT(V172,1),($D$8+MAX(0,IF($D$50=1,$D$9*(1-(ABS($Q172-ABS(VALUE(MID(V172,FIND("|",V172)+1,FIND("-",V172)-FIND("|",V172)-1))-VALUE(MID(V172,FIND("-",V172)+1,10)))))*$D$50),$D$9*(1-(IF($N172="X",ABS($O172-VALUE(MID(V172,FIND("|",V172)+1,FIND("-",V172)-FIND("|",V172)-1))),ABS($Q172-ABS(VALUE(MID(V172,FIND("|",V172)+1,FIND("-",V172)-FIND("|",V172)-1))-VALUE(MID(V172,FIND("-",V172)+1,10)))))*$D$50)))))*$I172,0)),0)</f>
        <v>0</v>
      </c>
      <c r="X172" s="404"/>
      <c r="Y172" s="363" t="s">
        <v>265</v>
      </c>
      <c r="Z172" s="356" t="n">
        <f aca="false">IFERROR(IF($M172=Y172,($D$8+$D$9+$D$10)*$I172,IF($N172=LEFT(Y172,1),($D$8+MAX(0,IF($D$50=1,$D$9*(1-(ABS($Q172-ABS(VALUE(MID(Y172,FIND("|",Y172)+1,FIND("-",Y172)-FIND("|",Y172)-1))-VALUE(MID(Y172,FIND("-",Y172)+1,10)))))*$D$50),$D$9*(1-(IF($N172="X",ABS($O172-VALUE(MID(Y172,FIND("|",Y172)+1,FIND("-",Y172)-FIND("|",Y172)-1))),ABS($Q172-ABS(VALUE(MID(Y172,FIND("|",Y172)+1,FIND("-",Y172)-FIND("|",Y172)-1))-VALUE(MID(Y172,FIND("-",Y172)+1,10)))))*$D$50)))))*$I172,0)),0)</f>
        <v>0</v>
      </c>
      <c r="AA172" s="404"/>
      <c r="AB172" s="363" t="s">
        <v>267</v>
      </c>
      <c r="AC172" s="356" t="n">
        <f aca="false">IFERROR(IF($M172=AB172,($D$8+$D$9+$D$10)*$I172,IF($N172=LEFT(AB172,1),($D$8+MAX(0,IF($D$50=1,$D$9*(1-(ABS($Q172-ABS(VALUE(MID(AB172,FIND("|",AB172)+1,FIND("-",AB172)-FIND("|",AB172)-1))-VALUE(MID(AB172,FIND("-",AB172)+1,10)))))*$D$50),$D$9*(1-(IF($N172="X",ABS($O172-VALUE(MID(AB172,FIND("|",AB172)+1,FIND("-",AB172)-FIND("|",AB172)-1))),ABS($Q172-ABS(VALUE(MID(AB172,FIND("|",AB172)+1,FIND("-",AB172)-FIND("|",AB172)-1))-VALUE(MID(AB172,FIND("-",AB172)+1,10)))))*$D$50)))))*$I172,0)),0)</f>
        <v>0</v>
      </c>
      <c r="AD172" s="404"/>
      <c r="AE172" s="363" t="s">
        <v>266</v>
      </c>
      <c r="AF172" s="356" t="n">
        <f aca="false">IFERROR(IF($M172=AE172,($D$8+$D$9+$D$10)*$I172,IF($N172=LEFT(AE172,1),($D$8+MAX(0,IF($D$50=1,$D$9*(1-(ABS($Q172-ABS(VALUE(MID(AE172,FIND("|",AE172)+1,FIND("-",AE172)-FIND("|",AE172)-1))-VALUE(MID(AE172,FIND("-",AE172)+1,10)))))*$D$50),$D$9*(1-(IF($N172="X",ABS($O172-VALUE(MID(AE172,FIND("|",AE172)+1,FIND("-",AE172)-FIND("|",AE172)-1))),ABS($Q172-ABS(VALUE(MID(AE172,FIND("|",AE172)+1,FIND("-",AE172)-FIND("|",AE172)-1))-VALUE(MID(AE172,FIND("-",AE172)+1,10)))))*$D$50)))))*$I172,0)),0)</f>
        <v>0</v>
      </c>
      <c r="AG172" s="404"/>
      <c r="AH172" s="363" t="s">
        <v>265</v>
      </c>
      <c r="AI172" s="356" t="n">
        <f aca="false">IFERROR(IF($M172=AH172,($D$8+$D$9+$D$10)*$I172,IF($N172=LEFT(AH172,1),($D$8+MAX(0,IF($D$50=1,$D$9*(1-(ABS($Q172-ABS(VALUE(MID(AH172,FIND("|",AH172)+1,FIND("-",AH172)-FIND("|",AH172)-1))-VALUE(MID(AH172,FIND("-",AH172)+1,10)))))*$D$50),$D$9*(1-(IF($N172="X",ABS($O172-VALUE(MID(AH172,FIND("|",AH172)+1,FIND("-",AH172)-FIND("|",AH172)-1))),ABS($Q172-ABS(VALUE(MID(AH172,FIND("|",AH172)+1,FIND("-",AH172)-FIND("|",AH172)-1))-VALUE(MID(AH172,FIND("-",AH172)+1,10)))))*$D$50)))))*$I172,0)),0)</f>
        <v>0</v>
      </c>
      <c r="AJ172" s="404"/>
      <c r="AK172" s="363" t="s">
        <v>264</v>
      </c>
      <c r="AL172" s="356" t="n">
        <f aca="false">IFERROR(IF($M172=AK172,($D$8+$D$9+$D$10)*$I172,IF($N172=LEFT(AK172,1),($D$8+MAX(0,IF($D$50=1,$D$9*(1-(ABS($Q172-ABS(VALUE(MID(AK172,FIND("|",AK172)+1,FIND("-",AK172)-FIND("|",AK172)-1))-VALUE(MID(AK172,FIND("-",AK172)+1,10)))))*$D$50),$D$9*(1-(IF($N172="X",ABS($O172-VALUE(MID(AK172,FIND("|",AK172)+1,FIND("-",AK172)-FIND("|",AK172)-1))),ABS($Q172-ABS(VALUE(MID(AK172,FIND("|",AK172)+1,FIND("-",AK172)-FIND("|",AK172)-1))-VALUE(MID(AK172,FIND("-",AK172)+1,10)))))*$D$50)))))*$I172,0)),0)</f>
        <v>0</v>
      </c>
      <c r="AM172" s="404"/>
      <c r="AN172" s="363" t="s">
        <v>265</v>
      </c>
      <c r="AO172" s="356" t="n">
        <f aca="false">IFERROR(IF($M172=AN172,($D$8+$D$9+$D$10)*$I172,IF($N172=LEFT(AN172,1),($D$8+MAX(0,IF($D$50=1,$D$9*(1-(ABS($Q172-ABS(VALUE(MID(AN172,FIND("|",AN172)+1,FIND("-",AN172)-FIND("|",AN172)-1))-VALUE(MID(AN172,FIND("-",AN172)+1,10)))))*$D$50),$D$9*(1-(IF($N172="X",ABS($O172-VALUE(MID(AN172,FIND("|",AN172)+1,FIND("-",AN172)-FIND("|",AN172)-1))),ABS($Q172-ABS(VALUE(MID(AN172,FIND("|",AN172)+1,FIND("-",AN172)-FIND("|",AN172)-1))-VALUE(MID(AN172,FIND("-",AN172)+1,10)))))*$D$50)))))*$I172,0)),0)</f>
        <v>0</v>
      </c>
      <c r="AP172" s="404"/>
      <c r="AQ172" s="398" t="s">
        <v>316</v>
      </c>
      <c r="AR172" s="356" t="n">
        <f aca="false">IFERROR(IF($M172=AQ172,($D$8+$D$9+$D$10)*$I172,IF($N172=LEFT(AQ172,1),($D$8+MAX(0,IF($D$50=1,$D$9*(1-(ABS($Q172-ABS(VALUE(MID(AQ172,FIND("|",AQ172)+1,FIND("-",AQ172)-FIND("|",AQ172)-1))-VALUE(MID(AQ172,FIND("-",AQ172)+1,10)))))*$D$50),$D$9*(1-(IF($N172="X",ABS($O172-VALUE(MID(AQ172,FIND("|",AQ172)+1,FIND("-",AQ172)-FIND("|",AQ172)-1))),ABS($Q172-ABS(VALUE(MID(AQ172,FIND("|",AQ172)+1,FIND("-",AQ172)-FIND("|",AQ172)-1))-VALUE(MID(AQ172,FIND("-",AQ172)+1,10)))))*$D$50)))))*$I172,0)),0)</f>
        <v>0</v>
      </c>
      <c r="AS172" s="404"/>
      <c r="AT172" s="363" t="s">
        <v>266</v>
      </c>
      <c r="AU172" s="356" t="n">
        <f aca="false">IFERROR(IF($M172=AT172,($D$8+$D$9+$D$10)*$I172,IF($N172=LEFT(AT172,1),($D$8+MAX(0,IF($D$50=1,$D$9*(1-(ABS($Q172-ABS(VALUE(MID(AT172,FIND("|",AT172)+1,FIND("-",AT172)-FIND("|",AT172)-1))-VALUE(MID(AT172,FIND("-",AT172)+1,10)))))*$D$50),$D$9*(1-(IF($N172="X",ABS($O172-VALUE(MID(AT172,FIND("|",AT172)+1,FIND("-",AT172)-FIND("|",AT172)-1))),ABS($Q172-ABS(VALUE(MID(AT172,FIND("|",AT172)+1,FIND("-",AT172)-FIND("|",AT172)-1))-VALUE(MID(AT172,FIND("-",AT172)+1,10)))))*$D$50)))))*$I172,0)),0)</f>
        <v>0</v>
      </c>
      <c r="AV172" s="404"/>
      <c r="AW172" s="363" t="s">
        <v>264</v>
      </c>
      <c r="AX172" s="356" t="n">
        <f aca="false">IFERROR(IF($M172=AW172,($D$8+$D$9+$D$10)*$I172,IF($N172=LEFT(AW172,1),($D$8+MAX(0,IF($D$50=1,$D$9*(1-(ABS($Q172-ABS(VALUE(MID(AW172,FIND("|",AW172)+1,FIND("-",AW172)-FIND("|",AW172)-1))-VALUE(MID(AW172,FIND("-",AW172)+1,10)))))*$D$50),$D$9*(1-(IF($N172="X",ABS($O172-VALUE(MID(AW172,FIND("|",AW172)+1,FIND("-",AW172)-FIND("|",AW172)-1))),ABS($Q172-ABS(VALUE(MID(AW172,FIND("|",AW172)+1,FIND("-",AW172)-FIND("|",AW172)-1))-VALUE(MID(AW172,FIND("-",AW172)+1,10)))))*$D$50)))))*$I172,0)),0)</f>
        <v>0</v>
      </c>
      <c r="AY172" s="404"/>
      <c r="AZ172" s="363" t="s">
        <v>266</v>
      </c>
      <c r="BA172" s="356" t="n">
        <f aca="false">IFERROR(IF($M172=AZ172,($D$8+$D$9+$D$10)*$I172,IF($N172=LEFT(AZ172,1),($D$8+MAX(0,IF($D$50=1,$D$9*(1-(ABS($Q172-ABS(VALUE(MID(AZ172,FIND("|",AZ172)+1,FIND("-",AZ172)-FIND("|",AZ172)-1))-VALUE(MID(AZ172,FIND("-",AZ172)+1,10)))))*$D$50),$D$9*(1-(IF($N172="X",ABS($O172-VALUE(MID(AZ172,FIND("|",AZ172)+1,FIND("-",AZ172)-FIND("|",AZ172)-1))),ABS($Q172-ABS(VALUE(MID(AZ172,FIND("|",AZ172)+1,FIND("-",AZ172)-FIND("|",AZ172)-1))-VALUE(MID(AZ172,FIND("-",AZ172)+1,10)))))*$D$50)))))*$I172,0)),0)</f>
        <v>0</v>
      </c>
      <c r="BB172" s="404"/>
      <c r="BC172" s="363" t="s">
        <v>283</v>
      </c>
      <c r="BD172" s="356" t="n">
        <f aca="false">IFERROR(IF($M172=BC172,($D$8+$D$9+$D$10)*$I172,IF($N172=LEFT(BC172,1),($D$8+MAX(0,IF($D$50=1,$D$9*(1-(ABS($Q172-ABS(VALUE(MID(BC172,FIND("|",BC172)+1,FIND("-",BC172)-FIND("|",BC172)-1))-VALUE(MID(BC172,FIND("-",BC172)+1,10)))))*$D$50),$D$9*(1-(IF($N172="X",ABS($O172-VALUE(MID(BC172,FIND("|",BC172)+1,FIND("-",BC172)-FIND("|",BC172)-1))),ABS($Q172-ABS(VALUE(MID(BC172,FIND("|",BC172)+1,FIND("-",BC172)-FIND("|",BC172)-1))-VALUE(MID(BC172,FIND("-",BC172)+1,10)))))*$D$50)))))*$I172,0)),0)</f>
        <v>0</v>
      </c>
      <c r="BE172" s="404"/>
      <c r="BF172" s="398" t="s">
        <v>264</v>
      </c>
      <c r="BG172" s="356" t="n">
        <f aca="false">IFERROR(IF($M172=BF172,($D$8+$D$9+$D$10)*$I172,IF($N172=LEFT(BF172,1),($D$8+MAX(0,IF($D$50=1,$D$9*(1-(ABS($Q172-ABS(VALUE(MID(BF172,FIND("|",BF172)+1,FIND("-",BF172)-FIND("|",BF172)-1))-VALUE(MID(BF172,FIND("-",BF172)+1,10)))))*$D$50),$D$9*(1-(IF($N172="X",ABS($O172-VALUE(MID(BF172,FIND("|",BF172)+1,FIND("-",BF172)-FIND("|",BF172)-1))),ABS($Q172-ABS(VALUE(MID(BF172,FIND("|",BF172)+1,FIND("-",BF172)-FIND("|",BF172)-1))-VALUE(MID(BF172,FIND("-",BF172)+1,10)))))*$D$50)))))*$I172,0)),0)</f>
        <v>0</v>
      </c>
      <c r="BH172" s="404"/>
      <c r="BI172" s="363" t="s">
        <v>265</v>
      </c>
      <c r="BJ172" s="356" t="n">
        <f aca="false">IFERROR(IF($M172=BI172,($D$8+$D$9+$D$10)*$I172,IF($N172=LEFT(BI172,1),($D$8+MAX(0,IF($D$50=1,$D$9*(1-(ABS($Q172-ABS(VALUE(MID(BI172,FIND("|",BI172)+1,FIND("-",BI172)-FIND("|",BI172)-1))-VALUE(MID(BI172,FIND("-",BI172)+1,10)))))*$D$50),$D$9*(1-(IF($N172="X",ABS($O172-VALUE(MID(BI172,FIND("|",BI172)+1,FIND("-",BI172)-FIND("|",BI172)-1))),ABS($Q172-ABS(VALUE(MID(BI172,FIND("|",BI172)+1,FIND("-",BI172)-FIND("|",BI172)-1))-VALUE(MID(BI172,FIND("-",BI172)+1,10)))))*$D$50)))))*$I172,0)),0)</f>
        <v>0</v>
      </c>
      <c r="BK172" s="404"/>
      <c r="BL172" s="363" t="s">
        <v>264</v>
      </c>
      <c r="BM172" s="356" t="n">
        <f aca="false">IFERROR(IF($M172=BL172,($D$8+$D$9+$D$10)*$I172,IF($N172=LEFT(BL172,1),($D$8+MAX(0,IF($D$50=1,$D$9*(1-(ABS($Q172-ABS(VALUE(MID(BL172,FIND("|",BL172)+1,FIND("-",BL172)-FIND("|",BL172)-1))-VALUE(MID(BL172,FIND("-",BL172)+1,10)))))*$D$50),$D$9*(1-(IF($N172="X",ABS($O172-VALUE(MID(BL172,FIND("|",BL172)+1,FIND("-",BL172)-FIND("|",BL172)-1))),ABS($Q172-ABS(VALUE(MID(BL172,FIND("|",BL172)+1,FIND("-",BL172)-FIND("|",BL172)-1))-VALUE(MID(BL172,FIND("-",BL172)+1,10)))))*$D$50)))))*$I172,0)),0)</f>
        <v>0</v>
      </c>
      <c r="BN172" s="404"/>
      <c r="BO172" s="363" t="s">
        <v>265</v>
      </c>
      <c r="BP172" s="356" t="n">
        <f aca="false">IFERROR(IF($M172=BO172,($D$8+$D$9+$D$10)*$I172,IF($N172=LEFT(BO172,1),($D$8+MAX(0,IF($D$50=1,$D$9*(1-(ABS($Q172-ABS(VALUE(MID(BO172,FIND("|",BO172)+1,FIND("-",BO172)-FIND("|",BO172)-1))-VALUE(MID(BO172,FIND("-",BO172)+1,10)))))*$D$50),$D$9*(1-(IF($N172="X",ABS($O172-VALUE(MID(BO172,FIND("|",BO172)+1,FIND("-",BO172)-FIND("|",BO172)-1))),ABS($Q172-ABS(VALUE(MID(BO172,FIND("|",BO172)+1,FIND("-",BO172)-FIND("|",BO172)-1))-VALUE(MID(BO172,FIND("-",BO172)+1,10)))))*$D$50)))))*$I172,0)),0)</f>
        <v>0</v>
      </c>
      <c r="BQ172" s="404"/>
      <c r="BR172" s="363" t="s">
        <v>266</v>
      </c>
      <c r="BS172" s="356" t="n">
        <f aca="false">IFERROR(IF($M172=BR172,($D$8+$D$9+$D$10)*$I172,IF($N172=LEFT(BR172,1),($D$8+MAX(0,IF($D$50=1,$D$9*(1-(ABS($Q172-ABS(VALUE(MID(BR172,FIND("|",BR172)+1,FIND("-",BR172)-FIND("|",BR172)-1))-VALUE(MID(BR172,FIND("-",BR172)+1,10)))))*$D$50),$D$9*(1-(IF($N172="X",ABS($O172-VALUE(MID(BR172,FIND("|",BR172)+1,FIND("-",BR172)-FIND("|",BR172)-1))),ABS($Q172-ABS(VALUE(MID(BR172,FIND("|",BR172)+1,FIND("-",BR172)-FIND("|",BR172)-1))-VALUE(MID(BR172,FIND("-",BR172)+1,10)))))*$D$50)))))*$I172,0)),0)</f>
        <v>0</v>
      </c>
      <c r="BT172" s="404"/>
      <c r="BU172" s="398"/>
      <c r="BV172" s="356" t="n">
        <f aca="false">IFERROR(IF($M172=BU172,($D$8+$D$9+$D$10)*$I172,IF($N172=LEFT(BU172,1),($D$8+MAX(0,IF($D$50=1,$D$9*(1-(ABS($Q172-ABS(VALUE(MID(BU172,FIND("|",BU172)+1,FIND("-",BU172)-FIND("|",BU172)-1))-VALUE(MID(BU172,FIND("-",BU172)+1,10)))))*$D$50),$D$9*(1-(IF($N172="X",ABS($O172-VALUE(MID(BU172,FIND("|",BU172)+1,FIND("-",BU172)-FIND("|",BU172)-1))),ABS($Q172-ABS(VALUE(MID(BU172,FIND("|",BU172)+1,FIND("-",BU172)-FIND("|",BU172)-1))-VALUE(MID(BU172,FIND("-",BU172)+1,10)))))*$D$50)))))*$I172,0)),0)</f>
        <v>0</v>
      </c>
      <c r="BW172" s="404"/>
      <c r="BX172" s="363"/>
      <c r="BY172" s="356" t="n">
        <f aca="false">IFERROR(IF($M172=BX172,($D$8+$D$9+$D$10)*$I172,IF($N172=LEFT(BX172,1),($D$8+MAX(0,IF($D$50=1,$D$9*(1-(ABS($Q172-ABS(VALUE(MID(BX172,FIND("|",BX172)+1,FIND("-",BX172)-FIND("|",BX172)-1))-VALUE(MID(BX172,FIND("-",BX172)+1,10)))))*$D$50),$D$9*(1-(IF($N172="X",ABS($O172-VALUE(MID(BX172,FIND("|",BX172)+1,FIND("-",BX172)-FIND("|",BX172)-1))),ABS($Q172-ABS(VALUE(MID(BX172,FIND("|",BX172)+1,FIND("-",BX172)-FIND("|",BX172)-1))-VALUE(MID(BX172,FIND("-",BX172)+1,10)))))*$D$50)))))*$I172,0)),0)</f>
        <v>0</v>
      </c>
      <c r="BZ172" s="404"/>
      <c r="CA172" s="363"/>
      <c r="CB172" s="356" t="n">
        <f aca="false">IFERROR(IF($M172=CA172,($D$8+$D$9+$D$10)*$I172,IF($N172=LEFT(CA172,1),($D$8+MAX(0,IF($D$50=1,$D$9*(1-(ABS($Q172-ABS(VALUE(MID(CA172,FIND("|",CA172)+1,FIND("-",CA172)-FIND("|",CA172)-1))-VALUE(MID(CA172,FIND("-",CA172)+1,10)))))*$D$50),$D$9*(1-(IF($N172="X",ABS($O172-VALUE(MID(CA172,FIND("|",CA172)+1,FIND("-",CA172)-FIND("|",CA172)-1))),ABS($Q172-ABS(VALUE(MID(CA172,FIND("|",CA172)+1,FIND("-",CA172)-FIND("|",CA172)-1))-VALUE(MID(CA172,FIND("-",CA172)+1,10)))))*$D$50)))))*$I172,0)),0)</f>
        <v>0</v>
      </c>
      <c r="CC172" s="404"/>
      <c r="CD172" s="363"/>
      <c r="CE172" s="356" t="n">
        <f aca="false">IFERROR(IF($M172=CD172,($D$8+$D$9+$D$10)*$I172,IF($N172=LEFT(CD172,1),($D$8+MAX(0,IF($D$50=1,$D$9*(1-(ABS($Q172-ABS(VALUE(MID(CD172,FIND("|",CD172)+1,FIND("-",CD172)-FIND("|",CD172)-1))-VALUE(MID(CD172,FIND("-",CD172)+1,10)))))*$D$50),$D$9*(1-(IF($N172="X",ABS($O172-VALUE(MID(CD172,FIND("|",CD172)+1,FIND("-",CD172)-FIND("|",CD172)-1))),ABS($Q172-ABS(VALUE(MID(CD172,FIND("|",CD172)+1,FIND("-",CD172)-FIND("|",CD172)-1))-VALUE(MID(CD172,FIND("-",CD172)+1,10)))))*$D$50)))))*$I172,0)),0)</f>
        <v>0</v>
      </c>
      <c r="CF172" s="404"/>
      <c r="CG172" s="363"/>
      <c r="CH172" s="356" t="n">
        <f aca="false">IFERROR(IF($M172=CG172,($D$8+$D$9+$D$10)*$I172,IF($N172=LEFT(CG172,1),($D$8+MAX(0,IF($D$50=1,$D$9*(1-(ABS($Q172-ABS(VALUE(MID(CG172,FIND("|",CG172)+1,FIND("-",CG172)-FIND("|",CG172)-1))-VALUE(MID(CG172,FIND("-",CG172)+1,10)))))*$D$50),$D$9*(1-(IF($N172="X",ABS($O172-VALUE(MID(CG172,FIND("|",CG172)+1,FIND("-",CG172)-FIND("|",CG172)-1))),ABS($Q172-ABS(VALUE(MID(CG172,FIND("|",CG172)+1,FIND("-",CG172)-FIND("|",CG172)-1))-VALUE(MID(CG172,FIND("-",CG172)+1,10)))))*$D$50)))))*$I172,0)),0)</f>
        <v>0</v>
      </c>
      <c r="CI172" s="404"/>
      <c r="CJ172" s="398"/>
      <c r="CK172" s="356" t="n">
        <f aca="false">IFERROR(IF($M172=CJ172,($D$8+$D$9+$D$10)*$I172,IF($N172=LEFT(CJ172,1),($D$8+MAX(0,IF($D$50=1,$D$9*(1-(ABS($Q172-ABS(VALUE(MID(CJ172,FIND("|",CJ172)+1,FIND("-",CJ172)-FIND("|",CJ172)-1))-VALUE(MID(CJ172,FIND("-",CJ172)+1,10)))))*$D$50),$D$9*(1-(IF($N172="X",ABS($O172-VALUE(MID(CJ172,FIND("|",CJ172)+1,FIND("-",CJ172)-FIND("|",CJ172)-1))),ABS($Q172-ABS(VALUE(MID(CJ172,FIND("|",CJ172)+1,FIND("-",CJ172)-FIND("|",CJ172)-1))-VALUE(MID(CJ172,FIND("-",CJ172)+1,10)))))*$D$50)))))*$I172,0)),0)</f>
        <v>0</v>
      </c>
      <c r="CL172" s="404"/>
      <c r="CM172" s="363"/>
      <c r="CN172" s="356" t="n">
        <f aca="false">IFERROR(IF($M172=CM172,($D$8+$D$9+$D$10)*$I172,IF($N172=LEFT(CM172,1),($D$8+MAX(0,IF($D$50=1,$D$9*(1-(ABS($Q172-ABS(VALUE(MID(CM172,FIND("|",CM172)+1,FIND("-",CM172)-FIND("|",CM172)-1))-VALUE(MID(CM172,FIND("-",CM172)+1,10)))))*$D$50),$D$9*(1-(IF($N172="X",ABS($O172-VALUE(MID(CM172,FIND("|",CM172)+1,FIND("-",CM172)-FIND("|",CM172)-1))),ABS($Q172-ABS(VALUE(MID(CM172,FIND("|",CM172)+1,FIND("-",CM172)-FIND("|",CM172)-1))-VALUE(MID(CM172,FIND("-",CM172)+1,10)))))*$D$50)))))*$I172,0)),0)</f>
        <v>0</v>
      </c>
      <c r="CO172" s="404"/>
      <c r="CP172" s="363"/>
      <c r="CQ172" s="356" t="n">
        <f aca="false">IFERROR(IF($M172=CP172,($D$8+$D$9+$D$10)*$I172,IF($N172=LEFT(CP172,1),($D$8+MAX(0,IF($D$50=1,$D$9*(1-(ABS($Q172-ABS(VALUE(MID(CP172,FIND("|",CP172)+1,FIND("-",CP172)-FIND("|",CP172)-1))-VALUE(MID(CP172,FIND("-",CP172)+1,10)))))*$D$50),$D$9*(1-(IF($N172="X",ABS($O172-VALUE(MID(CP172,FIND("|",CP172)+1,FIND("-",CP172)-FIND("|",CP172)-1))),ABS($Q172-ABS(VALUE(MID(CP172,FIND("|",CP172)+1,FIND("-",CP172)-FIND("|",CP172)-1))-VALUE(MID(CP172,FIND("-",CP172)+1,10)))))*$D$50)))))*$I172,0)),0)</f>
        <v>0</v>
      </c>
      <c r="CR172" s="404"/>
      <c r="CS172" s="363"/>
      <c r="CT172" s="356" t="n">
        <f aca="false">IFERROR(IF($M172=CS172,($D$8+$D$9+$D$10)*$I172,IF($N172=LEFT(CS172,1),($D$8+MAX(0,IF($D$50=1,$D$9*(1-(ABS($Q172-ABS(VALUE(MID(CS172,FIND("|",CS172)+1,FIND("-",CS172)-FIND("|",CS172)-1))-VALUE(MID(CS172,FIND("-",CS172)+1,10)))))*$D$50),$D$9*(1-(IF($N172="X",ABS($O172-VALUE(MID(CS172,FIND("|",CS172)+1,FIND("-",CS172)-FIND("|",CS172)-1))),ABS($Q172-ABS(VALUE(MID(CS172,FIND("|",CS172)+1,FIND("-",CS172)-FIND("|",CS172)-1))-VALUE(MID(CS172,FIND("-",CS172)+1,10)))))*$D$50)))))*$I172,0)),0)</f>
        <v>0</v>
      </c>
      <c r="CU172" s="404"/>
      <c r="CV172" s="363"/>
      <c r="CW172" s="356" t="n">
        <f aca="false">IFERROR(IF($M172=CV172,($D$8+$D$9+$D$10)*$I172,IF($N172=LEFT(CV172,1),($D$8+MAX(0,IF($D$50=1,$D$9*(1-(ABS($Q172-ABS(VALUE(MID(CV172,FIND("|",CV172)+1,FIND("-",CV172)-FIND("|",CV172)-1))-VALUE(MID(CV172,FIND("-",CV172)+1,10)))))*$D$50),$D$9*(1-(IF($N172="X",ABS($O172-VALUE(MID(CV172,FIND("|",CV172)+1,FIND("-",CV172)-FIND("|",CV172)-1))),ABS($Q172-ABS(VALUE(MID(CV172,FIND("|",CV172)+1,FIND("-",CV172)-FIND("|",CV172)-1))-VALUE(MID(CV172,FIND("-",CV172)+1,10)))))*$D$50)))))*$I172,0)),0)</f>
        <v>0</v>
      </c>
      <c r="CX172" s="404"/>
      <c r="CY172" s="398"/>
      <c r="CZ172" s="356" t="n">
        <f aca="false">IFERROR(IF($M172=CY172,($D$8+$D$9+$D$10)*$I172,IF($N172=LEFT(CY172,1),($D$8+MAX(0,IF($D$50=1,$D$9*(1-(ABS($Q172-ABS(VALUE(MID(CY172,FIND("|",CY172)+1,FIND("-",CY172)-FIND("|",CY172)-1))-VALUE(MID(CY172,FIND("-",CY172)+1,10)))))*$D$50),$D$9*(1-(IF($N172="X",ABS($O172-VALUE(MID(CY172,FIND("|",CY172)+1,FIND("-",CY172)-FIND("|",CY172)-1))),ABS($Q172-ABS(VALUE(MID(CY172,FIND("|",CY172)+1,FIND("-",CY172)-FIND("|",CY172)-1))-VALUE(MID(CY172,FIND("-",CY172)+1,10)))))*$D$50)))))*$I172,0)),0)</f>
        <v>0</v>
      </c>
      <c r="DA172" s="404"/>
      <c r="DB172" s="363"/>
      <c r="DC172" s="356" t="n">
        <f aca="false">IFERROR(IF($M172=DB172,($D$8+$D$9+$D$10)*$I172,IF($N172=LEFT(DB172,1),($D$8+MAX(0,IF($D$50=1,$D$9*(1-(ABS($Q172-ABS(VALUE(MID(DB172,FIND("|",DB172)+1,FIND("-",DB172)-FIND("|",DB172)-1))-VALUE(MID(DB172,FIND("-",DB172)+1,10)))))*$D$50),$D$9*(1-(IF($N172="X",ABS($O172-VALUE(MID(DB172,FIND("|",DB172)+1,FIND("-",DB172)-FIND("|",DB172)-1))),ABS($Q172-ABS(VALUE(MID(DB172,FIND("|",DB172)+1,FIND("-",DB172)-FIND("|",DB172)-1))-VALUE(MID(DB172,FIND("-",DB172)+1,10)))))*$D$50)))))*$I172,0)),0)</f>
        <v>0</v>
      </c>
      <c r="DD172" s="404"/>
      <c r="DE172" s="363"/>
      <c r="DF172" s="356" t="n">
        <f aca="false">IFERROR(IF($M172=DE172,($D$8+$D$9+$D$10)*$I172,IF($N172=LEFT(DE172,1),($D$8+MAX(0,IF($D$50=1,$D$9*(1-(ABS($Q172-ABS(VALUE(MID(DE172,FIND("|",DE172)+1,FIND("-",DE172)-FIND("|",DE172)-1))-VALUE(MID(DE172,FIND("-",DE172)+1,10)))))*$D$50),$D$9*(1-(IF($N172="X",ABS($O172-VALUE(MID(DE172,FIND("|",DE172)+1,FIND("-",DE172)-FIND("|",DE172)-1))),ABS($Q172-ABS(VALUE(MID(DE172,FIND("|",DE172)+1,FIND("-",DE172)-FIND("|",DE172)-1))-VALUE(MID(DE172,FIND("-",DE172)+1,10)))))*$D$50)))))*$I172,0)),0)</f>
        <v>0</v>
      </c>
      <c r="DG172" s="404"/>
      <c r="DH172" s="363"/>
      <c r="DI172" s="356" t="n">
        <f aca="false">IFERROR(IF($M172=DH172,($D$8+$D$9+$D$10)*$I172,IF($N172=LEFT(DH172,1),($D$8+MAX(0,IF($D$50=1,$D$9*(1-(ABS($Q172-ABS(VALUE(MID(DH172,FIND("|",DH172)+1,FIND("-",DH172)-FIND("|",DH172)-1))-VALUE(MID(DH172,FIND("-",DH172)+1,10)))))*$D$50),$D$9*(1-(IF($N172="X",ABS($O172-VALUE(MID(DH172,FIND("|",DH172)+1,FIND("-",DH172)-FIND("|",DH172)-1))),ABS($Q172-ABS(VALUE(MID(DH172,FIND("|",DH172)+1,FIND("-",DH172)-FIND("|",DH172)-1))-VALUE(MID(DH172,FIND("-",DH172)+1,10)))))*$D$50)))))*$I172,0)),0)</f>
        <v>0</v>
      </c>
      <c r="DJ172" s="404"/>
      <c r="DK172" s="363"/>
      <c r="DL172" s="356" t="n">
        <f aca="false">IFERROR(IF($M172=DK172,($D$8+$D$9+$D$10)*$I172,IF($N172=LEFT(DK172,1),($D$8+MAX(0,IF($D$50=1,$D$9*(1-(ABS($Q172-ABS(VALUE(MID(DK172,FIND("|",DK172)+1,FIND("-",DK172)-FIND("|",DK172)-1))-VALUE(MID(DK172,FIND("-",DK172)+1,10)))))*$D$50),$D$9*(1-(IF($N172="X",ABS($O172-VALUE(MID(DK172,FIND("|",DK172)+1,FIND("-",DK172)-FIND("|",DK172)-1))),ABS($Q172-ABS(VALUE(MID(DK172,FIND("|",DK172)+1,FIND("-",DK172)-FIND("|",DK172)-1))-VALUE(MID(DK172,FIND("-",DK172)+1,10)))))*$D$50)))))*$I172,0)),0)</f>
        <v>0</v>
      </c>
      <c r="DM172" s="404"/>
      <c r="DN172" s="398"/>
      <c r="DO172" s="356" t="n">
        <f aca="false">IFERROR(IF($M172=DN172,($D$8+$D$9+$D$10)*$I172,IF($N172=LEFT(DN172,1),($D$8+MAX(0,IF($D$50=1,$D$9*(1-(ABS($Q172-ABS(VALUE(MID(DN172,FIND("|",DN172)+1,FIND("-",DN172)-FIND("|",DN172)-1))-VALUE(MID(DN172,FIND("-",DN172)+1,10)))))*$D$50),$D$9*(1-(IF($N172="X",ABS($O172-VALUE(MID(DN172,FIND("|",DN172)+1,FIND("-",DN172)-FIND("|",DN172)-1))),ABS($Q172-ABS(VALUE(MID(DN172,FIND("|",DN172)+1,FIND("-",DN172)-FIND("|",DN172)-1))-VALUE(MID(DN172,FIND("-",DN172)+1,10)))))*$D$50)))))*$I172,0)),0)</f>
        <v>0</v>
      </c>
      <c r="DP172" s="404"/>
      <c r="DQ172" s="363"/>
      <c r="DR172" s="356" t="n">
        <f aca="false">IFERROR(IF($M172=DQ172,($D$8+$D$9+$D$10)*$I172,IF($N172=LEFT(DQ172,1),($D$8+MAX(0,IF($D$50=1,$D$9*(1-(ABS($Q172-ABS(VALUE(MID(DQ172,FIND("|",DQ172)+1,FIND("-",DQ172)-FIND("|",DQ172)-1))-VALUE(MID(DQ172,FIND("-",DQ172)+1,10)))))*$D$50),$D$9*(1-(IF($N172="X",ABS($O172-VALUE(MID(DQ172,FIND("|",DQ172)+1,FIND("-",DQ172)-FIND("|",DQ172)-1))),ABS($Q172-ABS(VALUE(MID(DQ172,FIND("|",DQ172)+1,FIND("-",DQ172)-FIND("|",DQ172)-1))-VALUE(MID(DQ172,FIND("-",DQ172)+1,10)))))*$D$50)))))*$I172,0)),0)</f>
        <v>0</v>
      </c>
      <c r="DS172" s="404"/>
      <c r="DT172" s="363"/>
      <c r="DU172" s="356" t="n">
        <f aca="false">IFERROR(IF($M172=DT172,($D$8+$D$9+$D$10)*$I172,IF($N172=LEFT(DT172,1),($D$8+MAX(0,IF($D$50=1,$D$9*(1-(ABS($Q172-ABS(VALUE(MID(DT172,FIND("|",DT172)+1,FIND("-",DT172)-FIND("|",DT172)-1))-VALUE(MID(DT172,FIND("-",DT172)+1,10)))))*$D$50),$D$9*(1-(IF($N172="X",ABS($O172-VALUE(MID(DT172,FIND("|",DT172)+1,FIND("-",DT172)-FIND("|",DT172)-1))),ABS($Q172-ABS(VALUE(MID(DT172,FIND("|",DT172)+1,FIND("-",DT172)-FIND("|",DT172)-1))-VALUE(MID(DT172,FIND("-",DT172)+1,10)))))*$D$50)))))*$I172,0)),0)</f>
        <v>0</v>
      </c>
      <c r="DV172" s="404"/>
      <c r="DW172" s="363"/>
      <c r="DX172" s="356" t="n">
        <f aca="false">IFERROR(IF($M172=DW172,($D$8+$D$9+$D$10)*$I172,IF($N172=LEFT(DW172,1),($D$8+MAX(0,IF($D$50=1,$D$9*(1-(ABS($Q172-ABS(VALUE(MID(DW172,FIND("|",DW172)+1,FIND("-",DW172)-FIND("|",DW172)-1))-VALUE(MID(DW172,FIND("-",DW172)+1,10)))))*$D$50),$D$9*(1-(IF($N172="X",ABS($O172-VALUE(MID(DW172,FIND("|",DW172)+1,FIND("-",DW172)-FIND("|",DW172)-1))),ABS($Q172-ABS(VALUE(MID(DW172,FIND("|",DW172)+1,FIND("-",DW172)-FIND("|",DW172)-1))-VALUE(MID(DW172,FIND("-",DW172)+1,10)))))*$D$50)))))*$I172,0)),0)</f>
        <v>0</v>
      </c>
      <c r="DY172" s="404"/>
      <c r="DZ172" s="363"/>
      <c r="EA172" s="356" t="n">
        <f aca="false">IFERROR(IF($M172=DZ172,($D$8+$D$9+$D$10)*$I172,IF($N172=LEFT(DZ172,1),($D$8+MAX(0,IF($D$50=1,$D$9*(1-(ABS($Q172-ABS(VALUE(MID(DZ172,FIND("|",DZ172)+1,FIND("-",DZ172)-FIND("|",DZ172)-1))-VALUE(MID(DZ172,FIND("-",DZ172)+1,10)))))*$D$50),$D$9*(1-(IF($N172="X",ABS($O172-VALUE(MID(DZ172,FIND("|",DZ172)+1,FIND("-",DZ172)-FIND("|",DZ172)-1))),ABS($Q172-ABS(VALUE(MID(DZ172,FIND("|",DZ172)+1,FIND("-",DZ172)-FIND("|",DZ172)-1))-VALUE(MID(DZ172,FIND("-",DZ172)+1,10)))))*$D$50)))))*$I172,0)),0)</f>
        <v>0</v>
      </c>
      <c r="EB172" s="404"/>
      <c r="EC172" s="363"/>
      <c r="ED172" s="356" t="n">
        <f aca="false">IFERROR(IF($M172=EC172,($D$8+$D$9+$D$10)*$I172,IF($N172=LEFT(EC172,1),($D$8+MAX(0,IF($D$50=1,$D$9*(1-(ABS($Q172-ABS(VALUE(MID(EC172,FIND("|",EC172)+1,FIND("-",EC172)-FIND("|",EC172)-1))-VALUE(MID(EC172,FIND("-",EC172)+1,10)))))*$D$50),$D$9*(1-(IF($N172="X",ABS($O172-VALUE(MID(EC172,FIND("|",EC172)+1,FIND("-",EC172)-FIND("|",EC172)-1))),ABS($Q172-ABS(VALUE(MID(EC172,FIND("|",EC172)+1,FIND("-",EC172)-FIND("|",EC172)-1))-VALUE(MID(EC172,FIND("-",EC172)+1,10)))))*$D$50)))))*$I172,0)),0)</f>
        <v>0</v>
      </c>
      <c r="EE172" s="404"/>
      <c r="EF172" s="363"/>
      <c r="EG172" s="356" t="n">
        <f aca="false">IFERROR(IF($M172=EF172,($D$8+$D$9+$D$10)*$I172,IF($N172=LEFT(EF172,1),($D$8+MAX(0,IF($D$50=1,$D$9*(1-(ABS($Q172-ABS(VALUE(MID(EF172,FIND("|",EF172)+1,FIND("-",EF172)-FIND("|",EF172)-1))-VALUE(MID(EF172,FIND("-",EF172)+1,10)))))*$D$50),$D$9*(1-(IF($N172="X",ABS($O172-VALUE(MID(EF172,FIND("|",EF172)+1,FIND("-",EF172)-FIND("|",EF172)-1))),ABS($Q172-ABS(VALUE(MID(EF172,FIND("|",EF172)+1,FIND("-",EF172)-FIND("|",EF172)-1))-VALUE(MID(EF172,FIND("-",EF172)+1,10)))))*$D$50)))))*$I172,0)),0)</f>
        <v>0</v>
      </c>
      <c r="EH172" s="404"/>
      <c r="EI172" s="404"/>
    </row>
    <row r="173" customFormat="false" ht="15" hidden="false" customHeight="false" outlineLevel="0" collapsed="false">
      <c r="A173" s="332" t="n">
        <f aca="false">WORLDCUP!AD110</f>
        <v>0</v>
      </c>
      <c r="B173" s="332" t="n">
        <f aca="false">WORLDCUP!AC110</f>
        <v>0</v>
      </c>
      <c r="C173" s="422" t="str">
        <f aca="false">CONCATENATE(WORLDCUP!AF110,"-",WORLDCUP!AA110)</f>
        <v>3BEFIJ-1D</v>
      </c>
      <c r="D173" s="422" t="str">
        <f aca="false">IF(WORLDCUP!AC110&gt;WORLDCUP!AD110,2,IF(WORLDCUP!AC110&lt;WORLDCUP!AD110,1,IF(AND(WORLDCUP!AC110=WORLDCUP!AD110,WORLDCUP!AC110&lt;&gt;"",WORLDCUP!AD110&lt;&gt;""),0,"PD")))</f>
        <v>PD</v>
      </c>
      <c r="E173" s="422" t="str">
        <f aca="false">IF(OR(WORLDCUP!AC110="",WORLDCUP!AD110=""),"-",A173&amp;"-"&amp;B173)</f>
        <v>-</v>
      </c>
      <c r="F173" s="423" t="n">
        <f aca="false">SUM($D$16:$D$18)*I173</f>
        <v>17</v>
      </c>
      <c r="G173" s="423" t="n">
        <f aca="false">VLOOKUP(H173,Equipos!$Q$1:$R$25,2,0)</f>
        <v>20</v>
      </c>
      <c r="H173" s="424" t="str">
        <f aca="false">Idiomas!$D$260</f>
        <v>Dieciseisavos de final</v>
      </c>
      <c r="I173" s="425" t="n">
        <v>1</v>
      </c>
      <c r="J173" s="418"/>
      <c r="K173" s="367" t="str">
        <f aca="false">CONCATENATE(WORLDCUP!AA110,"-",WORLDCUP!AF110)</f>
        <v>1D-3BEFIJ</v>
      </c>
      <c r="L173" s="354"/>
      <c r="M173" s="359" t="str">
        <f aca="false">IF(OR(WORLDCUP!AC110="",WORLDCUP!AD110=""),"-",N173&amp;"|"&amp;O173&amp;"-"&amp;P173)</f>
        <v>-</v>
      </c>
      <c r="N173" s="332" t="str">
        <f aca="false">IF(OR(WORLDCUP!AC110="",WORLDCUP!AD110=""),"",IF(WORLDCUP!AC110&gt;WORLDCUP!AD110,"1",IF(WORLDCUP!AC110&lt;WORLDCUP!AD110,"2","X")))</f>
        <v/>
      </c>
      <c r="O173" s="332" t="n">
        <f aca="false">WORLDCUP!AC110</f>
        <v>0</v>
      </c>
      <c r="P173" s="332" t="n">
        <f aca="false">WORLDCUP!AD110</f>
        <v>0</v>
      </c>
      <c r="Q173" s="332" t="n">
        <f aca="false">ABS(O173-P173)</f>
        <v>0</v>
      </c>
      <c r="R173" s="404"/>
      <c r="S173" s="363" t="s">
        <v>275</v>
      </c>
      <c r="T173" s="356" t="n">
        <f aca="false">IFERROR(IF($M173=S173,($D$8+$D$9+$D$10)*$I173,IF($N173=LEFT(S173,1),($D$8+MAX(0,IF($D$50=1,$D$9*(1-(ABS($Q173-ABS(VALUE(MID(S173,FIND("|",S173)+1,FIND("-",S173)-FIND("|",S173)-1))-VALUE(MID(S173,FIND("-",S173)+1,10)))))*$D$50),$D$9*(1-(IF($N173="X",ABS($O173-VALUE(MID(S173,FIND("|",S173)+1,FIND("-",S173)-FIND("|",S173)-1))),ABS($Q173-ABS(VALUE(MID(S173,FIND("|",S173)+1,FIND("-",S173)-FIND("|",S173)-1))-VALUE(MID(S173,FIND("-",S173)+1,10)))))*$D$50)))))*$I173,0)),0)</f>
        <v>0</v>
      </c>
      <c r="U173" s="404"/>
      <c r="V173" s="363" t="s">
        <v>265</v>
      </c>
      <c r="W173" s="356" t="n">
        <f aca="false">IFERROR(IF($M173=V173,($D$8+$D$9+$D$10)*$I173,IF($N173=LEFT(V173,1),($D$8+MAX(0,IF($D$50=1,$D$9*(1-(ABS($Q173-ABS(VALUE(MID(V173,FIND("|",V173)+1,FIND("-",V173)-FIND("|",V173)-1))-VALUE(MID(V173,FIND("-",V173)+1,10)))))*$D$50),$D$9*(1-(IF($N173="X",ABS($O173-VALUE(MID(V173,FIND("|",V173)+1,FIND("-",V173)-FIND("|",V173)-1))),ABS($Q173-ABS(VALUE(MID(V173,FIND("|",V173)+1,FIND("-",V173)-FIND("|",V173)-1))-VALUE(MID(V173,FIND("-",V173)+1,10)))))*$D$50)))))*$I173,0)),0)</f>
        <v>0</v>
      </c>
      <c r="X173" s="404"/>
      <c r="Y173" s="363" t="s">
        <v>266</v>
      </c>
      <c r="Z173" s="356" t="n">
        <f aca="false">IFERROR(IF($M173=Y173,($D$8+$D$9+$D$10)*$I173,IF($N173=LEFT(Y173,1),($D$8+MAX(0,IF($D$50=1,$D$9*(1-(ABS($Q173-ABS(VALUE(MID(Y173,FIND("|",Y173)+1,FIND("-",Y173)-FIND("|",Y173)-1))-VALUE(MID(Y173,FIND("-",Y173)+1,10)))))*$D$50),$D$9*(1-(IF($N173="X",ABS($O173-VALUE(MID(Y173,FIND("|",Y173)+1,FIND("-",Y173)-FIND("|",Y173)-1))),ABS($Q173-ABS(VALUE(MID(Y173,FIND("|",Y173)+1,FIND("-",Y173)-FIND("|",Y173)-1))-VALUE(MID(Y173,FIND("-",Y173)+1,10)))))*$D$50)))))*$I173,0)),0)</f>
        <v>0</v>
      </c>
      <c r="AA173" s="404"/>
      <c r="AB173" s="363" t="s">
        <v>267</v>
      </c>
      <c r="AC173" s="356" t="n">
        <f aca="false">IFERROR(IF($M173=AB173,($D$8+$D$9+$D$10)*$I173,IF($N173=LEFT(AB173,1),($D$8+MAX(0,IF($D$50=1,$D$9*(1-(ABS($Q173-ABS(VALUE(MID(AB173,FIND("|",AB173)+1,FIND("-",AB173)-FIND("|",AB173)-1))-VALUE(MID(AB173,FIND("-",AB173)+1,10)))))*$D$50),$D$9*(1-(IF($N173="X",ABS($O173-VALUE(MID(AB173,FIND("|",AB173)+1,FIND("-",AB173)-FIND("|",AB173)-1))),ABS($Q173-ABS(VALUE(MID(AB173,FIND("|",AB173)+1,FIND("-",AB173)-FIND("|",AB173)-1))-VALUE(MID(AB173,FIND("-",AB173)+1,10)))))*$D$50)))))*$I173,0)),0)</f>
        <v>0</v>
      </c>
      <c r="AD173" s="404"/>
      <c r="AE173" s="363" t="s">
        <v>265</v>
      </c>
      <c r="AF173" s="356" t="n">
        <f aca="false">IFERROR(IF($M173=AE173,($D$8+$D$9+$D$10)*$I173,IF($N173=LEFT(AE173,1),($D$8+MAX(0,IF($D$50=1,$D$9*(1-(ABS($Q173-ABS(VALUE(MID(AE173,FIND("|",AE173)+1,FIND("-",AE173)-FIND("|",AE173)-1))-VALUE(MID(AE173,FIND("-",AE173)+1,10)))))*$D$50),$D$9*(1-(IF($N173="X",ABS($O173-VALUE(MID(AE173,FIND("|",AE173)+1,FIND("-",AE173)-FIND("|",AE173)-1))),ABS($Q173-ABS(VALUE(MID(AE173,FIND("|",AE173)+1,FIND("-",AE173)-FIND("|",AE173)-1))-VALUE(MID(AE173,FIND("-",AE173)+1,10)))))*$D$50)))))*$I173,0)),0)</f>
        <v>0</v>
      </c>
      <c r="AG173" s="404"/>
      <c r="AH173" s="363" t="s">
        <v>268</v>
      </c>
      <c r="AI173" s="356" t="n">
        <f aca="false">IFERROR(IF($M173=AH173,($D$8+$D$9+$D$10)*$I173,IF($N173=LEFT(AH173,1),($D$8+MAX(0,IF($D$50=1,$D$9*(1-(ABS($Q173-ABS(VALUE(MID(AH173,FIND("|",AH173)+1,FIND("-",AH173)-FIND("|",AH173)-1))-VALUE(MID(AH173,FIND("-",AH173)+1,10)))))*$D$50),$D$9*(1-(IF($N173="X",ABS($O173-VALUE(MID(AH173,FIND("|",AH173)+1,FIND("-",AH173)-FIND("|",AH173)-1))),ABS($Q173-ABS(VALUE(MID(AH173,FIND("|",AH173)+1,FIND("-",AH173)-FIND("|",AH173)-1))-VALUE(MID(AH173,FIND("-",AH173)+1,10)))))*$D$50)))))*$I173,0)),0)</f>
        <v>0</v>
      </c>
      <c r="AJ173" s="404"/>
      <c r="AK173" s="363" t="s">
        <v>264</v>
      </c>
      <c r="AL173" s="356" t="n">
        <f aca="false">IFERROR(IF($M173=AK173,($D$8+$D$9+$D$10)*$I173,IF($N173=LEFT(AK173,1),($D$8+MAX(0,IF($D$50=1,$D$9*(1-(ABS($Q173-ABS(VALUE(MID(AK173,FIND("|",AK173)+1,FIND("-",AK173)-FIND("|",AK173)-1))-VALUE(MID(AK173,FIND("-",AK173)+1,10)))))*$D$50),$D$9*(1-(IF($N173="X",ABS($O173-VALUE(MID(AK173,FIND("|",AK173)+1,FIND("-",AK173)-FIND("|",AK173)-1))),ABS($Q173-ABS(VALUE(MID(AK173,FIND("|",AK173)+1,FIND("-",AK173)-FIND("|",AK173)-1))-VALUE(MID(AK173,FIND("-",AK173)+1,10)))))*$D$50)))))*$I173,0)),0)</f>
        <v>0</v>
      </c>
      <c r="AM173" s="404"/>
      <c r="AN173" s="363" t="s">
        <v>265</v>
      </c>
      <c r="AO173" s="356" t="n">
        <f aca="false">IFERROR(IF($M173=AN173,($D$8+$D$9+$D$10)*$I173,IF($N173=LEFT(AN173,1),($D$8+MAX(0,IF($D$50=1,$D$9*(1-(ABS($Q173-ABS(VALUE(MID(AN173,FIND("|",AN173)+1,FIND("-",AN173)-FIND("|",AN173)-1))-VALUE(MID(AN173,FIND("-",AN173)+1,10)))))*$D$50),$D$9*(1-(IF($N173="X",ABS($O173-VALUE(MID(AN173,FIND("|",AN173)+1,FIND("-",AN173)-FIND("|",AN173)-1))),ABS($Q173-ABS(VALUE(MID(AN173,FIND("|",AN173)+1,FIND("-",AN173)-FIND("|",AN173)-1))-VALUE(MID(AN173,FIND("-",AN173)+1,10)))))*$D$50)))))*$I173,0)),0)</f>
        <v>0</v>
      </c>
      <c r="AP173" s="404"/>
      <c r="AQ173" s="363" t="s">
        <v>264</v>
      </c>
      <c r="AR173" s="356" t="n">
        <f aca="false">IFERROR(IF($M173=AQ173,($D$8+$D$9+$D$10)*$I173,IF($N173=LEFT(AQ173,1),($D$8+MAX(0,IF($D$50=1,$D$9*(1-(ABS($Q173-ABS(VALUE(MID(AQ173,FIND("|",AQ173)+1,FIND("-",AQ173)-FIND("|",AQ173)-1))-VALUE(MID(AQ173,FIND("-",AQ173)+1,10)))))*$D$50),$D$9*(1-(IF($N173="X",ABS($O173-VALUE(MID(AQ173,FIND("|",AQ173)+1,FIND("-",AQ173)-FIND("|",AQ173)-1))),ABS($Q173-ABS(VALUE(MID(AQ173,FIND("|",AQ173)+1,FIND("-",AQ173)-FIND("|",AQ173)-1))-VALUE(MID(AQ173,FIND("-",AQ173)+1,10)))))*$D$50)))))*$I173,0)),0)</f>
        <v>0</v>
      </c>
      <c r="AS173" s="404"/>
      <c r="AT173" s="363" t="s">
        <v>288</v>
      </c>
      <c r="AU173" s="356" t="n">
        <f aca="false">IFERROR(IF($M173=AT173,($D$8+$D$9+$D$10)*$I173,IF($N173=LEFT(AT173,1),($D$8+MAX(0,IF($D$50=1,$D$9*(1-(ABS($Q173-ABS(VALUE(MID(AT173,FIND("|",AT173)+1,FIND("-",AT173)-FIND("|",AT173)-1))-VALUE(MID(AT173,FIND("-",AT173)+1,10)))))*$D$50),$D$9*(1-(IF($N173="X",ABS($O173-VALUE(MID(AT173,FIND("|",AT173)+1,FIND("-",AT173)-FIND("|",AT173)-1))),ABS($Q173-ABS(VALUE(MID(AT173,FIND("|",AT173)+1,FIND("-",AT173)-FIND("|",AT173)-1))-VALUE(MID(AT173,FIND("-",AT173)+1,10)))))*$D$50)))))*$I173,0)),0)</f>
        <v>0</v>
      </c>
      <c r="AV173" s="404"/>
      <c r="AW173" s="363" t="s">
        <v>267</v>
      </c>
      <c r="AX173" s="356" t="n">
        <f aca="false">IFERROR(IF($M173=AW173,($D$8+$D$9+$D$10)*$I173,IF($N173=LEFT(AW173,1),($D$8+MAX(0,IF($D$50=1,$D$9*(1-(ABS($Q173-ABS(VALUE(MID(AW173,FIND("|",AW173)+1,FIND("-",AW173)-FIND("|",AW173)-1))-VALUE(MID(AW173,FIND("-",AW173)+1,10)))))*$D$50),$D$9*(1-(IF($N173="X",ABS($O173-VALUE(MID(AW173,FIND("|",AW173)+1,FIND("-",AW173)-FIND("|",AW173)-1))),ABS($Q173-ABS(VALUE(MID(AW173,FIND("|",AW173)+1,FIND("-",AW173)-FIND("|",AW173)-1))-VALUE(MID(AW173,FIND("-",AW173)+1,10)))))*$D$50)))))*$I173,0)),0)</f>
        <v>0</v>
      </c>
      <c r="AY173" s="404"/>
      <c r="AZ173" s="363" t="s">
        <v>266</v>
      </c>
      <c r="BA173" s="356" t="n">
        <f aca="false">IFERROR(IF($M173=AZ173,($D$8+$D$9+$D$10)*$I173,IF($N173=LEFT(AZ173,1),($D$8+MAX(0,IF($D$50=1,$D$9*(1-(ABS($Q173-ABS(VALUE(MID(AZ173,FIND("|",AZ173)+1,FIND("-",AZ173)-FIND("|",AZ173)-1))-VALUE(MID(AZ173,FIND("-",AZ173)+1,10)))))*$D$50),$D$9*(1-(IF($N173="X",ABS($O173-VALUE(MID(AZ173,FIND("|",AZ173)+1,FIND("-",AZ173)-FIND("|",AZ173)-1))),ABS($Q173-ABS(VALUE(MID(AZ173,FIND("|",AZ173)+1,FIND("-",AZ173)-FIND("|",AZ173)-1))-VALUE(MID(AZ173,FIND("-",AZ173)+1,10)))))*$D$50)))))*$I173,0)),0)</f>
        <v>0</v>
      </c>
      <c r="BB173" s="404"/>
      <c r="BC173" s="363" t="s">
        <v>264</v>
      </c>
      <c r="BD173" s="356" t="n">
        <f aca="false">IFERROR(IF($M173=BC173,($D$8+$D$9+$D$10)*$I173,IF($N173=LEFT(BC173,1),($D$8+MAX(0,IF($D$50=1,$D$9*(1-(ABS($Q173-ABS(VALUE(MID(BC173,FIND("|",BC173)+1,FIND("-",BC173)-FIND("|",BC173)-1))-VALUE(MID(BC173,FIND("-",BC173)+1,10)))))*$D$50),$D$9*(1-(IF($N173="X",ABS($O173-VALUE(MID(BC173,FIND("|",BC173)+1,FIND("-",BC173)-FIND("|",BC173)-1))),ABS($Q173-ABS(VALUE(MID(BC173,FIND("|",BC173)+1,FIND("-",BC173)-FIND("|",BC173)-1))-VALUE(MID(BC173,FIND("-",BC173)+1,10)))))*$D$50)))))*$I173,0)),0)</f>
        <v>0</v>
      </c>
      <c r="BE173" s="404"/>
      <c r="BF173" s="363" t="s">
        <v>272</v>
      </c>
      <c r="BG173" s="356" t="n">
        <f aca="false">IFERROR(IF($M173=BF173,($D$8+$D$9+$D$10)*$I173,IF($N173=LEFT(BF173,1),($D$8+MAX(0,IF($D$50=1,$D$9*(1-(ABS($Q173-ABS(VALUE(MID(BF173,FIND("|",BF173)+1,FIND("-",BF173)-FIND("|",BF173)-1))-VALUE(MID(BF173,FIND("-",BF173)+1,10)))))*$D$50),$D$9*(1-(IF($N173="X",ABS($O173-VALUE(MID(BF173,FIND("|",BF173)+1,FIND("-",BF173)-FIND("|",BF173)-1))),ABS($Q173-ABS(VALUE(MID(BF173,FIND("|",BF173)+1,FIND("-",BF173)-FIND("|",BF173)-1))-VALUE(MID(BF173,FIND("-",BF173)+1,10)))))*$D$50)))))*$I173,0)),0)</f>
        <v>0</v>
      </c>
      <c r="BH173" s="404"/>
      <c r="BI173" s="363" t="s">
        <v>275</v>
      </c>
      <c r="BJ173" s="356" t="n">
        <f aca="false">IFERROR(IF($M173=BI173,($D$8+$D$9+$D$10)*$I173,IF($N173=LEFT(BI173,1),($D$8+MAX(0,IF($D$50=1,$D$9*(1-(ABS($Q173-ABS(VALUE(MID(BI173,FIND("|",BI173)+1,FIND("-",BI173)-FIND("|",BI173)-1))-VALUE(MID(BI173,FIND("-",BI173)+1,10)))))*$D$50),$D$9*(1-(IF($N173="X",ABS($O173-VALUE(MID(BI173,FIND("|",BI173)+1,FIND("-",BI173)-FIND("|",BI173)-1))),ABS($Q173-ABS(VALUE(MID(BI173,FIND("|",BI173)+1,FIND("-",BI173)-FIND("|",BI173)-1))-VALUE(MID(BI173,FIND("-",BI173)+1,10)))))*$D$50)))))*$I173,0)),0)</f>
        <v>0</v>
      </c>
      <c r="BK173" s="404"/>
      <c r="BL173" s="363" t="s">
        <v>265</v>
      </c>
      <c r="BM173" s="356" t="n">
        <f aca="false">IFERROR(IF($M173=BL173,($D$8+$D$9+$D$10)*$I173,IF($N173=LEFT(BL173,1),($D$8+MAX(0,IF($D$50=1,$D$9*(1-(ABS($Q173-ABS(VALUE(MID(BL173,FIND("|",BL173)+1,FIND("-",BL173)-FIND("|",BL173)-1))-VALUE(MID(BL173,FIND("-",BL173)+1,10)))))*$D$50),$D$9*(1-(IF($N173="X",ABS($O173-VALUE(MID(BL173,FIND("|",BL173)+1,FIND("-",BL173)-FIND("|",BL173)-1))),ABS($Q173-ABS(VALUE(MID(BL173,FIND("|",BL173)+1,FIND("-",BL173)-FIND("|",BL173)-1))-VALUE(MID(BL173,FIND("-",BL173)+1,10)))))*$D$50)))))*$I173,0)),0)</f>
        <v>0</v>
      </c>
      <c r="BN173" s="404"/>
      <c r="BO173" s="363" t="s">
        <v>267</v>
      </c>
      <c r="BP173" s="356" t="n">
        <f aca="false">IFERROR(IF($M173=BO173,($D$8+$D$9+$D$10)*$I173,IF($N173=LEFT(BO173,1),($D$8+MAX(0,IF($D$50=1,$D$9*(1-(ABS($Q173-ABS(VALUE(MID(BO173,FIND("|",BO173)+1,FIND("-",BO173)-FIND("|",BO173)-1))-VALUE(MID(BO173,FIND("-",BO173)+1,10)))))*$D$50),$D$9*(1-(IF($N173="X",ABS($O173-VALUE(MID(BO173,FIND("|",BO173)+1,FIND("-",BO173)-FIND("|",BO173)-1))),ABS($Q173-ABS(VALUE(MID(BO173,FIND("|",BO173)+1,FIND("-",BO173)-FIND("|",BO173)-1))-VALUE(MID(BO173,FIND("-",BO173)+1,10)))))*$D$50)))))*$I173,0)),0)</f>
        <v>0</v>
      </c>
      <c r="BQ173" s="404"/>
      <c r="BR173" s="363" t="s">
        <v>266</v>
      </c>
      <c r="BS173" s="356" t="n">
        <f aca="false">IFERROR(IF($M173=BR173,($D$8+$D$9+$D$10)*$I173,IF($N173=LEFT(BR173,1),($D$8+MAX(0,IF($D$50=1,$D$9*(1-(ABS($Q173-ABS(VALUE(MID(BR173,FIND("|",BR173)+1,FIND("-",BR173)-FIND("|",BR173)-1))-VALUE(MID(BR173,FIND("-",BR173)+1,10)))))*$D$50),$D$9*(1-(IF($N173="X",ABS($O173-VALUE(MID(BR173,FIND("|",BR173)+1,FIND("-",BR173)-FIND("|",BR173)-1))),ABS($Q173-ABS(VALUE(MID(BR173,FIND("|",BR173)+1,FIND("-",BR173)-FIND("|",BR173)-1))-VALUE(MID(BR173,FIND("-",BR173)+1,10)))))*$D$50)))))*$I173,0)),0)</f>
        <v>0</v>
      </c>
      <c r="BT173" s="404"/>
      <c r="BU173" s="363"/>
      <c r="BV173" s="356" t="n">
        <f aca="false">IFERROR(IF($M173=BU173,($D$8+$D$9+$D$10)*$I173,IF($N173=LEFT(BU173,1),($D$8+MAX(0,IF($D$50=1,$D$9*(1-(ABS($Q173-ABS(VALUE(MID(BU173,FIND("|",BU173)+1,FIND("-",BU173)-FIND("|",BU173)-1))-VALUE(MID(BU173,FIND("-",BU173)+1,10)))))*$D$50),$D$9*(1-(IF($N173="X",ABS($O173-VALUE(MID(BU173,FIND("|",BU173)+1,FIND("-",BU173)-FIND("|",BU173)-1))),ABS($Q173-ABS(VALUE(MID(BU173,FIND("|",BU173)+1,FIND("-",BU173)-FIND("|",BU173)-1))-VALUE(MID(BU173,FIND("-",BU173)+1,10)))))*$D$50)))))*$I173,0)),0)</f>
        <v>0</v>
      </c>
      <c r="BW173" s="404"/>
      <c r="BX173" s="363"/>
      <c r="BY173" s="356" t="n">
        <f aca="false">IFERROR(IF($M173=BX173,($D$8+$D$9+$D$10)*$I173,IF($N173=LEFT(BX173,1),($D$8+MAX(0,IF($D$50=1,$D$9*(1-(ABS($Q173-ABS(VALUE(MID(BX173,FIND("|",BX173)+1,FIND("-",BX173)-FIND("|",BX173)-1))-VALUE(MID(BX173,FIND("-",BX173)+1,10)))))*$D$50),$D$9*(1-(IF($N173="X",ABS($O173-VALUE(MID(BX173,FIND("|",BX173)+1,FIND("-",BX173)-FIND("|",BX173)-1))),ABS($Q173-ABS(VALUE(MID(BX173,FIND("|",BX173)+1,FIND("-",BX173)-FIND("|",BX173)-1))-VALUE(MID(BX173,FIND("-",BX173)+1,10)))))*$D$50)))))*$I173,0)),0)</f>
        <v>0</v>
      </c>
      <c r="BZ173" s="404"/>
      <c r="CA173" s="363"/>
      <c r="CB173" s="356" t="n">
        <f aca="false">IFERROR(IF($M173=CA173,($D$8+$D$9+$D$10)*$I173,IF($N173=LEFT(CA173,1),($D$8+MAX(0,IF($D$50=1,$D$9*(1-(ABS($Q173-ABS(VALUE(MID(CA173,FIND("|",CA173)+1,FIND("-",CA173)-FIND("|",CA173)-1))-VALUE(MID(CA173,FIND("-",CA173)+1,10)))))*$D$50),$D$9*(1-(IF($N173="X",ABS($O173-VALUE(MID(CA173,FIND("|",CA173)+1,FIND("-",CA173)-FIND("|",CA173)-1))),ABS($Q173-ABS(VALUE(MID(CA173,FIND("|",CA173)+1,FIND("-",CA173)-FIND("|",CA173)-1))-VALUE(MID(CA173,FIND("-",CA173)+1,10)))))*$D$50)))))*$I173,0)),0)</f>
        <v>0</v>
      </c>
      <c r="CC173" s="404"/>
      <c r="CD173" s="363"/>
      <c r="CE173" s="356" t="n">
        <f aca="false">IFERROR(IF($M173=CD173,($D$8+$D$9+$D$10)*$I173,IF($N173=LEFT(CD173,1),($D$8+MAX(0,IF($D$50=1,$D$9*(1-(ABS($Q173-ABS(VALUE(MID(CD173,FIND("|",CD173)+1,FIND("-",CD173)-FIND("|",CD173)-1))-VALUE(MID(CD173,FIND("-",CD173)+1,10)))))*$D$50),$D$9*(1-(IF($N173="X",ABS($O173-VALUE(MID(CD173,FIND("|",CD173)+1,FIND("-",CD173)-FIND("|",CD173)-1))),ABS($Q173-ABS(VALUE(MID(CD173,FIND("|",CD173)+1,FIND("-",CD173)-FIND("|",CD173)-1))-VALUE(MID(CD173,FIND("-",CD173)+1,10)))))*$D$50)))))*$I173,0)),0)</f>
        <v>0</v>
      </c>
      <c r="CF173" s="404"/>
      <c r="CG173" s="363"/>
      <c r="CH173" s="356" t="n">
        <f aca="false">IFERROR(IF($M173=CG173,($D$8+$D$9+$D$10)*$I173,IF($N173=LEFT(CG173,1),($D$8+MAX(0,IF($D$50=1,$D$9*(1-(ABS($Q173-ABS(VALUE(MID(CG173,FIND("|",CG173)+1,FIND("-",CG173)-FIND("|",CG173)-1))-VALUE(MID(CG173,FIND("-",CG173)+1,10)))))*$D$50),$D$9*(1-(IF($N173="X",ABS($O173-VALUE(MID(CG173,FIND("|",CG173)+1,FIND("-",CG173)-FIND("|",CG173)-1))),ABS($Q173-ABS(VALUE(MID(CG173,FIND("|",CG173)+1,FIND("-",CG173)-FIND("|",CG173)-1))-VALUE(MID(CG173,FIND("-",CG173)+1,10)))))*$D$50)))))*$I173,0)),0)</f>
        <v>0</v>
      </c>
      <c r="CI173" s="404"/>
      <c r="CJ173" s="363"/>
      <c r="CK173" s="356" t="n">
        <f aca="false">IFERROR(IF($M173=CJ173,($D$8+$D$9+$D$10)*$I173,IF($N173=LEFT(CJ173,1),($D$8+MAX(0,IF($D$50=1,$D$9*(1-(ABS($Q173-ABS(VALUE(MID(CJ173,FIND("|",CJ173)+1,FIND("-",CJ173)-FIND("|",CJ173)-1))-VALUE(MID(CJ173,FIND("-",CJ173)+1,10)))))*$D$50),$D$9*(1-(IF($N173="X",ABS($O173-VALUE(MID(CJ173,FIND("|",CJ173)+1,FIND("-",CJ173)-FIND("|",CJ173)-1))),ABS($Q173-ABS(VALUE(MID(CJ173,FIND("|",CJ173)+1,FIND("-",CJ173)-FIND("|",CJ173)-1))-VALUE(MID(CJ173,FIND("-",CJ173)+1,10)))))*$D$50)))))*$I173,0)),0)</f>
        <v>0</v>
      </c>
      <c r="CL173" s="404"/>
      <c r="CM173" s="363"/>
      <c r="CN173" s="356" t="n">
        <f aca="false">IFERROR(IF($M173=CM173,($D$8+$D$9+$D$10)*$I173,IF($N173=LEFT(CM173,1),($D$8+MAX(0,IF($D$50=1,$D$9*(1-(ABS($Q173-ABS(VALUE(MID(CM173,FIND("|",CM173)+1,FIND("-",CM173)-FIND("|",CM173)-1))-VALUE(MID(CM173,FIND("-",CM173)+1,10)))))*$D$50),$D$9*(1-(IF($N173="X",ABS($O173-VALUE(MID(CM173,FIND("|",CM173)+1,FIND("-",CM173)-FIND("|",CM173)-1))),ABS($Q173-ABS(VALUE(MID(CM173,FIND("|",CM173)+1,FIND("-",CM173)-FIND("|",CM173)-1))-VALUE(MID(CM173,FIND("-",CM173)+1,10)))))*$D$50)))))*$I173,0)),0)</f>
        <v>0</v>
      </c>
      <c r="CO173" s="404"/>
      <c r="CP173" s="363"/>
      <c r="CQ173" s="356" t="n">
        <f aca="false">IFERROR(IF($M173=CP173,($D$8+$D$9+$D$10)*$I173,IF($N173=LEFT(CP173,1),($D$8+MAX(0,IF($D$50=1,$D$9*(1-(ABS($Q173-ABS(VALUE(MID(CP173,FIND("|",CP173)+1,FIND("-",CP173)-FIND("|",CP173)-1))-VALUE(MID(CP173,FIND("-",CP173)+1,10)))))*$D$50),$D$9*(1-(IF($N173="X",ABS($O173-VALUE(MID(CP173,FIND("|",CP173)+1,FIND("-",CP173)-FIND("|",CP173)-1))),ABS($Q173-ABS(VALUE(MID(CP173,FIND("|",CP173)+1,FIND("-",CP173)-FIND("|",CP173)-1))-VALUE(MID(CP173,FIND("-",CP173)+1,10)))))*$D$50)))))*$I173,0)),0)</f>
        <v>0</v>
      </c>
      <c r="CR173" s="404"/>
      <c r="CS173" s="363"/>
      <c r="CT173" s="356" t="n">
        <f aca="false">IFERROR(IF($M173=CS173,($D$8+$D$9+$D$10)*$I173,IF($N173=LEFT(CS173,1),($D$8+MAX(0,IF($D$50=1,$D$9*(1-(ABS($Q173-ABS(VALUE(MID(CS173,FIND("|",CS173)+1,FIND("-",CS173)-FIND("|",CS173)-1))-VALUE(MID(CS173,FIND("-",CS173)+1,10)))))*$D$50),$D$9*(1-(IF($N173="X",ABS($O173-VALUE(MID(CS173,FIND("|",CS173)+1,FIND("-",CS173)-FIND("|",CS173)-1))),ABS($Q173-ABS(VALUE(MID(CS173,FIND("|",CS173)+1,FIND("-",CS173)-FIND("|",CS173)-1))-VALUE(MID(CS173,FIND("-",CS173)+1,10)))))*$D$50)))))*$I173,0)),0)</f>
        <v>0</v>
      </c>
      <c r="CU173" s="404"/>
      <c r="CV173" s="363"/>
      <c r="CW173" s="356" t="n">
        <f aca="false">IFERROR(IF($M173=CV173,($D$8+$D$9+$D$10)*$I173,IF($N173=LEFT(CV173,1),($D$8+MAX(0,IF($D$50=1,$D$9*(1-(ABS($Q173-ABS(VALUE(MID(CV173,FIND("|",CV173)+1,FIND("-",CV173)-FIND("|",CV173)-1))-VALUE(MID(CV173,FIND("-",CV173)+1,10)))))*$D$50),$D$9*(1-(IF($N173="X",ABS($O173-VALUE(MID(CV173,FIND("|",CV173)+1,FIND("-",CV173)-FIND("|",CV173)-1))),ABS($Q173-ABS(VALUE(MID(CV173,FIND("|",CV173)+1,FIND("-",CV173)-FIND("|",CV173)-1))-VALUE(MID(CV173,FIND("-",CV173)+1,10)))))*$D$50)))))*$I173,0)),0)</f>
        <v>0</v>
      </c>
      <c r="CX173" s="404"/>
      <c r="CY173" s="363"/>
      <c r="CZ173" s="356" t="n">
        <f aca="false">IFERROR(IF($M173=CY173,($D$8+$D$9+$D$10)*$I173,IF($N173=LEFT(CY173,1),($D$8+MAX(0,IF($D$50=1,$D$9*(1-(ABS($Q173-ABS(VALUE(MID(CY173,FIND("|",CY173)+1,FIND("-",CY173)-FIND("|",CY173)-1))-VALUE(MID(CY173,FIND("-",CY173)+1,10)))))*$D$50),$D$9*(1-(IF($N173="X",ABS($O173-VALUE(MID(CY173,FIND("|",CY173)+1,FIND("-",CY173)-FIND("|",CY173)-1))),ABS($Q173-ABS(VALUE(MID(CY173,FIND("|",CY173)+1,FIND("-",CY173)-FIND("|",CY173)-1))-VALUE(MID(CY173,FIND("-",CY173)+1,10)))))*$D$50)))))*$I173,0)),0)</f>
        <v>0</v>
      </c>
      <c r="DA173" s="404"/>
      <c r="DB173" s="363"/>
      <c r="DC173" s="356" t="n">
        <f aca="false">IFERROR(IF($M173=DB173,($D$8+$D$9+$D$10)*$I173,IF($N173=LEFT(DB173,1),($D$8+MAX(0,IF($D$50=1,$D$9*(1-(ABS($Q173-ABS(VALUE(MID(DB173,FIND("|",DB173)+1,FIND("-",DB173)-FIND("|",DB173)-1))-VALUE(MID(DB173,FIND("-",DB173)+1,10)))))*$D$50),$D$9*(1-(IF($N173="X",ABS($O173-VALUE(MID(DB173,FIND("|",DB173)+1,FIND("-",DB173)-FIND("|",DB173)-1))),ABS($Q173-ABS(VALUE(MID(DB173,FIND("|",DB173)+1,FIND("-",DB173)-FIND("|",DB173)-1))-VALUE(MID(DB173,FIND("-",DB173)+1,10)))))*$D$50)))))*$I173,0)),0)</f>
        <v>0</v>
      </c>
      <c r="DD173" s="404"/>
      <c r="DE173" s="363"/>
      <c r="DF173" s="356" t="n">
        <f aca="false">IFERROR(IF($M173=DE173,($D$8+$D$9+$D$10)*$I173,IF($N173=LEFT(DE173,1),($D$8+MAX(0,IF($D$50=1,$D$9*(1-(ABS($Q173-ABS(VALUE(MID(DE173,FIND("|",DE173)+1,FIND("-",DE173)-FIND("|",DE173)-1))-VALUE(MID(DE173,FIND("-",DE173)+1,10)))))*$D$50),$D$9*(1-(IF($N173="X",ABS($O173-VALUE(MID(DE173,FIND("|",DE173)+1,FIND("-",DE173)-FIND("|",DE173)-1))),ABS($Q173-ABS(VALUE(MID(DE173,FIND("|",DE173)+1,FIND("-",DE173)-FIND("|",DE173)-1))-VALUE(MID(DE173,FIND("-",DE173)+1,10)))))*$D$50)))))*$I173,0)),0)</f>
        <v>0</v>
      </c>
      <c r="DG173" s="404"/>
      <c r="DH173" s="363"/>
      <c r="DI173" s="356" t="n">
        <f aca="false">IFERROR(IF($M173=DH173,($D$8+$D$9+$D$10)*$I173,IF($N173=LEFT(DH173,1),($D$8+MAX(0,IF($D$50=1,$D$9*(1-(ABS($Q173-ABS(VALUE(MID(DH173,FIND("|",DH173)+1,FIND("-",DH173)-FIND("|",DH173)-1))-VALUE(MID(DH173,FIND("-",DH173)+1,10)))))*$D$50),$D$9*(1-(IF($N173="X",ABS($O173-VALUE(MID(DH173,FIND("|",DH173)+1,FIND("-",DH173)-FIND("|",DH173)-1))),ABS($Q173-ABS(VALUE(MID(DH173,FIND("|",DH173)+1,FIND("-",DH173)-FIND("|",DH173)-1))-VALUE(MID(DH173,FIND("-",DH173)+1,10)))))*$D$50)))))*$I173,0)),0)</f>
        <v>0</v>
      </c>
      <c r="DJ173" s="404"/>
      <c r="DK173" s="363"/>
      <c r="DL173" s="356" t="n">
        <f aca="false">IFERROR(IF($M173=DK173,($D$8+$D$9+$D$10)*$I173,IF($N173=LEFT(DK173,1),($D$8+MAX(0,IF($D$50=1,$D$9*(1-(ABS($Q173-ABS(VALUE(MID(DK173,FIND("|",DK173)+1,FIND("-",DK173)-FIND("|",DK173)-1))-VALUE(MID(DK173,FIND("-",DK173)+1,10)))))*$D$50),$D$9*(1-(IF($N173="X",ABS($O173-VALUE(MID(DK173,FIND("|",DK173)+1,FIND("-",DK173)-FIND("|",DK173)-1))),ABS($Q173-ABS(VALUE(MID(DK173,FIND("|",DK173)+1,FIND("-",DK173)-FIND("|",DK173)-1))-VALUE(MID(DK173,FIND("-",DK173)+1,10)))))*$D$50)))))*$I173,0)),0)</f>
        <v>0</v>
      </c>
      <c r="DM173" s="404"/>
      <c r="DN173" s="363"/>
      <c r="DO173" s="356" t="n">
        <f aca="false">IFERROR(IF($M173=DN173,($D$8+$D$9+$D$10)*$I173,IF($N173=LEFT(DN173,1),($D$8+MAX(0,IF($D$50=1,$D$9*(1-(ABS($Q173-ABS(VALUE(MID(DN173,FIND("|",DN173)+1,FIND("-",DN173)-FIND("|",DN173)-1))-VALUE(MID(DN173,FIND("-",DN173)+1,10)))))*$D$50),$D$9*(1-(IF($N173="X",ABS($O173-VALUE(MID(DN173,FIND("|",DN173)+1,FIND("-",DN173)-FIND("|",DN173)-1))),ABS($Q173-ABS(VALUE(MID(DN173,FIND("|",DN173)+1,FIND("-",DN173)-FIND("|",DN173)-1))-VALUE(MID(DN173,FIND("-",DN173)+1,10)))))*$D$50)))))*$I173,0)),0)</f>
        <v>0</v>
      </c>
      <c r="DP173" s="404"/>
      <c r="DQ173" s="363"/>
      <c r="DR173" s="356" t="n">
        <f aca="false">IFERROR(IF($M173=DQ173,($D$8+$D$9+$D$10)*$I173,IF($N173=LEFT(DQ173,1),($D$8+MAX(0,IF($D$50=1,$D$9*(1-(ABS($Q173-ABS(VALUE(MID(DQ173,FIND("|",DQ173)+1,FIND("-",DQ173)-FIND("|",DQ173)-1))-VALUE(MID(DQ173,FIND("-",DQ173)+1,10)))))*$D$50),$D$9*(1-(IF($N173="X",ABS($O173-VALUE(MID(DQ173,FIND("|",DQ173)+1,FIND("-",DQ173)-FIND("|",DQ173)-1))),ABS($Q173-ABS(VALUE(MID(DQ173,FIND("|",DQ173)+1,FIND("-",DQ173)-FIND("|",DQ173)-1))-VALUE(MID(DQ173,FIND("-",DQ173)+1,10)))))*$D$50)))))*$I173,0)),0)</f>
        <v>0</v>
      </c>
      <c r="DS173" s="404"/>
      <c r="DT173" s="363"/>
      <c r="DU173" s="356" t="n">
        <f aca="false">IFERROR(IF($M173=DT173,($D$8+$D$9+$D$10)*$I173,IF($N173=LEFT(DT173,1),($D$8+MAX(0,IF($D$50=1,$D$9*(1-(ABS($Q173-ABS(VALUE(MID(DT173,FIND("|",DT173)+1,FIND("-",DT173)-FIND("|",DT173)-1))-VALUE(MID(DT173,FIND("-",DT173)+1,10)))))*$D$50),$D$9*(1-(IF($N173="X",ABS($O173-VALUE(MID(DT173,FIND("|",DT173)+1,FIND("-",DT173)-FIND("|",DT173)-1))),ABS($Q173-ABS(VALUE(MID(DT173,FIND("|",DT173)+1,FIND("-",DT173)-FIND("|",DT173)-1))-VALUE(MID(DT173,FIND("-",DT173)+1,10)))))*$D$50)))))*$I173,0)),0)</f>
        <v>0</v>
      </c>
      <c r="DV173" s="404"/>
      <c r="DW173" s="363"/>
      <c r="DX173" s="356" t="n">
        <f aca="false">IFERROR(IF($M173=DW173,($D$8+$D$9+$D$10)*$I173,IF($N173=LEFT(DW173,1),($D$8+MAX(0,IF($D$50=1,$D$9*(1-(ABS($Q173-ABS(VALUE(MID(DW173,FIND("|",DW173)+1,FIND("-",DW173)-FIND("|",DW173)-1))-VALUE(MID(DW173,FIND("-",DW173)+1,10)))))*$D$50),$D$9*(1-(IF($N173="X",ABS($O173-VALUE(MID(DW173,FIND("|",DW173)+1,FIND("-",DW173)-FIND("|",DW173)-1))),ABS($Q173-ABS(VALUE(MID(DW173,FIND("|",DW173)+1,FIND("-",DW173)-FIND("|",DW173)-1))-VALUE(MID(DW173,FIND("-",DW173)+1,10)))))*$D$50)))))*$I173,0)),0)</f>
        <v>0</v>
      </c>
      <c r="DY173" s="404"/>
      <c r="DZ173" s="363"/>
      <c r="EA173" s="356" t="n">
        <f aca="false">IFERROR(IF($M173=DZ173,($D$8+$D$9+$D$10)*$I173,IF($N173=LEFT(DZ173,1),($D$8+MAX(0,IF($D$50=1,$D$9*(1-(ABS($Q173-ABS(VALUE(MID(DZ173,FIND("|",DZ173)+1,FIND("-",DZ173)-FIND("|",DZ173)-1))-VALUE(MID(DZ173,FIND("-",DZ173)+1,10)))))*$D$50),$D$9*(1-(IF($N173="X",ABS($O173-VALUE(MID(DZ173,FIND("|",DZ173)+1,FIND("-",DZ173)-FIND("|",DZ173)-1))),ABS($Q173-ABS(VALUE(MID(DZ173,FIND("|",DZ173)+1,FIND("-",DZ173)-FIND("|",DZ173)-1))-VALUE(MID(DZ173,FIND("-",DZ173)+1,10)))))*$D$50)))))*$I173,0)),0)</f>
        <v>0</v>
      </c>
      <c r="EB173" s="404"/>
      <c r="EC173" s="366"/>
      <c r="ED173" s="356" t="n">
        <f aca="false">IFERROR(IF($M173=EC173,($D$8+$D$9+$D$10)*$I173,IF($N173=LEFT(EC173,1),($D$8+MAX(0,IF($D$50=1,$D$9*(1-(ABS($Q173-ABS(VALUE(MID(EC173,FIND("|",EC173)+1,FIND("-",EC173)-FIND("|",EC173)-1))-VALUE(MID(EC173,FIND("-",EC173)+1,10)))))*$D$50),$D$9*(1-(IF($N173="X",ABS($O173-VALUE(MID(EC173,FIND("|",EC173)+1,FIND("-",EC173)-FIND("|",EC173)-1))),ABS($Q173-ABS(VALUE(MID(EC173,FIND("|",EC173)+1,FIND("-",EC173)-FIND("|",EC173)-1))-VALUE(MID(EC173,FIND("-",EC173)+1,10)))))*$D$50)))))*$I173,0)),0)</f>
        <v>0</v>
      </c>
      <c r="EE173" s="404"/>
      <c r="EF173" s="363"/>
      <c r="EG173" s="356" t="n">
        <f aca="false">IFERROR(IF($M173=EF173,($D$8+$D$9+$D$10)*$I173,IF($N173=LEFT(EF173,1),($D$8+MAX(0,IF($D$50=1,$D$9*(1-(ABS($Q173-ABS(VALUE(MID(EF173,FIND("|",EF173)+1,FIND("-",EF173)-FIND("|",EF173)-1))-VALUE(MID(EF173,FIND("-",EF173)+1,10)))))*$D$50),$D$9*(1-(IF($N173="X",ABS($O173-VALUE(MID(EF173,FIND("|",EF173)+1,FIND("-",EF173)-FIND("|",EF173)-1))),ABS($Q173-ABS(VALUE(MID(EF173,FIND("|",EF173)+1,FIND("-",EF173)-FIND("|",EF173)-1))-VALUE(MID(EF173,FIND("-",EF173)+1,10)))))*$D$50)))))*$I173,0)),0)</f>
        <v>0</v>
      </c>
      <c r="EH173" s="404"/>
      <c r="EI173" s="404"/>
    </row>
    <row r="174" customFormat="false" ht="15" hidden="false" customHeight="false" outlineLevel="0" collapsed="false">
      <c r="A174" s="332" t="n">
        <f aca="false">WORLDCUP!AD111</f>
        <v>0</v>
      </c>
      <c r="B174" s="332" t="n">
        <f aca="false">WORLDCUP!AC111</f>
        <v>0</v>
      </c>
      <c r="C174" s="422" t="str">
        <f aca="false">CONCATENATE(WORLDCUP!AF111,"-",WORLDCUP!AA111)</f>
        <v>2J-1H</v>
      </c>
      <c r="D174" s="422" t="str">
        <f aca="false">IF(WORLDCUP!AC111&gt;WORLDCUP!AD111,2,IF(WORLDCUP!AC111&lt;WORLDCUP!AD111,1,IF(AND(WORLDCUP!AC111=WORLDCUP!AD111,WORLDCUP!AC111&lt;&gt;"",WORLDCUP!AD111&lt;&gt;""),0,"PD")))</f>
        <v>PD</v>
      </c>
      <c r="E174" s="422" t="str">
        <f aca="false">IF(OR(WORLDCUP!AC111="",WORLDCUP!AD111=""),"-",A174&amp;"-"&amp;B174)</f>
        <v>-</v>
      </c>
      <c r="F174" s="423" t="n">
        <f aca="false">SUM($D$16:$D$18)*I174</f>
        <v>17</v>
      </c>
      <c r="G174" s="423" t="n">
        <f aca="false">VLOOKUP(H174,Equipos!$Q$1:$R$25,2,0)</f>
        <v>20</v>
      </c>
      <c r="H174" s="424" t="str">
        <f aca="false">Idiomas!$D$260</f>
        <v>Dieciseisavos de final</v>
      </c>
      <c r="I174" s="425" t="n">
        <v>1</v>
      </c>
      <c r="J174" s="418"/>
      <c r="K174" s="367" t="str">
        <f aca="false">CONCATENATE(WORLDCUP!AA111,"-",WORLDCUP!AF111)</f>
        <v>1H-2J</v>
      </c>
      <c r="L174" s="354"/>
      <c r="M174" s="359" t="str">
        <f aca="false">IF(OR(WORLDCUP!AC111="",WORLDCUP!AD111=""),"-",N174&amp;"|"&amp;O174&amp;"-"&amp;P174)</f>
        <v>-</v>
      </c>
      <c r="N174" s="332" t="str">
        <f aca="false">IF(OR(WORLDCUP!AC111="",WORLDCUP!AD111=""),"",IF(WORLDCUP!AC111&gt;WORLDCUP!AD111,"1",IF(WORLDCUP!AC111&lt;WORLDCUP!AD111,"2","X")))</f>
        <v/>
      </c>
      <c r="O174" s="332" t="n">
        <f aca="false">WORLDCUP!AC111</f>
        <v>0</v>
      </c>
      <c r="P174" s="332" t="n">
        <f aca="false">WORLDCUP!AD111</f>
        <v>0</v>
      </c>
      <c r="Q174" s="332" t="n">
        <f aca="false">ABS(O174-P174)</f>
        <v>0</v>
      </c>
      <c r="R174" s="404"/>
      <c r="S174" s="363" t="s">
        <v>272</v>
      </c>
      <c r="T174" s="356" t="n">
        <f aca="false">IFERROR(IF($M174=S174,($D$8+$D$9+$D$10)*$I174,IF($N174=LEFT(S174,1),($D$8+MAX(0,IF($D$50=1,$D$9*(1-(ABS($Q174-ABS(VALUE(MID(S174,FIND("|",S174)+1,FIND("-",S174)-FIND("|",S174)-1))-VALUE(MID(S174,FIND("-",S174)+1,10)))))*$D$50),$D$9*(1-(IF($N174="X",ABS($O174-VALUE(MID(S174,FIND("|",S174)+1,FIND("-",S174)-FIND("|",S174)-1))),ABS($Q174-ABS(VALUE(MID(S174,FIND("|",S174)+1,FIND("-",S174)-FIND("|",S174)-1))-VALUE(MID(S174,FIND("-",S174)+1,10)))))*$D$50)))))*$I174,0)),0)</f>
        <v>0</v>
      </c>
      <c r="U174" s="404"/>
      <c r="V174" s="363" t="s">
        <v>266</v>
      </c>
      <c r="W174" s="356" t="n">
        <f aca="false">IFERROR(IF($M174=V174,($D$8+$D$9+$D$10)*$I174,IF($N174=LEFT(V174,1),($D$8+MAX(0,IF($D$50=1,$D$9*(1-(ABS($Q174-ABS(VALUE(MID(V174,FIND("|",V174)+1,FIND("-",V174)-FIND("|",V174)-1))-VALUE(MID(V174,FIND("-",V174)+1,10)))))*$D$50),$D$9*(1-(IF($N174="X",ABS($O174-VALUE(MID(V174,FIND("|",V174)+1,FIND("-",V174)-FIND("|",V174)-1))),ABS($Q174-ABS(VALUE(MID(V174,FIND("|",V174)+1,FIND("-",V174)-FIND("|",V174)-1))-VALUE(MID(V174,FIND("-",V174)+1,10)))))*$D$50)))))*$I174,0)),0)</f>
        <v>0</v>
      </c>
      <c r="X174" s="404"/>
      <c r="Y174" s="363" t="s">
        <v>288</v>
      </c>
      <c r="Z174" s="356" t="n">
        <f aca="false">IFERROR(IF($M174=Y174,($D$8+$D$9+$D$10)*$I174,IF($N174=LEFT(Y174,1),($D$8+MAX(0,IF($D$50=1,$D$9*(1-(ABS($Q174-ABS(VALUE(MID(Y174,FIND("|",Y174)+1,FIND("-",Y174)-FIND("|",Y174)-1))-VALUE(MID(Y174,FIND("-",Y174)+1,10)))))*$D$50),$D$9*(1-(IF($N174="X",ABS($O174-VALUE(MID(Y174,FIND("|",Y174)+1,FIND("-",Y174)-FIND("|",Y174)-1))),ABS($Q174-ABS(VALUE(MID(Y174,FIND("|",Y174)+1,FIND("-",Y174)-FIND("|",Y174)-1))-VALUE(MID(Y174,FIND("-",Y174)+1,10)))))*$D$50)))))*$I174,0)),0)</f>
        <v>0</v>
      </c>
      <c r="AA174" s="404"/>
      <c r="AB174" s="363" t="s">
        <v>266</v>
      </c>
      <c r="AC174" s="356" t="n">
        <f aca="false">IFERROR(IF($M174=AB174,($D$8+$D$9+$D$10)*$I174,IF($N174=LEFT(AB174,1),($D$8+MAX(0,IF($D$50=1,$D$9*(1-(ABS($Q174-ABS(VALUE(MID(AB174,FIND("|",AB174)+1,FIND("-",AB174)-FIND("|",AB174)-1))-VALUE(MID(AB174,FIND("-",AB174)+1,10)))))*$D$50),$D$9*(1-(IF($N174="X",ABS($O174-VALUE(MID(AB174,FIND("|",AB174)+1,FIND("-",AB174)-FIND("|",AB174)-1))),ABS($Q174-ABS(VALUE(MID(AB174,FIND("|",AB174)+1,FIND("-",AB174)-FIND("|",AB174)-1))-VALUE(MID(AB174,FIND("-",AB174)+1,10)))))*$D$50)))))*$I174,0)),0)</f>
        <v>0</v>
      </c>
      <c r="AD174" s="404"/>
      <c r="AE174" s="363" t="s">
        <v>272</v>
      </c>
      <c r="AF174" s="356" t="n">
        <f aca="false">IFERROR(IF($M174=AE174,($D$8+$D$9+$D$10)*$I174,IF($N174=LEFT(AE174,1),($D$8+MAX(0,IF($D$50=1,$D$9*(1-(ABS($Q174-ABS(VALUE(MID(AE174,FIND("|",AE174)+1,FIND("-",AE174)-FIND("|",AE174)-1))-VALUE(MID(AE174,FIND("-",AE174)+1,10)))))*$D$50),$D$9*(1-(IF($N174="X",ABS($O174-VALUE(MID(AE174,FIND("|",AE174)+1,FIND("-",AE174)-FIND("|",AE174)-1))),ABS($Q174-ABS(VALUE(MID(AE174,FIND("|",AE174)+1,FIND("-",AE174)-FIND("|",AE174)-1))-VALUE(MID(AE174,FIND("-",AE174)+1,10)))))*$D$50)))))*$I174,0)),0)</f>
        <v>0</v>
      </c>
      <c r="AG174" s="404"/>
      <c r="AH174" s="363" t="s">
        <v>288</v>
      </c>
      <c r="AI174" s="356" t="n">
        <f aca="false">IFERROR(IF($M174=AH174,($D$8+$D$9+$D$10)*$I174,IF($N174=LEFT(AH174,1),($D$8+MAX(0,IF($D$50=1,$D$9*(1-(ABS($Q174-ABS(VALUE(MID(AH174,FIND("|",AH174)+1,FIND("-",AH174)-FIND("|",AH174)-1))-VALUE(MID(AH174,FIND("-",AH174)+1,10)))))*$D$50),$D$9*(1-(IF($N174="X",ABS($O174-VALUE(MID(AH174,FIND("|",AH174)+1,FIND("-",AH174)-FIND("|",AH174)-1))),ABS($Q174-ABS(VALUE(MID(AH174,FIND("|",AH174)+1,FIND("-",AH174)-FIND("|",AH174)-1))-VALUE(MID(AH174,FIND("-",AH174)+1,10)))))*$D$50)))))*$I174,0)),0)</f>
        <v>0</v>
      </c>
      <c r="AJ174" s="404"/>
      <c r="AK174" s="363" t="s">
        <v>266</v>
      </c>
      <c r="AL174" s="356" t="n">
        <f aca="false">IFERROR(IF($M174=AK174,($D$8+$D$9+$D$10)*$I174,IF($N174=LEFT(AK174,1),($D$8+MAX(0,IF($D$50=1,$D$9*(1-(ABS($Q174-ABS(VALUE(MID(AK174,FIND("|",AK174)+1,FIND("-",AK174)-FIND("|",AK174)-1))-VALUE(MID(AK174,FIND("-",AK174)+1,10)))))*$D$50),$D$9*(1-(IF($N174="X",ABS($O174-VALUE(MID(AK174,FIND("|",AK174)+1,FIND("-",AK174)-FIND("|",AK174)-1))),ABS($Q174-ABS(VALUE(MID(AK174,FIND("|",AK174)+1,FIND("-",AK174)-FIND("|",AK174)-1))-VALUE(MID(AK174,FIND("-",AK174)+1,10)))))*$D$50)))))*$I174,0)),0)</f>
        <v>0</v>
      </c>
      <c r="AM174" s="404"/>
      <c r="AN174" s="363" t="s">
        <v>266</v>
      </c>
      <c r="AO174" s="356" t="n">
        <f aca="false">IFERROR(IF($M174=AN174,($D$8+$D$9+$D$10)*$I174,IF($N174=LEFT(AN174,1),($D$8+MAX(0,IF($D$50=1,$D$9*(1-(ABS($Q174-ABS(VALUE(MID(AN174,FIND("|",AN174)+1,FIND("-",AN174)-FIND("|",AN174)-1))-VALUE(MID(AN174,FIND("-",AN174)+1,10)))))*$D$50),$D$9*(1-(IF($N174="X",ABS($O174-VALUE(MID(AN174,FIND("|",AN174)+1,FIND("-",AN174)-FIND("|",AN174)-1))),ABS($Q174-ABS(VALUE(MID(AN174,FIND("|",AN174)+1,FIND("-",AN174)-FIND("|",AN174)-1))-VALUE(MID(AN174,FIND("-",AN174)+1,10)))))*$D$50)))))*$I174,0)),0)</f>
        <v>0</v>
      </c>
      <c r="AP174" s="404"/>
      <c r="AQ174" s="363" t="s">
        <v>264</v>
      </c>
      <c r="AR174" s="356" t="n">
        <f aca="false">IFERROR(IF($M174=AQ174,($D$8+$D$9+$D$10)*$I174,IF($N174=LEFT(AQ174,1),($D$8+MAX(0,IF($D$50=1,$D$9*(1-(ABS($Q174-ABS(VALUE(MID(AQ174,FIND("|",AQ174)+1,FIND("-",AQ174)-FIND("|",AQ174)-1))-VALUE(MID(AQ174,FIND("-",AQ174)+1,10)))))*$D$50),$D$9*(1-(IF($N174="X",ABS($O174-VALUE(MID(AQ174,FIND("|",AQ174)+1,FIND("-",AQ174)-FIND("|",AQ174)-1))),ABS($Q174-ABS(VALUE(MID(AQ174,FIND("|",AQ174)+1,FIND("-",AQ174)-FIND("|",AQ174)-1))-VALUE(MID(AQ174,FIND("-",AQ174)+1,10)))))*$D$50)))))*$I174,0)),0)</f>
        <v>0</v>
      </c>
      <c r="AS174" s="404"/>
      <c r="AT174" s="363" t="s">
        <v>288</v>
      </c>
      <c r="AU174" s="356" t="n">
        <f aca="false">IFERROR(IF($M174=AT174,($D$8+$D$9+$D$10)*$I174,IF($N174=LEFT(AT174,1),($D$8+MAX(0,IF($D$50=1,$D$9*(1-(ABS($Q174-ABS(VALUE(MID(AT174,FIND("|",AT174)+1,FIND("-",AT174)-FIND("|",AT174)-1))-VALUE(MID(AT174,FIND("-",AT174)+1,10)))))*$D$50),$D$9*(1-(IF($N174="X",ABS($O174-VALUE(MID(AT174,FIND("|",AT174)+1,FIND("-",AT174)-FIND("|",AT174)-1))),ABS($Q174-ABS(VALUE(MID(AT174,FIND("|",AT174)+1,FIND("-",AT174)-FIND("|",AT174)-1))-VALUE(MID(AT174,FIND("-",AT174)+1,10)))))*$D$50)))))*$I174,0)),0)</f>
        <v>0</v>
      </c>
      <c r="AV174" s="404"/>
      <c r="AW174" s="363" t="s">
        <v>266</v>
      </c>
      <c r="AX174" s="356" t="n">
        <f aca="false">IFERROR(IF($M174=AW174,($D$8+$D$9+$D$10)*$I174,IF($N174=LEFT(AW174,1),($D$8+MAX(0,IF($D$50=1,$D$9*(1-(ABS($Q174-ABS(VALUE(MID(AW174,FIND("|",AW174)+1,FIND("-",AW174)-FIND("|",AW174)-1))-VALUE(MID(AW174,FIND("-",AW174)+1,10)))))*$D$50),$D$9*(1-(IF($N174="X",ABS($O174-VALUE(MID(AW174,FIND("|",AW174)+1,FIND("-",AW174)-FIND("|",AW174)-1))),ABS($Q174-ABS(VALUE(MID(AW174,FIND("|",AW174)+1,FIND("-",AW174)-FIND("|",AW174)-1))-VALUE(MID(AW174,FIND("-",AW174)+1,10)))))*$D$50)))))*$I174,0)),0)</f>
        <v>0</v>
      </c>
      <c r="AY174" s="404"/>
      <c r="AZ174" s="363" t="s">
        <v>266</v>
      </c>
      <c r="BA174" s="356" t="n">
        <f aca="false">IFERROR(IF($M174=AZ174,($D$8+$D$9+$D$10)*$I174,IF($N174=LEFT(AZ174,1),($D$8+MAX(0,IF($D$50=1,$D$9*(1-(ABS($Q174-ABS(VALUE(MID(AZ174,FIND("|",AZ174)+1,FIND("-",AZ174)-FIND("|",AZ174)-1))-VALUE(MID(AZ174,FIND("-",AZ174)+1,10)))))*$D$50),$D$9*(1-(IF($N174="X",ABS($O174-VALUE(MID(AZ174,FIND("|",AZ174)+1,FIND("-",AZ174)-FIND("|",AZ174)-1))),ABS($Q174-ABS(VALUE(MID(AZ174,FIND("|",AZ174)+1,FIND("-",AZ174)-FIND("|",AZ174)-1))-VALUE(MID(AZ174,FIND("-",AZ174)+1,10)))))*$D$50)))))*$I174,0)),0)</f>
        <v>0</v>
      </c>
      <c r="BB174" s="404"/>
      <c r="BC174" s="363" t="s">
        <v>272</v>
      </c>
      <c r="BD174" s="356" t="n">
        <f aca="false">IFERROR(IF($M174=BC174,($D$8+$D$9+$D$10)*$I174,IF($N174=LEFT(BC174,1),($D$8+MAX(0,IF($D$50=1,$D$9*(1-(ABS($Q174-ABS(VALUE(MID(BC174,FIND("|",BC174)+1,FIND("-",BC174)-FIND("|",BC174)-1))-VALUE(MID(BC174,FIND("-",BC174)+1,10)))))*$D$50),$D$9*(1-(IF($N174="X",ABS($O174-VALUE(MID(BC174,FIND("|",BC174)+1,FIND("-",BC174)-FIND("|",BC174)-1))),ABS($Q174-ABS(VALUE(MID(BC174,FIND("|",BC174)+1,FIND("-",BC174)-FIND("|",BC174)-1))-VALUE(MID(BC174,FIND("-",BC174)+1,10)))))*$D$50)))))*$I174,0)),0)</f>
        <v>0</v>
      </c>
      <c r="BE174" s="404"/>
      <c r="BF174" s="363" t="s">
        <v>266</v>
      </c>
      <c r="BG174" s="356" t="n">
        <f aca="false">IFERROR(IF($M174=BF174,($D$8+$D$9+$D$10)*$I174,IF($N174=LEFT(BF174,1),($D$8+MAX(0,IF($D$50=1,$D$9*(1-(ABS($Q174-ABS(VALUE(MID(BF174,FIND("|",BF174)+1,FIND("-",BF174)-FIND("|",BF174)-1))-VALUE(MID(BF174,FIND("-",BF174)+1,10)))))*$D$50),$D$9*(1-(IF($N174="X",ABS($O174-VALUE(MID(BF174,FIND("|",BF174)+1,FIND("-",BF174)-FIND("|",BF174)-1))),ABS($Q174-ABS(VALUE(MID(BF174,FIND("|",BF174)+1,FIND("-",BF174)-FIND("|",BF174)-1))-VALUE(MID(BF174,FIND("-",BF174)+1,10)))))*$D$50)))))*$I174,0)),0)</f>
        <v>0</v>
      </c>
      <c r="BH174" s="404"/>
      <c r="BI174" s="363" t="s">
        <v>266</v>
      </c>
      <c r="BJ174" s="356" t="n">
        <f aca="false">IFERROR(IF($M174=BI174,($D$8+$D$9+$D$10)*$I174,IF($N174=LEFT(BI174,1),($D$8+MAX(0,IF($D$50=1,$D$9*(1-(ABS($Q174-ABS(VALUE(MID(BI174,FIND("|",BI174)+1,FIND("-",BI174)-FIND("|",BI174)-1))-VALUE(MID(BI174,FIND("-",BI174)+1,10)))))*$D$50),$D$9*(1-(IF($N174="X",ABS($O174-VALUE(MID(BI174,FIND("|",BI174)+1,FIND("-",BI174)-FIND("|",BI174)-1))),ABS($Q174-ABS(VALUE(MID(BI174,FIND("|",BI174)+1,FIND("-",BI174)-FIND("|",BI174)-1))-VALUE(MID(BI174,FIND("-",BI174)+1,10)))))*$D$50)))))*$I174,0)),0)</f>
        <v>0</v>
      </c>
      <c r="BK174" s="404"/>
      <c r="BL174" s="363" t="s">
        <v>288</v>
      </c>
      <c r="BM174" s="356" t="n">
        <f aca="false">IFERROR(IF($M174=BL174,($D$8+$D$9+$D$10)*$I174,IF($N174=LEFT(BL174,1),($D$8+MAX(0,IF($D$50=1,$D$9*(1-(ABS($Q174-ABS(VALUE(MID(BL174,FIND("|",BL174)+1,FIND("-",BL174)-FIND("|",BL174)-1))-VALUE(MID(BL174,FIND("-",BL174)+1,10)))))*$D$50),$D$9*(1-(IF($N174="X",ABS($O174-VALUE(MID(BL174,FIND("|",BL174)+1,FIND("-",BL174)-FIND("|",BL174)-1))),ABS($Q174-ABS(VALUE(MID(BL174,FIND("|",BL174)+1,FIND("-",BL174)-FIND("|",BL174)-1))-VALUE(MID(BL174,FIND("-",BL174)+1,10)))))*$D$50)))))*$I174,0)),0)</f>
        <v>0</v>
      </c>
      <c r="BN174" s="404"/>
      <c r="BO174" s="363" t="s">
        <v>288</v>
      </c>
      <c r="BP174" s="356" t="n">
        <f aca="false">IFERROR(IF($M174=BO174,($D$8+$D$9+$D$10)*$I174,IF($N174=LEFT(BO174,1),($D$8+MAX(0,IF($D$50=1,$D$9*(1-(ABS($Q174-ABS(VALUE(MID(BO174,FIND("|",BO174)+1,FIND("-",BO174)-FIND("|",BO174)-1))-VALUE(MID(BO174,FIND("-",BO174)+1,10)))))*$D$50),$D$9*(1-(IF($N174="X",ABS($O174-VALUE(MID(BO174,FIND("|",BO174)+1,FIND("-",BO174)-FIND("|",BO174)-1))),ABS($Q174-ABS(VALUE(MID(BO174,FIND("|",BO174)+1,FIND("-",BO174)-FIND("|",BO174)-1))-VALUE(MID(BO174,FIND("-",BO174)+1,10)))))*$D$50)))))*$I174,0)),0)</f>
        <v>0</v>
      </c>
      <c r="BQ174" s="404"/>
      <c r="BR174" s="363" t="s">
        <v>266</v>
      </c>
      <c r="BS174" s="356" t="n">
        <f aca="false">IFERROR(IF($M174=BR174,($D$8+$D$9+$D$10)*$I174,IF($N174=LEFT(BR174,1),($D$8+MAX(0,IF($D$50=1,$D$9*(1-(ABS($Q174-ABS(VALUE(MID(BR174,FIND("|",BR174)+1,FIND("-",BR174)-FIND("|",BR174)-1))-VALUE(MID(BR174,FIND("-",BR174)+1,10)))))*$D$50),$D$9*(1-(IF($N174="X",ABS($O174-VALUE(MID(BR174,FIND("|",BR174)+1,FIND("-",BR174)-FIND("|",BR174)-1))),ABS($Q174-ABS(VALUE(MID(BR174,FIND("|",BR174)+1,FIND("-",BR174)-FIND("|",BR174)-1))-VALUE(MID(BR174,FIND("-",BR174)+1,10)))))*$D$50)))))*$I174,0)),0)</f>
        <v>0</v>
      </c>
      <c r="BT174" s="404"/>
      <c r="BU174" s="363"/>
      <c r="BV174" s="356" t="n">
        <f aca="false">IFERROR(IF($M174=BU174,($D$8+$D$9+$D$10)*$I174,IF($N174=LEFT(BU174,1),($D$8+MAX(0,IF($D$50=1,$D$9*(1-(ABS($Q174-ABS(VALUE(MID(BU174,FIND("|",BU174)+1,FIND("-",BU174)-FIND("|",BU174)-1))-VALUE(MID(BU174,FIND("-",BU174)+1,10)))))*$D$50),$D$9*(1-(IF($N174="X",ABS($O174-VALUE(MID(BU174,FIND("|",BU174)+1,FIND("-",BU174)-FIND("|",BU174)-1))),ABS($Q174-ABS(VALUE(MID(BU174,FIND("|",BU174)+1,FIND("-",BU174)-FIND("|",BU174)-1))-VALUE(MID(BU174,FIND("-",BU174)+1,10)))))*$D$50)))))*$I174,0)),0)</f>
        <v>0</v>
      </c>
      <c r="BW174" s="404"/>
      <c r="BX174" s="363"/>
      <c r="BY174" s="356" t="n">
        <f aca="false">IFERROR(IF($M174=BX174,($D$8+$D$9+$D$10)*$I174,IF($N174=LEFT(BX174,1),($D$8+MAX(0,IF($D$50=1,$D$9*(1-(ABS($Q174-ABS(VALUE(MID(BX174,FIND("|",BX174)+1,FIND("-",BX174)-FIND("|",BX174)-1))-VALUE(MID(BX174,FIND("-",BX174)+1,10)))))*$D$50),$D$9*(1-(IF($N174="X",ABS($O174-VALUE(MID(BX174,FIND("|",BX174)+1,FIND("-",BX174)-FIND("|",BX174)-1))),ABS($Q174-ABS(VALUE(MID(BX174,FIND("|",BX174)+1,FIND("-",BX174)-FIND("|",BX174)-1))-VALUE(MID(BX174,FIND("-",BX174)+1,10)))))*$D$50)))))*$I174,0)),0)</f>
        <v>0</v>
      </c>
      <c r="BZ174" s="404"/>
      <c r="CA174" s="363"/>
      <c r="CB174" s="356" t="n">
        <f aca="false">IFERROR(IF($M174=CA174,($D$8+$D$9+$D$10)*$I174,IF($N174=LEFT(CA174,1),($D$8+MAX(0,IF($D$50=1,$D$9*(1-(ABS($Q174-ABS(VALUE(MID(CA174,FIND("|",CA174)+1,FIND("-",CA174)-FIND("|",CA174)-1))-VALUE(MID(CA174,FIND("-",CA174)+1,10)))))*$D$50),$D$9*(1-(IF($N174="X",ABS($O174-VALUE(MID(CA174,FIND("|",CA174)+1,FIND("-",CA174)-FIND("|",CA174)-1))),ABS($Q174-ABS(VALUE(MID(CA174,FIND("|",CA174)+1,FIND("-",CA174)-FIND("|",CA174)-1))-VALUE(MID(CA174,FIND("-",CA174)+1,10)))))*$D$50)))))*$I174,0)),0)</f>
        <v>0</v>
      </c>
      <c r="CC174" s="404"/>
      <c r="CD174" s="363"/>
      <c r="CE174" s="356" t="n">
        <f aca="false">IFERROR(IF($M174=CD174,($D$8+$D$9+$D$10)*$I174,IF($N174=LEFT(CD174,1),($D$8+MAX(0,IF($D$50=1,$D$9*(1-(ABS($Q174-ABS(VALUE(MID(CD174,FIND("|",CD174)+1,FIND("-",CD174)-FIND("|",CD174)-1))-VALUE(MID(CD174,FIND("-",CD174)+1,10)))))*$D$50),$D$9*(1-(IF($N174="X",ABS($O174-VALUE(MID(CD174,FIND("|",CD174)+1,FIND("-",CD174)-FIND("|",CD174)-1))),ABS($Q174-ABS(VALUE(MID(CD174,FIND("|",CD174)+1,FIND("-",CD174)-FIND("|",CD174)-1))-VALUE(MID(CD174,FIND("-",CD174)+1,10)))))*$D$50)))))*$I174,0)),0)</f>
        <v>0</v>
      </c>
      <c r="CF174" s="404"/>
      <c r="CG174" s="363"/>
      <c r="CH174" s="356" t="n">
        <f aca="false">IFERROR(IF($M174=CG174,($D$8+$D$9+$D$10)*$I174,IF($N174=LEFT(CG174,1),($D$8+MAX(0,IF($D$50=1,$D$9*(1-(ABS($Q174-ABS(VALUE(MID(CG174,FIND("|",CG174)+1,FIND("-",CG174)-FIND("|",CG174)-1))-VALUE(MID(CG174,FIND("-",CG174)+1,10)))))*$D$50),$D$9*(1-(IF($N174="X",ABS($O174-VALUE(MID(CG174,FIND("|",CG174)+1,FIND("-",CG174)-FIND("|",CG174)-1))),ABS($Q174-ABS(VALUE(MID(CG174,FIND("|",CG174)+1,FIND("-",CG174)-FIND("|",CG174)-1))-VALUE(MID(CG174,FIND("-",CG174)+1,10)))))*$D$50)))))*$I174,0)),0)</f>
        <v>0</v>
      </c>
      <c r="CI174" s="404"/>
      <c r="CJ174" s="363"/>
      <c r="CK174" s="356" t="n">
        <f aca="false">IFERROR(IF($M174=CJ174,($D$8+$D$9+$D$10)*$I174,IF($N174=LEFT(CJ174,1),($D$8+MAX(0,IF($D$50=1,$D$9*(1-(ABS($Q174-ABS(VALUE(MID(CJ174,FIND("|",CJ174)+1,FIND("-",CJ174)-FIND("|",CJ174)-1))-VALUE(MID(CJ174,FIND("-",CJ174)+1,10)))))*$D$50),$D$9*(1-(IF($N174="X",ABS($O174-VALUE(MID(CJ174,FIND("|",CJ174)+1,FIND("-",CJ174)-FIND("|",CJ174)-1))),ABS($Q174-ABS(VALUE(MID(CJ174,FIND("|",CJ174)+1,FIND("-",CJ174)-FIND("|",CJ174)-1))-VALUE(MID(CJ174,FIND("-",CJ174)+1,10)))))*$D$50)))))*$I174,0)),0)</f>
        <v>0</v>
      </c>
      <c r="CL174" s="404"/>
      <c r="CM174" s="363"/>
      <c r="CN174" s="356" t="n">
        <f aca="false">IFERROR(IF($M174=CM174,($D$8+$D$9+$D$10)*$I174,IF($N174=LEFT(CM174,1),($D$8+MAX(0,IF($D$50=1,$D$9*(1-(ABS($Q174-ABS(VALUE(MID(CM174,FIND("|",CM174)+1,FIND("-",CM174)-FIND("|",CM174)-1))-VALUE(MID(CM174,FIND("-",CM174)+1,10)))))*$D$50),$D$9*(1-(IF($N174="X",ABS($O174-VALUE(MID(CM174,FIND("|",CM174)+1,FIND("-",CM174)-FIND("|",CM174)-1))),ABS($Q174-ABS(VALUE(MID(CM174,FIND("|",CM174)+1,FIND("-",CM174)-FIND("|",CM174)-1))-VALUE(MID(CM174,FIND("-",CM174)+1,10)))))*$D$50)))))*$I174,0)),0)</f>
        <v>0</v>
      </c>
      <c r="CO174" s="404"/>
      <c r="CP174" s="363"/>
      <c r="CQ174" s="356" t="n">
        <f aca="false">IFERROR(IF($M174=CP174,($D$8+$D$9+$D$10)*$I174,IF($N174=LEFT(CP174,1),($D$8+MAX(0,IF($D$50=1,$D$9*(1-(ABS($Q174-ABS(VALUE(MID(CP174,FIND("|",CP174)+1,FIND("-",CP174)-FIND("|",CP174)-1))-VALUE(MID(CP174,FIND("-",CP174)+1,10)))))*$D$50),$D$9*(1-(IF($N174="X",ABS($O174-VALUE(MID(CP174,FIND("|",CP174)+1,FIND("-",CP174)-FIND("|",CP174)-1))),ABS($Q174-ABS(VALUE(MID(CP174,FIND("|",CP174)+1,FIND("-",CP174)-FIND("|",CP174)-1))-VALUE(MID(CP174,FIND("-",CP174)+1,10)))))*$D$50)))))*$I174,0)),0)</f>
        <v>0</v>
      </c>
      <c r="CR174" s="404"/>
      <c r="CS174" s="363"/>
      <c r="CT174" s="356" t="n">
        <f aca="false">IFERROR(IF($M174=CS174,($D$8+$D$9+$D$10)*$I174,IF($N174=LEFT(CS174,1),($D$8+MAX(0,IF($D$50=1,$D$9*(1-(ABS($Q174-ABS(VALUE(MID(CS174,FIND("|",CS174)+1,FIND("-",CS174)-FIND("|",CS174)-1))-VALUE(MID(CS174,FIND("-",CS174)+1,10)))))*$D$50),$D$9*(1-(IF($N174="X",ABS($O174-VALUE(MID(CS174,FIND("|",CS174)+1,FIND("-",CS174)-FIND("|",CS174)-1))),ABS($Q174-ABS(VALUE(MID(CS174,FIND("|",CS174)+1,FIND("-",CS174)-FIND("|",CS174)-1))-VALUE(MID(CS174,FIND("-",CS174)+1,10)))))*$D$50)))))*$I174,0)),0)</f>
        <v>0</v>
      </c>
      <c r="CU174" s="404"/>
      <c r="CV174" s="363"/>
      <c r="CW174" s="356" t="n">
        <f aca="false">IFERROR(IF($M174=CV174,($D$8+$D$9+$D$10)*$I174,IF($N174=LEFT(CV174,1),($D$8+MAX(0,IF($D$50=1,$D$9*(1-(ABS($Q174-ABS(VALUE(MID(CV174,FIND("|",CV174)+1,FIND("-",CV174)-FIND("|",CV174)-1))-VALUE(MID(CV174,FIND("-",CV174)+1,10)))))*$D$50),$D$9*(1-(IF($N174="X",ABS($O174-VALUE(MID(CV174,FIND("|",CV174)+1,FIND("-",CV174)-FIND("|",CV174)-1))),ABS($Q174-ABS(VALUE(MID(CV174,FIND("|",CV174)+1,FIND("-",CV174)-FIND("|",CV174)-1))-VALUE(MID(CV174,FIND("-",CV174)+1,10)))))*$D$50)))))*$I174,0)),0)</f>
        <v>0</v>
      </c>
      <c r="CX174" s="404"/>
      <c r="CY174" s="363"/>
      <c r="CZ174" s="356" t="n">
        <f aca="false">IFERROR(IF($M174=CY174,($D$8+$D$9+$D$10)*$I174,IF($N174=LEFT(CY174,1),($D$8+MAX(0,IF($D$50=1,$D$9*(1-(ABS($Q174-ABS(VALUE(MID(CY174,FIND("|",CY174)+1,FIND("-",CY174)-FIND("|",CY174)-1))-VALUE(MID(CY174,FIND("-",CY174)+1,10)))))*$D$50),$D$9*(1-(IF($N174="X",ABS($O174-VALUE(MID(CY174,FIND("|",CY174)+1,FIND("-",CY174)-FIND("|",CY174)-1))),ABS($Q174-ABS(VALUE(MID(CY174,FIND("|",CY174)+1,FIND("-",CY174)-FIND("|",CY174)-1))-VALUE(MID(CY174,FIND("-",CY174)+1,10)))))*$D$50)))))*$I174,0)),0)</f>
        <v>0</v>
      </c>
      <c r="DA174" s="404"/>
      <c r="DB174" s="363"/>
      <c r="DC174" s="356" t="n">
        <f aca="false">IFERROR(IF($M174=DB174,($D$8+$D$9+$D$10)*$I174,IF($N174=LEFT(DB174,1),($D$8+MAX(0,IF($D$50=1,$D$9*(1-(ABS($Q174-ABS(VALUE(MID(DB174,FIND("|",DB174)+1,FIND("-",DB174)-FIND("|",DB174)-1))-VALUE(MID(DB174,FIND("-",DB174)+1,10)))))*$D$50),$D$9*(1-(IF($N174="X",ABS($O174-VALUE(MID(DB174,FIND("|",DB174)+1,FIND("-",DB174)-FIND("|",DB174)-1))),ABS($Q174-ABS(VALUE(MID(DB174,FIND("|",DB174)+1,FIND("-",DB174)-FIND("|",DB174)-1))-VALUE(MID(DB174,FIND("-",DB174)+1,10)))))*$D$50)))))*$I174,0)),0)</f>
        <v>0</v>
      </c>
      <c r="DD174" s="404"/>
      <c r="DE174" s="363"/>
      <c r="DF174" s="356" t="n">
        <f aca="false">IFERROR(IF($M174=DE174,($D$8+$D$9+$D$10)*$I174,IF($N174=LEFT(DE174,1),($D$8+MAX(0,IF($D$50=1,$D$9*(1-(ABS($Q174-ABS(VALUE(MID(DE174,FIND("|",DE174)+1,FIND("-",DE174)-FIND("|",DE174)-1))-VALUE(MID(DE174,FIND("-",DE174)+1,10)))))*$D$50),$D$9*(1-(IF($N174="X",ABS($O174-VALUE(MID(DE174,FIND("|",DE174)+1,FIND("-",DE174)-FIND("|",DE174)-1))),ABS($Q174-ABS(VALUE(MID(DE174,FIND("|",DE174)+1,FIND("-",DE174)-FIND("|",DE174)-1))-VALUE(MID(DE174,FIND("-",DE174)+1,10)))))*$D$50)))))*$I174,0)),0)</f>
        <v>0</v>
      </c>
      <c r="DG174" s="404"/>
      <c r="DH174" s="363"/>
      <c r="DI174" s="356" t="n">
        <f aca="false">IFERROR(IF($M174=DH174,($D$8+$D$9+$D$10)*$I174,IF($N174=LEFT(DH174,1),($D$8+MAX(0,IF($D$50=1,$D$9*(1-(ABS($Q174-ABS(VALUE(MID(DH174,FIND("|",DH174)+1,FIND("-",DH174)-FIND("|",DH174)-1))-VALUE(MID(DH174,FIND("-",DH174)+1,10)))))*$D$50),$D$9*(1-(IF($N174="X",ABS($O174-VALUE(MID(DH174,FIND("|",DH174)+1,FIND("-",DH174)-FIND("|",DH174)-1))),ABS($Q174-ABS(VALUE(MID(DH174,FIND("|",DH174)+1,FIND("-",DH174)-FIND("|",DH174)-1))-VALUE(MID(DH174,FIND("-",DH174)+1,10)))))*$D$50)))))*$I174,0)),0)</f>
        <v>0</v>
      </c>
      <c r="DJ174" s="404"/>
      <c r="DK174" s="363"/>
      <c r="DL174" s="356" t="n">
        <f aca="false">IFERROR(IF($M174=DK174,($D$8+$D$9+$D$10)*$I174,IF($N174=LEFT(DK174,1),($D$8+MAX(0,IF($D$50=1,$D$9*(1-(ABS($Q174-ABS(VALUE(MID(DK174,FIND("|",DK174)+1,FIND("-",DK174)-FIND("|",DK174)-1))-VALUE(MID(DK174,FIND("-",DK174)+1,10)))))*$D$50),$D$9*(1-(IF($N174="X",ABS($O174-VALUE(MID(DK174,FIND("|",DK174)+1,FIND("-",DK174)-FIND("|",DK174)-1))),ABS($Q174-ABS(VALUE(MID(DK174,FIND("|",DK174)+1,FIND("-",DK174)-FIND("|",DK174)-1))-VALUE(MID(DK174,FIND("-",DK174)+1,10)))))*$D$50)))))*$I174,0)),0)</f>
        <v>0</v>
      </c>
      <c r="DM174" s="404"/>
      <c r="DN174" s="363"/>
      <c r="DO174" s="356" t="n">
        <f aca="false">IFERROR(IF($M174=DN174,($D$8+$D$9+$D$10)*$I174,IF($N174=LEFT(DN174,1),($D$8+MAX(0,IF($D$50=1,$D$9*(1-(ABS($Q174-ABS(VALUE(MID(DN174,FIND("|",DN174)+1,FIND("-",DN174)-FIND("|",DN174)-1))-VALUE(MID(DN174,FIND("-",DN174)+1,10)))))*$D$50),$D$9*(1-(IF($N174="X",ABS($O174-VALUE(MID(DN174,FIND("|",DN174)+1,FIND("-",DN174)-FIND("|",DN174)-1))),ABS($Q174-ABS(VALUE(MID(DN174,FIND("|",DN174)+1,FIND("-",DN174)-FIND("|",DN174)-1))-VALUE(MID(DN174,FIND("-",DN174)+1,10)))))*$D$50)))))*$I174,0)),0)</f>
        <v>0</v>
      </c>
      <c r="DP174" s="404"/>
      <c r="DQ174" s="363"/>
      <c r="DR174" s="356" t="n">
        <f aca="false">IFERROR(IF($M174=DQ174,($D$8+$D$9+$D$10)*$I174,IF($N174=LEFT(DQ174,1),($D$8+MAX(0,IF($D$50=1,$D$9*(1-(ABS($Q174-ABS(VALUE(MID(DQ174,FIND("|",DQ174)+1,FIND("-",DQ174)-FIND("|",DQ174)-1))-VALUE(MID(DQ174,FIND("-",DQ174)+1,10)))))*$D$50),$D$9*(1-(IF($N174="X",ABS($O174-VALUE(MID(DQ174,FIND("|",DQ174)+1,FIND("-",DQ174)-FIND("|",DQ174)-1))),ABS($Q174-ABS(VALUE(MID(DQ174,FIND("|",DQ174)+1,FIND("-",DQ174)-FIND("|",DQ174)-1))-VALUE(MID(DQ174,FIND("-",DQ174)+1,10)))))*$D$50)))))*$I174,0)),0)</f>
        <v>0</v>
      </c>
      <c r="DS174" s="404"/>
      <c r="DT174" s="363"/>
      <c r="DU174" s="356" t="n">
        <f aca="false">IFERROR(IF($M174=DT174,($D$8+$D$9+$D$10)*$I174,IF($N174=LEFT(DT174,1),($D$8+MAX(0,IF($D$50=1,$D$9*(1-(ABS($Q174-ABS(VALUE(MID(DT174,FIND("|",DT174)+1,FIND("-",DT174)-FIND("|",DT174)-1))-VALUE(MID(DT174,FIND("-",DT174)+1,10)))))*$D$50),$D$9*(1-(IF($N174="X",ABS($O174-VALUE(MID(DT174,FIND("|",DT174)+1,FIND("-",DT174)-FIND("|",DT174)-1))),ABS($Q174-ABS(VALUE(MID(DT174,FIND("|",DT174)+1,FIND("-",DT174)-FIND("|",DT174)-1))-VALUE(MID(DT174,FIND("-",DT174)+1,10)))))*$D$50)))))*$I174,0)),0)</f>
        <v>0</v>
      </c>
      <c r="DV174" s="404"/>
      <c r="DW174" s="363"/>
      <c r="DX174" s="356" t="n">
        <f aca="false">IFERROR(IF($M174=DW174,($D$8+$D$9+$D$10)*$I174,IF($N174=LEFT(DW174,1),($D$8+MAX(0,IF($D$50=1,$D$9*(1-(ABS($Q174-ABS(VALUE(MID(DW174,FIND("|",DW174)+1,FIND("-",DW174)-FIND("|",DW174)-1))-VALUE(MID(DW174,FIND("-",DW174)+1,10)))))*$D$50),$D$9*(1-(IF($N174="X",ABS($O174-VALUE(MID(DW174,FIND("|",DW174)+1,FIND("-",DW174)-FIND("|",DW174)-1))),ABS($Q174-ABS(VALUE(MID(DW174,FIND("|",DW174)+1,FIND("-",DW174)-FIND("|",DW174)-1))-VALUE(MID(DW174,FIND("-",DW174)+1,10)))))*$D$50)))))*$I174,0)),0)</f>
        <v>0</v>
      </c>
      <c r="DY174" s="404"/>
      <c r="DZ174" s="363"/>
      <c r="EA174" s="356" t="n">
        <f aca="false">IFERROR(IF($M174=DZ174,($D$8+$D$9+$D$10)*$I174,IF($N174=LEFT(DZ174,1),($D$8+MAX(0,IF($D$50=1,$D$9*(1-(ABS($Q174-ABS(VALUE(MID(DZ174,FIND("|",DZ174)+1,FIND("-",DZ174)-FIND("|",DZ174)-1))-VALUE(MID(DZ174,FIND("-",DZ174)+1,10)))))*$D$50),$D$9*(1-(IF($N174="X",ABS($O174-VALUE(MID(DZ174,FIND("|",DZ174)+1,FIND("-",DZ174)-FIND("|",DZ174)-1))),ABS($Q174-ABS(VALUE(MID(DZ174,FIND("|",DZ174)+1,FIND("-",DZ174)-FIND("|",DZ174)-1))-VALUE(MID(DZ174,FIND("-",DZ174)+1,10)))))*$D$50)))))*$I174,0)),0)</f>
        <v>0</v>
      </c>
      <c r="EB174" s="404"/>
      <c r="EC174" s="363"/>
      <c r="ED174" s="356" t="n">
        <f aca="false">IFERROR(IF($M174=EC174,($D$8+$D$9+$D$10)*$I174,IF($N174=LEFT(EC174,1),($D$8+MAX(0,IF($D$50=1,$D$9*(1-(ABS($Q174-ABS(VALUE(MID(EC174,FIND("|",EC174)+1,FIND("-",EC174)-FIND("|",EC174)-1))-VALUE(MID(EC174,FIND("-",EC174)+1,10)))))*$D$50),$D$9*(1-(IF($N174="X",ABS($O174-VALUE(MID(EC174,FIND("|",EC174)+1,FIND("-",EC174)-FIND("|",EC174)-1))),ABS($Q174-ABS(VALUE(MID(EC174,FIND("|",EC174)+1,FIND("-",EC174)-FIND("|",EC174)-1))-VALUE(MID(EC174,FIND("-",EC174)+1,10)))))*$D$50)))))*$I174,0)),0)</f>
        <v>0</v>
      </c>
      <c r="EE174" s="404"/>
      <c r="EF174" s="363"/>
      <c r="EG174" s="356" t="n">
        <f aca="false">IFERROR(IF($M174=EF174,($D$8+$D$9+$D$10)*$I174,IF($N174=LEFT(EF174,1),($D$8+MAX(0,IF($D$50=1,$D$9*(1-(ABS($Q174-ABS(VALUE(MID(EF174,FIND("|",EF174)+1,FIND("-",EF174)-FIND("|",EF174)-1))-VALUE(MID(EF174,FIND("-",EF174)+1,10)))))*$D$50),$D$9*(1-(IF($N174="X",ABS($O174-VALUE(MID(EF174,FIND("|",EF174)+1,FIND("-",EF174)-FIND("|",EF174)-1))),ABS($Q174-ABS(VALUE(MID(EF174,FIND("|",EF174)+1,FIND("-",EF174)-FIND("|",EF174)-1))-VALUE(MID(EF174,FIND("-",EF174)+1,10)))))*$D$50)))))*$I174,0)),0)</f>
        <v>0</v>
      </c>
      <c r="EH174" s="404"/>
      <c r="EI174" s="404"/>
    </row>
    <row r="175" customFormat="false" ht="15" hidden="false" customHeight="false" outlineLevel="0" collapsed="false">
      <c r="A175" s="332" t="n">
        <f aca="false">WORLDCUP!AD112</f>
        <v>0</v>
      </c>
      <c r="B175" s="332" t="n">
        <f aca="false">WORLDCUP!AC112</f>
        <v>0</v>
      </c>
      <c r="C175" s="422" t="str">
        <f aca="false">CONCATENATE(WORLDCUP!AF112,"-",WORLDCUP!AA112)</f>
        <v>2L-2K</v>
      </c>
      <c r="D175" s="422" t="str">
        <f aca="false">IF(WORLDCUP!AC112&gt;WORLDCUP!AD112,2,IF(WORLDCUP!AC112&lt;WORLDCUP!AD112,1,IF(AND(WORLDCUP!AC112=WORLDCUP!AD112,WORLDCUP!AC112&lt;&gt;"",WORLDCUP!AD112&lt;&gt;""),0,"PD")))</f>
        <v>PD</v>
      </c>
      <c r="E175" s="422" t="str">
        <f aca="false">IF(OR(WORLDCUP!AC112="",WORLDCUP!AD112=""),"-",A175&amp;"-"&amp;B175)</f>
        <v>-</v>
      </c>
      <c r="F175" s="423" t="n">
        <f aca="false">SUM($D$16:$D$18)*I175</f>
        <v>17</v>
      </c>
      <c r="G175" s="423" t="n">
        <f aca="false">VLOOKUP(H175,Equipos!$Q$1:$R$25,2,0)</f>
        <v>20</v>
      </c>
      <c r="H175" s="424" t="str">
        <f aca="false">Idiomas!$D$260</f>
        <v>Dieciseisavos de final</v>
      </c>
      <c r="I175" s="425" t="n">
        <v>1</v>
      </c>
      <c r="J175" s="418"/>
      <c r="K175" s="367" t="str">
        <f aca="false">CONCATENATE(WORLDCUP!AA112,"-",WORLDCUP!AF112)</f>
        <v>2K-2L</v>
      </c>
      <c r="L175" s="354"/>
      <c r="M175" s="359" t="str">
        <f aca="false">IF(OR(WORLDCUP!AC112="",WORLDCUP!AD112=""),"-",N175&amp;"|"&amp;O175&amp;"-"&amp;P175)</f>
        <v>-</v>
      </c>
      <c r="N175" s="332" t="str">
        <f aca="false">IF(OR(WORLDCUP!AC112="",WORLDCUP!AD112=""),"",IF(WORLDCUP!AC112&gt;WORLDCUP!AD112,"1",IF(WORLDCUP!AC112&lt;WORLDCUP!AD112,"2","X")))</f>
        <v/>
      </c>
      <c r="O175" s="332" t="n">
        <f aca="false">WORLDCUP!AC112</f>
        <v>0</v>
      </c>
      <c r="P175" s="332" t="n">
        <f aca="false">WORLDCUP!AD112</f>
        <v>0</v>
      </c>
      <c r="Q175" s="332" t="n">
        <f aca="false">ABS(O175-P175)</f>
        <v>0</v>
      </c>
      <c r="R175" s="404"/>
      <c r="S175" s="363" t="s">
        <v>268</v>
      </c>
      <c r="T175" s="356" t="n">
        <f aca="false">IFERROR(IF($M175=S175,($D$8+$D$9+$D$10)*$I175,IF($N175=LEFT(S175,1),($D$8+MAX(0,IF($D$50=1,$D$9*(1-(ABS($Q175-ABS(VALUE(MID(S175,FIND("|",S175)+1,FIND("-",S175)-FIND("|",S175)-1))-VALUE(MID(S175,FIND("-",S175)+1,10)))))*$D$50),$D$9*(1-(IF($N175="X",ABS($O175-VALUE(MID(S175,FIND("|",S175)+1,FIND("-",S175)-FIND("|",S175)-1))),ABS($Q175-ABS(VALUE(MID(S175,FIND("|",S175)+1,FIND("-",S175)-FIND("|",S175)-1))-VALUE(MID(S175,FIND("-",S175)+1,10)))))*$D$50)))))*$I175,0)),0)</f>
        <v>0</v>
      </c>
      <c r="U175" s="404"/>
      <c r="V175" s="363" t="s">
        <v>264</v>
      </c>
      <c r="W175" s="356" t="n">
        <f aca="false">IFERROR(IF($M175=V175,($D$8+$D$9+$D$10)*$I175,IF($N175=LEFT(V175,1),($D$8+MAX(0,IF($D$50=1,$D$9*(1-(ABS($Q175-ABS(VALUE(MID(V175,FIND("|",V175)+1,FIND("-",V175)-FIND("|",V175)-1))-VALUE(MID(V175,FIND("-",V175)+1,10)))))*$D$50),$D$9*(1-(IF($N175="X",ABS($O175-VALUE(MID(V175,FIND("|",V175)+1,FIND("-",V175)-FIND("|",V175)-1))),ABS($Q175-ABS(VALUE(MID(V175,FIND("|",V175)+1,FIND("-",V175)-FIND("|",V175)-1))-VALUE(MID(V175,FIND("-",V175)+1,10)))))*$D$50)))))*$I175,0)),0)</f>
        <v>0</v>
      </c>
      <c r="X175" s="404"/>
      <c r="Y175" s="363" t="s">
        <v>264</v>
      </c>
      <c r="Z175" s="356" t="n">
        <f aca="false">IFERROR(IF($M175=Y175,($D$8+$D$9+$D$10)*$I175,IF($N175=LEFT(Y175,1),($D$8+MAX(0,IF($D$50=1,$D$9*(1-(ABS($Q175-ABS(VALUE(MID(Y175,FIND("|",Y175)+1,FIND("-",Y175)-FIND("|",Y175)-1))-VALUE(MID(Y175,FIND("-",Y175)+1,10)))))*$D$50),$D$9*(1-(IF($N175="X",ABS($O175-VALUE(MID(Y175,FIND("|",Y175)+1,FIND("-",Y175)-FIND("|",Y175)-1))),ABS($Q175-ABS(VALUE(MID(Y175,FIND("|",Y175)+1,FIND("-",Y175)-FIND("|",Y175)-1))-VALUE(MID(Y175,FIND("-",Y175)+1,10)))))*$D$50)))))*$I175,0)),0)</f>
        <v>0</v>
      </c>
      <c r="AA175" s="404"/>
      <c r="AB175" s="363" t="s">
        <v>268</v>
      </c>
      <c r="AC175" s="356" t="n">
        <f aca="false">IFERROR(IF($M175=AB175,($D$8+$D$9+$D$10)*$I175,IF($N175=LEFT(AB175,1),($D$8+MAX(0,IF($D$50=1,$D$9*(1-(ABS($Q175-ABS(VALUE(MID(AB175,FIND("|",AB175)+1,FIND("-",AB175)-FIND("|",AB175)-1))-VALUE(MID(AB175,FIND("-",AB175)+1,10)))))*$D$50),$D$9*(1-(IF($N175="X",ABS($O175-VALUE(MID(AB175,FIND("|",AB175)+1,FIND("-",AB175)-FIND("|",AB175)-1))),ABS($Q175-ABS(VALUE(MID(AB175,FIND("|",AB175)+1,FIND("-",AB175)-FIND("|",AB175)-1))-VALUE(MID(AB175,FIND("-",AB175)+1,10)))))*$D$50)))))*$I175,0)),0)</f>
        <v>0</v>
      </c>
      <c r="AD175" s="404"/>
      <c r="AE175" s="363" t="s">
        <v>271</v>
      </c>
      <c r="AF175" s="356" t="n">
        <f aca="false">IFERROR(IF($M175=AE175,($D$8+$D$9+$D$10)*$I175,IF($N175=LEFT(AE175,1),($D$8+MAX(0,IF($D$50=1,$D$9*(1-(ABS($Q175-ABS(VALUE(MID(AE175,FIND("|",AE175)+1,FIND("-",AE175)-FIND("|",AE175)-1))-VALUE(MID(AE175,FIND("-",AE175)+1,10)))))*$D$50),$D$9*(1-(IF($N175="X",ABS($O175-VALUE(MID(AE175,FIND("|",AE175)+1,FIND("-",AE175)-FIND("|",AE175)-1))),ABS($Q175-ABS(VALUE(MID(AE175,FIND("|",AE175)+1,FIND("-",AE175)-FIND("|",AE175)-1))-VALUE(MID(AE175,FIND("-",AE175)+1,10)))))*$D$50)))))*$I175,0)),0)</f>
        <v>0</v>
      </c>
      <c r="AG175" s="404"/>
      <c r="AH175" s="363" t="s">
        <v>271</v>
      </c>
      <c r="AI175" s="356" t="n">
        <f aca="false">IFERROR(IF($M175=AH175,($D$8+$D$9+$D$10)*$I175,IF($N175=LEFT(AH175,1),($D$8+MAX(0,IF($D$50=1,$D$9*(1-(ABS($Q175-ABS(VALUE(MID(AH175,FIND("|",AH175)+1,FIND("-",AH175)-FIND("|",AH175)-1))-VALUE(MID(AH175,FIND("-",AH175)+1,10)))))*$D$50),$D$9*(1-(IF($N175="X",ABS($O175-VALUE(MID(AH175,FIND("|",AH175)+1,FIND("-",AH175)-FIND("|",AH175)-1))),ABS($Q175-ABS(VALUE(MID(AH175,FIND("|",AH175)+1,FIND("-",AH175)-FIND("|",AH175)-1))-VALUE(MID(AH175,FIND("-",AH175)+1,10)))))*$D$50)))))*$I175,0)),0)</f>
        <v>0</v>
      </c>
      <c r="AJ175" s="404"/>
      <c r="AK175" s="363" t="s">
        <v>264</v>
      </c>
      <c r="AL175" s="356" t="n">
        <f aca="false">IFERROR(IF($M175=AK175,($D$8+$D$9+$D$10)*$I175,IF($N175=LEFT(AK175,1),($D$8+MAX(0,IF($D$50=1,$D$9*(1-(ABS($Q175-ABS(VALUE(MID(AK175,FIND("|",AK175)+1,FIND("-",AK175)-FIND("|",AK175)-1))-VALUE(MID(AK175,FIND("-",AK175)+1,10)))))*$D$50),$D$9*(1-(IF($N175="X",ABS($O175-VALUE(MID(AK175,FIND("|",AK175)+1,FIND("-",AK175)-FIND("|",AK175)-1))),ABS($Q175-ABS(VALUE(MID(AK175,FIND("|",AK175)+1,FIND("-",AK175)-FIND("|",AK175)-1))-VALUE(MID(AK175,FIND("-",AK175)+1,10)))))*$D$50)))))*$I175,0)),0)</f>
        <v>0</v>
      </c>
      <c r="AM175" s="404"/>
      <c r="AN175" s="363" t="s">
        <v>267</v>
      </c>
      <c r="AO175" s="356" t="n">
        <f aca="false">IFERROR(IF($M175=AN175,($D$8+$D$9+$D$10)*$I175,IF($N175=LEFT(AN175,1),($D$8+MAX(0,IF($D$50=1,$D$9*(1-(ABS($Q175-ABS(VALUE(MID(AN175,FIND("|",AN175)+1,FIND("-",AN175)-FIND("|",AN175)-1))-VALUE(MID(AN175,FIND("-",AN175)+1,10)))))*$D$50),$D$9*(1-(IF($N175="X",ABS($O175-VALUE(MID(AN175,FIND("|",AN175)+1,FIND("-",AN175)-FIND("|",AN175)-1))),ABS($Q175-ABS(VALUE(MID(AN175,FIND("|",AN175)+1,FIND("-",AN175)-FIND("|",AN175)-1))-VALUE(MID(AN175,FIND("-",AN175)+1,10)))))*$D$50)))))*$I175,0)),0)</f>
        <v>0</v>
      </c>
      <c r="AP175" s="404"/>
      <c r="AQ175" s="363" t="s">
        <v>265</v>
      </c>
      <c r="AR175" s="356" t="n">
        <f aca="false">IFERROR(IF($M175=AQ175,($D$8+$D$9+$D$10)*$I175,IF($N175=LEFT(AQ175,1),($D$8+MAX(0,IF($D$50=1,$D$9*(1-(ABS($Q175-ABS(VALUE(MID(AQ175,FIND("|",AQ175)+1,FIND("-",AQ175)-FIND("|",AQ175)-1))-VALUE(MID(AQ175,FIND("-",AQ175)+1,10)))))*$D$50),$D$9*(1-(IF($N175="X",ABS($O175-VALUE(MID(AQ175,FIND("|",AQ175)+1,FIND("-",AQ175)-FIND("|",AQ175)-1))),ABS($Q175-ABS(VALUE(MID(AQ175,FIND("|",AQ175)+1,FIND("-",AQ175)-FIND("|",AQ175)-1))-VALUE(MID(AQ175,FIND("-",AQ175)+1,10)))))*$D$50)))))*$I175,0)),0)</f>
        <v>0</v>
      </c>
      <c r="AS175" s="404"/>
      <c r="AT175" s="363" t="s">
        <v>267</v>
      </c>
      <c r="AU175" s="356" t="n">
        <f aca="false">IFERROR(IF($M175=AT175,($D$8+$D$9+$D$10)*$I175,IF($N175=LEFT(AT175,1),($D$8+MAX(0,IF($D$50=1,$D$9*(1-(ABS($Q175-ABS(VALUE(MID(AT175,FIND("|",AT175)+1,FIND("-",AT175)-FIND("|",AT175)-1))-VALUE(MID(AT175,FIND("-",AT175)+1,10)))))*$D$50),$D$9*(1-(IF($N175="X",ABS($O175-VALUE(MID(AT175,FIND("|",AT175)+1,FIND("-",AT175)-FIND("|",AT175)-1))),ABS($Q175-ABS(VALUE(MID(AT175,FIND("|",AT175)+1,FIND("-",AT175)-FIND("|",AT175)-1))-VALUE(MID(AT175,FIND("-",AT175)+1,10)))))*$D$50)))))*$I175,0)),0)</f>
        <v>0</v>
      </c>
      <c r="AV175" s="404"/>
      <c r="AW175" s="363" t="s">
        <v>267</v>
      </c>
      <c r="AX175" s="356" t="n">
        <f aca="false">IFERROR(IF($M175=AW175,($D$8+$D$9+$D$10)*$I175,IF($N175=LEFT(AW175,1),($D$8+MAX(0,IF($D$50=1,$D$9*(1-(ABS($Q175-ABS(VALUE(MID(AW175,FIND("|",AW175)+1,FIND("-",AW175)-FIND("|",AW175)-1))-VALUE(MID(AW175,FIND("-",AW175)+1,10)))))*$D$50),$D$9*(1-(IF($N175="X",ABS($O175-VALUE(MID(AW175,FIND("|",AW175)+1,FIND("-",AW175)-FIND("|",AW175)-1))),ABS($Q175-ABS(VALUE(MID(AW175,FIND("|",AW175)+1,FIND("-",AW175)-FIND("|",AW175)-1))-VALUE(MID(AW175,FIND("-",AW175)+1,10)))))*$D$50)))))*$I175,0)),0)</f>
        <v>0</v>
      </c>
      <c r="AY175" s="404"/>
      <c r="AZ175" s="363" t="s">
        <v>264</v>
      </c>
      <c r="BA175" s="356" t="n">
        <f aca="false">IFERROR(IF($M175=AZ175,($D$8+$D$9+$D$10)*$I175,IF($N175=LEFT(AZ175,1),($D$8+MAX(0,IF($D$50=1,$D$9*(1-(ABS($Q175-ABS(VALUE(MID(AZ175,FIND("|",AZ175)+1,FIND("-",AZ175)-FIND("|",AZ175)-1))-VALUE(MID(AZ175,FIND("-",AZ175)+1,10)))))*$D$50),$D$9*(1-(IF($N175="X",ABS($O175-VALUE(MID(AZ175,FIND("|",AZ175)+1,FIND("-",AZ175)-FIND("|",AZ175)-1))),ABS($Q175-ABS(VALUE(MID(AZ175,FIND("|",AZ175)+1,FIND("-",AZ175)-FIND("|",AZ175)-1))-VALUE(MID(AZ175,FIND("-",AZ175)+1,10)))))*$D$50)))))*$I175,0)),0)</f>
        <v>0</v>
      </c>
      <c r="BB175" s="404"/>
      <c r="BC175" s="363" t="s">
        <v>264</v>
      </c>
      <c r="BD175" s="356" t="n">
        <f aca="false">IFERROR(IF($M175=BC175,($D$8+$D$9+$D$10)*$I175,IF($N175=LEFT(BC175,1),($D$8+MAX(0,IF($D$50=1,$D$9*(1-(ABS($Q175-ABS(VALUE(MID(BC175,FIND("|",BC175)+1,FIND("-",BC175)-FIND("|",BC175)-1))-VALUE(MID(BC175,FIND("-",BC175)+1,10)))))*$D$50),$D$9*(1-(IF($N175="X",ABS($O175-VALUE(MID(BC175,FIND("|",BC175)+1,FIND("-",BC175)-FIND("|",BC175)-1))),ABS($Q175-ABS(VALUE(MID(BC175,FIND("|",BC175)+1,FIND("-",BC175)-FIND("|",BC175)-1))-VALUE(MID(BC175,FIND("-",BC175)+1,10)))))*$D$50)))))*$I175,0)),0)</f>
        <v>0</v>
      </c>
      <c r="BE175" s="404"/>
      <c r="BF175" s="363" t="s">
        <v>265</v>
      </c>
      <c r="BG175" s="356" t="n">
        <f aca="false">IFERROR(IF($M175=BF175,($D$8+$D$9+$D$10)*$I175,IF($N175=LEFT(BF175,1),($D$8+MAX(0,IF($D$50=1,$D$9*(1-(ABS($Q175-ABS(VALUE(MID(BF175,FIND("|",BF175)+1,FIND("-",BF175)-FIND("|",BF175)-1))-VALUE(MID(BF175,FIND("-",BF175)+1,10)))))*$D$50),$D$9*(1-(IF($N175="X",ABS($O175-VALUE(MID(BF175,FIND("|",BF175)+1,FIND("-",BF175)-FIND("|",BF175)-1))),ABS($Q175-ABS(VALUE(MID(BF175,FIND("|",BF175)+1,FIND("-",BF175)-FIND("|",BF175)-1))-VALUE(MID(BF175,FIND("-",BF175)+1,10)))))*$D$50)))))*$I175,0)),0)</f>
        <v>0</v>
      </c>
      <c r="BH175" s="404"/>
      <c r="BI175" s="363" t="s">
        <v>268</v>
      </c>
      <c r="BJ175" s="356" t="n">
        <f aca="false">IFERROR(IF($M175=BI175,($D$8+$D$9+$D$10)*$I175,IF($N175=LEFT(BI175,1),($D$8+MAX(0,IF($D$50=1,$D$9*(1-(ABS($Q175-ABS(VALUE(MID(BI175,FIND("|",BI175)+1,FIND("-",BI175)-FIND("|",BI175)-1))-VALUE(MID(BI175,FIND("-",BI175)+1,10)))))*$D$50),$D$9*(1-(IF($N175="X",ABS($O175-VALUE(MID(BI175,FIND("|",BI175)+1,FIND("-",BI175)-FIND("|",BI175)-1))),ABS($Q175-ABS(VALUE(MID(BI175,FIND("|",BI175)+1,FIND("-",BI175)-FIND("|",BI175)-1))-VALUE(MID(BI175,FIND("-",BI175)+1,10)))))*$D$50)))))*$I175,0)),0)</f>
        <v>0</v>
      </c>
      <c r="BK175" s="404"/>
      <c r="BL175" s="363" t="s">
        <v>267</v>
      </c>
      <c r="BM175" s="356" t="n">
        <f aca="false">IFERROR(IF($M175=BL175,($D$8+$D$9+$D$10)*$I175,IF($N175=LEFT(BL175,1),($D$8+MAX(0,IF($D$50=1,$D$9*(1-(ABS($Q175-ABS(VALUE(MID(BL175,FIND("|",BL175)+1,FIND("-",BL175)-FIND("|",BL175)-1))-VALUE(MID(BL175,FIND("-",BL175)+1,10)))))*$D$50),$D$9*(1-(IF($N175="X",ABS($O175-VALUE(MID(BL175,FIND("|",BL175)+1,FIND("-",BL175)-FIND("|",BL175)-1))),ABS($Q175-ABS(VALUE(MID(BL175,FIND("|",BL175)+1,FIND("-",BL175)-FIND("|",BL175)-1))-VALUE(MID(BL175,FIND("-",BL175)+1,10)))))*$D$50)))))*$I175,0)),0)</f>
        <v>0</v>
      </c>
      <c r="BN175" s="404"/>
      <c r="BO175" s="363" t="s">
        <v>267</v>
      </c>
      <c r="BP175" s="356" t="n">
        <f aca="false">IFERROR(IF($M175=BO175,($D$8+$D$9+$D$10)*$I175,IF($N175=LEFT(BO175,1),($D$8+MAX(0,IF($D$50=1,$D$9*(1-(ABS($Q175-ABS(VALUE(MID(BO175,FIND("|",BO175)+1,FIND("-",BO175)-FIND("|",BO175)-1))-VALUE(MID(BO175,FIND("-",BO175)+1,10)))))*$D$50),$D$9*(1-(IF($N175="X",ABS($O175-VALUE(MID(BO175,FIND("|",BO175)+1,FIND("-",BO175)-FIND("|",BO175)-1))),ABS($Q175-ABS(VALUE(MID(BO175,FIND("|",BO175)+1,FIND("-",BO175)-FIND("|",BO175)-1))-VALUE(MID(BO175,FIND("-",BO175)+1,10)))))*$D$50)))))*$I175,0)),0)</f>
        <v>0</v>
      </c>
      <c r="BQ175" s="404"/>
      <c r="BR175" s="363" t="s">
        <v>268</v>
      </c>
      <c r="BS175" s="356" t="n">
        <f aca="false">IFERROR(IF($M175=BR175,($D$8+$D$9+$D$10)*$I175,IF($N175=LEFT(BR175,1),($D$8+MAX(0,IF($D$50=1,$D$9*(1-(ABS($Q175-ABS(VALUE(MID(BR175,FIND("|",BR175)+1,FIND("-",BR175)-FIND("|",BR175)-1))-VALUE(MID(BR175,FIND("-",BR175)+1,10)))))*$D$50),$D$9*(1-(IF($N175="X",ABS($O175-VALUE(MID(BR175,FIND("|",BR175)+1,FIND("-",BR175)-FIND("|",BR175)-1))),ABS($Q175-ABS(VALUE(MID(BR175,FIND("|",BR175)+1,FIND("-",BR175)-FIND("|",BR175)-1))-VALUE(MID(BR175,FIND("-",BR175)+1,10)))))*$D$50)))))*$I175,0)),0)</f>
        <v>0</v>
      </c>
      <c r="BT175" s="404"/>
      <c r="BU175" s="363"/>
      <c r="BV175" s="356" t="n">
        <f aca="false">IFERROR(IF($M175=BU175,($D$8+$D$9+$D$10)*$I175,IF($N175=LEFT(BU175,1),($D$8+MAX(0,IF($D$50=1,$D$9*(1-(ABS($Q175-ABS(VALUE(MID(BU175,FIND("|",BU175)+1,FIND("-",BU175)-FIND("|",BU175)-1))-VALUE(MID(BU175,FIND("-",BU175)+1,10)))))*$D$50),$D$9*(1-(IF($N175="X",ABS($O175-VALUE(MID(BU175,FIND("|",BU175)+1,FIND("-",BU175)-FIND("|",BU175)-1))),ABS($Q175-ABS(VALUE(MID(BU175,FIND("|",BU175)+1,FIND("-",BU175)-FIND("|",BU175)-1))-VALUE(MID(BU175,FIND("-",BU175)+1,10)))))*$D$50)))))*$I175,0)),0)</f>
        <v>0</v>
      </c>
      <c r="BW175" s="404"/>
      <c r="BX175" s="363"/>
      <c r="BY175" s="356" t="n">
        <f aca="false">IFERROR(IF($M175=BX175,($D$8+$D$9+$D$10)*$I175,IF($N175=LEFT(BX175,1),($D$8+MAX(0,IF($D$50=1,$D$9*(1-(ABS($Q175-ABS(VALUE(MID(BX175,FIND("|",BX175)+1,FIND("-",BX175)-FIND("|",BX175)-1))-VALUE(MID(BX175,FIND("-",BX175)+1,10)))))*$D$50),$D$9*(1-(IF($N175="X",ABS($O175-VALUE(MID(BX175,FIND("|",BX175)+1,FIND("-",BX175)-FIND("|",BX175)-1))),ABS($Q175-ABS(VALUE(MID(BX175,FIND("|",BX175)+1,FIND("-",BX175)-FIND("|",BX175)-1))-VALUE(MID(BX175,FIND("-",BX175)+1,10)))))*$D$50)))))*$I175,0)),0)</f>
        <v>0</v>
      </c>
      <c r="BZ175" s="404"/>
      <c r="CA175" s="363"/>
      <c r="CB175" s="356" t="n">
        <f aca="false">IFERROR(IF($M175=CA175,($D$8+$D$9+$D$10)*$I175,IF($N175=LEFT(CA175,1),($D$8+MAX(0,IF($D$50=1,$D$9*(1-(ABS($Q175-ABS(VALUE(MID(CA175,FIND("|",CA175)+1,FIND("-",CA175)-FIND("|",CA175)-1))-VALUE(MID(CA175,FIND("-",CA175)+1,10)))))*$D$50),$D$9*(1-(IF($N175="X",ABS($O175-VALUE(MID(CA175,FIND("|",CA175)+1,FIND("-",CA175)-FIND("|",CA175)-1))),ABS($Q175-ABS(VALUE(MID(CA175,FIND("|",CA175)+1,FIND("-",CA175)-FIND("|",CA175)-1))-VALUE(MID(CA175,FIND("-",CA175)+1,10)))))*$D$50)))))*$I175,0)),0)</f>
        <v>0</v>
      </c>
      <c r="CC175" s="404"/>
      <c r="CD175" s="363"/>
      <c r="CE175" s="356" t="n">
        <f aca="false">IFERROR(IF($M175=CD175,($D$8+$D$9+$D$10)*$I175,IF($N175=LEFT(CD175,1),($D$8+MAX(0,IF($D$50=1,$D$9*(1-(ABS($Q175-ABS(VALUE(MID(CD175,FIND("|",CD175)+1,FIND("-",CD175)-FIND("|",CD175)-1))-VALUE(MID(CD175,FIND("-",CD175)+1,10)))))*$D$50),$D$9*(1-(IF($N175="X",ABS($O175-VALUE(MID(CD175,FIND("|",CD175)+1,FIND("-",CD175)-FIND("|",CD175)-1))),ABS($Q175-ABS(VALUE(MID(CD175,FIND("|",CD175)+1,FIND("-",CD175)-FIND("|",CD175)-1))-VALUE(MID(CD175,FIND("-",CD175)+1,10)))))*$D$50)))))*$I175,0)),0)</f>
        <v>0</v>
      </c>
      <c r="CF175" s="404"/>
      <c r="CG175" s="363"/>
      <c r="CH175" s="356" t="n">
        <f aca="false">IFERROR(IF($M175=CG175,($D$8+$D$9+$D$10)*$I175,IF($N175=LEFT(CG175,1),($D$8+MAX(0,IF($D$50=1,$D$9*(1-(ABS($Q175-ABS(VALUE(MID(CG175,FIND("|",CG175)+1,FIND("-",CG175)-FIND("|",CG175)-1))-VALUE(MID(CG175,FIND("-",CG175)+1,10)))))*$D$50),$D$9*(1-(IF($N175="X",ABS($O175-VALUE(MID(CG175,FIND("|",CG175)+1,FIND("-",CG175)-FIND("|",CG175)-1))),ABS($Q175-ABS(VALUE(MID(CG175,FIND("|",CG175)+1,FIND("-",CG175)-FIND("|",CG175)-1))-VALUE(MID(CG175,FIND("-",CG175)+1,10)))))*$D$50)))))*$I175,0)),0)</f>
        <v>0</v>
      </c>
      <c r="CI175" s="404"/>
      <c r="CJ175" s="363"/>
      <c r="CK175" s="356" t="n">
        <f aca="false">IFERROR(IF($M175=CJ175,($D$8+$D$9+$D$10)*$I175,IF($N175=LEFT(CJ175,1),($D$8+MAX(0,IF($D$50=1,$D$9*(1-(ABS($Q175-ABS(VALUE(MID(CJ175,FIND("|",CJ175)+1,FIND("-",CJ175)-FIND("|",CJ175)-1))-VALUE(MID(CJ175,FIND("-",CJ175)+1,10)))))*$D$50),$D$9*(1-(IF($N175="X",ABS($O175-VALUE(MID(CJ175,FIND("|",CJ175)+1,FIND("-",CJ175)-FIND("|",CJ175)-1))),ABS($Q175-ABS(VALUE(MID(CJ175,FIND("|",CJ175)+1,FIND("-",CJ175)-FIND("|",CJ175)-1))-VALUE(MID(CJ175,FIND("-",CJ175)+1,10)))))*$D$50)))))*$I175,0)),0)</f>
        <v>0</v>
      </c>
      <c r="CL175" s="404"/>
      <c r="CM175" s="363"/>
      <c r="CN175" s="356" t="n">
        <f aca="false">IFERROR(IF($M175=CM175,($D$8+$D$9+$D$10)*$I175,IF($N175=LEFT(CM175,1),($D$8+MAX(0,IF($D$50=1,$D$9*(1-(ABS($Q175-ABS(VALUE(MID(CM175,FIND("|",CM175)+1,FIND("-",CM175)-FIND("|",CM175)-1))-VALUE(MID(CM175,FIND("-",CM175)+1,10)))))*$D$50),$D$9*(1-(IF($N175="X",ABS($O175-VALUE(MID(CM175,FIND("|",CM175)+1,FIND("-",CM175)-FIND("|",CM175)-1))),ABS($Q175-ABS(VALUE(MID(CM175,FIND("|",CM175)+1,FIND("-",CM175)-FIND("|",CM175)-1))-VALUE(MID(CM175,FIND("-",CM175)+1,10)))))*$D$50)))))*$I175,0)),0)</f>
        <v>0</v>
      </c>
      <c r="CO175" s="404"/>
      <c r="CP175" s="363"/>
      <c r="CQ175" s="356" t="n">
        <f aca="false">IFERROR(IF($M175=CP175,($D$8+$D$9+$D$10)*$I175,IF($N175=LEFT(CP175,1),($D$8+MAX(0,IF($D$50=1,$D$9*(1-(ABS($Q175-ABS(VALUE(MID(CP175,FIND("|",CP175)+1,FIND("-",CP175)-FIND("|",CP175)-1))-VALUE(MID(CP175,FIND("-",CP175)+1,10)))))*$D$50),$D$9*(1-(IF($N175="X",ABS($O175-VALUE(MID(CP175,FIND("|",CP175)+1,FIND("-",CP175)-FIND("|",CP175)-1))),ABS($Q175-ABS(VALUE(MID(CP175,FIND("|",CP175)+1,FIND("-",CP175)-FIND("|",CP175)-1))-VALUE(MID(CP175,FIND("-",CP175)+1,10)))))*$D$50)))))*$I175,0)),0)</f>
        <v>0</v>
      </c>
      <c r="CR175" s="404"/>
      <c r="CS175" s="363"/>
      <c r="CT175" s="356" t="n">
        <f aca="false">IFERROR(IF($M175=CS175,($D$8+$D$9+$D$10)*$I175,IF($N175=LEFT(CS175,1),($D$8+MAX(0,IF($D$50=1,$D$9*(1-(ABS($Q175-ABS(VALUE(MID(CS175,FIND("|",CS175)+1,FIND("-",CS175)-FIND("|",CS175)-1))-VALUE(MID(CS175,FIND("-",CS175)+1,10)))))*$D$50),$D$9*(1-(IF($N175="X",ABS($O175-VALUE(MID(CS175,FIND("|",CS175)+1,FIND("-",CS175)-FIND("|",CS175)-1))),ABS($Q175-ABS(VALUE(MID(CS175,FIND("|",CS175)+1,FIND("-",CS175)-FIND("|",CS175)-1))-VALUE(MID(CS175,FIND("-",CS175)+1,10)))))*$D$50)))))*$I175,0)),0)</f>
        <v>0</v>
      </c>
      <c r="CU175" s="404"/>
      <c r="CV175" s="363"/>
      <c r="CW175" s="356" t="n">
        <f aca="false">IFERROR(IF($M175=CV175,($D$8+$D$9+$D$10)*$I175,IF($N175=LEFT(CV175,1),($D$8+MAX(0,IF($D$50=1,$D$9*(1-(ABS($Q175-ABS(VALUE(MID(CV175,FIND("|",CV175)+1,FIND("-",CV175)-FIND("|",CV175)-1))-VALUE(MID(CV175,FIND("-",CV175)+1,10)))))*$D$50),$D$9*(1-(IF($N175="X",ABS($O175-VALUE(MID(CV175,FIND("|",CV175)+1,FIND("-",CV175)-FIND("|",CV175)-1))),ABS($Q175-ABS(VALUE(MID(CV175,FIND("|",CV175)+1,FIND("-",CV175)-FIND("|",CV175)-1))-VALUE(MID(CV175,FIND("-",CV175)+1,10)))))*$D$50)))))*$I175,0)),0)</f>
        <v>0</v>
      </c>
      <c r="CX175" s="404"/>
      <c r="CY175" s="363"/>
      <c r="CZ175" s="356" t="n">
        <f aca="false">IFERROR(IF($M175=CY175,($D$8+$D$9+$D$10)*$I175,IF($N175=LEFT(CY175,1),($D$8+MAX(0,IF($D$50=1,$D$9*(1-(ABS($Q175-ABS(VALUE(MID(CY175,FIND("|",CY175)+1,FIND("-",CY175)-FIND("|",CY175)-1))-VALUE(MID(CY175,FIND("-",CY175)+1,10)))))*$D$50),$D$9*(1-(IF($N175="X",ABS($O175-VALUE(MID(CY175,FIND("|",CY175)+1,FIND("-",CY175)-FIND("|",CY175)-1))),ABS($Q175-ABS(VALUE(MID(CY175,FIND("|",CY175)+1,FIND("-",CY175)-FIND("|",CY175)-1))-VALUE(MID(CY175,FIND("-",CY175)+1,10)))))*$D$50)))))*$I175,0)),0)</f>
        <v>0</v>
      </c>
      <c r="DA175" s="404"/>
      <c r="DB175" s="363"/>
      <c r="DC175" s="356" t="n">
        <f aca="false">IFERROR(IF($M175=DB175,($D$8+$D$9+$D$10)*$I175,IF($N175=LEFT(DB175,1),($D$8+MAX(0,IF($D$50=1,$D$9*(1-(ABS($Q175-ABS(VALUE(MID(DB175,FIND("|",DB175)+1,FIND("-",DB175)-FIND("|",DB175)-1))-VALUE(MID(DB175,FIND("-",DB175)+1,10)))))*$D$50),$D$9*(1-(IF($N175="X",ABS($O175-VALUE(MID(DB175,FIND("|",DB175)+1,FIND("-",DB175)-FIND("|",DB175)-1))),ABS($Q175-ABS(VALUE(MID(DB175,FIND("|",DB175)+1,FIND("-",DB175)-FIND("|",DB175)-1))-VALUE(MID(DB175,FIND("-",DB175)+1,10)))))*$D$50)))))*$I175,0)),0)</f>
        <v>0</v>
      </c>
      <c r="DD175" s="404"/>
      <c r="DE175" s="363"/>
      <c r="DF175" s="356" t="n">
        <f aca="false">IFERROR(IF($M175=DE175,($D$8+$D$9+$D$10)*$I175,IF($N175=LEFT(DE175,1),($D$8+MAX(0,IF($D$50=1,$D$9*(1-(ABS($Q175-ABS(VALUE(MID(DE175,FIND("|",DE175)+1,FIND("-",DE175)-FIND("|",DE175)-1))-VALUE(MID(DE175,FIND("-",DE175)+1,10)))))*$D$50),$D$9*(1-(IF($N175="X",ABS($O175-VALUE(MID(DE175,FIND("|",DE175)+1,FIND("-",DE175)-FIND("|",DE175)-1))),ABS($Q175-ABS(VALUE(MID(DE175,FIND("|",DE175)+1,FIND("-",DE175)-FIND("|",DE175)-1))-VALUE(MID(DE175,FIND("-",DE175)+1,10)))))*$D$50)))))*$I175,0)),0)</f>
        <v>0</v>
      </c>
      <c r="DG175" s="404"/>
      <c r="DH175" s="363"/>
      <c r="DI175" s="356" t="n">
        <f aca="false">IFERROR(IF($M175=DH175,($D$8+$D$9+$D$10)*$I175,IF($N175=LEFT(DH175,1),($D$8+MAX(0,IF($D$50=1,$D$9*(1-(ABS($Q175-ABS(VALUE(MID(DH175,FIND("|",DH175)+1,FIND("-",DH175)-FIND("|",DH175)-1))-VALUE(MID(DH175,FIND("-",DH175)+1,10)))))*$D$50),$D$9*(1-(IF($N175="X",ABS($O175-VALUE(MID(DH175,FIND("|",DH175)+1,FIND("-",DH175)-FIND("|",DH175)-1))),ABS($Q175-ABS(VALUE(MID(DH175,FIND("|",DH175)+1,FIND("-",DH175)-FIND("|",DH175)-1))-VALUE(MID(DH175,FIND("-",DH175)+1,10)))))*$D$50)))))*$I175,0)),0)</f>
        <v>0</v>
      </c>
      <c r="DJ175" s="404"/>
      <c r="DK175" s="363"/>
      <c r="DL175" s="356" t="n">
        <f aca="false">IFERROR(IF($M175=DK175,($D$8+$D$9+$D$10)*$I175,IF($N175=LEFT(DK175,1),($D$8+MAX(0,IF($D$50=1,$D$9*(1-(ABS($Q175-ABS(VALUE(MID(DK175,FIND("|",DK175)+1,FIND("-",DK175)-FIND("|",DK175)-1))-VALUE(MID(DK175,FIND("-",DK175)+1,10)))))*$D$50),$D$9*(1-(IF($N175="X",ABS($O175-VALUE(MID(DK175,FIND("|",DK175)+1,FIND("-",DK175)-FIND("|",DK175)-1))),ABS($Q175-ABS(VALUE(MID(DK175,FIND("|",DK175)+1,FIND("-",DK175)-FIND("|",DK175)-1))-VALUE(MID(DK175,FIND("-",DK175)+1,10)))))*$D$50)))))*$I175,0)),0)</f>
        <v>0</v>
      </c>
      <c r="DM175" s="404"/>
      <c r="DN175" s="363"/>
      <c r="DO175" s="356" t="n">
        <f aca="false">IFERROR(IF($M175=DN175,($D$8+$D$9+$D$10)*$I175,IF($N175=LEFT(DN175,1),($D$8+MAX(0,IF($D$50=1,$D$9*(1-(ABS($Q175-ABS(VALUE(MID(DN175,FIND("|",DN175)+1,FIND("-",DN175)-FIND("|",DN175)-1))-VALUE(MID(DN175,FIND("-",DN175)+1,10)))))*$D$50),$D$9*(1-(IF($N175="X",ABS($O175-VALUE(MID(DN175,FIND("|",DN175)+1,FIND("-",DN175)-FIND("|",DN175)-1))),ABS($Q175-ABS(VALUE(MID(DN175,FIND("|",DN175)+1,FIND("-",DN175)-FIND("|",DN175)-1))-VALUE(MID(DN175,FIND("-",DN175)+1,10)))))*$D$50)))))*$I175,0)),0)</f>
        <v>0</v>
      </c>
      <c r="DP175" s="404"/>
      <c r="DQ175" s="363"/>
      <c r="DR175" s="356" t="n">
        <f aca="false">IFERROR(IF($M175=DQ175,($D$8+$D$9+$D$10)*$I175,IF($N175=LEFT(DQ175,1),($D$8+MAX(0,IF($D$50=1,$D$9*(1-(ABS($Q175-ABS(VALUE(MID(DQ175,FIND("|",DQ175)+1,FIND("-",DQ175)-FIND("|",DQ175)-1))-VALUE(MID(DQ175,FIND("-",DQ175)+1,10)))))*$D$50),$D$9*(1-(IF($N175="X",ABS($O175-VALUE(MID(DQ175,FIND("|",DQ175)+1,FIND("-",DQ175)-FIND("|",DQ175)-1))),ABS($Q175-ABS(VALUE(MID(DQ175,FIND("|",DQ175)+1,FIND("-",DQ175)-FIND("|",DQ175)-1))-VALUE(MID(DQ175,FIND("-",DQ175)+1,10)))))*$D$50)))))*$I175,0)),0)</f>
        <v>0</v>
      </c>
      <c r="DS175" s="404"/>
      <c r="DT175" s="363"/>
      <c r="DU175" s="356" t="n">
        <f aca="false">IFERROR(IF($M175=DT175,($D$8+$D$9+$D$10)*$I175,IF($N175=LEFT(DT175,1),($D$8+MAX(0,IF($D$50=1,$D$9*(1-(ABS($Q175-ABS(VALUE(MID(DT175,FIND("|",DT175)+1,FIND("-",DT175)-FIND("|",DT175)-1))-VALUE(MID(DT175,FIND("-",DT175)+1,10)))))*$D$50),$D$9*(1-(IF($N175="X",ABS($O175-VALUE(MID(DT175,FIND("|",DT175)+1,FIND("-",DT175)-FIND("|",DT175)-1))),ABS($Q175-ABS(VALUE(MID(DT175,FIND("|",DT175)+1,FIND("-",DT175)-FIND("|",DT175)-1))-VALUE(MID(DT175,FIND("-",DT175)+1,10)))))*$D$50)))))*$I175,0)),0)</f>
        <v>0</v>
      </c>
      <c r="DV175" s="404"/>
      <c r="DW175" s="363"/>
      <c r="DX175" s="356" t="n">
        <f aca="false">IFERROR(IF($M175=DW175,($D$8+$D$9+$D$10)*$I175,IF($N175=LEFT(DW175,1),($D$8+MAX(0,IF($D$50=1,$D$9*(1-(ABS($Q175-ABS(VALUE(MID(DW175,FIND("|",DW175)+1,FIND("-",DW175)-FIND("|",DW175)-1))-VALUE(MID(DW175,FIND("-",DW175)+1,10)))))*$D$50),$D$9*(1-(IF($N175="X",ABS($O175-VALUE(MID(DW175,FIND("|",DW175)+1,FIND("-",DW175)-FIND("|",DW175)-1))),ABS($Q175-ABS(VALUE(MID(DW175,FIND("|",DW175)+1,FIND("-",DW175)-FIND("|",DW175)-1))-VALUE(MID(DW175,FIND("-",DW175)+1,10)))))*$D$50)))))*$I175,0)),0)</f>
        <v>0</v>
      </c>
      <c r="DY175" s="404"/>
      <c r="DZ175" s="363"/>
      <c r="EA175" s="356" t="n">
        <f aca="false">IFERROR(IF($M175=DZ175,($D$8+$D$9+$D$10)*$I175,IF($N175=LEFT(DZ175,1),($D$8+MAX(0,IF($D$50=1,$D$9*(1-(ABS($Q175-ABS(VALUE(MID(DZ175,FIND("|",DZ175)+1,FIND("-",DZ175)-FIND("|",DZ175)-1))-VALUE(MID(DZ175,FIND("-",DZ175)+1,10)))))*$D$50),$D$9*(1-(IF($N175="X",ABS($O175-VALUE(MID(DZ175,FIND("|",DZ175)+1,FIND("-",DZ175)-FIND("|",DZ175)-1))),ABS($Q175-ABS(VALUE(MID(DZ175,FIND("|",DZ175)+1,FIND("-",DZ175)-FIND("|",DZ175)-1))-VALUE(MID(DZ175,FIND("-",DZ175)+1,10)))))*$D$50)))))*$I175,0)),0)</f>
        <v>0</v>
      </c>
      <c r="EB175" s="404"/>
      <c r="EC175" s="363"/>
      <c r="ED175" s="356" t="n">
        <f aca="false">IFERROR(IF($M175=EC175,($D$8+$D$9+$D$10)*$I175,IF($N175=LEFT(EC175,1),($D$8+MAX(0,IF($D$50=1,$D$9*(1-(ABS($Q175-ABS(VALUE(MID(EC175,FIND("|",EC175)+1,FIND("-",EC175)-FIND("|",EC175)-1))-VALUE(MID(EC175,FIND("-",EC175)+1,10)))))*$D$50),$D$9*(1-(IF($N175="X",ABS($O175-VALUE(MID(EC175,FIND("|",EC175)+1,FIND("-",EC175)-FIND("|",EC175)-1))),ABS($Q175-ABS(VALUE(MID(EC175,FIND("|",EC175)+1,FIND("-",EC175)-FIND("|",EC175)-1))-VALUE(MID(EC175,FIND("-",EC175)+1,10)))))*$D$50)))))*$I175,0)),0)</f>
        <v>0</v>
      </c>
      <c r="EE175" s="404"/>
      <c r="EF175" s="363"/>
      <c r="EG175" s="356" t="n">
        <f aca="false">IFERROR(IF($M175=EF175,($D$8+$D$9+$D$10)*$I175,IF($N175=LEFT(EF175,1),($D$8+MAX(0,IF($D$50=1,$D$9*(1-(ABS($Q175-ABS(VALUE(MID(EF175,FIND("|",EF175)+1,FIND("-",EF175)-FIND("|",EF175)-1))-VALUE(MID(EF175,FIND("-",EF175)+1,10)))))*$D$50),$D$9*(1-(IF($N175="X",ABS($O175-VALUE(MID(EF175,FIND("|",EF175)+1,FIND("-",EF175)-FIND("|",EF175)-1))),ABS($Q175-ABS(VALUE(MID(EF175,FIND("|",EF175)+1,FIND("-",EF175)-FIND("|",EF175)-1))-VALUE(MID(EF175,FIND("-",EF175)+1,10)))))*$D$50)))))*$I175,0)),0)</f>
        <v>0</v>
      </c>
      <c r="EH175" s="404"/>
      <c r="EI175" s="404"/>
    </row>
    <row r="176" customFormat="false" ht="15" hidden="false" customHeight="false" outlineLevel="0" collapsed="false">
      <c r="A176" s="332" t="n">
        <f aca="false">WORLDCUP!AD113</f>
        <v>0</v>
      </c>
      <c r="B176" s="332" t="n">
        <f aca="false">WORLDCUP!AC113</f>
        <v>0</v>
      </c>
      <c r="C176" s="422" t="str">
        <f aca="false">CONCATENATE(WORLDCUP!AF113,"-",WORLDCUP!AA113)</f>
        <v>3EFGIJ-1B</v>
      </c>
      <c r="D176" s="422" t="str">
        <f aca="false">IF(WORLDCUP!AC113&gt;WORLDCUP!AD113,2,IF(WORLDCUP!AC113&lt;WORLDCUP!AD113,1,IF(AND(WORLDCUP!AC113=WORLDCUP!AD113,WORLDCUP!AC113&lt;&gt;"",WORLDCUP!AD113&lt;&gt;""),0,"PD")))</f>
        <v>PD</v>
      </c>
      <c r="E176" s="422" t="str">
        <f aca="false">IF(OR(WORLDCUP!AC113="",WORLDCUP!AD113=""),"-",A176&amp;"-"&amp;B176)</f>
        <v>-</v>
      </c>
      <c r="F176" s="423" t="n">
        <f aca="false">SUM($D$16:$D$18)*I176</f>
        <v>17</v>
      </c>
      <c r="G176" s="423" t="n">
        <f aca="false">VLOOKUP(H176,Equipos!$Q$1:$R$25,2,0)</f>
        <v>20</v>
      </c>
      <c r="H176" s="424" t="str">
        <f aca="false">Idiomas!$D$260</f>
        <v>Dieciseisavos de final</v>
      </c>
      <c r="I176" s="425" t="n">
        <v>1</v>
      </c>
      <c r="J176" s="418"/>
      <c r="K176" s="367" t="str">
        <f aca="false">CONCATENATE(WORLDCUP!AA113,"-",WORLDCUP!AF113)</f>
        <v>1B-3EFGIJ</v>
      </c>
      <c r="L176" s="354"/>
      <c r="M176" s="359" t="str">
        <f aca="false">IF(OR(WORLDCUP!AC113="",WORLDCUP!AD113=""),"-",N176&amp;"|"&amp;O176&amp;"-"&amp;P176)</f>
        <v>-</v>
      </c>
      <c r="N176" s="332" t="str">
        <f aca="false">IF(OR(WORLDCUP!AC113="",WORLDCUP!AD113=""),"",IF(WORLDCUP!AC113&gt;WORLDCUP!AD113,"1",IF(WORLDCUP!AC113&lt;WORLDCUP!AD113,"2","X")))</f>
        <v/>
      </c>
      <c r="O176" s="332" t="n">
        <f aca="false">WORLDCUP!AC113</f>
        <v>0</v>
      </c>
      <c r="P176" s="332" t="n">
        <f aca="false">WORLDCUP!AD113</f>
        <v>0</v>
      </c>
      <c r="Q176" s="332" t="n">
        <f aca="false">ABS(O176-P176)</f>
        <v>0</v>
      </c>
      <c r="R176" s="404"/>
      <c r="S176" s="363" t="s">
        <v>275</v>
      </c>
      <c r="T176" s="356" t="n">
        <f aca="false">IFERROR(IF($M176=S176,($D$8+$D$9+$D$10)*$I176,IF($N176=LEFT(S176,1),($D$8+MAX(0,IF($D$50=1,$D$9*(1-(ABS($Q176-ABS(VALUE(MID(S176,FIND("|",S176)+1,FIND("-",S176)-FIND("|",S176)-1))-VALUE(MID(S176,FIND("-",S176)+1,10)))))*$D$50),$D$9*(1-(IF($N176="X",ABS($O176-VALUE(MID(S176,FIND("|",S176)+1,FIND("-",S176)-FIND("|",S176)-1))),ABS($Q176-ABS(VALUE(MID(S176,FIND("|",S176)+1,FIND("-",S176)-FIND("|",S176)-1))-VALUE(MID(S176,FIND("-",S176)+1,10)))))*$D$50)))))*$I176,0)),0)</f>
        <v>0</v>
      </c>
      <c r="U176" s="404"/>
      <c r="V176" s="363" t="s">
        <v>265</v>
      </c>
      <c r="W176" s="356" t="n">
        <f aca="false">IFERROR(IF($M176=V176,($D$8+$D$9+$D$10)*$I176,IF($N176=LEFT(V176,1),($D$8+MAX(0,IF($D$50=1,$D$9*(1-(ABS($Q176-ABS(VALUE(MID(V176,FIND("|",V176)+1,FIND("-",V176)-FIND("|",V176)-1))-VALUE(MID(V176,FIND("-",V176)+1,10)))))*$D$50),$D$9*(1-(IF($N176="X",ABS($O176-VALUE(MID(V176,FIND("|",V176)+1,FIND("-",V176)-FIND("|",V176)-1))),ABS($Q176-ABS(VALUE(MID(V176,FIND("|",V176)+1,FIND("-",V176)-FIND("|",V176)-1))-VALUE(MID(V176,FIND("-",V176)+1,10)))))*$D$50)))))*$I176,0)),0)</f>
        <v>0</v>
      </c>
      <c r="X176" s="404"/>
      <c r="Y176" s="363" t="s">
        <v>265</v>
      </c>
      <c r="Z176" s="356" t="n">
        <f aca="false">IFERROR(IF($M176=Y176,($D$8+$D$9+$D$10)*$I176,IF($N176=LEFT(Y176,1),($D$8+MAX(0,IF($D$50=1,$D$9*(1-(ABS($Q176-ABS(VALUE(MID(Y176,FIND("|",Y176)+1,FIND("-",Y176)-FIND("|",Y176)-1))-VALUE(MID(Y176,FIND("-",Y176)+1,10)))))*$D$50),$D$9*(1-(IF($N176="X",ABS($O176-VALUE(MID(Y176,FIND("|",Y176)+1,FIND("-",Y176)-FIND("|",Y176)-1))),ABS($Q176-ABS(VALUE(MID(Y176,FIND("|",Y176)+1,FIND("-",Y176)-FIND("|",Y176)-1))-VALUE(MID(Y176,FIND("-",Y176)+1,10)))))*$D$50)))))*$I176,0)),0)</f>
        <v>0</v>
      </c>
      <c r="AA176" s="404"/>
      <c r="AB176" s="363" t="s">
        <v>271</v>
      </c>
      <c r="AC176" s="356" t="n">
        <f aca="false">IFERROR(IF($M176=AB176,($D$8+$D$9+$D$10)*$I176,IF($N176=LEFT(AB176,1),($D$8+MAX(0,IF($D$50=1,$D$9*(1-(ABS($Q176-ABS(VALUE(MID(AB176,FIND("|",AB176)+1,FIND("-",AB176)-FIND("|",AB176)-1))-VALUE(MID(AB176,FIND("-",AB176)+1,10)))))*$D$50),$D$9*(1-(IF($N176="X",ABS($O176-VALUE(MID(AB176,FIND("|",AB176)+1,FIND("-",AB176)-FIND("|",AB176)-1))),ABS($Q176-ABS(VALUE(MID(AB176,FIND("|",AB176)+1,FIND("-",AB176)-FIND("|",AB176)-1))-VALUE(MID(AB176,FIND("-",AB176)+1,10)))))*$D$50)))))*$I176,0)),0)</f>
        <v>0</v>
      </c>
      <c r="AD176" s="404"/>
      <c r="AE176" s="363" t="s">
        <v>264</v>
      </c>
      <c r="AF176" s="356" t="n">
        <f aca="false">IFERROR(IF($M176=AE176,($D$8+$D$9+$D$10)*$I176,IF($N176=LEFT(AE176,1),($D$8+MAX(0,IF($D$50=1,$D$9*(1-(ABS($Q176-ABS(VALUE(MID(AE176,FIND("|",AE176)+1,FIND("-",AE176)-FIND("|",AE176)-1))-VALUE(MID(AE176,FIND("-",AE176)+1,10)))))*$D$50),$D$9*(1-(IF($N176="X",ABS($O176-VALUE(MID(AE176,FIND("|",AE176)+1,FIND("-",AE176)-FIND("|",AE176)-1))),ABS($Q176-ABS(VALUE(MID(AE176,FIND("|",AE176)+1,FIND("-",AE176)-FIND("|",AE176)-1))-VALUE(MID(AE176,FIND("-",AE176)+1,10)))))*$D$50)))))*$I176,0)),0)</f>
        <v>0</v>
      </c>
      <c r="AG176" s="404"/>
      <c r="AH176" s="363" t="s">
        <v>265</v>
      </c>
      <c r="AI176" s="356" t="n">
        <f aca="false">IFERROR(IF($M176=AH176,($D$8+$D$9+$D$10)*$I176,IF($N176=LEFT(AH176,1),($D$8+MAX(0,IF($D$50=1,$D$9*(1-(ABS($Q176-ABS(VALUE(MID(AH176,FIND("|",AH176)+1,FIND("-",AH176)-FIND("|",AH176)-1))-VALUE(MID(AH176,FIND("-",AH176)+1,10)))))*$D$50),$D$9*(1-(IF($N176="X",ABS($O176-VALUE(MID(AH176,FIND("|",AH176)+1,FIND("-",AH176)-FIND("|",AH176)-1))),ABS($Q176-ABS(VALUE(MID(AH176,FIND("|",AH176)+1,FIND("-",AH176)-FIND("|",AH176)-1))-VALUE(MID(AH176,FIND("-",AH176)+1,10)))))*$D$50)))))*$I176,0)),0)</f>
        <v>0</v>
      </c>
      <c r="AJ176" s="404"/>
      <c r="AK176" s="363" t="s">
        <v>265</v>
      </c>
      <c r="AL176" s="356" t="n">
        <f aca="false">IFERROR(IF($M176=AK176,($D$8+$D$9+$D$10)*$I176,IF($N176=LEFT(AK176,1),($D$8+MAX(0,IF($D$50=1,$D$9*(1-(ABS($Q176-ABS(VALUE(MID(AK176,FIND("|",AK176)+1,FIND("-",AK176)-FIND("|",AK176)-1))-VALUE(MID(AK176,FIND("-",AK176)+1,10)))))*$D$50),$D$9*(1-(IF($N176="X",ABS($O176-VALUE(MID(AK176,FIND("|",AK176)+1,FIND("-",AK176)-FIND("|",AK176)-1))),ABS($Q176-ABS(VALUE(MID(AK176,FIND("|",AK176)+1,FIND("-",AK176)-FIND("|",AK176)-1))-VALUE(MID(AK176,FIND("-",AK176)+1,10)))))*$D$50)))))*$I176,0)),0)</f>
        <v>0</v>
      </c>
      <c r="AM176" s="404"/>
      <c r="AN176" s="363" t="s">
        <v>265</v>
      </c>
      <c r="AO176" s="356" t="n">
        <f aca="false">IFERROR(IF($M176=AN176,($D$8+$D$9+$D$10)*$I176,IF($N176=LEFT(AN176,1),($D$8+MAX(0,IF($D$50=1,$D$9*(1-(ABS($Q176-ABS(VALUE(MID(AN176,FIND("|",AN176)+1,FIND("-",AN176)-FIND("|",AN176)-1))-VALUE(MID(AN176,FIND("-",AN176)+1,10)))))*$D$50),$D$9*(1-(IF($N176="X",ABS($O176-VALUE(MID(AN176,FIND("|",AN176)+1,FIND("-",AN176)-FIND("|",AN176)-1))),ABS($Q176-ABS(VALUE(MID(AN176,FIND("|",AN176)+1,FIND("-",AN176)-FIND("|",AN176)-1))-VALUE(MID(AN176,FIND("-",AN176)+1,10)))))*$D$50)))))*$I176,0)),0)</f>
        <v>0</v>
      </c>
      <c r="AP176" s="404"/>
      <c r="AQ176" s="363" t="s">
        <v>267</v>
      </c>
      <c r="AR176" s="356" t="n">
        <f aca="false">IFERROR(IF($M176=AQ176,($D$8+$D$9+$D$10)*$I176,IF($N176=LEFT(AQ176,1),($D$8+MAX(0,IF($D$50=1,$D$9*(1-(ABS($Q176-ABS(VALUE(MID(AQ176,FIND("|",AQ176)+1,FIND("-",AQ176)-FIND("|",AQ176)-1))-VALUE(MID(AQ176,FIND("-",AQ176)+1,10)))))*$D$50),$D$9*(1-(IF($N176="X",ABS($O176-VALUE(MID(AQ176,FIND("|",AQ176)+1,FIND("-",AQ176)-FIND("|",AQ176)-1))),ABS($Q176-ABS(VALUE(MID(AQ176,FIND("|",AQ176)+1,FIND("-",AQ176)-FIND("|",AQ176)-1))-VALUE(MID(AQ176,FIND("-",AQ176)+1,10)))))*$D$50)))))*$I176,0)),0)</f>
        <v>0</v>
      </c>
      <c r="AS176" s="404"/>
      <c r="AT176" s="363" t="s">
        <v>265</v>
      </c>
      <c r="AU176" s="356" t="n">
        <f aca="false">IFERROR(IF($M176=AT176,($D$8+$D$9+$D$10)*$I176,IF($N176=LEFT(AT176,1),($D$8+MAX(0,IF($D$50=1,$D$9*(1-(ABS($Q176-ABS(VALUE(MID(AT176,FIND("|",AT176)+1,FIND("-",AT176)-FIND("|",AT176)-1))-VALUE(MID(AT176,FIND("-",AT176)+1,10)))))*$D$50),$D$9*(1-(IF($N176="X",ABS($O176-VALUE(MID(AT176,FIND("|",AT176)+1,FIND("-",AT176)-FIND("|",AT176)-1))),ABS($Q176-ABS(VALUE(MID(AT176,FIND("|",AT176)+1,FIND("-",AT176)-FIND("|",AT176)-1))-VALUE(MID(AT176,FIND("-",AT176)+1,10)))))*$D$50)))))*$I176,0)),0)</f>
        <v>0</v>
      </c>
      <c r="AV176" s="404"/>
      <c r="AW176" s="363" t="s">
        <v>265</v>
      </c>
      <c r="AX176" s="356" t="n">
        <f aca="false">IFERROR(IF($M176=AW176,($D$8+$D$9+$D$10)*$I176,IF($N176=LEFT(AW176,1),($D$8+MAX(0,IF($D$50=1,$D$9*(1-(ABS($Q176-ABS(VALUE(MID(AW176,FIND("|",AW176)+1,FIND("-",AW176)-FIND("|",AW176)-1))-VALUE(MID(AW176,FIND("-",AW176)+1,10)))))*$D$50),$D$9*(1-(IF($N176="X",ABS($O176-VALUE(MID(AW176,FIND("|",AW176)+1,FIND("-",AW176)-FIND("|",AW176)-1))),ABS($Q176-ABS(VALUE(MID(AW176,FIND("|",AW176)+1,FIND("-",AW176)-FIND("|",AW176)-1))-VALUE(MID(AW176,FIND("-",AW176)+1,10)))))*$D$50)))))*$I176,0)),0)</f>
        <v>0</v>
      </c>
      <c r="AY176" s="404"/>
      <c r="AZ176" s="363" t="s">
        <v>264</v>
      </c>
      <c r="BA176" s="356" t="n">
        <f aca="false">IFERROR(IF($M176=AZ176,($D$8+$D$9+$D$10)*$I176,IF($N176=LEFT(AZ176,1),($D$8+MAX(0,IF($D$50=1,$D$9*(1-(ABS($Q176-ABS(VALUE(MID(AZ176,FIND("|",AZ176)+1,FIND("-",AZ176)-FIND("|",AZ176)-1))-VALUE(MID(AZ176,FIND("-",AZ176)+1,10)))))*$D$50),$D$9*(1-(IF($N176="X",ABS($O176-VALUE(MID(AZ176,FIND("|",AZ176)+1,FIND("-",AZ176)-FIND("|",AZ176)-1))),ABS($Q176-ABS(VALUE(MID(AZ176,FIND("|",AZ176)+1,FIND("-",AZ176)-FIND("|",AZ176)-1))-VALUE(MID(AZ176,FIND("-",AZ176)+1,10)))))*$D$50)))))*$I176,0)),0)</f>
        <v>0</v>
      </c>
      <c r="BB176" s="404"/>
      <c r="BC176" s="363" t="s">
        <v>268</v>
      </c>
      <c r="BD176" s="356" t="n">
        <f aca="false">IFERROR(IF($M176=BC176,($D$8+$D$9+$D$10)*$I176,IF($N176=LEFT(BC176,1),($D$8+MAX(0,IF($D$50=1,$D$9*(1-(ABS($Q176-ABS(VALUE(MID(BC176,FIND("|",BC176)+1,FIND("-",BC176)-FIND("|",BC176)-1))-VALUE(MID(BC176,FIND("-",BC176)+1,10)))))*$D$50),$D$9*(1-(IF($N176="X",ABS($O176-VALUE(MID(BC176,FIND("|",BC176)+1,FIND("-",BC176)-FIND("|",BC176)-1))),ABS($Q176-ABS(VALUE(MID(BC176,FIND("|",BC176)+1,FIND("-",BC176)-FIND("|",BC176)-1))-VALUE(MID(BC176,FIND("-",BC176)+1,10)))))*$D$50)))))*$I176,0)),0)</f>
        <v>0</v>
      </c>
      <c r="BE176" s="404"/>
      <c r="BF176" s="363" t="s">
        <v>265</v>
      </c>
      <c r="BG176" s="356" t="n">
        <f aca="false">IFERROR(IF($M176=BF176,($D$8+$D$9+$D$10)*$I176,IF($N176=LEFT(BF176,1),($D$8+MAX(0,IF($D$50=1,$D$9*(1-(ABS($Q176-ABS(VALUE(MID(BF176,FIND("|",BF176)+1,FIND("-",BF176)-FIND("|",BF176)-1))-VALUE(MID(BF176,FIND("-",BF176)+1,10)))))*$D$50),$D$9*(1-(IF($N176="X",ABS($O176-VALUE(MID(BF176,FIND("|",BF176)+1,FIND("-",BF176)-FIND("|",BF176)-1))),ABS($Q176-ABS(VALUE(MID(BF176,FIND("|",BF176)+1,FIND("-",BF176)-FIND("|",BF176)-1))-VALUE(MID(BF176,FIND("-",BF176)+1,10)))))*$D$50)))))*$I176,0)),0)</f>
        <v>0</v>
      </c>
      <c r="BH176" s="404"/>
      <c r="BI176" s="363" t="s">
        <v>275</v>
      </c>
      <c r="BJ176" s="356" t="n">
        <f aca="false">IFERROR(IF($M176=BI176,($D$8+$D$9+$D$10)*$I176,IF($N176=LEFT(BI176,1),($D$8+MAX(0,IF($D$50=1,$D$9*(1-(ABS($Q176-ABS(VALUE(MID(BI176,FIND("|",BI176)+1,FIND("-",BI176)-FIND("|",BI176)-1))-VALUE(MID(BI176,FIND("-",BI176)+1,10)))))*$D$50),$D$9*(1-(IF($N176="X",ABS($O176-VALUE(MID(BI176,FIND("|",BI176)+1,FIND("-",BI176)-FIND("|",BI176)-1))),ABS($Q176-ABS(VALUE(MID(BI176,FIND("|",BI176)+1,FIND("-",BI176)-FIND("|",BI176)-1))-VALUE(MID(BI176,FIND("-",BI176)+1,10)))))*$D$50)))))*$I176,0)),0)</f>
        <v>0</v>
      </c>
      <c r="BK176" s="404"/>
      <c r="BL176" s="363" t="s">
        <v>266</v>
      </c>
      <c r="BM176" s="356" t="n">
        <f aca="false">IFERROR(IF($M176=BL176,($D$8+$D$9+$D$10)*$I176,IF($N176=LEFT(BL176,1),($D$8+MAX(0,IF($D$50=1,$D$9*(1-(ABS($Q176-ABS(VALUE(MID(BL176,FIND("|",BL176)+1,FIND("-",BL176)-FIND("|",BL176)-1))-VALUE(MID(BL176,FIND("-",BL176)+1,10)))))*$D$50),$D$9*(1-(IF($N176="X",ABS($O176-VALUE(MID(BL176,FIND("|",BL176)+1,FIND("-",BL176)-FIND("|",BL176)-1))),ABS($Q176-ABS(VALUE(MID(BL176,FIND("|",BL176)+1,FIND("-",BL176)-FIND("|",BL176)-1))-VALUE(MID(BL176,FIND("-",BL176)+1,10)))))*$D$50)))))*$I176,0)),0)</f>
        <v>0</v>
      </c>
      <c r="BN176" s="404"/>
      <c r="BO176" s="363" t="s">
        <v>264</v>
      </c>
      <c r="BP176" s="356" t="n">
        <f aca="false">IFERROR(IF($M176=BO176,($D$8+$D$9+$D$10)*$I176,IF($N176=LEFT(BO176,1),($D$8+MAX(0,IF($D$50=1,$D$9*(1-(ABS($Q176-ABS(VALUE(MID(BO176,FIND("|",BO176)+1,FIND("-",BO176)-FIND("|",BO176)-1))-VALUE(MID(BO176,FIND("-",BO176)+1,10)))))*$D$50),$D$9*(1-(IF($N176="X",ABS($O176-VALUE(MID(BO176,FIND("|",BO176)+1,FIND("-",BO176)-FIND("|",BO176)-1))),ABS($Q176-ABS(VALUE(MID(BO176,FIND("|",BO176)+1,FIND("-",BO176)-FIND("|",BO176)-1))-VALUE(MID(BO176,FIND("-",BO176)+1,10)))))*$D$50)))))*$I176,0)),0)</f>
        <v>0</v>
      </c>
      <c r="BQ176" s="404"/>
      <c r="BR176" s="363" t="s">
        <v>266</v>
      </c>
      <c r="BS176" s="356" t="n">
        <f aca="false">IFERROR(IF($M176=BR176,($D$8+$D$9+$D$10)*$I176,IF($N176=LEFT(BR176,1),($D$8+MAX(0,IF($D$50=1,$D$9*(1-(ABS($Q176-ABS(VALUE(MID(BR176,FIND("|",BR176)+1,FIND("-",BR176)-FIND("|",BR176)-1))-VALUE(MID(BR176,FIND("-",BR176)+1,10)))))*$D$50),$D$9*(1-(IF($N176="X",ABS($O176-VALUE(MID(BR176,FIND("|",BR176)+1,FIND("-",BR176)-FIND("|",BR176)-1))),ABS($Q176-ABS(VALUE(MID(BR176,FIND("|",BR176)+1,FIND("-",BR176)-FIND("|",BR176)-1))-VALUE(MID(BR176,FIND("-",BR176)+1,10)))))*$D$50)))))*$I176,0)),0)</f>
        <v>0</v>
      </c>
      <c r="BT176" s="404"/>
      <c r="BU176" s="363"/>
      <c r="BV176" s="356" t="n">
        <f aca="false">IFERROR(IF($M176=BU176,($D$8+$D$9+$D$10)*$I176,IF($N176=LEFT(BU176,1),($D$8+MAX(0,IF($D$50=1,$D$9*(1-(ABS($Q176-ABS(VALUE(MID(BU176,FIND("|",BU176)+1,FIND("-",BU176)-FIND("|",BU176)-1))-VALUE(MID(BU176,FIND("-",BU176)+1,10)))))*$D$50),$D$9*(1-(IF($N176="X",ABS($O176-VALUE(MID(BU176,FIND("|",BU176)+1,FIND("-",BU176)-FIND("|",BU176)-1))),ABS($Q176-ABS(VALUE(MID(BU176,FIND("|",BU176)+1,FIND("-",BU176)-FIND("|",BU176)-1))-VALUE(MID(BU176,FIND("-",BU176)+1,10)))))*$D$50)))))*$I176,0)),0)</f>
        <v>0</v>
      </c>
      <c r="BW176" s="404"/>
      <c r="BX176" s="363"/>
      <c r="BY176" s="356" t="n">
        <f aca="false">IFERROR(IF($M176=BX176,($D$8+$D$9+$D$10)*$I176,IF($N176=LEFT(BX176,1),($D$8+MAX(0,IF($D$50=1,$D$9*(1-(ABS($Q176-ABS(VALUE(MID(BX176,FIND("|",BX176)+1,FIND("-",BX176)-FIND("|",BX176)-1))-VALUE(MID(BX176,FIND("-",BX176)+1,10)))))*$D$50),$D$9*(1-(IF($N176="X",ABS($O176-VALUE(MID(BX176,FIND("|",BX176)+1,FIND("-",BX176)-FIND("|",BX176)-1))),ABS($Q176-ABS(VALUE(MID(BX176,FIND("|",BX176)+1,FIND("-",BX176)-FIND("|",BX176)-1))-VALUE(MID(BX176,FIND("-",BX176)+1,10)))))*$D$50)))))*$I176,0)),0)</f>
        <v>0</v>
      </c>
      <c r="BZ176" s="404"/>
      <c r="CA176" s="363"/>
      <c r="CB176" s="356" t="n">
        <f aca="false">IFERROR(IF($M176=CA176,($D$8+$D$9+$D$10)*$I176,IF($N176=LEFT(CA176,1),($D$8+MAX(0,IF($D$50=1,$D$9*(1-(ABS($Q176-ABS(VALUE(MID(CA176,FIND("|",CA176)+1,FIND("-",CA176)-FIND("|",CA176)-1))-VALUE(MID(CA176,FIND("-",CA176)+1,10)))))*$D$50),$D$9*(1-(IF($N176="X",ABS($O176-VALUE(MID(CA176,FIND("|",CA176)+1,FIND("-",CA176)-FIND("|",CA176)-1))),ABS($Q176-ABS(VALUE(MID(CA176,FIND("|",CA176)+1,FIND("-",CA176)-FIND("|",CA176)-1))-VALUE(MID(CA176,FIND("-",CA176)+1,10)))))*$D$50)))))*$I176,0)),0)</f>
        <v>0</v>
      </c>
      <c r="CC176" s="404"/>
      <c r="CD176" s="363"/>
      <c r="CE176" s="356" t="n">
        <f aca="false">IFERROR(IF($M176=CD176,($D$8+$D$9+$D$10)*$I176,IF($N176=LEFT(CD176,1),($D$8+MAX(0,IF($D$50=1,$D$9*(1-(ABS($Q176-ABS(VALUE(MID(CD176,FIND("|",CD176)+1,FIND("-",CD176)-FIND("|",CD176)-1))-VALUE(MID(CD176,FIND("-",CD176)+1,10)))))*$D$50),$D$9*(1-(IF($N176="X",ABS($O176-VALUE(MID(CD176,FIND("|",CD176)+1,FIND("-",CD176)-FIND("|",CD176)-1))),ABS($Q176-ABS(VALUE(MID(CD176,FIND("|",CD176)+1,FIND("-",CD176)-FIND("|",CD176)-1))-VALUE(MID(CD176,FIND("-",CD176)+1,10)))))*$D$50)))))*$I176,0)),0)</f>
        <v>0</v>
      </c>
      <c r="CF176" s="404"/>
      <c r="CG176" s="363"/>
      <c r="CH176" s="356" t="n">
        <f aca="false">IFERROR(IF($M176=CG176,($D$8+$D$9+$D$10)*$I176,IF($N176=LEFT(CG176,1),($D$8+MAX(0,IF($D$50=1,$D$9*(1-(ABS($Q176-ABS(VALUE(MID(CG176,FIND("|",CG176)+1,FIND("-",CG176)-FIND("|",CG176)-1))-VALUE(MID(CG176,FIND("-",CG176)+1,10)))))*$D$50),$D$9*(1-(IF($N176="X",ABS($O176-VALUE(MID(CG176,FIND("|",CG176)+1,FIND("-",CG176)-FIND("|",CG176)-1))),ABS($Q176-ABS(VALUE(MID(CG176,FIND("|",CG176)+1,FIND("-",CG176)-FIND("|",CG176)-1))-VALUE(MID(CG176,FIND("-",CG176)+1,10)))))*$D$50)))))*$I176,0)),0)</f>
        <v>0</v>
      </c>
      <c r="CI176" s="404"/>
      <c r="CJ176" s="363"/>
      <c r="CK176" s="356" t="n">
        <f aca="false">IFERROR(IF($M176=CJ176,($D$8+$D$9+$D$10)*$I176,IF($N176=LEFT(CJ176,1),($D$8+MAX(0,IF($D$50=1,$D$9*(1-(ABS($Q176-ABS(VALUE(MID(CJ176,FIND("|",CJ176)+1,FIND("-",CJ176)-FIND("|",CJ176)-1))-VALUE(MID(CJ176,FIND("-",CJ176)+1,10)))))*$D$50),$D$9*(1-(IF($N176="X",ABS($O176-VALUE(MID(CJ176,FIND("|",CJ176)+1,FIND("-",CJ176)-FIND("|",CJ176)-1))),ABS($Q176-ABS(VALUE(MID(CJ176,FIND("|",CJ176)+1,FIND("-",CJ176)-FIND("|",CJ176)-1))-VALUE(MID(CJ176,FIND("-",CJ176)+1,10)))))*$D$50)))))*$I176,0)),0)</f>
        <v>0</v>
      </c>
      <c r="CL176" s="404"/>
      <c r="CM176" s="363"/>
      <c r="CN176" s="356" t="n">
        <f aca="false">IFERROR(IF($M176=CM176,($D$8+$D$9+$D$10)*$I176,IF($N176=LEFT(CM176,1),($D$8+MAX(0,IF($D$50=1,$D$9*(1-(ABS($Q176-ABS(VALUE(MID(CM176,FIND("|",CM176)+1,FIND("-",CM176)-FIND("|",CM176)-1))-VALUE(MID(CM176,FIND("-",CM176)+1,10)))))*$D$50),$D$9*(1-(IF($N176="X",ABS($O176-VALUE(MID(CM176,FIND("|",CM176)+1,FIND("-",CM176)-FIND("|",CM176)-1))),ABS($Q176-ABS(VALUE(MID(CM176,FIND("|",CM176)+1,FIND("-",CM176)-FIND("|",CM176)-1))-VALUE(MID(CM176,FIND("-",CM176)+1,10)))))*$D$50)))))*$I176,0)),0)</f>
        <v>0</v>
      </c>
      <c r="CO176" s="404"/>
      <c r="CP176" s="363"/>
      <c r="CQ176" s="356" t="n">
        <f aca="false">IFERROR(IF($M176=CP176,($D$8+$D$9+$D$10)*$I176,IF($N176=LEFT(CP176,1),($D$8+MAX(0,IF($D$50=1,$D$9*(1-(ABS($Q176-ABS(VALUE(MID(CP176,FIND("|",CP176)+1,FIND("-",CP176)-FIND("|",CP176)-1))-VALUE(MID(CP176,FIND("-",CP176)+1,10)))))*$D$50),$D$9*(1-(IF($N176="X",ABS($O176-VALUE(MID(CP176,FIND("|",CP176)+1,FIND("-",CP176)-FIND("|",CP176)-1))),ABS($Q176-ABS(VALUE(MID(CP176,FIND("|",CP176)+1,FIND("-",CP176)-FIND("|",CP176)-1))-VALUE(MID(CP176,FIND("-",CP176)+1,10)))))*$D$50)))))*$I176,0)),0)</f>
        <v>0</v>
      </c>
      <c r="CR176" s="404"/>
      <c r="CS176" s="363"/>
      <c r="CT176" s="356" t="n">
        <f aca="false">IFERROR(IF($M176=CS176,($D$8+$D$9+$D$10)*$I176,IF($N176=LEFT(CS176,1),($D$8+MAX(0,IF($D$50=1,$D$9*(1-(ABS($Q176-ABS(VALUE(MID(CS176,FIND("|",CS176)+1,FIND("-",CS176)-FIND("|",CS176)-1))-VALUE(MID(CS176,FIND("-",CS176)+1,10)))))*$D$50),$D$9*(1-(IF($N176="X",ABS($O176-VALUE(MID(CS176,FIND("|",CS176)+1,FIND("-",CS176)-FIND("|",CS176)-1))),ABS($Q176-ABS(VALUE(MID(CS176,FIND("|",CS176)+1,FIND("-",CS176)-FIND("|",CS176)-1))-VALUE(MID(CS176,FIND("-",CS176)+1,10)))))*$D$50)))))*$I176,0)),0)</f>
        <v>0</v>
      </c>
      <c r="CU176" s="404"/>
      <c r="CV176" s="363"/>
      <c r="CW176" s="356" t="n">
        <f aca="false">IFERROR(IF($M176=CV176,($D$8+$D$9+$D$10)*$I176,IF($N176=LEFT(CV176,1),($D$8+MAX(0,IF($D$50=1,$D$9*(1-(ABS($Q176-ABS(VALUE(MID(CV176,FIND("|",CV176)+1,FIND("-",CV176)-FIND("|",CV176)-1))-VALUE(MID(CV176,FIND("-",CV176)+1,10)))))*$D$50),$D$9*(1-(IF($N176="X",ABS($O176-VALUE(MID(CV176,FIND("|",CV176)+1,FIND("-",CV176)-FIND("|",CV176)-1))),ABS($Q176-ABS(VALUE(MID(CV176,FIND("|",CV176)+1,FIND("-",CV176)-FIND("|",CV176)-1))-VALUE(MID(CV176,FIND("-",CV176)+1,10)))))*$D$50)))))*$I176,0)),0)</f>
        <v>0</v>
      </c>
      <c r="CX176" s="404"/>
      <c r="CY176" s="363"/>
      <c r="CZ176" s="356" t="n">
        <f aca="false">IFERROR(IF($M176=CY176,($D$8+$D$9+$D$10)*$I176,IF($N176=LEFT(CY176,1),($D$8+MAX(0,IF($D$50=1,$D$9*(1-(ABS($Q176-ABS(VALUE(MID(CY176,FIND("|",CY176)+1,FIND("-",CY176)-FIND("|",CY176)-1))-VALUE(MID(CY176,FIND("-",CY176)+1,10)))))*$D$50),$D$9*(1-(IF($N176="X",ABS($O176-VALUE(MID(CY176,FIND("|",CY176)+1,FIND("-",CY176)-FIND("|",CY176)-1))),ABS($Q176-ABS(VALUE(MID(CY176,FIND("|",CY176)+1,FIND("-",CY176)-FIND("|",CY176)-1))-VALUE(MID(CY176,FIND("-",CY176)+1,10)))))*$D$50)))))*$I176,0)),0)</f>
        <v>0</v>
      </c>
      <c r="DA176" s="404"/>
      <c r="DB176" s="363"/>
      <c r="DC176" s="356" t="n">
        <f aca="false">IFERROR(IF($M176=DB176,($D$8+$D$9+$D$10)*$I176,IF($N176=LEFT(DB176,1),($D$8+MAX(0,IF($D$50=1,$D$9*(1-(ABS($Q176-ABS(VALUE(MID(DB176,FIND("|",DB176)+1,FIND("-",DB176)-FIND("|",DB176)-1))-VALUE(MID(DB176,FIND("-",DB176)+1,10)))))*$D$50),$D$9*(1-(IF($N176="X",ABS($O176-VALUE(MID(DB176,FIND("|",DB176)+1,FIND("-",DB176)-FIND("|",DB176)-1))),ABS($Q176-ABS(VALUE(MID(DB176,FIND("|",DB176)+1,FIND("-",DB176)-FIND("|",DB176)-1))-VALUE(MID(DB176,FIND("-",DB176)+1,10)))))*$D$50)))))*$I176,0)),0)</f>
        <v>0</v>
      </c>
      <c r="DD176" s="404"/>
      <c r="DE176" s="363"/>
      <c r="DF176" s="356" t="n">
        <f aca="false">IFERROR(IF($M176=DE176,($D$8+$D$9+$D$10)*$I176,IF($N176=LEFT(DE176,1),($D$8+MAX(0,IF($D$50=1,$D$9*(1-(ABS($Q176-ABS(VALUE(MID(DE176,FIND("|",DE176)+1,FIND("-",DE176)-FIND("|",DE176)-1))-VALUE(MID(DE176,FIND("-",DE176)+1,10)))))*$D$50),$D$9*(1-(IF($N176="X",ABS($O176-VALUE(MID(DE176,FIND("|",DE176)+1,FIND("-",DE176)-FIND("|",DE176)-1))),ABS($Q176-ABS(VALUE(MID(DE176,FIND("|",DE176)+1,FIND("-",DE176)-FIND("|",DE176)-1))-VALUE(MID(DE176,FIND("-",DE176)+1,10)))))*$D$50)))))*$I176,0)),0)</f>
        <v>0</v>
      </c>
      <c r="DG176" s="404"/>
      <c r="DH176" s="363"/>
      <c r="DI176" s="356" t="n">
        <f aca="false">IFERROR(IF($M176=DH176,($D$8+$D$9+$D$10)*$I176,IF($N176=LEFT(DH176,1),($D$8+MAX(0,IF($D$50=1,$D$9*(1-(ABS($Q176-ABS(VALUE(MID(DH176,FIND("|",DH176)+1,FIND("-",DH176)-FIND("|",DH176)-1))-VALUE(MID(DH176,FIND("-",DH176)+1,10)))))*$D$50),$D$9*(1-(IF($N176="X",ABS($O176-VALUE(MID(DH176,FIND("|",DH176)+1,FIND("-",DH176)-FIND("|",DH176)-1))),ABS($Q176-ABS(VALUE(MID(DH176,FIND("|",DH176)+1,FIND("-",DH176)-FIND("|",DH176)-1))-VALUE(MID(DH176,FIND("-",DH176)+1,10)))))*$D$50)))))*$I176,0)),0)</f>
        <v>0</v>
      </c>
      <c r="DJ176" s="404"/>
      <c r="DK176" s="363"/>
      <c r="DL176" s="356" t="n">
        <f aca="false">IFERROR(IF($M176=DK176,($D$8+$D$9+$D$10)*$I176,IF($N176=LEFT(DK176,1),($D$8+MAX(0,IF($D$50=1,$D$9*(1-(ABS($Q176-ABS(VALUE(MID(DK176,FIND("|",DK176)+1,FIND("-",DK176)-FIND("|",DK176)-1))-VALUE(MID(DK176,FIND("-",DK176)+1,10)))))*$D$50),$D$9*(1-(IF($N176="X",ABS($O176-VALUE(MID(DK176,FIND("|",DK176)+1,FIND("-",DK176)-FIND("|",DK176)-1))),ABS($Q176-ABS(VALUE(MID(DK176,FIND("|",DK176)+1,FIND("-",DK176)-FIND("|",DK176)-1))-VALUE(MID(DK176,FIND("-",DK176)+1,10)))))*$D$50)))))*$I176,0)),0)</f>
        <v>0</v>
      </c>
      <c r="DM176" s="404"/>
      <c r="DN176" s="363"/>
      <c r="DO176" s="356" t="n">
        <f aca="false">IFERROR(IF($M176=DN176,($D$8+$D$9+$D$10)*$I176,IF($N176=LEFT(DN176,1),($D$8+MAX(0,IF($D$50=1,$D$9*(1-(ABS($Q176-ABS(VALUE(MID(DN176,FIND("|",DN176)+1,FIND("-",DN176)-FIND("|",DN176)-1))-VALUE(MID(DN176,FIND("-",DN176)+1,10)))))*$D$50),$D$9*(1-(IF($N176="X",ABS($O176-VALUE(MID(DN176,FIND("|",DN176)+1,FIND("-",DN176)-FIND("|",DN176)-1))),ABS($Q176-ABS(VALUE(MID(DN176,FIND("|",DN176)+1,FIND("-",DN176)-FIND("|",DN176)-1))-VALUE(MID(DN176,FIND("-",DN176)+1,10)))))*$D$50)))))*$I176,0)),0)</f>
        <v>0</v>
      </c>
      <c r="DP176" s="404"/>
      <c r="DQ176" s="363"/>
      <c r="DR176" s="356" t="n">
        <f aca="false">IFERROR(IF($M176=DQ176,($D$8+$D$9+$D$10)*$I176,IF($N176=LEFT(DQ176,1),($D$8+MAX(0,IF($D$50=1,$D$9*(1-(ABS($Q176-ABS(VALUE(MID(DQ176,FIND("|",DQ176)+1,FIND("-",DQ176)-FIND("|",DQ176)-1))-VALUE(MID(DQ176,FIND("-",DQ176)+1,10)))))*$D$50),$D$9*(1-(IF($N176="X",ABS($O176-VALUE(MID(DQ176,FIND("|",DQ176)+1,FIND("-",DQ176)-FIND("|",DQ176)-1))),ABS($Q176-ABS(VALUE(MID(DQ176,FIND("|",DQ176)+1,FIND("-",DQ176)-FIND("|",DQ176)-1))-VALUE(MID(DQ176,FIND("-",DQ176)+1,10)))))*$D$50)))))*$I176,0)),0)</f>
        <v>0</v>
      </c>
      <c r="DS176" s="404"/>
      <c r="DT176" s="363"/>
      <c r="DU176" s="356" t="n">
        <f aca="false">IFERROR(IF($M176=DT176,($D$8+$D$9+$D$10)*$I176,IF($N176=LEFT(DT176,1),($D$8+MAX(0,IF($D$50=1,$D$9*(1-(ABS($Q176-ABS(VALUE(MID(DT176,FIND("|",DT176)+1,FIND("-",DT176)-FIND("|",DT176)-1))-VALUE(MID(DT176,FIND("-",DT176)+1,10)))))*$D$50),$D$9*(1-(IF($N176="X",ABS($O176-VALUE(MID(DT176,FIND("|",DT176)+1,FIND("-",DT176)-FIND("|",DT176)-1))),ABS($Q176-ABS(VALUE(MID(DT176,FIND("|",DT176)+1,FIND("-",DT176)-FIND("|",DT176)-1))-VALUE(MID(DT176,FIND("-",DT176)+1,10)))))*$D$50)))))*$I176,0)),0)</f>
        <v>0</v>
      </c>
      <c r="DV176" s="404"/>
      <c r="DW176" s="363"/>
      <c r="DX176" s="356" t="n">
        <f aca="false">IFERROR(IF($M176=DW176,($D$8+$D$9+$D$10)*$I176,IF($N176=LEFT(DW176,1),($D$8+MAX(0,IF($D$50=1,$D$9*(1-(ABS($Q176-ABS(VALUE(MID(DW176,FIND("|",DW176)+1,FIND("-",DW176)-FIND("|",DW176)-1))-VALUE(MID(DW176,FIND("-",DW176)+1,10)))))*$D$50),$D$9*(1-(IF($N176="X",ABS($O176-VALUE(MID(DW176,FIND("|",DW176)+1,FIND("-",DW176)-FIND("|",DW176)-1))),ABS($Q176-ABS(VALUE(MID(DW176,FIND("|",DW176)+1,FIND("-",DW176)-FIND("|",DW176)-1))-VALUE(MID(DW176,FIND("-",DW176)+1,10)))))*$D$50)))))*$I176,0)),0)</f>
        <v>0</v>
      </c>
      <c r="DY176" s="404"/>
      <c r="DZ176" s="363"/>
      <c r="EA176" s="356" t="n">
        <f aca="false">IFERROR(IF($M176=DZ176,($D$8+$D$9+$D$10)*$I176,IF($N176=LEFT(DZ176,1),($D$8+MAX(0,IF($D$50=1,$D$9*(1-(ABS($Q176-ABS(VALUE(MID(DZ176,FIND("|",DZ176)+1,FIND("-",DZ176)-FIND("|",DZ176)-1))-VALUE(MID(DZ176,FIND("-",DZ176)+1,10)))))*$D$50),$D$9*(1-(IF($N176="X",ABS($O176-VALUE(MID(DZ176,FIND("|",DZ176)+1,FIND("-",DZ176)-FIND("|",DZ176)-1))),ABS($Q176-ABS(VALUE(MID(DZ176,FIND("|",DZ176)+1,FIND("-",DZ176)-FIND("|",DZ176)-1))-VALUE(MID(DZ176,FIND("-",DZ176)+1,10)))))*$D$50)))))*$I176,0)),0)</f>
        <v>0</v>
      </c>
      <c r="EB176" s="404"/>
      <c r="EC176" s="363"/>
      <c r="ED176" s="356" t="n">
        <f aca="false">IFERROR(IF($M176=EC176,($D$8+$D$9+$D$10)*$I176,IF($N176=LEFT(EC176,1),($D$8+MAX(0,IF($D$50=1,$D$9*(1-(ABS($Q176-ABS(VALUE(MID(EC176,FIND("|",EC176)+1,FIND("-",EC176)-FIND("|",EC176)-1))-VALUE(MID(EC176,FIND("-",EC176)+1,10)))))*$D$50),$D$9*(1-(IF($N176="X",ABS($O176-VALUE(MID(EC176,FIND("|",EC176)+1,FIND("-",EC176)-FIND("|",EC176)-1))),ABS($Q176-ABS(VALUE(MID(EC176,FIND("|",EC176)+1,FIND("-",EC176)-FIND("|",EC176)-1))-VALUE(MID(EC176,FIND("-",EC176)+1,10)))))*$D$50)))))*$I176,0)),0)</f>
        <v>0</v>
      </c>
      <c r="EE176" s="404"/>
      <c r="EF176" s="363"/>
      <c r="EG176" s="356" t="n">
        <f aca="false">IFERROR(IF($M176=EF176,($D$8+$D$9+$D$10)*$I176,IF($N176=LEFT(EF176,1),($D$8+MAX(0,IF($D$50=1,$D$9*(1-(ABS($Q176-ABS(VALUE(MID(EF176,FIND("|",EF176)+1,FIND("-",EF176)-FIND("|",EF176)-1))-VALUE(MID(EF176,FIND("-",EF176)+1,10)))))*$D$50),$D$9*(1-(IF($N176="X",ABS($O176-VALUE(MID(EF176,FIND("|",EF176)+1,FIND("-",EF176)-FIND("|",EF176)-1))),ABS($Q176-ABS(VALUE(MID(EF176,FIND("|",EF176)+1,FIND("-",EF176)-FIND("|",EF176)-1))-VALUE(MID(EF176,FIND("-",EF176)+1,10)))))*$D$50)))))*$I176,0)),0)</f>
        <v>0</v>
      </c>
      <c r="EH176" s="404"/>
      <c r="EI176" s="404"/>
    </row>
    <row r="177" customFormat="false" ht="15" hidden="false" customHeight="false" outlineLevel="0" collapsed="false">
      <c r="A177" s="332" t="n">
        <f aca="false">WORLDCUP!AD114</f>
        <v>0</v>
      </c>
      <c r="B177" s="332" t="n">
        <f aca="false">WORLDCUP!AC114</f>
        <v>0</v>
      </c>
      <c r="C177" s="422" t="str">
        <f aca="false">CONCATENATE(WORLDCUP!AF114,"-",WORLDCUP!AA114)</f>
        <v>2G-2D</v>
      </c>
      <c r="D177" s="422" t="str">
        <f aca="false">IF(WORLDCUP!AC114&gt;WORLDCUP!AD114,2,IF(WORLDCUP!AC114&lt;WORLDCUP!AD114,1,IF(AND(WORLDCUP!AC114=WORLDCUP!AD114,WORLDCUP!AC114&lt;&gt;"",WORLDCUP!AD114&lt;&gt;""),0,"PD")))</f>
        <v>PD</v>
      </c>
      <c r="E177" s="422" t="str">
        <f aca="false">IF(OR(WORLDCUP!AC114="",WORLDCUP!AD114=""),"-",A177&amp;"-"&amp;B177)</f>
        <v>-</v>
      </c>
      <c r="F177" s="423" t="n">
        <f aca="false">SUM($D$16:$D$18)*I177</f>
        <v>17</v>
      </c>
      <c r="G177" s="423" t="n">
        <f aca="false">VLOOKUP(H177,Equipos!$Q$1:$R$25,2,0)</f>
        <v>20</v>
      </c>
      <c r="H177" s="424" t="str">
        <f aca="false">Idiomas!$D$260</f>
        <v>Dieciseisavos de final</v>
      </c>
      <c r="I177" s="425" t="n">
        <v>1</v>
      </c>
      <c r="J177" s="418"/>
      <c r="K177" s="367" t="str">
        <f aca="false">CONCATENATE(WORLDCUP!AA114,"-",WORLDCUP!AF114)</f>
        <v>2D-2G</v>
      </c>
      <c r="L177" s="354"/>
      <c r="M177" s="359" t="str">
        <f aca="false">IF(OR(WORLDCUP!AC114="",WORLDCUP!AD114=""),"-",N177&amp;"|"&amp;O177&amp;"-"&amp;P177)</f>
        <v>-</v>
      </c>
      <c r="N177" s="332" t="str">
        <f aca="false">IF(OR(WORLDCUP!AC114="",WORLDCUP!AD114=""),"",IF(WORLDCUP!AC114&gt;WORLDCUP!AD114,"1",IF(WORLDCUP!AC114&lt;WORLDCUP!AD114,"2","X")))</f>
        <v/>
      </c>
      <c r="O177" s="332" t="n">
        <f aca="false">WORLDCUP!AC114</f>
        <v>0</v>
      </c>
      <c r="P177" s="332" t="n">
        <f aca="false">WORLDCUP!AD114</f>
        <v>0</v>
      </c>
      <c r="Q177" s="332" t="n">
        <f aca="false">ABS(O177-P177)</f>
        <v>0</v>
      </c>
      <c r="R177" s="404"/>
      <c r="S177" s="363" t="s">
        <v>266</v>
      </c>
      <c r="T177" s="356" t="n">
        <f aca="false">IFERROR(IF($M177=S177,($D$8+$D$9+$D$10)*$I177,IF($N177=LEFT(S177,1),($D$8+MAX(0,IF($D$50=1,$D$9*(1-(ABS($Q177-ABS(VALUE(MID(S177,FIND("|",S177)+1,FIND("-",S177)-FIND("|",S177)-1))-VALUE(MID(S177,FIND("-",S177)+1,10)))))*$D$50),$D$9*(1-(IF($N177="X",ABS($O177-VALUE(MID(S177,FIND("|",S177)+1,FIND("-",S177)-FIND("|",S177)-1))),ABS($Q177-ABS(VALUE(MID(S177,FIND("|",S177)+1,FIND("-",S177)-FIND("|",S177)-1))-VALUE(MID(S177,FIND("-",S177)+1,10)))))*$D$50)))))*$I177,0)),0)</f>
        <v>0</v>
      </c>
      <c r="U177" s="404"/>
      <c r="V177" s="363" t="s">
        <v>267</v>
      </c>
      <c r="W177" s="356" t="n">
        <f aca="false">IFERROR(IF($M177=V177,($D$8+$D$9+$D$10)*$I177,IF($N177=LEFT(V177,1),($D$8+MAX(0,IF($D$50=1,$D$9*(1-(ABS($Q177-ABS(VALUE(MID(V177,FIND("|",V177)+1,FIND("-",V177)-FIND("|",V177)-1))-VALUE(MID(V177,FIND("-",V177)+1,10)))))*$D$50),$D$9*(1-(IF($N177="X",ABS($O177-VALUE(MID(V177,FIND("|",V177)+1,FIND("-",V177)-FIND("|",V177)-1))),ABS($Q177-ABS(VALUE(MID(V177,FIND("|",V177)+1,FIND("-",V177)-FIND("|",V177)-1))-VALUE(MID(V177,FIND("-",V177)+1,10)))))*$D$50)))))*$I177,0)),0)</f>
        <v>0</v>
      </c>
      <c r="X177" s="404"/>
      <c r="Y177" s="363" t="s">
        <v>271</v>
      </c>
      <c r="Z177" s="356" t="n">
        <f aca="false">IFERROR(IF($M177=Y177,($D$8+$D$9+$D$10)*$I177,IF($N177=LEFT(Y177,1),($D$8+MAX(0,IF($D$50=1,$D$9*(1-(ABS($Q177-ABS(VALUE(MID(Y177,FIND("|",Y177)+1,FIND("-",Y177)-FIND("|",Y177)-1))-VALUE(MID(Y177,FIND("-",Y177)+1,10)))))*$D$50),$D$9*(1-(IF($N177="X",ABS($O177-VALUE(MID(Y177,FIND("|",Y177)+1,FIND("-",Y177)-FIND("|",Y177)-1))),ABS($Q177-ABS(VALUE(MID(Y177,FIND("|",Y177)+1,FIND("-",Y177)-FIND("|",Y177)-1))-VALUE(MID(Y177,FIND("-",Y177)+1,10)))))*$D$50)))))*$I177,0)),0)</f>
        <v>0</v>
      </c>
      <c r="AA177" s="404"/>
      <c r="AB177" s="363" t="s">
        <v>265</v>
      </c>
      <c r="AC177" s="356" t="n">
        <f aca="false">IFERROR(IF($M177=AB177,($D$8+$D$9+$D$10)*$I177,IF($N177=LEFT(AB177,1),($D$8+MAX(0,IF($D$50=1,$D$9*(1-(ABS($Q177-ABS(VALUE(MID(AB177,FIND("|",AB177)+1,FIND("-",AB177)-FIND("|",AB177)-1))-VALUE(MID(AB177,FIND("-",AB177)+1,10)))))*$D$50),$D$9*(1-(IF($N177="X",ABS($O177-VALUE(MID(AB177,FIND("|",AB177)+1,FIND("-",AB177)-FIND("|",AB177)-1))),ABS($Q177-ABS(VALUE(MID(AB177,FIND("|",AB177)+1,FIND("-",AB177)-FIND("|",AB177)-1))-VALUE(MID(AB177,FIND("-",AB177)+1,10)))))*$D$50)))))*$I177,0)),0)</f>
        <v>0</v>
      </c>
      <c r="AD177" s="404"/>
      <c r="AE177" s="363" t="s">
        <v>274</v>
      </c>
      <c r="AF177" s="356" t="n">
        <f aca="false">IFERROR(IF($M177=AE177,($D$8+$D$9+$D$10)*$I177,IF($N177=LEFT(AE177,1),($D$8+MAX(0,IF($D$50=1,$D$9*(1-(ABS($Q177-ABS(VALUE(MID(AE177,FIND("|",AE177)+1,FIND("-",AE177)-FIND("|",AE177)-1))-VALUE(MID(AE177,FIND("-",AE177)+1,10)))))*$D$50),$D$9*(1-(IF($N177="X",ABS($O177-VALUE(MID(AE177,FIND("|",AE177)+1,FIND("-",AE177)-FIND("|",AE177)-1))),ABS($Q177-ABS(VALUE(MID(AE177,FIND("|",AE177)+1,FIND("-",AE177)-FIND("|",AE177)-1))-VALUE(MID(AE177,FIND("-",AE177)+1,10)))))*$D$50)))))*$I177,0)),0)</f>
        <v>0</v>
      </c>
      <c r="AG177" s="404"/>
      <c r="AH177" s="363" t="s">
        <v>267</v>
      </c>
      <c r="AI177" s="356" t="n">
        <f aca="false">IFERROR(IF($M177=AH177,($D$8+$D$9+$D$10)*$I177,IF($N177=LEFT(AH177,1),($D$8+MAX(0,IF($D$50=1,$D$9*(1-(ABS($Q177-ABS(VALUE(MID(AH177,FIND("|",AH177)+1,FIND("-",AH177)-FIND("|",AH177)-1))-VALUE(MID(AH177,FIND("-",AH177)+1,10)))))*$D$50),$D$9*(1-(IF($N177="X",ABS($O177-VALUE(MID(AH177,FIND("|",AH177)+1,FIND("-",AH177)-FIND("|",AH177)-1))),ABS($Q177-ABS(VALUE(MID(AH177,FIND("|",AH177)+1,FIND("-",AH177)-FIND("|",AH177)-1))-VALUE(MID(AH177,FIND("-",AH177)+1,10)))))*$D$50)))))*$I177,0)),0)</f>
        <v>0</v>
      </c>
      <c r="AJ177" s="404"/>
      <c r="AK177" s="363" t="s">
        <v>265</v>
      </c>
      <c r="AL177" s="356" t="n">
        <f aca="false">IFERROR(IF($M177=AK177,($D$8+$D$9+$D$10)*$I177,IF($N177=LEFT(AK177,1),($D$8+MAX(0,IF($D$50=1,$D$9*(1-(ABS($Q177-ABS(VALUE(MID(AK177,FIND("|",AK177)+1,FIND("-",AK177)-FIND("|",AK177)-1))-VALUE(MID(AK177,FIND("-",AK177)+1,10)))))*$D$50),$D$9*(1-(IF($N177="X",ABS($O177-VALUE(MID(AK177,FIND("|",AK177)+1,FIND("-",AK177)-FIND("|",AK177)-1))),ABS($Q177-ABS(VALUE(MID(AK177,FIND("|",AK177)+1,FIND("-",AK177)-FIND("|",AK177)-1))-VALUE(MID(AK177,FIND("-",AK177)+1,10)))))*$D$50)))))*$I177,0)),0)</f>
        <v>0</v>
      </c>
      <c r="AM177" s="404"/>
      <c r="AN177" s="363" t="s">
        <v>265</v>
      </c>
      <c r="AO177" s="356" t="n">
        <f aca="false">IFERROR(IF($M177=AN177,($D$8+$D$9+$D$10)*$I177,IF($N177=LEFT(AN177,1),($D$8+MAX(0,IF($D$50=1,$D$9*(1-(ABS($Q177-ABS(VALUE(MID(AN177,FIND("|",AN177)+1,FIND("-",AN177)-FIND("|",AN177)-1))-VALUE(MID(AN177,FIND("-",AN177)+1,10)))))*$D$50),$D$9*(1-(IF($N177="X",ABS($O177-VALUE(MID(AN177,FIND("|",AN177)+1,FIND("-",AN177)-FIND("|",AN177)-1))),ABS($Q177-ABS(VALUE(MID(AN177,FIND("|",AN177)+1,FIND("-",AN177)-FIND("|",AN177)-1))-VALUE(MID(AN177,FIND("-",AN177)+1,10)))))*$D$50)))))*$I177,0)),0)</f>
        <v>0</v>
      </c>
      <c r="AP177" s="404"/>
      <c r="AQ177" s="363" t="s">
        <v>265</v>
      </c>
      <c r="AR177" s="356" t="n">
        <f aca="false">IFERROR(IF($M177=AQ177,($D$8+$D$9+$D$10)*$I177,IF($N177=LEFT(AQ177,1),($D$8+MAX(0,IF($D$50=1,$D$9*(1-(ABS($Q177-ABS(VALUE(MID(AQ177,FIND("|",AQ177)+1,FIND("-",AQ177)-FIND("|",AQ177)-1))-VALUE(MID(AQ177,FIND("-",AQ177)+1,10)))))*$D$50),$D$9*(1-(IF($N177="X",ABS($O177-VALUE(MID(AQ177,FIND("|",AQ177)+1,FIND("-",AQ177)-FIND("|",AQ177)-1))),ABS($Q177-ABS(VALUE(MID(AQ177,FIND("|",AQ177)+1,FIND("-",AQ177)-FIND("|",AQ177)-1))-VALUE(MID(AQ177,FIND("-",AQ177)+1,10)))))*$D$50)))))*$I177,0)),0)</f>
        <v>0</v>
      </c>
      <c r="AS177" s="404"/>
      <c r="AT177" s="363" t="s">
        <v>265</v>
      </c>
      <c r="AU177" s="356" t="n">
        <f aca="false">IFERROR(IF($M177=AT177,($D$8+$D$9+$D$10)*$I177,IF($N177=LEFT(AT177,1),($D$8+MAX(0,IF($D$50=1,$D$9*(1-(ABS($Q177-ABS(VALUE(MID(AT177,FIND("|",AT177)+1,FIND("-",AT177)-FIND("|",AT177)-1))-VALUE(MID(AT177,FIND("-",AT177)+1,10)))))*$D$50),$D$9*(1-(IF($N177="X",ABS($O177-VALUE(MID(AT177,FIND("|",AT177)+1,FIND("-",AT177)-FIND("|",AT177)-1))),ABS($Q177-ABS(VALUE(MID(AT177,FIND("|",AT177)+1,FIND("-",AT177)-FIND("|",AT177)-1))-VALUE(MID(AT177,FIND("-",AT177)+1,10)))))*$D$50)))))*$I177,0)),0)</f>
        <v>0</v>
      </c>
      <c r="AV177" s="404"/>
      <c r="AW177" s="363" t="s">
        <v>264</v>
      </c>
      <c r="AX177" s="356" t="n">
        <f aca="false">IFERROR(IF($M177=AW177,($D$8+$D$9+$D$10)*$I177,IF($N177=LEFT(AW177,1),($D$8+MAX(0,IF($D$50=1,$D$9*(1-(ABS($Q177-ABS(VALUE(MID(AW177,FIND("|",AW177)+1,FIND("-",AW177)-FIND("|",AW177)-1))-VALUE(MID(AW177,FIND("-",AW177)+1,10)))))*$D$50),$D$9*(1-(IF($N177="X",ABS($O177-VALUE(MID(AW177,FIND("|",AW177)+1,FIND("-",AW177)-FIND("|",AW177)-1))),ABS($Q177-ABS(VALUE(MID(AW177,FIND("|",AW177)+1,FIND("-",AW177)-FIND("|",AW177)-1))-VALUE(MID(AW177,FIND("-",AW177)+1,10)))))*$D$50)))))*$I177,0)),0)</f>
        <v>0</v>
      </c>
      <c r="AY177" s="404"/>
      <c r="AZ177" s="363" t="s">
        <v>268</v>
      </c>
      <c r="BA177" s="356" t="n">
        <f aca="false">IFERROR(IF($M177=AZ177,($D$8+$D$9+$D$10)*$I177,IF($N177=LEFT(AZ177,1),($D$8+MAX(0,IF($D$50=1,$D$9*(1-(ABS($Q177-ABS(VALUE(MID(AZ177,FIND("|",AZ177)+1,FIND("-",AZ177)-FIND("|",AZ177)-1))-VALUE(MID(AZ177,FIND("-",AZ177)+1,10)))))*$D$50),$D$9*(1-(IF($N177="X",ABS($O177-VALUE(MID(AZ177,FIND("|",AZ177)+1,FIND("-",AZ177)-FIND("|",AZ177)-1))),ABS($Q177-ABS(VALUE(MID(AZ177,FIND("|",AZ177)+1,FIND("-",AZ177)-FIND("|",AZ177)-1))-VALUE(MID(AZ177,FIND("-",AZ177)+1,10)))))*$D$50)))))*$I177,0)),0)</f>
        <v>0</v>
      </c>
      <c r="BB177" s="404"/>
      <c r="BC177" s="363" t="s">
        <v>266</v>
      </c>
      <c r="BD177" s="356" t="n">
        <f aca="false">IFERROR(IF($M177=BC177,($D$8+$D$9+$D$10)*$I177,IF($N177=LEFT(BC177,1),($D$8+MAX(0,IF($D$50=1,$D$9*(1-(ABS($Q177-ABS(VALUE(MID(BC177,FIND("|",BC177)+1,FIND("-",BC177)-FIND("|",BC177)-1))-VALUE(MID(BC177,FIND("-",BC177)+1,10)))))*$D$50),$D$9*(1-(IF($N177="X",ABS($O177-VALUE(MID(BC177,FIND("|",BC177)+1,FIND("-",BC177)-FIND("|",BC177)-1))),ABS($Q177-ABS(VALUE(MID(BC177,FIND("|",BC177)+1,FIND("-",BC177)-FIND("|",BC177)-1))-VALUE(MID(BC177,FIND("-",BC177)+1,10)))))*$D$50)))))*$I177,0)),0)</f>
        <v>0</v>
      </c>
      <c r="BE177" s="404"/>
      <c r="BF177" s="363" t="s">
        <v>271</v>
      </c>
      <c r="BG177" s="356" t="n">
        <f aca="false">IFERROR(IF($M177=BF177,($D$8+$D$9+$D$10)*$I177,IF($N177=LEFT(BF177,1),($D$8+MAX(0,IF($D$50=1,$D$9*(1-(ABS($Q177-ABS(VALUE(MID(BF177,FIND("|",BF177)+1,FIND("-",BF177)-FIND("|",BF177)-1))-VALUE(MID(BF177,FIND("-",BF177)+1,10)))))*$D$50),$D$9*(1-(IF($N177="X",ABS($O177-VALUE(MID(BF177,FIND("|",BF177)+1,FIND("-",BF177)-FIND("|",BF177)-1))),ABS($Q177-ABS(VALUE(MID(BF177,FIND("|",BF177)+1,FIND("-",BF177)-FIND("|",BF177)-1))-VALUE(MID(BF177,FIND("-",BF177)+1,10)))))*$D$50)))))*$I177,0)),0)</f>
        <v>0</v>
      </c>
      <c r="BH177" s="404"/>
      <c r="BI177" s="363" t="s">
        <v>267</v>
      </c>
      <c r="BJ177" s="356" t="n">
        <f aca="false">IFERROR(IF($M177=BI177,($D$8+$D$9+$D$10)*$I177,IF($N177=LEFT(BI177,1),($D$8+MAX(0,IF($D$50=1,$D$9*(1-(ABS($Q177-ABS(VALUE(MID(BI177,FIND("|",BI177)+1,FIND("-",BI177)-FIND("|",BI177)-1))-VALUE(MID(BI177,FIND("-",BI177)+1,10)))))*$D$50),$D$9*(1-(IF($N177="X",ABS($O177-VALUE(MID(BI177,FIND("|",BI177)+1,FIND("-",BI177)-FIND("|",BI177)-1))),ABS($Q177-ABS(VALUE(MID(BI177,FIND("|",BI177)+1,FIND("-",BI177)-FIND("|",BI177)-1))-VALUE(MID(BI177,FIND("-",BI177)+1,10)))))*$D$50)))))*$I177,0)),0)</f>
        <v>0</v>
      </c>
      <c r="BK177" s="404"/>
      <c r="BL177" s="363" t="s">
        <v>264</v>
      </c>
      <c r="BM177" s="356" t="n">
        <f aca="false">IFERROR(IF($M177=BL177,($D$8+$D$9+$D$10)*$I177,IF($N177=LEFT(BL177,1),($D$8+MAX(0,IF($D$50=1,$D$9*(1-(ABS($Q177-ABS(VALUE(MID(BL177,FIND("|",BL177)+1,FIND("-",BL177)-FIND("|",BL177)-1))-VALUE(MID(BL177,FIND("-",BL177)+1,10)))))*$D$50),$D$9*(1-(IF($N177="X",ABS($O177-VALUE(MID(BL177,FIND("|",BL177)+1,FIND("-",BL177)-FIND("|",BL177)-1))),ABS($Q177-ABS(VALUE(MID(BL177,FIND("|",BL177)+1,FIND("-",BL177)-FIND("|",BL177)-1))-VALUE(MID(BL177,FIND("-",BL177)+1,10)))))*$D$50)))))*$I177,0)),0)</f>
        <v>0</v>
      </c>
      <c r="BN177" s="404"/>
      <c r="BO177" s="363" t="s">
        <v>279</v>
      </c>
      <c r="BP177" s="356" t="n">
        <f aca="false">IFERROR(IF($M177=BO177,($D$8+$D$9+$D$10)*$I177,IF($N177=LEFT(BO177,1),($D$8+MAX(0,IF($D$50=1,$D$9*(1-(ABS($Q177-ABS(VALUE(MID(BO177,FIND("|",BO177)+1,FIND("-",BO177)-FIND("|",BO177)-1))-VALUE(MID(BO177,FIND("-",BO177)+1,10)))))*$D$50),$D$9*(1-(IF($N177="X",ABS($O177-VALUE(MID(BO177,FIND("|",BO177)+1,FIND("-",BO177)-FIND("|",BO177)-1))),ABS($Q177-ABS(VALUE(MID(BO177,FIND("|",BO177)+1,FIND("-",BO177)-FIND("|",BO177)-1))-VALUE(MID(BO177,FIND("-",BO177)+1,10)))))*$D$50)))))*$I177,0)),0)</f>
        <v>0</v>
      </c>
      <c r="BQ177" s="404"/>
      <c r="BR177" s="363" t="s">
        <v>264</v>
      </c>
      <c r="BS177" s="356" t="n">
        <f aca="false">IFERROR(IF($M177=BR177,($D$8+$D$9+$D$10)*$I177,IF($N177=LEFT(BR177,1),($D$8+MAX(0,IF($D$50=1,$D$9*(1-(ABS($Q177-ABS(VALUE(MID(BR177,FIND("|",BR177)+1,FIND("-",BR177)-FIND("|",BR177)-1))-VALUE(MID(BR177,FIND("-",BR177)+1,10)))))*$D$50),$D$9*(1-(IF($N177="X",ABS($O177-VALUE(MID(BR177,FIND("|",BR177)+1,FIND("-",BR177)-FIND("|",BR177)-1))),ABS($Q177-ABS(VALUE(MID(BR177,FIND("|",BR177)+1,FIND("-",BR177)-FIND("|",BR177)-1))-VALUE(MID(BR177,FIND("-",BR177)+1,10)))))*$D$50)))))*$I177,0)),0)</f>
        <v>0</v>
      </c>
      <c r="BT177" s="404"/>
      <c r="BU177" s="363"/>
      <c r="BV177" s="356" t="n">
        <f aca="false">IFERROR(IF($M177=BU177,($D$8+$D$9+$D$10)*$I177,IF($N177=LEFT(BU177,1),($D$8+MAX(0,IF($D$50=1,$D$9*(1-(ABS($Q177-ABS(VALUE(MID(BU177,FIND("|",BU177)+1,FIND("-",BU177)-FIND("|",BU177)-1))-VALUE(MID(BU177,FIND("-",BU177)+1,10)))))*$D$50),$D$9*(1-(IF($N177="X",ABS($O177-VALUE(MID(BU177,FIND("|",BU177)+1,FIND("-",BU177)-FIND("|",BU177)-1))),ABS($Q177-ABS(VALUE(MID(BU177,FIND("|",BU177)+1,FIND("-",BU177)-FIND("|",BU177)-1))-VALUE(MID(BU177,FIND("-",BU177)+1,10)))))*$D$50)))))*$I177,0)),0)</f>
        <v>0</v>
      </c>
      <c r="BW177" s="404"/>
      <c r="BX177" s="363"/>
      <c r="BY177" s="356" t="n">
        <f aca="false">IFERROR(IF($M177=BX177,($D$8+$D$9+$D$10)*$I177,IF($N177=LEFT(BX177,1),($D$8+MAX(0,IF($D$50=1,$D$9*(1-(ABS($Q177-ABS(VALUE(MID(BX177,FIND("|",BX177)+1,FIND("-",BX177)-FIND("|",BX177)-1))-VALUE(MID(BX177,FIND("-",BX177)+1,10)))))*$D$50),$D$9*(1-(IF($N177="X",ABS($O177-VALUE(MID(BX177,FIND("|",BX177)+1,FIND("-",BX177)-FIND("|",BX177)-1))),ABS($Q177-ABS(VALUE(MID(BX177,FIND("|",BX177)+1,FIND("-",BX177)-FIND("|",BX177)-1))-VALUE(MID(BX177,FIND("-",BX177)+1,10)))))*$D$50)))))*$I177,0)),0)</f>
        <v>0</v>
      </c>
      <c r="BZ177" s="404"/>
      <c r="CA177" s="363"/>
      <c r="CB177" s="356" t="n">
        <f aca="false">IFERROR(IF($M177=CA177,($D$8+$D$9+$D$10)*$I177,IF($N177=LEFT(CA177,1),($D$8+MAX(0,IF($D$50=1,$D$9*(1-(ABS($Q177-ABS(VALUE(MID(CA177,FIND("|",CA177)+1,FIND("-",CA177)-FIND("|",CA177)-1))-VALUE(MID(CA177,FIND("-",CA177)+1,10)))))*$D$50),$D$9*(1-(IF($N177="X",ABS($O177-VALUE(MID(CA177,FIND("|",CA177)+1,FIND("-",CA177)-FIND("|",CA177)-1))),ABS($Q177-ABS(VALUE(MID(CA177,FIND("|",CA177)+1,FIND("-",CA177)-FIND("|",CA177)-1))-VALUE(MID(CA177,FIND("-",CA177)+1,10)))))*$D$50)))))*$I177,0)),0)</f>
        <v>0</v>
      </c>
      <c r="CC177" s="404"/>
      <c r="CD177" s="363"/>
      <c r="CE177" s="356" t="n">
        <f aca="false">IFERROR(IF($M177=CD177,($D$8+$D$9+$D$10)*$I177,IF($N177=LEFT(CD177,1),($D$8+MAX(0,IF($D$50=1,$D$9*(1-(ABS($Q177-ABS(VALUE(MID(CD177,FIND("|",CD177)+1,FIND("-",CD177)-FIND("|",CD177)-1))-VALUE(MID(CD177,FIND("-",CD177)+1,10)))))*$D$50),$D$9*(1-(IF($N177="X",ABS($O177-VALUE(MID(CD177,FIND("|",CD177)+1,FIND("-",CD177)-FIND("|",CD177)-1))),ABS($Q177-ABS(VALUE(MID(CD177,FIND("|",CD177)+1,FIND("-",CD177)-FIND("|",CD177)-1))-VALUE(MID(CD177,FIND("-",CD177)+1,10)))))*$D$50)))))*$I177,0)),0)</f>
        <v>0</v>
      </c>
      <c r="CF177" s="404"/>
      <c r="CG177" s="363"/>
      <c r="CH177" s="356" t="n">
        <f aca="false">IFERROR(IF($M177=CG177,($D$8+$D$9+$D$10)*$I177,IF($N177=LEFT(CG177,1),($D$8+MAX(0,IF($D$50=1,$D$9*(1-(ABS($Q177-ABS(VALUE(MID(CG177,FIND("|",CG177)+1,FIND("-",CG177)-FIND("|",CG177)-1))-VALUE(MID(CG177,FIND("-",CG177)+1,10)))))*$D$50),$D$9*(1-(IF($N177="X",ABS($O177-VALUE(MID(CG177,FIND("|",CG177)+1,FIND("-",CG177)-FIND("|",CG177)-1))),ABS($Q177-ABS(VALUE(MID(CG177,FIND("|",CG177)+1,FIND("-",CG177)-FIND("|",CG177)-1))-VALUE(MID(CG177,FIND("-",CG177)+1,10)))))*$D$50)))))*$I177,0)),0)</f>
        <v>0</v>
      </c>
      <c r="CI177" s="404"/>
      <c r="CJ177" s="363"/>
      <c r="CK177" s="356" t="n">
        <f aca="false">IFERROR(IF($M177=CJ177,($D$8+$D$9+$D$10)*$I177,IF($N177=LEFT(CJ177,1),($D$8+MAX(0,IF($D$50=1,$D$9*(1-(ABS($Q177-ABS(VALUE(MID(CJ177,FIND("|",CJ177)+1,FIND("-",CJ177)-FIND("|",CJ177)-1))-VALUE(MID(CJ177,FIND("-",CJ177)+1,10)))))*$D$50),$D$9*(1-(IF($N177="X",ABS($O177-VALUE(MID(CJ177,FIND("|",CJ177)+1,FIND("-",CJ177)-FIND("|",CJ177)-1))),ABS($Q177-ABS(VALUE(MID(CJ177,FIND("|",CJ177)+1,FIND("-",CJ177)-FIND("|",CJ177)-1))-VALUE(MID(CJ177,FIND("-",CJ177)+1,10)))))*$D$50)))))*$I177,0)),0)</f>
        <v>0</v>
      </c>
      <c r="CL177" s="404"/>
      <c r="CM177" s="363"/>
      <c r="CN177" s="356" t="n">
        <f aca="false">IFERROR(IF($M177=CM177,($D$8+$D$9+$D$10)*$I177,IF($N177=LEFT(CM177,1),($D$8+MAX(0,IF($D$50=1,$D$9*(1-(ABS($Q177-ABS(VALUE(MID(CM177,FIND("|",CM177)+1,FIND("-",CM177)-FIND("|",CM177)-1))-VALUE(MID(CM177,FIND("-",CM177)+1,10)))))*$D$50),$D$9*(1-(IF($N177="X",ABS($O177-VALUE(MID(CM177,FIND("|",CM177)+1,FIND("-",CM177)-FIND("|",CM177)-1))),ABS($Q177-ABS(VALUE(MID(CM177,FIND("|",CM177)+1,FIND("-",CM177)-FIND("|",CM177)-1))-VALUE(MID(CM177,FIND("-",CM177)+1,10)))))*$D$50)))))*$I177,0)),0)</f>
        <v>0</v>
      </c>
      <c r="CO177" s="404"/>
      <c r="CP177" s="363"/>
      <c r="CQ177" s="356" t="n">
        <f aca="false">IFERROR(IF($M177=CP177,($D$8+$D$9+$D$10)*$I177,IF($N177=LEFT(CP177,1),($D$8+MAX(0,IF($D$50=1,$D$9*(1-(ABS($Q177-ABS(VALUE(MID(CP177,FIND("|",CP177)+1,FIND("-",CP177)-FIND("|",CP177)-1))-VALUE(MID(CP177,FIND("-",CP177)+1,10)))))*$D$50),$D$9*(1-(IF($N177="X",ABS($O177-VALUE(MID(CP177,FIND("|",CP177)+1,FIND("-",CP177)-FIND("|",CP177)-1))),ABS($Q177-ABS(VALUE(MID(CP177,FIND("|",CP177)+1,FIND("-",CP177)-FIND("|",CP177)-1))-VALUE(MID(CP177,FIND("-",CP177)+1,10)))))*$D$50)))))*$I177,0)),0)</f>
        <v>0</v>
      </c>
      <c r="CR177" s="404"/>
      <c r="CS177" s="363"/>
      <c r="CT177" s="356" t="n">
        <f aca="false">IFERROR(IF($M177=CS177,($D$8+$D$9+$D$10)*$I177,IF($N177=LEFT(CS177,1),($D$8+MAX(0,IF($D$50=1,$D$9*(1-(ABS($Q177-ABS(VALUE(MID(CS177,FIND("|",CS177)+1,FIND("-",CS177)-FIND("|",CS177)-1))-VALUE(MID(CS177,FIND("-",CS177)+1,10)))))*$D$50),$D$9*(1-(IF($N177="X",ABS($O177-VALUE(MID(CS177,FIND("|",CS177)+1,FIND("-",CS177)-FIND("|",CS177)-1))),ABS($Q177-ABS(VALUE(MID(CS177,FIND("|",CS177)+1,FIND("-",CS177)-FIND("|",CS177)-1))-VALUE(MID(CS177,FIND("-",CS177)+1,10)))))*$D$50)))))*$I177,0)),0)</f>
        <v>0</v>
      </c>
      <c r="CU177" s="404"/>
      <c r="CV177" s="363"/>
      <c r="CW177" s="356" t="n">
        <f aca="false">IFERROR(IF($M177=CV177,($D$8+$D$9+$D$10)*$I177,IF($N177=LEFT(CV177,1),($D$8+MAX(0,IF($D$50=1,$D$9*(1-(ABS($Q177-ABS(VALUE(MID(CV177,FIND("|",CV177)+1,FIND("-",CV177)-FIND("|",CV177)-1))-VALUE(MID(CV177,FIND("-",CV177)+1,10)))))*$D$50),$D$9*(1-(IF($N177="X",ABS($O177-VALUE(MID(CV177,FIND("|",CV177)+1,FIND("-",CV177)-FIND("|",CV177)-1))),ABS($Q177-ABS(VALUE(MID(CV177,FIND("|",CV177)+1,FIND("-",CV177)-FIND("|",CV177)-1))-VALUE(MID(CV177,FIND("-",CV177)+1,10)))))*$D$50)))))*$I177,0)),0)</f>
        <v>0</v>
      </c>
      <c r="CX177" s="404"/>
      <c r="CY177" s="363"/>
      <c r="CZ177" s="356" t="n">
        <f aca="false">IFERROR(IF($M177=CY177,($D$8+$D$9+$D$10)*$I177,IF($N177=LEFT(CY177,1),($D$8+MAX(0,IF($D$50=1,$D$9*(1-(ABS($Q177-ABS(VALUE(MID(CY177,FIND("|",CY177)+1,FIND("-",CY177)-FIND("|",CY177)-1))-VALUE(MID(CY177,FIND("-",CY177)+1,10)))))*$D$50),$D$9*(1-(IF($N177="X",ABS($O177-VALUE(MID(CY177,FIND("|",CY177)+1,FIND("-",CY177)-FIND("|",CY177)-1))),ABS($Q177-ABS(VALUE(MID(CY177,FIND("|",CY177)+1,FIND("-",CY177)-FIND("|",CY177)-1))-VALUE(MID(CY177,FIND("-",CY177)+1,10)))))*$D$50)))))*$I177,0)),0)</f>
        <v>0</v>
      </c>
      <c r="DA177" s="404"/>
      <c r="DB177" s="363"/>
      <c r="DC177" s="356" t="n">
        <f aca="false">IFERROR(IF($M177=DB177,($D$8+$D$9+$D$10)*$I177,IF($N177=LEFT(DB177,1),($D$8+MAX(0,IF($D$50=1,$D$9*(1-(ABS($Q177-ABS(VALUE(MID(DB177,FIND("|",DB177)+1,FIND("-",DB177)-FIND("|",DB177)-1))-VALUE(MID(DB177,FIND("-",DB177)+1,10)))))*$D$50),$D$9*(1-(IF($N177="X",ABS($O177-VALUE(MID(DB177,FIND("|",DB177)+1,FIND("-",DB177)-FIND("|",DB177)-1))),ABS($Q177-ABS(VALUE(MID(DB177,FIND("|",DB177)+1,FIND("-",DB177)-FIND("|",DB177)-1))-VALUE(MID(DB177,FIND("-",DB177)+1,10)))))*$D$50)))))*$I177,0)),0)</f>
        <v>0</v>
      </c>
      <c r="DD177" s="404"/>
      <c r="DE177" s="363"/>
      <c r="DF177" s="356" t="n">
        <f aca="false">IFERROR(IF($M177=DE177,($D$8+$D$9+$D$10)*$I177,IF($N177=LEFT(DE177,1),($D$8+MAX(0,IF($D$50=1,$D$9*(1-(ABS($Q177-ABS(VALUE(MID(DE177,FIND("|",DE177)+1,FIND("-",DE177)-FIND("|",DE177)-1))-VALUE(MID(DE177,FIND("-",DE177)+1,10)))))*$D$50),$D$9*(1-(IF($N177="X",ABS($O177-VALUE(MID(DE177,FIND("|",DE177)+1,FIND("-",DE177)-FIND("|",DE177)-1))),ABS($Q177-ABS(VALUE(MID(DE177,FIND("|",DE177)+1,FIND("-",DE177)-FIND("|",DE177)-1))-VALUE(MID(DE177,FIND("-",DE177)+1,10)))))*$D$50)))))*$I177,0)),0)</f>
        <v>0</v>
      </c>
      <c r="DG177" s="404"/>
      <c r="DH177" s="363"/>
      <c r="DI177" s="356" t="n">
        <f aca="false">IFERROR(IF($M177=DH177,($D$8+$D$9+$D$10)*$I177,IF($N177=LEFT(DH177,1),($D$8+MAX(0,IF($D$50=1,$D$9*(1-(ABS($Q177-ABS(VALUE(MID(DH177,FIND("|",DH177)+1,FIND("-",DH177)-FIND("|",DH177)-1))-VALUE(MID(DH177,FIND("-",DH177)+1,10)))))*$D$50),$D$9*(1-(IF($N177="X",ABS($O177-VALUE(MID(DH177,FIND("|",DH177)+1,FIND("-",DH177)-FIND("|",DH177)-1))),ABS($Q177-ABS(VALUE(MID(DH177,FIND("|",DH177)+1,FIND("-",DH177)-FIND("|",DH177)-1))-VALUE(MID(DH177,FIND("-",DH177)+1,10)))))*$D$50)))))*$I177,0)),0)</f>
        <v>0</v>
      </c>
      <c r="DJ177" s="404"/>
      <c r="DK177" s="363"/>
      <c r="DL177" s="356" t="n">
        <f aca="false">IFERROR(IF($M177=DK177,($D$8+$D$9+$D$10)*$I177,IF($N177=LEFT(DK177,1),($D$8+MAX(0,IF($D$50=1,$D$9*(1-(ABS($Q177-ABS(VALUE(MID(DK177,FIND("|",DK177)+1,FIND("-",DK177)-FIND("|",DK177)-1))-VALUE(MID(DK177,FIND("-",DK177)+1,10)))))*$D$50),$D$9*(1-(IF($N177="X",ABS($O177-VALUE(MID(DK177,FIND("|",DK177)+1,FIND("-",DK177)-FIND("|",DK177)-1))),ABS($Q177-ABS(VALUE(MID(DK177,FIND("|",DK177)+1,FIND("-",DK177)-FIND("|",DK177)-1))-VALUE(MID(DK177,FIND("-",DK177)+1,10)))))*$D$50)))))*$I177,0)),0)</f>
        <v>0</v>
      </c>
      <c r="DM177" s="404"/>
      <c r="DN177" s="363"/>
      <c r="DO177" s="356" t="n">
        <f aca="false">IFERROR(IF($M177=DN177,($D$8+$D$9+$D$10)*$I177,IF($N177=LEFT(DN177,1),($D$8+MAX(0,IF($D$50=1,$D$9*(1-(ABS($Q177-ABS(VALUE(MID(DN177,FIND("|",DN177)+1,FIND("-",DN177)-FIND("|",DN177)-1))-VALUE(MID(DN177,FIND("-",DN177)+1,10)))))*$D$50),$D$9*(1-(IF($N177="X",ABS($O177-VALUE(MID(DN177,FIND("|",DN177)+1,FIND("-",DN177)-FIND("|",DN177)-1))),ABS($Q177-ABS(VALUE(MID(DN177,FIND("|",DN177)+1,FIND("-",DN177)-FIND("|",DN177)-1))-VALUE(MID(DN177,FIND("-",DN177)+1,10)))))*$D$50)))))*$I177,0)),0)</f>
        <v>0</v>
      </c>
      <c r="DP177" s="404"/>
      <c r="DQ177" s="363"/>
      <c r="DR177" s="356" t="n">
        <f aca="false">IFERROR(IF($M177=DQ177,($D$8+$D$9+$D$10)*$I177,IF($N177=LEFT(DQ177,1),($D$8+MAX(0,IF($D$50=1,$D$9*(1-(ABS($Q177-ABS(VALUE(MID(DQ177,FIND("|",DQ177)+1,FIND("-",DQ177)-FIND("|",DQ177)-1))-VALUE(MID(DQ177,FIND("-",DQ177)+1,10)))))*$D$50),$D$9*(1-(IF($N177="X",ABS($O177-VALUE(MID(DQ177,FIND("|",DQ177)+1,FIND("-",DQ177)-FIND("|",DQ177)-1))),ABS($Q177-ABS(VALUE(MID(DQ177,FIND("|",DQ177)+1,FIND("-",DQ177)-FIND("|",DQ177)-1))-VALUE(MID(DQ177,FIND("-",DQ177)+1,10)))))*$D$50)))))*$I177,0)),0)</f>
        <v>0</v>
      </c>
      <c r="DS177" s="404"/>
      <c r="DT177" s="363"/>
      <c r="DU177" s="356" t="n">
        <f aca="false">IFERROR(IF($M177=DT177,($D$8+$D$9+$D$10)*$I177,IF($N177=LEFT(DT177,1),($D$8+MAX(0,IF($D$50=1,$D$9*(1-(ABS($Q177-ABS(VALUE(MID(DT177,FIND("|",DT177)+1,FIND("-",DT177)-FIND("|",DT177)-1))-VALUE(MID(DT177,FIND("-",DT177)+1,10)))))*$D$50),$D$9*(1-(IF($N177="X",ABS($O177-VALUE(MID(DT177,FIND("|",DT177)+1,FIND("-",DT177)-FIND("|",DT177)-1))),ABS($Q177-ABS(VALUE(MID(DT177,FIND("|",DT177)+1,FIND("-",DT177)-FIND("|",DT177)-1))-VALUE(MID(DT177,FIND("-",DT177)+1,10)))))*$D$50)))))*$I177,0)),0)</f>
        <v>0</v>
      </c>
      <c r="DV177" s="404"/>
      <c r="DW177" s="363"/>
      <c r="DX177" s="356" t="n">
        <f aca="false">IFERROR(IF($M177=DW177,($D$8+$D$9+$D$10)*$I177,IF($N177=LEFT(DW177,1),($D$8+MAX(0,IF($D$50=1,$D$9*(1-(ABS($Q177-ABS(VALUE(MID(DW177,FIND("|",DW177)+1,FIND("-",DW177)-FIND("|",DW177)-1))-VALUE(MID(DW177,FIND("-",DW177)+1,10)))))*$D$50),$D$9*(1-(IF($N177="X",ABS($O177-VALUE(MID(DW177,FIND("|",DW177)+1,FIND("-",DW177)-FIND("|",DW177)-1))),ABS($Q177-ABS(VALUE(MID(DW177,FIND("|",DW177)+1,FIND("-",DW177)-FIND("|",DW177)-1))-VALUE(MID(DW177,FIND("-",DW177)+1,10)))))*$D$50)))))*$I177,0)),0)</f>
        <v>0</v>
      </c>
      <c r="DY177" s="404"/>
      <c r="DZ177" s="363"/>
      <c r="EA177" s="356" t="n">
        <f aca="false">IFERROR(IF($M177=DZ177,($D$8+$D$9+$D$10)*$I177,IF($N177=LEFT(DZ177,1),($D$8+MAX(0,IF($D$50=1,$D$9*(1-(ABS($Q177-ABS(VALUE(MID(DZ177,FIND("|",DZ177)+1,FIND("-",DZ177)-FIND("|",DZ177)-1))-VALUE(MID(DZ177,FIND("-",DZ177)+1,10)))))*$D$50),$D$9*(1-(IF($N177="X",ABS($O177-VALUE(MID(DZ177,FIND("|",DZ177)+1,FIND("-",DZ177)-FIND("|",DZ177)-1))),ABS($Q177-ABS(VALUE(MID(DZ177,FIND("|",DZ177)+1,FIND("-",DZ177)-FIND("|",DZ177)-1))-VALUE(MID(DZ177,FIND("-",DZ177)+1,10)))))*$D$50)))))*$I177,0)),0)</f>
        <v>0</v>
      </c>
      <c r="EB177" s="404"/>
      <c r="EC177" s="363"/>
      <c r="ED177" s="356" t="n">
        <f aca="false">IFERROR(IF($M177=EC177,($D$8+$D$9+$D$10)*$I177,IF($N177=LEFT(EC177,1),($D$8+MAX(0,IF($D$50=1,$D$9*(1-(ABS($Q177-ABS(VALUE(MID(EC177,FIND("|",EC177)+1,FIND("-",EC177)-FIND("|",EC177)-1))-VALUE(MID(EC177,FIND("-",EC177)+1,10)))))*$D$50),$D$9*(1-(IF($N177="X",ABS($O177-VALUE(MID(EC177,FIND("|",EC177)+1,FIND("-",EC177)-FIND("|",EC177)-1))),ABS($Q177-ABS(VALUE(MID(EC177,FIND("|",EC177)+1,FIND("-",EC177)-FIND("|",EC177)-1))-VALUE(MID(EC177,FIND("-",EC177)+1,10)))))*$D$50)))))*$I177,0)),0)</f>
        <v>0</v>
      </c>
      <c r="EE177" s="404"/>
      <c r="EF177" s="363"/>
      <c r="EG177" s="356" t="n">
        <f aca="false">IFERROR(IF($M177=EF177,($D$8+$D$9+$D$10)*$I177,IF($N177=LEFT(EF177,1),($D$8+MAX(0,IF($D$50=1,$D$9*(1-(ABS($Q177-ABS(VALUE(MID(EF177,FIND("|",EF177)+1,FIND("-",EF177)-FIND("|",EF177)-1))-VALUE(MID(EF177,FIND("-",EF177)+1,10)))))*$D$50),$D$9*(1-(IF($N177="X",ABS($O177-VALUE(MID(EF177,FIND("|",EF177)+1,FIND("-",EF177)-FIND("|",EF177)-1))),ABS($Q177-ABS(VALUE(MID(EF177,FIND("|",EF177)+1,FIND("-",EF177)-FIND("|",EF177)-1))-VALUE(MID(EF177,FIND("-",EF177)+1,10)))))*$D$50)))))*$I177,0)),0)</f>
        <v>0</v>
      </c>
      <c r="EH177" s="404"/>
      <c r="EI177" s="404"/>
    </row>
    <row r="178" customFormat="false" ht="15" hidden="false" customHeight="false" outlineLevel="0" collapsed="false">
      <c r="A178" s="332" t="n">
        <f aca="false">WORLDCUP!AD115</f>
        <v>0</v>
      </c>
      <c r="B178" s="332" t="n">
        <f aca="false">WORLDCUP!AC115</f>
        <v>0</v>
      </c>
      <c r="C178" s="422" t="str">
        <f aca="false">CONCATENATE(WORLDCUP!AF115,"-",WORLDCUP!AA115)</f>
        <v>2H-1J</v>
      </c>
      <c r="D178" s="422" t="str">
        <f aca="false">IF(WORLDCUP!AC115&gt;WORLDCUP!AD115,2,IF(WORLDCUP!AC115&lt;WORLDCUP!AD115,1,IF(AND(WORLDCUP!AC115=WORLDCUP!AD115,WORLDCUP!AC115&lt;&gt;"",WORLDCUP!AD115&lt;&gt;""),0,"PD")))</f>
        <v>PD</v>
      </c>
      <c r="E178" s="422" t="str">
        <f aca="false">IF(OR(WORLDCUP!AC115="",WORLDCUP!AD115=""),"-",A178&amp;"-"&amp;B178)</f>
        <v>-</v>
      </c>
      <c r="F178" s="423" t="n">
        <f aca="false">SUM($D$16:$D$18)*I178</f>
        <v>17</v>
      </c>
      <c r="G178" s="423" t="n">
        <f aca="false">VLOOKUP(H178,Equipos!$Q$1:$R$25,2,0)</f>
        <v>20</v>
      </c>
      <c r="H178" s="424" t="str">
        <f aca="false">Idiomas!$D$260</f>
        <v>Dieciseisavos de final</v>
      </c>
      <c r="I178" s="425" t="n">
        <v>1</v>
      </c>
      <c r="J178" s="418"/>
      <c r="K178" s="367" t="str">
        <f aca="false">CONCATENATE(WORLDCUP!AA115,"-",WORLDCUP!AF115)</f>
        <v>1J-2H</v>
      </c>
      <c r="L178" s="354"/>
      <c r="M178" s="359" t="str">
        <f aca="false">IF(OR(WORLDCUP!AC115="",WORLDCUP!AD115=""),"-",N178&amp;"|"&amp;O178&amp;"-"&amp;P178)</f>
        <v>-</v>
      </c>
      <c r="N178" s="332" t="str">
        <f aca="false">IF(OR(WORLDCUP!AC115="",WORLDCUP!AD115=""),"",IF(WORLDCUP!AC115&gt;WORLDCUP!AD115,"1",IF(WORLDCUP!AC115&lt;WORLDCUP!AD115,"2","X")))</f>
        <v/>
      </c>
      <c r="O178" s="332" t="n">
        <f aca="false">WORLDCUP!AC115</f>
        <v>0</v>
      </c>
      <c r="P178" s="332" t="n">
        <f aca="false">WORLDCUP!AD115</f>
        <v>0</v>
      </c>
      <c r="Q178" s="332" t="n">
        <f aca="false">ABS(O178-P178)</f>
        <v>0</v>
      </c>
      <c r="R178" s="404"/>
      <c r="S178" s="363" t="s">
        <v>277</v>
      </c>
      <c r="T178" s="356" t="n">
        <f aca="false">IFERROR(IF($M178=S178,($D$8+$D$9+$D$10)*$I178,IF($N178=LEFT(S178,1),($D$8+MAX(0,IF($D$50=1,$D$9*(1-(ABS($Q178-ABS(VALUE(MID(S178,FIND("|",S178)+1,FIND("-",S178)-FIND("|",S178)-1))-VALUE(MID(S178,FIND("-",S178)+1,10)))))*$D$50),$D$9*(1-(IF($N178="X",ABS($O178-VALUE(MID(S178,FIND("|",S178)+1,FIND("-",S178)-FIND("|",S178)-1))),ABS($Q178-ABS(VALUE(MID(S178,FIND("|",S178)+1,FIND("-",S178)-FIND("|",S178)-1))-VALUE(MID(S178,FIND("-",S178)+1,10)))))*$D$50)))))*$I178,0)),0)</f>
        <v>0</v>
      </c>
      <c r="U178" s="404"/>
      <c r="V178" s="363" t="s">
        <v>264</v>
      </c>
      <c r="W178" s="356" t="n">
        <f aca="false">IFERROR(IF($M178=V178,($D$8+$D$9+$D$10)*$I178,IF($N178=LEFT(V178,1),($D$8+MAX(0,IF($D$50=1,$D$9*(1-(ABS($Q178-ABS(VALUE(MID(V178,FIND("|",V178)+1,FIND("-",V178)-FIND("|",V178)-1))-VALUE(MID(V178,FIND("-",V178)+1,10)))))*$D$50),$D$9*(1-(IF($N178="X",ABS($O178-VALUE(MID(V178,FIND("|",V178)+1,FIND("-",V178)-FIND("|",V178)-1))),ABS($Q178-ABS(VALUE(MID(V178,FIND("|",V178)+1,FIND("-",V178)-FIND("|",V178)-1))-VALUE(MID(V178,FIND("-",V178)+1,10)))))*$D$50)))))*$I178,0)),0)</f>
        <v>0</v>
      </c>
      <c r="X178" s="404"/>
      <c r="Y178" s="363" t="s">
        <v>264</v>
      </c>
      <c r="Z178" s="356" t="n">
        <f aca="false">IFERROR(IF($M178=Y178,($D$8+$D$9+$D$10)*$I178,IF($N178=LEFT(Y178,1),($D$8+MAX(0,IF($D$50=1,$D$9*(1-(ABS($Q178-ABS(VALUE(MID(Y178,FIND("|",Y178)+1,FIND("-",Y178)-FIND("|",Y178)-1))-VALUE(MID(Y178,FIND("-",Y178)+1,10)))))*$D$50),$D$9*(1-(IF($N178="X",ABS($O178-VALUE(MID(Y178,FIND("|",Y178)+1,FIND("-",Y178)-FIND("|",Y178)-1))),ABS($Q178-ABS(VALUE(MID(Y178,FIND("|",Y178)+1,FIND("-",Y178)-FIND("|",Y178)-1))-VALUE(MID(Y178,FIND("-",Y178)+1,10)))))*$D$50)))))*$I178,0)),0)</f>
        <v>0</v>
      </c>
      <c r="AA178" s="404"/>
      <c r="AB178" s="363" t="s">
        <v>264</v>
      </c>
      <c r="AC178" s="356" t="n">
        <f aca="false">IFERROR(IF($M178=AB178,($D$8+$D$9+$D$10)*$I178,IF($N178=LEFT(AB178,1),($D$8+MAX(0,IF($D$50=1,$D$9*(1-(ABS($Q178-ABS(VALUE(MID(AB178,FIND("|",AB178)+1,FIND("-",AB178)-FIND("|",AB178)-1))-VALUE(MID(AB178,FIND("-",AB178)+1,10)))))*$D$50),$D$9*(1-(IF($N178="X",ABS($O178-VALUE(MID(AB178,FIND("|",AB178)+1,FIND("-",AB178)-FIND("|",AB178)-1))),ABS($Q178-ABS(VALUE(MID(AB178,FIND("|",AB178)+1,FIND("-",AB178)-FIND("|",AB178)-1))-VALUE(MID(AB178,FIND("-",AB178)+1,10)))))*$D$50)))))*$I178,0)),0)</f>
        <v>0</v>
      </c>
      <c r="AD178" s="404"/>
      <c r="AE178" s="363" t="s">
        <v>288</v>
      </c>
      <c r="AF178" s="356" t="n">
        <f aca="false">IFERROR(IF($M178=AE178,($D$8+$D$9+$D$10)*$I178,IF($N178=LEFT(AE178,1),($D$8+MAX(0,IF($D$50=1,$D$9*(1-(ABS($Q178-ABS(VALUE(MID(AE178,FIND("|",AE178)+1,FIND("-",AE178)-FIND("|",AE178)-1))-VALUE(MID(AE178,FIND("-",AE178)+1,10)))))*$D$50),$D$9*(1-(IF($N178="X",ABS($O178-VALUE(MID(AE178,FIND("|",AE178)+1,FIND("-",AE178)-FIND("|",AE178)-1))),ABS($Q178-ABS(VALUE(MID(AE178,FIND("|",AE178)+1,FIND("-",AE178)-FIND("|",AE178)-1))-VALUE(MID(AE178,FIND("-",AE178)+1,10)))))*$D$50)))))*$I178,0)),0)</f>
        <v>0</v>
      </c>
      <c r="AG178" s="404"/>
      <c r="AH178" s="363" t="s">
        <v>265</v>
      </c>
      <c r="AI178" s="356" t="n">
        <f aca="false">IFERROR(IF($M178=AH178,($D$8+$D$9+$D$10)*$I178,IF($N178=LEFT(AH178,1),($D$8+MAX(0,IF($D$50=1,$D$9*(1-(ABS($Q178-ABS(VALUE(MID(AH178,FIND("|",AH178)+1,FIND("-",AH178)-FIND("|",AH178)-1))-VALUE(MID(AH178,FIND("-",AH178)+1,10)))))*$D$50),$D$9*(1-(IF($N178="X",ABS($O178-VALUE(MID(AH178,FIND("|",AH178)+1,FIND("-",AH178)-FIND("|",AH178)-1))),ABS($Q178-ABS(VALUE(MID(AH178,FIND("|",AH178)+1,FIND("-",AH178)-FIND("|",AH178)-1))-VALUE(MID(AH178,FIND("-",AH178)+1,10)))))*$D$50)))))*$I178,0)),0)</f>
        <v>0</v>
      </c>
      <c r="AJ178" s="404"/>
      <c r="AK178" s="363" t="s">
        <v>264</v>
      </c>
      <c r="AL178" s="356" t="n">
        <f aca="false">IFERROR(IF($M178=AK178,($D$8+$D$9+$D$10)*$I178,IF($N178=LEFT(AK178,1),($D$8+MAX(0,IF($D$50=1,$D$9*(1-(ABS($Q178-ABS(VALUE(MID(AK178,FIND("|",AK178)+1,FIND("-",AK178)-FIND("|",AK178)-1))-VALUE(MID(AK178,FIND("-",AK178)+1,10)))))*$D$50),$D$9*(1-(IF($N178="X",ABS($O178-VALUE(MID(AK178,FIND("|",AK178)+1,FIND("-",AK178)-FIND("|",AK178)-1))),ABS($Q178-ABS(VALUE(MID(AK178,FIND("|",AK178)+1,FIND("-",AK178)-FIND("|",AK178)-1))-VALUE(MID(AK178,FIND("-",AK178)+1,10)))))*$D$50)))))*$I178,0)),0)</f>
        <v>0</v>
      </c>
      <c r="AM178" s="404"/>
      <c r="AN178" s="363" t="s">
        <v>267</v>
      </c>
      <c r="AO178" s="356" t="n">
        <f aca="false">IFERROR(IF($M178=AN178,($D$8+$D$9+$D$10)*$I178,IF($N178=LEFT(AN178,1),($D$8+MAX(0,IF($D$50=1,$D$9*(1-(ABS($Q178-ABS(VALUE(MID(AN178,FIND("|",AN178)+1,FIND("-",AN178)-FIND("|",AN178)-1))-VALUE(MID(AN178,FIND("-",AN178)+1,10)))))*$D$50),$D$9*(1-(IF($N178="X",ABS($O178-VALUE(MID(AN178,FIND("|",AN178)+1,FIND("-",AN178)-FIND("|",AN178)-1))),ABS($Q178-ABS(VALUE(MID(AN178,FIND("|",AN178)+1,FIND("-",AN178)-FIND("|",AN178)-1))-VALUE(MID(AN178,FIND("-",AN178)+1,10)))))*$D$50)))))*$I178,0)),0)</f>
        <v>0</v>
      </c>
      <c r="AP178" s="404"/>
      <c r="AQ178" s="363" t="s">
        <v>264</v>
      </c>
      <c r="AR178" s="356" t="n">
        <f aca="false">IFERROR(IF($M178=AQ178,($D$8+$D$9+$D$10)*$I178,IF($N178=LEFT(AQ178,1),($D$8+MAX(0,IF($D$50=1,$D$9*(1-(ABS($Q178-ABS(VALUE(MID(AQ178,FIND("|",AQ178)+1,FIND("-",AQ178)-FIND("|",AQ178)-1))-VALUE(MID(AQ178,FIND("-",AQ178)+1,10)))))*$D$50),$D$9*(1-(IF($N178="X",ABS($O178-VALUE(MID(AQ178,FIND("|",AQ178)+1,FIND("-",AQ178)-FIND("|",AQ178)-1))),ABS($Q178-ABS(VALUE(MID(AQ178,FIND("|",AQ178)+1,FIND("-",AQ178)-FIND("|",AQ178)-1))-VALUE(MID(AQ178,FIND("-",AQ178)+1,10)))))*$D$50)))))*$I178,0)),0)</f>
        <v>0</v>
      </c>
      <c r="AS178" s="404"/>
      <c r="AT178" s="363" t="s">
        <v>267</v>
      </c>
      <c r="AU178" s="356" t="n">
        <f aca="false">IFERROR(IF($M178=AT178,($D$8+$D$9+$D$10)*$I178,IF($N178=LEFT(AT178,1),($D$8+MAX(0,IF($D$50=1,$D$9*(1-(ABS($Q178-ABS(VALUE(MID(AT178,FIND("|",AT178)+1,FIND("-",AT178)-FIND("|",AT178)-1))-VALUE(MID(AT178,FIND("-",AT178)+1,10)))))*$D$50),$D$9*(1-(IF($N178="X",ABS($O178-VALUE(MID(AT178,FIND("|",AT178)+1,FIND("-",AT178)-FIND("|",AT178)-1))),ABS($Q178-ABS(VALUE(MID(AT178,FIND("|",AT178)+1,FIND("-",AT178)-FIND("|",AT178)-1))-VALUE(MID(AT178,FIND("-",AT178)+1,10)))))*$D$50)))))*$I178,0)),0)</f>
        <v>0</v>
      </c>
      <c r="AV178" s="404"/>
      <c r="AW178" s="363" t="s">
        <v>264</v>
      </c>
      <c r="AX178" s="356" t="n">
        <f aca="false">IFERROR(IF($M178=AW178,($D$8+$D$9+$D$10)*$I178,IF($N178=LEFT(AW178,1),($D$8+MAX(0,IF($D$50=1,$D$9*(1-(ABS($Q178-ABS(VALUE(MID(AW178,FIND("|",AW178)+1,FIND("-",AW178)-FIND("|",AW178)-1))-VALUE(MID(AW178,FIND("-",AW178)+1,10)))))*$D$50),$D$9*(1-(IF($N178="X",ABS($O178-VALUE(MID(AW178,FIND("|",AW178)+1,FIND("-",AW178)-FIND("|",AW178)-1))),ABS($Q178-ABS(VALUE(MID(AW178,FIND("|",AW178)+1,FIND("-",AW178)-FIND("|",AW178)-1))-VALUE(MID(AW178,FIND("-",AW178)+1,10)))))*$D$50)))))*$I178,0)),0)</f>
        <v>0</v>
      </c>
      <c r="AY178" s="404"/>
      <c r="AZ178" s="363" t="s">
        <v>266</v>
      </c>
      <c r="BA178" s="356" t="n">
        <f aca="false">IFERROR(IF($M178=AZ178,($D$8+$D$9+$D$10)*$I178,IF($N178=LEFT(AZ178,1),($D$8+MAX(0,IF($D$50=1,$D$9*(1-(ABS($Q178-ABS(VALUE(MID(AZ178,FIND("|",AZ178)+1,FIND("-",AZ178)-FIND("|",AZ178)-1))-VALUE(MID(AZ178,FIND("-",AZ178)+1,10)))))*$D$50),$D$9*(1-(IF($N178="X",ABS($O178-VALUE(MID(AZ178,FIND("|",AZ178)+1,FIND("-",AZ178)-FIND("|",AZ178)-1))),ABS($Q178-ABS(VALUE(MID(AZ178,FIND("|",AZ178)+1,FIND("-",AZ178)-FIND("|",AZ178)-1))-VALUE(MID(AZ178,FIND("-",AZ178)+1,10)))))*$D$50)))))*$I178,0)),0)</f>
        <v>0</v>
      </c>
      <c r="BB178" s="404"/>
      <c r="BC178" s="363" t="s">
        <v>267</v>
      </c>
      <c r="BD178" s="356" t="n">
        <f aca="false">IFERROR(IF($M178=BC178,($D$8+$D$9+$D$10)*$I178,IF($N178=LEFT(BC178,1),($D$8+MAX(0,IF($D$50=1,$D$9*(1-(ABS($Q178-ABS(VALUE(MID(BC178,FIND("|",BC178)+1,FIND("-",BC178)-FIND("|",BC178)-1))-VALUE(MID(BC178,FIND("-",BC178)+1,10)))))*$D$50),$D$9*(1-(IF($N178="X",ABS($O178-VALUE(MID(BC178,FIND("|",BC178)+1,FIND("-",BC178)-FIND("|",BC178)-1))),ABS($Q178-ABS(VALUE(MID(BC178,FIND("|",BC178)+1,FIND("-",BC178)-FIND("|",BC178)-1))-VALUE(MID(BC178,FIND("-",BC178)+1,10)))))*$D$50)))))*$I178,0)),0)</f>
        <v>0</v>
      </c>
      <c r="BE178" s="404"/>
      <c r="BF178" s="363" t="s">
        <v>266</v>
      </c>
      <c r="BG178" s="356" t="n">
        <f aca="false">IFERROR(IF($M178=BF178,($D$8+$D$9+$D$10)*$I178,IF($N178=LEFT(BF178,1),($D$8+MAX(0,IF($D$50=1,$D$9*(1-(ABS($Q178-ABS(VALUE(MID(BF178,FIND("|",BF178)+1,FIND("-",BF178)-FIND("|",BF178)-1))-VALUE(MID(BF178,FIND("-",BF178)+1,10)))))*$D$50),$D$9*(1-(IF($N178="X",ABS($O178-VALUE(MID(BF178,FIND("|",BF178)+1,FIND("-",BF178)-FIND("|",BF178)-1))),ABS($Q178-ABS(VALUE(MID(BF178,FIND("|",BF178)+1,FIND("-",BF178)-FIND("|",BF178)-1))-VALUE(MID(BF178,FIND("-",BF178)+1,10)))))*$D$50)))))*$I178,0)),0)</f>
        <v>0</v>
      </c>
      <c r="BH178" s="404"/>
      <c r="BI178" s="363" t="s">
        <v>266</v>
      </c>
      <c r="BJ178" s="356" t="n">
        <f aca="false">IFERROR(IF($M178=BI178,($D$8+$D$9+$D$10)*$I178,IF($N178=LEFT(BI178,1),($D$8+MAX(0,IF($D$50=1,$D$9*(1-(ABS($Q178-ABS(VALUE(MID(BI178,FIND("|",BI178)+1,FIND("-",BI178)-FIND("|",BI178)-1))-VALUE(MID(BI178,FIND("-",BI178)+1,10)))))*$D$50),$D$9*(1-(IF($N178="X",ABS($O178-VALUE(MID(BI178,FIND("|",BI178)+1,FIND("-",BI178)-FIND("|",BI178)-1))),ABS($Q178-ABS(VALUE(MID(BI178,FIND("|",BI178)+1,FIND("-",BI178)-FIND("|",BI178)-1))-VALUE(MID(BI178,FIND("-",BI178)+1,10)))))*$D$50)))))*$I178,0)),0)</f>
        <v>0</v>
      </c>
      <c r="BK178" s="404"/>
      <c r="BL178" s="363" t="s">
        <v>288</v>
      </c>
      <c r="BM178" s="356" t="n">
        <f aca="false">IFERROR(IF($M178=BL178,($D$8+$D$9+$D$10)*$I178,IF($N178=LEFT(BL178,1),($D$8+MAX(0,IF($D$50=1,$D$9*(1-(ABS($Q178-ABS(VALUE(MID(BL178,FIND("|",BL178)+1,FIND("-",BL178)-FIND("|",BL178)-1))-VALUE(MID(BL178,FIND("-",BL178)+1,10)))))*$D$50),$D$9*(1-(IF($N178="X",ABS($O178-VALUE(MID(BL178,FIND("|",BL178)+1,FIND("-",BL178)-FIND("|",BL178)-1))),ABS($Q178-ABS(VALUE(MID(BL178,FIND("|",BL178)+1,FIND("-",BL178)-FIND("|",BL178)-1))-VALUE(MID(BL178,FIND("-",BL178)+1,10)))))*$D$50)))))*$I178,0)),0)</f>
        <v>0</v>
      </c>
      <c r="BN178" s="404"/>
      <c r="BO178" s="363" t="s">
        <v>288</v>
      </c>
      <c r="BP178" s="356" t="n">
        <f aca="false">IFERROR(IF($M178=BO178,($D$8+$D$9+$D$10)*$I178,IF($N178=LEFT(BO178,1),($D$8+MAX(0,IF($D$50=1,$D$9*(1-(ABS($Q178-ABS(VALUE(MID(BO178,FIND("|",BO178)+1,FIND("-",BO178)-FIND("|",BO178)-1))-VALUE(MID(BO178,FIND("-",BO178)+1,10)))))*$D$50),$D$9*(1-(IF($N178="X",ABS($O178-VALUE(MID(BO178,FIND("|",BO178)+1,FIND("-",BO178)-FIND("|",BO178)-1))),ABS($Q178-ABS(VALUE(MID(BO178,FIND("|",BO178)+1,FIND("-",BO178)-FIND("|",BO178)-1))-VALUE(MID(BO178,FIND("-",BO178)+1,10)))))*$D$50)))))*$I178,0)),0)</f>
        <v>0</v>
      </c>
      <c r="BQ178" s="404"/>
      <c r="BR178" s="363" t="s">
        <v>264</v>
      </c>
      <c r="BS178" s="356" t="n">
        <f aca="false">IFERROR(IF($M178=BR178,($D$8+$D$9+$D$10)*$I178,IF($N178=LEFT(BR178,1),($D$8+MAX(0,IF($D$50=1,$D$9*(1-(ABS($Q178-ABS(VALUE(MID(BR178,FIND("|",BR178)+1,FIND("-",BR178)-FIND("|",BR178)-1))-VALUE(MID(BR178,FIND("-",BR178)+1,10)))))*$D$50),$D$9*(1-(IF($N178="X",ABS($O178-VALUE(MID(BR178,FIND("|",BR178)+1,FIND("-",BR178)-FIND("|",BR178)-1))),ABS($Q178-ABS(VALUE(MID(BR178,FIND("|",BR178)+1,FIND("-",BR178)-FIND("|",BR178)-1))-VALUE(MID(BR178,FIND("-",BR178)+1,10)))))*$D$50)))))*$I178,0)),0)</f>
        <v>0</v>
      </c>
      <c r="BT178" s="404"/>
      <c r="BU178" s="363"/>
      <c r="BV178" s="356" t="n">
        <f aca="false">IFERROR(IF($M178=BU178,($D$8+$D$9+$D$10)*$I178,IF($N178=LEFT(BU178,1),($D$8+MAX(0,IF($D$50=1,$D$9*(1-(ABS($Q178-ABS(VALUE(MID(BU178,FIND("|",BU178)+1,FIND("-",BU178)-FIND("|",BU178)-1))-VALUE(MID(BU178,FIND("-",BU178)+1,10)))))*$D$50),$D$9*(1-(IF($N178="X",ABS($O178-VALUE(MID(BU178,FIND("|",BU178)+1,FIND("-",BU178)-FIND("|",BU178)-1))),ABS($Q178-ABS(VALUE(MID(BU178,FIND("|",BU178)+1,FIND("-",BU178)-FIND("|",BU178)-1))-VALUE(MID(BU178,FIND("-",BU178)+1,10)))))*$D$50)))))*$I178,0)),0)</f>
        <v>0</v>
      </c>
      <c r="BW178" s="404"/>
      <c r="BX178" s="363"/>
      <c r="BY178" s="356" t="n">
        <f aca="false">IFERROR(IF($M178=BX178,($D$8+$D$9+$D$10)*$I178,IF($N178=LEFT(BX178,1),($D$8+MAX(0,IF($D$50=1,$D$9*(1-(ABS($Q178-ABS(VALUE(MID(BX178,FIND("|",BX178)+1,FIND("-",BX178)-FIND("|",BX178)-1))-VALUE(MID(BX178,FIND("-",BX178)+1,10)))))*$D$50),$D$9*(1-(IF($N178="X",ABS($O178-VALUE(MID(BX178,FIND("|",BX178)+1,FIND("-",BX178)-FIND("|",BX178)-1))),ABS($Q178-ABS(VALUE(MID(BX178,FIND("|",BX178)+1,FIND("-",BX178)-FIND("|",BX178)-1))-VALUE(MID(BX178,FIND("-",BX178)+1,10)))))*$D$50)))))*$I178,0)),0)</f>
        <v>0</v>
      </c>
      <c r="BZ178" s="404"/>
      <c r="CA178" s="363"/>
      <c r="CB178" s="356" t="n">
        <f aca="false">IFERROR(IF($M178=CA178,($D$8+$D$9+$D$10)*$I178,IF($N178=LEFT(CA178,1),($D$8+MAX(0,IF($D$50=1,$D$9*(1-(ABS($Q178-ABS(VALUE(MID(CA178,FIND("|",CA178)+1,FIND("-",CA178)-FIND("|",CA178)-1))-VALUE(MID(CA178,FIND("-",CA178)+1,10)))))*$D$50),$D$9*(1-(IF($N178="X",ABS($O178-VALUE(MID(CA178,FIND("|",CA178)+1,FIND("-",CA178)-FIND("|",CA178)-1))),ABS($Q178-ABS(VALUE(MID(CA178,FIND("|",CA178)+1,FIND("-",CA178)-FIND("|",CA178)-1))-VALUE(MID(CA178,FIND("-",CA178)+1,10)))))*$D$50)))))*$I178,0)),0)</f>
        <v>0</v>
      </c>
      <c r="CC178" s="404"/>
      <c r="CD178" s="363"/>
      <c r="CE178" s="356" t="n">
        <f aca="false">IFERROR(IF($M178=CD178,($D$8+$D$9+$D$10)*$I178,IF($N178=LEFT(CD178,1),($D$8+MAX(0,IF($D$50=1,$D$9*(1-(ABS($Q178-ABS(VALUE(MID(CD178,FIND("|",CD178)+1,FIND("-",CD178)-FIND("|",CD178)-1))-VALUE(MID(CD178,FIND("-",CD178)+1,10)))))*$D$50),$D$9*(1-(IF($N178="X",ABS($O178-VALUE(MID(CD178,FIND("|",CD178)+1,FIND("-",CD178)-FIND("|",CD178)-1))),ABS($Q178-ABS(VALUE(MID(CD178,FIND("|",CD178)+1,FIND("-",CD178)-FIND("|",CD178)-1))-VALUE(MID(CD178,FIND("-",CD178)+1,10)))))*$D$50)))))*$I178,0)),0)</f>
        <v>0</v>
      </c>
      <c r="CF178" s="404"/>
      <c r="CG178" s="363"/>
      <c r="CH178" s="356" t="n">
        <f aca="false">IFERROR(IF($M178=CG178,($D$8+$D$9+$D$10)*$I178,IF($N178=LEFT(CG178,1),($D$8+MAX(0,IF($D$50=1,$D$9*(1-(ABS($Q178-ABS(VALUE(MID(CG178,FIND("|",CG178)+1,FIND("-",CG178)-FIND("|",CG178)-1))-VALUE(MID(CG178,FIND("-",CG178)+1,10)))))*$D$50),$D$9*(1-(IF($N178="X",ABS($O178-VALUE(MID(CG178,FIND("|",CG178)+1,FIND("-",CG178)-FIND("|",CG178)-1))),ABS($Q178-ABS(VALUE(MID(CG178,FIND("|",CG178)+1,FIND("-",CG178)-FIND("|",CG178)-1))-VALUE(MID(CG178,FIND("-",CG178)+1,10)))))*$D$50)))))*$I178,0)),0)</f>
        <v>0</v>
      </c>
      <c r="CI178" s="404"/>
      <c r="CJ178" s="363"/>
      <c r="CK178" s="356" t="n">
        <f aca="false">IFERROR(IF($M178=CJ178,($D$8+$D$9+$D$10)*$I178,IF($N178=LEFT(CJ178,1),($D$8+MAX(0,IF($D$50=1,$D$9*(1-(ABS($Q178-ABS(VALUE(MID(CJ178,FIND("|",CJ178)+1,FIND("-",CJ178)-FIND("|",CJ178)-1))-VALUE(MID(CJ178,FIND("-",CJ178)+1,10)))))*$D$50),$D$9*(1-(IF($N178="X",ABS($O178-VALUE(MID(CJ178,FIND("|",CJ178)+1,FIND("-",CJ178)-FIND("|",CJ178)-1))),ABS($Q178-ABS(VALUE(MID(CJ178,FIND("|",CJ178)+1,FIND("-",CJ178)-FIND("|",CJ178)-1))-VALUE(MID(CJ178,FIND("-",CJ178)+1,10)))))*$D$50)))))*$I178,0)),0)</f>
        <v>0</v>
      </c>
      <c r="CL178" s="404"/>
      <c r="CM178" s="363"/>
      <c r="CN178" s="356" t="n">
        <f aca="false">IFERROR(IF($M178=CM178,($D$8+$D$9+$D$10)*$I178,IF($N178=LEFT(CM178,1),($D$8+MAX(0,IF($D$50=1,$D$9*(1-(ABS($Q178-ABS(VALUE(MID(CM178,FIND("|",CM178)+1,FIND("-",CM178)-FIND("|",CM178)-1))-VALUE(MID(CM178,FIND("-",CM178)+1,10)))))*$D$50),$D$9*(1-(IF($N178="X",ABS($O178-VALUE(MID(CM178,FIND("|",CM178)+1,FIND("-",CM178)-FIND("|",CM178)-1))),ABS($Q178-ABS(VALUE(MID(CM178,FIND("|",CM178)+1,FIND("-",CM178)-FIND("|",CM178)-1))-VALUE(MID(CM178,FIND("-",CM178)+1,10)))))*$D$50)))))*$I178,0)),0)</f>
        <v>0</v>
      </c>
      <c r="CO178" s="404"/>
      <c r="CP178" s="363"/>
      <c r="CQ178" s="356" t="n">
        <f aca="false">IFERROR(IF($M178=CP178,($D$8+$D$9+$D$10)*$I178,IF($N178=LEFT(CP178,1),($D$8+MAX(0,IF($D$50=1,$D$9*(1-(ABS($Q178-ABS(VALUE(MID(CP178,FIND("|",CP178)+1,FIND("-",CP178)-FIND("|",CP178)-1))-VALUE(MID(CP178,FIND("-",CP178)+1,10)))))*$D$50),$D$9*(1-(IF($N178="X",ABS($O178-VALUE(MID(CP178,FIND("|",CP178)+1,FIND("-",CP178)-FIND("|",CP178)-1))),ABS($Q178-ABS(VALUE(MID(CP178,FIND("|",CP178)+1,FIND("-",CP178)-FIND("|",CP178)-1))-VALUE(MID(CP178,FIND("-",CP178)+1,10)))))*$D$50)))))*$I178,0)),0)</f>
        <v>0</v>
      </c>
      <c r="CR178" s="404"/>
      <c r="CS178" s="363"/>
      <c r="CT178" s="356" t="n">
        <f aca="false">IFERROR(IF($M178=CS178,($D$8+$D$9+$D$10)*$I178,IF($N178=LEFT(CS178,1),($D$8+MAX(0,IF($D$50=1,$D$9*(1-(ABS($Q178-ABS(VALUE(MID(CS178,FIND("|",CS178)+1,FIND("-",CS178)-FIND("|",CS178)-1))-VALUE(MID(CS178,FIND("-",CS178)+1,10)))))*$D$50),$D$9*(1-(IF($N178="X",ABS($O178-VALUE(MID(CS178,FIND("|",CS178)+1,FIND("-",CS178)-FIND("|",CS178)-1))),ABS($Q178-ABS(VALUE(MID(CS178,FIND("|",CS178)+1,FIND("-",CS178)-FIND("|",CS178)-1))-VALUE(MID(CS178,FIND("-",CS178)+1,10)))))*$D$50)))))*$I178,0)),0)</f>
        <v>0</v>
      </c>
      <c r="CU178" s="404"/>
      <c r="CV178" s="363"/>
      <c r="CW178" s="356" t="n">
        <f aca="false">IFERROR(IF($M178=CV178,($D$8+$D$9+$D$10)*$I178,IF($N178=LEFT(CV178,1),($D$8+MAX(0,IF($D$50=1,$D$9*(1-(ABS($Q178-ABS(VALUE(MID(CV178,FIND("|",CV178)+1,FIND("-",CV178)-FIND("|",CV178)-1))-VALUE(MID(CV178,FIND("-",CV178)+1,10)))))*$D$50),$D$9*(1-(IF($N178="X",ABS($O178-VALUE(MID(CV178,FIND("|",CV178)+1,FIND("-",CV178)-FIND("|",CV178)-1))),ABS($Q178-ABS(VALUE(MID(CV178,FIND("|",CV178)+1,FIND("-",CV178)-FIND("|",CV178)-1))-VALUE(MID(CV178,FIND("-",CV178)+1,10)))))*$D$50)))))*$I178,0)),0)</f>
        <v>0</v>
      </c>
      <c r="CX178" s="404"/>
      <c r="CY178" s="363"/>
      <c r="CZ178" s="356" t="n">
        <f aca="false">IFERROR(IF($M178=CY178,($D$8+$D$9+$D$10)*$I178,IF($N178=LEFT(CY178,1),($D$8+MAX(0,IF($D$50=1,$D$9*(1-(ABS($Q178-ABS(VALUE(MID(CY178,FIND("|",CY178)+1,FIND("-",CY178)-FIND("|",CY178)-1))-VALUE(MID(CY178,FIND("-",CY178)+1,10)))))*$D$50),$D$9*(1-(IF($N178="X",ABS($O178-VALUE(MID(CY178,FIND("|",CY178)+1,FIND("-",CY178)-FIND("|",CY178)-1))),ABS($Q178-ABS(VALUE(MID(CY178,FIND("|",CY178)+1,FIND("-",CY178)-FIND("|",CY178)-1))-VALUE(MID(CY178,FIND("-",CY178)+1,10)))))*$D$50)))))*$I178,0)),0)</f>
        <v>0</v>
      </c>
      <c r="DA178" s="404"/>
      <c r="DB178" s="363"/>
      <c r="DC178" s="356" t="n">
        <f aca="false">IFERROR(IF($M178=DB178,($D$8+$D$9+$D$10)*$I178,IF($N178=LEFT(DB178,1),($D$8+MAX(0,IF($D$50=1,$D$9*(1-(ABS($Q178-ABS(VALUE(MID(DB178,FIND("|",DB178)+1,FIND("-",DB178)-FIND("|",DB178)-1))-VALUE(MID(DB178,FIND("-",DB178)+1,10)))))*$D$50),$D$9*(1-(IF($N178="X",ABS($O178-VALUE(MID(DB178,FIND("|",DB178)+1,FIND("-",DB178)-FIND("|",DB178)-1))),ABS($Q178-ABS(VALUE(MID(DB178,FIND("|",DB178)+1,FIND("-",DB178)-FIND("|",DB178)-1))-VALUE(MID(DB178,FIND("-",DB178)+1,10)))))*$D$50)))))*$I178,0)),0)</f>
        <v>0</v>
      </c>
      <c r="DD178" s="404"/>
      <c r="DE178" s="363"/>
      <c r="DF178" s="356" t="n">
        <f aca="false">IFERROR(IF($M178=DE178,($D$8+$D$9+$D$10)*$I178,IF($N178=LEFT(DE178,1),($D$8+MAX(0,IF($D$50=1,$D$9*(1-(ABS($Q178-ABS(VALUE(MID(DE178,FIND("|",DE178)+1,FIND("-",DE178)-FIND("|",DE178)-1))-VALUE(MID(DE178,FIND("-",DE178)+1,10)))))*$D$50),$D$9*(1-(IF($N178="X",ABS($O178-VALUE(MID(DE178,FIND("|",DE178)+1,FIND("-",DE178)-FIND("|",DE178)-1))),ABS($Q178-ABS(VALUE(MID(DE178,FIND("|",DE178)+1,FIND("-",DE178)-FIND("|",DE178)-1))-VALUE(MID(DE178,FIND("-",DE178)+1,10)))))*$D$50)))))*$I178,0)),0)</f>
        <v>0</v>
      </c>
      <c r="DG178" s="404"/>
      <c r="DH178" s="363"/>
      <c r="DI178" s="356" t="n">
        <f aca="false">IFERROR(IF($M178=DH178,($D$8+$D$9+$D$10)*$I178,IF($N178=LEFT(DH178,1),($D$8+MAX(0,IF($D$50=1,$D$9*(1-(ABS($Q178-ABS(VALUE(MID(DH178,FIND("|",DH178)+1,FIND("-",DH178)-FIND("|",DH178)-1))-VALUE(MID(DH178,FIND("-",DH178)+1,10)))))*$D$50),$D$9*(1-(IF($N178="X",ABS($O178-VALUE(MID(DH178,FIND("|",DH178)+1,FIND("-",DH178)-FIND("|",DH178)-1))),ABS($Q178-ABS(VALUE(MID(DH178,FIND("|",DH178)+1,FIND("-",DH178)-FIND("|",DH178)-1))-VALUE(MID(DH178,FIND("-",DH178)+1,10)))))*$D$50)))))*$I178,0)),0)</f>
        <v>0</v>
      </c>
      <c r="DJ178" s="404"/>
      <c r="DK178" s="363"/>
      <c r="DL178" s="356" t="n">
        <f aca="false">IFERROR(IF($M178=DK178,($D$8+$D$9+$D$10)*$I178,IF($N178=LEFT(DK178,1),($D$8+MAX(0,IF($D$50=1,$D$9*(1-(ABS($Q178-ABS(VALUE(MID(DK178,FIND("|",DK178)+1,FIND("-",DK178)-FIND("|",DK178)-1))-VALUE(MID(DK178,FIND("-",DK178)+1,10)))))*$D$50),$D$9*(1-(IF($N178="X",ABS($O178-VALUE(MID(DK178,FIND("|",DK178)+1,FIND("-",DK178)-FIND("|",DK178)-1))),ABS($Q178-ABS(VALUE(MID(DK178,FIND("|",DK178)+1,FIND("-",DK178)-FIND("|",DK178)-1))-VALUE(MID(DK178,FIND("-",DK178)+1,10)))))*$D$50)))))*$I178,0)),0)</f>
        <v>0</v>
      </c>
      <c r="DM178" s="404"/>
      <c r="DN178" s="363"/>
      <c r="DO178" s="356" t="n">
        <f aca="false">IFERROR(IF($M178=DN178,($D$8+$D$9+$D$10)*$I178,IF($N178=LEFT(DN178,1),($D$8+MAX(0,IF($D$50=1,$D$9*(1-(ABS($Q178-ABS(VALUE(MID(DN178,FIND("|",DN178)+1,FIND("-",DN178)-FIND("|",DN178)-1))-VALUE(MID(DN178,FIND("-",DN178)+1,10)))))*$D$50),$D$9*(1-(IF($N178="X",ABS($O178-VALUE(MID(DN178,FIND("|",DN178)+1,FIND("-",DN178)-FIND("|",DN178)-1))),ABS($Q178-ABS(VALUE(MID(DN178,FIND("|",DN178)+1,FIND("-",DN178)-FIND("|",DN178)-1))-VALUE(MID(DN178,FIND("-",DN178)+1,10)))))*$D$50)))))*$I178,0)),0)</f>
        <v>0</v>
      </c>
      <c r="DP178" s="404"/>
      <c r="DQ178" s="363"/>
      <c r="DR178" s="356" t="n">
        <f aca="false">IFERROR(IF($M178=DQ178,($D$8+$D$9+$D$10)*$I178,IF($N178=LEFT(DQ178,1),($D$8+MAX(0,IF($D$50=1,$D$9*(1-(ABS($Q178-ABS(VALUE(MID(DQ178,FIND("|",DQ178)+1,FIND("-",DQ178)-FIND("|",DQ178)-1))-VALUE(MID(DQ178,FIND("-",DQ178)+1,10)))))*$D$50),$D$9*(1-(IF($N178="X",ABS($O178-VALUE(MID(DQ178,FIND("|",DQ178)+1,FIND("-",DQ178)-FIND("|",DQ178)-1))),ABS($Q178-ABS(VALUE(MID(DQ178,FIND("|",DQ178)+1,FIND("-",DQ178)-FIND("|",DQ178)-1))-VALUE(MID(DQ178,FIND("-",DQ178)+1,10)))))*$D$50)))))*$I178,0)),0)</f>
        <v>0</v>
      </c>
      <c r="DS178" s="404"/>
      <c r="DT178" s="363"/>
      <c r="DU178" s="356" t="n">
        <f aca="false">IFERROR(IF($M178=DT178,($D$8+$D$9+$D$10)*$I178,IF($N178=LEFT(DT178,1),($D$8+MAX(0,IF($D$50=1,$D$9*(1-(ABS($Q178-ABS(VALUE(MID(DT178,FIND("|",DT178)+1,FIND("-",DT178)-FIND("|",DT178)-1))-VALUE(MID(DT178,FIND("-",DT178)+1,10)))))*$D$50),$D$9*(1-(IF($N178="X",ABS($O178-VALUE(MID(DT178,FIND("|",DT178)+1,FIND("-",DT178)-FIND("|",DT178)-1))),ABS($Q178-ABS(VALUE(MID(DT178,FIND("|",DT178)+1,FIND("-",DT178)-FIND("|",DT178)-1))-VALUE(MID(DT178,FIND("-",DT178)+1,10)))))*$D$50)))))*$I178,0)),0)</f>
        <v>0</v>
      </c>
      <c r="DV178" s="404"/>
      <c r="DW178" s="363"/>
      <c r="DX178" s="356" t="n">
        <f aca="false">IFERROR(IF($M178=DW178,($D$8+$D$9+$D$10)*$I178,IF($N178=LEFT(DW178,1),($D$8+MAX(0,IF($D$50=1,$D$9*(1-(ABS($Q178-ABS(VALUE(MID(DW178,FIND("|",DW178)+1,FIND("-",DW178)-FIND("|",DW178)-1))-VALUE(MID(DW178,FIND("-",DW178)+1,10)))))*$D$50),$D$9*(1-(IF($N178="X",ABS($O178-VALUE(MID(DW178,FIND("|",DW178)+1,FIND("-",DW178)-FIND("|",DW178)-1))),ABS($Q178-ABS(VALUE(MID(DW178,FIND("|",DW178)+1,FIND("-",DW178)-FIND("|",DW178)-1))-VALUE(MID(DW178,FIND("-",DW178)+1,10)))))*$D$50)))))*$I178,0)),0)</f>
        <v>0</v>
      </c>
      <c r="DY178" s="404"/>
      <c r="DZ178" s="363"/>
      <c r="EA178" s="356" t="n">
        <f aca="false">IFERROR(IF($M178=DZ178,($D$8+$D$9+$D$10)*$I178,IF($N178=LEFT(DZ178,1),($D$8+MAX(0,IF($D$50=1,$D$9*(1-(ABS($Q178-ABS(VALUE(MID(DZ178,FIND("|",DZ178)+1,FIND("-",DZ178)-FIND("|",DZ178)-1))-VALUE(MID(DZ178,FIND("-",DZ178)+1,10)))))*$D$50),$D$9*(1-(IF($N178="X",ABS($O178-VALUE(MID(DZ178,FIND("|",DZ178)+1,FIND("-",DZ178)-FIND("|",DZ178)-1))),ABS($Q178-ABS(VALUE(MID(DZ178,FIND("|",DZ178)+1,FIND("-",DZ178)-FIND("|",DZ178)-1))-VALUE(MID(DZ178,FIND("-",DZ178)+1,10)))))*$D$50)))))*$I178,0)),0)</f>
        <v>0</v>
      </c>
      <c r="EB178" s="404"/>
      <c r="EC178" s="363"/>
      <c r="ED178" s="356" t="n">
        <f aca="false">IFERROR(IF($M178=EC178,($D$8+$D$9+$D$10)*$I178,IF($N178=LEFT(EC178,1),($D$8+MAX(0,IF($D$50=1,$D$9*(1-(ABS($Q178-ABS(VALUE(MID(EC178,FIND("|",EC178)+1,FIND("-",EC178)-FIND("|",EC178)-1))-VALUE(MID(EC178,FIND("-",EC178)+1,10)))))*$D$50),$D$9*(1-(IF($N178="X",ABS($O178-VALUE(MID(EC178,FIND("|",EC178)+1,FIND("-",EC178)-FIND("|",EC178)-1))),ABS($Q178-ABS(VALUE(MID(EC178,FIND("|",EC178)+1,FIND("-",EC178)-FIND("|",EC178)-1))-VALUE(MID(EC178,FIND("-",EC178)+1,10)))))*$D$50)))))*$I178,0)),0)</f>
        <v>0</v>
      </c>
      <c r="EE178" s="404"/>
      <c r="EF178" s="363"/>
      <c r="EG178" s="356" t="n">
        <f aca="false">IFERROR(IF($M178=EF178,($D$8+$D$9+$D$10)*$I178,IF($N178=LEFT(EF178,1),($D$8+MAX(0,IF($D$50=1,$D$9*(1-(ABS($Q178-ABS(VALUE(MID(EF178,FIND("|",EF178)+1,FIND("-",EF178)-FIND("|",EF178)-1))-VALUE(MID(EF178,FIND("-",EF178)+1,10)))))*$D$50),$D$9*(1-(IF($N178="X",ABS($O178-VALUE(MID(EF178,FIND("|",EF178)+1,FIND("-",EF178)-FIND("|",EF178)-1))),ABS($Q178-ABS(VALUE(MID(EF178,FIND("|",EF178)+1,FIND("-",EF178)-FIND("|",EF178)-1))-VALUE(MID(EF178,FIND("-",EF178)+1,10)))))*$D$50)))))*$I178,0)),0)</f>
        <v>0</v>
      </c>
      <c r="EH178" s="404"/>
      <c r="EI178" s="404"/>
    </row>
    <row r="179" customFormat="false" ht="15" hidden="false" customHeight="false" outlineLevel="0" collapsed="false">
      <c r="A179" s="332" t="n">
        <f aca="false">WORLDCUP!AD116</f>
        <v>0</v>
      </c>
      <c r="B179" s="332" t="n">
        <f aca="false">WORLDCUP!AC116</f>
        <v>0</v>
      </c>
      <c r="C179" s="422" t="str">
        <f aca="false">CONCATENATE(WORLDCUP!AF116,"-",WORLDCUP!AA116)</f>
        <v>3DEIJL-1K</v>
      </c>
      <c r="D179" s="422" t="str">
        <f aca="false">IF(WORLDCUP!AC116&gt;WORLDCUP!AD116,2,IF(WORLDCUP!AC116&lt;WORLDCUP!AD116,1,IF(AND(WORLDCUP!AC116=WORLDCUP!AD116,WORLDCUP!AC116&lt;&gt;"",WORLDCUP!AD116&lt;&gt;""),0,"PD")))</f>
        <v>PD</v>
      </c>
      <c r="E179" s="422" t="str">
        <f aca="false">IF(OR(WORLDCUP!AC116="",WORLDCUP!AD116=""),"-",A179&amp;"-"&amp;B179)</f>
        <v>-</v>
      </c>
      <c r="F179" s="423" t="n">
        <f aca="false">SUM($D$16:$D$18)*I179</f>
        <v>17</v>
      </c>
      <c r="G179" s="423" t="n">
        <f aca="false">VLOOKUP(H179,Equipos!$Q$1:$R$25,2,0)</f>
        <v>20</v>
      </c>
      <c r="H179" s="424" t="str">
        <f aca="false">Idiomas!$D$260</f>
        <v>Dieciseisavos de final</v>
      </c>
      <c r="I179" s="425" t="n">
        <v>1</v>
      </c>
      <c r="J179" s="418"/>
      <c r="K179" s="396" t="str">
        <f aca="false">CONCATENATE(WORLDCUP!AA116,"-",WORLDCUP!AF116)</f>
        <v>1K-3DEIJL</v>
      </c>
      <c r="L179" s="396"/>
      <c r="M179" s="359" t="str">
        <f aca="false">IF(OR(WORLDCUP!AC116="",WORLDCUP!AD116=""),"-",N179&amp;"|"&amp;O179&amp;"-"&amp;P179)</f>
        <v>-</v>
      </c>
      <c r="N179" s="332" t="str">
        <f aca="false">IF(OR(WORLDCUP!AC116="",WORLDCUP!AD116=""),"",IF(WORLDCUP!AC116&gt;WORLDCUP!AD116,"1",IF(WORLDCUP!AC116&lt;WORLDCUP!AD116,"2","X")))</f>
        <v/>
      </c>
      <c r="O179" s="332" t="n">
        <f aca="false">WORLDCUP!AC116</f>
        <v>0</v>
      </c>
      <c r="P179" s="332" t="n">
        <f aca="false">WORLDCUP!AD116</f>
        <v>0</v>
      </c>
      <c r="Q179" s="332" t="n">
        <f aca="false">ABS(O179-P179)</f>
        <v>0</v>
      </c>
      <c r="R179" s="404"/>
      <c r="S179" s="398" t="s">
        <v>288</v>
      </c>
      <c r="T179" s="356" t="n">
        <f aca="false">IFERROR(IF($M179=S179,($D$8+$D$9+$D$10)*$I179,IF($N179=LEFT(S179,1),($D$8+MAX(0,IF($D$50=1,$D$9*(1-(ABS($Q179-ABS(VALUE(MID(S179,FIND("|",S179)+1,FIND("-",S179)-FIND("|",S179)-1))-VALUE(MID(S179,FIND("-",S179)+1,10)))))*$D$50),$D$9*(1-(IF($N179="X",ABS($O179-VALUE(MID(S179,FIND("|",S179)+1,FIND("-",S179)-FIND("|",S179)-1))),ABS($Q179-ABS(VALUE(MID(S179,FIND("|",S179)+1,FIND("-",S179)-FIND("|",S179)-1))-VALUE(MID(S179,FIND("-",S179)+1,10)))))*$D$50)))))*$I179,0)),0)</f>
        <v>0</v>
      </c>
      <c r="U179" s="404"/>
      <c r="V179" s="398" t="s">
        <v>264</v>
      </c>
      <c r="W179" s="356" t="n">
        <f aca="false">IFERROR(IF($M179=V179,($D$8+$D$9+$D$10)*$I179,IF($N179=LEFT(V179,1),($D$8+MAX(0,IF($D$50=1,$D$9*(1-(ABS($Q179-ABS(VALUE(MID(V179,FIND("|",V179)+1,FIND("-",V179)-FIND("|",V179)-1))-VALUE(MID(V179,FIND("-",V179)+1,10)))))*$D$50),$D$9*(1-(IF($N179="X",ABS($O179-VALUE(MID(V179,FIND("|",V179)+1,FIND("-",V179)-FIND("|",V179)-1))),ABS($Q179-ABS(VALUE(MID(V179,FIND("|",V179)+1,FIND("-",V179)-FIND("|",V179)-1))-VALUE(MID(V179,FIND("-",V179)+1,10)))))*$D$50)))))*$I179,0)),0)</f>
        <v>0</v>
      </c>
      <c r="X179" s="404"/>
      <c r="Y179" s="398" t="s">
        <v>266</v>
      </c>
      <c r="Z179" s="356" t="n">
        <f aca="false">IFERROR(IF($M179=Y179,($D$8+$D$9+$D$10)*$I179,IF($N179=LEFT(Y179,1),($D$8+MAX(0,IF($D$50=1,$D$9*(1-(ABS($Q179-ABS(VALUE(MID(Y179,FIND("|",Y179)+1,FIND("-",Y179)-FIND("|",Y179)-1))-VALUE(MID(Y179,FIND("-",Y179)+1,10)))))*$D$50),$D$9*(1-(IF($N179="X",ABS($O179-VALUE(MID(Y179,FIND("|",Y179)+1,FIND("-",Y179)-FIND("|",Y179)-1))),ABS($Q179-ABS(VALUE(MID(Y179,FIND("|",Y179)+1,FIND("-",Y179)-FIND("|",Y179)-1))-VALUE(MID(Y179,FIND("-",Y179)+1,10)))))*$D$50)))))*$I179,0)),0)</f>
        <v>0</v>
      </c>
      <c r="AA179" s="404"/>
      <c r="AB179" s="398" t="s">
        <v>264</v>
      </c>
      <c r="AC179" s="356" t="n">
        <f aca="false">IFERROR(IF($M179=AB179,($D$8+$D$9+$D$10)*$I179,IF($N179=LEFT(AB179,1),($D$8+MAX(0,IF($D$50=1,$D$9*(1-(ABS($Q179-ABS(VALUE(MID(AB179,FIND("|",AB179)+1,FIND("-",AB179)-FIND("|",AB179)-1))-VALUE(MID(AB179,FIND("-",AB179)+1,10)))))*$D$50),$D$9*(1-(IF($N179="X",ABS($O179-VALUE(MID(AB179,FIND("|",AB179)+1,FIND("-",AB179)-FIND("|",AB179)-1))),ABS($Q179-ABS(VALUE(MID(AB179,FIND("|",AB179)+1,FIND("-",AB179)-FIND("|",AB179)-1))-VALUE(MID(AB179,FIND("-",AB179)+1,10)))))*$D$50)))))*$I179,0)),0)</f>
        <v>0</v>
      </c>
      <c r="AD179" s="404"/>
      <c r="AE179" s="398" t="s">
        <v>283</v>
      </c>
      <c r="AF179" s="356" t="n">
        <f aca="false">IFERROR(IF($M179=AE179,($D$8+$D$9+$D$10)*$I179,IF($N179=LEFT(AE179,1),($D$8+MAX(0,IF($D$50=1,$D$9*(1-(ABS($Q179-ABS(VALUE(MID(AE179,FIND("|",AE179)+1,FIND("-",AE179)-FIND("|",AE179)-1))-VALUE(MID(AE179,FIND("-",AE179)+1,10)))))*$D$50),$D$9*(1-(IF($N179="X",ABS($O179-VALUE(MID(AE179,FIND("|",AE179)+1,FIND("-",AE179)-FIND("|",AE179)-1))),ABS($Q179-ABS(VALUE(MID(AE179,FIND("|",AE179)+1,FIND("-",AE179)-FIND("|",AE179)-1))-VALUE(MID(AE179,FIND("-",AE179)+1,10)))))*$D$50)))))*$I179,0)),0)</f>
        <v>0</v>
      </c>
      <c r="AG179" s="404"/>
      <c r="AH179" s="398" t="s">
        <v>266</v>
      </c>
      <c r="AI179" s="356" t="n">
        <f aca="false">IFERROR(IF($M179=AH179,($D$8+$D$9+$D$10)*$I179,IF($N179=LEFT(AH179,1),($D$8+MAX(0,IF($D$50=1,$D$9*(1-(ABS($Q179-ABS(VALUE(MID(AH179,FIND("|",AH179)+1,FIND("-",AH179)-FIND("|",AH179)-1))-VALUE(MID(AH179,FIND("-",AH179)+1,10)))))*$D$50),$D$9*(1-(IF($N179="X",ABS($O179-VALUE(MID(AH179,FIND("|",AH179)+1,FIND("-",AH179)-FIND("|",AH179)-1))),ABS($Q179-ABS(VALUE(MID(AH179,FIND("|",AH179)+1,FIND("-",AH179)-FIND("|",AH179)-1))-VALUE(MID(AH179,FIND("-",AH179)+1,10)))))*$D$50)))))*$I179,0)),0)</f>
        <v>0</v>
      </c>
      <c r="AJ179" s="404"/>
      <c r="AK179" s="398" t="s">
        <v>266</v>
      </c>
      <c r="AL179" s="356" t="n">
        <f aca="false">IFERROR(IF($M179=AK179,($D$8+$D$9+$D$10)*$I179,IF($N179=LEFT(AK179,1),($D$8+MAX(0,IF($D$50=1,$D$9*(1-(ABS($Q179-ABS(VALUE(MID(AK179,FIND("|",AK179)+1,FIND("-",AK179)-FIND("|",AK179)-1))-VALUE(MID(AK179,FIND("-",AK179)+1,10)))))*$D$50),$D$9*(1-(IF($N179="X",ABS($O179-VALUE(MID(AK179,FIND("|",AK179)+1,FIND("-",AK179)-FIND("|",AK179)-1))),ABS($Q179-ABS(VALUE(MID(AK179,FIND("|",AK179)+1,FIND("-",AK179)-FIND("|",AK179)-1))-VALUE(MID(AK179,FIND("-",AK179)+1,10)))))*$D$50)))))*$I179,0)),0)</f>
        <v>0</v>
      </c>
      <c r="AM179" s="404"/>
      <c r="AN179" s="398" t="s">
        <v>272</v>
      </c>
      <c r="AO179" s="356" t="n">
        <f aca="false">IFERROR(IF($M179=AN179,($D$8+$D$9+$D$10)*$I179,IF($N179=LEFT(AN179,1),($D$8+MAX(0,IF($D$50=1,$D$9*(1-(ABS($Q179-ABS(VALUE(MID(AN179,FIND("|",AN179)+1,FIND("-",AN179)-FIND("|",AN179)-1))-VALUE(MID(AN179,FIND("-",AN179)+1,10)))))*$D$50),$D$9*(1-(IF($N179="X",ABS($O179-VALUE(MID(AN179,FIND("|",AN179)+1,FIND("-",AN179)-FIND("|",AN179)-1))),ABS($Q179-ABS(VALUE(MID(AN179,FIND("|",AN179)+1,FIND("-",AN179)-FIND("|",AN179)-1))-VALUE(MID(AN179,FIND("-",AN179)+1,10)))))*$D$50)))))*$I179,0)),0)</f>
        <v>0</v>
      </c>
      <c r="AP179" s="404"/>
      <c r="AQ179" s="398" t="s">
        <v>272</v>
      </c>
      <c r="AR179" s="356" t="n">
        <f aca="false">IFERROR(IF($M179=AQ179,($D$8+$D$9+$D$10)*$I179,IF($N179=LEFT(AQ179,1),($D$8+MAX(0,IF($D$50=1,$D$9*(1-(ABS($Q179-ABS(VALUE(MID(AQ179,FIND("|",AQ179)+1,FIND("-",AQ179)-FIND("|",AQ179)-1))-VALUE(MID(AQ179,FIND("-",AQ179)+1,10)))))*$D$50),$D$9*(1-(IF($N179="X",ABS($O179-VALUE(MID(AQ179,FIND("|",AQ179)+1,FIND("-",AQ179)-FIND("|",AQ179)-1))),ABS($Q179-ABS(VALUE(MID(AQ179,FIND("|",AQ179)+1,FIND("-",AQ179)-FIND("|",AQ179)-1))-VALUE(MID(AQ179,FIND("-",AQ179)+1,10)))))*$D$50)))))*$I179,0)),0)</f>
        <v>0</v>
      </c>
      <c r="AS179" s="404"/>
      <c r="AT179" s="398" t="s">
        <v>272</v>
      </c>
      <c r="AU179" s="356" t="n">
        <f aca="false">IFERROR(IF($M179=AT179,($D$8+$D$9+$D$10)*$I179,IF($N179=LEFT(AT179,1),($D$8+MAX(0,IF($D$50=1,$D$9*(1-(ABS($Q179-ABS(VALUE(MID(AT179,FIND("|",AT179)+1,FIND("-",AT179)-FIND("|",AT179)-1))-VALUE(MID(AT179,FIND("-",AT179)+1,10)))))*$D$50),$D$9*(1-(IF($N179="X",ABS($O179-VALUE(MID(AT179,FIND("|",AT179)+1,FIND("-",AT179)-FIND("|",AT179)-1))),ABS($Q179-ABS(VALUE(MID(AT179,FIND("|",AT179)+1,FIND("-",AT179)-FIND("|",AT179)-1))-VALUE(MID(AT179,FIND("-",AT179)+1,10)))))*$D$50)))))*$I179,0)),0)</f>
        <v>0</v>
      </c>
      <c r="AV179" s="404"/>
      <c r="AW179" s="398" t="s">
        <v>266</v>
      </c>
      <c r="AX179" s="356" t="n">
        <f aca="false">IFERROR(IF($M179=AW179,($D$8+$D$9+$D$10)*$I179,IF($N179=LEFT(AW179,1),($D$8+MAX(0,IF($D$50=1,$D$9*(1-(ABS($Q179-ABS(VALUE(MID(AW179,FIND("|",AW179)+1,FIND("-",AW179)-FIND("|",AW179)-1))-VALUE(MID(AW179,FIND("-",AW179)+1,10)))))*$D$50),$D$9*(1-(IF($N179="X",ABS($O179-VALUE(MID(AW179,FIND("|",AW179)+1,FIND("-",AW179)-FIND("|",AW179)-1))),ABS($Q179-ABS(VALUE(MID(AW179,FIND("|",AW179)+1,FIND("-",AW179)-FIND("|",AW179)-1))-VALUE(MID(AW179,FIND("-",AW179)+1,10)))))*$D$50)))))*$I179,0)),0)</f>
        <v>0</v>
      </c>
      <c r="AY179" s="404"/>
      <c r="AZ179" s="398" t="s">
        <v>266</v>
      </c>
      <c r="BA179" s="356" t="n">
        <f aca="false">IFERROR(IF($M179=AZ179,($D$8+$D$9+$D$10)*$I179,IF($N179=LEFT(AZ179,1),($D$8+MAX(0,IF($D$50=1,$D$9*(1-(ABS($Q179-ABS(VALUE(MID(AZ179,FIND("|",AZ179)+1,FIND("-",AZ179)-FIND("|",AZ179)-1))-VALUE(MID(AZ179,FIND("-",AZ179)+1,10)))))*$D$50),$D$9*(1-(IF($N179="X",ABS($O179-VALUE(MID(AZ179,FIND("|",AZ179)+1,FIND("-",AZ179)-FIND("|",AZ179)-1))),ABS($Q179-ABS(VALUE(MID(AZ179,FIND("|",AZ179)+1,FIND("-",AZ179)-FIND("|",AZ179)-1))-VALUE(MID(AZ179,FIND("-",AZ179)+1,10)))))*$D$50)))))*$I179,0)),0)</f>
        <v>0</v>
      </c>
      <c r="BB179" s="404"/>
      <c r="BC179" s="398" t="s">
        <v>277</v>
      </c>
      <c r="BD179" s="356" t="n">
        <f aca="false">IFERROR(IF($M179=BC179,($D$8+$D$9+$D$10)*$I179,IF($N179=LEFT(BC179,1),($D$8+MAX(0,IF($D$50=1,$D$9*(1-(ABS($Q179-ABS(VALUE(MID(BC179,FIND("|",BC179)+1,FIND("-",BC179)-FIND("|",BC179)-1))-VALUE(MID(BC179,FIND("-",BC179)+1,10)))))*$D$50),$D$9*(1-(IF($N179="X",ABS($O179-VALUE(MID(BC179,FIND("|",BC179)+1,FIND("-",BC179)-FIND("|",BC179)-1))),ABS($Q179-ABS(VALUE(MID(BC179,FIND("|",BC179)+1,FIND("-",BC179)-FIND("|",BC179)-1))-VALUE(MID(BC179,FIND("-",BC179)+1,10)))))*$D$50)))))*$I179,0)),0)</f>
        <v>0</v>
      </c>
      <c r="BE179" s="404"/>
      <c r="BF179" s="398" t="s">
        <v>279</v>
      </c>
      <c r="BG179" s="356" t="n">
        <f aca="false">IFERROR(IF($M179=BF179,($D$8+$D$9+$D$10)*$I179,IF($N179=LEFT(BF179,1),($D$8+MAX(0,IF($D$50=1,$D$9*(1-(ABS($Q179-ABS(VALUE(MID(BF179,FIND("|",BF179)+1,FIND("-",BF179)-FIND("|",BF179)-1))-VALUE(MID(BF179,FIND("-",BF179)+1,10)))))*$D$50),$D$9*(1-(IF($N179="X",ABS($O179-VALUE(MID(BF179,FIND("|",BF179)+1,FIND("-",BF179)-FIND("|",BF179)-1))),ABS($Q179-ABS(VALUE(MID(BF179,FIND("|",BF179)+1,FIND("-",BF179)-FIND("|",BF179)-1))-VALUE(MID(BF179,FIND("-",BF179)+1,10)))))*$D$50)))))*$I179,0)),0)</f>
        <v>0</v>
      </c>
      <c r="BH179" s="404"/>
      <c r="BI179" s="398" t="s">
        <v>266</v>
      </c>
      <c r="BJ179" s="356" t="n">
        <f aca="false">IFERROR(IF($M179=BI179,($D$8+$D$9+$D$10)*$I179,IF($N179=LEFT(BI179,1),($D$8+MAX(0,IF($D$50=1,$D$9*(1-(ABS($Q179-ABS(VALUE(MID(BI179,FIND("|",BI179)+1,FIND("-",BI179)-FIND("|",BI179)-1))-VALUE(MID(BI179,FIND("-",BI179)+1,10)))))*$D$50),$D$9*(1-(IF($N179="X",ABS($O179-VALUE(MID(BI179,FIND("|",BI179)+1,FIND("-",BI179)-FIND("|",BI179)-1))),ABS($Q179-ABS(VALUE(MID(BI179,FIND("|",BI179)+1,FIND("-",BI179)-FIND("|",BI179)-1))-VALUE(MID(BI179,FIND("-",BI179)+1,10)))))*$D$50)))))*$I179,0)),0)</f>
        <v>0</v>
      </c>
      <c r="BK179" s="404"/>
      <c r="BL179" s="398" t="s">
        <v>272</v>
      </c>
      <c r="BM179" s="356" t="n">
        <f aca="false">IFERROR(IF($M179=BL179,($D$8+$D$9+$D$10)*$I179,IF($N179=LEFT(BL179,1),($D$8+MAX(0,IF($D$50=1,$D$9*(1-(ABS($Q179-ABS(VALUE(MID(BL179,FIND("|",BL179)+1,FIND("-",BL179)-FIND("|",BL179)-1))-VALUE(MID(BL179,FIND("-",BL179)+1,10)))))*$D$50),$D$9*(1-(IF($N179="X",ABS($O179-VALUE(MID(BL179,FIND("|",BL179)+1,FIND("-",BL179)-FIND("|",BL179)-1))),ABS($Q179-ABS(VALUE(MID(BL179,FIND("|",BL179)+1,FIND("-",BL179)-FIND("|",BL179)-1))-VALUE(MID(BL179,FIND("-",BL179)+1,10)))))*$D$50)))))*$I179,0)),0)</f>
        <v>0</v>
      </c>
      <c r="BN179" s="404"/>
      <c r="BO179" s="398" t="s">
        <v>264</v>
      </c>
      <c r="BP179" s="356" t="n">
        <f aca="false">IFERROR(IF($M179=BO179,($D$8+$D$9+$D$10)*$I179,IF($N179=LEFT(BO179,1),($D$8+MAX(0,IF($D$50=1,$D$9*(1-(ABS($Q179-ABS(VALUE(MID(BO179,FIND("|",BO179)+1,FIND("-",BO179)-FIND("|",BO179)-1))-VALUE(MID(BO179,FIND("-",BO179)+1,10)))))*$D$50),$D$9*(1-(IF($N179="X",ABS($O179-VALUE(MID(BO179,FIND("|",BO179)+1,FIND("-",BO179)-FIND("|",BO179)-1))),ABS($Q179-ABS(VALUE(MID(BO179,FIND("|",BO179)+1,FIND("-",BO179)-FIND("|",BO179)-1))-VALUE(MID(BO179,FIND("-",BO179)+1,10)))))*$D$50)))))*$I179,0)),0)</f>
        <v>0</v>
      </c>
      <c r="BQ179" s="404"/>
      <c r="BR179" s="398" t="s">
        <v>264</v>
      </c>
      <c r="BS179" s="356" t="n">
        <f aca="false">IFERROR(IF($M179=BR179,($D$8+$D$9+$D$10)*$I179,IF($N179=LEFT(BR179,1),($D$8+MAX(0,IF($D$50=1,$D$9*(1-(ABS($Q179-ABS(VALUE(MID(BR179,FIND("|",BR179)+1,FIND("-",BR179)-FIND("|",BR179)-1))-VALUE(MID(BR179,FIND("-",BR179)+1,10)))))*$D$50),$D$9*(1-(IF($N179="X",ABS($O179-VALUE(MID(BR179,FIND("|",BR179)+1,FIND("-",BR179)-FIND("|",BR179)-1))),ABS($Q179-ABS(VALUE(MID(BR179,FIND("|",BR179)+1,FIND("-",BR179)-FIND("|",BR179)-1))-VALUE(MID(BR179,FIND("-",BR179)+1,10)))))*$D$50)))))*$I179,0)),0)</f>
        <v>0</v>
      </c>
      <c r="BT179" s="404"/>
      <c r="BU179" s="398"/>
      <c r="BV179" s="356" t="n">
        <f aca="false">IFERROR(IF($M179=BU179,($D$8+$D$9+$D$10)*$I179,IF($N179=LEFT(BU179,1),($D$8+MAX(0,IF($D$50=1,$D$9*(1-(ABS($Q179-ABS(VALUE(MID(BU179,FIND("|",BU179)+1,FIND("-",BU179)-FIND("|",BU179)-1))-VALUE(MID(BU179,FIND("-",BU179)+1,10)))))*$D$50),$D$9*(1-(IF($N179="X",ABS($O179-VALUE(MID(BU179,FIND("|",BU179)+1,FIND("-",BU179)-FIND("|",BU179)-1))),ABS($Q179-ABS(VALUE(MID(BU179,FIND("|",BU179)+1,FIND("-",BU179)-FIND("|",BU179)-1))-VALUE(MID(BU179,FIND("-",BU179)+1,10)))))*$D$50)))))*$I179,0)),0)</f>
        <v>0</v>
      </c>
      <c r="BW179" s="404"/>
      <c r="BX179" s="398"/>
      <c r="BY179" s="356" t="n">
        <f aca="false">IFERROR(IF($M179=BX179,($D$8+$D$9+$D$10)*$I179,IF($N179=LEFT(BX179,1),($D$8+MAX(0,IF($D$50=1,$D$9*(1-(ABS($Q179-ABS(VALUE(MID(BX179,FIND("|",BX179)+1,FIND("-",BX179)-FIND("|",BX179)-1))-VALUE(MID(BX179,FIND("-",BX179)+1,10)))))*$D$50),$D$9*(1-(IF($N179="X",ABS($O179-VALUE(MID(BX179,FIND("|",BX179)+1,FIND("-",BX179)-FIND("|",BX179)-1))),ABS($Q179-ABS(VALUE(MID(BX179,FIND("|",BX179)+1,FIND("-",BX179)-FIND("|",BX179)-1))-VALUE(MID(BX179,FIND("-",BX179)+1,10)))))*$D$50)))))*$I179,0)),0)</f>
        <v>0</v>
      </c>
      <c r="BZ179" s="404"/>
      <c r="CA179" s="398"/>
      <c r="CB179" s="356" t="n">
        <f aca="false">IFERROR(IF($M179=CA179,($D$8+$D$9+$D$10)*$I179,IF($N179=LEFT(CA179,1),($D$8+MAX(0,IF($D$50=1,$D$9*(1-(ABS($Q179-ABS(VALUE(MID(CA179,FIND("|",CA179)+1,FIND("-",CA179)-FIND("|",CA179)-1))-VALUE(MID(CA179,FIND("-",CA179)+1,10)))))*$D$50),$D$9*(1-(IF($N179="X",ABS($O179-VALUE(MID(CA179,FIND("|",CA179)+1,FIND("-",CA179)-FIND("|",CA179)-1))),ABS($Q179-ABS(VALUE(MID(CA179,FIND("|",CA179)+1,FIND("-",CA179)-FIND("|",CA179)-1))-VALUE(MID(CA179,FIND("-",CA179)+1,10)))))*$D$50)))))*$I179,0)),0)</f>
        <v>0</v>
      </c>
      <c r="CC179" s="404"/>
      <c r="CD179" s="398"/>
      <c r="CE179" s="356" t="n">
        <f aca="false">IFERROR(IF($M179=CD179,($D$8+$D$9+$D$10)*$I179,IF($N179=LEFT(CD179,1),($D$8+MAX(0,IF($D$50=1,$D$9*(1-(ABS($Q179-ABS(VALUE(MID(CD179,FIND("|",CD179)+1,FIND("-",CD179)-FIND("|",CD179)-1))-VALUE(MID(CD179,FIND("-",CD179)+1,10)))))*$D$50),$D$9*(1-(IF($N179="X",ABS($O179-VALUE(MID(CD179,FIND("|",CD179)+1,FIND("-",CD179)-FIND("|",CD179)-1))),ABS($Q179-ABS(VALUE(MID(CD179,FIND("|",CD179)+1,FIND("-",CD179)-FIND("|",CD179)-1))-VALUE(MID(CD179,FIND("-",CD179)+1,10)))))*$D$50)))))*$I179,0)),0)</f>
        <v>0</v>
      </c>
      <c r="CF179" s="404"/>
      <c r="CG179" s="398"/>
      <c r="CH179" s="356" t="n">
        <f aca="false">IFERROR(IF($M179=CG179,($D$8+$D$9+$D$10)*$I179,IF($N179=LEFT(CG179,1),($D$8+MAX(0,IF($D$50=1,$D$9*(1-(ABS($Q179-ABS(VALUE(MID(CG179,FIND("|",CG179)+1,FIND("-",CG179)-FIND("|",CG179)-1))-VALUE(MID(CG179,FIND("-",CG179)+1,10)))))*$D$50),$D$9*(1-(IF($N179="X",ABS($O179-VALUE(MID(CG179,FIND("|",CG179)+1,FIND("-",CG179)-FIND("|",CG179)-1))),ABS($Q179-ABS(VALUE(MID(CG179,FIND("|",CG179)+1,FIND("-",CG179)-FIND("|",CG179)-1))-VALUE(MID(CG179,FIND("-",CG179)+1,10)))))*$D$50)))))*$I179,0)),0)</f>
        <v>0</v>
      </c>
      <c r="CI179" s="404"/>
      <c r="CJ179" s="398"/>
      <c r="CK179" s="356" t="n">
        <f aca="false">IFERROR(IF($M179=CJ179,($D$8+$D$9+$D$10)*$I179,IF($N179=LEFT(CJ179,1),($D$8+MAX(0,IF($D$50=1,$D$9*(1-(ABS($Q179-ABS(VALUE(MID(CJ179,FIND("|",CJ179)+1,FIND("-",CJ179)-FIND("|",CJ179)-1))-VALUE(MID(CJ179,FIND("-",CJ179)+1,10)))))*$D$50),$D$9*(1-(IF($N179="X",ABS($O179-VALUE(MID(CJ179,FIND("|",CJ179)+1,FIND("-",CJ179)-FIND("|",CJ179)-1))),ABS($Q179-ABS(VALUE(MID(CJ179,FIND("|",CJ179)+1,FIND("-",CJ179)-FIND("|",CJ179)-1))-VALUE(MID(CJ179,FIND("-",CJ179)+1,10)))))*$D$50)))))*$I179,0)),0)</f>
        <v>0</v>
      </c>
      <c r="CL179" s="404"/>
      <c r="CM179" s="398"/>
      <c r="CN179" s="356" t="n">
        <f aca="false">IFERROR(IF($M179=CM179,($D$8+$D$9+$D$10)*$I179,IF($N179=LEFT(CM179,1),($D$8+MAX(0,IF($D$50=1,$D$9*(1-(ABS($Q179-ABS(VALUE(MID(CM179,FIND("|",CM179)+1,FIND("-",CM179)-FIND("|",CM179)-1))-VALUE(MID(CM179,FIND("-",CM179)+1,10)))))*$D$50),$D$9*(1-(IF($N179="X",ABS($O179-VALUE(MID(CM179,FIND("|",CM179)+1,FIND("-",CM179)-FIND("|",CM179)-1))),ABS($Q179-ABS(VALUE(MID(CM179,FIND("|",CM179)+1,FIND("-",CM179)-FIND("|",CM179)-1))-VALUE(MID(CM179,FIND("-",CM179)+1,10)))))*$D$50)))))*$I179,0)),0)</f>
        <v>0</v>
      </c>
      <c r="CO179" s="404"/>
      <c r="CP179" s="398"/>
      <c r="CQ179" s="356" t="n">
        <f aca="false">IFERROR(IF($M179=CP179,($D$8+$D$9+$D$10)*$I179,IF($N179=LEFT(CP179,1),($D$8+MAX(0,IF($D$50=1,$D$9*(1-(ABS($Q179-ABS(VALUE(MID(CP179,FIND("|",CP179)+1,FIND("-",CP179)-FIND("|",CP179)-1))-VALUE(MID(CP179,FIND("-",CP179)+1,10)))))*$D$50),$D$9*(1-(IF($N179="X",ABS($O179-VALUE(MID(CP179,FIND("|",CP179)+1,FIND("-",CP179)-FIND("|",CP179)-1))),ABS($Q179-ABS(VALUE(MID(CP179,FIND("|",CP179)+1,FIND("-",CP179)-FIND("|",CP179)-1))-VALUE(MID(CP179,FIND("-",CP179)+1,10)))))*$D$50)))))*$I179,0)),0)</f>
        <v>0</v>
      </c>
      <c r="CR179" s="404"/>
      <c r="CS179" s="398"/>
      <c r="CT179" s="356" t="n">
        <f aca="false">IFERROR(IF($M179=CS179,($D$8+$D$9+$D$10)*$I179,IF($N179=LEFT(CS179,1),($D$8+MAX(0,IF($D$50=1,$D$9*(1-(ABS($Q179-ABS(VALUE(MID(CS179,FIND("|",CS179)+1,FIND("-",CS179)-FIND("|",CS179)-1))-VALUE(MID(CS179,FIND("-",CS179)+1,10)))))*$D$50),$D$9*(1-(IF($N179="X",ABS($O179-VALUE(MID(CS179,FIND("|",CS179)+1,FIND("-",CS179)-FIND("|",CS179)-1))),ABS($Q179-ABS(VALUE(MID(CS179,FIND("|",CS179)+1,FIND("-",CS179)-FIND("|",CS179)-1))-VALUE(MID(CS179,FIND("-",CS179)+1,10)))))*$D$50)))))*$I179,0)),0)</f>
        <v>0</v>
      </c>
      <c r="CU179" s="404"/>
      <c r="CV179" s="398"/>
      <c r="CW179" s="356" t="n">
        <f aca="false">IFERROR(IF($M179=CV179,($D$8+$D$9+$D$10)*$I179,IF($N179=LEFT(CV179,1),($D$8+MAX(0,IF($D$50=1,$D$9*(1-(ABS($Q179-ABS(VALUE(MID(CV179,FIND("|",CV179)+1,FIND("-",CV179)-FIND("|",CV179)-1))-VALUE(MID(CV179,FIND("-",CV179)+1,10)))))*$D$50),$D$9*(1-(IF($N179="X",ABS($O179-VALUE(MID(CV179,FIND("|",CV179)+1,FIND("-",CV179)-FIND("|",CV179)-1))),ABS($Q179-ABS(VALUE(MID(CV179,FIND("|",CV179)+1,FIND("-",CV179)-FIND("|",CV179)-1))-VALUE(MID(CV179,FIND("-",CV179)+1,10)))))*$D$50)))))*$I179,0)),0)</f>
        <v>0</v>
      </c>
      <c r="CX179" s="404"/>
      <c r="CY179" s="398"/>
      <c r="CZ179" s="356" t="n">
        <f aca="false">IFERROR(IF($M179=CY179,($D$8+$D$9+$D$10)*$I179,IF($N179=LEFT(CY179,1),($D$8+MAX(0,IF($D$50=1,$D$9*(1-(ABS($Q179-ABS(VALUE(MID(CY179,FIND("|",CY179)+1,FIND("-",CY179)-FIND("|",CY179)-1))-VALUE(MID(CY179,FIND("-",CY179)+1,10)))))*$D$50),$D$9*(1-(IF($N179="X",ABS($O179-VALUE(MID(CY179,FIND("|",CY179)+1,FIND("-",CY179)-FIND("|",CY179)-1))),ABS($Q179-ABS(VALUE(MID(CY179,FIND("|",CY179)+1,FIND("-",CY179)-FIND("|",CY179)-1))-VALUE(MID(CY179,FIND("-",CY179)+1,10)))))*$D$50)))))*$I179,0)),0)</f>
        <v>0</v>
      </c>
      <c r="DA179" s="404"/>
      <c r="DB179" s="398"/>
      <c r="DC179" s="356" t="n">
        <f aca="false">IFERROR(IF($M179=DB179,($D$8+$D$9+$D$10)*$I179,IF($N179=LEFT(DB179,1),($D$8+MAX(0,IF($D$50=1,$D$9*(1-(ABS($Q179-ABS(VALUE(MID(DB179,FIND("|",DB179)+1,FIND("-",DB179)-FIND("|",DB179)-1))-VALUE(MID(DB179,FIND("-",DB179)+1,10)))))*$D$50),$D$9*(1-(IF($N179="X",ABS($O179-VALUE(MID(DB179,FIND("|",DB179)+1,FIND("-",DB179)-FIND("|",DB179)-1))),ABS($Q179-ABS(VALUE(MID(DB179,FIND("|",DB179)+1,FIND("-",DB179)-FIND("|",DB179)-1))-VALUE(MID(DB179,FIND("-",DB179)+1,10)))))*$D$50)))))*$I179,0)),0)</f>
        <v>0</v>
      </c>
      <c r="DD179" s="404"/>
      <c r="DE179" s="398"/>
      <c r="DF179" s="356" t="n">
        <f aca="false">IFERROR(IF($M179=DE179,($D$8+$D$9+$D$10)*$I179,IF($N179=LEFT(DE179,1),($D$8+MAX(0,IF($D$50=1,$D$9*(1-(ABS($Q179-ABS(VALUE(MID(DE179,FIND("|",DE179)+1,FIND("-",DE179)-FIND("|",DE179)-1))-VALUE(MID(DE179,FIND("-",DE179)+1,10)))))*$D$50),$D$9*(1-(IF($N179="X",ABS($O179-VALUE(MID(DE179,FIND("|",DE179)+1,FIND("-",DE179)-FIND("|",DE179)-1))),ABS($Q179-ABS(VALUE(MID(DE179,FIND("|",DE179)+1,FIND("-",DE179)-FIND("|",DE179)-1))-VALUE(MID(DE179,FIND("-",DE179)+1,10)))))*$D$50)))))*$I179,0)),0)</f>
        <v>0</v>
      </c>
      <c r="DG179" s="404"/>
      <c r="DH179" s="398"/>
      <c r="DI179" s="356" t="n">
        <f aca="false">IFERROR(IF($M179=DH179,($D$8+$D$9+$D$10)*$I179,IF($N179=LEFT(DH179,1),($D$8+MAX(0,IF($D$50=1,$D$9*(1-(ABS($Q179-ABS(VALUE(MID(DH179,FIND("|",DH179)+1,FIND("-",DH179)-FIND("|",DH179)-1))-VALUE(MID(DH179,FIND("-",DH179)+1,10)))))*$D$50),$D$9*(1-(IF($N179="X",ABS($O179-VALUE(MID(DH179,FIND("|",DH179)+1,FIND("-",DH179)-FIND("|",DH179)-1))),ABS($Q179-ABS(VALUE(MID(DH179,FIND("|",DH179)+1,FIND("-",DH179)-FIND("|",DH179)-1))-VALUE(MID(DH179,FIND("-",DH179)+1,10)))))*$D$50)))))*$I179,0)),0)</f>
        <v>0</v>
      </c>
      <c r="DJ179" s="404"/>
      <c r="DK179" s="398"/>
      <c r="DL179" s="356" t="n">
        <f aca="false">IFERROR(IF($M179=DK179,($D$8+$D$9+$D$10)*$I179,IF($N179=LEFT(DK179,1),($D$8+MAX(0,IF($D$50=1,$D$9*(1-(ABS($Q179-ABS(VALUE(MID(DK179,FIND("|",DK179)+1,FIND("-",DK179)-FIND("|",DK179)-1))-VALUE(MID(DK179,FIND("-",DK179)+1,10)))))*$D$50),$D$9*(1-(IF($N179="X",ABS($O179-VALUE(MID(DK179,FIND("|",DK179)+1,FIND("-",DK179)-FIND("|",DK179)-1))),ABS($Q179-ABS(VALUE(MID(DK179,FIND("|",DK179)+1,FIND("-",DK179)-FIND("|",DK179)-1))-VALUE(MID(DK179,FIND("-",DK179)+1,10)))))*$D$50)))))*$I179,0)),0)</f>
        <v>0</v>
      </c>
      <c r="DM179" s="404"/>
      <c r="DN179" s="398"/>
      <c r="DO179" s="356" t="n">
        <f aca="false">IFERROR(IF($M179=DN179,($D$8+$D$9+$D$10)*$I179,IF($N179=LEFT(DN179,1),($D$8+MAX(0,IF($D$50=1,$D$9*(1-(ABS($Q179-ABS(VALUE(MID(DN179,FIND("|",DN179)+1,FIND("-",DN179)-FIND("|",DN179)-1))-VALUE(MID(DN179,FIND("-",DN179)+1,10)))))*$D$50),$D$9*(1-(IF($N179="X",ABS($O179-VALUE(MID(DN179,FIND("|",DN179)+1,FIND("-",DN179)-FIND("|",DN179)-1))),ABS($Q179-ABS(VALUE(MID(DN179,FIND("|",DN179)+1,FIND("-",DN179)-FIND("|",DN179)-1))-VALUE(MID(DN179,FIND("-",DN179)+1,10)))))*$D$50)))))*$I179,0)),0)</f>
        <v>0</v>
      </c>
      <c r="DP179" s="404"/>
      <c r="DQ179" s="398"/>
      <c r="DR179" s="356" t="n">
        <f aca="false">IFERROR(IF($M179=DQ179,($D$8+$D$9+$D$10)*$I179,IF($N179=LEFT(DQ179,1),($D$8+MAX(0,IF($D$50=1,$D$9*(1-(ABS($Q179-ABS(VALUE(MID(DQ179,FIND("|",DQ179)+1,FIND("-",DQ179)-FIND("|",DQ179)-1))-VALUE(MID(DQ179,FIND("-",DQ179)+1,10)))))*$D$50),$D$9*(1-(IF($N179="X",ABS($O179-VALUE(MID(DQ179,FIND("|",DQ179)+1,FIND("-",DQ179)-FIND("|",DQ179)-1))),ABS($Q179-ABS(VALUE(MID(DQ179,FIND("|",DQ179)+1,FIND("-",DQ179)-FIND("|",DQ179)-1))-VALUE(MID(DQ179,FIND("-",DQ179)+1,10)))))*$D$50)))))*$I179,0)),0)</f>
        <v>0</v>
      </c>
      <c r="DS179" s="404"/>
      <c r="DT179" s="398"/>
      <c r="DU179" s="356" t="n">
        <f aca="false">IFERROR(IF($M179=DT179,($D$8+$D$9+$D$10)*$I179,IF($N179=LEFT(DT179,1),($D$8+MAX(0,IF($D$50=1,$D$9*(1-(ABS($Q179-ABS(VALUE(MID(DT179,FIND("|",DT179)+1,FIND("-",DT179)-FIND("|",DT179)-1))-VALUE(MID(DT179,FIND("-",DT179)+1,10)))))*$D$50),$D$9*(1-(IF($N179="X",ABS($O179-VALUE(MID(DT179,FIND("|",DT179)+1,FIND("-",DT179)-FIND("|",DT179)-1))),ABS($Q179-ABS(VALUE(MID(DT179,FIND("|",DT179)+1,FIND("-",DT179)-FIND("|",DT179)-1))-VALUE(MID(DT179,FIND("-",DT179)+1,10)))))*$D$50)))))*$I179,0)),0)</f>
        <v>0</v>
      </c>
      <c r="DV179" s="404"/>
      <c r="DW179" s="398"/>
      <c r="DX179" s="356" t="n">
        <f aca="false">IFERROR(IF($M179=DW179,($D$8+$D$9+$D$10)*$I179,IF($N179=LEFT(DW179,1),($D$8+MAX(0,IF($D$50=1,$D$9*(1-(ABS($Q179-ABS(VALUE(MID(DW179,FIND("|",DW179)+1,FIND("-",DW179)-FIND("|",DW179)-1))-VALUE(MID(DW179,FIND("-",DW179)+1,10)))))*$D$50),$D$9*(1-(IF($N179="X",ABS($O179-VALUE(MID(DW179,FIND("|",DW179)+1,FIND("-",DW179)-FIND("|",DW179)-1))),ABS($Q179-ABS(VALUE(MID(DW179,FIND("|",DW179)+1,FIND("-",DW179)-FIND("|",DW179)-1))-VALUE(MID(DW179,FIND("-",DW179)+1,10)))))*$D$50)))))*$I179,0)),0)</f>
        <v>0</v>
      </c>
      <c r="DY179" s="404"/>
      <c r="DZ179" s="398"/>
      <c r="EA179" s="356" t="n">
        <f aca="false">IFERROR(IF($M179=DZ179,($D$8+$D$9+$D$10)*$I179,IF($N179=LEFT(DZ179,1),($D$8+MAX(0,IF($D$50=1,$D$9*(1-(ABS($Q179-ABS(VALUE(MID(DZ179,FIND("|",DZ179)+1,FIND("-",DZ179)-FIND("|",DZ179)-1))-VALUE(MID(DZ179,FIND("-",DZ179)+1,10)))))*$D$50),$D$9*(1-(IF($N179="X",ABS($O179-VALUE(MID(DZ179,FIND("|",DZ179)+1,FIND("-",DZ179)-FIND("|",DZ179)-1))),ABS($Q179-ABS(VALUE(MID(DZ179,FIND("|",DZ179)+1,FIND("-",DZ179)-FIND("|",DZ179)-1))-VALUE(MID(DZ179,FIND("-",DZ179)+1,10)))))*$D$50)))))*$I179,0)),0)</f>
        <v>0</v>
      </c>
      <c r="EB179" s="404"/>
      <c r="EC179" s="398"/>
      <c r="ED179" s="356" t="n">
        <f aca="false">IFERROR(IF($M179=EC179,($D$8+$D$9+$D$10)*$I179,IF($N179=LEFT(EC179,1),($D$8+MAX(0,IF($D$50=1,$D$9*(1-(ABS($Q179-ABS(VALUE(MID(EC179,FIND("|",EC179)+1,FIND("-",EC179)-FIND("|",EC179)-1))-VALUE(MID(EC179,FIND("-",EC179)+1,10)))))*$D$50),$D$9*(1-(IF($N179="X",ABS($O179-VALUE(MID(EC179,FIND("|",EC179)+1,FIND("-",EC179)-FIND("|",EC179)-1))),ABS($Q179-ABS(VALUE(MID(EC179,FIND("|",EC179)+1,FIND("-",EC179)-FIND("|",EC179)-1))-VALUE(MID(EC179,FIND("-",EC179)+1,10)))))*$D$50)))))*$I179,0)),0)</f>
        <v>0</v>
      </c>
      <c r="EE179" s="404"/>
      <c r="EF179" s="398"/>
      <c r="EG179" s="356" t="n">
        <f aca="false">IFERROR(IF($M179=EF179,($D$8+$D$9+$D$10)*$I179,IF($N179=LEFT(EF179,1),($D$8+MAX(0,IF($D$50=1,$D$9*(1-(ABS($Q179-ABS(VALUE(MID(EF179,FIND("|",EF179)+1,FIND("-",EF179)-FIND("|",EF179)-1))-VALUE(MID(EF179,FIND("-",EF179)+1,10)))))*$D$50),$D$9*(1-(IF($N179="X",ABS($O179-VALUE(MID(EF179,FIND("|",EF179)+1,FIND("-",EF179)-FIND("|",EF179)-1))),ABS($Q179-ABS(VALUE(MID(EF179,FIND("|",EF179)+1,FIND("-",EF179)-FIND("|",EF179)-1))-VALUE(MID(EF179,FIND("-",EF179)+1,10)))))*$D$50)))))*$I179,0)),0)</f>
        <v>0</v>
      </c>
      <c r="EH179" s="404"/>
      <c r="EI179" s="404"/>
    </row>
    <row r="180" customFormat="false" ht="15" hidden="false" customHeight="false" outlineLevel="0" collapsed="false">
      <c r="A180" s="332"/>
      <c r="B180" s="332"/>
      <c r="C180" s="422"/>
      <c r="D180" s="422"/>
      <c r="E180" s="422"/>
      <c r="F180" s="423"/>
      <c r="G180" s="423"/>
      <c r="H180" s="424"/>
      <c r="I180" s="410"/>
      <c r="J180" s="413"/>
      <c r="K180" s="414" t="str">
        <f aca="false">Idiomas!D458</f>
        <v>Partidos 1/16</v>
      </c>
      <c r="L180" s="415"/>
      <c r="M180" s="414" t="str">
        <f aca="false">"Max: "&amp;SUM($D$16:$D$18)*SUM($I$164:$I$179)</f>
        <v>Max: 272</v>
      </c>
      <c r="N180" s="332"/>
      <c r="O180" s="332"/>
      <c r="P180" s="332"/>
      <c r="Q180" s="332"/>
      <c r="R180" s="327"/>
      <c r="S180" s="416"/>
      <c r="T180" s="347" t="n">
        <f aca="false">SUM(T164:T179)</f>
        <v>0</v>
      </c>
      <c r="U180" s="338"/>
      <c r="V180" s="416"/>
      <c r="W180" s="347" t="n">
        <f aca="false">SUM(W164:W179)</f>
        <v>0</v>
      </c>
      <c r="X180" s="338"/>
      <c r="Y180" s="416"/>
      <c r="Z180" s="347" t="n">
        <f aca="false">SUM(Z164:Z179)</f>
        <v>0</v>
      </c>
      <c r="AA180" s="338"/>
      <c r="AB180" s="416"/>
      <c r="AC180" s="347" t="n">
        <f aca="false">SUM(AC164:AC179)</f>
        <v>0</v>
      </c>
      <c r="AD180" s="338"/>
      <c r="AE180" s="416"/>
      <c r="AF180" s="347" t="n">
        <f aca="false">SUM(AF164:AF179)</f>
        <v>0</v>
      </c>
      <c r="AG180" s="338"/>
      <c r="AH180" s="416"/>
      <c r="AI180" s="347" t="n">
        <f aca="false">SUM(AI164:AI179)</f>
        <v>0</v>
      </c>
      <c r="AJ180" s="338"/>
      <c r="AK180" s="416"/>
      <c r="AL180" s="347" t="n">
        <f aca="false">SUM(AL164:AL179)</f>
        <v>0</v>
      </c>
      <c r="AM180" s="338"/>
      <c r="AN180" s="416"/>
      <c r="AO180" s="347" t="n">
        <f aca="false">SUM(AO164:AO179)</f>
        <v>0</v>
      </c>
      <c r="AP180" s="338"/>
      <c r="AQ180" s="416"/>
      <c r="AR180" s="347" t="n">
        <f aca="false">SUM(AR164:AR179)</f>
        <v>0</v>
      </c>
      <c r="AS180" s="338"/>
      <c r="AT180" s="416"/>
      <c r="AU180" s="347" t="n">
        <f aca="false">SUM(AU164:AU179)</f>
        <v>0</v>
      </c>
      <c r="AV180" s="338"/>
      <c r="AW180" s="416"/>
      <c r="AX180" s="347" t="n">
        <f aca="false">SUM(AX164:AX179)</f>
        <v>0</v>
      </c>
      <c r="AY180" s="338"/>
      <c r="AZ180" s="416"/>
      <c r="BA180" s="347" t="n">
        <f aca="false">SUM(BA164:BA179)</f>
        <v>0</v>
      </c>
      <c r="BB180" s="338"/>
      <c r="BC180" s="416"/>
      <c r="BD180" s="347" t="n">
        <f aca="false">SUM(BD164:BD179)</f>
        <v>0</v>
      </c>
      <c r="BE180" s="338"/>
      <c r="BF180" s="416"/>
      <c r="BG180" s="347" t="n">
        <f aca="false">SUM(BG164:BG179)</f>
        <v>0</v>
      </c>
      <c r="BH180" s="338"/>
      <c r="BI180" s="416"/>
      <c r="BJ180" s="347" t="n">
        <f aca="false">SUM(BJ164:BJ179)</f>
        <v>0</v>
      </c>
      <c r="BK180" s="338"/>
      <c r="BL180" s="416"/>
      <c r="BM180" s="347" t="n">
        <f aca="false">SUM(BM164:BM179)</f>
        <v>0</v>
      </c>
      <c r="BN180" s="338"/>
      <c r="BO180" s="416" t="s">
        <v>384</v>
      </c>
      <c r="BP180" s="347" t="n">
        <f aca="false">SUM(BP164:BP179)</f>
        <v>0</v>
      </c>
      <c r="BQ180" s="338"/>
      <c r="BR180" s="416"/>
      <c r="BS180" s="347" t="n">
        <f aca="false">SUM(BS164:BS179)</f>
        <v>0</v>
      </c>
      <c r="BT180" s="338"/>
      <c r="BU180" s="416"/>
      <c r="BV180" s="347" t="n">
        <f aca="false">SUM(BV164:BV179)</f>
        <v>0</v>
      </c>
      <c r="BW180" s="338"/>
      <c r="BX180" s="416"/>
      <c r="BY180" s="347" t="n">
        <f aca="false">SUM(BY164:BY179)</f>
        <v>0</v>
      </c>
      <c r="BZ180" s="338"/>
      <c r="CA180" s="416"/>
      <c r="CB180" s="347" t="n">
        <f aca="false">SUM(CB164:CB179)</f>
        <v>0</v>
      </c>
      <c r="CC180" s="338"/>
      <c r="CD180" s="416"/>
      <c r="CE180" s="347" t="n">
        <f aca="false">SUM(CE164:CE179)</f>
        <v>0</v>
      </c>
      <c r="CF180" s="338"/>
      <c r="CG180" s="416"/>
      <c r="CH180" s="347" t="n">
        <f aca="false">SUM(CH164:CH179)</f>
        <v>0</v>
      </c>
      <c r="CI180" s="338"/>
      <c r="CJ180" s="416"/>
      <c r="CK180" s="347" t="n">
        <f aca="false">SUM(CK164:CK179)</f>
        <v>0</v>
      </c>
      <c r="CL180" s="338"/>
      <c r="CM180" s="416"/>
      <c r="CN180" s="347" t="n">
        <f aca="false">SUM(CN164:CN179)</f>
        <v>0</v>
      </c>
      <c r="CO180" s="338"/>
      <c r="CP180" s="416"/>
      <c r="CQ180" s="347" t="n">
        <f aca="false">SUM(CQ164:CQ179)</f>
        <v>0</v>
      </c>
      <c r="CR180" s="338"/>
      <c r="CS180" s="416"/>
      <c r="CT180" s="347" t="n">
        <f aca="false">SUM(CT164:CT179)</f>
        <v>0</v>
      </c>
      <c r="CU180" s="338"/>
      <c r="CV180" s="416"/>
      <c r="CW180" s="347" t="n">
        <f aca="false">SUM(CW164:CW179)</f>
        <v>0</v>
      </c>
      <c r="CX180" s="338"/>
      <c r="CY180" s="416"/>
      <c r="CZ180" s="347" t="n">
        <f aca="false">SUM(CZ164:CZ179)</f>
        <v>0</v>
      </c>
      <c r="DA180" s="338"/>
      <c r="DB180" s="416"/>
      <c r="DC180" s="347" t="n">
        <f aca="false">SUM(DC164:DC179)</f>
        <v>0</v>
      </c>
      <c r="DD180" s="338"/>
      <c r="DE180" s="416"/>
      <c r="DF180" s="347" t="n">
        <f aca="false">SUM(DF164:DF179)</f>
        <v>0</v>
      </c>
      <c r="DG180" s="338"/>
      <c r="DH180" s="416"/>
      <c r="DI180" s="347" t="n">
        <f aca="false">SUM(DI164:DI179)</f>
        <v>0</v>
      </c>
      <c r="DJ180" s="338"/>
      <c r="DK180" s="416"/>
      <c r="DL180" s="347" t="n">
        <f aca="false">SUM(DL164:DL179)</f>
        <v>0</v>
      </c>
      <c r="DM180" s="338"/>
      <c r="DN180" s="416"/>
      <c r="DO180" s="347" t="n">
        <f aca="false">SUM(DO164:DO179)</f>
        <v>0</v>
      </c>
      <c r="DP180" s="338"/>
      <c r="DQ180" s="416"/>
      <c r="DR180" s="347" t="n">
        <f aca="false">SUM(DR164:DR179)</f>
        <v>0</v>
      </c>
      <c r="DS180" s="338"/>
      <c r="DT180" s="416"/>
      <c r="DU180" s="347" t="n">
        <f aca="false">SUM(DU164:DU179)</f>
        <v>0</v>
      </c>
      <c r="DV180" s="338"/>
      <c r="DW180" s="416"/>
      <c r="DX180" s="347" t="n">
        <f aca="false">SUM(DX164:DX179)</f>
        <v>0</v>
      </c>
      <c r="DY180" s="338"/>
      <c r="DZ180" s="416"/>
      <c r="EA180" s="347" t="n">
        <f aca="false">SUM(EA164:EA179)</f>
        <v>0</v>
      </c>
      <c r="EB180" s="338"/>
      <c r="EC180" s="416"/>
      <c r="ED180" s="347" t="n">
        <f aca="false">SUM(ED164:ED179)</f>
        <v>0</v>
      </c>
      <c r="EE180" s="338"/>
      <c r="EF180" s="416"/>
      <c r="EG180" s="347" t="n">
        <f aca="false">SUM(EG164:EG179)</f>
        <v>0</v>
      </c>
      <c r="EH180" s="338"/>
      <c r="EI180" s="338"/>
    </row>
    <row r="181" customFormat="false" ht="15" hidden="false" customHeight="false" outlineLevel="0" collapsed="false">
      <c r="A181" s="332"/>
      <c r="B181" s="332"/>
      <c r="C181" s="422"/>
      <c r="D181" s="422"/>
      <c r="E181" s="422"/>
      <c r="F181" s="423"/>
      <c r="G181" s="423"/>
      <c r="H181" s="424"/>
      <c r="I181" s="410"/>
      <c r="J181" s="413"/>
      <c r="K181" s="346" t="str">
        <f aca="false">Idiomas!D139</f>
        <v>CLASIFICADOS PARA OCTAVOS</v>
      </c>
      <c r="L181" s="333"/>
      <c r="M181" s="347"/>
      <c r="N181" s="332"/>
      <c r="O181" s="332"/>
      <c r="P181" s="332"/>
      <c r="Q181" s="332"/>
      <c r="R181" s="327"/>
      <c r="S181" s="416"/>
      <c r="T181" s="347"/>
      <c r="U181" s="338"/>
      <c r="V181" s="416"/>
      <c r="W181" s="347"/>
      <c r="X181" s="338"/>
      <c r="Y181" s="416"/>
      <c r="Z181" s="347"/>
      <c r="AA181" s="338"/>
      <c r="AB181" s="416"/>
      <c r="AC181" s="347"/>
      <c r="AD181" s="338"/>
      <c r="AE181" s="416"/>
      <c r="AF181" s="347"/>
      <c r="AG181" s="338"/>
      <c r="AH181" s="416"/>
      <c r="AI181" s="347"/>
      <c r="AJ181" s="338"/>
      <c r="AK181" s="416"/>
      <c r="AL181" s="347"/>
      <c r="AM181" s="338"/>
      <c r="AN181" s="416"/>
      <c r="AO181" s="347"/>
      <c r="AP181" s="338"/>
      <c r="AQ181" s="416"/>
      <c r="AR181" s="347"/>
      <c r="AS181" s="338"/>
      <c r="AT181" s="416"/>
      <c r="AU181" s="347"/>
      <c r="AV181" s="338"/>
      <c r="AW181" s="416"/>
      <c r="AX181" s="347"/>
      <c r="AY181" s="338"/>
      <c r="AZ181" s="416"/>
      <c r="BA181" s="347"/>
      <c r="BB181" s="338"/>
      <c r="BC181" s="416"/>
      <c r="BD181" s="347"/>
      <c r="BE181" s="338"/>
      <c r="BF181" s="416"/>
      <c r="BG181" s="347"/>
      <c r="BH181" s="338"/>
      <c r="BI181" s="416"/>
      <c r="BJ181" s="347"/>
      <c r="BK181" s="338"/>
      <c r="BL181" s="416"/>
      <c r="BM181" s="347"/>
      <c r="BN181" s="338"/>
      <c r="BO181" s="416"/>
      <c r="BP181" s="347"/>
      <c r="BQ181" s="338"/>
      <c r="BR181" s="416"/>
      <c r="BS181" s="347"/>
      <c r="BT181" s="338"/>
      <c r="BU181" s="416"/>
      <c r="BV181" s="347"/>
      <c r="BW181" s="338"/>
      <c r="BX181" s="416"/>
      <c r="BY181" s="347"/>
      <c r="BZ181" s="338"/>
      <c r="CA181" s="416"/>
      <c r="CB181" s="347"/>
      <c r="CC181" s="338"/>
      <c r="CD181" s="416"/>
      <c r="CE181" s="347"/>
      <c r="CF181" s="338"/>
      <c r="CG181" s="416"/>
      <c r="CH181" s="347"/>
      <c r="CI181" s="338"/>
      <c r="CJ181" s="416"/>
      <c r="CK181" s="347"/>
      <c r="CL181" s="338"/>
      <c r="CM181" s="416"/>
      <c r="CN181" s="347"/>
      <c r="CO181" s="338"/>
      <c r="CP181" s="416"/>
      <c r="CQ181" s="347"/>
      <c r="CR181" s="338"/>
      <c r="CS181" s="416"/>
      <c r="CT181" s="347"/>
      <c r="CU181" s="338"/>
      <c r="CV181" s="416"/>
      <c r="CW181" s="347"/>
      <c r="CX181" s="338"/>
      <c r="CY181" s="416"/>
      <c r="CZ181" s="347"/>
      <c r="DA181" s="338"/>
      <c r="DB181" s="416"/>
      <c r="DC181" s="347"/>
      <c r="DD181" s="338"/>
      <c r="DE181" s="416"/>
      <c r="DF181" s="347"/>
      <c r="DG181" s="338"/>
      <c r="DH181" s="416"/>
      <c r="DI181" s="347"/>
      <c r="DJ181" s="338"/>
      <c r="DK181" s="416"/>
      <c r="DL181" s="347"/>
      <c r="DM181" s="338"/>
      <c r="DN181" s="416"/>
      <c r="DO181" s="347"/>
      <c r="DP181" s="338"/>
      <c r="DQ181" s="416"/>
      <c r="DR181" s="347"/>
      <c r="DS181" s="338"/>
      <c r="DT181" s="416"/>
      <c r="DU181" s="347"/>
      <c r="DV181" s="338"/>
      <c r="DW181" s="416"/>
      <c r="DX181" s="347"/>
      <c r="DY181" s="338"/>
      <c r="DZ181" s="416"/>
      <c r="EA181" s="347"/>
      <c r="EB181" s="338"/>
      <c r="EC181" s="416"/>
      <c r="ED181" s="347"/>
      <c r="EE181" s="338"/>
      <c r="EF181" s="416"/>
      <c r="EG181" s="347"/>
      <c r="EH181" s="338"/>
      <c r="EI181" s="338"/>
    </row>
    <row r="182" customFormat="false" ht="15" hidden="false" customHeight="false" outlineLevel="0" collapsed="false">
      <c r="A182" s="332"/>
      <c r="B182" s="332"/>
      <c r="C182" s="422"/>
      <c r="D182" s="422"/>
      <c r="E182" s="422"/>
      <c r="F182" s="423" t="n">
        <f aca="false">$D$19</f>
        <v>4</v>
      </c>
      <c r="G182" s="423" t="n">
        <f aca="false">VLOOKUP(H182,Equipos!$Q$1:$R$25,2,0)</f>
        <v>20</v>
      </c>
      <c r="H182" s="424" t="str">
        <f aca="false">Idiomas!$D$260</f>
        <v>Dieciseisavos de final</v>
      </c>
      <c r="I182" s="410"/>
      <c r="J182" s="418" t="s">
        <v>181</v>
      </c>
      <c r="K182" s="354" t="str">
        <f aca="false">Idiomas!$D$199&amp;"-"&amp;ROWS($L$182:L182)</f>
        <v>Octavofinalista-1</v>
      </c>
      <c r="L182" s="354"/>
      <c r="M182" s="359" t="str">
        <f aca="false">WORLDCUP!AA120</f>
        <v>W73</v>
      </c>
      <c r="N182" s="332"/>
      <c r="O182" s="332"/>
      <c r="P182" s="332"/>
      <c r="Q182" s="332"/>
      <c r="R182" s="404"/>
      <c r="S182" s="370" t="s">
        <v>332</v>
      </c>
      <c r="T182" s="371" t="n">
        <f aca="false">COUNTIF($M$182:$M$197,S182)*$D$19</f>
        <v>0</v>
      </c>
      <c r="U182" s="407"/>
      <c r="V182" s="370" t="s">
        <v>333</v>
      </c>
      <c r="W182" s="371" t="n">
        <f aca="false">COUNTIF($M$182:$M$197,V182)*$D$19</f>
        <v>0</v>
      </c>
      <c r="X182" s="407"/>
      <c r="Y182" s="370" t="s">
        <v>337</v>
      </c>
      <c r="Z182" s="371" t="n">
        <f aca="false">COUNTIF($M$182:$M$197,Y182)*$D$19</f>
        <v>0</v>
      </c>
      <c r="AA182" s="407"/>
      <c r="AB182" s="370" t="s">
        <v>331</v>
      </c>
      <c r="AC182" s="371" t="n">
        <f aca="false">COUNTIF($M$182:$M$197,AB182)*$D$19</f>
        <v>0</v>
      </c>
      <c r="AD182" s="407"/>
      <c r="AE182" s="370" t="s">
        <v>331</v>
      </c>
      <c r="AF182" s="371" t="n">
        <f aca="false">COUNTIF($M$182:$M$197,AE182)*$D$19</f>
        <v>0</v>
      </c>
      <c r="AG182" s="407"/>
      <c r="AH182" s="370" t="s">
        <v>333</v>
      </c>
      <c r="AI182" s="371" t="n">
        <f aca="false">COUNTIF($M$182:$M$197,AH182)*$D$19</f>
        <v>0</v>
      </c>
      <c r="AJ182" s="407"/>
      <c r="AK182" s="370" t="s">
        <v>333</v>
      </c>
      <c r="AL182" s="371" t="n">
        <f aca="false">COUNTIF($M$182:$M$197,AK182)*$D$19</f>
        <v>0</v>
      </c>
      <c r="AM182" s="407"/>
      <c r="AN182" s="370" t="s">
        <v>333</v>
      </c>
      <c r="AO182" s="371" t="n">
        <f aca="false">COUNTIF($M$182:$M$197,AN182)*$D$19</f>
        <v>0</v>
      </c>
      <c r="AP182" s="407"/>
      <c r="AQ182" s="370" t="s">
        <v>331</v>
      </c>
      <c r="AR182" s="371" t="n">
        <f aca="false">COUNTIF($M$182:$M$197,AQ182)*$D$19</f>
        <v>0</v>
      </c>
      <c r="AS182" s="407"/>
      <c r="AT182" s="370" t="s">
        <v>336</v>
      </c>
      <c r="AU182" s="371" t="n">
        <f aca="false">COUNTIF($M$182:$M$197,AT182)*$D$19</f>
        <v>0</v>
      </c>
      <c r="AV182" s="407"/>
      <c r="AW182" s="370" t="s">
        <v>333</v>
      </c>
      <c r="AX182" s="371" t="n">
        <f aca="false">COUNTIF($M$182:$M$197,AW182)*$D$19</f>
        <v>0</v>
      </c>
      <c r="AY182" s="407"/>
      <c r="AZ182" s="370" t="s">
        <v>332</v>
      </c>
      <c r="BA182" s="371" t="n">
        <f aca="false">COUNTIF($M$182:$M$197,AZ182)*$D$19</f>
        <v>0</v>
      </c>
      <c r="BB182" s="407"/>
      <c r="BC182" s="370" t="s">
        <v>332</v>
      </c>
      <c r="BD182" s="371" t="n">
        <f aca="false">COUNTIF($M$182:$M$197,BC182)*$D$19</f>
        <v>0</v>
      </c>
      <c r="BE182" s="407"/>
      <c r="BF182" s="370" t="s">
        <v>337</v>
      </c>
      <c r="BG182" s="371" t="n">
        <f aca="false">COUNTIF($M$182:$M$197,BF182)*$D$19</f>
        <v>0</v>
      </c>
      <c r="BH182" s="407"/>
      <c r="BI182" s="370" t="s">
        <v>333</v>
      </c>
      <c r="BJ182" s="371" t="n">
        <f aca="false">COUNTIF($M$182:$M$197,BI182)*$D$19</f>
        <v>0</v>
      </c>
      <c r="BK182" s="407"/>
      <c r="BL182" s="370" t="s">
        <v>337</v>
      </c>
      <c r="BM182" s="371" t="n">
        <f aca="false">COUNTIF($M$182:$M$197,BL182)*$D$19</f>
        <v>0</v>
      </c>
      <c r="BN182" s="407"/>
      <c r="BO182" s="370" t="s">
        <v>332</v>
      </c>
      <c r="BP182" s="371" t="n">
        <f aca="false">COUNTIF($M$182:$M$197,BO182)*$D$19</f>
        <v>0</v>
      </c>
      <c r="BQ182" s="407"/>
      <c r="BR182" s="370" t="s">
        <v>333</v>
      </c>
      <c r="BS182" s="371" t="n">
        <f aca="false">COUNTIF($M$182:$M$197,BR182)*$D$19</f>
        <v>0</v>
      </c>
      <c r="BT182" s="407"/>
      <c r="BU182" s="370"/>
      <c r="BV182" s="371" t="n">
        <f aca="false">COUNTIF($M$182:$M$197,BU182)*$D$19</f>
        <v>0</v>
      </c>
      <c r="BW182" s="407"/>
      <c r="BX182" s="370"/>
      <c r="BY182" s="371" t="n">
        <f aca="false">COUNTIF($M$182:$M$197,BX182)*$D$19</f>
        <v>0</v>
      </c>
      <c r="BZ182" s="407"/>
      <c r="CA182" s="370"/>
      <c r="CB182" s="371" t="n">
        <f aca="false">COUNTIF($M$182:$M$197,CA182)*$D$19</f>
        <v>0</v>
      </c>
      <c r="CC182" s="407"/>
      <c r="CD182" s="370"/>
      <c r="CE182" s="371" t="n">
        <f aca="false">COUNTIF($M$182:$M$197,CD182)*$D$19</f>
        <v>0</v>
      </c>
      <c r="CF182" s="407"/>
      <c r="CG182" s="370"/>
      <c r="CH182" s="371" t="n">
        <f aca="false">COUNTIF($M$182:$M$197,CG182)*$D$19</f>
        <v>0</v>
      </c>
      <c r="CI182" s="407"/>
      <c r="CJ182" s="370"/>
      <c r="CK182" s="371" t="n">
        <f aca="false">COUNTIF($M$182:$M$197,CJ182)*$D$19</f>
        <v>0</v>
      </c>
      <c r="CL182" s="407"/>
      <c r="CM182" s="370"/>
      <c r="CN182" s="371" t="n">
        <f aca="false">COUNTIF($M$182:$M$197,CM182)*$D$19</f>
        <v>0</v>
      </c>
      <c r="CO182" s="407"/>
      <c r="CP182" s="370"/>
      <c r="CQ182" s="371" t="n">
        <f aca="false">COUNTIF($M$182:$M$197,CP182)*$D$19</f>
        <v>0</v>
      </c>
      <c r="CR182" s="407"/>
      <c r="CS182" s="370"/>
      <c r="CT182" s="371" t="n">
        <f aca="false">COUNTIF($M$182:$M$197,CS182)*$D$19</f>
        <v>0</v>
      </c>
      <c r="CU182" s="407"/>
      <c r="CV182" s="370"/>
      <c r="CW182" s="371" t="n">
        <f aca="false">COUNTIF($M$182:$M$197,CV182)*$D$19</f>
        <v>0</v>
      </c>
      <c r="CX182" s="407"/>
      <c r="CY182" s="370"/>
      <c r="CZ182" s="371" t="n">
        <f aca="false">COUNTIF($M$182:$M$197,CY182)*$D$19</f>
        <v>0</v>
      </c>
      <c r="DA182" s="407"/>
      <c r="DB182" s="370"/>
      <c r="DC182" s="371" t="n">
        <f aca="false">COUNTIF($M$182:$M$197,DB182)*$D$19</f>
        <v>0</v>
      </c>
      <c r="DD182" s="407"/>
      <c r="DE182" s="370"/>
      <c r="DF182" s="371" t="n">
        <f aca="false">COUNTIF($M$182:$M$197,DE182)*$D$19</f>
        <v>0</v>
      </c>
      <c r="DG182" s="407"/>
      <c r="DH182" s="370"/>
      <c r="DI182" s="371" t="n">
        <f aca="false">COUNTIF($M$182:$M$197,DH182)*$D$19</f>
        <v>0</v>
      </c>
      <c r="DJ182" s="407"/>
      <c r="DK182" s="370"/>
      <c r="DL182" s="371" t="n">
        <f aca="false">COUNTIF($M$182:$M$197,DK182)*$D$19</f>
        <v>0</v>
      </c>
      <c r="DM182" s="407"/>
      <c r="DN182" s="370"/>
      <c r="DO182" s="371" t="n">
        <f aca="false">COUNTIF($M$182:$M$197,DN182)*$D$19</f>
        <v>0</v>
      </c>
      <c r="DP182" s="407"/>
      <c r="DQ182" s="370"/>
      <c r="DR182" s="371" t="n">
        <f aca="false">COUNTIF($M$182:$M$197,DQ182)*$D$19</f>
        <v>0</v>
      </c>
      <c r="DS182" s="407"/>
      <c r="DT182" s="370"/>
      <c r="DU182" s="371" t="n">
        <f aca="false">COUNTIF($M$182:$M$197,DT182)*$D$19</f>
        <v>0</v>
      </c>
      <c r="DV182" s="407"/>
      <c r="DW182" s="370"/>
      <c r="DX182" s="371" t="n">
        <f aca="false">COUNTIF($M$182:$M$197,DW182)*$D$19</f>
        <v>0</v>
      </c>
      <c r="DY182" s="407"/>
      <c r="DZ182" s="370"/>
      <c r="EA182" s="371" t="n">
        <f aca="false">COUNTIF($M$182:$M$197,DZ182)*$D$19</f>
        <v>0</v>
      </c>
      <c r="EB182" s="407"/>
      <c r="EC182" s="370"/>
      <c r="ED182" s="371" t="n">
        <f aca="false">COUNTIF($M$182:$M$197,EC182)*$D$19</f>
        <v>0</v>
      </c>
      <c r="EE182" s="407"/>
      <c r="EF182" s="370"/>
      <c r="EG182" s="371" t="n">
        <f aca="false">COUNTIF($M$182:$M$197,EF182)*$D$19</f>
        <v>0</v>
      </c>
      <c r="EH182" s="407"/>
      <c r="EI182" s="407"/>
    </row>
    <row r="183" customFormat="false" ht="15" hidden="false" customHeight="false" outlineLevel="0" collapsed="false">
      <c r="A183" s="332"/>
      <c r="B183" s="332"/>
      <c r="C183" s="422"/>
      <c r="D183" s="422"/>
      <c r="E183" s="422"/>
      <c r="F183" s="423" t="n">
        <f aca="false">$D$19</f>
        <v>4</v>
      </c>
      <c r="G183" s="423" t="n">
        <f aca="false">VLOOKUP(H183,Equipos!$Q$1:$R$25,2,0)</f>
        <v>20</v>
      </c>
      <c r="H183" s="424" t="str">
        <f aca="false">Idiomas!$D$260</f>
        <v>Dieciseisavos de final</v>
      </c>
      <c r="I183" s="410"/>
      <c r="J183" s="418"/>
      <c r="K183" s="367" t="str">
        <f aca="false">Idiomas!$D$199&amp;"-"&amp;ROWS($L$182:L183)</f>
        <v>Octavofinalista-2</v>
      </c>
      <c r="L183" s="354"/>
      <c r="M183" s="359" t="str">
        <f aca="false">WORLDCUP!AA121</f>
        <v>W74</v>
      </c>
      <c r="N183" s="332"/>
      <c r="O183" s="332"/>
      <c r="P183" s="332"/>
      <c r="Q183" s="332"/>
      <c r="R183" s="404"/>
      <c r="S183" s="363" t="s">
        <v>347</v>
      </c>
      <c r="T183" s="356" t="n">
        <f aca="false">COUNTIF($M$182:$M$197,S183)*$D$19</f>
        <v>0</v>
      </c>
      <c r="U183" s="407"/>
      <c r="V183" s="363" t="s">
        <v>347</v>
      </c>
      <c r="W183" s="356" t="n">
        <f aca="false">COUNTIF($M$182:$M$197,V183)*$D$19</f>
        <v>0</v>
      </c>
      <c r="X183" s="407"/>
      <c r="Y183" s="363" t="s">
        <v>347</v>
      </c>
      <c r="Z183" s="356" t="n">
        <f aca="false">COUNTIF($M$182:$M$197,Y183)*$D$19</f>
        <v>0</v>
      </c>
      <c r="AA183" s="407"/>
      <c r="AB183" s="363" t="s">
        <v>347</v>
      </c>
      <c r="AC183" s="356" t="n">
        <f aca="false">COUNTIF($M$182:$M$197,AB183)*$D$19</f>
        <v>0</v>
      </c>
      <c r="AD183" s="407"/>
      <c r="AE183" s="363" t="s">
        <v>347</v>
      </c>
      <c r="AF183" s="356" t="n">
        <f aca="false">COUNTIF($M$182:$M$197,AE183)*$D$19</f>
        <v>0</v>
      </c>
      <c r="AG183" s="407"/>
      <c r="AH183" s="363" t="s">
        <v>347</v>
      </c>
      <c r="AI183" s="356" t="n">
        <f aca="false">COUNTIF($M$182:$M$197,AH183)*$D$19</f>
        <v>0</v>
      </c>
      <c r="AJ183" s="407"/>
      <c r="AK183" s="363" t="s">
        <v>347</v>
      </c>
      <c r="AL183" s="356" t="n">
        <f aca="false">COUNTIF($M$182:$M$197,AK183)*$D$19</f>
        <v>0</v>
      </c>
      <c r="AM183" s="407"/>
      <c r="AN183" s="363" t="s">
        <v>347</v>
      </c>
      <c r="AO183" s="356" t="n">
        <f aca="false">COUNTIF($M$182:$M$197,AN183)*$D$19</f>
        <v>0</v>
      </c>
      <c r="AP183" s="407"/>
      <c r="AQ183" s="363" t="s">
        <v>347</v>
      </c>
      <c r="AR183" s="356" t="n">
        <f aca="false">COUNTIF($M$182:$M$197,AQ183)*$D$19</f>
        <v>0</v>
      </c>
      <c r="AS183" s="407"/>
      <c r="AT183" s="363" t="s">
        <v>347</v>
      </c>
      <c r="AU183" s="356" t="n">
        <f aca="false">COUNTIF($M$182:$M$197,AT183)*$D$19</f>
        <v>0</v>
      </c>
      <c r="AV183" s="407"/>
      <c r="AW183" s="363" t="s">
        <v>347</v>
      </c>
      <c r="AX183" s="356" t="n">
        <f aca="false">COUNTIF($M$182:$M$197,AW183)*$D$19</f>
        <v>0</v>
      </c>
      <c r="AY183" s="407"/>
      <c r="AZ183" s="363" t="s">
        <v>347</v>
      </c>
      <c r="BA183" s="356" t="n">
        <f aca="false">COUNTIF($M$182:$M$197,AZ183)*$D$19</f>
        <v>0</v>
      </c>
      <c r="BB183" s="407"/>
      <c r="BC183" s="363" t="s">
        <v>347</v>
      </c>
      <c r="BD183" s="356" t="n">
        <f aca="false">COUNTIF($M$182:$M$197,BC183)*$D$19</f>
        <v>0</v>
      </c>
      <c r="BE183" s="407"/>
      <c r="BF183" s="363" t="s">
        <v>347</v>
      </c>
      <c r="BG183" s="356" t="n">
        <f aca="false">COUNTIF($M$182:$M$197,BF183)*$D$19</f>
        <v>0</v>
      </c>
      <c r="BH183" s="407"/>
      <c r="BI183" s="363" t="s">
        <v>347</v>
      </c>
      <c r="BJ183" s="356" t="n">
        <f aca="false">COUNTIF($M$182:$M$197,BI183)*$D$19</f>
        <v>0</v>
      </c>
      <c r="BK183" s="407"/>
      <c r="BL183" s="363" t="s">
        <v>347</v>
      </c>
      <c r="BM183" s="356" t="n">
        <f aca="false">COUNTIF($M$182:$M$197,BL183)*$D$19</f>
        <v>0</v>
      </c>
      <c r="BN183" s="407"/>
      <c r="BO183" s="363" t="s">
        <v>347</v>
      </c>
      <c r="BP183" s="356" t="n">
        <f aca="false">COUNTIF($M$182:$M$197,BO183)*$D$19</f>
        <v>0</v>
      </c>
      <c r="BQ183" s="407"/>
      <c r="BR183" s="363" t="s">
        <v>347</v>
      </c>
      <c r="BS183" s="356" t="n">
        <f aca="false">COUNTIF($M$182:$M$197,BR183)*$D$19</f>
        <v>0</v>
      </c>
      <c r="BT183" s="407"/>
      <c r="BU183" s="363"/>
      <c r="BV183" s="356" t="n">
        <f aca="false">COUNTIF($M$182:$M$197,BU183)*$D$19</f>
        <v>0</v>
      </c>
      <c r="BW183" s="407"/>
      <c r="BX183" s="363"/>
      <c r="BY183" s="356" t="n">
        <f aca="false">COUNTIF($M$182:$M$197,BX183)*$D$19</f>
        <v>0</v>
      </c>
      <c r="BZ183" s="407"/>
      <c r="CA183" s="363"/>
      <c r="CB183" s="356" t="n">
        <f aca="false">COUNTIF($M$182:$M$197,CA183)*$D$19</f>
        <v>0</v>
      </c>
      <c r="CC183" s="407"/>
      <c r="CD183" s="363"/>
      <c r="CE183" s="356" t="n">
        <f aca="false">COUNTIF($M$182:$M$197,CD183)*$D$19</f>
        <v>0</v>
      </c>
      <c r="CF183" s="407"/>
      <c r="CG183" s="363"/>
      <c r="CH183" s="356" t="n">
        <f aca="false">COUNTIF($M$182:$M$197,CG183)*$D$19</f>
        <v>0</v>
      </c>
      <c r="CI183" s="407"/>
      <c r="CJ183" s="363"/>
      <c r="CK183" s="356" t="n">
        <f aca="false">COUNTIF($M$182:$M$197,CJ183)*$D$19</f>
        <v>0</v>
      </c>
      <c r="CL183" s="407"/>
      <c r="CM183" s="363"/>
      <c r="CN183" s="356" t="n">
        <f aca="false">COUNTIF($M$182:$M$197,CM183)*$D$19</f>
        <v>0</v>
      </c>
      <c r="CO183" s="407"/>
      <c r="CP183" s="363"/>
      <c r="CQ183" s="356" t="n">
        <f aca="false">COUNTIF($M$182:$M$197,CP183)*$D$19</f>
        <v>0</v>
      </c>
      <c r="CR183" s="407"/>
      <c r="CS183" s="363"/>
      <c r="CT183" s="356" t="n">
        <f aca="false">COUNTIF($M$182:$M$197,CS183)*$D$19</f>
        <v>0</v>
      </c>
      <c r="CU183" s="407"/>
      <c r="CV183" s="363"/>
      <c r="CW183" s="356" t="n">
        <f aca="false">COUNTIF($M$182:$M$197,CV183)*$D$19</f>
        <v>0</v>
      </c>
      <c r="CX183" s="407"/>
      <c r="CY183" s="363"/>
      <c r="CZ183" s="356" t="n">
        <f aca="false">COUNTIF($M$182:$M$197,CY183)*$D$19</f>
        <v>0</v>
      </c>
      <c r="DA183" s="407"/>
      <c r="DB183" s="363"/>
      <c r="DC183" s="356" t="n">
        <f aca="false">COUNTIF($M$182:$M$197,DB183)*$D$19</f>
        <v>0</v>
      </c>
      <c r="DD183" s="407"/>
      <c r="DE183" s="363"/>
      <c r="DF183" s="356" t="n">
        <f aca="false">COUNTIF($M$182:$M$197,DE183)*$D$19</f>
        <v>0</v>
      </c>
      <c r="DG183" s="407"/>
      <c r="DH183" s="363"/>
      <c r="DI183" s="356" t="n">
        <f aca="false">COUNTIF($M$182:$M$197,DH183)*$D$19</f>
        <v>0</v>
      </c>
      <c r="DJ183" s="407"/>
      <c r="DK183" s="363"/>
      <c r="DL183" s="356" t="n">
        <f aca="false">COUNTIF($M$182:$M$197,DK183)*$D$19</f>
        <v>0</v>
      </c>
      <c r="DM183" s="407"/>
      <c r="DN183" s="363"/>
      <c r="DO183" s="356" t="n">
        <f aca="false">COUNTIF($M$182:$M$197,DN183)*$D$19</f>
        <v>0</v>
      </c>
      <c r="DP183" s="407"/>
      <c r="DQ183" s="363"/>
      <c r="DR183" s="356" t="n">
        <f aca="false">COUNTIF($M$182:$M$197,DQ183)*$D$19</f>
        <v>0</v>
      </c>
      <c r="DS183" s="407"/>
      <c r="DT183" s="363"/>
      <c r="DU183" s="356" t="n">
        <f aca="false">COUNTIF($M$182:$M$197,DT183)*$D$19</f>
        <v>0</v>
      </c>
      <c r="DV183" s="407"/>
      <c r="DW183" s="363"/>
      <c r="DX183" s="356" t="n">
        <f aca="false">COUNTIF($M$182:$M$197,DW183)*$D$19</f>
        <v>0</v>
      </c>
      <c r="DY183" s="407"/>
      <c r="DZ183" s="363"/>
      <c r="EA183" s="356" t="n">
        <f aca="false">COUNTIF($M$182:$M$197,DZ183)*$D$19</f>
        <v>0</v>
      </c>
      <c r="EB183" s="407"/>
      <c r="EC183" s="363"/>
      <c r="ED183" s="356" t="n">
        <f aca="false">COUNTIF($M$182:$M$197,EC183)*$D$19</f>
        <v>0</v>
      </c>
      <c r="EE183" s="407"/>
      <c r="EF183" s="363"/>
      <c r="EG183" s="356" t="n">
        <f aca="false">COUNTIF($M$182:$M$197,EF183)*$D$19</f>
        <v>0</v>
      </c>
      <c r="EH183" s="407"/>
      <c r="EI183" s="407"/>
    </row>
    <row r="184" customFormat="false" ht="15" hidden="false" customHeight="false" outlineLevel="0" collapsed="false">
      <c r="A184" s="332"/>
      <c r="B184" s="332"/>
      <c r="C184" s="422"/>
      <c r="D184" s="422"/>
      <c r="E184" s="422"/>
      <c r="F184" s="423" t="n">
        <f aca="false">$D$19</f>
        <v>4</v>
      </c>
      <c r="G184" s="423" t="n">
        <f aca="false">VLOOKUP(H184,Equipos!$Q$1:$R$25,2,0)</f>
        <v>20</v>
      </c>
      <c r="H184" s="424" t="str">
        <f aca="false">Idiomas!$D$260</f>
        <v>Dieciseisavos de final</v>
      </c>
      <c r="I184" s="410"/>
      <c r="J184" s="418"/>
      <c r="K184" s="367" t="str">
        <f aca="false">Idiomas!$D$199&amp;"-"&amp;ROWS($L$182:L184)</f>
        <v>Octavofinalista-3</v>
      </c>
      <c r="L184" s="354"/>
      <c r="M184" s="359" t="str">
        <f aca="false">WORLDCUP!AA122</f>
        <v>W76</v>
      </c>
      <c r="N184" s="332"/>
      <c r="O184" s="332"/>
      <c r="P184" s="332"/>
      <c r="Q184" s="332"/>
      <c r="R184" s="404"/>
      <c r="S184" s="363" t="s">
        <v>339</v>
      </c>
      <c r="T184" s="356" t="n">
        <f aca="false">COUNTIF($M$182:$M$197,S184)*$D$19</f>
        <v>0</v>
      </c>
      <c r="U184" s="407"/>
      <c r="V184" s="363" t="s">
        <v>339</v>
      </c>
      <c r="W184" s="356" t="n">
        <f aca="false">COUNTIF($M$182:$M$197,V184)*$D$19</f>
        <v>0</v>
      </c>
      <c r="X184" s="407"/>
      <c r="Y184" s="363" t="s">
        <v>339</v>
      </c>
      <c r="Z184" s="356" t="n">
        <f aca="false">COUNTIF($M$182:$M$197,Y184)*$D$19</f>
        <v>0</v>
      </c>
      <c r="AA184" s="407"/>
      <c r="AB184" s="363" t="s">
        <v>340</v>
      </c>
      <c r="AC184" s="356" t="n">
        <f aca="false">COUNTIF($M$182:$M$197,AB184)*$D$19</f>
        <v>0</v>
      </c>
      <c r="AD184" s="407"/>
      <c r="AE184" s="363" t="s">
        <v>340</v>
      </c>
      <c r="AF184" s="356" t="n">
        <f aca="false">COUNTIF($M$182:$M$197,AE184)*$D$19</f>
        <v>0</v>
      </c>
      <c r="AG184" s="407"/>
      <c r="AH184" s="363" t="s">
        <v>339</v>
      </c>
      <c r="AI184" s="356" t="n">
        <f aca="false">COUNTIF($M$182:$M$197,AH184)*$D$19</f>
        <v>0</v>
      </c>
      <c r="AJ184" s="407"/>
      <c r="AK184" s="363" t="s">
        <v>339</v>
      </c>
      <c r="AL184" s="356" t="n">
        <f aca="false">COUNTIF($M$182:$M$197,AK184)*$D$19</f>
        <v>0</v>
      </c>
      <c r="AM184" s="407"/>
      <c r="AN184" s="363" t="s">
        <v>339</v>
      </c>
      <c r="AO184" s="356" t="n">
        <f aca="false">COUNTIF($M$182:$M$197,AN184)*$D$19</f>
        <v>0</v>
      </c>
      <c r="AP184" s="407"/>
      <c r="AQ184" s="363" t="s">
        <v>340</v>
      </c>
      <c r="AR184" s="356" t="n">
        <f aca="false">COUNTIF($M$182:$M$197,AQ184)*$D$19</f>
        <v>0</v>
      </c>
      <c r="AS184" s="407"/>
      <c r="AT184" s="363" t="s">
        <v>340</v>
      </c>
      <c r="AU184" s="356" t="n">
        <f aca="false">COUNTIF($M$182:$M$197,AT184)*$D$19</f>
        <v>0</v>
      </c>
      <c r="AV184" s="407"/>
      <c r="AW184" s="363" t="s">
        <v>339</v>
      </c>
      <c r="AX184" s="356" t="n">
        <f aca="false">COUNTIF($M$182:$M$197,AW184)*$D$19</f>
        <v>0</v>
      </c>
      <c r="AY184" s="407"/>
      <c r="AZ184" s="363" t="s">
        <v>339</v>
      </c>
      <c r="BA184" s="356" t="n">
        <f aca="false">COUNTIF($M$182:$M$197,AZ184)*$D$19</f>
        <v>0</v>
      </c>
      <c r="BB184" s="407"/>
      <c r="BC184" s="363" t="s">
        <v>352</v>
      </c>
      <c r="BD184" s="356" t="n">
        <f aca="false">COUNTIF($M$182:$M$197,BC184)*$D$19</f>
        <v>0</v>
      </c>
      <c r="BE184" s="407"/>
      <c r="BF184" s="363" t="s">
        <v>339</v>
      </c>
      <c r="BG184" s="356" t="n">
        <f aca="false">COUNTIF($M$182:$M$197,BF184)*$D$19</f>
        <v>0</v>
      </c>
      <c r="BH184" s="407"/>
      <c r="BI184" s="363" t="s">
        <v>339</v>
      </c>
      <c r="BJ184" s="356" t="n">
        <f aca="false">COUNTIF($M$182:$M$197,BI184)*$D$19</f>
        <v>0</v>
      </c>
      <c r="BK184" s="407"/>
      <c r="BL184" s="363" t="s">
        <v>339</v>
      </c>
      <c r="BM184" s="356" t="n">
        <f aca="false">COUNTIF($M$182:$M$197,BL184)*$D$19</f>
        <v>0</v>
      </c>
      <c r="BN184" s="407"/>
      <c r="BO184" s="363" t="s">
        <v>339</v>
      </c>
      <c r="BP184" s="356" t="n">
        <f aca="false">COUNTIF($M$182:$M$197,BO184)*$D$19</f>
        <v>0</v>
      </c>
      <c r="BQ184" s="407"/>
      <c r="BR184" s="363" t="s">
        <v>339</v>
      </c>
      <c r="BS184" s="356" t="n">
        <f aca="false">COUNTIF($M$182:$M$197,BR184)*$D$19</f>
        <v>0</v>
      </c>
      <c r="BT184" s="407"/>
      <c r="BU184" s="363"/>
      <c r="BV184" s="356" t="n">
        <f aca="false">COUNTIF($M$182:$M$197,BU184)*$D$19</f>
        <v>0</v>
      </c>
      <c r="BW184" s="407"/>
      <c r="BX184" s="363"/>
      <c r="BY184" s="356" t="n">
        <f aca="false">COUNTIF($M$182:$M$197,BX184)*$D$19</f>
        <v>0</v>
      </c>
      <c r="BZ184" s="407"/>
      <c r="CA184" s="363"/>
      <c r="CB184" s="356" t="n">
        <f aca="false">COUNTIF($M$182:$M$197,CA184)*$D$19</f>
        <v>0</v>
      </c>
      <c r="CC184" s="407"/>
      <c r="CD184" s="363"/>
      <c r="CE184" s="356" t="n">
        <f aca="false">COUNTIF($M$182:$M$197,CD184)*$D$19</f>
        <v>0</v>
      </c>
      <c r="CF184" s="407"/>
      <c r="CG184" s="363"/>
      <c r="CH184" s="356" t="n">
        <f aca="false">COUNTIF($M$182:$M$197,CG184)*$D$19</f>
        <v>0</v>
      </c>
      <c r="CI184" s="407"/>
      <c r="CJ184" s="363"/>
      <c r="CK184" s="356" t="n">
        <f aca="false">COUNTIF($M$182:$M$197,CJ184)*$D$19</f>
        <v>0</v>
      </c>
      <c r="CL184" s="407"/>
      <c r="CM184" s="363"/>
      <c r="CN184" s="356" t="n">
        <f aca="false">COUNTIF($M$182:$M$197,CM184)*$D$19</f>
        <v>0</v>
      </c>
      <c r="CO184" s="407"/>
      <c r="CP184" s="363"/>
      <c r="CQ184" s="356" t="n">
        <f aca="false">COUNTIF($M$182:$M$197,CP184)*$D$19</f>
        <v>0</v>
      </c>
      <c r="CR184" s="407"/>
      <c r="CS184" s="363"/>
      <c r="CT184" s="356" t="n">
        <f aca="false">COUNTIF($M$182:$M$197,CS184)*$D$19</f>
        <v>0</v>
      </c>
      <c r="CU184" s="407"/>
      <c r="CV184" s="363"/>
      <c r="CW184" s="356" t="n">
        <f aca="false">COUNTIF($M$182:$M$197,CV184)*$D$19</f>
        <v>0</v>
      </c>
      <c r="CX184" s="407"/>
      <c r="CY184" s="363"/>
      <c r="CZ184" s="356" t="n">
        <f aca="false">COUNTIF($M$182:$M$197,CY184)*$D$19</f>
        <v>0</v>
      </c>
      <c r="DA184" s="407"/>
      <c r="DB184" s="363"/>
      <c r="DC184" s="356" t="n">
        <f aca="false">COUNTIF($M$182:$M$197,DB184)*$D$19</f>
        <v>0</v>
      </c>
      <c r="DD184" s="407"/>
      <c r="DE184" s="363"/>
      <c r="DF184" s="356" t="n">
        <f aca="false">COUNTIF($M$182:$M$197,DE184)*$D$19</f>
        <v>0</v>
      </c>
      <c r="DG184" s="407"/>
      <c r="DH184" s="363"/>
      <c r="DI184" s="356" t="n">
        <f aca="false">COUNTIF($M$182:$M$197,DH184)*$D$19</f>
        <v>0</v>
      </c>
      <c r="DJ184" s="407"/>
      <c r="DK184" s="363"/>
      <c r="DL184" s="356" t="n">
        <f aca="false">COUNTIF($M$182:$M$197,DK184)*$D$19</f>
        <v>0</v>
      </c>
      <c r="DM184" s="407"/>
      <c r="DN184" s="363"/>
      <c r="DO184" s="356" t="n">
        <f aca="false">COUNTIF($M$182:$M$197,DN184)*$D$19</f>
        <v>0</v>
      </c>
      <c r="DP184" s="407"/>
      <c r="DQ184" s="363"/>
      <c r="DR184" s="356" t="n">
        <f aca="false">COUNTIF($M$182:$M$197,DQ184)*$D$19</f>
        <v>0</v>
      </c>
      <c r="DS184" s="407"/>
      <c r="DT184" s="363"/>
      <c r="DU184" s="356" t="n">
        <f aca="false">COUNTIF($M$182:$M$197,DT184)*$D$19</f>
        <v>0</v>
      </c>
      <c r="DV184" s="407"/>
      <c r="DW184" s="363"/>
      <c r="DX184" s="356" t="n">
        <f aca="false">COUNTIF($M$182:$M$197,DW184)*$D$19</f>
        <v>0</v>
      </c>
      <c r="DY184" s="407"/>
      <c r="DZ184" s="363"/>
      <c r="EA184" s="356" t="n">
        <f aca="false">COUNTIF($M$182:$M$197,DZ184)*$D$19</f>
        <v>0</v>
      </c>
      <c r="EB184" s="407"/>
      <c r="EC184" s="363"/>
      <c r="ED184" s="356" t="n">
        <f aca="false">COUNTIF($M$182:$M$197,EC184)*$D$19</f>
        <v>0</v>
      </c>
      <c r="EE184" s="407"/>
      <c r="EF184" s="363"/>
      <c r="EG184" s="356" t="n">
        <f aca="false">COUNTIF($M$182:$M$197,EF184)*$D$19</f>
        <v>0</v>
      </c>
      <c r="EH184" s="407"/>
      <c r="EI184" s="407"/>
    </row>
    <row r="185" customFormat="false" ht="15" hidden="false" customHeight="false" outlineLevel="0" collapsed="false">
      <c r="A185" s="332"/>
      <c r="B185" s="332"/>
      <c r="C185" s="422"/>
      <c r="D185" s="422"/>
      <c r="E185" s="422"/>
      <c r="F185" s="423" t="n">
        <f aca="false">$D$19</f>
        <v>4</v>
      </c>
      <c r="G185" s="423" t="n">
        <f aca="false">VLOOKUP(H185,Equipos!$Q$1:$R$25,2,0)</f>
        <v>20</v>
      </c>
      <c r="H185" s="424" t="str">
        <f aca="false">Idiomas!$D$260</f>
        <v>Dieciseisavos de final</v>
      </c>
      <c r="I185" s="410"/>
      <c r="J185" s="418"/>
      <c r="K185" s="367" t="str">
        <f aca="false">Idiomas!$D$199&amp;"-"&amp;ROWS($L$182:L185)</f>
        <v>Octavofinalista-4</v>
      </c>
      <c r="L185" s="354"/>
      <c r="M185" s="359" t="str">
        <f aca="false">WORLDCUP!AA123</f>
        <v>W79</v>
      </c>
      <c r="N185" s="332"/>
      <c r="O185" s="332"/>
      <c r="P185" s="332"/>
      <c r="Q185" s="332"/>
      <c r="R185" s="404"/>
      <c r="S185" s="363" t="s">
        <v>331</v>
      </c>
      <c r="T185" s="356" t="n">
        <f aca="false">COUNTIF($M$182:$M$197,S185)*$D$19</f>
        <v>0</v>
      </c>
      <c r="U185" s="407"/>
      <c r="V185" s="363" t="s">
        <v>332</v>
      </c>
      <c r="W185" s="356" t="n">
        <f aca="false">COUNTIF($M$182:$M$197,V185)*$D$19</f>
        <v>0</v>
      </c>
      <c r="X185" s="407"/>
      <c r="Y185" s="363" t="s">
        <v>331</v>
      </c>
      <c r="Z185" s="356" t="n">
        <f aca="false">COUNTIF($M$182:$M$197,Y185)*$D$19</f>
        <v>0</v>
      </c>
      <c r="AA185" s="407"/>
      <c r="AB185" s="363" t="s">
        <v>332</v>
      </c>
      <c r="AC185" s="356" t="n">
        <f aca="false">COUNTIF($M$182:$M$197,AB185)*$D$19</f>
        <v>0</v>
      </c>
      <c r="AD185" s="407"/>
      <c r="AE185" s="363" t="s">
        <v>333</v>
      </c>
      <c r="AF185" s="356" t="n">
        <f aca="false">COUNTIF($M$182:$M$197,AE185)*$D$19</f>
        <v>0</v>
      </c>
      <c r="AG185" s="407"/>
      <c r="AH185" s="363" t="s">
        <v>331</v>
      </c>
      <c r="AI185" s="356" t="n">
        <f aca="false">COUNTIF($M$182:$M$197,AH185)*$D$19</f>
        <v>0</v>
      </c>
      <c r="AJ185" s="407"/>
      <c r="AK185" s="363" t="s">
        <v>331</v>
      </c>
      <c r="AL185" s="356" t="n">
        <f aca="false">COUNTIF($M$182:$M$197,AK185)*$D$19</f>
        <v>0</v>
      </c>
      <c r="AM185" s="407"/>
      <c r="AN185" s="363" t="s">
        <v>331</v>
      </c>
      <c r="AO185" s="356" t="n">
        <f aca="false">COUNTIF($M$182:$M$197,AN185)*$D$19</f>
        <v>0</v>
      </c>
      <c r="AP185" s="407"/>
      <c r="AQ185" s="363" t="s">
        <v>333</v>
      </c>
      <c r="AR185" s="356" t="n">
        <f aca="false">COUNTIF($M$182:$M$197,AQ185)*$D$19</f>
        <v>0</v>
      </c>
      <c r="AS185" s="407"/>
      <c r="AT185" s="363" t="s">
        <v>332</v>
      </c>
      <c r="AU185" s="356" t="n">
        <f aca="false">COUNTIF($M$182:$M$197,AT185)*$D$19</f>
        <v>0</v>
      </c>
      <c r="AV185" s="407"/>
      <c r="AW185" s="363" t="s">
        <v>349</v>
      </c>
      <c r="AX185" s="356" t="n">
        <f aca="false">COUNTIF($M$182:$M$197,AW185)*$D$19</f>
        <v>0</v>
      </c>
      <c r="AY185" s="407"/>
      <c r="AZ185" s="363" t="s">
        <v>331</v>
      </c>
      <c r="BA185" s="356" t="n">
        <f aca="false">COUNTIF($M$182:$M$197,AZ185)*$D$19</f>
        <v>0</v>
      </c>
      <c r="BB185" s="407"/>
      <c r="BC185" s="363" t="s">
        <v>331</v>
      </c>
      <c r="BD185" s="356" t="n">
        <f aca="false">COUNTIF($M$182:$M$197,BC185)*$D$19</f>
        <v>0</v>
      </c>
      <c r="BE185" s="407"/>
      <c r="BF185" s="363" t="s">
        <v>331</v>
      </c>
      <c r="BG185" s="356" t="n">
        <f aca="false">COUNTIF($M$182:$M$197,BF185)*$D$19</f>
        <v>0</v>
      </c>
      <c r="BH185" s="407"/>
      <c r="BI185" s="363" t="s">
        <v>359</v>
      </c>
      <c r="BJ185" s="356" t="n">
        <f aca="false">COUNTIF($M$182:$M$197,BI185)*$D$19</f>
        <v>0</v>
      </c>
      <c r="BK185" s="407"/>
      <c r="BL185" s="363" t="s">
        <v>333</v>
      </c>
      <c r="BM185" s="356" t="n">
        <f aca="false">COUNTIF($M$182:$M$197,BL185)*$D$19</f>
        <v>0</v>
      </c>
      <c r="BN185" s="407"/>
      <c r="BO185" s="363" t="s">
        <v>331</v>
      </c>
      <c r="BP185" s="356" t="n">
        <f aca="false">COUNTIF($M$182:$M$197,BO185)*$D$19</f>
        <v>0</v>
      </c>
      <c r="BQ185" s="407"/>
      <c r="BR185" s="363" t="s">
        <v>331</v>
      </c>
      <c r="BS185" s="356" t="n">
        <f aca="false">COUNTIF($M$182:$M$197,BR185)*$D$19</f>
        <v>0</v>
      </c>
      <c r="BT185" s="407"/>
      <c r="BU185" s="363"/>
      <c r="BV185" s="356" t="n">
        <f aca="false">COUNTIF($M$182:$M$197,BU185)*$D$19</f>
        <v>0</v>
      </c>
      <c r="BW185" s="407"/>
      <c r="BX185" s="363"/>
      <c r="BY185" s="356" t="n">
        <f aca="false">COUNTIF($M$182:$M$197,BX185)*$D$19</f>
        <v>0</v>
      </c>
      <c r="BZ185" s="407"/>
      <c r="CA185" s="363"/>
      <c r="CB185" s="356" t="n">
        <f aca="false">COUNTIF($M$182:$M$197,CA185)*$D$19</f>
        <v>0</v>
      </c>
      <c r="CC185" s="407"/>
      <c r="CD185" s="363"/>
      <c r="CE185" s="356" t="n">
        <f aca="false">COUNTIF($M$182:$M$197,CD185)*$D$19</f>
        <v>0</v>
      </c>
      <c r="CF185" s="407"/>
      <c r="CG185" s="363"/>
      <c r="CH185" s="356" t="n">
        <f aca="false">COUNTIF($M$182:$M$197,CG185)*$D$19</f>
        <v>0</v>
      </c>
      <c r="CI185" s="407"/>
      <c r="CJ185" s="363"/>
      <c r="CK185" s="356" t="n">
        <f aca="false">COUNTIF($M$182:$M$197,CJ185)*$D$19</f>
        <v>0</v>
      </c>
      <c r="CL185" s="407"/>
      <c r="CM185" s="363"/>
      <c r="CN185" s="356" t="n">
        <f aca="false">COUNTIF($M$182:$M$197,CM185)*$D$19</f>
        <v>0</v>
      </c>
      <c r="CO185" s="407"/>
      <c r="CP185" s="363"/>
      <c r="CQ185" s="356" t="n">
        <f aca="false">COUNTIF($M$182:$M$197,CP185)*$D$19</f>
        <v>0</v>
      </c>
      <c r="CR185" s="407"/>
      <c r="CS185" s="363"/>
      <c r="CT185" s="356" t="n">
        <f aca="false">COUNTIF($M$182:$M$197,CS185)*$D$19</f>
        <v>0</v>
      </c>
      <c r="CU185" s="407"/>
      <c r="CV185" s="363"/>
      <c r="CW185" s="356" t="n">
        <f aca="false">COUNTIF($M$182:$M$197,CV185)*$D$19</f>
        <v>0</v>
      </c>
      <c r="CX185" s="407"/>
      <c r="CY185" s="363"/>
      <c r="CZ185" s="356" t="n">
        <f aca="false">COUNTIF($M$182:$M$197,CY185)*$D$19</f>
        <v>0</v>
      </c>
      <c r="DA185" s="407"/>
      <c r="DB185" s="363"/>
      <c r="DC185" s="356" t="n">
        <f aca="false">COUNTIF($M$182:$M$197,DB185)*$D$19</f>
        <v>0</v>
      </c>
      <c r="DD185" s="407"/>
      <c r="DE185" s="363"/>
      <c r="DF185" s="356" t="n">
        <f aca="false">COUNTIF($M$182:$M$197,DE185)*$D$19</f>
        <v>0</v>
      </c>
      <c r="DG185" s="407"/>
      <c r="DH185" s="363"/>
      <c r="DI185" s="356" t="n">
        <f aca="false">COUNTIF($M$182:$M$197,DH185)*$D$19</f>
        <v>0</v>
      </c>
      <c r="DJ185" s="407"/>
      <c r="DK185" s="363"/>
      <c r="DL185" s="356" t="n">
        <f aca="false">COUNTIF($M$182:$M$197,DK185)*$D$19</f>
        <v>0</v>
      </c>
      <c r="DM185" s="407"/>
      <c r="DN185" s="363"/>
      <c r="DO185" s="356" t="n">
        <f aca="false">COUNTIF($M$182:$M$197,DN185)*$D$19</f>
        <v>0</v>
      </c>
      <c r="DP185" s="407"/>
      <c r="DQ185" s="363"/>
      <c r="DR185" s="356" t="n">
        <f aca="false">COUNTIF($M$182:$M$197,DQ185)*$D$19</f>
        <v>0</v>
      </c>
      <c r="DS185" s="407"/>
      <c r="DT185" s="363"/>
      <c r="DU185" s="356" t="n">
        <f aca="false">COUNTIF($M$182:$M$197,DT185)*$D$19</f>
        <v>0</v>
      </c>
      <c r="DV185" s="407"/>
      <c r="DW185" s="363"/>
      <c r="DX185" s="356" t="n">
        <f aca="false">COUNTIF($M$182:$M$197,DW185)*$D$19</f>
        <v>0</v>
      </c>
      <c r="DY185" s="407"/>
      <c r="DZ185" s="363"/>
      <c r="EA185" s="356" t="n">
        <f aca="false">COUNTIF($M$182:$M$197,DZ185)*$D$19</f>
        <v>0</v>
      </c>
      <c r="EB185" s="407"/>
      <c r="EC185" s="363"/>
      <c r="ED185" s="356" t="n">
        <f aca="false">COUNTIF($M$182:$M$197,EC185)*$D$19</f>
        <v>0</v>
      </c>
      <c r="EE185" s="407"/>
      <c r="EF185" s="363"/>
      <c r="EG185" s="356" t="n">
        <f aca="false">COUNTIF($M$182:$M$197,EF185)*$D$19</f>
        <v>0</v>
      </c>
      <c r="EH185" s="407"/>
      <c r="EI185" s="407"/>
    </row>
    <row r="186" customFormat="false" ht="15" hidden="false" customHeight="false" outlineLevel="0" collapsed="false">
      <c r="A186" s="332"/>
      <c r="B186" s="332"/>
      <c r="C186" s="422"/>
      <c r="D186" s="422"/>
      <c r="E186" s="422"/>
      <c r="F186" s="423" t="n">
        <f aca="false">$D$19</f>
        <v>4</v>
      </c>
      <c r="G186" s="423" t="n">
        <f aca="false">VLOOKUP(H186,Equipos!$Q$1:$R$25,2,0)</f>
        <v>20</v>
      </c>
      <c r="H186" s="424" t="str">
        <f aca="false">Idiomas!$D$260</f>
        <v>Dieciseisavos de final</v>
      </c>
      <c r="I186" s="410"/>
      <c r="J186" s="418"/>
      <c r="K186" s="367" t="str">
        <f aca="false">Idiomas!$D$199&amp;"-"&amp;ROWS($L$182:L186)</f>
        <v>Octavofinalista-5</v>
      </c>
      <c r="L186" s="354"/>
      <c r="M186" s="359" t="str">
        <f aca="false">WORLDCUP!AA124</f>
        <v>W83</v>
      </c>
      <c r="N186" s="332"/>
      <c r="O186" s="332"/>
      <c r="P186" s="332"/>
      <c r="Q186" s="332"/>
      <c r="R186" s="404"/>
      <c r="S186" s="363" t="s">
        <v>375</v>
      </c>
      <c r="T186" s="356" t="n">
        <f aca="false">COUNTIF($M$182:$M$197,S186)*$D$19</f>
        <v>0</v>
      </c>
      <c r="U186" s="407"/>
      <c r="V186" s="363" t="s">
        <v>371</v>
      </c>
      <c r="W186" s="356" t="n">
        <f aca="false">COUNTIF($M$182:$M$197,V186)*$D$19</f>
        <v>0</v>
      </c>
      <c r="X186" s="407"/>
      <c r="Y186" s="363" t="s">
        <v>371</v>
      </c>
      <c r="Z186" s="356" t="n">
        <f aca="false">COUNTIF($M$182:$M$197,Y186)*$D$19</f>
        <v>0</v>
      </c>
      <c r="AA186" s="407"/>
      <c r="AB186" s="363" t="s">
        <v>374</v>
      </c>
      <c r="AC186" s="356" t="n">
        <f aca="false">COUNTIF($M$182:$M$197,AB186)*$D$19</f>
        <v>0</v>
      </c>
      <c r="AD186" s="407"/>
      <c r="AE186" s="363" t="s">
        <v>375</v>
      </c>
      <c r="AF186" s="356" t="n">
        <f aca="false">COUNTIF($M$182:$M$197,AE186)*$D$19</f>
        <v>0</v>
      </c>
      <c r="AG186" s="407"/>
      <c r="AH186" s="363" t="s">
        <v>375</v>
      </c>
      <c r="AI186" s="356" t="n">
        <f aca="false">COUNTIF($M$182:$M$197,AH186)*$D$19</f>
        <v>0</v>
      </c>
      <c r="AJ186" s="407"/>
      <c r="AK186" s="363" t="s">
        <v>371</v>
      </c>
      <c r="AL186" s="356" t="n">
        <f aca="false">COUNTIF($M$182:$M$197,AK186)*$D$19</f>
        <v>0</v>
      </c>
      <c r="AM186" s="407"/>
      <c r="AN186" s="363" t="s">
        <v>375</v>
      </c>
      <c r="AO186" s="356" t="n">
        <f aca="false">COUNTIF($M$182:$M$197,AN186)*$D$19</f>
        <v>0</v>
      </c>
      <c r="AP186" s="407"/>
      <c r="AQ186" s="363" t="s">
        <v>371</v>
      </c>
      <c r="AR186" s="356" t="n">
        <f aca="false">COUNTIF($M$182:$M$197,AQ186)*$D$19</f>
        <v>0</v>
      </c>
      <c r="AS186" s="407"/>
      <c r="AT186" s="363" t="s">
        <v>371</v>
      </c>
      <c r="AU186" s="356" t="n">
        <f aca="false">COUNTIF($M$182:$M$197,AT186)*$D$19</f>
        <v>0</v>
      </c>
      <c r="AV186" s="407"/>
      <c r="AW186" s="363" t="s">
        <v>375</v>
      </c>
      <c r="AX186" s="356" t="n">
        <f aca="false">COUNTIF($M$182:$M$197,AW186)*$D$19</f>
        <v>0</v>
      </c>
      <c r="AY186" s="407"/>
      <c r="AZ186" s="363" t="s">
        <v>371</v>
      </c>
      <c r="BA186" s="356" t="n">
        <f aca="false">COUNTIF($M$182:$M$197,AZ186)*$D$19</f>
        <v>0</v>
      </c>
      <c r="BB186" s="407"/>
      <c r="BC186" s="363" t="s">
        <v>371</v>
      </c>
      <c r="BD186" s="356" t="n">
        <f aca="false">COUNTIF($M$182:$M$197,BC186)*$D$19</f>
        <v>0</v>
      </c>
      <c r="BE186" s="407"/>
      <c r="BF186" s="363" t="s">
        <v>371</v>
      </c>
      <c r="BG186" s="356" t="n">
        <f aca="false">COUNTIF($M$182:$M$197,BF186)*$D$19</f>
        <v>0</v>
      </c>
      <c r="BH186" s="407"/>
      <c r="BI186" s="363" t="s">
        <v>375</v>
      </c>
      <c r="BJ186" s="356" t="n">
        <f aca="false">COUNTIF($M$182:$M$197,BI186)*$D$19</f>
        <v>0</v>
      </c>
      <c r="BK186" s="407"/>
      <c r="BL186" s="363" t="s">
        <v>375</v>
      </c>
      <c r="BM186" s="356" t="n">
        <f aca="false">COUNTIF($M$182:$M$197,BL186)*$D$19</f>
        <v>0</v>
      </c>
      <c r="BN186" s="407"/>
      <c r="BO186" s="363" t="s">
        <v>371</v>
      </c>
      <c r="BP186" s="356" t="n">
        <f aca="false">COUNTIF($M$182:$M$197,BO186)*$D$19</f>
        <v>0</v>
      </c>
      <c r="BQ186" s="407"/>
      <c r="BR186" s="363" t="s">
        <v>375</v>
      </c>
      <c r="BS186" s="356" t="n">
        <f aca="false">COUNTIF($M$182:$M$197,BR186)*$D$19</f>
        <v>0</v>
      </c>
      <c r="BT186" s="407"/>
      <c r="BU186" s="363"/>
      <c r="BV186" s="356" t="n">
        <f aca="false">COUNTIF($M$182:$M$197,BU186)*$D$19</f>
        <v>0</v>
      </c>
      <c r="BW186" s="407"/>
      <c r="BX186" s="363"/>
      <c r="BY186" s="356" t="n">
        <f aca="false">COUNTIF($M$182:$M$197,BX186)*$D$19</f>
        <v>0</v>
      </c>
      <c r="BZ186" s="407"/>
      <c r="CA186" s="363"/>
      <c r="CB186" s="356" t="n">
        <f aca="false">COUNTIF($M$182:$M$197,CA186)*$D$19</f>
        <v>0</v>
      </c>
      <c r="CC186" s="407"/>
      <c r="CD186" s="363"/>
      <c r="CE186" s="356" t="n">
        <f aca="false">COUNTIF($M$182:$M$197,CD186)*$D$19</f>
        <v>0</v>
      </c>
      <c r="CF186" s="407"/>
      <c r="CG186" s="363"/>
      <c r="CH186" s="356" t="n">
        <f aca="false">COUNTIF($M$182:$M$197,CG186)*$D$19</f>
        <v>0</v>
      </c>
      <c r="CI186" s="407"/>
      <c r="CJ186" s="363"/>
      <c r="CK186" s="356" t="n">
        <f aca="false">COUNTIF($M$182:$M$197,CJ186)*$D$19</f>
        <v>0</v>
      </c>
      <c r="CL186" s="407"/>
      <c r="CM186" s="363"/>
      <c r="CN186" s="356" t="n">
        <f aca="false">COUNTIF($M$182:$M$197,CM186)*$D$19</f>
        <v>0</v>
      </c>
      <c r="CO186" s="407"/>
      <c r="CP186" s="363"/>
      <c r="CQ186" s="356" t="n">
        <f aca="false">COUNTIF($M$182:$M$197,CP186)*$D$19</f>
        <v>0</v>
      </c>
      <c r="CR186" s="407"/>
      <c r="CS186" s="363"/>
      <c r="CT186" s="356" t="n">
        <f aca="false">COUNTIF($M$182:$M$197,CS186)*$D$19</f>
        <v>0</v>
      </c>
      <c r="CU186" s="407"/>
      <c r="CV186" s="363"/>
      <c r="CW186" s="356" t="n">
        <f aca="false">COUNTIF($M$182:$M$197,CV186)*$D$19</f>
        <v>0</v>
      </c>
      <c r="CX186" s="407"/>
      <c r="CY186" s="363"/>
      <c r="CZ186" s="356" t="n">
        <f aca="false">COUNTIF($M$182:$M$197,CY186)*$D$19</f>
        <v>0</v>
      </c>
      <c r="DA186" s="407"/>
      <c r="DB186" s="363"/>
      <c r="DC186" s="356" t="n">
        <f aca="false">COUNTIF($M$182:$M$197,DB186)*$D$19</f>
        <v>0</v>
      </c>
      <c r="DD186" s="407"/>
      <c r="DE186" s="363"/>
      <c r="DF186" s="356" t="n">
        <f aca="false">COUNTIF($M$182:$M$197,DE186)*$D$19</f>
        <v>0</v>
      </c>
      <c r="DG186" s="407"/>
      <c r="DH186" s="363"/>
      <c r="DI186" s="356" t="n">
        <f aca="false">COUNTIF($M$182:$M$197,DH186)*$D$19</f>
        <v>0</v>
      </c>
      <c r="DJ186" s="407"/>
      <c r="DK186" s="363"/>
      <c r="DL186" s="356" t="n">
        <f aca="false">COUNTIF($M$182:$M$197,DK186)*$D$19</f>
        <v>0</v>
      </c>
      <c r="DM186" s="407"/>
      <c r="DN186" s="363"/>
      <c r="DO186" s="356" t="n">
        <f aca="false">COUNTIF($M$182:$M$197,DN186)*$D$19</f>
        <v>0</v>
      </c>
      <c r="DP186" s="407"/>
      <c r="DQ186" s="363"/>
      <c r="DR186" s="356" t="n">
        <f aca="false">COUNTIF($M$182:$M$197,DQ186)*$D$19</f>
        <v>0</v>
      </c>
      <c r="DS186" s="407"/>
      <c r="DT186" s="363"/>
      <c r="DU186" s="356" t="n">
        <f aca="false">COUNTIF($M$182:$M$197,DT186)*$D$19</f>
        <v>0</v>
      </c>
      <c r="DV186" s="407"/>
      <c r="DW186" s="363"/>
      <c r="DX186" s="356" t="n">
        <f aca="false">COUNTIF($M$182:$M$197,DW186)*$D$19</f>
        <v>0</v>
      </c>
      <c r="DY186" s="407"/>
      <c r="DZ186" s="363"/>
      <c r="EA186" s="356" t="n">
        <f aca="false">COUNTIF($M$182:$M$197,DZ186)*$D$19</f>
        <v>0</v>
      </c>
      <c r="EB186" s="407"/>
      <c r="EC186" s="363"/>
      <c r="ED186" s="356" t="n">
        <f aca="false">COUNTIF($M$182:$M$197,EC186)*$D$19</f>
        <v>0</v>
      </c>
      <c r="EE186" s="407"/>
      <c r="EF186" s="363"/>
      <c r="EG186" s="356" t="n">
        <f aca="false">COUNTIF($M$182:$M$197,EF186)*$D$19</f>
        <v>0</v>
      </c>
      <c r="EH186" s="407"/>
      <c r="EI186" s="407"/>
    </row>
    <row r="187" customFormat="false" ht="15" hidden="false" customHeight="false" outlineLevel="0" collapsed="false">
      <c r="A187" s="332"/>
      <c r="B187" s="332"/>
      <c r="C187" s="422"/>
      <c r="D187" s="422"/>
      <c r="E187" s="422"/>
      <c r="F187" s="423" t="n">
        <f aca="false">$D$19</f>
        <v>4</v>
      </c>
      <c r="G187" s="423" t="n">
        <f aca="false">VLOOKUP(H187,Equipos!$Q$1:$R$25,2,0)</f>
        <v>20</v>
      </c>
      <c r="H187" s="424" t="str">
        <f aca="false">Idiomas!$D$260</f>
        <v>Dieciseisavos de final</v>
      </c>
      <c r="I187" s="410"/>
      <c r="J187" s="418"/>
      <c r="K187" s="367" t="str">
        <f aca="false">Idiomas!$D$199&amp;"-"&amp;ROWS($L$182:L187)</f>
        <v>Octavofinalista-6</v>
      </c>
      <c r="L187" s="354"/>
      <c r="M187" s="359" t="str">
        <f aca="false">WORLDCUP!AA125</f>
        <v>W81</v>
      </c>
      <c r="N187" s="332"/>
      <c r="O187" s="332"/>
      <c r="P187" s="332"/>
      <c r="Q187" s="332"/>
      <c r="R187" s="404"/>
      <c r="S187" s="363" t="s">
        <v>343</v>
      </c>
      <c r="T187" s="356" t="n">
        <f aca="false">COUNTIF($M$182:$M$197,S187)*$D$19</f>
        <v>0</v>
      </c>
      <c r="U187" s="407"/>
      <c r="V187" s="363" t="s">
        <v>344</v>
      </c>
      <c r="W187" s="356" t="n">
        <f aca="false">COUNTIF($M$182:$M$197,V187)*$D$19</f>
        <v>0</v>
      </c>
      <c r="X187" s="407"/>
      <c r="Y187" s="363" t="s">
        <v>343</v>
      </c>
      <c r="Z187" s="356" t="n">
        <f aca="false">COUNTIF($M$182:$M$197,Y187)*$D$19</f>
        <v>0</v>
      </c>
      <c r="AA187" s="407"/>
      <c r="AB187" s="370" t="s">
        <v>335</v>
      </c>
      <c r="AC187" s="356" t="n">
        <f aca="false">COUNTIF($M$182:$M$197,AB187)*$D$19</f>
        <v>0</v>
      </c>
      <c r="AD187" s="407"/>
      <c r="AE187" s="363" t="s">
        <v>343</v>
      </c>
      <c r="AF187" s="356" t="n">
        <f aca="false">COUNTIF($M$182:$M$197,AE187)*$D$19</f>
        <v>0</v>
      </c>
      <c r="AG187" s="407"/>
      <c r="AH187" s="363" t="s">
        <v>335</v>
      </c>
      <c r="AI187" s="356" t="n">
        <f aca="false">COUNTIF($M$182:$M$197,AH187)*$D$19</f>
        <v>0</v>
      </c>
      <c r="AJ187" s="407"/>
      <c r="AK187" s="363" t="s">
        <v>344</v>
      </c>
      <c r="AL187" s="356" t="n">
        <f aca="false">COUNTIF($M$182:$M$197,AK187)*$D$19</f>
        <v>0</v>
      </c>
      <c r="AM187" s="407"/>
      <c r="AN187" s="363" t="s">
        <v>344</v>
      </c>
      <c r="AO187" s="356" t="n">
        <f aca="false">COUNTIF($M$182:$M$197,AN187)*$D$19</f>
        <v>0</v>
      </c>
      <c r="AP187" s="407"/>
      <c r="AQ187" s="370" t="s">
        <v>343</v>
      </c>
      <c r="AR187" s="356" t="n">
        <f aca="false">COUNTIF($M$182:$M$197,AQ187)*$D$19</f>
        <v>0</v>
      </c>
      <c r="AS187" s="407"/>
      <c r="AT187" s="363" t="s">
        <v>343</v>
      </c>
      <c r="AU187" s="356" t="n">
        <f aca="false">COUNTIF($M$182:$M$197,AT187)*$D$19</f>
        <v>0</v>
      </c>
      <c r="AV187" s="407"/>
      <c r="AW187" s="363" t="s">
        <v>344</v>
      </c>
      <c r="AX187" s="356" t="n">
        <f aca="false">COUNTIF($M$182:$M$197,AW187)*$D$19</f>
        <v>0</v>
      </c>
      <c r="AY187" s="407"/>
      <c r="AZ187" s="363" t="s">
        <v>343</v>
      </c>
      <c r="BA187" s="356" t="n">
        <f aca="false">COUNTIF($M$182:$M$197,AZ187)*$D$19</f>
        <v>0</v>
      </c>
      <c r="BB187" s="407"/>
      <c r="BC187" s="363" t="s">
        <v>343</v>
      </c>
      <c r="BD187" s="356" t="n">
        <f aca="false">COUNTIF($M$182:$M$197,BC187)*$D$19</f>
        <v>0</v>
      </c>
      <c r="BE187" s="407"/>
      <c r="BF187" s="370" t="s">
        <v>343</v>
      </c>
      <c r="BG187" s="356" t="n">
        <f aca="false">COUNTIF($M$182:$M$197,BF187)*$D$19</f>
        <v>0</v>
      </c>
      <c r="BH187" s="407"/>
      <c r="BI187" s="363" t="s">
        <v>344</v>
      </c>
      <c r="BJ187" s="356" t="n">
        <f aca="false">COUNTIF($M$182:$M$197,BI187)*$D$19</f>
        <v>0</v>
      </c>
      <c r="BK187" s="407"/>
      <c r="BL187" s="363" t="s">
        <v>344</v>
      </c>
      <c r="BM187" s="356" t="n">
        <f aca="false">COUNTIF($M$182:$M$197,BL187)*$D$19</f>
        <v>0</v>
      </c>
      <c r="BN187" s="407"/>
      <c r="BO187" s="363" t="s">
        <v>344</v>
      </c>
      <c r="BP187" s="356" t="n">
        <f aca="false">COUNTIF($M$182:$M$197,BO187)*$D$19</f>
        <v>0</v>
      </c>
      <c r="BQ187" s="407"/>
      <c r="BR187" s="363" t="s">
        <v>344</v>
      </c>
      <c r="BS187" s="356" t="n">
        <f aca="false">COUNTIF($M$182:$M$197,BR187)*$D$19</f>
        <v>0</v>
      </c>
      <c r="BT187" s="407"/>
      <c r="BU187" s="370"/>
      <c r="BV187" s="356" t="n">
        <f aca="false">COUNTIF($M$182:$M$197,BU187)*$D$19</f>
        <v>0</v>
      </c>
      <c r="BW187" s="407"/>
      <c r="BX187" s="363"/>
      <c r="BY187" s="356" t="n">
        <f aca="false">COUNTIF($M$182:$M$197,BX187)*$D$19</f>
        <v>0</v>
      </c>
      <c r="BZ187" s="407"/>
      <c r="CA187" s="363"/>
      <c r="CB187" s="356" t="n">
        <f aca="false">COUNTIF($M$182:$M$197,CA187)*$D$19</f>
        <v>0</v>
      </c>
      <c r="CC187" s="407"/>
      <c r="CD187" s="363"/>
      <c r="CE187" s="356" t="n">
        <f aca="false">COUNTIF($M$182:$M$197,CD187)*$D$19</f>
        <v>0</v>
      </c>
      <c r="CF187" s="407"/>
      <c r="CG187" s="363"/>
      <c r="CH187" s="356" t="n">
        <f aca="false">COUNTIF($M$182:$M$197,CG187)*$D$19</f>
        <v>0</v>
      </c>
      <c r="CI187" s="407"/>
      <c r="CJ187" s="370"/>
      <c r="CK187" s="356" t="n">
        <f aca="false">COUNTIF($M$182:$M$197,CJ187)*$D$19</f>
        <v>0</v>
      </c>
      <c r="CL187" s="407"/>
      <c r="CM187" s="363"/>
      <c r="CN187" s="356" t="n">
        <f aca="false">COUNTIF($M$182:$M$197,CM187)*$D$19</f>
        <v>0</v>
      </c>
      <c r="CO187" s="407"/>
      <c r="CP187" s="363"/>
      <c r="CQ187" s="356" t="n">
        <f aca="false">COUNTIF($M$182:$M$197,CP187)*$D$19</f>
        <v>0</v>
      </c>
      <c r="CR187" s="407"/>
      <c r="CS187" s="363"/>
      <c r="CT187" s="356" t="n">
        <f aca="false">COUNTIF($M$182:$M$197,CS187)*$D$19</f>
        <v>0</v>
      </c>
      <c r="CU187" s="407"/>
      <c r="CV187" s="363"/>
      <c r="CW187" s="356" t="n">
        <f aca="false">COUNTIF($M$182:$M$197,CV187)*$D$19</f>
        <v>0</v>
      </c>
      <c r="CX187" s="407"/>
      <c r="CY187" s="370"/>
      <c r="CZ187" s="356" t="n">
        <f aca="false">COUNTIF($M$182:$M$197,CY187)*$D$19</f>
        <v>0</v>
      </c>
      <c r="DA187" s="407"/>
      <c r="DB187" s="363"/>
      <c r="DC187" s="356" t="n">
        <f aca="false">COUNTIF($M$182:$M$197,DB187)*$D$19</f>
        <v>0</v>
      </c>
      <c r="DD187" s="407"/>
      <c r="DE187" s="363"/>
      <c r="DF187" s="356" t="n">
        <f aca="false">COUNTIF($M$182:$M$197,DE187)*$D$19</f>
        <v>0</v>
      </c>
      <c r="DG187" s="407"/>
      <c r="DH187" s="363"/>
      <c r="DI187" s="356" t="n">
        <f aca="false">COUNTIF($M$182:$M$197,DH187)*$D$19</f>
        <v>0</v>
      </c>
      <c r="DJ187" s="407"/>
      <c r="DK187" s="363"/>
      <c r="DL187" s="356" t="n">
        <f aca="false">COUNTIF($M$182:$M$197,DK187)*$D$19</f>
        <v>0</v>
      </c>
      <c r="DM187" s="407"/>
      <c r="DN187" s="370"/>
      <c r="DO187" s="356" t="n">
        <f aca="false">COUNTIF($M$182:$M$197,DN187)*$D$19</f>
        <v>0</v>
      </c>
      <c r="DP187" s="407"/>
      <c r="DQ187" s="363"/>
      <c r="DR187" s="356" t="n">
        <f aca="false">COUNTIF($M$182:$M$197,DQ187)*$D$19</f>
        <v>0</v>
      </c>
      <c r="DS187" s="407"/>
      <c r="DT187" s="363"/>
      <c r="DU187" s="356" t="n">
        <f aca="false">COUNTIF($M$182:$M$197,DT187)*$D$19</f>
        <v>0</v>
      </c>
      <c r="DV187" s="407"/>
      <c r="DW187" s="363"/>
      <c r="DX187" s="356" t="n">
        <f aca="false">COUNTIF($M$182:$M$197,DW187)*$D$19</f>
        <v>0</v>
      </c>
      <c r="DY187" s="407"/>
      <c r="DZ187" s="363"/>
      <c r="EA187" s="356" t="n">
        <f aca="false">COUNTIF($M$182:$M$197,DZ187)*$D$19</f>
        <v>0</v>
      </c>
      <c r="EB187" s="407"/>
      <c r="EC187" s="370"/>
      <c r="ED187" s="356" t="n">
        <f aca="false">COUNTIF($M$182:$M$197,EC187)*$D$19</f>
        <v>0</v>
      </c>
      <c r="EE187" s="407"/>
      <c r="EF187" s="363"/>
      <c r="EG187" s="356" t="n">
        <f aca="false">COUNTIF($M$182:$M$197,EF187)*$D$19</f>
        <v>0</v>
      </c>
      <c r="EH187" s="407"/>
      <c r="EI187" s="407"/>
    </row>
    <row r="188" customFormat="false" ht="15" hidden="false" customHeight="false" outlineLevel="0" collapsed="false">
      <c r="A188" s="332"/>
      <c r="B188" s="332"/>
      <c r="C188" s="422"/>
      <c r="D188" s="422"/>
      <c r="E188" s="422"/>
      <c r="F188" s="423" t="n">
        <f aca="false">$D$19</f>
        <v>4</v>
      </c>
      <c r="G188" s="423" t="n">
        <f aca="false">VLOOKUP(H188,Equipos!$Q$1:$R$25,2,0)</f>
        <v>20</v>
      </c>
      <c r="H188" s="424" t="str">
        <f aca="false">Idiomas!$D$260</f>
        <v>Dieciseisavos de final</v>
      </c>
      <c r="I188" s="410"/>
      <c r="J188" s="418"/>
      <c r="K188" s="367" t="str">
        <f aca="false">Idiomas!$D$199&amp;"-"&amp;ROWS($L$182:L188)</f>
        <v>Octavofinalista-7</v>
      </c>
      <c r="L188" s="354"/>
      <c r="M188" s="359" t="str">
        <f aca="false">WORLDCUP!AA126</f>
        <v>W86</v>
      </c>
      <c r="N188" s="332"/>
      <c r="O188" s="332"/>
      <c r="P188" s="332"/>
      <c r="Q188" s="332"/>
      <c r="R188" s="404"/>
      <c r="S188" s="363" t="s">
        <v>359</v>
      </c>
      <c r="T188" s="356" t="n">
        <f aca="false">COUNTIF($M$182:$M$197,S188)*$D$19</f>
        <v>0</v>
      </c>
      <c r="U188" s="407"/>
      <c r="V188" s="363" t="s">
        <v>366</v>
      </c>
      <c r="W188" s="356" t="n">
        <f aca="false">COUNTIF($M$182:$M$197,V188)*$D$19</f>
        <v>0</v>
      </c>
      <c r="X188" s="407"/>
      <c r="Y188" s="363" t="s">
        <v>366</v>
      </c>
      <c r="Z188" s="356" t="n">
        <f aca="false">COUNTIF($M$182:$M$197,Y188)*$D$19</f>
        <v>0</v>
      </c>
      <c r="AA188" s="407"/>
      <c r="AB188" s="363" t="s">
        <v>366</v>
      </c>
      <c r="AC188" s="356" t="n">
        <f aca="false">COUNTIF($M$182:$M$197,AB188)*$D$19</f>
        <v>0</v>
      </c>
      <c r="AD188" s="407"/>
      <c r="AE188" s="363" t="s">
        <v>366</v>
      </c>
      <c r="AF188" s="356" t="n">
        <f aca="false">COUNTIF($M$182:$M$197,AE188)*$D$19</f>
        <v>0</v>
      </c>
      <c r="AG188" s="407"/>
      <c r="AH188" s="363" t="s">
        <v>366</v>
      </c>
      <c r="AI188" s="356" t="n">
        <f aca="false">COUNTIF($M$182:$M$197,AH188)*$D$19</f>
        <v>0</v>
      </c>
      <c r="AJ188" s="407"/>
      <c r="AK188" s="363" t="s">
        <v>366</v>
      </c>
      <c r="AL188" s="356" t="n">
        <f aca="false">COUNTIF($M$182:$M$197,AK188)*$D$19</f>
        <v>0</v>
      </c>
      <c r="AM188" s="407"/>
      <c r="AN188" s="363" t="s">
        <v>366</v>
      </c>
      <c r="AO188" s="356" t="n">
        <f aca="false">COUNTIF($M$182:$M$197,AN188)*$D$19</f>
        <v>0</v>
      </c>
      <c r="AP188" s="407"/>
      <c r="AQ188" s="363" t="s">
        <v>367</v>
      </c>
      <c r="AR188" s="356" t="n">
        <f aca="false">COUNTIF($M$182:$M$197,AQ188)*$D$19</f>
        <v>0</v>
      </c>
      <c r="AS188" s="407"/>
      <c r="AT188" s="363" t="s">
        <v>359</v>
      </c>
      <c r="AU188" s="356" t="n">
        <f aca="false">COUNTIF($M$182:$M$197,AT188)*$D$19</f>
        <v>0</v>
      </c>
      <c r="AV188" s="407"/>
      <c r="AW188" s="363" t="s">
        <v>366</v>
      </c>
      <c r="AX188" s="356" t="n">
        <f aca="false">COUNTIF($M$182:$M$197,AW188)*$D$19</f>
        <v>0</v>
      </c>
      <c r="AY188" s="407"/>
      <c r="AZ188" s="363" t="s">
        <v>366</v>
      </c>
      <c r="BA188" s="356" t="n">
        <f aca="false">COUNTIF($M$182:$M$197,AZ188)*$D$19</f>
        <v>0</v>
      </c>
      <c r="BB188" s="407"/>
      <c r="BC188" s="363" t="s">
        <v>359</v>
      </c>
      <c r="BD188" s="356" t="n">
        <f aca="false">COUNTIF($M$182:$M$197,BC188)*$D$19</f>
        <v>0</v>
      </c>
      <c r="BE188" s="407"/>
      <c r="BF188" s="363" t="s">
        <v>366</v>
      </c>
      <c r="BG188" s="356" t="n">
        <f aca="false">COUNTIF($M$182:$M$197,BF188)*$D$19</f>
        <v>0</v>
      </c>
      <c r="BH188" s="407"/>
      <c r="BI188" s="363" t="s">
        <v>366</v>
      </c>
      <c r="BJ188" s="356" t="n">
        <f aca="false">COUNTIF($M$182:$M$197,BI188)*$D$19</f>
        <v>0</v>
      </c>
      <c r="BK188" s="407"/>
      <c r="BL188" s="363" t="s">
        <v>366</v>
      </c>
      <c r="BM188" s="356" t="n">
        <f aca="false">COUNTIF($M$182:$M$197,BL188)*$D$19</f>
        <v>0</v>
      </c>
      <c r="BN188" s="407"/>
      <c r="BO188" s="363" t="s">
        <v>366</v>
      </c>
      <c r="BP188" s="356" t="n">
        <f aca="false">COUNTIF($M$182:$M$197,BO188)*$D$19</f>
        <v>0</v>
      </c>
      <c r="BQ188" s="407"/>
      <c r="BR188" s="363" t="s">
        <v>366</v>
      </c>
      <c r="BS188" s="356" t="n">
        <f aca="false">COUNTIF($M$182:$M$197,BR188)*$D$19</f>
        <v>0</v>
      </c>
      <c r="BT188" s="407"/>
      <c r="BU188" s="363"/>
      <c r="BV188" s="356" t="n">
        <f aca="false">COUNTIF($M$182:$M$197,BU188)*$D$19</f>
        <v>0</v>
      </c>
      <c r="BW188" s="407"/>
      <c r="BX188" s="363"/>
      <c r="BY188" s="356" t="n">
        <f aca="false">COUNTIF($M$182:$M$197,BX188)*$D$19</f>
        <v>0</v>
      </c>
      <c r="BZ188" s="407"/>
      <c r="CA188" s="363"/>
      <c r="CB188" s="356" t="n">
        <f aca="false">COUNTIF($M$182:$M$197,CA188)*$D$19</f>
        <v>0</v>
      </c>
      <c r="CC188" s="407"/>
      <c r="CD188" s="363"/>
      <c r="CE188" s="356" t="n">
        <f aca="false">COUNTIF($M$182:$M$197,CD188)*$D$19</f>
        <v>0</v>
      </c>
      <c r="CF188" s="407"/>
      <c r="CG188" s="363"/>
      <c r="CH188" s="356" t="n">
        <f aca="false">COUNTIF($M$182:$M$197,CG188)*$D$19</f>
        <v>0</v>
      </c>
      <c r="CI188" s="407"/>
      <c r="CJ188" s="363"/>
      <c r="CK188" s="356" t="n">
        <f aca="false">COUNTIF($M$182:$M$197,CJ188)*$D$19</f>
        <v>0</v>
      </c>
      <c r="CL188" s="407"/>
      <c r="CM188" s="363"/>
      <c r="CN188" s="356" t="n">
        <f aca="false">COUNTIF($M$182:$M$197,CM188)*$D$19</f>
        <v>0</v>
      </c>
      <c r="CO188" s="407"/>
      <c r="CP188" s="363"/>
      <c r="CQ188" s="356" t="n">
        <f aca="false">COUNTIF($M$182:$M$197,CP188)*$D$19</f>
        <v>0</v>
      </c>
      <c r="CR188" s="407"/>
      <c r="CS188" s="363"/>
      <c r="CT188" s="356" t="n">
        <f aca="false">COUNTIF($M$182:$M$197,CS188)*$D$19</f>
        <v>0</v>
      </c>
      <c r="CU188" s="407"/>
      <c r="CV188" s="363"/>
      <c r="CW188" s="356" t="n">
        <f aca="false">COUNTIF($M$182:$M$197,CV188)*$D$19</f>
        <v>0</v>
      </c>
      <c r="CX188" s="407"/>
      <c r="CY188" s="363"/>
      <c r="CZ188" s="356" t="n">
        <f aca="false">COUNTIF($M$182:$M$197,CY188)*$D$19</f>
        <v>0</v>
      </c>
      <c r="DA188" s="407"/>
      <c r="DB188" s="363"/>
      <c r="DC188" s="356" t="n">
        <f aca="false">COUNTIF($M$182:$M$197,DB188)*$D$19</f>
        <v>0</v>
      </c>
      <c r="DD188" s="407"/>
      <c r="DE188" s="363"/>
      <c r="DF188" s="356" t="n">
        <f aca="false">COUNTIF($M$182:$M$197,DE188)*$D$19</f>
        <v>0</v>
      </c>
      <c r="DG188" s="407"/>
      <c r="DH188" s="363"/>
      <c r="DI188" s="356" t="n">
        <f aca="false">COUNTIF($M$182:$M$197,DH188)*$D$19</f>
        <v>0</v>
      </c>
      <c r="DJ188" s="407"/>
      <c r="DK188" s="363"/>
      <c r="DL188" s="356" t="n">
        <f aca="false">COUNTIF($M$182:$M$197,DK188)*$D$19</f>
        <v>0</v>
      </c>
      <c r="DM188" s="407"/>
      <c r="DN188" s="363"/>
      <c r="DO188" s="356" t="n">
        <f aca="false">COUNTIF($M$182:$M$197,DN188)*$D$19</f>
        <v>0</v>
      </c>
      <c r="DP188" s="407"/>
      <c r="DQ188" s="363"/>
      <c r="DR188" s="356" t="n">
        <f aca="false">COUNTIF($M$182:$M$197,DQ188)*$D$19</f>
        <v>0</v>
      </c>
      <c r="DS188" s="407"/>
      <c r="DT188" s="363"/>
      <c r="DU188" s="356" t="n">
        <f aca="false">COUNTIF($M$182:$M$197,DT188)*$D$19</f>
        <v>0</v>
      </c>
      <c r="DV188" s="407"/>
      <c r="DW188" s="363"/>
      <c r="DX188" s="356" t="n">
        <f aca="false">COUNTIF($M$182:$M$197,DW188)*$D$19</f>
        <v>0</v>
      </c>
      <c r="DY188" s="407"/>
      <c r="DZ188" s="363"/>
      <c r="EA188" s="356" t="n">
        <f aca="false">COUNTIF($M$182:$M$197,DZ188)*$D$19</f>
        <v>0</v>
      </c>
      <c r="EB188" s="407"/>
      <c r="EC188" s="363"/>
      <c r="ED188" s="356" t="n">
        <f aca="false">COUNTIF($M$182:$M$197,EC188)*$D$19</f>
        <v>0</v>
      </c>
      <c r="EE188" s="407"/>
      <c r="EF188" s="363"/>
      <c r="EG188" s="356" t="n">
        <f aca="false">COUNTIF($M$182:$M$197,EF188)*$D$19</f>
        <v>0</v>
      </c>
      <c r="EH188" s="407"/>
      <c r="EI188" s="407"/>
    </row>
    <row r="189" customFormat="false" ht="15" hidden="false" customHeight="false" outlineLevel="0" collapsed="false">
      <c r="A189" s="332"/>
      <c r="B189" s="332"/>
      <c r="C189" s="422"/>
      <c r="D189" s="422"/>
      <c r="E189" s="422"/>
      <c r="F189" s="423" t="n">
        <f aca="false">$D$19</f>
        <v>4</v>
      </c>
      <c r="G189" s="423" t="n">
        <f aca="false">VLOOKUP(H189,Equipos!$Q$1:$R$25,2,0)</f>
        <v>20</v>
      </c>
      <c r="H189" s="424" t="str">
        <f aca="false">Idiomas!$D$260</f>
        <v>Dieciseisavos de final</v>
      </c>
      <c r="I189" s="410"/>
      <c r="J189" s="418"/>
      <c r="K189" s="367" t="str">
        <f aca="false">Idiomas!$D$199&amp;"-"&amp;ROWS($L$182:L189)</f>
        <v>Octavofinalista-8</v>
      </c>
      <c r="L189" s="354"/>
      <c r="M189" s="359" t="str">
        <f aca="false">WORLDCUP!AA127</f>
        <v>W85</v>
      </c>
      <c r="N189" s="332"/>
      <c r="O189" s="332"/>
      <c r="P189" s="332"/>
      <c r="Q189" s="332"/>
      <c r="R189" s="404"/>
      <c r="S189" s="363" t="s">
        <v>368</v>
      </c>
      <c r="T189" s="356" t="n">
        <f aca="false">COUNTIF($M$182:$M$197,S189)*$D$19</f>
        <v>0</v>
      </c>
      <c r="U189" s="407"/>
      <c r="V189" s="363" t="s">
        <v>336</v>
      </c>
      <c r="W189" s="356" t="n">
        <f aca="false">COUNTIF($M$182:$M$197,V189)*$D$19</f>
        <v>0</v>
      </c>
      <c r="X189" s="407"/>
      <c r="Y189" s="363" t="s">
        <v>336</v>
      </c>
      <c r="Z189" s="356" t="n">
        <f aca="false">COUNTIF($M$182:$M$197,Y189)*$D$19</f>
        <v>0</v>
      </c>
      <c r="AA189" s="407"/>
      <c r="AB189" s="363" t="s">
        <v>356</v>
      </c>
      <c r="AC189" s="356" t="n">
        <f aca="false">COUNTIF($M$182:$M$197,AB189)*$D$19</f>
        <v>0</v>
      </c>
      <c r="AD189" s="407"/>
      <c r="AE189" s="363" t="s">
        <v>337</v>
      </c>
      <c r="AF189" s="356" t="n">
        <f aca="false">COUNTIF($M$182:$M$197,AE189)*$D$19</f>
        <v>0</v>
      </c>
      <c r="AG189" s="407"/>
      <c r="AH189" s="363" t="s">
        <v>337</v>
      </c>
      <c r="AI189" s="356" t="n">
        <f aca="false">COUNTIF($M$182:$M$197,AH189)*$D$19</f>
        <v>0</v>
      </c>
      <c r="AJ189" s="407"/>
      <c r="AK189" s="363" t="s">
        <v>337</v>
      </c>
      <c r="AL189" s="356" t="n">
        <f aca="false">COUNTIF($M$182:$M$197,AK189)*$D$19</f>
        <v>0</v>
      </c>
      <c r="AM189" s="407"/>
      <c r="AN189" s="363" t="s">
        <v>336</v>
      </c>
      <c r="AO189" s="356" t="n">
        <f aca="false">COUNTIF($M$182:$M$197,AN189)*$D$19</f>
        <v>0</v>
      </c>
      <c r="AP189" s="407"/>
      <c r="AQ189" s="363" t="s">
        <v>336</v>
      </c>
      <c r="AR189" s="356" t="n">
        <f aca="false">COUNTIF($M$182:$M$197,AQ189)*$D$19</f>
        <v>0</v>
      </c>
      <c r="AS189" s="407"/>
      <c r="AT189" s="363" t="s">
        <v>335</v>
      </c>
      <c r="AU189" s="356" t="n">
        <f aca="false">COUNTIF($M$182:$M$197,AT189)*$D$19</f>
        <v>0</v>
      </c>
      <c r="AV189" s="407"/>
      <c r="AW189" s="363" t="s">
        <v>337</v>
      </c>
      <c r="AX189" s="356" t="n">
        <f aca="false">COUNTIF($M$182:$M$197,AW189)*$D$19</f>
        <v>0</v>
      </c>
      <c r="AY189" s="407"/>
      <c r="AZ189" s="363" t="s">
        <v>336</v>
      </c>
      <c r="BA189" s="356" t="n">
        <f aca="false">COUNTIF($M$182:$M$197,AZ189)*$D$19</f>
        <v>0</v>
      </c>
      <c r="BB189" s="407"/>
      <c r="BC189" s="363" t="s">
        <v>368</v>
      </c>
      <c r="BD189" s="356" t="n">
        <f aca="false">COUNTIF($M$182:$M$197,BC189)*$D$19</f>
        <v>0</v>
      </c>
      <c r="BE189" s="407"/>
      <c r="BF189" s="363" t="s">
        <v>336</v>
      </c>
      <c r="BG189" s="356" t="n">
        <f aca="false">COUNTIF($M$182:$M$197,BF189)*$D$19</f>
        <v>0</v>
      </c>
      <c r="BH189" s="407"/>
      <c r="BI189" s="363" t="s">
        <v>337</v>
      </c>
      <c r="BJ189" s="356" t="n">
        <f aca="false">COUNTIF($M$182:$M$197,BI189)*$D$19</f>
        <v>0</v>
      </c>
      <c r="BK189" s="407"/>
      <c r="BL189" s="363" t="s">
        <v>336</v>
      </c>
      <c r="BM189" s="356" t="n">
        <f aca="false">COUNTIF($M$182:$M$197,BL189)*$D$19</f>
        <v>0</v>
      </c>
      <c r="BN189" s="407"/>
      <c r="BO189" s="363" t="s">
        <v>336</v>
      </c>
      <c r="BP189" s="356" t="n">
        <f aca="false">COUNTIF($M$182:$M$197,BO189)*$D$19</f>
        <v>0</v>
      </c>
      <c r="BQ189" s="407"/>
      <c r="BR189" s="363" t="s">
        <v>336</v>
      </c>
      <c r="BS189" s="356" t="n">
        <f aca="false">COUNTIF($M$182:$M$197,BR189)*$D$19</f>
        <v>0</v>
      </c>
      <c r="BT189" s="407"/>
      <c r="BU189" s="363"/>
      <c r="BV189" s="356" t="n">
        <f aca="false">COUNTIF($M$182:$M$197,BU189)*$D$19</f>
        <v>0</v>
      </c>
      <c r="BW189" s="407"/>
      <c r="BX189" s="363"/>
      <c r="BY189" s="356" t="n">
        <f aca="false">COUNTIF($M$182:$M$197,BX189)*$D$19</f>
        <v>0</v>
      </c>
      <c r="BZ189" s="407"/>
      <c r="CA189" s="363"/>
      <c r="CB189" s="356" t="n">
        <f aca="false">COUNTIF($M$182:$M$197,CA189)*$D$19</f>
        <v>0</v>
      </c>
      <c r="CC189" s="407"/>
      <c r="CD189" s="363"/>
      <c r="CE189" s="356" t="n">
        <f aca="false">COUNTIF($M$182:$M$197,CD189)*$D$19</f>
        <v>0</v>
      </c>
      <c r="CF189" s="407"/>
      <c r="CG189" s="363"/>
      <c r="CH189" s="356" t="n">
        <f aca="false">COUNTIF($M$182:$M$197,CG189)*$D$19</f>
        <v>0</v>
      </c>
      <c r="CI189" s="407"/>
      <c r="CJ189" s="363"/>
      <c r="CK189" s="356" t="n">
        <f aca="false">COUNTIF($M$182:$M$197,CJ189)*$D$19</f>
        <v>0</v>
      </c>
      <c r="CL189" s="407"/>
      <c r="CM189" s="363"/>
      <c r="CN189" s="356" t="n">
        <f aca="false">COUNTIF($M$182:$M$197,CM189)*$D$19</f>
        <v>0</v>
      </c>
      <c r="CO189" s="407"/>
      <c r="CP189" s="363"/>
      <c r="CQ189" s="356" t="n">
        <f aca="false">COUNTIF($M$182:$M$197,CP189)*$D$19</f>
        <v>0</v>
      </c>
      <c r="CR189" s="407"/>
      <c r="CS189" s="363"/>
      <c r="CT189" s="356" t="n">
        <f aca="false">COUNTIF($M$182:$M$197,CS189)*$D$19</f>
        <v>0</v>
      </c>
      <c r="CU189" s="407"/>
      <c r="CV189" s="363"/>
      <c r="CW189" s="356" t="n">
        <f aca="false">COUNTIF($M$182:$M$197,CV189)*$D$19</f>
        <v>0</v>
      </c>
      <c r="CX189" s="407"/>
      <c r="CY189" s="363"/>
      <c r="CZ189" s="356" t="n">
        <f aca="false">COUNTIF($M$182:$M$197,CY189)*$D$19</f>
        <v>0</v>
      </c>
      <c r="DA189" s="407"/>
      <c r="DB189" s="363"/>
      <c r="DC189" s="356" t="n">
        <f aca="false">COUNTIF($M$182:$M$197,DB189)*$D$19</f>
        <v>0</v>
      </c>
      <c r="DD189" s="407"/>
      <c r="DE189" s="363"/>
      <c r="DF189" s="356" t="n">
        <f aca="false">COUNTIF($M$182:$M$197,DE189)*$D$19</f>
        <v>0</v>
      </c>
      <c r="DG189" s="407"/>
      <c r="DH189" s="363"/>
      <c r="DI189" s="356" t="n">
        <f aca="false">COUNTIF($M$182:$M$197,DH189)*$D$19</f>
        <v>0</v>
      </c>
      <c r="DJ189" s="407"/>
      <c r="DK189" s="363"/>
      <c r="DL189" s="356" t="n">
        <f aca="false">COUNTIF($M$182:$M$197,DK189)*$D$19</f>
        <v>0</v>
      </c>
      <c r="DM189" s="407"/>
      <c r="DN189" s="363"/>
      <c r="DO189" s="356" t="n">
        <f aca="false">COUNTIF($M$182:$M$197,DN189)*$D$19</f>
        <v>0</v>
      </c>
      <c r="DP189" s="407"/>
      <c r="DQ189" s="363"/>
      <c r="DR189" s="356" t="n">
        <f aca="false">COUNTIF($M$182:$M$197,DQ189)*$D$19</f>
        <v>0</v>
      </c>
      <c r="DS189" s="407"/>
      <c r="DT189" s="363"/>
      <c r="DU189" s="356" t="n">
        <f aca="false">COUNTIF($M$182:$M$197,DT189)*$D$19</f>
        <v>0</v>
      </c>
      <c r="DV189" s="407"/>
      <c r="DW189" s="363"/>
      <c r="DX189" s="356" t="n">
        <f aca="false">COUNTIF($M$182:$M$197,DW189)*$D$19</f>
        <v>0</v>
      </c>
      <c r="DY189" s="407"/>
      <c r="DZ189" s="363"/>
      <c r="EA189" s="356" t="n">
        <f aca="false">COUNTIF($M$182:$M$197,DZ189)*$D$19</f>
        <v>0</v>
      </c>
      <c r="EB189" s="407"/>
      <c r="EC189" s="363"/>
      <c r="ED189" s="356" t="n">
        <f aca="false">COUNTIF($M$182:$M$197,EC189)*$D$19</f>
        <v>0</v>
      </c>
      <c r="EE189" s="407"/>
      <c r="EF189" s="363"/>
      <c r="EG189" s="356" t="n">
        <f aca="false">COUNTIF($M$182:$M$197,EF189)*$D$19</f>
        <v>0</v>
      </c>
      <c r="EH189" s="407"/>
      <c r="EI189" s="407"/>
    </row>
    <row r="190" customFormat="false" ht="15" hidden="false" customHeight="false" outlineLevel="0" collapsed="false">
      <c r="A190" s="332"/>
      <c r="B190" s="332"/>
      <c r="C190" s="422"/>
      <c r="D190" s="422"/>
      <c r="E190" s="422"/>
      <c r="F190" s="423" t="n">
        <f aca="false">$D$19</f>
        <v>4</v>
      </c>
      <c r="G190" s="423" t="n">
        <f aca="false">VLOOKUP(H190,Equipos!$Q$1:$R$25,2,0)</f>
        <v>20</v>
      </c>
      <c r="H190" s="424" t="str">
        <f aca="false">Idiomas!$D$260</f>
        <v>Dieciseisavos de final</v>
      </c>
      <c r="I190" s="410"/>
      <c r="J190" s="418"/>
      <c r="K190" s="367" t="str">
        <f aca="false">Idiomas!$D$199&amp;"-"&amp;ROWS($L$182:L190)</f>
        <v>Octavofinalista-9</v>
      </c>
      <c r="L190" s="354"/>
      <c r="M190" s="359" t="str">
        <f aca="false">WORLDCUP!AF120</f>
        <v>W75</v>
      </c>
      <c r="N190" s="332"/>
      <c r="O190" s="332"/>
      <c r="P190" s="332"/>
      <c r="Q190" s="332"/>
      <c r="R190" s="404"/>
      <c r="S190" s="363" t="s">
        <v>340</v>
      </c>
      <c r="T190" s="356" t="n">
        <f aca="false">COUNTIF($M$182:$M$197,S190)*$D$19</f>
        <v>0</v>
      </c>
      <c r="U190" s="407"/>
      <c r="V190" s="363" t="s">
        <v>340</v>
      </c>
      <c r="W190" s="356" t="n">
        <f aca="false">COUNTIF($M$182:$M$197,V190)*$D$19</f>
        <v>0</v>
      </c>
      <c r="X190" s="407"/>
      <c r="Y190" s="363" t="s">
        <v>351</v>
      </c>
      <c r="Z190" s="356" t="n">
        <f aca="false">COUNTIF($M$182:$M$197,Y190)*$D$19</f>
        <v>0</v>
      </c>
      <c r="AA190" s="407"/>
      <c r="AB190" s="363" t="s">
        <v>339</v>
      </c>
      <c r="AC190" s="356" t="n">
        <f aca="false">COUNTIF($M$182:$M$197,AB190)*$D$19</f>
        <v>0</v>
      </c>
      <c r="AD190" s="407"/>
      <c r="AE190" s="363" t="s">
        <v>351</v>
      </c>
      <c r="AF190" s="356" t="n">
        <f aca="false">COUNTIF($M$182:$M$197,AE190)*$D$19</f>
        <v>0</v>
      </c>
      <c r="AG190" s="407"/>
      <c r="AH190" s="363" t="s">
        <v>340</v>
      </c>
      <c r="AI190" s="356" t="n">
        <f aca="false">COUNTIF($M$182:$M$197,AH190)*$D$19</f>
        <v>0</v>
      </c>
      <c r="AJ190" s="407"/>
      <c r="AK190" s="363" t="s">
        <v>351</v>
      </c>
      <c r="AL190" s="356" t="n">
        <f aca="false">COUNTIF($M$182:$M$197,AK190)*$D$19</f>
        <v>0</v>
      </c>
      <c r="AM190" s="407"/>
      <c r="AN190" s="363" t="s">
        <v>351</v>
      </c>
      <c r="AO190" s="356" t="n">
        <f aca="false">COUNTIF($M$182:$M$197,AN190)*$D$19</f>
        <v>0</v>
      </c>
      <c r="AP190" s="407"/>
      <c r="AQ190" s="363" t="s">
        <v>339</v>
      </c>
      <c r="AR190" s="356" t="n">
        <f aca="false">COUNTIF($M$182:$M$197,AQ190)*$D$19</f>
        <v>0</v>
      </c>
      <c r="AS190" s="407"/>
      <c r="AT190" s="363" t="s">
        <v>339</v>
      </c>
      <c r="AU190" s="356" t="n">
        <f aca="false">COUNTIF($M$182:$M$197,AT190)*$D$19</f>
        <v>0</v>
      </c>
      <c r="AV190" s="407"/>
      <c r="AW190" s="363" t="s">
        <v>351</v>
      </c>
      <c r="AX190" s="356" t="n">
        <f aca="false">COUNTIF($M$182:$M$197,AW190)*$D$19</f>
        <v>0</v>
      </c>
      <c r="AY190" s="407"/>
      <c r="AZ190" s="363" t="s">
        <v>351</v>
      </c>
      <c r="BA190" s="356" t="n">
        <f aca="false">COUNTIF($M$182:$M$197,AZ190)*$D$19</f>
        <v>0</v>
      </c>
      <c r="BB190" s="407"/>
      <c r="BC190" s="363" t="s">
        <v>351</v>
      </c>
      <c r="BD190" s="356" t="n">
        <f aca="false">COUNTIF($M$182:$M$197,BC190)*$D$19</f>
        <v>0</v>
      </c>
      <c r="BE190" s="407"/>
      <c r="BF190" s="363" t="s">
        <v>340</v>
      </c>
      <c r="BG190" s="356" t="n">
        <f aca="false">COUNTIF($M$182:$M$197,BF190)*$D$19</f>
        <v>0</v>
      </c>
      <c r="BH190" s="407"/>
      <c r="BI190" s="363" t="s">
        <v>351</v>
      </c>
      <c r="BJ190" s="356" t="n">
        <f aca="false">COUNTIF($M$182:$M$197,BI190)*$D$19</f>
        <v>0</v>
      </c>
      <c r="BK190" s="407"/>
      <c r="BL190" s="363" t="s">
        <v>351</v>
      </c>
      <c r="BM190" s="356" t="n">
        <f aca="false">COUNTIF($M$182:$M$197,BL190)*$D$19</f>
        <v>0</v>
      </c>
      <c r="BN190" s="407"/>
      <c r="BO190" s="363" t="s">
        <v>340</v>
      </c>
      <c r="BP190" s="356" t="n">
        <f aca="false">COUNTIF($M$182:$M$197,BO190)*$D$19</f>
        <v>0</v>
      </c>
      <c r="BQ190" s="407"/>
      <c r="BR190" s="363" t="s">
        <v>351</v>
      </c>
      <c r="BS190" s="356" t="n">
        <f aca="false">COUNTIF($M$182:$M$197,BR190)*$D$19</f>
        <v>0</v>
      </c>
      <c r="BT190" s="407"/>
      <c r="BU190" s="363"/>
      <c r="BV190" s="356" t="n">
        <f aca="false">COUNTIF($M$182:$M$197,BU190)*$D$19</f>
        <v>0</v>
      </c>
      <c r="BW190" s="407"/>
      <c r="BX190" s="363"/>
      <c r="BY190" s="356" t="n">
        <f aca="false">COUNTIF($M$182:$M$197,BX190)*$D$19</f>
        <v>0</v>
      </c>
      <c r="BZ190" s="407"/>
      <c r="CA190" s="363"/>
      <c r="CB190" s="356" t="n">
        <f aca="false">COUNTIF($M$182:$M$197,CA190)*$D$19</f>
        <v>0</v>
      </c>
      <c r="CC190" s="407"/>
      <c r="CD190" s="363"/>
      <c r="CE190" s="356" t="n">
        <f aca="false">COUNTIF($M$182:$M$197,CD190)*$D$19</f>
        <v>0</v>
      </c>
      <c r="CF190" s="407"/>
      <c r="CG190" s="363"/>
      <c r="CH190" s="356" t="n">
        <f aca="false">COUNTIF($M$182:$M$197,CG190)*$D$19</f>
        <v>0</v>
      </c>
      <c r="CI190" s="407"/>
      <c r="CJ190" s="363"/>
      <c r="CK190" s="356" t="n">
        <f aca="false">COUNTIF($M$182:$M$197,CJ190)*$D$19</f>
        <v>0</v>
      </c>
      <c r="CL190" s="407"/>
      <c r="CM190" s="363"/>
      <c r="CN190" s="356" t="n">
        <f aca="false">COUNTIF($M$182:$M$197,CM190)*$D$19</f>
        <v>0</v>
      </c>
      <c r="CO190" s="407"/>
      <c r="CP190" s="363"/>
      <c r="CQ190" s="356" t="n">
        <f aca="false">COUNTIF($M$182:$M$197,CP190)*$D$19</f>
        <v>0</v>
      </c>
      <c r="CR190" s="407"/>
      <c r="CS190" s="363"/>
      <c r="CT190" s="356" t="n">
        <f aca="false">COUNTIF($M$182:$M$197,CS190)*$D$19</f>
        <v>0</v>
      </c>
      <c r="CU190" s="407"/>
      <c r="CV190" s="363"/>
      <c r="CW190" s="356" t="n">
        <f aca="false">COUNTIF($M$182:$M$197,CV190)*$D$19</f>
        <v>0</v>
      </c>
      <c r="CX190" s="407"/>
      <c r="CY190" s="363"/>
      <c r="CZ190" s="356" t="n">
        <f aca="false">COUNTIF($M$182:$M$197,CY190)*$D$19</f>
        <v>0</v>
      </c>
      <c r="DA190" s="407"/>
      <c r="DB190" s="363"/>
      <c r="DC190" s="356" t="n">
        <f aca="false">COUNTIF($M$182:$M$197,DB190)*$D$19</f>
        <v>0</v>
      </c>
      <c r="DD190" s="407"/>
      <c r="DE190" s="363"/>
      <c r="DF190" s="356" t="n">
        <f aca="false">COUNTIF($M$182:$M$197,DE190)*$D$19</f>
        <v>0</v>
      </c>
      <c r="DG190" s="407"/>
      <c r="DH190" s="363"/>
      <c r="DI190" s="356" t="n">
        <f aca="false">COUNTIF($M$182:$M$197,DH190)*$D$19</f>
        <v>0</v>
      </c>
      <c r="DJ190" s="407"/>
      <c r="DK190" s="363"/>
      <c r="DL190" s="356" t="n">
        <f aca="false">COUNTIF($M$182:$M$197,DK190)*$D$19</f>
        <v>0</v>
      </c>
      <c r="DM190" s="407"/>
      <c r="DN190" s="363"/>
      <c r="DO190" s="356" t="n">
        <f aca="false">COUNTIF($M$182:$M$197,DN190)*$D$19</f>
        <v>0</v>
      </c>
      <c r="DP190" s="407"/>
      <c r="DQ190" s="363"/>
      <c r="DR190" s="356" t="n">
        <f aca="false">COUNTIF($M$182:$M$197,DQ190)*$D$19</f>
        <v>0</v>
      </c>
      <c r="DS190" s="407"/>
      <c r="DT190" s="363"/>
      <c r="DU190" s="356" t="n">
        <f aca="false">COUNTIF($M$182:$M$197,DT190)*$D$19</f>
        <v>0</v>
      </c>
      <c r="DV190" s="407"/>
      <c r="DW190" s="363"/>
      <c r="DX190" s="356" t="n">
        <f aca="false">COUNTIF($M$182:$M$197,DW190)*$D$19</f>
        <v>0</v>
      </c>
      <c r="DY190" s="407"/>
      <c r="DZ190" s="363"/>
      <c r="EA190" s="356" t="n">
        <f aca="false">COUNTIF($M$182:$M$197,DZ190)*$D$19</f>
        <v>0</v>
      </c>
      <c r="EB190" s="407"/>
      <c r="EC190" s="363"/>
      <c r="ED190" s="356" t="n">
        <f aca="false">COUNTIF($M$182:$M$197,EC190)*$D$19</f>
        <v>0</v>
      </c>
      <c r="EE190" s="407"/>
      <c r="EF190" s="363"/>
      <c r="EG190" s="356" t="n">
        <f aca="false">COUNTIF($M$182:$M$197,EF190)*$D$19</f>
        <v>0</v>
      </c>
      <c r="EH190" s="407"/>
      <c r="EI190" s="407"/>
    </row>
    <row r="191" customFormat="false" ht="15" hidden="false" customHeight="false" outlineLevel="0" collapsed="false">
      <c r="A191" s="332"/>
      <c r="B191" s="332"/>
      <c r="C191" s="422"/>
      <c r="D191" s="422"/>
      <c r="E191" s="422"/>
      <c r="F191" s="423" t="n">
        <f aca="false">$D$19</f>
        <v>4</v>
      </c>
      <c r="G191" s="423" t="n">
        <f aca="false">VLOOKUP(H191,Equipos!$Q$1:$R$25,2,0)</f>
        <v>20</v>
      </c>
      <c r="H191" s="424" t="str">
        <f aca="false">Idiomas!$D$260</f>
        <v>Dieciseisavos de final</v>
      </c>
      <c r="I191" s="410"/>
      <c r="J191" s="418"/>
      <c r="K191" s="367" t="str">
        <f aca="false">Idiomas!$D$199&amp;"-"&amp;ROWS($L$182:L191)</f>
        <v>Octavofinalista-10</v>
      </c>
      <c r="L191" s="354"/>
      <c r="M191" s="359" t="str">
        <f aca="false">WORLDCUP!AF121</f>
        <v>W77</v>
      </c>
      <c r="N191" s="332"/>
      <c r="O191" s="332"/>
      <c r="P191" s="332"/>
      <c r="Q191" s="332"/>
      <c r="R191" s="404"/>
      <c r="S191" s="363" t="s">
        <v>362</v>
      </c>
      <c r="T191" s="356" t="n">
        <f aca="false">COUNTIF($M$182:$M$197,S191)*$D$19</f>
        <v>0</v>
      </c>
      <c r="U191" s="407"/>
      <c r="V191" s="363" t="s">
        <v>362</v>
      </c>
      <c r="W191" s="356" t="n">
        <f aca="false">COUNTIF($M$182:$M$197,V191)*$D$19</f>
        <v>0</v>
      </c>
      <c r="X191" s="407"/>
      <c r="Y191" s="363" t="s">
        <v>362</v>
      </c>
      <c r="Z191" s="356" t="n">
        <f aca="false">COUNTIF($M$182:$M$197,Y191)*$D$19</f>
        <v>0</v>
      </c>
      <c r="AA191" s="407"/>
      <c r="AB191" s="363" t="s">
        <v>362</v>
      </c>
      <c r="AC191" s="356" t="n">
        <f aca="false">COUNTIF($M$182:$M$197,AB191)*$D$19</f>
        <v>0</v>
      </c>
      <c r="AD191" s="407"/>
      <c r="AE191" s="363" t="s">
        <v>362</v>
      </c>
      <c r="AF191" s="356" t="n">
        <f aca="false">COUNTIF($M$182:$M$197,AE191)*$D$19</f>
        <v>0</v>
      </c>
      <c r="AG191" s="407"/>
      <c r="AH191" s="363" t="s">
        <v>362</v>
      </c>
      <c r="AI191" s="356" t="n">
        <f aca="false">COUNTIF($M$182:$M$197,AH191)*$D$19</f>
        <v>0</v>
      </c>
      <c r="AJ191" s="407"/>
      <c r="AK191" s="363" t="s">
        <v>362</v>
      </c>
      <c r="AL191" s="356" t="n">
        <f aca="false">COUNTIF($M$182:$M$197,AK191)*$D$19</f>
        <v>0</v>
      </c>
      <c r="AM191" s="407"/>
      <c r="AN191" s="363" t="s">
        <v>362</v>
      </c>
      <c r="AO191" s="356" t="n">
        <f aca="false">COUNTIF($M$182:$M$197,AN191)*$D$19</f>
        <v>0</v>
      </c>
      <c r="AP191" s="407"/>
      <c r="AQ191" s="363" t="s">
        <v>363</v>
      </c>
      <c r="AR191" s="356" t="n">
        <f aca="false">COUNTIF($M$182:$M$197,AQ191)*$D$19</f>
        <v>0</v>
      </c>
      <c r="AS191" s="407"/>
      <c r="AT191" s="363" t="s">
        <v>362</v>
      </c>
      <c r="AU191" s="356" t="n">
        <f aca="false">COUNTIF($M$182:$M$197,AT191)*$D$19</f>
        <v>0</v>
      </c>
      <c r="AV191" s="407"/>
      <c r="AW191" s="363" t="s">
        <v>362</v>
      </c>
      <c r="AX191" s="356" t="n">
        <f aca="false">COUNTIF($M$182:$M$197,AW191)*$D$19</f>
        <v>0</v>
      </c>
      <c r="AY191" s="407"/>
      <c r="AZ191" s="363" t="s">
        <v>362</v>
      </c>
      <c r="BA191" s="356" t="n">
        <f aca="false">COUNTIF($M$182:$M$197,AZ191)*$D$19</f>
        <v>0</v>
      </c>
      <c r="BB191" s="407"/>
      <c r="BC191" s="363" t="s">
        <v>362</v>
      </c>
      <c r="BD191" s="356" t="n">
        <f aca="false">COUNTIF($M$182:$M$197,BC191)*$D$19</f>
        <v>0</v>
      </c>
      <c r="BE191" s="407"/>
      <c r="BF191" s="363" t="s">
        <v>362</v>
      </c>
      <c r="BG191" s="356" t="n">
        <f aca="false">COUNTIF($M$182:$M$197,BF191)*$D$19</f>
        <v>0</v>
      </c>
      <c r="BH191" s="407"/>
      <c r="BI191" s="363" t="s">
        <v>362</v>
      </c>
      <c r="BJ191" s="356" t="n">
        <f aca="false">COUNTIF($M$182:$M$197,BI191)*$D$19</f>
        <v>0</v>
      </c>
      <c r="BK191" s="407"/>
      <c r="BL191" s="363" t="s">
        <v>362</v>
      </c>
      <c r="BM191" s="356" t="n">
        <f aca="false">COUNTIF($M$182:$M$197,BL191)*$D$19</f>
        <v>0</v>
      </c>
      <c r="BN191" s="407"/>
      <c r="BO191" s="363" t="s">
        <v>362</v>
      </c>
      <c r="BP191" s="356" t="n">
        <f aca="false">COUNTIF($M$182:$M$197,BO191)*$D$19</f>
        <v>0</v>
      </c>
      <c r="BQ191" s="407"/>
      <c r="BR191" s="363" t="s">
        <v>362</v>
      </c>
      <c r="BS191" s="356" t="n">
        <f aca="false">COUNTIF($M$182:$M$197,BR191)*$D$19</f>
        <v>0</v>
      </c>
      <c r="BT191" s="407"/>
      <c r="BU191" s="363"/>
      <c r="BV191" s="356" t="n">
        <f aca="false">COUNTIF($M$182:$M$197,BU191)*$D$19</f>
        <v>0</v>
      </c>
      <c r="BW191" s="407"/>
      <c r="BX191" s="363"/>
      <c r="BY191" s="356" t="n">
        <f aca="false">COUNTIF($M$182:$M$197,BX191)*$D$19</f>
        <v>0</v>
      </c>
      <c r="BZ191" s="407"/>
      <c r="CA191" s="363"/>
      <c r="CB191" s="356" t="n">
        <f aca="false">COUNTIF($M$182:$M$197,CA191)*$D$19</f>
        <v>0</v>
      </c>
      <c r="CC191" s="407"/>
      <c r="CD191" s="363"/>
      <c r="CE191" s="356" t="n">
        <f aca="false">COUNTIF($M$182:$M$197,CD191)*$D$19</f>
        <v>0</v>
      </c>
      <c r="CF191" s="407"/>
      <c r="CG191" s="363"/>
      <c r="CH191" s="356" t="n">
        <f aca="false">COUNTIF($M$182:$M$197,CG191)*$D$19</f>
        <v>0</v>
      </c>
      <c r="CI191" s="407"/>
      <c r="CJ191" s="363"/>
      <c r="CK191" s="356" t="n">
        <f aca="false">COUNTIF($M$182:$M$197,CJ191)*$D$19</f>
        <v>0</v>
      </c>
      <c r="CL191" s="407"/>
      <c r="CM191" s="363"/>
      <c r="CN191" s="356" t="n">
        <f aca="false">COUNTIF($M$182:$M$197,CM191)*$D$19</f>
        <v>0</v>
      </c>
      <c r="CO191" s="407"/>
      <c r="CP191" s="363"/>
      <c r="CQ191" s="356" t="n">
        <f aca="false">COUNTIF($M$182:$M$197,CP191)*$D$19</f>
        <v>0</v>
      </c>
      <c r="CR191" s="407"/>
      <c r="CS191" s="363"/>
      <c r="CT191" s="356" t="n">
        <f aca="false">COUNTIF($M$182:$M$197,CS191)*$D$19</f>
        <v>0</v>
      </c>
      <c r="CU191" s="407"/>
      <c r="CV191" s="363"/>
      <c r="CW191" s="356" t="n">
        <f aca="false">COUNTIF($M$182:$M$197,CV191)*$D$19</f>
        <v>0</v>
      </c>
      <c r="CX191" s="407"/>
      <c r="CY191" s="363"/>
      <c r="CZ191" s="356" t="n">
        <f aca="false">COUNTIF($M$182:$M$197,CY191)*$D$19</f>
        <v>0</v>
      </c>
      <c r="DA191" s="407"/>
      <c r="DB191" s="363"/>
      <c r="DC191" s="356" t="n">
        <f aca="false">COUNTIF($M$182:$M$197,DB191)*$D$19</f>
        <v>0</v>
      </c>
      <c r="DD191" s="407"/>
      <c r="DE191" s="363"/>
      <c r="DF191" s="356" t="n">
        <f aca="false">COUNTIF($M$182:$M$197,DE191)*$D$19</f>
        <v>0</v>
      </c>
      <c r="DG191" s="407"/>
      <c r="DH191" s="363"/>
      <c r="DI191" s="356" t="n">
        <f aca="false">COUNTIF($M$182:$M$197,DH191)*$D$19</f>
        <v>0</v>
      </c>
      <c r="DJ191" s="407"/>
      <c r="DK191" s="363"/>
      <c r="DL191" s="356" t="n">
        <f aca="false">COUNTIF($M$182:$M$197,DK191)*$D$19</f>
        <v>0</v>
      </c>
      <c r="DM191" s="407"/>
      <c r="DN191" s="363"/>
      <c r="DO191" s="356" t="n">
        <f aca="false">COUNTIF($M$182:$M$197,DN191)*$D$19</f>
        <v>0</v>
      </c>
      <c r="DP191" s="407"/>
      <c r="DQ191" s="363"/>
      <c r="DR191" s="356" t="n">
        <f aca="false">COUNTIF($M$182:$M$197,DQ191)*$D$19</f>
        <v>0</v>
      </c>
      <c r="DS191" s="407"/>
      <c r="DT191" s="363"/>
      <c r="DU191" s="356" t="n">
        <f aca="false">COUNTIF($M$182:$M$197,DT191)*$D$19</f>
        <v>0</v>
      </c>
      <c r="DV191" s="407"/>
      <c r="DW191" s="363"/>
      <c r="DX191" s="356" t="n">
        <f aca="false">COUNTIF($M$182:$M$197,DW191)*$D$19</f>
        <v>0</v>
      </c>
      <c r="DY191" s="407"/>
      <c r="DZ191" s="363"/>
      <c r="EA191" s="356" t="n">
        <f aca="false">COUNTIF($M$182:$M$197,DZ191)*$D$19</f>
        <v>0</v>
      </c>
      <c r="EB191" s="407"/>
      <c r="EC191" s="363"/>
      <c r="ED191" s="356" t="n">
        <f aca="false">COUNTIF($M$182:$M$197,EC191)*$D$19</f>
        <v>0</v>
      </c>
      <c r="EE191" s="407"/>
      <c r="EF191" s="363"/>
      <c r="EG191" s="356" t="n">
        <f aca="false">COUNTIF($M$182:$M$197,EF191)*$D$19</f>
        <v>0</v>
      </c>
      <c r="EH191" s="407"/>
      <c r="EI191" s="407"/>
    </row>
    <row r="192" customFormat="false" ht="15" hidden="false" customHeight="false" outlineLevel="0" collapsed="false">
      <c r="A192" s="332"/>
      <c r="B192" s="332"/>
      <c r="C192" s="422"/>
      <c r="D192" s="422"/>
      <c r="E192" s="422"/>
      <c r="F192" s="423" t="n">
        <f aca="false">$D$19</f>
        <v>4</v>
      </c>
      <c r="G192" s="423" t="n">
        <f aca="false">VLOOKUP(H192,Equipos!$Q$1:$R$25,2,0)</f>
        <v>20</v>
      </c>
      <c r="H192" s="424" t="str">
        <f aca="false">Idiomas!$D$260</f>
        <v>Dieciseisavos de final</v>
      </c>
      <c r="I192" s="410"/>
      <c r="J192" s="418"/>
      <c r="K192" s="367" t="str">
        <f aca="false">Idiomas!$D$199&amp;"-"&amp;ROWS($L$182:L192)</f>
        <v>Octavofinalista-11</v>
      </c>
      <c r="L192" s="354"/>
      <c r="M192" s="359" t="str">
        <f aca="false">WORLDCUP!AF122</f>
        <v>W78</v>
      </c>
      <c r="N192" s="332"/>
      <c r="O192" s="332"/>
      <c r="P192" s="332"/>
      <c r="Q192" s="332"/>
      <c r="R192" s="404"/>
      <c r="S192" s="363" t="s">
        <v>363</v>
      </c>
      <c r="T192" s="356" t="n">
        <f aca="false">COUNTIF($M$182:$M$197,S192)*$D$19</f>
        <v>0</v>
      </c>
      <c r="U192" s="407"/>
      <c r="V192" s="363" t="s">
        <v>349</v>
      </c>
      <c r="W192" s="356" t="n">
        <f aca="false">COUNTIF($M$182:$M$197,V192)*$D$19</f>
        <v>0</v>
      </c>
      <c r="X192" s="407"/>
      <c r="Y192" s="363" t="s">
        <v>363</v>
      </c>
      <c r="Z192" s="356" t="n">
        <f aca="false">COUNTIF($M$182:$M$197,Y192)*$D$19</f>
        <v>0</v>
      </c>
      <c r="AA192" s="407"/>
      <c r="AB192" s="363" t="s">
        <v>364</v>
      </c>
      <c r="AC192" s="356" t="n">
        <f aca="false">COUNTIF($M$182:$M$197,AB192)*$D$19</f>
        <v>0</v>
      </c>
      <c r="AD192" s="407"/>
      <c r="AE192" s="363" t="s">
        <v>364</v>
      </c>
      <c r="AF192" s="356" t="n">
        <f aca="false">COUNTIF($M$182:$M$197,AE192)*$D$19</f>
        <v>0</v>
      </c>
      <c r="AG192" s="407"/>
      <c r="AH192" s="363" t="s">
        <v>364</v>
      </c>
      <c r="AI192" s="356" t="n">
        <f aca="false">COUNTIF($M$182:$M$197,AH192)*$D$19</f>
        <v>0</v>
      </c>
      <c r="AJ192" s="407"/>
      <c r="AK192" s="363" t="s">
        <v>363</v>
      </c>
      <c r="AL192" s="356" t="n">
        <f aca="false">COUNTIF($M$182:$M$197,AK192)*$D$19</f>
        <v>0</v>
      </c>
      <c r="AM192" s="407"/>
      <c r="AN192" s="363" t="s">
        <v>364</v>
      </c>
      <c r="AO192" s="356" t="n">
        <f aca="false">COUNTIF($M$182:$M$197,AN192)*$D$19</f>
        <v>0</v>
      </c>
      <c r="AP192" s="407"/>
      <c r="AQ192" s="363" t="s">
        <v>362</v>
      </c>
      <c r="AR192" s="356" t="n">
        <f aca="false">COUNTIF($M$182:$M$197,AQ192)*$D$19</f>
        <v>0</v>
      </c>
      <c r="AS192" s="407"/>
      <c r="AT192" s="363" t="s">
        <v>349</v>
      </c>
      <c r="AU192" s="356" t="n">
        <f aca="false">COUNTIF($M$182:$M$197,AT192)*$D$19</f>
        <v>0</v>
      </c>
      <c r="AV192" s="407"/>
      <c r="AW192" s="363" t="s">
        <v>364</v>
      </c>
      <c r="AX192" s="356" t="n">
        <f aca="false">COUNTIF($M$182:$M$197,AW192)*$D$19</f>
        <v>0</v>
      </c>
      <c r="AY192" s="407"/>
      <c r="AZ192" s="363" t="s">
        <v>364</v>
      </c>
      <c r="BA192" s="356" t="n">
        <f aca="false">COUNTIF($M$182:$M$197,AZ192)*$D$19</f>
        <v>0</v>
      </c>
      <c r="BB192" s="407"/>
      <c r="BC192" s="363" t="s">
        <v>364</v>
      </c>
      <c r="BD192" s="356" t="n">
        <f aca="false">COUNTIF($M$182:$M$197,BC192)*$D$19</f>
        <v>0</v>
      </c>
      <c r="BE192" s="407"/>
      <c r="BF192" s="363" t="s">
        <v>364</v>
      </c>
      <c r="BG192" s="356" t="n">
        <f aca="false">COUNTIF($M$182:$M$197,BF192)*$D$19</f>
        <v>0</v>
      </c>
      <c r="BH192" s="407"/>
      <c r="BI192" s="363" t="s">
        <v>364</v>
      </c>
      <c r="BJ192" s="356" t="n">
        <f aca="false">COUNTIF($M$182:$M$197,BI192)*$D$19</f>
        <v>0</v>
      </c>
      <c r="BK192" s="407"/>
      <c r="BL192" s="363" t="s">
        <v>364</v>
      </c>
      <c r="BM192" s="356" t="n">
        <f aca="false">COUNTIF($M$182:$M$197,BL192)*$D$19</f>
        <v>0</v>
      </c>
      <c r="BN192" s="407"/>
      <c r="BO192" s="363" t="s">
        <v>363</v>
      </c>
      <c r="BP192" s="356" t="n">
        <f aca="false">COUNTIF($M$182:$M$197,BO192)*$D$19</f>
        <v>0</v>
      </c>
      <c r="BQ192" s="407"/>
      <c r="BR192" s="363" t="s">
        <v>349</v>
      </c>
      <c r="BS192" s="356" t="n">
        <f aca="false">COUNTIF($M$182:$M$197,BR192)*$D$19</f>
        <v>0</v>
      </c>
      <c r="BT192" s="407"/>
      <c r="BU192" s="363"/>
      <c r="BV192" s="356" t="n">
        <f aca="false">COUNTIF($M$182:$M$197,BU192)*$D$19</f>
        <v>0</v>
      </c>
      <c r="BW192" s="407"/>
      <c r="BX192" s="363"/>
      <c r="BY192" s="356" t="n">
        <f aca="false">COUNTIF($M$182:$M$197,BX192)*$D$19</f>
        <v>0</v>
      </c>
      <c r="BZ192" s="407"/>
      <c r="CA192" s="363"/>
      <c r="CB192" s="356" t="n">
        <f aca="false">COUNTIF($M$182:$M$197,CA192)*$D$19</f>
        <v>0</v>
      </c>
      <c r="CC192" s="407"/>
      <c r="CD192" s="363"/>
      <c r="CE192" s="356" t="n">
        <f aca="false">COUNTIF($M$182:$M$197,CD192)*$D$19</f>
        <v>0</v>
      </c>
      <c r="CF192" s="407"/>
      <c r="CG192" s="363"/>
      <c r="CH192" s="356" t="n">
        <f aca="false">COUNTIF($M$182:$M$197,CG192)*$D$19</f>
        <v>0</v>
      </c>
      <c r="CI192" s="407"/>
      <c r="CJ192" s="363"/>
      <c r="CK192" s="356" t="n">
        <f aca="false">COUNTIF($M$182:$M$197,CJ192)*$D$19</f>
        <v>0</v>
      </c>
      <c r="CL192" s="407"/>
      <c r="CM192" s="363"/>
      <c r="CN192" s="356" t="n">
        <f aca="false">COUNTIF($M$182:$M$197,CM192)*$D$19</f>
        <v>0</v>
      </c>
      <c r="CO192" s="407"/>
      <c r="CP192" s="363"/>
      <c r="CQ192" s="356" t="n">
        <f aca="false">COUNTIF($M$182:$M$197,CP192)*$D$19</f>
        <v>0</v>
      </c>
      <c r="CR192" s="407"/>
      <c r="CS192" s="363"/>
      <c r="CT192" s="356" t="n">
        <f aca="false">COUNTIF($M$182:$M$197,CS192)*$D$19</f>
        <v>0</v>
      </c>
      <c r="CU192" s="407"/>
      <c r="CV192" s="363"/>
      <c r="CW192" s="356" t="n">
        <f aca="false">COUNTIF($M$182:$M$197,CV192)*$D$19</f>
        <v>0</v>
      </c>
      <c r="CX192" s="407"/>
      <c r="CY192" s="363"/>
      <c r="CZ192" s="356" t="n">
        <f aca="false">COUNTIF($M$182:$M$197,CY192)*$D$19</f>
        <v>0</v>
      </c>
      <c r="DA192" s="407"/>
      <c r="DB192" s="363"/>
      <c r="DC192" s="356" t="n">
        <f aca="false">COUNTIF($M$182:$M$197,DB192)*$D$19</f>
        <v>0</v>
      </c>
      <c r="DD192" s="407"/>
      <c r="DE192" s="363"/>
      <c r="DF192" s="356" t="n">
        <f aca="false">COUNTIF($M$182:$M$197,DE192)*$D$19</f>
        <v>0</v>
      </c>
      <c r="DG192" s="407"/>
      <c r="DH192" s="363"/>
      <c r="DI192" s="356" t="n">
        <f aca="false">COUNTIF($M$182:$M$197,DH192)*$D$19</f>
        <v>0</v>
      </c>
      <c r="DJ192" s="407"/>
      <c r="DK192" s="363"/>
      <c r="DL192" s="356" t="n">
        <f aca="false">COUNTIF($M$182:$M$197,DK192)*$D$19</f>
        <v>0</v>
      </c>
      <c r="DM192" s="407"/>
      <c r="DN192" s="363"/>
      <c r="DO192" s="356" t="n">
        <f aca="false">COUNTIF($M$182:$M$197,DN192)*$D$19</f>
        <v>0</v>
      </c>
      <c r="DP192" s="407"/>
      <c r="DQ192" s="363"/>
      <c r="DR192" s="356" t="n">
        <f aca="false">COUNTIF($M$182:$M$197,DQ192)*$D$19</f>
        <v>0</v>
      </c>
      <c r="DS192" s="407"/>
      <c r="DT192" s="363"/>
      <c r="DU192" s="356" t="n">
        <f aca="false">COUNTIF($M$182:$M$197,DT192)*$D$19</f>
        <v>0</v>
      </c>
      <c r="DV192" s="407"/>
      <c r="DW192" s="363"/>
      <c r="DX192" s="356" t="n">
        <f aca="false">COUNTIF($M$182:$M$197,DW192)*$D$19</f>
        <v>0</v>
      </c>
      <c r="DY192" s="407"/>
      <c r="DZ192" s="363"/>
      <c r="EA192" s="356" t="n">
        <f aca="false">COUNTIF($M$182:$M$197,DZ192)*$D$19</f>
        <v>0</v>
      </c>
      <c r="EB192" s="407"/>
      <c r="EC192" s="363"/>
      <c r="ED192" s="356" t="n">
        <f aca="false">COUNTIF($M$182:$M$197,EC192)*$D$19</f>
        <v>0</v>
      </c>
      <c r="EE192" s="407"/>
      <c r="EF192" s="363"/>
      <c r="EG192" s="356" t="n">
        <f aca="false">COUNTIF($M$182:$M$197,EF192)*$D$19</f>
        <v>0</v>
      </c>
      <c r="EH192" s="407"/>
      <c r="EI192" s="407"/>
    </row>
    <row r="193" customFormat="false" ht="15" hidden="false" customHeight="false" outlineLevel="0" collapsed="false">
      <c r="A193" s="332"/>
      <c r="B193" s="332"/>
      <c r="C193" s="422"/>
      <c r="D193" s="422"/>
      <c r="E193" s="422"/>
      <c r="F193" s="423" t="n">
        <f aca="false">$D$19</f>
        <v>4</v>
      </c>
      <c r="G193" s="423" t="n">
        <f aca="false">VLOOKUP(H193,Equipos!$Q$1:$R$25,2,0)</f>
        <v>20</v>
      </c>
      <c r="H193" s="424" t="str">
        <f aca="false">Idiomas!$D$260</f>
        <v>Dieciseisavos de final</v>
      </c>
      <c r="I193" s="410"/>
      <c r="J193" s="418"/>
      <c r="K193" s="367" t="str">
        <f aca="false">Idiomas!$D$199&amp;"-"&amp;ROWS($L$182:L193)</f>
        <v>Octavofinalista-12</v>
      </c>
      <c r="L193" s="354"/>
      <c r="M193" s="359" t="str">
        <f aca="false">WORLDCUP!AF123</f>
        <v>W80</v>
      </c>
      <c r="N193" s="332"/>
      <c r="O193" s="332"/>
      <c r="P193" s="332"/>
      <c r="Q193" s="332"/>
      <c r="R193" s="404"/>
      <c r="S193" s="363" t="s">
        <v>374</v>
      </c>
      <c r="T193" s="356" t="n">
        <f aca="false">COUNTIF($M$182:$M$197,S193)*$D$19</f>
        <v>0</v>
      </c>
      <c r="U193" s="407"/>
      <c r="V193" s="363" t="s">
        <v>374</v>
      </c>
      <c r="W193" s="356" t="n">
        <f aca="false">COUNTIF($M$182:$M$197,V193)*$D$19</f>
        <v>0</v>
      </c>
      <c r="X193" s="407"/>
      <c r="Y193" s="363" t="s">
        <v>374</v>
      </c>
      <c r="Z193" s="356" t="n">
        <f aca="false">COUNTIF($M$182:$M$197,Y193)*$D$19</f>
        <v>0</v>
      </c>
      <c r="AA193" s="407"/>
      <c r="AB193" s="363" t="s">
        <v>375</v>
      </c>
      <c r="AC193" s="356" t="n">
        <f aca="false">COUNTIF($M$182:$M$197,AB193)*$D$19</f>
        <v>0</v>
      </c>
      <c r="AD193" s="407"/>
      <c r="AE193" s="363" t="s">
        <v>374</v>
      </c>
      <c r="AF193" s="356" t="n">
        <f aca="false">COUNTIF($M$182:$M$197,AE193)*$D$19</f>
        <v>0</v>
      </c>
      <c r="AG193" s="407"/>
      <c r="AH193" s="363" t="s">
        <v>374</v>
      </c>
      <c r="AI193" s="356" t="n">
        <f aca="false">COUNTIF($M$182:$M$197,AH193)*$D$19</f>
        <v>0</v>
      </c>
      <c r="AJ193" s="407"/>
      <c r="AK193" s="363" t="s">
        <v>374</v>
      </c>
      <c r="AL193" s="356" t="n">
        <f aca="false">COUNTIF($M$182:$M$197,AK193)*$D$19</f>
        <v>0</v>
      </c>
      <c r="AM193" s="407"/>
      <c r="AN193" s="363" t="s">
        <v>374</v>
      </c>
      <c r="AO193" s="356" t="n">
        <f aca="false">COUNTIF($M$182:$M$197,AN193)*$D$19</f>
        <v>0</v>
      </c>
      <c r="AP193" s="407"/>
      <c r="AQ193" s="363" t="s">
        <v>374</v>
      </c>
      <c r="AR193" s="356" t="n">
        <f aca="false">COUNTIF($M$182:$M$197,AQ193)*$D$19</f>
        <v>0</v>
      </c>
      <c r="AS193" s="407"/>
      <c r="AT193" s="363" t="s">
        <v>374</v>
      </c>
      <c r="AU193" s="356" t="n">
        <f aca="false">COUNTIF($M$182:$M$197,AT193)*$D$19</f>
        <v>0</v>
      </c>
      <c r="AV193" s="407"/>
      <c r="AW193" s="363" t="s">
        <v>374</v>
      </c>
      <c r="AX193" s="356" t="n">
        <f aca="false">COUNTIF($M$182:$M$197,AW193)*$D$19</f>
        <v>0</v>
      </c>
      <c r="AY193" s="407"/>
      <c r="AZ193" s="363" t="s">
        <v>374</v>
      </c>
      <c r="BA193" s="356" t="n">
        <f aca="false">COUNTIF($M$182:$M$197,AZ193)*$D$19</f>
        <v>0</v>
      </c>
      <c r="BB193" s="407"/>
      <c r="BC193" s="363" t="s">
        <v>376</v>
      </c>
      <c r="BD193" s="356" t="n">
        <f aca="false">COUNTIF($M$182:$M$197,BC193)*$D$19</f>
        <v>0</v>
      </c>
      <c r="BE193" s="407"/>
      <c r="BF193" s="363" t="s">
        <v>374</v>
      </c>
      <c r="BG193" s="356" t="n">
        <f aca="false">COUNTIF($M$182:$M$197,BF193)*$D$19</f>
        <v>0</v>
      </c>
      <c r="BH193" s="407"/>
      <c r="BI193" s="363" t="s">
        <v>374</v>
      </c>
      <c r="BJ193" s="356" t="n">
        <f aca="false">COUNTIF($M$182:$M$197,BI193)*$D$19</f>
        <v>0</v>
      </c>
      <c r="BK193" s="407"/>
      <c r="BL193" s="363" t="s">
        <v>374</v>
      </c>
      <c r="BM193" s="356" t="n">
        <f aca="false">COUNTIF($M$182:$M$197,BL193)*$D$19</f>
        <v>0</v>
      </c>
      <c r="BN193" s="407"/>
      <c r="BO193" s="363" t="s">
        <v>374</v>
      </c>
      <c r="BP193" s="356" t="n">
        <f aca="false">COUNTIF($M$182:$M$197,BO193)*$D$19</f>
        <v>0</v>
      </c>
      <c r="BQ193" s="407"/>
      <c r="BR193" s="363" t="s">
        <v>374</v>
      </c>
      <c r="BS193" s="356" t="n">
        <f aca="false">COUNTIF($M$182:$M$197,BR193)*$D$19</f>
        <v>0</v>
      </c>
      <c r="BT193" s="407"/>
      <c r="BU193" s="363"/>
      <c r="BV193" s="356" t="n">
        <f aca="false">COUNTIF($M$182:$M$197,BU193)*$D$19</f>
        <v>0</v>
      </c>
      <c r="BW193" s="407"/>
      <c r="BX193" s="363"/>
      <c r="BY193" s="356" t="n">
        <f aca="false">COUNTIF($M$182:$M$197,BX193)*$D$19</f>
        <v>0</v>
      </c>
      <c r="BZ193" s="407"/>
      <c r="CA193" s="363"/>
      <c r="CB193" s="356" t="n">
        <f aca="false">COUNTIF($M$182:$M$197,CA193)*$D$19</f>
        <v>0</v>
      </c>
      <c r="CC193" s="407"/>
      <c r="CD193" s="363"/>
      <c r="CE193" s="356" t="n">
        <f aca="false">COUNTIF($M$182:$M$197,CD193)*$D$19</f>
        <v>0</v>
      </c>
      <c r="CF193" s="407"/>
      <c r="CG193" s="363"/>
      <c r="CH193" s="356" t="n">
        <f aca="false">COUNTIF($M$182:$M$197,CG193)*$D$19</f>
        <v>0</v>
      </c>
      <c r="CI193" s="407"/>
      <c r="CJ193" s="363"/>
      <c r="CK193" s="356" t="n">
        <f aca="false">COUNTIF($M$182:$M$197,CJ193)*$D$19</f>
        <v>0</v>
      </c>
      <c r="CL193" s="407"/>
      <c r="CM193" s="363"/>
      <c r="CN193" s="356" t="n">
        <f aca="false">COUNTIF($M$182:$M$197,CM193)*$D$19</f>
        <v>0</v>
      </c>
      <c r="CO193" s="407"/>
      <c r="CP193" s="363"/>
      <c r="CQ193" s="356" t="n">
        <f aca="false">COUNTIF($M$182:$M$197,CP193)*$D$19</f>
        <v>0</v>
      </c>
      <c r="CR193" s="407"/>
      <c r="CS193" s="363"/>
      <c r="CT193" s="356" t="n">
        <f aca="false">COUNTIF($M$182:$M$197,CS193)*$D$19</f>
        <v>0</v>
      </c>
      <c r="CU193" s="407"/>
      <c r="CV193" s="363"/>
      <c r="CW193" s="356" t="n">
        <f aca="false">COUNTIF($M$182:$M$197,CV193)*$D$19</f>
        <v>0</v>
      </c>
      <c r="CX193" s="407"/>
      <c r="CY193" s="363"/>
      <c r="CZ193" s="356" t="n">
        <f aca="false">COUNTIF($M$182:$M$197,CY193)*$D$19</f>
        <v>0</v>
      </c>
      <c r="DA193" s="407"/>
      <c r="DB193" s="363"/>
      <c r="DC193" s="356" t="n">
        <f aca="false">COUNTIF($M$182:$M$197,DB193)*$D$19</f>
        <v>0</v>
      </c>
      <c r="DD193" s="407"/>
      <c r="DE193" s="363"/>
      <c r="DF193" s="356" t="n">
        <f aca="false">COUNTIF($M$182:$M$197,DE193)*$D$19</f>
        <v>0</v>
      </c>
      <c r="DG193" s="407"/>
      <c r="DH193" s="363"/>
      <c r="DI193" s="356" t="n">
        <f aca="false">COUNTIF($M$182:$M$197,DH193)*$D$19</f>
        <v>0</v>
      </c>
      <c r="DJ193" s="407"/>
      <c r="DK193" s="363"/>
      <c r="DL193" s="356" t="n">
        <f aca="false">COUNTIF($M$182:$M$197,DK193)*$D$19</f>
        <v>0</v>
      </c>
      <c r="DM193" s="407"/>
      <c r="DN193" s="363"/>
      <c r="DO193" s="356" t="n">
        <f aca="false">COUNTIF($M$182:$M$197,DN193)*$D$19</f>
        <v>0</v>
      </c>
      <c r="DP193" s="407"/>
      <c r="DQ193" s="363"/>
      <c r="DR193" s="356" t="n">
        <f aca="false">COUNTIF($M$182:$M$197,DQ193)*$D$19</f>
        <v>0</v>
      </c>
      <c r="DS193" s="407"/>
      <c r="DT193" s="363"/>
      <c r="DU193" s="356" t="n">
        <f aca="false">COUNTIF($M$182:$M$197,DT193)*$D$19</f>
        <v>0</v>
      </c>
      <c r="DV193" s="407"/>
      <c r="DW193" s="363"/>
      <c r="DX193" s="356" t="n">
        <f aca="false">COUNTIF($M$182:$M$197,DW193)*$D$19</f>
        <v>0</v>
      </c>
      <c r="DY193" s="407"/>
      <c r="DZ193" s="363"/>
      <c r="EA193" s="356" t="n">
        <f aca="false">COUNTIF($M$182:$M$197,DZ193)*$D$19</f>
        <v>0</v>
      </c>
      <c r="EB193" s="407"/>
      <c r="EC193" s="363"/>
      <c r="ED193" s="356" t="n">
        <f aca="false">COUNTIF($M$182:$M$197,EC193)*$D$19</f>
        <v>0</v>
      </c>
      <c r="EE193" s="407"/>
      <c r="EF193" s="363"/>
      <c r="EG193" s="356" t="n">
        <f aca="false">COUNTIF($M$182:$M$197,EF193)*$D$19</f>
        <v>0</v>
      </c>
      <c r="EH193" s="407"/>
      <c r="EI193" s="407"/>
    </row>
    <row r="194" customFormat="false" ht="15" hidden="false" customHeight="false" outlineLevel="0" collapsed="false">
      <c r="A194" s="332"/>
      <c r="B194" s="332"/>
      <c r="C194" s="422"/>
      <c r="D194" s="422"/>
      <c r="E194" s="422"/>
      <c r="F194" s="423" t="n">
        <f aca="false">$D$19</f>
        <v>4</v>
      </c>
      <c r="G194" s="423" t="n">
        <f aca="false">VLOOKUP(H194,Equipos!$Q$1:$R$25,2,0)</f>
        <v>20</v>
      </c>
      <c r="H194" s="424" t="str">
        <f aca="false">Idiomas!$D$260</f>
        <v>Dieciseisavos de final</v>
      </c>
      <c r="I194" s="410"/>
      <c r="J194" s="418"/>
      <c r="K194" s="367" t="str">
        <f aca="false">Idiomas!$D$199&amp;"-"&amp;ROWS($L$182:L194)</f>
        <v>Octavofinalista-13</v>
      </c>
      <c r="L194" s="354"/>
      <c r="M194" s="359" t="str">
        <f aca="false">WORLDCUP!AF124</f>
        <v>W84</v>
      </c>
      <c r="N194" s="332"/>
      <c r="O194" s="332"/>
      <c r="P194" s="332"/>
      <c r="Q194" s="332"/>
      <c r="R194" s="404"/>
      <c r="S194" s="363" t="s">
        <v>2</v>
      </c>
      <c r="T194" s="356" t="n">
        <f aca="false">COUNTIF($M$182:$M$197,S194)*$D$19</f>
        <v>0</v>
      </c>
      <c r="U194" s="407"/>
      <c r="V194" s="363" t="s">
        <v>2</v>
      </c>
      <c r="W194" s="356" t="n">
        <f aca="false">COUNTIF($M$182:$M$197,V194)*$D$19</f>
        <v>0</v>
      </c>
      <c r="X194" s="407"/>
      <c r="Y194" s="363" t="s">
        <v>2</v>
      </c>
      <c r="Z194" s="356" t="n">
        <f aca="false">COUNTIF($M$182:$M$197,Y194)*$D$19</f>
        <v>0</v>
      </c>
      <c r="AA194" s="407"/>
      <c r="AB194" s="363" t="s">
        <v>2</v>
      </c>
      <c r="AC194" s="356" t="n">
        <f aca="false">COUNTIF($M$182:$M$197,AB194)*$D$19</f>
        <v>0</v>
      </c>
      <c r="AD194" s="407"/>
      <c r="AE194" s="363" t="s">
        <v>2</v>
      </c>
      <c r="AF194" s="356" t="n">
        <f aca="false">COUNTIF($M$182:$M$197,AE194)*$D$19</f>
        <v>0</v>
      </c>
      <c r="AG194" s="407"/>
      <c r="AH194" s="363" t="s">
        <v>2</v>
      </c>
      <c r="AI194" s="356" t="n">
        <f aca="false">COUNTIF($M$182:$M$197,AH194)*$D$19</f>
        <v>0</v>
      </c>
      <c r="AJ194" s="407"/>
      <c r="AK194" s="363" t="s">
        <v>2</v>
      </c>
      <c r="AL194" s="356" t="n">
        <f aca="false">COUNTIF($M$182:$M$197,AK194)*$D$19</f>
        <v>0</v>
      </c>
      <c r="AM194" s="407"/>
      <c r="AN194" s="363" t="s">
        <v>2</v>
      </c>
      <c r="AO194" s="356" t="n">
        <f aca="false">COUNTIF($M$182:$M$197,AN194)*$D$19</f>
        <v>0</v>
      </c>
      <c r="AP194" s="407"/>
      <c r="AQ194" s="363" t="s">
        <v>2</v>
      </c>
      <c r="AR194" s="356" t="n">
        <f aca="false">COUNTIF($M$182:$M$197,AQ194)*$D$19</f>
        <v>0</v>
      </c>
      <c r="AS194" s="407"/>
      <c r="AT194" s="363" t="s">
        <v>2</v>
      </c>
      <c r="AU194" s="356" t="n">
        <f aca="false">COUNTIF($M$182:$M$197,AT194)*$D$19</f>
        <v>0</v>
      </c>
      <c r="AV194" s="407"/>
      <c r="AW194" s="363" t="s">
        <v>2</v>
      </c>
      <c r="AX194" s="356" t="n">
        <f aca="false">COUNTIF($M$182:$M$197,AW194)*$D$19</f>
        <v>0</v>
      </c>
      <c r="AY194" s="407"/>
      <c r="AZ194" s="363" t="s">
        <v>2</v>
      </c>
      <c r="BA194" s="356" t="n">
        <f aca="false">COUNTIF($M$182:$M$197,AZ194)*$D$19</f>
        <v>0</v>
      </c>
      <c r="BB194" s="407"/>
      <c r="BC194" s="363" t="s">
        <v>2</v>
      </c>
      <c r="BD194" s="356" t="n">
        <f aca="false">COUNTIF($M$182:$M$197,BC194)*$D$19</f>
        <v>0</v>
      </c>
      <c r="BE194" s="407"/>
      <c r="BF194" s="363" t="s">
        <v>2</v>
      </c>
      <c r="BG194" s="356" t="n">
        <f aca="false">COUNTIF($M$182:$M$197,BF194)*$D$19</f>
        <v>0</v>
      </c>
      <c r="BH194" s="407"/>
      <c r="BI194" s="363" t="s">
        <v>2</v>
      </c>
      <c r="BJ194" s="356" t="n">
        <f aca="false">COUNTIF($M$182:$M$197,BI194)*$D$19</f>
        <v>0</v>
      </c>
      <c r="BK194" s="407"/>
      <c r="BL194" s="363" t="s">
        <v>2</v>
      </c>
      <c r="BM194" s="356" t="n">
        <f aca="false">COUNTIF($M$182:$M$197,BL194)*$D$19</f>
        <v>0</v>
      </c>
      <c r="BN194" s="407"/>
      <c r="BO194" s="363" t="s">
        <v>2</v>
      </c>
      <c r="BP194" s="356" t="n">
        <f aca="false">COUNTIF($M$182:$M$197,BO194)*$D$19</f>
        <v>0</v>
      </c>
      <c r="BQ194" s="407"/>
      <c r="BR194" s="363" t="s">
        <v>2</v>
      </c>
      <c r="BS194" s="356" t="n">
        <f aca="false">COUNTIF($M$182:$M$197,BR194)*$D$19</f>
        <v>0</v>
      </c>
      <c r="BT194" s="407"/>
      <c r="BU194" s="363"/>
      <c r="BV194" s="356" t="n">
        <f aca="false">COUNTIF($M$182:$M$197,BU194)*$D$19</f>
        <v>0</v>
      </c>
      <c r="BW194" s="407"/>
      <c r="BX194" s="363"/>
      <c r="BY194" s="356" t="n">
        <f aca="false">COUNTIF($M$182:$M$197,BX194)*$D$19</f>
        <v>0</v>
      </c>
      <c r="BZ194" s="407"/>
      <c r="CA194" s="363"/>
      <c r="CB194" s="356" t="n">
        <f aca="false">COUNTIF($M$182:$M$197,CA194)*$D$19</f>
        <v>0</v>
      </c>
      <c r="CC194" s="407"/>
      <c r="CD194" s="363"/>
      <c r="CE194" s="356" t="n">
        <f aca="false">COUNTIF($M$182:$M$197,CD194)*$D$19</f>
        <v>0</v>
      </c>
      <c r="CF194" s="407"/>
      <c r="CG194" s="363"/>
      <c r="CH194" s="356" t="n">
        <f aca="false">COUNTIF($M$182:$M$197,CG194)*$D$19</f>
        <v>0</v>
      </c>
      <c r="CI194" s="407"/>
      <c r="CJ194" s="363"/>
      <c r="CK194" s="356" t="n">
        <f aca="false">COUNTIF($M$182:$M$197,CJ194)*$D$19</f>
        <v>0</v>
      </c>
      <c r="CL194" s="407"/>
      <c r="CM194" s="363"/>
      <c r="CN194" s="356" t="n">
        <f aca="false">COUNTIF($M$182:$M$197,CM194)*$D$19</f>
        <v>0</v>
      </c>
      <c r="CO194" s="407"/>
      <c r="CP194" s="363"/>
      <c r="CQ194" s="356" t="n">
        <f aca="false">COUNTIF($M$182:$M$197,CP194)*$D$19</f>
        <v>0</v>
      </c>
      <c r="CR194" s="407"/>
      <c r="CS194" s="363"/>
      <c r="CT194" s="356" t="n">
        <f aca="false">COUNTIF($M$182:$M$197,CS194)*$D$19</f>
        <v>0</v>
      </c>
      <c r="CU194" s="407"/>
      <c r="CV194" s="363"/>
      <c r="CW194" s="356" t="n">
        <f aca="false">COUNTIF($M$182:$M$197,CV194)*$D$19</f>
        <v>0</v>
      </c>
      <c r="CX194" s="407"/>
      <c r="CY194" s="363"/>
      <c r="CZ194" s="356" t="n">
        <f aca="false">COUNTIF($M$182:$M$197,CY194)*$D$19</f>
        <v>0</v>
      </c>
      <c r="DA194" s="407"/>
      <c r="DB194" s="363"/>
      <c r="DC194" s="356" t="n">
        <f aca="false">COUNTIF($M$182:$M$197,DB194)*$D$19</f>
        <v>0</v>
      </c>
      <c r="DD194" s="407"/>
      <c r="DE194" s="363"/>
      <c r="DF194" s="356" t="n">
        <f aca="false">COUNTIF($M$182:$M$197,DE194)*$D$19</f>
        <v>0</v>
      </c>
      <c r="DG194" s="407"/>
      <c r="DH194" s="363"/>
      <c r="DI194" s="356" t="n">
        <f aca="false">COUNTIF($M$182:$M$197,DH194)*$D$19</f>
        <v>0</v>
      </c>
      <c r="DJ194" s="407"/>
      <c r="DK194" s="363"/>
      <c r="DL194" s="356" t="n">
        <f aca="false">COUNTIF($M$182:$M$197,DK194)*$D$19</f>
        <v>0</v>
      </c>
      <c r="DM194" s="407"/>
      <c r="DN194" s="363"/>
      <c r="DO194" s="356" t="n">
        <f aca="false">COUNTIF($M$182:$M$197,DN194)*$D$19</f>
        <v>0</v>
      </c>
      <c r="DP194" s="407"/>
      <c r="DQ194" s="363"/>
      <c r="DR194" s="356" t="n">
        <f aca="false">COUNTIF($M$182:$M$197,DQ194)*$D$19</f>
        <v>0</v>
      </c>
      <c r="DS194" s="407"/>
      <c r="DT194" s="363"/>
      <c r="DU194" s="356" t="n">
        <f aca="false">COUNTIF($M$182:$M$197,DT194)*$D$19</f>
        <v>0</v>
      </c>
      <c r="DV194" s="407"/>
      <c r="DW194" s="363"/>
      <c r="DX194" s="356" t="n">
        <f aca="false">COUNTIF($M$182:$M$197,DW194)*$D$19</f>
        <v>0</v>
      </c>
      <c r="DY194" s="407"/>
      <c r="DZ194" s="363"/>
      <c r="EA194" s="356" t="n">
        <f aca="false">COUNTIF($M$182:$M$197,DZ194)*$D$19</f>
        <v>0</v>
      </c>
      <c r="EB194" s="407"/>
      <c r="EC194" s="363"/>
      <c r="ED194" s="356" t="n">
        <f aca="false">COUNTIF($M$182:$M$197,EC194)*$D$19</f>
        <v>0</v>
      </c>
      <c r="EE194" s="407"/>
      <c r="EF194" s="363"/>
      <c r="EG194" s="356" t="n">
        <f aca="false">COUNTIF($M$182:$M$197,EF194)*$D$19</f>
        <v>0</v>
      </c>
      <c r="EH194" s="407"/>
      <c r="EI194" s="407"/>
    </row>
    <row r="195" customFormat="false" ht="15" hidden="false" customHeight="false" outlineLevel="0" collapsed="false">
      <c r="A195" s="332"/>
      <c r="B195" s="332"/>
      <c r="C195" s="422"/>
      <c r="D195" s="422"/>
      <c r="E195" s="422"/>
      <c r="F195" s="423" t="n">
        <f aca="false">$D$19</f>
        <v>4</v>
      </c>
      <c r="G195" s="423" t="n">
        <f aca="false">VLOOKUP(H195,Equipos!$Q$1:$R$25,2,0)</f>
        <v>20</v>
      </c>
      <c r="H195" s="424" t="str">
        <f aca="false">Idiomas!$D$260</f>
        <v>Dieciseisavos de final</v>
      </c>
      <c r="I195" s="410"/>
      <c r="J195" s="418"/>
      <c r="K195" s="367" t="str">
        <f aca="false">Idiomas!$D$199&amp;"-"&amp;ROWS($L$182:L195)</f>
        <v>Octavofinalista-14</v>
      </c>
      <c r="L195" s="354"/>
      <c r="M195" s="359" t="str">
        <f aca="false">WORLDCUP!AF125</f>
        <v>W82</v>
      </c>
      <c r="N195" s="332"/>
      <c r="O195" s="332"/>
      <c r="P195" s="332"/>
      <c r="Q195" s="332"/>
      <c r="R195" s="404"/>
      <c r="S195" s="363" t="s">
        <v>355</v>
      </c>
      <c r="T195" s="356" t="n">
        <f aca="false">COUNTIF($M$182:$M$197,S195)*$D$19</f>
        <v>0</v>
      </c>
      <c r="U195" s="407"/>
      <c r="V195" s="363" t="s">
        <v>355</v>
      </c>
      <c r="W195" s="356" t="n">
        <f aca="false">COUNTIF($M$182:$M$197,V195)*$D$19</f>
        <v>0</v>
      </c>
      <c r="X195" s="407"/>
      <c r="Y195" s="363" t="s">
        <v>355</v>
      </c>
      <c r="Z195" s="356" t="n">
        <f aca="false">COUNTIF($M$182:$M$197,Y195)*$D$19</f>
        <v>0</v>
      </c>
      <c r="AA195" s="407"/>
      <c r="AB195" s="363" t="s">
        <v>355</v>
      </c>
      <c r="AC195" s="356" t="n">
        <f aca="false">COUNTIF($M$182:$M$197,AB195)*$D$19</f>
        <v>0</v>
      </c>
      <c r="AD195" s="407"/>
      <c r="AE195" s="363" t="s">
        <v>355</v>
      </c>
      <c r="AF195" s="356" t="n">
        <f aca="false">COUNTIF($M$182:$M$197,AE195)*$D$19</f>
        <v>0</v>
      </c>
      <c r="AG195" s="407"/>
      <c r="AH195" s="363" t="s">
        <v>355</v>
      </c>
      <c r="AI195" s="356" t="n">
        <f aca="false">COUNTIF($M$182:$M$197,AH195)*$D$19</f>
        <v>0</v>
      </c>
      <c r="AJ195" s="407"/>
      <c r="AK195" s="363" t="s">
        <v>355</v>
      </c>
      <c r="AL195" s="356" t="n">
        <f aca="false">COUNTIF($M$182:$M$197,AK195)*$D$19</f>
        <v>0</v>
      </c>
      <c r="AM195" s="407"/>
      <c r="AN195" s="363" t="s">
        <v>355</v>
      </c>
      <c r="AO195" s="356" t="n">
        <f aca="false">COUNTIF($M$182:$M$197,AN195)*$D$19</f>
        <v>0</v>
      </c>
      <c r="AP195" s="407"/>
      <c r="AQ195" s="363" t="s">
        <v>355</v>
      </c>
      <c r="AR195" s="356" t="n">
        <f aca="false">COUNTIF($M$182:$M$197,AQ195)*$D$19</f>
        <v>0</v>
      </c>
      <c r="AS195" s="407"/>
      <c r="AT195" s="363" t="s">
        <v>355</v>
      </c>
      <c r="AU195" s="356" t="n">
        <f aca="false">COUNTIF($M$182:$M$197,AT195)*$D$19</f>
        <v>0</v>
      </c>
      <c r="AV195" s="407"/>
      <c r="AW195" s="363" t="s">
        <v>355</v>
      </c>
      <c r="AX195" s="356" t="n">
        <f aca="false">COUNTIF($M$182:$M$197,AW195)*$D$19</f>
        <v>0</v>
      </c>
      <c r="AY195" s="407"/>
      <c r="AZ195" s="363" t="s">
        <v>355</v>
      </c>
      <c r="BA195" s="356" t="n">
        <f aca="false">COUNTIF($M$182:$M$197,AZ195)*$D$19</f>
        <v>0</v>
      </c>
      <c r="BB195" s="407"/>
      <c r="BC195" s="363" t="s">
        <v>355</v>
      </c>
      <c r="BD195" s="356" t="n">
        <f aca="false">COUNTIF($M$182:$M$197,BC195)*$D$19</f>
        <v>0</v>
      </c>
      <c r="BE195" s="407"/>
      <c r="BF195" s="363" t="s">
        <v>355</v>
      </c>
      <c r="BG195" s="356" t="n">
        <f aca="false">COUNTIF($M$182:$M$197,BF195)*$D$19</f>
        <v>0</v>
      </c>
      <c r="BH195" s="407"/>
      <c r="BI195" s="363" t="s">
        <v>355</v>
      </c>
      <c r="BJ195" s="356" t="n">
        <f aca="false">COUNTIF($M$182:$M$197,BI195)*$D$19</f>
        <v>0</v>
      </c>
      <c r="BK195" s="407"/>
      <c r="BL195" s="363" t="s">
        <v>355</v>
      </c>
      <c r="BM195" s="356" t="n">
        <f aca="false">COUNTIF($M$182:$M$197,BL195)*$D$19</f>
        <v>0</v>
      </c>
      <c r="BN195" s="407"/>
      <c r="BO195" s="363" t="s">
        <v>355</v>
      </c>
      <c r="BP195" s="356" t="n">
        <f aca="false">COUNTIF($M$182:$M$197,BO195)*$D$19</f>
        <v>0</v>
      </c>
      <c r="BQ195" s="407"/>
      <c r="BR195" s="363" t="s">
        <v>355</v>
      </c>
      <c r="BS195" s="356" t="n">
        <f aca="false">COUNTIF($M$182:$M$197,BR195)*$D$19</f>
        <v>0</v>
      </c>
      <c r="BT195" s="407"/>
      <c r="BU195" s="363"/>
      <c r="BV195" s="356" t="n">
        <f aca="false">COUNTIF($M$182:$M$197,BU195)*$D$19</f>
        <v>0</v>
      </c>
      <c r="BW195" s="407"/>
      <c r="BX195" s="363"/>
      <c r="BY195" s="356" t="n">
        <f aca="false">COUNTIF($M$182:$M$197,BX195)*$D$19</f>
        <v>0</v>
      </c>
      <c r="BZ195" s="407"/>
      <c r="CA195" s="363"/>
      <c r="CB195" s="356" t="n">
        <f aca="false">COUNTIF($M$182:$M$197,CA195)*$D$19</f>
        <v>0</v>
      </c>
      <c r="CC195" s="407"/>
      <c r="CD195" s="363"/>
      <c r="CE195" s="356" t="n">
        <f aca="false">COUNTIF($M$182:$M$197,CD195)*$D$19</f>
        <v>0</v>
      </c>
      <c r="CF195" s="407"/>
      <c r="CG195" s="363"/>
      <c r="CH195" s="356" t="n">
        <f aca="false">COUNTIF($M$182:$M$197,CG195)*$D$19</f>
        <v>0</v>
      </c>
      <c r="CI195" s="407"/>
      <c r="CJ195" s="363"/>
      <c r="CK195" s="356" t="n">
        <f aca="false">COUNTIF($M$182:$M$197,CJ195)*$D$19</f>
        <v>0</v>
      </c>
      <c r="CL195" s="407"/>
      <c r="CM195" s="363"/>
      <c r="CN195" s="356" t="n">
        <f aca="false">COUNTIF($M$182:$M$197,CM195)*$D$19</f>
        <v>0</v>
      </c>
      <c r="CO195" s="407"/>
      <c r="CP195" s="363"/>
      <c r="CQ195" s="356" t="n">
        <f aca="false">COUNTIF($M$182:$M$197,CP195)*$D$19</f>
        <v>0</v>
      </c>
      <c r="CR195" s="407"/>
      <c r="CS195" s="363"/>
      <c r="CT195" s="356" t="n">
        <f aca="false">COUNTIF($M$182:$M$197,CS195)*$D$19</f>
        <v>0</v>
      </c>
      <c r="CU195" s="407"/>
      <c r="CV195" s="363"/>
      <c r="CW195" s="356" t="n">
        <f aca="false">COUNTIF($M$182:$M$197,CV195)*$D$19</f>
        <v>0</v>
      </c>
      <c r="CX195" s="407"/>
      <c r="CY195" s="363"/>
      <c r="CZ195" s="356" t="n">
        <f aca="false">COUNTIF($M$182:$M$197,CY195)*$D$19</f>
        <v>0</v>
      </c>
      <c r="DA195" s="407"/>
      <c r="DB195" s="363"/>
      <c r="DC195" s="356" t="n">
        <f aca="false">COUNTIF($M$182:$M$197,DB195)*$D$19</f>
        <v>0</v>
      </c>
      <c r="DD195" s="407"/>
      <c r="DE195" s="363"/>
      <c r="DF195" s="356" t="n">
        <f aca="false">COUNTIF($M$182:$M$197,DE195)*$D$19</f>
        <v>0</v>
      </c>
      <c r="DG195" s="407"/>
      <c r="DH195" s="363"/>
      <c r="DI195" s="356" t="n">
        <f aca="false">COUNTIF($M$182:$M$197,DH195)*$D$19</f>
        <v>0</v>
      </c>
      <c r="DJ195" s="407"/>
      <c r="DK195" s="363"/>
      <c r="DL195" s="356" t="n">
        <f aca="false">COUNTIF($M$182:$M$197,DK195)*$D$19</f>
        <v>0</v>
      </c>
      <c r="DM195" s="407"/>
      <c r="DN195" s="363"/>
      <c r="DO195" s="356" t="n">
        <f aca="false">COUNTIF($M$182:$M$197,DN195)*$D$19</f>
        <v>0</v>
      </c>
      <c r="DP195" s="407"/>
      <c r="DQ195" s="363"/>
      <c r="DR195" s="356" t="n">
        <f aca="false">COUNTIF($M$182:$M$197,DQ195)*$D$19</f>
        <v>0</v>
      </c>
      <c r="DS195" s="407"/>
      <c r="DT195" s="363"/>
      <c r="DU195" s="356" t="n">
        <f aca="false">COUNTIF($M$182:$M$197,DT195)*$D$19</f>
        <v>0</v>
      </c>
      <c r="DV195" s="407"/>
      <c r="DW195" s="363"/>
      <c r="DX195" s="356" t="n">
        <f aca="false">COUNTIF($M$182:$M$197,DW195)*$D$19</f>
        <v>0</v>
      </c>
      <c r="DY195" s="407"/>
      <c r="DZ195" s="363"/>
      <c r="EA195" s="356" t="n">
        <f aca="false">COUNTIF($M$182:$M$197,DZ195)*$D$19</f>
        <v>0</v>
      </c>
      <c r="EB195" s="407"/>
      <c r="EC195" s="363"/>
      <c r="ED195" s="356" t="n">
        <f aca="false">COUNTIF($M$182:$M$197,EC195)*$D$19</f>
        <v>0</v>
      </c>
      <c r="EE195" s="407"/>
      <c r="EF195" s="363"/>
      <c r="EG195" s="356" t="n">
        <f aca="false">COUNTIF($M$182:$M$197,EF195)*$D$19</f>
        <v>0</v>
      </c>
      <c r="EH195" s="407"/>
      <c r="EI195" s="407"/>
    </row>
    <row r="196" customFormat="false" ht="15" hidden="false" customHeight="false" outlineLevel="0" collapsed="false">
      <c r="A196" s="332"/>
      <c r="B196" s="332"/>
      <c r="C196" s="422"/>
      <c r="D196" s="422"/>
      <c r="E196" s="422"/>
      <c r="F196" s="423" t="n">
        <f aca="false">$D$19</f>
        <v>4</v>
      </c>
      <c r="G196" s="423" t="n">
        <f aca="false">VLOOKUP(H196,Equipos!$Q$1:$R$25,2,0)</f>
        <v>20</v>
      </c>
      <c r="H196" s="424" t="str">
        <f aca="false">Idiomas!$D$260</f>
        <v>Dieciseisavos de final</v>
      </c>
      <c r="I196" s="410"/>
      <c r="J196" s="418"/>
      <c r="K196" s="367" t="str">
        <f aca="false">Idiomas!$D$199&amp;"-"&amp;ROWS($L$182:L196)</f>
        <v>Octavofinalista-15</v>
      </c>
      <c r="L196" s="354"/>
      <c r="M196" s="359" t="str">
        <f aca="false">WORLDCUP!AF126</f>
        <v>W88</v>
      </c>
      <c r="N196" s="332"/>
      <c r="O196" s="332"/>
      <c r="P196" s="332"/>
      <c r="Q196" s="332"/>
      <c r="R196" s="404"/>
      <c r="S196" s="363" t="s">
        <v>344</v>
      </c>
      <c r="T196" s="356" t="n">
        <f aca="false">COUNTIF($M$182:$M$197,S196)*$D$19</f>
        <v>0</v>
      </c>
      <c r="U196" s="407"/>
      <c r="V196" s="363" t="s">
        <v>343</v>
      </c>
      <c r="W196" s="356" t="n">
        <f aca="false">COUNTIF($M$182:$M$197,V196)*$D$19</f>
        <v>0</v>
      </c>
      <c r="X196" s="407"/>
      <c r="Y196" s="363" t="s">
        <v>356</v>
      </c>
      <c r="Z196" s="356" t="n">
        <f aca="false">COUNTIF($M$182:$M$197,Y196)*$D$19</f>
        <v>0</v>
      </c>
      <c r="AA196" s="407"/>
      <c r="AB196" s="363" t="s">
        <v>344</v>
      </c>
      <c r="AC196" s="356" t="n">
        <f aca="false">COUNTIF($M$182:$M$197,AB196)*$D$19</f>
        <v>0</v>
      </c>
      <c r="AD196" s="407"/>
      <c r="AE196" s="363" t="s">
        <v>356</v>
      </c>
      <c r="AF196" s="356" t="n">
        <f aca="false">COUNTIF($M$182:$M$197,AE196)*$D$19</f>
        <v>0</v>
      </c>
      <c r="AG196" s="407"/>
      <c r="AH196" s="363" t="s">
        <v>343</v>
      </c>
      <c r="AI196" s="356" t="n">
        <f aca="false">COUNTIF($M$182:$M$197,AH196)*$D$19</f>
        <v>0</v>
      </c>
      <c r="AJ196" s="407"/>
      <c r="AK196" s="363" t="s">
        <v>343</v>
      </c>
      <c r="AL196" s="356" t="n">
        <f aca="false">COUNTIF($M$182:$M$197,AK196)*$D$19</f>
        <v>0</v>
      </c>
      <c r="AM196" s="407"/>
      <c r="AN196" s="363" t="s">
        <v>343</v>
      </c>
      <c r="AO196" s="356" t="n">
        <f aca="false">COUNTIF($M$182:$M$197,AN196)*$D$19</f>
        <v>0</v>
      </c>
      <c r="AP196" s="407"/>
      <c r="AQ196" s="363" t="s">
        <v>344</v>
      </c>
      <c r="AR196" s="356" t="n">
        <f aca="false">COUNTIF($M$182:$M$197,AQ196)*$D$19</f>
        <v>0</v>
      </c>
      <c r="AS196" s="407"/>
      <c r="AT196" s="363" t="s">
        <v>345</v>
      </c>
      <c r="AU196" s="356" t="n">
        <f aca="false">COUNTIF($M$182:$M$197,AT196)*$D$19</f>
        <v>0</v>
      </c>
      <c r="AV196" s="407"/>
      <c r="AW196" s="363" t="s">
        <v>343</v>
      </c>
      <c r="AX196" s="356" t="n">
        <f aca="false">COUNTIF($M$182:$M$197,AW196)*$D$19</f>
        <v>0</v>
      </c>
      <c r="AY196" s="407"/>
      <c r="AZ196" s="363" t="s">
        <v>356</v>
      </c>
      <c r="BA196" s="356" t="n">
        <f aca="false">COUNTIF($M$182:$M$197,AZ196)*$D$19</f>
        <v>0</v>
      </c>
      <c r="BB196" s="407"/>
      <c r="BC196" s="363" t="s">
        <v>344</v>
      </c>
      <c r="BD196" s="356" t="n">
        <f aca="false">COUNTIF($M$182:$M$197,BC196)*$D$19</f>
        <v>0</v>
      </c>
      <c r="BE196" s="407"/>
      <c r="BF196" s="363" t="s">
        <v>356</v>
      </c>
      <c r="BG196" s="356" t="n">
        <f aca="false">COUNTIF($M$182:$M$197,BF196)*$D$19</f>
        <v>0</v>
      </c>
      <c r="BH196" s="407"/>
      <c r="BI196" s="363" t="s">
        <v>343</v>
      </c>
      <c r="BJ196" s="356" t="n">
        <f aca="false">COUNTIF($M$182:$M$197,BI196)*$D$19</f>
        <v>0</v>
      </c>
      <c r="BK196" s="407"/>
      <c r="BL196" s="363" t="s">
        <v>343</v>
      </c>
      <c r="BM196" s="356" t="n">
        <f aca="false">COUNTIF($M$182:$M$197,BL196)*$D$19</f>
        <v>0</v>
      </c>
      <c r="BN196" s="407"/>
      <c r="BO196" s="363" t="s">
        <v>343</v>
      </c>
      <c r="BP196" s="356" t="n">
        <f aca="false">COUNTIF($M$182:$M$197,BO196)*$D$19</f>
        <v>0</v>
      </c>
      <c r="BQ196" s="407"/>
      <c r="BR196" s="363" t="s">
        <v>343</v>
      </c>
      <c r="BS196" s="356" t="n">
        <f aca="false">COUNTIF($M$182:$M$197,BR196)*$D$19</f>
        <v>0</v>
      </c>
      <c r="BT196" s="407"/>
      <c r="BU196" s="363"/>
      <c r="BV196" s="356" t="n">
        <f aca="false">COUNTIF($M$182:$M$197,BU196)*$D$19</f>
        <v>0</v>
      </c>
      <c r="BW196" s="407"/>
      <c r="BX196" s="363"/>
      <c r="BY196" s="356" t="n">
        <f aca="false">COUNTIF($M$182:$M$197,BX196)*$D$19</f>
        <v>0</v>
      </c>
      <c r="BZ196" s="407"/>
      <c r="CA196" s="363"/>
      <c r="CB196" s="356" t="n">
        <f aca="false">COUNTIF($M$182:$M$197,CA196)*$D$19</f>
        <v>0</v>
      </c>
      <c r="CC196" s="407"/>
      <c r="CD196" s="363"/>
      <c r="CE196" s="356" t="n">
        <f aca="false">COUNTIF($M$182:$M$197,CD196)*$D$19</f>
        <v>0</v>
      </c>
      <c r="CF196" s="407"/>
      <c r="CG196" s="363"/>
      <c r="CH196" s="356" t="n">
        <f aca="false">COUNTIF($M$182:$M$197,CG196)*$D$19</f>
        <v>0</v>
      </c>
      <c r="CI196" s="407"/>
      <c r="CJ196" s="363"/>
      <c r="CK196" s="356" t="n">
        <f aca="false">COUNTIF($M$182:$M$197,CJ196)*$D$19</f>
        <v>0</v>
      </c>
      <c r="CL196" s="407"/>
      <c r="CM196" s="363"/>
      <c r="CN196" s="356" t="n">
        <f aca="false">COUNTIF($M$182:$M$197,CM196)*$D$19</f>
        <v>0</v>
      </c>
      <c r="CO196" s="407"/>
      <c r="CP196" s="363"/>
      <c r="CQ196" s="356" t="n">
        <f aca="false">COUNTIF($M$182:$M$197,CP196)*$D$19</f>
        <v>0</v>
      </c>
      <c r="CR196" s="407"/>
      <c r="CS196" s="363"/>
      <c r="CT196" s="356" t="n">
        <f aca="false">COUNTIF($M$182:$M$197,CS196)*$D$19</f>
        <v>0</v>
      </c>
      <c r="CU196" s="407"/>
      <c r="CV196" s="363"/>
      <c r="CW196" s="356" t="n">
        <f aca="false">COUNTIF($M$182:$M$197,CV196)*$D$19</f>
        <v>0</v>
      </c>
      <c r="CX196" s="407"/>
      <c r="CY196" s="363"/>
      <c r="CZ196" s="356" t="n">
        <f aca="false">COUNTIF($M$182:$M$197,CY196)*$D$19</f>
        <v>0</v>
      </c>
      <c r="DA196" s="407"/>
      <c r="DB196" s="363"/>
      <c r="DC196" s="356" t="n">
        <f aca="false">COUNTIF($M$182:$M$197,DB196)*$D$19</f>
        <v>0</v>
      </c>
      <c r="DD196" s="407"/>
      <c r="DE196" s="363"/>
      <c r="DF196" s="356" t="n">
        <f aca="false">COUNTIF($M$182:$M$197,DE196)*$D$19</f>
        <v>0</v>
      </c>
      <c r="DG196" s="407"/>
      <c r="DH196" s="363"/>
      <c r="DI196" s="356" t="n">
        <f aca="false">COUNTIF($M$182:$M$197,DH196)*$D$19</f>
        <v>0</v>
      </c>
      <c r="DJ196" s="407"/>
      <c r="DK196" s="363"/>
      <c r="DL196" s="356" t="n">
        <f aca="false">COUNTIF($M$182:$M$197,DK196)*$D$19</f>
        <v>0</v>
      </c>
      <c r="DM196" s="407"/>
      <c r="DN196" s="363"/>
      <c r="DO196" s="356" t="n">
        <f aca="false">COUNTIF($M$182:$M$197,DN196)*$D$19</f>
        <v>0</v>
      </c>
      <c r="DP196" s="407"/>
      <c r="DQ196" s="363"/>
      <c r="DR196" s="356" t="n">
        <f aca="false">COUNTIF($M$182:$M$197,DQ196)*$D$19</f>
        <v>0</v>
      </c>
      <c r="DS196" s="407"/>
      <c r="DT196" s="363"/>
      <c r="DU196" s="356" t="n">
        <f aca="false">COUNTIF($M$182:$M$197,DT196)*$D$19</f>
        <v>0</v>
      </c>
      <c r="DV196" s="407"/>
      <c r="DW196" s="363"/>
      <c r="DX196" s="356" t="n">
        <f aca="false">COUNTIF($M$182:$M$197,DW196)*$D$19</f>
        <v>0</v>
      </c>
      <c r="DY196" s="407"/>
      <c r="DZ196" s="363"/>
      <c r="EA196" s="356" t="n">
        <f aca="false">COUNTIF($M$182:$M$197,DZ196)*$D$19</f>
        <v>0</v>
      </c>
      <c r="EB196" s="407"/>
      <c r="EC196" s="363"/>
      <c r="ED196" s="356" t="n">
        <f aca="false">COUNTIF($M$182:$M$197,EC196)*$D$19</f>
        <v>0</v>
      </c>
      <c r="EE196" s="407"/>
      <c r="EF196" s="363"/>
      <c r="EG196" s="356" t="n">
        <f aca="false">COUNTIF($M$182:$M$197,EF196)*$D$19</f>
        <v>0</v>
      </c>
      <c r="EH196" s="407"/>
      <c r="EI196" s="407"/>
    </row>
    <row r="197" customFormat="false" ht="15" hidden="false" customHeight="false" outlineLevel="0" collapsed="false">
      <c r="A197" s="332"/>
      <c r="B197" s="332"/>
      <c r="C197" s="422"/>
      <c r="D197" s="422"/>
      <c r="E197" s="422"/>
      <c r="F197" s="423" t="n">
        <f aca="false">$D$19</f>
        <v>4</v>
      </c>
      <c r="G197" s="423" t="n">
        <f aca="false">VLOOKUP(H197,Equipos!$Q$1:$R$25,2,0)</f>
        <v>20</v>
      </c>
      <c r="H197" s="424" t="str">
        <f aca="false">Idiomas!$D$260</f>
        <v>Dieciseisavos de final</v>
      </c>
      <c r="I197" s="410"/>
      <c r="J197" s="418"/>
      <c r="K197" s="396" t="str">
        <f aca="false">Idiomas!$D$199&amp;"-"&amp;ROWS($L$182:L197)</f>
        <v>Octavofinalista-16</v>
      </c>
      <c r="L197" s="396"/>
      <c r="M197" s="397" t="str">
        <f aca="false">WORLDCUP!AF127</f>
        <v>W87</v>
      </c>
      <c r="N197" s="332"/>
      <c r="O197" s="332"/>
      <c r="P197" s="332"/>
      <c r="Q197" s="332"/>
      <c r="R197" s="404"/>
      <c r="S197" s="398" t="s">
        <v>370</v>
      </c>
      <c r="T197" s="399" t="n">
        <f aca="false">COUNTIF($M$182:$M$197,S197)*$D$19</f>
        <v>0</v>
      </c>
      <c r="U197" s="407"/>
      <c r="V197" s="398" t="s">
        <v>370</v>
      </c>
      <c r="W197" s="399" t="n">
        <f aca="false">COUNTIF($M$182:$M$197,V197)*$D$19</f>
        <v>0</v>
      </c>
      <c r="X197" s="407"/>
      <c r="Y197" s="398" t="s">
        <v>370</v>
      </c>
      <c r="Z197" s="399" t="n">
        <f aca="false">COUNTIF($M$182:$M$197,Y197)*$D$19</f>
        <v>0</v>
      </c>
      <c r="AA197" s="407"/>
      <c r="AB197" s="398" t="s">
        <v>370</v>
      </c>
      <c r="AC197" s="399" t="n">
        <f aca="false">COUNTIF($M$182:$M$197,AB197)*$D$19</f>
        <v>0</v>
      </c>
      <c r="AD197" s="407"/>
      <c r="AE197" s="398" t="s">
        <v>370</v>
      </c>
      <c r="AF197" s="399" t="n">
        <f aca="false">COUNTIF($M$182:$M$197,AE197)*$D$19</f>
        <v>0</v>
      </c>
      <c r="AG197" s="407"/>
      <c r="AH197" s="398" t="s">
        <v>370</v>
      </c>
      <c r="AI197" s="399" t="n">
        <f aca="false">COUNTIF($M$182:$M$197,AH197)*$D$19</f>
        <v>0</v>
      </c>
      <c r="AJ197" s="407"/>
      <c r="AK197" s="398" t="s">
        <v>370</v>
      </c>
      <c r="AL197" s="399" t="n">
        <f aca="false">COUNTIF($M$182:$M$197,AK197)*$D$19</f>
        <v>0</v>
      </c>
      <c r="AM197" s="407"/>
      <c r="AN197" s="398" t="s">
        <v>370</v>
      </c>
      <c r="AO197" s="399" t="n">
        <f aca="false">COUNTIF($M$182:$M$197,AN197)*$D$19</f>
        <v>0</v>
      </c>
      <c r="AP197" s="407"/>
      <c r="AQ197" s="398" t="s">
        <v>370</v>
      </c>
      <c r="AR197" s="399" t="n">
        <f aca="false">COUNTIF($M$182:$M$197,AQ197)*$D$19</f>
        <v>0</v>
      </c>
      <c r="AS197" s="407"/>
      <c r="AT197" s="398" t="s">
        <v>370</v>
      </c>
      <c r="AU197" s="399" t="n">
        <f aca="false">COUNTIF($M$182:$M$197,AT197)*$D$19</f>
        <v>0</v>
      </c>
      <c r="AV197" s="407"/>
      <c r="AW197" s="398" t="s">
        <v>370</v>
      </c>
      <c r="AX197" s="399" t="n">
        <f aca="false">COUNTIF($M$182:$M$197,AW197)*$D$19</f>
        <v>0</v>
      </c>
      <c r="AY197" s="407"/>
      <c r="AZ197" s="398" t="s">
        <v>370</v>
      </c>
      <c r="BA197" s="399" t="n">
        <f aca="false">COUNTIF($M$182:$M$197,AZ197)*$D$19</f>
        <v>0</v>
      </c>
      <c r="BB197" s="407"/>
      <c r="BC197" s="398" t="s">
        <v>375</v>
      </c>
      <c r="BD197" s="399" t="n">
        <f aca="false">COUNTIF($M$182:$M$197,BC197)*$D$19</f>
        <v>0</v>
      </c>
      <c r="BE197" s="407"/>
      <c r="BF197" s="398" t="s">
        <v>370</v>
      </c>
      <c r="BG197" s="399" t="n">
        <f aca="false">COUNTIF($M$182:$M$197,BF197)*$D$19</f>
        <v>0</v>
      </c>
      <c r="BH197" s="407"/>
      <c r="BI197" s="398" t="s">
        <v>370</v>
      </c>
      <c r="BJ197" s="399" t="n">
        <f aca="false">COUNTIF($M$182:$M$197,BI197)*$D$19</f>
        <v>0</v>
      </c>
      <c r="BK197" s="407"/>
      <c r="BL197" s="398" t="s">
        <v>370</v>
      </c>
      <c r="BM197" s="399" t="n">
        <f aca="false">COUNTIF($M$182:$M$197,BL197)*$D$19</f>
        <v>0</v>
      </c>
      <c r="BN197" s="407"/>
      <c r="BO197" s="398" t="s">
        <v>370</v>
      </c>
      <c r="BP197" s="399" t="n">
        <f aca="false">COUNTIF($M$182:$M$197,BO197)*$D$19</f>
        <v>0</v>
      </c>
      <c r="BQ197" s="407"/>
      <c r="BR197" s="398" t="s">
        <v>370</v>
      </c>
      <c r="BS197" s="399" t="n">
        <f aca="false">COUNTIF($M$182:$M$197,BR197)*$D$19</f>
        <v>0</v>
      </c>
      <c r="BT197" s="407"/>
      <c r="BU197" s="398"/>
      <c r="BV197" s="399" t="n">
        <f aca="false">COUNTIF($M$182:$M$197,BU197)*$D$19</f>
        <v>0</v>
      </c>
      <c r="BW197" s="407"/>
      <c r="BX197" s="398"/>
      <c r="BY197" s="399" t="n">
        <f aca="false">COUNTIF($M$182:$M$197,BX197)*$D$19</f>
        <v>0</v>
      </c>
      <c r="BZ197" s="407"/>
      <c r="CA197" s="398"/>
      <c r="CB197" s="399" t="n">
        <f aca="false">COUNTIF($M$182:$M$197,CA197)*$D$19</f>
        <v>0</v>
      </c>
      <c r="CC197" s="407"/>
      <c r="CD197" s="398"/>
      <c r="CE197" s="399" t="n">
        <f aca="false">COUNTIF($M$182:$M$197,CD197)*$D$19</f>
        <v>0</v>
      </c>
      <c r="CF197" s="407"/>
      <c r="CG197" s="398"/>
      <c r="CH197" s="399" t="n">
        <f aca="false">COUNTIF($M$182:$M$197,CG197)*$D$19</f>
        <v>0</v>
      </c>
      <c r="CI197" s="407"/>
      <c r="CJ197" s="398"/>
      <c r="CK197" s="399" t="n">
        <f aca="false">COUNTIF($M$182:$M$197,CJ197)*$D$19</f>
        <v>0</v>
      </c>
      <c r="CL197" s="407"/>
      <c r="CM197" s="398"/>
      <c r="CN197" s="399" t="n">
        <f aca="false">COUNTIF($M$182:$M$197,CM197)*$D$19</f>
        <v>0</v>
      </c>
      <c r="CO197" s="407"/>
      <c r="CP197" s="398"/>
      <c r="CQ197" s="399" t="n">
        <f aca="false">COUNTIF($M$182:$M$197,CP197)*$D$19</f>
        <v>0</v>
      </c>
      <c r="CR197" s="407"/>
      <c r="CS197" s="398"/>
      <c r="CT197" s="399" t="n">
        <f aca="false">COUNTIF($M$182:$M$197,CS197)*$D$19</f>
        <v>0</v>
      </c>
      <c r="CU197" s="407"/>
      <c r="CV197" s="398"/>
      <c r="CW197" s="399" t="n">
        <f aca="false">COUNTIF($M$182:$M$197,CV197)*$D$19</f>
        <v>0</v>
      </c>
      <c r="CX197" s="407"/>
      <c r="CY197" s="398"/>
      <c r="CZ197" s="399" t="n">
        <f aca="false">COUNTIF($M$182:$M$197,CY197)*$D$19</f>
        <v>0</v>
      </c>
      <c r="DA197" s="407"/>
      <c r="DB197" s="398"/>
      <c r="DC197" s="399" t="n">
        <f aca="false">COUNTIF($M$182:$M$197,DB197)*$D$19</f>
        <v>0</v>
      </c>
      <c r="DD197" s="407"/>
      <c r="DE197" s="398"/>
      <c r="DF197" s="399" t="n">
        <f aca="false">COUNTIF($M$182:$M$197,DE197)*$D$19</f>
        <v>0</v>
      </c>
      <c r="DG197" s="407"/>
      <c r="DH197" s="398"/>
      <c r="DI197" s="399" t="n">
        <f aca="false">COUNTIF($M$182:$M$197,DH197)*$D$19</f>
        <v>0</v>
      </c>
      <c r="DJ197" s="407"/>
      <c r="DK197" s="398"/>
      <c r="DL197" s="399" t="n">
        <f aca="false">COUNTIF($M$182:$M$197,DK197)*$D$19</f>
        <v>0</v>
      </c>
      <c r="DM197" s="407"/>
      <c r="DN197" s="398"/>
      <c r="DO197" s="399" t="n">
        <f aca="false">COUNTIF($M$182:$M$197,DN197)*$D$19</f>
        <v>0</v>
      </c>
      <c r="DP197" s="407"/>
      <c r="DQ197" s="398"/>
      <c r="DR197" s="399" t="n">
        <f aca="false">COUNTIF($M$182:$M$197,DQ197)*$D$19</f>
        <v>0</v>
      </c>
      <c r="DS197" s="407"/>
      <c r="DT197" s="398"/>
      <c r="DU197" s="399" t="n">
        <f aca="false">COUNTIF($M$182:$M$197,DT197)*$D$19</f>
        <v>0</v>
      </c>
      <c r="DV197" s="407"/>
      <c r="DW197" s="398"/>
      <c r="DX197" s="399" t="n">
        <f aca="false">COUNTIF($M$182:$M$197,DW197)*$D$19</f>
        <v>0</v>
      </c>
      <c r="DY197" s="407"/>
      <c r="DZ197" s="398"/>
      <c r="EA197" s="399" t="n">
        <f aca="false">COUNTIF($M$182:$M$197,DZ197)*$D$19</f>
        <v>0</v>
      </c>
      <c r="EB197" s="407"/>
      <c r="EC197" s="398"/>
      <c r="ED197" s="399" t="n">
        <f aca="false">COUNTIF($M$182:$M$197,EC197)*$D$19</f>
        <v>0</v>
      </c>
      <c r="EE197" s="407"/>
      <c r="EF197" s="398"/>
      <c r="EG197" s="399" t="n">
        <f aca="false">COUNTIF($M$182:$M$197,EF197)*$D$19</f>
        <v>0</v>
      </c>
      <c r="EH197" s="407"/>
      <c r="EI197" s="407"/>
    </row>
    <row r="198" customFormat="false" ht="15" hidden="false" customHeight="false" outlineLevel="0" collapsed="false">
      <c r="A198" s="332"/>
      <c r="B198" s="332"/>
      <c r="C198" s="422"/>
      <c r="D198" s="422"/>
      <c r="E198" s="422"/>
      <c r="F198" s="423"/>
      <c r="G198" s="423"/>
      <c r="H198" s="410"/>
      <c r="I198" s="410"/>
      <c r="J198" s="413"/>
      <c r="K198" s="414" t="str">
        <f aca="false">Idiomas!D459</f>
        <v>Equipos 1/8</v>
      </c>
      <c r="L198" s="415"/>
      <c r="M198" s="414" t="str">
        <f aca="false">"Max: "&amp;$D$19*COUNT(T182:T197)</f>
        <v>Max: 64</v>
      </c>
      <c r="N198" s="332"/>
      <c r="O198" s="332"/>
      <c r="P198" s="332"/>
      <c r="Q198" s="332"/>
      <c r="R198" s="327"/>
      <c r="S198" s="416"/>
      <c r="T198" s="347" t="n">
        <f aca="false">SUM(T182:T197)</f>
        <v>0</v>
      </c>
      <c r="U198" s="338"/>
      <c r="V198" s="416"/>
      <c r="W198" s="347" t="n">
        <f aca="false">SUM(W182:W197)</f>
        <v>0</v>
      </c>
      <c r="X198" s="338"/>
      <c r="Y198" s="416"/>
      <c r="Z198" s="347" t="n">
        <f aca="false">SUM(Z182:Z197)</f>
        <v>0</v>
      </c>
      <c r="AA198" s="338"/>
      <c r="AB198" s="416"/>
      <c r="AC198" s="347" t="n">
        <f aca="false">SUM(AC182:AC197)</f>
        <v>0</v>
      </c>
      <c r="AD198" s="338"/>
      <c r="AE198" s="416"/>
      <c r="AF198" s="347" t="n">
        <f aca="false">SUM(AF182:AF197)</f>
        <v>0</v>
      </c>
      <c r="AG198" s="338"/>
      <c r="AH198" s="416"/>
      <c r="AI198" s="347" t="n">
        <f aca="false">SUM(AI182:AI197)</f>
        <v>0</v>
      </c>
      <c r="AJ198" s="338"/>
      <c r="AK198" s="416"/>
      <c r="AL198" s="347" t="n">
        <f aca="false">SUM(AL182:AL197)</f>
        <v>0</v>
      </c>
      <c r="AM198" s="338"/>
      <c r="AN198" s="416"/>
      <c r="AO198" s="347" t="n">
        <f aca="false">SUM(AO182:AO197)</f>
        <v>0</v>
      </c>
      <c r="AP198" s="338"/>
      <c r="AQ198" s="416"/>
      <c r="AR198" s="347" t="n">
        <f aca="false">SUM(AR182:AR197)</f>
        <v>0</v>
      </c>
      <c r="AS198" s="338"/>
      <c r="AT198" s="416"/>
      <c r="AU198" s="347" t="n">
        <f aca="false">SUM(AU182:AU197)</f>
        <v>0</v>
      </c>
      <c r="AV198" s="338"/>
      <c r="AW198" s="416"/>
      <c r="AX198" s="347" t="n">
        <f aca="false">SUM(AX182:AX197)</f>
        <v>0</v>
      </c>
      <c r="AY198" s="338"/>
      <c r="AZ198" s="416"/>
      <c r="BA198" s="347" t="n">
        <f aca="false">SUM(BA182:BA197)</f>
        <v>0</v>
      </c>
      <c r="BB198" s="338"/>
      <c r="BC198" s="416"/>
      <c r="BD198" s="347" t="n">
        <f aca="false">SUM(BD182:BD197)</f>
        <v>0</v>
      </c>
      <c r="BE198" s="338"/>
      <c r="BF198" s="416"/>
      <c r="BG198" s="347" t="n">
        <f aca="false">SUM(BG182:BG197)</f>
        <v>0</v>
      </c>
      <c r="BH198" s="338"/>
      <c r="BI198" s="416"/>
      <c r="BJ198" s="347" t="n">
        <f aca="false">SUM(BJ182:BJ197)</f>
        <v>0</v>
      </c>
      <c r="BK198" s="338"/>
      <c r="BL198" s="416"/>
      <c r="BM198" s="347" t="n">
        <f aca="false">SUM(BM182:BM197)</f>
        <v>0</v>
      </c>
      <c r="BN198" s="338"/>
      <c r="BO198" s="416"/>
      <c r="BP198" s="347" t="n">
        <f aca="false">SUM(BP182:BP197)</f>
        <v>0</v>
      </c>
      <c r="BQ198" s="338"/>
      <c r="BR198" s="416"/>
      <c r="BS198" s="347" t="n">
        <f aca="false">SUM(BS182:BS197)</f>
        <v>0</v>
      </c>
      <c r="BT198" s="338"/>
      <c r="BU198" s="416"/>
      <c r="BV198" s="347" t="n">
        <f aca="false">SUM(BV182:BV197)</f>
        <v>0</v>
      </c>
      <c r="BW198" s="338"/>
      <c r="BX198" s="416"/>
      <c r="BY198" s="347" t="n">
        <f aca="false">SUM(BY182:BY197)</f>
        <v>0</v>
      </c>
      <c r="BZ198" s="338"/>
      <c r="CA198" s="416"/>
      <c r="CB198" s="347" t="n">
        <f aca="false">SUM(CB182:CB197)</f>
        <v>0</v>
      </c>
      <c r="CC198" s="338"/>
      <c r="CD198" s="416"/>
      <c r="CE198" s="347" t="n">
        <f aca="false">SUM(CE182:CE197)</f>
        <v>0</v>
      </c>
      <c r="CF198" s="338"/>
      <c r="CG198" s="416"/>
      <c r="CH198" s="347" t="n">
        <f aca="false">SUM(CH182:CH197)</f>
        <v>0</v>
      </c>
      <c r="CI198" s="338"/>
      <c r="CJ198" s="416"/>
      <c r="CK198" s="347" t="n">
        <f aca="false">SUM(CK182:CK197)</f>
        <v>0</v>
      </c>
      <c r="CL198" s="338"/>
      <c r="CM198" s="416"/>
      <c r="CN198" s="347" t="n">
        <f aca="false">SUM(CN182:CN197)</f>
        <v>0</v>
      </c>
      <c r="CO198" s="338"/>
      <c r="CP198" s="416"/>
      <c r="CQ198" s="347" t="n">
        <f aca="false">SUM(CQ182:CQ197)</f>
        <v>0</v>
      </c>
      <c r="CR198" s="338"/>
      <c r="CS198" s="416"/>
      <c r="CT198" s="347" t="n">
        <f aca="false">SUM(CT182:CT197)</f>
        <v>0</v>
      </c>
      <c r="CU198" s="338"/>
      <c r="CV198" s="416"/>
      <c r="CW198" s="347" t="n">
        <f aca="false">SUM(CW182:CW197)</f>
        <v>0</v>
      </c>
      <c r="CX198" s="338"/>
      <c r="CY198" s="416"/>
      <c r="CZ198" s="347" t="n">
        <f aca="false">SUM(CZ182:CZ197)</f>
        <v>0</v>
      </c>
      <c r="DA198" s="338"/>
      <c r="DB198" s="416"/>
      <c r="DC198" s="347" t="n">
        <f aca="false">SUM(DC182:DC197)</f>
        <v>0</v>
      </c>
      <c r="DD198" s="338"/>
      <c r="DE198" s="416"/>
      <c r="DF198" s="347" t="n">
        <f aca="false">SUM(DF182:DF197)</f>
        <v>0</v>
      </c>
      <c r="DG198" s="338"/>
      <c r="DH198" s="416"/>
      <c r="DI198" s="347" t="n">
        <f aca="false">SUM(DI182:DI197)</f>
        <v>0</v>
      </c>
      <c r="DJ198" s="338"/>
      <c r="DK198" s="416"/>
      <c r="DL198" s="347" t="n">
        <f aca="false">SUM(DL182:DL197)</f>
        <v>0</v>
      </c>
      <c r="DM198" s="338"/>
      <c r="DN198" s="416"/>
      <c r="DO198" s="347" t="n">
        <f aca="false">SUM(DO182:DO197)</f>
        <v>0</v>
      </c>
      <c r="DP198" s="338"/>
      <c r="DQ198" s="416"/>
      <c r="DR198" s="347" t="n">
        <f aca="false">SUM(DR182:DR197)</f>
        <v>0</v>
      </c>
      <c r="DS198" s="338"/>
      <c r="DT198" s="416"/>
      <c r="DU198" s="347" t="n">
        <f aca="false">SUM(DU182:DU197)</f>
        <v>0</v>
      </c>
      <c r="DV198" s="338"/>
      <c r="DW198" s="416"/>
      <c r="DX198" s="347" t="n">
        <f aca="false">SUM(DX182:DX197)</f>
        <v>0</v>
      </c>
      <c r="DY198" s="338"/>
      <c r="DZ198" s="416"/>
      <c r="EA198" s="347" t="n">
        <f aca="false">SUM(EA182:EA197)</f>
        <v>0</v>
      </c>
      <c r="EB198" s="338"/>
      <c r="EC198" s="416"/>
      <c r="ED198" s="347" t="n">
        <f aca="false">SUM(ED182:ED197)</f>
        <v>0</v>
      </c>
      <c r="EE198" s="338"/>
      <c r="EF198" s="416"/>
      <c r="EG198" s="347" t="n">
        <f aca="false">SUM(EG182:EG197)</f>
        <v>0</v>
      </c>
      <c r="EH198" s="338"/>
      <c r="EI198" s="338"/>
    </row>
    <row r="199" customFormat="false" ht="15" hidden="false" customHeight="false" outlineLevel="0" collapsed="false">
      <c r="A199" s="332"/>
      <c r="B199" s="332"/>
      <c r="C199" s="422"/>
      <c r="D199" s="422"/>
      <c r="E199" s="422"/>
      <c r="F199" s="423"/>
      <c r="G199" s="423"/>
      <c r="H199" s="410"/>
      <c r="I199" s="419" t="s">
        <v>244</v>
      </c>
      <c r="J199" s="413"/>
      <c r="K199" s="346" t="str">
        <f aca="false">Idiomas!D140</f>
        <v>ENFRENTAMIENTOS OCTAVOS</v>
      </c>
      <c r="L199" s="333"/>
      <c r="M199" s="347"/>
      <c r="N199" s="332"/>
      <c r="O199" s="332"/>
      <c r="P199" s="332"/>
      <c r="Q199" s="332"/>
      <c r="R199" s="327"/>
      <c r="S199" s="416"/>
      <c r="T199" s="347"/>
      <c r="U199" s="338"/>
      <c r="V199" s="416"/>
      <c r="W199" s="347"/>
      <c r="X199" s="338"/>
      <c r="Y199" s="416"/>
      <c r="Z199" s="347"/>
      <c r="AA199" s="338"/>
      <c r="AB199" s="416"/>
      <c r="AC199" s="347"/>
      <c r="AD199" s="338"/>
      <c r="AE199" s="416"/>
      <c r="AF199" s="347"/>
      <c r="AG199" s="338"/>
      <c r="AH199" s="416"/>
      <c r="AI199" s="347"/>
      <c r="AJ199" s="338"/>
      <c r="AK199" s="416"/>
      <c r="AL199" s="347"/>
      <c r="AM199" s="338"/>
      <c r="AN199" s="416"/>
      <c r="AO199" s="347"/>
      <c r="AP199" s="338"/>
      <c r="AQ199" s="416"/>
      <c r="AR199" s="347"/>
      <c r="AS199" s="338"/>
      <c r="AT199" s="416"/>
      <c r="AU199" s="347"/>
      <c r="AV199" s="338"/>
      <c r="AW199" s="416"/>
      <c r="AX199" s="347"/>
      <c r="AY199" s="338"/>
      <c r="AZ199" s="416"/>
      <c r="BA199" s="347"/>
      <c r="BB199" s="338"/>
      <c r="BC199" s="416"/>
      <c r="BD199" s="347"/>
      <c r="BE199" s="338"/>
      <c r="BF199" s="416"/>
      <c r="BG199" s="347"/>
      <c r="BH199" s="338"/>
      <c r="BI199" s="416"/>
      <c r="BJ199" s="347"/>
      <c r="BK199" s="338"/>
      <c r="BL199" s="416"/>
      <c r="BM199" s="347"/>
      <c r="BN199" s="338"/>
      <c r="BO199" s="416"/>
      <c r="BP199" s="347"/>
      <c r="BQ199" s="338"/>
      <c r="BR199" s="416"/>
      <c r="BS199" s="347"/>
      <c r="BT199" s="338"/>
      <c r="BU199" s="416"/>
      <c r="BV199" s="347"/>
      <c r="BW199" s="338"/>
      <c r="BX199" s="416"/>
      <c r="BY199" s="347"/>
      <c r="BZ199" s="338"/>
      <c r="CA199" s="416"/>
      <c r="CB199" s="347"/>
      <c r="CC199" s="338"/>
      <c r="CD199" s="416"/>
      <c r="CE199" s="347"/>
      <c r="CF199" s="338"/>
      <c r="CG199" s="416"/>
      <c r="CH199" s="347"/>
      <c r="CI199" s="338"/>
      <c r="CJ199" s="416"/>
      <c r="CK199" s="347"/>
      <c r="CL199" s="338"/>
      <c r="CM199" s="416"/>
      <c r="CN199" s="347"/>
      <c r="CO199" s="338"/>
      <c r="CP199" s="416"/>
      <c r="CQ199" s="347"/>
      <c r="CR199" s="338"/>
      <c r="CS199" s="416"/>
      <c r="CT199" s="347"/>
      <c r="CU199" s="338"/>
      <c r="CV199" s="416"/>
      <c r="CW199" s="347"/>
      <c r="CX199" s="338"/>
      <c r="CY199" s="416"/>
      <c r="CZ199" s="347"/>
      <c r="DA199" s="338"/>
      <c r="DB199" s="416"/>
      <c r="DC199" s="347"/>
      <c r="DD199" s="338"/>
      <c r="DE199" s="416"/>
      <c r="DF199" s="347"/>
      <c r="DG199" s="338"/>
      <c r="DH199" s="416"/>
      <c r="DI199" s="347"/>
      <c r="DJ199" s="338"/>
      <c r="DK199" s="416"/>
      <c r="DL199" s="347"/>
      <c r="DM199" s="338"/>
      <c r="DN199" s="416"/>
      <c r="DO199" s="347"/>
      <c r="DP199" s="338"/>
      <c r="DQ199" s="416"/>
      <c r="DR199" s="347"/>
      <c r="DS199" s="338"/>
      <c r="DT199" s="416"/>
      <c r="DU199" s="347"/>
      <c r="DV199" s="338"/>
      <c r="DW199" s="416"/>
      <c r="DX199" s="347"/>
      <c r="DY199" s="338"/>
      <c r="DZ199" s="416"/>
      <c r="EA199" s="347"/>
      <c r="EB199" s="338"/>
      <c r="EC199" s="416"/>
      <c r="ED199" s="347"/>
      <c r="EE199" s="338"/>
      <c r="EF199" s="416"/>
      <c r="EG199" s="347"/>
      <c r="EH199" s="338"/>
      <c r="EI199" s="338"/>
    </row>
    <row r="200" customFormat="false" ht="15" hidden="false" customHeight="false" outlineLevel="0" collapsed="false">
      <c r="A200" s="332" t="n">
        <f aca="false">WORLDCUP!AD120</f>
        <v>0</v>
      </c>
      <c r="B200" s="332" t="n">
        <f aca="false">WORLDCUP!AC120</f>
        <v>0</v>
      </c>
      <c r="C200" s="422" t="str">
        <f aca="false">CONCATENATE(WORLDCUP!AF120,"-",WORLDCUP!AA120)</f>
        <v>W75-W73</v>
      </c>
      <c r="D200" s="422" t="str">
        <f aca="false">IF(WORLDCUP!AC120&gt;WORLDCUP!AD120,2,IF(WORLDCUP!AC120&lt;WORLDCUP!AD120,1,IF(AND(WORLDCUP!AC120=WORLDCUP!AD120,WORLDCUP!AC120&lt;&gt;"",WORLDCUP!AD120&lt;&gt;""),0,"PD")))</f>
        <v>PD</v>
      </c>
      <c r="E200" s="422" t="str">
        <f aca="false">IF(OR(WORLDCUP!AD120="",WORLDCUP!AC120=""),"-",A200&amp;"-"&amp;B200)</f>
        <v>-</v>
      </c>
      <c r="F200" s="423" t="n">
        <f aca="false">SUM($D$20:$D$22)*I200</f>
        <v>17</v>
      </c>
      <c r="G200" s="423" t="n">
        <f aca="false">VLOOKUP(H200,Equipos!$Q$1:$R$25,2,0)</f>
        <v>21</v>
      </c>
      <c r="H200" s="410" t="str">
        <f aca="false">Idiomas!$D$261</f>
        <v>Octavos de final</v>
      </c>
      <c r="I200" s="425" t="n">
        <v>1</v>
      </c>
      <c r="J200" s="418" t="s">
        <v>181</v>
      </c>
      <c r="K200" s="354" t="str">
        <f aca="false">CONCATENATE(WORLDCUP!AA120,"-",WORLDCUP!AF120)</f>
        <v>W73-W75</v>
      </c>
      <c r="L200" s="354" t="str">
        <f aca="false">IF(OR(WORLDCUP!AC120="",WORLDCUP!AD120=""),"PD",IF(WORLDCUP!AC120&gt;WORLDCUP!AD120,1,IF(WORLDCUP!AC120&lt;WORLDCUP!AD120,2,0)))</f>
        <v>PD</v>
      </c>
      <c r="M200" s="359" t="str">
        <f aca="false">IF(OR(WORLDCUP!AC120="",WORLDCUP!AD120=""),"-",N200&amp;"|"&amp;O200&amp;"-"&amp;P200)</f>
        <v>-</v>
      </c>
      <c r="N200" s="332" t="str">
        <f aca="false">IF(OR(WORLDCUP!AC120="",WORLDCUP!AD120=""),"",IF(WORLDCUP!AC120&gt;WORLDCUP!AD120,"1",IF(WORLDCUP!AC120&lt;WORLDCUP!AD120,"2","X")))</f>
        <v/>
      </c>
      <c r="O200" s="332" t="n">
        <f aca="false">WORLDCUP!AC120</f>
        <v>0</v>
      </c>
      <c r="P200" s="332" t="n">
        <f aca="false">WORLDCUP!AD120</f>
        <v>0</v>
      </c>
      <c r="Q200" s="332" t="n">
        <f aca="false">ABS(O200-P200)</f>
        <v>0</v>
      </c>
      <c r="R200" s="404"/>
      <c r="S200" s="426" t="s">
        <v>268</v>
      </c>
      <c r="T200" s="356" t="n">
        <f aca="false">IFERROR(IF($M200=S200,($D$8+$D$9+$D$10)*$I200,IF($N200=LEFT(S200,1),($D$8+MAX(0,IF($D$50=1,$D$9*(1-(ABS($Q200-ABS(VALUE(MID(S200,FIND("|",S200)+1,FIND("-",S200)-FIND("|",S200)-1))-VALUE(MID(S200,FIND("-",S200)+1,10)))))*$D$50),$D$9*(1-(IF($N200="X",ABS($O200-VALUE(MID(S200,FIND("|",S200)+1,FIND("-",S200)-FIND("|",S200)-1))),ABS($Q200-ABS(VALUE(MID(S200,FIND("|",S200)+1,FIND("-",S200)-FIND("|",S200)-1))-VALUE(MID(S200,FIND("-",S200)+1,10)))))*$D$50)))))*$I200,0)),0)</f>
        <v>0</v>
      </c>
      <c r="U200" s="404"/>
      <c r="V200" s="426" t="s">
        <v>268</v>
      </c>
      <c r="W200" s="356" t="n">
        <f aca="false">IFERROR(IF($M200=V200,($D$8+$D$9+$D$10)*$I200,IF($N200=LEFT(V200,1),($D$8+MAX(0,IF($D$50=1,$D$9*(1-(ABS($Q200-ABS(VALUE(MID(V200,FIND("|",V200)+1,FIND("-",V200)-FIND("|",V200)-1))-VALUE(MID(V200,FIND("-",V200)+1,10)))))*$D$50),$D$9*(1-(IF($N200="X",ABS($O200-VALUE(MID(V200,FIND("|",V200)+1,FIND("-",V200)-FIND("|",V200)-1))),ABS($Q200-ABS(VALUE(MID(V200,FIND("|",V200)+1,FIND("-",V200)-FIND("|",V200)-1))-VALUE(MID(V200,FIND("-",V200)+1,10)))))*$D$50)))))*$I200,0)),0)</f>
        <v>0</v>
      </c>
      <c r="X200" s="404"/>
      <c r="Y200" s="426" t="s">
        <v>268</v>
      </c>
      <c r="Z200" s="356" t="n">
        <f aca="false">IFERROR(IF($M200=Y200,($D$8+$D$9+$D$10)*$I200,IF($N200=LEFT(Y200,1),($D$8+MAX(0,IF($D$50=1,$D$9*(1-(ABS($Q200-ABS(VALUE(MID(Y200,FIND("|",Y200)+1,FIND("-",Y200)-FIND("|",Y200)-1))-VALUE(MID(Y200,FIND("-",Y200)+1,10)))))*$D$50),$D$9*(1-(IF($N200="X",ABS($O200-VALUE(MID(Y200,FIND("|",Y200)+1,FIND("-",Y200)-FIND("|",Y200)-1))),ABS($Q200-ABS(VALUE(MID(Y200,FIND("|",Y200)+1,FIND("-",Y200)-FIND("|",Y200)-1))-VALUE(MID(Y200,FIND("-",Y200)+1,10)))))*$D$50)))))*$I200,0)),0)</f>
        <v>0</v>
      </c>
      <c r="AA200" s="404"/>
      <c r="AB200" s="426" t="s">
        <v>274</v>
      </c>
      <c r="AC200" s="356" t="n">
        <f aca="false">IFERROR(IF($M200=AB200,($D$8+$D$9+$D$10)*$I200,IF($N200=LEFT(AB200,1),($D$8+MAX(0,IF($D$50=1,$D$9*(1-(ABS($Q200-ABS(VALUE(MID(AB200,FIND("|",AB200)+1,FIND("-",AB200)-FIND("|",AB200)-1))-VALUE(MID(AB200,FIND("-",AB200)+1,10)))))*$D$50),$D$9*(1-(IF($N200="X",ABS($O200-VALUE(MID(AB200,FIND("|",AB200)+1,FIND("-",AB200)-FIND("|",AB200)-1))),ABS($Q200-ABS(VALUE(MID(AB200,FIND("|",AB200)+1,FIND("-",AB200)-FIND("|",AB200)-1))-VALUE(MID(AB200,FIND("-",AB200)+1,10)))))*$D$50)))))*$I200,0)),0)</f>
        <v>0</v>
      </c>
      <c r="AD200" s="404"/>
      <c r="AE200" s="426" t="s">
        <v>271</v>
      </c>
      <c r="AF200" s="356" t="n">
        <f aca="false">IFERROR(IF($M200=AE200,($D$8+$D$9+$D$10)*$I200,IF($N200=LEFT(AE200,1),($D$8+MAX(0,IF($D$50=1,$D$9*(1-(ABS($Q200-ABS(VALUE(MID(AE200,FIND("|",AE200)+1,FIND("-",AE200)-FIND("|",AE200)-1))-VALUE(MID(AE200,FIND("-",AE200)+1,10)))))*$D$50),$D$9*(1-(IF($N200="X",ABS($O200-VALUE(MID(AE200,FIND("|",AE200)+1,FIND("-",AE200)-FIND("|",AE200)-1))),ABS($Q200-ABS(VALUE(MID(AE200,FIND("|",AE200)+1,FIND("-",AE200)-FIND("|",AE200)-1))-VALUE(MID(AE200,FIND("-",AE200)+1,10)))))*$D$50)))))*$I200,0)),0)</f>
        <v>0</v>
      </c>
      <c r="AG200" s="404"/>
      <c r="AH200" s="426" t="s">
        <v>271</v>
      </c>
      <c r="AI200" s="356" t="n">
        <f aca="false">IFERROR(IF($M200=AH200,($D$8+$D$9+$D$10)*$I200,IF($N200=LEFT(AH200,1),($D$8+MAX(0,IF($D$50=1,$D$9*(1-(ABS($Q200-ABS(VALUE(MID(AH200,FIND("|",AH200)+1,FIND("-",AH200)-FIND("|",AH200)-1))-VALUE(MID(AH200,FIND("-",AH200)+1,10)))))*$D$50),$D$9*(1-(IF($N200="X",ABS($O200-VALUE(MID(AH200,FIND("|",AH200)+1,FIND("-",AH200)-FIND("|",AH200)-1))),ABS($Q200-ABS(VALUE(MID(AH200,FIND("|",AH200)+1,FIND("-",AH200)-FIND("|",AH200)-1))-VALUE(MID(AH200,FIND("-",AH200)+1,10)))))*$D$50)))))*$I200,0)),0)</f>
        <v>0</v>
      </c>
      <c r="AJ200" s="404"/>
      <c r="AK200" s="426" t="s">
        <v>277</v>
      </c>
      <c r="AL200" s="356" t="n">
        <f aca="false">IFERROR(IF($M200=AK200,($D$8+$D$9+$D$10)*$I200,IF($N200=LEFT(AK200,1),($D$8+MAX(0,IF($D$50=1,$D$9*(1-(ABS($Q200-ABS(VALUE(MID(AK200,FIND("|",AK200)+1,FIND("-",AK200)-FIND("|",AK200)-1))-VALUE(MID(AK200,FIND("-",AK200)+1,10)))))*$D$50),$D$9*(1-(IF($N200="X",ABS($O200-VALUE(MID(AK200,FIND("|",AK200)+1,FIND("-",AK200)-FIND("|",AK200)-1))),ABS($Q200-ABS(VALUE(MID(AK200,FIND("|",AK200)+1,FIND("-",AK200)-FIND("|",AK200)-1))-VALUE(MID(AK200,FIND("-",AK200)+1,10)))))*$D$50)))))*$I200,0)),0)</f>
        <v>0</v>
      </c>
      <c r="AM200" s="404"/>
      <c r="AN200" s="426" t="s">
        <v>268</v>
      </c>
      <c r="AO200" s="356" t="n">
        <f aca="false">IFERROR(IF($M200=AN200,($D$8+$D$9+$D$10)*$I200,IF($N200=LEFT(AN200,1),($D$8+MAX(0,IF($D$50=1,$D$9*(1-(ABS($Q200-ABS(VALUE(MID(AN200,FIND("|",AN200)+1,FIND("-",AN200)-FIND("|",AN200)-1))-VALUE(MID(AN200,FIND("-",AN200)+1,10)))))*$D$50),$D$9*(1-(IF($N200="X",ABS($O200-VALUE(MID(AN200,FIND("|",AN200)+1,FIND("-",AN200)-FIND("|",AN200)-1))),ABS($Q200-ABS(VALUE(MID(AN200,FIND("|",AN200)+1,FIND("-",AN200)-FIND("|",AN200)-1))-VALUE(MID(AN200,FIND("-",AN200)+1,10)))))*$D$50)))))*$I200,0)),0)</f>
        <v>0</v>
      </c>
      <c r="AP200" s="404"/>
      <c r="AQ200" s="426" t="s">
        <v>274</v>
      </c>
      <c r="AR200" s="356" t="n">
        <f aca="false">IFERROR(IF($M200=AQ200,($D$8+$D$9+$D$10)*$I200,IF($N200=LEFT(AQ200,1),($D$8+MAX(0,IF($D$50=1,$D$9*(1-(ABS($Q200-ABS(VALUE(MID(AQ200,FIND("|",AQ200)+1,FIND("-",AQ200)-FIND("|",AQ200)-1))-VALUE(MID(AQ200,FIND("-",AQ200)+1,10)))))*$D$50),$D$9*(1-(IF($N200="X",ABS($O200-VALUE(MID(AQ200,FIND("|",AQ200)+1,FIND("-",AQ200)-FIND("|",AQ200)-1))),ABS($Q200-ABS(VALUE(MID(AQ200,FIND("|",AQ200)+1,FIND("-",AQ200)-FIND("|",AQ200)-1))-VALUE(MID(AQ200,FIND("-",AQ200)+1,10)))))*$D$50)))))*$I200,0)),0)</f>
        <v>0</v>
      </c>
      <c r="AS200" s="404"/>
      <c r="AT200" s="426" t="s">
        <v>268</v>
      </c>
      <c r="AU200" s="356" t="n">
        <f aca="false">IFERROR(IF($M200=AT200,($D$8+$D$9+$D$10)*$I200,IF($N200=LEFT(AT200,1),($D$8+MAX(0,IF($D$50=1,$D$9*(1-(ABS($Q200-ABS(VALUE(MID(AT200,FIND("|",AT200)+1,FIND("-",AT200)-FIND("|",AT200)-1))-VALUE(MID(AT200,FIND("-",AT200)+1,10)))))*$D$50),$D$9*(1-(IF($N200="X",ABS($O200-VALUE(MID(AT200,FIND("|",AT200)+1,FIND("-",AT200)-FIND("|",AT200)-1))),ABS($Q200-ABS(VALUE(MID(AT200,FIND("|",AT200)+1,FIND("-",AT200)-FIND("|",AT200)-1))-VALUE(MID(AT200,FIND("-",AT200)+1,10)))))*$D$50)))))*$I200,0)),0)</f>
        <v>0</v>
      </c>
      <c r="AV200" s="404"/>
      <c r="AW200" s="426" t="s">
        <v>268</v>
      </c>
      <c r="AX200" s="356" t="n">
        <f aca="false">IFERROR(IF($M200=AW200,($D$8+$D$9+$D$10)*$I200,IF($N200=LEFT(AW200,1),($D$8+MAX(0,IF($D$50=1,$D$9*(1-(ABS($Q200-ABS(VALUE(MID(AW200,FIND("|",AW200)+1,FIND("-",AW200)-FIND("|",AW200)-1))-VALUE(MID(AW200,FIND("-",AW200)+1,10)))))*$D$50),$D$9*(1-(IF($N200="X",ABS($O200-VALUE(MID(AW200,FIND("|",AW200)+1,FIND("-",AW200)-FIND("|",AW200)-1))),ABS($Q200-ABS(VALUE(MID(AW200,FIND("|",AW200)+1,FIND("-",AW200)-FIND("|",AW200)-1))-VALUE(MID(AW200,FIND("-",AW200)+1,10)))))*$D$50)))))*$I200,0)),0)</f>
        <v>0</v>
      </c>
      <c r="AY200" s="404"/>
      <c r="AZ200" s="426" t="s">
        <v>268</v>
      </c>
      <c r="BA200" s="356" t="n">
        <f aca="false">IFERROR(IF($M200=AZ200,($D$8+$D$9+$D$10)*$I200,IF($N200=LEFT(AZ200,1),($D$8+MAX(0,IF($D$50=1,$D$9*(1-(ABS($Q200-ABS(VALUE(MID(AZ200,FIND("|",AZ200)+1,FIND("-",AZ200)-FIND("|",AZ200)-1))-VALUE(MID(AZ200,FIND("-",AZ200)+1,10)))))*$D$50),$D$9*(1-(IF($N200="X",ABS($O200-VALUE(MID(AZ200,FIND("|",AZ200)+1,FIND("-",AZ200)-FIND("|",AZ200)-1))),ABS($Q200-ABS(VALUE(MID(AZ200,FIND("|",AZ200)+1,FIND("-",AZ200)-FIND("|",AZ200)-1))-VALUE(MID(AZ200,FIND("-",AZ200)+1,10)))))*$D$50)))))*$I200,0)),0)</f>
        <v>0</v>
      </c>
      <c r="BB200" s="404"/>
      <c r="BC200" s="426" t="s">
        <v>274</v>
      </c>
      <c r="BD200" s="356" t="n">
        <f aca="false">IFERROR(IF($M200=BC200,($D$8+$D$9+$D$10)*$I200,IF($N200=LEFT(BC200,1),($D$8+MAX(0,IF($D$50=1,$D$9*(1-(ABS($Q200-ABS(VALUE(MID(BC200,FIND("|",BC200)+1,FIND("-",BC200)-FIND("|",BC200)-1))-VALUE(MID(BC200,FIND("-",BC200)+1,10)))))*$D$50),$D$9*(1-(IF($N200="X",ABS($O200-VALUE(MID(BC200,FIND("|",BC200)+1,FIND("-",BC200)-FIND("|",BC200)-1))),ABS($Q200-ABS(VALUE(MID(BC200,FIND("|",BC200)+1,FIND("-",BC200)-FIND("|",BC200)-1))-VALUE(MID(BC200,FIND("-",BC200)+1,10)))))*$D$50)))))*$I200,0)),0)</f>
        <v>0</v>
      </c>
      <c r="BE200" s="404"/>
      <c r="BF200" s="426" t="s">
        <v>271</v>
      </c>
      <c r="BG200" s="356" t="n">
        <f aca="false">IFERROR(IF($M200=BF200,($D$8+$D$9+$D$10)*$I200,IF($N200=LEFT(BF200,1),($D$8+MAX(0,IF($D$50=1,$D$9*(1-(ABS($Q200-ABS(VALUE(MID(BF200,FIND("|",BF200)+1,FIND("-",BF200)-FIND("|",BF200)-1))-VALUE(MID(BF200,FIND("-",BF200)+1,10)))))*$D$50),$D$9*(1-(IF($N200="X",ABS($O200-VALUE(MID(BF200,FIND("|",BF200)+1,FIND("-",BF200)-FIND("|",BF200)-1))),ABS($Q200-ABS(VALUE(MID(BF200,FIND("|",BF200)+1,FIND("-",BF200)-FIND("|",BF200)-1))-VALUE(MID(BF200,FIND("-",BF200)+1,10)))))*$D$50)))))*$I200,0)),0)</f>
        <v>0</v>
      </c>
      <c r="BH200" s="404"/>
      <c r="BI200" s="426" t="s">
        <v>271</v>
      </c>
      <c r="BJ200" s="356" t="n">
        <f aca="false">IFERROR(IF($M200=BI200,($D$8+$D$9+$D$10)*$I200,IF($N200=LEFT(BI200,1),($D$8+MAX(0,IF($D$50=1,$D$9*(1-(ABS($Q200-ABS(VALUE(MID(BI200,FIND("|",BI200)+1,FIND("-",BI200)-FIND("|",BI200)-1))-VALUE(MID(BI200,FIND("-",BI200)+1,10)))))*$D$50),$D$9*(1-(IF($N200="X",ABS($O200-VALUE(MID(BI200,FIND("|",BI200)+1,FIND("-",BI200)-FIND("|",BI200)-1))),ABS($Q200-ABS(VALUE(MID(BI200,FIND("|",BI200)+1,FIND("-",BI200)-FIND("|",BI200)-1))-VALUE(MID(BI200,FIND("-",BI200)+1,10)))))*$D$50)))))*$I200,0)),0)</f>
        <v>0</v>
      </c>
      <c r="BK200" s="404"/>
      <c r="BL200" s="426" t="s">
        <v>268</v>
      </c>
      <c r="BM200" s="356" t="n">
        <f aca="false">IFERROR(IF($M200=BL200,($D$8+$D$9+$D$10)*$I200,IF($N200=LEFT(BL200,1),($D$8+MAX(0,IF($D$50=1,$D$9*(1-(ABS($Q200-ABS(VALUE(MID(BL200,FIND("|",BL200)+1,FIND("-",BL200)-FIND("|",BL200)-1))-VALUE(MID(BL200,FIND("-",BL200)+1,10)))))*$D$50),$D$9*(1-(IF($N200="X",ABS($O200-VALUE(MID(BL200,FIND("|",BL200)+1,FIND("-",BL200)-FIND("|",BL200)-1))),ABS($Q200-ABS(VALUE(MID(BL200,FIND("|",BL200)+1,FIND("-",BL200)-FIND("|",BL200)-1))-VALUE(MID(BL200,FIND("-",BL200)+1,10)))))*$D$50)))))*$I200,0)),0)</f>
        <v>0</v>
      </c>
      <c r="BN200" s="404"/>
      <c r="BO200" s="426" t="s">
        <v>268</v>
      </c>
      <c r="BP200" s="356" t="n">
        <f aca="false">IFERROR(IF($M200=BO200,($D$8+$D$9+$D$10)*$I200,IF($N200=LEFT(BO200,1),($D$8+MAX(0,IF($D$50=1,$D$9*(1-(ABS($Q200-ABS(VALUE(MID(BO200,FIND("|",BO200)+1,FIND("-",BO200)-FIND("|",BO200)-1))-VALUE(MID(BO200,FIND("-",BO200)+1,10)))))*$D$50),$D$9*(1-(IF($N200="X",ABS($O200-VALUE(MID(BO200,FIND("|",BO200)+1,FIND("-",BO200)-FIND("|",BO200)-1))),ABS($Q200-ABS(VALUE(MID(BO200,FIND("|",BO200)+1,FIND("-",BO200)-FIND("|",BO200)-1))-VALUE(MID(BO200,FIND("-",BO200)+1,10)))))*$D$50)))))*$I200,0)),0)</f>
        <v>0</v>
      </c>
      <c r="BQ200" s="404"/>
      <c r="BR200" s="426" t="s">
        <v>268</v>
      </c>
      <c r="BS200" s="356" t="n">
        <f aca="false">IFERROR(IF($M200=BR200,($D$8+$D$9+$D$10)*$I200,IF($N200=LEFT(BR200,1),($D$8+MAX(0,IF($D$50=1,$D$9*(1-(ABS($Q200-ABS(VALUE(MID(BR200,FIND("|",BR200)+1,FIND("-",BR200)-FIND("|",BR200)-1))-VALUE(MID(BR200,FIND("-",BR200)+1,10)))))*$D$50),$D$9*(1-(IF($N200="X",ABS($O200-VALUE(MID(BR200,FIND("|",BR200)+1,FIND("-",BR200)-FIND("|",BR200)-1))),ABS($Q200-ABS(VALUE(MID(BR200,FIND("|",BR200)+1,FIND("-",BR200)-FIND("|",BR200)-1))-VALUE(MID(BR200,FIND("-",BR200)+1,10)))))*$D$50)))))*$I200,0)),0)</f>
        <v>0</v>
      </c>
      <c r="BT200" s="404"/>
      <c r="BU200" s="426" t="str">
        <f aca="false">Idiomas!$D$368</f>
        <v>Pegar Valores Octavos</v>
      </c>
      <c r="BV200" s="356" t="n">
        <f aca="false">IFERROR(IF($M200=BU200,($D$8+$D$9+$D$10)*$I200,IF($N200=LEFT(BU200,1),($D$8+MAX(0,IF($D$50=1,$D$9*(1-(ABS($Q200-ABS(VALUE(MID(BU200,FIND("|",BU200)+1,FIND("-",BU200)-FIND("|",BU200)-1))-VALUE(MID(BU200,FIND("-",BU200)+1,10)))))*$D$50),$D$9*(1-(IF($N200="X",ABS($O200-VALUE(MID(BU200,FIND("|",BU200)+1,FIND("-",BU200)-FIND("|",BU200)-1))),ABS($Q200-ABS(VALUE(MID(BU200,FIND("|",BU200)+1,FIND("-",BU200)-FIND("|",BU200)-1))-VALUE(MID(BU200,FIND("-",BU200)+1,10)))))*$D$50)))))*$I200,0)),0)</f>
        <v>0</v>
      </c>
      <c r="BW200" s="404"/>
      <c r="BX200" s="426" t="str">
        <f aca="false">Idiomas!$D$368</f>
        <v>Pegar Valores Octavos</v>
      </c>
      <c r="BY200" s="356" t="n">
        <f aca="false">IFERROR(IF($M200=BX200,($D$8+$D$9+$D$10)*$I200,IF($N200=LEFT(BX200,1),($D$8+MAX(0,IF($D$50=1,$D$9*(1-(ABS($Q200-ABS(VALUE(MID(BX200,FIND("|",BX200)+1,FIND("-",BX200)-FIND("|",BX200)-1))-VALUE(MID(BX200,FIND("-",BX200)+1,10)))))*$D$50),$D$9*(1-(IF($N200="X",ABS($O200-VALUE(MID(BX200,FIND("|",BX200)+1,FIND("-",BX200)-FIND("|",BX200)-1))),ABS($Q200-ABS(VALUE(MID(BX200,FIND("|",BX200)+1,FIND("-",BX200)-FIND("|",BX200)-1))-VALUE(MID(BX200,FIND("-",BX200)+1,10)))))*$D$50)))))*$I200,0)),0)</f>
        <v>0</v>
      </c>
      <c r="BZ200" s="404"/>
      <c r="CA200" s="426" t="str">
        <f aca="false">Idiomas!$D$368</f>
        <v>Pegar Valores Octavos</v>
      </c>
      <c r="CB200" s="356" t="n">
        <f aca="false">IFERROR(IF($M200=CA200,($D$8+$D$9+$D$10)*$I200,IF($N200=LEFT(CA200,1),($D$8+MAX(0,IF($D$50=1,$D$9*(1-(ABS($Q200-ABS(VALUE(MID(CA200,FIND("|",CA200)+1,FIND("-",CA200)-FIND("|",CA200)-1))-VALUE(MID(CA200,FIND("-",CA200)+1,10)))))*$D$50),$D$9*(1-(IF($N200="X",ABS($O200-VALUE(MID(CA200,FIND("|",CA200)+1,FIND("-",CA200)-FIND("|",CA200)-1))),ABS($Q200-ABS(VALUE(MID(CA200,FIND("|",CA200)+1,FIND("-",CA200)-FIND("|",CA200)-1))-VALUE(MID(CA200,FIND("-",CA200)+1,10)))))*$D$50)))))*$I200,0)),0)</f>
        <v>0</v>
      </c>
      <c r="CC200" s="404"/>
      <c r="CD200" s="426" t="str">
        <f aca="false">Idiomas!$D$368</f>
        <v>Pegar Valores Octavos</v>
      </c>
      <c r="CE200" s="356" t="n">
        <f aca="false">IFERROR(IF($M200=CD200,($D$8+$D$9+$D$10)*$I200,IF($N200=LEFT(CD200,1),($D$8+MAX(0,IF($D$50=1,$D$9*(1-(ABS($Q200-ABS(VALUE(MID(CD200,FIND("|",CD200)+1,FIND("-",CD200)-FIND("|",CD200)-1))-VALUE(MID(CD200,FIND("-",CD200)+1,10)))))*$D$50),$D$9*(1-(IF($N200="X",ABS($O200-VALUE(MID(CD200,FIND("|",CD200)+1,FIND("-",CD200)-FIND("|",CD200)-1))),ABS($Q200-ABS(VALUE(MID(CD200,FIND("|",CD200)+1,FIND("-",CD200)-FIND("|",CD200)-1))-VALUE(MID(CD200,FIND("-",CD200)+1,10)))))*$D$50)))))*$I200,0)),0)</f>
        <v>0</v>
      </c>
      <c r="CF200" s="404"/>
      <c r="CG200" s="426" t="str">
        <f aca="false">Idiomas!$D$368</f>
        <v>Pegar Valores Octavos</v>
      </c>
      <c r="CH200" s="356" t="n">
        <f aca="false">IFERROR(IF($M200=CG200,($D$8+$D$9+$D$10)*$I200,IF($N200=LEFT(CG200,1),($D$8+MAX(0,IF($D$50=1,$D$9*(1-(ABS($Q200-ABS(VALUE(MID(CG200,FIND("|",CG200)+1,FIND("-",CG200)-FIND("|",CG200)-1))-VALUE(MID(CG200,FIND("-",CG200)+1,10)))))*$D$50),$D$9*(1-(IF($N200="X",ABS($O200-VALUE(MID(CG200,FIND("|",CG200)+1,FIND("-",CG200)-FIND("|",CG200)-1))),ABS($Q200-ABS(VALUE(MID(CG200,FIND("|",CG200)+1,FIND("-",CG200)-FIND("|",CG200)-1))-VALUE(MID(CG200,FIND("-",CG200)+1,10)))))*$D$50)))))*$I200,0)),0)</f>
        <v>0</v>
      </c>
      <c r="CI200" s="404"/>
      <c r="CJ200" s="426" t="str">
        <f aca="false">Idiomas!$D$368</f>
        <v>Pegar Valores Octavos</v>
      </c>
      <c r="CK200" s="356" t="n">
        <f aca="false">IFERROR(IF($M200=CJ200,($D$8+$D$9+$D$10)*$I200,IF($N200=LEFT(CJ200,1),($D$8+MAX(0,IF($D$50=1,$D$9*(1-(ABS($Q200-ABS(VALUE(MID(CJ200,FIND("|",CJ200)+1,FIND("-",CJ200)-FIND("|",CJ200)-1))-VALUE(MID(CJ200,FIND("-",CJ200)+1,10)))))*$D$50),$D$9*(1-(IF($N200="X",ABS($O200-VALUE(MID(CJ200,FIND("|",CJ200)+1,FIND("-",CJ200)-FIND("|",CJ200)-1))),ABS($Q200-ABS(VALUE(MID(CJ200,FIND("|",CJ200)+1,FIND("-",CJ200)-FIND("|",CJ200)-1))-VALUE(MID(CJ200,FIND("-",CJ200)+1,10)))))*$D$50)))))*$I200,0)),0)</f>
        <v>0</v>
      </c>
      <c r="CL200" s="404"/>
      <c r="CM200" s="426" t="str">
        <f aca="false">Idiomas!$D$368</f>
        <v>Pegar Valores Octavos</v>
      </c>
      <c r="CN200" s="356" t="n">
        <f aca="false">IFERROR(IF($M200=CM200,($D$8+$D$9+$D$10)*$I200,IF($N200=LEFT(CM200,1),($D$8+MAX(0,IF($D$50=1,$D$9*(1-(ABS($Q200-ABS(VALUE(MID(CM200,FIND("|",CM200)+1,FIND("-",CM200)-FIND("|",CM200)-1))-VALUE(MID(CM200,FIND("-",CM200)+1,10)))))*$D$50),$D$9*(1-(IF($N200="X",ABS($O200-VALUE(MID(CM200,FIND("|",CM200)+1,FIND("-",CM200)-FIND("|",CM200)-1))),ABS($Q200-ABS(VALUE(MID(CM200,FIND("|",CM200)+1,FIND("-",CM200)-FIND("|",CM200)-1))-VALUE(MID(CM200,FIND("-",CM200)+1,10)))))*$D$50)))))*$I200,0)),0)</f>
        <v>0</v>
      </c>
      <c r="CO200" s="404"/>
      <c r="CP200" s="426" t="str">
        <f aca="false">Idiomas!$D$368</f>
        <v>Pegar Valores Octavos</v>
      </c>
      <c r="CQ200" s="356" t="n">
        <f aca="false">IFERROR(IF($M200=CP200,($D$8+$D$9+$D$10)*$I200,IF($N200=LEFT(CP200,1),($D$8+MAX(0,IF($D$50=1,$D$9*(1-(ABS($Q200-ABS(VALUE(MID(CP200,FIND("|",CP200)+1,FIND("-",CP200)-FIND("|",CP200)-1))-VALUE(MID(CP200,FIND("-",CP200)+1,10)))))*$D$50),$D$9*(1-(IF($N200="X",ABS($O200-VALUE(MID(CP200,FIND("|",CP200)+1,FIND("-",CP200)-FIND("|",CP200)-1))),ABS($Q200-ABS(VALUE(MID(CP200,FIND("|",CP200)+1,FIND("-",CP200)-FIND("|",CP200)-1))-VALUE(MID(CP200,FIND("-",CP200)+1,10)))))*$D$50)))))*$I200,0)),0)</f>
        <v>0</v>
      </c>
      <c r="CR200" s="404"/>
      <c r="CS200" s="426" t="str">
        <f aca="false">Idiomas!$D$368</f>
        <v>Pegar Valores Octavos</v>
      </c>
      <c r="CT200" s="356" t="n">
        <f aca="false">IFERROR(IF($M200=CS200,($D$8+$D$9+$D$10)*$I200,IF($N200=LEFT(CS200,1),($D$8+MAX(0,IF($D$50=1,$D$9*(1-(ABS($Q200-ABS(VALUE(MID(CS200,FIND("|",CS200)+1,FIND("-",CS200)-FIND("|",CS200)-1))-VALUE(MID(CS200,FIND("-",CS200)+1,10)))))*$D$50),$D$9*(1-(IF($N200="X",ABS($O200-VALUE(MID(CS200,FIND("|",CS200)+1,FIND("-",CS200)-FIND("|",CS200)-1))),ABS($Q200-ABS(VALUE(MID(CS200,FIND("|",CS200)+1,FIND("-",CS200)-FIND("|",CS200)-1))-VALUE(MID(CS200,FIND("-",CS200)+1,10)))))*$D$50)))))*$I200,0)),0)</f>
        <v>0</v>
      </c>
      <c r="CU200" s="404"/>
      <c r="CV200" s="426" t="str">
        <f aca="false">Idiomas!$D$368</f>
        <v>Pegar Valores Octavos</v>
      </c>
      <c r="CW200" s="356" t="n">
        <f aca="false">IFERROR(IF($M200=CV200,($D$8+$D$9+$D$10)*$I200,IF($N200=LEFT(CV200,1),($D$8+MAX(0,IF($D$50=1,$D$9*(1-(ABS($Q200-ABS(VALUE(MID(CV200,FIND("|",CV200)+1,FIND("-",CV200)-FIND("|",CV200)-1))-VALUE(MID(CV200,FIND("-",CV200)+1,10)))))*$D$50),$D$9*(1-(IF($N200="X",ABS($O200-VALUE(MID(CV200,FIND("|",CV200)+1,FIND("-",CV200)-FIND("|",CV200)-1))),ABS($Q200-ABS(VALUE(MID(CV200,FIND("|",CV200)+1,FIND("-",CV200)-FIND("|",CV200)-1))-VALUE(MID(CV200,FIND("-",CV200)+1,10)))))*$D$50)))))*$I200,0)),0)</f>
        <v>0</v>
      </c>
      <c r="CX200" s="404"/>
      <c r="CY200" s="426" t="str">
        <f aca="false">Idiomas!$D$368</f>
        <v>Pegar Valores Octavos</v>
      </c>
      <c r="CZ200" s="356" t="n">
        <f aca="false">IFERROR(IF($M200=CY200,($D$8+$D$9+$D$10)*$I200,IF($N200=LEFT(CY200,1),($D$8+MAX(0,IF($D$50=1,$D$9*(1-(ABS($Q200-ABS(VALUE(MID(CY200,FIND("|",CY200)+1,FIND("-",CY200)-FIND("|",CY200)-1))-VALUE(MID(CY200,FIND("-",CY200)+1,10)))))*$D$50),$D$9*(1-(IF($N200="X",ABS($O200-VALUE(MID(CY200,FIND("|",CY200)+1,FIND("-",CY200)-FIND("|",CY200)-1))),ABS($Q200-ABS(VALUE(MID(CY200,FIND("|",CY200)+1,FIND("-",CY200)-FIND("|",CY200)-1))-VALUE(MID(CY200,FIND("-",CY200)+1,10)))))*$D$50)))))*$I200,0)),0)</f>
        <v>0</v>
      </c>
      <c r="DA200" s="404"/>
      <c r="DB200" s="426" t="str">
        <f aca="false">Idiomas!$D$368</f>
        <v>Pegar Valores Octavos</v>
      </c>
      <c r="DC200" s="356" t="n">
        <f aca="false">IFERROR(IF($M200=DB200,($D$8+$D$9+$D$10)*$I200,IF($N200=LEFT(DB200,1),($D$8+MAX(0,IF($D$50=1,$D$9*(1-(ABS($Q200-ABS(VALUE(MID(DB200,FIND("|",DB200)+1,FIND("-",DB200)-FIND("|",DB200)-1))-VALUE(MID(DB200,FIND("-",DB200)+1,10)))))*$D$50),$D$9*(1-(IF($N200="X",ABS($O200-VALUE(MID(DB200,FIND("|",DB200)+1,FIND("-",DB200)-FIND("|",DB200)-1))),ABS($Q200-ABS(VALUE(MID(DB200,FIND("|",DB200)+1,FIND("-",DB200)-FIND("|",DB200)-1))-VALUE(MID(DB200,FIND("-",DB200)+1,10)))))*$D$50)))))*$I200,0)),0)</f>
        <v>0</v>
      </c>
      <c r="DD200" s="404"/>
      <c r="DE200" s="426" t="str">
        <f aca="false">Idiomas!$D$368</f>
        <v>Pegar Valores Octavos</v>
      </c>
      <c r="DF200" s="356" t="n">
        <f aca="false">IFERROR(IF($M200=DE200,($D$8+$D$9+$D$10)*$I200,IF($N200=LEFT(DE200,1),($D$8+MAX(0,IF($D$50=1,$D$9*(1-(ABS($Q200-ABS(VALUE(MID(DE200,FIND("|",DE200)+1,FIND("-",DE200)-FIND("|",DE200)-1))-VALUE(MID(DE200,FIND("-",DE200)+1,10)))))*$D$50),$D$9*(1-(IF($N200="X",ABS($O200-VALUE(MID(DE200,FIND("|",DE200)+1,FIND("-",DE200)-FIND("|",DE200)-1))),ABS($Q200-ABS(VALUE(MID(DE200,FIND("|",DE200)+1,FIND("-",DE200)-FIND("|",DE200)-1))-VALUE(MID(DE200,FIND("-",DE200)+1,10)))))*$D$50)))))*$I200,0)),0)</f>
        <v>0</v>
      </c>
      <c r="DG200" s="404"/>
      <c r="DH200" s="426" t="str">
        <f aca="false">Idiomas!$D$368</f>
        <v>Pegar Valores Octavos</v>
      </c>
      <c r="DI200" s="356" t="n">
        <f aca="false">IFERROR(IF($M200=DH200,($D$8+$D$9+$D$10)*$I200,IF($N200=LEFT(DH200,1),($D$8+MAX(0,IF($D$50=1,$D$9*(1-(ABS($Q200-ABS(VALUE(MID(DH200,FIND("|",DH200)+1,FIND("-",DH200)-FIND("|",DH200)-1))-VALUE(MID(DH200,FIND("-",DH200)+1,10)))))*$D$50),$D$9*(1-(IF($N200="X",ABS($O200-VALUE(MID(DH200,FIND("|",DH200)+1,FIND("-",DH200)-FIND("|",DH200)-1))),ABS($Q200-ABS(VALUE(MID(DH200,FIND("|",DH200)+1,FIND("-",DH200)-FIND("|",DH200)-1))-VALUE(MID(DH200,FIND("-",DH200)+1,10)))))*$D$50)))))*$I200,0)),0)</f>
        <v>0</v>
      </c>
      <c r="DJ200" s="404"/>
      <c r="DK200" s="426" t="str">
        <f aca="false">Idiomas!$D$368</f>
        <v>Pegar Valores Octavos</v>
      </c>
      <c r="DL200" s="356" t="n">
        <f aca="false">IFERROR(IF($M200=DK200,($D$8+$D$9+$D$10)*$I200,IF($N200=LEFT(DK200,1),($D$8+MAX(0,IF($D$50=1,$D$9*(1-(ABS($Q200-ABS(VALUE(MID(DK200,FIND("|",DK200)+1,FIND("-",DK200)-FIND("|",DK200)-1))-VALUE(MID(DK200,FIND("-",DK200)+1,10)))))*$D$50),$D$9*(1-(IF($N200="X",ABS($O200-VALUE(MID(DK200,FIND("|",DK200)+1,FIND("-",DK200)-FIND("|",DK200)-1))),ABS($Q200-ABS(VALUE(MID(DK200,FIND("|",DK200)+1,FIND("-",DK200)-FIND("|",DK200)-1))-VALUE(MID(DK200,FIND("-",DK200)+1,10)))))*$D$50)))))*$I200,0)),0)</f>
        <v>0</v>
      </c>
      <c r="DM200" s="404"/>
      <c r="DN200" s="426" t="str">
        <f aca="false">Idiomas!$D$368</f>
        <v>Pegar Valores Octavos</v>
      </c>
      <c r="DO200" s="356" t="n">
        <f aca="false">IFERROR(IF($M200=DN200,($D$8+$D$9+$D$10)*$I200,IF($N200=LEFT(DN200,1),($D$8+MAX(0,IF($D$50=1,$D$9*(1-(ABS($Q200-ABS(VALUE(MID(DN200,FIND("|",DN200)+1,FIND("-",DN200)-FIND("|",DN200)-1))-VALUE(MID(DN200,FIND("-",DN200)+1,10)))))*$D$50),$D$9*(1-(IF($N200="X",ABS($O200-VALUE(MID(DN200,FIND("|",DN200)+1,FIND("-",DN200)-FIND("|",DN200)-1))),ABS($Q200-ABS(VALUE(MID(DN200,FIND("|",DN200)+1,FIND("-",DN200)-FIND("|",DN200)-1))-VALUE(MID(DN200,FIND("-",DN200)+1,10)))))*$D$50)))))*$I200,0)),0)</f>
        <v>0</v>
      </c>
      <c r="DP200" s="404"/>
      <c r="DQ200" s="426" t="str">
        <f aca="false">Idiomas!$D$368</f>
        <v>Pegar Valores Octavos</v>
      </c>
      <c r="DR200" s="356" t="n">
        <f aca="false">IFERROR(IF($M200=DQ200,($D$8+$D$9+$D$10)*$I200,IF($N200=LEFT(DQ200,1),($D$8+MAX(0,IF($D$50=1,$D$9*(1-(ABS($Q200-ABS(VALUE(MID(DQ200,FIND("|",DQ200)+1,FIND("-",DQ200)-FIND("|",DQ200)-1))-VALUE(MID(DQ200,FIND("-",DQ200)+1,10)))))*$D$50),$D$9*(1-(IF($N200="X",ABS($O200-VALUE(MID(DQ200,FIND("|",DQ200)+1,FIND("-",DQ200)-FIND("|",DQ200)-1))),ABS($Q200-ABS(VALUE(MID(DQ200,FIND("|",DQ200)+1,FIND("-",DQ200)-FIND("|",DQ200)-1))-VALUE(MID(DQ200,FIND("-",DQ200)+1,10)))))*$D$50)))))*$I200,0)),0)</f>
        <v>0</v>
      </c>
      <c r="DS200" s="404"/>
      <c r="DT200" s="426" t="str">
        <f aca="false">Idiomas!$D$368</f>
        <v>Pegar Valores Octavos</v>
      </c>
      <c r="DU200" s="356" t="n">
        <f aca="false">IFERROR(IF($M200=DT200,($D$8+$D$9+$D$10)*$I200,IF($N200=LEFT(DT200,1),($D$8+MAX(0,IF($D$50=1,$D$9*(1-(ABS($Q200-ABS(VALUE(MID(DT200,FIND("|",DT200)+1,FIND("-",DT200)-FIND("|",DT200)-1))-VALUE(MID(DT200,FIND("-",DT200)+1,10)))))*$D$50),$D$9*(1-(IF($N200="X",ABS($O200-VALUE(MID(DT200,FIND("|",DT200)+1,FIND("-",DT200)-FIND("|",DT200)-1))),ABS($Q200-ABS(VALUE(MID(DT200,FIND("|",DT200)+1,FIND("-",DT200)-FIND("|",DT200)-1))-VALUE(MID(DT200,FIND("-",DT200)+1,10)))))*$D$50)))))*$I200,0)),0)</f>
        <v>0</v>
      </c>
      <c r="DV200" s="404"/>
      <c r="DW200" s="426" t="str">
        <f aca="false">Idiomas!$D$368</f>
        <v>Pegar Valores Octavos</v>
      </c>
      <c r="DX200" s="356" t="n">
        <f aca="false">IFERROR(IF($M200=DW200,($D$8+$D$9+$D$10)*$I200,IF($N200=LEFT(DW200,1),($D$8+MAX(0,IF($D$50=1,$D$9*(1-(ABS($Q200-ABS(VALUE(MID(DW200,FIND("|",DW200)+1,FIND("-",DW200)-FIND("|",DW200)-1))-VALUE(MID(DW200,FIND("-",DW200)+1,10)))))*$D$50),$D$9*(1-(IF($N200="X",ABS($O200-VALUE(MID(DW200,FIND("|",DW200)+1,FIND("-",DW200)-FIND("|",DW200)-1))),ABS($Q200-ABS(VALUE(MID(DW200,FIND("|",DW200)+1,FIND("-",DW200)-FIND("|",DW200)-1))-VALUE(MID(DW200,FIND("-",DW200)+1,10)))))*$D$50)))))*$I200,0)),0)</f>
        <v>0</v>
      </c>
      <c r="DY200" s="404"/>
      <c r="DZ200" s="426" t="str">
        <f aca="false">Idiomas!$D$368</f>
        <v>Pegar Valores Octavos</v>
      </c>
      <c r="EA200" s="356" t="n">
        <f aca="false">IFERROR(IF($M200=DZ200,($D$8+$D$9+$D$10)*$I200,IF($N200=LEFT(DZ200,1),($D$8+MAX(0,IF($D$50=1,$D$9*(1-(ABS($Q200-ABS(VALUE(MID(DZ200,FIND("|",DZ200)+1,FIND("-",DZ200)-FIND("|",DZ200)-1))-VALUE(MID(DZ200,FIND("-",DZ200)+1,10)))))*$D$50),$D$9*(1-(IF($N200="X",ABS($O200-VALUE(MID(DZ200,FIND("|",DZ200)+1,FIND("-",DZ200)-FIND("|",DZ200)-1))),ABS($Q200-ABS(VALUE(MID(DZ200,FIND("|",DZ200)+1,FIND("-",DZ200)-FIND("|",DZ200)-1))-VALUE(MID(DZ200,FIND("-",DZ200)+1,10)))))*$D$50)))))*$I200,0)),0)</f>
        <v>0</v>
      </c>
      <c r="EB200" s="404"/>
      <c r="EC200" s="426" t="str">
        <f aca="false">Idiomas!$D$368</f>
        <v>Pegar Valores Octavos</v>
      </c>
      <c r="ED200" s="356" t="n">
        <f aca="false">IFERROR(IF($M200=EC200,($D$8+$D$9+$D$10)*$I200,IF($N200=LEFT(EC200,1),($D$8+MAX(0,IF($D$50=1,$D$9*(1-(ABS($Q200-ABS(VALUE(MID(EC200,FIND("|",EC200)+1,FIND("-",EC200)-FIND("|",EC200)-1))-VALUE(MID(EC200,FIND("-",EC200)+1,10)))))*$D$50),$D$9*(1-(IF($N200="X",ABS($O200-VALUE(MID(EC200,FIND("|",EC200)+1,FIND("-",EC200)-FIND("|",EC200)-1))),ABS($Q200-ABS(VALUE(MID(EC200,FIND("|",EC200)+1,FIND("-",EC200)-FIND("|",EC200)-1))-VALUE(MID(EC200,FIND("-",EC200)+1,10)))))*$D$50)))))*$I200,0)),0)</f>
        <v>0</v>
      </c>
      <c r="EE200" s="404"/>
      <c r="EF200" s="426" t="str">
        <f aca="false">Idiomas!$D$368</f>
        <v>Pegar Valores Octavos</v>
      </c>
      <c r="EG200" s="356" t="n">
        <f aca="false">IFERROR(IF($M200=EF200,($D$8+$D$9+$D$10)*$I200,IF($N200=LEFT(EF200,1),($D$8+MAX(0,IF($D$50=1,$D$9*(1-(ABS($Q200-ABS(VALUE(MID(EF200,FIND("|",EF200)+1,FIND("-",EF200)-FIND("|",EF200)-1))-VALUE(MID(EF200,FIND("-",EF200)+1,10)))))*$D$50),$D$9*(1-(IF($N200="X",ABS($O200-VALUE(MID(EF200,FIND("|",EF200)+1,FIND("-",EF200)-FIND("|",EF200)-1))),ABS($Q200-ABS(VALUE(MID(EF200,FIND("|",EF200)+1,FIND("-",EF200)-FIND("|",EF200)-1))-VALUE(MID(EF200,FIND("-",EF200)+1,10)))))*$D$50)))))*$I200,0)),0)</f>
        <v>0</v>
      </c>
      <c r="EH200" s="404"/>
      <c r="EI200" s="404"/>
    </row>
    <row r="201" customFormat="false" ht="15" hidden="false" customHeight="false" outlineLevel="0" collapsed="false">
      <c r="A201" s="332" t="n">
        <f aca="false">WORLDCUP!AD121</f>
        <v>0</v>
      </c>
      <c r="B201" s="332" t="n">
        <f aca="false">WORLDCUP!AC121</f>
        <v>0</v>
      </c>
      <c r="C201" s="422" t="str">
        <f aca="false">CONCATENATE(WORLDCUP!AF121,"-",WORLDCUP!AA121)</f>
        <v>W77-W74</v>
      </c>
      <c r="D201" s="422" t="str">
        <f aca="false">IF(WORLDCUP!AC121&gt;WORLDCUP!AD121,2,IF(WORLDCUP!AC121&lt;WORLDCUP!AD121,1,IF(AND(WORLDCUP!AC121=WORLDCUP!AD121,WORLDCUP!AC121&lt;&gt;"",WORLDCUP!AD121&lt;&gt;""),0,"PD")))</f>
        <v>PD</v>
      </c>
      <c r="E201" s="422" t="str">
        <f aca="false">IF(OR(WORLDCUP!AD121="",WORLDCUP!AC121=""),"-",A201&amp;"-"&amp;B201)</f>
        <v>-</v>
      </c>
      <c r="F201" s="423" t="n">
        <f aca="false">SUM($D$20:$D$22)*I201</f>
        <v>17</v>
      </c>
      <c r="G201" s="423" t="n">
        <f aca="false">VLOOKUP(H201,Equipos!$Q$1:$R$25,2,0)</f>
        <v>21</v>
      </c>
      <c r="H201" s="410" t="str">
        <f aca="false">Idiomas!$D$261</f>
        <v>Octavos de final</v>
      </c>
      <c r="I201" s="425" t="n">
        <v>1</v>
      </c>
      <c r="J201" s="418"/>
      <c r="K201" s="367" t="str">
        <f aca="false">CONCATENATE(WORLDCUP!AA121,"-",WORLDCUP!AF121)</f>
        <v>W74-W77</v>
      </c>
      <c r="L201" s="354" t="str">
        <f aca="false">IF(OR(WORLDCUP!AC121="",WORLDCUP!AD121=""),"PD",IF(WORLDCUP!AC121&gt;WORLDCUP!AD121,1,IF(WORLDCUP!AC121&lt;WORLDCUP!AD121,2,0)))</f>
        <v>PD</v>
      </c>
      <c r="M201" s="359" t="str">
        <f aca="false">IF(OR(WORLDCUP!AC121="",WORLDCUP!AD121=""),"-",N201&amp;"|"&amp;O201&amp;"-"&amp;P201)</f>
        <v>-</v>
      </c>
      <c r="N201" s="332" t="str">
        <f aca="false">IF(OR(WORLDCUP!AC121="",WORLDCUP!AD121=""),"",IF(WORLDCUP!AC121&gt;WORLDCUP!AD121,"1",IF(WORLDCUP!AC121&lt;WORLDCUP!AD121,"2","X")))</f>
        <v/>
      </c>
      <c r="O201" s="332" t="n">
        <f aca="false">WORLDCUP!AC121</f>
        <v>0</v>
      </c>
      <c r="P201" s="332" t="n">
        <f aca="false">WORLDCUP!AD121</f>
        <v>0</v>
      </c>
      <c r="Q201" s="332" t="n">
        <f aca="false">ABS(O201-P201)</f>
        <v>0</v>
      </c>
      <c r="R201" s="404"/>
      <c r="S201" s="363" t="s">
        <v>288</v>
      </c>
      <c r="T201" s="356" t="n">
        <f aca="false">IFERROR(IF($M201=S201,($D$8+$D$9+$D$10)*$I201,IF($N201=LEFT(S201,1),($D$8+MAX(0,IF($D$50=1,$D$9*(1-(ABS($Q201-ABS(VALUE(MID(S201,FIND("|",S201)+1,FIND("-",S201)-FIND("|",S201)-1))-VALUE(MID(S201,FIND("-",S201)+1,10)))))*$D$50),$D$9*(1-(IF($N201="X",ABS($O201-VALUE(MID(S201,FIND("|",S201)+1,FIND("-",S201)-FIND("|",S201)-1))),ABS($Q201-ABS(VALUE(MID(S201,FIND("|",S201)+1,FIND("-",S201)-FIND("|",S201)-1))-VALUE(MID(S201,FIND("-",S201)+1,10)))))*$D$50)))))*$I201,0)),0)</f>
        <v>0</v>
      </c>
      <c r="U201" s="404"/>
      <c r="V201" s="398" t="s">
        <v>277</v>
      </c>
      <c r="W201" s="356" t="n">
        <f aca="false">IFERROR(IF($M201=V201,($D$8+$D$9+$D$10)*$I201,IF($N201=LEFT(V201,1),($D$8+MAX(0,IF($D$50=1,$D$9*(1-(ABS($Q201-ABS(VALUE(MID(V201,FIND("|",V201)+1,FIND("-",V201)-FIND("|",V201)-1))-VALUE(MID(V201,FIND("-",V201)+1,10)))))*$D$50),$D$9*(1-(IF($N201="X",ABS($O201-VALUE(MID(V201,FIND("|",V201)+1,FIND("-",V201)-FIND("|",V201)-1))),ABS($Q201-ABS(VALUE(MID(V201,FIND("|",V201)+1,FIND("-",V201)-FIND("|",V201)-1))-VALUE(MID(V201,FIND("-",V201)+1,10)))))*$D$50)))))*$I201,0)),0)</f>
        <v>0</v>
      </c>
      <c r="X201" s="404"/>
      <c r="Y201" s="398" t="s">
        <v>264</v>
      </c>
      <c r="Z201" s="356" t="n">
        <f aca="false">IFERROR(IF($M201=Y201,($D$8+$D$9+$D$10)*$I201,IF($N201=LEFT(Y201,1),($D$8+MAX(0,IF($D$50=1,$D$9*(1-(ABS($Q201-ABS(VALUE(MID(Y201,FIND("|",Y201)+1,FIND("-",Y201)-FIND("|",Y201)-1))-VALUE(MID(Y201,FIND("-",Y201)+1,10)))))*$D$50),$D$9*(1-(IF($N201="X",ABS($O201-VALUE(MID(Y201,FIND("|",Y201)+1,FIND("-",Y201)-FIND("|",Y201)-1))),ABS($Q201-ABS(VALUE(MID(Y201,FIND("|",Y201)+1,FIND("-",Y201)-FIND("|",Y201)-1))-VALUE(MID(Y201,FIND("-",Y201)+1,10)))))*$D$50)))))*$I201,0)),0)</f>
        <v>0</v>
      </c>
      <c r="AA201" s="404"/>
      <c r="AB201" s="398" t="s">
        <v>268</v>
      </c>
      <c r="AC201" s="356" t="n">
        <f aca="false">IFERROR(IF($M201=AB201,($D$8+$D$9+$D$10)*$I201,IF($N201=LEFT(AB201,1),($D$8+MAX(0,IF($D$50=1,$D$9*(1-(ABS($Q201-ABS(VALUE(MID(AB201,FIND("|",AB201)+1,FIND("-",AB201)-FIND("|",AB201)-1))-VALUE(MID(AB201,FIND("-",AB201)+1,10)))))*$D$50),$D$9*(1-(IF($N201="X",ABS($O201-VALUE(MID(AB201,FIND("|",AB201)+1,FIND("-",AB201)-FIND("|",AB201)-1))),ABS($Q201-ABS(VALUE(MID(AB201,FIND("|",AB201)+1,FIND("-",AB201)-FIND("|",AB201)-1))-VALUE(MID(AB201,FIND("-",AB201)+1,10)))))*$D$50)))))*$I201,0)),0)</f>
        <v>0</v>
      </c>
      <c r="AD201" s="404"/>
      <c r="AE201" s="398" t="s">
        <v>277</v>
      </c>
      <c r="AF201" s="356" t="n">
        <f aca="false">IFERROR(IF($M201=AE201,($D$8+$D$9+$D$10)*$I201,IF($N201=LEFT(AE201,1),($D$8+MAX(0,IF($D$50=1,$D$9*(1-(ABS($Q201-ABS(VALUE(MID(AE201,FIND("|",AE201)+1,FIND("-",AE201)-FIND("|",AE201)-1))-VALUE(MID(AE201,FIND("-",AE201)+1,10)))))*$D$50),$D$9*(1-(IF($N201="X",ABS($O201-VALUE(MID(AE201,FIND("|",AE201)+1,FIND("-",AE201)-FIND("|",AE201)-1))),ABS($Q201-ABS(VALUE(MID(AE201,FIND("|",AE201)+1,FIND("-",AE201)-FIND("|",AE201)-1))-VALUE(MID(AE201,FIND("-",AE201)+1,10)))))*$D$50)))))*$I201,0)),0)</f>
        <v>0</v>
      </c>
      <c r="AG201" s="404"/>
      <c r="AH201" s="363" t="s">
        <v>267</v>
      </c>
      <c r="AI201" s="356" t="n">
        <f aca="false">IFERROR(IF($M201=AH201,($D$8+$D$9+$D$10)*$I201,IF($N201=LEFT(AH201,1),($D$8+MAX(0,IF($D$50=1,$D$9*(1-(ABS($Q201-ABS(VALUE(MID(AH201,FIND("|",AH201)+1,FIND("-",AH201)-FIND("|",AH201)-1))-VALUE(MID(AH201,FIND("-",AH201)+1,10)))))*$D$50),$D$9*(1-(IF($N201="X",ABS($O201-VALUE(MID(AH201,FIND("|",AH201)+1,FIND("-",AH201)-FIND("|",AH201)-1))),ABS($Q201-ABS(VALUE(MID(AH201,FIND("|",AH201)+1,FIND("-",AH201)-FIND("|",AH201)-1))-VALUE(MID(AH201,FIND("-",AH201)+1,10)))))*$D$50)))))*$I201,0)),0)</f>
        <v>0</v>
      </c>
      <c r="AJ201" s="404"/>
      <c r="AK201" s="398" t="s">
        <v>268</v>
      </c>
      <c r="AL201" s="356" t="n">
        <f aca="false">IFERROR(IF($M201=AK201,($D$8+$D$9+$D$10)*$I201,IF($N201=LEFT(AK201,1),($D$8+MAX(0,IF($D$50=1,$D$9*(1-(ABS($Q201-ABS(VALUE(MID(AK201,FIND("|",AK201)+1,FIND("-",AK201)-FIND("|",AK201)-1))-VALUE(MID(AK201,FIND("-",AK201)+1,10)))))*$D$50),$D$9*(1-(IF($N201="X",ABS($O201-VALUE(MID(AK201,FIND("|",AK201)+1,FIND("-",AK201)-FIND("|",AK201)-1))),ABS($Q201-ABS(VALUE(MID(AK201,FIND("|",AK201)+1,FIND("-",AK201)-FIND("|",AK201)-1))-VALUE(MID(AK201,FIND("-",AK201)+1,10)))))*$D$50)))))*$I201,0)),0)</f>
        <v>0</v>
      </c>
      <c r="AM201" s="404"/>
      <c r="AN201" s="398" t="s">
        <v>267</v>
      </c>
      <c r="AO201" s="356" t="n">
        <f aca="false">IFERROR(IF($M201=AN201,($D$8+$D$9+$D$10)*$I201,IF($N201=LEFT(AN201,1),($D$8+MAX(0,IF($D$50=1,$D$9*(1-(ABS($Q201-ABS(VALUE(MID(AN201,FIND("|",AN201)+1,FIND("-",AN201)-FIND("|",AN201)-1))-VALUE(MID(AN201,FIND("-",AN201)+1,10)))))*$D$50),$D$9*(1-(IF($N201="X",ABS($O201-VALUE(MID(AN201,FIND("|",AN201)+1,FIND("-",AN201)-FIND("|",AN201)-1))),ABS($Q201-ABS(VALUE(MID(AN201,FIND("|",AN201)+1,FIND("-",AN201)-FIND("|",AN201)-1))-VALUE(MID(AN201,FIND("-",AN201)+1,10)))))*$D$50)))))*$I201,0)),0)</f>
        <v>0</v>
      </c>
      <c r="AP201" s="404"/>
      <c r="AQ201" s="398" t="s">
        <v>264</v>
      </c>
      <c r="AR201" s="356" t="n">
        <f aca="false">IFERROR(IF($M201=AQ201,($D$8+$D$9+$D$10)*$I201,IF($N201=LEFT(AQ201,1),($D$8+MAX(0,IF($D$50=1,$D$9*(1-(ABS($Q201-ABS(VALUE(MID(AQ201,FIND("|",AQ201)+1,FIND("-",AQ201)-FIND("|",AQ201)-1))-VALUE(MID(AQ201,FIND("-",AQ201)+1,10)))))*$D$50),$D$9*(1-(IF($N201="X",ABS($O201-VALUE(MID(AQ201,FIND("|",AQ201)+1,FIND("-",AQ201)-FIND("|",AQ201)-1))),ABS($Q201-ABS(VALUE(MID(AQ201,FIND("|",AQ201)+1,FIND("-",AQ201)-FIND("|",AQ201)-1))-VALUE(MID(AQ201,FIND("-",AQ201)+1,10)))))*$D$50)))))*$I201,0)),0)</f>
        <v>0</v>
      </c>
      <c r="AS201" s="404"/>
      <c r="AT201" s="398" t="s">
        <v>269</v>
      </c>
      <c r="AU201" s="356" t="n">
        <f aca="false">IFERROR(IF($M201=AT201,($D$8+$D$9+$D$10)*$I201,IF($N201=LEFT(AT201,1),($D$8+MAX(0,IF($D$50=1,$D$9*(1-(ABS($Q201-ABS(VALUE(MID(AT201,FIND("|",AT201)+1,FIND("-",AT201)-FIND("|",AT201)-1))-VALUE(MID(AT201,FIND("-",AT201)+1,10)))))*$D$50),$D$9*(1-(IF($N201="X",ABS($O201-VALUE(MID(AT201,FIND("|",AT201)+1,FIND("-",AT201)-FIND("|",AT201)-1))),ABS($Q201-ABS(VALUE(MID(AT201,FIND("|",AT201)+1,FIND("-",AT201)-FIND("|",AT201)-1))-VALUE(MID(AT201,FIND("-",AT201)+1,10)))))*$D$50)))))*$I201,0)),0)</f>
        <v>0</v>
      </c>
      <c r="AV201" s="404"/>
      <c r="AW201" s="363" t="s">
        <v>274</v>
      </c>
      <c r="AX201" s="356" t="n">
        <f aca="false">IFERROR(IF($M201=AW201,($D$8+$D$9+$D$10)*$I201,IF($N201=LEFT(AW201,1),($D$8+MAX(0,IF($D$50=1,$D$9*(1-(ABS($Q201-ABS(VALUE(MID(AW201,FIND("|",AW201)+1,FIND("-",AW201)-FIND("|",AW201)-1))-VALUE(MID(AW201,FIND("-",AW201)+1,10)))))*$D$50),$D$9*(1-(IF($N201="X",ABS($O201-VALUE(MID(AW201,FIND("|",AW201)+1,FIND("-",AW201)-FIND("|",AW201)-1))),ABS($Q201-ABS(VALUE(MID(AW201,FIND("|",AW201)+1,FIND("-",AW201)-FIND("|",AW201)-1))-VALUE(MID(AW201,FIND("-",AW201)+1,10)))))*$D$50)))))*$I201,0)),0)</f>
        <v>0</v>
      </c>
      <c r="AY201" s="404"/>
      <c r="AZ201" s="398" t="s">
        <v>268</v>
      </c>
      <c r="BA201" s="356" t="n">
        <f aca="false">IFERROR(IF($M201=AZ201,($D$8+$D$9+$D$10)*$I201,IF($N201=LEFT(AZ201,1),($D$8+MAX(0,IF($D$50=1,$D$9*(1-(ABS($Q201-ABS(VALUE(MID(AZ201,FIND("|",AZ201)+1,FIND("-",AZ201)-FIND("|",AZ201)-1))-VALUE(MID(AZ201,FIND("-",AZ201)+1,10)))))*$D$50),$D$9*(1-(IF($N201="X",ABS($O201-VALUE(MID(AZ201,FIND("|",AZ201)+1,FIND("-",AZ201)-FIND("|",AZ201)-1))),ABS($Q201-ABS(VALUE(MID(AZ201,FIND("|",AZ201)+1,FIND("-",AZ201)-FIND("|",AZ201)-1))-VALUE(MID(AZ201,FIND("-",AZ201)+1,10)))))*$D$50)))))*$I201,0)),0)</f>
        <v>0</v>
      </c>
      <c r="BB201" s="404"/>
      <c r="BC201" s="398" t="s">
        <v>288</v>
      </c>
      <c r="BD201" s="356" t="n">
        <f aca="false">IFERROR(IF($M201=BC201,($D$8+$D$9+$D$10)*$I201,IF($N201=LEFT(BC201,1),($D$8+MAX(0,IF($D$50=1,$D$9*(1-(ABS($Q201-ABS(VALUE(MID(BC201,FIND("|",BC201)+1,FIND("-",BC201)-FIND("|",BC201)-1))-VALUE(MID(BC201,FIND("-",BC201)+1,10)))))*$D$50),$D$9*(1-(IF($N201="X",ABS($O201-VALUE(MID(BC201,FIND("|",BC201)+1,FIND("-",BC201)-FIND("|",BC201)-1))),ABS($Q201-ABS(VALUE(MID(BC201,FIND("|",BC201)+1,FIND("-",BC201)-FIND("|",BC201)-1))-VALUE(MID(BC201,FIND("-",BC201)+1,10)))))*$D$50)))))*$I201,0)),0)</f>
        <v>0</v>
      </c>
      <c r="BE201" s="404"/>
      <c r="BF201" s="398" t="s">
        <v>318</v>
      </c>
      <c r="BG201" s="356" t="n">
        <f aca="false">IFERROR(IF($M201=BF201,($D$8+$D$9+$D$10)*$I201,IF($N201=LEFT(BF201,1),($D$8+MAX(0,IF($D$50=1,$D$9*(1-(ABS($Q201-ABS(VALUE(MID(BF201,FIND("|",BF201)+1,FIND("-",BF201)-FIND("|",BF201)-1))-VALUE(MID(BF201,FIND("-",BF201)+1,10)))))*$D$50),$D$9*(1-(IF($N201="X",ABS($O201-VALUE(MID(BF201,FIND("|",BF201)+1,FIND("-",BF201)-FIND("|",BF201)-1))),ABS($Q201-ABS(VALUE(MID(BF201,FIND("|",BF201)+1,FIND("-",BF201)-FIND("|",BF201)-1))-VALUE(MID(BF201,FIND("-",BF201)+1,10)))))*$D$50)))))*$I201,0)),0)</f>
        <v>0</v>
      </c>
      <c r="BH201" s="404"/>
      <c r="BI201" s="398" t="s">
        <v>318</v>
      </c>
      <c r="BJ201" s="356" t="n">
        <f aca="false">IFERROR(IF($M201=BI201,($D$8+$D$9+$D$10)*$I201,IF($N201=LEFT(BI201,1),($D$8+MAX(0,IF($D$50=1,$D$9*(1-(ABS($Q201-ABS(VALUE(MID(BI201,FIND("|",BI201)+1,FIND("-",BI201)-FIND("|",BI201)-1))-VALUE(MID(BI201,FIND("-",BI201)+1,10)))))*$D$50),$D$9*(1-(IF($N201="X",ABS($O201-VALUE(MID(BI201,FIND("|",BI201)+1,FIND("-",BI201)-FIND("|",BI201)-1))),ABS($Q201-ABS(VALUE(MID(BI201,FIND("|",BI201)+1,FIND("-",BI201)-FIND("|",BI201)-1))-VALUE(MID(BI201,FIND("-",BI201)+1,10)))))*$D$50)))))*$I201,0)),0)</f>
        <v>0</v>
      </c>
      <c r="BK201" s="404"/>
      <c r="BL201" s="363" t="s">
        <v>277</v>
      </c>
      <c r="BM201" s="356" t="n">
        <f aca="false">IFERROR(IF($M201=BL201,($D$8+$D$9+$D$10)*$I201,IF($N201=LEFT(BL201,1),($D$8+MAX(0,IF($D$50=1,$D$9*(1-(ABS($Q201-ABS(VALUE(MID(BL201,FIND("|",BL201)+1,FIND("-",BL201)-FIND("|",BL201)-1))-VALUE(MID(BL201,FIND("-",BL201)+1,10)))))*$D$50),$D$9*(1-(IF($N201="X",ABS($O201-VALUE(MID(BL201,FIND("|",BL201)+1,FIND("-",BL201)-FIND("|",BL201)-1))),ABS($Q201-ABS(VALUE(MID(BL201,FIND("|",BL201)+1,FIND("-",BL201)-FIND("|",BL201)-1))-VALUE(MID(BL201,FIND("-",BL201)+1,10)))))*$D$50)))))*$I201,0)),0)</f>
        <v>0</v>
      </c>
      <c r="BN201" s="404"/>
      <c r="BO201" s="398" t="s">
        <v>268</v>
      </c>
      <c r="BP201" s="356" t="n">
        <f aca="false">IFERROR(IF($M201=BO201,($D$8+$D$9+$D$10)*$I201,IF($N201=LEFT(BO201,1),($D$8+MAX(0,IF($D$50=1,$D$9*(1-(ABS($Q201-ABS(VALUE(MID(BO201,FIND("|",BO201)+1,FIND("-",BO201)-FIND("|",BO201)-1))-VALUE(MID(BO201,FIND("-",BO201)+1,10)))))*$D$50),$D$9*(1-(IF($N201="X",ABS($O201-VALUE(MID(BO201,FIND("|",BO201)+1,FIND("-",BO201)-FIND("|",BO201)-1))),ABS($Q201-ABS(VALUE(MID(BO201,FIND("|",BO201)+1,FIND("-",BO201)-FIND("|",BO201)-1))-VALUE(MID(BO201,FIND("-",BO201)+1,10)))))*$D$50)))))*$I201,0)),0)</f>
        <v>0</v>
      </c>
      <c r="BQ201" s="404"/>
      <c r="BR201" s="398" t="s">
        <v>268</v>
      </c>
      <c r="BS201" s="356" t="n">
        <f aca="false">IFERROR(IF($M201=BR201,($D$8+$D$9+$D$10)*$I201,IF($N201=LEFT(BR201,1),($D$8+MAX(0,IF($D$50=1,$D$9*(1-(ABS($Q201-ABS(VALUE(MID(BR201,FIND("|",BR201)+1,FIND("-",BR201)-FIND("|",BR201)-1))-VALUE(MID(BR201,FIND("-",BR201)+1,10)))))*$D$50),$D$9*(1-(IF($N201="X",ABS($O201-VALUE(MID(BR201,FIND("|",BR201)+1,FIND("-",BR201)-FIND("|",BR201)-1))),ABS($Q201-ABS(VALUE(MID(BR201,FIND("|",BR201)+1,FIND("-",BR201)-FIND("|",BR201)-1))-VALUE(MID(BR201,FIND("-",BR201)+1,10)))))*$D$50)))))*$I201,0)),0)</f>
        <v>0</v>
      </c>
      <c r="BT201" s="404"/>
      <c r="BU201" s="398"/>
      <c r="BV201" s="356" t="n">
        <f aca="false">IFERROR(IF($M201=BU201,($D$8+$D$9+$D$10)*$I201,IF($N201=LEFT(BU201,1),($D$8+MAX(0,IF($D$50=1,$D$9*(1-(ABS($Q201-ABS(VALUE(MID(BU201,FIND("|",BU201)+1,FIND("-",BU201)-FIND("|",BU201)-1))-VALUE(MID(BU201,FIND("-",BU201)+1,10)))))*$D$50),$D$9*(1-(IF($N201="X",ABS($O201-VALUE(MID(BU201,FIND("|",BU201)+1,FIND("-",BU201)-FIND("|",BU201)-1))),ABS($Q201-ABS(VALUE(MID(BU201,FIND("|",BU201)+1,FIND("-",BU201)-FIND("|",BU201)-1))-VALUE(MID(BU201,FIND("-",BU201)+1,10)))))*$D$50)))))*$I201,0)),0)</f>
        <v>0</v>
      </c>
      <c r="BW201" s="404"/>
      <c r="BX201" s="398"/>
      <c r="BY201" s="356" t="n">
        <f aca="false">IFERROR(IF($M201=BX201,($D$8+$D$9+$D$10)*$I201,IF($N201=LEFT(BX201,1),($D$8+MAX(0,IF($D$50=1,$D$9*(1-(ABS($Q201-ABS(VALUE(MID(BX201,FIND("|",BX201)+1,FIND("-",BX201)-FIND("|",BX201)-1))-VALUE(MID(BX201,FIND("-",BX201)+1,10)))))*$D$50),$D$9*(1-(IF($N201="X",ABS($O201-VALUE(MID(BX201,FIND("|",BX201)+1,FIND("-",BX201)-FIND("|",BX201)-1))),ABS($Q201-ABS(VALUE(MID(BX201,FIND("|",BX201)+1,FIND("-",BX201)-FIND("|",BX201)-1))-VALUE(MID(BX201,FIND("-",BX201)+1,10)))))*$D$50)))))*$I201,0)),0)</f>
        <v>0</v>
      </c>
      <c r="BZ201" s="404"/>
      <c r="CA201" s="363"/>
      <c r="CB201" s="356" t="n">
        <f aca="false">IFERROR(IF($M201=CA201,($D$8+$D$9+$D$10)*$I201,IF($N201=LEFT(CA201,1),($D$8+MAX(0,IF($D$50=1,$D$9*(1-(ABS($Q201-ABS(VALUE(MID(CA201,FIND("|",CA201)+1,FIND("-",CA201)-FIND("|",CA201)-1))-VALUE(MID(CA201,FIND("-",CA201)+1,10)))))*$D$50),$D$9*(1-(IF($N201="X",ABS($O201-VALUE(MID(CA201,FIND("|",CA201)+1,FIND("-",CA201)-FIND("|",CA201)-1))),ABS($Q201-ABS(VALUE(MID(CA201,FIND("|",CA201)+1,FIND("-",CA201)-FIND("|",CA201)-1))-VALUE(MID(CA201,FIND("-",CA201)+1,10)))))*$D$50)))))*$I201,0)),0)</f>
        <v>0</v>
      </c>
      <c r="CC201" s="404"/>
      <c r="CD201" s="398"/>
      <c r="CE201" s="356" t="n">
        <f aca="false">IFERROR(IF($M201=CD201,($D$8+$D$9+$D$10)*$I201,IF($N201=LEFT(CD201,1),($D$8+MAX(0,IF($D$50=1,$D$9*(1-(ABS($Q201-ABS(VALUE(MID(CD201,FIND("|",CD201)+1,FIND("-",CD201)-FIND("|",CD201)-1))-VALUE(MID(CD201,FIND("-",CD201)+1,10)))))*$D$50),$D$9*(1-(IF($N201="X",ABS($O201-VALUE(MID(CD201,FIND("|",CD201)+1,FIND("-",CD201)-FIND("|",CD201)-1))),ABS($Q201-ABS(VALUE(MID(CD201,FIND("|",CD201)+1,FIND("-",CD201)-FIND("|",CD201)-1))-VALUE(MID(CD201,FIND("-",CD201)+1,10)))))*$D$50)))))*$I201,0)),0)</f>
        <v>0</v>
      </c>
      <c r="CF201" s="404"/>
      <c r="CG201" s="398"/>
      <c r="CH201" s="356" t="n">
        <f aca="false">IFERROR(IF($M201=CG201,($D$8+$D$9+$D$10)*$I201,IF($N201=LEFT(CG201,1),($D$8+MAX(0,IF($D$50=1,$D$9*(1-(ABS($Q201-ABS(VALUE(MID(CG201,FIND("|",CG201)+1,FIND("-",CG201)-FIND("|",CG201)-1))-VALUE(MID(CG201,FIND("-",CG201)+1,10)))))*$D$50),$D$9*(1-(IF($N201="X",ABS($O201-VALUE(MID(CG201,FIND("|",CG201)+1,FIND("-",CG201)-FIND("|",CG201)-1))),ABS($Q201-ABS(VALUE(MID(CG201,FIND("|",CG201)+1,FIND("-",CG201)-FIND("|",CG201)-1))-VALUE(MID(CG201,FIND("-",CG201)+1,10)))))*$D$50)))))*$I201,0)),0)</f>
        <v>0</v>
      </c>
      <c r="CI201" s="404"/>
      <c r="CJ201" s="398"/>
      <c r="CK201" s="356" t="n">
        <f aca="false">IFERROR(IF($M201=CJ201,($D$8+$D$9+$D$10)*$I201,IF($N201=LEFT(CJ201,1),($D$8+MAX(0,IF($D$50=1,$D$9*(1-(ABS($Q201-ABS(VALUE(MID(CJ201,FIND("|",CJ201)+1,FIND("-",CJ201)-FIND("|",CJ201)-1))-VALUE(MID(CJ201,FIND("-",CJ201)+1,10)))))*$D$50),$D$9*(1-(IF($N201="X",ABS($O201-VALUE(MID(CJ201,FIND("|",CJ201)+1,FIND("-",CJ201)-FIND("|",CJ201)-1))),ABS($Q201-ABS(VALUE(MID(CJ201,FIND("|",CJ201)+1,FIND("-",CJ201)-FIND("|",CJ201)-1))-VALUE(MID(CJ201,FIND("-",CJ201)+1,10)))))*$D$50)))))*$I201,0)),0)</f>
        <v>0</v>
      </c>
      <c r="CL201" s="404"/>
      <c r="CM201" s="398"/>
      <c r="CN201" s="356" t="n">
        <f aca="false">IFERROR(IF($M201=CM201,($D$8+$D$9+$D$10)*$I201,IF($N201=LEFT(CM201,1),($D$8+MAX(0,IF($D$50=1,$D$9*(1-(ABS($Q201-ABS(VALUE(MID(CM201,FIND("|",CM201)+1,FIND("-",CM201)-FIND("|",CM201)-1))-VALUE(MID(CM201,FIND("-",CM201)+1,10)))))*$D$50),$D$9*(1-(IF($N201="X",ABS($O201-VALUE(MID(CM201,FIND("|",CM201)+1,FIND("-",CM201)-FIND("|",CM201)-1))),ABS($Q201-ABS(VALUE(MID(CM201,FIND("|",CM201)+1,FIND("-",CM201)-FIND("|",CM201)-1))-VALUE(MID(CM201,FIND("-",CM201)+1,10)))))*$D$50)))))*$I201,0)),0)</f>
        <v>0</v>
      </c>
      <c r="CO201" s="404"/>
      <c r="CP201" s="363"/>
      <c r="CQ201" s="356" t="n">
        <f aca="false">IFERROR(IF($M201=CP201,($D$8+$D$9+$D$10)*$I201,IF($N201=LEFT(CP201,1),($D$8+MAX(0,IF($D$50=1,$D$9*(1-(ABS($Q201-ABS(VALUE(MID(CP201,FIND("|",CP201)+1,FIND("-",CP201)-FIND("|",CP201)-1))-VALUE(MID(CP201,FIND("-",CP201)+1,10)))))*$D$50),$D$9*(1-(IF($N201="X",ABS($O201-VALUE(MID(CP201,FIND("|",CP201)+1,FIND("-",CP201)-FIND("|",CP201)-1))),ABS($Q201-ABS(VALUE(MID(CP201,FIND("|",CP201)+1,FIND("-",CP201)-FIND("|",CP201)-1))-VALUE(MID(CP201,FIND("-",CP201)+1,10)))))*$D$50)))))*$I201,0)),0)</f>
        <v>0</v>
      </c>
      <c r="CR201" s="404"/>
      <c r="CS201" s="398"/>
      <c r="CT201" s="356" t="n">
        <f aca="false">IFERROR(IF($M201=CS201,($D$8+$D$9+$D$10)*$I201,IF($N201=LEFT(CS201,1),($D$8+MAX(0,IF($D$50=1,$D$9*(1-(ABS($Q201-ABS(VALUE(MID(CS201,FIND("|",CS201)+1,FIND("-",CS201)-FIND("|",CS201)-1))-VALUE(MID(CS201,FIND("-",CS201)+1,10)))))*$D$50),$D$9*(1-(IF($N201="X",ABS($O201-VALUE(MID(CS201,FIND("|",CS201)+1,FIND("-",CS201)-FIND("|",CS201)-1))),ABS($Q201-ABS(VALUE(MID(CS201,FIND("|",CS201)+1,FIND("-",CS201)-FIND("|",CS201)-1))-VALUE(MID(CS201,FIND("-",CS201)+1,10)))))*$D$50)))))*$I201,0)),0)</f>
        <v>0</v>
      </c>
      <c r="CU201" s="404"/>
      <c r="CV201" s="398"/>
      <c r="CW201" s="356" t="n">
        <f aca="false">IFERROR(IF($M201=CV201,($D$8+$D$9+$D$10)*$I201,IF($N201=LEFT(CV201,1),($D$8+MAX(0,IF($D$50=1,$D$9*(1-(ABS($Q201-ABS(VALUE(MID(CV201,FIND("|",CV201)+1,FIND("-",CV201)-FIND("|",CV201)-1))-VALUE(MID(CV201,FIND("-",CV201)+1,10)))))*$D$50),$D$9*(1-(IF($N201="X",ABS($O201-VALUE(MID(CV201,FIND("|",CV201)+1,FIND("-",CV201)-FIND("|",CV201)-1))),ABS($Q201-ABS(VALUE(MID(CV201,FIND("|",CV201)+1,FIND("-",CV201)-FIND("|",CV201)-1))-VALUE(MID(CV201,FIND("-",CV201)+1,10)))))*$D$50)))))*$I201,0)),0)</f>
        <v>0</v>
      </c>
      <c r="CX201" s="404"/>
      <c r="CY201" s="398"/>
      <c r="CZ201" s="356" t="n">
        <f aca="false">IFERROR(IF($M201=CY201,($D$8+$D$9+$D$10)*$I201,IF($N201=LEFT(CY201,1),($D$8+MAX(0,IF($D$50=1,$D$9*(1-(ABS($Q201-ABS(VALUE(MID(CY201,FIND("|",CY201)+1,FIND("-",CY201)-FIND("|",CY201)-1))-VALUE(MID(CY201,FIND("-",CY201)+1,10)))))*$D$50),$D$9*(1-(IF($N201="X",ABS($O201-VALUE(MID(CY201,FIND("|",CY201)+1,FIND("-",CY201)-FIND("|",CY201)-1))),ABS($Q201-ABS(VALUE(MID(CY201,FIND("|",CY201)+1,FIND("-",CY201)-FIND("|",CY201)-1))-VALUE(MID(CY201,FIND("-",CY201)+1,10)))))*$D$50)))))*$I201,0)),0)</f>
        <v>0</v>
      </c>
      <c r="DA201" s="404"/>
      <c r="DB201" s="398"/>
      <c r="DC201" s="356" t="n">
        <f aca="false">IFERROR(IF($M201=DB201,($D$8+$D$9+$D$10)*$I201,IF($N201=LEFT(DB201,1),($D$8+MAX(0,IF($D$50=1,$D$9*(1-(ABS($Q201-ABS(VALUE(MID(DB201,FIND("|",DB201)+1,FIND("-",DB201)-FIND("|",DB201)-1))-VALUE(MID(DB201,FIND("-",DB201)+1,10)))))*$D$50),$D$9*(1-(IF($N201="X",ABS($O201-VALUE(MID(DB201,FIND("|",DB201)+1,FIND("-",DB201)-FIND("|",DB201)-1))),ABS($Q201-ABS(VALUE(MID(DB201,FIND("|",DB201)+1,FIND("-",DB201)-FIND("|",DB201)-1))-VALUE(MID(DB201,FIND("-",DB201)+1,10)))))*$D$50)))))*$I201,0)),0)</f>
        <v>0</v>
      </c>
      <c r="DD201" s="404"/>
      <c r="DE201" s="363"/>
      <c r="DF201" s="356" t="n">
        <f aca="false">IFERROR(IF($M201=DE201,($D$8+$D$9+$D$10)*$I201,IF($N201=LEFT(DE201,1),($D$8+MAX(0,IF($D$50=1,$D$9*(1-(ABS($Q201-ABS(VALUE(MID(DE201,FIND("|",DE201)+1,FIND("-",DE201)-FIND("|",DE201)-1))-VALUE(MID(DE201,FIND("-",DE201)+1,10)))))*$D$50),$D$9*(1-(IF($N201="X",ABS($O201-VALUE(MID(DE201,FIND("|",DE201)+1,FIND("-",DE201)-FIND("|",DE201)-1))),ABS($Q201-ABS(VALUE(MID(DE201,FIND("|",DE201)+1,FIND("-",DE201)-FIND("|",DE201)-1))-VALUE(MID(DE201,FIND("-",DE201)+1,10)))))*$D$50)))))*$I201,0)),0)</f>
        <v>0</v>
      </c>
      <c r="DG201" s="404"/>
      <c r="DH201" s="398"/>
      <c r="DI201" s="356" t="n">
        <f aca="false">IFERROR(IF($M201=DH201,($D$8+$D$9+$D$10)*$I201,IF($N201=LEFT(DH201,1),($D$8+MAX(0,IF($D$50=1,$D$9*(1-(ABS($Q201-ABS(VALUE(MID(DH201,FIND("|",DH201)+1,FIND("-",DH201)-FIND("|",DH201)-1))-VALUE(MID(DH201,FIND("-",DH201)+1,10)))))*$D$50),$D$9*(1-(IF($N201="X",ABS($O201-VALUE(MID(DH201,FIND("|",DH201)+1,FIND("-",DH201)-FIND("|",DH201)-1))),ABS($Q201-ABS(VALUE(MID(DH201,FIND("|",DH201)+1,FIND("-",DH201)-FIND("|",DH201)-1))-VALUE(MID(DH201,FIND("-",DH201)+1,10)))))*$D$50)))))*$I201,0)),0)</f>
        <v>0</v>
      </c>
      <c r="DJ201" s="404"/>
      <c r="DK201" s="398"/>
      <c r="DL201" s="356" t="n">
        <f aca="false">IFERROR(IF($M201=DK201,($D$8+$D$9+$D$10)*$I201,IF($N201=LEFT(DK201,1),($D$8+MAX(0,IF($D$50=1,$D$9*(1-(ABS($Q201-ABS(VALUE(MID(DK201,FIND("|",DK201)+1,FIND("-",DK201)-FIND("|",DK201)-1))-VALUE(MID(DK201,FIND("-",DK201)+1,10)))))*$D$50),$D$9*(1-(IF($N201="X",ABS($O201-VALUE(MID(DK201,FIND("|",DK201)+1,FIND("-",DK201)-FIND("|",DK201)-1))),ABS($Q201-ABS(VALUE(MID(DK201,FIND("|",DK201)+1,FIND("-",DK201)-FIND("|",DK201)-1))-VALUE(MID(DK201,FIND("-",DK201)+1,10)))))*$D$50)))))*$I201,0)),0)</f>
        <v>0</v>
      </c>
      <c r="DM201" s="404"/>
      <c r="DN201" s="398"/>
      <c r="DO201" s="356" t="n">
        <f aca="false">IFERROR(IF($M201=DN201,($D$8+$D$9+$D$10)*$I201,IF($N201=LEFT(DN201,1),($D$8+MAX(0,IF($D$50=1,$D$9*(1-(ABS($Q201-ABS(VALUE(MID(DN201,FIND("|",DN201)+1,FIND("-",DN201)-FIND("|",DN201)-1))-VALUE(MID(DN201,FIND("-",DN201)+1,10)))))*$D$50),$D$9*(1-(IF($N201="X",ABS($O201-VALUE(MID(DN201,FIND("|",DN201)+1,FIND("-",DN201)-FIND("|",DN201)-1))),ABS($Q201-ABS(VALUE(MID(DN201,FIND("|",DN201)+1,FIND("-",DN201)-FIND("|",DN201)-1))-VALUE(MID(DN201,FIND("-",DN201)+1,10)))))*$D$50)))))*$I201,0)),0)</f>
        <v>0</v>
      </c>
      <c r="DP201" s="404"/>
      <c r="DQ201" s="398"/>
      <c r="DR201" s="356" t="n">
        <f aca="false">IFERROR(IF($M201=DQ201,($D$8+$D$9+$D$10)*$I201,IF($N201=LEFT(DQ201,1),($D$8+MAX(0,IF($D$50=1,$D$9*(1-(ABS($Q201-ABS(VALUE(MID(DQ201,FIND("|",DQ201)+1,FIND("-",DQ201)-FIND("|",DQ201)-1))-VALUE(MID(DQ201,FIND("-",DQ201)+1,10)))))*$D$50),$D$9*(1-(IF($N201="X",ABS($O201-VALUE(MID(DQ201,FIND("|",DQ201)+1,FIND("-",DQ201)-FIND("|",DQ201)-1))),ABS($Q201-ABS(VALUE(MID(DQ201,FIND("|",DQ201)+1,FIND("-",DQ201)-FIND("|",DQ201)-1))-VALUE(MID(DQ201,FIND("-",DQ201)+1,10)))))*$D$50)))))*$I201,0)),0)</f>
        <v>0</v>
      </c>
      <c r="DS201" s="404"/>
      <c r="DT201" s="363"/>
      <c r="DU201" s="356" t="n">
        <f aca="false">IFERROR(IF($M201=DT201,($D$8+$D$9+$D$10)*$I201,IF($N201=LEFT(DT201,1),($D$8+MAX(0,IF($D$50=1,$D$9*(1-(ABS($Q201-ABS(VALUE(MID(DT201,FIND("|",DT201)+1,FIND("-",DT201)-FIND("|",DT201)-1))-VALUE(MID(DT201,FIND("-",DT201)+1,10)))))*$D$50),$D$9*(1-(IF($N201="X",ABS($O201-VALUE(MID(DT201,FIND("|",DT201)+1,FIND("-",DT201)-FIND("|",DT201)-1))),ABS($Q201-ABS(VALUE(MID(DT201,FIND("|",DT201)+1,FIND("-",DT201)-FIND("|",DT201)-1))-VALUE(MID(DT201,FIND("-",DT201)+1,10)))))*$D$50)))))*$I201,0)),0)</f>
        <v>0</v>
      </c>
      <c r="DV201" s="404"/>
      <c r="DW201" s="398"/>
      <c r="DX201" s="356" t="n">
        <f aca="false">IFERROR(IF($M201=DW201,($D$8+$D$9+$D$10)*$I201,IF($N201=LEFT(DW201,1),($D$8+MAX(0,IF($D$50=1,$D$9*(1-(ABS($Q201-ABS(VALUE(MID(DW201,FIND("|",DW201)+1,FIND("-",DW201)-FIND("|",DW201)-1))-VALUE(MID(DW201,FIND("-",DW201)+1,10)))))*$D$50),$D$9*(1-(IF($N201="X",ABS($O201-VALUE(MID(DW201,FIND("|",DW201)+1,FIND("-",DW201)-FIND("|",DW201)-1))),ABS($Q201-ABS(VALUE(MID(DW201,FIND("|",DW201)+1,FIND("-",DW201)-FIND("|",DW201)-1))-VALUE(MID(DW201,FIND("-",DW201)+1,10)))))*$D$50)))))*$I201,0)),0)</f>
        <v>0</v>
      </c>
      <c r="DY201" s="404"/>
      <c r="DZ201" s="398"/>
      <c r="EA201" s="356" t="n">
        <f aca="false">IFERROR(IF($M201=DZ201,($D$8+$D$9+$D$10)*$I201,IF($N201=LEFT(DZ201,1),($D$8+MAX(0,IF($D$50=1,$D$9*(1-(ABS($Q201-ABS(VALUE(MID(DZ201,FIND("|",DZ201)+1,FIND("-",DZ201)-FIND("|",DZ201)-1))-VALUE(MID(DZ201,FIND("-",DZ201)+1,10)))))*$D$50),$D$9*(1-(IF($N201="X",ABS($O201-VALUE(MID(DZ201,FIND("|",DZ201)+1,FIND("-",DZ201)-FIND("|",DZ201)-1))),ABS($Q201-ABS(VALUE(MID(DZ201,FIND("|",DZ201)+1,FIND("-",DZ201)-FIND("|",DZ201)-1))-VALUE(MID(DZ201,FIND("-",DZ201)+1,10)))))*$D$50)))))*$I201,0)),0)</f>
        <v>0</v>
      </c>
      <c r="EB201" s="404"/>
      <c r="EC201" s="398"/>
      <c r="ED201" s="356" t="n">
        <f aca="false">IFERROR(IF($M201=EC201,($D$8+$D$9+$D$10)*$I201,IF($N201=LEFT(EC201,1),($D$8+MAX(0,IF($D$50=1,$D$9*(1-(ABS($Q201-ABS(VALUE(MID(EC201,FIND("|",EC201)+1,FIND("-",EC201)-FIND("|",EC201)-1))-VALUE(MID(EC201,FIND("-",EC201)+1,10)))))*$D$50),$D$9*(1-(IF($N201="X",ABS($O201-VALUE(MID(EC201,FIND("|",EC201)+1,FIND("-",EC201)-FIND("|",EC201)-1))),ABS($Q201-ABS(VALUE(MID(EC201,FIND("|",EC201)+1,FIND("-",EC201)-FIND("|",EC201)-1))-VALUE(MID(EC201,FIND("-",EC201)+1,10)))))*$D$50)))))*$I201,0)),0)</f>
        <v>0</v>
      </c>
      <c r="EE201" s="404"/>
      <c r="EF201" s="398"/>
      <c r="EG201" s="356" t="n">
        <f aca="false">IFERROR(IF($M201=EF201,($D$8+$D$9+$D$10)*$I201,IF($N201=LEFT(EF201,1),($D$8+MAX(0,IF($D$50=1,$D$9*(1-(ABS($Q201-ABS(VALUE(MID(EF201,FIND("|",EF201)+1,FIND("-",EF201)-FIND("|",EF201)-1))-VALUE(MID(EF201,FIND("-",EF201)+1,10)))))*$D$50),$D$9*(1-(IF($N201="X",ABS($O201-VALUE(MID(EF201,FIND("|",EF201)+1,FIND("-",EF201)-FIND("|",EF201)-1))),ABS($Q201-ABS(VALUE(MID(EF201,FIND("|",EF201)+1,FIND("-",EF201)-FIND("|",EF201)-1))-VALUE(MID(EF201,FIND("-",EF201)+1,10)))))*$D$50)))))*$I201,0)),0)</f>
        <v>0</v>
      </c>
      <c r="EH201" s="404"/>
      <c r="EI201" s="404"/>
    </row>
    <row r="202" customFormat="false" ht="15" hidden="false" customHeight="false" outlineLevel="0" collapsed="false">
      <c r="A202" s="332" t="n">
        <f aca="false">WORLDCUP!AD122</f>
        <v>0</v>
      </c>
      <c r="B202" s="332" t="n">
        <f aca="false">WORLDCUP!AC122</f>
        <v>0</v>
      </c>
      <c r="C202" s="422" t="str">
        <f aca="false">CONCATENATE(WORLDCUP!AF122,"-",WORLDCUP!AA122)</f>
        <v>W78-W76</v>
      </c>
      <c r="D202" s="422" t="str">
        <f aca="false">IF(WORLDCUP!AC122&gt;WORLDCUP!AD122,2,IF(WORLDCUP!AC122&lt;WORLDCUP!AD122,1,IF(AND(WORLDCUP!AC122=WORLDCUP!AD122,WORLDCUP!AC122&lt;&gt;"",WORLDCUP!AD122&lt;&gt;""),0,"PD")))</f>
        <v>PD</v>
      </c>
      <c r="E202" s="422" t="str">
        <f aca="false">IF(OR(WORLDCUP!AD122="",WORLDCUP!AC122=""),"-",A202&amp;"-"&amp;B202)</f>
        <v>-</v>
      </c>
      <c r="F202" s="423" t="n">
        <f aca="false">SUM($D$20:$D$22)*I202</f>
        <v>17</v>
      </c>
      <c r="G202" s="423" t="n">
        <f aca="false">VLOOKUP(H202,Equipos!$Q$1:$R$25,2,0)</f>
        <v>21</v>
      </c>
      <c r="H202" s="410" t="str">
        <f aca="false">Idiomas!$D$261</f>
        <v>Octavos de final</v>
      </c>
      <c r="I202" s="425" t="n">
        <v>1</v>
      </c>
      <c r="J202" s="418"/>
      <c r="K202" s="367" t="str">
        <f aca="false">CONCATENATE(WORLDCUP!AA122,"-",WORLDCUP!AF122)</f>
        <v>W76-W78</v>
      </c>
      <c r="L202" s="354" t="str">
        <f aca="false">IF(OR(WORLDCUP!AC122="",WORLDCUP!AD122=""),"PD",IF(WORLDCUP!AC122&gt;WORLDCUP!AD122,1,IF(WORLDCUP!AC122&lt;WORLDCUP!AD122,2,0)))</f>
        <v>PD</v>
      </c>
      <c r="M202" s="359" t="str">
        <f aca="false">IF(OR(WORLDCUP!AC122="",WORLDCUP!AD122=""),"-",N202&amp;"|"&amp;O202&amp;"-"&amp;P202)</f>
        <v>-</v>
      </c>
      <c r="N202" s="332" t="str">
        <f aca="false">IF(OR(WORLDCUP!AC122="",WORLDCUP!AD122=""),"",IF(WORLDCUP!AC122&gt;WORLDCUP!AD122,"1",IF(WORLDCUP!AC122&lt;WORLDCUP!AD122,"2","X")))</f>
        <v/>
      </c>
      <c r="O202" s="332" t="n">
        <f aca="false">WORLDCUP!AC122</f>
        <v>0</v>
      </c>
      <c r="P202" s="332" t="n">
        <f aca="false">WORLDCUP!AD122</f>
        <v>0</v>
      </c>
      <c r="Q202" s="332" t="n">
        <f aca="false">ABS(O202-P202)</f>
        <v>0</v>
      </c>
      <c r="R202" s="404"/>
      <c r="S202" s="363" t="s">
        <v>266</v>
      </c>
      <c r="T202" s="356" t="n">
        <f aca="false">IFERROR(IF($M202=S202,($D$8+$D$9+$D$10)*$I202,IF($N202=LEFT(S202,1),($D$8+MAX(0,IF($D$50=1,$D$9*(1-(ABS($Q202-ABS(VALUE(MID(S202,FIND("|",S202)+1,FIND("-",S202)-FIND("|",S202)-1))-VALUE(MID(S202,FIND("-",S202)+1,10)))))*$D$50),$D$9*(1-(IF($N202="X",ABS($O202-VALUE(MID(S202,FIND("|",S202)+1,FIND("-",S202)-FIND("|",S202)-1))),ABS($Q202-ABS(VALUE(MID(S202,FIND("|",S202)+1,FIND("-",S202)-FIND("|",S202)-1))-VALUE(MID(S202,FIND("-",S202)+1,10)))))*$D$50)))))*$I202,0)),0)</f>
        <v>0</v>
      </c>
      <c r="U202" s="404"/>
      <c r="V202" s="363" t="s">
        <v>266</v>
      </c>
      <c r="W202" s="356" t="n">
        <f aca="false">IFERROR(IF($M202=V202,($D$8+$D$9+$D$10)*$I202,IF($N202=LEFT(V202,1),($D$8+MAX(0,IF($D$50=1,$D$9*(1-(ABS($Q202-ABS(VALUE(MID(V202,FIND("|",V202)+1,FIND("-",V202)-FIND("|",V202)-1))-VALUE(MID(V202,FIND("-",V202)+1,10)))))*$D$50),$D$9*(1-(IF($N202="X",ABS($O202-VALUE(MID(V202,FIND("|",V202)+1,FIND("-",V202)-FIND("|",V202)-1))),ABS($Q202-ABS(VALUE(MID(V202,FIND("|",V202)+1,FIND("-",V202)-FIND("|",V202)-1))-VALUE(MID(V202,FIND("-",V202)+1,10)))))*$D$50)))))*$I202,0)),0)</f>
        <v>0</v>
      </c>
      <c r="X202" s="404"/>
      <c r="Y202" s="398" t="s">
        <v>266</v>
      </c>
      <c r="Z202" s="356" t="n">
        <f aca="false">IFERROR(IF($M202=Y202,($D$8+$D$9+$D$10)*$I202,IF($N202=LEFT(Y202,1),($D$8+MAX(0,IF($D$50=1,$D$9*(1-(ABS($Q202-ABS(VALUE(MID(Y202,FIND("|",Y202)+1,FIND("-",Y202)-FIND("|",Y202)-1))-VALUE(MID(Y202,FIND("-",Y202)+1,10)))))*$D$50),$D$9*(1-(IF($N202="X",ABS($O202-VALUE(MID(Y202,FIND("|",Y202)+1,FIND("-",Y202)-FIND("|",Y202)-1))),ABS($Q202-ABS(VALUE(MID(Y202,FIND("|",Y202)+1,FIND("-",Y202)-FIND("|",Y202)-1))-VALUE(MID(Y202,FIND("-",Y202)+1,10)))))*$D$50)))))*$I202,0)),0)</f>
        <v>0</v>
      </c>
      <c r="AA202" s="404"/>
      <c r="AB202" s="398" t="s">
        <v>264</v>
      </c>
      <c r="AC202" s="356" t="n">
        <f aca="false">IFERROR(IF($M202=AB202,($D$8+$D$9+$D$10)*$I202,IF($N202=LEFT(AB202,1),($D$8+MAX(0,IF($D$50=1,$D$9*(1-(ABS($Q202-ABS(VALUE(MID(AB202,FIND("|",AB202)+1,FIND("-",AB202)-FIND("|",AB202)-1))-VALUE(MID(AB202,FIND("-",AB202)+1,10)))))*$D$50),$D$9*(1-(IF($N202="X",ABS($O202-VALUE(MID(AB202,FIND("|",AB202)+1,FIND("-",AB202)-FIND("|",AB202)-1))),ABS($Q202-ABS(VALUE(MID(AB202,FIND("|",AB202)+1,FIND("-",AB202)-FIND("|",AB202)-1))-VALUE(MID(AB202,FIND("-",AB202)+1,10)))))*$D$50)))))*$I202,0)),0)</f>
        <v>0</v>
      </c>
      <c r="AD202" s="404"/>
      <c r="AE202" s="398" t="s">
        <v>266</v>
      </c>
      <c r="AF202" s="356" t="n">
        <f aca="false">IFERROR(IF($M202=AE202,($D$8+$D$9+$D$10)*$I202,IF($N202=LEFT(AE202,1),($D$8+MAX(0,IF($D$50=1,$D$9*(1-(ABS($Q202-ABS(VALUE(MID(AE202,FIND("|",AE202)+1,FIND("-",AE202)-FIND("|",AE202)-1))-VALUE(MID(AE202,FIND("-",AE202)+1,10)))))*$D$50),$D$9*(1-(IF($N202="X",ABS($O202-VALUE(MID(AE202,FIND("|",AE202)+1,FIND("-",AE202)-FIND("|",AE202)-1))),ABS($Q202-ABS(VALUE(MID(AE202,FIND("|",AE202)+1,FIND("-",AE202)-FIND("|",AE202)-1))-VALUE(MID(AE202,FIND("-",AE202)+1,10)))))*$D$50)))))*$I202,0)),0)</f>
        <v>0</v>
      </c>
      <c r="AG202" s="404"/>
      <c r="AH202" s="363" t="s">
        <v>265</v>
      </c>
      <c r="AI202" s="356" t="n">
        <f aca="false">IFERROR(IF($M202=AH202,($D$8+$D$9+$D$10)*$I202,IF($N202=LEFT(AH202,1),($D$8+MAX(0,IF($D$50=1,$D$9*(1-(ABS($Q202-ABS(VALUE(MID(AH202,FIND("|",AH202)+1,FIND("-",AH202)-FIND("|",AH202)-1))-VALUE(MID(AH202,FIND("-",AH202)+1,10)))))*$D$50),$D$9*(1-(IF($N202="X",ABS($O202-VALUE(MID(AH202,FIND("|",AH202)+1,FIND("-",AH202)-FIND("|",AH202)-1))),ABS($Q202-ABS(VALUE(MID(AH202,FIND("|",AH202)+1,FIND("-",AH202)-FIND("|",AH202)-1))-VALUE(MID(AH202,FIND("-",AH202)+1,10)))))*$D$50)))))*$I202,0)),0)</f>
        <v>0</v>
      </c>
      <c r="AJ202" s="404"/>
      <c r="AK202" s="363" t="s">
        <v>266</v>
      </c>
      <c r="AL202" s="356" t="n">
        <f aca="false">IFERROR(IF($M202=AK202,($D$8+$D$9+$D$10)*$I202,IF($N202=LEFT(AK202,1),($D$8+MAX(0,IF($D$50=1,$D$9*(1-(ABS($Q202-ABS(VALUE(MID(AK202,FIND("|",AK202)+1,FIND("-",AK202)-FIND("|",AK202)-1))-VALUE(MID(AK202,FIND("-",AK202)+1,10)))))*$D$50),$D$9*(1-(IF($N202="X",ABS($O202-VALUE(MID(AK202,FIND("|",AK202)+1,FIND("-",AK202)-FIND("|",AK202)-1))),ABS($Q202-ABS(VALUE(MID(AK202,FIND("|",AK202)+1,FIND("-",AK202)-FIND("|",AK202)-1))-VALUE(MID(AK202,FIND("-",AK202)+1,10)))))*$D$50)))))*$I202,0)),0)</f>
        <v>0</v>
      </c>
      <c r="AM202" s="404"/>
      <c r="AN202" s="398" t="s">
        <v>264</v>
      </c>
      <c r="AO202" s="356" t="n">
        <f aca="false">IFERROR(IF($M202=AN202,($D$8+$D$9+$D$10)*$I202,IF($N202=LEFT(AN202,1),($D$8+MAX(0,IF($D$50=1,$D$9*(1-(ABS($Q202-ABS(VALUE(MID(AN202,FIND("|",AN202)+1,FIND("-",AN202)-FIND("|",AN202)-1))-VALUE(MID(AN202,FIND("-",AN202)+1,10)))))*$D$50),$D$9*(1-(IF($N202="X",ABS($O202-VALUE(MID(AN202,FIND("|",AN202)+1,FIND("-",AN202)-FIND("|",AN202)-1))),ABS($Q202-ABS(VALUE(MID(AN202,FIND("|",AN202)+1,FIND("-",AN202)-FIND("|",AN202)-1))-VALUE(MID(AN202,FIND("-",AN202)+1,10)))))*$D$50)))))*$I202,0)),0)</f>
        <v>0</v>
      </c>
      <c r="AP202" s="404"/>
      <c r="AQ202" s="398" t="s">
        <v>269</v>
      </c>
      <c r="AR202" s="356" t="n">
        <f aca="false">IFERROR(IF($M202=AQ202,($D$8+$D$9+$D$10)*$I202,IF($N202=LEFT(AQ202,1),($D$8+MAX(0,IF($D$50=1,$D$9*(1-(ABS($Q202-ABS(VALUE(MID(AQ202,FIND("|",AQ202)+1,FIND("-",AQ202)-FIND("|",AQ202)-1))-VALUE(MID(AQ202,FIND("-",AQ202)+1,10)))))*$D$50),$D$9*(1-(IF($N202="X",ABS($O202-VALUE(MID(AQ202,FIND("|",AQ202)+1,FIND("-",AQ202)-FIND("|",AQ202)-1))),ABS($Q202-ABS(VALUE(MID(AQ202,FIND("|",AQ202)+1,FIND("-",AQ202)-FIND("|",AQ202)-1))-VALUE(MID(AQ202,FIND("-",AQ202)+1,10)))))*$D$50)))))*$I202,0)),0)</f>
        <v>0</v>
      </c>
      <c r="AS202" s="404"/>
      <c r="AT202" s="398" t="s">
        <v>264</v>
      </c>
      <c r="AU202" s="356" t="n">
        <f aca="false">IFERROR(IF($M202=AT202,($D$8+$D$9+$D$10)*$I202,IF($N202=LEFT(AT202,1),($D$8+MAX(0,IF($D$50=1,$D$9*(1-(ABS($Q202-ABS(VALUE(MID(AT202,FIND("|",AT202)+1,FIND("-",AT202)-FIND("|",AT202)-1))-VALUE(MID(AT202,FIND("-",AT202)+1,10)))))*$D$50),$D$9*(1-(IF($N202="X",ABS($O202-VALUE(MID(AT202,FIND("|",AT202)+1,FIND("-",AT202)-FIND("|",AT202)-1))),ABS($Q202-ABS(VALUE(MID(AT202,FIND("|",AT202)+1,FIND("-",AT202)-FIND("|",AT202)-1))-VALUE(MID(AT202,FIND("-",AT202)+1,10)))))*$D$50)))))*$I202,0)),0)</f>
        <v>0</v>
      </c>
      <c r="AV202" s="404"/>
      <c r="AW202" s="363" t="s">
        <v>264</v>
      </c>
      <c r="AX202" s="356" t="n">
        <f aca="false">IFERROR(IF($M202=AW202,($D$8+$D$9+$D$10)*$I202,IF($N202=LEFT(AW202,1),($D$8+MAX(0,IF($D$50=1,$D$9*(1-(ABS($Q202-ABS(VALUE(MID(AW202,FIND("|",AW202)+1,FIND("-",AW202)-FIND("|",AW202)-1))-VALUE(MID(AW202,FIND("-",AW202)+1,10)))))*$D$50),$D$9*(1-(IF($N202="X",ABS($O202-VALUE(MID(AW202,FIND("|",AW202)+1,FIND("-",AW202)-FIND("|",AW202)-1))),ABS($Q202-ABS(VALUE(MID(AW202,FIND("|",AW202)+1,FIND("-",AW202)-FIND("|",AW202)-1))-VALUE(MID(AW202,FIND("-",AW202)+1,10)))))*$D$50)))))*$I202,0)),0)</f>
        <v>0</v>
      </c>
      <c r="AY202" s="404"/>
      <c r="AZ202" s="363" t="s">
        <v>264</v>
      </c>
      <c r="BA202" s="356" t="n">
        <f aca="false">IFERROR(IF($M202=AZ202,($D$8+$D$9+$D$10)*$I202,IF($N202=LEFT(AZ202,1),($D$8+MAX(0,IF($D$50=1,$D$9*(1-(ABS($Q202-ABS(VALUE(MID(AZ202,FIND("|",AZ202)+1,FIND("-",AZ202)-FIND("|",AZ202)-1))-VALUE(MID(AZ202,FIND("-",AZ202)+1,10)))))*$D$50),$D$9*(1-(IF($N202="X",ABS($O202-VALUE(MID(AZ202,FIND("|",AZ202)+1,FIND("-",AZ202)-FIND("|",AZ202)-1))),ABS($Q202-ABS(VALUE(MID(AZ202,FIND("|",AZ202)+1,FIND("-",AZ202)-FIND("|",AZ202)-1))-VALUE(MID(AZ202,FIND("-",AZ202)+1,10)))))*$D$50)))))*$I202,0)),0)</f>
        <v>0</v>
      </c>
      <c r="BB202" s="404"/>
      <c r="BC202" s="398" t="s">
        <v>277</v>
      </c>
      <c r="BD202" s="356" t="n">
        <f aca="false">IFERROR(IF($M202=BC202,($D$8+$D$9+$D$10)*$I202,IF($N202=LEFT(BC202,1),($D$8+MAX(0,IF($D$50=1,$D$9*(1-(ABS($Q202-ABS(VALUE(MID(BC202,FIND("|",BC202)+1,FIND("-",BC202)-FIND("|",BC202)-1))-VALUE(MID(BC202,FIND("-",BC202)+1,10)))))*$D$50),$D$9*(1-(IF($N202="X",ABS($O202-VALUE(MID(BC202,FIND("|",BC202)+1,FIND("-",BC202)-FIND("|",BC202)-1))),ABS($Q202-ABS(VALUE(MID(BC202,FIND("|",BC202)+1,FIND("-",BC202)-FIND("|",BC202)-1))-VALUE(MID(BC202,FIND("-",BC202)+1,10)))))*$D$50)))))*$I202,0)),0)</f>
        <v>0</v>
      </c>
      <c r="BE202" s="404"/>
      <c r="BF202" s="398" t="s">
        <v>265</v>
      </c>
      <c r="BG202" s="356" t="n">
        <f aca="false">IFERROR(IF($M202=BF202,($D$8+$D$9+$D$10)*$I202,IF($N202=LEFT(BF202,1),($D$8+MAX(0,IF($D$50=1,$D$9*(1-(ABS($Q202-ABS(VALUE(MID(BF202,FIND("|",BF202)+1,FIND("-",BF202)-FIND("|",BF202)-1))-VALUE(MID(BF202,FIND("-",BF202)+1,10)))))*$D$50),$D$9*(1-(IF($N202="X",ABS($O202-VALUE(MID(BF202,FIND("|",BF202)+1,FIND("-",BF202)-FIND("|",BF202)-1))),ABS($Q202-ABS(VALUE(MID(BF202,FIND("|",BF202)+1,FIND("-",BF202)-FIND("|",BF202)-1))-VALUE(MID(BF202,FIND("-",BF202)+1,10)))))*$D$50)))))*$I202,0)),0)</f>
        <v>0</v>
      </c>
      <c r="BH202" s="404"/>
      <c r="BI202" s="398" t="s">
        <v>266</v>
      </c>
      <c r="BJ202" s="356" t="n">
        <f aca="false">IFERROR(IF($M202=BI202,($D$8+$D$9+$D$10)*$I202,IF($N202=LEFT(BI202,1),($D$8+MAX(0,IF($D$50=1,$D$9*(1-(ABS($Q202-ABS(VALUE(MID(BI202,FIND("|",BI202)+1,FIND("-",BI202)-FIND("|",BI202)-1))-VALUE(MID(BI202,FIND("-",BI202)+1,10)))))*$D$50),$D$9*(1-(IF($N202="X",ABS($O202-VALUE(MID(BI202,FIND("|",BI202)+1,FIND("-",BI202)-FIND("|",BI202)-1))),ABS($Q202-ABS(VALUE(MID(BI202,FIND("|",BI202)+1,FIND("-",BI202)-FIND("|",BI202)-1))-VALUE(MID(BI202,FIND("-",BI202)+1,10)))))*$D$50)))))*$I202,0)),0)</f>
        <v>0</v>
      </c>
      <c r="BK202" s="404"/>
      <c r="BL202" s="363" t="s">
        <v>264</v>
      </c>
      <c r="BM202" s="356" t="n">
        <f aca="false">IFERROR(IF($M202=BL202,($D$8+$D$9+$D$10)*$I202,IF($N202=LEFT(BL202,1),($D$8+MAX(0,IF($D$50=1,$D$9*(1-(ABS($Q202-ABS(VALUE(MID(BL202,FIND("|",BL202)+1,FIND("-",BL202)-FIND("|",BL202)-1))-VALUE(MID(BL202,FIND("-",BL202)+1,10)))))*$D$50),$D$9*(1-(IF($N202="X",ABS($O202-VALUE(MID(BL202,FIND("|",BL202)+1,FIND("-",BL202)-FIND("|",BL202)-1))),ABS($Q202-ABS(VALUE(MID(BL202,FIND("|",BL202)+1,FIND("-",BL202)-FIND("|",BL202)-1))-VALUE(MID(BL202,FIND("-",BL202)+1,10)))))*$D$50)))))*$I202,0)),0)</f>
        <v>0</v>
      </c>
      <c r="BN202" s="404"/>
      <c r="BO202" s="363" t="s">
        <v>264</v>
      </c>
      <c r="BP202" s="356" t="n">
        <f aca="false">IFERROR(IF($M202=BO202,($D$8+$D$9+$D$10)*$I202,IF($N202=LEFT(BO202,1),($D$8+MAX(0,IF($D$50=1,$D$9*(1-(ABS($Q202-ABS(VALUE(MID(BO202,FIND("|",BO202)+1,FIND("-",BO202)-FIND("|",BO202)-1))-VALUE(MID(BO202,FIND("-",BO202)+1,10)))))*$D$50),$D$9*(1-(IF($N202="X",ABS($O202-VALUE(MID(BO202,FIND("|",BO202)+1,FIND("-",BO202)-FIND("|",BO202)-1))),ABS($Q202-ABS(VALUE(MID(BO202,FIND("|",BO202)+1,FIND("-",BO202)-FIND("|",BO202)-1))-VALUE(MID(BO202,FIND("-",BO202)+1,10)))))*$D$50)))))*$I202,0)),0)</f>
        <v>0</v>
      </c>
      <c r="BQ202" s="404"/>
      <c r="BR202" s="398" t="s">
        <v>266</v>
      </c>
      <c r="BS202" s="356" t="n">
        <f aca="false">IFERROR(IF($M202=BR202,($D$8+$D$9+$D$10)*$I202,IF($N202=LEFT(BR202,1),($D$8+MAX(0,IF($D$50=1,$D$9*(1-(ABS($Q202-ABS(VALUE(MID(BR202,FIND("|",BR202)+1,FIND("-",BR202)-FIND("|",BR202)-1))-VALUE(MID(BR202,FIND("-",BR202)+1,10)))))*$D$50),$D$9*(1-(IF($N202="X",ABS($O202-VALUE(MID(BR202,FIND("|",BR202)+1,FIND("-",BR202)-FIND("|",BR202)-1))),ABS($Q202-ABS(VALUE(MID(BR202,FIND("|",BR202)+1,FIND("-",BR202)-FIND("|",BR202)-1))-VALUE(MID(BR202,FIND("-",BR202)+1,10)))))*$D$50)))))*$I202,0)),0)</f>
        <v>0</v>
      </c>
      <c r="BT202" s="404"/>
      <c r="BU202" s="398"/>
      <c r="BV202" s="356" t="n">
        <f aca="false">IFERROR(IF($M202=BU202,($D$8+$D$9+$D$10)*$I202,IF($N202=LEFT(BU202,1),($D$8+MAX(0,IF($D$50=1,$D$9*(1-(ABS($Q202-ABS(VALUE(MID(BU202,FIND("|",BU202)+1,FIND("-",BU202)-FIND("|",BU202)-1))-VALUE(MID(BU202,FIND("-",BU202)+1,10)))))*$D$50),$D$9*(1-(IF($N202="X",ABS($O202-VALUE(MID(BU202,FIND("|",BU202)+1,FIND("-",BU202)-FIND("|",BU202)-1))),ABS($Q202-ABS(VALUE(MID(BU202,FIND("|",BU202)+1,FIND("-",BU202)-FIND("|",BU202)-1))-VALUE(MID(BU202,FIND("-",BU202)+1,10)))))*$D$50)))))*$I202,0)),0)</f>
        <v>0</v>
      </c>
      <c r="BW202" s="404"/>
      <c r="BX202" s="398"/>
      <c r="BY202" s="356" t="n">
        <f aca="false">IFERROR(IF($M202=BX202,($D$8+$D$9+$D$10)*$I202,IF($N202=LEFT(BX202,1),($D$8+MAX(0,IF($D$50=1,$D$9*(1-(ABS($Q202-ABS(VALUE(MID(BX202,FIND("|",BX202)+1,FIND("-",BX202)-FIND("|",BX202)-1))-VALUE(MID(BX202,FIND("-",BX202)+1,10)))))*$D$50),$D$9*(1-(IF($N202="X",ABS($O202-VALUE(MID(BX202,FIND("|",BX202)+1,FIND("-",BX202)-FIND("|",BX202)-1))),ABS($Q202-ABS(VALUE(MID(BX202,FIND("|",BX202)+1,FIND("-",BX202)-FIND("|",BX202)-1))-VALUE(MID(BX202,FIND("-",BX202)+1,10)))))*$D$50)))))*$I202,0)),0)</f>
        <v>0</v>
      </c>
      <c r="BZ202" s="404"/>
      <c r="CA202" s="363"/>
      <c r="CB202" s="356" t="n">
        <f aca="false">IFERROR(IF($M202=CA202,($D$8+$D$9+$D$10)*$I202,IF($N202=LEFT(CA202,1),($D$8+MAX(0,IF($D$50=1,$D$9*(1-(ABS($Q202-ABS(VALUE(MID(CA202,FIND("|",CA202)+1,FIND("-",CA202)-FIND("|",CA202)-1))-VALUE(MID(CA202,FIND("-",CA202)+1,10)))))*$D$50),$D$9*(1-(IF($N202="X",ABS($O202-VALUE(MID(CA202,FIND("|",CA202)+1,FIND("-",CA202)-FIND("|",CA202)-1))),ABS($Q202-ABS(VALUE(MID(CA202,FIND("|",CA202)+1,FIND("-",CA202)-FIND("|",CA202)-1))-VALUE(MID(CA202,FIND("-",CA202)+1,10)))))*$D$50)))))*$I202,0)),0)</f>
        <v>0</v>
      </c>
      <c r="CC202" s="404"/>
      <c r="CD202" s="363"/>
      <c r="CE202" s="356" t="n">
        <f aca="false">IFERROR(IF($M202=CD202,($D$8+$D$9+$D$10)*$I202,IF($N202=LEFT(CD202,1),($D$8+MAX(0,IF($D$50=1,$D$9*(1-(ABS($Q202-ABS(VALUE(MID(CD202,FIND("|",CD202)+1,FIND("-",CD202)-FIND("|",CD202)-1))-VALUE(MID(CD202,FIND("-",CD202)+1,10)))))*$D$50),$D$9*(1-(IF($N202="X",ABS($O202-VALUE(MID(CD202,FIND("|",CD202)+1,FIND("-",CD202)-FIND("|",CD202)-1))),ABS($Q202-ABS(VALUE(MID(CD202,FIND("|",CD202)+1,FIND("-",CD202)-FIND("|",CD202)-1))-VALUE(MID(CD202,FIND("-",CD202)+1,10)))))*$D$50)))))*$I202,0)),0)</f>
        <v>0</v>
      </c>
      <c r="CF202" s="404"/>
      <c r="CG202" s="398"/>
      <c r="CH202" s="356" t="n">
        <f aca="false">IFERROR(IF($M202=CG202,($D$8+$D$9+$D$10)*$I202,IF($N202=LEFT(CG202,1),($D$8+MAX(0,IF($D$50=1,$D$9*(1-(ABS($Q202-ABS(VALUE(MID(CG202,FIND("|",CG202)+1,FIND("-",CG202)-FIND("|",CG202)-1))-VALUE(MID(CG202,FIND("-",CG202)+1,10)))))*$D$50),$D$9*(1-(IF($N202="X",ABS($O202-VALUE(MID(CG202,FIND("|",CG202)+1,FIND("-",CG202)-FIND("|",CG202)-1))),ABS($Q202-ABS(VALUE(MID(CG202,FIND("|",CG202)+1,FIND("-",CG202)-FIND("|",CG202)-1))-VALUE(MID(CG202,FIND("-",CG202)+1,10)))))*$D$50)))))*$I202,0)),0)</f>
        <v>0</v>
      </c>
      <c r="CI202" s="404"/>
      <c r="CJ202" s="398"/>
      <c r="CK202" s="356" t="n">
        <f aca="false">IFERROR(IF($M202=CJ202,($D$8+$D$9+$D$10)*$I202,IF($N202=LEFT(CJ202,1),($D$8+MAX(0,IF($D$50=1,$D$9*(1-(ABS($Q202-ABS(VALUE(MID(CJ202,FIND("|",CJ202)+1,FIND("-",CJ202)-FIND("|",CJ202)-1))-VALUE(MID(CJ202,FIND("-",CJ202)+1,10)))))*$D$50),$D$9*(1-(IF($N202="X",ABS($O202-VALUE(MID(CJ202,FIND("|",CJ202)+1,FIND("-",CJ202)-FIND("|",CJ202)-1))),ABS($Q202-ABS(VALUE(MID(CJ202,FIND("|",CJ202)+1,FIND("-",CJ202)-FIND("|",CJ202)-1))-VALUE(MID(CJ202,FIND("-",CJ202)+1,10)))))*$D$50)))))*$I202,0)),0)</f>
        <v>0</v>
      </c>
      <c r="CL202" s="404"/>
      <c r="CM202" s="398"/>
      <c r="CN202" s="356" t="n">
        <f aca="false">IFERROR(IF($M202=CM202,($D$8+$D$9+$D$10)*$I202,IF($N202=LEFT(CM202,1),($D$8+MAX(0,IF($D$50=1,$D$9*(1-(ABS($Q202-ABS(VALUE(MID(CM202,FIND("|",CM202)+1,FIND("-",CM202)-FIND("|",CM202)-1))-VALUE(MID(CM202,FIND("-",CM202)+1,10)))))*$D$50),$D$9*(1-(IF($N202="X",ABS($O202-VALUE(MID(CM202,FIND("|",CM202)+1,FIND("-",CM202)-FIND("|",CM202)-1))),ABS($Q202-ABS(VALUE(MID(CM202,FIND("|",CM202)+1,FIND("-",CM202)-FIND("|",CM202)-1))-VALUE(MID(CM202,FIND("-",CM202)+1,10)))))*$D$50)))))*$I202,0)),0)</f>
        <v>0</v>
      </c>
      <c r="CO202" s="404"/>
      <c r="CP202" s="363"/>
      <c r="CQ202" s="356" t="n">
        <f aca="false">IFERROR(IF($M202=CP202,($D$8+$D$9+$D$10)*$I202,IF($N202=LEFT(CP202,1),($D$8+MAX(0,IF($D$50=1,$D$9*(1-(ABS($Q202-ABS(VALUE(MID(CP202,FIND("|",CP202)+1,FIND("-",CP202)-FIND("|",CP202)-1))-VALUE(MID(CP202,FIND("-",CP202)+1,10)))))*$D$50),$D$9*(1-(IF($N202="X",ABS($O202-VALUE(MID(CP202,FIND("|",CP202)+1,FIND("-",CP202)-FIND("|",CP202)-1))),ABS($Q202-ABS(VALUE(MID(CP202,FIND("|",CP202)+1,FIND("-",CP202)-FIND("|",CP202)-1))-VALUE(MID(CP202,FIND("-",CP202)+1,10)))))*$D$50)))))*$I202,0)),0)</f>
        <v>0</v>
      </c>
      <c r="CR202" s="404"/>
      <c r="CS202" s="363"/>
      <c r="CT202" s="356" t="n">
        <f aca="false">IFERROR(IF($M202=CS202,($D$8+$D$9+$D$10)*$I202,IF($N202=LEFT(CS202,1),($D$8+MAX(0,IF($D$50=1,$D$9*(1-(ABS($Q202-ABS(VALUE(MID(CS202,FIND("|",CS202)+1,FIND("-",CS202)-FIND("|",CS202)-1))-VALUE(MID(CS202,FIND("-",CS202)+1,10)))))*$D$50),$D$9*(1-(IF($N202="X",ABS($O202-VALUE(MID(CS202,FIND("|",CS202)+1,FIND("-",CS202)-FIND("|",CS202)-1))),ABS($Q202-ABS(VALUE(MID(CS202,FIND("|",CS202)+1,FIND("-",CS202)-FIND("|",CS202)-1))-VALUE(MID(CS202,FIND("-",CS202)+1,10)))))*$D$50)))))*$I202,0)),0)</f>
        <v>0</v>
      </c>
      <c r="CU202" s="404"/>
      <c r="CV202" s="398"/>
      <c r="CW202" s="356" t="n">
        <f aca="false">IFERROR(IF($M202=CV202,($D$8+$D$9+$D$10)*$I202,IF($N202=LEFT(CV202,1),($D$8+MAX(0,IF($D$50=1,$D$9*(1-(ABS($Q202-ABS(VALUE(MID(CV202,FIND("|",CV202)+1,FIND("-",CV202)-FIND("|",CV202)-1))-VALUE(MID(CV202,FIND("-",CV202)+1,10)))))*$D$50),$D$9*(1-(IF($N202="X",ABS($O202-VALUE(MID(CV202,FIND("|",CV202)+1,FIND("-",CV202)-FIND("|",CV202)-1))),ABS($Q202-ABS(VALUE(MID(CV202,FIND("|",CV202)+1,FIND("-",CV202)-FIND("|",CV202)-1))-VALUE(MID(CV202,FIND("-",CV202)+1,10)))))*$D$50)))))*$I202,0)),0)</f>
        <v>0</v>
      </c>
      <c r="CX202" s="404"/>
      <c r="CY202" s="398"/>
      <c r="CZ202" s="356" t="n">
        <f aca="false">IFERROR(IF($M202=CY202,($D$8+$D$9+$D$10)*$I202,IF($N202=LEFT(CY202,1),($D$8+MAX(0,IF($D$50=1,$D$9*(1-(ABS($Q202-ABS(VALUE(MID(CY202,FIND("|",CY202)+1,FIND("-",CY202)-FIND("|",CY202)-1))-VALUE(MID(CY202,FIND("-",CY202)+1,10)))))*$D$50),$D$9*(1-(IF($N202="X",ABS($O202-VALUE(MID(CY202,FIND("|",CY202)+1,FIND("-",CY202)-FIND("|",CY202)-1))),ABS($Q202-ABS(VALUE(MID(CY202,FIND("|",CY202)+1,FIND("-",CY202)-FIND("|",CY202)-1))-VALUE(MID(CY202,FIND("-",CY202)+1,10)))))*$D$50)))))*$I202,0)),0)</f>
        <v>0</v>
      </c>
      <c r="DA202" s="404"/>
      <c r="DB202" s="398"/>
      <c r="DC202" s="356" t="n">
        <f aca="false">IFERROR(IF($M202=DB202,($D$8+$D$9+$D$10)*$I202,IF($N202=LEFT(DB202,1),($D$8+MAX(0,IF($D$50=1,$D$9*(1-(ABS($Q202-ABS(VALUE(MID(DB202,FIND("|",DB202)+1,FIND("-",DB202)-FIND("|",DB202)-1))-VALUE(MID(DB202,FIND("-",DB202)+1,10)))))*$D$50),$D$9*(1-(IF($N202="X",ABS($O202-VALUE(MID(DB202,FIND("|",DB202)+1,FIND("-",DB202)-FIND("|",DB202)-1))),ABS($Q202-ABS(VALUE(MID(DB202,FIND("|",DB202)+1,FIND("-",DB202)-FIND("|",DB202)-1))-VALUE(MID(DB202,FIND("-",DB202)+1,10)))))*$D$50)))))*$I202,0)),0)</f>
        <v>0</v>
      </c>
      <c r="DD202" s="404"/>
      <c r="DE202" s="363"/>
      <c r="DF202" s="356" t="n">
        <f aca="false">IFERROR(IF($M202=DE202,($D$8+$D$9+$D$10)*$I202,IF($N202=LEFT(DE202,1),($D$8+MAX(0,IF($D$50=1,$D$9*(1-(ABS($Q202-ABS(VALUE(MID(DE202,FIND("|",DE202)+1,FIND("-",DE202)-FIND("|",DE202)-1))-VALUE(MID(DE202,FIND("-",DE202)+1,10)))))*$D$50),$D$9*(1-(IF($N202="X",ABS($O202-VALUE(MID(DE202,FIND("|",DE202)+1,FIND("-",DE202)-FIND("|",DE202)-1))),ABS($Q202-ABS(VALUE(MID(DE202,FIND("|",DE202)+1,FIND("-",DE202)-FIND("|",DE202)-1))-VALUE(MID(DE202,FIND("-",DE202)+1,10)))))*$D$50)))))*$I202,0)),0)</f>
        <v>0</v>
      </c>
      <c r="DG202" s="404"/>
      <c r="DH202" s="363"/>
      <c r="DI202" s="356" t="n">
        <f aca="false">IFERROR(IF($M202=DH202,($D$8+$D$9+$D$10)*$I202,IF($N202=LEFT(DH202,1),($D$8+MAX(0,IF($D$50=1,$D$9*(1-(ABS($Q202-ABS(VALUE(MID(DH202,FIND("|",DH202)+1,FIND("-",DH202)-FIND("|",DH202)-1))-VALUE(MID(DH202,FIND("-",DH202)+1,10)))))*$D$50),$D$9*(1-(IF($N202="X",ABS($O202-VALUE(MID(DH202,FIND("|",DH202)+1,FIND("-",DH202)-FIND("|",DH202)-1))),ABS($Q202-ABS(VALUE(MID(DH202,FIND("|",DH202)+1,FIND("-",DH202)-FIND("|",DH202)-1))-VALUE(MID(DH202,FIND("-",DH202)+1,10)))))*$D$50)))))*$I202,0)),0)</f>
        <v>0</v>
      </c>
      <c r="DJ202" s="404"/>
      <c r="DK202" s="398"/>
      <c r="DL202" s="356" t="n">
        <f aca="false">IFERROR(IF($M202=DK202,($D$8+$D$9+$D$10)*$I202,IF($N202=LEFT(DK202,1),($D$8+MAX(0,IF($D$50=1,$D$9*(1-(ABS($Q202-ABS(VALUE(MID(DK202,FIND("|",DK202)+1,FIND("-",DK202)-FIND("|",DK202)-1))-VALUE(MID(DK202,FIND("-",DK202)+1,10)))))*$D$50),$D$9*(1-(IF($N202="X",ABS($O202-VALUE(MID(DK202,FIND("|",DK202)+1,FIND("-",DK202)-FIND("|",DK202)-1))),ABS($Q202-ABS(VALUE(MID(DK202,FIND("|",DK202)+1,FIND("-",DK202)-FIND("|",DK202)-1))-VALUE(MID(DK202,FIND("-",DK202)+1,10)))))*$D$50)))))*$I202,0)),0)</f>
        <v>0</v>
      </c>
      <c r="DM202" s="404"/>
      <c r="DN202" s="398"/>
      <c r="DO202" s="356" t="n">
        <f aca="false">IFERROR(IF($M202=DN202,($D$8+$D$9+$D$10)*$I202,IF($N202=LEFT(DN202,1),($D$8+MAX(0,IF($D$50=1,$D$9*(1-(ABS($Q202-ABS(VALUE(MID(DN202,FIND("|",DN202)+1,FIND("-",DN202)-FIND("|",DN202)-1))-VALUE(MID(DN202,FIND("-",DN202)+1,10)))))*$D$50),$D$9*(1-(IF($N202="X",ABS($O202-VALUE(MID(DN202,FIND("|",DN202)+1,FIND("-",DN202)-FIND("|",DN202)-1))),ABS($Q202-ABS(VALUE(MID(DN202,FIND("|",DN202)+1,FIND("-",DN202)-FIND("|",DN202)-1))-VALUE(MID(DN202,FIND("-",DN202)+1,10)))))*$D$50)))))*$I202,0)),0)</f>
        <v>0</v>
      </c>
      <c r="DP202" s="404"/>
      <c r="DQ202" s="398"/>
      <c r="DR202" s="356" t="n">
        <f aca="false">IFERROR(IF($M202=DQ202,($D$8+$D$9+$D$10)*$I202,IF($N202=LEFT(DQ202,1),($D$8+MAX(0,IF($D$50=1,$D$9*(1-(ABS($Q202-ABS(VALUE(MID(DQ202,FIND("|",DQ202)+1,FIND("-",DQ202)-FIND("|",DQ202)-1))-VALUE(MID(DQ202,FIND("-",DQ202)+1,10)))))*$D$50),$D$9*(1-(IF($N202="X",ABS($O202-VALUE(MID(DQ202,FIND("|",DQ202)+1,FIND("-",DQ202)-FIND("|",DQ202)-1))),ABS($Q202-ABS(VALUE(MID(DQ202,FIND("|",DQ202)+1,FIND("-",DQ202)-FIND("|",DQ202)-1))-VALUE(MID(DQ202,FIND("-",DQ202)+1,10)))))*$D$50)))))*$I202,0)),0)</f>
        <v>0</v>
      </c>
      <c r="DS202" s="404"/>
      <c r="DT202" s="363"/>
      <c r="DU202" s="356" t="n">
        <f aca="false">IFERROR(IF($M202=DT202,($D$8+$D$9+$D$10)*$I202,IF($N202=LEFT(DT202,1),($D$8+MAX(0,IF($D$50=1,$D$9*(1-(ABS($Q202-ABS(VALUE(MID(DT202,FIND("|",DT202)+1,FIND("-",DT202)-FIND("|",DT202)-1))-VALUE(MID(DT202,FIND("-",DT202)+1,10)))))*$D$50),$D$9*(1-(IF($N202="X",ABS($O202-VALUE(MID(DT202,FIND("|",DT202)+1,FIND("-",DT202)-FIND("|",DT202)-1))),ABS($Q202-ABS(VALUE(MID(DT202,FIND("|",DT202)+1,FIND("-",DT202)-FIND("|",DT202)-1))-VALUE(MID(DT202,FIND("-",DT202)+1,10)))))*$D$50)))))*$I202,0)),0)</f>
        <v>0</v>
      </c>
      <c r="DV202" s="404"/>
      <c r="DW202" s="363"/>
      <c r="DX202" s="356" t="n">
        <f aca="false">IFERROR(IF($M202=DW202,($D$8+$D$9+$D$10)*$I202,IF($N202=LEFT(DW202,1),($D$8+MAX(0,IF($D$50=1,$D$9*(1-(ABS($Q202-ABS(VALUE(MID(DW202,FIND("|",DW202)+1,FIND("-",DW202)-FIND("|",DW202)-1))-VALUE(MID(DW202,FIND("-",DW202)+1,10)))))*$D$50),$D$9*(1-(IF($N202="X",ABS($O202-VALUE(MID(DW202,FIND("|",DW202)+1,FIND("-",DW202)-FIND("|",DW202)-1))),ABS($Q202-ABS(VALUE(MID(DW202,FIND("|",DW202)+1,FIND("-",DW202)-FIND("|",DW202)-1))-VALUE(MID(DW202,FIND("-",DW202)+1,10)))))*$D$50)))))*$I202,0)),0)</f>
        <v>0</v>
      </c>
      <c r="DY202" s="404"/>
      <c r="DZ202" s="398"/>
      <c r="EA202" s="356" t="n">
        <f aca="false">IFERROR(IF($M202=DZ202,($D$8+$D$9+$D$10)*$I202,IF($N202=LEFT(DZ202,1),($D$8+MAX(0,IF($D$50=1,$D$9*(1-(ABS($Q202-ABS(VALUE(MID(DZ202,FIND("|",DZ202)+1,FIND("-",DZ202)-FIND("|",DZ202)-1))-VALUE(MID(DZ202,FIND("-",DZ202)+1,10)))))*$D$50),$D$9*(1-(IF($N202="X",ABS($O202-VALUE(MID(DZ202,FIND("|",DZ202)+1,FIND("-",DZ202)-FIND("|",DZ202)-1))),ABS($Q202-ABS(VALUE(MID(DZ202,FIND("|",DZ202)+1,FIND("-",DZ202)-FIND("|",DZ202)-1))-VALUE(MID(DZ202,FIND("-",DZ202)+1,10)))))*$D$50)))))*$I202,0)),0)</f>
        <v>0</v>
      </c>
      <c r="EB202" s="404"/>
      <c r="EC202" s="398"/>
      <c r="ED202" s="356" t="n">
        <f aca="false">IFERROR(IF($M202=EC202,($D$8+$D$9+$D$10)*$I202,IF($N202=LEFT(EC202,1),($D$8+MAX(0,IF($D$50=1,$D$9*(1-(ABS($Q202-ABS(VALUE(MID(EC202,FIND("|",EC202)+1,FIND("-",EC202)-FIND("|",EC202)-1))-VALUE(MID(EC202,FIND("-",EC202)+1,10)))))*$D$50),$D$9*(1-(IF($N202="X",ABS($O202-VALUE(MID(EC202,FIND("|",EC202)+1,FIND("-",EC202)-FIND("|",EC202)-1))),ABS($Q202-ABS(VALUE(MID(EC202,FIND("|",EC202)+1,FIND("-",EC202)-FIND("|",EC202)-1))-VALUE(MID(EC202,FIND("-",EC202)+1,10)))))*$D$50)))))*$I202,0)),0)</f>
        <v>0</v>
      </c>
      <c r="EE202" s="404"/>
      <c r="EF202" s="398"/>
      <c r="EG202" s="356" t="n">
        <f aca="false">IFERROR(IF($M202=EF202,($D$8+$D$9+$D$10)*$I202,IF($N202=LEFT(EF202,1),($D$8+MAX(0,IF($D$50=1,$D$9*(1-(ABS($Q202-ABS(VALUE(MID(EF202,FIND("|",EF202)+1,FIND("-",EF202)-FIND("|",EF202)-1))-VALUE(MID(EF202,FIND("-",EF202)+1,10)))))*$D$50),$D$9*(1-(IF($N202="X",ABS($O202-VALUE(MID(EF202,FIND("|",EF202)+1,FIND("-",EF202)-FIND("|",EF202)-1))),ABS($Q202-ABS(VALUE(MID(EF202,FIND("|",EF202)+1,FIND("-",EF202)-FIND("|",EF202)-1))-VALUE(MID(EF202,FIND("-",EF202)+1,10)))))*$D$50)))))*$I202,0)),0)</f>
        <v>0</v>
      </c>
      <c r="EH202" s="404"/>
      <c r="EI202" s="404"/>
    </row>
    <row r="203" customFormat="false" ht="15" hidden="false" customHeight="false" outlineLevel="0" collapsed="false">
      <c r="A203" s="332" t="n">
        <f aca="false">WORLDCUP!AD123</f>
        <v>0</v>
      </c>
      <c r="B203" s="332" t="n">
        <f aca="false">WORLDCUP!AC123</f>
        <v>0</v>
      </c>
      <c r="C203" s="422" t="str">
        <f aca="false">CONCATENATE(WORLDCUP!AF123,"-",WORLDCUP!AA123)</f>
        <v>W80-W79</v>
      </c>
      <c r="D203" s="422" t="str">
        <f aca="false">IF(WORLDCUP!AC123&gt;WORLDCUP!AD123,2,IF(WORLDCUP!AC123&lt;WORLDCUP!AD123,1,IF(AND(WORLDCUP!AC123=WORLDCUP!AD123,WORLDCUP!AC123&lt;&gt;"",WORLDCUP!AD123&lt;&gt;""),0,"PD")))</f>
        <v>PD</v>
      </c>
      <c r="E203" s="422" t="str">
        <f aca="false">IF(OR(WORLDCUP!AD123="",WORLDCUP!AC123=""),"-",A203&amp;"-"&amp;B203)</f>
        <v>-</v>
      </c>
      <c r="F203" s="423" t="n">
        <f aca="false">SUM($D$20:$D$22)*I203</f>
        <v>17</v>
      </c>
      <c r="G203" s="423" t="n">
        <f aca="false">VLOOKUP(H203,Equipos!$Q$1:$R$25,2,0)</f>
        <v>21</v>
      </c>
      <c r="H203" s="410" t="str">
        <f aca="false">Idiomas!$D$261</f>
        <v>Octavos de final</v>
      </c>
      <c r="I203" s="425" t="n">
        <v>1</v>
      </c>
      <c r="J203" s="418"/>
      <c r="K203" s="367" t="str">
        <f aca="false">CONCATENATE(WORLDCUP!AA123,"-",WORLDCUP!AF123)</f>
        <v>W79-W80</v>
      </c>
      <c r="L203" s="354" t="str">
        <f aca="false">IF(OR(WORLDCUP!AC123="",WORLDCUP!AD123=""),"PD",IF(WORLDCUP!AC123&gt;WORLDCUP!AD123,1,IF(WORLDCUP!AC123&lt;WORLDCUP!AD123,2,0)))</f>
        <v>PD</v>
      </c>
      <c r="M203" s="359" t="str">
        <f aca="false">IF(OR(WORLDCUP!AC123="",WORLDCUP!AD123=""),"-",N203&amp;"|"&amp;O203&amp;"-"&amp;P203)</f>
        <v>-</v>
      </c>
      <c r="N203" s="332" t="str">
        <f aca="false">IF(OR(WORLDCUP!AC123="",WORLDCUP!AD123=""),"",IF(WORLDCUP!AC123&gt;WORLDCUP!AD123,"1",IF(WORLDCUP!AC123&lt;WORLDCUP!AD123,"2","X")))</f>
        <v/>
      </c>
      <c r="O203" s="332" t="n">
        <f aca="false">WORLDCUP!AC123</f>
        <v>0</v>
      </c>
      <c r="P203" s="332" t="n">
        <f aca="false">WORLDCUP!AD123</f>
        <v>0</v>
      </c>
      <c r="Q203" s="332" t="n">
        <f aca="false">ABS(O203-P203)</f>
        <v>0</v>
      </c>
      <c r="R203" s="404"/>
      <c r="S203" s="363" t="s">
        <v>273</v>
      </c>
      <c r="T203" s="356" t="n">
        <f aca="false">IFERROR(IF($M203=S203,($D$8+$D$9+$D$10)*$I203,IF($N203=LEFT(S203,1),($D$8+MAX(0,IF($D$50=1,$D$9*(1-(ABS($Q203-ABS(VALUE(MID(S203,FIND("|",S203)+1,FIND("-",S203)-FIND("|",S203)-1))-VALUE(MID(S203,FIND("-",S203)+1,10)))))*$D$50),$D$9*(1-(IF($N203="X",ABS($O203-VALUE(MID(S203,FIND("|",S203)+1,FIND("-",S203)-FIND("|",S203)-1))),ABS($Q203-ABS(VALUE(MID(S203,FIND("|",S203)+1,FIND("-",S203)-FIND("|",S203)-1))-VALUE(MID(S203,FIND("-",S203)+1,10)))))*$D$50)))))*$I203,0)),0)</f>
        <v>0</v>
      </c>
      <c r="U203" s="404"/>
      <c r="V203" s="363" t="s">
        <v>267</v>
      </c>
      <c r="W203" s="356" t="n">
        <f aca="false">IFERROR(IF($M203=V203,($D$8+$D$9+$D$10)*$I203,IF($N203=LEFT(V203,1),($D$8+MAX(0,IF($D$50=1,$D$9*(1-(ABS($Q203-ABS(VALUE(MID(V203,FIND("|",V203)+1,FIND("-",V203)-FIND("|",V203)-1))-VALUE(MID(V203,FIND("-",V203)+1,10)))))*$D$50),$D$9*(1-(IF($N203="X",ABS($O203-VALUE(MID(V203,FIND("|",V203)+1,FIND("-",V203)-FIND("|",V203)-1))),ABS($Q203-ABS(VALUE(MID(V203,FIND("|",V203)+1,FIND("-",V203)-FIND("|",V203)-1))-VALUE(MID(V203,FIND("-",V203)+1,10)))))*$D$50)))))*$I203,0)),0)</f>
        <v>0</v>
      </c>
      <c r="X203" s="404"/>
      <c r="Y203" s="398" t="s">
        <v>264</v>
      </c>
      <c r="Z203" s="356" t="n">
        <f aca="false">IFERROR(IF($M203=Y203,($D$8+$D$9+$D$10)*$I203,IF($N203=LEFT(Y203,1),($D$8+MAX(0,IF($D$50=1,$D$9*(1-(ABS($Q203-ABS(VALUE(MID(Y203,FIND("|",Y203)+1,FIND("-",Y203)-FIND("|",Y203)-1))-VALUE(MID(Y203,FIND("-",Y203)+1,10)))))*$D$50),$D$9*(1-(IF($N203="X",ABS($O203-VALUE(MID(Y203,FIND("|",Y203)+1,FIND("-",Y203)-FIND("|",Y203)-1))),ABS($Q203-ABS(VALUE(MID(Y203,FIND("|",Y203)+1,FIND("-",Y203)-FIND("|",Y203)-1))-VALUE(MID(Y203,FIND("-",Y203)+1,10)))))*$D$50)))))*$I203,0)),0)</f>
        <v>0</v>
      </c>
      <c r="AA203" s="404"/>
      <c r="AB203" s="398" t="s">
        <v>265</v>
      </c>
      <c r="AC203" s="356" t="n">
        <f aca="false">IFERROR(IF($M203=AB203,($D$8+$D$9+$D$10)*$I203,IF($N203=LEFT(AB203,1),($D$8+MAX(0,IF($D$50=1,$D$9*(1-(ABS($Q203-ABS(VALUE(MID(AB203,FIND("|",AB203)+1,FIND("-",AB203)-FIND("|",AB203)-1))-VALUE(MID(AB203,FIND("-",AB203)+1,10)))))*$D$50),$D$9*(1-(IF($N203="X",ABS($O203-VALUE(MID(AB203,FIND("|",AB203)+1,FIND("-",AB203)-FIND("|",AB203)-1))),ABS($Q203-ABS(VALUE(MID(AB203,FIND("|",AB203)+1,FIND("-",AB203)-FIND("|",AB203)-1))-VALUE(MID(AB203,FIND("-",AB203)+1,10)))))*$D$50)))))*$I203,0)),0)</f>
        <v>0</v>
      </c>
      <c r="AD203" s="404"/>
      <c r="AE203" s="398" t="s">
        <v>274</v>
      </c>
      <c r="AF203" s="356" t="n">
        <f aca="false">IFERROR(IF($M203=AE203,($D$8+$D$9+$D$10)*$I203,IF($N203=LEFT(AE203,1),($D$8+MAX(0,IF($D$50=1,$D$9*(1-(ABS($Q203-ABS(VALUE(MID(AE203,FIND("|",AE203)+1,FIND("-",AE203)-FIND("|",AE203)-1))-VALUE(MID(AE203,FIND("-",AE203)+1,10)))))*$D$50),$D$9*(1-(IF($N203="X",ABS($O203-VALUE(MID(AE203,FIND("|",AE203)+1,FIND("-",AE203)-FIND("|",AE203)-1))),ABS($Q203-ABS(VALUE(MID(AE203,FIND("|",AE203)+1,FIND("-",AE203)-FIND("|",AE203)-1))-VALUE(MID(AE203,FIND("-",AE203)+1,10)))))*$D$50)))))*$I203,0)),0)</f>
        <v>0</v>
      </c>
      <c r="AG203" s="404"/>
      <c r="AH203" s="363" t="s">
        <v>274</v>
      </c>
      <c r="AI203" s="356" t="n">
        <f aca="false">IFERROR(IF($M203=AH203,($D$8+$D$9+$D$10)*$I203,IF($N203=LEFT(AH203,1),($D$8+MAX(0,IF($D$50=1,$D$9*(1-(ABS($Q203-ABS(VALUE(MID(AH203,FIND("|",AH203)+1,FIND("-",AH203)-FIND("|",AH203)-1))-VALUE(MID(AH203,FIND("-",AH203)+1,10)))))*$D$50),$D$9*(1-(IF($N203="X",ABS($O203-VALUE(MID(AH203,FIND("|",AH203)+1,FIND("-",AH203)-FIND("|",AH203)-1))),ABS($Q203-ABS(VALUE(MID(AH203,FIND("|",AH203)+1,FIND("-",AH203)-FIND("|",AH203)-1))-VALUE(MID(AH203,FIND("-",AH203)+1,10)))))*$D$50)))))*$I203,0)),0)</f>
        <v>0</v>
      </c>
      <c r="AJ203" s="404"/>
      <c r="AK203" s="363" t="s">
        <v>268</v>
      </c>
      <c r="AL203" s="356" t="n">
        <f aca="false">IFERROR(IF($M203=AK203,($D$8+$D$9+$D$10)*$I203,IF($N203=LEFT(AK203,1),($D$8+MAX(0,IF($D$50=1,$D$9*(1-(ABS($Q203-ABS(VALUE(MID(AK203,FIND("|",AK203)+1,FIND("-",AK203)-FIND("|",AK203)-1))-VALUE(MID(AK203,FIND("-",AK203)+1,10)))))*$D$50),$D$9*(1-(IF($N203="X",ABS($O203-VALUE(MID(AK203,FIND("|",AK203)+1,FIND("-",AK203)-FIND("|",AK203)-1))),ABS($Q203-ABS(VALUE(MID(AK203,FIND("|",AK203)+1,FIND("-",AK203)-FIND("|",AK203)-1))-VALUE(MID(AK203,FIND("-",AK203)+1,10)))))*$D$50)))))*$I203,0)),0)</f>
        <v>0</v>
      </c>
      <c r="AM203" s="404"/>
      <c r="AN203" s="398" t="s">
        <v>268</v>
      </c>
      <c r="AO203" s="356" t="n">
        <f aca="false">IFERROR(IF($M203=AN203,($D$8+$D$9+$D$10)*$I203,IF($N203=LEFT(AN203,1),($D$8+MAX(0,IF($D$50=1,$D$9*(1-(ABS($Q203-ABS(VALUE(MID(AN203,FIND("|",AN203)+1,FIND("-",AN203)-FIND("|",AN203)-1))-VALUE(MID(AN203,FIND("-",AN203)+1,10)))))*$D$50),$D$9*(1-(IF($N203="X",ABS($O203-VALUE(MID(AN203,FIND("|",AN203)+1,FIND("-",AN203)-FIND("|",AN203)-1))),ABS($Q203-ABS(VALUE(MID(AN203,FIND("|",AN203)+1,FIND("-",AN203)-FIND("|",AN203)-1))-VALUE(MID(AN203,FIND("-",AN203)+1,10)))))*$D$50)))))*$I203,0)),0)</f>
        <v>0</v>
      </c>
      <c r="AP203" s="404"/>
      <c r="AQ203" s="398" t="s">
        <v>268</v>
      </c>
      <c r="AR203" s="356" t="n">
        <f aca="false">IFERROR(IF($M203=AQ203,($D$8+$D$9+$D$10)*$I203,IF($N203=LEFT(AQ203,1),($D$8+MAX(0,IF($D$50=1,$D$9*(1-(ABS($Q203-ABS(VALUE(MID(AQ203,FIND("|",AQ203)+1,FIND("-",AQ203)-FIND("|",AQ203)-1))-VALUE(MID(AQ203,FIND("-",AQ203)+1,10)))))*$D$50),$D$9*(1-(IF($N203="X",ABS($O203-VALUE(MID(AQ203,FIND("|",AQ203)+1,FIND("-",AQ203)-FIND("|",AQ203)-1))),ABS($Q203-ABS(VALUE(MID(AQ203,FIND("|",AQ203)+1,FIND("-",AQ203)-FIND("|",AQ203)-1))-VALUE(MID(AQ203,FIND("-",AQ203)+1,10)))))*$D$50)))))*$I203,0)),0)</f>
        <v>0</v>
      </c>
      <c r="AS203" s="404"/>
      <c r="AT203" s="398" t="s">
        <v>268</v>
      </c>
      <c r="AU203" s="356" t="n">
        <f aca="false">IFERROR(IF($M203=AT203,($D$8+$D$9+$D$10)*$I203,IF($N203=LEFT(AT203,1),($D$8+MAX(0,IF($D$50=1,$D$9*(1-(ABS($Q203-ABS(VALUE(MID(AT203,FIND("|",AT203)+1,FIND("-",AT203)-FIND("|",AT203)-1))-VALUE(MID(AT203,FIND("-",AT203)+1,10)))))*$D$50),$D$9*(1-(IF($N203="X",ABS($O203-VALUE(MID(AT203,FIND("|",AT203)+1,FIND("-",AT203)-FIND("|",AT203)-1))),ABS($Q203-ABS(VALUE(MID(AT203,FIND("|",AT203)+1,FIND("-",AT203)-FIND("|",AT203)-1))-VALUE(MID(AT203,FIND("-",AT203)+1,10)))))*$D$50)))))*$I203,0)),0)</f>
        <v>0</v>
      </c>
      <c r="AV203" s="404"/>
      <c r="AW203" s="363" t="s">
        <v>271</v>
      </c>
      <c r="AX203" s="356" t="n">
        <f aca="false">IFERROR(IF($M203=AW203,($D$8+$D$9+$D$10)*$I203,IF($N203=LEFT(AW203,1),($D$8+MAX(0,IF($D$50=1,$D$9*(1-(ABS($Q203-ABS(VALUE(MID(AW203,FIND("|",AW203)+1,FIND("-",AW203)-FIND("|",AW203)-1))-VALUE(MID(AW203,FIND("-",AW203)+1,10)))))*$D$50),$D$9*(1-(IF($N203="X",ABS($O203-VALUE(MID(AW203,FIND("|",AW203)+1,FIND("-",AW203)-FIND("|",AW203)-1))),ABS($Q203-ABS(VALUE(MID(AW203,FIND("|",AW203)+1,FIND("-",AW203)-FIND("|",AW203)-1))-VALUE(MID(AW203,FIND("-",AW203)+1,10)))))*$D$50)))))*$I203,0)),0)</f>
        <v>0</v>
      </c>
      <c r="AY203" s="404"/>
      <c r="AZ203" s="363" t="s">
        <v>268</v>
      </c>
      <c r="BA203" s="356" t="n">
        <f aca="false">IFERROR(IF($M203=AZ203,($D$8+$D$9+$D$10)*$I203,IF($N203=LEFT(AZ203,1),($D$8+MAX(0,IF($D$50=1,$D$9*(1-(ABS($Q203-ABS(VALUE(MID(AZ203,FIND("|",AZ203)+1,FIND("-",AZ203)-FIND("|",AZ203)-1))-VALUE(MID(AZ203,FIND("-",AZ203)+1,10)))))*$D$50),$D$9*(1-(IF($N203="X",ABS($O203-VALUE(MID(AZ203,FIND("|",AZ203)+1,FIND("-",AZ203)-FIND("|",AZ203)-1))),ABS($Q203-ABS(VALUE(MID(AZ203,FIND("|",AZ203)+1,FIND("-",AZ203)-FIND("|",AZ203)-1))-VALUE(MID(AZ203,FIND("-",AZ203)+1,10)))))*$D$50)))))*$I203,0)),0)</f>
        <v>0</v>
      </c>
      <c r="BB203" s="404"/>
      <c r="BC203" s="398" t="s">
        <v>269</v>
      </c>
      <c r="BD203" s="356" t="n">
        <f aca="false">IFERROR(IF($M203=BC203,($D$8+$D$9+$D$10)*$I203,IF($N203=LEFT(BC203,1),($D$8+MAX(0,IF($D$50=1,$D$9*(1-(ABS($Q203-ABS(VALUE(MID(BC203,FIND("|",BC203)+1,FIND("-",BC203)-FIND("|",BC203)-1))-VALUE(MID(BC203,FIND("-",BC203)+1,10)))))*$D$50),$D$9*(1-(IF($N203="X",ABS($O203-VALUE(MID(BC203,FIND("|",BC203)+1,FIND("-",BC203)-FIND("|",BC203)-1))),ABS($Q203-ABS(VALUE(MID(BC203,FIND("|",BC203)+1,FIND("-",BC203)-FIND("|",BC203)-1))-VALUE(MID(BC203,FIND("-",BC203)+1,10)))))*$D$50)))))*$I203,0)),0)</f>
        <v>0</v>
      </c>
      <c r="BE203" s="404"/>
      <c r="BF203" s="398" t="s">
        <v>274</v>
      </c>
      <c r="BG203" s="356" t="n">
        <f aca="false">IFERROR(IF($M203=BF203,($D$8+$D$9+$D$10)*$I203,IF($N203=LEFT(BF203,1),($D$8+MAX(0,IF($D$50=1,$D$9*(1-(ABS($Q203-ABS(VALUE(MID(BF203,FIND("|",BF203)+1,FIND("-",BF203)-FIND("|",BF203)-1))-VALUE(MID(BF203,FIND("-",BF203)+1,10)))))*$D$50),$D$9*(1-(IF($N203="X",ABS($O203-VALUE(MID(BF203,FIND("|",BF203)+1,FIND("-",BF203)-FIND("|",BF203)-1))),ABS($Q203-ABS(VALUE(MID(BF203,FIND("|",BF203)+1,FIND("-",BF203)-FIND("|",BF203)-1))-VALUE(MID(BF203,FIND("-",BF203)+1,10)))))*$D$50)))))*$I203,0)),0)</f>
        <v>0</v>
      </c>
      <c r="BH203" s="404"/>
      <c r="BI203" s="398" t="s">
        <v>267</v>
      </c>
      <c r="BJ203" s="356" t="n">
        <f aca="false">IFERROR(IF($M203=BI203,($D$8+$D$9+$D$10)*$I203,IF($N203=LEFT(BI203,1),($D$8+MAX(0,IF($D$50=1,$D$9*(1-(ABS($Q203-ABS(VALUE(MID(BI203,FIND("|",BI203)+1,FIND("-",BI203)-FIND("|",BI203)-1))-VALUE(MID(BI203,FIND("-",BI203)+1,10)))))*$D$50),$D$9*(1-(IF($N203="X",ABS($O203-VALUE(MID(BI203,FIND("|",BI203)+1,FIND("-",BI203)-FIND("|",BI203)-1))),ABS($Q203-ABS(VALUE(MID(BI203,FIND("|",BI203)+1,FIND("-",BI203)-FIND("|",BI203)-1))-VALUE(MID(BI203,FIND("-",BI203)+1,10)))))*$D$50)))))*$I203,0)),0)</f>
        <v>0</v>
      </c>
      <c r="BK203" s="404"/>
      <c r="BL203" s="363" t="s">
        <v>274</v>
      </c>
      <c r="BM203" s="356" t="n">
        <f aca="false">IFERROR(IF($M203=BL203,($D$8+$D$9+$D$10)*$I203,IF($N203=LEFT(BL203,1),($D$8+MAX(0,IF($D$50=1,$D$9*(1-(ABS($Q203-ABS(VALUE(MID(BL203,FIND("|",BL203)+1,FIND("-",BL203)-FIND("|",BL203)-1))-VALUE(MID(BL203,FIND("-",BL203)+1,10)))))*$D$50),$D$9*(1-(IF($N203="X",ABS($O203-VALUE(MID(BL203,FIND("|",BL203)+1,FIND("-",BL203)-FIND("|",BL203)-1))),ABS($Q203-ABS(VALUE(MID(BL203,FIND("|",BL203)+1,FIND("-",BL203)-FIND("|",BL203)-1))-VALUE(MID(BL203,FIND("-",BL203)+1,10)))))*$D$50)))))*$I203,0)),0)</f>
        <v>0</v>
      </c>
      <c r="BN203" s="404"/>
      <c r="BO203" s="363" t="s">
        <v>267</v>
      </c>
      <c r="BP203" s="356" t="n">
        <f aca="false">IFERROR(IF($M203=BO203,($D$8+$D$9+$D$10)*$I203,IF($N203=LEFT(BO203,1),($D$8+MAX(0,IF($D$50=1,$D$9*(1-(ABS($Q203-ABS(VALUE(MID(BO203,FIND("|",BO203)+1,FIND("-",BO203)-FIND("|",BO203)-1))-VALUE(MID(BO203,FIND("-",BO203)+1,10)))))*$D$50),$D$9*(1-(IF($N203="X",ABS($O203-VALUE(MID(BO203,FIND("|",BO203)+1,FIND("-",BO203)-FIND("|",BO203)-1))),ABS($Q203-ABS(VALUE(MID(BO203,FIND("|",BO203)+1,FIND("-",BO203)-FIND("|",BO203)-1))-VALUE(MID(BO203,FIND("-",BO203)+1,10)))))*$D$50)))))*$I203,0)),0)</f>
        <v>0</v>
      </c>
      <c r="BQ203" s="404"/>
      <c r="BR203" s="398" t="s">
        <v>274</v>
      </c>
      <c r="BS203" s="356" t="n">
        <f aca="false">IFERROR(IF($M203=BR203,($D$8+$D$9+$D$10)*$I203,IF($N203=LEFT(BR203,1),($D$8+MAX(0,IF($D$50=1,$D$9*(1-(ABS($Q203-ABS(VALUE(MID(BR203,FIND("|",BR203)+1,FIND("-",BR203)-FIND("|",BR203)-1))-VALUE(MID(BR203,FIND("-",BR203)+1,10)))))*$D$50),$D$9*(1-(IF($N203="X",ABS($O203-VALUE(MID(BR203,FIND("|",BR203)+1,FIND("-",BR203)-FIND("|",BR203)-1))),ABS($Q203-ABS(VALUE(MID(BR203,FIND("|",BR203)+1,FIND("-",BR203)-FIND("|",BR203)-1))-VALUE(MID(BR203,FIND("-",BR203)+1,10)))))*$D$50)))))*$I203,0)),0)</f>
        <v>0</v>
      </c>
      <c r="BT203" s="404"/>
      <c r="BU203" s="398"/>
      <c r="BV203" s="356" t="n">
        <f aca="false">IFERROR(IF($M203=BU203,($D$8+$D$9+$D$10)*$I203,IF($N203=LEFT(BU203,1),($D$8+MAX(0,IF($D$50=1,$D$9*(1-(ABS($Q203-ABS(VALUE(MID(BU203,FIND("|",BU203)+1,FIND("-",BU203)-FIND("|",BU203)-1))-VALUE(MID(BU203,FIND("-",BU203)+1,10)))))*$D$50),$D$9*(1-(IF($N203="X",ABS($O203-VALUE(MID(BU203,FIND("|",BU203)+1,FIND("-",BU203)-FIND("|",BU203)-1))),ABS($Q203-ABS(VALUE(MID(BU203,FIND("|",BU203)+1,FIND("-",BU203)-FIND("|",BU203)-1))-VALUE(MID(BU203,FIND("-",BU203)+1,10)))))*$D$50)))))*$I203,0)),0)</f>
        <v>0</v>
      </c>
      <c r="BW203" s="404"/>
      <c r="BX203" s="398"/>
      <c r="BY203" s="356" t="n">
        <f aca="false">IFERROR(IF($M203=BX203,($D$8+$D$9+$D$10)*$I203,IF($N203=LEFT(BX203,1),($D$8+MAX(0,IF($D$50=1,$D$9*(1-(ABS($Q203-ABS(VALUE(MID(BX203,FIND("|",BX203)+1,FIND("-",BX203)-FIND("|",BX203)-1))-VALUE(MID(BX203,FIND("-",BX203)+1,10)))))*$D$50),$D$9*(1-(IF($N203="X",ABS($O203-VALUE(MID(BX203,FIND("|",BX203)+1,FIND("-",BX203)-FIND("|",BX203)-1))),ABS($Q203-ABS(VALUE(MID(BX203,FIND("|",BX203)+1,FIND("-",BX203)-FIND("|",BX203)-1))-VALUE(MID(BX203,FIND("-",BX203)+1,10)))))*$D$50)))))*$I203,0)),0)</f>
        <v>0</v>
      </c>
      <c r="BZ203" s="404"/>
      <c r="CA203" s="363"/>
      <c r="CB203" s="356" t="n">
        <f aca="false">IFERROR(IF($M203=CA203,($D$8+$D$9+$D$10)*$I203,IF($N203=LEFT(CA203,1),($D$8+MAX(0,IF($D$50=1,$D$9*(1-(ABS($Q203-ABS(VALUE(MID(CA203,FIND("|",CA203)+1,FIND("-",CA203)-FIND("|",CA203)-1))-VALUE(MID(CA203,FIND("-",CA203)+1,10)))))*$D$50),$D$9*(1-(IF($N203="X",ABS($O203-VALUE(MID(CA203,FIND("|",CA203)+1,FIND("-",CA203)-FIND("|",CA203)-1))),ABS($Q203-ABS(VALUE(MID(CA203,FIND("|",CA203)+1,FIND("-",CA203)-FIND("|",CA203)-1))-VALUE(MID(CA203,FIND("-",CA203)+1,10)))))*$D$50)))))*$I203,0)),0)</f>
        <v>0</v>
      </c>
      <c r="CC203" s="404"/>
      <c r="CD203" s="363"/>
      <c r="CE203" s="356" t="n">
        <f aca="false">IFERROR(IF($M203=CD203,($D$8+$D$9+$D$10)*$I203,IF($N203=LEFT(CD203,1),($D$8+MAX(0,IF($D$50=1,$D$9*(1-(ABS($Q203-ABS(VALUE(MID(CD203,FIND("|",CD203)+1,FIND("-",CD203)-FIND("|",CD203)-1))-VALUE(MID(CD203,FIND("-",CD203)+1,10)))))*$D$50),$D$9*(1-(IF($N203="X",ABS($O203-VALUE(MID(CD203,FIND("|",CD203)+1,FIND("-",CD203)-FIND("|",CD203)-1))),ABS($Q203-ABS(VALUE(MID(CD203,FIND("|",CD203)+1,FIND("-",CD203)-FIND("|",CD203)-1))-VALUE(MID(CD203,FIND("-",CD203)+1,10)))))*$D$50)))))*$I203,0)),0)</f>
        <v>0</v>
      </c>
      <c r="CF203" s="404"/>
      <c r="CG203" s="398"/>
      <c r="CH203" s="356" t="n">
        <f aca="false">IFERROR(IF($M203=CG203,($D$8+$D$9+$D$10)*$I203,IF($N203=LEFT(CG203,1),($D$8+MAX(0,IF($D$50=1,$D$9*(1-(ABS($Q203-ABS(VALUE(MID(CG203,FIND("|",CG203)+1,FIND("-",CG203)-FIND("|",CG203)-1))-VALUE(MID(CG203,FIND("-",CG203)+1,10)))))*$D$50),$D$9*(1-(IF($N203="X",ABS($O203-VALUE(MID(CG203,FIND("|",CG203)+1,FIND("-",CG203)-FIND("|",CG203)-1))),ABS($Q203-ABS(VALUE(MID(CG203,FIND("|",CG203)+1,FIND("-",CG203)-FIND("|",CG203)-1))-VALUE(MID(CG203,FIND("-",CG203)+1,10)))))*$D$50)))))*$I203,0)),0)</f>
        <v>0</v>
      </c>
      <c r="CI203" s="404"/>
      <c r="CJ203" s="398"/>
      <c r="CK203" s="356" t="n">
        <f aca="false">IFERROR(IF($M203=CJ203,($D$8+$D$9+$D$10)*$I203,IF($N203=LEFT(CJ203,1),($D$8+MAX(0,IF($D$50=1,$D$9*(1-(ABS($Q203-ABS(VALUE(MID(CJ203,FIND("|",CJ203)+1,FIND("-",CJ203)-FIND("|",CJ203)-1))-VALUE(MID(CJ203,FIND("-",CJ203)+1,10)))))*$D$50),$D$9*(1-(IF($N203="X",ABS($O203-VALUE(MID(CJ203,FIND("|",CJ203)+1,FIND("-",CJ203)-FIND("|",CJ203)-1))),ABS($Q203-ABS(VALUE(MID(CJ203,FIND("|",CJ203)+1,FIND("-",CJ203)-FIND("|",CJ203)-1))-VALUE(MID(CJ203,FIND("-",CJ203)+1,10)))))*$D$50)))))*$I203,0)),0)</f>
        <v>0</v>
      </c>
      <c r="CL203" s="404"/>
      <c r="CM203" s="398"/>
      <c r="CN203" s="356" t="n">
        <f aca="false">IFERROR(IF($M203=CM203,($D$8+$D$9+$D$10)*$I203,IF($N203=LEFT(CM203,1),($D$8+MAX(0,IF($D$50=1,$D$9*(1-(ABS($Q203-ABS(VALUE(MID(CM203,FIND("|",CM203)+1,FIND("-",CM203)-FIND("|",CM203)-1))-VALUE(MID(CM203,FIND("-",CM203)+1,10)))))*$D$50),$D$9*(1-(IF($N203="X",ABS($O203-VALUE(MID(CM203,FIND("|",CM203)+1,FIND("-",CM203)-FIND("|",CM203)-1))),ABS($Q203-ABS(VALUE(MID(CM203,FIND("|",CM203)+1,FIND("-",CM203)-FIND("|",CM203)-1))-VALUE(MID(CM203,FIND("-",CM203)+1,10)))))*$D$50)))))*$I203,0)),0)</f>
        <v>0</v>
      </c>
      <c r="CO203" s="404"/>
      <c r="CP203" s="363"/>
      <c r="CQ203" s="356" t="n">
        <f aca="false">IFERROR(IF($M203=CP203,($D$8+$D$9+$D$10)*$I203,IF($N203=LEFT(CP203,1),($D$8+MAX(0,IF($D$50=1,$D$9*(1-(ABS($Q203-ABS(VALUE(MID(CP203,FIND("|",CP203)+1,FIND("-",CP203)-FIND("|",CP203)-1))-VALUE(MID(CP203,FIND("-",CP203)+1,10)))))*$D$50),$D$9*(1-(IF($N203="X",ABS($O203-VALUE(MID(CP203,FIND("|",CP203)+1,FIND("-",CP203)-FIND("|",CP203)-1))),ABS($Q203-ABS(VALUE(MID(CP203,FIND("|",CP203)+1,FIND("-",CP203)-FIND("|",CP203)-1))-VALUE(MID(CP203,FIND("-",CP203)+1,10)))))*$D$50)))))*$I203,0)),0)</f>
        <v>0</v>
      </c>
      <c r="CR203" s="404"/>
      <c r="CS203" s="363"/>
      <c r="CT203" s="356" t="n">
        <f aca="false">IFERROR(IF($M203=CS203,($D$8+$D$9+$D$10)*$I203,IF($N203=LEFT(CS203,1),($D$8+MAX(0,IF($D$50=1,$D$9*(1-(ABS($Q203-ABS(VALUE(MID(CS203,FIND("|",CS203)+1,FIND("-",CS203)-FIND("|",CS203)-1))-VALUE(MID(CS203,FIND("-",CS203)+1,10)))))*$D$50),$D$9*(1-(IF($N203="X",ABS($O203-VALUE(MID(CS203,FIND("|",CS203)+1,FIND("-",CS203)-FIND("|",CS203)-1))),ABS($Q203-ABS(VALUE(MID(CS203,FIND("|",CS203)+1,FIND("-",CS203)-FIND("|",CS203)-1))-VALUE(MID(CS203,FIND("-",CS203)+1,10)))))*$D$50)))))*$I203,0)),0)</f>
        <v>0</v>
      </c>
      <c r="CU203" s="404"/>
      <c r="CV203" s="398"/>
      <c r="CW203" s="356" t="n">
        <f aca="false">IFERROR(IF($M203=CV203,($D$8+$D$9+$D$10)*$I203,IF($N203=LEFT(CV203,1),($D$8+MAX(0,IF($D$50=1,$D$9*(1-(ABS($Q203-ABS(VALUE(MID(CV203,FIND("|",CV203)+1,FIND("-",CV203)-FIND("|",CV203)-1))-VALUE(MID(CV203,FIND("-",CV203)+1,10)))))*$D$50),$D$9*(1-(IF($N203="X",ABS($O203-VALUE(MID(CV203,FIND("|",CV203)+1,FIND("-",CV203)-FIND("|",CV203)-1))),ABS($Q203-ABS(VALUE(MID(CV203,FIND("|",CV203)+1,FIND("-",CV203)-FIND("|",CV203)-1))-VALUE(MID(CV203,FIND("-",CV203)+1,10)))))*$D$50)))))*$I203,0)),0)</f>
        <v>0</v>
      </c>
      <c r="CX203" s="404"/>
      <c r="CY203" s="398"/>
      <c r="CZ203" s="356" t="n">
        <f aca="false">IFERROR(IF($M203=CY203,($D$8+$D$9+$D$10)*$I203,IF($N203=LEFT(CY203,1),($D$8+MAX(0,IF($D$50=1,$D$9*(1-(ABS($Q203-ABS(VALUE(MID(CY203,FIND("|",CY203)+1,FIND("-",CY203)-FIND("|",CY203)-1))-VALUE(MID(CY203,FIND("-",CY203)+1,10)))))*$D$50),$D$9*(1-(IF($N203="X",ABS($O203-VALUE(MID(CY203,FIND("|",CY203)+1,FIND("-",CY203)-FIND("|",CY203)-1))),ABS($Q203-ABS(VALUE(MID(CY203,FIND("|",CY203)+1,FIND("-",CY203)-FIND("|",CY203)-1))-VALUE(MID(CY203,FIND("-",CY203)+1,10)))))*$D$50)))))*$I203,0)),0)</f>
        <v>0</v>
      </c>
      <c r="DA203" s="404"/>
      <c r="DB203" s="398"/>
      <c r="DC203" s="356" t="n">
        <f aca="false">IFERROR(IF($M203=DB203,($D$8+$D$9+$D$10)*$I203,IF($N203=LEFT(DB203,1),($D$8+MAX(0,IF($D$50=1,$D$9*(1-(ABS($Q203-ABS(VALUE(MID(DB203,FIND("|",DB203)+1,FIND("-",DB203)-FIND("|",DB203)-1))-VALUE(MID(DB203,FIND("-",DB203)+1,10)))))*$D$50),$D$9*(1-(IF($N203="X",ABS($O203-VALUE(MID(DB203,FIND("|",DB203)+1,FIND("-",DB203)-FIND("|",DB203)-1))),ABS($Q203-ABS(VALUE(MID(DB203,FIND("|",DB203)+1,FIND("-",DB203)-FIND("|",DB203)-1))-VALUE(MID(DB203,FIND("-",DB203)+1,10)))))*$D$50)))))*$I203,0)),0)</f>
        <v>0</v>
      </c>
      <c r="DD203" s="404"/>
      <c r="DE203" s="363"/>
      <c r="DF203" s="356" t="n">
        <f aca="false">IFERROR(IF($M203=DE203,($D$8+$D$9+$D$10)*$I203,IF($N203=LEFT(DE203,1),($D$8+MAX(0,IF($D$50=1,$D$9*(1-(ABS($Q203-ABS(VALUE(MID(DE203,FIND("|",DE203)+1,FIND("-",DE203)-FIND("|",DE203)-1))-VALUE(MID(DE203,FIND("-",DE203)+1,10)))))*$D$50),$D$9*(1-(IF($N203="X",ABS($O203-VALUE(MID(DE203,FIND("|",DE203)+1,FIND("-",DE203)-FIND("|",DE203)-1))),ABS($Q203-ABS(VALUE(MID(DE203,FIND("|",DE203)+1,FIND("-",DE203)-FIND("|",DE203)-1))-VALUE(MID(DE203,FIND("-",DE203)+1,10)))))*$D$50)))))*$I203,0)),0)</f>
        <v>0</v>
      </c>
      <c r="DG203" s="404"/>
      <c r="DH203" s="363"/>
      <c r="DI203" s="356" t="n">
        <f aca="false">IFERROR(IF($M203=DH203,($D$8+$D$9+$D$10)*$I203,IF($N203=LEFT(DH203,1),($D$8+MAX(0,IF($D$50=1,$D$9*(1-(ABS($Q203-ABS(VALUE(MID(DH203,FIND("|",DH203)+1,FIND("-",DH203)-FIND("|",DH203)-1))-VALUE(MID(DH203,FIND("-",DH203)+1,10)))))*$D$50),$D$9*(1-(IF($N203="X",ABS($O203-VALUE(MID(DH203,FIND("|",DH203)+1,FIND("-",DH203)-FIND("|",DH203)-1))),ABS($Q203-ABS(VALUE(MID(DH203,FIND("|",DH203)+1,FIND("-",DH203)-FIND("|",DH203)-1))-VALUE(MID(DH203,FIND("-",DH203)+1,10)))))*$D$50)))))*$I203,0)),0)</f>
        <v>0</v>
      </c>
      <c r="DJ203" s="404"/>
      <c r="DK203" s="398"/>
      <c r="DL203" s="356" t="n">
        <f aca="false">IFERROR(IF($M203=DK203,($D$8+$D$9+$D$10)*$I203,IF($N203=LEFT(DK203,1),($D$8+MAX(0,IF($D$50=1,$D$9*(1-(ABS($Q203-ABS(VALUE(MID(DK203,FIND("|",DK203)+1,FIND("-",DK203)-FIND("|",DK203)-1))-VALUE(MID(DK203,FIND("-",DK203)+1,10)))))*$D$50),$D$9*(1-(IF($N203="X",ABS($O203-VALUE(MID(DK203,FIND("|",DK203)+1,FIND("-",DK203)-FIND("|",DK203)-1))),ABS($Q203-ABS(VALUE(MID(DK203,FIND("|",DK203)+1,FIND("-",DK203)-FIND("|",DK203)-1))-VALUE(MID(DK203,FIND("-",DK203)+1,10)))))*$D$50)))))*$I203,0)),0)</f>
        <v>0</v>
      </c>
      <c r="DM203" s="404"/>
      <c r="DN203" s="398"/>
      <c r="DO203" s="356" t="n">
        <f aca="false">IFERROR(IF($M203=DN203,($D$8+$D$9+$D$10)*$I203,IF($N203=LEFT(DN203,1),($D$8+MAX(0,IF($D$50=1,$D$9*(1-(ABS($Q203-ABS(VALUE(MID(DN203,FIND("|",DN203)+1,FIND("-",DN203)-FIND("|",DN203)-1))-VALUE(MID(DN203,FIND("-",DN203)+1,10)))))*$D$50),$D$9*(1-(IF($N203="X",ABS($O203-VALUE(MID(DN203,FIND("|",DN203)+1,FIND("-",DN203)-FIND("|",DN203)-1))),ABS($Q203-ABS(VALUE(MID(DN203,FIND("|",DN203)+1,FIND("-",DN203)-FIND("|",DN203)-1))-VALUE(MID(DN203,FIND("-",DN203)+1,10)))))*$D$50)))))*$I203,0)),0)</f>
        <v>0</v>
      </c>
      <c r="DP203" s="404"/>
      <c r="DQ203" s="398"/>
      <c r="DR203" s="356" t="n">
        <f aca="false">IFERROR(IF($M203=DQ203,($D$8+$D$9+$D$10)*$I203,IF($N203=LEFT(DQ203,1),($D$8+MAX(0,IF($D$50=1,$D$9*(1-(ABS($Q203-ABS(VALUE(MID(DQ203,FIND("|",DQ203)+1,FIND("-",DQ203)-FIND("|",DQ203)-1))-VALUE(MID(DQ203,FIND("-",DQ203)+1,10)))))*$D$50),$D$9*(1-(IF($N203="X",ABS($O203-VALUE(MID(DQ203,FIND("|",DQ203)+1,FIND("-",DQ203)-FIND("|",DQ203)-1))),ABS($Q203-ABS(VALUE(MID(DQ203,FIND("|",DQ203)+1,FIND("-",DQ203)-FIND("|",DQ203)-1))-VALUE(MID(DQ203,FIND("-",DQ203)+1,10)))))*$D$50)))))*$I203,0)),0)</f>
        <v>0</v>
      </c>
      <c r="DS203" s="404"/>
      <c r="DT203" s="363"/>
      <c r="DU203" s="356" t="n">
        <f aca="false">IFERROR(IF($M203=DT203,($D$8+$D$9+$D$10)*$I203,IF($N203=LEFT(DT203,1),($D$8+MAX(0,IF($D$50=1,$D$9*(1-(ABS($Q203-ABS(VALUE(MID(DT203,FIND("|",DT203)+1,FIND("-",DT203)-FIND("|",DT203)-1))-VALUE(MID(DT203,FIND("-",DT203)+1,10)))))*$D$50),$D$9*(1-(IF($N203="X",ABS($O203-VALUE(MID(DT203,FIND("|",DT203)+1,FIND("-",DT203)-FIND("|",DT203)-1))),ABS($Q203-ABS(VALUE(MID(DT203,FIND("|",DT203)+1,FIND("-",DT203)-FIND("|",DT203)-1))-VALUE(MID(DT203,FIND("-",DT203)+1,10)))))*$D$50)))))*$I203,0)),0)</f>
        <v>0</v>
      </c>
      <c r="DV203" s="404"/>
      <c r="DW203" s="363"/>
      <c r="DX203" s="356" t="n">
        <f aca="false">IFERROR(IF($M203=DW203,($D$8+$D$9+$D$10)*$I203,IF($N203=LEFT(DW203,1),($D$8+MAX(0,IF($D$50=1,$D$9*(1-(ABS($Q203-ABS(VALUE(MID(DW203,FIND("|",DW203)+1,FIND("-",DW203)-FIND("|",DW203)-1))-VALUE(MID(DW203,FIND("-",DW203)+1,10)))))*$D$50),$D$9*(1-(IF($N203="X",ABS($O203-VALUE(MID(DW203,FIND("|",DW203)+1,FIND("-",DW203)-FIND("|",DW203)-1))),ABS($Q203-ABS(VALUE(MID(DW203,FIND("|",DW203)+1,FIND("-",DW203)-FIND("|",DW203)-1))-VALUE(MID(DW203,FIND("-",DW203)+1,10)))))*$D$50)))))*$I203,0)),0)</f>
        <v>0</v>
      </c>
      <c r="DY203" s="404"/>
      <c r="DZ203" s="398"/>
      <c r="EA203" s="356" t="n">
        <f aca="false">IFERROR(IF($M203=DZ203,($D$8+$D$9+$D$10)*$I203,IF($N203=LEFT(DZ203,1),($D$8+MAX(0,IF($D$50=1,$D$9*(1-(ABS($Q203-ABS(VALUE(MID(DZ203,FIND("|",DZ203)+1,FIND("-",DZ203)-FIND("|",DZ203)-1))-VALUE(MID(DZ203,FIND("-",DZ203)+1,10)))))*$D$50),$D$9*(1-(IF($N203="X",ABS($O203-VALUE(MID(DZ203,FIND("|",DZ203)+1,FIND("-",DZ203)-FIND("|",DZ203)-1))),ABS($Q203-ABS(VALUE(MID(DZ203,FIND("|",DZ203)+1,FIND("-",DZ203)-FIND("|",DZ203)-1))-VALUE(MID(DZ203,FIND("-",DZ203)+1,10)))))*$D$50)))))*$I203,0)),0)</f>
        <v>0</v>
      </c>
      <c r="EB203" s="404"/>
      <c r="EC203" s="398"/>
      <c r="ED203" s="356" t="n">
        <f aca="false">IFERROR(IF($M203=EC203,($D$8+$D$9+$D$10)*$I203,IF($N203=LEFT(EC203,1),($D$8+MAX(0,IF($D$50=1,$D$9*(1-(ABS($Q203-ABS(VALUE(MID(EC203,FIND("|",EC203)+1,FIND("-",EC203)-FIND("|",EC203)-1))-VALUE(MID(EC203,FIND("-",EC203)+1,10)))))*$D$50),$D$9*(1-(IF($N203="X",ABS($O203-VALUE(MID(EC203,FIND("|",EC203)+1,FIND("-",EC203)-FIND("|",EC203)-1))),ABS($Q203-ABS(VALUE(MID(EC203,FIND("|",EC203)+1,FIND("-",EC203)-FIND("|",EC203)-1))-VALUE(MID(EC203,FIND("-",EC203)+1,10)))))*$D$50)))))*$I203,0)),0)</f>
        <v>0</v>
      </c>
      <c r="EE203" s="404"/>
      <c r="EF203" s="398"/>
      <c r="EG203" s="356" t="n">
        <f aca="false">IFERROR(IF($M203=EF203,($D$8+$D$9+$D$10)*$I203,IF($N203=LEFT(EF203,1),($D$8+MAX(0,IF($D$50=1,$D$9*(1-(ABS($Q203-ABS(VALUE(MID(EF203,FIND("|",EF203)+1,FIND("-",EF203)-FIND("|",EF203)-1))-VALUE(MID(EF203,FIND("-",EF203)+1,10)))))*$D$50),$D$9*(1-(IF($N203="X",ABS($O203-VALUE(MID(EF203,FIND("|",EF203)+1,FIND("-",EF203)-FIND("|",EF203)-1))),ABS($Q203-ABS(VALUE(MID(EF203,FIND("|",EF203)+1,FIND("-",EF203)-FIND("|",EF203)-1))-VALUE(MID(EF203,FIND("-",EF203)+1,10)))))*$D$50)))))*$I203,0)),0)</f>
        <v>0</v>
      </c>
      <c r="EH203" s="404"/>
      <c r="EI203" s="404"/>
    </row>
    <row r="204" customFormat="false" ht="15" hidden="false" customHeight="false" outlineLevel="0" collapsed="false">
      <c r="A204" s="332" t="n">
        <f aca="false">WORLDCUP!AD124</f>
        <v>0</v>
      </c>
      <c r="B204" s="332" t="n">
        <f aca="false">WORLDCUP!AC124</f>
        <v>0</v>
      </c>
      <c r="C204" s="422" t="str">
        <f aca="false">CONCATENATE(WORLDCUP!AF124,"-",WORLDCUP!AA124)</f>
        <v>W84-W83</v>
      </c>
      <c r="D204" s="422" t="str">
        <f aca="false">IF(WORLDCUP!AC124&gt;WORLDCUP!AD124,2,IF(WORLDCUP!AC124&lt;WORLDCUP!AD124,1,IF(AND(WORLDCUP!AC124=WORLDCUP!AD124,WORLDCUP!AC124&lt;&gt;"",WORLDCUP!AD124&lt;&gt;""),0,"PD")))</f>
        <v>PD</v>
      </c>
      <c r="E204" s="422" t="str">
        <f aca="false">IF(OR(WORLDCUP!AD124="",WORLDCUP!AC124=""),"-",A204&amp;"-"&amp;B204)</f>
        <v>-</v>
      </c>
      <c r="F204" s="423" t="n">
        <f aca="false">SUM($D$20:$D$22)*I204</f>
        <v>17</v>
      </c>
      <c r="G204" s="423" t="n">
        <f aca="false">VLOOKUP(H204,Equipos!$Q$1:$R$25,2,0)</f>
        <v>21</v>
      </c>
      <c r="H204" s="410" t="str">
        <f aca="false">Idiomas!$D$261</f>
        <v>Octavos de final</v>
      </c>
      <c r="I204" s="425" t="n">
        <v>1</v>
      </c>
      <c r="J204" s="418"/>
      <c r="K204" s="367" t="str">
        <f aca="false">CONCATENATE(WORLDCUP!AA124,"-",WORLDCUP!AF124)</f>
        <v>W83-W84</v>
      </c>
      <c r="L204" s="354" t="str">
        <f aca="false">IF(OR(WORLDCUP!AC124="",WORLDCUP!AD124=""),"PD",IF(WORLDCUP!AC124&gt;WORLDCUP!AD124,1,IF(WORLDCUP!AC124&lt;WORLDCUP!AD124,2,0)))</f>
        <v>PD</v>
      </c>
      <c r="M204" s="359" t="str">
        <f aca="false">IF(OR(WORLDCUP!AC124="",WORLDCUP!AD124=""),"-",N204&amp;"|"&amp;O204&amp;"-"&amp;P204)</f>
        <v>-</v>
      </c>
      <c r="N204" s="332" t="str">
        <f aca="false">IF(OR(WORLDCUP!AC124="",WORLDCUP!AD124=""),"",IF(WORLDCUP!AC124&gt;WORLDCUP!AD124,"1",IF(WORLDCUP!AC124&lt;WORLDCUP!AD124,"2","X")))</f>
        <v/>
      </c>
      <c r="O204" s="332" t="n">
        <f aca="false">WORLDCUP!AC124</f>
        <v>0</v>
      </c>
      <c r="P204" s="332" t="n">
        <f aca="false">WORLDCUP!AD124</f>
        <v>0</v>
      </c>
      <c r="Q204" s="332" t="n">
        <f aca="false">ABS(O204-P204)</f>
        <v>0</v>
      </c>
      <c r="R204" s="404"/>
      <c r="S204" s="363" t="s">
        <v>277</v>
      </c>
      <c r="T204" s="356" t="n">
        <f aca="false">IFERROR(IF($M204=S204,($D$8+$D$9+$D$10)*$I204,IF($N204=LEFT(S204,1),($D$8+MAX(0,IF($D$50=1,$D$9*(1-(ABS($Q204-ABS(VALUE(MID(S204,FIND("|",S204)+1,FIND("-",S204)-FIND("|",S204)-1))-VALUE(MID(S204,FIND("-",S204)+1,10)))))*$D$50),$D$9*(1-(IF($N204="X",ABS($O204-VALUE(MID(S204,FIND("|",S204)+1,FIND("-",S204)-FIND("|",S204)-1))),ABS($Q204-ABS(VALUE(MID(S204,FIND("|",S204)+1,FIND("-",S204)-FIND("|",S204)-1))-VALUE(MID(S204,FIND("-",S204)+1,10)))))*$D$50)))))*$I204,0)),0)</f>
        <v>0</v>
      </c>
      <c r="U204" s="404"/>
      <c r="V204" s="363" t="s">
        <v>268</v>
      </c>
      <c r="W204" s="356" t="n">
        <f aca="false">IFERROR(IF($M204=V204,($D$8+$D$9+$D$10)*$I204,IF($N204=LEFT(V204,1),($D$8+MAX(0,IF($D$50=1,$D$9*(1-(ABS($Q204-ABS(VALUE(MID(V204,FIND("|",V204)+1,FIND("-",V204)-FIND("|",V204)-1))-VALUE(MID(V204,FIND("-",V204)+1,10)))))*$D$50),$D$9*(1-(IF($N204="X",ABS($O204-VALUE(MID(V204,FIND("|",V204)+1,FIND("-",V204)-FIND("|",V204)-1))),ABS($Q204-ABS(VALUE(MID(V204,FIND("|",V204)+1,FIND("-",V204)-FIND("|",V204)-1))-VALUE(MID(V204,FIND("-",V204)+1,10)))))*$D$50)))))*$I204,0)),0)</f>
        <v>0</v>
      </c>
      <c r="X204" s="404"/>
      <c r="Y204" s="398" t="s">
        <v>277</v>
      </c>
      <c r="Z204" s="356" t="n">
        <f aca="false">IFERROR(IF($M204=Y204,($D$8+$D$9+$D$10)*$I204,IF($N204=LEFT(Y204,1),($D$8+MAX(0,IF($D$50=1,$D$9*(1-(ABS($Q204-ABS(VALUE(MID(Y204,FIND("|",Y204)+1,FIND("-",Y204)-FIND("|",Y204)-1))-VALUE(MID(Y204,FIND("-",Y204)+1,10)))))*$D$50),$D$9*(1-(IF($N204="X",ABS($O204-VALUE(MID(Y204,FIND("|",Y204)+1,FIND("-",Y204)-FIND("|",Y204)-1))),ABS($Q204-ABS(VALUE(MID(Y204,FIND("|",Y204)+1,FIND("-",Y204)-FIND("|",Y204)-1))-VALUE(MID(Y204,FIND("-",Y204)+1,10)))))*$D$50)))))*$I204,0)),0)</f>
        <v>0</v>
      </c>
      <c r="AA204" s="404"/>
      <c r="AB204" s="398" t="s">
        <v>265</v>
      </c>
      <c r="AC204" s="356" t="n">
        <f aca="false">IFERROR(IF($M204=AB204,($D$8+$D$9+$D$10)*$I204,IF($N204=LEFT(AB204,1),($D$8+MAX(0,IF($D$50=1,$D$9*(1-(ABS($Q204-ABS(VALUE(MID(AB204,FIND("|",AB204)+1,FIND("-",AB204)-FIND("|",AB204)-1))-VALUE(MID(AB204,FIND("-",AB204)+1,10)))))*$D$50),$D$9*(1-(IF($N204="X",ABS($O204-VALUE(MID(AB204,FIND("|",AB204)+1,FIND("-",AB204)-FIND("|",AB204)-1))),ABS($Q204-ABS(VALUE(MID(AB204,FIND("|",AB204)+1,FIND("-",AB204)-FIND("|",AB204)-1))-VALUE(MID(AB204,FIND("-",AB204)+1,10)))))*$D$50)))))*$I204,0)),0)</f>
        <v>0</v>
      </c>
      <c r="AD204" s="404"/>
      <c r="AE204" s="398" t="s">
        <v>268</v>
      </c>
      <c r="AF204" s="356" t="n">
        <f aca="false">IFERROR(IF($M204=AE204,($D$8+$D$9+$D$10)*$I204,IF($N204=LEFT(AE204,1),($D$8+MAX(0,IF($D$50=1,$D$9*(1-(ABS($Q204-ABS(VALUE(MID(AE204,FIND("|",AE204)+1,FIND("-",AE204)-FIND("|",AE204)-1))-VALUE(MID(AE204,FIND("-",AE204)+1,10)))))*$D$50),$D$9*(1-(IF($N204="X",ABS($O204-VALUE(MID(AE204,FIND("|",AE204)+1,FIND("-",AE204)-FIND("|",AE204)-1))),ABS($Q204-ABS(VALUE(MID(AE204,FIND("|",AE204)+1,FIND("-",AE204)-FIND("|",AE204)-1))-VALUE(MID(AE204,FIND("-",AE204)+1,10)))))*$D$50)))))*$I204,0)),0)</f>
        <v>0</v>
      </c>
      <c r="AG204" s="404"/>
      <c r="AH204" s="363" t="s">
        <v>273</v>
      </c>
      <c r="AI204" s="356" t="n">
        <f aca="false">IFERROR(IF($M204=AH204,($D$8+$D$9+$D$10)*$I204,IF($N204=LEFT(AH204,1),($D$8+MAX(0,IF($D$50=1,$D$9*(1-(ABS($Q204-ABS(VALUE(MID(AH204,FIND("|",AH204)+1,FIND("-",AH204)-FIND("|",AH204)-1))-VALUE(MID(AH204,FIND("-",AH204)+1,10)))))*$D$50),$D$9*(1-(IF($N204="X",ABS($O204-VALUE(MID(AH204,FIND("|",AH204)+1,FIND("-",AH204)-FIND("|",AH204)-1))),ABS($Q204-ABS(VALUE(MID(AH204,FIND("|",AH204)+1,FIND("-",AH204)-FIND("|",AH204)-1))-VALUE(MID(AH204,FIND("-",AH204)+1,10)))))*$D$50)))))*$I204,0)),0)</f>
        <v>0</v>
      </c>
      <c r="AJ204" s="404"/>
      <c r="AK204" s="363" t="s">
        <v>268</v>
      </c>
      <c r="AL204" s="356" t="n">
        <f aca="false">IFERROR(IF($M204=AK204,($D$8+$D$9+$D$10)*$I204,IF($N204=LEFT(AK204,1),($D$8+MAX(0,IF($D$50=1,$D$9*(1-(ABS($Q204-ABS(VALUE(MID(AK204,FIND("|",AK204)+1,FIND("-",AK204)-FIND("|",AK204)-1))-VALUE(MID(AK204,FIND("-",AK204)+1,10)))))*$D$50),$D$9*(1-(IF($N204="X",ABS($O204-VALUE(MID(AK204,FIND("|",AK204)+1,FIND("-",AK204)-FIND("|",AK204)-1))),ABS($Q204-ABS(VALUE(MID(AK204,FIND("|",AK204)+1,FIND("-",AK204)-FIND("|",AK204)-1))-VALUE(MID(AK204,FIND("-",AK204)+1,10)))))*$D$50)))))*$I204,0)),0)</f>
        <v>0</v>
      </c>
      <c r="AM204" s="404"/>
      <c r="AN204" s="398" t="s">
        <v>268</v>
      </c>
      <c r="AO204" s="356" t="n">
        <f aca="false">IFERROR(IF($M204=AN204,($D$8+$D$9+$D$10)*$I204,IF($N204=LEFT(AN204,1),($D$8+MAX(0,IF($D$50=1,$D$9*(1-(ABS($Q204-ABS(VALUE(MID(AN204,FIND("|",AN204)+1,FIND("-",AN204)-FIND("|",AN204)-1))-VALUE(MID(AN204,FIND("-",AN204)+1,10)))))*$D$50),$D$9*(1-(IF($N204="X",ABS($O204-VALUE(MID(AN204,FIND("|",AN204)+1,FIND("-",AN204)-FIND("|",AN204)-1))),ABS($Q204-ABS(VALUE(MID(AN204,FIND("|",AN204)+1,FIND("-",AN204)-FIND("|",AN204)-1))-VALUE(MID(AN204,FIND("-",AN204)+1,10)))))*$D$50)))))*$I204,0)),0)</f>
        <v>0</v>
      </c>
      <c r="AP204" s="404"/>
      <c r="AQ204" s="398" t="s">
        <v>268</v>
      </c>
      <c r="AR204" s="356" t="n">
        <f aca="false">IFERROR(IF($M204=AQ204,($D$8+$D$9+$D$10)*$I204,IF($N204=LEFT(AQ204,1),($D$8+MAX(0,IF($D$50=1,$D$9*(1-(ABS($Q204-ABS(VALUE(MID(AQ204,FIND("|",AQ204)+1,FIND("-",AQ204)-FIND("|",AQ204)-1))-VALUE(MID(AQ204,FIND("-",AQ204)+1,10)))))*$D$50),$D$9*(1-(IF($N204="X",ABS($O204-VALUE(MID(AQ204,FIND("|",AQ204)+1,FIND("-",AQ204)-FIND("|",AQ204)-1))),ABS($Q204-ABS(VALUE(MID(AQ204,FIND("|",AQ204)+1,FIND("-",AQ204)-FIND("|",AQ204)-1))-VALUE(MID(AQ204,FIND("-",AQ204)+1,10)))))*$D$50)))))*$I204,0)),0)</f>
        <v>0</v>
      </c>
      <c r="AS204" s="404"/>
      <c r="AT204" s="398" t="s">
        <v>268</v>
      </c>
      <c r="AU204" s="356" t="n">
        <f aca="false">IFERROR(IF($M204=AT204,($D$8+$D$9+$D$10)*$I204,IF($N204=LEFT(AT204,1),($D$8+MAX(0,IF($D$50=1,$D$9*(1-(ABS($Q204-ABS(VALUE(MID(AT204,FIND("|",AT204)+1,FIND("-",AT204)-FIND("|",AT204)-1))-VALUE(MID(AT204,FIND("-",AT204)+1,10)))))*$D$50),$D$9*(1-(IF($N204="X",ABS($O204-VALUE(MID(AT204,FIND("|",AT204)+1,FIND("-",AT204)-FIND("|",AT204)-1))),ABS($Q204-ABS(VALUE(MID(AT204,FIND("|",AT204)+1,FIND("-",AT204)-FIND("|",AT204)-1))-VALUE(MID(AT204,FIND("-",AT204)+1,10)))))*$D$50)))))*$I204,0)),0)</f>
        <v>0</v>
      </c>
      <c r="AV204" s="404"/>
      <c r="AW204" s="363" t="s">
        <v>268</v>
      </c>
      <c r="AX204" s="356" t="n">
        <f aca="false">IFERROR(IF($M204=AW204,($D$8+$D$9+$D$10)*$I204,IF($N204=LEFT(AW204,1),($D$8+MAX(0,IF($D$50=1,$D$9*(1-(ABS($Q204-ABS(VALUE(MID(AW204,FIND("|",AW204)+1,FIND("-",AW204)-FIND("|",AW204)-1))-VALUE(MID(AW204,FIND("-",AW204)+1,10)))))*$D$50),$D$9*(1-(IF($N204="X",ABS($O204-VALUE(MID(AW204,FIND("|",AW204)+1,FIND("-",AW204)-FIND("|",AW204)-1))),ABS($Q204-ABS(VALUE(MID(AW204,FIND("|",AW204)+1,FIND("-",AW204)-FIND("|",AW204)-1))-VALUE(MID(AW204,FIND("-",AW204)+1,10)))))*$D$50)))))*$I204,0)),0)</f>
        <v>0</v>
      </c>
      <c r="AY204" s="404"/>
      <c r="AZ204" s="363" t="s">
        <v>277</v>
      </c>
      <c r="BA204" s="356" t="n">
        <f aca="false">IFERROR(IF($M204=AZ204,($D$8+$D$9+$D$10)*$I204,IF($N204=LEFT(AZ204,1),($D$8+MAX(0,IF($D$50=1,$D$9*(1-(ABS($Q204-ABS(VALUE(MID(AZ204,FIND("|",AZ204)+1,FIND("-",AZ204)-FIND("|",AZ204)-1))-VALUE(MID(AZ204,FIND("-",AZ204)+1,10)))))*$D$50),$D$9*(1-(IF($N204="X",ABS($O204-VALUE(MID(AZ204,FIND("|",AZ204)+1,FIND("-",AZ204)-FIND("|",AZ204)-1))),ABS($Q204-ABS(VALUE(MID(AZ204,FIND("|",AZ204)+1,FIND("-",AZ204)-FIND("|",AZ204)-1))-VALUE(MID(AZ204,FIND("-",AZ204)+1,10)))))*$D$50)))))*$I204,0)),0)</f>
        <v>0</v>
      </c>
      <c r="BB204" s="404"/>
      <c r="BC204" s="398" t="s">
        <v>273</v>
      </c>
      <c r="BD204" s="356" t="n">
        <f aca="false">IFERROR(IF($M204=BC204,($D$8+$D$9+$D$10)*$I204,IF($N204=LEFT(BC204,1),($D$8+MAX(0,IF($D$50=1,$D$9*(1-(ABS($Q204-ABS(VALUE(MID(BC204,FIND("|",BC204)+1,FIND("-",BC204)-FIND("|",BC204)-1))-VALUE(MID(BC204,FIND("-",BC204)+1,10)))))*$D$50),$D$9*(1-(IF($N204="X",ABS($O204-VALUE(MID(BC204,FIND("|",BC204)+1,FIND("-",BC204)-FIND("|",BC204)-1))),ABS($Q204-ABS(VALUE(MID(BC204,FIND("|",BC204)+1,FIND("-",BC204)-FIND("|",BC204)-1))-VALUE(MID(BC204,FIND("-",BC204)+1,10)))))*$D$50)))))*$I204,0)),0)</f>
        <v>0</v>
      </c>
      <c r="BE204" s="404"/>
      <c r="BF204" s="398" t="s">
        <v>274</v>
      </c>
      <c r="BG204" s="356" t="n">
        <f aca="false">IFERROR(IF($M204=BF204,($D$8+$D$9+$D$10)*$I204,IF($N204=LEFT(BF204,1),($D$8+MAX(0,IF($D$50=1,$D$9*(1-(ABS($Q204-ABS(VALUE(MID(BF204,FIND("|",BF204)+1,FIND("-",BF204)-FIND("|",BF204)-1))-VALUE(MID(BF204,FIND("-",BF204)+1,10)))))*$D$50),$D$9*(1-(IF($N204="X",ABS($O204-VALUE(MID(BF204,FIND("|",BF204)+1,FIND("-",BF204)-FIND("|",BF204)-1))),ABS($Q204-ABS(VALUE(MID(BF204,FIND("|",BF204)+1,FIND("-",BF204)-FIND("|",BF204)-1))-VALUE(MID(BF204,FIND("-",BF204)+1,10)))))*$D$50)))))*$I204,0)),0)</f>
        <v>0</v>
      </c>
      <c r="BH204" s="404"/>
      <c r="BI204" s="398" t="s">
        <v>268</v>
      </c>
      <c r="BJ204" s="356" t="n">
        <f aca="false">IFERROR(IF($M204=BI204,($D$8+$D$9+$D$10)*$I204,IF($N204=LEFT(BI204,1),($D$8+MAX(0,IF($D$50=1,$D$9*(1-(ABS($Q204-ABS(VALUE(MID(BI204,FIND("|",BI204)+1,FIND("-",BI204)-FIND("|",BI204)-1))-VALUE(MID(BI204,FIND("-",BI204)+1,10)))))*$D$50),$D$9*(1-(IF($N204="X",ABS($O204-VALUE(MID(BI204,FIND("|",BI204)+1,FIND("-",BI204)-FIND("|",BI204)-1))),ABS($Q204-ABS(VALUE(MID(BI204,FIND("|",BI204)+1,FIND("-",BI204)-FIND("|",BI204)-1))-VALUE(MID(BI204,FIND("-",BI204)+1,10)))))*$D$50)))))*$I204,0)),0)</f>
        <v>0</v>
      </c>
      <c r="BK204" s="404"/>
      <c r="BL204" s="363" t="s">
        <v>277</v>
      </c>
      <c r="BM204" s="356" t="n">
        <f aca="false">IFERROR(IF($M204=BL204,($D$8+$D$9+$D$10)*$I204,IF($N204=LEFT(BL204,1),($D$8+MAX(0,IF($D$50=1,$D$9*(1-(ABS($Q204-ABS(VALUE(MID(BL204,FIND("|",BL204)+1,FIND("-",BL204)-FIND("|",BL204)-1))-VALUE(MID(BL204,FIND("-",BL204)+1,10)))))*$D$50),$D$9*(1-(IF($N204="X",ABS($O204-VALUE(MID(BL204,FIND("|",BL204)+1,FIND("-",BL204)-FIND("|",BL204)-1))),ABS($Q204-ABS(VALUE(MID(BL204,FIND("|",BL204)+1,FIND("-",BL204)-FIND("|",BL204)-1))-VALUE(MID(BL204,FIND("-",BL204)+1,10)))))*$D$50)))))*$I204,0)),0)</f>
        <v>0</v>
      </c>
      <c r="BN204" s="404"/>
      <c r="BO204" s="363" t="s">
        <v>277</v>
      </c>
      <c r="BP204" s="356" t="n">
        <f aca="false">IFERROR(IF($M204=BO204,($D$8+$D$9+$D$10)*$I204,IF($N204=LEFT(BO204,1),($D$8+MAX(0,IF($D$50=1,$D$9*(1-(ABS($Q204-ABS(VALUE(MID(BO204,FIND("|",BO204)+1,FIND("-",BO204)-FIND("|",BO204)-1))-VALUE(MID(BO204,FIND("-",BO204)+1,10)))))*$D$50),$D$9*(1-(IF($N204="X",ABS($O204-VALUE(MID(BO204,FIND("|",BO204)+1,FIND("-",BO204)-FIND("|",BO204)-1))),ABS($Q204-ABS(VALUE(MID(BO204,FIND("|",BO204)+1,FIND("-",BO204)-FIND("|",BO204)-1))-VALUE(MID(BO204,FIND("-",BO204)+1,10)))))*$D$50)))))*$I204,0)),0)</f>
        <v>0</v>
      </c>
      <c r="BQ204" s="404"/>
      <c r="BR204" s="398" t="s">
        <v>268</v>
      </c>
      <c r="BS204" s="356" t="n">
        <f aca="false">IFERROR(IF($M204=BR204,($D$8+$D$9+$D$10)*$I204,IF($N204=LEFT(BR204,1),($D$8+MAX(0,IF($D$50=1,$D$9*(1-(ABS($Q204-ABS(VALUE(MID(BR204,FIND("|",BR204)+1,FIND("-",BR204)-FIND("|",BR204)-1))-VALUE(MID(BR204,FIND("-",BR204)+1,10)))))*$D$50),$D$9*(1-(IF($N204="X",ABS($O204-VALUE(MID(BR204,FIND("|",BR204)+1,FIND("-",BR204)-FIND("|",BR204)-1))),ABS($Q204-ABS(VALUE(MID(BR204,FIND("|",BR204)+1,FIND("-",BR204)-FIND("|",BR204)-1))-VALUE(MID(BR204,FIND("-",BR204)+1,10)))))*$D$50)))))*$I204,0)),0)</f>
        <v>0</v>
      </c>
      <c r="BT204" s="404"/>
      <c r="BU204" s="398"/>
      <c r="BV204" s="356" t="n">
        <f aca="false">IFERROR(IF($M204=BU204,($D$8+$D$9+$D$10)*$I204,IF($N204=LEFT(BU204,1),($D$8+MAX(0,IF($D$50=1,$D$9*(1-(ABS($Q204-ABS(VALUE(MID(BU204,FIND("|",BU204)+1,FIND("-",BU204)-FIND("|",BU204)-1))-VALUE(MID(BU204,FIND("-",BU204)+1,10)))))*$D$50),$D$9*(1-(IF($N204="X",ABS($O204-VALUE(MID(BU204,FIND("|",BU204)+1,FIND("-",BU204)-FIND("|",BU204)-1))),ABS($Q204-ABS(VALUE(MID(BU204,FIND("|",BU204)+1,FIND("-",BU204)-FIND("|",BU204)-1))-VALUE(MID(BU204,FIND("-",BU204)+1,10)))))*$D$50)))))*$I204,0)),0)</f>
        <v>0</v>
      </c>
      <c r="BW204" s="404"/>
      <c r="BX204" s="398"/>
      <c r="BY204" s="356" t="n">
        <f aca="false">IFERROR(IF($M204=BX204,($D$8+$D$9+$D$10)*$I204,IF($N204=LEFT(BX204,1),($D$8+MAX(0,IF($D$50=1,$D$9*(1-(ABS($Q204-ABS(VALUE(MID(BX204,FIND("|",BX204)+1,FIND("-",BX204)-FIND("|",BX204)-1))-VALUE(MID(BX204,FIND("-",BX204)+1,10)))))*$D$50),$D$9*(1-(IF($N204="X",ABS($O204-VALUE(MID(BX204,FIND("|",BX204)+1,FIND("-",BX204)-FIND("|",BX204)-1))),ABS($Q204-ABS(VALUE(MID(BX204,FIND("|",BX204)+1,FIND("-",BX204)-FIND("|",BX204)-1))-VALUE(MID(BX204,FIND("-",BX204)+1,10)))))*$D$50)))))*$I204,0)),0)</f>
        <v>0</v>
      </c>
      <c r="BZ204" s="404"/>
      <c r="CA204" s="363"/>
      <c r="CB204" s="356" t="n">
        <f aca="false">IFERROR(IF($M204=CA204,($D$8+$D$9+$D$10)*$I204,IF($N204=LEFT(CA204,1),($D$8+MAX(0,IF($D$50=1,$D$9*(1-(ABS($Q204-ABS(VALUE(MID(CA204,FIND("|",CA204)+1,FIND("-",CA204)-FIND("|",CA204)-1))-VALUE(MID(CA204,FIND("-",CA204)+1,10)))))*$D$50),$D$9*(1-(IF($N204="X",ABS($O204-VALUE(MID(CA204,FIND("|",CA204)+1,FIND("-",CA204)-FIND("|",CA204)-1))),ABS($Q204-ABS(VALUE(MID(CA204,FIND("|",CA204)+1,FIND("-",CA204)-FIND("|",CA204)-1))-VALUE(MID(CA204,FIND("-",CA204)+1,10)))))*$D$50)))))*$I204,0)),0)</f>
        <v>0</v>
      </c>
      <c r="CC204" s="404"/>
      <c r="CD204" s="363"/>
      <c r="CE204" s="356" t="n">
        <f aca="false">IFERROR(IF($M204=CD204,($D$8+$D$9+$D$10)*$I204,IF($N204=LEFT(CD204,1),($D$8+MAX(0,IF($D$50=1,$D$9*(1-(ABS($Q204-ABS(VALUE(MID(CD204,FIND("|",CD204)+1,FIND("-",CD204)-FIND("|",CD204)-1))-VALUE(MID(CD204,FIND("-",CD204)+1,10)))))*$D$50),$D$9*(1-(IF($N204="X",ABS($O204-VALUE(MID(CD204,FIND("|",CD204)+1,FIND("-",CD204)-FIND("|",CD204)-1))),ABS($Q204-ABS(VALUE(MID(CD204,FIND("|",CD204)+1,FIND("-",CD204)-FIND("|",CD204)-1))-VALUE(MID(CD204,FIND("-",CD204)+1,10)))))*$D$50)))))*$I204,0)),0)</f>
        <v>0</v>
      </c>
      <c r="CF204" s="404"/>
      <c r="CG204" s="398"/>
      <c r="CH204" s="356" t="n">
        <f aca="false">IFERROR(IF($M204=CG204,($D$8+$D$9+$D$10)*$I204,IF($N204=LEFT(CG204,1),($D$8+MAX(0,IF($D$50=1,$D$9*(1-(ABS($Q204-ABS(VALUE(MID(CG204,FIND("|",CG204)+1,FIND("-",CG204)-FIND("|",CG204)-1))-VALUE(MID(CG204,FIND("-",CG204)+1,10)))))*$D$50),$D$9*(1-(IF($N204="X",ABS($O204-VALUE(MID(CG204,FIND("|",CG204)+1,FIND("-",CG204)-FIND("|",CG204)-1))),ABS($Q204-ABS(VALUE(MID(CG204,FIND("|",CG204)+1,FIND("-",CG204)-FIND("|",CG204)-1))-VALUE(MID(CG204,FIND("-",CG204)+1,10)))))*$D$50)))))*$I204,0)),0)</f>
        <v>0</v>
      </c>
      <c r="CI204" s="404"/>
      <c r="CJ204" s="398"/>
      <c r="CK204" s="356" t="n">
        <f aca="false">IFERROR(IF($M204=CJ204,($D$8+$D$9+$D$10)*$I204,IF($N204=LEFT(CJ204,1),($D$8+MAX(0,IF($D$50=1,$D$9*(1-(ABS($Q204-ABS(VALUE(MID(CJ204,FIND("|",CJ204)+1,FIND("-",CJ204)-FIND("|",CJ204)-1))-VALUE(MID(CJ204,FIND("-",CJ204)+1,10)))))*$D$50),$D$9*(1-(IF($N204="X",ABS($O204-VALUE(MID(CJ204,FIND("|",CJ204)+1,FIND("-",CJ204)-FIND("|",CJ204)-1))),ABS($Q204-ABS(VALUE(MID(CJ204,FIND("|",CJ204)+1,FIND("-",CJ204)-FIND("|",CJ204)-1))-VALUE(MID(CJ204,FIND("-",CJ204)+1,10)))))*$D$50)))))*$I204,0)),0)</f>
        <v>0</v>
      </c>
      <c r="CL204" s="404"/>
      <c r="CM204" s="398"/>
      <c r="CN204" s="356" t="n">
        <f aca="false">IFERROR(IF($M204=CM204,($D$8+$D$9+$D$10)*$I204,IF($N204=LEFT(CM204,1),($D$8+MAX(0,IF($D$50=1,$D$9*(1-(ABS($Q204-ABS(VALUE(MID(CM204,FIND("|",CM204)+1,FIND("-",CM204)-FIND("|",CM204)-1))-VALUE(MID(CM204,FIND("-",CM204)+1,10)))))*$D$50),$D$9*(1-(IF($N204="X",ABS($O204-VALUE(MID(CM204,FIND("|",CM204)+1,FIND("-",CM204)-FIND("|",CM204)-1))),ABS($Q204-ABS(VALUE(MID(CM204,FIND("|",CM204)+1,FIND("-",CM204)-FIND("|",CM204)-1))-VALUE(MID(CM204,FIND("-",CM204)+1,10)))))*$D$50)))))*$I204,0)),0)</f>
        <v>0</v>
      </c>
      <c r="CO204" s="404"/>
      <c r="CP204" s="363"/>
      <c r="CQ204" s="356" t="n">
        <f aca="false">IFERROR(IF($M204=CP204,($D$8+$D$9+$D$10)*$I204,IF($N204=LEFT(CP204,1),($D$8+MAX(0,IF($D$50=1,$D$9*(1-(ABS($Q204-ABS(VALUE(MID(CP204,FIND("|",CP204)+1,FIND("-",CP204)-FIND("|",CP204)-1))-VALUE(MID(CP204,FIND("-",CP204)+1,10)))))*$D$50),$D$9*(1-(IF($N204="X",ABS($O204-VALUE(MID(CP204,FIND("|",CP204)+1,FIND("-",CP204)-FIND("|",CP204)-1))),ABS($Q204-ABS(VALUE(MID(CP204,FIND("|",CP204)+1,FIND("-",CP204)-FIND("|",CP204)-1))-VALUE(MID(CP204,FIND("-",CP204)+1,10)))))*$D$50)))))*$I204,0)),0)</f>
        <v>0</v>
      </c>
      <c r="CR204" s="404"/>
      <c r="CS204" s="363"/>
      <c r="CT204" s="356" t="n">
        <f aca="false">IFERROR(IF($M204=CS204,($D$8+$D$9+$D$10)*$I204,IF($N204=LEFT(CS204,1),($D$8+MAX(0,IF($D$50=1,$D$9*(1-(ABS($Q204-ABS(VALUE(MID(CS204,FIND("|",CS204)+1,FIND("-",CS204)-FIND("|",CS204)-1))-VALUE(MID(CS204,FIND("-",CS204)+1,10)))))*$D$50),$D$9*(1-(IF($N204="X",ABS($O204-VALUE(MID(CS204,FIND("|",CS204)+1,FIND("-",CS204)-FIND("|",CS204)-1))),ABS($Q204-ABS(VALUE(MID(CS204,FIND("|",CS204)+1,FIND("-",CS204)-FIND("|",CS204)-1))-VALUE(MID(CS204,FIND("-",CS204)+1,10)))))*$D$50)))))*$I204,0)),0)</f>
        <v>0</v>
      </c>
      <c r="CU204" s="404"/>
      <c r="CV204" s="398"/>
      <c r="CW204" s="356" t="n">
        <f aca="false">IFERROR(IF($M204=CV204,($D$8+$D$9+$D$10)*$I204,IF($N204=LEFT(CV204,1),($D$8+MAX(0,IF($D$50=1,$D$9*(1-(ABS($Q204-ABS(VALUE(MID(CV204,FIND("|",CV204)+1,FIND("-",CV204)-FIND("|",CV204)-1))-VALUE(MID(CV204,FIND("-",CV204)+1,10)))))*$D$50),$D$9*(1-(IF($N204="X",ABS($O204-VALUE(MID(CV204,FIND("|",CV204)+1,FIND("-",CV204)-FIND("|",CV204)-1))),ABS($Q204-ABS(VALUE(MID(CV204,FIND("|",CV204)+1,FIND("-",CV204)-FIND("|",CV204)-1))-VALUE(MID(CV204,FIND("-",CV204)+1,10)))))*$D$50)))))*$I204,0)),0)</f>
        <v>0</v>
      </c>
      <c r="CX204" s="404"/>
      <c r="CY204" s="398"/>
      <c r="CZ204" s="356" t="n">
        <f aca="false">IFERROR(IF($M204=CY204,($D$8+$D$9+$D$10)*$I204,IF($N204=LEFT(CY204,1),($D$8+MAX(0,IF($D$50=1,$D$9*(1-(ABS($Q204-ABS(VALUE(MID(CY204,FIND("|",CY204)+1,FIND("-",CY204)-FIND("|",CY204)-1))-VALUE(MID(CY204,FIND("-",CY204)+1,10)))))*$D$50),$D$9*(1-(IF($N204="X",ABS($O204-VALUE(MID(CY204,FIND("|",CY204)+1,FIND("-",CY204)-FIND("|",CY204)-1))),ABS($Q204-ABS(VALUE(MID(CY204,FIND("|",CY204)+1,FIND("-",CY204)-FIND("|",CY204)-1))-VALUE(MID(CY204,FIND("-",CY204)+1,10)))))*$D$50)))))*$I204,0)),0)</f>
        <v>0</v>
      </c>
      <c r="DA204" s="404"/>
      <c r="DB204" s="398"/>
      <c r="DC204" s="356" t="n">
        <f aca="false">IFERROR(IF($M204=DB204,($D$8+$D$9+$D$10)*$I204,IF($N204=LEFT(DB204,1),($D$8+MAX(0,IF($D$50=1,$D$9*(1-(ABS($Q204-ABS(VALUE(MID(DB204,FIND("|",DB204)+1,FIND("-",DB204)-FIND("|",DB204)-1))-VALUE(MID(DB204,FIND("-",DB204)+1,10)))))*$D$50),$D$9*(1-(IF($N204="X",ABS($O204-VALUE(MID(DB204,FIND("|",DB204)+1,FIND("-",DB204)-FIND("|",DB204)-1))),ABS($Q204-ABS(VALUE(MID(DB204,FIND("|",DB204)+1,FIND("-",DB204)-FIND("|",DB204)-1))-VALUE(MID(DB204,FIND("-",DB204)+1,10)))))*$D$50)))))*$I204,0)),0)</f>
        <v>0</v>
      </c>
      <c r="DD204" s="404"/>
      <c r="DE204" s="363"/>
      <c r="DF204" s="356" t="n">
        <f aca="false">IFERROR(IF($M204=DE204,($D$8+$D$9+$D$10)*$I204,IF($N204=LEFT(DE204,1),($D$8+MAX(0,IF($D$50=1,$D$9*(1-(ABS($Q204-ABS(VALUE(MID(DE204,FIND("|",DE204)+1,FIND("-",DE204)-FIND("|",DE204)-1))-VALUE(MID(DE204,FIND("-",DE204)+1,10)))))*$D$50),$D$9*(1-(IF($N204="X",ABS($O204-VALUE(MID(DE204,FIND("|",DE204)+1,FIND("-",DE204)-FIND("|",DE204)-1))),ABS($Q204-ABS(VALUE(MID(DE204,FIND("|",DE204)+1,FIND("-",DE204)-FIND("|",DE204)-1))-VALUE(MID(DE204,FIND("-",DE204)+1,10)))))*$D$50)))))*$I204,0)),0)</f>
        <v>0</v>
      </c>
      <c r="DG204" s="404"/>
      <c r="DH204" s="363"/>
      <c r="DI204" s="356" t="n">
        <f aca="false">IFERROR(IF($M204=DH204,($D$8+$D$9+$D$10)*$I204,IF($N204=LEFT(DH204,1),($D$8+MAX(0,IF($D$50=1,$D$9*(1-(ABS($Q204-ABS(VALUE(MID(DH204,FIND("|",DH204)+1,FIND("-",DH204)-FIND("|",DH204)-1))-VALUE(MID(DH204,FIND("-",DH204)+1,10)))))*$D$50),$D$9*(1-(IF($N204="X",ABS($O204-VALUE(MID(DH204,FIND("|",DH204)+1,FIND("-",DH204)-FIND("|",DH204)-1))),ABS($Q204-ABS(VALUE(MID(DH204,FIND("|",DH204)+1,FIND("-",DH204)-FIND("|",DH204)-1))-VALUE(MID(DH204,FIND("-",DH204)+1,10)))))*$D$50)))))*$I204,0)),0)</f>
        <v>0</v>
      </c>
      <c r="DJ204" s="404"/>
      <c r="DK204" s="398"/>
      <c r="DL204" s="356" t="n">
        <f aca="false">IFERROR(IF($M204=DK204,($D$8+$D$9+$D$10)*$I204,IF($N204=LEFT(DK204,1),($D$8+MAX(0,IF($D$50=1,$D$9*(1-(ABS($Q204-ABS(VALUE(MID(DK204,FIND("|",DK204)+1,FIND("-",DK204)-FIND("|",DK204)-1))-VALUE(MID(DK204,FIND("-",DK204)+1,10)))))*$D$50),$D$9*(1-(IF($N204="X",ABS($O204-VALUE(MID(DK204,FIND("|",DK204)+1,FIND("-",DK204)-FIND("|",DK204)-1))),ABS($Q204-ABS(VALUE(MID(DK204,FIND("|",DK204)+1,FIND("-",DK204)-FIND("|",DK204)-1))-VALUE(MID(DK204,FIND("-",DK204)+1,10)))))*$D$50)))))*$I204,0)),0)</f>
        <v>0</v>
      </c>
      <c r="DM204" s="404"/>
      <c r="DN204" s="398"/>
      <c r="DO204" s="356" t="n">
        <f aca="false">IFERROR(IF($M204=DN204,($D$8+$D$9+$D$10)*$I204,IF($N204=LEFT(DN204,1),($D$8+MAX(0,IF($D$50=1,$D$9*(1-(ABS($Q204-ABS(VALUE(MID(DN204,FIND("|",DN204)+1,FIND("-",DN204)-FIND("|",DN204)-1))-VALUE(MID(DN204,FIND("-",DN204)+1,10)))))*$D$50),$D$9*(1-(IF($N204="X",ABS($O204-VALUE(MID(DN204,FIND("|",DN204)+1,FIND("-",DN204)-FIND("|",DN204)-1))),ABS($Q204-ABS(VALUE(MID(DN204,FIND("|",DN204)+1,FIND("-",DN204)-FIND("|",DN204)-1))-VALUE(MID(DN204,FIND("-",DN204)+1,10)))))*$D$50)))))*$I204,0)),0)</f>
        <v>0</v>
      </c>
      <c r="DP204" s="404"/>
      <c r="DQ204" s="398"/>
      <c r="DR204" s="356" t="n">
        <f aca="false">IFERROR(IF($M204=DQ204,($D$8+$D$9+$D$10)*$I204,IF($N204=LEFT(DQ204,1),($D$8+MAX(0,IF($D$50=1,$D$9*(1-(ABS($Q204-ABS(VALUE(MID(DQ204,FIND("|",DQ204)+1,FIND("-",DQ204)-FIND("|",DQ204)-1))-VALUE(MID(DQ204,FIND("-",DQ204)+1,10)))))*$D$50),$D$9*(1-(IF($N204="X",ABS($O204-VALUE(MID(DQ204,FIND("|",DQ204)+1,FIND("-",DQ204)-FIND("|",DQ204)-1))),ABS($Q204-ABS(VALUE(MID(DQ204,FIND("|",DQ204)+1,FIND("-",DQ204)-FIND("|",DQ204)-1))-VALUE(MID(DQ204,FIND("-",DQ204)+1,10)))))*$D$50)))))*$I204,0)),0)</f>
        <v>0</v>
      </c>
      <c r="DS204" s="404"/>
      <c r="DT204" s="363"/>
      <c r="DU204" s="356" t="n">
        <f aca="false">IFERROR(IF($M204=DT204,($D$8+$D$9+$D$10)*$I204,IF($N204=LEFT(DT204,1),($D$8+MAX(0,IF($D$50=1,$D$9*(1-(ABS($Q204-ABS(VALUE(MID(DT204,FIND("|",DT204)+1,FIND("-",DT204)-FIND("|",DT204)-1))-VALUE(MID(DT204,FIND("-",DT204)+1,10)))))*$D$50),$D$9*(1-(IF($N204="X",ABS($O204-VALUE(MID(DT204,FIND("|",DT204)+1,FIND("-",DT204)-FIND("|",DT204)-1))),ABS($Q204-ABS(VALUE(MID(DT204,FIND("|",DT204)+1,FIND("-",DT204)-FIND("|",DT204)-1))-VALUE(MID(DT204,FIND("-",DT204)+1,10)))))*$D$50)))))*$I204,0)),0)</f>
        <v>0</v>
      </c>
      <c r="DV204" s="404"/>
      <c r="DW204" s="363"/>
      <c r="DX204" s="356" t="n">
        <f aca="false">IFERROR(IF($M204=DW204,($D$8+$D$9+$D$10)*$I204,IF($N204=LEFT(DW204,1),($D$8+MAX(0,IF($D$50=1,$D$9*(1-(ABS($Q204-ABS(VALUE(MID(DW204,FIND("|",DW204)+1,FIND("-",DW204)-FIND("|",DW204)-1))-VALUE(MID(DW204,FIND("-",DW204)+1,10)))))*$D$50),$D$9*(1-(IF($N204="X",ABS($O204-VALUE(MID(DW204,FIND("|",DW204)+1,FIND("-",DW204)-FIND("|",DW204)-1))),ABS($Q204-ABS(VALUE(MID(DW204,FIND("|",DW204)+1,FIND("-",DW204)-FIND("|",DW204)-1))-VALUE(MID(DW204,FIND("-",DW204)+1,10)))))*$D$50)))))*$I204,0)),0)</f>
        <v>0</v>
      </c>
      <c r="DY204" s="404"/>
      <c r="DZ204" s="398"/>
      <c r="EA204" s="356" t="n">
        <f aca="false">IFERROR(IF($M204=DZ204,($D$8+$D$9+$D$10)*$I204,IF($N204=LEFT(DZ204,1),($D$8+MAX(0,IF($D$50=1,$D$9*(1-(ABS($Q204-ABS(VALUE(MID(DZ204,FIND("|",DZ204)+1,FIND("-",DZ204)-FIND("|",DZ204)-1))-VALUE(MID(DZ204,FIND("-",DZ204)+1,10)))))*$D$50),$D$9*(1-(IF($N204="X",ABS($O204-VALUE(MID(DZ204,FIND("|",DZ204)+1,FIND("-",DZ204)-FIND("|",DZ204)-1))),ABS($Q204-ABS(VALUE(MID(DZ204,FIND("|",DZ204)+1,FIND("-",DZ204)-FIND("|",DZ204)-1))-VALUE(MID(DZ204,FIND("-",DZ204)+1,10)))))*$D$50)))))*$I204,0)),0)</f>
        <v>0</v>
      </c>
      <c r="EB204" s="404"/>
      <c r="EC204" s="398"/>
      <c r="ED204" s="356" t="n">
        <f aca="false">IFERROR(IF($M204=EC204,($D$8+$D$9+$D$10)*$I204,IF($N204=LEFT(EC204,1),($D$8+MAX(0,IF($D$50=1,$D$9*(1-(ABS($Q204-ABS(VALUE(MID(EC204,FIND("|",EC204)+1,FIND("-",EC204)-FIND("|",EC204)-1))-VALUE(MID(EC204,FIND("-",EC204)+1,10)))))*$D$50),$D$9*(1-(IF($N204="X",ABS($O204-VALUE(MID(EC204,FIND("|",EC204)+1,FIND("-",EC204)-FIND("|",EC204)-1))),ABS($Q204-ABS(VALUE(MID(EC204,FIND("|",EC204)+1,FIND("-",EC204)-FIND("|",EC204)-1))-VALUE(MID(EC204,FIND("-",EC204)+1,10)))))*$D$50)))))*$I204,0)),0)</f>
        <v>0</v>
      </c>
      <c r="EE204" s="404"/>
      <c r="EF204" s="398"/>
      <c r="EG204" s="356" t="n">
        <f aca="false">IFERROR(IF($M204=EF204,($D$8+$D$9+$D$10)*$I204,IF($N204=LEFT(EF204,1),($D$8+MAX(0,IF($D$50=1,$D$9*(1-(ABS($Q204-ABS(VALUE(MID(EF204,FIND("|",EF204)+1,FIND("-",EF204)-FIND("|",EF204)-1))-VALUE(MID(EF204,FIND("-",EF204)+1,10)))))*$D$50),$D$9*(1-(IF($N204="X",ABS($O204-VALUE(MID(EF204,FIND("|",EF204)+1,FIND("-",EF204)-FIND("|",EF204)-1))),ABS($Q204-ABS(VALUE(MID(EF204,FIND("|",EF204)+1,FIND("-",EF204)-FIND("|",EF204)-1))-VALUE(MID(EF204,FIND("-",EF204)+1,10)))))*$D$50)))))*$I204,0)),0)</f>
        <v>0</v>
      </c>
      <c r="EH204" s="404"/>
      <c r="EI204" s="404"/>
    </row>
    <row r="205" customFormat="false" ht="15" hidden="false" customHeight="false" outlineLevel="0" collapsed="false">
      <c r="A205" s="332" t="n">
        <f aca="false">WORLDCUP!AD125</f>
        <v>0</v>
      </c>
      <c r="B205" s="332" t="n">
        <f aca="false">WORLDCUP!AC125</f>
        <v>0</v>
      </c>
      <c r="C205" s="422" t="str">
        <f aca="false">CONCATENATE(WORLDCUP!AF125,"-",WORLDCUP!AA125)</f>
        <v>W82-W81</v>
      </c>
      <c r="D205" s="422" t="str">
        <f aca="false">IF(WORLDCUP!AC125&gt;WORLDCUP!AD125,2,IF(WORLDCUP!AC125&lt;WORLDCUP!AD125,1,IF(AND(WORLDCUP!AC125=WORLDCUP!AD125,WORLDCUP!AC125&lt;&gt;"",WORLDCUP!AD125&lt;&gt;""),0,"PD")))</f>
        <v>PD</v>
      </c>
      <c r="E205" s="422" t="str">
        <f aca="false">IF(OR(WORLDCUP!AD125="",WORLDCUP!AC125=""),"-",A205&amp;"-"&amp;B205)</f>
        <v>-</v>
      </c>
      <c r="F205" s="423" t="n">
        <f aca="false">SUM($D$20:$D$22)*I205</f>
        <v>17</v>
      </c>
      <c r="G205" s="423" t="n">
        <f aca="false">VLOOKUP(H205,Equipos!$Q$1:$R$25,2,0)</f>
        <v>21</v>
      </c>
      <c r="H205" s="410" t="str">
        <f aca="false">Idiomas!$D$261</f>
        <v>Octavos de final</v>
      </c>
      <c r="I205" s="425" t="n">
        <v>1</v>
      </c>
      <c r="J205" s="418"/>
      <c r="K205" s="367" t="str">
        <f aca="false">CONCATENATE(WORLDCUP!AA125,"-",WORLDCUP!AF125)</f>
        <v>W81-W82</v>
      </c>
      <c r="L205" s="354" t="str">
        <f aca="false">IF(OR(WORLDCUP!AC125="",WORLDCUP!AD125=""),"PD",IF(WORLDCUP!AC125&gt;WORLDCUP!AD125,1,IF(WORLDCUP!AC125&lt;WORLDCUP!AD125,2,0)))</f>
        <v>PD</v>
      </c>
      <c r="M205" s="359" t="str">
        <f aca="false">IF(OR(WORLDCUP!AC125="",WORLDCUP!AD125=""),"-",N205&amp;"|"&amp;O205&amp;"-"&amp;P205)</f>
        <v>-</v>
      </c>
      <c r="N205" s="332" t="str">
        <f aca="false">IF(OR(WORLDCUP!AC125="",WORLDCUP!AD125=""),"",IF(WORLDCUP!AC125&gt;WORLDCUP!AD125,"1",IF(WORLDCUP!AC125&lt;WORLDCUP!AD125,"2","X")))</f>
        <v/>
      </c>
      <c r="O205" s="332" t="n">
        <f aca="false">WORLDCUP!AC125</f>
        <v>0</v>
      </c>
      <c r="P205" s="332" t="n">
        <f aca="false">WORLDCUP!AD125</f>
        <v>0</v>
      </c>
      <c r="Q205" s="332" t="n">
        <f aca="false">ABS(O205-P205)</f>
        <v>0</v>
      </c>
      <c r="R205" s="404"/>
      <c r="S205" s="363" t="s">
        <v>266</v>
      </c>
      <c r="T205" s="356" t="n">
        <f aca="false">IFERROR(IF($M205=S205,($D$8+$D$9+$D$10)*$I205,IF($N205=LEFT(S205,1),($D$8+MAX(0,IF($D$50=1,$D$9*(1-(ABS($Q205-ABS(VALUE(MID(S205,FIND("|",S205)+1,FIND("-",S205)-FIND("|",S205)-1))-VALUE(MID(S205,FIND("-",S205)+1,10)))))*$D$50),$D$9*(1-(IF($N205="X",ABS($O205-VALUE(MID(S205,FIND("|",S205)+1,FIND("-",S205)-FIND("|",S205)-1))),ABS($Q205-ABS(VALUE(MID(S205,FIND("|",S205)+1,FIND("-",S205)-FIND("|",S205)-1))-VALUE(MID(S205,FIND("-",S205)+1,10)))))*$D$50)))))*$I205,0)),0)</f>
        <v>0</v>
      </c>
      <c r="U205" s="404"/>
      <c r="V205" s="363" t="s">
        <v>269</v>
      </c>
      <c r="W205" s="356" t="n">
        <f aca="false">IFERROR(IF($M205=V205,($D$8+$D$9+$D$10)*$I205,IF($N205=LEFT(V205,1),($D$8+MAX(0,IF($D$50=1,$D$9*(1-(ABS($Q205-ABS(VALUE(MID(V205,FIND("|",V205)+1,FIND("-",V205)-FIND("|",V205)-1))-VALUE(MID(V205,FIND("-",V205)+1,10)))))*$D$50),$D$9*(1-(IF($N205="X",ABS($O205-VALUE(MID(V205,FIND("|",V205)+1,FIND("-",V205)-FIND("|",V205)-1))),ABS($Q205-ABS(VALUE(MID(V205,FIND("|",V205)+1,FIND("-",V205)-FIND("|",V205)-1))-VALUE(MID(V205,FIND("-",V205)+1,10)))))*$D$50)))))*$I205,0)),0)</f>
        <v>0</v>
      </c>
      <c r="X205" s="404"/>
      <c r="Y205" s="398" t="s">
        <v>274</v>
      </c>
      <c r="Z205" s="356" t="n">
        <f aca="false">IFERROR(IF($M205=Y205,($D$8+$D$9+$D$10)*$I205,IF($N205=LEFT(Y205,1),($D$8+MAX(0,IF($D$50=1,$D$9*(1-(ABS($Q205-ABS(VALUE(MID(Y205,FIND("|",Y205)+1,FIND("-",Y205)-FIND("|",Y205)-1))-VALUE(MID(Y205,FIND("-",Y205)+1,10)))))*$D$50),$D$9*(1-(IF($N205="X",ABS($O205-VALUE(MID(Y205,FIND("|",Y205)+1,FIND("-",Y205)-FIND("|",Y205)-1))),ABS($Q205-ABS(VALUE(MID(Y205,FIND("|",Y205)+1,FIND("-",Y205)-FIND("|",Y205)-1))-VALUE(MID(Y205,FIND("-",Y205)+1,10)))))*$D$50)))))*$I205,0)),0)</f>
        <v>0</v>
      </c>
      <c r="AA205" s="404"/>
      <c r="AB205" s="398" t="s">
        <v>269</v>
      </c>
      <c r="AC205" s="356" t="n">
        <f aca="false">IFERROR(IF($M205=AB205,($D$8+$D$9+$D$10)*$I205,IF($N205=LEFT(AB205,1),($D$8+MAX(0,IF($D$50=1,$D$9*(1-(ABS($Q205-ABS(VALUE(MID(AB205,FIND("|",AB205)+1,FIND("-",AB205)-FIND("|",AB205)-1))-VALUE(MID(AB205,FIND("-",AB205)+1,10)))))*$D$50),$D$9*(1-(IF($N205="X",ABS($O205-VALUE(MID(AB205,FIND("|",AB205)+1,FIND("-",AB205)-FIND("|",AB205)-1))),ABS($Q205-ABS(VALUE(MID(AB205,FIND("|",AB205)+1,FIND("-",AB205)-FIND("|",AB205)-1))-VALUE(MID(AB205,FIND("-",AB205)+1,10)))))*$D$50)))))*$I205,0)),0)</f>
        <v>0</v>
      </c>
      <c r="AD205" s="404"/>
      <c r="AE205" s="398" t="s">
        <v>268</v>
      </c>
      <c r="AF205" s="356" t="n">
        <f aca="false">IFERROR(IF($M205=AE205,($D$8+$D$9+$D$10)*$I205,IF($N205=LEFT(AE205,1),($D$8+MAX(0,IF($D$50=1,$D$9*(1-(ABS($Q205-ABS(VALUE(MID(AE205,FIND("|",AE205)+1,FIND("-",AE205)-FIND("|",AE205)-1))-VALUE(MID(AE205,FIND("-",AE205)+1,10)))))*$D$50),$D$9*(1-(IF($N205="X",ABS($O205-VALUE(MID(AE205,FIND("|",AE205)+1,FIND("-",AE205)-FIND("|",AE205)-1))),ABS($Q205-ABS(VALUE(MID(AE205,FIND("|",AE205)+1,FIND("-",AE205)-FIND("|",AE205)-1))-VALUE(MID(AE205,FIND("-",AE205)+1,10)))))*$D$50)))))*$I205,0)),0)</f>
        <v>0</v>
      </c>
      <c r="AG205" s="404"/>
      <c r="AH205" s="363" t="s">
        <v>268</v>
      </c>
      <c r="AI205" s="356" t="n">
        <f aca="false">IFERROR(IF($M205=AH205,($D$8+$D$9+$D$10)*$I205,IF($N205=LEFT(AH205,1),($D$8+MAX(0,IF($D$50=1,$D$9*(1-(ABS($Q205-ABS(VALUE(MID(AH205,FIND("|",AH205)+1,FIND("-",AH205)-FIND("|",AH205)-1))-VALUE(MID(AH205,FIND("-",AH205)+1,10)))))*$D$50),$D$9*(1-(IF($N205="X",ABS($O205-VALUE(MID(AH205,FIND("|",AH205)+1,FIND("-",AH205)-FIND("|",AH205)-1))),ABS($Q205-ABS(VALUE(MID(AH205,FIND("|",AH205)+1,FIND("-",AH205)-FIND("|",AH205)-1))-VALUE(MID(AH205,FIND("-",AH205)+1,10)))))*$D$50)))))*$I205,0)),0)</f>
        <v>0</v>
      </c>
      <c r="AJ205" s="404"/>
      <c r="AK205" s="363" t="s">
        <v>268</v>
      </c>
      <c r="AL205" s="356" t="n">
        <f aca="false">IFERROR(IF($M205=AK205,($D$8+$D$9+$D$10)*$I205,IF($N205=LEFT(AK205,1),($D$8+MAX(0,IF($D$50=1,$D$9*(1-(ABS($Q205-ABS(VALUE(MID(AK205,FIND("|",AK205)+1,FIND("-",AK205)-FIND("|",AK205)-1))-VALUE(MID(AK205,FIND("-",AK205)+1,10)))))*$D$50),$D$9*(1-(IF($N205="X",ABS($O205-VALUE(MID(AK205,FIND("|",AK205)+1,FIND("-",AK205)-FIND("|",AK205)-1))),ABS($Q205-ABS(VALUE(MID(AK205,FIND("|",AK205)+1,FIND("-",AK205)-FIND("|",AK205)-1))-VALUE(MID(AK205,FIND("-",AK205)+1,10)))))*$D$50)))))*$I205,0)),0)</f>
        <v>0</v>
      </c>
      <c r="AM205" s="404"/>
      <c r="AN205" s="398" t="s">
        <v>267</v>
      </c>
      <c r="AO205" s="356" t="n">
        <f aca="false">IFERROR(IF($M205=AN205,($D$8+$D$9+$D$10)*$I205,IF($N205=LEFT(AN205,1),($D$8+MAX(0,IF($D$50=1,$D$9*(1-(ABS($Q205-ABS(VALUE(MID(AN205,FIND("|",AN205)+1,FIND("-",AN205)-FIND("|",AN205)-1))-VALUE(MID(AN205,FIND("-",AN205)+1,10)))))*$D$50),$D$9*(1-(IF($N205="X",ABS($O205-VALUE(MID(AN205,FIND("|",AN205)+1,FIND("-",AN205)-FIND("|",AN205)-1))),ABS($Q205-ABS(VALUE(MID(AN205,FIND("|",AN205)+1,FIND("-",AN205)-FIND("|",AN205)-1))-VALUE(MID(AN205,FIND("-",AN205)+1,10)))))*$D$50)))))*$I205,0)),0)</f>
        <v>0</v>
      </c>
      <c r="AP205" s="404"/>
      <c r="AQ205" s="398" t="s">
        <v>277</v>
      </c>
      <c r="AR205" s="356" t="n">
        <f aca="false">IFERROR(IF($M205=AQ205,($D$8+$D$9+$D$10)*$I205,IF($N205=LEFT(AQ205,1),($D$8+MAX(0,IF($D$50=1,$D$9*(1-(ABS($Q205-ABS(VALUE(MID(AQ205,FIND("|",AQ205)+1,FIND("-",AQ205)-FIND("|",AQ205)-1))-VALUE(MID(AQ205,FIND("-",AQ205)+1,10)))))*$D$50),$D$9*(1-(IF($N205="X",ABS($O205-VALUE(MID(AQ205,FIND("|",AQ205)+1,FIND("-",AQ205)-FIND("|",AQ205)-1))),ABS($Q205-ABS(VALUE(MID(AQ205,FIND("|",AQ205)+1,FIND("-",AQ205)-FIND("|",AQ205)-1))-VALUE(MID(AQ205,FIND("-",AQ205)+1,10)))))*$D$50)))))*$I205,0)),0)</f>
        <v>0</v>
      </c>
      <c r="AS205" s="404"/>
      <c r="AT205" s="398" t="s">
        <v>267</v>
      </c>
      <c r="AU205" s="356" t="n">
        <f aca="false">IFERROR(IF($M205=AT205,($D$8+$D$9+$D$10)*$I205,IF($N205=LEFT(AT205,1),($D$8+MAX(0,IF($D$50=1,$D$9*(1-(ABS($Q205-ABS(VALUE(MID(AT205,FIND("|",AT205)+1,FIND("-",AT205)-FIND("|",AT205)-1))-VALUE(MID(AT205,FIND("-",AT205)+1,10)))))*$D$50),$D$9*(1-(IF($N205="X",ABS($O205-VALUE(MID(AT205,FIND("|",AT205)+1,FIND("-",AT205)-FIND("|",AT205)-1))),ABS($Q205-ABS(VALUE(MID(AT205,FIND("|",AT205)+1,FIND("-",AT205)-FIND("|",AT205)-1))-VALUE(MID(AT205,FIND("-",AT205)+1,10)))))*$D$50)))))*$I205,0)),0)</f>
        <v>0</v>
      </c>
      <c r="AV205" s="404"/>
      <c r="AW205" s="363" t="s">
        <v>268</v>
      </c>
      <c r="AX205" s="356" t="n">
        <f aca="false">IFERROR(IF($M205=AW205,($D$8+$D$9+$D$10)*$I205,IF($N205=LEFT(AW205,1),($D$8+MAX(0,IF($D$50=1,$D$9*(1-(ABS($Q205-ABS(VALUE(MID(AW205,FIND("|",AW205)+1,FIND("-",AW205)-FIND("|",AW205)-1))-VALUE(MID(AW205,FIND("-",AW205)+1,10)))))*$D$50),$D$9*(1-(IF($N205="X",ABS($O205-VALUE(MID(AW205,FIND("|",AW205)+1,FIND("-",AW205)-FIND("|",AW205)-1))),ABS($Q205-ABS(VALUE(MID(AW205,FIND("|",AW205)+1,FIND("-",AW205)-FIND("|",AW205)-1))-VALUE(MID(AW205,FIND("-",AW205)+1,10)))))*$D$50)))))*$I205,0)),0)</f>
        <v>0</v>
      </c>
      <c r="AY205" s="404"/>
      <c r="AZ205" s="363" t="s">
        <v>268</v>
      </c>
      <c r="BA205" s="356" t="n">
        <f aca="false">IFERROR(IF($M205=AZ205,($D$8+$D$9+$D$10)*$I205,IF($N205=LEFT(AZ205,1),($D$8+MAX(0,IF($D$50=1,$D$9*(1-(ABS($Q205-ABS(VALUE(MID(AZ205,FIND("|",AZ205)+1,FIND("-",AZ205)-FIND("|",AZ205)-1))-VALUE(MID(AZ205,FIND("-",AZ205)+1,10)))))*$D$50),$D$9*(1-(IF($N205="X",ABS($O205-VALUE(MID(AZ205,FIND("|",AZ205)+1,FIND("-",AZ205)-FIND("|",AZ205)-1))),ABS($Q205-ABS(VALUE(MID(AZ205,FIND("|",AZ205)+1,FIND("-",AZ205)-FIND("|",AZ205)-1))-VALUE(MID(AZ205,FIND("-",AZ205)+1,10)))))*$D$50)))))*$I205,0)),0)</f>
        <v>0</v>
      </c>
      <c r="BB205" s="404"/>
      <c r="BC205" s="398" t="s">
        <v>267</v>
      </c>
      <c r="BD205" s="356" t="n">
        <f aca="false">IFERROR(IF($M205=BC205,($D$8+$D$9+$D$10)*$I205,IF($N205=LEFT(BC205,1),($D$8+MAX(0,IF($D$50=1,$D$9*(1-(ABS($Q205-ABS(VALUE(MID(BC205,FIND("|",BC205)+1,FIND("-",BC205)-FIND("|",BC205)-1))-VALUE(MID(BC205,FIND("-",BC205)+1,10)))))*$D$50),$D$9*(1-(IF($N205="X",ABS($O205-VALUE(MID(BC205,FIND("|",BC205)+1,FIND("-",BC205)-FIND("|",BC205)-1))),ABS($Q205-ABS(VALUE(MID(BC205,FIND("|",BC205)+1,FIND("-",BC205)-FIND("|",BC205)-1))-VALUE(MID(BC205,FIND("-",BC205)+1,10)))))*$D$50)))))*$I205,0)),0)</f>
        <v>0</v>
      </c>
      <c r="BE205" s="404"/>
      <c r="BF205" s="398" t="s">
        <v>273</v>
      </c>
      <c r="BG205" s="356" t="n">
        <f aca="false">IFERROR(IF($M205=BF205,($D$8+$D$9+$D$10)*$I205,IF($N205=LEFT(BF205,1),($D$8+MAX(0,IF($D$50=1,$D$9*(1-(ABS($Q205-ABS(VALUE(MID(BF205,FIND("|",BF205)+1,FIND("-",BF205)-FIND("|",BF205)-1))-VALUE(MID(BF205,FIND("-",BF205)+1,10)))))*$D$50),$D$9*(1-(IF($N205="X",ABS($O205-VALUE(MID(BF205,FIND("|",BF205)+1,FIND("-",BF205)-FIND("|",BF205)-1))),ABS($Q205-ABS(VALUE(MID(BF205,FIND("|",BF205)+1,FIND("-",BF205)-FIND("|",BF205)-1))-VALUE(MID(BF205,FIND("-",BF205)+1,10)))))*$D$50)))))*$I205,0)),0)</f>
        <v>0</v>
      </c>
      <c r="BH205" s="404"/>
      <c r="BI205" s="398" t="s">
        <v>267</v>
      </c>
      <c r="BJ205" s="356" t="n">
        <f aca="false">IFERROR(IF($M205=BI205,($D$8+$D$9+$D$10)*$I205,IF($N205=LEFT(BI205,1),($D$8+MAX(0,IF($D$50=1,$D$9*(1-(ABS($Q205-ABS(VALUE(MID(BI205,FIND("|",BI205)+1,FIND("-",BI205)-FIND("|",BI205)-1))-VALUE(MID(BI205,FIND("-",BI205)+1,10)))))*$D$50),$D$9*(1-(IF($N205="X",ABS($O205-VALUE(MID(BI205,FIND("|",BI205)+1,FIND("-",BI205)-FIND("|",BI205)-1))),ABS($Q205-ABS(VALUE(MID(BI205,FIND("|",BI205)+1,FIND("-",BI205)-FIND("|",BI205)-1))-VALUE(MID(BI205,FIND("-",BI205)+1,10)))))*$D$50)))))*$I205,0)),0)</f>
        <v>0</v>
      </c>
      <c r="BK205" s="404"/>
      <c r="BL205" s="363" t="s">
        <v>268</v>
      </c>
      <c r="BM205" s="356" t="n">
        <f aca="false">IFERROR(IF($M205=BL205,($D$8+$D$9+$D$10)*$I205,IF($N205=LEFT(BL205,1),($D$8+MAX(0,IF($D$50=1,$D$9*(1-(ABS($Q205-ABS(VALUE(MID(BL205,FIND("|",BL205)+1,FIND("-",BL205)-FIND("|",BL205)-1))-VALUE(MID(BL205,FIND("-",BL205)+1,10)))))*$D$50),$D$9*(1-(IF($N205="X",ABS($O205-VALUE(MID(BL205,FIND("|",BL205)+1,FIND("-",BL205)-FIND("|",BL205)-1))),ABS($Q205-ABS(VALUE(MID(BL205,FIND("|",BL205)+1,FIND("-",BL205)-FIND("|",BL205)-1))-VALUE(MID(BL205,FIND("-",BL205)+1,10)))))*$D$50)))))*$I205,0)),0)</f>
        <v>0</v>
      </c>
      <c r="BN205" s="404"/>
      <c r="BO205" s="363" t="s">
        <v>268</v>
      </c>
      <c r="BP205" s="356" t="n">
        <f aca="false">IFERROR(IF($M205=BO205,($D$8+$D$9+$D$10)*$I205,IF($N205=LEFT(BO205,1),($D$8+MAX(0,IF($D$50=1,$D$9*(1-(ABS($Q205-ABS(VALUE(MID(BO205,FIND("|",BO205)+1,FIND("-",BO205)-FIND("|",BO205)-1))-VALUE(MID(BO205,FIND("-",BO205)+1,10)))))*$D$50),$D$9*(1-(IF($N205="X",ABS($O205-VALUE(MID(BO205,FIND("|",BO205)+1,FIND("-",BO205)-FIND("|",BO205)-1))),ABS($Q205-ABS(VALUE(MID(BO205,FIND("|",BO205)+1,FIND("-",BO205)-FIND("|",BO205)-1))-VALUE(MID(BO205,FIND("-",BO205)+1,10)))))*$D$50)))))*$I205,0)),0)</f>
        <v>0</v>
      </c>
      <c r="BQ205" s="404"/>
      <c r="BR205" s="398" t="s">
        <v>268</v>
      </c>
      <c r="BS205" s="356" t="n">
        <f aca="false">IFERROR(IF($M205=BR205,($D$8+$D$9+$D$10)*$I205,IF($N205=LEFT(BR205,1),($D$8+MAX(0,IF($D$50=1,$D$9*(1-(ABS($Q205-ABS(VALUE(MID(BR205,FIND("|",BR205)+1,FIND("-",BR205)-FIND("|",BR205)-1))-VALUE(MID(BR205,FIND("-",BR205)+1,10)))))*$D$50),$D$9*(1-(IF($N205="X",ABS($O205-VALUE(MID(BR205,FIND("|",BR205)+1,FIND("-",BR205)-FIND("|",BR205)-1))),ABS($Q205-ABS(VALUE(MID(BR205,FIND("|",BR205)+1,FIND("-",BR205)-FIND("|",BR205)-1))-VALUE(MID(BR205,FIND("-",BR205)+1,10)))))*$D$50)))))*$I205,0)),0)</f>
        <v>0</v>
      </c>
      <c r="BT205" s="404"/>
      <c r="BU205" s="398"/>
      <c r="BV205" s="356" t="n">
        <f aca="false">IFERROR(IF($M205=BU205,($D$8+$D$9+$D$10)*$I205,IF($N205=LEFT(BU205,1),($D$8+MAX(0,IF($D$50=1,$D$9*(1-(ABS($Q205-ABS(VALUE(MID(BU205,FIND("|",BU205)+1,FIND("-",BU205)-FIND("|",BU205)-1))-VALUE(MID(BU205,FIND("-",BU205)+1,10)))))*$D$50),$D$9*(1-(IF($N205="X",ABS($O205-VALUE(MID(BU205,FIND("|",BU205)+1,FIND("-",BU205)-FIND("|",BU205)-1))),ABS($Q205-ABS(VALUE(MID(BU205,FIND("|",BU205)+1,FIND("-",BU205)-FIND("|",BU205)-1))-VALUE(MID(BU205,FIND("-",BU205)+1,10)))))*$D$50)))))*$I205,0)),0)</f>
        <v>0</v>
      </c>
      <c r="BW205" s="404"/>
      <c r="BX205" s="398"/>
      <c r="BY205" s="356" t="n">
        <f aca="false">IFERROR(IF($M205=BX205,($D$8+$D$9+$D$10)*$I205,IF($N205=LEFT(BX205,1),($D$8+MAX(0,IF($D$50=1,$D$9*(1-(ABS($Q205-ABS(VALUE(MID(BX205,FIND("|",BX205)+1,FIND("-",BX205)-FIND("|",BX205)-1))-VALUE(MID(BX205,FIND("-",BX205)+1,10)))))*$D$50),$D$9*(1-(IF($N205="X",ABS($O205-VALUE(MID(BX205,FIND("|",BX205)+1,FIND("-",BX205)-FIND("|",BX205)-1))),ABS($Q205-ABS(VALUE(MID(BX205,FIND("|",BX205)+1,FIND("-",BX205)-FIND("|",BX205)-1))-VALUE(MID(BX205,FIND("-",BX205)+1,10)))))*$D$50)))))*$I205,0)),0)</f>
        <v>0</v>
      </c>
      <c r="BZ205" s="404"/>
      <c r="CA205" s="363"/>
      <c r="CB205" s="356" t="n">
        <f aca="false">IFERROR(IF($M205=CA205,($D$8+$D$9+$D$10)*$I205,IF($N205=LEFT(CA205,1),($D$8+MAX(0,IF($D$50=1,$D$9*(1-(ABS($Q205-ABS(VALUE(MID(CA205,FIND("|",CA205)+1,FIND("-",CA205)-FIND("|",CA205)-1))-VALUE(MID(CA205,FIND("-",CA205)+1,10)))))*$D$50),$D$9*(1-(IF($N205="X",ABS($O205-VALUE(MID(CA205,FIND("|",CA205)+1,FIND("-",CA205)-FIND("|",CA205)-1))),ABS($Q205-ABS(VALUE(MID(CA205,FIND("|",CA205)+1,FIND("-",CA205)-FIND("|",CA205)-1))-VALUE(MID(CA205,FIND("-",CA205)+1,10)))))*$D$50)))))*$I205,0)),0)</f>
        <v>0</v>
      </c>
      <c r="CC205" s="404"/>
      <c r="CD205" s="363"/>
      <c r="CE205" s="356" t="n">
        <f aca="false">IFERROR(IF($M205=CD205,($D$8+$D$9+$D$10)*$I205,IF($N205=LEFT(CD205,1),($D$8+MAX(0,IF($D$50=1,$D$9*(1-(ABS($Q205-ABS(VALUE(MID(CD205,FIND("|",CD205)+1,FIND("-",CD205)-FIND("|",CD205)-1))-VALUE(MID(CD205,FIND("-",CD205)+1,10)))))*$D$50),$D$9*(1-(IF($N205="X",ABS($O205-VALUE(MID(CD205,FIND("|",CD205)+1,FIND("-",CD205)-FIND("|",CD205)-1))),ABS($Q205-ABS(VALUE(MID(CD205,FIND("|",CD205)+1,FIND("-",CD205)-FIND("|",CD205)-1))-VALUE(MID(CD205,FIND("-",CD205)+1,10)))))*$D$50)))))*$I205,0)),0)</f>
        <v>0</v>
      </c>
      <c r="CF205" s="404"/>
      <c r="CG205" s="398"/>
      <c r="CH205" s="356" t="n">
        <f aca="false">IFERROR(IF($M205=CG205,($D$8+$D$9+$D$10)*$I205,IF($N205=LEFT(CG205,1),($D$8+MAX(0,IF($D$50=1,$D$9*(1-(ABS($Q205-ABS(VALUE(MID(CG205,FIND("|",CG205)+1,FIND("-",CG205)-FIND("|",CG205)-1))-VALUE(MID(CG205,FIND("-",CG205)+1,10)))))*$D$50),$D$9*(1-(IF($N205="X",ABS($O205-VALUE(MID(CG205,FIND("|",CG205)+1,FIND("-",CG205)-FIND("|",CG205)-1))),ABS($Q205-ABS(VALUE(MID(CG205,FIND("|",CG205)+1,FIND("-",CG205)-FIND("|",CG205)-1))-VALUE(MID(CG205,FIND("-",CG205)+1,10)))))*$D$50)))))*$I205,0)),0)</f>
        <v>0</v>
      </c>
      <c r="CI205" s="404"/>
      <c r="CJ205" s="398"/>
      <c r="CK205" s="356" t="n">
        <f aca="false">IFERROR(IF($M205=CJ205,($D$8+$D$9+$D$10)*$I205,IF($N205=LEFT(CJ205,1),($D$8+MAX(0,IF($D$50=1,$D$9*(1-(ABS($Q205-ABS(VALUE(MID(CJ205,FIND("|",CJ205)+1,FIND("-",CJ205)-FIND("|",CJ205)-1))-VALUE(MID(CJ205,FIND("-",CJ205)+1,10)))))*$D$50),$D$9*(1-(IF($N205="X",ABS($O205-VALUE(MID(CJ205,FIND("|",CJ205)+1,FIND("-",CJ205)-FIND("|",CJ205)-1))),ABS($Q205-ABS(VALUE(MID(CJ205,FIND("|",CJ205)+1,FIND("-",CJ205)-FIND("|",CJ205)-1))-VALUE(MID(CJ205,FIND("-",CJ205)+1,10)))))*$D$50)))))*$I205,0)),0)</f>
        <v>0</v>
      </c>
      <c r="CL205" s="404"/>
      <c r="CM205" s="398"/>
      <c r="CN205" s="356" t="n">
        <f aca="false">IFERROR(IF($M205=CM205,($D$8+$D$9+$D$10)*$I205,IF($N205=LEFT(CM205,1),($D$8+MAX(0,IF($D$50=1,$D$9*(1-(ABS($Q205-ABS(VALUE(MID(CM205,FIND("|",CM205)+1,FIND("-",CM205)-FIND("|",CM205)-1))-VALUE(MID(CM205,FIND("-",CM205)+1,10)))))*$D$50),$D$9*(1-(IF($N205="X",ABS($O205-VALUE(MID(CM205,FIND("|",CM205)+1,FIND("-",CM205)-FIND("|",CM205)-1))),ABS($Q205-ABS(VALUE(MID(CM205,FIND("|",CM205)+1,FIND("-",CM205)-FIND("|",CM205)-1))-VALUE(MID(CM205,FIND("-",CM205)+1,10)))))*$D$50)))))*$I205,0)),0)</f>
        <v>0</v>
      </c>
      <c r="CO205" s="404"/>
      <c r="CP205" s="363"/>
      <c r="CQ205" s="356" t="n">
        <f aca="false">IFERROR(IF($M205=CP205,($D$8+$D$9+$D$10)*$I205,IF($N205=LEFT(CP205,1),($D$8+MAX(0,IF($D$50=1,$D$9*(1-(ABS($Q205-ABS(VALUE(MID(CP205,FIND("|",CP205)+1,FIND("-",CP205)-FIND("|",CP205)-1))-VALUE(MID(CP205,FIND("-",CP205)+1,10)))))*$D$50),$D$9*(1-(IF($N205="X",ABS($O205-VALUE(MID(CP205,FIND("|",CP205)+1,FIND("-",CP205)-FIND("|",CP205)-1))),ABS($Q205-ABS(VALUE(MID(CP205,FIND("|",CP205)+1,FIND("-",CP205)-FIND("|",CP205)-1))-VALUE(MID(CP205,FIND("-",CP205)+1,10)))))*$D$50)))))*$I205,0)),0)</f>
        <v>0</v>
      </c>
      <c r="CR205" s="404"/>
      <c r="CS205" s="363"/>
      <c r="CT205" s="356" t="n">
        <f aca="false">IFERROR(IF($M205=CS205,($D$8+$D$9+$D$10)*$I205,IF($N205=LEFT(CS205,1),($D$8+MAX(0,IF($D$50=1,$D$9*(1-(ABS($Q205-ABS(VALUE(MID(CS205,FIND("|",CS205)+1,FIND("-",CS205)-FIND("|",CS205)-1))-VALUE(MID(CS205,FIND("-",CS205)+1,10)))))*$D$50),$D$9*(1-(IF($N205="X",ABS($O205-VALUE(MID(CS205,FIND("|",CS205)+1,FIND("-",CS205)-FIND("|",CS205)-1))),ABS($Q205-ABS(VALUE(MID(CS205,FIND("|",CS205)+1,FIND("-",CS205)-FIND("|",CS205)-1))-VALUE(MID(CS205,FIND("-",CS205)+1,10)))))*$D$50)))))*$I205,0)),0)</f>
        <v>0</v>
      </c>
      <c r="CU205" s="404"/>
      <c r="CV205" s="398"/>
      <c r="CW205" s="356" t="n">
        <f aca="false">IFERROR(IF($M205=CV205,($D$8+$D$9+$D$10)*$I205,IF($N205=LEFT(CV205,1),($D$8+MAX(0,IF($D$50=1,$D$9*(1-(ABS($Q205-ABS(VALUE(MID(CV205,FIND("|",CV205)+1,FIND("-",CV205)-FIND("|",CV205)-1))-VALUE(MID(CV205,FIND("-",CV205)+1,10)))))*$D$50),$D$9*(1-(IF($N205="X",ABS($O205-VALUE(MID(CV205,FIND("|",CV205)+1,FIND("-",CV205)-FIND("|",CV205)-1))),ABS($Q205-ABS(VALUE(MID(CV205,FIND("|",CV205)+1,FIND("-",CV205)-FIND("|",CV205)-1))-VALUE(MID(CV205,FIND("-",CV205)+1,10)))))*$D$50)))))*$I205,0)),0)</f>
        <v>0</v>
      </c>
      <c r="CX205" s="404"/>
      <c r="CY205" s="398"/>
      <c r="CZ205" s="356" t="n">
        <f aca="false">IFERROR(IF($M205=CY205,($D$8+$D$9+$D$10)*$I205,IF($N205=LEFT(CY205,1),($D$8+MAX(0,IF($D$50=1,$D$9*(1-(ABS($Q205-ABS(VALUE(MID(CY205,FIND("|",CY205)+1,FIND("-",CY205)-FIND("|",CY205)-1))-VALUE(MID(CY205,FIND("-",CY205)+1,10)))))*$D$50),$D$9*(1-(IF($N205="X",ABS($O205-VALUE(MID(CY205,FIND("|",CY205)+1,FIND("-",CY205)-FIND("|",CY205)-1))),ABS($Q205-ABS(VALUE(MID(CY205,FIND("|",CY205)+1,FIND("-",CY205)-FIND("|",CY205)-1))-VALUE(MID(CY205,FIND("-",CY205)+1,10)))))*$D$50)))))*$I205,0)),0)</f>
        <v>0</v>
      </c>
      <c r="DA205" s="404"/>
      <c r="DB205" s="398"/>
      <c r="DC205" s="356" t="n">
        <f aca="false">IFERROR(IF($M205=DB205,($D$8+$D$9+$D$10)*$I205,IF($N205=LEFT(DB205,1),($D$8+MAX(0,IF($D$50=1,$D$9*(1-(ABS($Q205-ABS(VALUE(MID(DB205,FIND("|",DB205)+1,FIND("-",DB205)-FIND("|",DB205)-1))-VALUE(MID(DB205,FIND("-",DB205)+1,10)))))*$D$50),$D$9*(1-(IF($N205="X",ABS($O205-VALUE(MID(DB205,FIND("|",DB205)+1,FIND("-",DB205)-FIND("|",DB205)-1))),ABS($Q205-ABS(VALUE(MID(DB205,FIND("|",DB205)+1,FIND("-",DB205)-FIND("|",DB205)-1))-VALUE(MID(DB205,FIND("-",DB205)+1,10)))))*$D$50)))))*$I205,0)),0)</f>
        <v>0</v>
      </c>
      <c r="DD205" s="404"/>
      <c r="DE205" s="363"/>
      <c r="DF205" s="356" t="n">
        <f aca="false">IFERROR(IF($M205=DE205,($D$8+$D$9+$D$10)*$I205,IF($N205=LEFT(DE205,1),($D$8+MAX(0,IF($D$50=1,$D$9*(1-(ABS($Q205-ABS(VALUE(MID(DE205,FIND("|",DE205)+1,FIND("-",DE205)-FIND("|",DE205)-1))-VALUE(MID(DE205,FIND("-",DE205)+1,10)))))*$D$50),$D$9*(1-(IF($N205="X",ABS($O205-VALUE(MID(DE205,FIND("|",DE205)+1,FIND("-",DE205)-FIND("|",DE205)-1))),ABS($Q205-ABS(VALUE(MID(DE205,FIND("|",DE205)+1,FIND("-",DE205)-FIND("|",DE205)-1))-VALUE(MID(DE205,FIND("-",DE205)+1,10)))))*$D$50)))))*$I205,0)),0)</f>
        <v>0</v>
      </c>
      <c r="DG205" s="404"/>
      <c r="DH205" s="363"/>
      <c r="DI205" s="356" t="n">
        <f aca="false">IFERROR(IF($M205=DH205,($D$8+$D$9+$D$10)*$I205,IF($N205=LEFT(DH205,1),($D$8+MAX(0,IF($D$50=1,$D$9*(1-(ABS($Q205-ABS(VALUE(MID(DH205,FIND("|",DH205)+1,FIND("-",DH205)-FIND("|",DH205)-1))-VALUE(MID(DH205,FIND("-",DH205)+1,10)))))*$D$50),$D$9*(1-(IF($N205="X",ABS($O205-VALUE(MID(DH205,FIND("|",DH205)+1,FIND("-",DH205)-FIND("|",DH205)-1))),ABS($Q205-ABS(VALUE(MID(DH205,FIND("|",DH205)+1,FIND("-",DH205)-FIND("|",DH205)-1))-VALUE(MID(DH205,FIND("-",DH205)+1,10)))))*$D$50)))))*$I205,0)),0)</f>
        <v>0</v>
      </c>
      <c r="DJ205" s="404"/>
      <c r="DK205" s="398"/>
      <c r="DL205" s="356" t="n">
        <f aca="false">IFERROR(IF($M205=DK205,($D$8+$D$9+$D$10)*$I205,IF($N205=LEFT(DK205,1),($D$8+MAX(0,IF($D$50=1,$D$9*(1-(ABS($Q205-ABS(VALUE(MID(DK205,FIND("|",DK205)+1,FIND("-",DK205)-FIND("|",DK205)-1))-VALUE(MID(DK205,FIND("-",DK205)+1,10)))))*$D$50),$D$9*(1-(IF($N205="X",ABS($O205-VALUE(MID(DK205,FIND("|",DK205)+1,FIND("-",DK205)-FIND("|",DK205)-1))),ABS($Q205-ABS(VALUE(MID(DK205,FIND("|",DK205)+1,FIND("-",DK205)-FIND("|",DK205)-1))-VALUE(MID(DK205,FIND("-",DK205)+1,10)))))*$D$50)))))*$I205,0)),0)</f>
        <v>0</v>
      </c>
      <c r="DM205" s="404"/>
      <c r="DN205" s="398"/>
      <c r="DO205" s="356" t="n">
        <f aca="false">IFERROR(IF($M205=DN205,($D$8+$D$9+$D$10)*$I205,IF($N205=LEFT(DN205,1),($D$8+MAX(0,IF($D$50=1,$D$9*(1-(ABS($Q205-ABS(VALUE(MID(DN205,FIND("|",DN205)+1,FIND("-",DN205)-FIND("|",DN205)-1))-VALUE(MID(DN205,FIND("-",DN205)+1,10)))))*$D$50),$D$9*(1-(IF($N205="X",ABS($O205-VALUE(MID(DN205,FIND("|",DN205)+1,FIND("-",DN205)-FIND("|",DN205)-1))),ABS($Q205-ABS(VALUE(MID(DN205,FIND("|",DN205)+1,FIND("-",DN205)-FIND("|",DN205)-1))-VALUE(MID(DN205,FIND("-",DN205)+1,10)))))*$D$50)))))*$I205,0)),0)</f>
        <v>0</v>
      </c>
      <c r="DP205" s="404"/>
      <c r="DQ205" s="398"/>
      <c r="DR205" s="356" t="n">
        <f aca="false">IFERROR(IF($M205=DQ205,($D$8+$D$9+$D$10)*$I205,IF($N205=LEFT(DQ205,1),($D$8+MAX(0,IF($D$50=1,$D$9*(1-(ABS($Q205-ABS(VALUE(MID(DQ205,FIND("|",DQ205)+1,FIND("-",DQ205)-FIND("|",DQ205)-1))-VALUE(MID(DQ205,FIND("-",DQ205)+1,10)))))*$D$50),$D$9*(1-(IF($N205="X",ABS($O205-VALUE(MID(DQ205,FIND("|",DQ205)+1,FIND("-",DQ205)-FIND("|",DQ205)-1))),ABS($Q205-ABS(VALUE(MID(DQ205,FIND("|",DQ205)+1,FIND("-",DQ205)-FIND("|",DQ205)-1))-VALUE(MID(DQ205,FIND("-",DQ205)+1,10)))))*$D$50)))))*$I205,0)),0)</f>
        <v>0</v>
      </c>
      <c r="DS205" s="404"/>
      <c r="DT205" s="363"/>
      <c r="DU205" s="356" t="n">
        <f aca="false">IFERROR(IF($M205=DT205,($D$8+$D$9+$D$10)*$I205,IF($N205=LEFT(DT205,1),($D$8+MAX(0,IF($D$50=1,$D$9*(1-(ABS($Q205-ABS(VALUE(MID(DT205,FIND("|",DT205)+1,FIND("-",DT205)-FIND("|",DT205)-1))-VALUE(MID(DT205,FIND("-",DT205)+1,10)))))*$D$50),$D$9*(1-(IF($N205="X",ABS($O205-VALUE(MID(DT205,FIND("|",DT205)+1,FIND("-",DT205)-FIND("|",DT205)-1))),ABS($Q205-ABS(VALUE(MID(DT205,FIND("|",DT205)+1,FIND("-",DT205)-FIND("|",DT205)-1))-VALUE(MID(DT205,FIND("-",DT205)+1,10)))))*$D$50)))))*$I205,0)),0)</f>
        <v>0</v>
      </c>
      <c r="DV205" s="404"/>
      <c r="DW205" s="363"/>
      <c r="DX205" s="356" t="n">
        <f aca="false">IFERROR(IF($M205=DW205,($D$8+$D$9+$D$10)*$I205,IF($N205=LEFT(DW205,1),($D$8+MAX(0,IF($D$50=1,$D$9*(1-(ABS($Q205-ABS(VALUE(MID(DW205,FIND("|",DW205)+1,FIND("-",DW205)-FIND("|",DW205)-1))-VALUE(MID(DW205,FIND("-",DW205)+1,10)))))*$D$50),$D$9*(1-(IF($N205="X",ABS($O205-VALUE(MID(DW205,FIND("|",DW205)+1,FIND("-",DW205)-FIND("|",DW205)-1))),ABS($Q205-ABS(VALUE(MID(DW205,FIND("|",DW205)+1,FIND("-",DW205)-FIND("|",DW205)-1))-VALUE(MID(DW205,FIND("-",DW205)+1,10)))))*$D$50)))))*$I205,0)),0)</f>
        <v>0</v>
      </c>
      <c r="DY205" s="404"/>
      <c r="DZ205" s="398"/>
      <c r="EA205" s="356" t="n">
        <f aca="false">IFERROR(IF($M205=DZ205,($D$8+$D$9+$D$10)*$I205,IF($N205=LEFT(DZ205,1),($D$8+MAX(0,IF($D$50=1,$D$9*(1-(ABS($Q205-ABS(VALUE(MID(DZ205,FIND("|",DZ205)+1,FIND("-",DZ205)-FIND("|",DZ205)-1))-VALUE(MID(DZ205,FIND("-",DZ205)+1,10)))))*$D$50),$D$9*(1-(IF($N205="X",ABS($O205-VALUE(MID(DZ205,FIND("|",DZ205)+1,FIND("-",DZ205)-FIND("|",DZ205)-1))),ABS($Q205-ABS(VALUE(MID(DZ205,FIND("|",DZ205)+1,FIND("-",DZ205)-FIND("|",DZ205)-1))-VALUE(MID(DZ205,FIND("-",DZ205)+1,10)))))*$D$50)))))*$I205,0)),0)</f>
        <v>0</v>
      </c>
      <c r="EB205" s="404"/>
      <c r="EC205" s="398"/>
      <c r="ED205" s="356" t="n">
        <f aca="false">IFERROR(IF($M205=EC205,($D$8+$D$9+$D$10)*$I205,IF($N205=LEFT(EC205,1),($D$8+MAX(0,IF($D$50=1,$D$9*(1-(ABS($Q205-ABS(VALUE(MID(EC205,FIND("|",EC205)+1,FIND("-",EC205)-FIND("|",EC205)-1))-VALUE(MID(EC205,FIND("-",EC205)+1,10)))))*$D$50),$D$9*(1-(IF($N205="X",ABS($O205-VALUE(MID(EC205,FIND("|",EC205)+1,FIND("-",EC205)-FIND("|",EC205)-1))),ABS($Q205-ABS(VALUE(MID(EC205,FIND("|",EC205)+1,FIND("-",EC205)-FIND("|",EC205)-1))-VALUE(MID(EC205,FIND("-",EC205)+1,10)))))*$D$50)))))*$I205,0)),0)</f>
        <v>0</v>
      </c>
      <c r="EE205" s="404"/>
      <c r="EF205" s="398"/>
      <c r="EG205" s="356" t="n">
        <f aca="false">IFERROR(IF($M205=EF205,($D$8+$D$9+$D$10)*$I205,IF($N205=LEFT(EF205,1),($D$8+MAX(0,IF($D$50=1,$D$9*(1-(ABS($Q205-ABS(VALUE(MID(EF205,FIND("|",EF205)+1,FIND("-",EF205)-FIND("|",EF205)-1))-VALUE(MID(EF205,FIND("-",EF205)+1,10)))))*$D$50),$D$9*(1-(IF($N205="X",ABS($O205-VALUE(MID(EF205,FIND("|",EF205)+1,FIND("-",EF205)-FIND("|",EF205)-1))),ABS($Q205-ABS(VALUE(MID(EF205,FIND("|",EF205)+1,FIND("-",EF205)-FIND("|",EF205)-1))-VALUE(MID(EF205,FIND("-",EF205)+1,10)))))*$D$50)))))*$I205,0)),0)</f>
        <v>0</v>
      </c>
      <c r="EH205" s="404"/>
      <c r="EI205" s="404"/>
    </row>
    <row r="206" customFormat="false" ht="15" hidden="false" customHeight="false" outlineLevel="0" collapsed="false">
      <c r="A206" s="332" t="n">
        <f aca="false">WORLDCUP!AD126</f>
        <v>0</v>
      </c>
      <c r="B206" s="332" t="n">
        <f aca="false">WORLDCUP!AC126</f>
        <v>0</v>
      </c>
      <c r="C206" s="422" t="str">
        <f aca="false">CONCATENATE(WORLDCUP!AF126,"-",WORLDCUP!AA126)</f>
        <v>W88-W86</v>
      </c>
      <c r="D206" s="422" t="str">
        <f aca="false">IF(WORLDCUP!AC126&gt;WORLDCUP!AD126,2,IF(WORLDCUP!AC126&lt;WORLDCUP!AD126,1,IF(AND(WORLDCUP!AC126=WORLDCUP!AD126,WORLDCUP!AC126&lt;&gt;"",WORLDCUP!AD126&lt;&gt;""),0,"PD")))</f>
        <v>PD</v>
      </c>
      <c r="E206" s="422" t="str">
        <f aca="false">IF(OR(WORLDCUP!AD126="",WORLDCUP!AC126=""),"-",A206&amp;"-"&amp;B206)</f>
        <v>-</v>
      </c>
      <c r="F206" s="423" t="n">
        <f aca="false">SUM($D$20:$D$22)*I206</f>
        <v>17</v>
      </c>
      <c r="G206" s="423" t="n">
        <f aca="false">VLOOKUP(H206,Equipos!$Q$1:$R$25,2,0)</f>
        <v>21</v>
      </c>
      <c r="H206" s="410" t="str">
        <f aca="false">Idiomas!$D$261</f>
        <v>Octavos de final</v>
      </c>
      <c r="I206" s="425" t="n">
        <v>1</v>
      </c>
      <c r="J206" s="418"/>
      <c r="K206" s="367" t="str">
        <f aca="false">CONCATENATE(WORLDCUP!AA126,"-",WORLDCUP!AF126)</f>
        <v>W86-W88</v>
      </c>
      <c r="L206" s="354" t="str">
        <f aca="false">IF(OR(WORLDCUP!AC126="",WORLDCUP!AD126=""),"PD",IF(WORLDCUP!AC126&gt;WORLDCUP!AD126,1,IF(WORLDCUP!AC126&lt;WORLDCUP!AD126,2,0)))</f>
        <v>PD</v>
      </c>
      <c r="M206" s="359" t="str">
        <f aca="false">IF(OR(WORLDCUP!AC126="",WORLDCUP!AD126=""),"-",N206&amp;"|"&amp;O206&amp;"-"&amp;P206)</f>
        <v>-</v>
      </c>
      <c r="N206" s="332" t="str">
        <f aca="false">IF(OR(WORLDCUP!AC126="",WORLDCUP!AD126=""),"",IF(WORLDCUP!AC126&gt;WORLDCUP!AD126,"1",IF(WORLDCUP!AC126&lt;WORLDCUP!AD126,"2","X")))</f>
        <v/>
      </c>
      <c r="O206" s="332" t="n">
        <f aca="false">WORLDCUP!AC126</f>
        <v>0</v>
      </c>
      <c r="P206" s="332" t="n">
        <f aca="false">WORLDCUP!AD126</f>
        <v>0</v>
      </c>
      <c r="Q206" s="332" t="n">
        <f aca="false">ABS(O206-P206)</f>
        <v>0</v>
      </c>
      <c r="R206" s="404"/>
      <c r="S206" s="363" t="s">
        <v>268</v>
      </c>
      <c r="T206" s="356" t="n">
        <f aca="false">IFERROR(IF($M206=S206,($D$8+$D$9+$D$10)*$I206,IF($N206=LEFT(S206,1),($D$8+MAX(0,IF($D$50=1,$D$9*(1-(ABS($Q206-ABS(VALUE(MID(S206,FIND("|",S206)+1,FIND("-",S206)-FIND("|",S206)-1))-VALUE(MID(S206,FIND("-",S206)+1,10)))))*$D$50),$D$9*(1-(IF($N206="X",ABS($O206-VALUE(MID(S206,FIND("|",S206)+1,FIND("-",S206)-FIND("|",S206)-1))),ABS($Q206-ABS(VALUE(MID(S206,FIND("|",S206)+1,FIND("-",S206)-FIND("|",S206)-1))-VALUE(MID(S206,FIND("-",S206)+1,10)))))*$D$50)))))*$I206,0)),0)</f>
        <v>0</v>
      </c>
      <c r="U206" s="404"/>
      <c r="V206" s="363" t="s">
        <v>264</v>
      </c>
      <c r="W206" s="356" t="n">
        <f aca="false">IFERROR(IF($M206=V206,($D$8+$D$9+$D$10)*$I206,IF($N206=LEFT(V206,1),($D$8+MAX(0,IF($D$50=1,$D$9*(1-(ABS($Q206-ABS(VALUE(MID(V206,FIND("|",V206)+1,FIND("-",V206)-FIND("|",V206)-1))-VALUE(MID(V206,FIND("-",V206)+1,10)))))*$D$50),$D$9*(1-(IF($N206="X",ABS($O206-VALUE(MID(V206,FIND("|",V206)+1,FIND("-",V206)-FIND("|",V206)-1))),ABS($Q206-ABS(VALUE(MID(V206,FIND("|",V206)+1,FIND("-",V206)-FIND("|",V206)-1))-VALUE(MID(V206,FIND("-",V206)+1,10)))))*$D$50)))))*$I206,0)),0)</f>
        <v>0</v>
      </c>
      <c r="X206" s="404"/>
      <c r="Y206" s="398" t="s">
        <v>288</v>
      </c>
      <c r="Z206" s="356" t="n">
        <f aca="false">IFERROR(IF($M206=Y206,($D$8+$D$9+$D$10)*$I206,IF($N206=LEFT(Y206,1),($D$8+MAX(0,IF($D$50=1,$D$9*(1-(ABS($Q206-ABS(VALUE(MID(Y206,FIND("|",Y206)+1,FIND("-",Y206)-FIND("|",Y206)-1))-VALUE(MID(Y206,FIND("-",Y206)+1,10)))))*$D$50),$D$9*(1-(IF($N206="X",ABS($O206-VALUE(MID(Y206,FIND("|",Y206)+1,FIND("-",Y206)-FIND("|",Y206)-1))),ABS($Q206-ABS(VALUE(MID(Y206,FIND("|",Y206)+1,FIND("-",Y206)-FIND("|",Y206)-1))-VALUE(MID(Y206,FIND("-",Y206)+1,10)))))*$D$50)))))*$I206,0)),0)</f>
        <v>0</v>
      </c>
      <c r="AA206" s="404"/>
      <c r="AB206" s="398" t="s">
        <v>288</v>
      </c>
      <c r="AC206" s="356" t="n">
        <f aca="false">IFERROR(IF($M206=AB206,($D$8+$D$9+$D$10)*$I206,IF($N206=LEFT(AB206,1),($D$8+MAX(0,IF($D$50=1,$D$9*(1-(ABS($Q206-ABS(VALUE(MID(AB206,FIND("|",AB206)+1,FIND("-",AB206)-FIND("|",AB206)-1))-VALUE(MID(AB206,FIND("-",AB206)+1,10)))))*$D$50),$D$9*(1-(IF($N206="X",ABS($O206-VALUE(MID(AB206,FIND("|",AB206)+1,FIND("-",AB206)-FIND("|",AB206)-1))),ABS($Q206-ABS(VALUE(MID(AB206,FIND("|",AB206)+1,FIND("-",AB206)-FIND("|",AB206)-1))-VALUE(MID(AB206,FIND("-",AB206)+1,10)))))*$D$50)))))*$I206,0)),0)</f>
        <v>0</v>
      </c>
      <c r="AD206" s="404"/>
      <c r="AE206" s="398" t="s">
        <v>283</v>
      </c>
      <c r="AF206" s="356" t="n">
        <f aca="false">IFERROR(IF($M206=AE206,($D$8+$D$9+$D$10)*$I206,IF($N206=LEFT(AE206,1),($D$8+MAX(0,IF($D$50=1,$D$9*(1-(ABS($Q206-ABS(VALUE(MID(AE206,FIND("|",AE206)+1,FIND("-",AE206)-FIND("|",AE206)-1))-VALUE(MID(AE206,FIND("-",AE206)+1,10)))))*$D$50),$D$9*(1-(IF($N206="X",ABS($O206-VALUE(MID(AE206,FIND("|",AE206)+1,FIND("-",AE206)-FIND("|",AE206)-1))),ABS($Q206-ABS(VALUE(MID(AE206,FIND("|",AE206)+1,FIND("-",AE206)-FIND("|",AE206)-1))-VALUE(MID(AE206,FIND("-",AE206)+1,10)))))*$D$50)))))*$I206,0)),0)</f>
        <v>0</v>
      </c>
      <c r="AG206" s="404"/>
      <c r="AH206" s="363" t="s">
        <v>265</v>
      </c>
      <c r="AI206" s="356" t="n">
        <f aca="false">IFERROR(IF($M206=AH206,($D$8+$D$9+$D$10)*$I206,IF($N206=LEFT(AH206,1),($D$8+MAX(0,IF($D$50=1,$D$9*(1-(ABS($Q206-ABS(VALUE(MID(AH206,FIND("|",AH206)+1,FIND("-",AH206)-FIND("|",AH206)-1))-VALUE(MID(AH206,FIND("-",AH206)+1,10)))))*$D$50),$D$9*(1-(IF($N206="X",ABS($O206-VALUE(MID(AH206,FIND("|",AH206)+1,FIND("-",AH206)-FIND("|",AH206)-1))),ABS($Q206-ABS(VALUE(MID(AH206,FIND("|",AH206)+1,FIND("-",AH206)-FIND("|",AH206)-1))-VALUE(MID(AH206,FIND("-",AH206)+1,10)))))*$D$50)))))*$I206,0)),0)</f>
        <v>0</v>
      </c>
      <c r="AJ206" s="404"/>
      <c r="AK206" s="363" t="s">
        <v>266</v>
      </c>
      <c r="AL206" s="356" t="n">
        <f aca="false">IFERROR(IF($M206=AK206,($D$8+$D$9+$D$10)*$I206,IF($N206=LEFT(AK206,1),($D$8+MAX(0,IF($D$50=1,$D$9*(1-(ABS($Q206-ABS(VALUE(MID(AK206,FIND("|",AK206)+1,FIND("-",AK206)-FIND("|",AK206)-1))-VALUE(MID(AK206,FIND("-",AK206)+1,10)))))*$D$50),$D$9*(1-(IF($N206="X",ABS($O206-VALUE(MID(AK206,FIND("|",AK206)+1,FIND("-",AK206)-FIND("|",AK206)-1))),ABS($Q206-ABS(VALUE(MID(AK206,FIND("|",AK206)+1,FIND("-",AK206)-FIND("|",AK206)-1))-VALUE(MID(AK206,FIND("-",AK206)+1,10)))))*$D$50)))))*$I206,0)),0)</f>
        <v>0</v>
      </c>
      <c r="AM206" s="404"/>
      <c r="AN206" s="398" t="s">
        <v>266</v>
      </c>
      <c r="AO206" s="356" t="n">
        <f aca="false">IFERROR(IF($M206=AN206,($D$8+$D$9+$D$10)*$I206,IF($N206=LEFT(AN206,1),($D$8+MAX(0,IF($D$50=1,$D$9*(1-(ABS($Q206-ABS(VALUE(MID(AN206,FIND("|",AN206)+1,FIND("-",AN206)-FIND("|",AN206)-1))-VALUE(MID(AN206,FIND("-",AN206)+1,10)))))*$D$50),$D$9*(1-(IF($N206="X",ABS($O206-VALUE(MID(AN206,FIND("|",AN206)+1,FIND("-",AN206)-FIND("|",AN206)-1))),ABS($Q206-ABS(VALUE(MID(AN206,FIND("|",AN206)+1,FIND("-",AN206)-FIND("|",AN206)-1))-VALUE(MID(AN206,FIND("-",AN206)+1,10)))))*$D$50)))))*$I206,0)),0)</f>
        <v>0</v>
      </c>
      <c r="AP206" s="404"/>
      <c r="AQ206" s="398" t="s">
        <v>267</v>
      </c>
      <c r="AR206" s="356" t="n">
        <f aca="false">IFERROR(IF($M206=AQ206,($D$8+$D$9+$D$10)*$I206,IF($N206=LEFT(AQ206,1),($D$8+MAX(0,IF($D$50=1,$D$9*(1-(ABS($Q206-ABS(VALUE(MID(AQ206,FIND("|",AQ206)+1,FIND("-",AQ206)-FIND("|",AQ206)-1))-VALUE(MID(AQ206,FIND("-",AQ206)+1,10)))))*$D$50),$D$9*(1-(IF($N206="X",ABS($O206-VALUE(MID(AQ206,FIND("|",AQ206)+1,FIND("-",AQ206)-FIND("|",AQ206)-1))),ABS($Q206-ABS(VALUE(MID(AQ206,FIND("|",AQ206)+1,FIND("-",AQ206)-FIND("|",AQ206)-1))-VALUE(MID(AQ206,FIND("-",AQ206)+1,10)))))*$D$50)))))*$I206,0)),0)</f>
        <v>0</v>
      </c>
      <c r="AS206" s="404"/>
      <c r="AT206" s="398" t="s">
        <v>275</v>
      </c>
      <c r="AU206" s="356" t="n">
        <f aca="false">IFERROR(IF($M206=AT206,($D$8+$D$9+$D$10)*$I206,IF($N206=LEFT(AT206,1),($D$8+MAX(0,IF($D$50=1,$D$9*(1-(ABS($Q206-ABS(VALUE(MID(AT206,FIND("|",AT206)+1,FIND("-",AT206)-FIND("|",AT206)-1))-VALUE(MID(AT206,FIND("-",AT206)+1,10)))))*$D$50),$D$9*(1-(IF($N206="X",ABS($O206-VALUE(MID(AT206,FIND("|",AT206)+1,FIND("-",AT206)-FIND("|",AT206)-1))),ABS($Q206-ABS(VALUE(MID(AT206,FIND("|",AT206)+1,FIND("-",AT206)-FIND("|",AT206)-1))-VALUE(MID(AT206,FIND("-",AT206)+1,10)))))*$D$50)))))*$I206,0)),0)</f>
        <v>0</v>
      </c>
      <c r="AV206" s="404"/>
      <c r="AW206" s="363" t="s">
        <v>265</v>
      </c>
      <c r="AX206" s="356" t="n">
        <f aca="false">IFERROR(IF($M206=AW206,($D$8+$D$9+$D$10)*$I206,IF($N206=LEFT(AW206,1),($D$8+MAX(0,IF($D$50=1,$D$9*(1-(ABS($Q206-ABS(VALUE(MID(AW206,FIND("|",AW206)+1,FIND("-",AW206)-FIND("|",AW206)-1))-VALUE(MID(AW206,FIND("-",AW206)+1,10)))))*$D$50),$D$9*(1-(IF($N206="X",ABS($O206-VALUE(MID(AW206,FIND("|",AW206)+1,FIND("-",AW206)-FIND("|",AW206)-1))),ABS($Q206-ABS(VALUE(MID(AW206,FIND("|",AW206)+1,FIND("-",AW206)-FIND("|",AW206)-1))-VALUE(MID(AW206,FIND("-",AW206)+1,10)))))*$D$50)))))*$I206,0)),0)</f>
        <v>0</v>
      </c>
      <c r="AY206" s="404"/>
      <c r="AZ206" s="363" t="s">
        <v>266</v>
      </c>
      <c r="BA206" s="356" t="n">
        <f aca="false">IFERROR(IF($M206=AZ206,($D$8+$D$9+$D$10)*$I206,IF($N206=LEFT(AZ206,1),($D$8+MAX(0,IF($D$50=1,$D$9*(1-(ABS($Q206-ABS(VALUE(MID(AZ206,FIND("|",AZ206)+1,FIND("-",AZ206)-FIND("|",AZ206)-1))-VALUE(MID(AZ206,FIND("-",AZ206)+1,10)))))*$D$50),$D$9*(1-(IF($N206="X",ABS($O206-VALUE(MID(AZ206,FIND("|",AZ206)+1,FIND("-",AZ206)-FIND("|",AZ206)-1))),ABS($Q206-ABS(VALUE(MID(AZ206,FIND("|",AZ206)+1,FIND("-",AZ206)-FIND("|",AZ206)-1))-VALUE(MID(AZ206,FIND("-",AZ206)+1,10)))))*$D$50)))))*$I206,0)),0)</f>
        <v>0</v>
      </c>
      <c r="BB206" s="404"/>
      <c r="BC206" s="398" t="s">
        <v>277</v>
      </c>
      <c r="BD206" s="356" t="n">
        <f aca="false">IFERROR(IF($M206=BC206,($D$8+$D$9+$D$10)*$I206,IF($N206=LEFT(BC206,1),($D$8+MAX(0,IF($D$50=1,$D$9*(1-(ABS($Q206-ABS(VALUE(MID(BC206,FIND("|",BC206)+1,FIND("-",BC206)-FIND("|",BC206)-1))-VALUE(MID(BC206,FIND("-",BC206)+1,10)))))*$D$50),$D$9*(1-(IF($N206="X",ABS($O206-VALUE(MID(BC206,FIND("|",BC206)+1,FIND("-",BC206)-FIND("|",BC206)-1))),ABS($Q206-ABS(VALUE(MID(BC206,FIND("|",BC206)+1,FIND("-",BC206)-FIND("|",BC206)-1))-VALUE(MID(BC206,FIND("-",BC206)+1,10)))))*$D$50)))))*$I206,0)),0)</f>
        <v>0</v>
      </c>
      <c r="BE206" s="404"/>
      <c r="BF206" s="398" t="s">
        <v>266</v>
      </c>
      <c r="BG206" s="356" t="n">
        <f aca="false">IFERROR(IF($M206=BF206,($D$8+$D$9+$D$10)*$I206,IF($N206=LEFT(BF206,1),($D$8+MAX(0,IF($D$50=1,$D$9*(1-(ABS($Q206-ABS(VALUE(MID(BF206,FIND("|",BF206)+1,FIND("-",BF206)-FIND("|",BF206)-1))-VALUE(MID(BF206,FIND("-",BF206)+1,10)))))*$D$50),$D$9*(1-(IF($N206="X",ABS($O206-VALUE(MID(BF206,FIND("|",BF206)+1,FIND("-",BF206)-FIND("|",BF206)-1))),ABS($Q206-ABS(VALUE(MID(BF206,FIND("|",BF206)+1,FIND("-",BF206)-FIND("|",BF206)-1))-VALUE(MID(BF206,FIND("-",BF206)+1,10)))))*$D$50)))))*$I206,0)),0)</f>
        <v>0</v>
      </c>
      <c r="BH206" s="404"/>
      <c r="BI206" s="398" t="s">
        <v>266</v>
      </c>
      <c r="BJ206" s="356" t="n">
        <f aca="false">IFERROR(IF($M206=BI206,($D$8+$D$9+$D$10)*$I206,IF($N206=LEFT(BI206,1),($D$8+MAX(0,IF($D$50=1,$D$9*(1-(ABS($Q206-ABS(VALUE(MID(BI206,FIND("|",BI206)+1,FIND("-",BI206)-FIND("|",BI206)-1))-VALUE(MID(BI206,FIND("-",BI206)+1,10)))))*$D$50),$D$9*(1-(IF($N206="X",ABS($O206-VALUE(MID(BI206,FIND("|",BI206)+1,FIND("-",BI206)-FIND("|",BI206)-1))),ABS($Q206-ABS(VALUE(MID(BI206,FIND("|",BI206)+1,FIND("-",BI206)-FIND("|",BI206)-1))-VALUE(MID(BI206,FIND("-",BI206)+1,10)))))*$D$50)))))*$I206,0)),0)</f>
        <v>0</v>
      </c>
      <c r="BK206" s="404"/>
      <c r="BL206" s="363" t="s">
        <v>288</v>
      </c>
      <c r="BM206" s="356" t="n">
        <f aca="false">IFERROR(IF($M206=BL206,($D$8+$D$9+$D$10)*$I206,IF($N206=LEFT(BL206,1),($D$8+MAX(0,IF($D$50=1,$D$9*(1-(ABS($Q206-ABS(VALUE(MID(BL206,FIND("|",BL206)+1,FIND("-",BL206)-FIND("|",BL206)-1))-VALUE(MID(BL206,FIND("-",BL206)+1,10)))))*$D$50),$D$9*(1-(IF($N206="X",ABS($O206-VALUE(MID(BL206,FIND("|",BL206)+1,FIND("-",BL206)-FIND("|",BL206)-1))),ABS($Q206-ABS(VALUE(MID(BL206,FIND("|",BL206)+1,FIND("-",BL206)-FIND("|",BL206)-1))-VALUE(MID(BL206,FIND("-",BL206)+1,10)))))*$D$50)))))*$I206,0)),0)</f>
        <v>0</v>
      </c>
      <c r="BN206" s="404"/>
      <c r="BO206" s="363" t="s">
        <v>264</v>
      </c>
      <c r="BP206" s="356" t="n">
        <f aca="false">IFERROR(IF($M206=BO206,($D$8+$D$9+$D$10)*$I206,IF($N206=LEFT(BO206,1),($D$8+MAX(0,IF($D$50=1,$D$9*(1-(ABS($Q206-ABS(VALUE(MID(BO206,FIND("|",BO206)+1,FIND("-",BO206)-FIND("|",BO206)-1))-VALUE(MID(BO206,FIND("-",BO206)+1,10)))))*$D$50),$D$9*(1-(IF($N206="X",ABS($O206-VALUE(MID(BO206,FIND("|",BO206)+1,FIND("-",BO206)-FIND("|",BO206)-1))),ABS($Q206-ABS(VALUE(MID(BO206,FIND("|",BO206)+1,FIND("-",BO206)-FIND("|",BO206)-1))-VALUE(MID(BO206,FIND("-",BO206)+1,10)))))*$D$50)))))*$I206,0)),0)</f>
        <v>0</v>
      </c>
      <c r="BQ206" s="404"/>
      <c r="BR206" s="398" t="s">
        <v>266</v>
      </c>
      <c r="BS206" s="356" t="n">
        <f aca="false">IFERROR(IF($M206=BR206,($D$8+$D$9+$D$10)*$I206,IF($N206=LEFT(BR206,1),($D$8+MAX(0,IF($D$50=1,$D$9*(1-(ABS($Q206-ABS(VALUE(MID(BR206,FIND("|",BR206)+1,FIND("-",BR206)-FIND("|",BR206)-1))-VALUE(MID(BR206,FIND("-",BR206)+1,10)))))*$D$50),$D$9*(1-(IF($N206="X",ABS($O206-VALUE(MID(BR206,FIND("|",BR206)+1,FIND("-",BR206)-FIND("|",BR206)-1))),ABS($Q206-ABS(VALUE(MID(BR206,FIND("|",BR206)+1,FIND("-",BR206)-FIND("|",BR206)-1))-VALUE(MID(BR206,FIND("-",BR206)+1,10)))))*$D$50)))))*$I206,0)),0)</f>
        <v>0</v>
      </c>
      <c r="BT206" s="404"/>
      <c r="BU206" s="398"/>
      <c r="BV206" s="356" t="n">
        <f aca="false">IFERROR(IF($M206=BU206,($D$8+$D$9+$D$10)*$I206,IF($N206=LEFT(BU206,1),($D$8+MAX(0,IF($D$50=1,$D$9*(1-(ABS($Q206-ABS(VALUE(MID(BU206,FIND("|",BU206)+1,FIND("-",BU206)-FIND("|",BU206)-1))-VALUE(MID(BU206,FIND("-",BU206)+1,10)))))*$D$50),$D$9*(1-(IF($N206="X",ABS($O206-VALUE(MID(BU206,FIND("|",BU206)+1,FIND("-",BU206)-FIND("|",BU206)-1))),ABS($Q206-ABS(VALUE(MID(BU206,FIND("|",BU206)+1,FIND("-",BU206)-FIND("|",BU206)-1))-VALUE(MID(BU206,FIND("-",BU206)+1,10)))))*$D$50)))))*$I206,0)),0)</f>
        <v>0</v>
      </c>
      <c r="BW206" s="404"/>
      <c r="BX206" s="398"/>
      <c r="BY206" s="356" t="n">
        <f aca="false">IFERROR(IF($M206=BX206,($D$8+$D$9+$D$10)*$I206,IF($N206=LEFT(BX206,1),($D$8+MAX(0,IF($D$50=1,$D$9*(1-(ABS($Q206-ABS(VALUE(MID(BX206,FIND("|",BX206)+1,FIND("-",BX206)-FIND("|",BX206)-1))-VALUE(MID(BX206,FIND("-",BX206)+1,10)))))*$D$50),$D$9*(1-(IF($N206="X",ABS($O206-VALUE(MID(BX206,FIND("|",BX206)+1,FIND("-",BX206)-FIND("|",BX206)-1))),ABS($Q206-ABS(VALUE(MID(BX206,FIND("|",BX206)+1,FIND("-",BX206)-FIND("|",BX206)-1))-VALUE(MID(BX206,FIND("-",BX206)+1,10)))))*$D$50)))))*$I206,0)),0)</f>
        <v>0</v>
      </c>
      <c r="BZ206" s="404"/>
      <c r="CA206" s="363"/>
      <c r="CB206" s="356" t="n">
        <f aca="false">IFERROR(IF($M206=CA206,($D$8+$D$9+$D$10)*$I206,IF($N206=LEFT(CA206,1),($D$8+MAX(0,IF($D$50=1,$D$9*(1-(ABS($Q206-ABS(VALUE(MID(CA206,FIND("|",CA206)+1,FIND("-",CA206)-FIND("|",CA206)-1))-VALUE(MID(CA206,FIND("-",CA206)+1,10)))))*$D$50),$D$9*(1-(IF($N206="X",ABS($O206-VALUE(MID(CA206,FIND("|",CA206)+1,FIND("-",CA206)-FIND("|",CA206)-1))),ABS($Q206-ABS(VALUE(MID(CA206,FIND("|",CA206)+1,FIND("-",CA206)-FIND("|",CA206)-1))-VALUE(MID(CA206,FIND("-",CA206)+1,10)))))*$D$50)))))*$I206,0)),0)</f>
        <v>0</v>
      </c>
      <c r="CC206" s="404"/>
      <c r="CD206" s="363"/>
      <c r="CE206" s="356" t="n">
        <f aca="false">IFERROR(IF($M206=CD206,($D$8+$D$9+$D$10)*$I206,IF($N206=LEFT(CD206,1),($D$8+MAX(0,IF($D$50=1,$D$9*(1-(ABS($Q206-ABS(VALUE(MID(CD206,FIND("|",CD206)+1,FIND("-",CD206)-FIND("|",CD206)-1))-VALUE(MID(CD206,FIND("-",CD206)+1,10)))))*$D$50),$D$9*(1-(IF($N206="X",ABS($O206-VALUE(MID(CD206,FIND("|",CD206)+1,FIND("-",CD206)-FIND("|",CD206)-1))),ABS($Q206-ABS(VALUE(MID(CD206,FIND("|",CD206)+1,FIND("-",CD206)-FIND("|",CD206)-1))-VALUE(MID(CD206,FIND("-",CD206)+1,10)))))*$D$50)))))*$I206,0)),0)</f>
        <v>0</v>
      </c>
      <c r="CF206" s="404"/>
      <c r="CG206" s="398"/>
      <c r="CH206" s="356" t="n">
        <f aca="false">IFERROR(IF($M206=CG206,($D$8+$D$9+$D$10)*$I206,IF($N206=LEFT(CG206,1),($D$8+MAX(0,IF($D$50=1,$D$9*(1-(ABS($Q206-ABS(VALUE(MID(CG206,FIND("|",CG206)+1,FIND("-",CG206)-FIND("|",CG206)-1))-VALUE(MID(CG206,FIND("-",CG206)+1,10)))))*$D$50),$D$9*(1-(IF($N206="X",ABS($O206-VALUE(MID(CG206,FIND("|",CG206)+1,FIND("-",CG206)-FIND("|",CG206)-1))),ABS($Q206-ABS(VALUE(MID(CG206,FIND("|",CG206)+1,FIND("-",CG206)-FIND("|",CG206)-1))-VALUE(MID(CG206,FIND("-",CG206)+1,10)))))*$D$50)))))*$I206,0)),0)</f>
        <v>0</v>
      </c>
      <c r="CI206" s="404"/>
      <c r="CJ206" s="398"/>
      <c r="CK206" s="356" t="n">
        <f aca="false">IFERROR(IF($M206=CJ206,($D$8+$D$9+$D$10)*$I206,IF($N206=LEFT(CJ206,1),($D$8+MAX(0,IF($D$50=1,$D$9*(1-(ABS($Q206-ABS(VALUE(MID(CJ206,FIND("|",CJ206)+1,FIND("-",CJ206)-FIND("|",CJ206)-1))-VALUE(MID(CJ206,FIND("-",CJ206)+1,10)))))*$D$50),$D$9*(1-(IF($N206="X",ABS($O206-VALUE(MID(CJ206,FIND("|",CJ206)+1,FIND("-",CJ206)-FIND("|",CJ206)-1))),ABS($Q206-ABS(VALUE(MID(CJ206,FIND("|",CJ206)+1,FIND("-",CJ206)-FIND("|",CJ206)-1))-VALUE(MID(CJ206,FIND("-",CJ206)+1,10)))))*$D$50)))))*$I206,0)),0)</f>
        <v>0</v>
      </c>
      <c r="CL206" s="404"/>
      <c r="CM206" s="398"/>
      <c r="CN206" s="356" t="n">
        <f aca="false">IFERROR(IF($M206=CM206,($D$8+$D$9+$D$10)*$I206,IF($N206=LEFT(CM206,1),($D$8+MAX(0,IF($D$50=1,$D$9*(1-(ABS($Q206-ABS(VALUE(MID(CM206,FIND("|",CM206)+1,FIND("-",CM206)-FIND("|",CM206)-1))-VALUE(MID(CM206,FIND("-",CM206)+1,10)))))*$D$50),$D$9*(1-(IF($N206="X",ABS($O206-VALUE(MID(CM206,FIND("|",CM206)+1,FIND("-",CM206)-FIND("|",CM206)-1))),ABS($Q206-ABS(VALUE(MID(CM206,FIND("|",CM206)+1,FIND("-",CM206)-FIND("|",CM206)-1))-VALUE(MID(CM206,FIND("-",CM206)+1,10)))))*$D$50)))))*$I206,0)),0)</f>
        <v>0</v>
      </c>
      <c r="CO206" s="404"/>
      <c r="CP206" s="363"/>
      <c r="CQ206" s="356" t="n">
        <f aca="false">IFERROR(IF($M206=CP206,($D$8+$D$9+$D$10)*$I206,IF($N206=LEFT(CP206,1),($D$8+MAX(0,IF($D$50=1,$D$9*(1-(ABS($Q206-ABS(VALUE(MID(CP206,FIND("|",CP206)+1,FIND("-",CP206)-FIND("|",CP206)-1))-VALUE(MID(CP206,FIND("-",CP206)+1,10)))))*$D$50),$D$9*(1-(IF($N206="X",ABS($O206-VALUE(MID(CP206,FIND("|",CP206)+1,FIND("-",CP206)-FIND("|",CP206)-1))),ABS($Q206-ABS(VALUE(MID(CP206,FIND("|",CP206)+1,FIND("-",CP206)-FIND("|",CP206)-1))-VALUE(MID(CP206,FIND("-",CP206)+1,10)))))*$D$50)))))*$I206,0)),0)</f>
        <v>0</v>
      </c>
      <c r="CR206" s="404"/>
      <c r="CS206" s="363"/>
      <c r="CT206" s="356" t="n">
        <f aca="false">IFERROR(IF($M206=CS206,($D$8+$D$9+$D$10)*$I206,IF($N206=LEFT(CS206,1),($D$8+MAX(0,IF($D$50=1,$D$9*(1-(ABS($Q206-ABS(VALUE(MID(CS206,FIND("|",CS206)+1,FIND("-",CS206)-FIND("|",CS206)-1))-VALUE(MID(CS206,FIND("-",CS206)+1,10)))))*$D$50),$D$9*(1-(IF($N206="X",ABS($O206-VALUE(MID(CS206,FIND("|",CS206)+1,FIND("-",CS206)-FIND("|",CS206)-1))),ABS($Q206-ABS(VALUE(MID(CS206,FIND("|",CS206)+1,FIND("-",CS206)-FIND("|",CS206)-1))-VALUE(MID(CS206,FIND("-",CS206)+1,10)))))*$D$50)))))*$I206,0)),0)</f>
        <v>0</v>
      </c>
      <c r="CU206" s="404"/>
      <c r="CV206" s="398"/>
      <c r="CW206" s="356" t="n">
        <f aca="false">IFERROR(IF($M206=CV206,($D$8+$D$9+$D$10)*$I206,IF($N206=LEFT(CV206,1),($D$8+MAX(0,IF($D$50=1,$D$9*(1-(ABS($Q206-ABS(VALUE(MID(CV206,FIND("|",CV206)+1,FIND("-",CV206)-FIND("|",CV206)-1))-VALUE(MID(CV206,FIND("-",CV206)+1,10)))))*$D$50),$D$9*(1-(IF($N206="X",ABS($O206-VALUE(MID(CV206,FIND("|",CV206)+1,FIND("-",CV206)-FIND("|",CV206)-1))),ABS($Q206-ABS(VALUE(MID(CV206,FIND("|",CV206)+1,FIND("-",CV206)-FIND("|",CV206)-1))-VALUE(MID(CV206,FIND("-",CV206)+1,10)))))*$D$50)))))*$I206,0)),0)</f>
        <v>0</v>
      </c>
      <c r="CX206" s="404"/>
      <c r="CY206" s="398"/>
      <c r="CZ206" s="356" t="n">
        <f aca="false">IFERROR(IF($M206=CY206,($D$8+$D$9+$D$10)*$I206,IF($N206=LEFT(CY206,1),($D$8+MAX(0,IF($D$50=1,$D$9*(1-(ABS($Q206-ABS(VALUE(MID(CY206,FIND("|",CY206)+1,FIND("-",CY206)-FIND("|",CY206)-1))-VALUE(MID(CY206,FIND("-",CY206)+1,10)))))*$D$50),$D$9*(1-(IF($N206="X",ABS($O206-VALUE(MID(CY206,FIND("|",CY206)+1,FIND("-",CY206)-FIND("|",CY206)-1))),ABS($Q206-ABS(VALUE(MID(CY206,FIND("|",CY206)+1,FIND("-",CY206)-FIND("|",CY206)-1))-VALUE(MID(CY206,FIND("-",CY206)+1,10)))))*$D$50)))))*$I206,0)),0)</f>
        <v>0</v>
      </c>
      <c r="DA206" s="404"/>
      <c r="DB206" s="398"/>
      <c r="DC206" s="356" t="n">
        <f aca="false">IFERROR(IF($M206=DB206,($D$8+$D$9+$D$10)*$I206,IF($N206=LEFT(DB206,1),($D$8+MAX(0,IF($D$50=1,$D$9*(1-(ABS($Q206-ABS(VALUE(MID(DB206,FIND("|",DB206)+1,FIND("-",DB206)-FIND("|",DB206)-1))-VALUE(MID(DB206,FIND("-",DB206)+1,10)))))*$D$50),$D$9*(1-(IF($N206="X",ABS($O206-VALUE(MID(DB206,FIND("|",DB206)+1,FIND("-",DB206)-FIND("|",DB206)-1))),ABS($Q206-ABS(VALUE(MID(DB206,FIND("|",DB206)+1,FIND("-",DB206)-FIND("|",DB206)-1))-VALUE(MID(DB206,FIND("-",DB206)+1,10)))))*$D$50)))))*$I206,0)),0)</f>
        <v>0</v>
      </c>
      <c r="DD206" s="404"/>
      <c r="DE206" s="363"/>
      <c r="DF206" s="356" t="n">
        <f aca="false">IFERROR(IF($M206=DE206,($D$8+$D$9+$D$10)*$I206,IF($N206=LEFT(DE206,1),($D$8+MAX(0,IF($D$50=1,$D$9*(1-(ABS($Q206-ABS(VALUE(MID(DE206,FIND("|",DE206)+1,FIND("-",DE206)-FIND("|",DE206)-1))-VALUE(MID(DE206,FIND("-",DE206)+1,10)))))*$D$50),$D$9*(1-(IF($N206="X",ABS($O206-VALUE(MID(DE206,FIND("|",DE206)+1,FIND("-",DE206)-FIND("|",DE206)-1))),ABS($Q206-ABS(VALUE(MID(DE206,FIND("|",DE206)+1,FIND("-",DE206)-FIND("|",DE206)-1))-VALUE(MID(DE206,FIND("-",DE206)+1,10)))))*$D$50)))))*$I206,0)),0)</f>
        <v>0</v>
      </c>
      <c r="DG206" s="404"/>
      <c r="DH206" s="363"/>
      <c r="DI206" s="356" t="n">
        <f aca="false">IFERROR(IF($M206=DH206,($D$8+$D$9+$D$10)*$I206,IF($N206=LEFT(DH206,1),($D$8+MAX(0,IF($D$50=1,$D$9*(1-(ABS($Q206-ABS(VALUE(MID(DH206,FIND("|",DH206)+1,FIND("-",DH206)-FIND("|",DH206)-1))-VALUE(MID(DH206,FIND("-",DH206)+1,10)))))*$D$50),$D$9*(1-(IF($N206="X",ABS($O206-VALUE(MID(DH206,FIND("|",DH206)+1,FIND("-",DH206)-FIND("|",DH206)-1))),ABS($Q206-ABS(VALUE(MID(DH206,FIND("|",DH206)+1,FIND("-",DH206)-FIND("|",DH206)-1))-VALUE(MID(DH206,FIND("-",DH206)+1,10)))))*$D$50)))))*$I206,0)),0)</f>
        <v>0</v>
      </c>
      <c r="DJ206" s="404"/>
      <c r="DK206" s="398"/>
      <c r="DL206" s="356" t="n">
        <f aca="false">IFERROR(IF($M206=DK206,($D$8+$D$9+$D$10)*$I206,IF($N206=LEFT(DK206,1),($D$8+MAX(0,IF($D$50=1,$D$9*(1-(ABS($Q206-ABS(VALUE(MID(DK206,FIND("|",DK206)+1,FIND("-",DK206)-FIND("|",DK206)-1))-VALUE(MID(DK206,FIND("-",DK206)+1,10)))))*$D$50),$D$9*(1-(IF($N206="X",ABS($O206-VALUE(MID(DK206,FIND("|",DK206)+1,FIND("-",DK206)-FIND("|",DK206)-1))),ABS($Q206-ABS(VALUE(MID(DK206,FIND("|",DK206)+1,FIND("-",DK206)-FIND("|",DK206)-1))-VALUE(MID(DK206,FIND("-",DK206)+1,10)))))*$D$50)))))*$I206,0)),0)</f>
        <v>0</v>
      </c>
      <c r="DM206" s="404"/>
      <c r="DN206" s="398"/>
      <c r="DO206" s="356" t="n">
        <f aca="false">IFERROR(IF($M206=DN206,($D$8+$D$9+$D$10)*$I206,IF($N206=LEFT(DN206,1),($D$8+MAX(0,IF($D$50=1,$D$9*(1-(ABS($Q206-ABS(VALUE(MID(DN206,FIND("|",DN206)+1,FIND("-",DN206)-FIND("|",DN206)-1))-VALUE(MID(DN206,FIND("-",DN206)+1,10)))))*$D$50),$D$9*(1-(IF($N206="X",ABS($O206-VALUE(MID(DN206,FIND("|",DN206)+1,FIND("-",DN206)-FIND("|",DN206)-1))),ABS($Q206-ABS(VALUE(MID(DN206,FIND("|",DN206)+1,FIND("-",DN206)-FIND("|",DN206)-1))-VALUE(MID(DN206,FIND("-",DN206)+1,10)))))*$D$50)))))*$I206,0)),0)</f>
        <v>0</v>
      </c>
      <c r="DP206" s="404"/>
      <c r="DQ206" s="398"/>
      <c r="DR206" s="356" t="n">
        <f aca="false">IFERROR(IF($M206=DQ206,($D$8+$D$9+$D$10)*$I206,IF($N206=LEFT(DQ206,1),($D$8+MAX(0,IF($D$50=1,$D$9*(1-(ABS($Q206-ABS(VALUE(MID(DQ206,FIND("|",DQ206)+1,FIND("-",DQ206)-FIND("|",DQ206)-1))-VALUE(MID(DQ206,FIND("-",DQ206)+1,10)))))*$D$50),$D$9*(1-(IF($N206="X",ABS($O206-VALUE(MID(DQ206,FIND("|",DQ206)+1,FIND("-",DQ206)-FIND("|",DQ206)-1))),ABS($Q206-ABS(VALUE(MID(DQ206,FIND("|",DQ206)+1,FIND("-",DQ206)-FIND("|",DQ206)-1))-VALUE(MID(DQ206,FIND("-",DQ206)+1,10)))))*$D$50)))))*$I206,0)),0)</f>
        <v>0</v>
      </c>
      <c r="DS206" s="404"/>
      <c r="DT206" s="363"/>
      <c r="DU206" s="356" t="n">
        <f aca="false">IFERROR(IF($M206=DT206,($D$8+$D$9+$D$10)*$I206,IF($N206=LEFT(DT206,1),($D$8+MAX(0,IF($D$50=1,$D$9*(1-(ABS($Q206-ABS(VALUE(MID(DT206,FIND("|",DT206)+1,FIND("-",DT206)-FIND("|",DT206)-1))-VALUE(MID(DT206,FIND("-",DT206)+1,10)))))*$D$50),$D$9*(1-(IF($N206="X",ABS($O206-VALUE(MID(DT206,FIND("|",DT206)+1,FIND("-",DT206)-FIND("|",DT206)-1))),ABS($Q206-ABS(VALUE(MID(DT206,FIND("|",DT206)+1,FIND("-",DT206)-FIND("|",DT206)-1))-VALUE(MID(DT206,FIND("-",DT206)+1,10)))))*$D$50)))))*$I206,0)),0)</f>
        <v>0</v>
      </c>
      <c r="DV206" s="404"/>
      <c r="DW206" s="363"/>
      <c r="DX206" s="356" t="n">
        <f aca="false">IFERROR(IF($M206=DW206,($D$8+$D$9+$D$10)*$I206,IF($N206=LEFT(DW206,1),($D$8+MAX(0,IF($D$50=1,$D$9*(1-(ABS($Q206-ABS(VALUE(MID(DW206,FIND("|",DW206)+1,FIND("-",DW206)-FIND("|",DW206)-1))-VALUE(MID(DW206,FIND("-",DW206)+1,10)))))*$D$50),$D$9*(1-(IF($N206="X",ABS($O206-VALUE(MID(DW206,FIND("|",DW206)+1,FIND("-",DW206)-FIND("|",DW206)-1))),ABS($Q206-ABS(VALUE(MID(DW206,FIND("|",DW206)+1,FIND("-",DW206)-FIND("|",DW206)-1))-VALUE(MID(DW206,FIND("-",DW206)+1,10)))))*$D$50)))))*$I206,0)),0)</f>
        <v>0</v>
      </c>
      <c r="DY206" s="404"/>
      <c r="DZ206" s="398"/>
      <c r="EA206" s="356" t="n">
        <f aca="false">IFERROR(IF($M206=DZ206,($D$8+$D$9+$D$10)*$I206,IF($N206=LEFT(DZ206,1),($D$8+MAX(0,IF($D$50=1,$D$9*(1-(ABS($Q206-ABS(VALUE(MID(DZ206,FIND("|",DZ206)+1,FIND("-",DZ206)-FIND("|",DZ206)-1))-VALUE(MID(DZ206,FIND("-",DZ206)+1,10)))))*$D$50),$D$9*(1-(IF($N206="X",ABS($O206-VALUE(MID(DZ206,FIND("|",DZ206)+1,FIND("-",DZ206)-FIND("|",DZ206)-1))),ABS($Q206-ABS(VALUE(MID(DZ206,FIND("|",DZ206)+1,FIND("-",DZ206)-FIND("|",DZ206)-1))-VALUE(MID(DZ206,FIND("-",DZ206)+1,10)))))*$D$50)))))*$I206,0)),0)</f>
        <v>0</v>
      </c>
      <c r="EB206" s="404"/>
      <c r="EC206" s="398"/>
      <c r="ED206" s="356" t="n">
        <f aca="false">IFERROR(IF($M206=EC206,($D$8+$D$9+$D$10)*$I206,IF($N206=LEFT(EC206,1),($D$8+MAX(0,IF($D$50=1,$D$9*(1-(ABS($Q206-ABS(VALUE(MID(EC206,FIND("|",EC206)+1,FIND("-",EC206)-FIND("|",EC206)-1))-VALUE(MID(EC206,FIND("-",EC206)+1,10)))))*$D$50),$D$9*(1-(IF($N206="X",ABS($O206-VALUE(MID(EC206,FIND("|",EC206)+1,FIND("-",EC206)-FIND("|",EC206)-1))),ABS($Q206-ABS(VALUE(MID(EC206,FIND("|",EC206)+1,FIND("-",EC206)-FIND("|",EC206)-1))-VALUE(MID(EC206,FIND("-",EC206)+1,10)))))*$D$50)))))*$I206,0)),0)</f>
        <v>0</v>
      </c>
      <c r="EE206" s="404"/>
      <c r="EF206" s="398"/>
      <c r="EG206" s="356" t="n">
        <f aca="false">IFERROR(IF($M206=EF206,($D$8+$D$9+$D$10)*$I206,IF($N206=LEFT(EF206,1),($D$8+MAX(0,IF($D$50=1,$D$9*(1-(ABS($Q206-ABS(VALUE(MID(EF206,FIND("|",EF206)+1,FIND("-",EF206)-FIND("|",EF206)-1))-VALUE(MID(EF206,FIND("-",EF206)+1,10)))))*$D$50),$D$9*(1-(IF($N206="X",ABS($O206-VALUE(MID(EF206,FIND("|",EF206)+1,FIND("-",EF206)-FIND("|",EF206)-1))),ABS($Q206-ABS(VALUE(MID(EF206,FIND("|",EF206)+1,FIND("-",EF206)-FIND("|",EF206)-1))-VALUE(MID(EF206,FIND("-",EF206)+1,10)))))*$D$50)))))*$I206,0)),0)</f>
        <v>0</v>
      </c>
      <c r="EH206" s="404"/>
      <c r="EI206" s="404"/>
    </row>
    <row r="207" customFormat="false" ht="15" hidden="false" customHeight="false" outlineLevel="0" collapsed="false">
      <c r="A207" s="332" t="n">
        <f aca="false">WORLDCUP!AD127</f>
        <v>0</v>
      </c>
      <c r="B207" s="332" t="n">
        <f aca="false">WORLDCUP!AC127</f>
        <v>0</v>
      </c>
      <c r="C207" s="422" t="str">
        <f aca="false">CONCATENATE(WORLDCUP!AF127,"-",WORLDCUP!AA127)</f>
        <v>W87-W85</v>
      </c>
      <c r="D207" s="422" t="str">
        <f aca="false">IF(WORLDCUP!AC127&gt;WORLDCUP!AD127,2,IF(WORLDCUP!AC127&lt;WORLDCUP!AD127,1,IF(AND(WORLDCUP!AC127=WORLDCUP!AD127,WORLDCUP!AC127&lt;&gt;"",WORLDCUP!AD127&lt;&gt;""),0,"PD")))</f>
        <v>PD</v>
      </c>
      <c r="E207" s="422" t="str">
        <f aca="false">IF(OR(WORLDCUP!AD127="",WORLDCUP!AC127=""),"-",A207&amp;"-"&amp;B207)</f>
        <v>-</v>
      </c>
      <c r="F207" s="423" t="n">
        <f aca="false">SUM($D$20:$D$22)*I207</f>
        <v>17</v>
      </c>
      <c r="G207" s="423" t="n">
        <f aca="false">VLOOKUP(H207,Equipos!$Q$1:$R$25,2,0)</f>
        <v>21</v>
      </c>
      <c r="H207" s="410" t="str">
        <f aca="false">Idiomas!$D$261</f>
        <v>Octavos de final</v>
      </c>
      <c r="I207" s="425" t="n">
        <v>1</v>
      </c>
      <c r="J207" s="418"/>
      <c r="K207" s="396" t="str">
        <f aca="false">CONCATENATE(WORLDCUP!AA127,"-",WORLDCUP!AF127)</f>
        <v>W85-W87</v>
      </c>
      <c r="L207" s="396" t="str">
        <f aca="false">IF(OR(WORLDCUP!AC127="",WORLDCUP!AD127=""),"PD",IF(WORLDCUP!AC127&gt;WORLDCUP!AD127,1,IF(WORLDCUP!AC127&lt;WORLDCUP!AD127,2,0)))</f>
        <v>PD</v>
      </c>
      <c r="M207" s="359" t="str">
        <f aca="false">IF(OR(WORLDCUP!AC127="",WORLDCUP!AD127=""),"-",N207&amp;"|"&amp;O207&amp;"-"&amp;P207)</f>
        <v>-</v>
      </c>
      <c r="N207" s="332" t="str">
        <f aca="false">IF(OR(WORLDCUP!AC127="",WORLDCUP!AD127=""),"",IF(WORLDCUP!AC127&gt;WORLDCUP!AD127,"1",IF(WORLDCUP!AC127&lt;WORLDCUP!AD127,"2","X")))</f>
        <v/>
      </c>
      <c r="O207" s="332" t="n">
        <f aca="false">WORLDCUP!AC127</f>
        <v>0</v>
      </c>
      <c r="P207" s="332" t="n">
        <f aca="false">WORLDCUP!AD127</f>
        <v>0</v>
      </c>
      <c r="Q207" s="332" t="n">
        <f aca="false">ABS(O207-P207)</f>
        <v>0</v>
      </c>
      <c r="R207" s="404"/>
      <c r="S207" s="398" t="s">
        <v>312</v>
      </c>
      <c r="T207" s="356" t="n">
        <f aca="false">IFERROR(IF($M207=S207,($D$8+$D$9+$D$10)*$I207,IF($N207=LEFT(S207,1),($D$8+MAX(0,IF($D$50=1,$D$9*(1-(ABS($Q207-ABS(VALUE(MID(S207,FIND("|",S207)+1,FIND("-",S207)-FIND("|",S207)-1))-VALUE(MID(S207,FIND("-",S207)+1,10)))))*$D$50),$D$9*(1-(IF($N207="X",ABS($O207-VALUE(MID(S207,FIND("|",S207)+1,FIND("-",S207)-FIND("|",S207)-1))),ABS($Q207-ABS(VALUE(MID(S207,FIND("|",S207)+1,FIND("-",S207)-FIND("|",S207)-1))-VALUE(MID(S207,FIND("-",S207)+1,10)))))*$D$50)))))*$I207,0)),0)</f>
        <v>0</v>
      </c>
      <c r="U207" s="404"/>
      <c r="V207" s="363" t="s">
        <v>268</v>
      </c>
      <c r="W207" s="356" t="n">
        <f aca="false">IFERROR(IF($M207=V207,($D$8+$D$9+$D$10)*$I207,IF($N207=LEFT(V207,1),($D$8+MAX(0,IF($D$50=1,$D$9*(1-(ABS($Q207-ABS(VALUE(MID(V207,FIND("|",V207)+1,FIND("-",V207)-FIND("|",V207)-1))-VALUE(MID(V207,FIND("-",V207)+1,10)))))*$D$50),$D$9*(1-(IF($N207="X",ABS($O207-VALUE(MID(V207,FIND("|",V207)+1,FIND("-",V207)-FIND("|",V207)-1))),ABS($Q207-ABS(VALUE(MID(V207,FIND("|",V207)+1,FIND("-",V207)-FIND("|",V207)-1))-VALUE(MID(V207,FIND("-",V207)+1,10)))))*$D$50)))))*$I207,0)),0)</f>
        <v>0</v>
      </c>
      <c r="X207" s="404"/>
      <c r="Y207" s="398" t="s">
        <v>274</v>
      </c>
      <c r="Z207" s="356" t="n">
        <f aca="false">IFERROR(IF($M207=Y207,($D$8+$D$9+$D$10)*$I207,IF($N207=LEFT(Y207,1),($D$8+MAX(0,IF($D$50=1,$D$9*(1-(ABS($Q207-ABS(VALUE(MID(Y207,FIND("|",Y207)+1,FIND("-",Y207)-FIND("|",Y207)-1))-VALUE(MID(Y207,FIND("-",Y207)+1,10)))))*$D$50),$D$9*(1-(IF($N207="X",ABS($O207-VALUE(MID(Y207,FIND("|",Y207)+1,FIND("-",Y207)-FIND("|",Y207)-1))),ABS($Q207-ABS(VALUE(MID(Y207,FIND("|",Y207)+1,FIND("-",Y207)-FIND("|",Y207)-1))-VALUE(MID(Y207,FIND("-",Y207)+1,10)))))*$D$50)))))*$I207,0)),0)</f>
        <v>0</v>
      </c>
      <c r="AA207" s="404"/>
      <c r="AB207" s="398" t="s">
        <v>274</v>
      </c>
      <c r="AC207" s="356" t="n">
        <f aca="false">IFERROR(IF($M207=AB207,($D$8+$D$9+$D$10)*$I207,IF($N207=LEFT(AB207,1),($D$8+MAX(0,IF($D$50=1,$D$9*(1-(ABS($Q207-ABS(VALUE(MID(AB207,FIND("|",AB207)+1,FIND("-",AB207)-FIND("|",AB207)-1))-VALUE(MID(AB207,FIND("-",AB207)+1,10)))))*$D$50),$D$9*(1-(IF($N207="X",ABS($O207-VALUE(MID(AB207,FIND("|",AB207)+1,FIND("-",AB207)-FIND("|",AB207)-1))),ABS($Q207-ABS(VALUE(MID(AB207,FIND("|",AB207)+1,FIND("-",AB207)-FIND("|",AB207)-1))-VALUE(MID(AB207,FIND("-",AB207)+1,10)))))*$D$50)))))*$I207,0)),0)</f>
        <v>0</v>
      </c>
      <c r="AD207" s="404"/>
      <c r="AE207" s="398" t="s">
        <v>274</v>
      </c>
      <c r="AF207" s="356" t="n">
        <f aca="false">IFERROR(IF($M207=AE207,($D$8+$D$9+$D$10)*$I207,IF($N207=LEFT(AE207,1),($D$8+MAX(0,IF($D$50=1,$D$9*(1-(ABS($Q207-ABS(VALUE(MID(AE207,FIND("|",AE207)+1,FIND("-",AE207)-FIND("|",AE207)-1))-VALUE(MID(AE207,FIND("-",AE207)+1,10)))))*$D$50),$D$9*(1-(IF($N207="X",ABS($O207-VALUE(MID(AE207,FIND("|",AE207)+1,FIND("-",AE207)-FIND("|",AE207)-1))),ABS($Q207-ABS(VALUE(MID(AE207,FIND("|",AE207)+1,FIND("-",AE207)-FIND("|",AE207)-1))-VALUE(MID(AE207,FIND("-",AE207)+1,10)))))*$D$50)))))*$I207,0)),0)</f>
        <v>0</v>
      </c>
      <c r="AG207" s="404"/>
      <c r="AH207" s="398" t="s">
        <v>274</v>
      </c>
      <c r="AI207" s="356" t="n">
        <f aca="false">IFERROR(IF($M207=AH207,($D$8+$D$9+$D$10)*$I207,IF($N207=LEFT(AH207,1),($D$8+MAX(0,IF($D$50=1,$D$9*(1-(ABS($Q207-ABS(VALUE(MID(AH207,FIND("|",AH207)+1,FIND("-",AH207)-FIND("|",AH207)-1))-VALUE(MID(AH207,FIND("-",AH207)+1,10)))))*$D$50),$D$9*(1-(IF($N207="X",ABS($O207-VALUE(MID(AH207,FIND("|",AH207)+1,FIND("-",AH207)-FIND("|",AH207)-1))),ABS($Q207-ABS(VALUE(MID(AH207,FIND("|",AH207)+1,FIND("-",AH207)-FIND("|",AH207)-1))-VALUE(MID(AH207,FIND("-",AH207)+1,10)))))*$D$50)))))*$I207,0)),0)</f>
        <v>0</v>
      </c>
      <c r="AJ207" s="404"/>
      <c r="AK207" s="363" t="s">
        <v>268</v>
      </c>
      <c r="AL207" s="356" t="n">
        <f aca="false">IFERROR(IF($M207=AK207,($D$8+$D$9+$D$10)*$I207,IF($N207=LEFT(AK207,1),($D$8+MAX(0,IF($D$50=1,$D$9*(1-(ABS($Q207-ABS(VALUE(MID(AK207,FIND("|",AK207)+1,FIND("-",AK207)-FIND("|",AK207)-1))-VALUE(MID(AK207,FIND("-",AK207)+1,10)))))*$D$50),$D$9*(1-(IF($N207="X",ABS($O207-VALUE(MID(AK207,FIND("|",AK207)+1,FIND("-",AK207)-FIND("|",AK207)-1))),ABS($Q207-ABS(VALUE(MID(AK207,FIND("|",AK207)+1,FIND("-",AK207)-FIND("|",AK207)-1))-VALUE(MID(AK207,FIND("-",AK207)+1,10)))))*$D$50)))))*$I207,0)),0)</f>
        <v>0</v>
      </c>
      <c r="AM207" s="404"/>
      <c r="AN207" s="398" t="s">
        <v>268</v>
      </c>
      <c r="AO207" s="356" t="n">
        <f aca="false">IFERROR(IF($M207=AN207,($D$8+$D$9+$D$10)*$I207,IF($N207=LEFT(AN207,1),($D$8+MAX(0,IF($D$50=1,$D$9*(1-(ABS($Q207-ABS(VALUE(MID(AN207,FIND("|",AN207)+1,FIND("-",AN207)-FIND("|",AN207)-1))-VALUE(MID(AN207,FIND("-",AN207)+1,10)))))*$D$50),$D$9*(1-(IF($N207="X",ABS($O207-VALUE(MID(AN207,FIND("|",AN207)+1,FIND("-",AN207)-FIND("|",AN207)-1))),ABS($Q207-ABS(VALUE(MID(AN207,FIND("|",AN207)+1,FIND("-",AN207)-FIND("|",AN207)-1))-VALUE(MID(AN207,FIND("-",AN207)+1,10)))))*$D$50)))))*$I207,0)),0)</f>
        <v>0</v>
      </c>
      <c r="AP207" s="404"/>
      <c r="AQ207" s="398" t="s">
        <v>277</v>
      </c>
      <c r="AR207" s="356" t="n">
        <f aca="false">IFERROR(IF($M207=AQ207,($D$8+$D$9+$D$10)*$I207,IF($N207=LEFT(AQ207,1),($D$8+MAX(0,IF($D$50=1,$D$9*(1-(ABS($Q207-ABS(VALUE(MID(AQ207,FIND("|",AQ207)+1,FIND("-",AQ207)-FIND("|",AQ207)-1))-VALUE(MID(AQ207,FIND("-",AQ207)+1,10)))))*$D$50),$D$9*(1-(IF($N207="X",ABS($O207-VALUE(MID(AQ207,FIND("|",AQ207)+1,FIND("-",AQ207)-FIND("|",AQ207)-1))),ABS($Q207-ABS(VALUE(MID(AQ207,FIND("|",AQ207)+1,FIND("-",AQ207)-FIND("|",AQ207)-1))-VALUE(MID(AQ207,FIND("-",AQ207)+1,10)))))*$D$50)))))*$I207,0)),0)</f>
        <v>0</v>
      </c>
      <c r="AS207" s="404"/>
      <c r="AT207" s="398" t="s">
        <v>312</v>
      </c>
      <c r="AU207" s="356" t="n">
        <f aca="false">IFERROR(IF($M207=AT207,($D$8+$D$9+$D$10)*$I207,IF($N207=LEFT(AT207,1),($D$8+MAX(0,IF($D$50=1,$D$9*(1-(ABS($Q207-ABS(VALUE(MID(AT207,FIND("|",AT207)+1,FIND("-",AT207)-FIND("|",AT207)-1))-VALUE(MID(AT207,FIND("-",AT207)+1,10)))))*$D$50),$D$9*(1-(IF($N207="X",ABS($O207-VALUE(MID(AT207,FIND("|",AT207)+1,FIND("-",AT207)-FIND("|",AT207)-1))),ABS($Q207-ABS(VALUE(MID(AT207,FIND("|",AT207)+1,FIND("-",AT207)-FIND("|",AT207)-1))-VALUE(MID(AT207,FIND("-",AT207)+1,10)))))*$D$50)))))*$I207,0)),0)</f>
        <v>0</v>
      </c>
      <c r="AV207" s="404"/>
      <c r="AW207" s="398" t="s">
        <v>271</v>
      </c>
      <c r="AX207" s="356" t="n">
        <f aca="false">IFERROR(IF($M207=AW207,($D$8+$D$9+$D$10)*$I207,IF($N207=LEFT(AW207,1),($D$8+MAX(0,IF($D$50=1,$D$9*(1-(ABS($Q207-ABS(VALUE(MID(AW207,FIND("|",AW207)+1,FIND("-",AW207)-FIND("|",AW207)-1))-VALUE(MID(AW207,FIND("-",AW207)+1,10)))))*$D$50),$D$9*(1-(IF($N207="X",ABS($O207-VALUE(MID(AW207,FIND("|",AW207)+1,FIND("-",AW207)-FIND("|",AW207)-1))),ABS($Q207-ABS(VALUE(MID(AW207,FIND("|",AW207)+1,FIND("-",AW207)-FIND("|",AW207)-1))-VALUE(MID(AW207,FIND("-",AW207)+1,10)))))*$D$50)))))*$I207,0)),0)</f>
        <v>0</v>
      </c>
      <c r="AY207" s="404"/>
      <c r="AZ207" s="363" t="s">
        <v>268</v>
      </c>
      <c r="BA207" s="356" t="n">
        <f aca="false">IFERROR(IF($M207=AZ207,($D$8+$D$9+$D$10)*$I207,IF($N207=LEFT(AZ207,1),($D$8+MAX(0,IF($D$50=1,$D$9*(1-(ABS($Q207-ABS(VALUE(MID(AZ207,FIND("|",AZ207)+1,FIND("-",AZ207)-FIND("|",AZ207)-1))-VALUE(MID(AZ207,FIND("-",AZ207)+1,10)))))*$D$50),$D$9*(1-(IF($N207="X",ABS($O207-VALUE(MID(AZ207,FIND("|",AZ207)+1,FIND("-",AZ207)-FIND("|",AZ207)-1))),ABS($Q207-ABS(VALUE(MID(AZ207,FIND("|",AZ207)+1,FIND("-",AZ207)-FIND("|",AZ207)-1))-VALUE(MID(AZ207,FIND("-",AZ207)+1,10)))))*$D$50)))))*$I207,0)),0)</f>
        <v>0</v>
      </c>
      <c r="BB207" s="404"/>
      <c r="BC207" s="398" t="s">
        <v>268</v>
      </c>
      <c r="BD207" s="356" t="n">
        <f aca="false">IFERROR(IF($M207=BC207,($D$8+$D$9+$D$10)*$I207,IF($N207=LEFT(BC207,1),($D$8+MAX(0,IF($D$50=1,$D$9*(1-(ABS($Q207-ABS(VALUE(MID(BC207,FIND("|",BC207)+1,FIND("-",BC207)-FIND("|",BC207)-1))-VALUE(MID(BC207,FIND("-",BC207)+1,10)))))*$D$50),$D$9*(1-(IF($N207="X",ABS($O207-VALUE(MID(BC207,FIND("|",BC207)+1,FIND("-",BC207)-FIND("|",BC207)-1))),ABS($Q207-ABS(VALUE(MID(BC207,FIND("|",BC207)+1,FIND("-",BC207)-FIND("|",BC207)-1))-VALUE(MID(BC207,FIND("-",BC207)+1,10)))))*$D$50)))))*$I207,0)),0)</f>
        <v>0</v>
      </c>
      <c r="BE207" s="404"/>
      <c r="BF207" s="398" t="s">
        <v>318</v>
      </c>
      <c r="BG207" s="356" t="n">
        <f aca="false">IFERROR(IF($M207=BF207,($D$8+$D$9+$D$10)*$I207,IF($N207=LEFT(BF207,1),($D$8+MAX(0,IF($D$50=1,$D$9*(1-(ABS($Q207-ABS(VALUE(MID(BF207,FIND("|",BF207)+1,FIND("-",BF207)-FIND("|",BF207)-1))-VALUE(MID(BF207,FIND("-",BF207)+1,10)))))*$D$50),$D$9*(1-(IF($N207="X",ABS($O207-VALUE(MID(BF207,FIND("|",BF207)+1,FIND("-",BF207)-FIND("|",BF207)-1))),ABS($Q207-ABS(VALUE(MID(BF207,FIND("|",BF207)+1,FIND("-",BF207)-FIND("|",BF207)-1))-VALUE(MID(BF207,FIND("-",BF207)+1,10)))))*$D$50)))))*$I207,0)),0)</f>
        <v>0</v>
      </c>
      <c r="BH207" s="404"/>
      <c r="BI207" s="398" t="s">
        <v>274</v>
      </c>
      <c r="BJ207" s="356" t="n">
        <f aca="false">IFERROR(IF($M207=BI207,($D$8+$D$9+$D$10)*$I207,IF($N207=LEFT(BI207,1),($D$8+MAX(0,IF($D$50=1,$D$9*(1-(ABS($Q207-ABS(VALUE(MID(BI207,FIND("|",BI207)+1,FIND("-",BI207)-FIND("|",BI207)-1))-VALUE(MID(BI207,FIND("-",BI207)+1,10)))))*$D$50),$D$9*(1-(IF($N207="X",ABS($O207-VALUE(MID(BI207,FIND("|",BI207)+1,FIND("-",BI207)-FIND("|",BI207)-1))),ABS($Q207-ABS(VALUE(MID(BI207,FIND("|",BI207)+1,FIND("-",BI207)-FIND("|",BI207)-1))-VALUE(MID(BI207,FIND("-",BI207)+1,10)))))*$D$50)))))*$I207,0)),0)</f>
        <v>0</v>
      </c>
      <c r="BK207" s="404"/>
      <c r="BL207" s="398" t="s">
        <v>271</v>
      </c>
      <c r="BM207" s="356" t="n">
        <f aca="false">IFERROR(IF($M207=BL207,($D$8+$D$9+$D$10)*$I207,IF($N207=LEFT(BL207,1),($D$8+MAX(0,IF($D$50=1,$D$9*(1-(ABS($Q207-ABS(VALUE(MID(BL207,FIND("|",BL207)+1,FIND("-",BL207)-FIND("|",BL207)-1))-VALUE(MID(BL207,FIND("-",BL207)+1,10)))))*$D$50),$D$9*(1-(IF($N207="X",ABS($O207-VALUE(MID(BL207,FIND("|",BL207)+1,FIND("-",BL207)-FIND("|",BL207)-1))),ABS($Q207-ABS(VALUE(MID(BL207,FIND("|",BL207)+1,FIND("-",BL207)-FIND("|",BL207)-1))-VALUE(MID(BL207,FIND("-",BL207)+1,10)))))*$D$50)))))*$I207,0)),0)</f>
        <v>0</v>
      </c>
      <c r="BN207" s="404"/>
      <c r="BO207" s="363" t="s">
        <v>267</v>
      </c>
      <c r="BP207" s="356" t="n">
        <f aca="false">IFERROR(IF($M207=BO207,($D$8+$D$9+$D$10)*$I207,IF($N207=LEFT(BO207,1),($D$8+MAX(0,IF($D$50=1,$D$9*(1-(ABS($Q207-ABS(VALUE(MID(BO207,FIND("|",BO207)+1,FIND("-",BO207)-FIND("|",BO207)-1))-VALUE(MID(BO207,FIND("-",BO207)+1,10)))))*$D$50),$D$9*(1-(IF($N207="X",ABS($O207-VALUE(MID(BO207,FIND("|",BO207)+1,FIND("-",BO207)-FIND("|",BO207)-1))),ABS($Q207-ABS(VALUE(MID(BO207,FIND("|",BO207)+1,FIND("-",BO207)-FIND("|",BO207)-1))-VALUE(MID(BO207,FIND("-",BO207)+1,10)))))*$D$50)))))*$I207,0)),0)</f>
        <v>0</v>
      </c>
      <c r="BQ207" s="404"/>
      <c r="BR207" s="398" t="s">
        <v>268</v>
      </c>
      <c r="BS207" s="356" t="n">
        <f aca="false">IFERROR(IF($M207=BR207,($D$8+$D$9+$D$10)*$I207,IF($N207=LEFT(BR207,1),($D$8+MAX(0,IF($D$50=1,$D$9*(1-(ABS($Q207-ABS(VALUE(MID(BR207,FIND("|",BR207)+1,FIND("-",BR207)-FIND("|",BR207)-1))-VALUE(MID(BR207,FIND("-",BR207)+1,10)))))*$D$50),$D$9*(1-(IF($N207="X",ABS($O207-VALUE(MID(BR207,FIND("|",BR207)+1,FIND("-",BR207)-FIND("|",BR207)-1))),ABS($Q207-ABS(VALUE(MID(BR207,FIND("|",BR207)+1,FIND("-",BR207)-FIND("|",BR207)-1))-VALUE(MID(BR207,FIND("-",BR207)+1,10)))))*$D$50)))))*$I207,0)),0)</f>
        <v>0</v>
      </c>
      <c r="BT207" s="404"/>
      <c r="BU207" s="398"/>
      <c r="BV207" s="356" t="n">
        <f aca="false">IFERROR(IF($M207=BU207,($D$8+$D$9+$D$10)*$I207,IF($N207=LEFT(BU207,1),($D$8+MAX(0,IF($D$50=1,$D$9*(1-(ABS($Q207-ABS(VALUE(MID(BU207,FIND("|",BU207)+1,FIND("-",BU207)-FIND("|",BU207)-1))-VALUE(MID(BU207,FIND("-",BU207)+1,10)))))*$D$50),$D$9*(1-(IF($N207="X",ABS($O207-VALUE(MID(BU207,FIND("|",BU207)+1,FIND("-",BU207)-FIND("|",BU207)-1))),ABS($Q207-ABS(VALUE(MID(BU207,FIND("|",BU207)+1,FIND("-",BU207)-FIND("|",BU207)-1))-VALUE(MID(BU207,FIND("-",BU207)+1,10)))))*$D$50)))))*$I207,0)),0)</f>
        <v>0</v>
      </c>
      <c r="BW207" s="404"/>
      <c r="BX207" s="398"/>
      <c r="BY207" s="356" t="n">
        <f aca="false">IFERROR(IF($M207=BX207,($D$8+$D$9+$D$10)*$I207,IF($N207=LEFT(BX207,1),($D$8+MAX(0,IF($D$50=1,$D$9*(1-(ABS($Q207-ABS(VALUE(MID(BX207,FIND("|",BX207)+1,FIND("-",BX207)-FIND("|",BX207)-1))-VALUE(MID(BX207,FIND("-",BX207)+1,10)))))*$D$50),$D$9*(1-(IF($N207="X",ABS($O207-VALUE(MID(BX207,FIND("|",BX207)+1,FIND("-",BX207)-FIND("|",BX207)-1))),ABS($Q207-ABS(VALUE(MID(BX207,FIND("|",BX207)+1,FIND("-",BX207)-FIND("|",BX207)-1))-VALUE(MID(BX207,FIND("-",BX207)+1,10)))))*$D$50)))))*$I207,0)),0)</f>
        <v>0</v>
      </c>
      <c r="BZ207" s="404"/>
      <c r="CA207" s="398"/>
      <c r="CB207" s="356" t="n">
        <f aca="false">IFERROR(IF($M207=CA207,($D$8+$D$9+$D$10)*$I207,IF($N207=LEFT(CA207,1),($D$8+MAX(0,IF($D$50=1,$D$9*(1-(ABS($Q207-ABS(VALUE(MID(CA207,FIND("|",CA207)+1,FIND("-",CA207)-FIND("|",CA207)-1))-VALUE(MID(CA207,FIND("-",CA207)+1,10)))))*$D$50),$D$9*(1-(IF($N207="X",ABS($O207-VALUE(MID(CA207,FIND("|",CA207)+1,FIND("-",CA207)-FIND("|",CA207)-1))),ABS($Q207-ABS(VALUE(MID(CA207,FIND("|",CA207)+1,FIND("-",CA207)-FIND("|",CA207)-1))-VALUE(MID(CA207,FIND("-",CA207)+1,10)))))*$D$50)))))*$I207,0)),0)</f>
        <v>0</v>
      </c>
      <c r="CC207" s="404"/>
      <c r="CD207" s="363"/>
      <c r="CE207" s="356" t="n">
        <f aca="false">IFERROR(IF($M207=CD207,($D$8+$D$9+$D$10)*$I207,IF($N207=LEFT(CD207,1),($D$8+MAX(0,IF($D$50=1,$D$9*(1-(ABS($Q207-ABS(VALUE(MID(CD207,FIND("|",CD207)+1,FIND("-",CD207)-FIND("|",CD207)-1))-VALUE(MID(CD207,FIND("-",CD207)+1,10)))))*$D$50),$D$9*(1-(IF($N207="X",ABS($O207-VALUE(MID(CD207,FIND("|",CD207)+1,FIND("-",CD207)-FIND("|",CD207)-1))),ABS($Q207-ABS(VALUE(MID(CD207,FIND("|",CD207)+1,FIND("-",CD207)-FIND("|",CD207)-1))-VALUE(MID(CD207,FIND("-",CD207)+1,10)))))*$D$50)))))*$I207,0)),0)</f>
        <v>0</v>
      </c>
      <c r="CF207" s="404"/>
      <c r="CG207" s="398"/>
      <c r="CH207" s="356" t="n">
        <f aca="false">IFERROR(IF($M207=CG207,($D$8+$D$9+$D$10)*$I207,IF($N207=LEFT(CG207,1),($D$8+MAX(0,IF($D$50=1,$D$9*(1-(ABS($Q207-ABS(VALUE(MID(CG207,FIND("|",CG207)+1,FIND("-",CG207)-FIND("|",CG207)-1))-VALUE(MID(CG207,FIND("-",CG207)+1,10)))))*$D$50),$D$9*(1-(IF($N207="X",ABS($O207-VALUE(MID(CG207,FIND("|",CG207)+1,FIND("-",CG207)-FIND("|",CG207)-1))),ABS($Q207-ABS(VALUE(MID(CG207,FIND("|",CG207)+1,FIND("-",CG207)-FIND("|",CG207)-1))-VALUE(MID(CG207,FIND("-",CG207)+1,10)))))*$D$50)))))*$I207,0)),0)</f>
        <v>0</v>
      </c>
      <c r="CI207" s="404"/>
      <c r="CJ207" s="398"/>
      <c r="CK207" s="356" t="n">
        <f aca="false">IFERROR(IF($M207=CJ207,($D$8+$D$9+$D$10)*$I207,IF($N207=LEFT(CJ207,1),($D$8+MAX(0,IF($D$50=1,$D$9*(1-(ABS($Q207-ABS(VALUE(MID(CJ207,FIND("|",CJ207)+1,FIND("-",CJ207)-FIND("|",CJ207)-1))-VALUE(MID(CJ207,FIND("-",CJ207)+1,10)))))*$D$50),$D$9*(1-(IF($N207="X",ABS($O207-VALUE(MID(CJ207,FIND("|",CJ207)+1,FIND("-",CJ207)-FIND("|",CJ207)-1))),ABS($Q207-ABS(VALUE(MID(CJ207,FIND("|",CJ207)+1,FIND("-",CJ207)-FIND("|",CJ207)-1))-VALUE(MID(CJ207,FIND("-",CJ207)+1,10)))))*$D$50)))))*$I207,0)),0)</f>
        <v>0</v>
      </c>
      <c r="CL207" s="404"/>
      <c r="CM207" s="398"/>
      <c r="CN207" s="356" t="n">
        <f aca="false">IFERROR(IF($M207=CM207,($D$8+$D$9+$D$10)*$I207,IF($N207=LEFT(CM207,1),($D$8+MAX(0,IF($D$50=1,$D$9*(1-(ABS($Q207-ABS(VALUE(MID(CM207,FIND("|",CM207)+1,FIND("-",CM207)-FIND("|",CM207)-1))-VALUE(MID(CM207,FIND("-",CM207)+1,10)))))*$D$50),$D$9*(1-(IF($N207="X",ABS($O207-VALUE(MID(CM207,FIND("|",CM207)+1,FIND("-",CM207)-FIND("|",CM207)-1))),ABS($Q207-ABS(VALUE(MID(CM207,FIND("|",CM207)+1,FIND("-",CM207)-FIND("|",CM207)-1))-VALUE(MID(CM207,FIND("-",CM207)+1,10)))))*$D$50)))))*$I207,0)),0)</f>
        <v>0</v>
      </c>
      <c r="CO207" s="404"/>
      <c r="CP207" s="398"/>
      <c r="CQ207" s="356" t="n">
        <f aca="false">IFERROR(IF($M207=CP207,($D$8+$D$9+$D$10)*$I207,IF($N207=LEFT(CP207,1),($D$8+MAX(0,IF($D$50=1,$D$9*(1-(ABS($Q207-ABS(VALUE(MID(CP207,FIND("|",CP207)+1,FIND("-",CP207)-FIND("|",CP207)-1))-VALUE(MID(CP207,FIND("-",CP207)+1,10)))))*$D$50),$D$9*(1-(IF($N207="X",ABS($O207-VALUE(MID(CP207,FIND("|",CP207)+1,FIND("-",CP207)-FIND("|",CP207)-1))),ABS($Q207-ABS(VALUE(MID(CP207,FIND("|",CP207)+1,FIND("-",CP207)-FIND("|",CP207)-1))-VALUE(MID(CP207,FIND("-",CP207)+1,10)))))*$D$50)))))*$I207,0)),0)</f>
        <v>0</v>
      </c>
      <c r="CR207" s="404"/>
      <c r="CS207" s="363"/>
      <c r="CT207" s="356" t="n">
        <f aca="false">IFERROR(IF($M207=CS207,($D$8+$D$9+$D$10)*$I207,IF($N207=LEFT(CS207,1),($D$8+MAX(0,IF($D$50=1,$D$9*(1-(ABS($Q207-ABS(VALUE(MID(CS207,FIND("|",CS207)+1,FIND("-",CS207)-FIND("|",CS207)-1))-VALUE(MID(CS207,FIND("-",CS207)+1,10)))))*$D$50),$D$9*(1-(IF($N207="X",ABS($O207-VALUE(MID(CS207,FIND("|",CS207)+1,FIND("-",CS207)-FIND("|",CS207)-1))),ABS($Q207-ABS(VALUE(MID(CS207,FIND("|",CS207)+1,FIND("-",CS207)-FIND("|",CS207)-1))-VALUE(MID(CS207,FIND("-",CS207)+1,10)))))*$D$50)))))*$I207,0)),0)</f>
        <v>0</v>
      </c>
      <c r="CU207" s="404"/>
      <c r="CV207" s="398"/>
      <c r="CW207" s="356" t="n">
        <f aca="false">IFERROR(IF($M207=CV207,($D$8+$D$9+$D$10)*$I207,IF($N207=LEFT(CV207,1),($D$8+MAX(0,IF($D$50=1,$D$9*(1-(ABS($Q207-ABS(VALUE(MID(CV207,FIND("|",CV207)+1,FIND("-",CV207)-FIND("|",CV207)-1))-VALUE(MID(CV207,FIND("-",CV207)+1,10)))))*$D$50),$D$9*(1-(IF($N207="X",ABS($O207-VALUE(MID(CV207,FIND("|",CV207)+1,FIND("-",CV207)-FIND("|",CV207)-1))),ABS($Q207-ABS(VALUE(MID(CV207,FIND("|",CV207)+1,FIND("-",CV207)-FIND("|",CV207)-1))-VALUE(MID(CV207,FIND("-",CV207)+1,10)))))*$D$50)))))*$I207,0)),0)</f>
        <v>0</v>
      </c>
      <c r="CX207" s="404"/>
      <c r="CY207" s="398"/>
      <c r="CZ207" s="356" t="n">
        <f aca="false">IFERROR(IF($M207=CY207,($D$8+$D$9+$D$10)*$I207,IF($N207=LEFT(CY207,1),($D$8+MAX(0,IF($D$50=1,$D$9*(1-(ABS($Q207-ABS(VALUE(MID(CY207,FIND("|",CY207)+1,FIND("-",CY207)-FIND("|",CY207)-1))-VALUE(MID(CY207,FIND("-",CY207)+1,10)))))*$D$50),$D$9*(1-(IF($N207="X",ABS($O207-VALUE(MID(CY207,FIND("|",CY207)+1,FIND("-",CY207)-FIND("|",CY207)-1))),ABS($Q207-ABS(VALUE(MID(CY207,FIND("|",CY207)+1,FIND("-",CY207)-FIND("|",CY207)-1))-VALUE(MID(CY207,FIND("-",CY207)+1,10)))))*$D$50)))))*$I207,0)),0)</f>
        <v>0</v>
      </c>
      <c r="DA207" s="404"/>
      <c r="DB207" s="398"/>
      <c r="DC207" s="356" t="n">
        <f aca="false">IFERROR(IF($M207=DB207,($D$8+$D$9+$D$10)*$I207,IF($N207=LEFT(DB207,1),($D$8+MAX(0,IF($D$50=1,$D$9*(1-(ABS($Q207-ABS(VALUE(MID(DB207,FIND("|",DB207)+1,FIND("-",DB207)-FIND("|",DB207)-1))-VALUE(MID(DB207,FIND("-",DB207)+1,10)))))*$D$50),$D$9*(1-(IF($N207="X",ABS($O207-VALUE(MID(DB207,FIND("|",DB207)+1,FIND("-",DB207)-FIND("|",DB207)-1))),ABS($Q207-ABS(VALUE(MID(DB207,FIND("|",DB207)+1,FIND("-",DB207)-FIND("|",DB207)-1))-VALUE(MID(DB207,FIND("-",DB207)+1,10)))))*$D$50)))))*$I207,0)),0)</f>
        <v>0</v>
      </c>
      <c r="DD207" s="404"/>
      <c r="DE207" s="398"/>
      <c r="DF207" s="356" t="n">
        <f aca="false">IFERROR(IF($M207=DE207,($D$8+$D$9+$D$10)*$I207,IF($N207=LEFT(DE207,1),($D$8+MAX(0,IF($D$50=1,$D$9*(1-(ABS($Q207-ABS(VALUE(MID(DE207,FIND("|",DE207)+1,FIND("-",DE207)-FIND("|",DE207)-1))-VALUE(MID(DE207,FIND("-",DE207)+1,10)))))*$D$50),$D$9*(1-(IF($N207="X",ABS($O207-VALUE(MID(DE207,FIND("|",DE207)+1,FIND("-",DE207)-FIND("|",DE207)-1))),ABS($Q207-ABS(VALUE(MID(DE207,FIND("|",DE207)+1,FIND("-",DE207)-FIND("|",DE207)-1))-VALUE(MID(DE207,FIND("-",DE207)+1,10)))))*$D$50)))))*$I207,0)),0)</f>
        <v>0</v>
      </c>
      <c r="DG207" s="404"/>
      <c r="DH207" s="363"/>
      <c r="DI207" s="356" t="n">
        <f aca="false">IFERROR(IF($M207=DH207,($D$8+$D$9+$D$10)*$I207,IF($N207=LEFT(DH207,1),($D$8+MAX(0,IF($D$50=1,$D$9*(1-(ABS($Q207-ABS(VALUE(MID(DH207,FIND("|",DH207)+1,FIND("-",DH207)-FIND("|",DH207)-1))-VALUE(MID(DH207,FIND("-",DH207)+1,10)))))*$D$50),$D$9*(1-(IF($N207="X",ABS($O207-VALUE(MID(DH207,FIND("|",DH207)+1,FIND("-",DH207)-FIND("|",DH207)-1))),ABS($Q207-ABS(VALUE(MID(DH207,FIND("|",DH207)+1,FIND("-",DH207)-FIND("|",DH207)-1))-VALUE(MID(DH207,FIND("-",DH207)+1,10)))))*$D$50)))))*$I207,0)),0)</f>
        <v>0</v>
      </c>
      <c r="DJ207" s="404"/>
      <c r="DK207" s="398"/>
      <c r="DL207" s="356" t="n">
        <f aca="false">IFERROR(IF($M207=DK207,($D$8+$D$9+$D$10)*$I207,IF($N207=LEFT(DK207,1),($D$8+MAX(0,IF($D$50=1,$D$9*(1-(ABS($Q207-ABS(VALUE(MID(DK207,FIND("|",DK207)+1,FIND("-",DK207)-FIND("|",DK207)-1))-VALUE(MID(DK207,FIND("-",DK207)+1,10)))))*$D$50),$D$9*(1-(IF($N207="X",ABS($O207-VALUE(MID(DK207,FIND("|",DK207)+1,FIND("-",DK207)-FIND("|",DK207)-1))),ABS($Q207-ABS(VALUE(MID(DK207,FIND("|",DK207)+1,FIND("-",DK207)-FIND("|",DK207)-1))-VALUE(MID(DK207,FIND("-",DK207)+1,10)))))*$D$50)))))*$I207,0)),0)</f>
        <v>0</v>
      </c>
      <c r="DM207" s="404"/>
      <c r="DN207" s="398"/>
      <c r="DO207" s="356" t="n">
        <f aca="false">IFERROR(IF($M207=DN207,($D$8+$D$9+$D$10)*$I207,IF($N207=LEFT(DN207,1),($D$8+MAX(0,IF($D$50=1,$D$9*(1-(ABS($Q207-ABS(VALUE(MID(DN207,FIND("|",DN207)+1,FIND("-",DN207)-FIND("|",DN207)-1))-VALUE(MID(DN207,FIND("-",DN207)+1,10)))))*$D$50),$D$9*(1-(IF($N207="X",ABS($O207-VALUE(MID(DN207,FIND("|",DN207)+1,FIND("-",DN207)-FIND("|",DN207)-1))),ABS($Q207-ABS(VALUE(MID(DN207,FIND("|",DN207)+1,FIND("-",DN207)-FIND("|",DN207)-1))-VALUE(MID(DN207,FIND("-",DN207)+1,10)))))*$D$50)))))*$I207,0)),0)</f>
        <v>0</v>
      </c>
      <c r="DP207" s="404"/>
      <c r="DQ207" s="398"/>
      <c r="DR207" s="356" t="n">
        <f aca="false">IFERROR(IF($M207=DQ207,($D$8+$D$9+$D$10)*$I207,IF($N207=LEFT(DQ207,1),($D$8+MAX(0,IF($D$50=1,$D$9*(1-(ABS($Q207-ABS(VALUE(MID(DQ207,FIND("|",DQ207)+1,FIND("-",DQ207)-FIND("|",DQ207)-1))-VALUE(MID(DQ207,FIND("-",DQ207)+1,10)))))*$D$50),$D$9*(1-(IF($N207="X",ABS($O207-VALUE(MID(DQ207,FIND("|",DQ207)+1,FIND("-",DQ207)-FIND("|",DQ207)-1))),ABS($Q207-ABS(VALUE(MID(DQ207,FIND("|",DQ207)+1,FIND("-",DQ207)-FIND("|",DQ207)-1))-VALUE(MID(DQ207,FIND("-",DQ207)+1,10)))))*$D$50)))))*$I207,0)),0)</f>
        <v>0</v>
      </c>
      <c r="DS207" s="404"/>
      <c r="DT207" s="398"/>
      <c r="DU207" s="356" t="n">
        <f aca="false">IFERROR(IF($M207=DT207,($D$8+$D$9+$D$10)*$I207,IF($N207=LEFT(DT207,1),($D$8+MAX(0,IF($D$50=1,$D$9*(1-(ABS($Q207-ABS(VALUE(MID(DT207,FIND("|",DT207)+1,FIND("-",DT207)-FIND("|",DT207)-1))-VALUE(MID(DT207,FIND("-",DT207)+1,10)))))*$D$50),$D$9*(1-(IF($N207="X",ABS($O207-VALUE(MID(DT207,FIND("|",DT207)+1,FIND("-",DT207)-FIND("|",DT207)-1))),ABS($Q207-ABS(VALUE(MID(DT207,FIND("|",DT207)+1,FIND("-",DT207)-FIND("|",DT207)-1))-VALUE(MID(DT207,FIND("-",DT207)+1,10)))))*$D$50)))))*$I207,0)),0)</f>
        <v>0</v>
      </c>
      <c r="DV207" s="404"/>
      <c r="DW207" s="363"/>
      <c r="DX207" s="356" t="n">
        <f aca="false">IFERROR(IF($M207=DW207,($D$8+$D$9+$D$10)*$I207,IF($N207=LEFT(DW207,1),($D$8+MAX(0,IF($D$50=1,$D$9*(1-(ABS($Q207-ABS(VALUE(MID(DW207,FIND("|",DW207)+1,FIND("-",DW207)-FIND("|",DW207)-1))-VALUE(MID(DW207,FIND("-",DW207)+1,10)))))*$D$50),$D$9*(1-(IF($N207="X",ABS($O207-VALUE(MID(DW207,FIND("|",DW207)+1,FIND("-",DW207)-FIND("|",DW207)-1))),ABS($Q207-ABS(VALUE(MID(DW207,FIND("|",DW207)+1,FIND("-",DW207)-FIND("|",DW207)-1))-VALUE(MID(DW207,FIND("-",DW207)+1,10)))))*$D$50)))))*$I207,0)),0)</f>
        <v>0</v>
      </c>
      <c r="DY207" s="404"/>
      <c r="DZ207" s="398"/>
      <c r="EA207" s="356" t="n">
        <f aca="false">IFERROR(IF($M207=DZ207,($D$8+$D$9+$D$10)*$I207,IF($N207=LEFT(DZ207,1),($D$8+MAX(0,IF($D$50=1,$D$9*(1-(ABS($Q207-ABS(VALUE(MID(DZ207,FIND("|",DZ207)+1,FIND("-",DZ207)-FIND("|",DZ207)-1))-VALUE(MID(DZ207,FIND("-",DZ207)+1,10)))))*$D$50),$D$9*(1-(IF($N207="X",ABS($O207-VALUE(MID(DZ207,FIND("|",DZ207)+1,FIND("-",DZ207)-FIND("|",DZ207)-1))),ABS($Q207-ABS(VALUE(MID(DZ207,FIND("|",DZ207)+1,FIND("-",DZ207)-FIND("|",DZ207)-1))-VALUE(MID(DZ207,FIND("-",DZ207)+1,10)))))*$D$50)))))*$I207,0)),0)</f>
        <v>0</v>
      </c>
      <c r="EB207" s="404"/>
      <c r="EC207" s="398"/>
      <c r="ED207" s="356" t="n">
        <f aca="false">IFERROR(IF($M207=EC207,($D$8+$D$9+$D$10)*$I207,IF($N207=LEFT(EC207,1),($D$8+MAX(0,IF($D$50=1,$D$9*(1-(ABS($Q207-ABS(VALUE(MID(EC207,FIND("|",EC207)+1,FIND("-",EC207)-FIND("|",EC207)-1))-VALUE(MID(EC207,FIND("-",EC207)+1,10)))))*$D$50),$D$9*(1-(IF($N207="X",ABS($O207-VALUE(MID(EC207,FIND("|",EC207)+1,FIND("-",EC207)-FIND("|",EC207)-1))),ABS($Q207-ABS(VALUE(MID(EC207,FIND("|",EC207)+1,FIND("-",EC207)-FIND("|",EC207)-1))-VALUE(MID(EC207,FIND("-",EC207)+1,10)))))*$D$50)))))*$I207,0)),0)</f>
        <v>0</v>
      </c>
      <c r="EE207" s="404"/>
      <c r="EF207" s="398"/>
      <c r="EG207" s="356" t="n">
        <f aca="false">IFERROR(IF($M207=EF207,($D$8+$D$9+$D$10)*$I207,IF($N207=LEFT(EF207,1),($D$8+MAX(0,IF($D$50=1,$D$9*(1-(ABS($Q207-ABS(VALUE(MID(EF207,FIND("|",EF207)+1,FIND("-",EF207)-FIND("|",EF207)-1))-VALUE(MID(EF207,FIND("-",EF207)+1,10)))))*$D$50),$D$9*(1-(IF($N207="X",ABS($O207-VALUE(MID(EF207,FIND("|",EF207)+1,FIND("-",EF207)-FIND("|",EF207)-1))),ABS($Q207-ABS(VALUE(MID(EF207,FIND("|",EF207)+1,FIND("-",EF207)-FIND("|",EF207)-1))-VALUE(MID(EF207,FIND("-",EF207)+1,10)))))*$D$50)))))*$I207,0)),0)</f>
        <v>0</v>
      </c>
      <c r="EH207" s="404"/>
      <c r="EI207" s="404"/>
    </row>
    <row r="208" customFormat="false" ht="15" hidden="false" customHeight="false" outlineLevel="0" collapsed="false">
      <c r="A208" s="332"/>
      <c r="B208" s="332"/>
      <c r="C208" s="422"/>
      <c r="D208" s="422"/>
      <c r="E208" s="422"/>
      <c r="F208" s="423"/>
      <c r="G208" s="423"/>
      <c r="H208" s="410"/>
      <c r="I208" s="410"/>
      <c r="J208" s="413"/>
      <c r="K208" s="414" t="str">
        <f aca="false">Idiomas!D460</f>
        <v>Partidos 1/8</v>
      </c>
      <c r="L208" s="415"/>
      <c r="M208" s="414" t="str">
        <f aca="false">"Max: "&amp;SUM($D$20:$D$22)*SUM($I$200:$I$207)</f>
        <v>Max: 136</v>
      </c>
      <c r="N208" s="332"/>
      <c r="O208" s="332"/>
      <c r="P208" s="332"/>
      <c r="Q208" s="332"/>
      <c r="R208" s="327"/>
      <c r="S208" s="416"/>
      <c r="T208" s="347" t="n">
        <f aca="false">SUM(T200:T207)</f>
        <v>0</v>
      </c>
      <c r="U208" s="327"/>
      <c r="V208" s="416"/>
      <c r="W208" s="347" t="n">
        <f aca="false">SUM(W200:W207)</f>
        <v>0</v>
      </c>
      <c r="X208" s="327"/>
      <c r="Y208" s="416"/>
      <c r="Z208" s="347" t="n">
        <f aca="false">SUM(Z200:Z207)</f>
        <v>0</v>
      </c>
      <c r="AA208" s="327"/>
      <c r="AB208" s="416"/>
      <c r="AC208" s="347" t="n">
        <f aca="false">SUM(AC200:AC207)</f>
        <v>0</v>
      </c>
      <c r="AD208" s="327"/>
      <c r="AE208" s="416"/>
      <c r="AF208" s="347" t="n">
        <f aca="false">SUM(AF200:AF207)</f>
        <v>0</v>
      </c>
      <c r="AG208" s="327"/>
      <c r="AH208" s="416"/>
      <c r="AI208" s="347" t="n">
        <f aca="false">SUM(AI200:AI207)</f>
        <v>0</v>
      </c>
      <c r="AJ208" s="327"/>
      <c r="AK208" s="416"/>
      <c r="AL208" s="347" t="n">
        <f aca="false">SUM(AL200:AL207)</f>
        <v>0</v>
      </c>
      <c r="AM208" s="327"/>
      <c r="AN208" s="416"/>
      <c r="AO208" s="347" t="n">
        <f aca="false">SUM(AO200:AO207)</f>
        <v>0</v>
      </c>
      <c r="AP208" s="327"/>
      <c r="AQ208" s="416"/>
      <c r="AR208" s="347" t="n">
        <f aca="false">SUM(AR200:AR207)</f>
        <v>0</v>
      </c>
      <c r="AS208" s="327"/>
      <c r="AT208" s="416"/>
      <c r="AU208" s="347" t="n">
        <f aca="false">SUM(AU200:AU207)</f>
        <v>0</v>
      </c>
      <c r="AV208" s="327"/>
      <c r="AW208" s="416"/>
      <c r="AX208" s="347" t="n">
        <f aca="false">SUM(AX200:AX207)</f>
        <v>0</v>
      </c>
      <c r="AY208" s="327"/>
      <c r="AZ208" s="416"/>
      <c r="BA208" s="347" t="n">
        <f aca="false">SUM(BA200:BA207)</f>
        <v>0</v>
      </c>
      <c r="BB208" s="327"/>
      <c r="BC208" s="416"/>
      <c r="BD208" s="347" t="n">
        <f aca="false">SUM(BD200:BD207)</f>
        <v>0</v>
      </c>
      <c r="BE208" s="327"/>
      <c r="BF208" s="416"/>
      <c r="BG208" s="347" t="n">
        <f aca="false">SUM(BG200:BG207)</f>
        <v>0</v>
      </c>
      <c r="BH208" s="327"/>
      <c r="BI208" s="416"/>
      <c r="BJ208" s="347" t="n">
        <f aca="false">SUM(BJ200:BJ207)</f>
        <v>0</v>
      </c>
      <c r="BK208" s="327"/>
      <c r="BL208" s="416"/>
      <c r="BM208" s="347" t="n">
        <f aca="false">SUM(BM200:BM207)</f>
        <v>0</v>
      </c>
      <c r="BN208" s="327"/>
      <c r="BO208" s="416"/>
      <c r="BP208" s="347" t="n">
        <f aca="false">SUM(BP200:BP207)</f>
        <v>0</v>
      </c>
      <c r="BQ208" s="327"/>
      <c r="BR208" s="416"/>
      <c r="BS208" s="347" t="n">
        <f aca="false">SUM(BS200:BS207)</f>
        <v>0</v>
      </c>
      <c r="BT208" s="327"/>
      <c r="BU208" s="416"/>
      <c r="BV208" s="347" t="n">
        <f aca="false">SUM(BV200:BV207)</f>
        <v>0</v>
      </c>
      <c r="BW208" s="327"/>
      <c r="BX208" s="416"/>
      <c r="BY208" s="347" t="n">
        <f aca="false">SUM(BY200:BY207)</f>
        <v>0</v>
      </c>
      <c r="BZ208" s="327"/>
      <c r="CA208" s="416"/>
      <c r="CB208" s="347" t="n">
        <f aca="false">SUM(CB200:CB207)</f>
        <v>0</v>
      </c>
      <c r="CC208" s="327"/>
      <c r="CD208" s="416"/>
      <c r="CE208" s="347" t="n">
        <f aca="false">SUM(CE200:CE207)</f>
        <v>0</v>
      </c>
      <c r="CF208" s="327"/>
      <c r="CG208" s="416"/>
      <c r="CH208" s="347" t="n">
        <f aca="false">SUM(CH200:CH207)</f>
        <v>0</v>
      </c>
      <c r="CI208" s="327"/>
      <c r="CJ208" s="416"/>
      <c r="CK208" s="347" t="n">
        <f aca="false">SUM(CK200:CK207)</f>
        <v>0</v>
      </c>
      <c r="CL208" s="327"/>
      <c r="CM208" s="416"/>
      <c r="CN208" s="347" t="n">
        <f aca="false">SUM(CN200:CN207)</f>
        <v>0</v>
      </c>
      <c r="CO208" s="327"/>
      <c r="CP208" s="416"/>
      <c r="CQ208" s="347" t="n">
        <f aca="false">SUM(CQ200:CQ207)</f>
        <v>0</v>
      </c>
      <c r="CR208" s="327"/>
      <c r="CS208" s="416"/>
      <c r="CT208" s="347" t="n">
        <f aca="false">SUM(CT200:CT207)</f>
        <v>0</v>
      </c>
      <c r="CU208" s="327"/>
      <c r="CV208" s="416"/>
      <c r="CW208" s="347" t="n">
        <f aca="false">SUM(CW200:CW207)</f>
        <v>0</v>
      </c>
      <c r="CX208" s="327"/>
      <c r="CY208" s="416"/>
      <c r="CZ208" s="347" t="n">
        <f aca="false">SUM(CZ200:CZ207)</f>
        <v>0</v>
      </c>
      <c r="DA208" s="327"/>
      <c r="DB208" s="416"/>
      <c r="DC208" s="347" t="n">
        <f aca="false">SUM(DC200:DC207)</f>
        <v>0</v>
      </c>
      <c r="DD208" s="327"/>
      <c r="DE208" s="416"/>
      <c r="DF208" s="347" t="n">
        <f aca="false">SUM(DF200:DF207)</f>
        <v>0</v>
      </c>
      <c r="DG208" s="327"/>
      <c r="DH208" s="416"/>
      <c r="DI208" s="347" t="n">
        <f aca="false">SUM(DI200:DI207)</f>
        <v>0</v>
      </c>
      <c r="DJ208" s="327"/>
      <c r="DK208" s="416"/>
      <c r="DL208" s="347" t="n">
        <f aca="false">SUM(DL200:DL207)</f>
        <v>0</v>
      </c>
      <c r="DM208" s="327"/>
      <c r="DN208" s="416"/>
      <c r="DO208" s="347" t="n">
        <f aca="false">SUM(DO200:DO207)</f>
        <v>0</v>
      </c>
      <c r="DP208" s="327"/>
      <c r="DQ208" s="416"/>
      <c r="DR208" s="347" t="n">
        <f aca="false">SUM(DR200:DR207)</f>
        <v>0</v>
      </c>
      <c r="DS208" s="327"/>
      <c r="DT208" s="416"/>
      <c r="DU208" s="347" t="n">
        <f aca="false">SUM(DU200:DU207)</f>
        <v>0</v>
      </c>
      <c r="DV208" s="327"/>
      <c r="DW208" s="416"/>
      <c r="DX208" s="347" t="n">
        <f aca="false">SUM(DX200:DX207)</f>
        <v>0</v>
      </c>
      <c r="DY208" s="327"/>
      <c r="DZ208" s="416"/>
      <c r="EA208" s="347" t="n">
        <f aca="false">SUM(EA200:EA207)</f>
        <v>0</v>
      </c>
      <c r="EB208" s="327"/>
      <c r="EC208" s="416"/>
      <c r="ED208" s="347" t="n">
        <f aca="false">SUM(ED200:ED207)</f>
        <v>0</v>
      </c>
      <c r="EE208" s="327"/>
      <c r="EF208" s="416"/>
      <c r="EG208" s="347" t="n">
        <f aca="false">SUM(EG200:EG207)</f>
        <v>0</v>
      </c>
      <c r="EH208" s="327"/>
      <c r="EI208" s="327"/>
    </row>
    <row r="209" customFormat="false" ht="15" hidden="false" customHeight="false" outlineLevel="0" collapsed="false">
      <c r="A209" s="332"/>
      <c r="B209" s="332"/>
      <c r="C209" s="422"/>
      <c r="D209" s="422"/>
      <c r="E209" s="422"/>
      <c r="F209" s="423"/>
      <c r="G209" s="423"/>
      <c r="H209" s="410"/>
      <c r="I209" s="410"/>
      <c r="J209" s="413"/>
      <c r="K209" s="346" t="str">
        <f aca="false">Idiomas!D141</f>
        <v>CLASIFICADOS PARA CUARTOS</v>
      </c>
      <c r="L209" s="333"/>
      <c r="M209" s="347"/>
      <c r="N209" s="332"/>
      <c r="O209" s="332"/>
      <c r="P209" s="332"/>
      <c r="Q209" s="332"/>
      <c r="R209" s="327"/>
      <c r="S209" s="416"/>
      <c r="T209" s="347"/>
      <c r="U209" s="327"/>
      <c r="V209" s="416"/>
      <c r="W209" s="347"/>
      <c r="X209" s="327"/>
      <c r="Y209" s="416"/>
      <c r="Z209" s="347"/>
      <c r="AA209" s="327"/>
      <c r="AB209" s="416"/>
      <c r="AC209" s="347"/>
      <c r="AD209" s="327"/>
      <c r="AE209" s="416"/>
      <c r="AF209" s="347"/>
      <c r="AG209" s="327"/>
      <c r="AH209" s="416"/>
      <c r="AI209" s="347"/>
      <c r="AJ209" s="327"/>
      <c r="AK209" s="416"/>
      <c r="AL209" s="347"/>
      <c r="AM209" s="327"/>
      <c r="AN209" s="416"/>
      <c r="AO209" s="347"/>
      <c r="AP209" s="327"/>
      <c r="AQ209" s="416"/>
      <c r="AR209" s="347"/>
      <c r="AS209" s="327"/>
      <c r="AT209" s="416"/>
      <c r="AU209" s="347"/>
      <c r="AV209" s="327"/>
      <c r="AW209" s="416"/>
      <c r="AX209" s="347"/>
      <c r="AY209" s="327"/>
      <c r="AZ209" s="416"/>
      <c r="BA209" s="347"/>
      <c r="BB209" s="327"/>
      <c r="BC209" s="416"/>
      <c r="BD209" s="347"/>
      <c r="BE209" s="327"/>
      <c r="BF209" s="416"/>
      <c r="BG209" s="347"/>
      <c r="BH209" s="327"/>
      <c r="BI209" s="416"/>
      <c r="BJ209" s="347"/>
      <c r="BK209" s="327"/>
      <c r="BL209" s="416"/>
      <c r="BM209" s="347"/>
      <c r="BN209" s="327"/>
      <c r="BO209" s="416"/>
      <c r="BP209" s="347"/>
      <c r="BQ209" s="327"/>
      <c r="BR209" s="416"/>
      <c r="BS209" s="347"/>
      <c r="BT209" s="327"/>
      <c r="BU209" s="416"/>
      <c r="BV209" s="347"/>
      <c r="BW209" s="327"/>
      <c r="BX209" s="416"/>
      <c r="BY209" s="347"/>
      <c r="BZ209" s="327"/>
      <c r="CA209" s="416"/>
      <c r="CB209" s="347"/>
      <c r="CC209" s="327"/>
      <c r="CD209" s="416"/>
      <c r="CE209" s="347"/>
      <c r="CF209" s="327"/>
      <c r="CG209" s="416"/>
      <c r="CH209" s="347"/>
      <c r="CI209" s="327"/>
      <c r="CJ209" s="416"/>
      <c r="CK209" s="347"/>
      <c r="CL209" s="327"/>
      <c r="CM209" s="416"/>
      <c r="CN209" s="347"/>
      <c r="CO209" s="327"/>
      <c r="CP209" s="416"/>
      <c r="CQ209" s="347"/>
      <c r="CR209" s="327"/>
      <c r="CS209" s="416"/>
      <c r="CT209" s="347"/>
      <c r="CU209" s="327"/>
      <c r="CV209" s="416"/>
      <c r="CW209" s="347"/>
      <c r="CX209" s="327"/>
      <c r="CY209" s="416"/>
      <c r="CZ209" s="347"/>
      <c r="DA209" s="327"/>
      <c r="DB209" s="416"/>
      <c r="DC209" s="347"/>
      <c r="DD209" s="327"/>
      <c r="DE209" s="416"/>
      <c r="DF209" s="347"/>
      <c r="DG209" s="327"/>
      <c r="DH209" s="416"/>
      <c r="DI209" s="347"/>
      <c r="DJ209" s="327"/>
      <c r="DK209" s="416"/>
      <c r="DL209" s="347"/>
      <c r="DM209" s="327"/>
      <c r="DN209" s="416"/>
      <c r="DO209" s="347"/>
      <c r="DP209" s="327"/>
      <c r="DQ209" s="416"/>
      <c r="DR209" s="347"/>
      <c r="DS209" s="327"/>
      <c r="DT209" s="416"/>
      <c r="DU209" s="347"/>
      <c r="DV209" s="327"/>
      <c r="DW209" s="416"/>
      <c r="DX209" s="347"/>
      <c r="DY209" s="327"/>
      <c r="DZ209" s="416"/>
      <c r="EA209" s="347"/>
      <c r="EB209" s="327"/>
      <c r="EC209" s="416"/>
      <c r="ED209" s="347"/>
      <c r="EE209" s="327"/>
      <c r="EF209" s="416"/>
      <c r="EG209" s="347"/>
      <c r="EH209" s="327"/>
      <c r="EI209" s="327"/>
    </row>
    <row r="210" customFormat="false" ht="15" hidden="false" customHeight="false" outlineLevel="0" collapsed="false">
      <c r="A210" s="332"/>
      <c r="B210" s="332"/>
      <c r="C210" s="422"/>
      <c r="D210" s="422"/>
      <c r="E210" s="422"/>
      <c r="F210" s="423" t="n">
        <f aca="false">+$D$23</f>
        <v>5</v>
      </c>
      <c r="G210" s="423" t="n">
        <f aca="false">VLOOKUP(H210,Equipos!$Q$1:$R$25,2,0)</f>
        <v>21</v>
      </c>
      <c r="H210" s="410" t="str">
        <f aca="false">Idiomas!$D$261</f>
        <v>Octavos de final</v>
      </c>
      <c r="I210" s="410"/>
      <c r="J210" s="418" t="s">
        <v>206</v>
      </c>
      <c r="K210" s="354" t="str">
        <f aca="false">Idiomas!$D$200&amp;"-"&amp;ROWS($L$210:L210)</f>
        <v>Cuartofinalista-1</v>
      </c>
      <c r="L210" s="354"/>
      <c r="M210" s="359" t="str">
        <f aca="false">WORLDCUP!AA131</f>
        <v>W89</v>
      </c>
      <c r="N210" s="332"/>
      <c r="O210" s="332"/>
      <c r="P210" s="332"/>
      <c r="Q210" s="332"/>
      <c r="R210" s="404"/>
      <c r="S210" s="370" t="s">
        <v>347</v>
      </c>
      <c r="T210" s="371" t="n">
        <f aca="false">COUNTIF($M$210:$M$217,S210)*$D$23</f>
        <v>0</v>
      </c>
      <c r="U210" s="404"/>
      <c r="V210" s="370" t="s">
        <v>362</v>
      </c>
      <c r="W210" s="371" t="n">
        <f aca="false">COUNTIF($M$210:$M$217,V210)*$D$23</f>
        <v>0</v>
      </c>
      <c r="X210" s="404"/>
      <c r="Y210" s="370" t="s">
        <v>347</v>
      </c>
      <c r="Z210" s="371" t="n">
        <f aca="false">COUNTIF($M$210:$M$217,Y210)*$D$23</f>
        <v>0</v>
      </c>
      <c r="AA210" s="404"/>
      <c r="AB210" s="370" t="s">
        <v>362</v>
      </c>
      <c r="AC210" s="371" t="n">
        <f aca="false">COUNTIF($M$210:$M$217,AB210)*$D$23</f>
        <v>0</v>
      </c>
      <c r="AD210" s="404"/>
      <c r="AE210" s="370" t="s">
        <v>362</v>
      </c>
      <c r="AF210" s="371" t="n">
        <f aca="false">COUNTIF($M$210:$M$217,AE210)*$D$23</f>
        <v>0</v>
      </c>
      <c r="AG210" s="404"/>
      <c r="AH210" s="370" t="s">
        <v>362</v>
      </c>
      <c r="AI210" s="371" t="n">
        <f aca="false">COUNTIF($M$210:$M$217,AH210)*$D$23</f>
        <v>0</v>
      </c>
      <c r="AJ210" s="404"/>
      <c r="AK210" s="370" t="s">
        <v>362</v>
      </c>
      <c r="AL210" s="371" t="n">
        <f aca="false">COUNTIF($M$210:$M$217,AK210)*$D$23</f>
        <v>0</v>
      </c>
      <c r="AM210" s="404"/>
      <c r="AN210" s="370" t="s">
        <v>347</v>
      </c>
      <c r="AO210" s="371" t="n">
        <f aca="false">COUNTIF($M$210:$M$217,AN210)*$D$23</f>
        <v>0</v>
      </c>
      <c r="AP210" s="404"/>
      <c r="AQ210" s="370" t="s">
        <v>347</v>
      </c>
      <c r="AR210" s="371" t="n">
        <f aca="false">COUNTIF($M$210:$M$217,AQ210)*$D$23</f>
        <v>0</v>
      </c>
      <c r="AS210" s="404"/>
      <c r="AT210" s="370" t="s">
        <v>362</v>
      </c>
      <c r="AU210" s="371" t="n">
        <f aca="false">COUNTIF($M$210:$M$217,AT210)*$D$23</f>
        <v>0</v>
      </c>
      <c r="AV210" s="404"/>
      <c r="AW210" s="370" t="s">
        <v>362</v>
      </c>
      <c r="AX210" s="371" t="n">
        <f aca="false">COUNTIF($M$210:$M$217,AW210)*$D$23</f>
        <v>0</v>
      </c>
      <c r="AY210" s="404"/>
      <c r="AZ210" s="370" t="s">
        <v>362</v>
      </c>
      <c r="BA210" s="371" t="n">
        <f aca="false">COUNTIF($M$210:$M$217,AZ210)*$D$23</f>
        <v>0</v>
      </c>
      <c r="BB210" s="404"/>
      <c r="BC210" s="370" t="s">
        <v>347</v>
      </c>
      <c r="BD210" s="371" t="n">
        <f aca="false">COUNTIF($M$210:$M$217,BC210)*$D$23</f>
        <v>0</v>
      </c>
      <c r="BE210" s="404"/>
      <c r="BF210" s="370" t="s">
        <v>362</v>
      </c>
      <c r="BG210" s="371" t="n">
        <f aca="false">COUNTIF($M$210:$M$217,BF210)*$D$23</f>
        <v>0</v>
      </c>
      <c r="BH210" s="404"/>
      <c r="BI210" s="370" t="s">
        <v>362</v>
      </c>
      <c r="BJ210" s="371" t="n">
        <f aca="false">COUNTIF($M$210:$M$217,BI210)*$D$23</f>
        <v>0</v>
      </c>
      <c r="BK210" s="404"/>
      <c r="BL210" s="370" t="s">
        <v>362</v>
      </c>
      <c r="BM210" s="371" t="n">
        <f aca="false">COUNTIF($M$210:$M$217,BL210)*$D$23</f>
        <v>0</v>
      </c>
      <c r="BN210" s="404"/>
      <c r="BO210" s="370" t="s">
        <v>362</v>
      </c>
      <c r="BP210" s="371" t="n">
        <f aca="false">COUNTIF($M$210:$M$217,BO210)*$D$23</f>
        <v>0</v>
      </c>
      <c r="BQ210" s="404"/>
      <c r="BR210" s="370" t="s">
        <v>362</v>
      </c>
      <c r="BS210" s="371" t="n">
        <f aca="false">COUNTIF($M$210:$M$217,BR210)*$D$23</f>
        <v>0</v>
      </c>
      <c r="BT210" s="404"/>
      <c r="BU210" s="370"/>
      <c r="BV210" s="371" t="n">
        <f aca="false">COUNTIF($M$210:$M$217,BU210)*$D$23</f>
        <v>0</v>
      </c>
      <c r="BW210" s="404"/>
      <c r="BX210" s="370"/>
      <c r="BY210" s="371" t="n">
        <f aca="false">COUNTIF($M$210:$M$217,BX210)*$D$23</f>
        <v>0</v>
      </c>
      <c r="BZ210" s="404"/>
      <c r="CA210" s="370"/>
      <c r="CB210" s="371" t="n">
        <f aca="false">COUNTIF($M$210:$M$217,CA210)*$D$23</f>
        <v>0</v>
      </c>
      <c r="CC210" s="404"/>
      <c r="CD210" s="370"/>
      <c r="CE210" s="371" t="n">
        <f aca="false">COUNTIF($M$210:$M$217,CD210)*$D$23</f>
        <v>0</v>
      </c>
      <c r="CF210" s="404"/>
      <c r="CG210" s="370"/>
      <c r="CH210" s="371" t="n">
        <f aca="false">COUNTIF($M$210:$M$217,CG210)*$D$23</f>
        <v>0</v>
      </c>
      <c r="CI210" s="404"/>
      <c r="CJ210" s="370"/>
      <c r="CK210" s="371" t="n">
        <f aca="false">COUNTIF($M$210:$M$217,CJ210)*$D$23</f>
        <v>0</v>
      </c>
      <c r="CL210" s="404"/>
      <c r="CM210" s="370"/>
      <c r="CN210" s="371" t="n">
        <f aca="false">COUNTIF($M$210:$M$217,CM210)*$D$23</f>
        <v>0</v>
      </c>
      <c r="CO210" s="404"/>
      <c r="CP210" s="370"/>
      <c r="CQ210" s="371" t="n">
        <f aca="false">COUNTIF($M$210:$M$217,CP210)*$D$23</f>
        <v>0</v>
      </c>
      <c r="CR210" s="404"/>
      <c r="CS210" s="370"/>
      <c r="CT210" s="371" t="n">
        <f aca="false">COUNTIF($M$210:$M$217,CS210)*$D$23</f>
        <v>0</v>
      </c>
      <c r="CU210" s="404"/>
      <c r="CV210" s="370"/>
      <c r="CW210" s="371" t="n">
        <f aca="false">COUNTIF($M$210:$M$217,CV210)*$D$23</f>
        <v>0</v>
      </c>
      <c r="CX210" s="404"/>
      <c r="CY210" s="370"/>
      <c r="CZ210" s="371" t="n">
        <f aca="false">COUNTIF($M$210:$M$217,CY210)*$D$23</f>
        <v>0</v>
      </c>
      <c r="DA210" s="404"/>
      <c r="DB210" s="370"/>
      <c r="DC210" s="371" t="n">
        <f aca="false">COUNTIF($M$210:$M$217,DB210)*$D$23</f>
        <v>0</v>
      </c>
      <c r="DD210" s="404"/>
      <c r="DE210" s="370"/>
      <c r="DF210" s="371" t="n">
        <f aca="false">COUNTIF($M$210:$M$217,DE210)*$D$23</f>
        <v>0</v>
      </c>
      <c r="DG210" s="404"/>
      <c r="DH210" s="370"/>
      <c r="DI210" s="371" t="n">
        <f aca="false">COUNTIF($M$210:$M$217,DH210)*$D$23</f>
        <v>0</v>
      </c>
      <c r="DJ210" s="404"/>
      <c r="DK210" s="370"/>
      <c r="DL210" s="371" t="n">
        <f aca="false">COUNTIF($M$210:$M$217,DK210)*$D$23</f>
        <v>0</v>
      </c>
      <c r="DM210" s="404"/>
      <c r="DN210" s="370"/>
      <c r="DO210" s="371" t="n">
        <f aca="false">COUNTIF($M$210:$M$217,DN210)*$D$23</f>
        <v>0</v>
      </c>
      <c r="DP210" s="404"/>
      <c r="DQ210" s="370"/>
      <c r="DR210" s="371" t="n">
        <f aca="false">COUNTIF($M$210:$M$217,DQ210)*$D$23</f>
        <v>0</v>
      </c>
      <c r="DS210" s="404"/>
      <c r="DT210" s="370"/>
      <c r="DU210" s="371" t="n">
        <f aca="false">COUNTIF($M$210:$M$217,DT210)*$D$23</f>
        <v>0</v>
      </c>
      <c r="DV210" s="404"/>
      <c r="DW210" s="370"/>
      <c r="DX210" s="371" t="n">
        <f aca="false">COUNTIF($M$210:$M$217,DW210)*$D$23</f>
        <v>0</v>
      </c>
      <c r="DY210" s="404"/>
      <c r="DZ210" s="370"/>
      <c r="EA210" s="371" t="n">
        <f aca="false">COUNTIF($M$210:$M$217,DZ210)*$D$23</f>
        <v>0</v>
      </c>
      <c r="EB210" s="404"/>
      <c r="EC210" s="370"/>
      <c r="ED210" s="371" t="n">
        <f aca="false">COUNTIF($M$210:$M$217,EC210)*$D$23</f>
        <v>0</v>
      </c>
      <c r="EE210" s="404"/>
      <c r="EF210" s="370"/>
      <c r="EG210" s="371" t="n">
        <f aca="false">COUNTIF($M$210:$M$217,EF210)*$D$23</f>
        <v>0</v>
      </c>
      <c r="EH210" s="404"/>
      <c r="EI210" s="404"/>
    </row>
    <row r="211" customFormat="false" ht="15" hidden="false" customHeight="false" outlineLevel="0" collapsed="false">
      <c r="A211" s="332"/>
      <c r="B211" s="332"/>
      <c r="C211" s="422"/>
      <c r="D211" s="422"/>
      <c r="E211" s="422"/>
      <c r="F211" s="423" t="n">
        <f aca="false">+$D$23</f>
        <v>5</v>
      </c>
      <c r="G211" s="423" t="n">
        <f aca="false">VLOOKUP(H211,Equipos!$Q$1:$R$25,2,0)</f>
        <v>21</v>
      </c>
      <c r="H211" s="410" t="str">
        <f aca="false">Idiomas!$D$261</f>
        <v>Octavos de final</v>
      </c>
      <c r="I211" s="410"/>
      <c r="J211" s="418"/>
      <c r="K211" s="367" t="str">
        <f aca="false">Idiomas!$D$200&amp;"-"&amp;ROWS($L$210:L211)</f>
        <v>Cuartofinalista-2</v>
      </c>
      <c r="L211" s="354"/>
      <c r="M211" s="359" t="str">
        <f aca="false">WORLDCUP!AA132</f>
        <v>W93</v>
      </c>
      <c r="N211" s="332"/>
      <c r="O211" s="332"/>
      <c r="P211" s="332"/>
      <c r="Q211" s="332"/>
      <c r="R211" s="404"/>
      <c r="S211" s="363" t="s">
        <v>2</v>
      </c>
      <c r="T211" s="371" t="n">
        <f aca="false">COUNTIF($M$210:$M$217,S211)*$D$23</f>
        <v>0</v>
      </c>
      <c r="U211" s="404"/>
      <c r="V211" s="363" t="s">
        <v>2</v>
      </c>
      <c r="W211" s="371" t="n">
        <f aca="false">COUNTIF($M$210:$M$217,V211)*$D$23</f>
        <v>0</v>
      </c>
      <c r="X211" s="404"/>
      <c r="Y211" s="363" t="s">
        <v>2</v>
      </c>
      <c r="Z211" s="371" t="n">
        <f aca="false">COUNTIF($M$210:$M$217,Y211)*$D$23</f>
        <v>0</v>
      </c>
      <c r="AA211" s="404"/>
      <c r="AB211" s="363" t="s">
        <v>374</v>
      </c>
      <c r="AC211" s="371" t="n">
        <f aca="false">COUNTIF($M$210:$M$217,AB211)*$D$23</f>
        <v>0</v>
      </c>
      <c r="AD211" s="404"/>
      <c r="AE211" s="363" t="s">
        <v>2</v>
      </c>
      <c r="AF211" s="371" t="n">
        <f aca="false">COUNTIF($M$210:$M$217,AE211)*$D$23</f>
        <v>0</v>
      </c>
      <c r="AG211" s="404"/>
      <c r="AH211" s="363" t="s">
        <v>2</v>
      </c>
      <c r="AI211" s="371" t="n">
        <f aca="false">COUNTIF($M$210:$M$217,AH211)*$D$23</f>
        <v>0</v>
      </c>
      <c r="AJ211" s="404"/>
      <c r="AK211" s="363" t="s">
        <v>2</v>
      </c>
      <c r="AL211" s="371" t="n">
        <f aca="false">COUNTIF($M$210:$M$217,AK211)*$D$23</f>
        <v>0</v>
      </c>
      <c r="AM211" s="404"/>
      <c r="AN211" s="363" t="s">
        <v>2</v>
      </c>
      <c r="AO211" s="371" t="n">
        <f aca="false">COUNTIF($M$210:$M$217,AN211)*$D$23</f>
        <v>0</v>
      </c>
      <c r="AP211" s="404"/>
      <c r="AQ211" s="363" t="s">
        <v>2</v>
      </c>
      <c r="AR211" s="371" t="n">
        <f aca="false">COUNTIF($M$210:$M$217,AQ211)*$D$23</f>
        <v>0</v>
      </c>
      <c r="AS211" s="404"/>
      <c r="AT211" s="363" t="s">
        <v>2</v>
      </c>
      <c r="AU211" s="371" t="n">
        <f aca="false">COUNTIF($M$210:$M$217,AT211)*$D$23</f>
        <v>0</v>
      </c>
      <c r="AV211" s="404"/>
      <c r="AW211" s="363" t="s">
        <v>2</v>
      </c>
      <c r="AX211" s="371" t="n">
        <f aca="false">COUNTIF($M$210:$M$217,AW211)*$D$23</f>
        <v>0</v>
      </c>
      <c r="AY211" s="404"/>
      <c r="AZ211" s="363" t="s">
        <v>2</v>
      </c>
      <c r="BA211" s="371" t="n">
        <f aca="false">COUNTIF($M$210:$M$217,AZ211)*$D$23</f>
        <v>0</v>
      </c>
      <c r="BB211" s="404"/>
      <c r="BC211" s="363" t="s">
        <v>2</v>
      </c>
      <c r="BD211" s="371" t="n">
        <f aca="false">COUNTIF($M$210:$M$217,BC211)*$D$23</f>
        <v>0</v>
      </c>
      <c r="BE211" s="404"/>
      <c r="BF211" s="363" t="s">
        <v>2</v>
      </c>
      <c r="BG211" s="371" t="n">
        <f aca="false">COUNTIF($M$210:$M$217,BF211)*$D$23</f>
        <v>0</v>
      </c>
      <c r="BH211" s="404"/>
      <c r="BI211" s="363" t="s">
        <v>2</v>
      </c>
      <c r="BJ211" s="371" t="n">
        <f aca="false">COUNTIF($M$210:$M$217,BI211)*$D$23</f>
        <v>0</v>
      </c>
      <c r="BK211" s="404"/>
      <c r="BL211" s="363" t="s">
        <v>2</v>
      </c>
      <c r="BM211" s="371" t="n">
        <f aca="false">COUNTIF($M$210:$M$217,BL211)*$D$23</f>
        <v>0</v>
      </c>
      <c r="BN211" s="404"/>
      <c r="BO211" s="363" t="s">
        <v>2</v>
      </c>
      <c r="BP211" s="371" t="n">
        <f aca="false">COUNTIF($M$210:$M$217,BO211)*$D$23</f>
        <v>0</v>
      </c>
      <c r="BQ211" s="404"/>
      <c r="BR211" s="363" t="s">
        <v>2</v>
      </c>
      <c r="BS211" s="371" t="n">
        <f aca="false">COUNTIF($M$210:$M$217,BR211)*$D$23</f>
        <v>0</v>
      </c>
      <c r="BT211" s="404"/>
      <c r="BU211" s="363"/>
      <c r="BV211" s="371" t="n">
        <f aca="false">COUNTIF($M$210:$M$217,BU211)*$D$23</f>
        <v>0</v>
      </c>
      <c r="BW211" s="404"/>
      <c r="BX211" s="363"/>
      <c r="BY211" s="371" t="n">
        <f aca="false">COUNTIF($M$210:$M$217,BX211)*$D$23</f>
        <v>0</v>
      </c>
      <c r="BZ211" s="404"/>
      <c r="CA211" s="363"/>
      <c r="CB211" s="371" t="n">
        <f aca="false">COUNTIF($M$210:$M$217,CA211)*$D$23</f>
        <v>0</v>
      </c>
      <c r="CC211" s="404"/>
      <c r="CD211" s="363"/>
      <c r="CE211" s="371" t="n">
        <f aca="false">COUNTIF($M$210:$M$217,CD211)*$D$23</f>
        <v>0</v>
      </c>
      <c r="CF211" s="404"/>
      <c r="CG211" s="363"/>
      <c r="CH211" s="371" t="n">
        <f aca="false">COUNTIF($M$210:$M$217,CG211)*$D$23</f>
        <v>0</v>
      </c>
      <c r="CI211" s="404"/>
      <c r="CJ211" s="363"/>
      <c r="CK211" s="371" t="n">
        <f aca="false">COUNTIF($M$210:$M$217,CJ211)*$D$23</f>
        <v>0</v>
      </c>
      <c r="CL211" s="404"/>
      <c r="CM211" s="363"/>
      <c r="CN211" s="371" t="n">
        <f aca="false">COUNTIF($M$210:$M$217,CM211)*$D$23</f>
        <v>0</v>
      </c>
      <c r="CO211" s="404"/>
      <c r="CP211" s="363"/>
      <c r="CQ211" s="371" t="n">
        <f aca="false">COUNTIF($M$210:$M$217,CP211)*$D$23</f>
        <v>0</v>
      </c>
      <c r="CR211" s="404"/>
      <c r="CS211" s="363"/>
      <c r="CT211" s="371" t="n">
        <f aca="false">COUNTIF($M$210:$M$217,CS211)*$D$23</f>
        <v>0</v>
      </c>
      <c r="CU211" s="404"/>
      <c r="CV211" s="363"/>
      <c r="CW211" s="371" t="n">
        <f aca="false">COUNTIF($M$210:$M$217,CV211)*$D$23</f>
        <v>0</v>
      </c>
      <c r="CX211" s="404"/>
      <c r="CY211" s="363"/>
      <c r="CZ211" s="371" t="n">
        <f aca="false">COUNTIF($M$210:$M$217,CY211)*$D$23</f>
        <v>0</v>
      </c>
      <c r="DA211" s="404"/>
      <c r="DB211" s="363"/>
      <c r="DC211" s="371" t="n">
        <f aca="false">COUNTIF($M$210:$M$217,DB211)*$D$23</f>
        <v>0</v>
      </c>
      <c r="DD211" s="404"/>
      <c r="DE211" s="363"/>
      <c r="DF211" s="371" t="n">
        <f aca="false">COUNTIF($M$210:$M$217,DE211)*$D$23</f>
        <v>0</v>
      </c>
      <c r="DG211" s="404"/>
      <c r="DH211" s="363"/>
      <c r="DI211" s="371" t="n">
        <f aca="false">COUNTIF($M$210:$M$217,DH211)*$D$23</f>
        <v>0</v>
      </c>
      <c r="DJ211" s="404"/>
      <c r="DK211" s="363"/>
      <c r="DL211" s="371" t="n">
        <f aca="false">COUNTIF($M$210:$M$217,DK211)*$D$23</f>
        <v>0</v>
      </c>
      <c r="DM211" s="404"/>
      <c r="DN211" s="363"/>
      <c r="DO211" s="371" t="n">
        <f aca="false">COUNTIF($M$210:$M$217,DN211)*$D$23</f>
        <v>0</v>
      </c>
      <c r="DP211" s="404"/>
      <c r="DQ211" s="363"/>
      <c r="DR211" s="371" t="n">
        <f aca="false">COUNTIF($M$210:$M$217,DQ211)*$D$23</f>
        <v>0</v>
      </c>
      <c r="DS211" s="404"/>
      <c r="DT211" s="363"/>
      <c r="DU211" s="371" t="n">
        <f aca="false">COUNTIF($M$210:$M$217,DT211)*$D$23</f>
        <v>0</v>
      </c>
      <c r="DV211" s="404"/>
      <c r="DW211" s="363"/>
      <c r="DX211" s="371" t="n">
        <f aca="false">COUNTIF($M$210:$M$217,DW211)*$D$23</f>
        <v>0</v>
      </c>
      <c r="DY211" s="404"/>
      <c r="DZ211" s="363"/>
      <c r="EA211" s="371" t="n">
        <f aca="false">COUNTIF($M$210:$M$217,DZ211)*$D$23</f>
        <v>0</v>
      </c>
      <c r="EB211" s="404"/>
      <c r="EC211" s="363"/>
      <c r="ED211" s="371" t="n">
        <f aca="false">COUNTIF($M$210:$M$217,EC211)*$D$23</f>
        <v>0</v>
      </c>
      <c r="EE211" s="404"/>
      <c r="EF211" s="363"/>
      <c r="EG211" s="371" t="n">
        <f aca="false">COUNTIF($M$210:$M$217,EF211)*$D$23</f>
        <v>0</v>
      </c>
      <c r="EH211" s="404"/>
      <c r="EI211" s="404"/>
    </row>
    <row r="212" customFormat="false" ht="15" hidden="false" customHeight="false" outlineLevel="0" collapsed="false">
      <c r="A212" s="332"/>
      <c r="B212" s="332"/>
      <c r="C212" s="422"/>
      <c r="D212" s="422"/>
      <c r="E212" s="422"/>
      <c r="F212" s="423" t="n">
        <f aca="false">+$D$23</f>
        <v>5</v>
      </c>
      <c r="G212" s="423" t="n">
        <f aca="false">VLOOKUP(H212,Equipos!$Q$1:$R$25,2,0)</f>
        <v>21</v>
      </c>
      <c r="H212" s="410" t="str">
        <f aca="false">Idiomas!$D$261</f>
        <v>Octavos de final</v>
      </c>
      <c r="I212" s="410"/>
      <c r="J212" s="418"/>
      <c r="K212" s="367" t="str">
        <f aca="false">Idiomas!$D$200&amp;"-"&amp;ROWS($L$210:L212)</f>
        <v>Cuartofinalista-3</v>
      </c>
      <c r="L212" s="354"/>
      <c r="M212" s="359" t="str">
        <f aca="false">WORLDCUP!AA133</f>
        <v>W91</v>
      </c>
      <c r="N212" s="332"/>
      <c r="O212" s="332"/>
      <c r="P212" s="332"/>
      <c r="Q212" s="332"/>
      <c r="R212" s="404"/>
      <c r="S212" s="363" t="s">
        <v>339</v>
      </c>
      <c r="T212" s="371" t="n">
        <f aca="false">COUNTIF($M$210:$M$217,S212)*$D$23</f>
        <v>0</v>
      </c>
      <c r="U212" s="404"/>
      <c r="V212" s="363" t="s">
        <v>339</v>
      </c>
      <c r="W212" s="371" t="n">
        <f aca="false">COUNTIF($M$210:$M$217,V212)*$D$23</f>
        <v>0</v>
      </c>
      <c r="X212" s="404"/>
      <c r="Y212" s="363" t="s">
        <v>339</v>
      </c>
      <c r="Z212" s="371" t="n">
        <f aca="false">COUNTIF($M$210:$M$217,Y212)*$D$23</f>
        <v>0</v>
      </c>
      <c r="AA212" s="404"/>
      <c r="AB212" s="363" t="s">
        <v>340</v>
      </c>
      <c r="AC212" s="371" t="n">
        <f aca="false">COUNTIF($M$210:$M$217,AB212)*$D$23</f>
        <v>0</v>
      </c>
      <c r="AD212" s="404"/>
      <c r="AE212" s="363" t="s">
        <v>340</v>
      </c>
      <c r="AF212" s="371" t="n">
        <f aca="false">COUNTIF($M$210:$M$217,AE212)*$D$23</f>
        <v>0</v>
      </c>
      <c r="AG212" s="404"/>
      <c r="AH212" s="363" t="s">
        <v>339</v>
      </c>
      <c r="AI212" s="371" t="n">
        <f aca="false">COUNTIF($M$210:$M$217,AH212)*$D$23</f>
        <v>0</v>
      </c>
      <c r="AJ212" s="404"/>
      <c r="AK212" s="363" t="s">
        <v>339</v>
      </c>
      <c r="AL212" s="371" t="n">
        <f aca="false">COUNTIF($M$210:$M$217,AK212)*$D$23</f>
        <v>0</v>
      </c>
      <c r="AM212" s="404"/>
      <c r="AN212" s="363" t="s">
        <v>339</v>
      </c>
      <c r="AO212" s="371" t="n">
        <f aca="false">COUNTIF($M$210:$M$217,AN212)*$D$23</f>
        <v>0</v>
      </c>
      <c r="AP212" s="404"/>
      <c r="AQ212" s="363" t="s">
        <v>340</v>
      </c>
      <c r="AR212" s="371" t="n">
        <f aca="false">COUNTIF($M$210:$M$217,AQ212)*$D$23</f>
        <v>0</v>
      </c>
      <c r="AS212" s="404"/>
      <c r="AT212" s="363" t="s">
        <v>340</v>
      </c>
      <c r="AU212" s="371" t="n">
        <f aca="false">COUNTIF($M$210:$M$217,AT212)*$D$23</f>
        <v>0</v>
      </c>
      <c r="AV212" s="404"/>
      <c r="AW212" s="363" t="s">
        <v>339</v>
      </c>
      <c r="AX212" s="371" t="n">
        <f aca="false">COUNTIF($M$210:$M$217,AW212)*$D$23</f>
        <v>0</v>
      </c>
      <c r="AY212" s="404"/>
      <c r="AZ212" s="363" t="s">
        <v>339</v>
      </c>
      <c r="BA212" s="371" t="n">
        <f aca="false">COUNTIF($M$210:$M$217,AZ212)*$D$23</f>
        <v>0</v>
      </c>
      <c r="BB212" s="404"/>
      <c r="BC212" s="363" t="s">
        <v>364</v>
      </c>
      <c r="BD212" s="371" t="n">
        <f aca="false">COUNTIF($M$210:$M$217,BC212)*$D$23</f>
        <v>0</v>
      </c>
      <c r="BE212" s="404"/>
      <c r="BF212" s="363" t="s">
        <v>339</v>
      </c>
      <c r="BG212" s="371" t="n">
        <f aca="false">COUNTIF($M$210:$M$217,BF212)*$D$23</f>
        <v>0</v>
      </c>
      <c r="BH212" s="404"/>
      <c r="BI212" s="363" t="s">
        <v>339</v>
      </c>
      <c r="BJ212" s="371" t="n">
        <f aca="false">COUNTIF($M$210:$M$217,BI212)*$D$23</f>
        <v>0</v>
      </c>
      <c r="BK212" s="404"/>
      <c r="BL212" s="363" t="s">
        <v>339</v>
      </c>
      <c r="BM212" s="371" t="n">
        <f aca="false">COUNTIF($M$210:$M$217,BL212)*$D$23</f>
        <v>0</v>
      </c>
      <c r="BN212" s="404"/>
      <c r="BO212" s="363" t="s">
        <v>339</v>
      </c>
      <c r="BP212" s="371" t="n">
        <f aca="false">COUNTIF($M$210:$M$217,BO212)*$D$23</f>
        <v>0</v>
      </c>
      <c r="BQ212" s="404"/>
      <c r="BR212" s="363" t="s">
        <v>339</v>
      </c>
      <c r="BS212" s="371" t="n">
        <f aca="false">COUNTIF($M$210:$M$217,BR212)*$D$23</f>
        <v>0</v>
      </c>
      <c r="BT212" s="404"/>
      <c r="BU212" s="363"/>
      <c r="BV212" s="371" t="n">
        <f aca="false">COUNTIF($M$210:$M$217,BU212)*$D$23</f>
        <v>0</v>
      </c>
      <c r="BW212" s="404"/>
      <c r="BX212" s="363"/>
      <c r="BY212" s="371" t="n">
        <f aca="false">COUNTIF($M$210:$M$217,BX212)*$D$23</f>
        <v>0</v>
      </c>
      <c r="BZ212" s="404"/>
      <c r="CA212" s="363"/>
      <c r="CB212" s="371" t="n">
        <f aca="false">COUNTIF($M$210:$M$217,CA212)*$D$23</f>
        <v>0</v>
      </c>
      <c r="CC212" s="404"/>
      <c r="CD212" s="363"/>
      <c r="CE212" s="371" t="n">
        <f aca="false">COUNTIF($M$210:$M$217,CD212)*$D$23</f>
        <v>0</v>
      </c>
      <c r="CF212" s="404"/>
      <c r="CG212" s="363"/>
      <c r="CH212" s="371" t="n">
        <f aca="false">COUNTIF($M$210:$M$217,CG212)*$D$23</f>
        <v>0</v>
      </c>
      <c r="CI212" s="404"/>
      <c r="CJ212" s="363"/>
      <c r="CK212" s="371" t="n">
        <f aca="false">COUNTIF($M$210:$M$217,CJ212)*$D$23</f>
        <v>0</v>
      </c>
      <c r="CL212" s="404"/>
      <c r="CM212" s="363"/>
      <c r="CN212" s="371" t="n">
        <f aca="false">COUNTIF($M$210:$M$217,CM212)*$D$23</f>
        <v>0</v>
      </c>
      <c r="CO212" s="404"/>
      <c r="CP212" s="363"/>
      <c r="CQ212" s="371" t="n">
        <f aca="false">COUNTIF($M$210:$M$217,CP212)*$D$23</f>
        <v>0</v>
      </c>
      <c r="CR212" s="404"/>
      <c r="CS212" s="363"/>
      <c r="CT212" s="371" t="n">
        <f aca="false">COUNTIF($M$210:$M$217,CS212)*$D$23</f>
        <v>0</v>
      </c>
      <c r="CU212" s="404"/>
      <c r="CV212" s="363"/>
      <c r="CW212" s="371" t="n">
        <f aca="false">COUNTIF($M$210:$M$217,CV212)*$D$23</f>
        <v>0</v>
      </c>
      <c r="CX212" s="404"/>
      <c r="CY212" s="363"/>
      <c r="CZ212" s="371" t="n">
        <f aca="false">COUNTIF($M$210:$M$217,CY212)*$D$23</f>
        <v>0</v>
      </c>
      <c r="DA212" s="404"/>
      <c r="DB212" s="363"/>
      <c r="DC212" s="371" t="n">
        <f aca="false">COUNTIF($M$210:$M$217,DB212)*$D$23</f>
        <v>0</v>
      </c>
      <c r="DD212" s="404"/>
      <c r="DE212" s="363"/>
      <c r="DF212" s="371" t="n">
        <f aca="false">COUNTIF($M$210:$M$217,DE212)*$D$23</f>
        <v>0</v>
      </c>
      <c r="DG212" s="404"/>
      <c r="DH212" s="363"/>
      <c r="DI212" s="371" t="n">
        <f aca="false">COUNTIF($M$210:$M$217,DH212)*$D$23</f>
        <v>0</v>
      </c>
      <c r="DJ212" s="404"/>
      <c r="DK212" s="363"/>
      <c r="DL212" s="371" t="n">
        <f aca="false">COUNTIF($M$210:$M$217,DK212)*$D$23</f>
        <v>0</v>
      </c>
      <c r="DM212" s="404"/>
      <c r="DN212" s="363"/>
      <c r="DO212" s="371" t="n">
        <f aca="false">COUNTIF($M$210:$M$217,DN212)*$D$23</f>
        <v>0</v>
      </c>
      <c r="DP212" s="404"/>
      <c r="DQ212" s="363"/>
      <c r="DR212" s="371" t="n">
        <f aca="false">COUNTIF($M$210:$M$217,DQ212)*$D$23</f>
        <v>0</v>
      </c>
      <c r="DS212" s="404"/>
      <c r="DT212" s="363"/>
      <c r="DU212" s="371" t="n">
        <f aca="false">COUNTIF($M$210:$M$217,DT212)*$D$23</f>
        <v>0</v>
      </c>
      <c r="DV212" s="404"/>
      <c r="DW212" s="363"/>
      <c r="DX212" s="371" t="n">
        <f aca="false">COUNTIF($M$210:$M$217,DW212)*$D$23</f>
        <v>0</v>
      </c>
      <c r="DY212" s="404"/>
      <c r="DZ212" s="363"/>
      <c r="EA212" s="371" t="n">
        <f aca="false">COUNTIF($M$210:$M$217,DZ212)*$D$23</f>
        <v>0</v>
      </c>
      <c r="EB212" s="404"/>
      <c r="EC212" s="363"/>
      <c r="ED212" s="371" t="n">
        <f aca="false">COUNTIF($M$210:$M$217,EC212)*$D$23</f>
        <v>0</v>
      </c>
      <c r="EE212" s="404"/>
      <c r="EF212" s="363"/>
      <c r="EG212" s="371" t="n">
        <f aca="false">COUNTIF($M$210:$M$217,EF212)*$D$23</f>
        <v>0</v>
      </c>
      <c r="EH212" s="404"/>
      <c r="EI212" s="404"/>
    </row>
    <row r="213" customFormat="false" ht="15" hidden="false" customHeight="false" outlineLevel="0" collapsed="false">
      <c r="A213" s="332"/>
      <c r="B213" s="332"/>
      <c r="C213" s="422"/>
      <c r="D213" s="422"/>
      <c r="E213" s="422"/>
      <c r="F213" s="423" t="n">
        <f aca="false">+$D$23</f>
        <v>5</v>
      </c>
      <c r="G213" s="423" t="n">
        <f aca="false">VLOOKUP(H213,Equipos!$Q$1:$R$25,2,0)</f>
        <v>21</v>
      </c>
      <c r="H213" s="410" t="str">
        <f aca="false">Idiomas!$D$261</f>
        <v>Octavos de final</v>
      </c>
      <c r="I213" s="410"/>
      <c r="J213" s="418"/>
      <c r="K213" s="367" t="str">
        <f aca="false">Idiomas!$D$200&amp;"-"&amp;ROWS($L$210:L213)</f>
        <v>Cuartofinalista-4</v>
      </c>
      <c r="L213" s="354"/>
      <c r="M213" s="359" t="str">
        <f aca="false">WORLDCUP!AA134</f>
        <v>W95</v>
      </c>
      <c r="N213" s="332"/>
      <c r="O213" s="332"/>
      <c r="P213" s="332"/>
      <c r="Q213" s="332"/>
      <c r="R213" s="404"/>
      <c r="S213" s="363" t="s">
        <v>344</v>
      </c>
      <c r="T213" s="371" t="n">
        <f aca="false">COUNTIF($M$210:$M$217,S213)*$D$23</f>
        <v>0</v>
      </c>
      <c r="U213" s="404"/>
      <c r="V213" s="363" t="s">
        <v>366</v>
      </c>
      <c r="W213" s="371" t="n">
        <f aca="false">COUNTIF($M$210:$M$217,V213)*$D$23</f>
        <v>0</v>
      </c>
      <c r="X213" s="404"/>
      <c r="Y213" s="363" t="s">
        <v>366</v>
      </c>
      <c r="Z213" s="371" t="n">
        <f aca="false">COUNTIF($M$210:$M$217,Y213)*$D$23</f>
        <v>0</v>
      </c>
      <c r="AA213" s="404"/>
      <c r="AB213" s="363" t="s">
        <v>366</v>
      </c>
      <c r="AC213" s="371" t="n">
        <f aca="false">COUNTIF($M$210:$M$217,AB213)*$D$23</f>
        <v>0</v>
      </c>
      <c r="AD213" s="404"/>
      <c r="AE213" s="363" t="s">
        <v>366</v>
      </c>
      <c r="AF213" s="371" t="n">
        <f aca="false">COUNTIF($M$210:$M$217,AE213)*$D$23</f>
        <v>0</v>
      </c>
      <c r="AG213" s="404"/>
      <c r="AH213" s="363" t="s">
        <v>366</v>
      </c>
      <c r="AI213" s="371" t="n">
        <f aca="false">COUNTIF($M$210:$M$217,AH213)*$D$23</f>
        <v>0</v>
      </c>
      <c r="AJ213" s="404"/>
      <c r="AK213" s="363" t="s">
        <v>366</v>
      </c>
      <c r="AL213" s="371" t="n">
        <f aca="false">COUNTIF($M$210:$M$217,AK213)*$D$23</f>
        <v>0</v>
      </c>
      <c r="AM213" s="404"/>
      <c r="AN213" s="363" t="s">
        <v>366</v>
      </c>
      <c r="AO213" s="371" t="n">
        <f aca="false">COUNTIF($M$210:$M$217,AN213)*$D$23</f>
        <v>0</v>
      </c>
      <c r="AP213" s="404"/>
      <c r="AQ213" s="363" t="s">
        <v>367</v>
      </c>
      <c r="AR213" s="371" t="n">
        <f aca="false">COUNTIF($M$210:$M$217,AQ213)*$D$23</f>
        <v>0</v>
      </c>
      <c r="AS213" s="404"/>
      <c r="AT213" s="363" t="s">
        <v>359</v>
      </c>
      <c r="AU213" s="371" t="n">
        <f aca="false">COUNTIF($M$210:$M$217,AT213)*$D$23</f>
        <v>0</v>
      </c>
      <c r="AV213" s="404"/>
      <c r="AW213" s="363" t="s">
        <v>366</v>
      </c>
      <c r="AX213" s="371" t="n">
        <f aca="false">COUNTIF($M$210:$M$217,AW213)*$D$23</f>
        <v>0</v>
      </c>
      <c r="AY213" s="404"/>
      <c r="AZ213" s="363" t="s">
        <v>366</v>
      </c>
      <c r="BA213" s="371" t="n">
        <f aca="false">COUNTIF($M$210:$M$217,AZ213)*$D$23</f>
        <v>0</v>
      </c>
      <c r="BB213" s="404"/>
      <c r="BC213" s="363" t="s">
        <v>344</v>
      </c>
      <c r="BD213" s="371" t="n">
        <f aca="false">COUNTIF($M$210:$M$217,BC213)*$D$23</f>
        <v>0</v>
      </c>
      <c r="BE213" s="404"/>
      <c r="BF213" s="363" t="s">
        <v>366</v>
      </c>
      <c r="BG213" s="371" t="n">
        <f aca="false">COUNTIF($M$210:$M$217,BF213)*$D$23</f>
        <v>0</v>
      </c>
      <c r="BH213" s="404"/>
      <c r="BI213" s="363" t="s">
        <v>366</v>
      </c>
      <c r="BJ213" s="371" t="n">
        <f aca="false">COUNTIF($M$210:$M$217,BI213)*$D$23</f>
        <v>0</v>
      </c>
      <c r="BK213" s="404"/>
      <c r="BL213" s="363" t="s">
        <v>366</v>
      </c>
      <c r="BM213" s="371" t="n">
        <f aca="false">COUNTIF($M$210:$M$217,BL213)*$D$23</f>
        <v>0</v>
      </c>
      <c r="BN213" s="404"/>
      <c r="BO213" s="363" t="s">
        <v>366</v>
      </c>
      <c r="BP213" s="371" t="n">
        <f aca="false">COUNTIF($M$210:$M$217,BO213)*$D$23</f>
        <v>0</v>
      </c>
      <c r="BQ213" s="404"/>
      <c r="BR213" s="363" t="s">
        <v>366</v>
      </c>
      <c r="BS213" s="371" t="n">
        <f aca="false">COUNTIF($M$210:$M$217,BR213)*$D$23</f>
        <v>0</v>
      </c>
      <c r="BT213" s="404"/>
      <c r="BU213" s="363"/>
      <c r="BV213" s="371" t="n">
        <f aca="false">COUNTIF($M$210:$M$217,BU213)*$D$23</f>
        <v>0</v>
      </c>
      <c r="BW213" s="404"/>
      <c r="BX213" s="363"/>
      <c r="BY213" s="371" t="n">
        <f aca="false">COUNTIF($M$210:$M$217,BX213)*$D$23</f>
        <v>0</v>
      </c>
      <c r="BZ213" s="404"/>
      <c r="CA213" s="363"/>
      <c r="CB213" s="371" t="n">
        <f aca="false">COUNTIF($M$210:$M$217,CA213)*$D$23</f>
        <v>0</v>
      </c>
      <c r="CC213" s="404"/>
      <c r="CD213" s="363"/>
      <c r="CE213" s="371" t="n">
        <f aca="false">COUNTIF($M$210:$M$217,CD213)*$D$23</f>
        <v>0</v>
      </c>
      <c r="CF213" s="404"/>
      <c r="CG213" s="363"/>
      <c r="CH213" s="371" t="n">
        <f aca="false">COUNTIF($M$210:$M$217,CG213)*$D$23</f>
        <v>0</v>
      </c>
      <c r="CI213" s="404"/>
      <c r="CJ213" s="363"/>
      <c r="CK213" s="371" t="n">
        <f aca="false">COUNTIF($M$210:$M$217,CJ213)*$D$23</f>
        <v>0</v>
      </c>
      <c r="CL213" s="404"/>
      <c r="CM213" s="363"/>
      <c r="CN213" s="371" t="n">
        <f aca="false">COUNTIF($M$210:$M$217,CM213)*$D$23</f>
        <v>0</v>
      </c>
      <c r="CO213" s="404"/>
      <c r="CP213" s="363"/>
      <c r="CQ213" s="371" t="n">
        <f aca="false">COUNTIF($M$210:$M$217,CP213)*$D$23</f>
        <v>0</v>
      </c>
      <c r="CR213" s="404"/>
      <c r="CS213" s="363"/>
      <c r="CT213" s="371" t="n">
        <f aca="false">COUNTIF($M$210:$M$217,CS213)*$D$23</f>
        <v>0</v>
      </c>
      <c r="CU213" s="404"/>
      <c r="CV213" s="363"/>
      <c r="CW213" s="371" t="n">
        <f aca="false">COUNTIF($M$210:$M$217,CV213)*$D$23</f>
        <v>0</v>
      </c>
      <c r="CX213" s="404"/>
      <c r="CY213" s="363"/>
      <c r="CZ213" s="371" t="n">
        <f aca="false">COUNTIF($M$210:$M$217,CY213)*$D$23</f>
        <v>0</v>
      </c>
      <c r="DA213" s="404"/>
      <c r="DB213" s="363"/>
      <c r="DC213" s="371" t="n">
        <f aca="false">COUNTIF($M$210:$M$217,DB213)*$D$23</f>
        <v>0</v>
      </c>
      <c r="DD213" s="404"/>
      <c r="DE213" s="363"/>
      <c r="DF213" s="371" t="n">
        <f aca="false">COUNTIF($M$210:$M$217,DE213)*$D$23</f>
        <v>0</v>
      </c>
      <c r="DG213" s="404"/>
      <c r="DH213" s="363"/>
      <c r="DI213" s="371" t="n">
        <f aca="false">COUNTIF($M$210:$M$217,DH213)*$D$23</f>
        <v>0</v>
      </c>
      <c r="DJ213" s="404"/>
      <c r="DK213" s="363"/>
      <c r="DL213" s="371" t="n">
        <f aca="false">COUNTIF($M$210:$M$217,DK213)*$D$23</f>
        <v>0</v>
      </c>
      <c r="DM213" s="404"/>
      <c r="DN213" s="363"/>
      <c r="DO213" s="371" t="n">
        <f aca="false">COUNTIF($M$210:$M$217,DN213)*$D$23</f>
        <v>0</v>
      </c>
      <c r="DP213" s="404"/>
      <c r="DQ213" s="363"/>
      <c r="DR213" s="371" t="n">
        <f aca="false">COUNTIF($M$210:$M$217,DQ213)*$D$23</f>
        <v>0</v>
      </c>
      <c r="DS213" s="404"/>
      <c r="DT213" s="363"/>
      <c r="DU213" s="371" t="n">
        <f aca="false">COUNTIF($M$210:$M$217,DT213)*$D$23</f>
        <v>0</v>
      </c>
      <c r="DV213" s="404"/>
      <c r="DW213" s="363"/>
      <c r="DX213" s="371" t="n">
        <f aca="false">COUNTIF($M$210:$M$217,DW213)*$D$23</f>
        <v>0</v>
      </c>
      <c r="DY213" s="404"/>
      <c r="DZ213" s="363"/>
      <c r="EA213" s="371" t="n">
        <f aca="false">COUNTIF($M$210:$M$217,DZ213)*$D$23</f>
        <v>0</v>
      </c>
      <c r="EB213" s="404"/>
      <c r="EC213" s="363"/>
      <c r="ED213" s="371" t="n">
        <f aca="false">COUNTIF($M$210:$M$217,EC213)*$D$23</f>
        <v>0</v>
      </c>
      <c r="EE213" s="404"/>
      <c r="EF213" s="363"/>
      <c r="EG213" s="371" t="n">
        <f aca="false">COUNTIF($M$210:$M$217,EF213)*$D$23</f>
        <v>0</v>
      </c>
      <c r="EH213" s="404"/>
      <c r="EI213" s="404"/>
    </row>
    <row r="214" customFormat="false" ht="15" hidden="false" customHeight="false" outlineLevel="0" collapsed="false">
      <c r="A214" s="332"/>
      <c r="B214" s="332"/>
      <c r="C214" s="422"/>
      <c r="D214" s="422"/>
      <c r="E214" s="422"/>
      <c r="F214" s="423" t="n">
        <f aca="false">+$D$23</f>
        <v>5</v>
      </c>
      <c r="G214" s="423" t="n">
        <f aca="false">VLOOKUP(H214,Equipos!$Q$1:$R$25,2,0)</f>
        <v>21</v>
      </c>
      <c r="H214" s="410" t="str">
        <f aca="false">Idiomas!$D$261</f>
        <v>Octavos de final</v>
      </c>
      <c r="I214" s="410"/>
      <c r="J214" s="418"/>
      <c r="K214" s="367" t="str">
        <f aca="false">Idiomas!$D$200&amp;"-"&amp;ROWS($L$210:L214)</f>
        <v>Cuartofinalista-5</v>
      </c>
      <c r="L214" s="354"/>
      <c r="M214" s="359" t="str">
        <f aca="false">WORLDCUP!AF131</f>
        <v>W90</v>
      </c>
      <c r="N214" s="332"/>
      <c r="O214" s="332"/>
      <c r="P214" s="332"/>
      <c r="Q214" s="332"/>
      <c r="R214" s="404"/>
      <c r="S214" s="363" t="s">
        <v>340</v>
      </c>
      <c r="T214" s="371" t="n">
        <f aca="false">COUNTIF($M$210:$M$217,S214)*$D$23</f>
        <v>0</v>
      </c>
      <c r="U214" s="404"/>
      <c r="V214" s="363" t="s">
        <v>340</v>
      </c>
      <c r="W214" s="371" t="n">
        <f aca="false">COUNTIF($M$210:$M$217,V214)*$D$23</f>
        <v>0</v>
      </c>
      <c r="X214" s="404"/>
      <c r="Y214" s="363" t="s">
        <v>351</v>
      </c>
      <c r="Z214" s="371" t="n">
        <f aca="false">COUNTIF($M$210:$M$217,Y214)*$D$23</f>
        <v>0</v>
      </c>
      <c r="AA214" s="404"/>
      <c r="AB214" s="363" t="s">
        <v>339</v>
      </c>
      <c r="AC214" s="371" t="n">
        <f aca="false">COUNTIF($M$210:$M$217,AB214)*$D$23</f>
        <v>0</v>
      </c>
      <c r="AD214" s="404"/>
      <c r="AE214" s="363" t="s">
        <v>351</v>
      </c>
      <c r="AF214" s="371" t="n">
        <f aca="false">COUNTIF($M$210:$M$217,AE214)*$D$23</f>
        <v>0</v>
      </c>
      <c r="AG214" s="404"/>
      <c r="AH214" s="363" t="s">
        <v>340</v>
      </c>
      <c r="AI214" s="371" t="n">
        <f aca="false">COUNTIF($M$210:$M$217,AH214)*$D$23</f>
        <v>0</v>
      </c>
      <c r="AJ214" s="404"/>
      <c r="AK214" s="363" t="s">
        <v>351</v>
      </c>
      <c r="AL214" s="371" t="n">
        <f aca="false">COUNTIF($M$210:$M$217,AK214)*$D$23</f>
        <v>0</v>
      </c>
      <c r="AM214" s="404"/>
      <c r="AN214" s="363" t="s">
        <v>351</v>
      </c>
      <c r="AO214" s="371" t="n">
        <f aca="false">COUNTIF($M$210:$M$217,AN214)*$D$23</f>
        <v>0</v>
      </c>
      <c r="AP214" s="404"/>
      <c r="AQ214" s="363" t="s">
        <v>339</v>
      </c>
      <c r="AR214" s="371" t="n">
        <f aca="false">COUNTIF($M$210:$M$217,AQ214)*$D$23</f>
        <v>0</v>
      </c>
      <c r="AS214" s="404"/>
      <c r="AT214" s="363" t="s">
        <v>339</v>
      </c>
      <c r="AU214" s="371" t="n">
        <f aca="false">COUNTIF($M$210:$M$217,AT214)*$D$23</f>
        <v>0</v>
      </c>
      <c r="AV214" s="404"/>
      <c r="AW214" s="363" t="s">
        <v>351</v>
      </c>
      <c r="AX214" s="371" t="n">
        <f aca="false">COUNTIF($M$210:$M$217,AW214)*$D$23</f>
        <v>0</v>
      </c>
      <c r="AY214" s="404"/>
      <c r="AZ214" s="363" t="s">
        <v>351</v>
      </c>
      <c r="BA214" s="371" t="n">
        <f aca="false">COUNTIF($M$210:$M$217,AZ214)*$D$23</f>
        <v>0</v>
      </c>
      <c r="BB214" s="404"/>
      <c r="BC214" s="363" t="s">
        <v>351</v>
      </c>
      <c r="BD214" s="371" t="n">
        <f aca="false">COUNTIF($M$210:$M$217,BC214)*$D$23</f>
        <v>0</v>
      </c>
      <c r="BE214" s="404"/>
      <c r="BF214" s="363" t="s">
        <v>340</v>
      </c>
      <c r="BG214" s="371" t="n">
        <f aca="false">COUNTIF($M$210:$M$217,BF214)*$D$23</f>
        <v>0</v>
      </c>
      <c r="BH214" s="404"/>
      <c r="BI214" s="363" t="s">
        <v>351</v>
      </c>
      <c r="BJ214" s="371" t="n">
        <f aca="false">COUNTIF($M$210:$M$217,BI214)*$D$23</f>
        <v>0</v>
      </c>
      <c r="BK214" s="404"/>
      <c r="BL214" s="363" t="s">
        <v>351</v>
      </c>
      <c r="BM214" s="371" t="n">
        <f aca="false">COUNTIF($M$210:$M$217,BL214)*$D$23</f>
        <v>0</v>
      </c>
      <c r="BN214" s="404"/>
      <c r="BO214" s="363" t="s">
        <v>340</v>
      </c>
      <c r="BP214" s="371" t="n">
        <f aca="false">COUNTIF($M$210:$M$217,BO214)*$D$23</f>
        <v>0</v>
      </c>
      <c r="BQ214" s="404"/>
      <c r="BR214" s="363" t="s">
        <v>351</v>
      </c>
      <c r="BS214" s="371" t="n">
        <f aca="false">COUNTIF($M$210:$M$217,BR214)*$D$23</f>
        <v>0</v>
      </c>
      <c r="BT214" s="404"/>
      <c r="BU214" s="363"/>
      <c r="BV214" s="371" t="n">
        <f aca="false">COUNTIF($M$210:$M$217,BU214)*$D$23</f>
        <v>0</v>
      </c>
      <c r="BW214" s="404"/>
      <c r="BX214" s="363"/>
      <c r="BY214" s="371" t="n">
        <f aca="false">COUNTIF($M$210:$M$217,BX214)*$D$23</f>
        <v>0</v>
      </c>
      <c r="BZ214" s="404"/>
      <c r="CA214" s="363"/>
      <c r="CB214" s="371" t="n">
        <f aca="false">COUNTIF($M$210:$M$217,CA214)*$D$23</f>
        <v>0</v>
      </c>
      <c r="CC214" s="404"/>
      <c r="CD214" s="363"/>
      <c r="CE214" s="371" t="n">
        <f aca="false">COUNTIF($M$210:$M$217,CD214)*$D$23</f>
        <v>0</v>
      </c>
      <c r="CF214" s="404"/>
      <c r="CG214" s="363"/>
      <c r="CH214" s="371" t="n">
        <f aca="false">COUNTIF($M$210:$M$217,CG214)*$D$23</f>
        <v>0</v>
      </c>
      <c r="CI214" s="404"/>
      <c r="CJ214" s="363"/>
      <c r="CK214" s="371" t="n">
        <f aca="false">COUNTIF($M$210:$M$217,CJ214)*$D$23</f>
        <v>0</v>
      </c>
      <c r="CL214" s="404"/>
      <c r="CM214" s="363"/>
      <c r="CN214" s="371" t="n">
        <f aca="false">COUNTIF($M$210:$M$217,CM214)*$D$23</f>
        <v>0</v>
      </c>
      <c r="CO214" s="404"/>
      <c r="CP214" s="363"/>
      <c r="CQ214" s="371" t="n">
        <f aca="false">COUNTIF($M$210:$M$217,CP214)*$D$23</f>
        <v>0</v>
      </c>
      <c r="CR214" s="404"/>
      <c r="CS214" s="363"/>
      <c r="CT214" s="371" t="n">
        <f aca="false">COUNTIF($M$210:$M$217,CS214)*$D$23</f>
        <v>0</v>
      </c>
      <c r="CU214" s="404"/>
      <c r="CV214" s="363"/>
      <c r="CW214" s="371" t="n">
        <f aca="false">COUNTIF($M$210:$M$217,CV214)*$D$23</f>
        <v>0</v>
      </c>
      <c r="CX214" s="404"/>
      <c r="CY214" s="363"/>
      <c r="CZ214" s="371" t="n">
        <f aca="false">COUNTIF($M$210:$M$217,CY214)*$D$23</f>
        <v>0</v>
      </c>
      <c r="DA214" s="404"/>
      <c r="DB214" s="363"/>
      <c r="DC214" s="371" t="n">
        <f aca="false">COUNTIF($M$210:$M$217,DB214)*$D$23</f>
        <v>0</v>
      </c>
      <c r="DD214" s="404"/>
      <c r="DE214" s="363"/>
      <c r="DF214" s="371" t="n">
        <f aca="false">COUNTIF($M$210:$M$217,DE214)*$D$23</f>
        <v>0</v>
      </c>
      <c r="DG214" s="404"/>
      <c r="DH214" s="363"/>
      <c r="DI214" s="371" t="n">
        <f aca="false">COUNTIF($M$210:$M$217,DH214)*$D$23</f>
        <v>0</v>
      </c>
      <c r="DJ214" s="404"/>
      <c r="DK214" s="363"/>
      <c r="DL214" s="371" t="n">
        <f aca="false">COUNTIF($M$210:$M$217,DK214)*$D$23</f>
        <v>0</v>
      </c>
      <c r="DM214" s="404"/>
      <c r="DN214" s="363"/>
      <c r="DO214" s="371" t="n">
        <f aca="false">COUNTIF($M$210:$M$217,DN214)*$D$23</f>
        <v>0</v>
      </c>
      <c r="DP214" s="404"/>
      <c r="DQ214" s="363"/>
      <c r="DR214" s="371" t="n">
        <f aca="false">COUNTIF($M$210:$M$217,DQ214)*$D$23</f>
        <v>0</v>
      </c>
      <c r="DS214" s="404"/>
      <c r="DT214" s="363"/>
      <c r="DU214" s="371" t="n">
        <f aca="false">COUNTIF($M$210:$M$217,DT214)*$D$23</f>
        <v>0</v>
      </c>
      <c r="DV214" s="404"/>
      <c r="DW214" s="363"/>
      <c r="DX214" s="371" t="n">
        <f aca="false">COUNTIF($M$210:$M$217,DW214)*$D$23</f>
        <v>0</v>
      </c>
      <c r="DY214" s="404"/>
      <c r="DZ214" s="363"/>
      <c r="EA214" s="371" t="n">
        <f aca="false">COUNTIF($M$210:$M$217,DZ214)*$D$23</f>
        <v>0</v>
      </c>
      <c r="EB214" s="404"/>
      <c r="EC214" s="363"/>
      <c r="ED214" s="371" t="n">
        <f aca="false">COUNTIF($M$210:$M$217,EC214)*$D$23</f>
        <v>0</v>
      </c>
      <c r="EE214" s="404"/>
      <c r="EF214" s="363"/>
      <c r="EG214" s="371" t="n">
        <f aca="false">COUNTIF($M$210:$M$217,EF214)*$D$23</f>
        <v>0</v>
      </c>
      <c r="EH214" s="404"/>
      <c r="EI214" s="404"/>
    </row>
    <row r="215" customFormat="false" ht="15" hidden="false" customHeight="false" outlineLevel="0" collapsed="false">
      <c r="A215" s="332"/>
      <c r="B215" s="332"/>
      <c r="C215" s="422"/>
      <c r="D215" s="422"/>
      <c r="E215" s="422"/>
      <c r="F215" s="423" t="n">
        <f aca="false">+$D$23</f>
        <v>5</v>
      </c>
      <c r="G215" s="423" t="n">
        <f aca="false">VLOOKUP(H215,Equipos!$Q$1:$R$25,2,0)</f>
        <v>21</v>
      </c>
      <c r="H215" s="410" t="str">
        <f aca="false">Idiomas!$D$261</f>
        <v>Octavos de final</v>
      </c>
      <c r="I215" s="410"/>
      <c r="J215" s="418"/>
      <c r="K215" s="367" t="str">
        <f aca="false">Idiomas!$D$200&amp;"-"&amp;ROWS($L$210:L215)</f>
        <v>Cuartofinalista-6</v>
      </c>
      <c r="L215" s="354"/>
      <c r="M215" s="359" t="str">
        <f aca="false">WORLDCUP!AF132</f>
        <v>W94</v>
      </c>
      <c r="N215" s="332"/>
      <c r="O215" s="332"/>
      <c r="P215" s="332"/>
      <c r="Q215" s="332"/>
      <c r="R215" s="404"/>
      <c r="S215" s="363" t="s">
        <v>343</v>
      </c>
      <c r="T215" s="371" t="n">
        <f aca="false">COUNTIF($M$210:$M$217,S215)*$D$23</f>
        <v>0</v>
      </c>
      <c r="U215" s="404"/>
      <c r="V215" s="363" t="s">
        <v>355</v>
      </c>
      <c r="W215" s="371" t="n">
        <f aca="false">COUNTIF($M$210:$M$217,V215)*$D$23</f>
        <v>0</v>
      </c>
      <c r="X215" s="404"/>
      <c r="Y215" s="363" t="s">
        <v>355</v>
      </c>
      <c r="Z215" s="371" t="n">
        <f aca="false">COUNTIF($M$210:$M$217,Y215)*$D$23</f>
        <v>0</v>
      </c>
      <c r="AA215" s="404"/>
      <c r="AB215" s="363" t="s">
        <v>355</v>
      </c>
      <c r="AC215" s="371" t="n">
        <f aca="false">COUNTIF($M$210:$M$217,AB215)*$D$23</f>
        <v>0</v>
      </c>
      <c r="AD215" s="404"/>
      <c r="AE215" s="363" t="s">
        <v>355</v>
      </c>
      <c r="AF215" s="371" t="n">
        <f aca="false">COUNTIF($M$210:$M$217,AE215)*$D$23</f>
        <v>0</v>
      </c>
      <c r="AG215" s="404"/>
      <c r="AH215" s="363" t="s">
        <v>355</v>
      </c>
      <c r="AI215" s="371" t="n">
        <f aca="false">COUNTIF($M$210:$M$217,AH215)*$D$23</f>
        <v>0</v>
      </c>
      <c r="AJ215" s="404"/>
      <c r="AK215" s="363" t="s">
        <v>355</v>
      </c>
      <c r="AL215" s="371" t="n">
        <f aca="false">COUNTIF($M$210:$M$217,AK215)*$D$23</f>
        <v>0</v>
      </c>
      <c r="AM215" s="404"/>
      <c r="AN215" s="363" t="s">
        <v>355</v>
      </c>
      <c r="AO215" s="371" t="n">
        <f aca="false">COUNTIF($M$210:$M$217,AN215)*$D$23</f>
        <v>0</v>
      </c>
      <c r="AP215" s="404"/>
      <c r="AQ215" s="363" t="s">
        <v>355</v>
      </c>
      <c r="AR215" s="371" t="n">
        <f aca="false">COUNTIF($M$210:$M$217,AQ215)*$D$23</f>
        <v>0</v>
      </c>
      <c r="AS215" s="404"/>
      <c r="AT215" s="363" t="s">
        <v>343</v>
      </c>
      <c r="AU215" s="371" t="n">
        <f aca="false">COUNTIF($M$210:$M$217,AT215)*$D$23</f>
        <v>0</v>
      </c>
      <c r="AV215" s="404"/>
      <c r="AW215" s="363" t="s">
        <v>355</v>
      </c>
      <c r="AX215" s="371" t="n">
        <f aca="false">COUNTIF($M$210:$M$217,AW215)*$D$23</f>
        <v>0</v>
      </c>
      <c r="AY215" s="404"/>
      <c r="AZ215" s="363" t="s">
        <v>355</v>
      </c>
      <c r="BA215" s="371" t="n">
        <f aca="false">COUNTIF($M$210:$M$217,AZ215)*$D$23</f>
        <v>0</v>
      </c>
      <c r="BB215" s="404"/>
      <c r="BC215" s="363" t="s">
        <v>343</v>
      </c>
      <c r="BD215" s="371" t="n">
        <f aca="false">COUNTIF($M$210:$M$217,BC215)*$D$23</f>
        <v>0</v>
      </c>
      <c r="BE215" s="404"/>
      <c r="BF215" s="363" t="s">
        <v>355</v>
      </c>
      <c r="BG215" s="371" t="n">
        <f aca="false">COUNTIF($M$210:$M$217,BF215)*$D$23</f>
        <v>0</v>
      </c>
      <c r="BH215" s="404"/>
      <c r="BI215" s="363" t="s">
        <v>355</v>
      </c>
      <c r="BJ215" s="371" t="n">
        <f aca="false">COUNTIF($M$210:$M$217,BI215)*$D$23</f>
        <v>0</v>
      </c>
      <c r="BK215" s="404"/>
      <c r="BL215" s="363" t="s">
        <v>355</v>
      </c>
      <c r="BM215" s="371" t="n">
        <f aca="false">COUNTIF($M$210:$M$217,BL215)*$D$23</f>
        <v>0</v>
      </c>
      <c r="BN215" s="404"/>
      <c r="BO215" s="363" t="s">
        <v>355</v>
      </c>
      <c r="BP215" s="371" t="n">
        <f aca="false">COUNTIF($M$210:$M$217,BO215)*$D$23</f>
        <v>0</v>
      </c>
      <c r="BQ215" s="404"/>
      <c r="BR215" s="363" t="s">
        <v>355</v>
      </c>
      <c r="BS215" s="371" t="n">
        <f aca="false">COUNTIF($M$210:$M$217,BR215)*$D$23</f>
        <v>0</v>
      </c>
      <c r="BT215" s="404"/>
      <c r="BU215" s="363"/>
      <c r="BV215" s="371" t="n">
        <f aca="false">COUNTIF($M$210:$M$217,BU215)*$D$23</f>
        <v>0</v>
      </c>
      <c r="BW215" s="404"/>
      <c r="BX215" s="363"/>
      <c r="BY215" s="371" t="n">
        <f aca="false">COUNTIF($M$210:$M$217,BX215)*$D$23</f>
        <v>0</v>
      </c>
      <c r="BZ215" s="404"/>
      <c r="CA215" s="363"/>
      <c r="CB215" s="371" t="n">
        <f aca="false">COUNTIF($M$210:$M$217,CA215)*$D$23</f>
        <v>0</v>
      </c>
      <c r="CC215" s="404"/>
      <c r="CD215" s="363"/>
      <c r="CE215" s="371" t="n">
        <f aca="false">COUNTIF($M$210:$M$217,CD215)*$D$23</f>
        <v>0</v>
      </c>
      <c r="CF215" s="404"/>
      <c r="CG215" s="363"/>
      <c r="CH215" s="371" t="n">
        <f aca="false">COUNTIF($M$210:$M$217,CG215)*$D$23</f>
        <v>0</v>
      </c>
      <c r="CI215" s="404"/>
      <c r="CJ215" s="363"/>
      <c r="CK215" s="371" t="n">
        <f aca="false">COUNTIF($M$210:$M$217,CJ215)*$D$23</f>
        <v>0</v>
      </c>
      <c r="CL215" s="404"/>
      <c r="CM215" s="363"/>
      <c r="CN215" s="371" t="n">
        <f aca="false">COUNTIF($M$210:$M$217,CM215)*$D$23</f>
        <v>0</v>
      </c>
      <c r="CO215" s="404"/>
      <c r="CP215" s="363"/>
      <c r="CQ215" s="371" t="n">
        <f aca="false">COUNTIF($M$210:$M$217,CP215)*$D$23</f>
        <v>0</v>
      </c>
      <c r="CR215" s="404"/>
      <c r="CS215" s="363"/>
      <c r="CT215" s="371" t="n">
        <f aca="false">COUNTIF($M$210:$M$217,CS215)*$D$23</f>
        <v>0</v>
      </c>
      <c r="CU215" s="404"/>
      <c r="CV215" s="363"/>
      <c r="CW215" s="371" t="n">
        <f aca="false">COUNTIF($M$210:$M$217,CV215)*$D$23</f>
        <v>0</v>
      </c>
      <c r="CX215" s="404"/>
      <c r="CY215" s="363"/>
      <c r="CZ215" s="371" t="n">
        <f aca="false">COUNTIF($M$210:$M$217,CY215)*$D$23</f>
        <v>0</v>
      </c>
      <c r="DA215" s="404"/>
      <c r="DB215" s="363"/>
      <c r="DC215" s="371" t="n">
        <f aca="false">COUNTIF($M$210:$M$217,DB215)*$D$23</f>
        <v>0</v>
      </c>
      <c r="DD215" s="404"/>
      <c r="DE215" s="363"/>
      <c r="DF215" s="371" t="n">
        <f aca="false">COUNTIF($M$210:$M$217,DE215)*$D$23</f>
        <v>0</v>
      </c>
      <c r="DG215" s="404"/>
      <c r="DH215" s="363"/>
      <c r="DI215" s="371" t="n">
        <f aca="false">COUNTIF($M$210:$M$217,DH215)*$D$23</f>
        <v>0</v>
      </c>
      <c r="DJ215" s="404"/>
      <c r="DK215" s="363"/>
      <c r="DL215" s="371" t="n">
        <f aca="false">COUNTIF($M$210:$M$217,DK215)*$D$23</f>
        <v>0</v>
      </c>
      <c r="DM215" s="404"/>
      <c r="DN215" s="363"/>
      <c r="DO215" s="371" t="n">
        <f aca="false">COUNTIF($M$210:$M$217,DN215)*$D$23</f>
        <v>0</v>
      </c>
      <c r="DP215" s="404"/>
      <c r="DQ215" s="363"/>
      <c r="DR215" s="371" t="n">
        <f aca="false">COUNTIF($M$210:$M$217,DQ215)*$D$23</f>
        <v>0</v>
      </c>
      <c r="DS215" s="404"/>
      <c r="DT215" s="363"/>
      <c r="DU215" s="371" t="n">
        <f aca="false">COUNTIF($M$210:$M$217,DT215)*$D$23</f>
        <v>0</v>
      </c>
      <c r="DV215" s="404"/>
      <c r="DW215" s="363"/>
      <c r="DX215" s="371" t="n">
        <f aca="false">COUNTIF($M$210:$M$217,DW215)*$D$23</f>
        <v>0</v>
      </c>
      <c r="DY215" s="404"/>
      <c r="DZ215" s="363"/>
      <c r="EA215" s="371" t="n">
        <f aca="false">COUNTIF($M$210:$M$217,DZ215)*$D$23</f>
        <v>0</v>
      </c>
      <c r="EB215" s="404"/>
      <c r="EC215" s="363"/>
      <c r="ED215" s="371" t="n">
        <f aca="false">COUNTIF($M$210:$M$217,EC215)*$D$23</f>
        <v>0</v>
      </c>
      <c r="EE215" s="404"/>
      <c r="EF215" s="363"/>
      <c r="EG215" s="371" t="n">
        <f aca="false">COUNTIF($M$210:$M$217,EF215)*$D$23</f>
        <v>0</v>
      </c>
      <c r="EH215" s="404"/>
      <c r="EI215" s="404"/>
    </row>
    <row r="216" customFormat="false" ht="15" hidden="false" customHeight="false" outlineLevel="0" collapsed="false">
      <c r="A216" s="332"/>
      <c r="B216" s="332"/>
      <c r="C216" s="422"/>
      <c r="D216" s="422"/>
      <c r="E216" s="422"/>
      <c r="F216" s="423" t="n">
        <f aca="false">+$D$23</f>
        <v>5</v>
      </c>
      <c r="G216" s="423" t="n">
        <f aca="false">VLOOKUP(H216,Equipos!$Q$1:$R$25,2,0)</f>
        <v>21</v>
      </c>
      <c r="H216" s="410" t="str">
        <f aca="false">Idiomas!$D$261</f>
        <v>Octavos de final</v>
      </c>
      <c r="I216" s="410"/>
      <c r="J216" s="418"/>
      <c r="K216" s="367" t="str">
        <f aca="false">Idiomas!$D$200&amp;"-"&amp;ROWS($L$210:L216)</f>
        <v>Cuartofinalista-7</v>
      </c>
      <c r="L216" s="354"/>
      <c r="M216" s="359" t="str">
        <f aca="false">WORLDCUP!AF133</f>
        <v>W92</v>
      </c>
      <c r="N216" s="332"/>
      <c r="O216" s="332"/>
      <c r="P216" s="332"/>
      <c r="Q216" s="332"/>
      <c r="R216" s="404"/>
      <c r="S216" s="363" t="s">
        <v>374</v>
      </c>
      <c r="T216" s="371" t="n">
        <f aca="false">COUNTIF($M$210:$M$217,S216)*$D$23</f>
        <v>0</v>
      </c>
      <c r="U216" s="404"/>
      <c r="V216" s="363" t="s">
        <v>374</v>
      </c>
      <c r="W216" s="371" t="n">
        <f aca="false">COUNTIF($M$210:$M$217,V216)*$D$23</f>
        <v>0</v>
      </c>
      <c r="X216" s="404"/>
      <c r="Y216" s="363" t="s">
        <v>331</v>
      </c>
      <c r="Z216" s="371" t="n">
        <f aca="false">COUNTIF($M$210:$M$217,Y216)*$D$23</f>
        <v>0</v>
      </c>
      <c r="AA216" s="404"/>
      <c r="AB216" s="363" t="s">
        <v>332</v>
      </c>
      <c r="AC216" s="371" t="n">
        <f aca="false">COUNTIF($M$210:$M$217,AB216)*$D$23</f>
        <v>0</v>
      </c>
      <c r="AD216" s="404"/>
      <c r="AE216" s="363" t="s">
        <v>374</v>
      </c>
      <c r="AF216" s="371" t="n">
        <f aca="false">COUNTIF($M$210:$M$217,AE216)*$D$23</f>
        <v>0</v>
      </c>
      <c r="AG216" s="404"/>
      <c r="AH216" s="363" t="s">
        <v>374</v>
      </c>
      <c r="AI216" s="371" t="n">
        <f aca="false">COUNTIF($M$210:$M$217,AH216)*$D$23</f>
        <v>0</v>
      </c>
      <c r="AJ216" s="404"/>
      <c r="AK216" s="363" t="s">
        <v>374</v>
      </c>
      <c r="AL216" s="371" t="n">
        <f aca="false">COUNTIF($M$210:$M$217,AK216)*$D$23</f>
        <v>0</v>
      </c>
      <c r="AM216" s="404"/>
      <c r="AN216" s="363" t="s">
        <v>374</v>
      </c>
      <c r="AO216" s="371" t="n">
        <f aca="false">COUNTIF($M$210:$M$217,AN216)*$D$23</f>
        <v>0</v>
      </c>
      <c r="AP216" s="404"/>
      <c r="AQ216" s="363" t="s">
        <v>374</v>
      </c>
      <c r="AR216" s="371" t="n">
        <f aca="false">COUNTIF($M$210:$M$217,AQ216)*$D$23</f>
        <v>0</v>
      </c>
      <c r="AS216" s="404"/>
      <c r="AT216" s="363" t="s">
        <v>374</v>
      </c>
      <c r="AU216" s="371" t="n">
        <f aca="false">COUNTIF($M$210:$M$217,AT216)*$D$23</f>
        <v>0</v>
      </c>
      <c r="AV216" s="404"/>
      <c r="AW216" s="363" t="s">
        <v>374</v>
      </c>
      <c r="AX216" s="371" t="n">
        <f aca="false">COUNTIF($M$210:$M$217,AW216)*$D$23</f>
        <v>0</v>
      </c>
      <c r="AY216" s="404"/>
      <c r="AZ216" s="363" t="s">
        <v>374</v>
      </c>
      <c r="BA216" s="371" t="n">
        <f aca="false">COUNTIF($M$210:$M$217,AZ216)*$D$23</f>
        <v>0</v>
      </c>
      <c r="BB216" s="404"/>
      <c r="BC216" s="363" t="s">
        <v>376</v>
      </c>
      <c r="BD216" s="371" t="n">
        <f aca="false">COUNTIF($M$210:$M$217,BC216)*$D$23</f>
        <v>0</v>
      </c>
      <c r="BE216" s="404"/>
      <c r="BF216" s="363" t="s">
        <v>374</v>
      </c>
      <c r="BG216" s="371" t="n">
        <f aca="false">COUNTIF($M$210:$M$217,BF216)*$D$23</f>
        <v>0</v>
      </c>
      <c r="BH216" s="404"/>
      <c r="BI216" s="363" t="s">
        <v>374</v>
      </c>
      <c r="BJ216" s="371" t="n">
        <f aca="false">COUNTIF($M$210:$M$217,BI216)*$D$23</f>
        <v>0</v>
      </c>
      <c r="BK216" s="404"/>
      <c r="BL216" s="363" t="s">
        <v>374</v>
      </c>
      <c r="BM216" s="371" t="n">
        <f aca="false">COUNTIF($M$210:$M$217,BL216)*$D$23</f>
        <v>0</v>
      </c>
      <c r="BN216" s="404"/>
      <c r="BO216" s="363" t="s">
        <v>374</v>
      </c>
      <c r="BP216" s="371" t="n">
        <f aca="false">COUNTIF($M$210:$M$217,BO216)*$D$23</f>
        <v>0</v>
      </c>
      <c r="BQ216" s="404"/>
      <c r="BR216" s="363" t="s">
        <v>374</v>
      </c>
      <c r="BS216" s="371" t="n">
        <f aca="false">COUNTIF($M$210:$M$217,BR216)*$D$23</f>
        <v>0</v>
      </c>
      <c r="BT216" s="404"/>
      <c r="BU216" s="363"/>
      <c r="BV216" s="371" t="n">
        <f aca="false">COUNTIF($M$210:$M$217,BU216)*$D$23</f>
        <v>0</v>
      </c>
      <c r="BW216" s="404"/>
      <c r="BX216" s="363"/>
      <c r="BY216" s="371" t="n">
        <f aca="false">COUNTIF($M$210:$M$217,BX216)*$D$23</f>
        <v>0</v>
      </c>
      <c r="BZ216" s="404"/>
      <c r="CA216" s="363"/>
      <c r="CB216" s="371" t="n">
        <f aca="false">COUNTIF($M$210:$M$217,CA216)*$D$23</f>
        <v>0</v>
      </c>
      <c r="CC216" s="404"/>
      <c r="CD216" s="363"/>
      <c r="CE216" s="371" t="n">
        <f aca="false">COUNTIF($M$210:$M$217,CD216)*$D$23</f>
        <v>0</v>
      </c>
      <c r="CF216" s="404"/>
      <c r="CG216" s="363"/>
      <c r="CH216" s="371" t="n">
        <f aca="false">COUNTIF($M$210:$M$217,CG216)*$D$23</f>
        <v>0</v>
      </c>
      <c r="CI216" s="404"/>
      <c r="CJ216" s="363"/>
      <c r="CK216" s="371" t="n">
        <f aca="false">COUNTIF($M$210:$M$217,CJ216)*$D$23</f>
        <v>0</v>
      </c>
      <c r="CL216" s="404"/>
      <c r="CM216" s="363"/>
      <c r="CN216" s="371" t="n">
        <f aca="false">COUNTIF($M$210:$M$217,CM216)*$D$23</f>
        <v>0</v>
      </c>
      <c r="CO216" s="404"/>
      <c r="CP216" s="363"/>
      <c r="CQ216" s="371" t="n">
        <f aca="false">COUNTIF($M$210:$M$217,CP216)*$D$23</f>
        <v>0</v>
      </c>
      <c r="CR216" s="404"/>
      <c r="CS216" s="363"/>
      <c r="CT216" s="371" t="n">
        <f aca="false">COUNTIF($M$210:$M$217,CS216)*$D$23</f>
        <v>0</v>
      </c>
      <c r="CU216" s="404"/>
      <c r="CV216" s="363"/>
      <c r="CW216" s="371" t="n">
        <f aca="false">COUNTIF($M$210:$M$217,CV216)*$D$23</f>
        <v>0</v>
      </c>
      <c r="CX216" s="404"/>
      <c r="CY216" s="363"/>
      <c r="CZ216" s="371" t="n">
        <f aca="false">COUNTIF($M$210:$M$217,CY216)*$D$23</f>
        <v>0</v>
      </c>
      <c r="DA216" s="404"/>
      <c r="DB216" s="363"/>
      <c r="DC216" s="371" t="n">
        <f aca="false">COUNTIF($M$210:$M$217,DB216)*$D$23</f>
        <v>0</v>
      </c>
      <c r="DD216" s="404"/>
      <c r="DE216" s="363"/>
      <c r="DF216" s="371" t="n">
        <f aca="false">COUNTIF($M$210:$M$217,DE216)*$D$23</f>
        <v>0</v>
      </c>
      <c r="DG216" s="404"/>
      <c r="DH216" s="363"/>
      <c r="DI216" s="371" t="n">
        <f aca="false">COUNTIF($M$210:$M$217,DH216)*$D$23</f>
        <v>0</v>
      </c>
      <c r="DJ216" s="404"/>
      <c r="DK216" s="363"/>
      <c r="DL216" s="371" t="n">
        <f aca="false">COUNTIF($M$210:$M$217,DK216)*$D$23</f>
        <v>0</v>
      </c>
      <c r="DM216" s="404"/>
      <c r="DN216" s="363"/>
      <c r="DO216" s="371" t="n">
        <f aca="false">COUNTIF($M$210:$M$217,DN216)*$D$23</f>
        <v>0</v>
      </c>
      <c r="DP216" s="404"/>
      <c r="DQ216" s="363"/>
      <c r="DR216" s="371" t="n">
        <f aca="false">COUNTIF($M$210:$M$217,DQ216)*$D$23</f>
        <v>0</v>
      </c>
      <c r="DS216" s="404"/>
      <c r="DT216" s="363"/>
      <c r="DU216" s="371" t="n">
        <f aca="false">COUNTIF($M$210:$M$217,DT216)*$D$23</f>
        <v>0</v>
      </c>
      <c r="DV216" s="404"/>
      <c r="DW216" s="363"/>
      <c r="DX216" s="371" t="n">
        <f aca="false">COUNTIF($M$210:$M$217,DW216)*$D$23</f>
        <v>0</v>
      </c>
      <c r="DY216" s="404"/>
      <c r="DZ216" s="363"/>
      <c r="EA216" s="371" t="n">
        <f aca="false">COUNTIF($M$210:$M$217,DZ216)*$D$23</f>
        <v>0</v>
      </c>
      <c r="EB216" s="404"/>
      <c r="EC216" s="363"/>
      <c r="ED216" s="371" t="n">
        <f aca="false">COUNTIF($M$210:$M$217,EC216)*$D$23</f>
        <v>0</v>
      </c>
      <c r="EE216" s="404"/>
      <c r="EF216" s="363"/>
      <c r="EG216" s="371" t="n">
        <f aca="false">COUNTIF($M$210:$M$217,EF216)*$D$23</f>
        <v>0</v>
      </c>
      <c r="EH216" s="404"/>
      <c r="EI216" s="404"/>
    </row>
    <row r="217" customFormat="false" ht="15" hidden="false" customHeight="false" outlineLevel="0" collapsed="false">
      <c r="A217" s="332"/>
      <c r="B217" s="332"/>
      <c r="C217" s="422"/>
      <c r="D217" s="422"/>
      <c r="E217" s="422"/>
      <c r="F217" s="423" t="n">
        <f aca="false">+$D$23</f>
        <v>5</v>
      </c>
      <c r="G217" s="423" t="n">
        <f aca="false">VLOOKUP(H217,Equipos!$Q$1:$R$25,2,0)</f>
        <v>21</v>
      </c>
      <c r="H217" s="410" t="str">
        <f aca="false">Idiomas!$D$261</f>
        <v>Octavos de final</v>
      </c>
      <c r="I217" s="410"/>
      <c r="J217" s="418"/>
      <c r="K217" s="396" t="str">
        <f aca="false">Idiomas!$D$200&amp;"-"&amp;ROWS($L$210:L217)</f>
        <v>Cuartofinalista-8</v>
      </c>
      <c r="L217" s="396"/>
      <c r="M217" s="397" t="str">
        <f aca="false">WORLDCUP!AF134</f>
        <v>W96</v>
      </c>
      <c r="N217" s="332"/>
      <c r="O217" s="332"/>
      <c r="P217" s="332"/>
      <c r="Q217" s="332"/>
      <c r="R217" s="404"/>
      <c r="S217" s="398" t="s">
        <v>370</v>
      </c>
      <c r="T217" s="371" t="n">
        <f aca="false">COUNTIF($M$210:$M$217,S217)*$D$23</f>
        <v>0</v>
      </c>
      <c r="U217" s="404"/>
      <c r="V217" s="398" t="s">
        <v>370</v>
      </c>
      <c r="W217" s="371" t="n">
        <f aca="false">COUNTIF($M$210:$M$217,V217)*$D$23</f>
        <v>0</v>
      </c>
      <c r="X217" s="404"/>
      <c r="Y217" s="398" t="s">
        <v>370</v>
      </c>
      <c r="Z217" s="371" t="n">
        <f aca="false">COUNTIF($M$210:$M$217,Y217)*$D$23</f>
        <v>0</v>
      </c>
      <c r="AA217" s="404"/>
      <c r="AB217" s="398" t="s">
        <v>370</v>
      </c>
      <c r="AC217" s="371" t="n">
        <f aca="false">COUNTIF($M$210:$M$217,AB217)*$D$23</f>
        <v>0</v>
      </c>
      <c r="AD217" s="404"/>
      <c r="AE217" s="398" t="s">
        <v>370</v>
      </c>
      <c r="AF217" s="371" t="n">
        <f aca="false">COUNTIF($M$210:$M$217,AE217)*$D$23</f>
        <v>0</v>
      </c>
      <c r="AG217" s="404"/>
      <c r="AH217" s="398" t="s">
        <v>370</v>
      </c>
      <c r="AI217" s="371" t="n">
        <f aca="false">COUNTIF($M$210:$M$217,AH217)*$D$23</f>
        <v>0</v>
      </c>
      <c r="AJ217" s="404"/>
      <c r="AK217" s="398" t="s">
        <v>370</v>
      </c>
      <c r="AL217" s="371" t="n">
        <f aca="false">COUNTIF($M$210:$M$217,AK217)*$D$23</f>
        <v>0</v>
      </c>
      <c r="AM217" s="404"/>
      <c r="AN217" s="398" t="s">
        <v>370</v>
      </c>
      <c r="AO217" s="371" t="n">
        <f aca="false">COUNTIF($M$210:$M$217,AN217)*$D$23</f>
        <v>0</v>
      </c>
      <c r="AP217" s="404"/>
      <c r="AQ217" s="398" t="s">
        <v>370</v>
      </c>
      <c r="AR217" s="371" t="n">
        <f aca="false">COUNTIF($M$210:$M$217,AQ217)*$D$23</f>
        <v>0</v>
      </c>
      <c r="AS217" s="404"/>
      <c r="AT217" s="398" t="s">
        <v>370</v>
      </c>
      <c r="AU217" s="371" t="n">
        <f aca="false">COUNTIF($M$210:$M$217,AT217)*$D$23</f>
        <v>0</v>
      </c>
      <c r="AV217" s="404"/>
      <c r="AW217" s="398" t="s">
        <v>370</v>
      </c>
      <c r="AX217" s="371" t="n">
        <f aca="false">COUNTIF($M$210:$M$217,AW217)*$D$23</f>
        <v>0</v>
      </c>
      <c r="AY217" s="404"/>
      <c r="AZ217" s="398" t="s">
        <v>370</v>
      </c>
      <c r="BA217" s="371" t="n">
        <f aca="false">COUNTIF($M$210:$M$217,AZ217)*$D$23</f>
        <v>0</v>
      </c>
      <c r="BB217" s="404"/>
      <c r="BC217" s="398" t="s">
        <v>375</v>
      </c>
      <c r="BD217" s="371" t="n">
        <f aca="false">COUNTIF($M$210:$M$217,BC217)*$D$23</f>
        <v>0</v>
      </c>
      <c r="BE217" s="404"/>
      <c r="BF217" s="398" t="s">
        <v>370</v>
      </c>
      <c r="BG217" s="371" t="n">
        <f aca="false">COUNTIF($M$210:$M$217,BF217)*$D$23</f>
        <v>0</v>
      </c>
      <c r="BH217" s="404"/>
      <c r="BI217" s="398" t="s">
        <v>370</v>
      </c>
      <c r="BJ217" s="371" t="n">
        <f aca="false">COUNTIF($M$210:$M$217,BI217)*$D$23</f>
        <v>0</v>
      </c>
      <c r="BK217" s="404"/>
      <c r="BL217" s="398" t="s">
        <v>370</v>
      </c>
      <c r="BM217" s="371" t="n">
        <f aca="false">COUNTIF($M$210:$M$217,BL217)*$D$23</f>
        <v>0</v>
      </c>
      <c r="BN217" s="404"/>
      <c r="BO217" s="398" t="s">
        <v>370</v>
      </c>
      <c r="BP217" s="371" t="n">
        <f aca="false">COUNTIF($M$210:$M$217,BO217)*$D$23</f>
        <v>0</v>
      </c>
      <c r="BQ217" s="404"/>
      <c r="BR217" s="398" t="s">
        <v>370</v>
      </c>
      <c r="BS217" s="371" t="n">
        <f aca="false">COUNTIF($M$210:$M$217,BR217)*$D$23</f>
        <v>0</v>
      </c>
      <c r="BT217" s="404"/>
      <c r="BU217" s="398"/>
      <c r="BV217" s="371" t="n">
        <f aca="false">COUNTIF($M$210:$M$217,BU217)*$D$23</f>
        <v>0</v>
      </c>
      <c r="BW217" s="404"/>
      <c r="BX217" s="398"/>
      <c r="BY217" s="371" t="n">
        <f aca="false">COUNTIF($M$210:$M$217,BX217)*$D$23</f>
        <v>0</v>
      </c>
      <c r="BZ217" s="404"/>
      <c r="CA217" s="398"/>
      <c r="CB217" s="371" t="n">
        <f aca="false">COUNTIF($M$210:$M$217,CA217)*$D$23</f>
        <v>0</v>
      </c>
      <c r="CC217" s="404"/>
      <c r="CD217" s="398"/>
      <c r="CE217" s="371" t="n">
        <f aca="false">COUNTIF($M$210:$M$217,CD217)*$D$23</f>
        <v>0</v>
      </c>
      <c r="CF217" s="404"/>
      <c r="CG217" s="398"/>
      <c r="CH217" s="371" t="n">
        <f aca="false">COUNTIF($M$210:$M$217,CG217)*$D$23</f>
        <v>0</v>
      </c>
      <c r="CI217" s="404"/>
      <c r="CJ217" s="398"/>
      <c r="CK217" s="371" t="n">
        <f aca="false">COUNTIF($M$210:$M$217,CJ217)*$D$23</f>
        <v>0</v>
      </c>
      <c r="CL217" s="404"/>
      <c r="CM217" s="398"/>
      <c r="CN217" s="371" t="n">
        <f aca="false">COUNTIF($M$210:$M$217,CM217)*$D$23</f>
        <v>0</v>
      </c>
      <c r="CO217" s="404"/>
      <c r="CP217" s="398"/>
      <c r="CQ217" s="371" t="n">
        <f aca="false">COUNTIF($M$210:$M$217,CP217)*$D$23</f>
        <v>0</v>
      </c>
      <c r="CR217" s="404"/>
      <c r="CS217" s="398"/>
      <c r="CT217" s="371" t="n">
        <f aca="false">COUNTIF($M$210:$M$217,CS217)*$D$23</f>
        <v>0</v>
      </c>
      <c r="CU217" s="404"/>
      <c r="CV217" s="398"/>
      <c r="CW217" s="371" t="n">
        <f aca="false">COUNTIF($M$210:$M$217,CV217)*$D$23</f>
        <v>0</v>
      </c>
      <c r="CX217" s="404"/>
      <c r="CY217" s="398"/>
      <c r="CZ217" s="371" t="n">
        <f aca="false">COUNTIF($M$210:$M$217,CY217)*$D$23</f>
        <v>0</v>
      </c>
      <c r="DA217" s="404"/>
      <c r="DB217" s="398"/>
      <c r="DC217" s="371" t="n">
        <f aca="false">COUNTIF($M$210:$M$217,DB217)*$D$23</f>
        <v>0</v>
      </c>
      <c r="DD217" s="404"/>
      <c r="DE217" s="398"/>
      <c r="DF217" s="371" t="n">
        <f aca="false">COUNTIF($M$210:$M$217,DE217)*$D$23</f>
        <v>0</v>
      </c>
      <c r="DG217" s="404"/>
      <c r="DH217" s="398"/>
      <c r="DI217" s="371" t="n">
        <f aca="false">COUNTIF($M$210:$M$217,DH217)*$D$23</f>
        <v>0</v>
      </c>
      <c r="DJ217" s="404"/>
      <c r="DK217" s="398"/>
      <c r="DL217" s="371" t="n">
        <f aca="false">COUNTIF($M$210:$M$217,DK217)*$D$23</f>
        <v>0</v>
      </c>
      <c r="DM217" s="404"/>
      <c r="DN217" s="398"/>
      <c r="DO217" s="371" t="n">
        <f aca="false">COUNTIF($M$210:$M$217,DN217)*$D$23</f>
        <v>0</v>
      </c>
      <c r="DP217" s="404"/>
      <c r="DQ217" s="398"/>
      <c r="DR217" s="371" t="n">
        <f aca="false">COUNTIF($M$210:$M$217,DQ217)*$D$23</f>
        <v>0</v>
      </c>
      <c r="DS217" s="404"/>
      <c r="DT217" s="398"/>
      <c r="DU217" s="371" t="n">
        <f aca="false">COUNTIF($M$210:$M$217,DT217)*$D$23</f>
        <v>0</v>
      </c>
      <c r="DV217" s="404"/>
      <c r="DW217" s="398"/>
      <c r="DX217" s="371" t="n">
        <f aca="false">COUNTIF($M$210:$M$217,DW217)*$D$23</f>
        <v>0</v>
      </c>
      <c r="DY217" s="404"/>
      <c r="DZ217" s="398"/>
      <c r="EA217" s="371" t="n">
        <f aca="false">COUNTIF($M$210:$M$217,DZ217)*$D$23</f>
        <v>0</v>
      </c>
      <c r="EB217" s="404"/>
      <c r="EC217" s="398"/>
      <c r="ED217" s="371" t="n">
        <f aca="false">COUNTIF($M$210:$M$217,EC217)*$D$23</f>
        <v>0</v>
      </c>
      <c r="EE217" s="404"/>
      <c r="EF217" s="398"/>
      <c r="EG217" s="371" t="n">
        <f aca="false">COUNTIF($M$210:$M$217,EF217)*$D$23</f>
        <v>0</v>
      </c>
      <c r="EH217" s="404"/>
      <c r="EI217" s="404"/>
    </row>
    <row r="218" customFormat="false" ht="15" hidden="false" customHeight="false" outlineLevel="0" collapsed="false">
      <c r="A218" s="332"/>
      <c r="B218" s="332"/>
      <c r="C218" s="422" t="s">
        <v>385</v>
      </c>
      <c r="D218" s="422"/>
      <c r="E218" s="422"/>
      <c r="F218" s="423"/>
      <c r="G218" s="423"/>
      <c r="H218" s="410"/>
      <c r="I218" s="410"/>
      <c r="J218" s="413"/>
      <c r="K218" s="414" t="str">
        <f aca="false">Idiomas!D461</f>
        <v>Equipos 1/4</v>
      </c>
      <c r="L218" s="415"/>
      <c r="M218" s="414" t="str">
        <f aca="false">"Max: "&amp;$D$23*COUNT(T210:T217)</f>
        <v>Max: 40</v>
      </c>
      <c r="N218" s="332"/>
      <c r="O218" s="332"/>
      <c r="P218" s="332"/>
      <c r="Q218" s="332"/>
      <c r="R218" s="327"/>
      <c r="S218" s="416"/>
      <c r="T218" s="347" t="n">
        <f aca="false">SUM(T210:T217)</f>
        <v>0</v>
      </c>
      <c r="U218" s="327"/>
      <c r="V218" s="416"/>
      <c r="W218" s="347" t="n">
        <f aca="false">SUM(W210:W217)</f>
        <v>0</v>
      </c>
      <c r="X218" s="327"/>
      <c r="Y218" s="416"/>
      <c r="Z218" s="347" t="n">
        <f aca="false">SUM(Z210:Z217)</f>
        <v>0</v>
      </c>
      <c r="AA218" s="327"/>
      <c r="AB218" s="416"/>
      <c r="AC218" s="347" t="n">
        <f aca="false">SUM(AC210:AC217)</f>
        <v>0</v>
      </c>
      <c r="AD218" s="327"/>
      <c r="AE218" s="416"/>
      <c r="AF218" s="347" t="n">
        <f aca="false">SUM(AF210:AF217)</f>
        <v>0</v>
      </c>
      <c r="AG218" s="327"/>
      <c r="AH218" s="416"/>
      <c r="AI218" s="347" t="n">
        <f aca="false">SUM(AI210:AI217)</f>
        <v>0</v>
      </c>
      <c r="AJ218" s="327"/>
      <c r="AK218" s="416"/>
      <c r="AL218" s="347" t="n">
        <f aca="false">SUM(AL210:AL217)</f>
        <v>0</v>
      </c>
      <c r="AM218" s="327"/>
      <c r="AN218" s="416"/>
      <c r="AO218" s="347" t="n">
        <f aca="false">SUM(AO210:AO217)</f>
        <v>0</v>
      </c>
      <c r="AP218" s="327"/>
      <c r="AQ218" s="416"/>
      <c r="AR218" s="347" t="n">
        <f aca="false">SUM(AR210:AR217)</f>
        <v>0</v>
      </c>
      <c r="AS218" s="327"/>
      <c r="AT218" s="416"/>
      <c r="AU218" s="347" t="n">
        <f aca="false">SUM(AU210:AU217)</f>
        <v>0</v>
      </c>
      <c r="AV218" s="327"/>
      <c r="AW218" s="416"/>
      <c r="AX218" s="347" t="n">
        <f aca="false">SUM(AX210:AX217)</f>
        <v>0</v>
      </c>
      <c r="AY218" s="327"/>
      <c r="AZ218" s="416"/>
      <c r="BA218" s="347" t="n">
        <f aca="false">SUM(BA210:BA217)</f>
        <v>0</v>
      </c>
      <c r="BB218" s="327"/>
      <c r="BC218" s="416"/>
      <c r="BD218" s="347" t="n">
        <f aca="false">SUM(BD210:BD217)</f>
        <v>0</v>
      </c>
      <c r="BE218" s="327"/>
      <c r="BF218" s="416"/>
      <c r="BG218" s="347" t="n">
        <f aca="false">SUM(BG210:BG217)</f>
        <v>0</v>
      </c>
      <c r="BH218" s="327"/>
      <c r="BI218" s="416"/>
      <c r="BJ218" s="347" t="n">
        <f aca="false">SUM(BJ210:BJ217)</f>
        <v>0</v>
      </c>
      <c r="BK218" s="327"/>
      <c r="BL218" s="416"/>
      <c r="BM218" s="347" t="n">
        <f aca="false">SUM(BM210:BM217)</f>
        <v>0</v>
      </c>
      <c r="BN218" s="327"/>
      <c r="BO218" s="416"/>
      <c r="BP218" s="347" t="n">
        <f aca="false">SUM(BP210:BP217)</f>
        <v>0</v>
      </c>
      <c r="BQ218" s="327"/>
      <c r="BR218" s="416"/>
      <c r="BS218" s="347" t="n">
        <f aca="false">SUM(BS210:BS217)</f>
        <v>0</v>
      </c>
      <c r="BT218" s="327"/>
      <c r="BU218" s="416"/>
      <c r="BV218" s="347" t="n">
        <f aca="false">SUM(BV210:BV217)</f>
        <v>0</v>
      </c>
      <c r="BW218" s="327"/>
      <c r="BX218" s="416"/>
      <c r="BY218" s="347" t="n">
        <f aca="false">SUM(BY210:BY217)</f>
        <v>0</v>
      </c>
      <c r="BZ218" s="327"/>
      <c r="CA218" s="416"/>
      <c r="CB218" s="347" t="n">
        <f aca="false">SUM(CB210:CB217)</f>
        <v>0</v>
      </c>
      <c r="CC218" s="327"/>
      <c r="CD218" s="416"/>
      <c r="CE218" s="347" t="n">
        <f aca="false">SUM(CE210:CE217)</f>
        <v>0</v>
      </c>
      <c r="CF218" s="327"/>
      <c r="CG218" s="416"/>
      <c r="CH218" s="347" t="n">
        <f aca="false">SUM(CH210:CH217)</f>
        <v>0</v>
      </c>
      <c r="CI218" s="327"/>
      <c r="CJ218" s="416"/>
      <c r="CK218" s="347" t="n">
        <f aca="false">SUM(CK210:CK217)</f>
        <v>0</v>
      </c>
      <c r="CL218" s="327"/>
      <c r="CM218" s="416"/>
      <c r="CN218" s="347" t="n">
        <f aca="false">SUM(CN210:CN217)</f>
        <v>0</v>
      </c>
      <c r="CO218" s="327"/>
      <c r="CP218" s="416"/>
      <c r="CQ218" s="347" t="n">
        <f aca="false">SUM(CQ210:CQ217)</f>
        <v>0</v>
      </c>
      <c r="CR218" s="327"/>
      <c r="CS218" s="416"/>
      <c r="CT218" s="347" t="n">
        <f aca="false">SUM(CT210:CT217)</f>
        <v>0</v>
      </c>
      <c r="CU218" s="327"/>
      <c r="CV218" s="416"/>
      <c r="CW218" s="347" t="n">
        <f aca="false">SUM(CW210:CW217)</f>
        <v>0</v>
      </c>
      <c r="CX218" s="327"/>
      <c r="CY218" s="416"/>
      <c r="CZ218" s="347" t="n">
        <f aca="false">SUM(CZ210:CZ217)</f>
        <v>0</v>
      </c>
      <c r="DA218" s="327"/>
      <c r="DB218" s="416"/>
      <c r="DC218" s="347" t="n">
        <f aca="false">SUM(DC210:DC217)</f>
        <v>0</v>
      </c>
      <c r="DD218" s="327"/>
      <c r="DE218" s="416"/>
      <c r="DF218" s="347" t="n">
        <f aca="false">SUM(DF210:DF217)</f>
        <v>0</v>
      </c>
      <c r="DG218" s="327"/>
      <c r="DH218" s="416"/>
      <c r="DI218" s="347" t="n">
        <f aca="false">SUM(DI210:DI217)</f>
        <v>0</v>
      </c>
      <c r="DJ218" s="327"/>
      <c r="DK218" s="416"/>
      <c r="DL218" s="347" t="n">
        <f aca="false">SUM(DL210:DL217)</f>
        <v>0</v>
      </c>
      <c r="DM218" s="327"/>
      <c r="DN218" s="416"/>
      <c r="DO218" s="347" t="n">
        <f aca="false">SUM(DO210:DO217)</f>
        <v>0</v>
      </c>
      <c r="DP218" s="327"/>
      <c r="DQ218" s="416"/>
      <c r="DR218" s="347" t="n">
        <f aca="false">SUM(DR210:DR217)</f>
        <v>0</v>
      </c>
      <c r="DS218" s="327"/>
      <c r="DT218" s="416"/>
      <c r="DU218" s="347" t="n">
        <f aca="false">SUM(DU210:DU217)</f>
        <v>0</v>
      </c>
      <c r="DV218" s="327"/>
      <c r="DW218" s="416"/>
      <c r="DX218" s="347" t="n">
        <f aca="false">SUM(DX210:DX217)</f>
        <v>0</v>
      </c>
      <c r="DY218" s="327"/>
      <c r="DZ218" s="416"/>
      <c r="EA218" s="347" t="n">
        <f aca="false">SUM(EA210:EA217)</f>
        <v>0</v>
      </c>
      <c r="EB218" s="327"/>
      <c r="EC218" s="416"/>
      <c r="ED218" s="347" t="n">
        <f aca="false">SUM(ED210:ED217)</f>
        <v>0</v>
      </c>
      <c r="EE218" s="327"/>
      <c r="EF218" s="416"/>
      <c r="EG218" s="347" t="n">
        <f aca="false">SUM(EG210:EG217)</f>
        <v>0</v>
      </c>
      <c r="EH218" s="327"/>
      <c r="EI218" s="327"/>
    </row>
    <row r="219" customFormat="false" ht="15" hidden="false" customHeight="false" outlineLevel="0" collapsed="false">
      <c r="A219" s="332"/>
      <c r="B219" s="332"/>
      <c r="C219" s="422"/>
      <c r="D219" s="422"/>
      <c r="E219" s="422"/>
      <c r="F219" s="423"/>
      <c r="G219" s="423"/>
      <c r="H219" s="410"/>
      <c r="I219" s="419" t="s">
        <v>244</v>
      </c>
      <c r="J219" s="413"/>
      <c r="K219" s="346" t="str">
        <f aca="false">Idiomas!D142</f>
        <v>ENFRENTAMIENTOS CUARTOS</v>
      </c>
      <c r="L219" s="333"/>
      <c r="M219" s="347"/>
      <c r="N219" s="332"/>
      <c r="O219" s="332"/>
      <c r="P219" s="332"/>
      <c r="Q219" s="332"/>
      <c r="R219" s="327"/>
      <c r="S219" s="416"/>
      <c r="T219" s="347"/>
      <c r="U219" s="327"/>
      <c r="V219" s="416"/>
      <c r="W219" s="347"/>
      <c r="X219" s="327"/>
      <c r="Y219" s="416"/>
      <c r="Z219" s="347"/>
      <c r="AA219" s="327"/>
      <c r="AB219" s="416"/>
      <c r="AC219" s="347"/>
      <c r="AD219" s="327"/>
      <c r="AE219" s="416"/>
      <c r="AF219" s="347"/>
      <c r="AG219" s="327"/>
      <c r="AH219" s="416"/>
      <c r="AI219" s="347"/>
      <c r="AJ219" s="327"/>
      <c r="AK219" s="416"/>
      <c r="AL219" s="347"/>
      <c r="AM219" s="327"/>
      <c r="AN219" s="416"/>
      <c r="AO219" s="347"/>
      <c r="AP219" s="327"/>
      <c r="AQ219" s="416"/>
      <c r="AR219" s="347"/>
      <c r="AS219" s="327"/>
      <c r="AT219" s="416"/>
      <c r="AU219" s="347"/>
      <c r="AV219" s="327"/>
      <c r="AW219" s="416"/>
      <c r="AX219" s="347"/>
      <c r="AY219" s="327"/>
      <c r="AZ219" s="416"/>
      <c r="BA219" s="347"/>
      <c r="BB219" s="327"/>
      <c r="BC219" s="416"/>
      <c r="BD219" s="347"/>
      <c r="BE219" s="327"/>
      <c r="BF219" s="416"/>
      <c r="BG219" s="347"/>
      <c r="BH219" s="327"/>
      <c r="BI219" s="416"/>
      <c r="BJ219" s="347"/>
      <c r="BK219" s="327"/>
      <c r="BL219" s="416"/>
      <c r="BM219" s="347"/>
      <c r="BN219" s="327"/>
      <c r="BO219" s="416"/>
      <c r="BP219" s="347"/>
      <c r="BQ219" s="327"/>
      <c r="BR219" s="416"/>
      <c r="BS219" s="347"/>
      <c r="BT219" s="327"/>
      <c r="BU219" s="416"/>
      <c r="BV219" s="347"/>
      <c r="BW219" s="327"/>
      <c r="BX219" s="416"/>
      <c r="BY219" s="347"/>
      <c r="BZ219" s="327"/>
      <c r="CA219" s="416"/>
      <c r="CB219" s="347"/>
      <c r="CC219" s="327"/>
      <c r="CD219" s="416"/>
      <c r="CE219" s="347"/>
      <c r="CF219" s="327"/>
      <c r="CG219" s="416"/>
      <c r="CH219" s="347"/>
      <c r="CI219" s="327"/>
      <c r="CJ219" s="416"/>
      <c r="CK219" s="347"/>
      <c r="CL219" s="327"/>
      <c r="CM219" s="416"/>
      <c r="CN219" s="347"/>
      <c r="CO219" s="327"/>
      <c r="CP219" s="416"/>
      <c r="CQ219" s="347"/>
      <c r="CR219" s="327"/>
      <c r="CS219" s="416"/>
      <c r="CT219" s="347"/>
      <c r="CU219" s="327"/>
      <c r="CV219" s="416"/>
      <c r="CW219" s="347"/>
      <c r="CX219" s="327"/>
      <c r="CY219" s="416"/>
      <c r="CZ219" s="347"/>
      <c r="DA219" s="327"/>
      <c r="DB219" s="416"/>
      <c r="DC219" s="347"/>
      <c r="DD219" s="327"/>
      <c r="DE219" s="416"/>
      <c r="DF219" s="347"/>
      <c r="DG219" s="327"/>
      <c r="DH219" s="416"/>
      <c r="DI219" s="347"/>
      <c r="DJ219" s="327"/>
      <c r="DK219" s="416"/>
      <c r="DL219" s="347"/>
      <c r="DM219" s="327"/>
      <c r="DN219" s="416"/>
      <c r="DO219" s="347"/>
      <c r="DP219" s="327"/>
      <c r="DQ219" s="416"/>
      <c r="DR219" s="347"/>
      <c r="DS219" s="327"/>
      <c r="DT219" s="416"/>
      <c r="DU219" s="347"/>
      <c r="DV219" s="327"/>
      <c r="DW219" s="416"/>
      <c r="DX219" s="347"/>
      <c r="DY219" s="327"/>
      <c r="DZ219" s="416"/>
      <c r="EA219" s="347"/>
      <c r="EB219" s="327"/>
      <c r="EC219" s="416"/>
      <c r="ED219" s="347"/>
      <c r="EE219" s="327"/>
      <c r="EF219" s="416"/>
      <c r="EG219" s="347"/>
      <c r="EH219" s="327"/>
      <c r="EI219" s="327"/>
    </row>
    <row r="220" customFormat="false" ht="15" hidden="false" customHeight="false" outlineLevel="0" collapsed="false">
      <c r="A220" s="332" t="n">
        <f aca="false">WORLDCUP!AD131</f>
        <v>0</v>
      </c>
      <c r="B220" s="332" t="n">
        <f aca="false">WORLDCUP!AC131</f>
        <v>0</v>
      </c>
      <c r="C220" s="422" t="str">
        <f aca="false">CONCATENATE(WORLDCUP!AF131,"-",WORLDCUP!AA131)</f>
        <v>W90-W89</v>
      </c>
      <c r="D220" s="422" t="str">
        <f aca="false">IF(WORLDCUP!AC131&gt;WORLDCUP!AD131,2,IF(WORLDCUP!AC131&lt;WORLDCUP!AD131,1,IF(AND(WORLDCUP!AC131=WORLDCUP!AD131,WORLDCUP!AC131&lt;&gt;"",WORLDCUP!AD131&lt;&gt;""),0,"PD")))</f>
        <v>PD</v>
      </c>
      <c r="E220" s="422" t="str">
        <f aca="false">IF(OR(WORLDCUP!AD131="",WORLDCUP!AC131=""),"-",A220&amp;"-"&amp;B220)</f>
        <v>-</v>
      </c>
      <c r="F220" s="423" t="n">
        <f aca="false">SUM($D$24:$D$26)*I220</f>
        <v>17</v>
      </c>
      <c r="G220" s="423" t="n">
        <f aca="false">VLOOKUP(H220,Equipos!$Q$1:$R$25,2,0)</f>
        <v>22</v>
      </c>
      <c r="H220" s="410" t="str">
        <f aca="false">Idiomas!$D$262</f>
        <v>Cuartos de final</v>
      </c>
      <c r="I220" s="425" t="n">
        <v>1</v>
      </c>
      <c r="J220" s="418" t="s">
        <v>206</v>
      </c>
      <c r="K220" s="354" t="str">
        <f aca="false">CONCATENATE(WORLDCUP!AA131,"-",WORLDCUP!AF131)</f>
        <v>W89-W90</v>
      </c>
      <c r="L220" s="354" t="str">
        <f aca="false">IF(OR(WORLDCUP!AC131="",WORLDCUP!AD131=""),"PD",IF(WORLDCUP!AC131&gt;WORLDCUP!AD131,1,IF(WORLDCUP!AC131&lt;WORLDCUP!AD131,2,0)))</f>
        <v>PD</v>
      </c>
      <c r="M220" s="359" t="str">
        <f aca="false">IF(OR(WORLDCUP!AC131="",WORLDCUP!AD131=""),"-",N220&amp;"|"&amp;O220&amp;"-"&amp;P220)</f>
        <v>-</v>
      </c>
      <c r="N220" s="332" t="str">
        <f aca="false">IF(OR(WORLDCUP!AC131="",WORLDCUP!AD131=""),"",IF(WORLDCUP!AC131&gt;WORLDCUP!AD131,"1",IF(WORLDCUP!AC131&lt;WORLDCUP!AD131,"2","X")))</f>
        <v/>
      </c>
      <c r="O220" s="332" t="n">
        <f aca="false">WORLDCUP!AC131</f>
        <v>0</v>
      </c>
      <c r="P220" s="332" t="n">
        <f aca="false">WORLDCUP!AD131</f>
        <v>0</v>
      </c>
      <c r="Q220" s="332" t="n">
        <f aca="false">ABS(O220-P220)</f>
        <v>0</v>
      </c>
      <c r="R220" s="404"/>
      <c r="S220" s="370" t="s">
        <v>266</v>
      </c>
      <c r="T220" s="356" t="n">
        <f aca="false">IFERROR(IF($M220=S220,($D$8+$D$9+$D$10)*$I220,IF($N220=LEFT(S220,1),($D$8+MAX(0,IF($D$50=1,$D$9*(1-(ABS($Q220-ABS(VALUE(MID(S220,FIND("|",S220)+1,FIND("-",S220)-FIND("|",S220)-1))-VALUE(MID(S220,FIND("-",S220)+1,10)))))*$D$50),$D$9*(1-(IF($N220="X",ABS($O220-VALUE(MID(S220,FIND("|",S220)+1,FIND("-",S220)-FIND("|",S220)-1))),ABS($Q220-ABS(VALUE(MID(S220,FIND("|",S220)+1,FIND("-",S220)-FIND("|",S220)-1))-VALUE(MID(S220,FIND("-",S220)+1,10)))))*$D$50)))))*$I220,0)),0)</f>
        <v>0</v>
      </c>
      <c r="U220" s="404"/>
      <c r="V220" s="370" t="s">
        <v>264</v>
      </c>
      <c r="W220" s="356" t="n">
        <f aca="false">IFERROR(IF($M220=V220,($D$8+$D$9+$D$10)*$I220,IF($N220=LEFT(V220,1),($D$8+MAX(0,IF($D$50=1,$D$9*(1-(ABS($Q220-ABS(VALUE(MID(V220,FIND("|",V220)+1,FIND("-",V220)-FIND("|",V220)-1))-VALUE(MID(V220,FIND("-",V220)+1,10)))))*$D$50),$D$9*(1-(IF($N220="X",ABS($O220-VALUE(MID(V220,FIND("|",V220)+1,FIND("-",V220)-FIND("|",V220)-1))),ABS($Q220-ABS(VALUE(MID(V220,FIND("|",V220)+1,FIND("-",V220)-FIND("|",V220)-1))-VALUE(MID(V220,FIND("-",V220)+1,10)))))*$D$50)))))*$I220,0)),0)</f>
        <v>0</v>
      </c>
      <c r="X220" s="404"/>
      <c r="Y220" s="370" t="s">
        <v>266</v>
      </c>
      <c r="Z220" s="356" t="n">
        <f aca="false">IFERROR(IF($M220=Y220,($D$8+$D$9+$D$10)*$I220,IF($N220=LEFT(Y220,1),($D$8+MAX(0,IF($D$50=1,$D$9*(1-(ABS($Q220-ABS(VALUE(MID(Y220,FIND("|",Y220)+1,FIND("-",Y220)-FIND("|",Y220)-1))-VALUE(MID(Y220,FIND("-",Y220)+1,10)))))*$D$50),$D$9*(1-(IF($N220="X",ABS($O220-VALUE(MID(Y220,FIND("|",Y220)+1,FIND("-",Y220)-FIND("|",Y220)-1))),ABS($Q220-ABS(VALUE(MID(Y220,FIND("|",Y220)+1,FIND("-",Y220)-FIND("|",Y220)-1))-VALUE(MID(Y220,FIND("-",Y220)+1,10)))))*$D$50)))))*$I220,0)),0)</f>
        <v>0</v>
      </c>
      <c r="AA220" s="404"/>
      <c r="AB220" s="370" t="s">
        <v>264</v>
      </c>
      <c r="AC220" s="356" t="n">
        <f aca="false">IFERROR(IF($M220=AB220,($D$8+$D$9+$D$10)*$I220,IF($N220=LEFT(AB220,1),($D$8+MAX(0,IF($D$50=1,$D$9*(1-(ABS($Q220-ABS(VALUE(MID(AB220,FIND("|",AB220)+1,FIND("-",AB220)-FIND("|",AB220)-1))-VALUE(MID(AB220,FIND("-",AB220)+1,10)))))*$D$50),$D$9*(1-(IF($N220="X",ABS($O220-VALUE(MID(AB220,FIND("|",AB220)+1,FIND("-",AB220)-FIND("|",AB220)-1))),ABS($Q220-ABS(VALUE(MID(AB220,FIND("|",AB220)+1,FIND("-",AB220)-FIND("|",AB220)-1))-VALUE(MID(AB220,FIND("-",AB220)+1,10)))))*$D$50)))))*$I220,0)),0)</f>
        <v>0</v>
      </c>
      <c r="AD220" s="404"/>
      <c r="AE220" s="370" t="s">
        <v>264</v>
      </c>
      <c r="AF220" s="356" t="n">
        <f aca="false">IFERROR(IF($M220=AE220,($D$8+$D$9+$D$10)*$I220,IF($N220=LEFT(AE220,1),($D$8+MAX(0,IF($D$50=1,$D$9*(1-(ABS($Q220-ABS(VALUE(MID(AE220,FIND("|",AE220)+1,FIND("-",AE220)-FIND("|",AE220)-1))-VALUE(MID(AE220,FIND("-",AE220)+1,10)))))*$D$50),$D$9*(1-(IF($N220="X",ABS($O220-VALUE(MID(AE220,FIND("|",AE220)+1,FIND("-",AE220)-FIND("|",AE220)-1))),ABS($Q220-ABS(VALUE(MID(AE220,FIND("|",AE220)+1,FIND("-",AE220)-FIND("|",AE220)-1))-VALUE(MID(AE220,FIND("-",AE220)+1,10)))))*$D$50)))))*$I220,0)),0)</f>
        <v>0</v>
      </c>
      <c r="AG220" s="404"/>
      <c r="AH220" s="370" t="s">
        <v>264</v>
      </c>
      <c r="AI220" s="356" t="n">
        <f aca="false">IFERROR(IF($M220=AH220,($D$8+$D$9+$D$10)*$I220,IF($N220=LEFT(AH220,1),($D$8+MAX(0,IF($D$50=1,$D$9*(1-(ABS($Q220-ABS(VALUE(MID(AH220,FIND("|",AH220)+1,FIND("-",AH220)-FIND("|",AH220)-1))-VALUE(MID(AH220,FIND("-",AH220)+1,10)))))*$D$50),$D$9*(1-(IF($N220="X",ABS($O220-VALUE(MID(AH220,FIND("|",AH220)+1,FIND("-",AH220)-FIND("|",AH220)-1))),ABS($Q220-ABS(VALUE(MID(AH220,FIND("|",AH220)+1,FIND("-",AH220)-FIND("|",AH220)-1))-VALUE(MID(AH220,FIND("-",AH220)+1,10)))))*$D$50)))))*$I220,0)),0)</f>
        <v>0</v>
      </c>
      <c r="AJ220" s="404"/>
      <c r="AK220" s="370" t="s">
        <v>264</v>
      </c>
      <c r="AL220" s="356" t="n">
        <f aca="false">IFERROR(IF($M220=AK220,($D$8+$D$9+$D$10)*$I220,IF($N220=LEFT(AK220,1),($D$8+MAX(0,IF($D$50=1,$D$9*(1-(ABS($Q220-ABS(VALUE(MID(AK220,FIND("|",AK220)+1,FIND("-",AK220)-FIND("|",AK220)-1))-VALUE(MID(AK220,FIND("-",AK220)+1,10)))))*$D$50),$D$9*(1-(IF($N220="X",ABS($O220-VALUE(MID(AK220,FIND("|",AK220)+1,FIND("-",AK220)-FIND("|",AK220)-1))),ABS($Q220-ABS(VALUE(MID(AK220,FIND("|",AK220)+1,FIND("-",AK220)-FIND("|",AK220)-1))-VALUE(MID(AK220,FIND("-",AK220)+1,10)))))*$D$50)))))*$I220,0)),0)</f>
        <v>0</v>
      </c>
      <c r="AM220" s="404"/>
      <c r="AN220" s="370" t="s">
        <v>265</v>
      </c>
      <c r="AO220" s="356" t="n">
        <f aca="false">IFERROR(IF($M220=AN220,($D$8+$D$9+$D$10)*$I220,IF($N220=LEFT(AN220,1),($D$8+MAX(0,IF($D$50=1,$D$9*(1-(ABS($Q220-ABS(VALUE(MID(AN220,FIND("|",AN220)+1,FIND("-",AN220)-FIND("|",AN220)-1))-VALUE(MID(AN220,FIND("-",AN220)+1,10)))))*$D$50),$D$9*(1-(IF($N220="X",ABS($O220-VALUE(MID(AN220,FIND("|",AN220)+1,FIND("-",AN220)-FIND("|",AN220)-1))),ABS($Q220-ABS(VALUE(MID(AN220,FIND("|",AN220)+1,FIND("-",AN220)-FIND("|",AN220)-1))-VALUE(MID(AN220,FIND("-",AN220)+1,10)))))*$D$50)))))*$I220,0)),0)</f>
        <v>0</v>
      </c>
      <c r="AP220" s="404"/>
      <c r="AQ220" s="370" t="s">
        <v>277</v>
      </c>
      <c r="AR220" s="356" t="n">
        <f aca="false">IFERROR(IF($M220=AQ220,($D$8+$D$9+$D$10)*$I220,IF($N220=LEFT(AQ220,1),($D$8+MAX(0,IF($D$50=1,$D$9*(1-(ABS($Q220-ABS(VALUE(MID(AQ220,FIND("|",AQ220)+1,FIND("-",AQ220)-FIND("|",AQ220)-1))-VALUE(MID(AQ220,FIND("-",AQ220)+1,10)))))*$D$50),$D$9*(1-(IF($N220="X",ABS($O220-VALUE(MID(AQ220,FIND("|",AQ220)+1,FIND("-",AQ220)-FIND("|",AQ220)-1))),ABS($Q220-ABS(VALUE(MID(AQ220,FIND("|",AQ220)+1,FIND("-",AQ220)-FIND("|",AQ220)-1))-VALUE(MID(AQ220,FIND("-",AQ220)+1,10)))))*$D$50)))))*$I220,0)),0)</f>
        <v>0</v>
      </c>
      <c r="AS220" s="404"/>
      <c r="AT220" s="370" t="s">
        <v>279</v>
      </c>
      <c r="AU220" s="356" t="n">
        <f aca="false">IFERROR(IF($M220=AT220,($D$8+$D$9+$D$10)*$I220,IF($N220=LEFT(AT220,1),($D$8+MAX(0,IF($D$50=1,$D$9*(1-(ABS($Q220-ABS(VALUE(MID(AT220,FIND("|",AT220)+1,FIND("-",AT220)-FIND("|",AT220)-1))-VALUE(MID(AT220,FIND("-",AT220)+1,10)))))*$D$50),$D$9*(1-(IF($N220="X",ABS($O220-VALUE(MID(AT220,FIND("|",AT220)+1,FIND("-",AT220)-FIND("|",AT220)-1))),ABS($Q220-ABS(VALUE(MID(AT220,FIND("|",AT220)+1,FIND("-",AT220)-FIND("|",AT220)-1))-VALUE(MID(AT220,FIND("-",AT220)+1,10)))))*$D$50)))))*$I220,0)),0)</f>
        <v>0</v>
      </c>
      <c r="AV220" s="404"/>
      <c r="AW220" s="370" t="s">
        <v>264</v>
      </c>
      <c r="AX220" s="356" t="n">
        <f aca="false">IFERROR(IF($M220=AW220,($D$8+$D$9+$D$10)*$I220,IF($N220=LEFT(AW220,1),($D$8+MAX(0,IF($D$50=1,$D$9*(1-(ABS($Q220-ABS(VALUE(MID(AW220,FIND("|",AW220)+1,FIND("-",AW220)-FIND("|",AW220)-1))-VALUE(MID(AW220,FIND("-",AW220)+1,10)))))*$D$50),$D$9*(1-(IF($N220="X",ABS($O220-VALUE(MID(AW220,FIND("|",AW220)+1,FIND("-",AW220)-FIND("|",AW220)-1))),ABS($Q220-ABS(VALUE(MID(AW220,FIND("|",AW220)+1,FIND("-",AW220)-FIND("|",AW220)-1))-VALUE(MID(AW220,FIND("-",AW220)+1,10)))))*$D$50)))))*$I220,0)),0)</f>
        <v>0</v>
      </c>
      <c r="AY220" s="404"/>
      <c r="AZ220" s="370" t="s">
        <v>264</v>
      </c>
      <c r="BA220" s="356" t="n">
        <f aca="false">IFERROR(IF($M220=AZ220,($D$8+$D$9+$D$10)*$I220,IF($N220=LEFT(AZ220,1),($D$8+MAX(0,IF($D$50=1,$D$9*(1-(ABS($Q220-ABS(VALUE(MID(AZ220,FIND("|",AZ220)+1,FIND("-",AZ220)-FIND("|",AZ220)-1))-VALUE(MID(AZ220,FIND("-",AZ220)+1,10)))))*$D$50),$D$9*(1-(IF($N220="X",ABS($O220-VALUE(MID(AZ220,FIND("|",AZ220)+1,FIND("-",AZ220)-FIND("|",AZ220)-1))),ABS($Q220-ABS(VALUE(MID(AZ220,FIND("|",AZ220)+1,FIND("-",AZ220)-FIND("|",AZ220)-1))-VALUE(MID(AZ220,FIND("-",AZ220)+1,10)))))*$D$50)))))*$I220,0)),0)</f>
        <v>0</v>
      </c>
      <c r="BB220" s="404"/>
      <c r="BC220" s="370" t="s">
        <v>318</v>
      </c>
      <c r="BD220" s="356" t="n">
        <f aca="false">IFERROR(IF($M220=BC220,($D$8+$D$9+$D$10)*$I220,IF($N220=LEFT(BC220,1),($D$8+MAX(0,IF($D$50=1,$D$9*(1-(ABS($Q220-ABS(VALUE(MID(BC220,FIND("|",BC220)+1,FIND("-",BC220)-FIND("|",BC220)-1))-VALUE(MID(BC220,FIND("-",BC220)+1,10)))))*$D$50),$D$9*(1-(IF($N220="X",ABS($O220-VALUE(MID(BC220,FIND("|",BC220)+1,FIND("-",BC220)-FIND("|",BC220)-1))),ABS($Q220-ABS(VALUE(MID(BC220,FIND("|",BC220)+1,FIND("-",BC220)-FIND("|",BC220)-1))-VALUE(MID(BC220,FIND("-",BC220)+1,10)))))*$D$50)))))*$I220,0)),0)</f>
        <v>0</v>
      </c>
      <c r="BE220" s="404"/>
      <c r="BF220" s="370" t="s">
        <v>266</v>
      </c>
      <c r="BG220" s="356" t="n">
        <f aca="false">IFERROR(IF($M220=BF220,($D$8+$D$9+$D$10)*$I220,IF($N220=LEFT(BF220,1),($D$8+MAX(0,IF($D$50=1,$D$9*(1-(ABS($Q220-ABS(VALUE(MID(BF220,FIND("|",BF220)+1,FIND("-",BF220)-FIND("|",BF220)-1))-VALUE(MID(BF220,FIND("-",BF220)+1,10)))))*$D$50),$D$9*(1-(IF($N220="X",ABS($O220-VALUE(MID(BF220,FIND("|",BF220)+1,FIND("-",BF220)-FIND("|",BF220)-1))),ABS($Q220-ABS(VALUE(MID(BF220,FIND("|",BF220)+1,FIND("-",BF220)-FIND("|",BF220)-1))-VALUE(MID(BF220,FIND("-",BF220)+1,10)))))*$D$50)))))*$I220,0)),0)</f>
        <v>0</v>
      </c>
      <c r="BH220" s="404"/>
      <c r="BI220" s="370" t="s">
        <v>264</v>
      </c>
      <c r="BJ220" s="356" t="n">
        <f aca="false">IFERROR(IF($M220=BI220,($D$8+$D$9+$D$10)*$I220,IF($N220=LEFT(BI220,1),($D$8+MAX(0,IF($D$50=1,$D$9*(1-(ABS($Q220-ABS(VALUE(MID(BI220,FIND("|",BI220)+1,FIND("-",BI220)-FIND("|",BI220)-1))-VALUE(MID(BI220,FIND("-",BI220)+1,10)))))*$D$50),$D$9*(1-(IF($N220="X",ABS($O220-VALUE(MID(BI220,FIND("|",BI220)+1,FIND("-",BI220)-FIND("|",BI220)-1))),ABS($Q220-ABS(VALUE(MID(BI220,FIND("|",BI220)+1,FIND("-",BI220)-FIND("|",BI220)-1))-VALUE(MID(BI220,FIND("-",BI220)+1,10)))))*$D$50)))))*$I220,0)),0)</f>
        <v>0</v>
      </c>
      <c r="BK220" s="404"/>
      <c r="BL220" s="370" t="s">
        <v>288</v>
      </c>
      <c r="BM220" s="356" t="n">
        <f aca="false">IFERROR(IF($M220=BL220,($D$8+$D$9+$D$10)*$I220,IF($N220=LEFT(BL220,1),($D$8+MAX(0,IF($D$50=1,$D$9*(1-(ABS($Q220-ABS(VALUE(MID(BL220,FIND("|",BL220)+1,FIND("-",BL220)-FIND("|",BL220)-1))-VALUE(MID(BL220,FIND("-",BL220)+1,10)))))*$D$50),$D$9*(1-(IF($N220="X",ABS($O220-VALUE(MID(BL220,FIND("|",BL220)+1,FIND("-",BL220)-FIND("|",BL220)-1))),ABS($Q220-ABS(VALUE(MID(BL220,FIND("|",BL220)+1,FIND("-",BL220)-FIND("|",BL220)-1))-VALUE(MID(BL220,FIND("-",BL220)+1,10)))))*$D$50)))))*$I220,0)),0)</f>
        <v>0</v>
      </c>
      <c r="BN220" s="404"/>
      <c r="BO220" s="370" t="s">
        <v>272</v>
      </c>
      <c r="BP220" s="356" t="n">
        <f aca="false">IFERROR(IF($M220=BO220,($D$8+$D$9+$D$10)*$I220,IF($N220=LEFT(BO220,1),($D$8+MAX(0,IF($D$50=1,$D$9*(1-(ABS($Q220-ABS(VALUE(MID(BO220,FIND("|",BO220)+1,FIND("-",BO220)-FIND("|",BO220)-1))-VALUE(MID(BO220,FIND("-",BO220)+1,10)))))*$D$50),$D$9*(1-(IF($N220="X",ABS($O220-VALUE(MID(BO220,FIND("|",BO220)+1,FIND("-",BO220)-FIND("|",BO220)-1))),ABS($Q220-ABS(VALUE(MID(BO220,FIND("|",BO220)+1,FIND("-",BO220)-FIND("|",BO220)-1))-VALUE(MID(BO220,FIND("-",BO220)+1,10)))))*$D$50)))))*$I220,0)),0)</f>
        <v>0</v>
      </c>
      <c r="BQ220" s="404"/>
      <c r="BR220" s="370" t="s">
        <v>264</v>
      </c>
      <c r="BS220" s="356" t="n">
        <f aca="false">IFERROR(IF($M220=BR220,($D$8+$D$9+$D$10)*$I220,IF($N220=LEFT(BR220,1),($D$8+MAX(0,IF($D$50=1,$D$9*(1-(ABS($Q220-ABS(VALUE(MID(BR220,FIND("|",BR220)+1,FIND("-",BR220)-FIND("|",BR220)-1))-VALUE(MID(BR220,FIND("-",BR220)+1,10)))))*$D$50),$D$9*(1-(IF($N220="X",ABS($O220-VALUE(MID(BR220,FIND("|",BR220)+1,FIND("-",BR220)-FIND("|",BR220)-1))),ABS($Q220-ABS(VALUE(MID(BR220,FIND("|",BR220)+1,FIND("-",BR220)-FIND("|",BR220)-1))-VALUE(MID(BR220,FIND("-",BR220)+1,10)))))*$D$50)))))*$I220,0)),0)</f>
        <v>0</v>
      </c>
      <c r="BT220" s="404"/>
      <c r="BU220" s="370" t="str">
        <f aca="false">Idiomas!$D$369</f>
        <v>Pegar valores Cuartos</v>
      </c>
      <c r="BV220" s="356" t="n">
        <f aca="false">IFERROR(IF($M220=BU220,($D$8+$D$9+$D$10)*$I220,IF($N220=LEFT(BU220,1),($D$8+MAX(0,IF($D$50=1,$D$9*(1-(ABS($Q220-ABS(VALUE(MID(BU220,FIND("|",BU220)+1,FIND("-",BU220)-FIND("|",BU220)-1))-VALUE(MID(BU220,FIND("-",BU220)+1,10)))))*$D$50),$D$9*(1-(IF($N220="X",ABS($O220-VALUE(MID(BU220,FIND("|",BU220)+1,FIND("-",BU220)-FIND("|",BU220)-1))),ABS($Q220-ABS(VALUE(MID(BU220,FIND("|",BU220)+1,FIND("-",BU220)-FIND("|",BU220)-1))-VALUE(MID(BU220,FIND("-",BU220)+1,10)))))*$D$50)))))*$I220,0)),0)</f>
        <v>0</v>
      </c>
      <c r="BW220" s="404"/>
      <c r="BX220" s="370" t="str">
        <f aca="false">Idiomas!$D$369</f>
        <v>Pegar valores Cuartos</v>
      </c>
      <c r="BY220" s="356" t="n">
        <f aca="false">IFERROR(IF($M220=BX220,($D$8+$D$9+$D$10)*$I220,IF($N220=LEFT(BX220,1),($D$8+MAX(0,IF($D$50=1,$D$9*(1-(ABS($Q220-ABS(VALUE(MID(BX220,FIND("|",BX220)+1,FIND("-",BX220)-FIND("|",BX220)-1))-VALUE(MID(BX220,FIND("-",BX220)+1,10)))))*$D$50),$D$9*(1-(IF($N220="X",ABS($O220-VALUE(MID(BX220,FIND("|",BX220)+1,FIND("-",BX220)-FIND("|",BX220)-1))),ABS($Q220-ABS(VALUE(MID(BX220,FIND("|",BX220)+1,FIND("-",BX220)-FIND("|",BX220)-1))-VALUE(MID(BX220,FIND("-",BX220)+1,10)))))*$D$50)))))*$I220,0)),0)</f>
        <v>0</v>
      </c>
      <c r="BZ220" s="404"/>
      <c r="CA220" s="370" t="str">
        <f aca="false">Idiomas!$D$369</f>
        <v>Pegar valores Cuartos</v>
      </c>
      <c r="CB220" s="356" t="n">
        <f aca="false">IFERROR(IF($M220=CA220,($D$8+$D$9+$D$10)*$I220,IF($N220=LEFT(CA220,1),($D$8+MAX(0,IF($D$50=1,$D$9*(1-(ABS($Q220-ABS(VALUE(MID(CA220,FIND("|",CA220)+1,FIND("-",CA220)-FIND("|",CA220)-1))-VALUE(MID(CA220,FIND("-",CA220)+1,10)))))*$D$50),$D$9*(1-(IF($N220="X",ABS($O220-VALUE(MID(CA220,FIND("|",CA220)+1,FIND("-",CA220)-FIND("|",CA220)-1))),ABS($Q220-ABS(VALUE(MID(CA220,FIND("|",CA220)+1,FIND("-",CA220)-FIND("|",CA220)-1))-VALUE(MID(CA220,FIND("-",CA220)+1,10)))))*$D$50)))))*$I220,0)),0)</f>
        <v>0</v>
      </c>
      <c r="CC220" s="404"/>
      <c r="CD220" s="370" t="str">
        <f aca="false">Idiomas!$D$369</f>
        <v>Pegar valores Cuartos</v>
      </c>
      <c r="CE220" s="356" t="n">
        <f aca="false">IFERROR(IF($M220=CD220,($D$8+$D$9+$D$10)*$I220,IF($N220=LEFT(CD220,1),($D$8+MAX(0,IF($D$50=1,$D$9*(1-(ABS($Q220-ABS(VALUE(MID(CD220,FIND("|",CD220)+1,FIND("-",CD220)-FIND("|",CD220)-1))-VALUE(MID(CD220,FIND("-",CD220)+1,10)))))*$D$50),$D$9*(1-(IF($N220="X",ABS($O220-VALUE(MID(CD220,FIND("|",CD220)+1,FIND("-",CD220)-FIND("|",CD220)-1))),ABS($Q220-ABS(VALUE(MID(CD220,FIND("|",CD220)+1,FIND("-",CD220)-FIND("|",CD220)-1))-VALUE(MID(CD220,FIND("-",CD220)+1,10)))))*$D$50)))))*$I220,0)),0)</f>
        <v>0</v>
      </c>
      <c r="CF220" s="404"/>
      <c r="CG220" s="370" t="str">
        <f aca="false">Idiomas!$D$369</f>
        <v>Pegar valores Cuartos</v>
      </c>
      <c r="CH220" s="356" t="n">
        <f aca="false">IFERROR(IF($M220=CG220,($D$8+$D$9+$D$10)*$I220,IF($N220=LEFT(CG220,1),($D$8+MAX(0,IF($D$50=1,$D$9*(1-(ABS($Q220-ABS(VALUE(MID(CG220,FIND("|",CG220)+1,FIND("-",CG220)-FIND("|",CG220)-1))-VALUE(MID(CG220,FIND("-",CG220)+1,10)))))*$D$50),$D$9*(1-(IF($N220="X",ABS($O220-VALUE(MID(CG220,FIND("|",CG220)+1,FIND("-",CG220)-FIND("|",CG220)-1))),ABS($Q220-ABS(VALUE(MID(CG220,FIND("|",CG220)+1,FIND("-",CG220)-FIND("|",CG220)-1))-VALUE(MID(CG220,FIND("-",CG220)+1,10)))))*$D$50)))))*$I220,0)),0)</f>
        <v>0</v>
      </c>
      <c r="CI220" s="404"/>
      <c r="CJ220" s="370" t="str">
        <f aca="false">Idiomas!$D$369</f>
        <v>Pegar valores Cuartos</v>
      </c>
      <c r="CK220" s="356" t="n">
        <f aca="false">IFERROR(IF($M220=CJ220,($D$8+$D$9+$D$10)*$I220,IF($N220=LEFT(CJ220,1),($D$8+MAX(0,IF($D$50=1,$D$9*(1-(ABS($Q220-ABS(VALUE(MID(CJ220,FIND("|",CJ220)+1,FIND("-",CJ220)-FIND("|",CJ220)-1))-VALUE(MID(CJ220,FIND("-",CJ220)+1,10)))))*$D$50),$D$9*(1-(IF($N220="X",ABS($O220-VALUE(MID(CJ220,FIND("|",CJ220)+1,FIND("-",CJ220)-FIND("|",CJ220)-1))),ABS($Q220-ABS(VALUE(MID(CJ220,FIND("|",CJ220)+1,FIND("-",CJ220)-FIND("|",CJ220)-1))-VALUE(MID(CJ220,FIND("-",CJ220)+1,10)))))*$D$50)))))*$I220,0)),0)</f>
        <v>0</v>
      </c>
      <c r="CL220" s="404"/>
      <c r="CM220" s="370" t="str">
        <f aca="false">Idiomas!$D$369</f>
        <v>Pegar valores Cuartos</v>
      </c>
      <c r="CN220" s="356" t="n">
        <f aca="false">IFERROR(IF($M220=CM220,($D$8+$D$9+$D$10)*$I220,IF($N220=LEFT(CM220,1),($D$8+MAX(0,IF($D$50=1,$D$9*(1-(ABS($Q220-ABS(VALUE(MID(CM220,FIND("|",CM220)+1,FIND("-",CM220)-FIND("|",CM220)-1))-VALUE(MID(CM220,FIND("-",CM220)+1,10)))))*$D$50),$D$9*(1-(IF($N220="X",ABS($O220-VALUE(MID(CM220,FIND("|",CM220)+1,FIND("-",CM220)-FIND("|",CM220)-1))),ABS($Q220-ABS(VALUE(MID(CM220,FIND("|",CM220)+1,FIND("-",CM220)-FIND("|",CM220)-1))-VALUE(MID(CM220,FIND("-",CM220)+1,10)))))*$D$50)))))*$I220,0)),0)</f>
        <v>0</v>
      </c>
      <c r="CO220" s="404"/>
      <c r="CP220" s="370" t="str">
        <f aca="false">Idiomas!$D$369</f>
        <v>Pegar valores Cuartos</v>
      </c>
      <c r="CQ220" s="356" t="n">
        <f aca="false">IFERROR(IF($M220=CP220,($D$8+$D$9+$D$10)*$I220,IF($N220=LEFT(CP220,1),($D$8+MAX(0,IF($D$50=1,$D$9*(1-(ABS($Q220-ABS(VALUE(MID(CP220,FIND("|",CP220)+1,FIND("-",CP220)-FIND("|",CP220)-1))-VALUE(MID(CP220,FIND("-",CP220)+1,10)))))*$D$50),$D$9*(1-(IF($N220="X",ABS($O220-VALUE(MID(CP220,FIND("|",CP220)+1,FIND("-",CP220)-FIND("|",CP220)-1))),ABS($Q220-ABS(VALUE(MID(CP220,FIND("|",CP220)+1,FIND("-",CP220)-FIND("|",CP220)-1))-VALUE(MID(CP220,FIND("-",CP220)+1,10)))))*$D$50)))))*$I220,0)),0)</f>
        <v>0</v>
      </c>
      <c r="CR220" s="404"/>
      <c r="CS220" s="370" t="str">
        <f aca="false">Idiomas!$D$369</f>
        <v>Pegar valores Cuartos</v>
      </c>
      <c r="CT220" s="356" t="n">
        <f aca="false">IFERROR(IF($M220=CS220,($D$8+$D$9+$D$10)*$I220,IF($N220=LEFT(CS220,1),($D$8+MAX(0,IF($D$50=1,$D$9*(1-(ABS($Q220-ABS(VALUE(MID(CS220,FIND("|",CS220)+1,FIND("-",CS220)-FIND("|",CS220)-1))-VALUE(MID(CS220,FIND("-",CS220)+1,10)))))*$D$50),$D$9*(1-(IF($N220="X",ABS($O220-VALUE(MID(CS220,FIND("|",CS220)+1,FIND("-",CS220)-FIND("|",CS220)-1))),ABS($Q220-ABS(VALUE(MID(CS220,FIND("|",CS220)+1,FIND("-",CS220)-FIND("|",CS220)-1))-VALUE(MID(CS220,FIND("-",CS220)+1,10)))))*$D$50)))))*$I220,0)),0)</f>
        <v>0</v>
      </c>
      <c r="CU220" s="404"/>
      <c r="CV220" s="370" t="str">
        <f aca="false">Idiomas!$D$369</f>
        <v>Pegar valores Cuartos</v>
      </c>
      <c r="CW220" s="356" t="n">
        <f aca="false">IFERROR(IF($M220=CV220,($D$8+$D$9+$D$10)*$I220,IF($N220=LEFT(CV220,1),($D$8+MAX(0,IF($D$50=1,$D$9*(1-(ABS($Q220-ABS(VALUE(MID(CV220,FIND("|",CV220)+1,FIND("-",CV220)-FIND("|",CV220)-1))-VALUE(MID(CV220,FIND("-",CV220)+1,10)))))*$D$50),$D$9*(1-(IF($N220="X",ABS($O220-VALUE(MID(CV220,FIND("|",CV220)+1,FIND("-",CV220)-FIND("|",CV220)-1))),ABS($Q220-ABS(VALUE(MID(CV220,FIND("|",CV220)+1,FIND("-",CV220)-FIND("|",CV220)-1))-VALUE(MID(CV220,FIND("-",CV220)+1,10)))))*$D$50)))))*$I220,0)),0)</f>
        <v>0</v>
      </c>
      <c r="CX220" s="404"/>
      <c r="CY220" s="370" t="str">
        <f aca="false">Idiomas!$D$369</f>
        <v>Pegar valores Cuartos</v>
      </c>
      <c r="CZ220" s="356" t="n">
        <f aca="false">IFERROR(IF($M220=CY220,($D$8+$D$9+$D$10)*$I220,IF($N220=LEFT(CY220,1),($D$8+MAX(0,IF($D$50=1,$D$9*(1-(ABS($Q220-ABS(VALUE(MID(CY220,FIND("|",CY220)+1,FIND("-",CY220)-FIND("|",CY220)-1))-VALUE(MID(CY220,FIND("-",CY220)+1,10)))))*$D$50),$D$9*(1-(IF($N220="X",ABS($O220-VALUE(MID(CY220,FIND("|",CY220)+1,FIND("-",CY220)-FIND("|",CY220)-1))),ABS($Q220-ABS(VALUE(MID(CY220,FIND("|",CY220)+1,FIND("-",CY220)-FIND("|",CY220)-1))-VALUE(MID(CY220,FIND("-",CY220)+1,10)))))*$D$50)))))*$I220,0)),0)</f>
        <v>0</v>
      </c>
      <c r="DA220" s="404"/>
      <c r="DB220" s="370" t="str">
        <f aca="false">Idiomas!$D$369</f>
        <v>Pegar valores Cuartos</v>
      </c>
      <c r="DC220" s="356" t="n">
        <f aca="false">IFERROR(IF($M220=DB220,($D$8+$D$9+$D$10)*$I220,IF($N220=LEFT(DB220,1),($D$8+MAX(0,IF($D$50=1,$D$9*(1-(ABS($Q220-ABS(VALUE(MID(DB220,FIND("|",DB220)+1,FIND("-",DB220)-FIND("|",DB220)-1))-VALUE(MID(DB220,FIND("-",DB220)+1,10)))))*$D$50),$D$9*(1-(IF($N220="X",ABS($O220-VALUE(MID(DB220,FIND("|",DB220)+1,FIND("-",DB220)-FIND("|",DB220)-1))),ABS($Q220-ABS(VALUE(MID(DB220,FIND("|",DB220)+1,FIND("-",DB220)-FIND("|",DB220)-1))-VALUE(MID(DB220,FIND("-",DB220)+1,10)))))*$D$50)))))*$I220,0)),0)</f>
        <v>0</v>
      </c>
      <c r="DD220" s="404"/>
      <c r="DE220" s="370" t="str">
        <f aca="false">Idiomas!$D$369</f>
        <v>Pegar valores Cuartos</v>
      </c>
      <c r="DF220" s="356" t="n">
        <f aca="false">IFERROR(IF($M220=DE220,($D$8+$D$9+$D$10)*$I220,IF($N220=LEFT(DE220,1),($D$8+MAX(0,IF($D$50=1,$D$9*(1-(ABS($Q220-ABS(VALUE(MID(DE220,FIND("|",DE220)+1,FIND("-",DE220)-FIND("|",DE220)-1))-VALUE(MID(DE220,FIND("-",DE220)+1,10)))))*$D$50),$D$9*(1-(IF($N220="X",ABS($O220-VALUE(MID(DE220,FIND("|",DE220)+1,FIND("-",DE220)-FIND("|",DE220)-1))),ABS($Q220-ABS(VALUE(MID(DE220,FIND("|",DE220)+1,FIND("-",DE220)-FIND("|",DE220)-1))-VALUE(MID(DE220,FIND("-",DE220)+1,10)))))*$D$50)))))*$I220,0)),0)</f>
        <v>0</v>
      </c>
      <c r="DG220" s="404"/>
      <c r="DH220" s="370" t="str">
        <f aca="false">Idiomas!$D$369</f>
        <v>Pegar valores Cuartos</v>
      </c>
      <c r="DI220" s="356" t="n">
        <f aca="false">IFERROR(IF($M220=DH220,($D$8+$D$9+$D$10)*$I220,IF($N220=LEFT(DH220,1),($D$8+MAX(0,IF($D$50=1,$D$9*(1-(ABS($Q220-ABS(VALUE(MID(DH220,FIND("|",DH220)+1,FIND("-",DH220)-FIND("|",DH220)-1))-VALUE(MID(DH220,FIND("-",DH220)+1,10)))))*$D$50),$D$9*(1-(IF($N220="X",ABS($O220-VALUE(MID(DH220,FIND("|",DH220)+1,FIND("-",DH220)-FIND("|",DH220)-1))),ABS($Q220-ABS(VALUE(MID(DH220,FIND("|",DH220)+1,FIND("-",DH220)-FIND("|",DH220)-1))-VALUE(MID(DH220,FIND("-",DH220)+1,10)))))*$D$50)))))*$I220,0)),0)</f>
        <v>0</v>
      </c>
      <c r="DJ220" s="404"/>
      <c r="DK220" s="370" t="str">
        <f aca="false">Idiomas!$D$369</f>
        <v>Pegar valores Cuartos</v>
      </c>
      <c r="DL220" s="356" t="n">
        <f aca="false">IFERROR(IF($M220=DK220,($D$8+$D$9+$D$10)*$I220,IF($N220=LEFT(DK220,1),($D$8+MAX(0,IF($D$50=1,$D$9*(1-(ABS($Q220-ABS(VALUE(MID(DK220,FIND("|",DK220)+1,FIND("-",DK220)-FIND("|",DK220)-1))-VALUE(MID(DK220,FIND("-",DK220)+1,10)))))*$D$50),$D$9*(1-(IF($N220="X",ABS($O220-VALUE(MID(DK220,FIND("|",DK220)+1,FIND("-",DK220)-FIND("|",DK220)-1))),ABS($Q220-ABS(VALUE(MID(DK220,FIND("|",DK220)+1,FIND("-",DK220)-FIND("|",DK220)-1))-VALUE(MID(DK220,FIND("-",DK220)+1,10)))))*$D$50)))))*$I220,0)),0)</f>
        <v>0</v>
      </c>
      <c r="DM220" s="404"/>
      <c r="DN220" s="370" t="str">
        <f aca="false">Idiomas!$D$369</f>
        <v>Pegar valores Cuartos</v>
      </c>
      <c r="DO220" s="356" t="n">
        <f aca="false">IFERROR(IF($M220=DN220,($D$8+$D$9+$D$10)*$I220,IF($N220=LEFT(DN220,1),($D$8+MAX(0,IF($D$50=1,$D$9*(1-(ABS($Q220-ABS(VALUE(MID(DN220,FIND("|",DN220)+1,FIND("-",DN220)-FIND("|",DN220)-1))-VALUE(MID(DN220,FIND("-",DN220)+1,10)))))*$D$50),$D$9*(1-(IF($N220="X",ABS($O220-VALUE(MID(DN220,FIND("|",DN220)+1,FIND("-",DN220)-FIND("|",DN220)-1))),ABS($Q220-ABS(VALUE(MID(DN220,FIND("|",DN220)+1,FIND("-",DN220)-FIND("|",DN220)-1))-VALUE(MID(DN220,FIND("-",DN220)+1,10)))))*$D$50)))))*$I220,0)),0)</f>
        <v>0</v>
      </c>
      <c r="DP220" s="404"/>
      <c r="DQ220" s="370" t="str">
        <f aca="false">Idiomas!$D$369</f>
        <v>Pegar valores Cuartos</v>
      </c>
      <c r="DR220" s="356" t="n">
        <f aca="false">IFERROR(IF($M220=DQ220,($D$8+$D$9+$D$10)*$I220,IF($N220=LEFT(DQ220,1),($D$8+MAX(0,IF($D$50=1,$D$9*(1-(ABS($Q220-ABS(VALUE(MID(DQ220,FIND("|",DQ220)+1,FIND("-",DQ220)-FIND("|",DQ220)-1))-VALUE(MID(DQ220,FIND("-",DQ220)+1,10)))))*$D$50),$D$9*(1-(IF($N220="X",ABS($O220-VALUE(MID(DQ220,FIND("|",DQ220)+1,FIND("-",DQ220)-FIND("|",DQ220)-1))),ABS($Q220-ABS(VALUE(MID(DQ220,FIND("|",DQ220)+1,FIND("-",DQ220)-FIND("|",DQ220)-1))-VALUE(MID(DQ220,FIND("-",DQ220)+1,10)))))*$D$50)))))*$I220,0)),0)</f>
        <v>0</v>
      </c>
      <c r="DS220" s="404"/>
      <c r="DT220" s="370" t="str">
        <f aca="false">Idiomas!$D$369</f>
        <v>Pegar valores Cuartos</v>
      </c>
      <c r="DU220" s="356" t="n">
        <f aca="false">IFERROR(IF($M220=DT220,($D$8+$D$9+$D$10)*$I220,IF($N220=LEFT(DT220,1),($D$8+MAX(0,IF($D$50=1,$D$9*(1-(ABS($Q220-ABS(VALUE(MID(DT220,FIND("|",DT220)+1,FIND("-",DT220)-FIND("|",DT220)-1))-VALUE(MID(DT220,FIND("-",DT220)+1,10)))))*$D$50),$D$9*(1-(IF($N220="X",ABS($O220-VALUE(MID(DT220,FIND("|",DT220)+1,FIND("-",DT220)-FIND("|",DT220)-1))),ABS($Q220-ABS(VALUE(MID(DT220,FIND("|",DT220)+1,FIND("-",DT220)-FIND("|",DT220)-1))-VALUE(MID(DT220,FIND("-",DT220)+1,10)))))*$D$50)))))*$I220,0)),0)</f>
        <v>0</v>
      </c>
      <c r="DV220" s="404"/>
      <c r="DW220" s="370" t="str">
        <f aca="false">Idiomas!$D$369</f>
        <v>Pegar valores Cuartos</v>
      </c>
      <c r="DX220" s="356" t="n">
        <f aca="false">IFERROR(IF($M220=DW220,($D$8+$D$9+$D$10)*$I220,IF($N220=LEFT(DW220,1),($D$8+MAX(0,IF($D$50=1,$D$9*(1-(ABS($Q220-ABS(VALUE(MID(DW220,FIND("|",DW220)+1,FIND("-",DW220)-FIND("|",DW220)-1))-VALUE(MID(DW220,FIND("-",DW220)+1,10)))))*$D$50),$D$9*(1-(IF($N220="X",ABS($O220-VALUE(MID(DW220,FIND("|",DW220)+1,FIND("-",DW220)-FIND("|",DW220)-1))),ABS($Q220-ABS(VALUE(MID(DW220,FIND("|",DW220)+1,FIND("-",DW220)-FIND("|",DW220)-1))-VALUE(MID(DW220,FIND("-",DW220)+1,10)))))*$D$50)))))*$I220,0)),0)</f>
        <v>0</v>
      </c>
      <c r="DY220" s="404"/>
      <c r="DZ220" s="370" t="str">
        <f aca="false">Idiomas!$D$369</f>
        <v>Pegar valores Cuartos</v>
      </c>
      <c r="EA220" s="356" t="n">
        <f aca="false">IFERROR(IF($M220=DZ220,($D$8+$D$9+$D$10)*$I220,IF($N220=LEFT(DZ220,1),($D$8+MAX(0,IF($D$50=1,$D$9*(1-(ABS($Q220-ABS(VALUE(MID(DZ220,FIND("|",DZ220)+1,FIND("-",DZ220)-FIND("|",DZ220)-1))-VALUE(MID(DZ220,FIND("-",DZ220)+1,10)))))*$D$50),$D$9*(1-(IF($N220="X",ABS($O220-VALUE(MID(DZ220,FIND("|",DZ220)+1,FIND("-",DZ220)-FIND("|",DZ220)-1))),ABS($Q220-ABS(VALUE(MID(DZ220,FIND("|",DZ220)+1,FIND("-",DZ220)-FIND("|",DZ220)-1))-VALUE(MID(DZ220,FIND("-",DZ220)+1,10)))))*$D$50)))))*$I220,0)),0)</f>
        <v>0</v>
      </c>
      <c r="EB220" s="404"/>
      <c r="EC220" s="370" t="str">
        <f aca="false">Idiomas!$D$369</f>
        <v>Pegar valores Cuartos</v>
      </c>
      <c r="ED220" s="356" t="n">
        <f aca="false">IFERROR(IF($M220=EC220,($D$8+$D$9+$D$10)*$I220,IF($N220=LEFT(EC220,1),($D$8+MAX(0,IF($D$50=1,$D$9*(1-(ABS($Q220-ABS(VALUE(MID(EC220,FIND("|",EC220)+1,FIND("-",EC220)-FIND("|",EC220)-1))-VALUE(MID(EC220,FIND("-",EC220)+1,10)))))*$D$50),$D$9*(1-(IF($N220="X",ABS($O220-VALUE(MID(EC220,FIND("|",EC220)+1,FIND("-",EC220)-FIND("|",EC220)-1))),ABS($Q220-ABS(VALUE(MID(EC220,FIND("|",EC220)+1,FIND("-",EC220)-FIND("|",EC220)-1))-VALUE(MID(EC220,FIND("-",EC220)+1,10)))))*$D$50)))))*$I220,0)),0)</f>
        <v>0</v>
      </c>
      <c r="EE220" s="404"/>
      <c r="EF220" s="370" t="str">
        <f aca="false">Idiomas!$D$369</f>
        <v>Pegar valores Cuartos</v>
      </c>
      <c r="EG220" s="356" t="n">
        <f aca="false">IFERROR(IF($M220=EF220,($D$8+$D$9+$D$10)*$I220,IF($N220=LEFT(EF220,1),($D$8+MAX(0,IF($D$50=1,$D$9*(1-(ABS($Q220-ABS(VALUE(MID(EF220,FIND("|",EF220)+1,FIND("-",EF220)-FIND("|",EF220)-1))-VALUE(MID(EF220,FIND("-",EF220)+1,10)))))*$D$50),$D$9*(1-(IF($N220="X",ABS($O220-VALUE(MID(EF220,FIND("|",EF220)+1,FIND("-",EF220)-FIND("|",EF220)-1))),ABS($Q220-ABS(VALUE(MID(EF220,FIND("|",EF220)+1,FIND("-",EF220)-FIND("|",EF220)-1))-VALUE(MID(EF220,FIND("-",EF220)+1,10)))))*$D$50)))))*$I220,0)),0)</f>
        <v>0</v>
      </c>
      <c r="EH220" s="404"/>
      <c r="EI220" s="404"/>
    </row>
    <row r="221" customFormat="false" ht="15" hidden="false" customHeight="false" outlineLevel="0" collapsed="false">
      <c r="A221" s="332" t="n">
        <f aca="false">WORLDCUP!AD132</f>
        <v>0</v>
      </c>
      <c r="B221" s="332" t="n">
        <f aca="false">WORLDCUP!AC132</f>
        <v>0</v>
      </c>
      <c r="C221" s="422" t="str">
        <f aca="false">CONCATENATE(WORLDCUP!AF132,"-",WORLDCUP!AA132)</f>
        <v>W94-W93</v>
      </c>
      <c r="D221" s="422" t="str">
        <f aca="false">IF(WORLDCUP!AC132&gt;WORLDCUP!AD132,2,IF(WORLDCUP!AC132&lt;WORLDCUP!AD132,1,IF(AND(WORLDCUP!AC132=WORLDCUP!AD132,WORLDCUP!AC132&lt;&gt;"",WORLDCUP!AD132&lt;&gt;""),0,"PD")))</f>
        <v>PD</v>
      </c>
      <c r="E221" s="422" t="str">
        <f aca="false">IF(OR(WORLDCUP!AD132="",WORLDCUP!AC132=""),"-",A221&amp;"-"&amp;B221)</f>
        <v>-</v>
      </c>
      <c r="F221" s="423" t="n">
        <f aca="false">SUM($D$24:$D$26)*I221</f>
        <v>17</v>
      </c>
      <c r="G221" s="423" t="n">
        <f aca="false">VLOOKUP(H221,Equipos!$Q$1:$R$25,2,0)</f>
        <v>22</v>
      </c>
      <c r="H221" s="410" t="str">
        <f aca="false">Idiomas!$D$262</f>
        <v>Cuartos de final</v>
      </c>
      <c r="I221" s="425" t="n">
        <v>1</v>
      </c>
      <c r="J221" s="418"/>
      <c r="K221" s="367" t="str">
        <f aca="false">CONCATENATE(WORLDCUP!AA132,"-",WORLDCUP!AF132)</f>
        <v>W93-W94</v>
      </c>
      <c r="L221" s="354" t="str">
        <f aca="false">IF(OR(WORLDCUP!AC132="",WORLDCUP!AD132=""),"PD",IF(WORLDCUP!AC132&gt;WORLDCUP!AD132,1,IF(WORLDCUP!AC132&lt;WORLDCUP!AD132,2,0)))</f>
        <v>PD</v>
      </c>
      <c r="M221" s="359" t="str">
        <f aca="false">IF(OR(WORLDCUP!AC132="",WORLDCUP!AD132=""),"-",N221&amp;"|"&amp;O221&amp;"-"&amp;P221)</f>
        <v>-</v>
      </c>
      <c r="N221" s="332" t="str">
        <f aca="false">IF(OR(WORLDCUP!AC132="",WORLDCUP!AD132=""),"",IF(WORLDCUP!AC132&gt;WORLDCUP!AD132,"1",IF(WORLDCUP!AC132&lt;WORLDCUP!AD132,"2","X")))</f>
        <v/>
      </c>
      <c r="O221" s="332" t="n">
        <f aca="false">WORLDCUP!AC132</f>
        <v>0</v>
      </c>
      <c r="P221" s="332" t="n">
        <f aca="false">WORLDCUP!AD132</f>
        <v>0</v>
      </c>
      <c r="Q221" s="332" t="n">
        <f aca="false">ABS(O221-P221)</f>
        <v>0</v>
      </c>
      <c r="R221" s="404"/>
      <c r="S221" s="363" t="s">
        <v>288</v>
      </c>
      <c r="T221" s="356" t="n">
        <f aca="false">IFERROR(IF($M221=S221,($D$8+$D$9+$D$10)*$I221,IF($N221=LEFT(S221,1),($D$8+MAX(0,IF($D$50=1,$D$9*(1-(ABS($Q221-ABS(VALUE(MID(S221,FIND("|",S221)+1,FIND("-",S221)-FIND("|",S221)-1))-VALUE(MID(S221,FIND("-",S221)+1,10)))))*$D$50),$D$9*(1-(IF($N221="X",ABS($O221-VALUE(MID(S221,FIND("|",S221)+1,FIND("-",S221)-FIND("|",S221)-1))),ABS($Q221-ABS(VALUE(MID(S221,FIND("|",S221)+1,FIND("-",S221)-FIND("|",S221)-1))-VALUE(MID(S221,FIND("-",S221)+1,10)))))*$D$50)))))*$I221,0)),0)</f>
        <v>0</v>
      </c>
      <c r="U221" s="404"/>
      <c r="V221" s="363" t="s">
        <v>264</v>
      </c>
      <c r="W221" s="356" t="n">
        <f aca="false">IFERROR(IF($M221=V221,($D$8+$D$9+$D$10)*$I221,IF($N221=LEFT(V221,1),($D$8+MAX(0,IF($D$50=1,$D$9*(1-(ABS($Q221-ABS(VALUE(MID(V221,FIND("|",V221)+1,FIND("-",V221)-FIND("|",V221)-1))-VALUE(MID(V221,FIND("-",V221)+1,10)))))*$D$50),$D$9*(1-(IF($N221="X",ABS($O221-VALUE(MID(V221,FIND("|",V221)+1,FIND("-",V221)-FIND("|",V221)-1))),ABS($Q221-ABS(VALUE(MID(V221,FIND("|",V221)+1,FIND("-",V221)-FIND("|",V221)-1))-VALUE(MID(V221,FIND("-",V221)+1,10)))))*$D$50)))))*$I221,0)),0)</f>
        <v>0</v>
      </c>
      <c r="X221" s="404"/>
      <c r="Y221" s="363" t="s">
        <v>264</v>
      </c>
      <c r="Z221" s="356" t="n">
        <f aca="false">IFERROR(IF($M221=Y221,($D$8+$D$9+$D$10)*$I221,IF($N221=LEFT(Y221,1),($D$8+MAX(0,IF($D$50=1,$D$9*(1-(ABS($Q221-ABS(VALUE(MID(Y221,FIND("|",Y221)+1,FIND("-",Y221)-FIND("|",Y221)-1))-VALUE(MID(Y221,FIND("-",Y221)+1,10)))))*$D$50),$D$9*(1-(IF($N221="X",ABS($O221-VALUE(MID(Y221,FIND("|",Y221)+1,FIND("-",Y221)-FIND("|",Y221)-1))),ABS($Q221-ABS(VALUE(MID(Y221,FIND("|",Y221)+1,FIND("-",Y221)-FIND("|",Y221)-1))-VALUE(MID(Y221,FIND("-",Y221)+1,10)))))*$D$50)))))*$I221,0)),0)</f>
        <v>0</v>
      </c>
      <c r="AA221" s="404"/>
      <c r="AB221" s="363" t="s">
        <v>268</v>
      </c>
      <c r="AC221" s="356" t="n">
        <f aca="false">IFERROR(IF($M221=AB221,($D$8+$D$9+$D$10)*$I221,IF($N221=LEFT(AB221,1),($D$8+MAX(0,IF($D$50=1,$D$9*(1-(ABS($Q221-ABS(VALUE(MID(AB221,FIND("|",AB221)+1,FIND("-",AB221)-FIND("|",AB221)-1))-VALUE(MID(AB221,FIND("-",AB221)+1,10)))))*$D$50),$D$9*(1-(IF($N221="X",ABS($O221-VALUE(MID(AB221,FIND("|",AB221)+1,FIND("-",AB221)-FIND("|",AB221)-1))),ABS($Q221-ABS(VALUE(MID(AB221,FIND("|",AB221)+1,FIND("-",AB221)-FIND("|",AB221)-1))-VALUE(MID(AB221,FIND("-",AB221)+1,10)))))*$D$50)))))*$I221,0)),0)</f>
        <v>0</v>
      </c>
      <c r="AD221" s="404"/>
      <c r="AE221" s="363" t="s">
        <v>266</v>
      </c>
      <c r="AF221" s="356" t="n">
        <f aca="false">IFERROR(IF($M221=AE221,($D$8+$D$9+$D$10)*$I221,IF($N221=LEFT(AE221,1),($D$8+MAX(0,IF($D$50=1,$D$9*(1-(ABS($Q221-ABS(VALUE(MID(AE221,FIND("|",AE221)+1,FIND("-",AE221)-FIND("|",AE221)-1))-VALUE(MID(AE221,FIND("-",AE221)+1,10)))))*$D$50),$D$9*(1-(IF($N221="X",ABS($O221-VALUE(MID(AE221,FIND("|",AE221)+1,FIND("-",AE221)-FIND("|",AE221)-1))),ABS($Q221-ABS(VALUE(MID(AE221,FIND("|",AE221)+1,FIND("-",AE221)-FIND("|",AE221)-1))-VALUE(MID(AE221,FIND("-",AE221)+1,10)))))*$D$50)))))*$I221,0)),0)</f>
        <v>0</v>
      </c>
      <c r="AG221" s="404"/>
      <c r="AH221" s="363" t="s">
        <v>266</v>
      </c>
      <c r="AI221" s="356" t="n">
        <f aca="false">IFERROR(IF($M221=AH221,($D$8+$D$9+$D$10)*$I221,IF($N221=LEFT(AH221,1),($D$8+MAX(0,IF($D$50=1,$D$9*(1-(ABS($Q221-ABS(VALUE(MID(AH221,FIND("|",AH221)+1,FIND("-",AH221)-FIND("|",AH221)-1))-VALUE(MID(AH221,FIND("-",AH221)+1,10)))))*$D$50),$D$9*(1-(IF($N221="X",ABS($O221-VALUE(MID(AH221,FIND("|",AH221)+1,FIND("-",AH221)-FIND("|",AH221)-1))),ABS($Q221-ABS(VALUE(MID(AH221,FIND("|",AH221)+1,FIND("-",AH221)-FIND("|",AH221)-1))-VALUE(MID(AH221,FIND("-",AH221)+1,10)))))*$D$50)))))*$I221,0)),0)</f>
        <v>0</v>
      </c>
      <c r="AJ221" s="404"/>
      <c r="AK221" s="363" t="s">
        <v>266</v>
      </c>
      <c r="AL221" s="356" t="n">
        <f aca="false">IFERROR(IF($M221=AK221,($D$8+$D$9+$D$10)*$I221,IF($N221=LEFT(AK221,1),($D$8+MAX(0,IF($D$50=1,$D$9*(1-(ABS($Q221-ABS(VALUE(MID(AK221,FIND("|",AK221)+1,FIND("-",AK221)-FIND("|",AK221)-1))-VALUE(MID(AK221,FIND("-",AK221)+1,10)))))*$D$50),$D$9*(1-(IF($N221="X",ABS($O221-VALUE(MID(AK221,FIND("|",AK221)+1,FIND("-",AK221)-FIND("|",AK221)-1))),ABS($Q221-ABS(VALUE(MID(AK221,FIND("|",AK221)+1,FIND("-",AK221)-FIND("|",AK221)-1))-VALUE(MID(AK221,FIND("-",AK221)+1,10)))))*$D$50)))))*$I221,0)),0)</f>
        <v>0</v>
      </c>
      <c r="AM221" s="404"/>
      <c r="AN221" s="363" t="s">
        <v>264</v>
      </c>
      <c r="AO221" s="356" t="n">
        <f aca="false">IFERROR(IF($M221=AN221,($D$8+$D$9+$D$10)*$I221,IF($N221=LEFT(AN221,1),($D$8+MAX(0,IF($D$50=1,$D$9*(1-(ABS($Q221-ABS(VALUE(MID(AN221,FIND("|",AN221)+1,FIND("-",AN221)-FIND("|",AN221)-1))-VALUE(MID(AN221,FIND("-",AN221)+1,10)))))*$D$50),$D$9*(1-(IF($N221="X",ABS($O221-VALUE(MID(AN221,FIND("|",AN221)+1,FIND("-",AN221)-FIND("|",AN221)-1))),ABS($Q221-ABS(VALUE(MID(AN221,FIND("|",AN221)+1,FIND("-",AN221)-FIND("|",AN221)-1))-VALUE(MID(AN221,FIND("-",AN221)+1,10)))))*$D$50)))))*$I221,0)),0)</f>
        <v>0</v>
      </c>
      <c r="AP221" s="404"/>
      <c r="AQ221" s="363" t="s">
        <v>265</v>
      </c>
      <c r="AR221" s="356" t="n">
        <f aca="false">IFERROR(IF($M221=AQ221,($D$8+$D$9+$D$10)*$I221,IF($N221=LEFT(AQ221,1),($D$8+MAX(0,IF($D$50=1,$D$9*(1-(ABS($Q221-ABS(VALUE(MID(AQ221,FIND("|",AQ221)+1,FIND("-",AQ221)-FIND("|",AQ221)-1))-VALUE(MID(AQ221,FIND("-",AQ221)+1,10)))))*$D$50),$D$9*(1-(IF($N221="X",ABS($O221-VALUE(MID(AQ221,FIND("|",AQ221)+1,FIND("-",AQ221)-FIND("|",AQ221)-1))),ABS($Q221-ABS(VALUE(MID(AQ221,FIND("|",AQ221)+1,FIND("-",AQ221)-FIND("|",AQ221)-1))-VALUE(MID(AQ221,FIND("-",AQ221)+1,10)))))*$D$50)))))*$I221,0)),0)</f>
        <v>0</v>
      </c>
      <c r="AS221" s="404"/>
      <c r="AT221" s="363" t="s">
        <v>288</v>
      </c>
      <c r="AU221" s="356" t="n">
        <f aca="false">IFERROR(IF($M221=AT221,($D$8+$D$9+$D$10)*$I221,IF($N221=LEFT(AT221,1),($D$8+MAX(0,IF($D$50=1,$D$9*(1-(ABS($Q221-ABS(VALUE(MID(AT221,FIND("|",AT221)+1,FIND("-",AT221)-FIND("|",AT221)-1))-VALUE(MID(AT221,FIND("-",AT221)+1,10)))))*$D$50),$D$9*(1-(IF($N221="X",ABS($O221-VALUE(MID(AT221,FIND("|",AT221)+1,FIND("-",AT221)-FIND("|",AT221)-1))),ABS($Q221-ABS(VALUE(MID(AT221,FIND("|",AT221)+1,FIND("-",AT221)-FIND("|",AT221)-1))-VALUE(MID(AT221,FIND("-",AT221)+1,10)))))*$D$50)))))*$I221,0)),0)</f>
        <v>0</v>
      </c>
      <c r="AV221" s="404"/>
      <c r="AW221" s="363" t="s">
        <v>264</v>
      </c>
      <c r="AX221" s="356" t="n">
        <f aca="false">IFERROR(IF($M221=AW221,($D$8+$D$9+$D$10)*$I221,IF($N221=LEFT(AW221,1),($D$8+MAX(0,IF($D$50=1,$D$9*(1-(ABS($Q221-ABS(VALUE(MID(AW221,FIND("|",AW221)+1,FIND("-",AW221)-FIND("|",AW221)-1))-VALUE(MID(AW221,FIND("-",AW221)+1,10)))))*$D$50),$D$9*(1-(IF($N221="X",ABS($O221-VALUE(MID(AW221,FIND("|",AW221)+1,FIND("-",AW221)-FIND("|",AW221)-1))),ABS($Q221-ABS(VALUE(MID(AW221,FIND("|",AW221)+1,FIND("-",AW221)-FIND("|",AW221)-1))-VALUE(MID(AW221,FIND("-",AW221)+1,10)))))*$D$50)))))*$I221,0)),0)</f>
        <v>0</v>
      </c>
      <c r="AY221" s="404"/>
      <c r="AZ221" s="363" t="s">
        <v>264</v>
      </c>
      <c r="BA221" s="356" t="n">
        <f aca="false">IFERROR(IF($M221=AZ221,($D$8+$D$9+$D$10)*$I221,IF($N221=LEFT(AZ221,1),($D$8+MAX(0,IF($D$50=1,$D$9*(1-(ABS($Q221-ABS(VALUE(MID(AZ221,FIND("|",AZ221)+1,FIND("-",AZ221)-FIND("|",AZ221)-1))-VALUE(MID(AZ221,FIND("-",AZ221)+1,10)))))*$D$50),$D$9*(1-(IF($N221="X",ABS($O221-VALUE(MID(AZ221,FIND("|",AZ221)+1,FIND("-",AZ221)-FIND("|",AZ221)-1))),ABS($Q221-ABS(VALUE(MID(AZ221,FIND("|",AZ221)+1,FIND("-",AZ221)-FIND("|",AZ221)-1))-VALUE(MID(AZ221,FIND("-",AZ221)+1,10)))))*$D$50)))))*$I221,0)),0)</f>
        <v>0</v>
      </c>
      <c r="BB221" s="404"/>
      <c r="BC221" s="363" t="s">
        <v>266</v>
      </c>
      <c r="BD221" s="356" t="n">
        <f aca="false">IFERROR(IF($M221=BC221,($D$8+$D$9+$D$10)*$I221,IF($N221=LEFT(BC221,1),($D$8+MAX(0,IF($D$50=1,$D$9*(1-(ABS($Q221-ABS(VALUE(MID(BC221,FIND("|",BC221)+1,FIND("-",BC221)-FIND("|",BC221)-1))-VALUE(MID(BC221,FIND("-",BC221)+1,10)))))*$D$50),$D$9*(1-(IF($N221="X",ABS($O221-VALUE(MID(BC221,FIND("|",BC221)+1,FIND("-",BC221)-FIND("|",BC221)-1))),ABS($Q221-ABS(VALUE(MID(BC221,FIND("|",BC221)+1,FIND("-",BC221)-FIND("|",BC221)-1))-VALUE(MID(BC221,FIND("-",BC221)+1,10)))))*$D$50)))))*$I221,0)),0)</f>
        <v>0</v>
      </c>
      <c r="BE221" s="404"/>
      <c r="BF221" s="363" t="s">
        <v>265</v>
      </c>
      <c r="BG221" s="356" t="n">
        <f aca="false">IFERROR(IF($M221=BF221,($D$8+$D$9+$D$10)*$I221,IF($N221=LEFT(BF221,1),($D$8+MAX(0,IF($D$50=1,$D$9*(1-(ABS($Q221-ABS(VALUE(MID(BF221,FIND("|",BF221)+1,FIND("-",BF221)-FIND("|",BF221)-1))-VALUE(MID(BF221,FIND("-",BF221)+1,10)))))*$D$50),$D$9*(1-(IF($N221="X",ABS($O221-VALUE(MID(BF221,FIND("|",BF221)+1,FIND("-",BF221)-FIND("|",BF221)-1))),ABS($Q221-ABS(VALUE(MID(BF221,FIND("|",BF221)+1,FIND("-",BF221)-FIND("|",BF221)-1))-VALUE(MID(BF221,FIND("-",BF221)+1,10)))))*$D$50)))))*$I221,0)),0)</f>
        <v>0</v>
      </c>
      <c r="BH221" s="404"/>
      <c r="BI221" s="363" t="s">
        <v>265</v>
      </c>
      <c r="BJ221" s="356" t="n">
        <f aca="false">IFERROR(IF($M221=BI221,($D$8+$D$9+$D$10)*$I221,IF($N221=LEFT(BI221,1),($D$8+MAX(0,IF($D$50=1,$D$9*(1-(ABS($Q221-ABS(VALUE(MID(BI221,FIND("|",BI221)+1,FIND("-",BI221)-FIND("|",BI221)-1))-VALUE(MID(BI221,FIND("-",BI221)+1,10)))))*$D$50),$D$9*(1-(IF($N221="X",ABS($O221-VALUE(MID(BI221,FIND("|",BI221)+1,FIND("-",BI221)-FIND("|",BI221)-1))),ABS($Q221-ABS(VALUE(MID(BI221,FIND("|",BI221)+1,FIND("-",BI221)-FIND("|",BI221)-1))-VALUE(MID(BI221,FIND("-",BI221)+1,10)))))*$D$50)))))*$I221,0)),0)</f>
        <v>0</v>
      </c>
      <c r="BK221" s="404"/>
      <c r="BL221" s="363" t="s">
        <v>266</v>
      </c>
      <c r="BM221" s="356" t="n">
        <f aca="false">IFERROR(IF($M221=BL221,($D$8+$D$9+$D$10)*$I221,IF($N221=LEFT(BL221,1),($D$8+MAX(0,IF($D$50=1,$D$9*(1-(ABS($Q221-ABS(VALUE(MID(BL221,FIND("|",BL221)+1,FIND("-",BL221)-FIND("|",BL221)-1))-VALUE(MID(BL221,FIND("-",BL221)+1,10)))))*$D$50),$D$9*(1-(IF($N221="X",ABS($O221-VALUE(MID(BL221,FIND("|",BL221)+1,FIND("-",BL221)-FIND("|",BL221)-1))),ABS($Q221-ABS(VALUE(MID(BL221,FIND("|",BL221)+1,FIND("-",BL221)-FIND("|",BL221)-1))-VALUE(MID(BL221,FIND("-",BL221)+1,10)))))*$D$50)))))*$I221,0)),0)</f>
        <v>0</v>
      </c>
      <c r="BN221" s="404"/>
      <c r="BO221" s="363" t="s">
        <v>269</v>
      </c>
      <c r="BP221" s="356" t="n">
        <f aca="false">IFERROR(IF($M221=BO221,($D$8+$D$9+$D$10)*$I221,IF($N221=LEFT(BO221,1),($D$8+MAX(0,IF($D$50=1,$D$9*(1-(ABS($Q221-ABS(VALUE(MID(BO221,FIND("|",BO221)+1,FIND("-",BO221)-FIND("|",BO221)-1))-VALUE(MID(BO221,FIND("-",BO221)+1,10)))))*$D$50),$D$9*(1-(IF($N221="X",ABS($O221-VALUE(MID(BO221,FIND("|",BO221)+1,FIND("-",BO221)-FIND("|",BO221)-1))),ABS($Q221-ABS(VALUE(MID(BO221,FIND("|",BO221)+1,FIND("-",BO221)-FIND("|",BO221)-1))-VALUE(MID(BO221,FIND("-",BO221)+1,10)))))*$D$50)))))*$I221,0)),0)</f>
        <v>0</v>
      </c>
      <c r="BQ221" s="404"/>
      <c r="BR221" s="363" t="s">
        <v>264</v>
      </c>
      <c r="BS221" s="356" t="n">
        <f aca="false">IFERROR(IF($M221=BR221,($D$8+$D$9+$D$10)*$I221,IF($N221=LEFT(BR221,1),($D$8+MAX(0,IF($D$50=1,$D$9*(1-(ABS($Q221-ABS(VALUE(MID(BR221,FIND("|",BR221)+1,FIND("-",BR221)-FIND("|",BR221)-1))-VALUE(MID(BR221,FIND("-",BR221)+1,10)))))*$D$50),$D$9*(1-(IF($N221="X",ABS($O221-VALUE(MID(BR221,FIND("|",BR221)+1,FIND("-",BR221)-FIND("|",BR221)-1))),ABS($Q221-ABS(VALUE(MID(BR221,FIND("|",BR221)+1,FIND("-",BR221)-FIND("|",BR221)-1))-VALUE(MID(BR221,FIND("-",BR221)+1,10)))))*$D$50)))))*$I221,0)),0)</f>
        <v>0</v>
      </c>
      <c r="BT221" s="404"/>
      <c r="BU221" s="363"/>
      <c r="BV221" s="356" t="n">
        <f aca="false">IFERROR(IF($M221=BU221,($D$8+$D$9+$D$10)*$I221,IF($N221=LEFT(BU221,1),($D$8+MAX(0,IF($D$50=1,$D$9*(1-(ABS($Q221-ABS(VALUE(MID(BU221,FIND("|",BU221)+1,FIND("-",BU221)-FIND("|",BU221)-1))-VALUE(MID(BU221,FIND("-",BU221)+1,10)))))*$D$50),$D$9*(1-(IF($N221="X",ABS($O221-VALUE(MID(BU221,FIND("|",BU221)+1,FIND("-",BU221)-FIND("|",BU221)-1))),ABS($Q221-ABS(VALUE(MID(BU221,FIND("|",BU221)+1,FIND("-",BU221)-FIND("|",BU221)-1))-VALUE(MID(BU221,FIND("-",BU221)+1,10)))))*$D$50)))))*$I221,0)),0)</f>
        <v>0</v>
      </c>
      <c r="BW221" s="404"/>
      <c r="BX221" s="363"/>
      <c r="BY221" s="356" t="n">
        <f aca="false">IFERROR(IF($M221=BX221,($D$8+$D$9+$D$10)*$I221,IF($N221=LEFT(BX221,1),($D$8+MAX(0,IF($D$50=1,$D$9*(1-(ABS($Q221-ABS(VALUE(MID(BX221,FIND("|",BX221)+1,FIND("-",BX221)-FIND("|",BX221)-1))-VALUE(MID(BX221,FIND("-",BX221)+1,10)))))*$D$50),$D$9*(1-(IF($N221="X",ABS($O221-VALUE(MID(BX221,FIND("|",BX221)+1,FIND("-",BX221)-FIND("|",BX221)-1))),ABS($Q221-ABS(VALUE(MID(BX221,FIND("|",BX221)+1,FIND("-",BX221)-FIND("|",BX221)-1))-VALUE(MID(BX221,FIND("-",BX221)+1,10)))))*$D$50)))))*$I221,0)),0)</f>
        <v>0</v>
      </c>
      <c r="BZ221" s="404"/>
      <c r="CA221" s="363"/>
      <c r="CB221" s="356" t="n">
        <f aca="false">IFERROR(IF($M221=CA221,($D$8+$D$9+$D$10)*$I221,IF($N221=LEFT(CA221,1),($D$8+MAX(0,IF($D$50=1,$D$9*(1-(ABS($Q221-ABS(VALUE(MID(CA221,FIND("|",CA221)+1,FIND("-",CA221)-FIND("|",CA221)-1))-VALUE(MID(CA221,FIND("-",CA221)+1,10)))))*$D$50),$D$9*(1-(IF($N221="X",ABS($O221-VALUE(MID(CA221,FIND("|",CA221)+1,FIND("-",CA221)-FIND("|",CA221)-1))),ABS($Q221-ABS(VALUE(MID(CA221,FIND("|",CA221)+1,FIND("-",CA221)-FIND("|",CA221)-1))-VALUE(MID(CA221,FIND("-",CA221)+1,10)))))*$D$50)))))*$I221,0)),0)</f>
        <v>0</v>
      </c>
      <c r="CC221" s="404"/>
      <c r="CD221" s="363"/>
      <c r="CE221" s="356" t="n">
        <f aca="false">IFERROR(IF($M221=CD221,($D$8+$D$9+$D$10)*$I221,IF($N221=LEFT(CD221,1),($D$8+MAX(0,IF($D$50=1,$D$9*(1-(ABS($Q221-ABS(VALUE(MID(CD221,FIND("|",CD221)+1,FIND("-",CD221)-FIND("|",CD221)-1))-VALUE(MID(CD221,FIND("-",CD221)+1,10)))))*$D$50),$D$9*(1-(IF($N221="X",ABS($O221-VALUE(MID(CD221,FIND("|",CD221)+1,FIND("-",CD221)-FIND("|",CD221)-1))),ABS($Q221-ABS(VALUE(MID(CD221,FIND("|",CD221)+1,FIND("-",CD221)-FIND("|",CD221)-1))-VALUE(MID(CD221,FIND("-",CD221)+1,10)))))*$D$50)))))*$I221,0)),0)</f>
        <v>0</v>
      </c>
      <c r="CF221" s="404"/>
      <c r="CG221" s="363"/>
      <c r="CH221" s="356" t="n">
        <f aca="false">IFERROR(IF($M221=CG221,($D$8+$D$9+$D$10)*$I221,IF($N221=LEFT(CG221,1),($D$8+MAX(0,IF($D$50=1,$D$9*(1-(ABS($Q221-ABS(VALUE(MID(CG221,FIND("|",CG221)+1,FIND("-",CG221)-FIND("|",CG221)-1))-VALUE(MID(CG221,FIND("-",CG221)+1,10)))))*$D$50),$D$9*(1-(IF($N221="X",ABS($O221-VALUE(MID(CG221,FIND("|",CG221)+1,FIND("-",CG221)-FIND("|",CG221)-1))),ABS($Q221-ABS(VALUE(MID(CG221,FIND("|",CG221)+1,FIND("-",CG221)-FIND("|",CG221)-1))-VALUE(MID(CG221,FIND("-",CG221)+1,10)))))*$D$50)))))*$I221,0)),0)</f>
        <v>0</v>
      </c>
      <c r="CI221" s="404"/>
      <c r="CJ221" s="363"/>
      <c r="CK221" s="356" t="n">
        <f aca="false">IFERROR(IF($M221=CJ221,($D$8+$D$9+$D$10)*$I221,IF($N221=LEFT(CJ221,1),($D$8+MAX(0,IF($D$50=1,$D$9*(1-(ABS($Q221-ABS(VALUE(MID(CJ221,FIND("|",CJ221)+1,FIND("-",CJ221)-FIND("|",CJ221)-1))-VALUE(MID(CJ221,FIND("-",CJ221)+1,10)))))*$D$50),$D$9*(1-(IF($N221="X",ABS($O221-VALUE(MID(CJ221,FIND("|",CJ221)+1,FIND("-",CJ221)-FIND("|",CJ221)-1))),ABS($Q221-ABS(VALUE(MID(CJ221,FIND("|",CJ221)+1,FIND("-",CJ221)-FIND("|",CJ221)-1))-VALUE(MID(CJ221,FIND("-",CJ221)+1,10)))))*$D$50)))))*$I221,0)),0)</f>
        <v>0</v>
      </c>
      <c r="CL221" s="404"/>
      <c r="CM221" s="363"/>
      <c r="CN221" s="356" t="n">
        <f aca="false">IFERROR(IF($M221=CM221,($D$8+$D$9+$D$10)*$I221,IF($N221=LEFT(CM221,1),($D$8+MAX(0,IF($D$50=1,$D$9*(1-(ABS($Q221-ABS(VALUE(MID(CM221,FIND("|",CM221)+1,FIND("-",CM221)-FIND("|",CM221)-1))-VALUE(MID(CM221,FIND("-",CM221)+1,10)))))*$D$50),$D$9*(1-(IF($N221="X",ABS($O221-VALUE(MID(CM221,FIND("|",CM221)+1,FIND("-",CM221)-FIND("|",CM221)-1))),ABS($Q221-ABS(VALUE(MID(CM221,FIND("|",CM221)+1,FIND("-",CM221)-FIND("|",CM221)-1))-VALUE(MID(CM221,FIND("-",CM221)+1,10)))))*$D$50)))))*$I221,0)),0)</f>
        <v>0</v>
      </c>
      <c r="CO221" s="404"/>
      <c r="CP221" s="363"/>
      <c r="CQ221" s="356" t="n">
        <f aca="false">IFERROR(IF($M221=CP221,($D$8+$D$9+$D$10)*$I221,IF($N221=LEFT(CP221,1),($D$8+MAX(0,IF($D$50=1,$D$9*(1-(ABS($Q221-ABS(VALUE(MID(CP221,FIND("|",CP221)+1,FIND("-",CP221)-FIND("|",CP221)-1))-VALUE(MID(CP221,FIND("-",CP221)+1,10)))))*$D$50),$D$9*(1-(IF($N221="X",ABS($O221-VALUE(MID(CP221,FIND("|",CP221)+1,FIND("-",CP221)-FIND("|",CP221)-1))),ABS($Q221-ABS(VALUE(MID(CP221,FIND("|",CP221)+1,FIND("-",CP221)-FIND("|",CP221)-1))-VALUE(MID(CP221,FIND("-",CP221)+1,10)))))*$D$50)))))*$I221,0)),0)</f>
        <v>0</v>
      </c>
      <c r="CR221" s="404"/>
      <c r="CS221" s="363"/>
      <c r="CT221" s="356" t="n">
        <f aca="false">IFERROR(IF($M221=CS221,($D$8+$D$9+$D$10)*$I221,IF($N221=LEFT(CS221,1),($D$8+MAX(0,IF($D$50=1,$D$9*(1-(ABS($Q221-ABS(VALUE(MID(CS221,FIND("|",CS221)+1,FIND("-",CS221)-FIND("|",CS221)-1))-VALUE(MID(CS221,FIND("-",CS221)+1,10)))))*$D$50),$D$9*(1-(IF($N221="X",ABS($O221-VALUE(MID(CS221,FIND("|",CS221)+1,FIND("-",CS221)-FIND("|",CS221)-1))),ABS($Q221-ABS(VALUE(MID(CS221,FIND("|",CS221)+1,FIND("-",CS221)-FIND("|",CS221)-1))-VALUE(MID(CS221,FIND("-",CS221)+1,10)))))*$D$50)))))*$I221,0)),0)</f>
        <v>0</v>
      </c>
      <c r="CU221" s="404"/>
      <c r="CV221" s="363"/>
      <c r="CW221" s="356" t="n">
        <f aca="false">IFERROR(IF($M221=CV221,($D$8+$D$9+$D$10)*$I221,IF($N221=LEFT(CV221,1),($D$8+MAX(0,IF($D$50=1,$D$9*(1-(ABS($Q221-ABS(VALUE(MID(CV221,FIND("|",CV221)+1,FIND("-",CV221)-FIND("|",CV221)-1))-VALUE(MID(CV221,FIND("-",CV221)+1,10)))))*$D$50),$D$9*(1-(IF($N221="X",ABS($O221-VALUE(MID(CV221,FIND("|",CV221)+1,FIND("-",CV221)-FIND("|",CV221)-1))),ABS($Q221-ABS(VALUE(MID(CV221,FIND("|",CV221)+1,FIND("-",CV221)-FIND("|",CV221)-1))-VALUE(MID(CV221,FIND("-",CV221)+1,10)))))*$D$50)))))*$I221,0)),0)</f>
        <v>0</v>
      </c>
      <c r="CX221" s="404"/>
      <c r="CY221" s="363"/>
      <c r="CZ221" s="356" t="n">
        <f aca="false">IFERROR(IF($M221=CY221,($D$8+$D$9+$D$10)*$I221,IF($N221=LEFT(CY221,1),($D$8+MAX(0,IF($D$50=1,$D$9*(1-(ABS($Q221-ABS(VALUE(MID(CY221,FIND("|",CY221)+1,FIND("-",CY221)-FIND("|",CY221)-1))-VALUE(MID(CY221,FIND("-",CY221)+1,10)))))*$D$50),$D$9*(1-(IF($N221="X",ABS($O221-VALUE(MID(CY221,FIND("|",CY221)+1,FIND("-",CY221)-FIND("|",CY221)-1))),ABS($Q221-ABS(VALUE(MID(CY221,FIND("|",CY221)+1,FIND("-",CY221)-FIND("|",CY221)-1))-VALUE(MID(CY221,FIND("-",CY221)+1,10)))))*$D$50)))))*$I221,0)),0)</f>
        <v>0</v>
      </c>
      <c r="DA221" s="404"/>
      <c r="DB221" s="363"/>
      <c r="DC221" s="356" t="n">
        <f aca="false">IFERROR(IF($M221=DB221,($D$8+$D$9+$D$10)*$I221,IF($N221=LEFT(DB221,1),($D$8+MAX(0,IF($D$50=1,$D$9*(1-(ABS($Q221-ABS(VALUE(MID(DB221,FIND("|",DB221)+1,FIND("-",DB221)-FIND("|",DB221)-1))-VALUE(MID(DB221,FIND("-",DB221)+1,10)))))*$D$50),$D$9*(1-(IF($N221="X",ABS($O221-VALUE(MID(DB221,FIND("|",DB221)+1,FIND("-",DB221)-FIND("|",DB221)-1))),ABS($Q221-ABS(VALUE(MID(DB221,FIND("|",DB221)+1,FIND("-",DB221)-FIND("|",DB221)-1))-VALUE(MID(DB221,FIND("-",DB221)+1,10)))))*$D$50)))))*$I221,0)),0)</f>
        <v>0</v>
      </c>
      <c r="DD221" s="404"/>
      <c r="DE221" s="363"/>
      <c r="DF221" s="356" t="n">
        <f aca="false">IFERROR(IF($M221=DE221,($D$8+$D$9+$D$10)*$I221,IF($N221=LEFT(DE221,1),($D$8+MAX(0,IF($D$50=1,$D$9*(1-(ABS($Q221-ABS(VALUE(MID(DE221,FIND("|",DE221)+1,FIND("-",DE221)-FIND("|",DE221)-1))-VALUE(MID(DE221,FIND("-",DE221)+1,10)))))*$D$50),$D$9*(1-(IF($N221="X",ABS($O221-VALUE(MID(DE221,FIND("|",DE221)+1,FIND("-",DE221)-FIND("|",DE221)-1))),ABS($Q221-ABS(VALUE(MID(DE221,FIND("|",DE221)+1,FIND("-",DE221)-FIND("|",DE221)-1))-VALUE(MID(DE221,FIND("-",DE221)+1,10)))))*$D$50)))))*$I221,0)),0)</f>
        <v>0</v>
      </c>
      <c r="DG221" s="404"/>
      <c r="DH221" s="363"/>
      <c r="DI221" s="356" t="n">
        <f aca="false">IFERROR(IF($M221=DH221,($D$8+$D$9+$D$10)*$I221,IF($N221=LEFT(DH221,1),($D$8+MAX(0,IF($D$50=1,$D$9*(1-(ABS($Q221-ABS(VALUE(MID(DH221,FIND("|",DH221)+1,FIND("-",DH221)-FIND("|",DH221)-1))-VALUE(MID(DH221,FIND("-",DH221)+1,10)))))*$D$50),$D$9*(1-(IF($N221="X",ABS($O221-VALUE(MID(DH221,FIND("|",DH221)+1,FIND("-",DH221)-FIND("|",DH221)-1))),ABS($Q221-ABS(VALUE(MID(DH221,FIND("|",DH221)+1,FIND("-",DH221)-FIND("|",DH221)-1))-VALUE(MID(DH221,FIND("-",DH221)+1,10)))))*$D$50)))))*$I221,0)),0)</f>
        <v>0</v>
      </c>
      <c r="DJ221" s="404"/>
      <c r="DK221" s="363"/>
      <c r="DL221" s="356" t="n">
        <f aca="false">IFERROR(IF($M221=DK221,($D$8+$D$9+$D$10)*$I221,IF($N221=LEFT(DK221,1),($D$8+MAX(0,IF($D$50=1,$D$9*(1-(ABS($Q221-ABS(VALUE(MID(DK221,FIND("|",DK221)+1,FIND("-",DK221)-FIND("|",DK221)-1))-VALUE(MID(DK221,FIND("-",DK221)+1,10)))))*$D$50),$D$9*(1-(IF($N221="X",ABS($O221-VALUE(MID(DK221,FIND("|",DK221)+1,FIND("-",DK221)-FIND("|",DK221)-1))),ABS($Q221-ABS(VALUE(MID(DK221,FIND("|",DK221)+1,FIND("-",DK221)-FIND("|",DK221)-1))-VALUE(MID(DK221,FIND("-",DK221)+1,10)))))*$D$50)))))*$I221,0)),0)</f>
        <v>0</v>
      </c>
      <c r="DM221" s="404"/>
      <c r="DN221" s="363"/>
      <c r="DO221" s="356" t="n">
        <f aca="false">IFERROR(IF($M221=DN221,($D$8+$D$9+$D$10)*$I221,IF($N221=LEFT(DN221,1),($D$8+MAX(0,IF($D$50=1,$D$9*(1-(ABS($Q221-ABS(VALUE(MID(DN221,FIND("|",DN221)+1,FIND("-",DN221)-FIND("|",DN221)-1))-VALUE(MID(DN221,FIND("-",DN221)+1,10)))))*$D$50),$D$9*(1-(IF($N221="X",ABS($O221-VALUE(MID(DN221,FIND("|",DN221)+1,FIND("-",DN221)-FIND("|",DN221)-1))),ABS($Q221-ABS(VALUE(MID(DN221,FIND("|",DN221)+1,FIND("-",DN221)-FIND("|",DN221)-1))-VALUE(MID(DN221,FIND("-",DN221)+1,10)))))*$D$50)))))*$I221,0)),0)</f>
        <v>0</v>
      </c>
      <c r="DP221" s="404"/>
      <c r="DQ221" s="363"/>
      <c r="DR221" s="356" t="n">
        <f aca="false">IFERROR(IF($M221=DQ221,($D$8+$D$9+$D$10)*$I221,IF($N221=LEFT(DQ221,1),($D$8+MAX(0,IF($D$50=1,$D$9*(1-(ABS($Q221-ABS(VALUE(MID(DQ221,FIND("|",DQ221)+1,FIND("-",DQ221)-FIND("|",DQ221)-1))-VALUE(MID(DQ221,FIND("-",DQ221)+1,10)))))*$D$50),$D$9*(1-(IF($N221="X",ABS($O221-VALUE(MID(DQ221,FIND("|",DQ221)+1,FIND("-",DQ221)-FIND("|",DQ221)-1))),ABS($Q221-ABS(VALUE(MID(DQ221,FIND("|",DQ221)+1,FIND("-",DQ221)-FIND("|",DQ221)-1))-VALUE(MID(DQ221,FIND("-",DQ221)+1,10)))))*$D$50)))))*$I221,0)),0)</f>
        <v>0</v>
      </c>
      <c r="DS221" s="404"/>
      <c r="DT221" s="363"/>
      <c r="DU221" s="356" t="n">
        <f aca="false">IFERROR(IF($M221=DT221,($D$8+$D$9+$D$10)*$I221,IF($N221=LEFT(DT221,1),($D$8+MAX(0,IF($D$50=1,$D$9*(1-(ABS($Q221-ABS(VALUE(MID(DT221,FIND("|",DT221)+1,FIND("-",DT221)-FIND("|",DT221)-1))-VALUE(MID(DT221,FIND("-",DT221)+1,10)))))*$D$50),$D$9*(1-(IF($N221="X",ABS($O221-VALUE(MID(DT221,FIND("|",DT221)+1,FIND("-",DT221)-FIND("|",DT221)-1))),ABS($Q221-ABS(VALUE(MID(DT221,FIND("|",DT221)+1,FIND("-",DT221)-FIND("|",DT221)-1))-VALUE(MID(DT221,FIND("-",DT221)+1,10)))))*$D$50)))))*$I221,0)),0)</f>
        <v>0</v>
      </c>
      <c r="DV221" s="404"/>
      <c r="DW221" s="363"/>
      <c r="DX221" s="356" t="n">
        <f aca="false">IFERROR(IF($M221=DW221,($D$8+$D$9+$D$10)*$I221,IF($N221=LEFT(DW221,1),($D$8+MAX(0,IF($D$50=1,$D$9*(1-(ABS($Q221-ABS(VALUE(MID(DW221,FIND("|",DW221)+1,FIND("-",DW221)-FIND("|",DW221)-1))-VALUE(MID(DW221,FIND("-",DW221)+1,10)))))*$D$50),$D$9*(1-(IF($N221="X",ABS($O221-VALUE(MID(DW221,FIND("|",DW221)+1,FIND("-",DW221)-FIND("|",DW221)-1))),ABS($Q221-ABS(VALUE(MID(DW221,FIND("|",DW221)+1,FIND("-",DW221)-FIND("|",DW221)-1))-VALUE(MID(DW221,FIND("-",DW221)+1,10)))))*$D$50)))))*$I221,0)),0)</f>
        <v>0</v>
      </c>
      <c r="DY221" s="404"/>
      <c r="DZ221" s="363"/>
      <c r="EA221" s="356" t="n">
        <f aca="false">IFERROR(IF($M221=DZ221,($D$8+$D$9+$D$10)*$I221,IF($N221=LEFT(DZ221,1),($D$8+MAX(0,IF($D$50=1,$D$9*(1-(ABS($Q221-ABS(VALUE(MID(DZ221,FIND("|",DZ221)+1,FIND("-",DZ221)-FIND("|",DZ221)-1))-VALUE(MID(DZ221,FIND("-",DZ221)+1,10)))))*$D$50),$D$9*(1-(IF($N221="X",ABS($O221-VALUE(MID(DZ221,FIND("|",DZ221)+1,FIND("-",DZ221)-FIND("|",DZ221)-1))),ABS($Q221-ABS(VALUE(MID(DZ221,FIND("|",DZ221)+1,FIND("-",DZ221)-FIND("|",DZ221)-1))-VALUE(MID(DZ221,FIND("-",DZ221)+1,10)))))*$D$50)))))*$I221,0)),0)</f>
        <v>0</v>
      </c>
      <c r="EB221" s="404"/>
      <c r="EC221" s="363"/>
      <c r="ED221" s="356" t="n">
        <f aca="false">IFERROR(IF($M221=EC221,($D$8+$D$9+$D$10)*$I221,IF($N221=LEFT(EC221,1),($D$8+MAX(0,IF($D$50=1,$D$9*(1-(ABS($Q221-ABS(VALUE(MID(EC221,FIND("|",EC221)+1,FIND("-",EC221)-FIND("|",EC221)-1))-VALUE(MID(EC221,FIND("-",EC221)+1,10)))))*$D$50),$D$9*(1-(IF($N221="X",ABS($O221-VALUE(MID(EC221,FIND("|",EC221)+1,FIND("-",EC221)-FIND("|",EC221)-1))),ABS($Q221-ABS(VALUE(MID(EC221,FIND("|",EC221)+1,FIND("-",EC221)-FIND("|",EC221)-1))-VALUE(MID(EC221,FIND("-",EC221)+1,10)))))*$D$50)))))*$I221,0)),0)</f>
        <v>0</v>
      </c>
      <c r="EE221" s="404"/>
      <c r="EF221" s="363"/>
      <c r="EG221" s="356" t="n">
        <f aca="false">IFERROR(IF($M221=EF221,($D$8+$D$9+$D$10)*$I221,IF($N221=LEFT(EF221,1),($D$8+MAX(0,IF($D$50=1,$D$9*(1-(ABS($Q221-ABS(VALUE(MID(EF221,FIND("|",EF221)+1,FIND("-",EF221)-FIND("|",EF221)-1))-VALUE(MID(EF221,FIND("-",EF221)+1,10)))))*$D$50),$D$9*(1-(IF($N221="X",ABS($O221-VALUE(MID(EF221,FIND("|",EF221)+1,FIND("-",EF221)-FIND("|",EF221)-1))),ABS($Q221-ABS(VALUE(MID(EF221,FIND("|",EF221)+1,FIND("-",EF221)-FIND("|",EF221)-1))-VALUE(MID(EF221,FIND("-",EF221)+1,10)))))*$D$50)))))*$I221,0)),0)</f>
        <v>0</v>
      </c>
      <c r="EH221" s="404"/>
      <c r="EI221" s="404"/>
    </row>
    <row r="222" customFormat="false" ht="15" hidden="false" customHeight="false" outlineLevel="0" collapsed="false">
      <c r="A222" s="332" t="n">
        <f aca="false">WORLDCUP!AD133</f>
        <v>0</v>
      </c>
      <c r="B222" s="332" t="n">
        <f aca="false">WORLDCUP!AC133</f>
        <v>0</v>
      </c>
      <c r="C222" s="422" t="str">
        <f aca="false">CONCATENATE(WORLDCUP!AF133,"-",WORLDCUP!AA133)</f>
        <v>W92-W91</v>
      </c>
      <c r="D222" s="422" t="str">
        <f aca="false">IF(WORLDCUP!AC133&gt;WORLDCUP!AD133,2,IF(WORLDCUP!AC133&lt;WORLDCUP!AD133,1,IF(AND(WORLDCUP!AC133=WORLDCUP!AD133,WORLDCUP!AC133&lt;&gt;"",WORLDCUP!AD133&lt;&gt;""),0,"PD")))</f>
        <v>PD</v>
      </c>
      <c r="E222" s="422" t="str">
        <f aca="false">IF(OR(WORLDCUP!AD133="",WORLDCUP!AC133=""),"-",A222&amp;"-"&amp;B222)</f>
        <v>-</v>
      </c>
      <c r="F222" s="423" t="n">
        <f aca="false">SUM($D$24:$D$26)*I222</f>
        <v>17</v>
      </c>
      <c r="G222" s="423" t="n">
        <f aca="false">VLOOKUP(H222,Equipos!$Q$1:$R$25,2,0)</f>
        <v>22</v>
      </c>
      <c r="H222" s="410" t="str">
        <f aca="false">Idiomas!$D$262</f>
        <v>Cuartos de final</v>
      </c>
      <c r="I222" s="425" t="n">
        <v>1</v>
      </c>
      <c r="J222" s="418"/>
      <c r="K222" s="367" t="str">
        <f aca="false">CONCATENATE(WORLDCUP!AA133,"-",WORLDCUP!AF133)</f>
        <v>W91-W92</v>
      </c>
      <c r="L222" s="354" t="str">
        <f aca="false">IF(OR(WORLDCUP!AC133="",WORLDCUP!AD133=""),"PD",IF(WORLDCUP!AC133&gt;WORLDCUP!AD133,1,IF(WORLDCUP!AC133&lt;WORLDCUP!AD133,2,0)))</f>
        <v>PD</v>
      </c>
      <c r="M222" s="359" t="str">
        <f aca="false">IF(OR(WORLDCUP!AC133="",WORLDCUP!AD133=""),"-",N222&amp;"|"&amp;O222&amp;"-"&amp;P222)</f>
        <v>-</v>
      </c>
      <c r="N222" s="332" t="str">
        <f aca="false">IF(OR(WORLDCUP!AC133="",WORLDCUP!AD133=""),"",IF(WORLDCUP!AC133&gt;WORLDCUP!AD133,"1",IF(WORLDCUP!AC133&lt;WORLDCUP!AD133,"2","X")))</f>
        <v/>
      </c>
      <c r="O222" s="332" t="n">
        <f aca="false">WORLDCUP!AC133</f>
        <v>0</v>
      </c>
      <c r="P222" s="332" t="n">
        <f aca="false">WORLDCUP!AD133</f>
        <v>0</v>
      </c>
      <c r="Q222" s="332" t="n">
        <f aca="false">ABS(O222-P222)</f>
        <v>0</v>
      </c>
      <c r="R222" s="404"/>
      <c r="S222" s="363" t="s">
        <v>267</v>
      </c>
      <c r="T222" s="356" t="n">
        <f aca="false">IFERROR(IF($M222=S222,($D$8+$D$9+$D$10)*$I222,IF($N222=LEFT(S222,1),($D$8+MAX(0,IF($D$50=1,$D$9*(1-(ABS($Q222-ABS(VALUE(MID(S222,FIND("|",S222)+1,FIND("-",S222)-FIND("|",S222)-1))-VALUE(MID(S222,FIND("-",S222)+1,10)))))*$D$50),$D$9*(1-(IF($N222="X",ABS($O222-VALUE(MID(S222,FIND("|",S222)+1,FIND("-",S222)-FIND("|",S222)-1))),ABS($Q222-ABS(VALUE(MID(S222,FIND("|",S222)+1,FIND("-",S222)-FIND("|",S222)-1))-VALUE(MID(S222,FIND("-",S222)+1,10)))))*$D$50)))))*$I222,0)),0)</f>
        <v>0</v>
      </c>
      <c r="U222" s="404"/>
      <c r="V222" s="363" t="s">
        <v>266</v>
      </c>
      <c r="W222" s="356" t="n">
        <f aca="false">IFERROR(IF($M222=V222,($D$8+$D$9+$D$10)*$I222,IF($N222=LEFT(V222,1),($D$8+MAX(0,IF($D$50=1,$D$9*(1-(ABS($Q222-ABS(VALUE(MID(V222,FIND("|",V222)+1,FIND("-",V222)-FIND("|",V222)-1))-VALUE(MID(V222,FIND("-",V222)+1,10)))))*$D$50),$D$9*(1-(IF($N222="X",ABS($O222-VALUE(MID(V222,FIND("|",V222)+1,FIND("-",V222)-FIND("|",V222)-1))),ABS($Q222-ABS(VALUE(MID(V222,FIND("|",V222)+1,FIND("-",V222)-FIND("|",V222)-1))-VALUE(MID(V222,FIND("-",V222)+1,10)))))*$D$50)))))*$I222,0)),0)</f>
        <v>0</v>
      </c>
      <c r="X222" s="404"/>
      <c r="Y222" s="363" t="s">
        <v>288</v>
      </c>
      <c r="Z222" s="356" t="n">
        <f aca="false">IFERROR(IF($M222=Y222,($D$8+$D$9+$D$10)*$I222,IF($N222=LEFT(Y222,1),($D$8+MAX(0,IF($D$50=1,$D$9*(1-(ABS($Q222-ABS(VALUE(MID(Y222,FIND("|",Y222)+1,FIND("-",Y222)-FIND("|",Y222)-1))-VALUE(MID(Y222,FIND("-",Y222)+1,10)))))*$D$50),$D$9*(1-(IF($N222="X",ABS($O222-VALUE(MID(Y222,FIND("|",Y222)+1,FIND("-",Y222)-FIND("|",Y222)-1))),ABS($Q222-ABS(VALUE(MID(Y222,FIND("|",Y222)+1,FIND("-",Y222)-FIND("|",Y222)-1))-VALUE(MID(Y222,FIND("-",Y222)+1,10)))))*$D$50)))))*$I222,0)),0)</f>
        <v>0</v>
      </c>
      <c r="AA222" s="404"/>
      <c r="AB222" s="363" t="s">
        <v>267</v>
      </c>
      <c r="AC222" s="356" t="n">
        <f aca="false">IFERROR(IF($M222=AB222,($D$8+$D$9+$D$10)*$I222,IF($N222=LEFT(AB222,1),($D$8+MAX(0,IF($D$50=1,$D$9*(1-(ABS($Q222-ABS(VALUE(MID(AB222,FIND("|",AB222)+1,FIND("-",AB222)-FIND("|",AB222)-1))-VALUE(MID(AB222,FIND("-",AB222)+1,10)))))*$D$50),$D$9*(1-(IF($N222="X",ABS($O222-VALUE(MID(AB222,FIND("|",AB222)+1,FIND("-",AB222)-FIND("|",AB222)-1))),ABS($Q222-ABS(VALUE(MID(AB222,FIND("|",AB222)+1,FIND("-",AB222)-FIND("|",AB222)-1))-VALUE(MID(AB222,FIND("-",AB222)+1,10)))))*$D$50)))))*$I222,0)),0)</f>
        <v>0</v>
      </c>
      <c r="AD222" s="404"/>
      <c r="AE222" s="363" t="s">
        <v>271</v>
      </c>
      <c r="AF222" s="356" t="n">
        <f aca="false">IFERROR(IF($M222=AE222,($D$8+$D$9+$D$10)*$I222,IF($N222=LEFT(AE222,1),($D$8+MAX(0,IF($D$50=1,$D$9*(1-(ABS($Q222-ABS(VALUE(MID(AE222,FIND("|",AE222)+1,FIND("-",AE222)-FIND("|",AE222)-1))-VALUE(MID(AE222,FIND("-",AE222)+1,10)))))*$D$50),$D$9*(1-(IF($N222="X",ABS($O222-VALUE(MID(AE222,FIND("|",AE222)+1,FIND("-",AE222)-FIND("|",AE222)-1))),ABS($Q222-ABS(VALUE(MID(AE222,FIND("|",AE222)+1,FIND("-",AE222)-FIND("|",AE222)-1))-VALUE(MID(AE222,FIND("-",AE222)+1,10)))))*$D$50)))))*$I222,0)),0)</f>
        <v>0</v>
      </c>
      <c r="AG222" s="404"/>
      <c r="AH222" s="363" t="s">
        <v>277</v>
      </c>
      <c r="AI222" s="356" t="n">
        <f aca="false">IFERROR(IF($M222=AH222,($D$8+$D$9+$D$10)*$I222,IF($N222=LEFT(AH222,1),($D$8+MAX(0,IF($D$50=1,$D$9*(1-(ABS($Q222-ABS(VALUE(MID(AH222,FIND("|",AH222)+1,FIND("-",AH222)-FIND("|",AH222)-1))-VALUE(MID(AH222,FIND("-",AH222)+1,10)))))*$D$50),$D$9*(1-(IF($N222="X",ABS($O222-VALUE(MID(AH222,FIND("|",AH222)+1,FIND("-",AH222)-FIND("|",AH222)-1))),ABS($Q222-ABS(VALUE(MID(AH222,FIND("|",AH222)+1,FIND("-",AH222)-FIND("|",AH222)-1))-VALUE(MID(AH222,FIND("-",AH222)+1,10)))))*$D$50)))))*$I222,0)),0)</f>
        <v>0</v>
      </c>
      <c r="AJ222" s="404"/>
      <c r="AK222" s="363" t="s">
        <v>264</v>
      </c>
      <c r="AL222" s="356" t="n">
        <f aca="false">IFERROR(IF($M222=AK222,($D$8+$D$9+$D$10)*$I222,IF($N222=LEFT(AK222,1),($D$8+MAX(0,IF($D$50=1,$D$9*(1-(ABS($Q222-ABS(VALUE(MID(AK222,FIND("|",AK222)+1,FIND("-",AK222)-FIND("|",AK222)-1))-VALUE(MID(AK222,FIND("-",AK222)+1,10)))))*$D$50),$D$9*(1-(IF($N222="X",ABS($O222-VALUE(MID(AK222,FIND("|",AK222)+1,FIND("-",AK222)-FIND("|",AK222)-1))),ABS($Q222-ABS(VALUE(MID(AK222,FIND("|",AK222)+1,FIND("-",AK222)-FIND("|",AK222)-1))-VALUE(MID(AK222,FIND("-",AK222)+1,10)))))*$D$50)))))*$I222,0)),0)</f>
        <v>0</v>
      </c>
      <c r="AM222" s="404"/>
      <c r="AN222" s="363" t="s">
        <v>265</v>
      </c>
      <c r="AO222" s="356" t="n">
        <f aca="false">IFERROR(IF($M222=AN222,($D$8+$D$9+$D$10)*$I222,IF($N222=LEFT(AN222,1),($D$8+MAX(0,IF($D$50=1,$D$9*(1-(ABS($Q222-ABS(VALUE(MID(AN222,FIND("|",AN222)+1,FIND("-",AN222)-FIND("|",AN222)-1))-VALUE(MID(AN222,FIND("-",AN222)+1,10)))))*$D$50),$D$9*(1-(IF($N222="X",ABS($O222-VALUE(MID(AN222,FIND("|",AN222)+1,FIND("-",AN222)-FIND("|",AN222)-1))),ABS($Q222-ABS(VALUE(MID(AN222,FIND("|",AN222)+1,FIND("-",AN222)-FIND("|",AN222)-1))-VALUE(MID(AN222,FIND("-",AN222)+1,10)))))*$D$50)))))*$I222,0)),0)</f>
        <v>0</v>
      </c>
      <c r="AP222" s="404"/>
      <c r="AQ222" s="363" t="s">
        <v>267</v>
      </c>
      <c r="AR222" s="356" t="n">
        <f aca="false">IFERROR(IF($M222=AQ222,($D$8+$D$9+$D$10)*$I222,IF($N222=LEFT(AQ222,1),($D$8+MAX(0,IF($D$50=1,$D$9*(1-(ABS($Q222-ABS(VALUE(MID(AQ222,FIND("|",AQ222)+1,FIND("-",AQ222)-FIND("|",AQ222)-1))-VALUE(MID(AQ222,FIND("-",AQ222)+1,10)))))*$D$50),$D$9*(1-(IF($N222="X",ABS($O222-VALUE(MID(AQ222,FIND("|",AQ222)+1,FIND("-",AQ222)-FIND("|",AQ222)-1))),ABS($Q222-ABS(VALUE(MID(AQ222,FIND("|",AQ222)+1,FIND("-",AQ222)-FIND("|",AQ222)-1))-VALUE(MID(AQ222,FIND("-",AQ222)+1,10)))))*$D$50)))))*$I222,0)),0)</f>
        <v>0</v>
      </c>
      <c r="AS222" s="404"/>
      <c r="AT222" s="363" t="s">
        <v>269</v>
      </c>
      <c r="AU222" s="356" t="n">
        <f aca="false">IFERROR(IF($M222=AT222,($D$8+$D$9+$D$10)*$I222,IF($N222=LEFT(AT222,1),($D$8+MAX(0,IF($D$50=1,$D$9*(1-(ABS($Q222-ABS(VALUE(MID(AT222,FIND("|",AT222)+1,FIND("-",AT222)-FIND("|",AT222)-1))-VALUE(MID(AT222,FIND("-",AT222)+1,10)))))*$D$50),$D$9*(1-(IF($N222="X",ABS($O222-VALUE(MID(AT222,FIND("|",AT222)+1,FIND("-",AT222)-FIND("|",AT222)-1))),ABS($Q222-ABS(VALUE(MID(AT222,FIND("|",AT222)+1,FIND("-",AT222)-FIND("|",AT222)-1))-VALUE(MID(AT222,FIND("-",AT222)+1,10)))))*$D$50)))))*$I222,0)),0)</f>
        <v>0</v>
      </c>
      <c r="AV222" s="404"/>
      <c r="AW222" s="363" t="s">
        <v>264</v>
      </c>
      <c r="AX222" s="356" t="n">
        <f aca="false">IFERROR(IF($M222=AW222,($D$8+$D$9+$D$10)*$I222,IF($N222=LEFT(AW222,1),($D$8+MAX(0,IF($D$50=1,$D$9*(1-(ABS($Q222-ABS(VALUE(MID(AW222,FIND("|",AW222)+1,FIND("-",AW222)-FIND("|",AW222)-1))-VALUE(MID(AW222,FIND("-",AW222)+1,10)))))*$D$50),$D$9*(1-(IF($N222="X",ABS($O222-VALUE(MID(AW222,FIND("|",AW222)+1,FIND("-",AW222)-FIND("|",AW222)-1))),ABS($Q222-ABS(VALUE(MID(AW222,FIND("|",AW222)+1,FIND("-",AW222)-FIND("|",AW222)-1))-VALUE(MID(AW222,FIND("-",AW222)+1,10)))))*$D$50)))))*$I222,0)),0)</f>
        <v>0</v>
      </c>
      <c r="AY222" s="404"/>
      <c r="AZ222" s="363" t="s">
        <v>271</v>
      </c>
      <c r="BA222" s="356" t="n">
        <f aca="false">IFERROR(IF($M222=AZ222,($D$8+$D$9+$D$10)*$I222,IF($N222=LEFT(AZ222,1),($D$8+MAX(0,IF($D$50=1,$D$9*(1-(ABS($Q222-ABS(VALUE(MID(AZ222,FIND("|",AZ222)+1,FIND("-",AZ222)-FIND("|",AZ222)-1))-VALUE(MID(AZ222,FIND("-",AZ222)+1,10)))))*$D$50),$D$9*(1-(IF($N222="X",ABS($O222-VALUE(MID(AZ222,FIND("|",AZ222)+1,FIND("-",AZ222)-FIND("|",AZ222)-1))),ABS($Q222-ABS(VALUE(MID(AZ222,FIND("|",AZ222)+1,FIND("-",AZ222)-FIND("|",AZ222)-1))-VALUE(MID(AZ222,FIND("-",AZ222)+1,10)))))*$D$50)))))*$I222,0)),0)</f>
        <v>0</v>
      </c>
      <c r="BB222" s="404"/>
      <c r="BC222" s="363" t="s">
        <v>288</v>
      </c>
      <c r="BD222" s="356" t="n">
        <f aca="false">IFERROR(IF($M222=BC222,($D$8+$D$9+$D$10)*$I222,IF($N222=LEFT(BC222,1),($D$8+MAX(0,IF($D$50=1,$D$9*(1-(ABS($Q222-ABS(VALUE(MID(BC222,FIND("|",BC222)+1,FIND("-",BC222)-FIND("|",BC222)-1))-VALUE(MID(BC222,FIND("-",BC222)+1,10)))))*$D$50),$D$9*(1-(IF($N222="X",ABS($O222-VALUE(MID(BC222,FIND("|",BC222)+1,FIND("-",BC222)-FIND("|",BC222)-1))),ABS($Q222-ABS(VALUE(MID(BC222,FIND("|",BC222)+1,FIND("-",BC222)-FIND("|",BC222)-1))-VALUE(MID(BC222,FIND("-",BC222)+1,10)))))*$D$50)))))*$I222,0)),0)</f>
        <v>0</v>
      </c>
      <c r="BE222" s="404"/>
      <c r="BF222" s="363" t="s">
        <v>265</v>
      </c>
      <c r="BG222" s="356" t="n">
        <f aca="false">IFERROR(IF($M222=BF222,($D$8+$D$9+$D$10)*$I222,IF($N222=LEFT(BF222,1),($D$8+MAX(0,IF($D$50=1,$D$9*(1-(ABS($Q222-ABS(VALUE(MID(BF222,FIND("|",BF222)+1,FIND("-",BF222)-FIND("|",BF222)-1))-VALUE(MID(BF222,FIND("-",BF222)+1,10)))))*$D$50),$D$9*(1-(IF($N222="X",ABS($O222-VALUE(MID(BF222,FIND("|",BF222)+1,FIND("-",BF222)-FIND("|",BF222)-1))),ABS($Q222-ABS(VALUE(MID(BF222,FIND("|",BF222)+1,FIND("-",BF222)-FIND("|",BF222)-1))-VALUE(MID(BF222,FIND("-",BF222)+1,10)))))*$D$50)))))*$I222,0)),0)</f>
        <v>0</v>
      </c>
      <c r="BH222" s="404"/>
      <c r="BI222" s="363" t="s">
        <v>264</v>
      </c>
      <c r="BJ222" s="356" t="n">
        <f aca="false">IFERROR(IF($M222=BI222,($D$8+$D$9+$D$10)*$I222,IF($N222=LEFT(BI222,1),($D$8+MAX(0,IF($D$50=1,$D$9*(1-(ABS($Q222-ABS(VALUE(MID(BI222,FIND("|",BI222)+1,FIND("-",BI222)-FIND("|",BI222)-1))-VALUE(MID(BI222,FIND("-",BI222)+1,10)))))*$D$50),$D$9*(1-(IF($N222="X",ABS($O222-VALUE(MID(BI222,FIND("|",BI222)+1,FIND("-",BI222)-FIND("|",BI222)-1))),ABS($Q222-ABS(VALUE(MID(BI222,FIND("|",BI222)+1,FIND("-",BI222)-FIND("|",BI222)-1))-VALUE(MID(BI222,FIND("-",BI222)+1,10)))))*$D$50)))))*$I222,0)),0)</f>
        <v>0</v>
      </c>
      <c r="BK222" s="404"/>
      <c r="BL222" s="363" t="s">
        <v>271</v>
      </c>
      <c r="BM222" s="356" t="n">
        <f aca="false">IFERROR(IF($M222=BL222,($D$8+$D$9+$D$10)*$I222,IF($N222=LEFT(BL222,1),($D$8+MAX(0,IF($D$50=1,$D$9*(1-(ABS($Q222-ABS(VALUE(MID(BL222,FIND("|",BL222)+1,FIND("-",BL222)-FIND("|",BL222)-1))-VALUE(MID(BL222,FIND("-",BL222)+1,10)))))*$D$50),$D$9*(1-(IF($N222="X",ABS($O222-VALUE(MID(BL222,FIND("|",BL222)+1,FIND("-",BL222)-FIND("|",BL222)-1))),ABS($Q222-ABS(VALUE(MID(BL222,FIND("|",BL222)+1,FIND("-",BL222)-FIND("|",BL222)-1))-VALUE(MID(BL222,FIND("-",BL222)+1,10)))))*$D$50)))))*$I222,0)),0)</f>
        <v>0</v>
      </c>
      <c r="BN222" s="404"/>
      <c r="BO222" s="363" t="s">
        <v>264</v>
      </c>
      <c r="BP222" s="356" t="n">
        <f aca="false">IFERROR(IF($M222=BO222,($D$8+$D$9+$D$10)*$I222,IF($N222=LEFT(BO222,1),($D$8+MAX(0,IF($D$50=1,$D$9*(1-(ABS($Q222-ABS(VALUE(MID(BO222,FIND("|",BO222)+1,FIND("-",BO222)-FIND("|",BO222)-1))-VALUE(MID(BO222,FIND("-",BO222)+1,10)))))*$D$50),$D$9*(1-(IF($N222="X",ABS($O222-VALUE(MID(BO222,FIND("|",BO222)+1,FIND("-",BO222)-FIND("|",BO222)-1))),ABS($Q222-ABS(VALUE(MID(BO222,FIND("|",BO222)+1,FIND("-",BO222)-FIND("|",BO222)-1))-VALUE(MID(BO222,FIND("-",BO222)+1,10)))))*$D$50)))))*$I222,0)),0)</f>
        <v>0</v>
      </c>
      <c r="BQ222" s="404"/>
      <c r="BR222" s="363" t="s">
        <v>264</v>
      </c>
      <c r="BS222" s="356" t="n">
        <f aca="false">IFERROR(IF($M222=BR222,($D$8+$D$9+$D$10)*$I222,IF($N222=LEFT(BR222,1),($D$8+MAX(0,IF($D$50=1,$D$9*(1-(ABS($Q222-ABS(VALUE(MID(BR222,FIND("|",BR222)+1,FIND("-",BR222)-FIND("|",BR222)-1))-VALUE(MID(BR222,FIND("-",BR222)+1,10)))))*$D$50),$D$9*(1-(IF($N222="X",ABS($O222-VALUE(MID(BR222,FIND("|",BR222)+1,FIND("-",BR222)-FIND("|",BR222)-1))),ABS($Q222-ABS(VALUE(MID(BR222,FIND("|",BR222)+1,FIND("-",BR222)-FIND("|",BR222)-1))-VALUE(MID(BR222,FIND("-",BR222)+1,10)))))*$D$50)))))*$I222,0)),0)</f>
        <v>0</v>
      </c>
      <c r="BT222" s="404"/>
      <c r="BU222" s="363"/>
      <c r="BV222" s="356" t="n">
        <f aca="false">IFERROR(IF($M222=BU222,($D$8+$D$9+$D$10)*$I222,IF($N222=LEFT(BU222,1),($D$8+MAX(0,IF($D$50=1,$D$9*(1-(ABS($Q222-ABS(VALUE(MID(BU222,FIND("|",BU222)+1,FIND("-",BU222)-FIND("|",BU222)-1))-VALUE(MID(BU222,FIND("-",BU222)+1,10)))))*$D$50),$D$9*(1-(IF($N222="X",ABS($O222-VALUE(MID(BU222,FIND("|",BU222)+1,FIND("-",BU222)-FIND("|",BU222)-1))),ABS($Q222-ABS(VALUE(MID(BU222,FIND("|",BU222)+1,FIND("-",BU222)-FIND("|",BU222)-1))-VALUE(MID(BU222,FIND("-",BU222)+1,10)))))*$D$50)))))*$I222,0)),0)</f>
        <v>0</v>
      </c>
      <c r="BW222" s="404"/>
      <c r="BX222" s="363"/>
      <c r="BY222" s="356" t="n">
        <f aca="false">IFERROR(IF($M222=BX222,($D$8+$D$9+$D$10)*$I222,IF($N222=LEFT(BX222,1),($D$8+MAX(0,IF($D$50=1,$D$9*(1-(ABS($Q222-ABS(VALUE(MID(BX222,FIND("|",BX222)+1,FIND("-",BX222)-FIND("|",BX222)-1))-VALUE(MID(BX222,FIND("-",BX222)+1,10)))))*$D$50),$D$9*(1-(IF($N222="X",ABS($O222-VALUE(MID(BX222,FIND("|",BX222)+1,FIND("-",BX222)-FIND("|",BX222)-1))),ABS($Q222-ABS(VALUE(MID(BX222,FIND("|",BX222)+1,FIND("-",BX222)-FIND("|",BX222)-1))-VALUE(MID(BX222,FIND("-",BX222)+1,10)))))*$D$50)))))*$I222,0)),0)</f>
        <v>0</v>
      </c>
      <c r="BZ222" s="404"/>
      <c r="CA222" s="363"/>
      <c r="CB222" s="356" t="n">
        <f aca="false">IFERROR(IF($M222=CA222,($D$8+$D$9+$D$10)*$I222,IF($N222=LEFT(CA222,1),($D$8+MAX(0,IF($D$50=1,$D$9*(1-(ABS($Q222-ABS(VALUE(MID(CA222,FIND("|",CA222)+1,FIND("-",CA222)-FIND("|",CA222)-1))-VALUE(MID(CA222,FIND("-",CA222)+1,10)))))*$D$50),$D$9*(1-(IF($N222="X",ABS($O222-VALUE(MID(CA222,FIND("|",CA222)+1,FIND("-",CA222)-FIND("|",CA222)-1))),ABS($Q222-ABS(VALUE(MID(CA222,FIND("|",CA222)+1,FIND("-",CA222)-FIND("|",CA222)-1))-VALUE(MID(CA222,FIND("-",CA222)+1,10)))))*$D$50)))))*$I222,0)),0)</f>
        <v>0</v>
      </c>
      <c r="CC222" s="404"/>
      <c r="CD222" s="363"/>
      <c r="CE222" s="356" t="n">
        <f aca="false">IFERROR(IF($M222=CD222,($D$8+$D$9+$D$10)*$I222,IF($N222=LEFT(CD222,1),($D$8+MAX(0,IF($D$50=1,$D$9*(1-(ABS($Q222-ABS(VALUE(MID(CD222,FIND("|",CD222)+1,FIND("-",CD222)-FIND("|",CD222)-1))-VALUE(MID(CD222,FIND("-",CD222)+1,10)))))*$D$50),$D$9*(1-(IF($N222="X",ABS($O222-VALUE(MID(CD222,FIND("|",CD222)+1,FIND("-",CD222)-FIND("|",CD222)-1))),ABS($Q222-ABS(VALUE(MID(CD222,FIND("|",CD222)+1,FIND("-",CD222)-FIND("|",CD222)-1))-VALUE(MID(CD222,FIND("-",CD222)+1,10)))))*$D$50)))))*$I222,0)),0)</f>
        <v>0</v>
      </c>
      <c r="CF222" s="404"/>
      <c r="CG222" s="363"/>
      <c r="CH222" s="356" t="n">
        <f aca="false">IFERROR(IF($M222=CG222,($D$8+$D$9+$D$10)*$I222,IF($N222=LEFT(CG222,1),($D$8+MAX(0,IF($D$50=1,$D$9*(1-(ABS($Q222-ABS(VALUE(MID(CG222,FIND("|",CG222)+1,FIND("-",CG222)-FIND("|",CG222)-1))-VALUE(MID(CG222,FIND("-",CG222)+1,10)))))*$D$50),$D$9*(1-(IF($N222="X",ABS($O222-VALUE(MID(CG222,FIND("|",CG222)+1,FIND("-",CG222)-FIND("|",CG222)-1))),ABS($Q222-ABS(VALUE(MID(CG222,FIND("|",CG222)+1,FIND("-",CG222)-FIND("|",CG222)-1))-VALUE(MID(CG222,FIND("-",CG222)+1,10)))))*$D$50)))))*$I222,0)),0)</f>
        <v>0</v>
      </c>
      <c r="CI222" s="404"/>
      <c r="CJ222" s="363"/>
      <c r="CK222" s="356" t="n">
        <f aca="false">IFERROR(IF($M222=CJ222,($D$8+$D$9+$D$10)*$I222,IF($N222=LEFT(CJ222,1),($D$8+MAX(0,IF($D$50=1,$D$9*(1-(ABS($Q222-ABS(VALUE(MID(CJ222,FIND("|",CJ222)+1,FIND("-",CJ222)-FIND("|",CJ222)-1))-VALUE(MID(CJ222,FIND("-",CJ222)+1,10)))))*$D$50),$D$9*(1-(IF($N222="X",ABS($O222-VALUE(MID(CJ222,FIND("|",CJ222)+1,FIND("-",CJ222)-FIND("|",CJ222)-1))),ABS($Q222-ABS(VALUE(MID(CJ222,FIND("|",CJ222)+1,FIND("-",CJ222)-FIND("|",CJ222)-1))-VALUE(MID(CJ222,FIND("-",CJ222)+1,10)))))*$D$50)))))*$I222,0)),0)</f>
        <v>0</v>
      </c>
      <c r="CL222" s="404"/>
      <c r="CM222" s="363"/>
      <c r="CN222" s="356" t="n">
        <f aca="false">IFERROR(IF($M222=CM222,($D$8+$D$9+$D$10)*$I222,IF($N222=LEFT(CM222,1),($D$8+MAX(0,IF($D$50=1,$D$9*(1-(ABS($Q222-ABS(VALUE(MID(CM222,FIND("|",CM222)+1,FIND("-",CM222)-FIND("|",CM222)-1))-VALUE(MID(CM222,FIND("-",CM222)+1,10)))))*$D$50),$D$9*(1-(IF($N222="X",ABS($O222-VALUE(MID(CM222,FIND("|",CM222)+1,FIND("-",CM222)-FIND("|",CM222)-1))),ABS($Q222-ABS(VALUE(MID(CM222,FIND("|",CM222)+1,FIND("-",CM222)-FIND("|",CM222)-1))-VALUE(MID(CM222,FIND("-",CM222)+1,10)))))*$D$50)))))*$I222,0)),0)</f>
        <v>0</v>
      </c>
      <c r="CO222" s="404"/>
      <c r="CP222" s="363"/>
      <c r="CQ222" s="356" t="n">
        <f aca="false">IFERROR(IF($M222=CP222,($D$8+$D$9+$D$10)*$I222,IF($N222=LEFT(CP222,1),($D$8+MAX(0,IF($D$50=1,$D$9*(1-(ABS($Q222-ABS(VALUE(MID(CP222,FIND("|",CP222)+1,FIND("-",CP222)-FIND("|",CP222)-1))-VALUE(MID(CP222,FIND("-",CP222)+1,10)))))*$D$50),$D$9*(1-(IF($N222="X",ABS($O222-VALUE(MID(CP222,FIND("|",CP222)+1,FIND("-",CP222)-FIND("|",CP222)-1))),ABS($Q222-ABS(VALUE(MID(CP222,FIND("|",CP222)+1,FIND("-",CP222)-FIND("|",CP222)-1))-VALUE(MID(CP222,FIND("-",CP222)+1,10)))))*$D$50)))))*$I222,0)),0)</f>
        <v>0</v>
      </c>
      <c r="CR222" s="404"/>
      <c r="CS222" s="363"/>
      <c r="CT222" s="356" t="n">
        <f aca="false">IFERROR(IF($M222=CS222,($D$8+$D$9+$D$10)*$I222,IF($N222=LEFT(CS222,1),($D$8+MAX(0,IF($D$50=1,$D$9*(1-(ABS($Q222-ABS(VALUE(MID(CS222,FIND("|",CS222)+1,FIND("-",CS222)-FIND("|",CS222)-1))-VALUE(MID(CS222,FIND("-",CS222)+1,10)))))*$D$50),$D$9*(1-(IF($N222="X",ABS($O222-VALUE(MID(CS222,FIND("|",CS222)+1,FIND("-",CS222)-FIND("|",CS222)-1))),ABS($Q222-ABS(VALUE(MID(CS222,FIND("|",CS222)+1,FIND("-",CS222)-FIND("|",CS222)-1))-VALUE(MID(CS222,FIND("-",CS222)+1,10)))))*$D$50)))))*$I222,0)),0)</f>
        <v>0</v>
      </c>
      <c r="CU222" s="404"/>
      <c r="CV222" s="363"/>
      <c r="CW222" s="356" t="n">
        <f aca="false">IFERROR(IF($M222=CV222,($D$8+$D$9+$D$10)*$I222,IF($N222=LEFT(CV222,1),($D$8+MAX(0,IF($D$50=1,$D$9*(1-(ABS($Q222-ABS(VALUE(MID(CV222,FIND("|",CV222)+1,FIND("-",CV222)-FIND("|",CV222)-1))-VALUE(MID(CV222,FIND("-",CV222)+1,10)))))*$D$50),$D$9*(1-(IF($N222="X",ABS($O222-VALUE(MID(CV222,FIND("|",CV222)+1,FIND("-",CV222)-FIND("|",CV222)-1))),ABS($Q222-ABS(VALUE(MID(CV222,FIND("|",CV222)+1,FIND("-",CV222)-FIND("|",CV222)-1))-VALUE(MID(CV222,FIND("-",CV222)+1,10)))))*$D$50)))))*$I222,0)),0)</f>
        <v>0</v>
      </c>
      <c r="CX222" s="404"/>
      <c r="CY222" s="363"/>
      <c r="CZ222" s="356" t="n">
        <f aca="false">IFERROR(IF($M222=CY222,($D$8+$D$9+$D$10)*$I222,IF($N222=LEFT(CY222,1),($D$8+MAX(0,IF($D$50=1,$D$9*(1-(ABS($Q222-ABS(VALUE(MID(CY222,FIND("|",CY222)+1,FIND("-",CY222)-FIND("|",CY222)-1))-VALUE(MID(CY222,FIND("-",CY222)+1,10)))))*$D$50),$D$9*(1-(IF($N222="X",ABS($O222-VALUE(MID(CY222,FIND("|",CY222)+1,FIND("-",CY222)-FIND("|",CY222)-1))),ABS($Q222-ABS(VALUE(MID(CY222,FIND("|",CY222)+1,FIND("-",CY222)-FIND("|",CY222)-1))-VALUE(MID(CY222,FIND("-",CY222)+1,10)))))*$D$50)))))*$I222,0)),0)</f>
        <v>0</v>
      </c>
      <c r="DA222" s="404"/>
      <c r="DB222" s="363"/>
      <c r="DC222" s="356" t="n">
        <f aca="false">IFERROR(IF($M222=DB222,($D$8+$D$9+$D$10)*$I222,IF($N222=LEFT(DB222,1),($D$8+MAX(0,IF($D$50=1,$D$9*(1-(ABS($Q222-ABS(VALUE(MID(DB222,FIND("|",DB222)+1,FIND("-",DB222)-FIND("|",DB222)-1))-VALUE(MID(DB222,FIND("-",DB222)+1,10)))))*$D$50),$D$9*(1-(IF($N222="X",ABS($O222-VALUE(MID(DB222,FIND("|",DB222)+1,FIND("-",DB222)-FIND("|",DB222)-1))),ABS($Q222-ABS(VALUE(MID(DB222,FIND("|",DB222)+1,FIND("-",DB222)-FIND("|",DB222)-1))-VALUE(MID(DB222,FIND("-",DB222)+1,10)))))*$D$50)))))*$I222,0)),0)</f>
        <v>0</v>
      </c>
      <c r="DD222" s="404"/>
      <c r="DE222" s="363"/>
      <c r="DF222" s="356" t="n">
        <f aca="false">IFERROR(IF($M222=DE222,($D$8+$D$9+$D$10)*$I222,IF($N222=LEFT(DE222,1),($D$8+MAX(0,IF($D$50=1,$D$9*(1-(ABS($Q222-ABS(VALUE(MID(DE222,FIND("|",DE222)+1,FIND("-",DE222)-FIND("|",DE222)-1))-VALUE(MID(DE222,FIND("-",DE222)+1,10)))))*$D$50),$D$9*(1-(IF($N222="X",ABS($O222-VALUE(MID(DE222,FIND("|",DE222)+1,FIND("-",DE222)-FIND("|",DE222)-1))),ABS($Q222-ABS(VALUE(MID(DE222,FIND("|",DE222)+1,FIND("-",DE222)-FIND("|",DE222)-1))-VALUE(MID(DE222,FIND("-",DE222)+1,10)))))*$D$50)))))*$I222,0)),0)</f>
        <v>0</v>
      </c>
      <c r="DG222" s="404"/>
      <c r="DH222" s="363"/>
      <c r="DI222" s="356" t="n">
        <f aca="false">IFERROR(IF($M222=DH222,($D$8+$D$9+$D$10)*$I222,IF($N222=LEFT(DH222,1),($D$8+MAX(0,IF($D$50=1,$D$9*(1-(ABS($Q222-ABS(VALUE(MID(DH222,FIND("|",DH222)+1,FIND("-",DH222)-FIND("|",DH222)-1))-VALUE(MID(DH222,FIND("-",DH222)+1,10)))))*$D$50),$D$9*(1-(IF($N222="X",ABS($O222-VALUE(MID(DH222,FIND("|",DH222)+1,FIND("-",DH222)-FIND("|",DH222)-1))),ABS($Q222-ABS(VALUE(MID(DH222,FIND("|",DH222)+1,FIND("-",DH222)-FIND("|",DH222)-1))-VALUE(MID(DH222,FIND("-",DH222)+1,10)))))*$D$50)))))*$I222,0)),0)</f>
        <v>0</v>
      </c>
      <c r="DJ222" s="404"/>
      <c r="DK222" s="363"/>
      <c r="DL222" s="356" t="n">
        <f aca="false">IFERROR(IF($M222=DK222,($D$8+$D$9+$D$10)*$I222,IF($N222=LEFT(DK222,1),($D$8+MAX(0,IF($D$50=1,$D$9*(1-(ABS($Q222-ABS(VALUE(MID(DK222,FIND("|",DK222)+1,FIND("-",DK222)-FIND("|",DK222)-1))-VALUE(MID(DK222,FIND("-",DK222)+1,10)))))*$D$50),$D$9*(1-(IF($N222="X",ABS($O222-VALUE(MID(DK222,FIND("|",DK222)+1,FIND("-",DK222)-FIND("|",DK222)-1))),ABS($Q222-ABS(VALUE(MID(DK222,FIND("|",DK222)+1,FIND("-",DK222)-FIND("|",DK222)-1))-VALUE(MID(DK222,FIND("-",DK222)+1,10)))))*$D$50)))))*$I222,0)),0)</f>
        <v>0</v>
      </c>
      <c r="DM222" s="404"/>
      <c r="DN222" s="363"/>
      <c r="DO222" s="356" t="n">
        <f aca="false">IFERROR(IF($M222=DN222,($D$8+$D$9+$D$10)*$I222,IF($N222=LEFT(DN222,1),($D$8+MAX(0,IF($D$50=1,$D$9*(1-(ABS($Q222-ABS(VALUE(MID(DN222,FIND("|",DN222)+1,FIND("-",DN222)-FIND("|",DN222)-1))-VALUE(MID(DN222,FIND("-",DN222)+1,10)))))*$D$50),$D$9*(1-(IF($N222="X",ABS($O222-VALUE(MID(DN222,FIND("|",DN222)+1,FIND("-",DN222)-FIND("|",DN222)-1))),ABS($Q222-ABS(VALUE(MID(DN222,FIND("|",DN222)+1,FIND("-",DN222)-FIND("|",DN222)-1))-VALUE(MID(DN222,FIND("-",DN222)+1,10)))))*$D$50)))))*$I222,0)),0)</f>
        <v>0</v>
      </c>
      <c r="DP222" s="404"/>
      <c r="DQ222" s="363"/>
      <c r="DR222" s="356" t="n">
        <f aca="false">IFERROR(IF($M222=DQ222,($D$8+$D$9+$D$10)*$I222,IF($N222=LEFT(DQ222,1),($D$8+MAX(0,IF($D$50=1,$D$9*(1-(ABS($Q222-ABS(VALUE(MID(DQ222,FIND("|",DQ222)+1,FIND("-",DQ222)-FIND("|",DQ222)-1))-VALUE(MID(DQ222,FIND("-",DQ222)+1,10)))))*$D$50),$D$9*(1-(IF($N222="X",ABS($O222-VALUE(MID(DQ222,FIND("|",DQ222)+1,FIND("-",DQ222)-FIND("|",DQ222)-1))),ABS($Q222-ABS(VALUE(MID(DQ222,FIND("|",DQ222)+1,FIND("-",DQ222)-FIND("|",DQ222)-1))-VALUE(MID(DQ222,FIND("-",DQ222)+1,10)))))*$D$50)))))*$I222,0)),0)</f>
        <v>0</v>
      </c>
      <c r="DS222" s="404"/>
      <c r="DT222" s="363"/>
      <c r="DU222" s="356" t="n">
        <f aca="false">IFERROR(IF($M222=DT222,($D$8+$D$9+$D$10)*$I222,IF($N222=LEFT(DT222,1),($D$8+MAX(0,IF($D$50=1,$D$9*(1-(ABS($Q222-ABS(VALUE(MID(DT222,FIND("|",DT222)+1,FIND("-",DT222)-FIND("|",DT222)-1))-VALUE(MID(DT222,FIND("-",DT222)+1,10)))))*$D$50),$D$9*(1-(IF($N222="X",ABS($O222-VALUE(MID(DT222,FIND("|",DT222)+1,FIND("-",DT222)-FIND("|",DT222)-1))),ABS($Q222-ABS(VALUE(MID(DT222,FIND("|",DT222)+1,FIND("-",DT222)-FIND("|",DT222)-1))-VALUE(MID(DT222,FIND("-",DT222)+1,10)))))*$D$50)))))*$I222,0)),0)</f>
        <v>0</v>
      </c>
      <c r="DV222" s="404"/>
      <c r="DW222" s="363"/>
      <c r="DX222" s="356" t="n">
        <f aca="false">IFERROR(IF($M222=DW222,($D$8+$D$9+$D$10)*$I222,IF($N222=LEFT(DW222,1),($D$8+MAX(0,IF($D$50=1,$D$9*(1-(ABS($Q222-ABS(VALUE(MID(DW222,FIND("|",DW222)+1,FIND("-",DW222)-FIND("|",DW222)-1))-VALUE(MID(DW222,FIND("-",DW222)+1,10)))))*$D$50),$D$9*(1-(IF($N222="X",ABS($O222-VALUE(MID(DW222,FIND("|",DW222)+1,FIND("-",DW222)-FIND("|",DW222)-1))),ABS($Q222-ABS(VALUE(MID(DW222,FIND("|",DW222)+1,FIND("-",DW222)-FIND("|",DW222)-1))-VALUE(MID(DW222,FIND("-",DW222)+1,10)))))*$D$50)))))*$I222,0)),0)</f>
        <v>0</v>
      </c>
      <c r="DY222" s="404"/>
      <c r="DZ222" s="363"/>
      <c r="EA222" s="356" t="n">
        <f aca="false">IFERROR(IF($M222=DZ222,($D$8+$D$9+$D$10)*$I222,IF($N222=LEFT(DZ222,1),($D$8+MAX(0,IF($D$50=1,$D$9*(1-(ABS($Q222-ABS(VALUE(MID(DZ222,FIND("|",DZ222)+1,FIND("-",DZ222)-FIND("|",DZ222)-1))-VALUE(MID(DZ222,FIND("-",DZ222)+1,10)))))*$D$50),$D$9*(1-(IF($N222="X",ABS($O222-VALUE(MID(DZ222,FIND("|",DZ222)+1,FIND("-",DZ222)-FIND("|",DZ222)-1))),ABS($Q222-ABS(VALUE(MID(DZ222,FIND("|",DZ222)+1,FIND("-",DZ222)-FIND("|",DZ222)-1))-VALUE(MID(DZ222,FIND("-",DZ222)+1,10)))))*$D$50)))))*$I222,0)),0)</f>
        <v>0</v>
      </c>
      <c r="EB222" s="404"/>
      <c r="EC222" s="363"/>
      <c r="ED222" s="356" t="n">
        <f aca="false">IFERROR(IF($M222=EC222,($D$8+$D$9+$D$10)*$I222,IF($N222=LEFT(EC222,1),($D$8+MAX(0,IF($D$50=1,$D$9*(1-(ABS($Q222-ABS(VALUE(MID(EC222,FIND("|",EC222)+1,FIND("-",EC222)-FIND("|",EC222)-1))-VALUE(MID(EC222,FIND("-",EC222)+1,10)))))*$D$50),$D$9*(1-(IF($N222="X",ABS($O222-VALUE(MID(EC222,FIND("|",EC222)+1,FIND("-",EC222)-FIND("|",EC222)-1))),ABS($Q222-ABS(VALUE(MID(EC222,FIND("|",EC222)+1,FIND("-",EC222)-FIND("|",EC222)-1))-VALUE(MID(EC222,FIND("-",EC222)+1,10)))))*$D$50)))))*$I222,0)),0)</f>
        <v>0</v>
      </c>
      <c r="EE222" s="404"/>
      <c r="EF222" s="363"/>
      <c r="EG222" s="356" t="n">
        <f aca="false">IFERROR(IF($M222=EF222,($D$8+$D$9+$D$10)*$I222,IF($N222=LEFT(EF222,1),($D$8+MAX(0,IF($D$50=1,$D$9*(1-(ABS($Q222-ABS(VALUE(MID(EF222,FIND("|",EF222)+1,FIND("-",EF222)-FIND("|",EF222)-1))-VALUE(MID(EF222,FIND("-",EF222)+1,10)))))*$D$50),$D$9*(1-(IF($N222="X",ABS($O222-VALUE(MID(EF222,FIND("|",EF222)+1,FIND("-",EF222)-FIND("|",EF222)-1))),ABS($Q222-ABS(VALUE(MID(EF222,FIND("|",EF222)+1,FIND("-",EF222)-FIND("|",EF222)-1))-VALUE(MID(EF222,FIND("-",EF222)+1,10)))))*$D$50)))))*$I222,0)),0)</f>
        <v>0</v>
      </c>
      <c r="EH222" s="404"/>
      <c r="EI222" s="404"/>
    </row>
    <row r="223" customFormat="false" ht="15" hidden="false" customHeight="false" outlineLevel="0" collapsed="false">
      <c r="A223" s="332" t="n">
        <f aca="false">WORLDCUP!AD134</f>
        <v>0</v>
      </c>
      <c r="B223" s="332" t="n">
        <f aca="false">WORLDCUP!AC134</f>
        <v>0</v>
      </c>
      <c r="C223" s="422" t="str">
        <f aca="false">CONCATENATE(WORLDCUP!AF134,"-",WORLDCUP!AA134)</f>
        <v>W96-W95</v>
      </c>
      <c r="D223" s="422" t="str">
        <f aca="false">IF(WORLDCUP!AC134&gt;WORLDCUP!AD134,2,IF(WORLDCUP!AC134&lt;WORLDCUP!AD134,1,IF(AND(WORLDCUP!AC134=WORLDCUP!AD134,WORLDCUP!AC134&lt;&gt;"",WORLDCUP!AD134&lt;&gt;""),0,"PD")))</f>
        <v>PD</v>
      </c>
      <c r="E223" s="422" t="str">
        <f aca="false">IF(OR(WORLDCUP!AD134="",WORLDCUP!AC134=""),"-",A223&amp;"-"&amp;B223)</f>
        <v>-</v>
      </c>
      <c r="F223" s="423" t="n">
        <f aca="false">SUM($D$24:$D$26)*I223</f>
        <v>17</v>
      </c>
      <c r="G223" s="423" t="n">
        <f aca="false">VLOOKUP(H223,Equipos!$Q$1:$R$25,2,0)</f>
        <v>22</v>
      </c>
      <c r="H223" s="410" t="str">
        <f aca="false">Idiomas!$D$262</f>
        <v>Cuartos de final</v>
      </c>
      <c r="I223" s="425" t="n">
        <v>1</v>
      </c>
      <c r="J223" s="418"/>
      <c r="K223" s="396" t="str">
        <f aca="false">CONCATENATE(WORLDCUP!AA134,"-",WORLDCUP!AF134)</f>
        <v>W95-W96</v>
      </c>
      <c r="L223" s="396" t="str">
        <f aca="false">IF(OR(WORLDCUP!AC134="",WORLDCUP!AD134=""),"PD",IF(WORLDCUP!AC134&gt;WORLDCUP!AD134,1,IF(WORLDCUP!AC134&lt;WORLDCUP!AD134,2,0)))</f>
        <v>PD</v>
      </c>
      <c r="M223" s="359" t="str">
        <f aca="false">IF(OR(WORLDCUP!AC134="",WORLDCUP!AD134=""),"-",N223&amp;"|"&amp;O223&amp;"-"&amp;P223)</f>
        <v>-</v>
      </c>
      <c r="N223" s="332" t="str">
        <f aca="false">IF(OR(WORLDCUP!AC134="",WORLDCUP!AD134=""),"",IF(WORLDCUP!AC134&gt;WORLDCUP!AD134,"1",IF(WORLDCUP!AC134&lt;WORLDCUP!AD134,"2","X")))</f>
        <v/>
      </c>
      <c r="O223" s="332" t="n">
        <f aca="false">WORLDCUP!AC134</f>
        <v>0</v>
      </c>
      <c r="P223" s="332" t="n">
        <f aca="false">WORLDCUP!AD134</f>
        <v>0</v>
      </c>
      <c r="Q223" s="332" t="n">
        <f aca="false">ABS(O223-P223)</f>
        <v>0</v>
      </c>
      <c r="R223" s="404"/>
      <c r="S223" s="398" t="s">
        <v>277</v>
      </c>
      <c r="T223" s="356" t="n">
        <f aca="false">IFERROR(IF($M223=S223,($D$8+$D$9+$D$10)*$I223,IF($N223=LEFT(S223,1),($D$8+MAX(0,IF($D$50=1,$D$9*(1-(ABS($Q223-ABS(VALUE(MID(S223,FIND("|",S223)+1,FIND("-",S223)-FIND("|",S223)-1))-VALUE(MID(S223,FIND("-",S223)+1,10)))))*$D$50),$D$9*(1-(IF($N223="X",ABS($O223-VALUE(MID(S223,FIND("|",S223)+1,FIND("-",S223)-FIND("|",S223)-1))),ABS($Q223-ABS(VALUE(MID(S223,FIND("|",S223)+1,FIND("-",S223)-FIND("|",S223)-1))-VALUE(MID(S223,FIND("-",S223)+1,10)))))*$D$50)))))*$I223,0)),0)</f>
        <v>0</v>
      </c>
      <c r="U223" s="404"/>
      <c r="V223" s="398" t="s">
        <v>266</v>
      </c>
      <c r="W223" s="356" t="n">
        <f aca="false">IFERROR(IF($M223=V223,($D$8+$D$9+$D$10)*$I223,IF($N223=LEFT(V223,1),($D$8+MAX(0,IF($D$50=1,$D$9*(1-(ABS($Q223-ABS(VALUE(MID(V223,FIND("|",V223)+1,FIND("-",V223)-FIND("|",V223)-1))-VALUE(MID(V223,FIND("-",V223)+1,10)))))*$D$50),$D$9*(1-(IF($N223="X",ABS($O223-VALUE(MID(V223,FIND("|",V223)+1,FIND("-",V223)-FIND("|",V223)-1))),ABS($Q223-ABS(VALUE(MID(V223,FIND("|",V223)+1,FIND("-",V223)-FIND("|",V223)-1))-VALUE(MID(V223,FIND("-",V223)+1,10)))))*$D$50)))))*$I223,0)),0)</f>
        <v>0</v>
      </c>
      <c r="X223" s="404"/>
      <c r="Y223" s="398" t="s">
        <v>268</v>
      </c>
      <c r="Z223" s="356" t="n">
        <f aca="false">IFERROR(IF($M223=Y223,($D$8+$D$9+$D$10)*$I223,IF($N223=LEFT(Y223,1),($D$8+MAX(0,IF($D$50=1,$D$9*(1-(ABS($Q223-ABS(VALUE(MID(Y223,FIND("|",Y223)+1,FIND("-",Y223)-FIND("|",Y223)-1))-VALUE(MID(Y223,FIND("-",Y223)+1,10)))))*$D$50),$D$9*(1-(IF($N223="X",ABS($O223-VALUE(MID(Y223,FIND("|",Y223)+1,FIND("-",Y223)-FIND("|",Y223)-1))),ABS($Q223-ABS(VALUE(MID(Y223,FIND("|",Y223)+1,FIND("-",Y223)-FIND("|",Y223)-1))-VALUE(MID(Y223,FIND("-",Y223)+1,10)))))*$D$50)))))*$I223,0)),0)</f>
        <v>0</v>
      </c>
      <c r="AA223" s="404"/>
      <c r="AB223" s="398" t="s">
        <v>265</v>
      </c>
      <c r="AC223" s="356" t="n">
        <f aca="false">IFERROR(IF($M223=AB223,($D$8+$D$9+$D$10)*$I223,IF($N223=LEFT(AB223,1),($D$8+MAX(0,IF($D$50=1,$D$9*(1-(ABS($Q223-ABS(VALUE(MID(AB223,FIND("|",AB223)+1,FIND("-",AB223)-FIND("|",AB223)-1))-VALUE(MID(AB223,FIND("-",AB223)+1,10)))))*$D$50),$D$9*(1-(IF($N223="X",ABS($O223-VALUE(MID(AB223,FIND("|",AB223)+1,FIND("-",AB223)-FIND("|",AB223)-1))),ABS($Q223-ABS(VALUE(MID(AB223,FIND("|",AB223)+1,FIND("-",AB223)-FIND("|",AB223)-1))-VALUE(MID(AB223,FIND("-",AB223)+1,10)))))*$D$50)))))*$I223,0)),0)</f>
        <v>0</v>
      </c>
      <c r="AD223" s="404"/>
      <c r="AE223" s="398" t="s">
        <v>265</v>
      </c>
      <c r="AF223" s="356" t="n">
        <f aca="false">IFERROR(IF($M223=AE223,($D$8+$D$9+$D$10)*$I223,IF($N223=LEFT(AE223,1),($D$8+MAX(0,IF($D$50=1,$D$9*(1-(ABS($Q223-ABS(VALUE(MID(AE223,FIND("|",AE223)+1,FIND("-",AE223)-FIND("|",AE223)-1))-VALUE(MID(AE223,FIND("-",AE223)+1,10)))))*$D$50),$D$9*(1-(IF($N223="X",ABS($O223-VALUE(MID(AE223,FIND("|",AE223)+1,FIND("-",AE223)-FIND("|",AE223)-1))),ABS($Q223-ABS(VALUE(MID(AE223,FIND("|",AE223)+1,FIND("-",AE223)-FIND("|",AE223)-1))-VALUE(MID(AE223,FIND("-",AE223)+1,10)))))*$D$50)))))*$I223,0)),0)</f>
        <v>0</v>
      </c>
      <c r="AG223" s="404"/>
      <c r="AH223" s="398" t="s">
        <v>268</v>
      </c>
      <c r="AI223" s="356" t="n">
        <f aca="false">IFERROR(IF($M223=AH223,($D$8+$D$9+$D$10)*$I223,IF($N223=LEFT(AH223,1),($D$8+MAX(0,IF($D$50=1,$D$9*(1-(ABS($Q223-ABS(VALUE(MID(AH223,FIND("|",AH223)+1,FIND("-",AH223)-FIND("|",AH223)-1))-VALUE(MID(AH223,FIND("-",AH223)+1,10)))))*$D$50),$D$9*(1-(IF($N223="X",ABS($O223-VALUE(MID(AH223,FIND("|",AH223)+1,FIND("-",AH223)-FIND("|",AH223)-1))),ABS($Q223-ABS(VALUE(MID(AH223,FIND("|",AH223)+1,FIND("-",AH223)-FIND("|",AH223)-1))-VALUE(MID(AH223,FIND("-",AH223)+1,10)))))*$D$50)))))*$I223,0)),0)</f>
        <v>0</v>
      </c>
      <c r="AJ223" s="404"/>
      <c r="AK223" s="398" t="s">
        <v>264</v>
      </c>
      <c r="AL223" s="356" t="n">
        <f aca="false">IFERROR(IF($M223=AK223,($D$8+$D$9+$D$10)*$I223,IF($N223=LEFT(AK223,1),($D$8+MAX(0,IF($D$50=1,$D$9*(1-(ABS($Q223-ABS(VALUE(MID(AK223,FIND("|",AK223)+1,FIND("-",AK223)-FIND("|",AK223)-1))-VALUE(MID(AK223,FIND("-",AK223)+1,10)))))*$D$50),$D$9*(1-(IF($N223="X",ABS($O223-VALUE(MID(AK223,FIND("|",AK223)+1,FIND("-",AK223)-FIND("|",AK223)-1))),ABS($Q223-ABS(VALUE(MID(AK223,FIND("|",AK223)+1,FIND("-",AK223)-FIND("|",AK223)-1))-VALUE(MID(AK223,FIND("-",AK223)+1,10)))))*$D$50)))))*$I223,0)),0)</f>
        <v>0</v>
      </c>
      <c r="AM223" s="404"/>
      <c r="AN223" s="398" t="s">
        <v>267</v>
      </c>
      <c r="AO223" s="356" t="n">
        <f aca="false">IFERROR(IF($M223=AN223,($D$8+$D$9+$D$10)*$I223,IF($N223=LEFT(AN223,1),($D$8+MAX(0,IF($D$50=1,$D$9*(1-(ABS($Q223-ABS(VALUE(MID(AN223,FIND("|",AN223)+1,FIND("-",AN223)-FIND("|",AN223)-1))-VALUE(MID(AN223,FIND("-",AN223)+1,10)))))*$D$50),$D$9*(1-(IF($N223="X",ABS($O223-VALUE(MID(AN223,FIND("|",AN223)+1,FIND("-",AN223)-FIND("|",AN223)-1))),ABS($Q223-ABS(VALUE(MID(AN223,FIND("|",AN223)+1,FIND("-",AN223)-FIND("|",AN223)-1))-VALUE(MID(AN223,FIND("-",AN223)+1,10)))))*$D$50)))))*$I223,0)),0)</f>
        <v>0</v>
      </c>
      <c r="AP223" s="404"/>
      <c r="AQ223" s="398" t="s">
        <v>274</v>
      </c>
      <c r="AR223" s="356" t="n">
        <f aca="false">IFERROR(IF($M223=AQ223,($D$8+$D$9+$D$10)*$I223,IF($N223=LEFT(AQ223,1),($D$8+MAX(0,IF($D$50=1,$D$9*(1-(ABS($Q223-ABS(VALUE(MID(AQ223,FIND("|",AQ223)+1,FIND("-",AQ223)-FIND("|",AQ223)-1))-VALUE(MID(AQ223,FIND("-",AQ223)+1,10)))))*$D$50),$D$9*(1-(IF($N223="X",ABS($O223-VALUE(MID(AQ223,FIND("|",AQ223)+1,FIND("-",AQ223)-FIND("|",AQ223)-1))),ABS($Q223-ABS(VALUE(MID(AQ223,FIND("|",AQ223)+1,FIND("-",AQ223)-FIND("|",AQ223)-1))-VALUE(MID(AQ223,FIND("-",AQ223)+1,10)))))*$D$50)))))*$I223,0)),0)</f>
        <v>0</v>
      </c>
      <c r="AS223" s="404"/>
      <c r="AT223" s="398" t="s">
        <v>267</v>
      </c>
      <c r="AU223" s="356" t="n">
        <f aca="false">IFERROR(IF($M223=AT223,($D$8+$D$9+$D$10)*$I223,IF($N223=LEFT(AT223,1),($D$8+MAX(0,IF($D$50=1,$D$9*(1-(ABS($Q223-ABS(VALUE(MID(AT223,FIND("|",AT223)+1,FIND("-",AT223)-FIND("|",AT223)-1))-VALUE(MID(AT223,FIND("-",AT223)+1,10)))))*$D$50),$D$9*(1-(IF($N223="X",ABS($O223-VALUE(MID(AT223,FIND("|",AT223)+1,FIND("-",AT223)-FIND("|",AT223)-1))),ABS($Q223-ABS(VALUE(MID(AT223,FIND("|",AT223)+1,FIND("-",AT223)-FIND("|",AT223)-1))-VALUE(MID(AT223,FIND("-",AT223)+1,10)))))*$D$50)))))*$I223,0)),0)</f>
        <v>0</v>
      </c>
      <c r="AV223" s="404"/>
      <c r="AW223" s="398" t="s">
        <v>271</v>
      </c>
      <c r="AX223" s="356" t="n">
        <f aca="false">IFERROR(IF($M223=AW223,($D$8+$D$9+$D$10)*$I223,IF($N223=LEFT(AW223,1),($D$8+MAX(0,IF($D$50=1,$D$9*(1-(ABS($Q223-ABS(VALUE(MID(AW223,FIND("|",AW223)+1,FIND("-",AW223)-FIND("|",AW223)-1))-VALUE(MID(AW223,FIND("-",AW223)+1,10)))))*$D$50),$D$9*(1-(IF($N223="X",ABS($O223-VALUE(MID(AW223,FIND("|",AW223)+1,FIND("-",AW223)-FIND("|",AW223)-1))),ABS($Q223-ABS(VALUE(MID(AW223,FIND("|",AW223)+1,FIND("-",AW223)-FIND("|",AW223)-1))-VALUE(MID(AW223,FIND("-",AW223)+1,10)))))*$D$50)))))*$I223,0)),0)</f>
        <v>0</v>
      </c>
      <c r="AY223" s="404"/>
      <c r="AZ223" s="398" t="s">
        <v>268</v>
      </c>
      <c r="BA223" s="356" t="n">
        <f aca="false">IFERROR(IF($M223=AZ223,($D$8+$D$9+$D$10)*$I223,IF($N223=LEFT(AZ223,1),($D$8+MAX(0,IF($D$50=1,$D$9*(1-(ABS($Q223-ABS(VALUE(MID(AZ223,FIND("|",AZ223)+1,FIND("-",AZ223)-FIND("|",AZ223)-1))-VALUE(MID(AZ223,FIND("-",AZ223)+1,10)))))*$D$50),$D$9*(1-(IF($N223="X",ABS($O223-VALUE(MID(AZ223,FIND("|",AZ223)+1,FIND("-",AZ223)-FIND("|",AZ223)-1))),ABS($Q223-ABS(VALUE(MID(AZ223,FIND("|",AZ223)+1,FIND("-",AZ223)-FIND("|",AZ223)-1))-VALUE(MID(AZ223,FIND("-",AZ223)+1,10)))))*$D$50)))))*$I223,0)),0)</f>
        <v>0</v>
      </c>
      <c r="BB223" s="404"/>
      <c r="BC223" s="398" t="s">
        <v>268</v>
      </c>
      <c r="BD223" s="356" t="n">
        <f aca="false">IFERROR(IF($M223=BC223,($D$8+$D$9+$D$10)*$I223,IF($N223=LEFT(BC223,1),($D$8+MAX(0,IF($D$50=1,$D$9*(1-(ABS($Q223-ABS(VALUE(MID(BC223,FIND("|",BC223)+1,FIND("-",BC223)-FIND("|",BC223)-1))-VALUE(MID(BC223,FIND("-",BC223)+1,10)))))*$D$50),$D$9*(1-(IF($N223="X",ABS($O223-VALUE(MID(BC223,FIND("|",BC223)+1,FIND("-",BC223)-FIND("|",BC223)-1))),ABS($Q223-ABS(VALUE(MID(BC223,FIND("|",BC223)+1,FIND("-",BC223)-FIND("|",BC223)-1))-VALUE(MID(BC223,FIND("-",BC223)+1,10)))))*$D$50)))))*$I223,0)),0)</f>
        <v>0</v>
      </c>
      <c r="BE223" s="404"/>
      <c r="BF223" s="398" t="s">
        <v>318</v>
      </c>
      <c r="BG223" s="356" t="n">
        <f aca="false">IFERROR(IF($M223=BF223,($D$8+$D$9+$D$10)*$I223,IF($N223=LEFT(BF223,1),($D$8+MAX(0,IF($D$50=1,$D$9*(1-(ABS($Q223-ABS(VALUE(MID(BF223,FIND("|",BF223)+1,FIND("-",BF223)-FIND("|",BF223)-1))-VALUE(MID(BF223,FIND("-",BF223)+1,10)))))*$D$50),$D$9*(1-(IF($N223="X",ABS($O223-VALUE(MID(BF223,FIND("|",BF223)+1,FIND("-",BF223)-FIND("|",BF223)-1))),ABS($Q223-ABS(VALUE(MID(BF223,FIND("|",BF223)+1,FIND("-",BF223)-FIND("|",BF223)-1))-VALUE(MID(BF223,FIND("-",BF223)+1,10)))))*$D$50)))))*$I223,0)),0)</f>
        <v>0</v>
      </c>
      <c r="BH223" s="404"/>
      <c r="BI223" s="398" t="s">
        <v>267</v>
      </c>
      <c r="BJ223" s="356" t="n">
        <f aca="false">IFERROR(IF($M223=BI223,($D$8+$D$9+$D$10)*$I223,IF($N223=LEFT(BI223,1),($D$8+MAX(0,IF($D$50=1,$D$9*(1-(ABS($Q223-ABS(VALUE(MID(BI223,FIND("|",BI223)+1,FIND("-",BI223)-FIND("|",BI223)-1))-VALUE(MID(BI223,FIND("-",BI223)+1,10)))))*$D$50),$D$9*(1-(IF($N223="X",ABS($O223-VALUE(MID(BI223,FIND("|",BI223)+1,FIND("-",BI223)-FIND("|",BI223)-1))),ABS($Q223-ABS(VALUE(MID(BI223,FIND("|",BI223)+1,FIND("-",BI223)-FIND("|",BI223)-1))-VALUE(MID(BI223,FIND("-",BI223)+1,10)))))*$D$50)))))*$I223,0)),0)</f>
        <v>0</v>
      </c>
      <c r="BK223" s="404"/>
      <c r="BL223" s="398" t="s">
        <v>269</v>
      </c>
      <c r="BM223" s="356" t="n">
        <f aca="false">IFERROR(IF($M223=BL223,($D$8+$D$9+$D$10)*$I223,IF($N223=LEFT(BL223,1),($D$8+MAX(0,IF($D$50=1,$D$9*(1-(ABS($Q223-ABS(VALUE(MID(BL223,FIND("|",BL223)+1,FIND("-",BL223)-FIND("|",BL223)-1))-VALUE(MID(BL223,FIND("-",BL223)+1,10)))))*$D$50),$D$9*(1-(IF($N223="X",ABS($O223-VALUE(MID(BL223,FIND("|",BL223)+1,FIND("-",BL223)-FIND("|",BL223)-1))),ABS($Q223-ABS(VALUE(MID(BL223,FIND("|",BL223)+1,FIND("-",BL223)-FIND("|",BL223)-1))-VALUE(MID(BL223,FIND("-",BL223)+1,10)))))*$D$50)))))*$I223,0)),0)</f>
        <v>0</v>
      </c>
      <c r="BN223" s="404"/>
      <c r="BO223" s="398" t="s">
        <v>264</v>
      </c>
      <c r="BP223" s="356" t="n">
        <f aca="false">IFERROR(IF($M223=BO223,($D$8+$D$9+$D$10)*$I223,IF($N223=LEFT(BO223,1),($D$8+MAX(0,IF($D$50=1,$D$9*(1-(ABS($Q223-ABS(VALUE(MID(BO223,FIND("|",BO223)+1,FIND("-",BO223)-FIND("|",BO223)-1))-VALUE(MID(BO223,FIND("-",BO223)+1,10)))))*$D$50),$D$9*(1-(IF($N223="X",ABS($O223-VALUE(MID(BO223,FIND("|",BO223)+1,FIND("-",BO223)-FIND("|",BO223)-1))),ABS($Q223-ABS(VALUE(MID(BO223,FIND("|",BO223)+1,FIND("-",BO223)-FIND("|",BO223)-1))-VALUE(MID(BO223,FIND("-",BO223)+1,10)))))*$D$50)))))*$I223,0)),0)</f>
        <v>0</v>
      </c>
      <c r="BQ223" s="404"/>
      <c r="BR223" s="398" t="s">
        <v>264</v>
      </c>
      <c r="BS223" s="356" t="n">
        <f aca="false">IFERROR(IF($M223=BR223,($D$8+$D$9+$D$10)*$I223,IF($N223=LEFT(BR223,1),($D$8+MAX(0,IF($D$50=1,$D$9*(1-(ABS($Q223-ABS(VALUE(MID(BR223,FIND("|",BR223)+1,FIND("-",BR223)-FIND("|",BR223)-1))-VALUE(MID(BR223,FIND("-",BR223)+1,10)))))*$D$50),$D$9*(1-(IF($N223="X",ABS($O223-VALUE(MID(BR223,FIND("|",BR223)+1,FIND("-",BR223)-FIND("|",BR223)-1))),ABS($Q223-ABS(VALUE(MID(BR223,FIND("|",BR223)+1,FIND("-",BR223)-FIND("|",BR223)-1))-VALUE(MID(BR223,FIND("-",BR223)+1,10)))))*$D$50)))))*$I223,0)),0)</f>
        <v>0</v>
      </c>
      <c r="BT223" s="404"/>
      <c r="BU223" s="398"/>
      <c r="BV223" s="356" t="n">
        <f aca="false">IFERROR(IF($M223=BU223,($D$8+$D$9+$D$10)*$I223,IF($N223=LEFT(BU223,1),($D$8+MAX(0,IF($D$50=1,$D$9*(1-(ABS($Q223-ABS(VALUE(MID(BU223,FIND("|",BU223)+1,FIND("-",BU223)-FIND("|",BU223)-1))-VALUE(MID(BU223,FIND("-",BU223)+1,10)))))*$D$50),$D$9*(1-(IF($N223="X",ABS($O223-VALUE(MID(BU223,FIND("|",BU223)+1,FIND("-",BU223)-FIND("|",BU223)-1))),ABS($Q223-ABS(VALUE(MID(BU223,FIND("|",BU223)+1,FIND("-",BU223)-FIND("|",BU223)-1))-VALUE(MID(BU223,FIND("-",BU223)+1,10)))))*$D$50)))))*$I223,0)),0)</f>
        <v>0</v>
      </c>
      <c r="BW223" s="404"/>
      <c r="BX223" s="398"/>
      <c r="BY223" s="356" t="n">
        <f aca="false">IFERROR(IF($M223=BX223,($D$8+$D$9+$D$10)*$I223,IF($N223=LEFT(BX223,1),($D$8+MAX(0,IF($D$50=1,$D$9*(1-(ABS($Q223-ABS(VALUE(MID(BX223,FIND("|",BX223)+1,FIND("-",BX223)-FIND("|",BX223)-1))-VALUE(MID(BX223,FIND("-",BX223)+1,10)))))*$D$50),$D$9*(1-(IF($N223="X",ABS($O223-VALUE(MID(BX223,FIND("|",BX223)+1,FIND("-",BX223)-FIND("|",BX223)-1))),ABS($Q223-ABS(VALUE(MID(BX223,FIND("|",BX223)+1,FIND("-",BX223)-FIND("|",BX223)-1))-VALUE(MID(BX223,FIND("-",BX223)+1,10)))))*$D$50)))))*$I223,0)),0)</f>
        <v>0</v>
      </c>
      <c r="BZ223" s="404"/>
      <c r="CA223" s="398"/>
      <c r="CB223" s="356" t="n">
        <f aca="false">IFERROR(IF($M223=CA223,($D$8+$D$9+$D$10)*$I223,IF($N223=LEFT(CA223,1),($D$8+MAX(0,IF($D$50=1,$D$9*(1-(ABS($Q223-ABS(VALUE(MID(CA223,FIND("|",CA223)+1,FIND("-",CA223)-FIND("|",CA223)-1))-VALUE(MID(CA223,FIND("-",CA223)+1,10)))))*$D$50),$D$9*(1-(IF($N223="X",ABS($O223-VALUE(MID(CA223,FIND("|",CA223)+1,FIND("-",CA223)-FIND("|",CA223)-1))),ABS($Q223-ABS(VALUE(MID(CA223,FIND("|",CA223)+1,FIND("-",CA223)-FIND("|",CA223)-1))-VALUE(MID(CA223,FIND("-",CA223)+1,10)))))*$D$50)))))*$I223,0)),0)</f>
        <v>0</v>
      </c>
      <c r="CC223" s="404"/>
      <c r="CD223" s="398"/>
      <c r="CE223" s="356" t="n">
        <f aca="false">IFERROR(IF($M223=CD223,($D$8+$D$9+$D$10)*$I223,IF($N223=LEFT(CD223,1),($D$8+MAX(0,IF($D$50=1,$D$9*(1-(ABS($Q223-ABS(VALUE(MID(CD223,FIND("|",CD223)+1,FIND("-",CD223)-FIND("|",CD223)-1))-VALUE(MID(CD223,FIND("-",CD223)+1,10)))))*$D$50),$D$9*(1-(IF($N223="X",ABS($O223-VALUE(MID(CD223,FIND("|",CD223)+1,FIND("-",CD223)-FIND("|",CD223)-1))),ABS($Q223-ABS(VALUE(MID(CD223,FIND("|",CD223)+1,FIND("-",CD223)-FIND("|",CD223)-1))-VALUE(MID(CD223,FIND("-",CD223)+1,10)))))*$D$50)))))*$I223,0)),0)</f>
        <v>0</v>
      </c>
      <c r="CF223" s="404"/>
      <c r="CG223" s="398"/>
      <c r="CH223" s="356" t="n">
        <f aca="false">IFERROR(IF($M223=CG223,($D$8+$D$9+$D$10)*$I223,IF($N223=LEFT(CG223,1),($D$8+MAX(0,IF($D$50=1,$D$9*(1-(ABS($Q223-ABS(VALUE(MID(CG223,FIND("|",CG223)+1,FIND("-",CG223)-FIND("|",CG223)-1))-VALUE(MID(CG223,FIND("-",CG223)+1,10)))))*$D$50),$D$9*(1-(IF($N223="X",ABS($O223-VALUE(MID(CG223,FIND("|",CG223)+1,FIND("-",CG223)-FIND("|",CG223)-1))),ABS($Q223-ABS(VALUE(MID(CG223,FIND("|",CG223)+1,FIND("-",CG223)-FIND("|",CG223)-1))-VALUE(MID(CG223,FIND("-",CG223)+1,10)))))*$D$50)))))*$I223,0)),0)</f>
        <v>0</v>
      </c>
      <c r="CI223" s="404"/>
      <c r="CJ223" s="398"/>
      <c r="CK223" s="356" t="n">
        <f aca="false">IFERROR(IF($M223=CJ223,($D$8+$D$9+$D$10)*$I223,IF($N223=LEFT(CJ223,1),($D$8+MAX(0,IF($D$50=1,$D$9*(1-(ABS($Q223-ABS(VALUE(MID(CJ223,FIND("|",CJ223)+1,FIND("-",CJ223)-FIND("|",CJ223)-1))-VALUE(MID(CJ223,FIND("-",CJ223)+1,10)))))*$D$50),$D$9*(1-(IF($N223="X",ABS($O223-VALUE(MID(CJ223,FIND("|",CJ223)+1,FIND("-",CJ223)-FIND("|",CJ223)-1))),ABS($Q223-ABS(VALUE(MID(CJ223,FIND("|",CJ223)+1,FIND("-",CJ223)-FIND("|",CJ223)-1))-VALUE(MID(CJ223,FIND("-",CJ223)+1,10)))))*$D$50)))))*$I223,0)),0)</f>
        <v>0</v>
      </c>
      <c r="CL223" s="404"/>
      <c r="CM223" s="398"/>
      <c r="CN223" s="356" t="n">
        <f aca="false">IFERROR(IF($M223=CM223,($D$8+$D$9+$D$10)*$I223,IF($N223=LEFT(CM223,1),($D$8+MAX(0,IF($D$50=1,$D$9*(1-(ABS($Q223-ABS(VALUE(MID(CM223,FIND("|",CM223)+1,FIND("-",CM223)-FIND("|",CM223)-1))-VALUE(MID(CM223,FIND("-",CM223)+1,10)))))*$D$50),$D$9*(1-(IF($N223="X",ABS($O223-VALUE(MID(CM223,FIND("|",CM223)+1,FIND("-",CM223)-FIND("|",CM223)-1))),ABS($Q223-ABS(VALUE(MID(CM223,FIND("|",CM223)+1,FIND("-",CM223)-FIND("|",CM223)-1))-VALUE(MID(CM223,FIND("-",CM223)+1,10)))))*$D$50)))))*$I223,0)),0)</f>
        <v>0</v>
      </c>
      <c r="CO223" s="404"/>
      <c r="CP223" s="398"/>
      <c r="CQ223" s="356" t="n">
        <f aca="false">IFERROR(IF($M223=CP223,($D$8+$D$9+$D$10)*$I223,IF($N223=LEFT(CP223,1),($D$8+MAX(0,IF($D$50=1,$D$9*(1-(ABS($Q223-ABS(VALUE(MID(CP223,FIND("|",CP223)+1,FIND("-",CP223)-FIND("|",CP223)-1))-VALUE(MID(CP223,FIND("-",CP223)+1,10)))))*$D$50),$D$9*(1-(IF($N223="X",ABS($O223-VALUE(MID(CP223,FIND("|",CP223)+1,FIND("-",CP223)-FIND("|",CP223)-1))),ABS($Q223-ABS(VALUE(MID(CP223,FIND("|",CP223)+1,FIND("-",CP223)-FIND("|",CP223)-1))-VALUE(MID(CP223,FIND("-",CP223)+1,10)))))*$D$50)))))*$I223,0)),0)</f>
        <v>0</v>
      </c>
      <c r="CR223" s="404"/>
      <c r="CS223" s="398"/>
      <c r="CT223" s="356" t="n">
        <f aca="false">IFERROR(IF($M223=CS223,($D$8+$D$9+$D$10)*$I223,IF($N223=LEFT(CS223,1),($D$8+MAX(0,IF($D$50=1,$D$9*(1-(ABS($Q223-ABS(VALUE(MID(CS223,FIND("|",CS223)+1,FIND("-",CS223)-FIND("|",CS223)-1))-VALUE(MID(CS223,FIND("-",CS223)+1,10)))))*$D$50),$D$9*(1-(IF($N223="X",ABS($O223-VALUE(MID(CS223,FIND("|",CS223)+1,FIND("-",CS223)-FIND("|",CS223)-1))),ABS($Q223-ABS(VALUE(MID(CS223,FIND("|",CS223)+1,FIND("-",CS223)-FIND("|",CS223)-1))-VALUE(MID(CS223,FIND("-",CS223)+1,10)))))*$D$50)))))*$I223,0)),0)</f>
        <v>0</v>
      </c>
      <c r="CU223" s="404"/>
      <c r="CV223" s="398"/>
      <c r="CW223" s="356" t="n">
        <f aca="false">IFERROR(IF($M223=CV223,($D$8+$D$9+$D$10)*$I223,IF($N223=LEFT(CV223,1),($D$8+MAX(0,IF($D$50=1,$D$9*(1-(ABS($Q223-ABS(VALUE(MID(CV223,FIND("|",CV223)+1,FIND("-",CV223)-FIND("|",CV223)-1))-VALUE(MID(CV223,FIND("-",CV223)+1,10)))))*$D$50),$D$9*(1-(IF($N223="X",ABS($O223-VALUE(MID(CV223,FIND("|",CV223)+1,FIND("-",CV223)-FIND("|",CV223)-1))),ABS($Q223-ABS(VALUE(MID(CV223,FIND("|",CV223)+1,FIND("-",CV223)-FIND("|",CV223)-1))-VALUE(MID(CV223,FIND("-",CV223)+1,10)))))*$D$50)))))*$I223,0)),0)</f>
        <v>0</v>
      </c>
      <c r="CX223" s="404"/>
      <c r="CY223" s="398"/>
      <c r="CZ223" s="356" t="n">
        <f aca="false">IFERROR(IF($M223=CY223,($D$8+$D$9+$D$10)*$I223,IF($N223=LEFT(CY223,1),($D$8+MAX(0,IF($D$50=1,$D$9*(1-(ABS($Q223-ABS(VALUE(MID(CY223,FIND("|",CY223)+1,FIND("-",CY223)-FIND("|",CY223)-1))-VALUE(MID(CY223,FIND("-",CY223)+1,10)))))*$D$50),$D$9*(1-(IF($N223="X",ABS($O223-VALUE(MID(CY223,FIND("|",CY223)+1,FIND("-",CY223)-FIND("|",CY223)-1))),ABS($Q223-ABS(VALUE(MID(CY223,FIND("|",CY223)+1,FIND("-",CY223)-FIND("|",CY223)-1))-VALUE(MID(CY223,FIND("-",CY223)+1,10)))))*$D$50)))))*$I223,0)),0)</f>
        <v>0</v>
      </c>
      <c r="DA223" s="404"/>
      <c r="DB223" s="398"/>
      <c r="DC223" s="356" t="n">
        <f aca="false">IFERROR(IF($M223=DB223,($D$8+$D$9+$D$10)*$I223,IF($N223=LEFT(DB223,1),($D$8+MAX(0,IF($D$50=1,$D$9*(1-(ABS($Q223-ABS(VALUE(MID(DB223,FIND("|",DB223)+1,FIND("-",DB223)-FIND("|",DB223)-1))-VALUE(MID(DB223,FIND("-",DB223)+1,10)))))*$D$50),$D$9*(1-(IF($N223="X",ABS($O223-VALUE(MID(DB223,FIND("|",DB223)+1,FIND("-",DB223)-FIND("|",DB223)-1))),ABS($Q223-ABS(VALUE(MID(DB223,FIND("|",DB223)+1,FIND("-",DB223)-FIND("|",DB223)-1))-VALUE(MID(DB223,FIND("-",DB223)+1,10)))))*$D$50)))))*$I223,0)),0)</f>
        <v>0</v>
      </c>
      <c r="DD223" s="404"/>
      <c r="DE223" s="398"/>
      <c r="DF223" s="356" t="n">
        <f aca="false">IFERROR(IF($M223=DE223,($D$8+$D$9+$D$10)*$I223,IF($N223=LEFT(DE223,1),($D$8+MAX(0,IF($D$50=1,$D$9*(1-(ABS($Q223-ABS(VALUE(MID(DE223,FIND("|",DE223)+1,FIND("-",DE223)-FIND("|",DE223)-1))-VALUE(MID(DE223,FIND("-",DE223)+1,10)))))*$D$50),$D$9*(1-(IF($N223="X",ABS($O223-VALUE(MID(DE223,FIND("|",DE223)+1,FIND("-",DE223)-FIND("|",DE223)-1))),ABS($Q223-ABS(VALUE(MID(DE223,FIND("|",DE223)+1,FIND("-",DE223)-FIND("|",DE223)-1))-VALUE(MID(DE223,FIND("-",DE223)+1,10)))))*$D$50)))))*$I223,0)),0)</f>
        <v>0</v>
      </c>
      <c r="DG223" s="404"/>
      <c r="DH223" s="398"/>
      <c r="DI223" s="356" t="n">
        <f aca="false">IFERROR(IF($M223=DH223,($D$8+$D$9+$D$10)*$I223,IF($N223=LEFT(DH223,1),($D$8+MAX(0,IF($D$50=1,$D$9*(1-(ABS($Q223-ABS(VALUE(MID(DH223,FIND("|",DH223)+1,FIND("-",DH223)-FIND("|",DH223)-1))-VALUE(MID(DH223,FIND("-",DH223)+1,10)))))*$D$50),$D$9*(1-(IF($N223="X",ABS($O223-VALUE(MID(DH223,FIND("|",DH223)+1,FIND("-",DH223)-FIND("|",DH223)-1))),ABS($Q223-ABS(VALUE(MID(DH223,FIND("|",DH223)+1,FIND("-",DH223)-FIND("|",DH223)-1))-VALUE(MID(DH223,FIND("-",DH223)+1,10)))))*$D$50)))))*$I223,0)),0)</f>
        <v>0</v>
      </c>
      <c r="DJ223" s="404"/>
      <c r="DK223" s="398"/>
      <c r="DL223" s="356" t="n">
        <f aca="false">IFERROR(IF($M223=DK223,($D$8+$D$9+$D$10)*$I223,IF($N223=LEFT(DK223,1),($D$8+MAX(0,IF($D$50=1,$D$9*(1-(ABS($Q223-ABS(VALUE(MID(DK223,FIND("|",DK223)+1,FIND("-",DK223)-FIND("|",DK223)-1))-VALUE(MID(DK223,FIND("-",DK223)+1,10)))))*$D$50),$D$9*(1-(IF($N223="X",ABS($O223-VALUE(MID(DK223,FIND("|",DK223)+1,FIND("-",DK223)-FIND("|",DK223)-1))),ABS($Q223-ABS(VALUE(MID(DK223,FIND("|",DK223)+1,FIND("-",DK223)-FIND("|",DK223)-1))-VALUE(MID(DK223,FIND("-",DK223)+1,10)))))*$D$50)))))*$I223,0)),0)</f>
        <v>0</v>
      </c>
      <c r="DM223" s="404"/>
      <c r="DN223" s="398"/>
      <c r="DO223" s="356" t="n">
        <f aca="false">IFERROR(IF($M223=DN223,($D$8+$D$9+$D$10)*$I223,IF($N223=LEFT(DN223,1),($D$8+MAX(0,IF($D$50=1,$D$9*(1-(ABS($Q223-ABS(VALUE(MID(DN223,FIND("|",DN223)+1,FIND("-",DN223)-FIND("|",DN223)-1))-VALUE(MID(DN223,FIND("-",DN223)+1,10)))))*$D$50),$D$9*(1-(IF($N223="X",ABS($O223-VALUE(MID(DN223,FIND("|",DN223)+1,FIND("-",DN223)-FIND("|",DN223)-1))),ABS($Q223-ABS(VALUE(MID(DN223,FIND("|",DN223)+1,FIND("-",DN223)-FIND("|",DN223)-1))-VALUE(MID(DN223,FIND("-",DN223)+1,10)))))*$D$50)))))*$I223,0)),0)</f>
        <v>0</v>
      </c>
      <c r="DP223" s="404"/>
      <c r="DQ223" s="398"/>
      <c r="DR223" s="356" t="n">
        <f aca="false">IFERROR(IF($M223=DQ223,($D$8+$D$9+$D$10)*$I223,IF($N223=LEFT(DQ223,1),($D$8+MAX(0,IF($D$50=1,$D$9*(1-(ABS($Q223-ABS(VALUE(MID(DQ223,FIND("|",DQ223)+1,FIND("-",DQ223)-FIND("|",DQ223)-1))-VALUE(MID(DQ223,FIND("-",DQ223)+1,10)))))*$D$50),$D$9*(1-(IF($N223="X",ABS($O223-VALUE(MID(DQ223,FIND("|",DQ223)+1,FIND("-",DQ223)-FIND("|",DQ223)-1))),ABS($Q223-ABS(VALUE(MID(DQ223,FIND("|",DQ223)+1,FIND("-",DQ223)-FIND("|",DQ223)-1))-VALUE(MID(DQ223,FIND("-",DQ223)+1,10)))))*$D$50)))))*$I223,0)),0)</f>
        <v>0</v>
      </c>
      <c r="DS223" s="404"/>
      <c r="DT223" s="398"/>
      <c r="DU223" s="356" t="n">
        <f aca="false">IFERROR(IF($M223=DT223,($D$8+$D$9+$D$10)*$I223,IF($N223=LEFT(DT223,1),($D$8+MAX(0,IF($D$50=1,$D$9*(1-(ABS($Q223-ABS(VALUE(MID(DT223,FIND("|",DT223)+1,FIND("-",DT223)-FIND("|",DT223)-1))-VALUE(MID(DT223,FIND("-",DT223)+1,10)))))*$D$50),$D$9*(1-(IF($N223="X",ABS($O223-VALUE(MID(DT223,FIND("|",DT223)+1,FIND("-",DT223)-FIND("|",DT223)-1))),ABS($Q223-ABS(VALUE(MID(DT223,FIND("|",DT223)+1,FIND("-",DT223)-FIND("|",DT223)-1))-VALUE(MID(DT223,FIND("-",DT223)+1,10)))))*$D$50)))))*$I223,0)),0)</f>
        <v>0</v>
      </c>
      <c r="DV223" s="404"/>
      <c r="DW223" s="398"/>
      <c r="DX223" s="356" t="n">
        <f aca="false">IFERROR(IF($M223=DW223,($D$8+$D$9+$D$10)*$I223,IF($N223=LEFT(DW223,1),($D$8+MAX(0,IF($D$50=1,$D$9*(1-(ABS($Q223-ABS(VALUE(MID(DW223,FIND("|",DW223)+1,FIND("-",DW223)-FIND("|",DW223)-1))-VALUE(MID(DW223,FIND("-",DW223)+1,10)))))*$D$50),$D$9*(1-(IF($N223="X",ABS($O223-VALUE(MID(DW223,FIND("|",DW223)+1,FIND("-",DW223)-FIND("|",DW223)-1))),ABS($Q223-ABS(VALUE(MID(DW223,FIND("|",DW223)+1,FIND("-",DW223)-FIND("|",DW223)-1))-VALUE(MID(DW223,FIND("-",DW223)+1,10)))))*$D$50)))))*$I223,0)),0)</f>
        <v>0</v>
      </c>
      <c r="DY223" s="404"/>
      <c r="DZ223" s="398"/>
      <c r="EA223" s="356" t="n">
        <f aca="false">IFERROR(IF($M223=DZ223,($D$8+$D$9+$D$10)*$I223,IF($N223=LEFT(DZ223,1),($D$8+MAX(0,IF($D$50=1,$D$9*(1-(ABS($Q223-ABS(VALUE(MID(DZ223,FIND("|",DZ223)+1,FIND("-",DZ223)-FIND("|",DZ223)-1))-VALUE(MID(DZ223,FIND("-",DZ223)+1,10)))))*$D$50),$D$9*(1-(IF($N223="X",ABS($O223-VALUE(MID(DZ223,FIND("|",DZ223)+1,FIND("-",DZ223)-FIND("|",DZ223)-1))),ABS($Q223-ABS(VALUE(MID(DZ223,FIND("|",DZ223)+1,FIND("-",DZ223)-FIND("|",DZ223)-1))-VALUE(MID(DZ223,FIND("-",DZ223)+1,10)))))*$D$50)))))*$I223,0)),0)</f>
        <v>0</v>
      </c>
      <c r="EB223" s="404"/>
      <c r="EC223" s="398"/>
      <c r="ED223" s="356" t="n">
        <f aca="false">IFERROR(IF($M223=EC223,($D$8+$D$9+$D$10)*$I223,IF($N223=LEFT(EC223,1),($D$8+MAX(0,IF($D$50=1,$D$9*(1-(ABS($Q223-ABS(VALUE(MID(EC223,FIND("|",EC223)+1,FIND("-",EC223)-FIND("|",EC223)-1))-VALUE(MID(EC223,FIND("-",EC223)+1,10)))))*$D$50),$D$9*(1-(IF($N223="X",ABS($O223-VALUE(MID(EC223,FIND("|",EC223)+1,FIND("-",EC223)-FIND("|",EC223)-1))),ABS($Q223-ABS(VALUE(MID(EC223,FIND("|",EC223)+1,FIND("-",EC223)-FIND("|",EC223)-1))-VALUE(MID(EC223,FIND("-",EC223)+1,10)))))*$D$50)))))*$I223,0)),0)</f>
        <v>0</v>
      </c>
      <c r="EE223" s="404"/>
      <c r="EF223" s="398"/>
      <c r="EG223" s="356" t="n">
        <f aca="false">IFERROR(IF($M223=EF223,($D$8+$D$9+$D$10)*$I223,IF($N223=LEFT(EF223,1),($D$8+MAX(0,IF($D$50=1,$D$9*(1-(ABS($Q223-ABS(VALUE(MID(EF223,FIND("|",EF223)+1,FIND("-",EF223)-FIND("|",EF223)-1))-VALUE(MID(EF223,FIND("-",EF223)+1,10)))))*$D$50),$D$9*(1-(IF($N223="X",ABS($O223-VALUE(MID(EF223,FIND("|",EF223)+1,FIND("-",EF223)-FIND("|",EF223)-1))),ABS($Q223-ABS(VALUE(MID(EF223,FIND("|",EF223)+1,FIND("-",EF223)-FIND("|",EF223)-1))-VALUE(MID(EF223,FIND("-",EF223)+1,10)))))*$D$50)))))*$I223,0)),0)</f>
        <v>0</v>
      </c>
      <c r="EH223" s="404"/>
      <c r="EI223" s="404"/>
    </row>
    <row r="224" customFormat="false" ht="15" hidden="false" customHeight="false" outlineLevel="0" collapsed="false">
      <c r="A224" s="332"/>
      <c r="B224" s="332"/>
      <c r="C224" s="422"/>
      <c r="D224" s="422"/>
      <c r="E224" s="422"/>
      <c r="F224" s="423"/>
      <c r="G224" s="423"/>
      <c r="H224" s="410"/>
      <c r="I224" s="410"/>
      <c r="J224" s="413"/>
      <c r="K224" s="414" t="str">
        <f aca="false">Idiomas!D462</f>
        <v>Partidos 1/4</v>
      </c>
      <c r="L224" s="415"/>
      <c r="M224" s="414" t="str">
        <f aca="false">"Max: "&amp;SUM($D$24:$D$26)*SUM($I$220:$I$223)</f>
        <v>Max: 68</v>
      </c>
      <c r="N224" s="332"/>
      <c r="O224" s="332"/>
      <c r="P224" s="332"/>
      <c r="Q224" s="332"/>
      <c r="R224" s="327"/>
      <c r="S224" s="416"/>
      <c r="T224" s="347" t="n">
        <f aca="false">SUM(T220:T223)</f>
        <v>0</v>
      </c>
      <c r="U224" s="338"/>
      <c r="V224" s="416"/>
      <c r="W224" s="347" t="n">
        <f aca="false">SUM(W220:W223)</f>
        <v>0</v>
      </c>
      <c r="X224" s="338"/>
      <c r="Y224" s="416"/>
      <c r="Z224" s="347" t="n">
        <f aca="false">SUM(Z220:Z223)</f>
        <v>0</v>
      </c>
      <c r="AA224" s="338"/>
      <c r="AB224" s="416"/>
      <c r="AC224" s="347" t="n">
        <f aca="false">SUM(AC220:AC223)</f>
        <v>0</v>
      </c>
      <c r="AD224" s="338"/>
      <c r="AE224" s="416"/>
      <c r="AF224" s="347" t="n">
        <f aca="false">SUM(AF220:AF223)</f>
        <v>0</v>
      </c>
      <c r="AG224" s="338"/>
      <c r="AH224" s="416"/>
      <c r="AI224" s="347" t="n">
        <f aca="false">SUM(AI220:AI223)</f>
        <v>0</v>
      </c>
      <c r="AJ224" s="338"/>
      <c r="AK224" s="416"/>
      <c r="AL224" s="347" t="n">
        <f aca="false">SUM(AL220:AL223)</f>
        <v>0</v>
      </c>
      <c r="AM224" s="338"/>
      <c r="AN224" s="416"/>
      <c r="AO224" s="347" t="n">
        <f aca="false">SUM(AO220:AO223)</f>
        <v>0</v>
      </c>
      <c r="AP224" s="338"/>
      <c r="AQ224" s="416"/>
      <c r="AR224" s="347" t="n">
        <f aca="false">SUM(AR220:AR223)</f>
        <v>0</v>
      </c>
      <c r="AS224" s="338"/>
      <c r="AT224" s="416"/>
      <c r="AU224" s="347" t="n">
        <f aca="false">SUM(AU220:AU223)</f>
        <v>0</v>
      </c>
      <c r="AV224" s="338"/>
      <c r="AW224" s="416"/>
      <c r="AX224" s="347" t="n">
        <f aca="false">SUM(AX220:AX223)</f>
        <v>0</v>
      </c>
      <c r="AY224" s="338"/>
      <c r="AZ224" s="416"/>
      <c r="BA224" s="347" t="n">
        <f aca="false">SUM(BA220:BA223)</f>
        <v>0</v>
      </c>
      <c r="BB224" s="338"/>
      <c r="BC224" s="416"/>
      <c r="BD224" s="347" t="n">
        <f aca="false">SUM(BD220:BD223)</f>
        <v>0</v>
      </c>
      <c r="BE224" s="338"/>
      <c r="BF224" s="416"/>
      <c r="BG224" s="347" t="n">
        <f aca="false">SUM(BG220:BG223)</f>
        <v>0</v>
      </c>
      <c r="BH224" s="338"/>
      <c r="BI224" s="416"/>
      <c r="BJ224" s="347" t="n">
        <f aca="false">SUM(BJ220:BJ223)</f>
        <v>0</v>
      </c>
      <c r="BK224" s="338"/>
      <c r="BL224" s="416"/>
      <c r="BM224" s="347" t="n">
        <f aca="false">SUM(BM220:BM223)</f>
        <v>0</v>
      </c>
      <c r="BN224" s="338"/>
      <c r="BO224" s="416"/>
      <c r="BP224" s="347" t="n">
        <f aca="false">SUM(BP220:BP223)</f>
        <v>0</v>
      </c>
      <c r="BQ224" s="338"/>
      <c r="BR224" s="416"/>
      <c r="BS224" s="347" t="n">
        <f aca="false">SUM(BS220:BS223)</f>
        <v>0</v>
      </c>
      <c r="BT224" s="338"/>
      <c r="BU224" s="416"/>
      <c r="BV224" s="347" t="n">
        <f aca="false">SUM(BV220:BV223)</f>
        <v>0</v>
      </c>
      <c r="BW224" s="338"/>
      <c r="BX224" s="416"/>
      <c r="BY224" s="347" t="n">
        <f aca="false">SUM(BY220:BY223)</f>
        <v>0</v>
      </c>
      <c r="BZ224" s="338"/>
      <c r="CA224" s="416"/>
      <c r="CB224" s="347" t="n">
        <f aca="false">SUM(CB220:CB223)</f>
        <v>0</v>
      </c>
      <c r="CC224" s="338"/>
      <c r="CD224" s="416"/>
      <c r="CE224" s="347" t="n">
        <f aca="false">SUM(CE220:CE223)</f>
        <v>0</v>
      </c>
      <c r="CF224" s="338"/>
      <c r="CG224" s="416"/>
      <c r="CH224" s="347" t="n">
        <f aca="false">SUM(CH220:CH223)</f>
        <v>0</v>
      </c>
      <c r="CI224" s="338"/>
      <c r="CJ224" s="416"/>
      <c r="CK224" s="347" t="n">
        <f aca="false">SUM(CK220:CK223)</f>
        <v>0</v>
      </c>
      <c r="CL224" s="338"/>
      <c r="CM224" s="416"/>
      <c r="CN224" s="347" t="n">
        <f aca="false">SUM(CN220:CN223)</f>
        <v>0</v>
      </c>
      <c r="CO224" s="338"/>
      <c r="CP224" s="416"/>
      <c r="CQ224" s="347" t="n">
        <f aca="false">SUM(CQ220:CQ223)</f>
        <v>0</v>
      </c>
      <c r="CR224" s="338"/>
      <c r="CS224" s="416"/>
      <c r="CT224" s="347" t="n">
        <f aca="false">SUM(CT220:CT223)</f>
        <v>0</v>
      </c>
      <c r="CU224" s="338"/>
      <c r="CV224" s="416"/>
      <c r="CW224" s="347" t="n">
        <f aca="false">SUM(CW220:CW223)</f>
        <v>0</v>
      </c>
      <c r="CX224" s="338"/>
      <c r="CY224" s="416"/>
      <c r="CZ224" s="347" t="n">
        <f aca="false">SUM(CZ220:CZ223)</f>
        <v>0</v>
      </c>
      <c r="DA224" s="338"/>
      <c r="DB224" s="416"/>
      <c r="DC224" s="347" t="n">
        <f aca="false">SUM(DC220:DC223)</f>
        <v>0</v>
      </c>
      <c r="DD224" s="338"/>
      <c r="DE224" s="416"/>
      <c r="DF224" s="347" t="n">
        <f aca="false">SUM(DF220:DF223)</f>
        <v>0</v>
      </c>
      <c r="DG224" s="338"/>
      <c r="DH224" s="416"/>
      <c r="DI224" s="347" t="n">
        <f aca="false">SUM(DI220:DI223)</f>
        <v>0</v>
      </c>
      <c r="DJ224" s="338"/>
      <c r="DK224" s="416"/>
      <c r="DL224" s="347" t="n">
        <f aca="false">SUM(DL220:DL223)</f>
        <v>0</v>
      </c>
      <c r="DM224" s="338"/>
      <c r="DN224" s="416"/>
      <c r="DO224" s="347" t="n">
        <f aca="false">SUM(DO220:DO223)</f>
        <v>0</v>
      </c>
      <c r="DP224" s="338"/>
      <c r="DQ224" s="416"/>
      <c r="DR224" s="347" t="n">
        <f aca="false">SUM(DR220:DR223)</f>
        <v>0</v>
      </c>
      <c r="DS224" s="338"/>
      <c r="DT224" s="416"/>
      <c r="DU224" s="347" t="n">
        <f aca="false">SUM(DU220:DU223)</f>
        <v>0</v>
      </c>
      <c r="DV224" s="338"/>
      <c r="DW224" s="416"/>
      <c r="DX224" s="347" t="n">
        <f aca="false">SUM(DX220:DX223)</f>
        <v>0</v>
      </c>
      <c r="DY224" s="338"/>
      <c r="DZ224" s="416"/>
      <c r="EA224" s="347" t="n">
        <f aca="false">SUM(EA220:EA223)</f>
        <v>0</v>
      </c>
      <c r="EB224" s="338"/>
      <c r="EC224" s="416"/>
      <c r="ED224" s="347" t="n">
        <f aca="false">SUM(ED220:ED223)</f>
        <v>0</v>
      </c>
      <c r="EE224" s="338"/>
      <c r="EF224" s="416"/>
      <c r="EG224" s="347" t="n">
        <f aca="false">SUM(EG220:EG223)</f>
        <v>0</v>
      </c>
      <c r="EH224" s="338"/>
      <c r="EI224" s="338"/>
    </row>
    <row r="225" customFormat="false" ht="15" hidden="false" customHeight="false" outlineLevel="0" collapsed="false">
      <c r="A225" s="332"/>
      <c r="B225" s="332"/>
      <c r="C225" s="422"/>
      <c r="D225" s="422"/>
      <c r="E225" s="422"/>
      <c r="F225" s="423"/>
      <c r="G225" s="423"/>
      <c r="H225" s="410"/>
      <c r="I225" s="410"/>
      <c r="J225" s="413"/>
      <c r="K225" s="346" t="str">
        <f aca="false">Idiomas!D143</f>
        <v>CLASIFICADOS PARA SEMIFINALES</v>
      </c>
      <c r="L225" s="333"/>
      <c r="M225" s="347"/>
      <c r="N225" s="332"/>
      <c r="O225" s="332"/>
      <c r="P225" s="332"/>
      <c r="Q225" s="332"/>
      <c r="R225" s="327"/>
      <c r="S225" s="416"/>
      <c r="T225" s="347"/>
      <c r="U225" s="338"/>
      <c r="V225" s="416"/>
      <c r="W225" s="347"/>
      <c r="X225" s="338"/>
      <c r="Y225" s="416"/>
      <c r="Z225" s="347"/>
      <c r="AA225" s="338"/>
      <c r="AB225" s="416"/>
      <c r="AC225" s="347"/>
      <c r="AD225" s="338"/>
      <c r="AE225" s="416"/>
      <c r="AF225" s="347"/>
      <c r="AG225" s="338"/>
      <c r="AH225" s="416"/>
      <c r="AI225" s="347"/>
      <c r="AJ225" s="338"/>
      <c r="AK225" s="416"/>
      <c r="AL225" s="347"/>
      <c r="AM225" s="338"/>
      <c r="AN225" s="416"/>
      <c r="AO225" s="347"/>
      <c r="AP225" s="338"/>
      <c r="AQ225" s="416"/>
      <c r="AR225" s="347"/>
      <c r="AS225" s="338"/>
      <c r="AT225" s="416"/>
      <c r="AU225" s="347"/>
      <c r="AV225" s="338"/>
      <c r="AW225" s="416"/>
      <c r="AX225" s="347"/>
      <c r="AY225" s="338"/>
      <c r="AZ225" s="416"/>
      <c r="BA225" s="347"/>
      <c r="BB225" s="338"/>
      <c r="BC225" s="416"/>
      <c r="BD225" s="347"/>
      <c r="BE225" s="338"/>
      <c r="BF225" s="416"/>
      <c r="BG225" s="347"/>
      <c r="BH225" s="338"/>
      <c r="BI225" s="416"/>
      <c r="BJ225" s="347"/>
      <c r="BK225" s="338"/>
      <c r="BL225" s="416"/>
      <c r="BM225" s="347"/>
      <c r="BN225" s="338"/>
      <c r="BO225" s="416"/>
      <c r="BP225" s="347"/>
      <c r="BQ225" s="338"/>
      <c r="BR225" s="416"/>
      <c r="BS225" s="347"/>
      <c r="BT225" s="338"/>
      <c r="BU225" s="416"/>
      <c r="BV225" s="347"/>
      <c r="BW225" s="338"/>
      <c r="BX225" s="416"/>
      <c r="BY225" s="347"/>
      <c r="BZ225" s="338"/>
      <c r="CA225" s="416"/>
      <c r="CB225" s="347"/>
      <c r="CC225" s="338"/>
      <c r="CD225" s="416"/>
      <c r="CE225" s="347"/>
      <c r="CF225" s="338"/>
      <c r="CG225" s="416"/>
      <c r="CH225" s="347"/>
      <c r="CI225" s="338"/>
      <c r="CJ225" s="416"/>
      <c r="CK225" s="347"/>
      <c r="CL225" s="338"/>
      <c r="CM225" s="416"/>
      <c r="CN225" s="347"/>
      <c r="CO225" s="338"/>
      <c r="CP225" s="416"/>
      <c r="CQ225" s="347"/>
      <c r="CR225" s="338"/>
      <c r="CS225" s="416"/>
      <c r="CT225" s="347"/>
      <c r="CU225" s="338"/>
      <c r="CV225" s="416"/>
      <c r="CW225" s="347"/>
      <c r="CX225" s="338"/>
      <c r="CY225" s="416"/>
      <c r="CZ225" s="347"/>
      <c r="DA225" s="338"/>
      <c r="DB225" s="416"/>
      <c r="DC225" s="347"/>
      <c r="DD225" s="338"/>
      <c r="DE225" s="416"/>
      <c r="DF225" s="347"/>
      <c r="DG225" s="338"/>
      <c r="DH225" s="416"/>
      <c r="DI225" s="347"/>
      <c r="DJ225" s="338"/>
      <c r="DK225" s="416"/>
      <c r="DL225" s="347"/>
      <c r="DM225" s="338"/>
      <c r="DN225" s="416"/>
      <c r="DO225" s="347"/>
      <c r="DP225" s="338"/>
      <c r="DQ225" s="416"/>
      <c r="DR225" s="347"/>
      <c r="DS225" s="338"/>
      <c r="DT225" s="416"/>
      <c r="DU225" s="347"/>
      <c r="DV225" s="338"/>
      <c r="DW225" s="416"/>
      <c r="DX225" s="347"/>
      <c r="DY225" s="338"/>
      <c r="DZ225" s="416"/>
      <c r="EA225" s="347"/>
      <c r="EB225" s="338"/>
      <c r="EC225" s="416"/>
      <c r="ED225" s="347"/>
      <c r="EE225" s="338"/>
      <c r="EF225" s="416"/>
      <c r="EG225" s="347"/>
      <c r="EH225" s="338"/>
      <c r="EI225" s="338"/>
    </row>
    <row r="226" customFormat="false" ht="15" hidden="false" customHeight="false" outlineLevel="0" collapsed="false">
      <c r="A226" s="332"/>
      <c r="B226" s="332"/>
      <c r="C226" s="422"/>
      <c r="D226" s="422"/>
      <c r="E226" s="422"/>
      <c r="F226" s="423" t="n">
        <f aca="false">$D$27</f>
        <v>6</v>
      </c>
      <c r="G226" s="423" t="n">
        <f aca="false">VLOOKUP(H226,Equipos!$Q$1:$R$25,2,0)</f>
        <v>22</v>
      </c>
      <c r="H226" s="410" t="str">
        <f aca="false">Idiomas!$D$262</f>
        <v>Cuartos de final</v>
      </c>
      <c r="I226" s="410"/>
      <c r="J226" s="418" t="s">
        <v>222</v>
      </c>
      <c r="K226" s="354" t="str">
        <f aca="false">Idiomas!$D$201&amp;"-"&amp;ROWS($L$226:L226)</f>
        <v>Semifinalista-1</v>
      </c>
      <c r="L226" s="354"/>
      <c r="M226" s="359" t="str">
        <f aca="false">WORLDCUP!AA138</f>
        <v>W97</v>
      </c>
      <c r="N226" s="332"/>
      <c r="O226" s="332"/>
      <c r="P226" s="332"/>
      <c r="Q226" s="332"/>
      <c r="R226" s="404"/>
      <c r="S226" s="370" t="s">
        <v>347</v>
      </c>
      <c r="T226" s="371" t="n">
        <f aca="false">COUNTIF($M$226:$M$229,S226)*$D$27</f>
        <v>0</v>
      </c>
      <c r="U226" s="407"/>
      <c r="V226" s="370" t="s">
        <v>362</v>
      </c>
      <c r="W226" s="371" t="n">
        <f aca="false">COUNTIF($M$226:$M$229,V226)*$D$27</f>
        <v>0</v>
      </c>
      <c r="X226" s="407"/>
      <c r="Y226" s="370" t="s">
        <v>347</v>
      </c>
      <c r="Z226" s="371" t="n">
        <f aca="false">COUNTIF($M$226:$M$229,Y226)*$D$27</f>
        <v>0</v>
      </c>
      <c r="AA226" s="407"/>
      <c r="AB226" s="370" t="s">
        <v>362</v>
      </c>
      <c r="AC226" s="371" t="n">
        <f aca="false">COUNTIF($M$226:$M$229,AB226)*$D$27</f>
        <v>0</v>
      </c>
      <c r="AD226" s="407"/>
      <c r="AE226" s="370" t="s">
        <v>362</v>
      </c>
      <c r="AF226" s="371" t="n">
        <f aca="false">COUNTIF($M$226:$M$229,AE226)*$D$27</f>
        <v>0</v>
      </c>
      <c r="AG226" s="407"/>
      <c r="AH226" s="370" t="s">
        <v>362</v>
      </c>
      <c r="AI226" s="371" t="n">
        <f aca="false">COUNTIF($M$226:$M$229,AH226)*$D$27</f>
        <v>0</v>
      </c>
      <c r="AJ226" s="407"/>
      <c r="AK226" s="370" t="s">
        <v>362</v>
      </c>
      <c r="AL226" s="371" t="n">
        <f aca="false">COUNTIF($M$226:$M$229,AK226)*$D$27</f>
        <v>0</v>
      </c>
      <c r="AM226" s="407"/>
      <c r="AN226" s="370" t="s">
        <v>347</v>
      </c>
      <c r="AO226" s="371" t="n">
        <f aca="false">COUNTIF($M$226:$M$229,AN226)*$D$27</f>
        <v>0</v>
      </c>
      <c r="AP226" s="407"/>
      <c r="AQ226" s="370" t="s">
        <v>339</v>
      </c>
      <c r="AR226" s="371" t="n">
        <f aca="false">COUNTIF($M$226:$M$229,AQ226)*$D$27</f>
        <v>0</v>
      </c>
      <c r="AS226" s="407"/>
      <c r="AT226" s="370" t="s">
        <v>362</v>
      </c>
      <c r="AU226" s="371" t="n">
        <f aca="false">COUNTIF($M$226:$M$229,AT226)*$D$27</f>
        <v>0</v>
      </c>
      <c r="AV226" s="407"/>
      <c r="AW226" s="370" t="s">
        <v>362</v>
      </c>
      <c r="AX226" s="371" t="n">
        <f aca="false">COUNTIF($M$226:$M$229,AW226)*$D$27</f>
        <v>0</v>
      </c>
      <c r="AY226" s="407"/>
      <c r="AZ226" s="370" t="s">
        <v>362</v>
      </c>
      <c r="BA226" s="371" t="n">
        <f aca="false">COUNTIF($M$226:$M$229,AZ226)*$D$27</f>
        <v>0</v>
      </c>
      <c r="BB226" s="407"/>
      <c r="BC226" s="370" t="s">
        <v>351</v>
      </c>
      <c r="BD226" s="371" t="n">
        <f aca="false">COUNTIF($M$226:$M$229,BC226)*$D$27</f>
        <v>0</v>
      </c>
      <c r="BE226" s="407"/>
      <c r="BF226" s="370" t="s">
        <v>362</v>
      </c>
      <c r="BG226" s="371" t="n">
        <f aca="false">COUNTIF($M$226:$M$229,BF226)*$D$27</f>
        <v>0</v>
      </c>
      <c r="BH226" s="407"/>
      <c r="BI226" s="370" t="s">
        <v>362</v>
      </c>
      <c r="BJ226" s="371" t="n">
        <f aca="false">COUNTIF($M$226:$M$229,BI226)*$D$27</f>
        <v>0</v>
      </c>
      <c r="BK226" s="407"/>
      <c r="BL226" s="370" t="s">
        <v>362</v>
      </c>
      <c r="BM226" s="371" t="n">
        <f aca="false">COUNTIF($M$226:$M$229,BL226)*$D$27</f>
        <v>0</v>
      </c>
      <c r="BN226" s="407"/>
      <c r="BO226" s="370" t="s">
        <v>362</v>
      </c>
      <c r="BP226" s="371" t="n">
        <f aca="false">COUNTIF($M$226:$M$229,BO226)*$D$27</f>
        <v>0</v>
      </c>
      <c r="BQ226" s="407"/>
      <c r="BR226" s="370" t="s">
        <v>362</v>
      </c>
      <c r="BS226" s="371" t="n">
        <f aca="false">COUNTIF($M$226:$M$229,BR226)*$D$27</f>
        <v>0</v>
      </c>
      <c r="BT226" s="407"/>
      <c r="BU226" s="370"/>
      <c r="BV226" s="371" t="n">
        <f aca="false">COUNTIF($M$226:$M$229,BU226)*$D$27</f>
        <v>0</v>
      </c>
      <c r="BW226" s="407"/>
      <c r="BX226" s="370"/>
      <c r="BY226" s="371" t="n">
        <f aca="false">COUNTIF($M$226:$M$229,BX226)*$D$27</f>
        <v>0</v>
      </c>
      <c r="BZ226" s="407"/>
      <c r="CA226" s="370"/>
      <c r="CB226" s="371" t="n">
        <f aca="false">COUNTIF($M$226:$M$229,CA226)*$D$27</f>
        <v>0</v>
      </c>
      <c r="CC226" s="407"/>
      <c r="CD226" s="370"/>
      <c r="CE226" s="371" t="n">
        <f aca="false">COUNTIF($M$226:$M$229,CD226)*$D$27</f>
        <v>0</v>
      </c>
      <c r="CF226" s="407"/>
      <c r="CG226" s="370"/>
      <c r="CH226" s="371" t="n">
        <f aca="false">COUNTIF($M$226:$M$229,CG226)*$D$27</f>
        <v>0</v>
      </c>
      <c r="CI226" s="407"/>
      <c r="CJ226" s="370"/>
      <c r="CK226" s="371" t="n">
        <f aca="false">COUNTIF($M$226:$M$229,CJ226)*$D$27</f>
        <v>0</v>
      </c>
      <c r="CL226" s="407"/>
      <c r="CM226" s="370"/>
      <c r="CN226" s="371" t="n">
        <f aca="false">COUNTIF($M$226:$M$229,CM226)*$D$27</f>
        <v>0</v>
      </c>
      <c r="CO226" s="407"/>
      <c r="CP226" s="370"/>
      <c r="CQ226" s="371" t="n">
        <f aca="false">COUNTIF($M$226:$M$229,CP226)*$D$27</f>
        <v>0</v>
      </c>
      <c r="CR226" s="407"/>
      <c r="CS226" s="370"/>
      <c r="CT226" s="371" t="n">
        <f aca="false">COUNTIF($M$226:$M$229,CS226)*$D$27</f>
        <v>0</v>
      </c>
      <c r="CU226" s="407"/>
      <c r="CV226" s="370"/>
      <c r="CW226" s="371" t="n">
        <f aca="false">COUNTIF($M$226:$M$229,CV226)*$D$27</f>
        <v>0</v>
      </c>
      <c r="CX226" s="407"/>
      <c r="CY226" s="370"/>
      <c r="CZ226" s="371" t="n">
        <f aca="false">COUNTIF($M$226:$M$229,CY226)*$D$27</f>
        <v>0</v>
      </c>
      <c r="DA226" s="407"/>
      <c r="DB226" s="370"/>
      <c r="DC226" s="371" t="n">
        <f aca="false">COUNTIF($M$226:$M$229,DB226)*$D$27</f>
        <v>0</v>
      </c>
      <c r="DD226" s="407"/>
      <c r="DE226" s="370"/>
      <c r="DF226" s="371" t="n">
        <f aca="false">COUNTIF($M$226:$M$229,DE226)*$D$27</f>
        <v>0</v>
      </c>
      <c r="DG226" s="407"/>
      <c r="DH226" s="370"/>
      <c r="DI226" s="371" t="n">
        <f aca="false">COUNTIF($M$226:$M$229,DH226)*$D$27</f>
        <v>0</v>
      </c>
      <c r="DJ226" s="407"/>
      <c r="DK226" s="370"/>
      <c r="DL226" s="371" t="n">
        <f aca="false">COUNTIF($M$226:$M$229,DK226)*$D$27</f>
        <v>0</v>
      </c>
      <c r="DM226" s="407"/>
      <c r="DN226" s="370"/>
      <c r="DO226" s="371" t="n">
        <f aca="false">COUNTIF($M$226:$M$229,DN226)*$D$27</f>
        <v>0</v>
      </c>
      <c r="DP226" s="407"/>
      <c r="DQ226" s="370"/>
      <c r="DR226" s="371" t="n">
        <f aca="false">COUNTIF($M$226:$M$229,DQ226)*$D$27</f>
        <v>0</v>
      </c>
      <c r="DS226" s="407"/>
      <c r="DT226" s="370"/>
      <c r="DU226" s="371" t="n">
        <f aca="false">COUNTIF($M$226:$M$229,DT226)*$D$27</f>
        <v>0</v>
      </c>
      <c r="DV226" s="407"/>
      <c r="DW226" s="370"/>
      <c r="DX226" s="371" t="n">
        <f aca="false">COUNTIF($M$226:$M$229,DW226)*$D$27</f>
        <v>0</v>
      </c>
      <c r="DY226" s="407"/>
      <c r="DZ226" s="370"/>
      <c r="EA226" s="371" t="n">
        <f aca="false">COUNTIF($M$226:$M$229,DZ226)*$D$27</f>
        <v>0</v>
      </c>
      <c r="EB226" s="407"/>
      <c r="EC226" s="370"/>
      <c r="ED226" s="371" t="n">
        <f aca="false">COUNTIF($M$226:$M$229,EC226)*$D$27</f>
        <v>0</v>
      </c>
      <c r="EE226" s="407"/>
      <c r="EF226" s="370"/>
      <c r="EG226" s="371" t="n">
        <f aca="false">COUNTIF($M$226:$M$229,EF226)*$D$27</f>
        <v>0</v>
      </c>
      <c r="EH226" s="407"/>
      <c r="EI226" s="407"/>
    </row>
    <row r="227" customFormat="false" ht="15" hidden="false" customHeight="false" outlineLevel="0" collapsed="false">
      <c r="A227" s="332"/>
      <c r="B227" s="332"/>
      <c r="C227" s="422"/>
      <c r="D227" s="422"/>
      <c r="E227" s="422"/>
      <c r="F227" s="423" t="n">
        <f aca="false">$D$27</f>
        <v>6</v>
      </c>
      <c r="G227" s="423" t="n">
        <f aca="false">VLOOKUP(H227,Equipos!$Q$1:$R$25,2,0)</f>
        <v>22</v>
      </c>
      <c r="H227" s="410" t="str">
        <f aca="false">Idiomas!$D$262</f>
        <v>Cuartos de final</v>
      </c>
      <c r="I227" s="410"/>
      <c r="J227" s="418"/>
      <c r="K227" s="367" t="str">
        <f aca="false">Idiomas!$D$201&amp;"-"&amp;ROWS($L$226:L227)</f>
        <v>Semifinalista-2</v>
      </c>
      <c r="L227" s="354"/>
      <c r="M227" s="359" t="str">
        <f aca="false">WORLDCUP!AA139</f>
        <v>W99</v>
      </c>
      <c r="N227" s="332"/>
      <c r="O227" s="332"/>
      <c r="P227" s="332"/>
      <c r="Q227" s="332"/>
      <c r="R227" s="404"/>
      <c r="S227" s="363" t="s">
        <v>339</v>
      </c>
      <c r="T227" s="356" t="n">
        <f aca="false">COUNTIF($M$226:$M$229,S227)*$D$27</f>
        <v>0</v>
      </c>
      <c r="U227" s="407"/>
      <c r="V227" s="363" t="s">
        <v>339</v>
      </c>
      <c r="W227" s="356" t="n">
        <f aca="false">COUNTIF($M$226:$M$229,V227)*$D$27</f>
        <v>0</v>
      </c>
      <c r="X227" s="407"/>
      <c r="Y227" s="363" t="s">
        <v>339</v>
      </c>
      <c r="Z227" s="356" t="n">
        <f aca="false">COUNTIF($M$226:$M$229,Y227)*$D$27</f>
        <v>0</v>
      </c>
      <c r="AA227" s="407"/>
      <c r="AB227" s="363" t="s">
        <v>332</v>
      </c>
      <c r="AC227" s="356" t="n">
        <f aca="false">COUNTIF($M$226:$M$229,AB227)*$D$27</f>
        <v>0</v>
      </c>
      <c r="AD227" s="407"/>
      <c r="AE227" s="363" t="s">
        <v>374</v>
      </c>
      <c r="AF227" s="356" t="n">
        <f aca="false">COUNTIF($M$226:$M$229,AE227)*$D$27</f>
        <v>0</v>
      </c>
      <c r="AG227" s="407"/>
      <c r="AH227" s="363" t="s">
        <v>374</v>
      </c>
      <c r="AI227" s="356" t="n">
        <f aca="false">COUNTIF($M$226:$M$229,AH227)*$D$27</f>
        <v>0</v>
      </c>
      <c r="AJ227" s="407"/>
      <c r="AK227" s="363" t="s">
        <v>339</v>
      </c>
      <c r="AL227" s="356" t="n">
        <f aca="false">COUNTIF($M$226:$M$229,AK227)*$D$27</f>
        <v>0</v>
      </c>
      <c r="AM227" s="407"/>
      <c r="AN227" s="363" t="s">
        <v>339</v>
      </c>
      <c r="AO227" s="356" t="n">
        <f aca="false">COUNTIF($M$226:$M$229,AN227)*$D$27</f>
        <v>0</v>
      </c>
      <c r="AP227" s="407"/>
      <c r="AQ227" s="363" t="s">
        <v>374</v>
      </c>
      <c r="AR227" s="356" t="n">
        <f aca="false">COUNTIF($M$226:$M$229,AQ227)*$D$27</f>
        <v>0</v>
      </c>
      <c r="AS227" s="407"/>
      <c r="AT227" s="363" t="s">
        <v>340</v>
      </c>
      <c r="AU227" s="356" t="n">
        <f aca="false">COUNTIF($M$226:$M$229,AT227)*$D$27</f>
        <v>0</v>
      </c>
      <c r="AV227" s="407"/>
      <c r="AW227" s="363" t="s">
        <v>339</v>
      </c>
      <c r="AX227" s="356" t="n">
        <f aca="false">COUNTIF($M$226:$M$229,AW227)*$D$27</f>
        <v>0</v>
      </c>
      <c r="AY227" s="407"/>
      <c r="AZ227" s="363" t="s">
        <v>374</v>
      </c>
      <c r="BA227" s="356" t="n">
        <f aca="false">COUNTIF($M$226:$M$229,AZ227)*$D$27</f>
        <v>0</v>
      </c>
      <c r="BB227" s="407"/>
      <c r="BC227" s="363" t="s">
        <v>364</v>
      </c>
      <c r="BD227" s="356" t="n">
        <f aca="false">COUNTIF($M$226:$M$229,BC227)*$D$27</f>
        <v>0</v>
      </c>
      <c r="BE227" s="407"/>
      <c r="BF227" s="363" t="s">
        <v>339</v>
      </c>
      <c r="BG227" s="356" t="n">
        <f aca="false">COUNTIF($M$226:$M$229,BF227)*$D$27</f>
        <v>0</v>
      </c>
      <c r="BH227" s="407"/>
      <c r="BI227" s="363" t="s">
        <v>339</v>
      </c>
      <c r="BJ227" s="356" t="n">
        <f aca="false">COUNTIF($M$226:$M$229,BI227)*$D$27</f>
        <v>0</v>
      </c>
      <c r="BK227" s="407"/>
      <c r="BL227" s="363" t="s">
        <v>374</v>
      </c>
      <c r="BM227" s="356" t="n">
        <f aca="false">COUNTIF($M$226:$M$229,BL227)*$D$27</f>
        <v>0</v>
      </c>
      <c r="BN227" s="407"/>
      <c r="BO227" s="363" t="s">
        <v>339</v>
      </c>
      <c r="BP227" s="356" t="n">
        <f aca="false">COUNTIF($M$226:$M$229,BO227)*$D$27</f>
        <v>0</v>
      </c>
      <c r="BQ227" s="407"/>
      <c r="BR227" s="363" t="s">
        <v>339</v>
      </c>
      <c r="BS227" s="356" t="n">
        <f aca="false">COUNTIF($M$226:$M$229,BR227)*$D$27</f>
        <v>0</v>
      </c>
      <c r="BT227" s="407"/>
      <c r="BU227" s="363"/>
      <c r="BV227" s="356" t="n">
        <f aca="false">COUNTIF($M$226:$M$229,BU227)*$D$27</f>
        <v>0</v>
      </c>
      <c r="BW227" s="407"/>
      <c r="BX227" s="363"/>
      <c r="BY227" s="356" t="n">
        <f aca="false">COUNTIF($M$226:$M$229,BX227)*$D$27</f>
        <v>0</v>
      </c>
      <c r="BZ227" s="407"/>
      <c r="CA227" s="363"/>
      <c r="CB227" s="356" t="n">
        <f aca="false">COUNTIF($M$226:$M$229,CA227)*$D$27</f>
        <v>0</v>
      </c>
      <c r="CC227" s="407"/>
      <c r="CD227" s="363"/>
      <c r="CE227" s="356" t="n">
        <f aca="false">COUNTIF($M$226:$M$229,CD227)*$D$27</f>
        <v>0</v>
      </c>
      <c r="CF227" s="407"/>
      <c r="CG227" s="363"/>
      <c r="CH227" s="356" t="n">
        <f aca="false">COUNTIF($M$226:$M$229,CG227)*$D$27</f>
        <v>0</v>
      </c>
      <c r="CI227" s="407"/>
      <c r="CJ227" s="363"/>
      <c r="CK227" s="356" t="n">
        <f aca="false">COUNTIF($M$226:$M$229,CJ227)*$D$27</f>
        <v>0</v>
      </c>
      <c r="CL227" s="407"/>
      <c r="CM227" s="363"/>
      <c r="CN227" s="356" t="n">
        <f aca="false">COUNTIF($M$226:$M$229,CM227)*$D$27</f>
        <v>0</v>
      </c>
      <c r="CO227" s="407"/>
      <c r="CP227" s="363"/>
      <c r="CQ227" s="356" t="n">
        <f aca="false">COUNTIF($M$226:$M$229,CP227)*$D$27</f>
        <v>0</v>
      </c>
      <c r="CR227" s="407"/>
      <c r="CS227" s="363"/>
      <c r="CT227" s="356" t="n">
        <f aca="false">COUNTIF($M$226:$M$229,CS227)*$D$27</f>
        <v>0</v>
      </c>
      <c r="CU227" s="407"/>
      <c r="CV227" s="363"/>
      <c r="CW227" s="356" t="n">
        <f aca="false">COUNTIF($M$226:$M$229,CV227)*$D$27</f>
        <v>0</v>
      </c>
      <c r="CX227" s="407"/>
      <c r="CY227" s="363"/>
      <c r="CZ227" s="356" t="n">
        <f aca="false">COUNTIF($M$226:$M$229,CY227)*$D$27</f>
        <v>0</v>
      </c>
      <c r="DA227" s="407"/>
      <c r="DB227" s="363"/>
      <c r="DC227" s="356" t="n">
        <f aca="false">COUNTIF($M$226:$M$229,DB227)*$D$27</f>
        <v>0</v>
      </c>
      <c r="DD227" s="407"/>
      <c r="DE227" s="363"/>
      <c r="DF227" s="356" t="n">
        <f aca="false">COUNTIF($M$226:$M$229,DE227)*$D$27</f>
        <v>0</v>
      </c>
      <c r="DG227" s="407"/>
      <c r="DH227" s="363"/>
      <c r="DI227" s="356" t="n">
        <f aca="false">COUNTIF($M$226:$M$229,DH227)*$D$27</f>
        <v>0</v>
      </c>
      <c r="DJ227" s="407"/>
      <c r="DK227" s="363"/>
      <c r="DL227" s="356" t="n">
        <f aca="false">COUNTIF($M$226:$M$229,DK227)*$D$27</f>
        <v>0</v>
      </c>
      <c r="DM227" s="407"/>
      <c r="DN227" s="363"/>
      <c r="DO227" s="356" t="n">
        <f aca="false">COUNTIF($M$226:$M$229,DN227)*$D$27</f>
        <v>0</v>
      </c>
      <c r="DP227" s="407"/>
      <c r="DQ227" s="363"/>
      <c r="DR227" s="356" t="n">
        <f aca="false">COUNTIF($M$226:$M$229,DQ227)*$D$27</f>
        <v>0</v>
      </c>
      <c r="DS227" s="407"/>
      <c r="DT227" s="363"/>
      <c r="DU227" s="356" t="n">
        <f aca="false">COUNTIF($M$226:$M$229,DT227)*$D$27</f>
        <v>0</v>
      </c>
      <c r="DV227" s="407"/>
      <c r="DW227" s="363"/>
      <c r="DX227" s="356" t="n">
        <f aca="false">COUNTIF($M$226:$M$229,DW227)*$D$27</f>
        <v>0</v>
      </c>
      <c r="DY227" s="407"/>
      <c r="DZ227" s="363"/>
      <c r="EA227" s="356" t="n">
        <f aca="false">COUNTIF($M$226:$M$229,DZ227)*$D$27</f>
        <v>0</v>
      </c>
      <c r="EB227" s="407"/>
      <c r="EC227" s="363"/>
      <c r="ED227" s="356" t="n">
        <f aca="false">COUNTIF($M$226:$M$229,EC227)*$D$27</f>
        <v>0</v>
      </c>
      <c r="EE227" s="407"/>
      <c r="EF227" s="363"/>
      <c r="EG227" s="356" t="n">
        <f aca="false">COUNTIF($M$226:$M$229,EF227)*$D$27</f>
        <v>0</v>
      </c>
      <c r="EH227" s="407"/>
      <c r="EI227" s="407"/>
    </row>
    <row r="228" customFormat="false" ht="15" hidden="false" customHeight="false" outlineLevel="0" collapsed="false">
      <c r="A228" s="332"/>
      <c r="B228" s="332"/>
      <c r="C228" s="422"/>
      <c r="D228" s="422"/>
      <c r="E228" s="422"/>
      <c r="F228" s="423" t="n">
        <f aca="false">$D$27</f>
        <v>6</v>
      </c>
      <c r="G228" s="423" t="n">
        <f aca="false">VLOOKUP(H228,Equipos!$Q$1:$R$25,2,0)</f>
        <v>22</v>
      </c>
      <c r="H228" s="410" t="str">
        <f aca="false">Idiomas!$D$262</f>
        <v>Cuartos de final</v>
      </c>
      <c r="I228" s="410"/>
      <c r="J228" s="418"/>
      <c r="K228" s="367" t="str">
        <f aca="false">Idiomas!$D$201&amp;"-"&amp;ROWS($L$226:L228)</f>
        <v>Semifinalista-3</v>
      </c>
      <c r="L228" s="354"/>
      <c r="M228" s="359" t="str">
        <f aca="false">WORLDCUP!AF138</f>
        <v>W98</v>
      </c>
      <c r="N228" s="332"/>
      <c r="O228" s="332"/>
      <c r="P228" s="332"/>
      <c r="Q228" s="332"/>
      <c r="R228" s="404"/>
      <c r="S228" s="363" t="s">
        <v>2</v>
      </c>
      <c r="T228" s="356" t="n">
        <f aca="false">COUNTIF($M$226:$M$229,S228)*$D$27</f>
        <v>0</v>
      </c>
      <c r="U228" s="407"/>
      <c r="V228" s="363" t="s">
        <v>2</v>
      </c>
      <c r="W228" s="356" t="n">
        <f aca="false">COUNTIF($M$226:$M$229,V228)*$D$27</f>
        <v>0</v>
      </c>
      <c r="X228" s="407"/>
      <c r="Y228" s="363" t="s">
        <v>2</v>
      </c>
      <c r="Z228" s="356" t="n">
        <f aca="false">COUNTIF($M$226:$M$229,Y228)*$D$27</f>
        <v>0</v>
      </c>
      <c r="AA228" s="407"/>
      <c r="AB228" s="363" t="s">
        <v>355</v>
      </c>
      <c r="AC228" s="356" t="n">
        <f aca="false">COUNTIF($M$226:$M$229,AB228)*$D$27</f>
        <v>0</v>
      </c>
      <c r="AD228" s="407"/>
      <c r="AE228" s="363" t="s">
        <v>2</v>
      </c>
      <c r="AF228" s="356" t="n">
        <f aca="false">COUNTIF($M$226:$M$229,AE228)*$D$27</f>
        <v>0</v>
      </c>
      <c r="AG228" s="407"/>
      <c r="AH228" s="363" t="s">
        <v>2</v>
      </c>
      <c r="AI228" s="356" t="n">
        <f aca="false">COUNTIF($M$226:$M$229,AH228)*$D$27</f>
        <v>0</v>
      </c>
      <c r="AJ228" s="407"/>
      <c r="AK228" s="363" t="s">
        <v>2</v>
      </c>
      <c r="AL228" s="356" t="n">
        <f aca="false">COUNTIF($M$226:$M$229,AK228)*$D$27</f>
        <v>0</v>
      </c>
      <c r="AM228" s="407"/>
      <c r="AN228" s="363" t="s">
        <v>2</v>
      </c>
      <c r="AO228" s="356" t="n">
        <f aca="false">COUNTIF($M$226:$M$229,AN228)*$D$27</f>
        <v>0</v>
      </c>
      <c r="AP228" s="407"/>
      <c r="AQ228" s="363" t="s">
        <v>2</v>
      </c>
      <c r="AR228" s="356" t="n">
        <f aca="false">COUNTIF($M$226:$M$229,AQ228)*$D$27</f>
        <v>0</v>
      </c>
      <c r="AS228" s="407"/>
      <c r="AT228" s="363" t="s">
        <v>2</v>
      </c>
      <c r="AU228" s="356" t="n">
        <f aca="false">COUNTIF($M$226:$M$229,AT228)*$D$27</f>
        <v>0</v>
      </c>
      <c r="AV228" s="407"/>
      <c r="AW228" s="363" t="s">
        <v>2</v>
      </c>
      <c r="AX228" s="356" t="n">
        <f aca="false">COUNTIF($M$226:$M$229,AW228)*$D$27</f>
        <v>0</v>
      </c>
      <c r="AY228" s="407"/>
      <c r="AZ228" s="363" t="s">
        <v>2</v>
      </c>
      <c r="BA228" s="356" t="n">
        <f aca="false">COUNTIF($M$226:$M$229,AZ228)*$D$27</f>
        <v>0</v>
      </c>
      <c r="BB228" s="407"/>
      <c r="BC228" s="363" t="s">
        <v>2</v>
      </c>
      <c r="BD228" s="356" t="n">
        <f aca="false">COUNTIF($M$226:$M$229,BC228)*$D$27</f>
        <v>0</v>
      </c>
      <c r="BE228" s="407"/>
      <c r="BF228" s="363" t="s">
        <v>2</v>
      </c>
      <c r="BG228" s="356" t="n">
        <f aca="false">COUNTIF($M$226:$M$229,BF228)*$D$27</f>
        <v>0</v>
      </c>
      <c r="BH228" s="407"/>
      <c r="BI228" s="363" t="s">
        <v>2</v>
      </c>
      <c r="BJ228" s="356" t="n">
        <f aca="false">COUNTIF($M$226:$M$229,BI228)*$D$27</f>
        <v>0</v>
      </c>
      <c r="BK228" s="407"/>
      <c r="BL228" s="363" t="s">
        <v>2</v>
      </c>
      <c r="BM228" s="356" t="n">
        <f aca="false">COUNTIF($M$226:$M$229,BL228)*$D$27</f>
        <v>0</v>
      </c>
      <c r="BN228" s="407"/>
      <c r="BO228" s="363" t="s">
        <v>2</v>
      </c>
      <c r="BP228" s="356" t="n">
        <f aca="false">COUNTIF($M$226:$M$229,BO228)*$D$27</f>
        <v>0</v>
      </c>
      <c r="BQ228" s="407"/>
      <c r="BR228" s="363" t="s">
        <v>2</v>
      </c>
      <c r="BS228" s="356" t="n">
        <f aca="false">COUNTIF($M$226:$M$229,BR228)*$D$27</f>
        <v>0</v>
      </c>
      <c r="BT228" s="407"/>
      <c r="BU228" s="363"/>
      <c r="BV228" s="356" t="n">
        <f aca="false">COUNTIF($M$226:$M$229,BU228)*$D$27</f>
        <v>0</v>
      </c>
      <c r="BW228" s="407"/>
      <c r="BX228" s="363"/>
      <c r="BY228" s="356" t="n">
        <f aca="false">COUNTIF($M$226:$M$229,BX228)*$D$27</f>
        <v>0</v>
      </c>
      <c r="BZ228" s="407"/>
      <c r="CA228" s="363"/>
      <c r="CB228" s="356" t="n">
        <f aca="false">COUNTIF($M$226:$M$229,CA228)*$D$27</f>
        <v>0</v>
      </c>
      <c r="CC228" s="407"/>
      <c r="CD228" s="363"/>
      <c r="CE228" s="356" t="n">
        <f aca="false">COUNTIF($M$226:$M$229,CD228)*$D$27</f>
        <v>0</v>
      </c>
      <c r="CF228" s="407"/>
      <c r="CG228" s="363"/>
      <c r="CH228" s="356" t="n">
        <f aca="false">COUNTIF($M$226:$M$229,CG228)*$D$27</f>
        <v>0</v>
      </c>
      <c r="CI228" s="407"/>
      <c r="CJ228" s="363"/>
      <c r="CK228" s="356" t="n">
        <f aca="false">COUNTIF($M$226:$M$229,CJ228)*$D$27</f>
        <v>0</v>
      </c>
      <c r="CL228" s="407"/>
      <c r="CM228" s="363"/>
      <c r="CN228" s="356" t="n">
        <f aca="false">COUNTIF($M$226:$M$229,CM228)*$D$27</f>
        <v>0</v>
      </c>
      <c r="CO228" s="407"/>
      <c r="CP228" s="363"/>
      <c r="CQ228" s="356" t="n">
        <f aca="false">COUNTIF($M$226:$M$229,CP228)*$D$27</f>
        <v>0</v>
      </c>
      <c r="CR228" s="407"/>
      <c r="CS228" s="363"/>
      <c r="CT228" s="356" t="n">
        <f aca="false">COUNTIF($M$226:$M$229,CS228)*$D$27</f>
        <v>0</v>
      </c>
      <c r="CU228" s="407"/>
      <c r="CV228" s="363"/>
      <c r="CW228" s="356" t="n">
        <f aca="false">COUNTIF($M$226:$M$229,CV228)*$D$27</f>
        <v>0</v>
      </c>
      <c r="CX228" s="407"/>
      <c r="CY228" s="363"/>
      <c r="CZ228" s="356" t="n">
        <f aca="false">COUNTIF($M$226:$M$229,CY228)*$D$27</f>
        <v>0</v>
      </c>
      <c r="DA228" s="407"/>
      <c r="DB228" s="363"/>
      <c r="DC228" s="356" t="n">
        <f aca="false">COUNTIF($M$226:$M$229,DB228)*$D$27</f>
        <v>0</v>
      </c>
      <c r="DD228" s="407"/>
      <c r="DE228" s="363"/>
      <c r="DF228" s="356" t="n">
        <f aca="false">COUNTIF($M$226:$M$229,DE228)*$D$27</f>
        <v>0</v>
      </c>
      <c r="DG228" s="407"/>
      <c r="DH228" s="363"/>
      <c r="DI228" s="356" t="n">
        <f aca="false">COUNTIF($M$226:$M$229,DH228)*$D$27</f>
        <v>0</v>
      </c>
      <c r="DJ228" s="407"/>
      <c r="DK228" s="363"/>
      <c r="DL228" s="356" t="n">
        <f aca="false">COUNTIF($M$226:$M$229,DK228)*$D$27</f>
        <v>0</v>
      </c>
      <c r="DM228" s="407"/>
      <c r="DN228" s="363"/>
      <c r="DO228" s="356" t="n">
        <f aca="false">COUNTIF($M$226:$M$229,DN228)*$D$27</f>
        <v>0</v>
      </c>
      <c r="DP228" s="407"/>
      <c r="DQ228" s="363"/>
      <c r="DR228" s="356" t="n">
        <f aca="false">COUNTIF($M$226:$M$229,DQ228)*$D$27</f>
        <v>0</v>
      </c>
      <c r="DS228" s="407"/>
      <c r="DT228" s="363"/>
      <c r="DU228" s="356" t="n">
        <f aca="false">COUNTIF($M$226:$M$229,DT228)*$D$27</f>
        <v>0</v>
      </c>
      <c r="DV228" s="407"/>
      <c r="DW228" s="363"/>
      <c r="DX228" s="356" t="n">
        <f aca="false">COUNTIF($M$226:$M$229,DW228)*$D$27</f>
        <v>0</v>
      </c>
      <c r="DY228" s="407"/>
      <c r="DZ228" s="363"/>
      <c r="EA228" s="356" t="n">
        <f aca="false">COUNTIF($M$226:$M$229,DZ228)*$D$27</f>
        <v>0</v>
      </c>
      <c r="EB228" s="407"/>
      <c r="EC228" s="363"/>
      <c r="ED228" s="356" t="n">
        <f aca="false">COUNTIF($M$226:$M$229,EC228)*$D$27</f>
        <v>0</v>
      </c>
      <c r="EE228" s="407"/>
      <c r="EF228" s="363"/>
      <c r="EG228" s="356" t="n">
        <f aca="false">COUNTIF($M$226:$M$229,EF228)*$D$27</f>
        <v>0</v>
      </c>
      <c r="EH228" s="407"/>
      <c r="EI228" s="407"/>
    </row>
    <row r="229" customFormat="false" ht="15" hidden="false" customHeight="false" outlineLevel="0" collapsed="false">
      <c r="A229" s="332"/>
      <c r="B229" s="332"/>
      <c r="C229" s="422"/>
      <c r="D229" s="422"/>
      <c r="E229" s="422"/>
      <c r="F229" s="423" t="n">
        <f aca="false">$D$27</f>
        <v>6</v>
      </c>
      <c r="G229" s="423" t="n">
        <f aca="false">VLOOKUP(H229,Equipos!$Q$1:$R$25,2,0)</f>
        <v>22</v>
      </c>
      <c r="H229" s="410" t="str">
        <f aca="false">Idiomas!$D$262</f>
        <v>Cuartos de final</v>
      </c>
      <c r="I229" s="410"/>
      <c r="J229" s="418"/>
      <c r="K229" s="367" t="str">
        <f aca="false">Idiomas!$D$201&amp;"-"&amp;ROWS($L$226:L229)</f>
        <v>Semifinalista-4</v>
      </c>
      <c r="L229" s="354"/>
      <c r="M229" s="359" t="str">
        <f aca="false">WORLDCUP!AF139</f>
        <v>W100</v>
      </c>
      <c r="N229" s="332"/>
      <c r="O229" s="332"/>
      <c r="P229" s="332"/>
      <c r="Q229" s="332"/>
      <c r="R229" s="404"/>
      <c r="S229" s="398" t="s">
        <v>370</v>
      </c>
      <c r="T229" s="399" t="n">
        <f aca="false">COUNTIF($M$226:$M$229,S229)*$D$27</f>
        <v>0</v>
      </c>
      <c r="U229" s="407"/>
      <c r="V229" s="398" t="s">
        <v>366</v>
      </c>
      <c r="W229" s="399" t="n">
        <f aca="false">COUNTIF($M$226:$M$229,V229)*$D$27</f>
        <v>0</v>
      </c>
      <c r="X229" s="407"/>
      <c r="Y229" s="398" t="s">
        <v>370</v>
      </c>
      <c r="Z229" s="399" t="n">
        <f aca="false">COUNTIF($M$226:$M$229,Y229)*$D$27</f>
        <v>0</v>
      </c>
      <c r="AA229" s="407"/>
      <c r="AB229" s="398" t="s">
        <v>366</v>
      </c>
      <c r="AC229" s="399" t="n">
        <f aca="false">COUNTIF($M$226:$M$229,AB229)*$D$27</f>
        <v>0</v>
      </c>
      <c r="AD229" s="407"/>
      <c r="AE229" s="398" t="s">
        <v>366</v>
      </c>
      <c r="AF229" s="399" t="n">
        <f aca="false">COUNTIF($M$226:$M$229,AE229)*$D$27</f>
        <v>0</v>
      </c>
      <c r="AG229" s="407"/>
      <c r="AH229" s="398" t="s">
        <v>370</v>
      </c>
      <c r="AI229" s="399" t="n">
        <f aca="false">COUNTIF($M$226:$M$229,AH229)*$D$27</f>
        <v>0</v>
      </c>
      <c r="AJ229" s="407"/>
      <c r="AK229" s="398" t="s">
        <v>366</v>
      </c>
      <c r="AL229" s="399" t="n">
        <f aca="false">COUNTIF($M$226:$M$229,AK229)*$D$27</f>
        <v>0</v>
      </c>
      <c r="AM229" s="407"/>
      <c r="AN229" s="398" t="s">
        <v>370</v>
      </c>
      <c r="AO229" s="399" t="n">
        <f aca="false">COUNTIF($M$226:$M$229,AN229)*$D$27</f>
        <v>0</v>
      </c>
      <c r="AP229" s="407"/>
      <c r="AQ229" s="398" t="s">
        <v>370</v>
      </c>
      <c r="AR229" s="399" t="n">
        <f aca="false">COUNTIF($M$226:$M$229,AQ229)*$D$27</f>
        <v>0</v>
      </c>
      <c r="AS229" s="407"/>
      <c r="AT229" s="398" t="s">
        <v>370</v>
      </c>
      <c r="AU229" s="399" t="n">
        <f aca="false">COUNTIF($M$226:$M$229,AT229)*$D$27</f>
        <v>0</v>
      </c>
      <c r="AV229" s="407"/>
      <c r="AW229" s="398" t="s">
        <v>370</v>
      </c>
      <c r="AX229" s="399" t="n">
        <f aca="false">COUNTIF($M$226:$M$229,AW229)*$D$27</f>
        <v>0</v>
      </c>
      <c r="AY229" s="407"/>
      <c r="AZ229" s="398" t="s">
        <v>370</v>
      </c>
      <c r="BA229" s="399" t="n">
        <f aca="false">COUNTIF($M$226:$M$229,AZ229)*$D$27</f>
        <v>0</v>
      </c>
      <c r="BB229" s="407"/>
      <c r="BC229" s="398" t="s">
        <v>375</v>
      </c>
      <c r="BD229" s="399" t="n">
        <f aca="false">COUNTIF($M$226:$M$229,BC229)*$D$27</f>
        <v>0</v>
      </c>
      <c r="BE229" s="407"/>
      <c r="BF229" s="398" t="s">
        <v>370</v>
      </c>
      <c r="BG229" s="399" t="n">
        <f aca="false">COUNTIF($M$226:$M$229,BF229)*$D$27</f>
        <v>0</v>
      </c>
      <c r="BH229" s="407"/>
      <c r="BI229" s="398" t="s">
        <v>366</v>
      </c>
      <c r="BJ229" s="399" t="n">
        <f aca="false">COUNTIF($M$226:$M$229,BI229)*$D$27</f>
        <v>0</v>
      </c>
      <c r="BK229" s="407"/>
      <c r="BL229" s="398" t="s">
        <v>366</v>
      </c>
      <c r="BM229" s="399" t="n">
        <f aca="false">COUNTIF($M$226:$M$229,BL229)*$D$27</f>
        <v>0</v>
      </c>
      <c r="BN229" s="407"/>
      <c r="BO229" s="398" t="s">
        <v>366</v>
      </c>
      <c r="BP229" s="399" t="n">
        <f aca="false">COUNTIF($M$226:$M$229,BO229)*$D$27</f>
        <v>0</v>
      </c>
      <c r="BQ229" s="407"/>
      <c r="BR229" s="398" t="s">
        <v>366</v>
      </c>
      <c r="BS229" s="399" t="n">
        <f aca="false">COUNTIF($M$226:$M$229,BR229)*$D$27</f>
        <v>0</v>
      </c>
      <c r="BT229" s="407"/>
      <c r="BU229" s="398"/>
      <c r="BV229" s="399" t="n">
        <f aca="false">COUNTIF($M$226:$M$229,BU229)*$D$27</f>
        <v>0</v>
      </c>
      <c r="BW229" s="407"/>
      <c r="BX229" s="398"/>
      <c r="BY229" s="399" t="n">
        <f aca="false">COUNTIF($M$226:$M$229,BX229)*$D$27</f>
        <v>0</v>
      </c>
      <c r="BZ229" s="407"/>
      <c r="CA229" s="398"/>
      <c r="CB229" s="399" t="n">
        <f aca="false">COUNTIF($M$226:$M$229,CA229)*$D$27</f>
        <v>0</v>
      </c>
      <c r="CC229" s="407"/>
      <c r="CD229" s="398"/>
      <c r="CE229" s="399" t="n">
        <f aca="false">COUNTIF($M$226:$M$229,CD229)*$D$27</f>
        <v>0</v>
      </c>
      <c r="CF229" s="407"/>
      <c r="CG229" s="398"/>
      <c r="CH229" s="399" t="n">
        <f aca="false">COUNTIF($M$226:$M$229,CG229)*$D$27</f>
        <v>0</v>
      </c>
      <c r="CI229" s="407"/>
      <c r="CJ229" s="398"/>
      <c r="CK229" s="399" t="n">
        <f aca="false">COUNTIF($M$226:$M$229,CJ229)*$D$27</f>
        <v>0</v>
      </c>
      <c r="CL229" s="407"/>
      <c r="CM229" s="398"/>
      <c r="CN229" s="399" t="n">
        <f aca="false">COUNTIF($M$226:$M$229,CM229)*$D$27</f>
        <v>0</v>
      </c>
      <c r="CO229" s="407"/>
      <c r="CP229" s="398"/>
      <c r="CQ229" s="399" t="n">
        <f aca="false">COUNTIF($M$226:$M$229,CP229)*$D$27</f>
        <v>0</v>
      </c>
      <c r="CR229" s="407"/>
      <c r="CS229" s="398"/>
      <c r="CT229" s="399" t="n">
        <f aca="false">COUNTIF($M$226:$M$229,CS229)*$D$27</f>
        <v>0</v>
      </c>
      <c r="CU229" s="407"/>
      <c r="CV229" s="398"/>
      <c r="CW229" s="399" t="n">
        <f aca="false">COUNTIF($M$226:$M$229,CV229)*$D$27</f>
        <v>0</v>
      </c>
      <c r="CX229" s="407"/>
      <c r="CY229" s="398"/>
      <c r="CZ229" s="399" t="n">
        <f aca="false">COUNTIF($M$226:$M$229,CY229)*$D$27</f>
        <v>0</v>
      </c>
      <c r="DA229" s="407"/>
      <c r="DB229" s="398"/>
      <c r="DC229" s="399" t="n">
        <f aca="false">COUNTIF($M$226:$M$229,DB229)*$D$27</f>
        <v>0</v>
      </c>
      <c r="DD229" s="407"/>
      <c r="DE229" s="398"/>
      <c r="DF229" s="399" t="n">
        <f aca="false">COUNTIF($M$226:$M$229,DE229)*$D$27</f>
        <v>0</v>
      </c>
      <c r="DG229" s="407"/>
      <c r="DH229" s="398"/>
      <c r="DI229" s="399" t="n">
        <f aca="false">COUNTIF($M$226:$M$229,DH229)*$D$27</f>
        <v>0</v>
      </c>
      <c r="DJ229" s="407"/>
      <c r="DK229" s="398"/>
      <c r="DL229" s="399" t="n">
        <f aca="false">COUNTIF($M$226:$M$229,DK229)*$D$27</f>
        <v>0</v>
      </c>
      <c r="DM229" s="407"/>
      <c r="DN229" s="398"/>
      <c r="DO229" s="399" t="n">
        <f aca="false">COUNTIF($M$226:$M$229,DN229)*$D$27</f>
        <v>0</v>
      </c>
      <c r="DP229" s="407"/>
      <c r="DQ229" s="398"/>
      <c r="DR229" s="399" t="n">
        <f aca="false">COUNTIF($M$226:$M$229,DQ229)*$D$27</f>
        <v>0</v>
      </c>
      <c r="DS229" s="407"/>
      <c r="DT229" s="398"/>
      <c r="DU229" s="399" t="n">
        <f aca="false">COUNTIF($M$226:$M$229,DT229)*$D$27</f>
        <v>0</v>
      </c>
      <c r="DV229" s="407"/>
      <c r="DW229" s="398"/>
      <c r="DX229" s="399" t="n">
        <f aca="false">COUNTIF($M$226:$M$229,DW229)*$D$27</f>
        <v>0</v>
      </c>
      <c r="DY229" s="407"/>
      <c r="DZ229" s="398"/>
      <c r="EA229" s="399" t="n">
        <f aca="false">COUNTIF($M$226:$M$229,DZ229)*$D$27</f>
        <v>0</v>
      </c>
      <c r="EB229" s="407"/>
      <c r="EC229" s="398"/>
      <c r="ED229" s="399" t="n">
        <f aca="false">COUNTIF($M$226:$M$229,EC229)*$D$27</f>
        <v>0</v>
      </c>
      <c r="EE229" s="407"/>
      <c r="EF229" s="398"/>
      <c r="EG229" s="399" t="n">
        <f aca="false">COUNTIF($M$226:$M$229,EF229)*$D$27</f>
        <v>0</v>
      </c>
      <c r="EH229" s="407"/>
      <c r="EI229" s="407"/>
    </row>
    <row r="230" customFormat="false" ht="15" hidden="false" customHeight="false" outlineLevel="0" collapsed="false">
      <c r="A230" s="332"/>
      <c r="B230" s="332"/>
      <c r="C230" s="422"/>
      <c r="D230" s="422"/>
      <c r="E230" s="422"/>
      <c r="F230" s="423"/>
      <c r="G230" s="423"/>
      <c r="H230" s="410"/>
      <c r="I230" s="410"/>
      <c r="J230" s="413"/>
      <c r="K230" s="414" t="str">
        <f aca="false">Idiomas!D463</f>
        <v>Equipos 1/2</v>
      </c>
      <c r="L230" s="415"/>
      <c r="M230" s="414" t="str">
        <f aca="false">"Max: "&amp;$D$27*COUNT(T226:T229)</f>
        <v>Max: 24</v>
      </c>
      <c r="N230" s="332"/>
      <c r="O230" s="332"/>
      <c r="P230" s="332"/>
      <c r="Q230" s="332"/>
      <c r="R230" s="327"/>
      <c r="S230" s="416"/>
      <c r="T230" s="347" t="n">
        <f aca="false">SUM(T226:T229)</f>
        <v>0</v>
      </c>
      <c r="U230" s="338"/>
      <c r="V230" s="416"/>
      <c r="W230" s="347" t="n">
        <f aca="false">SUM(W226:W229)</f>
        <v>0</v>
      </c>
      <c r="X230" s="338"/>
      <c r="Y230" s="416"/>
      <c r="Z230" s="347" t="n">
        <f aca="false">SUM(Z226:Z229)</f>
        <v>0</v>
      </c>
      <c r="AA230" s="338"/>
      <c r="AB230" s="416"/>
      <c r="AC230" s="347" t="n">
        <f aca="false">SUM(AC226:AC229)</f>
        <v>0</v>
      </c>
      <c r="AD230" s="338"/>
      <c r="AE230" s="416"/>
      <c r="AF230" s="347" t="n">
        <f aca="false">SUM(AF226:AF229)</f>
        <v>0</v>
      </c>
      <c r="AG230" s="338"/>
      <c r="AH230" s="416"/>
      <c r="AI230" s="347" t="n">
        <f aca="false">SUM(AI226:AI229)</f>
        <v>0</v>
      </c>
      <c r="AJ230" s="338"/>
      <c r="AK230" s="416"/>
      <c r="AL230" s="347" t="n">
        <f aca="false">SUM(AL226:AL229)</f>
        <v>0</v>
      </c>
      <c r="AM230" s="338"/>
      <c r="AN230" s="416"/>
      <c r="AO230" s="347" t="n">
        <f aca="false">SUM(AO226:AO229)</f>
        <v>0</v>
      </c>
      <c r="AP230" s="338"/>
      <c r="AQ230" s="416"/>
      <c r="AR230" s="347" t="n">
        <f aca="false">SUM(AR226:AR229)</f>
        <v>0</v>
      </c>
      <c r="AS230" s="338"/>
      <c r="AT230" s="416"/>
      <c r="AU230" s="347" t="n">
        <f aca="false">SUM(AU226:AU229)</f>
        <v>0</v>
      </c>
      <c r="AV230" s="338"/>
      <c r="AW230" s="416"/>
      <c r="AX230" s="347" t="n">
        <f aca="false">SUM(AX226:AX229)</f>
        <v>0</v>
      </c>
      <c r="AY230" s="338"/>
      <c r="AZ230" s="416"/>
      <c r="BA230" s="347" t="n">
        <f aca="false">SUM(BA226:BA229)</f>
        <v>0</v>
      </c>
      <c r="BB230" s="338"/>
      <c r="BC230" s="416"/>
      <c r="BD230" s="347" t="n">
        <f aca="false">SUM(BD226:BD229)</f>
        <v>0</v>
      </c>
      <c r="BE230" s="338"/>
      <c r="BF230" s="416"/>
      <c r="BG230" s="347" t="n">
        <f aca="false">SUM(BG226:BG229)</f>
        <v>0</v>
      </c>
      <c r="BH230" s="338"/>
      <c r="BI230" s="416"/>
      <c r="BJ230" s="347" t="n">
        <f aca="false">SUM(BJ226:BJ229)</f>
        <v>0</v>
      </c>
      <c r="BK230" s="338"/>
      <c r="BL230" s="416"/>
      <c r="BM230" s="347" t="n">
        <f aca="false">SUM(BM226:BM229)</f>
        <v>0</v>
      </c>
      <c r="BN230" s="338"/>
      <c r="BO230" s="416"/>
      <c r="BP230" s="347" t="n">
        <f aca="false">SUM(BP226:BP229)</f>
        <v>0</v>
      </c>
      <c r="BQ230" s="338"/>
      <c r="BR230" s="416"/>
      <c r="BS230" s="347" t="n">
        <f aca="false">SUM(BS226:BS229)</f>
        <v>0</v>
      </c>
      <c r="BT230" s="338"/>
      <c r="BU230" s="416"/>
      <c r="BV230" s="347" t="n">
        <f aca="false">SUM(BV226:BV229)</f>
        <v>0</v>
      </c>
      <c r="BW230" s="338"/>
      <c r="BX230" s="416"/>
      <c r="BY230" s="347" t="n">
        <f aca="false">SUM(BY226:BY229)</f>
        <v>0</v>
      </c>
      <c r="BZ230" s="338"/>
      <c r="CA230" s="416"/>
      <c r="CB230" s="347" t="n">
        <f aca="false">SUM(CB226:CB229)</f>
        <v>0</v>
      </c>
      <c r="CC230" s="338"/>
      <c r="CD230" s="416"/>
      <c r="CE230" s="347" t="n">
        <f aca="false">SUM(CE226:CE229)</f>
        <v>0</v>
      </c>
      <c r="CF230" s="338"/>
      <c r="CG230" s="416"/>
      <c r="CH230" s="347" t="n">
        <f aca="false">SUM(CH226:CH229)</f>
        <v>0</v>
      </c>
      <c r="CI230" s="338"/>
      <c r="CJ230" s="416"/>
      <c r="CK230" s="347" t="n">
        <f aca="false">SUM(CK226:CK229)</f>
        <v>0</v>
      </c>
      <c r="CL230" s="338"/>
      <c r="CM230" s="416"/>
      <c r="CN230" s="347" t="n">
        <f aca="false">SUM(CN226:CN229)</f>
        <v>0</v>
      </c>
      <c r="CO230" s="338"/>
      <c r="CP230" s="416"/>
      <c r="CQ230" s="347" t="n">
        <f aca="false">SUM(CQ226:CQ229)</f>
        <v>0</v>
      </c>
      <c r="CR230" s="338"/>
      <c r="CS230" s="416"/>
      <c r="CT230" s="347" t="n">
        <f aca="false">SUM(CT226:CT229)</f>
        <v>0</v>
      </c>
      <c r="CU230" s="338"/>
      <c r="CV230" s="416"/>
      <c r="CW230" s="347" t="n">
        <f aca="false">SUM(CW226:CW229)</f>
        <v>0</v>
      </c>
      <c r="CX230" s="338"/>
      <c r="CY230" s="416"/>
      <c r="CZ230" s="347" t="n">
        <f aca="false">SUM(CZ226:CZ229)</f>
        <v>0</v>
      </c>
      <c r="DA230" s="338"/>
      <c r="DB230" s="416"/>
      <c r="DC230" s="347" t="n">
        <f aca="false">SUM(DC226:DC229)</f>
        <v>0</v>
      </c>
      <c r="DD230" s="338"/>
      <c r="DE230" s="416"/>
      <c r="DF230" s="347" t="n">
        <f aca="false">SUM(DF226:DF229)</f>
        <v>0</v>
      </c>
      <c r="DG230" s="338"/>
      <c r="DH230" s="416"/>
      <c r="DI230" s="347" t="n">
        <f aca="false">SUM(DI226:DI229)</f>
        <v>0</v>
      </c>
      <c r="DJ230" s="338"/>
      <c r="DK230" s="416"/>
      <c r="DL230" s="347" t="n">
        <f aca="false">SUM(DL226:DL229)</f>
        <v>0</v>
      </c>
      <c r="DM230" s="338"/>
      <c r="DN230" s="416"/>
      <c r="DO230" s="347" t="n">
        <f aca="false">SUM(DO226:DO229)</f>
        <v>0</v>
      </c>
      <c r="DP230" s="338"/>
      <c r="DQ230" s="416"/>
      <c r="DR230" s="347" t="n">
        <f aca="false">SUM(DR226:DR229)</f>
        <v>0</v>
      </c>
      <c r="DS230" s="338"/>
      <c r="DT230" s="416"/>
      <c r="DU230" s="347" t="n">
        <f aca="false">SUM(DU226:DU229)</f>
        <v>0</v>
      </c>
      <c r="DV230" s="338"/>
      <c r="DW230" s="416"/>
      <c r="DX230" s="347" t="n">
        <f aca="false">SUM(DX226:DX229)</f>
        <v>0</v>
      </c>
      <c r="DY230" s="338"/>
      <c r="DZ230" s="416"/>
      <c r="EA230" s="347" t="n">
        <f aca="false">SUM(EA226:EA229)</f>
        <v>0</v>
      </c>
      <c r="EB230" s="338"/>
      <c r="EC230" s="416"/>
      <c r="ED230" s="347" t="n">
        <f aca="false">SUM(ED226:ED229)</f>
        <v>0</v>
      </c>
      <c r="EE230" s="338"/>
      <c r="EF230" s="416"/>
      <c r="EG230" s="347" t="n">
        <f aca="false">SUM(EG226:EG229)</f>
        <v>0</v>
      </c>
      <c r="EH230" s="338"/>
      <c r="EI230" s="338"/>
    </row>
    <row r="231" customFormat="false" ht="15" hidden="false" customHeight="false" outlineLevel="0" collapsed="false">
      <c r="A231" s="332"/>
      <c r="B231" s="332"/>
      <c r="C231" s="422"/>
      <c r="D231" s="422"/>
      <c r="E231" s="422"/>
      <c r="F231" s="423"/>
      <c r="G231" s="423"/>
      <c r="H231" s="410"/>
      <c r="I231" s="419" t="s">
        <v>244</v>
      </c>
      <c r="J231" s="413"/>
      <c r="K231" s="346" t="str">
        <f aca="false">Idiomas!D144</f>
        <v>ENFRENTAMIENTOS SEMIFINALES</v>
      </c>
      <c r="L231" s="333"/>
      <c r="M231" s="347"/>
      <c r="N231" s="332"/>
      <c r="O231" s="332"/>
      <c r="P231" s="332"/>
      <c r="Q231" s="332"/>
      <c r="R231" s="327"/>
      <c r="S231" s="416"/>
      <c r="T231" s="347"/>
      <c r="U231" s="338"/>
      <c r="V231" s="416"/>
      <c r="W231" s="347"/>
      <c r="X231" s="338"/>
      <c r="Y231" s="416"/>
      <c r="Z231" s="347"/>
      <c r="AA231" s="338"/>
      <c r="AB231" s="427"/>
      <c r="AC231" s="347"/>
      <c r="AD231" s="334"/>
      <c r="AE231" s="416"/>
      <c r="AF231" s="347"/>
      <c r="AG231" s="338"/>
      <c r="AH231" s="416"/>
      <c r="AI231" s="347"/>
      <c r="AJ231" s="338"/>
      <c r="AK231" s="416"/>
      <c r="AL231" s="347"/>
      <c r="AM231" s="338"/>
      <c r="AN231" s="416"/>
      <c r="AO231" s="347"/>
      <c r="AP231" s="338"/>
      <c r="AQ231" s="427"/>
      <c r="AR231" s="347"/>
      <c r="AS231" s="334"/>
      <c r="AT231" s="416"/>
      <c r="AU231" s="347"/>
      <c r="AV231" s="338"/>
      <c r="AW231" s="416"/>
      <c r="AX231" s="347"/>
      <c r="AY231" s="338"/>
      <c r="AZ231" s="416"/>
      <c r="BA231" s="347"/>
      <c r="BB231" s="338"/>
      <c r="BC231" s="416"/>
      <c r="BD231" s="347"/>
      <c r="BE231" s="338"/>
      <c r="BF231" s="427"/>
      <c r="BG231" s="347"/>
      <c r="BH231" s="334"/>
      <c r="BI231" s="416"/>
      <c r="BJ231" s="347"/>
      <c r="BK231" s="338"/>
      <c r="BL231" s="416"/>
      <c r="BM231" s="347"/>
      <c r="BN231" s="338"/>
      <c r="BO231" s="416"/>
      <c r="BP231" s="347"/>
      <c r="BQ231" s="338"/>
      <c r="BR231" s="416"/>
      <c r="BS231" s="347"/>
      <c r="BT231" s="338"/>
      <c r="BU231" s="427"/>
      <c r="BV231" s="347"/>
      <c r="BW231" s="334"/>
      <c r="BX231" s="416"/>
      <c r="BY231" s="347"/>
      <c r="BZ231" s="338"/>
      <c r="CA231" s="416"/>
      <c r="CB231" s="347"/>
      <c r="CC231" s="338"/>
      <c r="CD231" s="416"/>
      <c r="CE231" s="347"/>
      <c r="CF231" s="338"/>
      <c r="CG231" s="416"/>
      <c r="CH231" s="347"/>
      <c r="CI231" s="338"/>
      <c r="CJ231" s="427"/>
      <c r="CK231" s="347"/>
      <c r="CL231" s="334"/>
      <c r="CM231" s="416"/>
      <c r="CN231" s="347"/>
      <c r="CO231" s="338"/>
      <c r="CP231" s="416"/>
      <c r="CQ231" s="347"/>
      <c r="CR231" s="338"/>
      <c r="CS231" s="416"/>
      <c r="CT231" s="347"/>
      <c r="CU231" s="338"/>
      <c r="CV231" s="416"/>
      <c r="CW231" s="347"/>
      <c r="CX231" s="338"/>
      <c r="CY231" s="427"/>
      <c r="CZ231" s="347"/>
      <c r="DA231" s="334"/>
      <c r="DB231" s="416"/>
      <c r="DC231" s="347"/>
      <c r="DD231" s="338"/>
      <c r="DE231" s="416"/>
      <c r="DF231" s="347"/>
      <c r="DG231" s="338"/>
      <c r="DH231" s="416"/>
      <c r="DI231" s="347"/>
      <c r="DJ231" s="338"/>
      <c r="DK231" s="416"/>
      <c r="DL231" s="347"/>
      <c r="DM231" s="338"/>
      <c r="DN231" s="427"/>
      <c r="DO231" s="347"/>
      <c r="DP231" s="334"/>
      <c r="DQ231" s="416"/>
      <c r="DR231" s="347"/>
      <c r="DS231" s="338"/>
      <c r="DT231" s="416"/>
      <c r="DU231" s="347"/>
      <c r="DV231" s="338"/>
      <c r="DW231" s="416"/>
      <c r="DX231" s="347"/>
      <c r="DY231" s="338"/>
      <c r="DZ231" s="416"/>
      <c r="EA231" s="347"/>
      <c r="EB231" s="338"/>
      <c r="EC231" s="427"/>
      <c r="ED231" s="347"/>
      <c r="EE231" s="334"/>
      <c r="EF231" s="416"/>
      <c r="EG231" s="347"/>
      <c r="EH231" s="338"/>
      <c r="EI231" s="338"/>
    </row>
    <row r="232" customFormat="false" ht="15" hidden="false" customHeight="false" outlineLevel="0" collapsed="false">
      <c r="A232" s="332" t="n">
        <f aca="false">WORLDCUP!AD138</f>
        <v>0</v>
      </c>
      <c r="B232" s="332" t="n">
        <f aca="false">WORLDCUP!AC138</f>
        <v>0</v>
      </c>
      <c r="C232" s="422" t="str">
        <f aca="false">CONCATENATE(WORLDCUP!AF138,"-",WORLDCUP!AA138)</f>
        <v>W98-W97</v>
      </c>
      <c r="D232" s="422" t="str">
        <f aca="false">IF(WORLDCUP!AC138&gt;WORLDCUP!AD138,2,IF(WORLDCUP!AC138&lt;WORLDCUP!AD138,1,IF(AND(WORLDCUP!AC138=WORLDCUP!AD138,WORLDCUP!AC138&lt;&gt;"",WORLDCUP!AD138&lt;&gt;""),0,"PD")))</f>
        <v>PD</v>
      </c>
      <c r="E232" s="422" t="str">
        <f aca="false">IF(OR(WORLDCUP!AD138="",WORLDCUP!AC138=""),"-",A232&amp;"-"&amp;B232)</f>
        <v>-</v>
      </c>
      <c r="F232" s="423" t="n">
        <f aca="false">SUM($D$28:$D$30)*I232</f>
        <v>18</v>
      </c>
      <c r="G232" s="423" t="n">
        <f aca="false">VLOOKUP(H232,Equipos!$Q$1:$R$25,2,0)</f>
        <v>23</v>
      </c>
      <c r="H232" s="410" t="str">
        <f aca="false">Idiomas!$D$263</f>
        <v>Semifinales</v>
      </c>
      <c r="I232" s="425" t="n">
        <v>1</v>
      </c>
      <c r="J232" s="428" t="s">
        <v>222</v>
      </c>
      <c r="K232" s="354" t="str">
        <f aca="false">CONCATENATE(WORLDCUP!AA138,"-",WORLDCUP!AF138)</f>
        <v>W97-W98</v>
      </c>
      <c r="L232" s="354" t="str">
        <f aca="false">IF(OR(WORLDCUP!AC138="",WORLDCUP!AD138=""),"PD",IF(WORLDCUP!AC138&gt;WORLDCUP!AD138,1,IF(WORLDCUP!AC138&lt;WORLDCUP!AD138,2,0)))</f>
        <v>PD</v>
      </c>
      <c r="M232" s="359" t="str">
        <f aca="false">IF(OR(WORLDCUP!AC138="",WORLDCUP!AD138=""),"-",N232&amp;"|"&amp;O232&amp;"-"&amp;P232)</f>
        <v>-</v>
      </c>
      <c r="N232" s="332" t="str">
        <f aca="false">IF(OR(WORLDCUP!AC138="",WORLDCUP!AD138=""),"",IF(WORLDCUP!AC138&gt;WORLDCUP!AD138,"1",IF(WORLDCUP!AC138&lt;WORLDCUP!AD138,"2","X")))</f>
        <v/>
      </c>
      <c r="O232" s="332" t="n">
        <f aca="false">WORLDCUP!AC138</f>
        <v>0</v>
      </c>
      <c r="P232" s="332" t="n">
        <f aca="false">WORLDCUP!AD138</f>
        <v>0</v>
      </c>
      <c r="Q232" s="332" t="n">
        <f aca="false">ABS(O232-P232)</f>
        <v>0</v>
      </c>
      <c r="R232" s="404"/>
      <c r="S232" s="370" t="s">
        <v>266</v>
      </c>
      <c r="T232" s="356" t="n">
        <f aca="false">IFERROR(IF($M232=S232,($D$8+$D$9+$D$10)*$I232,IF($N232=LEFT(S232,1),($D$8+MAX(0,IF($D$50=1,$D$9*(1-(ABS($Q232-ABS(VALUE(MID(S232,FIND("|",S232)+1,FIND("-",S232)-FIND("|",S232)-1))-VALUE(MID(S232,FIND("-",S232)+1,10)))))*$D$50),$D$9*(1-(IF($N232="X",ABS($O232-VALUE(MID(S232,FIND("|",S232)+1,FIND("-",S232)-FIND("|",S232)-1))),ABS($Q232-ABS(VALUE(MID(S232,FIND("|",S232)+1,FIND("-",S232)-FIND("|",S232)-1))-VALUE(MID(S232,FIND("-",S232)+1,10)))))*$D$50)))))*$I232,0)),0)</f>
        <v>0</v>
      </c>
      <c r="U232" s="404"/>
      <c r="V232" s="370" t="s">
        <v>264</v>
      </c>
      <c r="W232" s="356" t="n">
        <f aca="false">IFERROR(IF($M232=V232,($D$8+$D$9+$D$10)*$I232,IF($N232=LEFT(V232,1),($D$8+MAX(0,IF($D$50=1,$D$9*(1-(ABS($Q232-ABS(VALUE(MID(V232,FIND("|",V232)+1,FIND("-",V232)-FIND("|",V232)-1))-VALUE(MID(V232,FIND("-",V232)+1,10)))))*$D$50),$D$9*(1-(IF($N232="X",ABS($O232-VALUE(MID(V232,FIND("|",V232)+1,FIND("-",V232)-FIND("|",V232)-1))),ABS($Q232-ABS(VALUE(MID(V232,FIND("|",V232)+1,FIND("-",V232)-FIND("|",V232)-1))-VALUE(MID(V232,FIND("-",V232)+1,10)))))*$D$50)))))*$I232,0)),0)</f>
        <v>0</v>
      </c>
      <c r="X232" s="404"/>
      <c r="Y232" s="370" t="s">
        <v>268</v>
      </c>
      <c r="Z232" s="356" t="n">
        <f aca="false">IFERROR(IF($M232=Y232,($D$8+$D$9+$D$10)*$I232,IF($N232=LEFT(Y232,1),($D$8+MAX(0,IF($D$50=1,$D$9*(1-(ABS($Q232-ABS(VALUE(MID(Y232,FIND("|",Y232)+1,FIND("-",Y232)-FIND("|",Y232)-1))-VALUE(MID(Y232,FIND("-",Y232)+1,10)))))*$D$50),$D$9*(1-(IF($N232="X",ABS($O232-VALUE(MID(Y232,FIND("|",Y232)+1,FIND("-",Y232)-FIND("|",Y232)-1))),ABS($Q232-ABS(VALUE(MID(Y232,FIND("|",Y232)+1,FIND("-",Y232)-FIND("|",Y232)-1))-VALUE(MID(Y232,FIND("-",Y232)+1,10)))))*$D$50)))))*$I232,0)),0)</f>
        <v>0</v>
      </c>
      <c r="AA232" s="404"/>
      <c r="AB232" s="370" t="s">
        <v>266</v>
      </c>
      <c r="AC232" s="356" t="n">
        <f aca="false">IFERROR(IF($M232=AB232,($D$8+$D$9+$D$10)*$I232,IF($N232=LEFT(AB232,1),($D$8+MAX(0,IF($D$50=1,$D$9*(1-(ABS($Q232-ABS(VALUE(MID(AB232,FIND("|",AB232)+1,FIND("-",AB232)-FIND("|",AB232)-1))-VALUE(MID(AB232,FIND("-",AB232)+1,10)))))*$D$50),$D$9*(1-(IF($N232="X",ABS($O232-VALUE(MID(AB232,FIND("|",AB232)+1,FIND("-",AB232)-FIND("|",AB232)-1))),ABS($Q232-ABS(VALUE(MID(AB232,FIND("|",AB232)+1,FIND("-",AB232)-FIND("|",AB232)-1))-VALUE(MID(AB232,FIND("-",AB232)+1,10)))))*$D$50)))))*$I232,0)),0)</f>
        <v>0</v>
      </c>
      <c r="AD232" s="404"/>
      <c r="AE232" s="370" t="s">
        <v>318</v>
      </c>
      <c r="AF232" s="356" t="n">
        <f aca="false">IFERROR(IF($M232=AE232,($D$8+$D$9+$D$10)*$I232,IF($N232=LEFT(AE232,1),($D$8+MAX(0,IF($D$50=1,$D$9*(1-(ABS($Q232-ABS(VALUE(MID(AE232,FIND("|",AE232)+1,FIND("-",AE232)-FIND("|",AE232)-1))-VALUE(MID(AE232,FIND("-",AE232)+1,10)))))*$D$50),$D$9*(1-(IF($N232="X",ABS($O232-VALUE(MID(AE232,FIND("|",AE232)+1,FIND("-",AE232)-FIND("|",AE232)-1))),ABS($Q232-ABS(VALUE(MID(AE232,FIND("|",AE232)+1,FIND("-",AE232)-FIND("|",AE232)-1))-VALUE(MID(AE232,FIND("-",AE232)+1,10)))))*$D$50)))))*$I232,0)),0)</f>
        <v>0</v>
      </c>
      <c r="AG232" s="404"/>
      <c r="AH232" s="370" t="s">
        <v>268</v>
      </c>
      <c r="AI232" s="356" t="n">
        <f aca="false">IFERROR(IF($M232=AH232,($D$8+$D$9+$D$10)*$I232,IF($N232=LEFT(AH232,1),($D$8+MAX(0,IF($D$50=1,$D$9*(1-(ABS($Q232-ABS(VALUE(MID(AH232,FIND("|",AH232)+1,FIND("-",AH232)-FIND("|",AH232)-1))-VALUE(MID(AH232,FIND("-",AH232)+1,10)))))*$D$50),$D$9*(1-(IF($N232="X",ABS($O232-VALUE(MID(AH232,FIND("|",AH232)+1,FIND("-",AH232)-FIND("|",AH232)-1))),ABS($Q232-ABS(VALUE(MID(AH232,FIND("|",AH232)+1,FIND("-",AH232)-FIND("|",AH232)-1))-VALUE(MID(AH232,FIND("-",AH232)+1,10)))))*$D$50)))))*$I232,0)),0)</f>
        <v>0</v>
      </c>
      <c r="AJ232" s="404"/>
      <c r="AK232" s="370" t="s">
        <v>268</v>
      </c>
      <c r="AL232" s="356" t="n">
        <f aca="false">IFERROR(IF($M232=AK232,($D$8+$D$9+$D$10)*$I232,IF($N232=LEFT(AK232,1),($D$8+MAX(0,IF($D$50=1,$D$9*(1-(ABS($Q232-ABS(VALUE(MID(AK232,FIND("|",AK232)+1,FIND("-",AK232)-FIND("|",AK232)-1))-VALUE(MID(AK232,FIND("-",AK232)+1,10)))))*$D$50),$D$9*(1-(IF($N232="X",ABS($O232-VALUE(MID(AK232,FIND("|",AK232)+1,FIND("-",AK232)-FIND("|",AK232)-1))),ABS($Q232-ABS(VALUE(MID(AK232,FIND("|",AK232)+1,FIND("-",AK232)-FIND("|",AK232)-1))-VALUE(MID(AK232,FIND("-",AK232)+1,10)))))*$D$50)))))*$I232,0)),0)</f>
        <v>0</v>
      </c>
      <c r="AM232" s="404"/>
      <c r="AN232" s="370" t="s">
        <v>268</v>
      </c>
      <c r="AO232" s="356" t="n">
        <f aca="false">IFERROR(IF($M232=AN232,($D$8+$D$9+$D$10)*$I232,IF($N232=LEFT(AN232,1),($D$8+MAX(0,IF($D$50=1,$D$9*(1-(ABS($Q232-ABS(VALUE(MID(AN232,FIND("|",AN232)+1,FIND("-",AN232)-FIND("|",AN232)-1))-VALUE(MID(AN232,FIND("-",AN232)+1,10)))))*$D$50),$D$9*(1-(IF($N232="X",ABS($O232-VALUE(MID(AN232,FIND("|",AN232)+1,FIND("-",AN232)-FIND("|",AN232)-1))),ABS($Q232-ABS(VALUE(MID(AN232,FIND("|",AN232)+1,FIND("-",AN232)-FIND("|",AN232)-1))-VALUE(MID(AN232,FIND("-",AN232)+1,10)))))*$D$50)))))*$I232,0)),0)</f>
        <v>0</v>
      </c>
      <c r="AP232" s="404"/>
      <c r="AQ232" s="370" t="s">
        <v>268</v>
      </c>
      <c r="AR232" s="356" t="n">
        <f aca="false">IFERROR(IF($M232=AQ232,($D$8+$D$9+$D$10)*$I232,IF($N232=LEFT(AQ232,1),($D$8+MAX(0,IF($D$50=1,$D$9*(1-(ABS($Q232-ABS(VALUE(MID(AQ232,FIND("|",AQ232)+1,FIND("-",AQ232)-FIND("|",AQ232)-1))-VALUE(MID(AQ232,FIND("-",AQ232)+1,10)))))*$D$50),$D$9*(1-(IF($N232="X",ABS($O232-VALUE(MID(AQ232,FIND("|",AQ232)+1,FIND("-",AQ232)-FIND("|",AQ232)-1))),ABS($Q232-ABS(VALUE(MID(AQ232,FIND("|",AQ232)+1,FIND("-",AQ232)-FIND("|",AQ232)-1))-VALUE(MID(AQ232,FIND("-",AQ232)+1,10)))))*$D$50)))))*$I232,0)),0)</f>
        <v>0</v>
      </c>
      <c r="AS232" s="404"/>
      <c r="AT232" s="370" t="s">
        <v>318</v>
      </c>
      <c r="AU232" s="356" t="n">
        <f aca="false">IFERROR(IF($M232=AT232,($D$8+$D$9+$D$10)*$I232,IF($N232=LEFT(AT232,1),($D$8+MAX(0,IF($D$50=1,$D$9*(1-(ABS($Q232-ABS(VALUE(MID(AT232,FIND("|",AT232)+1,FIND("-",AT232)-FIND("|",AT232)-1))-VALUE(MID(AT232,FIND("-",AT232)+1,10)))))*$D$50),$D$9*(1-(IF($N232="X",ABS($O232-VALUE(MID(AT232,FIND("|",AT232)+1,FIND("-",AT232)-FIND("|",AT232)-1))),ABS($Q232-ABS(VALUE(MID(AT232,FIND("|",AT232)+1,FIND("-",AT232)-FIND("|",AT232)-1))-VALUE(MID(AT232,FIND("-",AT232)+1,10)))))*$D$50)))))*$I232,0)),0)</f>
        <v>0</v>
      </c>
      <c r="AV232" s="404"/>
      <c r="AW232" s="370" t="s">
        <v>265</v>
      </c>
      <c r="AX232" s="356" t="n">
        <f aca="false">IFERROR(IF($M232=AW232,($D$8+$D$9+$D$10)*$I232,IF($N232=LEFT(AW232,1),($D$8+MAX(0,IF($D$50=1,$D$9*(1-(ABS($Q232-ABS(VALUE(MID(AW232,FIND("|",AW232)+1,FIND("-",AW232)-FIND("|",AW232)-1))-VALUE(MID(AW232,FIND("-",AW232)+1,10)))))*$D$50),$D$9*(1-(IF($N232="X",ABS($O232-VALUE(MID(AW232,FIND("|",AW232)+1,FIND("-",AW232)-FIND("|",AW232)-1))),ABS($Q232-ABS(VALUE(MID(AW232,FIND("|",AW232)+1,FIND("-",AW232)-FIND("|",AW232)-1))-VALUE(MID(AW232,FIND("-",AW232)+1,10)))))*$D$50)))))*$I232,0)),0)</f>
        <v>0</v>
      </c>
      <c r="AY232" s="404"/>
      <c r="AZ232" s="370" t="s">
        <v>264</v>
      </c>
      <c r="BA232" s="356" t="n">
        <f aca="false">IFERROR(IF($M232=AZ232,($D$8+$D$9+$D$10)*$I232,IF($N232=LEFT(AZ232,1),($D$8+MAX(0,IF($D$50=1,$D$9*(1-(ABS($Q232-ABS(VALUE(MID(AZ232,FIND("|",AZ232)+1,FIND("-",AZ232)-FIND("|",AZ232)-1))-VALUE(MID(AZ232,FIND("-",AZ232)+1,10)))))*$D$50),$D$9*(1-(IF($N232="X",ABS($O232-VALUE(MID(AZ232,FIND("|",AZ232)+1,FIND("-",AZ232)-FIND("|",AZ232)-1))),ABS($Q232-ABS(VALUE(MID(AZ232,FIND("|",AZ232)+1,FIND("-",AZ232)-FIND("|",AZ232)-1))-VALUE(MID(AZ232,FIND("-",AZ232)+1,10)))))*$D$50)))))*$I232,0)),0)</f>
        <v>0</v>
      </c>
      <c r="BB232" s="404"/>
      <c r="BC232" s="370" t="s">
        <v>267</v>
      </c>
      <c r="BD232" s="356" t="n">
        <f aca="false">IFERROR(IF($M232=BC232,($D$8+$D$9+$D$10)*$I232,IF($N232=LEFT(BC232,1),($D$8+MAX(0,IF($D$50=1,$D$9*(1-(ABS($Q232-ABS(VALUE(MID(BC232,FIND("|",BC232)+1,FIND("-",BC232)-FIND("|",BC232)-1))-VALUE(MID(BC232,FIND("-",BC232)+1,10)))))*$D$50),$D$9*(1-(IF($N232="X",ABS($O232-VALUE(MID(BC232,FIND("|",BC232)+1,FIND("-",BC232)-FIND("|",BC232)-1))),ABS($Q232-ABS(VALUE(MID(BC232,FIND("|",BC232)+1,FIND("-",BC232)-FIND("|",BC232)-1))-VALUE(MID(BC232,FIND("-",BC232)+1,10)))))*$D$50)))))*$I232,0)),0)</f>
        <v>0</v>
      </c>
      <c r="BE232" s="404"/>
      <c r="BF232" s="370" t="s">
        <v>268</v>
      </c>
      <c r="BG232" s="356" t="n">
        <f aca="false">IFERROR(IF($M232=BF232,($D$8+$D$9+$D$10)*$I232,IF($N232=LEFT(BF232,1),($D$8+MAX(0,IF($D$50=1,$D$9*(1-(ABS($Q232-ABS(VALUE(MID(BF232,FIND("|",BF232)+1,FIND("-",BF232)-FIND("|",BF232)-1))-VALUE(MID(BF232,FIND("-",BF232)+1,10)))))*$D$50),$D$9*(1-(IF($N232="X",ABS($O232-VALUE(MID(BF232,FIND("|",BF232)+1,FIND("-",BF232)-FIND("|",BF232)-1))),ABS($Q232-ABS(VALUE(MID(BF232,FIND("|",BF232)+1,FIND("-",BF232)-FIND("|",BF232)-1))-VALUE(MID(BF232,FIND("-",BF232)+1,10)))))*$D$50)))))*$I232,0)),0)</f>
        <v>0</v>
      </c>
      <c r="BH232" s="404"/>
      <c r="BI232" s="370" t="s">
        <v>269</v>
      </c>
      <c r="BJ232" s="356" t="n">
        <f aca="false">IFERROR(IF($M232=BI232,($D$8+$D$9+$D$10)*$I232,IF($N232=LEFT(BI232,1),($D$8+MAX(0,IF($D$50=1,$D$9*(1-(ABS($Q232-ABS(VALUE(MID(BI232,FIND("|",BI232)+1,FIND("-",BI232)-FIND("|",BI232)-1))-VALUE(MID(BI232,FIND("-",BI232)+1,10)))))*$D$50),$D$9*(1-(IF($N232="X",ABS($O232-VALUE(MID(BI232,FIND("|",BI232)+1,FIND("-",BI232)-FIND("|",BI232)-1))),ABS($Q232-ABS(VALUE(MID(BI232,FIND("|",BI232)+1,FIND("-",BI232)-FIND("|",BI232)-1))-VALUE(MID(BI232,FIND("-",BI232)+1,10)))))*$D$50)))))*$I232,0)),0)</f>
        <v>0</v>
      </c>
      <c r="BK232" s="404"/>
      <c r="BL232" s="370" t="s">
        <v>268</v>
      </c>
      <c r="BM232" s="356" t="n">
        <f aca="false">IFERROR(IF($M232=BL232,($D$8+$D$9+$D$10)*$I232,IF($N232=LEFT(BL232,1),($D$8+MAX(0,IF($D$50=1,$D$9*(1-(ABS($Q232-ABS(VALUE(MID(BL232,FIND("|",BL232)+1,FIND("-",BL232)-FIND("|",BL232)-1))-VALUE(MID(BL232,FIND("-",BL232)+1,10)))))*$D$50),$D$9*(1-(IF($N232="X",ABS($O232-VALUE(MID(BL232,FIND("|",BL232)+1,FIND("-",BL232)-FIND("|",BL232)-1))),ABS($Q232-ABS(VALUE(MID(BL232,FIND("|",BL232)+1,FIND("-",BL232)-FIND("|",BL232)-1))-VALUE(MID(BL232,FIND("-",BL232)+1,10)))))*$D$50)))))*$I232,0)),0)</f>
        <v>0</v>
      </c>
      <c r="BN232" s="404"/>
      <c r="BO232" s="370" t="s">
        <v>269</v>
      </c>
      <c r="BP232" s="356" t="n">
        <f aca="false">IFERROR(IF($M232=BO232,($D$8+$D$9+$D$10)*$I232,IF($N232=LEFT(BO232,1),($D$8+MAX(0,IF($D$50=1,$D$9*(1-(ABS($Q232-ABS(VALUE(MID(BO232,FIND("|",BO232)+1,FIND("-",BO232)-FIND("|",BO232)-1))-VALUE(MID(BO232,FIND("-",BO232)+1,10)))))*$D$50),$D$9*(1-(IF($N232="X",ABS($O232-VALUE(MID(BO232,FIND("|",BO232)+1,FIND("-",BO232)-FIND("|",BO232)-1))),ABS($Q232-ABS(VALUE(MID(BO232,FIND("|",BO232)+1,FIND("-",BO232)-FIND("|",BO232)-1))-VALUE(MID(BO232,FIND("-",BO232)+1,10)))))*$D$50)))))*$I232,0)),0)</f>
        <v>0</v>
      </c>
      <c r="BQ232" s="404"/>
      <c r="BR232" s="370" t="s">
        <v>265</v>
      </c>
      <c r="BS232" s="356" t="n">
        <f aca="false">IFERROR(IF($M232=BR232,($D$8+$D$9+$D$10)*$I232,IF($N232=LEFT(BR232,1),($D$8+MAX(0,IF($D$50=1,$D$9*(1-(ABS($Q232-ABS(VALUE(MID(BR232,FIND("|",BR232)+1,FIND("-",BR232)-FIND("|",BR232)-1))-VALUE(MID(BR232,FIND("-",BR232)+1,10)))))*$D$50),$D$9*(1-(IF($N232="X",ABS($O232-VALUE(MID(BR232,FIND("|",BR232)+1,FIND("-",BR232)-FIND("|",BR232)-1))),ABS($Q232-ABS(VALUE(MID(BR232,FIND("|",BR232)+1,FIND("-",BR232)-FIND("|",BR232)-1))-VALUE(MID(BR232,FIND("-",BR232)+1,10)))))*$D$50)))))*$I232,0)),0)</f>
        <v>0</v>
      </c>
      <c r="BT232" s="404"/>
      <c r="BU232" s="370" t="str">
        <f aca="false">Idiomas!$D$370</f>
        <v>Pegar valores Semifinales</v>
      </c>
      <c r="BV232" s="356" t="n">
        <f aca="false">IFERROR(IF($M232=BU232,($D$8+$D$9+$D$10)*$I232,IF($N232=LEFT(BU232,1),($D$8+MAX(0,IF($D$50=1,$D$9*(1-(ABS($Q232-ABS(VALUE(MID(BU232,FIND("|",BU232)+1,FIND("-",BU232)-FIND("|",BU232)-1))-VALUE(MID(BU232,FIND("-",BU232)+1,10)))))*$D$50),$D$9*(1-(IF($N232="X",ABS($O232-VALUE(MID(BU232,FIND("|",BU232)+1,FIND("-",BU232)-FIND("|",BU232)-1))),ABS($Q232-ABS(VALUE(MID(BU232,FIND("|",BU232)+1,FIND("-",BU232)-FIND("|",BU232)-1))-VALUE(MID(BU232,FIND("-",BU232)+1,10)))))*$D$50)))))*$I232,0)),0)</f>
        <v>0</v>
      </c>
      <c r="BW232" s="404"/>
      <c r="BX232" s="370" t="str">
        <f aca="false">Idiomas!$D$370</f>
        <v>Pegar valores Semifinales</v>
      </c>
      <c r="BY232" s="356" t="n">
        <f aca="false">IFERROR(IF($M232=BX232,($D$8+$D$9+$D$10)*$I232,IF($N232=LEFT(BX232,1),($D$8+MAX(0,IF($D$50=1,$D$9*(1-(ABS($Q232-ABS(VALUE(MID(BX232,FIND("|",BX232)+1,FIND("-",BX232)-FIND("|",BX232)-1))-VALUE(MID(BX232,FIND("-",BX232)+1,10)))))*$D$50),$D$9*(1-(IF($N232="X",ABS($O232-VALUE(MID(BX232,FIND("|",BX232)+1,FIND("-",BX232)-FIND("|",BX232)-1))),ABS($Q232-ABS(VALUE(MID(BX232,FIND("|",BX232)+1,FIND("-",BX232)-FIND("|",BX232)-1))-VALUE(MID(BX232,FIND("-",BX232)+1,10)))))*$D$50)))))*$I232,0)),0)</f>
        <v>0</v>
      </c>
      <c r="BZ232" s="404"/>
      <c r="CA232" s="370" t="str">
        <f aca="false">Idiomas!$D$370</f>
        <v>Pegar valores Semifinales</v>
      </c>
      <c r="CB232" s="356" t="n">
        <f aca="false">IFERROR(IF($M232=CA232,($D$8+$D$9+$D$10)*$I232,IF($N232=LEFT(CA232,1),($D$8+MAX(0,IF($D$50=1,$D$9*(1-(ABS($Q232-ABS(VALUE(MID(CA232,FIND("|",CA232)+1,FIND("-",CA232)-FIND("|",CA232)-1))-VALUE(MID(CA232,FIND("-",CA232)+1,10)))))*$D$50),$D$9*(1-(IF($N232="X",ABS($O232-VALUE(MID(CA232,FIND("|",CA232)+1,FIND("-",CA232)-FIND("|",CA232)-1))),ABS($Q232-ABS(VALUE(MID(CA232,FIND("|",CA232)+1,FIND("-",CA232)-FIND("|",CA232)-1))-VALUE(MID(CA232,FIND("-",CA232)+1,10)))))*$D$50)))))*$I232,0)),0)</f>
        <v>0</v>
      </c>
      <c r="CC232" s="404"/>
      <c r="CD232" s="370" t="str">
        <f aca="false">Idiomas!$D$370</f>
        <v>Pegar valores Semifinales</v>
      </c>
      <c r="CE232" s="356" t="n">
        <f aca="false">IFERROR(IF($M232=CD232,($D$8+$D$9+$D$10)*$I232,IF($N232=LEFT(CD232,1),($D$8+MAX(0,IF($D$50=1,$D$9*(1-(ABS($Q232-ABS(VALUE(MID(CD232,FIND("|",CD232)+1,FIND("-",CD232)-FIND("|",CD232)-1))-VALUE(MID(CD232,FIND("-",CD232)+1,10)))))*$D$50),$D$9*(1-(IF($N232="X",ABS($O232-VALUE(MID(CD232,FIND("|",CD232)+1,FIND("-",CD232)-FIND("|",CD232)-1))),ABS($Q232-ABS(VALUE(MID(CD232,FIND("|",CD232)+1,FIND("-",CD232)-FIND("|",CD232)-1))-VALUE(MID(CD232,FIND("-",CD232)+1,10)))))*$D$50)))))*$I232,0)),0)</f>
        <v>0</v>
      </c>
      <c r="CF232" s="404"/>
      <c r="CG232" s="370" t="str">
        <f aca="false">Idiomas!$D$370</f>
        <v>Pegar valores Semifinales</v>
      </c>
      <c r="CH232" s="356" t="n">
        <f aca="false">IFERROR(IF($M232=CG232,($D$8+$D$9+$D$10)*$I232,IF($N232=LEFT(CG232,1),($D$8+MAX(0,IF($D$50=1,$D$9*(1-(ABS($Q232-ABS(VALUE(MID(CG232,FIND("|",CG232)+1,FIND("-",CG232)-FIND("|",CG232)-1))-VALUE(MID(CG232,FIND("-",CG232)+1,10)))))*$D$50),$D$9*(1-(IF($N232="X",ABS($O232-VALUE(MID(CG232,FIND("|",CG232)+1,FIND("-",CG232)-FIND("|",CG232)-1))),ABS($Q232-ABS(VALUE(MID(CG232,FIND("|",CG232)+1,FIND("-",CG232)-FIND("|",CG232)-1))-VALUE(MID(CG232,FIND("-",CG232)+1,10)))))*$D$50)))))*$I232,0)),0)</f>
        <v>0</v>
      </c>
      <c r="CI232" s="404"/>
      <c r="CJ232" s="370" t="str">
        <f aca="false">Idiomas!$D$370</f>
        <v>Pegar valores Semifinales</v>
      </c>
      <c r="CK232" s="356" t="n">
        <f aca="false">IFERROR(IF($M232=CJ232,($D$8+$D$9+$D$10)*$I232,IF($N232=LEFT(CJ232,1),($D$8+MAX(0,IF($D$50=1,$D$9*(1-(ABS($Q232-ABS(VALUE(MID(CJ232,FIND("|",CJ232)+1,FIND("-",CJ232)-FIND("|",CJ232)-1))-VALUE(MID(CJ232,FIND("-",CJ232)+1,10)))))*$D$50),$D$9*(1-(IF($N232="X",ABS($O232-VALUE(MID(CJ232,FIND("|",CJ232)+1,FIND("-",CJ232)-FIND("|",CJ232)-1))),ABS($Q232-ABS(VALUE(MID(CJ232,FIND("|",CJ232)+1,FIND("-",CJ232)-FIND("|",CJ232)-1))-VALUE(MID(CJ232,FIND("-",CJ232)+1,10)))))*$D$50)))))*$I232,0)),0)</f>
        <v>0</v>
      </c>
      <c r="CL232" s="404"/>
      <c r="CM232" s="370" t="str">
        <f aca="false">Idiomas!$D$370</f>
        <v>Pegar valores Semifinales</v>
      </c>
      <c r="CN232" s="356" t="n">
        <f aca="false">IFERROR(IF($M232=CM232,($D$8+$D$9+$D$10)*$I232,IF($N232=LEFT(CM232,1),($D$8+MAX(0,IF($D$50=1,$D$9*(1-(ABS($Q232-ABS(VALUE(MID(CM232,FIND("|",CM232)+1,FIND("-",CM232)-FIND("|",CM232)-1))-VALUE(MID(CM232,FIND("-",CM232)+1,10)))))*$D$50),$D$9*(1-(IF($N232="X",ABS($O232-VALUE(MID(CM232,FIND("|",CM232)+1,FIND("-",CM232)-FIND("|",CM232)-1))),ABS($Q232-ABS(VALUE(MID(CM232,FIND("|",CM232)+1,FIND("-",CM232)-FIND("|",CM232)-1))-VALUE(MID(CM232,FIND("-",CM232)+1,10)))))*$D$50)))))*$I232,0)),0)</f>
        <v>0</v>
      </c>
      <c r="CO232" s="404"/>
      <c r="CP232" s="370" t="str">
        <f aca="false">Idiomas!$D$370</f>
        <v>Pegar valores Semifinales</v>
      </c>
      <c r="CQ232" s="356" t="n">
        <f aca="false">IFERROR(IF($M232=CP232,($D$8+$D$9+$D$10)*$I232,IF($N232=LEFT(CP232,1),($D$8+MAX(0,IF($D$50=1,$D$9*(1-(ABS($Q232-ABS(VALUE(MID(CP232,FIND("|",CP232)+1,FIND("-",CP232)-FIND("|",CP232)-1))-VALUE(MID(CP232,FIND("-",CP232)+1,10)))))*$D$50),$D$9*(1-(IF($N232="X",ABS($O232-VALUE(MID(CP232,FIND("|",CP232)+1,FIND("-",CP232)-FIND("|",CP232)-1))),ABS($Q232-ABS(VALUE(MID(CP232,FIND("|",CP232)+1,FIND("-",CP232)-FIND("|",CP232)-1))-VALUE(MID(CP232,FIND("-",CP232)+1,10)))))*$D$50)))))*$I232,0)),0)</f>
        <v>0</v>
      </c>
      <c r="CR232" s="404"/>
      <c r="CS232" s="370" t="str">
        <f aca="false">Idiomas!$D$370</f>
        <v>Pegar valores Semifinales</v>
      </c>
      <c r="CT232" s="356" t="n">
        <f aca="false">IFERROR(IF($M232=CS232,($D$8+$D$9+$D$10)*$I232,IF($N232=LEFT(CS232,1),($D$8+MAX(0,IF($D$50=1,$D$9*(1-(ABS($Q232-ABS(VALUE(MID(CS232,FIND("|",CS232)+1,FIND("-",CS232)-FIND("|",CS232)-1))-VALUE(MID(CS232,FIND("-",CS232)+1,10)))))*$D$50),$D$9*(1-(IF($N232="X",ABS($O232-VALUE(MID(CS232,FIND("|",CS232)+1,FIND("-",CS232)-FIND("|",CS232)-1))),ABS($Q232-ABS(VALUE(MID(CS232,FIND("|",CS232)+1,FIND("-",CS232)-FIND("|",CS232)-1))-VALUE(MID(CS232,FIND("-",CS232)+1,10)))))*$D$50)))))*$I232,0)),0)</f>
        <v>0</v>
      </c>
      <c r="CU232" s="404"/>
      <c r="CV232" s="370" t="str">
        <f aca="false">Idiomas!$D$370</f>
        <v>Pegar valores Semifinales</v>
      </c>
      <c r="CW232" s="356" t="n">
        <f aca="false">IFERROR(IF($M232=CV232,($D$8+$D$9+$D$10)*$I232,IF($N232=LEFT(CV232,1),($D$8+MAX(0,IF($D$50=1,$D$9*(1-(ABS($Q232-ABS(VALUE(MID(CV232,FIND("|",CV232)+1,FIND("-",CV232)-FIND("|",CV232)-1))-VALUE(MID(CV232,FIND("-",CV232)+1,10)))))*$D$50),$D$9*(1-(IF($N232="X",ABS($O232-VALUE(MID(CV232,FIND("|",CV232)+1,FIND("-",CV232)-FIND("|",CV232)-1))),ABS($Q232-ABS(VALUE(MID(CV232,FIND("|",CV232)+1,FIND("-",CV232)-FIND("|",CV232)-1))-VALUE(MID(CV232,FIND("-",CV232)+1,10)))))*$D$50)))))*$I232,0)),0)</f>
        <v>0</v>
      </c>
      <c r="CX232" s="404"/>
      <c r="CY232" s="370" t="str">
        <f aca="false">Idiomas!$D$370</f>
        <v>Pegar valores Semifinales</v>
      </c>
      <c r="CZ232" s="356" t="n">
        <f aca="false">IFERROR(IF($M232=CY232,($D$8+$D$9+$D$10)*$I232,IF($N232=LEFT(CY232,1),($D$8+MAX(0,IF($D$50=1,$D$9*(1-(ABS($Q232-ABS(VALUE(MID(CY232,FIND("|",CY232)+1,FIND("-",CY232)-FIND("|",CY232)-1))-VALUE(MID(CY232,FIND("-",CY232)+1,10)))))*$D$50),$D$9*(1-(IF($N232="X",ABS($O232-VALUE(MID(CY232,FIND("|",CY232)+1,FIND("-",CY232)-FIND("|",CY232)-1))),ABS($Q232-ABS(VALUE(MID(CY232,FIND("|",CY232)+1,FIND("-",CY232)-FIND("|",CY232)-1))-VALUE(MID(CY232,FIND("-",CY232)+1,10)))))*$D$50)))))*$I232,0)),0)</f>
        <v>0</v>
      </c>
      <c r="DA232" s="404"/>
      <c r="DB232" s="370" t="str">
        <f aca="false">Idiomas!$D$370</f>
        <v>Pegar valores Semifinales</v>
      </c>
      <c r="DC232" s="356" t="n">
        <f aca="false">IFERROR(IF($M232=DB232,($D$8+$D$9+$D$10)*$I232,IF($N232=LEFT(DB232,1),($D$8+MAX(0,IF($D$50=1,$D$9*(1-(ABS($Q232-ABS(VALUE(MID(DB232,FIND("|",DB232)+1,FIND("-",DB232)-FIND("|",DB232)-1))-VALUE(MID(DB232,FIND("-",DB232)+1,10)))))*$D$50),$D$9*(1-(IF($N232="X",ABS($O232-VALUE(MID(DB232,FIND("|",DB232)+1,FIND("-",DB232)-FIND("|",DB232)-1))),ABS($Q232-ABS(VALUE(MID(DB232,FIND("|",DB232)+1,FIND("-",DB232)-FIND("|",DB232)-1))-VALUE(MID(DB232,FIND("-",DB232)+1,10)))))*$D$50)))))*$I232,0)),0)</f>
        <v>0</v>
      </c>
      <c r="DD232" s="404"/>
      <c r="DE232" s="370" t="str">
        <f aca="false">Idiomas!$D$370</f>
        <v>Pegar valores Semifinales</v>
      </c>
      <c r="DF232" s="356" t="n">
        <f aca="false">IFERROR(IF($M232=DE232,($D$8+$D$9+$D$10)*$I232,IF($N232=LEFT(DE232,1),($D$8+MAX(0,IF($D$50=1,$D$9*(1-(ABS($Q232-ABS(VALUE(MID(DE232,FIND("|",DE232)+1,FIND("-",DE232)-FIND("|",DE232)-1))-VALUE(MID(DE232,FIND("-",DE232)+1,10)))))*$D$50),$D$9*(1-(IF($N232="X",ABS($O232-VALUE(MID(DE232,FIND("|",DE232)+1,FIND("-",DE232)-FIND("|",DE232)-1))),ABS($Q232-ABS(VALUE(MID(DE232,FIND("|",DE232)+1,FIND("-",DE232)-FIND("|",DE232)-1))-VALUE(MID(DE232,FIND("-",DE232)+1,10)))))*$D$50)))))*$I232,0)),0)</f>
        <v>0</v>
      </c>
      <c r="DG232" s="404"/>
      <c r="DH232" s="370" t="str">
        <f aca="false">Idiomas!$D$370</f>
        <v>Pegar valores Semifinales</v>
      </c>
      <c r="DI232" s="356" t="n">
        <f aca="false">IFERROR(IF($M232=DH232,($D$8+$D$9+$D$10)*$I232,IF($N232=LEFT(DH232,1),($D$8+MAX(0,IF($D$50=1,$D$9*(1-(ABS($Q232-ABS(VALUE(MID(DH232,FIND("|",DH232)+1,FIND("-",DH232)-FIND("|",DH232)-1))-VALUE(MID(DH232,FIND("-",DH232)+1,10)))))*$D$50),$D$9*(1-(IF($N232="X",ABS($O232-VALUE(MID(DH232,FIND("|",DH232)+1,FIND("-",DH232)-FIND("|",DH232)-1))),ABS($Q232-ABS(VALUE(MID(DH232,FIND("|",DH232)+1,FIND("-",DH232)-FIND("|",DH232)-1))-VALUE(MID(DH232,FIND("-",DH232)+1,10)))))*$D$50)))))*$I232,0)),0)</f>
        <v>0</v>
      </c>
      <c r="DJ232" s="404"/>
      <c r="DK232" s="370" t="str">
        <f aca="false">Idiomas!$D$370</f>
        <v>Pegar valores Semifinales</v>
      </c>
      <c r="DL232" s="356" t="n">
        <f aca="false">IFERROR(IF($M232=DK232,($D$8+$D$9+$D$10)*$I232,IF($N232=LEFT(DK232,1),($D$8+MAX(0,IF($D$50=1,$D$9*(1-(ABS($Q232-ABS(VALUE(MID(DK232,FIND("|",DK232)+1,FIND("-",DK232)-FIND("|",DK232)-1))-VALUE(MID(DK232,FIND("-",DK232)+1,10)))))*$D$50),$D$9*(1-(IF($N232="X",ABS($O232-VALUE(MID(DK232,FIND("|",DK232)+1,FIND("-",DK232)-FIND("|",DK232)-1))),ABS($Q232-ABS(VALUE(MID(DK232,FIND("|",DK232)+1,FIND("-",DK232)-FIND("|",DK232)-1))-VALUE(MID(DK232,FIND("-",DK232)+1,10)))))*$D$50)))))*$I232,0)),0)</f>
        <v>0</v>
      </c>
      <c r="DM232" s="404"/>
      <c r="DN232" s="370" t="str">
        <f aca="false">Idiomas!$D$370</f>
        <v>Pegar valores Semifinales</v>
      </c>
      <c r="DO232" s="356" t="n">
        <f aca="false">IFERROR(IF($M232=DN232,($D$8+$D$9+$D$10)*$I232,IF($N232=LEFT(DN232,1),($D$8+MAX(0,IF($D$50=1,$D$9*(1-(ABS($Q232-ABS(VALUE(MID(DN232,FIND("|",DN232)+1,FIND("-",DN232)-FIND("|",DN232)-1))-VALUE(MID(DN232,FIND("-",DN232)+1,10)))))*$D$50),$D$9*(1-(IF($N232="X",ABS($O232-VALUE(MID(DN232,FIND("|",DN232)+1,FIND("-",DN232)-FIND("|",DN232)-1))),ABS($Q232-ABS(VALUE(MID(DN232,FIND("|",DN232)+1,FIND("-",DN232)-FIND("|",DN232)-1))-VALUE(MID(DN232,FIND("-",DN232)+1,10)))))*$D$50)))))*$I232,0)),0)</f>
        <v>0</v>
      </c>
      <c r="DP232" s="404"/>
      <c r="DQ232" s="370" t="str">
        <f aca="false">Idiomas!$D$370</f>
        <v>Pegar valores Semifinales</v>
      </c>
      <c r="DR232" s="356" t="n">
        <f aca="false">IFERROR(IF($M232=DQ232,($D$8+$D$9+$D$10)*$I232,IF($N232=LEFT(DQ232,1),($D$8+MAX(0,IF($D$50=1,$D$9*(1-(ABS($Q232-ABS(VALUE(MID(DQ232,FIND("|",DQ232)+1,FIND("-",DQ232)-FIND("|",DQ232)-1))-VALUE(MID(DQ232,FIND("-",DQ232)+1,10)))))*$D$50),$D$9*(1-(IF($N232="X",ABS($O232-VALUE(MID(DQ232,FIND("|",DQ232)+1,FIND("-",DQ232)-FIND("|",DQ232)-1))),ABS($Q232-ABS(VALUE(MID(DQ232,FIND("|",DQ232)+1,FIND("-",DQ232)-FIND("|",DQ232)-1))-VALUE(MID(DQ232,FIND("-",DQ232)+1,10)))))*$D$50)))))*$I232,0)),0)</f>
        <v>0</v>
      </c>
      <c r="DS232" s="404"/>
      <c r="DT232" s="370" t="str">
        <f aca="false">Idiomas!$D$370</f>
        <v>Pegar valores Semifinales</v>
      </c>
      <c r="DU232" s="356" t="n">
        <f aca="false">IFERROR(IF($M232=DT232,($D$8+$D$9+$D$10)*$I232,IF($N232=LEFT(DT232,1),($D$8+MAX(0,IF($D$50=1,$D$9*(1-(ABS($Q232-ABS(VALUE(MID(DT232,FIND("|",DT232)+1,FIND("-",DT232)-FIND("|",DT232)-1))-VALUE(MID(DT232,FIND("-",DT232)+1,10)))))*$D$50),$D$9*(1-(IF($N232="X",ABS($O232-VALUE(MID(DT232,FIND("|",DT232)+1,FIND("-",DT232)-FIND("|",DT232)-1))),ABS($Q232-ABS(VALUE(MID(DT232,FIND("|",DT232)+1,FIND("-",DT232)-FIND("|",DT232)-1))-VALUE(MID(DT232,FIND("-",DT232)+1,10)))))*$D$50)))))*$I232,0)),0)</f>
        <v>0</v>
      </c>
      <c r="DV232" s="404"/>
      <c r="DW232" s="370" t="str">
        <f aca="false">Idiomas!$D$370</f>
        <v>Pegar valores Semifinales</v>
      </c>
      <c r="DX232" s="356" t="n">
        <f aca="false">IFERROR(IF($M232=DW232,($D$8+$D$9+$D$10)*$I232,IF($N232=LEFT(DW232,1),($D$8+MAX(0,IF($D$50=1,$D$9*(1-(ABS($Q232-ABS(VALUE(MID(DW232,FIND("|",DW232)+1,FIND("-",DW232)-FIND("|",DW232)-1))-VALUE(MID(DW232,FIND("-",DW232)+1,10)))))*$D$50),$D$9*(1-(IF($N232="X",ABS($O232-VALUE(MID(DW232,FIND("|",DW232)+1,FIND("-",DW232)-FIND("|",DW232)-1))),ABS($Q232-ABS(VALUE(MID(DW232,FIND("|",DW232)+1,FIND("-",DW232)-FIND("|",DW232)-1))-VALUE(MID(DW232,FIND("-",DW232)+1,10)))))*$D$50)))))*$I232,0)),0)</f>
        <v>0</v>
      </c>
      <c r="DY232" s="404"/>
      <c r="DZ232" s="370" t="str">
        <f aca="false">Idiomas!$D$370</f>
        <v>Pegar valores Semifinales</v>
      </c>
      <c r="EA232" s="356" t="n">
        <f aca="false">IFERROR(IF($M232=DZ232,($D$8+$D$9+$D$10)*$I232,IF($N232=LEFT(DZ232,1),($D$8+MAX(0,IF($D$50=1,$D$9*(1-(ABS($Q232-ABS(VALUE(MID(DZ232,FIND("|",DZ232)+1,FIND("-",DZ232)-FIND("|",DZ232)-1))-VALUE(MID(DZ232,FIND("-",DZ232)+1,10)))))*$D$50),$D$9*(1-(IF($N232="X",ABS($O232-VALUE(MID(DZ232,FIND("|",DZ232)+1,FIND("-",DZ232)-FIND("|",DZ232)-1))),ABS($Q232-ABS(VALUE(MID(DZ232,FIND("|",DZ232)+1,FIND("-",DZ232)-FIND("|",DZ232)-1))-VALUE(MID(DZ232,FIND("-",DZ232)+1,10)))))*$D$50)))))*$I232,0)),0)</f>
        <v>0</v>
      </c>
      <c r="EB232" s="404"/>
      <c r="EC232" s="370" t="str">
        <f aca="false">Idiomas!$D$370</f>
        <v>Pegar valores Semifinales</v>
      </c>
      <c r="ED232" s="356" t="n">
        <f aca="false">IFERROR(IF($M232=EC232,($D$8+$D$9+$D$10)*$I232,IF($N232=LEFT(EC232,1),($D$8+MAX(0,IF($D$50=1,$D$9*(1-(ABS($Q232-ABS(VALUE(MID(EC232,FIND("|",EC232)+1,FIND("-",EC232)-FIND("|",EC232)-1))-VALUE(MID(EC232,FIND("-",EC232)+1,10)))))*$D$50),$D$9*(1-(IF($N232="X",ABS($O232-VALUE(MID(EC232,FIND("|",EC232)+1,FIND("-",EC232)-FIND("|",EC232)-1))),ABS($Q232-ABS(VALUE(MID(EC232,FIND("|",EC232)+1,FIND("-",EC232)-FIND("|",EC232)-1))-VALUE(MID(EC232,FIND("-",EC232)+1,10)))))*$D$50)))))*$I232,0)),0)</f>
        <v>0</v>
      </c>
      <c r="EE232" s="404"/>
      <c r="EF232" s="370" t="str">
        <f aca="false">Idiomas!$D$370</f>
        <v>Pegar valores Semifinales</v>
      </c>
      <c r="EG232" s="356" t="n">
        <f aca="false">IFERROR(IF($M232=EF232,($D$8+$D$9+$D$10)*$I232,IF($N232=LEFT(EF232,1),($D$8+MAX(0,IF($D$50=1,$D$9*(1-(ABS($Q232-ABS(VALUE(MID(EF232,FIND("|",EF232)+1,FIND("-",EF232)-FIND("|",EF232)-1))-VALUE(MID(EF232,FIND("-",EF232)+1,10)))))*$D$50),$D$9*(1-(IF($N232="X",ABS($O232-VALUE(MID(EF232,FIND("|",EF232)+1,FIND("-",EF232)-FIND("|",EF232)-1))),ABS($Q232-ABS(VALUE(MID(EF232,FIND("|",EF232)+1,FIND("-",EF232)-FIND("|",EF232)-1))-VALUE(MID(EF232,FIND("-",EF232)+1,10)))))*$D$50)))))*$I232,0)),0)</f>
        <v>0</v>
      </c>
      <c r="EH232" s="404"/>
      <c r="EI232" s="404"/>
    </row>
    <row r="233" customFormat="false" ht="15" hidden="false" customHeight="false" outlineLevel="0" collapsed="false">
      <c r="A233" s="332" t="n">
        <f aca="false">WORLDCUP!AD139</f>
        <v>0</v>
      </c>
      <c r="B233" s="332" t="n">
        <f aca="false">WORLDCUP!AC139</f>
        <v>0</v>
      </c>
      <c r="C233" s="422" t="str">
        <f aca="false">CONCATENATE(WORLDCUP!AF139,"-",WORLDCUP!AA139)</f>
        <v>W100-W99</v>
      </c>
      <c r="D233" s="422" t="str">
        <f aca="false">IF(WORLDCUP!AC139&gt;WORLDCUP!AD139,2,IF(WORLDCUP!AC139&lt;WORLDCUP!AD139,1,IF(AND(WORLDCUP!AC139=WORLDCUP!AD139,WORLDCUP!AC139&lt;&gt;"",WORLDCUP!AD139&lt;&gt;""),0,"PD")))</f>
        <v>PD</v>
      </c>
      <c r="E233" s="422" t="str">
        <f aca="false">IF(OR(WORLDCUP!AD139="",WORLDCUP!AC139=""),"-",A233&amp;"-"&amp;B233)</f>
        <v>-</v>
      </c>
      <c r="F233" s="423" t="n">
        <f aca="false">SUM($D$28:$D$30)*I233</f>
        <v>18</v>
      </c>
      <c r="G233" s="423" t="n">
        <f aca="false">VLOOKUP(H233,Equipos!$Q$1:$R$25,2,0)</f>
        <v>23</v>
      </c>
      <c r="H233" s="410" t="str">
        <f aca="false">Idiomas!$D$263</f>
        <v>Semifinales</v>
      </c>
      <c r="I233" s="425" t="n">
        <v>1</v>
      </c>
      <c r="J233" s="428"/>
      <c r="K233" s="367" t="str">
        <f aca="false">CONCATENATE(WORLDCUP!AA139,"-",WORLDCUP!AF139)</f>
        <v>W99-W100</v>
      </c>
      <c r="L233" s="354" t="str">
        <f aca="false">IF(OR(WORLDCUP!AC139="",WORLDCUP!AD139=""),"PD",IF(WORLDCUP!AC139&gt;WORLDCUP!AD139,1,IF(WORLDCUP!AC139&lt;WORLDCUP!AD139,2,0)))</f>
        <v>PD</v>
      </c>
      <c r="M233" s="359" t="str">
        <f aca="false">IF(OR(WORLDCUP!AC139="",WORLDCUP!AD139=""),"-",N233&amp;"|"&amp;O233&amp;"-"&amp;P233)</f>
        <v>-</v>
      </c>
      <c r="N233" s="332" t="str">
        <f aca="false">IF(OR(WORLDCUP!AC139="",WORLDCUP!AD139=""),"",IF(WORLDCUP!AC139&gt;WORLDCUP!AD139,"1",IF(WORLDCUP!AC139&lt;WORLDCUP!AD139,"2","X")))</f>
        <v/>
      </c>
      <c r="O233" s="332" t="n">
        <f aca="false">WORLDCUP!AC139</f>
        <v>0</v>
      </c>
      <c r="P233" s="332" t="n">
        <f aca="false">WORLDCUP!AD139</f>
        <v>0</v>
      </c>
      <c r="Q233" s="332" t="n">
        <f aca="false">ABS(O233-P233)</f>
        <v>0</v>
      </c>
      <c r="R233" s="404"/>
      <c r="S233" s="398" t="s">
        <v>279</v>
      </c>
      <c r="T233" s="356" t="n">
        <f aca="false">IFERROR(IF($M233=S233,($D$8+$D$9+$D$10)*$I233,IF($N233=LEFT(S233,1),($D$8+MAX(0,IF($D$50=1,$D$9*(1-(ABS($Q233-ABS(VALUE(MID(S233,FIND("|",S233)+1,FIND("-",S233)-FIND("|",S233)-1))-VALUE(MID(S233,FIND("-",S233)+1,10)))))*$D$50),$D$9*(1-(IF($N233="X",ABS($O233-VALUE(MID(S233,FIND("|",S233)+1,FIND("-",S233)-FIND("|",S233)-1))),ABS($Q233-ABS(VALUE(MID(S233,FIND("|",S233)+1,FIND("-",S233)-FIND("|",S233)-1))-VALUE(MID(S233,FIND("-",S233)+1,10)))))*$D$50)))))*$I233,0)),0)</f>
        <v>0</v>
      </c>
      <c r="U233" s="404"/>
      <c r="V233" s="398" t="s">
        <v>267</v>
      </c>
      <c r="W233" s="356" t="n">
        <f aca="false">IFERROR(IF($M233=V233,($D$8+$D$9+$D$10)*$I233,IF($N233=LEFT(V233,1),($D$8+MAX(0,IF($D$50=1,$D$9*(1-(ABS($Q233-ABS(VALUE(MID(V233,FIND("|",V233)+1,FIND("-",V233)-FIND("|",V233)-1))-VALUE(MID(V233,FIND("-",V233)+1,10)))))*$D$50),$D$9*(1-(IF($N233="X",ABS($O233-VALUE(MID(V233,FIND("|",V233)+1,FIND("-",V233)-FIND("|",V233)-1))),ABS($Q233-ABS(VALUE(MID(V233,FIND("|",V233)+1,FIND("-",V233)-FIND("|",V233)-1))-VALUE(MID(V233,FIND("-",V233)+1,10)))))*$D$50)))))*$I233,0)),0)</f>
        <v>0</v>
      </c>
      <c r="X233" s="404"/>
      <c r="Y233" s="398" t="s">
        <v>274</v>
      </c>
      <c r="Z233" s="356" t="n">
        <f aca="false">IFERROR(IF($M233=Y233,($D$8+$D$9+$D$10)*$I233,IF($N233=LEFT(Y233,1),($D$8+MAX(0,IF($D$50=1,$D$9*(1-(ABS($Q233-ABS(VALUE(MID(Y233,FIND("|",Y233)+1,FIND("-",Y233)-FIND("|",Y233)-1))-VALUE(MID(Y233,FIND("-",Y233)+1,10)))))*$D$50),$D$9*(1-(IF($N233="X",ABS($O233-VALUE(MID(Y233,FIND("|",Y233)+1,FIND("-",Y233)-FIND("|",Y233)-1))),ABS($Q233-ABS(VALUE(MID(Y233,FIND("|",Y233)+1,FIND("-",Y233)-FIND("|",Y233)-1))-VALUE(MID(Y233,FIND("-",Y233)+1,10)))))*$D$50)))))*$I233,0)),0)</f>
        <v>0</v>
      </c>
      <c r="AA233" s="404"/>
      <c r="AB233" s="398" t="s">
        <v>268</v>
      </c>
      <c r="AC233" s="356" t="n">
        <f aca="false">IFERROR(IF($M233=AB233,($D$8+$D$9+$D$10)*$I233,IF($N233=LEFT(AB233,1),($D$8+MAX(0,IF($D$50=1,$D$9*(1-(ABS($Q233-ABS(VALUE(MID(AB233,FIND("|",AB233)+1,FIND("-",AB233)-FIND("|",AB233)-1))-VALUE(MID(AB233,FIND("-",AB233)+1,10)))))*$D$50),$D$9*(1-(IF($N233="X",ABS($O233-VALUE(MID(AB233,FIND("|",AB233)+1,FIND("-",AB233)-FIND("|",AB233)-1))),ABS($Q233-ABS(VALUE(MID(AB233,FIND("|",AB233)+1,FIND("-",AB233)-FIND("|",AB233)-1))-VALUE(MID(AB233,FIND("-",AB233)+1,10)))))*$D$50)))))*$I233,0)),0)</f>
        <v>0</v>
      </c>
      <c r="AD233" s="404"/>
      <c r="AE233" s="398" t="s">
        <v>271</v>
      </c>
      <c r="AF233" s="356" t="n">
        <f aca="false">IFERROR(IF($M233=AE233,($D$8+$D$9+$D$10)*$I233,IF($N233=LEFT(AE233,1),($D$8+MAX(0,IF($D$50=1,$D$9*(1-(ABS($Q233-ABS(VALUE(MID(AE233,FIND("|",AE233)+1,FIND("-",AE233)-FIND("|",AE233)-1))-VALUE(MID(AE233,FIND("-",AE233)+1,10)))))*$D$50),$D$9*(1-(IF($N233="X",ABS($O233-VALUE(MID(AE233,FIND("|",AE233)+1,FIND("-",AE233)-FIND("|",AE233)-1))),ABS($Q233-ABS(VALUE(MID(AE233,FIND("|",AE233)+1,FIND("-",AE233)-FIND("|",AE233)-1))-VALUE(MID(AE233,FIND("-",AE233)+1,10)))))*$D$50)))))*$I233,0)),0)</f>
        <v>0</v>
      </c>
      <c r="AG233" s="404"/>
      <c r="AH233" s="398" t="s">
        <v>267</v>
      </c>
      <c r="AI233" s="356" t="n">
        <f aca="false">IFERROR(IF($M233=AH233,($D$8+$D$9+$D$10)*$I233,IF($N233=LEFT(AH233,1),($D$8+MAX(0,IF($D$50=1,$D$9*(1-(ABS($Q233-ABS(VALUE(MID(AH233,FIND("|",AH233)+1,FIND("-",AH233)-FIND("|",AH233)-1))-VALUE(MID(AH233,FIND("-",AH233)+1,10)))))*$D$50),$D$9*(1-(IF($N233="X",ABS($O233-VALUE(MID(AH233,FIND("|",AH233)+1,FIND("-",AH233)-FIND("|",AH233)-1))),ABS($Q233-ABS(VALUE(MID(AH233,FIND("|",AH233)+1,FIND("-",AH233)-FIND("|",AH233)-1))-VALUE(MID(AH233,FIND("-",AH233)+1,10)))))*$D$50)))))*$I233,0)),0)</f>
        <v>0</v>
      </c>
      <c r="AJ233" s="404"/>
      <c r="AK233" s="398" t="s">
        <v>264</v>
      </c>
      <c r="AL233" s="356" t="n">
        <f aca="false">IFERROR(IF($M233=AK233,($D$8+$D$9+$D$10)*$I233,IF($N233=LEFT(AK233,1),($D$8+MAX(0,IF($D$50=1,$D$9*(1-(ABS($Q233-ABS(VALUE(MID(AK233,FIND("|",AK233)+1,FIND("-",AK233)-FIND("|",AK233)-1))-VALUE(MID(AK233,FIND("-",AK233)+1,10)))))*$D$50),$D$9*(1-(IF($N233="X",ABS($O233-VALUE(MID(AK233,FIND("|",AK233)+1,FIND("-",AK233)-FIND("|",AK233)-1))),ABS($Q233-ABS(VALUE(MID(AK233,FIND("|",AK233)+1,FIND("-",AK233)-FIND("|",AK233)-1))-VALUE(MID(AK233,FIND("-",AK233)+1,10)))))*$D$50)))))*$I233,0)),0)</f>
        <v>0</v>
      </c>
      <c r="AM233" s="404"/>
      <c r="AN233" s="398" t="s">
        <v>264</v>
      </c>
      <c r="AO233" s="356" t="n">
        <f aca="false">IFERROR(IF($M233=AN233,($D$8+$D$9+$D$10)*$I233,IF($N233=LEFT(AN233,1),($D$8+MAX(0,IF($D$50=1,$D$9*(1-(ABS($Q233-ABS(VALUE(MID(AN233,FIND("|",AN233)+1,FIND("-",AN233)-FIND("|",AN233)-1))-VALUE(MID(AN233,FIND("-",AN233)+1,10)))))*$D$50),$D$9*(1-(IF($N233="X",ABS($O233-VALUE(MID(AN233,FIND("|",AN233)+1,FIND("-",AN233)-FIND("|",AN233)-1))),ABS($Q233-ABS(VALUE(MID(AN233,FIND("|",AN233)+1,FIND("-",AN233)-FIND("|",AN233)-1))-VALUE(MID(AN233,FIND("-",AN233)+1,10)))))*$D$50)))))*$I233,0)),0)</f>
        <v>0</v>
      </c>
      <c r="AP233" s="404"/>
      <c r="AQ233" s="398" t="s">
        <v>264</v>
      </c>
      <c r="AR233" s="356" t="n">
        <f aca="false">IFERROR(IF($M233=AQ233,($D$8+$D$9+$D$10)*$I233,IF($N233=LEFT(AQ233,1),($D$8+MAX(0,IF($D$50=1,$D$9*(1-(ABS($Q233-ABS(VALUE(MID(AQ233,FIND("|",AQ233)+1,FIND("-",AQ233)-FIND("|",AQ233)-1))-VALUE(MID(AQ233,FIND("-",AQ233)+1,10)))))*$D$50),$D$9*(1-(IF($N233="X",ABS($O233-VALUE(MID(AQ233,FIND("|",AQ233)+1,FIND("-",AQ233)-FIND("|",AQ233)-1))),ABS($Q233-ABS(VALUE(MID(AQ233,FIND("|",AQ233)+1,FIND("-",AQ233)-FIND("|",AQ233)-1))-VALUE(MID(AQ233,FIND("-",AQ233)+1,10)))))*$D$50)))))*$I233,0)),0)</f>
        <v>0</v>
      </c>
      <c r="AS233" s="404"/>
      <c r="AT233" s="398" t="s">
        <v>268</v>
      </c>
      <c r="AU233" s="356" t="n">
        <f aca="false">IFERROR(IF($M233=AT233,($D$8+$D$9+$D$10)*$I233,IF($N233=LEFT(AT233,1),($D$8+MAX(0,IF($D$50=1,$D$9*(1-(ABS($Q233-ABS(VALUE(MID(AT233,FIND("|",AT233)+1,FIND("-",AT233)-FIND("|",AT233)-1))-VALUE(MID(AT233,FIND("-",AT233)+1,10)))))*$D$50),$D$9*(1-(IF($N233="X",ABS($O233-VALUE(MID(AT233,FIND("|",AT233)+1,FIND("-",AT233)-FIND("|",AT233)-1))),ABS($Q233-ABS(VALUE(MID(AT233,FIND("|",AT233)+1,FIND("-",AT233)-FIND("|",AT233)-1))-VALUE(MID(AT233,FIND("-",AT233)+1,10)))))*$D$50)))))*$I233,0)),0)</f>
        <v>0</v>
      </c>
      <c r="AV233" s="404"/>
      <c r="AW233" s="398" t="s">
        <v>267</v>
      </c>
      <c r="AX233" s="356" t="n">
        <f aca="false">IFERROR(IF($M233=AW233,($D$8+$D$9+$D$10)*$I233,IF($N233=LEFT(AW233,1),($D$8+MAX(0,IF($D$50=1,$D$9*(1-(ABS($Q233-ABS(VALUE(MID(AW233,FIND("|",AW233)+1,FIND("-",AW233)-FIND("|",AW233)-1))-VALUE(MID(AW233,FIND("-",AW233)+1,10)))))*$D$50),$D$9*(1-(IF($N233="X",ABS($O233-VALUE(MID(AW233,FIND("|",AW233)+1,FIND("-",AW233)-FIND("|",AW233)-1))),ABS($Q233-ABS(VALUE(MID(AW233,FIND("|",AW233)+1,FIND("-",AW233)-FIND("|",AW233)-1))-VALUE(MID(AW233,FIND("-",AW233)+1,10)))))*$D$50)))))*$I233,0)),0)</f>
        <v>0</v>
      </c>
      <c r="AY233" s="404"/>
      <c r="AZ233" s="398" t="s">
        <v>264</v>
      </c>
      <c r="BA233" s="356" t="n">
        <f aca="false">IFERROR(IF($M233=AZ233,($D$8+$D$9+$D$10)*$I233,IF($N233=LEFT(AZ233,1),($D$8+MAX(0,IF($D$50=1,$D$9*(1-(ABS($Q233-ABS(VALUE(MID(AZ233,FIND("|",AZ233)+1,FIND("-",AZ233)-FIND("|",AZ233)-1))-VALUE(MID(AZ233,FIND("-",AZ233)+1,10)))))*$D$50),$D$9*(1-(IF($N233="X",ABS($O233-VALUE(MID(AZ233,FIND("|",AZ233)+1,FIND("-",AZ233)-FIND("|",AZ233)-1))),ABS($Q233-ABS(VALUE(MID(AZ233,FIND("|",AZ233)+1,FIND("-",AZ233)-FIND("|",AZ233)-1))-VALUE(MID(AZ233,FIND("-",AZ233)+1,10)))))*$D$50)))))*$I233,0)),0)</f>
        <v>0</v>
      </c>
      <c r="BB233" s="404"/>
      <c r="BC233" s="398" t="s">
        <v>268</v>
      </c>
      <c r="BD233" s="356" t="n">
        <f aca="false">IFERROR(IF($M233=BC233,($D$8+$D$9+$D$10)*$I233,IF($N233=LEFT(BC233,1),($D$8+MAX(0,IF($D$50=1,$D$9*(1-(ABS($Q233-ABS(VALUE(MID(BC233,FIND("|",BC233)+1,FIND("-",BC233)-FIND("|",BC233)-1))-VALUE(MID(BC233,FIND("-",BC233)+1,10)))))*$D$50),$D$9*(1-(IF($N233="X",ABS($O233-VALUE(MID(BC233,FIND("|",BC233)+1,FIND("-",BC233)-FIND("|",BC233)-1))),ABS($Q233-ABS(VALUE(MID(BC233,FIND("|",BC233)+1,FIND("-",BC233)-FIND("|",BC233)-1))-VALUE(MID(BC233,FIND("-",BC233)+1,10)))))*$D$50)))))*$I233,0)),0)</f>
        <v>0</v>
      </c>
      <c r="BE233" s="404"/>
      <c r="BF233" s="398" t="s">
        <v>268</v>
      </c>
      <c r="BG233" s="356" t="n">
        <f aca="false">IFERROR(IF($M233=BF233,($D$8+$D$9+$D$10)*$I233,IF($N233=LEFT(BF233,1),($D$8+MAX(0,IF($D$50=1,$D$9*(1-(ABS($Q233-ABS(VALUE(MID(BF233,FIND("|",BF233)+1,FIND("-",BF233)-FIND("|",BF233)-1))-VALUE(MID(BF233,FIND("-",BF233)+1,10)))))*$D$50),$D$9*(1-(IF($N233="X",ABS($O233-VALUE(MID(BF233,FIND("|",BF233)+1,FIND("-",BF233)-FIND("|",BF233)-1))),ABS($Q233-ABS(VALUE(MID(BF233,FIND("|",BF233)+1,FIND("-",BF233)-FIND("|",BF233)-1))-VALUE(MID(BF233,FIND("-",BF233)+1,10)))))*$D$50)))))*$I233,0)),0)</f>
        <v>0</v>
      </c>
      <c r="BH233" s="404"/>
      <c r="BI233" s="398" t="s">
        <v>265</v>
      </c>
      <c r="BJ233" s="356" t="n">
        <f aca="false">IFERROR(IF($M233=BI233,($D$8+$D$9+$D$10)*$I233,IF($N233=LEFT(BI233,1),($D$8+MAX(0,IF($D$50=1,$D$9*(1-(ABS($Q233-ABS(VALUE(MID(BI233,FIND("|",BI233)+1,FIND("-",BI233)-FIND("|",BI233)-1))-VALUE(MID(BI233,FIND("-",BI233)+1,10)))))*$D$50),$D$9*(1-(IF($N233="X",ABS($O233-VALUE(MID(BI233,FIND("|",BI233)+1,FIND("-",BI233)-FIND("|",BI233)-1))),ABS($Q233-ABS(VALUE(MID(BI233,FIND("|",BI233)+1,FIND("-",BI233)-FIND("|",BI233)-1))-VALUE(MID(BI233,FIND("-",BI233)+1,10)))))*$D$50)))))*$I233,0)),0)</f>
        <v>0</v>
      </c>
      <c r="BK233" s="404"/>
      <c r="BL233" s="398" t="s">
        <v>265</v>
      </c>
      <c r="BM233" s="356" t="n">
        <f aca="false">IFERROR(IF($M233=BL233,($D$8+$D$9+$D$10)*$I233,IF($N233=LEFT(BL233,1),($D$8+MAX(0,IF($D$50=1,$D$9*(1-(ABS($Q233-ABS(VALUE(MID(BL233,FIND("|",BL233)+1,FIND("-",BL233)-FIND("|",BL233)-1))-VALUE(MID(BL233,FIND("-",BL233)+1,10)))))*$D$50),$D$9*(1-(IF($N233="X",ABS($O233-VALUE(MID(BL233,FIND("|",BL233)+1,FIND("-",BL233)-FIND("|",BL233)-1))),ABS($Q233-ABS(VALUE(MID(BL233,FIND("|",BL233)+1,FIND("-",BL233)-FIND("|",BL233)-1))-VALUE(MID(BL233,FIND("-",BL233)+1,10)))))*$D$50)))))*$I233,0)),0)</f>
        <v>0</v>
      </c>
      <c r="BN233" s="404"/>
      <c r="BO233" s="398" t="s">
        <v>268</v>
      </c>
      <c r="BP233" s="356" t="n">
        <f aca="false">IFERROR(IF($M233=BO233,($D$8+$D$9+$D$10)*$I233,IF($N233=LEFT(BO233,1),($D$8+MAX(0,IF($D$50=1,$D$9*(1-(ABS($Q233-ABS(VALUE(MID(BO233,FIND("|",BO233)+1,FIND("-",BO233)-FIND("|",BO233)-1))-VALUE(MID(BO233,FIND("-",BO233)+1,10)))))*$D$50),$D$9*(1-(IF($N233="X",ABS($O233-VALUE(MID(BO233,FIND("|",BO233)+1,FIND("-",BO233)-FIND("|",BO233)-1))),ABS($Q233-ABS(VALUE(MID(BO233,FIND("|",BO233)+1,FIND("-",BO233)-FIND("|",BO233)-1))-VALUE(MID(BO233,FIND("-",BO233)+1,10)))))*$D$50)))))*$I233,0)),0)</f>
        <v>0</v>
      </c>
      <c r="BQ233" s="404"/>
      <c r="BR233" s="398" t="s">
        <v>267</v>
      </c>
      <c r="BS233" s="356" t="n">
        <f aca="false">IFERROR(IF($M233=BR233,($D$8+$D$9+$D$10)*$I233,IF($N233=LEFT(BR233,1),($D$8+MAX(0,IF($D$50=1,$D$9*(1-(ABS($Q233-ABS(VALUE(MID(BR233,FIND("|",BR233)+1,FIND("-",BR233)-FIND("|",BR233)-1))-VALUE(MID(BR233,FIND("-",BR233)+1,10)))))*$D$50),$D$9*(1-(IF($N233="X",ABS($O233-VALUE(MID(BR233,FIND("|",BR233)+1,FIND("-",BR233)-FIND("|",BR233)-1))),ABS($Q233-ABS(VALUE(MID(BR233,FIND("|",BR233)+1,FIND("-",BR233)-FIND("|",BR233)-1))-VALUE(MID(BR233,FIND("-",BR233)+1,10)))))*$D$50)))))*$I233,0)),0)</f>
        <v>0</v>
      </c>
      <c r="BT233" s="404"/>
      <c r="BU233" s="398"/>
      <c r="BV233" s="356" t="n">
        <f aca="false">IFERROR(IF($M233=BU233,($D$8+$D$9+$D$10)*$I233,IF($N233=LEFT(BU233,1),($D$8+MAX(0,IF($D$50=1,$D$9*(1-(ABS($Q233-ABS(VALUE(MID(BU233,FIND("|",BU233)+1,FIND("-",BU233)-FIND("|",BU233)-1))-VALUE(MID(BU233,FIND("-",BU233)+1,10)))))*$D$50),$D$9*(1-(IF($N233="X",ABS($O233-VALUE(MID(BU233,FIND("|",BU233)+1,FIND("-",BU233)-FIND("|",BU233)-1))),ABS($Q233-ABS(VALUE(MID(BU233,FIND("|",BU233)+1,FIND("-",BU233)-FIND("|",BU233)-1))-VALUE(MID(BU233,FIND("-",BU233)+1,10)))))*$D$50)))))*$I233,0)),0)</f>
        <v>0</v>
      </c>
      <c r="BW233" s="404"/>
      <c r="BX233" s="398"/>
      <c r="BY233" s="356" t="n">
        <f aca="false">IFERROR(IF($M233=BX233,($D$8+$D$9+$D$10)*$I233,IF($N233=LEFT(BX233,1),($D$8+MAX(0,IF($D$50=1,$D$9*(1-(ABS($Q233-ABS(VALUE(MID(BX233,FIND("|",BX233)+1,FIND("-",BX233)-FIND("|",BX233)-1))-VALUE(MID(BX233,FIND("-",BX233)+1,10)))))*$D$50),$D$9*(1-(IF($N233="X",ABS($O233-VALUE(MID(BX233,FIND("|",BX233)+1,FIND("-",BX233)-FIND("|",BX233)-1))),ABS($Q233-ABS(VALUE(MID(BX233,FIND("|",BX233)+1,FIND("-",BX233)-FIND("|",BX233)-1))-VALUE(MID(BX233,FIND("-",BX233)+1,10)))))*$D$50)))))*$I233,0)),0)</f>
        <v>0</v>
      </c>
      <c r="BZ233" s="404"/>
      <c r="CA233" s="398"/>
      <c r="CB233" s="356" t="n">
        <f aca="false">IFERROR(IF($M233=CA233,($D$8+$D$9+$D$10)*$I233,IF($N233=LEFT(CA233,1),($D$8+MAX(0,IF($D$50=1,$D$9*(1-(ABS($Q233-ABS(VALUE(MID(CA233,FIND("|",CA233)+1,FIND("-",CA233)-FIND("|",CA233)-1))-VALUE(MID(CA233,FIND("-",CA233)+1,10)))))*$D$50),$D$9*(1-(IF($N233="X",ABS($O233-VALUE(MID(CA233,FIND("|",CA233)+1,FIND("-",CA233)-FIND("|",CA233)-1))),ABS($Q233-ABS(VALUE(MID(CA233,FIND("|",CA233)+1,FIND("-",CA233)-FIND("|",CA233)-1))-VALUE(MID(CA233,FIND("-",CA233)+1,10)))))*$D$50)))))*$I233,0)),0)</f>
        <v>0</v>
      </c>
      <c r="CC233" s="404"/>
      <c r="CD233" s="398"/>
      <c r="CE233" s="356" t="n">
        <f aca="false">IFERROR(IF($M233=CD233,($D$8+$D$9+$D$10)*$I233,IF($N233=LEFT(CD233,1),($D$8+MAX(0,IF($D$50=1,$D$9*(1-(ABS($Q233-ABS(VALUE(MID(CD233,FIND("|",CD233)+1,FIND("-",CD233)-FIND("|",CD233)-1))-VALUE(MID(CD233,FIND("-",CD233)+1,10)))))*$D$50),$D$9*(1-(IF($N233="X",ABS($O233-VALUE(MID(CD233,FIND("|",CD233)+1,FIND("-",CD233)-FIND("|",CD233)-1))),ABS($Q233-ABS(VALUE(MID(CD233,FIND("|",CD233)+1,FIND("-",CD233)-FIND("|",CD233)-1))-VALUE(MID(CD233,FIND("-",CD233)+1,10)))))*$D$50)))))*$I233,0)),0)</f>
        <v>0</v>
      </c>
      <c r="CF233" s="404"/>
      <c r="CG233" s="398"/>
      <c r="CH233" s="356" t="n">
        <f aca="false">IFERROR(IF($M233=CG233,($D$8+$D$9+$D$10)*$I233,IF($N233=LEFT(CG233,1),($D$8+MAX(0,IF($D$50=1,$D$9*(1-(ABS($Q233-ABS(VALUE(MID(CG233,FIND("|",CG233)+1,FIND("-",CG233)-FIND("|",CG233)-1))-VALUE(MID(CG233,FIND("-",CG233)+1,10)))))*$D$50),$D$9*(1-(IF($N233="X",ABS($O233-VALUE(MID(CG233,FIND("|",CG233)+1,FIND("-",CG233)-FIND("|",CG233)-1))),ABS($Q233-ABS(VALUE(MID(CG233,FIND("|",CG233)+1,FIND("-",CG233)-FIND("|",CG233)-1))-VALUE(MID(CG233,FIND("-",CG233)+1,10)))))*$D$50)))))*$I233,0)),0)</f>
        <v>0</v>
      </c>
      <c r="CI233" s="404"/>
      <c r="CJ233" s="398"/>
      <c r="CK233" s="356" t="n">
        <f aca="false">IFERROR(IF($M233=CJ233,($D$8+$D$9+$D$10)*$I233,IF($N233=LEFT(CJ233,1),($D$8+MAX(0,IF($D$50=1,$D$9*(1-(ABS($Q233-ABS(VALUE(MID(CJ233,FIND("|",CJ233)+1,FIND("-",CJ233)-FIND("|",CJ233)-1))-VALUE(MID(CJ233,FIND("-",CJ233)+1,10)))))*$D$50),$D$9*(1-(IF($N233="X",ABS($O233-VALUE(MID(CJ233,FIND("|",CJ233)+1,FIND("-",CJ233)-FIND("|",CJ233)-1))),ABS($Q233-ABS(VALUE(MID(CJ233,FIND("|",CJ233)+1,FIND("-",CJ233)-FIND("|",CJ233)-1))-VALUE(MID(CJ233,FIND("-",CJ233)+1,10)))))*$D$50)))))*$I233,0)),0)</f>
        <v>0</v>
      </c>
      <c r="CL233" s="404"/>
      <c r="CM233" s="398"/>
      <c r="CN233" s="356" t="n">
        <f aca="false">IFERROR(IF($M233=CM233,($D$8+$D$9+$D$10)*$I233,IF($N233=LEFT(CM233,1),($D$8+MAX(0,IF($D$50=1,$D$9*(1-(ABS($Q233-ABS(VALUE(MID(CM233,FIND("|",CM233)+1,FIND("-",CM233)-FIND("|",CM233)-1))-VALUE(MID(CM233,FIND("-",CM233)+1,10)))))*$D$50),$D$9*(1-(IF($N233="X",ABS($O233-VALUE(MID(CM233,FIND("|",CM233)+1,FIND("-",CM233)-FIND("|",CM233)-1))),ABS($Q233-ABS(VALUE(MID(CM233,FIND("|",CM233)+1,FIND("-",CM233)-FIND("|",CM233)-1))-VALUE(MID(CM233,FIND("-",CM233)+1,10)))))*$D$50)))))*$I233,0)),0)</f>
        <v>0</v>
      </c>
      <c r="CO233" s="404"/>
      <c r="CP233" s="398"/>
      <c r="CQ233" s="356" t="n">
        <f aca="false">IFERROR(IF($M233=CP233,($D$8+$D$9+$D$10)*$I233,IF($N233=LEFT(CP233,1),($D$8+MAX(0,IF($D$50=1,$D$9*(1-(ABS($Q233-ABS(VALUE(MID(CP233,FIND("|",CP233)+1,FIND("-",CP233)-FIND("|",CP233)-1))-VALUE(MID(CP233,FIND("-",CP233)+1,10)))))*$D$50),$D$9*(1-(IF($N233="X",ABS($O233-VALUE(MID(CP233,FIND("|",CP233)+1,FIND("-",CP233)-FIND("|",CP233)-1))),ABS($Q233-ABS(VALUE(MID(CP233,FIND("|",CP233)+1,FIND("-",CP233)-FIND("|",CP233)-1))-VALUE(MID(CP233,FIND("-",CP233)+1,10)))))*$D$50)))))*$I233,0)),0)</f>
        <v>0</v>
      </c>
      <c r="CR233" s="404"/>
      <c r="CS233" s="398"/>
      <c r="CT233" s="356" t="n">
        <f aca="false">IFERROR(IF($M233=CS233,($D$8+$D$9+$D$10)*$I233,IF($N233=LEFT(CS233,1),($D$8+MAX(0,IF($D$50=1,$D$9*(1-(ABS($Q233-ABS(VALUE(MID(CS233,FIND("|",CS233)+1,FIND("-",CS233)-FIND("|",CS233)-1))-VALUE(MID(CS233,FIND("-",CS233)+1,10)))))*$D$50),$D$9*(1-(IF($N233="X",ABS($O233-VALUE(MID(CS233,FIND("|",CS233)+1,FIND("-",CS233)-FIND("|",CS233)-1))),ABS($Q233-ABS(VALUE(MID(CS233,FIND("|",CS233)+1,FIND("-",CS233)-FIND("|",CS233)-1))-VALUE(MID(CS233,FIND("-",CS233)+1,10)))))*$D$50)))))*$I233,0)),0)</f>
        <v>0</v>
      </c>
      <c r="CU233" s="404"/>
      <c r="CV233" s="398"/>
      <c r="CW233" s="356" t="n">
        <f aca="false">IFERROR(IF($M233=CV233,($D$8+$D$9+$D$10)*$I233,IF($N233=LEFT(CV233,1),($D$8+MAX(0,IF($D$50=1,$D$9*(1-(ABS($Q233-ABS(VALUE(MID(CV233,FIND("|",CV233)+1,FIND("-",CV233)-FIND("|",CV233)-1))-VALUE(MID(CV233,FIND("-",CV233)+1,10)))))*$D$50),$D$9*(1-(IF($N233="X",ABS($O233-VALUE(MID(CV233,FIND("|",CV233)+1,FIND("-",CV233)-FIND("|",CV233)-1))),ABS($Q233-ABS(VALUE(MID(CV233,FIND("|",CV233)+1,FIND("-",CV233)-FIND("|",CV233)-1))-VALUE(MID(CV233,FIND("-",CV233)+1,10)))))*$D$50)))))*$I233,0)),0)</f>
        <v>0</v>
      </c>
      <c r="CX233" s="404"/>
      <c r="CY233" s="398"/>
      <c r="CZ233" s="356" t="n">
        <f aca="false">IFERROR(IF($M233=CY233,($D$8+$D$9+$D$10)*$I233,IF($N233=LEFT(CY233,1),($D$8+MAX(0,IF($D$50=1,$D$9*(1-(ABS($Q233-ABS(VALUE(MID(CY233,FIND("|",CY233)+1,FIND("-",CY233)-FIND("|",CY233)-1))-VALUE(MID(CY233,FIND("-",CY233)+1,10)))))*$D$50),$D$9*(1-(IF($N233="X",ABS($O233-VALUE(MID(CY233,FIND("|",CY233)+1,FIND("-",CY233)-FIND("|",CY233)-1))),ABS($Q233-ABS(VALUE(MID(CY233,FIND("|",CY233)+1,FIND("-",CY233)-FIND("|",CY233)-1))-VALUE(MID(CY233,FIND("-",CY233)+1,10)))))*$D$50)))))*$I233,0)),0)</f>
        <v>0</v>
      </c>
      <c r="DA233" s="404"/>
      <c r="DB233" s="398"/>
      <c r="DC233" s="356" t="n">
        <f aca="false">IFERROR(IF($M233=DB233,($D$8+$D$9+$D$10)*$I233,IF($N233=LEFT(DB233,1),($D$8+MAX(0,IF($D$50=1,$D$9*(1-(ABS($Q233-ABS(VALUE(MID(DB233,FIND("|",DB233)+1,FIND("-",DB233)-FIND("|",DB233)-1))-VALUE(MID(DB233,FIND("-",DB233)+1,10)))))*$D$50),$D$9*(1-(IF($N233="X",ABS($O233-VALUE(MID(DB233,FIND("|",DB233)+1,FIND("-",DB233)-FIND("|",DB233)-1))),ABS($Q233-ABS(VALUE(MID(DB233,FIND("|",DB233)+1,FIND("-",DB233)-FIND("|",DB233)-1))-VALUE(MID(DB233,FIND("-",DB233)+1,10)))))*$D$50)))))*$I233,0)),0)</f>
        <v>0</v>
      </c>
      <c r="DD233" s="404"/>
      <c r="DE233" s="398"/>
      <c r="DF233" s="356" t="n">
        <f aca="false">IFERROR(IF($M233=DE233,($D$8+$D$9+$D$10)*$I233,IF($N233=LEFT(DE233,1),($D$8+MAX(0,IF($D$50=1,$D$9*(1-(ABS($Q233-ABS(VALUE(MID(DE233,FIND("|",DE233)+1,FIND("-",DE233)-FIND("|",DE233)-1))-VALUE(MID(DE233,FIND("-",DE233)+1,10)))))*$D$50),$D$9*(1-(IF($N233="X",ABS($O233-VALUE(MID(DE233,FIND("|",DE233)+1,FIND("-",DE233)-FIND("|",DE233)-1))),ABS($Q233-ABS(VALUE(MID(DE233,FIND("|",DE233)+1,FIND("-",DE233)-FIND("|",DE233)-1))-VALUE(MID(DE233,FIND("-",DE233)+1,10)))))*$D$50)))))*$I233,0)),0)</f>
        <v>0</v>
      </c>
      <c r="DG233" s="404"/>
      <c r="DH233" s="398"/>
      <c r="DI233" s="356" t="n">
        <f aca="false">IFERROR(IF($M233=DH233,($D$8+$D$9+$D$10)*$I233,IF($N233=LEFT(DH233,1),($D$8+MAX(0,IF($D$50=1,$D$9*(1-(ABS($Q233-ABS(VALUE(MID(DH233,FIND("|",DH233)+1,FIND("-",DH233)-FIND("|",DH233)-1))-VALUE(MID(DH233,FIND("-",DH233)+1,10)))))*$D$50),$D$9*(1-(IF($N233="X",ABS($O233-VALUE(MID(DH233,FIND("|",DH233)+1,FIND("-",DH233)-FIND("|",DH233)-1))),ABS($Q233-ABS(VALUE(MID(DH233,FIND("|",DH233)+1,FIND("-",DH233)-FIND("|",DH233)-1))-VALUE(MID(DH233,FIND("-",DH233)+1,10)))))*$D$50)))))*$I233,0)),0)</f>
        <v>0</v>
      </c>
      <c r="DJ233" s="404"/>
      <c r="DK233" s="398"/>
      <c r="DL233" s="356" t="n">
        <f aca="false">IFERROR(IF($M233=DK233,($D$8+$D$9+$D$10)*$I233,IF($N233=LEFT(DK233,1),($D$8+MAX(0,IF($D$50=1,$D$9*(1-(ABS($Q233-ABS(VALUE(MID(DK233,FIND("|",DK233)+1,FIND("-",DK233)-FIND("|",DK233)-1))-VALUE(MID(DK233,FIND("-",DK233)+1,10)))))*$D$50),$D$9*(1-(IF($N233="X",ABS($O233-VALUE(MID(DK233,FIND("|",DK233)+1,FIND("-",DK233)-FIND("|",DK233)-1))),ABS($Q233-ABS(VALUE(MID(DK233,FIND("|",DK233)+1,FIND("-",DK233)-FIND("|",DK233)-1))-VALUE(MID(DK233,FIND("-",DK233)+1,10)))))*$D$50)))))*$I233,0)),0)</f>
        <v>0</v>
      </c>
      <c r="DM233" s="404"/>
      <c r="DN233" s="398"/>
      <c r="DO233" s="356" t="n">
        <f aca="false">IFERROR(IF($M233=DN233,($D$8+$D$9+$D$10)*$I233,IF($N233=LEFT(DN233,1),($D$8+MAX(0,IF($D$50=1,$D$9*(1-(ABS($Q233-ABS(VALUE(MID(DN233,FIND("|",DN233)+1,FIND("-",DN233)-FIND("|",DN233)-1))-VALUE(MID(DN233,FIND("-",DN233)+1,10)))))*$D$50),$D$9*(1-(IF($N233="X",ABS($O233-VALUE(MID(DN233,FIND("|",DN233)+1,FIND("-",DN233)-FIND("|",DN233)-1))),ABS($Q233-ABS(VALUE(MID(DN233,FIND("|",DN233)+1,FIND("-",DN233)-FIND("|",DN233)-1))-VALUE(MID(DN233,FIND("-",DN233)+1,10)))))*$D$50)))))*$I233,0)),0)</f>
        <v>0</v>
      </c>
      <c r="DP233" s="404"/>
      <c r="DQ233" s="398"/>
      <c r="DR233" s="356" t="n">
        <f aca="false">IFERROR(IF($M233=DQ233,($D$8+$D$9+$D$10)*$I233,IF($N233=LEFT(DQ233,1),($D$8+MAX(0,IF($D$50=1,$D$9*(1-(ABS($Q233-ABS(VALUE(MID(DQ233,FIND("|",DQ233)+1,FIND("-",DQ233)-FIND("|",DQ233)-1))-VALUE(MID(DQ233,FIND("-",DQ233)+1,10)))))*$D$50),$D$9*(1-(IF($N233="X",ABS($O233-VALUE(MID(DQ233,FIND("|",DQ233)+1,FIND("-",DQ233)-FIND("|",DQ233)-1))),ABS($Q233-ABS(VALUE(MID(DQ233,FIND("|",DQ233)+1,FIND("-",DQ233)-FIND("|",DQ233)-1))-VALUE(MID(DQ233,FIND("-",DQ233)+1,10)))))*$D$50)))))*$I233,0)),0)</f>
        <v>0</v>
      </c>
      <c r="DS233" s="404"/>
      <c r="DT233" s="398"/>
      <c r="DU233" s="356" t="n">
        <f aca="false">IFERROR(IF($M233=DT233,($D$8+$D$9+$D$10)*$I233,IF($N233=LEFT(DT233,1),($D$8+MAX(0,IF($D$50=1,$D$9*(1-(ABS($Q233-ABS(VALUE(MID(DT233,FIND("|",DT233)+1,FIND("-",DT233)-FIND("|",DT233)-1))-VALUE(MID(DT233,FIND("-",DT233)+1,10)))))*$D$50),$D$9*(1-(IF($N233="X",ABS($O233-VALUE(MID(DT233,FIND("|",DT233)+1,FIND("-",DT233)-FIND("|",DT233)-1))),ABS($Q233-ABS(VALUE(MID(DT233,FIND("|",DT233)+1,FIND("-",DT233)-FIND("|",DT233)-1))-VALUE(MID(DT233,FIND("-",DT233)+1,10)))))*$D$50)))))*$I233,0)),0)</f>
        <v>0</v>
      </c>
      <c r="DV233" s="404"/>
      <c r="DW233" s="398"/>
      <c r="DX233" s="356" t="n">
        <f aca="false">IFERROR(IF($M233=DW233,($D$8+$D$9+$D$10)*$I233,IF($N233=LEFT(DW233,1),($D$8+MAX(0,IF($D$50=1,$D$9*(1-(ABS($Q233-ABS(VALUE(MID(DW233,FIND("|",DW233)+1,FIND("-",DW233)-FIND("|",DW233)-1))-VALUE(MID(DW233,FIND("-",DW233)+1,10)))))*$D$50),$D$9*(1-(IF($N233="X",ABS($O233-VALUE(MID(DW233,FIND("|",DW233)+1,FIND("-",DW233)-FIND("|",DW233)-1))),ABS($Q233-ABS(VALUE(MID(DW233,FIND("|",DW233)+1,FIND("-",DW233)-FIND("|",DW233)-1))-VALUE(MID(DW233,FIND("-",DW233)+1,10)))))*$D$50)))))*$I233,0)),0)</f>
        <v>0</v>
      </c>
      <c r="DY233" s="404"/>
      <c r="DZ233" s="398"/>
      <c r="EA233" s="356" t="n">
        <f aca="false">IFERROR(IF($M233=DZ233,($D$8+$D$9+$D$10)*$I233,IF($N233=LEFT(DZ233,1),($D$8+MAX(0,IF($D$50=1,$D$9*(1-(ABS($Q233-ABS(VALUE(MID(DZ233,FIND("|",DZ233)+1,FIND("-",DZ233)-FIND("|",DZ233)-1))-VALUE(MID(DZ233,FIND("-",DZ233)+1,10)))))*$D$50),$D$9*(1-(IF($N233="X",ABS($O233-VALUE(MID(DZ233,FIND("|",DZ233)+1,FIND("-",DZ233)-FIND("|",DZ233)-1))),ABS($Q233-ABS(VALUE(MID(DZ233,FIND("|",DZ233)+1,FIND("-",DZ233)-FIND("|",DZ233)-1))-VALUE(MID(DZ233,FIND("-",DZ233)+1,10)))))*$D$50)))))*$I233,0)),0)</f>
        <v>0</v>
      </c>
      <c r="EB233" s="404"/>
      <c r="EC233" s="398"/>
      <c r="ED233" s="356" t="n">
        <f aca="false">IFERROR(IF($M233=EC233,($D$8+$D$9+$D$10)*$I233,IF($N233=LEFT(EC233,1),($D$8+MAX(0,IF($D$50=1,$D$9*(1-(ABS($Q233-ABS(VALUE(MID(EC233,FIND("|",EC233)+1,FIND("-",EC233)-FIND("|",EC233)-1))-VALUE(MID(EC233,FIND("-",EC233)+1,10)))))*$D$50),$D$9*(1-(IF($N233="X",ABS($O233-VALUE(MID(EC233,FIND("|",EC233)+1,FIND("-",EC233)-FIND("|",EC233)-1))),ABS($Q233-ABS(VALUE(MID(EC233,FIND("|",EC233)+1,FIND("-",EC233)-FIND("|",EC233)-1))-VALUE(MID(EC233,FIND("-",EC233)+1,10)))))*$D$50)))))*$I233,0)),0)</f>
        <v>0</v>
      </c>
      <c r="EE233" s="404"/>
      <c r="EF233" s="398"/>
      <c r="EG233" s="356" t="n">
        <f aca="false">IFERROR(IF($M233=EF233,($D$8+$D$9+$D$10)*$I233,IF($N233=LEFT(EF233,1),($D$8+MAX(0,IF($D$50=1,$D$9*(1-(ABS($Q233-ABS(VALUE(MID(EF233,FIND("|",EF233)+1,FIND("-",EF233)-FIND("|",EF233)-1))-VALUE(MID(EF233,FIND("-",EF233)+1,10)))))*$D$50),$D$9*(1-(IF($N233="X",ABS($O233-VALUE(MID(EF233,FIND("|",EF233)+1,FIND("-",EF233)-FIND("|",EF233)-1))),ABS($Q233-ABS(VALUE(MID(EF233,FIND("|",EF233)+1,FIND("-",EF233)-FIND("|",EF233)-1))-VALUE(MID(EF233,FIND("-",EF233)+1,10)))))*$D$50)))))*$I233,0)),0)</f>
        <v>0</v>
      </c>
      <c r="EH233" s="404"/>
      <c r="EI233" s="404"/>
    </row>
    <row r="234" customFormat="false" ht="15" hidden="false" customHeight="false" outlineLevel="0" collapsed="false">
      <c r="A234" s="332"/>
      <c r="B234" s="332"/>
      <c r="C234" s="422"/>
      <c r="D234" s="422"/>
      <c r="E234" s="422"/>
      <c r="F234" s="423"/>
      <c r="G234" s="423"/>
      <c r="H234" s="410"/>
      <c r="I234" s="410"/>
      <c r="J234" s="413"/>
      <c r="K234" s="414" t="str">
        <f aca="false">Idiomas!D464</f>
        <v>Partidos 1/2</v>
      </c>
      <c r="L234" s="415"/>
      <c r="M234" s="414" t="str">
        <f aca="false">"Max: "&amp;SUM($D$28:$D$30)*SUM($I$232:$I$233)</f>
        <v>Max: 36</v>
      </c>
      <c r="N234" s="332"/>
      <c r="O234" s="332"/>
      <c r="P234" s="332"/>
      <c r="Q234" s="332"/>
      <c r="R234" s="332"/>
      <c r="S234" s="416"/>
      <c r="T234" s="347" t="n">
        <f aca="false">SUM(T232:T233)</f>
        <v>0</v>
      </c>
      <c r="U234" s="327"/>
      <c r="V234" s="416"/>
      <c r="W234" s="347" t="n">
        <f aca="false">SUM(W232:W233)</f>
        <v>0</v>
      </c>
      <c r="X234" s="327"/>
      <c r="Y234" s="416"/>
      <c r="Z234" s="347" t="n">
        <f aca="false">SUM(Z232:Z233)</f>
        <v>0</v>
      </c>
      <c r="AA234" s="327"/>
      <c r="AB234" s="416"/>
      <c r="AC234" s="347" t="n">
        <f aca="false">SUM(AC232:AC233)</f>
        <v>0</v>
      </c>
      <c r="AD234" s="334"/>
      <c r="AE234" s="416"/>
      <c r="AF234" s="347" t="n">
        <f aca="false">SUM(AF232:AF233)</f>
        <v>0</v>
      </c>
      <c r="AG234" s="327"/>
      <c r="AH234" s="416"/>
      <c r="AI234" s="347" t="n">
        <f aca="false">SUM(AI232:AI233)</f>
        <v>0</v>
      </c>
      <c r="AJ234" s="327"/>
      <c r="AK234" s="416"/>
      <c r="AL234" s="347" t="n">
        <f aca="false">SUM(AL232:AL233)</f>
        <v>0</v>
      </c>
      <c r="AM234" s="327"/>
      <c r="AN234" s="416"/>
      <c r="AO234" s="347" t="n">
        <f aca="false">SUM(AO232:AO233)</f>
        <v>0</v>
      </c>
      <c r="AP234" s="327"/>
      <c r="AQ234" s="416"/>
      <c r="AR234" s="347" t="n">
        <f aca="false">SUM(AR232:AR233)</f>
        <v>0</v>
      </c>
      <c r="AS234" s="334"/>
      <c r="AT234" s="416"/>
      <c r="AU234" s="347" t="n">
        <f aca="false">SUM(AU232:AU233)</f>
        <v>0</v>
      </c>
      <c r="AV234" s="327"/>
      <c r="AW234" s="416"/>
      <c r="AX234" s="347" t="n">
        <f aca="false">SUM(AX232:AX233)</f>
        <v>0</v>
      </c>
      <c r="AY234" s="327"/>
      <c r="AZ234" s="416"/>
      <c r="BA234" s="347" t="n">
        <f aca="false">SUM(BA232:BA233)</f>
        <v>0</v>
      </c>
      <c r="BB234" s="327"/>
      <c r="BC234" s="416"/>
      <c r="BD234" s="347" t="n">
        <f aca="false">SUM(BD232:BD233)</f>
        <v>0</v>
      </c>
      <c r="BE234" s="327"/>
      <c r="BF234" s="416"/>
      <c r="BG234" s="347" t="n">
        <f aca="false">SUM(BG232:BG233)</f>
        <v>0</v>
      </c>
      <c r="BH234" s="334"/>
      <c r="BI234" s="416"/>
      <c r="BJ234" s="347" t="n">
        <f aca="false">SUM(BJ232:BJ233)</f>
        <v>0</v>
      </c>
      <c r="BK234" s="327"/>
      <c r="BL234" s="416"/>
      <c r="BM234" s="347" t="n">
        <f aca="false">SUM(BM232:BM233)</f>
        <v>0</v>
      </c>
      <c r="BN234" s="327"/>
      <c r="BO234" s="416"/>
      <c r="BP234" s="347" t="n">
        <f aca="false">SUM(BP232:BP233)</f>
        <v>0</v>
      </c>
      <c r="BQ234" s="327"/>
      <c r="BR234" s="416"/>
      <c r="BS234" s="347" t="n">
        <f aca="false">SUM(BS232:BS233)</f>
        <v>0</v>
      </c>
      <c r="BT234" s="327"/>
      <c r="BU234" s="416"/>
      <c r="BV234" s="347" t="n">
        <f aca="false">SUM(BV232:BV233)</f>
        <v>0</v>
      </c>
      <c r="BW234" s="334"/>
      <c r="BX234" s="416"/>
      <c r="BY234" s="347" t="n">
        <f aca="false">SUM(BY232:BY233)</f>
        <v>0</v>
      </c>
      <c r="BZ234" s="327"/>
      <c r="CA234" s="416"/>
      <c r="CB234" s="347" t="n">
        <f aca="false">SUM(CB232:CB233)</f>
        <v>0</v>
      </c>
      <c r="CC234" s="327"/>
      <c r="CD234" s="416"/>
      <c r="CE234" s="347" t="n">
        <f aca="false">SUM(CE232:CE233)</f>
        <v>0</v>
      </c>
      <c r="CF234" s="327"/>
      <c r="CG234" s="416"/>
      <c r="CH234" s="347" t="n">
        <f aca="false">SUM(CH232:CH233)</f>
        <v>0</v>
      </c>
      <c r="CI234" s="327"/>
      <c r="CJ234" s="416"/>
      <c r="CK234" s="347" t="n">
        <f aca="false">SUM(CK232:CK233)</f>
        <v>0</v>
      </c>
      <c r="CL234" s="334"/>
      <c r="CM234" s="416"/>
      <c r="CN234" s="347" t="n">
        <f aca="false">SUM(CN232:CN233)</f>
        <v>0</v>
      </c>
      <c r="CO234" s="327"/>
      <c r="CP234" s="416"/>
      <c r="CQ234" s="347" t="n">
        <f aca="false">SUM(CQ232:CQ233)</f>
        <v>0</v>
      </c>
      <c r="CR234" s="327"/>
      <c r="CS234" s="416"/>
      <c r="CT234" s="347" t="n">
        <f aca="false">SUM(CT232:CT233)</f>
        <v>0</v>
      </c>
      <c r="CU234" s="327"/>
      <c r="CV234" s="416"/>
      <c r="CW234" s="347" t="n">
        <f aca="false">SUM(CW232:CW233)</f>
        <v>0</v>
      </c>
      <c r="CX234" s="327"/>
      <c r="CY234" s="416"/>
      <c r="CZ234" s="347" t="n">
        <f aca="false">SUM(CZ232:CZ233)</f>
        <v>0</v>
      </c>
      <c r="DA234" s="334"/>
      <c r="DB234" s="416"/>
      <c r="DC234" s="347" t="n">
        <f aca="false">SUM(DC232:DC233)</f>
        <v>0</v>
      </c>
      <c r="DD234" s="327"/>
      <c r="DE234" s="416"/>
      <c r="DF234" s="347" t="n">
        <f aca="false">SUM(DF232:DF233)</f>
        <v>0</v>
      </c>
      <c r="DG234" s="327"/>
      <c r="DH234" s="416"/>
      <c r="DI234" s="347" t="n">
        <f aca="false">SUM(DI232:DI233)</f>
        <v>0</v>
      </c>
      <c r="DJ234" s="327"/>
      <c r="DK234" s="416"/>
      <c r="DL234" s="347" t="n">
        <f aca="false">SUM(DL232:DL233)</f>
        <v>0</v>
      </c>
      <c r="DM234" s="327"/>
      <c r="DN234" s="416"/>
      <c r="DO234" s="347" t="n">
        <f aca="false">SUM(DO232:DO233)</f>
        <v>0</v>
      </c>
      <c r="DP234" s="334"/>
      <c r="DQ234" s="416"/>
      <c r="DR234" s="347" t="n">
        <f aca="false">SUM(DR232:DR233)</f>
        <v>0</v>
      </c>
      <c r="DS234" s="327"/>
      <c r="DT234" s="416"/>
      <c r="DU234" s="347" t="n">
        <f aca="false">SUM(DU232:DU233)</f>
        <v>0</v>
      </c>
      <c r="DV234" s="327"/>
      <c r="DW234" s="416"/>
      <c r="DX234" s="347" t="n">
        <f aca="false">SUM(DX232:DX233)</f>
        <v>0</v>
      </c>
      <c r="DY234" s="327"/>
      <c r="DZ234" s="416"/>
      <c r="EA234" s="347" t="n">
        <f aca="false">SUM(EA232:EA233)</f>
        <v>0</v>
      </c>
      <c r="EB234" s="327"/>
      <c r="EC234" s="416"/>
      <c r="ED234" s="347" t="n">
        <f aca="false">SUM(ED232:ED233)</f>
        <v>0</v>
      </c>
      <c r="EE234" s="334"/>
      <c r="EF234" s="416"/>
      <c r="EG234" s="347" t="n">
        <f aca="false">SUM(EG232:EG233)</f>
        <v>0</v>
      </c>
      <c r="EH234" s="327"/>
      <c r="EI234" s="327"/>
    </row>
    <row r="235" customFormat="false" ht="15" hidden="false" customHeight="false" outlineLevel="0" collapsed="false">
      <c r="A235" s="332"/>
      <c r="B235" s="332"/>
      <c r="C235" s="422"/>
      <c r="D235" s="422"/>
      <c r="E235" s="422"/>
      <c r="F235" s="423"/>
      <c r="G235" s="423"/>
      <c r="H235" s="410"/>
      <c r="I235" s="410"/>
      <c r="J235" s="413"/>
      <c r="K235" s="346" t="str">
        <f aca="false">Idiomas!D145</f>
        <v>CLASIFICADOS PARA EL 3º y 4º PUESTO</v>
      </c>
      <c r="L235" s="333"/>
      <c r="M235" s="347"/>
      <c r="N235" s="332"/>
      <c r="O235" s="332"/>
      <c r="P235" s="332"/>
      <c r="Q235" s="332"/>
      <c r="R235" s="332"/>
      <c r="S235" s="416"/>
      <c r="T235" s="347"/>
      <c r="U235" s="327"/>
      <c r="V235" s="416"/>
      <c r="W235" s="347"/>
      <c r="X235" s="327"/>
      <c r="Y235" s="416"/>
      <c r="Z235" s="347"/>
      <c r="AA235" s="327"/>
      <c r="AB235" s="416"/>
      <c r="AC235" s="347"/>
      <c r="AD235" s="334"/>
      <c r="AE235" s="416"/>
      <c r="AF235" s="347"/>
      <c r="AG235" s="327"/>
      <c r="AH235" s="416"/>
      <c r="AI235" s="347"/>
      <c r="AJ235" s="327"/>
      <c r="AK235" s="416"/>
      <c r="AL235" s="347"/>
      <c r="AM235" s="327"/>
      <c r="AN235" s="416"/>
      <c r="AO235" s="347"/>
      <c r="AP235" s="327"/>
      <c r="AQ235" s="416"/>
      <c r="AR235" s="347"/>
      <c r="AS235" s="334"/>
      <c r="AT235" s="416"/>
      <c r="AU235" s="347"/>
      <c r="AV235" s="327"/>
      <c r="AW235" s="416"/>
      <c r="AX235" s="347"/>
      <c r="AY235" s="327"/>
      <c r="AZ235" s="416"/>
      <c r="BA235" s="347"/>
      <c r="BB235" s="327"/>
      <c r="BC235" s="416"/>
      <c r="BD235" s="347"/>
      <c r="BE235" s="327"/>
      <c r="BF235" s="416"/>
      <c r="BG235" s="347"/>
      <c r="BH235" s="334"/>
      <c r="BI235" s="416"/>
      <c r="BJ235" s="347"/>
      <c r="BK235" s="327"/>
      <c r="BL235" s="416"/>
      <c r="BM235" s="347"/>
      <c r="BN235" s="327"/>
      <c r="BO235" s="416"/>
      <c r="BP235" s="347"/>
      <c r="BQ235" s="327"/>
      <c r="BR235" s="416"/>
      <c r="BS235" s="347"/>
      <c r="BT235" s="327"/>
      <c r="BU235" s="416"/>
      <c r="BV235" s="347"/>
      <c r="BW235" s="334"/>
      <c r="BX235" s="416"/>
      <c r="BY235" s="347"/>
      <c r="BZ235" s="327"/>
      <c r="CA235" s="416"/>
      <c r="CB235" s="347"/>
      <c r="CC235" s="327"/>
      <c r="CD235" s="416"/>
      <c r="CE235" s="347"/>
      <c r="CF235" s="327"/>
      <c r="CG235" s="416"/>
      <c r="CH235" s="347"/>
      <c r="CI235" s="327"/>
      <c r="CJ235" s="416"/>
      <c r="CK235" s="347"/>
      <c r="CL235" s="334"/>
      <c r="CM235" s="416"/>
      <c r="CN235" s="347"/>
      <c r="CO235" s="327"/>
      <c r="CP235" s="416"/>
      <c r="CQ235" s="347"/>
      <c r="CR235" s="327"/>
      <c r="CS235" s="416"/>
      <c r="CT235" s="347"/>
      <c r="CU235" s="327"/>
      <c r="CV235" s="416"/>
      <c r="CW235" s="347"/>
      <c r="CX235" s="327"/>
      <c r="CY235" s="416"/>
      <c r="CZ235" s="347"/>
      <c r="DA235" s="334"/>
      <c r="DB235" s="416"/>
      <c r="DC235" s="347"/>
      <c r="DD235" s="327"/>
      <c r="DE235" s="416"/>
      <c r="DF235" s="347"/>
      <c r="DG235" s="327"/>
      <c r="DH235" s="416"/>
      <c r="DI235" s="347"/>
      <c r="DJ235" s="327"/>
      <c r="DK235" s="416"/>
      <c r="DL235" s="347"/>
      <c r="DM235" s="327"/>
      <c r="DN235" s="416"/>
      <c r="DO235" s="347"/>
      <c r="DP235" s="334"/>
      <c r="DQ235" s="416"/>
      <c r="DR235" s="347"/>
      <c r="DS235" s="327"/>
      <c r="DT235" s="416"/>
      <c r="DU235" s="347"/>
      <c r="DV235" s="327"/>
      <c r="DW235" s="416"/>
      <c r="DX235" s="347"/>
      <c r="DY235" s="327"/>
      <c r="DZ235" s="416"/>
      <c r="EA235" s="347"/>
      <c r="EB235" s="327"/>
      <c r="EC235" s="416"/>
      <c r="ED235" s="347"/>
      <c r="EE235" s="334"/>
      <c r="EF235" s="416"/>
      <c r="EG235" s="347"/>
      <c r="EH235" s="327"/>
      <c r="EI235" s="327"/>
    </row>
    <row r="236" customFormat="false" ht="15" hidden="false" customHeight="false" outlineLevel="0" collapsed="false">
      <c r="A236" s="332"/>
      <c r="B236" s="332"/>
      <c r="C236" s="422"/>
      <c r="D236" s="422"/>
      <c r="E236" s="422"/>
      <c r="F236" s="423" t="n">
        <f aca="false">$D$31</f>
        <v>7</v>
      </c>
      <c r="G236" s="423" t="n">
        <f aca="false">VLOOKUP(H236,Equipos!$Q$1:$R$25,2,0)</f>
        <v>23</v>
      </c>
      <c r="H236" s="410" t="str">
        <f aca="false">Idiomas!$D$263</f>
        <v>Semifinales</v>
      </c>
      <c r="I236" s="410"/>
      <c r="J236" s="428" t="s">
        <v>229</v>
      </c>
      <c r="K236" s="354" t="str">
        <f aca="false">Idiomas!D202&amp;"-"&amp;ROWS($L$236:L236)</f>
        <v>3º y 4º puesto-1</v>
      </c>
      <c r="L236" s="354"/>
      <c r="M236" s="359" t="str">
        <f aca="false">WORLDCUP!AA143</f>
        <v>L101</v>
      </c>
      <c r="N236" s="332"/>
      <c r="O236" s="332"/>
      <c r="P236" s="332"/>
      <c r="Q236" s="332"/>
      <c r="R236" s="332"/>
      <c r="S236" s="370" t="s">
        <v>2</v>
      </c>
      <c r="T236" s="371" t="n">
        <f aca="false">COUNTIF($M$236:$M$237,S236)*$D$31</f>
        <v>0</v>
      </c>
      <c r="U236" s="404"/>
      <c r="V236" s="370" t="s">
        <v>2</v>
      </c>
      <c r="W236" s="371" t="n">
        <f aca="false">COUNTIF($M$236:$M$237,V236)*$D$31</f>
        <v>0</v>
      </c>
      <c r="X236" s="404"/>
      <c r="Y236" s="370" t="s">
        <v>347</v>
      </c>
      <c r="Z236" s="371" t="n">
        <f aca="false">COUNTIF($M$236:$M$237,Y236)*$D$31</f>
        <v>0</v>
      </c>
      <c r="AA236" s="404"/>
      <c r="AB236" s="370" t="s">
        <v>355</v>
      </c>
      <c r="AC236" s="371" t="n">
        <f aca="false">COUNTIF($M$236:$M$237,AB236)*$D$31</f>
        <v>0</v>
      </c>
      <c r="AD236" s="404"/>
      <c r="AE236" s="370" t="s">
        <v>362</v>
      </c>
      <c r="AF236" s="371" t="n">
        <f aca="false">COUNTIF($M$236:$M$237,AE236)*$D$31</f>
        <v>0</v>
      </c>
      <c r="AG236" s="404"/>
      <c r="AH236" s="370" t="s">
        <v>362</v>
      </c>
      <c r="AI236" s="371" t="n">
        <f aca="false">COUNTIF($M$236:$M$237,AH236)*$D$31</f>
        <v>0</v>
      </c>
      <c r="AJ236" s="404"/>
      <c r="AK236" s="370" t="s">
        <v>362</v>
      </c>
      <c r="AL236" s="371" t="n">
        <f aca="false">COUNTIF($M$236:$M$237,AK236)*$D$31</f>
        <v>0</v>
      </c>
      <c r="AM236" s="404"/>
      <c r="AN236" s="370" t="s">
        <v>347</v>
      </c>
      <c r="AO236" s="371" t="n">
        <f aca="false">COUNTIF($M$236:$M$237,AN236)*$D$31</f>
        <v>0</v>
      </c>
      <c r="AP236" s="404"/>
      <c r="AQ236" s="370" t="s">
        <v>339</v>
      </c>
      <c r="AR236" s="371" t="n">
        <f aca="false">COUNTIF($M$236:$M$237,AQ236)*$D$31</f>
        <v>0</v>
      </c>
      <c r="AS236" s="404"/>
      <c r="AT236" s="370" t="s">
        <v>362</v>
      </c>
      <c r="AU236" s="371" t="n">
        <f aca="false">COUNTIF($M$236:$M$237,AT236)*$D$31</f>
        <v>0</v>
      </c>
      <c r="AV236" s="404"/>
      <c r="AW236" s="370" t="s">
        <v>2</v>
      </c>
      <c r="AX236" s="371" t="n">
        <f aca="false">COUNTIF($M$236:$M$237,AW236)*$D$31</f>
        <v>0</v>
      </c>
      <c r="AY236" s="404"/>
      <c r="AZ236" s="370" t="s">
        <v>2</v>
      </c>
      <c r="BA236" s="371" t="n">
        <f aca="false">COUNTIF($M$236:$M$237,AZ236)*$D$31</f>
        <v>0</v>
      </c>
      <c r="BB236" s="404"/>
      <c r="BC236" s="370" t="s">
        <v>2</v>
      </c>
      <c r="BD236" s="371" t="n">
        <f aca="false">COUNTIF($M$236:$M$237,BC236)*$D$31</f>
        <v>0</v>
      </c>
      <c r="BE236" s="404"/>
      <c r="BF236" s="370" t="s">
        <v>362</v>
      </c>
      <c r="BG236" s="371" t="n">
        <f aca="false">COUNTIF($M$236:$M$237,BF236)*$D$31</f>
        <v>0</v>
      </c>
      <c r="BH236" s="404"/>
      <c r="BI236" s="370" t="s">
        <v>362</v>
      </c>
      <c r="BJ236" s="371" t="n">
        <f aca="false">COUNTIF($M$236:$M$237,BI236)*$D$31</f>
        <v>0</v>
      </c>
      <c r="BK236" s="404"/>
      <c r="BL236" s="370" t="s">
        <v>362</v>
      </c>
      <c r="BM236" s="371" t="n">
        <f aca="false">COUNTIF($M$236:$M$237,BL236)*$D$31</f>
        <v>0</v>
      </c>
      <c r="BN236" s="404"/>
      <c r="BO236" s="370" t="s">
        <v>362</v>
      </c>
      <c r="BP236" s="371" t="n">
        <f aca="false">COUNTIF($M$236:$M$237,BO236)*$D$31</f>
        <v>0</v>
      </c>
      <c r="BQ236" s="404"/>
      <c r="BR236" s="370" t="s">
        <v>2</v>
      </c>
      <c r="BS236" s="371" t="n">
        <f aca="false">COUNTIF($M$236:$M$237,BR236)*$D$31</f>
        <v>0</v>
      </c>
      <c r="BT236" s="404"/>
      <c r="BU236" s="370"/>
      <c r="BV236" s="371" t="n">
        <f aca="false">COUNTIF($M$236:$M$237,BU236)*$D$31</f>
        <v>0</v>
      </c>
      <c r="BW236" s="404"/>
      <c r="BX236" s="370"/>
      <c r="BY236" s="371" t="n">
        <f aca="false">COUNTIF($M$236:$M$237,BX236)*$D$31</f>
        <v>0</v>
      </c>
      <c r="BZ236" s="404"/>
      <c r="CA236" s="370"/>
      <c r="CB236" s="371" t="n">
        <f aca="false">COUNTIF($M$236:$M$237,CA236)*$D$31</f>
        <v>0</v>
      </c>
      <c r="CC236" s="404"/>
      <c r="CD236" s="370"/>
      <c r="CE236" s="371" t="n">
        <f aca="false">COUNTIF($M$236:$M$237,CD236)*$D$31</f>
        <v>0</v>
      </c>
      <c r="CF236" s="404"/>
      <c r="CG236" s="370"/>
      <c r="CH236" s="371" t="n">
        <f aca="false">COUNTIF($M$236:$M$237,CG236)*$D$31</f>
        <v>0</v>
      </c>
      <c r="CI236" s="404"/>
      <c r="CJ236" s="370"/>
      <c r="CK236" s="371" t="n">
        <f aca="false">COUNTIF($M$236:$M$237,CJ236)*$D$31</f>
        <v>0</v>
      </c>
      <c r="CL236" s="404"/>
      <c r="CM236" s="370"/>
      <c r="CN236" s="371" t="n">
        <f aca="false">COUNTIF($M$236:$M$237,CM236)*$D$31</f>
        <v>0</v>
      </c>
      <c r="CO236" s="404"/>
      <c r="CP236" s="370"/>
      <c r="CQ236" s="371" t="n">
        <f aca="false">COUNTIF($M$236:$M$237,CP236)*$D$31</f>
        <v>0</v>
      </c>
      <c r="CR236" s="404"/>
      <c r="CS236" s="370"/>
      <c r="CT236" s="371" t="n">
        <f aca="false">COUNTIF($M$236:$M$237,CS236)*$D$31</f>
        <v>0</v>
      </c>
      <c r="CU236" s="404"/>
      <c r="CV236" s="370"/>
      <c r="CW236" s="371" t="n">
        <f aca="false">COUNTIF($M$236:$M$237,CV236)*$D$31</f>
        <v>0</v>
      </c>
      <c r="CX236" s="404"/>
      <c r="CY236" s="370"/>
      <c r="CZ236" s="371" t="n">
        <f aca="false">COUNTIF($M$236:$M$237,CY236)*$D$31</f>
        <v>0</v>
      </c>
      <c r="DA236" s="404"/>
      <c r="DB236" s="370"/>
      <c r="DC236" s="371" t="n">
        <f aca="false">COUNTIF($M$236:$M$237,DB236)*$D$31</f>
        <v>0</v>
      </c>
      <c r="DD236" s="404"/>
      <c r="DE236" s="370"/>
      <c r="DF236" s="371" t="n">
        <f aca="false">COUNTIF($M$236:$M$237,DE236)*$D$31</f>
        <v>0</v>
      </c>
      <c r="DG236" s="404"/>
      <c r="DH236" s="370"/>
      <c r="DI236" s="371" t="n">
        <f aca="false">COUNTIF($M$236:$M$237,DH236)*$D$31</f>
        <v>0</v>
      </c>
      <c r="DJ236" s="404"/>
      <c r="DK236" s="370"/>
      <c r="DL236" s="371" t="n">
        <f aca="false">COUNTIF($M$236:$M$237,DK236)*$D$31</f>
        <v>0</v>
      </c>
      <c r="DM236" s="404"/>
      <c r="DN236" s="370"/>
      <c r="DO236" s="371" t="n">
        <f aca="false">COUNTIF($M$236:$M$237,DN236)*$D$31</f>
        <v>0</v>
      </c>
      <c r="DP236" s="404"/>
      <c r="DQ236" s="370"/>
      <c r="DR236" s="371" t="n">
        <f aca="false">COUNTIF($M$236:$M$237,DQ236)*$D$31</f>
        <v>0</v>
      </c>
      <c r="DS236" s="404"/>
      <c r="DT236" s="370"/>
      <c r="DU236" s="371" t="n">
        <f aca="false">COUNTIF($M$236:$M$237,DT236)*$D$31</f>
        <v>0</v>
      </c>
      <c r="DV236" s="404"/>
      <c r="DW236" s="370"/>
      <c r="DX236" s="371" t="n">
        <f aca="false">COUNTIF($M$236:$M$237,DW236)*$D$31</f>
        <v>0</v>
      </c>
      <c r="DY236" s="404"/>
      <c r="DZ236" s="370"/>
      <c r="EA236" s="371" t="n">
        <f aca="false">COUNTIF($M$236:$M$237,DZ236)*$D$31</f>
        <v>0</v>
      </c>
      <c r="EB236" s="404"/>
      <c r="EC236" s="370"/>
      <c r="ED236" s="371" t="n">
        <f aca="false">COUNTIF($M$236:$M$237,EC236)*$D$31</f>
        <v>0</v>
      </c>
      <c r="EE236" s="404"/>
      <c r="EF236" s="370"/>
      <c r="EG236" s="371" t="n">
        <f aca="false">COUNTIF($M$236:$M$237,EF236)*$D$31</f>
        <v>0</v>
      </c>
      <c r="EH236" s="404"/>
      <c r="EI236" s="404"/>
    </row>
    <row r="237" customFormat="false" ht="15" hidden="false" customHeight="false" outlineLevel="0" collapsed="false">
      <c r="A237" s="332"/>
      <c r="B237" s="332"/>
      <c r="C237" s="422"/>
      <c r="D237" s="422"/>
      <c r="E237" s="422"/>
      <c r="F237" s="423" t="n">
        <f aca="false">$D$31</f>
        <v>7</v>
      </c>
      <c r="G237" s="423" t="n">
        <f aca="false">VLOOKUP(H237,Equipos!$Q$1:$R$25,2,0)</f>
        <v>23</v>
      </c>
      <c r="H237" s="410" t="str">
        <f aca="false">Idiomas!$D$263</f>
        <v>Semifinales</v>
      </c>
      <c r="I237" s="410"/>
      <c r="J237" s="428"/>
      <c r="K237" s="354" t="str">
        <f aca="false">Idiomas!D202&amp;"-"&amp;ROWS($L$236:L237)</f>
        <v>3º y 4º puesto-2</v>
      </c>
      <c r="L237" s="396"/>
      <c r="M237" s="397" t="str">
        <f aca="false">WORLDCUP!AF143</f>
        <v>L102</v>
      </c>
      <c r="N237" s="332"/>
      <c r="O237" s="332"/>
      <c r="P237" s="332"/>
      <c r="Q237" s="332"/>
      <c r="R237" s="332"/>
      <c r="S237" s="398" t="s">
        <v>370</v>
      </c>
      <c r="T237" s="399" t="n">
        <f aca="false">COUNTIF($M$236:$M$237,S237)*$D$31</f>
        <v>0</v>
      </c>
      <c r="U237" s="404"/>
      <c r="V237" s="398" t="s">
        <v>339</v>
      </c>
      <c r="W237" s="399" t="n">
        <f aca="false">COUNTIF($M$236:$M$237,V237)*$D$31</f>
        <v>0</v>
      </c>
      <c r="X237" s="404"/>
      <c r="Y237" s="398" t="s">
        <v>339</v>
      </c>
      <c r="Z237" s="399" t="n">
        <f aca="false">COUNTIF($M$236:$M$237,Y237)*$D$31</f>
        <v>0</v>
      </c>
      <c r="AA237" s="404"/>
      <c r="AB237" s="398" t="s">
        <v>332</v>
      </c>
      <c r="AC237" s="399" t="n">
        <f aca="false">COUNTIF($M$236:$M$237,AB237)*$D$31</f>
        <v>0</v>
      </c>
      <c r="AD237" s="404"/>
      <c r="AE237" s="398" t="s">
        <v>374</v>
      </c>
      <c r="AF237" s="399" t="n">
        <f aca="false">COUNTIF($M$236:$M$237,AE237)*$D$31</f>
        <v>0</v>
      </c>
      <c r="AG237" s="404"/>
      <c r="AH237" s="398" t="s">
        <v>370</v>
      </c>
      <c r="AI237" s="399" t="n">
        <f aca="false">COUNTIF($M$236:$M$237,AH237)*$D$31</f>
        <v>0</v>
      </c>
      <c r="AJ237" s="404"/>
      <c r="AK237" s="398" t="s">
        <v>366</v>
      </c>
      <c r="AL237" s="399" t="n">
        <f aca="false">COUNTIF($M$236:$M$237,AK237)*$D$31</f>
        <v>0</v>
      </c>
      <c r="AM237" s="404"/>
      <c r="AN237" s="398" t="s">
        <v>370</v>
      </c>
      <c r="AO237" s="399" t="n">
        <f aca="false">COUNTIF($M$236:$M$237,AN237)*$D$31</f>
        <v>0</v>
      </c>
      <c r="AP237" s="404"/>
      <c r="AQ237" s="398" t="s">
        <v>370</v>
      </c>
      <c r="AR237" s="399" t="n">
        <f aca="false">COUNTIF($M$236:$M$237,AQ237)*$D$31</f>
        <v>0</v>
      </c>
      <c r="AS237" s="404"/>
      <c r="AT237" s="398" t="s">
        <v>340</v>
      </c>
      <c r="AU237" s="399" t="n">
        <f aca="false">COUNTIF($M$236:$M$237,AT237)*$D$31</f>
        <v>0</v>
      </c>
      <c r="AV237" s="404"/>
      <c r="AW237" s="398" t="s">
        <v>339</v>
      </c>
      <c r="AX237" s="399" t="n">
        <f aca="false">COUNTIF($M$236:$M$237,AW237)*$D$31</f>
        <v>0</v>
      </c>
      <c r="AY237" s="404"/>
      <c r="AZ237" s="398" t="s">
        <v>370</v>
      </c>
      <c r="BA237" s="399" t="n">
        <f aca="false">COUNTIF($M$236:$M$237,AZ237)*$D$31</f>
        <v>0</v>
      </c>
      <c r="BB237" s="404"/>
      <c r="BC237" s="398" t="s">
        <v>364</v>
      </c>
      <c r="BD237" s="399" t="n">
        <f aca="false">COUNTIF($M$236:$M$237,BC237)*$D$31</f>
        <v>0</v>
      </c>
      <c r="BE237" s="404"/>
      <c r="BF237" s="398" t="s">
        <v>339</v>
      </c>
      <c r="BG237" s="399" t="n">
        <f aca="false">COUNTIF($M$236:$M$237,BF237)*$D$31</f>
        <v>0</v>
      </c>
      <c r="BH237" s="404"/>
      <c r="BI237" s="398" t="s">
        <v>366</v>
      </c>
      <c r="BJ237" s="399" t="n">
        <f aca="false">COUNTIF($M$236:$M$237,BI237)*$D$31</f>
        <v>0</v>
      </c>
      <c r="BK237" s="404"/>
      <c r="BL237" s="398" t="s">
        <v>366</v>
      </c>
      <c r="BM237" s="399" t="n">
        <f aca="false">COUNTIF($M$236:$M$237,BL237)*$D$31</f>
        <v>0</v>
      </c>
      <c r="BN237" s="404"/>
      <c r="BO237" s="398" t="s">
        <v>339</v>
      </c>
      <c r="BP237" s="399" t="n">
        <f aca="false">COUNTIF($M$236:$M$237,BO237)*$D$31</f>
        <v>0</v>
      </c>
      <c r="BQ237" s="404"/>
      <c r="BR237" s="398" t="s">
        <v>339</v>
      </c>
      <c r="BS237" s="399" t="n">
        <f aca="false">COUNTIF($M$236:$M$237,BR237)*$D$31</f>
        <v>0</v>
      </c>
      <c r="BT237" s="404"/>
      <c r="BU237" s="398"/>
      <c r="BV237" s="399" t="n">
        <f aca="false">COUNTIF($M$236:$M$237,BU237)*$D$31</f>
        <v>0</v>
      </c>
      <c r="BW237" s="404"/>
      <c r="BX237" s="398"/>
      <c r="BY237" s="399" t="n">
        <f aca="false">COUNTIF($M$236:$M$237,BX237)*$D$31</f>
        <v>0</v>
      </c>
      <c r="BZ237" s="404"/>
      <c r="CA237" s="398"/>
      <c r="CB237" s="399" t="n">
        <f aca="false">COUNTIF($M$236:$M$237,CA237)*$D$31</f>
        <v>0</v>
      </c>
      <c r="CC237" s="404"/>
      <c r="CD237" s="398"/>
      <c r="CE237" s="399" t="n">
        <f aca="false">COUNTIF($M$236:$M$237,CD237)*$D$31</f>
        <v>0</v>
      </c>
      <c r="CF237" s="404"/>
      <c r="CG237" s="398"/>
      <c r="CH237" s="399" t="n">
        <f aca="false">COUNTIF($M$236:$M$237,CG237)*$D$31</f>
        <v>0</v>
      </c>
      <c r="CI237" s="404"/>
      <c r="CJ237" s="398"/>
      <c r="CK237" s="399" t="n">
        <f aca="false">COUNTIF($M$236:$M$237,CJ237)*$D$31</f>
        <v>0</v>
      </c>
      <c r="CL237" s="404"/>
      <c r="CM237" s="398"/>
      <c r="CN237" s="399" t="n">
        <f aca="false">COUNTIF($M$236:$M$237,CM237)*$D$31</f>
        <v>0</v>
      </c>
      <c r="CO237" s="404"/>
      <c r="CP237" s="398"/>
      <c r="CQ237" s="399" t="n">
        <f aca="false">COUNTIF($M$236:$M$237,CP237)*$D$31</f>
        <v>0</v>
      </c>
      <c r="CR237" s="404"/>
      <c r="CS237" s="398"/>
      <c r="CT237" s="399" t="n">
        <f aca="false">COUNTIF($M$236:$M$237,CS237)*$D$31</f>
        <v>0</v>
      </c>
      <c r="CU237" s="404"/>
      <c r="CV237" s="398"/>
      <c r="CW237" s="399" t="n">
        <f aca="false">COUNTIF($M$236:$M$237,CV237)*$D$31</f>
        <v>0</v>
      </c>
      <c r="CX237" s="404"/>
      <c r="CY237" s="398"/>
      <c r="CZ237" s="399" t="n">
        <f aca="false">COUNTIF($M$236:$M$237,CY237)*$D$31</f>
        <v>0</v>
      </c>
      <c r="DA237" s="404"/>
      <c r="DB237" s="398"/>
      <c r="DC237" s="399" t="n">
        <f aca="false">COUNTIF($M$236:$M$237,DB237)*$D$31</f>
        <v>0</v>
      </c>
      <c r="DD237" s="404"/>
      <c r="DE237" s="398"/>
      <c r="DF237" s="399" t="n">
        <f aca="false">COUNTIF($M$236:$M$237,DE237)*$D$31</f>
        <v>0</v>
      </c>
      <c r="DG237" s="404"/>
      <c r="DH237" s="398"/>
      <c r="DI237" s="399" t="n">
        <f aca="false">COUNTIF($M$236:$M$237,DH237)*$D$31</f>
        <v>0</v>
      </c>
      <c r="DJ237" s="404"/>
      <c r="DK237" s="398"/>
      <c r="DL237" s="399" t="n">
        <f aca="false">COUNTIF($M$236:$M$237,DK237)*$D$31</f>
        <v>0</v>
      </c>
      <c r="DM237" s="404"/>
      <c r="DN237" s="398"/>
      <c r="DO237" s="399" t="n">
        <f aca="false">COUNTIF($M$236:$M$237,DN237)*$D$31</f>
        <v>0</v>
      </c>
      <c r="DP237" s="404"/>
      <c r="DQ237" s="398"/>
      <c r="DR237" s="399" t="n">
        <f aca="false">COUNTIF($M$236:$M$237,DQ237)*$D$31</f>
        <v>0</v>
      </c>
      <c r="DS237" s="404"/>
      <c r="DT237" s="398"/>
      <c r="DU237" s="399" t="n">
        <f aca="false">COUNTIF($M$236:$M$237,DT237)*$D$31</f>
        <v>0</v>
      </c>
      <c r="DV237" s="404"/>
      <c r="DW237" s="398"/>
      <c r="DX237" s="399" t="n">
        <f aca="false">COUNTIF($M$236:$M$237,DW237)*$D$31</f>
        <v>0</v>
      </c>
      <c r="DY237" s="404"/>
      <c r="DZ237" s="398"/>
      <c r="EA237" s="399" t="n">
        <f aca="false">COUNTIF($M$236:$M$237,DZ237)*$D$31</f>
        <v>0</v>
      </c>
      <c r="EB237" s="404"/>
      <c r="EC237" s="398"/>
      <c r="ED237" s="399" t="n">
        <f aca="false">COUNTIF($M$236:$M$237,EC237)*$D$31</f>
        <v>0</v>
      </c>
      <c r="EE237" s="404"/>
      <c r="EF237" s="398"/>
      <c r="EG237" s="399" t="n">
        <f aca="false">COUNTIF($M$236:$M$237,EF237)*$D$31</f>
        <v>0</v>
      </c>
      <c r="EH237" s="404"/>
      <c r="EI237" s="404"/>
    </row>
    <row r="238" customFormat="false" ht="15" hidden="false" customHeight="false" outlineLevel="0" collapsed="false">
      <c r="A238" s="332"/>
      <c r="B238" s="332"/>
      <c r="C238" s="422"/>
      <c r="D238" s="422"/>
      <c r="E238" s="422"/>
      <c r="F238" s="423"/>
      <c r="G238" s="423"/>
      <c r="H238" s="410"/>
      <c r="I238" s="410"/>
      <c r="J238" s="413"/>
      <c r="K238" s="414" t="str">
        <f aca="false">Idiomas!D465</f>
        <v>Equipos 3-4</v>
      </c>
      <c r="L238" s="415"/>
      <c r="M238" s="414" t="str">
        <f aca="false">"Max: "&amp;$D$31*COUNT(T236:T237)</f>
        <v>Max: 14</v>
      </c>
      <c r="N238" s="332"/>
      <c r="O238" s="332"/>
      <c r="P238" s="332"/>
      <c r="Q238" s="332"/>
      <c r="R238" s="332"/>
      <c r="S238" s="416"/>
      <c r="T238" s="347" t="n">
        <f aca="false">SUM(T236:T237)</f>
        <v>0</v>
      </c>
      <c r="U238" s="327"/>
      <c r="V238" s="416"/>
      <c r="W238" s="347" t="n">
        <f aca="false">SUM(W236:W237)</f>
        <v>0</v>
      </c>
      <c r="X238" s="327"/>
      <c r="Y238" s="416"/>
      <c r="Z238" s="347" t="n">
        <f aca="false">SUM(Z236:Z237)</f>
        <v>0</v>
      </c>
      <c r="AA238" s="327"/>
      <c r="AB238" s="416"/>
      <c r="AC238" s="347" t="n">
        <f aca="false">SUM(AC236:AC237)</f>
        <v>0</v>
      </c>
      <c r="AD238" s="327"/>
      <c r="AE238" s="416"/>
      <c r="AF238" s="347" t="n">
        <f aca="false">SUM(AF236:AF237)</f>
        <v>0</v>
      </c>
      <c r="AG238" s="327"/>
      <c r="AH238" s="416"/>
      <c r="AI238" s="347" t="n">
        <f aca="false">SUM(AI236:AI237)</f>
        <v>0</v>
      </c>
      <c r="AJ238" s="327"/>
      <c r="AK238" s="416"/>
      <c r="AL238" s="347" t="n">
        <f aca="false">SUM(AL236:AL237)</f>
        <v>0</v>
      </c>
      <c r="AM238" s="327"/>
      <c r="AN238" s="416"/>
      <c r="AO238" s="347" t="n">
        <f aca="false">SUM(AO236:AO237)</f>
        <v>0</v>
      </c>
      <c r="AP238" s="327"/>
      <c r="AQ238" s="416"/>
      <c r="AR238" s="347" t="n">
        <f aca="false">SUM(AR236:AR237)</f>
        <v>0</v>
      </c>
      <c r="AS238" s="327"/>
      <c r="AT238" s="416"/>
      <c r="AU238" s="347" t="n">
        <f aca="false">SUM(AU236:AU237)</f>
        <v>0</v>
      </c>
      <c r="AV238" s="327"/>
      <c r="AW238" s="416"/>
      <c r="AX238" s="347" t="n">
        <f aca="false">SUM(AX236:AX237)</f>
        <v>0</v>
      </c>
      <c r="AY238" s="327"/>
      <c r="AZ238" s="416"/>
      <c r="BA238" s="347" t="n">
        <f aca="false">SUM(BA236:BA237)</f>
        <v>0</v>
      </c>
      <c r="BB238" s="327"/>
      <c r="BC238" s="416"/>
      <c r="BD238" s="347" t="n">
        <f aca="false">SUM(BD236:BD237)</f>
        <v>0</v>
      </c>
      <c r="BE238" s="327"/>
      <c r="BF238" s="416"/>
      <c r="BG238" s="347" t="n">
        <f aca="false">SUM(BG236:BG237)</f>
        <v>0</v>
      </c>
      <c r="BH238" s="327"/>
      <c r="BI238" s="416"/>
      <c r="BJ238" s="347" t="n">
        <f aca="false">SUM(BJ236:BJ237)</f>
        <v>0</v>
      </c>
      <c r="BK238" s="327"/>
      <c r="BL238" s="416"/>
      <c r="BM238" s="347" t="n">
        <f aca="false">SUM(BM236:BM237)</f>
        <v>0</v>
      </c>
      <c r="BN238" s="327"/>
      <c r="BO238" s="416"/>
      <c r="BP238" s="347" t="n">
        <f aca="false">SUM(BP236:BP237)</f>
        <v>0</v>
      </c>
      <c r="BQ238" s="327"/>
      <c r="BR238" s="416"/>
      <c r="BS238" s="347" t="n">
        <f aca="false">SUM(BS236:BS237)</f>
        <v>0</v>
      </c>
      <c r="BT238" s="327"/>
      <c r="BU238" s="416"/>
      <c r="BV238" s="347" t="n">
        <f aca="false">SUM(BV236:BV237)</f>
        <v>0</v>
      </c>
      <c r="BW238" s="327"/>
      <c r="BX238" s="416"/>
      <c r="BY238" s="347" t="n">
        <f aca="false">SUM(BY236:BY237)</f>
        <v>0</v>
      </c>
      <c r="BZ238" s="327"/>
      <c r="CA238" s="416"/>
      <c r="CB238" s="347" t="n">
        <f aca="false">SUM(CB236:CB237)</f>
        <v>0</v>
      </c>
      <c r="CC238" s="327"/>
      <c r="CD238" s="416"/>
      <c r="CE238" s="347" t="n">
        <f aca="false">SUM(CE236:CE237)</f>
        <v>0</v>
      </c>
      <c r="CF238" s="327"/>
      <c r="CG238" s="416"/>
      <c r="CH238" s="347" t="n">
        <f aca="false">SUM(CH236:CH237)</f>
        <v>0</v>
      </c>
      <c r="CI238" s="327"/>
      <c r="CJ238" s="416"/>
      <c r="CK238" s="347" t="n">
        <f aca="false">SUM(CK236:CK237)</f>
        <v>0</v>
      </c>
      <c r="CL238" s="327"/>
      <c r="CM238" s="416"/>
      <c r="CN238" s="347" t="n">
        <f aca="false">SUM(CN236:CN237)</f>
        <v>0</v>
      </c>
      <c r="CO238" s="327"/>
      <c r="CP238" s="416"/>
      <c r="CQ238" s="347" t="n">
        <f aca="false">SUM(CQ236:CQ237)</f>
        <v>0</v>
      </c>
      <c r="CR238" s="327"/>
      <c r="CS238" s="416"/>
      <c r="CT238" s="347" t="n">
        <f aca="false">SUM(CT236:CT237)</f>
        <v>0</v>
      </c>
      <c r="CU238" s="327"/>
      <c r="CV238" s="416"/>
      <c r="CW238" s="347" t="n">
        <f aca="false">SUM(CW236:CW237)</f>
        <v>0</v>
      </c>
      <c r="CX238" s="327"/>
      <c r="CY238" s="416"/>
      <c r="CZ238" s="347" t="n">
        <f aca="false">SUM(CZ236:CZ237)</f>
        <v>0</v>
      </c>
      <c r="DA238" s="327"/>
      <c r="DB238" s="416"/>
      <c r="DC238" s="347" t="n">
        <f aca="false">SUM(DC236:DC237)</f>
        <v>0</v>
      </c>
      <c r="DD238" s="327"/>
      <c r="DE238" s="416"/>
      <c r="DF238" s="347" t="n">
        <f aca="false">SUM(DF236:DF237)</f>
        <v>0</v>
      </c>
      <c r="DG238" s="327"/>
      <c r="DH238" s="416"/>
      <c r="DI238" s="347" t="n">
        <f aca="false">SUM(DI236:DI237)</f>
        <v>0</v>
      </c>
      <c r="DJ238" s="327"/>
      <c r="DK238" s="416"/>
      <c r="DL238" s="347" t="n">
        <f aca="false">SUM(DL236:DL237)</f>
        <v>0</v>
      </c>
      <c r="DM238" s="327"/>
      <c r="DN238" s="416"/>
      <c r="DO238" s="347" t="n">
        <f aca="false">SUM(DO236:DO237)</f>
        <v>0</v>
      </c>
      <c r="DP238" s="327"/>
      <c r="DQ238" s="416"/>
      <c r="DR238" s="347" t="n">
        <f aca="false">SUM(DR236:DR237)</f>
        <v>0</v>
      </c>
      <c r="DS238" s="327"/>
      <c r="DT238" s="416"/>
      <c r="DU238" s="347" t="n">
        <f aca="false">SUM(DU236:DU237)</f>
        <v>0</v>
      </c>
      <c r="DV238" s="327"/>
      <c r="DW238" s="416"/>
      <c r="DX238" s="347" t="n">
        <f aca="false">SUM(DX236:DX237)</f>
        <v>0</v>
      </c>
      <c r="DY238" s="327"/>
      <c r="DZ238" s="416"/>
      <c r="EA238" s="347" t="n">
        <f aca="false">SUM(EA236:EA237)</f>
        <v>0</v>
      </c>
      <c r="EB238" s="327"/>
      <c r="EC238" s="416"/>
      <c r="ED238" s="347" t="n">
        <f aca="false">SUM(ED236:ED237)</f>
        <v>0</v>
      </c>
      <c r="EE238" s="327"/>
      <c r="EF238" s="416"/>
      <c r="EG238" s="347" t="n">
        <f aca="false">SUM(EG236:EG237)</f>
        <v>0</v>
      </c>
      <c r="EH238" s="327"/>
      <c r="EI238" s="327"/>
    </row>
    <row r="239" customFormat="false" ht="15" hidden="false" customHeight="false" outlineLevel="0" collapsed="false">
      <c r="A239" s="332"/>
      <c r="B239" s="332"/>
      <c r="C239" s="422"/>
      <c r="D239" s="422"/>
      <c r="E239" s="422"/>
      <c r="F239" s="423"/>
      <c r="G239" s="423"/>
      <c r="H239" s="410"/>
      <c r="I239" s="410"/>
      <c r="J239" s="413"/>
      <c r="K239" s="346" t="str">
        <f aca="false">Idiomas!D146</f>
        <v>CLASIFICADOS PARA LA FINAL</v>
      </c>
      <c r="L239" s="333"/>
      <c r="M239" s="347"/>
      <c r="N239" s="332"/>
      <c r="O239" s="332"/>
      <c r="P239" s="332"/>
      <c r="Q239" s="332"/>
      <c r="R239" s="332"/>
      <c r="S239" s="416"/>
      <c r="T239" s="347"/>
      <c r="U239" s="327"/>
      <c r="V239" s="416"/>
      <c r="W239" s="347"/>
      <c r="X239" s="327"/>
      <c r="Y239" s="416"/>
      <c r="Z239" s="347"/>
      <c r="AA239" s="327"/>
      <c r="AB239" s="416"/>
      <c r="AC239" s="347"/>
      <c r="AD239" s="327"/>
      <c r="AE239" s="416"/>
      <c r="AF239" s="347"/>
      <c r="AG239" s="327"/>
      <c r="AH239" s="416"/>
      <c r="AI239" s="347"/>
      <c r="AJ239" s="327"/>
      <c r="AK239" s="416"/>
      <c r="AL239" s="347"/>
      <c r="AM239" s="327"/>
      <c r="AN239" s="416"/>
      <c r="AO239" s="347"/>
      <c r="AP239" s="327"/>
      <c r="AQ239" s="416"/>
      <c r="AR239" s="347"/>
      <c r="AS239" s="327"/>
      <c r="AT239" s="416"/>
      <c r="AU239" s="347"/>
      <c r="AV239" s="327"/>
      <c r="AW239" s="416"/>
      <c r="AX239" s="347"/>
      <c r="AY239" s="327"/>
      <c r="AZ239" s="416"/>
      <c r="BA239" s="347"/>
      <c r="BB239" s="327"/>
      <c r="BC239" s="416"/>
      <c r="BD239" s="347"/>
      <c r="BE239" s="327"/>
      <c r="BF239" s="416"/>
      <c r="BG239" s="347"/>
      <c r="BH239" s="327"/>
      <c r="BI239" s="416"/>
      <c r="BJ239" s="347"/>
      <c r="BK239" s="327"/>
      <c r="BL239" s="416"/>
      <c r="BM239" s="347"/>
      <c r="BN239" s="327"/>
      <c r="BO239" s="416"/>
      <c r="BP239" s="347"/>
      <c r="BQ239" s="327"/>
      <c r="BR239" s="416"/>
      <c r="BS239" s="347"/>
      <c r="BT239" s="327"/>
      <c r="BU239" s="416"/>
      <c r="BV239" s="347"/>
      <c r="BW239" s="327"/>
      <c r="BX239" s="416"/>
      <c r="BY239" s="347"/>
      <c r="BZ239" s="327"/>
      <c r="CA239" s="416"/>
      <c r="CB239" s="347"/>
      <c r="CC239" s="327"/>
      <c r="CD239" s="416"/>
      <c r="CE239" s="347"/>
      <c r="CF239" s="327"/>
      <c r="CG239" s="416"/>
      <c r="CH239" s="347"/>
      <c r="CI239" s="327"/>
      <c r="CJ239" s="416"/>
      <c r="CK239" s="347"/>
      <c r="CL239" s="327"/>
      <c r="CM239" s="416"/>
      <c r="CN239" s="347"/>
      <c r="CO239" s="327"/>
      <c r="CP239" s="416"/>
      <c r="CQ239" s="347"/>
      <c r="CR239" s="327"/>
      <c r="CS239" s="416"/>
      <c r="CT239" s="347"/>
      <c r="CU239" s="327"/>
      <c r="CV239" s="416"/>
      <c r="CW239" s="347"/>
      <c r="CX239" s="327"/>
      <c r="CY239" s="416"/>
      <c r="CZ239" s="347"/>
      <c r="DA239" s="327"/>
      <c r="DB239" s="416"/>
      <c r="DC239" s="347"/>
      <c r="DD239" s="327"/>
      <c r="DE239" s="416"/>
      <c r="DF239" s="347"/>
      <c r="DG239" s="327"/>
      <c r="DH239" s="416"/>
      <c r="DI239" s="347"/>
      <c r="DJ239" s="327"/>
      <c r="DK239" s="416"/>
      <c r="DL239" s="347"/>
      <c r="DM239" s="327"/>
      <c r="DN239" s="416"/>
      <c r="DO239" s="347"/>
      <c r="DP239" s="327"/>
      <c r="DQ239" s="416"/>
      <c r="DR239" s="347"/>
      <c r="DS239" s="327"/>
      <c r="DT239" s="416"/>
      <c r="DU239" s="347"/>
      <c r="DV239" s="327"/>
      <c r="DW239" s="416"/>
      <c r="DX239" s="347"/>
      <c r="DY239" s="327"/>
      <c r="DZ239" s="416"/>
      <c r="EA239" s="347"/>
      <c r="EB239" s="327"/>
      <c r="EC239" s="416"/>
      <c r="ED239" s="347"/>
      <c r="EE239" s="327"/>
      <c r="EF239" s="416"/>
      <c r="EG239" s="347"/>
      <c r="EH239" s="327"/>
      <c r="EI239" s="327"/>
    </row>
    <row r="240" customFormat="false" ht="15" hidden="false" customHeight="false" outlineLevel="0" collapsed="false">
      <c r="A240" s="332"/>
      <c r="B240" s="332"/>
      <c r="C240" s="422"/>
      <c r="D240" s="422"/>
      <c r="E240" s="422"/>
      <c r="F240" s="423" t="n">
        <f aca="false">$D$32</f>
        <v>7</v>
      </c>
      <c r="G240" s="423" t="n">
        <f aca="false">VLOOKUP(H240,Equipos!$Q$1:$R$25,2,0)</f>
        <v>23</v>
      </c>
      <c r="H240" s="410" t="str">
        <f aca="false">Idiomas!$D$263</f>
        <v>Semifinales</v>
      </c>
      <c r="I240" s="410"/>
      <c r="J240" s="428" t="s">
        <v>120</v>
      </c>
      <c r="K240" s="354" t="str">
        <f aca="false">Idiomas!$D$203&amp;"-"&amp;ROWS($L$240:L240)</f>
        <v>Finalista-1</v>
      </c>
      <c r="L240" s="354"/>
      <c r="M240" s="359" t="str">
        <f aca="false">WORLDCUP!AA147</f>
        <v>W101</v>
      </c>
      <c r="N240" s="332"/>
      <c r="O240" s="332"/>
      <c r="P240" s="332"/>
      <c r="Q240" s="332"/>
      <c r="R240" s="332"/>
      <c r="S240" s="370" t="s">
        <v>347</v>
      </c>
      <c r="T240" s="371" t="n">
        <f aca="false">COUNTIF($M$240:$M$241,S240)*$D$32</f>
        <v>0</v>
      </c>
      <c r="U240" s="404"/>
      <c r="V240" s="370" t="s">
        <v>362</v>
      </c>
      <c r="W240" s="371" t="n">
        <f aca="false">COUNTIF($M$240:$M$241,V240)*$D$32</f>
        <v>0</v>
      </c>
      <c r="X240" s="404"/>
      <c r="Y240" s="370" t="s">
        <v>2</v>
      </c>
      <c r="Z240" s="371" t="n">
        <f aca="false">COUNTIF($M$240:$M$241,Y240)*$D$32</f>
        <v>0</v>
      </c>
      <c r="AA240" s="404"/>
      <c r="AB240" s="370" t="s">
        <v>362</v>
      </c>
      <c r="AC240" s="371" t="n">
        <f aca="false">COUNTIF($M$240:$M$241,AB240)*$D$32</f>
        <v>0</v>
      </c>
      <c r="AD240" s="404"/>
      <c r="AE240" s="370" t="s">
        <v>2</v>
      </c>
      <c r="AF240" s="371" t="n">
        <f aca="false">COUNTIF($M$240:$M$241,AE240)*$D$32</f>
        <v>0</v>
      </c>
      <c r="AG240" s="404"/>
      <c r="AH240" s="370" t="s">
        <v>2</v>
      </c>
      <c r="AI240" s="371" t="n">
        <f aca="false">COUNTIF($M$240:$M$241,AH240)*$D$32</f>
        <v>0</v>
      </c>
      <c r="AJ240" s="404"/>
      <c r="AK240" s="370" t="s">
        <v>2</v>
      </c>
      <c r="AL240" s="371" t="n">
        <f aca="false">COUNTIF($M$240:$M$241,AK240)*$D$32</f>
        <v>0</v>
      </c>
      <c r="AM240" s="404"/>
      <c r="AN240" s="370" t="s">
        <v>2</v>
      </c>
      <c r="AO240" s="371" t="n">
        <f aca="false">COUNTIF($M$240:$M$241,AN240)*$D$32</f>
        <v>0</v>
      </c>
      <c r="AP240" s="404"/>
      <c r="AQ240" s="370" t="s">
        <v>2</v>
      </c>
      <c r="AR240" s="371" t="n">
        <f aca="false">COUNTIF($M$240:$M$241,AQ240)*$D$32</f>
        <v>0</v>
      </c>
      <c r="AS240" s="404"/>
      <c r="AT240" s="370" t="s">
        <v>2</v>
      </c>
      <c r="AU240" s="371" t="n">
        <f aca="false">COUNTIF($M$240:$M$241,AT240)*$D$32</f>
        <v>0</v>
      </c>
      <c r="AV240" s="404"/>
      <c r="AW240" s="370" t="s">
        <v>362</v>
      </c>
      <c r="AX240" s="371" t="n">
        <f aca="false">COUNTIF($M$240:$M$241,AW240)*$D$32</f>
        <v>0</v>
      </c>
      <c r="AY240" s="404"/>
      <c r="AZ240" s="370" t="s">
        <v>362</v>
      </c>
      <c r="BA240" s="371" t="n">
        <f aca="false">COUNTIF($M$240:$M$241,AZ240)*$D$32</f>
        <v>0</v>
      </c>
      <c r="BB240" s="404"/>
      <c r="BC240" s="370" t="s">
        <v>351</v>
      </c>
      <c r="BD240" s="371" t="n">
        <f aca="false">COUNTIF($M$240:$M$241,BC240)*$D$32</f>
        <v>0</v>
      </c>
      <c r="BE240" s="404"/>
      <c r="BF240" s="370" t="s">
        <v>2</v>
      </c>
      <c r="BG240" s="371" t="n">
        <f aca="false">COUNTIF($M$240:$M$241,BF240)*$D$32</f>
        <v>0</v>
      </c>
      <c r="BH240" s="404"/>
      <c r="BI240" s="370" t="s">
        <v>2</v>
      </c>
      <c r="BJ240" s="371" t="n">
        <f aca="false">COUNTIF($M$240:$M$241,BI240)*$D$32</f>
        <v>0</v>
      </c>
      <c r="BK240" s="404"/>
      <c r="BL240" s="370" t="s">
        <v>2</v>
      </c>
      <c r="BM240" s="371" t="n">
        <f aca="false">COUNTIF($M$240:$M$241,BL240)*$D$32</f>
        <v>0</v>
      </c>
      <c r="BN240" s="404"/>
      <c r="BO240" s="370" t="s">
        <v>2</v>
      </c>
      <c r="BP240" s="371" t="n">
        <f aca="false">COUNTIF($M$240:$M$241,BO240)*$D$32</f>
        <v>0</v>
      </c>
      <c r="BQ240" s="404"/>
      <c r="BR240" s="370" t="s">
        <v>362</v>
      </c>
      <c r="BS240" s="371" t="n">
        <f aca="false">COUNTIF($M$240:$M$241,BR240)*$D$32</f>
        <v>0</v>
      </c>
      <c r="BT240" s="404"/>
      <c r="BU240" s="370"/>
      <c r="BV240" s="371" t="n">
        <f aca="false">COUNTIF($M$240:$M$241,BU240)*$D$32</f>
        <v>0</v>
      </c>
      <c r="BW240" s="404"/>
      <c r="BX240" s="370"/>
      <c r="BY240" s="371" t="n">
        <f aca="false">COUNTIF($M$240:$M$241,BX240)*$D$32</f>
        <v>0</v>
      </c>
      <c r="BZ240" s="404"/>
      <c r="CA240" s="370"/>
      <c r="CB240" s="371" t="n">
        <f aca="false">COUNTIF($M$240:$M$241,CA240)*$D$32</f>
        <v>0</v>
      </c>
      <c r="CC240" s="404"/>
      <c r="CD240" s="370"/>
      <c r="CE240" s="371" t="n">
        <f aca="false">COUNTIF($M$240:$M$241,CD240)*$D$32</f>
        <v>0</v>
      </c>
      <c r="CF240" s="404"/>
      <c r="CG240" s="370"/>
      <c r="CH240" s="371" t="n">
        <f aca="false">COUNTIF($M$240:$M$241,CG240)*$D$32</f>
        <v>0</v>
      </c>
      <c r="CI240" s="404"/>
      <c r="CJ240" s="370"/>
      <c r="CK240" s="371" t="n">
        <f aca="false">COUNTIF($M$240:$M$241,CJ240)*$D$32</f>
        <v>0</v>
      </c>
      <c r="CL240" s="404"/>
      <c r="CM240" s="370"/>
      <c r="CN240" s="371" t="n">
        <f aca="false">COUNTIF($M$240:$M$241,CM240)*$D$32</f>
        <v>0</v>
      </c>
      <c r="CO240" s="404"/>
      <c r="CP240" s="370"/>
      <c r="CQ240" s="371" t="n">
        <f aca="false">COUNTIF($M$240:$M$241,CP240)*$D$32</f>
        <v>0</v>
      </c>
      <c r="CR240" s="404"/>
      <c r="CS240" s="370"/>
      <c r="CT240" s="371" t="n">
        <f aca="false">COUNTIF($M$240:$M$241,CS240)*$D$32</f>
        <v>0</v>
      </c>
      <c r="CU240" s="404"/>
      <c r="CV240" s="370"/>
      <c r="CW240" s="371" t="n">
        <f aca="false">COUNTIF($M$240:$M$241,CV240)*$D$32</f>
        <v>0</v>
      </c>
      <c r="CX240" s="404"/>
      <c r="CY240" s="370"/>
      <c r="CZ240" s="371" t="n">
        <f aca="false">COUNTIF($M$240:$M$241,CY240)*$D$32</f>
        <v>0</v>
      </c>
      <c r="DA240" s="404"/>
      <c r="DB240" s="370"/>
      <c r="DC240" s="371" t="n">
        <f aca="false">COUNTIF($M$240:$M$241,DB240)*$D$32</f>
        <v>0</v>
      </c>
      <c r="DD240" s="404"/>
      <c r="DE240" s="370"/>
      <c r="DF240" s="371" t="n">
        <f aca="false">COUNTIF($M$240:$M$241,DE240)*$D$32</f>
        <v>0</v>
      </c>
      <c r="DG240" s="404"/>
      <c r="DH240" s="370"/>
      <c r="DI240" s="371" t="n">
        <f aca="false">COUNTIF($M$240:$M$241,DH240)*$D$32</f>
        <v>0</v>
      </c>
      <c r="DJ240" s="404"/>
      <c r="DK240" s="370"/>
      <c r="DL240" s="371" t="n">
        <f aca="false">COUNTIF($M$240:$M$241,DK240)*$D$32</f>
        <v>0</v>
      </c>
      <c r="DM240" s="404"/>
      <c r="DN240" s="370"/>
      <c r="DO240" s="371" t="n">
        <f aca="false">COUNTIF($M$240:$M$241,DN240)*$D$32</f>
        <v>0</v>
      </c>
      <c r="DP240" s="404"/>
      <c r="DQ240" s="370"/>
      <c r="DR240" s="371" t="n">
        <f aca="false">COUNTIF($M$240:$M$241,DQ240)*$D$32</f>
        <v>0</v>
      </c>
      <c r="DS240" s="404"/>
      <c r="DT240" s="370"/>
      <c r="DU240" s="371" t="n">
        <f aca="false">COUNTIF($M$240:$M$241,DT240)*$D$32</f>
        <v>0</v>
      </c>
      <c r="DV240" s="404"/>
      <c r="DW240" s="370"/>
      <c r="DX240" s="371" t="n">
        <f aca="false">COUNTIF($M$240:$M$241,DW240)*$D$32</f>
        <v>0</v>
      </c>
      <c r="DY240" s="404"/>
      <c r="DZ240" s="370"/>
      <c r="EA240" s="371" t="n">
        <f aca="false">COUNTIF($M$240:$M$241,DZ240)*$D$32</f>
        <v>0</v>
      </c>
      <c r="EB240" s="404"/>
      <c r="EC240" s="370"/>
      <c r="ED240" s="371" t="n">
        <f aca="false">COUNTIF($M$240:$M$241,EC240)*$D$32</f>
        <v>0</v>
      </c>
      <c r="EE240" s="404"/>
      <c r="EF240" s="370"/>
      <c r="EG240" s="371" t="n">
        <f aca="false">COUNTIF($M$240:$M$241,EF240)*$D$32</f>
        <v>0</v>
      </c>
      <c r="EH240" s="404"/>
      <c r="EI240" s="404"/>
    </row>
    <row r="241" customFormat="false" ht="15" hidden="false" customHeight="false" outlineLevel="0" collapsed="false">
      <c r="A241" s="332"/>
      <c r="B241" s="332"/>
      <c r="C241" s="422"/>
      <c r="D241" s="422"/>
      <c r="E241" s="422"/>
      <c r="F241" s="423" t="n">
        <f aca="false">$D$32</f>
        <v>7</v>
      </c>
      <c r="G241" s="423" t="n">
        <f aca="false">VLOOKUP(H241,Equipos!$Q$1:$R$25,2,0)</f>
        <v>23</v>
      </c>
      <c r="H241" s="410" t="str">
        <f aca="false">Idiomas!$D$263</f>
        <v>Semifinales</v>
      </c>
      <c r="I241" s="410"/>
      <c r="J241" s="428"/>
      <c r="K241" s="396" t="str">
        <f aca="false">Idiomas!$D$203&amp;"-"&amp;ROWS($L$240:L241)</f>
        <v>Finalista-2</v>
      </c>
      <c r="L241" s="396"/>
      <c r="M241" s="397" t="str">
        <f aca="false">WORLDCUP!AF147</f>
        <v>W102</v>
      </c>
      <c r="N241" s="332"/>
      <c r="O241" s="332"/>
      <c r="P241" s="332"/>
      <c r="Q241" s="332"/>
      <c r="R241" s="332"/>
      <c r="S241" s="398" t="s">
        <v>339</v>
      </c>
      <c r="T241" s="399" t="n">
        <f aca="false">COUNTIF($M$240:$M$241,S241)*$D$32</f>
        <v>0</v>
      </c>
      <c r="U241" s="404"/>
      <c r="V241" s="398" t="s">
        <v>366</v>
      </c>
      <c r="W241" s="399" t="n">
        <f aca="false">COUNTIF($M$240:$M$241,V241)*$D$32</f>
        <v>0</v>
      </c>
      <c r="X241" s="404"/>
      <c r="Y241" s="398" t="s">
        <v>370</v>
      </c>
      <c r="Z241" s="399" t="n">
        <f aca="false">COUNTIF($M$240:$M$241,Y241)*$D$32</f>
        <v>0</v>
      </c>
      <c r="AA241" s="404"/>
      <c r="AB241" s="398" t="s">
        <v>366</v>
      </c>
      <c r="AC241" s="399" t="n">
        <f aca="false">COUNTIF($M$240:$M$241,AB241)*$D$32</f>
        <v>0</v>
      </c>
      <c r="AD241" s="404"/>
      <c r="AE241" s="398" t="s">
        <v>366</v>
      </c>
      <c r="AF241" s="399" t="n">
        <f aca="false">COUNTIF($M$240:$M$241,AE241)*$D$32</f>
        <v>0</v>
      </c>
      <c r="AG241" s="404"/>
      <c r="AH241" s="398" t="s">
        <v>374</v>
      </c>
      <c r="AI241" s="399" t="n">
        <f aca="false">COUNTIF($M$240:$M$241,AH241)*$D$32</f>
        <v>0</v>
      </c>
      <c r="AJ241" s="404"/>
      <c r="AK241" s="398" t="s">
        <v>339</v>
      </c>
      <c r="AL241" s="399" t="n">
        <f aca="false">COUNTIF($M$240:$M$241,AK241)*$D$32</f>
        <v>0</v>
      </c>
      <c r="AM241" s="404"/>
      <c r="AN241" s="398" t="s">
        <v>339</v>
      </c>
      <c r="AO241" s="399" t="n">
        <f aca="false">COUNTIF($M$240:$M$241,AN241)*$D$32</f>
        <v>0</v>
      </c>
      <c r="AP241" s="404"/>
      <c r="AQ241" s="398" t="s">
        <v>374</v>
      </c>
      <c r="AR241" s="399" t="n">
        <f aca="false">COUNTIF($M$240:$M$241,AQ241)*$D$32</f>
        <v>0</v>
      </c>
      <c r="AS241" s="404"/>
      <c r="AT241" s="398" t="s">
        <v>370</v>
      </c>
      <c r="AU241" s="399" t="n">
        <f aca="false">COUNTIF($M$240:$M$241,AT241)*$D$32</f>
        <v>0</v>
      </c>
      <c r="AV241" s="404"/>
      <c r="AW241" s="398" t="s">
        <v>370</v>
      </c>
      <c r="AX241" s="399" t="n">
        <f aca="false">COUNTIF($M$240:$M$241,AW241)*$D$32</f>
        <v>0</v>
      </c>
      <c r="AY241" s="404"/>
      <c r="AZ241" s="398" t="s">
        <v>374</v>
      </c>
      <c r="BA241" s="399" t="n">
        <f aca="false">COUNTIF($M$240:$M$241,AZ241)*$D$32</f>
        <v>0</v>
      </c>
      <c r="BB241" s="404"/>
      <c r="BC241" s="398" t="s">
        <v>375</v>
      </c>
      <c r="BD241" s="399" t="n">
        <f aca="false">COUNTIF($M$240:$M$241,BC241)*$D$32</f>
        <v>0</v>
      </c>
      <c r="BE241" s="404"/>
      <c r="BF241" s="398" t="s">
        <v>370</v>
      </c>
      <c r="BG241" s="399" t="n">
        <f aca="false">COUNTIF($M$240:$M$241,BF241)*$D$32</f>
        <v>0</v>
      </c>
      <c r="BH241" s="404"/>
      <c r="BI241" s="398" t="s">
        <v>339</v>
      </c>
      <c r="BJ241" s="399" t="n">
        <f aca="false">COUNTIF($M$240:$M$241,BI241)*$D$32</f>
        <v>0</v>
      </c>
      <c r="BK241" s="404"/>
      <c r="BL241" s="398" t="s">
        <v>374</v>
      </c>
      <c r="BM241" s="399" t="n">
        <f aca="false">COUNTIF($M$240:$M$241,BL241)*$D$32</f>
        <v>0</v>
      </c>
      <c r="BN241" s="404"/>
      <c r="BO241" s="398" t="s">
        <v>366</v>
      </c>
      <c r="BP241" s="399" t="n">
        <f aca="false">COUNTIF($M$240:$M$241,BO241)*$D$32</f>
        <v>0</v>
      </c>
      <c r="BQ241" s="404"/>
      <c r="BR241" s="398" t="s">
        <v>366</v>
      </c>
      <c r="BS241" s="399" t="n">
        <f aca="false">COUNTIF($M$240:$M$241,BR241)*$D$32</f>
        <v>0</v>
      </c>
      <c r="BT241" s="404"/>
      <c r="BU241" s="398"/>
      <c r="BV241" s="399" t="n">
        <f aca="false">COUNTIF($M$240:$M$241,BU241)*$D$32</f>
        <v>0</v>
      </c>
      <c r="BW241" s="404"/>
      <c r="BX241" s="398"/>
      <c r="BY241" s="399" t="n">
        <f aca="false">COUNTIF($M$240:$M$241,BX241)*$D$32</f>
        <v>0</v>
      </c>
      <c r="BZ241" s="404"/>
      <c r="CA241" s="398"/>
      <c r="CB241" s="399" t="n">
        <f aca="false">COUNTIF($M$240:$M$241,CA241)*$D$32</f>
        <v>0</v>
      </c>
      <c r="CC241" s="404"/>
      <c r="CD241" s="398"/>
      <c r="CE241" s="399" t="n">
        <f aca="false">COUNTIF($M$240:$M$241,CD241)*$D$32</f>
        <v>0</v>
      </c>
      <c r="CF241" s="404"/>
      <c r="CG241" s="398"/>
      <c r="CH241" s="399" t="n">
        <f aca="false">COUNTIF($M$240:$M$241,CG241)*$D$32</f>
        <v>0</v>
      </c>
      <c r="CI241" s="404"/>
      <c r="CJ241" s="398"/>
      <c r="CK241" s="399" t="n">
        <f aca="false">COUNTIF($M$240:$M$241,CJ241)*$D$32</f>
        <v>0</v>
      </c>
      <c r="CL241" s="404"/>
      <c r="CM241" s="398"/>
      <c r="CN241" s="399" t="n">
        <f aca="false">COUNTIF($M$240:$M$241,CM241)*$D$32</f>
        <v>0</v>
      </c>
      <c r="CO241" s="404"/>
      <c r="CP241" s="398"/>
      <c r="CQ241" s="399" t="n">
        <f aca="false">COUNTIF($M$240:$M$241,CP241)*$D$32</f>
        <v>0</v>
      </c>
      <c r="CR241" s="404"/>
      <c r="CS241" s="398"/>
      <c r="CT241" s="399" t="n">
        <f aca="false">COUNTIF($M$240:$M$241,CS241)*$D$32</f>
        <v>0</v>
      </c>
      <c r="CU241" s="404"/>
      <c r="CV241" s="398"/>
      <c r="CW241" s="399" t="n">
        <f aca="false">COUNTIF($M$240:$M$241,CV241)*$D$32</f>
        <v>0</v>
      </c>
      <c r="CX241" s="404"/>
      <c r="CY241" s="398"/>
      <c r="CZ241" s="399" t="n">
        <f aca="false">COUNTIF($M$240:$M$241,CY241)*$D$32</f>
        <v>0</v>
      </c>
      <c r="DA241" s="404"/>
      <c r="DB241" s="398"/>
      <c r="DC241" s="399" t="n">
        <f aca="false">COUNTIF($M$240:$M$241,DB241)*$D$32</f>
        <v>0</v>
      </c>
      <c r="DD241" s="404"/>
      <c r="DE241" s="398"/>
      <c r="DF241" s="399" t="n">
        <f aca="false">COUNTIF($M$240:$M$241,DE241)*$D$32</f>
        <v>0</v>
      </c>
      <c r="DG241" s="404"/>
      <c r="DH241" s="398"/>
      <c r="DI241" s="399" t="n">
        <f aca="false">COUNTIF($M$240:$M$241,DH241)*$D$32</f>
        <v>0</v>
      </c>
      <c r="DJ241" s="404"/>
      <c r="DK241" s="398"/>
      <c r="DL241" s="399" t="n">
        <f aca="false">COUNTIF($M$240:$M$241,DK241)*$D$32</f>
        <v>0</v>
      </c>
      <c r="DM241" s="404"/>
      <c r="DN241" s="398"/>
      <c r="DO241" s="399" t="n">
        <f aca="false">COUNTIF($M$240:$M$241,DN241)*$D$32</f>
        <v>0</v>
      </c>
      <c r="DP241" s="404"/>
      <c r="DQ241" s="398"/>
      <c r="DR241" s="399" t="n">
        <f aca="false">COUNTIF($M$240:$M$241,DQ241)*$D$32</f>
        <v>0</v>
      </c>
      <c r="DS241" s="404"/>
      <c r="DT241" s="398"/>
      <c r="DU241" s="399" t="n">
        <f aca="false">COUNTIF($M$240:$M$241,DT241)*$D$32</f>
        <v>0</v>
      </c>
      <c r="DV241" s="404"/>
      <c r="DW241" s="398"/>
      <c r="DX241" s="399" t="n">
        <f aca="false">COUNTIF($M$240:$M$241,DW241)*$D$32</f>
        <v>0</v>
      </c>
      <c r="DY241" s="404"/>
      <c r="DZ241" s="398"/>
      <c r="EA241" s="399" t="n">
        <f aca="false">COUNTIF($M$240:$M$241,DZ241)*$D$32</f>
        <v>0</v>
      </c>
      <c r="EB241" s="404"/>
      <c r="EC241" s="398"/>
      <c r="ED241" s="399" t="n">
        <f aca="false">COUNTIF($M$240:$M$241,EC241)*$D$32</f>
        <v>0</v>
      </c>
      <c r="EE241" s="404"/>
      <c r="EF241" s="398"/>
      <c r="EG241" s="399" t="n">
        <f aca="false">COUNTIF($M$240:$M$241,EF241)*$D$32</f>
        <v>0</v>
      </c>
      <c r="EH241" s="404"/>
      <c r="EI241" s="404"/>
    </row>
    <row r="242" customFormat="false" ht="15" hidden="false" customHeight="false" outlineLevel="0" collapsed="false">
      <c r="A242" s="332"/>
      <c r="B242" s="332"/>
      <c r="C242" s="422"/>
      <c r="D242" s="422"/>
      <c r="E242" s="422"/>
      <c r="F242" s="423"/>
      <c r="G242" s="423"/>
      <c r="H242" s="410"/>
      <c r="I242" s="410"/>
      <c r="J242" s="413"/>
      <c r="K242" s="414" t="str">
        <f aca="false">Idiomas!D466</f>
        <v>Equipos Final</v>
      </c>
      <c r="L242" s="415"/>
      <c r="M242" s="414" t="str">
        <f aca="false">"Max: "&amp;$D$32*COUNT(T240:T241)</f>
        <v>Max: 14</v>
      </c>
      <c r="N242" s="332"/>
      <c r="O242" s="332"/>
      <c r="P242" s="332"/>
      <c r="Q242" s="332"/>
      <c r="R242" s="332"/>
      <c r="S242" s="416"/>
      <c r="T242" s="347" t="n">
        <f aca="false">SUM(T240:T241)</f>
        <v>0</v>
      </c>
      <c r="U242" s="327"/>
      <c r="V242" s="416"/>
      <c r="W242" s="347" t="n">
        <f aca="false">SUM(W240:W241)</f>
        <v>0</v>
      </c>
      <c r="X242" s="327"/>
      <c r="Y242" s="416"/>
      <c r="Z242" s="347" t="n">
        <f aca="false">SUM(Z240:Z241)</f>
        <v>0</v>
      </c>
      <c r="AA242" s="327"/>
      <c r="AB242" s="416"/>
      <c r="AC242" s="347" t="n">
        <f aca="false">SUM(AC240:AC241)</f>
        <v>0</v>
      </c>
      <c r="AD242" s="327"/>
      <c r="AE242" s="416"/>
      <c r="AF242" s="347" t="n">
        <f aca="false">SUM(AF240:AF241)</f>
        <v>0</v>
      </c>
      <c r="AG242" s="327"/>
      <c r="AH242" s="416"/>
      <c r="AI242" s="347" t="n">
        <f aca="false">SUM(AI240:AI241)</f>
        <v>0</v>
      </c>
      <c r="AJ242" s="327"/>
      <c r="AK242" s="416"/>
      <c r="AL242" s="347" t="n">
        <f aca="false">SUM(AL240:AL241)</f>
        <v>0</v>
      </c>
      <c r="AM242" s="327"/>
      <c r="AN242" s="416"/>
      <c r="AO242" s="347" t="n">
        <f aca="false">SUM(AO240:AO241)</f>
        <v>0</v>
      </c>
      <c r="AP242" s="327"/>
      <c r="AQ242" s="416"/>
      <c r="AR242" s="347" t="n">
        <f aca="false">SUM(AR240:AR241)</f>
        <v>0</v>
      </c>
      <c r="AS242" s="327"/>
      <c r="AT242" s="416"/>
      <c r="AU242" s="347" t="n">
        <f aca="false">SUM(AU240:AU241)</f>
        <v>0</v>
      </c>
      <c r="AV242" s="327"/>
      <c r="AW242" s="416"/>
      <c r="AX242" s="347" t="n">
        <f aca="false">SUM(AX240:AX241)</f>
        <v>0</v>
      </c>
      <c r="AY242" s="327"/>
      <c r="AZ242" s="416"/>
      <c r="BA242" s="347" t="n">
        <f aca="false">SUM(BA240:BA241)</f>
        <v>0</v>
      </c>
      <c r="BB242" s="327"/>
      <c r="BC242" s="416"/>
      <c r="BD242" s="347" t="n">
        <f aca="false">SUM(BD240:BD241)</f>
        <v>0</v>
      </c>
      <c r="BE242" s="327"/>
      <c r="BF242" s="416"/>
      <c r="BG242" s="347" t="n">
        <f aca="false">SUM(BG240:BG241)</f>
        <v>0</v>
      </c>
      <c r="BH242" s="327"/>
      <c r="BI242" s="416"/>
      <c r="BJ242" s="347" t="n">
        <f aca="false">SUM(BJ240:BJ241)</f>
        <v>0</v>
      </c>
      <c r="BK242" s="327"/>
      <c r="BL242" s="416"/>
      <c r="BM242" s="347" t="n">
        <f aca="false">SUM(BM240:BM241)</f>
        <v>0</v>
      </c>
      <c r="BN242" s="327"/>
      <c r="BO242" s="416"/>
      <c r="BP242" s="347" t="n">
        <f aca="false">SUM(BP240:BP241)</f>
        <v>0</v>
      </c>
      <c r="BQ242" s="327"/>
      <c r="BR242" s="416"/>
      <c r="BS242" s="347" t="n">
        <f aca="false">SUM(BS240:BS241)</f>
        <v>0</v>
      </c>
      <c r="BT242" s="327"/>
      <c r="BU242" s="416"/>
      <c r="BV242" s="347" t="n">
        <f aca="false">SUM(BV240:BV241)</f>
        <v>0</v>
      </c>
      <c r="BW242" s="327"/>
      <c r="BX242" s="416"/>
      <c r="BY242" s="347" t="n">
        <f aca="false">SUM(BY240:BY241)</f>
        <v>0</v>
      </c>
      <c r="BZ242" s="327"/>
      <c r="CA242" s="416"/>
      <c r="CB242" s="347" t="n">
        <f aca="false">SUM(CB240:CB241)</f>
        <v>0</v>
      </c>
      <c r="CC242" s="327"/>
      <c r="CD242" s="416"/>
      <c r="CE242" s="347" t="n">
        <f aca="false">SUM(CE240:CE241)</f>
        <v>0</v>
      </c>
      <c r="CF242" s="327"/>
      <c r="CG242" s="416"/>
      <c r="CH242" s="347" t="n">
        <f aca="false">SUM(CH240:CH241)</f>
        <v>0</v>
      </c>
      <c r="CI242" s="327"/>
      <c r="CJ242" s="416"/>
      <c r="CK242" s="347" t="n">
        <f aca="false">SUM(CK240:CK241)</f>
        <v>0</v>
      </c>
      <c r="CL242" s="327"/>
      <c r="CM242" s="416"/>
      <c r="CN242" s="347" t="n">
        <f aca="false">SUM(CN240:CN241)</f>
        <v>0</v>
      </c>
      <c r="CO242" s="327"/>
      <c r="CP242" s="416"/>
      <c r="CQ242" s="347" t="n">
        <f aca="false">SUM(CQ240:CQ241)</f>
        <v>0</v>
      </c>
      <c r="CR242" s="327"/>
      <c r="CS242" s="416"/>
      <c r="CT242" s="347" t="n">
        <f aca="false">SUM(CT240:CT241)</f>
        <v>0</v>
      </c>
      <c r="CU242" s="327"/>
      <c r="CV242" s="416"/>
      <c r="CW242" s="347" t="n">
        <f aca="false">SUM(CW240:CW241)</f>
        <v>0</v>
      </c>
      <c r="CX242" s="327"/>
      <c r="CY242" s="416"/>
      <c r="CZ242" s="347" t="n">
        <f aca="false">SUM(CZ240:CZ241)</f>
        <v>0</v>
      </c>
      <c r="DA242" s="327"/>
      <c r="DB242" s="416"/>
      <c r="DC242" s="347" t="n">
        <f aca="false">SUM(DC240:DC241)</f>
        <v>0</v>
      </c>
      <c r="DD242" s="327"/>
      <c r="DE242" s="416"/>
      <c r="DF242" s="347" t="n">
        <f aca="false">SUM(DF240:DF241)</f>
        <v>0</v>
      </c>
      <c r="DG242" s="327"/>
      <c r="DH242" s="416"/>
      <c r="DI242" s="347" t="n">
        <f aca="false">SUM(DI240:DI241)</f>
        <v>0</v>
      </c>
      <c r="DJ242" s="327"/>
      <c r="DK242" s="416"/>
      <c r="DL242" s="347" t="n">
        <f aca="false">SUM(DL240:DL241)</f>
        <v>0</v>
      </c>
      <c r="DM242" s="327"/>
      <c r="DN242" s="416"/>
      <c r="DO242" s="347" t="n">
        <f aca="false">SUM(DO240:DO241)</f>
        <v>0</v>
      </c>
      <c r="DP242" s="327"/>
      <c r="DQ242" s="416"/>
      <c r="DR242" s="347" t="n">
        <f aca="false">SUM(DR240:DR241)</f>
        <v>0</v>
      </c>
      <c r="DS242" s="327"/>
      <c r="DT242" s="416"/>
      <c r="DU242" s="347" t="n">
        <f aca="false">SUM(DU240:DU241)</f>
        <v>0</v>
      </c>
      <c r="DV242" s="327"/>
      <c r="DW242" s="416"/>
      <c r="DX242" s="347" t="n">
        <f aca="false">SUM(DX240:DX241)</f>
        <v>0</v>
      </c>
      <c r="DY242" s="327"/>
      <c r="DZ242" s="416"/>
      <c r="EA242" s="347" t="n">
        <f aca="false">SUM(EA240:EA241)</f>
        <v>0</v>
      </c>
      <c r="EB242" s="327"/>
      <c r="EC242" s="416"/>
      <c r="ED242" s="347" t="n">
        <f aca="false">SUM(ED240:ED241)</f>
        <v>0</v>
      </c>
      <c r="EE242" s="327"/>
      <c r="EF242" s="416"/>
      <c r="EG242" s="347" t="n">
        <f aca="false">SUM(EG240:EG241)</f>
        <v>0</v>
      </c>
      <c r="EH242" s="327"/>
      <c r="EI242" s="327"/>
    </row>
    <row r="243" customFormat="false" ht="15" hidden="false" customHeight="false" outlineLevel="0" collapsed="false">
      <c r="A243" s="332"/>
      <c r="B243" s="332"/>
      <c r="C243" s="422"/>
      <c r="D243" s="422"/>
      <c r="E243" s="422"/>
      <c r="F243" s="423"/>
      <c r="G243" s="423"/>
      <c r="H243" s="410"/>
      <c r="I243" s="419" t="s">
        <v>244</v>
      </c>
      <c r="J243" s="413"/>
      <c r="K243" s="346" t="str">
        <f aca="false">UPPER(Idiomas!D147)</f>
        <v>3º-4º PUESTO</v>
      </c>
      <c r="L243" s="333"/>
      <c r="M243" s="347"/>
      <c r="N243" s="332"/>
      <c r="O243" s="332"/>
      <c r="P243" s="332"/>
      <c r="Q243" s="332"/>
      <c r="R243" s="332"/>
      <c r="S243" s="416"/>
      <c r="T243" s="420"/>
      <c r="U243" s="327"/>
      <c r="V243" s="416"/>
      <c r="W243" s="420"/>
      <c r="X243" s="327"/>
      <c r="Y243" s="416"/>
      <c r="Z243" s="420"/>
      <c r="AA243" s="327"/>
      <c r="AB243" s="416"/>
      <c r="AC243" s="420"/>
      <c r="AD243" s="327"/>
      <c r="AE243" s="416"/>
      <c r="AF243" s="420"/>
      <c r="AG243" s="327"/>
      <c r="AH243" s="416"/>
      <c r="AI243" s="420"/>
      <c r="AJ243" s="327"/>
      <c r="AK243" s="416"/>
      <c r="AL243" s="420"/>
      <c r="AM243" s="327"/>
      <c r="AN243" s="416"/>
      <c r="AO243" s="420"/>
      <c r="AP243" s="327"/>
      <c r="AQ243" s="416"/>
      <c r="AR243" s="420"/>
      <c r="AS243" s="327"/>
      <c r="AT243" s="416"/>
      <c r="AU243" s="420"/>
      <c r="AV243" s="327"/>
      <c r="AW243" s="416"/>
      <c r="AX243" s="420"/>
      <c r="AY243" s="327"/>
      <c r="AZ243" s="416"/>
      <c r="BA243" s="420"/>
      <c r="BB243" s="327"/>
      <c r="BC243" s="416"/>
      <c r="BD243" s="420"/>
      <c r="BE243" s="327"/>
      <c r="BF243" s="416"/>
      <c r="BG243" s="420"/>
      <c r="BH243" s="327"/>
      <c r="BI243" s="416"/>
      <c r="BJ243" s="420"/>
      <c r="BK243" s="327"/>
      <c r="BL243" s="416"/>
      <c r="BM243" s="420"/>
      <c r="BN243" s="327"/>
      <c r="BO243" s="416"/>
      <c r="BP243" s="420"/>
      <c r="BQ243" s="327"/>
      <c r="BR243" s="416"/>
      <c r="BS243" s="420"/>
      <c r="BT243" s="327"/>
      <c r="BU243" s="416"/>
      <c r="BV243" s="420"/>
      <c r="BW243" s="327"/>
      <c r="BX243" s="416"/>
      <c r="BY243" s="420"/>
      <c r="BZ243" s="327"/>
      <c r="CA243" s="416"/>
      <c r="CB243" s="420"/>
      <c r="CC243" s="327"/>
      <c r="CD243" s="416"/>
      <c r="CE243" s="420"/>
      <c r="CF243" s="327"/>
      <c r="CG243" s="416"/>
      <c r="CH243" s="420"/>
      <c r="CI243" s="327"/>
      <c r="CJ243" s="416"/>
      <c r="CK243" s="420"/>
      <c r="CL243" s="327"/>
      <c r="CM243" s="416"/>
      <c r="CN243" s="420"/>
      <c r="CO243" s="327"/>
      <c r="CP243" s="416"/>
      <c r="CQ243" s="420"/>
      <c r="CR243" s="327"/>
      <c r="CS243" s="416"/>
      <c r="CT243" s="420"/>
      <c r="CU243" s="327"/>
      <c r="CV243" s="416"/>
      <c r="CW243" s="420"/>
      <c r="CX243" s="327"/>
      <c r="CY243" s="416"/>
      <c r="CZ243" s="420"/>
      <c r="DA243" s="327"/>
      <c r="DB243" s="416"/>
      <c r="DC243" s="420"/>
      <c r="DD243" s="327"/>
      <c r="DE243" s="416"/>
      <c r="DF243" s="420"/>
      <c r="DG243" s="327"/>
      <c r="DH243" s="416"/>
      <c r="DI243" s="420"/>
      <c r="DJ243" s="327"/>
      <c r="DK243" s="416"/>
      <c r="DL243" s="420"/>
      <c r="DM243" s="327"/>
      <c r="DN243" s="416"/>
      <c r="DO243" s="420"/>
      <c r="DP243" s="327"/>
      <c r="DQ243" s="416"/>
      <c r="DR243" s="420"/>
      <c r="DS243" s="327"/>
      <c r="DT243" s="416"/>
      <c r="DU243" s="420"/>
      <c r="DV243" s="327"/>
      <c r="DW243" s="416"/>
      <c r="DX243" s="420"/>
      <c r="DY243" s="327"/>
      <c r="DZ243" s="416"/>
      <c r="EA243" s="420"/>
      <c r="EB243" s="327"/>
      <c r="EC243" s="416"/>
      <c r="ED243" s="420"/>
      <c r="EE243" s="327"/>
      <c r="EF243" s="416"/>
      <c r="EG243" s="420"/>
      <c r="EH243" s="327"/>
      <c r="EI243" s="327"/>
    </row>
    <row r="244" customFormat="false" ht="19.7" hidden="false" customHeight="false" outlineLevel="0" collapsed="false">
      <c r="A244" s="332" t="n">
        <f aca="false">WORLDCUP!AD143</f>
        <v>0</v>
      </c>
      <c r="B244" s="332" t="n">
        <f aca="false">WORLDCUP!AC143</f>
        <v>0</v>
      </c>
      <c r="C244" s="422" t="str">
        <f aca="false">CONCATENATE(WORLDCUP!AF143,"-",WORLDCUP!AA143)</f>
        <v>L102-L101</v>
      </c>
      <c r="D244" s="422" t="str">
        <f aca="false">IF(WORLDCUP!AC143&gt;WORLDCUP!AD143,2,IF(WORLDCUP!AC143&lt;WORLDCUP!AD143,1,IF(AND(WORLDCUP!AC143=WORLDCUP!AD143,WORLDCUP!AC143&lt;&gt;"",WORLDCUP!AD143&lt;&gt;""),0,"PD")))</f>
        <v>PD</v>
      </c>
      <c r="E244" s="422" t="str">
        <f aca="false">IF(OR(WORLDCUP!AD143="",WORLDCUP!AC143=""),"-",A244&amp;"-"&amp;B244)</f>
        <v>-</v>
      </c>
      <c r="F244" s="423" t="n">
        <f aca="false">SUM($D$33:$D$35)*$I$244</f>
        <v>17</v>
      </c>
      <c r="G244" s="423" t="n">
        <f aca="false">VLOOKUP(H244,Equipos!$Q$1:$R$25,2,0)</f>
        <v>24</v>
      </c>
      <c r="H244" s="410" t="str">
        <f aca="false">Idiomas!$D$264</f>
        <v>3-4 &amp; Final</v>
      </c>
      <c r="I244" s="425" t="n">
        <v>1</v>
      </c>
      <c r="J244" s="429" t="s">
        <v>229</v>
      </c>
      <c r="K244" s="430" t="str">
        <f aca="false">CONCATENATE(WORLDCUP!AA143,"-",WORLDCUP!AF143)</f>
        <v>L101-L102</v>
      </c>
      <c r="L244" s="430" t="str">
        <f aca="false">IF(OR(WORLDCUP!AC143="",WORLDCUP!AD143=""),"PD",IF(WORLDCUP!AC143&gt;WORLDCUP!AD143,1,IF(WORLDCUP!AC143&lt;WORLDCUP!AD143,2,0)))</f>
        <v>PD</v>
      </c>
      <c r="M244" s="359" t="str">
        <f aca="false">IF(OR(WORLDCUP!AC143="",WORLDCUP!AD143=""),"-",N244&amp;"|"&amp;O244&amp;"-"&amp;P244)</f>
        <v>-</v>
      </c>
      <c r="N244" s="332" t="str">
        <f aca="false">IF(OR(WORLDCUP!AC143="",WORLDCUP!AD143=""),"",IF(WORLDCUP!AC143&gt;WORLDCUP!AD143,"1",IF(WORLDCUP!AC143&lt;WORLDCUP!AD143,"2","X")))</f>
        <v/>
      </c>
      <c r="O244" s="332" t="n">
        <f aca="false">WORLDCUP!AC143</f>
        <v>0</v>
      </c>
      <c r="P244" s="332" t="n">
        <f aca="false">WORLDCUP!AD143</f>
        <v>0</v>
      </c>
      <c r="Q244" s="332" t="n">
        <f aca="false">ABS(O244-P244)</f>
        <v>0</v>
      </c>
      <c r="R244" s="332"/>
      <c r="S244" s="426" t="s">
        <v>264</v>
      </c>
      <c r="T244" s="356" t="n">
        <f aca="false">IFERROR(IF($M244=S244,($D$8+$D$9+$D$10)*$I244,IF($N244=LEFT(S244,1),($D$8+MAX(0,IF($D$50=1,$D$9*(1-(ABS($Q244-ABS(VALUE(MID(S244,FIND("|",S244)+1,FIND("-",S244)-FIND("|",S244)-1))-VALUE(MID(S244,FIND("-",S244)+1,10)))))*$D$50),$D$9*(1-(IF($N244="X",ABS($O244-VALUE(MID(S244,FIND("|",S244)+1,FIND("-",S244)-FIND("|",S244)-1))),ABS($Q244-ABS(VALUE(MID(S244,FIND("|",S244)+1,FIND("-",S244)-FIND("|",S244)-1))-VALUE(MID(S244,FIND("-",S244)+1,10)))))*$D$50)))))*$I244,0)),0)</f>
        <v>0</v>
      </c>
      <c r="U244" s="431"/>
      <c r="V244" s="426" t="s">
        <v>269</v>
      </c>
      <c r="W244" s="356" t="n">
        <f aca="false">IFERROR(IF($M244=V244,($D$8+$D$9+$D$10)*$I244,IF($N244=LEFT(V244,1),($D$8+MAX(0,IF($D$50=1,$D$9*(1-(ABS($Q244-ABS(VALUE(MID(V244,FIND("|",V244)+1,FIND("-",V244)-FIND("|",V244)-1))-VALUE(MID(V244,FIND("-",V244)+1,10)))))*$D$50),$D$9*(1-(IF($N244="X",ABS($O244-VALUE(MID(V244,FIND("|",V244)+1,FIND("-",V244)-FIND("|",V244)-1))),ABS($Q244-ABS(VALUE(MID(V244,FIND("|",V244)+1,FIND("-",V244)-FIND("|",V244)-1))-VALUE(MID(V244,FIND("-",V244)+1,10)))))*$D$50)))))*$I244,0)),0)</f>
        <v>0</v>
      </c>
      <c r="X244" s="404"/>
      <c r="Y244" s="426" t="s">
        <v>274</v>
      </c>
      <c r="Z244" s="356" t="n">
        <f aca="false">IFERROR(IF($M244=Y244,($D$8+$D$9+$D$10)*$I244,IF($N244=LEFT(Y244,1),($D$8+MAX(0,IF($D$50=1,$D$9*(1-(ABS($Q244-ABS(VALUE(MID(Y244,FIND("|",Y244)+1,FIND("-",Y244)-FIND("|",Y244)-1))-VALUE(MID(Y244,FIND("-",Y244)+1,10)))))*$D$50),$D$9*(1-(IF($N244="X",ABS($O244-VALUE(MID(Y244,FIND("|",Y244)+1,FIND("-",Y244)-FIND("|",Y244)-1))),ABS($Q244-ABS(VALUE(MID(Y244,FIND("|",Y244)+1,FIND("-",Y244)-FIND("|",Y244)-1))-VALUE(MID(Y244,FIND("-",Y244)+1,10)))))*$D$50)))))*$I244,0)),0)</f>
        <v>0</v>
      </c>
      <c r="AA244" s="404"/>
      <c r="AB244" s="426" t="s">
        <v>265</v>
      </c>
      <c r="AC244" s="356" t="n">
        <f aca="false">IFERROR(IF($M244=AB244,($D$8+$D$9+$D$10)*$I244,IF($N244=LEFT(AB244,1),($D$8+MAX(0,IF($D$50=1,$D$9*(1-(ABS($Q244-ABS(VALUE(MID(AB244,FIND("|",AB244)+1,FIND("-",AB244)-FIND("|",AB244)-1))-VALUE(MID(AB244,FIND("-",AB244)+1,10)))))*$D$50),$D$9*(1-(IF($N244="X",ABS($O244-VALUE(MID(AB244,FIND("|",AB244)+1,FIND("-",AB244)-FIND("|",AB244)-1))),ABS($Q244-ABS(VALUE(MID(AB244,FIND("|",AB244)+1,FIND("-",AB244)-FIND("|",AB244)-1))-VALUE(MID(AB244,FIND("-",AB244)+1,10)))))*$D$50)))))*$I244,0)),0)</f>
        <v>0</v>
      </c>
      <c r="AD244" s="404"/>
      <c r="AE244" s="426" t="s">
        <v>265</v>
      </c>
      <c r="AF244" s="356" t="n">
        <f aca="false">IFERROR(IF($M244=AE244,($D$8+$D$9+$D$10)*$I244,IF($N244=LEFT(AE244,1),($D$8+MAX(0,IF($D$50=1,$D$9*(1-(ABS($Q244-ABS(VALUE(MID(AE244,FIND("|",AE244)+1,FIND("-",AE244)-FIND("|",AE244)-1))-VALUE(MID(AE244,FIND("-",AE244)+1,10)))))*$D$50),$D$9*(1-(IF($N244="X",ABS($O244-VALUE(MID(AE244,FIND("|",AE244)+1,FIND("-",AE244)-FIND("|",AE244)-1))),ABS($Q244-ABS(VALUE(MID(AE244,FIND("|",AE244)+1,FIND("-",AE244)-FIND("|",AE244)-1))-VALUE(MID(AE244,FIND("-",AE244)+1,10)))))*$D$50)))))*$I244,0)),0)</f>
        <v>0</v>
      </c>
      <c r="AG244" s="404"/>
      <c r="AH244" s="426" t="s">
        <v>264</v>
      </c>
      <c r="AI244" s="356" t="n">
        <f aca="false">IFERROR(IF($M244=AH244,($D$8+$D$9+$D$10)*$I244,IF($N244=LEFT(AH244,1),($D$8+MAX(0,IF($D$50=1,$D$9*(1-(ABS($Q244-ABS(VALUE(MID(AH244,FIND("|",AH244)+1,FIND("-",AH244)-FIND("|",AH244)-1))-VALUE(MID(AH244,FIND("-",AH244)+1,10)))))*$D$50),$D$9*(1-(IF($N244="X",ABS($O244-VALUE(MID(AH244,FIND("|",AH244)+1,FIND("-",AH244)-FIND("|",AH244)-1))),ABS($Q244-ABS(VALUE(MID(AH244,FIND("|",AH244)+1,FIND("-",AH244)-FIND("|",AH244)-1))-VALUE(MID(AH244,FIND("-",AH244)+1,10)))))*$D$50)))))*$I244,0)),0)</f>
        <v>0</v>
      </c>
      <c r="AJ244" s="431"/>
      <c r="AK244" s="426" t="s">
        <v>264</v>
      </c>
      <c r="AL244" s="356" t="n">
        <f aca="false">IFERROR(IF($M244=AK244,($D$8+$D$9+$D$10)*$I244,IF($N244=LEFT(AK244,1),($D$8+MAX(0,IF($D$50=1,$D$9*(1-(ABS($Q244-ABS(VALUE(MID(AK244,FIND("|",AK244)+1,FIND("-",AK244)-FIND("|",AK244)-1))-VALUE(MID(AK244,FIND("-",AK244)+1,10)))))*$D$50),$D$9*(1-(IF($N244="X",ABS($O244-VALUE(MID(AK244,FIND("|",AK244)+1,FIND("-",AK244)-FIND("|",AK244)-1))),ABS($Q244-ABS(VALUE(MID(AK244,FIND("|",AK244)+1,FIND("-",AK244)-FIND("|",AK244)-1))-VALUE(MID(AK244,FIND("-",AK244)+1,10)))))*$D$50)))))*$I244,0)),0)</f>
        <v>0</v>
      </c>
      <c r="AM244" s="404"/>
      <c r="AN244" s="426" t="s">
        <v>266</v>
      </c>
      <c r="AO244" s="356" t="n">
        <f aca="false">IFERROR(IF($M244=AN244,($D$8+$D$9+$D$10)*$I244,IF($N244=LEFT(AN244,1),($D$8+MAX(0,IF($D$50=1,$D$9*(1-(ABS($Q244-ABS(VALUE(MID(AN244,FIND("|",AN244)+1,FIND("-",AN244)-FIND("|",AN244)-1))-VALUE(MID(AN244,FIND("-",AN244)+1,10)))))*$D$50),$D$9*(1-(IF($N244="X",ABS($O244-VALUE(MID(AN244,FIND("|",AN244)+1,FIND("-",AN244)-FIND("|",AN244)-1))),ABS($Q244-ABS(VALUE(MID(AN244,FIND("|",AN244)+1,FIND("-",AN244)-FIND("|",AN244)-1))-VALUE(MID(AN244,FIND("-",AN244)+1,10)))))*$D$50)))))*$I244,0)),0)</f>
        <v>0</v>
      </c>
      <c r="AP244" s="404"/>
      <c r="AQ244" s="426" t="s">
        <v>264</v>
      </c>
      <c r="AR244" s="356" t="n">
        <f aca="false">IFERROR(IF($M244=AQ244,($D$8+$D$9+$D$10)*$I244,IF($N244=LEFT(AQ244,1),($D$8+MAX(0,IF($D$50=1,$D$9*(1-(ABS($Q244-ABS(VALUE(MID(AQ244,FIND("|",AQ244)+1,FIND("-",AQ244)-FIND("|",AQ244)-1))-VALUE(MID(AQ244,FIND("-",AQ244)+1,10)))))*$D$50),$D$9*(1-(IF($N244="X",ABS($O244-VALUE(MID(AQ244,FIND("|",AQ244)+1,FIND("-",AQ244)-FIND("|",AQ244)-1))),ABS($Q244-ABS(VALUE(MID(AQ244,FIND("|",AQ244)+1,FIND("-",AQ244)-FIND("|",AQ244)-1))-VALUE(MID(AQ244,FIND("-",AQ244)+1,10)))))*$D$50)))))*$I244,0)),0)</f>
        <v>0</v>
      </c>
      <c r="AS244" s="404"/>
      <c r="AT244" s="426" t="s">
        <v>288</v>
      </c>
      <c r="AU244" s="356" t="n">
        <f aca="false">IFERROR(IF($M244=AT244,($D$8+$D$9+$D$10)*$I244,IF($N244=LEFT(AT244,1),($D$8+MAX(0,IF($D$50=1,$D$9*(1-(ABS($Q244-ABS(VALUE(MID(AT244,FIND("|",AT244)+1,FIND("-",AT244)-FIND("|",AT244)-1))-VALUE(MID(AT244,FIND("-",AT244)+1,10)))))*$D$50),$D$9*(1-(IF($N244="X",ABS($O244-VALUE(MID(AT244,FIND("|",AT244)+1,FIND("-",AT244)-FIND("|",AT244)-1))),ABS($Q244-ABS(VALUE(MID(AT244,FIND("|",AT244)+1,FIND("-",AT244)-FIND("|",AT244)-1))-VALUE(MID(AT244,FIND("-",AT244)+1,10)))))*$D$50)))))*$I244,0)),0)</f>
        <v>0</v>
      </c>
      <c r="AV244" s="404"/>
      <c r="AW244" s="426" t="s">
        <v>268</v>
      </c>
      <c r="AX244" s="356" t="n">
        <f aca="false">IFERROR(IF($M244=AW244,($D$8+$D$9+$D$10)*$I244,IF($N244=LEFT(AW244,1),($D$8+MAX(0,IF($D$50=1,$D$9*(1-(ABS($Q244-ABS(VALUE(MID(AW244,FIND("|",AW244)+1,FIND("-",AW244)-FIND("|",AW244)-1))-VALUE(MID(AW244,FIND("-",AW244)+1,10)))))*$D$50),$D$9*(1-(IF($N244="X",ABS($O244-VALUE(MID(AW244,FIND("|",AW244)+1,FIND("-",AW244)-FIND("|",AW244)-1))),ABS($Q244-ABS(VALUE(MID(AW244,FIND("|",AW244)+1,FIND("-",AW244)-FIND("|",AW244)-1))-VALUE(MID(AW244,FIND("-",AW244)+1,10)))))*$D$50)))))*$I244,0)),0)</f>
        <v>0</v>
      </c>
      <c r="AY244" s="431"/>
      <c r="AZ244" s="426" t="s">
        <v>266</v>
      </c>
      <c r="BA244" s="356" t="n">
        <f aca="false">IFERROR(IF($M244=AZ244,($D$8+$D$9+$D$10)*$I244,IF($N244=LEFT(AZ244,1),($D$8+MAX(0,IF($D$50=1,$D$9*(1-(ABS($Q244-ABS(VALUE(MID(AZ244,FIND("|",AZ244)+1,FIND("-",AZ244)-FIND("|",AZ244)-1))-VALUE(MID(AZ244,FIND("-",AZ244)+1,10)))))*$D$50),$D$9*(1-(IF($N244="X",ABS($O244-VALUE(MID(AZ244,FIND("|",AZ244)+1,FIND("-",AZ244)-FIND("|",AZ244)-1))),ABS($Q244-ABS(VALUE(MID(AZ244,FIND("|",AZ244)+1,FIND("-",AZ244)-FIND("|",AZ244)-1))-VALUE(MID(AZ244,FIND("-",AZ244)+1,10)))))*$D$50)))))*$I244,0)),0)</f>
        <v>0</v>
      </c>
      <c r="BB244" s="404"/>
      <c r="BC244" s="426" t="s">
        <v>272</v>
      </c>
      <c r="BD244" s="356" t="n">
        <f aca="false">IFERROR(IF($M244=BC244,($D$8+$D$9+$D$10)*$I244,IF($N244=LEFT(BC244,1),($D$8+MAX(0,IF($D$50=1,$D$9*(1-(ABS($Q244-ABS(VALUE(MID(BC244,FIND("|",BC244)+1,FIND("-",BC244)-FIND("|",BC244)-1))-VALUE(MID(BC244,FIND("-",BC244)+1,10)))))*$D$50),$D$9*(1-(IF($N244="X",ABS($O244-VALUE(MID(BC244,FIND("|",BC244)+1,FIND("-",BC244)-FIND("|",BC244)-1))),ABS($Q244-ABS(VALUE(MID(BC244,FIND("|",BC244)+1,FIND("-",BC244)-FIND("|",BC244)-1))-VALUE(MID(BC244,FIND("-",BC244)+1,10)))))*$D$50)))))*$I244,0)),0)</f>
        <v>0</v>
      </c>
      <c r="BE244" s="404"/>
      <c r="BF244" s="426" t="s">
        <v>264</v>
      </c>
      <c r="BG244" s="356" t="n">
        <f aca="false">IFERROR(IF($M244=BF244,($D$8+$D$9+$D$10)*$I244,IF($N244=LEFT(BF244,1),($D$8+MAX(0,IF($D$50=1,$D$9*(1-(ABS($Q244-ABS(VALUE(MID(BF244,FIND("|",BF244)+1,FIND("-",BF244)-FIND("|",BF244)-1))-VALUE(MID(BF244,FIND("-",BF244)+1,10)))))*$D$50),$D$9*(1-(IF($N244="X",ABS($O244-VALUE(MID(BF244,FIND("|",BF244)+1,FIND("-",BF244)-FIND("|",BF244)-1))),ABS($Q244-ABS(VALUE(MID(BF244,FIND("|",BF244)+1,FIND("-",BF244)-FIND("|",BF244)-1))-VALUE(MID(BF244,FIND("-",BF244)+1,10)))))*$D$50)))))*$I244,0)),0)</f>
        <v>0</v>
      </c>
      <c r="BH244" s="404"/>
      <c r="BI244" s="426" t="s">
        <v>264</v>
      </c>
      <c r="BJ244" s="356" t="n">
        <f aca="false">IFERROR(IF($M244=BI244,($D$8+$D$9+$D$10)*$I244,IF($N244=LEFT(BI244,1),($D$8+MAX(0,IF($D$50=1,$D$9*(1-(ABS($Q244-ABS(VALUE(MID(BI244,FIND("|",BI244)+1,FIND("-",BI244)-FIND("|",BI244)-1))-VALUE(MID(BI244,FIND("-",BI244)+1,10)))))*$D$50),$D$9*(1-(IF($N244="X",ABS($O244-VALUE(MID(BI244,FIND("|",BI244)+1,FIND("-",BI244)-FIND("|",BI244)-1))),ABS($Q244-ABS(VALUE(MID(BI244,FIND("|",BI244)+1,FIND("-",BI244)-FIND("|",BI244)-1))-VALUE(MID(BI244,FIND("-",BI244)+1,10)))))*$D$50)))))*$I244,0)),0)</f>
        <v>0</v>
      </c>
      <c r="BK244" s="404"/>
      <c r="BL244" s="426" t="s">
        <v>288</v>
      </c>
      <c r="BM244" s="356" t="n">
        <f aca="false">IFERROR(IF($M244=BL244,($D$8+$D$9+$D$10)*$I244,IF($N244=LEFT(BL244,1),($D$8+MAX(0,IF($D$50=1,$D$9*(1-(ABS($Q244-ABS(VALUE(MID(BL244,FIND("|",BL244)+1,FIND("-",BL244)-FIND("|",BL244)-1))-VALUE(MID(BL244,FIND("-",BL244)+1,10)))))*$D$50),$D$9*(1-(IF($N244="X",ABS($O244-VALUE(MID(BL244,FIND("|",BL244)+1,FIND("-",BL244)-FIND("|",BL244)-1))),ABS($Q244-ABS(VALUE(MID(BL244,FIND("|",BL244)+1,FIND("-",BL244)-FIND("|",BL244)-1))-VALUE(MID(BL244,FIND("-",BL244)+1,10)))))*$D$50)))))*$I244,0)),0)</f>
        <v>0</v>
      </c>
      <c r="BN244" s="431"/>
      <c r="BO244" s="426" t="s">
        <v>264</v>
      </c>
      <c r="BP244" s="356" t="n">
        <f aca="false">IFERROR(IF($M244=BO244,($D$8+$D$9+$D$10)*$I244,IF($N244=LEFT(BO244,1),($D$8+MAX(0,IF($D$50=1,$D$9*(1-(ABS($Q244-ABS(VALUE(MID(BO244,FIND("|",BO244)+1,FIND("-",BO244)-FIND("|",BO244)-1))-VALUE(MID(BO244,FIND("-",BO244)+1,10)))))*$D$50),$D$9*(1-(IF($N244="X",ABS($O244-VALUE(MID(BO244,FIND("|",BO244)+1,FIND("-",BO244)-FIND("|",BO244)-1))),ABS($Q244-ABS(VALUE(MID(BO244,FIND("|",BO244)+1,FIND("-",BO244)-FIND("|",BO244)-1))-VALUE(MID(BO244,FIND("-",BO244)+1,10)))))*$D$50)))))*$I244,0)),0)</f>
        <v>0</v>
      </c>
      <c r="BQ244" s="404"/>
      <c r="BR244" s="426" t="s">
        <v>264</v>
      </c>
      <c r="BS244" s="356" t="n">
        <f aca="false">IFERROR(IF($M244=BR244,($D$8+$D$9+$D$10)*$I244,IF($N244=LEFT(BR244,1),($D$8+MAX(0,IF($D$50=1,$D$9*(1-(ABS($Q244-ABS(VALUE(MID(BR244,FIND("|",BR244)+1,FIND("-",BR244)-FIND("|",BR244)-1))-VALUE(MID(BR244,FIND("-",BR244)+1,10)))))*$D$50),$D$9*(1-(IF($N244="X",ABS($O244-VALUE(MID(BR244,FIND("|",BR244)+1,FIND("-",BR244)-FIND("|",BR244)-1))),ABS($Q244-ABS(VALUE(MID(BR244,FIND("|",BR244)+1,FIND("-",BR244)-FIND("|",BR244)-1))-VALUE(MID(BR244,FIND("-",BR244)+1,10)))))*$D$50)))))*$I244,0)),0)</f>
        <v>0</v>
      </c>
      <c r="BT244" s="404"/>
      <c r="BU244" s="426" t="str">
        <f aca="false">Idiomas!$D$371</f>
        <v>Pegar valores 3º-4º puesto y Final</v>
      </c>
      <c r="BV244" s="356" t="n">
        <f aca="false">IFERROR(IF($M244=BU244,($D$8+$D$9+$D$10)*$I244,IF($N244=LEFT(BU244,1),($D$8+MAX(0,IF($D$50=1,$D$9*(1-(ABS($Q244-ABS(VALUE(MID(BU244,FIND("|",BU244)+1,FIND("-",BU244)-FIND("|",BU244)-1))-VALUE(MID(BU244,FIND("-",BU244)+1,10)))))*$D$50),$D$9*(1-(IF($N244="X",ABS($O244-VALUE(MID(BU244,FIND("|",BU244)+1,FIND("-",BU244)-FIND("|",BU244)-1))),ABS($Q244-ABS(VALUE(MID(BU244,FIND("|",BU244)+1,FIND("-",BU244)-FIND("|",BU244)-1))-VALUE(MID(BU244,FIND("-",BU244)+1,10)))))*$D$50)))))*$I244,0)),0)</f>
        <v>0</v>
      </c>
      <c r="BW244" s="404"/>
      <c r="BX244" s="426" t="str">
        <f aca="false">Idiomas!$D$371</f>
        <v>Pegar valores 3º-4º puesto y Final</v>
      </c>
      <c r="BY244" s="356" t="n">
        <f aca="false">IFERROR(IF($M244=BX244,($D$8+$D$9+$D$10)*$I244,IF($N244=LEFT(BX244,1),($D$8+MAX(0,IF($D$50=1,$D$9*(1-(ABS($Q244-ABS(VALUE(MID(BX244,FIND("|",BX244)+1,FIND("-",BX244)-FIND("|",BX244)-1))-VALUE(MID(BX244,FIND("-",BX244)+1,10)))))*$D$50),$D$9*(1-(IF($N244="X",ABS($O244-VALUE(MID(BX244,FIND("|",BX244)+1,FIND("-",BX244)-FIND("|",BX244)-1))),ABS($Q244-ABS(VALUE(MID(BX244,FIND("|",BX244)+1,FIND("-",BX244)-FIND("|",BX244)-1))-VALUE(MID(BX244,FIND("-",BX244)+1,10)))))*$D$50)))))*$I244,0)),0)</f>
        <v>0</v>
      </c>
      <c r="BZ244" s="404"/>
      <c r="CA244" s="426" t="str">
        <f aca="false">Idiomas!$D$371</f>
        <v>Pegar valores 3º-4º puesto y Final</v>
      </c>
      <c r="CB244" s="356" t="n">
        <f aca="false">IFERROR(IF($M244=CA244,($D$8+$D$9+$D$10)*$I244,IF($N244=LEFT(CA244,1),($D$8+MAX(0,IF($D$50=1,$D$9*(1-(ABS($Q244-ABS(VALUE(MID(CA244,FIND("|",CA244)+1,FIND("-",CA244)-FIND("|",CA244)-1))-VALUE(MID(CA244,FIND("-",CA244)+1,10)))))*$D$50),$D$9*(1-(IF($N244="X",ABS($O244-VALUE(MID(CA244,FIND("|",CA244)+1,FIND("-",CA244)-FIND("|",CA244)-1))),ABS($Q244-ABS(VALUE(MID(CA244,FIND("|",CA244)+1,FIND("-",CA244)-FIND("|",CA244)-1))-VALUE(MID(CA244,FIND("-",CA244)+1,10)))))*$D$50)))))*$I244,0)),0)</f>
        <v>0</v>
      </c>
      <c r="CC244" s="431"/>
      <c r="CD244" s="426" t="str">
        <f aca="false">Idiomas!$D$371</f>
        <v>Pegar valores 3º-4º puesto y Final</v>
      </c>
      <c r="CE244" s="356" t="n">
        <f aca="false">IFERROR(IF($M244=CD244,($D$8+$D$9+$D$10)*$I244,IF($N244=LEFT(CD244,1),($D$8+MAX(0,IF($D$50=1,$D$9*(1-(ABS($Q244-ABS(VALUE(MID(CD244,FIND("|",CD244)+1,FIND("-",CD244)-FIND("|",CD244)-1))-VALUE(MID(CD244,FIND("-",CD244)+1,10)))))*$D$50),$D$9*(1-(IF($N244="X",ABS($O244-VALUE(MID(CD244,FIND("|",CD244)+1,FIND("-",CD244)-FIND("|",CD244)-1))),ABS($Q244-ABS(VALUE(MID(CD244,FIND("|",CD244)+1,FIND("-",CD244)-FIND("|",CD244)-1))-VALUE(MID(CD244,FIND("-",CD244)+1,10)))))*$D$50)))))*$I244,0)),0)</f>
        <v>0</v>
      </c>
      <c r="CF244" s="404"/>
      <c r="CG244" s="426" t="str">
        <f aca="false">Idiomas!$D$371</f>
        <v>Pegar valores 3º-4º puesto y Final</v>
      </c>
      <c r="CH244" s="356" t="n">
        <f aca="false">IFERROR(IF($M244=CG244,($D$8+$D$9+$D$10)*$I244,IF($N244=LEFT(CG244,1),($D$8+MAX(0,IF($D$50=1,$D$9*(1-(ABS($Q244-ABS(VALUE(MID(CG244,FIND("|",CG244)+1,FIND("-",CG244)-FIND("|",CG244)-1))-VALUE(MID(CG244,FIND("-",CG244)+1,10)))))*$D$50),$D$9*(1-(IF($N244="X",ABS($O244-VALUE(MID(CG244,FIND("|",CG244)+1,FIND("-",CG244)-FIND("|",CG244)-1))),ABS($Q244-ABS(VALUE(MID(CG244,FIND("|",CG244)+1,FIND("-",CG244)-FIND("|",CG244)-1))-VALUE(MID(CG244,FIND("-",CG244)+1,10)))))*$D$50)))))*$I244,0)),0)</f>
        <v>0</v>
      </c>
      <c r="CI244" s="404"/>
      <c r="CJ244" s="426" t="str">
        <f aca="false">Idiomas!$D$371</f>
        <v>Pegar valores 3º-4º puesto y Final</v>
      </c>
      <c r="CK244" s="356" t="n">
        <f aca="false">IFERROR(IF($M244=CJ244,($D$8+$D$9+$D$10)*$I244,IF($N244=LEFT(CJ244,1),($D$8+MAX(0,IF($D$50=1,$D$9*(1-(ABS($Q244-ABS(VALUE(MID(CJ244,FIND("|",CJ244)+1,FIND("-",CJ244)-FIND("|",CJ244)-1))-VALUE(MID(CJ244,FIND("-",CJ244)+1,10)))))*$D$50),$D$9*(1-(IF($N244="X",ABS($O244-VALUE(MID(CJ244,FIND("|",CJ244)+1,FIND("-",CJ244)-FIND("|",CJ244)-1))),ABS($Q244-ABS(VALUE(MID(CJ244,FIND("|",CJ244)+1,FIND("-",CJ244)-FIND("|",CJ244)-1))-VALUE(MID(CJ244,FIND("-",CJ244)+1,10)))))*$D$50)))))*$I244,0)),0)</f>
        <v>0</v>
      </c>
      <c r="CL244" s="404"/>
      <c r="CM244" s="426" t="str">
        <f aca="false">Idiomas!$D$371</f>
        <v>Pegar valores 3º-4º puesto y Final</v>
      </c>
      <c r="CN244" s="356" t="n">
        <f aca="false">IFERROR(IF($M244=CM244,($D$8+$D$9+$D$10)*$I244,IF($N244=LEFT(CM244,1),($D$8+MAX(0,IF($D$50=1,$D$9*(1-(ABS($Q244-ABS(VALUE(MID(CM244,FIND("|",CM244)+1,FIND("-",CM244)-FIND("|",CM244)-1))-VALUE(MID(CM244,FIND("-",CM244)+1,10)))))*$D$50),$D$9*(1-(IF($N244="X",ABS($O244-VALUE(MID(CM244,FIND("|",CM244)+1,FIND("-",CM244)-FIND("|",CM244)-1))),ABS($Q244-ABS(VALUE(MID(CM244,FIND("|",CM244)+1,FIND("-",CM244)-FIND("|",CM244)-1))-VALUE(MID(CM244,FIND("-",CM244)+1,10)))))*$D$50)))))*$I244,0)),0)</f>
        <v>0</v>
      </c>
      <c r="CO244" s="404"/>
      <c r="CP244" s="426" t="str">
        <f aca="false">Idiomas!$D$371</f>
        <v>Pegar valores 3º-4º puesto y Final</v>
      </c>
      <c r="CQ244" s="356" t="n">
        <f aca="false">IFERROR(IF($M244=CP244,($D$8+$D$9+$D$10)*$I244,IF($N244=LEFT(CP244,1),($D$8+MAX(0,IF($D$50=1,$D$9*(1-(ABS($Q244-ABS(VALUE(MID(CP244,FIND("|",CP244)+1,FIND("-",CP244)-FIND("|",CP244)-1))-VALUE(MID(CP244,FIND("-",CP244)+1,10)))))*$D$50),$D$9*(1-(IF($N244="X",ABS($O244-VALUE(MID(CP244,FIND("|",CP244)+1,FIND("-",CP244)-FIND("|",CP244)-1))),ABS($Q244-ABS(VALUE(MID(CP244,FIND("|",CP244)+1,FIND("-",CP244)-FIND("|",CP244)-1))-VALUE(MID(CP244,FIND("-",CP244)+1,10)))))*$D$50)))))*$I244,0)),0)</f>
        <v>0</v>
      </c>
      <c r="CR244" s="431"/>
      <c r="CS244" s="426" t="str">
        <f aca="false">Idiomas!$D$371</f>
        <v>Pegar valores 3º-4º puesto y Final</v>
      </c>
      <c r="CT244" s="356" t="n">
        <f aca="false">IFERROR(IF($M244=CS244,($D$8+$D$9+$D$10)*$I244,IF($N244=LEFT(CS244,1),($D$8+MAX(0,IF($D$50=1,$D$9*(1-(ABS($Q244-ABS(VALUE(MID(CS244,FIND("|",CS244)+1,FIND("-",CS244)-FIND("|",CS244)-1))-VALUE(MID(CS244,FIND("-",CS244)+1,10)))))*$D$50),$D$9*(1-(IF($N244="X",ABS($O244-VALUE(MID(CS244,FIND("|",CS244)+1,FIND("-",CS244)-FIND("|",CS244)-1))),ABS($Q244-ABS(VALUE(MID(CS244,FIND("|",CS244)+1,FIND("-",CS244)-FIND("|",CS244)-1))-VALUE(MID(CS244,FIND("-",CS244)+1,10)))))*$D$50)))))*$I244,0)),0)</f>
        <v>0</v>
      </c>
      <c r="CU244" s="404"/>
      <c r="CV244" s="426" t="str">
        <f aca="false">Idiomas!$D$371</f>
        <v>Pegar valores 3º-4º puesto y Final</v>
      </c>
      <c r="CW244" s="356" t="n">
        <f aca="false">IFERROR(IF($M244=CV244,($D$8+$D$9+$D$10)*$I244,IF($N244=LEFT(CV244,1),($D$8+MAX(0,IF($D$50=1,$D$9*(1-(ABS($Q244-ABS(VALUE(MID(CV244,FIND("|",CV244)+1,FIND("-",CV244)-FIND("|",CV244)-1))-VALUE(MID(CV244,FIND("-",CV244)+1,10)))))*$D$50),$D$9*(1-(IF($N244="X",ABS($O244-VALUE(MID(CV244,FIND("|",CV244)+1,FIND("-",CV244)-FIND("|",CV244)-1))),ABS($Q244-ABS(VALUE(MID(CV244,FIND("|",CV244)+1,FIND("-",CV244)-FIND("|",CV244)-1))-VALUE(MID(CV244,FIND("-",CV244)+1,10)))))*$D$50)))))*$I244,0)),0)</f>
        <v>0</v>
      </c>
      <c r="CX244" s="404"/>
      <c r="CY244" s="426" t="str">
        <f aca="false">Idiomas!$D$371</f>
        <v>Pegar valores 3º-4º puesto y Final</v>
      </c>
      <c r="CZ244" s="356" t="n">
        <f aca="false">IFERROR(IF($M244=CY244,($D$8+$D$9+$D$10)*$I244,IF($N244=LEFT(CY244,1),($D$8+MAX(0,IF($D$50=1,$D$9*(1-(ABS($Q244-ABS(VALUE(MID(CY244,FIND("|",CY244)+1,FIND("-",CY244)-FIND("|",CY244)-1))-VALUE(MID(CY244,FIND("-",CY244)+1,10)))))*$D$50),$D$9*(1-(IF($N244="X",ABS($O244-VALUE(MID(CY244,FIND("|",CY244)+1,FIND("-",CY244)-FIND("|",CY244)-1))),ABS($Q244-ABS(VALUE(MID(CY244,FIND("|",CY244)+1,FIND("-",CY244)-FIND("|",CY244)-1))-VALUE(MID(CY244,FIND("-",CY244)+1,10)))))*$D$50)))))*$I244,0)),0)</f>
        <v>0</v>
      </c>
      <c r="DA244" s="404"/>
      <c r="DB244" s="426" t="str">
        <f aca="false">Idiomas!$D$371</f>
        <v>Pegar valores 3º-4º puesto y Final</v>
      </c>
      <c r="DC244" s="356" t="n">
        <f aca="false">IFERROR(IF($M244=DB244,($D$8+$D$9+$D$10)*$I244,IF($N244=LEFT(DB244,1),($D$8+MAX(0,IF($D$50=1,$D$9*(1-(ABS($Q244-ABS(VALUE(MID(DB244,FIND("|",DB244)+1,FIND("-",DB244)-FIND("|",DB244)-1))-VALUE(MID(DB244,FIND("-",DB244)+1,10)))))*$D$50),$D$9*(1-(IF($N244="X",ABS($O244-VALUE(MID(DB244,FIND("|",DB244)+1,FIND("-",DB244)-FIND("|",DB244)-1))),ABS($Q244-ABS(VALUE(MID(DB244,FIND("|",DB244)+1,FIND("-",DB244)-FIND("|",DB244)-1))-VALUE(MID(DB244,FIND("-",DB244)+1,10)))))*$D$50)))))*$I244,0)),0)</f>
        <v>0</v>
      </c>
      <c r="DD244" s="404"/>
      <c r="DE244" s="426" t="str">
        <f aca="false">Idiomas!$D$371</f>
        <v>Pegar valores 3º-4º puesto y Final</v>
      </c>
      <c r="DF244" s="356" t="n">
        <f aca="false">IFERROR(IF($M244=DE244,($D$8+$D$9+$D$10)*$I244,IF($N244=LEFT(DE244,1),($D$8+MAX(0,IF($D$50=1,$D$9*(1-(ABS($Q244-ABS(VALUE(MID(DE244,FIND("|",DE244)+1,FIND("-",DE244)-FIND("|",DE244)-1))-VALUE(MID(DE244,FIND("-",DE244)+1,10)))))*$D$50),$D$9*(1-(IF($N244="X",ABS($O244-VALUE(MID(DE244,FIND("|",DE244)+1,FIND("-",DE244)-FIND("|",DE244)-1))),ABS($Q244-ABS(VALUE(MID(DE244,FIND("|",DE244)+1,FIND("-",DE244)-FIND("|",DE244)-1))-VALUE(MID(DE244,FIND("-",DE244)+1,10)))))*$D$50)))))*$I244,0)),0)</f>
        <v>0</v>
      </c>
      <c r="DG244" s="431"/>
      <c r="DH244" s="426" t="str">
        <f aca="false">Idiomas!$D$371</f>
        <v>Pegar valores 3º-4º puesto y Final</v>
      </c>
      <c r="DI244" s="356" t="n">
        <f aca="false">IFERROR(IF($M244=DH244,($D$8+$D$9+$D$10)*$I244,IF($N244=LEFT(DH244,1),($D$8+MAX(0,IF($D$50=1,$D$9*(1-(ABS($Q244-ABS(VALUE(MID(DH244,FIND("|",DH244)+1,FIND("-",DH244)-FIND("|",DH244)-1))-VALUE(MID(DH244,FIND("-",DH244)+1,10)))))*$D$50),$D$9*(1-(IF($N244="X",ABS($O244-VALUE(MID(DH244,FIND("|",DH244)+1,FIND("-",DH244)-FIND("|",DH244)-1))),ABS($Q244-ABS(VALUE(MID(DH244,FIND("|",DH244)+1,FIND("-",DH244)-FIND("|",DH244)-1))-VALUE(MID(DH244,FIND("-",DH244)+1,10)))))*$D$50)))))*$I244,0)),0)</f>
        <v>0</v>
      </c>
      <c r="DJ244" s="404"/>
      <c r="DK244" s="426" t="str">
        <f aca="false">Idiomas!$D$371</f>
        <v>Pegar valores 3º-4º puesto y Final</v>
      </c>
      <c r="DL244" s="356" t="n">
        <f aca="false">IFERROR(IF($M244=DK244,($D$8+$D$9+$D$10)*$I244,IF($N244=LEFT(DK244,1),($D$8+MAX(0,IF($D$50=1,$D$9*(1-(ABS($Q244-ABS(VALUE(MID(DK244,FIND("|",DK244)+1,FIND("-",DK244)-FIND("|",DK244)-1))-VALUE(MID(DK244,FIND("-",DK244)+1,10)))))*$D$50),$D$9*(1-(IF($N244="X",ABS($O244-VALUE(MID(DK244,FIND("|",DK244)+1,FIND("-",DK244)-FIND("|",DK244)-1))),ABS($Q244-ABS(VALUE(MID(DK244,FIND("|",DK244)+1,FIND("-",DK244)-FIND("|",DK244)-1))-VALUE(MID(DK244,FIND("-",DK244)+1,10)))))*$D$50)))))*$I244,0)),0)</f>
        <v>0</v>
      </c>
      <c r="DM244" s="404"/>
      <c r="DN244" s="426" t="str">
        <f aca="false">Idiomas!$D$371</f>
        <v>Pegar valores 3º-4º puesto y Final</v>
      </c>
      <c r="DO244" s="356" t="n">
        <f aca="false">IFERROR(IF($M244=DN244,($D$8+$D$9+$D$10)*$I244,IF($N244=LEFT(DN244,1),($D$8+MAX(0,IF($D$50=1,$D$9*(1-(ABS($Q244-ABS(VALUE(MID(DN244,FIND("|",DN244)+1,FIND("-",DN244)-FIND("|",DN244)-1))-VALUE(MID(DN244,FIND("-",DN244)+1,10)))))*$D$50),$D$9*(1-(IF($N244="X",ABS($O244-VALUE(MID(DN244,FIND("|",DN244)+1,FIND("-",DN244)-FIND("|",DN244)-1))),ABS($Q244-ABS(VALUE(MID(DN244,FIND("|",DN244)+1,FIND("-",DN244)-FIND("|",DN244)-1))-VALUE(MID(DN244,FIND("-",DN244)+1,10)))))*$D$50)))))*$I244,0)),0)</f>
        <v>0</v>
      </c>
      <c r="DP244" s="404"/>
      <c r="DQ244" s="426" t="str">
        <f aca="false">Idiomas!$D$371</f>
        <v>Pegar valores 3º-4º puesto y Final</v>
      </c>
      <c r="DR244" s="356" t="n">
        <f aca="false">IFERROR(IF($M244=DQ244,($D$8+$D$9+$D$10)*$I244,IF($N244=LEFT(DQ244,1),($D$8+MAX(0,IF($D$50=1,$D$9*(1-(ABS($Q244-ABS(VALUE(MID(DQ244,FIND("|",DQ244)+1,FIND("-",DQ244)-FIND("|",DQ244)-1))-VALUE(MID(DQ244,FIND("-",DQ244)+1,10)))))*$D$50),$D$9*(1-(IF($N244="X",ABS($O244-VALUE(MID(DQ244,FIND("|",DQ244)+1,FIND("-",DQ244)-FIND("|",DQ244)-1))),ABS($Q244-ABS(VALUE(MID(DQ244,FIND("|",DQ244)+1,FIND("-",DQ244)-FIND("|",DQ244)-1))-VALUE(MID(DQ244,FIND("-",DQ244)+1,10)))))*$D$50)))))*$I244,0)),0)</f>
        <v>0</v>
      </c>
      <c r="DS244" s="404"/>
      <c r="DT244" s="426" t="str">
        <f aca="false">Idiomas!$D$371</f>
        <v>Pegar valores 3º-4º puesto y Final</v>
      </c>
      <c r="DU244" s="356" t="n">
        <f aca="false">IFERROR(IF($M244=DT244,($D$8+$D$9+$D$10)*$I244,IF($N244=LEFT(DT244,1),($D$8+MAX(0,IF($D$50=1,$D$9*(1-(ABS($Q244-ABS(VALUE(MID(DT244,FIND("|",DT244)+1,FIND("-",DT244)-FIND("|",DT244)-1))-VALUE(MID(DT244,FIND("-",DT244)+1,10)))))*$D$50),$D$9*(1-(IF($N244="X",ABS($O244-VALUE(MID(DT244,FIND("|",DT244)+1,FIND("-",DT244)-FIND("|",DT244)-1))),ABS($Q244-ABS(VALUE(MID(DT244,FIND("|",DT244)+1,FIND("-",DT244)-FIND("|",DT244)-1))-VALUE(MID(DT244,FIND("-",DT244)+1,10)))))*$D$50)))))*$I244,0)),0)</f>
        <v>0</v>
      </c>
      <c r="DV244" s="431"/>
      <c r="DW244" s="426" t="str">
        <f aca="false">Idiomas!$D$371</f>
        <v>Pegar valores 3º-4º puesto y Final</v>
      </c>
      <c r="DX244" s="356" t="n">
        <f aca="false">IFERROR(IF($M244=DW244,($D$8+$D$9+$D$10)*$I244,IF($N244=LEFT(DW244,1),($D$8+MAX(0,IF($D$50=1,$D$9*(1-(ABS($Q244-ABS(VALUE(MID(DW244,FIND("|",DW244)+1,FIND("-",DW244)-FIND("|",DW244)-1))-VALUE(MID(DW244,FIND("-",DW244)+1,10)))))*$D$50),$D$9*(1-(IF($N244="X",ABS($O244-VALUE(MID(DW244,FIND("|",DW244)+1,FIND("-",DW244)-FIND("|",DW244)-1))),ABS($Q244-ABS(VALUE(MID(DW244,FIND("|",DW244)+1,FIND("-",DW244)-FIND("|",DW244)-1))-VALUE(MID(DW244,FIND("-",DW244)+1,10)))))*$D$50)))))*$I244,0)),0)</f>
        <v>0</v>
      </c>
      <c r="DY244" s="404"/>
      <c r="DZ244" s="426" t="str">
        <f aca="false">Idiomas!$D$371</f>
        <v>Pegar valores 3º-4º puesto y Final</v>
      </c>
      <c r="EA244" s="356" t="n">
        <f aca="false">IFERROR(IF($M244=DZ244,($D$8+$D$9+$D$10)*$I244,IF($N244=LEFT(DZ244,1),($D$8+MAX(0,IF($D$50=1,$D$9*(1-(ABS($Q244-ABS(VALUE(MID(DZ244,FIND("|",DZ244)+1,FIND("-",DZ244)-FIND("|",DZ244)-1))-VALUE(MID(DZ244,FIND("-",DZ244)+1,10)))))*$D$50),$D$9*(1-(IF($N244="X",ABS($O244-VALUE(MID(DZ244,FIND("|",DZ244)+1,FIND("-",DZ244)-FIND("|",DZ244)-1))),ABS($Q244-ABS(VALUE(MID(DZ244,FIND("|",DZ244)+1,FIND("-",DZ244)-FIND("|",DZ244)-1))-VALUE(MID(DZ244,FIND("-",DZ244)+1,10)))))*$D$50)))))*$I244,0)),0)</f>
        <v>0</v>
      </c>
      <c r="EB244" s="404"/>
      <c r="EC244" s="426" t="str">
        <f aca="false">Idiomas!$D$371</f>
        <v>Pegar valores 3º-4º puesto y Final</v>
      </c>
      <c r="ED244" s="356" t="n">
        <f aca="false">IFERROR(IF($M244=EC244,($D$8+$D$9+$D$10)*$I244,IF($N244=LEFT(EC244,1),($D$8+MAX(0,IF($D$50=1,$D$9*(1-(ABS($Q244-ABS(VALUE(MID(EC244,FIND("|",EC244)+1,FIND("-",EC244)-FIND("|",EC244)-1))-VALUE(MID(EC244,FIND("-",EC244)+1,10)))))*$D$50),$D$9*(1-(IF($N244="X",ABS($O244-VALUE(MID(EC244,FIND("|",EC244)+1,FIND("-",EC244)-FIND("|",EC244)-1))),ABS($Q244-ABS(VALUE(MID(EC244,FIND("|",EC244)+1,FIND("-",EC244)-FIND("|",EC244)-1))-VALUE(MID(EC244,FIND("-",EC244)+1,10)))))*$D$50)))))*$I244,0)),0)</f>
        <v>0</v>
      </c>
      <c r="EE244" s="404"/>
      <c r="EF244" s="426" t="str">
        <f aca="false">Idiomas!$D$371</f>
        <v>Pegar valores 3º-4º puesto y Final</v>
      </c>
      <c r="EG244" s="356" t="n">
        <f aca="false">IFERROR(IF($M244=EF244,($D$8+$D$9+$D$10)*$I244,IF($N244=LEFT(EF244,1),($D$8+MAX(0,IF($D$50=1,$D$9*(1-(ABS($Q244-ABS(VALUE(MID(EF244,FIND("|",EF244)+1,FIND("-",EF244)-FIND("|",EF244)-1))-VALUE(MID(EF244,FIND("-",EF244)+1,10)))))*$D$50),$D$9*(1-(IF($N244="X",ABS($O244-VALUE(MID(EF244,FIND("|",EF244)+1,FIND("-",EF244)-FIND("|",EF244)-1))),ABS($Q244-ABS(VALUE(MID(EF244,FIND("|",EF244)+1,FIND("-",EF244)-FIND("|",EF244)-1))-VALUE(MID(EF244,FIND("-",EF244)+1,10)))))*$D$50)))))*$I244,0)),0)</f>
        <v>0</v>
      </c>
      <c r="EH244" s="404"/>
      <c r="EI244" s="404"/>
    </row>
    <row r="245" customFormat="false" ht="15" hidden="false" customHeight="false" outlineLevel="0" collapsed="false">
      <c r="A245" s="332"/>
      <c r="B245" s="332"/>
      <c r="C245" s="422"/>
      <c r="D245" s="422"/>
      <c r="E245" s="422"/>
      <c r="F245" s="423"/>
      <c r="G245" s="423"/>
      <c r="H245" s="410"/>
      <c r="I245" s="410"/>
      <c r="J245" s="432"/>
      <c r="K245" s="414" t="str">
        <f aca="false">Idiomas!D467</f>
        <v>Partido 3-4</v>
      </c>
      <c r="L245" s="415"/>
      <c r="M245" s="414" t="str">
        <f aca="false">"Max: "&amp;SUM($D$33:$D$35)*$I$244</f>
        <v>Max: 17</v>
      </c>
      <c r="N245" s="332"/>
      <c r="O245" s="332"/>
      <c r="P245" s="332"/>
      <c r="Q245" s="332"/>
      <c r="R245" s="332"/>
      <c r="S245" s="416"/>
      <c r="T245" s="406" t="n">
        <f aca="false">T244</f>
        <v>0</v>
      </c>
      <c r="U245" s="404"/>
      <c r="V245" s="416"/>
      <c r="W245" s="406" t="n">
        <f aca="false">W244</f>
        <v>0</v>
      </c>
      <c r="X245" s="404"/>
      <c r="Y245" s="416"/>
      <c r="Z245" s="406" t="n">
        <f aca="false">Z244</f>
        <v>0</v>
      </c>
      <c r="AA245" s="404"/>
      <c r="AB245" s="405"/>
      <c r="AC245" s="406" t="n">
        <f aca="false">AC244</f>
        <v>0</v>
      </c>
      <c r="AD245" s="404"/>
      <c r="AE245" s="416"/>
      <c r="AF245" s="406" t="n">
        <f aca="false">AF244</f>
        <v>0</v>
      </c>
      <c r="AG245" s="404"/>
      <c r="AH245" s="416"/>
      <c r="AI245" s="406" t="n">
        <f aca="false">AI244</f>
        <v>0</v>
      </c>
      <c r="AJ245" s="404"/>
      <c r="AK245" s="416"/>
      <c r="AL245" s="406" t="n">
        <f aca="false">AL244</f>
        <v>0</v>
      </c>
      <c r="AM245" s="404"/>
      <c r="AN245" s="416"/>
      <c r="AO245" s="406" t="n">
        <f aca="false">AO244</f>
        <v>0</v>
      </c>
      <c r="AP245" s="404"/>
      <c r="AQ245" s="405"/>
      <c r="AR245" s="406" t="n">
        <f aca="false">AR244</f>
        <v>0</v>
      </c>
      <c r="AS245" s="404"/>
      <c r="AT245" s="416"/>
      <c r="AU245" s="406" t="n">
        <f aca="false">AU244</f>
        <v>0</v>
      </c>
      <c r="AV245" s="404"/>
      <c r="AW245" s="416"/>
      <c r="AX245" s="406" t="n">
        <f aca="false">AX244</f>
        <v>0</v>
      </c>
      <c r="AY245" s="404"/>
      <c r="AZ245" s="416"/>
      <c r="BA245" s="406" t="n">
        <f aca="false">BA244</f>
        <v>0</v>
      </c>
      <c r="BB245" s="404"/>
      <c r="BC245" s="416"/>
      <c r="BD245" s="406" t="n">
        <f aca="false">BD244</f>
        <v>0</v>
      </c>
      <c r="BE245" s="404"/>
      <c r="BF245" s="405"/>
      <c r="BG245" s="406" t="n">
        <f aca="false">BG244</f>
        <v>0</v>
      </c>
      <c r="BH245" s="404"/>
      <c r="BI245" s="416"/>
      <c r="BJ245" s="406" t="n">
        <f aca="false">BJ244</f>
        <v>0</v>
      </c>
      <c r="BK245" s="404"/>
      <c r="BL245" s="416"/>
      <c r="BM245" s="406" t="n">
        <f aca="false">BM244</f>
        <v>0</v>
      </c>
      <c r="BN245" s="404"/>
      <c r="BO245" s="416"/>
      <c r="BP245" s="406" t="n">
        <f aca="false">BP244</f>
        <v>0</v>
      </c>
      <c r="BQ245" s="404"/>
      <c r="BR245" s="416"/>
      <c r="BS245" s="406" t="n">
        <f aca="false">BS244</f>
        <v>0</v>
      </c>
      <c r="BT245" s="404"/>
      <c r="BU245" s="405"/>
      <c r="BV245" s="406" t="n">
        <f aca="false">BV244</f>
        <v>0</v>
      </c>
      <c r="BW245" s="404"/>
      <c r="BX245" s="416"/>
      <c r="BY245" s="406" t="n">
        <f aca="false">BY244</f>
        <v>0</v>
      </c>
      <c r="BZ245" s="404"/>
      <c r="CA245" s="416"/>
      <c r="CB245" s="406" t="n">
        <f aca="false">CB244</f>
        <v>0</v>
      </c>
      <c r="CC245" s="404"/>
      <c r="CD245" s="416"/>
      <c r="CE245" s="406" t="n">
        <f aca="false">CE244</f>
        <v>0</v>
      </c>
      <c r="CF245" s="404"/>
      <c r="CG245" s="416"/>
      <c r="CH245" s="406" t="n">
        <f aca="false">CH244</f>
        <v>0</v>
      </c>
      <c r="CI245" s="404"/>
      <c r="CJ245" s="405"/>
      <c r="CK245" s="406" t="n">
        <f aca="false">CK244</f>
        <v>0</v>
      </c>
      <c r="CL245" s="404"/>
      <c r="CM245" s="416"/>
      <c r="CN245" s="406" t="n">
        <f aca="false">CN244</f>
        <v>0</v>
      </c>
      <c r="CO245" s="404"/>
      <c r="CP245" s="416"/>
      <c r="CQ245" s="406" t="n">
        <f aca="false">CQ244</f>
        <v>0</v>
      </c>
      <c r="CR245" s="404"/>
      <c r="CS245" s="416"/>
      <c r="CT245" s="406" t="n">
        <f aca="false">CT244</f>
        <v>0</v>
      </c>
      <c r="CU245" s="404"/>
      <c r="CV245" s="416"/>
      <c r="CW245" s="406" t="n">
        <f aca="false">CW244</f>
        <v>0</v>
      </c>
      <c r="CX245" s="404"/>
      <c r="CY245" s="405"/>
      <c r="CZ245" s="406" t="n">
        <f aca="false">CZ244</f>
        <v>0</v>
      </c>
      <c r="DA245" s="404"/>
      <c r="DB245" s="416"/>
      <c r="DC245" s="406" t="n">
        <f aca="false">DC244</f>
        <v>0</v>
      </c>
      <c r="DD245" s="404"/>
      <c r="DE245" s="416"/>
      <c r="DF245" s="406" t="n">
        <f aca="false">DF244</f>
        <v>0</v>
      </c>
      <c r="DG245" s="404"/>
      <c r="DH245" s="416"/>
      <c r="DI245" s="406" t="n">
        <f aca="false">DI244</f>
        <v>0</v>
      </c>
      <c r="DJ245" s="404"/>
      <c r="DK245" s="416"/>
      <c r="DL245" s="406" t="n">
        <f aca="false">DL244</f>
        <v>0</v>
      </c>
      <c r="DM245" s="404"/>
      <c r="DN245" s="405"/>
      <c r="DO245" s="406" t="n">
        <f aca="false">DO244</f>
        <v>0</v>
      </c>
      <c r="DP245" s="404"/>
      <c r="DQ245" s="416"/>
      <c r="DR245" s="406" t="n">
        <f aca="false">DR244</f>
        <v>0</v>
      </c>
      <c r="DS245" s="404"/>
      <c r="DT245" s="416"/>
      <c r="DU245" s="406" t="n">
        <f aca="false">DU244</f>
        <v>0</v>
      </c>
      <c r="DV245" s="404"/>
      <c r="DW245" s="416"/>
      <c r="DX245" s="406" t="n">
        <f aca="false">DX244</f>
        <v>0</v>
      </c>
      <c r="DY245" s="404"/>
      <c r="DZ245" s="416"/>
      <c r="EA245" s="406" t="n">
        <f aca="false">EA244</f>
        <v>0</v>
      </c>
      <c r="EB245" s="404"/>
      <c r="EC245" s="405"/>
      <c r="ED245" s="406" t="n">
        <f aca="false">ED244</f>
        <v>0</v>
      </c>
      <c r="EE245" s="404"/>
      <c r="EF245" s="416"/>
      <c r="EG245" s="406" t="n">
        <f aca="false">EG244</f>
        <v>0</v>
      </c>
      <c r="EH245" s="404"/>
      <c r="EI245" s="404"/>
    </row>
    <row r="246" customFormat="false" ht="15" hidden="false" customHeight="false" outlineLevel="0" collapsed="false">
      <c r="A246" s="332"/>
      <c r="B246" s="332"/>
      <c r="C246" s="422"/>
      <c r="D246" s="422"/>
      <c r="E246" s="422"/>
      <c r="F246" s="423"/>
      <c r="G246" s="423"/>
      <c r="H246" s="410"/>
      <c r="I246" s="419" t="s">
        <v>244</v>
      </c>
      <c r="J246" s="432"/>
      <c r="K246" s="346" t="str">
        <f aca="false">Idiomas!D148</f>
        <v>ENFRENTAMIENTO FINAL</v>
      </c>
      <c r="L246" s="333"/>
      <c r="M246" s="347"/>
      <c r="N246" s="332"/>
      <c r="O246" s="332"/>
      <c r="P246" s="332"/>
      <c r="Q246" s="332"/>
      <c r="R246" s="332"/>
      <c r="S246" s="416"/>
      <c r="T246" s="406"/>
      <c r="U246" s="404"/>
      <c r="V246" s="416"/>
      <c r="W246" s="406"/>
      <c r="X246" s="404"/>
      <c r="Y246" s="416"/>
      <c r="Z246" s="406"/>
      <c r="AA246" s="404"/>
      <c r="AB246" s="416"/>
      <c r="AC246" s="406"/>
      <c r="AD246" s="404"/>
      <c r="AE246" s="416"/>
      <c r="AF246" s="406"/>
      <c r="AG246" s="404"/>
      <c r="AH246" s="416"/>
      <c r="AI246" s="406"/>
      <c r="AJ246" s="404"/>
      <c r="AK246" s="416"/>
      <c r="AL246" s="406"/>
      <c r="AM246" s="404"/>
      <c r="AN246" s="416"/>
      <c r="AO246" s="406"/>
      <c r="AP246" s="404"/>
      <c r="AQ246" s="416"/>
      <c r="AR246" s="406"/>
      <c r="AS246" s="404"/>
      <c r="AT246" s="416"/>
      <c r="AU246" s="406"/>
      <c r="AV246" s="404"/>
      <c r="AW246" s="416"/>
      <c r="AX246" s="406"/>
      <c r="AY246" s="404"/>
      <c r="AZ246" s="416"/>
      <c r="BA246" s="406"/>
      <c r="BB246" s="404"/>
      <c r="BC246" s="416"/>
      <c r="BD246" s="406"/>
      <c r="BE246" s="404"/>
      <c r="BF246" s="416"/>
      <c r="BG246" s="406"/>
      <c r="BH246" s="404"/>
      <c r="BI246" s="416"/>
      <c r="BJ246" s="406"/>
      <c r="BK246" s="404"/>
      <c r="BL246" s="416"/>
      <c r="BM246" s="406"/>
      <c r="BN246" s="404"/>
      <c r="BO246" s="416"/>
      <c r="BP246" s="406"/>
      <c r="BQ246" s="404"/>
      <c r="BR246" s="416"/>
      <c r="BS246" s="406"/>
      <c r="BT246" s="404"/>
      <c r="BU246" s="416"/>
      <c r="BV246" s="406"/>
      <c r="BW246" s="404"/>
      <c r="BX246" s="416"/>
      <c r="BY246" s="406"/>
      <c r="BZ246" s="404"/>
      <c r="CA246" s="416"/>
      <c r="CB246" s="406"/>
      <c r="CC246" s="404"/>
      <c r="CD246" s="416"/>
      <c r="CE246" s="406"/>
      <c r="CF246" s="404"/>
      <c r="CG246" s="416"/>
      <c r="CH246" s="406"/>
      <c r="CI246" s="404"/>
      <c r="CJ246" s="416"/>
      <c r="CK246" s="406"/>
      <c r="CL246" s="404"/>
      <c r="CM246" s="416"/>
      <c r="CN246" s="406"/>
      <c r="CO246" s="404"/>
      <c r="CP246" s="416"/>
      <c r="CQ246" s="406"/>
      <c r="CR246" s="404"/>
      <c r="CS246" s="416"/>
      <c r="CT246" s="406"/>
      <c r="CU246" s="404"/>
      <c r="CV246" s="416"/>
      <c r="CW246" s="406"/>
      <c r="CX246" s="404"/>
      <c r="CY246" s="416"/>
      <c r="CZ246" s="406"/>
      <c r="DA246" s="404"/>
      <c r="DB246" s="416"/>
      <c r="DC246" s="406"/>
      <c r="DD246" s="404"/>
      <c r="DE246" s="416"/>
      <c r="DF246" s="406"/>
      <c r="DG246" s="404"/>
      <c r="DH246" s="416"/>
      <c r="DI246" s="406"/>
      <c r="DJ246" s="404"/>
      <c r="DK246" s="416"/>
      <c r="DL246" s="406"/>
      <c r="DM246" s="404"/>
      <c r="DN246" s="416"/>
      <c r="DO246" s="406"/>
      <c r="DP246" s="404"/>
      <c r="DQ246" s="416"/>
      <c r="DR246" s="406"/>
      <c r="DS246" s="404"/>
      <c r="DT246" s="416"/>
      <c r="DU246" s="406"/>
      <c r="DV246" s="404"/>
      <c r="DW246" s="416"/>
      <c r="DX246" s="406"/>
      <c r="DY246" s="404"/>
      <c r="DZ246" s="416"/>
      <c r="EA246" s="406"/>
      <c r="EB246" s="404"/>
      <c r="EC246" s="416"/>
      <c r="ED246" s="406"/>
      <c r="EE246" s="404"/>
      <c r="EF246" s="416"/>
      <c r="EG246" s="406"/>
      <c r="EH246" s="404"/>
      <c r="EI246" s="404"/>
    </row>
    <row r="247" customFormat="false" ht="19.7" hidden="false" customHeight="false" outlineLevel="0" collapsed="false">
      <c r="A247" s="332" t="n">
        <f aca="false">WORLDCUP!AD147</f>
        <v>0</v>
      </c>
      <c r="B247" s="332" t="n">
        <f aca="false">WORLDCUP!AC147</f>
        <v>0</v>
      </c>
      <c r="C247" s="422" t="str">
        <f aca="false">CONCATENATE(WORLDCUP!AF147,"-",WORLDCUP!AA147)</f>
        <v>W102-W101</v>
      </c>
      <c r="D247" s="422" t="str">
        <f aca="false">IF(WORLDCUP!AC147&gt;WORLDCUP!AD147,2,IF(WORLDCUP!AC147&lt;WORLDCUP!AD147,1,IF(AND(WORLDCUP!AC147=WORLDCUP!AD147,WORLDCUP!AC147&lt;&gt;"",WORLDCUP!AD147&lt;&gt;""),0,"PD")))</f>
        <v>PD</v>
      </c>
      <c r="E247" s="422" t="str">
        <f aca="false">IF(OR(WORLDCUP!AD147="",WORLDCUP!AC147=""),"-",A247&amp;"-"&amp;B247)</f>
        <v>-</v>
      </c>
      <c r="F247" s="423" t="n">
        <f aca="false">SUM($D$36:$D$38)*$I$247</f>
        <v>17</v>
      </c>
      <c r="G247" s="423" t="n">
        <f aca="false">VLOOKUP(H247,Equipos!$Q$1:$R$25,2,0)</f>
        <v>24</v>
      </c>
      <c r="H247" s="410" t="str">
        <f aca="false">Idiomas!$D$264</f>
        <v>3-4 &amp; Final</v>
      </c>
      <c r="I247" s="425" t="n">
        <v>1</v>
      </c>
      <c r="J247" s="429" t="s">
        <v>120</v>
      </c>
      <c r="K247" s="430" t="str">
        <f aca="false">CONCATENATE(WORLDCUP!AA147,"-",WORLDCUP!AF147)</f>
        <v>W101-W102</v>
      </c>
      <c r="L247" s="430" t="str">
        <f aca="false">IF(OR(WORLDCUP!AC147="",WORLDCUP!AD147=""),"PD",IF(WORLDCUP!AC147&gt;WORLDCUP!AD147,1,IF(WORLDCUP!AC147&lt;WORLDCUP!AD147,2,0)))</f>
        <v>PD</v>
      </c>
      <c r="M247" s="359" t="str">
        <f aca="false">IF(OR(WORLDCUP!AC147="",WORLDCUP!AD147=""),"-",N247&amp;"|"&amp;O247&amp;"-"&amp;P247)</f>
        <v>-</v>
      </c>
      <c r="N247" s="332" t="str">
        <f aca="false">IF(OR(WORLDCUP!AC147="",WORLDCUP!AD147=""),"",IF(WORLDCUP!AC147&gt;WORLDCUP!AD147,"1",IF(WORLDCUP!AC147&lt;WORLDCUP!AD147,"2","X")))</f>
        <v/>
      </c>
      <c r="O247" s="332" t="n">
        <f aca="false">WORLDCUP!AC147</f>
        <v>0</v>
      </c>
      <c r="P247" s="332" t="n">
        <f aca="false">WORLDCUP!AD147</f>
        <v>0</v>
      </c>
      <c r="Q247" s="332" t="n">
        <f aca="false">ABS(O247-P247)</f>
        <v>0</v>
      </c>
      <c r="R247" s="332"/>
      <c r="S247" s="426" t="s">
        <v>277</v>
      </c>
      <c r="T247" s="356" t="n">
        <f aca="false">IFERROR(IF($M247=S247,($D$8+$D$9+$D$10)*$I247,IF($N247=LEFT(S247,1),($D$8+MAX(0,IF($D$50=1,$D$9*(1-(ABS($Q247-ABS(VALUE(MID(S247,FIND("|",S247)+1,FIND("-",S247)-FIND("|",S247)-1))-VALUE(MID(S247,FIND("-",S247)+1,10)))))*$D$50),$D$9*(1-(IF($N247="X",ABS($O247-VALUE(MID(S247,FIND("|",S247)+1,FIND("-",S247)-FIND("|",S247)-1))),ABS($Q247-ABS(VALUE(MID(S247,FIND("|",S247)+1,FIND("-",S247)-FIND("|",S247)-1))-VALUE(MID(S247,FIND("-",S247)+1,10)))))*$D$50)))))*$I247,0)),0)</f>
        <v>0</v>
      </c>
      <c r="U247" s="404"/>
      <c r="V247" s="426" t="s">
        <v>267</v>
      </c>
      <c r="W247" s="356" t="n">
        <f aca="false">IFERROR(IF($M247=V247,($D$8+$D$9+$D$10)*$I247,IF($N247=LEFT(V247,1),($D$8+MAX(0,IF($D$50=1,$D$9*(1-(ABS($Q247-ABS(VALUE(MID(V247,FIND("|",V247)+1,FIND("-",V247)-FIND("|",V247)-1))-VALUE(MID(V247,FIND("-",V247)+1,10)))))*$D$50),$D$9*(1-(IF($N247="X",ABS($O247-VALUE(MID(V247,FIND("|",V247)+1,FIND("-",V247)-FIND("|",V247)-1))),ABS($Q247-ABS(VALUE(MID(V247,FIND("|",V247)+1,FIND("-",V247)-FIND("|",V247)-1))-VALUE(MID(V247,FIND("-",V247)+1,10)))))*$D$50)))))*$I247,0)),0)</f>
        <v>0</v>
      </c>
      <c r="X247" s="404"/>
      <c r="Y247" s="426" t="s">
        <v>268</v>
      </c>
      <c r="Z247" s="356" t="n">
        <f aca="false">IFERROR(IF($M247=Y247,($D$8+$D$9+$D$10)*$I247,IF($N247=LEFT(Y247,1),($D$8+MAX(0,IF($D$50=1,$D$9*(1-(ABS($Q247-ABS(VALUE(MID(Y247,FIND("|",Y247)+1,FIND("-",Y247)-FIND("|",Y247)-1))-VALUE(MID(Y247,FIND("-",Y247)+1,10)))))*$D$50),$D$9*(1-(IF($N247="X",ABS($O247-VALUE(MID(Y247,FIND("|",Y247)+1,FIND("-",Y247)-FIND("|",Y247)-1))),ABS($Q247-ABS(VALUE(MID(Y247,FIND("|",Y247)+1,FIND("-",Y247)-FIND("|",Y247)-1))-VALUE(MID(Y247,FIND("-",Y247)+1,10)))))*$D$50)))))*$I247,0)),0)</f>
        <v>0</v>
      </c>
      <c r="AA247" s="404"/>
      <c r="AB247" s="426" t="s">
        <v>264</v>
      </c>
      <c r="AC247" s="356" t="n">
        <f aca="false">IFERROR(IF($M247=AB247,($D$8+$D$9+$D$10)*$I247,IF($N247=LEFT(AB247,1),($D$8+MAX(0,IF($D$50=1,$D$9*(1-(ABS($Q247-ABS(VALUE(MID(AB247,FIND("|",AB247)+1,FIND("-",AB247)-FIND("|",AB247)-1))-VALUE(MID(AB247,FIND("-",AB247)+1,10)))))*$D$50),$D$9*(1-(IF($N247="X",ABS($O247-VALUE(MID(AB247,FIND("|",AB247)+1,FIND("-",AB247)-FIND("|",AB247)-1))),ABS($Q247-ABS(VALUE(MID(AB247,FIND("|",AB247)+1,FIND("-",AB247)-FIND("|",AB247)-1))-VALUE(MID(AB247,FIND("-",AB247)+1,10)))))*$D$50)))))*$I247,0)),0)</f>
        <v>0</v>
      </c>
      <c r="AD247" s="404"/>
      <c r="AE247" s="426" t="s">
        <v>266</v>
      </c>
      <c r="AF247" s="356" t="n">
        <f aca="false">IFERROR(IF($M247=AE247,($D$8+$D$9+$D$10)*$I247,IF($N247=LEFT(AE247,1),($D$8+MAX(0,IF($D$50=1,$D$9*(1-(ABS($Q247-ABS(VALUE(MID(AE247,FIND("|",AE247)+1,FIND("-",AE247)-FIND("|",AE247)-1))-VALUE(MID(AE247,FIND("-",AE247)+1,10)))))*$D$50),$D$9*(1-(IF($N247="X",ABS($O247-VALUE(MID(AE247,FIND("|",AE247)+1,FIND("-",AE247)-FIND("|",AE247)-1))),ABS($Q247-ABS(VALUE(MID(AE247,FIND("|",AE247)+1,FIND("-",AE247)-FIND("|",AE247)-1))-VALUE(MID(AE247,FIND("-",AE247)+1,10)))))*$D$50)))))*$I247,0)),0)</f>
        <v>0</v>
      </c>
      <c r="AG247" s="404"/>
      <c r="AH247" s="426" t="s">
        <v>288</v>
      </c>
      <c r="AI247" s="356" t="n">
        <f aca="false">IFERROR(IF($M247=AH247,($D$8+$D$9+$D$10)*$I247,IF($N247=LEFT(AH247,1),($D$8+MAX(0,IF($D$50=1,$D$9*(1-(ABS($Q247-ABS(VALUE(MID(AH247,FIND("|",AH247)+1,FIND("-",AH247)-FIND("|",AH247)-1))-VALUE(MID(AH247,FIND("-",AH247)+1,10)))))*$D$50),$D$9*(1-(IF($N247="X",ABS($O247-VALUE(MID(AH247,FIND("|",AH247)+1,FIND("-",AH247)-FIND("|",AH247)-1))),ABS($Q247-ABS(VALUE(MID(AH247,FIND("|",AH247)+1,FIND("-",AH247)-FIND("|",AH247)-1))-VALUE(MID(AH247,FIND("-",AH247)+1,10)))))*$D$50)))))*$I247,0)),0)</f>
        <v>0</v>
      </c>
      <c r="AJ247" s="404"/>
      <c r="AK247" s="426" t="s">
        <v>268</v>
      </c>
      <c r="AL247" s="356" t="n">
        <f aca="false">IFERROR(IF($M247=AK247,($D$8+$D$9+$D$10)*$I247,IF($N247=LEFT(AK247,1),($D$8+MAX(0,IF($D$50=1,$D$9*(1-(ABS($Q247-ABS(VALUE(MID(AK247,FIND("|",AK247)+1,FIND("-",AK247)-FIND("|",AK247)-1))-VALUE(MID(AK247,FIND("-",AK247)+1,10)))))*$D$50),$D$9*(1-(IF($N247="X",ABS($O247-VALUE(MID(AK247,FIND("|",AK247)+1,FIND("-",AK247)-FIND("|",AK247)-1))),ABS($Q247-ABS(VALUE(MID(AK247,FIND("|",AK247)+1,FIND("-",AK247)-FIND("|",AK247)-1))-VALUE(MID(AK247,FIND("-",AK247)+1,10)))))*$D$50)))))*$I247,0)),0)</f>
        <v>0</v>
      </c>
      <c r="AM247" s="404"/>
      <c r="AN247" s="426" t="s">
        <v>264</v>
      </c>
      <c r="AO247" s="356" t="n">
        <f aca="false">IFERROR(IF($M247=AN247,($D$8+$D$9+$D$10)*$I247,IF($N247=LEFT(AN247,1),($D$8+MAX(0,IF($D$50=1,$D$9*(1-(ABS($Q247-ABS(VALUE(MID(AN247,FIND("|",AN247)+1,FIND("-",AN247)-FIND("|",AN247)-1))-VALUE(MID(AN247,FIND("-",AN247)+1,10)))))*$D$50),$D$9*(1-(IF($N247="X",ABS($O247-VALUE(MID(AN247,FIND("|",AN247)+1,FIND("-",AN247)-FIND("|",AN247)-1))),ABS($Q247-ABS(VALUE(MID(AN247,FIND("|",AN247)+1,FIND("-",AN247)-FIND("|",AN247)-1))-VALUE(MID(AN247,FIND("-",AN247)+1,10)))))*$D$50)))))*$I247,0)),0)</f>
        <v>0</v>
      </c>
      <c r="AP247" s="404"/>
      <c r="AQ247" s="426" t="s">
        <v>265</v>
      </c>
      <c r="AR247" s="356" t="n">
        <f aca="false">IFERROR(IF($M247=AQ247,($D$8+$D$9+$D$10)*$I247,IF($N247=LEFT(AQ247,1),($D$8+MAX(0,IF($D$50=1,$D$9*(1-(ABS($Q247-ABS(VALUE(MID(AQ247,FIND("|",AQ247)+1,FIND("-",AQ247)-FIND("|",AQ247)-1))-VALUE(MID(AQ247,FIND("-",AQ247)+1,10)))))*$D$50),$D$9*(1-(IF($N247="X",ABS($O247-VALUE(MID(AQ247,FIND("|",AQ247)+1,FIND("-",AQ247)-FIND("|",AQ247)-1))),ABS($Q247-ABS(VALUE(MID(AQ247,FIND("|",AQ247)+1,FIND("-",AQ247)-FIND("|",AQ247)-1))-VALUE(MID(AQ247,FIND("-",AQ247)+1,10)))))*$D$50)))))*$I247,0)),0)</f>
        <v>0</v>
      </c>
      <c r="AS247" s="404"/>
      <c r="AT247" s="426" t="s">
        <v>266</v>
      </c>
      <c r="AU247" s="356" t="n">
        <f aca="false">IFERROR(IF($M247=AT247,($D$8+$D$9+$D$10)*$I247,IF($N247=LEFT(AT247,1),($D$8+MAX(0,IF($D$50=1,$D$9*(1-(ABS($Q247-ABS(VALUE(MID(AT247,FIND("|",AT247)+1,FIND("-",AT247)-FIND("|",AT247)-1))-VALUE(MID(AT247,FIND("-",AT247)+1,10)))))*$D$50),$D$9*(1-(IF($N247="X",ABS($O247-VALUE(MID(AT247,FIND("|",AT247)+1,FIND("-",AT247)-FIND("|",AT247)-1))),ABS($Q247-ABS(VALUE(MID(AT247,FIND("|",AT247)+1,FIND("-",AT247)-FIND("|",AT247)-1))-VALUE(MID(AT247,FIND("-",AT247)+1,10)))))*$D$50)))))*$I247,0)),0)</f>
        <v>0</v>
      </c>
      <c r="AV247" s="404"/>
      <c r="AW247" s="426" t="s">
        <v>265</v>
      </c>
      <c r="AX247" s="356" t="n">
        <f aca="false">IFERROR(IF($M247=AW247,($D$8+$D$9+$D$10)*$I247,IF($N247=LEFT(AW247,1),($D$8+MAX(0,IF($D$50=1,$D$9*(1-(ABS($Q247-ABS(VALUE(MID(AW247,FIND("|",AW247)+1,FIND("-",AW247)-FIND("|",AW247)-1))-VALUE(MID(AW247,FIND("-",AW247)+1,10)))))*$D$50),$D$9*(1-(IF($N247="X",ABS($O247-VALUE(MID(AW247,FIND("|",AW247)+1,FIND("-",AW247)-FIND("|",AW247)-1))),ABS($Q247-ABS(VALUE(MID(AW247,FIND("|",AW247)+1,FIND("-",AW247)-FIND("|",AW247)-1))-VALUE(MID(AW247,FIND("-",AW247)+1,10)))))*$D$50)))))*$I247,0)),0)</f>
        <v>0</v>
      </c>
      <c r="AY247" s="404"/>
      <c r="AZ247" s="426" t="s">
        <v>265</v>
      </c>
      <c r="BA247" s="356" t="n">
        <f aca="false">IFERROR(IF($M247=AZ247,($D$8+$D$9+$D$10)*$I247,IF($N247=LEFT(AZ247,1),($D$8+MAX(0,IF($D$50=1,$D$9*(1-(ABS($Q247-ABS(VALUE(MID(AZ247,FIND("|",AZ247)+1,FIND("-",AZ247)-FIND("|",AZ247)-1))-VALUE(MID(AZ247,FIND("-",AZ247)+1,10)))))*$D$50),$D$9*(1-(IF($N247="X",ABS($O247-VALUE(MID(AZ247,FIND("|",AZ247)+1,FIND("-",AZ247)-FIND("|",AZ247)-1))),ABS($Q247-ABS(VALUE(MID(AZ247,FIND("|",AZ247)+1,FIND("-",AZ247)-FIND("|",AZ247)-1))-VALUE(MID(AZ247,FIND("-",AZ247)+1,10)))))*$D$50)))))*$I247,0)),0)</f>
        <v>0</v>
      </c>
      <c r="BB247" s="404"/>
      <c r="BC247" s="426" t="s">
        <v>266</v>
      </c>
      <c r="BD247" s="356" t="n">
        <f aca="false">IFERROR(IF($M247=BC247,($D$8+$D$9+$D$10)*$I247,IF($N247=LEFT(BC247,1),($D$8+MAX(0,IF($D$50=1,$D$9*(1-(ABS($Q247-ABS(VALUE(MID(BC247,FIND("|",BC247)+1,FIND("-",BC247)-FIND("|",BC247)-1))-VALUE(MID(BC247,FIND("-",BC247)+1,10)))))*$D$50),$D$9*(1-(IF($N247="X",ABS($O247-VALUE(MID(BC247,FIND("|",BC247)+1,FIND("-",BC247)-FIND("|",BC247)-1))),ABS($Q247-ABS(VALUE(MID(BC247,FIND("|",BC247)+1,FIND("-",BC247)-FIND("|",BC247)-1))-VALUE(MID(BC247,FIND("-",BC247)+1,10)))))*$D$50)))))*$I247,0)),0)</f>
        <v>0</v>
      </c>
      <c r="BE247" s="404"/>
      <c r="BF247" s="426" t="s">
        <v>265</v>
      </c>
      <c r="BG247" s="356" t="n">
        <f aca="false">IFERROR(IF($M247=BF247,($D$8+$D$9+$D$10)*$I247,IF($N247=LEFT(BF247,1),($D$8+MAX(0,IF($D$50=1,$D$9*(1-(ABS($Q247-ABS(VALUE(MID(BF247,FIND("|",BF247)+1,FIND("-",BF247)-FIND("|",BF247)-1))-VALUE(MID(BF247,FIND("-",BF247)+1,10)))))*$D$50),$D$9*(1-(IF($N247="X",ABS($O247-VALUE(MID(BF247,FIND("|",BF247)+1,FIND("-",BF247)-FIND("|",BF247)-1))),ABS($Q247-ABS(VALUE(MID(BF247,FIND("|",BF247)+1,FIND("-",BF247)-FIND("|",BF247)-1))-VALUE(MID(BF247,FIND("-",BF247)+1,10)))))*$D$50)))))*$I247,0)),0)</f>
        <v>0</v>
      </c>
      <c r="BH247" s="404"/>
      <c r="BI247" s="426" t="s">
        <v>264</v>
      </c>
      <c r="BJ247" s="356" t="n">
        <f aca="false">IFERROR(IF($M247=BI247,($D$8+$D$9+$D$10)*$I247,IF($N247=LEFT(BI247,1),($D$8+MAX(0,IF($D$50=1,$D$9*(1-(ABS($Q247-ABS(VALUE(MID(BI247,FIND("|",BI247)+1,FIND("-",BI247)-FIND("|",BI247)-1))-VALUE(MID(BI247,FIND("-",BI247)+1,10)))))*$D$50),$D$9*(1-(IF($N247="X",ABS($O247-VALUE(MID(BI247,FIND("|",BI247)+1,FIND("-",BI247)-FIND("|",BI247)-1))),ABS($Q247-ABS(VALUE(MID(BI247,FIND("|",BI247)+1,FIND("-",BI247)-FIND("|",BI247)-1))-VALUE(MID(BI247,FIND("-",BI247)+1,10)))))*$D$50)))))*$I247,0)),0)</f>
        <v>0</v>
      </c>
      <c r="BK247" s="404"/>
      <c r="BL247" s="426" t="s">
        <v>267</v>
      </c>
      <c r="BM247" s="356" t="n">
        <f aca="false">IFERROR(IF($M247=BL247,($D$8+$D$9+$D$10)*$I247,IF($N247=LEFT(BL247,1),($D$8+MAX(0,IF($D$50=1,$D$9*(1-(ABS($Q247-ABS(VALUE(MID(BL247,FIND("|",BL247)+1,FIND("-",BL247)-FIND("|",BL247)-1))-VALUE(MID(BL247,FIND("-",BL247)+1,10)))))*$D$50),$D$9*(1-(IF($N247="X",ABS($O247-VALUE(MID(BL247,FIND("|",BL247)+1,FIND("-",BL247)-FIND("|",BL247)-1))),ABS($Q247-ABS(VALUE(MID(BL247,FIND("|",BL247)+1,FIND("-",BL247)-FIND("|",BL247)-1))-VALUE(MID(BL247,FIND("-",BL247)+1,10)))))*$D$50)))))*$I247,0)),0)</f>
        <v>0</v>
      </c>
      <c r="BN247" s="404"/>
      <c r="BO247" s="426" t="s">
        <v>264</v>
      </c>
      <c r="BP247" s="356" t="n">
        <f aca="false">IFERROR(IF($M247=BO247,($D$8+$D$9+$D$10)*$I247,IF($N247=LEFT(BO247,1),($D$8+MAX(0,IF($D$50=1,$D$9*(1-(ABS($Q247-ABS(VALUE(MID(BO247,FIND("|",BO247)+1,FIND("-",BO247)-FIND("|",BO247)-1))-VALUE(MID(BO247,FIND("-",BO247)+1,10)))))*$D$50),$D$9*(1-(IF($N247="X",ABS($O247-VALUE(MID(BO247,FIND("|",BO247)+1,FIND("-",BO247)-FIND("|",BO247)-1))),ABS($Q247-ABS(VALUE(MID(BO247,FIND("|",BO247)+1,FIND("-",BO247)-FIND("|",BO247)-1))-VALUE(MID(BO247,FIND("-",BO247)+1,10)))))*$D$50)))))*$I247,0)),0)</f>
        <v>0</v>
      </c>
      <c r="BQ247" s="404"/>
      <c r="BR247" s="426" t="s">
        <v>268</v>
      </c>
      <c r="BS247" s="356" t="n">
        <f aca="false">IFERROR(IF($M247=BR247,($D$8+$D$9+$D$10)*$I247,IF($N247=LEFT(BR247,1),($D$8+MAX(0,IF($D$50=1,$D$9*(1-(ABS($Q247-ABS(VALUE(MID(BR247,FIND("|",BR247)+1,FIND("-",BR247)-FIND("|",BR247)-1))-VALUE(MID(BR247,FIND("-",BR247)+1,10)))))*$D$50),$D$9*(1-(IF($N247="X",ABS($O247-VALUE(MID(BR247,FIND("|",BR247)+1,FIND("-",BR247)-FIND("|",BR247)-1))),ABS($Q247-ABS(VALUE(MID(BR247,FIND("|",BR247)+1,FIND("-",BR247)-FIND("|",BR247)-1))-VALUE(MID(BR247,FIND("-",BR247)+1,10)))))*$D$50)))))*$I247,0)),0)</f>
        <v>0</v>
      </c>
      <c r="BT247" s="404"/>
      <c r="BU247" s="426"/>
      <c r="BV247" s="356" t="n">
        <f aca="false">IFERROR(IF($M247=BU247,($D$8+$D$9+$D$10)*$I247,IF($N247=LEFT(BU247,1),($D$8+MAX(0,IF($D$50=1,$D$9*(1-(ABS($Q247-ABS(VALUE(MID(BU247,FIND("|",BU247)+1,FIND("-",BU247)-FIND("|",BU247)-1))-VALUE(MID(BU247,FIND("-",BU247)+1,10)))))*$D$50),$D$9*(1-(IF($N247="X",ABS($O247-VALUE(MID(BU247,FIND("|",BU247)+1,FIND("-",BU247)-FIND("|",BU247)-1))),ABS($Q247-ABS(VALUE(MID(BU247,FIND("|",BU247)+1,FIND("-",BU247)-FIND("|",BU247)-1))-VALUE(MID(BU247,FIND("-",BU247)+1,10)))))*$D$50)))))*$I247,0)),0)</f>
        <v>0</v>
      </c>
      <c r="BW247" s="404"/>
      <c r="BX247" s="426"/>
      <c r="BY247" s="356" t="n">
        <f aca="false">IFERROR(IF($M247=BX247,($D$8+$D$9+$D$10)*$I247,IF($N247=LEFT(BX247,1),($D$8+MAX(0,IF($D$50=1,$D$9*(1-(ABS($Q247-ABS(VALUE(MID(BX247,FIND("|",BX247)+1,FIND("-",BX247)-FIND("|",BX247)-1))-VALUE(MID(BX247,FIND("-",BX247)+1,10)))))*$D$50),$D$9*(1-(IF($N247="X",ABS($O247-VALUE(MID(BX247,FIND("|",BX247)+1,FIND("-",BX247)-FIND("|",BX247)-1))),ABS($Q247-ABS(VALUE(MID(BX247,FIND("|",BX247)+1,FIND("-",BX247)-FIND("|",BX247)-1))-VALUE(MID(BX247,FIND("-",BX247)+1,10)))))*$D$50)))))*$I247,0)),0)</f>
        <v>0</v>
      </c>
      <c r="BZ247" s="404"/>
      <c r="CA247" s="426"/>
      <c r="CB247" s="356" t="n">
        <f aca="false">IFERROR(IF($M247=CA247,($D$8+$D$9+$D$10)*$I247,IF($N247=LEFT(CA247,1),($D$8+MAX(0,IF($D$50=1,$D$9*(1-(ABS($Q247-ABS(VALUE(MID(CA247,FIND("|",CA247)+1,FIND("-",CA247)-FIND("|",CA247)-1))-VALUE(MID(CA247,FIND("-",CA247)+1,10)))))*$D$50),$D$9*(1-(IF($N247="X",ABS($O247-VALUE(MID(CA247,FIND("|",CA247)+1,FIND("-",CA247)-FIND("|",CA247)-1))),ABS($Q247-ABS(VALUE(MID(CA247,FIND("|",CA247)+1,FIND("-",CA247)-FIND("|",CA247)-1))-VALUE(MID(CA247,FIND("-",CA247)+1,10)))))*$D$50)))))*$I247,0)),0)</f>
        <v>0</v>
      </c>
      <c r="CC247" s="404"/>
      <c r="CD247" s="426"/>
      <c r="CE247" s="356" t="n">
        <f aca="false">IFERROR(IF($M247=CD247,($D$8+$D$9+$D$10)*$I247,IF($N247=LEFT(CD247,1),($D$8+MAX(0,IF($D$50=1,$D$9*(1-(ABS($Q247-ABS(VALUE(MID(CD247,FIND("|",CD247)+1,FIND("-",CD247)-FIND("|",CD247)-1))-VALUE(MID(CD247,FIND("-",CD247)+1,10)))))*$D$50),$D$9*(1-(IF($N247="X",ABS($O247-VALUE(MID(CD247,FIND("|",CD247)+1,FIND("-",CD247)-FIND("|",CD247)-1))),ABS($Q247-ABS(VALUE(MID(CD247,FIND("|",CD247)+1,FIND("-",CD247)-FIND("|",CD247)-1))-VALUE(MID(CD247,FIND("-",CD247)+1,10)))))*$D$50)))))*$I247,0)),0)</f>
        <v>0</v>
      </c>
      <c r="CF247" s="404"/>
      <c r="CG247" s="426"/>
      <c r="CH247" s="356" t="n">
        <f aca="false">IFERROR(IF($M247=CG247,($D$8+$D$9+$D$10)*$I247,IF($N247=LEFT(CG247,1),($D$8+MAX(0,IF($D$50=1,$D$9*(1-(ABS($Q247-ABS(VALUE(MID(CG247,FIND("|",CG247)+1,FIND("-",CG247)-FIND("|",CG247)-1))-VALUE(MID(CG247,FIND("-",CG247)+1,10)))))*$D$50),$D$9*(1-(IF($N247="X",ABS($O247-VALUE(MID(CG247,FIND("|",CG247)+1,FIND("-",CG247)-FIND("|",CG247)-1))),ABS($Q247-ABS(VALUE(MID(CG247,FIND("|",CG247)+1,FIND("-",CG247)-FIND("|",CG247)-1))-VALUE(MID(CG247,FIND("-",CG247)+1,10)))))*$D$50)))))*$I247,0)),0)</f>
        <v>0</v>
      </c>
      <c r="CI247" s="404"/>
      <c r="CJ247" s="426"/>
      <c r="CK247" s="356" t="n">
        <f aca="false">IFERROR(IF($M247=CJ247,($D$8+$D$9+$D$10)*$I247,IF($N247=LEFT(CJ247,1),($D$8+MAX(0,IF($D$50=1,$D$9*(1-(ABS($Q247-ABS(VALUE(MID(CJ247,FIND("|",CJ247)+1,FIND("-",CJ247)-FIND("|",CJ247)-1))-VALUE(MID(CJ247,FIND("-",CJ247)+1,10)))))*$D$50),$D$9*(1-(IF($N247="X",ABS($O247-VALUE(MID(CJ247,FIND("|",CJ247)+1,FIND("-",CJ247)-FIND("|",CJ247)-1))),ABS($Q247-ABS(VALUE(MID(CJ247,FIND("|",CJ247)+1,FIND("-",CJ247)-FIND("|",CJ247)-1))-VALUE(MID(CJ247,FIND("-",CJ247)+1,10)))))*$D$50)))))*$I247,0)),0)</f>
        <v>0</v>
      </c>
      <c r="CL247" s="404"/>
      <c r="CM247" s="426"/>
      <c r="CN247" s="356" t="n">
        <f aca="false">IFERROR(IF($M247=CM247,($D$8+$D$9+$D$10)*$I247,IF($N247=LEFT(CM247,1),($D$8+MAX(0,IF($D$50=1,$D$9*(1-(ABS($Q247-ABS(VALUE(MID(CM247,FIND("|",CM247)+1,FIND("-",CM247)-FIND("|",CM247)-1))-VALUE(MID(CM247,FIND("-",CM247)+1,10)))))*$D$50),$D$9*(1-(IF($N247="X",ABS($O247-VALUE(MID(CM247,FIND("|",CM247)+1,FIND("-",CM247)-FIND("|",CM247)-1))),ABS($Q247-ABS(VALUE(MID(CM247,FIND("|",CM247)+1,FIND("-",CM247)-FIND("|",CM247)-1))-VALUE(MID(CM247,FIND("-",CM247)+1,10)))))*$D$50)))))*$I247,0)),0)</f>
        <v>0</v>
      </c>
      <c r="CO247" s="404"/>
      <c r="CP247" s="426"/>
      <c r="CQ247" s="356" t="n">
        <f aca="false">IFERROR(IF($M247=CP247,($D$8+$D$9+$D$10)*$I247,IF($N247=LEFT(CP247,1),($D$8+MAX(0,IF($D$50=1,$D$9*(1-(ABS($Q247-ABS(VALUE(MID(CP247,FIND("|",CP247)+1,FIND("-",CP247)-FIND("|",CP247)-1))-VALUE(MID(CP247,FIND("-",CP247)+1,10)))))*$D$50),$D$9*(1-(IF($N247="X",ABS($O247-VALUE(MID(CP247,FIND("|",CP247)+1,FIND("-",CP247)-FIND("|",CP247)-1))),ABS($Q247-ABS(VALUE(MID(CP247,FIND("|",CP247)+1,FIND("-",CP247)-FIND("|",CP247)-1))-VALUE(MID(CP247,FIND("-",CP247)+1,10)))))*$D$50)))))*$I247,0)),0)</f>
        <v>0</v>
      </c>
      <c r="CR247" s="404"/>
      <c r="CS247" s="426"/>
      <c r="CT247" s="356" t="n">
        <f aca="false">IFERROR(IF($M247=CS247,($D$8+$D$9+$D$10)*$I247,IF($N247=LEFT(CS247,1),($D$8+MAX(0,IF($D$50=1,$D$9*(1-(ABS($Q247-ABS(VALUE(MID(CS247,FIND("|",CS247)+1,FIND("-",CS247)-FIND("|",CS247)-1))-VALUE(MID(CS247,FIND("-",CS247)+1,10)))))*$D$50),$D$9*(1-(IF($N247="X",ABS($O247-VALUE(MID(CS247,FIND("|",CS247)+1,FIND("-",CS247)-FIND("|",CS247)-1))),ABS($Q247-ABS(VALUE(MID(CS247,FIND("|",CS247)+1,FIND("-",CS247)-FIND("|",CS247)-1))-VALUE(MID(CS247,FIND("-",CS247)+1,10)))))*$D$50)))))*$I247,0)),0)</f>
        <v>0</v>
      </c>
      <c r="CU247" s="404"/>
      <c r="CV247" s="426"/>
      <c r="CW247" s="356" t="n">
        <f aca="false">IFERROR(IF($M247=CV247,($D$8+$D$9+$D$10)*$I247,IF($N247=LEFT(CV247,1),($D$8+MAX(0,IF($D$50=1,$D$9*(1-(ABS($Q247-ABS(VALUE(MID(CV247,FIND("|",CV247)+1,FIND("-",CV247)-FIND("|",CV247)-1))-VALUE(MID(CV247,FIND("-",CV247)+1,10)))))*$D$50),$D$9*(1-(IF($N247="X",ABS($O247-VALUE(MID(CV247,FIND("|",CV247)+1,FIND("-",CV247)-FIND("|",CV247)-1))),ABS($Q247-ABS(VALUE(MID(CV247,FIND("|",CV247)+1,FIND("-",CV247)-FIND("|",CV247)-1))-VALUE(MID(CV247,FIND("-",CV247)+1,10)))))*$D$50)))))*$I247,0)),0)</f>
        <v>0</v>
      </c>
      <c r="CX247" s="404"/>
      <c r="CY247" s="426"/>
      <c r="CZ247" s="356" t="n">
        <f aca="false">IFERROR(IF($M247=CY247,($D$8+$D$9+$D$10)*$I247,IF($N247=LEFT(CY247,1),($D$8+MAX(0,IF($D$50=1,$D$9*(1-(ABS($Q247-ABS(VALUE(MID(CY247,FIND("|",CY247)+1,FIND("-",CY247)-FIND("|",CY247)-1))-VALUE(MID(CY247,FIND("-",CY247)+1,10)))))*$D$50),$D$9*(1-(IF($N247="X",ABS($O247-VALUE(MID(CY247,FIND("|",CY247)+1,FIND("-",CY247)-FIND("|",CY247)-1))),ABS($Q247-ABS(VALUE(MID(CY247,FIND("|",CY247)+1,FIND("-",CY247)-FIND("|",CY247)-1))-VALUE(MID(CY247,FIND("-",CY247)+1,10)))))*$D$50)))))*$I247,0)),0)</f>
        <v>0</v>
      </c>
      <c r="DA247" s="404"/>
      <c r="DB247" s="426"/>
      <c r="DC247" s="356" t="n">
        <f aca="false">IFERROR(IF($M247=DB247,($D$8+$D$9+$D$10)*$I247,IF($N247=LEFT(DB247,1),($D$8+MAX(0,IF($D$50=1,$D$9*(1-(ABS($Q247-ABS(VALUE(MID(DB247,FIND("|",DB247)+1,FIND("-",DB247)-FIND("|",DB247)-1))-VALUE(MID(DB247,FIND("-",DB247)+1,10)))))*$D$50),$D$9*(1-(IF($N247="X",ABS($O247-VALUE(MID(DB247,FIND("|",DB247)+1,FIND("-",DB247)-FIND("|",DB247)-1))),ABS($Q247-ABS(VALUE(MID(DB247,FIND("|",DB247)+1,FIND("-",DB247)-FIND("|",DB247)-1))-VALUE(MID(DB247,FIND("-",DB247)+1,10)))))*$D$50)))))*$I247,0)),0)</f>
        <v>0</v>
      </c>
      <c r="DD247" s="404"/>
      <c r="DE247" s="426"/>
      <c r="DF247" s="356" t="n">
        <f aca="false">IFERROR(IF($M247=DE247,($D$8+$D$9+$D$10)*$I247,IF($N247=LEFT(DE247,1),($D$8+MAX(0,IF($D$50=1,$D$9*(1-(ABS($Q247-ABS(VALUE(MID(DE247,FIND("|",DE247)+1,FIND("-",DE247)-FIND("|",DE247)-1))-VALUE(MID(DE247,FIND("-",DE247)+1,10)))))*$D$50),$D$9*(1-(IF($N247="X",ABS($O247-VALUE(MID(DE247,FIND("|",DE247)+1,FIND("-",DE247)-FIND("|",DE247)-1))),ABS($Q247-ABS(VALUE(MID(DE247,FIND("|",DE247)+1,FIND("-",DE247)-FIND("|",DE247)-1))-VALUE(MID(DE247,FIND("-",DE247)+1,10)))))*$D$50)))))*$I247,0)),0)</f>
        <v>0</v>
      </c>
      <c r="DG247" s="404"/>
      <c r="DH247" s="426"/>
      <c r="DI247" s="356" t="n">
        <f aca="false">IFERROR(IF($M247=DH247,($D$8+$D$9+$D$10)*$I247,IF($N247=LEFT(DH247,1),($D$8+MAX(0,IF($D$50=1,$D$9*(1-(ABS($Q247-ABS(VALUE(MID(DH247,FIND("|",DH247)+1,FIND("-",DH247)-FIND("|",DH247)-1))-VALUE(MID(DH247,FIND("-",DH247)+1,10)))))*$D$50),$D$9*(1-(IF($N247="X",ABS($O247-VALUE(MID(DH247,FIND("|",DH247)+1,FIND("-",DH247)-FIND("|",DH247)-1))),ABS($Q247-ABS(VALUE(MID(DH247,FIND("|",DH247)+1,FIND("-",DH247)-FIND("|",DH247)-1))-VALUE(MID(DH247,FIND("-",DH247)+1,10)))))*$D$50)))))*$I247,0)),0)</f>
        <v>0</v>
      </c>
      <c r="DJ247" s="404"/>
      <c r="DK247" s="426"/>
      <c r="DL247" s="356" t="n">
        <f aca="false">IFERROR(IF($M247=DK247,($D$8+$D$9+$D$10)*$I247,IF($N247=LEFT(DK247,1),($D$8+MAX(0,IF($D$50=1,$D$9*(1-(ABS($Q247-ABS(VALUE(MID(DK247,FIND("|",DK247)+1,FIND("-",DK247)-FIND("|",DK247)-1))-VALUE(MID(DK247,FIND("-",DK247)+1,10)))))*$D$50),$D$9*(1-(IF($N247="X",ABS($O247-VALUE(MID(DK247,FIND("|",DK247)+1,FIND("-",DK247)-FIND("|",DK247)-1))),ABS($Q247-ABS(VALUE(MID(DK247,FIND("|",DK247)+1,FIND("-",DK247)-FIND("|",DK247)-1))-VALUE(MID(DK247,FIND("-",DK247)+1,10)))))*$D$50)))))*$I247,0)),0)</f>
        <v>0</v>
      </c>
      <c r="DM247" s="404"/>
      <c r="DN247" s="426"/>
      <c r="DO247" s="356" t="n">
        <f aca="false">IFERROR(IF($M247=DN247,($D$8+$D$9+$D$10)*$I247,IF($N247=LEFT(DN247,1),($D$8+MAX(0,IF($D$50=1,$D$9*(1-(ABS($Q247-ABS(VALUE(MID(DN247,FIND("|",DN247)+1,FIND("-",DN247)-FIND("|",DN247)-1))-VALUE(MID(DN247,FIND("-",DN247)+1,10)))))*$D$50),$D$9*(1-(IF($N247="X",ABS($O247-VALUE(MID(DN247,FIND("|",DN247)+1,FIND("-",DN247)-FIND("|",DN247)-1))),ABS($Q247-ABS(VALUE(MID(DN247,FIND("|",DN247)+1,FIND("-",DN247)-FIND("|",DN247)-1))-VALUE(MID(DN247,FIND("-",DN247)+1,10)))))*$D$50)))))*$I247,0)),0)</f>
        <v>0</v>
      </c>
      <c r="DP247" s="404"/>
      <c r="DQ247" s="426"/>
      <c r="DR247" s="356" t="n">
        <f aca="false">IFERROR(IF($M247=DQ247,($D$8+$D$9+$D$10)*$I247,IF($N247=LEFT(DQ247,1),($D$8+MAX(0,IF($D$50=1,$D$9*(1-(ABS($Q247-ABS(VALUE(MID(DQ247,FIND("|",DQ247)+1,FIND("-",DQ247)-FIND("|",DQ247)-1))-VALUE(MID(DQ247,FIND("-",DQ247)+1,10)))))*$D$50),$D$9*(1-(IF($N247="X",ABS($O247-VALUE(MID(DQ247,FIND("|",DQ247)+1,FIND("-",DQ247)-FIND("|",DQ247)-1))),ABS($Q247-ABS(VALUE(MID(DQ247,FIND("|",DQ247)+1,FIND("-",DQ247)-FIND("|",DQ247)-1))-VALUE(MID(DQ247,FIND("-",DQ247)+1,10)))))*$D$50)))))*$I247,0)),0)</f>
        <v>0</v>
      </c>
      <c r="DS247" s="404"/>
      <c r="DT247" s="426"/>
      <c r="DU247" s="356" t="n">
        <f aca="false">IFERROR(IF($M247=DT247,($D$8+$D$9+$D$10)*$I247,IF($N247=LEFT(DT247,1),($D$8+MAX(0,IF($D$50=1,$D$9*(1-(ABS($Q247-ABS(VALUE(MID(DT247,FIND("|",DT247)+1,FIND("-",DT247)-FIND("|",DT247)-1))-VALUE(MID(DT247,FIND("-",DT247)+1,10)))))*$D$50),$D$9*(1-(IF($N247="X",ABS($O247-VALUE(MID(DT247,FIND("|",DT247)+1,FIND("-",DT247)-FIND("|",DT247)-1))),ABS($Q247-ABS(VALUE(MID(DT247,FIND("|",DT247)+1,FIND("-",DT247)-FIND("|",DT247)-1))-VALUE(MID(DT247,FIND("-",DT247)+1,10)))))*$D$50)))))*$I247,0)),0)</f>
        <v>0</v>
      </c>
      <c r="DV247" s="404"/>
      <c r="DW247" s="426"/>
      <c r="DX247" s="356" t="n">
        <f aca="false">IFERROR(IF($M247=DW247,($D$8+$D$9+$D$10)*$I247,IF($N247=LEFT(DW247,1),($D$8+MAX(0,IF($D$50=1,$D$9*(1-(ABS($Q247-ABS(VALUE(MID(DW247,FIND("|",DW247)+1,FIND("-",DW247)-FIND("|",DW247)-1))-VALUE(MID(DW247,FIND("-",DW247)+1,10)))))*$D$50),$D$9*(1-(IF($N247="X",ABS($O247-VALUE(MID(DW247,FIND("|",DW247)+1,FIND("-",DW247)-FIND("|",DW247)-1))),ABS($Q247-ABS(VALUE(MID(DW247,FIND("|",DW247)+1,FIND("-",DW247)-FIND("|",DW247)-1))-VALUE(MID(DW247,FIND("-",DW247)+1,10)))))*$D$50)))))*$I247,0)),0)</f>
        <v>0</v>
      </c>
      <c r="DY247" s="404"/>
      <c r="DZ247" s="426"/>
      <c r="EA247" s="356" t="n">
        <f aca="false">IFERROR(IF($M247=DZ247,($D$8+$D$9+$D$10)*$I247,IF($N247=LEFT(DZ247,1),($D$8+MAX(0,IF($D$50=1,$D$9*(1-(ABS($Q247-ABS(VALUE(MID(DZ247,FIND("|",DZ247)+1,FIND("-",DZ247)-FIND("|",DZ247)-1))-VALUE(MID(DZ247,FIND("-",DZ247)+1,10)))))*$D$50),$D$9*(1-(IF($N247="X",ABS($O247-VALUE(MID(DZ247,FIND("|",DZ247)+1,FIND("-",DZ247)-FIND("|",DZ247)-1))),ABS($Q247-ABS(VALUE(MID(DZ247,FIND("|",DZ247)+1,FIND("-",DZ247)-FIND("|",DZ247)-1))-VALUE(MID(DZ247,FIND("-",DZ247)+1,10)))))*$D$50)))))*$I247,0)),0)</f>
        <v>0</v>
      </c>
      <c r="EB247" s="404"/>
      <c r="EC247" s="426"/>
      <c r="ED247" s="356" t="n">
        <f aca="false">IFERROR(IF($M247=EC247,($D$8+$D$9+$D$10)*$I247,IF($N247=LEFT(EC247,1),($D$8+MAX(0,IF($D$50=1,$D$9*(1-(ABS($Q247-ABS(VALUE(MID(EC247,FIND("|",EC247)+1,FIND("-",EC247)-FIND("|",EC247)-1))-VALUE(MID(EC247,FIND("-",EC247)+1,10)))))*$D$50),$D$9*(1-(IF($N247="X",ABS($O247-VALUE(MID(EC247,FIND("|",EC247)+1,FIND("-",EC247)-FIND("|",EC247)-1))),ABS($Q247-ABS(VALUE(MID(EC247,FIND("|",EC247)+1,FIND("-",EC247)-FIND("|",EC247)-1))-VALUE(MID(EC247,FIND("-",EC247)+1,10)))))*$D$50)))))*$I247,0)),0)</f>
        <v>0</v>
      </c>
      <c r="EE247" s="404"/>
      <c r="EF247" s="426"/>
      <c r="EG247" s="356" t="n">
        <f aca="false">IFERROR(IF($M247=EF247,($D$8+$D$9+$D$10)*$I247,IF($N247=LEFT(EF247,1),($D$8+MAX(0,IF($D$50=1,$D$9*(1-(ABS($Q247-ABS(VALUE(MID(EF247,FIND("|",EF247)+1,FIND("-",EF247)-FIND("|",EF247)-1))-VALUE(MID(EF247,FIND("-",EF247)+1,10)))))*$D$50),$D$9*(1-(IF($N247="X",ABS($O247-VALUE(MID(EF247,FIND("|",EF247)+1,FIND("-",EF247)-FIND("|",EF247)-1))),ABS($Q247-ABS(VALUE(MID(EF247,FIND("|",EF247)+1,FIND("-",EF247)-FIND("|",EF247)-1))-VALUE(MID(EF247,FIND("-",EF247)+1,10)))))*$D$50)))))*$I247,0)),0)</f>
        <v>0</v>
      </c>
      <c r="EH247" s="404"/>
      <c r="EI247" s="404"/>
    </row>
    <row r="248" customFormat="false" ht="15" hidden="false" customHeight="false" outlineLevel="0" collapsed="false">
      <c r="A248" s="332"/>
      <c r="B248" s="332"/>
      <c r="C248" s="422"/>
      <c r="D248" s="422"/>
      <c r="E248" s="422"/>
      <c r="F248" s="423"/>
      <c r="G248" s="423"/>
      <c r="H248" s="410"/>
      <c r="I248" s="410"/>
      <c r="J248" s="413"/>
      <c r="K248" s="414" t="str">
        <f aca="false">Idiomas!D468</f>
        <v>Partido Final</v>
      </c>
      <c r="L248" s="415"/>
      <c r="M248" s="414" t="str">
        <f aca="false">"Max: "&amp;SUM($D$36:$D$38)*$I$247</f>
        <v>Max: 17</v>
      </c>
      <c r="N248" s="332"/>
      <c r="O248" s="332"/>
      <c r="P248" s="332"/>
      <c r="Q248" s="332"/>
      <c r="R248" s="332"/>
      <c r="S248" s="416"/>
      <c r="T248" s="347" t="n">
        <f aca="false">T247</f>
        <v>0</v>
      </c>
      <c r="U248" s="338"/>
      <c r="V248" s="416"/>
      <c r="W248" s="347" t="n">
        <f aca="false">W247</f>
        <v>0</v>
      </c>
      <c r="X248" s="338"/>
      <c r="Y248" s="416"/>
      <c r="Z248" s="347" t="n">
        <f aca="false">Z247</f>
        <v>0</v>
      </c>
      <c r="AA248" s="338"/>
      <c r="AB248" s="416"/>
      <c r="AC248" s="347" t="n">
        <f aca="false">AC247</f>
        <v>0</v>
      </c>
      <c r="AD248" s="338"/>
      <c r="AE248" s="416"/>
      <c r="AF248" s="347" t="n">
        <f aca="false">AF247</f>
        <v>0</v>
      </c>
      <c r="AG248" s="338"/>
      <c r="AH248" s="416"/>
      <c r="AI248" s="347" t="n">
        <f aca="false">AI247</f>
        <v>0</v>
      </c>
      <c r="AJ248" s="338"/>
      <c r="AK248" s="416"/>
      <c r="AL248" s="347" t="n">
        <f aca="false">AL247</f>
        <v>0</v>
      </c>
      <c r="AM248" s="338"/>
      <c r="AN248" s="416"/>
      <c r="AO248" s="347" t="n">
        <f aca="false">AO247</f>
        <v>0</v>
      </c>
      <c r="AP248" s="338"/>
      <c r="AQ248" s="416"/>
      <c r="AR248" s="347" t="n">
        <f aca="false">AR247</f>
        <v>0</v>
      </c>
      <c r="AS248" s="338"/>
      <c r="AT248" s="416"/>
      <c r="AU248" s="347" t="n">
        <f aca="false">AU247</f>
        <v>0</v>
      </c>
      <c r="AV248" s="338"/>
      <c r="AW248" s="416"/>
      <c r="AX248" s="347" t="n">
        <f aca="false">AX247</f>
        <v>0</v>
      </c>
      <c r="AY248" s="338"/>
      <c r="AZ248" s="416"/>
      <c r="BA248" s="347" t="n">
        <f aca="false">BA247</f>
        <v>0</v>
      </c>
      <c r="BB248" s="338"/>
      <c r="BC248" s="416"/>
      <c r="BD248" s="347" t="n">
        <f aca="false">BD247</f>
        <v>0</v>
      </c>
      <c r="BE248" s="338"/>
      <c r="BF248" s="416"/>
      <c r="BG248" s="347" t="n">
        <f aca="false">BG247</f>
        <v>0</v>
      </c>
      <c r="BH248" s="338"/>
      <c r="BI248" s="416"/>
      <c r="BJ248" s="347" t="n">
        <f aca="false">BJ247</f>
        <v>0</v>
      </c>
      <c r="BK248" s="338"/>
      <c r="BL248" s="416"/>
      <c r="BM248" s="347" t="n">
        <f aca="false">BM247</f>
        <v>0</v>
      </c>
      <c r="BN248" s="338"/>
      <c r="BO248" s="416"/>
      <c r="BP248" s="347" t="n">
        <f aca="false">BP247</f>
        <v>0</v>
      </c>
      <c r="BQ248" s="338"/>
      <c r="BR248" s="416"/>
      <c r="BS248" s="347" t="n">
        <f aca="false">BS247</f>
        <v>0</v>
      </c>
      <c r="BT248" s="338"/>
      <c r="BU248" s="416"/>
      <c r="BV248" s="347" t="n">
        <f aca="false">BV247</f>
        <v>0</v>
      </c>
      <c r="BW248" s="338"/>
      <c r="BX248" s="416"/>
      <c r="BY248" s="347" t="n">
        <f aca="false">BY247</f>
        <v>0</v>
      </c>
      <c r="BZ248" s="338"/>
      <c r="CA248" s="416"/>
      <c r="CB248" s="347" t="n">
        <f aca="false">CB247</f>
        <v>0</v>
      </c>
      <c r="CC248" s="338"/>
      <c r="CD248" s="416"/>
      <c r="CE248" s="347" t="n">
        <f aca="false">CE247</f>
        <v>0</v>
      </c>
      <c r="CF248" s="338"/>
      <c r="CG248" s="416"/>
      <c r="CH248" s="347" t="n">
        <f aca="false">CH247</f>
        <v>0</v>
      </c>
      <c r="CI248" s="338"/>
      <c r="CJ248" s="416"/>
      <c r="CK248" s="347" t="n">
        <f aca="false">CK247</f>
        <v>0</v>
      </c>
      <c r="CL248" s="338"/>
      <c r="CM248" s="416"/>
      <c r="CN248" s="347" t="n">
        <f aca="false">CN247</f>
        <v>0</v>
      </c>
      <c r="CO248" s="338"/>
      <c r="CP248" s="416"/>
      <c r="CQ248" s="347" t="n">
        <f aca="false">CQ247</f>
        <v>0</v>
      </c>
      <c r="CR248" s="338"/>
      <c r="CS248" s="416"/>
      <c r="CT248" s="347" t="n">
        <f aca="false">CT247</f>
        <v>0</v>
      </c>
      <c r="CU248" s="338"/>
      <c r="CV248" s="416"/>
      <c r="CW248" s="347" t="n">
        <f aca="false">CW247</f>
        <v>0</v>
      </c>
      <c r="CX248" s="338"/>
      <c r="CY248" s="416"/>
      <c r="CZ248" s="347" t="n">
        <f aca="false">CZ247</f>
        <v>0</v>
      </c>
      <c r="DA248" s="338"/>
      <c r="DB248" s="416"/>
      <c r="DC248" s="347" t="n">
        <f aca="false">DC247</f>
        <v>0</v>
      </c>
      <c r="DD248" s="338"/>
      <c r="DE248" s="416"/>
      <c r="DF248" s="347" t="n">
        <f aca="false">DF247</f>
        <v>0</v>
      </c>
      <c r="DG248" s="338"/>
      <c r="DH248" s="416"/>
      <c r="DI248" s="347" t="n">
        <f aca="false">DI247</f>
        <v>0</v>
      </c>
      <c r="DJ248" s="338"/>
      <c r="DK248" s="416"/>
      <c r="DL248" s="347" t="n">
        <f aca="false">DL247</f>
        <v>0</v>
      </c>
      <c r="DM248" s="338"/>
      <c r="DN248" s="416"/>
      <c r="DO248" s="347" t="n">
        <f aca="false">DO247</f>
        <v>0</v>
      </c>
      <c r="DP248" s="338"/>
      <c r="DQ248" s="416"/>
      <c r="DR248" s="347" t="n">
        <f aca="false">DR247</f>
        <v>0</v>
      </c>
      <c r="DS248" s="338"/>
      <c r="DT248" s="416"/>
      <c r="DU248" s="347" t="n">
        <f aca="false">DU247</f>
        <v>0</v>
      </c>
      <c r="DV248" s="338"/>
      <c r="DW248" s="416"/>
      <c r="DX248" s="347" t="n">
        <f aca="false">DX247</f>
        <v>0</v>
      </c>
      <c r="DY248" s="338"/>
      <c r="DZ248" s="416"/>
      <c r="EA248" s="347" t="n">
        <f aca="false">EA247</f>
        <v>0</v>
      </c>
      <c r="EB248" s="338"/>
      <c r="EC248" s="416"/>
      <c r="ED248" s="347" t="n">
        <f aca="false">ED247</f>
        <v>0</v>
      </c>
      <c r="EE248" s="338"/>
      <c r="EF248" s="416"/>
      <c r="EG248" s="347" t="n">
        <f aca="false">EG247</f>
        <v>0</v>
      </c>
      <c r="EH248" s="338"/>
      <c r="EI248" s="338"/>
    </row>
    <row r="249" customFormat="false" ht="15" hidden="false" customHeight="false" outlineLevel="0" collapsed="false">
      <c r="A249" s="332"/>
      <c r="B249" s="332"/>
      <c r="C249" s="422"/>
      <c r="D249" s="422"/>
      <c r="E249" s="422"/>
      <c r="F249" s="423"/>
      <c r="G249" s="423"/>
      <c r="H249" s="410"/>
      <c r="I249" s="410"/>
      <c r="J249" s="413"/>
      <c r="K249" s="346" t="str">
        <f aca="false">Idiomas!D149</f>
        <v>CUADRO DE HONOR</v>
      </c>
      <c r="L249" s="333"/>
      <c r="M249" s="347"/>
      <c r="N249" s="332"/>
      <c r="O249" s="332"/>
      <c r="P249" s="332"/>
      <c r="Q249" s="332"/>
      <c r="R249" s="332"/>
      <c r="S249" s="416"/>
      <c r="T249" s="347"/>
      <c r="U249" s="338"/>
      <c r="V249" s="416"/>
      <c r="W249" s="347"/>
      <c r="X249" s="338"/>
      <c r="Y249" s="416"/>
      <c r="Z249" s="347"/>
      <c r="AA249" s="338"/>
      <c r="AB249" s="416"/>
      <c r="AC249" s="347"/>
      <c r="AD249" s="338"/>
      <c r="AE249" s="416"/>
      <c r="AF249" s="347"/>
      <c r="AG249" s="338"/>
      <c r="AH249" s="416"/>
      <c r="AI249" s="347"/>
      <c r="AJ249" s="338"/>
      <c r="AK249" s="416"/>
      <c r="AL249" s="347"/>
      <c r="AM249" s="338"/>
      <c r="AN249" s="416"/>
      <c r="AO249" s="347"/>
      <c r="AP249" s="338"/>
      <c r="AQ249" s="416"/>
      <c r="AR249" s="347"/>
      <c r="AS249" s="338"/>
      <c r="AT249" s="416"/>
      <c r="AU249" s="347"/>
      <c r="AV249" s="338"/>
      <c r="AW249" s="416"/>
      <c r="AX249" s="347"/>
      <c r="AY249" s="338"/>
      <c r="AZ249" s="416"/>
      <c r="BA249" s="347"/>
      <c r="BB249" s="338"/>
      <c r="BC249" s="416"/>
      <c r="BD249" s="347"/>
      <c r="BE249" s="338"/>
      <c r="BF249" s="416"/>
      <c r="BG249" s="347"/>
      <c r="BH249" s="338"/>
      <c r="BI249" s="416"/>
      <c r="BJ249" s="347"/>
      <c r="BK249" s="338"/>
      <c r="BL249" s="416"/>
      <c r="BM249" s="347"/>
      <c r="BN249" s="338"/>
      <c r="BO249" s="416"/>
      <c r="BP249" s="347"/>
      <c r="BQ249" s="338"/>
      <c r="BR249" s="416"/>
      <c r="BS249" s="347"/>
      <c r="BT249" s="338"/>
      <c r="BU249" s="416"/>
      <c r="BV249" s="347"/>
      <c r="BW249" s="338"/>
      <c r="BX249" s="416"/>
      <c r="BY249" s="347"/>
      <c r="BZ249" s="338"/>
      <c r="CA249" s="416"/>
      <c r="CB249" s="347"/>
      <c r="CC249" s="338"/>
      <c r="CD249" s="416"/>
      <c r="CE249" s="347"/>
      <c r="CF249" s="338"/>
      <c r="CG249" s="416"/>
      <c r="CH249" s="347"/>
      <c r="CI249" s="338"/>
      <c r="CJ249" s="416"/>
      <c r="CK249" s="347"/>
      <c r="CL249" s="338"/>
      <c r="CM249" s="416"/>
      <c r="CN249" s="347"/>
      <c r="CO249" s="338"/>
      <c r="CP249" s="416"/>
      <c r="CQ249" s="347"/>
      <c r="CR249" s="338"/>
      <c r="CS249" s="416"/>
      <c r="CT249" s="347"/>
      <c r="CU249" s="338"/>
      <c r="CV249" s="416"/>
      <c r="CW249" s="347"/>
      <c r="CX249" s="338"/>
      <c r="CY249" s="416"/>
      <c r="CZ249" s="347"/>
      <c r="DA249" s="338"/>
      <c r="DB249" s="416"/>
      <c r="DC249" s="347"/>
      <c r="DD249" s="338"/>
      <c r="DE249" s="416"/>
      <c r="DF249" s="347"/>
      <c r="DG249" s="338"/>
      <c r="DH249" s="416"/>
      <c r="DI249" s="347"/>
      <c r="DJ249" s="338"/>
      <c r="DK249" s="416"/>
      <c r="DL249" s="347"/>
      <c r="DM249" s="338"/>
      <c r="DN249" s="416"/>
      <c r="DO249" s="347"/>
      <c r="DP249" s="338"/>
      <c r="DQ249" s="416"/>
      <c r="DR249" s="347"/>
      <c r="DS249" s="338"/>
      <c r="DT249" s="416"/>
      <c r="DU249" s="347"/>
      <c r="DV249" s="338"/>
      <c r="DW249" s="416"/>
      <c r="DX249" s="347"/>
      <c r="DY249" s="338"/>
      <c r="DZ249" s="416"/>
      <c r="EA249" s="347"/>
      <c r="EB249" s="338"/>
      <c r="EC249" s="416"/>
      <c r="ED249" s="347"/>
      <c r="EE249" s="338"/>
      <c r="EF249" s="416"/>
      <c r="EG249" s="347"/>
      <c r="EH249" s="338"/>
      <c r="EI249" s="338"/>
    </row>
    <row r="250" customFormat="false" ht="15.75" hidden="false" customHeight="true" outlineLevel="0" collapsed="false">
      <c r="A250" s="332"/>
      <c r="B250" s="332"/>
      <c r="C250" s="422"/>
      <c r="D250" s="422"/>
      <c r="E250" s="422"/>
      <c r="F250" s="423" t="n">
        <f aca="false">D39</f>
        <v>25</v>
      </c>
      <c r="G250" s="423" t="n">
        <f aca="false">VLOOKUP(H250,Equipos!$Q$1:$R$25,2,0)</f>
        <v>24</v>
      </c>
      <c r="H250" s="410" t="str">
        <f aca="false">Idiomas!$D$264</f>
        <v>3-4 &amp; Final</v>
      </c>
      <c r="I250" s="410"/>
      <c r="J250" s="433"/>
      <c r="K250" s="354" t="str">
        <f aca="false">WORLDCUP!W150</f>
        <v>🥇Campeón</v>
      </c>
      <c r="L250" s="354"/>
      <c r="M250" s="359" t="str">
        <f aca="false">WORLDCUP!AA150</f>
        <v>WF</v>
      </c>
      <c r="N250" s="332"/>
      <c r="O250" s="332"/>
      <c r="P250" s="332"/>
      <c r="Q250" s="332"/>
      <c r="R250" s="332"/>
      <c r="S250" s="370" t="s">
        <v>339</v>
      </c>
      <c r="T250" s="371" t="n">
        <f aca="false">COUNTIF($M$250,S250)*$D$39</f>
        <v>0</v>
      </c>
      <c r="U250" s="407"/>
      <c r="V250" s="370" t="s">
        <v>362</v>
      </c>
      <c r="W250" s="371" t="n">
        <f aca="false">COUNTIF($M$250,V250)*$D$39</f>
        <v>0</v>
      </c>
      <c r="X250" s="407"/>
      <c r="Y250" s="370" t="s">
        <v>370</v>
      </c>
      <c r="Z250" s="371" t="n">
        <f aca="false">COUNTIF($M$250,Y250)*$D$39</f>
        <v>0</v>
      </c>
      <c r="AA250" s="407"/>
      <c r="AB250" s="370" t="s">
        <v>362</v>
      </c>
      <c r="AC250" s="371" t="n">
        <f aca="false">COUNTIF($M$250,AB250)*$D$39</f>
        <v>0</v>
      </c>
      <c r="AD250" s="407"/>
      <c r="AE250" s="370" t="s">
        <v>2</v>
      </c>
      <c r="AF250" s="371" t="n">
        <f aca="false">COUNTIF($M$250,AE250)*$D$39</f>
        <v>0</v>
      </c>
      <c r="AG250" s="407"/>
      <c r="AH250" s="370" t="s">
        <v>2</v>
      </c>
      <c r="AI250" s="371" t="n">
        <f aca="false">COUNTIF($M$250,AH250)*$D$39</f>
        <v>0</v>
      </c>
      <c r="AJ250" s="407"/>
      <c r="AK250" s="370" t="s">
        <v>339</v>
      </c>
      <c r="AL250" s="371" t="n">
        <f aca="false">COUNTIF($M$250,AK250)*$D$39</f>
        <v>0</v>
      </c>
      <c r="AM250" s="407"/>
      <c r="AN250" s="370" t="s">
        <v>2</v>
      </c>
      <c r="AO250" s="371" t="n">
        <f aca="false">COUNTIF($M$250,AN250)*$D$39</f>
        <v>0</v>
      </c>
      <c r="AP250" s="407"/>
      <c r="AQ250" s="370" t="s">
        <v>2</v>
      </c>
      <c r="AR250" s="371" t="n">
        <f aca="false">COUNTIF($M$250,AQ250)*$D$39</f>
        <v>0</v>
      </c>
      <c r="AS250" s="407"/>
      <c r="AT250" s="370" t="s">
        <v>2</v>
      </c>
      <c r="AU250" s="371" t="n">
        <f aca="false">COUNTIF($M$250,AT250)*$D$39</f>
        <v>0</v>
      </c>
      <c r="AV250" s="407"/>
      <c r="AW250" s="370" t="s">
        <v>362</v>
      </c>
      <c r="AX250" s="371" t="n">
        <f aca="false">COUNTIF($M$250,AW250)*$D$39</f>
        <v>0</v>
      </c>
      <c r="AY250" s="407"/>
      <c r="AZ250" s="370" t="s">
        <v>362</v>
      </c>
      <c r="BA250" s="371" t="n">
        <f aca="false">COUNTIF($M$250,AZ250)*$D$39</f>
        <v>0</v>
      </c>
      <c r="BB250" s="407"/>
      <c r="BC250" s="370" t="s">
        <v>351</v>
      </c>
      <c r="BD250" s="371" t="n">
        <f aca="false">COUNTIF($M$250,BC250)*$D$39</f>
        <v>0</v>
      </c>
      <c r="BE250" s="407"/>
      <c r="BF250" s="370" t="s">
        <v>2</v>
      </c>
      <c r="BG250" s="371" t="n">
        <f aca="false">COUNTIF($M$250,BF250)*$D$39</f>
        <v>0</v>
      </c>
      <c r="BH250" s="407"/>
      <c r="BI250" s="370" t="s">
        <v>2</v>
      </c>
      <c r="BJ250" s="371" t="n">
        <f aca="false">COUNTIF($M$250,BI250)*$D$39</f>
        <v>0</v>
      </c>
      <c r="BK250" s="407"/>
      <c r="BL250" s="370" t="s">
        <v>2</v>
      </c>
      <c r="BM250" s="371" t="n">
        <f aca="false">COUNTIF($M$250,BL250)*$D$39</f>
        <v>0</v>
      </c>
      <c r="BN250" s="407"/>
      <c r="BO250" s="370" t="s">
        <v>2</v>
      </c>
      <c r="BP250" s="371" t="n">
        <f aca="false">COUNTIF($M$250,BO250)*$D$39</f>
        <v>0</v>
      </c>
      <c r="BQ250" s="407"/>
      <c r="BR250" s="370" t="s">
        <v>366</v>
      </c>
      <c r="BS250" s="371" t="n">
        <f aca="false">COUNTIF($M$250,BR250)*$D$39</f>
        <v>0</v>
      </c>
      <c r="BT250" s="407"/>
      <c r="BU250" s="370"/>
      <c r="BV250" s="371" t="n">
        <f aca="false">COUNTIF($M$250,BU250)*$D$39</f>
        <v>0</v>
      </c>
      <c r="BW250" s="407"/>
      <c r="BX250" s="370"/>
      <c r="BY250" s="371" t="n">
        <f aca="false">COUNTIF($M$250,BX250)*$D$39</f>
        <v>0</v>
      </c>
      <c r="BZ250" s="407"/>
      <c r="CA250" s="370"/>
      <c r="CB250" s="371" t="n">
        <f aca="false">COUNTIF($M$250,CA250)*$D$39</f>
        <v>0</v>
      </c>
      <c r="CC250" s="407"/>
      <c r="CD250" s="370"/>
      <c r="CE250" s="371" t="n">
        <f aca="false">COUNTIF($M$250,CD250)*$D$39</f>
        <v>0</v>
      </c>
      <c r="CF250" s="407"/>
      <c r="CG250" s="370"/>
      <c r="CH250" s="371" t="n">
        <f aca="false">COUNTIF($M$250,CG250)*$D$39</f>
        <v>0</v>
      </c>
      <c r="CI250" s="407"/>
      <c r="CJ250" s="370"/>
      <c r="CK250" s="371" t="n">
        <f aca="false">COUNTIF($M$250,CJ250)*$D$39</f>
        <v>0</v>
      </c>
      <c r="CL250" s="407"/>
      <c r="CM250" s="370"/>
      <c r="CN250" s="371" t="n">
        <f aca="false">COUNTIF($M$250,CM250)*$D$39</f>
        <v>0</v>
      </c>
      <c r="CO250" s="407"/>
      <c r="CP250" s="370"/>
      <c r="CQ250" s="371" t="n">
        <f aca="false">COUNTIF($M$250,CP250)*$D$39</f>
        <v>0</v>
      </c>
      <c r="CR250" s="407"/>
      <c r="CS250" s="370"/>
      <c r="CT250" s="371" t="n">
        <f aca="false">COUNTIF($M$250,CS250)*$D$39</f>
        <v>0</v>
      </c>
      <c r="CU250" s="407"/>
      <c r="CV250" s="370"/>
      <c r="CW250" s="371" t="n">
        <f aca="false">COUNTIF($M$250,CV250)*$D$39</f>
        <v>0</v>
      </c>
      <c r="CX250" s="407"/>
      <c r="CY250" s="370"/>
      <c r="CZ250" s="371" t="n">
        <f aca="false">COUNTIF($M$250,CY250)*$D$39</f>
        <v>0</v>
      </c>
      <c r="DA250" s="407"/>
      <c r="DB250" s="370"/>
      <c r="DC250" s="371" t="n">
        <f aca="false">COUNTIF($M$250,DB250)*$D$39</f>
        <v>0</v>
      </c>
      <c r="DD250" s="407"/>
      <c r="DE250" s="370"/>
      <c r="DF250" s="371" t="n">
        <f aca="false">COUNTIF($M$250,DE250)*$D$39</f>
        <v>0</v>
      </c>
      <c r="DG250" s="407"/>
      <c r="DH250" s="370"/>
      <c r="DI250" s="371" t="n">
        <f aca="false">COUNTIF($M$250,DH250)*$D$39</f>
        <v>0</v>
      </c>
      <c r="DJ250" s="407"/>
      <c r="DK250" s="370"/>
      <c r="DL250" s="371" t="n">
        <f aca="false">COUNTIF($M$250,DK250)*$D$39</f>
        <v>0</v>
      </c>
      <c r="DM250" s="407"/>
      <c r="DN250" s="370"/>
      <c r="DO250" s="371" t="n">
        <f aca="false">COUNTIF($M$250,DN250)*$D$39</f>
        <v>0</v>
      </c>
      <c r="DP250" s="407"/>
      <c r="DQ250" s="370"/>
      <c r="DR250" s="371" t="n">
        <f aca="false">COUNTIF($M$250,DQ250)*$D$39</f>
        <v>0</v>
      </c>
      <c r="DS250" s="407"/>
      <c r="DT250" s="370"/>
      <c r="DU250" s="371" t="n">
        <f aca="false">COUNTIF($M$250,DT250)*$D$39</f>
        <v>0</v>
      </c>
      <c r="DV250" s="407"/>
      <c r="DW250" s="370"/>
      <c r="DX250" s="371" t="n">
        <f aca="false">COUNTIF($M$250,DW250)*$D$39</f>
        <v>0</v>
      </c>
      <c r="DY250" s="407"/>
      <c r="DZ250" s="370"/>
      <c r="EA250" s="371" t="n">
        <f aca="false">COUNTIF($M$250,DZ250)*$D$39</f>
        <v>0</v>
      </c>
      <c r="EB250" s="407"/>
      <c r="EC250" s="370"/>
      <c r="ED250" s="371" t="n">
        <f aca="false">COUNTIF($M$250,EC250)*$D$39</f>
        <v>0</v>
      </c>
      <c r="EE250" s="407"/>
      <c r="EF250" s="370"/>
      <c r="EG250" s="371" t="n">
        <f aca="false">COUNTIF($M$250,EF250)*$D$39</f>
        <v>0</v>
      </c>
      <c r="EH250" s="407"/>
      <c r="EI250" s="407"/>
    </row>
    <row r="251" customFormat="false" ht="15.75" hidden="false" customHeight="true" outlineLevel="0" collapsed="false">
      <c r="A251" s="332"/>
      <c r="B251" s="332"/>
      <c r="C251" s="422"/>
      <c r="D251" s="422"/>
      <c r="E251" s="422"/>
      <c r="F251" s="423" t="n">
        <f aca="false">D40</f>
        <v>20</v>
      </c>
      <c r="G251" s="423" t="n">
        <f aca="false">VLOOKUP(H251,Equipos!$Q$1:$R$25,2,0)</f>
        <v>24</v>
      </c>
      <c r="H251" s="410" t="str">
        <f aca="false">Idiomas!$D$264</f>
        <v>3-4 &amp; Final</v>
      </c>
      <c r="I251" s="410"/>
      <c r="J251" s="434"/>
      <c r="K251" s="367" t="str">
        <f aca="false">WORLDCUP!W151</f>
        <v>🥈Subcampeón</v>
      </c>
      <c r="L251" s="354"/>
      <c r="M251" s="359" t="str">
        <f aca="false">WORLDCUP!AA151</f>
        <v>LF</v>
      </c>
      <c r="N251" s="332"/>
      <c r="O251" s="332"/>
      <c r="P251" s="332"/>
      <c r="Q251" s="332"/>
      <c r="R251" s="332"/>
      <c r="S251" s="363" t="s">
        <v>347</v>
      </c>
      <c r="T251" s="356" t="n">
        <f aca="false">COUNTIF($M$251,S251)*$D$40</f>
        <v>0</v>
      </c>
      <c r="U251" s="407"/>
      <c r="V251" s="363" t="s">
        <v>366</v>
      </c>
      <c r="W251" s="356" t="n">
        <f aca="false">COUNTIF($M$251,V251)*$D$40</f>
        <v>0</v>
      </c>
      <c r="X251" s="407"/>
      <c r="Y251" s="363" t="s">
        <v>2</v>
      </c>
      <c r="Z251" s="356" t="n">
        <f aca="false">COUNTIF($M$251,Y251)*$D$40</f>
        <v>0</v>
      </c>
      <c r="AA251" s="407"/>
      <c r="AB251" s="363" t="s">
        <v>366</v>
      </c>
      <c r="AC251" s="356" t="n">
        <f aca="false">COUNTIF($M$251,AB251)*$D$40</f>
        <v>0</v>
      </c>
      <c r="AD251" s="407"/>
      <c r="AE251" s="363" t="s">
        <v>366</v>
      </c>
      <c r="AF251" s="356" t="n">
        <f aca="false">COUNTIF($M$251,AE251)*$D$40</f>
        <v>0</v>
      </c>
      <c r="AG251" s="407"/>
      <c r="AH251" s="363" t="s">
        <v>374</v>
      </c>
      <c r="AI251" s="356" t="n">
        <f aca="false">COUNTIF($M$251,AH251)*$D$40</f>
        <v>0</v>
      </c>
      <c r="AJ251" s="407"/>
      <c r="AK251" s="363" t="s">
        <v>2</v>
      </c>
      <c r="AL251" s="356" t="n">
        <f aca="false">COUNTIF($M$251,AK251)*$D$40</f>
        <v>0</v>
      </c>
      <c r="AM251" s="407"/>
      <c r="AN251" s="363" t="s">
        <v>339</v>
      </c>
      <c r="AO251" s="356" t="n">
        <f aca="false">COUNTIF($M$251,AN251)*$D$40</f>
        <v>0</v>
      </c>
      <c r="AP251" s="407"/>
      <c r="AQ251" s="363" t="s">
        <v>374</v>
      </c>
      <c r="AR251" s="356" t="n">
        <f aca="false">COUNTIF($M$251,AQ251)*$D$40</f>
        <v>0</v>
      </c>
      <c r="AS251" s="407"/>
      <c r="AT251" s="363" t="s">
        <v>370</v>
      </c>
      <c r="AU251" s="356" t="n">
        <f aca="false">COUNTIF($M$251,AT251)*$D$40</f>
        <v>0</v>
      </c>
      <c r="AV251" s="407"/>
      <c r="AW251" s="363" t="s">
        <v>370</v>
      </c>
      <c r="AX251" s="356" t="n">
        <f aca="false">COUNTIF($M$251,AW251)*$D$40</f>
        <v>0</v>
      </c>
      <c r="AY251" s="407"/>
      <c r="AZ251" s="363" t="s">
        <v>374</v>
      </c>
      <c r="BA251" s="356" t="n">
        <f aca="false">COUNTIF($M$251,AZ251)*$D$40</f>
        <v>0</v>
      </c>
      <c r="BB251" s="407"/>
      <c r="BC251" s="363" t="s">
        <v>375</v>
      </c>
      <c r="BD251" s="356" t="n">
        <f aca="false">COUNTIF($M$251,BC251)*$D$40</f>
        <v>0</v>
      </c>
      <c r="BE251" s="407"/>
      <c r="BF251" s="363" t="s">
        <v>370</v>
      </c>
      <c r="BG251" s="356" t="n">
        <f aca="false">COUNTIF($M$251,BF251)*$D$40</f>
        <v>0</v>
      </c>
      <c r="BH251" s="407"/>
      <c r="BI251" s="363" t="s">
        <v>339</v>
      </c>
      <c r="BJ251" s="356" t="n">
        <f aca="false">COUNTIF($M$251,BI251)*$D$40</f>
        <v>0</v>
      </c>
      <c r="BK251" s="407"/>
      <c r="BL251" s="363" t="s">
        <v>374</v>
      </c>
      <c r="BM251" s="356" t="n">
        <f aca="false">COUNTIF($M$251,BL251)*$D$40</f>
        <v>0</v>
      </c>
      <c r="BN251" s="407"/>
      <c r="BO251" s="363" t="s">
        <v>366</v>
      </c>
      <c r="BP251" s="356" t="n">
        <f aca="false">COUNTIF($M$251,BO251)*$D$40</f>
        <v>0</v>
      </c>
      <c r="BQ251" s="407"/>
      <c r="BR251" s="363" t="s">
        <v>362</v>
      </c>
      <c r="BS251" s="356" t="n">
        <f aca="false">COUNTIF($M$251,BR251)*$D$40</f>
        <v>0</v>
      </c>
      <c r="BT251" s="407"/>
      <c r="BU251" s="363"/>
      <c r="BV251" s="356" t="n">
        <f aca="false">COUNTIF($M$251,BU251)*$D$40</f>
        <v>0</v>
      </c>
      <c r="BW251" s="407"/>
      <c r="BX251" s="363"/>
      <c r="BY251" s="356" t="n">
        <f aca="false">COUNTIF($M$251,BX251)*$D$40</f>
        <v>0</v>
      </c>
      <c r="BZ251" s="407"/>
      <c r="CA251" s="363"/>
      <c r="CB251" s="356" t="n">
        <f aca="false">COUNTIF($M$251,CA251)*$D$40</f>
        <v>0</v>
      </c>
      <c r="CC251" s="407"/>
      <c r="CD251" s="363"/>
      <c r="CE251" s="356" t="n">
        <f aca="false">COUNTIF($M$251,CD251)*$D$40</f>
        <v>0</v>
      </c>
      <c r="CF251" s="407"/>
      <c r="CG251" s="363"/>
      <c r="CH251" s="356" t="n">
        <f aca="false">COUNTIF($M$251,CG251)*$D$40</f>
        <v>0</v>
      </c>
      <c r="CI251" s="407"/>
      <c r="CJ251" s="363"/>
      <c r="CK251" s="356" t="n">
        <f aca="false">COUNTIF($M$251,CJ251)*$D$40</f>
        <v>0</v>
      </c>
      <c r="CL251" s="407"/>
      <c r="CM251" s="363"/>
      <c r="CN251" s="356" t="n">
        <f aca="false">COUNTIF($M$251,CM251)*$D$40</f>
        <v>0</v>
      </c>
      <c r="CO251" s="407"/>
      <c r="CP251" s="363"/>
      <c r="CQ251" s="356" t="n">
        <f aca="false">COUNTIF($M$251,CP251)*$D$40</f>
        <v>0</v>
      </c>
      <c r="CR251" s="407"/>
      <c r="CS251" s="363"/>
      <c r="CT251" s="356" t="n">
        <f aca="false">COUNTIF($M$251,CS251)*$D$40</f>
        <v>0</v>
      </c>
      <c r="CU251" s="407"/>
      <c r="CV251" s="363"/>
      <c r="CW251" s="356" t="n">
        <f aca="false">COUNTIF($M$251,CV251)*$D$40</f>
        <v>0</v>
      </c>
      <c r="CX251" s="407"/>
      <c r="CY251" s="363"/>
      <c r="CZ251" s="356" t="n">
        <f aca="false">COUNTIF($M$251,CY251)*$D$40</f>
        <v>0</v>
      </c>
      <c r="DA251" s="407"/>
      <c r="DB251" s="363"/>
      <c r="DC251" s="356" t="n">
        <f aca="false">COUNTIF($M$251,DB251)*$D$40</f>
        <v>0</v>
      </c>
      <c r="DD251" s="407"/>
      <c r="DE251" s="363"/>
      <c r="DF251" s="356" t="n">
        <f aca="false">COUNTIF($M$251,DE251)*$D$40</f>
        <v>0</v>
      </c>
      <c r="DG251" s="407"/>
      <c r="DH251" s="363"/>
      <c r="DI251" s="356" t="n">
        <f aca="false">COUNTIF($M$251,DH251)*$D$40</f>
        <v>0</v>
      </c>
      <c r="DJ251" s="407"/>
      <c r="DK251" s="363"/>
      <c r="DL251" s="356" t="n">
        <f aca="false">COUNTIF($M$251,DK251)*$D$40</f>
        <v>0</v>
      </c>
      <c r="DM251" s="407"/>
      <c r="DN251" s="363"/>
      <c r="DO251" s="356" t="n">
        <f aca="false">COUNTIF($M$251,DN251)*$D$40</f>
        <v>0</v>
      </c>
      <c r="DP251" s="407"/>
      <c r="DQ251" s="363"/>
      <c r="DR251" s="356" t="n">
        <f aca="false">COUNTIF($M$251,DQ251)*$D$40</f>
        <v>0</v>
      </c>
      <c r="DS251" s="407"/>
      <c r="DT251" s="363"/>
      <c r="DU251" s="356" t="n">
        <f aca="false">COUNTIF($M$251,DT251)*$D$40</f>
        <v>0</v>
      </c>
      <c r="DV251" s="407"/>
      <c r="DW251" s="363"/>
      <c r="DX251" s="356" t="n">
        <f aca="false">COUNTIF($M$251,DW251)*$D$40</f>
        <v>0</v>
      </c>
      <c r="DY251" s="407"/>
      <c r="DZ251" s="363"/>
      <c r="EA251" s="356" t="n">
        <f aca="false">COUNTIF($M$251,DZ251)*$D$40</f>
        <v>0</v>
      </c>
      <c r="EB251" s="407"/>
      <c r="EC251" s="363"/>
      <c r="ED251" s="356" t="n">
        <f aca="false">COUNTIF($M$251,EC251)*$D$40</f>
        <v>0</v>
      </c>
      <c r="EE251" s="407"/>
      <c r="EF251" s="363"/>
      <c r="EG251" s="356" t="n">
        <f aca="false">COUNTIF($M$251,EF251)*$D$40</f>
        <v>0</v>
      </c>
      <c r="EH251" s="407"/>
      <c r="EI251" s="407"/>
    </row>
    <row r="252" customFormat="false" ht="15.75" hidden="false" customHeight="true" outlineLevel="0" collapsed="false">
      <c r="A252" s="332"/>
      <c r="B252" s="332"/>
      <c r="C252" s="422"/>
      <c r="D252" s="422"/>
      <c r="E252" s="422"/>
      <c r="F252" s="423" t="n">
        <f aca="false">D41</f>
        <v>15</v>
      </c>
      <c r="G252" s="423" t="n">
        <f aca="false">VLOOKUP(H252,Equipos!$Q$1:$R$25,2,0)</f>
        <v>24</v>
      </c>
      <c r="H252" s="410" t="str">
        <f aca="false">Idiomas!$D$264</f>
        <v>3-4 &amp; Final</v>
      </c>
      <c r="I252" s="410"/>
      <c r="J252" s="434"/>
      <c r="K252" s="367" t="str">
        <f aca="false">WORLDCUP!W152</f>
        <v>🥉3º puesto</v>
      </c>
      <c r="L252" s="354"/>
      <c r="M252" s="359" t="str">
        <f aca="false">WORLDCUP!AA152</f>
        <v>W34</v>
      </c>
      <c r="N252" s="332"/>
      <c r="O252" s="332"/>
      <c r="P252" s="332"/>
      <c r="Q252" s="332"/>
      <c r="R252" s="332"/>
      <c r="S252" s="363" t="s">
        <v>2</v>
      </c>
      <c r="T252" s="356" t="n">
        <f aca="false">COUNTIF($M$252,S252)*$D$41</f>
        <v>0</v>
      </c>
      <c r="U252" s="407"/>
      <c r="V252" s="363" t="s">
        <v>2</v>
      </c>
      <c r="W252" s="356" t="n">
        <f aca="false">COUNTIF($M$252,V252)*$D$41</f>
        <v>0</v>
      </c>
      <c r="X252" s="407"/>
      <c r="Y252" s="363" t="s">
        <v>339</v>
      </c>
      <c r="Z252" s="356" t="n">
        <f aca="false">COUNTIF($M$252,Y252)*$D$41</f>
        <v>0</v>
      </c>
      <c r="AA252" s="407"/>
      <c r="AB252" s="363" t="s">
        <v>355</v>
      </c>
      <c r="AC252" s="356" t="n">
        <f aca="false">COUNTIF($M$252,AB252)*$D$41</f>
        <v>0</v>
      </c>
      <c r="AD252" s="407"/>
      <c r="AE252" s="363" t="s">
        <v>362</v>
      </c>
      <c r="AF252" s="356" t="n">
        <f aca="false">COUNTIF($M$252,AE252)*$D$41</f>
        <v>0</v>
      </c>
      <c r="AG252" s="407"/>
      <c r="AH252" s="363" t="s">
        <v>362</v>
      </c>
      <c r="AI252" s="356" t="n">
        <f aca="false">COUNTIF($M$252,AH252)*$D$41</f>
        <v>0</v>
      </c>
      <c r="AJ252" s="407"/>
      <c r="AK252" s="363" t="s">
        <v>362</v>
      </c>
      <c r="AL252" s="356" t="n">
        <f aca="false">COUNTIF($M$252,AK252)*$D$41</f>
        <v>0</v>
      </c>
      <c r="AM252" s="407"/>
      <c r="AN252" s="363" t="s">
        <v>347</v>
      </c>
      <c r="AO252" s="356" t="n">
        <f aca="false">COUNTIF($M$252,AN252)*$D$41</f>
        <v>0</v>
      </c>
      <c r="AP252" s="407"/>
      <c r="AQ252" s="363" t="s">
        <v>339</v>
      </c>
      <c r="AR252" s="356" t="n">
        <f aca="false">COUNTIF($M$252,AQ252)*$D$41</f>
        <v>0</v>
      </c>
      <c r="AS252" s="407"/>
      <c r="AT252" s="363" t="s">
        <v>362</v>
      </c>
      <c r="AU252" s="356" t="n">
        <f aca="false">COUNTIF($M$252,AT252)*$D$41</f>
        <v>0</v>
      </c>
      <c r="AV252" s="407"/>
      <c r="AW252" s="363" t="s">
        <v>339</v>
      </c>
      <c r="AX252" s="356" t="n">
        <f aca="false">COUNTIF($M$252,AW252)*$D$41</f>
        <v>0</v>
      </c>
      <c r="AY252" s="407"/>
      <c r="AZ252" s="363" t="s">
        <v>2</v>
      </c>
      <c r="BA252" s="356" t="n">
        <f aca="false">COUNTIF($M$252,AZ252)*$D$41</f>
        <v>0</v>
      </c>
      <c r="BB252" s="407"/>
      <c r="BC252" s="363" t="s">
        <v>2</v>
      </c>
      <c r="BD252" s="356" t="n">
        <f aca="false">COUNTIF($M$252,BC252)*$D$41</f>
        <v>0</v>
      </c>
      <c r="BE252" s="407"/>
      <c r="BF252" s="363" t="s">
        <v>362</v>
      </c>
      <c r="BG252" s="356" t="n">
        <f aca="false">COUNTIF($M$252,BF252)*$D$41</f>
        <v>0</v>
      </c>
      <c r="BH252" s="407"/>
      <c r="BI252" s="363" t="s">
        <v>362</v>
      </c>
      <c r="BJ252" s="356" t="n">
        <f aca="false">COUNTIF($M$252,BI252)*$D$41</f>
        <v>0</v>
      </c>
      <c r="BK252" s="407"/>
      <c r="BL252" s="363" t="s">
        <v>362</v>
      </c>
      <c r="BM252" s="356" t="n">
        <f aca="false">COUNTIF($M$252,BL252)*$D$41</f>
        <v>0</v>
      </c>
      <c r="BN252" s="407"/>
      <c r="BO252" s="363" t="s">
        <v>362</v>
      </c>
      <c r="BP252" s="356" t="n">
        <f aca="false">COUNTIF($M$252,BO252)*$D$41</f>
        <v>0</v>
      </c>
      <c r="BQ252" s="407"/>
      <c r="BR252" s="363" t="s">
        <v>2</v>
      </c>
      <c r="BS252" s="356" t="n">
        <f aca="false">COUNTIF($M$252,BR252)*$D$41</f>
        <v>0</v>
      </c>
      <c r="BT252" s="407"/>
      <c r="BU252" s="363"/>
      <c r="BV252" s="356" t="n">
        <f aca="false">COUNTIF($M$252,BU252)*$D$41</f>
        <v>0</v>
      </c>
      <c r="BW252" s="407"/>
      <c r="BX252" s="363"/>
      <c r="BY252" s="356" t="n">
        <f aca="false">COUNTIF($M$252,BX252)*$D$41</f>
        <v>0</v>
      </c>
      <c r="BZ252" s="407"/>
      <c r="CA252" s="363"/>
      <c r="CB252" s="356" t="n">
        <f aca="false">COUNTIF($M$252,CA252)*$D$41</f>
        <v>0</v>
      </c>
      <c r="CC252" s="407"/>
      <c r="CD252" s="363"/>
      <c r="CE252" s="356" t="n">
        <f aca="false">COUNTIF($M$252,CD252)*$D$41</f>
        <v>0</v>
      </c>
      <c r="CF252" s="407"/>
      <c r="CG252" s="363"/>
      <c r="CH252" s="356" t="n">
        <f aca="false">COUNTIF($M$252,CG252)*$D$41</f>
        <v>0</v>
      </c>
      <c r="CI252" s="407"/>
      <c r="CJ252" s="363"/>
      <c r="CK252" s="356" t="n">
        <f aca="false">COUNTIF($M$252,CJ252)*$D$41</f>
        <v>0</v>
      </c>
      <c r="CL252" s="407"/>
      <c r="CM252" s="363"/>
      <c r="CN252" s="356" t="n">
        <f aca="false">COUNTIF($M$252,CM252)*$D$41</f>
        <v>0</v>
      </c>
      <c r="CO252" s="407"/>
      <c r="CP252" s="363"/>
      <c r="CQ252" s="356" t="n">
        <f aca="false">COUNTIF($M$252,CP252)*$D$41</f>
        <v>0</v>
      </c>
      <c r="CR252" s="407"/>
      <c r="CS252" s="363"/>
      <c r="CT252" s="356" t="n">
        <f aca="false">COUNTIF($M$252,CS252)*$D$41</f>
        <v>0</v>
      </c>
      <c r="CU252" s="407"/>
      <c r="CV252" s="363"/>
      <c r="CW252" s="356" t="n">
        <f aca="false">COUNTIF($M$252,CV252)*$D$41</f>
        <v>0</v>
      </c>
      <c r="CX252" s="407"/>
      <c r="CY252" s="363"/>
      <c r="CZ252" s="356" t="n">
        <f aca="false">COUNTIF($M$252,CY252)*$D$41</f>
        <v>0</v>
      </c>
      <c r="DA252" s="407"/>
      <c r="DB252" s="363"/>
      <c r="DC252" s="356" t="n">
        <f aca="false">COUNTIF($M$252,DB252)*$D$41</f>
        <v>0</v>
      </c>
      <c r="DD252" s="407"/>
      <c r="DE252" s="363"/>
      <c r="DF252" s="356" t="n">
        <f aca="false">COUNTIF($M$252,DE252)*$D$41</f>
        <v>0</v>
      </c>
      <c r="DG252" s="407"/>
      <c r="DH252" s="363"/>
      <c r="DI252" s="356" t="n">
        <f aca="false">COUNTIF($M$252,DH252)*$D$41</f>
        <v>0</v>
      </c>
      <c r="DJ252" s="407"/>
      <c r="DK252" s="363"/>
      <c r="DL252" s="356" t="n">
        <f aca="false">COUNTIF($M$252,DK252)*$D$41</f>
        <v>0</v>
      </c>
      <c r="DM252" s="407"/>
      <c r="DN252" s="363"/>
      <c r="DO252" s="356" t="n">
        <f aca="false">COUNTIF($M$252,DN252)*$D$41</f>
        <v>0</v>
      </c>
      <c r="DP252" s="407"/>
      <c r="DQ252" s="363"/>
      <c r="DR252" s="356" t="n">
        <f aca="false">COUNTIF($M$252,DQ252)*$D$41</f>
        <v>0</v>
      </c>
      <c r="DS252" s="407"/>
      <c r="DT252" s="363"/>
      <c r="DU252" s="356" t="n">
        <f aca="false">COUNTIF($M$252,DT252)*$D$41</f>
        <v>0</v>
      </c>
      <c r="DV252" s="407"/>
      <c r="DW252" s="363"/>
      <c r="DX252" s="356" t="n">
        <f aca="false">COUNTIF($M$252,DW252)*$D$41</f>
        <v>0</v>
      </c>
      <c r="DY252" s="407"/>
      <c r="DZ252" s="363"/>
      <c r="EA252" s="356" t="n">
        <f aca="false">COUNTIF($M$252,DZ252)*$D$41</f>
        <v>0</v>
      </c>
      <c r="EB252" s="407"/>
      <c r="EC252" s="363"/>
      <c r="ED252" s="356" t="n">
        <f aca="false">COUNTIF($M$252,EC252)*$D$41</f>
        <v>0</v>
      </c>
      <c r="EE252" s="407"/>
      <c r="EF252" s="363"/>
      <c r="EG252" s="356" t="n">
        <f aca="false">COUNTIF($M$252,EF252)*$D$41</f>
        <v>0</v>
      </c>
      <c r="EH252" s="407"/>
      <c r="EI252" s="407"/>
    </row>
    <row r="253" customFormat="false" ht="15.75" hidden="false" customHeight="true" outlineLevel="0" collapsed="false">
      <c r="A253" s="332"/>
      <c r="B253" s="332"/>
      <c r="C253" s="422"/>
      <c r="D253" s="422"/>
      <c r="E253" s="422"/>
      <c r="F253" s="423" t="n">
        <f aca="false">D42</f>
        <v>20</v>
      </c>
      <c r="G253" s="423" t="n">
        <f aca="false">VLOOKUP(H253,Equipos!$Q$1:$R$25,2,0)</f>
        <v>24</v>
      </c>
      <c r="H253" s="410" t="str">
        <f aca="false">Idiomas!$D$264</f>
        <v>3-4 &amp; Final</v>
      </c>
      <c r="I253" s="410"/>
      <c r="J253" s="435"/>
      <c r="K253" s="367" t="str">
        <f aca="false">WORLDCUP!W154</f>
        <v>Bota de Oro  (máximo goleador)</v>
      </c>
      <c r="L253" s="354"/>
      <c r="M253" s="359" t="str">
        <f aca="false">WORLDCUP!AA154</f>
        <v>Escribe el jugador Bota de Oro</v>
      </c>
      <c r="N253" s="332"/>
      <c r="O253" s="332"/>
      <c r="P253" s="332"/>
      <c r="Q253" s="332"/>
      <c r="R253" s="332"/>
      <c r="S253" s="363" t="str">
        <f aca="false">+V253</f>
        <v>Mbappé</v>
      </c>
      <c r="T253" s="356" t="n">
        <f aca="false">Goleadores!K2</f>
        <v>0</v>
      </c>
      <c r="U253" s="407"/>
      <c r="V253" s="363" t="s">
        <v>386</v>
      </c>
      <c r="W253" s="356" t="n">
        <f aca="false">T253</f>
        <v>0</v>
      </c>
      <c r="X253" s="407"/>
      <c r="Y253" s="363" t="str">
        <f aca="false">V253</f>
        <v>Mbappé</v>
      </c>
      <c r="Z253" s="356" t="n">
        <f aca="false">W253</f>
        <v>0</v>
      </c>
      <c r="AA253" s="407"/>
      <c r="AB253" s="363" t="s">
        <v>387</v>
      </c>
      <c r="AC253" s="356" t="n">
        <f aca="false">Goleadores!K8</f>
        <v>0</v>
      </c>
      <c r="AD253" s="407"/>
      <c r="AE253" s="363" t="s">
        <v>388</v>
      </c>
      <c r="AF253" s="356" t="n">
        <f aca="false">Goleadores!K10</f>
        <v>0</v>
      </c>
      <c r="AG253" s="407"/>
      <c r="AH253" s="363" t="s">
        <v>389</v>
      </c>
      <c r="AI253" s="356" t="n">
        <f aca="false">Goleadores!K2</f>
        <v>0</v>
      </c>
      <c r="AJ253" s="407"/>
      <c r="AK253" s="363" t="str">
        <f aca="false">AH253</f>
        <v>Mbappe</v>
      </c>
      <c r="AL253" s="356" t="n">
        <f aca="false">AI253</f>
        <v>0</v>
      </c>
      <c r="AM253" s="407"/>
      <c r="AN253" s="363" t="str">
        <f aca="false">AK253</f>
        <v>Mbappe</v>
      </c>
      <c r="AO253" s="356" t="n">
        <f aca="false">AL253</f>
        <v>0</v>
      </c>
      <c r="AP253" s="407"/>
      <c r="AQ253" s="363" t="s">
        <v>390</v>
      </c>
      <c r="AR253" s="356" t="n">
        <f aca="false">+Goleadores!K12</f>
        <v>0</v>
      </c>
      <c r="AS253" s="407"/>
      <c r="AT253" s="363" t="s">
        <v>389</v>
      </c>
      <c r="AU253" s="356" t="n">
        <f aca="false">+AO253</f>
        <v>0</v>
      </c>
      <c r="AV253" s="407"/>
      <c r="AW253" s="363" t="str">
        <f aca="false">+AT253</f>
        <v>Mbappe</v>
      </c>
      <c r="AX253" s="356" t="n">
        <f aca="false">+Goleadores!K2</f>
        <v>0</v>
      </c>
      <c r="AY253" s="407"/>
      <c r="AZ253" s="363" t="s">
        <v>389</v>
      </c>
      <c r="BA253" s="356" t="n">
        <f aca="false">+AX253</f>
        <v>0</v>
      </c>
      <c r="BB253" s="407"/>
      <c r="BC253" s="363" t="s">
        <v>391</v>
      </c>
      <c r="BD253" s="356" t="n">
        <f aca="false">+Goleadores!K3</f>
        <v>0</v>
      </c>
      <c r="BE253" s="407"/>
      <c r="BF253" s="363" t="s">
        <v>391</v>
      </c>
      <c r="BG253" s="356" t="n">
        <f aca="false">+BD253</f>
        <v>0</v>
      </c>
      <c r="BH253" s="407"/>
      <c r="BI253" s="363" t="str">
        <f aca="false">+BC254</f>
        <v>Mbappe</v>
      </c>
      <c r="BJ253" s="356" t="n">
        <f aca="false">+BD254</f>
        <v>0</v>
      </c>
      <c r="BK253" s="407"/>
      <c r="BL253" s="363" t="str">
        <f aca="false">+BI253</f>
        <v>Mbappe</v>
      </c>
      <c r="BM253" s="356" t="n">
        <f aca="false">+BJ253</f>
        <v>0</v>
      </c>
      <c r="BN253" s="407"/>
      <c r="BO253" s="363" t="s">
        <v>389</v>
      </c>
      <c r="BP253" s="356" t="n">
        <f aca="false">+BM253</f>
        <v>0</v>
      </c>
      <c r="BQ253" s="407"/>
      <c r="BR253" s="363" t="s">
        <v>386</v>
      </c>
      <c r="BS253" s="356" t="n">
        <f aca="false">+BP253</f>
        <v>0</v>
      </c>
      <c r="BT253" s="407"/>
      <c r="BU253" s="363" t="str">
        <f aca="false">Idiomas!$D$373</f>
        <v>Pegar Valores Cuadro de Honor</v>
      </c>
      <c r="BV253" s="356" t="n">
        <f aca="false">COUNTIF($M$253,BU253)*$D$42</f>
        <v>0</v>
      </c>
      <c r="BW253" s="407"/>
      <c r="BX253" s="363" t="str">
        <f aca="false">Idiomas!$D$373</f>
        <v>Pegar Valores Cuadro de Honor</v>
      </c>
      <c r="BY253" s="356" t="n">
        <f aca="false">COUNTIF($M$253,BX253)*$D$42</f>
        <v>0</v>
      </c>
      <c r="BZ253" s="407"/>
      <c r="CA253" s="363" t="str">
        <f aca="false">Idiomas!$D$373</f>
        <v>Pegar Valores Cuadro de Honor</v>
      </c>
      <c r="CB253" s="356" t="n">
        <f aca="false">COUNTIF($M$253,CA253)*$D$42</f>
        <v>0</v>
      </c>
      <c r="CC253" s="407"/>
      <c r="CD253" s="363" t="str">
        <f aca="false">Idiomas!$D$373</f>
        <v>Pegar Valores Cuadro de Honor</v>
      </c>
      <c r="CE253" s="356" t="n">
        <f aca="false">COUNTIF($M$253,CD253)*$D$42</f>
        <v>0</v>
      </c>
      <c r="CF253" s="407"/>
      <c r="CG253" s="363" t="str">
        <f aca="false">Idiomas!$D$373</f>
        <v>Pegar Valores Cuadro de Honor</v>
      </c>
      <c r="CH253" s="356" t="n">
        <f aca="false">COUNTIF($M$253,CG253)*$D$42</f>
        <v>0</v>
      </c>
      <c r="CI253" s="407"/>
      <c r="CJ253" s="363" t="str">
        <f aca="false">Idiomas!$D$373</f>
        <v>Pegar Valores Cuadro de Honor</v>
      </c>
      <c r="CK253" s="356" t="n">
        <f aca="false">COUNTIF($M$253,CJ253)*$D$42</f>
        <v>0</v>
      </c>
      <c r="CL253" s="407"/>
      <c r="CM253" s="363" t="str">
        <f aca="false">Idiomas!$D$373</f>
        <v>Pegar Valores Cuadro de Honor</v>
      </c>
      <c r="CN253" s="356" t="n">
        <f aca="false">COUNTIF($M$253,CM253)*$D$42</f>
        <v>0</v>
      </c>
      <c r="CO253" s="407"/>
      <c r="CP253" s="363" t="str">
        <f aca="false">Idiomas!$D$373</f>
        <v>Pegar Valores Cuadro de Honor</v>
      </c>
      <c r="CQ253" s="356" t="n">
        <f aca="false">COUNTIF($M$253,CP253)*$D$42</f>
        <v>0</v>
      </c>
      <c r="CR253" s="407"/>
      <c r="CS253" s="363" t="str">
        <f aca="false">Idiomas!$D$373</f>
        <v>Pegar Valores Cuadro de Honor</v>
      </c>
      <c r="CT253" s="356" t="n">
        <f aca="false">COUNTIF($M$253,CS253)*$D$42</f>
        <v>0</v>
      </c>
      <c r="CU253" s="407"/>
      <c r="CV253" s="363" t="str">
        <f aca="false">Idiomas!$D$373</f>
        <v>Pegar Valores Cuadro de Honor</v>
      </c>
      <c r="CW253" s="356" t="n">
        <f aca="false">COUNTIF($M$253,CV253)*$D$42</f>
        <v>0</v>
      </c>
      <c r="CX253" s="407"/>
      <c r="CY253" s="363" t="str">
        <f aca="false">Idiomas!$D$373</f>
        <v>Pegar Valores Cuadro de Honor</v>
      </c>
      <c r="CZ253" s="356" t="n">
        <f aca="false">COUNTIF($M$253,CY253)*$D$42</f>
        <v>0</v>
      </c>
      <c r="DA253" s="407"/>
      <c r="DB253" s="363" t="str">
        <f aca="false">Idiomas!$D$373</f>
        <v>Pegar Valores Cuadro de Honor</v>
      </c>
      <c r="DC253" s="356" t="n">
        <f aca="false">COUNTIF($M$253,DB253)*$D$42</f>
        <v>0</v>
      </c>
      <c r="DD253" s="407"/>
      <c r="DE253" s="363" t="str">
        <f aca="false">Idiomas!$D$373</f>
        <v>Pegar Valores Cuadro de Honor</v>
      </c>
      <c r="DF253" s="356" t="n">
        <f aca="false">COUNTIF($M$253,DE253)*$D$42</f>
        <v>0</v>
      </c>
      <c r="DG253" s="407"/>
      <c r="DH253" s="363" t="str">
        <f aca="false">Idiomas!$D$373</f>
        <v>Pegar Valores Cuadro de Honor</v>
      </c>
      <c r="DI253" s="356" t="n">
        <f aca="false">COUNTIF($M$253,DH253)*$D$42</f>
        <v>0</v>
      </c>
      <c r="DJ253" s="407"/>
      <c r="DK253" s="363" t="str">
        <f aca="false">Idiomas!$D$373</f>
        <v>Pegar Valores Cuadro de Honor</v>
      </c>
      <c r="DL253" s="356" t="n">
        <f aca="false">COUNTIF($M$253,DK253)*$D$42</f>
        <v>0</v>
      </c>
      <c r="DM253" s="407"/>
      <c r="DN253" s="363" t="str">
        <f aca="false">Idiomas!$D$373</f>
        <v>Pegar Valores Cuadro de Honor</v>
      </c>
      <c r="DO253" s="356" t="n">
        <f aca="false">COUNTIF($M$253,DN253)*$D$42</f>
        <v>0</v>
      </c>
      <c r="DP253" s="407"/>
      <c r="DQ253" s="363" t="str">
        <f aca="false">Idiomas!$D$373</f>
        <v>Pegar Valores Cuadro de Honor</v>
      </c>
      <c r="DR253" s="356" t="n">
        <f aca="false">COUNTIF($M$253,DQ253)*$D$42</f>
        <v>0</v>
      </c>
      <c r="DS253" s="407"/>
      <c r="DT253" s="363" t="str">
        <f aca="false">Idiomas!$D$373</f>
        <v>Pegar Valores Cuadro de Honor</v>
      </c>
      <c r="DU253" s="356" t="n">
        <f aca="false">COUNTIF($M$253,DT253)*$D$42</f>
        <v>0</v>
      </c>
      <c r="DV253" s="407"/>
      <c r="DW253" s="363" t="str">
        <f aca="false">Idiomas!$D$373</f>
        <v>Pegar Valores Cuadro de Honor</v>
      </c>
      <c r="DX253" s="356" t="n">
        <f aca="false">COUNTIF($M$253,DW253)*$D$42</f>
        <v>0</v>
      </c>
      <c r="DY253" s="407"/>
      <c r="DZ253" s="363" t="str">
        <f aca="false">Idiomas!$D$373</f>
        <v>Pegar Valores Cuadro de Honor</v>
      </c>
      <c r="EA253" s="356" t="n">
        <f aca="false">COUNTIF($M$253,DZ253)*$D$42</f>
        <v>0</v>
      </c>
      <c r="EB253" s="407"/>
      <c r="EC253" s="363" t="str">
        <f aca="false">Idiomas!$D$373</f>
        <v>Pegar Valores Cuadro de Honor</v>
      </c>
      <c r="ED253" s="356" t="n">
        <f aca="false">COUNTIF($M$253,EC253)*$D$42</f>
        <v>0</v>
      </c>
      <c r="EE253" s="407"/>
      <c r="EF253" s="363" t="str">
        <f aca="false">Idiomas!$D$373</f>
        <v>Pegar Valores Cuadro de Honor</v>
      </c>
      <c r="EG253" s="356" t="n">
        <f aca="false">COUNTIF($M$253,EF253)*$D$42</f>
        <v>0</v>
      </c>
      <c r="EH253" s="407"/>
      <c r="EI253" s="407"/>
    </row>
    <row r="254" customFormat="false" ht="15.75" hidden="false" customHeight="true" outlineLevel="0" collapsed="false">
      <c r="A254" s="332"/>
      <c r="B254" s="332"/>
      <c r="C254" s="422"/>
      <c r="D254" s="422"/>
      <c r="E254" s="422"/>
      <c r="F254" s="423" t="n">
        <f aca="false">D43</f>
        <v>20</v>
      </c>
      <c r="G254" s="423" t="n">
        <f aca="false">VLOOKUP(H254,Equipos!$Q$1:$R$25,2,0)</f>
        <v>24</v>
      </c>
      <c r="H254" s="410" t="str">
        <f aca="false">Idiomas!$D$264</f>
        <v>3-4 &amp; Final</v>
      </c>
      <c r="I254" s="410"/>
      <c r="J254" s="436"/>
      <c r="K254" s="367" t="str">
        <f aca="false">WORLDCUP!W155</f>
        <v>Bota de Oro  (máximo goleador)</v>
      </c>
      <c r="L254" s="354"/>
      <c r="M254" s="359" t="str">
        <f aca="false">WORLDCUP!AA155</f>
        <v>Escribe el jugador Bota de Oro</v>
      </c>
      <c r="N254" s="332"/>
      <c r="O254" s="332"/>
      <c r="P254" s="332"/>
      <c r="Q254" s="332"/>
      <c r="R254" s="332"/>
      <c r="S254" s="363" t="s">
        <v>391</v>
      </c>
      <c r="T254" s="356" t="n">
        <f aca="false">Goleadores!K3</f>
        <v>0</v>
      </c>
      <c r="U254" s="407"/>
      <c r="V254" s="363" t="s">
        <v>392</v>
      </c>
      <c r="W254" s="356" t="n">
        <f aca="false">Goleadores!K5</f>
        <v>0</v>
      </c>
      <c r="X254" s="407"/>
      <c r="Y254" s="363" t="s">
        <v>393</v>
      </c>
      <c r="Z254" s="356" t="n">
        <f aca="false">Goleadores!K7</f>
        <v>0</v>
      </c>
      <c r="AA254" s="407"/>
      <c r="AB254" s="363" t="str">
        <f aca="false">Y255</f>
        <v>Julián Alvarez</v>
      </c>
      <c r="AC254" s="356" t="n">
        <f aca="false">Z255</f>
        <v>0</v>
      </c>
      <c r="AD254" s="407"/>
      <c r="AE254" s="363" t="str">
        <f aca="false">+Y253</f>
        <v>Mbappé</v>
      </c>
      <c r="AF254" s="356" t="n">
        <f aca="false">Z253</f>
        <v>0</v>
      </c>
      <c r="AG254" s="407"/>
      <c r="AH254" s="363" t="s">
        <v>394</v>
      </c>
      <c r="AI254" s="356" t="n">
        <f aca="false">Goleadores!K11</f>
        <v>0</v>
      </c>
      <c r="AJ254" s="407"/>
      <c r="AK254" s="363" t="str">
        <f aca="false">Goleadores!B5</f>
        <v>Julián Alvarez</v>
      </c>
      <c r="AL254" s="356" t="n">
        <f aca="false">Goleadores!K5</f>
        <v>0</v>
      </c>
      <c r="AM254" s="407"/>
      <c r="AN254" s="363" t="str">
        <f aca="false">AK255</f>
        <v>Kane</v>
      </c>
      <c r="AO254" s="356" t="n">
        <f aca="false">AL255</f>
        <v>0</v>
      </c>
      <c r="AP254" s="407"/>
      <c r="AQ254" s="363" t="s">
        <v>394</v>
      </c>
      <c r="AR254" s="356" t="n">
        <f aca="false">+Goleadores!K11</f>
        <v>0</v>
      </c>
      <c r="AS254" s="407"/>
      <c r="AT254" s="363" t="s">
        <v>394</v>
      </c>
      <c r="AU254" s="356" t="n">
        <f aca="false">+AR254</f>
        <v>0</v>
      </c>
      <c r="AV254" s="407"/>
      <c r="AW254" s="363" t="str">
        <f aca="false">+Goleadores!L3</f>
        <v>Cristiano Ronaldo</v>
      </c>
      <c r="AX254" s="356" t="n">
        <f aca="false">+Goleadores!K3</f>
        <v>0</v>
      </c>
      <c r="AY254" s="407"/>
      <c r="AZ254" s="363" t="s">
        <v>394</v>
      </c>
      <c r="BA254" s="356" t="n">
        <f aca="false">+AU254</f>
        <v>0</v>
      </c>
      <c r="BB254" s="407"/>
      <c r="BC254" s="363" t="s">
        <v>389</v>
      </c>
      <c r="BD254" s="356" t="n">
        <f aca="false">+BA253</f>
        <v>0</v>
      </c>
      <c r="BE254" s="407"/>
      <c r="BF254" s="363" t="s">
        <v>388</v>
      </c>
      <c r="BG254" s="356" t="n">
        <f aca="false">+AX255</f>
        <v>0</v>
      </c>
      <c r="BH254" s="407"/>
      <c r="BI254" s="363" t="s">
        <v>395</v>
      </c>
      <c r="BJ254" s="356" t="n">
        <f aca="false">+Goleadores!K4</f>
        <v>0</v>
      </c>
      <c r="BK254" s="407"/>
      <c r="BL254" s="363" t="s">
        <v>393</v>
      </c>
      <c r="BM254" s="356" t="n">
        <f aca="false">+Goleadores!K7</f>
        <v>0</v>
      </c>
      <c r="BN254" s="407"/>
      <c r="BO254" s="363" t="s">
        <v>396</v>
      </c>
      <c r="BP254" s="356" t="n">
        <f aca="false">+Goleadores!K5</f>
        <v>0</v>
      </c>
      <c r="BQ254" s="407"/>
      <c r="BR254" s="363" t="s">
        <v>394</v>
      </c>
      <c r="BS254" s="356" t="n">
        <f aca="false">+BP255</f>
        <v>0</v>
      </c>
      <c r="BT254" s="407"/>
      <c r="BU254" s="363"/>
      <c r="BV254" s="356" t="n">
        <f aca="false">COUNTIF($M$254,BU254)*$D$43</f>
        <v>0</v>
      </c>
      <c r="BW254" s="407"/>
      <c r="BX254" s="363"/>
      <c r="BY254" s="356" t="n">
        <f aca="false">COUNTIF($M$254,BX254)*$D$43</f>
        <v>0</v>
      </c>
      <c r="BZ254" s="407"/>
      <c r="CA254" s="363"/>
      <c r="CB254" s="356" t="n">
        <f aca="false">COUNTIF($M$254,CA254)*$D$43</f>
        <v>0</v>
      </c>
      <c r="CC254" s="407"/>
      <c r="CD254" s="363"/>
      <c r="CE254" s="356" t="n">
        <f aca="false">COUNTIF($M$254,CD254)*$D$43</f>
        <v>0</v>
      </c>
      <c r="CF254" s="407"/>
      <c r="CG254" s="363"/>
      <c r="CH254" s="356" t="n">
        <f aca="false">COUNTIF($M$254,CG254)*$D$43</f>
        <v>0</v>
      </c>
      <c r="CI254" s="407"/>
      <c r="CJ254" s="363"/>
      <c r="CK254" s="356" t="n">
        <f aca="false">COUNTIF($M$254,CJ254)*$D$43</f>
        <v>0</v>
      </c>
      <c r="CL254" s="407"/>
      <c r="CM254" s="363"/>
      <c r="CN254" s="356" t="n">
        <f aca="false">COUNTIF($M$254,CM254)*$D$43</f>
        <v>0</v>
      </c>
      <c r="CO254" s="407"/>
      <c r="CP254" s="363"/>
      <c r="CQ254" s="356" t="n">
        <f aca="false">COUNTIF($M$254,CP254)*$D$43</f>
        <v>0</v>
      </c>
      <c r="CR254" s="407"/>
      <c r="CS254" s="363"/>
      <c r="CT254" s="356" t="n">
        <f aca="false">COUNTIF($M$254,CS254)*$D$43</f>
        <v>0</v>
      </c>
      <c r="CU254" s="407"/>
      <c r="CV254" s="363"/>
      <c r="CW254" s="356" t="n">
        <f aca="false">COUNTIF($M$254,CV254)*$D$43</f>
        <v>0</v>
      </c>
      <c r="CX254" s="407"/>
      <c r="CY254" s="363"/>
      <c r="CZ254" s="356" t="n">
        <f aca="false">COUNTIF($M$254,CY254)*$D$43</f>
        <v>0</v>
      </c>
      <c r="DA254" s="407"/>
      <c r="DB254" s="363"/>
      <c r="DC254" s="356" t="n">
        <f aca="false">COUNTIF($M$254,DB254)*$D$43</f>
        <v>0</v>
      </c>
      <c r="DD254" s="407"/>
      <c r="DE254" s="363"/>
      <c r="DF254" s="356" t="n">
        <f aca="false">COUNTIF($M$254,DE254)*$D$43</f>
        <v>0</v>
      </c>
      <c r="DG254" s="407"/>
      <c r="DH254" s="363"/>
      <c r="DI254" s="356" t="n">
        <f aca="false">COUNTIF($M$254,DH254)*$D$43</f>
        <v>0</v>
      </c>
      <c r="DJ254" s="407"/>
      <c r="DK254" s="363"/>
      <c r="DL254" s="356" t="n">
        <f aca="false">COUNTIF($M$254,DK254)*$D$43</f>
        <v>0</v>
      </c>
      <c r="DM254" s="407"/>
      <c r="DN254" s="363"/>
      <c r="DO254" s="356" t="n">
        <f aca="false">COUNTIF($M$254,DN254)*$D$43</f>
        <v>0</v>
      </c>
      <c r="DP254" s="407"/>
      <c r="DQ254" s="363"/>
      <c r="DR254" s="356" t="n">
        <f aca="false">COUNTIF($M$254,DQ254)*$D$43</f>
        <v>0</v>
      </c>
      <c r="DS254" s="407"/>
      <c r="DT254" s="363"/>
      <c r="DU254" s="356" t="n">
        <f aca="false">COUNTIF($M$254,DT254)*$D$43</f>
        <v>0</v>
      </c>
      <c r="DV254" s="407"/>
      <c r="DW254" s="363"/>
      <c r="DX254" s="356" t="n">
        <f aca="false">COUNTIF($M$254,DW254)*$D$43</f>
        <v>0</v>
      </c>
      <c r="DY254" s="407"/>
      <c r="DZ254" s="363"/>
      <c r="EA254" s="356" t="n">
        <f aca="false">COUNTIF($M$254,DZ254)*$D$43</f>
        <v>0</v>
      </c>
      <c r="EB254" s="407"/>
      <c r="EC254" s="363"/>
      <c r="ED254" s="356" t="n">
        <f aca="false">COUNTIF($M$254,EC254)*$D$43</f>
        <v>0</v>
      </c>
      <c r="EE254" s="407"/>
      <c r="EF254" s="363"/>
      <c r="EG254" s="356" t="n">
        <f aca="false">COUNTIF($M$254,EF254)*$D$43</f>
        <v>0</v>
      </c>
      <c r="EH254" s="407"/>
      <c r="EI254" s="407"/>
    </row>
    <row r="255" customFormat="false" ht="15.75" hidden="false" customHeight="true" outlineLevel="0" collapsed="false">
      <c r="A255" s="332"/>
      <c r="B255" s="332"/>
      <c r="C255" s="422"/>
      <c r="D255" s="422"/>
      <c r="E255" s="422"/>
      <c r="F255" s="423" t="n">
        <f aca="false">D44</f>
        <v>20</v>
      </c>
      <c r="G255" s="423" t="n">
        <f aca="false">VLOOKUP(H255,Equipos!$Q$1:$R$25,2,0)</f>
        <v>24</v>
      </c>
      <c r="H255" s="410" t="str">
        <f aca="false">Idiomas!$D$264</f>
        <v>3-4 &amp; Final</v>
      </c>
      <c r="I255" s="410"/>
      <c r="J255" s="436"/>
      <c r="K255" s="367" t="str">
        <f aca="false">WORLDCUP!W156</f>
        <v>Bota de Oro  (máximo goleador)</v>
      </c>
      <c r="L255" s="354"/>
      <c r="M255" s="359" t="str">
        <f aca="false">WORLDCUP!AA156</f>
        <v>Escribe el jugador Bota de Oro</v>
      </c>
      <c r="N255" s="332"/>
      <c r="O255" s="332"/>
      <c r="P255" s="332"/>
      <c r="Q255" s="332"/>
      <c r="R255" s="332"/>
      <c r="S255" s="363" t="s">
        <v>395</v>
      </c>
      <c r="T255" s="356" t="n">
        <f aca="false">Goleadores!K4</f>
        <v>0</v>
      </c>
      <c r="U255" s="407"/>
      <c r="V255" s="363" t="s">
        <v>397</v>
      </c>
      <c r="W255" s="356" t="n">
        <f aca="false">Goleadores!K6</f>
        <v>0</v>
      </c>
      <c r="X255" s="407"/>
      <c r="Y255" s="363" t="str">
        <f aca="false">V254</f>
        <v>Julián Alvarez</v>
      </c>
      <c r="Z255" s="356" t="n">
        <f aca="false">W254</f>
        <v>0</v>
      </c>
      <c r="AA255" s="407"/>
      <c r="AB255" s="363" t="s">
        <v>398</v>
      </c>
      <c r="AC255" s="356" t="n">
        <f aca="false">Goleadores!K9</f>
        <v>0</v>
      </c>
      <c r="AD255" s="407"/>
      <c r="AE255" s="363" t="str">
        <f aca="false">+Y254</f>
        <v>Oyarzabal</v>
      </c>
      <c r="AF255" s="356" t="n">
        <f aca="false">Z254</f>
        <v>0</v>
      </c>
      <c r="AG255" s="407"/>
      <c r="AH255" s="363" t="str">
        <f aca="false">S254</f>
        <v>Cristiano Ronaldo</v>
      </c>
      <c r="AI255" s="356" t="n">
        <f aca="false">Goleadores!K3</f>
        <v>0</v>
      </c>
      <c r="AJ255" s="407"/>
      <c r="AK255" s="363" t="str">
        <f aca="false">AH254</f>
        <v>Kane</v>
      </c>
      <c r="AL255" s="356" t="n">
        <f aca="false">AI254</f>
        <v>0</v>
      </c>
      <c r="AM255" s="407"/>
      <c r="AN255" s="363" t="s">
        <v>388</v>
      </c>
      <c r="AO255" s="356" t="n">
        <f aca="false">AF253</f>
        <v>0</v>
      </c>
      <c r="AP255" s="407"/>
      <c r="AQ255" s="363" t="s">
        <v>399</v>
      </c>
      <c r="AR255" s="356" t="n">
        <f aca="false">+Goleadores!K13</f>
        <v>0</v>
      </c>
      <c r="AS255" s="407"/>
      <c r="AT255" s="363" t="s">
        <v>400</v>
      </c>
      <c r="AU255" s="356" t="n">
        <f aca="false">+Goleadores!K14</f>
        <v>0</v>
      </c>
      <c r="AV255" s="407"/>
      <c r="AW255" s="363" t="str">
        <f aca="false">+Goleadores!L10</f>
        <v>Messi</v>
      </c>
      <c r="AX255" s="356" t="n">
        <f aca="false">+Goleadores!K10</f>
        <v>0</v>
      </c>
      <c r="AY255" s="407"/>
      <c r="AZ255" s="363" t="s">
        <v>393</v>
      </c>
      <c r="BA255" s="356" t="n">
        <f aca="false">+Goleadores!K7</f>
        <v>0</v>
      </c>
      <c r="BB255" s="407"/>
      <c r="BC255" s="363" t="s">
        <v>401</v>
      </c>
      <c r="BD255" s="356" t="n">
        <f aca="false">+Goleadores!K15</f>
        <v>0</v>
      </c>
      <c r="BE255" s="407"/>
      <c r="BF255" s="363" t="s">
        <v>393</v>
      </c>
      <c r="BG255" s="356" t="n">
        <f aca="false">+BA255</f>
        <v>0</v>
      </c>
      <c r="BH255" s="407"/>
      <c r="BI255" s="363" t="str">
        <f aca="false">+AZ254</f>
        <v>Kane</v>
      </c>
      <c r="BJ255" s="356" t="n">
        <f aca="false">+BA254</f>
        <v>0</v>
      </c>
      <c r="BK255" s="407"/>
      <c r="BL255" s="363" t="s">
        <v>394</v>
      </c>
      <c r="BM255" s="356" t="n">
        <f aca="false">+BJ255</f>
        <v>0</v>
      </c>
      <c r="BN255" s="407"/>
      <c r="BO255" s="363" t="s">
        <v>394</v>
      </c>
      <c r="BP255" s="356" t="n">
        <f aca="false">+BM255</f>
        <v>0</v>
      </c>
      <c r="BQ255" s="407"/>
      <c r="BR255" s="363" t="s">
        <v>402</v>
      </c>
      <c r="BS255" s="356" t="n">
        <f aca="false">+Goleadores!K14</f>
        <v>0</v>
      </c>
      <c r="BT255" s="407"/>
      <c r="BU255" s="363"/>
      <c r="BV255" s="356" t="n">
        <f aca="false">COUNTIF($M$255,BU255)*$D$44</f>
        <v>0</v>
      </c>
      <c r="BW255" s="407"/>
      <c r="BX255" s="363"/>
      <c r="BY255" s="356" t="n">
        <f aca="false">COUNTIF($M$255,BX255)*$D$44</f>
        <v>0</v>
      </c>
      <c r="BZ255" s="407"/>
      <c r="CA255" s="363"/>
      <c r="CB255" s="356" t="n">
        <f aca="false">COUNTIF($M$255,CA255)*$D$44</f>
        <v>0</v>
      </c>
      <c r="CC255" s="407"/>
      <c r="CD255" s="363"/>
      <c r="CE255" s="356" t="n">
        <f aca="false">COUNTIF($M$255,CD255)*$D$44</f>
        <v>0</v>
      </c>
      <c r="CF255" s="407"/>
      <c r="CG255" s="363"/>
      <c r="CH255" s="356" t="n">
        <f aca="false">COUNTIF($M$255,CG255)*$D$44</f>
        <v>0</v>
      </c>
      <c r="CI255" s="407"/>
      <c r="CJ255" s="363"/>
      <c r="CK255" s="356" t="n">
        <f aca="false">COUNTIF($M$255,CJ255)*$D$44</f>
        <v>0</v>
      </c>
      <c r="CL255" s="407"/>
      <c r="CM255" s="363"/>
      <c r="CN255" s="356" t="n">
        <f aca="false">COUNTIF($M$255,CM255)*$D$44</f>
        <v>0</v>
      </c>
      <c r="CO255" s="407"/>
      <c r="CP255" s="363"/>
      <c r="CQ255" s="356" t="n">
        <f aca="false">COUNTIF($M$255,CP255)*$D$44</f>
        <v>0</v>
      </c>
      <c r="CR255" s="407"/>
      <c r="CS255" s="363"/>
      <c r="CT255" s="356" t="n">
        <f aca="false">COUNTIF($M$255,CS255)*$D$44</f>
        <v>0</v>
      </c>
      <c r="CU255" s="407"/>
      <c r="CV255" s="363"/>
      <c r="CW255" s="356" t="n">
        <f aca="false">COUNTIF($M$255,CV255)*$D$44</f>
        <v>0</v>
      </c>
      <c r="CX255" s="407"/>
      <c r="CY255" s="363"/>
      <c r="CZ255" s="356" t="n">
        <f aca="false">COUNTIF($M$255,CY255)*$D$44</f>
        <v>0</v>
      </c>
      <c r="DA255" s="407"/>
      <c r="DB255" s="363"/>
      <c r="DC255" s="356" t="n">
        <f aca="false">COUNTIF($M$255,DB255)*$D$44</f>
        <v>0</v>
      </c>
      <c r="DD255" s="407"/>
      <c r="DE255" s="363"/>
      <c r="DF255" s="356" t="n">
        <f aca="false">COUNTIF($M$255,DE255)*$D$44</f>
        <v>0</v>
      </c>
      <c r="DG255" s="407"/>
      <c r="DH255" s="363"/>
      <c r="DI255" s="356" t="n">
        <f aca="false">COUNTIF($M$255,DH255)*$D$44</f>
        <v>0</v>
      </c>
      <c r="DJ255" s="407"/>
      <c r="DK255" s="363"/>
      <c r="DL255" s="356" t="n">
        <f aca="false">COUNTIF($M$255,DK255)*$D$44</f>
        <v>0</v>
      </c>
      <c r="DM255" s="407"/>
      <c r="DN255" s="363"/>
      <c r="DO255" s="356" t="n">
        <f aca="false">COUNTIF($M$255,DN255)*$D$44</f>
        <v>0</v>
      </c>
      <c r="DP255" s="407"/>
      <c r="DQ255" s="363"/>
      <c r="DR255" s="356" t="n">
        <f aca="false">COUNTIF($M$255,DQ255)*$D$44</f>
        <v>0</v>
      </c>
      <c r="DS255" s="407"/>
      <c r="DT255" s="363"/>
      <c r="DU255" s="356" t="n">
        <f aca="false">COUNTIF($M$255,DT255)*$D$44</f>
        <v>0</v>
      </c>
      <c r="DV255" s="407"/>
      <c r="DW255" s="363"/>
      <c r="DX255" s="356" t="n">
        <f aca="false">COUNTIF($M$255,DW255)*$D$44</f>
        <v>0</v>
      </c>
      <c r="DY255" s="407"/>
      <c r="DZ255" s="363"/>
      <c r="EA255" s="356" t="n">
        <f aca="false">COUNTIF($M$255,DZ255)*$D$44</f>
        <v>0</v>
      </c>
      <c r="EB255" s="407"/>
      <c r="EC255" s="363"/>
      <c r="ED255" s="356" t="n">
        <f aca="false">COUNTIF($M$255,EC255)*$D$44</f>
        <v>0</v>
      </c>
      <c r="EE255" s="407"/>
      <c r="EF255" s="363"/>
      <c r="EG255" s="356" t="n">
        <f aca="false">COUNTIF($M$255,EF255)*$D$44</f>
        <v>0</v>
      </c>
      <c r="EH255" s="407"/>
      <c r="EI255" s="407"/>
    </row>
    <row r="256" customFormat="false" ht="15.75" hidden="false" customHeight="true" outlineLevel="0" collapsed="false">
      <c r="A256" s="332"/>
      <c r="B256" s="332"/>
      <c r="C256" s="422"/>
      <c r="D256" s="422"/>
      <c r="E256" s="422"/>
      <c r="F256" s="423" t="n">
        <f aca="false">D45</f>
        <v>20</v>
      </c>
      <c r="G256" s="423" t="n">
        <f aca="false">VLOOKUP(H256,Equipos!$Q$1:$R$25,2,0)</f>
        <v>24</v>
      </c>
      <c r="H256" s="410" t="str">
        <f aca="false">Idiomas!$D$264</f>
        <v>3-4 &amp; Final</v>
      </c>
      <c r="I256" s="410"/>
      <c r="J256" s="433"/>
      <c r="K256" s="367" t="str">
        <f aca="false">WORLDCUP!W158</f>
        <v>Equipo máximo goleador</v>
      </c>
      <c r="L256" s="354"/>
      <c r="M256" s="359" t="str">
        <f aca="false">WORLDCUP!AA158</f>
        <v>Escribe el equipo máximo goleador</v>
      </c>
      <c r="N256" s="332"/>
      <c r="O256" s="332"/>
      <c r="P256" s="332"/>
      <c r="Q256" s="332"/>
      <c r="R256" s="332"/>
      <c r="S256" s="363" t="s">
        <v>339</v>
      </c>
      <c r="T256" s="356" t="n">
        <f aca="false">Goleadores!K27</f>
        <v>1</v>
      </c>
      <c r="U256" s="407"/>
      <c r="V256" s="363" t="s">
        <v>362</v>
      </c>
      <c r="W256" s="356" t="n">
        <f aca="false">T258</f>
        <v>0</v>
      </c>
      <c r="X256" s="407"/>
      <c r="Y256" s="363" t="s">
        <v>2</v>
      </c>
      <c r="Z256" s="356" t="n">
        <f aca="false">W258</f>
        <v>0</v>
      </c>
      <c r="AA256" s="407"/>
      <c r="AB256" s="363" t="s">
        <v>362</v>
      </c>
      <c r="AC256" s="356" t="n">
        <f aca="false">Goleadores!K41</f>
        <v>0</v>
      </c>
      <c r="AD256" s="407"/>
      <c r="AE256" s="363" t="s">
        <v>2</v>
      </c>
      <c r="AF256" s="356" t="n">
        <f aca="false">Z256</f>
        <v>0</v>
      </c>
      <c r="AG256" s="407"/>
      <c r="AH256" s="363" t="s">
        <v>2</v>
      </c>
      <c r="AI256" s="356" t="n">
        <f aca="false">AF256</f>
        <v>0</v>
      </c>
      <c r="AJ256" s="407"/>
      <c r="AK256" s="363" t="s">
        <v>339</v>
      </c>
      <c r="AL256" s="356" t="n">
        <f aca="false">Goleadores!K27</f>
        <v>1</v>
      </c>
      <c r="AM256" s="407"/>
      <c r="AN256" s="363" t="s">
        <v>339</v>
      </c>
      <c r="AO256" s="356" t="n">
        <f aca="false">AL256</f>
        <v>1</v>
      </c>
      <c r="AP256" s="407"/>
      <c r="AQ256" s="363" t="s">
        <v>2</v>
      </c>
      <c r="AR256" s="356" t="n">
        <f aca="false">+Goleadores!K39</f>
        <v>0</v>
      </c>
      <c r="AS256" s="407"/>
      <c r="AT256" s="363" t="s">
        <v>347</v>
      </c>
      <c r="AU256" s="356" t="n">
        <f aca="false">+AR258</f>
        <v>7</v>
      </c>
      <c r="AV256" s="407"/>
      <c r="AW256" s="363" t="s">
        <v>370</v>
      </c>
      <c r="AX256" s="356" t="n">
        <f aca="false">+Goleadores!K55</f>
        <v>0</v>
      </c>
      <c r="AY256" s="407"/>
      <c r="AZ256" s="363" t="s">
        <v>362</v>
      </c>
      <c r="BA256" s="356" t="n">
        <f aca="false">+AX257</f>
        <v>0</v>
      </c>
      <c r="BB256" s="407"/>
      <c r="BC256" s="363" t="s">
        <v>403</v>
      </c>
      <c r="BD256" s="356" t="n">
        <f aca="false">+AX256</f>
        <v>0</v>
      </c>
      <c r="BE256" s="407"/>
      <c r="BF256" s="363" t="s">
        <v>366</v>
      </c>
      <c r="BG256" s="356" t="n">
        <f aca="false">+Goleadores!K23</f>
        <v>0</v>
      </c>
      <c r="BH256" s="407"/>
      <c r="BI256" s="363" t="s">
        <v>362</v>
      </c>
      <c r="BJ256" s="356" t="n">
        <f aca="false">+BA256</f>
        <v>0</v>
      </c>
      <c r="BK256" s="407"/>
      <c r="BL256" s="363" t="s">
        <v>362</v>
      </c>
      <c r="BM256" s="356" t="n">
        <f aca="false">COUNTIF($M$256,BL256)*$D$45</f>
        <v>0</v>
      </c>
      <c r="BN256" s="407"/>
      <c r="BO256" s="363" t="s">
        <v>362</v>
      </c>
      <c r="BP256" s="356" t="n">
        <f aca="false">+BM256</f>
        <v>0</v>
      </c>
      <c r="BQ256" s="407"/>
      <c r="BR256" s="363" t="s">
        <v>2</v>
      </c>
      <c r="BS256" s="356" t="n">
        <f aca="false">+BP257</f>
        <v>0</v>
      </c>
      <c r="BT256" s="407"/>
      <c r="BU256" s="363"/>
      <c r="BV256" s="356" t="n">
        <f aca="false">COUNTIF($M$256,BU256)*$D$45</f>
        <v>0</v>
      </c>
      <c r="BW256" s="407"/>
      <c r="BX256" s="363"/>
      <c r="BY256" s="356" t="n">
        <f aca="false">COUNTIF($M$256,BX256)*$D$45</f>
        <v>0</v>
      </c>
      <c r="BZ256" s="407"/>
      <c r="CA256" s="363"/>
      <c r="CB256" s="356" t="n">
        <f aca="false">COUNTIF($M$256,CA256)*$D$45</f>
        <v>0</v>
      </c>
      <c r="CC256" s="407"/>
      <c r="CD256" s="363"/>
      <c r="CE256" s="356" t="n">
        <f aca="false">COUNTIF($M$256,CD256)*$D$45</f>
        <v>0</v>
      </c>
      <c r="CF256" s="407"/>
      <c r="CG256" s="363"/>
      <c r="CH256" s="356" t="n">
        <f aca="false">COUNTIF($M$256,CG256)*$D$45</f>
        <v>0</v>
      </c>
      <c r="CI256" s="407"/>
      <c r="CJ256" s="363"/>
      <c r="CK256" s="356" t="n">
        <f aca="false">COUNTIF($M$256,CJ256)*$D$45</f>
        <v>0</v>
      </c>
      <c r="CL256" s="407"/>
      <c r="CM256" s="363"/>
      <c r="CN256" s="356" t="n">
        <f aca="false">COUNTIF($M$256,CM256)*$D$45</f>
        <v>0</v>
      </c>
      <c r="CO256" s="407"/>
      <c r="CP256" s="363"/>
      <c r="CQ256" s="356" t="n">
        <f aca="false">COUNTIF($M$256,CP256)*$D$45</f>
        <v>0</v>
      </c>
      <c r="CR256" s="407"/>
      <c r="CS256" s="363"/>
      <c r="CT256" s="356" t="n">
        <f aca="false">COUNTIF($M$256,CS256)*$D$45</f>
        <v>0</v>
      </c>
      <c r="CU256" s="407"/>
      <c r="CV256" s="363"/>
      <c r="CW256" s="356" t="n">
        <f aca="false">COUNTIF($M$256,CV256)*$D$45</f>
        <v>0</v>
      </c>
      <c r="CX256" s="407"/>
      <c r="CY256" s="363"/>
      <c r="CZ256" s="356" t="n">
        <f aca="false">COUNTIF($M$256,CY256)*$D$45</f>
        <v>0</v>
      </c>
      <c r="DA256" s="407"/>
      <c r="DB256" s="363"/>
      <c r="DC256" s="356" t="n">
        <f aca="false">COUNTIF($M$256,DB256)*$D$45</f>
        <v>0</v>
      </c>
      <c r="DD256" s="407"/>
      <c r="DE256" s="363"/>
      <c r="DF256" s="356" t="n">
        <f aca="false">COUNTIF($M$256,DE256)*$D$45</f>
        <v>0</v>
      </c>
      <c r="DG256" s="407"/>
      <c r="DH256" s="363"/>
      <c r="DI256" s="356" t="n">
        <f aca="false">COUNTIF($M$256,DH256)*$D$45</f>
        <v>0</v>
      </c>
      <c r="DJ256" s="407"/>
      <c r="DK256" s="363"/>
      <c r="DL256" s="356" t="n">
        <f aca="false">COUNTIF($M$256,DK256)*$D$45</f>
        <v>0</v>
      </c>
      <c r="DM256" s="407"/>
      <c r="DN256" s="363"/>
      <c r="DO256" s="356" t="n">
        <f aca="false">COUNTIF($M$256,DN256)*$D$45</f>
        <v>0</v>
      </c>
      <c r="DP256" s="407"/>
      <c r="DQ256" s="363"/>
      <c r="DR256" s="356" t="n">
        <f aca="false">COUNTIF($M$256,DQ256)*$D$45</f>
        <v>0</v>
      </c>
      <c r="DS256" s="407"/>
      <c r="DT256" s="363"/>
      <c r="DU256" s="356" t="n">
        <f aca="false">COUNTIF($M$256,DT256)*$D$45</f>
        <v>0</v>
      </c>
      <c r="DV256" s="407"/>
      <c r="DW256" s="363"/>
      <c r="DX256" s="356" t="n">
        <f aca="false">COUNTIF($M$256,DW256)*$D$45</f>
        <v>0</v>
      </c>
      <c r="DY256" s="407"/>
      <c r="DZ256" s="363"/>
      <c r="EA256" s="356" t="n">
        <f aca="false">COUNTIF($M$256,DZ256)*$D$45</f>
        <v>0</v>
      </c>
      <c r="EB256" s="407"/>
      <c r="EC256" s="363"/>
      <c r="ED256" s="356" t="n">
        <f aca="false">COUNTIF($M$256,EC256)*$D$45</f>
        <v>0</v>
      </c>
      <c r="EE256" s="407"/>
      <c r="EF256" s="363"/>
      <c r="EG256" s="356" t="n">
        <f aca="false">COUNTIF($M$256,EF256)*$D$45</f>
        <v>0</v>
      </c>
      <c r="EH256" s="407"/>
      <c r="EI256" s="407"/>
    </row>
    <row r="257" customFormat="false" ht="15.75" hidden="false" customHeight="true" outlineLevel="0" collapsed="false">
      <c r="A257" s="332"/>
      <c r="B257" s="332"/>
      <c r="C257" s="422"/>
      <c r="D257" s="422"/>
      <c r="E257" s="422"/>
      <c r="F257" s="423" t="n">
        <f aca="false">D46</f>
        <v>20</v>
      </c>
      <c r="G257" s="423" t="n">
        <f aca="false">VLOOKUP(H257,Equipos!$Q$1:$R$25,2,0)</f>
        <v>24</v>
      </c>
      <c r="H257" s="410" t="str">
        <f aca="false">Idiomas!$D$264</f>
        <v>3-4 &amp; Final</v>
      </c>
      <c r="I257" s="410"/>
      <c r="J257" s="434"/>
      <c r="K257" s="367" t="str">
        <f aca="false">WORLDCUP!W159</f>
        <v>Equipo máximo goleador</v>
      </c>
      <c r="L257" s="354"/>
      <c r="M257" s="359" t="str">
        <f aca="false">WORLDCUP!AA159</f>
        <v>Escribe el equipo máximo goleador</v>
      </c>
      <c r="N257" s="332"/>
      <c r="O257" s="332"/>
      <c r="P257" s="332"/>
      <c r="Q257" s="332"/>
      <c r="R257" s="332"/>
      <c r="S257" s="363" t="s">
        <v>370</v>
      </c>
      <c r="T257" s="356" t="n">
        <f aca="false">Goleadores!K55</f>
        <v>0</v>
      </c>
      <c r="U257" s="407"/>
      <c r="V257" s="363" t="s">
        <v>339</v>
      </c>
      <c r="W257" s="356" t="n">
        <f aca="false">T256</f>
        <v>1</v>
      </c>
      <c r="X257" s="407"/>
      <c r="Y257" s="363" t="s">
        <v>370</v>
      </c>
      <c r="Z257" s="356" t="n">
        <f aca="false">T257</f>
        <v>0</v>
      </c>
      <c r="AA257" s="407"/>
      <c r="AB257" s="363" t="s">
        <v>366</v>
      </c>
      <c r="AC257" s="356" t="n">
        <f aca="false">Goleadores!K23</f>
        <v>0</v>
      </c>
      <c r="AD257" s="407"/>
      <c r="AE257" s="363" t="s">
        <v>366</v>
      </c>
      <c r="AF257" s="356" t="n">
        <f aca="false">AC257</f>
        <v>0</v>
      </c>
      <c r="AG257" s="407"/>
      <c r="AH257" s="363" t="s">
        <v>370</v>
      </c>
      <c r="AI257" s="356" t="n">
        <f aca="false">Z257</f>
        <v>0</v>
      </c>
      <c r="AJ257" s="407"/>
      <c r="AK257" s="363" t="s">
        <v>2</v>
      </c>
      <c r="AL257" s="356" t="n">
        <f aca="false">AI256</f>
        <v>0</v>
      </c>
      <c r="AM257" s="407"/>
      <c r="AN257" s="363" t="s">
        <v>347</v>
      </c>
      <c r="AO257" s="356" t="n">
        <f aca="false">Goleadores!K20</f>
        <v>7</v>
      </c>
      <c r="AP257" s="407"/>
      <c r="AQ257" s="363" t="s">
        <v>355</v>
      </c>
      <c r="AR257" s="356" t="n">
        <f aca="false">+Goleadores!K26</f>
        <v>1</v>
      </c>
      <c r="AS257" s="407"/>
      <c r="AT257" s="363" t="s">
        <v>370</v>
      </c>
      <c r="AU257" s="356" t="n">
        <f aca="false">+AI257</f>
        <v>0</v>
      </c>
      <c r="AV257" s="407"/>
      <c r="AW257" s="363" t="s">
        <v>362</v>
      </c>
      <c r="AX257" s="356" t="n">
        <f aca="false">+Goleadores!K41</f>
        <v>0</v>
      </c>
      <c r="AY257" s="407"/>
      <c r="AZ257" s="363" t="s">
        <v>374</v>
      </c>
      <c r="BA257" s="356" t="n">
        <f aca="false">+Goleadores!K44</f>
        <v>0</v>
      </c>
      <c r="BB257" s="407"/>
      <c r="BC257" s="363" t="s">
        <v>339</v>
      </c>
      <c r="BD257" s="356" t="n">
        <f aca="false">+Goleadores!K27</f>
        <v>1</v>
      </c>
      <c r="BE257" s="407"/>
      <c r="BF257" s="363" t="s">
        <v>2</v>
      </c>
      <c r="BG257" s="356" t="n">
        <f aca="false">+BA258</f>
        <v>0</v>
      </c>
      <c r="BH257" s="407"/>
      <c r="BI257" s="363" t="s">
        <v>2</v>
      </c>
      <c r="BJ257" s="356" t="n">
        <f aca="false">+BG257</f>
        <v>0</v>
      </c>
      <c r="BK257" s="407"/>
      <c r="BL257" s="363" t="s">
        <v>2</v>
      </c>
      <c r="BM257" s="356" t="n">
        <f aca="false">COUNTIF($M$257,BL257)*$D$46</f>
        <v>0</v>
      </c>
      <c r="BN257" s="407"/>
      <c r="BO257" s="363" t="s">
        <v>2</v>
      </c>
      <c r="BP257" s="356" t="n">
        <f aca="false">+BM257</f>
        <v>0</v>
      </c>
      <c r="BQ257" s="407"/>
      <c r="BR257" s="363" t="s">
        <v>362</v>
      </c>
      <c r="BS257" s="356" t="n">
        <f aca="false">+BP256</f>
        <v>0</v>
      </c>
      <c r="BT257" s="407"/>
      <c r="BU257" s="363"/>
      <c r="BV257" s="356" t="n">
        <f aca="false">COUNTIF($M$257,BU257)*$D$46</f>
        <v>0</v>
      </c>
      <c r="BW257" s="407"/>
      <c r="BX257" s="363"/>
      <c r="BY257" s="356" t="n">
        <f aca="false">COUNTIF($M$257,BX257)*$D$46</f>
        <v>0</v>
      </c>
      <c r="BZ257" s="407"/>
      <c r="CA257" s="363"/>
      <c r="CB257" s="356" t="n">
        <f aca="false">COUNTIF($M$257,CA257)*$D$46</f>
        <v>0</v>
      </c>
      <c r="CC257" s="407"/>
      <c r="CD257" s="363"/>
      <c r="CE257" s="356" t="n">
        <f aca="false">COUNTIF($M$257,CD257)*$D$46</f>
        <v>0</v>
      </c>
      <c r="CF257" s="407"/>
      <c r="CG257" s="363"/>
      <c r="CH257" s="356" t="n">
        <f aca="false">COUNTIF($M$257,CG257)*$D$46</f>
        <v>0</v>
      </c>
      <c r="CI257" s="407"/>
      <c r="CJ257" s="363"/>
      <c r="CK257" s="356" t="n">
        <f aca="false">COUNTIF($M$257,CJ257)*$D$46</f>
        <v>0</v>
      </c>
      <c r="CL257" s="407"/>
      <c r="CM257" s="363"/>
      <c r="CN257" s="356" t="n">
        <f aca="false">COUNTIF($M$257,CM257)*$D$46</f>
        <v>0</v>
      </c>
      <c r="CO257" s="407"/>
      <c r="CP257" s="363"/>
      <c r="CQ257" s="356" t="n">
        <f aca="false">COUNTIF($M$257,CP257)*$D$46</f>
        <v>0</v>
      </c>
      <c r="CR257" s="407"/>
      <c r="CS257" s="363"/>
      <c r="CT257" s="356" t="n">
        <f aca="false">COUNTIF($M$257,CS257)*$D$46</f>
        <v>0</v>
      </c>
      <c r="CU257" s="407"/>
      <c r="CV257" s="363"/>
      <c r="CW257" s="356" t="n">
        <f aca="false">COUNTIF($M$257,CV257)*$D$46</f>
        <v>0</v>
      </c>
      <c r="CX257" s="407"/>
      <c r="CY257" s="363"/>
      <c r="CZ257" s="356" t="n">
        <f aca="false">COUNTIF($M$257,CY257)*$D$46</f>
        <v>0</v>
      </c>
      <c r="DA257" s="407"/>
      <c r="DB257" s="363"/>
      <c r="DC257" s="356" t="n">
        <f aca="false">COUNTIF($M$257,DB257)*$D$46</f>
        <v>0</v>
      </c>
      <c r="DD257" s="407"/>
      <c r="DE257" s="363"/>
      <c r="DF257" s="356" t="n">
        <f aca="false">COUNTIF($M$257,DE257)*$D$46</f>
        <v>0</v>
      </c>
      <c r="DG257" s="407"/>
      <c r="DH257" s="363"/>
      <c r="DI257" s="356" t="n">
        <f aca="false">COUNTIF($M$257,DH257)*$D$46</f>
        <v>0</v>
      </c>
      <c r="DJ257" s="407"/>
      <c r="DK257" s="363"/>
      <c r="DL257" s="356" t="n">
        <f aca="false">COUNTIF($M$257,DK257)*$D$46</f>
        <v>0</v>
      </c>
      <c r="DM257" s="407"/>
      <c r="DN257" s="363"/>
      <c r="DO257" s="356" t="n">
        <f aca="false">COUNTIF($M$257,DN257)*$D$46</f>
        <v>0</v>
      </c>
      <c r="DP257" s="407"/>
      <c r="DQ257" s="363"/>
      <c r="DR257" s="356" t="n">
        <f aca="false">COUNTIF($M$257,DQ257)*$D$46</f>
        <v>0</v>
      </c>
      <c r="DS257" s="407"/>
      <c r="DT257" s="363"/>
      <c r="DU257" s="356" t="n">
        <f aca="false">COUNTIF($M$257,DT257)*$D$46</f>
        <v>0</v>
      </c>
      <c r="DV257" s="407"/>
      <c r="DW257" s="363"/>
      <c r="DX257" s="356" t="n">
        <f aca="false">COUNTIF($M$257,DW257)*$D$46</f>
        <v>0</v>
      </c>
      <c r="DY257" s="407"/>
      <c r="DZ257" s="363"/>
      <c r="EA257" s="356" t="n">
        <f aca="false">COUNTIF($M$257,DZ257)*$D$46</f>
        <v>0</v>
      </c>
      <c r="EB257" s="407"/>
      <c r="EC257" s="363"/>
      <c r="ED257" s="356" t="n">
        <f aca="false">COUNTIF($M$257,EC257)*$D$46</f>
        <v>0</v>
      </c>
      <c r="EE257" s="407"/>
      <c r="EF257" s="363"/>
      <c r="EG257" s="356" t="n">
        <f aca="false">COUNTIF($M$257,EF257)*$D$46</f>
        <v>0</v>
      </c>
      <c r="EH257" s="407"/>
      <c r="EI257" s="407"/>
    </row>
    <row r="258" customFormat="false" ht="15.75" hidden="false" customHeight="true" outlineLevel="0" collapsed="false">
      <c r="A258" s="332"/>
      <c r="B258" s="332"/>
      <c r="C258" s="422"/>
      <c r="D258" s="422"/>
      <c r="E258" s="422"/>
      <c r="F258" s="423" t="n">
        <f aca="false">D47</f>
        <v>20</v>
      </c>
      <c r="G258" s="423" t="n">
        <f aca="false">VLOOKUP(H258,Equipos!$Q$1:$R$25,2,0)</f>
        <v>24</v>
      </c>
      <c r="H258" s="410" t="str">
        <f aca="false">Idiomas!$D$264</f>
        <v>3-4 &amp; Final</v>
      </c>
      <c r="I258" s="410"/>
      <c r="J258" s="434"/>
      <c r="K258" s="396" t="str">
        <f aca="false">WORLDCUP!W160</f>
        <v>Equipo máximo goleador</v>
      </c>
      <c r="L258" s="396"/>
      <c r="M258" s="397" t="str">
        <f aca="false">WORLDCUP!AA160</f>
        <v>Escribe el equipo máximo goleador</v>
      </c>
      <c r="N258" s="332"/>
      <c r="O258" s="332"/>
      <c r="P258" s="332"/>
      <c r="Q258" s="332"/>
      <c r="R258" s="332"/>
      <c r="S258" s="398" t="s">
        <v>362</v>
      </c>
      <c r="T258" s="399" t="n">
        <f aca="false">Goleadores!K41</f>
        <v>0</v>
      </c>
      <c r="U258" s="407"/>
      <c r="V258" s="398" t="s">
        <v>2</v>
      </c>
      <c r="W258" s="399" t="n">
        <f aca="false">Goleadores!K39</f>
        <v>0</v>
      </c>
      <c r="X258" s="407"/>
      <c r="Y258" s="398" t="s">
        <v>339</v>
      </c>
      <c r="Z258" s="399" t="n">
        <f aca="false">W257</f>
        <v>1</v>
      </c>
      <c r="AA258" s="407"/>
      <c r="AB258" s="398" t="s">
        <v>355</v>
      </c>
      <c r="AC258" s="399" t="n">
        <f aca="false">Goleadores!K26</f>
        <v>1</v>
      </c>
      <c r="AD258" s="407"/>
      <c r="AE258" s="398" t="s">
        <v>362</v>
      </c>
      <c r="AF258" s="399" t="n">
        <f aca="false">AC256</f>
        <v>0</v>
      </c>
      <c r="AG258" s="407"/>
      <c r="AH258" s="398" t="s">
        <v>374</v>
      </c>
      <c r="AI258" s="399" t="n">
        <f aca="false">Goleadores!K44</f>
        <v>0</v>
      </c>
      <c r="AJ258" s="407"/>
      <c r="AK258" s="398" t="s">
        <v>362</v>
      </c>
      <c r="AL258" s="399" t="n">
        <f aca="false">AF258</f>
        <v>0</v>
      </c>
      <c r="AM258" s="407"/>
      <c r="AN258" s="398" t="s">
        <v>2</v>
      </c>
      <c r="AO258" s="399" t="n">
        <f aca="false">AL257</f>
        <v>0</v>
      </c>
      <c r="AP258" s="407"/>
      <c r="AQ258" s="398" t="s">
        <v>347</v>
      </c>
      <c r="AR258" s="399" t="n">
        <f aca="false">+Goleadores!K20</f>
        <v>7</v>
      </c>
      <c r="AS258" s="407"/>
      <c r="AT258" s="398" t="s">
        <v>2</v>
      </c>
      <c r="AU258" s="399" t="n">
        <f aca="false">+AR256</f>
        <v>0</v>
      </c>
      <c r="AV258" s="407"/>
      <c r="AW258" s="398" t="s">
        <v>2</v>
      </c>
      <c r="AX258" s="399" t="n">
        <f aca="false">+Goleadores!K39</f>
        <v>0</v>
      </c>
      <c r="AY258" s="407"/>
      <c r="AZ258" s="398" t="s">
        <v>2</v>
      </c>
      <c r="BA258" s="399" t="n">
        <f aca="false">+AX258</f>
        <v>0</v>
      </c>
      <c r="BB258" s="407"/>
      <c r="BC258" s="398" t="s">
        <v>347</v>
      </c>
      <c r="BD258" s="399" t="n">
        <f aca="false">+Goleadores!K20</f>
        <v>7</v>
      </c>
      <c r="BE258" s="407"/>
      <c r="BF258" s="398" t="s">
        <v>370</v>
      </c>
      <c r="BG258" s="399" t="n">
        <f aca="false">+BD256</f>
        <v>0</v>
      </c>
      <c r="BH258" s="407"/>
      <c r="BI258" s="398" t="s">
        <v>339</v>
      </c>
      <c r="BJ258" s="399" t="n">
        <f aca="false">+BD257</f>
        <v>1</v>
      </c>
      <c r="BK258" s="407"/>
      <c r="BL258" s="398" t="s">
        <v>374</v>
      </c>
      <c r="BM258" s="399" t="n">
        <f aca="false">COUNTIF($M$258,BL258)*$D$47</f>
        <v>0</v>
      </c>
      <c r="BN258" s="407"/>
      <c r="BO258" s="398" t="s">
        <v>339</v>
      </c>
      <c r="BP258" s="399" t="n">
        <f aca="false">+Goleadores!K27</f>
        <v>1</v>
      </c>
      <c r="BQ258" s="407"/>
      <c r="BR258" s="398" t="s">
        <v>374</v>
      </c>
      <c r="BS258" s="399" t="n">
        <f aca="false">+BM258</f>
        <v>0</v>
      </c>
      <c r="BT258" s="407"/>
      <c r="BU258" s="398"/>
      <c r="BV258" s="399" t="n">
        <f aca="false">COUNTIF($M$258,BU258)*$D$47</f>
        <v>0</v>
      </c>
      <c r="BW258" s="407"/>
      <c r="BX258" s="398"/>
      <c r="BY258" s="399" t="n">
        <f aca="false">COUNTIF($M$258,BX258)*$D$47</f>
        <v>0</v>
      </c>
      <c r="BZ258" s="407"/>
      <c r="CA258" s="398"/>
      <c r="CB258" s="399" t="n">
        <f aca="false">COUNTIF($M$258,CA258)*$D$47</f>
        <v>0</v>
      </c>
      <c r="CC258" s="407"/>
      <c r="CD258" s="398"/>
      <c r="CE258" s="399" t="n">
        <f aca="false">COUNTIF($M$258,CD258)*$D$47</f>
        <v>0</v>
      </c>
      <c r="CF258" s="407"/>
      <c r="CG258" s="398"/>
      <c r="CH258" s="399" t="n">
        <f aca="false">COUNTIF($M$258,CG258)*$D$47</f>
        <v>0</v>
      </c>
      <c r="CI258" s="407"/>
      <c r="CJ258" s="398"/>
      <c r="CK258" s="399" t="n">
        <f aca="false">COUNTIF($M$258,CJ258)*$D$47</f>
        <v>0</v>
      </c>
      <c r="CL258" s="407"/>
      <c r="CM258" s="398"/>
      <c r="CN258" s="399" t="n">
        <f aca="false">COUNTIF($M$258,CM258)*$D$47</f>
        <v>0</v>
      </c>
      <c r="CO258" s="407"/>
      <c r="CP258" s="398"/>
      <c r="CQ258" s="399" t="n">
        <f aca="false">COUNTIF($M$258,CP258)*$D$47</f>
        <v>0</v>
      </c>
      <c r="CR258" s="407"/>
      <c r="CS258" s="398"/>
      <c r="CT258" s="399" t="n">
        <f aca="false">COUNTIF($M$258,CS258)*$D$47</f>
        <v>0</v>
      </c>
      <c r="CU258" s="407"/>
      <c r="CV258" s="398"/>
      <c r="CW258" s="399" t="n">
        <f aca="false">COUNTIF($M$258,CV258)*$D$47</f>
        <v>0</v>
      </c>
      <c r="CX258" s="407"/>
      <c r="CY258" s="398"/>
      <c r="CZ258" s="399" t="n">
        <f aca="false">COUNTIF($M$258,CY258)*$D$47</f>
        <v>0</v>
      </c>
      <c r="DA258" s="407"/>
      <c r="DB258" s="398"/>
      <c r="DC258" s="399" t="n">
        <f aca="false">COUNTIF($M$258,DB258)*$D$47</f>
        <v>0</v>
      </c>
      <c r="DD258" s="407"/>
      <c r="DE258" s="398"/>
      <c r="DF258" s="399" t="n">
        <f aca="false">COUNTIF($M$258,DE258)*$D$47</f>
        <v>0</v>
      </c>
      <c r="DG258" s="407"/>
      <c r="DH258" s="398"/>
      <c r="DI258" s="399" t="n">
        <f aca="false">COUNTIF($M$258,DH258)*$D$47</f>
        <v>0</v>
      </c>
      <c r="DJ258" s="407"/>
      <c r="DK258" s="398"/>
      <c r="DL258" s="399" t="n">
        <f aca="false">COUNTIF($M$258,DK258)*$D$47</f>
        <v>0</v>
      </c>
      <c r="DM258" s="407"/>
      <c r="DN258" s="398"/>
      <c r="DO258" s="399" t="n">
        <f aca="false">COUNTIF($M$258,DN258)*$D$47</f>
        <v>0</v>
      </c>
      <c r="DP258" s="407"/>
      <c r="DQ258" s="398"/>
      <c r="DR258" s="399" t="n">
        <f aca="false">COUNTIF($M$258,DQ258)*$D$47</f>
        <v>0</v>
      </c>
      <c r="DS258" s="407"/>
      <c r="DT258" s="398"/>
      <c r="DU258" s="399" t="n">
        <f aca="false">COUNTIF($M$258,DT258)*$D$47</f>
        <v>0</v>
      </c>
      <c r="DV258" s="407"/>
      <c r="DW258" s="398"/>
      <c r="DX258" s="399" t="n">
        <f aca="false">COUNTIF($M$258,DW258)*$D$47</f>
        <v>0</v>
      </c>
      <c r="DY258" s="407"/>
      <c r="DZ258" s="398"/>
      <c r="EA258" s="399" t="n">
        <f aca="false">COUNTIF($M$258,DZ258)*$D$47</f>
        <v>0</v>
      </c>
      <c r="EB258" s="407"/>
      <c r="EC258" s="398"/>
      <c r="ED258" s="399" t="n">
        <f aca="false">COUNTIF($M$258,EC258)*$D$47</f>
        <v>0</v>
      </c>
      <c r="EE258" s="407"/>
      <c r="EF258" s="398"/>
      <c r="EG258" s="399" t="n">
        <f aca="false">COUNTIF($M$258,EF258)*$D$47</f>
        <v>0</v>
      </c>
      <c r="EH258" s="407"/>
      <c r="EI258" s="407"/>
    </row>
    <row r="259" customFormat="false" ht="15" hidden="false" customHeight="false" outlineLevel="0" collapsed="false">
      <c r="A259" s="327"/>
      <c r="B259" s="327"/>
      <c r="C259" s="410"/>
      <c r="D259" s="410"/>
      <c r="E259" s="410"/>
      <c r="F259" s="411"/>
      <c r="G259" s="412"/>
      <c r="H259" s="410"/>
      <c r="I259" s="410"/>
      <c r="J259" s="413"/>
      <c r="K259" s="414" t="str">
        <f aca="false">Idiomas!D469</f>
        <v>Cuadro de Honor </v>
      </c>
      <c r="L259" s="415"/>
      <c r="M259" s="414" t="str">
        <f aca="false">"Max: "&amp;SUM($D$39:$D$47)</f>
        <v>Max: 180</v>
      </c>
      <c r="N259" s="437"/>
      <c r="O259" s="437"/>
      <c r="P259" s="437"/>
      <c r="Q259" s="437"/>
      <c r="R259" s="437"/>
      <c r="S259" s="347"/>
      <c r="T259" s="347" t="n">
        <f aca="false">SUM(T250:T258)</f>
        <v>1</v>
      </c>
      <c r="U259" s="338"/>
      <c r="V259" s="347"/>
      <c r="W259" s="347" t="n">
        <f aca="false">SUM(W250:W258)</f>
        <v>1</v>
      </c>
      <c r="X259" s="338"/>
      <c r="Y259" s="347"/>
      <c r="Z259" s="347" t="n">
        <f aca="false">SUM(Z250:Z258)</f>
        <v>1</v>
      </c>
      <c r="AA259" s="338"/>
      <c r="AB259" s="347"/>
      <c r="AC259" s="347" t="n">
        <f aca="false">SUM(AC250:AC258)</f>
        <v>1</v>
      </c>
      <c r="AD259" s="338"/>
      <c r="AE259" s="347"/>
      <c r="AF259" s="347" t="n">
        <f aca="false">SUM(AF250:AF258)</f>
        <v>0</v>
      </c>
      <c r="AG259" s="338"/>
      <c r="AH259" s="347"/>
      <c r="AI259" s="347" t="n">
        <f aca="false">SUM(AI250:AI258)</f>
        <v>0</v>
      </c>
      <c r="AJ259" s="338"/>
      <c r="AK259" s="347"/>
      <c r="AL259" s="347" t="n">
        <f aca="false">SUM(AL250:AL258)</f>
        <v>1</v>
      </c>
      <c r="AM259" s="338"/>
      <c r="AN259" s="347"/>
      <c r="AO259" s="347" t="n">
        <f aca="false">SUM(AO250:AO258)</f>
        <v>8</v>
      </c>
      <c r="AP259" s="338"/>
      <c r="AQ259" s="347"/>
      <c r="AR259" s="347" t="n">
        <f aca="false">SUM(AR250:AR258)</f>
        <v>8</v>
      </c>
      <c r="AS259" s="338"/>
      <c r="AT259" s="347"/>
      <c r="AU259" s="347" t="n">
        <f aca="false">SUM(AU250:AU258)</f>
        <v>7</v>
      </c>
      <c r="AV259" s="338"/>
      <c r="AW259" s="347"/>
      <c r="AX259" s="347" t="n">
        <f aca="false">SUM(AX250:AX258)</f>
        <v>0</v>
      </c>
      <c r="AY259" s="338"/>
      <c r="AZ259" s="347"/>
      <c r="BA259" s="347" t="n">
        <f aca="false">SUM(BA250:BA258)</f>
        <v>0</v>
      </c>
      <c r="BB259" s="338"/>
      <c r="BC259" s="347"/>
      <c r="BD259" s="347" t="n">
        <f aca="false">SUM(BD250:BD258)</f>
        <v>8</v>
      </c>
      <c r="BE259" s="338"/>
      <c r="BF259" s="347"/>
      <c r="BG259" s="347" t="n">
        <f aca="false">SUM(BG250:BG258)</f>
        <v>0</v>
      </c>
      <c r="BH259" s="338"/>
      <c r="BI259" s="347"/>
      <c r="BJ259" s="347" t="n">
        <f aca="false">SUM(BJ250:BJ258)</f>
        <v>1</v>
      </c>
      <c r="BK259" s="338"/>
      <c r="BL259" s="347"/>
      <c r="BM259" s="347" t="n">
        <f aca="false">SUM(BM250:BM258)</f>
        <v>0</v>
      </c>
      <c r="BN259" s="338"/>
      <c r="BO259" s="347"/>
      <c r="BP259" s="347" t="n">
        <f aca="false">SUM(BP250:BP258)</f>
        <v>1</v>
      </c>
      <c r="BQ259" s="338"/>
      <c r="BR259" s="347"/>
      <c r="BS259" s="347" t="n">
        <f aca="false">SUM(BS250:BS258)</f>
        <v>0</v>
      </c>
      <c r="BT259" s="338"/>
      <c r="BU259" s="347"/>
      <c r="BV259" s="347" t="n">
        <f aca="false">SUM(BV250:BV258)</f>
        <v>0</v>
      </c>
      <c r="BW259" s="338"/>
      <c r="BX259" s="347"/>
      <c r="BY259" s="347" t="n">
        <f aca="false">SUM(BY250:BY258)</f>
        <v>0</v>
      </c>
      <c r="BZ259" s="338"/>
      <c r="CA259" s="347"/>
      <c r="CB259" s="347" t="n">
        <f aca="false">SUM(CB250:CB258)</f>
        <v>0</v>
      </c>
      <c r="CC259" s="338"/>
      <c r="CD259" s="347"/>
      <c r="CE259" s="347" t="n">
        <f aca="false">SUM(CE250:CE258)</f>
        <v>0</v>
      </c>
      <c r="CF259" s="338"/>
      <c r="CG259" s="347"/>
      <c r="CH259" s="347" t="n">
        <f aca="false">SUM(CH250:CH258)</f>
        <v>0</v>
      </c>
      <c r="CI259" s="338"/>
      <c r="CJ259" s="347"/>
      <c r="CK259" s="347" t="n">
        <f aca="false">SUM(CK250:CK258)</f>
        <v>0</v>
      </c>
      <c r="CL259" s="338"/>
      <c r="CM259" s="347"/>
      <c r="CN259" s="347" t="n">
        <f aca="false">SUM(CN250:CN258)</f>
        <v>0</v>
      </c>
      <c r="CO259" s="338"/>
      <c r="CP259" s="347"/>
      <c r="CQ259" s="347" t="n">
        <f aca="false">SUM(CQ250:CQ258)</f>
        <v>0</v>
      </c>
      <c r="CR259" s="338"/>
      <c r="CS259" s="347"/>
      <c r="CT259" s="347" t="n">
        <f aca="false">SUM(CT250:CT258)</f>
        <v>0</v>
      </c>
      <c r="CU259" s="338"/>
      <c r="CV259" s="347"/>
      <c r="CW259" s="347" t="n">
        <f aca="false">SUM(CW250:CW258)</f>
        <v>0</v>
      </c>
      <c r="CX259" s="338"/>
      <c r="CY259" s="347"/>
      <c r="CZ259" s="347" t="n">
        <f aca="false">SUM(CZ250:CZ258)</f>
        <v>0</v>
      </c>
      <c r="DA259" s="338"/>
      <c r="DB259" s="347"/>
      <c r="DC259" s="347" t="n">
        <f aca="false">SUM(DC250:DC258)</f>
        <v>0</v>
      </c>
      <c r="DD259" s="338"/>
      <c r="DE259" s="347"/>
      <c r="DF259" s="347" t="n">
        <f aca="false">SUM(DF250:DF258)</f>
        <v>0</v>
      </c>
      <c r="DG259" s="338"/>
      <c r="DH259" s="347"/>
      <c r="DI259" s="347" t="n">
        <f aca="false">SUM(DI250:DI258)</f>
        <v>0</v>
      </c>
      <c r="DJ259" s="338"/>
      <c r="DK259" s="347"/>
      <c r="DL259" s="347" t="n">
        <f aca="false">SUM(DL250:DL258)</f>
        <v>0</v>
      </c>
      <c r="DM259" s="338"/>
      <c r="DN259" s="347"/>
      <c r="DO259" s="347" t="n">
        <f aca="false">SUM(DO250:DO258)</f>
        <v>0</v>
      </c>
      <c r="DP259" s="338"/>
      <c r="DQ259" s="347"/>
      <c r="DR259" s="347" t="n">
        <f aca="false">SUM(DR250:DR258)</f>
        <v>0</v>
      </c>
      <c r="DS259" s="338"/>
      <c r="DT259" s="347"/>
      <c r="DU259" s="347" t="n">
        <f aca="false">SUM(DU250:DU258)</f>
        <v>0</v>
      </c>
      <c r="DV259" s="338"/>
      <c r="DW259" s="347"/>
      <c r="DX259" s="347" t="n">
        <f aca="false">SUM(DX250:DX258)</f>
        <v>0</v>
      </c>
      <c r="DY259" s="338"/>
      <c r="DZ259" s="347"/>
      <c r="EA259" s="347" t="n">
        <f aca="false">SUM(EA250:EA258)</f>
        <v>0</v>
      </c>
      <c r="EB259" s="338"/>
      <c r="EC259" s="347"/>
      <c r="ED259" s="347" t="n">
        <f aca="false">SUM(ED250:ED258)</f>
        <v>0</v>
      </c>
      <c r="EE259" s="338"/>
      <c r="EF259" s="347"/>
      <c r="EG259" s="347" t="n">
        <f aca="false">SUM(EG250:EG258)</f>
        <v>0</v>
      </c>
      <c r="EH259" s="338"/>
      <c r="EI259" s="338"/>
    </row>
    <row r="260" customFormat="false" ht="15" hidden="false" customHeight="false" outlineLevel="0" collapsed="false">
      <c r="A260" s="327"/>
      <c r="B260" s="327"/>
      <c r="C260" s="410"/>
      <c r="D260" s="410"/>
      <c r="E260" s="410"/>
      <c r="F260" s="411"/>
      <c r="G260" s="410"/>
      <c r="H260" s="410"/>
      <c r="I260" s="410"/>
      <c r="J260" s="413"/>
      <c r="K260" s="347"/>
      <c r="L260" s="333"/>
      <c r="M260" s="347"/>
      <c r="N260" s="332"/>
      <c r="O260" s="332"/>
      <c r="P260" s="332"/>
      <c r="Q260" s="332"/>
      <c r="R260" s="332"/>
      <c r="S260" s="347"/>
      <c r="T260" s="347"/>
      <c r="U260" s="338"/>
      <c r="V260" s="347"/>
      <c r="W260" s="347"/>
      <c r="X260" s="338"/>
      <c r="Y260" s="347"/>
      <c r="Z260" s="347"/>
      <c r="AA260" s="338"/>
      <c r="AB260" s="347"/>
      <c r="AC260" s="347"/>
      <c r="AD260" s="338"/>
      <c r="AE260" s="347"/>
      <c r="AF260" s="347"/>
      <c r="AG260" s="338"/>
      <c r="AH260" s="347"/>
      <c r="AI260" s="347"/>
      <c r="AJ260" s="338"/>
      <c r="AK260" s="347"/>
      <c r="AL260" s="347"/>
      <c r="AM260" s="338"/>
      <c r="AN260" s="347"/>
      <c r="AO260" s="347"/>
      <c r="AP260" s="338"/>
      <c r="AQ260" s="347"/>
      <c r="AR260" s="347"/>
      <c r="AS260" s="338"/>
      <c r="AT260" s="347"/>
      <c r="AU260" s="347"/>
      <c r="AV260" s="338"/>
      <c r="AW260" s="347"/>
      <c r="AX260" s="347"/>
      <c r="AY260" s="338"/>
      <c r="AZ260" s="347"/>
      <c r="BA260" s="347"/>
      <c r="BB260" s="338"/>
      <c r="BC260" s="347"/>
      <c r="BD260" s="347"/>
      <c r="BE260" s="338"/>
      <c r="BF260" s="347"/>
      <c r="BG260" s="347"/>
      <c r="BH260" s="338"/>
      <c r="BI260" s="347"/>
      <c r="BJ260" s="347"/>
      <c r="BK260" s="338"/>
      <c r="BL260" s="347"/>
      <c r="BM260" s="347"/>
      <c r="BN260" s="338"/>
      <c r="BO260" s="347"/>
      <c r="BP260" s="347"/>
      <c r="BQ260" s="338"/>
      <c r="BR260" s="347"/>
      <c r="BS260" s="347"/>
      <c r="BT260" s="338"/>
      <c r="BU260" s="347"/>
      <c r="BV260" s="347"/>
      <c r="BW260" s="338"/>
      <c r="BX260" s="347"/>
      <c r="BY260" s="347"/>
      <c r="BZ260" s="338"/>
      <c r="CA260" s="347"/>
      <c r="CB260" s="347"/>
      <c r="CC260" s="338"/>
      <c r="CD260" s="347"/>
      <c r="CE260" s="347"/>
      <c r="CF260" s="338"/>
      <c r="CG260" s="347"/>
      <c r="CH260" s="347"/>
      <c r="CI260" s="338"/>
      <c r="CJ260" s="347"/>
      <c r="CK260" s="347"/>
      <c r="CL260" s="338"/>
      <c r="CM260" s="347"/>
      <c r="CN260" s="347"/>
      <c r="CO260" s="338"/>
      <c r="CP260" s="347"/>
      <c r="CQ260" s="347"/>
      <c r="CR260" s="338"/>
      <c r="CS260" s="347"/>
      <c r="CT260" s="347"/>
      <c r="CU260" s="338"/>
      <c r="CV260" s="347"/>
      <c r="CW260" s="347"/>
      <c r="CX260" s="338"/>
      <c r="CY260" s="347"/>
      <c r="CZ260" s="347"/>
      <c r="DA260" s="338"/>
      <c r="DB260" s="347"/>
      <c r="DC260" s="347"/>
      <c r="DD260" s="338"/>
      <c r="DE260" s="347"/>
      <c r="DF260" s="347"/>
      <c r="DG260" s="338"/>
      <c r="DH260" s="347"/>
      <c r="DI260" s="347"/>
      <c r="DJ260" s="338"/>
      <c r="DK260" s="347"/>
      <c r="DL260" s="347"/>
      <c r="DM260" s="338"/>
      <c r="DN260" s="347"/>
      <c r="DO260" s="347"/>
      <c r="DP260" s="338"/>
      <c r="DQ260" s="347"/>
      <c r="DR260" s="347"/>
      <c r="DS260" s="338"/>
      <c r="DT260" s="347"/>
      <c r="DU260" s="347"/>
      <c r="DV260" s="338"/>
      <c r="DW260" s="347"/>
      <c r="DX260" s="347"/>
      <c r="DY260" s="338"/>
      <c r="DZ260" s="347"/>
      <c r="EA260" s="347"/>
      <c r="EB260" s="338"/>
      <c r="EC260" s="347"/>
      <c r="ED260" s="347"/>
      <c r="EE260" s="338"/>
      <c r="EF260" s="347"/>
      <c r="EG260" s="347"/>
      <c r="EH260" s="338"/>
      <c r="EI260" s="338"/>
    </row>
    <row r="261" s="1" customFormat="true" ht="15" hidden="false" customHeight="false" outlineLevel="0" collapsed="false">
      <c r="A261" s="332"/>
      <c r="B261" s="332"/>
      <c r="C261" s="422"/>
      <c r="D261" s="422"/>
      <c r="E261" s="422"/>
      <c r="F261" s="422"/>
      <c r="G261" s="422"/>
      <c r="H261" s="422"/>
      <c r="I261" s="422"/>
      <c r="J261" s="248"/>
      <c r="K261" s="248"/>
      <c r="L261" s="248"/>
      <c r="M261" s="248"/>
      <c r="N261" s="332"/>
      <c r="O261" s="332"/>
      <c r="P261" s="332"/>
      <c r="Q261" s="332"/>
      <c r="R261" s="332"/>
      <c r="S261" s="248"/>
      <c r="T261" s="248"/>
      <c r="U261" s="248"/>
      <c r="V261" s="248"/>
      <c r="W261" s="248"/>
      <c r="X261" s="248"/>
      <c r="Y261" s="248"/>
      <c r="Z261" s="248"/>
      <c r="AA261" s="248"/>
      <c r="AB261" s="248"/>
      <c r="AC261" s="248"/>
      <c r="AD261" s="248"/>
      <c r="AE261" s="248"/>
      <c r="AF261" s="248"/>
      <c r="AG261" s="248"/>
      <c r="AH261" s="248"/>
      <c r="AI261" s="248"/>
      <c r="AJ261" s="248"/>
      <c r="AK261" s="248"/>
      <c r="AL261" s="248"/>
      <c r="AM261" s="248"/>
      <c r="AN261" s="248"/>
      <c r="AO261" s="248"/>
      <c r="AP261" s="248"/>
      <c r="AQ261" s="248"/>
      <c r="AR261" s="248"/>
      <c r="AS261" s="248"/>
      <c r="AT261" s="248"/>
      <c r="AU261" s="248"/>
      <c r="AV261" s="248"/>
      <c r="AW261" s="248"/>
      <c r="AX261" s="248"/>
      <c r="AY261" s="248"/>
      <c r="AZ261" s="248"/>
      <c r="BA261" s="248"/>
      <c r="BB261" s="248"/>
      <c r="BC261" s="248"/>
      <c r="BD261" s="248"/>
      <c r="BE261" s="248"/>
      <c r="BF261" s="248"/>
      <c r="BG261" s="248"/>
      <c r="BH261" s="248"/>
      <c r="BI261" s="248"/>
      <c r="BJ261" s="248"/>
      <c r="BK261" s="248"/>
      <c r="BL261" s="248"/>
      <c r="BM261" s="248"/>
      <c r="BN261" s="248"/>
      <c r="BO261" s="248"/>
      <c r="BP261" s="248"/>
      <c r="BQ261" s="248"/>
      <c r="BR261" s="248"/>
      <c r="BS261" s="248"/>
      <c r="BT261" s="248"/>
      <c r="BU261" s="248"/>
      <c r="BV261" s="248"/>
      <c r="BW261" s="248"/>
      <c r="BX261" s="248"/>
      <c r="BY261" s="248"/>
      <c r="BZ261" s="248"/>
      <c r="CA261" s="248"/>
      <c r="CB261" s="248"/>
      <c r="CC261" s="248"/>
      <c r="CD261" s="248"/>
      <c r="CE261" s="248"/>
      <c r="CF261" s="248"/>
      <c r="CG261" s="248"/>
      <c r="CH261" s="248"/>
      <c r="CI261" s="248"/>
      <c r="CJ261" s="248"/>
      <c r="CK261" s="248"/>
      <c r="CL261" s="248"/>
      <c r="CM261" s="248"/>
      <c r="CN261" s="248"/>
      <c r="CO261" s="248"/>
      <c r="CP261" s="248"/>
      <c r="CQ261" s="248"/>
      <c r="CR261" s="248"/>
      <c r="CS261" s="248"/>
      <c r="CT261" s="248"/>
      <c r="CU261" s="248"/>
      <c r="CV261" s="248"/>
      <c r="CW261" s="248"/>
      <c r="CX261" s="248"/>
      <c r="CY261" s="248"/>
      <c r="CZ261" s="248"/>
      <c r="DA261" s="248"/>
      <c r="DB261" s="248"/>
      <c r="DC261" s="248"/>
      <c r="DD261" s="248"/>
      <c r="DE261" s="248"/>
      <c r="DF261" s="248"/>
      <c r="DG261" s="248"/>
      <c r="DH261" s="248"/>
      <c r="DI261" s="248"/>
      <c r="DJ261" s="248"/>
      <c r="DK261" s="248"/>
      <c r="DL261" s="248"/>
      <c r="DM261" s="248"/>
      <c r="DN261" s="248"/>
      <c r="DO261" s="248"/>
      <c r="DP261" s="248"/>
      <c r="DQ261" s="248"/>
      <c r="DR261" s="248"/>
      <c r="DS261" s="248"/>
      <c r="DT261" s="248"/>
      <c r="DU261" s="248"/>
      <c r="DV261" s="248"/>
      <c r="DW261" s="248"/>
      <c r="DX261" s="248"/>
      <c r="DY261" s="248"/>
      <c r="DZ261" s="248"/>
      <c r="EA261" s="248"/>
      <c r="EB261" s="248"/>
      <c r="EC261" s="248"/>
      <c r="ED261" s="248"/>
      <c r="EE261" s="248"/>
      <c r="EF261" s="248"/>
      <c r="EG261" s="248"/>
      <c r="EH261" s="248"/>
      <c r="EI261" s="248"/>
    </row>
    <row r="262" s="1" customFormat="true" ht="15" hidden="false" customHeight="false" outlineLevel="0" collapsed="false">
      <c r="A262" s="332"/>
      <c r="B262" s="332"/>
      <c r="C262" s="422"/>
      <c r="D262" s="422"/>
      <c r="E262" s="422"/>
      <c r="F262" s="422"/>
      <c r="G262" s="422"/>
      <c r="H262" s="422"/>
      <c r="I262" s="422"/>
      <c r="J262" s="315" t="s">
        <v>404</v>
      </c>
      <c r="K262" s="315"/>
      <c r="L262" s="315"/>
      <c r="M262" s="28" t="n">
        <f aca="false">DailyClas!I1</f>
        <v>46188</v>
      </c>
      <c r="N262" s="332"/>
      <c r="O262" s="332"/>
      <c r="P262" s="332"/>
      <c r="Q262" s="332"/>
      <c r="R262" s="332"/>
      <c r="S262" s="315"/>
      <c r="T262" s="315"/>
      <c r="U262" s="315"/>
      <c r="V262" s="315"/>
      <c r="W262" s="315"/>
      <c r="X262" s="315"/>
      <c r="Y262" s="315"/>
      <c r="Z262" s="315"/>
      <c r="AA262" s="315"/>
      <c r="AB262" s="315"/>
      <c r="AC262" s="315"/>
      <c r="AD262" s="315"/>
      <c r="AE262" s="315"/>
      <c r="AF262" s="315"/>
      <c r="AG262" s="315"/>
      <c r="AH262" s="315"/>
      <c r="AI262" s="315"/>
      <c r="AJ262" s="315"/>
      <c r="AK262" s="315"/>
      <c r="AL262" s="315"/>
      <c r="AM262" s="315"/>
      <c r="AN262" s="315"/>
      <c r="AO262" s="315"/>
      <c r="AP262" s="315"/>
      <c r="AQ262" s="315"/>
      <c r="AR262" s="315"/>
      <c r="AS262" s="315"/>
      <c r="AT262" s="315"/>
      <c r="AU262" s="315"/>
      <c r="AV262" s="315"/>
      <c r="AW262" s="315"/>
      <c r="AX262" s="315"/>
      <c r="AY262" s="315"/>
      <c r="AZ262" s="315"/>
      <c r="BA262" s="315"/>
      <c r="BB262" s="315"/>
      <c r="BC262" s="315"/>
      <c r="BD262" s="315"/>
      <c r="BE262" s="315"/>
      <c r="BF262" s="315"/>
      <c r="BG262" s="315"/>
      <c r="BH262" s="315"/>
      <c r="BI262" s="315"/>
      <c r="BJ262" s="315"/>
      <c r="BK262" s="315"/>
      <c r="BL262" s="315"/>
      <c r="BM262" s="315"/>
      <c r="BN262" s="315"/>
      <c r="BO262" s="315"/>
      <c r="BP262" s="315"/>
      <c r="BQ262" s="315"/>
      <c r="BR262" s="315"/>
      <c r="BS262" s="315"/>
      <c r="BT262" s="315"/>
      <c r="BU262" s="315"/>
      <c r="BV262" s="315"/>
      <c r="BW262" s="315"/>
      <c r="BX262" s="315"/>
      <c r="BY262" s="315"/>
      <c r="BZ262" s="315"/>
      <c r="CA262" s="315"/>
      <c r="CB262" s="315"/>
      <c r="CC262" s="315"/>
      <c r="CD262" s="315"/>
      <c r="CE262" s="315"/>
      <c r="CF262" s="315"/>
      <c r="CG262" s="315"/>
      <c r="CH262" s="315"/>
      <c r="CI262" s="315"/>
      <c r="CJ262" s="315"/>
      <c r="CK262" s="315"/>
      <c r="CL262" s="315"/>
      <c r="CM262" s="315"/>
      <c r="CN262" s="315"/>
      <c r="CO262" s="315"/>
      <c r="CP262" s="315"/>
      <c r="CQ262" s="315"/>
      <c r="CR262" s="315"/>
      <c r="CS262" s="315"/>
      <c r="CT262" s="315"/>
      <c r="CU262" s="315"/>
      <c r="CV262" s="315"/>
      <c r="CW262" s="315"/>
      <c r="CX262" s="315"/>
      <c r="CY262" s="315"/>
      <c r="CZ262" s="315"/>
      <c r="DA262" s="315"/>
      <c r="DB262" s="315"/>
      <c r="DC262" s="315"/>
      <c r="DD262" s="315"/>
      <c r="DE262" s="315"/>
      <c r="DF262" s="315"/>
      <c r="DG262" s="315"/>
      <c r="DH262" s="315"/>
      <c r="DI262" s="315"/>
      <c r="DJ262" s="315"/>
      <c r="DK262" s="315"/>
      <c r="DL262" s="315"/>
      <c r="DM262" s="315"/>
      <c r="DN262" s="315"/>
      <c r="DO262" s="315"/>
      <c r="DP262" s="315"/>
      <c r="DQ262" s="315"/>
      <c r="DR262" s="315"/>
      <c r="DS262" s="315"/>
      <c r="DT262" s="315"/>
      <c r="DU262" s="315"/>
      <c r="DV262" s="315"/>
      <c r="DW262" s="315"/>
      <c r="DX262" s="315"/>
      <c r="DY262" s="315"/>
      <c r="DZ262" s="315"/>
      <c r="EA262" s="315"/>
      <c r="EB262" s="315"/>
      <c r="EC262" s="315"/>
      <c r="ED262" s="315"/>
      <c r="EE262" s="315"/>
      <c r="EF262" s="315"/>
      <c r="EG262" s="315"/>
      <c r="EH262" s="315"/>
      <c r="EI262" s="248"/>
    </row>
    <row r="263" s="1" customFormat="true" ht="15" hidden="false" customHeight="false" outlineLevel="0" collapsed="false">
      <c r="A263" s="332"/>
      <c r="B263" s="332"/>
      <c r="C263" s="332"/>
      <c r="D263" s="332"/>
      <c r="E263" s="332"/>
      <c r="F263" s="332"/>
      <c r="G263" s="332"/>
      <c r="H263" s="332"/>
      <c r="I263" s="248"/>
      <c r="J263" s="315"/>
      <c r="K263" s="315"/>
      <c r="L263" s="315"/>
      <c r="M263" s="315" t="s">
        <v>405</v>
      </c>
      <c r="N263" s="332"/>
      <c r="O263" s="332"/>
      <c r="P263" s="332"/>
      <c r="Q263" s="332"/>
      <c r="R263" s="332"/>
      <c r="S263" s="315" t="n">
        <f aca="true">RANK(S264,OFFSET($S$264,0,0,1,$D$5*3),0)</f>
        <v>1</v>
      </c>
      <c r="T263" s="315"/>
      <c r="U263" s="315"/>
      <c r="V263" s="315" t="n">
        <f aca="true">RANK(V264,OFFSET($S$264,0,0,1,$D$5*3),0)</f>
        <v>3</v>
      </c>
      <c r="W263" s="315"/>
      <c r="X263" s="315"/>
      <c r="Y263" s="315" t="n">
        <f aca="true">RANK(Y264,OFFSET($S$264,0,0,1,$D$5*3),0)</f>
        <v>9</v>
      </c>
      <c r="Z263" s="315"/>
      <c r="AA263" s="315"/>
      <c r="AB263" s="315" t="n">
        <f aca="true">RANK(AB264,OFFSET($S$264,0,0,1,$D$5*3),0)</f>
        <v>10</v>
      </c>
      <c r="AC263" s="315"/>
      <c r="AD263" s="315"/>
      <c r="AE263" s="315" t="n">
        <f aca="true">RANK(AE264,OFFSET($S$264,0,0,1,$D$5*3),0)</f>
        <v>11</v>
      </c>
      <c r="AF263" s="315"/>
      <c r="AG263" s="315"/>
      <c r="AH263" s="315" t="n">
        <f aca="true">RANK(AH264,OFFSET($S$264,0,0,1,$D$5*3),0)</f>
        <v>4</v>
      </c>
      <c r="AI263" s="315"/>
      <c r="AJ263" s="315"/>
      <c r="AK263" s="315" t="n">
        <f aca="true">RANK(AK264,OFFSET($S$264,0,0,1,$D$5*3),0)</f>
        <v>18</v>
      </c>
      <c r="AL263" s="315"/>
      <c r="AM263" s="315"/>
      <c r="AN263" s="315" t="n">
        <f aca="true">RANK(AN264,OFFSET($S$264,0,0,1,$D$5*3),0)</f>
        <v>5</v>
      </c>
      <c r="AO263" s="315"/>
      <c r="AP263" s="315"/>
      <c r="AQ263" s="315" t="n">
        <f aca="true">RANK(AQ264,OFFSET($S$264,0,0,1,$D$5*3),0)</f>
        <v>6</v>
      </c>
      <c r="AR263" s="315"/>
      <c r="AS263" s="315"/>
      <c r="AT263" s="315" t="n">
        <f aca="true">RANK(AT264,OFFSET($S$264,0,0,1,$D$5*3),0)</f>
        <v>7</v>
      </c>
      <c r="AU263" s="315"/>
      <c r="AV263" s="315"/>
      <c r="AW263" s="315" t="n">
        <f aca="true">RANK(AW264,OFFSET($S$264,0,0,1,$D$5*3),0)</f>
        <v>12</v>
      </c>
      <c r="AX263" s="315"/>
      <c r="AY263" s="315"/>
      <c r="AZ263" s="315" t="n">
        <f aca="true">RANK(AZ264,OFFSET($S$264,0,0,1,$D$5*3),0)</f>
        <v>13</v>
      </c>
      <c r="BA263" s="315"/>
      <c r="BB263" s="315"/>
      <c r="BC263" s="315" t="n">
        <f aca="true">RANK(BC264,OFFSET($S$264,0,0,1,$D$5*3),0)</f>
        <v>14</v>
      </c>
      <c r="BD263" s="315"/>
      <c r="BE263" s="315"/>
      <c r="BF263" s="315" t="n">
        <f aca="true">RANK(BF264,OFFSET($S$264,0,0,1,$D$5*3),0)</f>
        <v>15</v>
      </c>
      <c r="BG263" s="315"/>
      <c r="BH263" s="315"/>
      <c r="BI263" s="315" t="n">
        <f aca="true">RANK(BI264,OFFSET($S$264,0,0,1,$D$5*3),0)</f>
        <v>16</v>
      </c>
      <c r="BJ263" s="315"/>
      <c r="BK263" s="315"/>
      <c r="BL263" s="315" t="n">
        <f aca="true">RANK(BL264,OFFSET($S$264,0,0,1,$D$5*3),0)</f>
        <v>8</v>
      </c>
      <c r="BM263" s="315"/>
      <c r="BN263" s="315"/>
      <c r="BO263" s="315" t="n">
        <f aca="true">RANK(BO264,OFFSET($S$264,0,0,1,$D$5*3),0)</f>
        <v>2</v>
      </c>
      <c r="BP263" s="315"/>
      <c r="BQ263" s="315"/>
      <c r="BR263" s="315" t="n">
        <f aca="true">RANK(BR264,OFFSET($S$264,0,0,1,$D$5*3),0)</f>
        <v>17</v>
      </c>
      <c r="BS263" s="315"/>
      <c r="BT263" s="315"/>
      <c r="BU263" s="315" t="n">
        <f aca="true">RANK(BU264,OFFSET($S$264,0,0,1,$D$5*3),0)</f>
        <v>19</v>
      </c>
      <c r="BV263" s="315"/>
      <c r="BW263" s="315"/>
      <c r="BX263" s="315" t="n">
        <f aca="true">RANK(BX264,OFFSET($S$264,0,0,1,$D$5*3),0)</f>
        <v>20</v>
      </c>
      <c r="BY263" s="315"/>
      <c r="BZ263" s="315"/>
      <c r="CA263" s="315" t="n">
        <f aca="true">RANK(CA264,OFFSET($S$264,0,0,1,$D$5*3),0)</f>
        <v>21</v>
      </c>
      <c r="CB263" s="315"/>
      <c r="CC263" s="315"/>
      <c r="CD263" s="315" t="n">
        <f aca="true">RANK(CD264,OFFSET($S$264,0,0,1,$D$5*3),0)</f>
        <v>22</v>
      </c>
      <c r="CE263" s="315"/>
      <c r="CF263" s="315"/>
      <c r="CG263" s="315" t="n">
        <f aca="true">RANK(CG264,OFFSET($S$264,0,0,1,$D$5*3),0)</f>
        <v>23</v>
      </c>
      <c r="CH263" s="315"/>
      <c r="CI263" s="315"/>
      <c r="CJ263" s="315" t="n">
        <f aca="true">RANK(CJ264,OFFSET($S$264,0,0,1,$D$5*3),0)</f>
        <v>24</v>
      </c>
      <c r="CK263" s="315"/>
      <c r="CL263" s="315"/>
      <c r="CM263" s="315" t="n">
        <f aca="true">RANK(CM264,OFFSET($S$264,0,0,1,$D$5*3),0)</f>
        <v>25</v>
      </c>
      <c r="CN263" s="315"/>
      <c r="CO263" s="315"/>
      <c r="CP263" s="315" t="n">
        <f aca="true">RANK(CP264,OFFSET($S$264,0,0,1,$D$5*3),0)</f>
        <v>26</v>
      </c>
      <c r="CQ263" s="315"/>
      <c r="CR263" s="315"/>
      <c r="CS263" s="315" t="n">
        <f aca="true">RANK(CS264,OFFSET($S$264,0,0,1,$D$5*3),0)</f>
        <v>27</v>
      </c>
      <c r="CT263" s="315"/>
      <c r="CU263" s="315"/>
      <c r="CV263" s="315" t="n">
        <f aca="true">RANK(CV264,OFFSET($S$264,0,0,1,$D$5*3),0)</f>
        <v>28</v>
      </c>
      <c r="CW263" s="315"/>
      <c r="CX263" s="315"/>
      <c r="CY263" s="315" t="n">
        <f aca="true">RANK(CY264,OFFSET($S$264,0,0,1,$D$5*3),0)</f>
        <v>29</v>
      </c>
      <c r="CZ263" s="315"/>
      <c r="DA263" s="315"/>
      <c r="DB263" s="315" t="n">
        <f aca="true">RANK(DB264,OFFSET($S$264,0,0,1,$D$5*3),0)</f>
        <v>30</v>
      </c>
      <c r="DC263" s="315"/>
      <c r="DD263" s="315"/>
      <c r="DE263" s="315" t="n">
        <f aca="true">RANK(DE264,OFFSET($S$264,0,0,1,$D$5*3),0)</f>
        <v>31</v>
      </c>
      <c r="DF263" s="315"/>
      <c r="DG263" s="315"/>
      <c r="DH263" s="315" t="n">
        <f aca="true">RANK(DH264,OFFSET($S$264,0,0,1,$D$5*3),0)</f>
        <v>32</v>
      </c>
      <c r="DI263" s="315"/>
      <c r="DJ263" s="315"/>
      <c r="DK263" s="315" t="n">
        <f aca="true">RANK(DK264,OFFSET($S$264,0,0,1,$D$5*3),0)</f>
        <v>33</v>
      </c>
      <c r="DL263" s="315"/>
      <c r="DM263" s="315"/>
      <c r="DN263" s="315" t="n">
        <f aca="true">RANK(DN264,OFFSET($S$264,0,0,1,$D$5*3),0)</f>
        <v>34</v>
      </c>
      <c r="DO263" s="315"/>
      <c r="DP263" s="315"/>
      <c r="DQ263" s="315" t="n">
        <f aca="true">RANK(DQ264,OFFSET($S$264,0,0,1,$D$5*3),0)</f>
        <v>35</v>
      </c>
      <c r="DR263" s="315"/>
      <c r="DS263" s="315"/>
      <c r="DT263" s="315" t="n">
        <f aca="true">RANK(DT264,OFFSET($S$264,0,0,1,$D$5*3),0)</f>
        <v>36</v>
      </c>
      <c r="DU263" s="315"/>
      <c r="DV263" s="315"/>
      <c r="DW263" s="315" t="n">
        <f aca="true">RANK(DW264,OFFSET($S$264,0,0,1,$D$5*3),0)</f>
        <v>37</v>
      </c>
      <c r="DX263" s="315"/>
      <c r="DY263" s="315"/>
      <c r="DZ263" s="315" t="n">
        <f aca="true">RANK(DZ264,OFFSET($S$264,0,0,1,$D$5*3),0)</f>
        <v>38</v>
      </c>
      <c r="EA263" s="315"/>
      <c r="EB263" s="315"/>
      <c r="EC263" s="315" t="n">
        <f aca="true">RANK(EC264,OFFSET($S$264,0,0,1,$D$5*3),0)</f>
        <v>39</v>
      </c>
      <c r="ED263" s="315"/>
      <c r="EE263" s="315"/>
      <c r="EF263" s="315" t="n">
        <f aca="true">RANK(EF264,OFFSET($S$264,0,0,1,$D$5*3),0)</f>
        <v>40</v>
      </c>
      <c r="EG263" s="315"/>
      <c r="EH263" s="315"/>
      <c r="EI263" s="248"/>
    </row>
    <row r="264" s="1" customFormat="true" ht="15" hidden="false" customHeight="false" outlineLevel="0" collapsed="false">
      <c r="A264" s="332"/>
      <c r="B264" s="332"/>
      <c r="C264" s="332"/>
      <c r="D264" s="332"/>
      <c r="E264" s="332"/>
      <c r="F264" s="332"/>
      <c r="G264" s="332"/>
      <c r="H264" s="332"/>
      <c r="I264" s="248"/>
      <c r="J264" s="315"/>
      <c r="K264" s="315"/>
      <c r="L264" s="315"/>
      <c r="M264" s="315" t="s">
        <v>406</v>
      </c>
      <c r="N264" s="332"/>
      <c r="O264" s="332"/>
      <c r="P264" s="332"/>
      <c r="Q264" s="332"/>
      <c r="R264" s="332"/>
      <c r="S264" s="315" t="n">
        <f aca="false">S266-(COLUMN()/10000)</f>
        <v>26.9981</v>
      </c>
      <c r="T264" s="315"/>
      <c r="U264" s="315"/>
      <c r="V264" s="315" t="n">
        <f aca="false">V266-(COLUMN()/10000)</f>
        <v>11.9978</v>
      </c>
      <c r="W264" s="315"/>
      <c r="X264" s="315"/>
      <c r="Y264" s="315" t="n">
        <f aca="false">Y266-(COLUMN()/10000)</f>
        <v>4.9975</v>
      </c>
      <c r="Z264" s="315"/>
      <c r="AA264" s="315"/>
      <c r="AB264" s="315" t="n">
        <f aca="false">AB266-(COLUMN()/10000)</f>
        <v>4.9972</v>
      </c>
      <c r="AC264" s="315"/>
      <c r="AD264" s="315"/>
      <c r="AE264" s="315" t="n">
        <f aca="false">AE266-(COLUMN()/10000)</f>
        <v>4.9969</v>
      </c>
      <c r="AF264" s="315"/>
      <c r="AG264" s="315"/>
      <c r="AH264" s="315" t="n">
        <f aca="false">AH266-(COLUMN()/10000)</f>
        <v>11.9966</v>
      </c>
      <c r="AI264" s="315"/>
      <c r="AJ264" s="315"/>
      <c r="AK264" s="315" t="n">
        <f aca="false">AK266-(COLUMN()/10000)</f>
        <v>-0.0037</v>
      </c>
      <c r="AL264" s="315"/>
      <c r="AM264" s="315"/>
      <c r="AN264" s="315" t="n">
        <f aca="false">AN266-(COLUMN()/10000)</f>
        <v>11.996</v>
      </c>
      <c r="AO264" s="315"/>
      <c r="AP264" s="315"/>
      <c r="AQ264" s="315" t="n">
        <f aca="false">AQ266-(COLUMN()/10000)</f>
        <v>11.9957</v>
      </c>
      <c r="AR264" s="315"/>
      <c r="AS264" s="315"/>
      <c r="AT264" s="315" t="n">
        <f aca="false">AT266-(COLUMN()/10000)</f>
        <v>11.9954</v>
      </c>
      <c r="AU264" s="315"/>
      <c r="AV264" s="315"/>
      <c r="AW264" s="315" t="n">
        <f aca="false">AW266-(COLUMN()/10000)</f>
        <v>4.9951</v>
      </c>
      <c r="AX264" s="315"/>
      <c r="AY264" s="315"/>
      <c r="AZ264" s="315" t="n">
        <f aca="false">AZ266-(COLUMN()/10000)</f>
        <v>4.9948</v>
      </c>
      <c r="BA264" s="315"/>
      <c r="BB264" s="315"/>
      <c r="BC264" s="315" t="n">
        <f aca="false">BC266-(COLUMN()/10000)</f>
        <v>4.9945</v>
      </c>
      <c r="BD264" s="315"/>
      <c r="BE264" s="315"/>
      <c r="BF264" s="315" t="n">
        <f aca="false">BF266-(COLUMN()/10000)</f>
        <v>4.9942</v>
      </c>
      <c r="BG264" s="315"/>
      <c r="BH264" s="315"/>
      <c r="BI264" s="315" t="n">
        <f aca="false">BI266-(COLUMN()/10000)</f>
        <v>4.9939</v>
      </c>
      <c r="BJ264" s="315"/>
      <c r="BK264" s="315"/>
      <c r="BL264" s="315" t="n">
        <f aca="false">BL266-(COLUMN()/10000)</f>
        <v>11.9936</v>
      </c>
      <c r="BM264" s="315"/>
      <c r="BN264" s="315"/>
      <c r="BO264" s="315" t="n">
        <f aca="false">BO266-(COLUMN()/10000)</f>
        <v>21.9933</v>
      </c>
      <c r="BP264" s="315"/>
      <c r="BQ264" s="315"/>
      <c r="BR264" s="315" t="n">
        <f aca="false">BR266-(COLUMN()/10000)</f>
        <v>4.993</v>
      </c>
      <c r="BS264" s="315"/>
      <c r="BT264" s="315"/>
      <c r="BU264" s="315" t="n">
        <f aca="false">BU266-(COLUMN()/10000)</f>
        <v>-0.0073</v>
      </c>
      <c r="BV264" s="315"/>
      <c r="BW264" s="315"/>
      <c r="BX264" s="315" t="n">
        <f aca="false">BX266-(COLUMN()/10000)</f>
        <v>-0.0076</v>
      </c>
      <c r="BY264" s="315"/>
      <c r="BZ264" s="315"/>
      <c r="CA264" s="315" t="n">
        <f aca="false">CA266-(COLUMN()/10000)</f>
        <v>-0.0079</v>
      </c>
      <c r="CB264" s="315"/>
      <c r="CC264" s="315"/>
      <c r="CD264" s="315" t="n">
        <f aca="false">CD266-(COLUMN()/10000)</f>
        <v>-0.0082</v>
      </c>
      <c r="CE264" s="315"/>
      <c r="CF264" s="315"/>
      <c r="CG264" s="315" t="n">
        <f aca="false">CG266-(COLUMN()/10000)</f>
        <v>-0.0085</v>
      </c>
      <c r="CH264" s="315"/>
      <c r="CI264" s="315"/>
      <c r="CJ264" s="315" t="n">
        <f aca="false">CJ266-(COLUMN()/10000)</f>
        <v>-0.0088</v>
      </c>
      <c r="CK264" s="315"/>
      <c r="CL264" s="315"/>
      <c r="CM264" s="315" t="n">
        <f aca="false">CM266-(COLUMN()/10000)</f>
        <v>-0.0091</v>
      </c>
      <c r="CN264" s="315"/>
      <c r="CO264" s="315"/>
      <c r="CP264" s="315" t="n">
        <f aca="false">CP266-(COLUMN()/10000)</f>
        <v>-0.0094</v>
      </c>
      <c r="CQ264" s="315"/>
      <c r="CR264" s="315"/>
      <c r="CS264" s="315" t="n">
        <f aca="false">CS266-(COLUMN()/10000)</f>
        <v>-0.0097</v>
      </c>
      <c r="CT264" s="315"/>
      <c r="CU264" s="315"/>
      <c r="CV264" s="315" t="n">
        <f aca="false">CV266-(COLUMN()/10000)</f>
        <v>-0.01</v>
      </c>
      <c r="CW264" s="315"/>
      <c r="CX264" s="315"/>
      <c r="CY264" s="315" t="n">
        <f aca="false">CY266-(COLUMN()/10000)</f>
        <v>-0.0103</v>
      </c>
      <c r="CZ264" s="315"/>
      <c r="DA264" s="315"/>
      <c r="DB264" s="315" t="n">
        <f aca="false">DB266-(COLUMN()/10000)</f>
        <v>-0.0106</v>
      </c>
      <c r="DC264" s="315"/>
      <c r="DD264" s="315"/>
      <c r="DE264" s="315" t="n">
        <f aca="false">DE266-(COLUMN()/10000)</f>
        <v>-0.0109</v>
      </c>
      <c r="DF264" s="315"/>
      <c r="DG264" s="315"/>
      <c r="DH264" s="315" t="n">
        <f aca="false">DH266-(COLUMN()/10000)</f>
        <v>-0.0112</v>
      </c>
      <c r="DI264" s="315"/>
      <c r="DJ264" s="315"/>
      <c r="DK264" s="315" t="n">
        <f aca="false">DK266-(COLUMN()/10000)</f>
        <v>-0.0115</v>
      </c>
      <c r="DL264" s="315"/>
      <c r="DM264" s="315"/>
      <c r="DN264" s="315" t="n">
        <f aca="false">DN266-(COLUMN()/10000)</f>
        <v>-0.0118</v>
      </c>
      <c r="DO264" s="315"/>
      <c r="DP264" s="315"/>
      <c r="DQ264" s="315" t="n">
        <f aca="false">DQ266-(COLUMN()/10000)</f>
        <v>-0.0121</v>
      </c>
      <c r="DR264" s="315"/>
      <c r="DS264" s="315"/>
      <c r="DT264" s="315" t="n">
        <f aca="false">DT266-(COLUMN()/10000)</f>
        <v>-0.0124</v>
      </c>
      <c r="DU264" s="315"/>
      <c r="DV264" s="315"/>
      <c r="DW264" s="315" t="n">
        <f aca="false">DW266-(COLUMN()/10000)</f>
        <v>-0.0127</v>
      </c>
      <c r="DX264" s="315"/>
      <c r="DY264" s="315"/>
      <c r="DZ264" s="315" t="n">
        <f aca="false">DZ266-(COLUMN()/10000)</f>
        <v>-0.013</v>
      </c>
      <c r="EA264" s="315"/>
      <c r="EB264" s="315"/>
      <c r="EC264" s="315" t="n">
        <f aca="false">EC266-(COLUMN()/10000)</f>
        <v>-0.0133</v>
      </c>
      <c r="ED264" s="315"/>
      <c r="EE264" s="315"/>
      <c r="EF264" s="315" t="n">
        <f aca="false">EF266-(COLUMN()/10000)</f>
        <v>-0.0136</v>
      </c>
      <c r="EG264" s="315"/>
      <c r="EH264" s="315"/>
      <c r="EI264" s="248"/>
    </row>
    <row r="265" s="1" customFormat="true" ht="15" hidden="false" customHeight="false" outlineLevel="0" collapsed="false">
      <c r="A265" s="332"/>
      <c r="B265" s="332"/>
      <c r="C265" s="332"/>
      <c r="D265" s="332"/>
      <c r="E265" s="332"/>
      <c r="F265" s="332"/>
      <c r="G265" s="332"/>
      <c r="H265" s="332"/>
      <c r="I265" s="248"/>
      <c r="J265" s="315"/>
      <c r="K265" s="315"/>
      <c r="L265" s="315"/>
      <c r="M265" s="315" t="s">
        <v>407</v>
      </c>
      <c r="N265" s="332"/>
      <c r="O265" s="332"/>
      <c r="P265" s="332"/>
      <c r="Q265" s="332"/>
      <c r="R265" s="332"/>
      <c r="S265" s="315" t="n">
        <f aca="true">RANK(S266,OFFSET($S$266,0,0,1,$D$5*3),0)</f>
        <v>1</v>
      </c>
      <c r="T265" s="315"/>
      <c r="U265" s="315"/>
      <c r="V265" s="315" t="n">
        <f aca="true">RANK(V266,OFFSET($S$266,0,0,1,$D$5*3),0)</f>
        <v>3</v>
      </c>
      <c r="W265" s="315"/>
      <c r="X265" s="315"/>
      <c r="Y265" s="315" t="n">
        <f aca="true">RANK(Y266,OFFSET($S$266,0,0,1,$D$5*3),0)</f>
        <v>9</v>
      </c>
      <c r="Z265" s="315"/>
      <c r="AA265" s="315"/>
      <c r="AB265" s="315" t="n">
        <f aca="true">RANK(AB266,OFFSET($S$266,0,0,1,$D$5*3),0)</f>
        <v>9</v>
      </c>
      <c r="AC265" s="315"/>
      <c r="AD265" s="315"/>
      <c r="AE265" s="315" t="n">
        <f aca="true">RANK(AE266,OFFSET($S$266,0,0,1,$D$5*3),0)</f>
        <v>9</v>
      </c>
      <c r="AF265" s="315"/>
      <c r="AG265" s="315"/>
      <c r="AH265" s="315" t="n">
        <f aca="true">RANK(AH266,OFFSET($S$266,0,0,1,$D$5*3),0)</f>
        <v>3</v>
      </c>
      <c r="AI265" s="315"/>
      <c r="AJ265" s="315"/>
      <c r="AK265" s="315" t="n">
        <f aca="true">RANK(AK266,OFFSET($S$266,0,0,1,$D$5*3),0)</f>
        <v>18</v>
      </c>
      <c r="AL265" s="315"/>
      <c r="AM265" s="315"/>
      <c r="AN265" s="315" t="n">
        <f aca="true">RANK(AN266,OFFSET($S$266,0,0,1,$D$5*3),0)</f>
        <v>3</v>
      </c>
      <c r="AO265" s="315"/>
      <c r="AP265" s="315"/>
      <c r="AQ265" s="315" t="n">
        <f aca="true">RANK(AQ266,OFFSET($S$266,0,0,1,$D$5*3),0)</f>
        <v>3</v>
      </c>
      <c r="AR265" s="315"/>
      <c r="AS265" s="315"/>
      <c r="AT265" s="315" t="n">
        <f aca="true">RANK(AT266,OFFSET($S$266,0,0,1,$D$5*3),0)</f>
        <v>3</v>
      </c>
      <c r="AU265" s="315"/>
      <c r="AV265" s="315"/>
      <c r="AW265" s="315" t="n">
        <f aca="true">RANK(AW266,OFFSET($S$266,0,0,1,$D$5*3),0)</f>
        <v>9</v>
      </c>
      <c r="AX265" s="315"/>
      <c r="AY265" s="315"/>
      <c r="AZ265" s="315" t="n">
        <f aca="true">RANK(AZ266,OFFSET($S$266,0,0,1,$D$5*3),0)</f>
        <v>9</v>
      </c>
      <c r="BA265" s="315"/>
      <c r="BB265" s="315"/>
      <c r="BC265" s="315" t="n">
        <f aca="true">RANK(BC266,OFFSET($S$266,0,0,1,$D$5*3),0)</f>
        <v>9</v>
      </c>
      <c r="BD265" s="315"/>
      <c r="BE265" s="315"/>
      <c r="BF265" s="315" t="n">
        <f aca="true">RANK(BF266,OFFSET($S$266,0,0,1,$D$5*3),0)</f>
        <v>9</v>
      </c>
      <c r="BG265" s="315"/>
      <c r="BH265" s="315"/>
      <c r="BI265" s="315" t="n">
        <f aca="true">RANK(BI266,OFFSET($S$266,0,0,1,$D$5*3),0)</f>
        <v>9</v>
      </c>
      <c r="BJ265" s="315"/>
      <c r="BK265" s="315"/>
      <c r="BL265" s="315" t="n">
        <f aca="true">RANK(BL266,OFFSET($S$266,0,0,1,$D$5*3),0)</f>
        <v>3</v>
      </c>
      <c r="BM265" s="315"/>
      <c r="BN265" s="315"/>
      <c r="BO265" s="315" t="n">
        <f aca="true">RANK(BO266,OFFSET($S$266,0,0,1,$D$5*3),0)</f>
        <v>2</v>
      </c>
      <c r="BP265" s="315"/>
      <c r="BQ265" s="315"/>
      <c r="BR265" s="315" t="n">
        <f aca="true">RANK(BR266,OFFSET($S$266,0,0,1,$D$5*3),0)</f>
        <v>9</v>
      </c>
      <c r="BS265" s="315"/>
      <c r="BT265" s="315"/>
      <c r="BU265" s="315" t="n">
        <f aca="true">RANK(BU266,OFFSET($S$266,0,0,1,$D$5*3),0)</f>
        <v>18</v>
      </c>
      <c r="BV265" s="315"/>
      <c r="BW265" s="315"/>
      <c r="BX265" s="315" t="n">
        <f aca="true">RANK(BX266,OFFSET($S$266,0,0,1,$D$5*3),0)</f>
        <v>18</v>
      </c>
      <c r="BY265" s="315"/>
      <c r="BZ265" s="315"/>
      <c r="CA265" s="315" t="n">
        <f aca="true">RANK(CA266,OFFSET($S$266,0,0,1,$D$5*3),0)</f>
        <v>18</v>
      </c>
      <c r="CB265" s="315"/>
      <c r="CC265" s="315"/>
      <c r="CD265" s="315" t="n">
        <f aca="true">RANK(CD266,OFFSET($S$266,0,0,1,$D$5*3),0)</f>
        <v>18</v>
      </c>
      <c r="CE265" s="315"/>
      <c r="CF265" s="315"/>
      <c r="CG265" s="315" t="n">
        <f aca="true">RANK(CG266,OFFSET($S$266,0,0,1,$D$5*3),0)</f>
        <v>18</v>
      </c>
      <c r="CH265" s="315"/>
      <c r="CI265" s="315"/>
      <c r="CJ265" s="315" t="n">
        <f aca="true">RANK(CJ266,OFFSET($S$266,0,0,1,$D$5*3),0)</f>
        <v>18</v>
      </c>
      <c r="CK265" s="315"/>
      <c r="CL265" s="315"/>
      <c r="CM265" s="315" t="n">
        <f aca="true">RANK(CM266,OFFSET($S$266,0,0,1,$D$5*3),0)</f>
        <v>18</v>
      </c>
      <c r="CN265" s="315"/>
      <c r="CO265" s="315"/>
      <c r="CP265" s="315" t="n">
        <f aca="true">RANK(CP266,OFFSET($S$266,0,0,1,$D$5*3),0)</f>
        <v>18</v>
      </c>
      <c r="CQ265" s="315"/>
      <c r="CR265" s="315"/>
      <c r="CS265" s="315" t="n">
        <f aca="true">RANK(CS266,OFFSET($S$266,0,0,1,$D$5*3),0)</f>
        <v>18</v>
      </c>
      <c r="CT265" s="315"/>
      <c r="CU265" s="315"/>
      <c r="CV265" s="315" t="n">
        <f aca="true">RANK(CV266,OFFSET($S$266,0,0,1,$D$5*3),0)</f>
        <v>18</v>
      </c>
      <c r="CW265" s="315"/>
      <c r="CX265" s="315"/>
      <c r="CY265" s="315" t="n">
        <f aca="true">RANK(CY266,OFFSET($S$266,0,0,1,$D$5*3),0)</f>
        <v>18</v>
      </c>
      <c r="CZ265" s="315"/>
      <c r="DA265" s="315"/>
      <c r="DB265" s="315" t="n">
        <f aca="true">RANK(DB266,OFFSET($S$266,0,0,1,$D$5*3),0)</f>
        <v>18</v>
      </c>
      <c r="DC265" s="315"/>
      <c r="DD265" s="315"/>
      <c r="DE265" s="315" t="n">
        <f aca="true">RANK(DE266,OFFSET($S$266,0,0,1,$D$5*3),0)</f>
        <v>18</v>
      </c>
      <c r="DF265" s="315"/>
      <c r="DG265" s="315"/>
      <c r="DH265" s="315" t="n">
        <f aca="true">RANK(DH266,OFFSET($S$266,0,0,1,$D$5*3),0)</f>
        <v>18</v>
      </c>
      <c r="DI265" s="315"/>
      <c r="DJ265" s="315"/>
      <c r="DK265" s="315" t="n">
        <f aca="true">RANK(DK266,OFFSET($S$266,0,0,1,$D$5*3),0)</f>
        <v>18</v>
      </c>
      <c r="DL265" s="315"/>
      <c r="DM265" s="315"/>
      <c r="DN265" s="315" t="n">
        <f aca="true">RANK(DN266,OFFSET($S$266,0,0,1,$D$5*3),0)</f>
        <v>18</v>
      </c>
      <c r="DO265" s="315"/>
      <c r="DP265" s="315"/>
      <c r="DQ265" s="315" t="n">
        <f aca="true">RANK(DQ266,OFFSET($S$266,0,0,1,$D$5*3),0)</f>
        <v>18</v>
      </c>
      <c r="DR265" s="315"/>
      <c r="DS265" s="315"/>
      <c r="DT265" s="315" t="n">
        <f aca="true">RANK(DT266,OFFSET($S$266,0,0,1,$D$5*3),0)</f>
        <v>18</v>
      </c>
      <c r="DU265" s="315"/>
      <c r="DV265" s="315"/>
      <c r="DW265" s="315" t="n">
        <f aca="true">RANK(DW266,OFFSET($S$266,0,0,1,$D$5*3),0)</f>
        <v>18</v>
      </c>
      <c r="DX265" s="315"/>
      <c r="DY265" s="315"/>
      <c r="DZ265" s="315" t="n">
        <f aca="true">RANK(DZ266,OFFSET($S$266,0,0,1,$D$5*3),0)</f>
        <v>18</v>
      </c>
      <c r="EA265" s="315"/>
      <c r="EB265" s="315"/>
      <c r="EC265" s="315" t="n">
        <f aca="true">RANK(EC266,OFFSET($S$266,0,0,1,$D$5*3),0)</f>
        <v>18</v>
      </c>
      <c r="ED265" s="315"/>
      <c r="EE265" s="315"/>
      <c r="EF265" s="315" t="n">
        <f aca="true">RANK(EF266,OFFSET($S$266,0,0,1,$D$5*3),0)</f>
        <v>18</v>
      </c>
      <c r="EG265" s="315"/>
      <c r="EH265" s="315"/>
      <c r="EI265" s="248"/>
    </row>
    <row r="266" s="1" customFormat="true" ht="15" hidden="false" customHeight="false" outlineLevel="0" collapsed="false">
      <c r="A266" s="332"/>
      <c r="B266" s="332"/>
      <c r="C266" s="332"/>
      <c r="D266" s="332"/>
      <c r="E266" s="332"/>
      <c r="F266" s="332"/>
      <c r="G266" s="332"/>
      <c r="H266" s="332"/>
      <c r="I266" s="248"/>
      <c r="J266" s="315"/>
      <c r="K266" s="315"/>
      <c r="L266" s="315"/>
      <c r="M266" s="315" t="s">
        <v>31</v>
      </c>
      <c r="N266" s="332"/>
      <c r="O266" s="332"/>
      <c r="P266" s="332"/>
      <c r="Q266" s="332"/>
      <c r="R266" s="332"/>
      <c r="S266" s="315" t="n">
        <f aca="false">SUMIFS((T6:T259),$H$6:$H$259,$M$262)</f>
        <v>27</v>
      </c>
      <c r="T266" s="315"/>
      <c r="U266" s="315"/>
      <c r="V266" s="315" t="n">
        <f aca="false">SUMIFS((W6:W259),$H$6:$H$259,$M$262)</f>
        <v>12</v>
      </c>
      <c r="W266" s="315"/>
      <c r="X266" s="315"/>
      <c r="Y266" s="315" t="n">
        <f aca="false">SUMIFS((Z6:Z259),$H$6:$H$259,$M$262)</f>
        <v>5</v>
      </c>
      <c r="Z266" s="315"/>
      <c r="AA266" s="315"/>
      <c r="AB266" s="315" t="n">
        <f aca="false">SUMIFS((AC6:AC259),$H$6:$H$259,$M$262)</f>
        <v>5</v>
      </c>
      <c r="AC266" s="315"/>
      <c r="AD266" s="315"/>
      <c r="AE266" s="315" t="n">
        <f aca="false">SUMIFS((AF6:AF259),$H$6:$H$259,$M$262)</f>
        <v>5</v>
      </c>
      <c r="AF266" s="315"/>
      <c r="AG266" s="315"/>
      <c r="AH266" s="315" t="n">
        <f aca="false">SUMIFS((AI6:AI259),$H$6:$H$259,$M$262)</f>
        <v>12</v>
      </c>
      <c r="AI266" s="315"/>
      <c r="AJ266" s="315"/>
      <c r="AK266" s="315" t="n">
        <f aca="false">SUMIFS((AL6:AL259),$H$6:$H$259,$M$262)</f>
        <v>0</v>
      </c>
      <c r="AL266" s="315"/>
      <c r="AM266" s="315"/>
      <c r="AN266" s="315" t="n">
        <f aca="false">SUMIFS((AO6:AO259),$H$6:$H$259,$M$262)</f>
        <v>12</v>
      </c>
      <c r="AO266" s="315"/>
      <c r="AP266" s="315"/>
      <c r="AQ266" s="315" t="n">
        <f aca="false">SUMIFS((AR6:AR259),$H$6:$H$259,$M$262)</f>
        <v>12</v>
      </c>
      <c r="AR266" s="315"/>
      <c r="AS266" s="315"/>
      <c r="AT266" s="315" t="n">
        <f aca="false">SUMIFS((AU6:AU259),$H$6:$H$259,$M$262)</f>
        <v>12</v>
      </c>
      <c r="AU266" s="315"/>
      <c r="AV266" s="315"/>
      <c r="AW266" s="315" t="n">
        <f aca="false">SUMIFS((AX6:AX259),$H$6:$H$259,$M$262)</f>
        <v>5</v>
      </c>
      <c r="AX266" s="315"/>
      <c r="AY266" s="315"/>
      <c r="AZ266" s="315" t="n">
        <f aca="false">SUMIFS((BA6:BA259),$H$6:$H$259,$M$262)</f>
        <v>5</v>
      </c>
      <c r="BA266" s="315"/>
      <c r="BB266" s="315"/>
      <c r="BC266" s="315" t="n">
        <f aca="false">SUMIFS((BD6:BD259),$H$6:$H$259,$M$262)</f>
        <v>5</v>
      </c>
      <c r="BD266" s="315"/>
      <c r="BE266" s="315"/>
      <c r="BF266" s="315" t="n">
        <f aca="false">SUMIFS((BG6:BG259),$H$6:$H$259,$M$262)</f>
        <v>5</v>
      </c>
      <c r="BG266" s="315"/>
      <c r="BH266" s="315"/>
      <c r="BI266" s="315" t="n">
        <f aca="false">SUMIFS((BJ6:BJ259),$H$6:$H$259,$M$262)</f>
        <v>5</v>
      </c>
      <c r="BJ266" s="315"/>
      <c r="BK266" s="315"/>
      <c r="BL266" s="315" t="n">
        <f aca="false">SUMIFS((BM6:BM259),$H$6:$H$259,$M$262)</f>
        <v>12</v>
      </c>
      <c r="BM266" s="315"/>
      <c r="BN266" s="315"/>
      <c r="BO266" s="315" t="n">
        <f aca="false">SUMIFS((BP6:BP259),$H$6:$H$259,$M$262)</f>
        <v>22</v>
      </c>
      <c r="BP266" s="315"/>
      <c r="BQ266" s="315"/>
      <c r="BR266" s="315" t="n">
        <f aca="false">SUMIFS((BS6:BS259),$H$6:$H$259,$M$262)</f>
        <v>5</v>
      </c>
      <c r="BS266" s="315"/>
      <c r="BT266" s="315"/>
      <c r="BU266" s="315" t="n">
        <f aca="false">SUMIFS((BV6:BV259),$H$6:$H$259,$M$262)</f>
        <v>0</v>
      </c>
      <c r="BV266" s="315"/>
      <c r="BW266" s="315"/>
      <c r="BX266" s="315" t="n">
        <f aca="false">SUMIFS((BY6:BY259),$H$6:$H$259,$M$262)</f>
        <v>0</v>
      </c>
      <c r="BY266" s="315"/>
      <c r="BZ266" s="315"/>
      <c r="CA266" s="315" t="n">
        <f aca="false">SUMIFS((CB6:CB259),$H$6:$H$259,$M$262)</f>
        <v>0</v>
      </c>
      <c r="CB266" s="315"/>
      <c r="CC266" s="315"/>
      <c r="CD266" s="315" t="n">
        <f aca="false">SUMIFS((CE6:CE259),$H$6:$H$259,$M$262)</f>
        <v>0</v>
      </c>
      <c r="CE266" s="315"/>
      <c r="CF266" s="315"/>
      <c r="CG266" s="315" t="n">
        <f aca="false">SUMIFS((CH6:CH259),$H$6:$H$259,$M$262)</f>
        <v>0</v>
      </c>
      <c r="CH266" s="315"/>
      <c r="CI266" s="315"/>
      <c r="CJ266" s="315" t="n">
        <f aca="false">SUMIFS((CK6:CK259),$H$6:$H$259,$M$262)</f>
        <v>0</v>
      </c>
      <c r="CK266" s="315"/>
      <c r="CL266" s="315"/>
      <c r="CM266" s="315" t="n">
        <f aca="false">SUMIFS((CN6:CN259),$H$6:$H$259,$M$262)</f>
        <v>0</v>
      </c>
      <c r="CN266" s="315"/>
      <c r="CO266" s="315"/>
      <c r="CP266" s="315" t="n">
        <f aca="false">SUMIFS((CQ6:CQ259),$H$6:$H$259,$M$262)</f>
        <v>0</v>
      </c>
      <c r="CQ266" s="315"/>
      <c r="CR266" s="315"/>
      <c r="CS266" s="315" t="n">
        <f aca="false">SUMIFS((CT6:CT259),$H$6:$H$259,$M$262)</f>
        <v>0</v>
      </c>
      <c r="CT266" s="315"/>
      <c r="CU266" s="315"/>
      <c r="CV266" s="315" t="n">
        <f aca="false">SUMIFS((CW6:CW259),$H$6:$H$259,$M$262)</f>
        <v>0</v>
      </c>
      <c r="CW266" s="315"/>
      <c r="CX266" s="315"/>
      <c r="CY266" s="315" t="n">
        <f aca="false">SUMIFS((CZ6:CZ259),$H$6:$H$259,$M$262)</f>
        <v>0</v>
      </c>
      <c r="CZ266" s="315"/>
      <c r="DA266" s="315"/>
      <c r="DB266" s="315" t="n">
        <f aca="false">SUMIFS((DC6:DC259),$H$6:$H$259,$M$262)</f>
        <v>0</v>
      </c>
      <c r="DC266" s="315"/>
      <c r="DD266" s="315"/>
      <c r="DE266" s="315" t="n">
        <f aca="false">SUMIFS((DF6:DF259),$H$6:$H$259,$M$262)</f>
        <v>0</v>
      </c>
      <c r="DF266" s="315"/>
      <c r="DG266" s="315"/>
      <c r="DH266" s="315" t="n">
        <f aca="false">SUMIFS((DI6:DI259),$H$6:$H$259,$M$262)</f>
        <v>0</v>
      </c>
      <c r="DI266" s="315"/>
      <c r="DJ266" s="315"/>
      <c r="DK266" s="315" t="n">
        <f aca="false">SUMIFS((DL6:DL259),$H$6:$H$259,$M$262)</f>
        <v>0</v>
      </c>
      <c r="DL266" s="315"/>
      <c r="DM266" s="315"/>
      <c r="DN266" s="315" t="n">
        <f aca="false">SUMIFS((DO6:DO259),$H$6:$H$259,$M$262)</f>
        <v>0</v>
      </c>
      <c r="DO266" s="315"/>
      <c r="DP266" s="315"/>
      <c r="DQ266" s="315" t="n">
        <f aca="false">SUMIFS((DR6:DR259),$H$6:$H$259,$M$262)</f>
        <v>0</v>
      </c>
      <c r="DR266" s="315"/>
      <c r="DS266" s="315"/>
      <c r="DT266" s="315" t="n">
        <f aca="false">SUMIFS((DU6:DU259),$H$6:$H$259,$M$262)</f>
        <v>0</v>
      </c>
      <c r="DU266" s="315"/>
      <c r="DV266" s="315"/>
      <c r="DW266" s="315" t="n">
        <f aca="false">SUMIFS((DX6:DX259),$H$6:$H$259,$M$262)</f>
        <v>0</v>
      </c>
      <c r="DX266" s="315"/>
      <c r="DY266" s="315"/>
      <c r="DZ266" s="315" t="n">
        <f aca="false">SUMIFS((EA6:EA259),$H$6:$H$259,$M$262)</f>
        <v>0</v>
      </c>
      <c r="EA266" s="315"/>
      <c r="EB266" s="315"/>
      <c r="EC266" s="315" t="n">
        <f aca="false">SUMIFS((ED6:ED259),$H$6:$H$259,$M$262)</f>
        <v>0</v>
      </c>
      <c r="ED266" s="315"/>
      <c r="EE266" s="315"/>
      <c r="EF266" s="315" t="n">
        <f aca="false">SUMIFS((EG6:EG259),$H$6:$H$259,$M$262)</f>
        <v>0</v>
      </c>
      <c r="EG266" s="315"/>
      <c r="EH266" s="315"/>
      <c r="EI266" s="248"/>
    </row>
    <row r="267" s="1" customFormat="true" ht="15" hidden="false" customHeight="false" outlineLevel="0" collapsed="false">
      <c r="A267" s="332"/>
      <c r="B267" s="248"/>
      <c r="C267" s="248"/>
      <c r="D267" s="248"/>
      <c r="E267" s="332"/>
      <c r="F267" s="332"/>
      <c r="G267" s="332"/>
      <c r="H267" s="332"/>
      <c r="I267" s="248"/>
      <c r="J267" s="315"/>
      <c r="K267" s="315"/>
      <c r="L267" s="315"/>
      <c r="M267" s="315" t="s">
        <v>408</v>
      </c>
      <c r="N267" s="332"/>
      <c r="O267" s="332"/>
      <c r="P267" s="332"/>
      <c r="Q267" s="332"/>
      <c r="R267" s="332"/>
      <c r="S267" s="315" t="str">
        <f aca="false">S5</f>
        <v>GORKA</v>
      </c>
      <c r="T267" s="315"/>
      <c r="U267" s="315"/>
      <c r="V267" s="315" t="str">
        <f aca="false">V5</f>
        <v>NOVE</v>
      </c>
      <c r="W267" s="315"/>
      <c r="X267" s="315"/>
      <c r="Y267" s="315" t="str">
        <f aca="false">Y5</f>
        <v>SERGIO</v>
      </c>
      <c r="Z267" s="315"/>
      <c r="AA267" s="315"/>
      <c r="AB267" s="315" t="str">
        <f aca="false">AB5</f>
        <v>JUANJO</v>
      </c>
      <c r="AC267" s="315"/>
      <c r="AD267" s="315"/>
      <c r="AE267" s="315" t="str">
        <f aca="false">AE5</f>
        <v>GARBAN</v>
      </c>
      <c r="AF267" s="315"/>
      <c r="AG267" s="315"/>
      <c r="AH267" s="315" t="str">
        <f aca="false">AH5</f>
        <v>JAVI</v>
      </c>
      <c r="AI267" s="315"/>
      <c r="AJ267" s="315"/>
      <c r="AK267" s="315" t="str">
        <f aca="false">AK5</f>
        <v>LAURA</v>
      </c>
      <c r="AL267" s="315"/>
      <c r="AM267" s="315"/>
      <c r="AN267" s="315" t="str">
        <f aca="false">AN5</f>
        <v>JUANMI</v>
      </c>
      <c r="AO267" s="315"/>
      <c r="AP267" s="315"/>
      <c r="AQ267" s="315" t="str">
        <f aca="false">AQ5</f>
        <v>JORGE</v>
      </c>
      <c r="AR267" s="315"/>
      <c r="AS267" s="315"/>
      <c r="AT267" s="315" t="str">
        <f aca="false">AT5</f>
        <v>ANDER</v>
      </c>
      <c r="AU267" s="315"/>
      <c r="AV267" s="315"/>
      <c r="AW267" s="315" t="str">
        <f aca="false">AW5</f>
        <v>BORJA</v>
      </c>
      <c r="AX267" s="315"/>
      <c r="AY267" s="315"/>
      <c r="AZ267" s="315" t="str">
        <f aca="false">AZ5</f>
        <v>MIKEL</v>
      </c>
      <c r="BA267" s="315"/>
      <c r="BB267" s="315"/>
      <c r="BC267" s="315" t="str">
        <f aca="false">BC5</f>
        <v>JON</v>
      </c>
      <c r="BD267" s="315"/>
      <c r="BE267" s="315"/>
      <c r="BF267" s="315" t="str">
        <f aca="false">BF5</f>
        <v>GALDER</v>
      </c>
      <c r="BG267" s="315"/>
      <c r="BH267" s="315"/>
      <c r="BI267" s="315" t="str">
        <f aca="false">BI5</f>
        <v>ASIER</v>
      </c>
      <c r="BJ267" s="315"/>
      <c r="BK267" s="315"/>
      <c r="BL267" s="315" t="str">
        <f aca="false">BL5</f>
        <v>PEIO</v>
      </c>
      <c r="BM267" s="315"/>
      <c r="BN267" s="315"/>
      <c r="BO267" s="315" t="str">
        <f aca="false">BO5</f>
        <v>GANEKO</v>
      </c>
      <c r="BP267" s="315"/>
      <c r="BQ267" s="315"/>
      <c r="BR267" s="315" t="str">
        <f aca="false">BR5</f>
        <v>AITOR</v>
      </c>
      <c r="BS267" s="315"/>
      <c r="BT267" s="315"/>
      <c r="BU267" s="315" t="str">
        <f aca="false">BU5</f>
        <v>Pegar Valores Nombre J19</v>
      </c>
      <c r="BV267" s="315"/>
      <c r="BW267" s="315"/>
      <c r="BX267" s="315" t="str">
        <f aca="false">BX5</f>
        <v>Pegar Valores Nombre J20</v>
      </c>
      <c r="BY267" s="315"/>
      <c r="BZ267" s="315"/>
      <c r="CA267" s="315" t="str">
        <f aca="false">CA5</f>
        <v>Pegar Valores Nombre J21</v>
      </c>
      <c r="CB267" s="315"/>
      <c r="CC267" s="315"/>
      <c r="CD267" s="315" t="str">
        <f aca="false">CD5</f>
        <v>Pegar Valores Nombre J22</v>
      </c>
      <c r="CE267" s="315"/>
      <c r="CF267" s="315"/>
      <c r="CG267" s="315" t="str">
        <f aca="false">CG5</f>
        <v>Pegar Valores Nombre J23</v>
      </c>
      <c r="CH267" s="315"/>
      <c r="CI267" s="315"/>
      <c r="CJ267" s="315" t="str">
        <f aca="false">CJ5</f>
        <v>Pegar Valores Nombre J24</v>
      </c>
      <c r="CK267" s="315"/>
      <c r="CL267" s="315"/>
      <c r="CM267" s="315" t="str">
        <f aca="false">CM5</f>
        <v>Pegar Valores Nombre J25</v>
      </c>
      <c r="CN267" s="315"/>
      <c r="CO267" s="315"/>
      <c r="CP267" s="315" t="str">
        <f aca="false">CP5</f>
        <v>Pegar Valores Nombre J26</v>
      </c>
      <c r="CQ267" s="315"/>
      <c r="CR267" s="315"/>
      <c r="CS267" s="315" t="str">
        <f aca="false">CS5</f>
        <v>Pegar Valores Nombre J27</v>
      </c>
      <c r="CT267" s="315"/>
      <c r="CU267" s="315"/>
      <c r="CV267" s="315" t="str">
        <f aca="false">CV5</f>
        <v>Pegar Valores Nombre J28</v>
      </c>
      <c r="CW267" s="315"/>
      <c r="CX267" s="315"/>
      <c r="CY267" s="315" t="str">
        <f aca="false">CY5</f>
        <v>Pegar Valores Nombre J29</v>
      </c>
      <c r="CZ267" s="315"/>
      <c r="DA267" s="315"/>
      <c r="DB267" s="315" t="str">
        <f aca="false">DB5</f>
        <v>Pegar Valores Nombre J30</v>
      </c>
      <c r="DC267" s="315"/>
      <c r="DD267" s="315"/>
      <c r="DE267" s="315" t="str">
        <f aca="false">DE5</f>
        <v>Pegar Valores Nombre J31</v>
      </c>
      <c r="DF267" s="315"/>
      <c r="DG267" s="315"/>
      <c r="DH267" s="315" t="str">
        <f aca="false">DH5</f>
        <v>Pegar Valores Nombre J32</v>
      </c>
      <c r="DI267" s="315"/>
      <c r="DJ267" s="315"/>
      <c r="DK267" s="315" t="str">
        <f aca="false">DK5</f>
        <v>Pegar Valores Nombre J33</v>
      </c>
      <c r="DL267" s="315"/>
      <c r="DM267" s="315"/>
      <c r="DN267" s="315" t="str">
        <f aca="false">DN5</f>
        <v>Pegar Valores Nombre J34</v>
      </c>
      <c r="DO267" s="315"/>
      <c r="DP267" s="315"/>
      <c r="DQ267" s="315" t="str">
        <f aca="false">DQ5</f>
        <v>Pegar Valores Nombre J35</v>
      </c>
      <c r="DR267" s="315"/>
      <c r="DS267" s="315"/>
      <c r="DT267" s="315" t="str">
        <f aca="false">DT5</f>
        <v>Pegar Valores Nombre J36</v>
      </c>
      <c r="DU267" s="315"/>
      <c r="DV267" s="315"/>
      <c r="DW267" s="315" t="str">
        <f aca="false">DW5</f>
        <v>Pegar Valores Nombre J37</v>
      </c>
      <c r="DX267" s="315"/>
      <c r="DY267" s="315"/>
      <c r="DZ267" s="315" t="str">
        <f aca="false">DZ5</f>
        <v>Pegar Valores Nombre J38</v>
      </c>
      <c r="EA267" s="315"/>
      <c r="EB267" s="315"/>
      <c r="EC267" s="315" t="str">
        <f aca="false">EC5</f>
        <v>Pegar Valores Nombre J39</v>
      </c>
      <c r="ED267" s="315"/>
      <c r="EE267" s="315"/>
      <c r="EF267" s="315" t="str">
        <f aca="false">EF5</f>
        <v>Pegar Valores Nombre J40</v>
      </c>
      <c r="EG267" s="315"/>
      <c r="EH267" s="315"/>
      <c r="EI267" s="248"/>
    </row>
    <row r="268" s="1" customFormat="true" ht="15" hidden="false" customHeight="false" outlineLevel="0" collapsed="false">
      <c r="A268" s="332"/>
      <c r="B268" s="248"/>
      <c r="C268" s="248"/>
      <c r="D268" s="248"/>
      <c r="E268" s="332"/>
      <c r="F268" s="332"/>
      <c r="G268" s="332"/>
      <c r="H268" s="332"/>
      <c r="I268" s="248"/>
      <c r="J268" s="248"/>
      <c r="K268" s="248"/>
      <c r="L268" s="248"/>
      <c r="M268" s="248"/>
      <c r="N268" s="332"/>
      <c r="O268" s="332"/>
      <c r="P268" s="332"/>
      <c r="Q268" s="332"/>
      <c r="R268" s="332"/>
      <c r="S268" s="248"/>
      <c r="T268" s="248"/>
      <c r="U268" s="248"/>
      <c r="V268" s="248"/>
      <c r="W268" s="248"/>
      <c r="X268" s="248"/>
      <c r="Y268" s="248"/>
      <c r="Z268" s="248"/>
      <c r="AA268" s="248"/>
      <c r="AB268" s="248"/>
      <c r="AC268" s="248"/>
      <c r="AD268" s="248"/>
      <c r="AE268" s="248"/>
      <c r="AF268" s="248"/>
      <c r="AG268" s="248"/>
      <c r="AH268" s="248"/>
      <c r="AI268" s="248"/>
      <c r="AJ268" s="248"/>
      <c r="AK268" s="248"/>
      <c r="AL268" s="248"/>
      <c r="AM268" s="248"/>
      <c r="AN268" s="248"/>
      <c r="AO268" s="248"/>
      <c r="AP268" s="248"/>
      <c r="AQ268" s="248"/>
      <c r="AR268" s="248"/>
      <c r="AS268" s="248"/>
      <c r="AT268" s="248"/>
      <c r="AU268" s="248"/>
      <c r="AV268" s="248"/>
      <c r="AW268" s="248"/>
      <c r="AX268" s="248"/>
      <c r="AY268" s="248"/>
      <c r="AZ268" s="248"/>
      <c r="BA268" s="248"/>
      <c r="BB268" s="248"/>
      <c r="BC268" s="248"/>
      <c r="BD268" s="248"/>
      <c r="BE268" s="248"/>
      <c r="BF268" s="248"/>
      <c r="BG268" s="248"/>
      <c r="BH268" s="248"/>
      <c r="BI268" s="248"/>
      <c r="BJ268" s="248"/>
      <c r="BK268" s="248"/>
      <c r="BL268" s="248"/>
      <c r="BM268" s="248"/>
      <c r="BN268" s="248"/>
      <c r="BO268" s="248"/>
      <c r="BP268" s="248"/>
      <c r="BQ268" s="248"/>
      <c r="BR268" s="248"/>
      <c r="BS268" s="248"/>
      <c r="BT268" s="248"/>
      <c r="BU268" s="248"/>
      <c r="BV268" s="248"/>
      <c r="BW268" s="248"/>
      <c r="BX268" s="248"/>
      <c r="BY268" s="248"/>
      <c r="BZ268" s="248"/>
      <c r="CA268" s="248"/>
      <c r="CB268" s="248"/>
      <c r="CC268" s="248"/>
      <c r="CD268" s="248"/>
      <c r="CE268" s="248"/>
      <c r="CF268" s="248"/>
      <c r="CG268" s="248"/>
      <c r="CH268" s="248"/>
      <c r="CI268" s="248"/>
      <c r="CJ268" s="248"/>
      <c r="CK268" s="248"/>
      <c r="CL268" s="248"/>
      <c r="CM268" s="248"/>
      <c r="CN268" s="248"/>
      <c r="CO268" s="248"/>
      <c r="CP268" s="248"/>
      <c r="CQ268" s="248"/>
      <c r="CR268" s="248"/>
      <c r="CS268" s="248"/>
      <c r="CT268" s="248"/>
      <c r="CU268" s="248"/>
      <c r="CV268" s="248"/>
      <c r="CW268" s="248"/>
      <c r="CX268" s="248"/>
      <c r="CY268" s="248"/>
      <c r="CZ268" s="248"/>
      <c r="DA268" s="248"/>
      <c r="DB268" s="248"/>
      <c r="DC268" s="248"/>
      <c r="DD268" s="248"/>
      <c r="DE268" s="248"/>
      <c r="DF268" s="248"/>
      <c r="DG268" s="248"/>
      <c r="DH268" s="248"/>
      <c r="DI268" s="248"/>
      <c r="DJ268" s="248"/>
      <c r="DK268" s="248"/>
      <c r="DL268" s="248"/>
      <c r="DM268" s="248"/>
      <c r="DN268" s="248"/>
      <c r="DO268" s="248"/>
      <c r="DP268" s="248"/>
      <c r="DQ268" s="248"/>
      <c r="DR268" s="248"/>
      <c r="DS268" s="248"/>
      <c r="DT268" s="248"/>
      <c r="DU268" s="248"/>
      <c r="DV268" s="248"/>
      <c r="DW268" s="248"/>
      <c r="DX268" s="248"/>
      <c r="DY268" s="248"/>
      <c r="DZ268" s="248"/>
      <c r="EA268" s="248"/>
      <c r="EB268" s="248"/>
      <c r="EC268" s="248"/>
      <c r="ED268" s="248"/>
      <c r="EE268" s="248"/>
      <c r="EF268" s="248"/>
      <c r="EG268" s="248"/>
      <c r="EH268" s="248"/>
      <c r="EI268" s="248"/>
    </row>
    <row r="269" s="1" customFormat="true" ht="15" hidden="false" customHeight="false" outlineLevel="0" collapsed="false">
      <c r="A269" s="332"/>
      <c r="B269" s="248"/>
      <c r="C269" s="248"/>
      <c r="D269" s="248"/>
      <c r="E269" s="332"/>
      <c r="F269" s="332"/>
      <c r="G269" s="332"/>
      <c r="H269" s="332"/>
      <c r="I269" s="248"/>
      <c r="J269" s="248"/>
      <c r="K269" s="248"/>
      <c r="L269" s="248"/>
      <c r="M269" s="248"/>
      <c r="N269" s="332"/>
      <c r="O269" s="332"/>
      <c r="P269" s="332"/>
      <c r="Q269" s="332"/>
      <c r="R269" s="332"/>
      <c r="S269" s="248"/>
      <c r="T269" s="248"/>
      <c r="U269" s="248"/>
      <c r="V269" s="248"/>
      <c r="W269" s="248"/>
      <c r="X269" s="248"/>
      <c r="Y269" s="248"/>
      <c r="Z269" s="248"/>
      <c r="AA269" s="248"/>
      <c r="AB269" s="248"/>
      <c r="AC269" s="248"/>
      <c r="AD269" s="248"/>
      <c r="AE269" s="248"/>
      <c r="AF269" s="248"/>
      <c r="AG269" s="248"/>
      <c r="AH269" s="248"/>
      <c r="AI269" s="248"/>
      <c r="AJ269" s="248"/>
      <c r="AK269" s="248"/>
      <c r="AL269" s="248"/>
      <c r="AM269" s="248"/>
      <c r="AN269" s="248"/>
      <c r="AO269" s="248"/>
      <c r="AP269" s="248"/>
      <c r="AQ269" s="248"/>
      <c r="AR269" s="248"/>
      <c r="AS269" s="248"/>
      <c r="AT269" s="248"/>
      <c r="AU269" s="248"/>
      <c r="AV269" s="248"/>
      <c r="AW269" s="248"/>
      <c r="AX269" s="248"/>
      <c r="AY269" s="248"/>
      <c r="AZ269" s="248"/>
      <c r="BA269" s="248"/>
      <c r="BB269" s="248"/>
      <c r="BC269" s="248"/>
      <c r="BD269" s="248"/>
      <c r="BE269" s="248"/>
      <c r="BF269" s="248"/>
      <c r="BG269" s="248"/>
      <c r="BH269" s="248"/>
      <c r="BI269" s="248"/>
      <c r="BJ269" s="248"/>
      <c r="BK269" s="248"/>
      <c r="BL269" s="248"/>
      <c r="BM269" s="248"/>
      <c r="BN269" s="248"/>
      <c r="BO269" s="248"/>
      <c r="BP269" s="248"/>
      <c r="BQ269" s="248"/>
      <c r="BR269" s="248"/>
      <c r="BS269" s="248"/>
      <c r="BT269" s="248"/>
      <c r="BU269" s="248"/>
      <c r="BV269" s="248"/>
      <c r="BW269" s="248"/>
      <c r="BX269" s="248"/>
      <c r="BY269" s="248"/>
      <c r="BZ269" s="248"/>
      <c r="CA269" s="248"/>
      <c r="CB269" s="248"/>
      <c r="CC269" s="248"/>
      <c r="CD269" s="248"/>
      <c r="CE269" s="248"/>
      <c r="CF269" s="248"/>
      <c r="CG269" s="248"/>
      <c r="CH269" s="248"/>
      <c r="CI269" s="248"/>
      <c r="CJ269" s="248"/>
      <c r="CK269" s="248"/>
      <c r="CL269" s="248"/>
      <c r="CM269" s="248"/>
      <c r="CN269" s="248"/>
      <c r="CO269" s="248"/>
      <c r="CP269" s="248"/>
      <c r="CQ269" s="248"/>
      <c r="CR269" s="248"/>
      <c r="CS269" s="248"/>
      <c r="CT269" s="248"/>
      <c r="CU269" s="248"/>
      <c r="CV269" s="248"/>
      <c r="CW269" s="248"/>
      <c r="CX269" s="248"/>
      <c r="CY269" s="248"/>
      <c r="CZ269" s="248"/>
      <c r="DA269" s="248"/>
      <c r="DB269" s="248"/>
      <c r="DC269" s="248"/>
      <c r="DD269" s="248"/>
      <c r="DE269" s="248"/>
      <c r="DF269" s="248"/>
      <c r="DG269" s="248"/>
      <c r="DH269" s="248"/>
      <c r="DI269" s="248"/>
      <c r="DJ269" s="248"/>
      <c r="DK269" s="248"/>
      <c r="DL269" s="248"/>
      <c r="DM269" s="248"/>
      <c r="DN269" s="248"/>
      <c r="DO269" s="248"/>
      <c r="DP269" s="248"/>
      <c r="DQ269" s="248"/>
      <c r="DR269" s="248"/>
      <c r="DS269" s="248"/>
      <c r="DT269" s="248"/>
      <c r="DU269" s="248"/>
      <c r="DV269" s="248"/>
      <c r="DW269" s="248"/>
      <c r="DX269" s="248"/>
      <c r="DY269" s="248"/>
      <c r="DZ269" s="248"/>
      <c r="EA269" s="248"/>
      <c r="EB269" s="248"/>
      <c r="EC269" s="248"/>
      <c r="ED269" s="248"/>
      <c r="EE269" s="248"/>
      <c r="EF269" s="248"/>
      <c r="EG269" s="248"/>
      <c r="EH269" s="248"/>
      <c r="EI269" s="248"/>
    </row>
  </sheetData>
  <mergeCells count="22">
    <mergeCell ref="J80:J83"/>
    <mergeCell ref="J84:J87"/>
    <mergeCell ref="J88:J91"/>
    <mergeCell ref="J92:J95"/>
    <mergeCell ref="J96:J99"/>
    <mergeCell ref="J100:J103"/>
    <mergeCell ref="J104:J107"/>
    <mergeCell ref="J108:J111"/>
    <mergeCell ref="J112:J115"/>
    <mergeCell ref="J116:J119"/>
    <mergeCell ref="J120:J123"/>
    <mergeCell ref="J124:J127"/>
    <mergeCell ref="J130:J161"/>
    <mergeCell ref="J164:J179"/>
    <mergeCell ref="J182:J197"/>
    <mergeCell ref="J200:J207"/>
    <mergeCell ref="J210:J217"/>
    <mergeCell ref="J220:J223"/>
    <mergeCell ref="J226:J229"/>
    <mergeCell ref="J232:J233"/>
    <mergeCell ref="J236:J237"/>
    <mergeCell ref="J240:J241"/>
  </mergeCells>
  <conditionalFormatting sqref="I6:I77 K6:M77 I164:I179 I200:I207 I220:I223 I232:I233 I244 I247 K164:M179 K200:M207 K220:M223 K232:M233 K244:M244 K247:M247">
    <cfRule type="expression" priority="2" aboveAverage="0" equalAverage="0" bottom="0" percent="0" rank="0" text="" dxfId="14">
      <formula>IF($I6=3,1,0)</formula>
    </cfRule>
    <cfRule type="expression" priority="3" aboveAverage="0" equalAverage="0" bottom="0" percent="0" rank="0" text="" dxfId="15">
      <formula>IF($I6=2,1,0)</formula>
    </cfRule>
  </conditionalFormatting>
  <dataValidations count="5">
    <dataValidation allowBlank="true" errorStyle="stop" operator="between" showDropDown="false" showErrorMessage="true" showInputMessage="true" sqref="D8:D47" type="whole">
      <formula1>0</formula1>
      <formula2>10000</formula2>
    </dataValidation>
    <dataValidation allowBlank="true" errorStyle="stop" operator="between" showDropDown="false" showErrorMessage="true" showInputMessage="true" sqref="D5" type="list">
      <formula1>Equipos!$O$2:$O$41</formula1>
      <formula2>0</formula2>
    </dataValidation>
    <dataValidation allowBlank="true" errorStyle="stop" operator="between" showDropDown="false" showErrorMessage="true" showInputMessage="true" sqref="I6:I77 I164:I179 I200:I207 I220:I223 I232:I233 I244 I247" type="list">
      <formula1>Equipos!$O$2:$O$4</formula1>
      <formula2>0</formula2>
    </dataValidation>
    <dataValidation allowBlank="true" errorStyle="stop" operator="between" showDropDown="false" showErrorMessage="true" showInputMessage="true" sqref="D57" type="list">
      <formula1>Equipos!$T$1:$T$21</formula1>
      <formula2>0</formula2>
    </dataValidation>
    <dataValidation allowBlank="true" errorStyle="stop" operator="between" showDropDown="false" showErrorMessage="true" showInputMessage="true" sqref="D49" type="list">
      <formula1>Equipos!$T$1:$T$20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74" activeCellId="0" sqref="E74"/>
    </sheetView>
  </sheetViews>
  <sheetFormatPr defaultColWidth="10.6796875" defaultRowHeight="15" customHeight="true" zeroHeight="false" outlineLevelRow="0" outlineLevelCol="0"/>
  <cols>
    <col collapsed="false" customWidth="true" hidden="false" outlineLevel="0" max="2" min="2" style="1" width="28.57"/>
    <col collapsed="false" customWidth="true" hidden="false" outlineLevel="0" max="5" min="3" style="35" width="11.43"/>
    <col collapsed="false" customWidth="true" hidden="false" outlineLevel="0" max="6" min="6" style="35" width="12.71"/>
    <col collapsed="false" customWidth="true" hidden="false" outlineLevel="0" max="11" min="7" style="35" width="11.43"/>
    <col collapsed="false" customWidth="true" hidden="false" outlineLevel="0" max="12" min="12" style="1" width="28.57"/>
  </cols>
  <sheetData>
    <row r="1" customFormat="false" ht="15" hidden="false" customHeight="false" outlineLevel="0" collapsed="false">
      <c r="B1" s="438" t="s">
        <v>409</v>
      </c>
      <c r="C1" s="439" t="s">
        <v>410</v>
      </c>
      <c r="D1" s="440" t="s">
        <v>411</v>
      </c>
      <c r="E1" s="440" t="s">
        <v>412</v>
      </c>
      <c r="F1" s="440" t="s">
        <v>413</v>
      </c>
      <c r="G1" s="440" t="s">
        <v>414</v>
      </c>
      <c r="H1" s="440" t="s">
        <v>415</v>
      </c>
      <c r="I1" s="440" t="s">
        <v>416</v>
      </c>
      <c r="J1" s="441" t="s">
        <v>417</v>
      </c>
      <c r="K1" s="438" t="s">
        <v>418</v>
      </c>
      <c r="L1" s="442" t="str">
        <f aca="false">B1</f>
        <v>nombre</v>
      </c>
    </row>
    <row r="2" customFormat="false" ht="15" hidden="false" customHeight="false" outlineLevel="0" collapsed="false">
      <c r="B2" s="443" t="str">
        <f aca="false">+ADMIN!S253</f>
        <v>Mbappé</v>
      </c>
      <c r="C2" s="444"/>
      <c r="D2" s="445"/>
      <c r="E2" s="445"/>
      <c r="F2" s="445"/>
      <c r="G2" s="445"/>
      <c r="H2" s="445"/>
      <c r="I2" s="445"/>
      <c r="J2" s="446"/>
      <c r="K2" s="447" t="n">
        <f aca="false">SUM(C2:J2)</f>
        <v>0</v>
      </c>
      <c r="L2" s="448" t="str">
        <f aca="false">B2</f>
        <v>Mbappé</v>
      </c>
    </row>
    <row r="3" customFormat="false" ht="15" hidden="false" customHeight="false" outlineLevel="0" collapsed="false">
      <c r="B3" s="443" t="str">
        <f aca="false">+ADMIN!S254</f>
        <v>Cristiano Ronaldo</v>
      </c>
      <c r="C3" s="449"/>
      <c r="D3" s="450"/>
      <c r="E3" s="450"/>
      <c r="F3" s="450"/>
      <c r="G3" s="450"/>
      <c r="H3" s="450"/>
      <c r="I3" s="450"/>
      <c r="J3" s="451"/>
      <c r="K3" s="452" t="n">
        <f aca="false">SUM(C3:J3)</f>
        <v>0</v>
      </c>
      <c r="L3" s="453" t="str">
        <f aca="false">B3</f>
        <v>Cristiano Ronaldo</v>
      </c>
    </row>
    <row r="4" customFormat="false" ht="15" hidden="false" customHeight="false" outlineLevel="0" collapsed="false">
      <c r="B4" s="443" t="str">
        <f aca="false">+ADMIN!S255</f>
        <v>Lamine Yamal</v>
      </c>
      <c r="C4" s="449"/>
      <c r="D4" s="450"/>
      <c r="E4" s="450"/>
      <c r="F4" s="450"/>
      <c r="G4" s="450"/>
      <c r="H4" s="450"/>
      <c r="I4" s="450"/>
      <c r="J4" s="451"/>
      <c r="K4" s="452" t="n">
        <f aca="false">SUM(C4:J4)</f>
        <v>0</v>
      </c>
      <c r="L4" s="453" t="str">
        <f aca="false">B4</f>
        <v>Lamine Yamal</v>
      </c>
    </row>
    <row r="5" customFormat="false" ht="15" hidden="false" customHeight="false" outlineLevel="0" collapsed="false">
      <c r="B5" s="454" t="str">
        <f aca="false">ADMIN!V254</f>
        <v>Julián Alvarez</v>
      </c>
      <c r="C5" s="449"/>
      <c r="D5" s="450"/>
      <c r="E5" s="450"/>
      <c r="F5" s="450"/>
      <c r="G5" s="450"/>
      <c r="H5" s="450"/>
      <c r="I5" s="450"/>
      <c r="J5" s="451"/>
      <c r="K5" s="452" t="n">
        <f aca="false">SUM(C5:J5)</f>
        <v>0</v>
      </c>
      <c r="L5" s="453" t="str">
        <f aca="false">B5</f>
        <v>Julián Alvarez</v>
      </c>
    </row>
    <row r="6" customFormat="false" ht="15" hidden="false" customHeight="false" outlineLevel="0" collapsed="false">
      <c r="B6" s="454" t="str">
        <f aca="false">ADMIN!V255</f>
        <v>Havertz</v>
      </c>
      <c r="C6" s="449"/>
      <c r="D6" s="450"/>
      <c r="E6" s="450"/>
      <c r="F6" s="450"/>
      <c r="G6" s="450"/>
      <c r="H6" s="450"/>
      <c r="I6" s="450"/>
      <c r="J6" s="451"/>
      <c r="K6" s="452" t="n">
        <f aca="false">SUM(C6:J6)</f>
        <v>0</v>
      </c>
      <c r="L6" s="453" t="str">
        <f aca="false">B6</f>
        <v>Havertz</v>
      </c>
    </row>
    <row r="7" customFormat="false" ht="15" hidden="false" customHeight="false" outlineLevel="0" collapsed="false">
      <c r="B7" s="454" t="str">
        <f aca="false">ADMIN!Y254</f>
        <v>Oyarzabal</v>
      </c>
      <c r="C7" s="449"/>
      <c r="D7" s="450"/>
      <c r="E7" s="450"/>
      <c r="F7" s="450"/>
      <c r="G7" s="450"/>
      <c r="H7" s="450"/>
      <c r="I7" s="450"/>
      <c r="J7" s="451"/>
      <c r="K7" s="452" t="n">
        <f aca="false">SUM(C7:J7)</f>
        <v>0</v>
      </c>
      <c r="L7" s="453" t="str">
        <f aca="false">B7</f>
        <v>Oyarzabal</v>
      </c>
    </row>
    <row r="8" customFormat="false" ht="15" hidden="false" customHeight="false" outlineLevel="0" collapsed="false">
      <c r="B8" s="454" t="str">
        <f aca="false">ADMIN!AB253</f>
        <v>Dembelè</v>
      </c>
      <c r="C8" s="449"/>
      <c r="D8" s="450"/>
      <c r="E8" s="450"/>
      <c r="F8" s="450"/>
      <c r="G8" s="450"/>
      <c r="H8" s="450"/>
      <c r="I8" s="450"/>
      <c r="J8" s="451"/>
      <c r="K8" s="452" t="n">
        <f aca="false">SUM(C8:J8)</f>
        <v>0</v>
      </c>
      <c r="L8" s="453" t="str">
        <f aca="false">B8</f>
        <v>Dembelè</v>
      </c>
    </row>
    <row r="9" customFormat="false" ht="15" hidden="false" customHeight="false" outlineLevel="0" collapsed="false">
      <c r="B9" s="454" t="str">
        <f aca="false">ADMIN!AB255</f>
        <v>Oliseh</v>
      </c>
      <c r="C9" s="449"/>
      <c r="D9" s="450"/>
      <c r="E9" s="450"/>
      <c r="F9" s="450"/>
      <c r="G9" s="450"/>
      <c r="H9" s="450"/>
      <c r="I9" s="450"/>
      <c r="J9" s="451"/>
      <c r="K9" s="452" t="n">
        <f aca="false">SUM(C9:J9)</f>
        <v>0</v>
      </c>
      <c r="L9" s="453" t="str">
        <f aca="false">B9</f>
        <v>Oliseh</v>
      </c>
    </row>
    <row r="10" customFormat="false" ht="15" hidden="false" customHeight="false" outlineLevel="0" collapsed="false">
      <c r="B10" s="454" t="str">
        <f aca="false">ADMIN!AE253</f>
        <v>Messi</v>
      </c>
      <c r="C10" s="449"/>
      <c r="D10" s="450"/>
      <c r="E10" s="450"/>
      <c r="F10" s="450"/>
      <c r="G10" s="450"/>
      <c r="H10" s="450"/>
      <c r="I10" s="450"/>
      <c r="J10" s="451"/>
      <c r="K10" s="452" t="n">
        <f aca="false">SUM(C10:J10)</f>
        <v>0</v>
      </c>
      <c r="L10" s="453" t="str">
        <f aca="false">B10</f>
        <v>Messi</v>
      </c>
    </row>
    <row r="11" customFormat="false" ht="15" hidden="false" customHeight="false" outlineLevel="0" collapsed="false">
      <c r="B11" s="454" t="str">
        <f aca="false">ADMIN!AH254</f>
        <v>Kane</v>
      </c>
      <c r="C11" s="449"/>
      <c r="D11" s="450"/>
      <c r="E11" s="450"/>
      <c r="F11" s="450"/>
      <c r="G11" s="450"/>
      <c r="H11" s="450"/>
      <c r="I11" s="450"/>
      <c r="J11" s="451"/>
      <c r="K11" s="452" t="n">
        <f aca="false">SUM(C11:J11)</f>
        <v>0</v>
      </c>
      <c r="L11" s="453" t="str">
        <f aca="false">B11</f>
        <v>Kane</v>
      </c>
    </row>
    <row r="12" customFormat="false" ht="15" hidden="false" customHeight="false" outlineLevel="0" collapsed="false">
      <c r="B12" s="454" t="str">
        <f aca="false">ADMIN!AQ253</f>
        <v>Romelu Lukaku</v>
      </c>
      <c r="C12" s="449"/>
      <c r="D12" s="450"/>
      <c r="E12" s="450"/>
      <c r="F12" s="450"/>
      <c r="G12" s="450"/>
      <c r="H12" s="450"/>
      <c r="I12" s="450"/>
      <c r="J12" s="451"/>
      <c r="K12" s="452" t="n">
        <f aca="false">SUM(C12:J12)</f>
        <v>0</v>
      </c>
      <c r="L12" s="453" t="str">
        <f aca="false">B12</f>
        <v>Romelu Lukaku</v>
      </c>
    </row>
    <row r="13" customFormat="false" ht="15" hidden="false" customHeight="false" outlineLevel="0" collapsed="false">
      <c r="B13" s="454" t="str">
        <f aca="false">ADMIN!AQ255</f>
        <v>Woltemade</v>
      </c>
      <c r="C13" s="449"/>
      <c r="D13" s="450"/>
      <c r="E13" s="450"/>
      <c r="F13" s="450"/>
      <c r="G13" s="450"/>
      <c r="H13" s="450"/>
      <c r="I13" s="450"/>
      <c r="J13" s="451"/>
      <c r="K13" s="452" t="n">
        <f aca="false">SUM(C13:J13)</f>
        <v>0</v>
      </c>
      <c r="L13" s="453" t="str">
        <f aca="false">B13</f>
        <v>Woltemade</v>
      </c>
    </row>
    <row r="14" customFormat="false" ht="15" hidden="false" customHeight="false" outlineLevel="0" collapsed="false">
      <c r="B14" s="454" t="str">
        <f aca="false">+ADMIN!AT255</f>
        <v>Halland</v>
      </c>
      <c r="C14" s="449"/>
      <c r="D14" s="450"/>
      <c r="E14" s="450"/>
      <c r="F14" s="450"/>
      <c r="G14" s="450"/>
      <c r="H14" s="450"/>
      <c r="I14" s="450"/>
      <c r="J14" s="451"/>
      <c r="K14" s="452" t="n">
        <f aca="false">SUM(C14:J14)</f>
        <v>0</v>
      </c>
      <c r="L14" s="453" t="str">
        <f aca="false">B14</f>
        <v>Halland</v>
      </c>
    </row>
    <row r="15" customFormat="false" ht="15" hidden="false" customHeight="false" outlineLevel="0" collapsed="false">
      <c r="B15" s="454" t="str">
        <f aca="false">+ADMIN!BC255</f>
        <v>Dumfries</v>
      </c>
      <c r="C15" s="449"/>
      <c r="D15" s="450"/>
      <c r="E15" s="450"/>
      <c r="F15" s="450"/>
      <c r="G15" s="450"/>
      <c r="H15" s="450"/>
      <c r="I15" s="450"/>
      <c r="J15" s="451"/>
      <c r="K15" s="452" t="n">
        <f aca="false">SUM(C15:J15)</f>
        <v>0</v>
      </c>
      <c r="L15" s="453" t="str">
        <f aca="false">B15</f>
        <v>Dumfries</v>
      </c>
    </row>
    <row r="16" customFormat="false" ht="15" hidden="false" customHeight="false" outlineLevel="0" collapsed="false">
      <c r="B16" s="455"/>
      <c r="C16" s="456"/>
      <c r="D16" s="457"/>
      <c r="E16" s="457"/>
      <c r="F16" s="457"/>
      <c r="G16" s="457"/>
      <c r="H16" s="457"/>
      <c r="I16" s="457"/>
      <c r="J16" s="458"/>
      <c r="K16" s="459" t="n">
        <f aca="false">SUM(C16:J16)</f>
        <v>0</v>
      </c>
      <c r="L16" s="460" t="n">
        <f aca="false">B16</f>
        <v>0</v>
      </c>
    </row>
    <row r="19" customFormat="false" ht="15" hidden="false" customHeight="false" outlineLevel="0" collapsed="false">
      <c r="B19" s="438" t="str">
        <f aca="false">Equipos!K1</f>
        <v>Selección</v>
      </c>
      <c r="C19" s="439" t="s">
        <v>410</v>
      </c>
      <c r="D19" s="440" t="s">
        <v>411</v>
      </c>
      <c r="E19" s="440" t="s">
        <v>412</v>
      </c>
      <c r="F19" s="440" t="s">
        <v>413</v>
      </c>
      <c r="G19" s="440" t="s">
        <v>414</v>
      </c>
      <c r="H19" s="440" t="s">
        <v>415</v>
      </c>
      <c r="I19" s="440" t="s">
        <v>416</v>
      </c>
      <c r="J19" s="441" t="s">
        <v>417</v>
      </c>
      <c r="K19" s="438" t="s">
        <v>418</v>
      </c>
      <c r="L19" s="442" t="str">
        <f aca="false">B19</f>
        <v>Selección</v>
      </c>
    </row>
    <row r="20" customFormat="false" ht="15" hidden="false" customHeight="false" outlineLevel="0" collapsed="false">
      <c r="B20" s="443" t="str">
        <f aca="false">Equipos!K2</f>
        <v>Alemania</v>
      </c>
      <c r="C20" s="444" t="n">
        <f aca="false">+WORLDCUP!AC36</f>
        <v>7</v>
      </c>
      <c r="D20" s="445" t="n">
        <f aca="false">+WORLDCUP!AC38</f>
        <v>0</v>
      </c>
      <c r="E20" s="445" t="n">
        <f aca="false">+WORLDCUP!AD41</f>
        <v>0</v>
      </c>
      <c r="F20" s="445"/>
      <c r="G20" s="445"/>
      <c r="H20" s="445"/>
      <c r="I20" s="445"/>
      <c r="J20" s="446"/>
      <c r="K20" s="447" t="n">
        <f aca="false">SUM(C20:J20)</f>
        <v>7</v>
      </c>
      <c r="L20" s="448" t="str">
        <f aca="false">B20</f>
        <v>Alemania</v>
      </c>
    </row>
    <row r="21" customFormat="false" ht="15" hidden="true" customHeight="false" outlineLevel="0" collapsed="false">
      <c r="B21" s="454" t="str">
        <f aca="false">Equipos!K3</f>
        <v>Arabia Saudita</v>
      </c>
      <c r="C21" s="449"/>
      <c r="D21" s="450"/>
      <c r="E21" s="450"/>
      <c r="F21" s="450"/>
      <c r="G21" s="450"/>
      <c r="H21" s="450"/>
      <c r="I21" s="450"/>
      <c r="J21" s="451"/>
      <c r="K21" s="447" t="n">
        <f aca="false">SUM(C21:J21)</f>
        <v>0</v>
      </c>
      <c r="L21" s="448" t="str">
        <f aca="false">B21</f>
        <v>Arabia Saudita</v>
      </c>
    </row>
    <row r="22" customFormat="false" ht="15" hidden="true" customHeight="false" outlineLevel="0" collapsed="false">
      <c r="B22" s="454" t="str">
        <f aca="false">Equipos!K4</f>
        <v>Argelia</v>
      </c>
      <c r="C22" s="449"/>
      <c r="D22" s="450"/>
      <c r="E22" s="450"/>
      <c r="F22" s="450"/>
      <c r="G22" s="450"/>
      <c r="H22" s="450"/>
      <c r="I22" s="450"/>
      <c r="J22" s="451"/>
      <c r="K22" s="447" t="n">
        <f aca="false">SUM(C22:J22)</f>
        <v>0</v>
      </c>
      <c r="L22" s="448" t="str">
        <f aca="false">B22</f>
        <v>Argelia</v>
      </c>
    </row>
    <row r="23" customFormat="false" ht="15" hidden="false" customHeight="false" outlineLevel="0" collapsed="false">
      <c r="B23" s="454" t="str">
        <f aca="false">Equipos!K5</f>
        <v>Argentina</v>
      </c>
      <c r="C23" s="449" t="n">
        <f aca="false">+WORLDCUP!AC76</f>
        <v>0</v>
      </c>
      <c r="D23" s="450" t="n">
        <f aca="false">+WORLDCUP!AC78</f>
        <v>0</v>
      </c>
      <c r="E23" s="450" t="n">
        <f aca="false">+WORLDCUP!AD81</f>
        <v>0</v>
      </c>
      <c r="F23" s="450"/>
      <c r="G23" s="450"/>
      <c r="H23" s="450"/>
      <c r="I23" s="450"/>
      <c r="J23" s="451"/>
      <c r="K23" s="447" t="n">
        <f aca="false">SUM(C23:J23)</f>
        <v>0</v>
      </c>
      <c r="L23" s="448" t="str">
        <f aca="false">B23</f>
        <v>Argentina</v>
      </c>
    </row>
    <row r="24" customFormat="false" ht="15" hidden="true" customHeight="false" outlineLevel="0" collapsed="false">
      <c r="B24" s="454" t="str">
        <f aca="false">Equipos!K6</f>
        <v>Australia</v>
      </c>
      <c r="C24" s="449"/>
      <c r="D24" s="450"/>
      <c r="E24" s="450"/>
      <c r="F24" s="450"/>
      <c r="G24" s="450"/>
      <c r="H24" s="450"/>
      <c r="I24" s="450"/>
      <c r="J24" s="451"/>
      <c r="K24" s="447" t="n">
        <f aca="false">SUM(C24:J24)</f>
        <v>0</v>
      </c>
      <c r="L24" s="448" t="str">
        <f aca="false">B24</f>
        <v>Australia</v>
      </c>
    </row>
    <row r="25" customFormat="false" ht="15" hidden="true" customHeight="false" outlineLevel="0" collapsed="false">
      <c r="B25" s="454" t="str">
        <f aca="false">Equipos!K7</f>
        <v>Austria</v>
      </c>
      <c r="C25" s="449"/>
      <c r="D25" s="450"/>
      <c r="E25" s="450"/>
      <c r="F25" s="450"/>
      <c r="G25" s="450"/>
      <c r="H25" s="450"/>
      <c r="I25" s="450"/>
      <c r="J25" s="451"/>
      <c r="K25" s="447" t="n">
        <f aca="false">SUM(C25:J25)</f>
        <v>0</v>
      </c>
      <c r="L25" s="448" t="str">
        <f aca="false">B25</f>
        <v>Austria</v>
      </c>
    </row>
    <row r="26" customFormat="false" ht="15" hidden="false" customHeight="false" outlineLevel="0" collapsed="false">
      <c r="B26" s="454" t="str">
        <f aca="false">Equipos!K8</f>
        <v>Bélgica</v>
      </c>
      <c r="C26" s="449" t="n">
        <f aca="false">+WORLDCUP!AC52</f>
        <v>1</v>
      </c>
      <c r="D26" s="450" t="n">
        <f aca="false">+WORLDCUP!AC54</f>
        <v>0</v>
      </c>
      <c r="E26" s="450" t="n">
        <f aca="false">+WORLDCUP!AD57</f>
        <v>0</v>
      </c>
      <c r="F26" s="450"/>
      <c r="G26" s="450"/>
      <c r="H26" s="450"/>
      <c r="I26" s="450"/>
      <c r="J26" s="451"/>
      <c r="K26" s="447" t="n">
        <f aca="false">SUM(C26:J26)</f>
        <v>1</v>
      </c>
      <c r="L26" s="448" t="str">
        <f aca="false">B26</f>
        <v>Bélgica</v>
      </c>
    </row>
    <row r="27" customFormat="false" ht="15" hidden="false" customHeight="false" outlineLevel="0" collapsed="false">
      <c r="B27" s="454" t="str">
        <f aca="false">Equipos!K9</f>
        <v>Brasil</v>
      </c>
      <c r="C27" s="449" t="n">
        <f aca="false">+WORLDCUP!AC20</f>
        <v>1</v>
      </c>
      <c r="D27" s="450" t="n">
        <f aca="false">+WORLDCUP!AC23</f>
        <v>0</v>
      </c>
      <c r="E27" s="450" t="n">
        <f aca="false">+WORLDCUP!AD24</f>
        <v>0</v>
      </c>
      <c r="F27" s="450"/>
      <c r="G27" s="450"/>
      <c r="H27" s="450"/>
      <c r="I27" s="450"/>
      <c r="J27" s="451"/>
      <c r="K27" s="447" t="n">
        <f aca="false">SUM(C27:J27)</f>
        <v>1</v>
      </c>
      <c r="L27" s="448" t="str">
        <f aca="false">B27</f>
        <v>Brasil</v>
      </c>
    </row>
    <row r="28" customFormat="false" ht="15" hidden="true" customHeight="false" outlineLevel="0" collapsed="false">
      <c r="B28" s="454" t="str">
        <f aca="false">Equipos!K10</f>
        <v>Cabo Verde</v>
      </c>
      <c r="C28" s="449"/>
      <c r="D28" s="450"/>
      <c r="E28" s="450"/>
      <c r="F28" s="450"/>
      <c r="G28" s="450"/>
      <c r="H28" s="450"/>
      <c r="I28" s="450"/>
      <c r="J28" s="451"/>
      <c r="K28" s="447" t="n">
        <f aca="false">SUM(C28:J28)</f>
        <v>0</v>
      </c>
      <c r="L28" s="448" t="str">
        <f aca="false">B28</f>
        <v>Cabo Verde</v>
      </c>
    </row>
    <row r="29" customFormat="false" ht="15" hidden="true" customHeight="false" outlineLevel="0" collapsed="false">
      <c r="B29" s="454" t="str">
        <f aca="false">Equipos!K11</f>
        <v>Canadá</v>
      </c>
      <c r="C29" s="449"/>
      <c r="D29" s="450"/>
      <c r="E29" s="450"/>
      <c r="F29" s="450"/>
      <c r="G29" s="450"/>
      <c r="H29" s="450"/>
      <c r="I29" s="450"/>
      <c r="J29" s="451"/>
      <c r="K29" s="447" t="n">
        <f aca="false">SUM(C29:J29)</f>
        <v>0</v>
      </c>
      <c r="L29" s="448" t="str">
        <f aca="false">B29</f>
        <v>Canadá</v>
      </c>
    </row>
    <row r="30" customFormat="false" ht="15" hidden="true" customHeight="false" outlineLevel="0" collapsed="false">
      <c r="B30" s="454" t="str">
        <f aca="false">Equipos!K12</f>
        <v>Catar</v>
      </c>
      <c r="C30" s="449"/>
      <c r="D30" s="450"/>
      <c r="E30" s="450"/>
      <c r="F30" s="450"/>
      <c r="G30" s="450"/>
      <c r="H30" s="450"/>
      <c r="I30" s="450"/>
      <c r="J30" s="451"/>
      <c r="K30" s="447" t="n">
        <f aca="false">SUM(C30:J30)</f>
        <v>0</v>
      </c>
      <c r="L30" s="448" t="str">
        <f aca="false">B30</f>
        <v>Catar</v>
      </c>
    </row>
    <row r="31" customFormat="false" ht="15" hidden="true" customHeight="false" outlineLevel="0" collapsed="false">
      <c r="B31" s="454" t="str">
        <f aca="false">Equipos!K13</f>
        <v>Colombia</v>
      </c>
      <c r="C31" s="449"/>
      <c r="D31" s="450"/>
      <c r="E31" s="450"/>
      <c r="F31" s="450"/>
      <c r="G31" s="450"/>
      <c r="H31" s="450"/>
      <c r="I31" s="450"/>
      <c r="J31" s="451"/>
      <c r="K31" s="447" t="n">
        <f aca="false">SUM(C31:J31)</f>
        <v>0</v>
      </c>
      <c r="L31" s="448" t="str">
        <f aca="false">B31</f>
        <v>Colombia</v>
      </c>
    </row>
    <row r="32" customFormat="false" ht="15" hidden="true" customHeight="false" outlineLevel="0" collapsed="false">
      <c r="B32" s="454" t="str">
        <f aca="false">Equipos!K14</f>
        <v>Corea del Sur</v>
      </c>
      <c r="C32" s="449"/>
      <c r="D32" s="450"/>
      <c r="E32" s="450"/>
      <c r="F32" s="450"/>
      <c r="G32" s="450"/>
      <c r="H32" s="450"/>
      <c r="I32" s="450"/>
      <c r="J32" s="451"/>
      <c r="K32" s="447" t="n">
        <f aca="false">SUM(C32:J32)</f>
        <v>0</v>
      </c>
      <c r="L32" s="448" t="str">
        <f aca="false">B32</f>
        <v>Corea del Sur</v>
      </c>
    </row>
    <row r="33" customFormat="false" ht="15" hidden="true" customHeight="false" outlineLevel="0" collapsed="false">
      <c r="B33" s="454" t="str">
        <f aca="false">Equipos!K15</f>
        <v>Costa de Marfil</v>
      </c>
      <c r="C33" s="449"/>
      <c r="D33" s="450"/>
      <c r="E33" s="450"/>
      <c r="F33" s="450"/>
      <c r="G33" s="450"/>
      <c r="H33" s="450"/>
      <c r="I33" s="450"/>
      <c r="J33" s="451"/>
      <c r="K33" s="447" t="n">
        <f aca="false">SUM(C33:J33)</f>
        <v>0</v>
      </c>
      <c r="L33" s="448" t="str">
        <f aca="false">B33</f>
        <v>Costa de Marfil</v>
      </c>
    </row>
    <row r="34" customFormat="false" ht="15" hidden="true" customHeight="false" outlineLevel="0" collapsed="false">
      <c r="B34" s="454" t="str">
        <f aca="false">Equipos!K16</f>
        <v>Croacia</v>
      </c>
      <c r="C34" s="449"/>
      <c r="D34" s="450"/>
      <c r="E34" s="450"/>
      <c r="F34" s="450"/>
      <c r="G34" s="450"/>
      <c r="H34" s="450"/>
      <c r="I34" s="450"/>
      <c r="J34" s="451"/>
      <c r="K34" s="447" t="n">
        <f aca="false">SUM(C34:J34)</f>
        <v>0</v>
      </c>
      <c r="L34" s="448" t="str">
        <f aca="false">B34</f>
        <v>Croacia</v>
      </c>
    </row>
    <row r="35" customFormat="false" ht="15" hidden="true" customHeight="false" outlineLevel="0" collapsed="false">
      <c r="B35" s="454" t="str">
        <f aca="false">Equipos!K17</f>
        <v>Curazao</v>
      </c>
      <c r="C35" s="449"/>
      <c r="D35" s="450"/>
      <c r="E35" s="450"/>
      <c r="F35" s="450"/>
      <c r="G35" s="450"/>
      <c r="H35" s="450"/>
      <c r="I35" s="450"/>
      <c r="J35" s="451"/>
      <c r="K35" s="447" t="n">
        <f aca="false">SUM(C35:J35)</f>
        <v>0</v>
      </c>
      <c r="L35" s="448" t="str">
        <f aca="false">B35</f>
        <v>Curazao</v>
      </c>
    </row>
    <row r="36" customFormat="false" ht="15" hidden="true" customHeight="false" outlineLevel="0" collapsed="false">
      <c r="B36" s="454" t="str">
        <f aca="false">Equipos!K18</f>
        <v>Ecuador</v>
      </c>
      <c r="C36" s="449"/>
      <c r="D36" s="450"/>
      <c r="E36" s="450"/>
      <c r="F36" s="450"/>
      <c r="G36" s="450"/>
      <c r="H36" s="450"/>
      <c r="I36" s="450"/>
      <c r="J36" s="451"/>
      <c r="K36" s="447" t="n">
        <f aca="false">SUM(C36:J36)</f>
        <v>0</v>
      </c>
      <c r="L36" s="448" t="str">
        <f aca="false">B36</f>
        <v>Ecuador</v>
      </c>
    </row>
    <row r="37" customFormat="false" ht="15" hidden="true" customHeight="false" outlineLevel="0" collapsed="false">
      <c r="B37" s="454" t="str">
        <f aca="false">Equipos!K19</f>
        <v>Egipto</v>
      </c>
      <c r="C37" s="449"/>
      <c r="D37" s="450"/>
      <c r="E37" s="450"/>
      <c r="F37" s="450"/>
      <c r="G37" s="450"/>
      <c r="H37" s="450"/>
      <c r="I37" s="450"/>
      <c r="J37" s="451"/>
      <c r="K37" s="447" t="n">
        <f aca="false">SUM(C37:J37)</f>
        <v>0</v>
      </c>
      <c r="L37" s="448" t="str">
        <f aca="false">B37</f>
        <v>Egipto</v>
      </c>
    </row>
    <row r="38" customFormat="false" ht="15" hidden="true" customHeight="false" outlineLevel="0" collapsed="false">
      <c r="B38" s="454" t="str">
        <f aca="false">Equipos!K20</f>
        <v>Escocia</v>
      </c>
      <c r="C38" s="449"/>
      <c r="D38" s="450"/>
      <c r="E38" s="450"/>
      <c r="F38" s="450"/>
      <c r="G38" s="450"/>
      <c r="H38" s="450"/>
      <c r="I38" s="450"/>
      <c r="J38" s="451"/>
      <c r="K38" s="447" t="n">
        <f aca="false">SUM(C38:J38)</f>
        <v>0</v>
      </c>
      <c r="L38" s="448" t="str">
        <f aca="false">B38</f>
        <v>Escocia</v>
      </c>
    </row>
    <row r="39" customFormat="false" ht="15" hidden="false" customHeight="false" outlineLevel="0" collapsed="false">
      <c r="B39" s="454" t="str">
        <f aca="false">Equipos!K21</f>
        <v>España</v>
      </c>
      <c r="C39" s="449" t="n">
        <f aca="false">+WORLDCUP!AC60</f>
        <v>0</v>
      </c>
      <c r="D39" s="450" t="n">
        <f aca="false">+WORLDCUP!AC62</f>
        <v>0</v>
      </c>
      <c r="E39" s="450" t="n">
        <f aca="false">+WORLDCUP!AD65</f>
        <v>0</v>
      </c>
      <c r="F39" s="450"/>
      <c r="G39" s="450"/>
      <c r="H39" s="450"/>
      <c r="I39" s="450"/>
      <c r="J39" s="451"/>
      <c r="K39" s="447" t="n">
        <f aca="false">SUM(C39:J39)</f>
        <v>0</v>
      </c>
      <c r="L39" s="448" t="str">
        <f aca="false">B39</f>
        <v>España</v>
      </c>
    </row>
    <row r="40" customFormat="false" ht="15" hidden="true" customHeight="false" outlineLevel="0" collapsed="false">
      <c r="B40" s="454" t="str">
        <f aca="false">Equipos!K22</f>
        <v>Estados Unidos</v>
      </c>
      <c r="C40" s="449"/>
      <c r="D40" s="450"/>
      <c r="E40" s="450"/>
      <c r="F40" s="450"/>
      <c r="G40" s="450"/>
      <c r="H40" s="450"/>
      <c r="I40" s="450"/>
      <c r="J40" s="451"/>
      <c r="K40" s="447" t="n">
        <f aca="false">SUM(C40:J40)</f>
        <v>0</v>
      </c>
      <c r="L40" s="448" t="str">
        <f aca="false">B40</f>
        <v>Estados Unidos</v>
      </c>
    </row>
    <row r="41" customFormat="false" ht="15" hidden="false" customHeight="false" outlineLevel="0" collapsed="false">
      <c r="B41" s="454" t="str">
        <f aca="false">Equipos!K23</f>
        <v>Francia</v>
      </c>
      <c r="C41" s="449" t="n">
        <f aca="false">+WORLDCUP!AC68</f>
        <v>0</v>
      </c>
      <c r="D41" s="450" t="n">
        <f aca="false">+WORLDCUP!AC70</f>
        <v>0</v>
      </c>
      <c r="E41" s="450" t="n">
        <f aca="false">+WORLDCUP!AD72</f>
        <v>0</v>
      </c>
      <c r="F41" s="450"/>
      <c r="G41" s="450"/>
      <c r="H41" s="450"/>
      <c r="I41" s="450"/>
      <c r="J41" s="451"/>
      <c r="K41" s="447" t="n">
        <f aca="false">SUM(C41:J41)</f>
        <v>0</v>
      </c>
      <c r="L41" s="448" t="str">
        <f aca="false">B41</f>
        <v>Francia</v>
      </c>
    </row>
    <row r="42" customFormat="false" ht="15" hidden="true" customHeight="false" outlineLevel="0" collapsed="false">
      <c r="B42" s="454" t="str">
        <f aca="false">Equipos!K24</f>
        <v>Ghana</v>
      </c>
      <c r="C42" s="449"/>
      <c r="D42" s="450"/>
      <c r="E42" s="450"/>
      <c r="F42" s="450"/>
      <c r="G42" s="450"/>
      <c r="H42" s="450"/>
      <c r="I42" s="450"/>
      <c r="J42" s="451"/>
      <c r="K42" s="447" t="n">
        <f aca="false">SUM(C42:J42)</f>
        <v>0</v>
      </c>
      <c r="L42" s="448" t="str">
        <f aca="false">B42</f>
        <v>Ghana</v>
      </c>
    </row>
    <row r="43" customFormat="false" ht="15" hidden="true" customHeight="false" outlineLevel="0" collapsed="false">
      <c r="B43" s="454" t="str">
        <f aca="false">Equipos!K25</f>
        <v>Haití</v>
      </c>
      <c r="C43" s="449"/>
      <c r="D43" s="450"/>
      <c r="E43" s="450"/>
      <c r="F43" s="450"/>
      <c r="G43" s="450"/>
      <c r="H43" s="450"/>
      <c r="I43" s="450"/>
      <c r="J43" s="451"/>
      <c r="K43" s="447" t="n">
        <f aca="false">SUM(C43:J43)</f>
        <v>0</v>
      </c>
      <c r="L43" s="448" t="str">
        <f aca="false">B43</f>
        <v>Haití</v>
      </c>
    </row>
    <row r="44" customFormat="false" ht="15" hidden="false" customHeight="false" outlineLevel="0" collapsed="false">
      <c r="B44" s="454" t="str">
        <f aca="false">Equipos!K26</f>
        <v>Inglaterra</v>
      </c>
      <c r="C44" s="449" t="n">
        <f aca="false">+WORLDCUP!AC92</f>
        <v>0</v>
      </c>
      <c r="D44" s="450" t="n">
        <f aca="false">+WORLDCUP!AC94</f>
        <v>0</v>
      </c>
      <c r="E44" s="450" t="n">
        <f aca="false">+WORLDCUP!AD96</f>
        <v>0</v>
      </c>
      <c r="F44" s="450"/>
      <c r="G44" s="450"/>
      <c r="H44" s="450"/>
      <c r="I44" s="450"/>
      <c r="J44" s="451"/>
      <c r="K44" s="447" t="n">
        <f aca="false">SUM(C44:J44)</f>
        <v>0</v>
      </c>
      <c r="L44" s="448" t="str">
        <f aca="false">B44</f>
        <v>Inglaterra</v>
      </c>
    </row>
    <row r="45" customFormat="false" ht="15" hidden="true" customHeight="false" outlineLevel="0" collapsed="false">
      <c r="B45" s="454" t="str">
        <f aca="false">Equipos!K27</f>
        <v>Irán</v>
      </c>
      <c r="C45" s="449"/>
      <c r="D45" s="450"/>
      <c r="E45" s="450"/>
      <c r="F45" s="450"/>
      <c r="G45" s="450"/>
      <c r="H45" s="450"/>
      <c r="I45" s="450"/>
      <c r="J45" s="451"/>
      <c r="K45" s="447" t="n">
        <f aca="false">SUM(C45:J45)</f>
        <v>0</v>
      </c>
      <c r="L45" s="448" t="str">
        <f aca="false">B45</f>
        <v>Irán</v>
      </c>
    </row>
    <row r="46" customFormat="false" ht="15" hidden="true" customHeight="false" outlineLevel="0" collapsed="false">
      <c r="B46" s="454" t="str">
        <f aca="false">Equipos!K28</f>
        <v>Japón</v>
      </c>
      <c r="C46" s="449"/>
      <c r="D46" s="450"/>
      <c r="E46" s="450"/>
      <c r="F46" s="450"/>
      <c r="G46" s="450"/>
      <c r="H46" s="450"/>
      <c r="I46" s="450"/>
      <c r="J46" s="451"/>
      <c r="K46" s="447" t="n">
        <f aca="false">SUM(C46:J46)</f>
        <v>0</v>
      </c>
      <c r="L46" s="448" t="str">
        <f aca="false">B46</f>
        <v>Japón</v>
      </c>
    </row>
    <row r="47" customFormat="false" ht="15" hidden="true" customHeight="false" outlineLevel="0" collapsed="false">
      <c r="B47" s="454" t="str">
        <f aca="false">Equipos!K29</f>
        <v>Jordania</v>
      </c>
      <c r="C47" s="449"/>
      <c r="D47" s="450"/>
      <c r="E47" s="450"/>
      <c r="F47" s="450"/>
      <c r="G47" s="450"/>
      <c r="H47" s="450"/>
      <c r="I47" s="450"/>
      <c r="J47" s="451"/>
      <c r="K47" s="447" t="n">
        <f aca="false">SUM(C47:J47)</f>
        <v>0</v>
      </c>
      <c r="L47" s="448" t="str">
        <f aca="false">B47</f>
        <v>Jordania</v>
      </c>
    </row>
    <row r="48" customFormat="false" ht="15" hidden="true" customHeight="false" outlineLevel="0" collapsed="false">
      <c r="B48" s="454" t="str">
        <f aca="false">Equipos!K30</f>
        <v>Marruecos</v>
      </c>
      <c r="C48" s="449"/>
      <c r="D48" s="450"/>
      <c r="E48" s="450"/>
      <c r="F48" s="450"/>
      <c r="G48" s="450"/>
      <c r="H48" s="450"/>
      <c r="I48" s="450"/>
      <c r="J48" s="451"/>
      <c r="K48" s="447" t="n">
        <f aca="false">SUM(C48:J48)</f>
        <v>0</v>
      </c>
      <c r="L48" s="448" t="str">
        <f aca="false">B48</f>
        <v>Marruecos</v>
      </c>
    </row>
    <row r="49" customFormat="false" ht="15" hidden="true" customHeight="false" outlineLevel="0" collapsed="false">
      <c r="B49" s="454" t="str">
        <f aca="false">Equipos!K31</f>
        <v>México</v>
      </c>
      <c r="C49" s="449"/>
      <c r="D49" s="450"/>
      <c r="E49" s="450"/>
      <c r="F49" s="450"/>
      <c r="G49" s="450"/>
      <c r="H49" s="450"/>
      <c r="I49" s="450"/>
      <c r="J49" s="451"/>
      <c r="K49" s="447" t="n">
        <f aca="false">SUM(C49:J49)</f>
        <v>0</v>
      </c>
      <c r="L49" s="448" t="str">
        <f aca="false">B49</f>
        <v>México</v>
      </c>
    </row>
    <row r="50" customFormat="false" ht="15" hidden="true" customHeight="false" outlineLevel="0" collapsed="false">
      <c r="B50" s="454" t="str">
        <f aca="false">Equipos!K32</f>
        <v>Noruega</v>
      </c>
      <c r="C50" s="449"/>
      <c r="D50" s="450"/>
      <c r="E50" s="450"/>
      <c r="F50" s="450"/>
      <c r="G50" s="450"/>
      <c r="H50" s="450"/>
      <c r="I50" s="450"/>
      <c r="J50" s="451"/>
      <c r="K50" s="447" t="n">
        <f aca="false">SUM(C50:J50)</f>
        <v>0</v>
      </c>
      <c r="L50" s="448" t="str">
        <f aca="false">B50</f>
        <v>Noruega</v>
      </c>
    </row>
    <row r="51" customFormat="false" ht="15" hidden="true" customHeight="false" outlineLevel="0" collapsed="false">
      <c r="B51" s="454" t="str">
        <f aca="false">Equipos!K33</f>
        <v>Nueva Zelanda</v>
      </c>
      <c r="C51" s="449"/>
      <c r="D51" s="450"/>
      <c r="E51" s="450"/>
      <c r="F51" s="450"/>
      <c r="G51" s="450"/>
      <c r="H51" s="450"/>
      <c r="I51" s="450"/>
      <c r="J51" s="451"/>
      <c r="K51" s="447" t="n">
        <f aca="false">SUM(C51:J51)</f>
        <v>0</v>
      </c>
      <c r="L51" s="448" t="str">
        <f aca="false">B51</f>
        <v>Nueva Zelanda</v>
      </c>
    </row>
    <row r="52" customFormat="false" ht="15" hidden="true" customHeight="false" outlineLevel="0" collapsed="false">
      <c r="B52" s="454" t="str">
        <f aca="false">Equipos!K34</f>
        <v>Países Bajos</v>
      </c>
      <c r="C52" s="449"/>
      <c r="D52" s="450"/>
      <c r="E52" s="450"/>
      <c r="F52" s="450"/>
      <c r="G52" s="450"/>
      <c r="H52" s="450"/>
      <c r="I52" s="450"/>
      <c r="J52" s="451"/>
      <c r="K52" s="447" t="n">
        <f aca="false">SUM(C52:J52)</f>
        <v>0</v>
      </c>
      <c r="L52" s="448" t="str">
        <f aca="false">B52</f>
        <v>Países Bajos</v>
      </c>
    </row>
    <row r="53" customFormat="false" ht="15" hidden="true" customHeight="false" outlineLevel="0" collapsed="false">
      <c r="B53" s="454" t="str">
        <f aca="false">Equipos!K35</f>
        <v>Panamá</v>
      </c>
      <c r="C53" s="449"/>
      <c r="D53" s="450"/>
      <c r="E53" s="450"/>
      <c r="F53" s="450"/>
      <c r="G53" s="450"/>
      <c r="H53" s="450"/>
      <c r="I53" s="450"/>
      <c r="J53" s="451"/>
      <c r="K53" s="447" t="n">
        <f aca="false">SUM(C53:J53)</f>
        <v>0</v>
      </c>
      <c r="L53" s="448" t="str">
        <f aca="false">B53</f>
        <v>Panamá</v>
      </c>
    </row>
    <row r="54" customFormat="false" ht="15" hidden="true" customHeight="false" outlineLevel="0" collapsed="false">
      <c r="B54" s="454" t="str">
        <f aca="false">Equipos!K36</f>
        <v>Paraguay</v>
      </c>
      <c r="C54" s="449"/>
      <c r="D54" s="450"/>
      <c r="E54" s="450"/>
      <c r="F54" s="450"/>
      <c r="G54" s="450"/>
      <c r="H54" s="450"/>
      <c r="I54" s="450"/>
      <c r="J54" s="451"/>
      <c r="K54" s="447" t="n">
        <f aca="false">SUM(C54:J54)</f>
        <v>0</v>
      </c>
      <c r="L54" s="448" t="str">
        <f aca="false">B54</f>
        <v>Paraguay</v>
      </c>
    </row>
    <row r="55" customFormat="false" ht="15" hidden="false" customHeight="false" outlineLevel="0" collapsed="false">
      <c r="B55" s="454" t="str">
        <f aca="false">Equipos!K37</f>
        <v>Portugal</v>
      </c>
      <c r="C55" s="449" t="n">
        <f aca="false">+WORLDCUP!AC84</f>
        <v>0</v>
      </c>
      <c r="D55" s="450" t="n">
        <f aca="false">+WORLDCUP!AC86</f>
        <v>0</v>
      </c>
      <c r="E55" s="450" t="n">
        <f aca="false">+WORLDCUP!AD88</f>
        <v>0</v>
      </c>
      <c r="F55" s="450"/>
      <c r="G55" s="450"/>
      <c r="H55" s="450"/>
      <c r="I55" s="450"/>
      <c r="J55" s="451"/>
      <c r="K55" s="447" t="n">
        <f aca="false">SUM(C55:J55)</f>
        <v>0</v>
      </c>
      <c r="L55" s="448" t="str">
        <f aca="false">B55</f>
        <v>Portugal</v>
      </c>
    </row>
    <row r="56" customFormat="false" ht="15" hidden="true" customHeight="false" outlineLevel="0" collapsed="false">
      <c r="B56" s="454" t="str">
        <f aca="false">Equipos!K38</f>
        <v>Senegal</v>
      </c>
      <c r="C56" s="449"/>
      <c r="D56" s="450"/>
      <c r="E56" s="450"/>
      <c r="F56" s="450"/>
      <c r="G56" s="450"/>
      <c r="H56" s="450"/>
      <c r="I56" s="450"/>
      <c r="J56" s="451"/>
      <c r="K56" s="447" t="n">
        <f aca="false">SUM(C56:J56)</f>
        <v>0</v>
      </c>
      <c r="L56" s="448" t="str">
        <f aca="false">B56</f>
        <v>Senegal</v>
      </c>
    </row>
    <row r="57" customFormat="false" ht="15" hidden="true" customHeight="false" outlineLevel="0" collapsed="false">
      <c r="B57" s="454" t="str">
        <f aca="false">Equipos!K39</f>
        <v>Sudáfrica</v>
      </c>
      <c r="C57" s="449"/>
      <c r="D57" s="450"/>
      <c r="E57" s="450"/>
      <c r="F57" s="450"/>
      <c r="G57" s="450"/>
      <c r="H57" s="450"/>
      <c r="I57" s="450"/>
      <c r="J57" s="451"/>
      <c r="K57" s="447" t="n">
        <f aca="false">SUM(C57:J57)</f>
        <v>0</v>
      </c>
      <c r="L57" s="448" t="str">
        <f aca="false">B57</f>
        <v>Sudáfrica</v>
      </c>
    </row>
    <row r="58" customFormat="false" ht="15" hidden="true" customHeight="false" outlineLevel="0" collapsed="false">
      <c r="B58" s="454" t="str">
        <f aca="false">Equipos!K40</f>
        <v>Suiza</v>
      </c>
      <c r="C58" s="449"/>
      <c r="D58" s="450"/>
      <c r="E58" s="450"/>
      <c r="F58" s="450"/>
      <c r="G58" s="450"/>
      <c r="H58" s="450"/>
      <c r="I58" s="450"/>
      <c r="J58" s="451"/>
      <c r="K58" s="447" t="n">
        <f aca="false">SUM(C58:J58)</f>
        <v>0</v>
      </c>
      <c r="L58" s="448" t="str">
        <f aca="false">B58</f>
        <v>Suiza</v>
      </c>
    </row>
    <row r="59" customFormat="false" ht="15" hidden="true" customHeight="false" outlineLevel="0" collapsed="false">
      <c r="B59" s="454" t="str">
        <f aca="false">Equipos!K41</f>
        <v>Túnez</v>
      </c>
      <c r="C59" s="449"/>
      <c r="D59" s="450"/>
      <c r="E59" s="450"/>
      <c r="F59" s="450"/>
      <c r="G59" s="450"/>
      <c r="H59" s="450"/>
      <c r="I59" s="450"/>
      <c r="J59" s="451"/>
      <c r="K59" s="447" t="n">
        <f aca="false">SUM(C59:J59)</f>
        <v>0</v>
      </c>
      <c r="L59" s="448" t="str">
        <f aca="false">B59</f>
        <v>Túnez</v>
      </c>
    </row>
    <row r="60" customFormat="false" ht="15" hidden="true" customHeight="false" outlineLevel="0" collapsed="false">
      <c r="B60" s="454" t="str">
        <f aca="false">Equipos!K42</f>
        <v>Uruguay</v>
      </c>
      <c r="C60" s="449"/>
      <c r="D60" s="450"/>
      <c r="E60" s="450"/>
      <c r="F60" s="450"/>
      <c r="G60" s="450"/>
      <c r="H60" s="450"/>
      <c r="I60" s="450"/>
      <c r="J60" s="451"/>
      <c r="K60" s="447" t="n">
        <f aca="false">SUM(C60:J60)</f>
        <v>0</v>
      </c>
      <c r="L60" s="448" t="str">
        <f aca="false">B60</f>
        <v>Uruguay</v>
      </c>
    </row>
    <row r="61" customFormat="false" ht="15" hidden="true" customHeight="false" outlineLevel="0" collapsed="false">
      <c r="B61" s="454" t="str">
        <f aca="false">Equipos!K43</f>
        <v>Uzbekistán</v>
      </c>
      <c r="C61" s="449"/>
      <c r="D61" s="450"/>
      <c r="E61" s="450"/>
      <c r="F61" s="450"/>
      <c r="G61" s="450"/>
      <c r="H61" s="450"/>
      <c r="I61" s="450"/>
      <c r="J61" s="451"/>
      <c r="K61" s="447" t="n">
        <f aca="false">SUM(C61:J61)</f>
        <v>0</v>
      </c>
      <c r="L61" s="448" t="str">
        <f aca="false">B61</f>
        <v>Uzbekistán</v>
      </c>
    </row>
    <row r="62" customFormat="false" ht="15" hidden="true" customHeight="false" outlineLevel="0" collapsed="false">
      <c r="B62" s="454" t="str">
        <f aca="false">Equipos!K44</f>
        <v>RD Congo</v>
      </c>
      <c r="C62" s="449"/>
      <c r="D62" s="450"/>
      <c r="E62" s="450"/>
      <c r="F62" s="450"/>
      <c r="G62" s="450"/>
      <c r="H62" s="450"/>
      <c r="I62" s="450"/>
      <c r="J62" s="451"/>
      <c r="K62" s="447" t="n">
        <f aca="false">SUM(C62:J62)</f>
        <v>0</v>
      </c>
      <c r="L62" s="448" t="str">
        <f aca="false">B62</f>
        <v>RD Congo</v>
      </c>
    </row>
    <row r="63" customFormat="false" ht="15" hidden="true" customHeight="false" outlineLevel="0" collapsed="false">
      <c r="B63" s="454" t="str">
        <f aca="false">Equipos!K45</f>
        <v>Irak</v>
      </c>
      <c r="C63" s="449"/>
      <c r="D63" s="450"/>
      <c r="E63" s="450"/>
      <c r="F63" s="450"/>
      <c r="G63" s="450"/>
      <c r="H63" s="450"/>
      <c r="I63" s="450"/>
      <c r="J63" s="451"/>
      <c r="K63" s="447" t="n">
        <f aca="false">SUM(C63:J63)</f>
        <v>0</v>
      </c>
      <c r="L63" s="448" t="str">
        <f aca="false">B63</f>
        <v>Irak</v>
      </c>
    </row>
    <row r="64" customFormat="false" ht="15" hidden="true" customHeight="false" outlineLevel="0" collapsed="false">
      <c r="B64" s="454" t="str">
        <f aca="false">Equipos!K46</f>
        <v>Bosnia y Herzegovina</v>
      </c>
      <c r="C64" s="449"/>
      <c r="D64" s="450"/>
      <c r="E64" s="450"/>
      <c r="F64" s="450"/>
      <c r="G64" s="450"/>
      <c r="H64" s="450"/>
      <c r="I64" s="450"/>
      <c r="J64" s="451"/>
      <c r="K64" s="447" t="n">
        <f aca="false">SUM(C64:J64)</f>
        <v>0</v>
      </c>
      <c r="L64" s="448" t="str">
        <f aca="false">B64</f>
        <v>Bosnia y Herzegovina</v>
      </c>
    </row>
    <row r="65" customFormat="false" ht="15" hidden="true" customHeight="false" outlineLevel="0" collapsed="false">
      <c r="B65" s="454" t="str">
        <f aca="false">Equipos!K47</f>
        <v>Suecia</v>
      </c>
      <c r="C65" s="449"/>
      <c r="D65" s="450"/>
      <c r="E65" s="450"/>
      <c r="F65" s="450"/>
      <c r="G65" s="450"/>
      <c r="H65" s="450"/>
      <c r="I65" s="450"/>
      <c r="J65" s="451"/>
      <c r="K65" s="447" t="n">
        <f aca="false">SUM(C65:J65)</f>
        <v>0</v>
      </c>
      <c r="L65" s="448" t="str">
        <f aca="false">B65</f>
        <v>Suecia</v>
      </c>
    </row>
    <row r="66" customFormat="false" ht="15" hidden="true" customHeight="false" outlineLevel="0" collapsed="false">
      <c r="B66" s="454" t="str">
        <f aca="false">Equipos!K48</f>
        <v>Turquía</v>
      </c>
      <c r="C66" s="449"/>
      <c r="D66" s="450"/>
      <c r="E66" s="450"/>
      <c r="F66" s="450"/>
      <c r="G66" s="450"/>
      <c r="H66" s="450"/>
      <c r="I66" s="450"/>
      <c r="J66" s="451"/>
      <c r="K66" s="447" t="n">
        <f aca="false">SUM(C66:J66)</f>
        <v>0</v>
      </c>
      <c r="L66" s="448" t="str">
        <f aca="false">B66</f>
        <v>Turquía</v>
      </c>
    </row>
    <row r="67" customFormat="false" ht="15" hidden="true" customHeight="false" outlineLevel="0" collapsed="false">
      <c r="B67" s="455" t="str">
        <f aca="false">Equipos!K49</f>
        <v>República Checa</v>
      </c>
      <c r="C67" s="456"/>
      <c r="D67" s="457"/>
      <c r="E67" s="457"/>
      <c r="F67" s="457"/>
      <c r="G67" s="457"/>
      <c r="H67" s="457"/>
      <c r="I67" s="457"/>
      <c r="J67" s="458"/>
      <c r="K67" s="461" t="n">
        <f aca="false">SUM(C67:J67)</f>
        <v>0</v>
      </c>
      <c r="L67" s="462" t="str">
        <f aca="false">B67</f>
        <v>República Checa</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2" activeCellId="0" sqref="D22"/>
    </sheetView>
  </sheetViews>
  <sheetFormatPr defaultColWidth="10.84765625" defaultRowHeight="15" customHeight="true" zeroHeight="false" outlineLevelRow="0" outlineLevelCol="0"/>
  <cols>
    <col collapsed="false" customWidth="true" hidden="false" outlineLevel="0" max="1" min="1" style="321" width="4.71"/>
    <col collapsed="false" customWidth="true" hidden="false" outlineLevel="0" max="2" min="2" style="38" width="4.71"/>
    <col collapsed="false" customWidth="true" hidden="false" outlineLevel="0" max="3" min="3" style="38" width="24.29"/>
    <col collapsed="false" customWidth="false" hidden="false" outlineLevel="0" max="21" min="4" style="38" width="10.85"/>
    <col collapsed="false" customWidth="false" hidden="true" outlineLevel="0" max="16384" min="22" style="38" width="10.85"/>
  </cols>
  <sheetData>
    <row r="1" customFormat="false" ht="43.3" hidden="false" customHeight="false" outlineLevel="0" collapsed="false">
      <c r="A1" s="463"/>
      <c r="B1" s="464" t="str">
        <f aca="false">Idiomas!D451&amp;" "&amp;Home!C10</f>
        <v>CLASIFICACIÓN MUNDIAL 2026 MUNDOPANDA</v>
      </c>
      <c r="C1" s="464"/>
      <c r="D1" s="464"/>
      <c r="E1" s="464"/>
      <c r="F1" s="464"/>
      <c r="G1" s="464"/>
      <c r="H1" s="464"/>
      <c r="I1" s="464"/>
      <c r="J1" s="464"/>
      <c r="K1" s="464"/>
      <c r="L1" s="464"/>
      <c r="M1" s="464"/>
      <c r="N1" s="464"/>
      <c r="O1" s="464"/>
      <c r="P1" s="464"/>
      <c r="Q1" s="464"/>
      <c r="R1" s="464"/>
      <c r="S1" s="464"/>
      <c r="T1" s="244"/>
      <c r="U1" s="244"/>
    </row>
    <row r="2" customFormat="false" ht="9" hidden="false" customHeight="true" outlineLevel="0" collapsed="false">
      <c r="A2" s="463"/>
      <c r="B2" s="465"/>
      <c r="C2" s="465"/>
      <c r="D2" s="465"/>
      <c r="E2" s="466" t="n">
        <f aca="false">MATCH(E$4,ADMIN!$K:$K,0)</f>
        <v>78</v>
      </c>
      <c r="F2" s="466" t="n">
        <f aca="false">MATCH(F$4,ADMIN!$K:$K,0)</f>
        <v>128</v>
      </c>
      <c r="G2" s="466" t="n">
        <f aca="false">MATCH(G$4,ADMIN!$K:$K,0)</f>
        <v>162</v>
      </c>
      <c r="H2" s="466" t="n">
        <f aca="false">MATCH(H$4,ADMIN!$K:$K,0)</f>
        <v>180</v>
      </c>
      <c r="I2" s="466" t="n">
        <f aca="false">MATCH(I$4,ADMIN!$K:$K,0)</f>
        <v>198</v>
      </c>
      <c r="J2" s="466" t="n">
        <f aca="false">MATCH(J$4,ADMIN!$K:$K,0)</f>
        <v>208</v>
      </c>
      <c r="K2" s="466" t="n">
        <f aca="false">MATCH(K$4,ADMIN!$K:$K,0)</f>
        <v>218</v>
      </c>
      <c r="L2" s="466" t="n">
        <f aca="false">MATCH(L$4,ADMIN!$K:$K,0)</f>
        <v>224</v>
      </c>
      <c r="M2" s="466" t="n">
        <f aca="false">MATCH(M$4,ADMIN!$K:$K,0)</f>
        <v>230</v>
      </c>
      <c r="N2" s="466" t="n">
        <f aca="false">MATCH(N$4,ADMIN!$K:$K,0)</f>
        <v>234</v>
      </c>
      <c r="O2" s="466" t="n">
        <f aca="false">MATCH(O$4,ADMIN!$K:$K,0)</f>
        <v>238</v>
      </c>
      <c r="P2" s="466" t="n">
        <f aca="false">MATCH(P$4,ADMIN!$K:$K,0)</f>
        <v>242</v>
      </c>
      <c r="Q2" s="466" t="n">
        <f aca="false">MATCH(Q$4,ADMIN!$K:$K,0)</f>
        <v>245</v>
      </c>
      <c r="R2" s="466" t="n">
        <f aca="false">MATCH(R$4,ADMIN!$K:$K,0)</f>
        <v>248</v>
      </c>
      <c r="S2" s="466" t="n">
        <f aca="false">MATCH(S$4,ADMIN!$K:$K,0)</f>
        <v>259</v>
      </c>
      <c r="T2" s="244"/>
      <c r="U2" s="244"/>
    </row>
    <row r="3" customFormat="false" ht="15" hidden="false" customHeight="true" outlineLevel="0" collapsed="false">
      <c r="A3" s="463"/>
      <c r="B3" s="467"/>
      <c r="C3" s="467"/>
      <c r="D3" s="467"/>
      <c r="E3" s="468" t="str">
        <f aca="false">+INDEX(ADMIN!$M$5:$M$259,MATCH(CLAS!E4,ADMIN!$K$5:$K$259,0))</f>
        <v>Max: 1224</v>
      </c>
      <c r="F3" s="468" t="str">
        <f aca="false">+INDEX(ADMIN!$M$5:$M$259,MATCH(CLAS!F4,ADMIN!$K$5:$K$259,0))</f>
        <v>Max: 240</v>
      </c>
      <c r="G3" s="468" t="str">
        <f aca="false">+INDEX(ADMIN!$M$5:$M$259,MATCH(CLAS!G4,ADMIN!$K$5:$K$259,0))</f>
        <v>Max: 96</v>
      </c>
      <c r="H3" s="468" t="str">
        <f aca="false">+INDEX(ADMIN!$M$5:$M$259,MATCH(CLAS!H4,ADMIN!$K$5:$K$259,0))</f>
        <v>Max: 272</v>
      </c>
      <c r="I3" s="468" t="str">
        <f aca="false">+INDEX(ADMIN!$M$5:$M$259,MATCH(CLAS!I4,ADMIN!$K$5:$K$259,0))</f>
        <v>Max: 64</v>
      </c>
      <c r="J3" s="468" t="str">
        <f aca="false">+INDEX(ADMIN!$M$5:$M$259,MATCH(CLAS!J4,ADMIN!$K$5:$K$259,0))</f>
        <v>Max: 136</v>
      </c>
      <c r="K3" s="468" t="str">
        <f aca="false">+INDEX(ADMIN!$M$5:$M$259,MATCH(CLAS!K4,ADMIN!$K$5:$K$259,0))</f>
        <v>Max: 40</v>
      </c>
      <c r="L3" s="468" t="str">
        <f aca="false">+INDEX(ADMIN!$M$5:$M$259,MATCH(CLAS!L4,ADMIN!$K$5:$K$259,0))</f>
        <v>Max: 68</v>
      </c>
      <c r="M3" s="468" t="str">
        <f aca="false">+INDEX(ADMIN!$M$5:$M$259,MATCH(CLAS!M4,ADMIN!$K$5:$K$259,0))</f>
        <v>Max: 24</v>
      </c>
      <c r="N3" s="468" t="str">
        <f aca="false">+INDEX(ADMIN!$M$5:$M$259,MATCH(CLAS!N4,ADMIN!$K$5:$K$259,0))</f>
        <v>Max: 36</v>
      </c>
      <c r="O3" s="468" t="str">
        <f aca="false">+INDEX(ADMIN!$M$5:$M$259,MATCH(CLAS!O4,ADMIN!$K$5:$K$259,0))</f>
        <v>Max: 14</v>
      </c>
      <c r="P3" s="468" t="str">
        <f aca="false">+INDEX(ADMIN!$M$5:$M$259,MATCH(CLAS!P4,ADMIN!$K$5:$K$259,0))</f>
        <v>Max: 14</v>
      </c>
      <c r="Q3" s="468" t="str">
        <f aca="false">+INDEX(ADMIN!$M$5:$M$259,MATCH(CLAS!Q4,ADMIN!$K$5:$K$259,0))</f>
        <v>Max: 17</v>
      </c>
      <c r="R3" s="468" t="str">
        <f aca="false">+INDEX(ADMIN!$M$5:$M$259,MATCH(CLAS!R4,ADMIN!$K$5:$K$259,0))</f>
        <v>Max: 17</v>
      </c>
      <c r="S3" s="468" t="str">
        <f aca="false">+INDEX(ADMIN!$M$5:$M$259,MATCH(CLAS!S4,ADMIN!$K$5:$K$259,0))</f>
        <v>Max: 180</v>
      </c>
      <c r="T3" s="244"/>
      <c r="U3" s="244"/>
    </row>
    <row r="4" customFormat="false" ht="26.85" hidden="false" customHeight="false" outlineLevel="0" collapsed="false">
      <c r="A4" s="463"/>
      <c r="B4" s="469" t="str">
        <f aca="false">Idiomas!$D$452</f>
        <v>Pos</v>
      </c>
      <c r="C4" s="470" t="str">
        <f aca="false">Idiomas!$D$453</f>
        <v>Jugador</v>
      </c>
      <c r="D4" s="469" t="str">
        <f aca="false">Idiomas!$D$454</f>
        <v>Puntos Totales</v>
      </c>
      <c r="E4" s="469" t="str">
        <f aca="false">Idiomas!$D$455</f>
        <v>F. Grupos</v>
      </c>
      <c r="F4" s="469" t="str">
        <f aca="false">Idiomas!$D$456</f>
        <v>Pos. Grupos</v>
      </c>
      <c r="G4" s="469" t="str">
        <f aca="false">Idiomas!$D$457</f>
        <v>Equipos 1/16</v>
      </c>
      <c r="H4" s="469" t="str">
        <f aca="false">Idiomas!$D$458</f>
        <v>Partidos 1/16</v>
      </c>
      <c r="I4" s="469" t="str">
        <f aca="false">Idiomas!$D$459</f>
        <v>Equipos 1/8</v>
      </c>
      <c r="J4" s="469" t="str">
        <f aca="false">Idiomas!$D$460</f>
        <v>Partidos 1/8</v>
      </c>
      <c r="K4" s="469" t="str">
        <f aca="false">Idiomas!$D$461</f>
        <v>Equipos 1/4</v>
      </c>
      <c r="L4" s="469" t="str">
        <f aca="false">Idiomas!$D$462</f>
        <v>Partidos 1/4</v>
      </c>
      <c r="M4" s="469" t="str">
        <f aca="false">Idiomas!$D$463</f>
        <v>Equipos 1/2</v>
      </c>
      <c r="N4" s="469" t="str">
        <f aca="false">Idiomas!$D$464</f>
        <v>Partidos 1/2</v>
      </c>
      <c r="O4" s="469" t="str">
        <f aca="false">Idiomas!$D$465</f>
        <v>Equipos 3-4</v>
      </c>
      <c r="P4" s="469" t="str">
        <f aca="false">Idiomas!$D$466</f>
        <v>Equipos Final</v>
      </c>
      <c r="Q4" s="469" t="str">
        <f aca="false">Idiomas!$D$467</f>
        <v>Partido 3-4</v>
      </c>
      <c r="R4" s="469" t="str">
        <f aca="false">Idiomas!$D$468</f>
        <v>Partido Final</v>
      </c>
      <c r="S4" s="469" t="str">
        <f aca="false">Idiomas!$D$469</f>
        <v>Cuadro de Honor </v>
      </c>
      <c r="T4" s="244"/>
      <c r="U4" s="244"/>
    </row>
    <row r="5" customFormat="false" ht="15" hidden="false" customHeight="false" outlineLevel="0" collapsed="false">
      <c r="A5" s="85" t="n">
        <f aca="false">ROW()-4</f>
        <v>1</v>
      </c>
      <c r="B5" s="51" t="n">
        <f aca="false">IFERROR(HLOOKUP(A5,Rango_Admin_Clas,3,FALSE()),"-")</f>
        <v>1</v>
      </c>
      <c r="C5" s="50" t="str">
        <f aca="false">IFERROR(HLOOKUP(A5,Rango_Admin_Clas,5,FALSE()),"-")</f>
        <v>GORKA</v>
      </c>
      <c r="D5" s="279" t="n">
        <f aca="false">IFERROR(HLOOKUP(A5,Rango_Admin_Clas,4,FALSE()),"-")</f>
        <v>96</v>
      </c>
      <c r="E5" s="471" t="n">
        <f aca="false" t="array" ref="E5:E5">IFERROR(INDEX(Rango_Admin_Clas_Total,E$2,MATCH($A5,Rango_Admin_Clas_Primera,0)+1),"-")</f>
        <v>95</v>
      </c>
      <c r="F5" s="471" t="n">
        <f aca="false" t="array" ref="F5:F5">IFERROR(INDEX(Rango_Admin_Clas_Total,F$2,MATCH($A5,Rango_Admin_Clas_Primera,0)+1),"-")</f>
        <v>0</v>
      </c>
      <c r="G5" s="471" t="n">
        <f aca="false" t="array" ref="G5:G5">IFERROR(INDEX(Rango_Admin_Clas_Total,G$2,MATCH($A5,Rango_Admin_Clas_Primera,0)+1),"-")</f>
        <v>0</v>
      </c>
      <c r="H5" s="471" t="n">
        <f aca="false" t="array" ref="H5:H5">IFERROR(INDEX(Rango_Admin_Clas_Total,H$2,MATCH($A5,Rango_Admin_Clas_Primera,0)+1),"-")</f>
        <v>0</v>
      </c>
      <c r="I5" s="471" t="n">
        <f aca="false" t="array" ref="I5:I5">IFERROR(INDEX(Rango_Admin_Clas_Total,I$2,MATCH($A5,Rango_Admin_Clas_Primera,0)+1),"-")</f>
        <v>0</v>
      </c>
      <c r="J5" s="471" t="n">
        <f aca="false" t="array" ref="J5:J5">IFERROR(INDEX(Rango_Admin_Clas_Total,J$2,MATCH($A5,Rango_Admin_Clas_Primera,0)+1),"-")</f>
        <v>0</v>
      </c>
      <c r="K5" s="471" t="n">
        <f aca="false" t="array" ref="K5:K5">IFERROR(INDEX(Rango_Admin_Clas_Total,K$2,MATCH($A5,Rango_Admin_Clas_Primera,0)+1),"-")</f>
        <v>0</v>
      </c>
      <c r="L5" s="471" t="n">
        <f aca="false" t="array" ref="L5:L5">IFERROR(INDEX(Rango_Admin_Clas_Total,L$2,MATCH($A5,Rango_Admin_Clas_Primera,0)+1),"-")</f>
        <v>0</v>
      </c>
      <c r="M5" s="471" t="n">
        <f aca="false" t="array" ref="M5:M5">IFERROR(INDEX(Rango_Admin_Clas_Total,M$2,MATCH($A5,Rango_Admin_Clas_Primera,0)+1),"-")</f>
        <v>0</v>
      </c>
      <c r="N5" s="471" t="n">
        <f aca="false" t="array" ref="N5:N5">IFERROR(INDEX(Rango_Admin_Clas_Total,N$2,MATCH($A5,Rango_Admin_Clas_Primera,0)+1),"-")</f>
        <v>0</v>
      </c>
      <c r="O5" s="471" t="n">
        <f aca="false" t="array" ref="O5:O5">IFERROR(INDEX(Rango_Admin_Clas_Total,O$2,MATCH($A5,Rango_Admin_Clas_Primera,0)+1),"-")</f>
        <v>0</v>
      </c>
      <c r="P5" s="471" t="n">
        <f aca="false" t="array" ref="P5:P5">IFERROR(INDEX(Rango_Admin_Clas_Total,P$2,MATCH($A5,Rango_Admin_Clas_Primera,0)+1),"-")</f>
        <v>0</v>
      </c>
      <c r="Q5" s="471" t="n">
        <f aca="false" t="array" ref="Q5:Q5">IFERROR(INDEX(Rango_Admin_Clas_Total,Q$2,MATCH($A5,Rango_Admin_Clas_Primera,0)+1),"-")</f>
        <v>0</v>
      </c>
      <c r="R5" s="471" t="n">
        <f aca="false" t="array" ref="R5:R5">IFERROR(INDEX(Rango_Admin_Clas_Total,R$2,MATCH($A5,Rango_Admin_Clas_Primera,0)+1),"-")</f>
        <v>0</v>
      </c>
      <c r="S5" s="471" t="n">
        <f aca="false" t="array" ref="S5:S5">IFERROR(INDEX(Rango_Admin_Clas_Total,S$2,MATCH($A5,Rango_Admin_Clas_Primera,0)+1),"-")</f>
        <v>1</v>
      </c>
      <c r="T5" s="244"/>
      <c r="U5" s="244"/>
    </row>
    <row r="6" customFormat="false" ht="15" hidden="false" customHeight="false" outlineLevel="0" collapsed="false">
      <c r="A6" s="85" t="n">
        <f aca="false">ROW()-4</f>
        <v>2</v>
      </c>
      <c r="B6" s="51" t="n">
        <f aca="false">IFERROR(HLOOKUP(A6,Rango_Admin_Clas,3,FALSE()),"-")</f>
        <v>2</v>
      </c>
      <c r="C6" s="50" t="str">
        <f aca="false">IFERROR(HLOOKUP(A6,Rango_Admin_Clas,5,FALSE()),"-")</f>
        <v>GANEKO</v>
      </c>
      <c r="D6" s="279" t="n">
        <f aca="false">IFERROR(HLOOKUP(A6,Rango_Admin_Clas,4,FALSE()),"-")</f>
        <v>91</v>
      </c>
      <c r="E6" s="471" t="n">
        <f aca="false" t="array" ref="E6:E6">IFERROR(INDEX(Rango_Admin_Clas_Total,E$2,MATCH($A6,Rango_Admin_Clas_Primera,0)+1),"-")</f>
        <v>90</v>
      </c>
      <c r="F6" s="471" t="n">
        <f aca="false" t="array" ref="F6:F6">IFERROR(INDEX(Rango_Admin_Clas_Total,F$2,MATCH($A6,Rango_Admin_Clas_Primera,0)+1),"-")</f>
        <v>0</v>
      </c>
      <c r="G6" s="471" t="n">
        <f aca="false" t="array" ref="G6:G6">IFERROR(INDEX(Rango_Admin_Clas_Total,G$2,MATCH($A6,Rango_Admin_Clas_Primera,0)+1),"-")</f>
        <v>0</v>
      </c>
      <c r="H6" s="471" t="n">
        <f aca="false" t="array" ref="H6:H6">IFERROR(INDEX(Rango_Admin_Clas_Total,H$2,MATCH($A6,Rango_Admin_Clas_Primera,0)+1),"-")</f>
        <v>0</v>
      </c>
      <c r="I6" s="471" t="n">
        <f aca="false" t="array" ref="I6:I6">IFERROR(INDEX(Rango_Admin_Clas_Total,I$2,MATCH($A6,Rango_Admin_Clas_Primera,0)+1),"-")</f>
        <v>0</v>
      </c>
      <c r="J6" s="471" t="n">
        <f aca="false" t="array" ref="J6:J6">IFERROR(INDEX(Rango_Admin_Clas_Total,J$2,MATCH($A6,Rango_Admin_Clas_Primera,0)+1),"-")</f>
        <v>0</v>
      </c>
      <c r="K6" s="471" t="n">
        <f aca="false" t="array" ref="K6:K6">IFERROR(INDEX(Rango_Admin_Clas_Total,K$2,MATCH($A6,Rango_Admin_Clas_Primera,0)+1),"-")</f>
        <v>0</v>
      </c>
      <c r="L6" s="471" t="n">
        <f aca="false" t="array" ref="L6:L6">IFERROR(INDEX(Rango_Admin_Clas_Total,L$2,MATCH($A6,Rango_Admin_Clas_Primera,0)+1),"-")</f>
        <v>0</v>
      </c>
      <c r="M6" s="471" t="n">
        <f aca="false" t="array" ref="M6:M6">IFERROR(INDEX(Rango_Admin_Clas_Total,M$2,MATCH($A6,Rango_Admin_Clas_Primera,0)+1),"-")</f>
        <v>0</v>
      </c>
      <c r="N6" s="471" t="n">
        <f aca="false" t="array" ref="N6:N6">IFERROR(INDEX(Rango_Admin_Clas_Total,N$2,MATCH($A6,Rango_Admin_Clas_Primera,0)+1),"-")</f>
        <v>0</v>
      </c>
      <c r="O6" s="471" t="n">
        <f aca="false" t="array" ref="O6:O6">IFERROR(INDEX(Rango_Admin_Clas_Total,O$2,MATCH($A6,Rango_Admin_Clas_Primera,0)+1),"-")</f>
        <v>0</v>
      </c>
      <c r="P6" s="471" t="n">
        <f aca="false" t="array" ref="P6:P6">IFERROR(INDEX(Rango_Admin_Clas_Total,P$2,MATCH($A6,Rango_Admin_Clas_Primera,0)+1),"-")</f>
        <v>0</v>
      </c>
      <c r="Q6" s="471" t="n">
        <f aca="false" t="array" ref="Q6:Q6">IFERROR(INDEX(Rango_Admin_Clas_Total,Q$2,MATCH($A6,Rango_Admin_Clas_Primera,0)+1),"-")</f>
        <v>0</v>
      </c>
      <c r="R6" s="471" t="n">
        <f aca="false" t="array" ref="R6:R6">IFERROR(INDEX(Rango_Admin_Clas_Total,R$2,MATCH($A6,Rango_Admin_Clas_Primera,0)+1),"-")</f>
        <v>0</v>
      </c>
      <c r="S6" s="471" t="n">
        <f aca="false" t="array" ref="S6:S6">IFERROR(INDEX(Rango_Admin_Clas_Total,S$2,MATCH($A6,Rango_Admin_Clas_Primera,0)+1),"-")</f>
        <v>1</v>
      </c>
      <c r="T6" s="244"/>
      <c r="U6" s="244"/>
    </row>
    <row r="7" customFormat="false" ht="15" hidden="false" customHeight="false" outlineLevel="0" collapsed="false">
      <c r="A7" s="85" t="n">
        <f aca="false">ROW()-4</f>
        <v>3</v>
      </c>
      <c r="B7" s="51" t="n">
        <f aca="false">IFERROR(HLOOKUP(A7,Rango_Admin_Clas,3,FALSE()),"-")</f>
        <v>3</v>
      </c>
      <c r="C7" s="50" t="str">
        <f aca="false">IFERROR(HLOOKUP(A7,Rango_Admin_Clas,5,FALSE()),"-")</f>
        <v>ANDER</v>
      </c>
      <c r="D7" s="279" t="n">
        <f aca="false">IFERROR(HLOOKUP(A7,Rango_Admin_Clas,4,FALSE()),"-")</f>
        <v>89</v>
      </c>
      <c r="E7" s="471" t="n">
        <f aca="false" t="array" ref="E7:E7">IFERROR(INDEX(Rango_Admin_Clas_Total,E$2,MATCH($A7,Rango_Admin_Clas_Primera,0)+1),"-")</f>
        <v>82</v>
      </c>
      <c r="F7" s="471" t="n">
        <f aca="false" t="array" ref="F7:F7">IFERROR(INDEX(Rango_Admin_Clas_Total,F$2,MATCH($A7,Rango_Admin_Clas_Primera,0)+1),"-")</f>
        <v>0</v>
      </c>
      <c r="G7" s="471" t="n">
        <f aca="false" t="array" ref="G7:G7">IFERROR(INDEX(Rango_Admin_Clas_Total,G$2,MATCH($A7,Rango_Admin_Clas_Primera,0)+1),"-")</f>
        <v>0</v>
      </c>
      <c r="H7" s="471" t="n">
        <f aca="false" t="array" ref="H7:H7">IFERROR(INDEX(Rango_Admin_Clas_Total,H$2,MATCH($A7,Rango_Admin_Clas_Primera,0)+1),"-")</f>
        <v>0</v>
      </c>
      <c r="I7" s="471" t="n">
        <f aca="false" t="array" ref="I7:I7">IFERROR(INDEX(Rango_Admin_Clas_Total,I$2,MATCH($A7,Rango_Admin_Clas_Primera,0)+1),"-")</f>
        <v>0</v>
      </c>
      <c r="J7" s="471" t="n">
        <f aca="false" t="array" ref="J7:J7">IFERROR(INDEX(Rango_Admin_Clas_Total,J$2,MATCH($A7,Rango_Admin_Clas_Primera,0)+1),"-")</f>
        <v>0</v>
      </c>
      <c r="K7" s="471" t="n">
        <f aca="false" t="array" ref="K7:K7">IFERROR(INDEX(Rango_Admin_Clas_Total,K$2,MATCH($A7,Rango_Admin_Clas_Primera,0)+1),"-")</f>
        <v>0</v>
      </c>
      <c r="L7" s="471" t="n">
        <f aca="false" t="array" ref="L7:L7">IFERROR(INDEX(Rango_Admin_Clas_Total,L$2,MATCH($A7,Rango_Admin_Clas_Primera,0)+1),"-")</f>
        <v>0</v>
      </c>
      <c r="M7" s="471" t="n">
        <f aca="false" t="array" ref="M7:M7">IFERROR(INDEX(Rango_Admin_Clas_Total,M$2,MATCH($A7,Rango_Admin_Clas_Primera,0)+1),"-")</f>
        <v>0</v>
      </c>
      <c r="N7" s="471" t="n">
        <f aca="false" t="array" ref="N7:N7">IFERROR(INDEX(Rango_Admin_Clas_Total,N$2,MATCH($A7,Rango_Admin_Clas_Primera,0)+1),"-")</f>
        <v>0</v>
      </c>
      <c r="O7" s="471" t="n">
        <f aca="false" t="array" ref="O7:O7">IFERROR(INDEX(Rango_Admin_Clas_Total,O$2,MATCH($A7,Rango_Admin_Clas_Primera,0)+1),"-")</f>
        <v>0</v>
      </c>
      <c r="P7" s="471" t="n">
        <f aca="false" t="array" ref="P7:P7">IFERROR(INDEX(Rango_Admin_Clas_Total,P$2,MATCH($A7,Rango_Admin_Clas_Primera,0)+1),"-")</f>
        <v>0</v>
      </c>
      <c r="Q7" s="471" t="n">
        <f aca="false" t="array" ref="Q7:Q7">IFERROR(INDEX(Rango_Admin_Clas_Total,Q$2,MATCH($A7,Rango_Admin_Clas_Primera,0)+1),"-")</f>
        <v>0</v>
      </c>
      <c r="R7" s="471" t="n">
        <f aca="false" t="array" ref="R7:R7">IFERROR(INDEX(Rango_Admin_Clas_Total,R$2,MATCH($A7,Rango_Admin_Clas_Primera,0)+1),"-")</f>
        <v>0</v>
      </c>
      <c r="S7" s="471" t="n">
        <f aca="false" t="array" ref="S7:S7">IFERROR(INDEX(Rango_Admin_Clas_Total,S$2,MATCH($A7,Rango_Admin_Clas_Primera,0)+1),"-")</f>
        <v>7</v>
      </c>
      <c r="T7" s="244"/>
      <c r="U7" s="244"/>
    </row>
    <row r="8" customFormat="false" ht="15" hidden="false" customHeight="false" outlineLevel="0" collapsed="false">
      <c r="A8" s="85" t="n">
        <f aca="false">ROW()-4</f>
        <v>4</v>
      </c>
      <c r="B8" s="51" t="n">
        <f aca="false">IFERROR(HLOOKUP(A8,Rango_Admin_Clas,3,FALSE()),"-")</f>
        <v>4</v>
      </c>
      <c r="C8" s="50" t="str">
        <f aca="false">IFERROR(HLOOKUP(A8,Rango_Admin_Clas,5,FALSE()),"-")</f>
        <v>JORGE</v>
      </c>
      <c r="D8" s="279" t="n">
        <f aca="false">IFERROR(HLOOKUP(A8,Rango_Admin_Clas,4,FALSE()),"-")</f>
        <v>71</v>
      </c>
      <c r="E8" s="471" t="n">
        <f aca="false" t="array" ref="E8:E8">IFERROR(INDEX(Rango_Admin_Clas_Total,E$2,MATCH($A8,Rango_Admin_Clas_Primera,0)+1),"-")</f>
        <v>63</v>
      </c>
      <c r="F8" s="471" t="n">
        <f aca="false" t="array" ref="F8:F8">IFERROR(INDEX(Rango_Admin_Clas_Total,F$2,MATCH($A8,Rango_Admin_Clas_Primera,0)+1),"-")</f>
        <v>0</v>
      </c>
      <c r="G8" s="471" t="n">
        <f aca="false" t="array" ref="G8:G8">IFERROR(INDEX(Rango_Admin_Clas_Total,G$2,MATCH($A8,Rango_Admin_Clas_Primera,0)+1),"-")</f>
        <v>0</v>
      </c>
      <c r="H8" s="471" t="n">
        <f aca="false" t="array" ref="H8:H8">IFERROR(INDEX(Rango_Admin_Clas_Total,H$2,MATCH($A8,Rango_Admin_Clas_Primera,0)+1),"-")</f>
        <v>0</v>
      </c>
      <c r="I8" s="471" t="n">
        <f aca="false" t="array" ref="I8:I8">IFERROR(INDEX(Rango_Admin_Clas_Total,I$2,MATCH($A8,Rango_Admin_Clas_Primera,0)+1),"-")</f>
        <v>0</v>
      </c>
      <c r="J8" s="471" t="n">
        <f aca="false" t="array" ref="J8:J8">IFERROR(INDEX(Rango_Admin_Clas_Total,J$2,MATCH($A8,Rango_Admin_Clas_Primera,0)+1),"-")</f>
        <v>0</v>
      </c>
      <c r="K8" s="471" t="n">
        <f aca="false" t="array" ref="K8:K8">IFERROR(INDEX(Rango_Admin_Clas_Total,K$2,MATCH($A8,Rango_Admin_Clas_Primera,0)+1),"-")</f>
        <v>0</v>
      </c>
      <c r="L8" s="471" t="n">
        <f aca="false" t="array" ref="L8:L8">IFERROR(INDEX(Rango_Admin_Clas_Total,L$2,MATCH($A8,Rango_Admin_Clas_Primera,0)+1),"-")</f>
        <v>0</v>
      </c>
      <c r="M8" s="471" t="n">
        <f aca="false" t="array" ref="M8:M8">IFERROR(INDEX(Rango_Admin_Clas_Total,M$2,MATCH($A8,Rango_Admin_Clas_Primera,0)+1),"-")</f>
        <v>0</v>
      </c>
      <c r="N8" s="471" t="n">
        <f aca="false" t="array" ref="N8:N8">IFERROR(INDEX(Rango_Admin_Clas_Total,N$2,MATCH($A8,Rango_Admin_Clas_Primera,0)+1),"-")</f>
        <v>0</v>
      </c>
      <c r="O8" s="471" t="n">
        <f aca="false" t="array" ref="O8:O8">IFERROR(INDEX(Rango_Admin_Clas_Total,O$2,MATCH($A8,Rango_Admin_Clas_Primera,0)+1),"-")</f>
        <v>0</v>
      </c>
      <c r="P8" s="471" t="n">
        <f aca="false" t="array" ref="P8:P8">IFERROR(INDEX(Rango_Admin_Clas_Total,P$2,MATCH($A8,Rango_Admin_Clas_Primera,0)+1),"-")</f>
        <v>0</v>
      </c>
      <c r="Q8" s="471" t="n">
        <f aca="false" t="array" ref="Q8:Q8">IFERROR(INDEX(Rango_Admin_Clas_Total,Q$2,MATCH($A8,Rango_Admin_Clas_Primera,0)+1),"-")</f>
        <v>0</v>
      </c>
      <c r="R8" s="471" t="n">
        <f aca="false" t="array" ref="R8:R8">IFERROR(INDEX(Rango_Admin_Clas_Total,R$2,MATCH($A8,Rango_Admin_Clas_Primera,0)+1),"-")</f>
        <v>0</v>
      </c>
      <c r="S8" s="471" t="n">
        <f aca="false" t="array" ref="S8:S8">IFERROR(INDEX(Rango_Admin_Clas_Total,S$2,MATCH($A8,Rango_Admin_Clas_Primera,0)+1),"-")</f>
        <v>8</v>
      </c>
      <c r="T8" s="244"/>
      <c r="U8" s="244"/>
    </row>
    <row r="9" customFormat="false" ht="15" hidden="false" customHeight="false" outlineLevel="0" collapsed="false">
      <c r="A9" s="85" t="n">
        <f aca="false">ROW()-4</f>
        <v>5</v>
      </c>
      <c r="B9" s="51" t="n">
        <f aca="false">IFERROR(HLOOKUP(A9,Rango_Admin_Clas,3,FALSE()),"-")</f>
        <v>5</v>
      </c>
      <c r="C9" s="50" t="str">
        <f aca="false">IFERROR(HLOOKUP(A9,Rango_Admin_Clas,5,FALSE()),"-")</f>
        <v>JAVI</v>
      </c>
      <c r="D9" s="279" t="n">
        <f aca="false">IFERROR(HLOOKUP(A9,Rango_Admin_Clas,4,FALSE()),"-")</f>
        <v>68</v>
      </c>
      <c r="E9" s="471" t="n">
        <f aca="false" t="array" ref="E9:E9">IFERROR(INDEX(Rango_Admin_Clas_Total,E$2,MATCH($A9,Rango_Admin_Clas_Primera,0)+1),"-")</f>
        <v>68</v>
      </c>
      <c r="F9" s="471" t="n">
        <f aca="false" t="array" ref="F9:F9">IFERROR(INDEX(Rango_Admin_Clas_Total,F$2,MATCH($A9,Rango_Admin_Clas_Primera,0)+1),"-")</f>
        <v>0</v>
      </c>
      <c r="G9" s="471" t="n">
        <f aca="false" t="array" ref="G9:G9">IFERROR(INDEX(Rango_Admin_Clas_Total,G$2,MATCH($A9,Rango_Admin_Clas_Primera,0)+1),"-")</f>
        <v>0</v>
      </c>
      <c r="H9" s="471" t="n">
        <f aca="false" t="array" ref="H9:H9">IFERROR(INDEX(Rango_Admin_Clas_Total,H$2,MATCH($A9,Rango_Admin_Clas_Primera,0)+1),"-")</f>
        <v>0</v>
      </c>
      <c r="I9" s="471" t="n">
        <f aca="false" t="array" ref="I9:I9">IFERROR(INDEX(Rango_Admin_Clas_Total,I$2,MATCH($A9,Rango_Admin_Clas_Primera,0)+1),"-")</f>
        <v>0</v>
      </c>
      <c r="J9" s="471" t="n">
        <f aca="false" t="array" ref="J9:J9">IFERROR(INDEX(Rango_Admin_Clas_Total,J$2,MATCH($A9,Rango_Admin_Clas_Primera,0)+1),"-")</f>
        <v>0</v>
      </c>
      <c r="K9" s="471" t="n">
        <f aca="false" t="array" ref="K9:K9">IFERROR(INDEX(Rango_Admin_Clas_Total,K$2,MATCH($A9,Rango_Admin_Clas_Primera,0)+1),"-")</f>
        <v>0</v>
      </c>
      <c r="L9" s="471" t="n">
        <f aca="false" t="array" ref="L9:L9">IFERROR(INDEX(Rango_Admin_Clas_Total,L$2,MATCH($A9,Rango_Admin_Clas_Primera,0)+1),"-")</f>
        <v>0</v>
      </c>
      <c r="M9" s="471" t="n">
        <f aca="false" t="array" ref="M9:M9">IFERROR(INDEX(Rango_Admin_Clas_Total,M$2,MATCH($A9,Rango_Admin_Clas_Primera,0)+1),"-")</f>
        <v>0</v>
      </c>
      <c r="N9" s="471" t="n">
        <f aca="false" t="array" ref="N9:N9">IFERROR(INDEX(Rango_Admin_Clas_Total,N$2,MATCH($A9,Rango_Admin_Clas_Primera,0)+1),"-")</f>
        <v>0</v>
      </c>
      <c r="O9" s="471" t="n">
        <f aca="false" t="array" ref="O9:O9">IFERROR(INDEX(Rango_Admin_Clas_Total,O$2,MATCH($A9,Rango_Admin_Clas_Primera,0)+1),"-")</f>
        <v>0</v>
      </c>
      <c r="P9" s="471" t="n">
        <f aca="false" t="array" ref="P9:P9">IFERROR(INDEX(Rango_Admin_Clas_Total,P$2,MATCH($A9,Rango_Admin_Clas_Primera,0)+1),"-")</f>
        <v>0</v>
      </c>
      <c r="Q9" s="471" t="n">
        <f aca="false" t="array" ref="Q9:Q9">IFERROR(INDEX(Rango_Admin_Clas_Total,Q$2,MATCH($A9,Rango_Admin_Clas_Primera,0)+1),"-")</f>
        <v>0</v>
      </c>
      <c r="R9" s="471" t="n">
        <f aca="false" t="array" ref="R9:R9">IFERROR(INDEX(Rango_Admin_Clas_Total,R$2,MATCH($A9,Rango_Admin_Clas_Primera,0)+1),"-")</f>
        <v>0</v>
      </c>
      <c r="S9" s="471" t="n">
        <f aca="false" t="array" ref="S9:S9">IFERROR(INDEX(Rango_Admin_Clas_Total,S$2,MATCH($A9,Rango_Admin_Clas_Primera,0)+1),"-")</f>
        <v>0</v>
      </c>
      <c r="T9" s="244"/>
      <c r="U9" s="244"/>
    </row>
    <row r="10" customFormat="false" ht="15" hidden="false" customHeight="false" outlineLevel="0" collapsed="false">
      <c r="A10" s="85" t="n">
        <f aca="false">ROW()-4</f>
        <v>6</v>
      </c>
      <c r="B10" s="51" t="n">
        <f aca="false">IFERROR(HLOOKUP(A10,Rango_Admin_Clas,3,FALSE()),"-")</f>
        <v>6</v>
      </c>
      <c r="C10" s="50" t="str">
        <f aca="false">IFERROR(HLOOKUP(A10,Rango_Admin_Clas,5,FALSE()),"-")</f>
        <v>GARBAN</v>
      </c>
      <c r="D10" s="279" t="n">
        <f aca="false">IFERROR(HLOOKUP(A10,Rango_Admin_Clas,4,FALSE()),"-")</f>
        <v>61</v>
      </c>
      <c r="E10" s="471" t="n">
        <f aca="false" t="array" ref="E10:E10">IFERROR(INDEX(Rango_Admin_Clas_Total,E$2,MATCH($A10,Rango_Admin_Clas_Primera,0)+1),"-")</f>
        <v>61</v>
      </c>
      <c r="F10" s="471" t="n">
        <f aca="false" t="array" ref="F10:F10">IFERROR(INDEX(Rango_Admin_Clas_Total,F$2,MATCH($A10,Rango_Admin_Clas_Primera,0)+1),"-")</f>
        <v>0</v>
      </c>
      <c r="G10" s="471" t="n">
        <f aca="false" t="array" ref="G10:G10">IFERROR(INDEX(Rango_Admin_Clas_Total,G$2,MATCH($A10,Rango_Admin_Clas_Primera,0)+1),"-")</f>
        <v>0</v>
      </c>
      <c r="H10" s="471" t="n">
        <f aca="false" t="array" ref="H10:H10">IFERROR(INDEX(Rango_Admin_Clas_Total,H$2,MATCH($A10,Rango_Admin_Clas_Primera,0)+1),"-")</f>
        <v>0</v>
      </c>
      <c r="I10" s="471" t="n">
        <f aca="false" t="array" ref="I10:I10">IFERROR(INDEX(Rango_Admin_Clas_Total,I$2,MATCH($A10,Rango_Admin_Clas_Primera,0)+1),"-")</f>
        <v>0</v>
      </c>
      <c r="J10" s="471" t="n">
        <f aca="false" t="array" ref="J10:J10">IFERROR(INDEX(Rango_Admin_Clas_Total,J$2,MATCH($A10,Rango_Admin_Clas_Primera,0)+1),"-")</f>
        <v>0</v>
      </c>
      <c r="K10" s="471" t="n">
        <f aca="false" t="array" ref="K10:K10">IFERROR(INDEX(Rango_Admin_Clas_Total,K$2,MATCH($A10,Rango_Admin_Clas_Primera,0)+1),"-")</f>
        <v>0</v>
      </c>
      <c r="L10" s="471" t="n">
        <f aca="false" t="array" ref="L10:L10">IFERROR(INDEX(Rango_Admin_Clas_Total,L$2,MATCH($A10,Rango_Admin_Clas_Primera,0)+1),"-")</f>
        <v>0</v>
      </c>
      <c r="M10" s="471" t="n">
        <f aca="false" t="array" ref="M10:M10">IFERROR(INDEX(Rango_Admin_Clas_Total,M$2,MATCH($A10,Rango_Admin_Clas_Primera,0)+1),"-")</f>
        <v>0</v>
      </c>
      <c r="N10" s="471" t="n">
        <f aca="false" t="array" ref="N10:N10">IFERROR(INDEX(Rango_Admin_Clas_Total,N$2,MATCH($A10,Rango_Admin_Clas_Primera,0)+1),"-")</f>
        <v>0</v>
      </c>
      <c r="O10" s="471" t="n">
        <f aca="false" t="array" ref="O10:O10">IFERROR(INDEX(Rango_Admin_Clas_Total,O$2,MATCH($A10,Rango_Admin_Clas_Primera,0)+1),"-")</f>
        <v>0</v>
      </c>
      <c r="P10" s="471" t="n">
        <f aca="false" t="array" ref="P10:P10">IFERROR(INDEX(Rango_Admin_Clas_Total,P$2,MATCH($A10,Rango_Admin_Clas_Primera,0)+1),"-")</f>
        <v>0</v>
      </c>
      <c r="Q10" s="471" t="n">
        <f aca="false" t="array" ref="Q10:Q10">IFERROR(INDEX(Rango_Admin_Clas_Total,Q$2,MATCH($A10,Rango_Admin_Clas_Primera,0)+1),"-")</f>
        <v>0</v>
      </c>
      <c r="R10" s="471" t="n">
        <f aca="false" t="array" ref="R10:R10">IFERROR(INDEX(Rango_Admin_Clas_Total,R$2,MATCH($A10,Rango_Admin_Clas_Primera,0)+1),"-")</f>
        <v>0</v>
      </c>
      <c r="S10" s="471" t="n">
        <f aca="false" t="array" ref="S10:S10">IFERROR(INDEX(Rango_Admin_Clas_Total,S$2,MATCH($A10,Rango_Admin_Clas_Primera,0)+1),"-")</f>
        <v>0</v>
      </c>
      <c r="T10" s="244"/>
      <c r="U10" s="244"/>
    </row>
    <row r="11" customFormat="false" ht="15" hidden="false" customHeight="false" outlineLevel="0" collapsed="false">
      <c r="A11" s="85" t="n">
        <f aca="false">ROW()-4</f>
        <v>7</v>
      </c>
      <c r="B11" s="51" t="n">
        <f aca="false">IFERROR(HLOOKUP(A11,Rango_Admin_Clas,3,FALSE()),"-")</f>
        <v>6</v>
      </c>
      <c r="C11" s="50" t="str">
        <f aca="false">IFERROR(HLOOKUP(A11,Rango_Admin_Clas,5,FALSE()),"-")</f>
        <v>BORJA</v>
      </c>
      <c r="D11" s="279" t="n">
        <f aca="false">IFERROR(HLOOKUP(A11,Rango_Admin_Clas,4,FALSE()),"-")</f>
        <v>61</v>
      </c>
      <c r="E11" s="471" t="n">
        <f aca="false" t="array" ref="E11:E11">IFERROR(INDEX(Rango_Admin_Clas_Total,E$2,MATCH($A11,Rango_Admin_Clas_Primera,0)+1),"-")</f>
        <v>61</v>
      </c>
      <c r="F11" s="471" t="n">
        <f aca="false" t="array" ref="F11:F11">IFERROR(INDEX(Rango_Admin_Clas_Total,F$2,MATCH($A11,Rango_Admin_Clas_Primera,0)+1),"-")</f>
        <v>0</v>
      </c>
      <c r="G11" s="471" t="n">
        <f aca="false" t="array" ref="G11:G11">IFERROR(INDEX(Rango_Admin_Clas_Total,G$2,MATCH($A11,Rango_Admin_Clas_Primera,0)+1),"-")</f>
        <v>0</v>
      </c>
      <c r="H11" s="471" t="n">
        <f aca="false" t="array" ref="H11:H11">IFERROR(INDEX(Rango_Admin_Clas_Total,H$2,MATCH($A11,Rango_Admin_Clas_Primera,0)+1),"-")</f>
        <v>0</v>
      </c>
      <c r="I11" s="471" t="n">
        <f aca="false" t="array" ref="I11:I11">IFERROR(INDEX(Rango_Admin_Clas_Total,I$2,MATCH($A11,Rango_Admin_Clas_Primera,0)+1),"-")</f>
        <v>0</v>
      </c>
      <c r="J11" s="471" t="n">
        <f aca="false" t="array" ref="J11:J11">IFERROR(INDEX(Rango_Admin_Clas_Total,J$2,MATCH($A11,Rango_Admin_Clas_Primera,0)+1),"-")</f>
        <v>0</v>
      </c>
      <c r="K11" s="471" t="n">
        <f aca="false" t="array" ref="K11:K11">IFERROR(INDEX(Rango_Admin_Clas_Total,K$2,MATCH($A11,Rango_Admin_Clas_Primera,0)+1),"-")</f>
        <v>0</v>
      </c>
      <c r="L11" s="471" t="n">
        <f aca="false" t="array" ref="L11:L11">IFERROR(INDEX(Rango_Admin_Clas_Total,L$2,MATCH($A11,Rango_Admin_Clas_Primera,0)+1),"-")</f>
        <v>0</v>
      </c>
      <c r="M11" s="471" t="n">
        <f aca="false" t="array" ref="M11:M11">IFERROR(INDEX(Rango_Admin_Clas_Total,M$2,MATCH($A11,Rango_Admin_Clas_Primera,0)+1),"-")</f>
        <v>0</v>
      </c>
      <c r="N11" s="471" t="n">
        <f aca="false" t="array" ref="N11:N11">IFERROR(INDEX(Rango_Admin_Clas_Total,N$2,MATCH($A11,Rango_Admin_Clas_Primera,0)+1),"-")</f>
        <v>0</v>
      </c>
      <c r="O11" s="471" t="n">
        <f aca="false" t="array" ref="O11:O11">IFERROR(INDEX(Rango_Admin_Clas_Total,O$2,MATCH($A11,Rango_Admin_Clas_Primera,0)+1),"-")</f>
        <v>0</v>
      </c>
      <c r="P11" s="471" t="n">
        <f aca="false" t="array" ref="P11:P11">IFERROR(INDEX(Rango_Admin_Clas_Total,P$2,MATCH($A11,Rango_Admin_Clas_Primera,0)+1),"-")</f>
        <v>0</v>
      </c>
      <c r="Q11" s="471" t="n">
        <f aca="false" t="array" ref="Q11:Q11">IFERROR(INDEX(Rango_Admin_Clas_Total,Q$2,MATCH($A11,Rango_Admin_Clas_Primera,0)+1),"-")</f>
        <v>0</v>
      </c>
      <c r="R11" s="471" t="n">
        <f aca="false" t="array" ref="R11:R11">IFERROR(INDEX(Rango_Admin_Clas_Total,R$2,MATCH($A11,Rango_Admin_Clas_Primera,0)+1),"-")</f>
        <v>0</v>
      </c>
      <c r="S11" s="471" t="n">
        <f aca="false" t="array" ref="S11:S11">IFERROR(INDEX(Rango_Admin_Clas_Total,S$2,MATCH($A11,Rango_Admin_Clas_Primera,0)+1),"-")</f>
        <v>0</v>
      </c>
      <c r="T11" s="244"/>
      <c r="U11" s="244"/>
    </row>
    <row r="12" customFormat="false" ht="15" hidden="false" customHeight="false" outlineLevel="0" collapsed="false">
      <c r="A12" s="85" t="n">
        <f aca="false">ROW()-4</f>
        <v>8</v>
      </c>
      <c r="B12" s="51" t="n">
        <f aca="false">IFERROR(HLOOKUP(A12,Rango_Admin_Clas,3,FALSE()),"-")</f>
        <v>8</v>
      </c>
      <c r="C12" s="50" t="str">
        <f aca="false">IFERROR(HLOOKUP(A12,Rango_Admin_Clas,5,FALSE()),"-")</f>
        <v>JUANMI</v>
      </c>
      <c r="D12" s="279" t="n">
        <f aca="false">IFERROR(HLOOKUP(A12,Rango_Admin_Clas,4,FALSE()),"-")</f>
        <v>52</v>
      </c>
      <c r="E12" s="471" t="n">
        <f aca="false" t="array" ref="E12:E12">IFERROR(INDEX(Rango_Admin_Clas_Total,E$2,MATCH($A12,Rango_Admin_Clas_Primera,0)+1),"-")</f>
        <v>44</v>
      </c>
      <c r="F12" s="471" t="n">
        <f aca="false" t="array" ref="F12:F12">IFERROR(INDEX(Rango_Admin_Clas_Total,F$2,MATCH($A12,Rango_Admin_Clas_Primera,0)+1),"-")</f>
        <v>0</v>
      </c>
      <c r="G12" s="471" t="n">
        <f aca="false" t="array" ref="G12:G12">IFERROR(INDEX(Rango_Admin_Clas_Total,G$2,MATCH($A12,Rango_Admin_Clas_Primera,0)+1),"-")</f>
        <v>0</v>
      </c>
      <c r="H12" s="471" t="n">
        <f aca="false" t="array" ref="H12:H12">IFERROR(INDEX(Rango_Admin_Clas_Total,H$2,MATCH($A12,Rango_Admin_Clas_Primera,0)+1),"-")</f>
        <v>0</v>
      </c>
      <c r="I12" s="471" t="n">
        <f aca="false" t="array" ref="I12:I12">IFERROR(INDEX(Rango_Admin_Clas_Total,I$2,MATCH($A12,Rango_Admin_Clas_Primera,0)+1),"-")</f>
        <v>0</v>
      </c>
      <c r="J12" s="471" t="n">
        <f aca="false" t="array" ref="J12:J12">IFERROR(INDEX(Rango_Admin_Clas_Total,J$2,MATCH($A12,Rango_Admin_Clas_Primera,0)+1),"-")</f>
        <v>0</v>
      </c>
      <c r="K12" s="471" t="n">
        <f aca="false" t="array" ref="K12:K12">IFERROR(INDEX(Rango_Admin_Clas_Total,K$2,MATCH($A12,Rango_Admin_Clas_Primera,0)+1),"-")</f>
        <v>0</v>
      </c>
      <c r="L12" s="471" t="n">
        <f aca="false" t="array" ref="L12:L12">IFERROR(INDEX(Rango_Admin_Clas_Total,L$2,MATCH($A12,Rango_Admin_Clas_Primera,0)+1),"-")</f>
        <v>0</v>
      </c>
      <c r="M12" s="471" t="n">
        <f aca="false" t="array" ref="M12:M12">IFERROR(INDEX(Rango_Admin_Clas_Total,M$2,MATCH($A12,Rango_Admin_Clas_Primera,0)+1),"-")</f>
        <v>0</v>
      </c>
      <c r="N12" s="471" t="n">
        <f aca="false" t="array" ref="N12:N12">IFERROR(INDEX(Rango_Admin_Clas_Total,N$2,MATCH($A12,Rango_Admin_Clas_Primera,0)+1),"-")</f>
        <v>0</v>
      </c>
      <c r="O12" s="471" t="n">
        <f aca="false" t="array" ref="O12:O12">IFERROR(INDEX(Rango_Admin_Clas_Total,O$2,MATCH($A12,Rango_Admin_Clas_Primera,0)+1),"-")</f>
        <v>0</v>
      </c>
      <c r="P12" s="471" t="n">
        <f aca="false" t="array" ref="P12:P12">IFERROR(INDEX(Rango_Admin_Clas_Total,P$2,MATCH($A12,Rango_Admin_Clas_Primera,0)+1),"-")</f>
        <v>0</v>
      </c>
      <c r="Q12" s="471" t="n">
        <f aca="false" t="array" ref="Q12:Q12">IFERROR(INDEX(Rango_Admin_Clas_Total,Q$2,MATCH($A12,Rango_Admin_Clas_Primera,0)+1),"-")</f>
        <v>0</v>
      </c>
      <c r="R12" s="471" t="n">
        <f aca="false" t="array" ref="R12:R12">IFERROR(INDEX(Rango_Admin_Clas_Total,R$2,MATCH($A12,Rango_Admin_Clas_Primera,0)+1),"-")</f>
        <v>0</v>
      </c>
      <c r="S12" s="471" t="n">
        <f aca="false" t="array" ref="S12:S12">IFERROR(INDEX(Rango_Admin_Clas_Total,S$2,MATCH($A12,Rango_Admin_Clas_Primera,0)+1),"-")</f>
        <v>8</v>
      </c>
      <c r="T12" s="244"/>
      <c r="U12" s="244"/>
    </row>
    <row r="13" customFormat="false" ht="15" hidden="false" customHeight="false" outlineLevel="0" collapsed="false">
      <c r="A13" s="85" t="n">
        <f aca="false">ROW()-4</f>
        <v>9</v>
      </c>
      <c r="B13" s="51" t="n">
        <f aca="false">IFERROR(HLOOKUP(A13,Rango_Admin_Clas,3,FALSE()),"-")</f>
        <v>9</v>
      </c>
      <c r="C13" s="50" t="str">
        <f aca="false">IFERROR(HLOOKUP(A13,Rango_Admin_Clas,5,FALSE()),"-")</f>
        <v>JUANJO</v>
      </c>
      <c r="D13" s="279" t="n">
        <f aca="false">IFERROR(HLOOKUP(A13,Rango_Admin_Clas,4,FALSE()),"-")</f>
        <v>47</v>
      </c>
      <c r="E13" s="471" t="n">
        <f aca="false" t="array" ref="E13:E13">IFERROR(INDEX(Rango_Admin_Clas_Total,E$2,MATCH($A13,Rango_Admin_Clas_Primera,0)+1),"-")</f>
        <v>46</v>
      </c>
      <c r="F13" s="471" t="n">
        <f aca="false" t="array" ref="F13:F13">IFERROR(INDEX(Rango_Admin_Clas_Total,F$2,MATCH($A13,Rango_Admin_Clas_Primera,0)+1),"-")</f>
        <v>0</v>
      </c>
      <c r="G13" s="471" t="n">
        <f aca="false" t="array" ref="G13:G13">IFERROR(INDEX(Rango_Admin_Clas_Total,G$2,MATCH($A13,Rango_Admin_Clas_Primera,0)+1),"-")</f>
        <v>0</v>
      </c>
      <c r="H13" s="471" t="n">
        <f aca="false" t="array" ref="H13:H13">IFERROR(INDEX(Rango_Admin_Clas_Total,H$2,MATCH($A13,Rango_Admin_Clas_Primera,0)+1),"-")</f>
        <v>0</v>
      </c>
      <c r="I13" s="471" t="n">
        <f aca="false" t="array" ref="I13:I13">IFERROR(INDEX(Rango_Admin_Clas_Total,I$2,MATCH($A13,Rango_Admin_Clas_Primera,0)+1),"-")</f>
        <v>0</v>
      </c>
      <c r="J13" s="471" t="n">
        <f aca="false" t="array" ref="J13:J13">IFERROR(INDEX(Rango_Admin_Clas_Total,J$2,MATCH($A13,Rango_Admin_Clas_Primera,0)+1),"-")</f>
        <v>0</v>
      </c>
      <c r="K13" s="471" t="n">
        <f aca="false" t="array" ref="K13:K13">IFERROR(INDEX(Rango_Admin_Clas_Total,K$2,MATCH($A13,Rango_Admin_Clas_Primera,0)+1),"-")</f>
        <v>0</v>
      </c>
      <c r="L13" s="471" t="n">
        <f aca="false" t="array" ref="L13:L13">IFERROR(INDEX(Rango_Admin_Clas_Total,L$2,MATCH($A13,Rango_Admin_Clas_Primera,0)+1),"-")</f>
        <v>0</v>
      </c>
      <c r="M13" s="471" t="n">
        <f aca="false" t="array" ref="M13:M13">IFERROR(INDEX(Rango_Admin_Clas_Total,M$2,MATCH($A13,Rango_Admin_Clas_Primera,0)+1),"-")</f>
        <v>0</v>
      </c>
      <c r="N13" s="471" t="n">
        <f aca="false" t="array" ref="N13:N13">IFERROR(INDEX(Rango_Admin_Clas_Total,N$2,MATCH($A13,Rango_Admin_Clas_Primera,0)+1),"-")</f>
        <v>0</v>
      </c>
      <c r="O13" s="471" t="n">
        <f aca="false" t="array" ref="O13:O13">IFERROR(INDEX(Rango_Admin_Clas_Total,O$2,MATCH($A13,Rango_Admin_Clas_Primera,0)+1),"-")</f>
        <v>0</v>
      </c>
      <c r="P13" s="471" t="n">
        <f aca="false" t="array" ref="P13:P13">IFERROR(INDEX(Rango_Admin_Clas_Total,P$2,MATCH($A13,Rango_Admin_Clas_Primera,0)+1),"-")</f>
        <v>0</v>
      </c>
      <c r="Q13" s="471" t="n">
        <f aca="false" t="array" ref="Q13:Q13">IFERROR(INDEX(Rango_Admin_Clas_Total,Q$2,MATCH($A13,Rango_Admin_Clas_Primera,0)+1),"-")</f>
        <v>0</v>
      </c>
      <c r="R13" s="471" t="n">
        <f aca="false" t="array" ref="R13:R13">IFERROR(INDEX(Rango_Admin_Clas_Total,R$2,MATCH($A13,Rango_Admin_Clas_Primera,0)+1),"-")</f>
        <v>0</v>
      </c>
      <c r="S13" s="471" t="n">
        <f aca="false" t="array" ref="S13:S13">IFERROR(INDEX(Rango_Admin_Clas_Total,S$2,MATCH($A13,Rango_Admin_Clas_Primera,0)+1),"-")</f>
        <v>1</v>
      </c>
      <c r="T13" s="244"/>
      <c r="U13" s="244"/>
    </row>
    <row r="14" customFormat="false" ht="15" hidden="false" customHeight="false" outlineLevel="0" collapsed="false">
      <c r="A14" s="85" t="n">
        <f aca="false">ROW()-4</f>
        <v>10</v>
      </c>
      <c r="B14" s="51" t="n">
        <f aca="false">IFERROR(HLOOKUP(A14,Rango_Admin_Clas,3,FALSE()),"-")</f>
        <v>10</v>
      </c>
      <c r="C14" s="50" t="str">
        <f aca="false">IFERROR(HLOOKUP(A14,Rango_Admin_Clas,5,FALSE()),"-")</f>
        <v>ASIER</v>
      </c>
      <c r="D14" s="279" t="n">
        <f aca="false">IFERROR(HLOOKUP(A14,Rango_Admin_Clas,4,FALSE()),"-")</f>
        <v>45</v>
      </c>
      <c r="E14" s="471" t="n">
        <f aca="false" t="array" ref="E14:E14">IFERROR(INDEX(Rango_Admin_Clas_Total,E$2,MATCH($A14,Rango_Admin_Clas_Primera,0)+1),"-")</f>
        <v>44</v>
      </c>
      <c r="F14" s="471" t="n">
        <f aca="false" t="array" ref="F14:F14">IFERROR(INDEX(Rango_Admin_Clas_Total,F$2,MATCH($A14,Rango_Admin_Clas_Primera,0)+1),"-")</f>
        <v>0</v>
      </c>
      <c r="G14" s="471" t="n">
        <f aca="false" t="array" ref="G14:G14">IFERROR(INDEX(Rango_Admin_Clas_Total,G$2,MATCH($A14,Rango_Admin_Clas_Primera,0)+1),"-")</f>
        <v>0</v>
      </c>
      <c r="H14" s="471" t="n">
        <f aca="false" t="array" ref="H14:H14">IFERROR(INDEX(Rango_Admin_Clas_Total,H$2,MATCH($A14,Rango_Admin_Clas_Primera,0)+1),"-")</f>
        <v>0</v>
      </c>
      <c r="I14" s="471" t="n">
        <f aca="false" t="array" ref="I14:I14">IFERROR(INDEX(Rango_Admin_Clas_Total,I$2,MATCH($A14,Rango_Admin_Clas_Primera,0)+1),"-")</f>
        <v>0</v>
      </c>
      <c r="J14" s="471" t="n">
        <f aca="false" t="array" ref="J14:J14">IFERROR(INDEX(Rango_Admin_Clas_Total,J$2,MATCH($A14,Rango_Admin_Clas_Primera,0)+1),"-")</f>
        <v>0</v>
      </c>
      <c r="K14" s="471" t="n">
        <f aca="false" t="array" ref="K14:K14">IFERROR(INDEX(Rango_Admin_Clas_Total,K$2,MATCH($A14,Rango_Admin_Clas_Primera,0)+1),"-")</f>
        <v>0</v>
      </c>
      <c r="L14" s="471" t="n">
        <f aca="false" t="array" ref="L14:L14">IFERROR(INDEX(Rango_Admin_Clas_Total,L$2,MATCH($A14,Rango_Admin_Clas_Primera,0)+1),"-")</f>
        <v>0</v>
      </c>
      <c r="M14" s="471" t="n">
        <f aca="false" t="array" ref="M14:M14">IFERROR(INDEX(Rango_Admin_Clas_Total,M$2,MATCH($A14,Rango_Admin_Clas_Primera,0)+1),"-")</f>
        <v>0</v>
      </c>
      <c r="N14" s="471" t="n">
        <f aca="false" t="array" ref="N14:N14">IFERROR(INDEX(Rango_Admin_Clas_Total,N$2,MATCH($A14,Rango_Admin_Clas_Primera,0)+1),"-")</f>
        <v>0</v>
      </c>
      <c r="O14" s="471" t="n">
        <f aca="false" t="array" ref="O14:O14">IFERROR(INDEX(Rango_Admin_Clas_Total,O$2,MATCH($A14,Rango_Admin_Clas_Primera,0)+1),"-")</f>
        <v>0</v>
      </c>
      <c r="P14" s="471" t="n">
        <f aca="false" t="array" ref="P14:P14">IFERROR(INDEX(Rango_Admin_Clas_Total,P$2,MATCH($A14,Rango_Admin_Clas_Primera,0)+1),"-")</f>
        <v>0</v>
      </c>
      <c r="Q14" s="471" t="n">
        <f aca="false" t="array" ref="Q14:Q14">IFERROR(INDEX(Rango_Admin_Clas_Total,Q$2,MATCH($A14,Rango_Admin_Clas_Primera,0)+1),"-")</f>
        <v>0</v>
      </c>
      <c r="R14" s="471" t="n">
        <f aca="false" t="array" ref="R14:R14">IFERROR(INDEX(Rango_Admin_Clas_Total,R$2,MATCH($A14,Rango_Admin_Clas_Primera,0)+1),"-")</f>
        <v>0</v>
      </c>
      <c r="S14" s="471" t="n">
        <f aca="false" t="array" ref="S14:S14">IFERROR(INDEX(Rango_Admin_Clas_Total,S$2,MATCH($A14,Rango_Admin_Clas_Primera,0)+1),"-")</f>
        <v>1</v>
      </c>
      <c r="T14" s="244"/>
      <c r="U14" s="244"/>
    </row>
    <row r="15" customFormat="false" ht="15" hidden="false" customHeight="false" outlineLevel="0" collapsed="false">
      <c r="A15" s="85" t="n">
        <f aca="false">ROW()-4</f>
        <v>11</v>
      </c>
      <c r="B15" s="51" t="n">
        <f aca="false">IFERROR(HLOOKUP(A15,Rango_Admin_Clas,3,FALSE()),"-")</f>
        <v>11</v>
      </c>
      <c r="C15" s="50" t="str">
        <f aca="false">IFERROR(HLOOKUP(A15,Rango_Admin_Clas,5,FALSE()),"-")</f>
        <v>PEIO</v>
      </c>
      <c r="D15" s="279" t="n">
        <f aca="false">IFERROR(HLOOKUP(A15,Rango_Admin_Clas,4,FALSE()),"-")</f>
        <v>44</v>
      </c>
      <c r="E15" s="471" t="n">
        <f aca="false" t="array" ref="E15:E15">IFERROR(INDEX(Rango_Admin_Clas_Total,E$2,MATCH($A15,Rango_Admin_Clas_Primera,0)+1),"-")</f>
        <v>44</v>
      </c>
      <c r="F15" s="471" t="n">
        <f aca="false" t="array" ref="F15:F15">IFERROR(INDEX(Rango_Admin_Clas_Total,F$2,MATCH($A15,Rango_Admin_Clas_Primera,0)+1),"-")</f>
        <v>0</v>
      </c>
      <c r="G15" s="471" t="n">
        <f aca="false" t="array" ref="G15:G15">IFERROR(INDEX(Rango_Admin_Clas_Total,G$2,MATCH($A15,Rango_Admin_Clas_Primera,0)+1),"-")</f>
        <v>0</v>
      </c>
      <c r="H15" s="471" t="n">
        <f aca="false" t="array" ref="H15:H15">IFERROR(INDEX(Rango_Admin_Clas_Total,H$2,MATCH($A15,Rango_Admin_Clas_Primera,0)+1),"-")</f>
        <v>0</v>
      </c>
      <c r="I15" s="471" t="n">
        <f aca="false" t="array" ref="I15:I15">IFERROR(INDEX(Rango_Admin_Clas_Total,I$2,MATCH($A15,Rango_Admin_Clas_Primera,0)+1),"-")</f>
        <v>0</v>
      </c>
      <c r="J15" s="471" t="n">
        <f aca="false" t="array" ref="J15:J15">IFERROR(INDEX(Rango_Admin_Clas_Total,J$2,MATCH($A15,Rango_Admin_Clas_Primera,0)+1),"-")</f>
        <v>0</v>
      </c>
      <c r="K15" s="471" t="n">
        <f aca="false" t="array" ref="K15:K15">IFERROR(INDEX(Rango_Admin_Clas_Total,K$2,MATCH($A15,Rango_Admin_Clas_Primera,0)+1),"-")</f>
        <v>0</v>
      </c>
      <c r="L15" s="471" t="n">
        <f aca="false" t="array" ref="L15:L15">IFERROR(INDEX(Rango_Admin_Clas_Total,L$2,MATCH($A15,Rango_Admin_Clas_Primera,0)+1),"-")</f>
        <v>0</v>
      </c>
      <c r="M15" s="471" t="n">
        <f aca="false" t="array" ref="M15:M15">IFERROR(INDEX(Rango_Admin_Clas_Total,M$2,MATCH($A15,Rango_Admin_Clas_Primera,0)+1),"-")</f>
        <v>0</v>
      </c>
      <c r="N15" s="471" t="n">
        <f aca="false" t="array" ref="N15:N15">IFERROR(INDEX(Rango_Admin_Clas_Total,N$2,MATCH($A15,Rango_Admin_Clas_Primera,0)+1),"-")</f>
        <v>0</v>
      </c>
      <c r="O15" s="471" t="n">
        <f aca="false" t="array" ref="O15:O15">IFERROR(INDEX(Rango_Admin_Clas_Total,O$2,MATCH($A15,Rango_Admin_Clas_Primera,0)+1),"-")</f>
        <v>0</v>
      </c>
      <c r="P15" s="471" t="n">
        <f aca="false" t="array" ref="P15:P15">IFERROR(INDEX(Rango_Admin_Clas_Total,P$2,MATCH($A15,Rango_Admin_Clas_Primera,0)+1),"-")</f>
        <v>0</v>
      </c>
      <c r="Q15" s="471" t="n">
        <f aca="false" t="array" ref="Q15:Q15">IFERROR(INDEX(Rango_Admin_Clas_Total,Q$2,MATCH($A15,Rango_Admin_Clas_Primera,0)+1),"-")</f>
        <v>0</v>
      </c>
      <c r="R15" s="471" t="n">
        <f aca="false" t="array" ref="R15:R15">IFERROR(INDEX(Rango_Admin_Clas_Total,R$2,MATCH($A15,Rango_Admin_Clas_Primera,0)+1),"-")</f>
        <v>0</v>
      </c>
      <c r="S15" s="471" t="n">
        <f aca="false" t="array" ref="S15:S15">IFERROR(INDEX(Rango_Admin_Clas_Total,S$2,MATCH($A15,Rango_Admin_Clas_Primera,0)+1),"-")</f>
        <v>0</v>
      </c>
      <c r="T15" s="244"/>
      <c r="U15" s="244"/>
    </row>
    <row r="16" customFormat="false" ht="15" hidden="false" customHeight="false" outlineLevel="0" collapsed="false">
      <c r="A16" s="85" t="n">
        <f aca="false">ROW()-4</f>
        <v>12</v>
      </c>
      <c r="B16" s="51" t="n">
        <f aca="false">IFERROR(HLOOKUP(A16,Rango_Admin_Clas,3,FALSE()),"-")</f>
        <v>12</v>
      </c>
      <c r="C16" s="50" t="str">
        <f aca="false">IFERROR(HLOOKUP(A16,Rango_Admin_Clas,5,FALSE()),"-")</f>
        <v>GALDER</v>
      </c>
      <c r="D16" s="279" t="n">
        <f aca="false">IFERROR(HLOOKUP(A16,Rango_Admin_Clas,4,FALSE()),"-")</f>
        <v>39</v>
      </c>
      <c r="E16" s="471" t="n">
        <f aca="false" t="array" ref="E16:E16">IFERROR(INDEX(Rango_Admin_Clas_Total,E$2,MATCH($A16,Rango_Admin_Clas_Primera,0)+1),"-")</f>
        <v>39</v>
      </c>
      <c r="F16" s="471" t="n">
        <f aca="false" t="array" ref="F16:F16">IFERROR(INDEX(Rango_Admin_Clas_Total,F$2,MATCH($A16,Rango_Admin_Clas_Primera,0)+1),"-")</f>
        <v>0</v>
      </c>
      <c r="G16" s="471" t="n">
        <f aca="false" t="array" ref="G16:G16">IFERROR(INDEX(Rango_Admin_Clas_Total,G$2,MATCH($A16,Rango_Admin_Clas_Primera,0)+1),"-")</f>
        <v>0</v>
      </c>
      <c r="H16" s="471" t="n">
        <f aca="false" t="array" ref="H16:H16">IFERROR(INDEX(Rango_Admin_Clas_Total,H$2,MATCH($A16,Rango_Admin_Clas_Primera,0)+1),"-")</f>
        <v>0</v>
      </c>
      <c r="I16" s="471" t="n">
        <f aca="false" t="array" ref="I16:I16">IFERROR(INDEX(Rango_Admin_Clas_Total,I$2,MATCH($A16,Rango_Admin_Clas_Primera,0)+1),"-")</f>
        <v>0</v>
      </c>
      <c r="J16" s="471" t="n">
        <f aca="false" t="array" ref="J16:J16">IFERROR(INDEX(Rango_Admin_Clas_Total,J$2,MATCH($A16,Rango_Admin_Clas_Primera,0)+1),"-")</f>
        <v>0</v>
      </c>
      <c r="K16" s="471" t="n">
        <f aca="false" t="array" ref="K16:K16">IFERROR(INDEX(Rango_Admin_Clas_Total,K$2,MATCH($A16,Rango_Admin_Clas_Primera,0)+1),"-")</f>
        <v>0</v>
      </c>
      <c r="L16" s="471" t="n">
        <f aca="false" t="array" ref="L16:L16">IFERROR(INDEX(Rango_Admin_Clas_Total,L$2,MATCH($A16,Rango_Admin_Clas_Primera,0)+1),"-")</f>
        <v>0</v>
      </c>
      <c r="M16" s="471" t="n">
        <f aca="false" t="array" ref="M16:M16">IFERROR(INDEX(Rango_Admin_Clas_Total,M$2,MATCH($A16,Rango_Admin_Clas_Primera,0)+1),"-")</f>
        <v>0</v>
      </c>
      <c r="N16" s="471" t="n">
        <f aca="false" t="array" ref="N16:N16">IFERROR(INDEX(Rango_Admin_Clas_Total,N$2,MATCH($A16,Rango_Admin_Clas_Primera,0)+1),"-")</f>
        <v>0</v>
      </c>
      <c r="O16" s="471" t="n">
        <f aca="false" t="array" ref="O16:O16">IFERROR(INDEX(Rango_Admin_Clas_Total,O$2,MATCH($A16,Rango_Admin_Clas_Primera,0)+1),"-")</f>
        <v>0</v>
      </c>
      <c r="P16" s="471" t="n">
        <f aca="false" t="array" ref="P16:P16">IFERROR(INDEX(Rango_Admin_Clas_Total,P$2,MATCH($A16,Rango_Admin_Clas_Primera,0)+1),"-")</f>
        <v>0</v>
      </c>
      <c r="Q16" s="471" t="n">
        <f aca="false" t="array" ref="Q16:Q16">IFERROR(INDEX(Rango_Admin_Clas_Total,Q$2,MATCH($A16,Rango_Admin_Clas_Primera,0)+1),"-")</f>
        <v>0</v>
      </c>
      <c r="R16" s="471" t="n">
        <f aca="false" t="array" ref="R16:R16">IFERROR(INDEX(Rango_Admin_Clas_Total,R$2,MATCH($A16,Rango_Admin_Clas_Primera,0)+1),"-")</f>
        <v>0</v>
      </c>
      <c r="S16" s="471" t="n">
        <f aca="false" t="array" ref="S16:S16">IFERROR(INDEX(Rango_Admin_Clas_Total,S$2,MATCH($A16,Rango_Admin_Clas_Primera,0)+1),"-")</f>
        <v>0</v>
      </c>
      <c r="T16" s="244"/>
      <c r="U16" s="244"/>
    </row>
    <row r="17" customFormat="false" ht="15" hidden="false" customHeight="false" outlineLevel="0" collapsed="false">
      <c r="A17" s="85" t="n">
        <f aca="false">ROW()-4</f>
        <v>13</v>
      </c>
      <c r="B17" s="51" t="n">
        <f aca="false">IFERROR(HLOOKUP(A17,Rango_Admin_Clas,3,FALSE()),"-")</f>
        <v>13</v>
      </c>
      <c r="C17" s="50" t="str">
        <f aca="false">IFERROR(HLOOKUP(A17,Rango_Admin_Clas,5,FALSE()),"-")</f>
        <v>JON</v>
      </c>
      <c r="D17" s="279" t="n">
        <f aca="false">IFERROR(HLOOKUP(A17,Rango_Admin_Clas,4,FALSE()),"-")</f>
        <v>35</v>
      </c>
      <c r="E17" s="471" t="n">
        <f aca="false" t="array" ref="E17:E17">IFERROR(INDEX(Rango_Admin_Clas_Total,E$2,MATCH($A17,Rango_Admin_Clas_Primera,0)+1),"-")</f>
        <v>27</v>
      </c>
      <c r="F17" s="471" t="n">
        <f aca="false" t="array" ref="F17:F17">IFERROR(INDEX(Rango_Admin_Clas_Total,F$2,MATCH($A17,Rango_Admin_Clas_Primera,0)+1),"-")</f>
        <v>0</v>
      </c>
      <c r="G17" s="471" t="n">
        <f aca="false" t="array" ref="G17:G17">IFERROR(INDEX(Rango_Admin_Clas_Total,G$2,MATCH($A17,Rango_Admin_Clas_Primera,0)+1),"-")</f>
        <v>0</v>
      </c>
      <c r="H17" s="471" t="n">
        <f aca="false" t="array" ref="H17:H17">IFERROR(INDEX(Rango_Admin_Clas_Total,H$2,MATCH($A17,Rango_Admin_Clas_Primera,0)+1),"-")</f>
        <v>0</v>
      </c>
      <c r="I17" s="471" t="n">
        <f aca="false" t="array" ref="I17:I17">IFERROR(INDEX(Rango_Admin_Clas_Total,I$2,MATCH($A17,Rango_Admin_Clas_Primera,0)+1),"-")</f>
        <v>0</v>
      </c>
      <c r="J17" s="471" t="n">
        <f aca="false" t="array" ref="J17:J17">IFERROR(INDEX(Rango_Admin_Clas_Total,J$2,MATCH($A17,Rango_Admin_Clas_Primera,0)+1),"-")</f>
        <v>0</v>
      </c>
      <c r="K17" s="471" t="n">
        <f aca="false" t="array" ref="K17:K17">IFERROR(INDEX(Rango_Admin_Clas_Total,K$2,MATCH($A17,Rango_Admin_Clas_Primera,0)+1),"-")</f>
        <v>0</v>
      </c>
      <c r="L17" s="471" t="n">
        <f aca="false" t="array" ref="L17:L17">IFERROR(INDEX(Rango_Admin_Clas_Total,L$2,MATCH($A17,Rango_Admin_Clas_Primera,0)+1),"-")</f>
        <v>0</v>
      </c>
      <c r="M17" s="471" t="n">
        <f aca="false" t="array" ref="M17:M17">IFERROR(INDEX(Rango_Admin_Clas_Total,M$2,MATCH($A17,Rango_Admin_Clas_Primera,0)+1),"-")</f>
        <v>0</v>
      </c>
      <c r="N17" s="471" t="n">
        <f aca="false" t="array" ref="N17:N17">IFERROR(INDEX(Rango_Admin_Clas_Total,N$2,MATCH($A17,Rango_Admin_Clas_Primera,0)+1),"-")</f>
        <v>0</v>
      </c>
      <c r="O17" s="471" t="n">
        <f aca="false" t="array" ref="O17:O17">IFERROR(INDEX(Rango_Admin_Clas_Total,O$2,MATCH($A17,Rango_Admin_Clas_Primera,0)+1),"-")</f>
        <v>0</v>
      </c>
      <c r="P17" s="471" t="n">
        <f aca="false" t="array" ref="P17:P17">IFERROR(INDEX(Rango_Admin_Clas_Total,P$2,MATCH($A17,Rango_Admin_Clas_Primera,0)+1),"-")</f>
        <v>0</v>
      </c>
      <c r="Q17" s="471" t="n">
        <f aca="false" t="array" ref="Q17:Q17">IFERROR(INDEX(Rango_Admin_Clas_Total,Q$2,MATCH($A17,Rango_Admin_Clas_Primera,0)+1),"-")</f>
        <v>0</v>
      </c>
      <c r="R17" s="471" t="n">
        <f aca="false" t="array" ref="R17:R17">IFERROR(INDEX(Rango_Admin_Clas_Total,R$2,MATCH($A17,Rango_Admin_Clas_Primera,0)+1),"-")</f>
        <v>0</v>
      </c>
      <c r="S17" s="471" t="n">
        <f aca="false" t="array" ref="S17:S17">IFERROR(INDEX(Rango_Admin_Clas_Total,S$2,MATCH($A17,Rango_Admin_Clas_Primera,0)+1),"-")</f>
        <v>8</v>
      </c>
      <c r="T17" s="244"/>
      <c r="U17" s="244"/>
    </row>
    <row r="18" customFormat="false" ht="15" hidden="false" customHeight="false" outlineLevel="0" collapsed="false">
      <c r="A18" s="85" t="n">
        <f aca="false">ROW()-4</f>
        <v>14</v>
      </c>
      <c r="B18" s="51" t="n">
        <f aca="false">IFERROR(HLOOKUP(A18,Rango_Admin_Clas,3,FALSE()),"-")</f>
        <v>14</v>
      </c>
      <c r="C18" s="50" t="str">
        <f aca="false">IFERROR(HLOOKUP(A18,Rango_Admin_Clas,5,FALSE()),"-")</f>
        <v>SERGIO</v>
      </c>
      <c r="D18" s="279" t="n">
        <f aca="false">IFERROR(HLOOKUP(A18,Rango_Admin_Clas,4,FALSE()),"-")</f>
        <v>33</v>
      </c>
      <c r="E18" s="471" t="n">
        <f aca="false" t="array" ref="E18:E18">IFERROR(INDEX(Rango_Admin_Clas_Total,E$2,MATCH($A18,Rango_Admin_Clas_Primera,0)+1),"-")</f>
        <v>32</v>
      </c>
      <c r="F18" s="471" t="n">
        <f aca="false" t="array" ref="F18:F18">IFERROR(INDEX(Rango_Admin_Clas_Total,F$2,MATCH($A18,Rango_Admin_Clas_Primera,0)+1),"-")</f>
        <v>0</v>
      </c>
      <c r="G18" s="471" t="n">
        <f aca="false" t="array" ref="G18:G18">IFERROR(INDEX(Rango_Admin_Clas_Total,G$2,MATCH($A18,Rango_Admin_Clas_Primera,0)+1),"-")</f>
        <v>0</v>
      </c>
      <c r="H18" s="471" t="n">
        <f aca="false" t="array" ref="H18:H18">IFERROR(INDEX(Rango_Admin_Clas_Total,H$2,MATCH($A18,Rango_Admin_Clas_Primera,0)+1),"-")</f>
        <v>0</v>
      </c>
      <c r="I18" s="471" t="n">
        <f aca="false" t="array" ref="I18:I18">IFERROR(INDEX(Rango_Admin_Clas_Total,I$2,MATCH($A18,Rango_Admin_Clas_Primera,0)+1),"-")</f>
        <v>0</v>
      </c>
      <c r="J18" s="471" t="n">
        <f aca="false" t="array" ref="J18:J18">IFERROR(INDEX(Rango_Admin_Clas_Total,J$2,MATCH($A18,Rango_Admin_Clas_Primera,0)+1),"-")</f>
        <v>0</v>
      </c>
      <c r="K18" s="471" t="n">
        <f aca="false" t="array" ref="K18:K18">IFERROR(INDEX(Rango_Admin_Clas_Total,K$2,MATCH($A18,Rango_Admin_Clas_Primera,0)+1),"-")</f>
        <v>0</v>
      </c>
      <c r="L18" s="471" t="n">
        <f aca="false" t="array" ref="L18:L18">IFERROR(INDEX(Rango_Admin_Clas_Total,L$2,MATCH($A18,Rango_Admin_Clas_Primera,0)+1),"-")</f>
        <v>0</v>
      </c>
      <c r="M18" s="471" t="n">
        <f aca="false" t="array" ref="M18:M18">IFERROR(INDEX(Rango_Admin_Clas_Total,M$2,MATCH($A18,Rango_Admin_Clas_Primera,0)+1),"-")</f>
        <v>0</v>
      </c>
      <c r="N18" s="471" t="n">
        <f aca="false" t="array" ref="N18:N18">IFERROR(INDEX(Rango_Admin_Clas_Total,N$2,MATCH($A18,Rango_Admin_Clas_Primera,0)+1),"-")</f>
        <v>0</v>
      </c>
      <c r="O18" s="471" t="n">
        <f aca="false" t="array" ref="O18:O18">IFERROR(INDEX(Rango_Admin_Clas_Total,O$2,MATCH($A18,Rango_Admin_Clas_Primera,0)+1),"-")</f>
        <v>0</v>
      </c>
      <c r="P18" s="471" t="n">
        <f aca="false" t="array" ref="P18:P18">IFERROR(INDEX(Rango_Admin_Clas_Total,P$2,MATCH($A18,Rango_Admin_Clas_Primera,0)+1),"-")</f>
        <v>0</v>
      </c>
      <c r="Q18" s="471" t="n">
        <f aca="false" t="array" ref="Q18:Q18">IFERROR(INDEX(Rango_Admin_Clas_Total,Q$2,MATCH($A18,Rango_Admin_Clas_Primera,0)+1),"-")</f>
        <v>0</v>
      </c>
      <c r="R18" s="471" t="n">
        <f aca="false" t="array" ref="R18:R18">IFERROR(INDEX(Rango_Admin_Clas_Total,R$2,MATCH($A18,Rango_Admin_Clas_Primera,0)+1),"-")</f>
        <v>0</v>
      </c>
      <c r="S18" s="471" t="n">
        <f aca="false" t="array" ref="S18:S18">IFERROR(INDEX(Rango_Admin_Clas_Total,S$2,MATCH($A18,Rango_Admin_Clas_Primera,0)+1),"-")</f>
        <v>1</v>
      </c>
      <c r="T18" s="244"/>
      <c r="U18" s="244"/>
    </row>
    <row r="19" customFormat="false" ht="15" hidden="false" customHeight="false" outlineLevel="0" collapsed="false">
      <c r="A19" s="85" t="n">
        <f aca="false">ROW()-4</f>
        <v>15</v>
      </c>
      <c r="B19" s="51" t="n">
        <f aca="false">IFERROR(HLOOKUP(A19,Rango_Admin_Clas,3,FALSE()),"-")</f>
        <v>14</v>
      </c>
      <c r="C19" s="50" t="str">
        <f aca="false">IFERROR(HLOOKUP(A19,Rango_Admin_Clas,5,FALSE()),"-")</f>
        <v>LAURA</v>
      </c>
      <c r="D19" s="279" t="n">
        <f aca="false">IFERROR(HLOOKUP(A19,Rango_Admin_Clas,4,FALSE()),"-")</f>
        <v>33</v>
      </c>
      <c r="E19" s="471" t="n">
        <f aca="false" t="array" ref="E19:E19">IFERROR(INDEX(Rango_Admin_Clas_Total,E$2,MATCH($A19,Rango_Admin_Clas_Primera,0)+1),"-")</f>
        <v>32</v>
      </c>
      <c r="F19" s="471" t="n">
        <f aca="false" t="array" ref="F19:F19">IFERROR(INDEX(Rango_Admin_Clas_Total,F$2,MATCH($A19,Rango_Admin_Clas_Primera,0)+1),"-")</f>
        <v>0</v>
      </c>
      <c r="G19" s="471" t="n">
        <f aca="false" t="array" ref="G19:G19">IFERROR(INDEX(Rango_Admin_Clas_Total,G$2,MATCH($A19,Rango_Admin_Clas_Primera,0)+1),"-")</f>
        <v>0</v>
      </c>
      <c r="H19" s="471" t="n">
        <f aca="false" t="array" ref="H19:H19">IFERROR(INDEX(Rango_Admin_Clas_Total,H$2,MATCH($A19,Rango_Admin_Clas_Primera,0)+1),"-")</f>
        <v>0</v>
      </c>
      <c r="I19" s="471" t="n">
        <f aca="false" t="array" ref="I19:I19">IFERROR(INDEX(Rango_Admin_Clas_Total,I$2,MATCH($A19,Rango_Admin_Clas_Primera,0)+1),"-")</f>
        <v>0</v>
      </c>
      <c r="J19" s="471" t="n">
        <f aca="false" t="array" ref="J19:J19">IFERROR(INDEX(Rango_Admin_Clas_Total,J$2,MATCH($A19,Rango_Admin_Clas_Primera,0)+1),"-")</f>
        <v>0</v>
      </c>
      <c r="K19" s="471" t="n">
        <f aca="false" t="array" ref="K19:K19">IFERROR(INDEX(Rango_Admin_Clas_Total,K$2,MATCH($A19,Rango_Admin_Clas_Primera,0)+1),"-")</f>
        <v>0</v>
      </c>
      <c r="L19" s="471" t="n">
        <f aca="false" t="array" ref="L19:L19">IFERROR(INDEX(Rango_Admin_Clas_Total,L$2,MATCH($A19,Rango_Admin_Clas_Primera,0)+1),"-")</f>
        <v>0</v>
      </c>
      <c r="M19" s="471" t="n">
        <f aca="false" t="array" ref="M19:M19">IFERROR(INDEX(Rango_Admin_Clas_Total,M$2,MATCH($A19,Rango_Admin_Clas_Primera,0)+1),"-")</f>
        <v>0</v>
      </c>
      <c r="N19" s="471" t="n">
        <f aca="false" t="array" ref="N19:N19">IFERROR(INDEX(Rango_Admin_Clas_Total,N$2,MATCH($A19,Rango_Admin_Clas_Primera,0)+1),"-")</f>
        <v>0</v>
      </c>
      <c r="O19" s="471" t="n">
        <f aca="false" t="array" ref="O19:O19">IFERROR(INDEX(Rango_Admin_Clas_Total,O$2,MATCH($A19,Rango_Admin_Clas_Primera,0)+1),"-")</f>
        <v>0</v>
      </c>
      <c r="P19" s="471" t="n">
        <f aca="false" t="array" ref="P19:P19">IFERROR(INDEX(Rango_Admin_Clas_Total,P$2,MATCH($A19,Rango_Admin_Clas_Primera,0)+1),"-")</f>
        <v>0</v>
      </c>
      <c r="Q19" s="471" t="n">
        <f aca="false" t="array" ref="Q19:Q19">IFERROR(INDEX(Rango_Admin_Clas_Total,Q$2,MATCH($A19,Rango_Admin_Clas_Primera,0)+1),"-")</f>
        <v>0</v>
      </c>
      <c r="R19" s="471" t="n">
        <f aca="false" t="array" ref="R19:R19">IFERROR(INDEX(Rango_Admin_Clas_Total,R$2,MATCH($A19,Rango_Admin_Clas_Primera,0)+1),"-")</f>
        <v>0</v>
      </c>
      <c r="S19" s="471" t="n">
        <f aca="false" t="array" ref="S19:S19">IFERROR(INDEX(Rango_Admin_Clas_Total,S$2,MATCH($A19,Rango_Admin_Clas_Primera,0)+1),"-")</f>
        <v>1</v>
      </c>
      <c r="T19" s="244"/>
      <c r="U19" s="244"/>
    </row>
    <row r="20" customFormat="false" ht="15" hidden="false" customHeight="false" outlineLevel="0" collapsed="false">
      <c r="A20" s="85" t="n">
        <f aca="false">ROW()-4</f>
        <v>16</v>
      </c>
      <c r="B20" s="51" t="n">
        <f aca="false">IFERROR(HLOOKUP(A20,Rango_Admin_Clas,3,FALSE()),"-")</f>
        <v>16</v>
      </c>
      <c r="C20" s="50" t="str">
        <f aca="false">IFERROR(HLOOKUP(A20,Rango_Admin_Clas,5,FALSE()),"-")</f>
        <v>NOVE</v>
      </c>
      <c r="D20" s="279" t="n">
        <f aca="false">IFERROR(HLOOKUP(A20,Rango_Admin_Clas,4,FALSE()),"-")</f>
        <v>28</v>
      </c>
      <c r="E20" s="471" t="n">
        <f aca="false" t="array" ref="E20:E20">IFERROR(INDEX(Rango_Admin_Clas_Total,E$2,MATCH($A20,Rango_Admin_Clas_Primera,0)+1),"-")</f>
        <v>27</v>
      </c>
      <c r="F20" s="471" t="n">
        <f aca="false" t="array" ref="F20:F20">IFERROR(INDEX(Rango_Admin_Clas_Total,F$2,MATCH($A20,Rango_Admin_Clas_Primera,0)+1),"-")</f>
        <v>0</v>
      </c>
      <c r="G20" s="471" t="n">
        <f aca="false" t="array" ref="G20:G20">IFERROR(INDEX(Rango_Admin_Clas_Total,G$2,MATCH($A20,Rango_Admin_Clas_Primera,0)+1),"-")</f>
        <v>0</v>
      </c>
      <c r="H20" s="471" t="n">
        <f aca="false" t="array" ref="H20:H20">IFERROR(INDEX(Rango_Admin_Clas_Total,H$2,MATCH($A20,Rango_Admin_Clas_Primera,0)+1),"-")</f>
        <v>0</v>
      </c>
      <c r="I20" s="471" t="n">
        <f aca="false" t="array" ref="I20:I20">IFERROR(INDEX(Rango_Admin_Clas_Total,I$2,MATCH($A20,Rango_Admin_Clas_Primera,0)+1),"-")</f>
        <v>0</v>
      </c>
      <c r="J20" s="471" t="n">
        <f aca="false" t="array" ref="J20:J20">IFERROR(INDEX(Rango_Admin_Clas_Total,J$2,MATCH($A20,Rango_Admin_Clas_Primera,0)+1),"-")</f>
        <v>0</v>
      </c>
      <c r="K20" s="471" t="n">
        <f aca="false" t="array" ref="K20:K20">IFERROR(INDEX(Rango_Admin_Clas_Total,K$2,MATCH($A20,Rango_Admin_Clas_Primera,0)+1),"-")</f>
        <v>0</v>
      </c>
      <c r="L20" s="471" t="n">
        <f aca="false" t="array" ref="L20:L20">IFERROR(INDEX(Rango_Admin_Clas_Total,L$2,MATCH($A20,Rango_Admin_Clas_Primera,0)+1),"-")</f>
        <v>0</v>
      </c>
      <c r="M20" s="471" t="n">
        <f aca="false" t="array" ref="M20:M20">IFERROR(INDEX(Rango_Admin_Clas_Total,M$2,MATCH($A20,Rango_Admin_Clas_Primera,0)+1),"-")</f>
        <v>0</v>
      </c>
      <c r="N20" s="471" t="n">
        <f aca="false" t="array" ref="N20:N20">IFERROR(INDEX(Rango_Admin_Clas_Total,N$2,MATCH($A20,Rango_Admin_Clas_Primera,0)+1),"-")</f>
        <v>0</v>
      </c>
      <c r="O20" s="471" t="n">
        <f aca="false" t="array" ref="O20:O20">IFERROR(INDEX(Rango_Admin_Clas_Total,O$2,MATCH($A20,Rango_Admin_Clas_Primera,0)+1),"-")</f>
        <v>0</v>
      </c>
      <c r="P20" s="471" t="n">
        <f aca="false" t="array" ref="P20:P20">IFERROR(INDEX(Rango_Admin_Clas_Total,P$2,MATCH($A20,Rango_Admin_Clas_Primera,0)+1),"-")</f>
        <v>0</v>
      </c>
      <c r="Q20" s="471" t="n">
        <f aca="false" t="array" ref="Q20:Q20">IFERROR(INDEX(Rango_Admin_Clas_Total,Q$2,MATCH($A20,Rango_Admin_Clas_Primera,0)+1),"-")</f>
        <v>0</v>
      </c>
      <c r="R20" s="471" t="n">
        <f aca="false" t="array" ref="R20:R20">IFERROR(INDEX(Rango_Admin_Clas_Total,R$2,MATCH($A20,Rango_Admin_Clas_Primera,0)+1),"-")</f>
        <v>0</v>
      </c>
      <c r="S20" s="471" t="n">
        <f aca="false" t="array" ref="S20:S20">IFERROR(INDEX(Rango_Admin_Clas_Total,S$2,MATCH($A20,Rango_Admin_Clas_Primera,0)+1),"-")</f>
        <v>1</v>
      </c>
      <c r="T20" s="244"/>
      <c r="U20" s="244"/>
    </row>
    <row r="21" customFormat="false" ht="15" hidden="false" customHeight="false" outlineLevel="0" collapsed="false">
      <c r="A21" s="85" t="n">
        <f aca="false">ROW()-4</f>
        <v>17</v>
      </c>
      <c r="B21" s="51" t="n">
        <f aca="false">IFERROR(HLOOKUP(A21,Rango_Admin_Clas,3,FALSE()),"-")</f>
        <v>17</v>
      </c>
      <c r="C21" s="50" t="str">
        <f aca="false">IFERROR(HLOOKUP(A21,Rango_Admin_Clas,5,FALSE()),"-")</f>
        <v>MIKEL</v>
      </c>
      <c r="D21" s="279" t="n">
        <f aca="false">IFERROR(HLOOKUP(A21,Rango_Admin_Clas,4,FALSE()),"-")</f>
        <v>25</v>
      </c>
      <c r="E21" s="471" t="n">
        <f aca="false" t="array" ref="E21:E21">IFERROR(INDEX(Rango_Admin_Clas_Total,E$2,MATCH($A21,Rango_Admin_Clas_Primera,0)+1),"-")</f>
        <v>25</v>
      </c>
      <c r="F21" s="471" t="n">
        <f aca="false" t="array" ref="F21:F21">IFERROR(INDEX(Rango_Admin_Clas_Total,F$2,MATCH($A21,Rango_Admin_Clas_Primera,0)+1),"-")</f>
        <v>0</v>
      </c>
      <c r="G21" s="471" t="n">
        <f aca="false" t="array" ref="G21:G21">IFERROR(INDEX(Rango_Admin_Clas_Total,G$2,MATCH($A21,Rango_Admin_Clas_Primera,0)+1),"-")</f>
        <v>0</v>
      </c>
      <c r="H21" s="471" t="n">
        <f aca="false" t="array" ref="H21:H21">IFERROR(INDEX(Rango_Admin_Clas_Total,H$2,MATCH($A21,Rango_Admin_Clas_Primera,0)+1),"-")</f>
        <v>0</v>
      </c>
      <c r="I21" s="471" t="n">
        <f aca="false" t="array" ref="I21:I21">IFERROR(INDEX(Rango_Admin_Clas_Total,I$2,MATCH($A21,Rango_Admin_Clas_Primera,0)+1),"-")</f>
        <v>0</v>
      </c>
      <c r="J21" s="471" t="n">
        <f aca="false" t="array" ref="J21:J21">IFERROR(INDEX(Rango_Admin_Clas_Total,J$2,MATCH($A21,Rango_Admin_Clas_Primera,0)+1),"-")</f>
        <v>0</v>
      </c>
      <c r="K21" s="471" t="n">
        <f aca="false" t="array" ref="K21:K21">IFERROR(INDEX(Rango_Admin_Clas_Total,K$2,MATCH($A21,Rango_Admin_Clas_Primera,0)+1),"-")</f>
        <v>0</v>
      </c>
      <c r="L21" s="471" t="n">
        <f aca="false" t="array" ref="L21:L21">IFERROR(INDEX(Rango_Admin_Clas_Total,L$2,MATCH($A21,Rango_Admin_Clas_Primera,0)+1),"-")</f>
        <v>0</v>
      </c>
      <c r="M21" s="471" t="n">
        <f aca="false" t="array" ref="M21:M21">IFERROR(INDEX(Rango_Admin_Clas_Total,M$2,MATCH($A21,Rango_Admin_Clas_Primera,0)+1),"-")</f>
        <v>0</v>
      </c>
      <c r="N21" s="471" t="n">
        <f aca="false" t="array" ref="N21:N21">IFERROR(INDEX(Rango_Admin_Clas_Total,N$2,MATCH($A21,Rango_Admin_Clas_Primera,0)+1),"-")</f>
        <v>0</v>
      </c>
      <c r="O21" s="471" t="n">
        <f aca="false" t="array" ref="O21:O21">IFERROR(INDEX(Rango_Admin_Clas_Total,O$2,MATCH($A21,Rango_Admin_Clas_Primera,0)+1),"-")</f>
        <v>0</v>
      </c>
      <c r="P21" s="471" t="n">
        <f aca="false" t="array" ref="P21:P21">IFERROR(INDEX(Rango_Admin_Clas_Total,P$2,MATCH($A21,Rango_Admin_Clas_Primera,0)+1),"-")</f>
        <v>0</v>
      </c>
      <c r="Q21" s="471" t="n">
        <f aca="false" t="array" ref="Q21:Q21">IFERROR(INDEX(Rango_Admin_Clas_Total,Q$2,MATCH($A21,Rango_Admin_Clas_Primera,0)+1),"-")</f>
        <v>0</v>
      </c>
      <c r="R21" s="471" t="n">
        <f aca="false" t="array" ref="R21:R21">IFERROR(INDEX(Rango_Admin_Clas_Total,R$2,MATCH($A21,Rango_Admin_Clas_Primera,0)+1),"-")</f>
        <v>0</v>
      </c>
      <c r="S21" s="471" t="n">
        <f aca="false" t="array" ref="S21:S21">IFERROR(INDEX(Rango_Admin_Clas_Total,S$2,MATCH($A21,Rango_Admin_Clas_Primera,0)+1),"-")</f>
        <v>0</v>
      </c>
      <c r="T21" s="244"/>
      <c r="U21" s="244"/>
    </row>
    <row r="22" customFormat="false" ht="15" hidden="false" customHeight="false" outlineLevel="0" collapsed="false">
      <c r="A22" s="85" t="n">
        <f aca="false">ROW()-4</f>
        <v>18</v>
      </c>
      <c r="B22" s="51" t="n">
        <f aca="false">IFERROR(HLOOKUP(A22,Rango_Admin_Clas,3,FALSE()),"-")</f>
        <v>17</v>
      </c>
      <c r="C22" s="50" t="str">
        <f aca="false">IFERROR(HLOOKUP(A22,Rango_Admin_Clas,5,FALSE()),"-")</f>
        <v>AITOR</v>
      </c>
      <c r="D22" s="279" t="n">
        <f aca="false">IFERROR(HLOOKUP(A22,Rango_Admin_Clas,4,FALSE()),"-")</f>
        <v>25</v>
      </c>
      <c r="E22" s="471" t="n">
        <f aca="false" t="array" ref="E22:E22">IFERROR(INDEX(Rango_Admin_Clas_Total,E$2,MATCH($A22,Rango_Admin_Clas_Primera,0)+1),"-")</f>
        <v>25</v>
      </c>
      <c r="F22" s="471" t="n">
        <f aca="false" t="array" ref="F22:F22">IFERROR(INDEX(Rango_Admin_Clas_Total,F$2,MATCH($A22,Rango_Admin_Clas_Primera,0)+1),"-")</f>
        <v>0</v>
      </c>
      <c r="G22" s="471" t="n">
        <f aca="false" t="array" ref="G22:G22">IFERROR(INDEX(Rango_Admin_Clas_Total,G$2,MATCH($A22,Rango_Admin_Clas_Primera,0)+1),"-")</f>
        <v>0</v>
      </c>
      <c r="H22" s="471" t="n">
        <f aca="false" t="array" ref="H22:H22">IFERROR(INDEX(Rango_Admin_Clas_Total,H$2,MATCH($A22,Rango_Admin_Clas_Primera,0)+1),"-")</f>
        <v>0</v>
      </c>
      <c r="I22" s="471" t="n">
        <f aca="false" t="array" ref="I22:I22">IFERROR(INDEX(Rango_Admin_Clas_Total,I$2,MATCH($A22,Rango_Admin_Clas_Primera,0)+1),"-")</f>
        <v>0</v>
      </c>
      <c r="J22" s="471" t="n">
        <f aca="false" t="array" ref="J22:J22">IFERROR(INDEX(Rango_Admin_Clas_Total,J$2,MATCH($A22,Rango_Admin_Clas_Primera,0)+1),"-")</f>
        <v>0</v>
      </c>
      <c r="K22" s="471" t="n">
        <f aca="false" t="array" ref="K22:K22">IFERROR(INDEX(Rango_Admin_Clas_Total,K$2,MATCH($A22,Rango_Admin_Clas_Primera,0)+1),"-")</f>
        <v>0</v>
      </c>
      <c r="L22" s="471" t="n">
        <f aca="false" t="array" ref="L22:L22">IFERROR(INDEX(Rango_Admin_Clas_Total,L$2,MATCH($A22,Rango_Admin_Clas_Primera,0)+1),"-")</f>
        <v>0</v>
      </c>
      <c r="M22" s="471" t="n">
        <f aca="false" t="array" ref="M22:M22">IFERROR(INDEX(Rango_Admin_Clas_Total,M$2,MATCH($A22,Rango_Admin_Clas_Primera,0)+1),"-")</f>
        <v>0</v>
      </c>
      <c r="N22" s="471" t="n">
        <f aca="false" t="array" ref="N22:N22">IFERROR(INDEX(Rango_Admin_Clas_Total,N$2,MATCH($A22,Rango_Admin_Clas_Primera,0)+1),"-")</f>
        <v>0</v>
      </c>
      <c r="O22" s="471" t="n">
        <f aca="false" t="array" ref="O22:O22">IFERROR(INDEX(Rango_Admin_Clas_Total,O$2,MATCH($A22,Rango_Admin_Clas_Primera,0)+1),"-")</f>
        <v>0</v>
      </c>
      <c r="P22" s="471" t="n">
        <f aca="false" t="array" ref="P22:P22">IFERROR(INDEX(Rango_Admin_Clas_Total,P$2,MATCH($A22,Rango_Admin_Clas_Primera,0)+1),"-")</f>
        <v>0</v>
      </c>
      <c r="Q22" s="471" t="n">
        <f aca="false" t="array" ref="Q22:Q22">IFERROR(INDEX(Rango_Admin_Clas_Total,Q$2,MATCH($A22,Rango_Admin_Clas_Primera,0)+1),"-")</f>
        <v>0</v>
      </c>
      <c r="R22" s="471" t="n">
        <f aca="false" t="array" ref="R22:R22">IFERROR(INDEX(Rango_Admin_Clas_Total,R$2,MATCH($A22,Rango_Admin_Clas_Primera,0)+1),"-")</f>
        <v>0</v>
      </c>
      <c r="S22" s="471" t="n">
        <f aca="false" t="array" ref="S22:S22">IFERROR(INDEX(Rango_Admin_Clas_Total,S$2,MATCH($A22,Rango_Admin_Clas_Primera,0)+1),"-")</f>
        <v>0</v>
      </c>
      <c r="T22" s="244"/>
      <c r="U22" s="244"/>
    </row>
    <row r="23" customFormat="false" ht="15" hidden="true" customHeight="false" outlineLevel="0" collapsed="false">
      <c r="A23" s="85" t="n">
        <f aca="false">ROW()-4</f>
        <v>19</v>
      </c>
      <c r="B23" s="51" t="n">
        <f aca="false">IFERROR(HLOOKUP(A23,Rango_Admin_Clas,3,FALSE()),"-")</f>
        <v>19</v>
      </c>
      <c r="C23" s="50" t="str">
        <f aca="false">IFERROR(HLOOKUP(A23,Rango_Admin_Clas,5,FALSE()),"-")</f>
        <v>Pegar Valores Nombre J19</v>
      </c>
      <c r="D23" s="279" t="n">
        <f aca="false">IFERROR(HLOOKUP(A23,Rango_Admin_Clas,4,FALSE()),"-")</f>
        <v>0</v>
      </c>
      <c r="E23" s="471" t="n">
        <f aca="false" t="array" ref="E23:E23">IFERROR(INDEX(Rango_Admin_Clas_Total,E$2,MATCH($A23,Rango_Admin_Clas_Primera,0)+1),"-")</f>
        <v>0</v>
      </c>
      <c r="F23" s="471" t="n">
        <f aca="false" t="array" ref="F23:F23">IFERROR(INDEX(Rango_Admin_Clas_Total,F$2,MATCH($A23,Rango_Admin_Clas_Primera,0)+1),"-")</f>
        <v>0</v>
      </c>
      <c r="G23" s="471" t="n">
        <f aca="false" t="array" ref="G23:G23">IFERROR(INDEX(Rango_Admin_Clas_Total,G$2,MATCH($A23,Rango_Admin_Clas_Primera,0)+1),"-")</f>
        <v>0</v>
      </c>
      <c r="H23" s="471" t="n">
        <f aca="false" t="array" ref="H23:H23">IFERROR(INDEX(Rango_Admin_Clas_Total,H$2,MATCH($A23,Rango_Admin_Clas_Primera,0)+1),"-")</f>
        <v>0</v>
      </c>
      <c r="I23" s="471" t="n">
        <f aca="false" t="array" ref="I23:I23">IFERROR(INDEX(Rango_Admin_Clas_Total,I$2,MATCH($A23,Rango_Admin_Clas_Primera,0)+1),"-")</f>
        <v>0</v>
      </c>
      <c r="J23" s="471" t="n">
        <f aca="false" t="array" ref="J23:J23">IFERROR(INDEX(Rango_Admin_Clas_Total,J$2,MATCH($A23,Rango_Admin_Clas_Primera,0)+1),"-")</f>
        <v>0</v>
      </c>
      <c r="K23" s="471" t="n">
        <f aca="false" t="array" ref="K23:K23">IFERROR(INDEX(Rango_Admin_Clas_Total,K$2,MATCH($A23,Rango_Admin_Clas_Primera,0)+1),"-")</f>
        <v>0</v>
      </c>
      <c r="L23" s="471" t="n">
        <f aca="false" t="array" ref="L23:L23">IFERROR(INDEX(Rango_Admin_Clas_Total,L$2,MATCH($A23,Rango_Admin_Clas_Primera,0)+1),"-")</f>
        <v>0</v>
      </c>
      <c r="M23" s="471" t="n">
        <f aca="false" t="array" ref="M23:M23">IFERROR(INDEX(Rango_Admin_Clas_Total,M$2,MATCH($A23,Rango_Admin_Clas_Primera,0)+1),"-")</f>
        <v>0</v>
      </c>
      <c r="N23" s="471" t="n">
        <f aca="false" t="array" ref="N23:N23">IFERROR(INDEX(Rango_Admin_Clas_Total,N$2,MATCH($A23,Rango_Admin_Clas_Primera,0)+1),"-")</f>
        <v>0</v>
      </c>
      <c r="O23" s="471" t="n">
        <f aca="false" t="array" ref="O23:O23">IFERROR(INDEX(Rango_Admin_Clas_Total,O$2,MATCH($A23,Rango_Admin_Clas_Primera,0)+1),"-")</f>
        <v>0</v>
      </c>
      <c r="P23" s="471" t="n">
        <f aca="false" t="array" ref="P23:P23">IFERROR(INDEX(Rango_Admin_Clas_Total,P$2,MATCH($A23,Rango_Admin_Clas_Primera,0)+1),"-")</f>
        <v>0</v>
      </c>
      <c r="Q23" s="471" t="n">
        <f aca="false" t="array" ref="Q23:Q23">IFERROR(INDEX(Rango_Admin_Clas_Total,Q$2,MATCH($A23,Rango_Admin_Clas_Primera,0)+1),"-")</f>
        <v>0</v>
      </c>
      <c r="R23" s="471" t="n">
        <f aca="false" t="array" ref="R23:R23">IFERROR(INDEX(Rango_Admin_Clas_Total,R$2,MATCH($A23,Rango_Admin_Clas_Primera,0)+1),"-")</f>
        <v>0</v>
      </c>
      <c r="S23" s="471" t="n">
        <f aca="false" t="array" ref="S23:S23">IFERROR(INDEX(Rango_Admin_Clas_Total,S$2,MATCH($A23,Rango_Admin_Clas_Primera,0)+1),"-")</f>
        <v>0</v>
      </c>
      <c r="T23" s="244"/>
      <c r="U23" s="244"/>
    </row>
    <row r="24" customFormat="false" ht="15" hidden="true" customHeight="false" outlineLevel="0" collapsed="false">
      <c r="A24" s="85" t="n">
        <f aca="false">ROW()-4</f>
        <v>20</v>
      </c>
      <c r="B24" s="51" t="n">
        <f aca="false">IFERROR(HLOOKUP(A24,Rango_Admin_Clas,3,FALSE()),"-")</f>
        <v>19</v>
      </c>
      <c r="C24" s="50" t="str">
        <f aca="false">IFERROR(HLOOKUP(A24,Rango_Admin_Clas,5,FALSE()),"-")</f>
        <v>Pegar Valores Nombre J20</v>
      </c>
      <c r="D24" s="279" t="n">
        <f aca="false">IFERROR(HLOOKUP(A24,Rango_Admin_Clas,4,FALSE()),"-")</f>
        <v>0</v>
      </c>
      <c r="E24" s="471" t="n">
        <f aca="false" t="array" ref="E24:E24">IFERROR(INDEX(Rango_Admin_Clas_Total,E$2,MATCH($A24,Rango_Admin_Clas_Primera,0)+1),"-")</f>
        <v>0</v>
      </c>
      <c r="F24" s="471" t="n">
        <f aca="false" t="array" ref="F24:F24">IFERROR(INDEX(Rango_Admin_Clas_Total,F$2,MATCH($A24,Rango_Admin_Clas_Primera,0)+1),"-")</f>
        <v>0</v>
      </c>
      <c r="G24" s="471" t="n">
        <f aca="false" t="array" ref="G24:G24">IFERROR(INDEX(Rango_Admin_Clas_Total,G$2,MATCH($A24,Rango_Admin_Clas_Primera,0)+1),"-")</f>
        <v>0</v>
      </c>
      <c r="H24" s="471" t="n">
        <f aca="false" t="array" ref="H24:H24">IFERROR(INDEX(Rango_Admin_Clas_Total,H$2,MATCH($A24,Rango_Admin_Clas_Primera,0)+1),"-")</f>
        <v>0</v>
      </c>
      <c r="I24" s="471" t="n">
        <f aca="false" t="array" ref="I24:I24">IFERROR(INDEX(Rango_Admin_Clas_Total,I$2,MATCH($A24,Rango_Admin_Clas_Primera,0)+1),"-")</f>
        <v>0</v>
      </c>
      <c r="J24" s="471" t="n">
        <f aca="false" t="array" ref="J24:J24">IFERROR(INDEX(Rango_Admin_Clas_Total,J$2,MATCH($A24,Rango_Admin_Clas_Primera,0)+1),"-")</f>
        <v>0</v>
      </c>
      <c r="K24" s="471" t="n">
        <f aca="false" t="array" ref="K24:K24">IFERROR(INDEX(Rango_Admin_Clas_Total,K$2,MATCH($A24,Rango_Admin_Clas_Primera,0)+1),"-")</f>
        <v>0</v>
      </c>
      <c r="L24" s="471" t="n">
        <f aca="false" t="array" ref="L24:L24">IFERROR(INDEX(Rango_Admin_Clas_Total,L$2,MATCH($A24,Rango_Admin_Clas_Primera,0)+1),"-")</f>
        <v>0</v>
      </c>
      <c r="M24" s="471" t="n">
        <f aca="false" t="array" ref="M24:M24">IFERROR(INDEX(Rango_Admin_Clas_Total,M$2,MATCH($A24,Rango_Admin_Clas_Primera,0)+1),"-")</f>
        <v>0</v>
      </c>
      <c r="N24" s="471" t="n">
        <f aca="false" t="array" ref="N24:N24">IFERROR(INDEX(Rango_Admin_Clas_Total,N$2,MATCH($A24,Rango_Admin_Clas_Primera,0)+1),"-")</f>
        <v>0</v>
      </c>
      <c r="O24" s="471" t="n">
        <f aca="false" t="array" ref="O24:O24">IFERROR(INDEX(Rango_Admin_Clas_Total,O$2,MATCH($A24,Rango_Admin_Clas_Primera,0)+1),"-")</f>
        <v>0</v>
      </c>
      <c r="P24" s="471" t="n">
        <f aca="false" t="array" ref="P24:P24">IFERROR(INDEX(Rango_Admin_Clas_Total,P$2,MATCH($A24,Rango_Admin_Clas_Primera,0)+1),"-")</f>
        <v>0</v>
      </c>
      <c r="Q24" s="471" t="n">
        <f aca="false" t="array" ref="Q24:Q24">IFERROR(INDEX(Rango_Admin_Clas_Total,Q$2,MATCH($A24,Rango_Admin_Clas_Primera,0)+1),"-")</f>
        <v>0</v>
      </c>
      <c r="R24" s="471" t="n">
        <f aca="false" t="array" ref="R24:R24">IFERROR(INDEX(Rango_Admin_Clas_Total,R$2,MATCH($A24,Rango_Admin_Clas_Primera,0)+1),"-")</f>
        <v>0</v>
      </c>
      <c r="S24" s="471" t="n">
        <f aca="false" t="array" ref="S24:S24">IFERROR(INDEX(Rango_Admin_Clas_Total,S$2,MATCH($A24,Rango_Admin_Clas_Primera,0)+1),"-")</f>
        <v>0</v>
      </c>
      <c r="T24" s="244"/>
      <c r="U24" s="244"/>
    </row>
    <row r="25" customFormat="false" ht="15" hidden="true" customHeight="false" outlineLevel="0" collapsed="false">
      <c r="A25" s="85" t="n">
        <f aca="false">ROW()-4</f>
        <v>21</v>
      </c>
      <c r="B25" s="51" t="n">
        <f aca="false">IFERROR(HLOOKUP(A25,Rango_Admin_Clas,3,FALSE()),"-")</f>
        <v>19</v>
      </c>
      <c r="C25" s="50" t="str">
        <f aca="false">IFERROR(HLOOKUP(A25,Rango_Admin_Clas,5,FALSE()),"-")</f>
        <v>Pegar Valores Nombre J21</v>
      </c>
      <c r="D25" s="279" t="n">
        <f aca="false">IFERROR(HLOOKUP(A25,Rango_Admin_Clas,4,FALSE()),"-")</f>
        <v>0</v>
      </c>
      <c r="E25" s="471" t="n">
        <f aca="false" t="array" ref="E25:E25">IFERROR(INDEX(Rango_Admin_Clas_Total,E$2,MATCH($A25,Rango_Admin_Clas_Primera,0)+1),"-")</f>
        <v>0</v>
      </c>
      <c r="F25" s="471" t="n">
        <f aca="false" t="array" ref="F25:F25">IFERROR(INDEX(Rango_Admin_Clas_Total,F$2,MATCH($A25,Rango_Admin_Clas_Primera,0)+1),"-")</f>
        <v>0</v>
      </c>
      <c r="G25" s="471" t="n">
        <f aca="false" t="array" ref="G25:G25">IFERROR(INDEX(Rango_Admin_Clas_Total,G$2,MATCH($A25,Rango_Admin_Clas_Primera,0)+1),"-")</f>
        <v>0</v>
      </c>
      <c r="H25" s="471" t="n">
        <f aca="false" t="array" ref="H25:H25">IFERROR(INDEX(Rango_Admin_Clas_Total,H$2,MATCH($A25,Rango_Admin_Clas_Primera,0)+1),"-")</f>
        <v>0</v>
      </c>
      <c r="I25" s="471" t="n">
        <f aca="false" t="array" ref="I25:I25">IFERROR(INDEX(Rango_Admin_Clas_Total,I$2,MATCH($A25,Rango_Admin_Clas_Primera,0)+1),"-")</f>
        <v>0</v>
      </c>
      <c r="J25" s="471" t="n">
        <f aca="false" t="array" ref="J25:J25">IFERROR(INDEX(Rango_Admin_Clas_Total,J$2,MATCH($A25,Rango_Admin_Clas_Primera,0)+1),"-")</f>
        <v>0</v>
      </c>
      <c r="K25" s="471" t="n">
        <f aca="false" t="array" ref="K25:K25">IFERROR(INDEX(Rango_Admin_Clas_Total,K$2,MATCH($A25,Rango_Admin_Clas_Primera,0)+1),"-")</f>
        <v>0</v>
      </c>
      <c r="L25" s="471" t="n">
        <f aca="false" t="array" ref="L25:L25">IFERROR(INDEX(Rango_Admin_Clas_Total,L$2,MATCH($A25,Rango_Admin_Clas_Primera,0)+1),"-")</f>
        <v>0</v>
      </c>
      <c r="M25" s="471" t="n">
        <f aca="false" t="array" ref="M25:M25">IFERROR(INDEX(Rango_Admin_Clas_Total,M$2,MATCH($A25,Rango_Admin_Clas_Primera,0)+1),"-")</f>
        <v>0</v>
      </c>
      <c r="N25" s="471" t="n">
        <f aca="false" t="array" ref="N25:N25">IFERROR(INDEX(Rango_Admin_Clas_Total,N$2,MATCH($A25,Rango_Admin_Clas_Primera,0)+1),"-")</f>
        <v>0</v>
      </c>
      <c r="O25" s="471" t="n">
        <f aca="false" t="array" ref="O25:O25">IFERROR(INDEX(Rango_Admin_Clas_Total,O$2,MATCH($A25,Rango_Admin_Clas_Primera,0)+1),"-")</f>
        <v>0</v>
      </c>
      <c r="P25" s="471" t="n">
        <f aca="false" t="array" ref="P25:P25">IFERROR(INDEX(Rango_Admin_Clas_Total,P$2,MATCH($A25,Rango_Admin_Clas_Primera,0)+1),"-")</f>
        <v>0</v>
      </c>
      <c r="Q25" s="471" t="n">
        <f aca="false" t="array" ref="Q25:Q25">IFERROR(INDEX(Rango_Admin_Clas_Total,Q$2,MATCH($A25,Rango_Admin_Clas_Primera,0)+1),"-")</f>
        <v>0</v>
      </c>
      <c r="R25" s="471" t="n">
        <f aca="false" t="array" ref="R25:R25">IFERROR(INDEX(Rango_Admin_Clas_Total,R$2,MATCH($A25,Rango_Admin_Clas_Primera,0)+1),"-")</f>
        <v>0</v>
      </c>
      <c r="S25" s="471" t="n">
        <f aca="false" t="array" ref="S25:S25">IFERROR(INDEX(Rango_Admin_Clas_Total,S$2,MATCH($A25,Rango_Admin_Clas_Primera,0)+1),"-")</f>
        <v>0</v>
      </c>
      <c r="T25" s="244"/>
      <c r="U25" s="244"/>
    </row>
    <row r="26" customFormat="false" ht="15" hidden="true" customHeight="false" outlineLevel="0" collapsed="false">
      <c r="A26" s="85" t="n">
        <f aca="false">ROW()-4</f>
        <v>22</v>
      </c>
      <c r="B26" s="51" t="n">
        <f aca="false">IFERROR(HLOOKUP(A26,Rango_Admin_Clas,3,FALSE()),"-")</f>
        <v>19</v>
      </c>
      <c r="C26" s="50" t="str">
        <f aca="false">IFERROR(HLOOKUP(A26,Rango_Admin_Clas,5,FALSE()),"-")</f>
        <v>Pegar Valores Nombre J22</v>
      </c>
      <c r="D26" s="279" t="n">
        <f aca="false">IFERROR(HLOOKUP(A26,Rango_Admin_Clas,4,FALSE()),"-")</f>
        <v>0</v>
      </c>
      <c r="E26" s="471" t="n">
        <f aca="false" t="array" ref="E26:E26">IFERROR(INDEX(Rango_Admin_Clas_Total,E$2,MATCH($A26,Rango_Admin_Clas_Primera,0)+1),"-")</f>
        <v>0</v>
      </c>
      <c r="F26" s="471" t="n">
        <f aca="false" t="array" ref="F26:F26">IFERROR(INDEX(Rango_Admin_Clas_Total,F$2,MATCH($A26,Rango_Admin_Clas_Primera,0)+1),"-")</f>
        <v>0</v>
      </c>
      <c r="G26" s="471" t="n">
        <f aca="false" t="array" ref="G26:G26">IFERROR(INDEX(Rango_Admin_Clas_Total,G$2,MATCH($A26,Rango_Admin_Clas_Primera,0)+1),"-")</f>
        <v>0</v>
      </c>
      <c r="H26" s="471" t="n">
        <f aca="false" t="array" ref="H26:H26">IFERROR(INDEX(Rango_Admin_Clas_Total,H$2,MATCH($A26,Rango_Admin_Clas_Primera,0)+1),"-")</f>
        <v>0</v>
      </c>
      <c r="I26" s="471" t="n">
        <f aca="false" t="array" ref="I26:I26">IFERROR(INDEX(Rango_Admin_Clas_Total,I$2,MATCH($A26,Rango_Admin_Clas_Primera,0)+1),"-")</f>
        <v>0</v>
      </c>
      <c r="J26" s="471" t="n">
        <f aca="false" t="array" ref="J26:J26">IFERROR(INDEX(Rango_Admin_Clas_Total,J$2,MATCH($A26,Rango_Admin_Clas_Primera,0)+1),"-")</f>
        <v>0</v>
      </c>
      <c r="K26" s="471" t="n">
        <f aca="false" t="array" ref="K26:K26">IFERROR(INDEX(Rango_Admin_Clas_Total,K$2,MATCH($A26,Rango_Admin_Clas_Primera,0)+1),"-")</f>
        <v>0</v>
      </c>
      <c r="L26" s="471" t="n">
        <f aca="false" t="array" ref="L26:L26">IFERROR(INDEX(Rango_Admin_Clas_Total,L$2,MATCH($A26,Rango_Admin_Clas_Primera,0)+1),"-")</f>
        <v>0</v>
      </c>
      <c r="M26" s="471" t="n">
        <f aca="false" t="array" ref="M26:M26">IFERROR(INDEX(Rango_Admin_Clas_Total,M$2,MATCH($A26,Rango_Admin_Clas_Primera,0)+1),"-")</f>
        <v>0</v>
      </c>
      <c r="N26" s="471" t="n">
        <f aca="false" t="array" ref="N26:N26">IFERROR(INDEX(Rango_Admin_Clas_Total,N$2,MATCH($A26,Rango_Admin_Clas_Primera,0)+1),"-")</f>
        <v>0</v>
      </c>
      <c r="O26" s="471" t="n">
        <f aca="false" t="array" ref="O26:O26">IFERROR(INDEX(Rango_Admin_Clas_Total,O$2,MATCH($A26,Rango_Admin_Clas_Primera,0)+1),"-")</f>
        <v>0</v>
      </c>
      <c r="P26" s="471" t="n">
        <f aca="false" t="array" ref="P26:P26">IFERROR(INDEX(Rango_Admin_Clas_Total,P$2,MATCH($A26,Rango_Admin_Clas_Primera,0)+1),"-")</f>
        <v>0</v>
      </c>
      <c r="Q26" s="471" t="n">
        <f aca="false" t="array" ref="Q26:Q26">IFERROR(INDEX(Rango_Admin_Clas_Total,Q$2,MATCH($A26,Rango_Admin_Clas_Primera,0)+1),"-")</f>
        <v>0</v>
      </c>
      <c r="R26" s="471" t="n">
        <f aca="false" t="array" ref="R26:R26">IFERROR(INDEX(Rango_Admin_Clas_Total,R$2,MATCH($A26,Rango_Admin_Clas_Primera,0)+1),"-")</f>
        <v>0</v>
      </c>
      <c r="S26" s="471" t="n">
        <f aca="false" t="array" ref="S26:S26">IFERROR(INDEX(Rango_Admin_Clas_Total,S$2,MATCH($A26,Rango_Admin_Clas_Primera,0)+1),"-")</f>
        <v>0</v>
      </c>
      <c r="T26" s="244"/>
      <c r="U26" s="244"/>
    </row>
    <row r="27" customFormat="false" ht="15" hidden="true" customHeight="false" outlineLevel="0" collapsed="false">
      <c r="A27" s="85" t="n">
        <f aca="false">ROW()-4</f>
        <v>23</v>
      </c>
      <c r="B27" s="51" t="n">
        <f aca="false">IFERROR(HLOOKUP(A27,Rango_Admin_Clas,3,FALSE()),"-")</f>
        <v>19</v>
      </c>
      <c r="C27" s="50" t="str">
        <f aca="false">IFERROR(HLOOKUP(A27,Rango_Admin_Clas,5,FALSE()),"-")</f>
        <v>Pegar Valores Nombre J23</v>
      </c>
      <c r="D27" s="279" t="n">
        <f aca="false">IFERROR(HLOOKUP(A27,Rango_Admin_Clas,4,FALSE()),"-")</f>
        <v>0</v>
      </c>
      <c r="E27" s="471" t="n">
        <f aca="false" t="array" ref="E27:E27">IFERROR(INDEX(Rango_Admin_Clas_Total,E$2,MATCH($A27,Rango_Admin_Clas_Primera,0)+1),"-")</f>
        <v>0</v>
      </c>
      <c r="F27" s="471" t="n">
        <f aca="false" t="array" ref="F27:F27">IFERROR(INDEX(Rango_Admin_Clas_Total,F$2,MATCH($A27,Rango_Admin_Clas_Primera,0)+1),"-")</f>
        <v>0</v>
      </c>
      <c r="G27" s="471" t="n">
        <f aca="false" t="array" ref="G27:G27">IFERROR(INDEX(Rango_Admin_Clas_Total,G$2,MATCH($A27,Rango_Admin_Clas_Primera,0)+1),"-")</f>
        <v>0</v>
      </c>
      <c r="H27" s="471" t="n">
        <f aca="false" t="array" ref="H27:H27">IFERROR(INDEX(Rango_Admin_Clas_Total,H$2,MATCH($A27,Rango_Admin_Clas_Primera,0)+1),"-")</f>
        <v>0</v>
      </c>
      <c r="I27" s="471" t="n">
        <f aca="false" t="array" ref="I27:I27">IFERROR(INDEX(Rango_Admin_Clas_Total,I$2,MATCH($A27,Rango_Admin_Clas_Primera,0)+1),"-")</f>
        <v>0</v>
      </c>
      <c r="J27" s="471" t="n">
        <f aca="false" t="array" ref="J27:J27">IFERROR(INDEX(Rango_Admin_Clas_Total,J$2,MATCH($A27,Rango_Admin_Clas_Primera,0)+1),"-")</f>
        <v>0</v>
      </c>
      <c r="K27" s="471" t="n">
        <f aca="false" t="array" ref="K27:K27">IFERROR(INDEX(Rango_Admin_Clas_Total,K$2,MATCH($A27,Rango_Admin_Clas_Primera,0)+1),"-")</f>
        <v>0</v>
      </c>
      <c r="L27" s="471" t="n">
        <f aca="false" t="array" ref="L27:L27">IFERROR(INDEX(Rango_Admin_Clas_Total,L$2,MATCH($A27,Rango_Admin_Clas_Primera,0)+1),"-")</f>
        <v>0</v>
      </c>
      <c r="M27" s="471" t="n">
        <f aca="false" t="array" ref="M27:M27">IFERROR(INDEX(Rango_Admin_Clas_Total,M$2,MATCH($A27,Rango_Admin_Clas_Primera,0)+1),"-")</f>
        <v>0</v>
      </c>
      <c r="N27" s="471" t="n">
        <f aca="false" t="array" ref="N27:N27">IFERROR(INDEX(Rango_Admin_Clas_Total,N$2,MATCH($A27,Rango_Admin_Clas_Primera,0)+1),"-")</f>
        <v>0</v>
      </c>
      <c r="O27" s="471" t="n">
        <f aca="false" t="array" ref="O27:O27">IFERROR(INDEX(Rango_Admin_Clas_Total,O$2,MATCH($A27,Rango_Admin_Clas_Primera,0)+1),"-")</f>
        <v>0</v>
      </c>
      <c r="P27" s="471" t="n">
        <f aca="false" t="array" ref="P27:P27">IFERROR(INDEX(Rango_Admin_Clas_Total,P$2,MATCH($A27,Rango_Admin_Clas_Primera,0)+1),"-")</f>
        <v>0</v>
      </c>
      <c r="Q27" s="471" t="n">
        <f aca="false" t="array" ref="Q27:Q27">IFERROR(INDEX(Rango_Admin_Clas_Total,Q$2,MATCH($A27,Rango_Admin_Clas_Primera,0)+1),"-")</f>
        <v>0</v>
      </c>
      <c r="R27" s="471" t="n">
        <f aca="false" t="array" ref="R27:R27">IFERROR(INDEX(Rango_Admin_Clas_Total,R$2,MATCH($A27,Rango_Admin_Clas_Primera,0)+1),"-")</f>
        <v>0</v>
      </c>
      <c r="S27" s="471" t="n">
        <f aca="false" t="array" ref="S27:S27">IFERROR(INDEX(Rango_Admin_Clas_Total,S$2,MATCH($A27,Rango_Admin_Clas_Primera,0)+1),"-")</f>
        <v>0</v>
      </c>
      <c r="T27" s="244"/>
      <c r="U27" s="244"/>
    </row>
    <row r="28" customFormat="false" ht="15" hidden="true" customHeight="false" outlineLevel="0" collapsed="false">
      <c r="A28" s="85" t="n">
        <f aca="false">ROW()-4</f>
        <v>24</v>
      </c>
      <c r="B28" s="51" t="n">
        <f aca="false">IFERROR(HLOOKUP(A28,Rango_Admin_Clas,3,FALSE()),"-")</f>
        <v>19</v>
      </c>
      <c r="C28" s="50" t="str">
        <f aca="false">IFERROR(HLOOKUP(A28,Rango_Admin_Clas,5,FALSE()),"-")</f>
        <v>Pegar Valores Nombre J24</v>
      </c>
      <c r="D28" s="279" t="n">
        <f aca="false">IFERROR(HLOOKUP(A28,Rango_Admin_Clas,4,FALSE()),"-")</f>
        <v>0</v>
      </c>
      <c r="E28" s="471" t="n">
        <f aca="false" t="array" ref="E28:E28">IFERROR(INDEX(Rango_Admin_Clas_Total,E$2,MATCH($A28,Rango_Admin_Clas_Primera,0)+1),"-")</f>
        <v>0</v>
      </c>
      <c r="F28" s="471" t="n">
        <f aca="false" t="array" ref="F28:F28">IFERROR(INDEX(Rango_Admin_Clas_Total,F$2,MATCH($A28,Rango_Admin_Clas_Primera,0)+1),"-")</f>
        <v>0</v>
      </c>
      <c r="G28" s="471" t="n">
        <f aca="false" t="array" ref="G28:G28">IFERROR(INDEX(Rango_Admin_Clas_Total,G$2,MATCH($A28,Rango_Admin_Clas_Primera,0)+1),"-")</f>
        <v>0</v>
      </c>
      <c r="H28" s="471" t="n">
        <f aca="false" t="array" ref="H28:H28">IFERROR(INDEX(Rango_Admin_Clas_Total,H$2,MATCH($A28,Rango_Admin_Clas_Primera,0)+1),"-")</f>
        <v>0</v>
      </c>
      <c r="I28" s="471" t="n">
        <f aca="false" t="array" ref="I28:I28">IFERROR(INDEX(Rango_Admin_Clas_Total,I$2,MATCH($A28,Rango_Admin_Clas_Primera,0)+1),"-")</f>
        <v>0</v>
      </c>
      <c r="J28" s="471" t="n">
        <f aca="false" t="array" ref="J28:J28">IFERROR(INDEX(Rango_Admin_Clas_Total,J$2,MATCH($A28,Rango_Admin_Clas_Primera,0)+1),"-")</f>
        <v>0</v>
      </c>
      <c r="K28" s="471" t="n">
        <f aca="false" t="array" ref="K28:K28">IFERROR(INDEX(Rango_Admin_Clas_Total,K$2,MATCH($A28,Rango_Admin_Clas_Primera,0)+1),"-")</f>
        <v>0</v>
      </c>
      <c r="L28" s="471" t="n">
        <f aca="false" t="array" ref="L28:L28">IFERROR(INDEX(Rango_Admin_Clas_Total,L$2,MATCH($A28,Rango_Admin_Clas_Primera,0)+1),"-")</f>
        <v>0</v>
      </c>
      <c r="M28" s="471" t="n">
        <f aca="false" t="array" ref="M28:M28">IFERROR(INDEX(Rango_Admin_Clas_Total,M$2,MATCH($A28,Rango_Admin_Clas_Primera,0)+1),"-")</f>
        <v>0</v>
      </c>
      <c r="N28" s="471" t="n">
        <f aca="false" t="array" ref="N28:N28">IFERROR(INDEX(Rango_Admin_Clas_Total,N$2,MATCH($A28,Rango_Admin_Clas_Primera,0)+1),"-")</f>
        <v>0</v>
      </c>
      <c r="O28" s="471" t="n">
        <f aca="false" t="array" ref="O28:O28">IFERROR(INDEX(Rango_Admin_Clas_Total,O$2,MATCH($A28,Rango_Admin_Clas_Primera,0)+1),"-")</f>
        <v>0</v>
      </c>
      <c r="P28" s="471" t="n">
        <f aca="false" t="array" ref="P28:P28">IFERROR(INDEX(Rango_Admin_Clas_Total,P$2,MATCH($A28,Rango_Admin_Clas_Primera,0)+1),"-")</f>
        <v>0</v>
      </c>
      <c r="Q28" s="471" t="n">
        <f aca="false" t="array" ref="Q28:Q28">IFERROR(INDEX(Rango_Admin_Clas_Total,Q$2,MATCH($A28,Rango_Admin_Clas_Primera,0)+1),"-")</f>
        <v>0</v>
      </c>
      <c r="R28" s="471" t="n">
        <f aca="false" t="array" ref="R28:R28">IFERROR(INDEX(Rango_Admin_Clas_Total,R$2,MATCH($A28,Rango_Admin_Clas_Primera,0)+1),"-")</f>
        <v>0</v>
      </c>
      <c r="S28" s="471" t="n">
        <f aca="false" t="array" ref="S28:S28">IFERROR(INDEX(Rango_Admin_Clas_Total,S$2,MATCH($A28,Rango_Admin_Clas_Primera,0)+1),"-")</f>
        <v>0</v>
      </c>
      <c r="T28" s="244"/>
      <c r="U28" s="244"/>
    </row>
    <row r="29" customFormat="false" ht="15" hidden="true" customHeight="false" outlineLevel="0" collapsed="false">
      <c r="A29" s="85" t="n">
        <f aca="false">ROW()-4</f>
        <v>25</v>
      </c>
      <c r="B29" s="51" t="n">
        <f aca="false">IFERROR(HLOOKUP(A29,Rango_Admin_Clas,3,FALSE()),"-")</f>
        <v>19</v>
      </c>
      <c r="C29" s="50" t="str">
        <f aca="false">IFERROR(HLOOKUP(A29,Rango_Admin_Clas,5,FALSE()),"-")</f>
        <v>Pegar Valores Nombre J25</v>
      </c>
      <c r="D29" s="279" t="n">
        <f aca="false">IFERROR(HLOOKUP(A29,Rango_Admin_Clas,4,FALSE()),"-")</f>
        <v>0</v>
      </c>
      <c r="E29" s="471" t="n">
        <f aca="false" t="array" ref="E29:E29">IFERROR(INDEX(Rango_Admin_Clas_Total,E$2,MATCH($A29,Rango_Admin_Clas_Primera,0)+1),"-")</f>
        <v>0</v>
      </c>
      <c r="F29" s="471" t="n">
        <f aca="false" t="array" ref="F29:F29">IFERROR(INDEX(Rango_Admin_Clas_Total,F$2,MATCH($A29,Rango_Admin_Clas_Primera,0)+1),"-")</f>
        <v>0</v>
      </c>
      <c r="G29" s="471" t="n">
        <f aca="false" t="array" ref="G29:G29">IFERROR(INDEX(Rango_Admin_Clas_Total,G$2,MATCH($A29,Rango_Admin_Clas_Primera,0)+1),"-")</f>
        <v>0</v>
      </c>
      <c r="H29" s="471" t="n">
        <f aca="false" t="array" ref="H29:H29">IFERROR(INDEX(Rango_Admin_Clas_Total,H$2,MATCH($A29,Rango_Admin_Clas_Primera,0)+1),"-")</f>
        <v>0</v>
      </c>
      <c r="I29" s="471" t="n">
        <f aca="false" t="array" ref="I29:I29">IFERROR(INDEX(Rango_Admin_Clas_Total,I$2,MATCH($A29,Rango_Admin_Clas_Primera,0)+1),"-")</f>
        <v>0</v>
      </c>
      <c r="J29" s="471" t="n">
        <f aca="false" t="array" ref="J29:J29">IFERROR(INDEX(Rango_Admin_Clas_Total,J$2,MATCH($A29,Rango_Admin_Clas_Primera,0)+1),"-")</f>
        <v>0</v>
      </c>
      <c r="K29" s="471" t="n">
        <f aca="false" t="array" ref="K29:K29">IFERROR(INDEX(Rango_Admin_Clas_Total,K$2,MATCH($A29,Rango_Admin_Clas_Primera,0)+1),"-")</f>
        <v>0</v>
      </c>
      <c r="L29" s="471" t="n">
        <f aca="false" t="array" ref="L29:L29">IFERROR(INDEX(Rango_Admin_Clas_Total,L$2,MATCH($A29,Rango_Admin_Clas_Primera,0)+1),"-")</f>
        <v>0</v>
      </c>
      <c r="M29" s="471" t="n">
        <f aca="false" t="array" ref="M29:M29">IFERROR(INDEX(Rango_Admin_Clas_Total,M$2,MATCH($A29,Rango_Admin_Clas_Primera,0)+1),"-")</f>
        <v>0</v>
      </c>
      <c r="N29" s="471" t="n">
        <f aca="false" t="array" ref="N29:N29">IFERROR(INDEX(Rango_Admin_Clas_Total,N$2,MATCH($A29,Rango_Admin_Clas_Primera,0)+1),"-")</f>
        <v>0</v>
      </c>
      <c r="O29" s="471" t="n">
        <f aca="false" t="array" ref="O29:O29">IFERROR(INDEX(Rango_Admin_Clas_Total,O$2,MATCH($A29,Rango_Admin_Clas_Primera,0)+1),"-")</f>
        <v>0</v>
      </c>
      <c r="P29" s="471" t="n">
        <f aca="false" t="array" ref="P29:P29">IFERROR(INDEX(Rango_Admin_Clas_Total,P$2,MATCH($A29,Rango_Admin_Clas_Primera,0)+1),"-")</f>
        <v>0</v>
      </c>
      <c r="Q29" s="471" t="n">
        <f aca="false" t="array" ref="Q29:Q29">IFERROR(INDEX(Rango_Admin_Clas_Total,Q$2,MATCH($A29,Rango_Admin_Clas_Primera,0)+1),"-")</f>
        <v>0</v>
      </c>
      <c r="R29" s="471" t="n">
        <f aca="false" t="array" ref="R29:R29">IFERROR(INDEX(Rango_Admin_Clas_Total,R$2,MATCH($A29,Rango_Admin_Clas_Primera,0)+1),"-")</f>
        <v>0</v>
      </c>
      <c r="S29" s="471" t="n">
        <f aca="false" t="array" ref="S29:S29">IFERROR(INDEX(Rango_Admin_Clas_Total,S$2,MATCH($A29,Rango_Admin_Clas_Primera,0)+1),"-")</f>
        <v>0</v>
      </c>
      <c r="T29" s="244"/>
      <c r="U29" s="244"/>
    </row>
    <row r="30" customFormat="false" ht="15" hidden="true" customHeight="false" outlineLevel="0" collapsed="false">
      <c r="A30" s="85" t="n">
        <f aca="false">ROW()-4</f>
        <v>26</v>
      </c>
      <c r="B30" s="51" t="n">
        <f aca="false">IFERROR(HLOOKUP(A30,Rango_Admin_Clas,3,FALSE()),"-")</f>
        <v>19</v>
      </c>
      <c r="C30" s="50" t="str">
        <f aca="false">IFERROR(HLOOKUP(A30,Rango_Admin_Clas,5,FALSE()),"-")</f>
        <v>Pegar Valores Nombre J26</v>
      </c>
      <c r="D30" s="279" t="n">
        <f aca="false">IFERROR(HLOOKUP(A30,Rango_Admin_Clas,4,FALSE()),"-")</f>
        <v>0</v>
      </c>
      <c r="E30" s="471" t="n">
        <f aca="false" t="array" ref="E30:E30">IFERROR(INDEX(Rango_Admin_Clas_Total,E$2,MATCH($A30,Rango_Admin_Clas_Primera,0)+1),"-")</f>
        <v>0</v>
      </c>
      <c r="F30" s="471" t="n">
        <f aca="false" t="array" ref="F30:F30">IFERROR(INDEX(Rango_Admin_Clas_Total,F$2,MATCH($A30,Rango_Admin_Clas_Primera,0)+1),"-")</f>
        <v>0</v>
      </c>
      <c r="G30" s="471" t="n">
        <f aca="false" t="array" ref="G30:G30">IFERROR(INDEX(Rango_Admin_Clas_Total,G$2,MATCH($A30,Rango_Admin_Clas_Primera,0)+1),"-")</f>
        <v>0</v>
      </c>
      <c r="H30" s="471" t="n">
        <f aca="false" t="array" ref="H30:H30">IFERROR(INDEX(Rango_Admin_Clas_Total,H$2,MATCH($A30,Rango_Admin_Clas_Primera,0)+1),"-")</f>
        <v>0</v>
      </c>
      <c r="I30" s="471" t="n">
        <f aca="false" t="array" ref="I30:I30">IFERROR(INDEX(Rango_Admin_Clas_Total,I$2,MATCH($A30,Rango_Admin_Clas_Primera,0)+1),"-")</f>
        <v>0</v>
      </c>
      <c r="J30" s="471" t="n">
        <f aca="false" t="array" ref="J30:J30">IFERROR(INDEX(Rango_Admin_Clas_Total,J$2,MATCH($A30,Rango_Admin_Clas_Primera,0)+1),"-")</f>
        <v>0</v>
      </c>
      <c r="K30" s="471" t="n">
        <f aca="false" t="array" ref="K30:K30">IFERROR(INDEX(Rango_Admin_Clas_Total,K$2,MATCH($A30,Rango_Admin_Clas_Primera,0)+1),"-")</f>
        <v>0</v>
      </c>
      <c r="L30" s="471" t="n">
        <f aca="false" t="array" ref="L30:L30">IFERROR(INDEX(Rango_Admin_Clas_Total,L$2,MATCH($A30,Rango_Admin_Clas_Primera,0)+1),"-")</f>
        <v>0</v>
      </c>
      <c r="M30" s="471" t="n">
        <f aca="false" t="array" ref="M30:M30">IFERROR(INDEX(Rango_Admin_Clas_Total,M$2,MATCH($A30,Rango_Admin_Clas_Primera,0)+1),"-")</f>
        <v>0</v>
      </c>
      <c r="N30" s="471" t="n">
        <f aca="false" t="array" ref="N30:N30">IFERROR(INDEX(Rango_Admin_Clas_Total,N$2,MATCH($A30,Rango_Admin_Clas_Primera,0)+1),"-")</f>
        <v>0</v>
      </c>
      <c r="O30" s="471" t="n">
        <f aca="false" t="array" ref="O30:O30">IFERROR(INDEX(Rango_Admin_Clas_Total,O$2,MATCH($A30,Rango_Admin_Clas_Primera,0)+1),"-")</f>
        <v>0</v>
      </c>
      <c r="P30" s="471" t="n">
        <f aca="false" t="array" ref="P30:P30">IFERROR(INDEX(Rango_Admin_Clas_Total,P$2,MATCH($A30,Rango_Admin_Clas_Primera,0)+1),"-")</f>
        <v>0</v>
      </c>
      <c r="Q30" s="471" t="n">
        <f aca="false" t="array" ref="Q30:Q30">IFERROR(INDEX(Rango_Admin_Clas_Total,Q$2,MATCH($A30,Rango_Admin_Clas_Primera,0)+1),"-")</f>
        <v>0</v>
      </c>
      <c r="R30" s="471" t="n">
        <f aca="false" t="array" ref="R30:R30">IFERROR(INDEX(Rango_Admin_Clas_Total,R$2,MATCH($A30,Rango_Admin_Clas_Primera,0)+1),"-")</f>
        <v>0</v>
      </c>
      <c r="S30" s="471" t="n">
        <f aca="false" t="array" ref="S30:S30">IFERROR(INDEX(Rango_Admin_Clas_Total,S$2,MATCH($A30,Rango_Admin_Clas_Primera,0)+1),"-")</f>
        <v>0</v>
      </c>
      <c r="T30" s="244"/>
      <c r="U30" s="244"/>
    </row>
    <row r="31" customFormat="false" ht="15" hidden="true" customHeight="false" outlineLevel="0" collapsed="false">
      <c r="A31" s="85" t="n">
        <f aca="false">ROW()-4</f>
        <v>27</v>
      </c>
      <c r="B31" s="51" t="n">
        <f aca="false">IFERROR(HLOOKUP(A31,Rango_Admin_Clas,3,FALSE()),"-")</f>
        <v>19</v>
      </c>
      <c r="C31" s="50" t="str">
        <f aca="false">IFERROR(HLOOKUP(A31,Rango_Admin_Clas,5,FALSE()),"-")</f>
        <v>Pegar Valores Nombre J27</v>
      </c>
      <c r="D31" s="279" t="n">
        <f aca="false">IFERROR(HLOOKUP(A31,Rango_Admin_Clas,4,FALSE()),"-")</f>
        <v>0</v>
      </c>
      <c r="E31" s="471" t="n">
        <f aca="false" t="array" ref="E31:E31">IFERROR(INDEX(Rango_Admin_Clas_Total,E$2,MATCH($A31,Rango_Admin_Clas_Primera,0)+1),"-")</f>
        <v>0</v>
      </c>
      <c r="F31" s="471" t="n">
        <f aca="false" t="array" ref="F31:F31">IFERROR(INDEX(Rango_Admin_Clas_Total,F$2,MATCH($A31,Rango_Admin_Clas_Primera,0)+1),"-")</f>
        <v>0</v>
      </c>
      <c r="G31" s="471" t="n">
        <f aca="false" t="array" ref="G31:G31">IFERROR(INDEX(Rango_Admin_Clas_Total,G$2,MATCH($A31,Rango_Admin_Clas_Primera,0)+1),"-")</f>
        <v>0</v>
      </c>
      <c r="H31" s="471" t="n">
        <f aca="false" t="array" ref="H31:H31">IFERROR(INDEX(Rango_Admin_Clas_Total,H$2,MATCH($A31,Rango_Admin_Clas_Primera,0)+1),"-")</f>
        <v>0</v>
      </c>
      <c r="I31" s="471" t="n">
        <f aca="false" t="array" ref="I31:I31">IFERROR(INDEX(Rango_Admin_Clas_Total,I$2,MATCH($A31,Rango_Admin_Clas_Primera,0)+1),"-")</f>
        <v>0</v>
      </c>
      <c r="J31" s="471" t="n">
        <f aca="false" t="array" ref="J31:J31">IFERROR(INDEX(Rango_Admin_Clas_Total,J$2,MATCH($A31,Rango_Admin_Clas_Primera,0)+1),"-")</f>
        <v>0</v>
      </c>
      <c r="K31" s="471" t="n">
        <f aca="false" t="array" ref="K31:K31">IFERROR(INDEX(Rango_Admin_Clas_Total,K$2,MATCH($A31,Rango_Admin_Clas_Primera,0)+1),"-")</f>
        <v>0</v>
      </c>
      <c r="L31" s="471" t="n">
        <f aca="false" t="array" ref="L31:L31">IFERROR(INDEX(Rango_Admin_Clas_Total,L$2,MATCH($A31,Rango_Admin_Clas_Primera,0)+1),"-")</f>
        <v>0</v>
      </c>
      <c r="M31" s="471" t="n">
        <f aca="false" t="array" ref="M31:M31">IFERROR(INDEX(Rango_Admin_Clas_Total,M$2,MATCH($A31,Rango_Admin_Clas_Primera,0)+1),"-")</f>
        <v>0</v>
      </c>
      <c r="N31" s="471" t="n">
        <f aca="false" t="array" ref="N31:N31">IFERROR(INDEX(Rango_Admin_Clas_Total,N$2,MATCH($A31,Rango_Admin_Clas_Primera,0)+1),"-")</f>
        <v>0</v>
      </c>
      <c r="O31" s="471" t="n">
        <f aca="false" t="array" ref="O31:O31">IFERROR(INDEX(Rango_Admin_Clas_Total,O$2,MATCH($A31,Rango_Admin_Clas_Primera,0)+1),"-")</f>
        <v>0</v>
      </c>
      <c r="P31" s="471" t="n">
        <f aca="false" t="array" ref="P31:P31">IFERROR(INDEX(Rango_Admin_Clas_Total,P$2,MATCH($A31,Rango_Admin_Clas_Primera,0)+1),"-")</f>
        <v>0</v>
      </c>
      <c r="Q31" s="471" t="n">
        <f aca="false" t="array" ref="Q31:Q31">IFERROR(INDEX(Rango_Admin_Clas_Total,Q$2,MATCH($A31,Rango_Admin_Clas_Primera,0)+1),"-")</f>
        <v>0</v>
      </c>
      <c r="R31" s="471" t="n">
        <f aca="false" t="array" ref="R31:R31">IFERROR(INDEX(Rango_Admin_Clas_Total,R$2,MATCH($A31,Rango_Admin_Clas_Primera,0)+1),"-")</f>
        <v>0</v>
      </c>
      <c r="S31" s="471" t="n">
        <f aca="false" t="array" ref="S31:S31">IFERROR(INDEX(Rango_Admin_Clas_Total,S$2,MATCH($A31,Rango_Admin_Clas_Primera,0)+1),"-")</f>
        <v>0</v>
      </c>
      <c r="T31" s="244"/>
      <c r="U31" s="244"/>
    </row>
    <row r="32" customFormat="false" ht="15" hidden="true" customHeight="false" outlineLevel="0" collapsed="false">
      <c r="A32" s="85" t="n">
        <f aca="false">ROW()-4</f>
        <v>28</v>
      </c>
      <c r="B32" s="51" t="n">
        <f aca="false">IFERROR(HLOOKUP(A32,Rango_Admin_Clas,3,FALSE()),"-")</f>
        <v>19</v>
      </c>
      <c r="C32" s="50" t="str">
        <f aca="false">IFERROR(HLOOKUP(A32,Rango_Admin_Clas,5,FALSE()),"-")</f>
        <v>Pegar Valores Nombre J28</v>
      </c>
      <c r="D32" s="279" t="n">
        <f aca="false">IFERROR(HLOOKUP(A32,Rango_Admin_Clas,4,FALSE()),"-")</f>
        <v>0</v>
      </c>
      <c r="E32" s="471" t="n">
        <f aca="false" t="array" ref="E32:E32">IFERROR(INDEX(Rango_Admin_Clas_Total,E$2,MATCH($A32,Rango_Admin_Clas_Primera,0)+1),"-")</f>
        <v>0</v>
      </c>
      <c r="F32" s="471" t="n">
        <f aca="false" t="array" ref="F32:F32">IFERROR(INDEX(Rango_Admin_Clas_Total,F$2,MATCH($A32,Rango_Admin_Clas_Primera,0)+1),"-")</f>
        <v>0</v>
      </c>
      <c r="G32" s="471" t="n">
        <f aca="false" t="array" ref="G32:G32">IFERROR(INDEX(Rango_Admin_Clas_Total,G$2,MATCH($A32,Rango_Admin_Clas_Primera,0)+1),"-")</f>
        <v>0</v>
      </c>
      <c r="H32" s="471" t="n">
        <f aca="false" t="array" ref="H32:H32">IFERROR(INDEX(Rango_Admin_Clas_Total,H$2,MATCH($A32,Rango_Admin_Clas_Primera,0)+1),"-")</f>
        <v>0</v>
      </c>
      <c r="I32" s="471" t="n">
        <f aca="false" t="array" ref="I32:I32">IFERROR(INDEX(Rango_Admin_Clas_Total,I$2,MATCH($A32,Rango_Admin_Clas_Primera,0)+1),"-")</f>
        <v>0</v>
      </c>
      <c r="J32" s="471" t="n">
        <f aca="false" t="array" ref="J32:J32">IFERROR(INDEX(Rango_Admin_Clas_Total,J$2,MATCH($A32,Rango_Admin_Clas_Primera,0)+1),"-")</f>
        <v>0</v>
      </c>
      <c r="K32" s="471" t="n">
        <f aca="false" t="array" ref="K32:K32">IFERROR(INDEX(Rango_Admin_Clas_Total,K$2,MATCH($A32,Rango_Admin_Clas_Primera,0)+1),"-")</f>
        <v>0</v>
      </c>
      <c r="L32" s="471" t="n">
        <f aca="false" t="array" ref="L32:L32">IFERROR(INDEX(Rango_Admin_Clas_Total,L$2,MATCH($A32,Rango_Admin_Clas_Primera,0)+1),"-")</f>
        <v>0</v>
      </c>
      <c r="M32" s="471" t="n">
        <f aca="false" t="array" ref="M32:M32">IFERROR(INDEX(Rango_Admin_Clas_Total,M$2,MATCH($A32,Rango_Admin_Clas_Primera,0)+1),"-")</f>
        <v>0</v>
      </c>
      <c r="N32" s="471" t="n">
        <f aca="false" t="array" ref="N32:N32">IFERROR(INDEX(Rango_Admin_Clas_Total,N$2,MATCH($A32,Rango_Admin_Clas_Primera,0)+1),"-")</f>
        <v>0</v>
      </c>
      <c r="O32" s="471" t="n">
        <f aca="false" t="array" ref="O32:O32">IFERROR(INDEX(Rango_Admin_Clas_Total,O$2,MATCH($A32,Rango_Admin_Clas_Primera,0)+1),"-")</f>
        <v>0</v>
      </c>
      <c r="P32" s="471" t="n">
        <f aca="false" t="array" ref="P32:P32">IFERROR(INDEX(Rango_Admin_Clas_Total,P$2,MATCH($A32,Rango_Admin_Clas_Primera,0)+1),"-")</f>
        <v>0</v>
      </c>
      <c r="Q32" s="471" t="n">
        <f aca="false" t="array" ref="Q32:Q32">IFERROR(INDEX(Rango_Admin_Clas_Total,Q$2,MATCH($A32,Rango_Admin_Clas_Primera,0)+1),"-")</f>
        <v>0</v>
      </c>
      <c r="R32" s="471" t="n">
        <f aca="false" t="array" ref="R32:R32">IFERROR(INDEX(Rango_Admin_Clas_Total,R$2,MATCH($A32,Rango_Admin_Clas_Primera,0)+1),"-")</f>
        <v>0</v>
      </c>
      <c r="S32" s="471" t="n">
        <f aca="false" t="array" ref="S32:S32">IFERROR(INDEX(Rango_Admin_Clas_Total,S$2,MATCH($A32,Rango_Admin_Clas_Primera,0)+1),"-")</f>
        <v>0</v>
      </c>
      <c r="T32" s="244"/>
      <c r="U32" s="244"/>
    </row>
    <row r="33" customFormat="false" ht="15" hidden="true" customHeight="false" outlineLevel="0" collapsed="false">
      <c r="A33" s="85" t="n">
        <f aca="false">ROW()-4</f>
        <v>29</v>
      </c>
      <c r="B33" s="51" t="n">
        <f aca="false">IFERROR(HLOOKUP(A33,Rango_Admin_Clas,3,FALSE()),"-")</f>
        <v>19</v>
      </c>
      <c r="C33" s="50" t="str">
        <f aca="false">IFERROR(HLOOKUP(A33,Rango_Admin_Clas,5,FALSE()),"-")</f>
        <v>Pegar Valores Nombre J29</v>
      </c>
      <c r="D33" s="279" t="n">
        <f aca="false">IFERROR(HLOOKUP(A33,Rango_Admin_Clas,4,FALSE()),"-")</f>
        <v>0</v>
      </c>
      <c r="E33" s="471" t="n">
        <f aca="false" t="array" ref="E33:E33">IFERROR(INDEX(Rango_Admin_Clas_Total,E$2,MATCH($A33,Rango_Admin_Clas_Primera,0)+1),"-")</f>
        <v>0</v>
      </c>
      <c r="F33" s="471" t="n">
        <f aca="false" t="array" ref="F33:F33">IFERROR(INDEX(Rango_Admin_Clas_Total,F$2,MATCH($A33,Rango_Admin_Clas_Primera,0)+1),"-")</f>
        <v>0</v>
      </c>
      <c r="G33" s="471" t="n">
        <f aca="false" t="array" ref="G33:G33">IFERROR(INDEX(Rango_Admin_Clas_Total,G$2,MATCH($A33,Rango_Admin_Clas_Primera,0)+1),"-")</f>
        <v>0</v>
      </c>
      <c r="H33" s="471" t="n">
        <f aca="false" t="array" ref="H33:H33">IFERROR(INDEX(Rango_Admin_Clas_Total,H$2,MATCH($A33,Rango_Admin_Clas_Primera,0)+1),"-")</f>
        <v>0</v>
      </c>
      <c r="I33" s="471" t="n">
        <f aca="false" t="array" ref="I33:I33">IFERROR(INDEX(Rango_Admin_Clas_Total,I$2,MATCH($A33,Rango_Admin_Clas_Primera,0)+1),"-")</f>
        <v>0</v>
      </c>
      <c r="J33" s="471" t="n">
        <f aca="false" t="array" ref="J33:J33">IFERROR(INDEX(Rango_Admin_Clas_Total,J$2,MATCH($A33,Rango_Admin_Clas_Primera,0)+1),"-")</f>
        <v>0</v>
      </c>
      <c r="K33" s="471" t="n">
        <f aca="false" t="array" ref="K33:K33">IFERROR(INDEX(Rango_Admin_Clas_Total,K$2,MATCH($A33,Rango_Admin_Clas_Primera,0)+1),"-")</f>
        <v>0</v>
      </c>
      <c r="L33" s="471" t="n">
        <f aca="false" t="array" ref="L33:L33">IFERROR(INDEX(Rango_Admin_Clas_Total,L$2,MATCH($A33,Rango_Admin_Clas_Primera,0)+1),"-")</f>
        <v>0</v>
      </c>
      <c r="M33" s="471" t="n">
        <f aca="false" t="array" ref="M33:M33">IFERROR(INDEX(Rango_Admin_Clas_Total,M$2,MATCH($A33,Rango_Admin_Clas_Primera,0)+1),"-")</f>
        <v>0</v>
      </c>
      <c r="N33" s="471" t="n">
        <f aca="false" t="array" ref="N33:N33">IFERROR(INDEX(Rango_Admin_Clas_Total,N$2,MATCH($A33,Rango_Admin_Clas_Primera,0)+1),"-")</f>
        <v>0</v>
      </c>
      <c r="O33" s="471" t="n">
        <f aca="false" t="array" ref="O33:O33">IFERROR(INDEX(Rango_Admin_Clas_Total,O$2,MATCH($A33,Rango_Admin_Clas_Primera,0)+1),"-")</f>
        <v>0</v>
      </c>
      <c r="P33" s="471" t="n">
        <f aca="false" t="array" ref="P33:P33">IFERROR(INDEX(Rango_Admin_Clas_Total,P$2,MATCH($A33,Rango_Admin_Clas_Primera,0)+1),"-")</f>
        <v>0</v>
      </c>
      <c r="Q33" s="471" t="n">
        <f aca="false" t="array" ref="Q33:Q33">IFERROR(INDEX(Rango_Admin_Clas_Total,Q$2,MATCH($A33,Rango_Admin_Clas_Primera,0)+1),"-")</f>
        <v>0</v>
      </c>
      <c r="R33" s="471" t="n">
        <f aca="false" t="array" ref="R33:R33">IFERROR(INDEX(Rango_Admin_Clas_Total,R$2,MATCH($A33,Rango_Admin_Clas_Primera,0)+1),"-")</f>
        <v>0</v>
      </c>
      <c r="S33" s="471" t="n">
        <f aca="false" t="array" ref="S33:S33">IFERROR(INDEX(Rango_Admin_Clas_Total,S$2,MATCH($A33,Rango_Admin_Clas_Primera,0)+1),"-")</f>
        <v>0</v>
      </c>
      <c r="T33" s="244"/>
      <c r="U33" s="244"/>
    </row>
    <row r="34" customFormat="false" ht="15" hidden="true" customHeight="false" outlineLevel="0" collapsed="false">
      <c r="A34" s="85" t="n">
        <f aca="false">ROW()-4</f>
        <v>30</v>
      </c>
      <c r="B34" s="51" t="n">
        <f aca="false">IFERROR(HLOOKUP(A34,Rango_Admin_Clas,3,FALSE()),"-")</f>
        <v>19</v>
      </c>
      <c r="C34" s="50" t="str">
        <f aca="false">IFERROR(HLOOKUP(A34,Rango_Admin_Clas,5,FALSE()),"-")</f>
        <v>Pegar Valores Nombre J30</v>
      </c>
      <c r="D34" s="279" t="n">
        <f aca="false">IFERROR(HLOOKUP(A34,Rango_Admin_Clas,4,FALSE()),"-")</f>
        <v>0</v>
      </c>
      <c r="E34" s="471" t="n">
        <f aca="false" t="array" ref="E34:E34">IFERROR(INDEX(Rango_Admin_Clas_Total,E$2,MATCH($A34,Rango_Admin_Clas_Primera,0)+1),"-")</f>
        <v>0</v>
      </c>
      <c r="F34" s="471" t="n">
        <f aca="false" t="array" ref="F34:F34">IFERROR(INDEX(Rango_Admin_Clas_Total,F$2,MATCH($A34,Rango_Admin_Clas_Primera,0)+1),"-")</f>
        <v>0</v>
      </c>
      <c r="G34" s="471" t="n">
        <f aca="false" t="array" ref="G34:G34">IFERROR(INDEX(Rango_Admin_Clas_Total,G$2,MATCH($A34,Rango_Admin_Clas_Primera,0)+1),"-")</f>
        <v>0</v>
      </c>
      <c r="H34" s="471" t="n">
        <f aca="false" t="array" ref="H34:H34">IFERROR(INDEX(Rango_Admin_Clas_Total,H$2,MATCH($A34,Rango_Admin_Clas_Primera,0)+1),"-")</f>
        <v>0</v>
      </c>
      <c r="I34" s="471" t="n">
        <f aca="false" t="array" ref="I34:I34">IFERROR(INDEX(Rango_Admin_Clas_Total,I$2,MATCH($A34,Rango_Admin_Clas_Primera,0)+1),"-")</f>
        <v>0</v>
      </c>
      <c r="J34" s="471" t="n">
        <f aca="false" t="array" ref="J34:J34">IFERROR(INDEX(Rango_Admin_Clas_Total,J$2,MATCH($A34,Rango_Admin_Clas_Primera,0)+1),"-")</f>
        <v>0</v>
      </c>
      <c r="K34" s="471" t="n">
        <f aca="false" t="array" ref="K34:K34">IFERROR(INDEX(Rango_Admin_Clas_Total,K$2,MATCH($A34,Rango_Admin_Clas_Primera,0)+1),"-")</f>
        <v>0</v>
      </c>
      <c r="L34" s="471" t="n">
        <f aca="false" t="array" ref="L34:L34">IFERROR(INDEX(Rango_Admin_Clas_Total,L$2,MATCH($A34,Rango_Admin_Clas_Primera,0)+1),"-")</f>
        <v>0</v>
      </c>
      <c r="M34" s="471" t="n">
        <f aca="false" t="array" ref="M34:M34">IFERROR(INDEX(Rango_Admin_Clas_Total,M$2,MATCH($A34,Rango_Admin_Clas_Primera,0)+1),"-")</f>
        <v>0</v>
      </c>
      <c r="N34" s="471" t="n">
        <f aca="false" t="array" ref="N34:N34">IFERROR(INDEX(Rango_Admin_Clas_Total,N$2,MATCH($A34,Rango_Admin_Clas_Primera,0)+1),"-")</f>
        <v>0</v>
      </c>
      <c r="O34" s="471" t="n">
        <f aca="false" t="array" ref="O34:O34">IFERROR(INDEX(Rango_Admin_Clas_Total,O$2,MATCH($A34,Rango_Admin_Clas_Primera,0)+1),"-")</f>
        <v>0</v>
      </c>
      <c r="P34" s="471" t="n">
        <f aca="false" t="array" ref="P34:P34">IFERROR(INDEX(Rango_Admin_Clas_Total,P$2,MATCH($A34,Rango_Admin_Clas_Primera,0)+1),"-")</f>
        <v>0</v>
      </c>
      <c r="Q34" s="471" t="n">
        <f aca="false" t="array" ref="Q34:Q34">IFERROR(INDEX(Rango_Admin_Clas_Total,Q$2,MATCH($A34,Rango_Admin_Clas_Primera,0)+1),"-")</f>
        <v>0</v>
      </c>
      <c r="R34" s="471" t="n">
        <f aca="false" t="array" ref="R34:R34">IFERROR(INDEX(Rango_Admin_Clas_Total,R$2,MATCH($A34,Rango_Admin_Clas_Primera,0)+1),"-")</f>
        <v>0</v>
      </c>
      <c r="S34" s="471" t="n">
        <f aca="false" t="array" ref="S34:S34">IFERROR(INDEX(Rango_Admin_Clas_Total,S$2,MATCH($A34,Rango_Admin_Clas_Primera,0)+1),"-")</f>
        <v>0</v>
      </c>
      <c r="T34" s="244"/>
      <c r="U34" s="244"/>
    </row>
    <row r="35" customFormat="false" ht="15" hidden="true" customHeight="false" outlineLevel="0" collapsed="false">
      <c r="A35" s="85" t="n">
        <f aca="false">ROW()-4</f>
        <v>31</v>
      </c>
      <c r="B35" s="51" t="n">
        <f aca="false">IFERROR(HLOOKUP(A35,Rango_Admin_Clas,3,FALSE()),"-")</f>
        <v>19</v>
      </c>
      <c r="C35" s="50" t="str">
        <f aca="false">IFERROR(HLOOKUP(A35,Rango_Admin_Clas,5,FALSE()),"-")</f>
        <v>Pegar Valores Nombre J31</v>
      </c>
      <c r="D35" s="279" t="n">
        <f aca="false">IFERROR(HLOOKUP(A35,Rango_Admin_Clas,4,FALSE()),"-")</f>
        <v>0</v>
      </c>
      <c r="E35" s="471" t="n">
        <f aca="false" t="array" ref="E35:E35">IFERROR(INDEX(Rango_Admin_Clas_Total,E$2,MATCH($A35,Rango_Admin_Clas_Primera,0)+1),"-")</f>
        <v>0</v>
      </c>
      <c r="F35" s="471" t="n">
        <f aca="false" t="array" ref="F35:F35">IFERROR(INDEX(Rango_Admin_Clas_Total,F$2,MATCH($A35,Rango_Admin_Clas_Primera,0)+1),"-")</f>
        <v>0</v>
      </c>
      <c r="G35" s="471" t="n">
        <f aca="false" t="array" ref="G35:G35">IFERROR(INDEX(Rango_Admin_Clas_Total,G$2,MATCH($A35,Rango_Admin_Clas_Primera,0)+1),"-")</f>
        <v>0</v>
      </c>
      <c r="H35" s="471" t="n">
        <f aca="false" t="array" ref="H35:H35">IFERROR(INDEX(Rango_Admin_Clas_Total,H$2,MATCH($A35,Rango_Admin_Clas_Primera,0)+1),"-")</f>
        <v>0</v>
      </c>
      <c r="I35" s="471" t="n">
        <f aca="false" t="array" ref="I35:I35">IFERROR(INDEX(Rango_Admin_Clas_Total,I$2,MATCH($A35,Rango_Admin_Clas_Primera,0)+1),"-")</f>
        <v>0</v>
      </c>
      <c r="J35" s="471" t="n">
        <f aca="false" t="array" ref="J35:J35">IFERROR(INDEX(Rango_Admin_Clas_Total,J$2,MATCH($A35,Rango_Admin_Clas_Primera,0)+1),"-")</f>
        <v>0</v>
      </c>
      <c r="K35" s="471" t="n">
        <f aca="false" t="array" ref="K35:K35">IFERROR(INDEX(Rango_Admin_Clas_Total,K$2,MATCH($A35,Rango_Admin_Clas_Primera,0)+1),"-")</f>
        <v>0</v>
      </c>
      <c r="L35" s="471" t="n">
        <f aca="false" t="array" ref="L35:L35">IFERROR(INDEX(Rango_Admin_Clas_Total,L$2,MATCH($A35,Rango_Admin_Clas_Primera,0)+1),"-")</f>
        <v>0</v>
      </c>
      <c r="M35" s="471" t="n">
        <f aca="false" t="array" ref="M35:M35">IFERROR(INDEX(Rango_Admin_Clas_Total,M$2,MATCH($A35,Rango_Admin_Clas_Primera,0)+1),"-")</f>
        <v>0</v>
      </c>
      <c r="N35" s="471" t="n">
        <f aca="false" t="array" ref="N35:N35">IFERROR(INDEX(Rango_Admin_Clas_Total,N$2,MATCH($A35,Rango_Admin_Clas_Primera,0)+1),"-")</f>
        <v>0</v>
      </c>
      <c r="O35" s="471" t="n">
        <f aca="false" t="array" ref="O35:O35">IFERROR(INDEX(Rango_Admin_Clas_Total,O$2,MATCH($A35,Rango_Admin_Clas_Primera,0)+1),"-")</f>
        <v>0</v>
      </c>
      <c r="P35" s="471" t="n">
        <f aca="false" t="array" ref="P35:P35">IFERROR(INDEX(Rango_Admin_Clas_Total,P$2,MATCH($A35,Rango_Admin_Clas_Primera,0)+1),"-")</f>
        <v>0</v>
      </c>
      <c r="Q35" s="471" t="n">
        <f aca="false" t="array" ref="Q35:Q35">IFERROR(INDEX(Rango_Admin_Clas_Total,Q$2,MATCH($A35,Rango_Admin_Clas_Primera,0)+1),"-")</f>
        <v>0</v>
      </c>
      <c r="R35" s="471" t="n">
        <f aca="false" t="array" ref="R35:R35">IFERROR(INDEX(Rango_Admin_Clas_Total,R$2,MATCH($A35,Rango_Admin_Clas_Primera,0)+1),"-")</f>
        <v>0</v>
      </c>
      <c r="S35" s="471" t="n">
        <f aca="false" t="array" ref="S35:S35">IFERROR(INDEX(Rango_Admin_Clas_Total,S$2,MATCH($A35,Rango_Admin_Clas_Primera,0)+1),"-")</f>
        <v>0</v>
      </c>
      <c r="T35" s="244"/>
      <c r="U35" s="244"/>
    </row>
    <row r="36" customFormat="false" ht="15" hidden="true" customHeight="false" outlineLevel="0" collapsed="false">
      <c r="A36" s="85" t="n">
        <f aca="false">ROW()-4</f>
        <v>32</v>
      </c>
      <c r="B36" s="51" t="n">
        <f aca="false">IFERROR(HLOOKUP(A36,Rango_Admin_Clas,3,FALSE()),"-")</f>
        <v>19</v>
      </c>
      <c r="C36" s="50" t="str">
        <f aca="false">IFERROR(HLOOKUP(A36,Rango_Admin_Clas,5,FALSE()),"-")</f>
        <v>Pegar Valores Nombre J32</v>
      </c>
      <c r="D36" s="279" t="n">
        <f aca="false">IFERROR(HLOOKUP(A36,Rango_Admin_Clas,4,FALSE()),"-")</f>
        <v>0</v>
      </c>
      <c r="E36" s="471" t="n">
        <f aca="false" t="array" ref="E36:E36">IFERROR(INDEX(Rango_Admin_Clas_Total,E$2,MATCH($A36,Rango_Admin_Clas_Primera,0)+1),"-")</f>
        <v>0</v>
      </c>
      <c r="F36" s="471" t="n">
        <f aca="false" t="array" ref="F36:F36">IFERROR(INDEX(Rango_Admin_Clas_Total,F$2,MATCH($A36,Rango_Admin_Clas_Primera,0)+1),"-")</f>
        <v>0</v>
      </c>
      <c r="G36" s="471" t="n">
        <f aca="false" t="array" ref="G36:G36">IFERROR(INDEX(Rango_Admin_Clas_Total,G$2,MATCH($A36,Rango_Admin_Clas_Primera,0)+1),"-")</f>
        <v>0</v>
      </c>
      <c r="H36" s="471" t="n">
        <f aca="false" t="array" ref="H36:H36">IFERROR(INDEX(Rango_Admin_Clas_Total,H$2,MATCH($A36,Rango_Admin_Clas_Primera,0)+1),"-")</f>
        <v>0</v>
      </c>
      <c r="I36" s="471" t="n">
        <f aca="false" t="array" ref="I36:I36">IFERROR(INDEX(Rango_Admin_Clas_Total,I$2,MATCH($A36,Rango_Admin_Clas_Primera,0)+1),"-")</f>
        <v>0</v>
      </c>
      <c r="J36" s="471" t="n">
        <f aca="false" t="array" ref="J36:J36">IFERROR(INDEX(Rango_Admin_Clas_Total,J$2,MATCH($A36,Rango_Admin_Clas_Primera,0)+1),"-")</f>
        <v>0</v>
      </c>
      <c r="K36" s="471" t="n">
        <f aca="false" t="array" ref="K36:K36">IFERROR(INDEX(Rango_Admin_Clas_Total,K$2,MATCH($A36,Rango_Admin_Clas_Primera,0)+1),"-")</f>
        <v>0</v>
      </c>
      <c r="L36" s="471" t="n">
        <f aca="false" t="array" ref="L36:L36">IFERROR(INDEX(Rango_Admin_Clas_Total,L$2,MATCH($A36,Rango_Admin_Clas_Primera,0)+1),"-")</f>
        <v>0</v>
      </c>
      <c r="M36" s="471" t="n">
        <f aca="false" t="array" ref="M36:M36">IFERROR(INDEX(Rango_Admin_Clas_Total,M$2,MATCH($A36,Rango_Admin_Clas_Primera,0)+1),"-")</f>
        <v>0</v>
      </c>
      <c r="N36" s="471" t="n">
        <f aca="false" t="array" ref="N36:N36">IFERROR(INDEX(Rango_Admin_Clas_Total,N$2,MATCH($A36,Rango_Admin_Clas_Primera,0)+1),"-")</f>
        <v>0</v>
      </c>
      <c r="O36" s="471" t="n">
        <f aca="false" t="array" ref="O36:O36">IFERROR(INDEX(Rango_Admin_Clas_Total,O$2,MATCH($A36,Rango_Admin_Clas_Primera,0)+1),"-")</f>
        <v>0</v>
      </c>
      <c r="P36" s="471" t="n">
        <f aca="false" t="array" ref="P36:P36">IFERROR(INDEX(Rango_Admin_Clas_Total,P$2,MATCH($A36,Rango_Admin_Clas_Primera,0)+1),"-")</f>
        <v>0</v>
      </c>
      <c r="Q36" s="471" t="n">
        <f aca="false" t="array" ref="Q36:Q36">IFERROR(INDEX(Rango_Admin_Clas_Total,Q$2,MATCH($A36,Rango_Admin_Clas_Primera,0)+1),"-")</f>
        <v>0</v>
      </c>
      <c r="R36" s="471" t="n">
        <f aca="false" t="array" ref="R36:R36">IFERROR(INDEX(Rango_Admin_Clas_Total,R$2,MATCH($A36,Rango_Admin_Clas_Primera,0)+1),"-")</f>
        <v>0</v>
      </c>
      <c r="S36" s="471" t="n">
        <f aca="false" t="array" ref="S36:S36">IFERROR(INDEX(Rango_Admin_Clas_Total,S$2,MATCH($A36,Rango_Admin_Clas_Primera,0)+1),"-")</f>
        <v>0</v>
      </c>
      <c r="T36" s="244"/>
      <c r="U36" s="244"/>
    </row>
    <row r="37" customFormat="false" ht="15" hidden="true" customHeight="false" outlineLevel="0" collapsed="false">
      <c r="A37" s="85" t="n">
        <f aca="false">ROW()-4</f>
        <v>33</v>
      </c>
      <c r="B37" s="51" t="n">
        <f aca="false">IFERROR(HLOOKUP(A37,Rango_Admin_Clas,3,FALSE()),"-")</f>
        <v>19</v>
      </c>
      <c r="C37" s="50" t="str">
        <f aca="false">IFERROR(HLOOKUP(A37,Rango_Admin_Clas,5,FALSE()),"-")</f>
        <v>Pegar Valores Nombre J33</v>
      </c>
      <c r="D37" s="279" t="n">
        <f aca="false">IFERROR(HLOOKUP(A37,Rango_Admin_Clas,4,FALSE()),"-")</f>
        <v>0</v>
      </c>
      <c r="E37" s="471" t="n">
        <f aca="false" t="array" ref="E37:E37">IFERROR(INDEX(Rango_Admin_Clas_Total,E$2,MATCH($A37,Rango_Admin_Clas_Primera,0)+1),"-")</f>
        <v>0</v>
      </c>
      <c r="F37" s="471" t="n">
        <f aca="false" t="array" ref="F37:F37">IFERROR(INDEX(Rango_Admin_Clas_Total,F$2,MATCH($A37,Rango_Admin_Clas_Primera,0)+1),"-")</f>
        <v>0</v>
      </c>
      <c r="G37" s="471" t="n">
        <f aca="false" t="array" ref="G37:G37">IFERROR(INDEX(Rango_Admin_Clas_Total,G$2,MATCH($A37,Rango_Admin_Clas_Primera,0)+1),"-")</f>
        <v>0</v>
      </c>
      <c r="H37" s="471" t="n">
        <f aca="false" t="array" ref="H37:H37">IFERROR(INDEX(Rango_Admin_Clas_Total,H$2,MATCH($A37,Rango_Admin_Clas_Primera,0)+1),"-")</f>
        <v>0</v>
      </c>
      <c r="I37" s="471" t="n">
        <f aca="false" t="array" ref="I37:I37">IFERROR(INDEX(Rango_Admin_Clas_Total,I$2,MATCH($A37,Rango_Admin_Clas_Primera,0)+1),"-")</f>
        <v>0</v>
      </c>
      <c r="J37" s="471" t="n">
        <f aca="false" t="array" ref="J37:J37">IFERROR(INDEX(Rango_Admin_Clas_Total,J$2,MATCH($A37,Rango_Admin_Clas_Primera,0)+1),"-")</f>
        <v>0</v>
      </c>
      <c r="K37" s="471" t="n">
        <f aca="false" t="array" ref="K37:K37">IFERROR(INDEX(Rango_Admin_Clas_Total,K$2,MATCH($A37,Rango_Admin_Clas_Primera,0)+1),"-")</f>
        <v>0</v>
      </c>
      <c r="L37" s="471" t="n">
        <f aca="false" t="array" ref="L37:L37">IFERROR(INDEX(Rango_Admin_Clas_Total,L$2,MATCH($A37,Rango_Admin_Clas_Primera,0)+1),"-")</f>
        <v>0</v>
      </c>
      <c r="M37" s="471" t="n">
        <f aca="false" t="array" ref="M37:M37">IFERROR(INDEX(Rango_Admin_Clas_Total,M$2,MATCH($A37,Rango_Admin_Clas_Primera,0)+1),"-")</f>
        <v>0</v>
      </c>
      <c r="N37" s="471" t="n">
        <f aca="false" t="array" ref="N37:N37">IFERROR(INDEX(Rango_Admin_Clas_Total,N$2,MATCH($A37,Rango_Admin_Clas_Primera,0)+1),"-")</f>
        <v>0</v>
      </c>
      <c r="O37" s="471" t="n">
        <f aca="false" t="array" ref="O37:O37">IFERROR(INDEX(Rango_Admin_Clas_Total,O$2,MATCH($A37,Rango_Admin_Clas_Primera,0)+1),"-")</f>
        <v>0</v>
      </c>
      <c r="P37" s="471" t="n">
        <f aca="false" t="array" ref="P37:P37">IFERROR(INDEX(Rango_Admin_Clas_Total,P$2,MATCH($A37,Rango_Admin_Clas_Primera,0)+1),"-")</f>
        <v>0</v>
      </c>
      <c r="Q37" s="471" t="n">
        <f aca="false" t="array" ref="Q37:Q37">IFERROR(INDEX(Rango_Admin_Clas_Total,Q$2,MATCH($A37,Rango_Admin_Clas_Primera,0)+1),"-")</f>
        <v>0</v>
      </c>
      <c r="R37" s="471" t="n">
        <f aca="false" t="array" ref="R37:R37">IFERROR(INDEX(Rango_Admin_Clas_Total,R$2,MATCH($A37,Rango_Admin_Clas_Primera,0)+1),"-")</f>
        <v>0</v>
      </c>
      <c r="S37" s="471" t="n">
        <f aca="false" t="array" ref="S37:S37">IFERROR(INDEX(Rango_Admin_Clas_Total,S$2,MATCH($A37,Rango_Admin_Clas_Primera,0)+1),"-")</f>
        <v>0</v>
      </c>
      <c r="T37" s="244"/>
      <c r="U37" s="244"/>
    </row>
    <row r="38" customFormat="false" ht="15" hidden="true" customHeight="false" outlineLevel="0" collapsed="false">
      <c r="A38" s="85" t="n">
        <f aca="false">ROW()-4</f>
        <v>34</v>
      </c>
      <c r="B38" s="51" t="n">
        <f aca="false">IFERROR(HLOOKUP(A38,Rango_Admin_Clas,3,FALSE()),"-")</f>
        <v>19</v>
      </c>
      <c r="C38" s="50" t="str">
        <f aca="false">IFERROR(HLOOKUP(A38,Rango_Admin_Clas,5,FALSE()),"-")</f>
        <v>Pegar Valores Nombre J34</v>
      </c>
      <c r="D38" s="279" t="n">
        <f aca="false">IFERROR(HLOOKUP(A38,Rango_Admin_Clas,4,FALSE()),"-")</f>
        <v>0</v>
      </c>
      <c r="E38" s="471" t="n">
        <f aca="false" t="array" ref="E38:E38">IFERROR(INDEX(Rango_Admin_Clas_Total,E$2,MATCH($A38,Rango_Admin_Clas_Primera,0)+1),"-")</f>
        <v>0</v>
      </c>
      <c r="F38" s="471" t="n">
        <f aca="false" t="array" ref="F38:F38">IFERROR(INDEX(Rango_Admin_Clas_Total,F$2,MATCH($A38,Rango_Admin_Clas_Primera,0)+1),"-")</f>
        <v>0</v>
      </c>
      <c r="G38" s="471" t="n">
        <f aca="false" t="array" ref="G38:G38">IFERROR(INDEX(Rango_Admin_Clas_Total,G$2,MATCH($A38,Rango_Admin_Clas_Primera,0)+1),"-")</f>
        <v>0</v>
      </c>
      <c r="H38" s="471" t="n">
        <f aca="false" t="array" ref="H38:H38">IFERROR(INDEX(Rango_Admin_Clas_Total,H$2,MATCH($A38,Rango_Admin_Clas_Primera,0)+1),"-")</f>
        <v>0</v>
      </c>
      <c r="I38" s="471" t="n">
        <f aca="false" t="array" ref="I38:I38">IFERROR(INDEX(Rango_Admin_Clas_Total,I$2,MATCH($A38,Rango_Admin_Clas_Primera,0)+1),"-")</f>
        <v>0</v>
      </c>
      <c r="J38" s="471" t="n">
        <f aca="false" t="array" ref="J38:J38">IFERROR(INDEX(Rango_Admin_Clas_Total,J$2,MATCH($A38,Rango_Admin_Clas_Primera,0)+1),"-")</f>
        <v>0</v>
      </c>
      <c r="K38" s="471" t="n">
        <f aca="false" t="array" ref="K38:K38">IFERROR(INDEX(Rango_Admin_Clas_Total,K$2,MATCH($A38,Rango_Admin_Clas_Primera,0)+1),"-")</f>
        <v>0</v>
      </c>
      <c r="L38" s="471" t="n">
        <f aca="false" t="array" ref="L38:L38">IFERROR(INDEX(Rango_Admin_Clas_Total,L$2,MATCH($A38,Rango_Admin_Clas_Primera,0)+1),"-")</f>
        <v>0</v>
      </c>
      <c r="M38" s="471" t="n">
        <f aca="false" t="array" ref="M38:M38">IFERROR(INDEX(Rango_Admin_Clas_Total,M$2,MATCH($A38,Rango_Admin_Clas_Primera,0)+1),"-")</f>
        <v>0</v>
      </c>
      <c r="N38" s="471" t="n">
        <f aca="false" t="array" ref="N38:N38">IFERROR(INDEX(Rango_Admin_Clas_Total,N$2,MATCH($A38,Rango_Admin_Clas_Primera,0)+1),"-")</f>
        <v>0</v>
      </c>
      <c r="O38" s="471" t="n">
        <f aca="false" t="array" ref="O38:O38">IFERROR(INDEX(Rango_Admin_Clas_Total,O$2,MATCH($A38,Rango_Admin_Clas_Primera,0)+1),"-")</f>
        <v>0</v>
      </c>
      <c r="P38" s="471" t="n">
        <f aca="false" t="array" ref="P38:P38">IFERROR(INDEX(Rango_Admin_Clas_Total,P$2,MATCH($A38,Rango_Admin_Clas_Primera,0)+1),"-")</f>
        <v>0</v>
      </c>
      <c r="Q38" s="471" t="n">
        <f aca="false" t="array" ref="Q38:Q38">IFERROR(INDEX(Rango_Admin_Clas_Total,Q$2,MATCH($A38,Rango_Admin_Clas_Primera,0)+1),"-")</f>
        <v>0</v>
      </c>
      <c r="R38" s="471" t="n">
        <f aca="false" t="array" ref="R38:R38">IFERROR(INDEX(Rango_Admin_Clas_Total,R$2,MATCH($A38,Rango_Admin_Clas_Primera,0)+1),"-")</f>
        <v>0</v>
      </c>
      <c r="S38" s="471" t="n">
        <f aca="false" t="array" ref="S38:S38">IFERROR(INDEX(Rango_Admin_Clas_Total,S$2,MATCH($A38,Rango_Admin_Clas_Primera,0)+1),"-")</f>
        <v>0</v>
      </c>
      <c r="T38" s="244"/>
      <c r="U38" s="244"/>
    </row>
    <row r="39" customFormat="false" ht="15" hidden="true" customHeight="false" outlineLevel="0" collapsed="false">
      <c r="A39" s="85" t="n">
        <f aca="false">ROW()-4</f>
        <v>35</v>
      </c>
      <c r="B39" s="51" t="n">
        <f aca="false">IFERROR(HLOOKUP(A39,Rango_Admin_Clas,3,FALSE()),"-")</f>
        <v>19</v>
      </c>
      <c r="C39" s="50" t="str">
        <f aca="false">IFERROR(HLOOKUP(A39,Rango_Admin_Clas,5,FALSE()),"-")</f>
        <v>Pegar Valores Nombre J35</v>
      </c>
      <c r="D39" s="279" t="n">
        <f aca="false">IFERROR(HLOOKUP(A39,Rango_Admin_Clas,4,FALSE()),"-")</f>
        <v>0</v>
      </c>
      <c r="E39" s="471" t="n">
        <f aca="false" t="array" ref="E39:E39">IFERROR(INDEX(Rango_Admin_Clas_Total,E$2,MATCH($A39,Rango_Admin_Clas_Primera,0)+1),"-")</f>
        <v>0</v>
      </c>
      <c r="F39" s="471" t="n">
        <f aca="false" t="array" ref="F39:F39">IFERROR(INDEX(Rango_Admin_Clas_Total,F$2,MATCH($A39,Rango_Admin_Clas_Primera,0)+1),"-")</f>
        <v>0</v>
      </c>
      <c r="G39" s="471" t="n">
        <f aca="false" t="array" ref="G39:G39">IFERROR(INDEX(Rango_Admin_Clas_Total,G$2,MATCH($A39,Rango_Admin_Clas_Primera,0)+1),"-")</f>
        <v>0</v>
      </c>
      <c r="H39" s="471" t="n">
        <f aca="false" t="array" ref="H39:H39">IFERROR(INDEX(Rango_Admin_Clas_Total,H$2,MATCH($A39,Rango_Admin_Clas_Primera,0)+1),"-")</f>
        <v>0</v>
      </c>
      <c r="I39" s="471" t="n">
        <f aca="false" t="array" ref="I39:I39">IFERROR(INDEX(Rango_Admin_Clas_Total,I$2,MATCH($A39,Rango_Admin_Clas_Primera,0)+1),"-")</f>
        <v>0</v>
      </c>
      <c r="J39" s="471" t="n">
        <f aca="false" t="array" ref="J39:J39">IFERROR(INDEX(Rango_Admin_Clas_Total,J$2,MATCH($A39,Rango_Admin_Clas_Primera,0)+1),"-")</f>
        <v>0</v>
      </c>
      <c r="K39" s="471" t="n">
        <f aca="false" t="array" ref="K39:K39">IFERROR(INDEX(Rango_Admin_Clas_Total,K$2,MATCH($A39,Rango_Admin_Clas_Primera,0)+1),"-")</f>
        <v>0</v>
      </c>
      <c r="L39" s="471" t="n">
        <f aca="false" t="array" ref="L39:L39">IFERROR(INDEX(Rango_Admin_Clas_Total,L$2,MATCH($A39,Rango_Admin_Clas_Primera,0)+1),"-")</f>
        <v>0</v>
      </c>
      <c r="M39" s="471" t="n">
        <f aca="false" t="array" ref="M39:M39">IFERROR(INDEX(Rango_Admin_Clas_Total,M$2,MATCH($A39,Rango_Admin_Clas_Primera,0)+1),"-")</f>
        <v>0</v>
      </c>
      <c r="N39" s="471" t="n">
        <f aca="false" t="array" ref="N39:N39">IFERROR(INDEX(Rango_Admin_Clas_Total,N$2,MATCH($A39,Rango_Admin_Clas_Primera,0)+1),"-")</f>
        <v>0</v>
      </c>
      <c r="O39" s="471" t="n">
        <f aca="false" t="array" ref="O39:O39">IFERROR(INDEX(Rango_Admin_Clas_Total,O$2,MATCH($A39,Rango_Admin_Clas_Primera,0)+1),"-")</f>
        <v>0</v>
      </c>
      <c r="P39" s="471" t="n">
        <f aca="false" t="array" ref="P39:P39">IFERROR(INDEX(Rango_Admin_Clas_Total,P$2,MATCH($A39,Rango_Admin_Clas_Primera,0)+1),"-")</f>
        <v>0</v>
      </c>
      <c r="Q39" s="471" t="n">
        <f aca="false" t="array" ref="Q39:Q39">IFERROR(INDEX(Rango_Admin_Clas_Total,Q$2,MATCH($A39,Rango_Admin_Clas_Primera,0)+1),"-")</f>
        <v>0</v>
      </c>
      <c r="R39" s="471" t="n">
        <f aca="false" t="array" ref="R39:R39">IFERROR(INDEX(Rango_Admin_Clas_Total,R$2,MATCH($A39,Rango_Admin_Clas_Primera,0)+1),"-")</f>
        <v>0</v>
      </c>
      <c r="S39" s="471" t="n">
        <f aca="false" t="array" ref="S39:S39">IFERROR(INDEX(Rango_Admin_Clas_Total,S$2,MATCH($A39,Rango_Admin_Clas_Primera,0)+1),"-")</f>
        <v>0</v>
      </c>
      <c r="T39" s="244"/>
      <c r="U39" s="244"/>
    </row>
    <row r="40" customFormat="false" ht="15" hidden="true" customHeight="false" outlineLevel="0" collapsed="false">
      <c r="A40" s="85" t="n">
        <f aca="false">ROW()-4</f>
        <v>36</v>
      </c>
      <c r="B40" s="51" t="n">
        <f aca="false">IFERROR(HLOOKUP(A40,Rango_Admin_Clas,3,FALSE()),"-")</f>
        <v>19</v>
      </c>
      <c r="C40" s="50" t="str">
        <f aca="false">IFERROR(HLOOKUP(A40,Rango_Admin_Clas,5,FALSE()),"-")</f>
        <v>Pegar Valores Nombre J36</v>
      </c>
      <c r="D40" s="279" t="n">
        <f aca="false">IFERROR(HLOOKUP(A40,Rango_Admin_Clas,4,FALSE()),"-")</f>
        <v>0</v>
      </c>
      <c r="E40" s="471" t="n">
        <f aca="false" t="array" ref="E40:E40">IFERROR(INDEX(Rango_Admin_Clas_Total,E$2,MATCH($A40,Rango_Admin_Clas_Primera,0)+1),"-")</f>
        <v>0</v>
      </c>
      <c r="F40" s="471" t="n">
        <f aca="false" t="array" ref="F40:F40">IFERROR(INDEX(Rango_Admin_Clas_Total,F$2,MATCH($A40,Rango_Admin_Clas_Primera,0)+1),"-")</f>
        <v>0</v>
      </c>
      <c r="G40" s="471" t="n">
        <f aca="false" t="array" ref="G40:G40">IFERROR(INDEX(Rango_Admin_Clas_Total,G$2,MATCH($A40,Rango_Admin_Clas_Primera,0)+1),"-")</f>
        <v>0</v>
      </c>
      <c r="H40" s="471" t="n">
        <f aca="false" t="array" ref="H40:H40">IFERROR(INDEX(Rango_Admin_Clas_Total,H$2,MATCH($A40,Rango_Admin_Clas_Primera,0)+1),"-")</f>
        <v>0</v>
      </c>
      <c r="I40" s="471" t="n">
        <f aca="false" t="array" ref="I40:I40">IFERROR(INDEX(Rango_Admin_Clas_Total,I$2,MATCH($A40,Rango_Admin_Clas_Primera,0)+1),"-")</f>
        <v>0</v>
      </c>
      <c r="J40" s="471" t="n">
        <f aca="false" t="array" ref="J40:J40">IFERROR(INDEX(Rango_Admin_Clas_Total,J$2,MATCH($A40,Rango_Admin_Clas_Primera,0)+1),"-")</f>
        <v>0</v>
      </c>
      <c r="K40" s="471" t="n">
        <f aca="false" t="array" ref="K40:K40">IFERROR(INDEX(Rango_Admin_Clas_Total,K$2,MATCH($A40,Rango_Admin_Clas_Primera,0)+1),"-")</f>
        <v>0</v>
      </c>
      <c r="L40" s="471" t="n">
        <f aca="false" t="array" ref="L40:L40">IFERROR(INDEX(Rango_Admin_Clas_Total,L$2,MATCH($A40,Rango_Admin_Clas_Primera,0)+1),"-")</f>
        <v>0</v>
      </c>
      <c r="M40" s="471" t="n">
        <f aca="false" t="array" ref="M40:M40">IFERROR(INDEX(Rango_Admin_Clas_Total,M$2,MATCH($A40,Rango_Admin_Clas_Primera,0)+1),"-")</f>
        <v>0</v>
      </c>
      <c r="N40" s="471" t="n">
        <f aca="false" t="array" ref="N40:N40">IFERROR(INDEX(Rango_Admin_Clas_Total,N$2,MATCH($A40,Rango_Admin_Clas_Primera,0)+1),"-")</f>
        <v>0</v>
      </c>
      <c r="O40" s="471" t="n">
        <f aca="false" t="array" ref="O40:O40">IFERROR(INDEX(Rango_Admin_Clas_Total,O$2,MATCH($A40,Rango_Admin_Clas_Primera,0)+1),"-")</f>
        <v>0</v>
      </c>
      <c r="P40" s="471" t="n">
        <f aca="false" t="array" ref="P40:P40">IFERROR(INDEX(Rango_Admin_Clas_Total,P$2,MATCH($A40,Rango_Admin_Clas_Primera,0)+1),"-")</f>
        <v>0</v>
      </c>
      <c r="Q40" s="471" t="n">
        <f aca="false" t="array" ref="Q40:Q40">IFERROR(INDEX(Rango_Admin_Clas_Total,Q$2,MATCH($A40,Rango_Admin_Clas_Primera,0)+1),"-")</f>
        <v>0</v>
      </c>
      <c r="R40" s="471" t="n">
        <f aca="false" t="array" ref="R40:R40">IFERROR(INDEX(Rango_Admin_Clas_Total,R$2,MATCH($A40,Rango_Admin_Clas_Primera,0)+1),"-")</f>
        <v>0</v>
      </c>
      <c r="S40" s="471" t="n">
        <f aca="false" t="array" ref="S40:S40">IFERROR(INDEX(Rango_Admin_Clas_Total,S$2,MATCH($A40,Rango_Admin_Clas_Primera,0)+1),"-")</f>
        <v>0</v>
      </c>
      <c r="T40" s="244"/>
      <c r="U40" s="244"/>
    </row>
    <row r="41" customFormat="false" ht="15" hidden="true" customHeight="false" outlineLevel="0" collapsed="false">
      <c r="A41" s="85" t="n">
        <f aca="false">ROW()-4</f>
        <v>37</v>
      </c>
      <c r="B41" s="51" t="n">
        <f aca="false">IFERROR(HLOOKUP(A41,Rango_Admin_Clas,3,FALSE()),"-")</f>
        <v>19</v>
      </c>
      <c r="C41" s="50" t="str">
        <f aca="false">IFERROR(HLOOKUP(A41,Rango_Admin_Clas,5,FALSE()),"-")</f>
        <v>Pegar Valores Nombre J37</v>
      </c>
      <c r="D41" s="279" t="n">
        <f aca="false">IFERROR(HLOOKUP(A41,Rango_Admin_Clas,4,FALSE()),"-")</f>
        <v>0</v>
      </c>
      <c r="E41" s="471" t="n">
        <f aca="false" t="array" ref="E41:E41">IFERROR(INDEX(Rango_Admin_Clas_Total,E$2,MATCH($A41,Rango_Admin_Clas_Primera,0)+1),"-")</f>
        <v>0</v>
      </c>
      <c r="F41" s="471" t="n">
        <f aca="false" t="array" ref="F41:F41">IFERROR(INDEX(Rango_Admin_Clas_Total,F$2,MATCH($A41,Rango_Admin_Clas_Primera,0)+1),"-")</f>
        <v>0</v>
      </c>
      <c r="G41" s="471" t="n">
        <f aca="false" t="array" ref="G41:G41">IFERROR(INDEX(Rango_Admin_Clas_Total,G$2,MATCH($A41,Rango_Admin_Clas_Primera,0)+1),"-")</f>
        <v>0</v>
      </c>
      <c r="H41" s="471" t="n">
        <f aca="false" t="array" ref="H41:H41">IFERROR(INDEX(Rango_Admin_Clas_Total,H$2,MATCH($A41,Rango_Admin_Clas_Primera,0)+1),"-")</f>
        <v>0</v>
      </c>
      <c r="I41" s="471" t="n">
        <f aca="false" t="array" ref="I41:I41">IFERROR(INDEX(Rango_Admin_Clas_Total,I$2,MATCH($A41,Rango_Admin_Clas_Primera,0)+1),"-")</f>
        <v>0</v>
      </c>
      <c r="J41" s="471" t="n">
        <f aca="false" t="array" ref="J41:J41">IFERROR(INDEX(Rango_Admin_Clas_Total,J$2,MATCH($A41,Rango_Admin_Clas_Primera,0)+1),"-")</f>
        <v>0</v>
      </c>
      <c r="K41" s="471" t="n">
        <f aca="false" t="array" ref="K41:K41">IFERROR(INDEX(Rango_Admin_Clas_Total,K$2,MATCH($A41,Rango_Admin_Clas_Primera,0)+1),"-")</f>
        <v>0</v>
      </c>
      <c r="L41" s="471" t="n">
        <f aca="false" t="array" ref="L41:L41">IFERROR(INDEX(Rango_Admin_Clas_Total,L$2,MATCH($A41,Rango_Admin_Clas_Primera,0)+1),"-")</f>
        <v>0</v>
      </c>
      <c r="M41" s="471" t="n">
        <f aca="false" t="array" ref="M41:M41">IFERROR(INDEX(Rango_Admin_Clas_Total,M$2,MATCH($A41,Rango_Admin_Clas_Primera,0)+1),"-")</f>
        <v>0</v>
      </c>
      <c r="N41" s="471" t="n">
        <f aca="false" t="array" ref="N41:N41">IFERROR(INDEX(Rango_Admin_Clas_Total,N$2,MATCH($A41,Rango_Admin_Clas_Primera,0)+1),"-")</f>
        <v>0</v>
      </c>
      <c r="O41" s="471" t="n">
        <f aca="false" t="array" ref="O41:O41">IFERROR(INDEX(Rango_Admin_Clas_Total,O$2,MATCH($A41,Rango_Admin_Clas_Primera,0)+1),"-")</f>
        <v>0</v>
      </c>
      <c r="P41" s="471" t="n">
        <f aca="false" t="array" ref="P41:P41">IFERROR(INDEX(Rango_Admin_Clas_Total,P$2,MATCH($A41,Rango_Admin_Clas_Primera,0)+1),"-")</f>
        <v>0</v>
      </c>
      <c r="Q41" s="471" t="n">
        <f aca="false" t="array" ref="Q41:Q41">IFERROR(INDEX(Rango_Admin_Clas_Total,Q$2,MATCH($A41,Rango_Admin_Clas_Primera,0)+1),"-")</f>
        <v>0</v>
      </c>
      <c r="R41" s="471" t="n">
        <f aca="false" t="array" ref="R41:R41">IFERROR(INDEX(Rango_Admin_Clas_Total,R$2,MATCH($A41,Rango_Admin_Clas_Primera,0)+1),"-")</f>
        <v>0</v>
      </c>
      <c r="S41" s="471" t="n">
        <f aca="false" t="array" ref="S41:S41">IFERROR(INDEX(Rango_Admin_Clas_Total,S$2,MATCH($A41,Rango_Admin_Clas_Primera,0)+1),"-")</f>
        <v>0</v>
      </c>
      <c r="T41" s="244"/>
      <c r="U41" s="244"/>
    </row>
    <row r="42" customFormat="false" ht="15" hidden="true" customHeight="false" outlineLevel="0" collapsed="false">
      <c r="A42" s="85" t="n">
        <f aca="false">ROW()-4</f>
        <v>38</v>
      </c>
      <c r="B42" s="51" t="n">
        <f aca="false">IFERROR(HLOOKUP(A42,Rango_Admin_Clas,3,FALSE()),"-")</f>
        <v>19</v>
      </c>
      <c r="C42" s="50" t="str">
        <f aca="false">IFERROR(HLOOKUP(A42,Rango_Admin_Clas,5,FALSE()),"-")</f>
        <v>Pegar Valores Nombre J38</v>
      </c>
      <c r="D42" s="279" t="n">
        <f aca="false">IFERROR(HLOOKUP(A42,Rango_Admin_Clas,4,FALSE()),"-")</f>
        <v>0</v>
      </c>
      <c r="E42" s="471" t="n">
        <f aca="false" t="array" ref="E42:E42">IFERROR(INDEX(Rango_Admin_Clas_Total,E$2,MATCH($A42,Rango_Admin_Clas_Primera,0)+1),"-")</f>
        <v>0</v>
      </c>
      <c r="F42" s="471" t="n">
        <f aca="false" t="array" ref="F42:F42">IFERROR(INDEX(Rango_Admin_Clas_Total,F$2,MATCH($A42,Rango_Admin_Clas_Primera,0)+1),"-")</f>
        <v>0</v>
      </c>
      <c r="G42" s="471" t="n">
        <f aca="false" t="array" ref="G42:G42">IFERROR(INDEX(Rango_Admin_Clas_Total,G$2,MATCH($A42,Rango_Admin_Clas_Primera,0)+1),"-")</f>
        <v>0</v>
      </c>
      <c r="H42" s="471" t="n">
        <f aca="false" t="array" ref="H42:H42">IFERROR(INDEX(Rango_Admin_Clas_Total,H$2,MATCH($A42,Rango_Admin_Clas_Primera,0)+1),"-")</f>
        <v>0</v>
      </c>
      <c r="I42" s="471" t="n">
        <f aca="false" t="array" ref="I42:I42">IFERROR(INDEX(Rango_Admin_Clas_Total,I$2,MATCH($A42,Rango_Admin_Clas_Primera,0)+1),"-")</f>
        <v>0</v>
      </c>
      <c r="J42" s="471" t="n">
        <f aca="false" t="array" ref="J42:J42">IFERROR(INDEX(Rango_Admin_Clas_Total,J$2,MATCH($A42,Rango_Admin_Clas_Primera,0)+1),"-")</f>
        <v>0</v>
      </c>
      <c r="K42" s="471" t="n">
        <f aca="false" t="array" ref="K42:K42">IFERROR(INDEX(Rango_Admin_Clas_Total,K$2,MATCH($A42,Rango_Admin_Clas_Primera,0)+1),"-")</f>
        <v>0</v>
      </c>
      <c r="L42" s="471" t="n">
        <f aca="false" t="array" ref="L42:L42">IFERROR(INDEX(Rango_Admin_Clas_Total,L$2,MATCH($A42,Rango_Admin_Clas_Primera,0)+1),"-")</f>
        <v>0</v>
      </c>
      <c r="M42" s="471" t="n">
        <f aca="false" t="array" ref="M42:M42">IFERROR(INDEX(Rango_Admin_Clas_Total,M$2,MATCH($A42,Rango_Admin_Clas_Primera,0)+1),"-")</f>
        <v>0</v>
      </c>
      <c r="N42" s="471" t="n">
        <f aca="false" t="array" ref="N42:N42">IFERROR(INDEX(Rango_Admin_Clas_Total,N$2,MATCH($A42,Rango_Admin_Clas_Primera,0)+1),"-")</f>
        <v>0</v>
      </c>
      <c r="O42" s="471" t="n">
        <f aca="false" t="array" ref="O42:O42">IFERROR(INDEX(Rango_Admin_Clas_Total,O$2,MATCH($A42,Rango_Admin_Clas_Primera,0)+1),"-")</f>
        <v>0</v>
      </c>
      <c r="P42" s="471" t="n">
        <f aca="false" t="array" ref="P42:P42">IFERROR(INDEX(Rango_Admin_Clas_Total,P$2,MATCH($A42,Rango_Admin_Clas_Primera,0)+1),"-")</f>
        <v>0</v>
      </c>
      <c r="Q42" s="471" t="n">
        <f aca="false" t="array" ref="Q42:Q42">IFERROR(INDEX(Rango_Admin_Clas_Total,Q$2,MATCH($A42,Rango_Admin_Clas_Primera,0)+1),"-")</f>
        <v>0</v>
      </c>
      <c r="R42" s="471" t="n">
        <f aca="false" t="array" ref="R42:R42">IFERROR(INDEX(Rango_Admin_Clas_Total,R$2,MATCH($A42,Rango_Admin_Clas_Primera,0)+1),"-")</f>
        <v>0</v>
      </c>
      <c r="S42" s="471" t="n">
        <f aca="false" t="array" ref="S42:S42">IFERROR(INDEX(Rango_Admin_Clas_Total,S$2,MATCH($A42,Rango_Admin_Clas_Primera,0)+1),"-")</f>
        <v>0</v>
      </c>
      <c r="T42" s="244"/>
      <c r="U42" s="244"/>
    </row>
    <row r="43" customFormat="false" ht="15" hidden="true" customHeight="false" outlineLevel="0" collapsed="false">
      <c r="A43" s="85" t="n">
        <f aca="false">ROW()-4</f>
        <v>39</v>
      </c>
      <c r="B43" s="51" t="n">
        <f aca="false">IFERROR(HLOOKUP(A43,Rango_Admin_Clas,3,FALSE()),"-")</f>
        <v>19</v>
      </c>
      <c r="C43" s="50" t="str">
        <f aca="false">IFERROR(HLOOKUP(A43,Rango_Admin_Clas,5,FALSE()),"-")</f>
        <v>Pegar Valores Nombre J39</v>
      </c>
      <c r="D43" s="279" t="n">
        <f aca="false">IFERROR(HLOOKUP(A43,Rango_Admin_Clas,4,FALSE()),"-")</f>
        <v>0</v>
      </c>
      <c r="E43" s="471" t="n">
        <f aca="false" t="array" ref="E43:E43">IFERROR(INDEX(Rango_Admin_Clas_Total,E$2,MATCH($A43,Rango_Admin_Clas_Primera,0)+1),"-")</f>
        <v>0</v>
      </c>
      <c r="F43" s="471" t="n">
        <f aca="false" t="array" ref="F43:F43">IFERROR(INDEX(Rango_Admin_Clas_Total,F$2,MATCH($A43,Rango_Admin_Clas_Primera,0)+1),"-")</f>
        <v>0</v>
      </c>
      <c r="G43" s="471" t="n">
        <f aca="false" t="array" ref="G43:G43">IFERROR(INDEX(Rango_Admin_Clas_Total,G$2,MATCH($A43,Rango_Admin_Clas_Primera,0)+1),"-")</f>
        <v>0</v>
      </c>
      <c r="H43" s="471" t="n">
        <f aca="false" t="array" ref="H43:H43">IFERROR(INDEX(Rango_Admin_Clas_Total,H$2,MATCH($A43,Rango_Admin_Clas_Primera,0)+1),"-")</f>
        <v>0</v>
      </c>
      <c r="I43" s="471" t="n">
        <f aca="false" t="array" ref="I43:I43">IFERROR(INDEX(Rango_Admin_Clas_Total,I$2,MATCH($A43,Rango_Admin_Clas_Primera,0)+1),"-")</f>
        <v>0</v>
      </c>
      <c r="J43" s="471" t="n">
        <f aca="false" t="array" ref="J43:J43">IFERROR(INDEX(Rango_Admin_Clas_Total,J$2,MATCH($A43,Rango_Admin_Clas_Primera,0)+1),"-")</f>
        <v>0</v>
      </c>
      <c r="K43" s="471" t="n">
        <f aca="false" t="array" ref="K43:K43">IFERROR(INDEX(Rango_Admin_Clas_Total,K$2,MATCH($A43,Rango_Admin_Clas_Primera,0)+1),"-")</f>
        <v>0</v>
      </c>
      <c r="L43" s="471" t="n">
        <f aca="false" t="array" ref="L43:L43">IFERROR(INDEX(Rango_Admin_Clas_Total,L$2,MATCH($A43,Rango_Admin_Clas_Primera,0)+1),"-")</f>
        <v>0</v>
      </c>
      <c r="M43" s="471" t="n">
        <f aca="false" t="array" ref="M43:M43">IFERROR(INDEX(Rango_Admin_Clas_Total,M$2,MATCH($A43,Rango_Admin_Clas_Primera,0)+1),"-")</f>
        <v>0</v>
      </c>
      <c r="N43" s="471" t="n">
        <f aca="false" t="array" ref="N43:N43">IFERROR(INDEX(Rango_Admin_Clas_Total,N$2,MATCH($A43,Rango_Admin_Clas_Primera,0)+1),"-")</f>
        <v>0</v>
      </c>
      <c r="O43" s="471" t="n">
        <f aca="false" t="array" ref="O43:O43">IFERROR(INDEX(Rango_Admin_Clas_Total,O$2,MATCH($A43,Rango_Admin_Clas_Primera,0)+1),"-")</f>
        <v>0</v>
      </c>
      <c r="P43" s="471" t="n">
        <f aca="false" t="array" ref="P43:P43">IFERROR(INDEX(Rango_Admin_Clas_Total,P$2,MATCH($A43,Rango_Admin_Clas_Primera,0)+1),"-")</f>
        <v>0</v>
      </c>
      <c r="Q43" s="471" t="n">
        <f aca="false" t="array" ref="Q43:Q43">IFERROR(INDEX(Rango_Admin_Clas_Total,Q$2,MATCH($A43,Rango_Admin_Clas_Primera,0)+1),"-")</f>
        <v>0</v>
      </c>
      <c r="R43" s="471" t="n">
        <f aca="false" t="array" ref="R43:R43">IFERROR(INDEX(Rango_Admin_Clas_Total,R$2,MATCH($A43,Rango_Admin_Clas_Primera,0)+1),"-")</f>
        <v>0</v>
      </c>
      <c r="S43" s="471" t="n">
        <f aca="false" t="array" ref="S43:S43">IFERROR(INDEX(Rango_Admin_Clas_Total,S$2,MATCH($A43,Rango_Admin_Clas_Primera,0)+1),"-")</f>
        <v>0</v>
      </c>
      <c r="T43" s="244"/>
      <c r="U43" s="244"/>
    </row>
    <row r="44" customFormat="false" ht="15" hidden="true" customHeight="false" outlineLevel="0" collapsed="false">
      <c r="A44" s="85" t="n">
        <f aca="false">ROW()-4</f>
        <v>40</v>
      </c>
      <c r="B44" s="51" t="n">
        <f aca="false">IFERROR(HLOOKUP(A44,Rango_Admin_Clas,3,FALSE()),"-")</f>
        <v>19</v>
      </c>
      <c r="C44" s="50" t="str">
        <f aca="false">IFERROR(HLOOKUP(A44,Rango_Admin_Clas,5,FALSE()),"-")</f>
        <v>Pegar Valores Nombre J40</v>
      </c>
      <c r="D44" s="279" t="n">
        <f aca="false">IFERROR(HLOOKUP(A44,Rango_Admin_Clas,4,FALSE()),"-")</f>
        <v>0</v>
      </c>
      <c r="E44" s="471" t="n">
        <f aca="false" t="array" ref="E44:E44">IFERROR(INDEX(Rango_Admin_Clas_Total,E$2,MATCH($A44,Rango_Admin_Clas_Primera,0)+1),"-")</f>
        <v>0</v>
      </c>
      <c r="F44" s="471" t="n">
        <f aca="false" t="array" ref="F44:F44">IFERROR(INDEX(Rango_Admin_Clas_Total,F$2,MATCH($A44,Rango_Admin_Clas_Primera,0)+1),"-")</f>
        <v>0</v>
      </c>
      <c r="G44" s="471" t="n">
        <f aca="false" t="array" ref="G44:G44">IFERROR(INDEX(Rango_Admin_Clas_Total,G$2,MATCH($A44,Rango_Admin_Clas_Primera,0)+1),"-")</f>
        <v>0</v>
      </c>
      <c r="H44" s="471" t="n">
        <f aca="false" t="array" ref="H44:H44">IFERROR(INDEX(Rango_Admin_Clas_Total,H$2,MATCH($A44,Rango_Admin_Clas_Primera,0)+1),"-")</f>
        <v>0</v>
      </c>
      <c r="I44" s="471" t="n">
        <f aca="false" t="array" ref="I44:I44">IFERROR(INDEX(Rango_Admin_Clas_Total,I$2,MATCH($A44,Rango_Admin_Clas_Primera,0)+1),"-")</f>
        <v>0</v>
      </c>
      <c r="J44" s="471" t="n">
        <f aca="false" t="array" ref="J44:J44">IFERROR(INDEX(Rango_Admin_Clas_Total,J$2,MATCH($A44,Rango_Admin_Clas_Primera,0)+1),"-")</f>
        <v>0</v>
      </c>
      <c r="K44" s="471" t="n">
        <f aca="false" t="array" ref="K44:K44">IFERROR(INDEX(Rango_Admin_Clas_Total,K$2,MATCH($A44,Rango_Admin_Clas_Primera,0)+1),"-")</f>
        <v>0</v>
      </c>
      <c r="L44" s="471" t="n">
        <f aca="false" t="array" ref="L44:L44">IFERROR(INDEX(Rango_Admin_Clas_Total,L$2,MATCH($A44,Rango_Admin_Clas_Primera,0)+1),"-")</f>
        <v>0</v>
      </c>
      <c r="M44" s="471" t="n">
        <f aca="false" t="array" ref="M44:M44">IFERROR(INDEX(Rango_Admin_Clas_Total,M$2,MATCH($A44,Rango_Admin_Clas_Primera,0)+1),"-")</f>
        <v>0</v>
      </c>
      <c r="N44" s="471" t="n">
        <f aca="false" t="array" ref="N44:N44">IFERROR(INDEX(Rango_Admin_Clas_Total,N$2,MATCH($A44,Rango_Admin_Clas_Primera,0)+1),"-")</f>
        <v>0</v>
      </c>
      <c r="O44" s="471" t="n">
        <f aca="false" t="array" ref="O44:O44">IFERROR(INDEX(Rango_Admin_Clas_Total,O$2,MATCH($A44,Rango_Admin_Clas_Primera,0)+1),"-")</f>
        <v>0</v>
      </c>
      <c r="P44" s="471" t="n">
        <f aca="false" t="array" ref="P44:P44">IFERROR(INDEX(Rango_Admin_Clas_Total,P$2,MATCH($A44,Rango_Admin_Clas_Primera,0)+1),"-")</f>
        <v>0</v>
      </c>
      <c r="Q44" s="471" t="n">
        <f aca="false" t="array" ref="Q44:Q44">IFERROR(INDEX(Rango_Admin_Clas_Total,Q$2,MATCH($A44,Rango_Admin_Clas_Primera,0)+1),"-")</f>
        <v>0</v>
      </c>
      <c r="R44" s="471" t="n">
        <f aca="false" t="array" ref="R44:R44">IFERROR(INDEX(Rango_Admin_Clas_Total,R$2,MATCH($A44,Rango_Admin_Clas_Primera,0)+1),"-")</f>
        <v>0</v>
      </c>
      <c r="S44" s="471" t="n">
        <f aca="false" t="array" ref="S44:S44">IFERROR(INDEX(Rango_Admin_Clas_Total,S$2,MATCH($A44,Rango_Admin_Clas_Primera,0)+1),"-")</f>
        <v>0</v>
      </c>
      <c r="T44" s="244"/>
      <c r="U44" s="244"/>
    </row>
    <row r="45" customFormat="false" ht="15" hidden="false" customHeight="false" outlineLevel="0" collapsed="false">
      <c r="A45" s="463"/>
      <c r="B45" s="244"/>
      <c r="C45" s="244"/>
      <c r="D45" s="244"/>
      <c r="E45" s="244"/>
      <c r="F45" s="244"/>
      <c r="G45" s="244"/>
      <c r="H45" s="244"/>
      <c r="I45" s="244"/>
      <c r="J45" s="244"/>
      <c r="K45" s="244"/>
      <c r="L45" s="244"/>
      <c r="M45" s="244"/>
      <c r="N45" s="244"/>
      <c r="O45" s="244"/>
      <c r="P45" s="244"/>
      <c r="Q45" s="244"/>
      <c r="R45" s="244"/>
      <c r="S45" s="244"/>
      <c r="T45" s="244"/>
      <c r="U45" s="244"/>
    </row>
    <row r="46" customFormat="false" ht="15" hidden="false" customHeight="false" outlineLevel="0" collapsed="false">
      <c r="A46" s="463"/>
      <c r="B46" s="244"/>
      <c r="C46" s="244"/>
      <c r="D46" s="244"/>
      <c r="E46" s="244"/>
      <c r="F46" s="244"/>
      <c r="G46" s="244"/>
      <c r="H46" s="244"/>
      <c r="I46" s="244"/>
      <c r="J46" s="244"/>
      <c r="K46" s="244"/>
      <c r="L46" s="244"/>
      <c r="M46" s="244"/>
      <c r="N46" s="244"/>
      <c r="O46" s="244"/>
      <c r="P46" s="244"/>
      <c r="Q46" s="244"/>
      <c r="R46" s="244"/>
      <c r="S46" s="244"/>
      <c r="T46" s="244"/>
      <c r="U46" s="244"/>
    </row>
    <row r="47" customFormat="false" ht="15" hidden="false" customHeight="false" outlineLevel="0" collapsed="false">
      <c r="A47" s="463"/>
      <c r="B47" s="244"/>
      <c r="C47" s="244"/>
      <c r="D47" s="244"/>
      <c r="E47" s="244"/>
      <c r="F47" s="244"/>
      <c r="G47" s="244"/>
      <c r="H47" s="244"/>
      <c r="I47" s="244"/>
      <c r="J47" s="244"/>
      <c r="K47" s="244"/>
      <c r="L47" s="244"/>
      <c r="M47" s="244"/>
      <c r="N47" s="244"/>
      <c r="O47" s="244"/>
      <c r="P47" s="244"/>
      <c r="Q47" s="244"/>
      <c r="R47" s="244"/>
      <c r="S47" s="244"/>
      <c r="T47" s="244"/>
      <c r="U47" s="244"/>
    </row>
    <row r="48" customFormat="false" ht="15" hidden="false" customHeight="false" outlineLevel="0" collapsed="false">
      <c r="A48" s="463"/>
      <c r="B48" s="244"/>
      <c r="C48" s="244"/>
      <c r="D48" s="244"/>
      <c r="E48" s="244"/>
      <c r="F48" s="244"/>
      <c r="G48" s="244"/>
      <c r="H48" s="244"/>
      <c r="I48" s="244"/>
      <c r="J48" s="244"/>
      <c r="K48" s="244"/>
      <c r="L48" s="244"/>
      <c r="M48" s="244"/>
      <c r="N48" s="244"/>
      <c r="O48" s="244"/>
      <c r="P48" s="244"/>
      <c r="Q48" s="244"/>
      <c r="R48" s="244"/>
      <c r="S48" s="244"/>
      <c r="T48" s="244"/>
      <c r="U48" s="244"/>
    </row>
    <row r="49" customFormat="false" ht="15" hidden="false" customHeight="false" outlineLevel="0" collapsed="false">
      <c r="A49" s="463"/>
      <c r="B49" s="244"/>
      <c r="C49" s="244"/>
      <c r="D49" s="244"/>
      <c r="E49" s="244"/>
      <c r="F49" s="244"/>
      <c r="G49" s="244"/>
      <c r="H49" s="244"/>
      <c r="I49" s="244"/>
      <c r="J49" s="244"/>
      <c r="K49" s="244"/>
      <c r="L49" s="244"/>
      <c r="M49" s="244"/>
      <c r="N49" s="244"/>
      <c r="O49" s="244"/>
      <c r="P49" s="244"/>
      <c r="Q49" s="244"/>
      <c r="R49" s="244"/>
      <c r="S49" s="244"/>
      <c r="T49" s="244"/>
      <c r="U49" s="244"/>
    </row>
    <row r="50" customFormat="false" ht="15" hidden="false" customHeight="false" outlineLevel="0" collapsed="false">
      <c r="A50" s="463"/>
      <c r="B50" s="244"/>
      <c r="C50" s="244"/>
      <c r="D50" s="244"/>
      <c r="E50" s="244"/>
      <c r="F50" s="244"/>
      <c r="G50" s="244"/>
      <c r="H50" s="244"/>
      <c r="I50" s="244"/>
      <c r="J50" s="244"/>
      <c r="K50" s="244"/>
      <c r="L50" s="244"/>
      <c r="M50" s="244"/>
      <c r="N50" s="244"/>
      <c r="O50" s="244"/>
      <c r="P50" s="244"/>
      <c r="Q50" s="244"/>
      <c r="R50" s="244"/>
      <c r="S50" s="244"/>
      <c r="T50" s="244"/>
      <c r="U50" s="244"/>
    </row>
  </sheetData>
  <mergeCells count="1">
    <mergeCell ref="B1:S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F9187B00-2C89-4534-899A-A93B1CE0F8F4}">
            <xm:f>AND((INDEX(ADMIN!$5:$5,1,ADMIN!$D$5*3+18)&gt;=ROW()-4),MOD(ROW(),2)=1)</xm:f>
            <x14:dxf>
              <font>
                <color rgb="FF1B4066"/>
              </font>
              <fill>
                <patternFill>
                  <bgColor theme="0" tint="-0.15"/>
                </patternFill>
              </fill>
            </x14:dxf>
          </x14:cfRule>
          <x14:cfRule type="expression" priority="3" id="{1F7EC915-A7FF-4D7F-96C4-D91592826C21}">
            <xm:f>AND((INDEX(ADMIN!$5:$5,1,ADMIN!$D$5*3+18)&gt;=ROW()-4),MOD(ROW(),2)=0)</xm:f>
            <x14:dxf>
              <font>
                <color rgb="FF1B4066"/>
              </font>
              <fill>
                <patternFill>
                  <bgColor theme="0"/>
                </patternFill>
              </fill>
            </x14:dxf>
          </x14:cfRule>
          <xm:sqref>B5:S44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47"/>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F22" activeCellId="0" sqref="F22"/>
    </sheetView>
  </sheetViews>
  <sheetFormatPr defaultColWidth="10.84765625" defaultRowHeight="15" customHeight="true" zeroHeight="false" outlineLevelRow="0" outlineLevelCol="0"/>
  <cols>
    <col collapsed="false" customWidth="true" hidden="true" outlineLevel="0" max="1" min="1" style="30" width="27.29"/>
    <col collapsed="false" customWidth="true" hidden="true" outlineLevel="0" max="2" min="2" style="30" width="38"/>
    <col collapsed="false" customWidth="false" hidden="true" outlineLevel="0" max="3" min="3" style="30" width="10.85"/>
    <col collapsed="false" customWidth="true" hidden="true" outlineLevel="0" max="4" min="4" style="30" width="6.57"/>
    <col collapsed="false" customWidth="true" hidden="true" outlineLevel="0" max="5" min="5" style="30" width="4"/>
    <col collapsed="false" customWidth="true" hidden="false" outlineLevel="0" max="6" min="6" style="38" width="25.14"/>
    <col collapsed="false" customWidth="true" hidden="false" outlineLevel="0" max="38" min="7" style="38" width="25.85"/>
    <col collapsed="false" customWidth="false" hidden="false" outlineLevel="0" max="41" min="39" style="38" width="10.85"/>
    <col collapsed="false" customWidth="false" hidden="true" outlineLevel="0" max="16384" min="42" style="38" width="10.85"/>
  </cols>
  <sheetData>
    <row r="1" customFormat="false" ht="39.75" hidden="false" customHeight="true" outlineLevel="0" collapsed="false">
      <c r="E1" s="332"/>
      <c r="F1" s="248"/>
      <c r="G1" s="472" t="str">
        <f aca="false">Idiomas!D474</f>
        <v>Selecciona día:</v>
      </c>
      <c r="H1" s="473" t="n">
        <v>46188</v>
      </c>
      <c r="I1" s="244"/>
      <c r="J1" s="85" t="n">
        <f aca="false">VLOOKUP($H$1,Equipos!$Q$2:$R$37,2,0)</f>
        <v>5</v>
      </c>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c r="AM1" s="244"/>
      <c r="AN1" s="244"/>
      <c r="AO1" s="244"/>
    </row>
    <row r="2" customFormat="false" ht="15" hidden="true" customHeight="false" outlineLevel="0" collapsed="false">
      <c r="B2" s="30" t="str">
        <f aca="false" t="array" ref="B2:B2">IFERROR(IFERROR(INDEX(ADMIN!$K$6:$K$258,SMALL(IF($J$1=ADMIN!$G$6:$G$258,ROW(ADMIN!$K$6:$K$258)-MIN(ROW(ADMIN!$G$6:$G$258))+1,""),ROW()-3)),"")&amp;CHAR(10)&amp;IF(INDEX(ADMIN!$M$6:$M$258,SMALL(IF($J$1=ADMIN!$G$6:$G$258,ROW(ADMIN!$M$6:$M$258)-MIN(ROW(ADMIN!$G$6:$G$258))+1,""),ROW()-3))="0|-",""," ("&amp;INDEX(ADMIN!$M$6:$M$258,SMALL(IF($J$1=ADMIN!$G$6:$G$258,ROW(ADMIN!$M$6:$M$258)-MIN(ROW(ADMIN!$G$6:$G$258))+1,""),ROW()-3))&amp;")"),"")</f>
        <v/>
      </c>
      <c r="E2" s="437"/>
      <c r="F2" s="244"/>
      <c r="G2" s="85" t="str">
        <f aca="false" t="array" ref="G2:AL2">TRANSPOSE($A$4:$A$35)</f>
        <v>Costa de Marfil-Ecuador</v>
      </c>
      <c r="H2" s="85" t="str">
        <v>Países Bajos-Japón</v>
      </c>
      <c r="I2" s="85" t="str">
        <v>Suecia-Túnez</v>
      </c>
      <c r="J2" s="85" t="str">
        <v>Bélgica-Egipto</v>
      </c>
      <c r="K2" s="85" t="str">
        <v>España-Cabo Verde</v>
      </c>
      <c r="L2" s="85" t="str">
        <v/>
      </c>
      <c r="M2" s="85" t="str">
        <v/>
      </c>
      <c r="N2" s="85" t="str">
        <v/>
      </c>
      <c r="O2" s="85" t="str">
        <v/>
      </c>
      <c r="P2" s="85" t="str">
        <v/>
      </c>
      <c r="Q2" s="85" t="str">
        <v/>
      </c>
      <c r="R2" s="85" t="str">
        <v/>
      </c>
      <c r="S2" s="85" t="str">
        <v/>
      </c>
      <c r="T2" s="85" t="str">
        <v/>
      </c>
      <c r="U2" s="85" t="str">
        <v/>
      </c>
      <c r="V2" s="85" t="str">
        <v/>
      </c>
      <c r="W2" s="85" t="str">
        <v/>
      </c>
      <c r="X2" s="85" t="str">
        <v/>
      </c>
      <c r="Y2" s="85" t="str">
        <v/>
      </c>
      <c r="Z2" s="85" t="str">
        <v/>
      </c>
      <c r="AA2" s="85" t="str">
        <v/>
      </c>
      <c r="AB2" s="85" t="str">
        <v/>
      </c>
      <c r="AC2" s="85" t="str">
        <v/>
      </c>
      <c r="AD2" s="85" t="str">
        <v/>
      </c>
      <c r="AE2" s="85" t="str">
        <v/>
      </c>
      <c r="AF2" s="85" t="str">
        <v/>
      </c>
      <c r="AG2" s="85" t="str">
        <v/>
      </c>
      <c r="AH2" s="85" t="str">
        <v/>
      </c>
      <c r="AI2" s="85" t="str">
        <v/>
      </c>
      <c r="AJ2" s="85" t="str">
        <v/>
      </c>
      <c r="AK2" s="85" t="str">
        <v/>
      </c>
      <c r="AL2" s="85" t="str">
        <v/>
      </c>
      <c r="AM2" s="244"/>
      <c r="AN2" s="244"/>
      <c r="AO2" s="244"/>
    </row>
    <row r="3" customFormat="false" ht="49.5" hidden="false" customHeight="true" outlineLevel="0" collapsed="false">
      <c r="E3" s="437"/>
      <c r="F3" s="474" t="str">
        <f aca="false">Idiomas!D475</f>
        <v>Nombre</v>
      </c>
      <c r="G3" s="474" t="str">
        <f aca="false" t="array" ref="G3:AL3">TRANSPOSE($B$4:$B$35)</f>
        <v>Costa de Marfil-Ecuador
 (1|1-0)</v>
      </c>
      <c r="H3" s="474" t="str">
        <v>Países Bajos-Japón
 (X|2-2)</v>
      </c>
      <c r="I3" s="474" t="str">
        <v>Suecia-Túnez
 (1|5-1)</v>
      </c>
      <c r="J3" s="474" t="str">
        <v>Bélgica-Egipto
 (X|1-1)</v>
      </c>
      <c r="K3" s="474" t="str">
        <v>España-Cabo Verde
 (X|0-0)</v>
      </c>
      <c r="L3" s="474" t="str">
        <v>
</v>
      </c>
      <c r="M3" s="474" t="str">
        <v>
</v>
      </c>
      <c r="N3" s="474" t="str">
        <v>
</v>
      </c>
      <c r="O3" s="474" t="str">
        <v>
</v>
      </c>
      <c r="P3" s="474" t="str">
        <v>
</v>
      </c>
      <c r="Q3" s="474" t="str">
        <v>
</v>
      </c>
      <c r="R3" s="474" t="str">
        <v>
</v>
      </c>
      <c r="S3" s="474" t="str">
        <v>
</v>
      </c>
      <c r="T3" s="474" t="str">
        <v>
</v>
      </c>
      <c r="U3" s="474" t="str">
        <v>
</v>
      </c>
      <c r="V3" s="474" t="str">
        <v>
</v>
      </c>
      <c r="W3" s="474" t="str">
        <v>
</v>
      </c>
      <c r="X3" s="474" t="str">
        <v>
</v>
      </c>
      <c r="Y3" s="474" t="str">
        <v>
</v>
      </c>
      <c r="Z3" s="474" t="str">
        <v>
</v>
      </c>
      <c r="AA3" s="474" t="str">
        <v>
</v>
      </c>
      <c r="AB3" s="474" t="str">
        <v>
</v>
      </c>
      <c r="AC3" s="474" t="str">
        <v>
</v>
      </c>
      <c r="AD3" s="474" t="str">
        <v>
</v>
      </c>
      <c r="AE3" s="474" t="str">
        <v>
</v>
      </c>
      <c r="AF3" s="474" t="str">
        <v>
</v>
      </c>
      <c r="AG3" s="474" t="str">
        <v>
</v>
      </c>
      <c r="AH3" s="474" t="str">
        <v>
</v>
      </c>
      <c r="AI3" s="474" t="str">
        <v>
</v>
      </c>
      <c r="AJ3" s="474" t="str">
        <v>
</v>
      </c>
      <c r="AK3" s="474" t="str">
        <v>
</v>
      </c>
      <c r="AL3" s="474" t="str">
        <v>
</v>
      </c>
      <c r="AM3" s="244"/>
      <c r="AN3" s="244"/>
      <c r="AO3" s="244"/>
    </row>
    <row r="4" customFormat="false" ht="23.85" hidden="false" customHeight="false" outlineLevel="0" collapsed="false">
      <c r="A4" s="30" t="str">
        <f aca="false" t="array" ref="A4:A4">IFERROR(INDEX(ADMIN!$K$6:$K$258,SMALL(IF(ADMIN!$G$6:$G$258=$J$1,ROW(ADMIN!$G$6:$G$258)-ROW(ADMIN!$G$6)+1),ROWS($A$1:A1))),"")</f>
        <v>Costa de Marfil-Ecuador</v>
      </c>
      <c r="B4" s="475" t="str">
        <f aca="false">A4&amp;CHAR(10)&amp;C4</f>
        <v>Costa de Marfil-Ecuador
 (1|1-0)</v>
      </c>
      <c r="C4" s="30" t="str">
        <f aca="false" t="array" ref="C4:C4">IFERROR(IF(INDEX(ADMIN!$M$6:$M$258,SMALL(IF(ADMIN!$G$6:$G$258=$J$1,ROW(ADMIN!$G$6:$G$258)-ROW(ADMIN!$G$6)+1),ROWS($A$1:A1)))="-",""," ("&amp;INDEX(ADMIN!$M$6:$M$258,SMALL(IF(ADMIN!$G$6:$G$258=$J$1,ROW(ADMIN!$G$6:$G$258)-ROW(ADMIN!$G$6)+1),ROWS($A$1:A1)))&amp;")"),"")</f>
        <v> (1|1-0)</v>
      </c>
      <c r="D4" s="30" t="str">
        <f aca="false" t="array" ref="D4:D4">IFERROR(IF($J$1&gt;=20,INDEX(ADMIN!$C$6:$C$258,SMALL(IF(ADMIN!$G$6:$G$258=$J$1,ROW(ADMIN!$G$6:$G$258)-ROW(ADMIN!$G$6)+1),ROWS($D$1:D1))),""),"")</f>
        <v/>
      </c>
      <c r="E4" s="437" t="n">
        <v>9</v>
      </c>
      <c r="F4" s="476" t="str">
        <f aca="false" t="array" ref="F4:F4">IFERROR(INDEX(Rango_Admin_DailyPred_Primera,1,E4),"-")</f>
        <v>GORKA</v>
      </c>
      <c r="G4" s="162" t="str">
        <f aca="false">IFERROR(VLOOKUP(G$2,Rango_Admin_DailyPred,MATCH($F4,Rango_Admin_DailyPred_Primera,0),0),"-")</f>
        <v>1|2-0</v>
      </c>
      <c r="H4" s="162" t="str">
        <f aca="false">IFERROR(VLOOKUP(H$2,Rango_Admin_DailyPred,MATCH($F4,Rango_Admin_DailyPred_Primera,0),0),"-")</f>
        <v>1|3-1</v>
      </c>
      <c r="I4" s="162" t="str">
        <f aca="false">IFERROR(VLOOKUP(I$2,Rango_Admin_DailyPred,MATCH($F4,Rango_Admin_DailyPred_Primera,0),0),"-")</f>
        <v>1|2-0</v>
      </c>
      <c r="J4" s="162" t="str">
        <f aca="false">IFERROR(VLOOKUP(J$2,Rango_Admin_DailyPred,MATCH($F4,Rango_Admin_DailyPred_Primera,0),0),"-")</f>
        <v>X|1-1</v>
      </c>
      <c r="K4" s="162" t="str">
        <f aca="false">IFERROR(VLOOKUP(K$2,Rango_Admin_DailyPred,MATCH($F4,Rango_Admin_DailyPred_Primera,0),0),"-")</f>
        <v>1|4-0</v>
      </c>
      <c r="L4" s="162" t="str">
        <f aca="false">IFERROR(VLOOKUP(L$2,Rango_Admin_DailyPred,MATCH($F4,Rango_Admin_DailyPred_Primera,0),0),"-")</f>
        <v>-</v>
      </c>
      <c r="M4" s="162" t="str">
        <f aca="false">IFERROR(VLOOKUP(M$2,Rango_Admin_DailyPred,MATCH($F4,Rango_Admin_DailyPred_Primera,0),0),"-")</f>
        <v>-</v>
      </c>
      <c r="N4" s="162" t="str">
        <f aca="false">IFERROR(VLOOKUP(N$2,Rango_Admin_DailyPred,MATCH($F4,Rango_Admin_DailyPred_Primera,0),0),"-")</f>
        <v>-</v>
      </c>
      <c r="O4" s="162" t="str">
        <f aca="false">IFERROR(VLOOKUP(O$2,Rango_Admin_DailyPred,MATCH($F4,Rango_Admin_DailyPred_Primera,0),0),"-")</f>
        <v>-</v>
      </c>
      <c r="P4" s="162" t="str">
        <f aca="false">IFERROR(VLOOKUP(P$2,Rango_Admin_DailyPred,MATCH($F4,Rango_Admin_DailyPred_Primera,0),0),"-")</f>
        <v>-</v>
      </c>
      <c r="Q4" s="162" t="str">
        <f aca="false">IFERROR(VLOOKUP(Q$2,Rango_Admin_DailyPred,MATCH($F4,Rango_Admin_DailyPred_Primera,0),0),"-")</f>
        <v>-</v>
      </c>
      <c r="R4" s="162" t="str">
        <f aca="false">IFERROR(VLOOKUP(R$2,Rango_Admin_DailyPred,MATCH($F4,Rango_Admin_DailyPred_Primera,0),0),"-")</f>
        <v>-</v>
      </c>
      <c r="S4" s="162" t="str">
        <f aca="false">IFERROR(VLOOKUP(S$2,Rango_Admin_DailyPred,MATCH($F4,Rango_Admin_DailyPred_Primera,0),0),"-")</f>
        <v>-</v>
      </c>
      <c r="T4" s="162" t="str">
        <f aca="false">IFERROR(VLOOKUP(T$2,Rango_Admin_DailyPred,MATCH($F4,Rango_Admin_DailyPred_Primera,0),0),"-")</f>
        <v>-</v>
      </c>
      <c r="U4" s="162" t="str">
        <f aca="false">IFERROR(VLOOKUP(U$2,Rango_Admin_DailyPred,MATCH($F4,Rango_Admin_DailyPred_Primera,0),0),"-")</f>
        <v>-</v>
      </c>
      <c r="V4" s="162" t="str">
        <f aca="false">IFERROR(VLOOKUP(V$2,Rango_Admin_DailyPred,MATCH($F4,Rango_Admin_DailyPred_Primera,0),0),"-")</f>
        <v>-</v>
      </c>
      <c r="W4" s="162" t="str">
        <f aca="false">IFERROR(VLOOKUP(W$2,Rango_Admin_DailyPred,MATCH($F4,Rango_Admin_DailyPred_Primera,0),0),"-")</f>
        <v>-</v>
      </c>
      <c r="X4" s="162" t="str">
        <f aca="false">IFERROR(VLOOKUP(X$2,Rango_Admin_DailyPred,MATCH($F4,Rango_Admin_DailyPred_Primera,0),0),"-")</f>
        <v>-</v>
      </c>
      <c r="Y4" s="162" t="str">
        <f aca="false">IFERROR(VLOOKUP(Y$2,Rango_Admin_DailyPred,MATCH($F4,Rango_Admin_DailyPred_Primera,0),0),"-")</f>
        <v>-</v>
      </c>
      <c r="Z4" s="162" t="str">
        <f aca="false">IFERROR(VLOOKUP(Z$2,Rango_Admin_DailyPred,MATCH($F4,Rango_Admin_DailyPred_Primera,0),0),"-")</f>
        <v>-</v>
      </c>
      <c r="AA4" s="162" t="str">
        <f aca="false">IFERROR(VLOOKUP(AA$2,Rango_Admin_DailyPred,MATCH($F4,Rango_Admin_DailyPred_Primera,0),0),"-")</f>
        <v>-</v>
      </c>
      <c r="AB4" s="162" t="str">
        <f aca="false">IFERROR(VLOOKUP(AB$2,Rango_Admin_DailyPred,MATCH($F4,Rango_Admin_DailyPred_Primera,0),0),"-")</f>
        <v>-</v>
      </c>
      <c r="AC4" s="162" t="str">
        <f aca="false">IFERROR(VLOOKUP(AC$2,Rango_Admin_DailyPred,MATCH($F4,Rango_Admin_DailyPred_Primera,0),0),"-")</f>
        <v>-</v>
      </c>
      <c r="AD4" s="162" t="str">
        <f aca="false">IFERROR(VLOOKUP(AD$2,Rango_Admin_DailyPred,MATCH($F4,Rango_Admin_DailyPred_Primera,0),0),"-")</f>
        <v>-</v>
      </c>
      <c r="AE4" s="162" t="str">
        <f aca="false">IFERROR(VLOOKUP(AE$2,Rango_Admin_DailyPred,MATCH($F4,Rango_Admin_DailyPred_Primera,0),0),"-")</f>
        <v>-</v>
      </c>
      <c r="AF4" s="162" t="str">
        <f aca="false">IFERROR(VLOOKUP(AF$2,Rango_Admin_DailyPred,MATCH($F4,Rango_Admin_DailyPred_Primera,0),0),"-")</f>
        <v>-</v>
      </c>
      <c r="AG4" s="162" t="str">
        <f aca="false">IFERROR(VLOOKUP(AG$2,Rango_Admin_DailyPred,MATCH($F4,Rango_Admin_DailyPred_Primera,0),0),"-")</f>
        <v>-</v>
      </c>
      <c r="AH4" s="162" t="str">
        <f aca="false">IFERROR(VLOOKUP(AH$2,Rango_Admin_DailyPred,MATCH($F4,Rango_Admin_DailyPred_Primera,0),0),"-")</f>
        <v>-</v>
      </c>
      <c r="AI4" s="162" t="str">
        <f aca="false">IFERROR(VLOOKUP(AI$2,Rango_Admin_DailyPred,MATCH($F4,Rango_Admin_DailyPred_Primera,0),0),"-")</f>
        <v>-</v>
      </c>
      <c r="AJ4" s="162" t="str">
        <f aca="false">IFERROR(VLOOKUP(AJ$2,Rango_Admin_DailyPred,MATCH($F4,Rango_Admin_DailyPred_Primera,0),0),"-")</f>
        <v>-</v>
      </c>
      <c r="AK4" s="162" t="str">
        <f aca="false">IFERROR(VLOOKUP(AK$2,Rango_Admin_DailyPred,MATCH($F4,Rango_Admin_DailyPred_Primera,0),0),"-")</f>
        <v>-</v>
      </c>
      <c r="AL4" s="162" t="str">
        <f aca="false">IFERROR(VLOOKUP(AL$2,Rango_Admin_DailyPred,MATCH($F4,Rango_Admin_DailyPred_Primera,0),0),"-")</f>
        <v>-</v>
      </c>
      <c r="AM4" s="244"/>
      <c r="AN4" s="244"/>
      <c r="AO4" s="244"/>
    </row>
    <row r="5" customFormat="false" ht="23.85" hidden="false" customHeight="false" outlineLevel="0" collapsed="false">
      <c r="A5" s="30" t="str">
        <f aca="false" t="array" ref="A5:A5">IFERROR(INDEX(ADMIN!$K$6:$K$258,SMALL(IF(ADMIN!$G$6:$G$258=$J$1,ROW(ADMIN!$G$6:$G$258)-ROW(ADMIN!$G$6)+1),ROWS($A$1:A2))),"")</f>
        <v>Países Bajos-Japón</v>
      </c>
      <c r="B5" s="475" t="str">
        <f aca="false">A5&amp;CHAR(10)&amp;C5</f>
        <v>Países Bajos-Japón
 (X|2-2)</v>
      </c>
      <c r="C5" s="30" t="str">
        <f aca="false" t="array" ref="C5:C5">IFERROR(IF(INDEX(ADMIN!$M$6:$M$258,SMALL(IF(ADMIN!$G$6:$G$258=$J$1,ROW(ADMIN!$G$6:$G$258)-ROW(ADMIN!$G$6)+1),ROWS($A$1:A2)))="-", "", " ("&amp;INDEX(ADMIN!$M$6:$M$258,SMALL(IF(ADMIN!$G$6:$G$258=$J$1,ROW(ADMIN!$G$6:$G$258)-ROW(ADMIN!$G$6)+1),ROWS($A$1:A2)))&amp;")"),"")</f>
        <v> (X|2-2)</v>
      </c>
      <c r="D5" s="30" t="str">
        <f aca="false" t="array" ref="D5:D5">IFERROR(IF($J$1&gt;=20,INDEX(ADMIN!$C$6:$C$258,SMALL(IF(ADMIN!$G$6:$G$258=$J$1,ROW(ADMIN!$G$6:$G$258)-ROW(ADMIN!$G$6)+1),ROWS($D$1:D2))),""),"")</f>
        <v/>
      </c>
      <c r="E5" s="437" t="n">
        <f aca="false">+E4+3</f>
        <v>12</v>
      </c>
      <c r="F5" s="476" t="str">
        <f aca="false" t="array" ref="F5:F5">IFERROR(INDEX(Rango_Admin_DailyPred_Primera,1,E5),"-")</f>
        <v>NOVE</v>
      </c>
      <c r="G5" s="162" t="str">
        <f aca="false">IFERROR(VLOOKUP(G$2,Rango_Admin_DailyPred,MATCH($F5,Rango_Admin_DailyPred_Primera,0),0),"-")</f>
        <v>2|1-2</v>
      </c>
      <c r="H5" s="162" t="str">
        <f aca="false">IFERROR(VLOOKUP(H$2,Rango_Admin_DailyPred,MATCH($F5,Rango_Admin_DailyPred_Primera,0),0),"-")</f>
        <v>X|1-1</v>
      </c>
      <c r="I5" s="162" t="str">
        <f aca="false">IFERROR(VLOOKUP(I$2,Rango_Admin_DailyPred,MATCH($F5,Rango_Admin_DailyPred_Primera,0),0),"-")</f>
        <v>1|2-1</v>
      </c>
      <c r="J5" s="162" t="str">
        <f aca="false">IFERROR(VLOOKUP(J$2,Rango_Admin_DailyPred,MATCH($F5,Rango_Admin_DailyPred_Primera,0),0),"-")</f>
        <v>1|2-1</v>
      </c>
      <c r="K5" s="162" t="str">
        <f aca="false">IFERROR(VLOOKUP(K$2,Rango_Admin_DailyPred,MATCH($F5,Rango_Admin_DailyPred_Primera,0),0),"-")</f>
        <v>1|3-0</v>
      </c>
      <c r="L5" s="162" t="str">
        <f aca="false">IFERROR(VLOOKUP(L$2,Rango_Admin_DailyPred,MATCH($F5,Rango_Admin_DailyPred_Primera,0),0),"-")</f>
        <v>-</v>
      </c>
      <c r="M5" s="162" t="str">
        <f aca="false">IFERROR(VLOOKUP(M$2,Rango_Admin_DailyPred,MATCH($F5,Rango_Admin_DailyPred_Primera,0),0),"-")</f>
        <v>-</v>
      </c>
      <c r="N5" s="162" t="str">
        <f aca="false">IFERROR(VLOOKUP(N$2,Rango_Admin_DailyPred,MATCH($F5,Rango_Admin_DailyPred_Primera,0),0),"-")</f>
        <v>-</v>
      </c>
      <c r="O5" s="162" t="str">
        <f aca="false">IFERROR(VLOOKUP(O$2,Rango_Admin_DailyPred,MATCH($F5,Rango_Admin_DailyPred_Primera,0),0),"-")</f>
        <v>-</v>
      </c>
      <c r="P5" s="162" t="str">
        <f aca="false">IFERROR(VLOOKUP(P$2,Rango_Admin_DailyPred,MATCH($F5,Rango_Admin_DailyPred_Primera,0),0),"-")</f>
        <v>-</v>
      </c>
      <c r="Q5" s="162" t="str">
        <f aca="false">IFERROR(VLOOKUP(Q$2,Rango_Admin_DailyPred,MATCH($F5,Rango_Admin_DailyPred_Primera,0),0),"-")</f>
        <v>-</v>
      </c>
      <c r="R5" s="162" t="str">
        <f aca="false">IFERROR(VLOOKUP(R$2,Rango_Admin_DailyPred,MATCH($F5,Rango_Admin_DailyPred_Primera,0),0),"-")</f>
        <v>-</v>
      </c>
      <c r="S5" s="162" t="str">
        <f aca="false">IFERROR(VLOOKUP(S$2,Rango_Admin_DailyPred,MATCH($F5,Rango_Admin_DailyPred_Primera,0),0),"-")</f>
        <v>-</v>
      </c>
      <c r="T5" s="162" t="str">
        <f aca="false">IFERROR(VLOOKUP(T$2,Rango_Admin_DailyPred,MATCH($F5,Rango_Admin_DailyPred_Primera,0),0),"-")</f>
        <v>-</v>
      </c>
      <c r="U5" s="162" t="str">
        <f aca="false">IFERROR(VLOOKUP(U$2,Rango_Admin_DailyPred,MATCH($F5,Rango_Admin_DailyPred_Primera,0),0),"-")</f>
        <v>-</v>
      </c>
      <c r="V5" s="162" t="str">
        <f aca="false">IFERROR(VLOOKUP(V$2,Rango_Admin_DailyPred,MATCH($F5,Rango_Admin_DailyPred_Primera,0),0),"-")</f>
        <v>-</v>
      </c>
      <c r="W5" s="162" t="str">
        <f aca="false">IFERROR(VLOOKUP(W$2,Rango_Admin_DailyPred,MATCH($F5,Rango_Admin_DailyPred_Primera,0),0),"-")</f>
        <v>-</v>
      </c>
      <c r="X5" s="162" t="str">
        <f aca="false">IFERROR(VLOOKUP(X$2,Rango_Admin_DailyPred,MATCH($F5,Rango_Admin_DailyPred_Primera,0),0),"-")</f>
        <v>-</v>
      </c>
      <c r="Y5" s="162" t="str">
        <f aca="false">IFERROR(VLOOKUP(Y$2,Rango_Admin_DailyPred,MATCH($F5,Rango_Admin_DailyPred_Primera,0),0),"-")</f>
        <v>-</v>
      </c>
      <c r="Z5" s="162" t="str">
        <f aca="false">IFERROR(VLOOKUP(Z$2,Rango_Admin_DailyPred,MATCH($F5,Rango_Admin_DailyPred_Primera,0),0),"-")</f>
        <v>-</v>
      </c>
      <c r="AA5" s="162" t="str">
        <f aca="false">IFERROR(VLOOKUP(AA$2,Rango_Admin_DailyPred,MATCH($F5,Rango_Admin_DailyPred_Primera,0),0),"-")</f>
        <v>-</v>
      </c>
      <c r="AB5" s="162" t="str">
        <f aca="false">IFERROR(VLOOKUP(AB$2,Rango_Admin_DailyPred,MATCH($F5,Rango_Admin_DailyPred_Primera,0),0),"-")</f>
        <v>-</v>
      </c>
      <c r="AC5" s="162" t="str">
        <f aca="false">IFERROR(VLOOKUP(AC$2,Rango_Admin_DailyPred,MATCH($F5,Rango_Admin_DailyPred_Primera,0),0),"-")</f>
        <v>-</v>
      </c>
      <c r="AD5" s="162" t="str">
        <f aca="false">IFERROR(VLOOKUP(AD$2,Rango_Admin_DailyPred,MATCH($F5,Rango_Admin_DailyPred_Primera,0),0),"-")</f>
        <v>-</v>
      </c>
      <c r="AE5" s="162" t="str">
        <f aca="false">IFERROR(VLOOKUP(AE$2,Rango_Admin_DailyPred,MATCH($F5,Rango_Admin_DailyPred_Primera,0),0),"-")</f>
        <v>-</v>
      </c>
      <c r="AF5" s="162" t="str">
        <f aca="false">IFERROR(VLOOKUP(AF$2,Rango_Admin_DailyPred,MATCH($F5,Rango_Admin_DailyPred_Primera,0),0),"-")</f>
        <v>-</v>
      </c>
      <c r="AG5" s="162" t="str">
        <f aca="false">IFERROR(VLOOKUP(AG$2,Rango_Admin_DailyPred,MATCH($F5,Rango_Admin_DailyPred_Primera,0),0),"-")</f>
        <v>-</v>
      </c>
      <c r="AH5" s="162" t="str">
        <f aca="false">IFERROR(VLOOKUP(AH$2,Rango_Admin_DailyPred,MATCH($F5,Rango_Admin_DailyPred_Primera,0),0),"-")</f>
        <v>-</v>
      </c>
      <c r="AI5" s="162" t="str">
        <f aca="false">IFERROR(VLOOKUP(AI$2,Rango_Admin_DailyPred,MATCH($F5,Rango_Admin_DailyPred_Primera,0),0),"-")</f>
        <v>-</v>
      </c>
      <c r="AJ5" s="162" t="str">
        <f aca="false">IFERROR(VLOOKUP(AJ$2,Rango_Admin_DailyPred,MATCH($F5,Rango_Admin_DailyPred_Primera,0),0),"-")</f>
        <v>-</v>
      </c>
      <c r="AK5" s="162" t="str">
        <f aca="false">IFERROR(VLOOKUP(AK$2,Rango_Admin_DailyPred,MATCH($F5,Rango_Admin_DailyPred_Primera,0),0),"-")</f>
        <v>-</v>
      </c>
      <c r="AL5" s="162" t="str">
        <f aca="false">IFERROR(VLOOKUP(AL$2,Rango_Admin_DailyPred,MATCH($F5,Rango_Admin_DailyPred_Primera,0),0),"-")</f>
        <v>-</v>
      </c>
      <c r="AM5" s="244"/>
      <c r="AN5" s="244"/>
      <c r="AO5" s="244"/>
    </row>
    <row r="6" customFormat="false" ht="23.85" hidden="false" customHeight="false" outlineLevel="0" collapsed="false">
      <c r="A6" s="30" t="str">
        <f aca="false" t="array" ref="A6:A6">IFERROR(INDEX(ADMIN!$K$6:$K$258,SMALL(IF(ADMIN!$G$6:$G$258=$J$1,ROW(ADMIN!$G$6:$G$258)-ROW(ADMIN!$G$6)+1),ROWS($A$1:A3))),"")</f>
        <v>Suecia-Túnez</v>
      </c>
      <c r="B6" s="475" t="str">
        <f aca="false">A6&amp;CHAR(10)&amp;C6</f>
        <v>Suecia-Túnez
 (1|5-1)</v>
      </c>
      <c r="C6" s="30" t="str">
        <f aca="false" t="array" ref="C6:C6">IFERROR(IF(INDEX(ADMIN!$M$6:$M$258,SMALL(IF(ADMIN!$G$6:$G$258=$J$1,ROW(ADMIN!$G$6:$G$258)-ROW(ADMIN!$G$6)+1),ROWS($A$1:A3)))="-", "", " ("&amp;INDEX(ADMIN!$M$6:$M$258,SMALL(IF(ADMIN!$G$6:$G$258=$J$1,ROW(ADMIN!$G$6:$G$258)-ROW(ADMIN!$G$6)+1),ROWS($A$1:A3)))&amp;")"),"")</f>
        <v> (1|5-1)</v>
      </c>
      <c r="D6" s="30" t="str">
        <f aca="false" t="array" ref="D6:D6">IFERROR(IF($J$1&gt;=20,INDEX(ADMIN!$C$6:$C$258,SMALL(IF(ADMIN!$G$6:$G$258=$J$1,ROW(ADMIN!$G$6:$G$258)-ROW(ADMIN!$G$6)+1),ROWS($D$1:D3))),""),"")</f>
        <v/>
      </c>
      <c r="E6" s="437" t="n">
        <f aca="false">+E5+3</f>
        <v>15</v>
      </c>
      <c r="F6" s="476" t="str">
        <f aca="false" t="array" ref="F6:F6">IFERROR(INDEX(Rango_Admin_DailyPred_Primera,1,E6),"-")</f>
        <v>SERGIO</v>
      </c>
      <c r="G6" s="162" t="str">
        <f aca="false">IFERROR(VLOOKUP(G$2,Rango_Admin_DailyPred,MATCH($F6,Rango_Admin_DailyPred_Primera,0),0),"-")</f>
        <v>2|1-2</v>
      </c>
      <c r="H6" s="162" t="str">
        <f aca="false">IFERROR(VLOOKUP(H$2,Rango_Admin_DailyPred,MATCH($F6,Rango_Admin_DailyPred_Primera,0),0),"-")</f>
        <v>1|2-1</v>
      </c>
      <c r="I6" s="162" t="str">
        <f aca="false">IFERROR(VLOOKUP(I$2,Rango_Admin_DailyPred,MATCH($F6,Rango_Admin_DailyPred_Primera,0),0),"-")</f>
        <v>1|2-0</v>
      </c>
      <c r="J6" s="162" t="str">
        <f aca="false">IFERROR(VLOOKUP(J$2,Rango_Admin_DailyPred,MATCH($F6,Rango_Admin_DailyPred_Primera,0),0),"-")</f>
        <v>1|2-1</v>
      </c>
      <c r="K6" s="162" t="str">
        <f aca="false">IFERROR(VLOOKUP(K$2,Rango_Admin_DailyPred,MATCH($F6,Rango_Admin_DailyPred_Primera,0),0),"-")</f>
        <v>1|3-0</v>
      </c>
      <c r="L6" s="162" t="str">
        <f aca="false">IFERROR(VLOOKUP(L$2,Rango_Admin_DailyPred,MATCH($F6,Rango_Admin_DailyPred_Primera,0),0),"-")</f>
        <v>-</v>
      </c>
      <c r="M6" s="162" t="str">
        <f aca="false">IFERROR(VLOOKUP(M$2,Rango_Admin_DailyPred,MATCH($F6,Rango_Admin_DailyPred_Primera,0),0),"-")</f>
        <v>-</v>
      </c>
      <c r="N6" s="162" t="str">
        <f aca="false">IFERROR(VLOOKUP(N$2,Rango_Admin_DailyPred,MATCH($F6,Rango_Admin_DailyPred_Primera,0),0),"-")</f>
        <v>-</v>
      </c>
      <c r="O6" s="162" t="str">
        <f aca="false">IFERROR(VLOOKUP(O$2,Rango_Admin_DailyPred,MATCH($F6,Rango_Admin_DailyPred_Primera,0),0),"-")</f>
        <v>-</v>
      </c>
      <c r="P6" s="162" t="str">
        <f aca="false">IFERROR(VLOOKUP(P$2,Rango_Admin_DailyPred,MATCH($F6,Rango_Admin_DailyPred_Primera,0),0),"-")</f>
        <v>-</v>
      </c>
      <c r="Q6" s="162" t="str">
        <f aca="false">IFERROR(VLOOKUP(Q$2,Rango_Admin_DailyPred,MATCH($F6,Rango_Admin_DailyPred_Primera,0),0),"-")</f>
        <v>-</v>
      </c>
      <c r="R6" s="162" t="str">
        <f aca="false">IFERROR(VLOOKUP(R$2,Rango_Admin_DailyPred,MATCH($F6,Rango_Admin_DailyPred_Primera,0),0),"-")</f>
        <v>-</v>
      </c>
      <c r="S6" s="162" t="str">
        <f aca="false">IFERROR(VLOOKUP(S$2,Rango_Admin_DailyPred,MATCH($F6,Rango_Admin_DailyPred_Primera,0),0),"-")</f>
        <v>-</v>
      </c>
      <c r="T6" s="162" t="str">
        <f aca="false">IFERROR(VLOOKUP(T$2,Rango_Admin_DailyPred,MATCH($F6,Rango_Admin_DailyPred_Primera,0),0),"-")</f>
        <v>-</v>
      </c>
      <c r="U6" s="162" t="str">
        <f aca="false">IFERROR(VLOOKUP(U$2,Rango_Admin_DailyPred,MATCH($F6,Rango_Admin_DailyPred_Primera,0),0),"-")</f>
        <v>-</v>
      </c>
      <c r="V6" s="162" t="str">
        <f aca="false">IFERROR(VLOOKUP(V$2,Rango_Admin_DailyPred,MATCH($F6,Rango_Admin_DailyPred_Primera,0),0),"-")</f>
        <v>-</v>
      </c>
      <c r="W6" s="162" t="str">
        <f aca="false">IFERROR(VLOOKUP(W$2,Rango_Admin_DailyPred,MATCH($F6,Rango_Admin_DailyPred_Primera,0),0),"-")</f>
        <v>-</v>
      </c>
      <c r="X6" s="162" t="str">
        <f aca="false">IFERROR(VLOOKUP(X$2,Rango_Admin_DailyPred,MATCH($F6,Rango_Admin_DailyPred_Primera,0),0),"-")</f>
        <v>-</v>
      </c>
      <c r="Y6" s="162" t="str">
        <f aca="false">IFERROR(VLOOKUP(Y$2,Rango_Admin_DailyPred,MATCH($F6,Rango_Admin_DailyPred_Primera,0),0),"-")</f>
        <v>-</v>
      </c>
      <c r="Z6" s="162" t="str">
        <f aca="false">IFERROR(VLOOKUP(Z$2,Rango_Admin_DailyPred,MATCH($F6,Rango_Admin_DailyPred_Primera,0),0),"-")</f>
        <v>-</v>
      </c>
      <c r="AA6" s="162" t="str">
        <f aca="false">IFERROR(VLOOKUP(AA$2,Rango_Admin_DailyPred,MATCH($F6,Rango_Admin_DailyPred_Primera,0),0),"-")</f>
        <v>-</v>
      </c>
      <c r="AB6" s="162" t="str">
        <f aca="false">IFERROR(VLOOKUP(AB$2,Rango_Admin_DailyPred,MATCH($F6,Rango_Admin_DailyPred_Primera,0),0),"-")</f>
        <v>-</v>
      </c>
      <c r="AC6" s="162" t="str">
        <f aca="false">IFERROR(VLOOKUP(AC$2,Rango_Admin_DailyPred,MATCH($F6,Rango_Admin_DailyPred_Primera,0),0),"-")</f>
        <v>-</v>
      </c>
      <c r="AD6" s="162" t="str">
        <f aca="false">IFERROR(VLOOKUP(AD$2,Rango_Admin_DailyPred,MATCH($F6,Rango_Admin_DailyPred_Primera,0),0),"-")</f>
        <v>-</v>
      </c>
      <c r="AE6" s="162" t="str">
        <f aca="false">IFERROR(VLOOKUP(AE$2,Rango_Admin_DailyPred,MATCH($F6,Rango_Admin_DailyPred_Primera,0),0),"-")</f>
        <v>-</v>
      </c>
      <c r="AF6" s="162" t="str">
        <f aca="false">IFERROR(VLOOKUP(AF$2,Rango_Admin_DailyPred,MATCH($F6,Rango_Admin_DailyPred_Primera,0),0),"-")</f>
        <v>-</v>
      </c>
      <c r="AG6" s="162" t="str">
        <f aca="false">IFERROR(VLOOKUP(AG$2,Rango_Admin_DailyPred,MATCH($F6,Rango_Admin_DailyPred_Primera,0),0),"-")</f>
        <v>-</v>
      </c>
      <c r="AH6" s="162" t="str">
        <f aca="false">IFERROR(VLOOKUP(AH$2,Rango_Admin_DailyPred,MATCH($F6,Rango_Admin_DailyPred_Primera,0),0),"-")</f>
        <v>-</v>
      </c>
      <c r="AI6" s="162" t="str">
        <f aca="false">IFERROR(VLOOKUP(AI$2,Rango_Admin_DailyPred,MATCH($F6,Rango_Admin_DailyPred_Primera,0),0),"-")</f>
        <v>-</v>
      </c>
      <c r="AJ6" s="162" t="str">
        <f aca="false">IFERROR(VLOOKUP(AJ$2,Rango_Admin_DailyPred,MATCH($F6,Rango_Admin_DailyPred_Primera,0),0),"-")</f>
        <v>-</v>
      </c>
      <c r="AK6" s="162" t="str">
        <f aca="false">IFERROR(VLOOKUP(AK$2,Rango_Admin_DailyPred,MATCH($F6,Rango_Admin_DailyPred_Primera,0),0),"-")</f>
        <v>-</v>
      </c>
      <c r="AL6" s="162" t="str">
        <f aca="false">IFERROR(VLOOKUP(AL$2,Rango_Admin_DailyPred,MATCH($F6,Rango_Admin_DailyPred_Primera,0),0),"-")</f>
        <v>-</v>
      </c>
      <c r="AM6" s="244"/>
      <c r="AN6" s="244"/>
      <c r="AO6" s="244"/>
    </row>
    <row r="7" customFormat="false" ht="23.85" hidden="false" customHeight="false" outlineLevel="0" collapsed="false">
      <c r="A7" s="30" t="str">
        <f aca="false" t="array" ref="A7:A7">IFERROR(INDEX(ADMIN!$K$6:$K$258,SMALL(IF(ADMIN!$G$6:$G$258=$J$1,ROW(ADMIN!$G$6:$G$258)-ROW(ADMIN!$G$6)+1),ROWS($A$1:A4))),"")</f>
        <v>Bélgica-Egipto</v>
      </c>
      <c r="B7" s="475" t="str">
        <f aca="false">A7&amp;CHAR(10)&amp;C7</f>
        <v>Bélgica-Egipto
 (X|1-1)</v>
      </c>
      <c r="C7" s="30" t="str">
        <f aca="false" t="array" ref="C7:C7">IFERROR(IF(INDEX(ADMIN!$M$6:$M$258,SMALL(IF(ADMIN!$G$6:$G$258=$J$1,ROW(ADMIN!$G$6:$G$258)-ROW(ADMIN!$G$6)+1),ROWS($A$1:A4)))="-", "", " ("&amp;INDEX(ADMIN!$M$6:$M$258,SMALL(IF(ADMIN!$G$6:$G$258=$J$1,ROW(ADMIN!$G$6:$G$258)-ROW(ADMIN!$G$6)+1),ROWS($A$1:A4)))&amp;")"),"")</f>
        <v> (X|1-1)</v>
      </c>
      <c r="D7" s="30" t="str">
        <f aca="false" t="array" ref="D7:D7">IFERROR(IF($J$1&gt;=20,INDEX(ADMIN!$C$6:$C$258,SMALL(IF(ADMIN!$G$6:$G$258=$J$1,ROW(ADMIN!$G$6:$G$258)-ROW(ADMIN!$G$6)+1),ROWS($D$1:D4))),""),"")</f>
        <v/>
      </c>
      <c r="E7" s="437" t="n">
        <f aca="false">+E6+3</f>
        <v>18</v>
      </c>
      <c r="F7" s="476" t="str">
        <f aca="false" t="array" ref="F7:F7">IFERROR(INDEX(Rango_Admin_DailyPred_Primera,1,E7),"-")</f>
        <v>JUANJO</v>
      </c>
      <c r="G7" s="162" t="str">
        <f aca="false">IFERROR(VLOOKUP(G$2,Rango_Admin_DailyPred,MATCH($F7,Rango_Admin_DailyPred_Primera,0),0),"-")</f>
        <v>2|1-2</v>
      </c>
      <c r="H7" s="162" t="str">
        <f aca="false">IFERROR(VLOOKUP(H$2,Rango_Admin_DailyPred,MATCH($F7,Rango_Admin_DailyPred_Primera,0),0),"-")</f>
        <v>1|3-1</v>
      </c>
      <c r="I7" s="162" t="str">
        <f aca="false">IFERROR(VLOOKUP(I$2,Rango_Admin_DailyPred,MATCH($F7,Rango_Admin_DailyPred_Primera,0),0),"-")</f>
        <v>1|1-0</v>
      </c>
      <c r="J7" s="162" t="str">
        <f aca="false">IFERROR(VLOOKUP(J$2,Rango_Admin_DailyPred,MATCH($F7,Rango_Admin_DailyPred_Primera,0),0),"-")</f>
        <v>1|2-0</v>
      </c>
      <c r="K7" s="162" t="str">
        <f aca="false">IFERROR(VLOOKUP(K$2,Rango_Admin_DailyPred,MATCH($F7,Rango_Admin_DailyPred_Primera,0),0),"-")</f>
        <v>1|2-0</v>
      </c>
      <c r="L7" s="162" t="str">
        <f aca="false">IFERROR(VLOOKUP(L$2,Rango_Admin_DailyPred,MATCH($F7,Rango_Admin_DailyPred_Primera,0),0),"-")</f>
        <v>-</v>
      </c>
      <c r="M7" s="162" t="str">
        <f aca="false">IFERROR(VLOOKUP(M$2,Rango_Admin_DailyPred,MATCH($F7,Rango_Admin_DailyPred_Primera,0),0),"-")</f>
        <v>-</v>
      </c>
      <c r="N7" s="162" t="str">
        <f aca="false">IFERROR(VLOOKUP(N$2,Rango_Admin_DailyPred,MATCH($F7,Rango_Admin_DailyPred_Primera,0),0),"-")</f>
        <v>-</v>
      </c>
      <c r="O7" s="162" t="str">
        <f aca="false">IFERROR(VLOOKUP(O$2,Rango_Admin_DailyPred,MATCH($F7,Rango_Admin_DailyPred_Primera,0),0),"-")</f>
        <v>-</v>
      </c>
      <c r="P7" s="162" t="str">
        <f aca="false">IFERROR(VLOOKUP(P$2,Rango_Admin_DailyPred,MATCH($F7,Rango_Admin_DailyPred_Primera,0),0),"-")</f>
        <v>-</v>
      </c>
      <c r="Q7" s="162" t="str">
        <f aca="false">IFERROR(VLOOKUP(Q$2,Rango_Admin_DailyPred,MATCH($F7,Rango_Admin_DailyPred_Primera,0),0),"-")</f>
        <v>-</v>
      </c>
      <c r="R7" s="162" t="str">
        <f aca="false">IFERROR(VLOOKUP(R$2,Rango_Admin_DailyPred,MATCH($F7,Rango_Admin_DailyPred_Primera,0),0),"-")</f>
        <v>-</v>
      </c>
      <c r="S7" s="162" t="str">
        <f aca="false">IFERROR(VLOOKUP(S$2,Rango_Admin_DailyPred,MATCH($F7,Rango_Admin_DailyPred_Primera,0),0),"-")</f>
        <v>-</v>
      </c>
      <c r="T7" s="162" t="str">
        <f aca="false">IFERROR(VLOOKUP(T$2,Rango_Admin_DailyPred,MATCH($F7,Rango_Admin_DailyPred_Primera,0),0),"-")</f>
        <v>-</v>
      </c>
      <c r="U7" s="162" t="str">
        <f aca="false">IFERROR(VLOOKUP(U$2,Rango_Admin_DailyPred,MATCH($F7,Rango_Admin_DailyPred_Primera,0),0),"-")</f>
        <v>-</v>
      </c>
      <c r="V7" s="162" t="str">
        <f aca="false">IFERROR(VLOOKUP(V$2,Rango_Admin_DailyPred,MATCH($F7,Rango_Admin_DailyPred_Primera,0),0),"-")</f>
        <v>-</v>
      </c>
      <c r="W7" s="162" t="str">
        <f aca="false">IFERROR(VLOOKUP(W$2,Rango_Admin_DailyPred,MATCH($F7,Rango_Admin_DailyPred_Primera,0),0),"-")</f>
        <v>-</v>
      </c>
      <c r="X7" s="162" t="str">
        <f aca="false">IFERROR(VLOOKUP(X$2,Rango_Admin_DailyPred,MATCH($F7,Rango_Admin_DailyPred_Primera,0),0),"-")</f>
        <v>-</v>
      </c>
      <c r="Y7" s="162" t="str">
        <f aca="false">IFERROR(VLOOKUP(Y$2,Rango_Admin_DailyPred,MATCH($F7,Rango_Admin_DailyPred_Primera,0),0),"-")</f>
        <v>-</v>
      </c>
      <c r="Z7" s="162" t="str">
        <f aca="false">IFERROR(VLOOKUP(Z$2,Rango_Admin_DailyPred,MATCH($F7,Rango_Admin_DailyPred_Primera,0),0),"-")</f>
        <v>-</v>
      </c>
      <c r="AA7" s="162" t="str">
        <f aca="false">IFERROR(VLOOKUP(AA$2,Rango_Admin_DailyPred,MATCH($F7,Rango_Admin_DailyPred_Primera,0),0),"-")</f>
        <v>-</v>
      </c>
      <c r="AB7" s="162" t="str">
        <f aca="false">IFERROR(VLOOKUP(AB$2,Rango_Admin_DailyPred,MATCH($F7,Rango_Admin_DailyPred_Primera,0),0),"-")</f>
        <v>-</v>
      </c>
      <c r="AC7" s="162" t="str">
        <f aca="false">IFERROR(VLOOKUP(AC$2,Rango_Admin_DailyPred,MATCH($F7,Rango_Admin_DailyPred_Primera,0),0),"-")</f>
        <v>-</v>
      </c>
      <c r="AD7" s="162" t="str">
        <f aca="false">IFERROR(VLOOKUP(AD$2,Rango_Admin_DailyPred,MATCH($F7,Rango_Admin_DailyPred_Primera,0),0),"-")</f>
        <v>-</v>
      </c>
      <c r="AE7" s="162" t="str">
        <f aca="false">IFERROR(VLOOKUP(AE$2,Rango_Admin_DailyPred,MATCH($F7,Rango_Admin_DailyPred_Primera,0),0),"-")</f>
        <v>-</v>
      </c>
      <c r="AF7" s="162" t="str">
        <f aca="false">IFERROR(VLOOKUP(AF$2,Rango_Admin_DailyPred,MATCH($F7,Rango_Admin_DailyPred_Primera,0),0),"-")</f>
        <v>-</v>
      </c>
      <c r="AG7" s="162" t="str">
        <f aca="false">IFERROR(VLOOKUP(AG$2,Rango_Admin_DailyPred,MATCH($F7,Rango_Admin_DailyPred_Primera,0),0),"-")</f>
        <v>-</v>
      </c>
      <c r="AH7" s="162" t="str">
        <f aca="false">IFERROR(VLOOKUP(AH$2,Rango_Admin_DailyPred,MATCH($F7,Rango_Admin_DailyPred_Primera,0),0),"-")</f>
        <v>-</v>
      </c>
      <c r="AI7" s="162" t="str">
        <f aca="false">IFERROR(VLOOKUP(AI$2,Rango_Admin_DailyPred,MATCH($F7,Rango_Admin_DailyPred_Primera,0),0),"-")</f>
        <v>-</v>
      </c>
      <c r="AJ7" s="162" t="str">
        <f aca="false">IFERROR(VLOOKUP(AJ$2,Rango_Admin_DailyPred,MATCH($F7,Rango_Admin_DailyPred_Primera,0),0),"-")</f>
        <v>-</v>
      </c>
      <c r="AK7" s="162" t="str">
        <f aca="false">IFERROR(VLOOKUP(AK$2,Rango_Admin_DailyPred,MATCH($F7,Rango_Admin_DailyPred_Primera,0),0),"-")</f>
        <v>-</v>
      </c>
      <c r="AL7" s="162" t="str">
        <f aca="false">IFERROR(VLOOKUP(AL$2,Rango_Admin_DailyPred,MATCH($F7,Rango_Admin_DailyPred_Primera,0),0),"-")</f>
        <v>-</v>
      </c>
      <c r="AM7" s="244"/>
      <c r="AN7" s="244"/>
      <c r="AO7" s="244"/>
    </row>
    <row r="8" customFormat="false" ht="23.85" hidden="false" customHeight="false" outlineLevel="0" collapsed="false">
      <c r="A8" s="30" t="str">
        <f aca="false" t="array" ref="A8:A8">IFERROR(INDEX(ADMIN!$K$6:$K$258,SMALL(IF(ADMIN!$G$6:$G$258=$J$1,ROW(ADMIN!$G$6:$G$258)-ROW(ADMIN!$G$6)+1),ROWS($A$1:A5))),"")</f>
        <v>España-Cabo Verde</v>
      </c>
      <c r="B8" s="475" t="str">
        <f aca="false">A8&amp;CHAR(10)&amp;C8</f>
        <v>España-Cabo Verde
 (X|0-0)</v>
      </c>
      <c r="C8" s="30" t="str">
        <f aca="false" t="array" ref="C8:C8">IFERROR(IF(INDEX(ADMIN!$M$6:$M$258,SMALL(IF(ADMIN!$G$6:$G$258=$J$1,ROW(ADMIN!$G$6:$G$258)-ROW(ADMIN!$G$6)+1),ROWS($A$1:A5)))="-", "", " ("&amp;INDEX(ADMIN!$M$6:$M$258,SMALL(IF(ADMIN!$G$6:$G$258=$J$1,ROW(ADMIN!$G$6:$G$258)-ROW(ADMIN!$G$6)+1),ROWS($A$1:A5)))&amp;")"),"")</f>
        <v> (X|0-0)</v>
      </c>
      <c r="D8" s="30" t="str">
        <f aca="false" t="array" ref="D8:D8">IFERROR(IF($J$1&gt;=20,INDEX(ADMIN!$C$6:$C$258,SMALL(IF(ADMIN!$G$6:$G$258=$J$1,ROW(ADMIN!$G$6:$G$258)-ROW(ADMIN!$G$6)+1),ROWS($D$1:D5))),""),"")</f>
        <v/>
      </c>
      <c r="E8" s="437" t="n">
        <f aca="false">+E7+3</f>
        <v>21</v>
      </c>
      <c r="F8" s="476" t="str">
        <f aca="false" t="array" ref="F8:F8">IFERROR(INDEX(Rango_Admin_DailyPred_Primera,1,E8),"-")</f>
        <v>GARBAN</v>
      </c>
      <c r="G8" s="162" t="str">
        <f aca="false">IFERROR(VLOOKUP(G$2,Rango_Admin_DailyPred,MATCH($F8,Rango_Admin_DailyPred_Primera,0),0),"-")</f>
        <v>X|1-1</v>
      </c>
      <c r="H8" s="162" t="str">
        <f aca="false">IFERROR(VLOOKUP(H$2,Rango_Admin_DailyPred,MATCH($F8,Rango_Admin_DailyPred_Primera,0),0),"-")</f>
        <v>1|2-1</v>
      </c>
      <c r="I8" s="162" t="str">
        <f aca="false">IFERROR(VLOOKUP(I$2,Rango_Admin_DailyPred,MATCH($F8,Rango_Admin_DailyPred_Primera,0),0),"-")</f>
        <v>1|1-0</v>
      </c>
      <c r="J8" s="162" t="str">
        <f aca="false">IFERROR(VLOOKUP(J$2,Rango_Admin_DailyPred,MATCH($F8,Rango_Admin_DailyPred_Primera,0),0),"-")</f>
        <v>1|2-0</v>
      </c>
      <c r="K8" s="162" t="str">
        <f aca="false">IFERROR(VLOOKUP(K$2,Rango_Admin_DailyPred,MATCH($F8,Rango_Admin_DailyPred_Primera,0),0),"-")</f>
        <v>1|6-0</v>
      </c>
      <c r="L8" s="162" t="str">
        <f aca="false">IFERROR(VLOOKUP(L$2,Rango_Admin_DailyPred,MATCH($F8,Rango_Admin_DailyPred_Primera,0),0),"-")</f>
        <v>-</v>
      </c>
      <c r="M8" s="162" t="str">
        <f aca="false">IFERROR(VLOOKUP(M$2,Rango_Admin_DailyPred,MATCH($F8,Rango_Admin_DailyPred_Primera,0),0),"-")</f>
        <v>-</v>
      </c>
      <c r="N8" s="162" t="str">
        <f aca="false">IFERROR(VLOOKUP(N$2,Rango_Admin_DailyPred,MATCH($F8,Rango_Admin_DailyPred_Primera,0),0),"-")</f>
        <v>-</v>
      </c>
      <c r="O8" s="162" t="str">
        <f aca="false">IFERROR(VLOOKUP(O$2,Rango_Admin_DailyPred,MATCH($F8,Rango_Admin_DailyPred_Primera,0),0),"-")</f>
        <v>-</v>
      </c>
      <c r="P8" s="162" t="str">
        <f aca="false">IFERROR(VLOOKUP(P$2,Rango_Admin_DailyPred,MATCH($F8,Rango_Admin_DailyPred_Primera,0),0),"-")</f>
        <v>-</v>
      </c>
      <c r="Q8" s="162" t="str">
        <f aca="false">IFERROR(VLOOKUP(Q$2,Rango_Admin_DailyPred,MATCH($F8,Rango_Admin_DailyPred_Primera,0),0),"-")</f>
        <v>-</v>
      </c>
      <c r="R8" s="162" t="str">
        <f aca="false">IFERROR(VLOOKUP(R$2,Rango_Admin_DailyPred,MATCH($F8,Rango_Admin_DailyPred_Primera,0),0),"-")</f>
        <v>-</v>
      </c>
      <c r="S8" s="162" t="str">
        <f aca="false">IFERROR(VLOOKUP(S$2,Rango_Admin_DailyPred,MATCH($F8,Rango_Admin_DailyPred_Primera,0),0),"-")</f>
        <v>-</v>
      </c>
      <c r="T8" s="162" t="str">
        <f aca="false">IFERROR(VLOOKUP(T$2,Rango_Admin_DailyPred,MATCH($F8,Rango_Admin_DailyPred_Primera,0),0),"-")</f>
        <v>-</v>
      </c>
      <c r="U8" s="162" t="str">
        <f aca="false">IFERROR(VLOOKUP(U$2,Rango_Admin_DailyPred,MATCH($F8,Rango_Admin_DailyPred_Primera,0),0),"-")</f>
        <v>-</v>
      </c>
      <c r="V8" s="162" t="str">
        <f aca="false">IFERROR(VLOOKUP(V$2,Rango_Admin_DailyPred,MATCH($F8,Rango_Admin_DailyPred_Primera,0),0),"-")</f>
        <v>-</v>
      </c>
      <c r="W8" s="162" t="str">
        <f aca="false">IFERROR(VLOOKUP(W$2,Rango_Admin_DailyPred,MATCH($F8,Rango_Admin_DailyPred_Primera,0),0),"-")</f>
        <v>-</v>
      </c>
      <c r="X8" s="162" t="str">
        <f aca="false">IFERROR(VLOOKUP(X$2,Rango_Admin_DailyPred,MATCH($F8,Rango_Admin_DailyPred_Primera,0),0),"-")</f>
        <v>-</v>
      </c>
      <c r="Y8" s="162" t="str">
        <f aca="false">IFERROR(VLOOKUP(Y$2,Rango_Admin_DailyPred,MATCH($F8,Rango_Admin_DailyPred_Primera,0),0),"-")</f>
        <v>-</v>
      </c>
      <c r="Z8" s="162" t="str">
        <f aca="false">IFERROR(VLOOKUP(Z$2,Rango_Admin_DailyPred,MATCH($F8,Rango_Admin_DailyPred_Primera,0),0),"-")</f>
        <v>-</v>
      </c>
      <c r="AA8" s="162" t="str">
        <f aca="false">IFERROR(VLOOKUP(AA$2,Rango_Admin_DailyPred,MATCH($F8,Rango_Admin_DailyPred_Primera,0),0),"-")</f>
        <v>-</v>
      </c>
      <c r="AB8" s="162" t="str">
        <f aca="false">IFERROR(VLOOKUP(AB$2,Rango_Admin_DailyPred,MATCH($F8,Rango_Admin_DailyPred_Primera,0),0),"-")</f>
        <v>-</v>
      </c>
      <c r="AC8" s="162" t="str">
        <f aca="false">IFERROR(VLOOKUP(AC$2,Rango_Admin_DailyPred,MATCH($F8,Rango_Admin_DailyPred_Primera,0),0),"-")</f>
        <v>-</v>
      </c>
      <c r="AD8" s="162" t="str">
        <f aca="false">IFERROR(VLOOKUP(AD$2,Rango_Admin_DailyPred,MATCH($F8,Rango_Admin_DailyPred_Primera,0),0),"-")</f>
        <v>-</v>
      </c>
      <c r="AE8" s="162" t="str">
        <f aca="false">IFERROR(VLOOKUP(AE$2,Rango_Admin_DailyPred,MATCH($F8,Rango_Admin_DailyPred_Primera,0),0),"-")</f>
        <v>-</v>
      </c>
      <c r="AF8" s="162" t="str">
        <f aca="false">IFERROR(VLOOKUP(AF$2,Rango_Admin_DailyPred,MATCH($F8,Rango_Admin_DailyPred_Primera,0),0),"-")</f>
        <v>-</v>
      </c>
      <c r="AG8" s="162" t="str">
        <f aca="false">IFERROR(VLOOKUP(AG$2,Rango_Admin_DailyPred,MATCH($F8,Rango_Admin_DailyPred_Primera,0),0),"-")</f>
        <v>-</v>
      </c>
      <c r="AH8" s="162" t="str">
        <f aca="false">IFERROR(VLOOKUP(AH$2,Rango_Admin_DailyPred,MATCH($F8,Rango_Admin_DailyPred_Primera,0),0),"-")</f>
        <v>-</v>
      </c>
      <c r="AI8" s="162" t="str">
        <f aca="false">IFERROR(VLOOKUP(AI$2,Rango_Admin_DailyPred,MATCH($F8,Rango_Admin_DailyPred_Primera,0),0),"-")</f>
        <v>-</v>
      </c>
      <c r="AJ8" s="162" t="str">
        <f aca="false">IFERROR(VLOOKUP(AJ$2,Rango_Admin_DailyPred,MATCH($F8,Rango_Admin_DailyPred_Primera,0),0),"-")</f>
        <v>-</v>
      </c>
      <c r="AK8" s="162" t="str">
        <f aca="false">IFERROR(VLOOKUP(AK$2,Rango_Admin_DailyPred,MATCH($F8,Rango_Admin_DailyPred_Primera,0),0),"-")</f>
        <v>-</v>
      </c>
      <c r="AL8" s="162" t="str">
        <f aca="false">IFERROR(VLOOKUP(AL$2,Rango_Admin_DailyPred,MATCH($F8,Rango_Admin_DailyPred_Primera,0),0),"-")</f>
        <v>-</v>
      </c>
      <c r="AM8" s="244"/>
      <c r="AN8" s="244"/>
      <c r="AO8" s="244"/>
    </row>
    <row r="9" customFormat="false" ht="23.85" hidden="false" customHeight="false" outlineLevel="0" collapsed="false">
      <c r="A9" s="30" t="str">
        <f aca="false" t="array" ref="A9:A9">IFERROR(INDEX(ADMIN!$K$6:$K$258,SMALL(IF(ADMIN!$G$6:$G$258=$J$1,ROW(ADMIN!$G$6:$G$258)-ROW(ADMIN!$G$6)+1),ROWS($A$1:A6))),"")</f>
        <v/>
      </c>
      <c r="B9" s="475" t="str">
        <f aca="false">A9&amp;CHAR(10)&amp;C9</f>
        <v>
</v>
      </c>
      <c r="C9" s="30" t="str">
        <f aca="false" t="array" ref="C9:C9">IFERROR(IF(INDEX(ADMIN!$M$6:$M$258,SMALL(IF(ADMIN!$G$6:$G$258=$J$1,ROW(ADMIN!$G$6:$G$258)-ROW(ADMIN!$G$6)+1),ROWS($A$1:A6)))="-", "", " ("&amp;INDEX(ADMIN!$M$6:$M$258,SMALL(IF(ADMIN!$G$6:$G$258=$J$1,ROW(ADMIN!$G$6:$G$258)-ROW(ADMIN!$G$6)+1),ROWS($A$1:A6)))&amp;")"),"")</f>
        <v/>
      </c>
      <c r="D9" s="30" t="str">
        <f aca="false" t="array" ref="D9:D9">IFERROR(IF($J$1&gt;=20,INDEX(ADMIN!$C$6:$C$258,SMALL(IF(ADMIN!$G$6:$G$258=$J$1,ROW(ADMIN!$G$6:$G$258)-ROW(ADMIN!$G$6)+1),ROWS($D$1:D6))),""),"")</f>
        <v/>
      </c>
      <c r="E9" s="437" t="n">
        <f aca="false">+E8+3</f>
        <v>24</v>
      </c>
      <c r="F9" s="476" t="str">
        <f aca="false" t="array" ref="F9:F9">IFERROR(INDEX(Rango_Admin_DailyPred_Primera,1,E9),"-")</f>
        <v>JAVI</v>
      </c>
      <c r="G9" s="162" t="str">
        <f aca="false">IFERROR(VLOOKUP(G$2,Rango_Admin_DailyPred,MATCH($F9,Rango_Admin_DailyPred_Primera,0),0),"-")</f>
        <v>X|1-1</v>
      </c>
      <c r="H9" s="162" t="str">
        <f aca="false">IFERROR(VLOOKUP(H$2,Rango_Admin_DailyPred,MATCH($F9,Rango_Admin_DailyPred_Primera,0),0),"-")</f>
        <v>X|1-1</v>
      </c>
      <c r="I9" s="162" t="str">
        <f aca="false">IFERROR(VLOOKUP(I$2,Rango_Admin_DailyPred,MATCH($F9,Rango_Admin_DailyPred_Primera,0),0),"-")</f>
        <v>1|2-1</v>
      </c>
      <c r="J9" s="162" t="str">
        <f aca="false">IFERROR(VLOOKUP(J$2,Rango_Admin_DailyPred,MATCH($F9,Rango_Admin_DailyPred_Primera,0),0),"-")</f>
        <v>1|2-0</v>
      </c>
      <c r="K9" s="162" t="str">
        <f aca="false">IFERROR(VLOOKUP(K$2,Rango_Admin_DailyPred,MATCH($F9,Rango_Admin_DailyPred_Primera,0),0),"-")</f>
        <v>1|3-0</v>
      </c>
      <c r="L9" s="162" t="str">
        <f aca="false">IFERROR(VLOOKUP(L$2,Rango_Admin_DailyPred,MATCH($F9,Rango_Admin_DailyPred_Primera,0),0),"-")</f>
        <v>-</v>
      </c>
      <c r="M9" s="162" t="str">
        <f aca="false">IFERROR(VLOOKUP(M$2,Rango_Admin_DailyPred,MATCH($F9,Rango_Admin_DailyPred_Primera,0),0),"-")</f>
        <v>-</v>
      </c>
      <c r="N9" s="162" t="str">
        <f aca="false">IFERROR(VLOOKUP(N$2,Rango_Admin_DailyPred,MATCH($F9,Rango_Admin_DailyPred_Primera,0),0),"-")</f>
        <v>-</v>
      </c>
      <c r="O9" s="162" t="str">
        <f aca="false">IFERROR(VLOOKUP(O$2,Rango_Admin_DailyPred,MATCH($F9,Rango_Admin_DailyPred_Primera,0),0),"-")</f>
        <v>-</v>
      </c>
      <c r="P9" s="162" t="str">
        <f aca="false">IFERROR(VLOOKUP(P$2,Rango_Admin_DailyPred,MATCH($F9,Rango_Admin_DailyPred_Primera,0),0),"-")</f>
        <v>-</v>
      </c>
      <c r="Q9" s="162" t="str">
        <f aca="false">IFERROR(VLOOKUP(Q$2,Rango_Admin_DailyPred,MATCH($F9,Rango_Admin_DailyPred_Primera,0),0),"-")</f>
        <v>-</v>
      </c>
      <c r="R9" s="162" t="str">
        <f aca="false">IFERROR(VLOOKUP(R$2,Rango_Admin_DailyPred,MATCH($F9,Rango_Admin_DailyPred_Primera,0),0),"-")</f>
        <v>-</v>
      </c>
      <c r="S9" s="162" t="str">
        <f aca="false">IFERROR(VLOOKUP(S$2,Rango_Admin_DailyPred,MATCH($F9,Rango_Admin_DailyPred_Primera,0),0),"-")</f>
        <v>-</v>
      </c>
      <c r="T9" s="162" t="str">
        <f aca="false">IFERROR(VLOOKUP(T$2,Rango_Admin_DailyPred,MATCH($F9,Rango_Admin_DailyPred_Primera,0),0),"-")</f>
        <v>-</v>
      </c>
      <c r="U9" s="162" t="str">
        <f aca="false">IFERROR(VLOOKUP(U$2,Rango_Admin_DailyPred,MATCH($F9,Rango_Admin_DailyPred_Primera,0),0),"-")</f>
        <v>-</v>
      </c>
      <c r="V9" s="162" t="str">
        <f aca="false">IFERROR(VLOOKUP(V$2,Rango_Admin_DailyPred,MATCH($F9,Rango_Admin_DailyPred_Primera,0),0),"-")</f>
        <v>-</v>
      </c>
      <c r="W9" s="162" t="str">
        <f aca="false">IFERROR(VLOOKUP(W$2,Rango_Admin_DailyPred,MATCH($F9,Rango_Admin_DailyPred_Primera,0),0),"-")</f>
        <v>-</v>
      </c>
      <c r="X9" s="162" t="str">
        <f aca="false">IFERROR(VLOOKUP(X$2,Rango_Admin_DailyPred,MATCH($F9,Rango_Admin_DailyPred_Primera,0),0),"-")</f>
        <v>-</v>
      </c>
      <c r="Y9" s="162" t="str">
        <f aca="false">IFERROR(VLOOKUP(Y$2,Rango_Admin_DailyPred,MATCH($F9,Rango_Admin_DailyPred_Primera,0),0),"-")</f>
        <v>-</v>
      </c>
      <c r="Z9" s="162" t="str">
        <f aca="false">IFERROR(VLOOKUP(Z$2,Rango_Admin_DailyPred,MATCH($F9,Rango_Admin_DailyPred_Primera,0),0),"-")</f>
        <v>-</v>
      </c>
      <c r="AA9" s="162" t="str">
        <f aca="false">IFERROR(VLOOKUP(AA$2,Rango_Admin_DailyPred,MATCH($F9,Rango_Admin_DailyPred_Primera,0),0),"-")</f>
        <v>-</v>
      </c>
      <c r="AB9" s="162" t="str">
        <f aca="false">IFERROR(VLOOKUP(AB$2,Rango_Admin_DailyPred,MATCH($F9,Rango_Admin_DailyPred_Primera,0),0),"-")</f>
        <v>-</v>
      </c>
      <c r="AC9" s="162" t="str">
        <f aca="false">IFERROR(VLOOKUP(AC$2,Rango_Admin_DailyPred,MATCH($F9,Rango_Admin_DailyPred_Primera,0),0),"-")</f>
        <v>-</v>
      </c>
      <c r="AD9" s="162" t="str">
        <f aca="false">IFERROR(VLOOKUP(AD$2,Rango_Admin_DailyPred,MATCH($F9,Rango_Admin_DailyPred_Primera,0),0),"-")</f>
        <v>-</v>
      </c>
      <c r="AE9" s="162" t="str">
        <f aca="false">IFERROR(VLOOKUP(AE$2,Rango_Admin_DailyPred,MATCH($F9,Rango_Admin_DailyPred_Primera,0),0),"-")</f>
        <v>-</v>
      </c>
      <c r="AF9" s="162" t="str">
        <f aca="false">IFERROR(VLOOKUP(AF$2,Rango_Admin_DailyPred,MATCH($F9,Rango_Admin_DailyPred_Primera,0),0),"-")</f>
        <v>-</v>
      </c>
      <c r="AG9" s="162" t="str">
        <f aca="false">IFERROR(VLOOKUP(AG$2,Rango_Admin_DailyPred,MATCH($F9,Rango_Admin_DailyPred_Primera,0),0),"-")</f>
        <v>-</v>
      </c>
      <c r="AH9" s="162" t="str">
        <f aca="false">IFERROR(VLOOKUP(AH$2,Rango_Admin_DailyPred,MATCH($F9,Rango_Admin_DailyPred_Primera,0),0),"-")</f>
        <v>-</v>
      </c>
      <c r="AI9" s="162" t="str">
        <f aca="false">IFERROR(VLOOKUP(AI$2,Rango_Admin_DailyPred,MATCH($F9,Rango_Admin_DailyPred_Primera,0),0),"-")</f>
        <v>-</v>
      </c>
      <c r="AJ9" s="162" t="str">
        <f aca="false">IFERROR(VLOOKUP(AJ$2,Rango_Admin_DailyPred,MATCH($F9,Rango_Admin_DailyPred_Primera,0),0),"-")</f>
        <v>-</v>
      </c>
      <c r="AK9" s="162" t="str">
        <f aca="false">IFERROR(VLOOKUP(AK$2,Rango_Admin_DailyPred,MATCH($F9,Rango_Admin_DailyPred_Primera,0),0),"-")</f>
        <v>-</v>
      </c>
      <c r="AL9" s="162" t="str">
        <f aca="false">IFERROR(VLOOKUP(AL$2,Rango_Admin_DailyPred,MATCH($F9,Rango_Admin_DailyPred_Primera,0),0),"-")</f>
        <v>-</v>
      </c>
      <c r="AM9" s="244"/>
      <c r="AN9" s="244"/>
      <c r="AO9" s="244"/>
    </row>
    <row r="10" customFormat="false" ht="23.85" hidden="false" customHeight="false" outlineLevel="0" collapsed="false">
      <c r="A10" s="30" t="str">
        <f aca="false" t="array" ref="A10:A10">IFERROR(INDEX(ADMIN!$K$6:$K$258,SMALL(IF(ADMIN!$G$6:$G$258=$J$1,ROW(ADMIN!$G$6:$G$258)-ROW(ADMIN!$G$6)+1),ROWS($A$1:A7))),"")</f>
        <v/>
      </c>
      <c r="B10" s="475" t="str">
        <f aca="false">A10&amp;CHAR(10)&amp;C10</f>
        <v>
</v>
      </c>
      <c r="C10" s="30" t="str">
        <f aca="false" t="array" ref="C10:C10">IFERROR(IF(INDEX(ADMIN!$M$6:$M$258,SMALL(IF(ADMIN!$G$6:$G$258=$J$1,ROW(ADMIN!$G$6:$G$258)-ROW(ADMIN!$G$6)+1),ROWS($A$1:A7)))="-", "", " ("&amp;INDEX(ADMIN!$M$6:$M$258,SMALL(IF(ADMIN!$G$6:$G$258=$J$1,ROW(ADMIN!$G$6:$G$258)-ROW(ADMIN!$G$6)+1),ROWS($A$1:A7)))&amp;")"),"")</f>
        <v/>
      </c>
      <c r="D10" s="30" t="str">
        <f aca="false" t="array" ref="D10:D10">IFERROR(IF($J$1&gt;=20,INDEX(ADMIN!$C$6:$C$258,SMALL(IF(ADMIN!$G$6:$G$258=$J$1,ROW(ADMIN!$G$6:$G$258)-ROW(ADMIN!$G$6)+1),ROWS($D$1:D7))),""),"")</f>
        <v/>
      </c>
      <c r="E10" s="437" t="n">
        <f aca="false">+E9+3</f>
        <v>27</v>
      </c>
      <c r="F10" s="476" t="str">
        <f aca="false" t="array" ref="F10:F10">IFERROR(INDEX(Rango_Admin_DailyPred_Primera,1,E10),"-")</f>
        <v>LAURA</v>
      </c>
      <c r="G10" s="162" t="str">
        <f aca="false">IFERROR(VLOOKUP(G$2,Rango_Admin_DailyPred,MATCH($F10,Rango_Admin_DailyPred_Primera,0),0),"-")</f>
        <v>X|1-1</v>
      </c>
      <c r="H10" s="162" t="str">
        <f aca="false">IFERROR(VLOOKUP(H$2,Rango_Admin_DailyPred,MATCH($F10,Rango_Admin_DailyPred_Primera,0),0),"-")</f>
        <v>1|2-1</v>
      </c>
      <c r="I10" s="162" t="str">
        <f aca="false">IFERROR(VLOOKUP(I$2,Rango_Admin_DailyPred,MATCH($F10,Rango_Admin_DailyPred_Primera,0),0),"-")</f>
        <v>X|1-1</v>
      </c>
      <c r="J10" s="162" t="str">
        <f aca="false">IFERROR(VLOOKUP(J$2,Rango_Admin_DailyPred,MATCH($F10,Rango_Admin_DailyPred_Primera,0),0),"-")</f>
        <v>1|2-1</v>
      </c>
      <c r="K10" s="162" t="str">
        <f aca="false">IFERROR(VLOOKUP(K$2,Rango_Admin_DailyPred,MATCH($F10,Rango_Admin_DailyPred_Primera,0),0),"-")</f>
        <v>1|3-0</v>
      </c>
      <c r="L10" s="162" t="str">
        <f aca="false">IFERROR(VLOOKUP(L$2,Rango_Admin_DailyPred,MATCH($F10,Rango_Admin_DailyPred_Primera,0),0),"-")</f>
        <v>-</v>
      </c>
      <c r="M10" s="162" t="str">
        <f aca="false">IFERROR(VLOOKUP(M$2,Rango_Admin_DailyPred,MATCH($F10,Rango_Admin_DailyPred_Primera,0),0),"-")</f>
        <v>-</v>
      </c>
      <c r="N10" s="162" t="str">
        <f aca="false">IFERROR(VLOOKUP(N$2,Rango_Admin_DailyPred,MATCH($F10,Rango_Admin_DailyPred_Primera,0),0),"-")</f>
        <v>-</v>
      </c>
      <c r="O10" s="162" t="str">
        <f aca="false">IFERROR(VLOOKUP(O$2,Rango_Admin_DailyPred,MATCH($F10,Rango_Admin_DailyPred_Primera,0),0),"-")</f>
        <v>-</v>
      </c>
      <c r="P10" s="162" t="str">
        <f aca="false">IFERROR(VLOOKUP(P$2,Rango_Admin_DailyPred,MATCH($F10,Rango_Admin_DailyPred_Primera,0),0),"-")</f>
        <v>-</v>
      </c>
      <c r="Q10" s="162" t="str">
        <f aca="false">IFERROR(VLOOKUP(Q$2,Rango_Admin_DailyPred,MATCH($F10,Rango_Admin_DailyPred_Primera,0),0),"-")</f>
        <v>-</v>
      </c>
      <c r="R10" s="162" t="str">
        <f aca="false">IFERROR(VLOOKUP(R$2,Rango_Admin_DailyPred,MATCH($F10,Rango_Admin_DailyPred_Primera,0),0),"-")</f>
        <v>-</v>
      </c>
      <c r="S10" s="162" t="str">
        <f aca="false">IFERROR(VLOOKUP(S$2,Rango_Admin_DailyPred,MATCH($F10,Rango_Admin_DailyPred_Primera,0),0),"-")</f>
        <v>-</v>
      </c>
      <c r="T10" s="162" t="str">
        <f aca="false">IFERROR(VLOOKUP(T$2,Rango_Admin_DailyPred,MATCH($F10,Rango_Admin_DailyPred_Primera,0),0),"-")</f>
        <v>-</v>
      </c>
      <c r="U10" s="162" t="str">
        <f aca="false">IFERROR(VLOOKUP(U$2,Rango_Admin_DailyPred,MATCH($F10,Rango_Admin_DailyPred_Primera,0),0),"-")</f>
        <v>-</v>
      </c>
      <c r="V10" s="162" t="str">
        <f aca="false">IFERROR(VLOOKUP(V$2,Rango_Admin_DailyPred,MATCH($F10,Rango_Admin_DailyPred_Primera,0),0),"-")</f>
        <v>-</v>
      </c>
      <c r="W10" s="162" t="str">
        <f aca="false">IFERROR(VLOOKUP(W$2,Rango_Admin_DailyPred,MATCH($F10,Rango_Admin_DailyPred_Primera,0),0),"-")</f>
        <v>-</v>
      </c>
      <c r="X10" s="162" t="str">
        <f aca="false">IFERROR(VLOOKUP(X$2,Rango_Admin_DailyPred,MATCH($F10,Rango_Admin_DailyPred_Primera,0),0),"-")</f>
        <v>-</v>
      </c>
      <c r="Y10" s="162" t="str">
        <f aca="false">IFERROR(VLOOKUP(Y$2,Rango_Admin_DailyPred,MATCH($F10,Rango_Admin_DailyPred_Primera,0),0),"-")</f>
        <v>-</v>
      </c>
      <c r="Z10" s="162" t="str">
        <f aca="false">IFERROR(VLOOKUP(Z$2,Rango_Admin_DailyPred,MATCH($F10,Rango_Admin_DailyPred_Primera,0),0),"-")</f>
        <v>-</v>
      </c>
      <c r="AA10" s="162" t="str">
        <f aca="false">IFERROR(VLOOKUP(AA$2,Rango_Admin_DailyPred,MATCH($F10,Rango_Admin_DailyPred_Primera,0),0),"-")</f>
        <v>-</v>
      </c>
      <c r="AB10" s="162" t="str">
        <f aca="false">IFERROR(VLOOKUP(AB$2,Rango_Admin_DailyPred,MATCH($F10,Rango_Admin_DailyPred_Primera,0),0),"-")</f>
        <v>-</v>
      </c>
      <c r="AC10" s="162" t="str">
        <f aca="false">IFERROR(VLOOKUP(AC$2,Rango_Admin_DailyPred,MATCH($F10,Rango_Admin_DailyPred_Primera,0),0),"-")</f>
        <v>-</v>
      </c>
      <c r="AD10" s="162" t="str">
        <f aca="false">IFERROR(VLOOKUP(AD$2,Rango_Admin_DailyPred,MATCH($F10,Rango_Admin_DailyPred_Primera,0),0),"-")</f>
        <v>-</v>
      </c>
      <c r="AE10" s="162" t="str">
        <f aca="false">IFERROR(VLOOKUP(AE$2,Rango_Admin_DailyPred,MATCH($F10,Rango_Admin_DailyPred_Primera,0),0),"-")</f>
        <v>-</v>
      </c>
      <c r="AF10" s="162" t="str">
        <f aca="false">IFERROR(VLOOKUP(AF$2,Rango_Admin_DailyPred,MATCH($F10,Rango_Admin_DailyPred_Primera,0),0),"-")</f>
        <v>-</v>
      </c>
      <c r="AG10" s="162" t="str">
        <f aca="false">IFERROR(VLOOKUP(AG$2,Rango_Admin_DailyPred,MATCH($F10,Rango_Admin_DailyPred_Primera,0),0),"-")</f>
        <v>-</v>
      </c>
      <c r="AH10" s="162" t="str">
        <f aca="false">IFERROR(VLOOKUP(AH$2,Rango_Admin_DailyPred,MATCH($F10,Rango_Admin_DailyPred_Primera,0),0),"-")</f>
        <v>-</v>
      </c>
      <c r="AI10" s="162" t="str">
        <f aca="false">IFERROR(VLOOKUP(AI$2,Rango_Admin_DailyPred,MATCH($F10,Rango_Admin_DailyPred_Primera,0),0),"-")</f>
        <v>-</v>
      </c>
      <c r="AJ10" s="162" t="str">
        <f aca="false">IFERROR(VLOOKUP(AJ$2,Rango_Admin_DailyPred,MATCH($F10,Rango_Admin_DailyPred_Primera,0),0),"-")</f>
        <v>-</v>
      </c>
      <c r="AK10" s="162" t="str">
        <f aca="false">IFERROR(VLOOKUP(AK$2,Rango_Admin_DailyPred,MATCH($F10,Rango_Admin_DailyPred_Primera,0),0),"-")</f>
        <v>-</v>
      </c>
      <c r="AL10" s="162" t="str">
        <f aca="false">IFERROR(VLOOKUP(AL$2,Rango_Admin_DailyPred,MATCH($F10,Rango_Admin_DailyPred_Primera,0),0),"-")</f>
        <v>-</v>
      </c>
      <c r="AM10" s="244"/>
      <c r="AN10" s="244"/>
      <c r="AO10" s="244"/>
    </row>
    <row r="11" customFormat="false" ht="23.85" hidden="false" customHeight="false" outlineLevel="0" collapsed="false">
      <c r="A11" s="30" t="str">
        <f aca="false" t="array" ref="A11:A11">IFERROR(INDEX(ADMIN!$K$6:$K$258,SMALL(IF(ADMIN!$G$6:$G$258=$J$1,ROW(ADMIN!$G$6:$G$258)-ROW(ADMIN!$G$6)+1),ROWS($A$1:A8))),"")</f>
        <v/>
      </c>
      <c r="B11" s="475" t="str">
        <f aca="false">A11&amp;CHAR(10)&amp;C11</f>
        <v>
</v>
      </c>
      <c r="C11" s="30" t="str">
        <f aca="false" t="array" ref="C11:C11">IFERROR(IF(INDEX(ADMIN!$M$6:$M$258,SMALL(IF(ADMIN!$G$6:$G$258=$J$1,ROW(ADMIN!$G$6:$G$258)-ROW(ADMIN!$G$6)+1),ROWS($A$1:A8)))="-", "", " ("&amp;INDEX(ADMIN!$M$6:$M$258,SMALL(IF(ADMIN!$G$6:$G$258=$J$1,ROW(ADMIN!$G$6:$G$258)-ROW(ADMIN!$G$6)+1),ROWS($A$1:A8)))&amp;")"),"")</f>
        <v/>
      </c>
      <c r="D11" s="30" t="str">
        <f aca="false" t="array" ref="D11:D11">IFERROR(IF($J$1&gt;=20,INDEX(ADMIN!$C$6:$C$258,SMALL(IF(ADMIN!$G$6:$G$258=$J$1,ROW(ADMIN!$G$6:$G$258)-ROW(ADMIN!$G$6)+1),ROWS($D$1:D8))),""),"")</f>
        <v/>
      </c>
      <c r="E11" s="437" t="n">
        <f aca="false">+E10+3</f>
        <v>30</v>
      </c>
      <c r="F11" s="476" t="str">
        <f aca="false" t="array" ref="F11:F11">IFERROR(INDEX(Rango_Admin_DailyPred_Primera,1,E11),"-")</f>
        <v>JUANMI</v>
      </c>
      <c r="G11" s="162" t="str">
        <f aca="false">IFERROR(VLOOKUP(G$2,Rango_Admin_DailyPred,MATCH($F11,Rango_Admin_DailyPred_Primera,0),0),"-")</f>
        <v>2|0-1</v>
      </c>
      <c r="H11" s="162" t="str">
        <f aca="false">IFERROR(VLOOKUP(H$2,Rango_Admin_DailyPred,MATCH($F11,Rango_Admin_DailyPred_Primera,0),0),"-")</f>
        <v>X|1-1</v>
      </c>
      <c r="I11" s="162" t="str">
        <f aca="false">IFERROR(VLOOKUP(I$2,Rango_Admin_DailyPred,MATCH($F11,Rango_Admin_DailyPred_Primera,0),0),"-")</f>
        <v>1|1-0</v>
      </c>
      <c r="J11" s="162" t="str">
        <f aca="false">IFERROR(VLOOKUP(J$2,Rango_Admin_DailyPred,MATCH($F11,Rango_Admin_DailyPred_Primera,0),0),"-")</f>
        <v>1|2-0</v>
      </c>
      <c r="K11" s="162" t="str">
        <f aca="false">IFERROR(VLOOKUP(K$2,Rango_Admin_DailyPred,MATCH($F11,Rango_Admin_DailyPred_Primera,0),0),"-")</f>
        <v>1|3-0</v>
      </c>
      <c r="L11" s="162" t="str">
        <f aca="false">IFERROR(VLOOKUP(L$2,Rango_Admin_DailyPred,MATCH($F11,Rango_Admin_DailyPred_Primera,0),0),"-")</f>
        <v>-</v>
      </c>
      <c r="M11" s="162" t="str">
        <f aca="false">IFERROR(VLOOKUP(M$2,Rango_Admin_DailyPred,MATCH($F11,Rango_Admin_DailyPred_Primera,0),0),"-")</f>
        <v>-</v>
      </c>
      <c r="N11" s="162" t="str">
        <f aca="false">IFERROR(VLOOKUP(N$2,Rango_Admin_DailyPred,MATCH($F11,Rango_Admin_DailyPred_Primera,0),0),"-")</f>
        <v>-</v>
      </c>
      <c r="O11" s="162" t="str">
        <f aca="false">IFERROR(VLOOKUP(O$2,Rango_Admin_DailyPred,MATCH($F11,Rango_Admin_DailyPred_Primera,0),0),"-")</f>
        <v>-</v>
      </c>
      <c r="P11" s="162" t="str">
        <f aca="false">IFERROR(VLOOKUP(P$2,Rango_Admin_DailyPred,MATCH($F11,Rango_Admin_DailyPred_Primera,0),0),"-")</f>
        <v>-</v>
      </c>
      <c r="Q11" s="162" t="str">
        <f aca="false">IFERROR(VLOOKUP(Q$2,Rango_Admin_DailyPred,MATCH($F11,Rango_Admin_DailyPred_Primera,0),0),"-")</f>
        <v>-</v>
      </c>
      <c r="R11" s="162" t="str">
        <f aca="false">IFERROR(VLOOKUP(R$2,Rango_Admin_DailyPred,MATCH($F11,Rango_Admin_DailyPred_Primera,0),0),"-")</f>
        <v>-</v>
      </c>
      <c r="S11" s="162" t="str">
        <f aca="false">IFERROR(VLOOKUP(S$2,Rango_Admin_DailyPred,MATCH($F11,Rango_Admin_DailyPred_Primera,0),0),"-")</f>
        <v>-</v>
      </c>
      <c r="T11" s="162" t="str">
        <f aca="false">IFERROR(VLOOKUP(T$2,Rango_Admin_DailyPred,MATCH($F11,Rango_Admin_DailyPred_Primera,0),0),"-")</f>
        <v>-</v>
      </c>
      <c r="U11" s="162" t="str">
        <f aca="false">IFERROR(VLOOKUP(U$2,Rango_Admin_DailyPred,MATCH($F11,Rango_Admin_DailyPred_Primera,0),0),"-")</f>
        <v>-</v>
      </c>
      <c r="V11" s="162" t="str">
        <f aca="false">IFERROR(VLOOKUP(V$2,Rango_Admin_DailyPred,MATCH($F11,Rango_Admin_DailyPred_Primera,0),0),"-")</f>
        <v>-</v>
      </c>
      <c r="W11" s="162" t="str">
        <f aca="false">IFERROR(VLOOKUP(W$2,Rango_Admin_DailyPred,MATCH($F11,Rango_Admin_DailyPred_Primera,0),0),"-")</f>
        <v>-</v>
      </c>
      <c r="X11" s="162" t="str">
        <f aca="false">IFERROR(VLOOKUP(X$2,Rango_Admin_DailyPred,MATCH($F11,Rango_Admin_DailyPred_Primera,0),0),"-")</f>
        <v>-</v>
      </c>
      <c r="Y11" s="162" t="str">
        <f aca="false">IFERROR(VLOOKUP(Y$2,Rango_Admin_DailyPred,MATCH($F11,Rango_Admin_DailyPred_Primera,0),0),"-")</f>
        <v>-</v>
      </c>
      <c r="Z11" s="162" t="str">
        <f aca="false">IFERROR(VLOOKUP(Z$2,Rango_Admin_DailyPred,MATCH($F11,Rango_Admin_DailyPred_Primera,0),0),"-")</f>
        <v>-</v>
      </c>
      <c r="AA11" s="162" t="str">
        <f aca="false">IFERROR(VLOOKUP(AA$2,Rango_Admin_DailyPred,MATCH($F11,Rango_Admin_DailyPred_Primera,0),0),"-")</f>
        <v>-</v>
      </c>
      <c r="AB11" s="162" t="str">
        <f aca="false">IFERROR(VLOOKUP(AB$2,Rango_Admin_DailyPred,MATCH($F11,Rango_Admin_DailyPred_Primera,0),0),"-")</f>
        <v>-</v>
      </c>
      <c r="AC11" s="162" t="str">
        <f aca="false">IFERROR(VLOOKUP(AC$2,Rango_Admin_DailyPred,MATCH($F11,Rango_Admin_DailyPred_Primera,0),0),"-")</f>
        <v>-</v>
      </c>
      <c r="AD11" s="162" t="str">
        <f aca="false">IFERROR(VLOOKUP(AD$2,Rango_Admin_DailyPred,MATCH($F11,Rango_Admin_DailyPred_Primera,0),0),"-")</f>
        <v>-</v>
      </c>
      <c r="AE11" s="162" t="str">
        <f aca="false">IFERROR(VLOOKUP(AE$2,Rango_Admin_DailyPred,MATCH($F11,Rango_Admin_DailyPred_Primera,0),0),"-")</f>
        <v>-</v>
      </c>
      <c r="AF11" s="162" t="str">
        <f aca="false">IFERROR(VLOOKUP(AF$2,Rango_Admin_DailyPred,MATCH($F11,Rango_Admin_DailyPred_Primera,0),0),"-")</f>
        <v>-</v>
      </c>
      <c r="AG11" s="162" t="str">
        <f aca="false">IFERROR(VLOOKUP(AG$2,Rango_Admin_DailyPred,MATCH($F11,Rango_Admin_DailyPred_Primera,0),0),"-")</f>
        <v>-</v>
      </c>
      <c r="AH11" s="162" t="str">
        <f aca="false">IFERROR(VLOOKUP(AH$2,Rango_Admin_DailyPred,MATCH($F11,Rango_Admin_DailyPred_Primera,0),0),"-")</f>
        <v>-</v>
      </c>
      <c r="AI11" s="162" t="str">
        <f aca="false">IFERROR(VLOOKUP(AI$2,Rango_Admin_DailyPred,MATCH($F11,Rango_Admin_DailyPred_Primera,0),0),"-")</f>
        <v>-</v>
      </c>
      <c r="AJ11" s="162" t="str">
        <f aca="false">IFERROR(VLOOKUP(AJ$2,Rango_Admin_DailyPred,MATCH($F11,Rango_Admin_DailyPred_Primera,0),0),"-")</f>
        <v>-</v>
      </c>
      <c r="AK11" s="162" t="str">
        <f aca="false">IFERROR(VLOOKUP(AK$2,Rango_Admin_DailyPred,MATCH($F11,Rango_Admin_DailyPred_Primera,0),0),"-")</f>
        <v>-</v>
      </c>
      <c r="AL11" s="162" t="str">
        <f aca="false">IFERROR(VLOOKUP(AL$2,Rango_Admin_DailyPred,MATCH($F11,Rango_Admin_DailyPred_Primera,0),0),"-")</f>
        <v>-</v>
      </c>
      <c r="AM11" s="244"/>
      <c r="AN11" s="244"/>
      <c r="AO11" s="244"/>
    </row>
    <row r="12" customFormat="false" ht="23.85" hidden="false" customHeight="false" outlineLevel="0" collapsed="false">
      <c r="A12" s="30" t="str">
        <f aca="false" t="array" ref="A12:A12">IFERROR(INDEX(ADMIN!$K$6:$K$258,SMALL(IF(ADMIN!$G$6:$G$258=$J$1,ROW(ADMIN!$G$6:$G$258)-ROW(ADMIN!$G$6)+1),ROWS($A$1:A9))),"")</f>
        <v/>
      </c>
      <c r="B12" s="475" t="str">
        <f aca="false">A12&amp;CHAR(10)&amp;C12</f>
        <v>
</v>
      </c>
      <c r="C12" s="30" t="str">
        <f aca="false" t="array" ref="C12:C12">IFERROR(IF(INDEX(ADMIN!$M$6:$M$258,SMALL(IF(ADMIN!$G$6:$G$258=$J$1,ROW(ADMIN!$G$6:$G$258)-ROW(ADMIN!$G$6)+1),ROWS($A$1:A9)))="-", "", " ("&amp;INDEX(ADMIN!$M$6:$M$258,SMALL(IF(ADMIN!$G$6:$G$258=$J$1,ROW(ADMIN!$G$6:$G$258)-ROW(ADMIN!$G$6)+1),ROWS($A$1:A9)))&amp;")"),"")</f>
        <v/>
      </c>
      <c r="D12" s="30" t="str">
        <f aca="false" t="array" ref="D12:D12">IFERROR(IF($J$1&gt;=20,INDEX(ADMIN!$C$6:$C$258,SMALL(IF(ADMIN!$G$6:$G$258=$J$1,ROW(ADMIN!$G$6:$G$258)-ROW(ADMIN!$G$6)+1),ROWS($D$1:D9))),""),"")</f>
        <v/>
      </c>
      <c r="E12" s="437" t="n">
        <f aca="false">+E11+3</f>
        <v>33</v>
      </c>
      <c r="F12" s="476" t="str">
        <f aca="false" t="array" ref="F12:F12">IFERROR(INDEX(Rango_Admin_DailyPred_Primera,1,E12),"-")</f>
        <v>JORGE</v>
      </c>
      <c r="G12" s="162" t="str">
        <f aca="false">IFERROR(VLOOKUP(G$2,Rango_Admin_DailyPred,MATCH($F12,Rango_Admin_DailyPred_Primera,0),0),"-")</f>
        <v>X|1-1</v>
      </c>
      <c r="H12" s="162" t="str">
        <f aca="false">IFERROR(VLOOKUP(H$2,Rango_Admin_DailyPred,MATCH($F12,Rango_Admin_DailyPred_Primera,0),0),"-")</f>
        <v>X|1-1</v>
      </c>
      <c r="I12" s="162" t="str">
        <f aca="false">IFERROR(VLOOKUP(I$2,Rango_Admin_DailyPred,MATCH($F12,Rango_Admin_DailyPred_Primera,0),0),"-")</f>
        <v>1|1-0</v>
      </c>
      <c r="J12" s="162" t="str">
        <f aca="false">IFERROR(VLOOKUP(J$2,Rango_Admin_DailyPred,MATCH($F12,Rango_Admin_DailyPred_Primera,0),0),"-")</f>
        <v>1|2-1</v>
      </c>
      <c r="K12" s="162" t="str">
        <f aca="false">IFERROR(VLOOKUP(K$2,Rango_Admin_DailyPred,MATCH($F12,Rango_Admin_DailyPred_Primera,0),0),"-")</f>
        <v>1|6-0</v>
      </c>
      <c r="L12" s="162" t="str">
        <f aca="false">IFERROR(VLOOKUP(L$2,Rango_Admin_DailyPred,MATCH($F12,Rango_Admin_DailyPred_Primera,0),0),"-")</f>
        <v>-</v>
      </c>
      <c r="M12" s="162" t="str">
        <f aca="false">IFERROR(VLOOKUP(M$2,Rango_Admin_DailyPred,MATCH($F12,Rango_Admin_DailyPred_Primera,0),0),"-")</f>
        <v>-</v>
      </c>
      <c r="N12" s="162" t="str">
        <f aca="false">IFERROR(VLOOKUP(N$2,Rango_Admin_DailyPred,MATCH($F12,Rango_Admin_DailyPred_Primera,0),0),"-")</f>
        <v>-</v>
      </c>
      <c r="O12" s="162" t="str">
        <f aca="false">IFERROR(VLOOKUP(O$2,Rango_Admin_DailyPred,MATCH($F12,Rango_Admin_DailyPred_Primera,0),0),"-")</f>
        <v>-</v>
      </c>
      <c r="P12" s="162" t="str">
        <f aca="false">IFERROR(VLOOKUP(P$2,Rango_Admin_DailyPred,MATCH($F12,Rango_Admin_DailyPred_Primera,0),0),"-")</f>
        <v>-</v>
      </c>
      <c r="Q12" s="162" t="str">
        <f aca="false">IFERROR(VLOOKUP(Q$2,Rango_Admin_DailyPred,MATCH($F12,Rango_Admin_DailyPred_Primera,0),0),"-")</f>
        <v>-</v>
      </c>
      <c r="R12" s="162" t="str">
        <f aca="false">IFERROR(VLOOKUP(R$2,Rango_Admin_DailyPred,MATCH($F12,Rango_Admin_DailyPred_Primera,0),0),"-")</f>
        <v>-</v>
      </c>
      <c r="S12" s="162" t="str">
        <f aca="false">IFERROR(VLOOKUP(S$2,Rango_Admin_DailyPred,MATCH($F12,Rango_Admin_DailyPred_Primera,0),0),"-")</f>
        <v>-</v>
      </c>
      <c r="T12" s="162" t="str">
        <f aca="false">IFERROR(VLOOKUP(T$2,Rango_Admin_DailyPred,MATCH($F12,Rango_Admin_DailyPred_Primera,0),0),"-")</f>
        <v>-</v>
      </c>
      <c r="U12" s="162" t="str">
        <f aca="false">IFERROR(VLOOKUP(U$2,Rango_Admin_DailyPred,MATCH($F12,Rango_Admin_DailyPred_Primera,0),0),"-")</f>
        <v>-</v>
      </c>
      <c r="V12" s="162" t="str">
        <f aca="false">IFERROR(VLOOKUP(V$2,Rango_Admin_DailyPred,MATCH($F12,Rango_Admin_DailyPred_Primera,0),0),"-")</f>
        <v>-</v>
      </c>
      <c r="W12" s="162" t="str">
        <f aca="false">IFERROR(VLOOKUP(W$2,Rango_Admin_DailyPred,MATCH($F12,Rango_Admin_DailyPred_Primera,0),0),"-")</f>
        <v>-</v>
      </c>
      <c r="X12" s="162" t="str">
        <f aca="false">IFERROR(VLOOKUP(X$2,Rango_Admin_DailyPred,MATCH($F12,Rango_Admin_DailyPred_Primera,0),0),"-")</f>
        <v>-</v>
      </c>
      <c r="Y12" s="162" t="str">
        <f aca="false">IFERROR(VLOOKUP(Y$2,Rango_Admin_DailyPred,MATCH($F12,Rango_Admin_DailyPred_Primera,0),0),"-")</f>
        <v>-</v>
      </c>
      <c r="Z12" s="162" t="str">
        <f aca="false">IFERROR(VLOOKUP(Z$2,Rango_Admin_DailyPred,MATCH($F12,Rango_Admin_DailyPred_Primera,0),0),"-")</f>
        <v>-</v>
      </c>
      <c r="AA12" s="162" t="str">
        <f aca="false">IFERROR(VLOOKUP(AA$2,Rango_Admin_DailyPred,MATCH($F12,Rango_Admin_DailyPred_Primera,0),0),"-")</f>
        <v>-</v>
      </c>
      <c r="AB12" s="162" t="str">
        <f aca="false">IFERROR(VLOOKUP(AB$2,Rango_Admin_DailyPred,MATCH($F12,Rango_Admin_DailyPred_Primera,0),0),"-")</f>
        <v>-</v>
      </c>
      <c r="AC12" s="162" t="str">
        <f aca="false">IFERROR(VLOOKUP(AC$2,Rango_Admin_DailyPred,MATCH($F12,Rango_Admin_DailyPred_Primera,0),0),"-")</f>
        <v>-</v>
      </c>
      <c r="AD12" s="162" t="str">
        <f aca="false">IFERROR(VLOOKUP(AD$2,Rango_Admin_DailyPred,MATCH($F12,Rango_Admin_DailyPred_Primera,0),0),"-")</f>
        <v>-</v>
      </c>
      <c r="AE12" s="162" t="str">
        <f aca="false">IFERROR(VLOOKUP(AE$2,Rango_Admin_DailyPred,MATCH($F12,Rango_Admin_DailyPred_Primera,0),0),"-")</f>
        <v>-</v>
      </c>
      <c r="AF12" s="162" t="str">
        <f aca="false">IFERROR(VLOOKUP(AF$2,Rango_Admin_DailyPred,MATCH($F12,Rango_Admin_DailyPred_Primera,0),0),"-")</f>
        <v>-</v>
      </c>
      <c r="AG12" s="162" t="str">
        <f aca="false">IFERROR(VLOOKUP(AG$2,Rango_Admin_DailyPred,MATCH($F12,Rango_Admin_DailyPred_Primera,0),0),"-")</f>
        <v>-</v>
      </c>
      <c r="AH12" s="162" t="str">
        <f aca="false">IFERROR(VLOOKUP(AH$2,Rango_Admin_DailyPred,MATCH($F12,Rango_Admin_DailyPred_Primera,0),0),"-")</f>
        <v>-</v>
      </c>
      <c r="AI12" s="162" t="str">
        <f aca="false">IFERROR(VLOOKUP(AI$2,Rango_Admin_DailyPred,MATCH($F12,Rango_Admin_DailyPred_Primera,0),0),"-")</f>
        <v>-</v>
      </c>
      <c r="AJ12" s="162" t="str">
        <f aca="false">IFERROR(VLOOKUP(AJ$2,Rango_Admin_DailyPred,MATCH($F12,Rango_Admin_DailyPred_Primera,0),0),"-")</f>
        <v>-</v>
      </c>
      <c r="AK12" s="162" t="str">
        <f aca="false">IFERROR(VLOOKUP(AK$2,Rango_Admin_DailyPred,MATCH($F12,Rango_Admin_DailyPred_Primera,0),0),"-")</f>
        <v>-</v>
      </c>
      <c r="AL12" s="162" t="str">
        <f aca="false">IFERROR(VLOOKUP(AL$2,Rango_Admin_DailyPred,MATCH($F12,Rango_Admin_DailyPred_Primera,0),0),"-")</f>
        <v>-</v>
      </c>
      <c r="AM12" s="244"/>
      <c r="AN12" s="244"/>
      <c r="AO12" s="244"/>
    </row>
    <row r="13" customFormat="false" ht="23.85" hidden="false" customHeight="false" outlineLevel="0" collapsed="false">
      <c r="A13" s="30" t="str">
        <f aca="false" t="array" ref="A13:A13">IFERROR(INDEX(ADMIN!$K$6:$K$258,SMALL(IF(ADMIN!$G$6:$G$258=$J$1,ROW(ADMIN!$G$6:$G$258)-ROW(ADMIN!$G$6)+1),ROWS($A$1:A10))),"")</f>
        <v/>
      </c>
      <c r="B13" s="475" t="str">
        <f aca="false">A13&amp;CHAR(10)&amp;C13</f>
        <v>
</v>
      </c>
      <c r="C13" s="30" t="str">
        <f aca="false" t="array" ref="C13:C13">IFERROR(IF(INDEX(ADMIN!$M$6:$M$258,SMALL(IF(ADMIN!$G$6:$G$258=$J$1,ROW(ADMIN!$G$6:$G$258)-ROW(ADMIN!$G$6)+1),ROWS($A$1:A10)))="-", "", " ("&amp;INDEX(ADMIN!$M$6:$M$258,SMALL(IF(ADMIN!$G$6:$G$258=$J$1,ROW(ADMIN!$G$6:$G$258)-ROW(ADMIN!$G$6)+1),ROWS($A$1:A10)))&amp;")"),"")</f>
        <v/>
      </c>
      <c r="D13" s="30" t="str">
        <f aca="false" t="array" ref="D13:D13">IFERROR(IF($J$1&gt;=20,INDEX(ADMIN!$C$6:$C$258,SMALL(IF(ADMIN!$G$6:$G$258=$J$1,ROW(ADMIN!$G$6:$G$258)-ROW(ADMIN!$G$6)+1),ROWS($D$1:D10))),""),"")</f>
        <v/>
      </c>
      <c r="E13" s="437" t="n">
        <f aca="false">+E12+3</f>
        <v>36</v>
      </c>
      <c r="F13" s="476" t="str">
        <f aca="false" t="array" ref="F13:F13">IFERROR(INDEX(Rango_Admin_DailyPred_Primera,1,E13),"-")</f>
        <v>ANDER</v>
      </c>
      <c r="G13" s="162" t="str">
        <f aca="false">IFERROR(VLOOKUP(G$2,Rango_Admin_DailyPred,MATCH($F13,Rango_Admin_DailyPred_Primera,0),0),"-")</f>
        <v>2|0-2</v>
      </c>
      <c r="H13" s="162" t="str">
        <f aca="false">IFERROR(VLOOKUP(H$2,Rango_Admin_DailyPred,MATCH($F13,Rango_Admin_DailyPred_Primera,0),0),"-")</f>
        <v>X|1-1</v>
      </c>
      <c r="I13" s="162" t="str">
        <f aca="false">IFERROR(VLOOKUP(I$2,Rango_Admin_DailyPred,MATCH($F13,Rango_Admin_DailyPred_Primera,0),0),"-")</f>
        <v>1|2-0</v>
      </c>
      <c r="J13" s="162" t="str">
        <f aca="false">IFERROR(VLOOKUP(J$2,Rango_Admin_DailyPred,MATCH($F13,Rango_Admin_DailyPred_Primera,0),0),"-")</f>
        <v>1|2-0</v>
      </c>
      <c r="K13" s="162" t="str">
        <f aca="false">IFERROR(VLOOKUP(K$2,Rango_Admin_DailyPred,MATCH($F13,Rango_Admin_DailyPred_Primera,0),0),"-")</f>
        <v>1|6-0</v>
      </c>
      <c r="L13" s="162" t="str">
        <f aca="false">IFERROR(VLOOKUP(L$2,Rango_Admin_DailyPred,MATCH($F13,Rango_Admin_DailyPred_Primera,0),0),"-")</f>
        <v>-</v>
      </c>
      <c r="M13" s="162" t="str">
        <f aca="false">IFERROR(VLOOKUP(M$2,Rango_Admin_DailyPred,MATCH($F13,Rango_Admin_DailyPred_Primera,0),0),"-")</f>
        <v>-</v>
      </c>
      <c r="N13" s="162" t="str">
        <f aca="false">IFERROR(VLOOKUP(N$2,Rango_Admin_DailyPred,MATCH($F13,Rango_Admin_DailyPred_Primera,0),0),"-")</f>
        <v>-</v>
      </c>
      <c r="O13" s="162" t="str">
        <f aca="false">IFERROR(VLOOKUP(O$2,Rango_Admin_DailyPred,MATCH($F13,Rango_Admin_DailyPred_Primera,0),0),"-")</f>
        <v>-</v>
      </c>
      <c r="P13" s="162" t="str">
        <f aca="false">IFERROR(VLOOKUP(P$2,Rango_Admin_DailyPred,MATCH($F13,Rango_Admin_DailyPred_Primera,0),0),"-")</f>
        <v>-</v>
      </c>
      <c r="Q13" s="162" t="str">
        <f aca="false">IFERROR(VLOOKUP(Q$2,Rango_Admin_DailyPred,MATCH($F13,Rango_Admin_DailyPred_Primera,0),0),"-")</f>
        <v>-</v>
      </c>
      <c r="R13" s="162" t="str">
        <f aca="false">IFERROR(VLOOKUP(R$2,Rango_Admin_DailyPred,MATCH($F13,Rango_Admin_DailyPred_Primera,0),0),"-")</f>
        <v>-</v>
      </c>
      <c r="S13" s="162" t="str">
        <f aca="false">IFERROR(VLOOKUP(S$2,Rango_Admin_DailyPred,MATCH($F13,Rango_Admin_DailyPred_Primera,0),0),"-")</f>
        <v>-</v>
      </c>
      <c r="T13" s="162" t="str">
        <f aca="false">IFERROR(VLOOKUP(T$2,Rango_Admin_DailyPred,MATCH($F13,Rango_Admin_DailyPred_Primera,0),0),"-")</f>
        <v>-</v>
      </c>
      <c r="U13" s="162" t="str">
        <f aca="false">IFERROR(VLOOKUP(U$2,Rango_Admin_DailyPred,MATCH($F13,Rango_Admin_DailyPred_Primera,0),0),"-")</f>
        <v>-</v>
      </c>
      <c r="V13" s="162" t="str">
        <f aca="false">IFERROR(VLOOKUP(V$2,Rango_Admin_DailyPred,MATCH($F13,Rango_Admin_DailyPred_Primera,0),0),"-")</f>
        <v>-</v>
      </c>
      <c r="W13" s="162" t="str">
        <f aca="false">IFERROR(VLOOKUP(W$2,Rango_Admin_DailyPred,MATCH($F13,Rango_Admin_DailyPred_Primera,0),0),"-")</f>
        <v>-</v>
      </c>
      <c r="X13" s="162" t="str">
        <f aca="false">IFERROR(VLOOKUP(X$2,Rango_Admin_DailyPred,MATCH($F13,Rango_Admin_DailyPred_Primera,0),0),"-")</f>
        <v>-</v>
      </c>
      <c r="Y13" s="162" t="str">
        <f aca="false">IFERROR(VLOOKUP(Y$2,Rango_Admin_DailyPred,MATCH($F13,Rango_Admin_DailyPred_Primera,0),0),"-")</f>
        <v>-</v>
      </c>
      <c r="Z13" s="162" t="str">
        <f aca="false">IFERROR(VLOOKUP(Z$2,Rango_Admin_DailyPred,MATCH($F13,Rango_Admin_DailyPred_Primera,0),0),"-")</f>
        <v>-</v>
      </c>
      <c r="AA13" s="162" t="str">
        <f aca="false">IFERROR(VLOOKUP(AA$2,Rango_Admin_DailyPred,MATCH($F13,Rango_Admin_DailyPred_Primera,0),0),"-")</f>
        <v>-</v>
      </c>
      <c r="AB13" s="162" t="str">
        <f aca="false">IFERROR(VLOOKUP(AB$2,Rango_Admin_DailyPred,MATCH($F13,Rango_Admin_DailyPred_Primera,0),0),"-")</f>
        <v>-</v>
      </c>
      <c r="AC13" s="162" t="str">
        <f aca="false">IFERROR(VLOOKUP(AC$2,Rango_Admin_DailyPred,MATCH($F13,Rango_Admin_DailyPred_Primera,0),0),"-")</f>
        <v>-</v>
      </c>
      <c r="AD13" s="162" t="str">
        <f aca="false">IFERROR(VLOOKUP(AD$2,Rango_Admin_DailyPred,MATCH($F13,Rango_Admin_DailyPred_Primera,0),0),"-")</f>
        <v>-</v>
      </c>
      <c r="AE13" s="162" t="str">
        <f aca="false">IFERROR(VLOOKUP(AE$2,Rango_Admin_DailyPred,MATCH($F13,Rango_Admin_DailyPred_Primera,0),0),"-")</f>
        <v>-</v>
      </c>
      <c r="AF13" s="162" t="str">
        <f aca="false">IFERROR(VLOOKUP(AF$2,Rango_Admin_DailyPred,MATCH($F13,Rango_Admin_DailyPred_Primera,0),0),"-")</f>
        <v>-</v>
      </c>
      <c r="AG13" s="162" t="str">
        <f aca="false">IFERROR(VLOOKUP(AG$2,Rango_Admin_DailyPred,MATCH($F13,Rango_Admin_DailyPred_Primera,0),0),"-")</f>
        <v>-</v>
      </c>
      <c r="AH13" s="162" t="str">
        <f aca="false">IFERROR(VLOOKUP(AH$2,Rango_Admin_DailyPred,MATCH($F13,Rango_Admin_DailyPred_Primera,0),0),"-")</f>
        <v>-</v>
      </c>
      <c r="AI13" s="162" t="str">
        <f aca="false">IFERROR(VLOOKUP(AI$2,Rango_Admin_DailyPred,MATCH($F13,Rango_Admin_DailyPred_Primera,0),0),"-")</f>
        <v>-</v>
      </c>
      <c r="AJ13" s="162" t="str">
        <f aca="false">IFERROR(VLOOKUP(AJ$2,Rango_Admin_DailyPred,MATCH($F13,Rango_Admin_DailyPred_Primera,0),0),"-")</f>
        <v>-</v>
      </c>
      <c r="AK13" s="162" t="str">
        <f aca="false">IFERROR(VLOOKUP(AK$2,Rango_Admin_DailyPred,MATCH($F13,Rango_Admin_DailyPred_Primera,0),0),"-")</f>
        <v>-</v>
      </c>
      <c r="AL13" s="162" t="str">
        <f aca="false">IFERROR(VLOOKUP(AL$2,Rango_Admin_DailyPred,MATCH($F13,Rango_Admin_DailyPred_Primera,0),0),"-")</f>
        <v>-</v>
      </c>
      <c r="AM13" s="244"/>
      <c r="AN13" s="244"/>
      <c r="AO13" s="244"/>
    </row>
    <row r="14" customFormat="false" ht="23.85" hidden="false" customHeight="false" outlineLevel="0" collapsed="false">
      <c r="A14" s="30" t="str">
        <f aca="false" t="array" ref="A14:A14">IFERROR(INDEX(ADMIN!$K$6:$K$258,SMALL(IF(ADMIN!$G$6:$G$258=$J$1,ROW(ADMIN!$G$6:$G$258)-ROW(ADMIN!$G$6)+1),ROWS($A$1:A11))),"")</f>
        <v/>
      </c>
      <c r="B14" s="475" t="str">
        <f aca="false">A14&amp;CHAR(10)&amp;C14</f>
        <v>
</v>
      </c>
      <c r="C14" s="30" t="str">
        <f aca="false" t="array" ref="C14:C14">IFERROR(IF(INDEX(ADMIN!$M$6:$M$258,SMALL(IF(ADMIN!$G$6:$G$258=$J$1,ROW(ADMIN!$G$6:$G$258)-ROW(ADMIN!$G$6)+1),ROWS($A$1:A11)))="-", "", " ("&amp;INDEX(ADMIN!$M$6:$M$258,SMALL(IF(ADMIN!$G$6:$G$258=$J$1,ROW(ADMIN!$G$6:$G$258)-ROW(ADMIN!$G$6)+1),ROWS($A$1:A11)))&amp;")"),"")</f>
        <v/>
      </c>
      <c r="D14" s="30" t="str">
        <f aca="false" t="array" ref="D14:D14">IFERROR(IF($J$1&gt;=20,INDEX(ADMIN!$C$6:$C$258,SMALL(IF(ADMIN!$G$6:$G$258=$J$1,ROW(ADMIN!$G$6:$G$258)-ROW(ADMIN!$G$6)+1),ROWS($D$1:D11))),""),"")</f>
        <v/>
      </c>
      <c r="E14" s="437" t="n">
        <f aca="false">+E13+3</f>
        <v>39</v>
      </c>
      <c r="F14" s="476" t="str">
        <f aca="false" t="array" ref="F14:F14">IFERROR(INDEX(Rango_Admin_DailyPred_Primera,1,E14),"-")</f>
        <v>BORJA</v>
      </c>
      <c r="G14" s="162" t="str">
        <f aca="false">IFERROR(VLOOKUP(G$2,Rango_Admin_DailyPred,MATCH($F14,Rango_Admin_DailyPred_Primera,0),0),"-")</f>
        <v>X|1-1</v>
      </c>
      <c r="H14" s="162" t="str">
        <f aca="false">IFERROR(VLOOKUP(H$2,Rango_Admin_DailyPred,MATCH($F14,Rango_Admin_DailyPred_Primera,0),0),"-")</f>
        <v>1|1-0</v>
      </c>
      <c r="I14" s="162" t="str">
        <f aca="false">IFERROR(VLOOKUP(I$2,Rango_Admin_DailyPred,MATCH($F14,Rango_Admin_DailyPred_Primera,0),0),"-")</f>
        <v>1|2-0</v>
      </c>
      <c r="J14" s="162" t="str">
        <f aca="false">IFERROR(VLOOKUP(J$2,Rango_Admin_DailyPred,MATCH($F14,Rango_Admin_DailyPred_Primera,0),0),"-")</f>
        <v>1|2-0</v>
      </c>
      <c r="K14" s="162" t="str">
        <f aca="false">IFERROR(VLOOKUP(K$2,Rango_Admin_DailyPred,MATCH($F14,Rango_Admin_DailyPred_Primera,0),0),"-")</f>
        <v>1|2-0</v>
      </c>
      <c r="L14" s="162" t="str">
        <f aca="false">IFERROR(VLOOKUP(L$2,Rango_Admin_DailyPred,MATCH($F14,Rango_Admin_DailyPred_Primera,0),0),"-")</f>
        <v>-</v>
      </c>
      <c r="M14" s="162" t="str">
        <f aca="false">IFERROR(VLOOKUP(M$2,Rango_Admin_DailyPred,MATCH($F14,Rango_Admin_DailyPred_Primera,0),0),"-")</f>
        <v>-</v>
      </c>
      <c r="N14" s="162" t="str">
        <f aca="false">IFERROR(VLOOKUP(N$2,Rango_Admin_DailyPred,MATCH($F14,Rango_Admin_DailyPred_Primera,0),0),"-")</f>
        <v>-</v>
      </c>
      <c r="O14" s="162" t="str">
        <f aca="false">IFERROR(VLOOKUP(O$2,Rango_Admin_DailyPred,MATCH($F14,Rango_Admin_DailyPred_Primera,0),0),"-")</f>
        <v>-</v>
      </c>
      <c r="P14" s="162" t="str">
        <f aca="false">IFERROR(VLOOKUP(P$2,Rango_Admin_DailyPred,MATCH($F14,Rango_Admin_DailyPred_Primera,0),0),"-")</f>
        <v>-</v>
      </c>
      <c r="Q14" s="162" t="str">
        <f aca="false">IFERROR(VLOOKUP(Q$2,Rango_Admin_DailyPred,MATCH($F14,Rango_Admin_DailyPred_Primera,0),0),"-")</f>
        <v>-</v>
      </c>
      <c r="R14" s="162" t="str">
        <f aca="false">IFERROR(VLOOKUP(R$2,Rango_Admin_DailyPred,MATCH($F14,Rango_Admin_DailyPred_Primera,0),0),"-")</f>
        <v>-</v>
      </c>
      <c r="S14" s="162" t="str">
        <f aca="false">IFERROR(VLOOKUP(S$2,Rango_Admin_DailyPred,MATCH($F14,Rango_Admin_DailyPred_Primera,0),0),"-")</f>
        <v>-</v>
      </c>
      <c r="T14" s="162" t="str">
        <f aca="false">IFERROR(VLOOKUP(T$2,Rango_Admin_DailyPred,MATCH($F14,Rango_Admin_DailyPred_Primera,0),0),"-")</f>
        <v>-</v>
      </c>
      <c r="U14" s="162" t="str">
        <f aca="false">IFERROR(VLOOKUP(U$2,Rango_Admin_DailyPred,MATCH($F14,Rango_Admin_DailyPred_Primera,0),0),"-")</f>
        <v>-</v>
      </c>
      <c r="V14" s="162" t="str">
        <f aca="false">IFERROR(VLOOKUP(V$2,Rango_Admin_DailyPred,MATCH($F14,Rango_Admin_DailyPred_Primera,0),0),"-")</f>
        <v>-</v>
      </c>
      <c r="W14" s="162" t="str">
        <f aca="false">IFERROR(VLOOKUP(W$2,Rango_Admin_DailyPred,MATCH($F14,Rango_Admin_DailyPred_Primera,0),0),"-")</f>
        <v>-</v>
      </c>
      <c r="X14" s="162" t="str">
        <f aca="false">IFERROR(VLOOKUP(X$2,Rango_Admin_DailyPred,MATCH($F14,Rango_Admin_DailyPred_Primera,0),0),"-")</f>
        <v>-</v>
      </c>
      <c r="Y14" s="162" t="str">
        <f aca="false">IFERROR(VLOOKUP(Y$2,Rango_Admin_DailyPred,MATCH($F14,Rango_Admin_DailyPred_Primera,0),0),"-")</f>
        <v>-</v>
      </c>
      <c r="Z14" s="162" t="str">
        <f aca="false">IFERROR(VLOOKUP(Z$2,Rango_Admin_DailyPred,MATCH($F14,Rango_Admin_DailyPred_Primera,0),0),"-")</f>
        <v>-</v>
      </c>
      <c r="AA14" s="162" t="str">
        <f aca="false">IFERROR(VLOOKUP(AA$2,Rango_Admin_DailyPred,MATCH($F14,Rango_Admin_DailyPred_Primera,0),0),"-")</f>
        <v>-</v>
      </c>
      <c r="AB14" s="162" t="str">
        <f aca="false">IFERROR(VLOOKUP(AB$2,Rango_Admin_DailyPred,MATCH($F14,Rango_Admin_DailyPred_Primera,0),0),"-")</f>
        <v>-</v>
      </c>
      <c r="AC14" s="162" t="str">
        <f aca="false">IFERROR(VLOOKUP(AC$2,Rango_Admin_DailyPred,MATCH($F14,Rango_Admin_DailyPred_Primera,0),0),"-")</f>
        <v>-</v>
      </c>
      <c r="AD14" s="162" t="str">
        <f aca="false">IFERROR(VLOOKUP(AD$2,Rango_Admin_DailyPred,MATCH($F14,Rango_Admin_DailyPred_Primera,0),0),"-")</f>
        <v>-</v>
      </c>
      <c r="AE14" s="162" t="str">
        <f aca="false">IFERROR(VLOOKUP(AE$2,Rango_Admin_DailyPred,MATCH($F14,Rango_Admin_DailyPred_Primera,0),0),"-")</f>
        <v>-</v>
      </c>
      <c r="AF14" s="162" t="str">
        <f aca="false">IFERROR(VLOOKUP(AF$2,Rango_Admin_DailyPred,MATCH($F14,Rango_Admin_DailyPred_Primera,0),0),"-")</f>
        <v>-</v>
      </c>
      <c r="AG14" s="162" t="str">
        <f aca="false">IFERROR(VLOOKUP(AG$2,Rango_Admin_DailyPred,MATCH($F14,Rango_Admin_DailyPred_Primera,0),0),"-")</f>
        <v>-</v>
      </c>
      <c r="AH14" s="162" t="str">
        <f aca="false">IFERROR(VLOOKUP(AH$2,Rango_Admin_DailyPred,MATCH($F14,Rango_Admin_DailyPred_Primera,0),0),"-")</f>
        <v>-</v>
      </c>
      <c r="AI14" s="162" t="str">
        <f aca="false">IFERROR(VLOOKUP(AI$2,Rango_Admin_DailyPred,MATCH($F14,Rango_Admin_DailyPred_Primera,0),0),"-")</f>
        <v>-</v>
      </c>
      <c r="AJ14" s="162" t="str">
        <f aca="false">IFERROR(VLOOKUP(AJ$2,Rango_Admin_DailyPred,MATCH($F14,Rango_Admin_DailyPred_Primera,0),0),"-")</f>
        <v>-</v>
      </c>
      <c r="AK14" s="162" t="str">
        <f aca="false">IFERROR(VLOOKUP(AK$2,Rango_Admin_DailyPred,MATCH($F14,Rango_Admin_DailyPred_Primera,0),0),"-")</f>
        <v>-</v>
      </c>
      <c r="AL14" s="162" t="str">
        <f aca="false">IFERROR(VLOOKUP(AL$2,Rango_Admin_DailyPred,MATCH($F14,Rango_Admin_DailyPred_Primera,0),0),"-")</f>
        <v>-</v>
      </c>
      <c r="AM14" s="244"/>
      <c r="AN14" s="244"/>
      <c r="AO14" s="244"/>
    </row>
    <row r="15" customFormat="false" ht="23.85" hidden="false" customHeight="false" outlineLevel="0" collapsed="false">
      <c r="A15" s="30" t="str">
        <f aca="false" t="array" ref="A15:A15">IFERROR(INDEX(ADMIN!$K$6:$K$258,SMALL(IF(ADMIN!$G$6:$G$258=$J$1,ROW(ADMIN!$G$6:$G$258)-ROW(ADMIN!$G$6)+1),ROWS($A$1:A12))),"")</f>
        <v/>
      </c>
      <c r="B15" s="475" t="str">
        <f aca="false">A15&amp;CHAR(10)&amp;C15</f>
        <v>
</v>
      </c>
      <c r="C15" s="30" t="str">
        <f aca="false" t="array" ref="C15:C15">IFERROR(IF(INDEX(ADMIN!$M$6:$M$258,SMALL(IF(ADMIN!$G$6:$G$258=$J$1,ROW(ADMIN!$G$6:$G$258)-ROW(ADMIN!$G$6)+1),ROWS($A$1:A12)))="-", "", " ("&amp;INDEX(ADMIN!$M$6:$M$258,SMALL(IF(ADMIN!$G$6:$G$258=$J$1,ROW(ADMIN!$G$6:$G$258)-ROW(ADMIN!$G$6)+1),ROWS($A$1:A12)))&amp;")"),"")</f>
        <v/>
      </c>
      <c r="D15" s="30" t="str">
        <f aca="false" t="array" ref="D15:D15">IFERROR(IF($J$1&gt;=20,INDEX(ADMIN!$C$6:$C$258,SMALL(IF(ADMIN!$G$6:$G$258=$J$1,ROW(ADMIN!$G$6:$G$258)-ROW(ADMIN!$G$6)+1),ROWS($D$1:D12))),""),"")</f>
        <v/>
      </c>
      <c r="E15" s="437" t="n">
        <f aca="false">+E14+3</f>
        <v>42</v>
      </c>
      <c r="F15" s="476" t="str">
        <f aca="false" t="array" ref="F15:F15">IFERROR(INDEX(Rango_Admin_DailyPred_Primera,1,E15),"-")</f>
        <v>MIKEL</v>
      </c>
      <c r="G15" s="162" t="str">
        <f aca="false">IFERROR(VLOOKUP(G$2,Rango_Admin_DailyPred,MATCH($F15,Rango_Admin_DailyPred_Primera,0),0),"-")</f>
        <v>2|1-2</v>
      </c>
      <c r="H15" s="162" t="str">
        <f aca="false">IFERROR(VLOOKUP(H$2,Rango_Admin_DailyPred,MATCH($F15,Rango_Admin_DailyPred_Primera,0),0),"-")</f>
        <v>1|2-1</v>
      </c>
      <c r="I15" s="162" t="str">
        <f aca="false">IFERROR(VLOOKUP(I$2,Rango_Admin_DailyPred,MATCH($F15,Rango_Admin_DailyPred_Primera,0),0),"-")</f>
        <v>1|2-1</v>
      </c>
      <c r="J15" s="162" t="str">
        <f aca="false">IFERROR(VLOOKUP(J$2,Rango_Admin_DailyPred,MATCH($F15,Rango_Admin_DailyPred_Primera,0),0),"-")</f>
        <v>1|2-0</v>
      </c>
      <c r="K15" s="162" t="str">
        <f aca="false">IFERROR(VLOOKUP(K$2,Rango_Admin_DailyPred,MATCH($F15,Rango_Admin_DailyPred_Primera,0),0),"-")</f>
        <v>1|3-1</v>
      </c>
      <c r="L15" s="162" t="str">
        <f aca="false">IFERROR(VLOOKUP(L$2,Rango_Admin_DailyPred,MATCH($F15,Rango_Admin_DailyPred_Primera,0),0),"-")</f>
        <v>-</v>
      </c>
      <c r="M15" s="162" t="str">
        <f aca="false">IFERROR(VLOOKUP(M$2,Rango_Admin_DailyPred,MATCH($F15,Rango_Admin_DailyPred_Primera,0),0),"-")</f>
        <v>-</v>
      </c>
      <c r="N15" s="162" t="str">
        <f aca="false">IFERROR(VLOOKUP(N$2,Rango_Admin_DailyPred,MATCH($F15,Rango_Admin_DailyPred_Primera,0),0),"-")</f>
        <v>-</v>
      </c>
      <c r="O15" s="162" t="str">
        <f aca="false">IFERROR(VLOOKUP(O$2,Rango_Admin_DailyPred,MATCH($F15,Rango_Admin_DailyPred_Primera,0),0),"-")</f>
        <v>-</v>
      </c>
      <c r="P15" s="162" t="str">
        <f aca="false">IFERROR(VLOOKUP(P$2,Rango_Admin_DailyPred,MATCH($F15,Rango_Admin_DailyPred_Primera,0),0),"-")</f>
        <v>-</v>
      </c>
      <c r="Q15" s="162" t="str">
        <f aca="false">IFERROR(VLOOKUP(Q$2,Rango_Admin_DailyPred,MATCH($F15,Rango_Admin_DailyPred_Primera,0),0),"-")</f>
        <v>-</v>
      </c>
      <c r="R15" s="162" t="str">
        <f aca="false">IFERROR(VLOOKUP(R$2,Rango_Admin_DailyPred,MATCH($F15,Rango_Admin_DailyPred_Primera,0),0),"-")</f>
        <v>-</v>
      </c>
      <c r="S15" s="162" t="str">
        <f aca="false">IFERROR(VLOOKUP(S$2,Rango_Admin_DailyPred,MATCH($F15,Rango_Admin_DailyPred_Primera,0),0),"-")</f>
        <v>-</v>
      </c>
      <c r="T15" s="162" t="str">
        <f aca="false">IFERROR(VLOOKUP(T$2,Rango_Admin_DailyPred,MATCH($F15,Rango_Admin_DailyPred_Primera,0),0),"-")</f>
        <v>-</v>
      </c>
      <c r="U15" s="162" t="str">
        <f aca="false">IFERROR(VLOOKUP(U$2,Rango_Admin_DailyPred,MATCH($F15,Rango_Admin_DailyPred_Primera,0),0),"-")</f>
        <v>-</v>
      </c>
      <c r="V15" s="162" t="str">
        <f aca="false">IFERROR(VLOOKUP(V$2,Rango_Admin_DailyPred,MATCH($F15,Rango_Admin_DailyPred_Primera,0),0),"-")</f>
        <v>-</v>
      </c>
      <c r="W15" s="162" t="str">
        <f aca="false">IFERROR(VLOOKUP(W$2,Rango_Admin_DailyPred,MATCH($F15,Rango_Admin_DailyPred_Primera,0),0),"-")</f>
        <v>-</v>
      </c>
      <c r="X15" s="162" t="str">
        <f aca="false">IFERROR(VLOOKUP(X$2,Rango_Admin_DailyPred,MATCH($F15,Rango_Admin_DailyPred_Primera,0),0),"-")</f>
        <v>-</v>
      </c>
      <c r="Y15" s="162" t="str">
        <f aca="false">IFERROR(VLOOKUP(Y$2,Rango_Admin_DailyPred,MATCH($F15,Rango_Admin_DailyPred_Primera,0),0),"-")</f>
        <v>-</v>
      </c>
      <c r="Z15" s="162" t="str">
        <f aca="false">IFERROR(VLOOKUP(Z$2,Rango_Admin_DailyPred,MATCH($F15,Rango_Admin_DailyPred_Primera,0),0),"-")</f>
        <v>-</v>
      </c>
      <c r="AA15" s="162" t="str">
        <f aca="false">IFERROR(VLOOKUP(AA$2,Rango_Admin_DailyPred,MATCH($F15,Rango_Admin_DailyPred_Primera,0),0),"-")</f>
        <v>-</v>
      </c>
      <c r="AB15" s="162" t="str">
        <f aca="false">IFERROR(VLOOKUP(AB$2,Rango_Admin_DailyPred,MATCH($F15,Rango_Admin_DailyPred_Primera,0),0),"-")</f>
        <v>-</v>
      </c>
      <c r="AC15" s="162" t="str">
        <f aca="false">IFERROR(VLOOKUP(AC$2,Rango_Admin_DailyPred,MATCH($F15,Rango_Admin_DailyPred_Primera,0),0),"-")</f>
        <v>-</v>
      </c>
      <c r="AD15" s="162" t="str">
        <f aca="false">IFERROR(VLOOKUP(AD$2,Rango_Admin_DailyPred,MATCH($F15,Rango_Admin_DailyPred_Primera,0),0),"-")</f>
        <v>-</v>
      </c>
      <c r="AE15" s="162" t="str">
        <f aca="false">IFERROR(VLOOKUP(AE$2,Rango_Admin_DailyPred,MATCH($F15,Rango_Admin_DailyPred_Primera,0),0),"-")</f>
        <v>-</v>
      </c>
      <c r="AF15" s="162" t="str">
        <f aca="false">IFERROR(VLOOKUP(AF$2,Rango_Admin_DailyPred,MATCH($F15,Rango_Admin_DailyPred_Primera,0),0),"-")</f>
        <v>-</v>
      </c>
      <c r="AG15" s="162" t="str">
        <f aca="false">IFERROR(VLOOKUP(AG$2,Rango_Admin_DailyPred,MATCH($F15,Rango_Admin_DailyPred_Primera,0),0),"-")</f>
        <v>-</v>
      </c>
      <c r="AH15" s="162" t="str">
        <f aca="false">IFERROR(VLOOKUP(AH$2,Rango_Admin_DailyPred,MATCH($F15,Rango_Admin_DailyPred_Primera,0),0),"-")</f>
        <v>-</v>
      </c>
      <c r="AI15" s="162" t="str">
        <f aca="false">IFERROR(VLOOKUP(AI$2,Rango_Admin_DailyPred,MATCH($F15,Rango_Admin_DailyPred_Primera,0),0),"-")</f>
        <v>-</v>
      </c>
      <c r="AJ15" s="162" t="str">
        <f aca="false">IFERROR(VLOOKUP(AJ$2,Rango_Admin_DailyPred,MATCH($F15,Rango_Admin_DailyPred_Primera,0),0),"-")</f>
        <v>-</v>
      </c>
      <c r="AK15" s="162" t="str">
        <f aca="false">IFERROR(VLOOKUP(AK$2,Rango_Admin_DailyPred,MATCH($F15,Rango_Admin_DailyPred_Primera,0),0),"-")</f>
        <v>-</v>
      </c>
      <c r="AL15" s="162" t="str">
        <f aca="false">IFERROR(VLOOKUP(AL$2,Rango_Admin_DailyPred,MATCH($F15,Rango_Admin_DailyPred_Primera,0),0),"-")</f>
        <v>-</v>
      </c>
      <c r="AM15" s="244"/>
      <c r="AN15" s="244"/>
      <c r="AO15" s="244"/>
    </row>
    <row r="16" customFormat="false" ht="23.85" hidden="false" customHeight="false" outlineLevel="0" collapsed="false">
      <c r="A16" s="30" t="str">
        <f aca="false" t="array" ref="A16:A16">IFERROR(INDEX(ADMIN!$K$6:$K$258,SMALL(IF(ADMIN!$G$6:$G$258=$J$1,ROW(ADMIN!$G$6:$G$258)-ROW(ADMIN!$G$6)+1),ROWS($A$1:A13))),"")</f>
        <v/>
      </c>
      <c r="B16" s="475" t="str">
        <f aca="false">A16&amp;CHAR(10)&amp;C16</f>
        <v>
</v>
      </c>
      <c r="C16" s="30" t="str">
        <f aca="false" t="array" ref="C16:C16">IFERROR(IF(INDEX(ADMIN!$M$6:$M$258,SMALL(IF(ADMIN!$G$6:$G$258=$J$1,ROW(ADMIN!$G$6:$G$258)-ROW(ADMIN!$G$6)+1),ROWS($A$1:A13)))="-", "", " ("&amp;INDEX(ADMIN!$M$6:$M$258,SMALL(IF(ADMIN!$G$6:$G$258=$J$1,ROW(ADMIN!$G$6:$G$258)-ROW(ADMIN!$G$6)+1),ROWS($A$1:A13)))&amp;")"),"")</f>
        <v/>
      </c>
      <c r="D16" s="30" t="str">
        <f aca="false" t="array" ref="D16:D16">IFERROR(IF($J$1&gt;=20,INDEX(ADMIN!$C$6:$C$258,SMALL(IF(ADMIN!$G$6:$G$258=$J$1,ROW(ADMIN!$G$6:$G$258)-ROW(ADMIN!$G$6)+1),ROWS($D$1:D13))),""),"")</f>
        <v/>
      </c>
      <c r="E16" s="437" t="n">
        <f aca="false">+E15+3</f>
        <v>45</v>
      </c>
      <c r="F16" s="476" t="str">
        <f aca="false" t="array" ref="F16:F16">IFERROR(INDEX(Rango_Admin_DailyPred_Primera,1,E16),"-")</f>
        <v>JON</v>
      </c>
      <c r="G16" s="162" t="str">
        <f aca="false">IFERROR(VLOOKUP(G$2,Rango_Admin_DailyPred,MATCH($F16,Rango_Admin_DailyPred_Primera,0),0),"-")</f>
        <v>X|1-1</v>
      </c>
      <c r="H16" s="162" t="str">
        <f aca="false">IFERROR(VLOOKUP(H$2,Rango_Admin_DailyPred,MATCH($F16,Rango_Admin_DailyPred_Primera,0),0),"-")</f>
        <v>1|3-1</v>
      </c>
      <c r="I16" s="162" t="str">
        <f aca="false">IFERROR(VLOOKUP(I$2,Rango_Admin_DailyPred,MATCH($F16,Rango_Admin_DailyPred_Primera,0),0),"-")</f>
        <v>1|2-1</v>
      </c>
      <c r="J16" s="162" t="str">
        <f aca="false">IFERROR(VLOOKUP(J$2,Rango_Admin_DailyPred,MATCH($F16,Rango_Admin_DailyPred_Primera,0),0),"-")</f>
        <v>1|2-1</v>
      </c>
      <c r="K16" s="162" t="str">
        <f aca="false">IFERROR(VLOOKUP(K$2,Rango_Admin_DailyPred,MATCH($F16,Rango_Admin_DailyPred_Primera,0),0),"-")</f>
        <v>1|2-0</v>
      </c>
      <c r="L16" s="162" t="str">
        <f aca="false">IFERROR(VLOOKUP(L$2,Rango_Admin_DailyPred,MATCH($F16,Rango_Admin_DailyPred_Primera,0),0),"-")</f>
        <v>-</v>
      </c>
      <c r="M16" s="162" t="str">
        <f aca="false">IFERROR(VLOOKUP(M$2,Rango_Admin_DailyPred,MATCH($F16,Rango_Admin_DailyPred_Primera,0),0),"-")</f>
        <v>-</v>
      </c>
      <c r="N16" s="162" t="str">
        <f aca="false">IFERROR(VLOOKUP(N$2,Rango_Admin_DailyPred,MATCH($F16,Rango_Admin_DailyPred_Primera,0),0),"-")</f>
        <v>-</v>
      </c>
      <c r="O16" s="162" t="str">
        <f aca="false">IFERROR(VLOOKUP(O$2,Rango_Admin_DailyPred,MATCH($F16,Rango_Admin_DailyPred_Primera,0),0),"-")</f>
        <v>-</v>
      </c>
      <c r="P16" s="162" t="str">
        <f aca="false">IFERROR(VLOOKUP(P$2,Rango_Admin_DailyPred,MATCH($F16,Rango_Admin_DailyPred_Primera,0),0),"-")</f>
        <v>-</v>
      </c>
      <c r="Q16" s="162" t="str">
        <f aca="false">IFERROR(VLOOKUP(Q$2,Rango_Admin_DailyPred,MATCH($F16,Rango_Admin_DailyPred_Primera,0),0),"-")</f>
        <v>-</v>
      </c>
      <c r="R16" s="162" t="str">
        <f aca="false">IFERROR(VLOOKUP(R$2,Rango_Admin_DailyPred,MATCH($F16,Rango_Admin_DailyPred_Primera,0),0),"-")</f>
        <v>-</v>
      </c>
      <c r="S16" s="162" t="str">
        <f aca="false">IFERROR(VLOOKUP(S$2,Rango_Admin_DailyPred,MATCH($F16,Rango_Admin_DailyPred_Primera,0),0),"-")</f>
        <v>-</v>
      </c>
      <c r="T16" s="162" t="str">
        <f aca="false">IFERROR(VLOOKUP(T$2,Rango_Admin_DailyPred,MATCH($F16,Rango_Admin_DailyPred_Primera,0),0),"-")</f>
        <v>-</v>
      </c>
      <c r="U16" s="162" t="str">
        <f aca="false">IFERROR(VLOOKUP(U$2,Rango_Admin_DailyPred,MATCH($F16,Rango_Admin_DailyPred_Primera,0),0),"-")</f>
        <v>-</v>
      </c>
      <c r="V16" s="162" t="str">
        <f aca="false">IFERROR(VLOOKUP(V$2,Rango_Admin_DailyPred,MATCH($F16,Rango_Admin_DailyPred_Primera,0),0),"-")</f>
        <v>-</v>
      </c>
      <c r="W16" s="162" t="str">
        <f aca="false">IFERROR(VLOOKUP(W$2,Rango_Admin_DailyPred,MATCH($F16,Rango_Admin_DailyPred_Primera,0),0),"-")</f>
        <v>-</v>
      </c>
      <c r="X16" s="162" t="str">
        <f aca="false">IFERROR(VLOOKUP(X$2,Rango_Admin_DailyPred,MATCH($F16,Rango_Admin_DailyPred_Primera,0),0),"-")</f>
        <v>-</v>
      </c>
      <c r="Y16" s="162" t="str">
        <f aca="false">IFERROR(VLOOKUP(Y$2,Rango_Admin_DailyPred,MATCH($F16,Rango_Admin_DailyPred_Primera,0),0),"-")</f>
        <v>-</v>
      </c>
      <c r="Z16" s="162" t="str">
        <f aca="false">IFERROR(VLOOKUP(Z$2,Rango_Admin_DailyPred,MATCH($F16,Rango_Admin_DailyPred_Primera,0),0),"-")</f>
        <v>-</v>
      </c>
      <c r="AA16" s="162" t="str">
        <f aca="false">IFERROR(VLOOKUP(AA$2,Rango_Admin_DailyPred,MATCH($F16,Rango_Admin_DailyPred_Primera,0),0),"-")</f>
        <v>-</v>
      </c>
      <c r="AB16" s="162" t="str">
        <f aca="false">IFERROR(VLOOKUP(AB$2,Rango_Admin_DailyPred,MATCH($F16,Rango_Admin_DailyPred_Primera,0),0),"-")</f>
        <v>-</v>
      </c>
      <c r="AC16" s="162" t="str">
        <f aca="false">IFERROR(VLOOKUP(AC$2,Rango_Admin_DailyPred,MATCH($F16,Rango_Admin_DailyPred_Primera,0),0),"-")</f>
        <v>-</v>
      </c>
      <c r="AD16" s="162" t="str">
        <f aca="false">IFERROR(VLOOKUP(AD$2,Rango_Admin_DailyPred,MATCH($F16,Rango_Admin_DailyPred_Primera,0),0),"-")</f>
        <v>-</v>
      </c>
      <c r="AE16" s="162" t="str">
        <f aca="false">IFERROR(VLOOKUP(AE$2,Rango_Admin_DailyPred,MATCH($F16,Rango_Admin_DailyPred_Primera,0),0),"-")</f>
        <v>-</v>
      </c>
      <c r="AF16" s="162" t="str">
        <f aca="false">IFERROR(VLOOKUP(AF$2,Rango_Admin_DailyPred,MATCH($F16,Rango_Admin_DailyPred_Primera,0),0),"-")</f>
        <v>-</v>
      </c>
      <c r="AG16" s="162" t="str">
        <f aca="false">IFERROR(VLOOKUP(AG$2,Rango_Admin_DailyPred,MATCH($F16,Rango_Admin_DailyPred_Primera,0),0),"-")</f>
        <v>-</v>
      </c>
      <c r="AH16" s="162" t="str">
        <f aca="false">IFERROR(VLOOKUP(AH$2,Rango_Admin_DailyPred,MATCH($F16,Rango_Admin_DailyPred_Primera,0),0),"-")</f>
        <v>-</v>
      </c>
      <c r="AI16" s="162" t="str">
        <f aca="false">IFERROR(VLOOKUP(AI$2,Rango_Admin_DailyPred,MATCH($F16,Rango_Admin_DailyPred_Primera,0),0),"-")</f>
        <v>-</v>
      </c>
      <c r="AJ16" s="162" t="str">
        <f aca="false">IFERROR(VLOOKUP(AJ$2,Rango_Admin_DailyPred,MATCH($F16,Rango_Admin_DailyPred_Primera,0),0),"-")</f>
        <v>-</v>
      </c>
      <c r="AK16" s="162" t="str">
        <f aca="false">IFERROR(VLOOKUP(AK$2,Rango_Admin_DailyPred,MATCH($F16,Rango_Admin_DailyPred_Primera,0),0),"-")</f>
        <v>-</v>
      </c>
      <c r="AL16" s="162" t="str">
        <f aca="false">IFERROR(VLOOKUP(AL$2,Rango_Admin_DailyPred,MATCH($F16,Rango_Admin_DailyPred_Primera,0),0),"-")</f>
        <v>-</v>
      </c>
      <c r="AM16" s="244"/>
      <c r="AN16" s="244"/>
      <c r="AO16" s="244"/>
    </row>
    <row r="17" customFormat="false" ht="23.85" hidden="false" customHeight="false" outlineLevel="0" collapsed="false">
      <c r="A17" s="30" t="str">
        <f aca="false" t="array" ref="A17:A17">IFERROR(INDEX(ADMIN!$K$6:$K$258,SMALL(IF(ADMIN!$G$6:$G$258=$J$1,ROW(ADMIN!$G$6:$G$258)-ROW(ADMIN!$G$6)+1),ROWS($A$1:A14))),"")</f>
        <v/>
      </c>
      <c r="B17" s="475" t="str">
        <f aca="false">A17&amp;CHAR(10)&amp;C17</f>
        <v>
</v>
      </c>
      <c r="C17" s="30" t="str">
        <f aca="false" t="array" ref="C17:C17">IFERROR(IF(INDEX(ADMIN!$M$6:$M$258,SMALL(IF(ADMIN!$G$6:$G$258=$J$1,ROW(ADMIN!$G$6:$G$258)-ROW(ADMIN!$G$6)+1),ROWS($A$1:A14)))="-", "", " ("&amp;INDEX(ADMIN!$M$6:$M$258,SMALL(IF(ADMIN!$G$6:$G$258=$J$1,ROW(ADMIN!$G$6:$G$258)-ROW(ADMIN!$G$6)+1),ROWS($A$1:A14)))&amp;")"),"")</f>
        <v/>
      </c>
      <c r="D17" s="30" t="str">
        <f aca="false" t="array" ref="D17:D17">IFERROR(IF($J$1&gt;=20,INDEX(ADMIN!$C$6:$C$258,SMALL(IF(ADMIN!$G$6:$G$258=$J$1,ROW(ADMIN!$G$6:$G$258)-ROW(ADMIN!$G$6)+1),ROWS($D$1:D14))),""),"")</f>
        <v/>
      </c>
      <c r="E17" s="437" t="n">
        <f aca="false">+E16+3</f>
        <v>48</v>
      </c>
      <c r="F17" s="476" t="str">
        <f aca="false" t="array" ref="F17:F17">IFERROR(INDEX(Rango_Admin_DailyPred_Primera,1,E17),"-")</f>
        <v>GALDER</v>
      </c>
      <c r="G17" s="162" t="str">
        <f aca="false">IFERROR(VLOOKUP(G$2,Rango_Admin_DailyPred,MATCH($F17,Rango_Admin_DailyPred_Primera,0),0),"-")</f>
        <v>2|0-1</v>
      </c>
      <c r="H17" s="162" t="str">
        <f aca="false">IFERROR(VLOOKUP(H$2,Rango_Admin_DailyPred,MATCH($F17,Rango_Admin_DailyPred_Primera,0),0),"-")</f>
        <v>1|3-1</v>
      </c>
      <c r="I17" s="162" t="str">
        <f aca="false">IFERROR(VLOOKUP(I$2,Rango_Admin_DailyPred,MATCH($F17,Rango_Admin_DailyPred_Primera,0),0),"-")</f>
        <v>1|2-1</v>
      </c>
      <c r="J17" s="162" t="str">
        <f aca="false">IFERROR(VLOOKUP(J$2,Rango_Admin_DailyPred,MATCH($F17,Rango_Admin_DailyPred_Primera,0),0),"-")</f>
        <v>1|4-0</v>
      </c>
      <c r="K17" s="162" t="str">
        <f aca="false">IFERROR(VLOOKUP(K$2,Rango_Admin_DailyPred,MATCH($F17,Rango_Admin_DailyPred_Primera,0),0),"-")</f>
        <v>1|5-0</v>
      </c>
      <c r="L17" s="162" t="str">
        <f aca="false">IFERROR(VLOOKUP(L$2,Rango_Admin_DailyPred,MATCH($F17,Rango_Admin_DailyPred_Primera,0),0),"-")</f>
        <v>-</v>
      </c>
      <c r="M17" s="162" t="str">
        <f aca="false">IFERROR(VLOOKUP(M$2,Rango_Admin_DailyPred,MATCH($F17,Rango_Admin_DailyPred_Primera,0),0),"-")</f>
        <v>-</v>
      </c>
      <c r="N17" s="162" t="str">
        <f aca="false">IFERROR(VLOOKUP(N$2,Rango_Admin_DailyPred,MATCH($F17,Rango_Admin_DailyPred_Primera,0),0),"-")</f>
        <v>-</v>
      </c>
      <c r="O17" s="162" t="str">
        <f aca="false">IFERROR(VLOOKUP(O$2,Rango_Admin_DailyPred,MATCH($F17,Rango_Admin_DailyPred_Primera,0),0),"-")</f>
        <v>-</v>
      </c>
      <c r="P17" s="162" t="str">
        <f aca="false">IFERROR(VLOOKUP(P$2,Rango_Admin_DailyPred,MATCH($F17,Rango_Admin_DailyPred_Primera,0),0),"-")</f>
        <v>-</v>
      </c>
      <c r="Q17" s="162" t="str">
        <f aca="false">IFERROR(VLOOKUP(Q$2,Rango_Admin_DailyPred,MATCH($F17,Rango_Admin_DailyPred_Primera,0),0),"-")</f>
        <v>-</v>
      </c>
      <c r="R17" s="162" t="str">
        <f aca="false">IFERROR(VLOOKUP(R$2,Rango_Admin_DailyPred,MATCH($F17,Rango_Admin_DailyPred_Primera,0),0),"-")</f>
        <v>-</v>
      </c>
      <c r="S17" s="162" t="str">
        <f aca="false">IFERROR(VLOOKUP(S$2,Rango_Admin_DailyPred,MATCH($F17,Rango_Admin_DailyPred_Primera,0),0),"-")</f>
        <v>-</v>
      </c>
      <c r="T17" s="162" t="str">
        <f aca="false">IFERROR(VLOOKUP(T$2,Rango_Admin_DailyPred,MATCH($F17,Rango_Admin_DailyPred_Primera,0),0),"-")</f>
        <v>-</v>
      </c>
      <c r="U17" s="162" t="str">
        <f aca="false">IFERROR(VLOOKUP(U$2,Rango_Admin_DailyPred,MATCH($F17,Rango_Admin_DailyPred_Primera,0),0),"-")</f>
        <v>-</v>
      </c>
      <c r="V17" s="162" t="str">
        <f aca="false">IFERROR(VLOOKUP(V$2,Rango_Admin_DailyPred,MATCH($F17,Rango_Admin_DailyPred_Primera,0),0),"-")</f>
        <v>-</v>
      </c>
      <c r="W17" s="162" t="str">
        <f aca="false">IFERROR(VLOOKUP(W$2,Rango_Admin_DailyPred,MATCH($F17,Rango_Admin_DailyPred_Primera,0),0),"-")</f>
        <v>-</v>
      </c>
      <c r="X17" s="162" t="str">
        <f aca="false">IFERROR(VLOOKUP(X$2,Rango_Admin_DailyPred,MATCH($F17,Rango_Admin_DailyPred_Primera,0),0),"-")</f>
        <v>-</v>
      </c>
      <c r="Y17" s="162" t="str">
        <f aca="false">IFERROR(VLOOKUP(Y$2,Rango_Admin_DailyPred,MATCH($F17,Rango_Admin_DailyPred_Primera,0),0),"-")</f>
        <v>-</v>
      </c>
      <c r="Z17" s="162" t="str">
        <f aca="false">IFERROR(VLOOKUP(Z$2,Rango_Admin_DailyPred,MATCH($F17,Rango_Admin_DailyPred_Primera,0),0),"-")</f>
        <v>-</v>
      </c>
      <c r="AA17" s="162" t="str">
        <f aca="false">IFERROR(VLOOKUP(AA$2,Rango_Admin_DailyPred,MATCH($F17,Rango_Admin_DailyPred_Primera,0),0),"-")</f>
        <v>-</v>
      </c>
      <c r="AB17" s="162" t="str">
        <f aca="false">IFERROR(VLOOKUP(AB$2,Rango_Admin_DailyPred,MATCH($F17,Rango_Admin_DailyPred_Primera,0),0),"-")</f>
        <v>-</v>
      </c>
      <c r="AC17" s="162" t="str">
        <f aca="false">IFERROR(VLOOKUP(AC$2,Rango_Admin_DailyPred,MATCH($F17,Rango_Admin_DailyPred_Primera,0),0),"-")</f>
        <v>-</v>
      </c>
      <c r="AD17" s="162" t="str">
        <f aca="false">IFERROR(VLOOKUP(AD$2,Rango_Admin_DailyPred,MATCH($F17,Rango_Admin_DailyPred_Primera,0),0),"-")</f>
        <v>-</v>
      </c>
      <c r="AE17" s="162" t="str">
        <f aca="false">IFERROR(VLOOKUP(AE$2,Rango_Admin_DailyPred,MATCH($F17,Rango_Admin_DailyPred_Primera,0),0),"-")</f>
        <v>-</v>
      </c>
      <c r="AF17" s="162" t="str">
        <f aca="false">IFERROR(VLOOKUP(AF$2,Rango_Admin_DailyPred,MATCH($F17,Rango_Admin_DailyPred_Primera,0),0),"-")</f>
        <v>-</v>
      </c>
      <c r="AG17" s="162" t="str">
        <f aca="false">IFERROR(VLOOKUP(AG$2,Rango_Admin_DailyPred,MATCH($F17,Rango_Admin_DailyPred_Primera,0),0),"-")</f>
        <v>-</v>
      </c>
      <c r="AH17" s="162" t="str">
        <f aca="false">IFERROR(VLOOKUP(AH$2,Rango_Admin_DailyPred,MATCH($F17,Rango_Admin_DailyPred_Primera,0),0),"-")</f>
        <v>-</v>
      </c>
      <c r="AI17" s="162" t="str">
        <f aca="false">IFERROR(VLOOKUP(AI$2,Rango_Admin_DailyPred,MATCH($F17,Rango_Admin_DailyPred_Primera,0),0),"-")</f>
        <v>-</v>
      </c>
      <c r="AJ17" s="162" t="str">
        <f aca="false">IFERROR(VLOOKUP(AJ$2,Rango_Admin_DailyPred,MATCH($F17,Rango_Admin_DailyPred_Primera,0),0),"-")</f>
        <v>-</v>
      </c>
      <c r="AK17" s="162" t="str">
        <f aca="false">IFERROR(VLOOKUP(AK$2,Rango_Admin_DailyPred,MATCH($F17,Rango_Admin_DailyPred_Primera,0),0),"-")</f>
        <v>-</v>
      </c>
      <c r="AL17" s="162" t="str">
        <f aca="false">IFERROR(VLOOKUP(AL$2,Rango_Admin_DailyPred,MATCH($F17,Rango_Admin_DailyPred_Primera,0),0),"-")</f>
        <v>-</v>
      </c>
      <c r="AM17" s="244"/>
      <c r="AN17" s="244"/>
      <c r="AO17" s="244"/>
    </row>
    <row r="18" customFormat="false" ht="23.85" hidden="false" customHeight="false" outlineLevel="0" collapsed="false">
      <c r="A18" s="30" t="str">
        <f aca="false" t="array" ref="A18:A18">IFERROR(INDEX(ADMIN!$K$6:$K$258,SMALL(IF(ADMIN!$G$6:$G$258=$J$1,ROW(ADMIN!$G$6:$G$258)-ROW(ADMIN!$G$6)+1),ROWS($A$1:A15))),"")</f>
        <v/>
      </c>
      <c r="B18" s="475" t="str">
        <f aca="false">A18&amp;CHAR(10)&amp;C18</f>
        <v>
</v>
      </c>
      <c r="C18" s="30" t="str">
        <f aca="false" t="array" ref="C18:C18">IFERROR(IF(INDEX(ADMIN!$M$6:$M$258,SMALL(IF(ADMIN!$G$6:$G$258=$J$1,ROW(ADMIN!$G$6:$G$258)-ROW(ADMIN!$G$6)+1),ROWS($A$1:A15)))="-", "", " ("&amp;INDEX(ADMIN!$M$6:$M$258,SMALL(IF(ADMIN!$G$6:$G$258=$J$1,ROW(ADMIN!$G$6:$G$258)-ROW(ADMIN!$G$6)+1),ROWS($A$1:A15)))&amp;")"),"")</f>
        <v/>
      </c>
      <c r="D18" s="30" t="str">
        <f aca="false" t="array" ref="D18:D18">IFERROR(IF($J$1&gt;=20,INDEX(ADMIN!$C$6:$C$258,SMALL(IF(ADMIN!$G$6:$G$258=$J$1,ROW(ADMIN!$G$6:$G$258)-ROW(ADMIN!$G$6)+1),ROWS($D$1:D15))),""),"")</f>
        <v/>
      </c>
      <c r="E18" s="437" t="n">
        <f aca="false">+E17+3</f>
        <v>51</v>
      </c>
      <c r="F18" s="476" t="str">
        <f aca="false" t="array" ref="F18:F18">IFERROR(INDEX(Rango_Admin_DailyPred_Primera,1,E18),"-")</f>
        <v>ASIER</v>
      </c>
      <c r="G18" s="162" t="str">
        <f aca="false">IFERROR(VLOOKUP(G$2,Rango_Admin_DailyPred,MATCH($F18,Rango_Admin_DailyPred_Primera,0),0),"-")</f>
        <v>2|0-1</v>
      </c>
      <c r="H18" s="162" t="str">
        <f aca="false">IFERROR(VLOOKUP(H$2,Rango_Admin_DailyPred,MATCH($F18,Rango_Admin_DailyPred_Primera,0),0),"-")</f>
        <v>1|2-1</v>
      </c>
      <c r="I18" s="162" t="str">
        <f aca="false">IFERROR(VLOOKUP(I$2,Rango_Admin_DailyPred,MATCH($F18,Rango_Admin_DailyPred_Primera,0),0),"-")</f>
        <v>1|1-0</v>
      </c>
      <c r="J18" s="162" t="str">
        <f aca="false">IFERROR(VLOOKUP(J$2,Rango_Admin_DailyPred,MATCH($F18,Rango_Admin_DailyPred_Primera,0),0),"-")</f>
        <v>1|1-0</v>
      </c>
      <c r="K18" s="162" t="str">
        <f aca="false">IFERROR(VLOOKUP(K$2,Rango_Admin_DailyPred,MATCH($F18,Rango_Admin_DailyPred_Primera,0),0),"-")</f>
        <v>1|1-0</v>
      </c>
      <c r="L18" s="162" t="str">
        <f aca="false">IFERROR(VLOOKUP(L$2,Rango_Admin_DailyPred,MATCH($F18,Rango_Admin_DailyPred_Primera,0),0),"-")</f>
        <v>-</v>
      </c>
      <c r="M18" s="162" t="str">
        <f aca="false">IFERROR(VLOOKUP(M$2,Rango_Admin_DailyPred,MATCH($F18,Rango_Admin_DailyPred_Primera,0),0),"-")</f>
        <v>-</v>
      </c>
      <c r="N18" s="162" t="str">
        <f aca="false">IFERROR(VLOOKUP(N$2,Rango_Admin_DailyPred,MATCH($F18,Rango_Admin_DailyPred_Primera,0),0),"-")</f>
        <v>-</v>
      </c>
      <c r="O18" s="162" t="str">
        <f aca="false">IFERROR(VLOOKUP(O$2,Rango_Admin_DailyPred,MATCH($F18,Rango_Admin_DailyPred_Primera,0),0),"-")</f>
        <v>-</v>
      </c>
      <c r="P18" s="162" t="str">
        <f aca="false">IFERROR(VLOOKUP(P$2,Rango_Admin_DailyPred,MATCH($F18,Rango_Admin_DailyPred_Primera,0),0),"-")</f>
        <v>-</v>
      </c>
      <c r="Q18" s="162" t="str">
        <f aca="false">IFERROR(VLOOKUP(Q$2,Rango_Admin_DailyPred,MATCH($F18,Rango_Admin_DailyPred_Primera,0),0),"-")</f>
        <v>-</v>
      </c>
      <c r="R18" s="162" t="str">
        <f aca="false">IFERROR(VLOOKUP(R$2,Rango_Admin_DailyPred,MATCH($F18,Rango_Admin_DailyPred_Primera,0),0),"-")</f>
        <v>-</v>
      </c>
      <c r="S18" s="162" t="str">
        <f aca="false">IFERROR(VLOOKUP(S$2,Rango_Admin_DailyPred,MATCH($F18,Rango_Admin_DailyPred_Primera,0),0),"-")</f>
        <v>-</v>
      </c>
      <c r="T18" s="162" t="str">
        <f aca="false">IFERROR(VLOOKUP(T$2,Rango_Admin_DailyPred,MATCH($F18,Rango_Admin_DailyPred_Primera,0),0),"-")</f>
        <v>-</v>
      </c>
      <c r="U18" s="162" t="str">
        <f aca="false">IFERROR(VLOOKUP(U$2,Rango_Admin_DailyPred,MATCH($F18,Rango_Admin_DailyPred_Primera,0),0),"-")</f>
        <v>-</v>
      </c>
      <c r="V18" s="162" t="str">
        <f aca="false">IFERROR(VLOOKUP(V$2,Rango_Admin_DailyPred,MATCH($F18,Rango_Admin_DailyPred_Primera,0),0),"-")</f>
        <v>-</v>
      </c>
      <c r="W18" s="162" t="str">
        <f aca="false">IFERROR(VLOOKUP(W$2,Rango_Admin_DailyPred,MATCH($F18,Rango_Admin_DailyPred_Primera,0),0),"-")</f>
        <v>-</v>
      </c>
      <c r="X18" s="162" t="str">
        <f aca="false">IFERROR(VLOOKUP(X$2,Rango_Admin_DailyPred,MATCH($F18,Rango_Admin_DailyPred_Primera,0),0),"-")</f>
        <v>-</v>
      </c>
      <c r="Y18" s="162" t="str">
        <f aca="false">IFERROR(VLOOKUP(Y$2,Rango_Admin_DailyPred,MATCH($F18,Rango_Admin_DailyPred_Primera,0),0),"-")</f>
        <v>-</v>
      </c>
      <c r="Z18" s="162" t="str">
        <f aca="false">IFERROR(VLOOKUP(Z$2,Rango_Admin_DailyPred,MATCH($F18,Rango_Admin_DailyPred_Primera,0),0),"-")</f>
        <v>-</v>
      </c>
      <c r="AA18" s="162" t="str">
        <f aca="false">IFERROR(VLOOKUP(AA$2,Rango_Admin_DailyPred,MATCH($F18,Rango_Admin_DailyPred_Primera,0),0),"-")</f>
        <v>-</v>
      </c>
      <c r="AB18" s="162" t="str">
        <f aca="false">IFERROR(VLOOKUP(AB$2,Rango_Admin_DailyPred,MATCH($F18,Rango_Admin_DailyPred_Primera,0),0),"-")</f>
        <v>-</v>
      </c>
      <c r="AC18" s="162" t="str">
        <f aca="false">IFERROR(VLOOKUP(AC$2,Rango_Admin_DailyPred,MATCH($F18,Rango_Admin_DailyPred_Primera,0),0),"-")</f>
        <v>-</v>
      </c>
      <c r="AD18" s="162" t="str">
        <f aca="false">IFERROR(VLOOKUP(AD$2,Rango_Admin_DailyPred,MATCH($F18,Rango_Admin_DailyPred_Primera,0),0),"-")</f>
        <v>-</v>
      </c>
      <c r="AE18" s="162" t="str">
        <f aca="false">IFERROR(VLOOKUP(AE$2,Rango_Admin_DailyPred,MATCH($F18,Rango_Admin_DailyPred_Primera,0),0),"-")</f>
        <v>-</v>
      </c>
      <c r="AF18" s="162" t="str">
        <f aca="false">IFERROR(VLOOKUP(AF$2,Rango_Admin_DailyPred,MATCH($F18,Rango_Admin_DailyPred_Primera,0),0),"-")</f>
        <v>-</v>
      </c>
      <c r="AG18" s="162" t="str">
        <f aca="false">IFERROR(VLOOKUP(AG$2,Rango_Admin_DailyPred,MATCH($F18,Rango_Admin_DailyPred_Primera,0),0),"-")</f>
        <v>-</v>
      </c>
      <c r="AH18" s="162" t="str">
        <f aca="false">IFERROR(VLOOKUP(AH$2,Rango_Admin_DailyPred,MATCH($F18,Rango_Admin_DailyPred_Primera,0),0),"-")</f>
        <v>-</v>
      </c>
      <c r="AI18" s="162" t="str">
        <f aca="false">IFERROR(VLOOKUP(AI$2,Rango_Admin_DailyPred,MATCH($F18,Rango_Admin_DailyPred_Primera,0),0),"-")</f>
        <v>-</v>
      </c>
      <c r="AJ18" s="162" t="str">
        <f aca="false">IFERROR(VLOOKUP(AJ$2,Rango_Admin_DailyPred,MATCH($F18,Rango_Admin_DailyPred_Primera,0),0),"-")</f>
        <v>-</v>
      </c>
      <c r="AK18" s="162" t="str">
        <f aca="false">IFERROR(VLOOKUP(AK$2,Rango_Admin_DailyPred,MATCH($F18,Rango_Admin_DailyPred_Primera,0),0),"-")</f>
        <v>-</v>
      </c>
      <c r="AL18" s="162" t="str">
        <f aca="false">IFERROR(VLOOKUP(AL$2,Rango_Admin_DailyPred,MATCH($F18,Rango_Admin_DailyPred_Primera,0),0),"-")</f>
        <v>-</v>
      </c>
      <c r="AM18" s="244"/>
      <c r="AN18" s="244"/>
      <c r="AO18" s="244"/>
    </row>
    <row r="19" customFormat="false" ht="23.85" hidden="false" customHeight="false" outlineLevel="0" collapsed="false">
      <c r="A19" s="30" t="str">
        <f aca="false" t="array" ref="A19:A19">IFERROR(INDEX(ADMIN!$K$6:$K$258,SMALL(IF(ADMIN!$G$6:$G$258=$J$1,ROW(ADMIN!$G$6:$G$258)-ROW(ADMIN!$G$6)+1),ROWS($A$1:A16))),"")</f>
        <v/>
      </c>
      <c r="B19" s="475" t="str">
        <f aca="false">A19&amp;CHAR(10)&amp;C19</f>
        <v>
</v>
      </c>
      <c r="C19" s="30" t="str">
        <f aca="false" t="array" ref="C19:C19">IFERROR(IF(INDEX(ADMIN!$M$6:$M$258,SMALL(IF(ADMIN!$G$6:$G$258=$J$1,ROW(ADMIN!$G$6:$G$258)-ROW(ADMIN!$G$6)+1),ROWS($A$1:A16)))="-", "", " ("&amp;INDEX(ADMIN!$M$6:$M$258,SMALL(IF(ADMIN!$G$6:$G$258=$J$1,ROW(ADMIN!$G$6:$G$258)-ROW(ADMIN!$G$6)+1),ROWS($A$1:A16)))&amp;")"),"")</f>
        <v/>
      </c>
      <c r="D19" s="30" t="str">
        <f aca="false" t="array" ref="D19:D19">IFERROR(IF($J$1&gt;=20,INDEX(ADMIN!$C$6:$C$258,SMALL(IF(ADMIN!$G$6:$G$258=$J$1,ROW(ADMIN!$G$6:$G$258)-ROW(ADMIN!$G$6)+1),ROWS($D$1:D16))),""),"")</f>
        <v/>
      </c>
      <c r="E19" s="437" t="n">
        <f aca="false">+E18+3</f>
        <v>54</v>
      </c>
      <c r="F19" s="476" t="str">
        <f aca="false" t="array" ref="F19:F19">IFERROR(INDEX(Rango_Admin_DailyPred_Primera,1,E19),"-")</f>
        <v>PEIO</v>
      </c>
      <c r="G19" s="162" t="str">
        <f aca="false">IFERROR(VLOOKUP(G$2,Rango_Admin_DailyPred,MATCH($F19,Rango_Admin_DailyPred_Primera,0),0),"-")</f>
        <v>1|2-1</v>
      </c>
      <c r="H19" s="162" t="str">
        <f aca="false">IFERROR(VLOOKUP(H$2,Rango_Admin_DailyPred,MATCH($F19,Rango_Admin_DailyPred_Primera,0),0),"-")</f>
        <v>1|2-1</v>
      </c>
      <c r="I19" s="162" t="str">
        <f aca="false">IFERROR(VLOOKUP(I$2,Rango_Admin_DailyPred,MATCH($F19,Rango_Admin_DailyPred_Primera,0),0),"-")</f>
        <v>1|2-0</v>
      </c>
      <c r="J19" s="162" t="str">
        <f aca="false">IFERROR(VLOOKUP(J$2,Rango_Admin_DailyPred,MATCH($F19,Rango_Admin_DailyPred_Primera,0),0),"-")</f>
        <v>1|2-0</v>
      </c>
      <c r="K19" s="162" t="str">
        <f aca="false">IFERROR(VLOOKUP(K$2,Rango_Admin_DailyPred,MATCH($F19,Rango_Admin_DailyPred_Primera,0),0),"-")</f>
        <v>1|2-0</v>
      </c>
      <c r="L19" s="162" t="str">
        <f aca="false">IFERROR(VLOOKUP(L$2,Rango_Admin_DailyPred,MATCH($F19,Rango_Admin_DailyPred_Primera,0),0),"-")</f>
        <v>-</v>
      </c>
      <c r="M19" s="162" t="str">
        <f aca="false">IFERROR(VLOOKUP(M$2,Rango_Admin_DailyPred,MATCH($F19,Rango_Admin_DailyPred_Primera,0),0),"-")</f>
        <v>-</v>
      </c>
      <c r="N19" s="162" t="str">
        <f aca="false">IFERROR(VLOOKUP(N$2,Rango_Admin_DailyPred,MATCH($F19,Rango_Admin_DailyPred_Primera,0),0),"-")</f>
        <v>-</v>
      </c>
      <c r="O19" s="162" t="str">
        <f aca="false">IFERROR(VLOOKUP(O$2,Rango_Admin_DailyPred,MATCH($F19,Rango_Admin_DailyPred_Primera,0),0),"-")</f>
        <v>-</v>
      </c>
      <c r="P19" s="162" t="str">
        <f aca="false">IFERROR(VLOOKUP(P$2,Rango_Admin_DailyPred,MATCH($F19,Rango_Admin_DailyPred_Primera,0),0),"-")</f>
        <v>-</v>
      </c>
      <c r="Q19" s="162" t="str">
        <f aca="false">IFERROR(VLOOKUP(Q$2,Rango_Admin_DailyPred,MATCH($F19,Rango_Admin_DailyPred_Primera,0),0),"-")</f>
        <v>-</v>
      </c>
      <c r="R19" s="162" t="str">
        <f aca="false">IFERROR(VLOOKUP(R$2,Rango_Admin_DailyPred,MATCH($F19,Rango_Admin_DailyPred_Primera,0),0),"-")</f>
        <v>-</v>
      </c>
      <c r="S19" s="162" t="str">
        <f aca="false">IFERROR(VLOOKUP(S$2,Rango_Admin_DailyPred,MATCH($F19,Rango_Admin_DailyPred_Primera,0),0),"-")</f>
        <v>-</v>
      </c>
      <c r="T19" s="162" t="str">
        <f aca="false">IFERROR(VLOOKUP(T$2,Rango_Admin_DailyPred,MATCH($F19,Rango_Admin_DailyPred_Primera,0),0),"-")</f>
        <v>-</v>
      </c>
      <c r="U19" s="162" t="str">
        <f aca="false">IFERROR(VLOOKUP(U$2,Rango_Admin_DailyPred,MATCH($F19,Rango_Admin_DailyPred_Primera,0),0),"-")</f>
        <v>-</v>
      </c>
      <c r="V19" s="162" t="str">
        <f aca="false">IFERROR(VLOOKUP(V$2,Rango_Admin_DailyPred,MATCH($F19,Rango_Admin_DailyPred_Primera,0),0),"-")</f>
        <v>-</v>
      </c>
      <c r="W19" s="162" t="str">
        <f aca="false">IFERROR(VLOOKUP(W$2,Rango_Admin_DailyPred,MATCH($F19,Rango_Admin_DailyPred_Primera,0),0),"-")</f>
        <v>-</v>
      </c>
      <c r="X19" s="162" t="str">
        <f aca="false">IFERROR(VLOOKUP(X$2,Rango_Admin_DailyPred,MATCH($F19,Rango_Admin_DailyPred_Primera,0),0),"-")</f>
        <v>-</v>
      </c>
      <c r="Y19" s="162" t="str">
        <f aca="false">IFERROR(VLOOKUP(Y$2,Rango_Admin_DailyPred,MATCH($F19,Rango_Admin_DailyPred_Primera,0),0),"-")</f>
        <v>-</v>
      </c>
      <c r="Z19" s="162" t="str">
        <f aca="false">IFERROR(VLOOKUP(Z$2,Rango_Admin_DailyPred,MATCH($F19,Rango_Admin_DailyPred_Primera,0),0),"-")</f>
        <v>-</v>
      </c>
      <c r="AA19" s="162" t="str">
        <f aca="false">IFERROR(VLOOKUP(AA$2,Rango_Admin_DailyPred,MATCH($F19,Rango_Admin_DailyPred_Primera,0),0),"-")</f>
        <v>-</v>
      </c>
      <c r="AB19" s="162" t="str">
        <f aca="false">IFERROR(VLOOKUP(AB$2,Rango_Admin_DailyPred,MATCH($F19,Rango_Admin_DailyPred_Primera,0),0),"-")</f>
        <v>-</v>
      </c>
      <c r="AC19" s="162" t="str">
        <f aca="false">IFERROR(VLOOKUP(AC$2,Rango_Admin_DailyPred,MATCH($F19,Rango_Admin_DailyPred_Primera,0),0),"-")</f>
        <v>-</v>
      </c>
      <c r="AD19" s="162" t="str">
        <f aca="false">IFERROR(VLOOKUP(AD$2,Rango_Admin_DailyPred,MATCH($F19,Rango_Admin_DailyPred_Primera,0),0),"-")</f>
        <v>-</v>
      </c>
      <c r="AE19" s="162" t="str">
        <f aca="false">IFERROR(VLOOKUP(AE$2,Rango_Admin_DailyPred,MATCH($F19,Rango_Admin_DailyPred_Primera,0),0),"-")</f>
        <v>-</v>
      </c>
      <c r="AF19" s="162" t="str">
        <f aca="false">IFERROR(VLOOKUP(AF$2,Rango_Admin_DailyPred,MATCH($F19,Rango_Admin_DailyPred_Primera,0),0),"-")</f>
        <v>-</v>
      </c>
      <c r="AG19" s="162" t="str">
        <f aca="false">IFERROR(VLOOKUP(AG$2,Rango_Admin_DailyPred,MATCH($F19,Rango_Admin_DailyPred_Primera,0),0),"-")</f>
        <v>-</v>
      </c>
      <c r="AH19" s="162" t="str">
        <f aca="false">IFERROR(VLOOKUP(AH$2,Rango_Admin_DailyPred,MATCH($F19,Rango_Admin_DailyPred_Primera,0),0),"-")</f>
        <v>-</v>
      </c>
      <c r="AI19" s="162" t="str">
        <f aca="false">IFERROR(VLOOKUP(AI$2,Rango_Admin_DailyPred,MATCH($F19,Rango_Admin_DailyPred_Primera,0),0),"-")</f>
        <v>-</v>
      </c>
      <c r="AJ19" s="162" t="str">
        <f aca="false">IFERROR(VLOOKUP(AJ$2,Rango_Admin_DailyPred,MATCH($F19,Rango_Admin_DailyPred_Primera,0),0),"-")</f>
        <v>-</v>
      </c>
      <c r="AK19" s="162" t="str">
        <f aca="false">IFERROR(VLOOKUP(AK$2,Rango_Admin_DailyPred,MATCH($F19,Rango_Admin_DailyPred_Primera,0),0),"-")</f>
        <v>-</v>
      </c>
      <c r="AL19" s="162" t="str">
        <f aca="false">IFERROR(VLOOKUP(AL$2,Rango_Admin_DailyPred,MATCH($F19,Rango_Admin_DailyPred_Primera,0),0),"-")</f>
        <v>-</v>
      </c>
      <c r="AM19" s="244"/>
      <c r="AN19" s="244"/>
      <c r="AO19" s="244"/>
    </row>
    <row r="20" customFormat="false" ht="23.85" hidden="false" customHeight="false" outlineLevel="0" collapsed="false">
      <c r="A20" s="30" t="str">
        <f aca="false" t="array" ref="A20:A20">IFERROR(INDEX(ADMIN!$K$6:$K$258,SMALL(IF(ADMIN!$G$6:$G$258=$J$1,ROW(ADMIN!$G$6:$G$258)-ROW(ADMIN!$G$6)+1),ROWS($A$1:A17))),"")</f>
        <v/>
      </c>
      <c r="B20" s="475" t="str">
        <f aca="false">A20&amp;CHAR(10)&amp;C20</f>
        <v>
</v>
      </c>
      <c r="C20" s="30" t="str">
        <f aca="false" t="array" ref="C20:C20">IFERROR(IF(INDEX(ADMIN!$M$6:$M$258,SMALL(IF(ADMIN!$G$6:$G$258=$J$1,ROW(ADMIN!$G$6:$G$258)-ROW(ADMIN!$G$6)+1),ROWS($A$1:A17)))="-", "", " ("&amp;INDEX(ADMIN!$M$6:$M$258,SMALL(IF(ADMIN!$G$6:$G$258=$J$1,ROW(ADMIN!$G$6:$G$258)-ROW(ADMIN!$G$6)+1),ROWS($A$1:A17)))&amp;")"),"")</f>
        <v/>
      </c>
      <c r="D20" s="30" t="str">
        <f aca="false" t="array" ref="D20:D20">IFERROR(IF($J$1&gt;=20,INDEX(ADMIN!$C$6:$C$258,SMALL(IF(ADMIN!$G$6:$G$258=$J$1,ROW(ADMIN!$G$6:$G$258)-ROW(ADMIN!$G$6)+1),ROWS($D$1:D17))),""),"")</f>
        <v/>
      </c>
      <c r="E20" s="437" t="n">
        <f aca="false">+E19+3</f>
        <v>57</v>
      </c>
      <c r="F20" s="476" t="str">
        <f aca="false" t="array" ref="F20:F20">IFERROR(INDEX(Rango_Admin_DailyPred_Primera,1,E20),"-")</f>
        <v>GANEKO</v>
      </c>
      <c r="G20" s="162" t="str">
        <f aca="false">IFERROR(VLOOKUP(G$2,Rango_Admin_DailyPred,MATCH($F20,Rango_Admin_DailyPred_Primera,0),0),"-")</f>
        <v>X|1-1</v>
      </c>
      <c r="H20" s="162" t="str">
        <f aca="false">IFERROR(VLOOKUP(H$2,Rango_Admin_DailyPred,MATCH($F20,Rango_Admin_DailyPred_Primera,0),0),"-")</f>
        <v>X|2-2</v>
      </c>
      <c r="I20" s="162" t="str">
        <f aca="false">IFERROR(VLOOKUP(I$2,Rango_Admin_DailyPred,MATCH($F20,Rango_Admin_DailyPred_Primera,0),0),"-")</f>
        <v>1|3-1</v>
      </c>
      <c r="J20" s="162" t="str">
        <f aca="false">IFERROR(VLOOKUP(J$2,Rango_Admin_DailyPred,MATCH($F20,Rango_Admin_DailyPred_Primera,0),0),"-")</f>
        <v>1|3-1</v>
      </c>
      <c r="K20" s="162" t="str">
        <f aca="false">IFERROR(VLOOKUP(K$2,Rango_Admin_DailyPred,MATCH($F20,Rango_Admin_DailyPred_Primera,0),0),"-")</f>
        <v>1|5-0</v>
      </c>
      <c r="L20" s="162" t="str">
        <f aca="false">IFERROR(VLOOKUP(L$2,Rango_Admin_DailyPred,MATCH($F20,Rango_Admin_DailyPred_Primera,0),0),"-")</f>
        <v>-</v>
      </c>
      <c r="M20" s="162" t="str">
        <f aca="false">IFERROR(VLOOKUP(M$2,Rango_Admin_DailyPred,MATCH($F20,Rango_Admin_DailyPred_Primera,0),0),"-")</f>
        <v>-</v>
      </c>
      <c r="N20" s="162" t="str">
        <f aca="false">IFERROR(VLOOKUP(N$2,Rango_Admin_DailyPred,MATCH($F20,Rango_Admin_DailyPred_Primera,0),0),"-")</f>
        <v>-</v>
      </c>
      <c r="O20" s="162" t="str">
        <f aca="false">IFERROR(VLOOKUP(O$2,Rango_Admin_DailyPred,MATCH($F20,Rango_Admin_DailyPred_Primera,0),0),"-")</f>
        <v>-</v>
      </c>
      <c r="P20" s="162" t="str">
        <f aca="false">IFERROR(VLOOKUP(P$2,Rango_Admin_DailyPred,MATCH($F20,Rango_Admin_DailyPred_Primera,0),0),"-")</f>
        <v>-</v>
      </c>
      <c r="Q20" s="162" t="str">
        <f aca="false">IFERROR(VLOOKUP(Q$2,Rango_Admin_DailyPred,MATCH($F20,Rango_Admin_DailyPred_Primera,0),0),"-")</f>
        <v>-</v>
      </c>
      <c r="R20" s="162" t="str">
        <f aca="false">IFERROR(VLOOKUP(R$2,Rango_Admin_DailyPred,MATCH($F20,Rango_Admin_DailyPred_Primera,0),0),"-")</f>
        <v>-</v>
      </c>
      <c r="S20" s="162" t="str">
        <f aca="false">IFERROR(VLOOKUP(S$2,Rango_Admin_DailyPred,MATCH($F20,Rango_Admin_DailyPred_Primera,0),0),"-")</f>
        <v>-</v>
      </c>
      <c r="T20" s="162" t="str">
        <f aca="false">IFERROR(VLOOKUP(T$2,Rango_Admin_DailyPred,MATCH($F20,Rango_Admin_DailyPred_Primera,0),0),"-")</f>
        <v>-</v>
      </c>
      <c r="U20" s="162" t="str">
        <f aca="false">IFERROR(VLOOKUP(U$2,Rango_Admin_DailyPred,MATCH($F20,Rango_Admin_DailyPred_Primera,0),0),"-")</f>
        <v>-</v>
      </c>
      <c r="V20" s="162" t="str">
        <f aca="false">IFERROR(VLOOKUP(V$2,Rango_Admin_DailyPred,MATCH($F20,Rango_Admin_DailyPred_Primera,0),0),"-")</f>
        <v>-</v>
      </c>
      <c r="W20" s="162" t="str">
        <f aca="false">IFERROR(VLOOKUP(W$2,Rango_Admin_DailyPred,MATCH($F20,Rango_Admin_DailyPred_Primera,0),0),"-")</f>
        <v>-</v>
      </c>
      <c r="X20" s="162" t="str">
        <f aca="false">IFERROR(VLOOKUP(X$2,Rango_Admin_DailyPred,MATCH($F20,Rango_Admin_DailyPred_Primera,0),0),"-")</f>
        <v>-</v>
      </c>
      <c r="Y20" s="162" t="str">
        <f aca="false">IFERROR(VLOOKUP(Y$2,Rango_Admin_DailyPred,MATCH($F20,Rango_Admin_DailyPred_Primera,0),0),"-")</f>
        <v>-</v>
      </c>
      <c r="Z20" s="162" t="str">
        <f aca="false">IFERROR(VLOOKUP(Z$2,Rango_Admin_DailyPred,MATCH($F20,Rango_Admin_DailyPred_Primera,0),0),"-")</f>
        <v>-</v>
      </c>
      <c r="AA20" s="162" t="str">
        <f aca="false">IFERROR(VLOOKUP(AA$2,Rango_Admin_DailyPred,MATCH($F20,Rango_Admin_DailyPred_Primera,0),0),"-")</f>
        <v>-</v>
      </c>
      <c r="AB20" s="162" t="str">
        <f aca="false">IFERROR(VLOOKUP(AB$2,Rango_Admin_DailyPred,MATCH($F20,Rango_Admin_DailyPred_Primera,0),0),"-")</f>
        <v>-</v>
      </c>
      <c r="AC20" s="162" t="str">
        <f aca="false">IFERROR(VLOOKUP(AC$2,Rango_Admin_DailyPred,MATCH($F20,Rango_Admin_DailyPred_Primera,0),0),"-")</f>
        <v>-</v>
      </c>
      <c r="AD20" s="162" t="str">
        <f aca="false">IFERROR(VLOOKUP(AD$2,Rango_Admin_DailyPred,MATCH($F20,Rango_Admin_DailyPred_Primera,0),0),"-")</f>
        <v>-</v>
      </c>
      <c r="AE20" s="162" t="str">
        <f aca="false">IFERROR(VLOOKUP(AE$2,Rango_Admin_DailyPred,MATCH($F20,Rango_Admin_DailyPred_Primera,0),0),"-")</f>
        <v>-</v>
      </c>
      <c r="AF20" s="162" t="str">
        <f aca="false">IFERROR(VLOOKUP(AF$2,Rango_Admin_DailyPred,MATCH($F20,Rango_Admin_DailyPred_Primera,0),0),"-")</f>
        <v>-</v>
      </c>
      <c r="AG20" s="162" t="str">
        <f aca="false">IFERROR(VLOOKUP(AG$2,Rango_Admin_DailyPred,MATCH($F20,Rango_Admin_DailyPred_Primera,0),0),"-")</f>
        <v>-</v>
      </c>
      <c r="AH20" s="162" t="str">
        <f aca="false">IFERROR(VLOOKUP(AH$2,Rango_Admin_DailyPred,MATCH($F20,Rango_Admin_DailyPred_Primera,0),0),"-")</f>
        <v>-</v>
      </c>
      <c r="AI20" s="162" t="str">
        <f aca="false">IFERROR(VLOOKUP(AI$2,Rango_Admin_DailyPred,MATCH($F20,Rango_Admin_DailyPred_Primera,0),0),"-")</f>
        <v>-</v>
      </c>
      <c r="AJ20" s="162" t="str">
        <f aca="false">IFERROR(VLOOKUP(AJ$2,Rango_Admin_DailyPred,MATCH($F20,Rango_Admin_DailyPred_Primera,0),0),"-")</f>
        <v>-</v>
      </c>
      <c r="AK20" s="162" t="str">
        <f aca="false">IFERROR(VLOOKUP(AK$2,Rango_Admin_DailyPred,MATCH($F20,Rango_Admin_DailyPred_Primera,0),0),"-")</f>
        <v>-</v>
      </c>
      <c r="AL20" s="162" t="str">
        <f aca="false">IFERROR(VLOOKUP(AL$2,Rango_Admin_DailyPred,MATCH($F20,Rango_Admin_DailyPred_Primera,0),0),"-")</f>
        <v>-</v>
      </c>
      <c r="AM20" s="244"/>
      <c r="AN20" s="244"/>
      <c r="AO20" s="244"/>
    </row>
    <row r="21" customFormat="false" ht="23.85" hidden="false" customHeight="false" outlineLevel="0" collapsed="false">
      <c r="A21" s="30" t="str">
        <f aca="false" t="array" ref="A21:A21">IFERROR(INDEX(ADMIN!$K$6:$K$258,SMALL(IF(ADMIN!$G$6:$G$258=$J$1,ROW(ADMIN!$G$6:$G$258)-ROW(ADMIN!$G$6)+1),ROWS($A$1:A18))),"")</f>
        <v/>
      </c>
      <c r="B21" s="475" t="str">
        <f aca="false">A21&amp;CHAR(10)&amp;C21</f>
        <v>
</v>
      </c>
      <c r="C21" s="30" t="str">
        <f aca="false" t="array" ref="C21:C21">IFERROR(IF(INDEX(ADMIN!$M$6:$M$258,SMALL(IF(ADMIN!$G$6:$G$258=$J$1,ROW(ADMIN!$G$6:$G$258)-ROW(ADMIN!$G$6)+1),ROWS($A$1:A18)))="-", "", " ("&amp;INDEX(ADMIN!$M$6:$M$258,SMALL(IF(ADMIN!$G$6:$G$258=$J$1,ROW(ADMIN!$G$6:$G$258)-ROW(ADMIN!$G$6)+1),ROWS($A$1:A18)))&amp;")"),"")</f>
        <v/>
      </c>
      <c r="D21" s="30" t="str">
        <f aca="false" t="array" ref="D21:D21">IFERROR(IF($J$1&gt;=20,INDEX(ADMIN!$C$6:$C$258,SMALL(IF(ADMIN!$G$6:$G$258=$J$1,ROW(ADMIN!$G$6:$G$258)-ROW(ADMIN!$G$6)+1),ROWS($D$1:D18))),""),"")</f>
        <v/>
      </c>
      <c r="E21" s="437" t="n">
        <f aca="false">+E20+3</f>
        <v>60</v>
      </c>
      <c r="F21" s="476" t="str">
        <f aca="false" t="array" ref="F21:F21">IFERROR(INDEX(Rango_Admin_DailyPred_Primera,1,E21),"-")</f>
        <v>AITOR</v>
      </c>
      <c r="G21" s="162" t="str">
        <f aca="false">IFERROR(VLOOKUP(G$2,Rango_Admin_DailyPred,MATCH($F21,Rango_Admin_DailyPred_Primera,0),0),"-")</f>
        <v>2|1-2</v>
      </c>
      <c r="H21" s="162" t="str">
        <f aca="false">IFERROR(VLOOKUP(H$2,Rango_Admin_DailyPred,MATCH($F21,Rango_Admin_DailyPred_Primera,0),0),"-")</f>
        <v>1|2-1</v>
      </c>
      <c r="I21" s="162" t="str">
        <f aca="false">IFERROR(VLOOKUP(I$2,Rango_Admin_DailyPred,MATCH($F21,Rango_Admin_DailyPred_Primera,0),0),"-")</f>
        <v>1|1-0</v>
      </c>
      <c r="J21" s="162" t="str">
        <f aca="false">IFERROR(VLOOKUP(J$2,Rango_Admin_DailyPred,MATCH($F21,Rango_Admin_DailyPred_Primera,0),0),"-")</f>
        <v>1|2-0</v>
      </c>
      <c r="K21" s="162" t="str">
        <f aca="false">IFERROR(VLOOKUP(K$2,Rango_Admin_DailyPred,MATCH($F21,Rango_Admin_DailyPred_Primera,0),0),"-")</f>
        <v>1|3-0</v>
      </c>
      <c r="L21" s="162" t="str">
        <f aca="false">IFERROR(VLOOKUP(L$2,Rango_Admin_DailyPred,MATCH($F21,Rango_Admin_DailyPred_Primera,0),0),"-")</f>
        <v>-</v>
      </c>
      <c r="M21" s="162" t="str">
        <f aca="false">IFERROR(VLOOKUP(M$2,Rango_Admin_DailyPred,MATCH($F21,Rango_Admin_DailyPred_Primera,0),0),"-")</f>
        <v>-</v>
      </c>
      <c r="N21" s="162" t="str">
        <f aca="false">IFERROR(VLOOKUP(N$2,Rango_Admin_DailyPred,MATCH($F21,Rango_Admin_DailyPred_Primera,0),0),"-")</f>
        <v>-</v>
      </c>
      <c r="O21" s="162" t="str">
        <f aca="false">IFERROR(VLOOKUP(O$2,Rango_Admin_DailyPred,MATCH($F21,Rango_Admin_DailyPred_Primera,0),0),"-")</f>
        <v>-</v>
      </c>
      <c r="P21" s="162" t="str">
        <f aca="false">IFERROR(VLOOKUP(P$2,Rango_Admin_DailyPred,MATCH($F21,Rango_Admin_DailyPred_Primera,0),0),"-")</f>
        <v>-</v>
      </c>
      <c r="Q21" s="162" t="str">
        <f aca="false">IFERROR(VLOOKUP(Q$2,Rango_Admin_DailyPred,MATCH($F21,Rango_Admin_DailyPred_Primera,0),0),"-")</f>
        <v>-</v>
      </c>
      <c r="R21" s="162" t="str">
        <f aca="false">IFERROR(VLOOKUP(R$2,Rango_Admin_DailyPred,MATCH($F21,Rango_Admin_DailyPred_Primera,0),0),"-")</f>
        <v>-</v>
      </c>
      <c r="S21" s="162" t="str">
        <f aca="false">IFERROR(VLOOKUP(S$2,Rango_Admin_DailyPred,MATCH($F21,Rango_Admin_DailyPred_Primera,0),0),"-")</f>
        <v>-</v>
      </c>
      <c r="T21" s="162" t="str">
        <f aca="false">IFERROR(VLOOKUP(T$2,Rango_Admin_DailyPred,MATCH($F21,Rango_Admin_DailyPred_Primera,0),0),"-")</f>
        <v>-</v>
      </c>
      <c r="U21" s="162" t="str">
        <f aca="false">IFERROR(VLOOKUP(U$2,Rango_Admin_DailyPred,MATCH($F21,Rango_Admin_DailyPred_Primera,0),0),"-")</f>
        <v>-</v>
      </c>
      <c r="V21" s="162" t="str">
        <f aca="false">IFERROR(VLOOKUP(V$2,Rango_Admin_DailyPred,MATCH($F21,Rango_Admin_DailyPred_Primera,0),0),"-")</f>
        <v>-</v>
      </c>
      <c r="W21" s="162" t="str">
        <f aca="false">IFERROR(VLOOKUP(W$2,Rango_Admin_DailyPred,MATCH($F21,Rango_Admin_DailyPred_Primera,0),0),"-")</f>
        <v>-</v>
      </c>
      <c r="X21" s="162" t="str">
        <f aca="false">IFERROR(VLOOKUP(X$2,Rango_Admin_DailyPred,MATCH($F21,Rango_Admin_DailyPred_Primera,0),0),"-")</f>
        <v>-</v>
      </c>
      <c r="Y21" s="162" t="str">
        <f aca="false">IFERROR(VLOOKUP(Y$2,Rango_Admin_DailyPred,MATCH($F21,Rango_Admin_DailyPred_Primera,0),0),"-")</f>
        <v>-</v>
      </c>
      <c r="Z21" s="162" t="str">
        <f aca="false">IFERROR(VLOOKUP(Z$2,Rango_Admin_DailyPred,MATCH($F21,Rango_Admin_DailyPred_Primera,0),0),"-")</f>
        <v>-</v>
      </c>
      <c r="AA21" s="162" t="str">
        <f aca="false">IFERROR(VLOOKUP(AA$2,Rango_Admin_DailyPred,MATCH($F21,Rango_Admin_DailyPred_Primera,0),0),"-")</f>
        <v>-</v>
      </c>
      <c r="AB21" s="162" t="str">
        <f aca="false">IFERROR(VLOOKUP(AB$2,Rango_Admin_DailyPred,MATCH($F21,Rango_Admin_DailyPred_Primera,0),0),"-")</f>
        <v>-</v>
      </c>
      <c r="AC21" s="162" t="str">
        <f aca="false">IFERROR(VLOOKUP(AC$2,Rango_Admin_DailyPred,MATCH($F21,Rango_Admin_DailyPred_Primera,0),0),"-")</f>
        <v>-</v>
      </c>
      <c r="AD21" s="162" t="str">
        <f aca="false">IFERROR(VLOOKUP(AD$2,Rango_Admin_DailyPred,MATCH($F21,Rango_Admin_DailyPred_Primera,0),0),"-")</f>
        <v>-</v>
      </c>
      <c r="AE21" s="162" t="str">
        <f aca="false">IFERROR(VLOOKUP(AE$2,Rango_Admin_DailyPred,MATCH($F21,Rango_Admin_DailyPred_Primera,0),0),"-")</f>
        <v>-</v>
      </c>
      <c r="AF21" s="162" t="str">
        <f aca="false">IFERROR(VLOOKUP(AF$2,Rango_Admin_DailyPred,MATCH($F21,Rango_Admin_DailyPred_Primera,0),0),"-")</f>
        <v>-</v>
      </c>
      <c r="AG21" s="162" t="str">
        <f aca="false">IFERROR(VLOOKUP(AG$2,Rango_Admin_DailyPred,MATCH($F21,Rango_Admin_DailyPred_Primera,0),0),"-")</f>
        <v>-</v>
      </c>
      <c r="AH21" s="162" t="str">
        <f aca="false">IFERROR(VLOOKUP(AH$2,Rango_Admin_DailyPred,MATCH($F21,Rango_Admin_DailyPred_Primera,0),0),"-")</f>
        <v>-</v>
      </c>
      <c r="AI21" s="162" t="str">
        <f aca="false">IFERROR(VLOOKUP(AI$2,Rango_Admin_DailyPred,MATCH($F21,Rango_Admin_DailyPred_Primera,0),0),"-")</f>
        <v>-</v>
      </c>
      <c r="AJ21" s="162" t="str">
        <f aca="false">IFERROR(VLOOKUP(AJ$2,Rango_Admin_DailyPred,MATCH($F21,Rango_Admin_DailyPred_Primera,0),0),"-")</f>
        <v>-</v>
      </c>
      <c r="AK21" s="162" t="str">
        <f aca="false">IFERROR(VLOOKUP(AK$2,Rango_Admin_DailyPred,MATCH($F21,Rango_Admin_DailyPred_Primera,0),0),"-")</f>
        <v>-</v>
      </c>
      <c r="AL21" s="162" t="str">
        <f aca="false">IFERROR(VLOOKUP(AL$2,Rango_Admin_DailyPred,MATCH($F21,Rango_Admin_DailyPred_Primera,0),0),"-")</f>
        <v>-</v>
      </c>
      <c r="AM21" s="244"/>
      <c r="AN21" s="244"/>
      <c r="AO21" s="244"/>
    </row>
    <row r="22" customFormat="false" ht="23.85" hidden="false" customHeight="false" outlineLevel="0" collapsed="false">
      <c r="A22" s="30" t="str">
        <f aca="false" t="array" ref="A22:A22">IFERROR(INDEX(ADMIN!$K$6:$K$258,SMALL(IF(ADMIN!$G$6:$G$258=$J$1,ROW(ADMIN!$G$6:$G$258)-ROW(ADMIN!$G$6)+1),ROWS($A$1:A19))),"")</f>
        <v/>
      </c>
      <c r="B22" s="475" t="str">
        <f aca="false">A22&amp;CHAR(10)&amp;C22</f>
        <v>
</v>
      </c>
      <c r="C22" s="30" t="str">
        <f aca="false" t="array" ref="C22:C22">IFERROR(IF(INDEX(ADMIN!$M$6:$M$258,SMALL(IF(ADMIN!$G$6:$G$258=$J$1,ROW(ADMIN!$G$6:$G$258)-ROW(ADMIN!$G$6)+1),ROWS($A$1:A19)))="-", "", " ("&amp;INDEX(ADMIN!$M$6:$M$258,SMALL(IF(ADMIN!$G$6:$G$258=$J$1,ROW(ADMIN!$G$6:$G$258)-ROW(ADMIN!$G$6)+1),ROWS($A$1:A19)))&amp;")"),"")</f>
        <v/>
      </c>
      <c r="D22" s="30" t="str">
        <f aca="false" t="array" ref="D22:D22">IFERROR(IF($J$1&gt;=20,INDEX(ADMIN!$C$6:$C$258,SMALL(IF(ADMIN!$G$6:$G$258=$J$1,ROW(ADMIN!$G$6:$G$258)-ROW(ADMIN!$G$6)+1),ROWS($D$1:D19))),""),"")</f>
        <v/>
      </c>
      <c r="E22" s="437" t="n">
        <f aca="false">+E21+3</f>
        <v>63</v>
      </c>
      <c r="F22" s="476" t="str">
        <f aca="false" t="array" ref="F22:F22">IFERROR(INDEX(Rango_Admin_DailyPred_Primera,1,E22),"-")</f>
        <v>Pegar Valores Nombre J19</v>
      </c>
      <c r="G22" s="162" t="n">
        <f aca="false">IFERROR(VLOOKUP(G$2,Rango_Admin_DailyPred,MATCH($F22,Rango_Admin_DailyPred_Primera,0),0),"-")</f>
        <v>0</v>
      </c>
      <c r="H22" s="162" t="n">
        <f aca="false">IFERROR(VLOOKUP(H$2,Rango_Admin_DailyPred,MATCH($F22,Rango_Admin_DailyPred_Primera,0),0),"-")</f>
        <v>0</v>
      </c>
      <c r="I22" s="162" t="n">
        <f aca="false">IFERROR(VLOOKUP(I$2,Rango_Admin_DailyPred,MATCH($F22,Rango_Admin_DailyPred_Primera,0),0),"-")</f>
        <v>0</v>
      </c>
      <c r="J22" s="162" t="n">
        <f aca="false">IFERROR(VLOOKUP(J$2,Rango_Admin_DailyPred,MATCH($F22,Rango_Admin_DailyPred_Primera,0),0),"-")</f>
        <v>0</v>
      </c>
      <c r="K22" s="162" t="n">
        <f aca="false">IFERROR(VLOOKUP(K$2,Rango_Admin_DailyPred,MATCH($F22,Rango_Admin_DailyPred_Primera,0),0),"-")</f>
        <v>0</v>
      </c>
      <c r="L22" s="162" t="str">
        <f aca="false">IFERROR(VLOOKUP(L$2,Rango_Admin_DailyPred,MATCH($F22,Rango_Admin_DailyPred_Primera,0),0),"-")</f>
        <v>-</v>
      </c>
      <c r="M22" s="162" t="str">
        <f aca="false">IFERROR(VLOOKUP(M$2,Rango_Admin_DailyPred,MATCH($F22,Rango_Admin_DailyPred_Primera,0),0),"-")</f>
        <v>-</v>
      </c>
      <c r="N22" s="162" t="str">
        <f aca="false">IFERROR(VLOOKUP(N$2,Rango_Admin_DailyPred,MATCH($F22,Rango_Admin_DailyPred_Primera,0),0),"-")</f>
        <v>-</v>
      </c>
      <c r="O22" s="162" t="str">
        <f aca="false">IFERROR(VLOOKUP(O$2,Rango_Admin_DailyPred,MATCH($F22,Rango_Admin_DailyPred_Primera,0),0),"-")</f>
        <v>-</v>
      </c>
      <c r="P22" s="162" t="str">
        <f aca="false">IFERROR(VLOOKUP(P$2,Rango_Admin_DailyPred,MATCH($F22,Rango_Admin_DailyPred_Primera,0),0),"-")</f>
        <v>-</v>
      </c>
      <c r="Q22" s="162" t="str">
        <f aca="false">IFERROR(VLOOKUP(Q$2,Rango_Admin_DailyPred,MATCH($F22,Rango_Admin_DailyPred_Primera,0),0),"-")</f>
        <v>-</v>
      </c>
      <c r="R22" s="162" t="str">
        <f aca="false">IFERROR(VLOOKUP(R$2,Rango_Admin_DailyPred,MATCH($F22,Rango_Admin_DailyPred_Primera,0),0),"-")</f>
        <v>-</v>
      </c>
      <c r="S22" s="162" t="str">
        <f aca="false">IFERROR(VLOOKUP(S$2,Rango_Admin_DailyPred,MATCH($F22,Rango_Admin_DailyPred_Primera,0),0),"-")</f>
        <v>-</v>
      </c>
      <c r="T22" s="162" t="str">
        <f aca="false">IFERROR(VLOOKUP(T$2,Rango_Admin_DailyPred,MATCH($F22,Rango_Admin_DailyPred_Primera,0),0),"-")</f>
        <v>-</v>
      </c>
      <c r="U22" s="162" t="str">
        <f aca="false">IFERROR(VLOOKUP(U$2,Rango_Admin_DailyPred,MATCH($F22,Rango_Admin_DailyPred_Primera,0),0),"-")</f>
        <v>-</v>
      </c>
      <c r="V22" s="162" t="str">
        <f aca="false">IFERROR(VLOOKUP(V$2,Rango_Admin_DailyPred,MATCH($F22,Rango_Admin_DailyPred_Primera,0),0),"-")</f>
        <v>-</v>
      </c>
      <c r="W22" s="162" t="str">
        <f aca="false">IFERROR(VLOOKUP(W$2,Rango_Admin_DailyPred,MATCH($F22,Rango_Admin_DailyPred_Primera,0),0),"-")</f>
        <v>-</v>
      </c>
      <c r="X22" s="162" t="str">
        <f aca="false">IFERROR(VLOOKUP(X$2,Rango_Admin_DailyPred,MATCH($F22,Rango_Admin_DailyPred_Primera,0),0),"-")</f>
        <v>-</v>
      </c>
      <c r="Y22" s="162" t="str">
        <f aca="false">IFERROR(VLOOKUP(Y$2,Rango_Admin_DailyPred,MATCH($F22,Rango_Admin_DailyPred_Primera,0),0),"-")</f>
        <v>-</v>
      </c>
      <c r="Z22" s="162" t="str">
        <f aca="false">IFERROR(VLOOKUP(Z$2,Rango_Admin_DailyPred,MATCH($F22,Rango_Admin_DailyPred_Primera,0),0),"-")</f>
        <v>-</v>
      </c>
      <c r="AA22" s="162" t="str">
        <f aca="false">IFERROR(VLOOKUP(AA$2,Rango_Admin_DailyPred,MATCH($F22,Rango_Admin_DailyPred_Primera,0),0),"-")</f>
        <v>-</v>
      </c>
      <c r="AB22" s="162" t="str">
        <f aca="false">IFERROR(VLOOKUP(AB$2,Rango_Admin_DailyPred,MATCH($F22,Rango_Admin_DailyPred_Primera,0),0),"-")</f>
        <v>-</v>
      </c>
      <c r="AC22" s="162" t="str">
        <f aca="false">IFERROR(VLOOKUP(AC$2,Rango_Admin_DailyPred,MATCH($F22,Rango_Admin_DailyPred_Primera,0),0),"-")</f>
        <v>-</v>
      </c>
      <c r="AD22" s="162" t="str">
        <f aca="false">IFERROR(VLOOKUP(AD$2,Rango_Admin_DailyPred,MATCH($F22,Rango_Admin_DailyPred_Primera,0),0),"-")</f>
        <v>-</v>
      </c>
      <c r="AE22" s="162" t="str">
        <f aca="false">IFERROR(VLOOKUP(AE$2,Rango_Admin_DailyPred,MATCH($F22,Rango_Admin_DailyPred_Primera,0),0),"-")</f>
        <v>-</v>
      </c>
      <c r="AF22" s="162" t="str">
        <f aca="false">IFERROR(VLOOKUP(AF$2,Rango_Admin_DailyPred,MATCH($F22,Rango_Admin_DailyPred_Primera,0),0),"-")</f>
        <v>-</v>
      </c>
      <c r="AG22" s="162" t="str">
        <f aca="false">IFERROR(VLOOKUP(AG$2,Rango_Admin_DailyPred,MATCH($F22,Rango_Admin_DailyPred_Primera,0),0),"-")</f>
        <v>-</v>
      </c>
      <c r="AH22" s="162" t="str">
        <f aca="false">IFERROR(VLOOKUP(AH$2,Rango_Admin_DailyPred,MATCH($F22,Rango_Admin_DailyPred_Primera,0),0),"-")</f>
        <v>-</v>
      </c>
      <c r="AI22" s="162" t="str">
        <f aca="false">IFERROR(VLOOKUP(AI$2,Rango_Admin_DailyPred,MATCH($F22,Rango_Admin_DailyPred_Primera,0),0),"-")</f>
        <v>-</v>
      </c>
      <c r="AJ22" s="162" t="str">
        <f aca="false">IFERROR(VLOOKUP(AJ$2,Rango_Admin_DailyPred,MATCH($F22,Rango_Admin_DailyPred_Primera,0),0),"-")</f>
        <v>-</v>
      </c>
      <c r="AK22" s="162" t="str">
        <f aca="false">IFERROR(VLOOKUP(AK$2,Rango_Admin_DailyPred,MATCH($F22,Rango_Admin_DailyPred_Primera,0),0),"-")</f>
        <v>-</v>
      </c>
      <c r="AL22" s="162" t="str">
        <f aca="false">IFERROR(VLOOKUP(AL$2,Rango_Admin_DailyPred,MATCH($F22,Rango_Admin_DailyPred_Primera,0),0),"-")</f>
        <v>-</v>
      </c>
      <c r="AM22" s="244"/>
      <c r="AN22" s="244"/>
      <c r="AO22" s="244"/>
    </row>
    <row r="23" customFormat="false" ht="23.85" hidden="false" customHeight="false" outlineLevel="0" collapsed="false">
      <c r="A23" s="30" t="str">
        <f aca="false" t="array" ref="A23:A23">IFERROR(INDEX(ADMIN!$K$6:$K$258,SMALL(IF(ADMIN!$G$6:$G$258=$J$1,ROW(ADMIN!$G$6:$G$258)-ROW(ADMIN!$G$6)+1),ROWS($A$1:A20))),"")</f>
        <v/>
      </c>
      <c r="B23" s="475" t="str">
        <f aca="false">A23&amp;CHAR(10)&amp;C23</f>
        <v>
</v>
      </c>
      <c r="C23" s="30" t="str">
        <f aca="false" t="array" ref="C23:C23">IFERROR(IF(INDEX(ADMIN!$M$6:$M$258,SMALL(IF(ADMIN!$G$6:$G$258=$J$1,ROW(ADMIN!$G$6:$G$258)-ROW(ADMIN!$G$6)+1),ROWS($A$1:A20)))="-", "", " ("&amp;INDEX(ADMIN!$M$6:$M$258,SMALL(IF(ADMIN!$G$6:$G$258=$J$1,ROW(ADMIN!$G$6:$G$258)-ROW(ADMIN!$G$6)+1),ROWS($A$1:A20)))&amp;")"),"")</f>
        <v/>
      </c>
      <c r="D23" s="30" t="str">
        <f aca="false" t="array" ref="D23:D23">IFERROR(IF($J$1&gt;=20,INDEX(ADMIN!$C$6:$C$258,SMALL(IF(ADMIN!$G$6:$G$258=$J$1,ROW(ADMIN!$G$6:$G$258)-ROW(ADMIN!$G$6)+1),ROWS($D$1:D20))),""),"")</f>
        <v/>
      </c>
      <c r="E23" s="437" t="n">
        <f aca="false">+E22+3</f>
        <v>66</v>
      </c>
      <c r="F23" s="476" t="str">
        <f aca="false" t="array" ref="F23:F23">IFERROR(INDEX(Rango_Admin_DailyPred_Primera,1,E23),"-")</f>
        <v>Pegar Valores Nombre J20</v>
      </c>
      <c r="G23" s="162" t="n">
        <f aca="false">IFERROR(VLOOKUP(G$2,Rango_Admin_DailyPred,MATCH($F23,Rango_Admin_DailyPred_Primera,0),0),"-")</f>
        <v>0</v>
      </c>
      <c r="H23" s="162" t="n">
        <f aca="false">IFERROR(VLOOKUP(H$2,Rango_Admin_DailyPred,MATCH($F23,Rango_Admin_DailyPred_Primera,0),0),"-")</f>
        <v>0</v>
      </c>
      <c r="I23" s="162" t="n">
        <f aca="false">IFERROR(VLOOKUP(I$2,Rango_Admin_DailyPred,MATCH($F23,Rango_Admin_DailyPred_Primera,0),0),"-")</f>
        <v>0</v>
      </c>
      <c r="J23" s="162" t="n">
        <f aca="false">IFERROR(VLOOKUP(J$2,Rango_Admin_DailyPred,MATCH($F23,Rango_Admin_DailyPred_Primera,0),0),"-")</f>
        <v>0</v>
      </c>
      <c r="K23" s="162" t="n">
        <f aca="false">IFERROR(VLOOKUP(K$2,Rango_Admin_DailyPred,MATCH($F23,Rango_Admin_DailyPred_Primera,0),0),"-")</f>
        <v>0</v>
      </c>
      <c r="L23" s="162" t="str">
        <f aca="false">IFERROR(VLOOKUP(L$2,Rango_Admin_DailyPred,MATCH($F23,Rango_Admin_DailyPred_Primera,0),0),"-")</f>
        <v>-</v>
      </c>
      <c r="M23" s="162" t="str">
        <f aca="false">IFERROR(VLOOKUP(M$2,Rango_Admin_DailyPred,MATCH($F23,Rango_Admin_DailyPred_Primera,0),0),"-")</f>
        <v>-</v>
      </c>
      <c r="N23" s="162" t="str">
        <f aca="false">IFERROR(VLOOKUP(N$2,Rango_Admin_DailyPred,MATCH($F23,Rango_Admin_DailyPred_Primera,0),0),"-")</f>
        <v>-</v>
      </c>
      <c r="O23" s="162" t="str">
        <f aca="false">IFERROR(VLOOKUP(O$2,Rango_Admin_DailyPred,MATCH($F23,Rango_Admin_DailyPred_Primera,0),0),"-")</f>
        <v>-</v>
      </c>
      <c r="P23" s="162" t="str">
        <f aca="false">IFERROR(VLOOKUP(P$2,Rango_Admin_DailyPred,MATCH($F23,Rango_Admin_DailyPred_Primera,0),0),"-")</f>
        <v>-</v>
      </c>
      <c r="Q23" s="162" t="str">
        <f aca="false">IFERROR(VLOOKUP(Q$2,Rango_Admin_DailyPred,MATCH($F23,Rango_Admin_DailyPred_Primera,0),0),"-")</f>
        <v>-</v>
      </c>
      <c r="R23" s="162" t="str">
        <f aca="false">IFERROR(VLOOKUP(R$2,Rango_Admin_DailyPred,MATCH($F23,Rango_Admin_DailyPred_Primera,0),0),"-")</f>
        <v>-</v>
      </c>
      <c r="S23" s="162" t="str">
        <f aca="false">IFERROR(VLOOKUP(S$2,Rango_Admin_DailyPred,MATCH($F23,Rango_Admin_DailyPred_Primera,0),0),"-")</f>
        <v>-</v>
      </c>
      <c r="T23" s="162" t="str">
        <f aca="false">IFERROR(VLOOKUP(T$2,Rango_Admin_DailyPred,MATCH($F23,Rango_Admin_DailyPred_Primera,0),0),"-")</f>
        <v>-</v>
      </c>
      <c r="U23" s="162" t="str">
        <f aca="false">IFERROR(VLOOKUP(U$2,Rango_Admin_DailyPred,MATCH($F23,Rango_Admin_DailyPred_Primera,0),0),"-")</f>
        <v>-</v>
      </c>
      <c r="V23" s="162" t="str">
        <f aca="false">IFERROR(VLOOKUP(V$2,Rango_Admin_DailyPred,MATCH($F23,Rango_Admin_DailyPred_Primera,0),0),"-")</f>
        <v>-</v>
      </c>
      <c r="W23" s="162" t="str">
        <f aca="false">IFERROR(VLOOKUP(W$2,Rango_Admin_DailyPred,MATCH($F23,Rango_Admin_DailyPred_Primera,0),0),"-")</f>
        <v>-</v>
      </c>
      <c r="X23" s="162" t="str">
        <f aca="false">IFERROR(VLOOKUP(X$2,Rango_Admin_DailyPred,MATCH($F23,Rango_Admin_DailyPred_Primera,0),0),"-")</f>
        <v>-</v>
      </c>
      <c r="Y23" s="162" t="str">
        <f aca="false">IFERROR(VLOOKUP(Y$2,Rango_Admin_DailyPred,MATCH($F23,Rango_Admin_DailyPred_Primera,0),0),"-")</f>
        <v>-</v>
      </c>
      <c r="Z23" s="162" t="str">
        <f aca="false">IFERROR(VLOOKUP(Z$2,Rango_Admin_DailyPred,MATCH($F23,Rango_Admin_DailyPred_Primera,0),0),"-")</f>
        <v>-</v>
      </c>
      <c r="AA23" s="162" t="str">
        <f aca="false">IFERROR(VLOOKUP(AA$2,Rango_Admin_DailyPred,MATCH($F23,Rango_Admin_DailyPred_Primera,0),0),"-")</f>
        <v>-</v>
      </c>
      <c r="AB23" s="162" t="str">
        <f aca="false">IFERROR(VLOOKUP(AB$2,Rango_Admin_DailyPred,MATCH($F23,Rango_Admin_DailyPred_Primera,0),0),"-")</f>
        <v>-</v>
      </c>
      <c r="AC23" s="162" t="str">
        <f aca="false">IFERROR(VLOOKUP(AC$2,Rango_Admin_DailyPred,MATCH($F23,Rango_Admin_DailyPred_Primera,0),0),"-")</f>
        <v>-</v>
      </c>
      <c r="AD23" s="162" t="str">
        <f aca="false">IFERROR(VLOOKUP(AD$2,Rango_Admin_DailyPred,MATCH($F23,Rango_Admin_DailyPred_Primera,0),0),"-")</f>
        <v>-</v>
      </c>
      <c r="AE23" s="162" t="str">
        <f aca="false">IFERROR(VLOOKUP(AE$2,Rango_Admin_DailyPred,MATCH($F23,Rango_Admin_DailyPred_Primera,0),0),"-")</f>
        <v>-</v>
      </c>
      <c r="AF23" s="162" t="str">
        <f aca="false">IFERROR(VLOOKUP(AF$2,Rango_Admin_DailyPred,MATCH($F23,Rango_Admin_DailyPred_Primera,0),0),"-")</f>
        <v>-</v>
      </c>
      <c r="AG23" s="162" t="str">
        <f aca="false">IFERROR(VLOOKUP(AG$2,Rango_Admin_DailyPred,MATCH($F23,Rango_Admin_DailyPred_Primera,0),0),"-")</f>
        <v>-</v>
      </c>
      <c r="AH23" s="162" t="str">
        <f aca="false">IFERROR(VLOOKUP(AH$2,Rango_Admin_DailyPred,MATCH($F23,Rango_Admin_DailyPred_Primera,0),0),"-")</f>
        <v>-</v>
      </c>
      <c r="AI23" s="162" t="str">
        <f aca="false">IFERROR(VLOOKUP(AI$2,Rango_Admin_DailyPred,MATCH($F23,Rango_Admin_DailyPred_Primera,0),0),"-")</f>
        <v>-</v>
      </c>
      <c r="AJ23" s="162" t="str">
        <f aca="false">IFERROR(VLOOKUP(AJ$2,Rango_Admin_DailyPred,MATCH($F23,Rango_Admin_DailyPred_Primera,0),0),"-")</f>
        <v>-</v>
      </c>
      <c r="AK23" s="162" t="str">
        <f aca="false">IFERROR(VLOOKUP(AK$2,Rango_Admin_DailyPred,MATCH($F23,Rango_Admin_DailyPred_Primera,0),0),"-")</f>
        <v>-</v>
      </c>
      <c r="AL23" s="162" t="str">
        <f aca="false">IFERROR(VLOOKUP(AL$2,Rango_Admin_DailyPred,MATCH($F23,Rango_Admin_DailyPred_Primera,0),0),"-")</f>
        <v>-</v>
      </c>
      <c r="AM23" s="244"/>
      <c r="AN23" s="244"/>
      <c r="AO23" s="244"/>
    </row>
    <row r="24" customFormat="false" ht="23.85" hidden="false" customHeight="false" outlineLevel="0" collapsed="false">
      <c r="A24" s="30" t="str">
        <f aca="false" t="array" ref="A24:A24">IFERROR(INDEX(ADMIN!$K$6:$K$258,SMALL(IF(ADMIN!$G$6:$G$258=$J$1,ROW(ADMIN!$G$6:$G$258)-ROW(ADMIN!$G$6)+1),ROWS($A$1:A21))),"")</f>
        <v/>
      </c>
      <c r="B24" s="475" t="str">
        <f aca="false">A24&amp;CHAR(10)&amp;C24</f>
        <v>
</v>
      </c>
      <c r="C24" s="30" t="str">
        <f aca="false" t="array" ref="C24:C24">IFERROR(IF(INDEX(ADMIN!$M$6:$M$258,SMALL(IF(ADMIN!$G$6:$G$258=$J$1,ROW(ADMIN!$G$6:$G$258)-ROW(ADMIN!$G$6)+1),ROWS($A$1:A21)))="-", "", " ("&amp;INDEX(ADMIN!$M$6:$M$258,SMALL(IF(ADMIN!$G$6:$G$258=$J$1,ROW(ADMIN!$G$6:$G$258)-ROW(ADMIN!$G$6)+1),ROWS($A$1:A21)))&amp;")"),"")</f>
        <v/>
      </c>
      <c r="D24" s="30" t="str">
        <f aca="false" t="array" ref="D24:D24">IFERROR(IF($J$1&gt;=20,INDEX(ADMIN!$C$6:$C$258,SMALL(IF(ADMIN!$G$6:$G$258=$J$1,ROW(ADMIN!$G$6:$G$258)-ROW(ADMIN!$G$6)+1),ROWS($D$1:D21))),""),"")</f>
        <v/>
      </c>
      <c r="E24" s="437" t="n">
        <f aca="false">+E23+3</f>
        <v>69</v>
      </c>
      <c r="F24" s="476" t="str">
        <f aca="false" t="array" ref="F24:F24">IFERROR(INDEX(Rango_Admin_DailyPred_Primera,1,E24),"-")</f>
        <v>Pegar Valores Nombre J21</v>
      </c>
      <c r="G24" s="162" t="n">
        <f aca="false">IFERROR(VLOOKUP(G$2,Rango_Admin_DailyPred,MATCH($F24,Rango_Admin_DailyPred_Primera,0),0),"-")</f>
        <v>0</v>
      </c>
      <c r="H24" s="162" t="n">
        <f aca="false">IFERROR(VLOOKUP(H$2,Rango_Admin_DailyPred,MATCH($F24,Rango_Admin_DailyPred_Primera,0),0),"-")</f>
        <v>0</v>
      </c>
      <c r="I24" s="162" t="n">
        <f aca="false">IFERROR(VLOOKUP(I$2,Rango_Admin_DailyPred,MATCH($F24,Rango_Admin_DailyPred_Primera,0),0),"-")</f>
        <v>0</v>
      </c>
      <c r="J24" s="162" t="n">
        <f aca="false">IFERROR(VLOOKUP(J$2,Rango_Admin_DailyPred,MATCH($F24,Rango_Admin_DailyPred_Primera,0),0),"-")</f>
        <v>0</v>
      </c>
      <c r="K24" s="162" t="n">
        <f aca="false">IFERROR(VLOOKUP(K$2,Rango_Admin_DailyPred,MATCH($F24,Rango_Admin_DailyPred_Primera,0),0),"-")</f>
        <v>0</v>
      </c>
      <c r="L24" s="162" t="str">
        <f aca="false">IFERROR(VLOOKUP(L$2,Rango_Admin_DailyPred,MATCH($F24,Rango_Admin_DailyPred_Primera,0),0),"-")</f>
        <v>-</v>
      </c>
      <c r="M24" s="162" t="str">
        <f aca="false">IFERROR(VLOOKUP(M$2,Rango_Admin_DailyPred,MATCH($F24,Rango_Admin_DailyPred_Primera,0),0),"-")</f>
        <v>-</v>
      </c>
      <c r="N24" s="162" t="str">
        <f aca="false">IFERROR(VLOOKUP(N$2,Rango_Admin_DailyPred,MATCH($F24,Rango_Admin_DailyPred_Primera,0),0),"-")</f>
        <v>-</v>
      </c>
      <c r="O24" s="162" t="str">
        <f aca="false">IFERROR(VLOOKUP(O$2,Rango_Admin_DailyPred,MATCH($F24,Rango_Admin_DailyPred_Primera,0),0),"-")</f>
        <v>-</v>
      </c>
      <c r="P24" s="162" t="str">
        <f aca="false">IFERROR(VLOOKUP(P$2,Rango_Admin_DailyPred,MATCH($F24,Rango_Admin_DailyPred_Primera,0),0),"-")</f>
        <v>-</v>
      </c>
      <c r="Q24" s="162" t="str">
        <f aca="false">IFERROR(VLOOKUP(Q$2,Rango_Admin_DailyPred,MATCH($F24,Rango_Admin_DailyPred_Primera,0),0),"-")</f>
        <v>-</v>
      </c>
      <c r="R24" s="162" t="str">
        <f aca="false">IFERROR(VLOOKUP(R$2,Rango_Admin_DailyPred,MATCH($F24,Rango_Admin_DailyPred_Primera,0),0),"-")</f>
        <v>-</v>
      </c>
      <c r="S24" s="162" t="str">
        <f aca="false">IFERROR(VLOOKUP(S$2,Rango_Admin_DailyPred,MATCH($F24,Rango_Admin_DailyPred_Primera,0),0),"-")</f>
        <v>-</v>
      </c>
      <c r="T24" s="162" t="str">
        <f aca="false">IFERROR(VLOOKUP(T$2,Rango_Admin_DailyPred,MATCH($F24,Rango_Admin_DailyPred_Primera,0),0),"-")</f>
        <v>-</v>
      </c>
      <c r="U24" s="162" t="str">
        <f aca="false">IFERROR(VLOOKUP(U$2,Rango_Admin_DailyPred,MATCH($F24,Rango_Admin_DailyPred_Primera,0),0),"-")</f>
        <v>-</v>
      </c>
      <c r="V24" s="162" t="str">
        <f aca="false">IFERROR(VLOOKUP(V$2,Rango_Admin_DailyPred,MATCH($F24,Rango_Admin_DailyPred_Primera,0),0),"-")</f>
        <v>-</v>
      </c>
      <c r="W24" s="162" t="str">
        <f aca="false">IFERROR(VLOOKUP(W$2,Rango_Admin_DailyPred,MATCH($F24,Rango_Admin_DailyPred_Primera,0),0),"-")</f>
        <v>-</v>
      </c>
      <c r="X24" s="162" t="str">
        <f aca="false">IFERROR(VLOOKUP(X$2,Rango_Admin_DailyPred,MATCH($F24,Rango_Admin_DailyPred_Primera,0),0),"-")</f>
        <v>-</v>
      </c>
      <c r="Y24" s="162" t="str">
        <f aca="false">IFERROR(VLOOKUP(Y$2,Rango_Admin_DailyPred,MATCH($F24,Rango_Admin_DailyPred_Primera,0),0),"-")</f>
        <v>-</v>
      </c>
      <c r="Z24" s="162" t="str">
        <f aca="false">IFERROR(VLOOKUP(Z$2,Rango_Admin_DailyPred,MATCH($F24,Rango_Admin_DailyPred_Primera,0),0),"-")</f>
        <v>-</v>
      </c>
      <c r="AA24" s="162" t="str">
        <f aca="false">IFERROR(VLOOKUP(AA$2,Rango_Admin_DailyPred,MATCH($F24,Rango_Admin_DailyPred_Primera,0),0),"-")</f>
        <v>-</v>
      </c>
      <c r="AB24" s="162" t="str">
        <f aca="false">IFERROR(VLOOKUP(AB$2,Rango_Admin_DailyPred,MATCH($F24,Rango_Admin_DailyPred_Primera,0),0),"-")</f>
        <v>-</v>
      </c>
      <c r="AC24" s="162" t="str">
        <f aca="false">IFERROR(VLOOKUP(AC$2,Rango_Admin_DailyPred,MATCH($F24,Rango_Admin_DailyPred_Primera,0),0),"-")</f>
        <v>-</v>
      </c>
      <c r="AD24" s="162" t="str">
        <f aca="false">IFERROR(VLOOKUP(AD$2,Rango_Admin_DailyPred,MATCH($F24,Rango_Admin_DailyPred_Primera,0),0),"-")</f>
        <v>-</v>
      </c>
      <c r="AE24" s="162" t="str">
        <f aca="false">IFERROR(VLOOKUP(AE$2,Rango_Admin_DailyPred,MATCH($F24,Rango_Admin_DailyPred_Primera,0),0),"-")</f>
        <v>-</v>
      </c>
      <c r="AF24" s="162" t="str">
        <f aca="false">IFERROR(VLOOKUP(AF$2,Rango_Admin_DailyPred,MATCH($F24,Rango_Admin_DailyPred_Primera,0),0),"-")</f>
        <v>-</v>
      </c>
      <c r="AG24" s="162" t="str">
        <f aca="false">IFERROR(VLOOKUP(AG$2,Rango_Admin_DailyPred,MATCH($F24,Rango_Admin_DailyPred_Primera,0),0),"-")</f>
        <v>-</v>
      </c>
      <c r="AH24" s="162" t="str">
        <f aca="false">IFERROR(VLOOKUP(AH$2,Rango_Admin_DailyPred,MATCH($F24,Rango_Admin_DailyPred_Primera,0),0),"-")</f>
        <v>-</v>
      </c>
      <c r="AI24" s="162" t="str">
        <f aca="false">IFERROR(VLOOKUP(AI$2,Rango_Admin_DailyPred,MATCH($F24,Rango_Admin_DailyPred_Primera,0),0),"-")</f>
        <v>-</v>
      </c>
      <c r="AJ24" s="162" t="str">
        <f aca="false">IFERROR(VLOOKUP(AJ$2,Rango_Admin_DailyPred,MATCH($F24,Rango_Admin_DailyPred_Primera,0),0),"-")</f>
        <v>-</v>
      </c>
      <c r="AK24" s="162" t="str">
        <f aca="false">IFERROR(VLOOKUP(AK$2,Rango_Admin_DailyPred,MATCH($F24,Rango_Admin_DailyPred_Primera,0),0),"-")</f>
        <v>-</v>
      </c>
      <c r="AL24" s="162" t="str">
        <f aca="false">IFERROR(VLOOKUP(AL$2,Rango_Admin_DailyPred,MATCH($F24,Rango_Admin_DailyPred_Primera,0),0),"-")</f>
        <v>-</v>
      </c>
      <c r="AM24" s="244"/>
      <c r="AN24" s="244"/>
      <c r="AO24" s="244"/>
    </row>
    <row r="25" customFormat="false" ht="23.85" hidden="false" customHeight="false" outlineLevel="0" collapsed="false">
      <c r="A25" s="30" t="str">
        <f aca="false" t="array" ref="A25:A25">IFERROR(INDEX(ADMIN!$K$6:$K$258,SMALL(IF(ADMIN!$G$6:$G$258=$J$1,ROW(ADMIN!$G$6:$G$258)-ROW(ADMIN!$G$6)+1),ROWS($A$1:A22))),"")</f>
        <v/>
      </c>
      <c r="B25" s="475" t="str">
        <f aca="false">A25&amp;CHAR(10)&amp;C25</f>
        <v>
</v>
      </c>
      <c r="C25" s="30" t="str">
        <f aca="false" t="array" ref="C25:C25">IFERROR(IF(INDEX(ADMIN!$M$6:$M$258,SMALL(IF(ADMIN!$G$6:$G$258=$J$1,ROW(ADMIN!$G$6:$G$258)-ROW(ADMIN!$G$6)+1),ROWS($A$1:A22)))="-", "", " ("&amp;INDEX(ADMIN!$M$6:$M$258,SMALL(IF(ADMIN!$G$6:$G$258=$J$1,ROW(ADMIN!$G$6:$G$258)-ROW(ADMIN!$G$6)+1),ROWS($A$1:A22)))&amp;")"),"")</f>
        <v/>
      </c>
      <c r="D25" s="30" t="str">
        <f aca="false" t="array" ref="D25:D25">IFERROR(IF($J$1&gt;=20,INDEX(ADMIN!$C$6:$C$258,SMALL(IF(ADMIN!$G$6:$G$258=$J$1,ROW(ADMIN!$G$6:$G$258)-ROW(ADMIN!$G$6)+1),ROWS($D$1:D22))),""),"")</f>
        <v/>
      </c>
      <c r="E25" s="437" t="n">
        <f aca="false">+E24+3</f>
        <v>72</v>
      </c>
      <c r="F25" s="476" t="str">
        <f aca="false" t="array" ref="F25:F25">IFERROR(INDEX(Rango_Admin_DailyPred_Primera,1,E25),"-")</f>
        <v>Pegar Valores Nombre J22</v>
      </c>
      <c r="G25" s="162" t="n">
        <f aca="false">IFERROR(VLOOKUP(G$2,Rango_Admin_DailyPred,MATCH($F25,Rango_Admin_DailyPred_Primera,0),0),"-")</f>
        <v>0</v>
      </c>
      <c r="H25" s="162" t="n">
        <f aca="false">IFERROR(VLOOKUP(H$2,Rango_Admin_DailyPred,MATCH($F25,Rango_Admin_DailyPred_Primera,0),0),"-")</f>
        <v>0</v>
      </c>
      <c r="I25" s="162" t="n">
        <f aca="false">IFERROR(VLOOKUP(I$2,Rango_Admin_DailyPred,MATCH($F25,Rango_Admin_DailyPred_Primera,0),0),"-")</f>
        <v>0</v>
      </c>
      <c r="J25" s="162" t="n">
        <f aca="false">IFERROR(VLOOKUP(J$2,Rango_Admin_DailyPred,MATCH($F25,Rango_Admin_DailyPred_Primera,0),0),"-")</f>
        <v>0</v>
      </c>
      <c r="K25" s="162" t="n">
        <f aca="false">IFERROR(VLOOKUP(K$2,Rango_Admin_DailyPred,MATCH($F25,Rango_Admin_DailyPred_Primera,0),0),"-")</f>
        <v>0</v>
      </c>
      <c r="L25" s="162" t="str">
        <f aca="false">IFERROR(VLOOKUP(L$2,Rango_Admin_DailyPred,MATCH($F25,Rango_Admin_DailyPred_Primera,0),0),"-")</f>
        <v>-</v>
      </c>
      <c r="M25" s="162" t="str">
        <f aca="false">IFERROR(VLOOKUP(M$2,Rango_Admin_DailyPred,MATCH($F25,Rango_Admin_DailyPred_Primera,0),0),"-")</f>
        <v>-</v>
      </c>
      <c r="N25" s="162" t="str">
        <f aca="false">IFERROR(VLOOKUP(N$2,Rango_Admin_DailyPred,MATCH($F25,Rango_Admin_DailyPred_Primera,0),0),"-")</f>
        <v>-</v>
      </c>
      <c r="O25" s="162" t="str">
        <f aca="false">IFERROR(VLOOKUP(O$2,Rango_Admin_DailyPred,MATCH($F25,Rango_Admin_DailyPred_Primera,0),0),"-")</f>
        <v>-</v>
      </c>
      <c r="P25" s="162" t="str">
        <f aca="false">IFERROR(VLOOKUP(P$2,Rango_Admin_DailyPred,MATCH($F25,Rango_Admin_DailyPred_Primera,0),0),"-")</f>
        <v>-</v>
      </c>
      <c r="Q25" s="162" t="str">
        <f aca="false">IFERROR(VLOOKUP(Q$2,Rango_Admin_DailyPred,MATCH($F25,Rango_Admin_DailyPred_Primera,0),0),"-")</f>
        <v>-</v>
      </c>
      <c r="R25" s="162" t="str">
        <f aca="false">IFERROR(VLOOKUP(R$2,Rango_Admin_DailyPred,MATCH($F25,Rango_Admin_DailyPred_Primera,0),0),"-")</f>
        <v>-</v>
      </c>
      <c r="S25" s="162" t="str">
        <f aca="false">IFERROR(VLOOKUP(S$2,Rango_Admin_DailyPred,MATCH($F25,Rango_Admin_DailyPred_Primera,0),0),"-")</f>
        <v>-</v>
      </c>
      <c r="T25" s="162" t="str">
        <f aca="false">IFERROR(VLOOKUP(T$2,Rango_Admin_DailyPred,MATCH($F25,Rango_Admin_DailyPred_Primera,0),0),"-")</f>
        <v>-</v>
      </c>
      <c r="U25" s="162" t="str">
        <f aca="false">IFERROR(VLOOKUP(U$2,Rango_Admin_DailyPred,MATCH($F25,Rango_Admin_DailyPred_Primera,0),0),"-")</f>
        <v>-</v>
      </c>
      <c r="V25" s="162" t="str">
        <f aca="false">IFERROR(VLOOKUP(V$2,Rango_Admin_DailyPred,MATCH($F25,Rango_Admin_DailyPred_Primera,0),0),"-")</f>
        <v>-</v>
      </c>
      <c r="W25" s="162" t="str">
        <f aca="false">IFERROR(VLOOKUP(W$2,Rango_Admin_DailyPred,MATCH($F25,Rango_Admin_DailyPred_Primera,0),0),"-")</f>
        <v>-</v>
      </c>
      <c r="X25" s="162" t="str">
        <f aca="false">IFERROR(VLOOKUP(X$2,Rango_Admin_DailyPred,MATCH($F25,Rango_Admin_DailyPred_Primera,0),0),"-")</f>
        <v>-</v>
      </c>
      <c r="Y25" s="162" t="str">
        <f aca="false">IFERROR(VLOOKUP(Y$2,Rango_Admin_DailyPred,MATCH($F25,Rango_Admin_DailyPred_Primera,0),0),"-")</f>
        <v>-</v>
      </c>
      <c r="Z25" s="162" t="str">
        <f aca="false">IFERROR(VLOOKUP(Z$2,Rango_Admin_DailyPred,MATCH($F25,Rango_Admin_DailyPred_Primera,0),0),"-")</f>
        <v>-</v>
      </c>
      <c r="AA25" s="162" t="str">
        <f aca="false">IFERROR(VLOOKUP(AA$2,Rango_Admin_DailyPred,MATCH($F25,Rango_Admin_DailyPred_Primera,0),0),"-")</f>
        <v>-</v>
      </c>
      <c r="AB25" s="162" t="str">
        <f aca="false">IFERROR(VLOOKUP(AB$2,Rango_Admin_DailyPred,MATCH($F25,Rango_Admin_DailyPred_Primera,0),0),"-")</f>
        <v>-</v>
      </c>
      <c r="AC25" s="162" t="str">
        <f aca="false">IFERROR(VLOOKUP(AC$2,Rango_Admin_DailyPred,MATCH($F25,Rango_Admin_DailyPred_Primera,0),0),"-")</f>
        <v>-</v>
      </c>
      <c r="AD25" s="162" t="str">
        <f aca="false">IFERROR(VLOOKUP(AD$2,Rango_Admin_DailyPred,MATCH($F25,Rango_Admin_DailyPred_Primera,0),0),"-")</f>
        <v>-</v>
      </c>
      <c r="AE25" s="162" t="str">
        <f aca="false">IFERROR(VLOOKUP(AE$2,Rango_Admin_DailyPred,MATCH($F25,Rango_Admin_DailyPred_Primera,0),0),"-")</f>
        <v>-</v>
      </c>
      <c r="AF25" s="162" t="str">
        <f aca="false">IFERROR(VLOOKUP(AF$2,Rango_Admin_DailyPred,MATCH($F25,Rango_Admin_DailyPred_Primera,0),0),"-")</f>
        <v>-</v>
      </c>
      <c r="AG25" s="162" t="str">
        <f aca="false">IFERROR(VLOOKUP(AG$2,Rango_Admin_DailyPred,MATCH($F25,Rango_Admin_DailyPred_Primera,0),0),"-")</f>
        <v>-</v>
      </c>
      <c r="AH25" s="162" t="str">
        <f aca="false">IFERROR(VLOOKUP(AH$2,Rango_Admin_DailyPred,MATCH($F25,Rango_Admin_DailyPred_Primera,0),0),"-")</f>
        <v>-</v>
      </c>
      <c r="AI25" s="162" t="str">
        <f aca="false">IFERROR(VLOOKUP(AI$2,Rango_Admin_DailyPred,MATCH($F25,Rango_Admin_DailyPred_Primera,0),0),"-")</f>
        <v>-</v>
      </c>
      <c r="AJ25" s="162" t="str">
        <f aca="false">IFERROR(VLOOKUP(AJ$2,Rango_Admin_DailyPred,MATCH($F25,Rango_Admin_DailyPred_Primera,0),0),"-")</f>
        <v>-</v>
      </c>
      <c r="AK25" s="162" t="str">
        <f aca="false">IFERROR(VLOOKUP(AK$2,Rango_Admin_DailyPred,MATCH($F25,Rango_Admin_DailyPred_Primera,0),0),"-")</f>
        <v>-</v>
      </c>
      <c r="AL25" s="162" t="str">
        <f aca="false">IFERROR(VLOOKUP(AL$2,Rango_Admin_DailyPred,MATCH($F25,Rango_Admin_DailyPred_Primera,0),0),"-")</f>
        <v>-</v>
      </c>
      <c r="AM25" s="244"/>
      <c r="AN25" s="244"/>
      <c r="AO25" s="244"/>
    </row>
    <row r="26" customFormat="false" ht="23.85" hidden="false" customHeight="false" outlineLevel="0" collapsed="false">
      <c r="A26" s="30" t="str">
        <f aca="false" t="array" ref="A26:A26">IFERROR(INDEX(ADMIN!$K$6:$K$258,SMALL(IF(ADMIN!$G$6:$G$258=$J$1,ROW(ADMIN!$G$6:$G$258)-ROW(ADMIN!$G$6)+1),ROWS($A$1:A23))),"")</f>
        <v/>
      </c>
      <c r="B26" s="475" t="str">
        <f aca="false">A26&amp;CHAR(10)&amp;C26</f>
        <v>
</v>
      </c>
      <c r="C26" s="30" t="str">
        <f aca="false" t="array" ref="C26:C26">IFERROR(IF(INDEX(ADMIN!$M$6:$M$258,SMALL(IF(ADMIN!$G$6:$G$258=$J$1,ROW(ADMIN!$G$6:$G$258)-ROW(ADMIN!$G$6)+1),ROWS($A$1:A23)))="-", "", " ("&amp;INDEX(ADMIN!$M$6:$M$258,SMALL(IF(ADMIN!$G$6:$G$258=$J$1,ROW(ADMIN!$G$6:$G$258)-ROW(ADMIN!$G$6)+1),ROWS($A$1:A23)))&amp;")"),"")</f>
        <v/>
      </c>
      <c r="D26" s="30" t="str">
        <f aca="false" t="array" ref="D26:D26">IFERROR(IF($J$1&gt;=20,INDEX(ADMIN!$C$6:$C$258,SMALL(IF(ADMIN!$G$6:$G$258=$J$1,ROW(ADMIN!$G$6:$G$258)-ROW(ADMIN!$G$6)+1),ROWS($D$1:D23))),""),"")</f>
        <v/>
      </c>
      <c r="E26" s="437" t="n">
        <f aca="false">+E25+3</f>
        <v>75</v>
      </c>
      <c r="F26" s="476" t="str">
        <f aca="false" t="array" ref="F26:F26">IFERROR(INDEX(Rango_Admin_DailyPred_Primera,1,E26),"-")</f>
        <v>Pegar Valores Nombre J23</v>
      </c>
      <c r="G26" s="162" t="n">
        <f aca="false">IFERROR(VLOOKUP(G$2,Rango_Admin_DailyPred,MATCH($F26,Rango_Admin_DailyPred_Primera,0),0),"-")</f>
        <v>0</v>
      </c>
      <c r="H26" s="162" t="n">
        <f aca="false">IFERROR(VLOOKUP(H$2,Rango_Admin_DailyPred,MATCH($F26,Rango_Admin_DailyPred_Primera,0),0),"-")</f>
        <v>0</v>
      </c>
      <c r="I26" s="162" t="n">
        <f aca="false">IFERROR(VLOOKUP(I$2,Rango_Admin_DailyPred,MATCH($F26,Rango_Admin_DailyPred_Primera,0),0),"-")</f>
        <v>0</v>
      </c>
      <c r="J26" s="162" t="n">
        <f aca="false">IFERROR(VLOOKUP(J$2,Rango_Admin_DailyPred,MATCH($F26,Rango_Admin_DailyPred_Primera,0),0),"-")</f>
        <v>0</v>
      </c>
      <c r="K26" s="162" t="n">
        <f aca="false">IFERROR(VLOOKUP(K$2,Rango_Admin_DailyPred,MATCH($F26,Rango_Admin_DailyPred_Primera,0),0),"-")</f>
        <v>0</v>
      </c>
      <c r="L26" s="162" t="str">
        <f aca="false">IFERROR(VLOOKUP(L$2,Rango_Admin_DailyPred,MATCH($F26,Rango_Admin_DailyPred_Primera,0),0),"-")</f>
        <v>-</v>
      </c>
      <c r="M26" s="162" t="str">
        <f aca="false">IFERROR(VLOOKUP(M$2,Rango_Admin_DailyPred,MATCH($F26,Rango_Admin_DailyPred_Primera,0),0),"-")</f>
        <v>-</v>
      </c>
      <c r="N26" s="162" t="str">
        <f aca="false">IFERROR(VLOOKUP(N$2,Rango_Admin_DailyPred,MATCH($F26,Rango_Admin_DailyPred_Primera,0),0),"-")</f>
        <v>-</v>
      </c>
      <c r="O26" s="162" t="str">
        <f aca="false">IFERROR(VLOOKUP(O$2,Rango_Admin_DailyPred,MATCH($F26,Rango_Admin_DailyPred_Primera,0),0),"-")</f>
        <v>-</v>
      </c>
      <c r="P26" s="162" t="str">
        <f aca="false">IFERROR(VLOOKUP(P$2,Rango_Admin_DailyPred,MATCH($F26,Rango_Admin_DailyPred_Primera,0),0),"-")</f>
        <v>-</v>
      </c>
      <c r="Q26" s="162" t="str">
        <f aca="false">IFERROR(VLOOKUP(Q$2,Rango_Admin_DailyPred,MATCH($F26,Rango_Admin_DailyPred_Primera,0),0),"-")</f>
        <v>-</v>
      </c>
      <c r="R26" s="162" t="str">
        <f aca="false">IFERROR(VLOOKUP(R$2,Rango_Admin_DailyPred,MATCH($F26,Rango_Admin_DailyPred_Primera,0),0),"-")</f>
        <v>-</v>
      </c>
      <c r="S26" s="162" t="str">
        <f aca="false">IFERROR(VLOOKUP(S$2,Rango_Admin_DailyPred,MATCH($F26,Rango_Admin_DailyPred_Primera,0),0),"-")</f>
        <v>-</v>
      </c>
      <c r="T26" s="162" t="str">
        <f aca="false">IFERROR(VLOOKUP(T$2,Rango_Admin_DailyPred,MATCH($F26,Rango_Admin_DailyPred_Primera,0),0),"-")</f>
        <v>-</v>
      </c>
      <c r="U26" s="162" t="str">
        <f aca="false">IFERROR(VLOOKUP(U$2,Rango_Admin_DailyPred,MATCH($F26,Rango_Admin_DailyPred_Primera,0),0),"-")</f>
        <v>-</v>
      </c>
      <c r="V26" s="162" t="str">
        <f aca="false">IFERROR(VLOOKUP(V$2,Rango_Admin_DailyPred,MATCH($F26,Rango_Admin_DailyPred_Primera,0),0),"-")</f>
        <v>-</v>
      </c>
      <c r="W26" s="162" t="str">
        <f aca="false">IFERROR(VLOOKUP(W$2,Rango_Admin_DailyPred,MATCH($F26,Rango_Admin_DailyPred_Primera,0),0),"-")</f>
        <v>-</v>
      </c>
      <c r="X26" s="162" t="str">
        <f aca="false">IFERROR(VLOOKUP(X$2,Rango_Admin_DailyPred,MATCH($F26,Rango_Admin_DailyPred_Primera,0),0),"-")</f>
        <v>-</v>
      </c>
      <c r="Y26" s="162" t="str">
        <f aca="false">IFERROR(VLOOKUP(Y$2,Rango_Admin_DailyPred,MATCH($F26,Rango_Admin_DailyPred_Primera,0),0),"-")</f>
        <v>-</v>
      </c>
      <c r="Z26" s="162" t="str">
        <f aca="false">IFERROR(VLOOKUP(Z$2,Rango_Admin_DailyPred,MATCH($F26,Rango_Admin_DailyPred_Primera,0),0),"-")</f>
        <v>-</v>
      </c>
      <c r="AA26" s="162" t="str">
        <f aca="false">IFERROR(VLOOKUP(AA$2,Rango_Admin_DailyPred,MATCH($F26,Rango_Admin_DailyPred_Primera,0),0),"-")</f>
        <v>-</v>
      </c>
      <c r="AB26" s="162" t="str">
        <f aca="false">IFERROR(VLOOKUP(AB$2,Rango_Admin_DailyPred,MATCH($F26,Rango_Admin_DailyPred_Primera,0),0),"-")</f>
        <v>-</v>
      </c>
      <c r="AC26" s="162" t="str">
        <f aca="false">IFERROR(VLOOKUP(AC$2,Rango_Admin_DailyPred,MATCH($F26,Rango_Admin_DailyPred_Primera,0),0),"-")</f>
        <v>-</v>
      </c>
      <c r="AD26" s="162" t="str">
        <f aca="false">IFERROR(VLOOKUP(AD$2,Rango_Admin_DailyPred,MATCH($F26,Rango_Admin_DailyPred_Primera,0),0),"-")</f>
        <v>-</v>
      </c>
      <c r="AE26" s="162" t="str">
        <f aca="false">IFERROR(VLOOKUP(AE$2,Rango_Admin_DailyPred,MATCH($F26,Rango_Admin_DailyPred_Primera,0),0),"-")</f>
        <v>-</v>
      </c>
      <c r="AF26" s="162" t="str">
        <f aca="false">IFERROR(VLOOKUP(AF$2,Rango_Admin_DailyPred,MATCH($F26,Rango_Admin_DailyPred_Primera,0),0),"-")</f>
        <v>-</v>
      </c>
      <c r="AG26" s="162" t="str">
        <f aca="false">IFERROR(VLOOKUP(AG$2,Rango_Admin_DailyPred,MATCH($F26,Rango_Admin_DailyPred_Primera,0),0),"-")</f>
        <v>-</v>
      </c>
      <c r="AH26" s="162" t="str">
        <f aca="false">IFERROR(VLOOKUP(AH$2,Rango_Admin_DailyPred,MATCH($F26,Rango_Admin_DailyPred_Primera,0),0),"-")</f>
        <v>-</v>
      </c>
      <c r="AI26" s="162" t="str">
        <f aca="false">IFERROR(VLOOKUP(AI$2,Rango_Admin_DailyPred,MATCH($F26,Rango_Admin_DailyPred_Primera,0),0),"-")</f>
        <v>-</v>
      </c>
      <c r="AJ26" s="162" t="str">
        <f aca="false">IFERROR(VLOOKUP(AJ$2,Rango_Admin_DailyPred,MATCH($F26,Rango_Admin_DailyPred_Primera,0),0),"-")</f>
        <v>-</v>
      </c>
      <c r="AK26" s="162" t="str">
        <f aca="false">IFERROR(VLOOKUP(AK$2,Rango_Admin_DailyPred,MATCH($F26,Rango_Admin_DailyPred_Primera,0),0),"-")</f>
        <v>-</v>
      </c>
      <c r="AL26" s="162" t="str">
        <f aca="false">IFERROR(VLOOKUP(AL$2,Rango_Admin_DailyPred,MATCH($F26,Rango_Admin_DailyPred_Primera,0),0),"-")</f>
        <v>-</v>
      </c>
      <c r="AM26" s="244"/>
      <c r="AN26" s="244"/>
      <c r="AO26" s="244"/>
    </row>
    <row r="27" customFormat="false" ht="23.85" hidden="false" customHeight="false" outlineLevel="0" collapsed="false">
      <c r="A27" s="30" t="str">
        <f aca="false" t="array" ref="A27:A27">IFERROR(INDEX(ADMIN!$K$6:$K$258,SMALL(IF(ADMIN!$G$6:$G$258=$J$1,ROW(ADMIN!$G$6:$G$258)-ROW(ADMIN!$G$6)+1),ROWS($A$1:A24))),"")</f>
        <v/>
      </c>
      <c r="B27" s="475" t="str">
        <f aca="false">A27&amp;CHAR(10)&amp;C27</f>
        <v>
</v>
      </c>
      <c r="C27" s="30" t="str">
        <f aca="false" t="array" ref="C27:C27">IFERROR(IF(INDEX(ADMIN!$M$6:$M$258,SMALL(IF(ADMIN!$G$6:$G$258=$J$1,ROW(ADMIN!$G$6:$G$258)-ROW(ADMIN!$G$6)+1),ROWS($A$1:A24)))="-", "", " ("&amp;INDEX(ADMIN!$M$6:$M$258,SMALL(IF(ADMIN!$G$6:$G$258=$J$1,ROW(ADMIN!$G$6:$G$258)-ROW(ADMIN!$G$6)+1),ROWS($A$1:A24)))&amp;")"),"")</f>
        <v/>
      </c>
      <c r="D27" s="30" t="str">
        <f aca="false" t="array" ref="D27:D27">IFERROR(IF($J$1&gt;=20,INDEX(ADMIN!$C$6:$C$258,SMALL(IF(ADMIN!$G$6:$G$258=$J$1,ROW(ADMIN!$G$6:$G$258)-ROW(ADMIN!$G$6)+1),ROWS($D$1:D24))),""),"")</f>
        <v/>
      </c>
      <c r="E27" s="437" t="n">
        <f aca="false">+E26+3</f>
        <v>78</v>
      </c>
      <c r="F27" s="476" t="str">
        <f aca="false" t="array" ref="F27:F27">IFERROR(INDEX(Rango_Admin_DailyPred_Primera,1,E27),"-")</f>
        <v>Pegar Valores Nombre J24</v>
      </c>
      <c r="G27" s="162" t="n">
        <f aca="false">IFERROR(VLOOKUP(G$2,Rango_Admin_DailyPred,MATCH($F27,Rango_Admin_DailyPred_Primera,0),0),"-")</f>
        <v>0</v>
      </c>
      <c r="H27" s="162" t="n">
        <f aca="false">IFERROR(VLOOKUP(H$2,Rango_Admin_DailyPred,MATCH($F27,Rango_Admin_DailyPred_Primera,0),0),"-")</f>
        <v>0</v>
      </c>
      <c r="I27" s="162" t="n">
        <f aca="false">IFERROR(VLOOKUP(I$2,Rango_Admin_DailyPred,MATCH($F27,Rango_Admin_DailyPred_Primera,0),0),"-")</f>
        <v>0</v>
      </c>
      <c r="J27" s="162" t="n">
        <f aca="false">IFERROR(VLOOKUP(J$2,Rango_Admin_DailyPred,MATCH($F27,Rango_Admin_DailyPred_Primera,0),0),"-")</f>
        <v>0</v>
      </c>
      <c r="K27" s="162" t="n">
        <f aca="false">IFERROR(VLOOKUP(K$2,Rango_Admin_DailyPred,MATCH($F27,Rango_Admin_DailyPred_Primera,0),0),"-")</f>
        <v>0</v>
      </c>
      <c r="L27" s="162" t="str">
        <f aca="false">IFERROR(VLOOKUP(L$2,Rango_Admin_DailyPred,MATCH($F27,Rango_Admin_DailyPred_Primera,0),0),"-")</f>
        <v>-</v>
      </c>
      <c r="M27" s="162" t="str">
        <f aca="false">IFERROR(VLOOKUP(M$2,Rango_Admin_DailyPred,MATCH($F27,Rango_Admin_DailyPred_Primera,0),0),"-")</f>
        <v>-</v>
      </c>
      <c r="N27" s="162" t="str">
        <f aca="false">IFERROR(VLOOKUP(N$2,Rango_Admin_DailyPred,MATCH($F27,Rango_Admin_DailyPred_Primera,0),0),"-")</f>
        <v>-</v>
      </c>
      <c r="O27" s="162" t="str">
        <f aca="false">IFERROR(VLOOKUP(O$2,Rango_Admin_DailyPred,MATCH($F27,Rango_Admin_DailyPred_Primera,0),0),"-")</f>
        <v>-</v>
      </c>
      <c r="P27" s="162" t="str">
        <f aca="false">IFERROR(VLOOKUP(P$2,Rango_Admin_DailyPred,MATCH($F27,Rango_Admin_DailyPred_Primera,0),0),"-")</f>
        <v>-</v>
      </c>
      <c r="Q27" s="162" t="str">
        <f aca="false">IFERROR(VLOOKUP(Q$2,Rango_Admin_DailyPred,MATCH($F27,Rango_Admin_DailyPred_Primera,0),0),"-")</f>
        <v>-</v>
      </c>
      <c r="R27" s="162" t="str">
        <f aca="false">IFERROR(VLOOKUP(R$2,Rango_Admin_DailyPred,MATCH($F27,Rango_Admin_DailyPred_Primera,0),0),"-")</f>
        <v>-</v>
      </c>
      <c r="S27" s="162" t="str">
        <f aca="false">IFERROR(VLOOKUP(S$2,Rango_Admin_DailyPred,MATCH($F27,Rango_Admin_DailyPred_Primera,0),0),"-")</f>
        <v>-</v>
      </c>
      <c r="T27" s="162" t="str">
        <f aca="false">IFERROR(VLOOKUP(T$2,Rango_Admin_DailyPred,MATCH($F27,Rango_Admin_DailyPred_Primera,0),0),"-")</f>
        <v>-</v>
      </c>
      <c r="U27" s="162" t="str">
        <f aca="false">IFERROR(VLOOKUP(U$2,Rango_Admin_DailyPred,MATCH($F27,Rango_Admin_DailyPred_Primera,0),0),"-")</f>
        <v>-</v>
      </c>
      <c r="V27" s="162" t="str">
        <f aca="false">IFERROR(VLOOKUP(V$2,Rango_Admin_DailyPred,MATCH($F27,Rango_Admin_DailyPred_Primera,0),0),"-")</f>
        <v>-</v>
      </c>
      <c r="W27" s="162" t="str">
        <f aca="false">IFERROR(VLOOKUP(W$2,Rango_Admin_DailyPred,MATCH($F27,Rango_Admin_DailyPred_Primera,0),0),"-")</f>
        <v>-</v>
      </c>
      <c r="X27" s="162" t="str">
        <f aca="false">IFERROR(VLOOKUP(X$2,Rango_Admin_DailyPred,MATCH($F27,Rango_Admin_DailyPred_Primera,0),0),"-")</f>
        <v>-</v>
      </c>
      <c r="Y27" s="162" t="str">
        <f aca="false">IFERROR(VLOOKUP(Y$2,Rango_Admin_DailyPred,MATCH($F27,Rango_Admin_DailyPred_Primera,0),0),"-")</f>
        <v>-</v>
      </c>
      <c r="Z27" s="162" t="str">
        <f aca="false">IFERROR(VLOOKUP(Z$2,Rango_Admin_DailyPred,MATCH($F27,Rango_Admin_DailyPred_Primera,0),0),"-")</f>
        <v>-</v>
      </c>
      <c r="AA27" s="162" t="str">
        <f aca="false">IFERROR(VLOOKUP(AA$2,Rango_Admin_DailyPred,MATCH($F27,Rango_Admin_DailyPred_Primera,0),0),"-")</f>
        <v>-</v>
      </c>
      <c r="AB27" s="162" t="str">
        <f aca="false">IFERROR(VLOOKUP(AB$2,Rango_Admin_DailyPred,MATCH($F27,Rango_Admin_DailyPred_Primera,0),0),"-")</f>
        <v>-</v>
      </c>
      <c r="AC27" s="162" t="str">
        <f aca="false">IFERROR(VLOOKUP(AC$2,Rango_Admin_DailyPred,MATCH($F27,Rango_Admin_DailyPred_Primera,0),0),"-")</f>
        <v>-</v>
      </c>
      <c r="AD27" s="162" t="str">
        <f aca="false">IFERROR(VLOOKUP(AD$2,Rango_Admin_DailyPred,MATCH($F27,Rango_Admin_DailyPred_Primera,0),0),"-")</f>
        <v>-</v>
      </c>
      <c r="AE27" s="162" t="str">
        <f aca="false">IFERROR(VLOOKUP(AE$2,Rango_Admin_DailyPred,MATCH($F27,Rango_Admin_DailyPred_Primera,0),0),"-")</f>
        <v>-</v>
      </c>
      <c r="AF27" s="162" t="str">
        <f aca="false">IFERROR(VLOOKUP(AF$2,Rango_Admin_DailyPred,MATCH($F27,Rango_Admin_DailyPred_Primera,0),0),"-")</f>
        <v>-</v>
      </c>
      <c r="AG27" s="162" t="str">
        <f aca="false">IFERROR(VLOOKUP(AG$2,Rango_Admin_DailyPred,MATCH($F27,Rango_Admin_DailyPred_Primera,0),0),"-")</f>
        <v>-</v>
      </c>
      <c r="AH27" s="162" t="str">
        <f aca="false">IFERROR(VLOOKUP(AH$2,Rango_Admin_DailyPred,MATCH($F27,Rango_Admin_DailyPred_Primera,0),0),"-")</f>
        <v>-</v>
      </c>
      <c r="AI27" s="162" t="str">
        <f aca="false">IFERROR(VLOOKUP(AI$2,Rango_Admin_DailyPred,MATCH($F27,Rango_Admin_DailyPred_Primera,0),0),"-")</f>
        <v>-</v>
      </c>
      <c r="AJ27" s="162" t="str">
        <f aca="false">IFERROR(VLOOKUP(AJ$2,Rango_Admin_DailyPred,MATCH($F27,Rango_Admin_DailyPred_Primera,0),0),"-")</f>
        <v>-</v>
      </c>
      <c r="AK27" s="162" t="str">
        <f aca="false">IFERROR(VLOOKUP(AK$2,Rango_Admin_DailyPred,MATCH($F27,Rango_Admin_DailyPred_Primera,0),0),"-")</f>
        <v>-</v>
      </c>
      <c r="AL27" s="162" t="str">
        <f aca="false">IFERROR(VLOOKUP(AL$2,Rango_Admin_DailyPred,MATCH($F27,Rango_Admin_DailyPred_Primera,0),0),"-")</f>
        <v>-</v>
      </c>
      <c r="AM27" s="244"/>
      <c r="AN27" s="244"/>
      <c r="AO27" s="244"/>
    </row>
    <row r="28" customFormat="false" ht="23.85" hidden="false" customHeight="false" outlineLevel="0" collapsed="false">
      <c r="A28" s="30" t="str">
        <f aca="false" t="array" ref="A28:A28">IFERROR(INDEX(ADMIN!$K$6:$K$258,SMALL(IF(ADMIN!$G$6:$G$258=$J$1,ROW(ADMIN!$G$6:$G$258)-ROW(ADMIN!$G$6)+1),ROWS($A$1:A25))),"")</f>
        <v/>
      </c>
      <c r="B28" s="475" t="str">
        <f aca="false">A28&amp;CHAR(10)&amp;C28</f>
        <v>
</v>
      </c>
      <c r="C28" s="30" t="str">
        <f aca="false" t="array" ref="C28:C28">IFERROR(IF(INDEX(ADMIN!$M$6:$M$258,SMALL(IF(ADMIN!$G$6:$G$258=$J$1,ROW(ADMIN!$G$6:$G$258)-ROW(ADMIN!$G$6)+1),ROWS($A$1:A25)))="-", "", " ("&amp;INDEX(ADMIN!$M$6:$M$258,SMALL(IF(ADMIN!$G$6:$G$258=$J$1,ROW(ADMIN!$G$6:$G$258)-ROW(ADMIN!$G$6)+1),ROWS($A$1:A25)))&amp;")"),"")</f>
        <v/>
      </c>
      <c r="D28" s="30" t="str">
        <f aca="false" t="array" ref="D28:D28">IFERROR(IF($J$1&gt;=20,INDEX(ADMIN!$C$6:$C$258,SMALL(IF(ADMIN!$G$6:$G$258=$J$1,ROW(ADMIN!$G$6:$G$258)-ROW(ADMIN!$G$6)+1),ROWS($D$1:D25))),""),"")</f>
        <v/>
      </c>
      <c r="E28" s="437" t="n">
        <f aca="false">+E27+3</f>
        <v>81</v>
      </c>
      <c r="F28" s="476" t="str">
        <f aca="false" t="array" ref="F28:F28">IFERROR(INDEX(Rango_Admin_DailyPred_Primera,1,E28),"-")</f>
        <v>Pegar Valores Nombre J25</v>
      </c>
      <c r="G28" s="162" t="n">
        <f aca="false">IFERROR(VLOOKUP(G$2,Rango_Admin_DailyPred,MATCH($F28,Rango_Admin_DailyPred_Primera,0),0),"-")</f>
        <v>0</v>
      </c>
      <c r="H28" s="162" t="n">
        <f aca="false">IFERROR(VLOOKUP(H$2,Rango_Admin_DailyPred,MATCH($F28,Rango_Admin_DailyPred_Primera,0),0),"-")</f>
        <v>0</v>
      </c>
      <c r="I28" s="162" t="n">
        <f aca="false">IFERROR(VLOOKUP(I$2,Rango_Admin_DailyPred,MATCH($F28,Rango_Admin_DailyPred_Primera,0),0),"-")</f>
        <v>0</v>
      </c>
      <c r="J28" s="162" t="n">
        <f aca="false">IFERROR(VLOOKUP(J$2,Rango_Admin_DailyPred,MATCH($F28,Rango_Admin_DailyPred_Primera,0),0),"-")</f>
        <v>0</v>
      </c>
      <c r="K28" s="162" t="n">
        <f aca="false">IFERROR(VLOOKUP(K$2,Rango_Admin_DailyPred,MATCH($F28,Rango_Admin_DailyPred_Primera,0),0),"-")</f>
        <v>0</v>
      </c>
      <c r="L28" s="162" t="str">
        <f aca="false">IFERROR(VLOOKUP(L$2,Rango_Admin_DailyPred,MATCH($F28,Rango_Admin_DailyPred_Primera,0),0),"-")</f>
        <v>-</v>
      </c>
      <c r="M28" s="162" t="str">
        <f aca="false">IFERROR(VLOOKUP(M$2,Rango_Admin_DailyPred,MATCH($F28,Rango_Admin_DailyPred_Primera,0),0),"-")</f>
        <v>-</v>
      </c>
      <c r="N28" s="162" t="str">
        <f aca="false">IFERROR(VLOOKUP(N$2,Rango_Admin_DailyPred,MATCH($F28,Rango_Admin_DailyPred_Primera,0),0),"-")</f>
        <v>-</v>
      </c>
      <c r="O28" s="162" t="str">
        <f aca="false">IFERROR(VLOOKUP(O$2,Rango_Admin_DailyPred,MATCH($F28,Rango_Admin_DailyPred_Primera,0),0),"-")</f>
        <v>-</v>
      </c>
      <c r="P28" s="162" t="str">
        <f aca="false">IFERROR(VLOOKUP(P$2,Rango_Admin_DailyPred,MATCH($F28,Rango_Admin_DailyPred_Primera,0),0),"-")</f>
        <v>-</v>
      </c>
      <c r="Q28" s="162" t="str">
        <f aca="false">IFERROR(VLOOKUP(Q$2,Rango_Admin_DailyPred,MATCH($F28,Rango_Admin_DailyPred_Primera,0),0),"-")</f>
        <v>-</v>
      </c>
      <c r="R28" s="162" t="str">
        <f aca="false">IFERROR(VLOOKUP(R$2,Rango_Admin_DailyPred,MATCH($F28,Rango_Admin_DailyPred_Primera,0),0),"-")</f>
        <v>-</v>
      </c>
      <c r="S28" s="162" t="str">
        <f aca="false">IFERROR(VLOOKUP(S$2,Rango_Admin_DailyPred,MATCH($F28,Rango_Admin_DailyPred_Primera,0),0),"-")</f>
        <v>-</v>
      </c>
      <c r="T28" s="162" t="str">
        <f aca="false">IFERROR(VLOOKUP(T$2,Rango_Admin_DailyPred,MATCH($F28,Rango_Admin_DailyPred_Primera,0),0),"-")</f>
        <v>-</v>
      </c>
      <c r="U28" s="162" t="str">
        <f aca="false">IFERROR(VLOOKUP(U$2,Rango_Admin_DailyPred,MATCH($F28,Rango_Admin_DailyPred_Primera,0),0),"-")</f>
        <v>-</v>
      </c>
      <c r="V28" s="162" t="str">
        <f aca="false">IFERROR(VLOOKUP(V$2,Rango_Admin_DailyPred,MATCH($F28,Rango_Admin_DailyPred_Primera,0),0),"-")</f>
        <v>-</v>
      </c>
      <c r="W28" s="162" t="str">
        <f aca="false">IFERROR(VLOOKUP(W$2,Rango_Admin_DailyPred,MATCH($F28,Rango_Admin_DailyPred_Primera,0),0),"-")</f>
        <v>-</v>
      </c>
      <c r="X28" s="162" t="str">
        <f aca="false">IFERROR(VLOOKUP(X$2,Rango_Admin_DailyPred,MATCH($F28,Rango_Admin_DailyPred_Primera,0),0),"-")</f>
        <v>-</v>
      </c>
      <c r="Y28" s="162" t="str">
        <f aca="false">IFERROR(VLOOKUP(Y$2,Rango_Admin_DailyPred,MATCH($F28,Rango_Admin_DailyPred_Primera,0),0),"-")</f>
        <v>-</v>
      </c>
      <c r="Z28" s="162" t="str">
        <f aca="false">IFERROR(VLOOKUP(Z$2,Rango_Admin_DailyPred,MATCH($F28,Rango_Admin_DailyPred_Primera,0),0),"-")</f>
        <v>-</v>
      </c>
      <c r="AA28" s="162" t="str">
        <f aca="false">IFERROR(VLOOKUP(AA$2,Rango_Admin_DailyPred,MATCH($F28,Rango_Admin_DailyPred_Primera,0),0),"-")</f>
        <v>-</v>
      </c>
      <c r="AB28" s="162" t="str">
        <f aca="false">IFERROR(VLOOKUP(AB$2,Rango_Admin_DailyPred,MATCH($F28,Rango_Admin_DailyPred_Primera,0),0),"-")</f>
        <v>-</v>
      </c>
      <c r="AC28" s="162" t="str">
        <f aca="false">IFERROR(VLOOKUP(AC$2,Rango_Admin_DailyPred,MATCH($F28,Rango_Admin_DailyPred_Primera,0),0),"-")</f>
        <v>-</v>
      </c>
      <c r="AD28" s="162" t="str">
        <f aca="false">IFERROR(VLOOKUP(AD$2,Rango_Admin_DailyPred,MATCH($F28,Rango_Admin_DailyPred_Primera,0),0),"-")</f>
        <v>-</v>
      </c>
      <c r="AE28" s="162" t="str">
        <f aca="false">IFERROR(VLOOKUP(AE$2,Rango_Admin_DailyPred,MATCH($F28,Rango_Admin_DailyPred_Primera,0),0),"-")</f>
        <v>-</v>
      </c>
      <c r="AF28" s="162" t="str">
        <f aca="false">IFERROR(VLOOKUP(AF$2,Rango_Admin_DailyPred,MATCH($F28,Rango_Admin_DailyPred_Primera,0),0),"-")</f>
        <v>-</v>
      </c>
      <c r="AG28" s="162" t="str">
        <f aca="false">IFERROR(VLOOKUP(AG$2,Rango_Admin_DailyPred,MATCH($F28,Rango_Admin_DailyPred_Primera,0),0),"-")</f>
        <v>-</v>
      </c>
      <c r="AH28" s="162" t="str">
        <f aca="false">IFERROR(VLOOKUP(AH$2,Rango_Admin_DailyPred,MATCH($F28,Rango_Admin_DailyPred_Primera,0),0),"-")</f>
        <v>-</v>
      </c>
      <c r="AI28" s="162" t="str">
        <f aca="false">IFERROR(VLOOKUP(AI$2,Rango_Admin_DailyPred,MATCH($F28,Rango_Admin_DailyPred_Primera,0),0),"-")</f>
        <v>-</v>
      </c>
      <c r="AJ28" s="162" t="str">
        <f aca="false">IFERROR(VLOOKUP(AJ$2,Rango_Admin_DailyPred,MATCH($F28,Rango_Admin_DailyPred_Primera,0),0),"-")</f>
        <v>-</v>
      </c>
      <c r="AK28" s="162" t="str">
        <f aca="false">IFERROR(VLOOKUP(AK$2,Rango_Admin_DailyPred,MATCH($F28,Rango_Admin_DailyPred_Primera,0),0),"-")</f>
        <v>-</v>
      </c>
      <c r="AL28" s="162" t="str">
        <f aca="false">IFERROR(VLOOKUP(AL$2,Rango_Admin_DailyPred,MATCH($F28,Rango_Admin_DailyPred_Primera,0),0),"-")</f>
        <v>-</v>
      </c>
      <c r="AM28" s="244"/>
      <c r="AN28" s="244"/>
      <c r="AO28" s="244"/>
    </row>
    <row r="29" customFormat="false" ht="23.85" hidden="false" customHeight="false" outlineLevel="0" collapsed="false">
      <c r="A29" s="30" t="str">
        <f aca="false" t="array" ref="A29:A29">IFERROR(INDEX(ADMIN!$K$6:$K$258,SMALL(IF(ADMIN!$G$6:$G$258=$J$1,ROW(ADMIN!$G$6:$G$258)-ROW(ADMIN!$G$6)+1),ROWS($A$1:A26))),"")</f>
        <v/>
      </c>
      <c r="B29" s="475" t="str">
        <f aca="false">A29&amp;CHAR(10)&amp;C29</f>
        <v>
</v>
      </c>
      <c r="C29" s="30" t="str">
        <f aca="false" t="array" ref="C29:C29">IFERROR(IF(INDEX(ADMIN!$M$6:$M$258,SMALL(IF(ADMIN!$G$6:$G$258=$J$1,ROW(ADMIN!$G$6:$G$258)-ROW(ADMIN!$G$6)+1),ROWS($A$1:A26)))="-", "", " ("&amp;INDEX(ADMIN!$M$6:$M$258,SMALL(IF(ADMIN!$G$6:$G$258=$J$1,ROW(ADMIN!$G$6:$G$258)-ROW(ADMIN!$G$6)+1),ROWS($A$1:A26)))&amp;")"),"")</f>
        <v/>
      </c>
      <c r="D29" s="30" t="str">
        <f aca="false" t="array" ref="D29:D29">IFERROR(IF($J$1&gt;=20,INDEX(ADMIN!$C$6:$C$258,SMALL(IF(ADMIN!$G$6:$G$258=$J$1,ROW(ADMIN!$G$6:$G$258)-ROW(ADMIN!$G$6)+1),ROWS($D$1:D26))),""),"")</f>
        <v/>
      </c>
      <c r="E29" s="437" t="n">
        <f aca="false">+E28+3</f>
        <v>84</v>
      </c>
      <c r="F29" s="476" t="str">
        <f aca="false" t="array" ref="F29:F29">IFERROR(INDEX(Rango_Admin_DailyPred_Primera,1,E29),"-")</f>
        <v>Pegar Valores Nombre J26</v>
      </c>
      <c r="G29" s="162" t="n">
        <f aca="false">IFERROR(VLOOKUP(G$2,Rango_Admin_DailyPred,MATCH($F29,Rango_Admin_DailyPred_Primera,0),0),"-")</f>
        <v>0</v>
      </c>
      <c r="H29" s="162" t="n">
        <f aca="false">IFERROR(VLOOKUP(H$2,Rango_Admin_DailyPred,MATCH($F29,Rango_Admin_DailyPred_Primera,0),0),"-")</f>
        <v>0</v>
      </c>
      <c r="I29" s="162" t="n">
        <f aca="false">IFERROR(VLOOKUP(I$2,Rango_Admin_DailyPred,MATCH($F29,Rango_Admin_DailyPred_Primera,0),0),"-")</f>
        <v>0</v>
      </c>
      <c r="J29" s="162" t="n">
        <f aca="false">IFERROR(VLOOKUP(J$2,Rango_Admin_DailyPred,MATCH($F29,Rango_Admin_DailyPred_Primera,0),0),"-")</f>
        <v>0</v>
      </c>
      <c r="K29" s="162" t="n">
        <f aca="false">IFERROR(VLOOKUP(K$2,Rango_Admin_DailyPred,MATCH($F29,Rango_Admin_DailyPred_Primera,0),0),"-")</f>
        <v>0</v>
      </c>
      <c r="L29" s="162" t="str">
        <f aca="false">IFERROR(VLOOKUP(L$2,Rango_Admin_DailyPred,MATCH($F29,Rango_Admin_DailyPred_Primera,0),0),"-")</f>
        <v>-</v>
      </c>
      <c r="M29" s="162" t="str">
        <f aca="false">IFERROR(VLOOKUP(M$2,Rango_Admin_DailyPred,MATCH($F29,Rango_Admin_DailyPred_Primera,0),0),"-")</f>
        <v>-</v>
      </c>
      <c r="N29" s="162" t="str">
        <f aca="false">IFERROR(VLOOKUP(N$2,Rango_Admin_DailyPred,MATCH($F29,Rango_Admin_DailyPred_Primera,0),0),"-")</f>
        <v>-</v>
      </c>
      <c r="O29" s="162" t="str">
        <f aca="false">IFERROR(VLOOKUP(O$2,Rango_Admin_DailyPred,MATCH($F29,Rango_Admin_DailyPred_Primera,0),0),"-")</f>
        <v>-</v>
      </c>
      <c r="P29" s="162" t="str">
        <f aca="false">IFERROR(VLOOKUP(P$2,Rango_Admin_DailyPred,MATCH($F29,Rango_Admin_DailyPred_Primera,0),0),"-")</f>
        <v>-</v>
      </c>
      <c r="Q29" s="162" t="str">
        <f aca="false">IFERROR(VLOOKUP(Q$2,Rango_Admin_DailyPred,MATCH($F29,Rango_Admin_DailyPred_Primera,0),0),"-")</f>
        <v>-</v>
      </c>
      <c r="R29" s="162" t="str">
        <f aca="false">IFERROR(VLOOKUP(R$2,Rango_Admin_DailyPred,MATCH($F29,Rango_Admin_DailyPred_Primera,0),0),"-")</f>
        <v>-</v>
      </c>
      <c r="S29" s="162" t="str">
        <f aca="false">IFERROR(VLOOKUP(S$2,Rango_Admin_DailyPred,MATCH($F29,Rango_Admin_DailyPred_Primera,0),0),"-")</f>
        <v>-</v>
      </c>
      <c r="T29" s="162" t="str">
        <f aca="false">IFERROR(VLOOKUP(T$2,Rango_Admin_DailyPred,MATCH($F29,Rango_Admin_DailyPred_Primera,0),0),"-")</f>
        <v>-</v>
      </c>
      <c r="U29" s="162" t="str">
        <f aca="false">IFERROR(VLOOKUP(U$2,Rango_Admin_DailyPred,MATCH($F29,Rango_Admin_DailyPred_Primera,0),0),"-")</f>
        <v>-</v>
      </c>
      <c r="V29" s="162" t="str">
        <f aca="false">IFERROR(VLOOKUP(V$2,Rango_Admin_DailyPred,MATCH($F29,Rango_Admin_DailyPred_Primera,0),0),"-")</f>
        <v>-</v>
      </c>
      <c r="W29" s="162" t="str">
        <f aca="false">IFERROR(VLOOKUP(W$2,Rango_Admin_DailyPred,MATCH($F29,Rango_Admin_DailyPred_Primera,0),0),"-")</f>
        <v>-</v>
      </c>
      <c r="X29" s="162" t="str">
        <f aca="false">IFERROR(VLOOKUP(X$2,Rango_Admin_DailyPred,MATCH($F29,Rango_Admin_DailyPred_Primera,0),0),"-")</f>
        <v>-</v>
      </c>
      <c r="Y29" s="162" t="str">
        <f aca="false">IFERROR(VLOOKUP(Y$2,Rango_Admin_DailyPred,MATCH($F29,Rango_Admin_DailyPred_Primera,0),0),"-")</f>
        <v>-</v>
      </c>
      <c r="Z29" s="162" t="str">
        <f aca="false">IFERROR(VLOOKUP(Z$2,Rango_Admin_DailyPred,MATCH($F29,Rango_Admin_DailyPred_Primera,0),0),"-")</f>
        <v>-</v>
      </c>
      <c r="AA29" s="162" t="str">
        <f aca="false">IFERROR(VLOOKUP(AA$2,Rango_Admin_DailyPred,MATCH($F29,Rango_Admin_DailyPred_Primera,0),0),"-")</f>
        <v>-</v>
      </c>
      <c r="AB29" s="162" t="str">
        <f aca="false">IFERROR(VLOOKUP(AB$2,Rango_Admin_DailyPred,MATCH($F29,Rango_Admin_DailyPred_Primera,0),0),"-")</f>
        <v>-</v>
      </c>
      <c r="AC29" s="162" t="str">
        <f aca="false">IFERROR(VLOOKUP(AC$2,Rango_Admin_DailyPred,MATCH($F29,Rango_Admin_DailyPred_Primera,0),0),"-")</f>
        <v>-</v>
      </c>
      <c r="AD29" s="162" t="str">
        <f aca="false">IFERROR(VLOOKUP(AD$2,Rango_Admin_DailyPred,MATCH($F29,Rango_Admin_DailyPred_Primera,0),0),"-")</f>
        <v>-</v>
      </c>
      <c r="AE29" s="162" t="str">
        <f aca="false">IFERROR(VLOOKUP(AE$2,Rango_Admin_DailyPred,MATCH($F29,Rango_Admin_DailyPred_Primera,0),0),"-")</f>
        <v>-</v>
      </c>
      <c r="AF29" s="162" t="str">
        <f aca="false">IFERROR(VLOOKUP(AF$2,Rango_Admin_DailyPred,MATCH($F29,Rango_Admin_DailyPred_Primera,0),0),"-")</f>
        <v>-</v>
      </c>
      <c r="AG29" s="162" t="str">
        <f aca="false">IFERROR(VLOOKUP(AG$2,Rango_Admin_DailyPred,MATCH($F29,Rango_Admin_DailyPred_Primera,0),0),"-")</f>
        <v>-</v>
      </c>
      <c r="AH29" s="162" t="str">
        <f aca="false">IFERROR(VLOOKUP(AH$2,Rango_Admin_DailyPred,MATCH($F29,Rango_Admin_DailyPred_Primera,0),0),"-")</f>
        <v>-</v>
      </c>
      <c r="AI29" s="162" t="str">
        <f aca="false">IFERROR(VLOOKUP(AI$2,Rango_Admin_DailyPred,MATCH($F29,Rango_Admin_DailyPred_Primera,0),0),"-")</f>
        <v>-</v>
      </c>
      <c r="AJ29" s="162" t="str">
        <f aca="false">IFERROR(VLOOKUP(AJ$2,Rango_Admin_DailyPred,MATCH($F29,Rango_Admin_DailyPred_Primera,0),0),"-")</f>
        <v>-</v>
      </c>
      <c r="AK29" s="162" t="str">
        <f aca="false">IFERROR(VLOOKUP(AK$2,Rango_Admin_DailyPred,MATCH($F29,Rango_Admin_DailyPred_Primera,0),0),"-")</f>
        <v>-</v>
      </c>
      <c r="AL29" s="162" t="str">
        <f aca="false">IFERROR(VLOOKUP(AL$2,Rango_Admin_DailyPred,MATCH($F29,Rango_Admin_DailyPred_Primera,0),0),"-")</f>
        <v>-</v>
      </c>
      <c r="AM29" s="244"/>
      <c r="AN29" s="244"/>
      <c r="AO29" s="244"/>
    </row>
    <row r="30" customFormat="false" ht="23.85" hidden="false" customHeight="false" outlineLevel="0" collapsed="false">
      <c r="A30" s="30" t="str">
        <f aca="false" t="array" ref="A30:A30">IFERROR(INDEX(ADMIN!$K$6:$K$258,SMALL(IF(ADMIN!$G$6:$G$258=$J$1,ROW(ADMIN!$G$6:$G$258)-ROW(ADMIN!$G$6)+1),ROWS($A$1:A27))),"")</f>
        <v/>
      </c>
      <c r="B30" s="475" t="str">
        <f aca="false">A30&amp;CHAR(10)&amp;C30</f>
        <v>
</v>
      </c>
      <c r="C30" s="30" t="str">
        <f aca="false" t="array" ref="C30:C30">IFERROR(IF(INDEX(ADMIN!$M$6:$M$258,SMALL(IF(ADMIN!$G$6:$G$258=$J$1,ROW(ADMIN!$G$6:$G$258)-ROW(ADMIN!$G$6)+1),ROWS($A$1:A27)))="-", "", " ("&amp;INDEX(ADMIN!$M$6:$M$258,SMALL(IF(ADMIN!$G$6:$G$258=$J$1,ROW(ADMIN!$G$6:$G$258)-ROW(ADMIN!$G$6)+1),ROWS($A$1:A27)))&amp;")"),"")</f>
        <v/>
      </c>
      <c r="D30" s="30" t="str">
        <f aca="false" t="array" ref="D30:D30">IFERROR(IF($J$1&gt;=20,INDEX(ADMIN!$C$6:$C$258,SMALL(IF(ADMIN!$G$6:$G$258=$J$1,ROW(ADMIN!$G$6:$G$258)-ROW(ADMIN!$G$6)+1),ROWS($D$1:D27))),""),"")</f>
        <v/>
      </c>
      <c r="E30" s="437" t="n">
        <f aca="false">+E29+3</f>
        <v>87</v>
      </c>
      <c r="F30" s="476" t="str">
        <f aca="false" t="array" ref="F30:F30">IFERROR(INDEX(Rango_Admin_DailyPred_Primera,1,E30),"-")</f>
        <v>Pegar Valores Nombre J27</v>
      </c>
      <c r="G30" s="162" t="n">
        <f aca="false">IFERROR(VLOOKUP(G$2,Rango_Admin_DailyPred,MATCH($F30,Rango_Admin_DailyPred_Primera,0),0),"-")</f>
        <v>0</v>
      </c>
      <c r="H30" s="162" t="n">
        <f aca="false">IFERROR(VLOOKUP(H$2,Rango_Admin_DailyPred,MATCH($F30,Rango_Admin_DailyPred_Primera,0),0),"-")</f>
        <v>0</v>
      </c>
      <c r="I30" s="162" t="n">
        <f aca="false">IFERROR(VLOOKUP(I$2,Rango_Admin_DailyPred,MATCH($F30,Rango_Admin_DailyPred_Primera,0),0),"-")</f>
        <v>0</v>
      </c>
      <c r="J30" s="162" t="n">
        <f aca="false">IFERROR(VLOOKUP(J$2,Rango_Admin_DailyPred,MATCH($F30,Rango_Admin_DailyPred_Primera,0),0),"-")</f>
        <v>0</v>
      </c>
      <c r="K30" s="162" t="n">
        <f aca="false">IFERROR(VLOOKUP(K$2,Rango_Admin_DailyPred,MATCH($F30,Rango_Admin_DailyPred_Primera,0),0),"-")</f>
        <v>0</v>
      </c>
      <c r="L30" s="162" t="str">
        <f aca="false">IFERROR(VLOOKUP(L$2,Rango_Admin_DailyPred,MATCH($F30,Rango_Admin_DailyPred_Primera,0),0),"-")</f>
        <v>-</v>
      </c>
      <c r="M30" s="162" t="str">
        <f aca="false">IFERROR(VLOOKUP(M$2,Rango_Admin_DailyPred,MATCH($F30,Rango_Admin_DailyPred_Primera,0),0),"-")</f>
        <v>-</v>
      </c>
      <c r="N30" s="162" t="str">
        <f aca="false">IFERROR(VLOOKUP(N$2,Rango_Admin_DailyPred,MATCH($F30,Rango_Admin_DailyPred_Primera,0),0),"-")</f>
        <v>-</v>
      </c>
      <c r="O30" s="162" t="str">
        <f aca="false">IFERROR(VLOOKUP(O$2,Rango_Admin_DailyPred,MATCH($F30,Rango_Admin_DailyPred_Primera,0),0),"-")</f>
        <v>-</v>
      </c>
      <c r="P30" s="162" t="str">
        <f aca="false">IFERROR(VLOOKUP(P$2,Rango_Admin_DailyPred,MATCH($F30,Rango_Admin_DailyPred_Primera,0),0),"-")</f>
        <v>-</v>
      </c>
      <c r="Q30" s="162" t="str">
        <f aca="false">IFERROR(VLOOKUP(Q$2,Rango_Admin_DailyPred,MATCH($F30,Rango_Admin_DailyPred_Primera,0),0),"-")</f>
        <v>-</v>
      </c>
      <c r="R30" s="162" t="str">
        <f aca="false">IFERROR(VLOOKUP(R$2,Rango_Admin_DailyPred,MATCH($F30,Rango_Admin_DailyPred_Primera,0),0),"-")</f>
        <v>-</v>
      </c>
      <c r="S30" s="162" t="str">
        <f aca="false">IFERROR(VLOOKUP(S$2,Rango_Admin_DailyPred,MATCH($F30,Rango_Admin_DailyPred_Primera,0),0),"-")</f>
        <v>-</v>
      </c>
      <c r="T30" s="162" t="str">
        <f aca="false">IFERROR(VLOOKUP(T$2,Rango_Admin_DailyPred,MATCH($F30,Rango_Admin_DailyPred_Primera,0),0),"-")</f>
        <v>-</v>
      </c>
      <c r="U30" s="162" t="str">
        <f aca="false">IFERROR(VLOOKUP(U$2,Rango_Admin_DailyPred,MATCH($F30,Rango_Admin_DailyPred_Primera,0),0),"-")</f>
        <v>-</v>
      </c>
      <c r="V30" s="162" t="str">
        <f aca="false">IFERROR(VLOOKUP(V$2,Rango_Admin_DailyPred,MATCH($F30,Rango_Admin_DailyPred_Primera,0),0),"-")</f>
        <v>-</v>
      </c>
      <c r="W30" s="162" t="str">
        <f aca="false">IFERROR(VLOOKUP(W$2,Rango_Admin_DailyPred,MATCH($F30,Rango_Admin_DailyPred_Primera,0),0),"-")</f>
        <v>-</v>
      </c>
      <c r="X30" s="162" t="str">
        <f aca="false">IFERROR(VLOOKUP(X$2,Rango_Admin_DailyPred,MATCH($F30,Rango_Admin_DailyPred_Primera,0),0),"-")</f>
        <v>-</v>
      </c>
      <c r="Y30" s="162" t="str">
        <f aca="false">IFERROR(VLOOKUP(Y$2,Rango_Admin_DailyPred,MATCH($F30,Rango_Admin_DailyPred_Primera,0),0),"-")</f>
        <v>-</v>
      </c>
      <c r="Z30" s="162" t="str">
        <f aca="false">IFERROR(VLOOKUP(Z$2,Rango_Admin_DailyPred,MATCH($F30,Rango_Admin_DailyPred_Primera,0),0),"-")</f>
        <v>-</v>
      </c>
      <c r="AA30" s="162" t="str">
        <f aca="false">IFERROR(VLOOKUP(AA$2,Rango_Admin_DailyPred,MATCH($F30,Rango_Admin_DailyPred_Primera,0),0),"-")</f>
        <v>-</v>
      </c>
      <c r="AB30" s="162" t="str">
        <f aca="false">IFERROR(VLOOKUP(AB$2,Rango_Admin_DailyPred,MATCH($F30,Rango_Admin_DailyPred_Primera,0),0),"-")</f>
        <v>-</v>
      </c>
      <c r="AC30" s="162" t="str">
        <f aca="false">IFERROR(VLOOKUP(AC$2,Rango_Admin_DailyPred,MATCH($F30,Rango_Admin_DailyPred_Primera,0),0),"-")</f>
        <v>-</v>
      </c>
      <c r="AD30" s="162" t="str">
        <f aca="false">IFERROR(VLOOKUP(AD$2,Rango_Admin_DailyPred,MATCH($F30,Rango_Admin_DailyPred_Primera,0),0),"-")</f>
        <v>-</v>
      </c>
      <c r="AE30" s="162" t="str">
        <f aca="false">IFERROR(VLOOKUP(AE$2,Rango_Admin_DailyPred,MATCH($F30,Rango_Admin_DailyPred_Primera,0),0),"-")</f>
        <v>-</v>
      </c>
      <c r="AF30" s="162" t="str">
        <f aca="false">IFERROR(VLOOKUP(AF$2,Rango_Admin_DailyPred,MATCH($F30,Rango_Admin_DailyPred_Primera,0),0),"-")</f>
        <v>-</v>
      </c>
      <c r="AG30" s="162" t="str">
        <f aca="false">IFERROR(VLOOKUP(AG$2,Rango_Admin_DailyPred,MATCH($F30,Rango_Admin_DailyPred_Primera,0),0),"-")</f>
        <v>-</v>
      </c>
      <c r="AH30" s="162" t="str">
        <f aca="false">IFERROR(VLOOKUP(AH$2,Rango_Admin_DailyPred,MATCH($F30,Rango_Admin_DailyPred_Primera,0),0),"-")</f>
        <v>-</v>
      </c>
      <c r="AI30" s="162" t="str">
        <f aca="false">IFERROR(VLOOKUP(AI$2,Rango_Admin_DailyPred,MATCH($F30,Rango_Admin_DailyPred_Primera,0),0),"-")</f>
        <v>-</v>
      </c>
      <c r="AJ30" s="162" t="str">
        <f aca="false">IFERROR(VLOOKUP(AJ$2,Rango_Admin_DailyPred,MATCH($F30,Rango_Admin_DailyPred_Primera,0),0),"-")</f>
        <v>-</v>
      </c>
      <c r="AK30" s="162" t="str">
        <f aca="false">IFERROR(VLOOKUP(AK$2,Rango_Admin_DailyPred,MATCH($F30,Rango_Admin_DailyPred_Primera,0),0),"-")</f>
        <v>-</v>
      </c>
      <c r="AL30" s="162" t="str">
        <f aca="false">IFERROR(VLOOKUP(AL$2,Rango_Admin_DailyPred,MATCH($F30,Rango_Admin_DailyPred_Primera,0),0),"-")</f>
        <v>-</v>
      </c>
      <c r="AM30" s="244"/>
      <c r="AN30" s="244"/>
      <c r="AO30" s="244"/>
    </row>
    <row r="31" customFormat="false" ht="23.85" hidden="false" customHeight="false" outlineLevel="0" collapsed="false">
      <c r="A31" s="30" t="str">
        <f aca="false" t="array" ref="A31:A31">IFERROR(INDEX(ADMIN!$K$6:$K$258,SMALL(IF(ADMIN!$G$6:$G$258=$J$1,ROW(ADMIN!$G$6:$G$258)-ROW(ADMIN!$G$6)+1),ROWS($A$1:A28))),"")</f>
        <v/>
      </c>
      <c r="B31" s="475" t="str">
        <f aca="false">A31&amp;CHAR(10)&amp;C31</f>
        <v>
</v>
      </c>
      <c r="C31" s="30" t="str">
        <f aca="false" t="array" ref="C31:C31">IFERROR(IF(INDEX(ADMIN!$M$6:$M$258,SMALL(IF(ADMIN!$G$6:$G$258=$J$1,ROW(ADMIN!$G$6:$G$258)-ROW(ADMIN!$G$6)+1),ROWS($A$1:A28)))="-", "", " ("&amp;INDEX(ADMIN!$M$6:$M$258,SMALL(IF(ADMIN!$G$6:$G$258=$J$1,ROW(ADMIN!$G$6:$G$258)-ROW(ADMIN!$G$6)+1),ROWS($A$1:A28)))&amp;")"),"")</f>
        <v/>
      </c>
      <c r="D31" s="30" t="str">
        <f aca="false" t="array" ref="D31:D31">IFERROR(IF($J$1&gt;=20,INDEX(ADMIN!$C$6:$C$258,SMALL(IF(ADMIN!$G$6:$G$258=$J$1,ROW(ADMIN!$G$6:$G$258)-ROW(ADMIN!$G$6)+1),ROWS($D$1:D28))),""),"")</f>
        <v/>
      </c>
      <c r="E31" s="437" t="n">
        <f aca="false">+E30+3</f>
        <v>90</v>
      </c>
      <c r="F31" s="476" t="str">
        <f aca="false" t="array" ref="F31:F31">IFERROR(INDEX(Rango_Admin_DailyPred_Primera,1,E31),"-")</f>
        <v>Pegar Valores Nombre J28</v>
      </c>
      <c r="G31" s="162" t="n">
        <f aca="false">IFERROR(VLOOKUP(G$2,Rango_Admin_DailyPred,MATCH($F31,Rango_Admin_DailyPred_Primera,0),0),"-")</f>
        <v>0</v>
      </c>
      <c r="H31" s="162" t="n">
        <f aca="false">IFERROR(VLOOKUP(H$2,Rango_Admin_DailyPred,MATCH($F31,Rango_Admin_DailyPred_Primera,0),0),"-")</f>
        <v>0</v>
      </c>
      <c r="I31" s="162" t="n">
        <f aca="false">IFERROR(VLOOKUP(I$2,Rango_Admin_DailyPred,MATCH($F31,Rango_Admin_DailyPred_Primera,0),0),"-")</f>
        <v>0</v>
      </c>
      <c r="J31" s="162" t="n">
        <f aca="false">IFERROR(VLOOKUP(J$2,Rango_Admin_DailyPred,MATCH($F31,Rango_Admin_DailyPred_Primera,0),0),"-")</f>
        <v>0</v>
      </c>
      <c r="K31" s="162" t="n">
        <f aca="false">IFERROR(VLOOKUP(K$2,Rango_Admin_DailyPred,MATCH($F31,Rango_Admin_DailyPred_Primera,0),0),"-")</f>
        <v>0</v>
      </c>
      <c r="L31" s="162" t="str">
        <f aca="false">IFERROR(VLOOKUP(L$2,Rango_Admin_DailyPred,MATCH($F31,Rango_Admin_DailyPred_Primera,0),0),"-")</f>
        <v>-</v>
      </c>
      <c r="M31" s="162" t="str">
        <f aca="false">IFERROR(VLOOKUP(M$2,Rango_Admin_DailyPred,MATCH($F31,Rango_Admin_DailyPred_Primera,0),0),"-")</f>
        <v>-</v>
      </c>
      <c r="N31" s="162" t="str">
        <f aca="false">IFERROR(VLOOKUP(N$2,Rango_Admin_DailyPred,MATCH($F31,Rango_Admin_DailyPred_Primera,0),0),"-")</f>
        <v>-</v>
      </c>
      <c r="O31" s="162" t="str">
        <f aca="false">IFERROR(VLOOKUP(O$2,Rango_Admin_DailyPred,MATCH($F31,Rango_Admin_DailyPred_Primera,0),0),"-")</f>
        <v>-</v>
      </c>
      <c r="P31" s="162" t="str">
        <f aca="false">IFERROR(VLOOKUP(P$2,Rango_Admin_DailyPred,MATCH($F31,Rango_Admin_DailyPred_Primera,0),0),"-")</f>
        <v>-</v>
      </c>
      <c r="Q31" s="162" t="str">
        <f aca="false">IFERROR(VLOOKUP(Q$2,Rango_Admin_DailyPred,MATCH($F31,Rango_Admin_DailyPred_Primera,0),0),"-")</f>
        <v>-</v>
      </c>
      <c r="R31" s="162" t="str">
        <f aca="false">IFERROR(VLOOKUP(R$2,Rango_Admin_DailyPred,MATCH($F31,Rango_Admin_DailyPred_Primera,0),0),"-")</f>
        <v>-</v>
      </c>
      <c r="S31" s="162" t="str">
        <f aca="false">IFERROR(VLOOKUP(S$2,Rango_Admin_DailyPred,MATCH($F31,Rango_Admin_DailyPred_Primera,0),0),"-")</f>
        <v>-</v>
      </c>
      <c r="T31" s="162" t="str">
        <f aca="false">IFERROR(VLOOKUP(T$2,Rango_Admin_DailyPred,MATCH($F31,Rango_Admin_DailyPred_Primera,0),0),"-")</f>
        <v>-</v>
      </c>
      <c r="U31" s="162" t="str">
        <f aca="false">IFERROR(VLOOKUP(U$2,Rango_Admin_DailyPred,MATCH($F31,Rango_Admin_DailyPred_Primera,0),0),"-")</f>
        <v>-</v>
      </c>
      <c r="V31" s="162" t="str">
        <f aca="false">IFERROR(VLOOKUP(V$2,Rango_Admin_DailyPred,MATCH($F31,Rango_Admin_DailyPred_Primera,0),0),"-")</f>
        <v>-</v>
      </c>
      <c r="W31" s="162" t="str">
        <f aca="false">IFERROR(VLOOKUP(W$2,Rango_Admin_DailyPred,MATCH($F31,Rango_Admin_DailyPred_Primera,0),0),"-")</f>
        <v>-</v>
      </c>
      <c r="X31" s="162" t="str">
        <f aca="false">IFERROR(VLOOKUP(X$2,Rango_Admin_DailyPred,MATCH($F31,Rango_Admin_DailyPred_Primera,0),0),"-")</f>
        <v>-</v>
      </c>
      <c r="Y31" s="162" t="str">
        <f aca="false">IFERROR(VLOOKUP(Y$2,Rango_Admin_DailyPred,MATCH($F31,Rango_Admin_DailyPred_Primera,0),0),"-")</f>
        <v>-</v>
      </c>
      <c r="Z31" s="162" t="str">
        <f aca="false">IFERROR(VLOOKUP(Z$2,Rango_Admin_DailyPred,MATCH($F31,Rango_Admin_DailyPred_Primera,0),0),"-")</f>
        <v>-</v>
      </c>
      <c r="AA31" s="162" t="str">
        <f aca="false">IFERROR(VLOOKUP(AA$2,Rango_Admin_DailyPred,MATCH($F31,Rango_Admin_DailyPred_Primera,0),0),"-")</f>
        <v>-</v>
      </c>
      <c r="AB31" s="162" t="str">
        <f aca="false">IFERROR(VLOOKUP(AB$2,Rango_Admin_DailyPred,MATCH($F31,Rango_Admin_DailyPred_Primera,0),0),"-")</f>
        <v>-</v>
      </c>
      <c r="AC31" s="162" t="str">
        <f aca="false">IFERROR(VLOOKUP(AC$2,Rango_Admin_DailyPred,MATCH($F31,Rango_Admin_DailyPred_Primera,0),0),"-")</f>
        <v>-</v>
      </c>
      <c r="AD31" s="162" t="str">
        <f aca="false">IFERROR(VLOOKUP(AD$2,Rango_Admin_DailyPred,MATCH($F31,Rango_Admin_DailyPred_Primera,0),0),"-")</f>
        <v>-</v>
      </c>
      <c r="AE31" s="162" t="str">
        <f aca="false">IFERROR(VLOOKUP(AE$2,Rango_Admin_DailyPred,MATCH($F31,Rango_Admin_DailyPred_Primera,0),0),"-")</f>
        <v>-</v>
      </c>
      <c r="AF31" s="162" t="str">
        <f aca="false">IFERROR(VLOOKUP(AF$2,Rango_Admin_DailyPred,MATCH($F31,Rango_Admin_DailyPred_Primera,0),0),"-")</f>
        <v>-</v>
      </c>
      <c r="AG31" s="162" t="str">
        <f aca="false">IFERROR(VLOOKUP(AG$2,Rango_Admin_DailyPred,MATCH($F31,Rango_Admin_DailyPred_Primera,0),0),"-")</f>
        <v>-</v>
      </c>
      <c r="AH31" s="162" t="str">
        <f aca="false">IFERROR(VLOOKUP(AH$2,Rango_Admin_DailyPred,MATCH($F31,Rango_Admin_DailyPred_Primera,0),0),"-")</f>
        <v>-</v>
      </c>
      <c r="AI31" s="162" t="str">
        <f aca="false">IFERROR(VLOOKUP(AI$2,Rango_Admin_DailyPred,MATCH($F31,Rango_Admin_DailyPred_Primera,0),0),"-")</f>
        <v>-</v>
      </c>
      <c r="AJ31" s="162" t="str">
        <f aca="false">IFERROR(VLOOKUP(AJ$2,Rango_Admin_DailyPred,MATCH($F31,Rango_Admin_DailyPred_Primera,0),0),"-")</f>
        <v>-</v>
      </c>
      <c r="AK31" s="162" t="str">
        <f aca="false">IFERROR(VLOOKUP(AK$2,Rango_Admin_DailyPred,MATCH($F31,Rango_Admin_DailyPred_Primera,0),0),"-")</f>
        <v>-</v>
      </c>
      <c r="AL31" s="162" t="str">
        <f aca="false">IFERROR(VLOOKUP(AL$2,Rango_Admin_DailyPred,MATCH($F31,Rango_Admin_DailyPred_Primera,0),0),"-")</f>
        <v>-</v>
      </c>
      <c r="AM31" s="244"/>
      <c r="AN31" s="244"/>
      <c r="AO31" s="244"/>
    </row>
    <row r="32" customFormat="false" ht="23.85" hidden="false" customHeight="false" outlineLevel="0" collapsed="false">
      <c r="A32" s="30" t="str">
        <f aca="false" t="array" ref="A32:A32">IFERROR(INDEX(ADMIN!$K$6:$K$258,SMALL(IF(ADMIN!$G$6:$G$258=$J$1,ROW(ADMIN!$G$6:$G$258)-ROW(ADMIN!$G$6)+1),ROWS($A$1:A29))),"")</f>
        <v/>
      </c>
      <c r="B32" s="475" t="str">
        <f aca="false">A32&amp;CHAR(10)&amp;C32</f>
        <v>
</v>
      </c>
      <c r="C32" s="30" t="str">
        <f aca="false" t="array" ref="C32:C32">IFERROR(IF(INDEX(ADMIN!$M$6:$M$258,SMALL(IF(ADMIN!$G$6:$G$258=$J$1,ROW(ADMIN!$G$6:$G$258)-ROW(ADMIN!$G$6)+1),ROWS($A$1:A29)))="-", "", " ("&amp;INDEX(ADMIN!$M$6:$M$258,SMALL(IF(ADMIN!$G$6:$G$258=$J$1,ROW(ADMIN!$G$6:$G$258)-ROW(ADMIN!$G$6)+1),ROWS($A$1:A29)))&amp;")"),"")</f>
        <v/>
      </c>
      <c r="D32" s="30" t="str">
        <f aca="false" t="array" ref="D32:D32">IFERROR(IF($J$1&gt;=20,INDEX(ADMIN!$C$6:$C$258,SMALL(IF(ADMIN!$G$6:$G$258=$J$1,ROW(ADMIN!$G$6:$G$258)-ROW(ADMIN!$G$6)+1),ROWS($D$1:D29))),""),"")</f>
        <v/>
      </c>
      <c r="E32" s="437" t="n">
        <f aca="false">+E31+3</f>
        <v>93</v>
      </c>
      <c r="F32" s="476" t="str">
        <f aca="false" t="array" ref="F32:F32">IFERROR(INDEX(Rango_Admin_DailyPred_Primera,1,E32),"-")</f>
        <v>Pegar Valores Nombre J29</v>
      </c>
      <c r="G32" s="162" t="n">
        <f aca="false">IFERROR(VLOOKUP(G$2,Rango_Admin_DailyPred,MATCH($F32,Rango_Admin_DailyPred_Primera,0),0),"-")</f>
        <v>0</v>
      </c>
      <c r="H32" s="162" t="n">
        <f aca="false">IFERROR(VLOOKUP(H$2,Rango_Admin_DailyPred,MATCH($F32,Rango_Admin_DailyPred_Primera,0),0),"-")</f>
        <v>0</v>
      </c>
      <c r="I32" s="162" t="n">
        <f aca="false">IFERROR(VLOOKUP(I$2,Rango_Admin_DailyPred,MATCH($F32,Rango_Admin_DailyPred_Primera,0),0),"-")</f>
        <v>0</v>
      </c>
      <c r="J32" s="162" t="n">
        <f aca="false">IFERROR(VLOOKUP(J$2,Rango_Admin_DailyPred,MATCH($F32,Rango_Admin_DailyPred_Primera,0),0),"-")</f>
        <v>0</v>
      </c>
      <c r="K32" s="162" t="n">
        <f aca="false">IFERROR(VLOOKUP(K$2,Rango_Admin_DailyPred,MATCH($F32,Rango_Admin_DailyPred_Primera,0),0),"-")</f>
        <v>0</v>
      </c>
      <c r="L32" s="162" t="str">
        <f aca="false">IFERROR(VLOOKUP(L$2,Rango_Admin_DailyPred,MATCH($F32,Rango_Admin_DailyPred_Primera,0),0),"-")</f>
        <v>-</v>
      </c>
      <c r="M32" s="162" t="str">
        <f aca="false">IFERROR(VLOOKUP(M$2,Rango_Admin_DailyPred,MATCH($F32,Rango_Admin_DailyPred_Primera,0),0),"-")</f>
        <v>-</v>
      </c>
      <c r="N32" s="162" t="str">
        <f aca="false">IFERROR(VLOOKUP(N$2,Rango_Admin_DailyPred,MATCH($F32,Rango_Admin_DailyPred_Primera,0),0),"-")</f>
        <v>-</v>
      </c>
      <c r="O32" s="162" t="str">
        <f aca="false">IFERROR(VLOOKUP(O$2,Rango_Admin_DailyPred,MATCH($F32,Rango_Admin_DailyPred_Primera,0),0),"-")</f>
        <v>-</v>
      </c>
      <c r="P32" s="162" t="str">
        <f aca="false">IFERROR(VLOOKUP(P$2,Rango_Admin_DailyPred,MATCH($F32,Rango_Admin_DailyPred_Primera,0),0),"-")</f>
        <v>-</v>
      </c>
      <c r="Q32" s="162" t="str">
        <f aca="false">IFERROR(VLOOKUP(Q$2,Rango_Admin_DailyPred,MATCH($F32,Rango_Admin_DailyPred_Primera,0),0),"-")</f>
        <v>-</v>
      </c>
      <c r="R32" s="162" t="str">
        <f aca="false">IFERROR(VLOOKUP(R$2,Rango_Admin_DailyPred,MATCH($F32,Rango_Admin_DailyPred_Primera,0),0),"-")</f>
        <v>-</v>
      </c>
      <c r="S32" s="162" t="str">
        <f aca="false">IFERROR(VLOOKUP(S$2,Rango_Admin_DailyPred,MATCH($F32,Rango_Admin_DailyPred_Primera,0),0),"-")</f>
        <v>-</v>
      </c>
      <c r="T32" s="162" t="str">
        <f aca="false">IFERROR(VLOOKUP(T$2,Rango_Admin_DailyPred,MATCH($F32,Rango_Admin_DailyPred_Primera,0),0),"-")</f>
        <v>-</v>
      </c>
      <c r="U32" s="162" t="str">
        <f aca="false">IFERROR(VLOOKUP(U$2,Rango_Admin_DailyPred,MATCH($F32,Rango_Admin_DailyPred_Primera,0),0),"-")</f>
        <v>-</v>
      </c>
      <c r="V32" s="162" t="str">
        <f aca="false">IFERROR(VLOOKUP(V$2,Rango_Admin_DailyPred,MATCH($F32,Rango_Admin_DailyPred_Primera,0),0),"-")</f>
        <v>-</v>
      </c>
      <c r="W32" s="162" t="str">
        <f aca="false">IFERROR(VLOOKUP(W$2,Rango_Admin_DailyPred,MATCH($F32,Rango_Admin_DailyPred_Primera,0),0),"-")</f>
        <v>-</v>
      </c>
      <c r="X32" s="162" t="str">
        <f aca="false">IFERROR(VLOOKUP(X$2,Rango_Admin_DailyPred,MATCH($F32,Rango_Admin_DailyPred_Primera,0),0),"-")</f>
        <v>-</v>
      </c>
      <c r="Y32" s="162" t="str">
        <f aca="false">IFERROR(VLOOKUP(Y$2,Rango_Admin_DailyPred,MATCH($F32,Rango_Admin_DailyPred_Primera,0),0),"-")</f>
        <v>-</v>
      </c>
      <c r="Z32" s="162" t="str">
        <f aca="false">IFERROR(VLOOKUP(Z$2,Rango_Admin_DailyPred,MATCH($F32,Rango_Admin_DailyPred_Primera,0),0),"-")</f>
        <v>-</v>
      </c>
      <c r="AA32" s="162" t="str">
        <f aca="false">IFERROR(VLOOKUP(AA$2,Rango_Admin_DailyPred,MATCH($F32,Rango_Admin_DailyPred_Primera,0),0),"-")</f>
        <v>-</v>
      </c>
      <c r="AB32" s="162" t="str">
        <f aca="false">IFERROR(VLOOKUP(AB$2,Rango_Admin_DailyPred,MATCH($F32,Rango_Admin_DailyPred_Primera,0),0),"-")</f>
        <v>-</v>
      </c>
      <c r="AC32" s="162" t="str">
        <f aca="false">IFERROR(VLOOKUP(AC$2,Rango_Admin_DailyPred,MATCH($F32,Rango_Admin_DailyPred_Primera,0),0),"-")</f>
        <v>-</v>
      </c>
      <c r="AD32" s="162" t="str">
        <f aca="false">IFERROR(VLOOKUP(AD$2,Rango_Admin_DailyPred,MATCH($F32,Rango_Admin_DailyPred_Primera,0),0),"-")</f>
        <v>-</v>
      </c>
      <c r="AE32" s="162" t="str">
        <f aca="false">IFERROR(VLOOKUP(AE$2,Rango_Admin_DailyPred,MATCH($F32,Rango_Admin_DailyPred_Primera,0),0),"-")</f>
        <v>-</v>
      </c>
      <c r="AF32" s="162" t="str">
        <f aca="false">IFERROR(VLOOKUP(AF$2,Rango_Admin_DailyPred,MATCH($F32,Rango_Admin_DailyPred_Primera,0),0),"-")</f>
        <v>-</v>
      </c>
      <c r="AG32" s="162" t="str">
        <f aca="false">IFERROR(VLOOKUP(AG$2,Rango_Admin_DailyPred,MATCH($F32,Rango_Admin_DailyPred_Primera,0),0),"-")</f>
        <v>-</v>
      </c>
      <c r="AH32" s="162" t="str">
        <f aca="false">IFERROR(VLOOKUP(AH$2,Rango_Admin_DailyPred,MATCH($F32,Rango_Admin_DailyPred_Primera,0),0),"-")</f>
        <v>-</v>
      </c>
      <c r="AI32" s="162" t="str">
        <f aca="false">IFERROR(VLOOKUP(AI$2,Rango_Admin_DailyPred,MATCH($F32,Rango_Admin_DailyPred_Primera,0),0),"-")</f>
        <v>-</v>
      </c>
      <c r="AJ32" s="162" t="str">
        <f aca="false">IFERROR(VLOOKUP(AJ$2,Rango_Admin_DailyPred,MATCH($F32,Rango_Admin_DailyPred_Primera,0),0),"-")</f>
        <v>-</v>
      </c>
      <c r="AK32" s="162" t="str">
        <f aca="false">IFERROR(VLOOKUP(AK$2,Rango_Admin_DailyPred,MATCH($F32,Rango_Admin_DailyPred_Primera,0),0),"-")</f>
        <v>-</v>
      </c>
      <c r="AL32" s="162" t="str">
        <f aca="false">IFERROR(VLOOKUP(AL$2,Rango_Admin_DailyPred,MATCH($F32,Rango_Admin_DailyPred_Primera,0),0),"-")</f>
        <v>-</v>
      </c>
      <c r="AM32" s="244"/>
      <c r="AN32" s="244"/>
      <c r="AO32" s="244"/>
    </row>
    <row r="33" customFormat="false" ht="23.85" hidden="false" customHeight="false" outlineLevel="0" collapsed="false">
      <c r="A33" s="30" t="str">
        <f aca="false" t="array" ref="A33:A33">IFERROR(INDEX(ADMIN!$K$6:$K$258,SMALL(IF(ADMIN!$G$6:$G$258=$J$1,ROW(ADMIN!$G$6:$G$258)-ROW(ADMIN!$G$6)+1),ROWS($A$1:A30))),"")</f>
        <v/>
      </c>
      <c r="B33" s="475" t="str">
        <f aca="false">A33&amp;CHAR(10)&amp;C33</f>
        <v>
</v>
      </c>
      <c r="C33" s="30" t="str">
        <f aca="false" t="array" ref="C33:C33">IFERROR(IF(INDEX(ADMIN!$M$6:$M$258,SMALL(IF(ADMIN!$G$6:$G$258=$J$1,ROW(ADMIN!$G$6:$G$258)-ROW(ADMIN!$G$6)+1),ROWS($A$1:A30)))="-", "", " ("&amp;INDEX(ADMIN!$M$6:$M$258,SMALL(IF(ADMIN!$G$6:$G$258=$J$1,ROW(ADMIN!$G$6:$G$258)-ROW(ADMIN!$G$6)+1),ROWS($A$1:A30)))&amp;")"),"")</f>
        <v/>
      </c>
      <c r="D33" s="30" t="str">
        <f aca="false" t="array" ref="D33:D33">IFERROR(IF($J$1&gt;=20,INDEX(ADMIN!$C$6:$C$258,SMALL(IF(ADMIN!$G$6:$G$258=$J$1,ROW(ADMIN!$G$6:$G$258)-ROW(ADMIN!$G$6)+1),ROWS($D$1:D30))),""),"")</f>
        <v/>
      </c>
      <c r="E33" s="437" t="n">
        <f aca="false">+E32+3</f>
        <v>96</v>
      </c>
      <c r="F33" s="476" t="str">
        <f aca="false" t="array" ref="F33:F33">IFERROR(INDEX(Rango_Admin_DailyPred_Primera,1,E33),"-")</f>
        <v>Pegar Valores Nombre J30</v>
      </c>
      <c r="G33" s="162" t="n">
        <f aca="false">IFERROR(VLOOKUP(G$2,Rango_Admin_DailyPred,MATCH($F33,Rango_Admin_DailyPred_Primera,0),0),"-")</f>
        <v>0</v>
      </c>
      <c r="H33" s="162" t="n">
        <f aca="false">IFERROR(VLOOKUP(H$2,Rango_Admin_DailyPred,MATCH($F33,Rango_Admin_DailyPred_Primera,0),0),"-")</f>
        <v>0</v>
      </c>
      <c r="I33" s="162" t="n">
        <f aca="false">IFERROR(VLOOKUP(I$2,Rango_Admin_DailyPred,MATCH($F33,Rango_Admin_DailyPred_Primera,0),0),"-")</f>
        <v>0</v>
      </c>
      <c r="J33" s="162" t="n">
        <f aca="false">IFERROR(VLOOKUP(J$2,Rango_Admin_DailyPred,MATCH($F33,Rango_Admin_DailyPred_Primera,0),0),"-")</f>
        <v>0</v>
      </c>
      <c r="K33" s="162" t="n">
        <f aca="false">IFERROR(VLOOKUP(K$2,Rango_Admin_DailyPred,MATCH($F33,Rango_Admin_DailyPred_Primera,0),0),"-")</f>
        <v>0</v>
      </c>
      <c r="L33" s="162" t="str">
        <f aca="false">IFERROR(VLOOKUP(L$2,Rango_Admin_DailyPred,MATCH($F33,Rango_Admin_DailyPred_Primera,0),0),"-")</f>
        <v>-</v>
      </c>
      <c r="M33" s="162" t="str">
        <f aca="false">IFERROR(VLOOKUP(M$2,Rango_Admin_DailyPred,MATCH($F33,Rango_Admin_DailyPred_Primera,0),0),"-")</f>
        <v>-</v>
      </c>
      <c r="N33" s="162" t="str">
        <f aca="false">IFERROR(VLOOKUP(N$2,Rango_Admin_DailyPred,MATCH($F33,Rango_Admin_DailyPred_Primera,0),0),"-")</f>
        <v>-</v>
      </c>
      <c r="O33" s="162" t="str">
        <f aca="false">IFERROR(VLOOKUP(O$2,Rango_Admin_DailyPred,MATCH($F33,Rango_Admin_DailyPred_Primera,0),0),"-")</f>
        <v>-</v>
      </c>
      <c r="P33" s="162" t="str">
        <f aca="false">IFERROR(VLOOKUP(P$2,Rango_Admin_DailyPred,MATCH($F33,Rango_Admin_DailyPred_Primera,0),0),"-")</f>
        <v>-</v>
      </c>
      <c r="Q33" s="162" t="str">
        <f aca="false">IFERROR(VLOOKUP(Q$2,Rango_Admin_DailyPred,MATCH($F33,Rango_Admin_DailyPred_Primera,0),0),"-")</f>
        <v>-</v>
      </c>
      <c r="R33" s="162" t="str">
        <f aca="false">IFERROR(VLOOKUP(R$2,Rango_Admin_DailyPred,MATCH($F33,Rango_Admin_DailyPred_Primera,0),0),"-")</f>
        <v>-</v>
      </c>
      <c r="S33" s="162" t="str">
        <f aca="false">IFERROR(VLOOKUP(S$2,Rango_Admin_DailyPred,MATCH($F33,Rango_Admin_DailyPred_Primera,0),0),"-")</f>
        <v>-</v>
      </c>
      <c r="T33" s="162" t="str">
        <f aca="false">IFERROR(VLOOKUP(T$2,Rango_Admin_DailyPred,MATCH($F33,Rango_Admin_DailyPred_Primera,0),0),"-")</f>
        <v>-</v>
      </c>
      <c r="U33" s="162" t="str">
        <f aca="false">IFERROR(VLOOKUP(U$2,Rango_Admin_DailyPred,MATCH($F33,Rango_Admin_DailyPred_Primera,0),0),"-")</f>
        <v>-</v>
      </c>
      <c r="V33" s="162" t="str">
        <f aca="false">IFERROR(VLOOKUP(V$2,Rango_Admin_DailyPred,MATCH($F33,Rango_Admin_DailyPred_Primera,0),0),"-")</f>
        <v>-</v>
      </c>
      <c r="W33" s="162" t="str">
        <f aca="false">IFERROR(VLOOKUP(W$2,Rango_Admin_DailyPred,MATCH($F33,Rango_Admin_DailyPred_Primera,0),0),"-")</f>
        <v>-</v>
      </c>
      <c r="X33" s="162" t="str">
        <f aca="false">IFERROR(VLOOKUP(X$2,Rango_Admin_DailyPred,MATCH($F33,Rango_Admin_DailyPred_Primera,0),0),"-")</f>
        <v>-</v>
      </c>
      <c r="Y33" s="162" t="str">
        <f aca="false">IFERROR(VLOOKUP(Y$2,Rango_Admin_DailyPred,MATCH($F33,Rango_Admin_DailyPred_Primera,0),0),"-")</f>
        <v>-</v>
      </c>
      <c r="Z33" s="162" t="str">
        <f aca="false">IFERROR(VLOOKUP(Z$2,Rango_Admin_DailyPred,MATCH($F33,Rango_Admin_DailyPred_Primera,0),0),"-")</f>
        <v>-</v>
      </c>
      <c r="AA33" s="162" t="str">
        <f aca="false">IFERROR(VLOOKUP(AA$2,Rango_Admin_DailyPred,MATCH($F33,Rango_Admin_DailyPred_Primera,0),0),"-")</f>
        <v>-</v>
      </c>
      <c r="AB33" s="162" t="str">
        <f aca="false">IFERROR(VLOOKUP(AB$2,Rango_Admin_DailyPred,MATCH($F33,Rango_Admin_DailyPred_Primera,0),0),"-")</f>
        <v>-</v>
      </c>
      <c r="AC33" s="162" t="str">
        <f aca="false">IFERROR(VLOOKUP(AC$2,Rango_Admin_DailyPred,MATCH($F33,Rango_Admin_DailyPred_Primera,0),0),"-")</f>
        <v>-</v>
      </c>
      <c r="AD33" s="162" t="str">
        <f aca="false">IFERROR(VLOOKUP(AD$2,Rango_Admin_DailyPred,MATCH($F33,Rango_Admin_DailyPred_Primera,0),0),"-")</f>
        <v>-</v>
      </c>
      <c r="AE33" s="162" t="str">
        <f aca="false">IFERROR(VLOOKUP(AE$2,Rango_Admin_DailyPred,MATCH($F33,Rango_Admin_DailyPred_Primera,0),0),"-")</f>
        <v>-</v>
      </c>
      <c r="AF33" s="162" t="str">
        <f aca="false">IFERROR(VLOOKUP(AF$2,Rango_Admin_DailyPred,MATCH($F33,Rango_Admin_DailyPred_Primera,0),0),"-")</f>
        <v>-</v>
      </c>
      <c r="AG33" s="162" t="str">
        <f aca="false">IFERROR(VLOOKUP(AG$2,Rango_Admin_DailyPred,MATCH($F33,Rango_Admin_DailyPred_Primera,0),0),"-")</f>
        <v>-</v>
      </c>
      <c r="AH33" s="162" t="str">
        <f aca="false">IFERROR(VLOOKUP(AH$2,Rango_Admin_DailyPred,MATCH($F33,Rango_Admin_DailyPred_Primera,0),0),"-")</f>
        <v>-</v>
      </c>
      <c r="AI33" s="162" t="str">
        <f aca="false">IFERROR(VLOOKUP(AI$2,Rango_Admin_DailyPred,MATCH($F33,Rango_Admin_DailyPred_Primera,0),0),"-")</f>
        <v>-</v>
      </c>
      <c r="AJ33" s="162" t="str">
        <f aca="false">IFERROR(VLOOKUP(AJ$2,Rango_Admin_DailyPred,MATCH($F33,Rango_Admin_DailyPred_Primera,0),0),"-")</f>
        <v>-</v>
      </c>
      <c r="AK33" s="162" t="str">
        <f aca="false">IFERROR(VLOOKUP(AK$2,Rango_Admin_DailyPred,MATCH($F33,Rango_Admin_DailyPred_Primera,0),0),"-")</f>
        <v>-</v>
      </c>
      <c r="AL33" s="162" t="str">
        <f aca="false">IFERROR(VLOOKUP(AL$2,Rango_Admin_DailyPred,MATCH($F33,Rango_Admin_DailyPred_Primera,0),0),"-")</f>
        <v>-</v>
      </c>
      <c r="AM33" s="244"/>
      <c r="AN33" s="244"/>
      <c r="AO33" s="244"/>
    </row>
    <row r="34" customFormat="false" ht="23.85" hidden="false" customHeight="false" outlineLevel="0" collapsed="false">
      <c r="A34" s="30" t="str">
        <f aca="false" t="array" ref="A34:A34">IFERROR(INDEX(ADMIN!$K$6:$K$258,SMALL(IF(ADMIN!$G$6:$G$258=$J$1,ROW(ADMIN!$G$6:$G$258)-ROW(ADMIN!$G$6)+1),ROWS($A$1:A31))),"")</f>
        <v/>
      </c>
      <c r="B34" s="475" t="str">
        <f aca="false">A34&amp;CHAR(10)&amp;C34</f>
        <v>
</v>
      </c>
      <c r="C34" s="30" t="str">
        <f aca="false" t="array" ref="C34:C34">IFERROR(IF(INDEX(ADMIN!$M$6:$M$258,SMALL(IF(ADMIN!$G$6:$G$258=$J$1,ROW(ADMIN!$G$6:$G$258)-ROW(ADMIN!$G$6)+1),ROWS($A$1:A31)))="-", "", " ("&amp;INDEX(ADMIN!$M$6:$M$258,SMALL(IF(ADMIN!$G$6:$G$258=$J$1,ROW(ADMIN!$G$6:$G$258)-ROW(ADMIN!$G$6)+1),ROWS($A$1:A31)))&amp;")"),"")</f>
        <v/>
      </c>
      <c r="D34" s="30" t="str">
        <f aca="false" t="array" ref="D34:D34">IFERROR(IF($J$1&gt;=20,INDEX(ADMIN!$C$6:$C$258,SMALL(IF(ADMIN!$G$6:$G$258=$J$1,ROW(ADMIN!$G$6:$G$258)-ROW(ADMIN!$G$6)+1),ROWS($D$1:D31))),""),"")</f>
        <v/>
      </c>
      <c r="E34" s="437" t="n">
        <f aca="false">+E33+3</f>
        <v>99</v>
      </c>
      <c r="F34" s="476" t="str">
        <f aca="false" t="array" ref="F34:F34">IFERROR(INDEX(Rango_Admin_DailyPred_Primera,1,E34),"-")</f>
        <v>Pegar Valores Nombre J31</v>
      </c>
      <c r="G34" s="162" t="n">
        <f aca="false">IFERROR(VLOOKUP(G$2,Rango_Admin_DailyPred,MATCH($F34,Rango_Admin_DailyPred_Primera,0),0),"-")</f>
        <v>0</v>
      </c>
      <c r="H34" s="162" t="n">
        <f aca="false">IFERROR(VLOOKUP(H$2,Rango_Admin_DailyPred,MATCH($F34,Rango_Admin_DailyPred_Primera,0),0),"-")</f>
        <v>0</v>
      </c>
      <c r="I34" s="162" t="n">
        <f aca="false">IFERROR(VLOOKUP(I$2,Rango_Admin_DailyPred,MATCH($F34,Rango_Admin_DailyPred_Primera,0),0),"-")</f>
        <v>0</v>
      </c>
      <c r="J34" s="162" t="n">
        <f aca="false">IFERROR(VLOOKUP(J$2,Rango_Admin_DailyPred,MATCH($F34,Rango_Admin_DailyPred_Primera,0),0),"-")</f>
        <v>0</v>
      </c>
      <c r="K34" s="162" t="n">
        <f aca="false">IFERROR(VLOOKUP(K$2,Rango_Admin_DailyPred,MATCH($F34,Rango_Admin_DailyPred_Primera,0),0),"-")</f>
        <v>0</v>
      </c>
      <c r="L34" s="162" t="str">
        <f aca="false">IFERROR(VLOOKUP(L$2,Rango_Admin_DailyPred,MATCH($F34,Rango_Admin_DailyPred_Primera,0),0),"-")</f>
        <v>-</v>
      </c>
      <c r="M34" s="162" t="str">
        <f aca="false">IFERROR(VLOOKUP(M$2,Rango_Admin_DailyPred,MATCH($F34,Rango_Admin_DailyPred_Primera,0),0),"-")</f>
        <v>-</v>
      </c>
      <c r="N34" s="162" t="str">
        <f aca="false">IFERROR(VLOOKUP(N$2,Rango_Admin_DailyPred,MATCH($F34,Rango_Admin_DailyPred_Primera,0),0),"-")</f>
        <v>-</v>
      </c>
      <c r="O34" s="162" t="str">
        <f aca="false">IFERROR(VLOOKUP(O$2,Rango_Admin_DailyPred,MATCH($F34,Rango_Admin_DailyPred_Primera,0),0),"-")</f>
        <v>-</v>
      </c>
      <c r="P34" s="162" t="str">
        <f aca="false">IFERROR(VLOOKUP(P$2,Rango_Admin_DailyPred,MATCH($F34,Rango_Admin_DailyPred_Primera,0),0),"-")</f>
        <v>-</v>
      </c>
      <c r="Q34" s="162" t="str">
        <f aca="false">IFERROR(VLOOKUP(Q$2,Rango_Admin_DailyPred,MATCH($F34,Rango_Admin_DailyPred_Primera,0),0),"-")</f>
        <v>-</v>
      </c>
      <c r="R34" s="162" t="str">
        <f aca="false">IFERROR(VLOOKUP(R$2,Rango_Admin_DailyPred,MATCH($F34,Rango_Admin_DailyPred_Primera,0),0),"-")</f>
        <v>-</v>
      </c>
      <c r="S34" s="162" t="str">
        <f aca="false">IFERROR(VLOOKUP(S$2,Rango_Admin_DailyPred,MATCH($F34,Rango_Admin_DailyPred_Primera,0),0),"-")</f>
        <v>-</v>
      </c>
      <c r="T34" s="162" t="str">
        <f aca="false">IFERROR(VLOOKUP(T$2,Rango_Admin_DailyPred,MATCH($F34,Rango_Admin_DailyPred_Primera,0),0),"-")</f>
        <v>-</v>
      </c>
      <c r="U34" s="162" t="str">
        <f aca="false">IFERROR(VLOOKUP(U$2,Rango_Admin_DailyPred,MATCH($F34,Rango_Admin_DailyPred_Primera,0),0),"-")</f>
        <v>-</v>
      </c>
      <c r="V34" s="162" t="str">
        <f aca="false">IFERROR(VLOOKUP(V$2,Rango_Admin_DailyPred,MATCH($F34,Rango_Admin_DailyPred_Primera,0),0),"-")</f>
        <v>-</v>
      </c>
      <c r="W34" s="162" t="str">
        <f aca="false">IFERROR(VLOOKUP(W$2,Rango_Admin_DailyPred,MATCH($F34,Rango_Admin_DailyPred_Primera,0),0),"-")</f>
        <v>-</v>
      </c>
      <c r="X34" s="162" t="str">
        <f aca="false">IFERROR(VLOOKUP(X$2,Rango_Admin_DailyPred,MATCH($F34,Rango_Admin_DailyPred_Primera,0),0),"-")</f>
        <v>-</v>
      </c>
      <c r="Y34" s="162" t="str">
        <f aca="false">IFERROR(VLOOKUP(Y$2,Rango_Admin_DailyPred,MATCH($F34,Rango_Admin_DailyPred_Primera,0),0),"-")</f>
        <v>-</v>
      </c>
      <c r="Z34" s="162" t="str">
        <f aca="false">IFERROR(VLOOKUP(Z$2,Rango_Admin_DailyPred,MATCH($F34,Rango_Admin_DailyPred_Primera,0),0),"-")</f>
        <v>-</v>
      </c>
      <c r="AA34" s="162" t="str">
        <f aca="false">IFERROR(VLOOKUP(AA$2,Rango_Admin_DailyPred,MATCH($F34,Rango_Admin_DailyPred_Primera,0),0),"-")</f>
        <v>-</v>
      </c>
      <c r="AB34" s="162" t="str">
        <f aca="false">IFERROR(VLOOKUP(AB$2,Rango_Admin_DailyPred,MATCH($F34,Rango_Admin_DailyPred_Primera,0),0),"-")</f>
        <v>-</v>
      </c>
      <c r="AC34" s="162" t="str">
        <f aca="false">IFERROR(VLOOKUP(AC$2,Rango_Admin_DailyPred,MATCH($F34,Rango_Admin_DailyPred_Primera,0),0),"-")</f>
        <v>-</v>
      </c>
      <c r="AD34" s="162" t="str">
        <f aca="false">IFERROR(VLOOKUP(AD$2,Rango_Admin_DailyPred,MATCH($F34,Rango_Admin_DailyPred_Primera,0),0),"-")</f>
        <v>-</v>
      </c>
      <c r="AE34" s="162" t="str">
        <f aca="false">IFERROR(VLOOKUP(AE$2,Rango_Admin_DailyPred,MATCH($F34,Rango_Admin_DailyPred_Primera,0),0),"-")</f>
        <v>-</v>
      </c>
      <c r="AF34" s="162" t="str">
        <f aca="false">IFERROR(VLOOKUP(AF$2,Rango_Admin_DailyPred,MATCH($F34,Rango_Admin_DailyPred_Primera,0),0),"-")</f>
        <v>-</v>
      </c>
      <c r="AG34" s="162" t="str">
        <f aca="false">IFERROR(VLOOKUP(AG$2,Rango_Admin_DailyPred,MATCH($F34,Rango_Admin_DailyPred_Primera,0),0),"-")</f>
        <v>-</v>
      </c>
      <c r="AH34" s="162" t="str">
        <f aca="false">IFERROR(VLOOKUP(AH$2,Rango_Admin_DailyPred,MATCH($F34,Rango_Admin_DailyPred_Primera,0),0),"-")</f>
        <v>-</v>
      </c>
      <c r="AI34" s="162" t="str">
        <f aca="false">IFERROR(VLOOKUP(AI$2,Rango_Admin_DailyPred,MATCH($F34,Rango_Admin_DailyPred_Primera,0),0),"-")</f>
        <v>-</v>
      </c>
      <c r="AJ34" s="162" t="str">
        <f aca="false">IFERROR(VLOOKUP(AJ$2,Rango_Admin_DailyPred,MATCH($F34,Rango_Admin_DailyPred_Primera,0),0),"-")</f>
        <v>-</v>
      </c>
      <c r="AK34" s="162" t="str">
        <f aca="false">IFERROR(VLOOKUP(AK$2,Rango_Admin_DailyPred,MATCH($F34,Rango_Admin_DailyPred_Primera,0),0),"-")</f>
        <v>-</v>
      </c>
      <c r="AL34" s="162" t="str">
        <f aca="false">IFERROR(VLOOKUP(AL$2,Rango_Admin_DailyPred,MATCH($F34,Rango_Admin_DailyPred_Primera,0),0),"-")</f>
        <v>-</v>
      </c>
      <c r="AM34" s="244"/>
      <c r="AN34" s="244"/>
      <c r="AO34" s="244"/>
    </row>
    <row r="35" customFormat="false" ht="23.85" hidden="false" customHeight="false" outlineLevel="0" collapsed="false">
      <c r="A35" s="30" t="str">
        <f aca="false" t="array" ref="A35:A35">IFERROR(INDEX(ADMIN!$K$6:$K$258,SMALL(IF(ADMIN!$G$6:$G$258=$J$1,ROW(ADMIN!$G$6:$G$258)-ROW(ADMIN!$G$6)+1),ROWS($A$1:A32))),"")</f>
        <v/>
      </c>
      <c r="B35" s="475" t="str">
        <f aca="false">A35&amp;CHAR(10)&amp;C35</f>
        <v>
</v>
      </c>
      <c r="C35" s="30" t="str">
        <f aca="false" t="array" ref="C35:C35">IFERROR(IF(INDEX(ADMIN!$M$6:$M$258,SMALL(IF(ADMIN!$G$6:$G$258=$J$1,ROW(ADMIN!$G$6:$G$258)-ROW(ADMIN!$G$6)+1),ROWS($A$1:A32)))="-", "", " ("&amp;INDEX(ADMIN!$M$6:$M$258,SMALL(IF(ADMIN!$G$6:$G$258=$J$1,ROW(ADMIN!$G$6:$G$258)-ROW(ADMIN!$G$6)+1),ROWS($A$1:A32)))&amp;")"),"")</f>
        <v/>
      </c>
      <c r="D35" s="30" t="str">
        <f aca="false" t="array" ref="D35:D35">IFERROR(IF($J$1&gt;=20,INDEX(ADMIN!$C$6:$C$258,SMALL(IF(ADMIN!$G$6:$G$258=$J$1,ROW(ADMIN!$G$6:$G$258)-ROW(ADMIN!$G$6)+1),ROWS($D$1:D32))),""),"")</f>
        <v/>
      </c>
      <c r="E35" s="437" t="n">
        <f aca="false">+E34+3</f>
        <v>102</v>
      </c>
      <c r="F35" s="476" t="str">
        <f aca="false" t="array" ref="F35:F35">IFERROR(INDEX(Rango_Admin_DailyPred_Primera,1,E35),"-")</f>
        <v>Pegar Valores Nombre J32</v>
      </c>
      <c r="G35" s="162" t="n">
        <f aca="false">IFERROR(VLOOKUP(G$2,Rango_Admin_DailyPred,MATCH($F35,Rango_Admin_DailyPred_Primera,0),0),"-")</f>
        <v>0</v>
      </c>
      <c r="H35" s="162" t="n">
        <f aca="false">IFERROR(VLOOKUP(H$2,Rango_Admin_DailyPred,MATCH($F35,Rango_Admin_DailyPred_Primera,0),0),"-")</f>
        <v>0</v>
      </c>
      <c r="I35" s="162" t="n">
        <f aca="false">IFERROR(VLOOKUP(I$2,Rango_Admin_DailyPred,MATCH($F35,Rango_Admin_DailyPred_Primera,0),0),"-")</f>
        <v>0</v>
      </c>
      <c r="J35" s="162" t="n">
        <f aca="false">IFERROR(VLOOKUP(J$2,Rango_Admin_DailyPred,MATCH($F35,Rango_Admin_DailyPred_Primera,0),0),"-")</f>
        <v>0</v>
      </c>
      <c r="K35" s="162" t="n">
        <f aca="false">IFERROR(VLOOKUP(K$2,Rango_Admin_DailyPred,MATCH($F35,Rango_Admin_DailyPred_Primera,0),0),"-")</f>
        <v>0</v>
      </c>
      <c r="L35" s="162" t="str">
        <f aca="false">IFERROR(VLOOKUP(L$2,Rango_Admin_DailyPred,MATCH($F35,Rango_Admin_DailyPred_Primera,0),0),"-")</f>
        <v>-</v>
      </c>
      <c r="M35" s="162" t="str">
        <f aca="false">IFERROR(VLOOKUP(M$2,Rango_Admin_DailyPred,MATCH($F35,Rango_Admin_DailyPred_Primera,0),0),"-")</f>
        <v>-</v>
      </c>
      <c r="N35" s="162" t="str">
        <f aca="false">IFERROR(VLOOKUP(N$2,Rango_Admin_DailyPred,MATCH($F35,Rango_Admin_DailyPred_Primera,0),0),"-")</f>
        <v>-</v>
      </c>
      <c r="O35" s="162" t="str">
        <f aca="false">IFERROR(VLOOKUP(O$2,Rango_Admin_DailyPred,MATCH($F35,Rango_Admin_DailyPred_Primera,0),0),"-")</f>
        <v>-</v>
      </c>
      <c r="P35" s="162" t="str">
        <f aca="false">IFERROR(VLOOKUP(P$2,Rango_Admin_DailyPred,MATCH($F35,Rango_Admin_DailyPred_Primera,0),0),"-")</f>
        <v>-</v>
      </c>
      <c r="Q35" s="162" t="str">
        <f aca="false">IFERROR(VLOOKUP(Q$2,Rango_Admin_DailyPred,MATCH($F35,Rango_Admin_DailyPred_Primera,0),0),"-")</f>
        <v>-</v>
      </c>
      <c r="R35" s="162" t="str">
        <f aca="false">IFERROR(VLOOKUP(R$2,Rango_Admin_DailyPred,MATCH($F35,Rango_Admin_DailyPred_Primera,0),0),"-")</f>
        <v>-</v>
      </c>
      <c r="S35" s="162" t="str">
        <f aca="false">IFERROR(VLOOKUP(S$2,Rango_Admin_DailyPred,MATCH($F35,Rango_Admin_DailyPred_Primera,0),0),"-")</f>
        <v>-</v>
      </c>
      <c r="T35" s="162" t="str">
        <f aca="false">IFERROR(VLOOKUP(T$2,Rango_Admin_DailyPred,MATCH($F35,Rango_Admin_DailyPred_Primera,0),0),"-")</f>
        <v>-</v>
      </c>
      <c r="U35" s="162" t="str">
        <f aca="false">IFERROR(VLOOKUP(U$2,Rango_Admin_DailyPred,MATCH($F35,Rango_Admin_DailyPred_Primera,0),0),"-")</f>
        <v>-</v>
      </c>
      <c r="V35" s="162" t="str">
        <f aca="false">IFERROR(VLOOKUP(V$2,Rango_Admin_DailyPred,MATCH($F35,Rango_Admin_DailyPred_Primera,0),0),"-")</f>
        <v>-</v>
      </c>
      <c r="W35" s="162" t="str">
        <f aca="false">IFERROR(VLOOKUP(W$2,Rango_Admin_DailyPred,MATCH($F35,Rango_Admin_DailyPred_Primera,0),0),"-")</f>
        <v>-</v>
      </c>
      <c r="X35" s="162" t="str">
        <f aca="false">IFERROR(VLOOKUP(X$2,Rango_Admin_DailyPred,MATCH($F35,Rango_Admin_DailyPred_Primera,0),0),"-")</f>
        <v>-</v>
      </c>
      <c r="Y35" s="162" t="str">
        <f aca="false">IFERROR(VLOOKUP(Y$2,Rango_Admin_DailyPred,MATCH($F35,Rango_Admin_DailyPred_Primera,0),0),"-")</f>
        <v>-</v>
      </c>
      <c r="Z35" s="162" t="str">
        <f aca="false">IFERROR(VLOOKUP(Z$2,Rango_Admin_DailyPred,MATCH($F35,Rango_Admin_DailyPred_Primera,0),0),"-")</f>
        <v>-</v>
      </c>
      <c r="AA35" s="162" t="str">
        <f aca="false">IFERROR(VLOOKUP(AA$2,Rango_Admin_DailyPred,MATCH($F35,Rango_Admin_DailyPred_Primera,0),0),"-")</f>
        <v>-</v>
      </c>
      <c r="AB35" s="162" t="str">
        <f aca="false">IFERROR(VLOOKUP(AB$2,Rango_Admin_DailyPred,MATCH($F35,Rango_Admin_DailyPred_Primera,0),0),"-")</f>
        <v>-</v>
      </c>
      <c r="AC35" s="162" t="str">
        <f aca="false">IFERROR(VLOOKUP(AC$2,Rango_Admin_DailyPred,MATCH($F35,Rango_Admin_DailyPred_Primera,0),0),"-")</f>
        <v>-</v>
      </c>
      <c r="AD35" s="162" t="str">
        <f aca="false">IFERROR(VLOOKUP(AD$2,Rango_Admin_DailyPred,MATCH($F35,Rango_Admin_DailyPred_Primera,0),0),"-")</f>
        <v>-</v>
      </c>
      <c r="AE35" s="162" t="str">
        <f aca="false">IFERROR(VLOOKUP(AE$2,Rango_Admin_DailyPred,MATCH($F35,Rango_Admin_DailyPred_Primera,0),0),"-")</f>
        <v>-</v>
      </c>
      <c r="AF35" s="162" t="str">
        <f aca="false">IFERROR(VLOOKUP(AF$2,Rango_Admin_DailyPred,MATCH($F35,Rango_Admin_DailyPred_Primera,0),0),"-")</f>
        <v>-</v>
      </c>
      <c r="AG35" s="162" t="str">
        <f aca="false">IFERROR(VLOOKUP(AG$2,Rango_Admin_DailyPred,MATCH($F35,Rango_Admin_DailyPred_Primera,0),0),"-")</f>
        <v>-</v>
      </c>
      <c r="AH35" s="162" t="str">
        <f aca="false">IFERROR(VLOOKUP(AH$2,Rango_Admin_DailyPred,MATCH($F35,Rango_Admin_DailyPred_Primera,0),0),"-")</f>
        <v>-</v>
      </c>
      <c r="AI35" s="162" t="str">
        <f aca="false">IFERROR(VLOOKUP(AI$2,Rango_Admin_DailyPred,MATCH($F35,Rango_Admin_DailyPred_Primera,0),0),"-")</f>
        <v>-</v>
      </c>
      <c r="AJ35" s="162" t="str">
        <f aca="false">IFERROR(VLOOKUP(AJ$2,Rango_Admin_DailyPred,MATCH($F35,Rango_Admin_DailyPred_Primera,0),0),"-")</f>
        <v>-</v>
      </c>
      <c r="AK35" s="162" t="str">
        <f aca="false">IFERROR(VLOOKUP(AK$2,Rango_Admin_DailyPred,MATCH($F35,Rango_Admin_DailyPred_Primera,0),0),"-")</f>
        <v>-</v>
      </c>
      <c r="AL35" s="162" t="str">
        <f aca="false">IFERROR(VLOOKUP(AL$2,Rango_Admin_DailyPred,MATCH($F35,Rango_Admin_DailyPred_Primera,0),0),"-")</f>
        <v>-</v>
      </c>
      <c r="AM35" s="244"/>
      <c r="AN35" s="244"/>
      <c r="AO35" s="244"/>
    </row>
    <row r="36" customFormat="false" ht="15" hidden="false" customHeight="false" outlineLevel="0" collapsed="false">
      <c r="E36" s="437" t="n">
        <f aca="false">+E35+3</f>
        <v>105</v>
      </c>
      <c r="F36" s="476" t="str">
        <f aca="false" t="array" ref="F36:F36">IFERROR(INDEX(Rango_Admin_DailyPred_Primera,1,E36),"-")</f>
        <v>Pegar Valores Nombre J33</v>
      </c>
      <c r="G36" s="162" t="n">
        <f aca="false">IFERROR(VLOOKUP(G$2,Rango_Admin_DailyPred,MATCH($F36,Rango_Admin_DailyPred_Primera,0),0),"-")</f>
        <v>0</v>
      </c>
      <c r="H36" s="162" t="n">
        <f aca="false">IFERROR(VLOOKUP(H$2,Rango_Admin_DailyPred,MATCH($F36,Rango_Admin_DailyPred_Primera,0),0),"-")</f>
        <v>0</v>
      </c>
      <c r="I36" s="162" t="n">
        <f aca="false">IFERROR(VLOOKUP(I$2,Rango_Admin_DailyPred,MATCH($F36,Rango_Admin_DailyPred_Primera,0),0),"-")</f>
        <v>0</v>
      </c>
      <c r="J36" s="162" t="n">
        <f aca="false">IFERROR(VLOOKUP(J$2,Rango_Admin_DailyPred,MATCH($F36,Rango_Admin_DailyPred_Primera,0),0),"-")</f>
        <v>0</v>
      </c>
      <c r="K36" s="162" t="n">
        <f aca="false">IFERROR(VLOOKUP(K$2,Rango_Admin_DailyPred,MATCH($F36,Rango_Admin_DailyPred_Primera,0),0),"-")</f>
        <v>0</v>
      </c>
      <c r="L36" s="162" t="str">
        <f aca="false">IFERROR(VLOOKUP(L$2,Rango_Admin_DailyPred,MATCH($F36,Rango_Admin_DailyPred_Primera,0),0),"-")</f>
        <v>-</v>
      </c>
      <c r="M36" s="162" t="str">
        <f aca="false">IFERROR(VLOOKUP(M$2,Rango_Admin_DailyPred,MATCH($F36,Rango_Admin_DailyPred_Primera,0),0),"-")</f>
        <v>-</v>
      </c>
      <c r="N36" s="162" t="str">
        <f aca="false">IFERROR(VLOOKUP(N$2,Rango_Admin_DailyPred,MATCH($F36,Rango_Admin_DailyPred_Primera,0),0),"-")</f>
        <v>-</v>
      </c>
      <c r="O36" s="162" t="str">
        <f aca="false">IFERROR(VLOOKUP(O$2,Rango_Admin_DailyPred,MATCH($F36,Rango_Admin_DailyPred_Primera,0),0),"-")</f>
        <v>-</v>
      </c>
      <c r="P36" s="162" t="str">
        <f aca="false">IFERROR(VLOOKUP(P$2,Rango_Admin_DailyPred,MATCH($F36,Rango_Admin_DailyPred_Primera,0),0),"-")</f>
        <v>-</v>
      </c>
      <c r="Q36" s="162" t="str">
        <f aca="false">IFERROR(VLOOKUP(Q$2,Rango_Admin_DailyPred,MATCH($F36,Rango_Admin_DailyPred_Primera,0),0),"-")</f>
        <v>-</v>
      </c>
      <c r="R36" s="162" t="str">
        <f aca="false">IFERROR(VLOOKUP(R$2,Rango_Admin_DailyPred,MATCH($F36,Rango_Admin_DailyPred_Primera,0),0),"-")</f>
        <v>-</v>
      </c>
      <c r="S36" s="162" t="str">
        <f aca="false">IFERROR(VLOOKUP(S$2,Rango_Admin_DailyPred,MATCH($F36,Rango_Admin_DailyPred_Primera,0),0),"-")</f>
        <v>-</v>
      </c>
      <c r="T36" s="162" t="str">
        <f aca="false">IFERROR(VLOOKUP(T$2,Rango_Admin_DailyPred,MATCH($F36,Rango_Admin_DailyPred_Primera,0),0),"-")</f>
        <v>-</v>
      </c>
      <c r="U36" s="162" t="str">
        <f aca="false">IFERROR(VLOOKUP(U$2,Rango_Admin_DailyPred,MATCH($F36,Rango_Admin_DailyPred_Primera,0),0),"-")</f>
        <v>-</v>
      </c>
      <c r="V36" s="162" t="str">
        <f aca="false">IFERROR(VLOOKUP(V$2,Rango_Admin_DailyPred,MATCH($F36,Rango_Admin_DailyPred_Primera,0),0),"-")</f>
        <v>-</v>
      </c>
      <c r="W36" s="162" t="str">
        <f aca="false">IFERROR(VLOOKUP(W$2,Rango_Admin_DailyPred,MATCH($F36,Rango_Admin_DailyPred_Primera,0),0),"-")</f>
        <v>-</v>
      </c>
      <c r="X36" s="162" t="str">
        <f aca="false">IFERROR(VLOOKUP(X$2,Rango_Admin_DailyPred,MATCH($F36,Rango_Admin_DailyPred_Primera,0),0),"-")</f>
        <v>-</v>
      </c>
      <c r="Y36" s="162" t="str">
        <f aca="false">IFERROR(VLOOKUP(Y$2,Rango_Admin_DailyPred,MATCH($F36,Rango_Admin_DailyPred_Primera,0),0),"-")</f>
        <v>-</v>
      </c>
      <c r="Z36" s="162" t="str">
        <f aca="false">IFERROR(VLOOKUP(Z$2,Rango_Admin_DailyPred,MATCH($F36,Rango_Admin_DailyPred_Primera,0),0),"-")</f>
        <v>-</v>
      </c>
      <c r="AA36" s="162" t="str">
        <f aca="false">IFERROR(VLOOKUP(AA$2,Rango_Admin_DailyPred,MATCH($F36,Rango_Admin_DailyPred_Primera,0),0),"-")</f>
        <v>-</v>
      </c>
      <c r="AB36" s="162" t="str">
        <f aca="false">IFERROR(VLOOKUP(AB$2,Rango_Admin_DailyPred,MATCH($F36,Rango_Admin_DailyPred_Primera,0),0),"-")</f>
        <v>-</v>
      </c>
      <c r="AC36" s="162" t="str">
        <f aca="false">IFERROR(VLOOKUP(AC$2,Rango_Admin_DailyPred,MATCH($F36,Rango_Admin_DailyPred_Primera,0),0),"-")</f>
        <v>-</v>
      </c>
      <c r="AD36" s="162" t="str">
        <f aca="false">IFERROR(VLOOKUP(AD$2,Rango_Admin_DailyPred,MATCH($F36,Rango_Admin_DailyPred_Primera,0),0),"-")</f>
        <v>-</v>
      </c>
      <c r="AE36" s="162" t="str">
        <f aca="false">IFERROR(VLOOKUP(AE$2,Rango_Admin_DailyPred,MATCH($F36,Rango_Admin_DailyPred_Primera,0),0),"-")</f>
        <v>-</v>
      </c>
      <c r="AF36" s="162" t="str">
        <f aca="false">IFERROR(VLOOKUP(AF$2,Rango_Admin_DailyPred,MATCH($F36,Rango_Admin_DailyPred_Primera,0),0),"-")</f>
        <v>-</v>
      </c>
      <c r="AG36" s="162" t="str">
        <f aca="false">IFERROR(VLOOKUP(AG$2,Rango_Admin_DailyPred,MATCH($F36,Rango_Admin_DailyPred_Primera,0),0),"-")</f>
        <v>-</v>
      </c>
      <c r="AH36" s="162" t="str">
        <f aca="false">IFERROR(VLOOKUP(AH$2,Rango_Admin_DailyPred,MATCH($F36,Rango_Admin_DailyPred_Primera,0),0),"-")</f>
        <v>-</v>
      </c>
      <c r="AI36" s="162" t="str">
        <f aca="false">IFERROR(VLOOKUP(AI$2,Rango_Admin_DailyPred,MATCH($F36,Rango_Admin_DailyPred_Primera,0),0),"-")</f>
        <v>-</v>
      </c>
      <c r="AJ36" s="162" t="str">
        <f aca="false">IFERROR(VLOOKUP(AJ$2,Rango_Admin_DailyPred,MATCH($F36,Rango_Admin_DailyPred_Primera,0),0),"-")</f>
        <v>-</v>
      </c>
      <c r="AK36" s="162" t="str">
        <f aca="false">IFERROR(VLOOKUP(AK$2,Rango_Admin_DailyPred,MATCH($F36,Rango_Admin_DailyPred_Primera,0),0),"-")</f>
        <v>-</v>
      </c>
      <c r="AL36" s="162" t="str">
        <f aca="false">IFERROR(VLOOKUP(AL$2,Rango_Admin_DailyPred,MATCH($F36,Rango_Admin_DailyPred_Primera,0),0),"-")</f>
        <v>-</v>
      </c>
      <c r="AM36" s="244"/>
      <c r="AN36" s="244"/>
      <c r="AO36" s="244"/>
    </row>
    <row r="37" customFormat="false" ht="15" hidden="false" customHeight="false" outlineLevel="0" collapsed="false">
      <c r="E37" s="437" t="n">
        <f aca="false">+E36+3</f>
        <v>108</v>
      </c>
      <c r="F37" s="476" t="str">
        <f aca="false" t="array" ref="F37:F37">IFERROR(INDEX(Rango_Admin_DailyPred_Primera,1,E37),"-")</f>
        <v>Pegar Valores Nombre J34</v>
      </c>
      <c r="G37" s="162" t="n">
        <f aca="false">IFERROR(VLOOKUP(G$2,Rango_Admin_DailyPred,MATCH($F37,Rango_Admin_DailyPred_Primera,0),0),"-")</f>
        <v>0</v>
      </c>
      <c r="H37" s="162" t="n">
        <f aca="false">IFERROR(VLOOKUP(H$2,Rango_Admin_DailyPred,MATCH($F37,Rango_Admin_DailyPred_Primera,0),0),"-")</f>
        <v>0</v>
      </c>
      <c r="I37" s="162" t="n">
        <f aca="false">IFERROR(VLOOKUP(I$2,Rango_Admin_DailyPred,MATCH($F37,Rango_Admin_DailyPred_Primera,0),0),"-")</f>
        <v>0</v>
      </c>
      <c r="J37" s="162" t="n">
        <f aca="false">IFERROR(VLOOKUP(J$2,Rango_Admin_DailyPred,MATCH($F37,Rango_Admin_DailyPred_Primera,0),0),"-")</f>
        <v>0</v>
      </c>
      <c r="K37" s="162" t="n">
        <f aca="false">IFERROR(VLOOKUP(K$2,Rango_Admin_DailyPred,MATCH($F37,Rango_Admin_DailyPred_Primera,0),0),"-")</f>
        <v>0</v>
      </c>
      <c r="L37" s="162" t="str">
        <f aca="false">IFERROR(VLOOKUP(L$2,Rango_Admin_DailyPred,MATCH($F37,Rango_Admin_DailyPred_Primera,0),0),"-")</f>
        <v>-</v>
      </c>
      <c r="M37" s="162" t="str">
        <f aca="false">IFERROR(VLOOKUP(M$2,Rango_Admin_DailyPred,MATCH($F37,Rango_Admin_DailyPred_Primera,0),0),"-")</f>
        <v>-</v>
      </c>
      <c r="N37" s="162" t="str">
        <f aca="false">IFERROR(VLOOKUP(N$2,Rango_Admin_DailyPred,MATCH($F37,Rango_Admin_DailyPred_Primera,0),0),"-")</f>
        <v>-</v>
      </c>
      <c r="O37" s="162" t="str">
        <f aca="false">IFERROR(VLOOKUP(O$2,Rango_Admin_DailyPred,MATCH($F37,Rango_Admin_DailyPred_Primera,0),0),"-")</f>
        <v>-</v>
      </c>
      <c r="P37" s="162" t="str">
        <f aca="false">IFERROR(VLOOKUP(P$2,Rango_Admin_DailyPred,MATCH($F37,Rango_Admin_DailyPred_Primera,0),0),"-")</f>
        <v>-</v>
      </c>
      <c r="Q37" s="162" t="str">
        <f aca="false">IFERROR(VLOOKUP(Q$2,Rango_Admin_DailyPred,MATCH($F37,Rango_Admin_DailyPred_Primera,0),0),"-")</f>
        <v>-</v>
      </c>
      <c r="R37" s="162" t="str">
        <f aca="false">IFERROR(VLOOKUP(R$2,Rango_Admin_DailyPred,MATCH($F37,Rango_Admin_DailyPred_Primera,0),0),"-")</f>
        <v>-</v>
      </c>
      <c r="S37" s="162" t="str">
        <f aca="false">IFERROR(VLOOKUP(S$2,Rango_Admin_DailyPred,MATCH($F37,Rango_Admin_DailyPred_Primera,0),0),"-")</f>
        <v>-</v>
      </c>
      <c r="T37" s="162" t="str">
        <f aca="false">IFERROR(VLOOKUP(T$2,Rango_Admin_DailyPred,MATCH($F37,Rango_Admin_DailyPred_Primera,0),0),"-")</f>
        <v>-</v>
      </c>
      <c r="U37" s="162" t="str">
        <f aca="false">IFERROR(VLOOKUP(U$2,Rango_Admin_DailyPred,MATCH($F37,Rango_Admin_DailyPred_Primera,0),0),"-")</f>
        <v>-</v>
      </c>
      <c r="V37" s="162" t="str">
        <f aca="false">IFERROR(VLOOKUP(V$2,Rango_Admin_DailyPred,MATCH($F37,Rango_Admin_DailyPred_Primera,0),0),"-")</f>
        <v>-</v>
      </c>
      <c r="W37" s="162" t="str">
        <f aca="false">IFERROR(VLOOKUP(W$2,Rango_Admin_DailyPred,MATCH($F37,Rango_Admin_DailyPred_Primera,0),0),"-")</f>
        <v>-</v>
      </c>
      <c r="X37" s="162" t="str">
        <f aca="false">IFERROR(VLOOKUP(X$2,Rango_Admin_DailyPred,MATCH($F37,Rango_Admin_DailyPred_Primera,0),0),"-")</f>
        <v>-</v>
      </c>
      <c r="Y37" s="162" t="str">
        <f aca="false">IFERROR(VLOOKUP(Y$2,Rango_Admin_DailyPred,MATCH($F37,Rango_Admin_DailyPred_Primera,0),0),"-")</f>
        <v>-</v>
      </c>
      <c r="Z37" s="162" t="str">
        <f aca="false">IFERROR(VLOOKUP(Z$2,Rango_Admin_DailyPred,MATCH($F37,Rango_Admin_DailyPred_Primera,0),0),"-")</f>
        <v>-</v>
      </c>
      <c r="AA37" s="162" t="str">
        <f aca="false">IFERROR(VLOOKUP(AA$2,Rango_Admin_DailyPred,MATCH($F37,Rango_Admin_DailyPred_Primera,0),0),"-")</f>
        <v>-</v>
      </c>
      <c r="AB37" s="162" t="str">
        <f aca="false">IFERROR(VLOOKUP(AB$2,Rango_Admin_DailyPred,MATCH($F37,Rango_Admin_DailyPred_Primera,0),0),"-")</f>
        <v>-</v>
      </c>
      <c r="AC37" s="162" t="str">
        <f aca="false">IFERROR(VLOOKUP(AC$2,Rango_Admin_DailyPred,MATCH($F37,Rango_Admin_DailyPred_Primera,0),0),"-")</f>
        <v>-</v>
      </c>
      <c r="AD37" s="162" t="str">
        <f aca="false">IFERROR(VLOOKUP(AD$2,Rango_Admin_DailyPred,MATCH($F37,Rango_Admin_DailyPred_Primera,0),0),"-")</f>
        <v>-</v>
      </c>
      <c r="AE37" s="162" t="str">
        <f aca="false">IFERROR(VLOOKUP(AE$2,Rango_Admin_DailyPred,MATCH($F37,Rango_Admin_DailyPred_Primera,0),0),"-")</f>
        <v>-</v>
      </c>
      <c r="AF37" s="162" t="str">
        <f aca="false">IFERROR(VLOOKUP(AF$2,Rango_Admin_DailyPred,MATCH($F37,Rango_Admin_DailyPred_Primera,0),0),"-")</f>
        <v>-</v>
      </c>
      <c r="AG37" s="162" t="str">
        <f aca="false">IFERROR(VLOOKUP(AG$2,Rango_Admin_DailyPred,MATCH($F37,Rango_Admin_DailyPred_Primera,0),0),"-")</f>
        <v>-</v>
      </c>
      <c r="AH37" s="162" t="str">
        <f aca="false">IFERROR(VLOOKUP(AH$2,Rango_Admin_DailyPred,MATCH($F37,Rango_Admin_DailyPred_Primera,0),0),"-")</f>
        <v>-</v>
      </c>
      <c r="AI37" s="162" t="str">
        <f aca="false">IFERROR(VLOOKUP(AI$2,Rango_Admin_DailyPred,MATCH($F37,Rango_Admin_DailyPred_Primera,0),0),"-")</f>
        <v>-</v>
      </c>
      <c r="AJ37" s="162" t="str">
        <f aca="false">IFERROR(VLOOKUP(AJ$2,Rango_Admin_DailyPred,MATCH($F37,Rango_Admin_DailyPred_Primera,0),0),"-")</f>
        <v>-</v>
      </c>
      <c r="AK37" s="162" t="str">
        <f aca="false">IFERROR(VLOOKUP(AK$2,Rango_Admin_DailyPred,MATCH($F37,Rango_Admin_DailyPred_Primera,0),0),"-")</f>
        <v>-</v>
      </c>
      <c r="AL37" s="162" t="str">
        <f aca="false">IFERROR(VLOOKUP(AL$2,Rango_Admin_DailyPred,MATCH($F37,Rango_Admin_DailyPred_Primera,0),0),"-")</f>
        <v>-</v>
      </c>
      <c r="AM37" s="244"/>
      <c r="AN37" s="244"/>
      <c r="AO37" s="244"/>
    </row>
    <row r="38" customFormat="false" ht="15" hidden="false" customHeight="false" outlineLevel="0" collapsed="false">
      <c r="E38" s="437" t="n">
        <f aca="false">+E37+3</f>
        <v>111</v>
      </c>
      <c r="F38" s="476" t="str">
        <f aca="false" t="array" ref="F38:F38">IFERROR(INDEX(Rango_Admin_DailyPred_Primera,1,E38),"-")</f>
        <v>Pegar Valores Nombre J35</v>
      </c>
      <c r="G38" s="162" t="n">
        <f aca="false">IFERROR(VLOOKUP(G$2,Rango_Admin_DailyPred,MATCH($F38,Rango_Admin_DailyPred_Primera,0),0),"-")</f>
        <v>0</v>
      </c>
      <c r="H38" s="162" t="n">
        <f aca="false">IFERROR(VLOOKUP(H$2,Rango_Admin_DailyPred,MATCH($F38,Rango_Admin_DailyPred_Primera,0),0),"-")</f>
        <v>0</v>
      </c>
      <c r="I38" s="162" t="n">
        <f aca="false">IFERROR(VLOOKUP(I$2,Rango_Admin_DailyPred,MATCH($F38,Rango_Admin_DailyPred_Primera,0),0),"-")</f>
        <v>0</v>
      </c>
      <c r="J38" s="162" t="n">
        <f aca="false">IFERROR(VLOOKUP(J$2,Rango_Admin_DailyPred,MATCH($F38,Rango_Admin_DailyPred_Primera,0),0),"-")</f>
        <v>0</v>
      </c>
      <c r="K38" s="162" t="n">
        <f aca="false">IFERROR(VLOOKUP(K$2,Rango_Admin_DailyPred,MATCH($F38,Rango_Admin_DailyPred_Primera,0),0),"-")</f>
        <v>0</v>
      </c>
      <c r="L38" s="162" t="str">
        <f aca="false">IFERROR(VLOOKUP(L$2,Rango_Admin_DailyPred,MATCH($F38,Rango_Admin_DailyPred_Primera,0),0),"-")</f>
        <v>-</v>
      </c>
      <c r="M38" s="162" t="str">
        <f aca="false">IFERROR(VLOOKUP(M$2,Rango_Admin_DailyPred,MATCH($F38,Rango_Admin_DailyPred_Primera,0),0),"-")</f>
        <v>-</v>
      </c>
      <c r="N38" s="162" t="str">
        <f aca="false">IFERROR(VLOOKUP(N$2,Rango_Admin_DailyPred,MATCH($F38,Rango_Admin_DailyPred_Primera,0),0),"-")</f>
        <v>-</v>
      </c>
      <c r="O38" s="162" t="str">
        <f aca="false">IFERROR(VLOOKUP(O$2,Rango_Admin_DailyPred,MATCH($F38,Rango_Admin_DailyPred_Primera,0),0),"-")</f>
        <v>-</v>
      </c>
      <c r="P38" s="162" t="str">
        <f aca="false">IFERROR(VLOOKUP(P$2,Rango_Admin_DailyPred,MATCH($F38,Rango_Admin_DailyPred_Primera,0),0),"-")</f>
        <v>-</v>
      </c>
      <c r="Q38" s="162" t="str">
        <f aca="false">IFERROR(VLOOKUP(Q$2,Rango_Admin_DailyPred,MATCH($F38,Rango_Admin_DailyPred_Primera,0),0),"-")</f>
        <v>-</v>
      </c>
      <c r="R38" s="162" t="str">
        <f aca="false">IFERROR(VLOOKUP(R$2,Rango_Admin_DailyPred,MATCH($F38,Rango_Admin_DailyPred_Primera,0),0),"-")</f>
        <v>-</v>
      </c>
      <c r="S38" s="162" t="str">
        <f aca="false">IFERROR(VLOOKUP(S$2,Rango_Admin_DailyPred,MATCH($F38,Rango_Admin_DailyPred_Primera,0),0),"-")</f>
        <v>-</v>
      </c>
      <c r="T38" s="162" t="str">
        <f aca="false">IFERROR(VLOOKUP(T$2,Rango_Admin_DailyPred,MATCH($F38,Rango_Admin_DailyPred_Primera,0),0),"-")</f>
        <v>-</v>
      </c>
      <c r="U38" s="162" t="str">
        <f aca="false">IFERROR(VLOOKUP(U$2,Rango_Admin_DailyPred,MATCH($F38,Rango_Admin_DailyPred_Primera,0),0),"-")</f>
        <v>-</v>
      </c>
      <c r="V38" s="162" t="str">
        <f aca="false">IFERROR(VLOOKUP(V$2,Rango_Admin_DailyPred,MATCH($F38,Rango_Admin_DailyPred_Primera,0),0),"-")</f>
        <v>-</v>
      </c>
      <c r="W38" s="162" t="str">
        <f aca="false">IFERROR(VLOOKUP(W$2,Rango_Admin_DailyPred,MATCH($F38,Rango_Admin_DailyPred_Primera,0),0),"-")</f>
        <v>-</v>
      </c>
      <c r="X38" s="162" t="str">
        <f aca="false">IFERROR(VLOOKUP(X$2,Rango_Admin_DailyPred,MATCH($F38,Rango_Admin_DailyPred_Primera,0),0),"-")</f>
        <v>-</v>
      </c>
      <c r="Y38" s="162" t="str">
        <f aca="false">IFERROR(VLOOKUP(Y$2,Rango_Admin_DailyPred,MATCH($F38,Rango_Admin_DailyPred_Primera,0),0),"-")</f>
        <v>-</v>
      </c>
      <c r="Z38" s="162" t="str">
        <f aca="false">IFERROR(VLOOKUP(Z$2,Rango_Admin_DailyPred,MATCH($F38,Rango_Admin_DailyPred_Primera,0),0),"-")</f>
        <v>-</v>
      </c>
      <c r="AA38" s="162" t="str">
        <f aca="false">IFERROR(VLOOKUP(AA$2,Rango_Admin_DailyPred,MATCH($F38,Rango_Admin_DailyPred_Primera,0),0),"-")</f>
        <v>-</v>
      </c>
      <c r="AB38" s="162" t="str">
        <f aca="false">IFERROR(VLOOKUP(AB$2,Rango_Admin_DailyPred,MATCH($F38,Rango_Admin_DailyPred_Primera,0),0),"-")</f>
        <v>-</v>
      </c>
      <c r="AC38" s="162" t="str">
        <f aca="false">IFERROR(VLOOKUP(AC$2,Rango_Admin_DailyPred,MATCH($F38,Rango_Admin_DailyPred_Primera,0),0),"-")</f>
        <v>-</v>
      </c>
      <c r="AD38" s="162" t="str">
        <f aca="false">IFERROR(VLOOKUP(AD$2,Rango_Admin_DailyPred,MATCH($F38,Rango_Admin_DailyPred_Primera,0),0),"-")</f>
        <v>-</v>
      </c>
      <c r="AE38" s="162" t="str">
        <f aca="false">IFERROR(VLOOKUP(AE$2,Rango_Admin_DailyPred,MATCH($F38,Rango_Admin_DailyPred_Primera,0),0),"-")</f>
        <v>-</v>
      </c>
      <c r="AF38" s="162" t="str">
        <f aca="false">IFERROR(VLOOKUP(AF$2,Rango_Admin_DailyPred,MATCH($F38,Rango_Admin_DailyPred_Primera,0),0),"-")</f>
        <v>-</v>
      </c>
      <c r="AG38" s="162" t="str">
        <f aca="false">IFERROR(VLOOKUP(AG$2,Rango_Admin_DailyPred,MATCH($F38,Rango_Admin_DailyPred_Primera,0),0),"-")</f>
        <v>-</v>
      </c>
      <c r="AH38" s="162" t="str">
        <f aca="false">IFERROR(VLOOKUP(AH$2,Rango_Admin_DailyPred,MATCH($F38,Rango_Admin_DailyPred_Primera,0),0),"-")</f>
        <v>-</v>
      </c>
      <c r="AI38" s="162" t="str">
        <f aca="false">IFERROR(VLOOKUP(AI$2,Rango_Admin_DailyPred,MATCH($F38,Rango_Admin_DailyPred_Primera,0),0),"-")</f>
        <v>-</v>
      </c>
      <c r="AJ38" s="162" t="str">
        <f aca="false">IFERROR(VLOOKUP(AJ$2,Rango_Admin_DailyPred,MATCH($F38,Rango_Admin_DailyPred_Primera,0),0),"-")</f>
        <v>-</v>
      </c>
      <c r="AK38" s="162" t="str">
        <f aca="false">IFERROR(VLOOKUP(AK$2,Rango_Admin_DailyPred,MATCH($F38,Rango_Admin_DailyPred_Primera,0),0),"-")</f>
        <v>-</v>
      </c>
      <c r="AL38" s="162" t="str">
        <f aca="false">IFERROR(VLOOKUP(AL$2,Rango_Admin_DailyPred,MATCH($F38,Rango_Admin_DailyPred_Primera,0),0),"-")</f>
        <v>-</v>
      </c>
      <c r="AM38" s="244"/>
      <c r="AN38" s="244"/>
      <c r="AO38" s="244"/>
    </row>
    <row r="39" customFormat="false" ht="15" hidden="false" customHeight="false" outlineLevel="0" collapsed="false">
      <c r="E39" s="437" t="n">
        <f aca="false">+E38+3</f>
        <v>114</v>
      </c>
      <c r="F39" s="476" t="str">
        <f aca="false" t="array" ref="F39:F39">IFERROR(INDEX(Rango_Admin_DailyPred_Primera,1,E39),"-")</f>
        <v>Pegar Valores Nombre J36</v>
      </c>
      <c r="G39" s="162" t="n">
        <f aca="false">IFERROR(VLOOKUP(G$2,Rango_Admin_DailyPred,MATCH($F39,Rango_Admin_DailyPred_Primera,0),0),"-")</f>
        <v>0</v>
      </c>
      <c r="H39" s="162" t="n">
        <f aca="false">IFERROR(VLOOKUP(H$2,Rango_Admin_DailyPred,MATCH($F39,Rango_Admin_DailyPred_Primera,0),0),"-")</f>
        <v>0</v>
      </c>
      <c r="I39" s="162" t="n">
        <f aca="false">IFERROR(VLOOKUP(I$2,Rango_Admin_DailyPred,MATCH($F39,Rango_Admin_DailyPred_Primera,0),0),"-")</f>
        <v>0</v>
      </c>
      <c r="J39" s="162" t="n">
        <f aca="false">IFERROR(VLOOKUP(J$2,Rango_Admin_DailyPred,MATCH($F39,Rango_Admin_DailyPred_Primera,0),0),"-")</f>
        <v>0</v>
      </c>
      <c r="K39" s="162" t="n">
        <f aca="false">IFERROR(VLOOKUP(K$2,Rango_Admin_DailyPred,MATCH($F39,Rango_Admin_DailyPred_Primera,0),0),"-")</f>
        <v>0</v>
      </c>
      <c r="L39" s="162" t="str">
        <f aca="false">IFERROR(VLOOKUP(L$2,Rango_Admin_DailyPred,MATCH($F39,Rango_Admin_DailyPred_Primera,0),0),"-")</f>
        <v>-</v>
      </c>
      <c r="M39" s="162" t="str">
        <f aca="false">IFERROR(VLOOKUP(M$2,Rango_Admin_DailyPred,MATCH($F39,Rango_Admin_DailyPred_Primera,0),0),"-")</f>
        <v>-</v>
      </c>
      <c r="N39" s="162" t="str">
        <f aca="false">IFERROR(VLOOKUP(N$2,Rango_Admin_DailyPred,MATCH($F39,Rango_Admin_DailyPred_Primera,0),0),"-")</f>
        <v>-</v>
      </c>
      <c r="O39" s="162" t="str">
        <f aca="false">IFERROR(VLOOKUP(O$2,Rango_Admin_DailyPred,MATCH($F39,Rango_Admin_DailyPred_Primera,0),0),"-")</f>
        <v>-</v>
      </c>
      <c r="P39" s="162" t="str">
        <f aca="false">IFERROR(VLOOKUP(P$2,Rango_Admin_DailyPred,MATCH($F39,Rango_Admin_DailyPred_Primera,0),0),"-")</f>
        <v>-</v>
      </c>
      <c r="Q39" s="162" t="str">
        <f aca="false">IFERROR(VLOOKUP(Q$2,Rango_Admin_DailyPred,MATCH($F39,Rango_Admin_DailyPred_Primera,0),0),"-")</f>
        <v>-</v>
      </c>
      <c r="R39" s="162" t="str">
        <f aca="false">IFERROR(VLOOKUP(R$2,Rango_Admin_DailyPred,MATCH($F39,Rango_Admin_DailyPred_Primera,0),0),"-")</f>
        <v>-</v>
      </c>
      <c r="S39" s="162" t="str">
        <f aca="false">IFERROR(VLOOKUP(S$2,Rango_Admin_DailyPred,MATCH($F39,Rango_Admin_DailyPred_Primera,0),0),"-")</f>
        <v>-</v>
      </c>
      <c r="T39" s="162" t="str">
        <f aca="false">IFERROR(VLOOKUP(T$2,Rango_Admin_DailyPred,MATCH($F39,Rango_Admin_DailyPred_Primera,0),0),"-")</f>
        <v>-</v>
      </c>
      <c r="U39" s="162" t="str">
        <f aca="false">IFERROR(VLOOKUP(U$2,Rango_Admin_DailyPred,MATCH($F39,Rango_Admin_DailyPred_Primera,0),0),"-")</f>
        <v>-</v>
      </c>
      <c r="V39" s="162" t="str">
        <f aca="false">IFERROR(VLOOKUP(V$2,Rango_Admin_DailyPred,MATCH($F39,Rango_Admin_DailyPred_Primera,0),0),"-")</f>
        <v>-</v>
      </c>
      <c r="W39" s="162" t="str">
        <f aca="false">IFERROR(VLOOKUP(W$2,Rango_Admin_DailyPred,MATCH($F39,Rango_Admin_DailyPred_Primera,0),0),"-")</f>
        <v>-</v>
      </c>
      <c r="X39" s="162" t="str">
        <f aca="false">IFERROR(VLOOKUP(X$2,Rango_Admin_DailyPred,MATCH($F39,Rango_Admin_DailyPred_Primera,0),0),"-")</f>
        <v>-</v>
      </c>
      <c r="Y39" s="162" t="str">
        <f aca="false">IFERROR(VLOOKUP(Y$2,Rango_Admin_DailyPred,MATCH($F39,Rango_Admin_DailyPred_Primera,0),0),"-")</f>
        <v>-</v>
      </c>
      <c r="Z39" s="162" t="str">
        <f aca="false">IFERROR(VLOOKUP(Z$2,Rango_Admin_DailyPred,MATCH($F39,Rango_Admin_DailyPred_Primera,0),0),"-")</f>
        <v>-</v>
      </c>
      <c r="AA39" s="162" t="str">
        <f aca="false">IFERROR(VLOOKUP(AA$2,Rango_Admin_DailyPred,MATCH($F39,Rango_Admin_DailyPred_Primera,0),0),"-")</f>
        <v>-</v>
      </c>
      <c r="AB39" s="162" t="str">
        <f aca="false">IFERROR(VLOOKUP(AB$2,Rango_Admin_DailyPred,MATCH($F39,Rango_Admin_DailyPred_Primera,0),0),"-")</f>
        <v>-</v>
      </c>
      <c r="AC39" s="162" t="str">
        <f aca="false">IFERROR(VLOOKUP(AC$2,Rango_Admin_DailyPred,MATCH($F39,Rango_Admin_DailyPred_Primera,0),0),"-")</f>
        <v>-</v>
      </c>
      <c r="AD39" s="162" t="str">
        <f aca="false">IFERROR(VLOOKUP(AD$2,Rango_Admin_DailyPred,MATCH($F39,Rango_Admin_DailyPred_Primera,0),0),"-")</f>
        <v>-</v>
      </c>
      <c r="AE39" s="162" t="str">
        <f aca="false">IFERROR(VLOOKUP(AE$2,Rango_Admin_DailyPred,MATCH($F39,Rango_Admin_DailyPred_Primera,0),0),"-")</f>
        <v>-</v>
      </c>
      <c r="AF39" s="162" t="str">
        <f aca="false">IFERROR(VLOOKUP(AF$2,Rango_Admin_DailyPred,MATCH($F39,Rango_Admin_DailyPred_Primera,0),0),"-")</f>
        <v>-</v>
      </c>
      <c r="AG39" s="162" t="str">
        <f aca="false">IFERROR(VLOOKUP(AG$2,Rango_Admin_DailyPred,MATCH($F39,Rango_Admin_DailyPred_Primera,0),0),"-")</f>
        <v>-</v>
      </c>
      <c r="AH39" s="162" t="str">
        <f aca="false">IFERROR(VLOOKUP(AH$2,Rango_Admin_DailyPred,MATCH($F39,Rango_Admin_DailyPred_Primera,0),0),"-")</f>
        <v>-</v>
      </c>
      <c r="AI39" s="162" t="str">
        <f aca="false">IFERROR(VLOOKUP(AI$2,Rango_Admin_DailyPred,MATCH($F39,Rango_Admin_DailyPred_Primera,0),0),"-")</f>
        <v>-</v>
      </c>
      <c r="AJ39" s="162" t="str">
        <f aca="false">IFERROR(VLOOKUP(AJ$2,Rango_Admin_DailyPred,MATCH($F39,Rango_Admin_DailyPred_Primera,0),0),"-")</f>
        <v>-</v>
      </c>
      <c r="AK39" s="162" t="str">
        <f aca="false">IFERROR(VLOOKUP(AK$2,Rango_Admin_DailyPred,MATCH($F39,Rango_Admin_DailyPred_Primera,0),0),"-")</f>
        <v>-</v>
      </c>
      <c r="AL39" s="162" t="str">
        <f aca="false">IFERROR(VLOOKUP(AL$2,Rango_Admin_DailyPred,MATCH($F39,Rango_Admin_DailyPred_Primera,0),0),"-")</f>
        <v>-</v>
      </c>
      <c r="AM39" s="244"/>
      <c r="AN39" s="244"/>
      <c r="AO39" s="244"/>
    </row>
    <row r="40" customFormat="false" ht="15" hidden="false" customHeight="false" outlineLevel="0" collapsed="false">
      <c r="E40" s="437" t="n">
        <f aca="false">+E39+3</f>
        <v>117</v>
      </c>
      <c r="F40" s="476" t="str">
        <f aca="false" t="array" ref="F40:F40">IFERROR(INDEX(Rango_Admin_DailyPred_Primera,1,E40),"-")</f>
        <v>Pegar Valores Nombre J37</v>
      </c>
      <c r="G40" s="162" t="n">
        <f aca="false">IFERROR(VLOOKUP(G$2,Rango_Admin_DailyPred,MATCH($F40,Rango_Admin_DailyPred_Primera,0),0),"-")</f>
        <v>0</v>
      </c>
      <c r="H40" s="162" t="n">
        <f aca="false">IFERROR(VLOOKUP(H$2,Rango_Admin_DailyPred,MATCH($F40,Rango_Admin_DailyPred_Primera,0),0),"-")</f>
        <v>0</v>
      </c>
      <c r="I40" s="162" t="n">
        <f aca="false">IFERROR(VLOOKUP(I$2,Rango_Admin_DailyPred,MATCH($F40,Rango_Admin_DailyPred_Primera,0),0),"-")</f>
        <v>0</v>
      </c>
      <c r="J40" s="162" t="n">
        <f aca="false">IFERROR(VLOOKUP(J$2,Rango_Admin_DailyPred,MATCH($F40,Rango_Admin_DailyPred_Primera,0),0),"-")</f>
        <v>0</v>
      </c>
      <c r="K40" s="162" t="n">
        <f aca="false">IFERROR(VLOOKUP(K$2,Rango_Admin_DailyPred,MATCH($F40,Rango_Admin_DailyPred_Primera,0),0),"-")</f>
        <v>0</v>
      </c>
      <c r="L40" s="162" t="str">
        <f aca="false">IFERROR(VLOOKUP(L$2,Rango_Admin_DailyPred,MATCH($F40,Rango_Admin_DailyPred_Primera,0),0),"-")</f>
        <v>-</v>
      </c>
      <c r="M40" s="162" t="str">
        <f aca="false">IFERROR(VLOOKUP(M$2,Rango_Admin_DailyPred,MATCH($F40,Rango_Admin_DailyPred_Primera,0),0),"-")</f>
        <v>-</v>
      </c>
      <c r="N40" s="162" t="str">
        <f aca="false">IFERROR(VLOOKUP(N$2,Rango_Admin_DailyPred,MATCH($F40,Rango_Admin_DailyPred_Primera,0),0),"-")</f>
        <v>-</v>
      </c>
      <c r="O40" s="162" t="str">
        <f aca="false">IFERROR(VLOOKUP(O$2,Rango_Admin_DailyPred,MATCH($F40,Rango_Admin_DailyPred_Primera,0),0),"-")</f>
        <v>-</v>
      </c>
      <c r="P40" s="162" t="str">
        <f aca="false">IFERROR(VLOOKUP(P$2,Rango_Admin_DailyPred,MATCH($F40,Rango_Admin_DailyPred_Primera,0),0),"-")</f>
        <v>-</v>
      </c>
      <c r="Q40" s="162" t="str">
        <f aca="false">IFERROR(VLOOKUP(Q$2,Rango_Admin_DailyPred,MATCH($F40,Rango_Admin_DailyPred_Primera,0),0),"-")</f>
        <v>-</v>
      </c>
      <c r="R40" s="162" t="str">
        <f aca="false">IFERROR(VLOOKUP(R$2,Rango_Admin_DailyPred,MATCH($F40,Rango_Admin_DailyPred_Primera,0),0),"-")</f>
        <v>-</v>
      </c>
      <c r="S40" s="162" t="str">
        <f aca="false">IFERROR(VLOOKUP(S$2,Rango_Admin_DailyPred,MATCH($F40,Rango_Admin_DailyPred_Primera,0),0),"-")</f>
        <v>-</v>
      </c>
      <c r="T40" s="162" t="str">
        <f aca="false">IFERROR(VLOOKUP(T$2,Rango_Admin_DailyPred,MATCH($F40,Rango_Admin_DailyPred_Primera,0),0),"-")</f>
        <v>-</v>
      </c>
      <c r="U40" s="162" t="str">
        <f aca="false">IFERROR(VLOOKUP(U$2,Rango_Admin_DailyPred,MATCH($F40,Rango_Admin_DailyPred_Primera,0),0),"-")</f>
        <v>-</v>
      </c>
      <c r="V40" s="162" t="str">
        <f aca="false">IFERROR(VLOOKUP(V$2,Rango_Admin_DailyPred,MATCH($F40,Rango_Admin_DailyPred_Primera,0),0),"-")</f>
        <v>-</v>
      </c>
      <c r="W40" s="162" t="str">
        <f aca="false">IFERROR(VLOOKUP(W$2,Rango_Admin_DailyPred,MATCH($F40,Rango_Admin_DailyPred_Primera,0),0),"-")</f>
        <v>-</v>
      </c>
      <c r="X40" s="162" t="str">
        <f aca="false">IFERROR(VLOOKUP(X$2,Rango_Admin_DailyPred,MATCH($F40,Rango_Admin_DailyPred_Primera,0),0),"-")</f>
        <v>-</v>
      </c>
      <c r="Y40" s="162" t="str">
        <f aca="false">IFERROR(VLOOKUP(Y$2,Rango_Admin_DailyPred,MATCH($F40,Rango_Admin_DailyPred_Primera,0),0),"-")</f>
        <v>-</v>
      </c>
      <c r="Z40" s="162" t="str">
        <f aca="false">IFERROR(VLOOKUP(Z$2,Rango_Admin_DailyPred,MATCH($F40,Rango_Admin_DailyPred_Primera,0),0),"-")</f>
        <v>-</v>
      </c>
      <c r="AA40" s="162" t="str">
        <f aca="false">IFERROR(VLOOKUP(AA$2,Rango_Admin_DailyPred,MATCH($F40,Rango_Admin_DailyPred_Primera,0),0),"-")</f>
        <v>-</v>
      </c>
      <c r="AB40" s="162" t="str">
        <f aca="false">IFERROR(VLOOKUP(AB$2,Rango_Admin_DailyPred,MATCH($F40,Rango_Admin_DailyPred_Primera,0),0),"-")</f>
        <v>-</v>
      </c>
      <c r="AC40" s="162" t="str">
        <f aca="false">IFERROR(VLOOKUP(AC$2,Rango_Admin_DailyPred,MATCH($F40,Rango_Admin_DailyPred_Primera,0),0),"-")</f>
        <v>-</v>
      </c>
      <c r="AD40" s="162" t="str">
        <f aca="false">IFERROR(VLOOKUP(AD$2,Rango_Admin_DailyPred,MATCH($F40,Rango_Admin_DailyPred_Primera,0),0),"-")</f>
        <v>-</v>
      </c>
      <c r="AE40" s="162" t="str">
        <f aca="false">IFERROR(VLOOKUP(AE$2,Rango_Admin_DailyPred,MATCH($F40,Rango_Admin_DailyPred_Primera,0),0),"-")</f>
        <v>-</v>
      </c>
      <c r="AF40" s="162" t="str">
        <f aca="false">IFERROR(VLOOKUP(AF$2,Rango_Admin_DailyPred,MATCH($F40,Rango_Admin_DailyPred_Primera,0),0),"-")</f>
        <v>-</v>
      </c>
      <c r="AG40" s="162" t="str">
        <f aca="false">IFERROR(VLOOKUP(AG$2,Rango_Admin_DailyPred,MATCH($F40,Rango_Admin_DailyPred_Primera,0),0),"-")</f>
        <v>-</v>
      </c>
      <c r="AH40" s="162" t="str">
        <f aca="false">IFERROR(VLOOKUP(AH$2,Rango_Admin_DailyPred,MATCH($F40,Rango_Admin_DailyPred_Primera,0),0),"-")</f>
        <v>-</v>
      </c>
      <c r="AI40" s="162" t="str">
        <f aca="false">IFERROR(VLOOKUP(AI$2,Rango_Admin_DailyPred,MATCH($F40,Rango_Admin_DailyPred_Primera,0),0),"-")</f>
        <v>-</v>
      </c>
      <c r="AJ40" s="162" t="str">
        <f aca="false">IFERROR(VLOOKUP(AJ$2,Rango_Admin_DailyPred,MATCH($F40,Rango_Admin_DailyPred_Primera,0),0),"-")</f>
        <v>-</v>
      </c>
      <c r="AK40" s="162" t="str">
        <f aca="false">IFERROR(VLOOKUP(AK$2,Rango_Admin_DailyPred,MATCH($F40,Rango_Admin_DailyPred_Primera,0),0),"-")</f>
        <v>-</v>
      </c>
      <c r="AL40" s="162" t="str">
        <f aca="false">IFERROR(VLOOKUP(AL$2,Rango_Admin_DailyPred,MATCH($F40,Rango_Admin_DailyPred_Primera,0),0),"-")</f>
        <v>-</v>
      </c>
      <c r="AM40" s="244"/>
      <c r="AN40" s="244"/>
      <c r="AO40" s="244"/>
    </row>
    <row r="41" customFormat="false" ht="15" hidden="false" customHeight="false" outlineLevel="0" collapsed="false">
      <c r="E41" s="437" t="n">
        <f aca="false">+E40+3</f>
        <v>120</v>
      </c>
      <c r="F41" s="476" t="str">
        <f aca="false" t="array" ref="F41:F41">IFERROR(INDEX(Rango_Admin_DailyPred_Primera,1,E41),"-")</f>
        <v>Pegar Valores Nombre J38</v>
      </c>
      <c r="G41" s="162" t="n">
        <f aca="false">IFERROR(VLOOKUP(G$2,Rango_Admin_DailyPred,MATCH($F41,Rango_Admin_DailyPred_Primera,0),0),"-")</f>
        <v>0</v>
      </c>
      <c r="H41" s="162" t="n">
        <f aca="false">IFERROR(VLOOKUP(H$2,Rango_Admin_DailyPred,MATCH($F41,Rango_Admin_DailyPred_Primera,0),0),"-")</f>
        <v>0</v>
      </c>
      <c r="I41" s="162" t="n">
        <f aca="false">IFERROR(VLOOKUP(I$2,Rango_Admin_DailyPred,MATCH($F41,Rango_Admin_DailyPred_Primera,0),0),"-")</f>
        <v>0</v>
      </c>
      <c r="J41" s="162" t="n">
        <f aca="false">IFERROR(VLOOKUP(J$2,Rango_Admin_DailyPred,MATCH($F41,Rango_Admin_DailyPred_Primera,0),0),"-")</f>
        <v>0</v>
      </c>
      <c r="K41" s="162" t="n">
        <f aca="false">IFERROR(VLOOKUP(K$2,Rango_Admin_DailyPred,MATCH($F41,Rango_Admin_DailyPred_Primera,0),0),"-")</f>
        <v>0</v>
      </c>
      <c r="L41" s="162" t="str">
        <f aca="false">IFERROR(VLOOKUP(L$2,Rango_Admin_DailyPred,MATCH($F41,Rango_Admin_DailyPred_Primera,0),0),"-")</f>
        <v>-</v>
      </c>
      <c r="M41" s="162" t="str">
        <f aca="false">IFERROR(VLOOKUP(M$2,Rango_Admin_DailyPred,MATCH($F41,Rango_Admin_DailyPred_Primera,0),0),"-")</f>
        <v>-</v>
      </c>
      <c r="N41" s="162" t="str">
        <f aca="false">IFERROR(VLOOKUP(N$2,Rango_Admin_DailyPred,MATCH($F41,Rango_Admin_DailyPred_Primera,0),0),"-")</f>
        <v>-</v>
      </c>
      <c r="O41" s="162" t="str">
        <f aca="false">IFERROR(VLOOKUP(O$2,Rango_Admin_DailyPred,MATCH($F41,Rango_Admin_DailyPred_Primera,0),0),"-")</f>
        <v>-</v>
      </c>
      <c r="P41" s="162" t="str">
        <f aca="false">IFERROR(VLOOKUP(P$2,Rango_Admin_DailyPred,MATCH($F41,Rango_Admin_DailyPred_Primera,0),0),"-")</f>
        <v>-</v>
      </c>
      <c r="Q41" s="162" t="str">
        <f aca="false">IFERROR(VLOOKUP(Q$2,Rango_Admin_DailyPred,MATCH($F41,Rango_Admin_DailyPred_Primera,0),0),"-")</f>
        <v>-</v>
      </c>
      <c r="R41" s="162" t="str">
        <f aca="false">IFERROR(VLOOKUP(R$2,Rango_Admin_DailyPred,MATCH($F41,Rango_Admin_DailyPred_Primera,0),0),"-")</f>
        <v>-</v>
      </c>
      <c r="S41" s="162" t="str">
        <f aca="false">IFERROR(VLOOKUP(S$2,Rango_Admin_DailyPred,MATCH($F41,Rango_Admin_DailyPred_Primera,0),0),"-")</f>
        <v>-</v>
      </c>
      <c r="T41" s="162" t="str">
        <f aca="false">IFERROR(VLOOKUP(T$2,Rango_Admin_DailyPred,MATCH($F41,Rango_Admin_DailyPred_Primera,0),0),"-")</f>
        <v>-</v>
      </c>
      <c r="U41" s="162" t="str">
        <f aca="false">IFERROR(VLOOKUP(U$2,Rango_Admin_DailyPred,MATCH($F41,Rango_Admin_DailyPred_Primera,0),0),"-")</f>
        <v>-</v>
      </c>
      <c r="V41" s="162" t="str">
        <f aca="false">IFERROR(VLOOKUP(V$2,Rango_Admin_DailyPred,MATCH($F41,Rango_Admin_DailyPred_Primera,0),0),"-")</f>
        <v>-</v>
      </c>
      <c r="W41" s="162" t="str">
        <f aca="false">IFERROR(VLOOKUP(W$2,Rango_Admin_DailyPred,MATCH($F41,Rango_Admin_DailyPred_Primera,0),0),"-")</f>
        <v>-</v>
      </c>
      <c r="X41" s="162" t="str">
        <f aca="false">IFERROR(VLOOKUP(X$2,Rango_Admin_DailyPred,MATCH($F41,Rango_Admin_DailyPred_Primera,0),0),"-")</f>
        <v>-</v>
      </c>
      <c r="Y41" s="162" t="str">
        <f aca="false">IFERROR(VLOOKUP(Y$2,Rango_Admin_DailyPred,MATCH($F41,Rango_Admin_DailyPred_Primera,0),0),"-")</f>
        <v>-</v>
      </c>
      <c r="Z41" s="162" t="str">
        <f aca="false">IFERROR(VLOOKUP(Z$2,Rango_Admin_DailyPred,MATCH($F41,Rango_Admin_DailyPred_Primera,0),0),"-")</f>
        <v>-</v>
      </c>
      <c r="AA41" s="162" t="str">
        <f aca="false">IFERROR(VLOOKUP(AA$2,Rango_Admin_DailyPred,MATCH($F41,Rango_Admin_DailyPred_Primera,0),0),"-")</f>
        <v>-</v>
      </c>
      <c r="AB41" s="162" t="str">
        <f aca="false">IFERROR(VLOOKUP(AB$2,Rango_Admin_DailyPred,MATCH($F41,Rango_Admin_DailyPred_Primera,0),0),"-")</f>
        <v>-</v>
      </c>
      <c r="AC41" s="162" t="str">
        <f aca="false">IFERROR(VLOOKUP(AC$2,Rango_Admin_DailyPred,MATCH($F41,Rango_Admin_DailyPred_Primera,0),0),"-")</f>
        <v>-</v>
      </c>
      <c r="AD41" s="162" t="str">
        <f aca="false">IFERROR(VLOOKUP(AD$2,Rango_Admin_DailyPred,MATCH($F41,Rango_Admin_DailyPred_Primera,0),0),"-")</f>
        <v>-</v>
      </c>
      <c r="AE41" s="162" t="str">
        <f aca="false">IFERROR(VLOOKUP(AE$2,Rango_Admin_DailyPred,MATCH($F41,Rango_Admin_DailyPred_Primera,0),0),"-")</f>
        <v>-</v>
      </c>
      <c r="AF41" s="162" t="str">
        <f aca="false">IFERROR(VLOOKUP(AF$2,Rango_Admin_DailyPred,MATCH($F41,Rango_Admin_DailyPred_Primera,0),0),"-")</f>
        <v>-</v>
      </c>
      <c r="AG41" s="162" t="str">
        <f aca="false">IFERROR(VLOOKUP(AG$2,Rango_Admin_DailyPred,MATCH($F41,Rango_Admin_DailyPred_Primera,0),0),"-")</f>
        <v>-</v>
      </c>
      <c r="AH41" s="162" t="str">
        <f aca="false">IFERROR(VLOOKUP(AH$2,Rango_Admin_DailyPred,MATCH($F41,Rango_Admin_DailyPred_Primera,0),0),"-")</f>
        <v>-</v>
      </c>
      <c r="AI41" s="162" t="str">
        <f aca="false">IFERROR(VLOOKUP(AI$2,Rango_Admin_DailyPred,MATCH($F41,Rango_Admin_DailyPred_Primera,0),0),"-")</f>
        <v>-</v>
      </c>
      <c r="AJ41" s="162" t="str">
        <f aca="false">IFERROR(VLOOKUP(AJ$2,Rango_Admin_DailyPred,MATCH($F41,Rango_Admin_DailyPred_Primera,0),0),"-")</f>
        <v>-</v>
      </c>
      <c r="AK41" s="162" t="str">
        <f aca="false">IFERROR(VLOOKUP(AK$2,Rango_Admin_DailyPred,MATCH($F41,Rango_Admin_DailyPred_Primera,0),0),"-")</f>
        <v>-</v>
      </c>
      <c r="AL41" s="162" t="str">
        <f aca="false">IFERROR(VLOOKUP(AL$2,Rango_Admin_DailyPred,MATCH($F41,Rango_Admin_DailyPred_Primera,0),0),"-")</f>
        <v>-</v>
      </c>
      <c r="AM41" s="244"/>
      <c r="AN41" s="244"/>
      <c r="AO41" s="244"/>
    </row>
    <row r="42" customFormat="false" ht="15" hidden="false" customHeight="false" outlineLevel="0" collapsed="false">
      <c r="E42" s="437" t="n">
        <f aca="false">+E41+3</f>
        <v>123</v>
      </c>
      <c r="F42" s="476" t="str">
        <f aca="false" t="array" ref="F42:F42">IFERROR(INDEX(Rango_Admin_DailyPred_Primera,1,E42),"-")</f>
        <v>Pegar Valores Nombre J39</v>
      </c>
      <c r="G42" s="162" t="n">
        <f aca="false">IFERROR(VLOOKUP(G$2,Rango_Admin_DailyPred,MATCH($F42,Rango_Admin_DailyPred_Primera,0),0),"-")</f>
        <v>0</v>
      </c>
      <c r="H42" s="162" t="n">
        <f aca="false">IFERROR(VLOOKUP(H$2,Rango_Admin_DailyPred,MATCH($F42,Rango_Admin_DailyPred_Primera,0),0),"-")</f>
        <v>0</v>
      </c>
      <c r="I42" s="162" t="n">
        <f aca="false">IFERROR(VLOOKUP(I$2,Rango_Admin_DailyPred,MATCH($F42,Rango_Admin_DailyPred_Primera,0),0),"-")</f>
        <v>0</v>
      </c>
      <c r="J42" s="162" t="n">
        <f aca="false">IFERROR(VLOOKUP(J$2,Rango_Admin_DailyPred,MATCH($F42,Rango_Admin_DailyPred_Primera,0),0),"-")</f>
        <v>0</v>
      </c>
      <c r="K42" s="162" t="n">
        <f aca="false">IFERROR(VLOOKUP(K$2,Rango_Admin_DailyPred,MATCH($F42,Rango_Admin_DailyPred_Primera,0),0),"-")</f>
        <v>0</v>
      </c>
      <c r="L42" s="162" t="str">
        <f aca="false">IFERROR(VLOOKUP(L$2,Rango_Admin_DailyPred,MATCH($F42,Rango_Admin_DailyPred_Primera,0),0),"-")</f>
        <v>-</v>
      </c>
      <c r="M42" s="162" t="str">
        <f aca="false">IFERROR(VLOOKUP(M$2,Rango_Admin_DailyPred,MATCH($F42,Rango_Admin_DailyPred_Primera,0),0),"-")</f>
        <v>-</v>
      </c>
      <c r="N42" s="162" t="str">
        <f aca="false">IFERROR(VLOOKUP(N$2,Rango_Admin_DailyPred,MATCH($F42,Rango_Admin_DailyPred_Primera,0),0),"-")</f>
        <v>-</v>
      </c>
      <c r="O42" s="162" t="str">
        <f aca="false">IFERROR(VLOOKUP(O$2,Rango_Admin_DailyPred,MATCH($F42,Rango_Admin_DailyPred_Primera,0),0),"-")</f>
        <v>-</v>
      </c>
      <c r="P42" s="162" t="str">
        <f aca="false">IFERROR(VLOOKUP(P$2,Rango_Admin_DailyPred,MATCH($F42,Rango_Admin_DailyPred_Primera,0),0),"-")</f>
        <v>-</v>
      </c>
      <c r="Q42" s="162" t="str">
        <f aca="false">IFERROR(VLOOKUP(Q$2,Rango_Admin_DailyPred,MATCH($F42,Rango_Admin_DailyPred_Primera,0),0),"-")</f>
        <v>-</v>
      </c>
      <c r="R42" s="162" t="str">
        <f aca="false">IFERROR(VLOOKUP(R$2,Rango_Admin_DailyPred,MATCH($F42,Rango_Admin_DailyPred_Primera,0),0),"-")</f>
        <v>-</v>
      </c>
      <c r="S42" s="162" t="str">
        <f aca="false">IFERROR(VLOOKUP(S$2,Rango_Admin_DailyPred,MATCH($F42,Rango_Admin_DailyPred_Primera,0),0),"-")</f>
        <v>-</v>
      </c>
      <c r="T42" s="162" t="str">
        <f aca="false">IFERROR(VLOOKUP(T$2,Rango_Admin_DailyPred,MATCH($F42,Rango_Admin_DailyPred_Primera,0),0),"-")</f>
        <v>-</v>
      </c>
      <c r="U42" s="162" t="str">
        <f aca="false">IFERROR(VLOOKUP(U$2,Rango_Admin_DailyPred,MATCH($F42,Rango_Admin_DailyPred_Primera,0),0),"-")</f>
        <v>-</v>
      </c>
      <c r="V42" s="162" t="str">
        <f aca="false">IFERROR(VLOOKUP(V$2,Rango_Admin_DailyPred,MATCH($F42,Rango_Admin_DailyPred_Primera,0),0),"-")</f>
        <v>-</v>
      </c>
      <c r="W42" s="162" t="str">
        <f aca="false">IFERROR(VLOOKUP(W$2,Rango_Admin_DailyPred,MATCH($F42,Rango_Admin_DailyPred_Primera,0),0),"-")</f>
        <v>-</v>
      </c>
      <c r="X42" s="162" t="str">
        <f aca="false">IFERROR(VLOOKUP(X$2,Rango_Admin_DailyPred,MATCH($F42,Rango_Admin_DailyPred_Primera,0),0),"-")</f>
        <v>-</v>
      </c>
      <c r="Y42" s="162" t="str">
        <f aca="false">IFERROR(VLOOKUP(Y$2,Rango_Admin_DailyPred,MATCH($F42,Rango_Admin_DailyPred_Primera,0),0),"-")</f>
        <v>-</v>
      </c>
      <c r="Z42" s="162" t="str">
        <f aca="false">IFERROR(VLOOKUP(Z$2,Rango_Admin_DailyPred,MATCH($F42,Rango_Admin_DailyPred_Primera,0),0),"-")</f>
        <v>-</v>
      </c>
      <c r="AA42" s="162" t="str">
        <f aca="false">IFERROR(VLOOKUP(AA$2,Rango_Admin_DailyPred,MATCH($F42,Rango_Admin_DailyPred_Primera,0),0),"-")</f>
        <v>-</v>
      </c>
      <c r="AB42" s="162" t="str">
        <f aca="false">IFERROR(VLOOKUP(AB$2,Rango_Admin_DailyPred,MATCH($F42,Rango_Admin_DailyPred_Primera,0),0),"-")</f>
        <v>-</v>
      </c>
      <c r="AC42" s="162" t="str">
        <f aca="false">IFERROR(VLOOKUP(AC$2,Rango_Admin_DailyPred,MATCH($F42,Rango_Admin_DailyPred_Primera,0),0),"-")</f>
        <v>-</v>
      </c>
      <c r="AD42" s="162" t="str">
        <f aca="false">IFERROR(VLOOKUP(AD$2,Rango_Admin_DailyPred,MATCH($F42,Rango_Admin_DailyPred_Primera,0),0),"-")</f>
        <v>-</v>
      </c>
      <c r="AE42" s="162" t="str">
        <f aca="false">IFERROR(VLOOKUP(AE$2,Rango_Admin_DailyPred,MATCH($F42,Rango_Admin_DailyPred_Primera,0),0),"-")</f>
        <v>-</v>
      </c>
      <c r="AF42" s="162" t="str">
        <f aca="false">IFERROR(VLOOKUP(AF$2,Rango_Admin_DailyPred,MATCH($F42,Rango_Admin_DailyPred_Primera,0),0),"-")</f>
        <v>-</v>
      </c>
      <c r="AG42" s="162" t="str">
        <f aca="false">IFERROR(VLOOKUP(AG$2,Rango_Admin_DailyPred,MATCH($F42,Rango_Admin_DailyPred_Primera,0),0),"-")</f>
        <v>-</v>
      </c>
      <c r="AH42" s="162" t="str">
        <f aca="false">IFERROR(VLOOKUP(AH$2,Rango_Admin_DailyPred,MATCH($F42,Rango_Admin_DailyPred_Primera,0),0),"-")</f>
        <v>-</v>
      </c>
      <c r="AI42" s="162" t="str">
        <f aca="false">IFERROR(VLOOKUP(AI$2,Rango_Admin_DailyPred,MATCH($F42,Rango_Admin_DailyPred_Primera,0),0),"-")</f>
        <v>-</v>
      </c>
      <c r="AJ42" s="162" t="str">
        <f aca="false">IFERROR(VLOOKUP(AJ$2,Rango_Admin_DailyPred,MATCH($F42,Rango_Admin_DailyPred_Primera,0),0),"-")</f>
        <v>-</v>
      </c>
      <c r="AK42" s="162" t="str">
        <f aca="false">IFERROR(VLOOKUP(AK$2,Rango_Admin_DailyPred,MATCH($F42,Rango_Admin_DailyPred_Primera,0),0),"-")</f>
        <v>-</v>
      </c>
      <c r="AL42" s="162" t="str">
        <f aca="false">IFERROR(VLOOKUP(AL$2,Rango_Admin_DailyPred,MATCH($F42,Rango_Admin_DailyPred_Primera,0),0),"-")</f>
        <v>-</v>
      </c>
      <c r="AM42" s="244"/>
      <c r="AN42" s="244"/>
      <c r="AO42" s="244"/>
    </row>
    <row r="43" customFormat="false" ht="15" hidden="false" customHeight="false" outlineLevel="0" collapsed="false">
      <c r="E43" s="437" t="n">
        <f aca="false">+E42+3</f>
        <v>126</v>
      </c>
      <c r="F43" s="476" t="str">
        <f aca="false" t="array" ref="F43:F43">IFERROR(INDEX(Rango_Admin_DailyPred_Primera,1,E43),"-")</f>
        <v>Pegar Valores Nombre J40</v>
      </c>
      <c r="G43" s="162" t="n">
        <f aca="false">IFERROR(VLOOKUP(G$2,Rango_Admin_DailyPred,MATCH($F43,Rango_Admin_DailyPred_Primera,0),0),"-")</f>
        <v>0</v>
      </c>
      <c r="H43" s="162" t="n">
        <f aca="false">IFERROR(VLOOKUP(H$2,Rango_Admin_DailyPred,MATCH($F43,Rango_Admin_DailyPred_Primera,0),0),"-")</f>
        <v>0</v>
      </c>
      <c r="I43" s="162" t="n">
        <f aca="false">IFERROR(VLOOKUP(I$2,Rango_Admin_DailyPred,MATCH($F43,Rango_Admin_DailyPred_Primera,0),0),"-")</f>
        <v>0</v>
      </c>
      <c r="J43" s="162" t="n">
        <f aca="false">IFERROR(VLOOKUP(J$2,Rango_Admin_DailyPred,MATCH($F43,Rango_Admin_DailyPred_Primera,0),0),"-")</f>
        <v>0</v>
      </c>
      <c r="K43" s="162" t="n">
        <f aca="false">IFERROR(VLOOKUP(K$2,Rango_Admin_DailyPred,MATCH($F43,Rango_Admin_DailyPred_Primera,0),0),"-")</f>
        <v>0</v>
      </c>
      <c r="L43" s="162" t="str">
        <f aca="false">IFERROR(VLOOKUP(L$2,Rango_Admin_DailyPred,MATCH($F43,Rango_Admin_DailyPred_Primera,0),0),"-")</f>
        <v>-</v>
      </c>
      <c r="M43" s="162" t="str">
        <f aca="false">IFERROR(VLOOKUP(M$2,Rango_Admin_DailyPred,MATCH($F43,Rango_Admin_DailyPred_Primera,0),0),"-")</f>
        <v>-</v>
      </c>
      <c r="N43" s="162" t="str">
        <f aca="false">IFERROR(VLOOKUP(N$2,Rango_Admin_DailyPred,MATCH($F43,Rango_Admin_DailyPred_Primera,0),0),"-")</f>
        <v>-</v>
      </c>
      <c r="O43" s="162" t="str">
        <f aca="false">IFERROR(VLOOKUP(O$2,Rango_Admin_DailyPred,MATCH($F43,Rango_Admin_DailyPred_Primera,0),0),"-")</f>
        <v>-</v>
      </c>
      <c r="P43" s="162" t="str">
        <f aca="false">IFERROR(VLOOKUP(P$2,Rango_Admin_DailyPred,MATCH($F43,Rango_Admin_DailyPred_Primera,0),0),"-")</f>
        <v>-</v>
      </c>
      <c r="Q43" s="162" t="str">
        <f aca="false">IFERROR(VLOOKUP(Q$2,Rango_Admin_DailyPred,MATCH($F43,Rango_Admin_DailyPred_Primera,0),0),"-")</f>
        <v>-</v>
      </c>
      <c r="R43" s="162" t="str">
        <f aca="false">IFERROR(VLOOKUP(R$2,Rango_Admin_DailyPred,MATCH($F43,Rango_Admin_DailyPred_Primera,0),0),"-")</f>
        <v>-</v>
      </c>
      <c r="S43" s="162" t="str">
        <f aca="false">IFERROR(VLOOKUP(S$2,Rango_Admin_DailyPred,MATCH($F43,Rango_Admin_DailyPred_Primera,0),0),"-")</f>
        <v>-</v>
      </c>
      <c r="T43" s="162" t="str">
        <f aca="false">IFERROR(VLOOKUP(T$2,Rango_Admin_DailyPred,MATCH($F43,Rango_Admin_DailyPred_Primera,0),0),"-")</f>
        <v>-</v>
      </c>
      <c r="U43" s="162" t="str">
        <f aca="false">IFERROR(VLOOKUP(U$2,Rango_Admin_DailyPred,MATCH($F43,Rango_Admin_DailyPred_Primera,0),0),"-")</f>
        <v>-</v>
      </c>
      <c r="V43" s="162" t="str">
        <f aca="false">IFERROR(VLOOKUP(V$2,Rango_Admin_DailyPred,MATCH($F43,Rango_Admin_DailyPred_Primera,0),0),"-")</f>
        <v>-</v>
      </c>
      <c r="W43" s="162" t="str">
        <f aca="false">IFERROR(VLOOKUP(W$2,Rango_Admin_DailyPred,MATCH($F43,Rango_Admin_DailyPred_Primera,0),0),"-")</f>
        <v>-</v>
      </c>
      <c r="X43" s="162" t="str">
        <f aca="false">IFERROR(VLOOKUP(X$2,Rango_Admin_DailyPred,MATCH($F43,Rango_Admin_DailyPred_Primera,0),0),"-")</f>
        <v>-</v>
      </c>
      <c r="Y43" s="162" t="str">
        <f aca="false">IFERROR(VLOOKUP(Y$2,Rango_Admin_DailyPred,MATCH($F43,Rango_Admin_DailyPred_Primera,0),0),"-")</f>
        <v>-</v>
      </c>
      <c r="Z43" s="162" t="str">
        <f aca="false">IFERROR(VLOOKUP(Z$2,Rango_Admin_DailyPred,MATCH($F43,Rango_Admin_DailyPred_Primera,0),0),"-")</f>
        <v>-</v>
      </c>
      <c r="AA43" s="162" t="str">
        <f aca="false">IFERROR(VLOOKUP(AA$2,Rango_Admin_DailyPred,MATCH($F43,Rango_Admin_DailyPred_Primera,0),0),"-")</f>
        <v>-</v>
      </c>
      <c r="AB43" s="162" t="str">
        <f aca="false">IFERROR(VLOOKUP(AB$2,Rango_Admin_DailyPred,MATCH($F43,Rango_Admin_DailyPred_Primera,0),0),"-")</f>
        <v>-</v>
      </c>
      <c r="AC43" s="162" t="str">
        <f aca="false">IFERROR(VLOOKUP(AC$2,Rango_Admin_DailyPred,MATCH($F43,Rango_Admin_DailyPred_Primera,0),0),"-")</f>
        <v>-</v>
      </c>
      <c r="AD43" s="162" t="str">
        <f aca="false">IFERROR(VLOOKUP(AD$2,Rango_Admin_DailyPred,MATCH($F43,Rango_Admin_DailyPred_Primera,0),0),"-")</f>
        <v>-</v>
      </c>
      <c r="AE43" s="162" t="str">
        <f aca="false">IFERROR(VLOOKUP(AE$2,Rango_Admin_DailyPred,MATCH($F43,Rango_Admin_DailyPred_Primera,0),0),"-")</f>
        <v>-</v>
      </c>
      <c r="AF43" s="162" t="str">
        <f aca="false">IFERROR(VLOOKUP(AF$2,Rango_Admin_DailyPred,MATCH($F43,Rango_Admin_DailyPred_Primera,0),0),"-")</f>
        <v>-</v>
      </c>
      <c r="AG43" s="162" t="str">
        <f aca="false">IFERROR(VLOOKUP(AG$2,Rango_Admin_DailyPred,MATCH($F43,Rango_Admin_DailyPred_Primera,0),0),"-")</f>
        <v>-</v>
      </c>
      <c r="AH43" s="162" t="str">
        <f aca="false">IFERROR(VLOOKUP(AH$2,Rango_Admin_DailyPred,MATCH($F43,Rango_Admin_DailyPred_Primera,0),0),"-")</f>
        <v>-</v>
      </c>
      <c r="AI43" s="162" t="str">
        <f aca="false">IFERROR(VLOOKUP(AI$2,Rango_Admin_DailyPred,MATCH($F43,Rango_Admin_DailyPred_Primera,0),0),"-")</f>
        <v>-</v>
      </c>
      <c r="AJ43" s="162" t="str">
        <f aca="false">IFERROR(VLOOKUP(AJ$2,Rango_Admin_DailyPred,MATCH($F43,Rango_Admin_DailyPred_Primera,0),0),"-")</f>
        <v>-</v>
      </c>
      <c r="AK43" s="162" t="str">
        <f aca="false">IFERROR(VLOOKUP(AK$2,Rango_Admin_DailyPred,MATCH($F43,Rango_Admin_DailyPred_Primera,0),0),"-")</f>
        <v>-</v>
      </c>
      <c r="AL43" s="162" t="str">
        <f aca="false">IFERROR(VLOOKUP(AL$2,Rango_Admin_DailyPred,MATCH($F43,Rango_Admin_DailyPred_Primera,0),0),"-")</f>
        <v>-</v>
      </c>
      <c r="AM43" s="244"/>
      <c r="AN43" s="244"/>
      <c r="AO43" s="244"/>
    </row>
    <row r="44" customFormat="false" ht="15" hidden="false" customHeight="false" outlineLevel="0" collapsed="false">
      <c r="E44" s="437"/>
      <c r="F44" s="476" t="str">
        <f aca="false" t="array" ref="F44:F44">IFERROR(INDEX(Rango_Admin_DailyPred_Primera,1,E44),"-")</f>
        <v>FASE DE GRUPOS</v>
      </c>
      <c r="G44" s="162" t="str">
        <f aca="false">IFERROR(VLOOKUP(G$2,Rango_Admin_DailyPred,MATCH($F44,Rango_Admin_DailyPred_Primera,0),0),"-")</f>
        <v>Costa de Marfil-Ecuador</v>
      </c>
      <c r="H44" s="162" t="str">
        <f aca="false">IFERROR(VLOOKUP(H$2,Rango_Admin_DailyPred,MATCH($F44,Rango_Admin_DailyPred_Primera,0),0),"-")</f>
        <v>Países Bajos-Japón</v>
      </c>
      <c r="I44" s="162" t="str">
        <f aca="false">IFERROR(VLOOKUP(I$2,Rango_Admin_DailyPred,MATCH($F44,Rango_Admin_DailyPred_Primera,0),0),"-")</f>
        <v>Suecia-Túnez</v>
      </c>
      <c r="J44" s="162" t="str">
        <f aca="false">IFERROR(VLOOKUP(J$2,Rango_Admin_DailyPred,MATCH($F44,Rango_Admin_DailyPred_Primera,0),0),"-")</f>
        <v>Bélgica-Egipto</v>
      </c>
      <c r="K44" s="162" t="str">
        <f aca="false">IFERROR(VLOOKUP(K$2,Rango_Admin_DailyPred,MATCH($F44,Rango_Admin_DailyPred_Primera,0),0),"-")</f>
        <v>España-Cabo Verde</v>
      </c>
      <c r="L44" s="162" t="str">
        <f aca="false">IFERROR(VLOOKUP(L$2,Rango_Admin_DailyPred,MATCH($F44,Rango_Admin_DailyPred_Primera,0),0),"-")</f>
        <v>-</v>
      </c>
      <c r="M44" s="162" t="str">
        <f aca="false">IFERROR(VLOOKUP(M$2,Rango_Admin_DailyPred,MATCH($F44,Rango_Admin_DailyPred_Primera,0),0),"-")</f>
        <v>-</v>
      </c>
      <c r="N44" s="162" t="str">
        <f aca="false">IFERROR(VLOOKUP(N$2,Rango_Admin_DailyPred,MATCH($F44,Rango_Admin_DailyPred_Primera,0),0),"-")</f>
        <v>-</v>
      </c>
      <c r="O44" s="162" t="str">
        <f aca="false">IFERROR(VLOOKUP(O$2,Rango_Admin_DailyPred,MATCH($F44,Rango_Admin_DailyPred_Primera,0),0),"-")</f>
        <v>-</v>
      </c>
      <c r="P44" s="162" t="str">
        <f aca="false">IFERROR(VLOOKUP(P$2,Rango_Admin_DailyPred,MATCH($F44,Rango_Admin_DailyPred_Primera,0),0),"-")</f>
        <v>-</v>
      </c>
      <c r="Q44" s="162" t="str">
        <f aca="false">IFERROR(VLOOKUP(Q$2,Rango_Admin_DailyPred,MATCH($F44,Rango_Admin_DailyPred_Primera,0),0),"-")</f>
        <v>-</v>
      </c>
      <c r="R44" s="162" t="str">
        <f aca="false">IFERROR(VLOOKUP(R$2,Rango_Admin_DailyPred,MATCH($F44,Rango_Admin_DailyPred_Primera,0),0),"-")</f>
        <v>-</v>
      </c>
      <c r="S44" s="162" t="str">
        <f aca="false">IFERROR(VLOOKUP(S$2,Rango_Admin_DailyPred,MATCH($F44,Rango_Admin_DailyPred_Primera,0),0),"-")</f>
        <v>-</v>
      </c>
      <c r="T44" s="162" t="str">
        <f aca="false">IFERROR(VLOOKUP(T$2,Rango_Admin_DailyPred,MATCH($F44,Rango_Admin_DailyPred_Primera,0),0),"-")</f>
        <v>-</v>
      </c>
      <c r="U44" s="162" t="str">
        <f aca="false">IFERROR(VLOOKUP(U$2,Rango_Admin_DailyPred,MATCH($F44,Rango_Admin_DailyPred_Primera,0),0),"-")</f>
        <v>-</v>
      </c>
      <c r="V44" s="162" t="str">
        <f aca="false">IFERROR(VLOOKUP(V$2,Rango_Admin_DailyPred,MATCH($F44,Rango_Admin_DailyPred_Primera,0),0),"-")</f>
        <v>-</v>
      </c>
      <c r="W44" s="162" t="str">
        <f aca="false">IFERROR(VLOOKUP(W$2,Rango_Admin_DailyPred,MATCH($F44,Rango_Admin_DailyPred_Primera,0),0),"-")</f>
        <v>-</v>
      </c>
      <c r="X44" s="162" t="str">
        <f aca="false">IFERROR(VLOOKUP(X$2,Rango_Admin_DailyPred,MATCH($F44,Rango_Admin_DailyPred_Primera,0),0),"-")</f>
        <v>-</v>
      </c>
      <c r="Y44" s="162" t="str">
        <f aca="false">IFERROR(VLOOKUP(Y$2,Rango_Admin_DailyPred,MATCH($F44,Rango_Admin_DailyPred_Primera,0),0),"-")</f>
        <v>-</v>
      </c>
      <c r="Z44" s="162" t="str">
        <f aca="false">IFERROR(VLOOKUP(Z$2,Rango_Admin_DailyPred,MATCH($F44,Rango_Admin_DailyPred_Primera,0),0),"-")</f>
        <v>-</v>
      </c>
      <c r="AA44" s="162" t="str">
        <f aca="false">IFERROR(VLOOKUP(AA$2,Rango_Admin_DailyPred,MATCH($F44,Rango_Admin_DailyPred_Primera,0),0),"-")</f>
        <v>-</v>
      </c>
      <c r="AB44" s="162" t="str">
        <f aca="false">IFERROR(VLOOKUP(AB$2,Rango_Admin_DailyPred,MATCH($F44,Rango_Admin_DailyPred_Primera,0),0),"-")</f>
        <v>-</v>
      </c>
      <c r="AC44" s="162" t="str">
        <f aca="false">IFERROR(VLOOKUP(AC$2,Rango_Admin_DailyPred,MATCH($F44,Rango_Admin_DailyPred_Primera,0),0),"-")</f>
        <v>-</v>
      </c>
      <c r="AD44" s="162" t="str">
        <f aca="false">IFERROR(VLOOKUP(AD$2,Rango_Admin_DailyPred,MATCH($F44,Rango_Admin_DailyPred_Primera,0),0),"-")</f>
        <v>-</v>
      </c>
      <c r="AE44" s="162" t="str">
        <f aca="false">IFERROR(VLOOKUP(AE$2,Rango_Admin_DailyPred,MATCH($F44,Rango_Admin_DailyPred_Primera,0),0),"-")</f>
        <v>-</v>
      </c>
      <c r="AF44" s="162" t="str">
        <f aca="false">IFERROR(VLOOKUP(AF$2,Rango_Admin_DailyPred,MATCH($F44,Rango_Admin_DailyPred_Primera,0),0),"-")</f>
        <v>-</v>
      </c>
      <c r="AG44" s="162" t="str">
        <f aca="false">IFERROR(VLOOKUP(AG$2,Rango_Admin_DailyPred,MATCH($F44,Rango_Admin_DailyPred_Primera,0),0),"-")</f>
        <v>-</v>
      </c>
      <c r="AH44" s="162" t="str">
        <f aca="false">IFERROR(VLOOKUP(AH$2,Rango_Admin_DailyPred,MATCH($F44,Rango_Admin_DailyPred_Primera,0),0),"-")</f>
        <v>-</v>
      </c>
      <c r="AI44" s="162" t="str">
        <f aca="false">IFERROR(VLOOKUP(AI$2,Rango_Admin_DailyPred,MATCH($F44,Rango_Admin_DailyPred_Primera,0),0),"-")</f>
        <v>-</v>
      </c>
      <c r="AJ44" s="162" t="str">
        <f aca="false">IFERROR(VLOOKUP(AJ$2,Rango_Admin_DailyPred,MATCH($F44,Rango_Admin_DailyPred_Primera,0),0),"-")</f>
        <v>-</v>
      </c>
      <c r="AK44" s="162" t="str">
        <f aca="false">IFERROR(VLOOKUP(AK$2,Rango_Admin_DailyPred,MATCH($F44,Rango_Admin_DailyPred_Primera,0),0),"-")</f>
        <v>-</v>
      </c>
      <c r="AL44" s="162" t="str">
        <f aca="false">IFERROR(VLOOKUP(AL$2,Rango_Admin_DailyPred,MATCH($F44,Rango_Admin_DailyPred_Primera,0),0),"-")</f>
        <v>-</v>
      </c>
      <c r="AM44" s="244"/>
      <c r="AN44" s="244"/>
      <c r="AO44" s="244"/>
    </row>
    <row r="45" customFormat="false" ht="15" hidden="false" customHeight="false" outlineLevel="0" collapsed="false">
      <c r="E45" s="437"/>
      <c r="F45" s="476" t="str">
        <f aca="false" t="array" ref="F45:F45">IFERROR(INDEX(Rango_Admin_DailyPred_Primera,1,E45),"-")</f>
        <v>FASE DE GRUPOS</v>
      </c>
      <c r="G45" s="162" t="str">
        <f aca="false">IFERROR(VLOOKUP(G$2,Rango_Admin_DailyPred,MATCH($F45,Rango_Admin_DailyPred_Primera,0),0),"-")</f>
        <v>Costa de Marfil-Ecuador</v>
      </c>
      <c r="H45" s="162" t="str">
        <f aca="false">IFERROR(VLOOKUP(H$2,Rango_Admin_DailyPred,MATCH($F45,Rango_Admin_DailyPred_Primera,0),0),"-")</f>
        <v>Países Bajos-Japón</v>
      </c>
      <c r="I45" s="162" t="str">
        <f aca="false">IFERROR(VLOOKUP(I$2,Rango_Admin_DailyPred,MATCH($F45,Rango_Admin_DailyPred_Primera,0),0),"-")</f>
        <v>Suecia-Túnez</v>
      </c>
      <c r="J45" s="162" t="str">
        <f aca="false">IFERROR(VLOOKUP(J$2,Rango_Admin_DailyPred,MATCH($F45,Rango_Admin_DailyPred_Primera,0),0),"-")</f>
        <v>Bélgica-Egipto</v>
      </c>
      <c r="K45" s="162" t="str">
        <f aca="false">IFERROR(VLOOKUP(K$2,Rango_Admin_DailyPred,MATCH($F45,Rango_Admin_DailyPred_Primera,0),0),"-")</f>
        <v>España-Cabo Verde</v>
      </c>
      <c r="L45" s="162" t="str">
        <f aca="false">IFERROR(VLOOKUP(L$2,Rango_Admin_DailyPred,MATCH($F45,Rango_Admin_DailyPred_Primera,0),0),"-")</f>
        <v>-</v>
      </c>
      <c r="M45" s="162" t="str">
        <f aca="false">IFERROR(VLOOKUP(M$2,Rango_Admin_DailyPred,MATCH($F45,Rango_Admin_DailyPred_Primera,0),0),"-")</f>
        <v>-</v>
      </c>
      <c r="N45" s="162" t="str">
        <f aca="false">IFERROR(VLOOKUP(N$2,Rango_Admin_DailyPred,MATCH($F45,Rango_Admin_DailyPred_Primera,0),0),"-")</f>
        <v>-</v>
      </c>
      <c r="O45" s="162" t="str">
        <f aca="false">IFERROR(VLOOKUP(O$2,Rango_Admin_DailyPred,MATCH($F45,Rango_Admin_DailyPred_Primera,0),0),"-")</f>
        <v>-</v>
      </c>
      <c r="P45" s="162" t="str">
        <f aca="false">IFERROR(VLOOKUP(P$2,Rango_Admin_DailyPred,MATCH($F45,Rango_Admin_DailyPred_Primera,0),0),"-")</f>
        <v>-</v>
      </c>
      <c r="Q45" s="162" t="str">
        <f aca="false">IFERROR(VLOOKUP(Q$2,Rango_Admin_DailyPred,MATCH($F45,Rango_Admin_DailyPred_Primera,0),0),"-")</f>
        <v>-</v>
      </c>
      <c r="R45" s="162" t="str">
        <f aca="false">IFERROR(VLOOKUP(R$2,Rango_Admin_DailyPred,MATCH($F45,Rango_Admin_DailyPred_Primera,0),0),"-")</f>
        <v>-</v>
      </c>
      <c r="S45" s="162" t="str">
        <f aca="false">IFERROR(VLOOKUP(S$2,Rango_Admin_DailyPred,MATCH($F45,Rango_Admin_DailyPred_Primera,0),0),"-")</f>
        <v>-</v>
      </c>
      <c r="T45" s="162" t="str">
        <f aca="false">IFERROR(VLOOKUP(T$2,Rango_Admin_DailyPred,MATCH($F45,Rango_Admin_DailyPred_Primera,0),0),"-")</f>
        <v>-</v>
      </c>
      <c r="U45" s="162" t="str">
        <f aca="false">IFERROR(VLOOKUP(U$2,Rango_Admin_DailyPred,MATCH($F45,Rango_Admin_DailyPred_Primera,0),0),"-")</f>
        <v>-</v>
      </c>
      <c r="V45" s="162" t="str">
        <f aca="false">IFERROR(VLOOKUP(V$2,Rango_Admin_DailyPred,MATCH($F45,Rango_Admin_DailyPred_Primera,0),0),"-")</f>
        <v>-</v>
      </c>
      <c r="W45" s="162" t="str">
        <f aca="false">IFERROR(VLOOKUP(W$2,Rango_Admin_DailyPred,MATCH($F45,Rango_Admin_DailyPred_Primera,0),0),"-")</f>
        <v>-</v>
      </c>
      <c r="X45" s="162" t="str">
        <f aca="false">IFERROR(VLOOKUP(X$2,Rango_Admin_DailyPred,MATCH($F45,Rango_Admin_DailyPred_Primera,0),0),"-")</f>
        <v>-</v>
      </c>
      <c r="Y45" s="162" t="str">
        <f aca="false">IFERROR(VLOOKUP(Y$2,Rango_Admin_DailyPred,MATCH($F45,Rango_Admin_DailyPred_Primera,0),0),"-")</f>
        <v>-</v>
      </c>
      <c r="Z45" s="162" t="str">
        <f aca="false">IFERROR(VLOOKUP(Z$2,Rango_Admin_DailyPred,MATCH($F45,Rango_Admin_DailyPred_Primera,0),0),"-")</f>
        <v>-</v>
      </c>
      <c r="AA45" s="162" t="str">
        <f aca="false">IFERROR(VLOOKUP(AA$2,Rango_Admin_DailyPred,MATCH($F45,Rango_Admin_DailyPred_Primera,0),0),"-")</f>
        <v>-</v>
      </c>
      <c r="AB45" s="162" t="str">
        <f aca="false">IFERROR(VLOOKUP(AB$2,Rango_Admin_DailyPred,MATCH($F45,Rango_Admin_DailyPred_Primera,0),0),"-")</f>
        <v>-</v>
      </c>
      <c r="AC45" s="162" t="str">
        <f aca="false">IFERROR(VLOOKUP(AC$2,Rango_Admin_DailyPred,MATCH($F45,Rango_Admin_DailyPred_Primera,0),0),"-")</f>
        <v>-</v>
      </c>
      <c r="AD45" s="162" t="str">
        <f aca="false">IFERROR(VLOOKUP(AD$2,Rango_Admin_DailyPred,MATCH($F45,Rango_Admin_DailyPred_Primera,0),0),"-")</f>
        <v>-</v>
      </c>
      <c r="AE45" s="162" t="str">
        <f aca="false">IFERROR(VLOOKUP(AE$2,Rango_Admin_DailyPred,MATCH($F45,Rango_Admin_DailyPred_Primera,0),0),"-")</f>
        <v>-</v>
      </c>
      <c r="AF45" s="162" t="str">
        <f aca="false">IFERROR(VLOOKUP(AF$2,Rango_Admin_DailyPred,MATCH($F45,Rango_Admin_DailyPred_Primera,0),0),"-")</f>
        <v>-</v>
      </c>
      <c r="AG45" s="162" t="str">
        <f aca="false">IFERROR(VLOOKUP(AG$2,Rango_Admin_DailyPred,MATCH($F45,Rango_Admin_DailyPred_Primera,0),0),"-")</f>
        <v>-</v>
      </c>
      <c r="AH45" s="162" t="str">
        <f aca="false">IFERROR(VLOOKUP(AH$2,Rango_Admin_DailyPred,MATCH($F45,Rango_Admin_DailyPred_Primera,0),0),"-")</f>
        <v>-</v>
      </c>
      <c r="AI45" s="162" t="str">
        <f aca="false">IFERROR(VLOOKUP(AI$2,Rango_Admin_DailyPred,MATCH($F45,Rango_Admin_DailyPred_Primera,0),0),"-")</f>
        <v>-</v>
      </c>
      <c r="AJ45" s="162" t="str">
        <f aca="false">IFERROR(VLOOKUP(AJ$2,Rango_Admin_DailyPred,MATCH($F45,Rango_Admin_DailyPred_Primera,0),0),"-")</f>
        <v>-</v>
      </c>
      <c r="AK45" s="162" t="str">
        <f aca="false">IFERROR(VLOOKUP(AK$2,Rango_Admin_DailyPred,MATCH($F45,Rango_Admin_DailyPred_Primera,0),0),"-")</f>
        <v>-</v>
      </c>
      <c r="AL45" s="162" t="str">
        <f aca="false">IFERROR(VLOOKUP(AL$2,Rango_Admin_DailyPred,MATCH($F45,Rango_Admin_DailyPred_Primera,0),0),"-")</f>
        <v>-</v>
      </c>
      <c r="AM45" s="244"/>
      <c r="AN45" s="244"/>
      <c r="AO45" s="244"/>
    </row>
    <row r="46" customFormat="false" ht="15" hidden="false" customHeight="false" outlineLevel="0" collapsed="false">
      <c r="E46" s="437"/>
      <c r="F46" s="476" t="str">
        <f aca="false" t="array" ref="F46:F46">IFERROR(INDEX(Rango_Admin_DailyPred_Primera,1,E46),"-")</f>
        <v>FASE DE GRUPOS</v>
      </c>
      <c r="G46" s="162" t="str">
        <f aca="false">IFERROR(VLOOKUP(G$2,Rango_Admin_DailyPred,MATCH($F46,Rango_Admin_DailyPred_Primera,0),0),"-")</f>
        <v>Costa de Marfil-Ecuador</v>
      </c>
      <c r="H46" s="162" t="str">
        <f aca="false">IFERROR(VLOOKUP(H$2,Rango_Admin_DailyPred,MATCH($F46,Rango_Admin_DailyPred_Primera,0),0),"-")</f>
        <v>Países Bajos-Japón</v>
      </c>
      <c r="I46" s="162" t="str">
        <f aca="false">IFERROR(VLOOKUP(I$2,Rango_Admin_DailyPred,MATCH($F46,Rango_Admin_DailyPred_Primera,0),0),"-")</f>
        <v>Suecia-Túnez</v>
      </c>
      <c r="J46" s="162" t="str">
        <f aca="false">IFERROR(VLOOKUP(J$2,Rango_Admin_DailyPred,MATCH($F46,Rango_Admin_DailyPred_Primera,0),0),"-")</f>
        <v>Bélgica-Egipto</v>
      </c>
      <c r="K46" s="162" t="str">
        <f aca="false">IFERROR(VLOOKUP(K$2,Rango_Admin_DailyPred,MATCH($F46,Rango_Admin_DailyPred_Primera,0),0),"-")</f>
        <v>España-Cabo Verde</v>
      </c>
      <c r="L46" s="162" t="str">
        <f aca="false">IFERROR(VLOOKUP(L$2,Rango_Admin_DailyPred,MATCH($F46,Rango_Admin_DailyPred_Primera,0),0),"-")</f>
        <v>-</v>
      </c>
      <c r="M46" s="162" t="str">
        <f aca="false">IFERROR(VLOOKUP(M$2,Rango_Admin_DailyPred,MATCH($F46,Rango_Admin_DailyPred_Primera,0),0),"-")</f>
        <v>-</v>
      </c>
      <c r="N46" s="162" t="str">
        <f aca="false">IFERROR(VLOOKUP(N$2,Rango_Admin_DailyPred,MATCH($F46,Rango_Admin_DailyPred_Primera,0),0),"-")</f>
        <v>-</v>
      </c>
      <c r="O46" s="162" t="str">
        <f aca="false">IFERROR(VLOOKUP(O$2,Rango_Admin_DailyPred,MATCH($F46,Rango_Admin_DailyPred_Primera,0),0),"-")</f>
        <v>-</v>
      </c>
      <c r="P46" s="162" t="str">
        <f aca="false">IFERROR(VLOOKUP(P$2,Rango_Admin_DailyPred,MATCH($F46,Rango_Admin_DailyPred_Primera,0),0),"-")</f>
        <v>-</v>
      </c>
      <c r="Q46" s="162" t="str">
        <f aca="false">IFERROR(VLOOKUP(Q$2,Rango_Admin_DailyPred,MATCH($F46,Rango_Admin_DailyPred_Primera,0),0),"-")</f>
        <v>-</v>
      </c>
      <c r="R46" s="162" t="str">
        <f aca="false">IFERROR(VLOOKUP(R$2,Rango_Admin_DailyPred,MATCH($F46,Rango_Admin_DailyPred_Primera,0),0),"-")</f>
        <v>-</v>
      </c>
      <c r="S46" s="162" t="str">
        <f aca="false">IFERROR(VLOOKUP(S$2,Rango_Admin_DailyPred,MATCH($F46,Rango_Admin_DailyPred_Primera,0),0),"-")</f>
        <v>-</v>
      </c>
      <c r="T46" s="162" t="str">
        <f aca="false">IFERROR(VLOOKUP(T$2,Rango_Admin_DailyPred,MATCH($F46,Rango_Admin_DailyPred_Primera,0),0),"-")</f>
        <v>-</v>
      </c>
      <c r="U46" s="162" t="str">
        <f aca="false">IFERROR(VLOOKUP(U$2,Rango_Admin_DailyPred,MATCH($F46,Rango_Admin_DailyPred_Primera,0),0),"-")</f>
        <v>-</v>
      </c>
      <c r="V46" s="162" t="str">
        <f aca="false">IFERROR(VLOOKUP(V$2,Rango_Admin_DailyPred,MATCH($F46,Rango_Admin_DailyPred_Primera,0),0),"-")</f>
        <v>-</v>
      </c>
      <c r="W46" s="162" t="str">
        <f aca="false">IFERROR(VLOOKUP(W$2,Rango_Admin_DailyPred,MATCH($F46,Rango_Admin_DailyPred_Primera,0),0),"-")</f>
        <v>-</v>
      </c>
      <c r="X46" s="162" t="str">
        <f aca="false">IFERROR(VLOOKUP(X$2,Rango_Admin_DailyPred,MATCH($F46,Rango_Admin_DailyPred_Primera,0),0),"-")</f>
        <v>-</v>
      </c>
      <c r="Y46" s="162" t="str">
        <f aca="false">IFERROR(VLOOKUP(Y$2,Rango_Admin_DailyPred,MATCH($F46,Rango_Admin_DailyPred_Primera,0),0),"-")</f>
        <v>-</v>
      </c>
      <c r="Z46" s="162" t="str">
        <f aca="false">IFERROR(VLOOKUP(Z$2,Rango_Admin_DailyPred,MATCH($F46,Rango_Admin_DailyPred_Primera,0),0),"-")</f>
        <v>-</v>
      </c>
      <c r="AA46" s="162" t="str">
        <f aca="false">IFERROR(VLOOKUP(AA$2,Rango_Admin_DailyPred,MATCH($F46,Rango_Admin_DailyPred_Primera,0),0),"-")</f>
        <v>-</v>
      </c>
      <c r="AB46" s="162" t="str">
        <f aca="false">IFERROR(VLOOKUP(AB$2,Rango_Admin_DailyPred,MATCH($F46,Rango_Admin_DailyPred_Primera,0),0),"-")</f>
        <v>-</v>
      </c>
      <c r="AC46" s="162" t="str">
        <f aca="false">IFERROR(VLOOKUP(AC$2,Rango_Admin_DailyPred,MATCH($F46,Rango_Admin_DailyPred_Primera,0),0),"-")</f>
        <v>-</v>
      </c>
      <c r="AD46" s="162" t="str">
        <f aca="false">IFERROR(VLOOKUP(AD$2,Rango_Admin_DailyPred,MATCH($F46,Rango_Admin_DailyPred_Primera,0),0),"-")</f>
        <v>-</v>
      </c>
      <c r="AE46" s="162" t="str">
        <f aca="false">IFERROR(VLOOKUP(AE$2,Rango_Admin_DailyPred,MATCH($F46,Rango_Admin_DailyPred_Primera,0),0),"-")</f>
        <v>-</v>
      </c>
      <c r="AF46" s="162" t="str">
        <f aca="false">IFERROR(VLOOKUP(AF$2,Rango_Admin_DailyPred,MATCH($F46,Rango_Admin_DailyPred_Primera,0),0),"-")</f>
        <v>-</v>
      </c>
      <c r="AG46" s="162" t="str">
        <f aca="false">IFERROR(VLOOKUP(AG$2,Rango_Admin_DailyPred,MATCH($F46,Rango_Admin_DailyPred_Primera,0),0),"-")</f>
        <v>-</v>
      </c>
      <c r="AH46" s="162" t="str">
        <f aca="false">IFERROR(VLOOKUP(AH$2,Rango_Admin_DailyPred,MATCH($F46,Rango_Admin_DailyPred_Primera,0),0),"-")</f>
        <v>-</v>
      </c>
      <c r="AI46" s="162" t="str">
        <f aca="false">IFERROR(VLOOKUP(AI$2,Rango_Admin_DailyPred,MATCH($F46,Rango_Admin_DailyPred_Primera,0),0),"-")</f>
        <v>-</v>
      </c>
      <c r="AJ46" s="162" t="str">
        <f aca="false">IFERROR(VLOOKUP(AJ$2,Rango_Admin_DailyPred,MATCH($F46,Rango_Admin_DailyPred_Primera,0),0),"-")</f>
        <v>-</v>
      </c>
      <c r="AK46" s="162" t="str">
        <f aca="false">IFERROR(VLOOKUP(AK$2,Rango_Admin_DailyPred,MATCH($F46,Rango_Admin_DailyPred_Primera,0),0),"-")</f>
        <v>-</v>
      </c>
      <c r="AL46" s="162" t="str">
        <f aca="false">IFERROR(VLOOKUP(AL$2,Rango_Admin_DailyPred,MATCH($F46,Rango_Admin_DailyPred_Primera,0),0),"-")</f>
        <v>-</v>
      </c>
      <c r="AM46" s="244"/>
      <c r="AN46" s="244"/>
      <c r="AO46" s="244"/>
    </row>
    <row r="47" customFormat="false" ht="15" hidden="false" customHeight="false" outlineLevel="0" collapsed="false">
      <c r="E47" s="437"/>
      <c r="F47" s="476" t="str">
        <f aca="false" t="array" ref="F47:F47">IFERROR(INDEX(Rango_Admin_DailyPred_Primera,1,E47),"-")</f>
        <v>FASE DE GRUPOS</v>
      </c>
      <c r="G47" s="162" t="str">
        <f aca="false">IFERROR(VLOOKUP(G$2,Rango_Admin_DailyPred,MATCH($F47,Rango_Admin_DailyPred_Primera,0),0),"-")</f>
        <v>Costa de Marfil-Ecuador</v>
      </c>
      <c r="H47" s="162" t="str">
        <f aca="false">IFERROR(VLOOKUP(H$2,Rango_Admin_DailyPred,MATCH($F47,Rango_Admin_DailyPred_Primera,0),0),"-")</f>
        <v>Países Bajos-Japón</v>
      </c>
      <c r="I47" s="162" t="str">
        <f aca="false">IFERROR(VLOOKUP(I$2,Rango_Admin_DailyPred,MATCH($F47,Rango_Admin_DailyPred_Primera,0),0),"-")</f>
        <v>Suecia-Túnez</v>
      </c>
      <c r="J47" s="162" t="str">
        <f aca="false">IFERROR(VLOOKUP(J$2,Rango_Admin_DailyPred,MATCH($F47,Rango_Admin_DailyPred_Primera,0),0),"-")</f>
        <v>Bélgica-Egipto</v>
      </c>
      <c r="K47" s="162" t="str">
        <f aca="false">IFERROR(VLOOKUP(K$2,Rango_Admin_DailyPred,MATCH($F47,Rango_Admin_DailyPred_Primera,0),0),"-")</f>
        <v>España-Cabo Verde</v>
      </c>
      <c r="L47" s="162" t="str">
        <f aca="false">IFERROR(VLOOKUP(L$2,Rango_Admin_DailyPred,MATCH($F47,Rango_Admin_DailyPred_Primera,0),0),"-")</f>
        <v>-</v>
      </c>
      <c r="M47" s="162" t="str">
        <f aca="false">IFERROR(VLOOKUP(M$2,Rango_Admin_DailyPred,MATCH($F47,Rango_Admin_DailyPred_Primera,0),0),"-")</f>
        <v>-</v>
      </c>
      <c r="N47" s="162" t="str">
        <f aca="false">IFERROR(VLOOKUP(N$2,Rango_Admin_DailyPred,MATCH($F47,Rango_Admin_DailyPred_Primera,0),0),"-")</f>
        <v>-</v>
      </c>
      <c r="O47" s="162" t="str">
        <f aca="false">IFERROR(VLOOKUP(O$2,Rango_Admin_DailyPred,MATCH($F47,Rango_Admin_DailyPred_Primera,0),0),"-")</f>
        <v>-</v>
      </c>
      <c r="P47" s="162" t="str">
        <f aca="false">IFERROR(VLOOKUP(P$2,Rango_Admin_DailyPred,MATCH($F47,Rango_Admin_DailyPred_Primera,0),0),"-")</f>
        <v>-</v>
      </c>
      <c r="Q47" s="162" t="str">
        <f aca="false">IFERROR(VLOOKUP(Q$2,Rango_Admin_DailyPred,MATCH($F47,Rango_Admin_DailyPred_Primera,0),0),"-")</f>
        <v>-</v>
      </c>
      <c r="R47" s="162" t="str">
        <f aca="false">IFERROR(VLOOKUP(R$2,Rango_Admin_DailyPred,MATCH($F47,Rango_Admin_DailyPred_Primera,0),0),"-")</f>
        <v>-</v>
      </c>
      <c r="S47" s="162" t="str">
        <f aca="false">IFERROR(VLOOKUP(S$2,Rango_Admin_DailyPred,MATCH($F47,Rango_Admin_DailyPred_Primera,0),0),"-")</f>
        <v>-</v>
      </c>
      <c r="T47" s="162" t="str">
        <f aca="false">IFERROR(VLOOKUP(T$2,Rango_Admin_DailyPred,MATCH($F47,Rango_Admin_DailyPred_Primera,0),0),"-")</f>
        <v>-</v>
      </c>
      <c r="U47" s="162" t="str">
        <f aca="false">IFERROR(VLOOKUP(U$2,Rango_Admin_DailyPred,MATCH($F47,Rango_Admin_DailyPred_Primera,0),0),"-")</f>
        <v>-</v>
      </c>
      <c r="V47" s="162" t="str">
        <f aca="false">IFERROR(VLOOKUP(V$2,Rango_Admin_DailyPred,MATCH($F47,Rango_Admin_DailyPred_Primera,0),0),"-")</f>
        <v>-</v>
      </c>
      <c r="W47" s="162" t="str">
        <f aca="false">IFERROR(VLOOKUP(W$2,Rango_Admin_DailyPred,MATCH($F47,Rango_Admin_DailyPred_Primera,0),0),"-")</f>
        <v>-</v>
      </c>
      <c r="X47" s="162" t="str">
        <f aca="false">IFERROR(VLOOKUP(X$2,Rango_Admin_DailyPred,MATCH($F47,Rango_Admin_DailyPred_Primera,0),0),"-")</f>
        <v>-</v>
      </c>
      <c r="Y47" s="162" t="str">
        <f aca="false">IFERROR(VLOOKUP(Y$2,Rango_Admin_DailyPred,MATCH($F47,Rango_Admin_DailyPred_Primera,0),0),"-")</f>
        <v>-</v>
      </c>
      <c r="Z47" s="162" t="str">
        <f aca="false">IFERROR(VLOOKUP(Z$2,Rango_Admin_DailyPred,MATCH($F47,Rango_Admin_DailyPred_Primera,0),0),"-")</f>
        <v>-</v>
      </c>
      <c r="AA47" s="162" t="str">
        <f aca="false">IFERROR(VLOOKUP(AA$2,Rango_Admin_DailyPred,MATCH($F47,Rango_Admin_DailyPred_Primera,0),0),"-")</f>
        <v>-</v>
      </c>
      <c r="AB47" s="162" t="str">
        <f aca="false">IFERROR(VLOOKUP(AB$2,Rango_Admin_DailyPred,MATCH($F47,Rango_Admin_DailyPred_Primera,0),0),"-")</f>
        <v>-</v>
      </c>
      <c r="AC47" s="162" t="str">
        <f aca="false">IFERROR(VLOOKUP(AC$2,Rango_Admin_DailyPred,MATCH($F47,Rango_Admin_DailyPred_Primera,0),0),"-")</f>
        <v>-</v>
      </c>
      <c r="AD47" s="162" t="str">
        <f aca="false">IFERROR(VLOOKUP(AD$2,Rango_Admin_DailyPred,MATCH($F47,Rango_Admin_DailyPred_Primera,0),0),"-")</f>
        <v>-</v>
      </c>
      <c r="AE47" s="162" t="str">
        <f aca="false">IFERROR(VLOOKUP(AE$2,Rango_Admin_DailyPred,MATCH($F47,Rango_Admin_DailyPred_Primera,0),0),"-")</f>
        <v>-</v>
      </c>
      <c r="AF47" s="162" t="str">
        <f aca="false">IFERROR(VLOOKUP(AF$2,Rango_Admin_DailyPred,MATCH($F47,Rango_Admin_DailyPred_Primera,0),0),"-")</f>
        <v>-</v>
      </c>
      <c r="AG47" s="162" t="str">
        <f aca="false">IFERROR(VLOOKUP(AG$2,Rango_Admin_DailyPred,MATCH($F47,Rango_Admin_DailyPred_Primera,0),0),"-")</f>
        <v>-</v>
      </c>
      <c r="AH47" s="162" t="str">
        <f aca="false">IFERROR(VLOOKUP(AH$2,Rango_Admin_DailyPred,MATCH($F47,Rango_Admin_DailyPred_Primera,0),0),"-")</f>
        <v>-</v>
      </c>
      <c r="AI47" s="162" t="str">
        <f aca="false">IFERROR(VLOOKUP(AI$2,Rango_Admin_DailyPred,MATCH($F47,Rango_Admin_DailyPred_Primera,0),0),"-")</f>
        <v>-</v>
      </c>
      <c r="AJ47" s="162" t="str">
        <f aca="false">IFERROR(VLOOKUP(AJ$2,Rango_Admin_DailyPred,MATCH($F47,Rango_Admin_DailyPred_Primera,0),0),"-")</f>
        <v>-</v>
      </c>
      <c r="AK47" s="162" t="str">
        <f aca="false">IFERROR(VLOOKUP(AK$2,Rango_Admin_DailyPred,MATCH($F47,Rango_Admin_DailyPred_Primera,0),0),"-")</f>
        <v>-</v>
      </c>
      <c r="AL47" s="162" t="str">
        <f aca="false">IFERROR(VLOOKUP(AL$2,Rango_Admin_DailyPred,MATCH($F47,Rango_Admin_DailyPred_Primera,0),0),"-")</f>
        <v>-</v>
      </c>
      <c r="AM47" s="244"/>
      <c r="AN47" s="244"/>
      <c r="AO47" s="244"/>
    </row>
  </sheetData>
  <dataValidations count="1">
    <dataValidation allowBlank="true" errorStyle="stop" operator="between" showDropDown="false" showErrorMessage="true" showInputMessage="true" sqref="H1" type="list">
      <formula1>Lista_fechas_rondas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CAC04F42-23A3-4571-8FDE-D7716A5FB0E5}">
            <xm:f>AND((INDEX(ADMIN!$5:$5,1,ADMIN!$D$5*3+18)&gt;=ROW()-3),MOD(ROW(),2)=0)</xm:f>
            <x14:dxf>
              <font>
                <color rgb="FF1B4066"/>
              </font>
              <fill>
                <patternFill>
                  <bgColor theme="0" tint="-0.15"/>
                </patternFill>
              </fill>
            </x14:dxf>
          </x14:cfRule>
          <x14:cfRule type="expression" priority="3" id="{387E3629-45A2-44D0-801C-84B299C89FA5}">
            <xm:f>AND((INDEX(ADMIN!$5:$5,1,ADMIN!$D$5*3+18)&gt;=ROW()-3),MOD(ROW(),2)=1)</xm:f>
            <x14:dxf>
              <font>
                <color rgb="FF1B4066"/>
              </font>
              <fill>
                <patternFill>
                  <bgColor theme="0"/>
                </patternFill>
              </fill>
            </x14:dxf>
          </x14:cfRule>
          <xm:sqref>F4:AL47</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0" sqref="I1"/>
    </sheetView>
  </sheetViews>
  <sheetFormatPr defaultColWidth="10.84765625" defaultRowHeight="15" customHeight="true" zeroHeight="false" outlineLevelRow="0" outlineLevelCol="0"/>
  <cols>
    <col collapsed="false" customWidth="true" hidden="false" outlineLevel="0" max="1" min="1" style="30" width="23.57"/>
    <col collapsed="false" customWidth="true" hidden="false" outlineLevel="0" max="2" min="2" style="30" width="22.57"/>
    <col collapsed="false" customWidth="true" hidden="false" outlineLevel="0" max="3" min="3" style="30" width="13.29"/>
    <col collapsed="false" customWidth="true" hidden="false" outlineLevel="0" max="4" min="4" style="320" width="13.29"/>
    <col collapsed="false" customWidth="true" hidden="false" outlineLevel="0" max="5" min="5" style="38" width="4.14"/>
    <col collapsed="false" customWidth="true" hidden="false" outlineLevel="0" max="6" min="6" style="38" width="24.71"/>
    <col collapsed="false" customWidth="true" hidden="false" outlineLevel="0" max="39" min="7" style="38" width="25.85"/>
    <col collapsed="false" customWidth="false" hidden="false" outlineLevel="0" max="40" min="40" style="38" width="10.85"/>
    <col collapsed="false" customWidth="false" hidden="true" outlineLevel="0" max="16384" min="41" style="38" width="10.85"/>
  </cols>
  <sheetData>
    <row r="1" customFormat="false" ht="39.75" hidden="false" customHeight="true" outlineLevel="0" collapsed="false">
      <c r="D1" s="248"/>
      <c r="E1" s="248"/>
      <c r="F1" s="248"/>
      <c r="G1" s="248"/>
      <c r="H1" s="477" t="str">
        <f aca="false">Idiomas!D496</f>
        <v>Dia seleccionado en "Daily Prediction"</v>
      </c>
      <c r="I1" s="478" t="n">
        <f aca="false">DailyPrediction!H1</f>
        <v>46188</v>
      </c>
      <c r="J1" s="244"/>
      <c r="K1" s="85" t="n">
        <f aca="false">VLOOKUP($I$1,Equipos!$Q$2:$R$37,2,0)</f>
        <v>5</v>
      </c>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c r="AM1" s="244"/>
      <c r="AN1" s="244"/>
    </row>
    <row r="2" customFormat="false" ht="15" hidden="true" customHeight="false" outlineLevel="0" collapsed="false">
      <c r="D2" s="85"/>
      <c r="E2" s="244"/>
      <c r="F2" s="85"/>
      <c r="G2" s="85"/>
      <c r="H2" s="85" t="str">
        <f aca="false" t="array" ref="H2:AM2">TRANSPOSE($A$4:$A$35)</f>
        <v>Costa de Marfil-Ecuador</v>
      </c>
      <c r="I2" s="85" t="str">
        <v>Países Bajos-Japón</v>
      </c>
      <c r="J2" s="85" t="str">
        <v>Suecia-Túnez</v>
      </c>
      <c r="K2" s="85" t="str">
        <v>Bélgica-Egipto</v>
      </c>
      <c r="L2" s="85" t="str">
        <v>España-Cabo Verde</v>
      </c>
      <c r="M2" s="85" t="str">
        <v/>
      </c>
      <c r="N2" s="85" t="str">
        <v/>
      </c>
      <c r="O2" s="85" t="str">
        <v/>
      </c>
      <c r="P2" s="85" t="str">
        <v/>
      </c>
      <c r="Q2" s="85" t="str">
        <v/>
      </c>
      <c r="R2" s="85" t="str">
        <v/>
      </c>
      <c r="S2" s="85" t="str">
        <v/>
      </c>
      <c r="T2" s="85" t="str">
        <v/>
      </c>
      <c r="U2" s="85" t="str">
        <v/>
      </c>
      <c r="V2" s="85" t="str">
        <v/>
      </c>
      <c r="W2" s="85" t="str">
        <v/>
      </c>
      <c r="X2" s="85" t="str">
        <v/>
      </c>
      <c r="Y2" s="85" t="str">
        <v/>
      </c>
      <c r="Z2" s="85" t="str">
        <v/>
      </c>
      <c r="AA2" s="85" t="str">
        <v/>
      </c>
      <c r="AB2" s="85" t="str">
        <v/>
      </c>
      <c r="AC2" s="85" t="str">
        <v/>
      </c>
      <c r="AD2" s="85" t="str">
        <v/>
      </c>
      <c r="AE2" s="85" t="str">
        <v/>
      </c>
      <c r="AF2" s="85" t="str">
        <v/>
      </c>
      <c r="AG2" s="85" t="str">
        <v/>
      </c>
      <c r="AH2" s="85" t="str">
        <v/>
      </c>
      <c r="AI2" s="85" t="str">
        <v/>
      </c>
      <c r="AJ2" s="85" t="str">
        <v/>
      </c>
      <c r="AK2" s="85" t="str">
        <v/>
      </c>
      <c r="AL2" s="85" t="str">
        <v/>
      </c>
      <c r="AM2" s="85" t="str">
        <v/>
      </c>
      <c r="AN2" s="244"/>
    </row>
    <row r="3" customFormat="false" ht="49.5" hidden="false" customHeight="true" outlineLevel="0" collapsed="false">
      <c r="D3" s="85"/>
      <c r="E3" s="474" t="str">
        <f aca="false">Idiomas!D479</f>
        <v>Pos</v>
      </c>
      <c r="F3" s="474" t="str">
        <f aca="false">Idiomas!D480</f>
        <v>Nombre</v>
      </c>
      <c r="G3" s="474" t="str">
        <f aca="false">Idiomas!D481</f>
        <v>Puntos Día / Eliminatoria</v>
      </c>
      <c r="H3" s="474" t="str">
        <f aca="false" t="array" ref="H3:AM3">TRANSPOSE($B$4:$B$35)</f>
        <v>Costa de Marfil-Ecuador
 (1|1-0)</v>
      </c>
      <c r="I3" s="474" t="str">
        <v>Países Bajos-Japón
 (X|2-2)</v>
      </c>
      <c r="J3" s="474" t="str">
        <v>Suecia-Túnez
 (1|5-1)</v>
      </c>
      <c r="K3" s="474" t="str">
        <v>Bélgica-Egipto
 (X|1-1)</v>
      </c>
      <c r="L3" s="474" t="str">
        <v>España-Cabo Verde
 (X|0-0)</v>
      </c>
      <c r="M3" s="474" t="str">
        <v/>
      </c>
      <c r="N3" s="474" t="str">
        <v/>
      </c>
      <c r="O3" s="474" t="str">
        <v/>
      </c>
      <c r="P3" s="474" t="str">
        <v/>
      </c>
      <c r="Q3" s="474" t="str">
        <v/>
      </c>
      <c r="R3" s="474" t="str">
        <v/>
      </c>
      <c r="S3" s="474" t="str">
        <v/>
      </c>
      <c r="T3" s="474" t="str">
        <v/>
      </c>
      <c r="U3" s="474" t="str">
        <v/>
      </c>
      <c r="V3" s="474" t="str">
        <v/>
      </c>
      <c r="W3" s="474" t="str">
        <v/>
      </c>
      <c r="X3" s="474" t="str">
        <v/>
      </c>
      <c r="Y3" s="474" t="str">
        <v/>
      </c>
      <c r="Z3" s="474" t="str">
        <v/>
      </c>
      <c r="AA3" s="474" t="str">
        <v/>
      </c>
      <c r="AB3" s="474" t="str">
        <v/>
      </c>
      <c r="AC3" s="474" t="str">
        <v/>
      </c>
      <c r="AD3" s="474" t="str">
        <v/>
      </c>
      <c r="AE3" s="474" t="str">
        <v/>
      </c>
      <c r="AF3" s="474" t="str">
        <v/>
      </c>
      <c r="AG3" s="474" t="str">
        <v/>
      </c>
      <c r="AH3" s="474" t="str">
        <v/>
      </c>
      <c r="AI3" s="474" t="str">
        <v/>
      </c>
      <c r="AJ3" s="474" t="str">
        <v/>
      </c>
      <c r="AK3" s="474" t="str">
        <v/>
      </c>
      <c r="AL3" s="474" t="str">
        <v/>
      </c>
      <c r="AM3" s="474" t="str">
        <v/>
      </c>
      <c r="AN3" s="244"/>
    </row>
    <row r="4" customFormat="false" ht="23.85" hidden="false" customHeight="false" outlineLevel="0" collapsed="false">
      <c r="A4" s="30" t="str">
        <f aca="false" t="array" ref="A4:A4">IFERROR(INDEX(ADMIN!$K$6:$K$258,SMALL(IF(ADMIN!$G$6:$G$258=$K$1,ROW(ADMIN!$G$6:$G$258)-ROW(ADMIN!$G$6)+1),ROWS($A$1:A1))),"")</f>
        <v>Costa de Marfil-Ecuador</v>
      </c>
      <c r="B4" s="30" t="str">
        <f aca="false" t="array" ref="B4:B4">IFERROR(IFERROR(INDEX(ADMIN!$K$6:$K$258,SMALL(IF($K$1=ADMIN!$G$6:$G$258,ROW(ADMIN!$K$6:$K$258)-MIN(ROW(ADMIN!$G$6:$G$258))+1,""),ROW()-3)),"")&amp;CHAR(10)&amp;IF(INDEX(ADMIN!$M$6:$M$258,SMALL(IF($K$1=ADMIN!$G$6:$G$258,ROW(ADMIN!$M$6:$M$258)-MIN(ROW(ADMIN!$G$6:$G$258))+1,""),ROW()-3))="0|-",""," ("&amp;INDEX(ADMIN!$M$6:$M$258,SMALL(IF($K$1=ADMIN!$G$6:$G$258,ROW(ADMIN!$M$6:$M$258)-MIN(ROW(ADMIN!$G$6:$G$258))+1,""),ROW()-3))&amp;")"),"")</f>
        <v>Costa de Marfil-Ecuador
 (1|1-0)</v>
      </c>
      <c r="C4" s="30" t="n">
        <v>1</v>
      </c>
      <c r="D4" s="463"/>
      <c r="E4" s="479" t="n">
        <f aca="false">IFERROR(HLOOKUP(C4,Rango_Admin_DailyClas,3,FALSE()),"-")</f>
        <v>1</v>
      </c>
      <c r="F4" s="480" t="str">
        <f aca="false">IFERROR(HLOOKUP(C4,Rango_Admin_DailyClas,5,FALSE()),"-")</f>
        <v>GORKA</v>
      </c>
      <c r="G4" s="51" t="n">
        <f aca="false">IFERROR(HLOOKUP(C4,Rango_Admin_DailyClas,4,FALSE()),"-")</f>
        <v>27</v>
      </c>
      <c r="H4" s="162" t="n">
        <f aca="false">IFERROR(VLOOKUP(H$2,Rango_Admin_DailyPred,MATCH($F4,Rango_Admin_DailyPred_Primera,0)+1,0),"-")</f>
        <v>5</v>
      </c>
      <c r="I4" s="162" t="n">
        <f aca="false">IFERROR(VLOOKUP(I$2,Rango_Admin_DailyPred,MATCH($F4,Rango_Admin_DailyPred_Primera,0)+1,0),"-")</f>
        <v>0</v>
      </c>
      <c r="J4" s="162" t="n">
        <f aca="false">IFERROR(VLOOKUP(J$2,Rango_Admin_DailyPred,MATCH($F4,Rango_Admin_DailyPred_Primera,0)+1,0),"-")</f>
        <v>5</v>
      </c>
      <c r="K4" s="162" t="n">
        <f aca="false">IFERROR(VLOOKUP(K$2,Rango_Admin_DailyPred,MATCH($F4,Rango_Admin_DailyPred_Primera,0)+1,0),"-")</f>
        <v>17</v>
      </c>
      <c r="L4" s="162" t="n">
        <f aca="false">IFERROR(VLOOKUP(L$2,Rango_Admin_DailyPred,MATCH($F4,Rango_Admin_DailyPred_Primera,0)+1,0),"-")</f>
        <v>0</v>
      </c>
      <c r="M4" s="162" t="str">
        <f aca="false">IFERROR(VLOOKUP(M$2,Rango_Admin_DailyPred,MATCH($F4,Rango_Admin_DailyPred_Primera,0)+1,0),"-")</f>
        <v>-</v>
      </c>
      <c r="N4" s="162" t="str">
        <f aca="false">IFERROR(VLOOKUP(N$2,Rango_Admin_DailyPred,MATCH($F4,Rango_Admin_DailyPred_Primera,0)+1,0),"-")</f>
        <v>-</v>
      </c>
      <c r="O4" s="162" t="str">
        <f aca="false">IFERROR(VLOOKUP(O$2,Rango_Admin_DailyPred,MATCH($F4,Rango_Admin_DailyPred_Primera,0)+1,0),"-")</f>
        <v>-</v>
      </c>
      <c r="P4" s="162" t="str">
        <f aca="false">IFERROR(VLOOKUP(P$2,Rango_Admin_DailyPred,MATCH($F4,Rango_Admin_DailyPred_Primera,0)+1,0),"-")</f>
        <v>-</v>
      </c>
      <c r="Q4" s="162" t="str">
        <f aca="false">IFERROR(VLOOKUP(Q$2,Rango_Admin_DailyPred,MATCH($F4,Rango_Admin_DailyPred_Primera,0)+1,0),"-")</f>
        <v>-</v>
      </c>
      <c r="R4" s="162" t="str">
        <f aca="false">IFERROR(VLOOKUP(R$2,Rango_Admin_DailyPred,MATCH($F4,Rango_Admin_DailyPred_Primera,0)+1,0),"-")</f>
        <v>-</v>
      </c>
      <c r="S4" s="162" t="str">
        <f aca="false">IFERROR(VLOOKUP(S$2,Rango_Admin_DailyPred,MATCH($F4,Rango_Admin_DailyPred_Primera,0)+1,0),"-")</f>
        <v>-</v>
      </c>
      <c r="T4" s="162" t="str">
        <f aca="false">IFERROR(VLOOKUP(T$2,Rango_Admin_DailyPred,MATCH($F4,Rango_Admin_DailyPred_Primera,0)+1,0),"-")</f>
        <v>-</v>
      </c>
      <c r="U4" s="162" t="str">
        <f aca="false">IFERROR(VLOOKUP(U$2,Rango_Admin_DailyPred,MATCH($F4,Rango_Admin_DailyPred_Primera,0)+1,0),"-")</f>
        <v>-</v>
      </c>
      <c r="V4" s="162" t="str">
        <f aca="false">IFERROR(VLOOKUP(V$2,Rango_Admin_DailyPred,MATCH($F4,Rango_Admin_DailyPred_Primera,0)+1,0),"-")</f>
        <v>-</v>
      </c>
      <c r="W4" s="162" t="str">
        <f aca="false">IFERROR(VLOOKUP(W$2,Rango_Admin_DailyPred,MATCH($F4,Rango_Admin_DailyPred_Primera,0)+1,0),"-")</f>
        <v>-</v>
      </c>
      <c r="X4" s="162" t="str">
        <f aca="false">IFERROR(VLOOKUP(X$2,Rango_Admin_DailyPred,MATCH($F4,Rango_Admin_DailyPred_Primera,0)+1,0),"-")</f>
        <v>-</v>
      </c>
      <c r="Y4" s="162" t="str">
        <f aca="false">IFERROR(VLOOKUP(Y$2,Rango_Admin_DailyPred,MATCH($F4,Rango_Admin_DailyPred_Primera,0)+1,0),"-")</f>
        <v>-</v>
      </c>
      <c r="Z4" s="162" t="str">
        <f aca="false">IFERROR(VLOOKUP(Z$2,Rango_Admin_DailyPred,MATCH($F4,Rango_Admin_DailyPred_Primera,0)+1,0),"-")</f>
        <v>-</v>
      </c>
      <c r="AA4" s="162" t="str">
        <f aca="false">IFERROR(VLOOKUP(AA$2,Rango_Admin_DailyPred,MATCH($F4,Rango_Admin_DailyPred_Primera,0)+1,0),"-")</f>
        <v>-</v>
      </c>
      <c r="AB4" s="162" t="str">
        <f aca="false">IFERROR(VLOOKUP(AB$2,Rango_Admin_DailyPred,MATCH($F4,Rango_Admin_DailyPred_Primera,0)+1,0),"-")</f>
        <v>-</v>
      </c>
      <c r="AC4" s="162" t="str">
        <f aca="false">IFERROR(VLOOKUP(AC$2,Rango_Admin_DailyPred,MATCH($F4,Rango_Admin_DailyPred_Primera,0)+1,0),"-")</f>
        <v>-</v>
      </c>
      <c r="AD4" s="162" t="str">
        <f aca="false">IFERROR(VLOOKUP(AD$2,Rango_Admin_DailyPred,MATCH($F4,Rango_Admin_DailyPred_Primera,0)+1,0),"-")</f>
        <v>-</v>
      </c>
      <c r="AE4" s="162" t="str">
        <f aca="false">IFERROR(VLOOKUP(AE$2,Rango_Admin_DailyPred,MATCH($F4,Rango_Admin_DailyPred_Primera,0)+1,0),"-")</f>
        <v>-</v>
      </c>
      <c r="AF4" s="162" t="str">
        <f aca="false">IFERROR(VLOOKUP(AF$2,Rango_Admin_DailyPred,MATCH($F4,Rango_Admin_DailyPred_Primera,0)+1,0),"-")</f>
        <v>-</v>
      </c>
      <c r="AG4" s="162" t="str">
        <f aca="false">IFERROR(VLOOKUP(AG$2,Rango_Admin_DailyPred,MATCH($F4,Rango_Admin_DailyPred_Primera,0)+1,0),"-")</f>
        <v>-</v>
      </c>
      <c r="AH4" s="162" t="str">
        <f aca="false">IFERROR(VLOOKUP(AH$2,Rango_Admin_DailyPred,MATCH($F4,Rango_Admin_DailyPred_Primera,0)+1,0),"-")</f>
        <v>-</v>
      </c>
      <c r="AI4" s="162" t="str">
        <f aca="false">IFERROR(VLOOKUP(AI$2,Rango_Admin_DailyPred,MATCH($F4,Rango_Admin_DailyPred_Primera,0)+1,0),"-")</f>
        <v>-</v>
      </c>
      <c r="AJ4" s="162" t="str">
        <f aca="false">IFERROR(VLOOKUP(AJ$2,Rango_Admin_DailyPred,MATCH($F4,Rango_Admin_DailyPred_Primera,0)+1,0),"-")</f>
        <v>-</v>
      </c>
      <c r="AK4" s="162" t="str">
        <f aca="false">IFERROR(VLOOKUP(AK$2,Rango_Admin_DailyPred,MATCH($F4,Rango_Admin_DailyPred_Primera,0)+1,0),"-")</f>
        <v>-</v>
      </c>
      <c r="AL4" s="162" t="str">
        <f aca="false">IFERROR(VLOOKUP(AL$2,Rango_Admin_DailyPred,MATCH($F4,Rango_Admin_DailyPred_Primera,0)+1,0),"-")</f>
        <v>-</v>
      </c>
      <c r="AM4" s="162" t="str">
        <f aca="false">IFERROR(VLOOKUP(AM$2,Rango_Admin_DailyPred,MATCH($F4,Rango_Admin_DailyPred_Primera,0)+1,0),"-")</f>
        <v>-</v>
      </c>
      <c r="AN4" s="244"/>
    </row>
    <row r="5" customFormat="false" ht="23.85" hidden="false" customHeight="false" outlineLevel="0" collapsed="false">
      <c r="A5" s="30" t="str">
        <f aca="false" t="array" ref="A5:A5">IFERROR(INDEX(ADMIN!$K$6:$K$258,SMALL(IF(ADMIN!$G$6:$G$258=$K$1,ROW(ADMIN!$G$6:$G$258)-ROW(ADMIN!$G$6)+1),ROWS($A$1:A2))),"")</f>
        <v>Países Bajos-Japón</v>
      </c>
      <c r="B5" s="30" t="str">
        <f aca="false" t="array" ref="B5:B5">IFERROR(IFERROR(INDEX(ADMIN!$K$6:$K$258,SMALL(IF($K$1=ADMIN!$G$6:$G$258,ROW(ADMIN!$K$6:$K$258)-MIN(ROW(ADMIN!$G$6:$G$258))+1,""),ROW()-3)),"")&amp;CHAR(10)&amp;IF(INDEX(ADMIN!$M$6:$M$258,SMALL(IF($K$1=ADMIN!$G$6:$G$258,ROW(ADMIN!$M$6:$M$258)-MIN(ROW(ADMIN!$G$6:$G$258))+1,""),ROW()-3))="0|-",""," ("&amp;INDEX(ADMIN!$M$6:$M$258,SMALL(IF($K$1=ADMIN!$G$6:$G$258,ROW(ADMIN!$M$6:$M$258)-MIN(ROW(ADMIN!$G$6:$G$258))+1,""),ROW()-3))&amp;")"),"")</f>
        <v>Países Bajos-Japón
 (X|2-2)</v>
      </c>
      <c r="C5" s="30" t="n">
        <v>2</v>
      </c>
      <c r="D5" s="463"/>
      <c r="E5" s="479" t="n">
        <f aca="false">IFERROR(HLOOKUP(C5,Rango_Admin_DailyClas,3,FALSE()),"-")</f>
        <v>2</v>
      </c>
      <c r="F5" s="480" t="str">
        <f aca="false">IFERROR(HLOOKUP(C5,Rango_Admin_DailyClas,5,FALSE()),"-")</f>
        <v>GANEKO</v>
      </c>
      <c r="G5" s="51" t="n">
        <f aca="false">IFERROR(HLOOKUP(C5,Rango_Admin_DailyClas,4,FALSE()),"-")</f>
        <v>22</v>
      </c>
      <c r="H5" s="162" t="n">
        <f aca="false">IFERROR(VLOOKUP(H$2,Rango_Admin_DailyPred,MATCH($F5,Rango_Admin_DailyPred_Primera,0)+1,0),"-")</f>
        <v>0</v>
      </c>
      <c r="I5" s="162" t="n">
        <f aca="false">IFERROR(VLOOKUP(I$2,Rango_Admin_DailyPred,MATCH($F5,Rango_Admin_DailyPred_Primera,0)+1,0),"-")</f>
        <v>17</v>
      </c>
      <c r="J5" s="162" t="n">
        <f aca="false">IFERROR(VLOOKUP(J$2,Rango_Admin_DailyPred,MATCH($F5,Rango_Admin_DailyPred_Primera,0)+1,0),"-")</f>
        <v>5</v>
      </c>
      <c r="K5" s="162" t="n">
        <f aca="false">IFERROR(VLOOKUP(K$2,Rango_Admin_DailyPred,MATCH($F5,Rango_Admin_DailyPred_Primera,0)+1,0),"-")</f>
        <v>0</v>
      </c>
      <c r="L5" s="162" t="n">
        <f aca="false">IFERROR(VLOOKUP(L$2,Rango_Admin_DailyPred,MATCH($F5,Rango_Admin_DailyPred_Primera,0)+1,0),"-")</f>
        <v>0</v>
      </c>
      <c r="M5" s="162" t="str">
        <f aca="false">IFERROR(VLOOKUP(M$2,Rango_Admin_DailyPred,MATCH($F5,Rango_Admin_DailyPred_Primera,0)+1,0),"-")</f>
        <v>-</v>
      </c>
      <c r="N5" s="162" t="str">
        <f aca="false">IFERROR(VLOOKUP(N$2,Rango_Admin_DailyPred,MATCH($F5,Rango_Admin_DailyPred_Primera,0)+1,0),"-")</f>
        <v>-</v>
      </c>
      <c r="O5" s="162" t="str">
        <f aca="false">IFERROR(VLOOKUP(O$2,Rango_Admin_DailyPred,MATCH($F5,Rango_Admin_DailyPred_Primera,0)+1,0),"-")</f>
        <v>-</v>
      </c>
      <c r="P5" s="162" t="str">
        <f aca="false">IFERROR(VLOOKUP(P$2,Rango_Admin_DailyPred,MATCH($F5,Rango_Admin_DailyPred_Primera,0)+1,0),"-")</f>
        <v>-</v>
      </c>
      <c r="Q5" s="162" t="str">
        <f aca="false">IFERROR(VLOOKUP(Q$2,Rango_Admin_DailyPred,MATCH($F5,Rango_Admin_DailyPred_Primera,0)+1,0),"-")</f>
        <v>-</v>
      </c>
      <c r="R5" s="162" t="str">
        <f aca="false">IFERROR(VLOOKUP(R$2,Rango_Admin_DailyPred,MATCH($F5,Rango_Admin_DailyPred_Primera,0)+1,0),"-")</f>
        <v>-</v>
      </c>
      <c r="S5" s="162" t="str">
        <f aca="false">IFERROR(VLOOKUP(S$2,Rango_Admin_DailyPred,MATCH($F5,Rango_Admin_DailyPred_Primera,0)+1,0),"-")</f>
        <v>-</v>
      </c>
      <c r="T5" s="162" t="str">
        <f aca="false">IFERROR(VLOOKUP(T$2,Rango_Admin_DailyPred,MATCH($F5,Rango_Admin_DailyPred_Primera,0)+1,0),"-")</f>
        <v>-</v>
      </c>
      <c r="U5" s="162" t="str">
        <f aca="false">IFERROR(VLOOKUP(U$2,Rango_Admin_DailyPred,MATCH($F5,Rango_Admin_DailyPred_Primera,0)+1,0),"-")</f>
        <v>-</v>
      </c>
      <c r="V5" s="162" t="str">
        <f aca="false">IFERROR(VLOOKUP(V$2,Rango_Admin_DailyPred,MATCH($F5,Rango_Admin_DailyPred_Primera,0)+1,0),"-")</f>
        <v>-</v>
      </c>
      <c r="W5" s="162" t="str">
        <f aca="false">IFERROR(VLOOKUP(W$2,Rango_Admin_DailyPred,MATCH($F5,Rango_Admin_DailyPred_Primera,0)+1,0),"-")</f>
        <v>-</v>
      </c>
      <c r="X5" s="162" t="str">
        <f aca="false">IFERROR(VLOOKUP(X$2,Rango_Admin_DailyPred,MATCH($F5,Rango_Admin_DailyPred_Primera,0)+1,0),"-")</f>
        <v>-</v>
      </c>
      <c r="Y5" s="162" t="str">
        <f aca="false">IFERROR(VLOOKUP(Y$2,Rango_Admin_DailyPred,MATCH($F5,Rango_Admin_DailyPred_Primera,0)+1,0),"-")</f>
        <v>-</v>
      </c>
      <c r="Z5" s="162" t="str">
        <f aca="false">IFERROR(VLOOKUP(Z$2,Rango_Admin_DailyPred,MATCH($F5,Rango_Admin_DailyPred_Primera,0)+1,0),"-")</f>
        <v>-</v>
      </c>
      <c r="AA5" s="162" t="str">
        <f aca="false">IFERROR(VLOOKUP(AA$2,Rango_Admin_DailyPred,MATCH($F5,Rango_Admin_DailyPred_Primera,0)+1,0),"-")</f>
        <v>-</v>
      </c>
      <c r="AB5" s="162" t="str">
        <f aca="false">IFERROR(VLOOKUP(AB$2,Rango_Admin_DailyPred,MATCH($F5,Rango_Admin_DailyPred_Primera,0)+1,0),"-")</f>
        <v>-</v>
      </c>
      <c r="AC5" s="162" t="str">
        <f aca="false">IFERROR(VLOOKUP(AC$2,Rango_Admin_DailyPred,MATCH($F5,Rango_Admin_DailyPred_Primera,0)+1,0),"-")</f>
        <v>-</v>
      </c>
      <c r="AD5" s="162" t="str">
        <f aca="false">IFERROR(VLOOKUP(AD$2,Rango_Admin_DailyPred,MATCH($F5,Rango_Admin_DailyPred_Primera,0)+1,0),"-")</f>
        <v>-</v>
      </c>
      <c r="AE5" s="162" t="str">
        <f aca="false">IFERROR(VLOOKUP(AE$2,Rango_Admin_DailyPred,MATCH($F5,Rango_Admin_DailyPred_Primera,0)+1,0),"-")</f>
        <v>-</v>
      </c>
      <c r="AF5" s="162" t="str">
        <f aca="false">IFERROR(VLOOKUP(AF$2,Rango_Admin_DailyPred,MATCH($F5,Rango_Admin_DailyPred_Primera,0)+1,0),"-")</f>
        <v>-</v>
      </c>
      <c r="AG5" s="162" t="str">
        <f aca="false">IFERROR(VLOOKUP(AG$2,Rango_Admin_DailyPred,MATCH($F5,Rango_Admin_DailyPred_Primera,0)+1,0),"-")</f>
        <v>-</v>
      </c>
      <c r="AH5" s="162" t="str">
        <f aca="false">IFERROR(VLOOKUP(AH$2,Rango_Admin_DailyPred,MATCH($F5,Rango_Admin_DailyPred_Primera,0)+1,0),"-")</f>
        <v>-</v>
      </c>
      <c r="AI5" s="162" t="str">
        <f aca="false">IFERROR(VLOOKUP(AI$2,Rango_Admin_DailyPred,MATCH($F5,Rango_Admin_DailyPred_Primera,0)+1,0),"-")</f>
        <v>-</v>
      </c>
      <c r="AJ5" s="162" t="str">
        <f aca="false">IFERROR(VLOOKUP(AJ$2,Rango_Admin_DailyPred,MATCH($F5,Rango_Admin_DailyPred_Primera,0)+1,0),"-")</f>
        <v>-</v>
      </c>
      <c r="AK5" s="162" t="str">
        <f aca="false">IFERROR(VLOOKUP(AK$2,Rango_Admin_DailyPred,MATCH($F5,Rango_Admin_DailyPred_Primera,0)+1,0),"-")</f>
        <v>-</v>
      </c>
      <c r="AL5" s="162" t="str">
        <f aca="false">IFERROR(VLOOKUP(AL$2,Rango_Admin_DailyPred,MATCH($F5,Rango_Admin_DailyPred_Primera,0)+1,0),"-")</f>
        <v>-</v>
      </c>
      <c r="AM5" s="162" t="str">
        <f aca="false">IFERROR(VLOOKUP(AM$2,Rango_Admin_DailyPred,MATCH($F5,Rango_Admin_DailyPred_Primera,0)+1,0),"-")</f>
        <v>-</v>
      </c>
      <c r="AN5" s="244"/>
    </row>
    <row r="6" customFormat="false" ht="23.85" hidden="false" customHeight="false" outlineLevel="0" collapsed="false">
      <c r="A6" s="30" t="str">
        <f aca="false" t="array" ref="A6:A6">IFERROR(INDEX(ADMIN!$K$6:$K$258,SMALL(IF(ADMIN!$G$6:$G$258=$K$1,ROW(ADMIN!$G$6:$G$258)-ROW(ADMIN!$G$6)+1),ROWS($A$1:A3))),"")</f>
        <v>Suecia-Túnez</v>
      </c>
      <c r="B6" s="30" t="str">
        <f aca="false" t="array" ref="B6:B6">IFERROR(IFERROR(INDEX(ADMIN!$K$6:$K$258,SMALL(IF($K$1=ADMIN!$G$6:$G$258,ROW(ADMIN!$K$6:$K$258)-MIN(ROW(ADMIN!$G$6:$G$258))+1,""),ROW()-3)),"")&amp;CHAR(10)&amp;IF(INDEX(ADMIN!$M$6:$M$258,SMALL(IF($K$1=ADMIN!$G$6:$G$258,ROW(ADMIN!$M$6:$M$258)-MIN(ROW(ADMIN!$G$6:$G$258))+1,""),ROW()-3))="0|-",""," ("&amp;INDEX(ADMIN!$M$6:$M$258,SMALL(IF($K$1=ADMIN!$G$6:$G$258,ROW(ADMIN!$M$6:$M$258)-MIN(ROW(ADMIN!$G$6:$G$258))+1,""),ROW()-3))&amp;")"),"")</f>
        <v>Suecia-Túnez
 (1|5-1)</v>
      </c>
      <c r="C6" s="30" t="n">
        <v>3</v>
      </c>
      <c r="D6" s="463"/>
      <c r="E6" s="479" t="n">
        <f aca="false">IFERROR(HLOOKUP(C6,Rango_Admin_DailyClas,3,FALSE()),"-")</f>
        <v>3</v>
      </c>
      <c r="F6" s="480" t="str">
        <f aca="false">IFERROR(HLOOKUP(C6,Rango_Admin_DailyClas,5,FALSE()),"-")</f>
        <v>NOVE</v>
      </c>
      <c r="G6" s="51" t="n">
        <f aca="false">IFERROR(HLOOKUP(C6,Rango_Admin_DailyClas,4,FALSE()),"-")</f>
        <v>12</v>
      </c>
      <c r="H6" s="162" t="n">
        <f aca="false">IFERROR(VLOOKUP(H$2,Rango_Admin_DailyPred,MATCH($F6,Rango_Admin_DailyPred_Primera,0)+1,0),"-")</f>
        <v>0</v>
      </c>
      <c r="I6" s="162" t="n">
        <f aca="false">IFERROR(VLOOKUP(I$2,Rango_Admin_DailyPred,MATCH($F6,Rango_Admin_DailyPred_Primera,0)+1,0),"-")</f>
        <v>7</v>
      </c>
      <c r="J6" s="162" t="n">
        <f aca="false">IFERROR(VLOOKUP(J$2,Rango_Admin_DailyPred,MATCH($F6,Rango_Admin_DailyPred_Primera,0)+1,0),"-")</f>
        <v>5</v>
      </c>
      <c r="K6" s="162" t="n">
        <f aca="false">IFERROR(VLOOKUP(K$2,Rango_Admin_DailyPred,MATCH($F6,Rango_Admin_DailyPred_Primera,0)+1,0),"-")</f>
        <v>0</v>
      </c>
      <c r="L6" s="162" t="n">
        <f aca="false">IFERROR(VLOOKUP(L$2,Rango_Admin_DailyPred,MATCH($F6,Rango_Admin_DailyPred_Primera,0)+1,0),"-")</f>
        <v>0</v>
      </c>
      <c r="M6" s="162" t="str">
        <f aca="false">IFERROR(VLOOKUP(M$2,Rango_Admin_DailyPred,MATCH($F6,Rango_Admin_DailyPred_Primera,0)+1,0),"-")</f>
        <v>-</v>
      </c>
      <c r="N6" s="162" t="str">
        <f aca="false">IFERROR(VLOOKUP(N$2,Rango_Admin_DailyPred,MATCH($F6,Rango_Admin_DailyPred_Primera,0)+1,0),"-")</f>
        <v>-</v>
      </c>
      <c r="O6" s="162" t="str">
        <f aca="false">IFERROR(VLOOKUP(O$2,Rango_Admin_DailyPred,MATCH($F6,Rango_Admin_DailyPred_Primera,0)+1,0),"-")</f>
        <v>-</v>
      </c>
      <c r="P6" s="162" t="str">
        <f aca="false">IFERROR(VLOOKUP(P$2,Rango_Admin_DailyPred,MATCH($F6,Rango_Admin_DailyPred_Primera,0)+1,0),"-")</f>
        <v>-</v>
      </c>
      <c r="Q6" s="162" t="str">
        <f aca="false">IFERROR(VLOOKUP(Q$2,Rango_Admin_DailyPred,MATCH($F6,Rango_Admin_DailyPred_Primera,0)+1,0),"-")</f>
        <v>-</v>
      </c>
      <c r="R6" s="162" t="str">
        <f aca="false">IFERROR(VLOOKUP(R$2,Rango_Admin_DailyPred,MATCH($F6,Rango_Admin_DailyPred_Primera,0)+1,0),"-")</f>
        <v>-</v>
      </c>
      <c r="S6" s="162" t="str">
        <f aca="false">IFERROR(VLOOKUP(S$2,Rango_Admin_DailyPred,MATCH($F6,Rango_Admin_DailyPred_Primera,0)+1,0),"-")</f>
        <v>-</v>
      </c>
      <c r="T6" s="162" t="str">
        <f aca="false">IFERROR(VLOOKUP(T$2,Rango_Admin_DailyPred,MATCH($F6,Rango_Admin_DailyPred_Primera,0)+1,0),"-")</f>
        <v>-</v>
      </c>
      <c r="U6" s="162" t="str">
        <f aca="false">IFERROR(VLOOKUP(U$2,Rango_Admin_DailyPred,MATCH($F6,Rango_Admin_DailyPred_Primera,0)+1,0),"-")</f>
        <v>-</v>
      </c>
      <c r="V6" s="162" t="str">
        <f aca="false">IFERROR(VLOOKUP(V$2,Rango_Admin_DailyPred,MATCH($F6,Rango_Admin_DailyPred_Primera,0)+1,0),"-")</f>
        <v>-</v>
      </c>
      <c r="W6" s="162" t="str">
        <f aca="false">IFERROR(VLOOKUP(W$2,Rango_Admin_DailyPred,MATCH($F6,Rango_Admin_DailyPred_Primera,0)+1,0),"-")</f>
        <v>-</v>
      </c>
      <c r="X6" s="162" t="str">
        <f aca="false">IFERROR(VLOOKUP(X$2,Rango_Admin_DailyPred,MATCH($F6,Rango_Admin_DailyPred_Primera,0)+1,0),"-")</f>
        <v>-</v>
      </c>
      <c r="Y6" s="162" t="str">
        <f aca="false">IFERROR(VLOOKUP(Y$2,Rango_Admin_DailyPred,MATCH($F6,Rango_Admin_DailyPred_Primera,0)+1,0),"-")</f>
        <v>-</v>
      </c>
      <c r="Z6" s="162" t="str">
        <f aca="false">IFERROR(VLOOKUP(Z$2,Rango_Admin_DailyPred,MATCH($F6,Rango_Admin_DailyPred_Primera,0)+1,0),"-")</f>
        <v>-</v>
      </c>
      <c r="AA6" s="162" t="str">
        <f aca="false">IFERROR(VLOOKUP(AA$2,Rango_Admin_DailyPred,MATCH($F6,Rango_Admin_DailyPred_Primera,0)+1,0),"-")</f>
        <v>-</v>
      </c>
      <c r="AB6" s="162" t="str">
        <f aca="false">IFERROR(VLOOKUP(AB$2,Rango_Admin_DailyPred,MATCH($F6,Rango_Admin_DailyPred_Primera,0)+1,0),"-")</f>
        <v>-</v>
      </c>
      <c r="AC6" s="162" t="str">
        <f aca="false">IFERROR(VLOOKUP(AC$2,Rango_Admin_DailyPred,MATCH($F6,Rango_Admin_DailyPred_Primera,0)+1,0),"-")</f>
        <v>-</v>
      </c>
      <c r="AD6" s="162" t="str">
        <f aca="false">IFERROR(VLOOKUP(AD$2,Rango_Admin_DailyPred,MATCH($F6,Rango_Admin_DailyPred_Primera,0)+1,0),"-")</f>
        <v>-</v>
      </c>
      <c r="AE6" s="162" t="str">
        <f aca="false">IFERROR(VLOOKUP(AE$2,Rango_Admin_DailyPred,MATCH($F6,Rango_Admin_DailyPred_Primera,0)+1,0),"-")</f>
        <v>-</v>
      </c>
      <c r="AF6" s="162" t="str">
        <f aca="false">IFERROR(VLOOKUP(AF$2,Rango_Admin_DailyPred,MATCH($F6,Rango_Admin_DailyPred_Primera,0)+1,0),"-")</f>
        <v>-</v>
      </c>
      <c r="AG6" s="162" t="str">
        <f aca="false">IFERROR(VLOOKUP(AG$2,Rango_Admin_DailyPred,MATCH($F6,Rango_Admin_DailyPred_Primera,0)+1,0),"-")</f>
        <v>-</v>
      </c>
      <c r="AH6" s="162" t="str">
        <f aca="false">IFERROR(VLOOKUP(AH$2,Rango_Admin_DailyPred,MATCH($F6,Rango_Admin_DailyPred_Primera,0)+1,0),"-")</f>
        <v>-</v>
      </c>
      <c r="AI6" s="162" t="str">
        <f aca="false">IFERROR(VLOOKUP(AI$2,Rango_Admin_DailyPred,MATCH($F6,Rango_Admin_DailyPred_Primera,0)+1,0),"-")</f>
        <v>-</v>
      </c>
      <c r="AJ6" s="162" t="str">
        <f aca="false">IFERROR(VLOOKUP(AJ$2,Rango_Admin_DailyPred,MATCH($F6,Rango_Admin_DailyPred_Primera,0)+1,0),"-")</f>
        <v>-</v>
      </c>
      <c r="AK6" s="162" t="str">
        <f aca="false">IFERROR(VLOOKUP(AK$2,Rango_Admin_DailyPred,MATCH($F6,Rango_Admin_DailyPred_Primera,0)+1,0),"-")</f>
        <v>-</v>
      </c>
      <c r="AL6" s="162" t="str">
        <f aca="false">IFERROR(VLOOKUP(AL$2,Rango_Admin_DailyPred,MATCH($F6,Rango_Admin_DailyPred_Primera,0)+1,0),"-")</f>
        <v>-</v>
      </c>
      <c r="AM6" s="162" t="str">
        <f aca="false">IFERROR(VLOOKUP(AM$2,Rango_Admin_DailyPred,MATCH($F6,Rango_Admin_DailyPred_Primera,0)+1,0),"-")</f>
        <v>-</v>
      </c>
      <c r="AN6" s="244"/>
    </row>
    <row r="7" customFormat="false" ht="23.85" hidden="false" customHeight="false" outlineLevel="0" collapsed="false">
      <c r="A7" s="30" t="str">
        <f aca="false" t="array" ref="A7:A7">IFERROR(INDEX(ADMIN!$K$6:$K$258,SMALL(IF(ADMIN!$G$6:$G$258=$K$1,ROW(ADMIN!$G$6:$G$258)-ROW(ADMIN!$G$6)+1),ROWS($A$1:A4))),"")</f>
        <v>Bélgica-Egipto</v>
      </c>
      <c r="B7" s="30" t="str">
        <f aca="false" t="array" ref="B7:B7">IFERROR(IFERROR(INDEX(ADMIN!$K$6:$K$258,SMALL(IF($K$1=ADMIN!$G$6:$G$258,ROW(ADMIN!$K$6:$K$258)-MIN(ROW(ADMIN!$G$6:$G$258))+1,""),ROW()-3)),"")&amp;CHAR(10)&amp;IF(INDEX(ADMIN!$M$6:$M$258,SMALL(IF($K$1=ADMIN!$G$6:$G$258,ROW(ADMIN!$M$6:$M$258)-MIN(ROW(ADMIN!$G$6:$G$258))+1,""),ROW()-3))="0|-",""," ("&amp;INDEX(ADMIN!$M$6:$M$258,SMALL(IF($K$1=ADMIN!$G$6:$G$258,ROW(ADMIN!$M$6:$M$258)-MIN(ROW(ADMIN!$G$6:$G$258))+1,""),ROW()-3))&amp;")"),"")</f>
        <v>Bélgica-Egipto
 (X|1-1)</v>
      </c>
      <c r="C7" s="30" t="n">
        <v>4</v>
      </c>
      <c r="D7" s="463"/>
      <c r="E7" s="479" t="n">
        <f aca="false">IFERROR(HLOOKUP(C7,Rango_Admin_DailyClas,3,FALSE()),"-")</f>
        <v>3</v>
      </c>
      <c r="F7" s="480" t="str">
        <f aca="false">IFERROR(HLOOKUP(C7,Rango_Admin_DailyClas,5,FALSE()),"-")</f>
        <v>JAVI</v>
      </c>
      <c r="G7" s="51" t="n">
        <f aca="false">IFERROR(HLOOKUP(C7,Rango_Admin_DailyClas,4,FALSE()),"-")</f>
        <v>12</v>
      </c>
      <c r="H7" s="162" t="n">
        <f aca="false">IFERROR(VLOOKUP(H$2,Rango_Admin_DailyPred,MATCH($F7,Rango_Admin_DailyPred_Primera,0)+1,0),"-")</f>
        <v>0</v>
      </c>
      <c r="I7" s="162" t="n">
        <f aca="false">IFERROR(VLOOKUP(I$2,Rango_Admin_DailyPred,MATCH($F7,Rango_Admin_DailyPred_Primera,0)+1,0),"-")</f>
        <v>7</v>
      </c>
      <c r="J7" s="162" t="n">
        <f aca="false">IFERROR(VLOOKUP(J$2,Rango_Admin_DailyPred,MATCH($F7,Rango_Admin_DailyPred_Primera,0)+1,0),"-")</f>
        <v>5</v>
      </c>
      <c r="K7" s="162" t="n">
        <f aca="false">IFERROR(VLOOKUP(K$2,Rango_Admin_DailyPred,MATCH($F7,Rango_Admin_DailyPred_Primera,0)+1,0),"-")</f>
        <v>0</v>
      </c>
      <c r="L7" s="162" t="n">
        <f aca="false">IFERROR(VLOOKUP(L$2,Rango_Admin_DailyPred,MATCH($F7,Rango_Admin_DailyPred_Primera,0)+1,0),"-")</f>
        <v>0</v>
      </c>
      <c r="M7" s="162" t="str">
        <f aca="false">IFERROR(VLOOKUP(M$2,Rango_Admin_DailyPred,MATCH($F7,Rango_Admin_DailyPred_Primera,0)+1,0),"-")</f>
        <v>-</v>
      </c>
      <c r="N7" s="162" t="str">
        <f aca="false">IFERROR(VLOOKUP(N$2,Rango_Admin_DailyPred,MATCH($F7,Rango_Admin_DailyPred_Primera,0)+1,0),"-")</f>
        <v>-</v>
      </c>
      <c r="O7" s="162" t="str">
        <f aca="false">IFERROR(VLOOKUP(O$2,Rango_Admin_DailyPred,MATCH($F7,Rango_Admin_DailyPred_Primera,0)+1,0),"-")</f>
        <v>-</v>
      </c>
      <c r="P7" s="162" t="str">
        <f aca="false">IFERROR(VLOOKUP(P$2,Rango_Admin_DailyPred,MATCH($F7,Rango_Admin_DailyPred_Primera,0)+1,0),"-")</f>
        <v>-</v>
      </c>
      <c r="Q7" s="162" t="str">
        <f aca="false">IFERROR(VLOOKUP(Q$2,Rango_Admin_DailyPred,MATCH($F7,Rango_Admin_DailyPred_Primera,0)+1,0),"-")</f>
        <v>-</v>
      </c>
      <c r="R7" s="162" t="str">
        <f aca="false">IFERROR(VLOOKUP(R$2,Rango_Admin_DailyPred,MATCH($F7,Rango_Admin_DailyPred_Primera,0)+1,0),"-")</f>
        <v>-</v>
      </c>
      <c r="S7" s="162" t="str">
        <f aca="false">IFERROR(VLOOKUP(S$2,Rango_Admin_DailyPred,MATCH($F7,Rango_Admin_DailyPred_Primera,0)+1,0),"-")</f>
        <v>-</v>
      </c>
      <c r="T7" s="162" t="str">
        <f aca="false">IFERROR(VLOOKUP(T$2,Rango_Admin_DailyPred,MATCH($F7,Rango_Admin_DailyPred_Primera,0)+1,0),"-")</f>
        <v>-</v>
      </c>
      <c r="U7" s="162" t="str">
        <f aca="false">IFERROR(VLOOKUP(U$2,Rango_Admin_DailyPred,MATCH($F7,Rango_Admin_DailyPred_Primera,0)+1,0),"-")</f>
        <v>-</v>
      </c>
      <c r="V7" s="162" t="str">
        <f aca="false">IFERROR(VLOOKUP(V$2,Rango_Admin_DailyPred,MATCH($F7,Rango_Admin_DailyPred_Primera,0)+1,0),"-")</f>
        <v>-</v>
      </c>
      <c r="W7" s="162" t="str">
        <f aca="false">IFERROR(VLOOKUP(W$2,Rango_Admin_DailyPred,MATCH($F7,Rango_Admin_DailyPred_Primera,0)+1,0),"-")</f>
        <v>-</v>
      </c>
      <c r="X7" s="162" t="str">
        <f aca="false">IFERROR(VLOOKUP(X$2,Rango_Admin_DailyPred,MATCH($F7,Rango_Admin_DailyPred_Primera,0)+1,0),"-")</f>
        <v>-</v>
      </c>
      <c r="Y7" s="162" t="str">
        <f aca="false">IFERROR(VLOOKUP(Y$2,Rango_Admin_DailyPred,MATCH($F7,Rango_Admin_DailyPred_Primera,0)+1,0),"-")</f>
        <v>-</v>
      </c>
      <c r="Z7" s="162" t="str">
        <f aca="false">IFERROR(VLOOKUP(Z$2,Rango_Admin_DailyPred,MATCH($F7,Rango_Admin_DailyPred_Primera,0)+1,0),"-")</f>
        <v>-</v>
      </c>
      <c r="AA7" s="162" t="str">
        <f aca="false">IFERROR(VLOOKUP(AA$2,Rango_Admin_DailyPred,MATCH($F7,Rango_Admin_DailyPred_Primera,0)+1,0),"-")</f>
        <v>-</v>
      </c>
      <c r="AB7" s="162" t="str">
        <f aca="false">IFERROR(VLOOKUP(AB$2,Rango_Admin_DailyPred,MATCH($F7,Rango_Admin_DailyPred_Primera,0)+1,0),"-")</f>
        <v>-</v>
      </c>
      <c r="AC7" s="162" t="str">
        <f aca="false">IFERROR(VLOOKUP(AC$2,Rango_Admin_DailyPred,MATCH($F7,Rango_Admin_DailyPred_Primera,0)+1,0),"-")</f>
        <v>-</v>
      </c>
      <c r="AD7" s="162" t="str">
        <f aca="false">IFERROR(VLOOKUP(AD$2,Rango_Admin_DailyPred,MATCH($F7,Rango_Admin_DailyPred_Primera,0)+1,0),"-")</f>
        <v>-</v>
      </c>
      <c r="AE7" s="162" t="str">
        <f aca="false">IFERROR(VLOOKUP(AE$2,Rango_Admin_DailyPred,MATCH($F7,Rango_Admin_DailyPred_Primera,0)+1,0),"-")</f>
        <v>-</v>
      </c>
      <c r="AF7" s="162" t="str">
        <f aca="false">IFERROR(VLOOKUP(AF$2,Rango_Admin_DailyPred,MATCH($F7,Rango_Admin_DailyPred_Primera,0)+1,0),"-")</f>
        <v>-</v>
      </c>
      <c r="AG7" s="162" t="str">
        <f aca="false">IFERROR(VLOOKUP(AG$2,Rango_Admin_DailyPred,MATCH($F7,Rango_Admin_DailyPred_Primera,0)+1,0),"-")</f>
        <v>-</v>
      </c>
      <c r="AH7" s="162" t="str">
        <f aca="false">IFERROR(VLOOKUP(AH$2,Rango_Admin_DailyPred,MATCH($F7,Rango_Admin_DailyPred_Primera,0)+1,0),"-")</f>
        <v>-</v>
      </c>
      <c r="AI7" s="162" t="str">
        <f aca="false">IFERROR(VLOOKUP(AI$2,Rango_Admin_DailyPred,MATCH($F7,Rango_Admin_DailyPred_Primera,0)+1,0),"-")</f>
        <v>-</v>
      </c>
      <c r="AJ7" s="162" t="str">
        <f aca="false">IFERROR(VLOOKUP(AJ$2,Rango_Admin_DailyPred,MATCH($F7,Rango_Admin_DailyPred_Primera,0)+1,0),"-")</f>
        <v>-</v>
      </c>
      <c r="AK7" s="162" t="str">
        <f aca="false">IFERROR(VLOOKUP(AK$2,Rango_Admin_DailyPred,MATCH($F7,Rango_Admin_DailyPred_Primera,0)+1,0),"-")</f>
        <v>-</v>
      </c>
      <c r="AL7" s="162" t="str">
        <f aca="false">IFERROR(VLOOKUP(AL$2,Rango_Admin_DailyPred,MATCH($F7,Rango_Admin_DailyPred_Primera,0)+1,0),"-")</f>
        <v>-</v>
      </c>
      <c r="AM7" s="162" t="str">
        <f aca="false">IFERROR(VLOOKUP(AM$2,Rango_Admin_DailyPred,MATCH($F7,Rango_Admin_DailyPred_Primera,0)+1,0),"-")</f>
        <v>-</v>
      </c>
      <c r="AN7" s="244"/>
    </row>
    <row r="8" customFormat="false" ht="23.85" hidden="false" customHeight="false" outlineLevel="0" collapsed="false">
      <c r="A8" s="30" t="str">
        <f aca="false" t="array" ref="A8:A8">IFERROR(INDEX(ADMIN!$K$6:$K$258,SMALL(IF(ADMIN!$G$6:$G$258=$K$1,ROW(ADMIN!$G$6:$G$258)-ROW(ADMIN!$G$6)+1),ROWS($A$1:A5))),"")</f>
        <v>España-Cabo Verde</v>
      </c>
      <c r="B8" s="30" t="str">
        <f aca="false" t="array" ref="B8:B8">IFERROR(IFERROR(INDEX(ADMIN!$K$6:$K$258,SMALL(IF($K$1=ADMIN!$G$6:$G$258,ROW(ADMIN!$K$6:$K$258)-MIN(ROW(ADMIN!$G$6:$G$258))+1,""),ROW()-3)),"")&amp;CHAR(10)&amp;IF(INDEX(ADMIN!$M$6:$M$258,SMALL(IF($K$1=ADMIN!$G$6:$G$258,ROW(ADMIN!$M$6:$M$258)-MIN(ROW(ADMIN!$G$6:$G$258))+1,""),ROW()-3))="0|-",""," ("&amp;INDEX(ADMIN!$M$6:$M$258,SMALL(IF($K$1=ADMIN!$G$6:$G$258,ROW(ADMIN!$M$6:$M$258)-MIN(ROW(ADMIN!$G$6:$G$258))+1,""),ROW()-3))&amp;")"),"")</f>
        <v>España-Cabo Verde
 (X|0-0)</v>
      </c>
      <c r="C8" s="30" t="n">
        <v>5</v>
      </c>
      <c r="D8" s="463"/>
      <c r="E8" s="479" t="n">
        <f aca="false">IFERROR(HLOOKUP(C8,Rango_Admin_DailyClas,3,FALSE()),"-")</f>
        <v>3</v>
      </c>
      <c r="F8" s="480" t="str">
        <f aca="false">IFERROR(HLOOKUP(C8,Rango_Admin_DailyClas,5,FALSE()),"-")</f>
        <v>JUANMI</v>
      </c>
      <c r="G8" s="51" t="n">
        <f aca="false">IFERROR(HLOOKUP(C8,Rango_Admin_DailyClas,4,FALSE()),"-")</f>
        <v>12</v>
      </c>
      <c r="H8" s="162" t="n">
        <f aca="false">IFERROR(VLOOKUP(H$2,Rango_Admin_DailyPred,MATCH($F8,Rango_Admin_DailyPred_Primera,0)+1,0),"-")</f>
        <v>0</v>
      </c>
      <c r="I8" s="162" t="n">
        <f aca="false">IFERROR(VLOOKUP(I$2,Rango_Admin_DailyPred,MATCH($F8,Rango_Admin_DailyPred_Primera,0)+1,0),"-")</f>
        <v>7</v>
      </c>
      <c r="J8" s="162" t="n">
        <f aca="false">IFERROR(VLOOKUP(J$2,Rango_Admin_DailyPred,MATCH($F8,Rango_Admin_DailyPred_Primera,0)+1,0),"-")</f>
        <v>5</v>
      </c>
      <c r="K8" s="162" t="n">
        <f aca="false">IFERROR(VLOOKUP(K$2,Rango_Admin_DailyPred,MATCH($F8,Rango_Admin_DailyPred_Primera,0)+1,0),"-")</f>
        <v>0</v>
      </c>
      <c r="L8" s="162" t="n">
        <f aca="false">IFERROR(VLOOKUP(L$2,Rango_Admin_DailyPred,MATCH($F8,Rango_Admin_DailyPred_Primera,0)+1,0),"-")</f>
        <v>0</v>
      </c>
      <c r="M8" s="162" t="str">
        <f aca="false">IFERROR(VLOOKUP(M$2,Rango_Admin_DailyPred,MATCH($F8,Rango_Admin_DailyPred_Primera,0)+1,0),"-")</f>
        <v>-</v>
      </c>
      <c r="N8" s="162" t="str">
        <f aca="false">IFERROR(VLOOKUP(N$2,Rango_Admin_DailyPred,MATCH($F8,Rango_Admin_DailyPred_Primera,0)+1,0),"-")</f>
        <v>-</v>
      </c>
      <c r="O8" s="162" t="str">
        <f aca="false">IFERROR(VLOOKUP(O$2,Rango_Admin_DailyPred,MATCH($F8,Rango_Admin_DailyPred_Primera,0)+1,0),"-")</f>
        <v>-</v>
      </c>
      <c r="P8" s="162" t="str">
        <f aca="false">IFERROR(VLOOKUP(P$2,Rango_Admin_DailyPred,MATCH($F8,Rango_Admin_DailyPred_Primera,0)+1,0),"-")</f>
        <v>-</v>
      </c>
      <c r="Q8" s="162" t="str">
        <f aca="false">IFERROR(VLOOKUP(Q$2,Rango_Admin_DailyPred,MATCH($F8,Rango_Admin_DailyPred_Primera,0)+1,0),"-")</f>
        <v>-</v>
      </c>
      <c r="R8" s="162" t="str">
        <f aca="false">IFERROR(VLOOKUP(R$2,Rango_Admin_DailyPred,MATCH($F8,Rango_Admin_DailyPred_Primera,0)+1,0),"-")</f>
        <v>-</v>
      </c>
      <c r="S8" s="162" t="str">
        <f aca="false">IFERROR(VLOOKUP(S$2,Rango_Admin_DailyPred,MATCH($F8,Rango_Admin_DailyPred_Primera,0)+1,0),"-")</f>
        <v>-</v>
      </c>
      <c r="T8" s="162" t="str">
        <f aca="false">IFERROR(VLOOKUP(T$2,Rango_Admin_DailyPred,MATCH($F8,Rango_Admin_DailyPred_Primera,0)+1,0),"-")</f>
        <v>-</v>
      </c>
      <c r="U8" s="162" t="str">
        <f aca="false">IFERROR(VLOOKUP(U$2,Rango_Admin_DailyPred,MATCH($F8,Rango_Admin_DailyPred_Primera,0)+1,0),"-")</f>
        <v>-</v>
      </c>
      <c r="V8" s="162" t="str">
        <f aca="false">IFERROR(VLOOKUP(V$2,Rango_Admin_DailyPred,MATCH($F8,Rango_Admin_DailyPred_Primera,0)+1,0),"-")</f>
        <v>-</v>
      </c>
      <c r="W8" s="162" t="str">
        <f aca="false">IFERROR(VLOOKUP(W$2,Rango_Admin_DailyPred,MATCH($F8,Rango_Admin_DailyPred_Primera,0)+1,0),"-")</f>
        <v>-</v>
      </c>
      <c r="X8" s="162" t="str">
        <f aca="false">IFERROR(VLOOKUP(X$2,Rango_Admin_DailyPred,MATCH($F8,Rango_Admin_DailyPred_Primera,0)+1,0),"-")</f>
        <v>-</v>
      </c>
      <c r="Y8" s="162" t="str">
        <f aca="false">IFERROR(VLOOKUP(Y$2,Rango_Admin_DailyPred,MATCH($F8,Rango_Admin_DailyPred_Primera,0)+1,0),"-")</f>
        <v>-</v>
      </c>
      <c r="Z8" s="162" t="str">
        <f aca="false">IFERROR(VLOOKUP(Z$2,Rango_Admin_DailyPred,MATCH($F8,Rango_Admin_DailyPred_Primera,0)+1,0),"-")</f>
        <v>-</v>
      </c>
      <c r="AA8" s="162" t="str">
        <f aca="false">IFERROR(VLOOKUP(AA$2,Rango_Admin_DailyPred,MATCH($F8,Rango_Admin_DailyPred_Primera,0)+1,0),"-")</f>
        <v>-</v>
      </c>
      <c r="AB8" s="162" t="str">
        <f aca="false">IFERROR(VLOOKUP(AB$2,Rango_Admin_DailyPred,MATCH($F8,Rango_Admin_DailyPred_Primera,0)+1,0),"-")</f>
        <v>-</v>
      </c>
      <c r="AC8" s="162" t="str">
        <f aca="false">IFERROR(VLOOKUP(AC$2,Rango_Admin_DailyPred,MATCH($F8,Rango_Admin_DailyPred_Primera,0)+1,0),"-")</f>
        <v>-</v>
      </c>
      <c r="AD8" s="162" t="str">
        <f aca="false">IFERROR(VLOOKUP(AD$2,Rango_Admin_DailyPred,MATCH($F8,Rango_Admin_DailyPred_Primera,0)+1,0),"-")</f>
        <v>-</v>
      </c>
      <c r="AE8" s="162" t="str">
        <f aca="false">IFERROR(VLOOKUP(AE$2,Rango_Admin_DailyPred,MATCH($F8,Rango_Admin_DailyPred_Primera,0)+1,0),"-")</f>
        <v>-</v>
      </c>
      <c r="AF8" s="162" t="str">
        <f aca="false">IFERROR(VLOOKUP(AF$2,Rango_Admin_DailyPred,MATCH($F8,Rango_Admin_DailyPred_Primera,0)+1,0),"-")</f>
        <v>-</v>
      </c>
      <c r="AG8" s="162" t="str">
        <f aca="false">IFERROR(VLOOKUP(AG$2,Rango_Admin_DailyPred,MATCH($F8,Rango_Admin_DailyPred_Primera,0)+1,0),"-")</f>
        <v>-</v>
      </c>
      <c r="AH8" s="162" t="str">
        <f aca="false">IFERROR(VLOOKUP(AH$2,Rango_Admin_DailyPred,MATCH($F8,Rango_Admin_DailyPred_Primera,0)+1,0),"-")</f>
        <v>-</v>
      </c>
      <c r="AI8" s="162" t="str">
        <f aca="false">IFERROR(VLOOKUP(AI$2,Rango_Admin_DailyPred,MATCH($F8,Rango_Admin_DailyPred_Primera,0)+1,0),"-")</f>
        <v>-</v>
      </c>
      <c r="AJ8" s="162" t="str">
        <f aca="false">IFERROR(VLOOKUP(AJ$2,Rango_Admin_DailyPred,MATCH($F8,Rango_Admin_DailyPred_Primera,0)+1,0),"-")</f>
        <v>-</v>
      </c>
      <c r="AK8" s="162" t="str">
        <f aca="false">IFERROR(VLOOKUP(AK$2,Rango_Admin_DailyPred,MATCH($F8,Rango_Admin_DailyPred_Primera,0)+1,0),"-")</f>
        <v>-</v>
      </c>
      <c r="AL8" s="162" t="str">
        <f aca="false">IFERROR(VLOOKUP(AL$2,Rango_Admin_DailyPred,MATCH($F8,Rango_Admin_DailyPred_Primera,0)+1,0),"-")</f>
        <v>-</v>
      </c>
      <c r="AM8" s="162" t="str">
        <f aca="false">IFERROR(VLOOKUP(AM$2,Rango_Admin_DailyPred,MATCH($F8,Rango_Admin_DailyPred_Primera,0)+1,0),"-")</f>
        <v>-</v>
      </c>
      <c r="AN8" s="244"/>
    </row>
    <row r="9" customFormat="false" ht="15" hidden="false" customHeight="false" outlineLevel="0" collapsed="false">
      <c r="A9" s="30" t="str">
        <f aca="false" t="array" ref="A9:A9">IFERROR(INDEX(ADMIN!$K$6:$K$258,SMALL(IF(ADMIN!$G$6:$G$258=$K$1,ROW(ADMIN!$G$6:$G$258)-ROW(ADMIN!$G$6)+1),ROWS($A$1:A6))),"")</f>
        <v/>
      </c>
      <c r="B9" s="30" t="str">
        <f aca="false" t="array" ref="B9:B9">IFERROR(IFERROR(INDEX(ADMIN!$K$6:$K$258,SMALL(IF($K$1=ADMIN!$G$6:$G$258,ROW(ADMIN!$K$6:$K$258)-MIN(ROW(ADMIN!$G$6:$G$258))+1,""),ROW()-3)),"")&amp;CHAR(10)&amp;IF(INDEX(ADMIN!$M$6:$M$258,SMALL(IF($K$1=ADMIN!$G$6:$G$258,ROW(ADMIN!$M$6:$M$258)-MIN(ROW(ADMIN!$G$6:$G$258))+1,""),ROW()-3))="0|-",""," ("&amp;INDEX(ADMIN!$M$6:$M$258,SMALL(IF($K$1=ADMIN!$G$6:$G$258,ROW(ADMIN!$M$6:$M$258)-MIN(ROW(ADMIN!$G$6:$G$258))+1,""),ROW()-3))&amp;")"),"")</f>
        <v/>
      </c>
      <c r="C9" s="30" t="n">
        <v>6</v>
      </c>
      <c r="D9" s="463"/>
      <c r="E9" s="479" t="n">
        <f aca="false">IFERROR(HLOOKUP(C9,Rango_Admin_DailyClas,3,FALSE()),"-")</f>
        <v>3</v>
      </c>
      <c r="F9" s="480" t="str">
        <f aca="false">IFERROR(HLOOKUP(C9,Rango_Admin_DailyClas,5,FALSE()),"-")</f>
        <v>JORGE</v>
      </c>
      <c r="G9" s="51" t="n">
        <f aca="false">IFERROR(HLOOKUP(C9,Rango_Admin_DailyClas,4,FALSE()),"-")</f>
        <v>12</v>
      </c>
      <c r="H9" s="162" t="n">
        <f aca="false">IFERROR(VLOOKUP(H$2,Rango_Admin_DailyPred,MATCH($F9,Rango_Admin_DailyPred_Primera,0)+1,0),"-")</f>
        <v>0</v>
      </c>
      <c r="I9" s="162" t="n">
        <f aca="false">IFERROR(VLOOKUP(I$2,Rango_Admin_DailyPred,MATCH($F9,Rango_Admin_DailyPred_Primera,0)+1,0),"-")</f>
        <v>7</v>
      </c>
      <c r="J9" s="162" t="n">
        <f aca="false">IFERROR(VLOOKUP(J$2,Rango_Admin_DailyPred,MATCH($F9,Rango_Admin_DailyPred_Primera,0)+1,0),"-")</f>
        <v>5</v>
      </c>
      <c r="K9" s="162" t="n">
        <f aca="false">IFERROR(VLOOKUP(K$2,Rango_Admin_DailyPred,MATCH($F9,Rango_Admin_DailyPred_Primera,0)+1,0),"-")</f>
        <v>0</v>
      </c>
      <c r="L9" s="162" t="n">
        <f aca="false">IFERROR(VLOOKUP(L$2,Rango_Admin_DailyPred,MATCH($F9,Rango_Admin_DailyPred_Primera,0)+1,0),"-")</f>
        <v>0</v>
      </c>
      <c r="M9" s="162" t="str">
        <f aca="false">IFERROR(VLOOKUP(M$2,Rango_Admin_DailyPred,MATCH($F9,Rango_Admin_DailyPred_Primera,0)+1,0),"-")</f>
        <v>-</v>
      </c>
      <c r="N9" s="162" t="str">
        <f aca="false">IFERROR(VLOOKUP(N$2,Rango_Admin_DailyPred,MATCH($F9,Rango_Admin_DailyPred_Primera,0)+1,0),"-")</f>
        <v>-</v>
      </c>
      <c r="O9" s="162" t="str">
        <f aca="false">IFERROR(VLOOKUP(O$2,Rango_Admin_DailyPred,MATCH($F9,Rango_Admin_DailyPred_Primera,0)+1,0),"-")</f>
        <v>-</v>
      </c>
      <c r="P9" s="162" t="str">
        <f aca="false">IFERROR(VLOOKUP(P$2,Rango_Admin_DailyPred,MATCH($F9,Rango_Admin_DailyPred_Primera,0)+1,0),"-")</f>
        <v>-</v>
      </c>
      <c r="Q9" s="162" t="str">
        <f aca="false">IFERROR(VLOOKUP(Q$2,Rango_Admin_DailyPred,MATCH($F9,Rango_Admin_DailyPred_Primera,0)+1,0),"-")</f>
        <v>-</v>
      </c>
      <c r="R9" s="162" t="str">
        <f aca="false">IFERROR(VLOOKUP(R$2,Rango_Admin_DailyPred,MATCH($F9,Rango_Admin_DailyPred_Primera,0)+1,0),"-")</f>
        <v>-</v>
      </c>
      <c r="S9" s="162" t="str">
        <f aca="false">IFERROR(VLOOKUP(S$2,Rango_Admin_DailyPred,MATCH($F9,Rango_Admin_DailyPred_Primera,0)+1,0),"-")</f>
        <v>-</v>
      </c>
      <c r="T9" s="162" t="str">
        <f aca="false">IFERROR(VLOOKUP(T$2,Rango_Admin_DailyPred,MATCH($F9,Rango_Admin_DailyPred_Primera,0)+1,0),"-")</f>
        <v>-</v>
      </c>
      <c r="U9" s="162" t="str">
        <f aca="false">IFERROR(VLOOKUP(U$2,Rango_Admin_DailyPred,MATCH($F9,Rango_Admin_DailyPred_Primera,0)+1,0),"-")</f>
        <v>-</v>
      </c>
      <c r="V9" s="162" t="str">
        <f aca="false">IFERROR(VLOOKUP(V$2,Rango_Admin_DailyPred,MATCH($F9,Rango_Admin_DailyPred_Primera,0)+1,0),"-")</f>
        <v>-</v>
      </c>
      <c r="W9" s="162" t="str">
        <f aca="false">IFERROR(VLOOKUP(W$2,Rango_Admin_DailyPred,MATCH($F9,Rango_Admin_DailyPred_Primera,0)+1,0),"-")</f>
        <v>-</v>
      </c>
      <c r="X9" s="162" t="str">
        <f aca="false">IFERROR(VLOOKUP(X$2,Rango_Admin_DailyPred,MATCH($F9,Rango_Admin_DailyPred_Primera,0)+1,0),"-")</f>
        <v>-</v>
      </c>
      <c r="Y9" s="162" t="str">
        <f aca="false">IFERROR(VLOOKUP(Y$2,Rango_Admin_DailyPred,MATCH($F9,Rango_Admin_DailyPred_Primera,0)+1,0),"-")</f>
        <v>-</v>
      </c>
      <c r="Z9" s="162" t="str">
        <f aca="false">IFERROR(VLOOKUP(Z$2,Rango_Admin_DailyPred,MATCH($F9,Rango_Admin_DailyPred_Primera,0)+1,0),"-")</f>
        <v>-</v>
      </c>
      <c r="AA9" s="162" t="str">
        <f aca="false">IFERROR(VLOOKUP(AA$2,Rango_Admin_DailyPred,MATCH($F9,Rango_Admin_DailyPred_Primera,0)+1,0),"-")</f>
        <v>-</v>
      </c>
      <c r="AB9" s="162" t="str">
        <f aca="false">IFERROR(VLOOKUP(AB$2,Rango_Admin_DailyPred,MATCH($F9,Rango_Admin_DailyPred_Primera,0)+1,0),"-")</f>
        <v>-</v>
      </c>
      <c r="AC9" s="162" t="str">
        <f aca="false">IFERROR(VLOOKUP(AC$2,Rango_Admin_DailyPred,MATCH($F9,Rango_Admin_DailyPred_Primera,0)+1,0),"-")</f>
        <v>-</v>
      </c>
      <c r="AD9" s="162" t="str">
        <f aca="false">IFERROR(VLOOKUP(AD$2,Rango_Admin_DailyPred,MATCH($F9,Rango_Admin_DailyPred_Primera,0)+1,0),"-")</f>
        <v>-</v>
      </c>
      <c r="AE9" s="162" t="str">
        <f aca="false">IFERROR(VLOOKUP(AE$2,Rango_Admin_DailyPred,MATCH($F9,Rango_Admin_DailyPred_Primera,0)+1,0),"-")</f>
        <v>-</v>
      </c>
      <c r="AF9" s="162" t="str">
        <f aca="false">IFERROR(VLOOKUP(AF$2,Rango_Admin_DailyPred,MATCH($F9,Rango_Admin_DailyPred_Primera,0)+1,0),"-")</f>
        <v>-</v>
      </c>
      <c r="AG9" s="162" t="str">
        <f aca="false">IFERROR(VLOOKUP(AG$2,Rango_Admin_DailyPred,MATCH($F9,Rango_Admin_DailyPred_Primera,0)+1,0),"-")</f>
        <v>-</v>
      </c>
      <c r="AH9" s="162" t="str">
        <f aca="false">IFERROR(VLOOKUP(AH$2,Rango_Admin_DailyPred,MATCH($F9,Rango_Admin_DailyPred_Primera,0)+1,0),"-")</f>
        <v>-</v>
      </c>
      <c r="AI9" s="162" t="str">
        <f aca="false">IFERROR(VLOOKUP(AI$2,Rango_Admin_DailyPred,MATCH($F9,Rango_Admin_DailyPred_Primera,0)+1,0),"-")</f>
        <v>-</v>
      </c>
      <c r="AJ9" s="162" t="str">
        <f aca="false">IFERROR(VLOOKUP(AJ$2,Rango_Admin_DailyPred,MATCH($F9,Rango_Admin_DailyPred_Primera,0)+1,0),"-")</f>
        <v>-</v>
      </c>
      <c r="AK9" s="162" t="str">
        <f aca="false">IFERROR(VLOOKUP(AK$2,Rango_Admin_DailyPred,MATCH($F9,Rango_Admin_DailyPred_Primera,0)+1,0),"-")</f>
        <v>-</v>
      </c>
      <c r="AL9" s="162" t="str">
        <f aca="false">IFERROR(VLOOKUP(AL$2,Rango_Admin_DailyPred,MATCH($F9,Rango_Admin_DailyPred_Primera,0)+1,0),"-")</f>
        <v>-</v>
      </c>
      <c r="AM9" s="162" t="str">
        <f aca="false">IFERROR(VLOOKUP(AM$2,Rango_Admin_DailyPred,MATCH($F9,Rango_Admin_DailyPred_Primera,0)+1,0),"-")</f>
        <v>-</v>
      </c>
      <c r="AN9" s="244"/>
    </row>
    <row r="10" customFormat="false" ht="15" hidden="false" customHeight="false" outlineLevel="0" collapsed="false">
      <c r="A10" s="30" t="str">
        <f aca="false" t="array" ref="A10:A10">IFERROR(INDEX(ADMIN!$K$6:$K$258,SMALL(IF(ADMIN!$G$6:$G$258=$K$1,ROW(ADMIN!$G$6:$G$258)-ROW(ADMIN!$G$6)+1),ROWS($A$1:A7))),"")</f>
        <v/>
      </c>
      <c r="B10" s="30" t="str">
        <f aca="false" t="array" ref="B10:B10">IFERROR(IFERROR(INDEX(ADMIN!$K$6:$K$258,SMALL(IF($K$1=ADMIN!$G$6:$G$258,ROW(ADMIN!$K$6:$K$258)-MIN(ROW(ADMIN!$G$6:$G$258))+1,""),ROW()-3)),"")&amp;CHAR(10)&amp;IF(INDEX(ADMIN!$M$6:$M$258,SMALL(IF($K$1=ADMIN!$G$6:$G$258,ROW(ADMIN!$M$6:$M$258)-MIN(ROW(ADMIN!$G$6:$G$258))+1,""),ROW()-3))="0|-",""," ("&amp;INDEX(ADMIN!$M$6:$M$258,SMALL(IF($K$1=ADMIN!$G$6:$G$258,ROW(ADMIN!$M$6:$M$258)-MIN(ROW(ADMIN!$G$6:$G$258))+1,""),ROW()-3))&amp;")"),"")</f>
        <v/>
      </c>
      <c r="C10" s="30" t="n">
        <v>7</v>
      </c>
      <c r="D10" s="463"/>
      <c r="E10" s="479" t="n">
        <f aca="false">IFERROR(HLOOKUP(C10,Rango_Admin_DailyClas,3,FALSE()),"-")</f>
        <v>3</v>
      </c>
      <c r="F10" s="480" t="str">
        <f aca="false">IFERROR(HLOOKUP(C10,Rango_Admin_DailyClas,5,FALSE()),"-")</f>
        <v>ANDER</v>
      </c>
      <c r="G10" s="51" t="n">
        <f aca="false">IFERROR(HLOOKUP(C10,Rango_Admin_DailyClas,4,FALSE()),"-")</f>
        <v>12</v>
      </c>
      <c r="H10" s="162" t="n">
        <f aca="false">IFERROR(VLOOKUP(H$2,Rango_Admin_DailyPred,MATCH($F10,Rango_Admin_DailyPred_Primera,0)+1,0),"-")</f>
        <v>0</v>
      </c>
      <c r="I10" s="162" t="n">
        <f aca="false">IFERROR(VLOOKUP(I$2,Rango_Admin_DailyPred,MATCH($F10,Rango_Admin_DailyPred_Primera,0)+1,0),"-")</f>
        <v>7</v>
      </c>
      <c r="J10" s="162" t="n">
        <f aca="false">IFERROR(VLOOKUP(J$2,Rango_Admin_DailyPred,MATCH($F10,Rango_Admin_DailyPred_Primera,0)+1,0),"-")</f>
        <v>5</v>
      </c>
      <c r="K10" s="162" t="n">
        <f aca="false">IFERROR(VLOOKUP(K$2,Rango_Admin_DailyPred,MATCH($F10,Rango_Admin_DailyPred_Primera,0)+1,0),"-")</f>
        <v>0</v>
      </c>
      <c r="L10" s="162" t="n">
        <f aca="false">IFERROR(VLOOKUP(L$2,Rango_Admin_DailyPred,MATCH($F10,Rango_Admin_DailyPred_Primera,0)+1,0),"-")</f>
        <v>0</v>
      </c>
      <c r="M10" s="162" t="str">
        <f aca="false">IFERROR(VLOOKUP(M$2,Rango_Admin_DailyPred,MATCH($F10,Rango_Admin_DailyPred_Primera,0)+1,0),"-")</f>
        <v>-</v>
      </c>
      <c r="N10" s="162" t="str">
        <f aca="false">IFERROR(VLOOKUP(N$2,Rango_Admin_DailyPred,MATCH($F10,Rango_Admin_DailyPred_Primera,0)+1,0),"-")</f>
        <v>-</v>
      </c>
      <c r="O10" s="162" t="str">
        <f aca="false">IFERROR(VLOOKUP(O$2,Rango_Admin_DailyPred,MATCH($F10,Rango_Admin_DailyPred_Primera,0)+1,0),"-")</f>
        <v>-</v>
      </c>
      <c r="P10" s="162" t="str">
        <f aca="false">IFERROR(VLOOKUP(P$2,Rango_Admin_DailyPred,MATCH($F10,Rango_Admin_DailyPred_Primera,0)+1,0),"-")</f>
        <v>-</v>
      </c>
      <c r="Q10" s="162" t="str">
        <f aca="false">IFERROR(VLOOKUP(Q$2,Rango_Admin_DailyPred,MATCH($F10,Rango_Admin_DailyPred_Primera,0)+1,0),"-")</f>
        <v>-</v>
      </c>
      <c r="R10" s="162" t="str">
        <f aca="false">IFERROR(VLOOKUP(R$2,Rango_Admin_DailyPred,MATCH($F10,Rango_Admin_DailyPred_Primera,0)+1,0),"-")</f>
        <v>-</v>
      </c>
      <c r="S10" s="162" t="str">
        <f aca="false">IFERROR(VLOOKUP(S$2,Rango_Admin_DailyPred,MATCH($F10,Rango_Admin_DailyPred_Primera,0)+1,0),"-")</f>
        <v>-</v>
      </c>
      <c r="T10" s="162" t="str">
        <f aca="false">IFERROR(VLOOKUP(T$2,Rango_Admin_DailyPred,MATCH($F10,Rango_Admin_DailyPred_Primera,0)+1,0),"-")</f>
        <v>-</v>
      </c>
      <c r="U10" s="162" t="str">
        <f aca="false">IFERROR(VLOOKUP(U$2,Rango_Admin_DailyPred,MATCH($F10,Rango_Admin_DailyPred_Primera,0)+1,0),"-")</f>
        <v>-</v>
      </c>
      <c r="V10" s="162" t="str">
        <f aca="false">IFERROR(VLOOKUP(V$2,Rango_Admin_DailyPred,MATCH($F10,Rango_Admin_DailyPred_Primera,0)+1,0),"-")</f>
        <v>-</v>
      </c>
      <c r="W10" s="162" t="str">
        <f aca="false">IFERROR(VLOOKUP(W$2,Rango_Admin_DailyPred,MATCH($F10,Rango_Admin_DailyPred_Primera,0)+1,0),"-")</f>
        <v>-</v>
      </c>
      <c r="X10" s="162" t="str">
        <f aca="false">IFERROR(VLOOKUP(X$2,Rango_Admin_DailyPred,MATCH($F10,Rango_Admin_DailyPred_Primera,0)+1,0),"-")</f>
        <v>-</v>
      </c>
      <c r="Y10" s="162" t="str">
        <f aca="false">IFERROR(VLOOKUP(Y$2,Rango_Admin_DailyPred,MATCH($F10,Rango_Admin_DailyPred_Primera,0)+1,0),"-")</f>
        <v>-</v>
      </c>
      <c r="Z10" s="162" t="str">
        <f aca="false">IFERROR(VLOOKUP(Z$2,Rango_Admin_DailyPred,MATCH($F10,Rango_Admin_DailyPred_Primera,0)+1,0),"-")</f>
        <v>-</v>
      </c>
      <c r="AA10" s="162" t="str">
        <f aca="false">IFERROR(VLOOKUP(AA$2,Rango_Admin_DailyPred,MATCH($F10,Rango_Admin_DailyPred_Primera,0)+1,0),"-")</f>
        <v>-</v>
      </c>
      <c r="AB10" s="162" t="str">
        <f aca="false">IFERROR(VLOOKUP(AB$2,Rango_Admin_DailyPred,MATCH($F10,Rango_Admin_DailyPred_Primera,0)+1,0),"-")</f>
        <v>-</v>
      </c>
      <c r="AC10" s="162" t="str">
        <f aca="false">IFERROR(VLOOKUP(AC$2,Rango_Admin_DailyPred,MATCH($F10,Rango_Admin_DailyPred_Primera,0)+1,0),"-")</f>
        <v>-</v>
      </c>
      <c r="AD10" s="162" t="str">
        <f aca="false">IFERROR(VLOOKUP(AD$2,Rango_Admin_DailyPred,MATCH($F10,Rango_Admin_DailyPred_Primera,0)+1,0),"-")</f>
        <v>-</v>
      </c>
      <c r="AE10" s="162" t="str">
        <f aca="false">IFERROR(VLOOKUP(AE$2,Rango_Admin_DailyPred,MATCH($F10,Rango_Admin_DailyPred_Primera,0)+1,0),"-")</f>
        <v>-</v>
      </c>
      <c r="AF10" s="162" t="str">
        <f aca="false">IFERROR(VLOOKUP(AF$2,Rango_Admin_DailyPred,MATCH($F10,Rango_Admin_DailyPred_Primera,0)+1,0),"-")</f>
        <v>-</v>
      </c>
      <c r="AG10" s="162" t="str">
        <f aca="false">IFERROR(VLOOKUP(AG$2,Rango_Admin_DailyPred,MATCH($F10,Rango_Admin_DailyPred_Primera,0)+1,0),"-")</f>
        <v>-</v>
      </c>
      <c r="AH10" s="162" t="str">
        <f aca="false">IFERROR(VLOOKUP(AH$2,Rango_Admin_DailyPred,MATCH($F10,Rango_Admin_DailyPred_Primera,0)+1,0),"-")</f>
        <v>-</v>
      </c>
      <c r="AI10" s="162" t="str">
        <f aca="false">IFERROR(VLOOKUP(AI$2,Rango_Admin_DailyPred,MATCH($F10,Rango_Admin_DailyPred_Primera,0)+1,0),"-")</f>
        <v>-</v>
      </c>
      <c r="AJ10" s="162" t="str">
        <f aca="false">IFERROR(VLOOKUP(AJ$2,Rango_Admin_DailyPred,MATCH($F10,Rango_Admin_DailyPred_Primera,0)+1,0),"-")</f>
        <v>-</v>
      </c>
      <c r="AK10" s="162" t="str">
        <f aca="false">IFERROR(VLOOKUP(AK$2,Rango_Admin_DailyPred,MATCH($F10,Rango_Admin_DailyPred_Primera,0)+1,0),"-")</f>
        <v>-</v>
      </c>
      <c r="AL10" s="162" t="str">
        <f aca="false">IFERROR(VLOOKUP(AL$2,Rango_Admin_DailyPred,MATCH($F10,Rango_Admin_DailyPred_Primera,0)+1,0),"-")</f>
        <v>-</v>
      </c>
      <c r="AM10" s="162" t="str">
        <f aca="false">IFERROR(VLOOKUP(AM$2,Rango_Admin_DailyPred,MATCH($F10,Rango_Admin_DailyPred_Primera,0)+1,0),"-")</f>
        <v>-</v>
      </c>
      <c r="AN10" s="244"/>
    </row>
    <row r="11" customFormat="false" ht="15" hidden="false" customHeight="false" outlineLevel="0" collapsed="false">
      <c r="A11" s="30" t="str">
        <f aca="false" t="array" ref="A11:A11">IFERROR(INDEX(ADMIN!$K$6:$K$258,SMALL(IF(ADMIN!$G$6:$G$258=$K$1,ROW(ADMIN!$G$6:$G$258)-ROW(ADMIN!$G$6)+1),ROWS($A$1:A8))),"")</f>
        <v/>
      </c>
      <c r="B11" s="30" t="str">
        <f aca="false" t="array" ref="B11:B11">IFERROR(IFERROR(INDEX(ADMIN!$K$6:$K$258,SMALL(IF($K$1=ADMIN!$G$6:$G$258,ROW(ADMIN!$K$6:$K$258)-MIN(ROW(ADMIN!$G$6:$G$258))+1,""),ROW()-3)),"")&amp;CHAR(10)&amp;IF(INDEX(ADMIN!$M$6:$M$258,SMALL(IF($K$1=ADMIN!$G$6:$G$258,ROW(ADMIN!$M$6:$M$258)-MIN(ROW(ADMIN!$G$6:$G$258))+1,""),ROW()-3))="0|-",""," ("&amp;INDEX(ADMIN!$M$6:$M$258,SMALL(IF($K$1=ADMIN!$G$6:$G$258,ROW(ADMIN!$M$6:$M$258)-MIN(ROW(ADMIN!$G$6:$G$258))+1,""),ROW()-3))&amp;")"),"")</f>
        <v/>
      </c>
      <c r="C11" s="30" t="n">
        <v>8</v>
      </c>
      <c r="D11" s="463"/>
      <c r="E11" s="479" t="n">
        <f aca="false">IFERROR(HLOOKUP(C11,Rango_Admin_DailyClas,3,FALSE()),"-")</f>
        <v>3</v>
      </c>
      <c r="F11" s="480" t="str">
        <f aca="false">IFERROR(HLOOKUP(C11,Rango_Admin_DailyClas,5,FALSE()),"-")</f>
        <v>PEIO</v>
      </c>
      <c r="G11" s="51" t="n">
        <f aca="false">IFERROR(HLOOKUP(C11,Rango_Admin_DailyClas,4,FALSE()),"-")</f>
        <v>12</v>
      </c>
      <c r="H11" s="162" t="n">
        <f aca="false">IFERROR(VLOOKUP(H$2,Rango_Admin_DailyPred,MATCH($F11,Rango_Admin_DailyPred_Primera,0)+1,0),"-")</f>
        <v>7</v>
      </c>
      <c r="I11" s="162" t="n">
        <f aca="false">IFERROR(VLOOKUP(I$2,Rango_Admin_DailyPred,MATCH($F11,Rango_Admin_DailyPred_Primera,0)+1,0),"-")</f>
        <v>0</v>
      </c>
      <c r="J11" s="162" t="n">
        <f aca="false">IFERROR(VLOOKUP(J$2,Rango_Admin_DailyPred,MATCH($F11,Rango_Admin_DailyPred_Primera,0)+1,0),"-")</f>
        <v>5</v>
      </c>
      <c r="K11" s="162" t="n">
        <f aca="false">IFERROR(VLOOKUP(K$2,Rango_Admin_DailyPred,MATCH($F11,Rango_Admin_DailyPred_Primera,0)+1,0),"-")</f>
        <v>0</v>
      </c>
      <c r="L11" s="162" t="n">
        <f aca="false">IFERROR(VLOOKUP(L$2,Rango_Admin_DailyPred,MATCH($F11,Rango_Admin_DailyPred_Primera,0)+1,0),"-")</f>
        <v>0</v>
      </c>
      <c r="M11" s="162" t="str">
        <f aca="false">IFERROR(VLOOKUP(M$2,Rango_Admin_DailyPred,MATCH($F11,Rango_Admin_DailyPred_Primera,0)+1,0),"-")</f>
        <v>-</v>
      </c>
      <c r="N11" s="162" t="str">
        <f aca="false">IFERROR(VLOOKUP(N$2,Rango_Admin_DailyPred,MATCH($F11,Rango_Admin_DailyPred_Primera,0)+1,0),"-")</f>
        <v>-</v>
      </c>
      <c r="O11" s="162" t="str">
        <f aca="false">IFERROR(VLOOKUP(O$2,Rango_Admin_DailyPred,MATCH($F11,Rango_Admin_DailyPred_Primera,0)+1,0),"-")</f>
        <v>-</v>
      </c>
      <c r="P11" s="162" t="str">
        <f aca="false">IFERROR(VLOOKUP(P$2,Rango_Admin_DailyPred,MATCH($F11,Rango_Admin_DailyPred_Primera,0)+1,0),"-")</f>
        <v>-</v>
      </c>
      <c r="Q11" s="162" t="str">
        <f aca="false">IFERROR(VLOOKUP(Q$2,Rango_Admin_DailyPred,MATCH($F11,Rango_Admin_DailyPred_Primera,0)+1,0),"-")</f>
        <v>-</v>
      </c>
      <c r="R11" s="162" t="str">
        <f aca="false">IFERROR(VLOOKUP(R$2,Rango_Admin_DailyPred,MATCH($F11,Rango_Admin_DailyPred_Primera,0)+1,0),"-")</f>
        <v>-</v>
      </c>
      <c r="S11" s="162" t="str">
        <f aca="false">IFERROR(VLOOKUP(S$2,Rango_Admin_DailyPred,MATCH($F11,Rango_Admin_DailyPred_Primera,0)+1,0),"-")</f>
        <v>-</v>
      </c>
      <c r="T11" s="162" t="str">
        <f aca="false">IFERROR(VLOOKUP(T$2,Rango_Admin_DailyPred,MATCH($F11,Rango_Admin_DailyPred_Primera,0)+1,0),"-")</f>
        <v>-</v>
      </c>
      <c r="U11" s="162" t="str">
        <f aca="false">IFERROR(VLOOKUP(U$2,Rango_Admin_DailyPred,MATCH($F11,Rango_Admin_DailyPred_Primera,0)+1,0),"-")</f>
        <v>-</v>
      </c>
      <c r="V11" s="162" t="str">
        <f aca="false">IFERROR(VLOOKUP(V$2,Rango_Admin_DailyPred,MATCH($F11,Rango_Admin_DailyPred_Primera,0)+1,0),"-")</f>
        <v>-</v>
      </c>
      <c r="W11" s="162" t="str">
        <f aca="false">IFERROR(VLOOKUP(W$2,Rango_Admin_DailyPred,MATCH($F11,Rango_Admin_DailyPred_Primera,0)+1,0),"-")</f>
        <v>-</v>
      </c>
      <c r="X11" s="162" t="str">
        <f aca="false">IFERROR(VLOOKUP(X$2,Rango_Admin_DailyPred,MATCH($F11,Rango_Admin_DailyPred_Primera,0)+1,0),"-")</f>
        <v>-</v>
      </c>
      <c r="Y11" s="162" t="str">
        <f aca="false">IFERROR(VLOOKUP(Y$2,Rango_Admin_DailyPred,MATCH($F11,Rango_Admin_DailyPred_Primera,0)+1,0),"-")</f>
        <v>-</v>
      </c>
      <c r="Z11" s="162" t="str">
        <f aca="false">IFERROR(VLOOKUP(Z$2,Rango_Admin_DailyPred,MATCH($F11,Rango_Admin_DailyPred_Primera,0)+1,0),"-")</f>
        <v>-</v>
      </c>
      <c r="AA11" s="162" t="str">
        <f aca="false">IFERROR(VLOOKUP(AA$2,Rango_Admin_DailyPred,MATCH($F11,Rango_Admin_DailyPred_Primera,0)+1,0),"-")</f>
        <v>-</v>
      </c>
      <c r="AB11" s="162" t="str">
        <f aca="false">IFERROR(VLOOKUP(AB$2,Rango_Admin_DailyPred,MATCH($F11,Rango_Admin_DailyPred_Primera,0)+1,0),"-")</f>
        <v>-</v>
      </c>
      <c r="AC11" s="162" t="str">
        <f aca="false">IFERROR(VLOOKUP(AC$2,Rango_Admin_DailyPred,MATCH($F11,Rango_Admin_DailyPred_Primera,0)+1,0),"-")</f>
        <v>-</v>
      </c>
      <c r="AD11" s="162" t="str">
        <f aca="false">IFERROR(VLOOKUP(AD$2,Rango_Admin_DailyPred,MATCH($F11,Rango_Admin_DailyPred_Primera,0)+1,0),"-")</f>
        <v>-</v>
      </c>
      <c r="AE11" s="162" t="str">
        <f aca="false">IFERROR(VLOOKUP(AE$2,Rango_Admin_DailyPred,MATCH($F11,Rango_Admin_DailyPred_Primera,0)+1,0),"-")</f>
        <v>-</v>
      </c>
      <c r="AF11" s="162" t="str">
        <f aca="false">IFERROR(VLOOKUP(AF$2,Rango_Admin_DailyPred,MATCH($F11,Rango_Admin_DailyPred_Primera,0)+1,0),"-")</f>
        <v>-</v>
      </c>
      <c r="AG11" s="162" t="str">
        <f aca="false">IFERROR(VLOOKUP(AG$2,Rango_Admin_DailyPred,MATCH($F11,Rango_Admin_DailyPred_Primera,0)+1,0),"-")</f>
        <v>-</v>
      </c>
      <c r="AH11" s="162" t="str">
        <f aca="false">IFERROR(VLOOKUP(AH$2,Rango_Admin_DailyPred,MATCH($F11,Rango_Admin_DailyPred_Primera,0)+1,0),"-")</f>
        <v>-</v>
      </c>
      <c r="AI11" s="162" t="str">
        <f aca="false">IFERROR(VLOOKUP(AI$2,Rango_Admin_DailyPred,MATCH($F11,Rango_Admin_DailyPred_Primera,0)+1,0),"-")</f>
        <v>-</v>
      </c>
      <c r="AJ11" s="162" t="str">
        <f aca="false">IFERROR(VLOOKUP(AJ$2,Rango_Admin_DailyPred,MATCH($F11,Rango_Admin_DailyPred_Primera,0)+1,0),"-")</f>
        <v>-</v>
      </c>
      <c r="AK11" s="162" t="str">
        <f aca="false">IFERROR(VLOOKUP(AK$2,Rango_Admin_DailyPred,MATCH($F11,Rango_Admin_DailyPred_Primera,0)+1,0),"-")</f>
        <v>-</v>
      </c>
      <c r="AL11" s="162" t="str">
        <f aca="false">IFERROR(VLOOKUP(AL$2,Rango_Admin_DailyPred,MATCH($F11,Rango_Admin_DailyPred_Primera,0)+1,0),"-")</f>
        <v>-</v>
      </c>
      <c r="AM11" s="162" t="str">
        <f aca="false">IFERROR(VLOOKUP(AM$2,Rango_Admin_DailyPred,MATCH($F11,Rango_Admin_DailyPred_Primera,0)+1,0),"-")</f>
        <v>-</v>
      </c>
      <c r="AN11" s="244"/>
    </row>
    <row r="12" customFormat="false" ht="15" hidden="false" customHeight="false" outlineLevel="0" collapsed="false">
      <c r="A12" s="30" t="str">
        <f aca="false" t="array" ref="A12:A12">IFERROR(INDEX(ADMIN!$K$6:$K$258,SMALL(IF(ADMIN!$G$6:$G$258=$K$1,ROW(ADMIN!$G$6:$G$258)-ROW(ADMIN!$G$6)+1),ROWS($A$1:A9))),"")</f>
        <v/>
      </c>
      <c r="B12" s="30" t="str">
        <f aca="false" t="array" ref="B12:B12">IFERROR(IFERROR(INDEX(ADMIN!$K$6:$K$258,SMALL(IF($K$1=ADMIN!$G$6:$G$258,ROW(ADMIN!$K$6:$K$258)-MIN(ROW(ADMIN!$G$6:$G$258))+1,""),ROW()-3)),"")&amp;CHAR(10)&amp;IF(INDEX(ADMIN!$M$6:$M$258,SMALL(IF($K$1=ADMIN!$G$6:$G$258,ROW(ADMIN!$M$6:$M$258)-MIN(ROW(ADMIN!$G$6:$G$258))+1,""),ROW()-3))="0|-",""," ("&amp;INDEX(ADMIN!$M$6:$M$258,SMALL(IF($K$1=ADMIN!$G$6:$G$258,ROW(ADMIN!$M$6:$M$258)-MIN(ROW(ADMIN!$G$6:$G$258))+1,""),ROW()-3))&amp;")"),"")</f>
        <v/>
      </c>
      <c r="C12" s="30" t="n">
        <v>9</v>
      </c>
      <c r="D12" s="463"/>
      <c r="E12" s="479" t="n">
        <f aca="false">IFERROR(HLOOKUP(C12,Rango_Admin_DailyClas,3,FALSE()),"-")</f>
        <v>9</v>
      </c>
      <c r="F12" s="480" t="str">
        <f aca="false">IFERROR(HLOOKUP(C12,Rango_Admin_DailyClas,5,FALSE()),"-")</f>
        <v>SERGIO</v>
      </c>
      <c r="G12" s="51" t="n">
        <f aca="false">IFERROR(HLOOKUP(C12,Rango_Admin_DailyClas,4,FALSE()),"-")</f>
        <v>5</v>
      </c>
      <c r="H12" s="162" t="n">
        <f aca="false">IFERROR(VLOOKUP(H$2,Rango_Admin_DailyPred,MATCH($F12,Rango_Admin_DailyPred_Primera,0)+1,0),"-")</f>
        <v>0</v>
      </c>
      <c r="I12" s="162" t="n">
        <f aca="false">IFERROR(VLOOKUP(I$2,Rango_Admin_DailyPred,MATCH($F12,Rango_Admin_DailyPred_Primera,0)+1,0),"-")</f>
        <v>0</v>
      </c>
      <c r="J12" s="162" t="n">
        <f aca="false">IFERROR(VLOOKUP(J$2,Rango_Admin_DailyPred,MATCH($F12,Rango_Admin_DailyPred_Primera,0)+1,0),"-")</f>
        <v>5</v>
      </c>
      <c r="K12" s="162" t="n">
        <f aca="false">IFERROR(VLOOKUP(K$2,Rango_Admin_DailyPred,MATCH($F12,Rango_Admin_DailyPred_Primera,0)+1,0),"-")</f>
        <v>0</v>
      </c>
      <c r="L12" s="162" t="n">
        <f aca="false">IFERROR(VLOOKUP(L$2,Rango_Admin_DailyPred,MATCH($F12,Rango_Admin_DailyPred_Primera,0)+1,0),"-")</f>
        <v>0</v>
      </c>
      <c r="M12" s="162" t="str">
        <f aca="false">IFERROR(VLOOKUP(M$2,Rango_Admin_DailyPred,MATCH($F12,Rango_Admin_DailyPred_Primera,0)+1,0),"-")</f>
        <v>-</v>
      </c>
      <c r="N12" s="162" t="str">
        <f aca="false">IFERROR(VLOOKUP(N$2,Rango_Admin_DailyPred,MATCH($F12,Rango_Admin_DailyPred_Primera,0)+1,0),"-")</f>
        <v>-</v>
      </c>
      <c r="O12" s="162" t="str">
        <f aca="false">IFERROR(VLOOKUP(O$2,Rango_Admin_DailyPred,MATCH($F12,Rango_Admin_DailyPred_Primera,0)+1,0),"-")</f>
        <v>-</v>
      </c>
      <c r="P12" s="162" t="str">
        <f aca="false">IFERROR(VLOOKUP(P$2,Rango_Admin_DailyPred,MATCH($F12,Rango_Admin_DailyPred_Primera,0)+1,0),"-")</f>
        <v>-</v>
      </c>
      <c r="Q12" s="162" t="str">
        <f aca="false">IFERROR(VLOOKUP(Q$2,Rango_Admin_DailyPred,MATCH($F12,Rango_Admin_DailyPred_Primera,0)+1,0),"-")</f>
        <v>-</v>
      </c>
      <c r="R12" s="162" t="str">
        <f aca="false">IFERROR(VLOOKUP(R$2,Rango_Admin_DailyPred,MATCH($F12,Rango_Admin_DailyPred_Primera,0)+1,0),"-")</f>
        <v>-</v>
      </c>
      <c r="S12" s="162" t="str">
        <f aca="false">IFERROR(VLOOKUP(S$2,Rango_Admin_DailyPred,MATCH($F12,Rango_Admin_DailyPred_Primera,0)+1,0),"-")</f>
        <v>-</v>
      </c>
      <c r="T12" s="162" t="str">
        <f aca="false">IFERROR(VLOOKUP(T$2,Rango_Admin_DailyPred,MATCH($F12,Rango_Admin_DailyPred_Primera,0)+1,0),"-")</f>
        <v>-</v>
      </c>
      <c r="U12" s="162" t="str">
        <f aca="false">IFERROR(VLOOKUP(U$2,Rango_Admin_DailyPred,MATCH($F12,Rango_Admin_DailyPred_Primera,0)+1,0),"-")</f>
        <v>-</v>
      </c>
      <c r="V12" s="162" t="str">
        <f aca="false">IFERROR(VLOOKUP(V$2,Rango_Admin_DailyPred,MATCH($F12,Rango_Admin_DailyPred_Primera,0)+1,0),"-")</f>
        <v>-</v>
      </c>
      <c r="W12" s="162" t="str">
        <f aca="false">IFERROR(VLOOKUP(W$2,Rango_Admin_DailyPred,MATCH($F12,Rango_Admin_DailyPred_Primera,0)+1,0),"-")</f>
        <v>-</v>
      </c>
      <c r="X12" s="162" t="str">
        <f aca="false">IFERROR(VLOOKUP(X$2,Rango_Admin_DailyPred,MATCH($F12,Rango_Admin_DailyPred_Primera,0)+1,0),"-")</f>
        <v>-</v>
      </c>
      <c r="Y12" s="162" t="str">
        <f aca="false">IFERROR(VLOOKUP(Y$2,Rango_Admin_DailyPred,MATCH($F12,Rango_Admin_DailyPred_Primera,0)+1,0),"-")</f>
        <v>-</v>
      </c>
      <c r="Z12" s="162" t="str">
        <f aca="false">IFERROR(VLOOKUP(Z$2,Rango_Admin_DailyPred,MATCH($F12,Rango_Admin_DailyPred_Primera,0)+1,0),"-")</f>
        <v>-</v>
      </c>
      <c r="AA12" s="162" t="str">
        <f aca="false">IFERROR(VLOOKUP(AA$2,Rango_Admin_DailyPred,MATCH($F12,Rango_Admin_DailyPred_Primera,0)+1,0),"-")</f>
        <v>-</v>
      </c>
      <c r="AB12" s="162" t="str">
        <f aca="false">IFERROR(VLOOKUP(AB$2,Rango_Admin_DailyPred,MATCH($F12,Rango_Admin_DailyPred_Primera,0)+1,0),"-")</f>
        <v>-</v>
      </c>
      <c r="AC12" s="162" t="str">
        <f aca="false">IFERROR(VLOOKUP(AC$2,Rango_Admin_DailyPred,MATCH($F12,Rango_Admin_DailyPred_Primera,0)+1,0),"-")</f>
        <v>-</v>
      </c>
      <c r="AD12" s="162" t="str">
        <f aca="false">IFERROR(VLOOKUP(AD$2,Rango_Admin_DailyPred,MATCH($F12,Rango_Admin_DailyPred_Primera,0)+1,0),"-")</f>
        <v>-</v>
      </c>
      <c r="AE12" s="162" t="str">
        <f aca="false">IFERROR(VLOOKUP(AE$2,Rango_Admin_DailyPred,MATCH($F12,Rango_Admin_DailyPred_Primera,0)+1,0),"-")</f>
        <v>-</v>
      </c>
      <c r="AF12" s="162" t="str">
        <f aca="false">IFERROR(VLOOKUP(AF$2,Rango_Admin_DailyPred,MATCH($F12,Rango_Admin_DailyPred_Primera,0)+1,0),"-")</f>
        <v>-</v>
      </c>
      <c r="AG12" s="162" t="str">
        <f aca="false">IFERROR(VLOOKUP(AG$2,Rango_Admin_DailyPred,MATCH($F12,Rango_Admin_DailyPred_Primera,0)+1,0),"-")</f>
        <v>-</v>
      </c>
      <c r="AH12" s="162" t="str">
        <f aca="false">IFERROR(VLOOKUP(AH$2,Rango_Admin_DailyPred,MATCH($F12,Rango_Admin_DailyPred_Primera,0)+1,0),"-")</f>
        <v>-</v>
      </c>
      <c r="AI12" s="162" t="str">
        <f aca="false">IFERROR(VLOOKUP(AI$2,Rango_Admin_DailyPred,MATCH($F12,Rango_Admin_DailyPred_Primera,0)+1,0),"-")</f>
        <v>-</v>
      </c>
      <c r="AJ12" s="162" t="str">
        <f aca="false">IFERROR(VLOOKUP(AJ$2,Rango_Admin_DailyPred,MATCH($F12,Rango_Admin_DailyPred_Primera,0)+1,0),"-")</f>
        <v>-</v>
      </c>
      <c r="AK12" s="162" t="str">
        <f aca="false">IFERROR(VLOOKUP(AK$2,Rango_Admin_DailyPred,MATCH($F12,Rango_Admin_DailyPred_Primera,0)+1,0),"-")</f>
        <v>-</v>
      </c>
      <c r="AL12" s="162" t="str">
        <f aca="false">IFERROR(VLOOKUP(AL$2,Rango_Admin_DailyPred,MATCH($F12,Rango_Admin_DailyPred_Primera,0)+1,0),"-")</f>
        <v>-</v>
      </c>
      <c r="AM12" s="162" t="str">
        <f aca="false">IFERROR(VLOOKUP(AM$2,Rango_Admin_DailyPred,MATCH($F12,Rango_Admin_DailyPred_Primera,0)+1,0),"-")</f>
        <v>-</v>
      </c>
      <c r="AN12" s="244"/>
    </row>
    <row r="13" customFormat="false" ht="15" hidden="false" customHeight="false" outlineLevel="0" collapsed="false">
      <c r="A13" s="30" t="str">
        <f aca="false" t="array" ref="A13:A13">IFERROR(INDEX(ADMIN!$K$6:$K$258,SMALL(IF(ADMIN!$G$6:$G$258=$K$1,ROW(ADMIN!$G$6:$G$258)-ROW(ADMIN!$G$6)+1),ROWS($A$1:A10))),"")</f>
        <v/>
      </c>
      <c r="B13" s="30" t="str">
        <f aca="false" t="array" ref="B13:B13">IFERROR(IFERROR(INDEX(ADMIN!$K$6:$K$258,SMALL(IF($K$1=ADMIN!$G$6:$G$258,ROW(ADMIN!$K$6:$K$258)-MIN(ROW(ADMIN!$G$6:$G$258))+1,""),ROW()-3)),"")&amp;CHAR(10)&amp;IF(INDEX(ADMIN!$M$6:$M$258,SMALL(IF($K$1=ADMIN!$G$6:$G$258,ROW(ADMIN!$M$6:$M$258)-MIN(ROW(ADMIN!$G$6:$G$258))+1,""),ROW()-3))="0|-",""," ("&amp;INDEX(ADMIN!$M$6:$M$258,SMALL(IF($K$1=ADMIN!$G$6:$G$258,ROW(ADMIN!$M$6:$M$258)-MIN(ROW(ADMIN!$G$6:$G$258))+1,""),ROW()-3))&amp;")"),"")</f>
        <v/>
      </c>
      <c r="C13" s="30" t="n">
        <v>10</v>
      </c>
      <c r="D13" s="463"/>
      <c r="E13" s="479" t="n">
        <f aca="false">IFERROR(HLOOKUP(C13,Rango_Admin_DailyClas,3,FALSE()),"-")</f>
        <v>9</v>
      </c>
      <c r="F13" s="480" t="str">
        <f aca="false">IFERROR(HLOOKUP(C13,Rango_Admin_DailyClas,5,FALSE()),"-")</f>
        <v>JUANJO</v>
      </c>
      <c r="G13" s="51" t="n">
        <f aca="false">IFERROR(HLOOKUP(C13,Rango_Admin_DailyClas,4,FALSE()),"-")</f>
        <v>5</v>
      </c>
      <c r="H13" s="162" t="n">
        <f aca="false">IFERROR(VLOOKUP(H$2,Rango_Admin_DailyPred,MATCH($F13,Rango_Admin_DailyPred_Primera,0)+1,0),"-")</f>
        <v>0</v>
      </c>
      <c r="I13" s="162" t="n">
        <f aca="false">IFERROR(VLOOKUP(I$2,Rango_Admin_DailyPred,MATCH($F13,Rango_Admin_DailyPred_Primera,0)+1,0),"-")</f>
        <v>0</v>
      </c>
      <c r="J13" s="162" t="n">
        <f aca="false">IFERROR(VLOOKUP(J$2,Rango_Admin_DailyPred,MATCH($F13,Rango_Admin_DailyPred_Primera,0)+1,0),"-")</f>
        <v>5</v>
      </c>
      <c r="K13" s="162" t="n">
        <f aca="false">IFERROR(VLOOKUP(K$2,Rango_Admin_DailyPred,MATCH($F13,Rango_Admin_DailyPred_Primera,0)+1,0),"-")</f>
        <v>0</v>
      </c>
      <c r="L13" s="162" t="n">
        <f aca="false">IFERROR(VLOOKUP(L$2,Rango_Admin_DailyPred,MATCH($F13,Rango_Admin_DailyPred_Primera,0)+1,0),"-")</f>
        <v>0</v>
      </c>
      <c r="M13" s="162" t="str">
        <f aca="false">IFERROR(VLOOKUP(M$2,Rango_Admin_DailyPred,MATCH($F13,Rango_Admin_DailyPred_Primera,0)+1,0),"-")</f>
        <v>-</v>
      </c>
      <c r="N13" s="162" t="str">
        <f aca="false">IFERROR(VLOOKUP(N$2,Rango_Admin_DailyPred,MATCH($F13,Rango_Admin_DailyPred_Primera,0)+1,0),"-")</f>
        <v>-</v>
      </c>
      <c r="O13" s="162" t="str">
        <f aca="false">IFERROR(VLOOKUP(O$2,Rango_Admin_DailyPred,MATCH($F13,Rango_Admin_DailyPred_Primera,0)+1,0),"-")</f>
        <v>-</v>
      </c>
      <c r="P13" s="162" t="str">
        <f aca="false">IFERROR(VLOOKUP(P$2,Rango_Admin_DailyPred,MATCH($F13,Rango_Admin_DailyPred_Primera,0)+1,0),"-")</f>
        <v>-</v>
      </c>
      <c r="Q13" s="162" t="str">
        <f aca="false">IFERROR(VLOOKUP(Q$2,Rango_Admin_DailyPred,MATCH($F13,Rango_Admin_DailyPred_Primera,0)+1,0),"-")</f>
        <v>-</v>
      </c>
      <c r="R13" s="162" t="str">
        <f aca="false">IFERROR(VLOOKUP(R$2,Rango_Admin_DailyPred,MATCH($F13,Rango_Admin_DailyPred_Primera,0)+1,0),"-")</f>
        <v>-</v>
      </c>
      <c r="S13" s="162" t="str">
        <f aca="false">IFERROR(VLOOKUP(S$2,Rango_Admin_DailyPred,MATCH($F13,Rango_Admin_DailyPred_Primera,0)+1,0),"-")</f>
        <v>-</v>
      </c>
      <c r="T13" s="162" t="str">
        <f aca="false">IFERROR(VLOOKUP(T$2,Rango_Admin_DailyPred,MATCH($F13,Rango_Admin_DailyPred_Primera,0)+1,0),"-")</f>
        <v>-</v>
      </c>
      <c r="U13" s="162" t="str">
        <f aca="false">IFERROR(VLOOKUP(U$2,Rango_Admin_DailyPred,MATCH($F13,Rango_Admin_DailyPred_Primera,0)+1,0),"-")</f>
        <v>-</v>
      </c>
      <c r="V13" s="162" t="str">
        <f aca="false">IFERROR(VLOOKUP(V$2,Rango_Admin_DailyPred,MATCH($F13,Rango_Admin_DailyPred_Primera,0)+1,0),"-")</f>
        <v>-</v>
      </c>
      <c r="W13" s="162" t="str">
        <f aca="false">IFERROR(VLOOKUP(W$2,Rango_Admin_DailyPred,MATCH($F13,Rango_Admin_DailyPred_Primera,0)+1,0),"-")</f>
        <v>-</v>
      </c>
      <c r="X13" s="162" t="str">
        <f aca="false">IFERROR(VLOOKUP(X$2,Rango_Admin_DailyPred,MATCH($F13,Rango_Admin_DailyPred_Primera,0)+1,0),"-")</f>
        <v>-</v>
      </c>
      <c r="Y13" s="162" t="str">
        <f aca="false">IFERROR(VLOOKUP(Y$2,Rango_Admin_DailyPred,MATCH($F13,Rango_Admin_DailyPred_Primera,0)+1,0),"-")</f>
        <v>-</v>
      </c>
      <c r="Z13" s="162" t="str">
        <f aca="false">IFERROR(VLOOKUP(Z$2,Rango_Admin_DailyPred,MATCH($F13,Rango_Admin_DailyPred_Primera,0)+1,0),"-")</f>
        <v>-</v>
      </c>
      <c r="AA13" s="162" t="str">
        <f aca="false">IFERROR(VLOOKUP(AA$2,Rango_Admin_DailyPred,MATCH($F13,Rango_Admin_DailyPred_Primera,0)+1,0),"-")</f>
        <v>-</v>
      </c>
      <c r="AB13" s="162" t="str">
        <f aca="false">IFERROR(VLOOKUP(AB$2,Rango_Admin_DailyPred,MATCH($F13,Rango_Admin_DailyPred_Primera,0)+1,0),"-")</f>
        <v>-</v>
      </c>
      <c r="AC13" s="162" t="str">
        <f aca="false">IFERROR(VLOOKUP(AC$2,Rango_Admin_DailyPred,MATCH($F13,Rango_Admin_DailyPred_Primera,0)+1,0),"-")</f>
        <v>-</v>
      </c>
      <c r="AD13" s="162" t="str">
        <f aca="false">IFERROR(VLOOKUP(AD$2,Rango_Admin_DailyPred,MATCH($F13,Rango_Admin_DailyPred_Primera,0)+1,0),"-")</f>
        <v>-</v>
      </c>
      <c r="AE13" s="162" t="str">
        <f aca="false">IFERROR(VLOOKUP(AE$2,Rango_Admin_DailyPred,MATCH($F13,Rango_Admin_DailyPred_Primera,0)+1,0),"-")</f>
        <v>-</v>
      </c>
      <c r="AF13" s="162" t="str">
        <f aca="false">IFERROR(VLOOKUP(AF$2,Rango_Admin_DailyPred,MATCH($F13,Rango_Admin_DailyPred_Primera,0)+1,0),"-")</f>
        <v>-</v>
      </c>
      <c r="AG13" s="162" t="str">
        <f aca="false">IFERROR(VLOOKUP(AG$2,Rango_Admin_DailyPred,MATCH($F13,Rango_Admin_DailyPred_Primera,0)+1,0),"-")</f>
        <v>-</v>
      </c>
      <c r="AH13" s="162" t="str">
        <f aca="false">IFERROR(VLOOKUP(AH$2,Rango_Admin_DailyPred,MATCH($F13,Rango_Admin_DailyPred_Primera,0)+1,0),"-")</f>
        <v>-</v>
      </c>
      <c r="AI13" s="162" t="str">
        <f aca="false">IFERROR(VLOOKUP(AI$2,Rango_Admin_DailyPred,MATCH($F13,Rango_Admin_DailyPred_Primera,0)+1,0),"-")</f>
        <v>-</v>
      </c>
      <c r="AJ13" s="162" t="str">
        <f aca="false">IFERROR(VLOOKUP(AJ$2,Rango_Admin_DailyPred,MATCH($F13,Rango_Admin_DailyPred_Primera,0)+1,0),"-")</f>
        <v>-</v>
      </c>
      <c r="AK13" s="162" t="str">
        <f aca="false">IFERROR(VLOOKUP(AK$2,Rango_Admin_DailyPred,MATCH($F13,Rango_Admin_DailyPred_Primera,0)+1,0),"-")</f>
        <v>-</v>
      </c>
      <c r="AL13" s="162" t="str">
        <f aca="false">IFERROR(VLOOKUP(AL$2,Rango_Admin_DailyPred,MATCH($F13,Rango_Admin_DailyPred_Primera,0)+1,0),"-")</f>
        <v>-</v>
      </c>
      <c r="AM13" s="162" t="str">
        <f aca="false">IFERROR(VLOOKUP(AM$2,Rango_Admin_DailyPred,MATCH($F13,Rango_Admin_DailyPred_Primera,0)+1,0),"-")</f>
        <v>-</v>
      </c>
      <c r="AN13" s="244"/>
    </row>
    <row r="14" customFormat="false" ht="15" hidden="false" customHeight="false" outlineLevel="0" collapsed="false">
      <c r="A14" s="30" t="str">
        <f aca="false" t="array" ref="A14:A14">IFERROR(INDEX(ADMIN!$K$6:$K$258,SMALL(IF(ADMIN!$G$6:$G$258=$K$1,ROW(ADMIN!$G$6:$G$258)-ROW(ADMIN!$G$6)+1),ROWS($A$1:A11))),"")</f>
        <v/>
      </c>
      <c r="B14" s="30" t="str">
        <f aca="false" t="array" ref="B14:B14">IFERROR(IFERROR(INDEX(ADMIN!$K$6:$K$258,SMALL(IF($K$1=ADMIN!$G$6:$G$258,ROW(ADMIN!$K$6:$K$258)-MIN(ROW(ADMIN!$G$6:$G$258))+1,""),ROW()-3)),"")&amp;CHAR(10)&amp;IF(INDEX(ADMIN!$M$6:$M$258,SMALL(IF($K$1=ADMIN!$G$6:$G$258,ROW(ADMIN!$M$6:$M$258)-MIN(ROW(ADMIN!$G$6:$G$258))+1,""),ROW()-3))="0|-",""," ("&amp;INDEX(ADMIN!$M$6:$M$258,SMALL(IF($K$1=ADMIN!$G$6:$G$258,ROW(ADMIN!$M$6:$M$258)-MIN(ROW(ADMIN!$G$6:$G$258))+1,""),ROW()-3))&amp;")"),"")</f>
        <v/>
      </c>
      <c r="C14" s="30" t="n">
        <v>11</v>
      </c>
      <c r="D14" s="463"/>
      <c r="E14" s="479" t="n">
        <f aca="false">IFERROR(HLOOKUP(C14,Rango_Admin_DailyClas,3,FALSE()),"-")</f>
        <v>9</v>
      </c>
      <c r="F14" s="480" t="str">
        <f aca="false">IFERROR(HLOOKUP(C14,Rango_Admin_DailyClas,5,FALSE()),"-")</f>
        <v>GARBAN</v>
      </c>
      <c r="G14" s="51" t="n">
        <f aca="false">IFERROR(HLOOKUP(C14,Rango_Admin_DailyClas,4,FALSE()),"-")</f>
        <v>5</v>
      </c>
      <c r="H14" s="162" t="n">
        <f aca="false">IFERROR(VLOOKUP(H$2,Rango_Admin_DailyPred,MATCH($F14,Rango_Admin_DailyPred_Primera,0)+1,0),"-")</f>
        <v>0</v>
      </c>
      <c r="I14" s="162" t="n">
        <f aca="false">IFERROR(VLOOKUP(I$2,Rango_Admin_DailyPred,MATCH($F14,Rango_Admin_DailyPred_Primera,0)+1,0),"-")</f>
        <v>0</v>
      </c>
      <c r="J14" s="162" t="n">
        <f aca="false">IFERROR(VLOOKUP(J$2,Rango_Admin_DailyPred,MATCH($F14,Rango_Admin_DailyPred_Primera,0)+1,0),"-")</f>
        <v>5</v>
      </c>
      <c r="K14" s="162" t="n">
        <f aca="false">IFERROR(VLOOKUP(K$2,Rango_Admin_DailyPred,MATCH($F14,Rango_Admin_DailyPred_Primera,0)+1,0),"-")</f>
        <v>0</v>
      </c>
      <c r="L14" s="162" t="n">
        <f aca="false">IFERROR(VLOOKUP(L$2,Rango_Admin_DailyPred,MATCH($F14,Rango_Admin_DailyPred_Primera,0)+1,0),"-")</f>
        <v>0</v>
      </c>
      <c r="M14" s="162" t="str">
        <f aca="false">IFERROR(VLOOKUP(M$2,Rango_Admin_DailyPred,MATCH($F14,Rango_Admin_DailyPred_Primera,0)+1,0),"-")</f>
        <v>-</v>
      </c>
      <c r="N14" s="162" t="str">
        <f aca="false">IFERROR(VLOOKUP(N$2,Rango_Admin_DailyPred,MATCH($F14,Rango_Admin_DailyPred_Primera,0)+1,0),"-")</f>
        <v>-</v>
      </c>
      <c r="O14" s="162" t="str">
        <f aca="false">IFERROR(VLOOKUP(O$2,Rango_Admin_DailyPred,MATCH($F14,Rango_Admin_DailyPred_Primera,0)+1,0),"-")</f>
        <v>-</v>
      </c>
      <c r="P14" s="162" t="str">
        <f aca="false">IFERROR(VLOOKUP(P$2,Rango_Admin_DailyPred,MATCH($F14,Rango_Admin_DailyPred_Primera,0)+1,0),"-")</f>
        <v>-</v>
      </c>
      <c r="Q14" s="162" t="str">
        <f aca="false">IFERROR(VLOOKUP(Q$2,Rango_Admin_DailyPred,MATCH($F14,Rango_Admin_DailyPred_Primera,0)+1,0),"-")</f>
        <v>-</v>
      </c>
      <c r="R14" s="162" t="str">
        <f aca="false">IFERROR(VLOOKUP(R$2,Rango_Admin_DailyPred,MATCH($F14,Rango_Admin_DailyPred_Primera,0)+1,0),"-")</f>
        <v>-</v>
      </c>
      <c r="S14" s="162" t="str">
        <f aca="false">IFERROR(VLOOKUP(S$2,Rango_Admin_DailyPred,MATCH($F14,Rango_Admin_DailyPred_Primera,0)+1,0),"-")</f>
        <v>-</v>
      </c>
      <c r="T14" s="162" t="str">
        <f aca="false">IFERROR(VLOOKUP(T$2,Rango_Admin_DailyPred,MATCH($F14,Rango_Admin_DailyPred_Primera,0)+1,0),"-")</f>
        <v>-</v>
      </c>
      <c r="U14" s="162" t="str">
        <f aca="false">IFERROR(VLOOKUP(U$2,Rango_Admin_DailyPred,MATCH($F14,Rango_Admin_DailyPred_Primera,0)+1,0),"-")</f>
        <v>-</v>
      </c>
      <c r="V14" s="162" t="str">
        <f aca="false">IFERROR(VLOOKUP(V$2,Rango_Admin_DailyPred,MATCH($F14,Rango_Admin_DailyPred_Primera,0)+1,0),"-")</f>
        <v>-</v>
      </c>
      <c r="W14" s="162" t="str">
        <f aca="false">IFERROR(VLOOKUP(W$2,Rango_Admin_DailyPred,MATCH($F14,Rango_Admin_DailyPred_Primera,0)+1,0),"-")</f>
        <v>-</v>
      </c>
      <c r="X14" s="162" t="str">
        <f aca="false">IFERROR(VLOOKUP(X$2,Rango_Admin_DailyPred,MATCH($F14,Rango_Admin_DailyPred_Primera,0)+1,0),"-")</f>
        <v>-</v>
      </c>
      <c r="Y14" s="162" t="str">
        <f aca="false">IFERROR(VLOOKUP(Y$2,Rango_Admin_DailyPred,MATCH($F14,Rango_Admin_DailyPred_Primera,0)+1,0),"-")</f>
        <v>-</v>
      </c>
      <c r="Z14" s="162" t="str">
        <f aca="false">IFERROR(VLOOKUP(Z$2,Rango_Admin_DailyPred,MATCH($F14,Rango_Admin_DailyPred_Primera,0)+1,0),"-")</f>
        <v>-</v>
      </c>
      <c r="AA14" s="162" t="str">
        <f aca="false">IFERROR(VLOOKUP(AA$2,Rango_Admin_DailyPred,MATCH($F14,Rango_Admin_DailyPred_Primera,0)+1,0),"-")</f>
        <v>-</v>
      </c>
      <c r="AB14" s="162" t="str">
        <f aca="false">IFERROR(VLOOKUP(AB$2,Rango_Admin_DailyPred,MATCH($F14,Rango_Admin_DailyPred_Primera,0)+1,0),"-")</f>
        <v>-</v>
      </c>
      <c r="AC14" s="162" t="str">
        <f aca="false">IFERROR(VLOOKUP(AC$2,Rango_Admin_DailyPred,MATCH($F14,Rango_Admin_DailyPred_Primera,0)+1,0),"-")</f>
        <v>-</v>
      </c>
      <c r="AD14" s="162" t="str">
        <f aca="false">IFERROR(VLOOKUP(AD$2,Rango_Admin_DailyPred,MATCH($F14,Rango_Admin_DailyPred_Primera,0)+1,0),"-")</f>
        <v>-</v>
      </c>
      <c r="AE14" s="162" t="str">
        <f aca="false">IFERROR(VLOOKUP(AE$2,Rango_Admin_DailyPred,MATCH($F14,Rango_Admin_DailyPred_Primera,0)+1,0),"-")</f>
        <v>-</v>
      </c>
      <c r="AF14" s="162" t="str">
        <f aca="false">IFERROR(VLOOKUP(AF$2,Rango_Admin_DailyPred,MATCH($F14,Rango_Admin_DailyPred_Primera,0)+1,0),"-")</f>
        <v>-</v>
      </c>
      <c r="AG14" s="162" t="str">
        <f aca="false">IFERROR(VLOOKUP(AG$2,Rango_Admin_DailyPred,MATCH($F14,Rango_Admin_DailyPred_Primera,0)+1,0),"-")</f>
        <v>-</v>
      </c>
      <c r="AH14" s="162" t="str">
        <f aca="false">IFERROR(VLOOKUP(AH$2,Rango_Admin_DailyPred,MATCH($F14,Rango_Admin_DailyPred_Primera,0)+1,0),"-")</f>
        <v>-</v>
      </c>
      <c r="AI14" s="162" t="str">
        <f aca="false">IFERROR(VLOOKUP(AI$2,Rango_Admin_DailyPred,MATCH($F14,Rango_Admin_DailyPred_Primera,0)+1,0),"-")</f>
        <v>-</v>
      </c>
      <c r="AJ14" s="162" t="str">
        <f aca="false">IFERROR(VLOOKUP(AJ$2,Rango_Admin_DailyPred,MATCH($F14,Rango_Admin_DailyPred_Primera,0)+1,0),"-")</f>
        <v>-</v>
      </c>
      <c r="AK14" s="162" t="str">
        <f aca="false">IFERROR(VLOOKUP(AK$2,Rango_Admin_DailyPred,MATCH($F14,Rango_Admin_DailyPred_Primera,0)+1,0),"-")</f>
        <v>-</v>
      </c>
      <c r="AL14" s="162" t="str">
        <f aca="false">IFERROR(VLOOKUP(AL$2,Rango_Admin_DailyPred,MATCH($F14,Rango_Admin_DailyPred_Primera,0)+1,0),"-")</f>
        <v>-</v>
      </c>
      <c r="AM14" s="162" t="str">
        <f aca="false">IFERROR(VLOOKUP(AM$2,Rango_Admin_DailyPred,MATCH($F14,Rango_Admin_DailyPred_Primera,0)+1,0),"-")</f>
        <v>-</v>
      </c>
      <c r="AN14" s="244"/>
    </row>
    <row r="15" customFormat="false" ht="15" hidden="false" customHeight="false" outlineLevel="0" collapsed="false">
      <c r="A15" s="30" t="str">
        <f aca="false" t="array" ref="A15:A15">IFERROR(INDEX(ADMIN!$K$6:$K$258,SMALL(IF(ADMIN!$G$6:$G$258=$K$1,ROW(ADMIN!$G$6:$G$258)-ROW(ADMIN!$G$6)+1),ROWS($A$1:A12))),"")</f>
        <v/>
      </c>
      <c r="B15" s="30" t="str">
        <f aca="false" t="array" ref="B15:B15">IFERROR(IFERROR(INDEX(ADMIN!$K$6:$K$258,SMALL(IF($K$1=ADMIN!$G$6:$G$258,ROW(ADMIN!$K$6:$K$258)-MIN(ROW(ADMIN!$G$6:$G$258))+1,""),ROW()-3)),"")&amp;CHAR(10)&amp;IF(INDEX(ADMIN!$M$6:$M$258,SMALL(IF($K$1=ADMIN!$G$6:$G$258,ROW(ADMIN!$M$6:$M$258)-MIN(ROW(ADMIN!$G$6:$G$258))+1,""),ROW()-3))="0|-",""," ("&amp;INDEX(ADMIN!$M$6:$M$258,SMALL(IF($K$1=ADMIN!$G$6:$G$258,ROW(ADMIN!$M$6:$M$258)-MIN(ROW(ADMIN!$G$6:$G$258))+1,""),ROW()-3))&amp;")"),"")</f>
        <v/>
      </c>
      <c r="C15" s="30" t="n">
        <v>12</v>
      </c>
      <c r="D15" s="463"/>
      <c r="E15" s="479" t="n">
        <f aca="false">IFERROR(HLOOKUP(C15,Rango_Admin_DailyClas,3,FALSE()),"-")</f>
        <v>9</v>
      </c>
      <c r="F15" s="480" t="str">
        <f aca="false">IFERROR(HLOOKUP(C15,Rango_Admin_DailyClas,5,FALSE()),"-")</f>
        <v>BORJA</v>
      </c>
      <c r="G15" s="51" t="n">
        <f aca="false">IFERROR(HLOOKUP(C15,Rango_Admin_DailyClas,4,FALSE()),"-")</f>
        <v>5</v>
      </c>
      <c r="H15" s="162" t="n">
        <f aca="false">IFERROR(VLOOKUP(H$2,Rango_Admin_DailyPred,MATCH($F15,Rango_Admin_DailyPred_Primera,0)+1,0),"-")</f>
        <v>0</v>
      </c>
      <c r="I15" s="162" t="n">
        <f aca="false">IFERROR(VLOOKUP(I$2,Rango_Admin_DailyPred,MATCH($F15,Rango_Admin_DailyPred_Primera,0)+1,0),"-")</f>
        <v>0</v>
      </c>
      <c r="J15" s="162" t="n">
        <f aca="false">IFERROR(VLOOKUP(J$2,Rango_Admin_DailyPred,MATCH($F15,Rango_Admin_DailyPred_Primera,0)+1,0),"-")</f>
        <v>5</v>
      </c>
      <c r="K15" s="162" t="n">
        <f aca="false">IFERROR(VLOOKUP(K$2,Rango_Admin_DailyPred,MATCH($F15,Rango_Admin_DailyPred_Primera,0)+1,0),"-")</f>
        <v>0</v>
      </c>
      <c r="L15" s="162" t="n">
        <f aca="false">IFERROR(VLOOKUP(L$2,Rango_Admin_DailyPred,MATCH($F15,Rango_Admin_DailyPred_Primera,0)+1,0),"-")</f>
        <v>0</v>
      </c>
      <c r="M15" s="162" t="str">
        <f aca="false">IFERROR(VLOOKUP(M$2,Rango_Admin_DailyPred,MATCH($F15,Rango_Admin_DailyPred_Primera,0)+1,0),"-")</f>
        <v>-</v>
      </c>
      <c r="N15" s="162" t="str">
        <f aca="false">IFERROR(VLOOKUP(N$2,Rango_Admin_DailyPred,MATCH($F15,Rango_Admin_DailyPred_Primera,0)+1,0),"-")</f>
        <v>-</v>
      </c>
      <c r="O15" s="162" t="str">
        <f aca="false">IFERROR(VLOOKUP(O$2,Rango_Admin_DailyPred,MATCH($F15,Rango_Admin_DailyPred_Primera,0)+1,0),"-")</f>
        <v>-</v>
      </c>
      <c r="P15" s="162" t="str">
        <f aca="false">IFERROR(VLOOKUP(P$2,Rango_Admin_DailyPred,MATCH($F15,Rango_Admin_DailyPred_Primera,0)+1,0),"-")</f>
        <v>-</v>
      </c>
      <c r="Q15" s="162" t="str">
        <f aca="false">IFERROR(VLOOKUP(Q$2,Rango_Admin_DailyPred,MATCH($F15,Rango_Admin_DailyPred_Primera,0)+1,0),"-")</f>
        <v>-</v>
      </c>
      <c r="R15" s="162" t="str">
        <f aca="false">IFERROR(VLOOKUP(R$2,Rango_Admin_DailyPred,MATCH($F15,Rango_Admin_DailyPred_Primera,0)+1,0),"-")</f>
        <v>-</v>
      </c>
      <c r="S15" s="162" t="str">
        <f aca="false">IFERROR(VLOOKUP(S$2,Rango_Admin_DailyPred,MATCH($F15,Rango_Admin_DailyPred_Primera,0)+1,0),"-")</f>
        <v>-</v>
      </c>
      <c r="T15" s="162" t="str">
        <f aca="false">IFERROR(VLOOKUP(T$2,Rango_Admin_DailyPred,MATCH($F15,Rango_Admin_DailyPred_Primera,0)+1,0),"-")</f>
        <v>-</v>
      </c>
      <c r="U15" s="162" t="str">
        <f aca="false">IFERROR(VLOOKUP(U$2,Rango_Admin_DailyPred,MATCH($F15,Rango_Admin_DailyPred_Primera,0)+1,0),"-")</f>
        <v>-</v>
      </c>
      <c r="V15" s="162" t="str">
        <f aca="false">IFERROR(VLOOKUP(V$2,Rango_Admin_DailyPred,MATCH($F15,Rango_Admin_DailyPred_Primera,0)+1,0),"-")</f>
        <v>-</v>
      </c>
      <c r="W15" s="162" t="str">
        <f aca="false">IFERROR(VLOOKUP(W$2,Rango_Admin_DailyPred,MATCH($F15,Rango_Admin_DailyPred_Primera,0)+1,0),"-")</f>
        <v>-</v>
      </c>
      <c r="X15" s="162" t="str">
        <f aca="false">IFERROR(VLOOKUP(X$2,Rango_Admin_DailyPred,MATCH($F15,Rango_Admin_DailyPred_Primera,0)+1,0),"-")</f>
        <v>-</v>
      </c>
      <c r="Y15" s="162" t="str">
        <f aca="false">IFERROR(VLOOKUP(Y$2,Rango_Admin_DailyPred,MATCH($F15,Rango_Admin_DailyPred_Primera,0)+1,0),"-")</f>
        <v>-</v>
      </c>
      <c r="Z15" s="162" t="str">
        <f aca="false">IFERROR(VLOOKUP(Z$2,Rango_Admin_DailyPred,MATCH($F15,Rango_Admin_DailyPred_Primera,0)+1,0),"-")</f>
        <v>-</v>
      </c>
      <c r="AA15" s="162" t="str">
        <f aca="false">IFERROR(VLOOKUP(AA$2,Rango_Admin_DailyPred,MATCH($F15,Rango_Admin_DailyPred_Primera,0)+1,0),"-")</f>
        <v>-</v>
      </c>
      <c r="AB15" s="162" t="str">
        <f aca="false">IFERROR(VLOOKUP(AB$2,Rango_Admin_DailyPred,MATCH($F15,Rango_Admin_DailyPred_Primera,0)+1,0),"-")</f>
        <v>-</v>
      </c>
      <c r="AC15" s="162" t="str">
        <f aca="false">IFERROR(VLOOKUP(AC$2,Rango_Admin_DailyPred,MATCH($F15,Rango_Admin_DailyPred_Primera,0)+1,0),"-")</f>
        <v>-</v>
      </c>
      <c r="AD15" s="162" t="str">
        <f aca="false">IFERROR(VLOOKUP(AD$2,Rango_Admin_DailyPred,MATCH($F15,Rango_Admin_DailyPred_Primera,0)+1,0),"-")</f>
        <v>-</v>
      </c>
      <c r="AE15" s="162" t="str">
        <f aca="false">IFERROR(VLOOKUP(AE$2,Rango_Admin_DailyPred,MATCH($F15,Rango_Admin_DailyPred_Primera,0)+1,0),"-")</f>
        <v>-</v>
      </c>
      <c r="AF15" s="162" t="str">
        <f aca="false">IFERROR(VLOOKUP(AF$2,Rango_Admin_DailyPred,MATCH($F15,Rango_Admin_DailyPred_Primera,0)+1,0),"-")</f>
        <v>-</v>
      </c>
      <c r="AG15" s="162" t="str">
        <f aca="false">IFERROR(VLOOKUP(AG$2,Rango_Admin_DailyPred,MATCH($F15,Rango_Admin_DailyPred_Primera,0)+1,0),"-")</f>
        <v>-</v>
      </c>
      <c r="AH15" s="162" t="str">
        <f aca="false">IFERROR(VLOOKUP(AH$2,Rango_Admin_DailyPred,MATCH($F15,Rango_Admin_DailyPred_Primera,0)+1,0),"-")</f>
        <v>-</v>
      </c>
      <c r="AI15" s="162" t="str">
        <f aca="false">IFERROR(VLOOKUP(AI$2,Rango_Admin_DailyPred,MATCH($F15,Rango_Admin_DailyPred_Primera,0)+1,0),"-")</f>
        <v>-</v>
      </c>
      <c r="AJ15" s="162" t="str">
        <f aca="false">IFERROR(VLOOKUP(AJ$2,Rango_Admin_DailyPred,MATCH($F15,Rango_Admin_DailyPred_Primera,0)+1,0),"-")</f>
        <v>-</v>
      </c>
      <c r="AK15" s="162" t="str">
        <f aca="false">IFERROR(VLOOKUP(AK$2,Rango_Admin_DailyPred,MATCH($F15,Rango_Admin_DailyPred_Primera,0)+1,0),"-")</f>
        <v>-</v>
      </c>
      <c r="AL15" s="162" t="str">
        <f aca="false">IFERROR(VLOOKUP(AL$2,Rango_Admin_DailyPred,MATCH($F15,Rango_Admin_DailyPred_Primera,0)+1,0),"-")</f>
        <v>-</v>
      </c>
      <c r="AM15" s="162" t="str">
        <f aca="false">IFERROR(VLOOKUP(AM$2,Rango_Admin_DailyPred,MATCH($F15,Rango_Admin_DailyPred_Primera,0)+1,0),"-")</f>
        <v>-</v>
      </c>
      <c r="AN15" s="244"/>
    </row>
    <row r="16" customFormat="false" ht="15" hidden="false" customHeight="false" outlineLevel="0" collapsed="false">
      <c r="A16" s="30" t="str">
        <f aca="false" t="array" ref="A16:A16">IFERROR(INDEX(ADMIN!$K$6:$K$258,SMALL(IF(ADMIN!$G$6:$G$258=$K$1,ROW(ADMIN!$G$6:$G$258)-ROW(ADMIN!$G$6)+1),ROWS($A$1:A13))),"")</f>
        <v/>
      </c>
      <c r="B16" s="30" t="str">
        <f aca="false" t="array" ref="B16:B16">IFERROR(IFERROR(INDEX(ADMIN!$K$6:$K$258,SMALL(IF($K$1=ADMIN!$G$6:$G$258,ROW(ADMIN!$K$6:$K$258)-MIN(ROW(ADMIN!$G$6:$G$258))+1,""),ROW()-3)),"")&amp;CHAR(10)&amp;IF(INDEX(ADMIN!$M$6:$M$258,SMALL(IF($K$1=ADMIN!$G$6:$G$258,ROW(ADMIN!$M$6:$M$258)-MIN(ROW(ADMIN!$G$6:$G$258))+1,""),ROW()-3))="0|-",""," ("&amp;INDEX(ADMIN!$M$6:$M$258,SMALL(IF($K$1=ADMIN!$G$6:$G$258,ROW(ADMIN!$M$6:$M$258)-MIN(ROW(ADMIN!$G$6:$G$258))+1,""),ROW()-3))&amp;")"),"")</f>
        <v/>
      </c>
      <c r="C16" s="30" t="n">
        <v>13</v>
      </c>
      <c r="D16" s="463"/>
      <c r="E16" s="479" t="n">
        <f aca="false">IFERROR(HLOOKUP(C16,Rango_Admin_DailyClas,3,FALSE()),"-")</f>
        <v>9</v>
      </c>
      <c r="F16" s="480" t="str">
        <f aca="false">IFERROR(HLOOKUP(C16,Rango_Admin_DailyClas,5,FALSE()),"-")</f>
        <v>MIKEL</v>
      </c>
      <c r="G16" s="51" t="n">
        <f aca="false">IFERROR(HLOOKUP(C16,Rango_Admin_DailyClas,4,FALSE()),"-")</f>
        <v>5</v>
      </c>
      <c r="H16" s="162" t="n">
        <f aca="false">IFERROR(VLOOKUP(H$2,Rango_Admin_DailyPred,MATCH($F16,Rango_Admin_DailyPred_Primera,0)+1,0),"-")</f>
        <v>0</v>
      </c>
      <c r="I16" s="162" t="n">
        <f aca="false">IFERROR(VLOOKUP(I$2,Rango_Admin_DailyPred,MATCH($F16,Rango_Admin_DailyPred_Primera,0)+1,0),"-")</f>
        <v>0</v>
      </c>
      <c r="J16" s="162" t="n">
        <f aca="false">IFERROR(VLOOKUP(J$2,Rango_Admin_DailyPred,MATCH($F16,Rango_Admin_DailyPred_Primera,0)+1,0),"-")</f>
        <v>5</v>
      </c>
      <c r="K16" s="162" t="n">
        <f aca="false">IFERROR(VLOOKUP(K$2,Rango_Admin_DailyPred,MATCH($F16,Rango_Admin_DailyPred_Primera,0)+1,0),"-")</f>
        <v>0</v>
      </c>
      <c r="L16" s="162" t="n">
        <f aca="false">IFERROR(VLOOKUP(L$2,Rango_Admin_DailyPred,MATCH($F16,Rango_Admin_DailyPred_Primera,0)+1,0),"-")</f>
        <v>0</v>
      </c>
      <c r="M16" s="162" t="str">
        <f aca="false">IFERROR(VLOOKUP(M$2,Rango_Admin_DailyPred,MATCH($F16,Rango_Admin_DailyPred_Primera,0)+1,0),"-")</f>
        <v>-</v>
      </c>
      <c r="N16" s="162" t="str">
        <f aca="false">IFERROR(VLOOKUP(N$2,Rango_Admin_DailyPred,MATCH($F16,Rango_Admin_DailyPred_Primera,0)+1,0),"-")</f>
        <v>-</v>
      </c>
      <c r="O16" s="162" t="str">
        <f aca="false">IFERROR(VLOOKUP(O$2,Rango_Admin_DailyPred,MATCH($F16,Rango_Admin_DailyPred_Primera,0)+1,0),"-")</f>
        <v>-</v>
      </c>
      <c r="P16" s="162" t="str">
        <f aca="false">IFERROR(VLOOKUP(P$2,Rango_Admin_DailyPred,MATCH($F16,Rango_Admin_DailyPred_Primera,0)+1,0),"-")</f>
        <v>-</v>
      </c>
      <c r="Q16" s="162" t="str">
        <f aca="false">IFERROR(VLOOKUP(Q$2,Rango_Admin_DailyPred,MATCH($F16,Rango_Admin_DailyPred_Primera,0)+1,0),"-")</f>
        <v>-</v>
      </c>
      <c r="R16" s="162" t="str">
        <f aca="false">IFERROR(VLOOKUP(R$2,Rango_Admin_DailyPred,MATCH($F16,Rango_Admin_DailyPred_Primera,0)+1,0),"-")</f>
        <v>-</v>
      </c>
      <c r="S16" s="162" t="str">
        <f aca="false">IFERROR(VLOOKUP(S$2,Rango_Admin_DailyPred,MATCH($F16,Rango_Admin_DailyPred_Primera,0)+1,0),"-")</f>
        <v>-</v>
      </c>
      <c r="T16" s="162" t="str">
        <f aca="false">IFERROR(VLOOKUP(T$2,Rango_Admin_DailyPred,MATCH($F16,Rango_Admin_DailyPred_Primera,0)+1,0),"-")</f>
        <v>-</v>
      </c>
      <c r="U16" s="162" t="str">
        <f aca="false">IFERROR(VLOOKUP(U$2,Rango_Admin_DailyPred,MATCH($F16,Rango_Admin_DailyPred_Primera,0)+1,0),"-")</f>
        <v>-</v>
      </c>
      <c r="V16" s="162" t="str">
        <f aca="false">IFERROR(VLOOKUP(V$2,Rango_Admin_DailyPred,MATCH($F16,Rango_Admin_DailyPred_Primera,0)+1,0),"-")</f>
        <v>-</v>
      </c>
      <c r="W16" s="162" t="str">
        <f aca="false">IFERROR(VLOOKUP(W$2,Rango_Admin_DailyPred,MATCH($F16,Rango_Admin_DailyPred_Primera,0)+1,0),"-")</f>
        <v>-</v>
      </c>
      <c r="X16" s="162" t="str">
        <f aca="false">IFERROR(VLOOKUP(X$2,Rango_Admin_DailyPred,MATCH($F16,Rango_Admin_DailyPred_Primera,0)+1,0),"-")</f>
        <v>-</v>
      </c>
      <c r="Y16" s="162" t="str">
        <f aca="false">IFERROR(VLOOKUP(Y$2,Rango_Admin_DailyPred,MATCH($F16,Rango_Admin_DailyPred_Primera,0)+1,0),"-")</f>
        <v>-</v>
      </c>
      <c r="Z16" s="162" t="str">
        <f aca="false">IFERROR(VLOOKUP(Z$2,Rango_Admin_DailyPred,MATCH($F16,Rango_Admin_DailyPred_Primera,0)+1,0),"-")</f>
        <v>-</v>
      </c>
      <c r="AA16" s="162" t="str">
        <f aca="false">IFERROR(VLOOKUP(AA$2,Rango_Admin_DailyPred,MATCH($F16,Rango_Admin_DailyPred_Primera,0)+1,0),"-")</f>
        <v>-</v>
      </c>
      <c r="AB16" s="162" t="str">
        <f aca="false">IFERROR(VLOOKUP(AB$2,Rango_Admin_DailyPred,MATCH($F16,Rango_Admin_DailyPred_Primera,0)+1,0),"-")</f>
        <v>-</v>
      </c>
      <c r="AC16" s="162" t="str">
        <f aca="false">IFERROR(VLOOKUP(AC$2,Rango_Admin_DailyPred,MATCH($F16,Rango_Admin_DailyPred_Primera,0)+1,0),"-")</f>
        <v>-</v>
      </c>
      <c r="AD16" s="162" t="str">
        <f aca="false">IFERROR(VLOOKUP(AD$2,Rango_Admin_DailyPred,MATCH($F16,Rango_Admin_DailyPred_Primera,0)+1,0),"-")</f>
        <v>-</v>
      </c>
      <c r="AE16" s="162" t="str">
        <f aca="false">IFERROR(VLOOKUP(AE$2,Rango_Admin_DailyPred,MATCH($F16,Rango_Admin_DailyPred_Primera,0)+1,0),"-")</f>
        <v>-</v>
      </c>
      <c r="AF16" s="162" t="str">
        <f aca="false">IFERROR(VLOOKUP(AF$2,Rango_Admin_DailyPred,MATCH($F16,Rango_Admin_DailyPred_Primera,0)+1,0),"-")</f>
        <v>-</v>
      </c>
      <c r="AG16" s="162" t="str">
        <f aca="false">IFERROR(VLOOKUP(AG$2,Rango_Admin_DailyPred,MATCH($F16,Rango_Admin_DailyPred_Primera,0)+1,0),"-")</f>
        <v>-</v>
      </c>
      <c r="AH16" s="162" t="str">
        <f aca="false">IFERROR(VLOOKUP(AH$2,Rango_Admin_DailyPred,MATCH($F16,Rango_Admin_DailyPred_Primera,0)+1,0),"-")</f>
        <v>-</v>
      </c>
      <c r="AI16" s="162" t="str">
        <f aca="false">IFERROR(VLOOKUP(AI$2,Rango_Admin_DailyPred,MATCH($F16,Rango_Admin_DailyPred_Primera,0)+1,0),"-")</f>
        <v>-</v>
      </c>
      <c r="AJ16" s="162" t="str">
        <f aca="false">IFERROR(VLOOKUP(AJ$2,Rango_Admin_DailyPred,MATCH($F16,Rango_Admin_DailyPred_Primera,0)+1,0),"-")</f>
        <v>-</v>
      </c>
      <c r="AK16" s="162" t="str">
        <f aca="false">IFERROR(VLOOKUP(AK$2,Rango_Admin_DailyPred,MATCH($F16,Rango_Admin_DailyPred_Primera,0)+1,0),"-")</f>
        <v>-</v>
      </c>
      <c r="AL16" s="162" t="str">
        <f aca="false">IFERROR(VLOOKUP(AL$2,Rango_Admin_DailyPred,MATCH($F16,Rango_Admin_DailyPred_Primera,0)+1,0),"-")</f>
        <v>-</v>
      </c>
      <c r="AM16" s="162" t="str">
        <f aca="false">IFERROR(VLOOKUP(AM$2,Rango_Admin_DailyPred,MATCH($F16,Rango_Admin_DailyPred_Primera,0)+1,0),"-")</f>
        <v>-</v>
      </c>
      <c r="AN16" s="244"/>
    </row>
    <row r="17" customFormat="false" ht="15" hidden="false" customHeight="false" outlineLevel="0" collapsed="false">
      <c r="A17" s="30" t="str">
        <f aca="false" t="array" ref="A17:A17">IFERROR(INDEX(ADMIN!$K$6:$K$258,SMALL(IF(ADMIN!$G$6:$G$258=$K$1,ROW(ADMIN!$G$6:$G$258)-ROW(ADMIN!$G$6)+1),ROWS($A$1:A14))),"")</f>
        <v/>
      </c>
      <c r="B17" s="30" t="str">
        <f aca="false" t="array" ref="B17:B17">IFERROR(IFERROR(INDEX(ADMIN!$K$6:$K$258,SMALL(IF($K$1=ADMIN!$G$6:$G$258,ROW(ADMIN!$K$6:$K$258)-MIN(ROW(ADMIN!$G$6:$G$258))+1,""),ROW()-3)),"")&amp;CHAR(10)&amp;IF(INDEX(ADMIN!$M$6:$M$258,SMALL(IF($K$1=ADMIN!$G$6:$G$258,ROW(ADMIN!$M$6:$M$258)-MIN(ROW(ADMIN!$G$6:$G$258))+1,""),ROW()-3))="0|-",""," ("&amp;INDEX(ADMIN!$M$6:$M$258,SMALL(IF($K$1=ADMIN!$G$6:$G$258,ROW(ADMIN!$M$6:$M$258)-MIN(ROW(ADMIN!$G$6:$G$258))+1,""),ROW()-3))&amp;")"),"")</f>
        <v/>
      </c>
      <c r="C17" s="30" t="n">
        <v>14</v>
      </c>
      <c r="D17" s="463"/>
      <c r="E17" s="479" t="n">
        <f aca="false">IFERROR(HLOOKUP(C17,Rango_Admin_DailyClas,3,FALSE()),"-")</f>
        <v>9</v>
      </c>
      <c r="F17" s="480" t="str">
        <f aca="false">IFERROR(HLOOKUP(C17,Rango_Admin_DailyClas,5,FALSE()),"-")</f>
        <v>JON</v>
      </c>
      <c r="G17" s="51" t="n">
        <f aca="false">IFERROR(HLOOKUP(C17,Rango_Admin_DailyClas,4,FALSE()),"-")</f>
        <v>5</v>
      </c>
      <c r="H17" s="162" t="n">
        <f aca="false">IFERROR(VLOOKUP(H$2,Rango_Admin_DailyPred,MATCH($F17,Rango_Admin_DailyPred_Primera,0)+1,0),"-")</f>
        <v>0</v>
      </c>
      <c r="I17" s="162" t="n">
        <f aca="false">IFERROR(VLOOKUP(I$2,Rango_Admin_DailyPred,MATCH($F17,Rango_Admin_DailyPred_Primera,0)+1,0),"-")</f>
        <v>0</v>
      </c>
      <c r="J17" s="162" t="n">
        <f aca="false">IFERROR(VLOOKUP(J$2,Rango_Admin_DailyPred,MATCH($F17,Rango_Admin_DailyPred_Primera,0)+1,0),"-")</f>
        <v>5</v>
      </c>
      <c r="K17" s="162" t="n">
        <f aca="false">IFERROR(VLOOKUP(K$2,Rango_Admin_DailyPred,MATCH($F17,Rango_Admin_DailyPred_Primera,0)+1,0),"-")</f>
        <v>0</v>
      </c>
      <c r="L17" s="162" t="n">
        <f aca="false">IFERROR(VLOOKUP(L$2,Rango_Admin_DailyPred,MATCH($F17,Rango_Admin_DailyPred_Primera,0)+1,0),"-")</f>
        <v>0</v>
      </c>
      <c r="M17" s="162" t="str">
        <f aca="false">IFERROR(VLOOKUP(M$2,Rango_Admin_DailyPred,MATCH($F17,Rango_Admin_DailyPred_Primera,0)+1,0),"-")</f>
        <v>-</v>
      </c>
      <c r="N17" s="162" t="str">
        <f aca="false">IFERROR(VLOOKUP(N$2,Rango_Admin_DailyPred,MATCH($F17,Rango_Admin_DailyPred_Primera,0)+1,0),"-")</f>
        <v>-</v>
      </c>
      <c r="O17" s="162" t="str">
        <f aca="false">IFERROR(VLOOKUP(O$2,Rango_Admin_DailyPred,MATCH($F17,Rango_Admin_DailyPred_Primera,0)+1,0),"-")</f>
        <v>-</v>
      </c>
      <c r="P17" s="162" t="str">
        <f aca="false">IFERROR(VLOOKUP(P$2,Rango_Admin_DailyPred,MATCH($F17,Rango_Admin_DailyPred_Primera,0)+1,0),"-")</f>
        <v>-</v>
      </c>
      <c r="Q17" s="162" t="str">
        <f aca="false">IFERROR(VLOOKUP(Q$2,Rango_Admin_DailyPred,MATCH($F17,Rango_Admin_DailyPred_Primera,0)+1,0),"-")</f>
        <v>-</v>
      </c>
      <c r="R17" s="162" t="str">
        <f aca="false">IFERROR(VLOOKUP(R$2,Rango_Admin_DailyPred,MATCH($F17,Rango_Admin_DailyPred_Primera,0)+1,0),"-")</f>
        <v>-</v>
      </c>
      <c r="S17" s="162" t="str">
        <f aca="false">IFERROR(VLOOKUP(S$2,Rango_Admin_DailyPred,MATCH($F17,Rango_Admin_DailyPred_Primera,0)+1,0),"-")</f>
        <v>-</v>
      </c>
      <c r="T17" s="162" t="str">
        <f aca="false">IFERROR(VLOOKUP(T$2,Rango_Admin_DailyPred,MATCH($F17,Rango_Admin_DailyPred_Primera,0)+1,0),"-")</f>
        <v>-</v>
      </c>
      <c r="U17" s="162" t="str">
        <f aca="false">IFERROR(VLOOKUP(U$2,Rango_Admin_DailyPred,MATCH($F17,Rango_Admin_DailyPred_Primera,0)+1,0),"-")</f>
        <v>-</v>
      </c>
      <c r="V17" s="162" t="str">
        <f aca="false">IFERROR(VLOOKUP(V$2,Rango_Admin_DailyPred,MATCH($F17,Rango_Admin_DailyPred_Primera,0)+1,0),"-")</f>
        <v>-</v>
      </c>
      <c r="W17" s="162" t="str">
        <f aca="false">IFERROR(VLOOKUP(W$2,Rango_Admin_DailyPred,MATCH($F17,Rango_Admin_DailyPred_Primera,0)+1,0),"-")</f>
        <v>-</v>
      </c>
      <c r="X17" s="162" t="str">
        <f aca="false">IFERROR(VLOOKUP(X$2,Rango_Admin_DailyPred,MATCH($F17,Rango_Admin_DailyPred_Primera,0)+1,0),"-")</f>
        <v>-</v>
      </c>
      <c r="Y17" s="162" t="str">
        <f aca="false">IFERROR(VLOOKUP(Y$2,Rango_Admin_DailyPred,MATCH($F17,Rango_Admin_DailyPred_Primera,0)+1,0),"-")</f>
        <v>-</v>
      </c>
      <c r="Z17" s="162" t="str">
        <f aca="false">IFERROR(VLOOKUP(Z$2,Rango_Admin_DailyPred,MATCH($F17,Rango_Admin_DailyPred_Primera,0)+1,0),"-")</f>
        <v>-</v>
      </c>
      <c r="AA17" s="162" t="str">
        <f aca="false">IFERROR(VLOOKUP(AA$2,Rango_Admin_DailyPred,MATCH($F17,Rango_Admin_DailyPred_Primera,0)+1,0),"-")</f>
        <v>-</v>
      </c>
      <c r="AB17" s="162" t="str">
        <f aca="false">IFERROR(VLOOKUP(AB$2,Rango_Admin_DailyPred,MATCH($F17,Rango_Admin_DailyPred_Primera,0)+1,0),"-")</f>
        <v>-</v>
      </c>
      <c r="AC17" s="162" t="str">
        <f aca="false">IFERROR(VLOOKUP(AC$2,Rango_Admin_DailyPred,MATCH($F17,Rango_Admin_DailyPred_Primera,0)+1,0),"-")</f>
        <v>-</v>
      </c>
      <c r="AD17" s="162" t="str">
        <f aca="false">IFERROR(VLOOKUP(AD$2,Rango_Admin_DailyPred,MATCH($F17,Rango_Admin_DailyPred_Primera,0)+1,0),"-")</f>
        <v>-</v>
      </c>
      <c r="AE17" s="162" t="str">
        <f aca="false">IFERROR(VLOOKUP(AE$2,Rango_Admin_DailyPred,MATCH($F17,Rango_Admin_DailyPred_Primera,0)+1,0),"-")</f>
        <v>-</v>
      </c>
      <c r="AF17" s="162" t="str">
        <f aca="false">IFERROR(VLOOKUP(AF$2,Rango_Admin_DailyPred,MATCH($F17,Rango_Admin_DailyPred_Primera,0)+1,0),"-")</f>
        <v>-</v>
      </c>
      <c r="AG17" s="162" t="str">
        <f aca="false">IFERROR(VLOOKUP(AG$2,Rango_Admin_DailyPred,MATCH($F17,Rango_Admin_DailyPred_Primera,0)+1,0),"-")</f>
        <v>-</v>
      </c>
      <c r="AH17" s="162" t="str">
        <f aca="false">IFERROR(VLOOKUP(AH$2,Rango_Admin_DailyPred,MATCH($F17,Rango_Admin_DailyPred_Primera,0)+1,0),"-")</f>
        <v>-</v>
      </c>
      <c r="AI17" s="162" t="str">
        <f aca="false">IFERROR(VLOOKUP(AI$2,Rango_Admin_DailyPred,MATCH($F17,Rango_Admin_DailyPred_Primera,0)+1,0),"-")</f>
        <v>-</v>
      </c>
      <c r="AJ17" s="162" t="str">
        <f aca="false">IFERROR(VLOOKUP(AJ$2,Rango_Admin_DailyPred,MATCH($F17,Rango_Admin_DailyPred_Primera,0)+1,0),"-")</f>
        <v>-</v>
      </c>
      <c r="AK17" s="162" t="str">
        <f aca="false">IFERROR(VLOOKUP(AK$2,Rango_Admin_DailyPred,MATCH($F17,Rango_Admin_DailyPred_Primera,0)+1,0),"-")</f>
        <v>-</v>
      </c>
      <c r="AL17" s="162" t="str">
        <f aca="false">IFERROR(VLOOKUP(AL$2,Rango_Admin_DailyPred,MATCH($F17,Rango_Admin_DailyPred_Primera,0)+1,0),"-")</f>
        <v>-</v>
      </c>
      <c r="AM17" s="162" t="str">
        <f aca="false">IFERROR(VLOOKUP(AM$2,Rango_Admin_DailyPred,MATCH($F17,Rango_Admin_DailyPred_Primera,0)+1,0),"-")</f>
        <v>-</v>
      </c>
      <c r="AN17" s="244"/>
    </row>
    <row r="18" customFormat="false" ht="15" hidden="false" customHeight="false" outlineLevel="0" collapsed="false">
      <c r="A18" s="30" t="str">
        <f aca="false" t="array" ref="A18:A18">IFERROR(INDEX(ADMIN!$K$6:$K$258,SMALL(IF(ADMIN!$G$6:$G$258=$K$1,ROW(ADMIN!$G$6:$G$258)-ROW(ADMIN!$G$6)+1),ROWS($A$1:A15))),"")</f>
        <v/>
      </c>
      <c r="B18" s="30" t="str">
        <f aca="false" t="array" ref="B18:B18">IFERROR(IFERROR(INDEX(ADMIN!$K$6:$K$258,SMALL(IF($K$1=ADMIN!$G$6:$G$258,ROW(ADMIN!$K$6:$K$258)-MIN(ROW(ADMIN!$G$6:$G$258))+1,""),ROW()-3)),"")&amp;CHAR(10)&amp;IF(INDEX(ADMIN!$M$6:$M$258,SMALL(IF($K$1=ADMIN!$G$6:$G$258,ROW(ADMIN!$M$6:$M$258)-MIN(ROW(ADMIN!$G$6:$G$258))+1,""),ROW()-3))="0|-",""," ("&amp;INDEX(ADMIN!$M$6:$M$258,SMALL(IF($K$1=ADMIN!$G$6:$G$258,ROW(ADMIN!$M$6:$M$258)-MIN(ROW(ADMIN!$G$6:$G$258))+1,""),ROW()-3))&amp;")"),"")</f>
        <v/>
      </c>
      <c r="C18" s="30" t="n">
        <v>15</v>
      </c>
      <c r="D18" s="463"/>
      <c r="E18" s="479" t="n">
        <f aca="false">IFERROR(HLOOKUP(C18,Rango_Admin_DailyClas,3,FALSE()),"-")</f>
        <v>9</v>
      </c>
      <c r="F18" s="480" t="str">
        <f aca="false">IFERROR(HLOOKUP(C18,Rango_Admin_DailyClas,5,FALSE()),"-")</f>
        <v>GALDER</v>
      </c>
      <c r="G18" s="51" t="n">
        <f aca="false">IFERROR(HLOOKUP(C18,Rango_Admin_DailyClas,4,FALSE()),"-")</f>
        <v>5</v>
      </c>
      <c r="H18" s="162" t="n">
        <f aca="false">IFERROR(VLOOKUP(H$2,Rango_Admin_DailyPred,MATCH($F18,Rango_Admin_DailyPred_Primera,0)+1,0),"-")</f>
        <v>0</v>
      </c>
      <c r="I18" s="162" t="n">
        <f aca="false">IFERROR(VLOOKUP(I$2,Rango_Admin_DailyPred,MATCH($F18,Rango_Admin_DailyPred_Primera,0)+1,0),"-")</f>
        <v>0</v>
      </c>
      <c r="J18" s="162" t="n">
        <f aca="false">IFERROR(VLOOKUP(J$2,Rango_Admin_DailyPred,MATCH($F18,Rango_Admin_DailyPred_Primera,0)+1,0),"-")</f>
        <v>5</v>
      </c>
      <c r="K18" s="162" t="n">
        <f aca="false">IFERROR(VLOOKUP(K$2,Rango_Admin_DailyPred,MATCH($F18,Rango_Admin_DailyPred_Primera,0)+1,0),"-")</f>
        <v>0</v>
      </c>
      <c r="L18" s="162" t="n">
        <f aca="false">IFERROR(VLOOKUP(L$2,Rango_Admin_DailyPred,MATCH($F18,Rango_Admin_DailyPred_Primera,0)+1,0),"-")</f>
        <v>0</v>
      </c>
      <c r="M18" s="162" t="str">
        <f aca="false">IFERROR(VLOOKUP(M$2,Rango_Admin_DailyPred,MATCH($F18,Rango_Admin_DailyPred_Primera,0)+1,0),"-")</f>
        <v>-</v>
      </c>
      <c r="N18" s="162" t="str">
        <f aca="false">IFERROR(VLOOKUP(N$2,Rango_Admin_DailyPred,MATCH($F18,Rango_Admin_DailyPred_Primera,0)+1,0),"-")</f>
        <v>-</v>
      </c>
      <c r="O18" s="162" t="str">
        <f aca="false">IFERROR(VLOOKUP(O$2,Rango_Admin_DailyPred,MATCH($F18,Rango_Admin_DailyPred_Primera,0)+1,0),"-")</f>
        <v>-</v>
      </c>
      <c r="P18" s="162" t="str">
        <f aca="false">IFERROR(VLOOKUP(P$2,Rango_Admin_DailyPred,MATCH($F18,Rango_Admin_DailyPred_Primera,0)+1,0),"-")</f>
        <v>-</v>
      </c>
      <c r="Q18" s="162" t="str">
        <f aca="false">IFERROR(VLOOKUP(Q$2,Rango_Admin_DailyPred,MATCH($F18,Rango_Admin_DailyPred_Primera,0)+1,0),"-")</f>
        <v>-</v>
      </c>
      <c r="R18" s="162" t="str">
        <f aca="false">IFERROR(VLOOKUP(R$2,Rango_Admin_DailyPred,MATCH($F18,Rango_Admin_DailyPred_Primera,0)+1,0),"-")</f>
        <v>-</v>
      </c>
      <c r="S18" s="162" t="str">
        <f aca="false">IFERROR(VLOOKUP(S$2,Rango_Admin_DailyPred,MATCH($F18,Rango_Admin_DailyPred_Primera,0)+1,0),"-")</f>
        <v>-</v>
      </c>
      <c r="T18" s="162" t="str">
        <f aca="false">IFERROR(VLOOKUP(T$2,Rango_Admin_DailyPred,MATCH($F18,Rango_Admin_DailyPred_Primera,0)+1,0),"-")</f>
        <v>-</v>
      </c>
      <c r="U18" s="162" t="str">
        <f aca="false">IFERROR(VLOOKUP(U$2,Rango_Admin_DailyPred,MATCH($F18,Rango_Admin_DailyPred_Primera,0)+1,0),"-")</f>
        <v>-</v>
      </c>
      <c r="V18" s="162" t="str">
        <f aca="false">IFERROR(VLOOKUP(V$2,Rango_Admin_DailyPred,MATCH($F18,Rango_Admin_DailyPred_Primera,0)+1,0),"-")</f>
        <v>-</v>
      </c>
      <c r="W18" s="162" t="str">
        <f aca="false">IFERROR(VLOOKUP(W$2,Rango_Admin_DailyPred,MATCH($F18,Rango_Admin_DailyPred_Primera,0)+1,0),"-")</f>
        <v>-</v>
      </c>
      <c r="X18" s="162" t="str">
        <f aca="false">IFERROR(VLOOKUP(X$2,Rango_Admin_DailyPred,MATCH($F18,Rango_Admin_DailyPred_Primera,0)+1,0),"-")</f>
        <v>-</v>
      </c>
      <c r="Y18" s="162" t="str">
        <f aca="false">IFERROR(VLOOKUP(Y$2,Rango_Admin_DailyPred,MATCH($F18,Rango_Admin_DailyPred_Primera,0)+1,0),"-")</f>
        <v>-</v>
      </c>
      <c r="Z18" s="162" t="str">
        <f aca="false">IFERROR(VLOOKUP(Z$2,Rango_Admin_DailyPred,MATCH($F18,Rango_Admin_DailyPred_Primera,0)+1,0),"-")</f>
        <v>-</v>
      </c>
      <c r="AA18" s="162" t="str">
        <f aca="false">IFERROR(VLOOKUP(AA$2,Rango_Admin_DailyPred,MATCH($F18,Rango_Admin_DailyPred_Primera,0)+1,0),"-")</f>
        <v>-</v>
      </c>
      <c r="AB18" s="162" t="str">
        <f aca="false">IFERROR(VLOOKUP(AB$2,Rango_Admin_DailyPred,MATCH($F18,Rango_Admin_DailyPred_Primera,0)+1,0),"-")</f>
        <v>-</v>
      </c>
      <c r="AC18" s="162" t="str">
        <f aca="false">IFERROR(VLOOKUP(AC$2,Rango_Admin_DailyPred,MATCH($F18,Rango_Admin_DailyPred_Primera,0)+1,0),"-")</f>
        <v>-</v>
      </c>
      <c r="AD18" s="162" t="str">
        <f aca="false">IFERROR(VLOOKUP(AD$2,Rango_Admin_DailyPred,MATCH($F18,Rango_Admin_DailyPred_Primera,0)+1,0),"-")</f>
        <v>-</v>
      </c>
      <c r="AE18" s="162" t="str">
        <f aca="false">IFERROR(VLOOKUP(AE$2,Rango_Admin_DailyPred,MATCH($F18,Rango_Admin_DailyPred_Primera,0)+1,0),"-")</f>
        <v>-</v>
      </c>
      <c r="AF18" s="162" t="str">
        <f aca="false">IFERROR(VLOOKUP(AF$2,Rango_Admin_DailyPred,MATCH($F18,Rango_Admin_DailyPred_Primera,0)+1,0),"-")</f>
        <v>-</v>
      </c>
      <c r="AG18" s="162" t="str">
        <f aca="false">IFERROR(VLOOKUP(AG$2,Rango_Admin_DailyPred,MATCH($F18,Rango_Admin_DailyPred_Primera,0)+1,0),"-")</f>
        <v>-</v>
      </c>
      <c r="AH18" s="162" t="str">
        <f aca="false">IFERROR(VLOOKUP(AH$2,Rango_Admin_DailyPred,MATCH($F18,Rango_Admin_DailyPred_Primera,0)+1,0),"-")</f>
        <v>-</v>
      </c>
      <c r="AI18" s="162" t="str">
        <f aca="false">IFERROR(VLOOKUP(AI$2,Rango_Admin_DailyPred,MATCH($F18,Rango_Admin_DailyPred_Primera,0)+1,0),"-")</f>
        <v>-</v>
      </c>
      <c r="AJ18" s="162" t="str">
        <f aca="false">IFERROR(VLOOKUP(AJ$2,Rango_Admin_DailyPred,MATCH($F18,Rango_Admin_DailyPred_Primera,0)+1,0),"-")</f>
        <v>-</v>
      </c>
      <c r="AK18" s="162" t="str">
        <f aca="false">IFERROR(VLOOKUP(AK$2,Rango_Admin_DailyPred,MATCH($F18,Rango_Admin_DailyPred_Primera,0)+1,0),"-")</f>
        <v>-</v>
      </c>
      <c r="AL18" s="162" t="str">
        <f aca="false">IFERROR(VLOOKUP(AL$2,Rango_Admin_DailyPred,MATCH($F18,Rango_Admin_DailyPred_Primera,0)+1,0),"-")</f>
        <v>-</v>
      </c>
      <c r="AM18" s="162" t="str">
        <f aca="false">IFERROR(VLOOKUP(AM$2,Rango_Admin_DailyPred,MATCH($F18,Rango_Admin_DailyPred_Primera,0)+1,0),"-")</f>
        <v>-</v>
      </c>
      <c r="AN18" s="244"/>
    </row>
    <row r="19" customFormat="false" ht="15" hidden="false" customHeight="false" outlineLevel="0" collapsed="false">
      <c r="A19" s="30" t="str">
        <f aca="false" t="array" ref="A19:A19">IFERROR(INDEX(ADMIN!$K$6:$K$258,SMALL(IF(ADMIN!$G$6:$G$258=$K$1,ROW(ADMIN!$G$6:$G$258)-ROW(ADMIN!$G$6)+1),ROWS($A$1:A16))),"")</f>
        <v/>
      </c>
      <c r="B19" s="30" t="str">
        <f aca="false" t="array" ref="B19:B19">IFERROR(IFERROR(INDEX(ADMIN!$K$6:$K$258,SMALL(IF($K$1=ADMIN!$G$6:$G$258,ROW(ADMIN!$K$6:$K$258)-MIN(ROW(ADMIN!$G$6:$G$258))+1,""),ROW()-3)),"")&amp;CHAR(10)&amp;IF(INDEX(ADMIN!$M$6:$M$258,SMALL(IF($K$1=ADMIN!$G$6:$G$258,ROW(ADMIN!$M$6:$M$258)-MIN(ROW(ADMIN!$G$6:$G$258))+1,""),ROW()-3))="0|-",""," ("&amp;INDEX(ADMIN!$M$6:$M$258,SMALL(IF($K$1=ADMIN!$G$6:$G$258,ROW(ADMIN!$M$6:$M$258)-MIN(ROW(ADMIN!$G$6:$G$258))+1,""),ROW()-3))&amp;")"),"")</f>
        <v/>
      </c>
      <c r="C19" s="30" t="n">
        <v>16</v>
      </c>
      <c r="D19" s="463"/>
      <c r="E19" s="479" t="n">
        <f aca="false">IFERROR(HLOOKUP(C19,Rango_Admin_DailyClas,3,FALSE()),"-")</f>
        <v>9</v>
      </c>
      <c r="F19" s="480" t="str">
        <f aca="false">IFERROR(HLOOKUP(C19,Rango_Admin_DailyClas,5,FALSE()),"-")</f>
        <v>ASIER</v>
      </c>
      <c r="G19" s="51" t="n">
        <f aca="false">IFERROR(HLOOKUP(C19,Rango_Admin_DailyClas,4,FALSE()),"-")</f>
        <v>5</v>
      </c>
      <c r="H19" s="162" t="n">
        <f aca="false">IFERROR(VLOOKUP(H$2,Rango_Admin_DailyPred,MATCH($F19,Rango_Admin_DailyPred_Primera,0)+1,0),"-")</f>
        <v>0</v>
      </c>
      <c r="I19" s="162" t="n">
        <f aca="false">IFERROR(VLOOKUP(I$2,Rango_Admin_DailyPred,MATCH($F19,Rango_Admin_DailyPred_Primera,0)+1,0),"-")</f>
        <v>0</v>
      </c>
      <c r="J19" s="162" t="n">
        <f aca="false">IFERROR(VLOOKUP(J$2,Rango_Admin_DailyPred,MATCH($F19,Rango_Admin_DailyPred_Primera,0)+1,0),"-")</f>
        <v>5</v>
      </c>
      <c r="K19" s="162" t="n">
        <f aca="false">IFERROR(VLOOKUP(K$2,Rango_Admin_DailyPred,MATCH($F19,Rango_Admin_DailyPred_Primera,0)+1,0),"-")</f>
        <v>0</v>
      </c>
      <c r="L19" s="162" t="n">
        <f aca="false">IFERROR(VLOOKUP(L$2,Rango_Admin_DailyPred,MATCH($F19,Rango_Admin_DailyPred_Primera,0)+1,0),"-")</f>
        <v>0</v>
      </c>
      <c r="M19" s="162" t="str">
        <f aca="false">IFERROR(VLOOKUP(M$2,Rango_Admin_DailyPred,MATCH($F19,Rango_Admin_DailyPred_Primera,0)+1,0),"-")</f>
        <v>-</v>
      </c>
      <c r="N19" s="162" t="str">
        <f aca="false">IFERROR(VLOOKUP(N$2,Rango_Admin_DailyPred,MATCH($F19,Rango_Admin_DailyPred_Primera,0)+1,0),"-")</f>
        <v>-</v>
      </c>
      <c r="O19" s="162" t="str">
        <f aca="false">IFERROR(VLOOKUP(O$2,Rango_Admin_DailyPred,MATCH($F19,Rango_Admin_DailyPred_Primera,0)+1,0),"-")</f>
        <v>-</v>
      </c>
      <c r="P19" s="162" t="str">
        <f aca="false">IFERROR(VLOOKUP(P$2,Rango_Admin_DailyPred,MATCH($F19,Rango_Admin_DailyPred_Primera,0)+1,0),"-")</f>
        <v>-</v>
      </c>
      <c r="Q19" s="162" t="str">
        <f aca="false">IFERROR(VLOOKUP(Q$2,Rango_Admin_DailyPred,MATCH($F19,Rango_Admin_DailyPred_Primera,0)+1,0),"-")</f>
        <v>-</v>
      </c>
      <c r="R19" s="162" t="str">
        <f aca="false">IFERROR(VLOOKUP(R$2,Rango_Admin_DailyPred,MATCH($F19,Rango_Admin_DailyPred_Primera,0)+1,0),"-")</f>
        <v>-</v>
      </c>
      <c r="S19" s="162" t="str">
        <f aca="false">IFERROR(VLOOKUP(S$2,Rango_Admin_DailyPred,MATCH($F19,Rango_Admin_DailyPred_Primera,0)+1,0),"-")</f>
        <v>-</v>
      </c>
      <c r="T19" s="162" t="str">
        <f aca="false">IFERROR(VLOOKUP(T$2,Rango_Admin_DailyPred,MATCH($F19,Rango_Admin_DailyPred_Primera,0)+1,0),"-")</f>
        <v>-</v>
      </c>
      <c r="U19" s="162" t="str">
        <f aca="false">IFERROR(VLOOKUP(U$2,Rango_Admin_DailyPred,MATCH($F19,Rango_Admin_DailyPred_Primera,0)+1,0),"-")</f>
        <v>-</v>
      </c>
      <c r="V19" s="162" t="str">
        <f aca="false">IFERROR(VLOOKUP(V$2,Rango_Admin_DailyPred,MATCH($F19,Rango_Admin_DailyPred_Primera,0)+1,0),"-")</f>
        <v>-</v>
      </c>
      <c r="W19" s="162" t="str">
        <f aca="false">IFERROR(VLOOKUP(W$2,Rango_Admin_DailyPred,MATCH($F19,Rango_Admin_DailyPred_Primera,0)+1,0),"-")</f>
        <v>-</v>
      </c>
      <c r="X19" s="162" t="str">
        <f aca="false">IFERROR(VLOOKUP(X$2,Rango_Admin_DailyPred,MATCH($F19,Rango_Admin_DailyPred_Primera,0)+1,0),"-")</f>
        <v>-</v>
      </c>
      <c r="Y19" s="162" t="str">
        <f aca="false">IFERROR(VLOOKUP(Y$2,Rango_Admin_DailyPred,MATCH($F19,Rango_Admin_DailyPred_Primera,0)+1,0),"-")</f>
        <v>-</v>
      </c>
      <c r="Z19" s="162" t="str">
        <f aca="false">IFERROR(VLOOKUP(Z$2,Rango_Admin_DailyPred,MATCH($F19,Rango_Admin_DailyPred_Primera,0)+1,0),"-")</f>
        <v>-</v>
      </c>
      <c r="AA19" s="162" t="str">
        <f aca="false">IFERROR(VLOOKUP(AA$2,Rango_Admin_DailyPred,MATCH($F19,Rango_Admin_DailyPred_Primera,0)+1,0),"-")</f>
        <v>-</v>
      </c>
      <c r="AB19" s="162" t="str">
        <f aca="false">IFERROR(VLOOKUP(AB$2,Rango_Admin_DailyPred,MATCH($F19,Rango_Admin_DailyPred_Primera,0)+1,0),"-")</f>
        <v>-</v>
      </c>
      <c r="AC19" s="162" t="str">
        <f aca="false">IFERROR(VLOOKUP(AC$2,Rango_Admin_DailyPred,MATCH($F19,Rango_Admin_DailyPred_Primera,0)+1,0),"-")</f>
        <v>-</v>
      </c>
      <c r="AD19" s="162" t="str">
        <f aca="false">IFERROR(VLOOKUP(AD$2,Rango_Admin_DailyPred,MATCH($F19,Rango_Admin_DailyPred_Primera,0)+1,0),"-")</f>
        <v>-</v>
      </c>
      <c r="AE19" s="162" t="str">
        <f aca="false">IFERROR(VLOOKUP(AE$2,Rango_Admin_DailyPred,MATCH($F19,Rango_Admin_DailyPred_Primera,0)+1,0),"-")</f>
        <v>-</v>
      </c>
      <c r="AF19" s="162" t="str">
        <f aca="false">IFERROR(VLOOKUP(AF$2,Rango_Admin_DailyPred,MATCH($F19,Rango_Admin_DailyPred_Primera,0)+1,0),"-")</f>
        <v>-</v>
      </c>
      <c r="AG19" s="162" t="str">
        <f aca="false">IFERROR(VLOOKUP(AG$2,Rango_Admin_DailyPred,MATCH($F19,Rango_Admin_DailyPred_Primera,0)+1,0),"-")</f>
        <v>-</v>
      </c>
      <c r="AH19" s="162" t="str">
        <f aca="false">IFERROR(VLOOKUP(AH$2,Rango_Admin_DailyPred,MATCH($F19,Rango_Admin_DailyPred_Primera,0)+1,0),"-")</f>
        <v>-</v>
      </c>
      <c r="AI19" s="162" t="str">
        <f aca="false">IFERROR(VLOOKUP(AI$2,Rango_Admin_DailyPred,MATCH($F19,Rango_Admin_DailyPred_Primera,0)+1,0),"-")</f>
        <v>-</v>
      </c>
      <c r="AJ19" s="162" t="str">
        <f aca="false">IFERROR(VLOOKUP(AJ$2,Rango_Admin_DailyPred,MATCH($F19,Rango_Admin_DailyPred_Primera,0)+1,0),"-")</f>
        <v>-</v>
      </c>
      <c r="AK19" s="162" t="str">
        <f aca="false">IFERROR(VLOOKUP(AK$2,Rango_Admin_DailyPred,MATCH($F19,Rango_Admin_DailyPred_Primera,0)+1,0),"-")</f>
        <v>-</v>
      </c>
      <c r="AL19" s="162" t="str">
        <f aca="false">IFERROR(VLOOKUP(AL$2,Rango_Admin_DailyPred,MATCH($F19,Rango_Admin_DailyPred_Primera,0)+1,0),"-")</f>
        <v>-</v>
      </c>
      <c r="AM19" s="162" t="str">
        <f aca="false">IFERROR(VLOOKUP(AM$2,Rango_Admin_DailyPred,MATCH($F19,Rango_Admin_DailyPred_Primera,0)+1,0),"-")</f>
        <v>-</v>
      </c>
      <c r="AN19" s="244"/>
    </row>
    <row r="20" customFormat="false" ht="15" hidden="false" customHeight="false" outlineLevel="0" collapsed="false">
      <c r="A20" s="30" t="str">
        <f aca="false" t="array" ref="A20:A20">IFERROR(INDEX(ADMIN!$K$6:$K$258,SMALL(IF(ADMIN!$G$6:$G$258=$K$1,ROW(ADMIN!$G$6:$G$258)-ROW(ADMIN!$G$6)+1),ROWS($A$1:A17))),"")</f>
        <v/>
      </c>
      <c r="B20" s="30" t="str">
        <f aca="false" t="array" ref="B20:B20">IFERROR(IFERROR(INDEX(ADMIN!$K$6:$K$258,SMALL(IF($K$1=ADMIN!$G$6:$G$258,ROW(ADMIN!$K$6:$K$258)-MIN(ROW(ADMIN!$G$6:$G$258))+1,""),ROW()-3)),"")&amp;CHAR(10)&amp;IF(INDEX(ADMIN!$M$6:$M$258,SMALL(IF($K$1=ADMIN!$G$6:$G$258,ROW(ADMIN!$M$6:$M$258)-MIN(ROW(ADMIN!$G$6:$G$258))+1,""),ROW()-3))="0|-",""," ("&amp;INDEX(ADMIN!$M$6:$M$258,SMALL(IF($K$1=ADMIN!$G$6:$G$258,ROW(ADMIN!$M$6:$M$258)-MIN(ROW(ADMIN!$G$6:$G$258))+1,""),ROW()-3))&amp;")"),"")</f>
        <v/>
      </c>
      <c r="C20" s="30" t="n">
        <v>17</v>
      </c>
      <c r="D20" s="463"/>
      <c r="E20" s="479" t="n">
        <f aca="false">IFERROR(HLOOKUP(C20,Rango_Admin_DailyClas,3,FALSE()),"-")</f>
        <v>9</v>
      </c>
      <c r="F20" s="480" t="str">
        <f aca="false">IFERROR(HLOOKUP(C20,Rango_Admin_DailyClas,5,FALSE()),"-")</f>
        <v>AITOR</v>
      </c>
      <c r="G20" s="51" t="n">
        <f aca="false">IFERROR(HLOOKUP(C20,Rango_Admin_DailyClas,4,FALSE()),"-")</f>
        <v>5</v>
      </c>
      <c r="H20" s="162" t="n">
        <f aca="false">IFERROR(VLOOKUP(H$2,Rango_Admin_DailyPred,MATCH($F20,Rango_Admin_DailyPred_Primera,0)+1,0),"-")</f>
        <v>0</v>
      </c>
      <c r="I20" s="162" t="n">
        <f aca="false">IFERROR(VLOOKUP(I$2,Rango_Admin_DailyPred,MATCH($F20,Rango_Admin_DailyPred_Primera,0)+1,0),"-")</f>
        <v>0</v>
      </c>
      <c r="J20" s="162" t="n">
        <f aca="false">IFERROR(VLOOKUP(J$2,Rango_Admin_DailyPred,MATCH($F20,Rango_Admin_DailyPred_Primera,0)+1,0),"-")</f>
        <v>5</v>
      </c>
      <c r="K20" s="162" t="n">
        <f aca="false">IFERROR(VLOOKUP(K$2,Rango_Admin_DailyPred,MATCH($F20,Rango_Admin_DailyPred_Primera,0)+1,0),"-")</f>
        <v>0</v>
      </c>
      <c r="L20" s="162" t="n">
        <f aca="false">IFERROR(VLOOKUP(L$2,Rango_Admin_DailyPred,MATCH($F20,Rango_Admin_DailyPred_Primera,0)+1,0),"-")</f>
        <v>0</v>
      </c>
      <c r="M20" s="162" t="str">
        <f aca="false">IFERROR(VLOOKUP(M$2,Rango_Admin_DailyPred,MATCH($F20,Rango_Admin_DailyPred_Primera,0)+1,0),"-")</f>
        <v>-</v>
      </c>
      <c r="N20" s="162" t="str">
        <f aca="false">IFERROR(VLOOKUP(N$2,Rango_Admin_DailyPred,MATCH($F20,Rango_Admin_DailyPred_Primera,0)+1,0),"-")</f>
        <v>-</v>
      </c>
      <c r="O20" s="162" t="str">
        <f aca="false">IFERROR(VLOOKUP(O$2,Rango_Admin_DailyPred,MATCH($F20,Rango_Admin_DailyPred_Primera,0)+1,0),"-")</f>
        <v>-</v>
      </c>
      <c r="P20" s="162" t="str">
        <f aca="false">IFERROR(VLOOKUP(P$2,Rango_Admin_DailyPred,MATCH($F20,Rango_Admin_DailyPred_Primera,0)+1,0),"-")</f>
        <v>-</v>
      </c>
      <c r="Q20" s="162" t="str">
        <f aca="false">IFERROR(VLOOKUP(Q$2,Rango_Admin_DailyPred,MATCH($F20,Rango_Admin_DailyPred_Primera,0)+1,0),"-")</f>
        <v>-</v>
      </c>
      <c r="R20" s="162" t="str">
        <f aca="false">IFERROR(VLOOKUP(R$2,Rango_Admin_DailyPred,MATCH($F20,Rango_Admin_DailyPred_Primera,0)+1,0),"-")</f>
        <v>-</v>
      </c>
      <c r="S20" s="162" t="str">
        <f aca="false">IFERROR(VLOOKUP(S$2,Rango_Admin_DailyPred,MATCH($F20,Rango_Admin_DailyPred_Primera,0)+1,0),"-")</f>
        <v>-</v>
      </c>
      <c r="T20" s="162" t="str">
        <f aca="false">IFERROR(VLOOKUP(T$2,Rango_Admin_DailyPred,MATCH($F20,Rango_Admin_DailyPred_Primera,0)+1,0),"-")</f>
        <v>-</v>
      </c>
      <c r="U20" s="162" t="str">
        <f aca="false">IFERROR(VLOOKUP(U$2,Rango_Admin_DailyPred,MATCH($F20,Rango_Admin_DailyPred_Primera,0)+1,0),"-")</f>
        <v>-</v>
      </c>
      <c r="V20" s="162" t="str">
        <f aca="false">IFERROR(VLOOKUP(V$2,Rango_Admin_DailyPred,MATCH($F20,Rango_Admin_DailyPred_Primera,0)+1,0),"-")</f>
        <v>-</v>
      </c>
      <c r="W20" s="162" t="str">
        <f aca="false">IFERROR(VLOOKUP(W$2,Rango_Admin_DailyPred,MATCH($F20,Rango_Admin_DailyPred_Primera,0)+1,0),"-")</f>
        <v>-</v>
      </c>
      <c r="X20" s="162" t="str">
        <f aca="false">IFERROR(VLOOKUP(X$2,Rango_Admin_DailyPred,MATCH($F20,Rango_Admin_DailyPred_Primera,0)+1,0),"-")</f>
        <v>-</v>
      </c>
      <c r="Y20" s="162" t="str">
        <f aca="false">IFERROR(VLOOKUP(Y$2,Rango_Admin_DailyPred,MATCH($F20,Rango_Admin_DailyPred_Primera,0)+1,0),"-")</f>
        <v>-</v>
      </c>
      <c r="Z20" s="162" t="str">
        <f aca="false">IFERROR(VLOOKUP(Z$2,Rango_Admin_DailyPred,MATCH($F20,Rango_Admin_DailyPred_Primera,0)+1,0),"-")</f>
        <v>-</v>
      </c>
      <c r="AA20" s="162" t="str">
        <f aca="false">IFERROR(VLOOKUP(AA$2,Rango_Admin_DailyPred,MATCH($F20,Rango_Admin_DailyPred_Primera,0)+1,0),"-")</f>
        <v>-</v>
      </c>
      <c r="AB20" s="162" t="str">
        <f aca="false">IFERROR(VLOOKUP(AB$2,Rango_Admin_DailyPred,MATCH($F20,Rango_Admin_DailyPred_Primera,0)+1,0),"-")</f>
        <v>-</v>
      </c>
      <c r="AC20" s="162" t="str">
        <f aca="false">IFERROR(VLOOKUP(AC$2,Rango_Admin_DailyPred,MATCH($F20,Rango_Admin_DailyPred_Primera,0)+1,0),"-")</f>
        <v>-</v>
      </c>
      <c r="AD20" s="162" t="str">
        <f aca="false">IFERROR(VLOOKUP(AD$2,Rango_Admin_DailyPred,MATCH($F20,Rango_Admin_DailyPred_Primera,0)+1,0),"-")</f>
        <v>-</v>
      </c>
      <c r="AE20" s="162" t="str">
        <f aca="false">IFERROR(VLOOKUP(AE$2,Rango_Admin_DailyPred,MATCH($F20,Rango_Admin_DailyPred_Primera,0)+1,0),"-")</f>
        <v>-</v>
      </c>
      <c r="AF20" s="162" t="str">
        <f aca="false">IFERROR(VLOOKUP(AF$2,Rango_Admin_DailyPred,MATCH($F20,Rango_Admin_DailyPred_Primera,0)+1,0),"-")</f>
        <v>-</v>
      </c>
      <c r="AG20" s="162" t="str">
        <f aca="false">IFERROR(VLOOKUP(AG$2,Rango_Admin_DailyPred,MATCH($F20,Rango_Admin_DailyPred_Primera,0)+1,0),"-")</f>
        <v>-</v>
      </c>
      <c r="AH20" s="162" t="str">
        <f aca="false">IFERROR(VLOOKUP(AH$2,Rango_Admin_DailyPred,MATCH($F20,Rango_Admin_DailyPred_Primera,0)+1,0),"-")</f>
        <v>-</v>
      </c>
      <c r="AI20" s="162" t="str">
        <f aca="false">IFERROR(VLOOKUP(AI$2,Rango_Admin_DailyPred,MATCH($F20,Rango_Admin_DailyPred_Primera,0)+1,0),"-")</f>
        <v>-</v>
      </c>
      <c r="AJ20" s="162" t="str">
        <f aca="false">IFERROR(VLOOKUP(AJ$2,Rango_Admin_DailyPred,MATCH($F20,Rango_Admin_DailyPred_Primera,0)+1,0),"-")</f>
        <v>-</v>
      </c>
      <c r="AK20" s="162" t="str">
        <f aca="false">IFERROR(VLOOKUP(AK$2,Rango_Admin_DailyPred,MATCH($F20,Rango_Admin_DailyPred_Primera,0)+1,0),"-")</f>
        <v>-</v>
      </c>
      <c r="AL20" s="162" t="str">
        <f aca="false">IFERROR(VLOOKUP(AL$2,Rango_Admin_DailyPred,MATCH($F20,Rango_Admin_DailyPred_Primera,0)+1,0),"-")</f>
        <v>-</v>
      </c>
      <c r="AM20" s="162" t="str">
        <f aca="false">IFERROR(VLOOKUP(AM$2,Rango_Admin_DailyPred,MATCH($F20,Rango_Admin_DailyPred_Primera,0)+1,0),"-")</f>
        <v>-</v>
      </c>
      <c r="AN20" s="244"/>
    </row>
    <row r="21" customFormat="false" ht="15" hidden="false" customHeight="false" outlineLevel="0" collapsed="false">
      <c r="A21" s="30" t="str">
        <f aca="false" t="array" ref="A21:A21">IFERROR(INDEX(ADMIN!$K$6:$K$258,SMALL(IF(ADMIN!$G$6:$G$258=$K$1,ROW(ADMIN!$G$6:$G$258)-ROW(ADMIN!$G$6)+1),ROWS($A$1:A18))),"")</f>
        <v/>
      </c>
      <c r="B21" s="30" t="str">
        <f aca="false" t="array" ref="B21:B21">IFERROR(IFERROR(INDEX(ADMIN!$K$6:$K$258,SMALL(IF($K$1=ADMIN!$G$6:$G$258,ROW(ADMIN!$K$6:$K$258)-MIN(ROW(ADMIN!$G$6:$G$258))+1,""),ROW()-3)),"")&amp;CHAR(10)&amp;IF(INDEX(ADMIN!$M$6:$M$258,SMALL(IF($K$1=ADMIN!$G$6:$G$258,ROW(ADMIN!$M$6:$M$258)-MIN(ROW(ADMIN!$G$6:$G$258))+1,""),ROW()-3))="0|-",""," ("&amp;INDEX(ADMIN!$M$6:$M$258,SMALL(IF($K$1=ADMIN!$G$6:$G$258,ROW(ADMIN!$M$6:$M$258)-MIN(ROW(ADMIN!$G$6:$G$258))+1,""),ROW()-3))&amp;")"),"")</f>
        <v/>
      </c>
      <c r="C21" s="30" t="n">
        <v>18</v>
      </c>
      <c r="D21" s="463"/>
      <c r="E21" s="479" t="n">
        <f aca="false">IFERROR(HLOOKUP(C21,Rango_Admin_DailyClas,3,FALSE()),"-")</f>
        <v>18</v>
      </c>
      <c r="F21" s="480" t="str">
        <f aca="false">IFERROR(HLOOKUP(C21,Rango_Admin_DailyClas,5,FALSE()),"-")</f>
        <v>LAURA</v>
      </c>
      <c r="G21" s="51" t="n">
        <f aca="false">IFERROR(HLOOKUP(C21,Rango_Admin_DailyClas,4,FALSE()),"-")</f>
        <v>0</v>
      </c>
      <c r="H21" s="162" t="n">
        <f aca="false">IFERROR(VLOOKUP(H$2,Rango_Admin_DailyPred,MATCH($F21,Rango_Admin_DailyPred_Primera,0)+1,0),"-")</f>
        <v>0</v>
      </c>
      <c r="I21" s="162" t="n">
        <f aca="false">IFERROR(VLOOKUP(I$2,Rango_Admin_DailyPred,MATCH($F21,Rango_Admin_DailyPred_Primera,0)+1,0),"-")</f>
        <v>0</v>
      </c>
      <c r="J21" s="162" t="n">
        <f aca="false">IFERROR(VLOOKUP(J$2,Rango_Admin_DailyPred,MATCH($F21,Rango_Admin_DailyPred_Primera,0)+1,0),"-")</f>
        <v>0</v>
      </c>
      <c r="K21" s="162" t="n">
        <f aca="false">IFERROR(VLOOKUP(K$2,Rango_Admin_DailyPred,MATCH($F21,Rango_Admin_DailyPred_Primera,0)+1,0),"-")</f>
        <v>0</v>
      </c>
      <c r="L21" s="162" t="n">
        <f aca="false">IFERROR(VLOOKUP(L$2,Rango_Admin_DailyPred,MATCH($F21,Rango_Admin_DailyPred_Primera,0)+1,0),"-")</f>
        <v>0</v>
      </c>
      <c r="M21" s="162" t="str">
        <f aca="false">IFERROR(VLOOKUP(M$2,Rango_Admin_DailyPred,MATCH($F21,Rango_Admin_DailyPred_Primera,0)+1,0),"-")</f>
        <v>-</v>
      </c>
      <c r="N21" s="162" t="str">
        <f aca="false">IFERROR(VLOOKUP(N$2,Rango_Admin_DailyPred,MATCH($F21,Rango_Admin_DailyPred_Primera,0)+1,0),"-")</f>
        <v>-</v>
      </c>
      <c r="O21" s="162" t="str">
        <f aca="false">IFERROR(VLOOKUP(O$2,Rango_Admin_DailyPred,MATCH($F21,Rango_Admin_DailyPred_Primera,0)+1,0),"-")</f>
        <v>-</v>
      </c>
      <c r="P21" s="162" t="str">
        <f aca="false">IFERROR(VLOOKUP(P$2,Rango_Admin_DailyPred,MATCH($F21,Rango_Admin_DailyPred_Primera,0)+1,0),"-")</f>
        <v>-</v>
      </c>
      <c r="Q21" s="162" t="str">
        <f aca="false">IFERROR(VLOOKUP(Q$2,Rango_Admin_DailyPred,MATCH($F21,Rango_Admin_DailyPred_Primera,0)+1,0),"-")</f>
        <v>-</v>
      </c>
      <c r="R21" s="162" t="str">
        <f aca="false">IFERROR(VLOOKUP(R$2,Rango_Admin_DailyPred,MATCH($F21,Rango_Admin_DailyPred_Primera,0)+1,0),"-")</f>
        <v>-</v>
      </c>
      <c r="S21" s="162" t="str">
        <f aca="false">IFERROR(VLOOKUP(S$2,Rango_Admin_DailyPred,MATCH($F21,Rango_Admin_DailyPred_Primera,0)+1,0),"-")</f>
        <v>-</v>
      </c>
      <c r="T21" s="162" t="str">
        <f aca="false">IFERROR(VLOOKUP(T$2,Rango_Admin_DailyPred,MATCH($F21,Rango_Admin_DailyPred_Primera,0)+1,0),"-")</f>
        <v>-</v>
      </c>
      <c r="U21" s="162" t="str">
        <f aca="false">IFERROR(VLOOKUP(U$2,Rango_Admin_DailyPred,MATCH($F21,Rango_Admin_DailyPred_Primera,0)+1,0),"-")</f>
        <v>-</v>
      </c>
      <c r="V21" s="162" t="str">
        <f aca="false">IFERROR(VLOOKUP(V$2,Rango_Admin_DailyPred,MATCH($F21,Rango_Admin_DailyPred_Primera,0)+1,0),"-")</f>
        <v>-</v>
      </c>
      <c r="W21" s="162" t="str">
        <f aca="false">IFERROR(VLOOKUP(W$2,Rango_Admin_DailyPred,MATCH($F21,Rango_Admin_DailyPred_Primera,0)+1,0),"-")</f>
        <v>-</v>
      </c>
      <c r="X21" s="162" t="str">
        <f aca="false">IFERROR(VLOOKUP(X$2,Rango_Admin_DailyPred,MATCH($F21,Rango_Admin_DailyPred_Primera,0)+1,0),"-")</f>
        <v>-</v>
      </c>
      <c r="Y21" s="162" t="str">
        <f aca="false">IFERROR(VLOOKUP(Y$2,Rango_Admin_DailyPred,MATCH($F21,Rango_Admin_DailyPred_Primera,0)+1,0),"-")</f>
        <v>-</v>
      </c>
      <c r="Z21" s="162" t="str">
        <f aca="false">IFERROR(VLOOKUP(Z$2,Rango_Admin_DailyPred,MATCH($F21,Rango_Admin_DailyPred_Primera,0)+1,0),"-")</f>
        <v>-</v>
      </c>
      <c r="AA21" s="162" t="str">
        <f aca="false">IFERROR(VLOOKUP(AA$2,Rango_Admin_DailyPred,MATCH($F21,Rango_Admin_DailyPred_Primera,0)+1,0),"-")</f>
        <v>-</v>
      </c>
      <c r="AB21" s="162" t="str">
        <f aca="false">IFERROR(VLOOKUP(AB$2,Rango_Admin_DailyPred,MATCH($F21,Rango_Admin_DailyPred_Primera,0)+1,0),"-")</f>
        <v>-</v>
      </c>
      <c r="AC21" s="162" t="str">
        <f aca="false">IFERROR(VLOOKUP(AC$2,Rango_Admin_DailyPred,MATCH($F21,Rango_Admin_DailyPred_Primera,0)+1,0),"-")</f>
        <v>-</v>
      </c>
      <c r="AD21" s="162" t="str">
        <f aca="false">IFERROR(VLOOKUP(AD$2,Rango_Admin_DailyPred,MATCH($F21,Rango_Admin_DailyPred_Primera,0)+1,0),"-")</f>
        <v>-</v>
      </c>
      <c r="AE21" s="162" t="str">
        <f aca="false">IFERROR(VLOOKUP(AE$2,Rango_Admin_DailyPred,MATCH($F21,Rango_Admin_DailyPred_Primera,0)+1,0),"-")</f>
        <v>-</v>
      </c>
      <c r="AF21" s="162" t="str">
        <f aca="false">IFERROR(VLOOKUP(AF$2,Rango_Admin_DailyPred,MATCH($F21,Rango_Admin_DailyPred_Primera,0)+1,0),"-")</f>
        <v>-</v>
      </c>
      <c r="AG21" s="162" t="str">
        <f aca="false">IFERROR(VLOOKUP(AG$2,Rango_Admin_DailyPred,MATCH($F21,Rango_Admin_DailyPred_Primera,0)+1,0),"-")</f>
        <v>-</v>
      </c>
      <c r="AH21" s="162" t="str">
        <f aca="false">IFERROR(VLOOKUP(AH$2,Rango_Admin_DailyPred,MATCH($F21,Rango_Admin_DailyPred_Primera,0)+1,0),"-")</f>
        <v>-</v>
      </c>
      <c r="AI21" s="162" t="str">
        <f aca="false">IFERROR(VLOOKUP(AI$2,Rango_Admin_DailyPred,MATCH($F21,Rango_Admin_DailyPred_Primera,0)+1,0),"-")</f>
        <v>-</v>
      </c>
      <c r="AJ21" s="162" t="str">
        <f aca="false">IFERROR(VLOOKUP(AJ$2,Rango_Admin_DailyPred,MATCH($F21,Rango_Admin_DailyPred_Primera,0)+1,0),"-")</f>
        <v>-</v>
      </c>
      <c r="AK21" s="162" t="str">
        <f aca="false">IFERROR(VLOOKUP(AK$2,Rango_Admin_DailyPred,MATCH($F21,Rango_Admin_DailyPred_Primera,0)+1,0),"-")</f>
        <v>-</v>
      </c>
      <c r="AL21" s="162" t="str">
        <f aca="false">IFERROR(VLOOKUP(AL$2,Rango_Admin_DailyPred,MATCH($F21,Rango_Admin_DailyPred_Primera,0)+1,0),"-")</f>
        <v>-</v>
      </c>
      <c r="AM21" s="162" t="str">
        <f aca="false">IFERROR(VLOOKUP(AM$2,Rango_Admin_DailyPred,MATCH($F21,Rango_Admin_DailyPred_Primera,0)+1,0),"-")</f>
        <v>-</v>
      </c>
      <c r="AN21" s="244"/>
    </row>
    <row r="22" customFormat="false" ht="15" hidden="true" customHeight="false" outlineLevel="0" collapsed="false">
      <c r="A22" s="30" t="str">
        <f aca="false" t="array" ref="A22:A22">IFERROR(INDEX(ADMIN!$K$6:$K$258,SMALL(IF(ADMIN!$G$6:$G$258=$K$1,ROW(ADMIN!$G$6:$G$258)-ROW(ADMIN!$G$6)+1),ROWS($A$1:A19))),"")</f>
        <v/>
      </c>
      <c r="B22" s="30" t="str">
        <f aca="false" t="array" ref="B22:B22">IFERROR(IFERROR(INDEX(ADMIN!$K$6:$K$258,SMALL(IF($K$1=ADMIN!$G$6:$G$258,ROW(ADMIN!$K$6:$K$258)-MIN(ROW(ADMIN!$G$6:$G$258))+1,""),ROW()-3)),"")&amp;CHAR(10)&amp;IF(INDEX(ADMIN!$M$6:$M$258,SMALL(IF($K$1=ADMIN!$G$6:$G$258,ROW(ADMIN!$M$6:$M$258)-MIN(ROW(ADMIN!$G$6:$G$258))+1,""),ROW()-3))="0|-",""," ("&amp;INDEX(ADMIN!$M$6:$M$258,SMALL(IF($K$1=ADMIN!$G$6:$G$258,ROW(ADMIN!$M$6:$M$258)-MIN(ROW(ADMIN!$G$6:$G$258))+1,""),ROW()-3))&amp;")"),"")</f>
        <v/>
      </c>
      <c r="C22" s="30" t="n">
        <v>19</v>
      </c>
      <c r="D22" s="463"/>
      <c r="E22" s="479" t="n">
        <f aca="false">IFERROR(HLOOKUP(C22,Rango_Admin_DailyClas,3,FALSE()),"-")</f>
        <v>18</v>
      </c>
      <c r="F22" s="480" t="str">
        <f aca="false">IFERROR(HLOOKUP(C22,Rango_Admin_DailyClas,5,FALSE()),"-")</f>
        <v>Pegar Valores Nombre J19</v>
      </c>
      <c r="G22" s="51" t="n">
        <f aca="false">IFERROR(HLOOKUP(C22,Rango_Admin_DailyClas,4,FALSE()),"-")</f>
        <v>0</v>
      </c>
      <c r="H22" s="162" t="n">
        <f aca="false">IFERROR(VLOOKUP(H$2,Rango_Admin_DailyPred,MATCH($F22,Rango_Admin_DailyPred_Primera,0)+1,0),"-")</f>
        <v>0</v>
      </c>
      <c r="I22" s="162" t="n">
        <f aca="false">IFERROR(VLOOKUP(I$2,Rango_Admin_DailyPred,MATCH($F22,Rango_Admin_DailyPred_Primera,0)+1,0),"-")</f>
        <v>0</v>
      </c>
      <c r="J22" s="162" t="n">
        <f aca="false">IFERROR(VLOOKUP(J$2,Rango_Admin_DailyPred,MATCH($F22,Rango_Admin_DailyPred_Primera,0)+1,0),"-")</f>
        <v>0</v>
      </c>
      <c r="K22" s="162" t="n">
        <f aca="false">IFERROR(VLOOKUP(K$2,Rango_Admin_DailyPred,MATCH($F22,Rango_Admin_DailyPred_Primera,0)+1,0),"-")</f>
        <v>0</v>
      </c>
      <c r="L22" s="162" t="n">
        <f aca="false">IFERROR(VLOOKUP(L$2,Rango_Admin_DailyPred,MATCH($F22,Rango_Admin_DailyPred_Primera,0)+1,0),"-")</f>
        <v>0</v>
      </c>
      <c r="M22" s="162" t="str">
        <f aca="false">IFERROR(VLOOKUP(M$2,Rango_Admin_DailyPred,MATCH($F22,Rango_Admin_DailyPred_Primera,0)+1,0),"-")</f>
        <v>-</v>
      </c>
      <c r="N22" s="162" t="str">
        <f aca="false">IFERROR(VLOOKUP(N$2,Rango_Admin_DailyPred,MATCH($F22,Rango_Admin_DailyPred_Primera,0)+1,0),"-")</f>
        <v>-</v>
      </c>
      <c r="O22" s="162" t="str">
        <f aca="false">IFERROR(VLOOKUP(O$2,Rango_Admin_DailyPred,MATCH($F22,Rango_Admin_DailyPred_Primera,0)+1,0),"-")</f>
        <v>-</v>
      </c>
      <c r="P22" s="162" t="str">
        <f aca="false">IFERROR(VLOOKUP(P$2,Rango_Admin_DailyPred,MATCH($F22,Rango_Admin_DailyPred_Primera,0)+1,0),"-")</f>
        <v>-</v>
      </c>
      <c r="Q22" s="162" t="str">
        <f aca="false">IFERROR(VLOOKUP(Q$2,Rango_Admin_DailyPred,MATCH($F22,Rango_Admin_DailyPred_Primera,0)+1,0),"-")</f>
        <v>-</v>
      </c>
      <c r="R22" s="162" t="str">
        <f aca="false">IFERROR(VLOOKUP(R$2,Rango_Admin_DailyPred,MATCH($F22,Rango_Admin_DailyPred_Primera,0)+1,0),"-")</f>
        <v>-</v>
      </c>
      <c r="S22" s="162" t="str">
        <f aca="false">IFERROR(VLOOKUP(S$2,Rango_Admin_DailyPred,MATCH($F22,Rango_Admin_DailyPred_Primera,0)+1,0),"-")</f>
        <v>-</v>
      </c>
      <c r="T22" s="162" t="str">
        <f aca="false">IFERROR(VLOOKUP(T$2,Rango_Admin_DailyPred,MATCH($F22,Rango_Admin_DailyPred_Primera,0)+1,0),"-")</f>
        <v>-</v>
      </c>
      <c r="U22" s="162" t="str">
        <f aca="false">IFERROR(VLOOKUP(U$2,Rango_Admin_DailyPred,MATCH($F22,Rango_Admin_DailyPred_Primera,0)+1,0),"-")</f>
        <v>-</v>
      </c>
      <c r="V22" s="162" t="str">
        <f aca="false">IFERROR(VLOOKUP(V$2,Rango_Admin_DailyPred,MATCH($F22,Rango_Admin_DailyPred_Primera,0)+1,0),"-")</f>
        <v>-</v>
      </c>
      <c r="W22" s="162" t="str">
        <f aca="false">IFERROR(VLOOKUP(W$2,Rango_Admin_DailyPred,MATCH($F22,Rango_Admin_DailyPred_Primera,0)+1,0),"-")</f>
        <v>-</v>
      </c>
      <c r="X22" s="162" t="str">
        <f aca="false">IFERROR(VLOOKUP(X$2,Rango_Admin_DailyPred,MATCH($F22,Rango_Admin_DailyPred_Primera,0)+1,0),"-")</f>
        <v>-</v>
      </c>
      <c r="Y22" s="162" t="str">
        <f aca="false">IFERROR(VLOOKUP(Y$2,Rango_Admin_DailyPred,MATCH($F22,Rango_Admin_DailyPred_Primera,0)+1,0),"-")</f>
        <v>-</v>
      </c>
      <c r="Z22" s="162" t="str">
        <f aca="false">IFERROR(VLOOKUP(Z$2,Rango_Admin_DailyPred,MATCH($F22,Rango_Admin_DailyPred_Primera,0)+1,0),"-")</f>
        <v>-</v>
      </c>
      <c r="AA22" s="162" t="str">
        <f aca="false">IFERROR(VLOOKUP(AA$2,Rango_Admin_DailyPred,MATCH($F22,Rango_Admin_DailyPred_Primera,0)+1,0),"-")</f>
        <v>-</v>
      </c>
      <c r="AB22" s="162" t="str">
        <f aca="false">IFERROR(VLOOKUP(AB$2,Rango_Admin_DailyPred,MATCH($F22,Rango_Admin_DailyPred_Primera,0)+1,0),"-")</f>
        <v>-</v>
      </c>
      <c r="AC22" s="162" t="str">
        <f aca="false">IFERROR(VLOOKUP(AC$2,Rango_Admin_DailyPred,MATCH($F22,Rango_Admin_DailyPred_Primera,0)+1,0),"-")</f>
        <v>-</v>
      </c>
      <c r="AD22" s="162" t="str">
        <f aca="false">IFERROR(VLOOKUP(AD$2,Rango_Admin_DailyPred,MATCH($F22,Rango_Admin_DailyPred_Primera,0)+1,0),"-")</f>
        <v>-</v>
      </c>
      <c r="AE22" s="162" t="str">
        <f aca="false">IFERROR(VLOOKUP(AE$2,Rango_Admin_DailyPred,MATCH($F22,Rango_Admin_DailyPred_Primera,0)+1,0),"-")</f>
        <v>-</v>
      </c>
      <c r="AF22" s="162" t="str">
        <f aca="false">IFERROR(VLOOKUP(AF$2,Rango_Admin_DailyPred,MATCH($F22,Rango_Admin_DailyPred_Primera,0)+1,0),"-")</f>
        <v>-</v>
      </c>
      <c r="AG22" s="162" t="str">
        <f aca="false">IFERROR(VLOOKUP(AG$2,Rango_Admin_DailyPred,MATCH($F22,Rango_Admin_DailyPred_Primera,0)+1,0),"-")</f>
        <v>-</v>
      </c>
      <c r="AH22" s="162" t="str">
        <f aca="false">IFERROR(VLOOKUP(AH$2,Rango_Admin_DailyPred,MATCH($F22,Rango_Admin_DailyPred_Primera,0)+1,0),"-")</f>
        <v>-</v>
      </c>
      <c r="AI22" s="162" t="str">
        <f aca="false">IFERROR(VLOOKUP(AI$2,Rango_Admin_DailyPred,MATCH($F22,Rango_Admin_DailyPred_Primera,0)+1,0),"-")</f>
        <v>-</v>
      </c>
      <c r="AJ22" s="162" t="str">
        <f aca="false">IFERROR(VLOOKUP(AJ$2,Rango_Admin_DailyPred,MATCH($F22,Rango_Admin_DailyPred_Primera,0)+1,0),"-")</f>
        <v>-</v>
      </c>
      <c r="AK22" s="162" t="str">
        <f aca="false">IFERROR(VLOOKUP(AK$2,Rango_Admin_DailyPred,MATCH($F22,Rango_Admin_DailyPred_Primera,0)+1,0),"-")</f>
        <v>-</v>
      </c>
      <c r="AL22" s="162" t="str">
        <f aca="false">IFERROR(VLOOKUP(AL$2,Rango_Admin_DailyPred,MATCH($F22,Rango_Admin_DailyPred_Primera,0)+1,0),"-")</f>
        <v>-</v>
      </c>
      <c r="AM22" s="162" t="str">
        <f aca="false">IFERROR(VLOOKUP(AM$2,Rango_Admin_DailyPred,MATCH($F22,Rango_Admin_DailyPred_Primera,0)+1,0),"-")</f>
        <v>-</v>
      </c>
      <c r="AN22" s="244"/>
    </row>
    <row r="23" customFormat="false" ht="15" hidden="true" customHeight="false" outlineLevel="0" collapsed="false">
      <c r="A23" s="30" t="str">
        <f aca="false" t="array" ref="A23:A23">IFERROR(INDEX(ADMIN!$K$6:$K$258,SMALL(IF(ADMIN!$G$6:$G$258=$K$1,ROW(ADMIN!$G$6:$G$258)-ROW(ADMIN!$G$6)+1),ROWS($A$1:A20))),"")</f>
        <v/>
      </c>
      <c r="B23" s="30" t="str">
        <f aca="false" t="array" ref="B23:B23">IFERROR(IFERROR(INDEX(ADMIN!$K$6:$K$258,SMALL(IF($K$1=ADMIN!$G$6:$G$258,ROW(ADMIN!$K$6:$K$258)-MIN(ROW(ADMIN!$G$6:$G$258))+1,""),ROW()-3)),"")&amp;CHAR(10)&amp;IF(INDEX(ADMIN!$M$6:$M$258,SMALL(IF($K$1=ADMIN!$G$6:$G$258,ROW(ADMIN!$M$6:$M$258)-MIN(ROW(ADMIN!$G$6:$G$258))+1,""),ROW()-3))="0|-",""," ("&amp;INDEX(ADMIN!$M$6:$M$258,SMALL(IF($K$1=ADMIN!$G$6:$G$258,ROW(ADMIN!$M$6:$M$258)-MIN(ROW(ADMIN!$G$6:$G$258))+1,""),ROW()-3))&amp;")"),"")</f>
        <v/>
      </c>
      <c r="C23" s="30" t="n">
        <v>20</v>
      </c>
      <c r="D23" s="463"/>
      <c r="E23" s="479" t="n">
        <f aca="false">IFERROR(HLOOKUP(C23,Rango_Admin_DailyClas,3,FALSE()),"-")</f>
        <v>18</v>
      </c>
      <c r="F23" s="480" t="str">
        <f aca="false">IFERROR(HLOOKUP(C23,Rango_Admin_DailyClas,5,FALSE()),"-")</f>
        <v>Pegar Valores Nombre J20</v>
      </c>
      <c r="G23" s="51" t="n">
        <f aca="false">IFERROR(HLOOKUP(C23,Rango_Admin_DailyClas,4,FALSE()),"-")</f>
        <v>0</v>
      </c>
      <c r="H23" s="162" t="n">
        <f aca="false">IFERROR(VLOOKUP(H$2,Rango_Admin_DailyPred,MATCH($F23,Rango_Admin_DailyPred_Primera,0)+1,0),"-")</f>
        <v>0</v>
      </c>
      <c r="I23" s="162" t="n">
        <f aca="false">IFERROR(VLOOKUP(I$2,Rango_Admin_DailyPred,MATCH($F23,Rango_Admin_DailyPred_Primera,0)+1,0),"-")</f>
        <v>0</v>
      </c>
      <c r="J23" s="162" t="n">
        <f aca="false">IFERROR(VLOOKUP(J$2,Rango_Admin_DailyPred,MATCH($F23,Rango_Admin_DailyPred_Primera,0)+1,0),"-")</f>
        <v>0</v>
      </c>
      <c r="K23" s="162" t="n">
        <f aca="false">IFERROR(VLOOKUP(K$2,Rango_Admin_DailyPred,MATCH($F23,Rango_Admin_DailyPred_Primera,0)+1,0),"-")</f>
        <v>0</v>
      </c>
      <c r="L23" s="162" t="n">
        <f aca="false">IFERROR(VLOOKUP(L$2,Rango_Admin_DailyPred,MATCH($F23,Rango_Admin_DailyPred_Primera,0)+1,0),"-")</f>
        <v>0</v>
      </c>
      <c r="M23" s="162" t="str">
        <f aca="false">IFERROR(VLOOKUP(M$2,Rango_Admin_DailyPred,MATCH($F23,Rango_Admin_DailyPred_Primera,0)+1,0),"-")</f>
        <v>-</v>
      </c>
      <c r="N23" s="162" t="str">
        <f aca="false">IFERROR(VLOOKUP(N$2,Rango_Admin_DailyPred,MATCH($F23,Rango_Admin_DailyPred_Primera,0)+1,0),"-")</f>
        <v>-</v>
      </c>
      <c r="O23" s="162" t="str">
        <f aca="false">IFERROR(VLOOKUP(O$2,Rango_Admin_DailyPred,MATCH($F23,Rango_Admin_DailyPred_Primera,0)+1,0),"-")</f>
        <v>-</v>
      </c>
      <c r="P23" s="162" t="str">
        <f aca="false">IFERROR(VLOOKUP(P$2,Rango_Admin_DailyPred,MATCH($F23,Rango_Admin_DailyPred_Primera,0)+1,0),"-")</f>
        <v>-</v>
      </c>
      <c r="Q23" s="162" t="str">
        <f aca="false">IFERROR(VLOOKUP(Q$2,Rango_Admin_DailyPred,MATCH($F23,Rango_Admin_DailyPred_Primera,0)+1,0),"-")</f>
        <v>-</v>
      </c>
      <c r="R23" s="162" t="str">
        <f aca="false">IFERROR(VLOOKUP(R$2,Rango_Admin_DailyPred,MATCH($F23,Rango_Admin_DailyPred_Primera,0)+1,0),"-")</f>
        <v>-</v>
      </c>
      <c r="S23" s="162" t="str">
        <f aca="false">IFERROR(VLOOKUP(S$2,Rango_Admin_DailyPred,MATCH($F23,Rango_Admin_DailyPred_Primera,0)+1,0),"-")</f>
        <v>-</v>
      </c>
      <c r="T23" s="162" t="str">
        <f aca="false">IFERROR(VLOOKUP(T$2,Rango_Admin_DailyPred,MATCH($F23,Rango_Admin_DailyPred_Primera,0)+1,0),"-")</f>
        <v>-</v>
      </c>
      <c r="U23" s="162" t="str">
        <f aca="false">IFERROR(VLOOKUP(U$2,Rango_Admin_DailyPred,MATCH($F23,Rango_Admin_DailyPred_Primera,0)+1,0),"-")</f>
        <v>-</v>
      </c>
      <c r="V23" s="162" t="str">
        <f aca="false">IFERROR(VLOOKUP(V$2,Rango_Admin_DailyPred,MATCH($F23,Rango_Admin_DailyPred_Primera,0)+1,0),"-")</f>
        <v>-</v>
      </c>
      <c r="W23" s="162" t="str">
        <f aca="false">IFERROR(VLOOKUP(W$2,Rango_Admin_DailyPred,MATCH($F23,Rango_Admin_DailyPred_Primera,0)+1,0),"-")</f>
        <v>-</v>
      </c>
      <c r="X23" s="162" t="str">
        <f aca="false">IFERROR(VLOOKUP(X$2,Rango_Admin_DailyPred,MATCH($F23,Rango_Admin_DailyPred_Primera,0)+1,0),"-")</f>
        <v>-</v>
      </c>
      <c r="Y23" s="162" t="str">
        <f aca="false">IFERROR(VLOOKUP(Y$2,Rango_Admin_DailyPred,MATCH($F23,Rango_Admin_DailyPred_Primera,0)+1,0),"-")</f>
        <v>-</v>
      </c>
      <c r="Z23" s="162" t="str">
        <f aca="false">IFERROR(VLOOKUP(Z$2,Rango_Admin_DailyPred,MATCH($F23,Rango_Admin_DailyPred_Primera,0)+1,0),"-")</f>
        <v>-</v>
      </c>
      <c r="AA23" s="162" t="str">
        <f aca="false">IFERROR(VLOOKUP(AA$2,Rango_Admin_DailyPred,MATCH($F23,Rango_Admin_DailyPred_Primera,0)+1,0),"-")</f>
        <v>-</v>
      </c>
      <c r="AB23" s="162" t="str">
        <f aca="false">IFERROR(VLOOKUP(AB$2,Rango_Admin_DailyPred,MATCH($F23,Rango_Admin_DailyPred_Primera,0)+1,0),"-")</f>
        <v>-</v>
      </c>
      <c r="AC23" s="162" t="str">
        <f aca="false">IFERROR(VLOOKUP(AC$2,Rango_Admin_DailyPred,MATCH($F23,Rango_Admin_DailyPred_Primera,0)+1,0),"-")</f>
        <v>-</v>
      </c>
      <c r="AD23" s="162" t="str">
        <f aca="false">IFERROR(VLOOKUP(AD$2,Rango_Admin_DailyPred,MATCH($F23,Rango_Admin_DailyPred_Primera,0)+1,0),"-")</f>
        <v>-</v>
      </c>
      <c r="AE23" s="162" t="str">
        <f aca="false">IFERROR(VLOOKUP(AE$2,Rango_Admin_DailyPred,MATCH($F23,Rango_Admin_DailyPred_Primera,0)+1,0),"-")</f>
        <v>-</v>
      </c>
      <c r="AF23" s="162" t="str">
        <f aca="false">IFERROR(VLOOKUP(AF$2,Rango_Admin_DailyPred,MATCH($F23,Rango_Admin_DailyPred_Primera,0)+1,0),"-")</f>
        <v>-</v>
      </c>
      <c r="AG23" s="162" t="str">
        <f aca="false">IFERROR(VLOOKUP(AG$2,Rango_Admin_DailyPred,MATCH($F23,Rango_Admin_DailyPred_Primera,0)+1,0),"-")</f>
        <v>-</v>
      </c>
      <c r="AH23" s="162" t="str">
        <f aca="false">IFERROR(VLOOKUP(AH$2,Rango_Admin_DailyPred,MATCH($F23,Rango_Admin_DailyPred_Primera,0)+1,0),"-")</f>
        <v>-</v>
      </c>
      <c r="AI23" s="162" t="str">
        <f aca="false">IFERROR(VLOOKUP(AI$2,Rango_Admin_DailyPred,MATCH($F23,Rango_Admin_DailyPred_Primera,0)+1,0),"-")</f>
        <v>-</v>
      </c>
      <c r="AJ23" s="162" t="str">
        <f aca="false">IFERROR(VLOOKUP(AJ$2,Rango_Admin_DailyPred,MATCH($F23,Rango_Admin_DailyPred_Primera,0)+1,0),"-")</f>
        <v>-</v>
      </c>
      <c r="AK23" s="162" t="str">
        <f aca="false">IFERROR(VLOOKUP(AK$2,Rango_Admin_DailyPred,MATCH($F23,Rango_Admin_DailyPred_Primera,0)+1,0),"-")</f>
        <v>-</v>
      </c>
      <c r="AL23" s="162" t="str">
        <f aca="false">IFERROR(VLOOKUP(AL$2,Rango_Admin_DailyPred,MATCH($F23,Rango_Admin_DailyPred_Primera,0)+1,0),"-")</f>
        <v>-</v>
      </c>
      <c r="AM23" s="162" t="str">
        <f aca="false">IFERROR(VLOOKUP(AM$2,Rango_Admin_DailyPred,MATCH($F23,Rango_Admin_DailyPred_Primera,0)+1,0),"-")</f>
        <v>-</v>
      </c>
      <c r="AN23" s="244"/>
    </row>
    <row r="24" customFormat="false" ht="15" hidden="true" customHeight="false" outlineLevel="0" collapsed="false">
      <c r="A24" s="30" t="str">
        <f aca="false" t="array" ref="A24:A24">IFERROR(INDEX(ADMIN!$K$6:$K$258,SMALL(IF(ADMIN!$G$6:$G$258=$K$1,ROW(ADMIN!$G$6:$G$258)-ROW(ADMIN!$G$6)+1),ROWS($A$1:A21))),"")</f>
        <v/>
      </c>
      <c r="B24" s="30" t="str">
        <f aca="false" t="array" ref="B24:B24">IFERROR(IFERROR(INDEX(ADMIN!$K$6:$K$258,SMALL(IF($K$1=ADMIN!$G$6:$G$258,ROW(ADMIN!$K$6:$K$258)-MIN(ROW(ADMIN!$G$6:$G$258))+1,""),ROW()-3)),"")&amp;CHAR(10)&amp;IF(INDEX(ADMIN!$M$6:$M$258,SMALL(IF($K$1=ADMIN!$G$6:$G$258,ROW(ADMIN!$M$6:$M$258)-MIN(ROW(ADMIN!$G$6:$G$258))+1,""),ROW()-3))="0|-",""," ("&amp;INDEX(ADMIN!$M$6:$M$258,SMALL(IF($K$1=ADMIN!$G$6:$G$258,ROW(ADMIN!$M$6:$M$258)-MIN(ROW(ADMIN!$G$6:$G$258))+1,""),ROW()-3))&amp;")"),"")</f>
        <v/>
      </c>
      <c r="C24" s="30" t="n">
        <v>21</v>
      </c>
      <c r="D24" s="463"/>
      <c r="E24" s="479" t="n">
        <f aca="false">IFERROR(HLOOKUP(C24,Rango_Admin_DailyClas,3,FALSE()),"-")</f>
        <v>18</v>
      </c>
      <c r="F24" s="480" t="str">
        <f aca="false">IFERROR(HLOOKUP(C24,Rango_Admin_DailyClas,5,FALSE()),"-")</f>
        <v>Pegar Valores Nombre J21</v>
      </c>
      <c r="G24" s="51" t="n">
        <f aca="false">IFERROR(HLOOKUP(C24,Rango_Admin_DailyClas,4,FALSE()),"-")</f>
        <v>0</v>
      </c>
      <c r="H24" s="162" t="n">
        <f aca="false">IFERROR(VLOOKUP(H$2,Rango_Admin_DailyPred,MATCH($F24,Rango_Admin_DailyPred_Primera,0)+1,0),"-")</f>
        <v>0</v>
      </c>
      <c r="I24" s="162" t="n">
        <f aca="false">IFERROR(VLOOKUP(I$2,Rango_Admin_DailyPred,MATCH($F24,Rango_Admin_DailyPred_Primera,0)+1,0),"-")</f>
        <v>0</v>
      </c>
      <c r="J24" s="162" t="n">
        <f aca="false">IFERROR(VLOOKUP(J$2,Rango_Admin_DailyPred,MATCH($F24,Rango_Admin_DailyPred_Primera,0)+1,0),"-")</f>
        <v>0</v>
      </c>
      <c r="K24" s="162" t="n">
        <f aca="false">IFERROR(VLOOKUP(K$2,Rango_Admin_DailyPred,MATCH($F24,Rango_Admin_DailyPred_Primera,0)+1,0),"-")</f>
        <v>0</v>
      </c>
      <c r="L24" s="162" t="n">
        <f aca="false">IFERROR(VLOOKUP(L$2,Rango_Admin_DailyPred,MATCH($F24,Rango_Admin_DailyPred_Primera,0)+1,0),"-")</f>
        <v>0</v>
      </c>
      <c r="M24" s="162" t="str">
        <f aca="false">IFERROR(VLOOKUP(M$2,Rango_Admin_DailyPred,MATCH($F24,Rango_Admin_DailyPred_Primera,0)+1,0),"-")</f>
        <v>-</v>
      </c>
      <c r="N24" s="162" t="str">
        <f aca="false">IFERROR(VLOOKUP(N$2,Rango_Admin_DailyPred,MATCH($F24,Rango_Admin_DailyPred_Primera,0)+1,0),"-")</f>
        <v>-</v>
      </c>
      <c r="O24" s="162" t="str">
        <f aca="false">IFERROR(VLOOKUP(O$2,Rango_Admin_DailyPred,MATCH($F24,Rango_Admin_DailyPred_Primera,0)+1,0),"-")</f>
        <v>-</v>
      </c>
      <c r="P24" s="162" t="str">
        <f aca="false">IFERROR(VLOOKUP(P$2,Rango_Admin_DailyPred,MATCH($F24,Rango_Admin_DailyPred_Primera,0)+1,0),"-")</f>
        <v>-</v>
      </c>
      <c r="Q24" s="162" t="str">
        <f aca="false">IFERROR(VLOOKUP(Q$2,Rango_Admin_DailyPred,MATCH($F24,Rango_Admin_DailyPred_Primera,0)+1,0),"-")</f>
        <v>-</v>
      </c>
      <c r="R24" s="162" t="str">
        <f aca="false">IFERROR(VLOOKUP(R$2,Rango_Admin_DailyPred,MATCH($F24,Rango_Admin_DailyPred_Primera,0)+1,0),"-")</f>
        <v>-</v>
      </c>
      <c r="S24" s="162" t="str">
        <f aca="false">IFERROR(VLOOKUP(S$2,Rango_Admin_DailyPred,MATCH($F24,Rango_Admin_DailyPred_Primera,0)+1,0),"-")</f>
        <v>-</v>
      </c>
      <c r="T24" s="162" t="str">
        <f aca="false">IFERROR(VLOOKUP(T$2,Rango_Admin_DailyPred,MATCH($F24,Rango_Admin_DailyPred_Primera,0)+1,0),"-")</f>
        <v>-</v>
      </c>
      <c r="U24" s="162" t="str">
        <f aca="false">IFERROR(VLOOKUP(U$2,Rango_Admin_DailyPred,MATCH($F24,Rango_Admin_DailyPred_Primera,0)+1,0),"-")</f>
        <v>-</v>
      </c>
      <c r="V24" s="162" t="str">
        <f aca="false">IFERROR(VLOOKUP(V$2,Rango_Admin_DailyPred,MATCH($F24,Rango_Admin_DailyPred_Primera,0)+1,0),"-")</f>
        <v>-</v>
      </c>
      <c r="W24" s="162" t="str">
        <f aca="false">IFERROR(VLOOKUP(W$2,Rango_Admin_DailyPred,MATCH($F24,Rango_Admin_DailyPred_Primera,0)+1,0),"-")</f>
        <v>-</v>
      </c>
      <c r="X24" s="162" t="str">
        <f aca="false">IFERROR(VLOOKUP(X$2,Rango_Admin_DailyPred,MATCH($F24,Rango_Admin_DailyPred_Primera,0)+1,0),"-")</f>
        <v>-</v>
      </c>
      <c r="Y24" s="162" t="str">
        <f aca="false">IFERROR(VLOOKUP(Y$2,Rango_Admin_DailyPred,MATCH($F24,Rango_Admin_DailyPred_Primera,0)+1,0),"-")</f>
        <v>-</v>
      </c>
      <c r="Z24" s="162" t="str">
        <f aca="false">IFERROR(VLOOKUP(Z$2,Rango_Admin_DailyPred,MATCH($F24,Rango_Admin_DailyPred_Primera,0)+1,0),"-")</f>
        <v>-</v>
      </c>
      <c r="AA24" s="162" t="str">
        <f aca="false">IFERROR(VLOOKUP(AA$2,Rango_Admin_DailyPred,MATCH($F24,Rango_Admin_DailyPred_Primera,0)+1,0),"-")</f>
        <v>-</v>
      </c>
      <c r="AB24" s="162" t="str">
        <f aca="false">IFERROR(VLOOKUP(AB$2,Rango_Admin_DailyPred,MATCH($F24,Rango_Admin_DailyPred_Primera,0)+1,0),"-")</f>
        <v>-</v>
      </c>
      <c r="AC24" s="162" t="str">
        <f aca="false">IFERROR(VLOOKUP(AC$2,Rango_Admin_DailyPred,MATCH($F24,Rango_Admin_DailyPred_Primera,0)+1,0),"-")</f>
        <v>-</v>
      </c>
      <c r="AD24" s="162" t="str">
        <f aca="false">IFERROR(VLOOKUP(AD$2,Rango_Admin_DailyPred,MATCH($F24,Rango_Admin_DailyPred_Primera,0)+1,0),"-")</f>
        <v>-</v>
      </c>
      <c r="AE24" s="162" t="str">
        <f aca="false">IFERROR(VLOOKUP(AE$2,Rango_Admin_DailyPred,MATCH($F24,Rango_Admin_DailyPred_Primera,0)+1,0),"-")</f>
        <v>-</v>
      </c>
      <c r="AF24" s="162" t="str">
        <f aca="false">IFERROR(VLOOKUP(AF$2,Rango_Admin_DailyPred,MATCH($F24,Rango_Admin_DailyPred_Primera,0)+1,0),"-")</f>
        <v>-</v>
      </c>
      <c r="AG24" s="162" t="str">
        <f aca="false">IFERROR(VLOOKUP(AG$2,Rango_Admin_DailyPred,MATCH($F24,Rango_Admin_DailyPred_Primera,0)+1,0),"-")</f>
        <v>-</v>
      </c>
      <c r="AH24" s="162" t="str">
        <f aca="false">IFERROR(VLOOKUP(AH$2,Rango_Admin_DailyPred,MATCH($F24,Rango_Admin_DailyPred_Primera,0)+1,0),"-")</f>
        <v>-</v>
      </c>
      <c r="AI24" s="162" t="str">
        <f aca="false">IFERROR(VLOOKUP(AI$2,Rango_Admin_DailyPred,MATCH($F24,Rango_Admin_DailyPred_Primera,0)+1,0),"-")</f>
        <v>-</v>
      </c>
      <c r="AJ24" s="162" t="str">
        <f aca="false">IFERROR(VLOOKUP(AJ$2,Rango_Admin_DailyPred,MATCH($F24,Rango_Admin_DailyPred_Primera,0)+1,0),"-")</f>
        <v>-</v>
      </c>
      <c r="AK24" s="162" t="str">
        <f aca="false">IFERROR(VLOOKUP(AK$2,Rango_Admin_DailyPred,MATCH($F24,Rango_Admin_DailyPred_Primera,0)+1,0),"-")</f>
        <v>-</v>
      </c>
      <c r="AL24" s="162" t="str">
        <f aca="false">IFERROR(VLOOKUP(AL$2,Rango_Admin_DailyPred,MATCH($F24,Rango_Admin_DailyPred_Primera,0)+1,0),"-")</f>
        <v>-</v>
      </c>
      <c r="AM24" s="162" t="str">
        <f aca="false">IFERROR(VLOOKUP(AM$2,Rango_Admin_DailyPred,MATCH($F24,Rango_Admin_DailyPred_Primera,0)+1,0),"-")</f>
        <v>-</v>
      </c>
      <c r="AN24" s="244"/>
    </row>
    <row r="25" customFormat="false" ht="15" hidden="true" customHeight="false" outlineLevel="0" collapsed="false">
      <c r="A25" s="30" t="str">
        <f aca="false" t="array" ref="A25:A25">IFERROR(INDEX(ADMIN!$K$6:$K$258,SMALL(IF(ADMIN!$G$6:$G$258=$K$1,ROW(ADMIN!$G$6:$G$258)-ROW(ADMIN!$G$6)+1),ROWS($A$1:A22))),"")</f>
        <v/>
      </c>
      <c r="B25" s="30" t="str">
        <f aca="false" t="array" ref="B25:B25">IFERROR(IFERROR(INDEX(ADMIN!$K$6:$K$258,SMALL(IF($K$1=ADMIN!$G$6:$G$258,ROW(ADMIN!$K$6:$K$258)-MIN(ROW(ADMIN!$G$6:$G$258))+1,""),ROW()-3)),"")&amp;CHAR(10)&amp;IF(INDEX(ADMIN!$M$6:$M$258,SMALL(IF($K$1=ADMIN!$G$6:$G$258,ROW(ADMIN!$M$6:$M$258)-MIN(ROW(ADMIN!$G$6:$G$258))+1,""),ROW()-3))="0|-",""," ("&amp;INDEX(ADMIN!$M$6:$M$258,SMALL(IF($K$1=ADMIN!$G$6:$G$258,ROW(ADMIN!$M$6:$M$258)-MIN(ROW(ADMIN!$G$6:$G$258))+1,""),ROW()-3))&amp;")"),"")</f>
        <v/>
      </c>
      <c r="C25" s="30" t="n">
        <v>22</v>
      </c>
      <c r="D25" s="463"/>
      <c r="E25" s="479" t="n">
        <f aca="false">IFERROR(HLOOKUP(C25,Rango_Admin_DailyClas,3,FALSE()),"-")</f>
        <v>18</v>
      </c>
      <c r="F25" s="480" t="str">
        <f aca="false">IFERROR(HLOOKUP(C25,Rango_Admin_DailyClas,5,FALSE()),"-")</f>
        <v>Pegar Valores Nombre J22</v>
      </c>
      <c r="G25" s="51" t="n">
        <f aca="false">IFERROR(HLOOKUP(C25,Rango_Admin_DailyClas,4,FALSE()),"-")</f>
        <v>0</v>
      </c>
      <c r="H25" s="162" t="n">
        <f aca="false">IFERROR(VLOOKUP(H$2,Rango_Admin_DailyPred,MATCH($F25,Rango_Admin_DailyPred_Primera,0)+1,0),"-")</f>
        <v>0</v>
      </c>
      <c r="I25" s="162" t="n">
        <f aca="false">IFERROR(VLOOKUP(I$2,Rango_Admin_DailyPred,MATCH($F25,Rango_Admin_DailyPred_Primera,0)+1,0),"-")</f>
        <v>0</v>
      </c>
      <c r="J25" s="162" t="n">
        <f aca="false">IFERROR(VLOOKUP(J$2,Rango_Admin_DailyPred,MATCH($F25,Rango_Admin_DailyPred_Primera,0)+1,0),"-")</f>
        <v>0</v>
      </c>
      <c r="K25" s="162" t="n">
        <f aca="false">IFERROR(VLOOKUP(K$2,Rango_Admin_DailyPred,MATCH($F25,Rango_Admin_DailyPred_Primera,0)+1,0),"-")</f>
        <v>0</v>
      </c>
      <c r="L25" s="162" t="n">
        <f aca="false">IFERROR(VLOOKUP(L$2,Rango_Admin_DailyPred,MATCH($F25,Rango_Admin_DailyPred_Primera,0)+1,0),"-")</f>
        <v>0</v>
      </c>
      <c r="M25" s="162" t="str">
        <f aca="false">IFERROR(VLOOKUP(M$2,Rango_Admin_DailyPred,MATCH($F25,Rango_Admin_DailyPred_Primera,0)+1,0),"-")</f>
        <v>-</v>
      </c>
      <c r="N25" s="162" t="str">
        <f aca="false">IFERROR(VLOOKUP(N$2,Rango_Admin_DailyPred,MATCH($F25,Rango_Admin_DailyPred_Primera,0)+1,0),"-")</f>
        <v>-</v>
      </c>
      <c r="O25" s="162" t="str">
        <f aca="false">IFERROR(VLOOKUP(O$2,Rango_Admin_DailyPred,MATCH($F25,Rango_Admin_DailyPred_Primera,0)+1,0),"-")</f>
        <v>-</v>
      </c>
      <c r="P25" s="162" t="str">
        <f aca="false">IFERROR(VLOOKUP(P$2,Rango_Admin_DailyPred,MATCH($F25,Rango_Admin_DailyPred_Primera,0)+1,0),"-")</f>
        <v>-</v>
      </c>
      <c r="Q25" s="162" t="str">
        <f aca="false">IFERROR(VLOOKUP(Q$2,Rango_Admin_DailyPred,MATCH($F25,Rango_Admin_DailyPred_Primera,0)+1,0),"-")</f>
        <v>-</v>
      </c>
      <c r="R25" s="162" t="str">
        <f aca="false">IFERROR(VLOOKUP(R$2,Rango_Admin_DailyPred,MATCH($F25,Rango_Admin_DailyPred_Primera,0)+1,0),"-")</f>
        <v>-</v>
      </c>
      <c r="S25" s="162" t="str">
        <f aca="false">IFERROR(VLOOKUP(S$2,Rango_Admin_DailyPred,MATCH($F25,Rango_Admin_DailyPred_Primera,0)+1,0),"-")</f>
        <v>-</v>
      </c>
      <c r="T25" s="162" t="str">
        <f aca="false">IFERROR(VLOOKUP(T$2,Rango_Admin_DailyPred,MATCH($F25,Rango_Admin_DailyPred_Primera,0)+1,0),"-")</f>
        <v>-</v>
      </c>
      <c r="U25" s="162" t="str">
        <f aca="false">IFERROR(VLOOKUP(U$2,Rango_Admin_DailyPred,MATCH($F25,Rango_Admin_DailyPred_Primera,0)+1,0),"-")</f>
        <v>-</v>
      </c>
      <c r="V25" s="162" t="str">
        <f aca="false">IFERROR(VLOOKUP(V$2,Rango_Admin_DailyPred,MATCH($F25,Rango_Admin_DailyPred_Primera,0)+1,0),"-")</f>
        <v>-</v>
      </c>
      <c r="W25" s="162" t="str">
        <f aca="false">IFERROR(VLOOKUP(W$2,Rango_Admin_DailyPred,MATCH($F25,Rango_Admin_DailyPred_Primera,0)+1,0),"-")</f>
        <v>-</v>
      </c>
      <c r="X25" s="162" t="str">
        <f aca="false">IFERROR(VLOOKUP(X$2,Rango_Admin_DailyPred,MATCH($F25,Rango_Admin_DailyPred_Primera,0)+1,0),"-")</f>
        <v>-</v>
      </c>
      <c r="Y25" s="162" t="str">
        <f aca="false">IFERROR(VLOOKUP(Y$2,Rango_Admin_DailyPred,MATCH($F25,Rango_Admin_DailyPred_Primera,0)+1,0),"-")</f>
        <v>-</v>
      </c>
      <c r="Z25" s="162" t="str">
        <f aca="false">IFERROR(VLOOKUP(Z$2,Rango_Admin_DailyPred,MATCH($F25,Rango_Admin_DailyPred_Primera,0)+1,0),"-")</f>
        <v>-</v>
      </c>
      <c r="AA25" s="162" t="str">
        <f aca="false">IFERROR(VLOOKUP(AA$2,Rango_Admin_DailyPred,MATCH($F25,Rango_Admin_DailyPred_Primera,0)+1,0),"-")</f>
        <v>-</v>
      </c>
      <c r="AB25" s="162" t="str">
        <f aca="false">IFERROR(VLOOKUP(AB$2,Rango_Admin_DailyPred,MATCH($F25,Rango_Admin_DailyPred_Primera,0)+1,0),"-")</f>
        <v>-</v>
      </c>
      <c r="AC25" s="162" t="str">
        <f aca="false">IFERROR(VLOOKUP(AC$2,Rango_Admin_DailyPred,MATCH($F25,Rango_Admin_DailyPred_Primera,0)+1,0),"-")</f>
        <v>-</v>
      </c>
      <c r="AD25" s="162" t="str">
        <f aca="false">IFERROR(VLOOKUP(AD$2,Rango_Admin_DailyPred,MATCH($F25,Rango_Admin_DailyPred_Primera,0)+1,0),"-")</f>
        <v>-</v>
      </c>
      <c r="AE25" s="162" t="str">
        <f aca="false">IFERROR(VLOOKUP(AE$2,Rango_Admin_DailyPred,MATCH($F25,Rango_Admin_DailyPred_Primera,0)+1,0),"-")</f>
        <v>-</v>
      </c>
      <c r="AF25" s="162" t="str">
        <f aca="false">IFERROR(VLOOKUP(AF$2,Rango_Admin_DailyPred,MATCH($F25,Rango_Admin_DailyPred_Primera,0)+1,0),"-")</f>
        <v>-</v>
      </c>
      <c r="AG25" s="162" t="str">
        <f aca="false">IFERROR(VLOOKUP(AG$2,Rango_Admin_DailyPred,MATCH($F25,Rango_Admin_DailyPred_Primera,0)+1,0),"-")</f>
        <v>-</v>
      </c>
      <c r="AH25" s="162" t="str">
        <f aca="false">IFERROR(VLOOKUP(AH$2,Rango_Admin_DailyPred,MATCH($F25,Rango_Admin_DailyPred_Primera,0)+1,0),"-")</f>
        <v>-</v>
      </c>
      <c r="AI25" s="162" t="str">
        <f aca="false">IFERROR(VLOOKUP(AI$2,Rango_Admin_DailyPred,MATCH($F25,Rango_Admin_DailyPred_Primera,0)+1,0),"-")</f>
        <v>-</v>
      </c>
      <c r="AJ25" s="162" t="str">
        <f aca="false">IFERROR(VLOOKUP(AJ$2,Rango_Admin_DailyPred,MATCH($F25,Rango_Admin_DailyPred_Primera,0)+1,0),"-")</f>
        <v>-</v>
      </c>
      <c r="AK25" s="162" t="str">
        <f aca="false">IFERROR(VLOOKUP(AK$2,Rango_Admin_DailyPred,MATCH($F25,Rango_Admin_DailyPred_Primera,0)+1,0),"-")</f>
        <v>-</v>
      </c>
      <c r="AL25" s="162" t="str">
        <f aca="false">IFERROR(VLOOKUP(AL$2,Rango_Admin_DailyPred,MATCH($F25,Rango_Admin_DailyPred_Primera,0)+1,0),"-")</f>
        <v>-</v>
      </c>
      <c r="AM25" s="162" t="str">
        <f aca="false">IFERROR(VLOOKUP(AM$2,Rango_Admin_DailyPred,MATCH($F25,Rango_Admin_DailyPred_Primera,0)+1,0),"-")</f>
        <v>-</v>
      </c>
      <c r="AN25" s="244"/>
    </row>
    <row r="26" customFormat="false" ht="15" hidden="true" customHeight="false" outlineLevel="0" collapsed="false">
      <c r="A26" s="30" t="str">
        <f aca="false" t="array" ref="A26:A26">IFERROR(INDEX(ADMIN!$K$6:$K$258,SMALL(IF(ADMIN!$G$6:$G$258=$K$1,ROW(ADMIN!$G$6:$G$258)-ROW(ADMIN!$G$6)+1),ROWS($A$1:A23))),"")</f>
        <v/>
      </c>
      <c r="B26" s="30" t="str">
        <f aca="false" t="array" ref="B26:B26">IFERROR(IFERROR(INDEX(ADMIN!$K$6:$K$258,SMALL(IF($K$1=ADMIN!$G$6:$G$258,ROW(ADMIN!$K$6:$K$258)-MIN(ROW(ADMIN!$G$6:$G$258))+1,""),ROW()-3)),"")&amp;CHAR(10)&amp;IF(INDEX(ADMIN!$M$6:$M$258,SMALL(IF($K$1=ADMIN!$G$6:$G$258,ROW(ADMIN!$M$6:$M$258)-MIN(ROW(ADMIN!$G$6:$G$258))+1,""),ROW()-3))="0|-",""," ("&amp;INDEX(ADMIN!$M$6:$M$258,SMALL(IF($K$1=ADMIN!$G$6:$G$258,ROW(ADMIN!$M$6:$M$258)-MIN(ROW(ADMIN!$G$6:$G$258))+1,""),ROW()-3))&amp;")"),"")</f>
        <v/>
      </c>
      <c r="C26" s="30" t="n">
        <v>23</v>
      </c>
      <c r="D26" s="463"/>
      <c r="E26" s="479" t="n">
        <f aca="false">IFERROR(HLOOKUP(C26,Rango_Admin_DailyClas,3,FALSE()),"-")</f>
        <v>18</v>
      </c>
      <c r="F26" s="480" t="str">
        <f aca="false">IFERROR(HLOOKUP(C26,Rango_Admin_DailyClas,5,FALSE()),"-")</f>
        <v>Pegar Valores Nombre J23</v>
      </c>
      <c r="G26" s="51" t="n">
        <f aca="false">IFERROR(HLOOKUP(C26,Rango_Admin_DailyClas,4,FALSE()),"-")</f>
        <v>0</v>
      </c>
      <c r="H26" s="162" t="n">
        <f aca="false">IFERROR(VLOOKUP(H$2,Rango_Admin_DailyPred,MATCH($F26,Rango_Admin_DailyPred_Primera,0)+1,0),"-")</f>
        <v>0</v>
      </c>
      <c r="I26" s="162" t="n">
        <f aca="false">IFERROR(VLOOKUP(I$2,Rango_Admin_DailyPred,MATCH($F26,Rango_Admin_DailyPred_Primera,0)+1,0),"-")</f>
        <v>0</v>
      </c>
      <c r="J26" s="162" t="n">
        <f aca="false">IFERROR(VLOOKUP(J$2,Rango_Admin_DailyPred,MATCH($F26,Rango_Admin_DailyPred_Primera,0)+1,0),"-")</f>
        <v>0</v>
      </c>
      <c r="K26" s="162" t="n">
        <f aca="false">IFERROR(VLOOKUP(K$2,Rango_Admin_DailyPred,MATCH($F26,Rango_Admin_DailyPred_Primera,0)+1,0),"-")</f>
        <v>0</v>
      </c>
      <c r="L26" s="162" t="n">
        <f aca="false">IFERROR(VLOOKUP(L$2,Rango_Admin_DailyPred,MATCH($F26,Rango_Admin_DailyPred_Primera,0)+1,0),"-")</f>
        <v>0</v>
      </c>
      <c r="M26" s="162" t="str">
        <f aca="false">IFERROR(VLOOKUP(M$2,Rango_Admin_DailyPred,MATCH($F26,Rango_Admin_DailyPred_Primera,0)+1,0),"-")</f>
        <v>-</v>
      </c>
      <c r="N26" s="162" t="str">
        <f aca="false">IFERROR(VLOOKUP(N$2,Rango_Admin_DailyPred,MATCH($F26,Rango_Admin_DailyPred_Primera,0)+1,0),"-")</f>
        <v>-</v>
      </c>
      <c r="O26" s="162" t="str">
        <f aca="false">IFERROR(VLOOKUP(O$2,Rango_Admin_DailyPred,MATCH($F26,Rango_Admin_DailyPred_Primera,0)+1,0),"-")</f>
        <v>-</v>
      </c>
      <c r="P26" s="162" t="str">
        <f aca="false">IFERROR(VLOOKUP(P$2,Rango_Admin_DailyPred,MATCH($F26,Rango_Admin_DailyPred_Primera,0)+1,0),"-")</f>
        <v>-</v>
      </c>
      <c r="Q26" s="162" t="str">
        <f aca="false">IFERROR(VLOOKUP(Q$2,Rango_Admin_DailyPred,MATCH($F26,Rango_Admin_DailyPred_Primera,0)+1,0),"-")</f>
        <v>-</v>
      </c>
      <c r="R26" s="162" t="str">
        <f aca="false">IFERROR(VLOOKUP(R$2,Rango_Admin_DailyPred,MATCH($F26,Rango_Admin_DailyPred_Primera,0)+1,0),"-")</f>
        <v>-</v>
      </c>
      <c r="S26" s="162" t="str">
        <f aca="false">IFERROR(VLOOKUP(S$2,Rango_Admin_DailyPred,MATCH($F26,Rango_Admin_DailyPred_Primera,0)+1,0),"-")</f>
        <v>-</v>
      </c>
      <c r="T26" s="162" t="str">
        <f aca="false">IFERROR(VLOOKUP(T$2,Rango_Admin_DailyPred,MATCH($F26,Rango_Admin_DailyPred_Primera,0)+1,0),"-")</f>
        <v>-</v>
      </c>
      <c r="U26" s="162" t="str">
        <f aca="false">IFERROR(VLOOKUP(U$2,Rango_Admin_DailyPred,MATCH($F26,Rango_Admin_DailyPred_Primera,0)+1,0),"-")</f>
        <v>-</v>
      </c>
      <c r="V26" s="162" t="str">
        <f aca="false">IFERROR(VLOOKUP(V$2,Rango_Admin_DailyPred,MATCH($F26,Rango_Admin_DailyPred_Primera,0)+1,0),"-")</f>
        <v>-</v>
      </c>
      <c r="W26" s="162" t="str">
        <f aca="false">IFERROR(VLOOKUP(W$2,Rango_Admin_DailyPred,MATCH($F26,Rango_Admin_DailyPred_Primera,0)+1,0),"-")</f>
        <v>-</v>
      </c>
      <c r="X26" s="162" t="str">
        <f aca="false">IFERROR(VLOOKUP(X$2,Rango_Admin_DailyPred,MATCH($F26,Rango_Admin_DailyPred_Primera,0)+1,0),"-")</f>
        <v>-</v>
      </c>
      <c r="Y26" s="162" t="str">
        <f aca="false">IFERROR(VLOOKUP(Y$2,Rango_Admin_DailyPred,MATCH($F26,Rango_Admin_DailyPred_Primera,0)+1,0),"-")</f>
        <v>-</v>
      </c>
      <c r="Z26" s="162" t="str">
        <f aca="false">IFERROR(VLOOKUP(Z$2,Rango_Admin_DailyPred,MATCH($F26,Rango_Admin_DailyPred_Primera,0)+1,0),"-")</f>
        <v>-</v>
      </c>
      <c r="AA26" s="162" t="str">
        <f aca="false">IFERROR(VLOOKUP(AA$2,Rango_Admin_DailyPred,MATCH($F26,Rango_Admin_DailyPred_Primera,0)+1,0),"-")</f>
        <v>-</v>
      </c>
      <c r="AB26" s="162" t="str">
        <f aca="false">IFERROR(VLOOKUP(AB$2,Rango_Admin_DailyPred,MATCH($F26,Rango_Admin_DailyPred_Primera,0)+1,0),"-")</f>
        <v>-</v>
      </c>
      <c r="AC26" s="162" t="str">
        <f aca="false">IFERROR(VLOOKUP(AC$2,Rango_Admin_DailyPred,MATCH($F26,Rango_Admin_DailyPred_Primera,0)+1,0),"-")</f>
        <v>-</v>
      </c>
      <c r="AD26" s="162" t="str">
        <f aca="false">IFERROR(VLOOKUP(AD$2,Rango_Admin_DailyPred,MATCH($F26,Rango_Admin_DailyPred_Primera,0)+1,0),"-")</f>
        <v>-</v>
      </c>
      <c r="AE26" s="162" t="str">
        <f aca="false">IFERROR(VLOOKUP(AE$2,Rango_Admin_DailyPred,MATCH($F26,Rango_Admin_DailyPred_Primera,0)+1,0),"-")</f>
        <v>-</v>
      </c>
      <c r="AF26" s="162" t="str">
        <f aca="false">IFERROR(VLOOKUP(AF$2,Rango_Admin_DailyPred,MATCH($F26,Rango_Admin_DailyPred_Primera,0)+1,0),"-")</f>
        <v>-</v>
      </c>
      <c r="AG26" s="162" t="str">
        <f aca="false">IFERROR(VLOOKUP(AG$2,Rango_Admin_DailyPred,MATCH($F26,Rango_Admin_DailyPred_Primera,0)+1,0),"-")</f>
        <v>-</v>
      </c>
      <c r="AH26" s="162" t="str">
        <f aca="false">IFERROR(VLOOKUP(AH$2,Rango_Admin_DailyPred,MATCH($F26,Rango_Admin_DailyPred_Primera,0)+1,0),"-")</f>
        <v>-</v>
      </c>
      <c r="AI26" s="162" t="str">
        <f aca="false">IFERROR(VLOOKUP(AI$2,Rango_Admin_DailyPred,MATCH($F26,Rango_Admin_DailyPred_Primera,0)+1,0),"-")</f>
        <v>-</v>
      </c>
      <c r="AJ26" s="162" t="str">
        <f aca="false">IFERROR(VLOOKUP(AJ$2,Rango_Admin_DailyPred,MATCH($F26,Rango_Admin_DailyPred_Primera,0)+1,0),"-")</f>
        <v>-</v>
      </c>
      <c r="AK26" s="162" t="str">
        <f aca="false">IFERROR(VLOOKUP(AK$2,Rango_Admin_DailyPred,MATCH($F26,Rango_Admin_DailyPred_Primera,0)+1,0),"-")</f>
        <v>-</v>
      </c>
      <c r="AL26" s="162" t="str">
        <f aca="false">IFERROR(VLOOKUP(AL$2,Rango_Admin_DailyPred,MATCH($F26,Rango_Admin_DailyPred_Primera,0)+1,0),"-")</f>
        <v>-</v>
      </c>
      <c r="AM26" s="162" t="str">
        <f aca="false">IFERROR(VLOOKUP(AM$2,Rango_Admin_DailyPred,MATCH($F26,Rango_Admin_DailyPred_Primera,0)+1,0),"-")</f>
        <v>-</v>
      </c>
      <c r="AN26" s="244"/>
    </row>
    <row r="27" customFormat="false" ht="15" hidden="true" customHeight="false" outlineLevel="0" collapsed="false">
      <c r="A27" s="30" t="str">
        <f aca="false" t="array" ref="A27:A27">IFERROR(INDEX(ADMIN!$K$6:$K$258,SMALL(IF(ADMIN!$G$6:$G$258=$K$1,ROW(ADMIN!$G$6:$G$258)-ROW(ADMIN!$G$6)+1),ROWS($A$1:A24))),"")</f>
        <v/>
      </c>
      <c r="B27" s="30" t="str">
        <f aca="false" t="array" ref="B27:B27">IFERROR(IFERROR(INDEX(ADMIN!$K$6:$K$258,SMALL(IF($K$1=ADMIN!$G$6:$G$258,ROW(ADMIN!$K$6:$K$258)-MIN(ROW(ADMIN!$G$6:$G$258))+1,""),ROW()-3)),"")&amp;CHAR(10)&amp;IF(INDEX(ADMIN!$M$6:$M$258,SMALL(IF($K$1=ADMIN!$G$6:$G$258,ROW(ADMIN!$M$6:$M$258)-MIN(ROW(ADMIN!$G$6:$G$258))+1,""),ROW()-3))="0|-",""," ("&amp;INDEX(ADMIN!$M$6:$M$258,SMALL(IF($K$1=ADMIN!$G$6:$G$258,ROW(ADMIN!$M$6:$M$258)-MIN(ROW(ADMIN!$G$6:$G$258))+1,""),ROW()-3))&amp;")"),"")</f>
        <v/>
      </c>
      <c r="C27" s="30" t="n">
        <v>24</v>
      </c>
      <c r="D27" s="463"/>
      <c r="E27" s="479" t="n">
        <f aca="false">IFERROR(HLOOKUP(C27,Rango_Admin_DailyClas,3,FALSE()),"-")</f>
        <v>18</v>
      </c>
      <c r="F27" s="480" t="str">
        <f aca="false">IFERROR(HLOOKUP(C27,Rango_Admin_DailyClas,5,FALSE()),"-")</f>
        <v>Pegar Valores Nombre J24</v>
      </c>
      <c r="G27" s="51" t="n">
        <f aca="false">IFERROR(HLOOKUP(C27,Rango_Admin_DailyClas,4,FALSE()),"-")</f>
        <v>0</v>
      </c>
      <c r="H27" s="162" t="n">
        <f aca="false">IFERROR(VLOOKUP(H$2,Rango_Admin_DailyPred,MATCH($F27,Rango_Admin_DailyPred_Primera,0)+1,0),"-")</f>
        <v>0</v>
      </c>
      <c r="I27" s="162" t="n">
        <f aca="false">IFERROR(VLOOKUP(I$2,Rango_Admin_DailyPred,MATCH($F27,Rango_Admin_DailyPred_Primera,0)+1,0),"-")</f>
        <v>0</v>
      </c>
      <c r="J27" s="162" t="n">
        <f aca="false">IFERROR(VLOOKUP(J$2,Rango_Admin_DailyPred,MATCH($F27,Rango_Admin_DailyPred_Primera,0)+1,0),"-")</f>
        <v>0</v>
      </c>
      <c r="K27" s="162" t="n">
        <f aca="false">IFERROR(VLOOKUP(K$2,Rango_Admin_DailyPred,MATCH($F27,Rango_Admin_DailyPred_Primera,0)+1,0),"-")</f>
        <v>0</v>
      </c>
      <c r="L27" s="162" t="n">
        <f aca="false">IFERROR(VLOOKUP(L$2,Rango_Admin_DailyPred,MATCH($F27,Rango_Admin_DailyPred_Primera,0)+1,0),"-")</f>
        <v>0</v>
      </c>
      <c r="M27" s="162" t="str">
        <f aca="false">IFERROR(VLOOKUP(M$2,Rango_Admin_DailyPred,MATCH($F27,Rango_Admin_DailyPred_Primera,0)+1,0),"-")</f>
        <v>-</v>
      </c>
      <c r="N27" s="162" t="str">
        <f aca="false">IFERROR(VLOOKUP(N$2,Rango_Admin_DailyPred,MATCH($F27,Rango_Admin_DailyPred_Primera,0)+1,0),"-")</f>
        <v>-</v>
      </c>
      <c r="O27" s="162" t="str">
        <f aca="false">IFERROR(VLOOKUP(O$2,Rango_Admin_DailyPred,MATCH($F27,Rango_Admin_DailyPred_Primera,0)+1,0),"-")</f>
        <v>-</v>
      </c>
      <c r="P27" s="162" t="str">
        <f aca="false">IFERROR(VLOOKUP(P$2,Rango_Admin_DailyPred,MATCH($F27,Rango_Admin_DailyPred_Primera,0)+1,0),"-")</f>
        <v>-</v>
      </c>
      <c r="Q27" s="162" t="str">
        <f aca="false">IFERROR(VLOOKUP(Q$2,Rango_Admin_DailyPred,MATCH($F27,Rango_Admin_DailyPred_Primera,0)+1,0),"-")</f>
        <v>-</v>
      </c>
      <c r="R27" s="162" t="str">
        <f aca="false">IFERROR(VLOOKUP(R$2,Rango_Admin_DailyPred,MATCH($F27,Rango_Admin_DailyPred_Primera,0)+1,0),"-")</f>
        <v>-</v>
      </c>
      <c r="S27" s="162" t="str">
        <f aca="false">IFERROR(VLOOKUP(S$2,Rango_Admin_DailyPred,MATCH($F27,Rango_Admin_DailyPred_Primera,0)+1,0),"-")</f>
        <v>-</v>
      </c>
      <c r="T27" s="162" t="str">
        <f aca="false">IFERROR(VLOOKUP(T$2,Rango_Admin_DailyPred,MATCH($F27,Rango_Admin_DailyPred_Primera,0)+1,0),"-")</f>
        <v>-</v>
      </c>
      <c r="U27" s="162" t="str">
        <f aca="false">IFERROR(VLOOKUP(U$2,Rango_Admin_DailyPred,MATCH($F27,Rango_Admin_DailyPred_Primera,0)+1,0),"-")</f>
        <v>-</v>
      </c>
      <c r="V27" s="162" t="str">
        <f aca="false">IFERROR(VLOOKUP(V$2,Rango_Admin_DailyPred,MATCH($F27,Rango_Admin_DailyPred_Primera,0)+1,0),"-")</f>
        <v>-</v>
      </c>
      <c r="W27" s="162" t="str">
        <f aca="false">IFERROR(VLOOKUP(W$2,Rango_Admin_DailyPred,MATCH($F27,Rango_Admin_DailyPred_Primera,0)+1,0),"-")</f>
        <v>-</v>
      </c>
      <c r="X27" s="162" t="str">
        <f aca="false">IFERROR(VLOOKUP(X$2,Rango_Admin_DailyPred,MATCH($F27,Rango_Admin_DailyPred_Primera,0)+1,0),"-")</f>
        <v>-</v>
      </c>
      <c r="Y27" s="162" t="str">
        <f aca="false">IFERROR(VLOOKUP(Y$2,Rango_Admin_DailyPred,MATCH($F27,Rango_Admin_DailyPred_Primera,0)+1,0),"-")</f>
        <v>-</v>
      </c>
      <c r="Z27" s="162" t="str">
        <f aca="false">IFERROR(VLOOKUP(Z$2,Rango_Admin_DailyPred,MATCH($F27,Rango_Admin_DailyPred_Primera,0)+1,0),"-")</f>
        <v>-</v>
      </c>
      <c r="AA27" s="162" t="str">
        <f aca="false">IFERROR(VLOOKUP(AA$2,Rango_Admin_DailyPred,MATCH($F27,Rango_Admin_DailyPred_Primera,0)+1,0),"-")</f>
        <v>-</v>
      </c>
      <c r="AB27" s="162" t="str">
        <f aca="false">IFERROR(VLOOKUP(AB$2,Rango_Admin_DailyPred,MATCH($F27,Rango_Admin_DailyPred_Primera,0)+1,0),"-")</f>
        <v>-</v>
      </c>
      <c r="AC27" s="162" t="str">
        <f aca="false">IFERROR(VLOOKUP(AC$2,Rango_Admin_DailyPred,MATCH($F27,Rango_Admin_DailyPred_Primera,0)+1,0),"-")</f>
        <v>-</v>
      </c>
      <c r="AD27" s="162" t="str">
        <f aca="false">IFERROR(VLOOKUP(AD$2,Rango_Admin_DailyPred,MATCH($F27,Rango_Admin_DailyPred_Primera,0)+1,0),"-")</f>
        <v>-</v>
      </c>
      <c r="AE27" s="162" t="str">
        <f aca="false">IFERROR(VLOOKUP(AE$2,Rango_Admin_DailyPred,MATCH($F27,Rango_Admin_DailyPred_Primera,0)+1,0),"-")</f>
        <v>-</v>
      </c>
      <c r="AF27" s="162" t="str">
        <f aca="false">IFERROR(VLOOKUP(AF$2,Rango_Admin_DailyPred,MATCH($F27,Rango_Admin_DailyPred_Primera,0)+1,0),"-")</f>
        <v>-</v>
      </c>
      <c r="AG27" s="162" t="str">
        <f aca="false">IFERROR(VLOOKUP(AG$2,Rango_Admin_DailyPred,MATCH($F27,Rango_Admin_DailyPred_Primera,0)+1,0),"-")</f>
        <v>-</v>
      </c>
      <c r="AH27" s="162" t="str">
        <f aca="false">IFERROR(VLOOKUP(AH$2,Rango_Admin_DailyPred,MATCH($F27,Rango_Admin_DailyPred_Primera,0)+1,0),"-")</f>
        <v>-</v>
      </c>
      <c r="AI27" s="162" t="str">
        <f aca="false">IFERROR(VLOOKUP(AI$2,Rango_Admin_DailyPred,MATCH($F27,Rango_Admin_DailyPred_Primera,0)+1,0),"-")</f>
        <v>-</v>
      </c>
      <c r="AJ27" s="162" t="str">
        <f aca="false">IFERROR(VLOOKUP(AJ$2,Rango_Admin_DailyPred,MATCH($F27,Rango_Admin_DailyPred_Primera,0)+1,0),"-")</f>
        <v>-</v>
      </c>
      <c r="AK27" s="162" t="str">
        <f aca="false">IFERROR(VLOOKUP(AK$2,Rango_Admin_DailyPred,MATCH($F27,Rango_Admin_DailyPred_Primera,0)+1,0),"-")</f>
        <v>-</v>
      </c>
      <c r="AL27" s="162" t="str">
        <f aca="false">IFERROR(VLOOKUP(AL$2,Rango_Admin_DailyPred,MATCH($F27,Rango_Admin_DailyPred_Primera,0)+1,0),"-")</f>
        <v>-</v>
      </c>
      <c r="AM27" s="162" t="str">
        <f aca="false">IFERROR(VLOOKUP(AM$2,Rango_Admin_DailyPred,MATCH($F27,Rango_Admin_DailyPred_Primera,0)+1,0),"-")</f>
        <v>-</v>
      </c>
      <c r="AN27" s="244"/>
    </row>
    <row r="28" customFormat="false" ht="15" hidden="true" customHeight="false" outlineLevel="0" collapsed="false">
      <c r="A28" s="30" t="str">
        <f aca="false" t="array" ref="A28:A28">IFERROR(INDEX(ADMIN!$K$6:$K$258,SMALL(IF(ADMIN!$G$6:$G$258=$K$1,ROW(ADMIN!$G$6:$G$258)-ROW(ADMIN!$G$6)+1),ROWS($A$1:A25))),"")</f>
        <v/>
      </c>
      <c r="B28" s="30" t="str">
        <f aca="false" t="array" ref="B28:B28">IFERROR(IFERROR(INDEX(ADMIN!$K$6:$K$258,SMALL(IF($K$1=ADMIN!$G$6:$G$258,ROW(ADMIN!$K$6:$K$258)-MIN(ROW(ADMIN!$G$6:$G$258))+1,""),ROW()-3)),"")&amp;CHAR(10)&amp;IF(INDEX(ADMIN!$M$6:$M$258,SMALL(IF($K$1=ADMIN!$G$6:$G$258,ROW(ADMIN!$M$6:$M$258)-MIN(ROW(ADMIN!$G$6:$G$258))+1,""),ROW()-3))="0|-",""," ("&amp;INDEX(ADMIN!$M$6:$M$258,SMALL(IF($K$1=ADMIN!$G$6:$G$258,ROW(ADMIN!$M$6:$M$258)-MIN(ROW(ADMIN!$G$6:$G$258))+1,""),ROW()-3))&amp;")"),"")</f>
        <v/>
      </c>
      <c r="C28" s="30" t="n">
        <v>25</v>
      </c>
      <c r="D28" s="463"/>
      <c r="E28" s="479" t="n">
        <f aca="false">IFERROR(HLOOKUP(C28,Rango_Admin_DailyClas,3,FALSE()),"-")</f>
        <v>18</v>
      </c>
      <c r="F28" s="480" t="str">
        <f aca="false">IFERROR(HLOOKUP(C28,Rango_Admin_DailyClas,5,FALSE()),"-")</f>
        <v>Pegar Valores Nombre J25</v>
      </c>
      <c r="G28" s="51" t="n">
        <f aca="false">IFERROR(HLOOKUP(C28,Rango_Admin_DailyClas,4,FALSE()),"-")</f>
        <v>0</v>
      </c>
      <c r="H28" s="162" t="n">
        <f aca="false">IFERROR(VLOOKUP(H$2,Rango_Admin_DailyPred,MATCH($F28,Rango_Admin_DailyPred_Primera,0)+1,0),"-")</f>
        <v>0</v>
      </c>
      <c r="I28" s="162" t="n">
        <f aca="false">IFERROR(VLOOKUP(I$2,Rango_Admin_DailyPred,MATCH($F28,Rango_Admin_DailyPred_Primera,0)+1,0),"-")</f>
        <v>0</v>
      </c>
      <c r="J28" s="162" t="n">
        <f aca="false">IFERROR(VLOOKUP(J$2,Rango_Admin_DailyPred,MATCH($F28,Rango_Admin_DailyPred_Primera,0)+1,0),"-")</f>
        <v>0</v>
      </c>
      <c r="K28" s="162" t="n">
        <f aca="false">IFERROR(VLOOKUP(K$2,Rango_Admin_DailyPred,MATCH($F28,Rango_Admin_DailyPred_Primera,0)+1,0),"-")</f>
        <v>0</v>
      </c>
      <c r="L28" s="162" t="n">
        <f aca="false">IFERROR(VLOOKUP(L$2,Rango_Admin_DailyPred,MATCH($F28,Rango_Admin_DailyPred_Primera,0)+1,0),"-")</f>
        <v>0</v>
      </c>
      <c r="M28" s="162" t="str">
        <f aca="false">IFERROR(VLOOKUP(M$2,Rango_Admin_DailyPred,MATCH($F28,Rango_Admin_DailyPred_Primera,0)+1,0),"-")</f>
        <v>-</v>
      </c>
      <c r="N28" s="162" t="str">
        <f aca="false">IFERROR(VLOOKUP(N$2,Rango_Admin_DailyPred,MATCH($F28,Rango_Admin_DailyPred_Primera,0)+1,0),"-")</f>
        <v>-</v>
      </c>
      <c r="O28" s="162" t="str">
        <f aca="false">IFERROR(VLOOKUP(O$2,Rango_Admin_DailyPred,MATCH($F28,Rango_Admin_DailyPred_Primera,0)+1,0),"-")</f>
        <v>-</v>
      </c>
      <c r="P28" s="162" t="str">
        <f aca="false">IFERROR(VLOOKUP(P$2,Rango_Admin_DailyPred,MATCH($F28,Rango_Admin_DailyPred_Primera,0)+1,0),"-")</f>
        <v>-</v>
      </c>
      <c r="Q28" s="162" t="str">
        <f aca="false">IFERROR(VLOOKUP(Q$2,Rango_Admin_DailyPred,MATCH($F28,Rango_Admin_DailyPred_Primera,0)+1,0),"-")</f>
        <v>-</v>
      </c>
      <c r="R28" s="162" t="str">
        <f aca="false">IFERROR(VLOOKUP(R$2,Rango_Admin_DailyPred,MATCH($F28,Rango_Admin_DailyPred_Primera,0)+1,0),"-")</f>
        <v>-</v>
      </c>
      <c r="S28" s="162" t="str">
        <f aca="false">IFERROR(VLOOKUP(S$2,Rango_Admin_DailyPred,MATCH($F28,Rango_Admin_DailyPred_Primera,0)+1,0),"-")</f>
        <v>-</v>
      </c>
      <c r="T28" s="162" t="str">
        <f aca="false">IFERROR(VLOOKUP(T$2,Rango_Admin_DailyPred,MATCH($F28,Rango_Admin_DailyPred_Primera,0)+1,0),"-")</f>
        <v>-</v>
      </c>
      <c r="U28" s="162" t="str">
        <f aca="false">IFERROR(VLOOKUP(U$2,Rango_Admin_DailyPred,MATCH($F28,Rango_Admin_DailyPred_Primera,0)+1,0),"-")</f>
        <v>-</v>
      </c>
      <c r="V28" s="162" t="str">
        <f aca="false">IFERROR(VLOOKUP(V$2,Rango_Admin_DailyPred,MATCH($F28,Rango_Admin_DailyPred_Primera,0)+1,0),"-")</f>
        <v>-</v>
      </c>
      <c r="W28" s="162" t="str">
        <f aca="false">IFERROR(VLOOKUP(W$2,Rango_Admin_DailyPred,MATCH($F28,Rango_Admin_DailyPred_Primera,0)+1,0),"-")</f>
        <v>-</v>
      </c>
      <c r="X28" s="162" t="str">
        <f aca="false">IFERROR(VLOOKUP(X$2,Rango_Admin_DailyPred,MATCH($F28,Rango_Admin_DailyPred_Primera,0)+1,0),"-")</f>
        <v>-</v>
      </c>
      <c r="Y28" s="162" t="str">
        <f aca="false">IFERROR(VLOOKUP(Y$2,Rango_Admin_DailyPred,MATCH($F28,Rango_Admin_DailyPred_Primera,0)+1,0),"-")</f>
        <v>-</v>
      </c>
      <c r="Z28" s="162" t="str">
        <f aca="false">IFERROR(VLOOKUP(Z$2,Rango_Admin_DailyPred,MATCH($F28,Rango_Admin_DailyPred_Primera,0)+1,0),"-")</f>
        <v>-</v>
      </c>
      <c r="AA28" s="162" t="str">
        <f aca="false">IFERROR(VLOOKUP(AA$2,Rango_Admin_DailyPred,MATCH($F28,Rango_Admin_DailyPred_Primera,0)+1,0),"-")</f>
        <v>-</v>
      </c>
      <c r="AB28" s="162" t="str">
        <f aca="false">IFERROR(VLOOKUP(AB$2,Rango_Admin_DailyPred,MATCH($F28,Rango_Admin_DailyPred_Primera,0)+1,0),"-")</f>
        <v>-</v>
      </c>
      <c r="AC28" s="162" t="str">
        <f aca="false">IFERROR(VLOOKUP(AC$2,Rango_Admin_DailyPred,MATCH($F28,Rango_Admin_DailyPred_Primera,0)+1,0),"-")</f>
        <v>-</v>
      </c>
      <c r="AD28" s="162" t="str">
        <f aca="false">IFERROR(VLOOKUP(AD$2,Rango_Admin_DailyPred,MATCH($F28,Rango_Admin_DailyPred_Primera,0)+1,0),"-")</f>
        <v>-</v>
      </c>
      <c r="AE28" s="162" t="str">
        <f aca="false">IFERROR(VLOOKUP(AE$2,Rango_Admin_DailyPred,MATCH($F28,Rango_Admin_DailyPred_Primera,0)+1,0),"-")</f>
        <v>-</v>
      </c>
      <c r="AF28" s="162" t="str">
        <f aca="false">IFERROR(VLOOKUP(AF$2,Rango_Admin_DailyPred,MATCH($F28,Rango_Admin_DailyPred_Primera,0)+1,0),"-")</f>
        <v>-</v>
      </c>
      <c r="AG28" s="162" t="str">
        <f aca="false">IFERROR(VLOOKUP(AG$2,Rango_Admin_DailyPred,MATCH($F28,Rango_Admin_DailyPred_Primera,0)+1,0),"-")</f>
        <v>-</v>
      </c>
      <c r="AH28" s="162" t="str">
        <f aca="false">IFERROR(VLOOKUP(AH$2,Rango_Admin_DailyPred,MATCH($F28,Rango_Admin_DailyPred_Primera,0)+1,0),"-")</f>
        <v>-</v>
      </c>
      <c r="AI28" s="162" t="str">
        <f aca="false">IFERROR(VLOOKUP(AI$2,Rango_Admin_DailyPred,MATCH($F28,Rango_Admin_DailyPred_Primera,0)+1,0),"-")</f>
        <v>-</v>
      </c>
      <c r="AJ28" s="162" t="str">
        <f aca="false">IFERROR(VLOOKUP(AJ$2,Rango_Admin_DailyPred,MATCH($F28,Rango_Admin_DailyPred_Primera,0)+1,0),"-")</f>
        <v>-</v>
      </c>
      <c r="AK28" s="162" t="str">
        <f aca="false">IFERROR(VLOOKUP(AK$2,Rango_Admin_DailyPred,MATCH($F28,Rango_Admin_DailyPred_Primera,0)+1,0),"-")</f>
        <v>-</v>
      </c>
      <c r="AL28" s="162" t="str">
        <f aca="false">IFERROR(VLOOKUP(AL$2,Rango_Admin_DailyPred,MATCH($F28,Rango_Admin_DailyPred_Primera,0)+1,0),"-")</f>
        <v>-</v>
      </c>
      <c r="AM28" s="162" t="str">
        <f aca="false">IFERROR(VLOOKUP(AM$2,Rango_Admin_DailyPred,MATCH($F28,Rango_Admin_DailyPred_Primera,0)+1,0),"-")</f>
        <v>-</v>
      </c>
      <c r="AN28" s="244"/>
    </row>
    <row r="29" customFormat="false" ht="15" hidden="true" customHeight="false" outlineLevel="0" collapsed="false">
      <c r="A29" s="30" t="str">
        <f aca="false" t="array" ref="A29:A29">IFERROR(INDEX(ADMIN!$K$6:$K$258,SMALL(IF(ADMIN!$G$6:$G$258=$K$1,ROW(ADMIN!$G$6:$G$258)-ROW(ADMIN!$G$6)+1),ROWS($A$1:A26))),"")</f>
        <v/>
      </c>
      <c r="B29" s="30" t="str">
        <f aca="false" t="array" ref="B29:B29">IFERROR(IFERROR(INDEX(ADMIN!$K$6:$K$258,SMALL(IF($K$1=ADMIN!$G$6:$G$258,ROW(ADMIN!$K$6:$K$258)-MIN(ROW(ADMIN!$G$6:$G$258))+1,""),ROW()-3)),"")&amp;CHAR(10)&amp;IF(INDEX(ADMIN!$M$6:$M$258,SMALL(IF($K$1=ADMIN!$G$6:$G$258,ROW(ADMIN!$M$6:$M$258)-MIN(ROW(ADMIN!$G$6:$G$258))+1,""),ROW()-3))="0|-",""," ("&amp;INDEX(ADMIN!$M$6:$M$258,SMALL(IF($K$1=ADMIN!$G$6:$G$258,ROW(ADMIN!$M$6:$M$258)-MIN(ROW(ADMIN!$G$6:$G$258))+1,""),ROW()-3))&amp;")"),"")</f>
        <v/>
      </c>
      <c r="C29" s="30" t="n">
        <v>26</v>
      </c>
      <c r="D29" s="463"/>
      <c r="E29" s="479" t="n">
        <f aca="false">IFERROR(HLOOKUP(C29,Rango_Admin_DailyClas,3,FALSE()),"-")</f>
        <v>18</v>
      </c>
      <c r="F29" s="480" t="str">
        <f aca="false">IFERROR(HLOOKUP(C29,Rango_Admin_DailyClas,5,FALSE()),"-")</f>
        <v>Pegar Valores Nombre J26</v>
      </c>
      <c r="G29" s="51" t="n">
        <f aca="false">IFERROR(HLOOKUP(C29,Rango_Admin_DailyClas,4,FALSE()),"-")</f>
        <v>0</v>
      </c>
      <c r="H29" s="162" t="n">
        <f aca="false">IFERROR(VLOOKUP(H$2,Rango_Admin_DailyPred,MATCH($F29,Rango_Admin_DailyPred_Primera,0)+1,0),"-")</f>
        <v>0</v>
      </c>
      <c r="I29" s="162" t="n">
        <f aca="false">IFERROR(VLOOKUP(I$2,Rango_Admin_DailyPred,MATCH($F29,Rango_Admin_DailyPred_Primera,0)+1,0),"-")</f>
        <v>0</v>
      </c>
      <c r="J29" s="162" t="n">
        <f aca="false">IFERROR(VLOOKUP(J$2,Rango_Admin_DailyPred,MATCH($F29,Rango_Admin_DailyPred_Primera,0)+1,0),"-")</f>
        <v>0</v>
      </c>
      <c r="K29" s="162" t="n">
        <f aca="false">IFERROR(VLOOKUP(K$2,Rango_Admin_DailyPred,MATCH($F29,Rango_Admin_DailyPred_Primera,0)+1,0),"-")</f>
        <v>0</v>
      </c>
      <c r="L29" s="162" t="n">
        <f aca="false">IFERROR(VLOOKUP(L$2,Rango_Admin_DailyPred,MATCH($F29,Rango_Admin_DailyPred_Primera,0)+1,0),"-")</f>
        <v>0</v>
      </c>
      <c r="M29" s="162" t="str">
        <f aca="false">IFERROR(VLOOKUP(M$2,Rango_Admin_DailyPred,MATCH($F29,Rango_Admin_DailyPred_Primera,0)+1,0),"-")</f>
        <v>-</v>
      </c>
      <c r="N29" s="162" t="str">
        <f aca="false">IFERROR(VLOOKUP(N$2,Rango_Admin_DailyPred,MATCH($F29,Rango_Admin_DailyPred_Primera,0)+1,0),"-")</f>
        <v>-</v>
      </c>
      <c r="O29" s="162" t="str">
        <f aca="false">IFERROR(VLOOKUP(O$2,Rango_Admin_DailyPred,MATCH($F29,Rango_Admin_DailyPred_Primera,0)+1,0),"-")</f>
        <v>-</v>
      </c>
      <c r="P29" s="162" t="str">
        <f aca="false">IFERROR(VLOOKUP(P$2,Rango_Admin_DailyPred,MATCH($F29,Rango_Admin_DailyPred_Primera,0)+1,0),"-")</f>
        <v>-</v>
      </c>
      <c r="Q29" s="162" t="str">
        <f aca="false">IFERROR(VLOOKUP(Q$2,Rango_Admin_DailyPred,MATCH($F29,Rango_Admin_DailyPred_Primera,0)+1,0),"-")</f>
        <v>-</v>
      </c>
      <c r="R29" s="162" t="str">
        <f aca="false">IFERROR(VLOOKUP(R$2,Rango_Admin_DailyPred,MATCH($F29,Rango_Admin_DailyPred_Primera,0)+1,0),"-")</f>
        <v>-</v>
      </c>
      <c r="S29" s="162" t="str">
        <f aca="false">IFERROR(VLOOKUP(S$2,Rango_Admin_DailyPred,MATCH($F29,Rango_Admin_DailyPred_Primera,0)+1,0),"-")</f>
        <v>-</v>
      </c>
      <c r="T29" s="162" t="str">
        <f aca="false">IFERROR(VLOOKUP(T$2,Rango_Admin_DailyPred,MATCH($F29,Rango_Admin_DailyPred_Primera,0)+1,0),"-")</f>
        <v>-</v>
      </c>
      <c r="U29" s="162" t="str">
        <f aca="false">IFERROR(VLOOKUP(U$2,Rango_Admin_DailyPred,MATCH($F29,Rango_Admin_DailyPred_Primera,0)+1,0),"-")</f>
        <v>-</v>
      </c>
      <c r="V29" s="162" t="str">
        <f aca="false">IFERROR(VLOOKUP(V$2,Rango_Admin_DailyPred,MATCH($F29,Rango_Admin_DailyPred_Primera,0)+1,0),"-")</f>
        <v>-</v>
      </c>
      <c r="W29" s="162" t="str">
        <f aca="false">IFERROR(VLOOKUP(W$2,Rango_Admin_DailyPred,MATCH($F29,Rango_Admin_DailyPred_Primera,0)+1,0),"-")</f>
        <v>-</v>
      </c>
      <c r="X29" s="162" t="str">
        <f aca="false">IFERROR(VLOOKUP(X$2,Rango_Admin_DailyPred,MATCH($F29,Rango_Admin_DailyPred_Primera,0)+1,0),"-")</f>
        <v>-</v>
      </c>
      <c r="Y29" s="162" t="str">
        <f aca="false">IFERROR(VLOOKUP(Y$2,Rango_Admin_DailyPred,MATCH($F29,Rango_Admin_DailyPred_Primera,0)+1,0),"-")</f>
        <v>-</v>
      </c>
      <c r="Z29" s="162" t="str">
        <f aca="false">IFERROR(VLOOKUP(Z$2,Rango_Admin_DailyPred,MATCH($F29,Rango_Admin_DailyPred_Primera,0)+1,0),"-")</f>
        <v>-</v>
      </c>
      <c r="AA29" s="162" t="str">
        <f aca="false">IFERROR(VLOOKUP(AA$2,Rango_Admin_DailyPred,MATCH($F29,Rango_Admin_DailyPred_Primera,0)+1,0),"-")</f>
        <v>-</v>
      </c>
      <c r="AB29" s="162" t="str">
        <f aca="false">IFERROR(VLOOKUP(AB$2,Rango_Admin_DailyPred,MATCH($F29,Rango_Admin_DailyPred_Primera,0)+1,0),"-")</f>
        <v>-</v>
      </c>
      <c r="AC29" s="162" t="str">
        <f aca="false">IFERROR(VLOOKUP(AC$2,Rango_Admin_DailyPred,MATCH($F29,Rango_Admin_DailyPred_Primera,0)+1,0),"-")</f>
        <v>-</v>
      </c>
      <c r="AD29" s="162" t="str">
        <f aca="false">IFERROR(VLOOKUP(AD$2,Rango_Admin_DailyPred,MATCH($F29,Rango_Admin_DailyPred_Primera,0)+1,0),"-")</f>
        <v>-</v>
      </c>
      <c r="AE29" s="162" t="str">
        <f aca="false">IFERROR(VLOOKUP(AE$2,Rango_Admin_DailyPred,MATCH($F29,Rango_Admin_DailyPred_Primera,0)+1,0),"-")</f>
        <v>-</v>
      </c>
      <c r="AF29" s="162" t="str">
        <f aca="false">IFERROR(VLOOKUP(AF$2,Rango_Admin_DailyPred,MATCH($F29,Rango_Admin_DailyPred_Primera,0)+1,0),"-")</f>
        <v>-</v>
      </c>
      <c r="AG29" s="162" t="str">
        <f aca="false">IFERROR(VLOOKUP(AG$2,Rango_Admin_DailyPred,MATCH($F29,Rango_Admin_DailyPred_Primera,0)+1,0),"-")</f>
        <v>-</v>
      </c>
      <c r="AH29" s="162" t="str">
        <f aca="false">IFERROR(VLOOKUP(AH$2,Rango_Admin_DailyPred,MATCH($F29,Rango_Admin_DailyPred_Primera,0)+1,0),"-")</f>
        <v>-</v>
      </c>
      <c r="AI29" s="162" t="str">
        <f aca="false">IFERROR(VLOOKUP(AI$2,Rango_Admin_DailyPred,MATCH($F29,Rango_Admin_DailyPred_Primera,0)+1,0),"-")</f>
        <v>-</v>
      </c>
      <c r="AJ29" s="162" t="str">
        <f aca="false">IFERROR(VLOOKUP(AJ$2,Rango_Admin_DailyPred,MATCH($F29,Rango_Admin_DailyPred_Primera,0)+1,0),"-")</f>
        <v>-</v>
      </c>
      <c r="AK29" s="162" t="str">
        <f aca="false">IFERROR(VLOOKUP(AK$2,Rango_Admin_DailyPred,MATCH($F29,Rango_Admin_DailyPred_Primera,0)+1,0),"-")</f>
        <v>-</v>
      </c>
      <c r="AL29" s="162" t="str">
        <f aca="false">IFERROR(VLOOKUP(AL$2,Rango_Admin_DailyPred,MATCH($F29,Rango_Admin_DailyPred_Primera,0)+1,0),"-")</f>
        <v>-</v>
      </c>
      <c r="AM29" s="162" t="str">
        <f aca="false">IFERROR(VLOOKUP(AM$2,Rango_Admin_DailyPred,MATCH($F29,Rango_Admin_DailyPred_Primera,0)+1,0),"-")</f>
        <v>-</v>
      </c>
      <c r="AN29" s="244"/>
    </row>
    <row r="30" customFormat="false" ht="15" hidden="true" customHeight="false" outlineLevel="0" collapsed="false">
      <c r="A30" s="30" t="str">
        <f aca="false" t="array" ref="A30:A30">IFERROR(INDEX(ADMIN!$K$6:$K$258,SMALL(IF(ADMIN!$G$6:$G$258=$K$1,ROW(ADMIN!$G$6:$G$258)-ROW(ADMIN!$G$6)+1),ROWS($A$1:A27))),"")</f>
        <v/>
      </c>
      <c r="B30" s="30" t="str">
        <f aca="false" t="array" ref="B30:B30">IFERROR(IFERROR(INDEX(ADMIN!$K$6:$K$258,SMALL(IF($K$1=ADMIN!$G$6:$G$258,ROW(ADMIN!$K$6:$K$258)-MIN(ROW(ADMIN!$G$6:$G$258))+1,""),ROW()-3)),"")&amp;CHAR(10)&amp;IF(INDEX(ADMIN!$M$6:$M$258,SMALL(IF($K$1=ADMIN!$G$6:$G$258,ROW(ADMIN!$M$6:$M$258)-MIN(ROW(ADMIN!$G$6:$G$258))+1,""),ROW()-3))="0|-",""," ("&amp;INDEX(ADMIN!$M$6:$M$258,SMALL(IF($K$1=ADMIN!$G$6:$G$258,ROW(ADMIN!$M$6:$M$258)-MIN(ROW(ADMIN!$G$6:$G$258))+1,""),ROW()-3))&amp;")"),"")</f>
        <v/>
      </c>
      <c r="C30" s="30" t="n">
        <v>27</v>
      </c>
      <c r="D30" s="463"/>
      <c r="E30" s="479" t="n">
        <f aca="false">IFERROR(HLOOKUP(C30,Rango_Admin_DailyClas,3,FALSE()),"-")</f>
        <v>18</v>
      </c>
      <c r="F30" s="480" t="str">
        <f aca="false">IFERROR(HLOOKUP(C30,Rango_Admin_DailyClas,5,FALSE()),"-")</f>
        <v>Pegar Valores Nombre J27</v>
      </c>
      <c r="G30" s="51" t="n">
        <f aca="false">IFERROR(HLOOKUP(C30,Rango_Admin_DailyClas,4,FALSE()),"-")</f>
        <v>0</v>
      </c>
      <c r="H30" s="162" t="n">
        <f aca="false">IFERROR(VLOOKUP(H$2,Rango_Admin_DailyPred,MATCH($F30,Rango_Admin_DailyPred_Primera,0)+1,0),"-")</f>
        <v>0</v>
      </c>
      <c r="I30" s="162" t="n">
        <f aca="false">IFERROR(VLOOKUP(I$2,Rango_Admin_DailyPred,MATCH($F30,Rango_Admin_DailyPred_Primera,0)+1,0),"-")</f>
        <v>0</v>
      </c>
      <c r="J30" s="162" t="n">
        <f aca="false">IFERROR(VLOOKUP(J$2,Rango_Admin_DailyPred,MATCH($F30,Rango_Admin_DailyPred_Primera,0)+1,0),"-")</f>
        <v>0</v>
      </c>
      <c r="K30" s="162" t="n">
        <f aca="false">IFERROR(VLOOKUP(K$2,Rango_Admin_DailyPred,MATCH($F30,Rango_Admin_DailyPred_Primera,0)+1,0),"-")</f>
        <v>0</v>
      </c>
      <c r="L30" s="162" t="n">
        <f aca="false">IFERROR(VLOOKUP(L$2,Rango_Admin_DailyPred,MATCH($F30,Rango_Admin_DailyPred_Primera,0)+1,0),"-")</f>
        <v>0</v>
      </c>
      <c r="M30" s="162" t="str">
        <f aca="false">IFERROR(VLOOKUP(M$2,Rango_Admin_DailyPred,MATCH($F30,Rango_Admin_DailyPred_Primera,0)+1,0),"-")</f>
        <v>-</v>
      </c>
      <c r="N30" s="162" t="str">
        <f aca="false">IFERROR(VLOOKUP(N$2,Rango_Admin_DailyPred,MATCH($F30,Rango_Admin_DailyPred_Primera,0)+1,0),"-")</f>
        <v>-</v>
      </c>
      <c r="O30" s="162" t="str">
        <f aca="false">IFERROR(VLOOKUP(O$2,Rango_Admin_DailyPred,MATCH($F30,Rango_Admin_DailyPred_Primera,0)+1,0),"-")</f>
        <v>-</v>
      </c>
      <c r="P30" s="162" t="str">
        <f aca="false">IFERROR(VLOOKUP(P$2,Rango_Admin_DailyPred,MATCH($F30,Rango_Admin_DailyPred_Primera,0)+1,0),"-")</f>
        <v>-</v>
      </c>
      <c r="Q30" s="162" t="str">
        <f aca="false">IFERROR(VLOOKUP(Q$2,Rango_Admin_DailyPred,MATCH($F30,Rango_Admin_DailyPred_Primera,0)+1,0),"-")</f>
        <v>-</v>
      </c>
      <c r="R30" s="162" t="str">
        <f aca="false">IFERROR(VLOOKUP(R$2,Rango_Admin_DailyPred,MATCH($F30,Rango_Admin_DailyPred_Primera,0)+1,0),"-")</f>
        <v>-</v>
      </c>
      <c r="S30" s="162" t="str">
        <f aca="false">IFERROR(VLOOKUP(S$2,Rango_Admin_DailyPred,MATCH($F30,Rango_Admin_DailyPred_Primera,0)+1,0),"-")</f>
        <v>-</v>
      </c>
      <c r="T30" s="162" t="str">
        <f aca="false">IFERROR(VLOOKUP(T$2,Rango_Admin_DailyPred,MATCH($F30,Rango_Admin_DailyPred_Primera,0)+1,0),"-")</f>
        <v>-</v>
      </c>
      <c r="U30" s="162" t="str">
        <f aca="false">IFERROR(VLOOKUP(U$2,Rango_Admin_DailyPred,MATCH($F30,Rango_Admin_DailyPred_Primera,0)+1,0),"-")</f>
        <v>-</v>
      </c>
      <c r="V30" s="162" t="str">
        <f aca="false">IFERROR(VLOOKUP(V$2,Rango_Admin_DailyPred,MATCH($F30,Rango_Admin_DailyPred_Primera,0)+1,0),"-")</f>
        <v>-</v>
      </c>
      <c r="W30" s="162" t="str">
        <f aca="false">IFERROR(VLOOKUP(W$2,Rango_Admin_DailyPred,MATCH($F30,Rango_Admin_DailyPred_Primera,0)+1,0),"-")</f>
        <v>-</v>
      </c>
      <c r="X30" s="162" t="str">
        <f aca="false">IFERROR(VLOOKUP(X$2,Rango_Admin_DailyPred,MATCH($F30,Rango_Admin_DailyPred_Primera,0)+1,0),"-")</f>
        <v>-</v>
      </c>
      <c r="Y30" s="162" t="str">
        <f aca="false">IFERROR(VLOOKUP(Y$2,Rango_Admin_DailyPred,MATCH($F30,Rango_Admin_DailyPred_Primera,0)+1,0),"-")</f>
        <v>-</v>
      </c>
      <c r="Z30" s="162" t="str">
        <f aca="false">IFERROR(VLOOKUP(Z$2,Rango_Admin_DailyPred,MATCH($F30,Rango_Admin_DailyPred_Primera,0)+1,0),"-")</f>
        <v>-</v>
      </c>
      <c r="AA30" s="162" t="str">
        <f aca="false">IFERROR(VLOOKUP(AA$2,Rango_Admin_DailyPred,MATCH($F30,Rango_Admin_DailyPred_Primera,0)+1,0),"-")</f>
        <v>-</v>
      </c>
      <c r="AB30" s="162" t="str">
        <f aca="false">IFERROR(VLOOKUP(AB$2,Rango_Admin_DailyPred,MATCH($F30,Rango_Admin_DailyPred_Primera,0)+1,0),"-")</f>
        <v>-</v>
      </c>
      <c r="AC30" s="162" t="str">
        <f aca="false">IFERROR(VLOOKUP(AC$2,Rango_Admin_DailyPred,MATCH($F30,Rango_Admin_DailyPred_Primera,0)+1,0),"-")</f>
        <v>-</v>
      </c>
      <c r="AD30" s="162" t="str">
        <f aca="false">IFERROR(VLOOKUP(AD$2,Rango_Admin_DailyPred,MATCH($F30,Rango_Admin_DailyPred_Primera,0)+1,0),"-")</f>
        <v>-</v>
      </c>
      <c r="AE30" s="162" t="str">
        <f aca="false">IFERROR(VLOOKUP(AE$2,Rango_Admin_DailyPred,MATCH($F30,Rango_Admin_DailyPred_Primera,0)+1,0),"-")</f>
        <v>-</v>
      </c>
      <c r="AF30" s="162" t="str">
        <f aca="false">IFERROR(VLOOKUP(AF$2,Rango_Admin_DailyPred,MATCH($F30,Rango_Admin_DailyPred_Primera,0)+1,0),"-")</f>
        <v>-</v>
      </c>
      <c r="AG30" s="162" t="str">
        <f aca="false">IFERROR(VLOOKUP(AG$2,Rango_Admin_DailyPred,MATCH($F30,Rango_Admin_DailyPred_Primera,0)+1,0),"-")</f>
        <v>-</v>
      </c>
      <c r="AH30" s="162" t="str">
        <f aca="false">IFERROR(VLOOKUP(AH$2,Rango_Admin_DailyPred,MATCH($F30,Rango_Admin_DailyPred_Primera,0)+1,0),"-")</f>
        <v>-</v>
      </c>
      <c r="AI30" s="162" t="str">
        <f aca="false">IFERROR(VLOOKUP(AI$2,Rango_Admin_DailyPred,MATCH($F30,Rango_Admin_DailyPred_Primera,0)+1,0),"-")</f>
        <v>-</v>
      </c>
      <c r="AJ30" s="162" t="str">
        <f aca="false">IFERROR(VLOOKUP(AJ$2,Rango_Admin_DailyPred,MATCH($F30,Rango_Admin_DailyPred_Primera,0)+1,0),"-")</f>
        <v>-</v>
      </c>
      <c r="AK30" s="162" t="str">
        <f aca="false">IFERROR(VLOOKUP(AK$2,Rango_Admin_DailyPred,MATCH($F30,Rango_Admin_DailyPred_Primera,0)+1,0),"-")</f>
        <v>-</v>
      </c>
      <c r="AL30" s="162" t="str">
        <f aca="false">IFERROR(VLOOKUP(AL$2,Rango_Admin_DailyPred,MATCH($F30,Rango_Admin_DailyPred_Primera,0)+1,0),"-")</f>
        <v>-</v>
      </c>
      <c r="AM30" s="162" t="str">
        <f aca="false">IFERROR(VLOOKUP(AM$2,Rango_Admin_DailyPred,MATCH($F30,Rango_Admin_DailyPred_Primera,0)+1,0),"-")</f>
        <v>-</v>
      </c>
      <c r="AN30" s="244"/>
    </row>
    <row r="31" customFormat="false" ht="15" hidden="true" customHeight="false" outlineLevel="0" collapsed="false">
      <c r="A31" s="30" t="str">
        <f aca="false" t="array" ref="A31:A31">IFERROR(INDEX(ADMIN!$K$6:$K$258,SMALL(IF(ADMIN!$G$6:$G$258=$K$1,ROW(ADMIN!$G$6:$G$258)-ROW(ADMIN!$G$6)+1),ROWS($A$1:A28))),"")</f>
        <v/>
      </c>
      <c r="B31" s="30" t="str">
        <f aca="false" t="array" ref="B31:B31">IFERROR(IFERROR(INDEX(ADMIN!$K$6:$K$258,SMALL(IF($K$1=ADMIN!$G$6:$G$258,ROW(ADMIN!$K$6:$K$258)-MIN(ROW(ADMIN!$G$6:$G$258))+1,""),ROW()-3)),"")&amp;CHAR(10)&amp;IF(INDEX(ADMIN!$M$6:$M$258,SMALL(IF($K$1=ADMIN!$G$6:$G$258,ROW(ADMIN!$M$6:$M$258)-MIN(ROW(ADMIN!$G$6:$G$258))+1,""),ROW()-3))="0|-",""," ("&amp;INDEX(ADMIN!$M$6:$M$258,SMALL(IF($K$1=ADMIN!$G$6:$G$258,ROW(ADMIN!$M$6:$M$258)-MIN(ROW(ADMIN!$G$6:$G$258))+1,""),ROW()-3))&amp;")"),"")</f>
        <v/>
      </c>
      <c r="C31" s="30" t="n">
        <v>28</v>
      </c>
      <c r="D31" s="463"/>
      <c r="E31" s="479" t="n">
        <f aca="false">IFERROR(HLOOKUP(C31,Rango_Admin_DailyClas,3,FALSE()),"-")</f>
        <v>18</v>
      </c>
      <c r="F31" s="480" t="str">
        <f aca="false">IFERROR(HLOOKUP(C31,Rango_Admin_DailyClas,5,FALSE()),"-")</f>
        <v>Pegar Valores Nombre J28</v>
      </c>
      <c r="G31" s="51" t="n">
        <f aca="false">IFERROR(HLOOKUP(C31,Rango_Admin_DailyClas,4,FALSE()),"-")</f>
        <v>0</v>
      </c>
      <c r="H31" s="162" t="n">
        <f aca="false">IFERROR(VLOOKUP(H$2,Rango_Admin_DailyPred,MATCH($F31,Rango_Admin_DailyPred_Primera,0)+1,0),"-")</f>
        <v>0</v>
      </c>
      <c r="I31" s="162" t="n">
        <f aca="false">IFERROR(VLOOKUP(I$2,Rango_Admin_DailyPred,MATCH($F31,Rango_Admin_DailyPred_Primera,0)+1,0),"-")</f>
        <v>0</v>
      </c>
      <c r="J31" s="162" t="n">
        <f aca="false">IFERROR(VLOOKUP(J$2,Rango_Admin_DailyPred,MATCH($F31,Rango_Admin_DailyPred_Primera,0)+1,0),"-")</f>
        <v>0</v>
      </c>
      <c r="K31" s="162" t="n">
        <f aca="false">IFERROR(VLOOKUP(K$2,Rango_Admin_DailyPred,MATCH($F31,Rango_Admin_DailyPred_Primera,0)+1,0),"-")</f>
        <v>0</v>
      </c>
      <c r="L31" s="162" t="n">
        <f aca="false">IFERROR(VLOOKUP(L$2,Rango_Admin_DailyPred,MATCH($F31,Rango_Admin_DailyPred_Primera,0)+1,0),"-")</f>
        <v>0</v>
      </c>
      <c r="M31" s="162" t="str">
        <f aca="false">IFERROR(VLOOKUP(M$2,Rango_Admin_DailyPred,MATCH($F31,Rango_Admin_DailyPred_Primera,0)+1,0),"-")</f>
        <v>-</v>
      </c>
      <c r="N31" s="162" t="str">
        <f aca="false">IFERROR(VLOOKUP(N$2,Rango_Admin_DailyPred,MATCH($F31,Rango_Admin_DailyPred_Primera,0)+1,0),"-")</f>
        <v>-</v>
      </c>
      <c r="O31" s="162" t="str">
        <f aca="false">IFERROR(VLOOKUP(O$2,Rango_Admin_DailyPred,MATCH($F31,Rango_Admin_DailyPred_Primera,0)+1,0),"-")</f>
        <v>-</v>
      </c>
      <c r="P31" s="162" t="str">
        <f aca="false">IFERROR(VLOOKUP(P$2,Rango_Admin_DailyPred,MATCH($F31,Rango_Admin_DailyPred_Primera,0)+1,0),"-")</f>
        <v>-</v>
      </c>
      <c r="Q31" s="162" t="str">
        <f aca="false">IFERROR(VLOOKUP(Q$2,Rango_Admin_DailyPred,MATCH($F31,Rango_Admin_DailyPred_Primera,0)+1,0),"-")</f>
        <v>-</v>
      </c>
      <c r="R31" s="162" t="str">
        <f aca="false">IFERROR(VLOOKUP(R$2,Rango_Admin_DailyPred,MATCH($F31,Rango_Admin_DailyPred_Primera,0)+1,0),"-")</f>
        <v>-</v>
      </c>
      <c r="S31" s="162" t="str">
        <f aca="false">IFERROR(VLOOKUP(S$2,Rango_Admin_DailyPred,MATCH($F31,Rango_Admin_DailyPred_Primera,0)+1,0),"-")</f>
        <v>-</v>
      </c>
      <c r="T31" s="162" t="str">
        <f aca="false">IFERROR(VLOOKUP(T$2,Rango_Admin_DailyPred,MATCH($F31,Rango_Admin_DailyPred_Primera,0)+1,0),"-")</f>
        <v>-</v>
      </c>
      <c r="U31" s="162" t="str">
        <f aca="false">IFERROR(VLOOKUP(U$2,Rango_Admin_DailyPred,MATCH($F31,Rango_Admin_DailyPred_Primera,0)+1,0),"-")</f>
        <v>-</v>
      </c>
      <c r="V31" s="162" t="str">
        <f aca="false">IFERROR(VLOOKUP(V$2,Rango_Admin_DailyPred,MATCH($F31,Rango_Admin_DailyPred_Primera,0)+1,0),"-")</f>
        <v>-</v>
      </c>
      <c r="W31" s="162" t="str">
        <f aca="false">IFERROR(VLOOKUP(W$2,Rango_Admin_DailyPred,MATCH($F31,Rango_Admin_DailyPred_Primera,0)+1,0),"-")</f>
        <v>-</v>
      </c>
      <c r="X31" s="162" t="str">
        <f aca="false">IFERROR(VLOOKUP(X$2,Rango_Admin_DailyPred,MATCH($F31,Rango_Admin_DailyPred_Primera,0)+1,0),"-")</f>
        <v>-</v>
      </c>
      <c r="Y31" s="162" t="str">
        <f aca="false">IFERROR(VLOOKUP(Y$2,Rango_Admin_DailyPred,MATCH($F31,Rango_Admin_DailyPred_Primera,0)+1,0),"-")</f>
        <v>-</v>
      </c>
      <c r="Z31" s="162" t="str">
        <f aca="false">IFERROR(VLOOKUP(Z$2,Rango_Admin_DailyPred,MATCH($F31,Rango_Admin_DailyPred_Primera,0)+1,0),"-")</f>
        <v>-</v>
      </c>
      <c r="AA31" s="162" t="str">
        <f aca="false">IFERROR(VLOOKUP(AA$2,Rango_Admin_DailyPred,MATCH($F31,Rango_Admin_DailyPred_Primera,0)+1,0),"-")</f>
        <v>-</v>
      </c>
      <c r="AB31" s="162" t="str">
        <f aca="false">IFERROR(VLOOKUP(AB$2,Rango_Admin_DailyPred,MATCH($F31,Rango_Admin_DailyPred_Primera,0)+1,0),"-")</f>
        <v>-</v>
      </c>
      <c r="AC31" s="162" t="str">
        <f aca="false">IFERROR(VLOOKUP(AC$2,Rango_Admin_DailyPred,MATCH($F31,Rango_Admin_DailyPred_Primera,0)+1,0),"-")</f>
        <v>-</v>
      </c>
      <c r="AD31" s="162" t="str">
        <f aca="false">IFERROR(VLOOKUP(AD$2,Rango_Admin_DailyPred,MATCH($F31,Rango_Admin_DailyPred_Primera,0)+1,0),"-")</f>
        <v>-</v>
      </c>
      <c r="AE31" s="162" t="str">
        <f aca="false">IFERROR(VLOOKUP(AE$2,Rango_Admin_DailyPred,MATCH($F31,Rango_Admin_DailyPred_Primera,0)+1,0),"-")</f>
        <v>-</v>
      </c>
      <c r="AF31" s="162" t="str">
        <f aca="false">IFERROR(VLOOKUP(AF$2,Rango_Admin_DailyPred,MATCH($F31,Rango_Admin_DailyPred_Primera,0)+1,0),"-")</f>
        <v>-</v>
      </c>
      <c r="AG31" s="162" t="str">
        <f aca="false">IFERROR(VLOOKUP(AG$2,Rango_Admin_DailyPred,MATCH($F31,Rango_Admin_DailyPred_Primera,0)+1,0),"-")</f>
        <v>-</v>
      </c>
      <c r="AH31" s="162" t="str">
        <f aca="false">IFERROR(VLOOKUP(AH$2,Rango_Admin_DailyPred,MATCH($F31,Rango_Admin_DailyPred_Primera,0)+1,0),"-")</f>
        <v>-</v>
      </c>
      <c r="AI31" s="162" t="str">
        <f aca="false">IFERROR(VLOOKUP(AI$2,Rango_Admin_DailyPred,MATCH($F31,Rango_Admin_DailyPred_Primera,0)+1,0),"-")</f>
        <v>-</v>
      </c>
      <c r="AJ31" s="162" t="str">
        <f aca="false">IFERROR(VLOOKUP(AJ$2,Rango_Admin_DailyPred,MATCH($F31,Rango_Admin_DailyPred_Primera,0)+1,0),"-")</f>
        <v>-</v>
      </c>
      <c r="AK31" s="162" t="str">
        <f aca="false">IFERROR(VLOOKUP(AK$2,Rango_Admin_DailyPred,MATCH($F31,Rango_Admin_DailyPred_Primera,0)+1,0),"-")</f>
        <v>-</v>
      </c>
      <c r="AL31" s="162" t="str">
        <f aca="false">IFERROR(VLOOKUP(AL$2,Rango_Admin_DailyPred,MATCH($F31,Rango_Admin_DailyPred_Primera,0)+1,0),"-")</f>
        <v>-</v>
      </c>
      <c r="AM31" s="162" t="str">
        <f aca="false">IFERROR(VLOOKUP(AM$2,Rango_Admin_DailyPred,MATCH($F31,Rango_Admin_DailyPred_Primera,0)+1,0),"-")</f>
        <v>-</v>
      </c>
      <c r="AN31" s="244"/>
    </row>
    <row r="32" customFormat="false" ht="15" hidden="true" customHeight="false" outlineLevel="0" collapsed="false">
      <c r="A32" s="30" t="str">
        <f aca="false" t="array" ref="A32:A32">IFERROR(INDEX(ADMIN!$K$6:$K$258,SMALL(IF(ADMIN!$G$6:$G$258=$K$1,ROW(ADMIN!$G$6:$G$258)-ROW(ADMIN!$G$6)+1),ROWS($A$1:A29))),"")</f>
        <v/>
      </c>
      <c r="B32" s="30" t="str">
        <f aca="false" t="array" ref="B32:B32">IFERROR(IFERROR(INDEX(ADMIN!$K$6:$K$258,SMALL(IF($K$1=ADMIN!$G$6:$G$258,ROW(ADMIN!$K$6:$K$258)-MIN(ROW(ADMIN!$G$6:$G$258))+1,""),ROW()-3)),"")&amp;CHAR(10)&amp;IF(INDEX(ADMIN!$M$6:$M$258,SMALL(IF($K$1=ADMIN!$G$6:$G$258,ROW(ADMIN!$M$6:$M$258)-MIN(ROW(ADMIN!$G$6:$G$258))+1,""),ROW()-3))="0|-",""," ("&amp;INDEX(ADMIN!$M$6:$M$258,SMALL(IF($K$1=ADMIN!$G$6:$G$258,ROW(ADMIN!$M$6:$M$258)-MIN(ROW(ADMIN!$G$6:$G$258))+1,""),ROW()-3))&amp;")"),"")</f>
        <v/>
      </c>
      <c r="C32" s="30" t="n">
        <v>29</v>
      </c>
      <c r="D32" s="463"/>
      <c r="E32" s="479" t="n">
        <f aca="false">IFERROR(HLOOKUP(C32,Rango_Admin_DailyClas,3,FALSE()),"-")</f>
        <v>18</v>
      </c>
      <c r="F32" s="480" t="str">
        <f aca="false">IFERROR(HLOOKUP(C32,Rango_Admin_DailyClas,5,FALSE()),"-")</f>
        <v>Pegar Valores Nombre J29</v>
      </c>
      <c r="G32" s="51" t="n">
        <f aca="false">IFERROR(HLOOKUP(C32,Rango_Admin_DailyClas,4,FALSE()),"-")</f>
        <v>0</v>
      </c>
      <c r="H32" s="162" t="n">
        <f aca="false">IFERROR(VLOOKUP(H$2,Rango_Admin_DailyPred,MATCH($F32,Rango_Admin_DailyPred_Primera,0)+1,0),"-")</f>
        <v>0</v>
      </c>
      <c r="I32" s="162" t="n">
        <f aca="false">IFERROR(VLOOKUP(I$2,Rango_Admin_DailyPred,MATCH($F32,Rango_Admin_DailyPred_Primera,0)+1,0),"-")</f>
        <v>0</v>
      </c>
      <c r="J32" s="162" t="n">
        <f aca="false">IFERROR(VLOOKUP(J$2,Rango_Admin_DailyPred,MATCH($F32,Rango_Admin_DailyPred_Primera,0)+1,0),"-")</f>
        <v>0</v>
      </c>
      <c r="K32" s="162" t="n">
        <f aca="false">IFERROR(VLOOKUP(K$2,Rango_Admin_DailyPred,MATCH($F32,Rango_Admin_DailyPred_Primera,0)+1,0),"-")</f>
        <v>0</v>
      </c>
      <c r="L32" s="162" t="n">
        <f aca="false">IFERROR(VLOOKUP(L$2,Rango_Admin_DailyPred,MATCH($F32,Rango_Admin_DailyPred_Primera,0)+1,0),"-")</f>
        <v>0</v>
      </c>
      <c r="M32" s="162" t="str">
        <f aca="false">IFERROR(VLOOKUP(M$2,Rango_Admin_DailyPred,MATCH($F32,Rango_Admin_DailyPred_Primera,0)+1,0),"-")</f>
        <v>-</v>
      </c>
      <c r="N32" s="162" t="str">
        <f aca="false">IFERROR(VLOOKUP(N$2,Rango_Admin_DailyPred,MATCH($F32,Rango_Admin_DailyPred_Primera,0)+1,0),"-")</f>
        <v>-</v>
      </c>
      <c r="O32" s="162" t="str">
        <f aca="false">IFERROR(VLOOKUP(O$2,Rango_Admin_DailyPred,MATCH($F32,Rango_Admin_DailyPred_Primera,0)+1,0),"-")</f>
        <v>-</v>
      </c>
      <c r="P32" s="162" t="str">
        <f aca="false">IFERROR(VLOOKUP(P$2,Rango_Admin_DailyPred,MATCH($F32,Rango_Admin_DailyPred_Primera,0)+1,0),"-")</f>
        <v>-</v>
      </c>
      <c r="Q32" s="162" t="str">
        <f aca="false">IFERROR(VLOOKUP(Q$2,Rango_Admin_DailyPred,MATCH($F32,Rango_Admin_DailyPred_Primera,0)+1,0),"-")</f>
        <v>-</v>
      </c>
      <c r="R32" s="162" t="str">
        <f aca="false">IFERROR(VLOOKUP(R$2,Rango_Admin_DailyPred,MATCH($F32,Rango_Admin_DailyPred_Primera,0)+1,0),"-")</f>
        <v>-</v>
      </c>
      <c r="S32" s="162" t="str">
        <f aca="false">IFERROR(VLOOKUP(S$2,Rango_Admin_DailyPred,MATCH($F32,Rango_Admin_DailyPred_Primera,0)+1,0),"-")</f>
        <v>-</v>
      </c>
      <c r="T32" s="162" t="str">
        <f aca="false">IFERROR(VLOOKUP(T$2,Rango_Admin_DailyPred,MATCH($F32,Rango_Admin_DailyPred_Primera,0)+1,0),"-")</f>
        <v>-</v>
      </c>
      <c r="U32" s="162" t="str">
        <f aca="false">IFERROR(VLOOKUP(U$2,Rango_Admin_DailyPred,MATCH($F32,Rango_Admin_DailyPred_Primera,0)+1,0),"-")</f>
        <v>-</v>
      </c>
      <c r="V32" s="162" t="str">
        <f aca="false">IFERROR(VLOOKUP(V$2,Rango_Admin_DailyPred,MATCH($F32,Rango_Admin_DailyPred_Primera,0)+1,0),"-")</f>
        <v>-</v>
      </c>
      <c r="W32" s="162" t="str">
        <f aca="false">IFERROR(VLOOKUP(W$2,Rango_Admin_DailyPred,MATCH($F32,Rango_Admin_DailyPred_Primera,0)+1,0),"-")</f>
        <v>-</v>
      </c>
      <c r="X32" s="162" t="str">
        <f aca="false">IFERROR(VLOOKUP(X$2,Rango_Admin_DailyPred,MATCH($F32,Rango_Admin_DailyPred_Primera,0)+1,0),"-")</f>
        <v>-</v>
      </c>
      <c r="Y32" s="162" t="str">
        <f aca="false">IFERROR(VLOOKUP(Y$2,Rango_Admin_DailyPred,MATCH($F32,Rango_Admin_DailyPred_Primera,0)+1,0),"-")</f>
        <v>-</v>
      </c>
      <c r="Z32" s="162" t="str">
        <f aca="false">IFERROR(VLOOKUP(Z$2,Rango_Admin_DailyPred,MATCH($F32,Rango_Admin_DailyPred_Primera,0)+1,0),"-")</f>
        <v>-</v>
      </c>
      <c r="AA32" s="162" t="str">
        <f aca="false">IFERROR(VLOOKUP(AA$2,Rango_Admin_DailyPred,MATCH($F32,Rango_Admin_DailyPred_Primera,0)+1,0),"-")</f>
        <v>-</v>
      </c>
      <c r="AB32" s="162" t="str">
        <f aca="false">IFERROR(VLOOKUP(AB$2,Rango_Admin_DailyPred,MATCH($F32,Rango_Admin_DailyPred_Primera,0)+1,0),"-")</f>
        <v>-</v>
      </c>
      <c r="AC32" s="162" t="str">
        <f aca="false">IFERROR(VLOOKUP(AC$2,Rango_Admin_DailyPred,MATCH($F32,Rango_Admin_DailyPred_Primera,0)+1,0),"-")</f>
        <v>-</v>
      </c>
      <c r="AD32" s="162" t="str">
        <f aca="false">IFERROR(VLOOKUP(AD$2,Rango_Admin_DailyPred,MATCH($F32,Rango_Admin_DailyPred_Primera,0)+1,0),"-")</f>
        <v>-</v>
      </c>
      <c r="AE32" s="162" t="str">
        <f aca="false">IFERROR(VLOOKUP(AE$2,Rango_Admin_DailyPred,MATCH($F32,Rango_Admin_DailyPred_Primera,0)+1,0),"-")</f>
        <v>-</v>
      </c>
      <c r="AF32" s="162" t="str">
        <f aca="false">IFERROR(VLOOKUP(AF$2,Rango_Admin_DailyPred,MATCH($F32,Rango_Admin_DailyPred_Primera,0)+1,0),"-")</f>
        <v>-</v>
      </c>
      <c r="AG32" s="162" t="str">
        <f aca="false">IFERROR(VLOOKUP(AG$2,Rango_Admin_DailyPred,MATCH($F32,Rango_Admin_DailyPred_Primera,0)+1,0),"-")</f>
        <v>-</v>
      </c>
      <c r="AH32" s="162" t="str">
        <f aca="false">IFERROR(VLOOKUP(AH$2,Rango_Admin_DailyPred,MATCH($F32,Rango_Admin_DailyPred_Primera,0)+1,0),"-")</f>
        <v>-</v>
      </c>
      <c r="AI32" s="162" t="str">
        <f aca="false">IFERROR(VLOOKUP(AI$2,Rango_Admin_DailyPred,MATCH($F32,Rango_Admin_DailyPred_Primera,0)+1,0),"-")</f>
        <v>-</v>
      </c>
      <c r="AJ32" s="162" t="str">
        <f aca="false">IFERROR(VLOOKUP(AJ$2,Rango_Admin_DailyPred,MATCH($F32,Rango_Admin_DailyPred_Primera,0)+1,0),"-")</f>
        <v>-</v>
      </c>
      <c r="AK32" s="162" t="str">
        <f aca="false">IFERROR(VLOOKUP(AK$2,Rango_Admin_DailyPred,MATCH($F32,Rango_Admin_DailyPred_Primera,0)+1,0),"-")</f>
        <v>-</v>
      </c>
      <c r="AL32" s="162" t="str">
        <f aca="false">IFERROR(VLOOKUP(AL$2,Rango_Admin_DailyPred,MATCH($F32,Rango_Admin_DailyPred_Primera,0)+1,0),"-")</f>
        <v>-</v>
      </c>
      <c r="AM32" s="162" t="str">
        <f aca="false">IFERROR(VLOOKUP(AM$2,Rango_Admin_DailyPred,MATCH($F32,Rango_Admin_DailyPred_Primera,0)+1,0),"-")</f>
        <v>-</v>
      </c>
      <c r="AN32" s="244"/>
    </row>
    <row r="33" customFormat="false" ht="15" hidden="true" customHeight="false" outlineLevel="0" collapsed="false">
      <c r="A33" s="30" t="str">
        <f aca="false" t="array" ref="A33:A33">IFERROR(INDEX(ADMIN!$K$6:$K$258,SMALL(IF(ADMIN!$G$6:$G$258=$K$1,ROW(ADMIN!$G$6:$G$258)-ROW(ADMIN!$G$6)+1),ROWS($A$1:A30))),"")</f>
        <v/>
      </c>
      <c r="B33" s="30" t="str">
        <f aca="false" t="array" ref="B33:B33">IFERROR(IFERROR(INDEX(ADMIN!$K$6:$K$258,SMALL(IF($K$1=ADMIN!$G$6:$G$258,ROW(ADMIN!$K$6:$K$258)-MIN(ROW(ADMIN!$G$6:$G$258))+1,""),ROW()-3)),"")&amp;CHAR(10)&amp;IF(INDEX(ADMIN!$M$6:$M$258,SMALL(IF($K$1=ADMIN!$G$6:$G$258,ROW(ADMIN!$M$6:$M$258)-MIN(ROW(ADMIN!$G$6:$G$258))+1,""),ROW()-3))="0|-",""," ("&amp;INDEX(ADMIN!$M$6:$M$258,SMALL(IF($K$1=ADMIN!$G$6:$G$258,ROW(ADMIN!$M$6:$M$258)-MIN(ROW(ADMIN!$G$6:$G$258))+1,""),ROW()-3))&amp;")"),"")</f>
        <v/>
      </c>
      <c r="C33" s="30" t="n">
        <v>30</v>
      </c>
      <c r="D33" s="463"/>
      <c r="E33" s="479" t="n">
        <f aca="false">IFERROR(HLOOKUP(C33,Rango_Admin_DailyClas,3,FALSE()),"-")</f>
        <v>18</v>
      </c>
      <c r="F33" s="480" t="str">
        <f aca="false">IFERROR(HLOOKUP(C33,Rango_Admin_DailyClas,5,FALSE()),"-")</f>
        <v>Pegar Valores Nombre J30</v>
      </c>
      <c r="G33" s="51" t="n">
        <f aca="false">IFERROR(HLOOKUP(C33,Rango_Admin_DailyClas,4,FALSE()),"-")</f>
        <v>0</v>
      </c>
      <c r="H33" s="162" t="n">
        <f aca="false">IFERROR(VLOOKUP(H$2,Rango_Admin_DailyPred,MATCH($F33,Rango_Admin_DailyPred_Primera,0)+1,0),"-")</f>
        <v>0</v>
      </c>
      <c r="I33" s="162" t="n">
        <f aca="false">IFERROR(VLOOKUP(I$2,Rango_Admin_DailyPred,MATCH($F33,Rango_Admin_DailyPred_Primera,0)+1,0),"-")</f>
        <v>0</v>
      </c>
      <c r="J33" s="162" t="n">
        <f aca="false">IFERROR(VLOOKUP(J$2,Rango_Admin_DailyPred,MATCH($F33,Rango_Admin_DailyPred_Primera,0)+1,0),"-")</f>
        <v>0</v>
      </c>
      <c r="K33" s="162" t="n">
        <f aca="false">IFERROR(VLOOKUP(K$2,Rango_Admin_DailyPred,MATCH($F33,Rango_Admin_DailyPred_Primera,0)+1,0),"-")</f>
        <v>0</v>
      </c>
      <c r="L33" s="162" t="n">
        <f aca="false">IFERROR(VLOOKUP(L$2,Rango_Admin_DailyPred,MATCH($F33,Rango_Admin_DailyPred_Primera,0)+1,0),"-")</f>
        <v>0</v>
      </c>
      <c r="M33" s="162" t="str">
        <f aca="false">IFERROR(VLOOKUP(M$2,Rango_Admin_DailyPred,MATCH($F33,Rango_Admin_DailyPred_Primera,0)+1,0),"-")</f>
        <v>-</v>
      </c>
      <c r="N33" s="162" t="str">
        <f aca="false">IFERROR(VLOOKUP(N$2,Rango_Admin_DailyPred,MATCH($F33,Rango_Admin_DailyPred_Primera,0)+1,0),"-")</f>
        <v>-</v>
      </c>
      <c r="O33" s="162" t="str">
        <f aca="false">IFERROR(VLOOKUP(O$2,Rango_Admin_DailyPred,MATCH($F33,Rango_Admin_DailyPred_Primera,0)+1,0),"-")</f>
        <v>-</v>
      </c>
      <c r="P33" s="162" t="str">
        <f aca="false">IFERROR(VLOOKUP(P$2,Rango_Admin_DailyPred,MATCH($F33,Rango_Admin_DailyPred_Primera,0)+1,0),"-")</f>
        <v>-</v>
      </c>
      <c r="Q33" s="162" t="str">
        <f aca="false">IFERROR(VLOOKUP(Q$2,Rango_Admin_DailyPred,MATCH($F33,Rango_Admin_DailyPred_Primera,0)+1,0),"-")</f>
        <v>-</v>
      </c>
      <c r="R33" s="162" t="str">
        <f aca="false">IFERROR(VLOOKUP(R$2,Rango_Admin_DailyPred,MATCH($F33,Rango_Admin_DailyPred_Primera,0)+1,0),"-")</f>
        <v>-</v>
      </c>
      <c r="S33" s="162" t="str">
        <f aca="false">IFERROR(VLOOKUP(S$2,Rango_Admin_DailyPred,MATCH($F33,Rango_Admin_DailyPred_Primera,0)+1,0),"-")</f>
        <v>-</v>
      </c>
      <c r="T33" s="162" t="str">
        <f aca="false">IFERROR(VLOOKUP(T$2,Rango_Admin_DailyPred,MATCH($F33,Rango_Admin_DailyPred_Primera,0)+1,0),"-")</f>
        <v>-</v>
      </c>
      <c r="U33" s="162" t="str">
        <f aca="false">IFERROR(VLOOKUP(U$2,Rango_Admin_DailyPred,MATCH($F33,Rango_Admin_DailyPred_Primera,0)+1,0),"-")</f>
        <v>-</v>
      </c>
      <c r="V33" s="162" t="str">
        <f aca="false">IFERROR(VLOOKUP(V$2,Rango_Admin_DailyPred,MATCH($F33,Rango_Admin_DailyPred_Primera,0)+1,0),"-")</f>
        <v>-</v>
      </c>
      <c r="W33" s="162" t="str">
        <f aca="false">IFERROR(VLOOKUP(W$2,Rango_Admin_DailyPred,MATCH($F33,Rango_Admin_DailyPred_Primera,0)+1,0),"-")</f>
        <v>-</v>
      </c>
      <c r="X33" s="162" t="str">
        <f aca="false">IFERROR(VLOOKUP(X$2,Rango_Admin_DailyPred,MATCH($F33,Rango_Admin_DailyPred_Primera,0)+1,0),"-")</f>
        <v>-</v>
      </c>
      <c r="Y33" s="162" t="str">
        <f aca="false">IFERROR(VLOOKUP(Y$2,Rango_Admin_DailyPred,MATCH($F33,Rango_Admin_DailyPred_Primera,0)+1,0),"-")</f>
        <v>-</v>
      </c>
      <c r="Z33" s="162" t="str">
        <f aca="false">IFERROR(VLOOKUP(Z$2,Rango_Admin_DailyPred,MATCH($F33,Rango_Admin_DailyPred_Primera,0)+1,0),"-")</f>
        <v>-</v>
      </c>
      <c r="AA33" s="162" t="str">
        <f aca="false">IFERROR(VLOOKUP(AA$2,Rango_Admin_DailyPred,MATCH($F33,Rango_Admin_DailyPred_Primera,0)+1,0),"-")</f>
        <v>-</v>
      </c>
      <c r="AB33" s="162" t="str">
        <f aca="false">IFERROR(VLOOKUP(AB$2,Rango_Admin_DailyPred,MATCH($F33,Rango_Admin_DailyPred_Primera,0)+1,0),"-")</f>
        <v>-</v>
      </c>
      <c r="AC33" s="162" t="str">
        <f aca="false">IFERROR(VLOOKUP(AC$2,Rango_Admin_DailyPred,MATCH($F33,Rango_Admin_DailyPred_Primera,0)+1,0),"-")</f>
        <v>-</v>
      </c>
      <c r="AD33" s="162" t="str">
        <f aca="false">IFERROR(VLOOKUP(AD$2,Rango_Admin_DailyPred,MATCH($F33,Rango_Admin_DailyPred_Primera,0)+1,0),"-")</f>
        <v>-</v>
      </c>
      <c r="AE33" s="162" t="str">
        <f aca="false">IFERROR(VLOOKUP(AE$2,Rango_Admin_DailyPred,MATCH($F33,Rango_Admin_DailyPred_Primera,0)+1,0),"-")</f>
        <v>-</v>
      </c>
      <c r="AF33" s="162" t="str">
        <f aca="false">IFERROR(VLOOKUP(AF$2,Rango_Admin_DailyPred,MATCH($F33,Rango_Admin_DailyPred_Primera,0)+1,0),"-")</f>
        <v>-</v>
      </c>
      <c r="AG33" s="162" t="str">
        <f aca="false">IFERROR(VLOOKUP(AG$2,Rango_Admin_DailyPred,MATCH($F33,Rango_Admin_DailyPred_Primera,0)+1,0),"-")</f>
        <v>-</v>
      </c>
      <c r="AH33" s="162" t="str">
        <f aca="false">IFERROR(VLOOKUP(AH$2,Rango_Admin_DailyPred,MATCH($F33,Rango_Admin_DailyPred_Primera,0)+1,0),"-")</f>
        <v>-</v>
      </c>
      <c r="AI33" s="162" t="str">
        <f aca="false">IFERROR(VLOOKUP(AI$2,Rango_Admin_DailyPred,MATCH($F33,Rango_Admin_DailyPred_Primera,0)+1,0),"-")</f>
        <v>-</v>
      </c>
      <c r="AJ33" s="162" t="str">
        <f aca="false">IFERROR(VLOOKUP(AJ$2,Rango_Admin_DailyPred,MATCH($F33,Rango_Admin_DailyPred_Primera,0)+1,0),"-")</f>
        <v>-</v>
      </c>
      <c r="AK33" s="162" t="str">
        <f aca="false">IFERROR(VLOOKUP(AK$2,Rango_Admin_DailyPred,MATCH($F33,Rango_Admin_DailyPred_Primera,0)+1,0),"-")</f>
        <v>-</v>
      </c>
      <c r="AL33" s="162" t="str">
        <f aca="false">IFERROR(VLOOKUP(AL$2,Rango_Admin_DailyPred,MATCH($F33,Rango_Admin_DailyPred_Primera,0)+1,0),"-")</f>
        <v>-</v>
      </c>
      <c r="AM33" s="162" t="str">
        <f aca="false">IFERROR(VLOOKUP(AM$2,Rango_Admin_DailyPred,MATCH($F33,Rango_Admin_DailyPred_Primera,0)+1,0),"-")</f>
        <v>-</v>
      </c>
      <c r="AN33" s="244"/>
    </row>
    <row r="34" customFormat="false" ht="15" hidden="true" customHeight="false" outlineLevel="0" collapsed="false">
      <c r="A34" s="30" t="str">
        <f aca="false" t="array" ref="A34:A34">IFERROR(INDEX(ADMIN!$K$6:$K$258,SMALL(IF(ADMIN!$G$6:$G$258=$K$1,ROW(ADMIN!$G$6:$G$258)-ROW(ADMIN!$G$6)+1),ROWS($A$1:A31))),"")</f>
        <v/>
      </c>
      <c r="B34" s="30" t="str">
        <f aca="false" t="array" ref="B34:B34">IFERROR(IFERROR(INDEX(ADMIN!$K$6:$K$258,SMALL(IF($K$1=ADMIN!$G$6:$G$258,ROW(ADMIN!$K$6:$K$258)-MIN(ROW(ADMIN!$G$6:$G$258))+1,""),ROW()-3)),"")&amp;CHAR(10)&amp;IF(INDEX(ADMIN!$M$6:$M$258,SMALL(IF($K$1=ADMIN!$G$6:$G$258,ROW(ADMIN!$M$6:$M$258)-MIN(ROW(ADMIN!$G$6:$G$258))+1,""),ROW()-3))="0|-",""," ("&amp;INDEX(ADMIN!$M$6:$M$258,SMALL(IF($K$1=ADMIN!$G$6:$G$258,ROW(ADMIN!$M$6:$M$258)-MIN(ROW(ADMIN!$G$6:$G$258))+1,""),ROW()-3))&amp;")"),"")</f>
        <v/>
      </c>
      <c r="C34" s="30" t="n">
        <v>31</v>
      </c>
      <c r="D34" s="463"/>
      <c r="E34" s="479" t="n">
        <f aca="false">IFERROR(HLOOKUP(C34,Rango_Admin_DailyClas,3,FALSE()),"-")</f>
        <v>18</v>
      </c>
      <c r="F34" s="480" t="str">
        <f aca="false">IFERROR(HLOOKUP(C34,Rango_Admin_DailyClas,5,FALSE()),"-")</f>
        <v>Pegar Valores Nombre J31</v>
      </c>
      <c r="G34" s="51" t="n">
        <f aca="false">IFERROR(HLOOKUP(C34,Rango_Admin_DailyClas,4,FALSE()),"-")</f>
        <v>0</v>
      </c>
      <c r="H34" s="162" t="n">
        <f aca="false">IFERROR(VLOOKUP(H$2,Rango_Admin_DailyPred,MATCH($F34,Rango_Admin_DailyPred_Primera,0)+1,0),"-")</f>
        <v>0</v>
      </c>
      <c r="I34" s="162" t="n">
        <f aca="false">IFERROR(VLOOKUP(I$2,Rango_Admin_DailyPred,MATCH($F34,Rango_Admin_DailyPred_Primera,0)+1,0),"-")</f>
        <v>0</v>
      </c>
      <c r="J34" s="162" t="n">
        <f aca="false">IFERROR(VLOOKUP(J$2,Rango_Admin_DailyPred,MATCH($F34,Rango_Admin_DailyPred_Primera,0)+1,0),"-")</f>
        <v>0</v>
      </c>
      <c r="K34" s="162" t="n">
        <f aca="false">IFERROR(VLOOKUP(K$2,Rango_Admin_DailyPred,MATCH($F34,Rango_Admin_DailyPred_Primera,0)+1,0),"-")</f>
        <v>0</v>
      </c>
      <c r="L34" s="162" t="n">
        <f aca="false">IFERROR(VLOOKUP(L$2,Rango_Admin_DailyPred,MATCH($F34,Rango_Admin_DailyPred_Primera,0)+1,0),"-")</f>
        <v>0</v>
      </c>
      <c r="M34" s="162" t="str">
        <f aca="false">IFERROR(VLOOKUP(M$2,Rango_Admin_DailyPred,MATCH($F34,Rango_Admin_DailyPred_Primera,0)+1,0),"-")</f>
        <v>-</v>
      </c>
      <c r="N34" s="162" t="str">
        <f aca="false">IFERROR(VLOOKUP(N$2,Rango_Admin_DailyPred,MATCH($F34,Rango_Admin_DailyPred_Primera,0)+1,0),"-")</f>
        <v>-</v>
      </c>
      <c r="O34" s="162" t="str">
        <f aca="false">IFERROR(VLOOKUP(O$2,Rango_Admin_DailyPred,MATCH($F34,Rango_Admin_DailyPred_Primera,0)+1,0),"-")</f>
        <v>-</v>
      </c>
      <c r="P34" s="162" t="str">
        <f aca="false">IFERROR(VLOOKUP(P$2,Rango_Admin_DailyPred,MATCH($F34,Rango_Admin_DailyPred_Primera,0)+1,0),"-")</f>
        <v>-</v>
      </c>
      <c r="Q34" s="162" t="str">
        <f aca="false">IFERROR(VLOOKUP(Q$2,Rango_Admin_DailyPred,MATCH($F34,Rango_Admin_DailyPred_Primera,0)+1,0),"-")</f>
        <v>-</v>
      </c>
      <c r="R34" s="162" t="str">
        <f aca="false">IFERROR(VLOOKUP(R$2,Rango_Admin_DailyPred,MATCH($F34,Rango_Admin_DailyPred_Primera,0)+1,0),"-")</f>
        <v>-</v>
      </c>
      <c r="S34" s="162" t="str">
        <f aca="false">IFERROR(VLOOKUP(S$2,Rango_Admin_DailyPred,MATCH($F34,Rango_Admin_DailyPred_Primera,0)+1,0),"-")</f>
        <v>-</v>
      </c>
      <c r="T34" s="162" t="str">
        <f aca="false">IFERROR(VLOOKUP(T$2,Rango_Admin_DailyPred,MATCH($F34,Rango_Admin_DailyPred_Primera,0)+1,0),"-")</f>
        <v>-</v>
      </c>
      <c r="U34" s="162" t="str">
        <f aca="false">IFERROR(VLOOKUP(U$2,Rango_Admin_DailyPred,MATCH($F34,Rango_Admin_DailyPred_Primera,0)+1,0),"-")</f>
        <v>-</v>
      </c>
      <c r="V34" s="162" t="str">
        <f aca="false">IFERROR(VLOOKUP(V$2,Rango_Admin_DailyPred,MATCH($F34,Rango_Admin_DailyPred_Primera,0)+1,0),"-")</f>
        <v>-</v>
      </c>
      <c r="W34" s="162" t="str">
        <f aca="false">IFERROR(VLOOKUP(W$2,Rango_Admin_DailyPred,MATCH($F34,Rango_Admin_DailyPred_Primera,0)+1,0),"-")</f>
        <v>-</v>
      </c>
      <c r="X34" s="162" t="str">
        <f aca="false">IFERROR(VLOOKUP(X$2,Rango_Admin_DailyPred,MATCH($F34,Rango_Admin_DailyPred_Primera,0)+1,0),"-")</f>
        <v>-</v>
      </c>
      <c r="Y34" s="162" t="str">
        <f aca="false">IFERROR(VLOOKUP(Y$2,Rango_Admin_DailyPred,MATCH($F34,Rango_Admin_DailyPred_Primera,0)+1,0),"-")</f>
        <v>-</v>
      </c>
      <c r="Z34" s="162" t="str">
        <f aca="false">IFERROR(VLOOKUP(Z$2,Rango_Admin_DailyPred,MATCH($F34,Rango_Admin_DailyPred_Primera,0)+1,0),"-")</f>
        <v>-</v>
      </c>
      <c r="AA34" s="162" t="str">
        <f aca="false">IFERROR(VLOOKUP(AA$2,Rango_Admin_DailyPred,MATCH($F34,Rango_Admin_DailyPred_Primera,0)+1,0),"-")</f>
        <v>-</v>
      </c>
      <c r="AB34" s="162" t="str">
        <f aca="false">IFERROR(VLOOKUP(AB$2,Rango_Admin_DailyPred,MATCH($F34,Rango_Admin_DailyPred_Primera,0)+1,0),"-")</f>
        <v>-</v>
      </c>
      <c r="AC34" s="162" t="str">
        <f aca="false">IFERROR(VLOOKUP(AC$2,Rango_Admin_DailyPred,MATCH($F34,Rango_Admin_DailyPred_Primera,0)+1,0),"-")</f>
        <v>-</v>
      </c>
      <c r="AD34" s="162" t="str">
        <f aca="false">IFERROR(VLOOKUP(AD$2,Rango_Admin_DailyPred,MATCH($F34,Rango_Admin_DailyPred_Primera,0)+1,0),"-")</f>
        <v>-</v>
      </c>
      <c r="AE34" s="162" t="str">
        <f aca="false">IFERROR(VLOOKUP(AE$2,Rango_Admin_DailyPred,MATCH($F34,Rango_Admin_DailyPred_Primera,0)+1,0),"-")</f>
        <v>-</v>
      </c>
      <c r="AF34" s="162" t="str">
        <f aca="false">IFERROR(VLOOKUP(AF$2,Rango_Admin_DailyPred,MATCH($F34,Rango_Admin_DailyPred_Primera,0)+1,0),"-")</f>
        <v>-</v>
      </c>
      <c r="AG34" s="162" t="str">
        <f aca="false">IFERROR(VLOOKUP(AG$2,Rango_Admin_DailyPred,MATCH($F34,Rango_Admin_DailyPred_Primera,0)+1,0),"-")</f>
        <v>-</v>
      </c>
      <c r="AH34" s="162" t="str">
        <f aca="false">IFERROR(VLOOKUP(AH$2,Rango_Admin_DailyPred,MATCH($F34,Rango_Admin_DailyPred_Primera,0)+1,0),"-")</f>
        <v>-</v>
      </c>
      <c r="AI34" s="162" t="str">
        <f aca="false">IFERROR(VLOOKUP(AI$2,Rango_Admin_DailyPred,MATCH($F34,Rango_Admin_DailyPred_Primera,0)+1,0),"-")</f>
        <v>-</v>
      </c>
      <c r="AJ34" s="162" t="str">
        <f aca="false">IFERROR(VLOOKUP(AJ$2,Rango_Admin_DailyPred,MATCH($F34,Rango_Admin_DailyPred_Primera,0)+1,0),"-")</f>
        <v>-</v>
      </c>
      <c r="AK34" s="162" t="str">
        <f aca="false">IFERROR(VLOOKUP(AK$2,Rango_Admin_DailyPred,MATCH($F34,Rango_Admin_DailyPred_Primera,0)+1,0),"-")</f>
        <v>-</v>
      </c>
      <c r="AL34" s="162" t="str">
        <f aca="false">IFERROR(VLOOKUP(AL$2,Rango_Admin_DailyPred,MATCH($F34,Rango_Admin_DailyPred_Primera,0)+1,0),"-")</f>
        <v>-</v>
      </c>
      <c r="AM34" s="162" t="str">
        <f aca="false">IFERROR(VLOOKUP(AM$2,Rango_Admin_DailyPred,MATCH($F34,Rango_Admin_DailyPred_Primera,0)+1,0),"-")</f>
        <v>-</v>
      </c>
      <c r="AN34" s="244"/>
    </row>
    <row r="35" customFormat="false" ht="15" hidden="true" customHeight="false" outlineLevel="0" collapsed="false">
      <c r="A35" s="30" t="str">
        <f aca="false" t="array" ref="A35:A35">IFERROR(INDEX(ADMIN!$K$6:$K$258,SMALL(IF(ADMIN!$G$6:$G$258=$K$1,ROW(ADMIN!$G$6:$G$258)-ROW(ADMIN!$G$6)+1),ROWS($A$1:A32))),"")</f>
        <v/>
      </c>
      <c r="B35" s="30" t="str">
        <f aca="false" t="array" ref="B35:B35">IFERROR(IFERROR(INDEX(ADMIN!$K$6:$K$258,SMALL(IF($K$1=ADMIN!$G$6:$G$258,ROW(ADMIN!$K$6:$K$258)-MIN(ROW(ADMIN!$G$6:$G$258))+1,""),ROW()-3)),"")&amp;CHAR(10)&amp;IF(INDEX(ADMIN!$M$6:$M$258,SMALL(IF($K$1=ADMIN!$G$6:$G$258,ROW(ADMIN!$M$6:$M$258)-MIN(ROW(ADMIN!$G$6:$G$258))+1,""),ROW()-3))="0|-",""," ("&amp;INDEX(ADMIN!$M$6:$M$258,SMALL(IF($K$1=ADMIN!$G$6:$G$258,ROW(ADMIN!$M$6:$M$258)-MIN(ROW(ADMIN!$G$6:$G$258))+1,""),ROW()-3))&amp;")"),"")</f>
        <v/>
      </c>
      <c r="C35" s="30" t="n">
        <v>32</v>
      </c>
      <c r="D35" s="463"/>
      <c r="E35" s="479" t="n">
        <f aca="false">IFERROR(HLOOKUP(C35,Rango_Admin_DailyClas,3,FALSE()),"-")</f>
        <v>18</v>
      </c>
      <c r="F35" s="480" t="str">
        <f aca="false">IFERROR(HLOOKUP(C35,Rango_Admin_DailyClas,5,FALSE()),"-")</f>
        <v>Pegar Valores Nombre J32</v>
      </c>
      <c r="G35" s="51" t="n">
        <f aca="false">IFERROR(HLOOKUP(C35,Rango_Admin_DailyClas,4,FALSE()),"-")</f>
        <v>0</v>
      </c>
      <c r="H35" s="162" t="n">
        <f aca="false">IFERROR(VLOOKUP(H$2,Rango_Admin_DailyPred,MATCH($F35,Rango_Admin_DailyPred_Primera,0)+1,0),"-")</f>
        <v>0</v>
      </c>
      <c r="I35" s="162" t="n">
        <f aca="false">IFERROR(VLOOKUP(I$2,Rango_Admin_DailyPred,MATCH($F35,Rango_Admin_DailyPred_Primera,0)+1,0),"-")</f>
        <v>0</v>
      </c>
      <c r="J35" s="162" t="n">
        <f aca="false">IFERROR(VLOOKUP(J$2,Rango_Admin_DailyPred,MATCH($F35,Rango_Admin_DailyPred_Primera,0)+1,0),"-")</f>
        <v>0</v>
      </c>
      <c r="K35" s="162" t="n">
        <f aca="false">IFERROR(VLOOKUP(K$2,Rango_Admin_DailyPred,MATCH($F35,Rango_Admin_DailyPred_Primera,0)+1,0),"-")</f>
        <v>0</v>
      </c>
      <c r="L35" s="162" t="n">
        <f aca="false">IFERROR(VLOOKUP(L$2,Rango_Admin_DailyPred,MATCH($F35,Rango_Admin_DailyPred_Primera,0)+1,0),"-")</f>
        <v>0</v>
      </c>
      <c r="M35" s="162" t="str">
        <f aca="false">IFERROR(VLOOKUP(M$2,Rango_Admin_DailyPred,MATCH($F35,Rango_Admin_DailyPred_Primera,0)+1,0),"-")</f>
        <v>-</v>
      </c>
      <c r="N35" s="162" t="str">
        <f aca="false">IFERROR(VLOOKUP(N$2,Rango_Admin_DailyPred,MATCH($F35,Rango_Admin_DailyPred_Primera,0)+1,0),"-")</f>
        <v>-</v>
      </c>
      <c r="O35" s="162" t="str">
        <f aca="false">IFERROR(VLOOKUP(O$2,Rango_Admin_DailyPred,MATCH($F35,Rango_Admin_DailyPred_Primera,0)+1,0),"-")</f>
        <v>-</v>
      </c>
      <c r="P35" s="162" t="str">
        <f aca="false">IFERROR(VLOOKUP(P$2,Rango_Admin_DailyPred,MATCH($F35,Rango_Admin_DailyPred_Primera,0)+1,0),"-")</f>
        <v>-</v>
      </c>
      <c r="Q35" s="162" t="str">
        <f aca="false">IFERROR(VLOOKUP(Q$2,Rango_Admin_DailyPred,MATCH($F35,Rango_Admin_DailyPred_Primera,0)+1,0),"-")</f>
        <v>-</v>
      </c>
      <c r="R35" s="162" t="str">
        <f aca="false">IFERROR(VLOOKUP(R$2,Rango_Admin_DailyPred,MATCH($F35,Rango_Admin_DailyPred_Primera,0)+1,0),"-")</f>
        <v>-</v>
      </c>
      <c r="S35" s="162" t="str">
        <f aca="false">IFERROR(VLOOKUP(S$2,Rango_Admin_DailyPred,MATCH($F35,Rango_Admin_DailyPred_Primera,0)+1,0),"-")</f>
        <v>-</v>
      </c>
      <c r="T35" s="162" t="str">
        <f aca="false">IFERROR(VLOOKUP(T$2,Rango_Admin_DailyPred,MATCH($F35,Rango_Admin_DailyPred_Primera,0)+1,0),"-")</f>
        <v>-</v>
      </c>
      <c r="U35" s="162" t="str">
        <f aca="false">IFERROR(VLOOKUP(U$2,Rango_Admin_DailyPred,MATCH($F35,Rango_Admin_DailyPred_Primera,0)+1,0),"-")</f>
        <v>-</v>
      </c>
      <c r="V35" s="162" t="str">
        <f aca="false">IFERROR(VLOOKUP(V$2,Rango_Admin_DailyPred,MATCH($F35,Rango_Admin_DailyPred_Primera,0)+1,0),"-")</f>
        <v>-</v>
      </c>
      <c r="W35" s="162" t="str">
        <f aca="false">IFERROR(VLOOKUP(W$2,Rango_Admin_DailyPred,MATCH($F35,Rango_Admin_DailyPred_Primera,0)+1,0),"-")</f>
        <v>-</v>
      </c>
      <c r="X35" s="162" t="str">
        <f aca="false">IFERROR(VLOOKUP(X$2,Rango_Admin_DailyPred,MATCH($F35,Rango_Admin_DailyPred_Primera,0)+1,0),"-")</f>
        <v>-</v>
      </c>
      <c r="Y35" s="162" t="str">
        <f aca="false">IFERROR(VLOOKUP(Y$2,Rango_Admin_DailyPred,MATCH($F35,Rango_Admin_DailyPred_Primera,0)+1,0),"-")</f>
        <v>-</v>
      </c>
      <c r="Z35" s="162" t="str">
        <f aca="false">IFERROR(VLOOKUP(Z$2,Rango_Admin_DailyPred,MATCH($F35,Rango_Admin_DailyPred_Primera,0)+1,0),"-")</f>
        <v>-</v>
      </c>
      <c r="AA35" s="162" t="str">
        <f aca="false">IFERROR(VLOOKUP(AA$2,Rango_Admin_DailyPred,MATCH($F35,Rango_Admin_DailyPred_Primera,0)+1,0),"-")</f>
        <v>-</v>
      </c>
      <c r="AB35" s="162" t="str">
        <f aca="false">IFERROR(VLOOKUP(AB$2,Rango_Admin_DailyPred,MATCH($F35,Rango_Admin_DailyPred_Primera,0)+1,0),"-")</f>
        <v>-</v>
      </c>
      <c r="AC35" s="162" t="str">
        <f aca="false">IFERROR(VLOOKUP(AC$2,Rango_Admin_DailyPred,MATCH($F35,Rango_Admin_DailyPred_Primera,0)+1,0),"-")</f>
        <v>-</v>
      </c>
      <c r="AD35" s="162" t="str">
        <f aca="false">IFERROR(VLOOKUP(AD$2,Rango_Admin_DailyPred,MATCH($F35,Rango_Admin_DailyPred_Primera,0)+1,0),"-")</f>
        <v>-</v>
      </c>
      <c r="AE35" s="162" t="str">
        <f aca="false">IFERROR(VLOOKUP(AE$2,Rango_Admin_DailyPred,MATCH($F35,Rango_Admin_DailyPred_Primera,0)+1,0),"-")</f>
        <v>-</v>
      </c>
      <c r="AF35" s="162" t="str">
        <f aca="false">IFERROR(VLOOKUP(AF$2,Rango_Admin_DailyPred,MATCH($F35,Rango_Admin_DailyPred_Primera,0)+1,0),"-")</f>
        <v>-</v>
      </c>
      <c r="AG35" s="162" t="str">
        <f aca="false">IFERROR(VLOOKUP(AG$2,Rango_Admin_DailyPred,MATCH($F35,Rango_Admin_DailyPred_Primera,0)+1,0),"-")</f>
        <v>-</v>
      </c>
      <c r="AH35" s="162" t="str">
        <f aca="false">IFERROR(VLOOKUP(AH$2,Rango_Admin_DailyPred,MATCH($F35,Rango_Admin_DailyPred_Primera,0)+1,0),"-")</f>
        <v>-</v>
      </c>
      <c r="AI35" s="162" t="str">
        <f aca="false">IFERROR(VLOOKUP(AI$2,Rango_Admin_DailyPred,MATCH($F35,Rango_Admin_DailyPred_Primera,0)+1,0),"-")</f>
        <v>-</v>
      </c>
      <c r="AJ35" s="162" t="str">
        <f aca="false">IFERROR(VLOOKUP(AJ$2,Rango_Admin_DailyPred,MATCH($F35,Rango_Admin_DailyPred_Primera,0)+1,0),"-")</f>
        <v>-</v>
      </c>
      <c r="AK35" s="162" t="str">
        <f aca="false">IFERROR(VLOOKUP(AK$2,Rango_Admin_DailyPred,MATCH($F35,Rango_Admin_DailyPred_Primera,0)+1,0),"-")</f>
        <v>-</v>
      </c>
      <c r="AL35" s="162" t="str">
        <f aca="false">IFERROR(VLOOKUP(AL$2,Rango_Admin_DailyPred,MATCH($F35,Rango_Admin_DailyPred_Primera,0)+1,0),"-")</f>
        <v>-</v>
      </c>
      <c r="AM35" s="162" t="str">
        <f aca="false">IFERROR(VLOOKUP(AM$2,Rango_Admin_DailyPred,MATCH($F35,Rango_Admin_DailyPred_Primera,0)+1,0),"-")</f>
        <v>-</v>
      </c>
      <c r="AN35" s="244"/>
    </row>
    <row r="36" customFormat="false" ht="15" hidden="true" customHeight="false" outlineLevel="0" collapsed="false">
      <c r="C36" s="30" t="n">
        <v>33</v>
      </c>
      <c r="D36" s="463"/>
      <c r="E36" s="479" t="n">
        <f aca="false">IFERROR(HLOOKUP(C36,Rango_Admin_DailyClas,3,FALSE()),"-")</f>
        <v>18</v>
      </c>
      <c r="F36" s="480" t="str">
        <f aca="false">IFERROR(HLOOKUP(C36,Rango_Admin_DailyClas,5,FALSE()),"-")</f>
        <v>Pegar Valores Nombre J33</v>
      </c>
      <c r="G36" s="51" t="n">
        <f aca="false">IFERROR(HLOOKUP(C36,Rango_Admin_DailyClas,4,FALSE()),"-")</f>
        <v>0</v>
      </c>
      <c r="H36" s="162" t="n">
        <f aca="false">IFERROR(VLOOKUP(H$2,Rango_Admin_DailyPred,MATCH($F36,Rango_Admin_DailyPred_Primera,0)+1,0),"-")</f>
        <v>0</v>
      </c>
      <c r="I36" s="162" t="n">
        <f aca="false">IFERROR(VLOOKUP(I$2,Rango_Admin_DailyPred,MATCH($F36,Rango_Admin_DailyPred_Primera,0)+1,0),"-")</f>
        <v>0</v>
      </c>
      <c r="J36" s="162" t="n">
        <f aca="false">IFERROR(VLOOKUP(J$2,Rango_Admin_DailyPred,MATCH($F36,Rango_Admin_DailyPred_Primera,0)+1,0),"-")</f>
        <v>0</v>
      </c>
      <c r="K36" s="162" t="n">
        <f aca="false">IFERROR(VLOOKUP(K$2,Rango_Admin_DailyPred,MATCH($F36,Rango_Admin_DailyPred_Primera,0)+1,0),"-")</f>
        <v>0</v>
      </c>
      <c r="L36" s="162" t="n">
        <f aca="false">IFERROR(VLOOKUP(L$2,Rango_Admin_DailyPred,MATCH($F36,Rango_Admin_DailyPred_Primera,0)+1,0),"-")</f>
        <v>0</v>
      </c>
      <c r="M36" s="162" t="str">
        <f aca="false">IFERROR(VLOOKUP(M$2,Rango_Admin_DailyPred,MATCH($F36,Rango_Admin_DailyPred_Primera,0)+1,0),"-")</f>
        <v>-</v>
      </c>
      <c r="N36" s="162" t="str">
        <f aca="false">IFERROR(VLOOKUP(N$2,Rango_Admin_DailyPred,MATCH($F36,Rango_Admin_DailyPred_Primera,0)+1,0),"-")</f>
        <v>-</v>
      </c>
      <c r="O36" s="162" t="str">
        <f aca="false">IFERROR(VLOOKUP(O$2,Rango_Admin_DailyPred,MATCH($F36,Rango_Admin_DailyPred_Primera,0)+1,0),"-")</f>
        <v>-</v>
      </c>
      <c r="P36" s="162" t="str">
        <f aca="false">IFERROR(VLOOKUP(P$2,Rango_Admin_DailyPred,MATCH($F36,Rango_Admin_DailyPred_Primera,0)+1,0),"-")</f>
        <v>-</v>
      </c>
      <c r="Q36" s="162" t="str">
        <f aca="false">IFERROR(VLOOKUP(Q$2,Rango_Admin_DailyPred,MATCH($F36,Rango_Admin_DailyPred_Primera,0)+1,0),"-")</f>
        <v>-</v>
      </c>
      <c r="R36" s="162" t="str">
        <f aca="false">IFERROR(VLOOKUP(R$2,Rango_Admin_DailyPred,MATCH($F36,Rango_Admin_DailyPred_Primera,0)+1,0),"-")</f>
        <v>-</v>
      </c>
      <c r="S36" s="162" t="str">
        <f aca="false">IFERROR(VLOOKUP(S$2,Rango_Admin_DailyPred,MATCH($F36,Rango_Admin_DailyPred_Primera,0)+1,0),"-")</f>
        <v>-</v>
      </c>
      <c r="T36" s="162" t="str">
        <f aca="false">IFERROR(VLOOKUP(T$2,Rango_Admin_DailyPred,MATCH($F36,Rango_Admin_DailyPred_Primera,0)+1,0),"-")</f>
        <v>-</v>
      </c>
      <c r="U36" s="162" t="str">
        <f aca="false">IFERROR(VLOOKUP(U$2,Rango_Admin_DailyPred,MATCH($F36,Rango_Admin_DailyPred_Primera,0)+1,0),"-")</f>
        <v>-</v>
      </c>
      <c r="V36" s="162" t="str">
        <f aca="false">IFERROR(VLOOKUP(V$2,Rango_Admin_DailyPred,MATCH($F36,Rango_Admin_DailyPred_Primera,0)+1,0),"-")</f>
        <v>-</v>
      </c>
      <c r="W36" s="162" t="str">
        <f aca="false">IFERROR(VLOOKUP(W$2,Rango_Admin_DailyPred,MATCH($F36,Rango_Admin_DailyPred_Primera,0)+1,0),"-")</f>
        <v>-</v>
      </c>
      <c r="X36" s="162" t="str">
        <f aca="false">IFERROR(VLOOKUP(X$2,Rango_Admin_DailyPred,MATCH($F36,Rango_Admin_DailyPred_Primera,0)+1,0),"-")</f>
        <v>-</v>
      </c>
      <c r="Y36" s="162" t="str">
        <f aca="false">IFERROR(VLOOKUP(Y$2,Rango_Admin_DailyPred,MATCH($F36,Rango_Admin_DailyPred_Primera,0)+1,0),"-")</f>
        <v>-</v>
      </c>
      <c r="Z36" s="162" t="str">
        <f aca="false">IFERROR(VLOOKUP(Z$2,Rango_Admin_DailyPred,MATCH($F36,Rango_Admin_DailyPred_Primera,0)+1,0),"-")</f>
        <v>-</v>
      </c>
      <c r="AA36" s="162" t="str">
        <f aca="false">IFERROR(VLOOKUP(AA$2,Rango_Admin_DailyPred,MATCH($F36,Rango_Admin_DailyPred_Primera,0)+1,0),"-")</f>
        <v>-</v>
      </c>
      <c r="AB36" s="162" t="str">
        <f aca="false">IFERROR(VLOOKUP(AB$2,Rango_Admin_DailyPred,MATCH($F36,Rango_Admin_DailyPred_Primera,0)+1,0),"-")</f>
        <v>-</v>
      </c>
      <c r="AC36" s="162" t="str">
        <f aca="false">IFERROR(VLOOKUP(AC$2,Rango_Admin_DailyPred,MATCH($F36,Rango_Admin_DailyPred_Primera,0)+1,0),"-")</f>
        <v>-</v>
      </c>
      <c r="AD36" s="162" t="str">
        <f aca="false">IFERROR(VLOOKUP(AD$2,Rango_Admin_DailyPred,MATCH($F36,Rango_Admin_DailyPred_Primera,0)+1,0),"-")</f>
        <v>-</v>
      </c>
      <c r="AE36" s="162" t="str">
        <f aca="false">IFERROR(VLOOKUP(AE$2,Rango_Admin_DailyPred,MATCH($F36,Rango_Admin_DailyPred_Primera,0)+1,0),"-")</f>
        <v>-</v>
      </c>
      <c r="AF36" s="162" t="str">
        <f aca="false">IFERROR(VLOOKUP(AF$2,Rango_Admin_DailyPred,MATCH($F36,Rango_Admin_DailyPred_Primera,0)+1,0),"-")</f>
        <v>-</v>
      </c>
      <c r="AG36" s="162" t="str">
        <f aca="false">IFERROR(VLOOKUP(AG$2,Rango_Admin_DailyPred,MATCH($F36,Rango_Admin_DailyPred_Primera,0)+1,0),"-")</f>
        <v>-</v>
      </c>
      <c r="AH36" s="162" t="str">
        <f aca="false">IFERROR(VLOOKUP(AH$2,Rango_Admin_DailyPred,MATCH($F36,Rango_Admin_DailyPred_Primera,0)+1,0),"-")</f>
        <v>-</v>
      </c>
      <c r="AI36" s="162" t="str">
        <f aca="false">IFERROR(VLOOKUP(AI$2,Rango_Admin_DailyPred,MATCH($F36,Rango_Admin_DailyPred_Primera,0)+1,0),"-")</f>
        <v>-</v>
      </c>
      <c r="AJ36" s="162" t="str">
        <f aca="false">IFERROR(VLOOKUP(AJ$2,Rango_Admin_DailyPred,MATCH($F36,Rango_Admin_DailyPred_Primera,0)+1,0),"-")</f>
        <v>-</v>
      </c>
      <c r="AK36" s="162" t="str">
        <f aca="false">IFERROR(VLOOKUP(AK$2,Rango_Admin_DailyPred,MATCH($F36,Rango_Admin_DailyPred_Primera,0)+1,0),"-")</f>
        <v>-</v>
      </c>
      <c r="AL36" s="162" t="str">
        <f aca="false">IFERROR(VLOOKUP(AL$2,Rango_Admin_DailyPred,MATCH($F36,Rango_Admin_DailyPred_Primera,0)+1,0),"-")</f>
        <v>-</v>
      </c>
      <c r="AM36" s="162" t="str">
        <f aca="false">IFERROR(VLOOKUP(AM$2,Rango_Admin_DailyPred,MATCH($F36,Rango_Admin_DailyPred_Primera,0)+1,0),"-")</f>
        <v>-</v>
      </c>
      <c r="AN36" s="244"/>
    </row>
    <row r="37" customFormat="false" ht="15" hidden="true" customHeight="false" outlineLevel="0" collapsed="false">
      <c r="C37" s="30" t="n">
        <v>34</v>
      </c>
      <c r="D37" s="463"/>
      <c r="E37" s="479" t="n">
        <f aca="false">IFERROR(HLOOKUP(C37,Rango_Admin_DailyClas,3,FALSE()),"-")</f>
        <v>18</v>
      </c>
      <c r="F37" s="480" t="str">
        <f aca="false">IFERROR(HLOOKUP(C37,Rango_Admin_DailyClas,5,FALSE()),"-")</f>
        <v>Pegar Valores Nombre J34</v>
      </c>
      <c r="G37" s="51" t="n">
        <f aca="false">IFERROR(HLOOKUP(C37,Rango_Admin_DailyClas,4,FALSE()),"-")</f>
        <v>0</v>
      </c>
      <c r="H37" s="162" t="n">
        <f aca="false">IFERROR(VLOOKUP(H$2,Rango_Admin_DailyPred,MATCH($F37,Rango_Admin_DailyPred_Primera,0)+1,0),"-")</f>
        <v>0</v>
      </c>
      <c r="I37" s="162" t="n">
        <f aca="false">IFERROR(VLOOKUP(I$2,Rango_Admin_DailyPred,MATCH($F37,Rango_Admin_DailyPred_Primera,0)+1,0),"-")</f>
        <v>0</v>
      </c>
      <c r="J37" s="162" t="n">
        <f aca="false">IFERROR(VLOOKUP(J$2,Rango_Admin_DailyPred,MATCH($F37,Rango_Admin_DailyPred_Primera,0)+1,0),"-")</f>
        <v>0</v>
      </c>
      <c r="K37" s="162" t="n">
        <f aca="false">IFERROR(VLOOKUP(K$2,Rango_Admin_DailyPred,MATCH($F37,Rango_Admin_DailyPred_Primera,0)+1,0),"-")</f>
        <v>0</v>
      </c>
      <c r="L37" s="162" t="n">
        <f aca="false">IFERROR(VLOOKUP(L$2,Rango_Admin_DailyPred,MATCH($F37,Rango_Admin_DailyPred_Primera,0)+1,0),"-")</f>
        <v>0</v>
      </c>
      <c r="M37" s="162" t="str">
        <f aca="false">IFERROR(VLOOKUP(M$2,Rango_Admin_DailyPred,MATCH($F37,Rango_Admin_DailyPred_Primera,0)+1,0),"-")</f>
        <v>-</v>
      </c>
      <c r="N37" s="162" t="str">
        <f aca="false">IFERROR(VLOOKUP(N$2,Rango_Admin_DailyPred,MATCH($F37,Rango_Admin_DailyPred_Primera,0)+1,0),"-")</f>
        <v>-</v>
      </c>
      <c r="O37" s="162" t="str">
        <f aca="false">IFERROR(VLOOKUP(O$2,Rango_Admin_DailyPred,MATCH($F37,Rango_Admin_DailyPred_Primera,0)+1,0),"-")</f>
        <v>-</v>
      </c>
      <c r="P37" s="162" t="str">
        <f aca="false">IFERROR(VLOOKUP(P$2,Rango_Admin_DailyPred,MATCH($F37,Rango_Admin_DailyPred_Primera,0)+1,0),"-")</f>
        <v>-</v>
      </c>
      <c r="Q37" s="162" t="str">
        <f aca="false">IFERROR(VLOOKUP(Q$2,Rango_Admin_DailyPred,MATCH($F37,Rango_Admin_DailyPred_Primera,0)+1,0),"-")</f>
        <v>-</v>
      </c>
      <c r="R37" s="162" t="str">
        <f aca="false">IFERROR(VLOOKUP(R$2,Rango_Admin_DailyPred,MATCH($F37,Rango_Admin_DailyPred_Primera,0)+1,0),"-")</f>
        <v>-</v>
      </c>
      <c r="S37" s="162" t="str">
        <f aca="false">IFERROR(VLOOKUP(S$2,Rango_Admin_DailyPred,MATCH($F37,Rango_Admin_DailyPred_Primera,0)+1,0),"-")</f>
        <v>-</v>
      </c>
      <c r="T37" s="162" t="str">
        <f aca="false">IFERROR(VLOOKUP(T$2,Rango_Admin_DailyPred,MATCH($F37,Rango_Admin_DailyPred_Primera,0)+1,0),"-")</f>
        <v>-</v>
      </c>
      <c r="U37" s="162" t="str">
        <f aca="false">IFERROR(VLOOKUP(U$2,Rango_Admin_DailyPred,MATCH($F37,Rango_Admin_DailyPred_Primera,0)+1,0),"-")</f>
        <v>-</v>
      </c>
      <c r="V37" s="162" t="str">
        <f aca="false">IFERROR(VLOOKUP(V$2,Rango_Admin_DailyPred,MATCH($F37,Rango_Admin_DailyPred_Primera,0)+1,0),"-")</f>
        <v>-</v>
      </c>
      <c r="W37" s="162" t="str">
        <f aca="false">IFERROR(VLOOKUP(W$2,Rango_Admin_DailyPred,MATCH($F37,Rango_Admin_DailyPred_Primera,0)+1,0),"-")</f>
        <v>-</v>
      </c>
      <c r="X37" s="162" t="str">
        <f aca="false">IFERROR(VLOOKUP(X$2,Rango_Admin_DailyPred,MATCH($F37,Rango_Admin_DailyPred_Primera,0)+1,0),"-")</f>
        <v>-</v>
      </c>
      <c r="Y37" s="162" t="str">
        <f aca="false">IFERROR(VLOOKUP(Y$2,Rango_Admin_DailyPred,MATCH($F37,Rango_Admin_DailyPred_Primera,0)+1,0),"-")</f>
        <v>-</v>
      </c>
      <c r="Z37" s="162" t="str">
        <f aca="false">IFERROR(VLOOKUP(Z$2,Rango_Admin_DailyPred,MATCH($F37,Rango_Admin_DailyPred_Primera,0)+1,0),"-")</f>
        <v>-</v>
      </c>
      <c r="AA37" s="162" t="str">
        <f aca="false">IFERROR(VLOOKUP(AA$2,Rango_Admin_DailyPred,MATCH($F37,Rango_Admin_DailyPred_Primera,0)+1,0),"-")</f>
        <v>-</v>
      </c>
      <c r="AB37" s="162" t="str">
        <f aca="false">IFERROR(VLOOKUP(AB$2,Rango_Admin_DailyPred,MATCH($F37,Rango_Admin_DailyPred_Primera,0)+1,0),"-")</f>
        <v>-</v>
      </c>
      <c r="AC37" s="162" t="str">
        <f aca="false">IFERROR(VLOOKUP(AC$2,Rango_Admin_DailyPred,MATCH($F37,Rango_Admin_DailyPred_Primera,0)+1,0),"-")</f>
        <v>-</v>
      </c>
      <c r="AD37" s="162" t="str">
        <f aca="false">IFERROR(VLOOKUP(AD$2,Rango_Admin_DailyPred,MATCH($F37,Rango_Admin_DailyPred_Primera,0)+1,0),"-")</f>
        <v>-</v>
      </c>
      <c r="AE37" s="162" t="str">
        <f aca="false">IFERROR(VLOOKUP(AE$2,Rango_Admin_DailyPred,MATCH($F37,Rango_Admin_DailyPred_Primera,0)+1,0),"-")</f>
        <v>-</v>
      </c>
      <c r="AF37" s="162" t="str">
        <f aca="false">IFERROR(VLOOKUP(AF$2,Rango_Admin_DailyPred,MATCH($F37,Rango_Admin_DailyPred_Primera,0)+1,0),"-")</f>
        <v>-</v>
      </c>
      <c r="AG37" s="162" t="str">
        <f aca="false">IFERROR(VLOOKUP(AG$2,Rango_Admin_DailyPred,MATCH($F37,Rango_Admin_DailyPred_Primera,0)+1,0),"-")</f>
        <v>-</v>
      </c>
      <c r="AH37" s="162" t="str">
        <f aca="false">IFERROR(VLOOKUP(AH$2,Rango_Admin_DailyPred,MATCH($F37,Rango_Admin_DailyPred_Primera,0)+1,0),"-")</f>
        <v>-</v>
      </c>
      <c r="AI37" s="162" t="str">
        <f aca="false">IFERROR(VLOOKUP(AI$2,Rango_Admin_DailyPred,MATCH($F37,Rango_Admin_DailyPred_Primera,0)+1,0),"-")</f>
        <v>-</v>
      </c>
      <c r="AJ37" s="162" t="str">
        <f aca="false">IFERROR(VLOOKUP(AJ$2,Rango_Admin_DailyPred,MATCH($F37,Rango_Admin_DailyPred_Primera,0)+1,0),"-")</f>
        <v>-</v>
      </c>
      <c r="AK37" s="162" t="str">
        <f aca="false">IFERROR(VLOOKUP(AK$2,Rango_Admin_DailyPred,MATCH($F37,Rango_Admin_DailyPred_Primera,0)+1,0),"-")</f>
        <v>-</v>
      </c>
      <c r="AL37" s="162" t="str">
        <f aca="false">IFERROR(VLOOKUP(AL$2,Rango_Admin_DailyPred,MATCH($F37,Rango_Admin_DailyPred_Primera,0)+1,0),"-")</f>
        <v>-</v>
      </c>
      <c r="AM37" s="162" t="str">
        <f aca="false">IFERROR(VLOOKUP(AM$2,Rango_Admin_DailyPred,MATCH($F37,Rango_Admin_DailyPred_Primera,0)+1,0),"-")</f>
        <v>-</v>
      </c>
      <c r="AN37" s="244"/>
    </row>
    <row r="38" customFormat="false" ht="15" hidden="true" customHeight="false" outlineLevel="0" collapsed="false">
      <c r="C38" s="30" t="n">
        <v>35</v>
      </c>
      <c r="D38" s="463"/>
      <c r="E38" s="479" t="n">
        <f aca="false">IFERROR(HLOOKUP(C38,Rango_Admin_DailyClas,3,FALSE()),"-")</f>
        <v>18</v>
      </c>
      <c r="F38" s="480" t="str">
        <f aca="false">IFERROR(HLOOKUP(C38,Rango_Admin_DailyClas,5,FALSE()),"-")</f>
        <v>Pegar Valores Nombre J35</v>
      </c>
      <c r="G38" s="51" t="n">
        <f aca="false">IFERROR(HLOOKUP(C38,Rango_Admin_DailyClas,4,FALSE()),"-")</f>
        <v>0</v>
      </c>
      <c r="H38" s="162" t="n">
        <f aca="false">IFERROR(VLOOKUP(H$2,Rango_Admin_DailyPred,MATCH($F38,Rango_Admin_DailyPred_Primera,0)+1,0),"-")</f>
        <v>0</v>
      </c>
      <c r="I38" s="162" t="n">
        <f aca="false">IFERROR(VLOOKUP(I$2,Rango_Admin_DailyPred,MATCH($F38,Rango_Admin_DailyPred_Primera,0)+1,0),"-")</f>
        <v>0</v>
      </c>
      <c r="J38" s="162" t="n">
        <f aca="false">IFERROR(VLOOKUP(J$2,Rango_Admin_DailyPred,MATCH($F38,Rango_Admin_DailyPred_Primera,0)+1,0),"-")</f>
        <v>0</v>
      </c>
      <c r="K38" s="162" t="n">
        <f aca="false">IFERROR(VLOOKUP(K$2,Rango_Admin_DailyPred,MATCH($F38,Rango_Admin_DailyPred_Primera,0)+1,0),"-")</f>
        <v>0</v>
      </c>
      <c r="L38" s="162" t="n">
        <f aca="false">IFERROR(VLOOKUP(L$2,Rango_Admin_DailyPred,MATCH($F38,Rango_Admin_DailyPred_Primera,0)+1,0),"-")</f>
        <v>0</v>
      </c>
      <c r="M38" s="162" t="str">
        <f aca="false">IFERROR(VLOOKUP(M$2,Rango_Admin_DailyPred,MATCH($F38,Rango_Admin_DailyPred_Primera,0)+1,0),"-")</f>
        <v>-</v>
      </c>
      <c r="N38" s="162" t="str">
        <f aca="false">IFERROR(VLOOKUP(N$2,Rango_Admin_DailyPred,MATCH($F38,Rango_Admin_DailyPred_Primera,0)+1,0),"-")</f>
        <v>-</v>
      </c>
      <c r="O38" s="162" t="str">
        <f aca="false">IFERROR(VLOOKUP(O$2,Rango_Admin_DailyPred,MATCH($F38,Rango_Admin_DailyPred_Primera,0)+1,0),"-")</f>
        <v>-</v>
      </c>
      <c r="P38" s="162" t="str">
        <f aca="false">IFERROR(VLOOKUP(P$2,Rango_Admin_DailyPred,MATCH($F38,Rango_Admin_DailyPred_Primera,0)+1,0),"-")</f>
        <v>-</v>
      </c>
      <c r="Q38" s="162" t="str">
        <f aca="false">IFERROR(VLOOKUP(Q$2,Rango_Admin_DailyPred,MATCH($F38,Rango_Admin_DailyPred_Primera,0)+1,0),"-")</f>
        <v>-</v>
      </c>
      <c r="R38" s="162" t="str">
        <f aca="false">IFERROR(VLOOKUP(R$2,Rango_Admin_DailyPred,MATCH($F38,Rango_Admin_DailyPred_Primera,0)+1,0),"-")</f>
        <v>-</v>
      </c>
      <c r="S38" s="162" t="str">
        <f aca="false">IFERROR(VLOOKUP(S$2,Rango_Admin_DailyPred,MATCH($F38,Rango_Admin_DailyPred_Primera,0)+1,0),"-")</f>
        <v>-</v>
      </c>
      <c r="T38" s="162" t="str">
        <f aca="false">IFERROR(VLOOKUP(T$2,Rango_Admin_DailyPred,MATCH($F38,Rango_Admin_DailyPred_Primera,0)+1,0),"-")</f>
        <v>-</v>
      </c>
      <c r="U38" s="162" t="str">
        <f aca="false">IFERROR(VLOOKUP(U$2,Rango_Admin_DailyPred,MATCH($F38,Rango_Admin_DailyPred_Primera,0)+1,0),"-")</f>
        <v>-</v>
      </c>
      <c r="V38" s="162" t="str">
        <f aca="false">IFERROR(VLOOKUP(V$2,Rango_Admin_DailyPred,MATCH($F38,Rango_Admin_DailyPred_Primera,0)+1,0),"-")</f>
        <v>-</v>
      </c>
      <c r="W38" s="162" t="str">
        <f aca="false">IFERROR(VLOOKUP(W$2,Rango_Admin_DailyPred,MATCH($F38,Rango_Admin_DailyPred_Primera,0)+1,0),"-")</f>
        <v>-</v>
      </c>
      <c r="X38" s="162" t="str">
        <f aca="false">IFERROR(VLOOKUP(X$2,Rango_Admin_DailyPred,MATCH($F38,Rango_Admin_DailyPred_Primera,0)+1,0),"-")</f>
        <v>-</v>
      </c>
      <c r="Y38" s="162" t="str">
        <f aca="false">IFERROR(VLOOKUP(Y$2,Rango_Admin_DailyPred,MATCH($F38,Rango_Admin_DailyPred_Primera,0)+1,0),"-")</f>
        <v>-</v>
      </c>
      <c r="Z38" s="162" t="str">
        <f aca="false">IFERROR(VLOOKUP(Z$2,Rango_Admin_DailyPred,MATCH($F38,Rango_Admin_DailyPred_Primera,0)+1,0),"-")</f>
        <v>-</v>
      </c>
      <c r="AA38" s="162" t="str">
        <f aca="false">IFERROR(VLOOKUP(AA$2,Rango_Admin_DailyPred,MATCH($F38,Rango_Admin_DailyPred_Primera,0)+1,0),"-")</f>
        <v>-</v>
      </c>
      <c r="AB38" s="162" t="str">
        <f aca="false">IFERROR(VLOOKUP(AB$2,Rango_Admin_DailyPred,MATCH($F38,Rango_Admin_DailyPred_Primera,0)+1,0),"-")</f>
        <v>-</v>
      </c>
      <c r="AC38" s="162" t="str">
        <f aca="false">IFERROR(VLOOKUP(AC$2,Rango_Admin_DailyPred,MATCH($F38,Rango_Admin_DailyPred_Primera,0)+1,0),"-")</f>
        <v>-</v>
      </c>
      <c r="AD38" s="162" t="str">
        <f aca="false">IFERROR(VLOOKUP(AD$2,Rango_Admin_DailyPred,MATCH($F38,Rango_Admin_DailyPred_Primera,0)+1,0),"-")</f>
        <v>-</v>
      </c>
      <c r="AE38" s="162" t="str">
        <f aca="false">IFERROR(VLOOKUP(AE$2,Rango_Admin_DailyPred,MATCH($F38,Rango_Admin_DailyPred_Primera,0)+1,0),"-")</f>
        <v>-</v>
      </c>
      <c r="AF38" s="162" t="str">
        <f aca="false">IFERROR(VLOOKUP(AF$2,Rango_Admin_DailyPred,MATCH($F38,Rango_Admin_DailyPred_Primera,0)+1,0),"-")</f>
        <v>-</v>
      </c>
      <c r="AG38" s="162" t="str">
        <f aca="false">IFERROR(VLOOKUP(AG$2,Rango_Admin_DailyPred,MATCH($F38,Rango_Admin_DailyPred_Primera,0)+1,0),"-")</f>
        <v>-</v>
      </c>
      <c r="AH38" s="162" t="str">
        <f aca="false">IFERROR(VLOOKUP(AH$2,Rango_Admin_DailyPred,MATCH($F38,Rango_Admin_DailyPred_Primera,0)+1,0),"-")</f>
        <v>-</v>
      </c>
      <c r="AI38" s="162" t="str">
        <f aca="false">IFERROR(VLOOKUP(AI$2,Rango_Admin_DailyPred,MATCH($F38,Rango_Admin_DailyPred_Primera,0)+1,0),"-")</f>
        <v>-</v>
      </c>
      <c r="AJ38" s="162" t="str">
        <f aca="false">IFERROR(VLOOKUP(AJ$2,Rango_Admin_DailyPred,MATCH($F38,Rango_Admin_DailyPred_Primera,0)+1,0),"-")</f>
        <v>-</v>
      </c>
      <c r="AK38" s="162" t="str">
        <f aca="false">IFERROR(VLOOKUP(AK$2,Rango_Admin_DailyPred,MATCH($F38,Rango_Admin_DailyPred_Primera,0)+1,0),"-")</f>
        <v>-</v>
      </c>
      <c r="AL38" s="162" t="str">
        <f aca="false">IFERROR(VLOOKUP(AL$2,Rango_Admin_DailyPred,MATCH($F38,Rango_Admin_DailyPred_Primera,0)+1,0),"-")</f>
        <v>-</v>
      </c>
      <c r="AM38" s="162" t="str">
        <f aca="false">IFERROR(VLOOKUP(AM$2,Rango_Admin_DailyPred,MATCH($F38,Rango_Admin_DailyPred_Primera,0)+1,0),"-")</f>
        <v>-</v>
      </c>
      <c r="AN38" s="244"/>
    </row>
    <row r="39" customFormat="false" ht="15" hidden="true" customHeight="false" outlineLevel="0" collapsed="false">
      <c r="C39" s="30" t="n">
        <v>36</v>
      </c>
      <c r="D39" s="463"/>
      <c r="E39" s="479" t="n">
        <f aca="false">IFERROR(HLOOKUP(C39,Rango_Admin_DailyClas,3,FALSE()),"-")</f>
        <v>18</v>
      </c>
      <c r="F39" s="480" t="str">
        <f aca="false">IFERROR(HLOOKUP(C39,Rango_Admin_DailyClas,5,FALSE()),"-")</f>
        <v>Pegar Valores Nombre J36</v>
      </c>
      <c r="G39" s="51" t="n">
        <f aca="false">IFERROR(HLOOKUP(C39,Rango_Admin_DailyClas,4,FALSE()),"-")</f>
        <v>0</v>
      </c>
      <c r="H39" s="162" t="n">
        <f aca="false">IFERROR(VLOOKUP(H$2,Rango_Admin_DailyPred,MATCH($F39,Rango_Admin_DailyPred_Primera,0)+1,0),"-")</f>
        <v>0</v>
      </c>
      <c r="I39" s="162" t="n">
        <f aca="false">IFERROR(VLOOKUP(I$2,Rango_Admin_DailyPred,MATCH($F39,Rango_Admin_DailyPred_Primera,0)+1,0),"-")</f>
        <v>0</v>
      </c>
      <c r="J39" s="162" t="n">
        <f aca="false">IFERROR(VLOOKUP(J$2,Rango_Admin_DailyPred,MATCH($F39,Rango_Admin_DailyPred_Primera,0)+1,0),"-")</f>
        <v>0</v>
      </c>
      <c r="K39" s="162" t="n">
        <f aca="false">IFERROR(VLOOKUP(K$2,Rango_Admin_DailyPred,MATCH($F39,Rango_Admin_DailyPred_Primera,0)+1,0),"-")</f>
        <v>0</v>
      </c>
      <c r="L39" s="162" t="n">
        <f aca="false">IFERROR(VLOOKUP(L$2,Rango_Admin_DailyPred,MATCH($F39,Rango_Admin_DailyPred_Primera,0)+1,0),"-")</f>
        <v>0</v>
      </c>
      <c r="M39" s="162" t="str">
        <f aca="false">IFERROR(VLOOKUP(M$2,Rango_Admin_DailyPred,MATCH($F39,Rango_Admin_DailyPred_Primera,0)+1,0),"-")</f>
        <v>-</v>
      </c>
      <c r="N39" s="162" t="str">
        <f aca="false">IFERROR(VLOOKUP(N$2,Rango_Admin_DailyPred,MATCH($F39,Rango_Admin_DailyPred_Primera,0)+1,0),"-")</f>
        <v>-</v>
      </c>
      <c r="O39" s="162" t="str">
        <f aca="false">IFERROR(VLOOKUP(O$2,Rango_Admin_DailyPred,MATCH($F39,Rango_Admin_DailyPred_Primera,0)+1,0),"-")</f>
        <v>-</v>
      </c>
      <c r="P39" s="162" t="str">
        <f aca="false">IFERROR(VLOOKUP(P$2,Rango_Admin_DailyPred,MATCH($F39,Rango_Admin_DailyPred_Primera,0)+1,0),"-")</f>
        <v>-</v>
      </c>
      <c r="Q39" s="162" t="str">
        <f aca="false">IFERROR(VLOOKUP(Q$2,Rango_Admin_DailyPred,MATCH($F39,Rango_Admin_DailyPred_Primera,0)+1,0),"-")</f>
        <v>-</v>
      </c>
      <c r="R39" s="162" t="str">
        <f aca="false">IFERROR(VLOOKUP(R$2,Rango_Admin_DailyPred,MATCH($F39,Rango_Admin_DailyPred_Primera,0)+1,0),"-")</f>
        <v>-</v>
      </c>
      <c r="S39" s="162" t="str">
        <f aca="false">IFERROR(VLOOKUP(S$2,Rango_Admin_DailyPred,MATCH($F39,Rango_Admin_DailyPred_Primera,0)+1,0),"-")</f>
        <v>-</v>
      </c>
      <c r="T39" s="162" t="str">
        <f aca="false">IFERROR(VLOOKUP(T$2,Rango_Admin_DailyPred,MATCH($F39,Rango_Admin_DailyPred_Primera,0)+1,0),"-")</f>
        <v>-</v>
      </c>
      <c r="U39" s="162" t="str">
        <f aca="false">IFERROR(VLOOKUP(U$2,Rango_Admin_DailyPred,MATCH($F39,Rango_Admin_DailyPred_Primera,0)+1,0),"-")</f>
        <v>-</v>
      </c>
      <c r="V39" s="162" t="str">
        <f aca="false">IFERROR(VLOOKUP(V$2,Rango_Admin_DailyPred,MATCH($F39,Rango_Admin_DailyPred_Primera,0)+1,0),"-")</f>
        <v>-</v>
      </c>
      <c r="W39" s="162" t="str">
        <f aca="false">IFERROR(VLOOKUP(W$2,Rango_Admin_DailyPred,MATCH($F39,Rango_Admin_DailyPred_Primera,0)+1,0),"-")</f>
        <v>-</v>
      </c>
      <c r="X39" s="162" t="str">
        <f aca="false">IFERROR(VLOOKUP(X$2,Rango_Admin_DailyPred,MATCH($F39,Rango_Admin_DailyPred_Primera,0)+1,0),"-")</f>
        <v>-</v>
      </c>
      <c r="Y39" s="162" t="str">
        <f aca="false">IFERROR(VLOOKUP(Y$2,Rango_Admin_DailyPred,MATCH($F39,Rango_Admin_DailyPred_Primera,0)+1,0),"-")</f>
        <v>-</v>
      </c>
      <c r="Z39" s="162" t="str">
        <f aca="false">IFERROR(VLOOKUP(Z$2,Rango_Admin_DailyPred,MATCH($F39,Rango_Admin_DailyPred_Primera,0)+1,0),"-")</f>
        <v>-</v>
      </c>
      <c r="AA39" s="162" t="str">
        <f aca="false">IFERROR(VLOOKUP(AA$2,Rango_Admin_DailyPred,MATCH($F39,Rango_Admin_DailyPred_Primera,0)+1,0),"-")</f>
        <v>-</v>
      </c>
      <c r="AB39" s="162" t="str">
        <f aca="false">IFERROR(VLOOKUP(AB$2,Rango_Admin_DailyPred,MATCH($F39,Rango_Admin_DailyPred_Primera,0)+1,0),"-")</f>
        <v>-</v>
      </c>
      <c r="AC39" s="162" t="str">
        <f aca="false">IFERROR(VLOOKUP(AC$2,Rango_Admin_DailyPred,MATCH($F39,Rango_Admin_DailyPred_Primera,0)+1,0),"-")</f>
        <v>-</v>
      </c>
      <c r="AD39" s="162" t="str">
        <f aca="false">IFERROR(VLOOKUP(AD$2,Rango_Admin_DailyPred,MATCH($F39,Rango_Admin_DailyPred_Primera,0)+1,0),"-")</f>
        <v>-</v>
      </c>
      <c r="AE39" s="162" t="str">
        <f aca="false">IFERROR(VLOOKUP(AE$2,Rango_Admin_DailyPred,MATCH($F39,Rango_Admin_DailyPred_Primera,0)+1,0),"-")</f>
        <v>-</v>
      </c>
      <c r="AF39" s="162" t="str">
        <f aca="false">IFERROR(VLOOKUP(AF$2,Rango_Admin_DailyPred,MATCH($F39,Rango_Admin_DailyPred_Primera,0)+1,0),"-")</f>
        <v>-</v>
      </c>
      <c r="AG39" s="162" t="str">
        <f aca="false">IFERROR(VLOOKUP(AG$2,Rango_Admin_DailyPred,MATCH($F39,Rango_Admin_DailyPred_Primera,0)+1,0),"-")</f>
        <v>-</v>
      </c>
      <c r="AH39" s="162" t="str">
        <f aca="false">IFERROR(VLOOKUP(AH$2,Rango_Admin_DailyPred,MATCH($F39,Rango_Admin_DailyPred_Primera,0)+1,0),"-")</f>
        <v>-</v>
      </c>
      <c r="AI39" s="162" t="str">
        <f aca="false">IFERROR(VLOOKUP(AI$2,Rango_Admin_DailyPred,MATCH($F39,Rango_Admin_DailyPred_Primera,0)+1,0),"-")</f>
        <v>-</v>
      </c>
      <c r="AJ39" s="162" t="str">
        <f aca="false">IFERROR(VLOOKUP(AJ$2,Rango_Admin_DailyPred,MATCH($F39,Rango_Admin_DailyPred_Primera,0)+1,0),"-")</f>
        <v>-</v>
      </c>
      <c r="AK39" s="162" t="str">
        <f aca="false">IFERROR(VLOOKUP(AK$2,Rango_Admin_DailyPred,MATCH($F39,Rango_Admin_DailyPred_Primera,0)+1,0),"-")</f>
        <v>-</v>
      </c>
      <c r="AL39" s="162" t="str">
        <f aca="false">IFERROR(VLOOKUP(AL$2,Rango_Admin_DailyPred,MATCH($F39,Rango_Admin_DailyPred_Primera,0)+1,0),"-")</f>
        <v>-</v>
      </c>
      <c r="AM39" s="162" t="str">
        <f aca="false">IFERROR(VLOOKUP(AM$2,Rango_Admin_DailyPred,MATCH($F39,Rango_Admin_DailyPred_Primera,0)+1,0),"-")</f>
        <v>-</v>
      </c>
      <c r="AN39" s="244"/>
    </row>
    <row r="40" customFormat="false" ht="15" hidden="true" customHeight="false" outlineLevel="0" collapsed="false">
      <c r="C40" s="30" t="n">
        <v>37</v>
      </c>
      <c r="D40" s="463"/>
      <c r="E40" s="479" t="n">
        <f aca="false">IFERROR(HLOOKUP(C40,Rango_Admin_DailyClas,3,FALSE()),"-")</f>
        <v>18</v>
      </c>
      <c r="F40" s="480" t="str">
        <f aca="false">IFERROR(HLOOKUP(C40,Rango_Admin_DailyClas,5,FALSE()),"-")</f>
        <v>Pegar Valores Nombre J37</v>
      </c>
      <c r="G40" s="51" t="n">
        <f aca="false">IFERROR(HLOOKUP(C40,Rango_Admin_DailyClas,4,FALSE()),"-")</f>
        <v>0</v>
      </c>
      <c r="H40" s="162" t="n">
        <f aca="false">IFERROR(VLOOKUP(H$2,Rango_Admin_DailyPred,MATCH($F40,Rango_Admin_DailyPred_Primera,0)+1,0),"-")</f>
        <v>0</v>
      </c>
      <c r="I40" s="162" t="n">
        <f aca="false">IFERROR(VLOOKUP(I$2,Rango_Admin_DailyPred,MATCH($F40,Rango_Admin_DailyPred_Primera,0)+1,0),"-")</f>
        <v>0</v>
      </c>
      <c r="J40" s="162" t="n">
        <f aca="false">IFERROR(VLOOKUP(J$2,Rango_Admin_DailyPred,MATCH($F40,Rango_Admin_DailyPred_Primera,0)+1,0),"-")</f>
        <v>0</v>
      </c>
      <c r="K40" s="162" t="n">
        <f aca="false">IFERROR(VLOOKUP(K$2,Rango_Admin_DailyPred,MATCH($F40,Rango_Admin_DailyPred_Primera,0)+1,0),"-")</f>
        <v>0</v>
      </c>
      <c r="L40" s="162" t="n">
        <f aca="false">IFERROR(VLOOKUP(L$2,Rango_Admin_DailyPred,MATCH($F40,Rango_Admin_DailyPred_Primera,0)+1,0),"-")</f>
        <v>0</v>
      </c>
      <c r="M40" s="162" t="str">
        <f aca="false">IFERROR(VLOOKUP(M$2,Rango_Admin_DailyPred,MATCH($F40,Rango_Admin_DailyPred_Primera,0)+1,0),"-")</f>
        <v>-</v>
      </c>
      <c r="N40" s="162" t="str">
        <f aca="false">IFERROR(VLOOKUP(N$2,Rango_Admin_DailyPred,MATCH($F40,Rango_Admin_DailyPred_Primera,0)+1,0),"-")</f>
        <v>-</v>
      </c>
      <c r="O40" s="162" t="str">
        <f aca="false">IFERROR(VLOOKUP(O$2,Rango_Admin_DailyPred,MATCH($F40,Rango_Admin_DailyPred_Primera,0)+1,0),"-")</f>
        <v>-</v>
      </c>
      <c r="P40" s="162" t="str">
        <f aca="false">IFERROR(VLOOKUP(P$2,Rango_Admin_DailyPred,MATCH($F40,Rango_Admin_DailyPred_Primera,0)+1,0),"-")</f>
        <v>-</v>
      </c>
      <c r="Q40" s="162" t="str">
        <f aca="false">IFERROR(VLOOKUP(Q$2,Rango_Admin_DailyPred,MATCH($F40,Rango_Admin_DailyPred_Primera,0)+1,0),"-")</f>
        <v>-</v>
      </c>
      <c r="R40" s="162" t="str">
        <f aca="false">IFERROR(VLOOKUP(R$2,Rango_Admin_DailyPred,MATCH($F40,Rango_Admin_DailyPred_Primera,0)+1,0),"-")</f>
        <v>-</v>
      </c>
      <c r="S40" s="162" t="str">
        <f aca="false">IFERROR(VLOOKUP(S$2,Rango_Admin_DailyPred,MATCH($F40,Rango_Admin_DailyPred_Primera,0)+1,0),"-")</f>
        <v>-</v>
      </c>
      <c r="T40" s="162" t="str">
        <f aca="false">IFERROR(VLOOKUP(T$2,Rango_Admin_DailyPred,MATCH($F40,Rango_Admin_DailyPred_Primera,0)+1,0),"-")</f>
        <v>-</v>
      </c>
      <c r="U40" s="162" t="str">
        <f aca="false">IFERROR(VLOOKUP(U$2,Rango_Admin_DailyPred,MATCH($F40,Rango_Admin_DailyPred_Primera,0)+1,0),"-")</f>
        <v>-</v>
      </c>
      <c r="V40" s="162" t="str">
        <f aca="false">IFERROR(VLOOKUP(V$2,Rango_Admin_DailyPred,MATCH($F40,Rango_Admin_DailyPred_Primera,0)+1,0),"-")</f>
        <v>-</v>
      </c>
      <c r="W40" s="162" t="str">
        <f aca="false">IFERROR(VLOOKUP(W$2,Rango_Admin_DailyPred,MATCH($F40,Rango_Admin_DailyPred_Primera,0)+1,0),"-")</f>
        <v>-</v>
      </c>
      <c r="X40" s="162" t="str">
        <f aca="false">IFERROR(VLOOKUP(X$2,Rango_Admin_DailyPred,MATCH($F40,Rango_Admin_DailyPred_Primera,0)+1,0),"-")</f>
        <v>-</v>
      </c>
      <c r="Y40" s="162" t="str">
        <f aca="false">IFERROR(VLOOKUP(Y$2,Rango_Admin_DailyPred,MATCH($F40,Rango_Admin_DailyPred_Primera,0)+1,0),"-")</f>
        <v>-</v>
      </c>
      <c r="Z40" s="162" t="str">
        <f aca="false">IFERROR(VLOOKUP(Z$2,Rango_Admin_DailyPred,MATCH($F40,Rango_Admin_DailyPred_Primera,0)+1,0),"-")</f>
        <v>-</v>
      </c>
      <c r="AA40" s="162" t="str">
        <f aca="false">IFERROR(VLOOKUP(AA$2,Rango_Admin_DailyPred,MATCH($F40,Rango_Admin_DailyPred_Primera,0)+1,0),"-")</f>
        <v>-</v>
      </c>
      <c r="AB40" s="162" t="str">
        <f aca="false">IFERROR(VLOOKUP(AB$2,Rango_Admin_DailyPred,MATCH($F40,Rango_Admin_DailyPred_Primera,0)+1,0),"-")</f>
        <v>-</v>
      </c>
      <c r="AC40" s="162" t="str">
        <f aca="false">IFERROR(VLOOKUP(AC$2,Rango_Admin_DailyPred,MATCH($F40,Rango_Admin_DailyPred_Primera,0)+1,0),"-")</f>
        <v>-</v>
      </c>
      <c r="AD40" s="162" t="str">
        <f aca="false">IFERROR(VLOOKUP(AD$2,Rango_Admin_DailyPred,MATCH($F40,Rango_Admin_DailyPred_Primera,0)+1,0),"-")</f>
        <v>-</v>
      </c>
      <c r="AE40" s="162" t="str">
        <f aca="false">IFERROR(VLOOKUP(AE$2,Rango_Admin_DailyPred,MATCH($F40,Rango_Admin_DailyPred_Primera,0)+1,0),"-")</f>
        <v>-</v>
      </c>
      <c r="AF40" s="162" t="str">
        <f aca="false">IFERROR(VLOOKUP(AF$2,Rango_Admin_DailyPred,MATCH($F40,Rango_Admin_DailyPred_Primera,0)+1,0),"-")</f>
        <v>-</v>
      </c>
      <c r="AG40" s="162" t="str">
        <f aca="false">IFERROR(VLOOKUP(AG$2,Rango_Admin_DailyPred,MATCH($F40,Rango_Admin_DailyPred_Primera,0)+1,0),"-")</f>
        <v>-</v>
      </c>
      <c r="AH40" s="162" t="str">
        <f aca="false">IFERROR(VLOOKUP(AH$2,Rango_Admin_DailyPred,MATCH($F40,Rango_Admin_DailyPred_Primera,0)+1,0),"-")</f>
        <v>-</v>
      </c>
      <c r="AI40" s="162" t="str">
        <f aca="false">IFERROR(VLOOKUP(AI$2,Rango_Admin_DailyPred,MATCH($F40,Rango_Admin_DailyPred_Primera,0)+1,0),"-")</f>
        <v>-</v>
      </c>
      <c r="AJ40" s="162" t="str">
        <f aca="false">IFERROR(VLOOKUP(AJ$2,Rango_Admin_DailyPred,MATCH($F40,Rango_Admin_DailyPred_Primera,0)+1,0),"-")</f>
        <v>-</v>
      </c>
      <c r="AK40" s="162" t="str">
        <f aca="false">IFERROR(VLOOKUP(AK$2,Rango_Admin_DailyPred,MATCH($F40,Rango_Admin_DailyPred_Primera,0)+1,0),"-")</f>
        <v>-</v>
      </c>
      <c r="AL40" s="162" t="str">
        <f aca="false">IFERROR(VLOOKUP(AL$2,Rango_Admin_DailyPred,MATCH($F40,Rango_Admin_DailyPred_Primera,0)+1,0),"-")</f>
        <v>-</v>
      </c>
      <c r="AM40" s="162" t="str">
        <f aca="false">IFERROR(VLOOKUP(AM$2,Rango_Admin_DailyPred,MATCH($F40,Rango_Admin_DailyPred_Primera,0)+1,0),"-")</f>
        <v>-</v>
      </c>
      <c r="AN40" s="244"/>
    </row>
    <row r="41" customFormat="false" ht="15" hidden="true" customHeight="false" outlineLevel="0" collapsed="false">
      <c r="C41" s="30" t="n">
        <v>38</v>
      </c>
      <c r="D41" s="463"/>
      <c r="E41" s="479" t="n">
        <f aca="false">IFERROR(HLOOKUP(C41,Rango_Admin_DailyClas,3,FALSE()),"-")</f>
        <v>18</v>
      </c>
      <c r="F41" s="480" t="str">
        <f aca="false">IFERROR(HLOOKUP(C41,Rango_Admin_DailyClas,5,FALSE()),"-")</f>
        <v>Pegar Valores Nombre J38</v>
      </c>
      <c r="G41" s="51" t="n">
        <f aca="false">IFERROR(HLOOKUP(C41,Rango_Admin_DailyClas,4,FALSE()),"-")</f>
        <v>0</v>
      </c>
      <c r="H41" s="162" t="n">
        <f aca="false">IFERROR(VLOOKUP(H$2,Rango_Admin_DailyPred,MATCH($F41,Rango_Admin_DailyPred_Primera,0)+1,0),"-")</f>
        <v>0</v>
      </c>
      <c r="I41" s="162" t="n">
        <f aca="false">IFERROR(VLOOKUP(I$2,Rango_Admin_DailyPred,MATCH($F41,Rango_Admin_DailyPred_Primera,0)+1,0),"-")</f>
        <v>0</v>
      </c>
      <c r="J41" s="162" t="n">
        <f aca="false">IFERROR(VLOOKUP(J$2,Rango_Admin_DailyPred,MATCH($F41,Rango_Admin_DailyPred_Primera,0)+1,0),"-")</f>
        <v>0</v>
      </c>
      <c r="K41" s="162" t="n">
        <f aca="false">IFERROR(VLOOKUP(K$2,Rango_Admin_DailyPred,MATCH($F41,Rango_Admin_DailyPred_Primera,0)+1,0),"-")</f>
        <v>0</v>
      </c>
      <c r="L41" s="162" t="n">
        <f aca="false">IFERROR(VLOOKUP(L$2,Rango_Admin_DailyPred,MATCH($F41,Rango_Admin_DailyPred_Primera,0)+1,0),"-")</f>
        <v>0</v>
      </c>
      <c r="M41" s="162" t="str">
        <f aca="false">IFERROR(VLOOKUP(M$2,Rango_Admin_DailyPred,MATCH($F41,Rango_Admin_DailyPred_Primera,0)+1,0),"-")</f>
        <v>-</v>
      </c>
      <c r="N41" s="162" t="str">
        <f aca="false">IFERROR(VLOOKUP(N$2,Rango_Admin_DailyPred,MATCH($F41,Rango_Admin_DailyPred_Primera,0)+1,0),"-")</f>
        <v>-</v>
      </c>
      <c r="O41" s="162" t="str">
        <f aca="false">IFERROR(VLOOKUP(O$2,Rango_Admin_DailyPred,MATCH($F41,Rango_Admin_DailyPred_Primera,0)+1,0),"-")</f>
        <v>-</v>
      </c>
      <c r="P41" s="162" t="str">
        <f aca="false">IFERROR(VLOOKUP(P$2,Rango_Admin_DailyPred,MATCH($F41,Rango_Admin_DailyPred_Primera,0)+1,0),"-")</f>
        <v>-</v>
      </c>
      <c r="Q41" s="162" t="str">
        <f aca="false">IFERROR(VLOOKUP(Q$2,Rango_Admin_DailyPred,MATCH($F41,Rango_Admin_DailyPred_Primera,0)+1,0),"-")</f>
        <v>-</v>
      </c>
      <c r="R41" s="162" t="str">
        <f aca="false">IFERROR(VLOOKUP(R$2,Rango_Admin_DailyPred,MATCH($F41,Rango_Admin_DailyPred_Primera,0)+1,0),"-")</f>
        <v>-</v>
      </c>
      <c r="S41" s="162" t="str">
        <f aca="false">IFERROR(VLOOKUP(S$2,Rango_Admin_DailyPred,MATCH($F41,Rango_Admin_DailyPred_Primera,0)+1,0),"-")</f>
        <v>-</v>
      </c>
      <c r="T41" s="162" t="str">
        <f aca="false">IFERROR(VLOOKUP(T$2,Rango_Admin_DailyPred,MATCH($F41,Rango_Admin_DailyPred_Primera,0)+1,0),"-")</f>
        <v>-</v>
      </c>
      <c r="U41" s="162" t="str">
        <f aca="false">IFERROR(VLOOKUP(U$2,Rango_Admin_DailyPred,MATCH($F41,Rango_Admin_DailyPred_Primera,0)+1,0),"-")</f>
        <v>-</v>
      </c>
      <c r="V41" s="162" t="str">
        <f aca="false">IFERROR(VLOOKUP(V$2,Rango_Admin_DailyPred,MATCH($F41,Rango_Admin_DailyPred_Primera,0)+1,0),"-")</f>
        <v>-</v>
      </c>
      <c r="W41" s="162" t="str">
        <f aca="false">IFERROR(VLOOKUP(W$2,Rango_Admin_DailyPred,MATCH($F41,Rango_Admin_DailyPred_Primera,0)+1,0),"-")</f>
        <v>-</v>
      </c>
      <c r="X41" s="162" t="str">
        <f aca="false">IFERROR(VLOOKUP(X$2,Rango_Admin_DailyPred,MATCH($F41,Rango_Admin_DailyPred_Primera,0)+1,0),"-")</f>
        <v>-</v>
      </c>
      <c r="Y41" s="162" t="str">
        <f aca="false">IFERROR(VLOOKUP(Y$2,Rango_Admin_DailyPred,MATCH($F41,Rango_Admin_DailyPred_Primera,0)+1,0),"-")</f>
        <v>-</v>
      </c>
      <c r="Z41" s="162" t="str">
        <f aca="false">IFERROR(VLOOKUP(Z$2,Rango_Admin_DailyPred,MATCH($F41,Rango_Admin_DailyPred_Primera,0)+1,0),"-")</f>
        <v>-</v>
      </c>
      <c r="AA41" s="162" t="str">
        <f aca="false">IFERROR(VLOOKUP(AA$2,Rango_Admin_DailyPred,MATCH($F41,Rango_Admin_DailyPred_Primera,0)+1,0),"-")</f>
        <v>-</v>
      </c>
      <c r="AB41" s="162" t="str">
        <f aca="false">IFERROR(VLOOKUP(AB$2,Rango_Admin_DailyPred,MATCH($F41,Rango_Admin_DailyPred_Primera,0)+1,0),"-")</f>
        <v>-</v>
      </c>
      <c r="AC41" s="162" t="str">
        <f aca="false">IFERROR(VLOOKUP(AC$2,Rango_Admin_DailyPred,MATCH($F41,Rango_Admin_DailyPred_Primera,0)+1,0),"-")</f>
        <v>-</v>
      </c>
      <c r="AD41" s="162" t="str">
        <f aca="false">IFERROR(VLOOKUP(AD$2,Rango_Admin_DailyPred,MATCH($F41,Rango_Admin_DailyPred_Primera,0)+1,0),"-")</f>
        <v>-</v>
      </c>
      <c r="AE41" s="162" t="str">
        <f aca="false">IFERROR(VLOOKUP(AE$2,Rango_Admin_DailyPred,MATCH($F41,Rango_Admin_DailyPred_Primera,0)+1,0),"-")</f>
        <v>-</v>
      </c>
      <c r="AF41" s="162" t="str">
        <f aca="false">IFERROR(VLOOKUP(AF$2,Rango_Admin_DailyPred,MATCH($F41,Rango_Admin_DailyPred_Primera,0)+1,0),"-")</f>
        <v>-</v>
      </c>
      <c r="AG41" s="162" t="str">
        <f aca="false">IFERROR(VLOOKUP(AG$2,Rango_Admin_DailyPred,MATCH($F41,Rango_Admin_DailyPred_Primera,0)+1,0),"-")</f>
        <v>-</v>
      </c>
      <c r="AH41" s="162" t="str">
        <f aca="false">IFERROR(VLOOKUP(AH$2,Rango_Admin_DailyPred,MATCH($F41,Rango_Admin_DailyPred_Primera,0)+1,0),"-")</f>
        <v>-</v>
      </c>
      <c r="AI41" s="162" t="str">
        <f aca="false">IFERROR(VLOOKUP(AI$2,Rango_Admin_DailyPred,MATCH($F41,Rango_Admin_DailyPred_Primera,0)+1,0),"-")</f>
        <v>-</v>
      </c>
      <c r="AJ41" s="162" t="str">
        <f aca="false">IFERROR(VLOOKUP(AJ$2,Rango_Admin_DailyPred,MATCH($F41,Rango_Admin_DailyPred_Primera,0)+1,0),"-")</f>
        <v>-</v>
      </c>
      <c r="AK41" s="162" t="str">
        <f aca="false">IFERROR(VLOOKUP(AK$2,Rango_Admin_DailyPred,MATCH($F41,Rango_Admin_DailyPred_Primera,0)+1,0),"-")</f>
        <v>-</v>
      </c>
      <c r="AL41" s="162" t="str">
        <f aca="false">IFERROR(VLOOKUP(AL$2,Rango_Admin_DailyPred,MATCH($F41,Rango_Admin_DailyPred_Primera,0)+1,0),"-")</f>
        <v>-</v>
      </c>
      <c r="AM41" s="162" t="str">
        <f aca="false">IFERROR(VLOOKUP(AM$2,Rango_Admin_DailyPred,MATCH($F41,Rango_Admin_DailyPred_Primera,0)+1,0),"-")</f>
        <v>-</v>
      </c>
      <c r="AN41" s="244"/>
    </row>
    <row r="42" customFormat="false" ht="15" hidden="true" customHeight="false" outlineLevel="0" collapsed="false">
      <c r="C42" s="30" t="n">
        <v>39</v>
      </c>
      <c r="D42" s="463"/>
      <c r="E42" s="479" t="n">
        <f aca="false">IFERROR(HLOOKUP(C42,Rango_Admin_DailyClas,3,FALSE()),"-")</f>
        <v>18</v>
      </c>
      <c r="F42" s="480" t="str">
        <f aca="false">IFERROR(HLOOKUP(C42,Rango_Admin_DailyClas,5,FALSE()),"-")</f>
        <v>Pegar Valores Nombre J39</v>
      </c>
      <c r="G42" s="51" t="n">
        <f aca="false">IFERROR(HLOOKUP(C42,Rango_Admin_DailyClas,4,FALSE()),"-")</f>
        <v>0</v>
      </c>
      <c r="H42" s="162" t="n">
        <f aca="false">IFERROR(VLOOKUP(H$2,Rango_Admin_DailyPred,MATCH($F42,Rango_Admin_DailyPred_Primera,0)+1,0),"-")</f>
        <v>0</v>
      </c>
      <c r="I42" s="162" t="n">
        <f aca="false">IFERROR(VLOOKUP(I$2,Rango_Admin_DailyPred,MATCH($F42,Rango_Admin_DailyPred_Primera,0)+1,0),"-")</f>
        <v>0</v>
      </c>
      <c r="J42" s="162" t="n">
        <f aca="false">IFERROR(VLOOKUP(J$2,Rango_Admin_DailyPred,MATCH($F42,Rango_Admin_DailyPred_Primera,0)+1,0),"-")</f>
        <v>0</v>
      </c>
      <c r="K42" s="162" t="n">
        <f aca="false">IFERROR(VLOOKUP(K$2,Rango_Admin_DailyPred,MATCH($F42,Rango_Admin_DailyPred_Primera,0)+1,0),"-")</f>
        <v>0</v>
      </c>
      <c r="L42" s="162" t="n">
        <f aca="false">IFERROR(VLOOKUP(L$2,Rango_Admin_DailyPred,MATCH($F42,Rango_Admin_DailyPred_Primera,0)+1,0),"-")</f>
        <v>0</v>
      </c>
      <c r="M42" s="162" t="str">
        <f aca="false">IFERROR(VLOOKUP(M$2,Rango_Admin_DailyPred,MATCH($F42,Rango_Admin_DailyPred_Primera,0)+1,0),"-")</f>
        <v>-</v>
      </c>
      <c r="N42" s="162" t="str">
        <f aca="false">IFERROR(VLOOKUP(N$2,Rango_Admin_DailyPred,MATCH($F42,Rango_Admin_DailyPred_Primera,0)+1,0),"-")</f>
        <v>-</v>
      </c>
      <c r="O42" s="162" t="str">
        <f aca="false">IFERROR(VLOOKUP(O$2,Rango_Admin_DailyPred,MATCH($F42,Rango_Admin_DailyPred_Primera,0)+1,0),"-")</f>
        <v>-</v>
      </c>
      <c r="P42" s="162" t="str">
        <f aca="false">IFERROR(VLOOKUP(P$2,Rango_Admin_DailyPred,MATCH($F42,Rango_Admin_DailyPred_Primera,0)+1,0),"-")</f>
        <v>-</v>
      </c>
      <c r="Q42" s="162" t="str">
        <f aca="false">IFERROR(VLOOKUP(Q$2,Rango_Admin_DailyPred,MATCH($F42,Rango_Admin_DailyPred_Primera,0)+1,0),"-")</f>
        <v>-</v>
      </c>
      <c r="R42" s="162" t="str">
        <f aca="false">IFERROR(VLOOKUP(R$2,Rango_Admin_DailyPred,MATCH($F42,Rango_Admin_DailyPred_Primera,0)+1,0),"-")</f>
        <v>-</v>
      </c>
      <c r="S42" s="162" t="str">
        <f aca="false">IFERROR(VLOOKUP(S$2,Rango_Admin_DailyPred,MATCH($F42,Rango_Admin_DailyPred_Primera,0)+1,0),"-")</f>
        <v>-</v>
      </c>
      <c r="T42" s="162" t="str">
        <f aca="false">IFERROR(VLOOKUP(T$2,Rango_Admin_DailyPred,MATCH($F42,Rango_Admin_DailyPred_Primera,0)+1,0),"-")</f>
        <v>-</v>
      </c>
      <c r="U42" s="162" t="str">
        <f aca="false">IFERROR(VLOOKUP(U$2,Rango_Admin_DailyPred,MATCH($F42,Rango_Admin_DailyPred_Primera,0)+1,0),"-")</f>
        <v>-</v>
      </c>
      <c r="V42" s="162" t="str">
        <f aca="false">IFERROR(VLOOKUP(V$2,Rango_Admin_DailyPred,MATCH($F42,Rango_Admin_DailyPred_Primera,0)+1,0),"-")</f>
        <v>-</v>
      </c>
      <c r="W42" s="162" t="str">
        <f aca="false">IFERROR(VLOOKUP(W$2,Rango_Admin_DailyPred,MATCH($F42,Rango_Admin_DailyPred_Primera,0)+1,0),"-")</f>
        <v>-</v>
      </c>
      <c r="X42" s="162" t="str">
        <f aca="false">IFERROR(VLOOKUP(X$2,Rango_Admin_DailyPred,MATCH($F42,Rango_Admin_DailyPred_Primera,0)+1,0),"-")</f>
        <v>-</v>
      </c>
      <c r="Y42" s="162" t="str">
        <f aca="false">IFERROR(VLOOKUP(Y$2,Rango_Admin_DailyPred,MATCH($F42,Rango_Admin_DailyPred_Primera,0)+1,0),"-")</f>
        <v>-</v>
      </c>
      <c r="Z42" s="162" t="str">
        <f aca="false">IFERROR(VLOOKUP(Z$2,Rango_Admin_DailyPred,MATCH($F42,Rango_Admin_DailyPred_Primera,0)+1,0),"-")</f>
        <v>-</v>
      </c>
      <c r="AA42" s="162" t="str">
        <f aca="false">IFERROR(VLOOKUP(AA$2,Rango_Admin_DailyPred,MATCH($F42,Rango_Admin_DailyPred_Primera,0)+1,0),"-")</f>
        <v>-</v>
      </c>
      <c r="AB42" s="162" t="str">
        <f aca="false">IFERROR(VLOOKUP(AB$2,Rango_Admin_DailyPred,MATCH($F42,Rango_Admin_DailyPred_Primera,0)+1,0),"-")</f>
        <v>-</v>
      </c>
      <c r="AC42" s="162" t="str">
        <f aca="false">IFERROR(VLOOKUP(AC$2,Rango_Admin_DailyPred,MATCH($F42,Rango_Admin_DailyPred_Primera,0)+1,0),"-")</f>
        <v>-</v>
      </c>
      <c r="AD42" s="162" t="str">
        <f aca="false">IFERROR(VLOOKUP(AD$2,Rango_Admin_DailyPred,MATCH($F42,Rango_Admin_DailyPred_Primera,0)+1,0),"-")</f>
        <v>-</v>
      </c>
      <c r="AE42" s="162" t="str">
        <f aca="false">IFERROR(VLOOKUP(AE$2,Rango_Admin_DailyPred,MATCH($F42,Rango_Admin_DailyPred_Primera,0)+1,0),"-")</f>
        <v>-</v>
      </c>
      <c r="AF42" s="162" t="str">
        <f aca="false">IFERROR(VLOOKUP(AF$2,Rango_Admin_DailyPred,MATCH($F42,Rango_Admin_DailyPred_Primera,0)+1,0),"-")</f>
        <v>-</v>
      </c>
      <c r="AG42" s="162" t="str">
        <f aca="false">IFERROR(VLOOKUP(AG$2,Rango_Admin_DailyPred,MATCH($F42,Rango_Admin_DailyPred_Primera,0)+1,0),"-")</f>
        <v>-</v>
      </c>
      <c r="AH42" s="162" t="str">
        <f aca="false">IFERROR(VLOOKUP(AH$2,Rango_Admin_DailyPred,MATCH($F42,Rango_Admin_DailyPred_Primera,0)+1,0),"-")</f>
        <v>-</v>
      </c>
      <c r="AI42" s="162" t="str">
        <f aca="false">IFERROR(VLOOKUP(AI$2,Rango_Admin_DailyPred,MATCH($F42,Rango_Admin_DailyPred_Primera,0)+1,0),"-")</f>
        <v>-</v>
      </c>
      <c r="AJ42" s="162" t="str">
        <f aca="false">IFERROR(VLOOKUP(AJ$2,Rango_Admin_DailyPred,MATCH($F42,Rango_Admin_DailyPred_Primera,0)+1,0),"-")</f>
        <v>-</v>
      </c>
      <c r="AK42" s="162" t="str">
        <f aca="false">IFERROR(VLOOKUP(AK$2,Rango_Admin_DailyPred,MATCH($F42,Rango_Admin_DailyPred_Primera,0)+1,0),"-")</f>
        <v>-</v>
      </c>
      <c r="AL42" s="162" t="str">
        <f aca="false">IFERROR(VLOOKUP(AL$2,Rango_Admin_DailyPred,MATCH($F42,Rango_Admin_DailyPred_Primera,0)+1,0),"-")</f>
        <v>-</v>
      </c>
      <c r="AM42" s="162" t="str">
        <f aca="false">IFERROR(VLOOKUP(AM$2,Rango_Admin_DailyPred,MATCH($F42,Rango_Admin_DailyPred_Primera,0)+1,0),"-")</f>
        <v>-</v>
      </c>
      <c r="AN42" s="244"/>
    </row>
    <row r="43" customFormat="false" ht="15" hidden="true" customHeight="false" outlineLevel="0" collapsed="false">
      <c r="C43" s="30" t="n">
        <v>40</v>
      </c>
      <c r="D43" s="463"/>
      <c r="E43" s="479" t="n">
        <f aca="false">IFERROR(HLOOKUP(C43,Rango_Admin_DailyClas,3,FALSE()),"-")</f>
        <v>18</v>
      </c>
      <c r="F43" s="480" t="str">
        <f aca="false">IFERROR(HLOOKUP(C43,Rango_Admin_DailyClas,5,FALSE()),"-")</f>
        <v>Pegar Valores Nombre J40</v>
      </c>
      <c r="G43" s="51" t="n">
        <f aca="false">IFERROR(HLOOKUP(C43,Rango_Admin_DailyClas,4,FALSE()),"-")</f>
        <v>0</v>
      </c>
      <c r="H43" s="162" t="n">
        <f aca="false">IFERROR(VLOOKUP(H$2,Rango_Admin_DailyPred,MATCH($F43,Rango_Admin_DailyPred_Primera,0)+1,0),"-")</f>
        <v>0</v>
      </c>
      <c r="I43" s="162" t="n">
        <f aca="false">IFERROR(VLOOKUP(I$2,Rango_Admin_DailyPred,MATCH($F43,Rango_Admin_DailyPred_Primera,0)+1,0),"-")</f>
        <v>0</v>
      </c>
      <c r="J43" s="162" t="n">
        <f aca="false">IFERROR(VLOOKUP(J$2,Rango_Admin_DailyPred,MATCH($F43,Rango_Admin_DailyPred_Primera,0)+1,0),"-")</f>
        <v>0</v>
      </c>
      <c r="K43" s="162" t="n">
        <f aca="false">IFERROR(VLOOKUP(K$2,Rango_Admin_DailyPred,MATCH($F43,Rango_Admin_DailyPred_Primera,0)+1,0),"-")</f>
        <v>0</v>
      </c>
      <c r="L43" s="162" t="n">
        <f aca="false">IFERROR(VLOOKUP(L$2,Rango_Admin_DailyPred,MATCH($F43,Rango_Admin_DailyPred_Primera,0)+1,0),"-")</f>
        <v>0</v>
      </c>
      <c r="M43" s="162" t="str">
        <f aca="false">IFERROR(VLOOKUP(M$2,Rango_Admin_DailyPred,MATCH($F43,Rango_Admin_DailyPred_Primera,0)+1,0),"-")</f>
        <v>-</v>
      </c>
      <c r="N43" s="162" t="str">
        <f aca="false">IFERROR(VLOOKUP(N$2,Rango_Admin_DailyPred,MATCH($F43,Rango_Admin_DailyPred_Primera,0)+1,0),"-")</f>
        <v>-</v>
      </c>
      <c r="O43" s="162" t="str">
        <f aca="false">IFERROR(VLOOKUP(O$2,Rango_Admin_DailyPred,MATCH($F43,Rango_Admin_DailyPred_Primera,0)+1,0),"-")</f>
        <v>-</v>
      </c>
      <c r="P43" s="162" t="str">
        <f aca="false">IFERROR(VLOOKUP(P$2,Rango_Admin_DailyPred,MATCH($F43,Rango_Admin_DailyPred_Primera,0)+1,0),"-")</f>
        <v>-</v>
      </c>
      <c r="Q43" s="162" t="str">
        <f aca="false">IFERROR(VLOOKUP(Q$2,Rango_Admin_DailyPred,MATCH($F43,Rango_Admin_DailyPred_Primera,0)+1,0),"-")</f>
        <v>-</v>
      </c>
      <c r="R43" s="162" t="str">
        <f aca="false">IFERROR(VLOOKUP(R$2,Rango_Admin_DailyPred,MATCH($F43,Rango_Admin_DailyPred_Primera,0)+1,0),"-")</f>
        <v>-</v>
      </c>
      <c r="S43" s="162" t="str">
        <f aca="false">IFERROR(VLOOKUP(S$2,Rango_Admin_DailyPred,MATCH($F43,Rango_Admin_DailyPred_Primera,0)+1,0),"-")</f>
        <v>-</v>
      </c>
      <c r="T43" s="162" t="str">
        <f aca="false">IFERROR(VLOOKUP(T$2,Rango_Admin_DailyPred,MATCH($F43,Rango_Admin_DailyPred_Primera,0)+1,0),"-")</f>
        <v>-</v>
      </c>
      <c r="U43" s="162" t="str">
        <f aca="false">IFERROR(VLOOKUP(U$2,Rango_Admin_DailyPred,MATCH($F43,Rango_Admin_DailyPred_Primera,0)+1,0),"-")</f>
        <v>-</v>
      </c>
      <c r="V43" s="162" t="str">
        <f aca="false">IFERROR(VLOOKUP(V$2,Rango_Admin_DailyPred,MATCH($F43,Rango_Admin_DailyPred_Primera,0)+1,0),"-")</f>
        <v>-</v>
      </c>
      <c r="W43" s="162" t="str">
        <f aca="false">IFERROR(VLOOKUP(W$2,Rango_Admin_DailyPred,MATCH($F43,Rango_Admin_DailyPred_Primera,0)+1,0),"-")</f>
        <v>-</v>
      </c>
      <c r="X43" s="162" t="str">
        <f aca="false">IFERROR(VLOOKUP(X$2,Rango_Admin_DailyPred,MATCH($F43,Rango_Admin_DailyPred_Primera,0)+1,0),"-")</f>
        <v>-</v>
      </c>
      <c r="Y43" s="162" t="str">
        <f aca="false">IFERROR(VLOOKUP(Y$2,Rango_Admin_DailyPred,MATCH($F43,Rango_Admin_DailyPred_Primera,0)+1,0),"-")</f>
        <v>-</v>
      </c>
      <c r="Z43" s="162" t="str">
        <f aca="false">IFERROR(VLOOKUP(Z$2,Rango_Admin_DailyPred,MATCH($F43,Rango_Admin_DailyPred_Primera,0)+1,0),"-")</f>
        <v>-</v>
      </c>
      <c r="AA43" s="162" t="str">
        <f aca="false">IFERROR(VLOOKUP(AA$2,Rango_Admin_DailyPred,MATCH($F43,Rango_Admin_DailyPred_Primera,0)+1,0),"-")</f>
        <v>-</v>
      </c>
      <c r="AB43" s="162" t="str">
        <f aca="false">IFERROR(VLOOKUP(AB$2,Rango_Admin_DailyPred,MATCH($F43,Rango_Admin_DailyPred_Primera,0)+1,0),"-")</f>
        <v>-</v>
      </c>
      <c r="AC43" s="162" t="str">
        <f aca="false">IFERROR(VLOOKUP(AC$2,Rango_Admin_DailyPred,MATCH($F43,Rango_Admin_DailyPred_Primera,0)+1,0),"-")</f>
        <v>-</v>
      </c>
      <c r="AD43" s="162" t="str">
        <f aca="false">IFERROR(VLOOKUP(AD$2,Rango_Admin_DailyPred,MATCH($F43,Rango_Admin_DailyPred_Primera,0)+1,0),"-")</f>
        <v>-</v>
      </c>
      <c r="AE43" s="162" t="str">
        <f aca="false">IFERROR(VLOOKUP(AE$2,Rango_Admin_DailyPred,MATCH($F43,Rango_Admin_DailyPred_Primera,0)+1,0),"-")</f>
        <v>-</v>
      </c>
      <c r="AF43" s="162" t="str">
        <f aca="false">IFERROR(VLOOKUP(AF$2,Rango_Admin_DailyPred,MATCH($F43,Rango_Admin_DailyPred_Primera,0)+1,0),"-")</f>
        <v>-</v>
      </c>
      <c r="AG43" s="162" t="str">
        <f aca="false">IFERROR(VLOOKUP(AG$2,Rango_Admin_DailyPred,MATCH($F43,Rango_Admin_DailyPred_Primera,0)+1,0),"-")</f>
        <v>-</v>
      </c>
      <c r="AH43" s="162" t="str">
        <f aca="false">IFERROR(VLOOKUP(AH$2,Rango_Admin_DailyPred,MATCH($F43,Rango_Admin_DailyPred_Primera,0)+1,0),"-")</f>
        <v>-</v>
      </c>
      <c r="AI43" s="162" t="str">
        <f aca="false">IFERROR(VLOOKUP(AI$2,Rango_Admin_DailyPred,MATCH($F43,Rango_Admin_DailyPred_Primera,0)+1,0),"-")</f>
        <v>-</v>
      </c>
      <c r="AJ43" s="162" t="str">
        <f aca="false">IFERROR(VLOOKUP(AJ$2,Rango_Admin_DailyPred,MATCH($F43,Rango_Admin_DailyPred_Primera,0)+1,0),"-")</f>
        <v>-</v>
      </c>
      <c r="AK43" s="162" t="str">
        <f aca="false">IFERROR(VLOOKUP(AK$2,Rango_Admin_DailyPred,MATCH($F43,Rango_Admin_DailyPred_Primera,0)+1,0),"-")</f>
        <v>-</v>
      </c>
      <c r="AL43" s="162" t="str">
        <f aca="false">IFERROR(VLOOKUP(AL$2,Rango_Admin_DailyPred,MATCH($F43,Rango_Admin_DailyPred_Primera,0)+1,0),"-")</f>
        <v>-</v>
      </c>
      <c r="AM43" s="162" t="str">
        <f aca="false">IFERROR(VLOOKUP(AM$2,Rango_Admin_DailyPred,MATCH($F43,Rango_Admin_DailyPred_Primera,0)+1,0),"-")</f>
        <v>-</v>
      </c>
      <c r="AN43" s="244"/>
    </row>
    <row r="44" customFormat="false" ht="15" hidden="false" customHeight="false" outlineLevel="0" collapsed="false">
      <c r="D44" s="463"/>
      <c r="E44" s="479" t="str">
        <f aca="false">IFERROR(HLOOKUP(C44,Rango_Admin_DailyClas,3,FALSE()),"-")</f>
        <v>-</v>
      </c>
      <c r="F44" s="480" t="str">
        <f aca="false">IFERROR(HLOOKUP(C44,Rango_Admin_DailyClas,5,FALSE()),"-")</f>
        <v>-</v>
      </c>
      <c r="G44" s="51" t="str">
        <f aca="false">IFERROR(HLOOKUP(C44,Rango_Admin_DailyClas,4,FALSE()),"-")</f>
        <v>-</v>
      </c>
      <c r="H44" s="162" t="str">
        <f aca="false">IFERROR(VLOOKUP(H$2,Rango_Admin_DailyPred,MATCH($F44,Rango_Admin_DailyPred_Primera,0)+1,0),"-")</f>
        <v>-</v>
      </c>
      <c r="I44" s="162" t="str">
        <f aca="false">IFERROR(VLOOKUP(I$2,Rango_Admin_DailyPred,MATCH($F44,Rango_Admin_DailyPred_Primera,0)+1,0),"-")</f>
        <v>-</v>
      </c>
      <c r="J44" s="162" t="str">
        <f aca="false">IFERROR(VLOOKUP(J$2,Rango_Admin_DailyPred,MATCH($F44,Rango_Admin_DailyPred_Primera,0)+1,0),"-")</f>
        <v>-</v>
      </c>
      <c r="K44" s="162" t="str">
        <f aca="false">IFERROR(VLOOKUP(K$2,Rango_Admin_DailyPred,MATCH($F44,Rango_Admin_DailyPred_Primera,0)+1,0),"-")</f>
        <v>-</v>
      </c>
      <c r="L44" s="162" t="str">
        <f aca="false">IFERROR(VLOOKUP(L$2,Rango_Admin_DailyPred,MATCH($F44,Rango_Admin_DailyPred_Primera,0)+1,0),"-")</f>
        <v>-</v>
      </c>
      <c r="M44" s="162" t="str">
        <f aca="false">IFERROR(VLOOKUP(M$2,Rango_Admin_DailyPred,MATCH($F44,Rango_Admin_DailyPred_Primera,0)+1,0),"-")</f>
        <v>-</v>
      </c>
      <c r="N44" s="162" t="str">
        <f aca="false">IFERROR(VLOOKUP(N$2,Rango_Admin_DailyPred,MATCH($F44,Rango_Admin_DailyPred_Primera,0)+1,0),"-")</f>
        <v>-</v>
      </c>
      <c r="O44" s="162" t="str">
        <f aca="false">IFERROR(VLOOKUP(O$2,Rango_Admin_DailyPred,MATCH($F44,Rango_Admin_DailyPred_Primera,0)+1,0),"-")</f>
        <v>-</v>
      </c>
      <c r="P44" s="162" t="str">
        <f aca="false">IFERROR(VLOOKUP(P$2,Rango_Admin_DailyPred,MATCH($F44,Rango_Admin_DailyPred_Primera,0)+1,0),"-")</f>
        <v>-</v>
      </c>
      <c r="Q44" s="162" t="str">
        <f aca="false">IFERROR(VLOOKUP(Q$2,Rango_Admin_DailyPred,MATCH($F44,Rango_Admin_DailyPred_Primera,0)+1,0),"-")</f>
        <v>-</v>
      </c>
      <c r="R44" s="162" t="str">
        <f aca="false">IFERROR(VLOOKUP(R$2,Rango_Admin_DailyPred,MATCH($F44,Rango_Admin_DailyPred_Primera,0)+1,0),"-")</f>
        <v>-</v>
      </c>
      <c r="S44" s="162" t="str">
        <f aca="false">IFERROR(VLOOKUP(S$2,Rango_Admin_DailyPred,MATCH($F44,Rango_Admin_DailyPred_Primera,0)+1,0),"-")</f>
        <v>-</v>
      </c>
      <c r="T44" s="162" t="str">
        <f aca="false">IFERROR(VLOOKUP(T$2,Rango_Admin_DailyPred,MATCH($F44,Rango_Admin_DailyPred_Primera,0)+1,0),"-")</f>
        <v>-</v>
      </c>
      <c r="U44" s="162" t="str">
        <f aca="false">IFERROR(VLOOKUP(U$2,Rango_Admin_DailyPred,MATCH($F44,Rango_Admin_DailyPred_Primera,0)+1,0),"-")</f>
        <v>-</v>
      </c>
      <c r="V44" s="162" t="str">
        <f aca="false">IFERROR(VLOOKUP(V$2,Rango_Admin_DailyPred,MATCH($F44,Rango_Admin_DailyPred_Primera,0)+1,0),"-")</f>
        <v>-</v>
      </c>
      <c r="W44" s="162" t="str">
        <f aca="false">IFERROR(VLOOKUP(W$2,Rango_Admin_DailyPred,MATCH($F44,Rango_Admin_DailyPred_Primera,0)+1,0),"-")</f>
        <v>-</v>
      </c>
      <c r="X44" s="162" t="str">
        <f aca="false">IFERROR(VLOOKUP(X$2,Rango_Admin_DailyPred,MATCH($F44,Rango_Admin_DailyPred_Primera,0)+1,0),"-")</f>
        <v>-</v>
      </c>
      <c r="Y44" s="162" t="str">
        <f aca="false">IFERROR(VLOOKUP(Y$2,Rango_Admin_DailyPred,MATCH($F44,Rango_Admin_DailyPred_Primera,0)+1,0),"-")</f>
        <v>-</v>
      </c>
      <c r="Z44" s="162" t="str">
        <f aca="false">IFERROR(VLOOKUP(Z$2,Rango_Admin_DailyPred,MATCH($F44,Rango_Admin_DailyPred_Primera,0)+1,0),"-")</f>
        <v>-</v>
      </c>
      <c r="AA44" s="162" t="str">
        <f aca="false">IFERROR(VLOOKUP(AA$2,Rango_Admin_DailyPred,MATCH($F44,Rango_Admin_DailyPred_Primera,0)+1,0),"-")</f>
        <v>-</v>
      </c>
      <c r="AB44" s="162" t="str">
        <f aca="false">IFERROR(VLOOKUP(AB$2,Rango_Admin_DailyPred,MATCH($F44,Rango_Admin_DailyPred_Primera,0)+1,0),"-")</f>
        <v>-</v>
      </c>
      <c r="AC44" s="162" t="str">
        <f aca="false">IFERROR(VLOOKUP(AC$2,Rango_Admin_DailyPred,MATCH($F44,Rango_Admin_DailyPred_Primera,0)+1,0),"-")</f>
        <v>-</v>
      </c>
      <c r="AD44" s="162" t="str">
        <f aca="false">IFERROR(VLOOKUP(AD$2,Rango_Admin_DailyPred,MATCH($F44,Rango_Admin_DailyPred_Primera,0)+1,0),"-")</f>
        <v>-</v>
      </c>
      <c r="AE44" s="162" t="str">
        <f aca="false">IFERROR(VLOOKUP(AE$2,Rango_Admin_DailyPred,MATCH($F44,Rango_Admin_DailyPred_Primera,0)+1,0),"-")</f>
        <v>-</v>
      </c>
      <c r="AF44" s="162" t="str">
        <f aca="false">IFERROR(VLOOKUP(AF$2,Rango_Admin_DailyPred,MATCH($F44,Rango_Admin_DailyPred_Primera,0)+1,0),"-")</f>
        <v>-</v>
      </c>
      <c r="AG44" s="162" t="str">
        <f aca="false">IFERROR(VLOOKUP(AG$2,Rango_Admin_DailyPred,MATCH($F44,Rango_Admin_DailyPred_Primera,0)+1,0),"-")</f>
        <v>-</v>
      </c>
      <c r="AH44" s="162" t="str">
        <f aca="false">IFERROR(VLOOKUP(AH$2,Rango_Admin_DailyPred,MATCH($F44,Rango_Admin_DailyPred_Primera,0)+1,0),"-")</f>
        <v>-</v>
      </c>
      <c r="AI44" s="162" t="str">
        <f aca="false">IFERROR(VLOOKUP(AI$2,Rango_Admin_DailyPred,MATCH($F44,Rango_Admin_DailyPred_Primera,0)+1,0),"-")</f>
        <v>-</v>
      </c>
      <c r="AJ44" s="162" t="str">
        <f aca="false">IFERROR(VLOOKUP(AJ$2,Rango_Admin_DailyPred,MATCH($F44,Rango_Admin_DailyPred_Primera,0)+1,0),"-")</f>
        <v>-</v>
      </c>
      <c r="AK44" s="162" t="str">
        <f aca="false">IFERROR(VLOOKUP(AK$2,Rango_Admin_DailyPred,MATCH($F44,Rango_Admin_DailyPred_Primera,0)+1,0),"-")</f>
        <v>-</v>
      </c>
      <c r="AL44" s="162" t="str">
        <f aca="false">IFERROR(VLOOKUP(AL$2,Rango_Admin_DailyPred,MATCH($F44,Rango_Admin_DailyPred_Primera,0)+1,0),"-")</f>
        <v>-</v>
      </c>
      <c r="AM44" s="162" t="str">
        <f aca="false">IFERROR(VLOOKUP(AM$2,Rango_Admin_DailyPred,MATCH($F44,Rango_Admin_DailyPred_Primera,0)+1,0),"-")</f>
        <v>-</v>
      </c>
      <c r="AN44" s="244"/>
    </row>
    <row r="45" customFormat="false" ht="15" hidden="false" customHeight="false" outlineLevel="0" collapsed="false">
      <c r="D45" s="463"/>
      <c r="E45" s="479" t="str">
        <f aca="false">IFERROR(HLOOKUP(C45,Rango_Admin_DailyClas,3,FALSE()),"-")</f>
        <v>-</v>
      </c>
      <c r="F45" s="480" t="str">
        <f aca="false">IFERROR(HLOOKUP(C45,Rango_Admin_DailyClas,5,FALSE()),"-")</f>
        <v>-</v>
      </c>
      <c r="G45" s="51" t="str">
        <f aca="false">IFERROR(HLOOKUP(C45,Rango_Admin_DailyClas,4,FALSE()),"-")</f>
        <v>-</v>
      </c>
      <c r="H45" s="162" t="str">
        <f aca="false">IFERROR(VLOOKUP(H$2,Rango_Admin_DailyPred,MATCH($F45,Rango_Admin_DailyPred_Primera,0)+1,0),"-")</f>
        <v>-</v>
      </c>
      <c r="I45" s="162" t="str">
        <f aca="false">IFERROR(VLOOKUP(I$2,Rango_Admin_DailyPred,MATCH($F45,Rango_Admin_DailyPred_Primera,0)+1,0),"-")</f>
        <v>-</v>
      </c>
      <c r="J45" s="162" t="str">
        <f aca="false">IFERROR(VLOOKUP(J$2,Rango_Admin_DailyPred,MATCH($F45,Rango_Admin_DailyPred_Primera,0)+1,0),"-")</f>
        <v>-</v>
      </c>
      <c r="K45" s="162" t="str">
        <f aca="false">IFERROR(VLOOKUP(K$2,Rango_Admin_DailyPred,MATCH($F45,Rango_Admin_DailyPred_Primera,0)+1,0),"-")</f>
        <v>-</v>
      </c>
      <c r="L45" s="162" t="str">
        <f aca="false">IFERROR(VLOOKUP(L$2,Rango_Admin_DailyPred,MATCH($F45,Rango_Admin_DailyPred_Primera,0)+1,0),"-")</f>
        <v>-</v>
      </c>
      <c r="M45" s="162" t="str">
        <f aca="false">IFERROR(VLOOKUP(M$2,Rango_Admin_DailyPred,MATCH($F45,Rango_Admin_DailyPred_Primera,0)+1,0),"-")</f>
        <v>-</v>
      </c>
      <c r="N45" s="162" t="str">
        <f aca="false">IFERROR(VLOOKUP(N$2,Rango_Admin_DailyPred,MATCH($F45,Rango_Admin_DailyPred_Primera,0)+1,0),"-")</f>
        <v>-</v>
      </c>
      <c r="O45" s="162" t="str">
        <f aca="false">IFERROR(VLOOKUP(O$2,Rango_Admin_DailyPred,MATCH($F45,Rango_Admin_DailyPred_Primera,0)+1,0),"-")</f>
        <v>-</v>
      </c>
      <c r="P45" s="162" t="str">
        <f aca="false">IFERROR(VLOOKUP(P$2,Rango_Admin_DailyPred,MATCH($F45,Rango_Admin_DailyPred_Primera,0)+1,0),"-")</f>
        <v>-</v>
      </c>
      <c r="Q45" s="162" t="str">
        <f aca="false">IFERROR(VLOOKUP(Q$2,Rango_Admin_DailyPred,MATCH($F45,Rango_Admin_DailyPred_Primera,0)+1,0),"-")</f>
        <v>-</v>
      </c>
      <c r="R45" s="162" t="str">
        <f aca="false">IFERROR(VLOOKUP(R$2,Rango_Admin_DailyPred,MATCH($F45,Rango_Admin_DailyPred_Primera,0)+1,0),"-")</f>
        <v>-</v>
      </c>
      <c r="S45" s="162" t="str">
        <f aca="false">IFERROR(VLOOKUP(S$2,Rango_Admin_DailyPred,MATCH($F45,Rango_Admin_DailyPred_Primera,0)+1,0),"-")</f>
        <v>-</v>
      </c>
      <c r="T45" s="162" t="str">
        <f aca="false">IFERROR(VLOOKUP(T$2,Rango_Admin_DailyPred,MATCH($F45,Rango_Admin_DailyPred_Primera,0)+1,0),"-")</f>
        <v>-</v>
      </c>
      <c r="U45" s="162" t="str">
        <f aca="false">IFERROR(VLOOKUP(U$2,Rango_Admin_DailyPred,MATCH($F45,Rango_Admin_DailyPred_Primera,0)+1,0),"-")</f>
        <v>-</v>
      </c>
      <c r="V45" s="162" t="str">
        <f aca="false">IFERROR(VLOOKUP(V$2,Rango_Admin_DailyPred,MATCH($F45,Rango_Admin_DailyPred_Primera,0)+1,0),"-")</f>
        <v>-</v>
      </c>
      <c r="W45" s="162" t="str">
        <f aca="false">IFERROR(VLOOKUP(W$2,Rango_Admin_DailyPred,MATCH($F45,Rango_Admin_DailyPred_Primera,0)+1,0),"-")</f>
        <v>-</v>
      </c>
      <c r="X45" s="162" t="str">
        <f aca="false">IFERROR(VLOOKUP(X$2,Rango_Admin_DailyPred,MATCH($F45,Rango_Admin_DailyPred_Primera,0)+1,0),"-")</f>
        <v>-</v>
      </c>
      <c r="Y45" s="162" t="str">
        <f aca="false">IFERROR(VLOOKUP(Y$2,Rango_Admin_DailyPred,MATCH($F45,Rango_Admin_DailyPred_Primera,0)+1,0),"-")</f>
        <v>-</v>
      </c>
      <c r="Z45" s="162" t="str">
        <f aca="false">IFERROR(VLOOKUP(Z$2,Rango_Admin_DailyPred,MATCH($F45,Rango_Admin_DailyPred_Primera,0)+1,0),"-")</f>
        <v>-</v>
      </c>
      <c r="AA45" s="162" t="str">
        <f aca="false">IFERROR(VLOOKUP(AA$2,Rango_Admin_DailyPred,MATCH($F45,Rango_Admin_DailyPred_Primera,0)+1,0),"-")</f>
        <v>-</v>
      </c>
      <c r="AB45" s="162" t="str">
        <f aca="false">IFERROR(VLOOKUP(AB$2,Rango_Admin_DailyPred,MATCH($F45,Rango_Admin_DailyPred_Primera,0)+1,0),"-")</f>
        <v>-</v>
      </c>
      <c r="AC45" s="162" t="str">
        <f aca="false">IFERROR(VLOOKUP(AC$2,Rango_Admin_DailyPred,MATCH($F45,Rango_Admin_DailyPred_Primera,0)+1,0),"-")</f>
        <v>-</v>
      </c>
      <c r="AD45" s="162" t="str">
        <f aca="false">IFERROR(VLOOKUP(AD$2,Rango_Admin_DailyPred,MATCH($F45,Rango_Admin_DailyPred_Primera,0)+1,0),"-")</f>
        <v>-</v>
      </c>
      <c r="AE45" s="162" t="str">
        <f aca="false">IFERROR(VLOOKUP(AE$2,Rango_Admin_DailyPred,MATCH($F45,Rango_Admin_DailyPred_Primera,0)+1,0),"-")</f>
        <v>-</v>
      </c>
      <c r="AF45" s="162" t="str">
        <f aca="false">IFERROR(VLOOKUP(AF$2,Rango_Admin_DailyPred,MATCH($F45,Rango_Admin_DailyPred_Primera,0)+1,0),"-")</f>
        <v>-</v>
      </c>
      <c r="AG45" s="162" t="str">
        <f aca="false">IFERROR(VLOOKUP(AG$2,Rango_Admin_DailyPred,MATCH($F45,Rango_Admin_DailyPred_Primera,0)+1,0),"-")</f>
        <v>-</v>
      </c>
      <c r="AH45" s="162" t="str">
        <f aca="false">IFERROR(VLOOKUP(AH$2,Rango_Admin_DailyPred,MATCH($F45,Rango_Admin_DailyPred_Primera,0)+1,0),"-")</f>
        <v>-</v>
      </c>
      <c r="AI45" s="162" t="str">
        <f aca="false">IFERROR(VLOOKUP(AI$2,Rango_Admin_DailyPred,MATCH($F45,Rango_Admin_DailyPred_Primera,0)+1,0),"-")</f>
        <v>-</v>
      </c>
      <c r="AJ45" s="162" t="str">
        <f aca="false">IFERROR(VLOOKUP(AJ$2,Rango_Admin_DailyPred,MATCH($F45,Rango_Admin_DailyPred_Primera,0)+1,0),"-")</f>
        <v>-</v>
      </c>
      <c r="AK45" s="162" t="str">
        <f aca="false">IFERROR(VLOOKUP(AK$2,Rango_Admin_DailyPred,MATCH($F45,Rango_Admin_DailyPred_Primera,0)+1,0),"-")</f>
        <v>-</v>
      </c>
      <c r="AL45" s="162" t="str">
        <f aca="false">IFERROR(VLOOKUP(AL$2,Rango_Admin_DailyPred,MATCH($F45,Rango_Admin_DailyPred_Primera,0)+1,0),"-")</f>
        <v>-</v>
      </c>
      <c r="AM45" s="162" t="str">
        <f aca="false">IFERROR(VLOOKUP(AM$2,Rango_Admin_DailyPred,MATCH($F45,Rango_Admin_DailyPred_Primera,0)+1,0),"-")</f>
        <v>-</v>
      </c>
      <c r="AN45" s="244"/>
    </row>
    <row r="46" customFormat="false" ht="15" hidden="false" customHeight="false" outlineLevel="0" collapsed="false">
      <c r="D46" s="463"/>
      <c r="E46" s="479" t="str">
        <f aca="false">IFERROR(HLOOKUP(C46,Rango_Admin_DailyClas,3,FALSE()),"-")</f>
        <v>-</v>
      </c>
      <c r="F46" s="480" t="str">
        <f aca="false">IFERROR(HLOOKUP(C46,Rango_Admin_DailyClas,5,FALSE()),"-")</f>
        <v>-</v>
      </c>
      <c r="G46" s="51" t="str">
        <f aca="false">IFERROR(HLOOKUP(C46,Rango_Admin_DailyClas,4,FALSE()),"-")</f>
        <v>-</v>
      </c>
      <c r="H46" s="162" t="str">
        <f aca="false">IFERROR(VLOOKUP(H$2,Rango_Admin_DailyPred,MATCH($F46,Rango_Admin_DailyPred_Primera,0)+1,0),"-")</f>
        <v>-</v>
      </c>
      <c r="I46" s="162" t="str">
        <f aca="false">IFERROR(VLOOKUP(I$2,Rango_Admin_DailyPred,MATCH($F46,Rango_Admin_DailyPred_Primera,0)+1,0),"-")</f>
        <v>-</v>
      </c>
      <c r="J46" s="162" t="str">
        <f aca="false">IFERROR(VLOOKUP(J$2,Rango_Admin_DailyPred,MATCH($F46,Rango_Admin_DailyPred_Primera,0)+1,0),"-")</f>
        <v>-</v>
      </c>
      <c r="K46" s="162" t="str">
        <f aca="false">IFERROR(VLOOKUP(K$2,Rango_Admin_DailyPred,MATCH($F46,Rango_Admin_DailyPred_Primera,0)+1,0),"-")</f>
        <v>-</v>
      </c>
      <c r="L46" s="162" t="str">
        <f aca="false">IFERROR(VLOOKUP(L$2,Rango_Admin_DailyPred,MATCH($F46,Rango_Admin_DailyPred_Primera,0)+1,0),"-")</f>
        <v>-</v>
      </c>
      <c r="M46" s="162" t="str">
        <f aca="false">IFERROR(VLOOKUP(M$2,Rango_Admin_DailyPred,MATCH($F46,Rango_Admin_DailyPred_Primera,0)+1,0),"-")</f>
        <v>-</v>
      </c>
      <c r="N46" s="162" t="str">
        <f aca="false">IFERROR(VLOOKUP(N$2,Rango_Admin_DailyPred,MATCH($F46,Rango_Admin_DailyPred_Primera,0)+1,0),"-")</f>
        <v>-</v>
      </c>
      <c r="O46" s="162" t="str">
        <f aca="false">IFERROR(VLOOKUP(O$2,Rango_Admin_DailyPred,MATCH($F46,Rango_Admin_DailyPred_Primera,0)+1,0),"-")</f>
        <v>-</v>
      </c>
      <c r="P46" s="162" t="str">
        <f aca="false">IFERROR(VLOOKUP(P$2,Rango_Admin_DailyPred,MATCH($F46,Rango_Admin_DailyPred_Primera,0)+1,0),"-")</f>
        <v>-</v>
      </c>
      <c r="Q46" s="162" t="str">
        <f aca="false">IFERROR(VLOOKUP(Q$2,Rango_Admin_DailyPred,MATCH($F46,Rango_Admin_DailyPred_Primera,0)+1,0),"-")</f>
        <v>-</v>
      </c>
      <c r="R46" s="162" t="str">
        <f aca="false">IFERROR(VLOOKUP(R$2,Rango_Admin_DailyPred,MATCH($F46,Rango_Admin_DailyPred_Primera,0)+1,0),"-")</f>
        <v>-</v>
      </c>
      <c r="S46" s="162" t="str">
        <f aca="false">IFERROR(VLOOKUP(S$2,Rango_Admin_DailyPred,MATCH($F46,Rango_Admin_DailyPred_Primera,0)+1,0),"-")</f>
        <v>-</v>
      </c>
      <c r="T46" s="162" t="str">
        <f aca="false">IFERROR(VLOOKUP(T$2,Rango_Admin_DailyPred,MATCH($F46,Rango_Admin_DailyPred_Primera,0)+1,0),"-")</f>
        <v>-</v>
      </c>
      <c r="U46" s="162" t="str">
        <f aca="false">IFERROR(VLOOKUP(U$2,Rango_Admin_DailyPred,MATCH($F46,Rango_Admin_DailyPred_Primera,0)+1,0),"-")</f>
        <v>-</v>
      </c>
      <c r="V46" s="162" t="str">
        <f aca="false">IFERROR(VLOOKUP(V$2,Rango_Admin_DailyPred,MATCH($F46,Rango_Admin_DailyPred_Primera,0)+1,0),"-")</f>
        <v>-</v>
      </c>
      <c r="W46" s="162" t="str">
        <f aca="false">IFERROR(VLOOKUP(W$2,Rango_Admin_DailyPred,MATCH($F46,Rango_Admin_DailyPred_Primera,0)+1,0),"-")</f>
        <v>-</v>
      </c>
      <c r="X46" s="162" t="str">
        <f aca="false">IFERROR(VLOOKUP(X$2,Rango_Admin_DailyPred,MATCH($F46,Rango_Admin_DailyPred_Primera,0)+1,0),"-")</f>
        <v>-</v>
      </c>
      <c r="Y46" s="162" t="str">
        <f aca="false">IFERROR(VLOOKUP(Y$2,Rango_Admin_DailyPred,MATCH($F46,Rango_Admin_DailyPred_Primera,0)+1,0),"-")</f>
        <v>-</v>
      </c>
      <c r="Z46" s="162" t="str">
        <f aca="false">IFERROR(VLOOKUP(Z$2,Rango_Admin_DailyPred,MATCH($F46,Rango_Admin_DailyPred_Primera,0)+1,0),"-")</f>
        <v>-</v>
      </c>
      <c r="AA46" s="162" t="str">
        <f aca="false">IFERROR(VLOOKUP(AA$2,Rango_Admin_DailyPred,MATCH($F46,Rango_Admin_DailyPred_Primera,0)+1,0),"-")</f>
        <v>-</v>
      </c>
      <c r="AB46" s="162" t="str">
        <f aca="false">IFERROR(VLOOKUP(AB$2,Rango_Admin_DailyPred,MATCH($F46,Rango_Admin_DailyPred_Primera,0)+1,0),"-")</f>
        <v>-</v>
      </c>
      <c r="AC46" s="162" t="str">
        <f aca="false">IFERROR(VLOOKUP(AC$2,Rango_Admin_DailyPred,MATCH($F46,Rango_Admin_DailyPred_Primera,0)+1,0),"-")</f>
        <v>-</v>
      </c>
      <c r="AD46" s="162" t="str">
        <f aca="false">IFERROR(VLOOKUP(AD$2,Rango_Admin_DailyPred,MATCH($F46,Rango_Admin_DailyPred_Primera,0)+1,0),"-")</f>
        <v>-</v>
      </c>
      <c r="AE46" s="162" t="str">
        <f aca="false">IFERROR(VLOOKUP(AE$2,Rango_Admin_DailyPred,MATCH($F46,Rango_Admin_DailyPred_Primera,0)+1,0),"-")</f>
        <v>-</v>
      </c>
      <c r="AF46" s="162" t="str">
        <f aca="false">IFERROR(VLOOKUP(AF$2,Rango_Admin_DailyPred,MATCH($F46,Rango_Admin_DailyPred_Primera,0)+1,0),"-")</f>
        <v>-</v>
      </c>
      <c r="AG46" s="162" t="str">
        <f aca="false">IFERROR(VLOOKUP(AG$2,Rango_Admin_DailyPred,MATCH($F46,Rango_Admin_DailyPred_Primera,0)+1,0),"-")</f>
        <v>-</v>
      </c>
      <c r="AH46" s="162" t="str">
        <f aca="false">IFERROR(VLOOKUP(AH$2,Rango_Admin_DailyPred,MATCH($F46,Rango_Admin_DailyPred_Primera,0)+1,0),"-")</f>
        <v>-</v>
      </c>
      <c r="AI46" s="162" t="str">
        <f aca="false">IFERROR(VLOOKUP(AI$2,Rango_Admin_DailyPred,MATCH($F46,Rango_Admin_DailyPred_Primera,0)+1,0),"-")</f>
        <v>-</v>
      </c>
      <c r="AJ46" s="162" t="str">
        <f aca="false">IFERROR(VLOOKUP(AJ$2,Rango_Admin_DailyPred,MATCH($F46,Rango_Admin_DailyPred_Primera,0)+1,0),"-")</f>
        <v>-</v>
      </c>
      <c r="AK46" s="162" t="str">
        <f aca="false">IFERROR(VLOOKUP(AK$2,Rango_Admin_DailyPred,MATCH($F46,Rango_Admin_DailyPred_Primera,0)+1,0),"-")</f>
        <v>-</v>
      </c>
      <c r="AL46" s="162" t="str">
        <f aca="false">IFERROR(VLOOKUP(AL$2,Rango_Admin_DailyPred,MATCH($F46,Rango_Admin_DailyPred_Primera,0)+1,0),"-")</f>
        <v>-</v>
      </c>
      <c r="AM46" s="162" t="str">
        <f aca="false">IFERROR(VLOOKUP(AM$2,Rango_Admin_DailyPred,MATCH($F46,Rango_Admin_DailyPred_Primera,0)+1,0),"-")</f>
        <v>-</v>
      </c>
      <c r="AN46" s="244"/>
    </row>
    <row r="47" customFormat="false" ht="15" hidden="false" customHeight="false" outlineLevel="0" collapsed="false">
      <c r="D47" s="463"/>
      <c r="E47" s="479" t="str">
        <f aca="false">IFERROR(HLOOKUP(C47,Rango_Admin_DailyClas,3,FALSE()),"-")</f>
        <v>-</v>
      </c>
      <c r="F47" s="480" t="str">
        <f aca="false">IFERROR(HLOOKUP(C47,Rango_Admin_DailyClas,5,FALSE()),"-")</f>
        <v>-</v>
      </c>
      <c r="G47" s="51" t="str">
        <f aca="false">IFERROR(HLOOKUP(C47,Rango_Admin_DailyClas,4,FALSE()),"-")</f>
        <v>-</v>
      </c>
      <c r="H47" s="162" t="str">
        <f aca="false">IFERROR(VLOOKUP(H$2,Rango_Admin_DailyPred,MATCH($F47,Rango_Admin_DailyPred_Primera,0)+1,0),"-")</f>
        <v>-</v>
      </c>
      <c r="I47" s="162" t="str">
        <f aca="false">IFERROR(VLOOKUP(I$2,Rango_Admin_DailyPred,MATCH($F47,Rango_Admin_DailyPred_Primera,0)+1,0),"-")</f>
        <v>-</v>
      </c>
      <c r="J47" s="162" t="str">
        <f aca="false">IFERROR(VLOOKUP(J$2,Rango_Admin_DailyPred,MATCH($F47,Rango_Admin_DailyPred_Primera,0)+1,0),"-")</f>
        <v>-</v>
      </c>
      <c r="K47" s="162" t="str">
        <f aca="false">IFERROR(VLOOKUP(K$2,Rango_Admin_DailyPred,MATCH($F47,Rango_Admin_DailyPred_Primera,0)+1,0),"-")</f>
        <v>-</v>
      </c>
      <c r="L47" s="162" t="str">
        <f aca="false">IFERROR(VLOOKUP(L$2,Rango_Admin_DailyPred,MATCH($F47,Rango_Admin_DailyPred_Primera,0)+1,0),"-")</f>
        <v>-</v>
      </c>
      <c r="M47" s="162" t="str">
        <f aca="false">IFERROR(VLOOKUP(M$2,Rango_Admin_DailyPred,MATCH($F47,Rango_Admin_DailyPred_Primera,0)+1,0),"-")</f>
        <v>-</v>
      </c>
      <c r="N47" s="162" t="str">
        <f aca="false">IFERROR(VLOOKUP(N$2,Rango_Admin_DailyPred,MATCH($F47,Rango_Admin_DailyPred_Primera,0)+1,0),"-")</f>
        <v>-</v>
      </c>
      <c r="O47" s="162" t="str">
        <f aca="false">IFERROR(VLOOKUP(O$2,Rango_Admin_DailyPred,MATCH($F47,Rango_Admin_DailyPred_Primera,0)+1,0),"-")</f>
        <v>-</v>
      </c>
      <c r="P47" s="162" t="str">
        <f aca="false">IFERROR(VLOOKUP(P$2,Rango_Admin_DailyPred,MATCH($F47,Rango_Admin_DailyPred_Primera,0)+1,0),"-")</f>
        <v>-</v>
      </c>
      <c r="Q47" s="162" t="str">
        <f aca="false">IFERROR(VLOOKUP(Q$2,Rango_Admin_DailyPred,MATCH($F47,Rango_Admin_DailyPred_Primera,0)+1,0),"-")</f>
        <v>-</v>
      </c>
      <c r="R47" s="162" t="str">
        <f aca="false">IFERROR(VLOOKUP(R$2,Rango_Admin_DailyPred,MATCH($F47,Rango_Admin_DailyPred_Primera,0)+1,0),"-")</f>
        <v>-</v>
      </c>
      <c r="S47" s="162" t="str">
        <f aca="false">IFERROR(VLOOKUP(S$2,Rango_Admin_DailyPred,MATCH($F47,Rango_Admin_DailyPred_Primera,0)+1,0),"-")</f>
        <v>-</v>
      </c>
      <c r="T47" s="162" t="str">
        <f aca="false">IFERROR(VLOOKUP(T$2,Rango_Admin_DailyPred,MATCH($F47,Rango_Admin_DailyPred_Primera,0)+1,0),"-")</f>
        <v>-</v>
      </c>
      <c r="U47" s="162" t="str">
        <f aca="false">IFERROR(VLOOKUP(U$2,Rango_Admin_DailyPred,MATCH($F47,Rango_Admin_DailyPred_Primera,0)+1,0),"-")</f>
        <v>-</v>
      </c>
      <c r="V47" s="162" t="str">
        <f aca="false">IFERROR(VLOOKUP(V$2,Rango_Admin_DailyPred,MATCH($F47,Rango_Admin_DailyPred_Primera,0)+1,0),"-")</f>
        <v>-</v>
      </c>
      <c r="W47" s="162" t="str">
        <f aca="false">IFERROR(VLOOKUP(W$2,Rango_Admin_DailyPred,MATCH($F47,Rango_Admin_DailyPred_Primera,0)+1,0),"-")</f>
        <v>-</v>
      </c>
      <c r="X47" s="162" t="str">
        <f aca="false">IFERROR(VLOOKUP(X$2,Rango_Admin_DailyPred,MATCH($F47,Rango_Admin_DailyPred_Primera,0)+1,0),"-")</f>
        <v>-</v>
      </c>
      <c r="Y47" s="162" t="str">
        <f aca="false">IFERROR(VLOOKUP(Y$2,Rango_Admin_DailyPred,MATCH($F47,Rango_Admin_DailyPred_Primera,0)+1,0),"-")</f>
        <v>-</v>
      </c>
      <c r="Z47" s="162" t="str">
        <f aca="false">IFERROR(VLOOKUP(Z$2,Rango_Admin_DailyPred,MATCH($F47,Rango_Admin_DailyPred_Primera,0)+1,0),"-")</f>
        <v>-</v>
      </c>
      <c r="AA47" s="162" t="str">
        <f aca="false">IFERROR(VLOOKUP(AA$2,Rango_Admin_DailyPred,MATCH($F47,Rango_Admin_DailyPred_Primera,0)+1,0),"-")</f>
        <v>-</v>
      </c>
      <c r="AB47" s="162" t="str">
        <f aca="false">IFERROR(VLOOKUP(AB$2,Rango_Admin_DailyPred,MATCH($F47,Rango_Admin_DailyPred_Primera,0)+1,0),"-")</f>
        <v>-</v>
      </c>
      <c r="AC47" s="162" t="str">
        <f aca="false">IFERROR(VLOOKUP(AC$2,Rango_Admin_DailyPred,MATCH($F47,Rango_Admin_DailyPred_Primera,0)+1,0),"-")</f>
        <v>-</v>
      </c>
      <c r="AD47" s="162" t="str">
        <f aca="false">IFERROR(VLOOKUP(AD$2,Rango_Admin_DailyPred,MATCH($F47,Rango_Admin_DailyPred_Primera,0)+1,0),"-")</f>
        <v>-</v>
      </c>
      <c r="AE47" s="162" t="str">
        <f aca="false">IFERROR(VLOOKUP(AE$2,Rango_Admin_DailyPred,MATCH($F47,Rango_Admin_DailyPred_Primera,0)+1,0),"-")</f>
        <v>-</v>
      </c>
      <c r="AF47" s="162" t="str">
        <f aca="false">IFERROR(VLOOKUP(AF$2,Rango_Admin_DailyPred,MATCH($F47,Rango_Admin_DailyPred_Primera,0)+1,0),"-")</f>
        <v>-</v>
      </c>
      <c r="AG47" s="162" t="str">
        <f aca="false">IFERROR(VLOOKUP(AG$2,Rango_Admin_DailyPred,MATCH($F47,Rango_Admin_DailyPred_Primera,0)+1,0),"-")</f>
        <v>-</v>
      </c>
      <c r="AH47" s="162" t="str">
        <f aca="false">IFERROR(VLOOKUP(AH$2,Rango_Admin_DailyPred,MATCH($F47,Rango_Admin_DailyPred_Primera,0)+1,0),"-")</f>
        <v>-</v>
      </c>
      <c r="AI47" s="162" t="str">
        <f aca="false">IFERROR(VLOOKUP(AI$2,Rango_Admin_DailyPred,MATCH($F47,Rango_Admin_DailyPred_Primera,0)+1,0),"-")</f>
        <v>-</v>
      </c>
      <c r="AJ47" s="162" t="str">
        <f aca="false">IFERROR(VLOOKUP(AJ$2,Rango_Admin_DailyPred,MATCH($F47,Rango_Admin_DailyPred_Primera,0)+1,0),"-")</f>
        <v>-</v>
      </c>
      <c r="AK47" s="162" t="str">
        <f aca="false">IFERROR(VLOOKUP(AK$2,Rango_Admin_DailyPred,MATCH($F47,Rango_Admin_DailyPred_Primera,0)+1,0),"-")</f>
        <v>-</v>
      </c>
      <c r="AL47" s="162" t="str">
        <f aca="false">IFERROR(VLOOKUP(AL$2,Rango_Admin_DailyPred,MATCH($F47,Rango_Admin_DailyPred_Primera,0)+1,0),"-")</f>
        <v>-</v>
      </c>
      <c r="AM47" s="162" t="str">
        <f aca="false">IFERROR(VLOOKUP(AM$2,Rango_Admin_DailyPred,MATCH($F47,Rango_Admin_DailyPred_Primera,0)+1,0),"-")</f>
        <v>-</v>
      </c>
      <c r="AN47" s="244"/>
    </row>
    <row r="48" customFormat="false" ht="15" hidden="false" customHeight="false" outlineLevel="0" collapsed="false">
      <c r="D48" s="463"/>
      <c r="E48" s="479" t="str">
        <f aca="false">IFERROR(HLOOKUP(C48,Rango_Admin_DailyClas,3,FALSE()),"-")</f>
        <v>-</v>
      </c>
      <c r="F48" s="480" t="str">
        <f aca="false">IFERROR(HLOOKUP(C48,Rango_Admin_DailyClas,5,FALSE()),"-")</f>
        <v>-</v>
      </c>
      <c r="G48" s="51" t="str">
        <f aca="false">IFERROR(HLOOKUP(C48,Rango_Admin_DailyClas,4,FALSE()),"-")</f>
        <v>-</v>
      </c>
      <c r="H48" s="162" t="str">
        <f aca="false">IFERROR(VLOOKUP(H$2,Rango_Admin_DailyPred,MATCH($F48,Rango_Admin_DailyPred_Primera,0)+1,0),"-")</f>
        <v>-</v>
      </c>
      <c r="I48" s="162" t="str">
        <f aca="false">IFERROR(VLOOKUP(I$2,Rango_Admin_DailyPred,MATCH($F48,Rango_Admin_DailyPred_Primera,0)+1,0),"-")</f>
        <v>-</v>
      </c>
      <c r="J48" s="162" t="str">
        <f aca="false">IFERROR(VLOOKUP(J$2,Rango_Admin_DailyPred,MATCH($F48,Rango_Admin_DailyPred_Primera,0)+1,0),"-")</f>
        <v>-</v>
      </c>
      <c r="K48" s="162" t="str">
        <f aca="false">IFERROR(VLOOKUP(K$2,Rango_Admin_DailyPred,MATCH($F48,Rango_Admin_DailyPred_Primera,0)+1,0),"-")</f>
        <v>-</v>
      </c>
      <c r="L48" s="162" t="str">
        <f aca="false">IFERROR(VLOOKUP(L$2,Rango_Admin_DailyPred,MATCH($F48,Rango_Admin_DailyPred_Primera,0)+1,0),"-")</f>
        <v>-</v>
      </c>
      <c r="M48" s="162" t="str">
        <f aca="false">IFERROR(VLOOKUP(M$2,Rango_Admin_DailyPred,MATCH($F48,Rango_Admin_DailyPred_Primera,0)+1,0),"-")</f>
        <v>-</v>
      </c>
      <c r="N48" s="162" t="str">
        <f aca="false">IFERROR(VLOOKUP(N$2,Rango_Admin_DailyPred,MATCH($F48,Rango_Admin_DailyPred_Primera,0)+1,0),"-")</f>
        <v>-</v>
      </c>
      <c r="O48" s="162" t="str">
        <f aca="false">IFERROR(VLOOKUP(O$2,Rango_Admin_DailyPred,MATCH($F48,Rango_Admin_DailyPred_Primera,0)+1,0),"-")</f>
        <v>-</v>
      </c>
      <c r="P48" s="162" t="str">
        <f aca="false">IFERROR(VLOOKUP(P$2,Rango_Admin_DailyPred,MATCH($F48,Rango_Admin_DailyPred_Primera,0)+1,0),"-")</f>
        <v>-</v>
      </c>
      <c r="Q48" s="162" t="str">
        <f aca="false">IFERROR(VLOOKUP(Q$2,Rango_Admin_DailyPred,MATCH($F48,Rango_Admin_DailyPred_Primera,0)+1,0),"-")</f>
        <v>-</v>
      </c>
      <c r="R48" s="162" t="str">
        <f aca="false">IFERROR(VLOOKUP(R$2,Rango_Admin_DailyPred,MATCH($F48,Rango_Admin_DailyPred_Primera,0)+1,0),"-")</f>
        <v>-</v>
      </c>
      <c r="S48" s="162" t="str">
        <f aca="false">IFERROR(VLOOKUP(S$2,Rango_Admin_DailyPred,MATCH($F48,Rango_Admin_DailyPred_Primera,0)+1,0),"-")</f>
        <v>-</v>
      </c>
      <c r="T48" s="162" t="str">
        <f aca="false">IFERROR(VLOOKUP(T$2,Rango_Admin_DailyPred,MATCH($F48,Rango_Admin_DailyPred_Primera,0)+1,0),"-")</f>
        <v>-</v>
      </c>
      <c r="U48" s="162" t="str">
        <f aca="false">IFERROR(VLOOKUP(U$2,Rango_Admin_DailyPred,MATCH($F48,Rango_Admin_DailyPred_Primera,0)+1,0),"-")</f>
        <v>-</v>
      </c>
      <c r="V48" s="162" t="str">
        <f aca="false">IFERROR(VLOOKUP(V$2,Rango_Admin_DailyPred,MATCH($F48,Rango_Admin_DailyPred_Primera,0)+1,0),"-")</f>
        <v>-</v>
      </c>
      <c r="W48" s="162" t="str">
        <f aca="false">IFERROR(VLOOKUP(W$2,Rango_Admin_DailyPred,MATCH($F48,Rango_Admin_DailyPred_Primera,0)+1,0),"-")</f>
        <v>-</v>
      </c>
      <c r="X48" s="162" t="str">
        <f aca="false">IFERROR(VLOOKUP(X$2,Rango_Admin_DailyPred,MATCH($F48,Rango_Admin_DailyPred_Primera,0)+1,0),"-")</f>
        <v>-</v>
      </c>
      <c r="Y48" s="162" t="str">
        <f aca="false">IFERROR(VLOOKUP(Y$2,Rango_Admin_DailyPred,MATCH($F48,Rango_Admin_DailyPred_Primera,0)+1,0),"-")</f>
        <v>-</v>
      </c>
      <c r="Z48" s="162" t="str">
        <f aca="false">IFERROR(VLOOKUP(Z$2,Rango_Admin_DailyPred,MATCH($F48,Rango_Admin_DailyPred_Primera,0)+1,0),"-")</f>
        <v>-</v>
      </c>
      <c r="AA48" s="162" t="str">
        <f aca="false">IFERROR(VLOOKUP(AA$2,Rango_Admin_DailyPred,MATCH($F48,Rango_Admin_DailyPred_Primera,0)+1,0),"-")</f>
        <v>-</v>
      </c>
      <c r="AB48" s="162" t="str">
        <f aca="false">IFERROR(VLOOKUP(AB$2,Rango_Admin_DailyPred,MATCH($F48,Rango_Admin_DailyPred_Primera,0)+1,0),"-")</f>
        <v>-</v>
      </c>
      <c r="AC48" s="162" t="str">
        <f aca="false">IFERROR(VLOOKUP(AC$2,Rango_Admin_DailyPred,MATCH($F48,Rango_Admin_DailyPred_Primera,0)+1,0),"-")</f>
        <v>-</v>
      </c>
      <c r="AD48" s="162" t="str">
        <f aca="false">IFERROR(VLOOKUP(AD$2,Rango_Admin_DailyPred,MATCH($F48,Rango_Admin_DailyPred_Primera,0)+1,0),"-")</f>
        <v>-</v>
      </c>
      <c r="AE48" s="162" t="str">
        <f aca="false">IFERROR(VLOOKUP(AE$2,Rango_Admin_DailyPred,MATCH($F48,Rango_Admin_DailyPred_Primera,0)+1,0),"-")</f>
        <v>-</v>
      </c>
      <c r="AF48" s="162" t="str">
        <f aca="false">IFERROR(VLOOKUP(AF$2,Rango_Admin_DailyPred,MATCH($F48,Rango_Admin_DailyPred_Primera,0)+1,0),"-")</f>
        <v>-</v>
      </c>
      <c r="AG48" s="162" t="str">
        <f aca="false">IFERROR(VLOOKUP(AG$2,Rango_Admin_DailyPred,MATCH($F48,Rango_Admin_DailyPred_Primera,0)+1,0),"-")</f>
        <v>-</v>
      </c>
      <c r="AH48" s="162" t="str">
        <f aca="false">IFERROR(VLOOKUP(AH$2,Rango_Admin_DailyPred,MATCH($F48,Rango_Admin_DailyPred_Primera,0)+1,0),"-")</f>
        <v>-</v>
      </c>
      <c r="AI48" s="162" t="str">
        <f aca="false">IFERROR(VLOOKUP(AI$2,Rango_Admin_DailyPred,MATCH($F48,Rango_Admin_DailyPred_Primera,0)+1,0),"-")</f>
        <v>-</v>
      </c>
      <c r="AJ48" s="162" t="str">
        <f aca="false">IFERROR(VLOOKUP(AJ$2,Rango_Admin_DailyPred,MATCH($F48,Rango_Admin_DailyPred_Primera,0)+1,0),"-")</f>
        <v>-</v>
      </c>
      <c r="AK48" s="162" t="str">
        <f aca="false">IFERROR(VLOOKUP(AK$2,Rango_Admin_DailyPred,MATCH($F48,Rango_Admin_DailyPred_Primera,0)+1,0),"-")</f>
        <v>-</v>
      </c>
      <c r="AL48" s="162" t="str">
        <f aca="false">IFERROR(VLOOKUP(AL$2,Rango_Admin_DailyPred,MATCH($F48,Rango_Admin_DailyPred_Primera,0)+1,0),"-")</f>
        <v>-</v>
      </c>
      <c r="AM48" s="162" t="str">
        <f aca="false">IFERROR(VLOOKUP(AM$2,Rango_Admin_DailyPred,MATCH($F48,Rango_Admin_DailyPred_Primera,0)+1,0),"-")</f>
        <v>-</v>
      </c>
      <c r="AN48" s="244"/>
    </row>
    <row r="49" customFormat="false" ht="15" hidden="false" customHeight="false" outlineLevel="0" collapsed="false">
      <c r="D49" s="463"/>
      <c r="E49" s="479" t="str">
        <f aca="false">IFERROR(HLOOKUP(C49,Rango_Admin_DailyClas,3,FALSE()),"-")</f>
        <v>-</v>
      </c>
      <c r="F49" s="480" t="str">
        <f aca="false">IFERROR(HLOOKUP(C49,Rango_Admin_DailyClas,5,FALSE()),"-")</f>
        <v>-</v>
      </c>
      <c r="G49" s="51" t="str">
        <f aca="false">IFERROR(HLOOKUP(C49,Rango_Admin_DailyClas,4,FALSE()),"-")</f>
        <v>-</v>
      </c>
      <c r="H49" s="162" t="str">
        <f aca="false">IFERROR(VLOOKUP(H$2,Rango_Admin_DailyPred,MATCH($F49,Rango_Admin_DailyPred_Primera,0)+1,0),"-")</f>
        <v>-</v>
      </c>
      <c r="I49" s="162" t="str">
        <f aca="false">IFERROR(VLOOKUP(I$2,Rango_Admin_DailyPred,MATCH($F49,Rango_Admin_DailyPred_Primera,0)+1,0),"-")</f>
        <v>-</v>
      </c>
      <c r="J49" s="162" t="str">
        <f aca="false">IFERROR(VLOOKUP(J$2,Rango_Admin_DailyPred,MATCH($F49,Rango_Admin_DailyPred_Primera,0)+1,0),"-")</f>
        <v>-</v>
      </c>
      <c r="K49" s="162" t="str">
        <f aca="false">IFERROR(VLOOKUP(K$2,Rango_Admin_DailyPred,MATCH($F49,Rango_Admin_DailyPred_Primera,0)+1,0),"-")</f>
        <v>-</v>
      </c>
      <c r="L49" s="162" t="str">
        <f aca="false">IFERROR(VLOOKUP(L$2,Rango_Admin_DailyPred,MATCH($F49,Rango_Admin_DailyPred_Primera,0)+1,0),"-")</f>
        <v>-</v>
      </c>
      <c r="M49" s="162" t="str">
        <f aca="false">IFERROR(VLOOKUP(M$2,Rango_Admin_DailyPred,MATCH($F49,Rango_Admin_DailyPred_Primera,0)+1,0),"-")</f>
        <v>-</v>
      </c>
      <c r="N49" s="162" t="str">
        <f aca="false">IFERROR(VLOOKUP(N$2,Rango_Admin_DailyPred,MATCH($F49,Rango_Admin_DailyPred_Primera,0)+1,0),"-")</f>
        <v>-</v>
      </c>
      <c r="O49" s="162" t="str">
        <f aca="false">IFERROR(VLOOKUP(O$2,Rango_Admin_DailyPred,MATCH($F49,Rango_Admin_DailyPred_Primera,0)+1,0),"-")</f>
        <v>-</v>
      </c>
      <c r="P49" s="162" t="str">
        <f aca="false">IFERROR(VLOOKUP(P$2,Rango_Admin_DailyPred,MATCH($F49,Rango_Admin_DailyPred_Primera,0)+1,0),"-")</f>
        <v>-</v>
      </c>
      <c r="Q49" s="162" t="str">
        <f aca="false">IFERROR(VLOOKUP(Q$2,Rango_Admin_DailyPred,MATCH($F49,Rango_Admin_DailyPred_Primera,0)+1,0),"-")</f>
        <v>-</v>
      </c>
      <c r="R49" s="162" t="str">
        <f aca="false">IFERROR(VLOOKUP(R$2,Rango_Admin_DailyPred,MATCH($F49,Rango_Admin_DailyPred_Primera,0)+1,0),"-")</f>
        <v>-</v>
      </c>
      <c r="S49" s="162" t="str">
        <f aca="false">IFERROR(VLOOKUP(S$2,Rango_Admin_DailyPred,MATCH($F49,Rango_Admin_DailyPred_Primera,0)+1,0),"-")</f>
        <v>-</v>
      </c>
      <c r="T49" s="162" t="str">
        <f aca="false">IFERROR(VLOOKUP(T$2,Rango_Admin_DailyPred,MATCH($F49,Rango_Admin_DailyPred_Primera,0)+1,0),"-")</f>
        <v>-</v>
      </c>
      <c r="U49" s="162" t="str">
        <f aca="false">IFERROR(VLOOKUP(U$2,Rango_Admin_DailyPred,MATCH($F49,Rango_Admin_DailyPred_Primera,0)+1,0),"-")</f>
        <v>-</v>
      </c>
      <c r="V49" s="162" t="str">
        <f aca="false">IFERROR(VLOOKUP(V$2,Rango_Admin_DailyPred,MATCH($F49,Rango_Admin_DailyPred_Primera,0)+1,0),"-")</f>
        <v>-</v>
      </c>
      <c r="W49" s="162" t="str">
        <f aca="false">IFERROR(VLOOKUP(W$2,Rango_Admin_DailyPred,MATCH($F49,Rango_Admin_DailyPred_Primera,0)+1,0),"-")</f>
        <v>-</v>
      </c>
      <c r="X49" s="162" t="str">
        <f aca="false">IFERROR(VLOOKUP(X$2,Rango_Admin_DailyPred,MATCH($F49,Rango_Admin_DailyPred_Primera,0)+1,0),"-")</f>
        <v>-</v>
      </c>
      <c r="Y49" s="162" t="str">
        <f aca="false">IFERROR(VLOOKUP(Y$2,Rango_Admin_DailyPred,MATCH($F49,Rango_Admin_DailyPred_Primera,0)+1,0),"-")</f>
        <v>-</v>
      </c>
      <c r="Z49" s="162" t="str">
        <f aca="false">IFERROR(VLOOKUP(Z$2,Rango_Admin_DailyPred,MATCH($F49,Rango_Admin_DailyPred_Primera,0)+1,0),"-")</f>
        <v>-</v>
      </c>
      <c r="AA49" s="162" t="str">
        <f aca="false">IFERROR(VLOOKUP(AA$2,Rango_Admin_DailyPred,MATCH($F49,Rango_Admin_DailyPred_Primera,0)+1,0),"-")</f>
        <v>-</v>
      </c>
      <c r="AB49" s="162" t="str">
        <f aca="false">IFERROR(VLOOKUP(AB$2,Rango_Admin_DailyPred,MATCH($F49,Rango_Admin_DailyPred_Primera,0)+1,0),"-")</f>
        <v>-</v>
      </c>
      <c r="AC49" s="162" t="str">
        <f aca="false">IFERROR(VLOOKUP(AC$2,Rango_Admin_DailyPred,MATCH($F49,Rango_Admin_DailyPred_Primera,0)+1,0),"-")</f>
        <v>-</v>
      </c>
      <c r="AD49" s="162" t="str">
        <f aca="false">IFERROR(VLOOKUP(AD$2,Rango_Admin_DailyPred,MATCH($F49,Rango_Admin_DailyPred_Primera,0)+1,0),"-")</f>
        <v>-</v>
      </c>
      <c r="AE49" s="162" t="str">
        <f aca="false">IFERROR(VLOOKUP(AE$2,Rango_Admin_DailyPred,MATCH($F49,Rango_Admin_DailyPred_Primera,0)+1,0),"-")</f>
        <v>-</v>
      </c>
      <c r="AF49" s="162" t="str">
        <f aca="false">IFERROR(VLOOKUP(AF$2,Rango_Admin_DailyPred,MATCH($F49,Rango_Admin_DailyPred_Primera,0)+1,0),"-")</f>
        <v>-</v>
      </c>
      <c r="AG49" s="162" t="str">
        <f aca="false">IFERROR(VLOOKUP(AG$2,Rango_Admin_DailyPred,MATCH($F49,Rango_Admin_DailyPred_Primera,0)+1,0),"-")</f>
        <v>-</v>
      </c>
      <c r="AH49" s="162" t="str">
        <f aca="false">IFERROR(VLOOKUP(AH$2,Rango_Admin_DailyPred,MATCH($F49,Rango_Admin_DailyPred_Primera,0)+1,0),"-")</f>
        <v>-</v>
      </c>
      <c r="AI49" s="162" t="str">
        <f aca="false">IFERROR(VLOOKUP(AI$2,Rango_Admin_DailyPred,MATCH($F49,Rango_Admin_DailyPred_Primera,0)+1,0),"-")</f>
        <v>-</v>
      </c>
      <c r="AJ49" s="162" t="str">
        <f aca="false">IFERROR(VLOOKUP(AJ$2,Rango_Admin_DailyPred,MATCH($F49,Rango_Admin_DailyPred_Primera,0)+1,0),"-")</f>
        <v>-</v>
      </c>
      <c r="AK49" s="162" t="str">
        <f aca="false">IFERROR(VLOOKUP(AK$2,Rango_Admin_DailyPred,MATCH($F49,Rango_Admin_DailyPred_Primera,0)+1,0),"-")</f>
        <v>-</v>
      </c>
      <c r="AL49" s="162" t="str">
        <f aca="false">IFERROR(VLOOKUP(AL$2,Rango_Admin_DailyPred,MATCH($F49,Rango_Admin_DailyPred_Primera,0)+1,0),"-")</f>
        <v>-</v>
      </c>
      <c r="AM49" s="162" t="str">
        <f aca="false">IFERROR(VLOOKUP(AM$2,Rango_Admin_DailyPred,MATCH($F49,Rango_Admin_DailyPred_Primera,0)+1,0),"-")</f>
        <v>-</v>
      </c>
      <c r="AN49" s="244"/>
    </row>
    <row r="50" customFormat="false" ht="15" hidden="false" customHeight="false" outlineLevel="0" collapsed="false">
      <c r="D50" s="463"/>
      <c r="E50" s="479" t="str">
        <f aca="false">IFERROR(HLOOKUP(C50,Rango_Admin_DailyClas,3,FALSE()),"-")</f>
        <v>-</v>
      </c>
      <c r="F50" s="480" t="str">
        <f aca="false">IFERROR(HLOOKUP(C50,Rango_Admin_DailyClas,5,FALSE()),"-")</f>
        <v>-</v>
      </c>
      <c r="G50" s="51" t="str">
        <f aca="false">IFERROR(HLOOKUP(C50,Rango_Admin_DailyClas,4,FALSE()),"-")</f>
        <v>-</v>
      </c>
      <c r="H50" s="162" t="str">
        <f aca="false">IFERROR(VLOOKUP(H$2,Rango_Admin_DailyPred,MATCH($F50,Rango_Admin_DailyPred_Primera,0)+1,0),"-")</f>
        <v>-</v>
      </c>
      <c r="I50" s="162" t="str">
        <f aca="false">IFERROR(VLOOKUP(I$2,Rango_Admin_DailyPred,MATCH($F50,Rango_Admin_DailyPred_Primera,0)+1,0),"-")</f>
        <v>-</v>
      </c>
      <c r="J50" s="162" t="str">
        <f aca="false">IFERROR(VLOOKUP(J$2,Rango_Admin_DailyPred,MATCH($F50,Rango_Admin_DailyPred_Primera,0)+1,0),"-")</f>
        <v>-</v>
      </c>
      <c r="K50" s="162" t="str">
        <f aca="false">IFERROR(VLOOKUP(K$2,Rango_Admin_DailyPred,MATCH($F50,Rango_Admin_DailyPred_Primera,0)+1,0),"-")</f>
        <v>-</v>
      </c>
      <c r="L50" s="162" t="str">
        <f aca="false">IFERROR(VLOOKUP(L$2,Rango_Admin_DailyPred,MATCH($F50,Rango_Admin_DailyPred_Primera,0)+1,0),"-")</f>
        <v>-</v>
      </c>
      <c r="M50" s="162" t="str">
        <f aca="false">IFERROR(VLOOKUP(M$2,Rango_Admin_DailyPred,MATCH($F50,Rango_Admin_DailyPred_Primera,0)+1,0),"-")</f>
        <v>-</v>
      </c>
      <c r="N50" s="162" t="str">
        <f aca="false">IFERROR(VLOOKUP(N$2,Rango_Admin_DailyPred,MATCH($F50,Rango_Admin_DailyPred_Primera,0)+1,0),"-")</f>
        <v>-</v>
      </c>
      <c r="O50" s="162" t="str">
        <f aca="false">IFERROR(VLOOKUP(O$2,Rango_Admin_DailyPred,MATCH($F50,Rango_Admin_DailyPred_Primera,0)+1,0),"-")</f>
        <v>-</v>
      </c>
      <c r="P50" s="162" t="str">
        <f aca="false">IFERROR(VLOOKUP(P$2,Rango_Admin_DailyPred,MATCH($F50,Rango_Admin_DailyPred_Primera,0)+1,0),"-")</f>
        <v>-</v>
      </c>
      <c r="Q50" s="162" t="str">
        <f aca="false">IFERROR(VLOOKUP(Q$2,Rango_Admin_DailyPred,MATCH($F50,Rango_Admin_DailyPred_Primera,0)+1,0),"-")</f>
        <v>-</v>
      </c>
      <c r="R50" s="162" t="str">
        <f aca="false">IFERROR(VLOOKUP(R$2,Rango_Admin_DailyPred,MATCH($F50,Rango_Admin_DailyPred_Primera,0)+1,0),"-")</f>
        <v>-</v>
      </c>
      <c r="S50" s="162" t="str">
        <f aca="false">IFERROR(VLOOKUP(S$2,Rango_Admin_DailyPred,MATCH($F50,Rango_Admin_DailyPred_Primera,0)+1,0),"-")</f>
        <v>-</v>
      </c>
      <c r="T50" s="162" t="str">
        <f aca="false">IFERROR(VLOOKUP(T$2,Rango_Admin_DailyPred,MATCH($F50,Rango_Admin_DailyPred_Primera,0)+1,0),"-")</f>
        <v>-</v>
      </c>
      <c r="U50" s="162" t="str">
        <f aca="false">IFERROR(VLOOKUP(U$2,Rango_Admin_DailyPred,MATCH($F50,Rango_Admin_DailyPred_Primera,0)+1,0),"-")</f>
        <v>-</v>
      </c>
      <c r="V50" s="162" t="str">
        <f aca="false">IFERROR(VLOOKUP(V$2,Rango_Admin_DailyPred,MATCH($F50,Rango_Admin_DailyPred_Primera,0)+1,0),"-")</f>
        <v>-</v>
      </c>
      <c r="W50" s="162" t="str">
        <f aca="false">IFERROR(VLOOKUP(W$2,Rango_Admin_DailyPred,MATCH($F50,Rango_Admin_DailyPred_Primera,0)+1,0),"-")</f>
        <v>-</v>
      </c>
      <c r="X50" s="162" t="str">
        <f aca="false">IFERROR(VLOOKUP(X$2,Rango_Admin_DailyPred,MATCH($F50,Rango_Admin_DailyPred_Primera,0)+1,0),"-")</f>
        <v>-</v>
      </c>
      <c r="Y50" s="162" t="str">
        <f aca="false">IFERROR(VLOOKUP(Y$2,Rango_Admin_DailyPred,MATCH($F50,Rango_Admin_DailyPred_Primera,0)+1,0),"-")</f>
        <v>-</v>
      </c>
      <c r="Z50" s="162" t="str">
        <f aca="false">IFERROR(VLOOKUP(Z$2,Rango_Admin_DailyPred,MATCH($F50,Rango_Admin_DailyPred_Primera,0)+1,0),"-")</f>
        <v>-</v>
      </c>
      <c r="AA50" s="162" t="str">
        <f aca="false">IFERROR(VLOOKUP(AA$2,Rango_Admin_DailyPred,MATCH($F50,Rango_Admin_DailyPred_Primera,0)+1,0),"-")</f>
        <v>-</v>
      </c>
      <c r="AB50" s="162" t="str">
        <f aca="false">IFERROR(VLOOKUP(AB$2,Rango_Admin_DailyPred,MATCH($F50,Rango_Admin_DailyPred_Primera,0)+1,0),"-")</f>
        <v>-</v>
      </c>
      <c r="AC50" s="162" t="str">
        <f aca="false">IFERROR(VLOOKUP(AC$2,Rango_Admin_DailyPred,MATCH($F50,Rango_Admin_DailyPred_Primera,0)+1,0),"-")</f>
        <v>-</v>
      </c>
      <c r="AD50" s="162" t="str">
        <f aca="false">IFERROR(VLOOKUP(AD$2,Rango_Admin_DailyPred,MATCH($F50,Rango_Admin_DailyPred_Primera,0)+1,0),"-")</f>
        <v>-</v>
      </c>
      <c r="AE50" s="162" t="str">
        <f aca="false">IFERROR(VLOOKUP(AE$2,Rango_Admin_DailyPred,MATCH($F50,Rango_Admin_DailyPred_Primera,0)+1,0),"-")</f>
        <v>-</v>
      </c>
      <c r="AF50" s="162" t="str">
        <f aca="false">IFERROR(VLOOKUP(AF$2,Rango_Admin_DailyPred,MATCH($F50,Rango_Admin_DailyPred_Primera,0)+1,0),"-")</f>
        <v>-</v>
      </c>
      <c r="AG50" s="162" t="str">
        <f aca="false">IFERROR(VLOOKUP(AG$2,Rango_Admin_DailyPred,MATCH($F50,Rango_Admin_DailyPred_Primera,0)+1,0),"-")</f>
        <v>-</v>
      </c>
      <c r="AH50" s="162" t="str">
        <f aca="false">IFERROR(VLOOKUP(AH$2,Rango_Admin_DailyPred,MATCH($F50,Rango_Admin_DailyPred_Primera,0)+1,0),"-")</f>
        <v>-</v>
      </c>
      <c r="AI50" s="162" t="str">
        <f aca="false">IFERROR(VLOOKUP(AI$2,Rango_Admin_DailyPred,MATCH($F50,Rango_Admin_DailyPred_Primera,0)+1,0),"-")</f>
        <v>-</v>
      </c>
      <c r="AJ50" s="162" t="str">
        <f aca="false">IFERROR(VLOOKUP(AJ$2,Rango_Admin_DailyPred,MATCH($F50,Rango_Admin_DailyPred_Primera,0)+1,0),"-")</f>
        <v>-</v>
      </c>
      <c r="AK50" s="162" t="str">
        <f aca="false">IFERROR(VLOOKUP(AK$2,Rango_Admin_DailyPred,MATCH($F50,Rango_Admin_DailyPred_Primera,0)+1,0),"-")</f>
        <v>-</v>
      </c>
      <c r="AL50" s="162" t="str">
        <f aca="false">IFERROR(VLOOKUP(AL$2,Rango_Admin_DailyPred,MATCH($F50,Rango_Admin_DailyPred_Primera,0)+1,0),"-")</f>
        <v>-</v>
      </c>
      <c r="AM50" s="162" t="str">
        <f aca="false">IFERROR(VLOOKUP(AM$2,Rango_Admin_DailyPred,MATCH($F50,Rango_Admin_DailyPred_Primera,0)+1,0),"-")</f>
        <v>-</v>
      </c>
      <c r="AN50" s="244"/>
    </row>
    <row r="51" customFormat="false" ht="15" hidden="false" customHeight="false" outlineLevel="0" collapsed="false">
      <c r="D51" s="463"/>
      <c r="E51" s="479" t="str">
        <f aca="false">IFERROR(HLOOKUP(C51,Rango_Admin_DailyClas,3,FALSE()),"-")</f>
        <v>-</v>
      </c>
      <c r="F51" s="480" t="str">
        <f aca="false">IFERROR(HLOOKUP(C51,Rango_Admin_DailyClas,5,FALSE()),"-")</f>
        <v>-</v>
      </c>
      <c r="G51" s="51" t="str">
        <f aca="false">IFERROR(HLOOKUP(C51,Rango_Admin_DailyClas,4,FALSE()),"-")</f>
        <v>-</v>
      </c>
      <c r="H51" s="162" t="str">
        <f aca="false">IFERROR(VLOOKUP(H$2,Rango_Admin_DailyPred,MATCH($F51,Rango_Admin_DailyPred_Primera,0)+1,0),"-")</f>
        <v>-</v>
      </c>
      <c r="I51" s="162" t="str">
        <f aca="false">IFERROR(VLOOKUP(I$2,Rango_Admin_DailyPred,MATCH($F51,Rango_Admin_DailyPred_Primera,0)+1,0),"-")</f>
        <v>-</v>
      </c>
      <c r="J51" s="162" t="str">
        <f aca="false">IFERROR(VLOOKUP(J$2,Rango_Admin_DailyPred,MATCH($F51,Rango_Admin_DailyPred_Primera,0)+1,0),"-")</f>
        <v>-</v>
      </c>
      <c r="K51" s="162" t="str">
        <f aca="false">IFERROR(VLOOKUP(K$2,Rango_Admin_DailyPred,MATCH($F51,Rango_Admin_DailyPred_Primera,0)+1,0),"-")</f>
        <v>-</v>
      </c>
      <c r="L51" s="162" t="str">
        <f aca="false">IFERROR(VLOOKUP(L$2,Rango_Admin_DailyPred,MATCH($F51,Rango_Admin_DailyPred_Primera,0)+1,0),"-")</f>
        <v>-</v>
      </c>
      <c r="M51" s="162" t="str">
        <f aca="false">IFERROR(VLOOKUP(M$2,Rango_Admin_DailyPred,MATCH($F51,Rango_Admin_DailyPred_Primera,0)+1,0),"-")</f>
        <v>-</v>
      </c>
      <c r="N51" s="162" t="str">
        <f aca="false">IFERROR(VLOOKUP(N$2,Rango_Admin_DailyPred,MATCH($F51,Rango_Admin_DailyPred_Primera,0)+1,0),"-")</f>
        <v>-</v>
      </c>
      <c r="O51" s="162" t="str">
        <f aca="false">IFERROR(VLOOKUP(O$2,Rango_Admin_DailyPred,MATCH($F51,Rango_Admin_DailyPred_Primera,0)+1,0),"-")</f>
        <v>-</v>
      </c>
      <c r="P51" s="162" t="str">
        <f aca="false">IFERROR(VLOOKUP(P$2,Rango_Admin_DailyPred,MATCH($F51,Rango_Admin_DailyPred_Primera,0)+1,0),"-")</f>
        <v>-</v>
      </c>
      <c r="Q51" s="162" t="str">
        <f aca="false">IFERROR(VLOOKUP(Q$2,Rango_Admin_DailyPred,MATCH($F51,Rango_Admin_DailyPred_Primera,0)+1,0),"-")</f>
        <v>-</v>
      </c>
      <c r="R51" s="162" t="str">
        <f aca="false">IFERROR(VLOOKUP(R$2,Rango_Admin_DailyPred,MATCH($F51,Rango_Admin_DailyPred_Primera,0)+1,0),"-")</f>
        <v>-</v>
      </c>
      <c r="S51" s="162" t="str">
        <f aca="false">IFERROR(VLOOKUP(S$2,Rango_Admin_DailyPred,MATCH($F51,Rango_Admin_DailyPred_Primera,0)+1,0),"-")</f>
        <v>-</v>
      </c>
      <c r="T51" s="162" t="str">
        <f aca="false">IFERROR(VLOOKUP(T$2,Rango_Admin_DailyPred,MATCH($F51,Rango_Admin_DailyPred_Primera,0)+1,0),"-")</f>
        <v>-</v>
      </c>
      <c r="U51" s="162" t="str">
        <f aca="false">IFERROR(VLOOKUP(U$2,Rango_Admin_DailyPred,MATCH($F51,Rango_Admin_DailyPred_Primera,0)+1,0),"-")</f>
        <v>-</v>
      </c>
      <c r="V51" s="162" t="str">
        <f aca="false">IFERROR(VLOOKUP(V$2,Rango_Admin_DailyPred,MATCH($F51,Rango_Admin_DailyPred_Primera,0)+1,0),"-")</f>
        <v>-</v>
      </c>
      <c r="W51" s="162" t="str">
        <f aca="false">IFERROR(VLOOKUP(W$2,Rango_Admin_DailyPred,MATCH($F51,Rango_Admin_DailyPred_Primera,0)+1,0),"-")</f>
        <v>-</v>
      </c>
      <c r="X51" s="162" t="str">
        <f aca="false">IFERROR(VLOOKUP(X$2,Rango_Admin_DailyPred,MATCH($F51,Rango_Admin_DailyPred_Primera,0)+1,0),"-")</f>
        <v>-</v>
      </c>
      <c r="Y51" s="162" t="str">
        <f aca="false">IFERROR(VLOOKUP(Y$2,Rango_Admin_DailyPred,MATCH($F51,Rango_Admin_DailyPred_Primera,0)+1,0),"-")</f>
        <v>-</v>
      </c>
      <c r="Z51" s="162" t="str">
        <f aca="false">IFERROR(VLOOKUP(Z$2,Rango_Admin_DailyPred,MATCH($F51,Rango_Admin_DailyPred_Primera,0)+1,0),"-")</f>
        <v>-</v>
      </c>
      <c r="AA51" s="162" t="str">
        <f aca="false">IFERROR(VLOOKUP(AA$2,Rango_Admin_DailyPred,MATCH($F51,Rango_Admin_DailyPred_Primera,0)+1,0),"-")</f>
        <v>-</v>
      </c>
      <c r="AB51" s="162" t="str">
        <f aca="false">IFERROR(VLOOKUP(AB$2,Rango_Admin_DailyPred,MATCH($F51,Rango_Admin_DailyPred_Primera,0)+1,0),"-")</f>
        <v>-</v>
      </c>
      <c r="AC51" s="162" t="str">
        <f aca="false">IFERROR(VLOOKUP(AC$2,Rango_Admin_DailyPred,MATCH($F51,Rango_Admin_DailyPred_Primera,0)+1,0),"-")</f>
        <v>-</v>
      </c>
      <c r="AD51" s="162" t="str">
        <f aca="false">IFERROR(VLOOKUP(AD$2,Rango_Admin_DailyPred,MATCH($F51,Rango_Admin_DailyPred_Primera,0)+1,0),"-")</f>
        <v>-</v>
      </c>
      <c r="AE51" s="162" t="str">
        <f aca="false">IFERROR(VLOOKUP(AE$2,Rango_Admin_DailyPred,MATCH($F51,Rango_Admin_DailyPred_Primera,0)+1,0),"-")</f>
        <v>-</v>
      </c>
      <c r="AF51" s="162" t="str">
        <f aca="false">IFERROR(VLOOKUP(AF$2,Rango_Admin_DailyPred,MATCH($F51,Rango_Admin_DailyPred_Primera,0)+1,0),"-")</f>
        <v>-</v>
      </c>
      <c r="AG51" s="162" t="str">
        <f aca="false">IFERROR(VLOOKUP(AG$2,Rango_Admin_DailyPred,MATCH($F51,Rango_Admin_DailyPred_Primera,0)+1,0),"-")</f>
        <v>-</v>
      </c>
      <c r="AH51" s="162" t="str">
        <f aca="false">IFERROR(VLOOKUP(AH$2,Rango_Admin_DailyPred,MATCH($F51,Rango_Admin_DailyPred_Primera,0)+1,0),"-")</f>
        <v>-</v>
      </c>
      <c r="AI51" s="162" t="str">
        <f aca="false">IFERROR(VLOOKUP(AI$2,Rango_Admin_DailyPred,MATCH($F51,Rango_Admin_DailyPred_Primera,0)+1,0),"-")</f>
        <v>-</v>
      </c>
      <c r="AJ51" s="162" t="str">
        <f aca="false">IFERROR(VLOOKUP(AJ$2,Rango_Admin_DailyPred,MATCH($F51,Rango_Admin_DailyPred_Primera,0)+1,0),"-")</f>
        <v>-</v>
      </c>
      <c r="AK51" s="162" t="str">
        <f aca="false">IFERROR(VLOOKUP(AK$2,Rango_Admin_DailyPred,MATCH($F51,Rango_Admin_DailyPred_Primera,0)+1,0),"-")</f>
        <v>-</v>
      </c>
      <c r="AL51" s="162" t="str">
        <f aca="false">IFERROR(VLOOKUP(AL$2,Rango_Admin_DailyPred,MATCH($F51,Rango_Admin_DailyPred_Primera,0)+1,0),"-")</f>
        <v>-</v>
      </c>
      <c r="AM51" s="162" t="str">
        <f aca="false">IFERROR(VLOOKUP(AM$2,Rango_Admin_DailyPred,MATCH($F51,Rango_Admin_DailyPred_Primera,0)+1,0),"-")</f>
        <v>-</v>
      </c>
      <c r="AN51" s="244"/>
    </row>
    <row r="52" customFormat="false" ht="15" hidden="false" customHeight="false" outlineLevel="0" collapsed="false">
      <c r="D52" s="463"/>
      <c r="E52" s="479" t="str">
        <f aca="false">IFERROR(HLOOKUP(C52,Rango_Admin_DailyClas,3,FALSE()),"-")</f>
        <v>-</v>
      </c>
      <c r="F52" s="480" t="str">
        <f aca="false">IFERROR(HLOOKUP(C52,Rango_Admin_DailyClas,5,FALSE()),"-")</f>
        <v>-</v>
      </c>
      <c r="G52" s="51" t="str">
        <f aca="false">IFERROR(HLOOKUP(C52,Rango_Admin_DailyClas,4,FALSE()),"-")</f>
        <v>-</v>
      </c>
      <c r="H52" s="162" t="str">
        <f aca="false">IFERROR(VLOOKUP(H$2,Rango_Admin_DailyPred,MATCH($F52,Rango_Admin_DailyPred_Primera,0)+1,0),"-")</f>
        <v>-</v>
      </c>
      <c r="I52" s="162" t="str">
        <f aca="false">IFERROR(VLOOKUP(I$2,Rango_Admin_DailyPred,MATCH($F52,Rango_Admin_DailyPred_Primera,0)+1,0),"-")</f>
        <v>-</v>
      </c>
      <c r="J52" s="162" t="str">
        <f aca="false">IFERROR(VLOOKUP(J$2,Rango_Admin_DailyPred,MATCH($F52,Rango_Admin_DailyPred_Primera,0)+1,0),"-")</f>
        <v>-</v>
      </c>
      <c r="K52" s="162" t="str">
        <f aca="false">IFERROR(VLOOKUP(K$2,Rango_Admin_DailyPred,MATCH($F52,Rango_Admin_DailyPred_Primera,0)+1,0),"-")</f>
        <v>-</v>
      </c>
      <c r="L52" s="162" t="str">
        <f aca="false">IFERROR(VLOOKUP(L$2,Rango_Admin_DailyPred,MATCH($F52,Rango_Admin_DailyPred_Primera,0)+1,0),"-")</f>
        <v>-</v>
      </c>
      <c r="M52" s="162" t="str">
        <f aca="false">IFERROR(VLOOKUP(M$2,Rango_Admin_DailyPred,MATCH($F52,Rango_Admin_DailyPred_Primera,0)+1,0),"-")</f>
        <v>-</v>
      </c>
      <c r="N52" s="162" t="str">
        <f aca="false">IFERROR(VLOOKUP(N$2,Rango_Admin_DailyPred,MATCH($F52,Rango_Admin_DailyPred_Primera,0)+1,0),"-")</f>
        <v>-</v>
      </c>
      <c r="O52" s="162" t="str">
        <f aca="false">IFERROR(VLOOKUP(O$2,Rango_Admin_DailyPred,MATCH($F52,Rango_Admin_DailyPred_Primera,0)+1,0),"-")</f>
        <v>-</v>
      </c>
      <c r="P52" s="162" t="str">
        <f aca="false">IFERROR(VLOOKUP(P$2,Rango_Admin_DailyPred,MATCH($F52,Rango_Admin_DailyPred_Primera,0)+1,0),"-")</f>
        <v>-</v>
      </c>
      <c r="Q52" s="162" t="str">
        <f aca="false">IFERROR(VLOOKUP(Q$2,Rango_Admin_DailyPred,MATCH($F52,Rango_Admin_DailyPred_Primera,0)+1,0),"-")</f>
        <v>-</v>
      </c>
      <c r="R52" s="162" t="str">
        <f aca="false">IFERROR(VLOOKUP(R$2,Rango_Admin_DailyPred,MATCH($F52,Rango_Admin_DailyPred_Primera,0)+1,0),"-")</f>
        <v>-</v>
      </c>
      <c r="S52" s="162" t="str">
        <f aca="false">IFERROR(VLOOKUP(S$2,Rango_Admin_DailyPred,MATCH($F52,Rango_Admin_DailyPred_Primera,0)+1,0),"-")</f>
        <v>-</v>
      </c>
      <c r="T52" s="162" t="str">
        <f aca="false">IFERROR(VLOOKUP(T$2,Rango_Admin_DailyPred,MATCH($F52,Rango_Admin_DailyPred_Primera,0)+1,0),"-")</f>
        <v>-</v>
      </c>
      <c r="U52" s="162" t="str">
        <f aca="false">IFERROR(VLOOKUP(U$2,Rango_Admin_DailyPred,MATCH($F52,Rango_Admin_DailyPred_Primera,0)+1,0),"-")</f>
        <v>-</v>
      </c>
      <c r="V52" s="162" t="str">
        <f aca="false">IFERROR(VLOOKUP(V$2,Rango_Admin_DailyPred,MATCH($F52,Rango_Admin_DailyPred_Primera,0)+1,0),"-")</f>
        <v>-</v>
      </c>
      <c r="W52" s="162" t="str">
        <f aca="false">IFERROR(VLOOKUP(W$2,Rango_Admin_DailyPred,MATCH($F52,Rango_Admin_DailyPred_Primera,0)+1,0),"-")</f>
        <v>-</v>
      </c>
      <c r="X52" s="162" t="str">
        <f aca="false">IFERROR(VLOOKUP(X$2,Rango_Admin_DailyPred,MATCH($F52,Rango_Admin_DailyPred_Primera,0)+1,0),"-")</f>
        <v>-</v>
      </c>
      <c r="Y52" s="162" t="str">
        <f aca="false">IFERROR(VLOOKUP(Y$2,Rango_Admin_DailyPred,MATCH($F52,Rango_Admin_DailyPred_Primera,0)+1,0),"-")</f>
        <v>-</v>
      </c>
      <c r="Z52" s="162" t="str">
        <f aca="false">IFERROR(VLOOKUP(Z$2,Rango_Admin_DailyPred,MATCH($F52,Rango_Admin_DailyPred_Primera,0)+1,0),"-")</f>
        <v>-</v>
      </c>
      <c r="AA52" s="162" t="str">
        <f aca="false">IFERROR(VLOOKUP(AA$2,Rango_Admin_DailyPred,MATCH($F52,Rango_Admin_DailyPred_Primera,0)+1,0),"-")</f>
        <v>-</v>
      </c>
      <c r="AB52" s="162" t="str">
        <f aca="false">IFERROR(VLOOKUP(AB$2,Rango_Admin_DailyPred,MATCH($F52,Rango_Admin_DailyPred_Primera,0)+1,0),"-")</f>
        <v>-</v>
      </c>
      <c r="AC52" s="162" t="str">
        <f aca="false">IFERROR(VLOOKUP(AC$2,Rango_Admin_DailyPred,MATCH($F52,Rango_Admin_DailyPred_Primera,0)+1,0),"-")</f>
        <v>-</v>
      </c>
      <c r="AD52" s="162" t="str">
        <f aca="false">IFERROR(VLOOKUP(AD$2,Rango_Admin_DailyPred,MATCH($F52,Rango_Admin_DailyPred_Primera,0)+1,0),"-")</f>
        <v>-</v>
      </c>
      <c r="AE52" s="162" t="str">
        <f aca="false">IFERROR(VLOOKUP(AE$2,Rango_Admin_DailyPred,MATCH($F52,Rango_Admin_DailyPred_Primera,0)+1,0),"-")</f>
        <v>-</v>
      </c>
      <c r="AF52" s="162" t="str">
        <f aca="false">IFERROR(VLOOKUP(AF$2,Rango_Admin_DailyPred,MATCH($F52,Rango_Admin_DailyPred_Primera,0)+1,0),"-")</f>
        <v>-</v>
      </c>
      <c r="AG52" s="162" t="str">
        <f aca="false">IFERROR(VLOOKUP(AG$2,Rango_Admin_DailyPred,MATCH($F52,Rango_Admin_DailyPred_Primera,0)+1,0),"-")</f>
        <v>-</v>
      </c>
      <c r="AH52" s="162" t="str">
        <f aca="false">IFERROR(VLOOKUP(AH$2,Rango_Admin_DailyPred,MATCH($F52,Rango_Admin_DailyPred_Primera,0)+1,0),"-")</f>
        <v>-</v>
      </c>
      <c r="AI52" s="162" t="str">
        <f aca="false">IFERROR(VLOOKUP(AI$2,Rango_Admin_DailyPred,MATCH($F52,Rango_Admin_DailyPred_Primera,0)+1,0),"-")</f>
        <v>-</v>
      </c>
      <c r="AJ52" s="162" t="str">
        <f aca="false">IFERROR(VLOOKUP(AJ$2,Rango_Admin_DailyPred,MATCH($F52,Rango_Admin_DailyPred_Primera,0)+1,0),"-")</f>
        <v>-</v>
      </c>
      <c r="AK52" s="162" t="str">
        <f aca="false">IFERROR(VLOOKUP(AK$2,Rango_Admin_DailyPred,MATCH($F52,Rango_Admin_DailyPred_Primera,0)+1,0),"-")</f>
        <v>-</v>
      </c>
      <c r="AL52" s="162" t="str">
        <f aca="false">IFERROR(VLOOKUP(AL$2,Rango_Admin_DailyPred,MATCH($F52,Rango_Admin_DailyPred_Primera,0)+1,0),"-")</f>
        <v>-</v>
      </c>
      <c r="AM52" s="162" t="str">
        <f aca="false">IFERROR(VLOOKUP(AM$2,Rango_Admin_DailyPred,MATCH($F52,Rango_Admin_DailyPred_Primera,0)+1,0),"-")</f>
        <v>-</v>
      </c>
      <c r="AN52" s="244"/>
    </row>
    <row r="53" customFormat="false" ht="15" hidden="false" customHeight="false" outlineLevel="0" collapsed="false">
      <c r="D53" s="463"/>
      <c r="E53" s="479" t="str">
        <f aca="false">IFERROR(HLOOKUP(C53,Rango_Admin_DailyClas,3,FALSE()),"-")</f>
        <v>-</v>
      </c>
      <c r="F53" s="480" t="str">
        <f aca="false">IFERROR(HLOOKUP(C53,Rango_Admin_DailyClas,5,FALSE()),"-")</f>
        <v>-</v>
      </c>
      <c r="G53" s="51" t="str">
        <f aca="false">IFERROR(HLOOKUP(C53,Rango_Admin_DailyClas,4,FALSE()),"-")</f>
        <v>-</v>
      </c>
      <c r="H53" s="162" t="str">
        <f aca="false">IFERROR(VLOOKUP(H$2,Rango_Admin_DailyPred,MATCH($F53,Rango_Admin_DailyPred_Primera,0)+1,0),"-")</f>
        <v>-</v>
      </c>
      <c r="I53" s="162" t="str">
        <f aca="false">IFERROR(VLOOKUP(I$2,Rango_Admin_DailyPred,MATCH($F53,Rango_Admin_DailyPred_Primera,0)+1,0),"-")</f>
        <v>-</v>
      </c>
      <c r="J53" s="162" t="str">
        <f aca="false">IFERROR(VLOOKUP(J$2,Rango_Admin_DailyPred,MATCH($F53,Rango_Admin_DailyPred_Primera,0)+1,0),"-")</f>
        <v>-</v>
      </c>
      <c r="K53" s="162" t="str">
        <f aca="false">IFERROR(VLOOKUP(K$2,Rango_Admin_DailyPred,MATCH($F53,Rango_Admin_DailyPred_Primera,0)+1,0),"-")</f>
        <v>-</v>
      </c>
      <c r="L53" s="162" t="str">
        <f aca="false">IFERROR(VLOOKUP(L$2,Rango_Admin_DailyPred,MATCH($F53,Rango_Admin_DailyPred_Primera,0)+1,0),"-")</f>
        <v>-</v>
      </c>
      <c r="M53" s="162" t="str">
        <f aca="false">IFERROR(VLOOKUP(M$2,Rango_Admin_DailyPred,MATCH($F53,Rango_Admin_DailyPred_Primera,0)+1,0),"-")</f>
        <v>-</v>
      </c>
      <c r="N53" s="162" t="str">
        <f aca="false">IFERROR(VLOOKUP(N$2,Rango_Admin_DailyPred,MATCH($F53,Rango_Admin_DailyPred_Primera,0)+1,0),"-")</f>
        <v>-</v>
      </c>
      <c r="O53" s="162" t="str">
        <f aca="false">IFERROR(VLOOKUP(O$2,Rango_Admin_DailyPred,MATCH($F53,Rango_Admin_DailyPred_Primera,0)+1,0),"-")</f>
        <v>-</v>
      </c>
      <c r="P53" s="162" t="str">
        <f aca="false">IFERROR(VLOOKUP(P$2,Rango_Admin_DailyPred,MATCH($F53,Rango_Admin_DailyPred_Primera,0)+1,0),"-")</f>
        <v>-</v>
      </c>
      <c r="Q53" s="162" t="str">
        <f aca="false">IFERROR(VLOOKUP(Q$2,Rango_Admin_DailyPred,MATCH($F53,Rango_Admin_DailyPred_Primera,0)+1,0),"-")</f>
        <v>-</v>
      </c>
      <c r="R53" s="162" t="str">
        <f aca="false">IFERROR(VLOOKUP(R$2,Rango_Admin_DailyPred,MATCH($F53,Rango_Admin_DailyPred_Primera,0)+1,0),"-")</f>
        <v>-</v>
      </c>
      <c r="S53" s="162" t="str">
        <f aca="false">IFERROR(VLOOKUP(S$2,Rango_Admin_DailyPred,MATCH($F53,Rango_Admin_DailyPred_Primera,0)+1,0),"-")</f>
        <v>-</v>
      </c>
      <c r="T53" s="162" t="str">
        <f aca="false">IFERROR(VLOOKUP(T$2,Rango_Admin_DailyPred,MATCH($F53,Rango_Admin_DailyPred_Primera,0)+1,0),"-")</f>
        <v>-</v>
      </c>
      <c r="U53" s="162" t="str">
        <f aca="false">IFERROR(VLOOKUP(U$2,Rango_Admin_DailyPred,MATCH($F53,Rango_Admin_DailyPred_Primera,0)+1,0),"-")</f>
        <v>-</v>
      </c>
      <c r="V53" s="162" t="str">
        <f aca="false">IFERROR(VLOOKUP(V$2,Rango_Admin_DailyPred,MATCH($F53,Rango_Admin_DailyPred_Primera,0)+1,0),"-")</f>
        <v>-</v>
      </c>
      <c r="W53" s="162" t="str">
        <f aca="false">IFERROR(VLOOKUP(W$2,Rango_Admin_DailyPred,MATCH($F53,Rango_Admin_DailyPred_Primera,0)+1,0),"-")</f>
        <v>-</v>
      </c>
      <c r="X53" s="162" t="str">
        <f aca="false">IFERROR(VLOOKUP(X$2,Rango_Admin_DailyPred,MATCH($F53,Rango_Admin_DailyPred_Primera,0)+1,0),"-")</f>
        <v>-</v>
      </c>
      <c r="Y53" s="162" t="str">
        <f aca="false">IFERROR(VLOOKUP(Y$2,Rango_Admin_DailyPred,MATCH($F53,Rango_Admin_DailyPred_Primera,0)+1,0),"-")</f>
        <v>-</v>
      </c>
      <c r="Z53" s="162" t="str">
        <f aca="false">IFERROR(VLOOKUP(Z$2,Rango_Admin_DailyPred,MATCH($F53,Rango_Admin_DailyPred_Primera,0)+1,0),"-")</f>
        <v>-</v>
      </c>
      <c r="AA53" s="162" t="str">
        <f aca="false">IFERROR(VLOOKUP(AA$2,Rango_Admin_DailyPred,MATCH($F53,Rango_Admin_DailyPred_Primera,0)+1,0),"-")</f>
        <v>-</v>
      </c>
      <c r="AB53" s="162" t="str">
        <f aca="false">IFERROR(VLOOKUP(AB$2,Rango_Admin_DailyPred,MATCH($F53,Rango_Admin_DailyPred_Primera,0)+1,0),"-")</f>
        <v>-</v>
      </c>
      <c r="AC53" s="162" t="str">
        <f aca="false">IFERROR(VLOOKUP(AC$2,Rango_Admin_DailyPred,MATCH($F53,Rango_Admin_DailyPred_Primera,0)+1,0),"-")</f>
        <v>-</v>
      </c>
      <c r="AD53" s="162" t="str">
        <f aca="false">IFERROR(VLOOKUP(AD$2,Rango_Admin_DailyPred,MATCH($F53,Rango_Admin_DailyPred_Primera,0)+1,0),"-")</f>
        <v>-</v>
      </c>
      <c r="AE53" s="162" t="str">
        <f aca="false">IFERROR(VLOOKUP(AE$2,Rango_Admin_DailyPred,MATCH($F53,Rango_Admin_DailyPred_Primera,0)+1,0),"-")</f>
        <v>-</v>
      </c>
      <c r="AF53" s="162" t="str">
        <f aca="false">IFERROR(VLOOKUP(AF$2,Rango_Admin_DailyPred,MATCH($F53,Rango_Admin_DailyPred_Primera,0)+1,0),"-")</f>
        <v>-</v>
      </c>
      <c r="AG53" s="162" t="str">
        <f aca="false">IFERROR(VLOOKUP(AG$2,Rango_Admin_DailyPred,MATCH($F53,Rango_Admin_DailyPred_Primera,0)+1,0),"-")</f>
        <v>-</v>
      </c>
      <c r="AH53" s="162" t="str">
        <f aca="false">IFERROR(VLOOKUP(AH$2,Rango_Admin_DailyPred,MATCH($F53,Rango_Admin_DailyPred_Primera,0)+1,0),"-")</f>
        <v>-</v>
      </c>
      <c r="AI53" s="162" t="str">
        <f aca="false">IFERROR(VLOOKUP(AI$2,Rango_Admin_DailyPred,MATCH($F53,Rango_Admin_DailyPred_Primera,0)+1,0),"-")</f>
        <v>-</v>
      </c>
      <c r="AJ53" s="162" t="str">
        <f aca="false">IFERROR(VLOOKUP(AJ$2,Rango_Admin_DailyPred,MATCH($F53,Rango_Admin_DailyPred_Primera,0)+1,0),"-")</f>
        <v>-</v>
      </c>
      <c r="AK53" s="162" t="str">
        <f aca="false">IFERROR(VLOOKUP(AK$2,Rango_Admin_DailyPred,MATCH($F53,Rango_Admin_DailyPred_Primera,0)+1,0),"-")</f>
        <v>-</v>
      </c>
      <c r="AL53" s="162" t="str">
        <f aca="false">IFERROR(VLOOKUP(AL$2,Rango_Admin_DailyPred,MATCH($F53,Rango_Admin_DailyPred_Primera,0)+1,0),"-")</f>
        <v>-</v>
      </c>
      <c r="AM53" s="162" t="str">
        <f aca="false">IFERROR(VLOOKUP(AM$2,Rango_Admin_DailyPred,MATCH($F53,Rango_Admin_DailyPred_Primera,0)+1,0),"-")</f>
        <v>-</v>
      </c>
      <c r="AN53" s="244"/>
    </row>
    <row r="54" customFormat="false" ht="15" hidden="false" customHeight="false" outlineLevel="0" collapsed="false">
      <c r="D54" s="463"/>
      <c r="E54" s="479" t="str">
        <f aca="false">IFERROR(HLOOKUP(C54,Rango_Admin_DailyClas,3,FALSE()),"-")</f>
        <v>-</v>
      </c>
      <c r="F54" s="480" t="str">
        <f aca="false">IFERROR(HLOOKUP(C54,Rango_Admin_DailyClas,5,FALSE()),"-")</f>
        <v>-</v>
      </c>
      <c r="G54" s="51" t="str">
        <f aca="false">IFERROR(HLOOKUP(C54,Rango_Admin_DailyClas,4,FALSE()),"-")</f>
        <v>-</v>
      </c>
      <c r="H54" s="162" t="str">
        <f aca="false">IFERROR(VLOOKUP(H$2,Rango_Admin_DailyPred,MATCH($F54,Rango_Admin_DailyPred_Primera,0)+1,0),"-")</f>
        <v>-</v>
      </c>
      <c r="I54" s="162" t="str">
        <f aca="false">IFERROR(VLOOKUP(I$2,Rango_Admin_DailyPred,MATCH($F54,Rango_Admin_DailyPred_Primera,0)+1,0),"-")</f>
        <v>-</v>
      </c>
      <c r="J54" s="162" t="str">
        <f aca="false">IFERROR(VLOOKUP(J$2,Rango_Admin_DailyPred,MATCH($F54,Rango_Admin_DailyPred_Primera,0)+1,0),"-")</f>
        <v>-</v>
      </c>
      <c r="K54" s="162" t="str">
        <f aca="false">IFERROR(VLOOKUP(K$2,Rango_Admin_DailyPred,MATCH($F54,Rango_Admin_DailyPred_Primera,0)+1,0),"-")</f>
        <v>-</v>
      </c>
      <c r="L54" s="162" t="str">
        <f aca="false">IFERROR(VLOOKUP(L$2,Rango_Admin_DailyPred,MATCH($F54,Rango_Admin_DailyPred_Primera,0)+1,0),"-")</f>
        <v>-</v>
      </c>
      <c r="M54" s="162" t="str">
        <f aca="false">IFERROR(VLOOKUP(M$2,Rango_Admin_DailyPred,MATCH($F54,Rango_Admin_DailyPred_Primera,0)+1,0),"-")</f>
        <v>-</v>
      </c>
      <c r="N54" s="162" t="str">
        <f aca="false">IFERROR(VLOOKUP(N$2,Rango_Admin_DailyPred,MATCH($F54,Rango_Admin_DailyPred_Primera,0)+1,0),"-")</f>
        <v>-</v>
      </c>
      <c r="O54" s="162" t="str">
        <f aca="false">IFERROR(VLOOKUP(O$2,Rango_Admin_DailyPred,MATCH($F54,Rango_Admin_DailyPred_Primera,0)+1,0),"-")</f>
        <v>-</v>
      </c>
      <c r="P54" s="162" t="str">
        <f aca="false">IFERROR(VLOOKUP(P$2,Rango_Admin_DailyPred,MATCH($F54,Rango_Admin_DailyPred_Primera,0)+1,0),"-")</f>
        <v>-</v>
      </c>
      <c r="Q54" s="162" t="str">
        <f aca="false">IFERROR(VLOOKUP(Q$2,Rango_Admin_DailyPred,MATCH($F54,Rango_Admin_DailyPred_Primera,0)+1,0),"-")</f>
        <v>-</v>
      </c>
      <c r="R54" s="162" t="str">
        <f aca="false">IFERROR(VLOOKUP(R$2,Rango_Admin_DailyPred,MATCH($F54,Rango_Admin_DailyPred_Primera,0)+1,0),"-")</f>
        <v>-</v>
      </c>
      <c r="S54" s="162" t="str">
        <f aca="false">IFERROR(VLOOKUP(S$2,Rango_Admin_DailyPred,MATCH($F54,Rango_Admin_DailyPred_Primera,0)+1,0),"-")</f>
        <v>-</v>
      </c>
      <c r="T54" s="162" t="str">
        <f aca="false">IFERROR(VLOOKUP(T$2,Rango_Admin_DailyPred,MATCH($F54,Rango_Admin_DailyPred_Primera,0)+1,0),"-")</f>
        <v>-</v>
      </c>
      <c r="U54" s="162" t="str">
        <f aca="false">IFERROR(VLOOKUP(U$2,Rango_Admin_DailyPred,MATCH($F54,Rango_Admin_DailyPred_Primera,0)+1,0),"-")</f>
        <v>-</v>
      </c>
      <c r="V54" s="162" t="str">
        <f aca="false">IFERROR(VLOOKUP(V$2,Rango_Admin_DailyPred,MATCH($F54,Rango_Admin_DailyPred_Primera,0)+1,0),"-")</f>
        <v>-</v>
      </c>
      <c r="W54" s="162" t="str">
        <f aca="false">IFERROR(VLOOKUP(W$2,Rango_Admin_DailyPred,MATCH($F54,Rango_Admin_DailyPred_Primera,0)+1,0),"-")</f>
        <v>-</v>
      </c>
      <c r="X54" s="162" t="str">
        <f aca="false">IFERROR(VLOOKUP(X$2,Rango_Admin_DailyPred,MATCH($F54,Rango_Admin_DailyPred_Primera,0)+1,0),"-")</f>
        <v>-</v>
      </c>
      <c r="Y54" s="162" t="str">
        <f aca="false">IFERROR(VLOOKUP(Y$2,Rango_Admin_DailyPred,MATCH($F54,Rango_Admin_DailyPred_Primera,0)+1,0),"-")</f>
        <v>-</v>
      </c>
      <c r="Z54" s="162" t="str">
        <f aca="false">IFERROR(VLOOKUP(Z$2,Rango_Admin_DailyPred,MATCH($F54,Rango_Admin_DailyPred_Primera,0)+1,0),"-")</f>
        <v>-</v>
      </c>
      <c r="AA54" s="162" t="str">
        <f aca="false">IFERROR(VLOOKUP(AA$2,Rango_Admin_DailyPred,MATCH($F54,Rango_Admin_DailyPred_Primera,0)+1,0),"-")</f>
        <v>-</v>
      </c>
      <c r="AB54" s="162" t="str">
        <f aca="false">IFERROR(VLOOKUP(AB$2,Rango_Admin_DailyPred,MATCH($F54,Rango_Admin_DailyPred_Primera,0)+1,0),"-")</f>
        <v>-</v>
      </c>
      <c r="AC54" s="162" t="str">
        <f aca="false">IFERROR(VLOOKUP(AC$2,Rango_Admin_DailyPred,MATCH($F54,Rango_Admin_DailyPred_Primera,0)+1,0),"-")</f>
        <v>-</v>
      </c>
      <c r="AD54" s="162" t="str">
        <f aca="false">IFERROR(VLOOKUP(AD$2,Rango_Admin_DailyPred,MATCH($F54,Rango_Admin_DailyPred_Primera,0)+1,0),"-")</f>
        <v>-</v>
      </c>
      <c r="AE54" s="162" t="str">
        <f aca="false">IFERROR(VLOOKUP(AE$2,Rango_Admin_DailyPred,MATCH($F54,Rango_Admin_DailyPred_Primera,0)+1,0),"-")</f>
        <v>-</v>
      </c>
      <c r="AF54" s="162" t="str">
        <f aca="false">IFERROR(VLOOKUP(AF$2,Rango_Admin_DailyPred,MATCH($F54,Rango_Admin_DailyPred_Primera,0)+1,0),"-")</f>
        <v>-</v>
      </c>
      <c r="AG54" s="162" t="str">
        <f aca="false">IFERROR(VLOOKUP(AG$2,Rango_Admin_DailyPred,MATCH($F54,Rango_Admin_DailyPred_Primera,0)+1,0),"-")</f>
        <v>-</v>
      </c>
      <c r="AH54" s="162" t="str">
        <f aca="false">IFERROR(VLOOKUP(AH$2,Rango_Admin_DailyPred,MATCH($F54,Rango_Admin_DailyPred_Primera,0)+1,0),"-")</f>
        <v>-</v>
      </c>
      <c r="AI54" s="162" t="str">
        <f aca="false">IFERROR(VLOOKUP(AI$2,Rango_Admin_DailyPred,MATCH($F54,Rango_Admin_DailyPred_Primera,0)+1,0),"-")</f>
        <v>-</v>
      </c>
      <c r="AJ54" s="162" t="str">
        <f aca="false">IFERROR(VLOOKUP(AJ$2,Rango_Admin_DailyPred,MATCH($F54,Rango_Admin_DailyPred_Primera,0)+1,0),"-")</f>
        <v>-</v>
      </c>
      <c r="AK54" s="162" t="str">
        <f aca="false">IFERROR(VLOOKUP(AK$2,Rango_Admin_DailyPred,MATCH($F54,Rango_Admin_DailyPred_Primera,0)+1,0),"-")</f>
        <v>-</v>
      </c>
      <c r="AL54" s="162" t="str">
        <f aca="false">IFERROR(VLOOKUP(AL$2,Rango_Admin_DailyPred,MATCH($F54,Rango_Admin_DailyPred_Primera,0)+1,0),"-")</f>
        <v>-</v>
      </c>
      <c r="AM54" s="162" t="str">
        <f aca="false">IFERROR(VLOOKUP(AM$2,Rango_Admin_DailyPred,MATCH($F54,Rango_Admin_DailyPred_Primera,0)+1,0),"-")</f>
        <v>-</v>
      </c>
      <c r="AN54" s="244"/>
    </row>
    <row r="55" customFormat="false" ht="15" hidden="false" customHeight="false" outlineLevel="0" collapsed="false">
      <c r="D55" s="463"/>
      <c r="E55" s="479" t="str">
        <f aca="false">IFERROR(HLOOKUP(C55,Rango_Admin_DailyClas,3,FALSE()),"-")</f>
        <v>-</v>
      </c>
      <c r="F55" s="480" t="str">
        <f aca="false">IFERROR(HLOOKUP(C55,Rango_Admin_DailyClas,5,FALSE()),"-")</f>
        <v>-</v>
      </c>
      <c r="G55" s="51" t="str">
        <f aca="false">IFERROR(HLOOKUP(C55,Rango_Admin_DailyClas,4,FALSE()),"-")</f>
        <v>-</v>
      </c>
      <c r="H55" s="162" t="str">
        <f aca="false">IFERROR(VLOOKUP(H$2,Rango_Admin_DailyPred,MATCH($F55,Rango_Admin_DailyPred_Primera,0)+1,0),"-")</f>
        <v>-</v>
      </c>
      <c r="I55" s="162" t="str">
        <f aca="false">IFERROR(VLOOKUP(I$2,Rango_Admin_DailyPred,MATCH($F55,Rango_Admin_DailyPred_Primera,0)+1,0),"-")</f>
        <v>-</v>
      </c>
      <c r="J55" s="162" t="str">
        <f aca="false">IFERROR(VLOOKUP(J$2,Rango_Admin_DailyPred,MATCH($F55,Rango_Admin_DailyPred_Primera,0)+1,0),"-")</f>
        <v>-</v>
      </c>
      <c r="K55" s="162" t="str">
        <f aca="false">IFERROR(VLOOKUP(K$2,Rango_Admin_DailyPred,MATCH($F55,Rango_Admin_DailyPred_Primera,0)+1,0),"-")</f>
        <v>-</v>
      </c>
      <c r="L55" s="162" t="str">
        <f aca="false">IFERROR(VLOOKUP(L$2,Rango_Admin_DailyPred,MATCH($F55,Rango_Admin_DailyPred_Primera,0)+1,0),"-")</f>
        <v>-</v>
      </c>
      <c r="M55" s="162" t="str">
        <f aca="false">IFERROR(VLOOKUP(M$2,Rango_Admin_DailyPred,MATCH($F55,Rango_Admin_DailyPred_Primera,0)+1,0),"-")</f>
        <v>-</v>
      </c>
      <c r="N55" s="162" t="str">
        <f aca="false">IFERROR(VLOOKUP(N$2,Rango_Admin_DailyPred,MATCH($F55,Rango_Admin_DailyPred_Primera,0)+1,0),"-")</f>
        <v>-</v>
      </c>
      <c r="O55" s="162" t="str">
        <f aca="false">IFERROR(VLOOKUP(O$2,Rango_Admin_DailyPred,MATCH($F55,Rango_Admin_DailyPred_Primera,0)+1,0),"-")</f>
        <v>-</v>
      </c>
      <c r="P55" s="162" t="str">
        <f aca="false">IFERROR(VLOOKUP(P$2,Rango_Admin_DailyPred,MATCH($F55,Rango_Admin_DailyPred_Primera,0)+1,0),"-")</f>
        <v>-</v>
      </c>
      <c r="Q55" s="162" t="str">
        <f aca="false">IFERROR(VLOOKUP(Q$2,Rango_Admin_DailyPred,MATCH($F55,Rango_Admin_DailyPred_Primera,0)+1,0),"-")</f>
        <v>-</v>
      </c>
      <c r="R55" s="162" t="str">
        <f aca="false">IFERROR(VLOOKUP(R$2,Rango_Admin_DailyPred,MATCH($F55,Rango_Admin_DailyPred_Primera,0)+1,0),"-")</f>
        <v>-</v>
      </c>
      <c r="S55" s="162" t="str">
        <f aca="false">IFERROR(VLOOKUP(S$2,Rango_Admin_DailyPred,MATCH($F55,Rango_Admin_DailyPred_Primera,0)+1,0),"-")</f>
        <v>-</v>
      </c>
      <c r="T55" s="162" t="str">
        <f aca="false">IFERROR(VLOOKUP(T$2,Rango_Admin_DailyPred,MATCH($F55,Rango_Admin_DailyPred_Primera,0)+1,0),"-")</f>
        <v>-</v>
      </c>
      <c r="U55" s="162" t="str">
        <f aca="false">IFERROR(VLOOKUP(U$2,Rango_Admin_DailyPred,MATCH($F55,Rango_Admin_DailyPred_Primera,0)+1,0),"-")</f>
        <v>-</v>
      </c>
      <c r="V55" s="162" t="str">
        <f aca="false">IFERROR(VLOOKUP(V$2,Rango_Admin_DailyPred,MATCH($F55,Rango_Admin_DailyPred_Primera,0)+1,0),"-")</f>
        <v>-</v>
      </c>
      <c r="W55" s="162" t="str">
        <f aca="false">IFERROR(VLOOKUP(W$2,Rango_Admin_DailyPred,MATCH($F55,Rango_Admin_DailyPred_Primera,0)+1,0),"-")</f>
        <v>-</v>
      </c>
      <c r="X55" s="162" t="str">
        <f aca="false">IFERROR(VLOOKUP(X$2,Rango_Admin_DailyPred,MATCH($F55,Rango_Admin_DailyPred_Primera,0)+1,0),"-")</f>
        <v>-</v>
      </c>
      <c r="Y55" s="162" t="str">
        <f aca="false">IFERROR(VLOOKUP(Y$2,Rango_Admin_DailyPred,MATCH($F55,Rango_Admin_DailyPred_Primera,0)+1,0),"-")</f>
        <v>-</v>
      </c>
      <c r="Z55" s="162" t="str">
        <f aca="false">IFERROR(VLOOKUP(Z$2,Rango_Admin_DailyPred,MATCH($F55,Rango_Admin_DailyPred_Primera,0)+1,0),"-")</f>
        <v>-</v>
      </c>
      <c r="AA55" s="162" t="str">
        <f aca="false">IFERROR(VLOOKUP(AA$2,Rango_Admin_DailyPred,MATCH($F55,Rango_Admin_DailyPred_Primera,0)+1,0),"-")</f>
        <v>-</v>
      </c>
      <c r="AB55" s="162" t="str">
        <f aca="false">IFERROR(VLOOKUP(AB$2,Rango_Admin_DailyPred,MATCH($F55,Rango_Admin_DailyPred_Primera,0)+1,0),"-")</f>
        <v>-</v>
      </c>
      <c r="AC55" s="162" t="str">
        <f aca="false">IFERROR(VLOOKUP(AC$2,Rango_Admin_DailyPred,MATCH($F55,Rango_Admin_DailyPred_Primera,0)+1,0),"-")</f>
        <v>-</v>
      </c>
      <c r="AD55" s="162" t="str">
        <f aca="false">IFERROR(VLOOKUP(AD$2,Rango_Admin_DailyPred,MATCH($F55,Rango_Admin_DailyPred_Primera,0)+1,0),"-")</f>
        <v>-</v>
      </c>
      <c r="AE55" s="162" t="str">
        <f aca="false">IFERROR(VLOOKUP(AE$2,Rango_Admin_DailyPred,MATCH($F55,Rango_Admin_DailyPred_Primera,0)+1,0),"-")</f>
        <v>-</v>
      </c>
      <c r="AF55" s="162" t="str">
        <f aca="false">IFERROR(VLOOKUP(AF$2,Rango_Admin_DailyPred,MATCH($F55,Rango_Admin_DailyPred_Primera,0)+1,0),"-")</f>
        <v>-</v>
      </c>
      <c r="AG55" s="162" t="str">
        <f aca="false">IFERROR(VLOOKUP(AG$2,Rango_Admin_DailyPred,MATCH($F55,Rango_Admin_DailyPred_Primera,0)+1,0),"-")</f>
        <v>-</v>
      </c>
      <c r="AH55" s="162" t="str">
        <f aca="false">IFERROR(VLOOKUP(AH$2,Rango_Admin_DailyPred,MATCH($F55,Rango_Admin_DailyPred_Primera,0)+1,0),"-")</f>
        <v>-</v>
      </c>
      <c r="AI55" s="162" t="str">
        <f aca="false">IFERROR(VLOOKUP(AI$2,Rango_Admin_DailyPred,MATCH($F55,Rango_Admin_DailyPred_Primera,0)+1,0),"-")</f>
        <v>-</v>
      </c>
      <c r="AJ55" s="162" t="str">
        <f aca="false">IFERROR(VLOOKUP(AJ$2,Rango_Admin_DailyPred,MATCH($F55,Rango_Admin_DailyPred_Primera,0)+1,0),"-")</f>
        <v>-</v>
      </c>
      <c r="AK55" s="162" t="str">
        <f aca="false">IFERROR(VLOOKUP(AK$2,Rango_Admin_DailyPred,MATCH($F55,Rango_Admin_DailyPred_Primera,0)+1,0),"-")</f>
        <v>-</v>
      </c>
      <c r="AL55" s="162" t="str">
        <f aca="false">IFERROR(VLOOKUP(AL$2,Rango_Admin_DailyPred,MATCH($F55,Rango_Admin_DailyPred_Primera,0)+1,0),"-")</f>
        <v>-</v>
      </c>
      <c r="AM55" s="162" t="str">
        <f aca="false">IFERROR(VLOOKUP(AM$2,Rango_Admin_DailyPred,MATCH($F55,Rango_Admin_DailyPred_Primera,0)+1,0),"-")</f>
        <v>-</v>
      </c>
      <c r="AN55" s="244"/>
    </row>
    <row r="56" customFormat="false" ht="15" hidden="false" customHeight="false" outlineLevel="0" collapsed="false">
      <c r="D56" s="463"/>
      <c r="E56" s="479" t="str">
        <f aca="false">IFERROR(HLOOKUP(C56,Rango_Admin_DailyClas,3,FALSE()),"-")</f>
        <v>-</v>
      </c>
      <c r="F56" s="480" t="str">
        <f aca="false">IFERROR(HLOOKUP(C56,Rango_Admin_DailyClas,5,FALSE()),"-")</f>
        <v>-</v>
      </c>
      <c r="G56" s="51" t="str">
        <f aca="false">IFERROR(HLOOKUP(C56,Rango_Admin_DailyClas,4,FALSE()),"-")</f>
        <v>-</v>
      </c>
      <c r="H56" s="162" t="str">
        <f aca="false">IFERROR(VLOOKUP(H$2,Rango_Admin_DailyPred,MATCH($F56,Rango_Admin_DailyPred_Primera,0)+1,0),"-")</f>
        <v>-</v>
      </c>
      <c r="I56" s="162" t="str">
        <f aca="false">IFERROR(VLOOKUP(I$2,Rango_Admin_DailyPred,MATCH($F56,Rango_Admin_DailyPred_Primera,0)+1,0),"-")</f>
        <v>-</v>
      </c>
      <c r="J56" s="162" t="str">
        <f aca="false">IFERROR(VLOOKUP(J$2,Rango_Admin_DailyPred,MATCH($F56,Rango_Admin_DailyPred_Primera,0)+1,0),"-")</f>
        <v>-</v>
      </c>
      <c r="K56" s="162" t="str">
        <f aca="false">IFERROR(VLOOKUP(K$2,Rango_Admin_DailyPred,MATCH($F56,Rango_Admin_DailyPred_Primera,0)+1,0),"-")</f>
        <v>-</v>
      </c>
      <c r="L56" s="162" t="str">
        <f aca="false">IFERROR(VLOOKUP(L$2,Rango_Admin_DailyPred,MATCH($F56,Rango_Admin_DailyPred_Primera,0)+1,0),"-")</f>
        <v>-</v>
      </c>
      <c r="M56" s="162" t="str">
        <f aca="false">IFERROR(VLOOKUP(M$2,Rango_Admin_DailyPred,MATCH($F56,Rango_Admin_DailyPred_Primera,0)+1,0),"-")</f>
        <v>-</v>
      </c>
      <c r="N56" s="162" t="str">
        <f aca="false">IFERROR(VLOOKUP(N$2,Rango_Admin_DailyPred,MATCH($F56,Rango_Admin_DailyPred_Primera,0)+1,0),"-")</f>
        <v>-</v>
      </c>
      <c r="O56" s="162" t="str">
        <f aca="false">IFERROR(VLOOKUP(O$2,Rango_Admin_DailyPred,MATCH($F56,Rango_Admin_DailyPred_Primera,0)+1,0),"-")</f>
        <v>-</v>
      </c>
      <c r="P56" s="162" t="str">
        <f aca="false">IFERROR(VLOOKUP(P$2,Rango_Admin_DailyPred,MATCH($F56,Rango_Admin_DailyPred_Primera,0)+1,0),"-")</f>
        <v>-</v>
      </c>
      <c r="Q56" s="162" t="str">
        <f aca="false">IFERROR(VLOOKUP(Q$2,Rango_Admin_DailyPred,MATCH($F56,Rango_Admin_DailyPred_Primera,0)+1,0),"-")</f>
        <v>-</v>
      </c>
      <c r="R56" s="162" t="str">
        <f aca="false">IFERROR(VLOOKUP(R$2,Rango_Admin_DailyPred,MATCH($F56,Rango_Admin_DailyPred_Primera,0)+1,0),"-")</f>
        <v>-</v>
      </c>
      <c r="S56" s="162" t="str">
        <f aca="false">IFERROR(VLOOKUP(S$2,Rango_Admin_DailyPred,MATCH($F56,Rango_Admin_DailyPred_Primera,0)+1,0),"-")</f>
        <v>-</v>
      </c>
      <c r="T56" s="162" t="str">
        <f aca="false">IFERROR(VLOOKUP(T$2,Rango_Admin_DailyPred,MATCH($F56,Rango_Admin_DailyPred_Primera,0)+1,0),"-")</f>
        <v>-</v>
      </c>
      <c r="U56" s="162" t="str">
        <f aca="false">IFERROR(VLOOKUP(U$2,Rango_Admin_DailyPred,MATCH($F56,Rango_Admin_DailyPred_Primera,0)+1,0),"-")</f>
        <v>-</v>
      </c>
      <c r="V56" s="162" t="str">
        <f aca="false">IFERROR(VLOOKUP(V$2,Rango_Admin_DailyPred,MATCH($F56,Rango_Admin_DailyPred_Primera,0)+1,0),"-")</f>
        <v>-</v>
      </c>
      <c r="W56" s="162" t="str">
        <f aca="false">IFERROR(VLOOKUP(W$2,Rango_Admin_DailyPred,MATCH($F56,Rango_Admin_DailyPred_Primera,0)+1,0),"-")</f>
        <v>-</v>
      </c>
      <c r="X56" s="162" t="str">
        <f aca="false">IFERROR(VLOOKUP(X$2,Rango_Admin_DailyPred,MATCH($F56,Rango_Admin_DailyPred_Primera,0)+1,0),"-")</f>
        <v>-</v>
      </c>
      <c r="Y56" s="162" t="str">
        <f aca="false">IFERROR(VLOOKUP(Y$2,Rango_Admin_DailyPred,MATCH($F56,Rango_Admin_DailyPred_Primera,0)+1,0),"-")</f>
        <v>-</v>
      </c>
      <c r="Z56" s="162" t="str">
        <f aca="false">IFERROR(VLOOKUP(Z$2,Rango_Admin_DailyPred,MATCH($F56,Rango_Admin_DailyPred_Primera,0)+1,0),"-")</f>
        <v>-</v>
      </c>
      <c r="AA56" s="162" t="str">
        <f aca="false">IFERROR(VLOOKUP(AA$2,Rango_Admin_DailyPred,MATCH($F56,Rango_Admin_DailyPred_Primera,0)+1,0),"-")</f>
        <v>-</v>
      </c>
      <c r="AB56" s="162" t="str">
        <f aca="false">IFERROR(VLOOKUP(AB$2,Rango_Admin_DailyPred,MATCH($F56,Rango_Admin_DailyPred_Primera,0)+1,0),"-")</f>
        <v>-</v>
      </c>
      <c r="AC56" s="162" t="str">
        <f aca="false">IFERROR(VLOOKUP(AC$2,Rango_Admin_DailyPred,MATCH($F56,Rango_Admin_DailyPred_Primera,0)+1,0),"-")</f>
        <v>-</v>
      </c>
      <c r="AD56" s="162" t="str">
        <f aca="false">IFERROR(VLOOKUP(AD$2,Rango_Admin_DailyPred,MATCH($F56,Rango_Admin_DailyPred_Primera,0)+1,0),"-")</f>
        <v>-</v>
      </c>
      <c r="AE56" s="162" t="str">
        <f aca="false">IFERROR(VLOOKUP(AE$2,Rango_Admin_DailyPred,MATCH($F56,Rango_Admin_DailyPred_Primera,0)+1,0),"-")</f>
        <v>-</v>
      </c>
      <c r="AF56" s="162" t="str">
        <f aca="false">IFERROR(VLOOKUP(AF$2,Rango_Admin_DailyPred,MATCH($F56,Rango_Admin_DailyPred_Primera,0)+1,0),"-")</f>
        <v>-</v>
      </c>
      <c r="AG56" s="162" t="str">
        <f aca="false">IFERROR(VLOOKUP(AG$2,Rango_Admin_DailyPred,MATCH($F56,Rango_Admin_DailyPred_Primera,0)+1,0),"-")</f>
        <v>-</v>
      </c>
      <c r="AH56" s="162" t="str">
        <f aca="false">IFERROR(VLOOKUP(AH$2,Rango_Admin_DailyPred,MATCH($F56,Rango_Admin_DailyPred_Primera,0)+1,0),"-")</f>
        <v>-</v>
      </c>
      <c r="AI56" s="162" t="str">
        <f aca="false">IFERROR(VLOOKUP(AI$2,Rango_Admin_DailyPred,MATCH($F56,Rango_Admin_DailyPred_Primera,0)+1,0),"-")</f>
        <v>-</v>
      </c>
      <c r="AJ56" s="162" t="str">
        <f aca="false">IFERROR(VLOOKUP(AJ$2,Rango_Admin_DailyPred,MATCH($F56,Rango_Admin_DailyPred_Primera,0)+1,0),"-")</f>
        <v>-</v>
      </c>
      <c r="AK56" s="162" t="str">
        <f aca="false">IFERROR(VLOOKUP(AK$2,Rango_Admin_DailyPred,MATCH($F56,Rango_Admin_DailyPred_Primera,0)+1,0),"-")</f>
        <v>-</v>
      </c>
      <c r="AL56" s="162" t="str">
        <f aca="false">IFERROR(VLOOKUP(AL$2,Rango_Admin_DailyPred,MATCH($F56,Rango_Admin_DailyPred_Primera,0)+1,0),"-")</f>
        <v>-</v>
      </c>
      <c r="AM56" s="162" t="str">
        <f aca="false">IFERROR(VLOOKUP(AM$2,Rango_Admin_DailyPred,MATCH($F56,Rango_Admin_DailyPred_Primera,0)+1,0),"-")</f>
        <v>-</v>
      </c>
      <c r="AN56" s="244"/>
    </row>
    <row r="57" customFormat="false" ht="15" hidden="false" customHeight="false" outlineLevel="0" collapsed="false">
      <c r="D57" s="463"/>
      <c r="E57" s="479" t="str">
        <f aca="false">IFERROR(HLOOKUP(C57,Rango_Admin_DailyClas,3,FALSE()),"-")</f>
        <v>-</v>
      </c>
      <c r="F57" s="480" t="str">
        <f aca="false">IFERROR(HLOOKUP(C57,Rango_Admin_DailyClas,5,FALSE()),"-")</f>
        <v>-</v>
      </c>
      <c r="G57" s="51" t="str">
        <f aca="false">IFERROR(HLOOKUP(C57,Rango_Admin_DailyClas,4,FALSE()),"-")</f>
        <v>-</v>
      </c>
      <c r="H57" s="162" t="str">
        <f aca="false">IFERROR(VLOOKUP(H$2,Rango_Admin_DailyPred,MATCH($F57,Rango_Admin_DailyPred_Primera,0)+1,0),"-")</f>
        <v>-</v>
      </c>
      <c r="I57" s="162" t="str">
        <f aca="false">IFERROR(VLOOKUP(I$2,Rango_Admin_DailyPred,MATCH($F57,Rango_Admin_DailyPred_Primera,0)+1,0),"-")</f>
        <v>-</v>
      </c>
      <c r="J57" s="162" t="str">
        <f aca="false">IFERROR(VLOOKUP(J$2,Rango_Admin_DailyPred,MATCH($F57,Rango_Admin_DailyPred_Primera,0)+1,0),"-")</f>
        <v>-</v>
      </c>
      <c r="K57" s="162" t="str">
        <f aca="false">IFERROR(VLOOKUP(K$2,Rango_Admin_DailyPred,MATCH($F57,Rango_Admin_DailyPred_Primera,0)+1,0),"-")</f>
        <v>-</v>
      </c>
      <c r="L57" s="162" t="str">
        <f aca="false">IFERROR(VLOOKUP(L$2,Rango_Admin_DailyPred,MATCH($F57,Rango_Admin_DailyPred_Primera,0)+1,0),"-")</f>
        <v>-</v>
      </c>
      <c r="M57" s="162" t="str">
        <f aca="false">IFERROR(VLOOKUP(M$2,Rango_Admin_DailyPred,MATCH($F57,Rango_Admin_DailyPred_Primera,0)+1,0),"-")</f>
        <v>-</v>
      </c>
      <c r="N57" s="162" t="str">
        <f aca="false">IFERROR(VLOOKUP(N$2,Rango_Admin_DailyPred,MATCH($F57,Rango_Admin_DailyPred_Primera,0)+1,0),"-")</f>
        <v>-</v>
      </c>
      <c r="O57" s="162" t="str">
        <f aca="false">IFERROR(VLOOKUP(O$2,Rango_Admin_DailyPred,MATCH($F57,Rango_Admin_DailyPred_Primera,0)+1,0),"-")</f>
        <v>-</v>
      </c>
      <c r="P57" s="162" t="str">
        <f aca="false">IFERROR(VLOOKUP(P$2,Rango_Admin_DailyPred,MATCH($F57,Rango_Admin_DailyPred_Primera,0)+1,0),"-")</f>
        <v>-</v>
      </c>
      <c r="Q57" s="162" t="str">
        <f aca="false">IFERROR(VLOOKUP(Q$2,Rango_Admin_DailyPred,MATCH($F57,Rango_Admin_DailyPred_Primera,0)+1,0),"-")</f>
        <v>-</v>
      </c>
      <c r="R57" s="162" t="str">
        <f aca="false">IFERROR(VLOOKUP(R$2,Rango_Admin_DailyPred,MATCH($F57,Rango_Admin_DailyPred_Primera,0)+1,0),"-")</f>
        <v>-</v>
      </c>
      <c r="S57" s="162" t="str">
        <f aca="false">IFERROR(VLOOKUP(S$2,Rango_Admin_DailyPred,MATCH($F57,Rango_Admin_DailyPred_Primera,0)+1,0),"-")</f>
        <v>-</v>
      </c>
      <c r="T57" s="162" t="str">
        <f aca="false">IFERROR(VLOOKUP(T$2,Rango_Admin_DailyPred,MATCH($F57,Rango_Admin_DailyPred_Primera,0)+1,0),"-")</f>
        <v>-</v>
      </c>
      <c r="U57" s="162" t="str">
        <f aca="false">IFERROR(VLOOKUP(U$2,Rango_Admin_DailyPred,MATCH($F57,Rango_Admin_DailyPred_Primera,0)+1,0),"-")</f>
        <v>-</v>
      </c>
      <c r="V57" s="162" t="str">
        <f aca="false">IFERROR(VLOOKUP(V$2,Rango_Admin_DailyPred,MATCH($F57,Rango_Admin_DailyPred_Primera,0)+1,0),"-")</f>
        <v>-</v>
      </c>
      <c r="W57" s="162" t="str">
        <f aca="false">IFERROR(VLOOKUP(W$2,Rango_Admin_DailyPred,MATCH($F57,Rango_Admin_DailyPred_Primera,0)+1,0),"-")</f>
        <v>-</v>
      </c>
      <c r="X57" s="162" t="str">
        <f aca="false">IFERROR(VLOOKUP(X$2,Rango_Admin_DailyPred,MATCH($F57,Rango_Admin_DailyPred_Primera,0)+1,0),"-")</f>
        <v>-</v>
      </c>
      <c r="Y57" s="162" t="str">
        <f aca="false">IFERROR(VLOOKUP(Y$2,Rango_Admin_DailyPred,MATCH($F57,Rango_Admin_DailyPred_Primera,0)+1,0),"-")</f>
        <v>-</v>
      </c>
      <c r="Z57" s="162" t="str">
        <f aca="false">IFERROR(VLOOKUP(Z$2,Rango_Admin_DailyPred,MATCH($F57,Rango_Admin_DailyPred_Primera,0)+1,0),"-")</f>
        <v>-</v>
      </c>
      <c r="AA57" s="162" t="str">
        <f aca="false">IFERROR(VLOOKUP(AA$2,Rango_Admin_DailyPred,MATCH($F57,Rango_Admin_DailyPred_Primera,0)+1,0),"-")</f>
        <v>-</v>
      </c>
      <c r="AB57" s="162" t="str">
        <f aca="false">IFERROR(VLOOKUP(AB$2,Rango_Admin_DailyPred,MATCH($F57,Rango_Admin_DailyPred_Primera,0)+1,0),"-")</f>
        <v>-</v>
      </c>
      <c r="AC57" s="162" t="str">
        <f aca="false">IFERROR(VLOOKUP(AC$2,Rango_Admin_DailyPred,MATCH($F57,Rango_Admin_DailyPred_Primera,0)+1,0),"-")</f>
        <v>-</v>
      </c>
      <c r="AD57" s="162" t="str">
        <f aca="false">IFERROR(VLOOKUP(AD$2,Rango_Admin_DailyPred,MATCH($F57,Rango_Admin_DailyPred_Primera,0)+1,0),"-")</f>
        <v>-</v>
      </c>
      <c r="AE57" s="162" t="str">
        <f aca="false">IFERROR(VLOOKUP(AE$2,Rango_Admin_DailyPred,MATCH($F57,Rango_Admin_DailyPred_Primera,0)+1,0),"-")</f>
        <v>-</v>
      </c>
      <c r="AF57" s="162" t="str">
        <f aca="false">IFERROR(VLOOKUP(AF$2,Rango_Admin_DailyPred,MATCH($F57,Rango_Admin_DailyPred_Primera,0)+1,0),"-")</f>
        <v>-</v>
      </c>
      <c r="AG57" s="162" t="str">
        <f aca="false">IFERROR(VLOOKUP(AG$2,Rango_Admin_DailyPred,MATCH($F57,Rango_Admin_DailyPred_Primera,0)+1,0),"-")</f>
        <v>-</v>
      </c>
      <c r="AH57" s="162" t="str">
        <f aca="false">IFERROR(VLOOKUP(AH$2,Rango_Admin_DailyPred,MATCH($F57,Rango_Admin_DailyPred_Primera,0)+1,0),"-")</f>
        <v>-</v>
      </c>
      <c r="AI57" s="162" t="str">
        <f aca="false">IFERROR(VLOOKUP(AI$2,Rango_Admin_DailyPred,MATCH($F57,Rango_Admin_DailyPred_Primera,0)+1,0),"-")</f>
        <v>-</v>
      </c>
      <c r="AJ57" s="162" t="str">
        <f aca="false">IFERROR(VLOOKUP(AJ$2,Rango_Admin_DailyPred,MATCH($F57,Rango_Admin_DailyPred_Primera,0)+1,0),"-")</f>
        <v>-</v>
      </c>
      <c r="AK57" s="162" t="str">
        <f aca="false">IFERROR(VLOOKUP(AK$2,Rango_Admin_DailyPred,MATCH($F57,Rango_Admin_DailyPred_Primera,0)+1,0),"-")</f>
        <v>-</v>
      </c>
      <c r="AL57" s="162" t="str">
        <f aca="false">IFERROR(VLOOKUP(AL$2,Rango_Admin_DailyPred,MATCH($F57,Rango_Admin_DailyPred_Primera,0)+1,0),"-")</f>
        <v>-</v>
      </c>
      <c r="AM57" s="162" t="str">
        <f aca="false">IFERROR(VLOOKUP(AM$2,Rango_Admin_DailyPred,MATCH($F57,Rango_Admin_DailyPred_Primera,0)+1,0),"-")</f>
        <v>-</v>
      </c>
      <c r="AN57" s="244"/>
    </row>
    <row r="58" customFormat="false" ht="15" hidden="false" customHeight="false" outlineLevel="0" collapsed="false">
      <c r="D58" s="463"/>
      <c r="E58" s="479" t="str">
        <f aca="false">IFERROR(HLOOKUP(C58,Rango_Admin_DailyClas,3,FALSE()),"-")</f>
        <v>-</v>
      </c>
      <c r="F58" s="480" t="str">
        <f aca="false">IFERROR(HLOOKUP(C58,Rango_Admin_DailyClas,5,FALSE()),"-")</f>
        <v>-</v>
      </c>
      <c r="G58" s="51" t="str">
        <f aca="false">IFERROR(HLOOKUP(C58,Rango_Admin_DailyClas,4,FALSE()),"-")</f>
        <v>-</v>
      </c>
      <c r="H58" s="162" t="str">
        <f aca="false">IFERROR(VLOOKUP(H$2,Rango_Admin_DailyPred,MATCH($F58,Rango_Admin_DailyPred_Primera,0)+1,0),"-")</f>
        <v>-</v>
      </c>
      <c r="I58" s="162" t="str">
        <f aca="false">IFERROR(VLOOKUP(I$2,Rango_Admin_DailyPred,MATCH($F58,Rango_Admin_DailyPred_Primera,0)+1,0),"-")</f>
        <v>-</v>
      </c>
      <c r="J58" s="162" t="str">
        <f aca="false">IFERROR(VLOOKUP(J$2,Rango_Admin_DailyPred,MATCH($F58,Rango_Admin_DailyPred_Primera,0)+1,0),"-")</f>
        <v>-</v>
      </c>
      <c r="K58" s="162" t="str">
        <f aca="false">IFERROR(VLOOKUP(K$2,Rango_Admin_DailyPred,MATCH($F58,Rango_Admin_DailyPred_Primera,0)+1,0),"-")</f>
        <v>-</v>
      </c>
      <c r="L58" s="162" t="str">
        <f aca="false">IFERROR(VLOOKUP(L$2,Rango_Admin_DailyPred,MATCH($F58,Rango_Admin_DailyPred_Primera,0)+1,0),"-")</f>
        <v>-</v>
      </c>
      <c r="M58" s="162" t="str">
        <f aca="false">IFERROR(VLOOKUP(M$2,Rango_Admin_DailyPred,MATCH($F58,Rango_Admin_DailyPred_Primera,0)+1,0),"-")</f>
        <v>-</v>
      </c>
      <c r="N58" s="162" t="str">
        <f aca="false">IFERROR(VLOOKUP(N$2,Rango_Admin_DailyPred,MATCH($F58,Rango_Admin_DailyPred_Primera,0)+1,0),"-")</f>
        <v>-</v>
      </c>
      <c r="O58" s="162" t="str">
        <f aca="false">IFERROR(VLOOKUP(O$2,Rango_Admin_DailyPred,MATCH($F58,Rango_Admin_DailyPred_Primera,0)+1,0),"-")</f>
        <v>-</v>
      </c>
      <c r="P58" s="162" t="str">
        <f aca="false">IFERROR(VLOOKUP(P$2,Rango_Admin_DailyPred,MATCH($F58,Rango_Admin_DailyPred_Primera,0)+1,0),"-")</f>
        <v>-</v>
      </c>
      <c r="Q58" s="162" t="str">
        <f aca="false">IFERROR(VLOOKUP(Q$2,Rango_Admin_DailyPred,MATCH($F58,Rango_Admin_DailyPred_Primera,0)+1,0),"-")</f>
        <v>-</v>
      </c>
      <c r="R58" s="162" t="str">
        <f aca="false">IFERROR(VLOOKUP(R$2,Rango_Admin_DailyPred,MATCH($F58,Rango_Admin_DailyPred_Primera,0)+1,0),"-")</f>
        <v>-</v>
      </c>
      <c r="S58" s="162" t="str">
        <f aca="false">IFERROR(VLOOKUP(S$2,Rango_Admin_DailyPred,MATCH($F58,Rango_Admin_DailyPred_Primera,0)+1,0),"-")</f>
        <v>-</v>
      </c>
      <c r="T58" s="162" t="str">
        <f aca="false">IFERROR(VLOOKUP(T$2,Rango_Admin_DailyPred,MATCH($F58,Rango_Admin_DailyPred_Primera,0)+1,0),"-")</f>
        <v>-</v>
      </c>
      <c r="U58" s="162" t="str">
        <f aca="false">IFERROR(VLOOKUP(U$2,Rango_Admin_DailyPred,MATCH($F58,Rango_Admin_DailyPred_Primera,0)+1,0),"-")</f>
        <v>-</v>
      </c>
      <c r="V58" s="162" t="str">
        <f aca="false">IFERROR(VLOOKUP(V$2,Rango_Admin_DailyPred,MATCH($F58,Rango_Admin_DailyPred_Primera,0)+1,0),"-")</f>
        <v>-</v>
      </c>
      <c r="W58" s="162" t="str">
        <f aca="false">IFERROR(VLOOKUP(W$2,Rango_Admin_DailyPred,MATCH($F58,Rango_Admin_DailyPred_Primera,0)+1,0),"-")</f>
        <v>-</v>
      </c>
      <c r="X58" s="162" t="str">
        <f aca="false">IFERROR(VLOOKUP(X$2,Rango_Admin_DailyPred,MATCH($F58,Rango_Admin_DailyPred_Primera,0)+1,0),"-")</f>
        <v>-</v>
      </c>
      <c r="Y58" s="162" t="str">
        <f aca="false">IFERROR(VLOOKUP(Y$2,Rango_Admin_DailyPred,MATCH($F58,Rango_Admin_DailyPred_Primera,0)+1,0),"-")</f>
        <v>-</v>
      </c>
      <c r="Z58" s="162" t="str">
        <f aca="false">IFERROR(VLOOKUP(Z$2,Rango_Admin_DailyPred,MATCH($F58,Rango_Admin_DailyPred_Primera,0)+1,0),"-")</f>
        <v>-</v>
      </c>
      <c r="AA58" s="162" t="str">
        <f aca="false">IFERROR(VLOOKUP(AA$2,Rango_Admin_DailyPred,MATCH($F58,Rango_Admin_DailyPred_Primera,0)+1,0),"-")</f>
        <v>-</v>
      </c>
      <c r="AB58" s="162" t="str">
        <f aca="false">IFERROR(VLOOKUP(AB$2,Rango_Admin_DailyPred,MATCH($F58,Rango_Admin_DailyPred_Primera,0)+1,0),"-")</f>
        <v>-</v>
      </c>
      <c r="AC58" s="162" t="str">
        <f aca="false">IFERROR(VLOOKUP(AC$2,Rango_Admin_DailyPred,MATCH($F58,Rango_Admin_DailyPred_Primera,0)+1,0),"-")</f>
        <v>-</v>
      </c>
      <c r="AD58" s="162" t="str">
        <f aca="false">IFERROR(VLOOKUP(AD$2,Rango_Admin_DailyPred,MATCH($F58,Rango_Admin_DailyPred_Primera,0)+1,0),"-")</f>
        <v>-</v>
      </c>
      <c r="AE58" s="162" t="str">
        <f aca="false">IFERROR(VLOOKUP(AE$2,Rango_Admin_DailyPred,MATCH($F58,Rango_Admin_DailyPred_Primera,0)+1,0),"-")</f>
        <v>-</v>
      </c>
      <c r="AF58" s="162" t="str">
        <f aca="false">IFERROR(VLOOKUP(AF$2,Rango_Admin_DailyPred,MATCH($F58,Rango_Admin_DailyPred_Primera,0)+1,0),"-")</f>
        <v>-</v>
      </c>
      <c r="AG58" s="162" t="str">
        <f aca="false">IFERROR(VLOOKUP(AG$2,Rango_Admin_DailyPred,MATCH($F58,Rango_Admin_DailyPred_Primera,0)+1,0),"-")</f>
        <v>-</v>
      </c>
      <c r="AH58" s="162" t="str">
        <f aca="false">IFERROR(VLOOKUP(AH$2,Rango_Admin_DailyPred,MATCH($F58,Rango_Admin_DailyPred_Primera,0)+1,0),"-")</f>
        <v>-</v>
      </c>
      <c r="AI58" s="162" t="str">
        <f aca="false">IFERROR(VLOOKUP(AI$2,Rango_Admin_DailyPred,MATCH($F58,Rango_Admin_DailyPred_Primera,0)+1,0),"-")</f>
        <v>-</v>
      </c>
      <c r="AJ58" s="162" t="str">
        <f aca="false">IFERROR(VLOOKUP(AJ$2,Rango_Admin_DailyPred,MATCH($F58,Rango_Admin_DailyPred_Primera,0)+1,0),"-")</f>
        <v>-</v>
      </c>
      <c r="AK58" s="162" t="str">
        <f aca="false">IFERROR(VLOOKUP(AK$2,Rango_Admin_DailyPred,MATCH($F58,Rango_Admin_DailyPred_Primera,0)+1,0),"-")</f>
        <v>-</v>
      </c>
      <c r="AL58" s="162" t="str">
        <f aca="false">IFERROR(VLOOKUP(AL$2,Rango_Admin_DailyPred,MATCH($F58,Rango_Admin_DailyPred_Primera,0)+1,0),"-")</f>
        <v>-</v>
      </c>
      <c r="AM58" s="162" t="str">
        <f aca="false">IFERROR(VLOOKUP(AM$2,Rango_Admin_DailyPred,MATCH($F58,Rango_Admin_DailyPred_Primera,0)+1,0),"-")</f>
        <v>-</v>
      </c>
      <c r="AN58" s="244"/>
    </row>
    <row r="59" customFormat="false" ht="15" hidden="false" customHeight="false" outlineLevel="0" collapsed="false">
      <c r="D59" s="463"/>
      <c r="E59" s="479" t="str">
        <f aca="false">IFERROR(HLOOKUP(C59,Rango_Admin_DailyClas,3,FALSE()),"-")</f>
        <v>-</v>
      </c>
      <c r="F59" s="480" t="str">
        <f aca="false">IFERROR(HLOOKUP(C59,Rango_Admin_DailyClas,5,FALSE()),"-")</f>
        <v>-</v>
      </c>
      <c r="G59" s="51" t="str">
        <f aca="false">IFERROR(HLOOKUP(C59,Rango_Admin_DailyClas,4,FALSE()),"-")</f>
        <v>-</v>
      </c>
      <c r="H59" s="162" t="str">
        <f aca="false">IFERROR(VLOOKUP(H$2,Rango_Admin_DailyPred,MATCH($F59,Rango_Admin_DailyPred_Primera,0)+1,0),"-")</f>
        <v>-</v>
      </c>
      <c r="I59" s="162" t="str">
        <f aca="false">IFERROR(VLOOKUP(I$2,Rango_Admin_DailyPred,MATCH($F59,Rango_Admin_DailyPred_Primera,0)+1,0),"-")</f>
        <v>-</v>
      </c>
      <c r="J59" s="162" t="str">
        <f aca="false">IFERROR(VLOOKUP(J$2,Rango_Admin_DailyPred,MATCH($F59,Rango_Admin_DailyPred_Primera,0)+1,0),"-")</f>
        <v>-</v>
      </c>
      <c r="K59" s="162" t="str">
        <f aca="false">IFERROR(VLOOKUP(K$2,Rango_Admin_DailyPred,MATCH($F59,Rango_Admin_DailyPred_Primera,0)+1,0),"-")</f>
        <v>-</v>
      </c>
      <c r="L59" s="162" t="str">
        <f aca="false">IFERROR(VLOOKUP(L$2,Rango_Admin_DailyPred,MATCH($F59,Rango_Admin_DailyPred_Primera,0)+1,0),"-")</f>
        <v>-</v>
      </c>
      <c r="M59" s="162" t="str">
        <f aca="false">IFERROR(VLOOKUP(M$2,Rango_Admin_DailyPred,MATCH($F59,Rango_Admin_DailyPred_Primera,0)+1,0),"-")</f>
        <v>-</v>
      </c>
      <c r="N59" s="162" t="str">
        <f aca="false">IFERROR(VLOOKUP(N$2,Rango_Admin_DailyPred,MATCH($F59,Rango_Admin_DailyPred_Primera,0)+1,0),"-")</f>
        <v>-</v>
      </c>
      <c r="O59" s="162" t="str">
        <f aca="false">IFERROR(VLOOKUP(O$2,Rango_Admin_DailyPred,MATCH($F59,Rango_Admin_DailyPred_Primera,0)+1,0),"-")</f>
        <v>-</v>
      </c>
      <c r="P59" s="162" t="str">
        <f aca="false">IFERROR(VLOOKUP(P$2,Rango_Admin_DailyPred,MATCH($F59,Rango_Admin_DailyPred_Primera,0)+1,0),"-")</f>
        <v>-</v>
      </c>
      <c r="Q59" s="162" t="str">
        <f aca="false">IFERROR(VLOOKUP(Q$2,Rango_Admin_DailyPred,MATCH($F59,Rango_Admin_DailyPred_Primera,0)+1,0),"-")</f>
        <v>-</v>
      </c>
      <c r="R59" s="162" t="str">
        <f aca="false">IFERROR(VLOOKUP(R$2,Rango_Admin_DailyPred,MATCH($F59,Rango_Admin_DailyPred_Primera,0)+1,0),"-")</f>
        <v>-</v>
      </c>
      <c r="S59" s="162" t="str">
        <f aca="false">IFERROR(VLOOKUP(S$2,Rango_Admin_DailyPred,MATCH($F59,Rango_Admin_DailyPred_Primera,0)+1,0),"-")</f>
        <v>-</v>
      </c>
      <c r="T59" s="162" t="str">
        <f aca="false">IFERROR(VLOOKUP(T$2,Rango_Admin_DailyPred,MATCH($F59,Rango_Admin_DailyPred_Primera,0)+1,0),"-")</f>
        <v>-</v>
      </c>
      <c r="U59" s="162" t="str">
        <f aca="false">IFERROR(VLOOKUP(U$2,Rango_Admin_DailyPred,MATCH($F59,Rango_Admin_DailyPred_Primera,0)+1,0),"-")</f>
        <v>-</v>
      </c>
      <c r="V59" s="162" t="str">
        <f aca="false">IFERROR(VLOOKUP(V$2,Rango_Admin_DailyPred,MATCH($F59,Rango_Admin_DailyPred_Primera,0)+1,0),"-")</f>
        <v>-</v>
      </c>
      <c r="W59" s="162" t="str">
        <f aca="false">IFERROR(VLOOKUP(W$2,Rango_Admin_DailyPred,MATCH($F59,Rango_Admin_DailyPred_Primera,0)+1,0),"-")</f>
        <v>-</v>
      </c>
      <c r="X59" s="162" t="str">
        <f aca="false">IFERROR(VLOOKUP(X$2,Rango_Admin_DailyPred,MATCH($F59,Rango_Admin_DailyPred_Primera,0)+1,0),"-")</f>
        <v>-</v>
      </c>
      <c r="Y59" s="162" t="str">
        <f aca="false">IFERROR(VLOOKUP(Y$2,Rango_Admin_DailyPred,MATCH($F59,Rango_Admin_DailyPred_Primera,0)+1,0),"-")</f>
        <v>-</v>
      </c>
      <c r="Z59" s="162" t="str">
        <f aca="false">IFERROR(VLOOKUP(Z$2,Rango_Admin_DailyPred,MATCH($F59,Rango_Admin_DailyPred_Primera,0)+1,0),"-")</f>
        <v>-</v>
      </c>
      <c r="AA59" s="162" t="str">
        <f aca="false">IFERROR(VLOOKUP(AA$2,Rango_Admin_DailyPred,MATCH($F59,Rango_Admin_DailyPred_Primera,0)+1,0),"-")</f>
        <v>-</v>
      </c>
      <c r="AB59" s="162" t="str">
        <f aca="false">IFERROR(VLOOKUP(AB$2,Rango_Admin_DailyPred,MATCH($F59,Rango_Admin_DailyPred_Primera,0)+1,0),"-")</f>
        <v>-</v>
      </c>
      <c r="AC59" s="162" t="str">
        <f aca="false">IFERROR(VLOOKUP(AC$2,Rango_Admin_DailyPred,MATCH($F59,Rango_Admin_DailyPred_Primera,0)+1,0),"-")</f>
        <v>-</v>
      </c>
      <c r="AD59" s="162" t="str">
        <f aca="false">IFERROR(VLOOKUP(AD$2,Rango_Admin_DailyPred,MATCH($F59,Rango_Admin_DailyPred_Primera,0)+1,0),"-")</f>
        <v>-</v>
      </c>
      <c r="AE59" s="162" t="str">
        <f aca="false">IFERROR(VLOOKUP(AE$2,Rango_Admin_DailyPred,MATCH($F59,Rango_Admin_DailyPred_Primera,0)+1,0),"-")</f>
        <v>-</v>
      </c>
      <c r="AF59" s="162" t="str">
        <f aca="false">IFERROR(VLOOKUP(AF$2,Rango_Admin_DailyPred,MATCH($F59,Rango_Admin_DailyPred_Primera,0)+1,0),"-")</f>
        <v>-</v>
      </c>
      <c r="AG59" s="162" t="str">
        <f aca="false">IFERROR(VLOOKUP(AG$2,Rango_Admin_DailyPred,MATCH($F59,Rango_Admin_DailyPred_Primera,0)+1,0),"-")</f>
        <v>-</v>
      </c>
      <c r="AH59" s="162" t="str">
        <f aca="false">IFERROR(VLOOKUP(AH$2,Rango_Admin_DailyPred,MATCH($F59,Rango_Admin_DailyPred_Primera,0)+1,0),"-")</f>
        <v>-</v>
      </c>
      <c r="AI59" s="162" t="str">
        <f aca="false">IFERROR(VLOOKUP(AI$2,Rango_Admin_DailyPred,MATCH($F59,Rango_Admin_DailyPred_Primera,0)+1,0),"-")</f>
        <v>-</v>
      </c>
      <c r="AJ59" s="162" t="str">
        <f aca="false">IFERROR(VLOOKUP(AJ$2,Rango_Admin_DailyPred,MATCH($F59,Rango_Admin_DailyPred_Primera,0)+1,0),"-")</f>
        <v>-</v>
      </c>
      <c r="AK59" s="162" t="str">
        <f aca="false">IFERROR(VLOOKUP(AK$2,Rango_Admin_DailyPred,MATCH($F59,Rango_Admin_DailyPred_Primera,0)+1,0),"-")</f>
        <v>-</v>
      </c>
      <c r="AL59" s="162" t="str">
        <f aca="false">IFERROR(VLOOKUP(AL$2,Rango_Admin_DailyPred,MATCH($F59,Rango_Admin_DailyPred_Primera,0)+1,0),"-")</f>
        <v>-</v>
      </c>
      <c r="AM59" s="162" t="str">
        <f aca="false">IFERROR(VLOOKUP(AM$2,Rango_Admin_DailyPred,MATCH($F59,Rango_Admin_DailyPred_Primera,0)+1,0),"-")</f>
        <v>-</v>
      </c>
      <c r="AN59" s="244"/>
    </row>
    <row r="60" customFormat="false" ht="15" hidden="false" customHeight="false" outlineLevel="0" collapsed="false">
      <c r="D60" s="463"/>
      <c r="E60" s="479" t="str">
        <f aca="false">IFERROR(HLOOKUP(C60,Rango_Admin_DailyClas,3,FALSE()),"-")</f>
        <v>-</v>
      </c>
      <c r="F60" s="480" t="str">
        <f aca="false">IFERROR(HLOOKUP(C60,Rango_Admin_DailyClas,5,FALSE()),"-")</f>
        <v>-</v>
      </c>
      <c r="G60" s="51" t="str">
        <f aca="false">IFERROR(HLOOKUP(C60,Rango_Admin_DailyClas,4,FALSE()),"-")</f>
        <v>-</v>
      </c>
      <c r="H60" s="162" t="str">
        <f aca="false">IFERROR(VLOOKUP(H$2,Rango_Admin_DailyPred,MATCH($F60,Rango_Admin_DailyPred_Primera,0)+1,0),"-")</f>
        <v>-</v>
      </c>
      <c r="I60" s="162" t="str">
        <f aca="false">IFERROR(VLOOKUP(I$2,Rango_Admin_DailyPred,MATCH($F60,Rango_Admin_DailyPred_Primera,0)+1,0),"-")</f>
        <v>-</v>
      </c>
      <c r="J60" s="162" t="str">
        <f aca="false">IFERROR(VLOOKUP(J$2,Rango_Admin_DailyPred,MATCH($F60,Rango_Admin_DailyPred_Primera,0)+1,0),"-")</f>
        <v>-</v>
      </c>
      <c r="K60" s="162" t="str">
        <f aca="false">IFERROR(VLOOKUP(K$2,Rango_Admin_DailyPred,MATCH($F60,Rango_Admin_DailyPred_Primera,0)+1,0),"-")</f>
        <v>-</v>
      </c>
      <c r="L60" s="162" t="str">
        <f aca="false">IFERROR(VLOOKUP(L$2,Rango_Admin_DailyPred,MATCH($F60,Rango_Admin_DailyPred_Primera,0)+1,0),"-")</f>
        <v>-</v>
      </c>
      <c r="M60" s="162" t="str">
        <f aca="false">IFERROR(VLOOKUP(M$2,Rango_Admin_DailyPred,MATCH($F60,Rango_Admin_DailyPred_Primera,0)+1,0),"-")</f>
        <v>-</v>
      </c>
      <c r="N60" s="162" t="str">
        <f aca="false">IFERROR(VLOOKUP(N$2,Rango_Admin_DailyPred,MATCH($F60,Rango_Admin_DailyPred_Primera,0)+1,0),"-")</f>
        <v>-</v>
      </c>
      <c r="O60" s="162" t="str">
        <f aca="false">IFERROR(VLOOKUP(O$2,Rango_Admin_DailyPred,MATCH($F60,Rango_Admin_DailyPred_Primera,0)+1,0),"-")</f>
        <v>-</v>
      </c>
      <c r="P60" s="162" t="str">
        <f aca="false">IFERROR(VLOOKUP(P$2,Rango_Admin_DailyPred,MATCH($F60,Rango_Admin_DailyPred_Primera,0)+1,0),"-")</f>
        <v>-</v>
      </c>
      <c r="Q60" s="162" t="str">
        <f aca="false">IFERROR(VLOOKUP(Q$2,Rango_Admin_DailyPred,MATCH($F60,Rango_Admin_DailyPred_Primera,0)+1,0),"-")</f>
        <v>-</v>
      </c>
      <c r="R60" s="162" t="str">
        <f aca="false">IFERROR(VLOOKUP(R$2,Rango_Admin_DailyPred,MATCH($F60,Rango_Admin_DailyPred_Primera,0)+1,0),"-")</f>
        <v>-</v>
      </c>
      <c r="S60" s="162" t="str">
        <f aca="false">IFERROR(VLOOKUP(S$2,Rango_Admin_DailyPred,MATCH($F60,Rango_Admin_DailyPred_Primera,0)+1,0),"-")</f>
        <v>-</v>
      </c>
      <c r="T60" s="162" t="str">
        <f aca="false">IFERROR(VLOOKUP(T$2,Rango_Admin_DailyPred,MATCH($F60,Rango_Admin_DailyPred_Primera,0)+1,0),"-")</f>
        <v>-</v>
      </c>
      <c r="U60" s="162" t="str">
        <f aca="false">IFERROR(VLOOKUP(U$2,Rango_Admin_DailyPred,MATCH($F60,Rango_Admin_DailyPred_Primera,0)+1,0),"-")</f>
        <v>-</v>
      </c>
      <c r="V60" s="162" t="str">
        <f aca="false">IFERROR(VLOOKUP(V$2,Rango_Admin_DailyPred,MATCH($F60,Rango_Admin_DailyPred_Primera,0)+1,0),"-")</f>
        <v>-</v>
      </c>
      <c r="W60" s="162" t="str">
        <f aca="false">IFERROR(VLOOKUP(W$2,Rango_Admin_DailyPred,MATCH($F60,Rango_Admin_DailyPred_Primera,0)+1,0),"-")</f>
        <v>-</v>
      </c>
      <c r="X60" s="162" t="str">
        <f aca="false">IFERROR(VLOOKUP(X$2,Rango_Admin_DailyPred,MATCH($F60,Rango_Admin_DailyPred_Primera,0)+1,0),"-")</f>
        <v>-</v>
      </c>
      <c r="Y60" s="162" t="str">
        <f aca="false">IFERROR(VLOOKUP(Y$2,Rango_Admin_DailyPred,MATCH($F60,Rango_Admin_DailyPred_Primera,0)+1,0),"-")</f>
        <v>-</v>
      </c>
      <c r="Z60" s="162" t="str">
        <f aca="false">IFERROR(VLOOKUP(Z$2,Rango_Admin_DailyPred,MATCH($F60,Rango_Admin_DailyPred_Primera,0)+1,0),"-")</f>
        <v>-</v>
      </c>
      <c r="AA60" s="162" t="str">
        <f aca="false">IFERROR(VLOOKUP(AA$2,Rango_Admin_DailyPred,MATCH($F60,Rango_Admin_DailyPred_Primera,0)+1,0),"-")</f>
        <v>-</v>
      </c>
      <c r="AB60" s="162" t="str">
        <f aca="false">IFERROR(VLOOKUP(AB$2,Rango_Admin_DailyPred,MATCH($F60,Rango_Admin_DailyPred_Primera,0)+1,0),"-")</f>
        <v>-</v>
      </c>
      <c r="AC60" s="162" t="str">
        <f aca="false">IFERROR(VLOOKUP(AC$2,Rango_Admin_DailyPred,MATCH($F60,Rango_Admin_DailyPred_Primera,0)+1,0),"-")</f>
        <v>-</v>
      </c>
      <c r="AD60" s="162" t="str">
        <f aca="false">IFERROR(VLOOKUP(AD$2,Rango_Admin_DailyPred,MATCH($F60,Rango_Admin_DailyPred_Primera,0)+1,0),"-")</f>
        <v>-</v>
      </c>
      <c r="AE60" s="162" t="str">
        <f aca="false">IFERROR(VLOOKUP(AE$2,Rango_Admin_DailyPred,MATCH($F60,Rango_Admin_DailyPred_Primera,0)+1,0),"-")</f>
        <v>-</v>
      </c>
      <c r="AF60" s="162" t="str">
        <f aca="false">IFERROR(VLOOKUP(AF$2,Rango_Admin_DailyPred,MATCH($F60,Rango_Admin_DailyPred_Primera,0)+1,0),"-")</f>
        <v>-</v>
      </c>
      <c r="AG60" s="162" t="str">
        <f aca="false">IFERROR(VLOOKUP(AG$2,Rango_Admin_DailyPred,MATCH($F60,Rango_Admin_DailyPred_Primera,0)+1,0),"-")</f>
        <v>-</v>
      </c>
      <c r="AH60" s="162" t="str">
        <f aca="false">IFERROR(VLOOKUP(AH$2,Rango_Admin_DailyPred,MATCH($F60,Rango_Admin_DailyPred_Primera,0)+1,0),"-")</f>
        <v>-</v>
      </c>
      <c r="AI60" s="162" t="str">
        <f aca="false">IFERROR(VLOOKUP(AI$2,Rango_Admin_DailyPred,MATCH($F60,Rango_Admin_DailyPred_Primera,0)+1,0),"-")</f>
        <v>-</v>
      </c>
      <c r="AJ60" s="162" t="str">
        <f aca="false">IFERROR(VLOOKUP(AJ$2,Rango_Admin_DailyPred,MATCH($F60,Rango_Admin_DailyPred_Primera,0)+1,0),"-")</f>
        <v>-</v>
      </c>
      <c r="AK60" s="162" t="str">
        <f aca="false">IFERROR(VLOOKUP(AK$2,Rango_Admin_DailyPred,MATCH($F60,Rango_Admin_DailyPred_Primera,0)+1,0),"-")</f>
        <v>-</v>
      </c>
      <c r="AL60" s="162" t="str">
        <f aca="false">IFERROR(VLOOKUP(AL$2,Rango_Admin_DailyPred,MATCH($F60,Rango_Admin_DailyPred_Primera,0)+1,0),"-")</f>
        <v>-</v>
      </c>
      <c r="AM60" s="162" t="str">
        <f aca="false">IFERROR(VLOOKUP(AM$2,Rango_Admin_DailyPred,MATCH($F60,Rango_Admin_DailyPred_Primera,0)+1,0),"-")</f>
        <v>-</v>
      </c>
      <c r="AN60" s="244"/>
    </row>
    <row r="61" customFormat="false" ht="15" hidden="false" customHeight="false" outlineLevel="0" collapsed="false">
      <c r="D61" s="463"/>
      <c r="E61" s="479" t="str">
        <f aca="false">IFERROR(HLOOKUP(C61,Rango_Admin_DailyClas,3,FALSE()),"-")</f>
        <v>-</v>
      </c>
      <c r="F61" s="480" t="str">
        <f aca="false">IFERROR(HLOOKUP(C61,Rango_Admin_DailyClas,5,FALSE()),"-")</f>
        <v>-</v>
      </c>
      <c r="G61" s="51" t="str">
        <f aca="false">IFERROR(HLOOKUP(C61,Rango_Admin_DailyClas,4,FALSE()),"-")</f>
        <v>-</v>
      </c>
      <c r="H61" s="162" t="str">
        <f aca="false">IFERROR(VLOOKUP(H$2,Rango_Admin_DailyPred,MATCH($F61,Rango_Admin_DailyPred_Primera,0)+1,0),"-")</f>
        <v>-</v>
      </c>
      <c r="I61" s="162" t="str">
        <f aca="false">IFERROR(VLOOKUP(I$2,Rango_Admin_DailyPred,MATCH($F61,Rango_Admin_DailyPred_Primera,0)+1,0),"-")</f>
        <v>-</v>
      </c>
      <c r="J61" s="162" t="str">
        <f aca="false">IFERROR(VLOOKUP(J$2,Rango_Admin_DailyPred,MATCH($F61,Rango_Admin_DailyPred_Primera,0)+1,0),"-")</f>
        <v>-</v>
      </c>
      <c r="K61" s="162" t="str">
        <f aca="false">IFERROR(VLOOKUP(K$2,Rango_Admin_DailyPred,MATCH($F61,Rango_Admin_DailyPred_Primera,0)+1,0),"-")</f>
        <v>-</v>
      </c>
      <c r="L61" s="162" t="str">
        <f aca="false">IFERROR(VLOOKUP(L$2,Rango_Admin_DailyPred,MATCH($F61,Rango_Admin_DailyPred_Primera,0)+1,0),"-")</f>
        <v>-</v>
      </c>
      <c r="M61" s="162" t="str">
        <f aca="false">IFERROR(VLOOKUP(M$2,Rango_Admin_DailyPred,MATCH($F61,Rango_Admin_DailyPred_Primera,0)+1,0),"-")</f>
        <v>-</v>
      </c>
      <c r="N61" s="162" t="str">
        <f aca="false">IFERROR(VLOOKUP(N$2,Rango_Admin_DailyPred,MATCH($F61,Rango_Admin_DailyPred_Primera,0)+1,0),"-")</f>
        <v>-</v>
      </c>
      <c r="O61" s="162" t="str">
        <f aca="false">IFERROR(VLOOKUP(O$2,Rango_Admin_DailyPred,MATCH($F61,Rango_Admin_DailyPred_Primera,0)+1,0),"-")</f>
        <v>-</v>
      </c>
      <c r="P61" s="162" t="str">
        <f aca="false">IFERROR(VLOOKUP(P$2,Rango_Admin_DailyPred,MATCH($F61,Rango_Admin_DailyPred_Primera,0)+1,0),"-")</f>
        <v>-</v>
      </c>
      <c r="Q61" s="162" t="str">
        <f aca="false">IFERROR(VLOOKUP(Q$2,Rango_Admin_DailyPred,MATCH($F61,Rango_Admin_DailyPred_Primera,0)+1,0),"-")</f>
        <v>-</v>
      </c>
      <c r="R61" s="162" t="str">
        <f aca="false">IFERROR(VLOOKUP(R$2,Rango_Admin_DailyPred,MATCH($F61,Rango_Admin_DailyPred_Primera,0)+1,0),"-")</f>
        <v>-</v>
      </c>
      <c r="S61" s="162" t="str">
        <f aca="false">IFERROR(VLOOKUP(S$2,Rango_Admin_DailyPred,MATCH($F61,Rango_Admin_DailyPred_Primera,0)+1,0),"-")</f>
        <v>-</v>
      </c>
      <c r="T61" s="162" t="str">
        <f aca="false">IFERROR(VLOOKUP(T$2,Rango_Admin_DailyPred,MATCH($F61,Rango_Admin_DailyPred_Primera,0)+1,0),"-")</f>
        <v>-</v>
      </c>
      <c r="U61" s="162" t="str">
        <f aca="false">IFERROR(VLOOKUP(U$2,Rango_Admin_DailyPred,MATCH($F61,Rango_Admin_DailyPred_Primera,0)+1,0),"-")</f>
        <v>-</v>
      </c>
      <c r="V61" s="162" t="str">
        <f aca="false">IFERROR(VLOOKUP(V$2,Rango_Admin_DailyPred,MATCH($F61,Rango_Admin_DailyPred_Primera,0)+1,0),"-")</f>
        <v>-</v>
      </c>
      <c r="W61" s="162" t="str">
        <f aca="false">IFERROR(VLOOKUP(W$2,Rango_Admin_DailyPred,MATCH($F61,Rango_Admin_DailyPred_Primera,0)+1,0),"-")</f>
        <v>-</v>
      </c>
      <c r="X61" s="162" t="str">
        <f aca="false">IFERROR(VLOOKUP(X$2,Rango_Admin_DailyPred,MATCH($F61,Rango_Admin_DailyPred_Primera,0)+1,0),"-")</f>
        <v>-</v>
      </c>
      <c r="Y61" s="162" t="str">
        <f aca="false">IFERROR(VLOOKUP(Y$2,Rango_Admin_DailyPred,MATCH($F61,Rango_Admin_DailyPred_Primera,0)+1,0),"-")</f>
        <v>-</v>
      </c>
      <c r="Z61" s="162" t="str">
        <f aca="false">IFERROR(VLOOKUP(Z$2,Rango_Admin_DailyPred,MATCH($F61,Rango_Admin_DailyPred_Primera,0)+1,0),"-")</f>
        <v>-</v>
      </c>
      <c r="AA61" s="162" t="str">
        <f aca="false">IFERROR(VLOOKUP(AA$2,Rango_Admin_DailyPred,MATCH($F61,Rango_Admin_DailyPred_Primera,0)+1,0),"-")</f>
        <v>-</v>
      </c>
      <c r="AB61" s="162" t="str">
        <f aca="false">IFERROR(VLOOKUP(AB$2,Rango_Admin_DailyPred,MATCH($F61,Rango_Admin_DailyPred_Primera,0)+1,0),"-")</f>
        <v>-</v>
      </c>
      <c r="AC61" s="162" t="str">
        <f aca="false">IFERROR(VLOOKUP(AC$2,Rango_Admin_DailyPred,MATCH($F61,Rango_Admin_DailyPred_Primera,0)+1,0),"-")</f>
        <v>-</v>
      </c>
      <c r="AD61" s="162" t="str">
        <f aca="false">IFERROR(VLOOKUP(AD$2,Rango_Admin_DailyPred,MATCH($F61,Rango_Admin_DailyPred_Primera,0)+1,0),"-")</f>
        <v>-</v>
      </c>
      <c r="AE61" s="162" t="str">
        <f aca="false">IFERROR(VLOOKUP(AE$2,Rango_Admin_DailyPred,MATCH($F61,Rango_Admin_DailyPred_Primera,0)+1,0),"-")</f>
        <v>-</v>
      </c>
      <c r="AF61" s="162" t="str">
        <f aca="false">IFERROR(VLOOKUP(AF$2,Rango_Admin_DailyPred,MATCH($F61,Rango_Admin_DailyPred_Primera,0)+1,0),"-")</f>
        <v>-</v>
      </c>
      <c r="AG61" s="162" t="str">
        <f aca="false">IFERROR(VLOOKUP(AG$2,Rango_Admin_DailyPred,MATCH($F61,Rango_Admin_DailyPred_Primera,0)+1,0),"-")</f>
        <v>-</v>
      </c>
      <c r="AH61" s="162" t="str">
        <f aca="false">IFERROR(VLOOKUP(AH$2,Rango_Admin_DailyPred,MATCH($F61,Rango_Admin_DailyPred_Primera,0)+1,0),"-")</f>
        <v>-</v>
      </c>
      <c r="AI61" s="162" t="str">
        <f aca="false">IFERROR(VLOOKUP(AI$2,Rango_Admin_DailyPred,MATCH($F61,Rango_Admin_DailyPred_Primera,0)+1,0),"-")</f>
        <v>-</v>
      </c>
      <c r="AJ61" s="162" t="str">
        <f aca="false">IFERROR(VLOOKUP(AJ$2,Rango_Admin_DailyPred,MATCH($F61,Rango_Admin_DailyPred_Primera,0)+1,0),"-")</f>
        <v>-</v>
      </c>
      <c r="AK61" s="162" t="str">
        <f aca="false">IFERROR(VLOOKUP(AK$2,Rango_Admin_DailyPred,MATCH($F61,Rango_Admin_DailyPred_Primera,0)+1,0),"-")</f>
        <v>-</v>
      </c>
      <c r="AL61" s="162" t="str">
        <f aca="false">IFERROR(VLOOKUP(AL$2,Rango_Admin_DailyPred,MATCH($F61,Rango_Admin_DailyPred_Primera,0)+1,0),"-")</f>
        <v>-</v>
      </c>
      <c r="AM61" s="162" t="str">
        <f aca="false">IFERROR(VLOOKUP(AM$2,Rango_Admin_DailyPred,MATCH($F61,Rango_Admin_DailyPred_Primera,0)+1,0),"-")</f>
        <v>-</v>
      </c>
      <c r="AN61" s="244"/>
    </row>
    <row r="62" customFormat="false" ht="15" hidden="false" customHeight="false" outlineLevel="0" collapsed="false">
      <c r="D62" s="463"/>
      <c r="E62" s="479" t="str">
        <f aca="false">IFERROR(HLOOKUP(C62,Rango_Admin_DailyClas,3,FALSE()),"-")</f>
        <v>-</v>
      </c>
      <c r="F62" s="480" t="str">
        <f aca="false">IFERROR(HLOOKUP(C62,Rango_Admin_DailyClas,5,FALSE()),"-")</f>
        <v>-</v>
      </c>
      <c r="G62" s="51" t="str">
        <f aca="false">IFERROR(HLOOKUP(C62,Rango_Admin_DailyClas,4,FALSE()),"-")</f>
        <v>-</v>
      </c>
      <c r="H62" s="162" t="str">
        <f aca="false">IFERROR(VLOOKUP(H$2,Rango_Admin_DailyPred,MATCH($F62,Rango_Admin_DailyPred_Primera,0)+1,0),"-")</f>
        <v>-</v>
      </c>
      <c r="I62" s="162" t="str">
        <f aca="false">IFERROR(VLOOKUP(I$2,Rango_Admin_DailyPred,MATCH($F62,Rango_Admin_DailyPred_Primera,0)+1,0),"-")</f>
        <v>-</v>
      </c>
      <c r="J62" s="162" t="str">
        <f aca="false">IFERROR(VLOOKUP(J$2,Rango_Admin_DailyPred,MATCH($F62,Rango_Admin_DailyPred_Primera,0)+1,0),"-")</f>
        <v>-</v>
      </c>
      <c r="K62" s="162" t="str">
        <f aca="false">IFERROR(VLOOKUP(K$2,Rango_Admin_DailyPred,MATCH($F62,Rango_Admin_DailyPred_Primera,0)+1,0),"-")</f>
        <v>-</v>
      </c>
      <c r="L62" s="162" t="str">
        <f aca="false">IFERROR(VLOOKUP(L$2,Rango_Admin_DailyPred,MATCH($F62,Rango_Admin_DailyPred_Primera,0)+1,0),"-")</f>
        <v>-</v>
      </c>
      <c r="M62" s="162" t="str">
        <f aca="false">IFERROR(VLOOKUP(M$2,Rango_Admin_DailyPred,MATCH($F62,Rango_Admin_DailyPred_Primera,0)+1,0),"-")</f>
        <v>-</v>
      </c>
      <c r="N62" s="162" t="str">
        <f aca="false">IFERROR(VLOOKUP(N$2,Rango_Admin_DailyPred,MATCH($F62,Rango_Admin_DailyPred_Primera,0)+1,0),"-")</f>
        <v>-</v>
      </c>
      <c r="O62" s="162" t="str">
        <f aca="false">IFERROR(VLOOKUP(O$2,Rango_Admin_DailyPred,MATCH($F62,Rango_Admin_DailyPred_Primera,0)+1,0),"-")</f>
        <v>-</v>
      </c>
      <c r="P62" s="162" t="str">
        <f aca="false">IFERROR(VLOOKUP(P$2,Rango_Admin_DailyPred,MATCH($F62,Rango_Admin_DailyPred_Primera,0)+1,0),"-")</f>
        <v>-</v>
      </c>
      <c r="Q62" s="162" t="str">
        <f aca="false">IFERROR(VLOOKUP(Q$2,Rango_Admin_DailyPred,MATCH($F62,Rango_Admin_DailyPred_Primera,0)+1,0),"-")</f>
        <v>-</v>
      </c>
      <c r="R62" s="162" t="str">
        <f aca="false">IFERROR(VLOOKUP(R$2,Rango_Admin_DailyPred,MATCH($F62,Rango_Admin_DailyPred_Primera,0)+1,0),"-")</f>
        <v>-</v>
      </c>
      <c r="S62" s="162" t="str">
        <f aca="false">IFERROR(VLOOKUP(S$2,Rango_Admin_DailyPred,MATCH($F62,Rango_Admin_DailyPred_Primera,0)+1,0),"-")</f>
        <v>-</v>
      </c>
      <c r="T62" s="162" t="str">
        <f aca="false">IFERROR(VLOOKUP(T$2,Rango_Admin_DailyPred,MATCH($F62,Rango_Admin_DailyPred_Primera,0)+1,0),"-")</f>
        <v>-</v>
      </c>
      <c r="U62" s="162" t="str">
        <f aca="false">IFERROR(VLOOKUP(U$2,Rango_Admin_DailyPred,MATCH($F62,Rango_Admin_DailyPred_Primera,0)+1,0),"-")</f>
        <v>-</v>
      </c>
      <c r="V62" s="162" t="str">
        <f aca="false">IFERROR(VLOOKUP(V$2,Rango_Admin_DailyPred,MATCH($F62,Rango_Admin_DailyPred_Primera,0)+1,0),"-")</f>
        <v>-</v>
      </c>
      <c r="W62" s="162" t="str">
        <f aca="false">IFERROR(VLOOKUP(W$2,Rango_Admin_DailyPred,MATCH($F62,Rango_Admin_DailyPred_Primera,0)+1,0),"-")</f>
        <v>-</v>
      </c>
      <c r="X62" s="162" t="str">
        <f aca="false">IFERROR(VLOOKUP(X$2,Rango_Admin_DailyPred,MATCH($F62,Rango_Admin_DailyPred_Primera,0)+1,0),"-")</f>
        <v>-</v>
      </c>
      <c r="Y62" s="162" t="str">
        <f aca="false">IFERROR(VLOOKUP(Y$2,Rango_Admin_DailyPred,MATCH($F62,Rango_Admin_DailyPred_Primera,0)+1,0),"-")</f>
        <v>-</v>
      </c>
      <c r="Z62" s="162" t="str">
        <f aca="false">IFERROR(VLOOKUP(Z$2,Rango_Admin_DailyPred,MATCH($F62,Rango_Admin_DailyPred_Primera,0)+1,0),"-")</f>
        <v>-</v>
      </c>
      <c r="AA62" s="162" t="str">
        <f aca="false">IFERROR(VLOOKUP(AA$2,Rango_Admin_DailyPred,MATCH($F62,Rango_Admin_DailyPred_Primera,0)+1,0),"-")</f>
        <v>-</v>
      </c>
      <c r="AB62" s="162" t="str">
        <f aca="false">IFERROR(VLOOKUP(AB$2,Rango_Admin_DailyPred,MATCH($F62,Rango_Admin_DailyPred_Primera,0)+1,0),"-")</f>
        <v>-</v>
      </c>
      <c r="AC62" s="162" t="str">
        <f aca="false">IFERROR(VLOOKUP(AC$2,Rango_Admin_DailyPred,MATCH($F62,Rango_Admin_DailyPred_Primera,0)+1,0),"-")</f>
        <v>-</v>
      </c>
      <c r="AD62" s="162" t="str">
        <f aca="false">IFERROR(VLOOKUP(AD$2,Rango_Admin_DailyPred,MATCH($F62,Rango_Admin_DailyPred_Primera,0)+1,0),"-")</f>
        <v>-</v>
      </c>
      <c r="AE62" s="162" t="str">
        <f aca="false">IFERROR(VLOOKUP(AE$2,Rango_Admin_DailyPred,MATCH($F62,Rango_Admin_DailyPred_Primera,0)+1,0),"-")</f>
        <v>-</v>
      </c>
      <c r="AF62" s="162" t="str">
        <f aca="false">IFERROR(VLOOKUP(AF$2,Rango_Admin_DailyPred,MATCH($F62,Rango_Admin_DailyPred_Primera,0)+1,0),"-")</f>
        <v>-</v>
      </c>
      <c r="AG62" s="162" t="str">
        <f aca="false">IFERROR(VLOOKUP(AG$2,Rango_Admin_DailyPred,MATCH($F62,Rango_Admin_DailyPred_Primera,0)+1,0),"-")</f>
        <v>-</v>
      </c>
      <c r="AH62" s="162" t="str">
        <f aca="false">IFERROR(VLOOKUP(AH$2,Rango_Admin_DailyPred,MATCH($F62,Rango_Admin_DailyPred_Primera,0)+1,0),"-")</f>
        <v>-</v>
      </c>
      <c r="AI62" s="162" t="str">
        <f aca="false">IFERROR(VLOOKUP(AI$2,Rango_Admin_DailyPred,MATCH($F62,Rango_Admin_DailyPred_Primera,0)+1,0),"-")</f>
        <v>-</v>
      </c>
      <c r="AJ62" s="162" t="str">
        <f aca="false">IFERROR(VLOOKUP(AJ$2,Rango_Admin_DailyPred,MATCH($F62,Rango_Admin_DailyPred_Primera,0)+1,0),"-")</f>
        <v>-</v>
      </c>
      <c r="AK62" s="162" t="str">
        <f aca="false">IFERROR(VLOOKUP(AK$2,Rango_Admin_DailyPred,MATCH($F62,Rango_Admin_DailyPred_Primera,0)+1,0),"-")</f>
        <v>-</v>
      </c>
      <c r="AL62" s="162" t="str">
        <f aca="false">IFERROR(VLOOKUP(AL$2,Rango_Admin_DailyPred,MATCH($F62,Rango_Admin_DailyPred_Primera,0)+1,0),"-")</f>
        <v>-</v>
      </c>
      <c r="AM62" s="162" t="str">
        <f aca="false">IFERROR(VLOOKUP(AM$2,Rango_Admin_DailyPred,MATCH($F62,Rango_Admin_DailyPred_Primera,0)+1,0),"-")</f>
        <v>-</v>
      </c>
      <c r="AN62" s="244"/>
    </row>
    <row r="63" customFormat="false" ht="15" hidden="false" customHeight="false" outlineLevel="0" collapsed="false">
      <c r="D63" s="463"/>
      <c r="E63" s="479" t="str">
        <f aca="false">IFERROR(HLOOKUP(C63,Rango_Admin_DailyClas,3,FALSE()),"-")</f>
        <v>-</v>
      </c>
      <c r="F63" s="480" t="str">
        <f aca="false">IFERROR(HLOOKUP(C63,Rango_Admin_DailyClas,5,FALSE()),"-")</f>
        <v>-</v>
      </c>
      <c r="G63" s="51" t="str">
        <f aca="false">IFERROR(HLOOKUP(C63,Rango_Admin_DailyClas,4,FALSE()),"-")</f>
        <v>-</v>
      </c>
      <c r="H63" s="162" t="str">
        <f aca="false">IFERROR(VLOOKUP(H$2,Rango_Admin_DailyPred,MATCH($F63,Rango_Admin_DailyPred_Primera,0)+1,0),"-")</f>
        <v>-</v>
      </c>
      <c r="I63" s="162" t="str">
        <f aca="false">IFERROR(VLOOKUP(I$2,Rango_Admin_DailyPred,MATCH($F63,Rango_Admin_DailyPred_Primera,0)+1,0),"-")</f>
        <v>-</v>
      </c>
      <c r="J63" s="162" t="str">
        <f aca="false">IFERROR(VLOOKUP(J$2,Rango_Admin_DailyPred,MATCH($F63,Rango_Admin_DailyPred_Primera,0)+1,0),"-")</f>
        <v>-</v>
      </c>
      <c r="K63" s="162" t="str">
        <f aca="false">IFERROR(VLOOKUP(K$2,Rango_Admin_DailyPred,MATCH($F63,Rango_Admin_DailyPred_Primera,0)+1,0),"-")</f>
        <v>-</v>
      </c>
      <c r="L63" s="162" t="str">
        <f aca="false">IFERROR(VLOOKUP(L$2,Rango_Admin_DailyPred,MATCH($F63,Rango_Admin_DailyPred_Primera,0)+1,0),"-")</f>
        <v>-</v>
      </c>
      <c r="M63" s="162" t="str">
        <f aca="false">IFERROR(VLOOKUP(M$2,Rango_Admin_DailyPred,MATCH($F63,Rango_Admin_DailyPred_Primera,0)+1,0),"-")</f>
        <v>-</v>
      </c>
      <c r="N63" s="162" t="str">
        <f aca="false">IFERROR(VLOOKUP(N$2,Rango_Admin_DailyPred,MATCH($F63,Rango_Admin_DailyPred_Primera,0)+1,0),"-")</f>
        <v>-</v>
      </c>
      <c r="O63" s="162" t="str">
        <f aca="false">IFERROR(VLOOKUP(O$2,Rango_Admin_DailyPred,MATCH($F63,Rango_Admin_DailyPred_Primera,0)+1,0),"-")</f>
        <v>-</v>
      </c>
      <c r="P63" s="162" t="str">
        <f aca="false">IFERROR(VLOOKUP(P$2,Rango_Admin_DailyPred,MATCH($F63,Rango_Admin_DailyPred_Primera,0)+1,0),"-")</f>
        <v>-</v>
      </c>
      <c r="Q63" s="162" t="str">
        <f aca="false">IFERROR(VLOOKUP(Q$2,Rango_Admin_DailyPred,MATCH($F63,Rango_Admin_DailyPred_Primera,0)+1,0),"-")</f>
        <v>-</v>
      </c>
      <c r="R63" s="162" t="str">
        <f aca="false">IFERROR(VLOOKUP(R$2,Rango_Admin_DailyPred,MATCH($F63,Rango_Admin_DailyPred_Primera,0)+1,0),"-")</f>
        <v>-</v>
      </c>
      <c r="S63" s="162" t="str">
        <f aca="false">IFERROR(VLOOKUP(S$2,Rango_Admin_DailyPred,MATCH($F63,Rango_Admin_DailyPred_Primera,0)+1,0),"-")</f>
        <v>-</v>
      </c>
      <c r="T63" s="162" t="str">
        <f aca="false">IFERROR(VLOOKUP(T$2,Rango_Admin_DailyPred,MATCH($F63,Rango_Admin_DailyPred_Primera,0)+1,0),"-")</f>
        <v>-</v>
      </c>
      <c r="U63" s="162" t="str">
        <f aca="false">IFERROR(VLOOKUP(U$2,Rango_Admin_DailyPred,MATCH($F63,Rango_Admin_DailyPred_Primera,0)+1,0),"-")</f>
        <v>-</v>
      </c>
      <c r="V63" s="162" t="str">
        <f aca="false">IFERROR(VLOOKUP(V$2,Rango_Admin_DailyPred,MATCH($F63,Rango_Admin_DailyPred_Primera,0)+1,0),"-")</f>
        <v>-</v>
      </c>
      <c r="W63" s="162" t="str">
        <f aca="false">IFERROR(VLOOKUP(W$2,Rango_Admin_DailyPred,MATCH($F63,Rango_Admin_DailyPred_Primera,0)+1,0),"-")</f>
        <v>-</v>
      </c>
      <c r="X63" s="162" t="str">
        <f aca="false">IFERROR(VLOOKUP(X$2,Rango_Admin_DailyPred,MATCH($F63,Rango_Admin_DailyPred_Primera,0)+1,0),"-")</f>
        <v>-</v>
      </c>
      <c r="Y63" s="162" t="str">
        <f aca="false">IFERROR(VLOOKUP(Y$2,Rango_Admin_DailyPred,MATCH($F63,Rango_Admin_DailyPred_Primera,0)+1,0),"-")</f>
        <v>-</v>
      </c>
      <c r="Z63" s="162" t="str">
        <f aca="false">IFERROR(VLOOKUP(Z$2,Rango_Admin_DailyPred,MATCH($F63,Rango_Admin_DailyPred_Primera,0)+1,0),"-")</f>
        <v>-</v>
      </c>
      <c r="AA63" s="162" t="str">
        <f aca="false">IFERROR(VLOOKUP(AA$2,Rango_Admin_DailyPred,MATCH($F63,Rango_Admin_DailyPred_Primera,0)+1,0),"-")</f>
        <v>-</v>
      </c>
      <c r="AB63" s="162" t="str">
        <f aca="false">IFERROR(VLOOKUP(AB$2,Rango_Admin_DailyPred,MATCH($F63,Rango_Admin_DailyPred_Primera,0)+1,0),"-")</f>
        <v>-</v>
      </c>
      <c r="AC63" s="162" t="str">
        <f aca="false">IFERROR(VLOOKUP(AC$2,Rango_Admin_DailyPred,MATCH($F63,Rango_Admin_DailyPred_Primera,0)+1,0),"-")</f>
        <v>-</v>
      </c>
      <c r="AD63" s="162" t="str">
        <f aca="false">IFERROR(VLOOKUP(AD$2,Rango_Admin_DailyPred,MATCH($F63,Rango_Admin_DailyPred_Primera,0)+1,0),"-")</f>
        <v>-</v>
      </c>
      <c r="AE63" s="162" t="str">
        <f aca="false">IFERROR(VLOOKUP(AE$2,Rango_Admin_DailyPred,MATCH($F63,Rango_Admin_DailyPred_Primera,0)+1,0),"-")</f>
        <v>-</v>
      </c>
      <c r="AF63" s="162" t="str">
        <f aca="false">IFERROR(VLOOKUP(AF$2,Rango_Admin_DailyPred,MATCH($F63,Rango_Admin_DailyPred_Primera,0)+1,0),"-")</f>
        <v>-</v>
      </c>
      <c r="AG63" s="162" t="str">
        <f aca="false">IFERROR(VLOOKUP(AG$2,Rango_Admin_DailyPred,MATCH($F63,Rango_Admin_DailyPred_Primera,0)+1,0),"-")</f>
        <v>-</v>
      </c>
      <c r="AH63" s="162" t="str">
        <f aca="false">IFERROR(VLOOKUP(AH$2,Rango_Admin_DailyPred,MATCH($F63,Rango_Admin_DailyPred_Primera,0)+1,0),"-")</f>
        <v>-</v>
      </c>
      <c r="AI63" s="162" t="str">
        <f aca="false">IFERROR(VLOOKUP(AI$2,Rango_Admin_DailyPred,MATCH($F63,Rango_Admin_DailyPred_Primera,0)+1,0),"-")</f>
        <v>-</v>
      </c>
      <c r="AJ63" s="162" t="str">
        <f aca="false">IFERROR(VLOOKUP(AJ$2,Rango_Admin_DailyPred,MATCH($F63,Rango_Admin_DailyPred_Primera,0)+1,0),"-")</f>
        <v>-</v>
      </c>
      <c r="AK63" s="162" t="str">
        <f aca="false">IFERROR(VLOOKUP(AK$2,Rango_Admin_DailyPred,MATCH($F63,Rango_Admin_DailyPred_Primera,0)+1,0),"-")</f>
        <v>-</v>
      </c>
      <c r="AL63" s="162" t="str">
        <f aca="false">IFERROR(VLOOKUP(AL$2,Rango_Admin_DailyPred,MATCH($F63,Rango_Admin_DailyPred_Primera,0)+1,0),"-")</f>
        <v>-</v>
      </c>
      <c r="AM63" s="162" t="str">
        <f aca="false">IFERROR(VLOOKUP(AM$2,Rango_Admin_DailyPred,MATCH($F63,Rango_Admin_DailyPred_Primera,0)+1,0),"-")</f>
        <v>-</v>
      </c>
      <c r="AN63" s="244"/>
    </row>
    <row r="64" customFormat="false" ht="15" hidden="false" customHeight="false" outlineLevel="0" collapsed="false">
      <c r="D64" s="463"/>
      <c r="E64" s="479" t="str">
        <f aca="false">IFERROR(HLOOKUP(C64,Rango_Admin_DailyClas,3,FALSE()),"-")</f>
        <v>-</v>
      </c>
      <c r="F64" s="480" t="str">
        <f aca="false">IFERROR(HLOOKUP(C64,Rango_Admin_DailyClas,5,FALSE()),"-")</f>
        <v>-</v>
      </c>
      <c r="G64" s="51" t="str">
        <f aca="false">IFERROR(HLOOKUP(C64,Rango_Admin_DailyClas,4,FALSE()),"-")</f>
        <v>-</v>
      </c>
      <c r="H64" s="162" t="str">
        <f aca="false">IFERROR(VLOOKUP(H$2,Rango_Admin_DailyPred,MATCH($F64,Rango_Admin_DailyPred_Primera,0)+1,0),"-")</f>
        <v>-</v>
      </c>
      <c r="I64" s="162" t="str">
        <f aca="false">IFERROR(VLOOKUP(I$2,Rango_Admin_DailyPred,MATCH($F64,Rango_Admin_DailyPred_Primera,0)+1,0),"-")</f>
        <v>-</v>
      </c>
      <c r="J64" s="162" t="str">
        <f aca="false">IFERROR(VLOOKUP(J$2,Rango_Admin_DailyPred,MATCH($F64,Rango_Admin_DailyPred_Primera,0)+1,0),"-")</f>
        <v>-</v>
      </c>
      <c r="K64" s="162" t="str">
        <f aca="false">IFERROR(VLOOKUP(K$2,Rango_Admin_DailyPred,MATCH($F64,Rango_Admin_DailyPred_Primera,0)+1,0),"-")</f>
        <v>-</v>
      </c>
      <c r="L64" s="162" t="str">
        <f aca="false">IFERROR(VLOOKUP(L$2,Rango_Admin_DailyPred,MATCH($F64,Rango_Admin_DailyPred_Primera,0)+1,0),"-")</f>
        <v>-</v>
      </c>
      <c r="M64" s="162" t="str">
        <f aca="false">IFERROR(VLOOKUP(M$2,Rango_Admin_DailyPred,MATCH($F64,Rango_Admin_DailyPred_Primera,0)+1,0),"-")</f>
        <v>-</v>
      </c>
      <c r="N64" s="162" t="str">
        <f aca="false">IFERROR(VLOOKUP(N$2,Rango_Admin_DailyPred,MATCH($F64,Rango_Admin_DailyPred_Primera,0)+1,0),"-")</f>
        <v>-</v>
      </c>
      <c r="O64" s="162" t="str">
        <f aca="false">IFERROR(VLOOKUP(O$2,Rango_Admin_DailyPred,MATCH($F64,Rango_Admin_DailyPred_Primera,0)+1,0),"-")</f>
        <v>-</v>
      </c>
      <c r="P64" s="162" t="str">
        <f aca="false">IFERROR(VLOOKUP(P$2,Rango_Admin_DailyPred,MATCH($F64,Rango_Admin_DailyPred_Primera,0)+1,0),"-")</f>
        <v>-</v>
      </c>
      <c r="Q64" s="162" t="str">
        <f aca="false">IFERROR(VLOOKUP(Q$2,Rango_Admin_DailyPred,MATCH($F64,Rango_Admin_DailyPred_Primera,0)+1,0),"-")</f>
        <v>-</v>
      </c>
      <c r="R64" s="162" t="str">
        <f aca="false">IFERROR(VLOOKUP(R$2,Rango_Admin_DailyPred,MATCH($F64,Rango_Admin_DailyPred_Primera,0)+1,0),"-")</f>
        <v>-</v>
      </c>
      <c r="S64" s="162" t="str">
        <f aca="false">IFERROR(VLOOKUP(S$2,Rango_Admin_DailyPred,MATCH($F64,Rango_Admin_DailyPred_Primera,0)+1,0),"-")</f>
        <v>-</v>
      </c>
      <c r="T64" s="162" t="str">
        <f aca="false">IFERROR(VLOOKUP(T$2,Rango_Admin_DailyPred,MATCH($F64,Rango_Admin_DailyPred_Primera,0)+1,0),"-")</f>
        <v>-</v>
      </c>
      <c r="U64" s="162" t="str">
        <f aca="false">IFERROR(VLOOKUP(U$2,Rango_Admin_DailyPred,MATCH($F64,Rango_Admin_DailyPred_Primera,0)+1,0),"-")</f>
        <v>-</v>
      </c>
      <c r="V64" s="162" t="str">
        <f aca="false">IFERROR(VLOOKUP(V$2,Rango_Admin_DailyPred,MATCH($F64,Rango_Admin_DailyPred_Primera,0)+1,0),"-")</f>
        <v>-</v>
      </c>
      <c r="W64" s="162" t="str">
        <f aca="false">IFERROR(VLOOKUP(W$2,Rango_Admin_DailyPred,MATCH($F64,Rango_Admin_DailyPred_Primera,0)+1,0),"-")</f>
        <v>-</v>
      </c>
      <c r="X64" s="162" t="str">
        <f aca="false">IFERROR(VLOOKUP(X$2,Rango_Admin_DailyPred,MATCH($F64,Rango_Admin_DailyPred_Primera,0)+1,0),"-")</f>
        <v>-</v>
      </c>
      <c r="Y64" s="162" t="str">
        <f aca="false">IFERROR(VLOOKUP(Y$2,Rango_Admin_DailyPred,MATCH($F64,Rango_Admin_DailyPred_Primera,0)+1,0),"-")</f>
        <v>-</v>
      </c>
      <c r="Z64" s="162" t="str">
        <f aca="false">IFERROR(VLOOKUP(Z$2,Rango_Admin_DailyPred,MATCH($F64,Rango_Admin_DailyPred_Primera,0)+1,0),"-")</f>
        <v>-</v>
      </c>
      <c r="AA64" s="162" t="str">
        <f aca="false">IFERROR(VLOOKUP(AA$2,Rango_Admin_DailyPred,MATCH($F64,Rango_Admin_DailyPred_Primera,0)+1,0),"-")</f>
        <v>-</v>
      </c>
      <c r="AB64" s="162" t="str">
        <f aca="false">IFERROR(VLOOKUP(AB$2,Rango_Admin_DailyPred,MATCH($F64,Rango_Admin_DailyPred_Primera,0)+1,0),"-")</f>
        <v>-</v>
      </c>
      <c r="AC64" s="162" t="str">
        <f aca="false">IFERROR(VLOOKUP(AC$2,Rango_Admin_DailyPred,MATCH($F64,Rango_Admin_DailyPred_Primera,0)+1,0),"-")</f>
        <v>-</v>
      </c>
      <c r="AD64" s="162" t="str">
        <f aca="false">IFERROR(VLOOKUP(AD$2,Rango_Admin_DailyPred,MATCH($F64,Rango_Admin_DailyPred_Primera,0)+1,0),"-")</f>
        <v>-</v>
      </c>
      <c r="AE64" s="162" t="str">
        <f aca="false">IFERROR(VLOOKUP(AE$2,Rango_Admin_DailyPred,MATCH($F64,Rango_Admin_DailyPred_Primera,0)+1,0),"-")</f>
        <v>-</v>
      </c>
      <c r="AF64" s="162" t="str">
        <f aca="false">IFERROR(VLOOKUP(AF$2,Rango_Admin_DailyPred,MATCH($F64,Rango_Admin_DailyPred_Primera,0)+1,0),"-")</f>
        <v>-</v>
      </c>
      <c r="AG64" s="162" t="str">
        <f aca="false">IFERROR(VLOOKUP(AG$2,Rango_Admin_DailyPred,MATCH($F64,Rango_Admin_DailyPred_Primera,0)+1,0),"-")</f>
        <v>-</v>
      </c>
      <c r="AH64" s="162" t="str">
        <f aca="false">IFERROR(VLOOKUP(AH$2,Rango_Admin_DailyPred,MATCH($F64,Rango_Admin_DailyPred_Primera,0)+1,0),"-")</f>
        <v>-</v>
      </c>
      <c r="AI64" s="162" t="str">
        <f aca="false">IFERROR(VLOOKUP(AI$2,Rango_Admin_DailyPred,MATCH($F64,Rango_Admin_DailyPred_Primera,0)+1,0),"-")</f>
        <v>-</v>
      </c>
      <c r="AJ64" s="162" t="str">
        <f aca="false">IFERROR(VLOOKUP(AJ$2,Rango_Admin_DailyPred,MATCH($F64,Rango_Admin_DailyPred_Primera,0)+1,0),"-")</f>
        <v>-</v>
      </c>
      <c r="AK64" s="162" t="str">
        <f aca="false">IFERROR(VLOOKUP(AK$2,Rango_Admin_DailyPred,MATCH($F64,Rango_Admin_DailyPred_Primera,0)+1,0),"-")</f>
        <v>-</v>
      </c>
      <c r="AL64" s="162" t="str">
        <f aca="false">IFERROR(VLOOKUP(AL$2,Rango_Admin_DailyPred,MATCH($F64,Rango_Admin_DailyPred_Primera,0)+1,0),"-")</f>
        <v>-</v>
      </c>
      <c r="AM64" s="162" t="str">
        <f aca="false">IFERROR(VLOOKUP(AM$2,Rango_Admin_DailyPred,MATCH($F64,Rango_Admin_DailyPred_Primera,0)+1,0),"-")</f>
        <v>-</v>
      </c>
      <c r="AN64" s="244"/>
    </row>
    <row r="65" customFormat="false" ht="15" hidden="false" customHeight="false" outlineLevel="0" collapsed="false">
      <c r="D65" s="463"/>
      <c r="E65" s="479" t="str">
        <f aca="false">IFERROR(HLOOKUP(C65,Rango_Admin_DailyClas,3,FALSE()),"-")</f>
        <v>-</v>
      </c>
      <c r="F65" s="480" t="str">
        <f aca="false">IFERROR(HLOOKUP(C65,Rango_Admin_DailyClas,5,FALSE()),"-")</f>
        <v>-</v>
      </c>
      <c r="G65" s="51" t="str">
        <f aca="false">IFERROR(HLOOKUP(C65,Rango_Admin_DailyClas,4,FALSE()),"-")</f>
        <v>-</v>
      </c>
      <c r="H65" s="162" t="str">
        <f aca="false">IFERROR(VLOOKUP(H$2,Rango_Admin_DailyPred,MATCH($F65,Rango_Admin_DailyPred_Primera,0)+1,0),"-")</f>
        <v>-</v>
      </c>
      <c r="I65" s="162" t="str">
        <f aca="false">IFERROR(VLOOKUP(I$2,Rango_Admin_DailyPred,MATCH($F65,Rango_Admin_DailyPred_Primera,0)+1,0),"-")</f>
        <v>-</v>
      </c>
      <c r="J65" s="162" t="str">
        <f aca="false">IFERROR(VLOOKUP(J$2,Rango_Admin_DailyPred,MATCH($F65,Rango_Admin_DailyPred_Primera,0)+1,0),"-")</f>
        <v>-</v>
      </c>
      <c r="K65" s="162" t="str">
        <f aca="false">IFERROR(VLOOKUP(K$2,Rango_Admin_DailyPred,MATCH($F65,Rango_Admin_DailyPred_Primera,0)+1,0),"-")</f>
        <v>-</v>
      </c>
      <c r="L65" s="162" t="str">
        <f aca="false">IFERROR(VLOOKUP(L$2,Rango_Admin_DailyPred,MATCH($F65,Rango_Admin_DailyPred_Primera,0)+1,0),"-")</f>
        <v>-</v>
      </c>
      <c r="M65" s="162" t="str">
        <f aca="false">IFERROR(VLOOKUP(M$2,Rango_Admin_DailyPred,MATCH($F65,Rango_Admin_DailyPred_Primera,0)+1,0),"-")</f>
        <v>-</v>
      </c>
      <c r="N65" s="162" t="str">
        <f aca="false">IFERROR(VLOOKUP(N$2,Rango_Admin_DailyPred,MATCH($F65,Rango_Admin_DailyPred_Primera,0)+1,0),"-")</f>
        <v>-</v>
      </c>
      <c r="O65" s="162" t="str">
        <f aca="false">IFERROR(VLOOKUP(O$2,Rango_Admin_DailyPred,MATCH($F65,Rango_Admin_DailyPred_Primera,0)+1,0),"-")</f>
        <v>-</v>
      </c>
      <c r="P65" s="162" t="str">
        <f aca="false">IFERROR(VLOOKUP(P$2,Rango_Admin_DailyPred,MATCH($F65,Rango_Admin_DailyPred_Primera,0)+1,0),"-")</f>
        <v>-</v>
      </c>
      <c r="Q65" s="162" t="str">
        <f aca="false">IFERROR(VLOOKUP(Q$2,Rango_Admin_DailyPred,MATCH($F65,Rango_Admin_DailyPred_Primera,0)+1,0),"-")</f>
        <v>-</v>
      </c>
      <c r="R65" s="162" t="str">
        <f aca="false">IFERROR(VLOOKUP(R$2,Rango_Admin_DailyPred,MATCH($F65,Rango_Admin_DailyPred_Primera,0)+1,0),"-")</f>
        <v>-</v>
      </c>
      <c r="S65" s="162" t="str">
        <f aca="false">IFERROR(VLOOKUP(S$2,Rango_Admin_DailyPred,MATCH($F65,Rango_Admin_DailyPred_Primera,0)+1,0),"-")</f>
        <v>-</v>
      </c>
      <c r="T65" s="162" t="str">
        <f aca="false">IFERROR(VLOOKUP(T$2,Rango_Admin_DailyPred,MATCH($F65,Rango_Admin_DailyPred_Primera,0)+1,0),"-")</f>
        <v>-</v>
      </c>
      <c r="U65" s="162" t="str">
        <f aca="false">IFERROR(VLOOKUP(U$2,Rango_Admin_DailyPred,MATCH($F65,Rango_Admin_DailyPred_Primera,0)+1,0),"-")</f>
        <v>-</v>
      </c>
      <c r="V65" s="162" t="str">
        <f aca="false">IFERROR(VLOOKUP(V$2,Rango_Admin_DailyPred,MATCH($F65,Rango_Admin_DailyPred_Primera,0)+1,0),"-")</f>
        <v>-</v>
      </c>
      <c r="W65" s="162" t="str">
        <f aca="false">IFERROR(VLOOKUP(W$2,Rango_Admin_DailyPred,MATCH($F65,Rango_Admin_DailyPred_Primera,0)+1,0),"-")</f>
        <v>-</v>
      </c>
      <c r="X65" s="162" t="str">
        <f aca="false">IFERROR(VLOOKUP(X$2,Rango_Admin_DailyPred,MATCH($F65,Rango_Admin_DailyPred_Primera,0)+1,0),"-")</f>
        <v>-</v>
      </c>
      <c r="Y65" s="162" t="str">
        <f aca="false">IFERROR(VLOOKUP(Y$2,Rango_Admin_DailyPred,MATCH($F65,Rango_Admin_DailyPred_Primera,0)+1,0),"-")</f>
        <v>-</v>
      </c>
      <c r="Z65" s="162" t="str">
        <f aca="false">IFERROR(VLOOKUP(Z$2,Rango_Admin_DailyPred,MATCH($F65,Rango_Admin_DailyPred_Primera,0)+1,0),"-")</f>
        <v>-</v>
      </c>
      <c r="AA65" s="162" t="str">
        <f aca="false">IFERROR(VLOOKUP(AA$2,Rango_Admin_DailyPred,MATCH($F65,Rango_Admin_DailyPred_Primera,0)+1,0),"-")</f>
        <v>-</v>
      </c>
      <c r="AB65" s="162" t="str">
        <f aca="false">IFERROR(VLOOKUP(AB$2,Rango_Admin_DailyPred,MATCH($F65,Rango_Admin_DailyPred_Primera,0)+1,0),"-")</f>
        <v>-</v>
      </c>
      <c r="AC65" s="162" t="str">
        <f aca="false">IFERROR(VLOOKUP(AC$2,Rango_Admin_DailyPred,MATCH($F65,Rango_Admin_DailyPred_Primera,0)+1,0),"-")</f>
        <v>-</v>
      </c>
      <c r="AD65" s="162" t="str">
        <f aca="false">IFERROR(VLOOKUP(AD$2,Rango_Admin_DailyPred,MATCH($F65,Rango_Admin_DailyPred_Primera,0)+1,0),"-")</f>
        <v>-</v>
      </c>
      <c r="AE65" s="162" t="str">
        <f aca="false">IFERROR(VLOOKUP(AE$2,Rango_Admin_DailyPred,MATCH($F65,Rango_Admin_DailyPred_Primera,0)+1,0),"-")</f>
        <v>-</v>
      </c>
      <c r="AF65" s="162" t="str">
        <f aca="false">IFERROR(VLOOKUP(AF$2,Rango_Admin_DailyPred,MATCH($F65,Rango_Admin_DailyPred_Primera,0)+1,0),"-")</f>
        <v>-</v>
      </c>
      <c r="AG65" s="162" t="str">
        <f aca="false">IFERROR(VLOOKUP(AG$2,Rango_Admin_DailyPred,MATCH($F65,Rango_Admin_DailyPred_Primera,0)+1,0),"-")</f>
        <v>-</v>
      </c>
      <c r="AH65" s="162" t="str">
        <f aca="false">IFERROR(VLOOKUP(AH$2,Rango_Admin_DailyPred,MATCH($F65,Rango_Admin_DailyPred_Primera,0)+1,0),"-")</f>
        <v>-</v>
      </c>
      <c r="AI65" s="162" t="str">
        <f aca="false">IFERROR(VLOOKUP(AI$2,Rango_Admin_DailyPred,MATCH($F65,Rango_Admin_DailyPred_Primera,0)+1,0),"-")</f>
        <v>-</v>
      </c>
      <c r="AJ65" s="162" t="str">
        <f aca="false">IFERROR(VLOOKUP(AJ$2,Rango_Admin_DailyPred,MATCH($F65,Rango_Admin_DailyPred_Primera,0)+1,0),"-")</f>
        <v>-</v>
      </c>
      <c r="AK65" s="162" t="str">
        <f aca="false">IFERROR(VLOOKUP(AK$2,Rango_Admin_DailyPred,MATCH($F65,Rango_Admin_DailyPred_Primera,0)+1,0),"-")</f>
        <v>-</v>
      </c>
      <c r="AL65" s="162" t="str">
        <f aca="false">IFERROR(VLOOKUP(AL$2,Rango_Admin_DailyPred,MATCH($F65,Rango_Admin_DailyPred_Primera,0)+1,0),"-")</f>
        <v>-</v>
      </c>
      <c r="AM65" s="162" t="str">
        <f aca="false">IFERROR(VLOOKUP(AM$2,Rango_Admin_DailyPred,MATCH($F65,Rango_Admin_DailyPred_Primera,0)+1,0),"-")</f>
        <v>-</v>
      </c>
      <c r="AN65" s="244"/>
    </row>
    <row r="66" customFormat="false" ht="15" hidden="false" customHeight="false" outlineLevel="0" collapsed="false">
      <c r="D66" s="463"/>
      <c r="E66" s="479" t="str">
        <f aca="false">IFERROR(HLOOKUP(C66,Rango_Admin_DailyClas,3,FALSE()),"-")</f>
        <v>-</v>
      </c>
      <c r="F66" s="480" t="str">
        <f aca="false">IFERROR(HLOOKUP(C66,Rango_Admin_DailyClas,5,FALSE()),"-")</f>
        <v>-</v>
      </c>
      <c r="G66" s="51" t="str">
        <f aca="false">IFERROR(HLOOKUP(C66,Rango_Admin_DailyClas,4,FALSE()),"-")</f>
        <v>-</v>
      </c>
      <c r="H66" s="162" t="str">
        <f aca="false">IFERROR(VLOOKUP(H$2,Rango_Admin_DailyPred,MATCH($F66,Rango_Admin_DailyPred_Primera,0)+1,0),"-")</f>
        <v>-</v>
      </c>
      <c r="I66" s="162" t="str">
        <f aca="false">IFERROR(VLOOKUP(I$2,Rango_Admin_DailyPred,MATCH($F66,Rango_Admin_DailyPred_Primera,0)+1,0),"-")</f>
        <v>-</v>
      </c>
      <c r="J66" s="162" t="str">
        <f aca="false">IFERROR(VLOOKUP(J$2,Rango_Admin_DailyPred,MATCH($F66,Rango_Admin_DailyPred_Primera,0)+1,0),"-")</f>
        <v>-</v>
      </c>
      <c r="K66" s="162" t="str">
        <f aca="false">IFERROR(VLOOKUP(K$2,Rango_Admin_DailyPred,MATCH($F66,Rango_Admin_DailyPred_Primera,0)+1,0),"-")</f>
        <v>-</v>
      </c>
      <c r="L66" s="162" t="str">
        <f aca="false">IFERROR(VLOOKUP(L$2,Rango_Admin_DailyPred,MATCH($F66,Rango_Admin_DailyPred_Primera,0)+1,0),"-")</f>
        <v>-</v>
      </c>
      <c r="M66" s="162" t="str">
        <f aca="false">IFERROR(VLOOKUP(M$2,Rango_Admin_DailyPred,MATCH($F66,Rango_Admin_DailyPred_Primera,0)+1,0),"-")</f>
        <v>-</v>
      </c>
      <c r="N66" s="162" t="str">
        <f aca="false">IFERROR(VLOOKUP(N$2,Rango_Admin_DailyPred,MATCH($F66,Rango_Admin_DailyPred_Primera,0)+1,0),"-")</f>
        <v>-</v>
      </c>
      <c r="O66" s="162" t="str">
        <f aca="false">IFERROR(VLOOKUP(O$2,Rango_Admin_DailyPred,MATCH($F66,Rango_Admin_DailyPred_Primera,0)+1,0),"-")</f>
        <v>-</v>
      </c>
      <c r="P66" s="162" t="str">
        <f aca="false">IFERROR(VLOOKUP(P$2,Rango_Admin_DailyPred,MATCH($F66,Rango_Admin_DailyPred_Primera,0)+1,0),"-")</f>
        <v>-</v>
      </c>
      <c r="Q66" s="162" t="str">
        <f aca="false">IFERROR(VLOOKUP(Q$2,Rango_Admin_DailyPred,MATCH($F66,Rango_Admin_DailyPred_Primera,0)+1,0),"-")</f>
        <v>-</v>
      </c>
      <c r="R66" s="162" t="str">
        <f aca="false">IFERROR(VLOOKUP(R$2,Rango_Admin_DailyPred,MATCH($F66,Rango_Admin_DailyPred_Primera,0)+1,0),"-")</f>
        <v>-</v>
      </c>
      <c r="S66" s="162" t="str">
        <f aca="false">IFERROR(VLOOKUP(S$2,Rango_Admin_DailyPred,MATCH($F66,Rango_Admin_DailyPred_Primera,0)+1,0),"-")</f>
        <v>-</v>
      </c>
      <c r="T66" s="162" t="str">
        <f aca="false">IFERROR(VLOOKUP(T$2,Rango_Admin_DailyPred,MATCH($F66,Rango_Admin_DailyPred_Primera,0)+1,0),"-")</f>
        <v>-</v>
      </c>
      <c r="U66" s="162" t="str">
        <f aca="false">IFERROR(VLOOKUP(U$2,Rango_Admin_DailyPred,MATCH($F66,Rango_Admin_DailyPred_Primera,0)+1,0),"-")</f>
        <v>-</v>
      </c>
      <c r="V66" s="162" t="str">
        <f aca="false">IFERROR(VLOOKUP(V$2,Rango_Admin_DailyPred,MATCH($F66,Rango_Admin_DailyPred_Primera,0)+1,0),"-")</f>
        <v>-</v>
      </c>
      <c r="W66" s="162" t="str">
        <f aca="false">IFERROR(VLOOKUP(W$2,Rango_Admin_DailyPred,MATCH($F66,Rango_Admin_DailyPred_Primera,0)+1,0),"-")</f>
        <v>-</v>
      </c>
      <c r="X66" s="162" t="str">
        <f aca="false">IFERROR(VLOOKUP(X$2,Rango_Admin_DailyPred,MATCH($F66,Rango_Admin_DailyPred_Primera,0)+1,0),"-")</f>
        <v>-</v>
      </c>
      <c r="Y66" s="162" t="str">
        <f aca="false">IFERROR(VLOOKUP(Y$2,Rango_Admin_DailyPred,MATCH($F66,Rango_Admin_DailyPred_Primera,0)+1,0),"-")</f>
        <v>-</v>
      </c>
      <c r="Z66" s="162" t="str">
        <f aca="false">IFERROR(VLOOKUP(Z$2,Rango_Admin_DailyPred,MATCH($F66,Rango_Admin_DailyPred_Primera,0)+1,0),"-")</f>
        <v>-</v>
      </c>
      <c r="AA66" s="162" t="str">
        <f aca="false">IFERROR(VLOOKUP(AA$2,Rango_Admin_DailyPred,MATCH($F66,Rango_Admin_DailyPred_Primera,0)+1,0),"-")</f>
        <v>-</v>
      </c>
      <c r="AB66" s="162" t="str">
        <f aca="false">IFERROR(VLOOKUP(AB$2,Rango_Admin_DailyPred,MATCH($F66,Rango_Admin_DailyPred_Primera,0)+1,0),"-")</f>
        <v>-</v>
      </c>
      <c r="AC66" s="162" t="str">
        <f aca="false">IFERROR(VLOOKUP(AC$2,Rango_Admin_DailyPred,MATCH($F66,Rango_Admin_DailyPred_Primera,0)+1,0),"-")</f>
        <v>-</v>
      </c>
      <c r="AD66" s="162" t="str">
        <f aca="false">IFERROR(VLOOKUP(AD$2,Rango_Admin_DailyPred,MATCH($F66,Rango_Admin_DailyPred_Primera,0)+1,0),"-")</f>
        <v>-</v>
      </c>
      <c r="AE66" s="162" t="str">
        <f aca="false">IFERROR(VLOOKUP(AE$2,Rango_Admin_DailyPred,MATCH($F66,Rango_Admin_DailyPred_Primera,0)+1,0),"-")</f>
        <v>-</v>
      </c>
      <c r="AF66" s="162" t="str">
        <f aca="false">IFERROR(VLOOKUP(AF$2,Rango_Admin_DailyPred,MATCH($F66,Rango_Admin_DailyPred_Primera,0)+1,0),"-")</f>
        <v>-</v>
      </c>
      <c r="AG66" s="162" t="str">
        <f aca="false">IFERROR(VLOOKUP(AG$2,Rango_Admin_DailyPred,MATCH($F66,Rango_Admin_DailyPred_Primera,0)+1,0),"-")</f>
        <v>-</v>
      </c>
      <c r="AH66" s="162" t="str">
        <f aca="false">IFERROR(VLOOKUP(AH$2,Rango_Admin_DailyPred,MATCH($F66,Rango_Admin_DailyPred_Primera,0)+1,0),"-")</f>
        <v>-</v>
      </c>
      <c r="AI66" s="162" t="str">
        <f aca="false">IFERROR(VLOOKUP(AI$2,Rango_Admin_DailyPred,MATCH($F66,Rango_Admin_DailyPred_Primera,0)+1,0),"-")</f>
        <v>-</v>
      </c>
      <c r="AJ66" s="162" t="str">
        <f aca="false">IFERROR(VLOOKUP(AJ$2,Rango_Admin_DailyPred,MATCH($F66,Rango_Admin_DailyPred_Primera,0)+1,0),"-")</f>
        <v>-</v>
      </c>
      <c r="AK66" s="162" t="str">
        <f aca="false">IFERROR(VLOOKUP(AK$2,Rango_Admin_DailyPred,MATCH($F66,Rango_Admin_DailyPred_Primera,0)+1,0),"-")</f>
        <v>-</v>
      </c>
      <c r="AL66" s="162" t="str">
        <f aca="false">IFERROR(VLOOKUP(AL$2,Rango_Admin_DailyPred,MATCH($F66,Rango_Admin_DailyPred_Primera,0)+1,0),"-")</f>
        <v>-</v>
      </c>
      <c r="AM66" s="162" t="str">
        <f aca="false">IFERROR(VLOOKUP(AM$2,Rango_Admin_DailyPred,MATCH($F66,Rango_Admin_DailyPred_Primera,0)+1,0),"-")</f>
        <v>-</v>
      </c>
      <c r="AN66" s="244"/>
    </row>
    <row r="67" customFormat="false" ht="15" hidden="false" customHeight="false" outlineLevel="0" collapsed="false">
      <c r="D67" s="463"/>
      <c r="E67" s="479" t="str">
        <f aca="false">IFERROR(HLOOKUP(C67,Rango_Admin_DailyClas,3,FALSE()),"-")</f>
        <v>-</v>
      </c>
      <c r="F67" s="480" t="str">
        <f aca="false">IFERROR(HLOOKUP(C67,Rango_Admin_DailyClas,5,FALSE()),"-")</f>
        <v>-</v>
      </c>
      <c r="G67" s="51" t="str">
        <f aca="false">IFERROR(HLOOKUP(C67,Rango_Admin_DailyClas,4,FALSE()),"-")</f>
        <v>-</v>
      </c>
      <c r="H67" s="162" t="str">
        <f aca="false">IFERROR(VLOOKUP(H$2,Rango_Admin_DailyPred,MATCH($F67,Rango_Admin_DailyPred_Primera,0)+1,0),"-")</f>
        <v>-</v>
      </c>
      <c r="I67" s="162" t="str">
        <f aca="false">IFERROR(VLOOKUP(I$2,Rango_Admin_DailyPred,MATCH($F67,Rango_Admin_DailyPred_Primera,0)+1,0),"-")</f>
        <v>-</v>
      </c>
      <c r="J67" s="162" t="str">
        <f aca="false">IFERROR(VLOOKUP(J$2,Rango_Admin_DailyPred,MATCH($F67,Rango_Admin_DailyPred_Primera,0)+1,0),"-")</f>
        <v>-</v>
      </c>
      <c r="K67" s="162" t="str">
        <f aca="false">IFERROR(VLOOKUP(K$2,Rango_Admin_DailyPred,MATCH($F67,Rango_Admin_DailyPred_Primera,0)+1,0),"-")</f>
        <v>-</v>
      </c>
      <c r="L67" s="162" t="str">
        <f aca="false">IFERROR(VLOOKUP(L$2,Rango_Admin_DailyPred,MATCH($F67,Rango_Admin_DailyPred_Primera,0)+1,0),"-")</f>
        <v>-</v>
      </c>
      <c r="M67" s="162" t="str">
        <f aca="false">IFERROR(VLOOKUP(M$2,Rango_Admin_DailyPred,MATCH($F67,Rango_Admin_DailyPred_Primera,0)+1,0),"-")</f>
        <v>-</v>
      </c>
      <c r="N67" s="162" t="str">
        <f aca="false">IFERROR(VLOOKUP(N$2,Rango_Admin_DailyPred,MATCH($F67,Rango_Admin_DailyPred_Primera,0)+1,0),"-")</f>
        <v>-</v>
      </c>
      <c r="O67" s="162" t="str">
        <f aca="false">IFERROR(VLOOKUP(O$2,Rango_Admin_DailyPred,MATCH($F67,Rango_Admin_DailyPred_Primera,0)+1,0),"-")</f>
        <v>-</v>
      </c>
      <c r="P67" s="162" t="str">
        <f aca="false">IFERROR(VLOOKUP(P$2,Rango_Admin_DailyPred,MATCH($F67,Rango_Admin_DailyPred_Primera,0)+1,0),"-")</f>
        <v>-</v>
      </c>
      <c r="Q67" s="162" t="str">
        <f aca="false">IFERROR(VLOOKUP(Q$2,Rango_Admin_DailyPred,MATCH($F67,Rango_Admin_DailyPred_Primera,0)+1,0),"-")</f>
        <v>-</v>
      </c>
      <c r="R67" s="162" t="str">
        <f aca="false">IFERROR(VLOOKUP(R$2,Rango_Admin_DailyPred,MATCH($F67,Rango_Admin_DailyPred_Primera,0)+1,0),"-")</f>
        <v>-</v>
      </c>
      <c r="S67" s="162" t="str">
        <f aca="false">IFERROR(VLOOKUP(S$2,Rango_Admin_DailyPred,MATCH($F67,Rango_Admin_DailyPred_Primera,0)+1,0),"-")</f>
        <v>-</v>
      </c>
      <c r="T67" s="162" t="str">
        <f aca="false">IFERROR(VLOOKUP(T$2,Rango_Admin_DailyPred,MATCH($F67,Rango_Admin_DailyPred_Primera,0)+1,0),"-")</f>
        <v>-</v>
      </c>
      <c r="U67" s="162" t="str">
        <f aca="false">IFERROR(VLOOKUP(U$2,Rango_Admin_DailyPred,MATCH($F67,Rango_Admin_DailyPred_Primera,0)+1,0),"-")</f>
        <v>-</v>
      </c>
      <c r="V67" s="162" t="str">
        <f aca="false">IFERROR(VLOOKUP(V$2,Rango_Admin_DailyPred,MATCH($F67,Rango_Admin_DailyPred_Primera,0)+1,0),"-")</f>
        <v>-</v>
      </c>
      <c r="W67" s="162" t="str">
        <f aca="false">IFERROR(VLOOKUP(W$2,Rango_Admin_DailyPred,MATCH($F67,Rango_Admin_DailyPred_Primera,0)+1,0),"-")</f>
        <v>-</v>
      </c>
      <c r="X67" s="162" t="str">
        <f aca="false">IFERROR(VLOOKUP(X$2,Rango_Admin_DailyPred,MATCH($F67,Rango_Admin_DailyPred_Primera,0)+1,0),"-")</f>
        <v>-</v>
      </c>
      <c r="Y67" s="162" t="str">
        <f aca="false">IFERROR(VLOOKUP(Y$2,Rango_Admin_DailyPred,MATCH($F67,Rango_Admin_DailyPred_Primera,0)+1,0),"-")</f>
        <v>-</v>
      </c>
      <c r="Z67" s="162" t="str">
        <f aca="false">IFERROR(VLOOKUP(Z$2,Rango_Admin_DailyPred,MATCH($F67,Rango_Admin_DailyPred_Primera,0)+1,0),"-")</f>
        <v>-</v>
      </c>
      <c r="AA67" s="162" t="str">
        <f aca="false">IFERROR(VLOOKUP(AA$2,Rango_Admin_DailyPred,MATCH($F67,Rango_Admin_DailyPred_Primera,0)+1,0),"-")</f>
        <v>-</v>
      </c>
      <c r="AB67" s="162" t="str">
        <f aca="false">IFERROR(VLOOKUP(AB$2,Rango_Admin_DailyPred,MATCH($F67,Rango_Admin_DailyPred_Primera,0)+1,0),"-")</f>
        <v>-</v>
      </c>
      <c r="AC67" s="162" t="str">
        <f aca="false">IFERROR(VLOOKUP(AC$2,Rango_Admin_DailyPred,MATCH($F67,Rango_Admin_DailyPred_Primera,0)+1,0),"-")</f>
        <v>-</v>
      </c>
      <c r="AD67" s="162" t="str">
        <f aca="false">IFERROR(VLOOKUP(AD$2,Rango_Admin_DailyPred,MATCH($F67,Rango_Admin_DailyPred_Primera,0)+1,0),"-")</f>
        <v>-</v>
      </c>
      <c r="AE67" s="162" t="str">
        <f aca="false">IFERROR(VLOOKUP(AE$2,Rango_Admin_DailyPred,MATCH($F67,Rango_Admin_DailyPred_Primera,0)+1,0),"-")</f>
        <v>-</v>
      </c>
      <c r="AF67" s="162" t="str">
        <f aca="false">IFERROR(VLOOKUP(AF$2,Rango_Admin_DailyPred,MATCH($F67,Rango_Admin_DailyPred_Primera,0)+1,0),"-")</f>
        <v>-</v>
      </c>
      <c r="AG67" s="162" t="str">
        <f aca="false">IFERROR(VLOOKUP(AG$2,Rango_Admin_DailyPred,MATCH($F67,Rango_Admin_DailyPred_Primera,0)+1,0),"-")</f>
        <v>-</v>
      </c>
      <c r="AH67" s="162" t="str">
        <f aca="false">IFERROR(VLOOKUP(AH$2,Rango_Admin_DailyPred,MATCH($F67,Rango_Admin_DailyPred_Primera,0)+1,0),"-")</f>
        <v>-</v>
      </c>
      <c r="AI67" s="162" t="str">
        <f aca="false">IFERROR(VLOOKUP(AI$2,Rango_Admin_DailyPred,MATCH($F67,Rango_Admin_DailyPred_Primera,0)+1,0),"-")</f>
        <v>-</v>
      </c>
      <c r="AJ67" s="162" t="str">
        <f aca="false">IFERROR(VLOOKUP(AJ$2,Rango_Admin_DailyPred,MATCH($F67,Rango_Admin_DailyPred_Primera,0)+1,0),"-")</f>
        <v>-</v>
      </c>
      <c r="AK67" s="162" t="str">
        <f aca="false">IFERROR(VLOOKUP(AK$2,Rango_Admin_DailyPred,MATCH($F67,Rango_Admin_DailyPred_Primera,0)+1,0),"-")</f>
        <v>-</v>
      </c>
      <c r="AL67" s="162" t="str">
        <f aca="false">IFERROR(VLOOKUP(AL$2,Rango_Admin_DailyPred,MATCH($F67,Rango_Admin_DailyPred_Primera,0)+1,0),"-")</f>
        <v>-</v>
      </c>
      <c r="AM67" s="162" t="str">
        <f aca="false">IFERROR(VLOOKUP(AM$2,Rango_Admin_DailyPred,MATCH($F67,Rango_Admin_DailyPred_Primera,0)+1,0),"-")</f>
        <v>-</v>
      </c>
      <c r="AN67" s="244"/>
    </row>
    <row r="68" customFormat="false" ht="15" hidden="false" customHeight="false" outlineLevel="0" collapsed="false">
      <c r="D68" s="463"/>
      <c r="E68" s="479" t="str">
        <f aca="false">IFERROR(HLOOKUP(C68,Rango_Admin_DailyClas,3,FALSE()),"-")</f>
        <v>-</v>
      </c>
      <c r="F68" s="480" t="str">
        <f aca="false">IFERROR(HLOOKUP(C68,Rango_Admin_DailyClas,5,FALSE()),"-")</f>
        <v>-</v>
      </c>
      <c r="G68" s="51" t="str">
        <f aca="false">IFERROR(HLOOKUP(C68,Rango_Admin_DailyClas,4,FALSE()),"-")</f>
        <v>-</v>
      </c>
      <c r="H68" s="162" t="str">
        <f aca="false">IFERROR(VLOOKUP(H$2,Rango_Admin_DailyPred,MATCH($F68,Rango_Admin_DailyPred_Primera,0)+1,0),"-")</f>
        <v>-</v>
      </c>
      <c r="I68" s="162" t="str">
        <f aca="false">IFERROR(VLOOKUP(I$2,Rango_Admin_DailyPred,MATCH($F68,Rango_Admin_DailyPred_Primera,0)+1,0),"-")</f>
        <v>-</v>
      </c>
      <c r="J68" s="162" t="str">
        <f aca="false">IFERROR(VLOOKUP(J$2,Rango_Admin_DailyPred,MATCH($F68,Rango_Admin_DailyPred_Primera,0)+1,0),"-")</f>
        <v>-</v>
      </c>
      <c r="K68" s="162" t="str">
        <f aca="false">IFERROR(VLOOKUP(K$2,Rango_Admin_DailyPred,MATCH($F68,Rango_Admin_DailyPred_Primera,0)+1,0),"-")</f>
        <v>-</v>
      </c>
      <c r="L68" s="162" t="str">
        <f aca="false">IFERROR(VLOOKUP(L$2,Rango_Admin_DailyPred,MATCH($F68,Rango_Admin_DailyPred_Primera,0)+1,0),"-")</f>
        <v>-</v>
      </c>
      <c r="M68" s="162" t="str">
        <f aca="false">IFERROR(VLOOKUP(M$2,Rango_Admin_DailyPred,MATCH($F68,Rango_Admin_DailyPred_Primera,0)+1,0),"-")</f>
        <v>-</v>
      </c>
      <c r="N68" s="162" t="str">
        <f aca="false">IFERROR(VLOOKUP(N$2,Rango_Admin_DailyPred,MATCH($F68,Rango_Admin_DailyPred_Primera,0)+1,0),"-")</f>
        <v>-</v>
      </c>
      <c r="O68" s="162" t="str">
        <f aca="false">IFERROR(VLOOKUP(O$2,Rango_Admin_DailyPred,MATCH($F68,Rango_Admin_DailyPred_Primera,0)+1,0),"-")</f>
        <v>-</v>
      </c>
      <c r="P68" s="162" t="str">
        <f aca="false">IFERROR(VLOOKUP(P$2,Rango_Admin_DailyPred,MATCH($F68,Rango_Admin_DailyPred_Primera,0)+1,0),"-")</f>
        <v>-</v>
      </c>
      <c r="Q68" s="162" t="str">
        <f aca="false">IFERROR(VLOOKUP(Q$2,Rango_Admin_DailyPred,MATCH($F68,Rango_Admin_DailyPred_Primera,0)+1,0),"-")</f>
        <v>-</v>
      </c>
      <c r="R68" s="162" t="str">
        <f aca="false">IFERROR(VLOOKUP(R$2,Rango_Admin_DailyPred,MATCH($F68,Rango_Admin_DailyPred_Primera,0)+1,0),"-")</f>
        <v>-</v>
      </c>
      <c r="S68" s="162" t="str">
        <f aca="false">IFERROR(VLOOKUP(S$2,Rango_Admin_DailyPred,MATCH($F68,Rango_Admin_DailyPred_Primera,0)+1,0),"-")</f>
        <v>-</v>
      </c>
      <c r="T68" s="162" t="str">
        <f aca="false">IFERROR(VLOOKUP(T$2,Rango_Admin_DailyPred,MATCH($F68,Rango_Admin_DailyPred_Primera,0)+1,0),"-")</f>
        <v>-</v>
      </c>
      <c r="U68" s="162" t="str">
        <f aca="false">IFERROR(VLOOKUP(U$2,Rango_Admin_DailyPred,MATCH($F68,Rango_Admin_DailyPred_Primera,0)+1,0),"-")</f>
        <v>-</v>
      </c>
      <c r="V68" s="162" t="str">
        <f aca="false">IFERROR(VLOOKUP(V$2,Rango_Admin_DailyPred,MATCH($F68,Rango_Admin_DailyPred_Primera,0)+1,0),"-")</f>
        <v>-</v>
      </c>
      <c r="W68" s="162" t="str">
        <f aca="false">IFERROR(VLOOKUP(W$2,Rango_Admin_DailyPred,MATCH($F68,Rango_Admin_DailyPred_Primera,0)+1,0),"-")</f>
        <v>-</v>
      </c>
      <c r="X68" s="162" t="str">
        <f aca="false">IFERROR(VLOOKUP(X$2,Rango_Admin_DailyPred,MATCH($F68,Rango_Admin_DailyPred_Primera,0)+1,0),"-")</f>
        <v>-</v>
      </c>
      <c r="Y68" s="162" t="str">
        <f aca="false">IFERROR(VLOOKUP(Y$2,Rango_Admin_DailyPred,MATCH($F68,Rango_Admin_DailyPred_Primera,0)+1,0),"-")</f>
        <v>-</v>
      </c>
      <c r="Z68" s="162" t="str">
        <f aca="false">IFERROR(VLOOKUP(Z$2,Rango_Admin_DailyPred,MATCH($F68,Rango_Admin_DailyPred_Primera,0)+1,0),"-")</f>
        <v>-</v>
      </c>
      <c r="AA68" s="162" t="str">
        <f aca="false">IFERROR(VLOOKUP(AA$2,Rango_Admin_DailyPred,MATCH($F68,Rango_Admin_DailyPred_Primera,0)+1,0),"-")</f>
        <v>-</v>
      </c>
      <c r="AB68" s="162" t="str">
        <f aca="false">IFERROR(VLOOKUP(AB$2,Rango_Admin_DailyPred,MATCH($F68,Rango_Admin_DailyPred_Primera,0)+1,0),"-")</f>
        <v>-</v>
      </c>
      <c r="AC68" s="162" t="str">
        <f aca="false">IFERROR(VLOOKUP(AC$2,Rango_Admin_DailyPred,MATCH($F68,Rango_Admin_DailyPred_Primera,0)+1,0),"-")</f>
        <v>-</v>
      </c>
      <c r="AD68" s="162" t="str">
        <f aca="false">IFERROR(VLOOKUP(AD$2,Rango_Admin_DailyPred,MATCH($F68,Rango_Admin_DailyPred_Primera,0)+1,0),"-")</f>
        <v>-</v>
      </c>
      <c r="AE68" s="162" t="str">
        <f aca="false">IFERROR(VLOOKUP(AE$2,Rango_Admin_DailyPred,MATCH($F68,Rango_Admin_DailyPred_Primera,0)+1,0),"-")</f>
        <v>-</v>
      </c>
      <c r="AF68" s="162" t="str">
        <f aca="false">IFERROR(VLOOKUP(AF$2,Rango_Admin_DailyPred,MATCH($F68,Rango_Admin_DailyPred_Primera,0)+1,0),"-")</f>
        <v>-</v>
      </c>
      <c r="AG68" s="162" t="str">
        <f aca="false">IFERROR(VLOOKUP(AG$2,Rango_Admin_DailyPred,MATCH($F68,Rango_Admin_DailyPred_Primera,0)+1,0),"-")</f>
        <v>-</v>
      </c>
      <c r="AH68" s="162" t="str">
        <f aca="false">IFERROR(VLOOKUP(AH$2,Rango_Admin_DailyPred,MATCH($F68,Rango_Admin_DailyPred_Primera,0)+1,0),"-")</f>
        <v>-</v>
      </c>
      <c r="AI68" s="162" t="str">
        <f aca="false">IFERROR(VLOOKUP(AI$2,Rango_Admin_DailyPred,MATCH($F68,Rango_Admin_DailyPred_Primera,0)+1,0),"-")</f>
        <v>-</v>
      </c>
      <c r="AJ68" s="162" t="str">
        <f aca="false">IFERROR(VLOOKUP(AJ$2,Rango_Admin_DailyPred,MATCH($F68,Rango_Admin_DailyPred_Primera,0)+1,0),"-")</f>
        <v>-</v>
      </c>
      <c r="AK68" s="162" t="str">
        <f aca="false">IFERROR(VLOOKUP(AK$2,Rango_Admin_DailyPred,MATCH($F68,Rango_Admin_DailyPred_Primera,0)+1,0),"-")</f>
        <v>-</v>
      </c>
      <c r="AL68" s="162" t="str">
        <f aca="false">IFERROR(VLOOKUP(AL$2,Rango_Admin_DailyPred,MATCH($F68,Rango_Admin_DailyPred_Primera,0)+1,0),"-")</f>
        <v>-</v>
      </c>
      <c r="AM68" s="162" t="str">
        <f aca="false">IFERROR(VLOOKUP(AM$2,Rango_Admin_DailyPred,MATCH($F68,Rango_Admin_DailyPred_Primera,0)+1,0),"-")</f>
        <v>-</v>
      </c>
      <c r="AN68" s="244"/>
    </row>
    <row r="69" customFormat="false" ht="15" hidden="false" customHeight="false" outlineLevel="0" collapsed="false">
      <c r="D69" s="463"/>
      <c r="E69" s="479" t="str">
        <f aca="false">IFERROR(HLOOKUP(C69,Rango_Admin_DailyClas,3,FALSE()),"-")</f>
        <v>-</v>
      </c>
      <c r="F69" s="480" t="str">
        <f aca="false">IFERROR(HLOOKUP(C69,Rango_Admin_DailyClas,5,FALSE()),"-")</f>
        <v>-</v>
      </c>
      <c r="G69" s="51" t="str">
        <f aca="false">IFERROR(HLOOKUP(C69,Rango_Admin_DailyClas,4,FALSE()),"-")</f>
        <v>-</v>
      </c>
      <c r="H69" s="162" t="str">
        <f aca="false">IFERROR(VLOOKUP(H$2,Rango_Admin_DailyPred,MATCH($F69,Rango_Admin_DailyPred_Primera,0)+1,0),"-")</f>
        <v>-</v>
      </c>
      <c r="I69" s="162" t="str">
        <f aca="false">IFERROR(VLOOKUP(I$2,Rango_Admin_DailyPred,MATCH($F69,Rango_Admin_DailyPred_Primera,0)+1,0),"-")</f>
        <v>-</v>
      </c>
      <c r="J69" s="162" t="str">
        <f aca="false">IFERROR(VLOOKUP(J$2,Rango_Admin_DailyPred,MATCH($F69,Rango_Admin_DailyPred_Primera,0)+1,0),"-")</f>
        <v>-</v>
      </c>
      <c r="K69" s="162" t="str">
        <f aca="false">IFERROR(VLOOKUP(K$2,Rango_Admin_DailyPred,MATCH($F69,Rango_Admin_DailyPred_Primera,0)+1,0),"-")</f>
        <v>-</v>
      </c>
      <c r="L69" s="162" t="str">
        <f aca="false">IFERROR(VLOOKUP(L$2,Rango_Admin_DailyPred,MATCH($F69,Rango_Admin_DailyPred_Primera,0)+1,0),"-")</f>
        <v>-</v>
      </c>
      <c r="M69" s="162" t="str">
        <f aca="false">IFERROR(VLOOKUP(M$2,Rango_Admin_DailyPred,MATCH($F69,Rango_Admin_DailyPred_Primera,0)+1,0),"-")</f>
        <v>-</v>
      </c>
      <c r="N69" s="162" t="str">
        <f aca="false">IFERROR(VLOOKUP(N$2,Rango_Admin_DailyPred,MATCH($F69,Rango_Admin_DailyPred_Primera,0)+1,0),"-")</f>
        <v>-</v>
      </c>
      <c r="O69" s="162" t="str">
        <f aca="false">IFERROR(VLOOKUP(O$2,Rango_Admin_DailyPred,MATCH($F69,Rango_Admin_DailyPred_Primera,0)+1,0),"-")</f>
        <v>-</v>
      </c>
      <c r="P69" s="162" t="str">
        <f aca="false">IFERROR(VLOOKUP(P$2,Rango_Admin_DailyPred,MATCH($F69,Rango_Admin_DailyPred_Primera,0)+1,0),"-")</f>
        <v>-</v>
      </c>
      <c r="Q69" s="162" t="str">
        <f aca="false">IFERROR(VLOOKUP(Q$2,Rango_Admin_DailyPred,MATCH($F69,Rango_Admin_DailyPred_Primera,0)+1,0),"-")</f>
        <v>-</v>
      </c>
      <c r="R69" s="162" t="str">
        <f aca="false">IFERROR(VLOOKUP(R$2,Rango_Admin_DailyPred,MATCH($F69,Rango_Admin_DailyPred_Primera,0)+1,0),"-")</f>
        <v>-</v>
      </c>
      <c r="S69" s="162" t="str">
        <f aca="false">IFERROR(VLOOKUP(S$2,Rango_Admin_DailyPred,MATCH($F69,Rango_Admin_DailyPred_Primera,0)+1,0),"-")</f>
        <v>-</v>
      </c>
      <c r="T69" s="162" t="str">
        <f aca="false">IFERROR(VLOOKUP(T$2,Rango_Admin_DailyPred,MATCH($F69,Rango_Admin_DailyPred_Primera,0)+1,0),"-")</f>
        <v>-</v>
      </c>
      <c r="U69" s="162" t="str">
        <f aca="false">IFERROR(VLOOKUP(U$2,Rango_Admin_DailyPred,MATCH($F69,Rango_Admin_DailyPred_Primera,0)+1,0),"-")</f>
        <v>-</v>
      </c>
      <c r="V69" s="162" t="str">
        <f aca="false">IFERROR(VLOOKUP(V$2,Rango_Admin_DailyPred,MATCH($F69,Rango_Admin_DailyPred_Primera,0)+1,0),"-")</f>
        <v>-</v>
      </c>
      <c r="W69" s="162" t="str">
        <f aca="false">IFERROR(VLOOKUP(W$2,Rango_Admin_DailyPred,MATCH($F69,Rango_Admin_DailyPred_Primera,0)+1,0),"-")</f>
        <v>-</v>
      </c>
      <c r="X69" s="162" t="str">
        <f aca="false">IFERROR(VLOOKUP(X$2,Rango_Admin_DailyPred,MATCH($F69,Rango_Admin_DailyPred_Primera,0)+1,0),"-")</f>
        <v>-</v>
      </c>
      <c r="Y69" s="162" t="str">
        <f aca="false">IFERROR(VLOOKUP(Y$2,Rango_Admin_DailyPred,MATCH($F69,Rango_Admin_DailyPred_Primera,0)+1,0),"-")</f>
        <v>-</v>
      </c>
      <c r="Z69" s="162" t="str">
        <f aca="false">IFERROR(VLOOKUP(Z$2,Rango_Admin_DailyPred,MATCH($F69,Rango_Admin_DailyPred_Primera,0)+1,0),"-")</f>
        <v>-</v>
      </c>
      <c r="AA69" s="162" t="str">
        <f aca="false">IFERROR(VLOOKUP(AA$2,Rango_Admin_DailyPred,MATCH($F69,Rango_Admin_DailyPred_Primera,0)+1,0),"-")</f>
        <v>-</v>
      </c>
      <c r="AB69" s="162" t="str">
        <f aca="false">IFERROR(VLOOKUP(AB$2,Rango_Admin_DailyPred,MATCH($F69,Rango_Admin_DailyPred_Primera,0)+1,0),"-")</f>
        <v>-</v>
      </c>
      <c r="AC69" s="162" t="str">
        <f aca="false">IFERROR(VLOOKUP(AC$2,Rango_Admin_DailyPred,MATCH($F69,Rango_Admin_DailyPred_Primera,0)+1,0),"-")</f>
        <v>-</v>
      </c>
      <c r="AD69" s="162" t="str">
        <f aca="false">IFERROR(VLOOKUP(AD$2,Rango_Admin_DailyPred,MATCH($F69,Rango_Admin_DailyPred_Primera,0)+1,0),"-")</f>
        <v>-</v>
      </c>
      <c r="AE69" s="162" t="str">
        <f aca="false">IFERROR(VLOOKUP(AE$2,Rango_Admin_DailyPred,MATCH($F69,Rango_Admin_DailyPred_Primera,0)+1,0),"-")</f>
        <v>-</v>
      </c>
      <c r="AF69" s="162" t="str">
        <f aca="false">IFERROR(VLOOKUP(AF$2,Rango_Admin_DailyPred,MATCH($F69,Rango_Admin_DailyPred_Primera,0)+1,0),"-")</f>
        <v>-</v>
      </c>
      <c r="AG69" s="162" t="str">
        <f aca="false">IFERROR(VLOOKUP(AG$2,Rango_Admin_DailyPred,MATCH($F69,Rango_Admin_DailyPred_Primera,0)+1,0),"-")</f>
        <v>-</v>
      </c>
      <c r="AH69" s="162" t="str">
        <f aca="false">IFERROR(VLOOKUP(AH$2,Rango_Admin_DailyPred,MATCH($F69,Rango_Admin_DailyPred_Primera,0)+1,0),"-")</f>
        <v>-</v>
      </c>
      <c r="AI69" s="162" t="str">
        <f aca="false">IFERROR(VLOOKUP(AI$2,Rango_Admin_DailyPred,MATCH($F69,Rango_Admin_DailyPred_Primera,0)+1,0),"-")</f>
        <v>-</v>
      </c>
      <c r="AJ69" s="162" t="str">
        <f aca="false">IFERROR(VLOOKUP(AJ$2,Rango_Admin_DailyPred,MATCH($F69,Rango_Admin_DailyPred_Primera,0)+1,0),"-")</f>
        <v>-</v>
      </c>
      <c r="AK69" s="162" t="str">
        <f aca="false">IFERROR(VLOOKUP(AK$2,Rango_Admin_DailyPred,MATCH($F69,Rango_Admin_DailyPred_Primera,0)+1,0),"-")</f>
        <v>-</v>
      </c>
      <c r="AL69" s="162" t="str">
        <f aca="false">IFERROR(VLOOKUP(AL$2,Rango_Admin_DailyPred,MATCH($F69,Rango_Admin_DailyPred_Primera,0)+1,0),"-")</f>
        <v>-</v>
      </c>
      <c r="AM69" s="162" t="str">
        <f aca="false">IFERROR(VLOOKUP(AM$2,Rango_Admin_DailyPred,MATCH($F69,Rango_Admin_DailyPred_Primera,0)+1,0),"-")</f>
        <v>-</v>
      </c>
      <c r="AN69" s="244"/>
    </row>
    <row r="70" customFormat="false" ht="15" hidden="false" customHeight="false" outlineLevel="0" collapsed="false">
      <c r="D70" s="463"/>
      <c r="E70" s="479" t="str">
        <f aca="false">IFERROR(HLOOKUP(C70,Rango_Admin_DailyClas,3,FALSE()),"-")</f>
        <v>-</v>
      </c>
      <c r="F70" s="480" t="str">
        <f aca="false">IFERROR(HLOOKUP(C70,Rango_Admin_DailyClas,5,FALSE()),"-")</f>
        <v>-</v>
      </c>
      <c r="G70" s="51" t="str">
        <f aca="false">IFERROR(HLOOKUP(C70,Rango_Admin_DailyClas,4,FALSE()),"-")</f>
        <v>-</v>
      </c>
      <c r="H70" s="162" t="str">
        <f aca="false">IFERROR(VLOOKUP(H$2,Rango_Admin_DailyPred,MATCH($F70,Rango_Admin_DailyPred_Primera,0)+1,0),"-")</f>
        <v>-</v>
      </c>
      <c r="I70" s="162" t="str">
        <f aca="false">IFERROR(VLOOKUP(I$2,Rango_Admin_DailyPred,MATCH($F70,Rango_Admin_DailyPred_Primera,0)+1,0),"-")</f>
        <v>-</v>
      </c>
      <c r="J70" s="162" t="str">
        <f aca="false">IFERROR(VLOOKUP(J$2,Rango_Admin_DailyPred,MATCH($F70,Rango_Admin_DailyPred_Primera,0)+1,0),"-")</f>
        <v>-</v>
      </c>
      <c r="K70" s="162" t="str">
        <f aca="false">IFERROR(VLOOKUP(K$2,Rango_Admin_DailyPred,MATCH($F70,Rango_Admin_DailyPred_Primera,0)+1,0),"-")</f>
        <v>-</v>
      </c>
      <c r="L70" s="162" t="str">
        <f aca="false">IFERROR(VLOOKUP(L$2,Rango_Admin_DailyPred,MATCH($F70,Rango_Admin_DailyPred_Primera,0)+1,0),"-")</f>
        <v>-</v>
      </c>
      <c r="M70" s="162" t="str">
        <f aca="false">IFERROR(VLOOKUP(M$2,Rango_Admin_DailyPred,MATCH($F70,Rango_Admin_DailyPred_Primera,0)+1,0),"-")</f>
        <v>-</v>
      </c>
      <c r="N70" s="162" t="str">
        <f aca="false">IFERROR(VLOOKUP(N$2,Rango_Admin_DailyPred,MATCH($F70,Rango_Admin_DailyPred_Primera,0)+1,0),"-")</f>
        <v>-</v>
      </c>
      <c r="O70" s="162" t="str">
        <f aca="false">IFERROR(VLOOKUP(O$2,Rango_Admin_DailyPred,MATCH($F70,Rango_Admin_DailyPred_Primera,0)+1,0),"-")</f>
        <v>-</v>
      </c>
      <c r="P70" s="162" t="str">
        <f aca="false">IFERROR(VLOOKUP(P$2,Rango_Admin_DailyPred,MATCH($F70,Rango_Admin_DailyPred_Primera,0)+1,0),"-")</f>
        <v>-</v>
      </c>
      <c r="Q70" s="162" t="str">
        <f aca="false">IFERROR(VLOOKUP(Q$2,Rango_Admin_DailyPred,MATCH($F70,Rango_Admin_DailyPred_Primera,0)+1,0),"-")</f>
        <v>-</v>
      </c>
      <c r="R70" s="162" t="str">
        <f aca="false">IFERROR(VLOOKUP(R$2,Rango_Admin_DailyPred,MATCH($F70,Rango_Admin_DailyPred_Primera,0)+1,0),"-")</f>
        <v>-</v>
      </c>
      <c r="S70" s="162" t="str">
        <f aca="false">IFERROR(VLOOKUP(S$2,Rango_Admin_DailyPred,MATCH($F70,Rango_Admin_DailyPred_Primera,0)+1,0),"-")</f>
        <v>-</v>
      </c>
      <c r="T70" s="162" t="str">
        <f aca="false">IFERROR(VLOOKUP(T$2,Rango_Admin_DailyPred,MATCH($F70,Rango_Admin_DailyPred_Primera,0)+1,0),"-")</f>
        <v>-</v>
      </c>
      <c r="U70" s="162" t="str">
        <f aca="false">IFERROR(VLOOKUP(U$2,Rango_Admin_DailyPred,MATCH($F70,Rango_Admin_DailyPred_Primera,0)+1,0),"-")</f>
        <v>-</v>
      </c>
      <c r="V70" s="162" t="str">
        <f aca="false">IFERROR(VLOOKUP(V$2,Rango_Admin_DailyPred,MATCH($F70,Rango_Admin_DailyPred_Primera,0)+1,0),"-")</f>
        <v>-</v>
      </c>
      <c r="W70" s="162" t="str">
        <f aca="false">IFERROR(VLOOKUP(W$2,Rango_Admin_DailyPred,MATCH($F70,Rango_Admin_DailyPred_Primera,0)+1,0),"-")</f>
        <v>-</v>
      </c>
      <c r="X70" s="162" t="str">
        <f aca="false">IFERROR(VLOOKUP(X$2,Rango_Admin_DailyPred,MATCH($F70,Rango_Admin_DailyPred_Primera,0)+1,0),"-")</f>
        <v>-</v>
      </c>
      <c r="Y70" s="162" t="str">
        <f aca="false">IFERROR(VLOOKUP(Y$2,Rango_Admin_DailyPred,MATCH($F70,Rango_Admin_DailyPred_Primera,0)+1,0),"-")</f>
        <v>-</v>
      </c>
      <c r="Z70" s="162" t="str">
        <f aca="false">IFERROR(VLOOKUP(Z$2,Rango_Admin_DailyPred,MATCH($F70,Rango_Admin_DailyPred_Primera,0)+1,0),"-")</f>
        <v>-</v>
      </c>
      <c r="AA70" s="162" t="str">
        <f aca="false">IFERROR(VLOOKUP(AA$2,Rango_Admin_DailyPred,MATCH($F70,Rango_Admin_DailyPred_Primera,0)+1,0),"-")</f>
        <v>-</v>
      </c>
      <c r="AB70" s="162" t="str">
        <f aca="false">IFERROR(VLOOKUP(AB$2,Rango_Admin_DailyPred,MATCH($F70,Rango_Admin_DailyPred_Primera,0)+1,0),"-")</f>
        <v>-</v>
      </c>
      <c r="AC70" s="162" t="str">
        <f aca="false">IFERROR(VLOOKUP(AC$2,Rango_Admin_DailyPred,MATCH($F70,Rango_Admin_DailyPred_Primera,0)+1,0),"-")</f>
        <v>-</v>
      </c>
      <c r="AD70" s="162" t="str">
        <f aca="false">IFERROR(VLOOKUP(AD$2,Rango_Admin_DailyPred,MATCH($F70,Rango_Admin_DailyPred_Primera,0)+1,0),"-")</f>
        <v>-</v>
      </c>
      <c r="AE70" s="162" t="str">
        <f aca="false">IFERROR(VLOOKUP(AE$2,Rango_Admin_DailyPred,MATCH($F70,Rango_Admin_DailyPred_Primera,0)+1,0),"-")</f>
        <v>-</v>
      </c>
      <c r="AF70" s="162" t="str">
        <f aca="false">IFERROR(VLOOKUP(AF$2,Rango_Admin_DailyPred,MATCH($F70,Rango_Admin_DailyPred_Primera,0)+1,0),"-")</f>
        <v>-</v>
      </c>
      <c r="AG70" s="162" t="str">
        <f aca="false">IFERROR(VLOOKUP(AG$2,Rango_Admin_DailyPred,MATCH($F70,Rango_Admin_DailyPred_Primera,0)+1,0),"-")</f>
        <v>-</v>
      </c>
      <c r="AH70" s="162" t="str">
        <f aca="false">IFERROR(VLOOKUP(AH$2,Rango_Admin_DailyPred,MATCH($F70,Rango_Admin_DailyPred_Primera,0)+1,0),"-")</f>
        <v>-</v>
      </c>
      <c r="AI70" s="162" t="str">
        <f aca="false">IFERROR(VLOOKUP(AI$2,Rango_Admin_DailyPred,MATCH($F70,Rango_Admin_DailyPred_Primera,0)+1,0),"-")</f>
        <v>-</v>
      </c>
      <c r="AJ70" s="162" t="str">
        <f aca="false">IFERROR(VLOOKUP(AJ$2,Rango_Admin_DailyPred,MATCH($F70,Rango_Admin_DailyPred_Primera,0)+1,0),"-")</f>
        <v>-</v>
      </c>
      <c r="AK70" s="162" t="str">
        <f aca="false">IFERROR(VLOOKUP(AK$2,Rango_Admin_DailyPred,MATCH($F70,Rango_Admin_DailyPred_Primera,0)+1,0),"-")</f>
        <v>-</v>
      </c>
      <c r="AL70" s="162" t="str">
        <f aca="false">IFERROR(VLOOKUP(AL$2,Rango_Admin_DailyPred,MATCH($F70,Rango_Admin_DailyPred_Primera,0)+1,0),"-")</f>
        <v>-</v>
      </c>
      <c r="AM70" s="162" t="str">
        <f aca="false">IFERROR(VLOOKUP(AM$2,Rango_Admin_DailyPred,MATCH($F70,Rango_Admin_DailyPred_Primera,0)+1,0),"-")</f>
        <v>-</v>
      </c>
      <c r="AN70" s="244"/>
    </row>
    <row r="71" customFormat="false" ht="15" hidden="false" customHeight="false" outlineLevel="0" collapsed="false">
      <c r="D71" s="463"/>
      <c r="E71" s="479" t="str">
        <f aca="false">IFERROR(HLOOKUP(C71,Rango_Admin_DailyClas,3,FALSE()),"-")</f>
        <v>-</v>
      </c>
      <c r="F71" s="480" t="str">
        <f aca="false">IFERROR(HLOOKUP(C71,Rango_Admin_DailyClas,5,FALSE()),"-")</f>
        <v>-</v>
      </c>
      <c r="G71" s="51" t="str">
        <f aca="false">IFERROR(HLOOKUP(C71,Rango_Admin_DailyClas,4,FALSE()),"-")</f>
        <v>-</v>
      </c>
      <c r="H71" s="162" t="str">
        <f aca="false">IFERROR(VLOOKUP(H$2,Rango_Admin_DailyPred,MATCH($F71,Rango_Admin_DailyPred_Primera,0)+1,0),"-")</f>
        <v>-</v>
      </c>
      <c r="I71" s="162" t="str">
        <f aca="false">IFERROR(VLOOKUP(I$2,Rango_Admin_DailyPred,MATCH($F71,Rango_Admin_DailyPred_Primera,0)+1,0),"-")</f>
        <v>-</v>
      </c>
      <c r="J71" s="162" t="str">
        <f aca="false">IFERROR(VLOOKUP(J$2,Rango_Admin_DailyPred,MATCH($F71,Rango_Admin_DailyPred_Primera,0)+1,0),"-")</f>
        <v>-</v>
      </c>
      <c r="K71" s="162" t="str">
        <f aca="false">IFERROR(VLOOKUP(K$2,Rango_Admin_DailyPred,MATCH($F71,Rango_Admin_DailyPred_Primera,0)+1,0),"-")</f>
        <v>-</v>
      </c>
      <c r="L71" s="162" t="str">
        <f aca="false">IFERROR(VLOOKUP(L$2,Rango_Admin_DailyPred,MATCH($F71,Rango_Admin_DailyPred_Primera,0)+1,0),"-")</f>
        <v>-</v>
      </c>
      <c r="M71" s="162" t="str">
        <f aca="false">IFERROR(VLOOKUP(M$2,Rango_Admin_DailyPred,MATCH($F71,Rango_Admin_DailyPred_Primera,0)+1,0),"-")</f>
        <v>-</v>
      </c>
      <c r="N71" s="162" t="str">
        <f aca="false">IFERROR(VLOOKUP(N$2,Rango_Admin_DailyPred,MATCH($F71,Rango_Admin_DailyPred_Primera,0)+1,0),"-")</f>
        <v>-</v>
      </c>
      <c r="O71" s="162" t="str">
        <f aca="false">IFERROR(VLOOKUP(O$2,Rango_Admin_DailyPred,MATCH($F71,Rango_Admin_DailyPred_Primera,0)+1,0),"-")</f>
        <v>-</v>
      </c>
      <c r="P71" s="162" t="str">
        <f aca="false">IFERROR(VLOOKUP(P$2,Rango_Admin_DailyPred,MATCH($F71,Rango_Admin_DailyPred_Primera,0)+1,0),"-")</f>
        <v>-</v>
      </c>
      <c r="Q71" s="162" t="str">
        <f aca="false">IFERROR(VLOOKUP(Q$2,Rango_Admin_DailyPred,MATCH($F71,Rango_Admin_DailyPred_Primera,0)+1,0),"-")</f>
        <v>-</v>
      </c>
      <c r="R71" s="162" t="str">
        <f aca="false">IFERROR(VLOOKUP(R$2,Rango_Admin_DailyPred,MATCH($F71,Rango_Admin_DailyPred_Primera,0)+1,0),"-")</f>
        <v>-</v>
      </c>
      <c r="S71" s="162" t="str">
        <f aca="false">IFERROR(VLOOKUP(S$2,Rango_Admin_DailyPred,MATCH($F71,Rango_Admin_DailyPred_Primera,0)+1,0),"-")</f>
        <v>-</v>
      </c>
      <c r="T71" s="162" t="str">
        <f aca="false">IFERROR(VLOOKUP(T$2,Rango_Admin_DailyPred,MATCH($F71,Rango_Admin_DailyPred_Primera,0)+1,0),"-")</f>
        <v>-</v>
      </c>
      <c r="U71" s="162" t="str">
        <f aca="false">IFERROR(VLOOKUP(U$2,Rango_Admin_DailyPred,MATCH($F71,Rango_Admin_DailyPred_Primera,0)+1,0),"-")</f>
        <v>-</v>
      </c>
      <c r="V71" s="162" t="str">
        <f aca="false">IFERROR(VLOOKUP(V$2,Rango_Admin_DailyPred,MATCH($F71,Rango_Admin_DailyPred_Primera,0)+1,0),"-")</f>
        <v>-</v>
      </c>
      <c r="W71" s="162" t="str">
        <f aca="false">IFERROR(VLOOKUP(W$2,Rango_Admin_DailyPred,MATCH($F71,Rango_Admin_DailyPred_Primera,0)+1,0),"-")</f>
        <v>-</v>
      </c>
      <c r="X71" s="162" t="str">
        <f aca="false">IFERROR(VLOOKUP(X$2,Rango_Admin_DailyPred,MATCH($F71,Rango_Admin_DailyPred_Primera,0)+1,0),"-")</f>
        <v>-</v>
      </c>
      <c r="Y71" s="162" t="str">
        <f aca="false">IFERROR(VLOOKUP(Y$2,Rango_Admin_DailyPred,MATCH($F71,Rango_Admin_DailyPred_Primera,0)+1,0),"-")</f>
        <v>-</v>
      </c>
      <c r="Z71" s="162" t="str">
        <f aca="false">IFERROR(VLOOKUP(Z$2,Rango_Admin_DailyPred,MATCH($F71,Rango_Admin_DailyPred_Primera,0)+1,0),"-")</f>
        <v>-</v>
      </c>
      <c r="AA71" s="162" t="str">
        <f aca="false">IFERROR(VLOOKUP(AA$2,Rango_Admin_DailyPred,MATCH($F71,Rango_Admin_DailyPred_Primera,0)+1,0),"-")</f>
        <v>-</v>
      </c>
      <c r="AB71" s="162" t="str">
        <f aca="false">IFERROR(VLOOKUP(AB$2,Rango_Admin_DailyPred,MATCH($F71,Rango_Admin_DailyPred_Primera,0)+1,0),"-")</f>
        <v>-</v>
      </c>
      <c r="AC71" s="162" t="str">
        <f aca="false">IFERROR(VLOOKUP(AC$2,Rango_Admin_DailyPred,MATCH($F71,Rango_Admin_DailyPred_Primera,0)+1,0),"-")</f>
        <v>-</v>
      </c>
      <c r="AD71" s="162" t="str">
        <f aca="false">IFERROR(VLOOKUP(AD$2,Rango_Admin_DailyPred,MATCH($F71,Rango_Admin_DailyPred_Primera,0)+1,0),"-")</f>
        <v>-</v>
      </c>
      <c r="AE71" s="162" t="str">
        <f aca="false">IFERROR(VLOOKUP(AE$2,Rango_Admin_DailyPred,MATCH($F71,Rango_Admin_DailyPred_Primera,0)+1,0),"-")</f>
        <v>-</v>
      </c>
      <c r="AF71" s="162" t="str">
        <f aca="false">IFERROR(VLOOKUP(AF$2,Rango_Admin_DailyPred,MATCH($F71,Rango_Admin_DailyPred_Primera,0)+1,0),"-")</f>
        <v>-</v>
      </c>
      <c r="AG71" s="162" t="str">
        <f aca="false">IFERROR(VLOOKUP(AG$2,Rango_Admin_DailyPred,MATCH($F71,Rango_Admin_DailyPred_Primera,0)+1,0),"-")</f>
        <v>-</v>
      </c>
      <c r="AH71" s="162" t="str">
        <f aca="false">IFERROR(VLOOKUP(AH$2,Rango_Admin_DailyPred,MATCH($F71,Rango_Admin_DailyPred_Primera,0)+1,0),"-")</f>
        <v>-</v>
      </c>
      <c r="AI71" s="162" t="str">
        <f aca="false">IFERROR(VLOOKUP(AI$2,Rango_Admin_DailyPred,MATCH($F71,Rango_Admin_DailyPred_Primera,0)+1,0),"-")</f>
        <v>-</v>
      </c>
      <c r="AJ71" s="162" t="str">
        <f aca="false">IFERROR(VLOOKUP(AJ$2,Rango_Admin_DailyPred,MATCH($F71,Rango_Admin_DailyPred_Primera,0)+1,0),"-")</f>
        <v>-</v>
      </c>
      <c r="AK71" s="162" t="str">
        <f aca="false">IFERROR(VLOOKUP(AK$2,Rango_Admin_DailyPred,MATCH($F71,Rango_Admin_DailyPred_Primera,0)+1,0),"-")</f>
        <v>-</v>
      </c>
      <c r="AL71" s="162" t="str">
        <f aca="false">IFERROR(VLOOKUP(AL$2,Rango_Admin_DailyPred,MATCH($F71,Rango_Admin_DailyPred_Primera,0)+1,0),"-")</f>
        <v>-</v>
      </c>
      <c r="AM71" s="162" t="str">
        <f aca="false">IFERROR(VLOOKUP(AM$2,Rango_Admin_DailyPred,MATCH($F71,Rango_Admin_DailyPred_Primera,0)+1,0),"-")</f>
        <v>-</v>
      </c>
      <c r="AN71" s="244"/>
    </row>
    <row r="72" customFormat="false" ht="15" hidden="false" customHeight="false" outlineLevel="0" collapsed="false">
      <c r="D72" s="463"/>
      <c r="E72" s="479" t="str">
        <f aca="false">IFERROR(HLOOKUP(C72,Rango_Admin_DailyClas,3,FALSE()),"-")</f>
        <v>-</v>
      </c>
      <c r="F72" s="480" t="str">
        <f aca="false">IFERROR(HLOOKUP(C72,Rango_Admin_DailyClas,5,FALSE()),"-")</f>
        <v>-</v>
      </c>
      <c r="G72" s="51" t="str">
        <f aca="false">IFERROR(HLOOKUP(C72,Rango_Admin_DailyClas,4,FALSE()),"-")</f>
        <v>-</v>
      </c>
      <c r="H72" s="162" t="str">
        <f aca="false">IFERROR(VLOOKUP(H$2,Rango_Admin_DailyPred,MATCH($F72,Rango_Admin_DailyPred_Primera,0)+1,0),"-")</f>
        <v>-</v>
      </c>
      <c r="I72" s="162" t="str">
        <f aca="false">IFERROR(VLOOKUP(I$2,Rango_Admin_DailyPred,MATCH($F72,Rango_Admin_DailyPred_Primera,0)+1,0),"-")</f>
        <v>-</v>
      </c>
      <c r="J72" s="162" t="str">
        <f aca="false">IFERROR(VLOOKUP(J$2,Rango_Admin_DailyPred,MATCH($F72,Rango_Admin_DailyPred_Primera,0)+1,0),"-")</f>
        <v>-</v>
      </c>
      <c r="K72" s="162" t="str">
        <f aca="false">IFERROR(VLOOKUP(K$2,Rango_Admin_DailyPred,MATCH($F72,Rango_Admin_DailyPred_Primera,0)+1,0),"-")</f>
        <v>-</v>
      </c>
      <c r="L72" s="162" t="str">
        <f aca="false">IFERROR(VLOOKUP(L$2,Rango_Admin_DailyPred,MATCH($F72,Rango_Admin_DailyPred_Primera,0)+1,0),"-")</f>
        <v>-</v>
      </c>
      <c r="M72" s="162" t="str">
        <f aca="false">IFERROR(VLOOKUP(M$2,Rango_Admin_DailyPred,MATCH($F72,Rango_Admin_DailyPred_Primera,0)+1,0),"-")</f>
        <v>-</v>
      </c>
      <c r="N72" s="162" t="str">
        <f aca="false">IFERROR(VLOOKUP(N$2,Rango_Admin_DailyPred,MATCH($F72,Rango_Admin_DailyPred_Primera,0)+1,0),"-")</f>
        <v>-</v>
      </c>
      <c r="O72" s="162" t="str">
        <f aca="false">IFERROR(VLOOKUP(O$2,Rango_Admin_DailyPred,MATCH($F72,Rango_Admin_DailyPred_Primera,0)+1,0),"-")</f>
        <v>-</v>
      </c>
      <c r="P72" s="162" t="str">
        <f aca="false">IFERROR(VLOOKUP(P$2,Rango_Admin_DailyPred,MATCH($F72,Rango_Admin_DailyPred_Primera,0)+1,0),"-")</f>
        <v>-</v>
      </c>
      <c r="Q72" s="162" t="str">
        <f aca="false">IFERROR(VLOOKUP(Q$2,Rango_Admin_DailyPred,MATCH($F72,Rango_Admin_DailyPred_Primera,0)+1,0),"-")</f>
        <v>-</v>
      </c>
      <c r="R72" s="162" t="str">
        <f aca="false">IFERROR(VLOOKUP(R$2,Rango_Admin_DailyPred,MATCH($F72,Rango_Admin_DailyPred_Primera,0)+1,0),"-")</f>
        <v>-</v>
      </c>
      <c r="S72" s="162" t="str">
        <f aca="false">IFERROR(VLOOKUP(S$2,Rango_Admin_DailyPred,MATCH($F72,Rango_Admin_DailyPred_Primera,0)+1,0),"-")</f>
        <v>-</v>
      </c>
      <c r="T72" s="162" t="str">
        <f aca="false">IFERROR(VLOOKUP(T$2,Rango_Admin_DailyPred,MATCH($F72,Rango_Admin_DailyPred_Primera,0)+1,0),"-")</f>
        <v>-</v>
      </c>
      <c r="U72" s="162" t="str">
        <f aca="false">IFERROR(VLOOKUP(U$2,Rango_Admin_DailyPred,MATCH($F72,Rango_Admin_DailyPred_Primera,0)+1,0),"-")</f>
        <v>-</v>
      </c>
      <c r="V72" s="162" t="str">
        <f aca="false">IFERROR(VLOOKUP(V$2,Rango_Admin_DailyPred,MATCH($F72,Rango_Admin_DailyPred_Primera,0)+1,0),"-")</f>
        <v>-</v>
      </c>
      <c r="W72" s="162" t="str">
        <f aca="false">IFERROR(VLOOKUP(W$2,Rango_Admin_DailyPred,MATCH($F72,Rango_Admin_DailyPred_Primera,0)+1,0),"-")</f>
        <v>-</v>
      </c>
      <c r="X72" s="162" t="str">
        <f aca="false">IFERROR(VLOOKUP(X$2,Rango_Admin_DailyPred,MATCH($F72,Rango_Admin_DailyPred_Primera,0)+1,0),"-")</f>
        <v>-</v>
      </c>
      <c r="Y72" s="162" t="str">
        <f aca="false">IFERROR(VLOOKUP(Y$2,Rango_Admin_DailyPred,MATCH($F72,Rango_Admin_DailyPred_Primera,0)+1,0),"-")</f>
        <v>-</v>
      </c>
      <c r="Z72" s="162" t="str">
        <f aca="false">IFERROR(VLOOKUP(Z$2,Rango_Admin_DailyPred,MATCH($F72,Rango_Admin_DailyPred_Primera,0)+1,0),"-")</f>
        <v>-</v>
      </c>
      <c r="AA72" s="162" t="str">
        <f aca="false">IFERROR(VLOOKUP(AA$2,Rango_Admin_DailyPred,MATCH($F72,Rango_Admin_DailyPred_Primera,0)+1,0),"-")</f>
        <v>-</v>
      </c>
      <c r="AB72" s="162" t="str">
        <f aca="false">IFERROR(VLOOKUP(AB$2,Rango_Admin_DailyPred,MATCH($F72,Rango_Admin_DailyPred_Primera,0)+1,0),"-")</f>
        <v>-</v>
      </c>
      <c r="AC72" s="162" t="str">
        <f aca="false">IFERROR(VLOOKUP(AC$2,Rango_Admin_DailyPred,MATCH($F72,Rango_Admin_DailyPred_Primera,0)+1,0),"-")</f>
        <v>-</v>
      </c>
      <c r="AD72" s="162" t="str">
        <f aca="false">IFERROR(VLOOKUP(AD$2,Rango_Admin_DailyPred,MATCH($F72,Rango_Admin_DailyPred_Primera,0)+1,0),"-")</f>
        <v>-</v>
      </c>
      <c r="AE72" s="162" t="str">
        <f aca="false">IFERROR(VLOOKUP(AE$2,Rango_Admin_DailyPred,MATCH($F72,Rango_Admin_DailyPred_Primera,0)+1,0),"-")</f>
        <v>-</v>
      </c>
      <c r="AF72" s="162" t="str">
        <f aca="false">IFERROR(VLOOKUP(AF$2,Rango_Admin_DailyPred,MATCH($F72,Rango_Admin_DailyPred_Primera,0)+1,0),"-")</f>
        <v>-</v>
      </c>
      <c r="AG72" s="162" t="str">
        <f aca="false">IFERROR(VLOOKUP(AG$2,Rango_Admin_DailyPred,MATCH($F72,Rango_Admin_DailyPred_Primera,0)+1,0),"-")</f>
        <v>-</v>
      </c>
      <c r="AH72" s="162" t="str">
        <f aca="false">IFERROR(VLOOKUP(AH$2,Rango_Admin_DailyPred,MATCH($F72,Rango_Admin_DailyPred_Primera,0)+1,0),"-")</f>
        <v>-</v>
      </c>
      <c r="AI72" s="162" t="str">
        <f aca="false">IFERROR(VLOOKUP(AI$2,Rango_Admin_DailyPred,MATCH($F72,Rango_Admin_DailyPred_Primera,0)+1,0),"-")</f>
        <v>-</v>
      </c>
      <c r="AJ72" s="162" t="str">
        <f aca="false">IFERROR(VLOOKUP(AJ$2,Rango_Admin_DailyPred,MATCH($F72,Rango_Admin_DailyPred_Primera,0)+1,0),"-")</f>
        <v>-</v>
      </c>
      <c r="AK72" s="162" t="str">
        <f aca="false">IFERROR(VLOOKUP(AK$2,Rango_Admin_DailyPred,MATCH($F72,Rango_Admin_DailyPred_Primera,0)+1,0),"-")</f>
        <v>-</v>
      </c>
      <c r="AL72" s="162" t="str">
        <f aca="false">IFERROR(VLOOKUP(AL$2,Rango_Admin_DailyPred,MATCH($F72,Rango_Admin_DailyPred_Primera,0)+1,0),"-")</f>
        <v>-</v>
      </c>
      <c r="AM72" s="162" t="str">
        <f aca="false">IFERROR(VLOOKUP(AM$2,Rango_Admin_DailyPred,MATCH($F72,Rango_Admin_DailyPred_Primera,0)+1,0),"-")</f>
        <v>-</v>
      </c>
      <c r="AN72" s="24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8771A81D-4ED1-4417-995B-F6F210C5CC18}">
            <xm:f>AND((INDEX(ADMIN!$5:$5,1,ADMIN!$D$5*3+18)&gt;=ROW()-3),MOD(ROW(),2)=0)</xm:f>
            <x14:dxf>
              <font>
                <color rgb="FF1B4066"/>
              </font>
              <fill>
                <patternFill>
                  <bgColor theme="0" tint="-0.15"/>
                </patternFill>
              </fill>
            </x14:dxf>
          </x14:cfRule>
          <x14:cfRule type="expression" priority="3" id="{7F797A4C-CB69-464E-A263-FCD2CAD315F3}">
            <xm:f>AND((INDEX(ADMIN!$5:$5,1,ADMIN!$D$5*3+18)&gt;=ROW()-3),MOD(ROW(),2)=1)</xm:f>
            <x14:dxf>
              <font>
                <color rgb="FF1B4066"/>
              </font>
              <fill>
                <patternFill>
                  <bgColor theme="0"/>
                </patternFill>
              </fill>
            </x14:dxf>
          </x14:cfRule>
          <xm:sqref>E4:AM72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1420"/>
  <sheetViews>
    <sheetView showFormulas="false" showGridLines="true" showRowColHeaders="true" showZeros="true" rightToLeft="false" tabSelected="false" showOutlineSymbols="true" defaultGridColor="true" view="normal" topLeftCell="B157" colorId="64" zoomScale="100" zoomScaleNormal="100" zoomScalePageLayoutView="100" workbookViewId="0">
      <selection pane="topLeft" activeCell="G203" activeCellId="0" sqref="G203"/>
    </sheetView>
  </sheetViews>
  <sheetFormatPr defaultColWidth="11.43359375" defaultRowHeight="15" customHeight="true" zeroHeight="false" outlineLevelRow="0" outlineLevelCol="0"/>
  <cols>
    <col collapsed="false" customWidth="true" hidden="false" outlineLevel="0" max="1" min="1" style="481" width="28.71"/>
    <col collapsed="false" customWidth="true" hidden="false" outlineLevel="0" max="2" min="2" style="481" width="3"/>
    <col collapsed="false" customWidth="true" hidden="false" outlineLevel="0" max="3" min="3" style="481" width="35.43"/>
    <col collapsed="false" customWidth="true" hidden="false" outlineLevel="0" max="4" min="4" style="481" width="81.29"/>
    <col collapsed="false" customWidth="true" hidden="false" outlineLevel="0" max="5" min="5" style="481" width="17.29"/>
    <col collapsed="false" customWidth="true" hidden="false" outlineLevel="0" max="6" min="6" style="481" width="9.71"/>
    <col collapsed="false" customWidth="true" hidden="false" outlineLevel="0" max="7" min="7" style="481" width="96.29"/>
    <col collapsed="false" customWidth="true" hidden="false" outlineLevel="0" max="8" min="8" style="481" width="96"/>
    <col collapsed="false" customWidth="true" hidden="false" outlineLevel="0" max="9" min="9" style="31" width="3.29"/>
    <col collapsed="false" customWidth="true" hidden="false" outlineLevel="0" max="10" min="10" style="31" width="13"/>
    <col collapsed="false" customWidth="true" hidden="false" outlineLevel="0" max="12" min="11" style="31" width="12.29"/>
    <col collapsed="false" customWidth="false" hidden="false" outlineLevel="0" max="16384" min="13" style="31" width="11.43"/>
  </cols>
  <sheetData>
    <row r="2" customFormat="false" ht="15" hidden="false" customHeight="false" outlineLevel="0" collapsed="false">
      <c r="A2" s="481" t="s">
        <v>0</v>
      </c>
      <c r="B2" s="481" t="n">
        <f aca="false">IF(Home!$C$6=Idiomas!A2,1,0)</f>
        <v>1</v>
      </c>
    </row>
    <row r="3" customFormat="false" ht="15" hidden="false" customHeight="false" outlineLevel="0" collapsed="false">
      <c r="A3" s="481" t="s">
        <v>419</v>
      </c>
      <c r="B3" s="481" t="n">
        <f aca="false">IF(Home!$C$6=Idiomas!A3,1,0)</f>
        <v>0</v>
      </c>
      <c r="E3" s="481" t="s">
        <v>420</v>
      </c>
      <c r="F3" s="481" t="s">
        <v>421</v>
      </c>
      <c r="G3" s="481" t="s">
        <v>0</v>
      </c>
      <c r="H3" s="481" t="s">
        <v>422</v>
      </c>
    </row>
    <row r="4" customFormat="false" ht="15" hidden="false" customHeight="false" outlineLevel="0" collapsed="false">
      <c r="D4" s="481" t="str">
        <f aca="false">IF($B$2,G4,H4)</f>
        <v>Introducir resultados</v>
      </c>
      <c r="E4" s="481" t="s">
        <v>423</v>
      </c>
      <c r="F4" s="481" t="s">
        <v>424</v>
      </c>
      <c r="G4" s="481" t="s">
        <v>425</v>
      </c>
      <c r="H4" s="481" t="s">
        <v>426</v>
      </c>
    </row>
    <row r="5" customFormat="false" ht="23.85" hidden="false" customHeight="false" outlineLevel="0" collapsed="false">
      <c r="B5" s="482"/>
      <c r="D5" s="481" t="str">
        <f aca="false">IF($B$2,G5,H5)</f>
        <v>Esta versión es para un maximo de 5 participantes. Puedes descargar versiones para más participantes desde el enlace de abajo</v>
      </c>
      <c r="E5" s="481" t="s">
        <v>423</v>
      </c>
      <c r="F5" s="481" t="s">
        <v>427</v>
      </c>
      <c r="G5" s="481" t="s">
        <v>428</v>
      </c>
      <c r="H5" s="481" t="s">
        <v>429</v>
      </c>
      <c r="K5" s="483"/>
      <c r="L5" s="483"/>
    </row>
    <row r="6" customFormat="false" ht="15" hidden="false" customHeight="false" outlineLevel="0" collapsed="false">
      <c r="B6" s="482"/>
      <c r="D6" s="481" t="str">
        <f aca="false">IF($B$2,G6,H6)</f>
        <v>Predictor Equipos</v>
      </c>
      <c r="G6" s="484" t="s">
        <v>430</v>
      </c>
      <c r="H6" s="484" t="s">
        <v>431</v>
      </c>
    </row>
    <row r="7" customFormat="false" ht="15" hidden="false" customHeight="false" outlineLevel="0" collapsed="false">
      <c r="D7" s="481" t="str">
        <f aca="false">IF($B$2,G7,H7)</f>
        <v>Selecciona idioma</v>
      </c>
      <c r="E7" s="481" t="s">
        <v>423</v>
      </c>
      <c r="F7" s="481" t="s">
        <v>432</v>
      </c>
      <c r="G7" s="481" t="s">
        <v>433</v>
      </c>
      <c r="H7" s="481" t="s">
        <v>434</v>
      </c>
    </row>
    <row r="8" customFormat="false" ht="15" hidden="false" customHeight="false" outlineLevel="0" collapsed="false">
      <c r="D8" s="481" t="str">
        <f aca="false">IF($B$2,G8,H8)</f>
        <v>XXIII Mundial USA/MEX/CAN 2026</v>
      </c>
      <c r="E8" s="481" t="s">
        <v>423</v>
      </c>
      <c r="F8" s="481" t="s">
        <v>435</v>
      </c>
      <c r="G8" s="481" t="s">
        <v>436</v>
      </c>
      <c r="H8" s="481" t="s">
        <v>437</v>
      </c>
    </row>
    <row r="9" customFormat="false" ht="15" hidden="false" customHeight="false" outlineLevel="0" collapsed="false">
      <c r="D9" s="481" t="str">
        <f aca="false">IF($B$2,G9,H9)</f>
        <v>Versiones para más participantes</v>
      </c>
      <c r="E9" s="481" t="s">
        <v>423</v>
      </c>
      <c r="F9" s="481" t="s">
        <v>438</v>
      </c>
      <c r="G9" s="481" t="s">
        <v>439</v>
      </c>
      <c r="H9" s="481" t="s">
        <v>440</v>
      </c>
    </row>
    <row r="10" customFormat="false" ht="15" hidden="false" customHeight="false" outlineLevel="0" collapsed="false">
      <c r="D10" s="481" t="str">
        <f aca="false">IF($B$2,G10,H10)</f>
        <v>https://matejero.es/administrador-excel-mundial-2026/</v>
      </c>
      <c r="E10" s="481" t="s">
        <v>423</v>
      </c>
      <c r="F10" s="481" t="s">
        <v>441</v>
      </c>
      <c r="G10" s="481" t="s">
        <v>442</v>
      </c>
      <c r="H10" s="481" t="s">
        <v>443</v>
      </c>
    </row>
    <row r="11" customFormat="false" ht="15" hidden="false" customHeight="false" outlineLevel="0" collapsed="false">
      <c r="D11" s="481" t="str">
        <f aca="false">IF($B$2,G11,H11)</f>
        <v>Si en la hoja WorldCup no ves las banderas, puedes usar el otro archivo que venia en el .zip</v>
      </c>
      <c r="G11" s="481" t="s">
        <v>444</v>
      </c>
      <c r="H11" s="481" t="s">
        <v>445</v>
      </c>
    </row>
    <row r="12" customFormat="false" ht="15" hidden="false" customHeight="false" outlineLevel="0" collapsed="false">
      <c r="D12" s="481" t="str">
        <f aca="false">IF($B$2,G12,H12)</f>
        <v>Donar</v>
      </c>
      <c r="G12" s="481" t="s">
        <v>446</v>
      </c>
      <c r="H12" s="481" t="s">
        <v>447</v>
      </c>
    </row>
    <row r="13" customFormat="false" ht="15" hidden="false" customHeight="false" outlineLevel="0" collapsed="false">
      <c r="D13" s="481" t="str">
        <f aca="false">IF($B$2,G13,H13)</f>
        <v>https://matejero.es/faq-porra-mundial-2026-excel/</v>
      </c>
      <c r="G13" s="481" t="s">
        <v>448</v>
      </c>
      <c r="H13" s="481" t="s">
        <v>449</v>
      </c>
    </row>
    <row r="14" customFormat="false" ht="15" hidden="false" customHeight="false" outlineLevel="0" collapsed="false">
      <c r="B14" s="482"/>
    </row>
    <row r="15" customFormat="false" ht="15" hidden="false" customHeight="false" outlineLevel="0" collapsed="false">
      <c r="D15" s="481" t="str">
        <f aca="false">IF($B$2,G15,H15)</f>
        <v>Selecciona horario</v>
      </c>
      <c r="E15" s="481" t="s">
        <v>450</v>
      </c>
      <c r="F15" s="481" t="s">
        <v>282</v>
      </c>
      <c r="G15" s="481" t="s">
        <v>451</v>
      </c>
      <c r="H15" s="481" t="s">
        <v>452</v>
      </c>
    </row>
    <row r="16" customFormat="false" ht="15" hidden="false" customHeight="false" outlineLevel="0" collapsed="false">
      <c r="D16" s="481" t="str">
        <f aca="false">IF($B$2,G16,H16)</f>
        <v>Fecha</v>
      </c>
      <c r="E16" s="481" t="s">
        <v>450</v>
      </c>
      <c r="F16" s="481" t="s">
        <v>321</v>
      </c>
      <c r="G16" s="481" t="s">
        <v>243</v>
      </c>
      <c r="H16" s="481" t="s">
        <v>453</v>
      </c>
    </row>
    <row r="17" customFormat="false" ht="15" hidden="false" customHeight="false" outlineLevel="0" collapsed="false">
      <c r="D17" s="481" t="str">
        <f aca="false">IF($B$2,G17,H17)</f>
        <v>Hora</v>
      </c>
      <c r="E17" s="481" t="s">
        <v>450</v>
      </c>
      <c r="F17" s="481" t="s">
        <v>323</v>
      </c>
      <c r="G17" s="481" t="s">
        <v>454</v>
      </c>
      <c r="H17" s="481" t="s">
        <v>455</v>
      </c>
    </row>
    <row r="18" customFormat="false" ht="15" hidden="false" customHeight="false" outlineLevel="0" collapsed="false">
      <c r="D18" s="481" t="str">
        <f aca="false">IF($B$2,G18,H18)</f>
        <v>Jor.</v>
      </c>
      <c r="E18" s="481" t="s">
        <v>450</v>
      </c>
      <c r="F18" s="481" t="s">
        <v>324</v>
      </c>
      <c r="G18" s="481" t="s">
        <v>456</v>
      </c>
      <c r="H18" s="481" t="s">
        <v>457</v>
      </c>
    </row>
    <row r="19" customFormat="false" ht="15" hidden="false" customHeight="false" outlineLevel="0" collapsed="false">
      <c r="D19" s="481" t="str">
        <f aca="false">IF($B$2,G19,H19)</f>
        <v>Casa</v>
      </c>
      <c r="E19" s="481" t="s">
        <v>450</v>
      </c>
      <c r="F19" s="481" t="s">
        <v>326</v>
      </c>
      <c r="G19" s="481" t="s">
        <v>458</v>
      </c>
      <c r="H19" s="481" t="s">
        <v>459</v>
      </c>
    </row>
    <row r="20" customFormat="false" ht="15" hidden="false" customHeight="false" outlineLevel="0" collapsed="false">
      <c r="D20" s="481" t="str">
        <f aca="false">IF($B$2,G20,H20)</f>
        <v>Gol</v>
      </c>
      <c r="E20" s="481" t="s">
        <v>450</v>
      </c>
      <c r="F20" s="481" t="s">
        <v>329</v>
      </c>
      <c r="G20" s="481" t="s">
        <v>218</v>
      </c>
      <c r="H20" s="481" t="s">
        <v>460</v>
      </c>
    </row>
    <row r="21" customFormat="false" ht="15" hidden="false" customHeight="false" outlineLevel="0" collapsed="false">
      <c r="D21" s="481" t="str">
        <f aca="false">IF($B$2,G21,H21)</f>
        <v>Fuera</v>
      </c>
      <c r="E21" s="481" t="s">
        <v>450</v>
      </c>
      <c r="F21" s="481" t="s">
        <v>461</v>
      </c>
      <c r="G21" s="481" t="s">
        <v>462</v>
      </c>
      <c r="H21" s="481" t="s">
        <v>463</v>
      </c>
    </row>
    <row r="22" customFormat="false" ht="15" hidden="false" customHeight="false" outlineLevel="0" collapsed="false">
      <c r="D22" s="481" t="str">
        <f aca="false">IF($B$2,G22,H22)</f>
        <v>Grupo</v>
      </c>
      <c r="E22" s="481" t="s">
        <v>450</v>
      </c>
      <c r="F22" s="481" t="s">
        <v>464</v>
      </c>
      <c r="G22" s="481" t="s">
        <v>465</v>
      </c>
      <c r="H22" s="481" t="s">
        <v>466</v>
      </c>
    </row>
    <row r="23" customFormat="false" ht="15" hidden="false" customHeight="false" outlineLevel="0" collapsed="false">
      <c r="D23" s="481" t="str">
        <f aca="false">IF($B$2,G23,H23)</f>
        <v>¡EMPATE! Puedes seleccionar el orden de los empatados.</v>
      </c>
      <c r="E23" s="481" t="s">
        <v>450</v>
      </c>
      <c r="F23" s="481" t="s">
        <v>467</v>
      </c>
      <c r="G23" s="481" t="s">
        <v>468</v>
      </c>
      <c r="H23" s="481" t="s">
        <v>469</v>
      </c>
    </row>
    <row r="24" customFormat="false" ht="15" hidden="false" customHeight="false" outlineLevel="0" collapsed="false">
      <c r="D24" s="481" t="str">
        <f aca="false">IF($B$2,G24,H24)</f>
        <v>Mejores terceros</v>
      </c>
      <c r="E24" s="481" t="s">
        <v>450</v>
      </c>
      <c r="F24" s="481" t="s">
        <v>470</v>
      </c>
      <c r="G24" s="481" t="s">
        <v>471</v>
      </c>
      <c r="H24" s="481" t="s">
        <v>472</v>
      </c>
    </row>
    <row r="25" customFormat="false" ht="15" hidden="false" customHeight="false" outlineLevel="0" collapsed="false">
      <c r="D25" s="481" t="str">
        <f aca="false">IF($B$2,G25,H25)</f>
        <v>Dieciseisavos de final</v>
      </c>
      <c r="E25" s="481" t="s">
        <v>450</v>
      </c>
      <c r="G25" s="481" t="s">
        <v>473</v>
      </c>
      <c r="H25" s="481" t="s">
        <v>474</v>
      </c>
    </row>
    <row r="26" customFormat="false" ht="15" hidden="false" customHeight="false" outlineLevel="0" collapsed="false">
      <c r="D26" s="481" t="str">
        <f aca="false">IF($B$2,G26,H26)</f>
        <v>Octavos de final</v>
      </c>
      <c r="E26" s="481" t="s">
        <v>450</v>
      </c>
      <c r="F26" s="481" t="s">
        <v>475</v>
      </c>
      <c r="G26" s="481" t="s">
        <v>476</v>
      </c>
      <c r="H26" s="481" t="s">
        <v>477</v>
      </c>
    </row>
    <row r="27" customFormat="false" ht="15" hidden="false" customHeight="false" outlineLevel="0" collapsed="false">
      <c r="D27" s="481" t="str">
        <f aca="false">IF($B$2,G27,H27)</f>
        <v>Cuartos de final</v>
      </c>
      <c r="E27" s="481" t="s">
        <v>450</v>
      </c>
      <c r="F27" s="481" t="s">
        <v>478</v>
      </c>
      <c r="G27" s="481" t="s">
        <v>479</v>
      </c>
      <c r="H27" s="481" t="s">
        <v>480</v>
      </c>
    </row>
    <row r="28" customFormat="false" ht="15" hidden="false" customHeight="false" outlineLevel="0" collapsed="false">
      <c r="D28" s="481" t="str">
        <f aca="false">IF($B$2,G28,H28)</f>
        <v>Semifinales</v>
      </c>
      <c r="E28" s="481" t="s">
        <v>450</v>
      </c>
      <c r="F28" s="481" t="s">
        <v>481</v>
      </c>
      <c r="G28" s="481" t="s">
        <v>482</v>
      </c>
      <c r="H28" s="481" t="s">
        <v>483</v>
      </c>
    </row>
    <row r="29" customFormat="false" ht="15" hidden="false" customHeight="false" outlineLevel="0" collapsed="false">
      <c r="D29" s="481" t="str">
        <f aca="false">IF($B$2,G29,H29)</f>
        <v>3º y 4º puesto</v>
      </c>
      <c r="E29" s="481" t="s">
        <v>450</v>
      </c>
      <c r="G29" s="481" t="s">
        <v>484</v>
      </c>
      <c r="H29" s="481" t="s">
        <v>485</v>
      </c>
    </row>
    <row r="30" customFormat="false" ht="15" hidden="false" customHeight="false" outlineLevel="0" collapsed="false">
      <c r="D30" s="481" t="str">
        <f aca="false">IF($B$2,G30,H30)</f>
        <v>Final</v>
      </c>
      <c r="E30" s="481" t="s">
        <v>450</v>
      </c>
      <c r="F30" s="481" t="s">
        <v>486</v>
      </c>
      <c r="G30" s="481" t="s">
        <v>487</v>
      </c>
      <c r="H30" s="481" t="s">
        <v>487</v>
      </c>
    </row>
    <row r="31" customFormat="false" ht="15" hidden="false" customHeight="false" outlineLevel="0" collapsed="false">
      <c r="D31" s="481" t="str">
        <f aca="false">IF($B$2,G31,H31)</f>
        <v>Cuadro de honor</v>
      </c>
      <c r="E31" s="481" t="s">
        <v>450</v>
      </c>
      <c r="F31" s="481" t="s">
        <v>488</v>
      </c>
      <c r="G31" s="481" t="s">
        <v>489</v>
      </c>
      <c r="H31" s="481" t="s">
        <v>490</v>
      </c>
    </row>
    <row r="32" customFormat="false" ht="15" hidden="false" customHeight="false" outlineLevel="0" collapsed="false">
      <c r="D32" s="481" t="str">
        <f aca="false">IF($B$2,G32,H32)</f>
        <v>Campeón</v>
      </c>
      <c r="E32" s="481" t="s">
        <v>450</v>
      </c>
      <c r="F32" s="481" t="s">
        <v>491</v>
      </c>
      <c r="G32" s="481" t="s">
        <v>492</v>
      </c>
      <c r="H32" s="481" t="s">
        <v>493</v>
      </c>
    </row>
    <row r="33" customFormat="false" ht="15" hidden="false" customHeight="false" outlineLevel="0" collapsed="false">
      <c r="D33" s="481" t="str">
        <f aca="false">IF($B$2,G33,H33)</f>
        <v>Subcampeón</v>
      </c>
      <c r="E33" s="481" t="s">
        <v>450</v>
      </c>
      <c r="F33" s="481" t="s">
        <v>494</v>
      </c>
      <c r="G33" s="481" t="s">
        <v>495</v>
      </c>
      <c r="H33" s="481" t="s">
        <v>496</v>
      </c>
    </row>
    <row r="34" customFormat="false" ht="15" hidden="false" customHeight="false" outlineLevel="0" collapsed="false">
      <c r="D34" s="481" t="str">
        <f aca="false">IF($B$2,G34,H34)</f>
        <v>3º puesto</v>
      </c>
      <c r="E34" s="481" t="s">
        <v>450</v>
      </c>
      <c r="G34" s="481" t="s">
        <v>497</v>
      </c>
      <c r="H34" s="481" t="s">
        <v>498</v>
      </c>
    </row>
    <row r="35" customFormat="false" ht="15" hidden="false" customHeight="false" outlineLevel="0" collapsed="false">
      <c r="D35" s="481" t="str">
        <f aca="false">IF($B$2,G35,H35)</f>
        <v>Bota de Oro  (máximo goleador)</v>
      </c>
      <c r="E35" s="481" t="s">
        <v>450</v>
      </c>
      <c r="F35" s="481" t="s">
        <v>499</v>
      </c>
      <c r="G35" s="475" t="s">
        <v>500</v>
      </c>
      <c r="H35" s="481" t="s">
        <v>501</v>
      </c>
    </row>
    <row r="36" customFormat="false" ht="15" hidden="false" customHeight="false" outlineLevel="0" collapsed="false">
      <c r="D36" s="481" t="str">
        <f aca="false">IF($B$2,G36,H36)</f>
        <v>Bota de Plata (2º máximo goleador)</v>
      </c>
      <c r="E36" s="481" t="s">
        <v>450</v>
      </c>
      <c r="F36" s="481" t="s">
        <v>502</v>
      </c>
      <c r="G36" s="475" t="s">
        <v>503</v>
      </c>
      <c r="H36" s="481" t="s">
        <v>504</v>
      </c>
    </row>
    <row r="37" customFormat="false" ht="15" hidden="false" customHeight="false" outlineLevel="0" collapsed="false">
      <c r="D37" s="481" t="str">
        <f aca="false">IF($B$2,G37,H37)</f>
        <v>Bota de Bronce (3º máximo goleador)</v>
      </c>
      <c r="G37" s="475" t="s">
        <v>505</v>
      </c>
      <c r="H37" s="481" t="s">
        <v>506</v>
      </c>
    </row>
    <row r="38" customFormat="false" ht="15" hidden="false" customHeight="false" outlineLevel="0" collapsed="false">
      <c r="D38" s="481" t="str">
        <f aca="false">IF($B$2,G38,H38)</f>
        <v>Balón de Oro  (mejor jugador)</v>
      </c>
      <c r="G38" s="475" t="s">
        <v>507</v>
      </c>
      <c r="H38" s="481" t="s">
        <v>508</v>
      </c>
    </row>
    <row r="39" customFormat="false" ht="15" hidden="false" customHeight="false" outlineLevel="0" collapsed="false">
      <c r="D39" s="481" t="str">
        <f aca="false">IF($B$2,G39,H39)</f>
        <v>Balón de Plata (2º mejor jugador)</v>
      </c>
      <c r="G39" s="475" t="s">
        <v>509</v>
      </c>
      <c r="H39" s="481" t="s">
        <v>510</v>
      </c>
    </row>
    <row r="40" customFormat="false" ht="15" hidden="false" customHeight="false" outlineLevel="0" collapsed="false">
      <c r="D40" s="481" t="str">
        <f aca="false">IF($B$2,G40,H40)</f>
        <v>Balón de Bronce (3º mejor jugador)</v>
      </c>
      <c r="G40" s="475" t="s">
        <v>511</v>
      </c>
      <c r="H40" s="481" t="s">
        <v>512</v>
      </c>
    </row>
    <row r="41" customFormat="false" ht="15" hidden="false" customHeight="false" outlineLevel="0" collapsed="false">
      <c r="D41" s="481" t="str">
        <f aca="false">IF($B$2,G41,H41)</f>
        <v>Escribe el jugador Bota de Oro</v>
      </c>
      <c r="E41" s="481" t="s">
        <v>450</v>
      </c>
      <c r="F41" s="481" t="s">
        <v>513</v>
      </c>
      <c r="G41" s="475" t="s">
        <v>514</v>
      </c>
      <c r="H41" s="481" t="s">
        <v>515</v>
      </c>
    </row>
    <row r="42" customFormat="false" ht="15" hidden="false" customHeight="false" outlineLevel="0" collapsed="false">
      <c r="D42" s="481" t="str">
        <f aca="false">IF($B$2,G42,H42)</f>
        <v>Escribe el jugador Bota de Plata</v>
      </c>
      <c r="E42" s="481" t="s">
        <v>450</v>
      </c>
      <c r="F42" s="481" t="s">
        <v>516</v>
      </c>
      <c r="G42" s="475" t="s">
        <v>517</v>
      </c>
      <c r="H42" s="481" t="s">
        <v>518</v>
      </c>
    </row>
    <row r="43" customFormat="false" ht="15" hidden="false" customHeight="false" outlineLevel="0" collapsed="false">
      <c r="D43" s="481" t="str">
        <f aca="false">IF($B$2,G43,H43)</f>
        <v>Escribe el jugador Bota de Bronce</v>
      </c>
      <c r="G43" s="475" t="s">
        <v>519</v>
      </c>
      <c r="H43" s="481" t="s">
        <v>520</v>
      </c>
    </row>
    <row r="44" customFormat="false" ht="15" hidden="false" customHeight="false" outlineLevel="0" collapsed="false">
      <c r="D44" s="481" t="str">
        <f aca="false">IF($B$2,G44,H44)</f>
        <v>Escribe el equipo máximo goleador</v>
      </c>
      <c r="G44" s="475" t="s">
        <v>521</v>
      </c>
      <c r="H44" s="481" t="s">
        <v>522</v>
      </c>
    </row>
    <row r="45" customFormat="false" ht="15" hidden="false" customHeight="false" outlineLevel="0" collapsed="false">
      <c r="D45" s="481" t="str">
        <f aca="false">IF($B$2,G45,H45)</f>
        <v>Escribe el jugador Balón de Plata</v>
      </c>
      <c r="G45" s="475" t="s">
        <v>523</v>
      </c>
      <c r="H45" s="481" t="s">
        <v>524</v>
      </c>
    </row>
    <row r="46" customFormat="false" ht="15" hidden="false" customHeight="false" outlineLevel="0" collapsed="false">
      <c r="D46" s="481" t="str">
        <f aca="false">IF($B$2,G46,H46)</f>
        <v>Escribe el jugador Balón de Bronce</v>
      </c>
      <c r="G46" s="475" t="s">
        <v>525</v>
      </c>
      <c r="H46" s="481" t="s">
        <v>526</v>
      </c>
    </row>
    <row r="47" customFormat="false" ht="15" hidden="false" customHeight="false" outlineLevel="0" collapsed="false">
      <c r="D47" s="481" t="str">
        <f aca="false">IF($B$2,G47,H47)</f>
        <v>NombreGrupo</v>
      </c>
      <c r="E47" s="481" t="s">
        <v>459</v>
      </c>
      <c r="F47" s="481" t="s">
        <v>527</v>
      </c>
      <c r="G47" s="481" t="s">
        <v>528</v>
      </c>
      <c r="H47" s="481" t="s">
        <v>529</v>
      </c>
    </row>
    <row r="48" customFormat="false" ht="15" hidden="false" customHeight="false" outlineLevel="0" collapsed="false">
      <c r="D48" s="481" t="str">
        <f aca="false">IF($B$2,G48,H48)</f>
        <v>Escribe el nombre del grupo</v>
      </c>
      <c r="E48" s="481" t="s">
        <v>530</v>
      </c>
      <c r="F48" s="481" t="s">
        <v>531</v>
      </c>
      <c r="G48" s="481" t="s">
        <v>532</v>
      </c>
      <c r="H48" s="481" t="s">
        <v>533</v>
      </c>
    </row>
    <row r="49" customFormat="false" ht="15" hidden="false" customHeight="false" outlineLevel="0" collapsed="false">
      <c r="D49" s="481" t="str">
        <f aca="false">IF($B$2,G49,H49)</f>
        <v>MUNDIAL EN CURSO</v>
      </c>
      <c r="E49" s="481" t="s">
        <v>450</v>
      </c>
      <c r="F49" s="481" t="s">
        <v>534</v>
      </c>
      <c r="G49" s="481" t="s">
        <v>535</v>
      </c>
      <c r="H49" s="481" t="s">
        <v>536</v>
      </c>
    </row>
    <row r="50" customFormat="false" ht="15" hidden="false" customHeight="false" outlineLevel="0" collapsed="false">
      <c r="D50" s="481" t="str">
        <f aca="false">IF($B$2,G50,H50)</f>
        <v>Todavía hay emoción</v>
      </c>
      <c r="E50" s="481" t="s">
        <v>450</v>
      </c>
      <c r="F50" s="481" t="s">
        <v>537</v>
      </c>
      <c r="G50" s="481" t="s">
        <v>538</v>
      </c>
      <c r="H50" s="481" t="s">
        <v>539</v>
      </c>
    </row>
    <row r="51" customFormat="false" ht="15" hidden="false" customHeight="false" outlineLevel="0" collapsed="false">
      <c r="D51" s="481" t="str">
        <f aca="false">IF($B$2,G51,H51)</f>
        <v>MUNDIAL FINALIZADO</v>
      </c>
      <c r="E51" s="481" t="s">
        <v>450</v>
      </c>
      <c r="F51" s="481" t="s">
        <v>540</v>
      </c>
      <c r="G51" s="481" t="s">
        <v>541</v>
      </c>
      <c r="H51" s="481" t="s">
        <v>542</v>
      </c>
    </row>
    <row r="52" customFormat="false" ht="15" hidden="false" customHeight="false" outlineLevel="0" collapsed="false">
      <c r="D52" s="481" t="str">
        <f aca="false">IF($B$2,G52,H52)</f>
        <v>¿Quién habrá ganado?</v>
      </c>
      <c r="E52" s="481" t="s">
        <v>450</v>
      </c>
      <c r="F52" s="481" t="s">
        <v>543</v>
      </c>
      <c r="G52" s="481" t="s">
        <v>544</v>
      </c>
      <c r="H52" s="481" t="s">
        <v>545</v>
      </c>
    </row>
    <row r="53" customFormat="false" ht="15" hidden="false" customHeight="false" outlineLevel="0" collapsed="false">
      <c r="D53" s="481" t="str">
        <f aca="false">IF($B$2,G53,H53)</f>
        <v>Pos</v>
      </c>
      <c r="E53" s="481" t="s">
        <v>450</v>
      </c>
      <c r="F53" s="481" t="s">
        <v>546</v>
      </c>
      <c r="G53" s="481" t="s">
        <v>547</v>
      </c>
      <c r="H53" s="481" t="s">
        <v>547</v>
      </c>
    </row>
    <row r="54" customFormat="false" ht="15" hidden="false" customHeight="false" outlineLevel="0" collapsed="false">
      <c r="D54" s="481" t="str">
        <f aca="false">IF($B$2,G54,H54)</f>
        <v>Selección</v>
      </c>
      <c r="E54" s="481" t="s">
        <v>450</v>
      </c>
      <c r="F54" s="481" t="s">
        <v>548</v>
      </c>
      <c r="G54" s="481" t="s">
        <v>549</v>
      </c>
      <c r="H54" s="481" t="s">
        <v>550</v>
      </c>
    </row>
    <row r="55" customFormat="false" ht="15" hidden="false" customHeight="false" outlineLevel="0" collapsed="false">
      <c r="D55" s="481" t="str">
        <f aca="false">IF($B$2,G55,H55)</f>
        <v>Pts</v>
      </c>
      <c r="E55" s="481" t="s">
        <v>450</v>
      </c>
      <c r="F55" s="481" t="s">
        <v>551</v>
      </c>
      <c r="G55" s="481" t="s">
        <v>552</v>
      </c>
      <c r="H55" s="481" t="s">
        <v>552</v>
      </c>
    </row>
    <row r="56" customFormat="false" ht="15" hidden="false" customHeight="false" outlineLevel="0" collapsed="false">
      <c r="D56" s="481" t="str">
        <f aca="false">IF($B$2,G56,H56)</f>
        <v>J</v>
      </c>
      <c r="E56" s="481" t="s">
        <v>450</v>
      </c>
      <c r="F56" s="481" t="s">
        <v>553</v>
      </c>
      <c r="G56" s="481" t="s">
        <v>135</v>
      </c>
      <c r="H56" s="481" t="s">
        <v>554</v>
      </c>
    </row>
    <row r="57" customFormat="false" ht="15" hidden="false" customHeight="false" outlineLevel="0" collapsed="false">
      <c r="D57" s="481" t="str">
        <f aca="false">IF($B$2,G57,H57)</f>
        <v>G</v>
      </c>
      <c r="E57" s="481" t="s">
        <v>450</v>
      </c>
      <c r="F57" s="481" t="s">
        <v>555</v>
      </c>
      <c r="G57" s="481" t="s">
        <v>129</v>
      </c>
      <c r="H57" s="481" t="s">
        <v>556</v>
      </c>
    </row>
    <row r="58" customFormat="false" ht="15" hidden="false" customHeight="false" outlineLevel="0" collapsed="false">
      <c r="D58" s="481" t="str">
        <f aca="false">IF($B$2,G58,H58)</f>
        <v>E</v>
      </c>
      <c r="E58" s="481" t="s">
        <v>450</v>
      </c>
      <c r="F58" s="481" t="s">
        <v>557</v>
      </c>
      <c r="G58" s="481" t="s">
        <v>111</v>
      </c>
      <c r="H58" s="481" t="s">
        <v>102</v>
      </c>
      <c r="K58" s="30"/>
    </row>
    <row r="59" customFormat="false" ht="15" hidden="false" customHeight="false" outlineLevel="0" collapsed="false">
      <c r="D59" s="481" t="str">
        <f aca="false">IF($B$2,G59,H59)</f>
        <v>P</v>
      </c>
      <c r="E59" s="481" t="s">
        <v>450</v>
      </c>
      <c r="F59" s="481" t="s">
        <v>558</v>
      </c>
      <c r="G59" s="481" t="s">
        <v>554</v>
      </c>
      <c r="H59" s="481" t="s">
        <v>137</v>
      </c>
      <c r="K59" s="30"/>
    </row>
    <row r="60" customFormat="false" ht="15" hidden="false" customHeight="false" outlineLevel="0" collapsed="false">
      <c r="D60" s="481" t="str">
        <f aca="false">IF($B$2,G60,H60)</f>
        <v>GF</v>
      </c>
      <c r="E60" s="481" t="s">
        <v>450</v>
      </c>
      <c r="F60" s="481" t="s">
        <v>559</v>
      </c>
      <c r="G60" s="481" t="s">
        <v>63</v>
      </c>
      <c r="H60" s="481" t="s">
        <v>120</v>
      </c>
      <c r="K60" s="30"/>
    </row>
    <row r="61" customFormat="false" ht="15" hidden="false" customHeight="false" outlineLevel="0" collapsed="false">
      <c r="D61" s="481" t="str">
        <f aca="false">IF($B$2,G61,H61)</f>
        <v>GC</v>
      </c>
      <c r="E61" s="481" t="s">
        <v>450</v>
      </c>
      <c r="F61" s="481" t="s">
        <v>560</v>
      </c>
      <c r="G61" s="481" t="s">
        <v>561</v>
      </c>
      <c r="H61" s="481" t="s">
        <v>24</v>
      </c>
      <c r="K61" s="30"/>
    </row>
    <row r="62" customFormat="false" ht="15" hidden="false" customHeight="false" outlineLevel="0" collapsed="false">
      <c r="D62" s="481" t="str">
        <f aca="false">IF($B$2,G62,H62)</f>
        <v>DG</v>
      </c>
      <c r="E62" s="481" t="s">
        <v>450</v>
      </c>
      <c r="F62" s="481" t="s">
        <v>562</v>
      </c>
      <c r="G62" s="481" t="s">
        <v>60</v>
      </c>
      <c r="H62" s="481" t="s">
        <v>563</v>
      </c>
      <c r="K62" s="30"/>
    </row>
    <row r="63" customFormat="false" ht="15" hidden="false" customHeight="false" outlineLevel="0" collapsed="false">
      <c r="D63" s="481" t="str">
        <f aca="false">IF($B$2,G63,H63)</f>
        <v>J1</v>
      </c>
      <c r="E63" s="481" t="s">
        <v>450</v>
      </c>
      <c r="G63" s="481" t="s">
        <v>292</v>
      </c>
      <c r="H63" s="481" t="s">
        <v>564</v>
      </c>
      <c r="K63" s="30"/>
    </row>
    <row r="64" customFormat="false" ht="15" hidden="false" customHeight="false" outlineLevel="0" collapsed="false">
      <c r="D64" s="481" t="str">
        <f aca="false">IF($B$2,G64,H64)</f>
        <v>J2</v>
      </c>
      <c r="E64" s="481" t="s">
        <v>450</v>
      </c>
      <c r="G64" s="481" t="s">
        <v>308</v>
      </c>
      <c r="H64" s="481" t="s">
        <v>565</v>
      </c>
    </row>
    <row r="65" customFormat="false" ht="15" hidden="false" customHeight="false" outlineLevel="0" collapsed="false">
      <c r="D65" s="481" t="str">
        <f aca="false">IF($B$2,G65,H65)</f>
        <v>J3</v>
      </c>
      <c r="E65" s="481" t="s">
        <v>450</v>
      </c>
      <c r="G65" s="481" t="s">
        <v>327</v>
      </c>
      <c r="H65" s="481" t="s">
        <v>566</v>
      </c>
    </row>
    <row r="66" customFormat="false" ht="15" hidden="false" customHeight="false" outlineLevel="0" collapsed="false">
      <c r="C66" s="481" t="s">
        <v>567</v>
      </c>
      <c r="D66" s="481" t="str">
        <f aca="false">IF($B$2,G66,H66)</f>
        <v>Instrucciones en video</v>
      </c>
      <c r="E66" s="481" t="s">
        <v>450</v>
      </c>
      <c r="F66" s="481" t="s">
        <v>568</v>
      </c>
      <c r="G66" s="485" t="s">
        <v>569</v>
      </c>
      <c r="H66" s="481" t="s">
        <v>570</v>
      </c>
    </row>
    <row r="67" customFormat="false" ht="15" hidden="false" customHeight="false" outlineLevel="0" collapsed="false">
      <c r="D67" s="481" t="str">
        <f aca="false">IF($B$2,G67,H67)</f>
        <v>Sí</v>
      </c>
      <c r="E67" s="481" t="s">
        <v>450</v>
      </c>
      <c r="G67" s="481" t="s">
        <v>571</v>
      </c>
      <c r="H67" s="481" t="s">
        <v>572</v>
      </c>
    </row>
    <row r="68" customFormat="false" ht="15" hidden="false" customHeight="false" outlineLevel="0" collapsed="false">
      <c r="D68" s="481" t="str">
        <f aca="false">IF($B$2,G68,H68)</f>
        <v>No</v>
      </c>
      <c r="E68" s="481" t="s">
        <v>450</v>
      </c>
      <c r="G68" s="481" t="s">
        <v>21</v>
      </c>
      <c r="H68" s="481" t="s">
        <v>21</v>
      </c>
    </row>
    <row r="69" customFormat="false" ht="15" hidden="false" customHeight="false" outlineLevel="0" collapsed="false">
      <c r="D69" s="481" t="str">
        <f aca="false">IF($B$2,G69,H69)</f>
        <v>Puntos penalizados</v>
      </c>
      <c r="E69" s="481" t="s">
        <v>450</v>
      </c>
      <c r="G69" s="484" t="s">
        <v>573</v>
      </c>
      <c r="H69" s="484" t="s">
        <v>574</v>
      </c>
    </row>
    <row r="70" customFormat="false" ht="15" hidden="false" customHeight="false" outlineLevel="0" collapsed="false">
      <c r="D70" s="481" t="str">
        <f aca="false">IF($B$2,G70,H70)</f>
        <v>Grupos mejores 3ºs: </v>
      </c>
      <c r="G70" s="484" t="s">
        <v>575</v>
      </c>
      <c r="H70" s="484" t="s">
        <v>576</v>
      </c>
    </row>
    <row r="71" customFormat="false" ht="15" hidden="false" customHeight="false" outlineLevel="0" collapsed="false">
      <c r="D71" s="481" t="str">
        <f aca="false">IF($B$2,G71,H71)</f>
        <v>La clasificación de los mejores terceros aparece al final de la J1</v>
      </c>
      <c r="G71" s="481" t="s">
        <v>577</v>
      </c>
      <c r="H71" s="481" t="s">
        <v>578</v>
      </c>
    </row>
    <row r="72" customFormat="false" ht="15" hidden="false" customHeight="false" outlineLevel="0" collapsed="false">
      <c r="D72" s="481" t="str">
        <f aca="false">IF($B$2,G72,H72)</f>
        <v>Sí</v>
      </c>
      <c r="G72" s="481" t="s">
        <v>571</v>
      </c>
      <c r="H72" s="481" t="s">
        <v>572</v>
      </c>
    </row>
    <row r="73" customFormat="false" ht="15" hidden="false" customHeight="false" outlineLevel="0" collapsed="false">
      <c r="D73" s="481" t="str">
        <f aca="false">IF($B$2,G73,H73)</f>
        <v>No</v>
      </c>
      <c r="G73" s="481" t="s">
        <v>21</v>
      </c>
      <c r="H73" s="481" t="s">
        <v>21</v>
      </c>
    </row>
    <row r="74" customFormat="false" ht="15" hidden="false" customHeight="false" outlineLevel="0" collapsed="false">
      <c r="D74" s="481" t="str">
        <f aca="false">IF($B$2,G74,H74)</f>
        <v>¿Hay equipos penalizados?</v>
      </c>
      <c r="G74" s="481" t="s">
        <v>579</v>
      </c>
      <c r="H74" s="481" t="s">
        <v>580</v>
      </c>
    </row>
    <row r="75" customFormat="false" ht="15" hidden="false" customHeight="false" outlineLevel="0" collapsed="false">
      <c r="C75" s="481" t="n">
        <v>1</v>
      </c>
      <c r="D75" s="481" t="str">
        <f aca="false">IF($B$2,G75,H75)</f>
        <v>Normal</v>
      </c>
      <c r="G75" s="481" t="s">
        <v>177</v>
      </c>
      <c r="H75" s="481" t="s">
        <v>177</v>
      </c>
    </row>
    <row r="76" customFormat="false" ht="15" hidden="false" customHeight="false" outlineLevel="0" collapsed="false">
      <c r="C76" s="481" t="n">
        <v>2</v>
      </c>
      <c r="D76" s="481" t="str">
        <f aca="false">IF($B$2,G76,H76)</f>
        <v>No cuenta el partido contra el último</v>
      </c>
      <c r="G76" s="481" t="s">
        <v>581</v>
      </c>
      <c r="H76" s="481" t="s">
        <v>582</v>
      </c>
    </row>
    <row r="77" customFormat="false" ht="15" hidden="false" customHeight="false" outlineLevel="0" collapsed="false">
      <c r="C77" s="481" t="n">
        <v>3</v>
      </c>
      <c r="D77" s="481" t="str">
        <f aca="false">IF($B$2,G77,H77)</f>
        <v>Media por partido</v>
      </c>
      <c r="G77" s="481" t="s">
        <v>583</v>
      </c>
      <c r="H77" s="481" t="s">
        <v>584</v>
      </c>
    </row>
    <row r="78" customFormat="false" ht="15" hidden="false" customHeight="false" outlineLevel="0" collapsed="false">
      <c r="D78" s="481" t="str">
        <f aca="false">IF($B$2,G78,H78)</f>
        <v>Selecciona criterio:</v>
      </c>
      <c r="G78" s="481" t="s">
        <v>585</v>
      </c>
      <c r="H78" s="481" t="s">
        <v>586</v>
      </c>
    </row>
    <row r="81" customFormat="false" ht="15" hidden="false" customHeight="true" outlineLevel="0" collapsed="false">
      <c r="D81" s="481" t="str">
        <f aca="false">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481" t="s">
        <v>587</v>
      </c>
      <c r="F81" s="481" t="s">
        <v>314</v>
      </c>
      <c r="G81" s="481" t="s">
        <v>588</v>
      </c>
      <c r="H81" s="481" t="s">
        <v>589</v>
      </c>
    </row>
    <row r="82" customFormat="false" ht="15" hidden="false" customHeight="false" outlineLevel="0" collapsed="false">
      <c r="D82" s="481" t="str">
        <f aca="false">IF($B$2,G82,H82)</f>
        <v>Autor:</v>
      </c>
      <c r="E82" s="481" t="s">
        <v>587</v>
      </c>
      <c r="F82" s="481" t="s">
        <v>590</v>
      </c>
      <c r="G82" s="481" t="s">
        <v>591</v>
      </c>
      <c r="H82" s="481" t="s">
        <v>592</v>
      </c>
    </row>
    <row r="83" customFormat="false" ht="15" hidden="false" customHeight="false" outlineLevel="0" collapsed="false">
      <c r="D83" s="481" t="str">
        <f aca="false">IF($B$2,G83,H83)</f>
        <v>Útima versión</v>
      </c>
      <c r="E83" s="481" t="s">
        <v>587</v>
      </c>
      <c r="F83" s="481" t="s">
        <v>593</v>
      </c>
      <c r="G83" s="481" t="s">
        <v>594</v>
      </c>
      <c r="H83" s="481" t="s">
        <v>595</v>
      </c>
    </row>
    <row r="84" customFormat="false" ht="15" hidden="false" customHeight="false" outlineLevel="0" collapsed="false">
      <c r="D84" s="481" t="str">
        <f aca="false">IF($B$2,G84,H84)</f>
        <v>Limitación de responsabilidad:</v>
      </c>
      <c r="E84" s="481" t="s">
        <v>587</v>
      </c>
      <c r="F84" s="481" t="s">
        <v>297</v>
      </c>
      <c r="G84" s="481" t="s">
        <v>596</v>
      </c>
      <c r="H84" s="481" t="s">
        <v>597</v>
      </c>
    </row>
    <row r="85" customFormat="false" ht="15" hidden="false" customHeight="false" outlineLevel="0" collapsed="false">
      <c r="D85" s="481" t="str">
        <f aca="false">IF($B$2,G85,H85)</f>
        <v>PARA DESCARGAR, CLICK EN</v>
      </c>
      <c r="E85" s="481" t="s">
        <v>587</v>
      </c>
      <c r="G85" s="481" t="s">
        <v>598</v>
      </c>
      <c r="H85" s="481" t="s">
        <v>599</v>
      </c>
    </row>
    <row r="86" customFormat="false" ht="15" hidden="false" customHeight="false" outlineLevel="0" collapsed="false">
      <c r="D86" s="481" t="str">
        <f aca="false">IF($B$2,G86,H86)</f>
        <v>· Selecciona el idioma en el que quieras hacer la porra y la zona horaria</v>
      </c>
      <c r="E86" s="481" t="s">
        <v>587</v>
      </c>
      <c r="G86" s="481" t="s">
        <v>600</v>
      </c>
      <c r="H86" s="481" t="s">
        <v>601</v>
      </c>
    </row>
    <row r="87" customFormat="false" ht="15" hidden="false" customHeight="false" outlineLevel="0" collapsed="false">
      <c r="D87" s="481" t="str">
        <f aca="false">IF($B$2,G87,H87)</f>
        <v>· Escribe el nombre del grupo de la porra/quiniela</v>
      </c>
      <c r="E87" s="481" t="s">
        <v>587</v>
      </c>
      <c r="G87" s="481" t="s">
        <v>602</v>
      </c>
      <c r="H87" s="481" t="s">
        <v>603</v>
      </c>
    </row>
    <row r="88" customFormat="false" ht="15" hidden="false" customHeight="false" outlineLevel="0" collapsed="false">
      <c r="D88" s="481" t="str">
        <f aca="false">IF($B$2,G88,H88)</f>
        <v>· El archivo de participante lo puedes descargar desde aquí</v>
      </c>
      <c r="E88" s="481" t="s">
        <v>587</v>
      </c>
      <c r="G88" s="481" t="s">
        <v>604</v>
      </c>
      <c r="H88" s="481" t="s">
        <v>605</v>
      </c>
    </row>
    <row r="89" customFormat="false" ht="15" hidden="false" customHeight="false" outlineLevel="0" collapsed="false">
      <c r="D89" s="481" t="str">
        <f aca="false">IF($B$2,G89,H89)</f>
        <v>(Antes de empezar el mundial)</v>
      </c>
      <c r="E89" s="481" t="s">
        <v>587</v>
      </c>
      <c r="G89" s="481" t="s">
        <v>606</v>
      </c>
      <c r="H89" s="481" t="s">
        <v>607</v>
      </c>
    </row>
    <row r="90" customFormat="false" ht="15" hidden="false" customHeight="false" outlineLevel="0" collapsed="false">
      <c r="D90" s="481" t="str">
        <f aca="false">IF($B$2,G90,H90)</f>
        <v>· Las instrucciones de uso de esta hoja se encuentran en la misma hoja</v>
      </c>
      <c r="E90" s="481" t="s">
        <v>587</v>
      </c>
      <c r="G90" s="481" t="s">
        <v>608</v>
      </c>
      <c r="H90" s="481" t="s">
        <v>609</v>
      </c>
    </row>
    <row r="91" customFormat="false" ht="15" hidden="false" customHeight="false" outlineLevel="0" collapsed="false">
      <c r="D91" s="481" t="str">
        <f aca="false">IF($B$2,G91,H91)</f>
        <v>· Esta hoja sirve para administrar la porra/quiniela</v>
      </c>
      <c r="E91" s="481" t="s">
        <v>587</v>
      </c>
      <c r="G91" s="481" t="s">
        <v>610</v>
      </c>
      <c r="H91" s="481" t="s">
        <v>611</v>
      </c>
    </row>
    <row r="92" customFormat="false" ht="23.85" hidden="false" customHeight="false" outlineLevel="0" collapsed="false">
      <c r="D92" s="481" t="str">
        <f aca="false">IF($B$2,G92,H92)</f>
        <v>· Lo primero, establece la puntuación para cada criterio y comparte la puntuación con los participantes</v>
      </c>
      <c r="E92" s="481" t="s">
        <v>587</v>
      </c>
      <c r="G92" s="481" t="s">
        <v>612</v>
      </c>
      <c r="H92" s="481" t="s">
        <v>613</v>
      </c>
    </row>
    <row r="93" customFormat="false" ht="15" hidden="false" customHeight="false" outlineLevel="0" collapsed="false">
      <c r="D93" s="481" t="str">
        <f aca="false">IF($B$2,G93,H93)</f>
        <v>· Aquí explicamos cada criterio de puntuación</v>
      </c>
      <c r="E93" s="481" t="s">
        <v>587</v>
      </c>
      <c r="G93" s="481" t="s">
        <v>614</v>
      </c>
      <c r="H93" s="481" t="s">
        <v>615</v>
      </c>
    </row>
    <row r="94" customFormat="false" ht="23.85" hidden="false" customHeight="false" outlineLevel="0" collapsed="false">
      <c r="D94" s="481" t="str">
        <f aca="false">IF($B$2,G94,H94)</f>
        <v>· Cuando los participantes te envíen su archivo, copia sus pronósticos de la hoja “Pool”, en esta hoja ADMIN</v>
      </c>
      <c r="E94" s="481" t="s">
        <v>587</v>
      </c>
      <c r="G94" s="481" t="s">
        <v>616</v>
      </c>
      <c r="H94" s="481" t="s">
        <v>617</v>
      </c>
    </row>
    <row r="95" customFormat="false" ht="15" hidden="false" customHeight="false" outlineLevel="0" collapsed="false">
      <c r="D95" s="481" t="str">
        <f aca="false">IF($B$2,G95,H95)</f>
        <v>· Cuando tengas todos los pronósticos, selecciona el número de jugadores en la hoja ADMIN</v>
      </c>
      <c r="E95" s="481" t="s">
        <v>587</v>
      </c>
      <c r="G95" s="481" t="s">
        <v>618</v>
      </c>
      <c r="H95" s="481" t="s">
        <v>619</v>
      </c>
    </row>
    <row r="96" customFormat="false" ht="15" hidden="false" customHeight="false" outlineLevel="0" collapsed="false">
      <c r="D96" s="481" t="str">
        <f aca="false">IF($B$2,G96,H96)</f>
        <v>(Una vez ha empezado el mundial)</v>
      </c>
      <c r="E96" s="481" t="s">
        <v>587</v>
      </c>
      <c r="G96" s="481" t="s">
        <v>620</v>
      </c>
      <c r="H96" s="481" t="s">
        <v>621</v>
      </c>
    </row>
    <row r="97" customFormat="false" ht="23.85" hidden="false" customHeight="false" outlineLevel="0" collapsed="false">
      <c r="D97" s="481" t="str">
        <f aca="false">IF($B$2,G97,H97)</f>
        <v>· Cuando empiece el mundial, rellena los cuadros grises con los resultados reales de la fase de grupos</v>
      </c>
      <c r="E97" s="481" t="s">
        <v>587</v>
      </c>
      <c r="G97" s="481" t="s">
        <v>622</v>
      </c>
      <c r="H97" s="481" t="s">
        <v>623</v>
      </c>
    </row>
    <row r="98" customFormat="false" ht="23.85" hidden="false" customHeight="false" outlineLevel="0" collapsed="false">
      <c r="D98" s="481" t="str">
        <f aca="false">IF($B$2,G98,H98)</f>
        <v>· En caso de empate en la posición de un grupo o en los mejores terceros, selcciona el orden de los empatados</v>
      </c>
      <c r="E98" s="481" t="s">
        <v>587</v>
      </c>
      <c r="G98" s="481" t="s">
        <v>624</v>
      </c>
      <c r="H98" s="481" t="s">
        <v>625</v>
      </c>
    </row>
    <row r="99" customFormat="false" ht="15" hidden="false" customHeight="false" outlineLevel="0" collapsed="false">
      <c r="D99" s="481" t="str">
        <f aca="false">IF($B$2,G99,H99)</f>
        <v>· Las eliminatorias se establecen de forma automática</v>
      </c>
      <c r="E99" s="481" t="s">
        <v>587</v>
      </c>
      <c r="G99" s="481" t="s">
        <v>626</v>
      </c>
      <c r="H99" s="481" t="s">
        <v>627</v>
      </c>
    </row>
    <row r="100" customFormat="false" ht="23.85" hidden="false" customHeight="false" outlineLevel="0" collapsed="false">
      <c r="D100" s="481" t="str">
        <f aca="false">IF($B$2,G100,H100)</f>
        <v>· Rellena los resultados de las fases eliminatorias. En caso de empate, se abren dos celdas a los lados para poner el resultado de los penaltis</v>
      </c>
      <c r="E100" s="481" t="s">
        <v>587</v>
      </c>
      <c r="G100" s="481" t="s">
        <v>628</v>
      </c>
      <c r="H100" s="481" t="s">
        <v>629</v>
      </c>
    </row>
    <row r="101" customFormat="false" ht="15" hidden="false" customHeight="false" outlineLevel="0" collapsed="false">
      <c r="D101" s="481" t="str">
        <f aca="false">IF($B$2,G101,H101)</f>
        <v>· Rellenar los mejores jugadores y los máximos goleadores</v>
      </c>
      <c r="E101" s="481" t="s">
        <v>587</v>
      </c>
      <c r="G101" s="481" t="s">
        <v>630</v>
      </c>
      <c r="H101" s="481" t="s">
        <v>631</v>
      </c>
    </row>
    <row r="102" customFormat="false" ht="23.85" hidden="false" customHeight="false" outlineLevel="0" collapsed="false">
      <c r="D102" s="481" t="str">
        <f aca="false">IF($B$2,G102,H102)</f>
        <v>· En esta hoja se muestran de un vistazo todos los resultados introducidos en la hoja WORLDCUP, en esta hoja no se rellena nada</v>
      </c>
      <c r="E102" s="481" t="s">
        <v>587</v>
      </c>
      <c r="G102" s="481" t="s">
        <v>632</v>
      </c>
      <c r="H102" s="481" t="s">
        <v>633</v>
      </c>
    </row>
    <row r="103" customFormat="false" ht="15" hidden="false" customHeight="false" outlineLevel="0" collapsed="false">
      <c r="D103" s="481" t="str">
        <f aca="false">IF($B$2,G103,H103)</f>
        <v>https://matejero.es/download/excel-mundial-2026/</v>
      </c>
      <c r="E103" s="481" t="s">
        <v>587</v>
      </c>
      <c r="G103" s="486" t="s">
        <v>634</v>
      </c>
      <c r="H103" s="481" t="s">
        <v>635</v>
      </c>
    </row>
    <row r="104" customFormat="false" ht="23.85" hidden="false" customHeight="false" outlineLevel="0" collapsed="false">
      <c r="D104" s="481" t="str">
        <f aca="false">IF($B$2,G104,H104)</f>
        <v>· En esta hoja se puede ver la clasificación general según se vayan introduciendo los resultados de los partidos</v>
      </c>
      <c r="E104" s="481" t="s">
        <v>587</v>
      </c>
      <c r="G104" s="481" t="s">
        <v>636</v>
      </c>
      <c r="H104" s="481" t="s">
        <v>637</v>
      </c>
    </row>
    <row r="105" customFormat="false" ht="15" hidden="false" customHeight="false" outlineLevel="0" collapsed="false">
      <c r="D105" s="481" t="str">
        <f aca="false">IF($B$2,G105,H105)</f>
        <v>· Esta hoja permite filtrar los pronósticos por día de la fase de grupos o por eliminatoria.</v>
      </c>
      <c r="E105" s="481" t="s">
        <v>587</v>
      </c>
      <c r="G105" s="481" t="s">
        <v>638</v>
      </c>
      <c r="H105" s="481" t="s">
        <v>639</v>
      </c>
    </row>
    <row r="106" customFormat="false" ht="15" hidden="false" customHeight="false" outlineLevel="0" collapsed="false">
      <c r="D106" s="481" t="str">
        <f aca="false">IF($B$2,G106,H106)</f>
        <v> · Aquí puedes ver la clasificación del dia/ronda seleccionado en la hoja "DailyPredcition"</v>
      </c>
      <c r="E106" s="481" t="s">
        <v>587</v>
      </c>
      <c r="G106" s="481" t="s">
        <v>640</v>
      </c>
      <c r="H106" s="481" t="s">
        <v>641</v>
      </c>
    </row>
    <row r="107" customFormat="false" ht="35.05" hidden="false" customHeight="false" outlineLevel="0" collapsed="false">
      <c r="D107" s="481" t="str">
        <f aca="false">IF($B$2,G107,H107)</f>
        <v>Si Irán no participa en el mundial y le sustituye otra selección, selecciona el país sustituto en el desplegable. Si no aparece, elige 'Otro' e ingresa manualmente el nombre (español e inglés), su zona UTC y, opcionalmente, la imagen de su bandera.</v>
      </c>
      <c r="E107" s="481" t="s">
        <v>587</v>
      </c>
      <c r="G107" s="481" t="s">
        <v>642</v>
      </c>
      <c r="H107" s="481" t="s">
        <v>643</v>
      </c>
    </row>
    <row r="108" customFormat="false" ht="15" hidden="false" customHeight="false" outlineLevel="0" collapsed="false">
      <c r="D108" s="481" t="str">
        <f aca="false">IF($B$2,G108,H108)</f>
        <v>· En estas hoja podrás ver diferentes estadísticas generales y por partido</v>
      </c>
      <c r="E108" s="481" t="s">
        <v>587</v>
      </c>
      <c r="G108" s="481" t="s">
        <v>644</v>
      </c>
      <c r="H108" s="481" t="s">
        <v>645</v>
      </c>
    </row>
    <row r="109" customFormat="false" ht="15" hidden="false" customHeight="false" outlineLevel="0" collapsed="false">
      <c r="D109" s="481" t="str">
        <f aca="false">IF($B$2,G109,H109)</f>
        <v>· Para verlas correctamente necesitas una versión posterior a excel 2021</v>
      </c>
      <c r="E109" s="481" t="s">
        <v>587</v>
      </c>
      <c r="G109" s="481" t="s">
        <v>646</v>
      </c>
      <c r="H109" s="481" t="s">
        <v>647</v>
      </c>
    </row>
    <row r="110" customFormat="false" ht="15" hidden="false" customHeight="false" outlineLevel="0" collapsed="false">
      <c r="D110" s="481" t="str">
        <f aca="false">IF($B$2,G110,H110)</f>
        <v>· En esta hoja puedes ver de un vistazo el cuadro del mundial </v>
      </c>
      <c r="E110" s="481" t="s">
        <v>587</v>
      </c>
      <c r="G110" s="481" t="s">
        <v>648</v>
      </c>
      <c r="H110" s="481" t="s">
        <v>649</v>
      </c>
    </row>
    <row r="112" customFormat="false" ht="15" hidden="false" customHeight="false" outlineLevel="0" collapsed="false">
      <c r="D112" s="481" t="str">
        <f aca="false">IF($B$2,G112,H112)</f>
        <v>Para el administrador de la porra</v>
      </c>
      <c r="E112" s="481" t="s">
        <v>650</v>
      </c>
      <c r="F112" s="481" t="s">
        <v>278</v>
      </c>
      <c r="G112" s="481" t="s">
        <v>651</v>
      </c>
      <c r="H112" s="481" t="s">
        <v>652</v>
      </c>
    </row>
    <row r="113" customFormat="false" ht="15" hidden="false" customHeight="false" outlineLevel="0" collapsed="false">
      <c r="D113" s="481" t="str">
        <f aca="false">IF($B$2,G113,H113)</f>
        <v>PARTICIPANTE</v>
      </c>
      <c r="E113" s="481" t="s">
        <v>650</v>
      </c>
      <c r="F113" s="481" t="s">
        <v>297</v>
      </c>
      <c r="G113" s="481" t="s">
        <v>653</v>
      </c>
      <c r="H113" s="481" t="s">
        <v>654</v>
      </c>
    </row>
    <row r="114" customFormat="false" ht="15" hidden="false" customHeight="false" outlineLevel="0" collapsed="false">
      <c r="D114" s="481" t="str">
        <f aca="false">IF($B$2,G114,H114)</f>
        <v>Nombre</v>
      </c>
      <c r="E114" s="481" t="s">
        <v>650</v>
      </c>
      <c r="F114" s="481" t="s">
        <v>314</v>
      </c>
      <c r="G114" s="481" t="s">
        <v>655</v>
      </c>
      <c r="H114" s="481" t="s">
        <v>408</v>
      </c>
    </row>
    <row r="115" customFormat="false" ht="15" hidden="false" customHeight="false" outlineLevel="0" collapsed="false">
      <c r="D115" s="481" t="str">
        <f aca="false">IF($B$2,G115,H115)</f>
        <v>¡No tocar nada, se rellena solo!</v>
      </c>
      <c r="E115" s="481" t="s">
        <v>650</v>
      </c>
      <c r="F115" s="481" t="s">
        <v>656</v>
      </c>
      <c r="G115" s="481" t="s">
        <v>657</v>
      </c>
      <c r="H115" s="481" t="s">
        <v>658</v>
      </c>
    </row>
    <row r="116" customFormat="false" ht="15" hidden="false" customHeight="true" outlineLevel="0" collapsed="false">
      <c r="D116" s="481" t="str">
        <f aca="false">IF($B$2,G116,H116)</f>
        <v>EL ADMINISTRADOR DE LA PORRA SEGUIRÁ LAS INSTRUCCIONES DE AQUÍ ABAJO</v>
      </c>
      <c r="E116" s="481" t="s">
        <v>650</v>
      </c>
      <c r="F116" s="481" t="s">
        <v>282</v>
      </c>
      <c r="G116" s="481" t="s">
        <v>659</v>
      </c>
      <c r="H116" s="481" t="s">
        <v>660</v>
      </c>
      <c r="I116" s="487"/>
      <c r="K116" s="487"/>
      <c r="L116" s="487"/>
      <c r="M116" s="487"/>
      <c r="N116" s="487"/>
      <c r="O116" s="487"/>
      <c r="P116" s="487"/>
    </row>
    <row r="117" customFormat="false" ht="15" hidden="false" customHeight="true" outlineLevel="0" collapsed="false">
      <c r="D117" s="481" t="str">
        <f aca="false">IF($B$2,G117,H117)</f>
        <v>·Si haceis todo el Mundial de golpe, incluido el predictor, copiar de la C5 a la C308 y pegar valores en la plantilla de Administrador.</v>
      </c>
      <c r="E117" s="481" t="s">
        <v>650</v>
      </c>
      <c r="F117" s="481" t="s">
        <v>319</v>
      </c>
      <c r="G117" s="481" t="s">
        <v>661</v>
      </c>
      <c r="H117" s="481" t="s">
        <v>662</v>
      </c>
      <c r="I117" s="487"/>
      <c r="K117" s="487"/>
      <c r="L117" s="487"/>
      <c r="M117" s="487"/>
      <c r="N117" s="487"/>
      <c r="O117" s="487"/>
      <c r="P117" s="487"/>
    </row>
    <row r="118" customFormat="false" ht="35.05" hidden="false" customHeight="false" outlineLevel="0" collapsed="false">
      <c r="D118" s="481" t="str">
        <f aca="false">IF($B$2,G118,H118)</f>
        <v>·Si haceis toda la fase de grupos de golpe y las eliminatorias aparte, copiar primero de la C5 a la C161 y pegar valores en la plantilla de Administrador. Y también copiar y pegar valores de la C253 a la C308. En dieciseisavos seguir las instrucciones de abajo.</v>
      </c>
      <c r="E118" s="481" t="s">
        <v>650</v>
      </c>
      <c r="F118" s="481" t="s">
        <v>663</v>
      </c>
      <c r="G118" s="481" t="s">
        <v>664</v>
      </c>
      <c r="H118" s="481" t="s">
        <v>665</v>
      </c>
    </row>
    <row r="119" customFormat="false" ht="15" hidden="false" customHeight="true" outlineLevel="0" collapsed="false">
      <c r="D119" s="481" t="str">
        <f aca="false">IF($B$2,G119,H119)</f>
        <v>·Si haceis jornada a jornada seguir las instrucciones de cada jornada</v>
      </c>
      <c r="E119" s="481" t="s">
        <v>650</v>
      </c>
      <c r="F119" s="481" t="s">
        <v>666</v>
      </c>
      <c r="G119" s="481" t="s">
        <v>667</v>
      </c>
      <c r="H119" s="481" t="s">
        <v>668</v>
      </c>
      <c r="I119" s="488"/>
      <c r="K119" s="488"/>
      <c r="L119" s="488"/>
    </row>
    <row r="120" customFormat="false" ht="23.85" hidden="false" customHeight="false" outlineLevel="0" collapsed="false">
      <c r="D120" s="481" t="str">
        <f aca="false">IF($B$2,G120,H120)</f>
        <v>·Para la primera jornada copiar de la C5 a la C29 y pega valores en la plantilla de administrador. ¡OJO! COPIAR TAMBIÉN de la C253 a la C308.</v>
      </c>
      <c r="E120" s="481" t="s">
        <v>650</v>
      </c>
      <c r="F120" s="481" t="s">
        <v>669</v>
      </c>
      <c r="G120" s="481" t="s">
        <v>670</v>
      </c>
      <c r="H120" s="481" t="s">
        <v>671</v>
      </c>
    </row>
    <row r="121" customFormat="false" ht="23.85" hidden="false" customHeight="false" outlineLevel="0" collapsed="false">
      <c r="D121" s="481" t="str">
        <f aca="false">IF($B$2,G121,H121)</f>
        <v>·Para la segunda jornada copiar de la C30 a la C53 y pega valores en la plantilla de administrador.</v>
      </c>
      <c r="E121" s="481" t="s">
        <v>650</v>
      </c>
      <c r="F121" s="481" t="s">
        <v>672</v>
      </c>
      <c r="G121" s="481" t="s">
        <v>673</v>
      </c>
      <c r="H121" s="481" t="s">
        <v>674</v>
      </c>
    </row>
    <row r="122" customFormat="false" ht="23.85" hidden="false" customHeight="false" outlineLevel="0" collapsed="false">
      <c r="D122" s="481" t="str">
        <f aca="false">IF($B$2,G122,H122)</f>
        <v>·Para la tercera jornada copiar de la C54 a la C161 y pega valores en la plantilla de administrador.</v>
      </c>
      <c r="E122" s="481" t="s">
        <v>650</v>
      </c>
      <c r="F122" s="481" t="s">
        <v>675</v>
      </c>
      <c r="G122" s="481" t="s">
        <v>676</v>
      </c>
      <c r="H122" s="481" t="s">
        <v>677</v>
      </c>
    </row>
    <row r="123" customFormat="false" ht="23.85" hidden="false" customHeight="false" outlineLevel="0" collapsed="false">
      <c r="D123" s="481" t="str">
        <f aca="false">IF($B$2,G123,H123)</f>
        <v>·Si haceis todas las eliminatorias de golpe, copiar de la C164 a la C252 y pegar valores en la plantilla de Administrador.</v>
      </c>
      <c r="E123" s="481" t="s">
        <v>650</v>
      </c>
      <c r="F123" s="481" t="s">
        <v>678</v>
      </c>
      <c r="G123" s="481" t="s">
        <v>679</v>
      </c>
      <c r="H123" s="481" t="s">
        <v>680</v>
      </c>
    </row>
    <row r="124" customFormat="false" ht="15" hidden="false" customHeight="false" outlineLevel="0" collapsed="false">
      <c r="D124" s="481" t="str">
        <f aca="false">IF($B$2,G124,H124)</f>
        <v>·Si haceis eliminatoria a eliminatoria seguir las instrucciones de cada eliminatoria.</v>
      </c>
      <c r="E124" s="481" t="s">
        <v>650</v>
      </c>
      <c r="F124" s="481" t="s">
        <v>681</v>
      </c>
      <c r="G124" s="481" t="s">
        <v>682</v>
      </c>
      <c r="H124" s="481" t="s">
        <v>683</v>
      </c>
    </row>
    <row r="125" customFormat="false" ht="23.85" hidden="false" customHeight="false" outlineLevel="0" collapsed="false">
      <c r="D125" s="481" t="str">
        <f aca="false">IF($B$2,G125,H125)</f>
        <v>·Para los dieciseisavos copiar de la C164 a la C197 y pega valores en la plantilla de administrador.</v>
      </c>
      <c r="E125" s="481" t="s">
        <v>650</v>
      </c>
      <c r="F125" s="481" t="s">
        <v>684</v>
      </c>
      <c r="G125" s="481" t="s">
        <v>685</v>
      </c>
      <c r="H125" s="481" t="s">
        <v>686</v>
      </c>
    </row>
    <row r="126" customFormat="false" ht="23.85" hidden="false" customHeight="false" outlineLevel="0" collapsed="false">
      <c r="D126" s="481" t="str">
        <f aca="false">IF($B$2,G126,H126)</f>
        <v>·Para los octavos de final copiar de la C200 a la C217 y pega valores en la plantilla de administrador.</v>
      </c>
      <c r="E126" s="481" t="s">
        <v>650</v>
      </c>
      <c r="F126" s="481" t="s">
        <v>687</v>
      </c>
      <c r="G126" s="481" t="s">
        <v>688</v>
      </c>
      <c r="H126" s="481" t="s">
        <v>689</v>
      </c>
    </row>
    <row r="127" customFormat="false" ht="23.85" hidden="false" customHeight="false" outlineLevel="0" collapsed="false">
      <c r="D127" s="481" t="str">
        <f aca="false">IF($B$2,G127,H127)</f>
        <v>·Para los cuartos de final copiar de la C220 a la C229 y pega valores en la plantilla de administrador.</v>
      </c>
      <c r="E127" s="481" t="s">
        <v>650</v>
      </c>
      <c r="G127" s="481" t="s">
        <v>690</v>
      </c>
      <c r="H127" s="481" t="s">
        <v>691</v>
      </c>
    </row>
    <row r="128" customFormat="false" ht="23.85" hidden="false" customHeight="false" outlineLevel="0" collapsed="false">
      <c r="D128" s="481" t="str">
        <f aca="false">IF($B$2,G128,H128)</f>
        <v>·Para las semifinales copiar de la C232 a la C241 y pega valores en la plantilla de administrador.</v>
      </c>
      <c r="E128" s="481" t="s">
        <v>650</v>
      </c>
      <c r="F128" s="481" t="s">
        <v>692</v>
      </c>
      <c r="G128" s="481" t="s">
        <v>693</v>
      </c>
      <c r="H128" s="481" t="s">
        <v>694</v>
      </c>
    </row>
    <row r="129" customFormat="false" ht="23.85" hidden="false" customHeight="false" outlineLevel="0" collapsed="false">
      <c r="D129" s="481" t="str">
        <f aca="false">IF($B$2,G129,H129)</f>
        <v>·Para el 3º y 4º puesto y la Final copiar de la C244 a la C252 y pega valores en la plantilla de administrador.</v>
      </c>
      <c r="E129" s="481" t="s">
        <v>650</v>
      </c>
      <c r="F129" s="481" t="s">
        <v>695</v>
      </c>
      <c r="G129" s="481" t="s">
        <v>696</v>
      </c>
      <c r="H129" s="481" t="s">
        <v>697</v>
      </c>
    </row>
    <row r="130" customFormat="false" ht="23.85" hidden="false" customHeight="false" outlineLevel="0" collapsed="false">
      <c r="D130" s="481" t="str">
        <f aca="false">IF($B$2,G130,H130)</f>
        <v>·Al inicio de la competición si se hace por fases copiar de la C253 a la C308 y pegarla al final del jugador en el archivo de administrador.</v>
      </c>
      <c r="E130" s="481" t="s">
        <v>650</v>
      </c>
      <c r="F130" s="481" t="s">
        <v>698</v>
      </c>
      <c r="G130" s="481" t="s">
        <v>699</v>
      </c>
      <c r="H130" s="481" t="s">
        <v>700</v>
      </c>
    </row>
    <row r="131" customFormat="false" ht="15" hidden="false" customHeight="false" outlineLevel="0" collapsed="false">
      <c r="D131" s="481" t="str">
        <f aca="false">IF($B$2,G131,H131)</f>
        <v>·Copiar de la C261 a la C308 y pegar valores en el administrador donde el Predictor</v>
      </c>
      <c r="E131" s="481" t="s">
        <v>650</v>
      </c>
      <c r="G131" s="484" t="s">
        <v>701</v>
      </c>
      <c r="H131" s="484" t="s">
        <v>702</v>
      </c>
    </row>
    <row r="132" customFormat="false" ht="15" hidden="false" customHeight="false" outlineLevel="0" collapsed="false">
      <c r="D132" s="481" t="str">
        <f aca="false">IF($B$2,G132,H132)</f>
        <v>J1</v>
      </c>
      <c r="E132" s="481" t="s">
        <v>650</v>
      </c>
      <c r="F132" s="481" t="s">
        <v>703</v>
      </c>
      <c r="G132" s="481" t="s">
        <v>292</v>
      </c>
      <c r="H132" s="481" t="s">
        <v>564</v>
      </c>
      <c r="I132" s="483"/>
    </row>
    <row r="133" customFormat="false" ht="15" hidden="false" customHeight="false" outlineLevel="0" collapsed="false">
      <c r="D133" s="481" t="str">
        <f aca="false">IF($B$2,G133,H133)</f>
        <v>J2</v>
      </c>
      <c r="E133" s="481" t="s">
        <v>650</v>
      </c>
      <c r="F133" s="481" t="s">
        <v>704</v>
      </c>
      <c r="G133" s="481" t="s">
        <v>308</v>
      </c>
      <c r="H133" s="481" t="s">
        <v>565</v>
      </c>
    </row>
    <row r="134" customFormat="false" ht="15" hidden="false" customHeight="false" outlineLevel="0" collapsed="false">
      <c r="D134" s="481" t="str">
        <f aca="false">IF($B$2,G134,H134)</f>
        <v>J3</v>
      </c>
      <c r="E134" s="481" t="s">
        <v>650</v>
      </c>
      <c r="F134" s="481" t="s">
        <v>705</v>
      </c>
      <c r="G134" s="481" t="s">
        <v>327</v>
      </c>
      <c r="H134" s="481" t="s">
        <v>566</v>
      </c>
    </row>
    <row r="135" customFormat="false" ht="15" hidden="false" customHeight="false" outlineLevel="0" collapsed="false">
      <c r="D135" s="481" t="str">
        <f aca="false">IF($B$2,G135,H135)</f>
        <v>FASE DE GRUPOS</v>
      </c>
      <c r="E135" s="481" t="s">
        <v>650</v>
      </c>
      <c r="F135" s="481" t="s">
        <v>706</v>
      </c>
      <c r="G135" s="481" t="s">
        <v>707</v>
      </c>
      <c r="H135" s="481" t="s">
        <v>708</v>
      </c>
    </row>
    <row r="136" customFormat="false" ht="15" hidden="false" customHeight="false" outlineLevel="0" collapsed="false">
      <c r="D136" s="481" t="str">
        <f aca="false">IF($B$2,G136,H136)</f>
        <v>POSICIÓN GRUPOS</v>
      </c>
      <c r="E136" s="481" t="s">
        <v>650</v>
      </c>
      <c r="F136" s="481" t="s">
        <v>709</v>
      </c>
      <c r="G136" s="481" t="s">
        <v>710</v>
      </c>
      <c r="H136" s="481" t="s">
        <v>711</v>
      </c>
    </row>
    <row r="137" customFormat="false" ht="15" hidden="false" customHeight="false" outlineLevel="0" collapsed="false">
      <c r="D137" s="481" t="str">
        <f aca="false">IF($B$2,G137,H137)</f>
        <v>CLASIFICADOS PARA DIECISEISAVOS</v>
      </c>
      <c r="E137" s="481" t="s">
        <v>650</v>
      </c>
      <c r="F137" s="481" t="s">
        <v>712</v>
      </c>
      <c r="G137" s="481" t="s">
        <v>713</v>
      </c>
      <c r="H137" s="481" t="s">
        <v>714</v>
      </c>
    </row>
    <row r="138" customFormat="false" ht="15" hidden="false" customHeight="false" outlineLevel="0" collapsed="false">
      <c r="D138" s="481" t="str">
        <f aca="false">IF($B$2,G138,H138)</f>
        <v>ENFRENTAMIENTOS DIECISEISAVOS</v>
      </c>
      <c r="E138" s="481" t="s">
        <v>650</v>
      </c>
      <c r="F138" s="481" t="s">
        <v>715</v>
      </c>
      <c r="G138" s="481" t="s">
        <v>716</v>
      </c>
      <c r="H138" s="481" t="s">
        <v>717</v>
      </c>
    </row>
    <row r="139" customFormat="false" ht="15" hidden="false" customHeight="false" outlineLevel="0" collapsed="false">
      <c r="D139" s="481" t="str">
        <f aca="false">IF($B$2,G139,H139)</f>
        <v>CLASIFICADOS PARA OCTAVOS</v>
      </c>
      <c r="E139" s="481" t="s">
        <v>650</v>
      </c>
      <c r="G139" s="481" t="s">
        <v>718</v>
      </c>
      <c r="H139" s="481" t="s">
        <v>719</v>
      </c>
    </row>
    <row r="140" customFormat="false" ht="15" hidden="false" customHeight="false" outlineLevel="0" collapsed="false">
      <c r="D140" s="481" t="str">
        <f aca="false">IF($B$2,G140,H140)</f>
        <v>ENFRENTAMIENTOS OCTAVOS</v>
      </c>
      <c r="E140" s="481" t="s">
        <v>650</v>
      </c>
      <c r="G140" s="481" t="s">
        <v>720</v>
      </c>
      <c r="H140" s="481" t="s">
        <v>721</v>
      </c>
    </row>
    <row r="141" customFormat="false" ht="15" hidden="false" customHeight="false" outlineLevel="0" collapsed="false">
      <c r="D141" s="481" t="str">
        <f aca="false">IF($B$2,G141,H141)</f>
        <v>CLASIFICADOS PARA CUARTOS</v>
      </c>
      <c r="E141" s="481" t="s">
        <v>650</v>
      </c>
      <c r="F141" s="481" t="s">
        <v>722</v>
      </c>
      <c r="G141" s="481" t="s">
        <v>723</v>
      </c>
      <c r="H141" s="481" t="s">
        <v>724</v>
      </c>
    </row>
    <row r="142" customFormat="false" ht="15" hidden="false" customHeight="false" outlineLevel="0" collapsed="false">
      <c r="D142" s="481" t="str">
        <f aca="false">IF($B$2,G142,H142)</f>
        <v>ENFRENTAMIENTOS CUARTOS</v>
      </c>
      <c r="E142" s="481" t="s">
        <v>650</v>
      </c>
      <c r="F142" s="481" t="s">
        <v>725</v>
      </c>
      <c r="G142" s="481" t="s">
        <v>726</v>
      </c>
      <c r="H142" s="481" t="s">
        <v>727</v>
      </c>
    </row>
    <row r="143" customFormat="false" ht="15" hidden="false" customHeight="false" outlineLevel="0" collapsed="false">
      <c r="D143" s="481" t="str">
        <f aca="false">IF($B$2,G143,H143)</f>
        <v>CLASIFICADOS PARA SEMIFINALES</v>
      </c>
      <c r="E143" s="481" t="s">
        <v>650</v>
      </c>
      <c r="F143" s="481" t="s">
        <v>728</v>
      </c>
      <c r="G143" s="481" t="s">
        <v>729</v>
      </c>
      <c r="H143" s="481" t="s">
        <v>730</v>
      </c>
    </row>
    <row r="144" customFormat="false" ht="15" hidden="false" customHeight="false" outlineLevel="0" collapsed="false">
      <c r="D144" s="481" t="str">
        <f aca="false">IF($B$2,G144,H144)</f>
        <v>ENFRENTAMIENTOS SEMIFINALES</v>
      </c>
      <c r="E144" s="481" t="s">
        <v>650</v>
      </c>
      <c r="F144" s="481" t="s">
        <v>731</v>
      </c>
      <c r="G144" s="481" t="s">
        <v>732</v>
      </c>
      <c r="H144" s="481" t="s">
        <v>733</v>
      </c>
    </row>
    <row r="145" customFormat="false" ht="15" hidden="false" customHeight="false" outlineLevel="0" collapsed="false">
      <c r="D145" s="481" t="str">
        <f aca="false">IF($B$2,G145,H145)</f>
        <v>CLASIFICADOS PARA EL 3º y 4º PUESTO</v>
      </c>
      <c r="E145" s="481" t="s">
        <v>650</v>
      </c>
      <c r="G145" s="481" t="s">
        <v>734</v>
      </c>
      <c r="H145" s="481" t="s">
        <v>735</v>
      </c>
    </row>
    <row r="146" customFormat="false" ht="15" hidden="false" customHeight="false" outlineLevel="0" collapsed="false">
      <c r="D146" s="481" t="str">
        <f aca="false">IF($B$2,G146,H146)</f>
        <v>CLASIFICADOS PARA LA FINAL</v>
      </c>
      <c r="E146" s="481" t="s">
        <v>650</v>
      </c>
      <c r="F146" s="481" t="s">
        <v>736</v>
      </c>
      <c r="G146" s="481" t="s">
        <v>737</v>
      </c>
      <c r="H146" s="481" t="s">
        <v>738</v>
      </c>
    </row>
    <row r="147" customFormat="false" ht="15" hidden="false" customHeight="false" outlineLevel="0" collapsed="false">
      <c r="D147" s="481" t="str">
        <f aca="false">IF($B$2,G147,H147)</f>
        <v>3º-4º puesto</v>
      </c>
      <c r="E147" s="481" t="s">
        <v>650</v>
      </c>
      <c r="G147" s="481" t="s">
        <v>739</v>
      </c>
      <c r="H147" s="481" t="s">
        <v>485</v>
      </c>
    </row>
    <row r="148" customFormat="false" ht="15" hidden="false" customHeight="false" outlineLevel="0" collapsed="false">
      <c r="D148" s="481" t="str">
        <f aca="false">IF($B$2,G148,H148)</f>
        <v>ENFRENTAMIENTO FINAL</v>
      </c>
      <c r="E148" s="481" t="s">
        <v>650</v>
      </c>
      <c r="F148" s="481" t="s">
        <v>740</v>
      </c>
      <c r="G148" s="481" t="s">
        <v>741</v>
      </c>
      <c r="H148" s="481" t="s">
        <v>742</v>
      </c>
    </row>
    <row r="149" customFormat="false" ht="15" hidden="false" customHeight="false" outlineLevel="0" collapsed="false">
      <c r="D149" s="481" t="str">
        <f aca="false">IF($B$2,G149,H149)</f>
        <v>CUADRO DE HONOR</v>
      </c>
      <c r="E149" s="481" t="s">
        <v>650</v>
      </c>
      <c r="F149" s="481" t="s">
        <v>743</v>
      </c>
      <c r="G149" s="481" t="s">
        <v>744</v>
      </c>
      <c r="H149" s="481" t="s">
        <v>745</v>
      </c>
    </row>
    <row r="150" customFormat="false" ht="15" hidden="false" customHeight="false" outlineLevel="0" collapsed="false">
      <c r="D150" s="481" t="str">
        <f aca="false">IF($B$2,G150,H150)</f>
        <v>1º GRUPO A</v>
      </c>
      <c r="E150" s="481" t="s">
        <v>650</v>
      </c>
      <c r="F150" s="481" t="s">
        <v>746</v>
      </c>
      <c r="G150" s="481" t="s">
        <v>747</v>
      </c>
      <c r="H150" s="475" t="s">
        <v>748</v>
      </c>
    </row>
    <row r="151" customFormat="false" ht="15" hidden="false" customHeight="false" outlineLevel="0" collapsed="false">
      <c r="D151" s="481" t="str">
        <f aca="false">IF($B$2,G151,H151)</f>
        <v>2º GRUPO A</v>
      </c>
      <c r="E151" s="481" t="s">
        <v>650</v>
      </c>
      <c r="F151" s="481" t="s">
        <v>749</v>
      </c>
      <c r="G151" s="481" t="s">
        <v>750</v>
      </c>
      <c r="H151" s="475" t="s">
        <v>751</v>
      </c>
    </row>
    <row r="152" customFormat="false" ht="15" hidden="false" customHeight="false" outlineLevel="0" collapsed="false">
      <c r="D152" s="481" t="str">
        <f aca="false">IF($B$2,G152,H152)</f>
        <v>3º GRUPO A</v>
      </c>
      <c r="E152" s="481" t="s">
        <v>650</v>
      </c>
      <c r="F152" s="481" t="s">
        <v>752</v>
      </c>
      <c r="G152" s="481" t="s">
        <v>753</v>
      </c>
      <c r="H152" s="475" t="s">
        <v>754</v>
      </c>
    </row>
    <row r="153" customFormat="false" ht="15" hidden="false" customHeight="false" outlineLevel="0" collapsed="false">
      <c r="D153" s="481" t="str">
        <f aca="false">IF($B$2,G153,H153)</f>
        <v>4º GRUPO A</v>
      </c>
      <c r="E153" s="481" t="s">
        <v>650</v>
      </c>
      <c r="F153" s="481" t="s">
        <v>755</v>
      </c>
      <c r="G153" s="481" t="s">
        <v>756</v>
      </c>
      <c r="H153" s="475" t="s">
        <v>757</v>
      </c>
    </row>
    <row r="154" customFormat="false" ht="15" hidden="false" customHeight="false" outlineLevel="0" collapsed="false">
      <c r="D154" s="481" t="str">
        <f aca="false">IF($B$2,G154,H154)</f>
        <v>1º GRUPO B</v>
      </c>
      <c r="E154" s="481" t="s">
        <v>650</v>
      </c>
      <c r="F154" s="481" t="s">
        <v>758</v>
      </c>
      <c r="G154" s="481" t="s">
        <v>759</v>
      </c>
      <c r="H154" s="475" t="s">
        <v>760</v>
      </c>
    </row>
    <row r="155" customFormat="false" ht="15" hidden="false" customHeight="false" outlineLevel="0" collapsed="false">
      <c r="D155" s="481" t="str">
        <f aca="false">IF($B$2,G155,H155)</f>
        <v>2º GRUPO B</v>
      </c>
      <c r="E155" s="481" t="s">
        <v>650</v>
      </c>
      <c r="F155" s="481" t="s">
        <v>761</v>
      </c>
      <c r="G155" s="481" t="s">
        <v>762</v>
      </c>
      <c r="H155" s="475" t="s">
        <v>763</v>
      </c>
    </row>
    <row r="156" customFormat="false" ht="15" hidden="false" customHeight="false" outlineLevel="0" collapsed="false">
      <c r="D156" s="481" t="str">
        <f aca="false">IF($B$2,G156,H156)</f>
        <v>3º GRUPO B</v>
      </c>
      <c r="E156" s="481" t="s">
        <v>650</v>
      </c>
      <c r="F156" s="481" t="s">
        <v>764</v>
      </c>
      <c r="G156" s="481" t="s">
        <v>765</v>
      </c>
      <c r="H156" s="475" t="s">
        <v>766</v>
      </c>
    </row>
    <row r="157" customFormat="false" ht="15" hidden="false" customHeight="false" outlineLevel="0" collapsed="false">
      <c r="D157" s="481" t="str">
        <f aca="false">IF($B$2,G157,H157)</f>
        <v>4º GRUPO B</v>
      </c>
      <c r="E157" s="481" t="s">
        <v>650</v>
      </c>
      <c r="F157" s="481" t="s">
        <v>767</v>
      </c>
      <c r="G157" s="481" t="s">
        <v>768</v>
      </c>
      <c r="H157" s="475" t="s">
        <v>769</v>
      </c>
    </row>
    <row r="158" customFormat="false" ht="15" hidden="false" customHeight="false" outlineLevel="0" collapsed="false">
      <c r="D158" s="481" t="str">
        <f aca="false">IF($B$2,G158,H158)</f>
        <v>1º GRUPO C</v>
      </c>
      <c r="E158" s="481" t="s">
        <v>650</v>
      </c>
      <c r="F158" s="481" t="s">
        <v>770</v>
      </c>
      <c r="G158" s="481" t="s">
        <v>771</v>
      </c>
      <c r="H158" s="475" t="s">
        <v>772</v>
      </c>
    </row>
    <row r="159" customFormat="false" ht="15" hidden="false" customHeight="false" outlineLevel="0" collapsed="false">
      <c r="D159" s="481" t="str">
        <f aca="false">IF($B$2,G159,H159)</f>
        <v>2º GRUPO C</v>
      </c>
      <c r="E159" s="481" t="s">
        <v>650</v>
      </c>
      <c r="F159" s="481" t="s">
        <v>773</v>
      </c>
      <c r="G159" s="481" t="s">
        <v>774</v>
      </c>
      <c r="H159" s="475" t="s">
        <v>775</v>
      </c>
    </row>
    <row r="160" customFormat="false" ht="15" hidden="false" customHeight="false" outlineLevel="0" collapsed="false">
      <c r="D160" s="481" t="str">
        <f aca="false">IF($B$2,G160,H160)</f>
        <v>3º GRUPO C</v>
      </c>
      <c r="E160" s="481" t="s">
        <v>650</v>
      </c>
      <c r="F160" s="481" t="s">
        <v>776</v>
      </c>
      <c r="G160" s="481" t="s">
        <v>777</v>
      </c>
      <c r="H160" s="475" t="s">
        <v>778</v>
      </c>
    </row>
    <row r="161" customFormat="false" ht="15" hidden="false" customHeight="false" outlineLevel="0" collapsed="false">
      <c r="D161" s="481" t="str">
        <f aca="false">IF($B$2,G161,H161)</f>
        <v>4º GRUPO C</v>
      </c>
      <c r="E161" s="481" t="s">
        <v>650</v>
      </c>
      <c r="F161" s="481" t="s">
        <v>779</v>
      </c>
      <c r="G161" s="481" t="s">
        <v>780</v>
      </c>
      <c r="H161" s="475" t="s">
        <v>781</v>
      </c>
    </row>
    <row r="162" customFormat="false" ht="15" hidden="false" customHeight="false" outlineLevel="0" collapsed="false">
      <c r="D162" s="481" t="str">
        <f aca="false">IF($B$2,G162,H162)</f>
        <v>1º GRUPO D</v>
      </c>
      <c r="E162" s="481" t="s">
        <v>650</v>
      </c>
      <c r="F162" s="481" t="s">
        <v>782</v>
      </c>
      <c r="G162" s="481" t="s">
        <v>783</v>
      </c>
      <c r="H162" s="475" t="s">
        <v>784</v>
      </c>
    </row>
    <row r="163" customFormat="false" ht="15" hidden="false" customHeight="false" outlineLevel="0" collapsed="false">
      <c r="D163" s="481" t="str">
        <f aca="false">IF($B$2,G163,H163)</f>
        <v>2º GRUPO D</v>
      </c>
      <c r="E163" s="481" t="s">
        <v>650</v>
      </c>
      <c r="F163" s="481" t="s">
        <v>785</v>
      </c>
      <c r="G163" s="481" t="s">
        <v>786</v>
      </c>
      <c r="H163" s="475" t="s">
        <v>787</v>
      </c>
    </row>
    <row r="164" customFormat="false" ht="15" hidden="false" customHeight="false" outlineLevel="0" collapsed="false">
      <c r="D164" s="481" t="str">
        <f aca="false">IF($B$2,G164,H164)</f>
        <v>3º GRUPO D</v>
      </c>
      <c r="E164" s="481" t="s">
        <v>650</v>
      </c>
      <c r="F164" s="481" t="s">
        <v>788</v>
      </c>
      <c r="G164" s="481" t="s">
        <v>789</v>
      </c>
      <c r="H164" s="475" t="s">
        <v>790</v>
      </c>
    </row>
    <row r="165" customFormat="false" ht="15" hidden="false" customHeight="false" outlineLevel="0" collapsed="false">
      <c r="D165" s="481" t="str">
        <f aca="false">IF($B$2,G165,H165)</f>
        <v>4º GRUPO D</v>
      </c>
      <c r="E165" s="481" t="s">
        <v>650</v>
      </c>
      <c r="F165" s="481" t="s">
        <v>791</v>
      </c>
      <c r="G165" s="481" t="s">
        <v>792</v>
      </c>
      <c r="H165" s="475" t="s">
        <v>793</v>
      </c>
    </row>
    <row r="166" customFormat="false" ht="15" hidden="false" customHeight="false" outlineLevel="0" collapsed="false">
      <c r="D166" s="481" t="str">
        <f aca="false">IF($B$2,G166,H166)</f>
        <v>1º GRUPO E</v>
      </c>
      <c r="E166" s="481" t="s">
        <v>650</v>
      </c>
      <c r="F166" s="481" t="s">
        <v>794</v>
      </c>
      <c r="G166" s="481" t="s">
        <v>795</v>
      </c>
      <c r="H166" s="475" t="s">
        <v>796</v>
      </c>
    </row>
    <row r="167" customFormat="false" ht="15" hidden="false" customHeight="false" outlineLevel="0" collapsed="false">
      <c r="D167" s="481" t="str">
        <f aca="false">IF($B$2,G167,H167)</f>
        <v>2º GRUPO E</v>
      </c>
      <c r="E167" s="481" t="s">
        <v>650</v>
      </c>
      <c r="F167" s="481" t="s">
        <v>797</v>
      </c>
      <c r="G167" s="481" t="s">
        <v>798</v>
      </c>
      <c r="H167" s="475" t="s">
        <v>799</v>
      </c>
    </row>
    <row r="168" customFormat="false" ht="15" hidden="false" customHeight="false" outlineLevel="0" collapsed="false">
      <c r="D168" s="481" t="str">
        <f aca="false">IF($B$2,G168,H168)</f>
        <v>3º GRUPO E</v>
      </c>
      <c r="E168" s="481" t="s">
        <v>650</v>
      </c>
      <c r="F168" s="481" t="s">
        <v>800</v>
      </c>
      <c r="G168" s="481" t="s">
        <v>801</v>
      </c>
      <c r="H168" s="475" t="s">
        <v>802</v>
      </c>
    </row>
    <row r="169" customFormat="false" ht="15" hidden="false" customHeight="false" outlineLevel="0" collapsed="false">
      <c r="D169" s="481" t="str">
        <f aca="false">IF($B$2,G169,H169)</f>
        <v>4º GRUPO E</v>
      </c>
      <c r="E169" s="481" t="s">
        <v>650</v>
      </c>
      <c r="F169" s="481" t="s">
        <v>803</v>
      </c>
      <c r="G169" s="481" t="s">
        <v>804</v>
      </c>
      <c r="H169" s="475" t="s">
        <v>805</v>
      </c>
    </row>
    <row r="170" customFormat="false" ht="15" hidden="false" customHeight="false" outlineLevel="0" collapsed="false">
      <c r="D170" s="481" t="str">
        <f aca="false">IF($B$2,G170,H170)</f>
        <v>1º GRUPO F</v>
      </c>
      <c r="E170" s="481" t="s">
        <v>650</v>
      </c>
      <c r="F170" s="481" t="s">
        <v>806</v>
      </c>
      <c r="G170" s="481" t="s">
        <v>807</v>
      </c>
      <c r="H170" s="475" t="s">
        <v>808</v>
      </c>
    </row>
    <row r="171" customFormat="false" ht="15" hidden="false" customHeight="false" outlineLevel="0" collapsed="false">
      <c r="D171" s="481" t="str">
        <f aca="false">IF($B$2,G171,H171)</f>
        <v>2º GRUPO F</v>
      </c>
      <c r="E171" s="481" t="s">
        <v>650</v>
      </c>
      <c r="F171" s="481" t="s">
        <v>809</v>
      </c>
      <c r="G171" s="481" t="s">
        <v>810</v>
      </c>
      <c r="H171" s="475" t="s">
        <v>811</v>
      </c>
    </row>
    <row r="172" customFormat="false" ht="15" hidden="false" customHeight="false" outlineLevel="0" collapsed="false">
      <c r="D172" s="481" t="str">
        <f aca="false">IF($B$2,G172,H172)</f>
        <v>3º GRUPO F</v>
      </c>
      <c r="E172" s="481" t="s">
        <v>650</v>
      </c>
      <c r="F172" s="481" t="s">
        <v>812</v>
      </c>
      <c r="G172" s="481" t="s">
        <v>813</v>
      </c>
      <c r="H172" s="475" t="s">
        <v>814</v>
      </c>
    </row>
    <row r="173" customFormat="false" ht="15" hidden="false" customHeight="false" outlineLevel="0" collapsed="false">
      <c r="D173" s="481" t="str">
        <f aca="false">IF($B$2,G173,H173)</f>
        <v>4º GRUPO F</v>
      </c>
      <c r="E173" s="481" t="s">
        <v>650</v>
      </c>
      <c r="F173" s="481" t="s">
        <v>815</v>
      </c>
      <c r="G173" s="481" t="s">
        <v>816</v>
      </c>
      <c r="H173" s="475" t="s">
        <v>817</v>
      </c>
    </row>
    <row r="174" customFormat="false" ht="15" hidden="false" customHeight="false" outlineLevel="0" collapsed="false">
      <c r="D174" s="481" t="str">
        <f aca="false">IF($B$2,G174,H174)</f>
        <v>1º GRUPO G</v>
      </c>
      <c r="E174" s="481" t="s">
        <v>650</v>
      </c>
      <c r="G174" s="481" t="s">
        <v>818</v>
      </c>
      <c r="H174" s="475" t="s">
        <v>819</v>
      </c>
    </row>
    <row r="175" customFormat="false" ht="15" hidden="false" customHeight="false" outlineLevel="0" collapsed="false">
      <c r="D175" s="481" t="str">
        <f aca="false">IF($B$2,G175,H175)</f>
        <v>2º GRUPO G</v>
      </c>
      <c r="E175" s="481" t="s">
        <v>650</v>
      </c>
      <c r="G175" s="481" t="s">
        <v>820</v>
      </c>
      <c r="H175" s="475" t="s">
        <v>821</v>
      </c>
    </row>
    <row r="176" customFormat="false" ht="15" hidden="false" customHeight="false" outlineLevel="0" collapsed="false">
      <c r="D176" s="481" t="str">
        <f aca="false">IF($B$2,G176,H176)</f>
        <v>3º GRUPO G</v>
      </c>
      <c r="E176" s="481" t="s">
        <v>650</v>
      </c>
      <c r="G176" s="481" t="s">
        <v>822</v>
      </c>
      <c r="H176" s="475" t="s">
        <v>823</v>
      </c>
    </row>
    <row r="177" customFormat="false" ht="15" hidden="false" customHeight="false" outlineLevel="0" collapsed="false">
      <c r="D177" s="481" t="str">
        <f aca="false">IF($B$2,G177,H177)</f>
        <v>4º GRUPO G</v>
      </c>
      <c r="E177" s="481" t="s">
        <v>650</v>
      </c>
      <c r="G177" s="481" t="s">
        <v>824</v>
      </c>
      <c r="H177" s="475" t="s">
        <v>825</v>
      </c>
    </row>
    <row r="178" customFormat="false" ht="15" hidden="false" customHeight="false" outlineLevel="0" collapsed="false">
      <c r="D178" s="481" t="str">
        <f aca="false">IF($B$2,G178,H178)</f>
        <v>1º GRUPO H</v>
      </c>
      <c r="E178" s="481" t="s">
        <v>650</v>
      </c>
      <c r="G178" s="481" t="s">
        <v>826</v>
      </c>
      <c r="H178" s="475" t="s">
        <v>827</v>
      </c>
    </row>
    <row r="179" customFormat="false" ht="15" hidden="false" customHeight="false" outlineLevel="0" collapsed="false">
      <c r="D179" s="481" t="str">
        <f aca="false">IF($B$2,G179,H179)</f>
        <v>2º GRUPO H</v>
      </c>
      <c r="E179" s="481" t="s">
        <v>650</v>
      </c>
      <c r="G179" s="481" t="s">
        <v>828</v>
      </c>
      <c r="H179" s="475" t="s">
        <v>829</v>
      </c>
    </row>
    <row r="180" customFormat="false" ht="15" hidden="false" customHeight="false" outlineLevel="0" collapsed="false">
      <c r="D180" s="481" t="str">
        <f aca="false">IF($B$2,G180,H180)</f>
        <v>3º GRUPO H</v>
      </c>
      <c r="E180" s="481" t="s">
        <v>650</v>
      </c>
      <c r="G180" s="481" t="s">
        <v>830</v>
      </c>
      <c r="H180" s="475" t="s">
        <v>831</v>
      </c>
    </row>
    <row r="181" customFormat="false" ht="15" hidden="false" customHeight="false" outlineLevel="0" collapsed="false">
      <c r="D181" s="481" t="str">
        <f aca="false">IF($B$2,G181,H181)</f>
        <v>4º GRUPO H</v>
      </c>
      <c r="E181" s="481" t="s">
        <v>650</v>
      </c>
      <c r="G181" s="481" t="s">
        <v>832</v>
      </c>
      <c r="H181" s="475" t="s">
        <v>833</v>
      </c>
    </row>
    <row r="182" customFormat="false" ht="15" hidden="false" customHeight="false" outlineLevel="0" collapsed="false">
      <c r="D182" s="481" t="str">
        <f aca="false">IF($B$2,G182,H182)</f>
        <v>1º GRUPO I</v>
      </c>
      <c r="E182" s="481" t="s">
        <v>650</v>
      </c>
      <c r="G182" s="481" t="s">
        <v>834</v>
      </c>
      <c r="H182" s="475" t="s">
        <v>835</v>
      </c>
    </row>
    <row r="183" customFormat="false" ht="15" hidden="false" customHeight="false" outlineLevel="0" collapsed="false">
      <c r="D183" s="481" t="str">
        <f aca="false">IF($B$2,G183,H183)</f>
        <v>2º GRUPO I</v>
      </c>
      <c r="E183" s="481" t="s">
        <v>650</v>
      </c>
      <c r="G183" s="481" t="s">
        <v>836</v>
      </c>
      <c r="H183" s="475" t="s">
        <v>837</v>
      </c>
    </row>
    <row r="184" customFormat="false" ht="15" hidden="false" customHeight="false" outlineLevel="0" collapsed="false">
      <c r="D184" s="481" t="str">
        <f aca="false">IF($B$2,G184,H184)</f>
        <v>3º GRUPO I</v>
      </c>
      <c r="E184" s="481" t="s">
        <v>650</v>
      </c>
      <c r="G184" s="481" t="s">
        <v>838</v>
      </c>
      <c r="H184" s="475" t="s">
        <v>839</v>
      </c>
    </row>
    <row r="185" customFormat="false" ht="15" hidden="false" customHeight="false" outlineLevel="0" collapsed="false">
      <c r="D185" s="481" t="str">
        <f aca="false">IF($B$2,G185,H185)</f>
        <v>4º GRUPO I</v>
      </c>
      <c r="E185" s="481" t="s">
        <v>650</v>
      </c>
      <c r="G185" s="481" t="s">
        <v>840</v>
      </c>
      <c r="H185" s="475" t="s">
        <v>841</v>
      </c>
    </row>
    <row r="186" customFormat="false" ht="15" hidden="false" customHeight="false" outlineLevel="0" collapsed="false">
      <c r="D186" s="481" t="str">
        <f aca="false">IF($B$2,G186,H186)</f>
        <v>1º GRUPO J</v>
      </c>
      <c r="E186" s="481" t="s">
        <v>650</v>
      </c>
      <c r="G186" s="481" t="s">
        <v>842</v>
      </c>
      <c r="H186" s="475" t="s">
        <v>843</v>
      </c>
    </row>
    <row r="187" customFormat="false" ht="15" hidden="false" customHeight="false" outlineLevel="0" collapsed="false">
      <c r="D187" s="481" t="str">
        <f aca="false">IF($B$2,G187,H187)</f>
        <v>2º GRUPO J</v>
      </c>
      <c r="E187" s="481" t="s">
        <v>650</v>
      </c>
      <c r="G187" s="481" t="s">
        <v>844</v>
      </c>
      <c r="H187" s="475" t="s">
        <v>845</v>
      </c>
    </row>
    <row r="188" customFormat="false" ht="15" hidden="false" customHeight="false" outlineLevel="0" collapsed="false">
      <c r="D188" s="481" t="str">
        <f aca="false">IF($B$2,G188,H188)</f>
        <v>3º GRUPO J</v>
      </c>
      <c r="E188" s="481" t="s">
        <v>650</v>
      </c>
      <c r="G188" s="481" t="s">
        <v>846</v>
      </c>
      <c r="H188" s="475" t="s">
        <v>847</v>
      </c>
    </row>
    <row r="189" customFormat="false" ht="15" hidden="false" customHeight="false" outlineLevel="0" collapsed="false">
      <c r="D189" s="481" t="str">
        <f aca="false">IF($B$2,G189,H189)</f>
        <v>4º GRUPO J</v>
      </c>
      <c r="E189" s="481" t="s">
        <v>650</v>
      </c>
      <c r="G189" s="481" t="s">
        <v>848</v>
      </c>
      <c r="H189" s="475" t="s">
        <v>849</v>
      </c>
    </row>
    <row r="190" customFormat="false" ht="15" hidden="false" customHeight="false" outlineLevel="0" collapsed="false">
      <c r="D190" s="481" t="str">
        <f aca="false">IF($B$2,G190,H190)</f>
        <v>1º GRUPO K</v>
      </c>
      <c r="E190" s="481" t="s">
        <v>650</v>
      </c>
      <c r="G190" s="481" t="s">
        <v>850</v>
      </c>
      <c r="H190" s="475" t="s">
        <v>851</v>
      </c>
    </row>
    <row r="191" customFormat="false" ht="15" hidden="false" customHeight="false" outlineLevel="0" collapsed="false">
      <c r="D191" s="481" t="str">
        <f aca="false">IF($B$2,G191,H191)</f>
        <v>2º GRUPO K</v>
      </c>
      <c r="E191" s="481" t="s">
        <v>650</v>
      </c>
      <c r="G191" s="481" t="s">
        <v>852</v>
      </c>
      <c r="H191" s="475" t="s">
        <v>853</v>
      </c>
    </row>
    <row r="192" customFormat="false" ht="15" hidden="false" customHeight="false" outlineLevel="0" collapsed="false">
      <c r="D192" s="481" t="str">
        <f aca="false">IF($B$2,G192,H192)</f>
        <v>3º GRUPO K</v>
      </c>
      <c r="E192" s="481" t="s">
        <v>650</v>
      </c>
      <c r="G192" s="481" t="s">
        <v>854</v>
      </c>
      <c r="H192" s="475" t="s">
        <v>855</v>
      </c>
    </row>
    <row r="193" customFormat="false" ht="15" hidden="false" customHeight="false" outlineLevel="0" collapsed="false">
      <c r="D193" s="481" t="str">
        <f aca="false">IF($B$2,G193,H193)</f>
        <v>4º GRUPO K</v>
      </c>
      <c r="E193" s="481" t="s">
        <v>650</v>
      </c>
      <c r="G193" s="481" t="s">
        <v>856</v>
      </c>
      <c r="H193" s="475" t="s">
        <v>857</v>
      </c>
    </row>
    <row r="194" customFormat="false" ht="15" hidden="false" customHeight="false" outlineLevel="0" collapsed="false">
      <c r="D194" s="481" t="str">
        <f aca="false">IF($B$2,G194,H194)</f>
        <v>1º GRUPO L</v>
      </c>
      <c r="E194" s="481" t="s">
        <v>650</v>
      </c>
      <c r="G194" s="481" t="s">
        <v>858</v>
      </c>
      <c r="H194" s="475" t="s">
        <v>859</v>
      </c>
    </row>
    <row r="195" customFormat="false" ht="15" hidden="false" customHeight="false" outlineLevel="0" collapsed="false">
      <c r="D195" s="481" t="str">
        <f aca="false">IF($B$2,G195,H195)</f>
        <v>2º GRUPO L</v>
      </c>
      <c r="E195" s="481" t="s">
        <v>650</v>
      </c>
      <c r="G195" s="481" t="s">
        <v>860</v>
      </c>
      <c r="H195" s="475" t="s">
        <v>861</v>
      </c>
    </row>
    <row r="196" customFormat="false" ht="15" hidden="false" customHeight="false" outlineLevel="0" collapsed="false">
      <c r="D196" s="481" t="str">
        <f aca="false">IF($B$2,G196,H196)</f>
        <v>3º GRUPO L</v>
      </c>
      <c r="E196" s="481" t="s">
        <v>650</v>
      </c>
      <c r="G196" s="481" t="s">
        <v>862</v>
      </c>
      <c r="H196" s="475" t="s">
        <v>863</v>
      </c>
    </row>
    <row r="197" customFormat="false" ht="15" hidden="false" customHeight="false" outlineLevel="0" collapsed="false">
      <c r="D197" s="481" t="str">
        <f aca="false">IF($B$2,G197,H197)</f>
        <v>4º GRUPO L</v>
      </c>
      <c r="E197" s="481" t="s">
        <v>650</v>
      </c>
      <c r="G197" s="481" t="s">
        <v>864</v>
      </c>
      <c r="H197" s="475" t="s">
        <v>865</v>
      </c>
    </row>
    <row r="198" customFormat="false" ht="15" hidden="false" customHeight="false" outlineLevel="0" collapsed="false">
      <c r="D198" s="481" t="str">
        <f aca="false">IF($B$2,G198,H198)</f>
        <v>Dieciseisavofinalista</v>
      </c>
      <c r="E198" s="481" t="s">
        <v>650</v>
      </c>
      <c r="F198" s="481" t="s">
        <v>866</v>
      </c>
      <c r="G198" s="481" t="s">
        <v>867</v>
      </c>
      <c r="H198" s="475" t="s">
        <v>868</v>
      </c>
    </row>
    <row r="199" customFormat="false" ht="15" hidden="false" customHeight="false" outlineLevel="0" collapsed="false">
      <c r="D199" s="481" t="str">
        <f aca="false">IF($B$2,G199,H199)</f>
        <v>Octavofinalista</v>
      </c>
      <c r="E199" s="481" t="s">
        <v>650</v>
      </c>
      <c r="G199" s="481" t="s">
        <v>869</v>
      </c>
      <c r="H199" s="475" t="s">
        <v>870</v>
      </c>
    </row>
    <row r="200" customFormat="false" ht="15" hidden="false" customHeight="false" outlineLevel="0" collapsed="false">
      <c r="D200" s="481" t="str">
        <f aca="false">IF($B$2,G200,H200)</f>
        <v>Cuartofinalista</v>
      </c>
      <c r="E200" s="481" t="s">
        <v>650</v>
      </c>
      <c r="F200" s="481" t="s">
        <v>871</v>
      </c>
      <c r="G200" s="481" t="s">
        <v>872</v>
      </c>
      <c r="H200" s="475" t="s">
        <v>873</v>
      </c>
    </row>
    <row r="201" customFormat="false" ht="15" hidden="false" customHeight="false" outlineLevel="0" collapsed="false">
      <c r="D201" s="481" t="str">
        <f aca="false">IF($B$2,G201,H201)</f>
        <v>Semifinalista</v>
      </c>
      <c r="E201" s="481" t="s">
        <v>650</v>
      </c>
      <c r="F201" s="481" t="s">
        <v>874</v>
      </c>
      <c r="G201" s="481" t="s">
        <v>875</v>
      </c>
      <c r="H201" s="475" t="s">
        <v>876</v>
      </c>
    </row>
    <row r="202" customFormat="false" ht="15" hidden="false" customHeight="false" outlineLevel="0" collapsed="false">
      <c r="D202" s="481" t="str">
        <f aca="false">IF($B$2,G202,H202)</f>
        <v>3º y 4º puesto</v>
      </c>
      <c r="E202" s="481" t="s">
        <v>650</v>
      </c>
      <c r="G202" s="481" t="s">
        <v>484</v>
      </c>
      <c r="H202" s="475" t="s">
        <v>485</v>
      </c>
    </row>
    <row r="203" customFormat="false" ht="15" hidden="false" customHeight="false" outlineLevel="0" collapsed="false">
      <c r="D203" s="481" t="str">
        <f aca="false">IF($B$2,G203,H203)</f>
        <v>Finalista</v>
      </c>
      <c r="E203" s="481" t="s">
        <v>650</v>
      </c>
      <c r="F203" s="481" t="s">
        <v>877</v>
      </c>
      <c r="G203" s="481" t="s">
        <v>878</v>
      </c>
      <c r="H203" s="475" t="s">
        <v>879</v>
      </c>
    </row>
    <row r="207" customFormat="false" ht="15" hidden="false" customHeight="false" outlineLevel="0" collapsed="false">
      <c r="J207" s="489"/>
      <c r="K207" s="490"/>
    </row>
    <row r="209" customFormat="false" ht="15" hidden="false" customHeight="false" outlineLevel="0" collapsed="false">
      <c r="J209" s="489"/>
    </row>
    <row r="211" customFormat="false" ht="15" hidden="false" customHeight="false" outlineLevel="0" collapsed="false">
      <c r="C211" s="481" t="s">
        <v>880</v>
      </c>
      <c r="J211" s="489"/>
      <c r="O211" s="120" t="s">
        <v>881</v>
      </c>
      <c r="P211" s="120"/>
    </row>
    <row r="212" customFormat="false" ht="15" hidden="false" customHeight="false" outlineLevel="0" collapsed="false">
      <c r="B212" s="481" t="n">
        <v>1</v>
      </c>
      <c r="C212" s="481" t="n">
        <v>17</v>
      </c>
      <c r="D212" s="481" t="str">
        <f aca="false">IF($B$2,G212,H212)</f>
        <v>Alemania</v>
      </c>
      <c r="E212" s="481" t="s">
        <v>882</v>
      </c>
      <c r="F212" s="481" t="s">
        <v>310</v>
      </c>
      <c r="G212" s="481" t="str">
        <f aca="false">J212</f>
        <v>Alemania</v>
      </c>
      <c r="H212" s="481" t="str">
        <f aca="false">K212</f>
        <v>Germany</v>
      </c>
      <c r="I212" s="31" t="s">
        <v>308</v>
      </c>
      <c r="J212" s="120" t="str">
        <f aca="true">IF(Home!$K$23=$D$1419,O212,
IF(AND(Home!$K$23&lt;&gt;$D$1419,TODAY()&lt;=Horarios!$A$4),O212,$D$1420))</f>
        <v>Alemania</v>
      </c>
      <c r="K212" s="120" t="str">
        <f aca="true">IF(Home!$K$23=$D$1419,P212,
IF(AND(Home!$K$23&lt;&gt;$D$1419,TODAY()&lt;=Horarios!$A$4),P212,$D$1420))</f>
        <v>Germany</v>
      </c>
      <c r="O212" s="491" t="s">
        <v>347</v>
      </c>
      <c r="P212" s="491" t="s">
        <v>883</v>
      </c>
    </row>
    <row r="213" customFormat="false" ht="15" hidden="false" customHeight="false" outlineLevel="0" collapsed="false">
      <c r="B213" s="481" t="n">
        <v>2</v>
      </c>
      <c r="C213" s="481" t="n">
        <v>31</v>
      </c>
      <c r="D213" s="481" t="str">
        <f aca="false">IF($B$2,G213,H213)</f>
        <v>Arabia Saudita</v>
      </c>
      <c r="E213" s="481" t="s">
        <v>882</v>
      </c>
      <c r="F213" s="481" t="s">
        <v>329</v>
      </c>
      <c r="G213" s="481" t="str">
        <f aca="false">J213</f>
        <v>Arabia Saudita</v>
      </c>
      <c r="H213" s="481" t="str">
        <f aca="false">K213</f>
        <v>Saudi Arabia</v>
      </c>
      <c r="I213" s="31" t="s">
        <v>327</v>
      </c>
      <c r="J213" s="120" t="str">
        <f aca="true">IF(Home!$K$23=$D$1419,O213,
IF(AND(Home!$K$23&lt;&gt;$D$1419,TODAY()&lt;=Horarios!$A$4),O213,$D$1420))</f>
        <v>Arabia Saudita</v>
      </c>
      <c r="K213" s="120" t="str">
        <f aca="true">IF(Home!$K$23=$D$1419,P213,
IF(AND(Home!$K$23&lt;&gt;$D$1419,TODAY()&lt;=Horarios!$A$4),P213,$D$1420))</f>
        <v>Saudi Arabia</v>
      </c>
      <c r="O213" s="491" t="s">
        <v>361</v>
      </c>
      <c r="P213" s="491" t="s">
        <v>884</v>
      </c>
    </row>
    <row r="214" customFormat="false" ht="15" hidden="false" customHeight="false" outlineLevel="0" collapsed="false">
      <c r="B214" s="481" t="n">
        <v>3</v>
      </c>
      <c r="C214" s="481" t="n">
        <v>38</v>
      </c>
      <c r="D214" s="481" t="str">
        <f aca="false">IF($B$2,G214,H214)</f>
        <v>Argelia</v>
      </c>
      <c r="E214" s="481" t="s">
        <v>882</v>
      </c>
      <c r="F214" s="481" t="s">
        <v>885</v>
      </c>
      <c r="G214" s="481" t="str">
        <f aca="false">J214</f>
        <v>Argelia</v>
      </c>
      <c r="H214" s="481" t="str">
        <f aca="false">K214</f>
        <v>Algeria</v>
      </c>
      <c r="I214" s="31" t="s">
        <v>263</v>
      </c>
      <c r="J214" s="120" t="str">
        <f aca="true">IF(Home!$K$23=$D$1419,O214,
IF(AND(Home!$K$23&lt;&gt;$D$1419,TODAY()&lt;=Horarios!$A$4),O214,$D$1420))</f>
        <v>Argelia</v>
      </c>
      <c r="K214" s="120" t="str">
        <f aca="true">IF(Home!$K$23=$D$1419,P214,
IF(AND(Home!$K$23&lt;&gt;$D$1419,TODAY()&lt;=Horarios!$A$4),P214,$D$1420))</f>
        <v>Algeria</v>
      </c>
      <c r="O214" s="491" t="s">
        <v>368</v>
      </c>
      <c r="P214" s="491" t="s">
        <v>886</v>
      </c>
    </row>
    <row r="215" customFormat="false" ht="15" hidden="false" customHeight="false" outlineLevel="0" collapsed="false">
      <c r="B215" s="481" t="n">
        <v>4</v>
      </c>
      <c r="C215" s="481" t="n">
        <v>37</v>
      </c>
      <c r="D215" s="481" t="str">
        <f aca="false">IF($B$2,G215,H215)</f>
        <v>Argentina</v>
      </c>
      <c r="E215" s="481" t="s">
        <v>882</v>
      </c>
      <c r="F215" s="481" t="s">
        <v>887</v>
      </c>
      <c r="G215" s="481" t="str">
        <f aca="false">J215</f>
        <v>Argentina</v>
      </c>
      <c r="H215" s="481" t="str">
        <f aca="false">K215</f>
        <v>Argentina</v>
      </c>
      <c r="I215" s="31" t="s">
        <v>296</v>
      </c>
      <c r="J215" s="120" t="str">
        <f aca="true">IF(Home!$K$23=$D$1419,O215,
IF(AND(Home!$K$23&lt;&gt;$D$1419,TODAY()&lt;=Horarios!$A$4),O215,$D$1420))</f>
        <v>Argentina</v>
      </c>
      <c r="K215" s="120" t="str">
        <f aca="true">IF(Home!$K$23=$D$1419,P215,
IF(AND(Home!$K$23&lt;&gt;$D$1419,TODAY()&lt;=Horarios!$A$4),P215,$D$1420))</f>
        <v>Argentina</v>
      </c>
      <c r="O215" s="491" t="s">
        <v>366</v>
      </c>
      <c r="P215" s="491" t="s">
        <v>366</v>
      </c>
    </row>
    <row r="216" customFormat="false" ht="15" hidden="false" customHeight="false" outlineLevel="0" collapsed="false">
      <c r="B216" s="481" t="n">
        <v>5</v>
      </c>
      <c r="C216" s="481" t="n">
        <v>15</v>
      </c>
      <c r="D216" s="481" t="str">
        <f aca="false">IF($B$2,G216,H216)</f>
        <v>Australia</v>
      </c>
      <c r="E216" s="481" t="s">
        <v>882</v>
      </c>
      <c r="F216" s="481" t="s">
        <v>888</v>
      </c>
      <c r="G216" s="481" t="str">
        <f aca="false">J216</f>
        <v>Australia</v>
      </c>
      <c r="H216" s="481" t="str">
        <f aca="false">K216</f>
        <v>Australia</v>
      </c>
      <c r="I216" s="31" t="s">
        <v>313</v>
      </c>
      <c r="J216" s="120" t="str">
        <f aca="true">IF(Home!$K$23=$D$1419,O216,
IF(AND(Home!$K$23&lt;&gt;$D$1419,TODAY()&lt;=Horarios!$A$4),O216,$D$1420))</f>
        <v>Australia</v>
      </c>
      <c r="K216" s="120" t="str">
        <f aca="true">IF(Home!$K$23=$D$1419,P216,
IF(AND(Home!$K$23&lt;&gt;$D$1419,TODAY()&lt;=Horarios!$A$4),P216,$D$1420))</f>
        <v>Australia</v>
      </c>
      <c r="O216" s="491" t="s">
        <v>346</v>
      </c>
      <c r="P216" s="491" t="s">
        <v>346</v>
      </c>
    </row>
    <row r="217" customFormat="false" ht="15" hidden="false" customHeight="false" outlineLevel="0" collapsed="false">
      <c r="B217" s="481" t="n">
        <v>6</v>
      </c>
      <c r="C217" s="481" t="n">
        <v>39</v>
      </c>
      <c r="D217" s="481" t="str">
        <f aca="false">IF($B$2,G217,H217)</f>
        <v>Austria</v>
      </c>
      <c r="E217" s="481" t="s">
        <v>882</v>
      </c>
      <c r="F217" s="481" t="s">
        <v>889</v>
      </c>
      <c r="G217" s="481" t="str">
        <f aca="false">J217</f>
        <v>Austria</v>
      </c>
      <c r="H217" s="481" t="str">
        <f aca="false">K217</f>
        <v>Austria</v>
      </c>
      <c r="I217" s="31" t="s">
        <v>890</v>
      </c>
      <c r="J217" s="120" t="str">
        <f aca="true">IF(Home!$K$23=$D$1419,O217,
IF(AND(Home!$K$23&lt;&gt;$D$1419,TODAY()&lt;=Horarios!$A$4),O217,$D$1420))</f>
        <v>Austria</v>
      </c>
      <c r="K217" s="120" t="str">
        <f aca="true">IF(Home!$K$23=$D$1419,P217,
IF(AND(Home!$K$23&lt;&gt;$D$1419,TODAY()&lt;=Horarios!$A$4),P217,$D$1420))</f>
        <v>Austria</v>
      </c>
      <c r="O217" s="491" t="s">
        <v>367</v>
      </c>
      <c r="P217" s="491" t="s">
        <v>367</v>
      </c>
    </row>
    <row r="218" customFormat="false" ht="15" hidden="false" customHeight="false" outlineLevel="0" collapsed="false">
      <c r="B218" s="481" t="n">
        <v>7</v>
      </c>
      <c r="C218" s="481" t="n">
        <v>25</v>
      </c>
      <c r="D218" s="481" t="str">
        <f aca="false">IF($B$2,G218,H218)</f>
        <v>Bélgica</v>
      </c>
      <c r="E218" s="481" t="s">
        <v>882</v>
      </c>
      <c r="F218" s="481" t="s">
        <v>891</v>
      </c>
      <c r="G218" s="481" t="str">
        <f aca="false">J218</f>
        <v>Bélgica</v>
      </c>
      <c r="H218" s="481" t="str">
        <f aca="false">K218</f>
        <v>Belgium</v>
      </c>
      <c r="I218" s="31" t="s">
        <v>270</v>
      </c>
      <c r="J218" s="120" t="str">
        <f aca="true">IF(Home!$K$23=$D$1419,O218,
IF(AND(Home!$K$23&lt;&gt;$D$1419,TODAY()&lt;=Horarios!$A$4),O218,$D$1420))</f>
        <v>Bélgica</v>
      </c>
      <c r="K218" s="120" t="str">
        <f aca="true">IF(Home!$K$23=$D$1419,P218,
IF(AND(Home!$K$23&lt;&gt;$D$1419,TODAY()&lt;=Horarios!$A$4),P218,$D$1420))</f>
        <v>Belgium</v>
      </c>
      <c r="O218" s="491" t="s">
        <v>355</v>
      </c>
      <c r="P218" s="491" t="s">
        <v>892</v>
      </c>
    </row>
    <row r="219" customFormat="false" ht="15" hidden="false" customHeight="false" outlineLevel="0" collapsed="false">
      <c r="B219" s="481" t="n">
        <v>8</v>
      </c>
      <c r="C219" s="481" t="n">
        <v>9</v>
      </c>
      <c r="D219" s="481" t="str">
        <f aca="false">IF($B$2,G219,H219)</f>
        <v>Brasil</v>
      </c>
      <c r="E219" s="481" t="s">
        <v>882</v>
      </c>
      <c r="F219" s="481" t="s">
        <v>893</v>
      </c>
      <c r="G219" s="481" t="str">
        <f aca="false">J219</f>
        <v>Brasil</v>
      </c>
      <c r="H219" s="481" t="str">
        <f aca="false">K219</f>
        <v>Brazil</v>
      </c>
      <c r="I219" s="31" t="s">
        <v>894</v>
      </c>
      <c r="J219" s="120" t="str">
        <f aca="true">IF(Home!$K$23=$D$1419,O219,
IF(AND(Home!$K$23&lt;&gt;$D$1419,TODAY()&lt;=Horarios!$A$4),O219,$D$1420))</f>
        <v>Brasil</v>
      </c>
      <c r="K219" s="120" t="str">
        <f aca="true">IF(Home!$K$23=$D$1419,P219,
IF(AND(Home!$K$23&lt;&gt;$D$1419,TODAY()&lt;=Horarios!$A$4),P219,$D$1420))</f>
        <v>Brazil</v>
      </c>
      <c r="O219" s="491" t="s">
        <v>339</v>
      </c>
      <c r="P219" s="491" t="s">
        <v>895</v>
      </c>
    </row>
    <row r="220" customFormat="false" ht="15" hidden="false" customHeight="false" outlineLevel="0" collapsed="false">
      <c r="B220" s="481" t="n">
        <v>9</v>
      </c>
      <c r="C220" s="481" t="n">
        <v>30</v>
      </c>
      <c r="D220" s="481" t="str">
        <f aca="false">IF($B$2,G220,H220)</f>
        <v>Cabo Verde</v>
      </c>
      <c r="E220" s="481" t="s">
        <v>882</v>
      </c>
      <c r="F220" s="481" t="s">
        <v>896</v>
      </c>
      <c r="G220" s="481" t="str">
        <f aca="false">J220</f>
        <v>Cabo Verde</v>
      </c>
      <c r="H220" s="481" t="str">
        <f aca="false">K220</f>
        <v>Cape Verde</v>
      </c>
      <c r="I220" s="31" t="s">
        <v>293</v>
      </c>
      <c r="J220" s="120" t="str">
        <f aca="true">IF(Home!$K$23=$D$1419,O220,
IF(AND(Home!$K$23&lt;&gt;$D$1419,TODAY()&lt;=Horarios!$A$4),O220,$D$1420))</f>
        <v>Cabo Verde</v>
      </c>
      <c r="K220" s="120" t="str">
        <f aca="true">IF(Home!$K$23=$D$1419,P220,
IF(AND(Home!$K$23&lt;&gt;$D$1419,TODAY()&lt;=Horarios!$A$4),P220,$D$1420))</f>
        <v>Cape Verde</v>
      </c>
      <c r="O220" s="491" t="s">
        <v>360</v>
      </c>
      <c r="P220" s="491" t="s">
        <v>897</v>
      </c>
    </row>
    <row r="221" customFormat="false" ht="15" hidden="false" customHeight="false" outlineLevel="0" collapsed="false">
      <c r="B221" s="481" t="n">
        <v>10</v>
      </c>
      <c r="C221" s="481" t="n">
        <v>5</v>
      </c>
      <c r="D221" s="481" t="str">
        <f aca="false">IF($B$2,G221,H221)</f>
        <v>Canadá</v>
      </c>
      <c r="E221" s="481" t="s">
        <v>882</v>
      </c>
      <c r="F221" s="481" t="s">
        <v>898</v>
      </c>
      <c r="G221" s="481" t="str">
        <f aca="false">J221</f>
        <v>Canadá</v>
      </c>
      <c r="H221" s="481" t="str">
        <f aca="false">K221</f>
        <v>Canada</v>
      </c>
      <c r="I221" s="31" t="s">
        <v>310</v>
      </c>
      <c r="J221" s="120" t="str">
        <f aca="true">IF(Home!$K$23=$D$1419,O221,
IF(AND(Home!$K$23&lt;&gt;$D$1419,TODAY()&lt;=Horarios!$A$4),O221,$D$1420))</f>
        <v>Canadá</v>
      </c>
      <c r="K221" s="120" t="str">
        <f aca="true">IF(Home!$K$23=$D$1419,P221,
IF(AND(Home!$K$23&lt;&gt;$D$1419,TODAY()&lt;=Horarios!$A$4),P221,$D$1420))</f>
        <v>Canada</v>
      </c>
      <c r="O221" s="491" t="s">
        <v>337</v>
      </c>
      <c r="P221" s="491" t="s">
        <v>899</v>
      </c>
    </row>
    <row r="222" customFormat="false" ht="15" hidden="false" customHeight="false" outlineLevel="0" collapsed="false">
      <c r="B222" s="481" t="n">
        <v>11</v>
      </c>
      <c r="C222" s="481" t="n">
        <v>7</v>
      </c>
      <c r="D222" s="481" t="str">
        <f aca="false">IF($B$2,G222,H222)</f>
        <v>Catar</v>
      </c>
      <c r="E222" s="481" t="s">
        <v>882</v>
      </c>
      <c r="F222" s="481" t="s">
        <v>900</v>
      </c>
      <c r="G222" s="481" t="str">
        <f aca="false">J222</f>
        <v>Catar</v>
      </c>
      <c r="H222" s="481" t="str">
        <f aca="false">K222</f>
        <v>Qatar</v>
      </c>
      <c r="I222" s="31" t="s">
        <v>329</v>
      </c>
      <c r="J222" s="120" t="str">
        <f aca="true">IF(Home!$K$23=$D$1419,O222,
IF(AND(Home!$K$23&lt;&gt;$D$1419,TODAY()&lt;=Horarios!$A$4),O222,$D$1420))</f>
        <v>Catar</v>
      </c>
      <c r="K222" s="120" t="str">
        <f aca="true">IF(Home!$K$23=$D$1419,P222,
IF(AND(Home!$K$23&lt;&gt;$D$1419,TODAY()&lt;=Horarios!$A$4),P222,$D$1420))</f>
        <v>Qatar</v>
      </c>
      <c r="O222" s="491" t="s">
        <v>338</v>
      </c>
      <c r="P222" s="491" t="s">
        <v>901</v>
      </c>
    </row>
    <row r="223" customFormat="false" ht="15" hidden="false" customHeight="false" outlineLevel="0" collapsed="false">
      <c r="B223" s="481" t="n">
        <v>12</v>
      </c>
      <c r="C223" s="481" t="n">
        <v>44</v>
      </c>
      <c r="D223" s="481" t="str">
        <f aca="false">IF($B$2,G223,H223)</f>
        <v>Colombia</v>
      </c>
      <c r="E223" s="481" t="s">
        <v>882</v>
      </c>
      <c r="F223" s="481" t="s">
        <v>902</v>
      </c>
      <c r="G223" s="481" t="str">
        <f aca="false">J223</f>
        <v>Colombia</v>
      </c>
      <c r="H223" s="481" t="str">
        <f aca="false">K223</f>
        <v>Colombia</v>
      </c>
      <c r="I223" s="31" t="s">
        <v>885</v>
      </c>
      <c r="J223" s="120" t="str">
        <f aca="true">IF(Home!$K$23=$D$1419,O223,
IF(AND(Home!$K$23&lt;&gt;$D$1419,TODAY()&lt;=Horarios!$A$4),O223,$D$1420))</f>
        <v>Colombia</v>
      </c>
      <c r="K223" s="120" t="str">
        <f aca="true">IF(Home!$K$23=$D$1419,P223,
IF(AND(Home!$K$23&lt;&gt;$D$1419,TODAY()&lt;=Horarios!$A$4),P223,$D$1420))</f>
        <v>Colombia</v>
      </c>
      <c r="O223" s="491" t="s">
        <v>371</v>
      </c>
      <c r="P223" s="491" t="s">
        <v>371</v>
      </c>
    </row>
    <row r="224" customFormat="false" ht="15" hidden="false" customHeight="false" outlineLevel="0" collapsed="false">
      <c r="B224" s="481" t="n">
        <v>13</v>
      </c>
      <c r="C224" s="481" t="n">
        <v>3</v>
      </c>
      <c r="D224" s="481" t="str">
        <f aca="false">IF($B$2,G224,H224)</f>
        <v>Corea del Sur</v>
      </c>
      <c r="E224" s="481" t="s">
        <v>882</v>
      </c>
      <c r="F224" s="481" t="s">
        <v>903</v>
      </c>
      <c r="G224" s="481" t="str">
        <f aca="false">J224</f>
        <v>Corea del Sur</v>
      </c>
      <c r="H224" s="481" t="str">
        <f aca="false">K224</f>
        <v>South Korea</v>
      </c>
      <c r="I224" s="31" t="s">
        <v>295</v>
      </c>
      <c r="J224" s="120" t="str">
        <f aca="true">IF(Home!$K$23=$D$1419,O224,
IF(AND(Home!$K$23&lt;&gt;$D$1419,TODAY()&lt;=Horarios!$A$4),O224,$D$1420))</f>
        <v>Corea del Sur</v>
      </c>
      <c r="K224" s="120" t="str">
        <f aca="true">IF(Home!$K$23=$D$1419,P224,
IF(AND(Home!$K$23&lt;&gt;$D$1419,TODAY()&lt;=Horarios!$A$4),P224,$D$1420))</f>
        <v>South Korea</v>
      </c>
      <c r="O224" s="491" t="s">
        <v>333</v>
      </c>
      <c r="P224" s="491" t="s">
        <v>904</v>
      </c>
    </row>
    <row r="225" customFormat="false" ht="15" hidden="false" customHeight="false" outlineLevel="0" collapsed="false">
      <c r="B225" s="481" t="n">
        <v>14</v>
      </c>
      <c r="C225" s="481" t="n">
        <v>19</v>
      </c>
      <c r="D225" s="481" t="str">
        <f aca="false">IF($B$2,G225,H225)</f>
        <v>Costa de Marfil</v>
      </c>
      <c r="E225" s="481" t="s">
        <v>882</v>
      </c>
      <c r="F225" s="481" t="s">
        <v>905</v>
      </c>
      <c r="G225" s="481" t="str">
        <f aca="false">J225</f>
        <v>Costa de Marfil</v>
      </c>
      <c r="H225" s="481" t="str">
        <f aca="false">K225</f>
        <v>Ivory Coast</v>
      </c>
      <c r="I225" s="31" t="s">
        <v>311</v>
      </c>
      <c r="J225" s="120" t="str">
        <f aca="true">IF(Home!$K$23=$D$1419,O225,
IF(AND(Home!$K$23&lt;&gt;$D$1419,TODAY()&lt;=Horarios!$A$4),O225,$D$1420))</f>
        <v>Costa de Marfil</v>
      </c>
      <c r="K225" s="120" t="str">
        <f aca="true">IF(Home!$K$23=$D$1419,P225,
IF(AND(Home!$K$23&lt;&gt;$D$1419,TODAY()&lt;=Horarios!$A$4),P225,$D$1420))</f>
        <v>Ivory Coast</v>
      </c>
      <c r="O225" s="120" t="s">
        <v>348</v>
      </c>
      <c r="P225" s="491" t="s">
        <v>906</v>
      </c>
    </row>
    <row r="226" customFormat="false" ht="15" hidden="false" customHeight="false" outlineLevel="0" collapsed="false">
      <c r="B226" s="481" t="n">
        <v>15</v>
      </c>
      <c r="C226" s="481" t="n">
        <v>46</v>
      </c>
      <c r="D226" s="481" t="str">
        <f aca="false">IF($B$2,G226,H226)</f>
        <v>Croacia</v>
      </c>
      <c r="E226" s="481" t="s">
        <v>882</v>
      </c>
      <c r="F226" s="481" t="s">
        <v>907</v>
      </c>
      <c r="G226" s="481" t="str">
        <f aca="false">J226</f>
        <v>Croacia</v>
      </c>
      <c r="H226" s="481" t="str">
        <f aca="false">K226</f>
        <v>Croatia</v>
      </c>
      <c r="I226" s="31" t="s">
        <v>330</v>
      </c>
      <c r="J226" s="120" t="str">
        <f aca="true">IF(Home!$K$23=$D$1419,O226,
IF(AND(Home!$K$23&lt;&gt;$D$1419,TODAY()&lt;=Horarios!$A$4),O226,$D$1420))</f>
        <v>Croacia</v>
      </c>
      <c r="K226" s="120" t="str">
        <f aca="true">IF(Home!$K$23=$D$1419,P226,
IF(AND(Home!$K$23&lt;&gt;$D$1419,TODAY()&lt;=Horarios!$A$4),P226,$D$1420))</f>
        <v>Croatia</v>
      </c>
      <c r="O226" s="491" t="s">
        <v>375</v>
      </c>
      <c r="P226" s="491" t="s">
        <v>908</v>
      </c>
    </row>
    <row r="227" customFormat="false" ht="15" hidden="false" customHeight="false" outlineLevel="0" collapsed="false">
      <c r="B227" s="481" t="n">
        <v>16</v>
      </c>
      <c r="C227" s="481" t="n">
        <v>18</v>
      </c>
      <c r="D227" s="481" t="str">
        <f aca="false">IF($B$2,G227,H227)</f>
        <v>Curazao</v>
      </c>
      <c r="E227" s="481" t="s">
        <v>882</v>
      </c>
      <c r="F227" s="481" t="s">
        <v>909</v>
      </c>
      <c r="G227" s="481" t="str">
        <f aca="false">J227</f>
        <v>Curazao</v>
      </c>
      <c r="H227" s="481" t="str">
        <f aca="false">K227</f>
        <v>Curaçao</v>
      </c>
      <c r="I227" s="31" t="s">
        <v>910</v>
      </c>
      <c r="J227" s="120" t="str">
        <f aca="true">IF(Home!$K$23=$D$1419,O227,
IF(AND(Home!$K$23&lt;&gt;$D$1419,TODAY()&lt;=Horarios!$A$4),O227,$D$1420))</f>
        <v>Curazao</v>
      </c>
      <c r="K227" s="120" t="str">
        <f aca="true">IF(Home!$K$23=$D$1419,P227,
IF(AND(Home!$K$23&lt;&gt;$D$1419,TODAY()&lt;=Horarios!$A$4),P227,$D$1420))</f>
        <v>Curaçao</v>
      </c>
      <c r="O227" s="491" t="s">
        <v>350</v>
      </c>
      <c r="P227" s="491" t="s">
        <v>911</v>
      </c>
    </row>
    <row r="228" customFormat="false" ht="15" hidden="false" customHeight="false" outlineLevel="0" collapsed="false">
      <c r="B228" s="481" t="n">
        <v>17</v>
      </c>
      <c r="C228" s="481" t="n">
        <v>20</v>
      </c>
      <c r="D228" s="481" t="str">
        <f aca="false">IF($B$2,G228,H228)</f>
        <v>Ecuador</v>
      </c>
      <c r="E228" s="481" t="s">
        <v>882</v>
      </c>
      <c r="F228" s="481" t="s">
        <v>912</v>
      </c>
      <c r="G228" s="481" t="str">
        <f aca="false">J228</f>
        <v>Ecuador</v>
      </c>
      <c r="H228" s="481" t="str">
        <f aca="false">K228</f>
        <v>Ecuador</v>
      </c>
      <c r="I228" s="31" t="s">
        <v>297</v>
      </c>
      <c r="J228" s="120" t="str">
        <f aca="true">IF(Home!$K$23=$D$1419,O228,
IF(AND(Home!$K$23&lt;&gt;$D$1419,TODAY()&lt;=Horarios!$A$4),O228,$D$1420))</f>
        <v>Ecuador</v>
      </c>
      <c r="K228" s="120" t="str">
        <f aca="true">IF(Home!$K$23=$D$1419,P228,
IF(AND(Home!$K$23&lt;&gt;$D$1419,TODAY()&lt;=Horarios!$A$4),P228,$D$1420))</f>
        <v>Ecuador</v>
      </c>
      <c r="O228" s="491" t="s">
        <v>349</v>
      </c>
      <c r="P228" s="491" t="s">
        <v>349</v>
      </c>
    </row>
    <row r="229" customFormat="false" ht="15" hidden="false" customHeight="false" outlineLevel="0" collapsed="false">
      <c r="B229" s="481" t="n">
        <v>18</v>
      </c>
      <c r="C229" s="481" t="n">
        <v>26</v>
      </c>
      <c r="D229" s="481" t="str">
        <f aca="false">IF($B$2,G229,H229)</f>
        <v>Egipto</v>
      </c>
      <c r="E229" s="481" t="s">
        <v>882</v>
      </c>
      <c r="F229" s="481" t="s">
        <v>913</v>
      </c>
      <c r="G229" s="481" t="str">
        <f aca="false">J229</f>
        <v>Egipto</v>
      </c>
      <c r="H229" s="481" t="str">
        <f aca="false">K229</f>
        <v>Egypt</v>
      </c>
      <c r="I229" s="31" t="s">
        <v>314</v>
      </c>
      <c r="J229" s="120" t="str">
        <f aca="true">IF(Home!$K$23=$D$1419,O229,
IF(AND(Home!$K$23&lt;&gt;$D$1419,TODAY()&lt;=Horarios!$A$4),O229,$D$1420))</f>
        <v>Egipto</v>
      </c>
      <c r="K229" s="120" t="str">
        <f aca="true">IF(Home!$K$23=$D$1419,P229,
IF(AND(Home!$K$23&lt;&gt;$D$1419,TODAY()&lt;=Horarios!$A$4),P229,$D$1420))</f>
        <v>Egypt</v>
      </c>
      <c r="O229" s="491" t="s">
        <v>356</v>
      </c>
      <c r="P229" s="491" t="s">
        <v>914</v>
      </c>
    </row>
    <row r="230" customFormat="false" ht="15" hidden="false" customHeight="false" outlineLevel="0" collapsed="false">
      <c r="B230" s="481" t="n">
        <v>19</v>
      </c>
      <c r="C230" s="481" t="n">
        <v>12</v>
      </c>
      <c r="D230" s="481" t="str">
        <f aca="false">IF($B$2,G230,H230)</f>
        <v>Escocia</v>
      </c>
      <c r="E230" s="481" t="s">
        <v>882</v>
      </c>
      <c r="F230" s="481" t="s">
        <v>915</v>
      </c>
      <c r="G230" s="481" t="str">
        <f aca="false">J230</f>
        <v>Escocia</v>
      </c>
      <c r="H230" s="481" t="str">
        <f aca="false">K230</f>
        <v>Scotland</v>
      </c>
      <c r="I230" s="31" t="s">
        <v>916</v>
      </c>
      <c r="J230" s="120" t="str">
        <f aca="true">IF(Home!$K$23=$D$1419,O230,
IF(AND(Home!$K$23&lt;&gt;$D$1419,TODAY()&lt;=Horarios!$A$4),O230,$D$1420))</f>
        <v>Escocia</v>
      </c>
      <c r="K230" s="120" t="str">
        <f aca="true">IF(Home!$K$23=$D$1419,P230,
IF(AND(Home!$K$23&lt;&gt;$D$1419,TODAY()&lt;=Horarios!$A$4),P230,$D$1420))</f>
        <v>Scotland</v>
      </c>
      <c r="O230" s="491" t="s">
        <v>341</v>
      </c>
      <c r="P230" s="491" t="s">
        <v>917</v>
      </c>
    </row>
    <row r="231" customFormat="false" ht="15" hidden="false" customHeight="false" outlineLevel="0" collapsed="false">
      <c r="B231" s="481" t="n">
        <v>20</v>
      </c>
      <c r="C231" s="481" t="n">
        <v>29</v>
      </c>
      <c r="D231" s="481" t="str">
        <f aca="false">IF($B$2,G231,H231)</f>
        <v>España</v>
      </c>
      <c r="E231" s="481" t="s">
        <v>882</v>
      </c>
      <c r="F231" s="481" t="s">
        <v>918</v>
      </c>
      <c r="G231" s="481" t="str">
        <f aca="false">J231</f>
        <v>España</v>
      </c>
      <c r="H231" s="481" t="str">
        <f aca="false">K231</f>
        <v>Spain</v>
      </c>
      <c r="I231" s="31" t="s">
        <v>278</v>
      </c>
      <c r="J231" s="120" t="str">
        <f aca="true">IF(Home!$K$23=$D$1419,O231,
IF(AND(Home!$K$23&lt;&gt;$D$1419,TODAY()&lt;=Horarios!$A$4),O231,$D$1420))</f>
        <v>España</v>
      </c>
      <c r="K231" s="120" t="str">
        <f aca="true">IF(Home!$K$23=$D$1419,P231,
IF(AND(Home!$K$23&lt;&gt;$D$1419,TODAY()&lt;=Horarios!$A$4),P231,$D$1420))</f>
        <v>Spain</v>
      </c>
      <c r="O231" s="491" t="s">
        <v>2</v>
      </c>
      <c r="P231" s="491" t="s">
        <v>919</v>
      </c>
    </row>
    <row r="232" customFormat="false" ht="15" hidden="false" customHeight="false" outlineLevel="0" collapsed="false">
      <c r="B232" s="481" t="n">
        <v>21</v>
      </c>
      <c r="C232" s="481" t="n">
        <v>13</v>
      </c>
      <c r="D232" s="481" t="str">
        <f aca="false">IF($B$2,G232,H232)</f>
        <v>Estados Unidos</v>
      </c>
      <c r="E232" s="481" t="s">
        <v>882</v>
      </c>
      <c r="F232" s="481" t="s">
        <v>920</v>
      </c>
      <c r="G232" s="481" t="str">
        <f aca="false">J232</f>
        <v>Estados Unidos</v>
      </c>
      <c r="H232" s="481" t="str">
        <f aca="false">K232</f>
        <v>United States</v>
      </c>
      <c r="I232" s="31" t="s">
        <v>298</v>
      </c>
      <c r="J232" s="120" t="str">
        <f aca="true">IF(Home!$K$23=$D$1419,O232,
IF(AND(Home!$K$23&lt;&gt;$D$1419,TODAY()&lt;=Horarios!$A$4),O232,$D$1420))</f>
        <v>Estados Unidos</v>
      </c>
      <c r="K232" s="120" t="str">
        <f aca="true">IF(Home!$K$23=$D$1419,P232,
IF(AND(Home!$K$23&lt;&gt;$D$1419,TODAY()&lt;=Horarios!$A$4),P232,$D$1420))</f>
        <v>United States</v>
      </c>
      <c r="O232" s="491" t="s">
        <v>344</v>
      </c>
      <c r="P232" s="491" t="s">
        <v>921</v>
      </c>
    </row>
    <row r="233" customFormat="false" ht="15" hidden="false" customHeight="false" outlineLevel="0" collapsed="false">
      <c r="B233" s="481" t="n">
        <v>22</v>
      </c>
      <c r="C233" s="481" t="n">
        <v>33</v>
      </c>
      <c r="D233" s="481" t="str">
        <f aca="false">IF($B$2,G233,H233)</f>
        <v>Francia</v>
      </c>
      <c r="E233" s="481" t="s">
        <v>882</v>
      </c>
      <c r="F233" s="481" t="s">
        <v>922</v>
      </c>
      <c r="G233" s="481" t="str">
        <f aca="false">J233</f>
        <v>Francia</v>
      </c>
      <c r="H233" s="481" t="str">
        <f aca="false">K233</f>
        <v>France</v>
      </c>
      <c r="I233" s="31" t="s">
        <v>315</v>
      </c>
      <c r="J233" s="120" t="str">
        <f aca="true">IF(Home!$K$23=$D$1419,O233,
IF(AND(Home!$K$23&lt;&gt;$D$1419,TODAY()&lt;=Horarios!$A$4),O233,$D$1420))</f>
        <v>Francia</v>
      </c>
      <c r="K233" s="120" t="str">
        <f aca="true">IF(Home!$K$23=$D$1419,P233,
IF(AND(Home!$K$23&lt;&gt;$D$1419,TODAY()&lt;=Horarios!$A$4),P233,$D$1420))</f>
        <v>France</v>
      </c>
      <c r="O233" s="491" t="s">
        <v>362</v>
      </c>
      <c r="P233" s="491" t="s">
        <v>923</v>
      </c>
    </row>
    <row r="234" customFormat="false" ht="15" hidden="false" customHeight="false" outlineLevel="0" collapsed="false">
      <c r="B234" s="481" t="n">
        <v>23</v>
      </c>
      <c r="C234" s="481" t="n">
        <v>47</v>
      </c>
      <c r="D234" s="481" t="str">
        <f aca="false">IF($B$2,G234,H234)</f>
        <v>Ghana</v>
      </c>
      <c r="E234" s="481" t="s">
        <v>882</v>
      </c>
      <c r="F234" s="481" t="s">
        <v>924</v>
      </c>
      <c r="G234" s="481" t="str">
        <f aca="false">J234</f>
        <v>Ghana</v>
      </c>
      <c r="H234" s="481" t="str">
        <f aca="false">K234</f>
        <v>Ghana</v>
      </c>
      <c r="I234" s="31" t="s">
        <v>656</v>
      </c>
      <c r="J234" s="120" t="str">
        <f aca="true">IF(Home!$K$23=$D$1419,O234,
IF(AND(Home!$K$23&lt;&gt;$D$1419,TODAY()&lt;=Horarios!$A$4),O234,$D$1420))</f>
        <v>Ghana</v>
      </c>
      <c r="K234" s="120" t="str">
        <f aca="true">IF(Home!$K$23=$D$1419,P234,
IF(AND(Home!$K$23&lt;&gt;$D$1419,TODAY()&lt;=Horarios!$A$4),P234,$D$1420))</f>
        <v>Ghana</v>
      </c>
      <c r="O234" s="491" t="s">
        <v>376</v>
      </c>
      <c r="P234" s="491" t="s">
        <v>376</v>
      </c>
    </row>
    <row r="235" customFormat="false" ht="15" hidden="false" customHeight="false" outlineLevel="0" collapsed="false">
      <c r="B235" s="481" t="n">
        <v>24</v>
      </c>
      <c r="C235" s="481" t="n">
        <v>11</v>
      </c>
      <c r="D235" s="481" t="str">
        <f aca="false">IF($B$2,G235,H235)</f>
        <v>Haití</v>
      </c>
      <c r="E235" s="481" t="s">
        <v>882</v>
      </c>
      <c r="F235" s="481" t="s">
        <v>925</v>
      </c>
      <c r="G235" s="481" t="str">
        <f aca="false">J235</f>
        <v>Haití</v>
      </c>
      <c r="H235" s="481" t="str">
        <f aca="false">K235</f>
        <v>Haiti</v>
      </c>
      <c r="I235" s="31" t="s">
        <v>280</v>
      </c>
      <c r="J235" s="120" t="str">
        <f aca="true">IF(Home!$K$23=$D$1419,O235,
IF(AND(Home!$K$23&lt;&gt;$D$1419,TODAY()&lt;=Horarios!$A$4),O235,$D$1420))</f>
        <v>Haití</v>
      </c>
      <c r="K235" s="120" t="str">
        <f aca="true">IF(Home!$K$23=$D$1419,P235,
IF(AND(Home!$K$23&lt;&gt;$D$1419,TODAY()&lt;=Horarios!$A$4),P235,$D$1420))</f>
        <v>Haiti</v>
      </c>
      <c r="O235" s="491" t="s">
        <v>342</v>
      </c>
      <c r="P235" s="491" t="s">
        <v>926</v>
      </c>
    </row>
    <row r="236" customFormat="false" ht="15" hidden="false" customHeight="false" outlineLevel="0" collapsed="false">
      <c r="B236" s="481" t="n">
        <v>25</v>
      </c>
      <c r="C236" s="481" t="n">
        <v>45</v>
      </c>
      <c r="D236" s="481" t="str">
        <f aca="false">IF($B$2,G236,H236)</f>
        <v>Inglaterra</v>
      </c>
      <c r="E236" s="481" t="s">
        <v>882</v>
      </c>
      <c r="F236" s="481" t="s">
        <v>927</v>
      </c>
      <c r="G236" s="481" t="str">
        <f aca="false">J236</f>
        <v>Inglaterra</v>
      </c>
      <c r="H236" s="481" t="str">
        <f aca="false">K236</f>
        <v>England</v>
      </c>
      <c r="I236" s="31" t="s">
        <v>301</v>
      </c>
      <c r="J236" s="120" t="str">
        <f aca="true">IF(Home!$K$23=$D$1419,O236,
IF(AND(Home!$K$23&lt;&gt;$D$1419,TODAY()&lt;=Horarios!$A$4),O236,$D$1420))</f>
        <v>Inglaterra</v>
      </c>
      <c r="K236" s="120" t="str">
        <f aca="true">IF(Home!$K$23=$D$1419,P236,
IF(AND(Home!$K$23&lt;&gt;$D$1419,TODAY()&lt;=Horarios!$A$4),P236,$D$1420))</f>
        <v>England</v>
      </c>
      <c r="O236" s="491" t="s">
        <v>374</v>
      </c>
      <c r="P236" s="491" t="s">
        <v>928</v>
      </c>
    </row>
    <row r="237" customFormat="false" ht="15" hidden="false" customHeight="false" outlineLevel="0" collapsed="false">
      <c r="B237" s="481" t="n">
        <v>26</v>
      </c>
      <c r="C237" s="481" t="n">
        <v>27</v>
      </c>
      <c r="D237" s="481" t="str">
        <f aca="false">IF($B$2,G237,H237)</f>
        <v>Irán</v>
      </c>
      <c r="E237" s="481" t="s">
        <v>882</v>
      </c>
      <c r="F237" s="481" t="s">
        <v>929</v>
      </c>
      <c r="G237" s="481" t="str">
        <f aca="false">J237</f>
        <v>Irán</v>
      </c>
      <c r="H237" s="481" t="str">
        <f aca="false">K237</f>
        <v>Iran</v>
      </c>
      <c r="I237" s="31" t="s">
        <v>317</v>
      </c>
      <c r="J237" s="120" t="str">
        <f aca="true">IF(Home!$K$23=$D$1419,O237,
IF(AND(Home!$K$23&lt;&gt;$D$1419,TODAY()&lt;=Horarios!$A$4),O237,$D$1420))</f>
        <v>Irán</v>
      </c>
      <c r="K237" s="120" t="str">
        <f aca="true">IF(Home!$K$23=$D$1419,P237,
IF(AND(Home!$K$23&lt;&gt;$D$1419,TODAY()&lt;=Horarios!$A$4),P237,$D$1420))</f>
        <v>Iran</v>
      </c>
      <c r="O237" s="491" t="str">
        <f aca="false">Credits!N87</f>
        <v>Irán</v>
      </c>
      <c r="P237" s="491" t="str">
        <f aca="false">Credits!O87</f>
        <v>Iran</v>
      </c>
    </row>
    <row r="238" customFormat="false" ht="15" hidden="false" customHeight="false" outlineLevel="0" collapsed="false">
      <c r="B238" s="481" t="n">
        <v>27</v>
      </c>
      <c r="C238" s="481" t="n">
        <v>22</v>
      </c>
      <c r="D238" s="481" t="str">
        <f aca="false">IF($B$2,G238,H238)</f>
        <v>Japón</v>
      </c>
      <c r="E238" s="481" t="s">
        <v>882</v>
      </c>
      <c r="F238" s="481" t="s">
        <v>930</v>
      </c>
      <c r="G238" s="481" t="str">
        <f aca="false">J238</f>
        <v>Japón</v>
      </c>
      <c r="H238" s="481" t="str">
        <f aca="false">K238</f>
        <v>Japan</v>
      </c>
      <c r="I238" s="31" t="s">
        <v>931</v>
      </c>
      <c r="J238" s="120" t="str">
        <f aca="true">IF(Home!$K$23=$D$1419,O238,
IF(AND(Home!$K$23&lt;&gt;$D$1419,TODAY()&lt;=Horarios!$A$4),O238,$D$1420))</f>
        <v>Japón</v>
      </c>
      <c r="K238" s="120" t="str">
        <f aca="true">IF(Home!$K$23=$D$1419,P238,
IF(AND(Home!$K$23&lt;&gt;$D$1419,TODAY()&lt;=Horarios!$A$4),P238,$D$1420))</f>
        <v>Japan</v>
      </c>
      <c r="O238" s="491" t="s">
        <v>353</v>
      </c>
      <c r="P238" s="491" t="s">
        <v>932</v>
      </c>
    </row>
    <row r="239" customFormat="false" ht="15" hidden="false" customHeight="false" outlineLevel="0" collapsed="false">
      <c r="B239" s="481" t="n">
        <v>28</v>
      </c>
      <c r="C239" s="481" t="n">
        <v>40</v>
      </c>
      <c r="D239" s="481" t="str">
        <f aca="false">IF($B$2,G239,H239)</f>
        <v>Jordania</v>
      </c>
      <c r="E239" s="481" t="s">
        <v>882</v>
      </c>
      <c r="F239" s="481" t="s">
        <v>933</v>
      </c>
      <c r="G239" s="481" t="str">
        <f aca="false">J239</f>
        <v>Jordania</v>
      </c>
      <c r="H239" s="481" t="str">
        <f aca="false">K239</f>
        <v>Jordan</v>
      </c>
      <c r="I239" s="31" t="s">
        <v>282</v>
      </c>
      <c r="J239" s="120" t="str">
        <f aca="true">IF(Home!$K$23=$D$1419,O239,
IF(AND(Home!$K$23&lt;&gt;$D$1419,TODAY()&lt;=Horarios!$A$4),O239,$D$1420))</f>
        <v>Jordania</v>
      </c>
      <c r="K239" s="120" t="str">
        <f aca="true">IF(Home!$K$23=$D$1419,P239,
IF(AND(Home!$K$23&lt;&gt;$D$1419,TODAY()&lt;=Horarios!$A$4),P239,$D$1420))</f>
        <v>Jordan</v>
      </c>
      <c r="O239" s="491" t="s">
        <v>369</v>
      </c>
      <c r="P239" s="491" t="s">
        <v>934</v>
      </c>
    </row>
    <row r="240" customFormat="false" ht="15" hidden="false" customHeight="false" outlineLevel="0" collapsed="false">
      <c r="B240" s="481" t="n">
        <v>29</v>
      </c>
      <c r="C240" s="481" t="n">
        <v>10</v>
      </c>
      <c r="D240" s="481" t="str">
        <f aca="false">IF($B$2,G240,H240)</f>
        <v>Marruecos</v>
      </c>
      <c r="E240" s="481" t="s">
        <v>882</v>
      </c>
      <c r="F240" s="481" t="s">
        <v>935</v>
      </c>
      <c r="G240" s="481" t="str">
        <f aca="false">J240</f>
        <v>Marruecos</v>
      </c>
      <c r="H240" s="481" t="str">
        <f aca="false">K240</f>
        <v>Morocco</v>
      </c>
      <c r="I240" s="31" t="s">
        <v>302</v>
      </c>
      <c r="J240" s="120" t="str">
        <f aca="true">IF(Home!$K$23=$D$1419,O240,
IF(AND(Home!$K$23&lt;&gt;$D$1419,TODAY()&lt;=Horarios!$A$4),O240,$D$1420))</f>
        <v>Marruecos</v>
      </c>
      <c r="K240" s="120" t="str">
        <f aca="true">IF(Home!$K$23=$D$1419,P240,
IF(AND(Home!$K$23&lt;&gt;$D$1419,TODAY()&lt;=Horarios!$A$4),P240,$D$1420))</f>
        <v>Morocco</v>
      </c>
      <c r="O240" s="491" t="s">
        <v>340</v>
      </c>
      <c r="P240" s="491" t="s">
        <v>936</v>
      </c>
    </row>
    <row r="241" customFormat="false" ht="15" hidden="false" customHeight="false" outlineLevel="0" collapsed="false">
      <c r="B241" s="481" t="n">
        <v>30</v>
      </c>
      <c r="C241" s="481" t="n">
        <v>1</v>
      </c>
      <c r="D241" s="481" t="str">
        <f aca="false">IF($B$2,G241,H241)</f>
        <v>México</v>
      </c>
      <c r="E241" s="481" t="s">
        <v>882</v>
      </c>
      <c r="F241" s="481" t="s">
        <v>937</v>
      </c>
      <c r="G241" s="481" t="str">
        <f aca="false">J241</f>
        <v>México</v>
      </c>
      <c r="H241" s="481" t="str">
        <f aca="false">K241</f>
        <v>Mexico</v>
      </c>
      <c r="I241" s="31" t="s">
        <v>319</v>
      </c>
      <c r="J241" s="120" t="str">
        <f aca="true">IF(Home!$K$23=$D$1419,O241,
IF(AND(Home!$K$23&lt;&gt;$D$1419,TODAY()&lt;=Horarios!$A$4),O241,$D$1420))</f>
        <v>México</v>
      </c>
      <c r="K241" s="120" t="str">
        <f aca="true">IF(Home!$K$23=$D$1419,P241,
IF(AND(Home!$K$23&lt;&gt;$D$1419,TODAY()&lt;=Horarios!$A$4),P241,$D$1420))</f>
        <v>Mexico</v>
      </c>
      <c r="O241" s="491" t="s">
        <v>331</v>
      </c>
      <c r="P241" s="491" t="s">
        <v>938</v>
      </c>
    </row>
    <row r="242" customFormat="false" ht="15" hidden="false" customHeight="false" outlineLevel="0" collapsed="false">
      <c r="B242" s="481" t="n">
        <v>31</v>
      </c>
      <c r="C242" s="481" t="n">
        <v>36</v>
      </c>
      <c r="D242" s="481" t="str">
        <f aca="false">IF($B$2,G242,H242)</f>
        <v>Noruega</v>
      </c>
      <c r="E242" s="481" t="s">
        <v>882</v>
      </c>
      <c r="F242" s="481" t="s">
        <v>939</v>
      </c>
      <c r="G242" s="481" t="str">
        <f aca="false">J242</f>
        <v>Noruega</v>
      </c>
      <c r="H242" s="481" t="str">
        <f aca="false">K242</f>
        <v>Norway</v>
      </c>
      <c r="I242" s="31" t="s">
        <v>663</v>
      </c>
      <c r="J242" s="120" t="str">
        <f aca="true">IF(Home!$K$23=$D$1419,O242,
IF(AND(Home!$K$23&lt;&gt;$D$1419,TODAY()&lt;=Horarios!$A$4),O242,$D$1420))</f>
        <v>Noruega</v>
      </c>
      <c r="K242" s="120" t="str">
        <f aca="true">IF(Home!$K$23=$D$1419,P242,
IF(AND(Home!$K$23&lt;&gt;$D$1419,TODAY()&lt;=Horarios!$A$4),P242,$D$1420))</f>
        <v>Norway</v>
      </c>
      <c r="O242" s="491" t="s">
        <v>364</v>
      </c>
      <c r="P242" s="491" t="s">
        <v>940</v>
      </c>
    </row>
    <row r="243" customFormat="false" ht="15" hidden="false" customHeight="false" outlineLevel="0" collapsed="false">
      <c r="B243" s="481" t="n">
        <v>32</v>
      </c>
      <c r="C243" s="481" t="n">
        <v>28</v>
      </c>
      <c r="D243" s="481" t="str">
        <f aca="false">IF($B$2,G243,H243)</f>
        <v>Nueva Zelanda</v>
      </c>
      <c r="E243" s="481" t="s">
        <v>882</v>
      </c>
      <c r="F243" s="481" t="s">
        <v>941</v>
      </c>
      <c r="G243" s="481" t="str">
        <f aca="false">J243</f>
        <v>Nueva Zelanda</v>
      </c>
      <c r="H243" s="481" t="str">
        <f aca="false">K243</f>
        <v>New Zealand</v>
      </c>
      <c r="I243" s="31" t="s">
        <v>287</v>
      </c>
      <c r="J243" s="120" t="str">
        <f aca="true">IF(Home!$K$23=$D$1419,O243,
IF(AND(Home!$K$23&lt;&gt;$D$1419,TODAY()&lt;=Horarios!$A$4),O243,$D$1420))</f>
        <v>Nueva Zelanda</v>
      </c>
      <c r="K243" s="120" t="str">
        <f aca="true">IF(Home!$K$23=$D$1419,P243,
IF(AND(Home!$K$23&lt;&gt;$D$1419,TODAY()&lt;=Horarios!$A$4),P243,$D$1420))</f>
        <v>New Zealand</v>
      </c>
      <c r="O243" s="491" t="s">
        <v>358</v>
      </c>
      <c r="P243" s="491" t="s">
        <v>942</v>
      </c>
    </row>
    <row r="244" customFormat="false" ht="15" hidden="false" customHeight="false" outlineLevel="0" collapsed="false">
      <c r="B244" s="481" t="n">
        <v>33</v>
      </c>
      <c r="C244" s="481" t="n">
        <v>21</v>
      </c>
      <c r="D244" s="481" t="str">
        <f aca="false">IF($B$2,G244,H244)</f>
        <v>Países Bajos</v>
      </c>
      <c r="E244" s="481" t="s">
        <v>882</v>
      </c>
      <c r="F244" s="481" t="s">
        <v>943</v>
      </c>
      <c r="G244" s="481" t="str">
        <f aca="false">J244</f>
        <v>Países Bajos</v>
      </c>
      <c r="H244" s="481" t="str">
        <f aca="false">K244</f>
        <v>Netherlands</v>
      </c>
      <c r="I244" s="31" t="s">
        <v>303</v>
      </c>
      <c r="J244" s="120" t="str">
        <f aca="true">IF(Home!$K$23=$D$1419,O244,
IF(AND(Home!$K$23&lt;&gt;$D$1419,TODAY()&lt;=Horarios!$A$4),O244,$D$1420))</f>
        <v>Países Bajos</v>
      </c>
      <c r="K244" s="120" t="str">
        <f aca="true">IF(Home!$K$23=$D$1419,P244,
IF(AND(Home!$K$23&lt;&gt;$D$1419,TODAY()&lt;=Horarios!$A$4),P244,$D$1420))</f>
        <v>Netherlands</v>
      </c>
      <c r="O244" s="491" t="s">
        <v>351</v>
      </c>
      <c r="P244" s="491" t="s">
        <v>944</v>
      </c>
    </row>
    <row r="245" customFormat="false" ht="15" hidden="false" customHeight="false" outlineLevel="0" collapsed="false">
      <c r="B245" s="481" t="n">
        <v>34</v>
      </c>
      <c r="C245" s="481" t="n">
        <v>48</v>
      </c>
      <c r="D245" s="481" t="str">
        <f aca="false">IF($B$2,G245,H245)</f>
        <v>Panamá</v>
      </c>
      <c r="E245" s="481" t="s">
        <v>882</v>
      </c>
      <c r="F245" s="481" t="s">
        <v>945</v>
      </c>
      <c r="G245" s="481" t="str">
        <f aca="false">J245</f>
        <v>Panamá</v>
      </c>
      <c r="H245" s="481" t="str">
        <f aca="false">K245</f>
        <v>Panama</v>
      </c>
      <c r="I245" s="31" t="s">
        <v>321</v>
      </c>
      <c r="J245" s="120" t="str">
        <f aca="true">IF(Home!$K$23=$D$1419,O245,
IF(AND(Home!$K$23&lt;&gt;$D$1419,TODAY()&lt;=Horarios!$A$4),O245,$D$1420))</f>
        <v>Panamá</v>
      </c>
      <c r="K245" s="120" t="str">
        <f aca="true">IF(Home!$K$23=$D$1419,P245,
IF(AND(Home!$K$23&lt;&gt;$D$1419,TODAY()&lt;=Horarios!$A$4),P245,$D$1420))</f>
        <v>Panama</v>
      </c>
      <c r="O245" s="491" t="s">
        <v>377</v>
      </c>
      <c r="P245" s="491" t="s">
        <v>946</v>
      </c>
    </row>
    <row r="246" customFormat="false" ht="15" hidden="false" customHeight="false" outlineLevel="0" collapsed="false">
      <c r="B246" s="481" t="n">
        <v>35</v>
      </c>
      <c r="C246" s="481" t="n">
        <v>14</v>
      </c>
      <c r="D246" s="481" t="str">
        <f aca="false">IF($B$2,G246,H246)</f>
        <v>Paraguay</v>
      </c>
      <c r="E246" s="481" t="s">
        <v>882</v>
      </c>
      <c r="F246" s="481" t="s">
        <v>947</v>
      </c>
      <c r="G246" s="481" t="str">
        <f aca="false">J246</f>
        <v>Paraguay</v>
      </c>
      <c r="H246" s="481" t="str">
        <f aca="false">K246</f>
        <v>Paraguay</v>
      </c>
      <c r="I246" s="31" t="s">
        <v>948</v>
      </c>
      <c r="J246" s="120" t="str">
        <f aca="true">IF(Home!$K$23=$D$1419,O246,
IF(AND(Home!$K$23&lt;&gt;$D$1419,TODAY()&lt;=Horarios!$A$4),O246,$D$1420))</f>
        <v>Paraguay</v>
      </c>
      <c r="K246" s="120" t="str">
        <f aca="true">IF(Home!$K$23=$D$1419,P246,
IF(AND(Home!$K$23&lt;&gt;$D$1419,TODAY()&lt;=Horarios!$A$4),P246,$D$1420))</f>
        <v>Paraguay</v>
      </c>
      <c r="O246" s="491" t="s">
        <v>345</v>
      </c>
      <c r="P246" s="491" t="s">
        <v>345</v>
      </c>
    </row>
    <row r="247" customFormat="false" ht="15" hidden="false" customHeight="false" outlineLevel="0" collapsed="false">
      <c r="B247" s="481" t="n">
        <v>36</v>
      </c>
      <c r="C247" s="481" t="n">
        <v>41</v>
      </c>
      <c r="D247" s="481" t="str">
        <f aca="false">IF($B$2,G247,H247)</f>
        <v>Portugal</v>
      </c>
      <c r="E247" s="481" t="s">
        <v>882</v>
      </c>
      <c r="F247" s="481" t="s">
        <v>949</v>
      </c>
      <c r="G247" s="481" t="str">
        <f aca="false">J247</f>
        <v>Portugal</v>
      </c>
      <c r="H247" s="481" t="str">
        <f aca="false">K247</f>
        <v>Portugal</v>
      </c>
      <c r="I247" s="31" t="s">
        <v>289</v>
      </c>
      <c r="J247" s="120" t="str">
        <f aca="true">IF(Home!$K$23=$D$1419,O247,
IF(AND(Home!$K$23&lt;&gt;$D$1419,TODAY()&lt;=Horarios!$A$4),O247,$D$1420))</f>
        <v>Portugal</v>
      </c>
      <c r="K247" s="120" t="str">
        <f aca="true">IF(Home!$K$23=$D$1419,P247,
IF(AND(Home!$K$23&lt;&gt;$D$1419,TODAY()&lt;=Horarios!$A$4),P247,$D$1420))</f>
        <v>Portugal</v>
      </c>
      <c r="O247" s="491" t="s">
        <v>370</v>
      </c>
      <c r="P247" s="491" t="s">
        <v>370</v>
      </c>
    </row>
    <row r="248" customFormat="false" ht="15" hidden="false" customHeight="false" outlineLevel="0" collapsed="false">
      <c r="B248" s="481" t="n">
        <v>37</v>
      </c>
      <c r="C248" s="481" t="n">
        <v>34</v>
      </c>
      <c r="D248" s="481" t="str">
        <f aca="false">IF($B$2,G248,H248)</f>
        <v>Senegal</v>
      </c>
      <c r="E248" s="481" t="s">
        <v>882</v>
      </c>
      <c r="F248" s="481" t="s">
        <v>950</v>
      </c>
      <c r="G248" s="481" t="str">
        <f aca="false">J248</f>
        <v>Senegal</v>
      </c>
      <c r="H248" s="481" t="str">
        <f aca="false">K248</f>
        <v>Senegal</v>
      </c>
      <c r="I248" s="31" t="s">
        <v>305</v>
      </c>
      <c r="J248" s="120" t="str">
        <f aca="true">IF(Home!$K$23=$D$1419,O248,
IF(AND(Home!$K$23&lt;&gt;$D$1419,TODAY()&lt;=Horarios!$A$4),O248,$D$1420))</f>
        <v>Senegal</v>
      </c>
      <c r="K248" s="120" t="str">
        <f aca="true">IF(Home!$K$23=$D$1419,P248,
IF(AND(Home!$K$23&lt;&gt;$D$1419,TODAY()&lt;=Horarios!$A$4),P248,$D$1420))</f>
        <v>Senegal</v>
      </c>
      <c r="O248" s="491" t="s">
        <v>363</v>
      </c>
      <c r="P248" s="491" t="s">
        <v>363</v>
      </c>
    </row>
    <row r="249" customFormat="false" ht="15" hidden="false" customHeight="false" outlineLevel="0" collapsed="false">
      <c r="B249" s="481" t="n">
        <v>38</v>
      </c>
      <c r="C249" s="481" t="n">
        <v>2</v>
      </c>
      <c r="D249" s="481" t="str">
        <f aca="false">IF($B$2,G249,H249)</f>
        <v>Sudáfrica</v>
      </c>
      <c r="E249" s="481" t="s">
        <v>882</v>
      </c>
      <c r="F249" s="481" t="s">
        <v>951</v>
      </c>
      <c r="G249" s="481" t="str">
        <f aca="false">J249</f>
        <v>Sudáfrica</v>
      </c>
      <c r="H249" s="481" t="str">
        <f aca="false">K249</f>
        <v>South Africa</v>
      </c>
      <c r="I249" s="31" t="s">
        <v>323</v>
      </c>
      <c r="J249" s="120" t="str">
        <f aca="true">IF(Home!$K$23=$D$1419,O249,
IF(AND(Home!$K$23&lt;&gt;$D$1419,TODAY()&lt;=Horarios!$A$4),O249,$D$1420))</f>
        <v>Sudáfrica</v>
      </c>
      <c r="K249" s="120" t="str">
        <f aca="true">IF(Home!$K$23=$D$1419,P249,
IF(AND(Home!$K$23&lt;&gt;$D$1419,TODAY()&lt;=Horarios!$A$4),P249,$D$1420))</f>
        <v>South Africa</v>
      </c>
      <c r="O249" s="491" t="s">
        <v>334</v>
      </c>
      <c r="P249" s="491" t="s">
        <v>952</v>
      </c>
    </row>
    <row r="250" customFormat="false" ht="15" hidden="false" customHeight="false" outlineLevel="0" collapsed="false">
      <c r="B250" s="481" t="n">
        <v>39</v>
      </c>
      <c r="C250" s="481" t="n">
        <v>8</v>
      </c>
      <c r="D250" s="481" t="str">
        <f aca="false">IF($B$2,G250,H250)</f>
        <v>Suiza</v>
      </c>
      <c r="E250" s="481" t="s">
        <v>882</v>
      </c>
      <c r="F250" s="481" t="s">
        <v>953</v>
      </c>
      <c r="G250" s="481" t="str">
        <f aca="false">J250</f>
        <v>Suiza</v>
      </c>
      <c r="H250" s="481" t="str">
        <f aca="false">K250</f>
        <v>Switzerland</v>
      </c>
      <c r="I250" s="31" t="s">
        <v>424</v>
      </c>
      <c r="J250" s="120" t="str">
        <f aca="true">IF(Home!$K$23=$D$1419,O250,
IF(AND(Home!$K$23&lt;&gt;$D$1419,TODAY()&lt;=Horarios!$A$4),O250,$D$1420))</f>
        <v>Suiza</v>
      </c>
      <c r="K250" s="120" t="str">
        <f aca="true">IF(Home!$K$23=$D$1419,P250,
IF(AND(Home!$K$23&lt;&gt;$D$1419,TODAY()&lt;=Horarios!$A$4),P250,$D$1420))</f>
        <v>Switzerland</v>
      </c>
      <c r="O250" s="491" t="s">
        <v>336</v>
      </c>
      <c r="P250" s="491" t="s">
        <v>954</v>
      </c>
    </row>
    <row r="251" customFormat="false" ht="15" hidden="false" customHeight="false" outlineLevel="0" collapsed="false">
      <c r="B251" s="481" t="n">
        <v>40</v>
      </c>
      <c r="C251" s="481" t="n">
        <v>24</v>
      </c>
      <c r="D251" s="481" t="str">
        <f aca="false">IF($B$2,G251,H251)</f>
        <v>Túnez</v>
      </c>
      <c r="E251" s="481" t="s">
        <v>882</v>
      </c>
      <c r="F251" s="481" t="s">
        <v>955</v>
      </c>
      <c r="G251" s="481" t="str">
        <f aca="false">J251</f>
        <v>Túnez</v>
      </c>
      <c r="H251" s="481" t="str">
        <f aca="false">K251</f>
        <v>Tunisia</v>
      </c>
      <c r="I251" s="31" t="s">
        <v>290</v>
      </c>
      <c r="J251" s="120" t="str">
        <f aca="true">IF(Home!$K$23=$D$1419,O251,
IF(AND(Home!$K$23&lt;&gt;$D$1419,TODAY()&lt;=Horarios!$A$4),O251,$D$1420))</f>
        <v>Túnez</v>
      </c>
      <c r="K251" s="120" t="str">
        <f aca="true">IF(Home!$K$23=$D$1419,P251,
IF(AND(Home!$K$23&lt;&gt;$D$1419,TODAY()&lt;=Horarios!$A$4),P251,$D$1420))</f>
        <v>Tunisia</v>
      </c>
      <c r="O251" s="491" t="s">
        <v>354</v>
      </c>
      <c r="P251" s="491" t="s">
        <v>956</v>
      </c>
    </row>
    <row r="252" customFormat="false" ht="15" hidden="false" customHeight="false" outlineLevel="0" collapsed="false">
      <c r="B252" s="481" t="n">
        <v>41</v>
      </c>
      <c r="C252" s="481" t="n">
        <v>32</v>
      </c>
      <c r="D252" s="481" t="str">
        <f aca="false">IF($B$2,G252,H252)</f>
        <v>Uruguay</v>
      </c>
      <c r="E252" s="481" t="s">
        <v>882</v>
      </c>
      <c r="F252" s="481" t="s">
        <v>957</v>
      </c>
      <c r="G252" s="481" t="str">
        <f aca="false">J252</f>
        <v>Uruguay</v>
      </c>
      <c r="H252" s="481" t="str">
        <f aca="false">K252</f>
        <v>Uruguay</v>
      </c>
      <c r="I252" s="31" t="s">
        <v>306</v>
      </c>
      <c r="J252" s="120" t="str">
        <f aca="true">IF(Home!$K$23=$D$1419,O252,
IF(AND(Home!$K$23&lt;&gt;$D$1419,TODAY()&lt;=Horarios!$A$4),O252,$D$1420))</f>
        <v>Uruguay</v>
      </c>
      <c r="K252" s="120" t="str">
        <f aca="true">IF(Home!$K$23=$D$1419,P252,
IF(AND(Home!$K$23&lt;&gt;$D$1419,TODAY()&lt;=Horarios!$A$4),P252,$D$1420))</f>
        <v>Uruguay</v>
      </c>
      <c r="O252" s="491" t="s">
        <v>359</v>
      </c>
      <c r="P252" s="491" t="s">
        <v>359</v>
      </c>
    </row>
    <row r="253" customFormat="false" ht="15" hidden="false" customHeight="false" outlineLevel="0" collapsed="false">
      <c r="B253" s="481" t="n">
        <v>42</v>
      </c>
      <c r="C253" s="481" t="n">
        <v>43</v>
      </c>
      <c r="D253" s="481" t="str">
        <f aca="false">IF($B$2,G253,H253)</f>
        <v>Uzbekistán</v>
      </c>
      <c r="E253" s="481" t="s">
        <v>882</v>
      </c>
      <c r="F253" s="481" t="s">
        <v>958</v>
      </c>
      <c r="G253" s="481" t="str">
        <f aca="false">J253</f>
        <v>Uzbekistán</v>
      </c>
      <c r="H253" s="481" t="str">
        <f aca="false">K253</f>
        <v>Uzbekistan</v>
      </c>
      <c r="I253" s="31" t="s">
        <v>324</v>
      </c>
      <c r="J253" s="120" t="str">
        <f aca="true">IF(Home!$K$23=$D$1419,O253,
IF(AND(Home!$K$23&lt;&gt;$D$1419,TODAY()&lt;=Horarios!$A$4),O253,$D$1420))</f>
        <v>Uzbekistán</v>
      </c>
      <c r="K253" s="120" t="str">
        <f aca="true">IF(Home!$K$23=$D$1419,P253,
IF(AND(Home!$K$23&lt;&gt;$D$1419,TODAY()&lt;=Horarios!$A$4),P253,$D$1420))</f>
        <v>Uzbekistan</v>
      </c>
      <c r="O253" s="491" t="s">
        <v>373</v>
      </c>
      <c r="P253" s="491" t="s">
        <v>959</v>
      </c>
    </row>
    <row r="254" customFormat="false" ht="15" hidden="false" customHeight="false" outlineLevel="0" collapsed="false">
      <c r="B254" s="481" t="n">
        <v>43</v>
      </c>
      <c r="C254" s="481" t="n">
        <v>42</v>
      </c>
      <c r="D254" s="481" t="str">
        <f aca="false">IF($B$2,G254,H254)</f>
        <v>RD Congo</v>
      </c>
      <c r="E254" s="481" t="s">
        <v>882</v>
      </c>
      <c r="F254" s="481" t="s">
        <v>960</v>
      </c>
      <c r="G254" s="481" t="str">
        <f aca="false">J254</f>
        <v>RD Congo</v>
      </c>
      <c r="H254" s="481" t="str">
        <f aca="false">K254</f>
        <v>DR Congo</v>
      </c>
      <c r="I254" s="31" t="s">
        <v>961</v>
      </c>
      <c r="J254" s="120" t="str">
        <f aca="true">IF(Home!$K$23=$D$1419,O254,
IF(AND(Home!$K$23&lt;&gt;$D$1419,TODAY()&lt;=Horarios!$A$4),O254,$D$1420))</f>
        <v>RD Congo</v>
      </c>
      <c r="K254" s="120" t="str">
        <f aca="true">IF(Home!$K$23=$D$1419,P254,
IF(AND(Home!$K$23&lt;&gt;$D$1419,TODAY()&lt;=Horarios!$A$4),P254,$D$1420))</f>
        <v>DR Congo</v>
      </c>
      <c r="O254" s="120" t="s">
        <v>372</v>
      </c>
      <c r="P254" s="120" t="s">
        <v>962</v>
      </c>
    </row>
    <row r="255" customFormat="false" ht="15" hidden="false" customHeight="false" outlineLevel="0" collapsed="false">
      <c r="B255" s="481" t="n">
        <v>44</v>
      </c>
      <c r="C255" s="481" t="n">
        <v>35</v>
      </c>
      <c r="D255" s="481" t="str">
        <f aca="false">IF($B$2,G255,H255)</f>
        <v>Irak</v>
      </c>
      <c r="E255" s="481" t="s">
        <v>882</v>
      </c>
      <c r="F255" s="481" t="s">
        <v>963</v>
      </c>
      <c r="G255" s="481" t="str">
        <f aca="false">J255</f>
        <v>Irak</v>
      </c>
      <c r="H255" s="481" t="str">
        <f aca="false">K255</f>
        <v>Iraq</v>
      </c>
      <c r="I255" s="31" t="s">
        <v>291</v>
      </c>
      <c r="J255" s="120" t="str">
        <f aca="true">IF(Home!$K$23=$D$1419,O255,
IF(AND(Home!$K$23&lt;&gt;$D$1419,TODAY()&lt;=Horarios!$A$4),O255,$D$1420))</f>
        <v>Irak</v>
      </c>
      <c r="K255" s="120" t="str">
        <f aca="true">IF(Home!$K$23=$D$1419,P255,
IF(AND(Home!$K$23&lt;&gt;$D$1419,TODAY()&lt;=Horarios!$A$4),P255,$D$1420))</f>
        <v>Iraq</v>
      </c>
      <c r="O255" s="120" t="s">
        <v>365</v>
      </c>
      <c r="P255" s="120" t="s">
        <v>964</v>
      </c>
    </row>
    <row r="256" customFormat="false" ht="15" hidden="false" customHeight="false" outlineLevel="0" collapsed="false">
      <c r="B256" s="481" t="n">
        <v>45</v>
      </c>
      <c r="C256" s="481" t="n">
        <v>6</v>
      </c>
      <c r="D256" s="481" t="str">
        <f aca="false">IF($B$2,G256,H256)</f>
        <v>Bosnia y Herzegovina</v>
      </c>
      <c r="E256" s="481" t="s">
        <v>882</v>
      </c>
      <c r="F256" s="481" t="s">
        <v>965</v>
      </c>
      <c r="G256" s="481" t="str">
        <f aca="false">J256</f>
        <v>Bosnia y Herzegovina</v>
      </c>
      <c r="H256" s="481" t="str">
        <f aca="false">K256</f>
        <v>Bosnia and Herzegovina</v>
      </c>
      <c r="I256" s="31" t="s">
        <v>307</v>
      </c>
      <c r="J256" s="120" t="str">
        <f aca="true">IF(Home!$K$23=$D$1419,O256,
IF(AND(Home!$K$23&lt;&gt;$D$1419,TODAY()&lt;=Horarios!$A$4),O256,$D$1420))</f>
        <v>Bosnia y Herzegovina</v>
      </c>
      <c r="K256" s="120" t="str">
        <f aca="true">IF(Home!$K$23=$D$1419,P256,
IF(AND(Home!$K$23&lt;&gt;$D$1419,TODAY()&lt;=Horarios!$A$4),P256,$D$1420))</f>
        <v>Bosnia and Herzegovina</v>
      </c>
      <c r="O256" s="120" t="s">
        <v>335</v>
      </c>
      <c r="P256" s="120" t="s">
        <v>966</v>
      </c>
    </row>
    <row r="257" customFormat="false" ht="15" hidden="false" customHeight="false" outlineLevel="0" collapsed="false">
      <c r="B257" s="481" t="n">
        <v>46</v>
      </c>
      <c r="C257" s="481" t="n">
        <v>23</v>
      </c>
      <c r="D257" s="481" t="str">
        <f aca="false">IF($B$2,G257,H257)</f>
        <v>Suecia</v>
      </c>
      <c r="E257" s="481" t="s">
        <v>882</v>
      </c>
      <c r="F257" s="481" t="s">
        <v>967</v>
      </c>
      <c r="G257" s="481" t="str">
        <f aca="false">J257</f>
        <v>Suecia</v>
      </c>
      <c r="H257" s="481" t="str">
        <f aca="false">K257</f>
        <v>Sweden</v>
      </c>
      <c r="I257" s="31" t="s">
        <v>326</v>
      </c>
      <c r="J257" s="120" t="str">
        <f aca="true">IF(Home!$K$23=$D$1419,O257,
IF(AND(Home!$K$23&lt;&gt;$D$1419,TODAY()&lt;=Horarios!$A$4),O257,$D$1420))</f>
        <v>Suecia</v>
      </c>
      <c r="K257" s="120" t="str">
        <f aca="true">IF(Home!$K$23=$D$1419,P257,
IF(AND(Home!$K$23&lt;&gt;$D$1419,TODAY()&lt;=Horarios!$A$4),P257,$D$1420))</f>
        <v>Sweden</v>
      </c>
      <c r="O257" s="120" t="s">
        <v>352</v>
      </c>
      <c r="P257" s="120" t="s">
        <v>968</v>
      </c>
    </row>
    <row r="258" customFormat="false" ht="15" hidden="false" customHeight="false" outlineLevel="0" collapsed="false">
      <c r="B258" s="481" t="n">
        <v>47</v>
      </c>
      <c r="C258" s="481" t="n">
        <v>16</v>
      </c>
      <c r="D258" s="481" t="str">
        <f aca="false">IF($B$2,G258,H258)</f>
        <v>Turquía</v>
      </c>
      <c r="E258" s="481" t="s">
        <v>882</v>
      </c>
      <c r="F258" s="481" t="s">
        <v>969</v>
      </c>
      <c r="G258" s="481" t="str">
        <f aca="false">J258</f>
        <v>Turquía</v>
      </c>
      <c r="H258" s="481" t="str">
        <f aca="false">K258</f>
        <v>Turkey</v>
      </c>
      <c r="I258" s="31" t="s">
        <v>970</v>
      </c>
      <c r="J258" s="120" t="str">
        <f aca="true">IF(Home!$K$23=$D$1419,O258,
IF(AND(Home!$K$23&lt;&gt;$D$1419,TODAY()&lt;=Horarios!$A$4),O258,$D$1420))</f>
        <v>Turquía</v>
      </c>
      <c r="K258" s="120" t="str">
        <f aca="true">IF(Home!$K$23=$D$1419,P258,
IF(AND(Home!$K$23&lt;&gt;$D$1419,TODAY()&lt;=Horarios!$A$4),P258,$D$1420))</f>
        <v>Turkey</v>
      </c>
      <c r="O258" s="120" t="s">
        <v>343</v>
      </c>
      <c r="P258" s="120" t="s">
        <v>971</v>
      </c>
    </row>
    <row r="259" customFormat="false" ht="15" hidden="false" customHeight="false" outlineLevel="0" collapsed="false">
      <c r="B259" s="481" t="n">
        <v>48</v>
      </c>
      <c r="C259" s="481" t="n">
        <v>4</v>
      </c>
      <c r="D259" s="481" t="str">
        <f aca="false">IF($B$2,G259,H259)</f>
        <v>República Checa</v>
      </c>
      <c r="E259" s="481" t="s">
        <v>882</v>
      </c>
      <c r="F259" s="481" t="s">
        <v>972</v>
      </c>
      <c r="G259" s="481" t="str">
        <f aca="false">J259</f>
        <v>República Checa</v>
      </c>
      <c r="H259" s="481" t="str">
        <f aca="false">K259</f>
        <v>Czech Republic</v>
      </c>
      <c r="I259" s="31" t="s">
        <v>292</v>
      </c>
      <c r="J259" s="120" t="str">
        <f aca="true">IF(Home!$K$23=$D$1419,O259,
IF(AND(Home!$K$23&lt;&gt;$D$1419,TODAY()&lt;=Horarios!$A$4),O259,$D$1420))</f>
        <v>República Checa</v>
      </c>
      <c r="K259" s="120" t="str">
        <f aca="true">IF(Home!$K$23=$D$1419,P259,
IF(AND(Home!$K$23&lt;&gt;$D$1419,TODAY()&lt;=Horarios!$A$4),P259,$D$1420))</f>
        <v>Czech Republic</v>
      </c>
      <c r="O259" s="120" t="s">
        <v>332</v>
      </c>
      <c r="P259" s="120" t="s">
        <v>973</v>
      </c>
    </row>
    <row r="260" customFormat="false" ht="15" hidden="false" customHeight="false" outlineLevel="0" collapsed="false">
      <c r="D260" s="481" t="str">
        <f aca="false">IF($B$2,G260,H260)</f>
        <v>Dieciseisavos de final</v>
      </c>
      <c r="G260" s="481" t="s">
        <v>473</v>
      </c>
      <c r="H260" s="481" t="s">
        <v>474</v>
      </c>
    </row>
    <row r="261" customFormat="false" ht="15" hidden="false" customHeight="false" outlineLevel="0" collapsed="false">
      <c r="D261" s="481" t="str">
        <f aca="false">IF($B$2,G261,H261)</f>
        <v>Octavos de final</v>
      </c>
      <c r="G261" s="481" t="s">
        <v>476</v>
      </c>
      <c r="H261" s="481" t="s">
        <v>974</v>
      </c>
    </row>
    <row r="262" customFormat="false" ht="15" hidden="false" customHeight="false" outlineLevel="0" collapsed="false">
      <c r="D262" s="481" t="str">
        <f aca="false">IF($B$2,G262,H262)</f>
        <v>Cuartos de final</v>
      </c>
      <c r="G262" s="481" t="s">
        <v>479</v>
      </c>
      <c r="H262" s="481" t="s">
        <v>480</v>
      </c>
    </row>
    <row r="263" customFormat="false" ht="15" hidden="false" customHeight="false" outlineLevel="0" collapsed="false">
      <c r="D263" s="481" t="str">
        <f aca="false">IF($B$2,G263,H263)</f>
        <v>Semifinales</v>
      </c>
      <c r="G263" s="481" t="s">
        <v>482</v>
      </c>
      <c r="H263" s="481" t="s">
        <v>483</v>
      </c>
    </row>
    <row r="264" customFormat="false" ht="15" hidden="false" customHeight="false" outlineLevel="0" collapsed="false">
      <c r="D264" s="481" t="str">
        <f aca="false">IF($B$2,G264,H264)</f>
        <v>3-4 &amp; Final</v>
      </c>
      <c r="G264" s="481" t="s">
        <v>975</v>
      </c>
      <c r="H264" s="481" t="s">
        <v>975</v>
      </c>
    </row>
    <row r="266" customFormat="false" ht="15" hidden="false" customHeight="false" outlineLevel="0" collapsed="false">
      <c r="A266" s="481" t="s">
        <v>976</v>
      </c>
      <c r="D266" s="481" t="str">
        <f aca="false">IF($B$2,G266,H266)</f>
        <v>Estados Unidos</v>
      </c>
      <c r="E266" s="481" t="s">
        <v>977</v>
      </c>
      <c r="F266" s="481" t="s">
        <v>978</v>
      </c>
      <c r="G266" s="481" t="s">
        <v>344</v>
      </c>
      <c r="H266" s="481" t="s">
        <v>921</v>
      </c>
    </row>
    <row r="269" customFormat="false" ht="15" hidden="false" customHeight="false" outlineLevel="0" collapsed="false">
      <c r="D269" s="481" t="str">
        <f aca="false">IF($B$2,G269,H269)</f>
        <v>Campeón</v>
      </c>
      <c r="E269" s="481" t="s">
        <v>979</v>
      </c>
      <c r="G269" s="481" t="s">
        <v>492</v>
      </c>
      <c r="H269" s="484" t="s">
        <v>493</v>
      </c>
    </row>
    <row r="270" customFormat="false" ht="15" hidden="false" customHeight="false" outlineLevel="0" collapsed="false">
      <c r="D270" s="481" t="str">
        <f aca="false">IF($B$2,G270,H270)</f>
        <v>Subcampeón</v>
      </c>
      <c r="E270" s="481" t="s">
        <v>979</v>
      </c>
      <c r="G270" s="481" t="s">
        <v>495</v>
      </c>
      <c r="H270" s="481" t="s">
        <v>496</v>
      </c>
    </row>
    <row r="271" customFormat="false" ht="15" hidden="false" customHeight="false" outlineLevel="0" collapsed="false">
      <c r="D271" s="481" t="str">
        <f aca="false">IF($B$2,G271,H271)</f>
        <v>3º puesto</v>
      </c>
      <c r="E271" s="481" t="s">
        <v>979</v>
      </c>
      <c r="G271" s="481" t="s">
        <v>497</v>
      </c>
      <c r="H271" s="481" t="s">
        <v>498</v>
      </c>
    </row>
    <row r="272" customFormat="false" ht="15" hidden="false" customHeight="false" outlineLevel="0" collapsed="false">
      <c r="D272" s="481" t="str">
        <f aca="false">IF($B$2,G272,H272)</f>
        <v>Semifinales</v>
      </c>
      <c r="E272" s="481" t="s">
        <v>979</v>
      </c>
      <c r="G272" s="481" t="s">
        <v>482</v>
      </c>
      <c r="H272" s="484" t="s">
        <v>483</v>
      </c>
    </row>
    <row r="273" customFormat="false" ht="15" hidden="false" customHeight="false" outlineLevel="0" collapsed="false">
      <c r="D273" s="481" t="str">
        <f aca="false">IF($B$2,G273,H273)</f>
        <v>Cuartos de final</v>
      </c>
      <c r="E273" s="481" t="s">
        <v>979</v>
      </c>
      <c r="G273" s="481" t="s">
        <v>479</v>
      </c>
      <c r="H273" s="484" t="s">
        <v>480</v>
      </c>
    </row>
    <row r="274" customFormat="false" ht="15" hidden="false" customHeight="false" outlineLevel="0" collapsed="false">
      <c r="D274" s="481" t="str">
        <f aca="false">IF($B$2,G274,H274)</f>
        <v>Octavos de final</v>
      </c>
      <c r="E274" s="481" t="s">
        <v>979</v>
      </c>
      <c r="G274" s="481" t="s">
        <v>476</v>
      </c>
      <c r="H274" s="484" t="s">
        <v>477</v>
      </c>
    </row>
    <row r="275" customFormat="false" ht="15" hidden="false" customHeight="false" outlineLevel="0" collapsed="false">
      <c r="D275" s="481" t="str">
        <f aca="false">IF($B$2,G275,H275)</f>
        <v>Dieciseisavos de final</v>
      </c>
      <c r="E275" s="481" t="s">
        <v>979</v>
      </c>
      <c r="G275" s="481" t="s">
        <v>473</v>
      </c>
      <c r="H275" s="481" t="s">
        <v>474</v>
      </c>
    </row>
    <row r="276" customFormat="false" ht="15" hidden="false" customHeight="false" outlineLevel="0" collapsed="false">
      <c r="D276" s="481" t="str">
        <f aca="false">IF($B$2,G276,H276)</f>
        <v>Fase de grupos</v>
      </c>
      <c r="E276" s="481" t="s">
        <v>979</v>
      </c>
      <c r="G276" s="481" t="s">
        <v>980</v>
      </c>
      <c r="H276" s="484" t="s">
        <v>981</v>
      </c>
    </row>
    <row r="277" customFormat="false" ht="15" hidden="false" customHeight="false" outlineLevel="0" collapsed="false">
      <c r="D277" s="481" t="str">
        <f aca="false">IF($B$2,G277,H277)</f>
        <v>Pronóstica la ronda</v>
      </c>
      <c r="E277" s="481" t="s">
        <v>979</v>
      </c>
      <c r="G277" s="484" t="s">
        <v>982</v>
      </c>
      <c r="H277" s="484" t="s">
        <v>983</v>
      </c>
    </row>
    <row r="278" customFormat="false" ht="15" hidden="false" customHeight="false" outlineLevel="0" collapsed="false">
      <c r="D278" s="481" t="str">
        <f aca="false">IF($B$2,G278,H278)</f>
        <v>Predice la selección</v>
      </c>
      <c r="E278" s="481" t="s">
        <v>979</v>
      </c>
      <c r="G278" s="484" t="s">
        <v>984</v>
      </c>
      <c r="H278" s="484" t="s">
        <v>985</v>
      </c>
    </row>
    <row r="279" customFormat="false" ht="15" hidden="false" customHeight="false" outlineLevel="0" collapsed="false">
      <c r="D279" s="481" t="str">
        <f aca="false">IF($B$2,G279,H279)</f>
        <v>Ronda</v>
      </c>
      <c r="E279" s="481" t="s">
        <v>979</v>
      </c>
      <c r="G279" s="484" t="s">
        <v>986</v>
      </c>
      <c r="H279" s="484" t="s">
        <v>987</v>
      </c>
    </row>
    <row r="280" customFormat="false" ht="23.85" hidden="false" customHeight="false" outlineLevel="0" collapsed="false">
      <c r="D280" s="481" t="str">
        <f aca="false">IF($B$2,G280,H280)</f>
        <v>·Selecciona para cada ronda el la selección o selecciones que crees que van a llegar hasta esa ronda.</v>
      </c>
      <c r="E280" s="481" t="s">
        <v>979</v>
      </c>
      <c r="G280" s="481" t="s">
        <v>988</v>
      </c>
      <c r="H280" s="484" t="s">
        <v>989</v>
      </c>
    </row>
    <row r="281" customFormat="false" ht="15" hidden="false" customHeight="false" outlineLevel="0" collapsed="false">
      <c r="D281" s="481" t="str">
        <f aca="false">IF($B$2,G281,H281)</f>
        <v>·Una vez elijas una selección, dejará de aparecer en la lista</v>
      </c>
      <c r="E281" s="481" t="s">
        <v>979</v>
      </c>
      <c r="G281" s="481" t="s">
        <v>990</v>
      </c>
      <c r="H281" s="484" t="s">
        <v>991</v>
      </c>
    </row>
    <row r="282" customFormat="false" ht="15" hidden="false" customHeight="false" outlineLevel="0" collapsed="false">
      <c r="D282" s="481" t="str">
        <f aca="false">IF($B$2,G282,H282)</f>
        <v>·Si has rellenado todos y quieres hacer un cambio, </v>
      </c>
      <c r="E282" s="481" t="s">
        <v>979</v>
      </c>
      <c r="G282" s="481" t="s">
        <v>992</v>
      </c>
      <c r="H282" s="484" t="s">
        <v>993</v>
      </c>
    </row>
    <row r="283" customFormat="false" ht="15" hidden="false" customHeight="false" outlineLevel="0" collapsed="false">
      <c r="D283" s="481" t="str">
        <f aca="false">IF($B$2,G283,H283)</f>
        <v> borra las selecciones que quieras cambiar y podrás volver a elegirlas</v>
      </c>
      <c r="E283" s="481" t="s">
        <v>979</v>
      </c>
      <c r="G283" s="481" t="s">
        <v>994</v>
      </c>
      <c r="H283" s="484" t="s">
        <v>995</v>
      </c>
    </row>
    <row r="284" customFormat="false" ht="15" hidden="false" customHeight="false" outlineLevel="0" collapsed="false">
      <c r="D284" s="481" t="str">
        <f aca="false">IF($B$2,G284,H284)</f>
        <v>Rellenar antes del comienzo del Mundial</v>
      </c>
      <c r="E284" s="481" t="s">
        <v>979</v>
      </c>
      <c r="G284" s="481" t="s">
        <v>996</v>
      </c>
      <c r="H284" s="484" t="s">
        <v>997</v>
      </c>
    </row>
    <row r="285" customFormat="false" ht="15" hidden="false" customHeight="false" outlineLevel="0" collapsed="false">
      <c r="D285" s="481" t="str">
        <f aca="false">IF($B$2,G285,H285)</f>
        <v>·Si en tu grupo no vais a usar el predictor, puedes dejarlo sin rellenar</v>
      </c>
      <c r="E285" s="481" t="s">
        <v>979</v>
      </c>
      <c r="G285" s="481" t="s">
        <v>998</v>
      </c>
      <c r="H285" s="481" t="s">
        <v>999</v>
      </c>
    </row>
    <row r="299" customFormat="false" ht="15" hidden="false" customHeight="false" outlineLevel="0" collapsed="false">
      <c r="D299" s="481" t="str">
        <f aca="false">IF($B$2,G299,H299)</f>
        <v>Selecciona el Nº de Jugadores</v>
      </c>
      <c r="E299" s="492" t="s">
        <v>1000</v>
      </c>
      <c r="F299" s="492" t="s">
        <v>315</v>
      </c>
      <c r="G299" s="492" t="s">
        <v>1001</v>
      </c>
      <c r="H299" s="492" t="s">
        <v>1002</v>
      </c>
    </row>
    <row r="300" customFormat="false" ht="15" hidden="false" customHeight="false" outlineLevel="0" collapsed="false">
      <c r="D300" s="481" t="str">
        <f aca="false">IF($B$2,G300,H300)</f>
        <v>↓↓ Resultados reales ↓↓</v>
      </c>
      <c r="E300" s="492" t="s">
        <v>1000</v>
      </c>
      <c r="F300" s="492" t="s">
        <v>324</v>
      </c>
      <c r="G300" s="492" t="s">
        <v>1003</v>
      </c>
      <c r="H300" s="492" t="s">
        <v>1004</v>
      </c>
    </row>
    <row r="301" customFormat="false" ht="15" hidden="false" customHeight="false" outlineLevel="0" collapsed="false">
      <c r="D301" s="481" t="str">
        <f aca="false">IF($B$2,G301,H301)</f>
        <v>Regla* (Click para ver la explicación)</v>
      </c>
      <c r="E301" s="492" t="s">
        <v>1000</v>
      </c>
      <c r="F301" s="492" t="s">
        <v>1005</v>
      </c>
      <c r="G301" s="492" t="s">
        <v>1006</v>
      </c>
      <c r="H301" s="492" t="s">
        <v>1007</v>
      </c>
    </row>
    <row r="302" customFormat="false" ht="15" hidden="false" customHeight="false" outlineLevel="0" collapsed="false">
      <c r="D302" s="481" t="str">
        <f aca="false">IF($B$2,G302,H302)</f>
        <v>https://matejero.es/puntuaciones-excel-mundial-2026/</v>
      </c>
      <c r="E302" s="492" t="s">
        <v>1000</v>
      </c>
      <c r="F302" s="492"/>
      <c r="G302" s="493" t="s">
        <v>1008</v>
      </c>
      <c r="H302" s="494" t="s">
        <v>1009</v>
      </c>
    </row>
    <row r="303" customFormat="false" ht="15" hidden="false" customHeight="false" outlineLevel="0" collapsed="false">
      <c r="D303" s="481" t="str">
        <f aca="false">IF($B$2,G303,H303)</f>
        <v>Puntos</v>
      </c>
      <c r="E303" s="492" t="s">
        <v>1000</v>
      </c>
      <c r="F303" s="492" t="s">
        <v>1010</v>
      </c>
      <c r="G303" s="492" t="s">
        <v>1011</v>
      </c>
      <c r="H303" s="492" t="s">
        <v>1012</v>
      </c>
    </row>
    <row r="304" customFormat="false" ht="15" hidden="false" customHeight="false" outlineLevel="0" collapsed="false">
      <c r="D304" s="481" t="str">
        <f aca="false">IF($B$2,G304,H304)</f>
        <v>FASE DE GRUPOS - Signo 1X2 (local, empate, visitante)</v>
      </c>
      <c r="E304" s="492" t="s">
        <v>1000</v>
      </c>
      <c r="F304" s="492" t="s">
        <v>1013</v>
      </c>
      <c r="G304" s="492" t="s">
        <v>1014</v>
      </c>
      <c r="H304" s="492" t="s">
        <v>1015</v>
      </c>
    </row>
    <row r="305" customFormat="false" ht="15" hidden="false" customHeight="false" outlineLevel="0" collapsed="false">
      <c r="D305" s="481" t="str">
        <f aca="false">IF($B$2,G305,H305)</f>
        <v>FASE DE GRUPOS - Diferencia/Distancia de goles (Con 1X2 acertado)</v>
      </c>
      <c r="E305" s="492" t="s">
        <v>1000</v>
      </c>
      <c r="F305" s="492" t="s">
        <v>1016</v>
      </c>
      <c r="G305" s="492" t="s">
        <v>1017</v>
      </c>
      <c r="H305" s="492" t="s">
        <v>1018</v>
      </c>
    </row>
    <row r="306" customFormat="false" ht="15" hidden="false" customHeight="false" outlineLevel="0" collapsed="false">
      <c r="D306" s="481" t="str">
        <f aca="false">IF($B$2,G306,H306)</f>
        <v>FASE DE GRUPOS - Resultado exacto</v>
      </c>
      <c r="E306" s="492" t="s">
        <v>1000</v>
      </c>
      <c r="F306" s="492" t="s">
        <v>1019</v>
      </c>
      <c r="G306" s="492" t="s">
        <v>1020</v>
      </c>
      <c r="H306" s="492" t="s">
        <v>1021</v>
      </c>
    </row>
    <row r="307" customFormat="false" ht="15" hidden="false" customHeight="false" outlineLevel="0" collapsed="false">
      <c r="D307" s="481" t="str">
        <f aca="false">IF($B$2,G307,H307)</f>
        <v>FASE DE GRUPOS - Posición exacta (1º)</v>
      </c>
      <c r="E307" s="492" t="s">
        <v>1000</v>
      </c>
      <c r="F307" s="492" t="s">
        <v>1022</v>
      </c>
      <c r="G307" s="492" t="s">
        <v>1023</v>
      </c>
      <c r="H307" s="492" t="s">
        <v>1024</v>
      </c>
    </row>
    <row r="308" customFormat="false" ht="15" hidden="false" customHeight="false" outlineLevel="0" collapsed="false">
      <c r="D308" s="481" t="str">
        <f aca="false">IF($B$2,G308,H308)</f>
        <v>FASE DE GRUPOS - Posición exacta (2º)</v>
      </c>
      <c r="E308" s="492" t="s">
        <v>1000</v>
      </c>
      <c r="F308" s="492" t="s">
        <v>1025</v>
      </c>
      <c r="G308" s="492" t="s">
        <v>1026</v>
      </c>
      <c r="H308" s="492" t="s">
        <v>1027</v>
      </c>
    </row>
    <row r="309" customFormat="false" ht="15" hidden="false" customHeight="false" outlineLevel="0" collapsed="false">
      <c r="D309" s="481" t="str">
        <f aca="false">IF($B$2,G309,H309)</f>
        <v>FASE DE GRUPOS - Posición exacta (3º)</v>
      </c>
      <c r="E309" s="492" t="s">
        <v>1000</v>
      </c>
      <c r="F309" s="492" t="s">
        <v>1025</v>
      </c>
      <c r="G309" s="492" t="s">
        <v>1028</v>
      </c>
      <c r="H309" s="492" t="s">
        <v>1029</v>
      </c>
    </row>
    <row r="310" customFormat="false" ht="15" hidden="false" customHeight="false" outlineLevel="0" collapsed="false">
      <c r="D310" s="481" t="str">
        <f aca="false">IF($B$2,G310,H310)</f>
        <v>FASE DE GRUPOS - Posición exacta (4º)</v>
      </c>
      <c r="E310" s="492" t="s">
        <v>1000</v>
      </c>
      <c r="F310" s="492" t="s">
        <v>1030</v>
      </c>
      <c r="G310" s="492" t="s">
        <v>1031</v>
      </c>
      <c r="H310" s="492" t="s">
        <v>1032</v>
      </c>
    </row>
    <row r="311" customFormat="false" ht="15" hidden="false" customHeight="false" outlineLevel="0" collapsed="false">
      <c r="D311" s="481" t="str">
        <f aca="false">IF($B$2,G311,H311)</f>
        <v>Equipo clasificado para DIECISEISAVOS</v>
      </c>
      <c r="E311" s="492" t="s">
        <v>1000</v>
      </c>
      <c r="F311" s="492" t="s">
        <v>1033</v>
      </c>
      <c r="G311" s="492" t="s">
        <v>1034</v>
      </c>
      <c r="H311" s="492" t="s">
        <v>1035</v>
      </c>
    </row>
    <row r="312" customFormat="false" ht="15" hidden="false" customHeight="false" outlineLevel="0" collapsed="false">
      <c r="D312" s="481" t="str">
        <f aca="false">IF($B$2,G312,H312)</f>
        <v>DIECISEISAVOS - Signo 1X2 (local, empate, visitante)</v>
      </c>
      <c r="E312" s="492" t="s">
        <v>1000</v>
      </c>
      <c r="F312" s="492" t="s">
        <v>1036</v>
      </c>
      <c r="G312" s="492" t="s">
        <v>1037</v>
      </c>
      <c r="H312" s="492" t="s">
        <v>1038</v>
      </c>
    </row>
    <row r="313" customFormat="false" ht="15" hidden="false" customHeight="false" outlineLevel="0" collapsed="false">
      <c r="D313" s="481" t="str">
        <f aca="false">IF($B$2,G313,H313)</f>
        <v>DIECISEISAVOS - Diferencia/Distancia de goles (Con 1X2 acertado)</v>
      </c>
      <c r="E313" s="492" t="s">
        <v>1000</v>
      </c>
      <c r="F313" s="492" t="s">
        <v>1030</v>
      </c>
      <c r="G313" s="492" t="s">
        <v>1039</v>
      </c>
      <c r="H313" s="492" t="s">
        <v>1040</v>
      </c>
    </row>
    <row r="314" customFormat="false" ht="15" hidden="false" customHeight="false" outlineLevel="0" collapsed="false">
      <c r="D314" s="481" t="str">
        <f aca="false">IF($B$2,G314,H314)</f>
        <v>DIECISEISAVOS - Resultado exacto</v>
      </c>
      <c r="E314" s="492" t="s">
        <v>1000</v>
      </c>
      <c r="F314" s="492" t="s">
        <v>1033</v>
      </c>
      <c r="G314" s="492" t="s">
        <v>1041</v>
      </c>
      <c r="H314" s="492" t="s">
        <v>1042</v>
      </c>
    </row>
    <row r="315" customFormat="false" ht="15" hidden="false" customHeight="false" outlineLevel="0" collapsed="false">
      <c r="D315" s="481" t="str">
        <f aca="false">IF($B$2,G315,H315)</f>
        <v>Equipo clasificado para OCTAVOS</v>
      </c>
      <c r="E315" s="492" t="s">
        <v>1000</v>
      </c>
      <c r="F315" s="492" t="s">
        <v>1036</v>
      </c>
      <c r="G315" s="492" t="s">
        <v>1043</v>
      </c>
      <c r="H315" s="492" t="s">
        <v>1044</v>
      </c>
    </row>
    <row r="316" customFormat="false" ht="15" hidden="false" customHeight="false" outlineLevel="0" collapsed="false">
      <c r="D316" s="481" t="str">
        <f aca="false">IF($B$2,G316,H316)</f>
        <v>OCTAVOS - Signo 1X2  (local, empate, visitante)</v>
      </c>
      <c r="E316" s="492" t="s">
        <v>1000</v>
      </c>
      <c r="F316" s="492" t="s">
        <v>1045</v>
      </c>
      <c r="G316" s="492" t="s">
        <v>1046</v>
      </c>
      <c r="H316" s="492" t="s">
        <v>1047</v>
      </c>
    </row>
    <row r="317" customFormat="false" ht="15" hidden="false" customHeight="false" outlineLevel="0" collapsed="false">
      <c r="D317" s="481" t="str">
        <f aca="false">IF($B$2,G317,H317)</f>
        <v>OCTAVOS -Diferencia/Distancia de goles (Con 1X2 acertado)</v>
      </c>
      <c r="E317" s="492" t="s">
        <v>1000</v>
      </c>
      <c r="F317" s="492" t="s">
        <v>1048</v>
      </c>
      <c r="G317" s="492" t="s">
        <v>1049</v>
      </c>
      <c r="H317" s="492" t="s">
        <v>1050</v>
      </c>
    </row>
    <row r="318" customFormat="false" ht="15" hidden="false" customHeight="false" outlineLevel="0" collapsed="false">
      <c r="D318" s="481" t="str">
        <f aca="false">IF($B$2,G318,H318)</f>
        <v>OCTAVOS - Resultado exacto</v>
      </c>
      <c r="E318" s="492" t="s">
        <v>1000</v>
      </c>
      <c r="F318" s="492" t="s">
        <v>1051</v>
      </c>
      <c r="G318" s="492" t="s">
        <v>1052</v>
      </c>
      <c r="H318" s="492" t="s">
        <v>1053</v>
      </c>
    </row>
    <row r="319" customFormat="false" ht="15" hidden="false" customHeight="false" outlineLevel="0" collapsed="false">
      <c r="D319" s="481" t="str">
        <f aca="false">IF($B$2,G319,H319)</f>
        <v>Equipo clasificado para CUARTOS</v>
      </c>
      <c r="E319" s="492" t="s">
        <v>1000</v>
      </c>
      <c r="F319" s="492" t="s">
        <v>1054</v>
      </c>
      <c r="G319" s="492" t="s">
        <v>1055</v>
      </c>
      <c r="H319" s="492" t="s">
        <v>1056</v>
      </c>
    </row>
    <row r="320" customFormat="false" ht="15" hidden="false" customHeight="false" outlineLevel="0" collapsed="false">
      <c r="D320" s="481" t="str">
        <f aca="false">IF($B$2,G320,H320)</f>
        <v>CUARTOS - Signo 1X2  (local, empate, visitante)</v>
      </c>
      <c r="E320" s="492" t="s">
        <v>1000</v>
      </c>
      <c r="F320" s="492" t="s">
        <v>1057</v>
      </c>
      <c r="G320" s="492" t="s">
        <v>1058</v>
      </c>
      <c r="H320" s="492" t="s">
        <v>1059</v>
      </c>
    </row>
    <row r="321" customFormat="false" ht="15" hidden="false" customHeight="false" outlineLevel="0" collapsed="false">
      <c r="D321" s="481" t="str">
        <f aca="false">IF($B$2,G321,H321)</f>
        <v>CUARTOS -Diferencia/Distancia de goles (Con 1X2 acertado)</v>
      </c>
      <c r="E321" s="492" t="s">
        <v>1000</v>
      </c>
      <c r="F321" s="492" t="s">
        <v>1060</v>
      </c>
      <c r="G321" s="492" t="s">
        <v>1061</v>
      </c>
      <c r="H321" s="492" t="s">
        <v>1062</v>
      </c>
    </row>
    <row r="322" customFormat="false" ht="15" hidden="false" customHeight="false" outlineLevel="0" collapsed="false">
      <c r="D322" s="481" t="str">
        <f aca="false">IF($B$2,G322,H322)</f>
        <v>CUARTOS - Resultado exacto</v>
      </c>
      <c r="E322" s="492" t="s">
        <v>1000</v>
      </c>
      <c r="F322" s="492" t="s">
        <v>1063</v>
      </c>
      <c r="G322" s="492" t="s">
        <v>1064</v>
      </c>
      <c r="H322" s="492" t="s">
        <v>1065</v>
      </c>
    </row>
    <row r="323" customFormat="false" ht="15" hidden="false" customHeight="false" outlineLevel="0" collapsed="false">
      <c r="D323" s="481" t="str">
        <f aca="false">IF($B$2,G323,H323)</f>
        <v>Equipo clasificado para SEMIFINALES</v>
      </c>
      <c r="E323" s="492" t="s">
        <v>1000</v>
      </c>
      <c r="F323" s="492" t="s">
        <v>1066</v>
      </c>
      <c r="G323" s="492" t="s">
        <v>1067</v>
      </c>
      <c r="H323" s="492" t="s">
        <v>1068</v>
      </c>
    </row>
    <row r="324" customFormat="false" ht="15" hidden="false" customHeight="false" outlineLevel="0" collapsed="false">
      <c r="D324" s="481" t="str">
        <f aca="false">IF($B$2,G324,H324)</f>
        <v>SEMIFINALES - Signo 1X2  (local, empate, visitante)</v>
      </c>
      <c r="E324" s="492" t="s">
        <v>1000</v>
      </c>
      <c r="F324" s="492" t="s">
        <v>1069</v>
      </c>
      <c r="G324" s="492" t="s">
        <v>1070</v>
      </c>
      <c r="H324" s="492" t="s">
        <v>1071</v>
      </c>
    </row>
    <row r="325" customFormat="false" ht="15" hidden="false" customHeight="false" outlineLevel="0" collapsed="false">
      <c r="D325" s="481" t="str">
        <f aca="false">IF($B$2,G325,H325)</f>
        <v>SEMIFINALES -Diferencia/Distancia de goles (Con 1X2 acertado)</v>
      </c>
      <c r="E325" s="492" t="s">
        <v>1000</v>
      </c>
      <c r="F325" s="492" t="s">
        <v>1069</v>
      </c>
      <c r="G325" s="492" t="s">
        <v>1072</v>
      </c>
      <c r="H325" s="492" t="s">
        <v>1073</v>
      </c>
    </row>
    <row r="326" customFormat="false" ht="15" hidden="false" customHeight="false" outlineLevel="0" collapsed="false">
      <c r="D326" s="481" t="str">
        <f aca="false">IF($B$2,G326,H326)</f>
        <v>SEMIFINALES - Resultado exacto</v>
      </c>
      <c r="E326" s="492" t="s">
        <v>1000</v>
      </c>
      <c r="F326" s="492" t="s">
        <v>1074</v>
      </c>
      <c r="G326" s="492" t="s">
        <v>1075</v>
      </c>
      <c r="H326" s="492" t="s">
        <v>1076</v>
      </c>
    </row>
    <row r="327" customFormat="false" ht="15" hidden="false" customHeight="false" outlineLevel="0" collapsed="false">
      <c r="D327" s="481" t="str">
        <f aca="false">IF($B$2,G327,H327)</f>
        <v>Equipo clasificado para 3º y 4º puesto</v>
      </c>
      <c r="E327" s="492" t="s">
        <v>1000</v>
      </c>
      <c r="F327" s="492" t="s">
        <v>1077</v>
      </c>
      <c r="G327" s="492" t="s">
        <v>1078</v>
      </c>
      <c r="H327" s="492" t="s">
        <v>1079</v>
      </c>
    </row>
    <row r="328" customFormat="false" ht="15" hidden="false" customHeight="false" outlineLevel="0" collapsed="false">
      <c r="D328" s="481" t="str">
        <f aca="false">IF($B$2,G328,H328)</f>
        <v>Equipo clasificado para FINAL</v>
      </c>
      <c r="E328" s="492" t="s">
        <v>1000</v>
      </c>
      <c r="F328" s="492" t="s">
        <v>1080</v>
      </c>
      <c r="G328" s="492" t="s">
        <v>1081</v>
      </c>
      <c r="H328" s="492" t="s">
        <v>1082</v>
      </c>
    </row>
    <row r="329" customFormat="false" ht="15" hidden="false" customHeight="false" outlineLevel="0" collapsed="false">
      <c r="D329" s="481" t="str">
        <f aca="false">IF($B$2,G329,H329)</f>
        <v>3ºy4º PUESTO - Signo 1X2  (local, empate, visitante)</v>
      </c>
      <c r="E329" s="492" t="s">
        <v>1000</v>
      </c>
      <c r="F329" s="492" t="s">
        <v>1083</v>
      </c>
      <c r="G329" s="492" t="s">
        <v>1084</v>
      </c>
      <c r="H329" s="492" t="s">
        <v>1085</v>
      </c>
    </row>
    <row r="330" customFormat="false" ht="15" hidden="false" customHeight="false" outlineLevel="0" collapsed="false">
      <c r="D330" s="481" t="str">
        <f aca="false">IF($B$2,G330,H330)</f>
        <v>3ºy4º PUESTO - Diferencia/Distancia de goles (Con 1X2 acertado)</v>
      </c>
      <c r="E330" s="492" t="s">
        <v>1000</v>
      </c>
      <c r="F330" s="492" t="s">
        <v>1086</v>
      </c>
      <c r="G330" s="492" t="s">
        <v>1087</v>
      </c>
      <c r="H330" s="492" t="s">
        <v>1088</v>
      </c>
    </row>
    <row r="331" customFormat="false" ht="15" hidden="false" customHeight="false" outlineLevel="0" collapsed="false">
      <c r="D331" s="481" t="str">
        <f aca="false">IF($B$2,G331,H331)</f>
        <v>3ºy4º PUESTO - Resultado exacto</v>
      </c>
      <c r="E331" s="492" t="s">
        <v>1000</v>
      </c>
      <c r="F331" s="492" t="s">
        <v>1089</v>
      </c>
      <c r="G331" s="492" t="s">
        <v>1090</v>
      </c>
      <c r="H331" s="492" t="s">
        <v>1091</v>
      </c>
    </row>
    <row r="332" customFormat="false" ht="15" hidden="false" customHeight="false" outlineLevel="0" collapsed="false">
      <c r="D332" s="481" t="str">
        <f aca="false">IF($B$2,G332,H332)</f>
        <v>FINAL - Signo 1X2  (local, empate, visitante)</v>
      </c>
      <c r="E332" s="492" t="s">
        <v>1000</v>
      </c>
      <c r="F332" s="492" t="s">
        <v>1092</v>
      </c>
      <c r="G332" s="492" t="s">
        <v>1093</v>
      </c>
      <c r="H332" s="492" t="s">
        <v>1094</v>
      </c>
    </row>
    <row r="333" customFormat="false" ht="15" hidden="false" customHeight="false" outlineLevel="0" collapsed="false">
      <c r="D333" s="481" t="str">
        <f aca="false">IF($B$2,G333,H333)</f>
        <v>FINAL - Diferencia/Distancia de goles (Con 1X2 acertado)</v>
      </c>
      <c r="E333" s="492" t="s">
        <v>1000</v>
      </c>
      <c r="F333" s="492" t="s">
        <v>1095</v>
      </c>
      <c r="G333" s="492" t="s">
        <v>1096</v>
      </c>
      <c r="H333" s="492" t="s">
        <v>1097</v>
      </c>
    </row>
    <row r="334" customFormat="false" ht="15" hidden="false" customHeight="false" outlineLevel="0" collapsed="false">
      <c r="D334" s="481" t="str">
        <f aca="false">IF($B$2,G334,H334)</f>
        <v>FINAL - Resultado exacto</v>
      </c>
      <c r="E334" s="492" t="s">
        <v>1000</v>
      </c>
      <c r="F334" s="492" t="s">
        <v>1098</v>
      </c>
      <c r="G334" s="492" t="s">
        <v>1099</v>
      </c>
      <c r="H334" s="492" t="s">
        <v>1100</v>
      </c>
    </row>
    <row r="335" customFormat="false" ht="15" hidden="false" customHeight="false" outlineLevel="0" collapsed="false">
      <c r="D335" s="481" t="str">
        <f aca="false">IF($B$2,G335,H335)</f>
        <v>Campeón</v>
      </c>
      <c r="E335" s="492"/>
      <c r="F335" s="492"/>
      <c r="G335" s="492" t="s">
        <v>492</v>
      </c>
      <c r="H335" s="492" t="s">
        <v>493</v>
      </c>
    </row>
    <row r="336" customFormat="false" ht="15" hidden="false" customHeight="false" outlineLevel="0" collapsed="false">
      <c r="D336" s="481" t="str">
        <f aca="false">IF($B$2,G336,H336)</f>
        <v>Subcampeón</v>
      </c>
      <c r="E336" s="492"/>
      <c r="F336" s="492"/>
      <c r="G336" s="492" t="s">
        <v>495</v>
      </c>
      <c r="H336" s="492" t="s">
        <v>496</v>
      </c>
    </row>
    <row r="337" customFormat="false" ht="15" hidden="false" customHeight="false" outlineLevel="0" collapsed="false">
      <c r="D337" s="481" t="str">
        <f aca="false">IF($B$2,G337,H337)</f>
        <v>3º puesto</v>
      </c>
      <c r="E337" s="492"/>
      <c r="F337" s="492"/>
      <c r="G337" s="492" t="s">
        <v>497</v>
      </c>
      <c r="H337" s="492" t="s">
        <v>498</v>
      </c>
    </row>
    <row r="338" customFormat="false" ht="15" hidden="false" customHeight="false" outlineLevel="0" collapsed="false">
      <c r="D338" s="481" t="str">
        <f aca="false">IF($B$2,G338,H338)</f>
        <v>Bota de Oro  (máximo goleador)</v>
      </c>
      <c r="E338" s="492" t="s">
        <v>1000</v>
      </c>
      <c r="F338" s="492" t="s">
        <v>1101</v>
      </c>
      <c r="G338" s="492" t="s">
        <v>500</v>
      </c>
      <c r="H338" s="492" t="s">
        <v>1102</v>
      </c>
    </row>
    <row r="339" customFormat="false" ht="15" hidden="false" customHeight="false" outlineLevel="0" collapsed="false">
      <c r="D339" s="481" t="str">
        <f aca="false">IF($B$2,G339,H339)</f>
        <v>Bota de Plata (2º máximo goleador)</v>
      </c>
      <c r="E339" s="492" t="s">
        <v>1103</v>
      </c>
      <c r="F339" s="492" t="s">
        <v>1104</v>
      </c>
      <c r="G339" s="492" t="s">
        <v>503</v>
      </c>
      <c r="H339" s="492" t="s">
        <v>1105</v>
      </c>
    </row>
    <row r="340" customFormat="false" ht="15" hidden="false" customHeight="false" outlineLevel="0" collapsed="false">
      <c r="D340" s="481" t="str">
        <f aca="false">IF($B$2,G340,H340)</f>
        <v>Bota de Bronce (3º máximo goleador)</v>
      </c>
      <c r="E340" s="492" t="s">
        <v>1000</v>
      </c>
      <c r="F340" s="492" t="s">
        <v>1106</v>
      </c>
      <c r="G340" s="492" t="s">
        <v>505</v>
      </c>
      <c r="H340" s="492" t="s">
        <v>1107</v>
      </c>
    </row>
    <row r="341" customFormat="false" ht="15" hidden="false" customHeight="false" outlineLevel="0" collapsed="false">
      <c r="D341" s="481" t="str">
        <f aca="false">IF($B$2,G341,H341)</f>
        <v>Equipo máximo goleador</v>
      </c>
      <c r="E341" s="492" t="s">
        <v>1000</v>
      </c>
      <c r="F341" s="492" t="s">
        <v>1108</v>
      </c>
      <c r="G341" s="492" t="s">
        <v>1109</v>
      </c>
      <c r="H341" s="492" t="s">
        <v>1110</v>
      </c>
    </row>
    <row r="342" customFormat="false" ht="15" hidden="false" customHeight="false" outlineLevel="0" collapsed="false">
      <c r="D342" s="481" t="str">
        <f aca="false">IF($B$2,G342,H342)</f>
        <v>Balón de Plata (2º mejor jugador)</v>
      </c>
      <c r="E342" s="492" t="s">
        <v>1103</v>
      </c>
      <c r="F342" s="492" t="s">
        <v>1111</v>
      </c>
      <c r="G342" s="492" t="s">
        <v>509</v>
      </c>
      <c r="H342" s="492" t="s">
        <v>1112</v>
      </c>
    </row>
    <row r="343" customFormat="false" ht="15" hidden="false" customHeight="false" outlineLevel="0" collapsed="false">
      <c r="D343" s="481" t="str">
        <f aca="false">IF($B$2,G343,H343)</f>
        <v>Balón de Bronce (3º mejor jugador)</v>
      </c>
      <c r="E343" s="492" t="s">
        <v>1000</v>
      </c>
      <c r="F343" s="492" t="s">
        <v>1106</v>
      </c>
      <c r="G343" s="492" t="s">
        <v>511</v>
      </c>
      <c r="H343" s="492" t="s">
        <v>1113</v>
      </c>
    </row>
    <row r="344" customFormat="false" ht="15" hidden="false" customHeight="false" outlineLevel="0" collapsed="false">
      <c r="D344" s="481" t="str">
        <f aca="false">IF($B$2,G344,H344)</f>
        <v>Fase de grupos</v>
      </c>
      <c r="E344" s="492" t="s">
        <v>1103</v>
      </c>
      <c r="F344" s="492" t="s">
        <v>1114</v>
      </c>
      <c r="G344" s="492" t="s">
        <v>980</v>
      </c>
      <c r="H344" s="492" t="s">
        <v>1115</v>
      </c>
    </row>
    <row r="345" customFormat="false" ht="15" hidden="false" customHeight="false" outlineLevel="0" collapsed="false">
      <c r="D345" s="481" t="str">
        <f aca="false">IF($B$2,G345,H345)</f>
        <v>Posición grupos</v>
      </c>
      <c r="E345" s="492" t="s">
        <v>1000</v>
      </c>
      <c r="F345" s="492" t="s">
        <v>1116</v>
      </c>
      <c r="G345" s="492" t="s">
        <v>1117</v>
      </c>
      <c r="H345" s="492" t="s">
        <v>1118</v>
      </c>
    </row>
    <row r="346" customFormat="false" ht="15" hidden="false" customHeight="false" outlineLevel="0" collapsed="false">
      <c r="D346" s="481" t="str">
        <f aca="false">IF($B$2,G346,H346)</f>
        <v>CLASIFICADOS PARA PLAYOFFS</v>
      </c>
      <c r="E346" s="492" t="s">
        <v>1103</v>
      </c>
      <c r="F346" s="492" t="s">
        <v>1119</v>
      </c>
      <c r="G346" s="492" t="s">
        <v>1120</v>
      </c>
      <c r="H346" s="492" t="s">
        <v>1121</v>
      </c>
    </row>
    <row r="347" customFormat="false" ht="15" hidden="false" customHeight="false" outlineLevel="0" collapsed="false">
      <c r="D347" s="481" t="str">
        <f aca="false">IF($B$2,G347,H347)</f>
        <v>CLASIFICADOS PARA OCTAVOS (Desde Fase Liga)</v>
      </c>
      <c r="E347" s="492" t="s">
        <v>1000</v>
      </c>
      <c r="F347" s="492" t="s">
        <v>1122</v>
      </c>
      <c r="G347" s="492" t="s">
        <v>1123</v>
      </c>
      <c r="H347" s="492" t="s">
        <v>1124</v>
      </c>
    </row>
    <row r="348" customFormat="false" ht="15" hidden="false" customHeight="false" outlineLevel="0" collapsed="false">
      <c r="D348" s="481" t="str">
        <f aca="false">IF($B$2,G348,H348)</f>
        <v>CLASIFICADOS PARA OCTAVOS (DESDE PLAYOFFS)</v>
      </c>
      <c r="E348" s="492" t="s">
        <v>1000</v>
      </c>
      <c r="F348" s="492" t="s">
        <v>1125</v>
      </c>
      <c r="G348" s="492" t="s">
        <v>1126</v>
      </c>
      <c r="H348" s="492" t="s">
        <v>1127</v>
      </c>
    </row>
    <row r="349" customFormat="false" ht="15" hidden="false" customHeight="false" outlineLevel="0" collapsed="false">
      <c r="D349" s="481" t="str">
        <f aca="false">IF($B$2,G349,H349)</f>
        <v>Clasificados para Octavos de Final</v>
      </c>
      <c r="E349" s="492" t="s">
        <v>1000</v>
      </c>
      <c r="F349" s="492" t="s">
        <v>1128</v>
      </c>
      <c r="G349" s="492" t="s">
        <v>1129</v>
      </c>
      <c r="H349" s="492" t="s">
        <v>1130</v>
      </c>
    </row>
    <row r="350" customFormat="false" ht="15" hidden="false" customHeight="false" outlineLevel="0" collapsed="false">
      <c r="D350" s="481" t="str">
        <f aca="false">IF($B$2,G350,H350)</f>
        <v>Enfrentamientos Octavos de Final</v>
      </c>
      <c r="E350" s="492" t="s">
        <v>1000</v>
      </c>
      <c r="F350" s="492" t="s">
        <v>1131</v>
      </c>
      <c r="G350" s="492" t="s">
        <v>1132</v>
      </c>
      <c r="H350" s="492" t="s">
        <v>974</v>
      </c>
    </row>
    <row r="351" customFormat="false" ht="15" hidden="false" customHeight="false" outlineLevel="0" collapsed="false">
      <c r="D351" s="481" t="str">
        <f aca="false">IF($B$2,G351,H351)</f>
        <v>Clasificados para Cuartos de Final</v>
      </c>
      <c r="E351" s="492" t="s">
        <v>1000</v>
      </c>
      <c r="F351" s="492" t="s">
        <v>1133</v>
      </c>
      <c r="G351" s="492" t="s">
        <v>1134</v>
      </c>
      <c r="H351" s="492" t="s">
        <v>1135</v>
      </c>
    </row>
    <row r="352" customFormat="false" ht="15" hidden="false" customHeight="false" outlineLevel="0" collapsed="false">
      <c r="D352" s="481" t="str">
        <f aca="false">IF($B$2,G352,H352)</f>
        <v>Clasificados para Cuartos de Final</v>
      </c>
      <c r="E352" s="492" t="s">
        <v>1000</v>
      </c>
      <c r="F352" s="492" t="s">
        <v>327</v>
      </c>
      <c r="G352" s="492" t="s">
        <v>1134</v>
      </c>
      <c r="H352" s="492" t="s">
        <v>1136</v>
      </c>
    </row>
    <row r="353" customFormat="false" ht="15" hidden="false" customHeight="false" outlineLevel="0" collapsed="false">
      <c r="D353" s="481" t="str">
        <f aca="false">IF($B$2,G353,H353)</f>
        <v>Enfrentamientos Cuartos de Final</v>
      </c>
      <c r="E353" s="492" t="s">
        <v>1000</v>
      </c>
      <c r="F353" s="492"/>
      <c r="G353" s="492" t="s">
        <v>1137</v>
      </c>
      <c r="H353" s="492" t="s">
        <v>480</v>
      </c>
    </row>
    <row r="354" customFormat="false" ht="15" hidden="false" customHeight="false" outlineLevel="0" collapsed="false">
      <c r="D354" s="481" t="str">
        <f aca="false">IF($B$2,G354,H354)</f>
        <v>Clasificados para Semifinales</v>
      </c>
      <c r="E354" s="492" t="s">
        <v>1000</v>
      </c>
      <c r="F354" s="492"/>
      <c r="G354" s="492" t="s">
        <v>1138</v>
      </c>
      <c r="H354" s="492" t="s">
        <v>1139</v>
      </c>
    </row>
    <row r="355" customFormat="false" ht="15" hidden="false" customHeight="false" outlineLevel="0" collapsed="false">
      <c r="D355" s="481" t="str">
        <f aca="false">IF($B$2,G355,H355)</f>
        <v>Enfrentamientos Semifinales</v>
      </c>
      <c r="E355" s="492" t="s">
        <v>1000</v>
      </c>
      <c r="F355" s="492"/>
      <c r="G355" s="492" t="s">
        <v>1140</v>
      </c>
      <c r="H355" s="492" t="s">
        <v>483</v>
      </c>
    </row>
    <row r="356" customFormat="false" ht="15" hidden="false" customHeight="false" outlineLevel="0" collapsed="false">
      <c r="D356" s="481" t="str">
        <f aca="false">IF($B$2,G356,H356)</f>
        <v>Clasificados para la Final</v>
      </c>
      <c r="E356" s="492" t="s">
        <v>1000</v>
      </c>
      <c r="F356" s="492"/>
      <c r="G356" s="492" t="s">
        <v>1141</v>
      </c>
      <c r="H356" s="492" t="s">
        <v>1142</v>
      </c>
    </row>
    <row r="357" customFormat="false" ht="15" hidden="false" customHeight="false" outlineLevel="0" collapsed="false">
      <c r="D357" s="481" t="str">
        <f aca="false">IF($B$2,G357,H357)</f>
        <v>Partido Final</v>
      </c>
      <c r="E357" s="492" t="s">
        <v>1000</v>
      </c>
      <c r="F357" s="492"/>
      <c r="G357" s="492" t="s">
        <v>1143</v>
      </c>
      <c r="H357" s="492" t="s">
        <v>487</v>
      </c>
    </row>
    <row r="358" customFormat="false" ht="15" hidden="false" customHeight="false" outlineLevel="0" collapsed="false">
      <c r="D358" s="481" t="str">
        <f aca="false">IF($B$2,G358,H358)</f>
        <v>Cuadro de honor</v>
      </c>
      <c r="E358" s="492" t="s">
        <v>1000</v>
      </c>
      <c r="F358" s="492"/>
      <c r="G358" s="492" t="s">
        <v>489</v>
      </c>
      <c r="H358" s="492" t="s">
        <v>1144</v>
      </c>
    </row>
    <row r="359" customFormat="false" ht="15" hidden="false" customHeight="false" outlineLevel="0" collapsed="false">
      <c r="D359" s="481" t="str">
        <f aca="false">IF($B$2,G359,H359)</f>
        <v>Campeón</v>
      </c>
      <c r="E359" s="492" t="s">
        <v>1000</v>
      </c>
      <c r="F359" s="492"/>
      <c r="G359" s="492" t="s">
        <v>492</v>
      </c>
      <c r="H359" s="492" t="s">
        <v>493</v>
      </c>
    </row>
    <row r="360" customFormat="false" ht="15" hidden="false" customHeight="false" outlineLevel="0" collapsed="false">
      <c r="D360" s="481" t="str">
        <f aca="false">IF($B$2,G360,H360)</f>
        <v>Subcampeón</v>
      </c>
      <c r="E360" s="492" t="s">
        <v>1000</v>
      </c>
      <c r="F360" s="492"/>
      <c r="G360" s="492" t="s">
        <v>495</v>
      </c>
      <c r="H360" s="492" t="s">
        <v>496</v>
      </c>
    </row>
    <row r="361" customFormat="false" ht="15" hidden="false" customHeight="false" outlineLevel="0" collapsed="false">
      <c r="D361" s="481" t="str">
        <f aca="false">IF($B$2,G361,H361)</f>
        <v>Goleador del torneo</v>
      </c>
      <c r="E361" s="492" t="s">
        <v>1000</v>
      </c>
      <c r="F361" s="492"/>
      <c r="G361" s="492" t="s">
        <v>1145</v>
      </c>
      <c r="H361" s="492" t="s">
        <v>1146</v>
      </c>
    </row>
    <row r="362" customFormat="false" ht="15" hidden="false" customHeight="false" outlineLevel="0" collapsed="false">
      <c r="D362" s="481" t="str">
        <f aca="false">IF($B$2,G362,H362)</f>
        <v>Mejor jugador del torneo</v>
      </c>
      <c r="E362" s="492" t="s">
        <v>1000</v>
      </c>
      <c r="F362" s="492"/>
      <c r="G362" s="492" t="s">
        <v>1147</v>
      </c>
      <c r="H362" s="492" t="s">
        <v>1148</v>
      </c>
    </row>
    <row r="363" customFormat="false" ht="15" hidden="false" customHeight="false" outlineLevel="0" collapsed="false">
      <c r="D363" s="481" t="str">
        <f aca="false">IF($B$2,G363,H363)</f>
        <v>Pegar Valores Nombre J</v>
      </c>
      <c r="E363" s="492" t="s">
        <v>1000</v>
      </c>
      <c r="F363" s="492"/>
      <c r="G363" s="492" t="s">
        <v>1149</v>
      </c>
      <c r="H363" s="492" t="s">
        <v>1150</v>
      </c>
    </row>
    <row r="364" customFormat="false" ht="15" hidden="false" customHeight="false" outlineLevel="0" collapsed="false">
      <c r="D364" s="481" t="str">
        <f aca="false">IF($B$2,G364,H364)</f>
        <v>Pegar Valores (J1)</v>
      </c>
      <c r="E364" s="492" t="s">
        <v>1000</v>
      </c>
      <c r="F364" s="492"/>
      <c r="G364" s="492" t="s">
        <v>1151</v>
      </c>
      <c r="H364" s="492" t="s">
        <v>1152</v>
      </c>
    </row>
    <row r="365" customFormat="false" ht="15" hidden="false" customHeight="false" outlineLevel="0" collapsed="false">
      <c r="D365" s="481" t="str">
        <f aca="false">IF($B$2,G365,H365)</f>
        <v>Pegar Valores (J2)</v>
      </c>
      <c r="E365" s="492" t="s">
        <v>1000</v>
      </c>
      <c r="F365" s="492"/>
      <c r="G365" s="492" t="s">
        <v>1153</v>
      </c>
      <c r="H365" s="492" t="s">
        <v>1154</v>
      </c>
    </row>
    <row r="366" customFormat="false" ht="15" hidden="false" customHeight="false" outlineLevel="0" collapsed="false">
      <c r="D366" s="481" t="str">
        <f aca="false">IF($B$2,G366,H366)</f>
        <v>Pegar Valores (J3)</v>
      </c>
      <c r="E366" s="492" t="s">
        <v>1000</v>
      </c>
      <c r="F366" s="492"/>
      <c r="G366" s="492" t="s">
        <v>1155</v>
      </c>
      <c r="H366" s="492" t="s">
        <v>1156</v>
      </c>
    </row>
    <row r="367" customFormat="false" ht="15" hidden="false" customHeight="false" outlineLevel="0" collapsed="false">
      <c r="D367" s="481" t="str">
        <f aca="false">IF($B$2,G367,H367)</f>
        <v>Pegar Valores Dieciseisavos</v>
      </c>
      <c r="E367" s="492" t="s">
        <v>1000</v>
      </c>
      <c r="F367" s="492" t="s">
        <v>1157</v>
      </c>
      <c r="G367" s="492" t="s">
        <v>1158</v>
      </c>
      <c r="H367" s="492" t="s">
        <v>1159</v>
      </c>
    </row>
    <row r="368" customFormat="false" ht="15" hidden="false" customHeight="false" outlineLevel="0" collapsed="false">
      <c r="D368" s="481" t="str">
        <f aca="false">IF($B$2,G368,H368)</f>
        <v>Pegar Valores Octavos</v>
      </c>
      <c r="E368" s="492" t="s">
        <v>1000</v>
      </c>
      <c r="F368" s="492" t="s">
        <v>1160</v>
      </c>
      <c r="G368" s="492" t="s">
        <v>1161</v>
      </c>
      <c r="H368" s="492" t="s">
        <v>1162</v>
      </c>
    </row>
    <row r="369" customFormat="false" ht="15" hidden="false" customHeight="false" outlineLevel="0" collapsed="false">
      <c r="D369" s="481" t="str">
        <f aca="false">IF($B$2,G369,H369)</f>
        <v>Pegar valores Cuartos</v>
      </c>
      <c r="E369" s="492" t="s">
        <v>1000</v>
      </c>
      <c r="F369" s="492" t="s">
        <v>1163</v>
      </c>
      <c r="G369" s="492" t="s">
        <v>1164</v>
      </c>
      <c r="H369" s="492" t="s">
        <v>1165</v>
      </c>
    </row>
    <row r="370" customFormat="false" ht="15" hidden="false" customHeight="false" outlineLevel="0" collapsed="false">
      <c r="D370" s="481" t="str">
        <f aca="false">IF($B$2,G370,H370)</f>
        <v>Pegar valores Semifinales</v>
      </c>
      <c r="E370" s="492" t="s">
        <v>1000</v>
      </c>
      <c r="F370" s="492" t="s">
        <v>1166</v>
      </c>
      <c r="G370" s="492" t="s">
        <v>1167</v>
      </c>
      <c r="H370" s="492" t="s">
        <v>1168</v>
      </c>
    </row>
    <row r="371" customFormat="false" ht="15" hidden="false" customHeight="false" outlineLevel="0" collapsed="false">
      <c r="D371" s="481" t="str">
        <f aca="false">IF($B$2,G371,H371)</f>
        <v>Pegar valores 3º-4º puesto y Final</v>
      </c>
      <c r="E371" s="492" t="s">
        <v>1000</v>
      </c>
      <c r="F371" s="492" t="s">
        <v>1169</v>
      </c>
      <c r="G371" s="492" t="s">
        <v>1170</v>
      </c>
      <c r="H371" s="492" t="s">
        <v>1171</v>
      </c>
    </row>
    <row r="372" customFormat="false" ht="15" hidden="false" customHeight="false" outlineLevel="0" collapsed="false">
      <c r="D372" s="481" t="str">
        <f aca="false">IF($B$2,G372,H372)</f>
        <v>Pegar valores Predictor</v>
      </c>
      <c r="E372" s="492" t="s">
        <v>1000</v>
      </c>
      <c r="F372" s="492" t="s">
        <v>1172</v>
      </c>
      <c r="G372" s="492" t="s">
        <v>1173</v>
      </c>
      <c r="H372" s="492" t="s">
        <v>1174</v>
      </c>
    </row>
    <row r="373" customFormat="false" ht="15" hidden="false" customHeight="false" outlineLevel="0" collapsed="false">
      <c r="D373" s="481" t="str">
        <f aca="false">IF($B$2,G373,H373)</f>
        <v>Pegar Valores Cuadro de Honor</v>
      </c>
      <c r="E373" s="492"/>
      <c r="F373" s="492"/>
      <c r="G373" s="492" t="s">
        <v>1175</v>
      </c>
      <c r="H373" s="492" t="s">
        <v>1176</v>
      </c>
    </row>
    <row r="374" customFormat="false" ht="15" hidden="false" customHeight="false" outlineLevel="0" collapsed="false">
      <c r="D374" s="481" t="str">
        <f aca="false">IF($B$2,G374,H374)</f>
        <v>1º GRUPO A</v>
      </c>
      <c r="E374" s="492" t="s">
        <v>1000</v>
      </c>
      <c r="F374" s="492" t="s">
        <v>1177</v>
      </c>
      <c r="G374" s="492" t="s">
        <v>747</v>
      </c>
      <c r="H374" s="492" t="s">
        <v>748</v>
      </c>
    </row>
    <row r="375" customFormat="false" ht="15" hidden="false" customHeight="false" outlineLevel="0" collapsed="false">
      <c r="D375" s="481" t="str">
        <f aca="false">IF($B$2,G375,H375)</f>
        <v>2º GRUPO A</v>
      </c>
      <c r="E375" s="492" t="s">
        <v>1000</v>
      </c>
      <c r="F375" s="492" t="s">
        <v>1178</v>
      </c>
      <c r="G375" s="492" t="s">
        <v>750</v>
      </c>
      <c r="H375" s="492" t="s">
        <v>751</v>
      </c>
    </row>
    <row r="376" customFormat="false" ht="15" hidden="false" customHeight="false" outlineLevel="0" collapsed="false">
      <c r="D376" s="481" t="str">
        <f aca="false">IF($B$2,G376,H376)</f>
        <v>3º GRUPO A</v>
      </c>
      <c r="E376" s="492" t="s">
        <v>1000</v>
      </c>
      <c r="F376" s="492" t="s">
        <v>1179</v>
      </c>
      <c r="G376" s="492" t="s">
        <v>753</v>
      </c>
      <c r="H376" s="492" t="s">
        <v>754</v>
      </c>
    </row>
    <row r="377" customFormat="false" ht="15" hidden="false" customHeight="false" outlineLevel="0" collapsed="false">
      <c r="D377" s="481" t="str">
        <f aca="false">IF($B$2,G377,H377)</f>
        <v>4º GRUPO A</v>
      </c>
      <c r="E377" s="492" t="s">
        <v>1000</v>
      </c>
      <c r="F377" s="492" t="s">
        <v>1180</v>
      </c>
      <c r="G377" s="492" t="s">
        <v>756</v>
      </c>
      <c r="H377" s="492" t="s">
        <v>757</v>
      </c>
    </row>
    <row r="378" customFormat="false" ht="15" hidden="false" customHeight="false" outlineLevel="0" collapsed="false">
      <c r="D378" s="481" t="str">
        <f aca="false">IF($B$2,G378,H378)</f>
        <v>1º GRUPO B</v>
      </c>
      <c r="E378" s="492" t="s">
        <v>1000</v>
      </c>
      <c r="F378" s="492" t="s">
        <v>1181</v>
      </c>
      <c r="G378" s="492" t="s">
        <v>759</v>
      </c>
      <c r="H378" s="492" t="s">
        <v>760</v>
      </c>
    </row>
    <row r="379" customFormat="false" ht="15" hidden="false" customHeight="false" outlineLevel="0" collapsed="false">
      <c r="D379" s="481" t="str">
        <f aca="false">IF($B$2,G379,H379)</f>
        <v>2º GRUPO B</v>
      </c>
      <c r="E379" s="492" t="s">
        <v>1000</v>
      </c>
      <c r="F379" s="492" t="s">
        <v>1182</v>
      </c>
      <c r="G379" s="492" t="s">
        <v>762</v>
      </c>
      <c r="H379" s="492" t="s">
        <v>763</v>
      </c>
    </row>
    <row r="380" customFormat="false" ht="15" hidden="false" customHeight="false" outlineLevel="0" collapsed="false">
      <c r="D380" s="481" t="str">
        <f aca="false">IF($B$2,G380,H380)</f>
        <v>3º GRUPO B</v>
      </c>
      <c r="E380" s="492" t="s">
        <v>1000</v>
      </c>
      <c r="F380" s="492" t="s">
        <v>1183</v>
      </c>
      <c r="G380" s="492" t="s">
        <v>765</v>
      </c>
      <c r="H380" s="492" t="s">
        <v>766</v>
      </c>
    </row>
    <row r="381" customFormat="false" ht="15" hidden="false" customHeight="false" outlineLevel="0" collapsed="false">
      <c r="D381" s="481" t="str">
        <f aca="false">IF($B$2,G381,H381)</f>
        <v>4º GRUPO B</v>
      </c>
      <c r="E381" s="492" t="s">
        <v>1000</v>
      </c>
      <c r="F381" s="492" t="s">
        <v>1184</v>
      </c>
      <c r="G381" s="492" t="s">
        <v>768</v>
      </c>
      <c r="H381" s="492" t="s">
        <v>769</v>
      </c>
    </row>
    <row r="382" customFormat="false" ht="15" hidden="false" customHeight="false" outlineLevel="0" collapsed="false">
      <c r="D382" s="481" t="str">
        <f aca="false">IF($B$2,G382,H382)</f>
        <v>1º GRUPO C</v>
      </c>
      <c r="E382" s="492" t="s">
        <v>1000</v>
      </c>
      <c r="F382" s="492" t="s">
        <v>1185</v>
      </c>
      <c r="G382" s="492" t="s">
        <v>771</v>
      </c>
      <c r="H382" s="492" t="s">
        <v>772</v>
      </c>
    </row>
    <row r="383" customFormat="false" ht="15" hidden="false" customHeight="false" outlineLevel="0" collapsed="false">
      <c r="D383" s="481" t="str">
        <f aca="false">IF($B$2,G383,H383)</f>
        <v>2º GRUPO C</v>
      </c>
      <c r="E383" s="492" t="s">
        <v>1000</v>
      </c>
      <c r="F383" s="492" t="s">
        <v>1186</v>
      </c>
      <c r="G383" s="492" t="s">
        <v>774</v>
      </c>
      <c r="H383" s="492" t="s">
        <v>775</v>
      </c>
    </row>
    <row r="384" customFormat="false" ht="15" hidden="false" customHeight="false" outlineLevel="0" collapsed="false">
      <c r="D384" s="481" t="str">
        <f aca="false">IF($B$2,G384,H384)</f>
        <v>3º GRUPO C</v>
      </c>
      <c r="E384" s="492" t="s">
        <v>1000</v>
      </c>
      <c r="F384" s="492" t="s">
        <v>1187</v>
      </c>
      <c r="G384" s="492" t="s">
        <v>777</v>
      </c>
      <c r="H384" s="492" t="s">
        <v>778</v>
      </c>
    </row>
    <row r="385" customFormat="false" ht="15" hidden="false" customHeight="false" outlineLevel="0" collapsed="false">
      <c r="D385" s="481" t="str">
        <f aca="false">IF($B$2,G385,H385)</f>
        <v>4º GRUPO C</v>
      </c>
      <c r="E385" s="492" t="s">
        <v>1000</v>
      </c>
      <c r="F385" s="492" t="s">
        <v>1188</v>
      </c>
      <c r="G385" s="492" t="s">
        <v>780</v>
      </c>
      <c r="H385" s="492" t="s">
        <v>781</v>
      </c>
    </row>
    <row r="386" customFormat="false" ht="15" hidden="false" customHeight="false" outlineLevel="0" collapsed="false">
      <c r="D386" s="481" t="str">
        <f aca="false">IF($B$2,G386,H386)</f>
        <v>1º GRUPO D</v>
      </c>
      <c r="E386" s="492" t="s">
        <v>1000</v>
      </c>
      <c r="F386" s="492" t="s">
        <v>1189</v>
      </c>
      <c r="G386" s="492" t="s">
        <v>783</v>
      </c>
      <c r="H386" s="492" t="s">
        <v>784</v>
      </c>
    </row>
    <row r="387" customFormat="false" ht="15" hidden="false" customHeight="false" outlineLevel="0" collapsed="false">
      <c r="D387" s="481" t="str">
        <f aca="false">IF($B$2,G387,H387)</f>
        <v>2º GRUPO D</v>
      </c>
      <c r="E387" s="492" t="s">
        <v>1000</v>
      </c>
      <c r="F387" s="492" t="s">
        <v>1190</v>
      </c>
      <c r="G387" s="492" t="s">
        <v>786</v>
      </c>
      <c r="H387" s="492" t="s">
        <v>787</v>
      </c>
    </row>
    <row r="388" customFormat="false" ht="15" hidden="false" customHeight="false" outlineLevel="0" collapsed="false">
      <c r="D388" s="481" t="str">
        <f aca="false">IF($B$2,G388,H388)</f>
        <v>3º GRUPO D</v>
      </c>
      <c r="E388" s="492" t="s">
        <v>1000</v>
      </c>
      <c r="F388" s="492" t="s">
        <v>1191</v>
      </c>
      <c r="G388" s="492" t="s">
        <v>789</v>
      </c>
      <c r="H388" s="492" t="s">
        <v>790</v>
      </c>
    </row>
    <row r="389" customFormat="false" ht="15" hidden="false" customHeight="false" outlineLevel="0" collapsed="false">
      <c r="D389" s="481" t="str">
        <f aca="false">IF($B$2,G389,H389)</f>
        <v>4º GRUPO D</v>
      </c>
      <c r="E389" s="492" t="s">
        <v>1000</v>
      </c>
      <c r="F389" s="492" t="s">
        <v>1192</v>
      </c>
      <c r="G389" s="492" t="s">
        <v>792</v>
      </c>
      <c r="H389" s="492" t="s">
        <v>793</v>
      </c>
    </row>
    <row r="390" customFormat="false" ht="15" hidden="false" customHeight="false" outlineLevel="0" collapsed="false">
      <c r="D390" s="481" t="str">
        <f aca="false">IF($B$2,G390,H390)</f>
        <v>1º GRUPO E</v>
      </c>
      <c r="E390" s="492" t="s">
        <v>1000</v>
      </c>
      <c r="F390" s="492" t="s">
        <v>1193</v>
      </c>
      <c r="G390" s="492" t="s">
        <v>795</v>
      </c>
      <c r="H390" s="492" t="s">
        <v>796</v>
      </c>
    </row>
    <row r="391" customFormat="false" ht="15" hidden="false" customHeight="false" outlineLevel="0" collapsed="false">
      <c r="D391" s="481" t="str">
        <f aca="false">IF($B$2,G391,H391)</f>
        <v>2º GRUPO E</v>
      </c>
      <c r="E391" s="492" t="s">
        <v>1000</v>
      </c>
      <c r="F391" s="492" t="s">
        <v>1194</v>
      </c>
      <c r="G391" s="492" t="s">
        <v>798</v>
      </c>
      <c r="H391" s="492" t="s">
        <v>799</v>
      </c>
    </row>
    <row r="392" customFormat="false" ht="15" hidden="false" customHeight="false" outlineLevel="0" collapsed="false">
      <c r="D392" s="481" t="str">
        <f aca="false">IF($B$2,G392,H392)</f>
        <v>3º GRUPO E</v>
      </c>
      <c r="E392" s="492" t="s">
        <v>1000</v>
      </c>
      <c r="F392" s="492" t="s">
        <v>1195</v>
      </c>
      <c r="G392" s="492" t="s">
        <v>801</v>
      </c>
      <c r="H392" s="492" t="s">
        <v>802</v>
      </c>
    </row>
    <row r="393" customFormat="false" ht="15" hidden="false" customHeight="false" outlineLevel="0" collapsed="false">
      <c r="D393" s="481" t="str">
        <f aca="false">IF($B$2,G393,H393)</f>
        <v>4º GRUPO E</v>
      </c>
      <c r="E393" s="492" t="s">
        <v>1000</v>
      </c>
      <c r="F393" s="492" t="s">
        <v>1196</v>
      </c>
      <c r="G393" s="492" t="s">
        <v>804</v>
      </c>
      <c r="H393" s="492" t="s">
        <v>805</v>
      </c>
    </row>
    <row r="394" customFormat="false" ht="15" hidden="false" customHeight="false" outlineLevel="0" collapsed="false">
      <c r="D394" s="481" t="str">
        <f aca="false">IF($B$2,G394,H394)</f>
        <v>1º GRUPO F</v>
      </c>
      <c r="E394" s="492" t="s">
        <v>1000</v>
      </c>
      <c r="F394" s="492" t="s">
        <v>1197</v>
      </c>
      <c r="G394" s="492" t="s">
        <v>807</v>
      </c>
      <c r="H394" s="492" t="s">
        <v>808</v>
      </c>
    </row>
    <row r="395" customFormat="false" ht="15" hidden="false" customHeight="false" outlineLevel="0" collapsed="false">
      <c r="D395" s="481" t="str">
        <f aca="false">IF($B$2,G395,H395)</f>
        <v>2º GRUPO F</v>
      </c>
      <c r="E395" s="492" t="s">
        <v>1000</v>
      </c>
      <c r="F395" s="492" t="s">
        <v>1198</v>
      </c>
      <c r="G395" s="492" t="s">
        <v>810</v>
      </c>
      <c r="H395" s="492" t="s">
        <v>811</v>
      </c>
    </row>
    <row r="396" customFormat="false" ht="15" hidden="false" customHeight="false" outlineLevel="0" collapsed="false">
      <c r="D396" s="481" t="str">
        <f aca="false">IF($B$2,G396,H396)</f>
        <v>3º GRUPO F</v>
      </c>
      <c r="E396" s="492" t="s">
        <v>1000</v>
      </c>
      <c r="F396" s="492"/>
      <c r="G396" s="492" t="s">
        <v>813</v>
      </c>
      <c r="H396" s="492" t="s">
        <v>814</v>
      </c>
    </row>
    <row r="397" customFormat="false" ht="15" hidden="false" customHeight="false" outlineLevel="0" collapsed="false">
      <c r="D397" s="481" t="str">
        <f aca="false">IF($B$2,G397,H397)</f>
        <v>4º GRUPO F</v>
      </c>
      <c r="E397" s="492" t="s">
        <v>1000</v>
      </c>
      <c r="F397" s="492"/>
      <c r="G397" s="492" t="s">
        <v>816</v>
      </c>
      <c r="H397" s="492" t="s">
        <v>817</v>
      </c>
    </row>
    <row r="398" customFormat="false" ht="15" hidden="false" customHeight="false" outlineLevel="0" collapsed="false">
      <c r="D398" s="481" t="str">
        <f aca="false">IF($B$2,G398,H398)</f>
        <v>1º GRUPO G</v>
      </c>
      <c r="E398" s="492" t="s">
        <v>1000</v>
      </c>
      <c r="F398" s="492"/>
      <c r="G398" s="492" t="s">
        <v>818</v>
      </c>
      <c r="H398" s="492" t="s">
        <v>819</v>
      </c>
    </row>
    <row r="399" customFormat="false" ht="15" hidden="false" customHeight="false" outlineLevel="0" collapsed="false">
      <c r="D399" s="481" t="str">
        <f aca="false">IF($B$2,G399,H399)</f>
        <v>2º GRUPO G</v>
      </c>
      <c r="E399" s="492" t="s">
        <v>1000</v>
      </c>
      <c r="F399" s="492"/>
      <c r="G399" s="492" t="s">
        <v>820</v>
      </c>
      <c r="H399" s="492" t="s">
        <v>821</v>
      </c>
    </row>
    <row r="400" customFormat="false" ht="15" hidden="false" customHeight="false" outlineLevel="0" collapsed="false">
      <c r="D400" s="481" t="str">
        <f aca="false">IF($B$2,G400,H400)</f>
        <v>3º GRUPO G</v>
      </c>
      <c r="E400" s="492" t="s">
        <v>1000</v>
      </c>
      <c r="F400" s="492"/>
      <c r="G400" s="492" t="s">
        <v>822</v>
      </c>
      <c r="H400" s="492" t="s">
        <v>823</v>
      </c>
    </row>
    <row r="401" customFormat="false" ht="15" hidden="false" customHeight="false" outlineLevel="0" collapsed="false">
      <c r="D401" s="481" t="str">
        <f aca="false">IF($B$2,G401,H401)</f>
        <v>4º GRUPO G</v>
      </c>
      <c r="E401" s="492" t="s">
        <v>1000</v>
      </c>
      <c r="F401" s="492"/>
      <c r="G401" s="492" t="s">
        <v>824</v>
      </c>
      <c r="H401" s="492" t="s">
        <v>825</v>
      </c>
    </row>
    <row r="402" customFormat="false" ht="15" hidden="false" customHeight="false" outlineLevel="0" collapsed="false">
      <c r="D402" s="481" t="str">
        <f aca="false">IF($B$2,G402,H402)</f>
        <v>1º GRUPO H</v>
      </c>
      <c r="E402" s="492" t="s">
        <v>1000</v>
      </c>
      <c r="F402" s="492"/>
      <c r="G402" s="492" t="s">
        <v>826</v>
      </c>
      <c r="H402" s="492" t="s">
        <v>827</v>
      </c>
    </row>
    <row r="403" customFormat="false" ht="15" hidden="false" customHeight="false" outlineLevel="0" collapsed="false">
      <c r="D403" s="481" t="str">
        <f aca="false">IF($B$2,G403,H403)</f>
        <v>2º GRUPO H</v>
      </c>
      <c r="E403" s="492" t="s">
        <v>1000</v>
      </c>
      <c r="G403" s="492" t="s">
        <v>828</v>
      </c>
      <c r="H403" s="492" t="s">
        <v>829</v>
      </c>
    </row>
    <row r="404" customFormat="false" ht="15" hidden="false" customHeight="false" outlineLevel="0" collapsed="false">
      <c r="D404" s="481" t="str">
        <f aca="false">IF($B$2,G404,H404)</f>
        <v>3º GRUPO H</v>
      </c>
      <c r="E404" s="492" t="s">
        <v>1000</v>
      </c>
      <c r="G404" s="492" t="s">
        <v>830</v>
      </c>
      <c r="H404" s="492" t="s">
        <v>831</v>
      </c>
    </row>
    <row r="405" customFormat="false" ht="15" hidden="false" customHeight="false" outlineLevel="0" collapsed="false">
      <c r="D405" s="481" t="str">
        <f aca="false">IF($B$2,G405,H405)</f>
        <v>4º GRUPO H</v>
      </c>
      <c r="E405" s="492" t="s">
        <v>1000</v>
      </c>
      <c r="G405" s="492" t="s">
        <v>832</v>
      </c>
      <c r="H405" s="492" t="s">
        <v>833</v>
      </c>
    </row>
    <row r="406" customFormat="false" ht="15" hidden="false" customHeight="false" outlineLevel="0" collapsed="false">
      <c r="D406" s="481" t="str">
        <f aca="false">IF($B$2,G406,H406)</f>
        <v>1º GRUPO I</v>
      </c>
      <c r="E406" s="492" t="s">
        <v>1000</v>
      </c>
      <c r="G406" s="492" t="s">
        <v>834</v>
      </c>
      <c r="H406" s="492" t="s">
        <v>835</v>
      </c>
    </row>
    <row r="407" customFormat="false" ht="15" hidden="false" customHeight="false" outlineLevel="0" collapsed="false">
      <c r="D407" s="481" t="str">
        <f aca="false">IF($B$2,G407,H407)</f>
        <v>2º GRUPO I</v>
      </c>
      <c r="E407" s="492" t="s">
        <v>1000</v>
      </c>
      <c r="G407" s="492" t="s">
        <v>836</v>
      </c>
      <c r="H407" s="492" t="s">
        <v>837</v>
      </c>
    </row>
    <row r="408" customFormat="false" ht="15" hidden="false" customHeight="false" outlineLevel="0" collapsed="false">
      <c r="D408" s="481" t="str">
        <f aca="false">IF($B$2,G408,H408)</f>
        <v>3º GRUPO I</v>
      </c>
      <c r="E408" s="492" t="s">
        <v>1000</v>
      </c>
      <c r="G408" s="492" t="s">
        <v>838</v>
      </c>
      <c r="H408" s="492" t="s">
        <v>839</v>
      </c>
    </row>
    <row r="409" customFormat="false" ht="15" hidden="false" customHeight="false" outlineLevel="0" collapsed="false">
      <c r="D409" s="481" t="str">
        <f aca="false">IF($B$2,G409,H409)</f>
        <v>4º GRUPO I</v>
      </c>
      <c r="E409" s="492" t="s">
        <v>1000</v>
      </c>
      <c r="G409" s="492" t="s">
        <v>840</v>
      </c>
      <c r="H409" s="492" t="s">
        <v>841</v>
      </c>
    </row>
    <row r="410" customFormat="false" ht="15" hidden="false" customHeight="false" outlineLevel="0" collapsed="false">
      <c r="D410" s="481" t="str">
        <f aca="false">IF($B$2,G410,H410)</f>
        <v>1º GRUPO J</v>
      </c>
      <c r="E410" s="492" t="s">
        <v>1000</v>
      </c>
      <c r="G410" s="492" t="s">
        <v>842</v>
      </c>
      <c r="H410" s="492" t="s">
        <v>843</v>
      </c>
    </row>
    <row r="411" customFormat="false" ht="15" hidden="false" customHeight="false" outlineLevel="0" collapsed="false">
      <c r="D411" s="481" t="str">
        <f aca="false">IF($B$2,G411,H411)</f>
        <v>2º GRUPO J</v>
      </c>
      <c r="E411" s="492" t="s">
        <v>1000</v>
      </c>
      <c r="G411" s="492" t="s">
        <v>844</v>
      </c>
      <c r="H411" s="492" t="s">
        <v>845</v>
      </c>
    </row>
    <row r="412" customFormat="false" ht="15" hidden="false" customHeight="false" outlineLevel="0" collapsed="false">
      <c r="D412" s="481" t="str">
        <f aca="false">IF($B$2,G412,H412)</f>
        <v>3º GRUPO J</v>
      </c>
      <c r="E412" s="492" t="s">
        <v>1000</v>
      </c>
      <c r="G412" s="492" t="s">
        <v>846</v>
      </c>
      <c r="H412" s="492" t="s">
        <v>847</v>
      </c>
    </row>
    <row r="413" customFormat="false" ht="15" hidden="false" customHeight="false" outlineLevel="0" collapsed="false">
      <c r="D413" s="481" t="str">
        <f aca="false">IF($B$2,G413,H413)</f>
        <v>4º GRUPO J</v>
      </c>
      <c r="E413" s="492" t="s">
        <v>1000</v>
      </c>
      <c r="G413" s="492" t="s">
        <v>848</v>
      </c>
      <c r="H413" s="492" t="s">
        <v>849</v>
      </c>
    </row>
    <row r="414" customFormat="false" ht="15" hidden="false" customHeight="false" outlineLevel="0" collapsed="false">
      <c r="D414" s="481" t="str">
        <f aca="false">IF($B$2,G414,H414)</f>
        <v>1º GRUPO K</v>
      </c>
      <c r="E414" s="492" t="s">
        <v>1000</v>
      </c>
      <c r="G414" s="492" t="s">
        <v>850</v>
      </c>
      <c r="H414" s="492" t="s">
        <v>851</v>
      </c>
    </row>
    <row r="415" customFormat="false" ht="15" hidden="false" customHeight="false" outlineLevel="0" collapsed="false">
      <c r="D415" s="481" t="str">
        <f aca="false">IF($B$2,G415,H415)</f>
        <v>2º GRUPO K</v>
      </c>
      <c r="E415" s="492" t="s">
        <v>1000</v>
      </c>
      <c r="G415" s="492" t="s">
        <v>852</v>
      </c>
      <c r="H415" s="492" t="s">
        <v>853</v>
      </c>
    </row>
    <row r="416" customFormat="false" ht="15" hidden="false" customHeight="false" outlineLevel="0" collapsed="false">
      <c r="D416" s="481" t="str">
        <f aca="false">IF($B$2,G416,H416)</f>
        <v>3º GRUPO K</v>
      </c>
      <c r="E416" s="492" t="s">
        <v>1000</v>
      </c>
      <c r="G416" s="492" t="s">
        <v>854</v>
      </c>
      <c r="H416" s="492" t="s">
        <v>855</v>
      </c>
    </row>
    <row r="417" customFormat="false" ht="15" hidden="false" customHeight="false" outlineLevel="0" collapsed="false">
      <c r="D417" s="481" t="str">
        <f aca="false">IF($B$2,G417,H417)</f>
        <v>4º GRUPO K</v>
      </c>
      <c r="E417" s="492" t="s">
        <v>1000</v>
      </c>
      <c r="G417" s="492" t="s">
        <v>856</v>
      </c>
      <c r="H417" s="492" t="s">
        <v>857</v>
      </c>
    </row>
    <row r="418" customFormat="false" ht="15" hidden="false" customHeight="false" outlineLevel="0" collapsed="false">
      <c r="D418" s="481" t="str">
        <f aca="false">IF($B$2,G418,H418)</f>
        <v>1º GRUPO L</v>
      </c>
      <c r="E418" s="492" t="s">
        <v>1000</v>
      </c>
      <c r="G418" s="492" t="s">
        <v>858</v>
      </c>
      <c r="H418" s="492" t="s">
        <v>859</v>
      </c>
    </row>
    <row r="419" customFormat="false" ht="15" hidden="false" customHeight="false" outlineLevel="0" collapsed="false">
      <c r="D419" s="481" t="str">
        <f aca="false">IF($B$2,G419,H419)</f>
        <v>2º GRUPO L</v>
      </c>
      <c r="E419" s="492" t="s">
        <v>1000</v>
      </c>
      <c r="G419" s="492" t="s">
        <v>860</v>
      </c>
      <c r="H419" s="492" t="s">
        <v>861</v>
      </c>
    </row>
    <row r="420" customFormat="false" ht="15" hidden="false" customHeight="false" outlineLevel="0" collapsed="false">
      <c r="D420" s="481" t="str">
        <f aca="false">IF($B$2,G420,H420)</f>
        <v>3º GRUPO L</v>
      </c>
      <c r="E420" s="492" t="s">
        <v>1000</v>
      </c>
      <c r="G420" s="492" t="s">
        <v>862</v>
      </c>
      <c r="H420" s="492" t="s">
        <v>863</v>
      </c>
    </row>
    <row r="421" customFormat="false" ht="15" hidden="false" customHeight="false" outlineLevel="0" collapsed="false">
      <c r="D421" s="481" t="str">
        <f aca="false">IF($B$2,G421,H421)</f>
        <v>4º GRUPO L</v>
      </c>
      <c r="E421" s="492" t="s">
        <v>1000</v>
      </c>
      <c r="G421" s="492" t="s">
        <v>864</v>
      </c>
      <c r="H421" s="492" t="s">
        <v>865</v>
      </c>
    </row>
    <row r="422" customFormat="false" ht="15" hidden="false" customHeight="false" outlineLevel="0" collapsed="false">
      <c r="D422" s="481" t="str">
        <f aca="false">IF($B$2,G422,H422)</f>
        <v>Dieciseisavofinalista</v>
      </c>
      <c r="E422" s="492" t="s">
        <v>1000</v>
      </c>
      <c r="G422" s="492" t="s">
        <v>867</v>
      </c>
      <c r="H422" s="492" t="s">
        <v>868</v>
      </c>
    </row>
    <row r="423" customFormat="false" ht="15" hidden="false" customHeight="false" outlineLevel="0" collapsed="false">
      <c r="D423" s="481" t="str">
        <f aca="false">IF($B$2,G423,H423)</f>
        <v>Octavofinalista</v>
      </c>
      <c r="E423" s="492" t="s">
        <v>1000</v>
      </c>
      <c r="G423" s="492" t="s">
        <v>869</v>
      </c>
      <c r="H423" s="492" t="s">
        <v>870</v>
      </c>
    </row>
    <row r="424" customFormat="false" ht="15" hidden="false" customHeight="false" outlineLevel="0" collapsed="false">
      <c r="D424" s="481" t="str">
        <f aca="false">IF($B$2,G424,H424)</f>
        <v>Cuartofinalista</v>
      </c>
      <c r="E424" s="492" t="s">
        <v>1000</v>
      </c>
      <c r="G424" s="492" t="s">
        <v>872</v>
      </c>
      <c r="H424" s="492" t="s">
        <v>873</v>
      </c>
    </row>
    <row r="425" customFormat="false" ht="15" hidden="false" customHeight="false" outlineLevel="0" collapsed="false">
      <c r="D425" s="481" t="str">
        <f aca="false">IF($B$2,G425,H425)</f>
        <v>Semifinalista</v>
      </c>
      <c r="E425" s="492" t="s">
        <v>1000</v>
      </c>
      <c r="G425" s="492" t="s">
        <v>875</v>
      </c>
      <c r="H425" s="492" t="s">
        <v>876</v>
      </c>
    </row>
    <row r="426" customFormat="false" ht="15" hidden="false" customHeight="false" outlineLevel="0" collapsed="false">
      <c r="D426" s="481" t="str">
        <f aca="false">IF($B$2,G426,H426)</f>
        <v>3º y 4º puesto</v>
      </c>
      <c r="E426" s="492" t="s">
        <v>1000</v>
      </c>
      <c r="G426" s="492" t="s">
        <v>484</v>
      </c>
      <c r="H426" s="492" t="s">
        <v>485</v>
      </c>
    </row>
    <row r="427" customFormat="false" ht="15" hidden="false" customHeight="false" outlineLevel="0" collapsed="false">
      <c r="D427" s="481" t="str">
        <f aca="false">IF($B$2,G427,H427)</f>
        <v>Finalista</v>
      </c>
      <c r="E427" s="492" t="s">
        <v>1000</v>
      </c>
      <c r="G427" s="492" t="s">
        <v>878</v>
      </c>
      <c r="H427" s="492" t="s">
        <v>879</v>
      </c>
    </row>
    <row r="428" customFormat="false" ht="15" hidden="false" customHeight="false" outlineLevel="0" collapsed="false">
      <c r="D428" s="481" t="str">
        <f aca="false">IF($B$2,G428,H428)</f>
        <v>J1</v>
      </c>
      <c r="E428" s="492" t="s">
        <v>1000</v>
      </c>
      <c r="G428" s="492" t="s">
        <v>292</v>
      </c>
      <c r="H428" s="492" t="s">
        <v>564</v>
      </c>
    </row>
    <row r="429" customFormat="false" ht="15" hidden="false" customHeight="false" outlineLevel="0" collapsed="false">
      <c r="D429" s="481" t="str">
        <f aca="false">IF($B$2,G429,H429)</f>
        <v>J2</v>
      </c>
      <c r="E429" s="492" t="s">
        <v>1000</v>
      </c>
      <c r="G429" s="492" t="s">
        <v>308</v>
      </c>
      <c r="H429" s="492" t="s">
        <v>565</v>
      </c>
    </row>
    <row r="430" customFormat="false" ht="15" hidden="false" customHeight="false" outlineLevel="0" collapsed="false">
      <c r="D430" s="481" t="str">
        <f aca="false">IF($B$2,G430,H430)</f>
        <v>J3</v>
      </c>
      <c r="E430" s="492" t="s">
        <v>1000</v>
      </c>
      <c r="G430" s="492" t="s">
        <v>327</v>
      </c>
      <c r="H430" s="492" t="s">
        <v>566</v>
      </c>
    </row>
    <row r="431" customFormat="false" ht="15" hidden="false" customHeight="false" outlineLevel="0" collapsed="false">
      <c r="D431" s="481" t="str">
        <f aca="false">IF($B$2,G431,H431)</f>
        <v>Sistema de puntuación</v>
      </c>
      <c r="E431" s="492" t="s">
        <v>1000</v>
      </c>
      <c r="G431" s="492" t="s">
        <v>1199</v>
      </c>
      <c r="H431" s="492" t="s">
        <v>1200</v>
      </c>
    </row>
    <row r="432" customFormat="false" ht="15" hidden="false" customHeight="false" outlineLevel="0" collapsed="false">
      <c r="D432" s="481" t="n">
        <f aca="false">IF($B$2,G432,H432)</f>
        <v>0</v>
      </c>
      <c r="E432" s="492" t="s">
        <v>1000</v>
      </c>
      <c r="G432" s="492"/>
      <c r="H432" s="492"/>
    </row>
    <row r="433" customFormat="false" ht="15" hidden="false" customHeight="false" outlineLevel="0" collapsed="false">
      <c r="D433" s="481" t="str">
        <f aca="false">IF($B$2,G433,H433)</f>
        <v>PREDICTOR - Campeón</v>
      </c>
      <c r="E433" s="492" t="s">
        <v>1000</v>
      </c>
      <c r="G433" s="492" t="s">
        <v>1201</v>
      </c>
      <c r="H433" s="492" t="s">
        <v>1202</v>
      </c>
    </row>
    <row r="434" customFormat="false" ht="15" hidden="false" customHeight="false" outlineLevel="0" collapsed="false">
      <c r="D434" s="481" t="str">
        <f aca="false">IF($B$2,G434,H434)</f>
        <v>PREDICTOR - Subcampeón</v>
      </c>
      <c r="E434" s="492" t="s">
        <v>1000</v>
      </c>
      <c r="G434" s="492" t="s">
        <v>1203</v>
      </c>
      <c r="H434" s="492" t="s">
        <v>1204</v>
      </c>
    </row>
    <row r="435" customFormat="false" ht="15" hidden="false" customHeight="false" outlineLevel="0" collapsed="false">
      <c r="D435" s="481" t="str">
        <f aca="false">IF($B$2,G435,H435)</f>
        <v>PREDICTOR- 3º puesto</v>
      </c>
      <c r="E435" s="492" t="s">
        <v>1000</v>
      </c>
      <c r="G435" s="492" t="s">
        <v>1205</v>
      </c>
      <c r="H435" s="492" t="s">
        <v>1206</v>
      </c>
    </row>
    <row r="436" customFormat="false" ht="15" hidden="false" customHeight="false" outlineLevel="0" collapsed="false">
      <c r="D436" s="481" t="str">
        <f aca="false">IF($B$2,G436,H436)</f>
        <v>PREDICTOR - Semifinales</v>
      </c>
      <c r="E436" s="492" t="s">
        <v>1000</v>
      </c>
      <c r="G436" s="492" t="s">
        <v>1207</v>
      </c>
      <c r="H436" s="492" t="s">
        <v>1208</v>
      </c>
    </row>
    <row r="437" customFormat="false" ht="15" hidden="false" customHeight="false" outlineLevel="0" collapsed="false">
      <c r="D437" s="481" t="str">
        <f aca="false">IF($B$2,G437,H437)</f>
        <v>PREDICTOR - Cuartos de final</v>
      </c>
      <c r="E437" s="492" t="s">
        <v>1000</v>
      </c>
      <c r="G437" s="492" t="s">
        <v>1209</v>
      </c>
      <c r="H437" s="492" t="s">
        <v>1210</v>
      </c>
    </row>
    <row r="438" customFormat="false" ht="15" hidden="false" customHeight="false" outlineLevel="0" collapsed="false">
      <c r="D438" s="481" t="str">
        <f aca="false">IF($B$2,G438,H438)</f>
        <v>PREDICTOR - Octavos de final</v>
      </c>
      <c r="E438" s="492" t="s">
        <v>1000</v>
      </c>
      <c r="G438" s="492" t="s">
        <v>1211</v>
      </c>
      <c r="H438" s="492" t="s">
        <v>1212</v>
      </c>
    </row>
    <row r="439" customFormat="false" ht="15" hidden="false" customHeight="false" outlineLevel="0" collapsed="false">
      <c r="D439" s="481" t="str">
        <f aca="false">IF($B$2,G439,H439)</f>
        <v>PREDICTOR - Dieciseisavos de final</v>
      </c>
      <c r="E439" s="492" t="s">
        <v>1000</v>
      </c>
      <c r="G439" s="492" t="s">
        <v>1213</v>
      </c>
      <c r="H439" s="492" t="s">
        <v>1214</v>
      </c>
    </row>
    <row r="440" customFormat="false" ht="15" hidden="false" customHeight="false" outlineLevel="0" collapsed="false">
      <c r="D440" s="481" t="str">
        <f aca="false">IF($B$2,G440,H440)</f>
        <v>PREDICTOR- Fase de Liga</v>
      </c>
      <c r="E440" s="492" t="s">
        <v>1000</v>
      </c>
      <c r="G440" s="492" t="s">
        <v>1215</v>
      </c>
      <c r="H440" s="492" t="s">
        <v>1216</v>
      </c>
    </row>
    <row r="441" customFormat="false" ht="15" hidden="false" customHeight="false" outlineLevel="0" collapsed="false">
      <c r="D441" s="481" t="str">
        <f aca="false">IF($B$2,G441,H441)</f>
        <v>% Ajuste por desvío en Diferencia/Distancia de goles</v>
      </c>
      <c r="E441" s="492" t="s">
        <v>1000</v>
      </c>
      <c r="G441" s="492" t="s">
        <v>1217</v>
      </c>
      <c r="H441" s="492" t="s">
        <v>1218</v>
      </c>
    </row>
    <row r="442" customFormat="false" ht="15" hidden="false" customHeight="false" outlineLevel="0" collapsed="false">
      <c r="D442" s="481" t="str">
        <f aca="false">IF($B$2,G442,H442)</f>
        <v>None</v>
      </c>
      <c r="E442" s="492" t="s">
        <v>1103</v>
      </c>
      <c r="G442" s="492" t="s">
        <v>309</v>
      </c>
      <c r="H442" s="481" t="s">
        <v>309</v>
      </c>
    </row>
    <row r="443" customFormat="false" ht="15" hidden="false" customHeight="false" outlineLevel="0" collapsed="false">
      <c r="D443" s="481" t="str">
        <f aca="false">IF($B$2,G443,H443)</f>
        <v>**¿Qué es esto y cómo funciona?</v>
      </c>
      <c r="E443" s="492" t="s">
        <v>1000</v>
      </c>
      <c r="G443" s="492" t="s">
        <v>1219</v>
      </c>
      <c r="H443" s="492" t="s">
        <v>1220</v>
      </c>
    </row>
    <row r="444" customFormat="false" ht="23.85" hidden="false" customHeight="false" outlineLevel="0" collapsed="false">
      <c r="D444" s="481" t="str">
        <f aca="false">IF($B$2,G444,H444)</f>
        <v>https://matejero.es/puntuaciones-excel-mundial-2026/#%C2%BFQue_es_y_como_funciona_el_ajuste_por_desvio_en_diferenciadistancia_de_goles</v>
      </c>
      <c r="E444" s="492" t="s">
        <v>1000</v>
      </c>
      <c r="G444" s="495" t="s">
        <v>1221</v>
      </c>
      <c r="H444" s="495" t="s">
        <v>1222</v>
      </c>
    </row>
    <row r="445" customFormat="false" ht="15" hidden="false" customHeight="false" outlineLevel="0" collapsed="false">
      <c r="D445" s="481" t="str">
        <f aca="false">IF($B$2,G445,H445)</f>
        <v>?</v>
      </c>
      <c r="E445" s="492" t="s">
        <v>1000</v>
      </c>
      <c r="G445" s="492" t="s">
        <v>1223</v>
      </c>
      <c r="H445" s="492" t="s">
        <v>1223</v>
      </c>
    </row>
    <row r="446" customFormat="false" ht="15" hidden="false" customHeight="false" outlineLevel="0" collapsed="false">
      <c r="D446" s="481" t="str">
        <f aca="false">IF($B$2,G446,H446)</f>
        <v>https://matejero.es/puntuaciones-excel-mundial-2026/#%C2%BFQue_es_un_BONUS</v>
      </c>
      <c r="E446" s="492" t="s">
        <v>1000</v>
      </c>
      <c r="G446" s="495" t="s">
        <v>1224</v>
      </c>
      <c r="H446" s="495" t="s">
        <v>1225</v>
      </c>
    </row>
    <row r="447" customFormat="false" ht="15" hidden="false" customHeight="false" outlineLevel="0" collapsed="false">
      <c r="E447" s="492"/>
      <c r="G447" s="494"/>
      <c r="H447" s="494"/>
    </row>
    <row r="448" customFormat="false" ht="15" hidden="false" customHeight="false" outlineLevel="0" collapsed="false">
      <c r="E448" s="492"/>
      <c r="G448" s="494"/>
      <c r="H448" s="494"/>
    </row>
    <row r="451" customFormat="false" ht="15" hidden="false" customHeight="false" outlineLevel="0" collapsed="false">
      <c r="D451" s="481" t="str">
        <f aca="false">IF($B$2,G451,H451)</f>
        <v>CLASIFICACIÓN MUNDIAL 2026</v>
      </c>
      <c r="E451" s="481" t="s">
        <v>1226</v>
      </c>
      <c r="F451" s="481" t="s">
        <v>1227</v>
      </c>
      <c r="G451" s="496" t="s">
        <v>1228</v>
      </c>
      <c r="H451" s="496" t="s">
        <v>1229</v>
      </c>
    </row>
    <row r="452" customFormat="false" ht="15" hidden="false" customHeight="false" outlineLevel="0" collapsed="false">
      <c r="D452" s="481" t="str">
        <f aca="false">IF($B$2,G452,H452)</f>
        <v>Pos</v>
      </c>
      <c r="E452" s="481" t="s">
        <v>1226</v>
      </c>
      <c r="F452" s="481" t="s">
        <v>314</v>
      </c>
      <c r="G452" s="496" t="s">
        <v>547</v>
      </c>
      <c r="H452" s="496" t="s">
        <v>547</v>
      </c>
    </row>
    <row r="453" customFormat="false" ht="15" hidden="false" customHeight="false" outlineLevel="0" collapsed="false">
      <c r="D453" s="481" t="str">
        <f aca="false">IF($B$2,G453,H453)</f>
        <v>Jugador</v>
      </c>
      <c r="E453" s="481" t="s">
        <v>1226</v>
      </c>
      <c r="F453" s="481" t="s">
        <v>315</v>
      </c>
      <c r="G453" s="496" t="s">
        <v>1230</v>
      </c>
      <c r="H453" s="496" t="s">
        <v>1231</v>
      </c>
    </row>
    <row r="454" customFormat="false" ht="15" hidden="false" customHeight="false" outlineLevel="0" collapsed="false">
      <c r="D454" s="481" t="str">
        <f aca="false">IF($B$2,G454,H454)</f>
        <v>Puntos Totales</v>
      </c>
      <c r="E454" s="481" t="s">
        <v>1226</v>
      </c>
      <c r="F454" s="481" t="s">
        <v>317</v>
      </c>
      <c r="G454" s="496" t="s">
        <v>1232</v>
      </c>
      <c r="H454" s="496" t="s">
        <v>1233</v>
      </c>
    </row>
    <row r="455" customFormat="false" ht="15" hidden="false" customHeight="false" outlineLevel="0" collapsed="false">
      <c r="D455" s="481" t="str">
        <f aca="false">IF($B$2,G455,H455)</f>
        <v>F. Grupos</v>
      </c>
      <c r="E455" s="481" t="s">
        <v>1226</v>
      </c>
      <c r="F455" s="481" t="s">
        <v>319</v>
      </c>
      <c r="G455" s="496" t="s">
        <v>1234</v>
      </c>
      <c r="H455" s="496" t="s">
        <v>1235</v>
      </c>
    </row>
    <row r="456" customFormat="false" ht="15" hidden="false" customHeight="false" outlineLevel="0" collapsed="false">
      <c r="D456" s="481" t="str">
        <f aca="false">IF($B$2,G456,H456)</f>
        <v>Pos. Grupos</v>
      </c>
      <c r="E456" s="481" t="s">
        <v>1226</v>
      </c>
      <c r="F456" s="481" t="s">
        <v>321</v>
      </c>
      <c r="G456" s="496" t="s">
        <v>1236</v>
      </c>
      <c r="H456" s="496" t="s">
        <v>1237</v>
      </c>
    </row>
    <row r="457" customFormat="false" ht="15" hidden="false" customHeight="false" outlineLevel="0" collapsed="false">
      <c r="D457" s="481" t="str">
        <f aca="false">IF($B$2,G457,H457)</f>
        <v>Equipos 1/16</v>
      </c>
      <c r="E457" s="481" t="s">
        <v>1226</v>
      </c>
      <c r="F457" s="481" t="s">
        <v>323</v>
      </c>
      <c r="G457" s="496" t="s">
        <v>1238</v>
      </c>
      <c r="H457" s="496" t="s">
        <v>1239</v>
      </c>
    </row>
    <row r="458" customFormat="false" ht="15" hidden="false" customHeight="false" outlineLevel="0" collapsed="false">
      <c r="D458" s="481" t="str">
        <f aca="false">IF($B$2,G458,H458)</f>
        <v>Partidos 1/16</v>
      </c>
      <c r="E458" s="481" t="s">
        <v>1226</v>
      </c>
      <c r="F458" s="481" t="s">
        <v>324</v>
      </c>
      <c r="G458" s="496" t="s">
        <v>1240</v>
      </c>
      <c r="H458" s="496" t="s">
        <v>1241</v>
      </c>
    </row>
    <row r="459" customFormat="false" ht="15" hidden="false" customHeight="false" outlineLevel="0" collapsed="false">
      <c r="D459" s="481" t="str">
        <f aca="false">IF($B$2,G459,H459)</f>
        <v>Equipos 1/8</v>
      </c>
      <c r="E459" s="481" t="s">
        <v>1226</v>
      </c>
      <c r="F459" s="481" t="s">
        <v>323</v>
      </c>
      <c r="G459" s="496" t="s">
        <v>1242</v>
      </c>
      <c r="H459" s="496" t="s">
        <v>1243</v>
      </c>
    </row>
    <row r="460" customFormat="false" ht="15" hidden="false" customHeight="false" outlineLevel="0" collapsed="false">
      <c r="D460" s="481" t="str">
        <f aca="false">IF($B$2,G460,H460)</f>
        <v>Partidos 1/8</v>
      </c>
      <c r="E460" s="481" t="s">
        <v>1226</v>
      </c>
      <c r="F460" s="481" t="s">
        <v>324</v>
      </c>
      <c r="G460" s="496" t="s">
        <v>1244</v>
      </c>
      <c r="H460" s="496" t="s">
        <v>1245</v>
      </c>
    </row>
    <row r="461" customFormat="false" ht="15" hidden="false" customHeight="false" outlineLevel="0" collapsed="false">
      <c r="D461" s="481" t="str">
        <f aca="false">IF($B$2,G461,H461)</f>
        <v>Equipos 1/4</v>
      </c>
      <c r="E461" s="481" t="s">
        <v>1226</v>
      </c>
      <c r="F461" s="481" t="s">
        <v>326</v>
      </c>
      <c r="G461" s="496" t="s">
        <v>1246</v>
      </c>
      <c r="H461" s="496" t="s">
        <v>1247</v>
      </c>
    </row>
    <row r="462" customFormat="false" ht="15" hidden="false" customHeight="false" outlineLevel="0" collapsed="false">
      <c r="D462" s="481" t="str">
        <f aca="false">IF($B$2,G462,H462)</f>
        <v>Partidos 1/4</v>
      </c>
      <c r="E462" s="481" t="s">
        <v>1226</v>
      </c>
      <c r="F462" s="481" t="s">
        <v>327</v>
      </c>
      <c r="G462" s="496" t="s">
        <v>1248</v>
      </c>
      <c r="H462" s="496" t="s">
        <v>1249</v>
      </c>
    </row>
    <row r="463" customFormat="false" ht="15" hidden="false" customHeight="false" outlineLevel="0" collapsed="false">
      <c r="D463" s="481" t="str">
        <f aca="false">IF($B$2,G463,H463)</f>
        <v>Equipos 1/2</v>
      </c>
      <c r="E463" s="481" t="s">
        <v>1226</v>
      </c>
      <c r="F463" s="481" t="s">
        <v>329</v>
      </c>
      <c r="G463" s="496" t="s">
        <v>1250</v>
      </c>
      <c r="H463" s="496" t="s">
        <v>1251</v>
      </c>
    </row>
    <row r="464" customFormat="false" ht="15" hidden="false" customHeight="false" outlineLevel="0" collapsed="false">
      <c r="D464" s="481" t="str">
        <f aca="false">IF($B$2,G464,H464)</f>
        <v>Partidos 1/2</v>
      </c>
      <c r="E464" s="481" t="s">
        <v>1226</v>
      </c>
      <c r="F464" s="481" t="s">
        <v>330</v>
      </c>
      <c r="G464" s="496" t="s">
        <v>1252</v>
      </c>
      <c r="H464" s="496" t="s">
        <v>1253</v>
      </c>
    </row>
    <row r="465" customFormat="false" ht="15" hidden="false" customHeight="false" outlineLevel="0" collapsed="false">
      <c r="D465" s="481" t="str">
        <f aca="false">IF($B$2,G465,H465)</f>
        <v>Equipos 3-4</v>
      </c>
      <c r="E465" s="481" t="s">
        <v>1226</v>
      </c>
      <c r="G465" s="496" t="s">
        <v>1254</v>
      </c>
      <c r="H465" s="496" t="s">
        <v>1255</v>
      </c>
    </row>
    <row r="466" customFormat="false" ht="15" hidden="false" customHeight="false" outlineLevel="0" collapsed="false">
      <c r="D466" s="481" t="str">
        <f aca="false">IF($B$2,G466,H466)</f>
        <v>Equipos Final</v>
      </c>
      <c r="E466" s="481" t="s">
        <v>1226</v>
      </c>
      <c r="F466" s="481" t="s">
        <v>1256</v>
      </c>
      <c r="G466" s="496" t="s">
        <v>1257</v>
      </c>
      <c r="H466" s="496" t="s">
        <v>1258</v>
      </c>
    </row>
    <row r="467" customFormat="false" ht="15" hidden="false" customHeight="false" outlineLevel="0" collapsed="false">
      <c r="D467" s="481" t="str">
        <f aca="false">IF($B$2,G467,H467)</f>
        <v>Partido 3-4</v>
      </c>
      <c r="E467" s="481" t="s">
        <v>1226</v>
      </c>
      <c r="G467" s="496" t="s">
        <v>1259</v>
      </c>
      <c r="H467" s="496" t="s">
        <v>1260</v>
      </c>
    </row>
    <row r="468" customFormat="false" ht="15" hidden="false" customHeight="false" outlineLevel="0" collapsed="false">
      <c r="D468" s="481" t="str">
        <f aca="false">IF($B$2,G468,H468)</f>
        <v>Partido Final</v>
      </c>
      <c r="E468" s="481" t="s">
        <v>1226</v>
      </c>
      <c r="F468" s="481" t="s">
        <v>461</v>
      </c>
      <c r="G468" s="496" t="s">
        <v>1143</v>
      </c>
      <c r="H468" s="496" t="s">
        <v>1261</v>
      </c>
    </row>
    <row r="469" customFormat="false" ht="15" hidden="false" customHeight="false" outlineLevel="0" collapsed="false">
      <c r="D469" s="481" t="str">
        <f aca="false">IF($B$2,G469,H469)</f>
        <v>Cuadro de Honor </v>
      </c>
      <c r="E469" s="481" t="s">
        <v>1226</v>
      </c>
      <c r="F469" s="481" t="s">
        <v>1262</v>
      </c>
      <c r="G469" s="496" t="s">
        <v>1263</v>
      </c>
      <c r="H469" s="496" t="s">
        <v>1264</v>
      </c>
    </row>
    <row r="470" customFormat="false" ht="15" hidden="false" customHeight="false" outlineLevel="0" collapsed="false">
      <c r="D470" s="481" t="str">
        <f aca="false">IF($B$2,G470,H470)</f>
        <v>Predictor </v>
      </c>
      <c r="E470" s="481" t="s">
        <v>1226</v>
      </c>
      <c r="F470" s="481" t="s">
        <v>1262</v>
      </c>
      <c r="G470" s="496" t="s">
        <v>1265</v>
      </c>
      <c r="H470" s="496" t="s">
        <v>1265</v>
      </c>
    </row>
    <row r="474" customFormat="false" ht="15" hidden="false" customHeight="false" outlineLevel="0" collapsed="false">
      <c r="D474" s="481" t="str">
        <f aca="false">IF($B$2,G474,H474)</f>
        <v>Selecciona día:</v>
      </c>
      <c r="E474" s="481" t="s">
        <v>1266</v>
      </c>
      <c r="F474" s="481" t="s">
        <v>280</v>
      </c>
      <c r="G474" s="481" t="s">
        <v>1267</v>
      </c>
      <c r="H474" s="481" t="s">
        <v>1268</v>
      </c>
    </row>
    <row r="475" customFormat="false" ht="15" hidden="false" customHeight="false" outlineLevel="0" collapsed="false">
      <c r="D475" s="481" t="str">
        <f aca="false">IF($B$2,G475,H475)</f>
        <v>Nombre</v>
      </c>
      <c r="E475" s="481" t="s">
        <v>1266</v>
      </c>
      <c r="F475" s="481" t="s">
        <v>315</v>
      </c>
      <c r="G475" s="481" t="s">
        <v>655</v>
      </c>
      <c r="H475" s="481" t="s">
        <v>408</v>
      </c>
    </row>
    <row r="478" customFormat="false" ht="15" hidden="false" customHeight="false" outlineLevel="0" collapsed="false">
      <c r="D478" s="481" t="str">
        <f aca="false">IF($B$2,G478,H478)</f>
        <v>Selecciona día:</v>
      </c>
      <c r="E478" s="481" t="s">
        <v>1269</v>
      </c>
      <c r="F478" s="481" t="s">
        <v>290</v>
      </c>
      <c r="G478" s="481" t="s">
        <v>1267</v>
      </c>
      <c r="H478" s="481" t="s">
        <v>1268</v>
      </c>
    </row>
    <row r="479" customFormat="false" ht="15" hidden="false" customHeight="false" outlineLevel="0" collapsed="false">
      <c r="D479" s="481" t="str">
        <f aca="false">IF($B$2,G479,H479)</f>
        <v>Pos</v>
      </c>
      <c r="E479" s="481" t="s">
        <v>1269</v>
      </c>
      <c r="F479" s="481" t="s">
        <v>319</v>
      </c>
      <c r="G479" s="481" t="s">
        <v>547</v>
      </c>
      <c r="H479" s="481" t="s">
        <v>547</v>
      </c>
    </row>
    <row r="480" customFormat="false" ht="15" hidden="false" customHeight="false" outlineLevel="0" collapsed="false">
      <c r="D480" s="481" t="str">
        <f aca="false">IF($B$2,G480,H480)</f>
        <v>Nombre</v>
      </c>
      <c r="E480" s="481" t="s">
        <v>1269</v>
      </c>
      <c r="F480" s="481" t="s">
        <v>321</v>
      </c>
      <c r="G480" s="481" t="s">
        <v>655</v>
      </c>
      <c r="H480" s="481" t="s">
        <v>408</v>
      </c>
    </row>
    <row r="481" customFormat="false" ht="15" hidden="false" customHeight="false" outlineLevel="0" collapsed="false">
      <c r="D481" s="481" t="str">
        <f aca="false">IF($B$2,G481,H481)</f>
        <v>Puntos Día / Eliminatoria</v>
      </c>
      <c r="E481" s="481" t="s">
        <v>1269</v>
      </c>
      <c r="F481" s="481" t="s">
        <v>323</v>
      </c>
      <c r="G481" s="481" t="s">
        <v>1270</v>
      </c>
      <c r="H481" s="481" t="s">
        <v>1271</v>
      </c>
    </row>
    <row r="484" customFormat="false" ht="15" hidden="false" customHeight="false" outlineLevel="0" collapsed="false">
      <c r="D484" s="481" t="str">
        <f aca="false">IF($B$2,G484,H484)</f>
        <v>Puntos en juego </v>
      </c>
      <c r="E484" s="481" t="s">
        <v>1272</v>
      </c>
      <c r="G484" s="481" t="s">
        <v>1273</v>
      </c>
      <c r="H484" s="475" t="s">
        <v>1274</v>
      </c>
    </row>
    <row r="485" customFormat="false" ht="15" hidden="false" customHeight="false" outlineLevel="0" collapsed="false">
      <c r="D485" s="481" t="str">
        <f aca="false">IF($B$2,G485,H485)</f>
        <v>Máximo de puntos hasta </v>
      </c>
      <c r="E485" s="481" t="s">
        <v>1272</v>
      </c>
      <c r="G485" s="481" t="s">
        <v>1275</v>
      </c>
      <c r="H485" s="475" t="s">
        <v>1276</v>
      </c>
    </row>
    <row r="486" customFormat="false" ht="15" hidden="false" customHeight="false" outlineLevel="0" collapsed="false">
      <c r="D486" s="481" t="str">
        <f aca="false">IF($B$2,G486,H486)</f>
        <v>Máximo de puntos incluido </v>
      </c>
      <c r="E486" s="481" t="s">
        <v>1272</v>
      </c>
      <c r="G486" s="481" t="s">
        <v>1277</v>
      </c>
      <c r="H486" s="475" t="s">
        <v>1278</v>
      </c>
    </row>
    <row r="487" customFormat="false" ht="15" hidden="false" customHeight="false" outlineLevel="0" collapsed="false">
      <c r="D487" s="481" t="str">
        <f aca="false">IF($B$2,G487,H487)</f>
        <v>Quedan por repartir: </v>
      </c>
      <c r="E487" s="481" t="s">
        <v>1272</v>
      </c>
      <c r="G487" s="481" t="s">
        <v>1279</v>
      </c>
      <c r="H487" s="475" t="s">
        <v>1280</v>
      </c>
    </row>
    <row r="488" customFormat="false" ht="15" hidden="false" customHeight="false" outlineLevel="0" collapsed="false">
      <c r="D488" s="481" t="str">
        <f aca="false">IF($B$2,G488,H488)</f>
        <v>Puntos máximos totales a repartir hoy (Global):</v>
      </c>
      <c r="E488" s="481" t="s">
        <v>1272</v>
      </c>
      <c r="G488" s="481" t="s">
        <v>1281</v>
      </c>
      <c r="H488" s="475" t="s">
        <v>1282</v>
      </c>
    </row>
    <row r="489" customFormat="false" ht="15" hidden="false" customHeight="false" outlineLevel="0" collapsed="false">
      <c r="D489" s="481" t="str">
        <f aca="false">IF($B$2,G489,H489)</f>
        <v>Puntos repartidos hoy (Global)</v>
      </c>
      <c r="E489" s="481" t="s">
        <v>1272</v>
      </c>
      <c r="G489" s="481" t="s">
        <v>1283</v>
      </c>
      <c r="H489" s="475" t="s">
        <v>1284</v>
      </c>
    </row>
    <row r="490" customFormat="false" ht="15" hidden="false" customHeight="false" outlineLevel="0" collapsed="false">
      <c r="D490" s="481" t="str">
        <f aca="false">IF($B$2,G490,H490)</f>
        <v>¿Cúantos han acertado el máximo de puntos </v>
      </c>
      <c r="E490" s="481" t="s">
        <v>1272</v>
      </c>
      <c r="G490" s="481" t="s">
        <v>1285</v>
      </c>
      <c r="H490" s="475" t="s">
        <v>1286</v>
      </c>
    </row>
    <row r="491" customFormat="false" ht="15" hidden="false" customHeight="false" outlineLevel="0" collapsed="false">
      <c r="D491" s="481" t="str">
        <f aca="false">IF($B$2,G491,H491)</f>
        <v>¿Cúantos se han llevado algún punto </v>
      </c>
      <c r="E491" s="481" t="s">
        <v>1272</v>
      </c>
      <c r="G491" s="481" t="s">
        <v>1287</v>
      </c>
      <c r="H491" s="475" t="s">
        <v>1288</v>
      </c>
    </row>
    <row r="492" customFormat="false" ht="15" hidden="false" customHeight="false" outlineLevel="0" collapsed="false">
      <c r="D492" s="481" t="str">
        <f aca="false">IF($B$2,G492,H492)</f>
        <v>¿Cúantos no han acertado nada </v>
      </c>
      <c r="E492" s="481" t="s">
        <v>1272</v>
      </c>
      <c r="G492" s="481" t="s">
        <v>1289</v>
      </c>
      <c r="H492" s="475" t="s">
        <v>1290</v>
      </c>
    </row>
    <row r="493" customFormat="false" ht="15" hidden="false" customHeight="false" outlineLevel="0" collapsed="false">
      <c r="D493" s="481" t="str">
        <f aca="false">IF($B$2,G493,H493)</f>
        <v>Media de puntos sumados </v>
      </c>
      <c r="E493" s="481" t="s">
        <v>1272</v>
      </c>
      <c r="G493" s="481" t="s">
        <v>1291</v>
      </c>
      <c r="H493" s="475" t="s">
        <v>1292</v>
      </c>
    </row>
    <row r="494" customFormat="false" ht="35.05" hidden="false" customHeight="false" outlineLevel="0" collapsed="false">
      <c r="D494" s="481" t="str">
        <f aca="false">IF($B$2,G494,H494)</f>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481" t="s">
        <v>1272</v>
      </c>
      <c r="G494" s="481" t="s">
        <v>1293</v>
      </c>
      <c r="H494" s="475" t="s">
        <v>1294</v>
      </c>
    </row>
    <row r="495" customFormat="false" ht="23.85" hidden="false" customHeight="false" outlineLevel="0" collapsed="false">
      <c r="D495" s="481" t="str">
        <f aca="false">IF($B$2,G495,H495)</f>
        <v>Para que calcule bien las estadísticas, en la hoja ADMIN selecciona el nº de participantes que sois exactamente, si no algunas estádísticas pueden ser incorrectas</v>
      </c>
      <c r="E495" s="481" t="s">
        <v>1272</v>
      </c>
      <c r="G495" s="481" t="s">
        <v>1295</v>
      </c>
      <c r="H495" s="475" t="s">
        <v>1296</v>
      </c>
    </row>
    <row r="496" customFormat="false" ht="15" hidden="false" customHeight="false" outlineLevel="0" collapsed="false">
      <c r="D496" s="481" t="str">
        <f aca="false">IF($B$2,G496,H496)</f>
        <v>Dia seleccionado en "Daily Prediction"</v>
      </c>
      <c r="E496" s="481" t="s">
        <v>1272</v>
      </c>
      <c r="G496" s="481" t="s">
        <v>1297</v>
      </c>
      <c r="H496" s="475" t="s">
        <v>1298</v>
      </c>
    </row>
    <row r="497" customFormat="false" ht="15" hidden="false" customHeight="false" outlineLevel="0" collapsed="false">
      <c r="D497" s="481" t="str">
        <f aca="false">IF($B$2,G497,H497)</f>
        <v>Puntos</v>
      </c>
      <c r="E497" s="481" t="s">
        <v>1272</v>
      </c>
      <c r="G497" s="481" t="s">
        <v>1011</v>
      </c>
      <c r="H497" s="475" t="s">
        <v>1012</v>
      </c>
    </row>
    <row r="498" customFormat="false" ht="15" hidden="false" customHeight="false" outlineLevel="0" collapsed="false">
      <c r="D498" s="481" t="str">
        <f aca="false">IF($B$2,G498,H498)</f>
        <v>Resultados más pronósticados</v>
      </c>
      <c r="E498" s="481" t="s">
        <v>1272</v>
      </c>
      <c r="G498" s="481" t="s">
        <v>1299</v>
      </c>
      <c r="H498" s="475" t="s">
        <v>1300</v>
      </c>
    </row>
    <row r="499" customFormat="false" ht="15" hidden="false" customHeight="false" outlineLevel="0" collapsed="false">
      <c r="D499" s="481" t="str">
        <f aca="false">IF($B$2,G499,H499)</f>
        <v>Resultado</v>
      </c>
      <c r="E499" s="481" t="s">
        <v>1272</v>
      </c>
      <c r="G499" s="481" t="s">
        <v>1301</v>
      </c>
      <c r="H499" s="475" t="s">
        <v>1302</v>
      </c>
    </row>
    <row r="500" customFormat="false" ht="15" hidden="false" customHeight="false" outlineLevel="0" collapsed="false">
      <c r="D500" s="481" t="str">
        <f aca="false">IF($B$2,G500,H500)</f>
        <v>Nº de veces</v>
      </c>
      <c r="E500" s="481" t="s">
        <v>1272</v>
      </c>
      <c r="G500" s="481" t="s">
        <v>1303</v>
      </c>
      <c r="H500" s="475" t="s">
        <v>1304</v>
      </c>
    </row>
    <row r="501" customFormat="false" ht="15" hidden="false" customHeight="false" outlineLevel="0" collapsed="false">
      <c r="D501" s="481" t="str">
        <f aca="false">IF($B$2,G501,H501)</f>
        <v>Selecciona un partido de hoy:↗</v>
      </c>
      <c r="E501" s="481" t="s">
        <v>1272</v>
      </c>
      <c r="G501" s="481" t="s">
        <v>1305</v>
      </c>
      <c r="H501" s="475" t="s">
        <v>1306</v>
      </c>
    </row>
    <row r="502" customFormat="false" ht="15" hidden="false" customHeight="false" outlineLevel="0" collapsed="false">
      <c r="D502" s="481" t="str">
        <f aca="false">IF($B$2,G502,H502)</f>
        <v>(No cuentan los resultados no predichos)*</v>
      </c>
      <c r="E502" s="481" t="s">
        <v>1272</v>
      </c>
      <c r="G502" s="481" t="s">
        <v>1307</v>
      </c>
      <c r="H502" s="475" t="s">
        <v>1308</v>
      </c>
    </row>
    <row r="503" customFormat="false" ht="23.85" hidden="false" customHeight="false" outlineLevel="0" collapsed="false">
      <c r="D503" s="481" t="str">
        <f aca="false">IF($B$2,G503,H503)</f>
        <v>*Si alguno de los participantes no ha predicho este resultado, no se cuenta ni en la tabla ni en el gráfico</v>
      </c>
      <c r="E503" s="481" t="s">
        <v>1272</v>
      </c>
      <c r="G503" s="481" t="s">
        <v>1309</v>
      </c>
      <c r="H503" s="475" t="s">
        <v>1310</v>
      </c>
    </row>
    <row r="504" customFormat="false" ht="15" hidden="false" customHeight="false" outlineLevel="0" collapsed="false">
      <c r="D504" s="481" t="str">
        <f aca="false">IF($B$2,G504,H504)</f>
        <v>Este gráfico de abajo solo aparece en los partidos de la fase de grupos</v>
      </c>
      <c r="E504" s="481" t="s">
        <v>1272</v>
      </c>
      <c r="G504" s="481" t="s">
        <v>1311</v>
      </c>
      <c r="H504" s="481" t="s">
        <v>1312</v>
      </c>
    </row>
    <row r="505" customFormat="false" ht="15" hidden="false" customHeight="false" outlineLevel="0" collapsed="false">
      <c r="D505" s="481" t="str">
        <f aca="false">IF($B$2,G505,H505)</f>
        <v>Faltan</v>
      </c>
      <c r="E505" s="481" t="s">
        <v>1272</v>
      </c>
      <c r="G505" s="475" t="s">
        <v>1313</v>
      </c>
      <c r="H505" s="475" t="s">
        <v>1314</v>
      </c>
    </row>
    <row r="506" customFormat="false" ht="15" hidden="false" customHeight="false" outlineLevel="0" collapsed="false">
      <c r="D506" s="481" t="str">
        <f aca="false">IF($B$2,G506,H506)</f>
        <v>días para que empiece el Mundial 2026</v>
      </c>
      <c r="E506" s="481" t="s">
        <v>1272</v>
      </c>
      <c r="G506" s="475" t="s">
        <v>1315</v>
      </c>
      <c r="H506" s="475" t="s">
        <v>1316</v>
      </c>
    </row>
    <row r="507" customFormat="false" ht="15" hidden="false" customHeight="false" outlineLevel="0" collapsed="false">
      <c r="D507" s="481" t="str">
        <f aca="false">IF($B$2,G507,H507)</f>
        <v>Es el día</v>
      </c>
      <c r="E507" s="481" t="s">
        <v>1272</v>
      </c>
      <c r="G507" s="475" t="s">
        <v>1317</v>
      </c>
      <c r="H507" s="475" t="s">
        <v>1318</v>
      </c>
    </row>
    <row r="508" customFormat="false" ht="15" hidden="false" customHeight="false" outlineLevel="0" collapsed="false">
      <c r="D508" s="481" t="str">
        <f aca="false">IF($B$2,G508,H508)</f>
        <v>del Mundial 2026</v>
      </c>
      <c r="E508" s="481" t="s">
        <v>1272</v>
      </c>
      <c r="G508" s="475" t="s">
        <v>1319</v>
      </c>
      <c r="H508" s="475" t="s">
        <v>5</v>
      </c>
    </row>
    <row r="509" customFormat="false" ht="15" hidden="false" customHeight="false" outlineLevel="0" collapsed="false">
      <c r="D509" s="481" t="str">
        <f aca="false">IF($B$2,G509,H509)</f>
        <v>Quedan</v>
      </c>
      <c r="E509" s="481" t="s">
        <v>1272</v>
      </c>
      <c r="G509" s="475" t="s">
        <v>1320</v>
      </c>
      <c r="H509" s="475" t="s">
        <v>1321</v>
      </c>
    </row>
    <row r="510" customFormat="false" ht="15" hidden="false" customHeight="false" outlineLevel="0" collapsed="false">
      <c r="D510" s="481" t="str">
        <f aca="false">IF($B$2,G510,H510)</f>
        <v>días para que acabe el Mundial 2026</v>
      </c>
      <c r="E510" s="481" t="s">
        <v>1272</v>
      </c>
      <c r="G510" s="475" t="s">
        <v>1322</v>
      </c>
      <c r="H510" s="475" t="s">
        <v>1323</v>
      </c>
    </row>
    <row r="511" customFormat="false" ht="15" hidden="false" customHeight="false" outlineLevel="0" collapsed="false">
      <c r="D511" s="481" t="str">
        <f aca="false">IF($B$2,G511,H511)</f>
        <v>Se han marcado un total de</v>
      </c>
      <c r="E511" s="481" t="s">
        <v>1272</v>
      </c>
      <c r="G511" s="475" t="s">
        <v>1324</v>
      </c>
      <c r="H511" s="475" t="s">
        <v>1325</v>
      </c>
    </row>
    <row r="512" customFormat="false" ht="15" hidden="false" customHeight="false" outlineLevel="0" collapsed="false">
      <c r="D512" s="481" t="str">
        <f aca="false">IF($B$2,G512,H512)</f>
        <v>goles en el Mundial de Clubes sin contar tandas de penalti</v>
      </c>
      <c r="E512" s="481" t="s">
        <v>1272</v>
      </c>
      <c r="G512" s="475" t="s">
        <v>1326</v>
      </c>
      <c r="H512" s="475" t="s">
        <v>1327</v>
      </c>
    </row>
    <row r="513" customFormat="false" ht="15" hidden="false" customHeight="false" outlineLevel="0" collapsed="false">
      <c r="D513" s="481" t="str">
        <f aca="false">IF($B$2,G513,H513)</f>
        <v>Espero que disfrutéis del Excel del Mundial de Clubes</v>
      </c>
      <c r="E513" s="481" t="s">
        <v>1272</v>
      </c>
      <c r="G513" s="475" t="s">
        <v>1328</v>
      </c>
      <c r="H513" s="475" t="s">
        <v>1329</v>
      </c>
    </row>
    <row r="515" customFormat="false" ht="15" hidden="false" customHeight="false" outlineLevel="0" collapsed="false">
      <c r="D515" s="481" t="str">
        <f aca="false">IF($B$2,G515,H515)</f>
        <v>Gráfico solo en fase de grupos</v>
      </c>
      <c r="E515" s="481" t="s">
        <v>1272</v>
      </c>
      <c r="G515" s="475" t="s">
        <v>1330</v>
      </c>
      <c r="H515" s="481" t="s">
        <v>1331</v>
      </c>
    </row>
    <row r="1419" customFormat="false" ht="15" hidden="false" customHeight="false" outlineLevel="0" collapsed="false">
      <c r="D1419" s="481" t="s">
        <v>6</v>
      </c>
    </row>
    <row r="1420" customFormat="false" ht="15" hidden="false" customHeight="false" outlineLevel="0" collapsed="false">
      <c r="D1420" s="481" t="s">
        <v>1332</v>
      </c>
    </row>
  </sheetData>
  <hyperlinks>
    <hyperlink ref="G103" r:id="rId1" display="https://matejero.es/download/excel-mundial-2026/"/>
    <hyperlink ref="H302" r:id="rId2" display="https://matejero.com/scoring-system-excel-world-cup-2026/"/>
    <hyperlink ref="G444" r:id="rId3" location="¿Que_es_y_como_funciona_el_ajuste_por_desvio_en_diferenciadistancia_de_goles" display="https://matejero.es/puntuaciones-excel-mundial-2026/#%C2%BFQue_es_y_como_funciona_el_ajuste_por_desvio_en_diferenciadistancia_de_goles"/>
    <hyperlink ref="H444" r:id="rId4" location="What_is_the_goal_differencedistance_deviation_adjustment_and_how_does_it_work" display="https://matejero.com/scoring-system-excel-world-cup-2026/#What_is_the_goal_differencedistance_deviation_adjustment_and_how_does_it_work"/>
    <hyperlink ref="G446" r:id="rId5" location="¿Que_es_un_BONUS" display="https://matejero.es/puntuaciones-excel-mundial-2026/#%C2%BFQue_es_un_BONUS"/>
    <hyperlink ref="H446" r:id="rId6" location="What_is_a_BONUS" display="https://matejero.com/scoring-system-excel-world-cup-2026/#What_is_a_BONU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1"/>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T11" activeCellId="0" sqref="T11"/>
    </sheetView>
  </sheetViews>
  <sheetFormatPr defaultColWidth="10.859375" defaultRowHeight="15" customHeight="true" zeroHeight="false" outlineLevelRow="0" outlineLevelCol="0"/>
  <cols>
    <col collapsed="false" customWidth="false" hidden="true" outlineLevel="0" max="2" min="1" style="32" width="10.85"/>
    <col collapsed="false" customWidth="true" hidden="false" outlineLevel="0" max="3" min="3" style="1" width="2.29"/>
    <col collapsed="false" customWidth="true" hidden="false" outlineLevel="0" max="4" min="4" style="1" width="46.15"/>
    <col collapsed="false" customWidth="true" hidden="false" outlineLevel="0" max="6" min="5" style="1" width="12.86"/>
    <col collapsed="false" customWidth="true" hidden="false" outlineLevel="0" max="7" min="7" style="1" width="3.86"/>
    <col collapsed="false" customWidth="true" hidden="false" outlineLevel="0" max="8" min="8" style="1" width="32.15"/>
    <col collapsed="false" customWidth="true" hidden="false" outlineLevel="0" max="9" min="9" style="1" width="26.71"/>
    <col collapsed="false" customWidth="true" hidden="false" outlineLevel="0" max="11" min="10" style="1" width="2.29"/>
    <col collapsed="false" customWidth="true" hidden="false" outlineLevel="0" max="12" min="12" style="1" width="19"/>
    <col collapsed="false" customWidth="true" hidden="false" outlineLevel="0" max="20" min="13" style="1" width="11.29"/>
    <col collapsed="false" customWidth="true" hidden="false" outlineLevel="0" max="23" min="23" style="1" width="23.86"/>
    <col collapsed="false" customWidth="true" hidden="false" outlineLevel="0" max="24" min="24" style="1" width="21.29"/>
    <col collapsed="false" customWidth="true" hidden="false" outlineLevel="0" max="25" min="25" style="1" width="24.42"/>
    <col collapsed="false" customWidth="true" hidden="false" outlineLevel="0" max="26" min="26" style="1" width="17.86"/>
  </cols>
  <sheetData>
    <row r="1" customFormat="false" ht="15" hidden="false" customHeight="false" outlineLevel="0" collapsed="false">
      <c r="A1" s="315"/>
      <c r="B1" s="315"/>
      <c r="C1" s="248"/>
      <c r="D1" s="29" t="s">
        <v>1333</v>
      </c>
      <c r="E1" s="248"/>
      <c r="F1" s="248"/>
      <c r="G1" s="248"/>
      <c r="H1" s="248"/>
      <c r="I1" s="248"/>
      <c r="J1" s="248"/>
      <c r="K1" s="248"/>
      <c r="L1" s="248"/>
      <c r="M1" s="248"/>
      <c r="N1" s="248"/>
      <c r="O1" s="248"/>
      <c r="P1" s="248"/>
      <c r="Q1" s="248"/>
      <c r="R1" s="248"/>
      <c r="S1" s="248"/>
      <c r="T1" s="248"/>
      <c r="U1" s="315"/>
      <c r="V1" s="210"/>
      <c r="W1" s="210"/>
      <c r="X1" s="210"/>
      <c r="Y1" s="210"/>
      <c r="Z1" s="210"/>
      <c r="AA1" s="210"/>
      <c r="AB1" s="210"/>
      <c r="AC1" s="210"/>
      <c r="AD1" s="210"/>
      <c r="AE1" s="210"/>
      <c r="AF1" s="210"/>
      <c r="AG1" s="210"/>
      <c r="AH1" s="210"/>
      <c r="AI1" s="210"/>
      <c r="AJ1" s="210"/>
      <c r="AK1" s="210"/>
      <c r="AL1" s="210"/>
      <c r="AM1" s="210"/>
      <c r="AN1" s="210"/>
      <c r="AO1" s="210"/>
      <c r="AP1" s="210"/>
      <c r="AQ1" s="210"/>
      <c r="AR1" s="210"/>
      <c r="AS1" s="210"/>
      <c r="AT1" s="210"/>
      <c r="AU1" s="210"/>
      <c r="AV1" s="210"/>
      <c r="AW1" s="210"/>
      <c r="AX1" s="210"/>
      <c r="AY1" s="210"/>
      <c r="AZ1" s="210"/>
      <c r="BA1" s="210"/>
    </row>
    <row r="2" customFormat="false" ht="15" hidden="true" customHeight="false" outlineLevel="0" collapsed="false">
      <c r="A2" s="315"/>
      <c r="B2" s="315"/>
      <c r="C2" s="248"/>
      <c r="D2" s="248"/>
      <c r="E2" s="248"/>
      <c r="F2" s="248"/>
      <c r="G2" s="248"/>
      <c r="H2" s="248"/>
      <c r="I2" s="248"/>
      <c r="J2" s="248"/>
      <c r="K2" s="248"/>
      <c r="L2" s="248"/>
      <c r="M2" s="248"/>
      <c r="N2" s="248"/>
      <c r="O2" s="248"/>
      <c r="P2" s="248"/>
      <c r="Q2" s="248"/>
      <c r="R2" s="248"/>
      <c r="S2" s="248"/>
      <c r="T2" s="248"/>
      <c r="U2" s="315"/>
      <c r="V2" s="210"/>
      <c r="W2" s="210"/>
      <c r="X2" s="210"/>
      <c r="Y2" s="210"/>
      <c r="Z2" s="210"/>
      <c r="AA2" s="210"/>
      <c r="AB2" s="210"/>
      <c r="AC2" s="210"/>
      <c r="AD2" s="210"/>
      <c r="AE2" s="210"/>
      <c r="AF2" s="210"/>
      <c r="AG2" s="210"/>
      <c r="AH2" s="210"/>
      <c r="AI2" s="210"/>
      <c r="AJ2" s="210"/>
      <c r="AK2" s="210"/>
      <c r="AL2" s="210"/>
      <c r="AM2" s="210"/>
      <c r="AN2" s="210"/>
      <c r="AO2" s="210"/>
      <c r="AP2" s="210"/>
      <c r="AQ2" s="210"/>
      <c r="AR2" s="210"/>
      <c r="AS2" s="210"/>
      <c r="AT2" s="210"/>
      <c r="AU2" s="210"/>
      <c r="AV2" s="210"/>
      <c r="AW2" s="210"/>
      <c r="AX2" s="210"/>
      <c r="AY2" s="210"/>
      <c r="AZ2" s="210"/>
      <c r="BA2" s="210"/>
    </row>
    <row r="3" customFormat="false" ht="15" hidden="false" customHeight="false" outlineLevel="0" collapsed="false">
      <c r="A3" s="315"/>
      <c r="B3" s="315"/>
      <c r="C3" s="248"/>
      <c r="D3" s="29" t="str">
        <f aca="false">"1)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248"/>
      <c r="F3" s="248"/>
      <c r="G3" s="248"/>
      <c r="H3" s="248"/>
      <c r="I3" s="248"/>
      <c r="J3" s="248"/>
      <c r="K3" s="248"/>
      <c r="L3" s="248"/>
      <c r="M3" s="248"/>
      <c r="N3" s="248"/>
      <c r="O3" s="248"/>
      <c r="P3" s="248"/>
      <c r="Q3" s="248"/>
      <c r="R3" s="248"/>
      <c r="S3" s="248"/>
      <c r="T3" s="248"/>
      <c r="U3" s="315"/>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10"/>
      <c r="AW3" s="210"/>
      <c r="AX3" s="210"/>
      <c r="AY3" s="210"/>
      <c r="AZ3" s="210"/>
      <c r="BA3" s="210"/>
    </row>
    <row r="4" customFormat="false" ht="15" hidden="false" customHeight="false" outlineLevel="0" collapsed="false">
      <c r="A4" s="315"/>
      <c r="B4" s="315"/>
      <c r="C4" s="248"/>
      <c r="D4" s="29" t="str">
        <f aca="false">"2) "&amp;Idiomas!D495</f>
        <v>2) Para que calcule bien las estadísticas, en la hoja ADMIN selecciona el nº de participantes que sois exactamente, si no algunas estádísticas pueden ser incorrectas</v>
      </c>
      <c r="E4" s="248"/>
      <c r="F4" s="248"/>
      <c r="G4" s="248"/>
      <c r="H4" s="248"/>
      <c r="I4" s="248"/>
      <c r="J4" s="248"/>
      <c r="K4" s="248"/>
      <c r="L4" s="248"/>
      <c r="M4" s="248"/>
      <c r="N4" s="248"/>
      <c r="O4" s="248"/>
      <c r="P4" s="248"/>
      <c r="Q4" s="248"/>
      <c r="R4" s="248"/>
      <c r="S4" s="248"/>
      <c r="T4" s="248"/>
      <c r="U4" s="315"/>
      <c r="V4" s="210"/>
      <c r="W4" s="210"/>
      <c r="X4" s="210"/>
      <c r="Y4" s="210"/>
      <c r="Z4" s="210"/>
      <c r="AA4" s="210"/>
      <c r="AB4" s="210"/>
      <c r="AC4" s="210"/>
      <c r="AD4" s="210"/>
      <c r="AE4" s="210"/>
      <c r="AF4" s="210"/>
      <c r="AG4" s="210"/>
      <c r="AH4" s="210"/>
      <c r="AI4" s="210"/>
      <c r="AJ4" s="210"/>
      <c r="AK4" s="210"/>
      <c r="AL4" s="210"/>
      <c r="AM4" s="210"/>
      <c r="AN4" s="210"/>
      <c r="AO4" s="210"/>
      <c r="AP4" s="210"/>
      <c r="AQ4" s="210"/>
      <c r="AR4" s="210"/>
      <c r="AS4" s="210"/>
      <c r="AT4" s="210"/>
      <c r="AU4" s="210"/>
      <c r="AV4" s="210"/>
      <c r="AW4" s="210"/>
      <c r="AX4" s="210"/>
      <c r="AY4" s="210"/>
      <c r="AZ4" s="210"/>
      <c r="BA4" s="210"/>
    </row>
    <row r="5" customFormat="false" ht="30.75" hidden="false" customHeight="true" outlineLevel="0" collapsed="false">
      <c r="A5" s="315"/>
      <c r="B5" s="315"/>
      <c r="C5" s="248"/>
      <c r="D5" s="497" t="str">
        <f aca="false">Idiomas!D496</f>
        <v>Dia seleccionado en "Daily Prediction"</v>
      </c>
      <c r="E5" s="498" t="n">
        <f aca="false">DailyPrediction!H1</f>
        <v>46188</v>
      </c>
      <c r="F5" s="499" t="n">
        <f aca="false">VLOOKUP($E$5,Equipos!$Q$2:$R$37,2,0)</f>
        <v>5</v>
      </c>
      <c r="G5" s="248"/>
      <c r="H5" s="500" t="str">
        <f aca="false">Idiomas!D501</f>
        <v>Selecciona un partido de hoy:↗</v>
      </c>
      <c r="I5" s="501" t="s">
        <v>1334</v>
      </c>
      <c r="J5" s="248"/>
      <c r="K5" s="248"/>
      <c r="L5" s="502" t="n">
        <f aca="false">SUM(WORLDCUP!AG4:AG147)/104</f>
        <v>0.153846153846154</v>
      </c>
      <c r="M5" s="502"/>
      <c r="N5" s="502"/>
      <c r="O5" s="502"/>
      <c r="P5" s="502"/>
      <c r="Q5" s="502"/>
      <c r="R5" s="502"/>
      <c r="S5" s="502"/>
      <c r="T5" s="502"/>
      <c r="U5" s="315"/>
      <c r="V5" s="210" t="n">
        <f aca="false">ADMIN!$D$5</f>
        <v>40</v>
      </c>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row>
    <row r="6" customFormat="false" ht="15" hidden="false" customHeight="false" outlineLevel="0" collapsed="false">
      <c r="A6" s="315"/>
      <c r="B6" s="315"/>
      <c r="C6" s="248"/>
      <c r="D6" s="248"/>
      <c r="E6" s="248"/>
      <c r="F6" s="248"/>
      <c r="G6" s="248"/>
      <c r="H6" s="29" t="str">
        <f aca="false">Idiomas!D502</f>
        <v>(No cuentan los resultados no predichos)*</v>
      </c>
      <c r="I6" s="248"/>
      <c r="J6" s="248"/>
      <c r="K6" s="315"/>
      <c r="L6" s="248"/>
      <c r="M6" s="248"/>
      <c r="N6" s="248"/>
      <c r="O6" s="248"/>
      <c r="P6" s="248"/>
      <c r="Q6" s="248"/>
      <c r="R6" s="248"/>
      <c r="S6" s="248"/>
      <c r="T6" s="248"/>
      <c r="U6" s="315"/>
      <c r="V6" s="210"/>
      <c r="W6" s="210"/>
      <c r="X6" s="210"/>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row>
    <row r="7" customFormat="false" ht="15" hidden="false" customHeight="false" outlineLevel="0" collapsed="false">
      <c r="A7" s="315"/>
      <c r="B7" s="315"/>
      <c r="C7" s="248"/>
      <c r="D7" s="503" t="s">
        <v>1335</v>
      </c>
      <c r="E7" s="504" t="str">
        <f aca="false">Idiomas!D497</f>
        <v>Puntos</v>
      </c>
      <c r="F7" s="505" t="s">
        <v>1336</v>
      </c>
      <c r="G7" s="248"/>
      <c r="H7" s="503" t="str">
        <f aca="false">Idiomas!D499</f>
        <v>Resultado</v>
      </c>
      <c r="I7" s="504" t="str">
        <f aca="false">Idiomas!D500</f>
        <v>Nº de veces</v>
      </c>
      <c r="J7" s="506" t="s">
        <v>1337</v>
      </c>
      <c r="K7" s="315"/>
      <c r="L7" s="507"/>
      <c r="M7" s="508" t="str">
        <f aca="false">Idiomas!D344</f>
        <v>Fase de grupos</v>
      </c>
      <c r="N7" s="509" t="s">
        <v>1338</v>
      </c>
      <c r="O7" s="510" t="s">
        <v>1339</v>
      </c>
      <c r="P7" s="511" t="s">
        <v>1340</v>
      </c>
      <c r="Q7" s="512" t="s">
        <v>1341</v>
      </c>
      <c r="R7" s="513" t="str">
        <f aca="false">Idiomas!D337</f>
        <v>3º puesto</v>
      </c>
      <c r="S7" s="514" t="str">
        <f aca="false">Idiomas!D336</f>
        <v>Subcampeón</v>
      </c>
      <c r="T7" s="515" t="str">
        <f aca="false">Idiomas!D335</f>
        <v>Campeón</v>
      </c>
      <c r="U7" s="315"/>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c r="AT7" s="210"/>
      <c r="AU7" s="210"/>
      <c r="AV7" s="210"/>
      <c r="AW7" s="210"/>
      <c r="AX7" s="210"/>
      <c r="AY7" s="210"/>
      <c r="AZ7" s="210"/>
      <c r="BA7" s="210"/>
    </row>
    <row r="8" customFormat="false" ht="15" hidden="false" customHeight="true" outlineLevel="0" collapsed="false">
      <c r="A8" s="315"/>
      <c r="B8" s="315"/>
      <c r="C8" s="248"/>
      <c r="D8" s="516" t="str">
        <f aca="false">Idiomas!D484&amp;TEXT($E$5,"dd/mm/aa")&amp;" (Individual)"</f>
        <v>Puntos en juego 15/06/26 (Individual)</v>
      </c>
      <c r="E8" s="517" t="n">
        <f aca="false">IFERROR(SUMIF(ADMIN!$G$6:$G$258,$F$5,ADMIN!$F$6:$F$258),"")</f>
        <v>85</v>
      </c>
      <c r="F8" s="518" t="n">
        <f aca="false">IFERROR(E8/$B$46,0)</f>
        <v>0.0348075348075348</v>
      </c>
      <c r="G8" s="248"/>
      <c r="H8" s="516" t="str">
        <f aca="false" t="array" ref="H8:I8">_xlfn.SORTBY(OFFSET($Y$35,0,0,COUNTA(_xlfn.anchorarray($Y$35)),2),OFFSET(Z35,0,0,COUNTA(_xlfn.anchorarray($Y$35))),-1)</f>
        <v>Selecciona un partido de hoy:↗</v>
      </c>
      <c r="I8" s="519" t="str">
        <v/>
      </c>
      <c r="J8" s="520" t="n">
        <f aca="false" t="array" ref="J8:J8">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99" t="n">
        <f aca="false" t="array" ref="K8:K8">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521" t="str">
        <f aca="false">Horarios!Q3</f>
        <v>Alemania</v>
      </c>
      <c r="M8" s="522" t="n">
        <f aca="false">ADMIN!$D$5-SUM(N8:T8)</f>
        <v>22</v>
      </c>
      <c r="N8" s="522" t="n">
        <f aca="false">IFERROR(COUNTIF(ADMIN!$S$130:INDEX(ADMIN!$S$130:$JE$161,32,ADMIN!$D$5*3-1),Stats!$L8)-SUM(O8:T8),0)</f>
        <v>0</v>
      </c>
      <c r="O8" s="522" t="n">
        <f aca="false">COUNTIF(ADMIN!$S$182:INDEX(ADMIN!$S$182:$JE$197,16,ADMIN!$D$5*3-1),Stats!$L8)-SUM(P8:T8)</f>
        <v>13</v>
      </c>
      <c r="P8" s="522" t="n">
        <f aca="false">COUNTIF(ADMIN!$S$210:INDEX(ADMIN!$S$210:$JE$217,8,ADMIN!$D$5*3-1),Stats!$L8)-SUM(Q8:T8)</f>
        <v>2</v>
      </c>
      <c r="Q8" s="522" t="n">
        <f aca="false">COUNTIF(ADMIN!$S$226:INDEX(ADMIN!$S$226:$JE$229,4,ADMIN!$D$5*3-1),Stats!$L8)-SUM(R8:T8)</f>
        <v>1</v>
      </c>
      <c r="R8" s="522" t="n">
        <f aca="false">IFERROR(COUNTIF(ADMIN!$S$252:INDEX(ADMIN!$S$252:$JE$252,1,ADMIN!$D$5*3-1),Stats!$L8),0)</f>
        <v>1</v>
      </c>
      <c r="S8" s="522" t="n">
        <f aca="false">IFERROR(COUNTIF(ADMIN!$S$251:INDEX(ADMIN!$S$251:$JE$251,1,ADMIN!$D$5*3-1),Stats!$L8),0)</f>
        <v>1</v>
      </c>
      <c r="T8" s="523" t="n">
        <f aca="false">IFERROR(COUNTIF(ADMIN!$S$250:INDEX(ADMIN!$S$250:$JE$250,1,ADMIN!$D$5*3-1),Stats!$L8),0)</f>
        <v>0</v>
      </c>
      <c r="U8" s="315"/>
      <c r="V8" s="210" t="n">
        <f aca="false">SUM(M8:T8)</f>
        <v>40</v>
      </c>
      <c r="W8" s="210"/>
      <c r="X8" s="210"/>
      <c r="Y8" s="210"/>
      <c r="Z8" s="210"/>
      <c r="AA8" s="210"/>
      <c r="AB8" s="210"/>
      <c r="AC8" s="210"/>
      <c r="AD8" s="210"/>
      <c r="AE8" s="210"/>
      <c r="AF8" s="210"/>
      <c r="AG8" s="210"/>
      <c r="AH8" s="210"/>
      <c r="AI8" s="210"/>
      <c r="AJ8" s="210"/>
      <c r="AK8" s="210"/>
      <c r="AL8" s="210"/>
      <c r="AM8" s="210"/>
      <c r="AN8" s="210"/>
      <c r="AO8" s="210"/>
      <c r="AP8" s="210"/>
      <c r="AQ8" s="210"/>
      <c r="AR8" s="210"/>
      <c r="AS8" s="210"/>
      <c r="AT8" s="210"/>
      <c r="AU8" s="210"/>
      <c r="AV8" s="210"/>
      <c r="AW8" s="210"/>
      <c r="AX8" s="210"/>
      <c r="AY8" s="210"/>
      <c r="AZ8" s="210"/>
      <c r="BA8" s="210"/>
    </row>
    <row r="9" customFormat="false" ht="15" hidden="false" customHeight="true" outlineLevel="0" collapsed="false">
      <c r="A9" s="315"/>
      <c r="B9" s="315"/>
      <c r="C9" s="248"/>
      <c r="D9" s="524" t="str">
        <f aca="false">Idiomas!D485&amp;TEXT($E$5,"dd/mm/aa")&amp;" (Individual)"</f>
        <v>Máximo de puntos hasta 15/06/26 (Individual)</v>
      </c>
      <c r="E9" s="517" t="n">
        <f aca="false">IFERROR(SUMIF($A$22:$A$45,"&lt;"&amp;$F$5,$B$22:$B$45),"")</f>
        <v>153</v>
      </c>
      <c r="F9" s="518" t="n">
        <f aca="false">IFERROR(E9/$B$46,0)</f>
        <v>0.0626535626535627</v>
      </c>
      <c r="G9" s="248"/>
      <c r="H9" s="524"/>
      <c r="I9" s="519"/>
      <c r="J9" s="520"/>
      <c r="K9" s="499"/>
      <c r="L9" s="525" t="str">
        <f aca="false">Horarios!Q4</f>
        <v>Arabia Saudita</v>
      </c>
      <c r="M9" s="526" t="n">
        <f aca="false">ADMIN!$D$5-SUM(N9:T9)</f>
        <v>32</v>
      </c>
      <c r="N9" s="526" t="n">
        <f aca="false">IFERROR(COUNTIF(ADMIN!$S$130:INDEX(ADMIN!$S$130:$JE$161,32,ADMIN!$D$5*3-1),Stats!$L9)-SUM(O9:T9),0)</f>
        <v>8</v>
      </c>
      <c r="O9" s="526" t="n">
        <f aca="false">COUNTIF(ADMIN!$S$182:INDEX(ADMIN!$S$182:$JE$197,16,ADMIN!$D$5*3-1),Stats!$L9)-SUM(P9:T9)</f>
        <v>0</v>
      </c>
      <c r="P9" s="526" t="n">
        <f aca="false">COUNTIF(ADMIN!$S$210:INDEX(ADMIN!$S$210:$JE$217,8,ADMIN!$D$5*3-1),Stats!$L9)-SUM(Q9:T9)</f>
        <v>0</v>
      </c>
      <c r="Q9" s="526" t="n">
        <f aca="false">COUNTIF(ADMIN!$S$226:INDEX(ADMIN!$S$226:$JE$229,4,ADMIN!$D$5*3-1),Stats!$L9)-SUM(R9:T9)</f>
        <v>0</v>
      </c>
      <c r="R9" s="526" t="n">
        <f aca="false">IFERROR(COUNTIF(ADMIN!$S$252:INDEX(ADMIN!$S$252:$JE$252,1,ADMIN!$D$5*3-1),Stats!$L9),0)</f>
        <v>0</v>
      </c>
      <c r="S9" s="526" t="n">
        <f aca="false">IFERROR(COUNTIF(ADMIN!$S$251:INDEX(ADMIN!$S$251:$JE$251,1,ADMIN!$D$5*3-1),Stats!$L9),0)</f>
        <v>0</v>
      </c>
      <c r="T9" s="527" t="n">
        <f aca="false">IFERROR(COUNTIF(ADMIN!$S$250:INDEX(ADMIN!$S$250:$JE$250,1,ADMIN!$D$5*3-1),Stats!$L9),0)</f>
        <v>0</v>
      </c>
      <c r="U9" s="315"/>
      <c r="V9" s="210" t="n">
        <f aca="false">SUM(M9:T9)</f>
        <v>40</v>
      </c>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10"/>
      <c r="BA9" s="210"/>
    </row>
    <row r="10" customFormat="false" ht="15" hidden="false" customHeight="true" outlineLevel="0" collapsed="false">
      <c r="A10" s="315"/>
      <c r="B10" s="315"/>
      <c r="C10" s="248"/>
      <c r="D10" s="516" t="str">
        <f aca="false">Idiomas!D486&amp;TEXT($E$5,"dd/mm/aa")&amp;" (Individual)"</f>
        <v>Máximo de puntos incluido 15/06/26 (Individual)</v>
      </c>
      <c r="E10" s="517" t="n">
        <f aca="false">IFERROR(SUMIF($A$22:$A$45,"&lt;="&amp;$F$5,$B$22:$B$45),"")</f>
        <v>238</v>
      </c>
      <c r="F10" s="518" t="n">
        <f aca="false">IFERROR(E10/$B$46,0)</f>
        <v>0.0974610974610975</v>
      </c>
      <c r="G10" s="248"/>
      <c r="H10" s="516"/>
      <c r="I10" s="519"/>
      <c r="J10" s="520"/>
      <c r="K10" s="499"/>
      <c r="L10" s="528" t="str">
        <f aca="false">Horarios!Q5</f>
        <v>Argelia</v>
      </c>
      <c r="M10" s="522" t="n">
        <f aca="false">ADMIN!$D$5-SUM(N10:T10)</f>
        <v>29</v>
      </c>
      <c r="N10" s="522" t="n">
        <f aca="false">IFERROR(COUNTIF(ADMIN!$S$130:INDEX(ADMIN!$S$130:$JE$161,32,ADMIN!$D$5*3-1),Stats!$L10)-SUM(O10:T10),0)</f>
        <v>9</v>
      </c>
      <c r="O10" s="522" t="n">
        <f aca="false">COUNTIF(ADMIN!$S$182:INDEX(ADMIN!$S$182:$JE$197,16,ADMIN!$D$5*3-1),Stats!$L10)-SUM(P10:T10)</f>
        <v>2</v>
      </c>
      <c r="P10" s="522" t="n">
        <f aca="false">COUNTIF(ADMIN!$S$210:INDEX(ADMIN!$S$210:$JE$217,8,ADMIN!$D$5*3-1),Stats!$L10)-SUM(Q10:T10)</f>
        <v>0</v>
      </c>
      <c r="Q10" s="522" t="n">
        <f aca="false">COUNTIF(ADMIN!$S$226:INDEX(ADMIN!$S$226:$JE$229,4,ADMIN!$D$5*3-1),Stats!$L10)-SUM(R10:T10)</f>
        <v>0</v>
      </c>
      <c r="R10" s="522" t="n">
        <f aca="false">IFERROR(COUNTIF(ADMIN!$S$252:INDEX(ADMIN!$S$252:$JE$252,1,ADMIN!$D$5*3-1),Stats!$L10),0)</f>
        <v>0</v>
      </c>
      <c r="S10" s="522" t="n">
        <f aca="false">IFERROR(COUNTIF(ADMIN!$S$251:INDEX(ADMIN!$S$251:$JE$251,1,ADMIN!$D$5*3-1),Stats!$L10),0)</f>
        <v>0</v>
      </c>
      <c r="T10" s="523" t="n">
        <f aca="false">IFERROR(COUNTIF(ADMIN!$S$250:INDEX(ADMIN!$S$250:$JE$250,1,ADMIN!$D$5*3-1),Stats!$L10),0)</f>
        <v>0</v>
      </c>
      <c r="U10" s="315"/>
      <c r="V10" s="210" t="n">
        <f aca="false">SUM(M10:T10)</f>
        <v>40</v>
      </c>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row>
    <row r="11" customFormat="false" ht="15" hidden="false" customHeight="true" outlineLevel="0" collapsed="false">
      <c r="A11" s="315"/>
      <c r="B11" s="315"/>
      <c r="C11" s="248"/>
      <c r="D11" s="524" t="str">
        <f aca="false">Idiomas!D487&amp;" (Individual)"</f>
        <v>Quedan por repartir:  (Individual)</v>
      </c>
      <c r="E11" s="517" t="n">
        <f aca="false">IFERROR(SUMIF($A$22:$A$45,"&gt;"&amp;$F$5,$B$22:$B$45),0)</f>
        <v>2204</v>
      </c>
      <c r="F11" s="518" t="n">
        <f aca="false">IFERROR(1-F10,0)</f>
        <v>0.902538902538903</v>
      </c>
      <c r="G11" s="248"/>
      <c r="H11" s="524"/>
      <c r="I11" s="519"/>
      <c r="J11" s="520"/>
      <c r="K11" s="499"/>
      <c r="L11" s="525" t="str">
        <f aca="false">Horarios!Q6</f>
        <v>Argentina</v>
      </c>
      <c r="M11" s="526" t="n">
        <f aca="false">ADMIN!$D$5-SUM(N11:T11)</f>
        <v>22</v>
      </c>
      <c r="N11" s="526" t="n">
        <f aca="false">IFERROR(COUNTIF(ADMIN!$S$130:INDEX(ADMIN!$S$130:$JE$161,32,ADMIN!$D$5*3-1),Stats!$L11)-SUM(O11:T11),0)</f>
        <v>4</v>
      </c>
      <c r="O11" s="526" t="n">
        <f aca="false">COUNTIF(ADMIN!$S$182:INDEX(ADMIN!$S$182:$JE$197,16,ADMIN!$D$5*3-1),Stats!$L11)-SUM(P11:T11)</f>
        <v>0</v>
      </c>
      <c r="P11" s="526" t="n">
        <f aca="false">COUNTIF(ADMIN!$S$210:INDEX(ADMIN!$S$210:$JE$217,8,ADMIN!$D$5*3-1),Stats!$L11)-SUM(Q11:T11)</f>
        <v>6</v>
      </c>
      <c r="Q11" s="526" t="n">
        <f aca="false">COUNTIF(ADMIN!$S$226:INDEX(ADMIN!$S$226:$JE$229,4,ADMIN!$D$5*3-1),Stats!$L11)-SUM(R11:T11)</f>
        <v>3</v>
      </c>
      <c r="R11" s="526" t="n">
        <f aca="false">IFERROR(COUNTIF(ADMIN!$S$252:INDEX(ADMIN!$S$252:$JE$252,1,ADMIN!$D$5*3-1),Stats!$L11),0)</f>
        <v>0</v>
      </c>
      <c r="S11" s="526" t="n">
        <f aca="false">IFERROR(COUNTIF(ADMIN!$S$251:INDEX(ADMIN!$S$251:$JE$251,1,ADMIN!$D$5*3-1),Stats!$L11),0)</f>
        <v>4</v>
      </c>
      <c r="T11" s="527" t="n">
        <f aca="false">IFERROR(COUNTIF(ADMIN!$S$250:INDEX(ADMIN!$S$250:$JE$250,1,ADMIN!$D$5*3-1),Stats!$L11),0)</f>
        <v>1</v>
      </c>
      <c r="U11" s="315"/>
      <c r="V11" s="210" t="n">
        <f aca="false">SUM(M11:T11)</f>
        <v>40</v>
      </c>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row>
    <row r="12" customFormat="false" ht="15" hidden="false" customHeight="true" outlineLevel="0" collapsed="false">
      <c r="A12" s="315"/>
      <c r="B12" s="315"/>
      <c r="C12" s="248"/>
      <c r="D12" s="516" t="str">
        <f aca="false">Idiomas!D488</f>
        <v>Puntos máximos totales a repartir hoy (Global):</v>
      </c>
      <c r="E12" s="517" t="n">
        <f aca="false">IFERROR($E$8*ADMIN!$D$5,0)</f>
        <v>3400</v>
      </c>
      <c r="F12" s="518" t="n">
        <f aca="false">IFERROR(E12/B47,0)</f>
        <v>0.0348075348075348</v>
      </c>
      <c r="G12" s="248"/>
      <c r="H12" s="516"/>
      <c r="I12" s="519"/>
      <c r="J12" s="520"/>
      <c r="K12" s="499"/>
      <c r="L12" s="528" t="str">
        <f aca="false">Horarios!Q7</f>
        <v>Australia</v>
      </c>
      <c r="M12" s="522" t="n">
        <f aca="false">ADMIN!$D$5-SUM(N12:T12)</f>
        <v>39</v>
      </c>
      <c r="N12" s="522" t="n">
        <f aca="false">IFERROR(COUNTIF(ADMIN!$S$130:INDEX(ADMIN!$S$130:$JE$161,32,ADMIN!$D$5*3-1),Stats!$L12)-SUM(O12:T12),0)</f>
        <v>1</v>
      </c>
      <c r="O12" s="522" t="n">
        <f aca="false">COUNTIF(ADMIN!$S$182:INDEX(ADMIN!$S$182:$JE$197,16,ADMIN!$D$5*3-1),Stats!$L12)-SUM(P12:T12)</f>
        <v>0</v>
      </c>
      <c r="P12" s="522" t="n">
        <f aca="false">COUNTIF(ADMIN!$S$210:INDEX(ADMIN!$S$210:$JE$217,8,ADMIN!$D$5*3-1),Stats!$L12)-SUM(Q12:T12)</f>
        <v>0</v>
      </c>
      <c r="Q12" s="522" t="n">
        <f aca="false">COUNTIF(ADMIN!$S$226:INDEX(ADMIN!$S$226:$JE$229,4,ADMIN!$D$5*3-1),Stats!$L12)-SUM(R12:T12)</f>
        <v>0</v>
      </c>
      <c r="R12" s="522" t="n">
        <f aca="false">IFERROR(COUNTIF(ADMIN!$S$252:INDEX(ADMIN!$S$252:$JE$252,1,ADMIN!$D$5*3-1),Stats!$L12),0)</f>
        <v>0</v>
      </c>
      <c r="S12" s="522" t="n">
        <f aca="false">IFERROR(COUNTIF(ADMIN!$S$251:INDEX(ADMIN!$S$251:$JE$251,1,ADMIN!$D$5*3-1),Stats!$L12),0)</f>
        <v>0</v>
      </c>
      <c r="T12" s="523" t="n">
        <f aca="false">IFERROR(COUNTIF(ADMIN!$S$250:INDEX(ADMIN!$S$250:$JE$250,1,ADMIN!$D$5*3-1),Stats!$L12),0)</f>
        <v>0</v>
      </c>
      <c r="U12" s="315"/>
      <c r="V12" s="210" t="n">
        <f aca="false">SUM(M12:T12)</f>
        <v>40</v>
      </c>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row>
    <row r="13" customFormat="false" ht="15" hidden="false" customHeight="true" outlineLevel="0" collapsed="false">
      <c r="A13" s="315"/>
      <c r="B13" s="315"/>
      <c r="C13" s="248"/>
      <c r="D13" s="524" t="str">
        <f aca="false">Idiomas!D489</f>
        <v>Puntos repartidos hoy (Global)</v>
      </c>
      <c r="E13" s="517" t="n">
        <f aca="false">IFERROR(SUM(DailyClas!$G$4:INDEX(DailyClas!$G$4:$G$63,ADMIN!$D$5)),0)</f>
        <v>166</v>
      </c>
      <c r="F13" s="518" t="n">
        <f aca="false">IFERROR(E13/E12,0)</f>
        <v>0.0488235294117647</v>
      </c>
      <c r="G13" s="248"/>
      <c r="H13" s="524"/>
      <c r="I13" s="519"/>
      <c r="J13" s="520"/>
      <c r="K13" s="499"/>
      <c r="L13" s="525" t="str">
        <f aca="false">Horarios!Q8</f>
        <v>Austria</v>
      </c>
      <c r="M13" s="526" t="n">
        <f aca="false">ADMIN!$D$5-SUM(N13:T13)</f>
        <v>22</v>
      </c>
      <c r="N13" s="526" t="n">
        <f aca="false">IFERROR(COUNTIF(ADMIN!$S$130:INDEX(ADMIN!$S$130:$JE$161,32,ADMIN!$D$5*3-1),Stats!$L13)-SUM(O13:T13),0)</f>
        <v>17</v>
      </c>
      <c r="O13" s="526" t="n">
        <f aca="false">COUNTIF(ADMIN!$S$182:INDEX(ADMIN!$S$182:$JE$197,16,ADMIN!$D$5*3-1),Stats!$L13)-SUM(P13:T13)</f>
        <v>0</v>
      </c>
      <c r="P13" s="526" t="n">
        <f aca="false">COUNTIF(ADMIN!$S$210:INDEX(ADMIN!$S$210:$JE$217,8,ADMIN!$D$5*3-1),Stats!$L13)-SUM(Q13:T13)</f>
        <v>1</v>
      </c>
      <c r="Q13" s="526" t="n">
        <f aca="false">COUNTIF(ADMIN!$S$226:INDEX(ADMIN!$S$226:$JE$229,4,ADMIN!$D$5*3-1),Stats!$L13)-SUM(R13:T13)</f>
        <v>0</v>
      </c>
      <c r="R13" s="526" t="n">
        <f aca="false">IFERROR(COUNTIF(ADMIN!$S$252:INDEX(ADMIN!$S$252:$JE$252,1,ADMIN!$D$5*3-1),Stats!$L13),0)</f>
        <v>0</v>
      </c>
      <c r="S13" s="526" t="n">
        <f aca="false">IFERROR(COUNTIF(ADMIN!$S$251:INDEX(ADMIN!$S$251:$JE$251,1,ADMIN!$D$5*3-1),Stats!$L13),0)</f>
        <v>0</v>
      </c>
      <c r="T13" s="527" t="n">
        <f aca="false">IFERROR(COUNTIF(ADMIN!$S$250:INDEX(ADMIN!$S$250:$JE$250,1,ADMIN!$D$5*3-1),Stats!$L13),0)</f>
        <v>0</v>
      </c>
      <c r="U13" s="315"/>
      <c r="V13" s="210" t="n">
        <f aca="false">SUM(M13:T13)</f>
        <v>40</v>
      </c>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row>
    <row r="14" customFormat="false" ht="15" hidden="false" customHeight="true" outlineLevel="0" collapsed="false">
      <c r="A14" s="315"/>
      <c r="B14" s="315"/>
      <c r="C14" s="248"/>
      <c r="D14" s="516" t="str">
        <f aca="false">Idiomas!D490&amp;TEXT($E$5,"dd/mm/aa")&amp;"?"</f>
        <v>¿Cúantos han acertado el máximo de puntos 15/06/26?</v>
      </c>
      <c r="E14" s="517" t="n">
        <f aca="false">IFERROR(IF(SUM(ADMIN!$D$8:$D$47)=0,0,COUNTIF(DailyClas!$G$4:INDEX(DailyClas!$G:$G,ADMIN!$D$5+3),Stats!E8)),0)</f>
        <v>0</v>
      </c>
      <c r="F14" s="518" t="n">
        <f aca="false">IFERROR(E14/ADMIN!$D$5,0)</f>
        <v>0</v>
      </c>
      <c r="G14" s="248"/>
      <c r="H14" s="516"/>
      <c r="I14" s="519"/>
      <c r="J14" s="520"/>
      <c r="K14" s="499"/>
      <c r="L14" s="528" t="str">
        <f aca="false">Horarios!Q9</f>
        <v>Bélgica</v>
      </c>
      <c r="M14" s="522" t="n">
        <f aca="false">ADMIN!$D$5-SUM(N14:T14)</f>
        <v>22</v>
      </c>
      <c r="N14" s="522" t="n">
        <f aca="false">IFERROR(COUNTIF(ADMIN!$S$130:INDEX(ADMIN!$S$130:$JE$161,32,ADMIN!$D$5*3-1),Stats!$L14)-SUM(O14:T14),0)</f>
        <v>0</v>
      </c>
      <c r="O14" s="522" t="n">
        <f aca="false">COUNTIF(ADMIN!$S$182:INDEX(ADMIN!$S$182:$JE$197,16,ADMIN!$D$5*3-1),Stats!$L14)-SUM(P14:T14)</f>
        <v>3</v>
      </c>
      <c r="P14" s="522" t="n">
        <f aca="false">COUNTIF(ADMIN!$S$210:INDEX(ADMIN!$S$210:$JE$217,8,ADMIN!$D$5*3-1),Stats!$L14)-SUM(Q14:T14)</f>
        <v>14</v>
      </c>
      <c r="Q14" s="522" t="n">
        <f aca="false">COUNTIF(ADMIN!$S$226:INDEX(ADMIN!$S$226:$JE$229,4,ADMIN!$D$5*3-1),Stats!$L14)-SUM(R14:T14)</f>
        <v>0</v>
      </c>
      <c r="R14" s="522" t="n">
        <f aca="false">IFERROR(COUNTIF(ADMIN!$S$252:INDEX(ADMIN!$S$252:$JE$252,1,ADMIN!$D$5*3-1),Stats!$L14),0)</f>
        <v>1</v>
      </c>
      <c r="S14" s="522" t="n">
        <f aca="false">IFERROR(COUNTIF(ADMIN!$S$251:INDEX(ADMIN!$S$251:$JE$251,1,ADMIN!$D$5*3-1),Stats!$L14),0)</f>
        <v>0</v>
      </c>
      <c r="T14" s="523" t="n">
        <f aca="false">IFERROR(COUNTIF(ADMIN!$S$250:INDEX(ADMIN!$S$250:$JE$250,1,ADMIN!$D$5*3-1),Stats!$L14),0)</f>
        <v>0</v>
      </c>
      <c r="U14" s="315"/>
      <c r="V14" s="210" t="n">
        <f aca="false">SUM(M14:T14)</f>
        <v>40</v>
      </c>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row>
    <row r="15" customFormat="false" ht="15" hidden="false" customHeight="true" outlineLevel="0" collapsed="false">
      <c r="A15" s="315"/>
      <c r="B15" s="315"/>
      <c r="C15" s="248"/>
      <c r="D15" s="524" t="str">
        <f aca="false">Idiomas!D491&amp;TEXT($E$5,"dd/mm/aa")&amp;"?"</f>
        <v>¿Cúantos se han llevado algún punto 15/06/26?</v>
      </c>
      <c r="E15" s="517" t="n">
        <f aca="false">IFERROR(COUNTIF(DailyClas!$G$4:INDEX(DailyClas!$G$4:$G$63,ADMIN!$D$5),"&gt;0"),0)</f>
        <v>17</v>
      </c>
      <c r="F15" s="518" t="n">
        <f aca="false">IFERROR(E15/ADMIN!$D$5,0)</f>
        <v>0.425</v>
      </c>
      <c r="G15" s="248"/>
      <c r="H15" s="524"/>
      <c r="I15" s="519"/>
      <c r="J15" s="520"/>
      <c r="K15" s="499"/>
      <c r="L15" s="525" t="str">
        <f aca="false">Horarios!Q10</f>
        <v>Bosnia y Herzegovina</v>
      </c>
      <c r="M15" s="526" t="n">
        <f aca="false">ADMIN!$D$5-SUM(N15:T15)</f>
        <v>27</v>
      </c>
      <c r="N15" s="526" t="n">
        <f aca="false">IFERROR(COUNTIF(ADMIN!$S$130:INDEX(ADMIN!$S$130:$JE$161,32,ADMIN!$D$5*3-1),Stats!$L15)-SUM(O15:T15),0)</f>
        <v>10</v>
      </c>
      <c r="O15" s="526" t="n">
        <f aca="false">COUNTIF(ADMIN!$S$182:INDEX(ADMIN!$S$182:$JE$197,16,ADMIN!$D$5*3-1),Stats!$L15)-SUM(P15:T15)</f>
        <v>3</v>
      </c>
      <c r="P15" s="526" t="n">
        <f aca="false">COUNTIF(ADMIN!$S$210:INDEX(ADMIN!$S$210:$JE$217,8,ADMIN!$D$5*3-1),Stats!$L15)-SUM(Q15:T15)</f>
        <v>0</v>
      </c>
      <c r="Q15" s="526" t="n">
        <f aca="false">COUNTIF(ADMIN!$S$226:INDEX(ADMIN!$S$226:$JE$229,4,ADMIN!$D$5*3-1),Stats!$L15)-SUM(R15:T15)</f>
        <v>0</v>
      </c>
      <c r="R15" s="526" t="n">
        <f aca="false">IFERROR(COUNTIF(ADMIN!$S$252:INDEX(ADMIN!$S$252:$JE$252,1,ADMIN!$D$5*3-1),Stats!$L15),0)</f>
        <v>0</v>
      </c>
      <c r="S15" s="526" t="n">
        <f aca="false">IFERROR(COUNTIF(ADMIN!$S$251:INDEX(ADMIN!$S$251:$JE$251,1,ADMIN!$D$5*3-1),Stats!$L15),0)</f>
        <v>0</v>
      </c>
      <c r="T15" s="527" t="n">
        <f aca="false">IFERROR(COUNTIF(ADMIN!$S$250:INDEX(ADMIN!$S$250:$JE$250,1,ADMIN!$D$5*3-1),Stats!$L15),0)</f>
        <v>0</v>
      </c>
      <c r="U15" s="315"/>
      <c r="V15" s="210" t="n">
        <f aca="false">SUM(M15:T15)</f>
        <v>40</v>
      </c>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0"/>
      <c r="BA15" s="210"/>
    </row>
    <row r="16" customFormat="false" ht="15" hidden="false" customHeight="true" outlineLevel="0" collapsed="false">
      <c r="A16" s="315"/>
      <c r="B16" s="315"/>
      <c r="C16" s="248"/>
      <c r="D16" s="516" t="str">
        <f aca="false">Idiomas!D492&amp;TEXT($E$5,"dd/mm/aa")&amp;"?"</f>
        <v>¿Cúantos no han acertado nada 15/06/26?</v>
      </c>
      <c r="E16" s="517" t="n">
        <f aca="false">IFERROR(IF(SUM(ADMIN!$D$8:$D$47)=0,0,COUNTIF(DailyClas!$G$4:INDEX(DailyClas!$G$4:$G$63,ADMIN!$D$5),0)),0)</f>
        <v>23</v>
      </c>
      <c r="F16" s="518" t="n">
        <f aca="false">IFERROR(E16/ADMIN!$D$5,0)</f>
        <v>0.575</v>
      </c>
      <c r="G16" s="248"/>
      <c r="H16" s="516"/>
      <c r="I16" s="519"/>
      <c r="J16" s="520"/>
      <c r="K16" s="499"/>
      <c r="L16" s="528" t="str">
        <f aca="false">Horarios!Q11</f>
        <v>Brasil</v>
      </c>
      <c r="M16" s="522" t="n">
        <f aca="false">ADMIN!$D$5-SUM(N16:T16)</f>
        <v>22</v>
      </c>
      <c r="N16" s="522" t="n">
        <f aca="false">IFERROR(COUNTIF(ADMIN!$S$130:INDEX(ADMIN!$S$130:$JE$161,32,ADMIN!$D$5*3-1),Stats!$L16)-SUM(O16:T16),0)</f>
        <v>2</v>
      </c>
      <c r="O16" s="522" t="n">
        <f aca="false">COUNTIF(ADMIN!$S$182:INDEX(ADMIN!$S$182:$JE$197,16,ADMIN!$D$5*3-1),Stats!$L16)-SUM(P16:T16)</f>
        <v>0</v>
      </c>
      <c r="P16" s="522" t="n">
        <f aca="false">COUNTIF(ADMIN!$S$210:INDEX(ADMIN!$S$210:$JE$217,8,ADMIN!$D$5*3-1),Stats!$L16)-SUM(Q16:T16)</f>
        <v>5</v>
      </c>
      <c r="Q16" s="522" t="n">
        <f aca="false">COUNTIF(ADMIN!$S$226:INDEX(ADMIN!$S$226:$JE$229,4,ADMIN!$D$5*3-1),Stats!$L16)-SUM(R16:T16)</f>
        <v>4</v>
      </c>
      <c r="R16" s="522" t="n">
        <f aca="false">IFERROR(COUNTIF(ADMIN!$S$252:INDEX(ADMIN!$S$252:$JE$252,1,ADMIN!$D$5*3-1),Stats!$L16),0)</f>
        <v>3</v>
      </c>
      <c r="S16" s="522" t="n">
        <f aca="false">IFERROR(COUNTIF(ADMIN!$S$251:INDEX(ADMIN!$S$251:$JE$251,1,ADMIN!$D$5*3-1),Stats!$L16),0)</f>
        <v>2</v>
      </c>
      <c r="T16" s="523" t="n">
        <f aca="false">IFERROR(COUNTIF(ADMIN!$S$250:INDEX(ADMIN!$S$250:$JE$250,1,ADMIN!$D$5*3-1),Stats!$L16),0)</f>
        <v>2</v>
      </c>
      <c r="U16" s="315"/>
      <c r="V16" s="210" t="n">
        <f aca="false">SUM(M16:T16)</f>
        <v>40</v>
      </c>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row>
    <row r="17" customFormat="false" ht="15" hidden="false" customHeight="true" outlineLevel="0" collapsed="false">
      <c r="A17" s="315"/>
      <c r="B17" s="315"/>
      <c r="C17" s="248"/>
      <c r="D17" s="529" t="str">
        <f aca="false">Idiomas!D493&amp;TEXT($E$5,"dd/mm/aa")&amp;"?"</f>
        <v>Media de puntos sumados 15/06/26?</v>
      </c>
      <c r="E17" s="530" t="n">
        <f aca="false">IFERROR(AVERAGE(DailyClas!$G$4:INDEX(DailyClas!$G$4:$G$63,ADMIN!$D$5)),0)</f>
        <v>4.15</v>
      </c>
      <c r="F17" s="531"/>
      <c r="G17" s="248"/>
      <c r="H17" s="524"/>
      <c r="I17" s="519"/>
      <c r="J17" s="532"/>
      <c r="K17" s="499"/>
      <c r="L17" s="525" t="str">
        <f aca="false">Horarios!Q12</f>
        <v>Cabo Verde</v>
      </c>
      <c r="M17" s="526" t="n">
        <f aca="false">ADMIN!$D$5-SUM(N17:T17)</f>
        <v>39</v>
      </c>
      <c r="N17" s="526" t="n">
        <f aca="false">IFERROR(COUNTIF(ADMIN!$S$130:INDEX(ADMIN!$S$130:$JE$161,32,ADMIN!$D$5*3-1),Stats!$L17)-SUM(O17:T17),0)</f>
        <v>1</v>
      </c>
      <c r="O17" s="526" t="n">
        <f aca="false">COUNTIF(ADMIN!$S$182:INDEX(ADMIN!$S$182:$JE$197,16,ADMIN!$D$5*3-1),Stats!$L17)-SUM(P17:T17)</f>
        <v>0</v>
      </c>
      <c r="P17" s="526" t="n">
        <f aca="false">COUNTIF(ADMIN!$S$210:INDEX(ADMIN!$S$210:$JE$217,8,ADMIN!$D$5*3-1),Stats!$L17)-SUM(Q17:T17)</f>
        <v>0</v>
      </c>
      <c r="Q17" s="526" t="n">
        <f aca="false">COUNTIF(ADMIN!$S$226:INDEX(ADMIN!$S$226:$JE$229,4,ADMIN!$D$5*3-1),Stats!$L17)-SUM(R17:T17)</f>
        <v>0</v>
      </c>
      <c r="R17" s="526" t="n">
        <f aca="false">IFERROR(COUNTIF(ADMIN!$S$252:INDEX(ADMIN!$S$252:$JE$252,1,ADMIN!$D$5*3-1),Stats!$L17),0)</f>
        <v>0</v>
      </c>
      <c r="S17" s="526" t="n">
        <f aca="false">IFERROR(COUNTIF(ADMIN!$S$251:INDEX(ADMIN!$S$251:$JE$251,1,ADMIN!$D$5*3-1),Stats!$L17),0)</f>
        <v>0</v>
      </c>
      <c r="T17" s="527" t="n">
        <f aca="false">IFERROR(COUNTIF(ADMIN!$S$250:INDEX(ADMIN!$S$250:$JE$250,1,ADMIN!$D$5*3-1),Stats!$L17),0)</f>
        <v>0</v>
      </c>
      <c r="U17" s="315"/>
      <c r="V17" s="210" t="n">
        <f aca="false">SUM(M17:T17)</f>
        <v>40</v>
      </c>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row>
    <row r="18" customFormat="false" ht="15" hidden="false" customHeight="true" outlineLevel="0" collapsed="false">
      <c r="A18" s="315"/>
      <c r="B18" s="315"/>
      <c r="C18" s="248"/>
      <c r="D18" s="248"/>
      <c r="E18" s="248"/>
      <c r="F18" s="248"/>
      <c r="G18" s="248"/>
      <c r="H18" s="533"/>
      <c r="I18" s="534"/>
      <c r="J18" s="499"/>
      <c r="K18" s="499"/>
      <c r="L18" s="528" t="str">
        <f aca="false">Horarios!Q13</f>
        <v>Canadá</v>
      </c>
      <c r="M18" s="522" t="n">
        <f aca="false">ADMIN!$D$5-SUM(N18:T18)</f>
        <v>22</v>
      </c>
      <c r="N18" s="522" t="n">
        <f aca="false">IFERROR(COUNTIF(ADMIN!$S$130:INDEX(ADMIN!$S$130:$JE$161,32,ADMIN!$D$5*3-1),Stats!$L18)-SUM(O18:T18),0)</f>
        <v>10</v>
      </c>
      <c r="O18" s="522" t="n">
        <f aca="false">COUNTIF(ADMIN!$S$182:INDEX(ADMIN!$S$182:$JE$197,16,ADMIN!$D$5*3-1),Stats!$L18)-SUM(P18:T18)</f>
        <v>8</v>
      </c>
      <c r="P18" s="522" t="n">
        <f aca="false">COUNTIF(ADMIN!$S$210:INDEX(ADMIN!$S$210:$JE$217,8,ADMIN!$D$5*3-1),Stats!$L18)-SUM(Q18:T18)</f>
        <v>0</v>
      </c>
      <c r="Q18" s="522" t="n">
        <f aca="false">COUNTIF(ADMIN!$S$226:INDEX(ADMIN!$S$226:$JE$229,4,ADMIN!$D$5*3-1),Stats!$L18)-SUM(R18:T18)</f>
        <v>0</v>
      </c>
      <c r="R18" s="522" t="n">
        <f aca="false">IFERROR(COUNTIF(ADMIN!$S$252:INDEX(ADMIN!$S$252:$JE$252,1,ADMIN!$D$5*3-1),Stats!$L18),0)</f>
        <v>0</v>
      </c>
      <c r="S18" s="522" t="n">
        <f aca="false">IFERROR(COUNTIF(ADMIN!$S$251:INDEX(ADMIN!$S$251:$JE$251,1,ADMIN!$D$5*3-1),Stats!$L18),0)</f>
        <v>0</v>
      </c>
      <c r="T18" s="523" t="n">
        <f aca="false">IFERROR(COUNTIF(ADMIN!$S$250:INDEX(ADMIN!$S$250:$JE$250,1,ADMIN!$D$5*3-1),Stats!$L18),0)</f>
        <v>0</v>
      </c>
      <c r="U18" s="315"/>
      <c r="V18" s="210" t="n">
        <f aca="false">SUM(M18:T18)</f>
        <v>40</v>
      </c>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row>
    <row r="19" customFormat="false" ht="15" hidden="false" customHeight="true" outlineLevel="0" collapsed="false">
      <c r="A19" s="315"/>
      <c r="B19" s="315"/>
      <c r="C19" s="248"/>
      <c r="D19" s="248"/>
      <c r="E19" s="248"/>
      <c r="F19" s="248"/>
      <c r="G19" s="248"/>
      <c r="H19" s="533"/>
      <c r="I19" s="534"/>
      <c r="J19" s="535"/>
      <c r="K19" s="535"/>
      <c r="L19" s="525" t="str">
        <f aca="false">Horarios!Q14</f>
        <v>Catar</v>
      </c>
      <c r="M19" s="526" t="n">
        <f aca="false">ADMIN!$D$5-SUM(N19:T19)</f>
        <v>40</v>
      </c>
      <c r="N19" s="526" t="n">
        <f aca="false">IFERROR(COUNTIF(ADMIN!$S$130:INDEX(ADMIN!$S$130:$JE$161,32,ADMIN!$D$5*3-1),Stats!$L19)-SUM(O19:T19),0)</f>
        <v>0</v>
      </c>
      <c r="O19" s="526" t="n">
        <f aca="false">COUNTIF(ADMIN!$S$182:INDEX(ADMIN!$S$182:$JE$197,16,ADMIN!$D$5*3-1),Stats!$L19)-SUM(P19:T19)</f>
        <v>0</v>
      </c>
      <c r="P19" s="526" t="n">
        <f aca="false">COUNTIF(ADMIN!$S$210:INDEX(ADMIN!$S$210:$JE$217,8,ADMIN!$D$5*3-1),Stats!$L19)-SUM(Q19:T19)</f>
        <v>0</v>
      </c>
      <c r="Q19" s="526" t="n">
        <f aca="false">COUNTIF(ADMIN!$S$226:INDEX(ADMIN!$S$226:$JE$229,4,ADMIN!$D$5*3-1),Stats!$L19)-SUM(R19:T19)</f>
        <v>0</v>
      </c>
      <c r="R19" s="526" t="n">
        <f aca="false">IFERROR(COUNTIF(ADMIN!$S$252:INDEX(ADMIN!$S$252:$JE$252,1,ADMIN!$D$5*3-1),Stats!$L19),0)</f>
        <v>0</v>
      </c>
      <c r="S19" s="526" t="n">
        <f aca="false">IFERROR(COUNTIF(ADMIN!$S$251:INDEX(ADMIN!$S$251:$JE$251,1,ADMIN!$D$5*3-1),Stats!$L19),0)</f>
        <v>0</v>
      </c>
      <c r="T19" s="527" t="n">
        <f aca="false">IFERROR(COUNTIF(ADMIN!$S$250:INDEX(ADMIN!$S$250:$JE$250,1,ADMIN!$D$5*3-1),Stats!$L19),0)</f>
        <v>0</v>
      </c>
      <c r="U19" s="315"/>
      <c r="V19" s="210" t="n">
        <f aca="false">SUM(M19:T19)</f>
        <v>40</v>
      </c>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row>
    <row r="20" customFormat="false" ht="15" hidden="false" customHeight="true" outlineLevel="0" collapsed="false">
      <c r="A20" s="315"/>
      <c r="B20" s="315"/>
      <c r="C20" s="248"/>
      <c r="D20" s="248"/>
      <c r="E20" s="248"/>
      <c r="F20" s="248"/>
      <c r="G20" s="248"/>
      <c r="H20" s="533"/>
      <c r="I20" s="534"/>
      <c r="J20" s="535"/>
      <c r="K20" s="535"/>
      <c r="L20" s="528" t="str">
        <f aca="false">Horarios!Q15</f>
        <v>Colombia</v>
      </c>
      <c r="M20" s="522" t="n">
        <f aca="false">ADMIN!$D$5-SUM(N20:T20)</f>
        <v>22</v>
      </c>
      <c r="N20" s="522" t="n">
        <f aca="false">IFERROR(COUNTIF(ADMIN!$S$130:INDEX(ADMIN!$S$130:$JE$161,32,ADMIN!$D$5*3-1),Stats!$L20)-SUM(O20:T20),0)</f>
        <v>9</v>
      </c>
      <c r="O20" s="522" t="n">
        <f aca="false">COUNTIF(ADMIN!$S$182:INDEX(ADMIN!$S$182:$JE$197,16,ADMIN!$D$5*3-1),Stats!$L20)-SUM(P20:T20)</f>
        <v>9</v>
      </c>
      <c r="P20" s="522" t="n">
        <f aca="false">COUNTIF(ADMIN!$S$210:INDEX(ADMIN!$S$210:$JE$217,8,ADMIN!$D$5*3-1),Stats!$L20)-SUM(Q20:T20)</f>
        <v>0</v>
      </c>
      <c r="Q20" s="522" t="n">
        <f aca="false">COUNTIF(ADMIN!$S$226:INDEX(ADMIN!$S$226:$JE$229,4,ADMIN!$D$5*3-1),Stats!$L20)-SUM(R20:T20)</f>
        <v>0</v>
      </c>
      <c r="R20" s="522" t="n">
        <f aca="false">IFERROR(COUNTIF(ADMIN!$S$252:INDEX(ADMIN!$S$252:$JE$252,1,ADMIN!$D$5*3-1),Stats!$L20),0)</f>
        <v>0</v>
      </c>
      <c r="S20" s="522" t="n">
        <f aca="false">IFERROR(COUNTIF(ADMIN!$S$251:INDEX(ADMIN!$S$251:$JE$251,1,ADMIN!$D$5*3-1),Stats!$L20),0)</f>
        <v>0</v>
      </c>
      <c r="T20" s="523" t="n">
        <f aca="false">IFERROR(COUNTIF(ADMIN!$S$250:INDEX(ADMIN!$S$250:$JE$250,1,ADMIN!$D$5*3-1),Stats!$L20),0)</f>
        <v>0</v>
      </c>
      <c r="U20" s="315"/>
      <c r="V20" s="210" t="n">
        <f aca="false">SUM(M20:T20)</f>
        <v>40</v>
      </c>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row>
    <row r="21" customFormat="false" ht="15" hidden="false" customHeight="true" outlineLevel="0" collapsed="false">
      <c r="A21" s="315" t="s">
        <v>1342</v>
      </c>
      <c r="B21" s="315" t="s">
        <v>1343</v>
      </c>
      <c r="C21" s="248"/>
      <c r="D21" s="248"/>
      <c r="E21" s="248"/>
      <c r="F21" s="248"/>
      <c r="G21" s="248"/>
      <c r="H21" s="533"/>
      <c r="I21" s="534"/>
      <c r="J21" s="535"/>
      <c r="K21" s="535"/>
      <c r="L21" s="525" t="str">
        <f aca="false">Horarios!Q16</f>
        <v>Corea del Sur</v>
      </c>
      <c r="M21" s="526" t="n">
        <f aca="false">ADMIN!$D$5-SUM(N21:T21)</f>
        <v>27</v>
      </c>
      <c r="N21" s="526" t="n">
        <f aca="false">IFERROR(COUNTIF(ADMIN!$S$130:INDEX(ADMIN!$S$130:$JE$161,32,ADMIN!$D$5*3-1),Stats!$L21)-SUM(O21:T21),0)</f>
        <v>3</v>
      </c>
      <c r="O21" s="526" t="n">
        <f aca="false">COUNTIF(ADMIN!$S$182:INDEX(ADMIN!$S$182:$JE$197,16,ADMIN!$D$5*3-1),Stats!$L21)-SUM(P21:T21)</f>
        <v>10</v>
      </c>
      <c r="P21" s="526" t="n">
        <f aca="false">COUNTIF(ADMIN!$S$210:INDEX(ADMIN!$S$210:$JE$217,8,ADMIN!$D$5*3-1),Stats!$L21)-SUM(Q21:T21)</f>
        <v>0</v>
      </c>
      <c r="Q21" s="526" t="n">
        <f aca="false">COUNTIF(ADMIN!$S$226:INDEX(ADMIN!$S$226:$JE$229,4,ADMIN!$D$5*3-1),Stats!$L21)-SUM(R21:T21)</f>
        <v>0</v>
      </c>
      <c r="R21" s="526" t="n">
        <f aca="false">IFERROR(COUNTIF(ADMIN!$S$252:INDEX(ADMIN!$S$252:$JE$252,1,ADMIN!$D$5*3-1),Stats!$L21),0)</f>
        <v>0</v>
      </c>
      <c r="S21" s="526" t="n">
        <f aca="false">IFERROR(COUNTIF(ADMIN!$S$251:INDEX(ADMIN!$S$251:$JE$251,1,ADMIN!$D$5*3-1),Stats!$L21),0)</f>
        <v>0</v>
      </c>
      <c r="T21" s="527" t="n">
        <f aca="false">IFERROR(COUNTIF(ADMIN!$S$250:INDEX(ADMIN!$S$250:$JE$250,1,ADMIN!$D$5*3-1),Stats!$L21),0)</f>
        <v>0</v>
      </c>
      <c r="U21" s="315"/>
      <c r="V21" s="210" t="n">
        <f aca="false">SUM(M21:T21)</f>
        <v>40</v>
      </c>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0"/>
      <c r="BA21" s="210"/>
    </row>
    <row r="22" customFormat="false" ht="15" hidden="false" customHeight="true" outlineLevel="0" collapsed="false">
      <c r="A22" s="315" t="n">
        <v>1</v>
      </c>
      <c r="B22" s="315" t="n">
        <f aca="false">IFERROR(SUMIF(ADMIN!$G$6:$G$258,A22,ADMIN!$F$6:$F$258),"")</f>
        <v>17</v>
      </c>
      <c r="C22" s="248"/>
      <c r="D22" s="248"/>
      <c r="E22" s="248"/>
      <c r="F22" s="248"/>
      <c r="G22" s="248"/>
      <c r="H22" s="533"/>
      <c r="I22" s="534"/>
      <c r="J22" s="535"/>
      <c r="K22" s="535"/>
      <c r="L22" s="528" t="str">
        <f aca="false">Horarios!Q17</f>
        <v>Costa de Marfil</v>
      </c>
      <c r="M22" s="522" t="n">
        <f aca="false">ADMIN!$D$5-SUM(N22:T22)</f>
        <v>25</v>
      </c>
      <c r="N22" s="522" t="n">
        <f aca="false">IFERROR(COUNTIF(ADMIN!$S$130:INDEX(ADMIN!$S$130:$JE$161,32,ADMIN!$D$5*3-1),Stats!$L22)-SUM(O22:T22),0)</f>
        <v>15</v>
      </c>
      <c r="O22" s="522" t="n">
        <f aca="false">COUNTIF(ADMIN!$S$182:INDEX(ADMIN!$S$182:$JE$197,16,ADMIN!$D$5*3-1),Stats!$L22)-SUM(P22:T22)</f>
        <v>0</v>
      </c>
      <c r="P22" s="522" t="n">
        <f aca="false">COUNTIF(ADMIN!$S$210:INDEX(ADMIN!$S$210:$JE$217,8,ADMIN!$D$5*3-1),Stats!$L22)-SUM(Q22:T22)</f>
        <v>0</v>
      </c>
      <c r="Q22" s="522" t="n">
        <f aca="false">COUNTIF(ADMIN!$S$226:INDEX(ADMIN!$S$226:$JE$229,4,ADMIN!$D$5*3-1),Stats!$L22)-SUM(R22:T22)</f>
        <v>0</v>
      </c>
      <c r="R22" s="522" t="n">
        <f aca="false">IFERROR(COUNTIF(ADMIN!$S$252:INDEX(ADMIN!$S$252:$JE$252,1,ADMIN!$D$5*3-1),Stats!$L22),0)</f>
        <v>0</v>
      </c>
      <c r="S22" s="522" t="n">
        <f aca="false">IFERROR(COUNTIF(ADMIN!$S$251:INDEX(ADMIN!$S$251:$JE$251,1,ADMIN!$D$5*3-1),Stats!$L22),0)</f>
        <v>0</v>
      </c>
      <c r="T22" s="523" t="n">
        <f aca="false">IFERROR(COUNTIF(ADMIN!$S$250:INDEX(ADMIN!$S$250:$JE$250,1,ADMIN!$D$5*3-1),Stats!$L22),0)</f>
        <v>0</v>
      </c>
      <c r="U22" s="315"/>
      <c r="V22" s="210" t="n">
        <f aca="false">SUM(M22:T22)</f>
        <v>40</v>
      </c>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row>
    <row r="23" customFormat="false" ht="15" hidden="false" customHeight="true" outlineLevel="0" collapsed="false">
      <c r="A23" s="315" t="n">
        <v>2</v>
      </c>
      <c r="B23" s="315" t="n">
        <f aca="false">IFERROR(SUMIF(ADMIN!$G$6:$G$258,A23,ADMIN!$F$6:$F$258),"")</f>
        <v>34</v>
      </c>
      <c r="C23" s="248"/>
      <c r="D23" s="248"/>
      <c r="E23" s="248"/>
      <c r="F23" s="248"/>
      <c r="G23" s="248"/>
      <c r="H23" s="533"/>
      <c r="I23" s="534"/>
      <c r="J23" s="535"/>
      <c r="K23" s="535"/>
      <c r="L23" s="525" t="str">
        <f aca="false">Horarios!Q18</f>
        <v>Croacia</v>
      </c>
      <c r="M23" s="526" t="n">
        <f aca="false">ADMIN!$D$5-SUM(N23:T23)</f>
        <v>22</v>
      </c>
      <c r="N23" s="526" t="n">
        <f aca="false">IFERROR(COUNTIF(ADMIN!$S$130:INDEX(ADMIN!$S$130:$JE$161,32,ADMIN!$D$5*3-1),Stats!$L23)-SUM(O23:T23),0)</f>
        <v>8</v>
      </c>
      <c r="O23" s="526" t="n">
        <f aca="false">COUNTIF(ADMIN!$S$182:INDEX(ADMIN!$S$182:$JE$197,16,ADMIN!$D$5*3-1),Stats!$L23)-SUM(P23:T23)</f>
        <v>9</v>
      </c>
      <c r="P23" s="526" t="n">
        <f aca="false">COUNTIF(ADMIN!$S$210:INDEX(ADMIN!$S$210:$JE$217,8,ADMIN!$D$5*3-1),Stats!$L23)-SUM(Q23:T23)</f>
        <v>0</v>
      </c>
      <c r="Q23" s="526" t="n">
        <f aca="false">COUNTIF(ADMIN!$S$226:INDEX(ADMIN!$S$226:$JE$229,4,ADMIN!$D$5*3-1),Stats!$L23)-SUM(R23:T23)</f>
        <v>0</v>
      </c>
      <c r="R23" s="526" t="n">
        <f aca="false">IFERROR(COUNTIF(ADMIN!$S$252:INDEX(ADMIN!$S$252:$JE$252,1,ADMIN!$D$5*3-1),Stats!$L23),0)</f>
        <v>0</v>
      </c>
      <c r="S23" s="526" t="n">
        <f aca="false">IFERROR(COUNTIF(ADMIN!$S$251:INDEX(ADMIN!$S$251:$JE$251,1,ADMIN!$D$5*3-1),Stats!$L23),0)</f>
        <v>1</v>
      </c>
      <c r="T23" s="527" t="n">
        <f aca="false">IFERROR(COUNTIF(ADMIN!$S$250:INDEX(ADMIN!$S$250:$JE$250,1,ADMIN!$D$5*3-1),Stats!$L23),0)</f>
        <v>0</v>
      </c>
      <c r="U23" s="315"/>
      <c r="V23" s="210" t="n">
        <f aca="false">SUM(M23:T23)</f>
        <v>40</v>
      </c>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10"/>
    </row>
    <row r="24" customFormat="false" ht="15" hidden="false" customHeight="true" outlineLevel="0" collapsed="false">
      <c r="A24" s="315" t="n">
        <v>3</v>
      </c>
      <c r="B24" s="315" t="n">
        <f aca="false">IFERROR(SUMIF(ADMIN!$G$6:$G$258,A24,ADMIN!$F$6:$F$258),"")</f>
        <v>34</v>
      </c>
      <c r="C24" s="248"/>
      <c r="D24" s="248"/>
      <c r="E24" s="248"/>
      <c r="F24" s="248"/>
      <c r="G24" s="248"/>
      <c r="H24" s="533"/>
      <c r="I24" s="534"/>
      <c r="J24" s="535"/>
      <c r="K24" s="535"/>
      <c r="L24" s="528" t="str">
        <f aca="false">Horarios!Q19</f>
        <v>Curazao</v>
      </c>
      <c r="M24" s="522" t="n">
        <f aca="false">ADMIN!$D$5-SUM(N24:T24)</f>
        <v>40</v>
      </c>
      <c r="N24" s="522" t="n">
        <f aca="false">IFERROR(COUNTIF(ADMIN!$S$130:INDEX(ADMIN!$S$130:$JE$161,32,ADMIN!$D$5*3-1),Stats!$L24)-SUM(O24:T24),0)</f>
        <v>0</v>
      </c>
      <c r="O24" s="522" t="n">
        <f aca="false">COUNTIF(ADMIN!$S$182:INDEX(ADMIN!$S$182:$JE$197,16,ADMIN!$D$5*3-1),Stats!$L24)-SUM(P24:T24)</f>
        <v>0</v>
      </c>
      <c r="P24" s="522" t="n">
        <f aca="false">COUNTIF(ADMIN!$S$210:INDEX(ADMIN!$S$210:$JE$217,8,ADMIN!$D$5*3-1),Stats!$L24)-SUM(Q24:T24)</f>
        <v>0</v>
      </c>
      <c r="Q24" s="522" t="n">
        <f aca="false">COUNTIF(ADMIN!$S$226:INDEX(ADMIN!$S$226:$JE$229,4,ADMIN!$D$5*3-1),Stats!$L24)-SUM(R24:T24)</f>
        <v>0</v>
      </c>
      <c r="R24" s="522" t="n">
        <f aca="false">IFERROR(COUNTIF(ADMIN!$S$252:INDEX(ADMIN!$S$252:$JE$252,1,ADMIN!$D$5*3-1),Stats!$L24),0)</f>
        <v>0</v>
      </c>
      <c r="S24" s="522" t="n">
        <f aca="false">IFERROR(COUNTIF(ADMIN!$S$251:INDEX(ADMIN!$S$251:$JE$251,1,ADMIN!$D$5*3-1),Stats!$L24),0)</f>
        <v>0</v>
      </c>
      <c r="T24" s="523" t="n">
        <f aca="false">IFERROR(COUNTIF(ADMIN!$S$250:INDEX(ADMIN!$S$250:$JE$250,1,ADMIN!$D$5*3-1),Stats!$L24),0)</f>
        <v>0</v>
      </c>
      <c r="U24" s="315"/>
      <c r="V24" s="210" t="n">
        <f aca="false">SUM(M24:T24)</f>
        <v>40</v>
      </c>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row>
    <row r="25" customFormat="false" ht="15" hidden="false" customHeight="true" outlineLevel="0" collapsed="false">
      <c r="A25" s="315" t="n">
        <v>4</v>
      </c>
      <c r="B25" s="315" t="n">
        <f aca="false">IFERROR(SUMIF(ADMIN!$G$6:$G$258,A25,ADMIN!$F$6:$F$258),"")</f>
        <v>68</v>
      </c>
      <c r="C25" s="248"/>
      <c r="D25" s="248"/>
      <c r="E25" s="248"/>
      <c r="F25" s="248"/>
      <c r="G25" s="248"/>
      <c r="H25" s="533"/>
      <c r="I25" s="534"/>
      <c r="J25" s="535"/>
      <c r="K25" s="535"/>
      <c r="L25" s="525" t="str">
        <f aca="false">Horarios!Q20</f>
        <v>Ecuador</v>
      </c>
      <c r="M25" s="526" t="n">
        <f aca="false">ADMIN!$D$5-SUM(N25:T25)</f>
        <v>22</v>
      </c>
      <c r="N25" s="526" t="n">
        <f aca="false">IFERROR(COUNTIF(ADMIN!$S$130:INDEX(ADMIN!$S$130:$JE$161,32,ADMIN!$D$5*3-1),Stats!$L25)-SUM(O25:T25),0)</f>
        <v>14</v>
      </c>
      <c r="O25" s="526" t="n">
        <f aca="false">COUNTIF(ADMIN!$S$182:INDEX(ADMIN!$S$182:$JE$197,16,ADMIN!$D$5*3-1),Stats!$L25)-SUM(P25:T25)</f>
        <v>4</v>
      </c>
      <c r="P25" s="526" t="n">
        <f aca="false">COUNTIF(ADMIN!$S$210:INDEX(ADMIN!$S$210:$JE$217,8,ADMIN!$D$5*3-1),Stats!$L25)-SUM(Q25:T25)</f>
        <v>0</v>
      </c>
      <c r="Q25" s="526" t="n">
        <f aca="false">COUNTIF(ADMIN!$S$226:INDEX(ADMIN!$S$226:$JE$229,4,ADMIN!$D$5*3-1),Stats!$L25)-SUM(R25:T25)</f>
        <v>0</v>
      </c>
      <c r="R25" s="526" t="n">
        <f aca="false">IFERROR(COUNTIF(ADMIN!$S$252:INDEX(ADMIN!$S$252:$JE$252,1,ADMIN!$D$5*3-1),Stats!$L25),0)</f>
        <v>0</v>
      </c>
      <c r="S25" s="526" t="n">
        <f aca="false">IFERROR(COUNTIF(ADMIN!$S$251:INDEX(ADMIN!$S$251:$JE$251,1,ADMIN!$D$5*3-1),Stats!$L25),0)</f>
        <v>0</v>
      </c>
      <c r="T25" s="527" t="n">
        <f aca="false">IFERROR(COUNTIF(ADMIN!$S$250:INDEX(ADMIN!$S$250:$JE$250,1,ADMIN!$D$5*3-1),Stats!$L25),0)</f>
        <v>0</v>
      </c>
      <c r="U25" s="315"/>
      <c r="V25" s="210" t="n">
        <f aca="false">SUM(M25:T25)</f>
        <v>40</v>
      </c>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row>
    <row r="26" customFormat="false" ht="15" hidden="false" customHeight="true" outlineLevel="0" collapsed="false">
      <c r="A26" s="315" t="n">
        <v>5</v>
      </c>
      <c r="B26" s="315" t="n">
        <f aca="false">IFERROR(SUMIF(ADMIN!$G$6:$G$258,A26,ADMIN!$F$6:$F$258),"")</f>
        <v>85</v>
      </c>
      <c r="C26" s="248"/>
      <c r="D26" s="248"/>
      <c r="E26" s="248"/>
      <c r="F26" s="248"/>
      <c r="G26" s="248"/>
      <c r="H26" s="533"/>
      <c r="I26" s="534"/>
      <c r="J26" s="535"/>
      <c r="K26" s="535"/>
      <c r="L26" s="528" t="str">
        <f aca="false">Horarios!Q21</f>
        <v>Egipto</v>
      </c>
      <c r="M26" s="522" t="n">
        <f aca="false">ADMIN!$D$5-SUM(N26:T26)</f>
        <v>23</v>
      </c>
      <c r="N26" s="522" t="n">
        <f aca="false">IFERROR(COUNTIF(ADMIN!$S$130:INDEX(ADMIN!$S$130:$JE$161,32,ADMIN!$D$5*3-1),Stats!$L26)-SUM(O26:T26),0)</f>
        <v>12</v>
      </c>
      <c r="O26" s="522" t="n">
        <f aca="false">COUNTIF(ADMIN!$S$182:INDEX(ADMIN!$S$182:$JE$197,16,ADMIN!$D$5*3-1),Stats!$L26)-SUM(P26:T26)</f>
        <v>5</v>
      </c>
      <c r="P26" s="522" t="n">
        <f aca="false">COUNTIF(ADMIN!$S$210:INDEX(ADMIN!$S$210:$JE$217,8,ADMIN!$D$5*3-1),Stats!$L26)-SUM(Q26:T26)</f>
        <v>0</v>
      </c>
      <c r="Q26" s="522" t="n">
        <f aca="false">COUNTIF(ADMIN!$S$226:INDEX(ADMIN!$S$226:$JE$229,4,ADMIN!$D$5*3-1),Stats!$L26)-SUM(R26:T26)</f>
        <v>0</v>
      </c>
      <c r="R26" s="522" t="n">
        <f aca="false">IFERROR(COUNTIF(ADMIN!$S$252:INDEX(ADMIN!$S$252:$JE$252,1,ADMIN!$D$5*3-1),Stats!$L26),0)</f>
        <v>0</v>
      </c>
      <c r="S26" s="522" t="n">
        <f aca="false">IFERROR(COUNTIF(ADMIN!$S$251:INDEX(ADMIN!$S$251:$JE$251,1,ADMIN!$D$5*3-1),Stats!$L26),0)</f>
        <v>0</v>
      </c>
      <c r="T26" s="523" t="n">
        <f aca="false">IFERROR(COUNTIF(ADMIN!$S$250:INDEX(ADMIN!$S$250:$JE$250,1,ADMIN!$D$5*3-1),Stats!$L26),0)</f>
        <v>0</v>
      </c>
      <c r="U26" s="315"/>
      <c r="V26" s="210" t="n">
        <f aca="false">SUM(M26:T26)</f>
        <v>40</v>
      </c>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row>
    <row r="27" customFormat="false" ht="15" hidden="false" customHeight="true" outlineLevel="0" collapsed="false">
      <c r="A27" s="315" t="n">
        <v>6</v>
      </c>
      <c r="B27" s="315" t="n">
        <f aca="false">IFERROR(SUMIF(ADMIN!$G$6:$G$258,A27,ADMIN!$F$6:$F$258),"")</f>
        <v>51</v>
      </c>
      <c r="C27" s="248"/>
      <c r="D27" s="248"/>
      <c r="E27" s="248"/>
      <c r="F27" s="248"/>
      <c r="G27" s="248"/>
      <c r="H27" s="533"/>
      <c r="I27" s="534"/>
      <c r="J27" s="535"/>
      <c r="K27" s="535"/>
      <c r="L27" s="525" t="str">
        <f aca="false">Horarios!Q22</f>
        <v>Escocia</v>
      </c>
      <c r="M27" s="526" t="n">
        <f aca="false">ADMIN!$D$5-SUM(N27:T27)</f>
        <v>24</v>
      </c>
      <c r="N27" s="526" t="n">
        <f aca="false">IFERROR(COUNTIF(ADMIN!$S$130:INDEX(ADMIN!$S$130:$JE$161,32,ADMIN!$D$5*3-1),Stats!$L27)-SUM(O27:T27),0)</f>
        <v>16</v>
      </c>
      <c r="O27" s="526" t="n">
        <f aca="false">COUNTIF(ADMIN!$S$182:INDEX(ADMIN!$S$182:$JE$197,16,ADMIN!$D$5*3-1),Stats!$L27)-SUM(P27:T27)</f>
        <v>0</v>
      </c>
      <c r="P27" s="526" t="n">
        <f aca="false">COUNTIF(ADMIN!$S$210:INDEX(ADMIN!$S$210:$JE$217,8,ADMIN!$D$5*3-1),Stats!$L27)-SUM(Q27:T27)</f>
        <v>0</v>
      </c>
      <c r="Q27" s="526" t="n">
        <f aca="false">COUNTIF(ADMIN!$S$226:INDEX(ADMIN!$S$226:$JE$229,4,ADMIN!$D$5*3-1),Stats!$L27)-SUM(R27:T27)</f>
        <v>0</v>
      </c>
      <c r="R27" s="526" t="n">
        <f aca="false">IFERROR(COUNTIF(ADMIN!$S$252:INDEX(ADMIN!$S$252:$JE$252,1,ADMIN!$D$5*3-1),Stats!$L27),0)</f>
        <v>0</v>
      </c>
      <c r="S27" s="526" t="n">
        <f aca="false">IFERROR(COUNTIF(ADMIN!$S$251:INDEX(ADMIN!$S$251:$JE$251,1,ADMIN!$D$5*3-1),Stats!$L27),0)</f>
        <v>0</v>
      </c>
      <c r="T27" s="527" t="n">
        <f aca="false">IFERROR(COUNTIF(ADMIN!$S$250:INDEX(ADMIN!$S$250:$JE$250,1,ADMIN!$D$5*3-1),Stats!$L27),0)</f>
        <v>0</v>
      </c>
      <c r="U27" s="315"/>
      <c r="V27" s="210" t="n">
        <f aca="false">SUM(M27:T27)</f>
        <v>40</v>
      </c>
      <c r="W27" s="210"/>
      <c r="X27" s="210"/>
      <c r="Y27" s="210"/>
      <c r="Z27" s="210"/>
      <c r="AA27" s="210"/>
      <c r="AB27" s="210"/>
      <c r="AC27" s="210"/>
      <c r="AD27" s="210"/>
      <c r="AE27" s="210"/>
      <c r="AF27" s="210"/>
      <c r="AG27" s="210"/>
      <c r="AH27" s="210"/>
      <c r="AI27" s="210"/>
      <c r="AJ27" s="210"/>
      <c r="AK27" s="210"/>
      <c r="AL27" s="210"/>
      <c r="AM27" s="210"/>
      <c r="AN27" s="210"/>
      <c r="AO27" s="210"/>
      <c r="AP27" s="210"/>
      <c r="AQ27" s="210"/>
      <c r="AR27" s="210"/>
      <c r="AS27" s="210"/>
      <c r="AT27" s="210"/>
      <c r="AU27" s="210"/>
      <c r="AV27" s="210"/>
      <c r="AW27" s="210"/>
      <c r="AX27" s="210"/>
      <c r="AY27" s="210"/>
      <c r="AZ27" s="210"/>
      <c r="BA27" s="210"/>
    </row>
    <row r="28" customFormat="false" ht="15" hidden="false" customHeight="true" outlineLevel="0" collapsed="false">
      <c r="A28" s="315" t="n">
        <v>7</v>
      </c>
      <c r="B28" s="315" t="n">
        <f aca="false">IFERROR(SUMIF(ADMIN!$G$6:$G$258,A28,ADMIN!$F$6:$F$258),"")</f>
        <v>68</v>
      </c>
      <c r="C28" s="248"/>
      <c r="D28" s="248"/>
      <c r="E28" s="248"/>
      <c r="F28" s="248"/>
      <c r="G28" s="248"/>
      <c r="H28" s="533"/>
      <c r="I28" s="534"/>
      <c r="J28" s="535"/>
      <c r="K28" s="535"/>
      <c r="L28" s="528" t="str">
        <f aca="false">Horarios!Q23</f>
        <v>España</v>
      </c>
      <c r="M28" s="522" t="n">
        <f aca="false">ADMIN!$D$5-SUM(N28:T28)</f>
        <v>22</v>
      </c>
      <c r="N28" s="522" t="n">
        <f aca="false">IFERROR(COUNTIF(ADMIN!$S$130:INDEX(ADMIN!$S$130:$JE$161,32,ADMIN!$D$5*3-1),Stats!$L28)-SUM(O28:T28),0)</f>
        <v>0</v>
      </c>
      <c r="O28" s="522" t="n">
        <f aca="false">COUNTIF(ADMIN!$S$182:INDEX(ADMIN!$S$182:$JE$197,16,ADMIN!$D$5*3-1),Stats!$L28)-SUM(P28:T28)</f>
        <v>1</v>
      </c>
      <c r="P28" s="522" t="n">
        <f aca="false">COUNTIF(ADMIN!$S$210:INDEX(ADMIN!$S$210:$JE$217,8,ADMIN!$D$5*3-1),Stats!$L28)-SUM(Q28:T28)</f>
        <v>0</v>
      </c>
      <c r="Q28" s="522" t="n">
        <f aca="false">COUNTIF(ADMIN!$S$226:INDEX(ADMIN!$S$226:$JE$229,4,ADMIN!$D$5*3-1),Stats!$L28)-SUM(R28:T28)</f>
        <v>1</v>
      </c>
      <c r="R28" s="522" t="n">
        <f aca="false">IFERROR(COUNTIF(ADMIN!$S$252:INDEX(ADMIN!$S$252:$JE$252,1,ADMIN!$D$5*3-1),Stats!$L28),0)</f>
        <v>5</v>
      </c>
      <c r="S28" s="522" t="n">
        <f aca="false">IFERROR(COUNTIF(ADMIN!$S$251:INDEX(ADMIN!$S$251:$JE$251,1,ADMIN!$D$5*3-1),Stats!$L28),0)</f>
        <v>2</v>
      </c>
      <c r="T28" s="523" t="n">
        <f aca="false">IFERROR(COUNTIF(ADMIN!$S$250:INDEX(ADMIN!$S$250:$JE$250,1,ADMIN!$D$5*3-1),Stats!$L28),0)</f>
        <v>9</v>
      </c>
      <c r="U28" s="315"/>
      <c r="V28" s="210" t="n">
        <f aca="false">SUM(M28:T28)</f>
        <v>40</v>
      </c>
      <c r="W28" s="210"/>
      <c r="X28" s="210"/>
      <c r="Y28" s="210"/>
      <c r="Z28" s="210"/>
      <c r="AA28" s="210"/>
      <c r="AB28" s="210"/>
      <c r="AC28" s="210"/>
      <c r="AD28" s="210"/>
      <c r="AE28" s="210"/>
      <c r="AF28" s="210"/>
      <c r="AG28" s="210"/>
      <c r="AH28" s="210"/>
      <c r="AI28" s="210"/>
      <c r="AJ28" s="210"/>
      <c r="AK28" s="210"/>
      <c r="AL28" s="210"/>
      <c r="AM28" s="210"/>
      <c r="AN28" s="210"/>
      <c r="AO28" s="210"/>
      <c r="AP28" s="210"/>
      <c r="AQ28" s="210"/>
      <c r="AR28" s="210"/>
      <c r="AS28" s="210"/>
      <c r="AT28" s="210"/>
      <c r="AU28" s="210"/>
      <c r="AV28" s="210"/>
      <c r="AW28" s="210"/>
      <c r="AX28" s="210"/>
      <c r="AY28" s="210"/>
      <c r="AZ28" s="210"/>
      <c r="BA28" s="210"/>
    </row>
    <row r="29" customFormat="false" ht="15" hidden="false" customHeight="true" outlineLevel="0" collapsed="false">
      <c r="A29" s="315" t="n">
        <v>8</v>
      </c>
      <c r="B29" s="315" t="n">
        <f aca="false">IFERROR(SUMIF(ADMIN!$G$6:$G$258,A29,ADMIN!$F$6:$F$258),"")</f>
        <v>85</v>
      </c>
      <c r="C29" s="248"/>
      <c r="D29" s="248"/>
      <c r="E29" s="248"/>
      <c r="F29" s="248"/>
      <c r="G29" s="248"/>
      <c r="H29" s="533"/>
      <c r="I29" s="534"/>
      <c r="J29" s="535"/>
      <c r="K29" s="535"/>
      <c r="L29" s="525" t="str">
        <f aca="false">Horarios!Q24</f>
        <v>Estados Unidos</v>
      </c>
      <c r="M29" s="526" t="n">
        <f aca="false">ADMIN!$D$5-SUM(N29:T29)</f>
        <v>23</v>
      </c>
      <c r="N29" s="526" t="n">
        <f aca="false">IFERROR(COUNTIF(ADMIN!$S$130:INDEX(ADMIN!$S$130:$JE$161,32,ADMIN!$D$5*3-1),Stats!$L29)-SUM(O29:T29),0)</f>
        <v>5</v>
      </c>
      <c r="O29" s="526" t="n">
        <f aca="false">COUNTIF(ADMIN!$S$182:INDEX(ADMIN!$S$182:$JE$197,16,ADMIN!$D$5*3-1),Stats!$L29)-SUM(P29:T29)</f>
        <v>10</v>
      </c>
      <c r="P29" s="526" t="n">
        <f aca="false">COUNTIF(ADMIN!$S$210:INDEX(ADMIN!$S$210:$JE$217,8,ADMIN!$D$5*3-1),Stats!$L29)-SUM(Q29:T29)</f>
        <v>2</v>
      </c>
      <c r="Q29" s="526" t="n">
        <f aca="false">COUNTIF(ADMIN!$S$226:INDEX(ADMIN!$S$226:$JE$229,4,ADMIN!$D$5*3-1),Stats!$L29)-SUM(R29:T29)</f>
        <v>0</v>
      </c>
      <c r="R29" s="526" t="n">
        <f aca="false">IFERROR(COUNTIF(ADMIN!$S$252:INDEX(ADMIN!$S$252:$JE$252,1,ADMIN!$D$5*3-1),Stats!$L29),0)</f>
        <v>0</v>
      </c>
      <c r="S29" s="526" t="n">
        <f aca="false">IFERROR(COUNTIF(ADMIN!$S$251:INDEX(ADMIN!$S$251:$JE$251,1,ADMIN!$D$5*3-1),Stats!$L29),0)</f>
        <v>0</v>
      </c>
      <c r="T29" s="527" t="n">
        <f aca="false">IFERROR(COUNTIF(ADMIN!$S$250:INDEX(ADMIN!$S$250:$JE$250,1,ADMIN!$D$5*3-1),Stats!$L29),0)</f>
        <v>0</v>
      </c>
      <c r="U29" s="315"/>
      <c r="V29" s="210" t="n">
        <f aca="false">SUM(M29:T29)</f>
        <v>40</v>
      </c>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row>
    <row r="30" customFormat="false" ht="15" hidden="false" customHeight="true" outlineLevel="0" collapsed="false">
      <c r="A30" s="315" t="n">
        <v>9</v>
      </c>
      <c r="B30" s="315" t="n">
        <f aca="false">IFERROR(SUMIF(ADMIN!$G$6:$G$258,A30,ADMIN!$F$6:$F$258),"")</f>
        <v>51</v>
      </c>
      <c r="C30" s="248"/>
      <c r="D30" s="248"/>
      <c r="E30" s="248"/>
      <c r="F30" s="248"/>
      <c r="G30" s="248"/>
      <c r="H30" s="533"/>
      <c r="I30" s="534"/>
      <c r="J30" s="535"/>
      <c r="K30" s="535"/>
      <c r="L30" s="528" t="str">
        <f aca="false">Horarios!Q25</f>
        <v>Francia</v>
      </c>
      <c r="M30" s="522" t="n">
        <f aca="false">ADMIN!$D$5-SUM(N30:T30)</f>
        <v>22</v>
      </c>
      <c r="N30" s="522" t="n">
        <f aca="false">IFERROR(COUNTIF(ADMIN!$S$130:INDEX(ADMIN!$S$130:$JE$161,32,ADMIN!$D$5*3-1),Stats!$L30)-SUM(O30:T30),0)</f>
        <v>0</v>
      </c>
      <c r="O30" s="522" t="n">
        <f aca="false">COUNTIF(ADMIN!$S$182:INDEX(ADMIN!$S$182:$JE$197,16,ADMIN!$D$5*3-1),Stats!$L30)-SUM(P30:T30)</f>
        <v>5</v>
      </c>
      <c r="P30" s="522" t="n">
        <f aca="false">COUNTIF(ADMIN!$S$210:INDEX(ADMIN!$S$210:$JE$217,8,ADMIN!$D$5*3-1),Stats!$L30)-SUM(Q30:T30)</f>
        <v>0</v>
      </c>
      <c r="Q30" s="522" t="n">
        <f aca="false">COUNTIF(ADMIN!$S$226:INDEX(ADMIN!$S$226:$JE$229,4,ADMIN!$D$5*3-1),Stats!$L30)-SUM(R30:T30)</f>
        <v>0</v>
      </c>
      <c r="R30" s="522" t="n">
        <f aca="false">IFERROR(COUNTIF(ADMIN!$S$252:INDEX(ADMIN!$S$252:$JE$252,1,ADMIN!$D$5*3-1),Stats!$L30),0)</f>
        <v>8</v>
      </c>
      <c r="S30" s="522" t="n">
        <f aca="false">IFERROR(COUNTIF(ADMIN!$S$251:INDEX(ADMIN!$S$251:$JE$251,1,ADMIN!$D$5*3-1),Stats!$L30),0)</f>
        <v>1</v>
      </c>
      <c r="T30" s="523" t="n">
        <f aca="false">IFERROR(COUNTIF(ADMIN!$S$250:INDEX(ADMIN!$S$250:$JE$250,1,ADMIN!$D$5*3-1),Stats!$L30),0)</f>
        <v>4</v>
      </c>
      <c r="U30" s="315"/>
      <c r="V30" s="210" t="n">
        <f aca="false">SUM(M30:T30)</f>
        <v>40</v>
      </c>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row>
    <row r="31" customFormat="false" ht="15" hidden="false" customHeight="true" outlineLevel="0" collapsed="false">
      <c r="A31" s="315" t="n">
        <v>10</v>
      </c>
      <c r="B31" s="315" t="n">
        <f aca="false">IFERROR(SUMIF(ADMIN!$G$6:$G$258,A31,ADMIN!$F$6:$F$258),"")</f>
        <v>68</v>
      </c>
      <c r="C31" s="248"/>
      <c r="D31" s="248"/>
      <c r="E31" s="248"/>
      <c r="F31" s="248"/>
      <c r="G31" s="248"/>
      <c r="H31" s="536"/>
      <c r="I31" s="537"/>
      <c r="J31" s="535"/>
      <c r="K31" s="535"/>
      <c r="L31" s="525" t="str">
        <f aca="false">Horarios!Q26</f>
        <v>Ghana</v>
      </c>
      <c r="M31" s="526" t="n">
        <f aca="false">ADMIN!$D$5-SUM(N31:T31)</f>
        <v>28</v>
      </c>
      <c r="N31" s="526" t="n">
        <f aca="false">IFERROR(COUNTIF(ADMIN!$S$130:INDEX(ADMIN!$S$130:$JE$161,32,ADMIN!$D$5*3-1),Stats!$L31)-SUM(O31:T31),0)</f>
        <v>11</v>
      </c>
      <c r="O31" s="526" t="n">
        <f aca="false">COUNTIF(ADMIN!$S$182:INDEX(ADMIN!$S$182:$JE$197,16,ADMIN!$D$5*3-1),Stats!$L31)-SUM(P31:T31)</f>
        <v>0</v>
      </c>
      <c r="P31" s="526" t="n">
        <f aca="false">COUNTIF(ADMIN!$S$210:INDEX(ADMIN!$S$210:$JE$217,8,ADMIN!$D$5*3-1),Stats!$L31)-SUM(Q31:T31)</f>
        <v>1</v>
      </c>
      <c r="Q31" s="526" t="n">
        <f aca="false">COUNTIF(ADMIN!$S$226:INDEX(ADMIN!$S$226:$JE$229,4,ADMIN!$D$5*3-1),Stats!$L31)-SUM(R31:T31)</f>
        <v>0</v>
      </c>
      <c r="R31" s="526" t="n">
        <f aca="false">IFERROR(COUNTIF(ADMIN!$S$252:INDEX(ADMIN!$S$252:$JE$252,1,ADMIN!$D$5*3-1),Stats!$L31),0)</f>
        <v>0</v>
      </c>
      <c r="S31" s="526" t="n">
        <f aca="false">IFERROR(COUNTIF(ADMIN!$S$251:INDEX(ADMIN!$S$251:$JE$251,1,ADMIN!$D$5*3-1),Stats!$L31),0)</f>
        <v>0</v>
      </c>
      <c r="T31" s="527" t="n">
        <f aca="false">IFERROR(COUNTIF(ADMIN!$S$250:INDEX(ADMIN!$S$250:$JE$250,1,ADMIN!$D$5*3-1),Stats!$L31),0)</f>
        <v>0</v>
      </c>
      <c r="U31" s="315"/>
      <c r="V31" s="210" t="n">
        <f aca="false">SUM(M31:T31)</f>
        <v>40</v>
      </c>
      <c r="W31" s="210"/>
      <c r="X31" s="210"/>
      <c r="Y31" s="210"/>
      <c r="Z31" s="210"/>
      <c r="AA31" s="210"/>
      <c r="AB31" s="210"/>
      <c r="AC31" s="210"/>
      <c r="AD31" s="210"/>
      <c r="AE31" s="210"/>
      <c r="AF31" s="210"/>
      <c r="AG31" s="210"/>
      <c r="AH31" s="210"/>
      <c r="AI31" s="210"/>
      <c r="AJ31" s="210"/>
      <c r="AK31" s="210"/>
      <c r="AL31" s="210"/>
      <c r="AM31" s="210"/>
      <c r="AN31" s="210"/>
      <c r="AO31" s="210"/>
      <c r="AP31" s="210"/>
      <c r="AQ31" s="210"/>
      <c r="AR31" s="210"/>
      <c r="AS31" s="210"/>
      <c r="AT31" s="210"/>
      <c r="AU31" s="210"/>
      <c r="AV31" s="210"/>
      <c r="AW31" s="210"/>
      <c r="AX31" s="210"/>
      <c r="AY31" s="210"/>
      <c r="AZ31" s="210"/>
      <c r="BA31" s="210"/>
    </row>
    <row r="32" customFormat="false" ht="15" hidden="false" customHeight="true" outlineLevel="0" collapsed="false">
      <c r="A32" s="315" t="n">
        <v>11</v>
      </c>
      <c r="B32" s="315" t="n">
        <f aca="false">IFERROR(SUMIF(ADMIN!$G$6:$G$258,A32,ADMIN!$F$6:$F$258),"")</f>
        <v>85</v>
      </c>
      <c r="C32" s="248"/>
      <c r="D32" s="248"/>
      <c r="E32" s="248"/>
      <c r="F32" s="248"/>
      <c r="G32" s="248"/>
      <c r="H32" s="248"/>
      <c r="I32" s="248"/>
      <c r="J32" s="535"/>
      <c r="K32" s="535"/>
      <c r="L32" s="528" t="str">
        <f aca="false">Horarios!Q27</f>
        <v>Haití</v>
      </c>
      <c r="M32" s="522" t="n">
        <f aca="false">ADMIN!$D$5-SUM(N32:T32)</f>
        <v>40</v>
      </c>
      <c r="N32" s="522" t="n">
        <f aca="false">IFERROR(COUNTIF(ADMIN!$S$130:INDEX(ADMIN!$S$130:$JE$161,32,ADMIN!$D$5*3-1),Stats!$L32)-SUM(O32:T32),0)</f>
        <v>0</v>
      </c>
      <c r="O32" s="522" t="n">
        <f aca="false">COUNTIF(ADMIN!$S$182:INDEX(ADMIN!$S$182:$JE$197,16,ADMIN!$D$5*3-1),Stats!$L32)-SUM(P32:T32)</f>
        <v>0</v>
      </c>
      <c r="P32" s="522" t="n">
        <f aca="false">COUNTIF(ADMIN!$S$210:INDEX(ADMIN!$S$210:$JE$217,8,ADMIN!$D$5*3-1),Stats!$L32)-SUM(Q32:T32)</f>
        <v>0</v>
      </c>
      <c r="Q32" s="522" t="n">
        <f aca="false">COUNTIF(ADMIN!$S$226:INDEX(ADMIN!$S$226:$JE$229,4,ADMIN!$D$5*3-1),Stats!$L32)-SUM(R32:T32)</f>
        <v>0</v>
      </c>
      <c r="R32" s="522" t="n">
        <f aca="false">IFERROR(COUNTIF(ADMIN!$S$252:INDEX(ADMIN!$S$252:$JE$252,1,ADMIN!$D$5*3-1),Stats!$L32),0)</f>
        <v>0</v>
      </c>
      <c r="S32" s="522" t="n">
        <f aca="false">IFERROR(COUNTIF(ADMIN!$S$251:INDEX(ADMIN!$S$251:$JE$251,1,ADMIN!$D$5*3-1),Stats!$L32),0)</f>
        <v>0</v>
      </c>
      <c r="T32" s="523" t="n">
        <f aca="false">IFERROR(COUNTIF(ADMIN!$S$250:INDEX(ADMIN!$S$250:$JE$250,1,ADMIN!$D$5*3-1),Stats!$L32),0)</f>
        <v>0</v>
      </c>
      <c r="U32" s="315"/>
      <c r="V32" s="210" t="n">
        <f aca="false">SUM(M32:T32)</f>
        <v>40</v>
      </c>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row>
    <row r="33" customFormat="false" ht="15" hidden="false" customHeight="true" outlineLevel="0" collapsed="false">
      <c r="A33" s="315" t="n">
        <v>12</v>
      </c>
      <c r="B33" s="315" t="n">
        <f aca="false">IFERROR(SUMIF(ADMIN!$G$6:$G$258,A33,ADMIN!$F$6:$F$258),"")</f>
        <v>51</v>
      </c>
      <c r="C33" s="248"/>
      <c r="D33" s="248"/>
      <c r="E33" s="248"/>
      <c r="F33" s="248"/>
      <c r="G33" s="248"/>
      <c r="H33" s="248"/>
      <c r="I33" s="248"/>
      <c r="J33" s="535"/>
      <c r="K33" s="535"/>
      <c r="L33" s="525" t="str">
        <f aca="false">Horarios!Q28</f>
        <v>Inglaterra</v>
      </c>
      <c r="M33" s="526" t="n">
        <f aca="false">ADMIN!$D$5-SUM(N33:T33)</f>
        <v>22</v>
      </c>
      <c r="N33" s="526" t="n">
        <f aca="false">IFERROR(COUNTIF(ADMIN!$S$130:INDEX(ADMIN!$S$130:$JE$161,32,ADMIN!$D$5*3-1),Stats!$L33)-SUM(O33:T33),0)</f>
        <v>1</v>
      </c>
      <c r="O33" s="526" t="n">
        <f aca="false">COUNTIF(ADMIN!$S$182:INDEX(ADMIN!$S$182:$JE$197,16,ADMIN!$D$5*3-1),Stats!$L33)-SUM(P33:T33)</f>
        <v>1</v>
      </c>
      <c r="P33" s="526" t="n">
        <f aca="false">COUNTIF(ADMIN!$S$210:INDEX(ADMIN!$S$210:$JE$217,8,ADMIN!$D$5*3-1),Stats!$L33)-SUM(Q33:T33)</f>
        <v>11</v>
      </c>
      <c r="Q33" s="526" t="n">
        <f aca="false">COUNTIF(ADMIN!$S$226:INDEX(ADMIN!$S$226:$JE$229,4,ADMIN!$D$5*3-1),Stats!$L33)-SUM(R33:T33)</f>
        <v>1</v>
      </c>
      <c r="R33" s="526" t="n">
        <f aca="false">IFERROR(COUNTIF(ADMIN!$S$252:INDEX(ADMIN!$S$252:$JE$252,1,ADMIN!$D$5*3-1),Stats!$L33),0)</f>
        <v>0</v>
      </c>
      <c r="S33" s="526" t="n">
        <f aca="false">IFERROR(COUNTIF(ADMIN!$S$251:INDEX(ADMIN!$S$251:$JE$251,1,ADMIN!$D$5*3-1),Stats!$L33),0)</f>
        <v>4</v>
      </c>
      <c r="T33" s="527" t="n">
        <f aca="false">IFERROR(COUNTIF(ADMIN!$S$250:INDEX(ADMIN!$S$250:$JE$250,1,ADMIN!$D$5*3-1),Stats!$L33),0)</f>
        <v>0</v>
      </c>
      <c r="U33" s="315"/>
      <c r="V33" s="210" t="n">
        <f aca="false">SUM(M33:T33)</f>
        <v>40</v>
      </c>
      <c r="W33" s="210"/>
      <c r="X33" s="210"/>
      <c r="Y33" s="210"/>
      <c r="Z33" s="210" t="str">
        <f aca="false" t="array" ref="Z33:Z33">IFERROR(IF(_xlfn.anchorarray(Z35)&lt;&gt;"",COUNTIF(INDEX(OFFSET(DailyPrediction!$F$4,0,0,ADMIN!$D$3,COUNTA(DailyPrediction!$A$4:$A$23)),,MATCH(Stats!$I$5,OFFSET(DailyPrediction!$F$2,0,0,1,COUNTA(DailyPrediction!$A$4:$A$23)),0)),_xlfn.anchorarray(Z35)),""),"")</f>
        <v/>
      </c>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row>
    <row r="34" customFormat="false" ht="15" hidden="false" customHeight="true" outlineLevel="0" collapsed="false">
      <c r="A34" s="315" t="n">
        <v>13</v>
      </c>
      <c r="B34" s="315" t="n">
        <f aca="false">IFERROR(SUMIF(ADMIN!$G$6:$G$258,A34,ADMIN!$F$6:$F$258),"")</f>
        <v>68</v>
      </c>
      <c r="C34" s="248"/>
      <c r="D34" s="315" t="n">
        <f aca="false">IFERROR(IF(OR(AND($F$5&lt;19,LEFT($H$8,1)="1"),AND($F$5&lt;19,LEFT($H$8,1)="2"),AND($F$5&lt;19,LEFT($H$8,1)="X")),1,0),0)</f>
        <v>0</v>
      </c>
      <c r="E34" s="315"/>
      <c r="F34" s="315"/>
      <c r="G34" s="248"/>
      <c r="H34" s="248"/>
      <c r="I34" s="248"/>
      <c r="J34" s="535"/>
      <c r="K34" s="535"/>
      <c r="L34" s="528" t="str">
        <f aca="false">Horarios!Q29</f>
        <v>Irak</v>
      </c>
      <c r="M34" s="522" t="n">
        <f aca="false">ADMIN!$D$5-SUM(N34:T34)</f>
        <v>40</v>
      </c>
      <c r="N34" s="522" t="n">
        <f aca="false">IFERROR(COUNTIF(ADMIN!$S$130:INDEX(ADMIN!$S$130:$JE$161,32,ADMIN!$D$5*3-1),Stats!$L34)-SUM(O34:T34),0)</f>
        <v>0</v>
      </c>
      <c r="O34" s="522" t="n">
        <f aca="false">COUNTIF(ADMIN!$S$182:INDEX(ADMIN!$S$182:$JE$197,16,ADMIN!$D$5*3-1),Stats!$L34)-SUM(P34:T34)</f>
        <v>0</v>
      </c>
      <c r="P34" s="522" t="n">
        <f aca="false">COUNTIF(ADMIN!$S$210:INDEX(ADMIN!$S$210:$JE$217,8,ADMIN!$D$5*3-1),Stats!$L34)-SUM(Q34:T34)</f>
        <v>0</v>
      </c>
      <c r="Q34" s="522" t="n">
        <f aca="false">COUNTIF(ADMIN!$S$226:INDEX(ADMIN!$S$226:$JE$229,4,ADMIN!$D$5*3-1),Stats!$L34)-SUM(R34:T34)</f>
        <v>0</v>
      </c>
      <c r="R34" s="522" t="n">
        <f aca="false">IFERROR(COUNTIF(ADMIN!$S$252:INDEX(ADMIN!$S$252:$JE$252,1,ADMIN!$D$5*3-1),Stats!$L34),0)</f>
        <v>0</v>
      </c>
      <c r="S34" s="522" t="n">
        <f aca="false">IFERROR(COUNTIF(ADMIN!$S$251:INDEX(ADMIN!$S$251:$JE$251,1,ADMIN!$D$5*3-1),Stats!$L34),0)</f>
        <v>0</v>
      </c>
      <c r="T34" s="523" t="n">
        <f aca="false">IFERROR(COUNTIF(ADMIN!$S$250:INDEX(ADMIN!$S$250:$JE$250,1,ADMIN!$D$5*3-1),Stats!$L34),0)</f>
        <v>0</v>
      </c>
      <c r="U34" s="315"/>
      <c r="V34" s="210" t="n">
        <f aca="false">SUM(M34:T34)</f>
        <v>40</v>
      </c>
      <c r="W34" s="210" t="s">
        <v>1344</v>
      </c>
      <c r="X34" s="210" t="s">
        <v>1345</v>
      </c>
      <c r="Y34" s="208" t="s">
        <v>1301</v>
      </c>
      <c r="Z34" s="208" t="s">
        <v>1303</v>
      </c>
      <c r="AA34" s="208" t="s">
        <v>1346</v>
      </c>
      <c r="AB34" s="208" t="s">
        <v>1347</v>
      </c>
      <c r="AC34" s="208" t="s">
        <v>1348</v>
      </c>
      <c r="AD34" s="208"/>
      <c r="AE34" s="57"/>
      <c r="AF34" s="57"/>
      <c r="AG34" s="208" t="s">
        <v>1349</v>
      </c>
      <c r="AH34" s="208" t="s">
        <v>1350</v>
      </c>
      <c r="AI34" s="208" t="s">
        <v>1351</v>
      </c>
      <c r="AJ34" s="57" t="s">
        <v>1352</v>
      </c>
      <c r="AK34" s="208" t="s">
        <v>1353</v>
      </c>
      <c r="AL34" s="57" t="s">
        <v>1354</v>
      </c>
      <c r="AM34" s="57"/>
      <c r="AN34" s="57"/>
      <c r="AO34" s="208" t="s">
        <v>1355</v>
      </c>
      <c r="AP34" s="208" t="s">
        <v>1356</v>
      </c>
      <c r="AQ34" s="210"/>
      <c r="AR34" s="210"/>
      <c r="AS34" s="210"/>
      <c r="AT34" s="210"/>
      <c r="AU34" s="210"/>
      <c r="AV34" s="210"/>
      <c r="AW34" s="210"/>
      <c r="AX34" s="210"/>
      <c r="AY34" s="210"/>
      <c r="AZ34" s="210"/>
      <c r="BA34" s="210"/>
    </row>
    <row r="35" customFormat="false" ht="15" hidden="false" customHeight="true" outlineLevel="0" collapsed="false">
      <c r="A35" s="315" t="n">
        <v>14</v>
      </c>
      <c r="B35" s="315" t="n">
        <f aca="false">IFERROR(SUMIF(ADMIN!$G$6:$G$258,A35,ADMIN!$F$6:$F$258),"")</f>
        <v>105</v>
      </c>
      <c r="C35" s="248"/>
      <c r="D35" s="315" t="n">
        <v>1</v>
      </c>
      <c r="E35" s="315" t="e">
        <f aca="false">SUMIFS(_xlfn.anchorarray($Z$35),_xlfn.anchorarray($AH$35),D35)</f>
        <v>#NAME?</v>
      </c>
      <c r="F35" s="315" t="n">
        <f aca="false">IFERROR(E35/SUM($E$35:E37),0)</f>
        <v>0</v>
      </c>
      <c r="G35" s="248"/>
      <c r="H35" s="248"/>
      <c r="I35" s="248"/>
      <c r="J35" s="315"/>
      <c r="K35" s="315"/>
      <c r="L35" s="525" t="str">
        <f aca="false">Horarios!Q30</f>
        <v>Irán</v>
      </c>
      <c r="M35" s="526" t="n">
        <f aca="false">ADMIN!$D$5-SUM(N35:T35)</f>
        <v>31</v>
      </c>
      <c r="N35" s="526" t="n">
        <f aca="false">IFERROR(COUNTIF(ADMIN!$S$130:INDEX(ADMIN!$S$130:$JE$161,32,ADMIN!$D$5*3-1),Stats!$L35)-SUM(O35:T35),0)</f>
        <v>9</v>
      </c>
      <c r="O35" s="526" t="n">
        <f aca="false">COUNTIF(ADMIN!$S$182:INDEX(ADMIN!$S$182:$JE$197,16,ADMIN!$D$5*3-1),Stats!$L35)-SUM(P35:T35)</f>
        <v>0</v>
      </c>
      <c r="P35" s="526" t="n">
        <f aca="false">COUNTIF(ADMIN!$S$210:INDEX(ADMIN!$S$210:$JE$217,8,ADMIN!$D$5*3-1),Stats!$L35)-SUM(Q35:T35)</f>
        <v>0</v>
      </c>
      <c r="Q35" s="526" t="n">
        <f aca="false">COUNTIF(ADMIN!$S$226:INDEX(ADMIN!$S$226:$JE$229,4,ADMIN!$D$5*3-1),Stats!$L35)-SUM(R35:T35)</f>
        <v>0</v>
      </c>
      <c r="R35" s="526" t="n">
        <f aca="false">IFERROR(COUNTIF(ADMIN!$S$252:INDEX(ADMIN!$S$252:$JE$252,1,ADMIN!$D$5*3-1),Stats!$L35),0)</f>
        <v>0</v>
      </c>
      <c r="S35" s="526" t="n">
        <f aca="false">IFERROR(COUNTIF(ADMIN!$S$251:INDEX(ADMIN!$S$251:$JE$251,1,ADMIN!$D$5*3-1),Stats!$L35),0)</f>
        <v>0</v>
      </c>
      <c r="T35" s="527" t="n">
        <f aca="false">IFERROR(COUNTIF(ADMIN!$S$250:INDEX(ADMIN!$S$250:$JE$250,1,ADMIN!$D$5*3-1),Stats!$L35),0)</f>
        <v>0</v>
      </c>
      <c r="U35" s="315"/>
      <c r="V35" s="210" t="n">
        <f aca="false">SUM(M35:T35)</f>
        <v>40</v>
      </c>
      <c r="W35" s="210" t="str">
        <f aca="false" t="array" ref="W35:W35">IFERROR(IF(_xlfn.anchorarray(Y35)&lt;&gt;"",COUNTIF(INDEX(DailyPrediction!$G$4:$AQ$58,,MATCH(Stats!$I$5,DailyPrediction!$G$2:$AQ$2,0)),_xlfn.anchorarray(Y35)),""),"")</f>
        <v/>
      </c>
      <c r="X35" s="210" t="str">
        <f aca="false" t="array" ref="X35:X35">IFERROR(_xlfn._xlws.SORT(_xlfn.UNIQUE(_xlfn._xlws.FILTER(INDEX(DailyPrediction!$G$4:$AQ$58,,MATCH(Stats!$I$5,DailyPrediction!$G$2:$AQ$2,0)),LEN(INDEX(DailyPrediction!$G$4:$AQ$58,,MATCH(Stats!$I$5,DailyPrediction!$G$2:$AQ$2,0)))&gt;1))),Idiomas!D501)</f>
        <v>Selecciona un partido de hoy:↗</v>
      </c>
      <c r="Y35" s="210" t="str">
        <f aca="false" t="array" ref="Y35:Y35">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Z35" s="210" t="str">
        <f aca="false" t="array" ref="Z35:Z35">IFERROR(IF(_xlfn.anchorarray(Y35)&lt;&gt;"",COUNTIF(INDEX(OFFSET(DailyPrediction!$G$4,0,0,ADMIN!$D$5,COUNTA(DailyPrediction!$A$4:$A$35)),,MATCH(Stats!$I$5,OFFSET(DailyPrediction!$G$2,0,0,1,COUNTA(DailyPrediction!$A$4:$A$35)),0)),_xlfn.anchorarray(Y35)),""),"")</f>
        <v/>
      </c>
      <c r="AA35" s="210" t="n">
        <f aca="false" t="array" ref="AA35:AA35">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210" t="n">
        <f aca="false" t="array" ref="AB35:AB35">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210" t="str">
        <f aca="false" t="array" ref="AC35:AE35">_xlfn.SORTBY(OFFSET($Y$35,0,0,COUNTA(_xlfn.anchorarray($Y$35)),3),OFFSET(Z35,0,0,COUNTA(_xlfn.anchorarray($Y$35))),-1)</f>
        <v>Selecciona un partido de hoy:↗</v>
      </c>
      <c r="AD35" s="210" t="str">
        <v/>
      </c>
      <c r="AE35" s="210" t="n">
        <v>0</v>
      </c>
      <c r="AF35" s="210"/>
      <c r="AG35" s="210" t="str">
        <f aca="false" t="array" ref="AG35:AG35">_xlfn.UNIQUE(_xlfn._xlws.FILTER(DailyPrediction!$A$4:$A$35,DailyPrediction!$A$4:$A$35&lt;&gt;""))</f>
        <v>Costa de Marfil-Ecuador</v>
      </c>
      <c r="AH35" s="210" t="e">
        <f aca="false" t="array" ref="AH35:AH35">LEFT(OFFSET(_xlfn.anchorarray(Y35),0,0,COUNTA(_xlfn.anchorarray(Y35)),1))</f>
        <v>#VALUE!</v>
      </c>
      <c r="AI35" s="210" t="str">
        <f aca="false" t="array" ref="AI35:AI35">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AJ35" s="210" t="str">
        <f aca="false" t="array" ref="AJ35:AJ35">IFERROR(_xlfn._xlws.SORT(_xlfn.UNIQUE(INDEX(OFFSET(DailyPrediction!$G$4,0,0,ADMIN!$D$5,COUNTA(_xlfn.anchorarray(DailyPrediction!$G$2))),,MATCH(Stats!$I$5,OFFSET(DailyPrediction!$G$2,0,0,1,COUNTA(_xlfn.anchorarray(DailyPrediction!$G$2))),0)),0)),Idiomas!D501)</f>
        <v>Selecciona un partido de hoy:↗</v>
      </c>
      <c r="AK35" s="210"/>
      <c r="AL35" s="210"/>
      <c r="AM35" s="210"/>
      <c r="AN35" s="210"/>
      <c r="AO35" s="210" t="str">
        <f aca="false">IFERROR(INDEX(DailyPrediction!$D$4:$D$35,MATCH(Stats!AG35,DailyPrediction!$A$4:$A$35,0)),"")</f>
        <v/>
      </c>
      <c r="AP35" s="210" t="e">
        <f aca="false">INDEX($AO$35:$AO$66,MATCH($I$5,_xlfn.anchorarray($AG$35),0))</f>
        <v>#NAME?</v>
      </c>
      <c r="AQ35" s="210"/>
      <c r="AR35" s="210"/>
      <c r="AS35" s="210"/>
      <c r="AT35" s="210"/>
      <c r="AU35" s="210"/>
      <c r="AV35" s="210"/>
      <c r="AW35" s="210"/>
      <c r="AX35" s="210"/>
      <c r="AY35" s="210"/>
      <c r="AZ35" s="210"/>
      <c r="BA35" s="210"/>
    </row>
    <row r="36" customFormat="false" ht="15" hidden="false" customHeight="true" outlineLevel="0" collapsed="false">
      <c r="A36" s="315" t="n">
        <v>15</v>
      </c>
      <c r="B36" s="315" t="n">
        <f aca="false">IFERROR(SUMIF(ADMIN!$G$6:$G$258,A36,ADMIN!$F$6:$F$258),"")</f>
        <v>108</v>
      </c>
      <c r="C36" s="248"/>
      <c r="D36" s="315" t="s">
        <v>145</v>
      </c>
      <c r="E36" s="315" t="e">
        <f aca="false">SUMIFS(_xlfn.anchorarray($Z$35),_xlfn.anchorarray($AH$35),D36)</f>
        <v>#NAME?</v>
      </c>
      <c r="F36" s="315" t="n">
        <f aca="false">IFERROR(E36/SUM($E$35:E38),0)</f>
        <v>0</v>
      </c>
      <c r="G36" s="248"/>
      <c r="H36" s="248"/>
      <c r="I36" s="248"/>
      <c r="J36" s="315"/>
      <c r="K36" s="315"/>
      <c r="L36" s="528" t="str">
        <f aca="false">Horarios!Q31</f>
        <v>Japón</v>
      </c>
      <c r="M36" s="522" t="n">
        <f aca="false">ADMIN!$D$5-SUM(N36:T36)</f>
        <v>24</v>
      </c>
      <c r="N36" s="522" t="n">
        <f aca="false">IFERROR(COUNTIF(ADMIN!$S$130:INDEX(ADMIN!$S$130:$JE$161,32,ADMIN!$D$5*3-1),Stats!$L36)-SUM(O36:T36),0)</f>
        <v>16</v>
      </c>
      <c r="O36" s="522" t="n">
        <f aca="false">COUNTIF(ADMIN!$S$182:INDEX(ADMIN!$S$182:$JE$197,16,ADMIN!$D$5*3-1),Stats!$L36)-SUM(P36:T36)</f>
        <v>0</v>
      </c>
      <c r="P36" s="522" t="n">
        <f aca="false">COUNTIF(ADMIN!$S$210:INDEX(ADMIN!$S$210:$JE$217,8,ADMIN!$D$5*3-1),Stats!$L36)-SUM(Q36:T36)</f>
        <v>0</v>
      </c>
      <c r="Q36" s="522" t="n">
        <f aca="false">COUNTIF(ADMIN!$S$226:INDEX(ADMIN!$S$226:$JE$229,4,ADMIN!$D$5*3-1),Stats!$L36)-SUM(R36:T36)</f>
        <v>0</v>
      </c>
      <c r="R36" s="522" t="n">
        <f aca="false">IFERROR(COUNTIF(ADMIN!$S$252:INDEX(ADMIN!$S$252:$JE$252,1,ADMIN!$D$5*3-1),Stats!$L36),0)</f>
        <v>0</v>
      </c>
      <c r="S36" s="522" t="n">
        <f aca="false">IFERROR(COUNTIF(ADMIN!$S$251:INDEX(ADMIN!$S$251:$JE$251,1,ADMIN!$D$5*3-1),Stats!$L36),0)</f>
        <v>0</v>
      </c>
      <c r="T36" s="523" t="n">
        <f aca="false">IFERROR(COUNTIF(ADMIN!$S$250:INDEX(ADMIN!$S$250:$JE$250,1,ADMIN!$D$5*3-1),Stats!$L36),0)</f>
        <v>0</v>
      </c>
      <c r="U36" s="315"/>
      <c r="V36" s="210" t="n">
        <f aca="false">SUM(M36:T36)</f>
        <v>40</v>
      </c>
      <c r="W36" s="210"/>
      <c r="X36" s="210"/>
      <c r="Y36" s="210"/>
      <c r="Z36" s="210"/>
      <c r="AA36" s="210"/>
      <c r="AB36" s="210"/>
      <c r="AC36" s="210"/>
      <c r="AD36" s="210"/>
      <c r="AE36" s="210"/>
      <c r="AF36" s="210"/>
      <c r="AG36" s="210"/>
      <c r="AH36" s="210"/>
      <c r="AI36" s="210"/>
      <c r="AJ36" s="210"/>
      <c r="AK36" s="210"/>
      <c r="AL36" s="210"/>
      <c r="AM36" s="210"/>
      <c r="AN36" s="210"/>
      <c r="AO36" s="210" t="str">
        <f aca="false">IFERROR(INDEX(DailyPrediction!$D$4:$D$35,MATCH(Stats!AG36,DailyPrediction!$A$4:$A$35,0)),"")</f>
        <v/>
      </c>
      <c r="AP36" s="210"/>
      <c r="AQ36" s="210"/>
      <c r="AR36" s="210"/>
      <c r="AS36" s="210"/>
      <c r="AT36" s="210"/>
      <c r="AU36" s="210"/>
      <c r="AV36" s="210"/>
      <c r="AW36" s="210"/>
      <c r="AX36" s="210"/>
      <c r="AY36" s="210"/>
      <c r="AZ36" s="210"/>
      <c r="BA36" s="210"/>
    </row>
    <row r="37" customFormat="false" ht="15" hidden="false" customHeight="true" outlineLevel="0" collapsed="false">
      <c r="A37" s="315" t="n">
        <v>16</v>
      </c>
      <c r="B37" s="315" t="n">
        <f aca="false">IFERROR(SUMIF(ADMIN!$G$6:$G$258,A37,ADMIN!$F$6:$F$258),"")</f>
        <v>216</v>
      </c>
      <c r="C37" s="248"/>
      <c r="D37" s="315" t="n">
        <v>2</v>
      </c>
      <c r="E37" s="315" t="e">
        <f aca="false">SUMIFS(_xlfn.anchorarray($Z$35),_xlfn.anchorarray($AH$35),D37)</f>
        <v>#NAME?</v>
      </c>
      <c r="F37" s="315" t="n">
        <f aca="false">IFERROR(E37/SUM($E$35:E39),0)</f>
        <v>0</v>
      </c>
      <c r="G37" s="248"/>
      <c r="H37" s="248"/>
      <c r="I37" s="248"/>
      <c r="J37" s="315"/>
      <c r="K37" s="315"/>
      <c r="L37" s="525" t="str">
        <f aca="false">Horarios!Q32</f>
        <v>Jordania</v>
      </c>
      <c r="M37" s="526" t="n">
        <f aca="false">ADMIN!$D$5-SUM(N37:T37)</f>
        <v>40</v>
      </c>
      <c r="N37" s="526" t="n">
        <f aca="false">IFERROR(COUNTIF(ADMIN!$S$130:INDEX(ADMIN!$S$130:$JE$161,32,ADMIN!$D$5*3-1),Stats!$L37)-SUM(O37:T37),0)</f>
        <v>0</v>
      </c>
      <c r="O37" s="526" t="n">
        <f aca="false">COUNTIF(ADMIN!$S$182:INDEX(ADMIN!$S$182:$JE$197,16,ADMIN!$D$5*3-1),Stats!$L37)-SUM(P37:T37)</f>
        <v>0</v>
      </c>
      <c r="P37" s="526" t="n">
        <f aca="false">COUNTIF(ADMIN!$S$210:INDEX(ADMIN!$S$210:$JE$217,8,ADMIN!$D$5*3-1),Stats!$L37)-SUM(Q37:T37)</f>
        <v>0</v>
      </c>
      <c r="Q37" s="526" t="n">
        <f aca="false">COUNTIF(ADMIN!$S$226:INDEX(ADMIN!$S$226:$JE$229,4,ADMIN!$D$5*3-1),Stats!$L37)-SUM(R37:T37)</f>
        <v>0</v>
      </c>
      <c r="R37" s="526" t="n">
        <f aca="false">IFERROR(COUNTIF(ADMIN!$S$252:INDEX(ADMIN!$S$252:$JE$252,1,ADMIN!$D$5*3-1),Stats!$L37),0)</f>
        <v>0</v>
      </c>
      <c r="S37" s="526" t="n">
        <f aca="false">IFERROR(COUNTIF(ADMIN!$S$251:INDEX(ADMIN!$S$251:$JE$251,1,ADMIN!$D$5*3-1),Stats!$L37),0)</f>
        <v>0</v>
      </c>
      <c r="T37" s="527" t="n">
        <f aca="false">IFERROR(COUNTIF(ADMIN!$S$250:INDEX(ADMIN!$S$250:$JE$250,1,ADMIN!$D$5*3-1),Stats!$L37),0)</f>
        <v>0</v>
      </c>
      <c r="U37" s="315"/>
      <c r="V37" s="210" t="n">
        <f aca="false">SUM(M37:T37)</f>
        <v>40</v>
      </c>
      <c r="W37" s="210"/>
      <c r="X37" s="210"/>
      <c r="Y37" s="210"/>
      <c r="Z37" s="210"/>
      <c r="AA37" s="210"/>
      <c r="AB37" s="210"/>
      <c r="AC37" s="210"/>
      <c r="AD37" s="210"/>
      <c r="AE37" s="210"/>
      <c r="AF37" s="210"/>
      <c r="AG37" s="210"/>
      <c r="AH37" s="210"/>
      <c r="AI37" s="210"/>
      <c r="AJ37" s="210"/>
      <c r="AK37" s="210"/>
      <c r="AL37" s="210"/>
      <c r="AM37" s="210"/>
      <c r="AN37" s="210"/>
      <c r="AO37" s="210" t="str">
        <f aca="false">IFERROR(INDEX(DailyPrediction!$D$4:$D$35,MATCH(Stats!AG37,DailyPrediction!$A$4:$A$35,0)),"")</f>
        <v/>
      </c>
      <c r="AP37" s="210"/>
      <c r="AQ37" s="210"/>
      <c r="AR37" s="210"/>
      <c r="AS37" s="210"/>
      <c r="AT37" s="210"/>
      <c r="AU37" s="210"/>
      <c r="AV37" s="210"/>
      <c r="AW37" s="210"/>
      <c r="AX37" s="210"/>
      <c r="AY37" s="210"/>
      <c r="AZ37" s="210"/>
      <c r="BA37" s="210"/>
    </row>
    <row r="38" customFormat="false" ht="15" hidden="false" customHeight="true" outlineLevel="0" collapsed="false">
      <c r="A38" s="315" t="n">
        <v>17</v>
      </c>
      <c r="B38" s="315" t="n">
        <f aca="false">IFERROR(SUMIF(ADMIN!$G$6:$G$258,A38,ADMIN!$F$6:$F$258),"")</f>
        <v>108</v>
      </c>
      <c r="C38" s="248"/>
      <c r="D38" s="315"/>
      <c r="E38" s="315"/>
      <c r="F38" s="315"/>
      <c r="G38" s="248"/>
      <c r="H38" s="248"/>
      <c r="I38" s="248"/>
      <c r="J38" s="315"/>
      <c r="K38" s="315"/>
      <c r="L38" s="528" t="str">
        <f aca="false">Horarios!Q33</f>
        <v>Marruecos</v>
      </c>
      <c r="M38" s="522" t="n">
        <f aca="false">ADMIN!$D$5-SUM(N38:T38)</f>
        <v>22</v>
      </c>
      <c r="N38" s="522" t="n">
        <f aca="false">IFERROR(COUNTIF(ADMIN!$S$130:INDEX(ADMIN!$S$130:$JE$161,32,ADMIN!$D$5*3-1),Stats!$L38)-SUM(O38:T38),0)</f>
        <v>9</v>
      </c>
      <c r="O38" s="522" t="n">
        <f aca="false">COUNTIF(ADMIN!$S$182:INDEX(ADMIN!$S$182:$JE$197,16,ADMIN!$D$5*3-1),Stats!$L38)-SUM(P38:T38)</f>
        <v>0</v>
      </c>
      <c r="P38" s="522" t="n">
        <f aca="false">COUNTIF(ADMIN!$S$210:INDEX(ADMIN!$S$210:$JE$217,8,ADMIN!$D$5*3-1),Stats!$L38)-SUM(Q38:T38)</f>
        <v>8</v>
      </c>
      <c r="Q38" s="522" t="n">
        <f aca="false">COUNTIF(ADMIN!$S$226:INDEX(ADMIN!$S$226:$JE$229,4,ADMIN!$D$5*3-1),Stats!$L38)-SUM(R38:T38)</f>
        <v>1</v>
      </c>
      <c r="R38" s="522" t="n">
        <f aca="false">IFERROR(COUNTIF(ADMIN!$S$252:INDEX(ADMIN!$S$252:$JE$252,1,ADMIN!$D$5*3-1),Stats!$L38),0)</f>
        <v>0</v>
      </c>
      <c r="S38" s="522" t="n">
        <f aca="false">IFERROR(COUNTIF(ADMIN!$S$251:INDEX(ADMIN!$S$251:$JE$251,1,ADMIN!$D$5*3-1),Stats!$L38),0)</f>
        <v>0</v>
      </c>
      <c r="T38" s="523" t="n">
        <f aca="false">IFERROR(COUNTIF(ADMIN!$S$250:INDEX(ADMIN!$S$250:$JE$250,1,ADMIN!$D$5*3-1),Stats!$L38),0)</f>
        <v>0</v>
      </c>
      <c r="U38" s="315"/>
      <c r="V38" s="210" t="n">
        <f aca="false">SUM(M38:T38)</f>
        <v>40</v>
      </c>
      <c r="W38" s="210"/>
      <c r="X38" s="210"/>
      <c r="Y38" s="210"/>
      <c r="Z38" s="210"/>
      <c r="AA38" s="210"/>
      <c r="AB38" s="210"/>
      <c r="AC38" s="210"/>
      <c r="AD38" s="210"/>
      <c r="AE38" s="210"/>
      <c r="AF38" s="210"/>
      <c r="AG38" s="210"/>
      <c r="AH38" s="210"/>
      <c r="AI38" s="210"/>
      <c r="AJ38" s="210"/>
      <c r="AK38" s="210"/>
      <c r="AL38" s="210"/>
      <c r="AM38" s="210"/>
      <c r="AN38" s="210"/>
      <c r="AO38" s="210" t="str">
        <f aca="false">IFERROR(INDEX(DailyPrediction!$D$4:$D$35,MATCH(Stats!AG38,DailyPrediction!$A$4:$A$35,0)),"")</f>
        <v/>
      </c>
      <c r="AP38" s="210"/>
      <c r="AQ38" s="210"/>
      <c r="AR38" s="210"/>
      <c r="AS38" s="210"/>
      <c r="AT38" s="210"/>
      <c r="AU38" s="210"/>
      <c r="AV38" s="210"/>
      <c r="AW38" s="210"/>
      <c r="AX38" s="210"/>
      <c r="AY38" s="210"/>
      <c r="AZ38" s="210"/>
      <c r="BA38" s="210"/>
    </row>
    <row r="39" customFormat="false" ht="15" hidden="false" customHeight="true" outlineLevel="0" collapsed="false">
      <c r="A39" s="315" t="n">
        <v>18</v>
      </c>
      <c r="B39" s="315" t="n">
        <f aca="false">IFERROR(SUMIF(ADMIN!$G$6:$G$258,A39,ADMIN!$F$6:$F$258),"")</f>
        <v>162</v>
      </c>
      <c r="C39" s="248"/>
      <c r="D39" s="29"/>
      <c r="E39" s="29"/>
      <c r="F39" s="29"/>
      <c r="G39" s="248"/>
      <c r="H39" s="248"/>
      <c r="I39" s="248"/>
      <c r="J39" s="315"/>
      <c r="K39" s="315"/>
      <c r="L39" s="525" t="str">
        <f aca="false">Horarios!Q34</f>
        <v>México</v>
      </c>
      <c r="M39" s="526" t="n">
        <f aca="false">ADMIN!$D$5-SUM(N39:T39)</f>
        <v>22</v>
      </c>
      <c r="N39" s="526" t="n">
        <f aca="false">IFERROR(COUNTIF(ADMIN!$S$130:INDEX(ADMIN!$S$130:$JE$161,32,ADMIN!$D$5*3-1),Stats!$L39)-SUM(O39:T39),0)</f>
        <v>5</v>
      </c>
      <c r="O39" s="526" t="n">
        <f aca="false">COUNTIF(ADMIN!$S$182:INDEX(ADMIN!$S$182:$JE$197,16,ADMIN!$D$5*3-1),Stats!$L39)-SUM(P39:T39)</f>
        <v>12</v>
      </c>
      <c r="P39" s="526" t="n">
        <f aca="false">COUNTIF(ADMIN!$S$210:INDEX(ADMIN!$S$210:$JE$217,8,ADMIN!$D$5*3-1),Stats!$L39)-SUM(Q39:T39)</f>
        <v>1</v>
      </c>
      <c r="Q39" s="526" t="n">
        <f aca="false">COUNTIF(ADMIN!$S$226:INDEX(ADMIN!$S$226:$JE$229,4,ADMIN!$D$5*3-1),Stats!$L39)-SUM(R39:T39)</f>
        <v>0</v>
      </c>
      <c r="R39" s="526" t="n">
        <f aca="false">IFERROR(COUNTIF(ADMIN!$S$252:INDEX(ADMIN!$S$252:$JE$252,1,ADMIN!$D$5*3-1),Stats!$L39),0)</f>
        <v>0</v>
      </c>
      <c r="S39" s="526" t="n">
        <f aca="false">IFERROR(COUNTIF(ADMIN!$S$251:INDEX(ADMIN!$S$251:$JE$251,1,ADMIN!$D$5*3-1),Stats!$L39),0)</f>
        <v>0</v>
      </c>
      <c r="T39" s="527" t="n">
        <f aca="false">IFERROR(COUNTIF(ADMIN!$S$250:INDEX(ADMIN!$S$250:$JE$250,1,ADMIN!$D$5*3-1),Stats!$L39),0)</f>
        <v>0</v>
      </c>
      <c r="U39" s="315"/>
      <c r="V39" s="210" t="n">
        <f aca="false">SUM(M39:T39)</f>
        <v>40</v>
      </c>
      <c r="W39" s="210"/>
      <c r="X39" s="210"/>
      <c r="Y39" s="210"/>
      <c r="Z39" s="210"/>
      <c r="AA39" s="210"/>
      <c r="AB39" s="210"/>
      <c r="AC39" s="210"/>
      <c r="AD39" s="210"/>
      <c r="AE39" s="210"/>
      <c r="AF39" s="210"/>
      <c r="AG39" s="210"/>
      <c r="AH39" s="210"/>
      <c r="AI39" s="210"/>
      <c r="AJ39" s="210"/>
      <c r="AK39" s="210"/>
      <c r="AL39" s="210"/>
      <c r="AM39" s="210"/>
      <c r="AN39" s="210"/>
      <c r="AO39" s="210" t="str">
        <f aca="false">IFERROR(INDEX(DailyPrediction!$D$4:$D$35,MATCH(Stats!AG39,DailyPrediction!$A$4:$A$35,0)),"")</f>
        <v/>
      </c>
      <c r="AP39" s="210"/>
      <c r="AQ39" s="210"/>
      <c r="AR39" s="210"/>
      <c r="AS39" s="210"/>
      <c r="AT39" s="210"/>
      <c r="AU39" s="210"/>
      <c r="AV39" s="210"/>
      <c r="AW39" s="210"/>
      <c r="AX39" s="210"/>
      <c r="AY39" s="210"/>
      <c r="AZ39" s="210"/>
      <c r="BA39" s="210"/>
    </row>
    <row r="40" customFormat="false" ht="15" hidden="false" customHeight="false" outlineLevel="0" collapsed="false">
      <c r="A40" s="315" t="n">
        <v>19</v>
      </c>
      <c r="B40" s="315" t="n">
        <f aca="false">IFERROR(SUMIF(ADMIN!$G$6:$G$258,A40,ADMIN!$F$6:$F$258),"")</f>
        <v>96</v>
      </c>
      <c r="C40" s="248"/>
      <c r="D40" s="29"/>
      <c r="E40" s="29"/>
      <c r="F40" s="29"/>
      <c r="G40" s="248"/>
      <c r="H40" s="248"/>
      <c r="I40" s="248"/>
      <c r="J40" s="315"/>
      <c r="K40" s="315"/>
      <c r="L40" s="528" t="str">
        <f aca="false">Horarios!Q35</f>
        <v>Noruega</v>
      </c>
      <c r="M40" s="522" t="n">
        <f aca="false">ADMIN!$D$5-SUM(N40:T40)</f>
        <v>22</v>
      </c>
      <c r="N40" s="522" t="n">
        <f aca="false">IFERROR(COUNTIF(ADMIN!$S$130:INDEX(ADMIN!$S$130:$JE$161,32,ADMIN!$D$5*3-1),Stats!$L40)-SUM(O40:T40),0)</f>
        <v>8</v>
      </c>
      <c r="O40" s="522" t="n">
        <f aca="false">COUNTIF(ADMIN!$S$182:INDEX(ADMIN!$S$182:$JE$197,16,ADMIN!$D$5*3-1),Stats!$L40)-SUM(P40:T40)</f>
        <v>9</v>
      </c>
      <c r="P40" s="522" t="n">
        <f aca="false">COUNTIF(ADMIN!$S$210:INDEX(ADMIN!$S$210:$JE$217,8,ADMIN!$D$5*3-1),Stats!$L40)-SUM(Q40:T40)</f>
        <v>0</v>
      </c>
      <c r="Q40" s="522" t="n">
        <f aca="false">COUNTIF(ADMIN!$S$226:INDEX(ADMIN!$S$226:$JE$229,4,ADMIN!$D$5*3-1),Stats!$L40)-SUM(R40:T40)</f>
        <v>1</v>
      </c>
      <c r="R40" s="522" t="n">
        <f aca="false">IFERROR(COUNTIF(ADMIN!$S$252:INDEX(ADMIN!$S$252:$JE$252,1,ADMIN!$D$5*3-1),Stats!$L40),0)</f>
        <v>0</v>
      </c>
      <c r="S40" s="522" t="n">
        <f aca="false">IFERROR(COUNTIF(ADMIN!$S$251:INDEX(ADMIN!$S$251:$JE$251,1,ADMIN!$D$5*3-1),Stats!$L40),0)</f>
        <v>0</v>
      </c>
      <c r="T40" s="523" t="n">
        <f aca="false">IFERROR(COUNTIF(ADMIN!$S$250:INDEX(ADMIN!$S$250:$JE$250,1,ADMIN!$D$5*3-1),Stats!$L40),0)</f>
        <v>0</v>
      </c>
      <c r="U40" s="315"/>
      <c r="V40" s="210" t="n">
        <f aca="false">SUM(M40:T40)</f>
        <v>40</v>
      </c>
      <c r="W40" s="210"/>
      <c r="X40" s="210"/>
      <c r="Y40" s="210"/>
      <c r="Z40" s="210"/>
      <c r="AA40" s="210"/>
      <c r="AB40" s="210"/>
      <c r="AC40" s="210"/>
      <c r="AD40" s="210"/>
      <c r="AE40" s="210"/>
      <c r="AF40" s="210"/>
      <c r="AG40" s="210"/>
      <c r="AH40" s="210"/>
      <c r="AI40" s="210"/>
      <c r="AJ40" s="210"/>
      <c r="AK40" s="210"/>
      <c r="AL40" s="210"/>
      <c r="AM40" s="210"/>
      <c r="AN40" s="210"/>
      <c r="AO40" s="210" t="str">
        <f aca="false">IFERROR(INDEX(DailyPrediction!$D$4:$D$35,MATCH(Stats!AG40,DailyPrediction!$A$4:$A$35,0)),"")</f>
        <v/>
      </c>
      <c r="AP40" s="210"/>
      <c r="AQ40" s="210"/>
      <c r="AR40" s="210"/>
      <c r="AS40" s="210"/>
      <c r="AT40" s="210"/>
      <c r="AU40" s="210"/>
      <c r="AV40" s="210"/>
      <c r="AW40" s="210"/>
      <c r="AX40" s="210"/>
      <c r="AY40" s="210"/>
      <c r="AZ40" s="210"/>
      <c r="BA40" s="210"/>
    </row>
    <row r="41" customFormat="false" ht="15" hidden="false" customHeight="false" outlineLevel="0" collapsed="false">
      <c r="A41" s="315" t="n">
        <v>20</v>
      </c>
      <c r="B41" s="315" t="n">
        <f aca="false">IFERROR(SUMIF(ADMIN!$G$6:$G$258,A41,ADMIN!$F$6:$F$258),"")</f>
        <v>336</v>
      </c>
      <c r="C41" s="248"/>
      <c r="D41" s="248"/>
      <c r="E41" s="248"/>
      <c r="F41" s="29"/>
      <c r="G41" s="248"/>
      <c r="H41" s="248"/>
      <c r="I41" s="248"/>
      <c r="J41" s="315"/>
      <c r="K41" s="315"/>
      <c r="L41" s="525" t="str">
        <f aca="false">Horarios!Q36</f>
        <v>Nueva Zelanda</v>
      </c>
      <c r="M41" s="526" t="n">
        <f aca="false">ADMIN!$D$5-SUM(N41:T41)</f>
        <v>39</v>
      </c>
      <c r="N41" s="526" t="n">
        <f aca="false">IFERROR(COUNTIF(ADMIN!$S$130:INDEX(ADMIN!$S$130:$JE$161,32,ADMIN!$D$5*3-1),Stats!$L41)-SUM(O41:T41),0)</f>
        <v>1</v>
      </c>
      <c r="O41" s="526" t="n">
        <f aca="false">COUNTIF(ADMIN!$S$182:INDEX(ADMIN!$S$182:$JE$197,16,ADMIN!$D$5*3-1),Stats!$L41)-SUM(P41:T41)</f>
        <v>0</v>
      </c>
      <c r="P41" s="526" t="n">
        <f aca="false">COUNTIF(ADMIN!$S$210:INDEX(ADMIN!$S$210:$JE$217,8,ADMIN!$D$5*3-1),Stats!$L41)-SUM(Q41:T41)</f>
        <v>0</v>
      </c>
      <c r="Q41" s="526" t="n">
        <f aca="false">COUNTIF(ADMIN!$S$226:INDEX(ADMIN!$S$226:$JE$229,4,ADMIN!$D$5*3-1),Stats!$L41)-SUM(R41:T41)</f>
        <v>0</v>
      </c>
      <c r="R41" s="526" t="n">
        <f aca="false">IFERROR(COUNTIF(ADMIN!$S$252:INDEX(ADMIN!$S$252:$JE$252,1,ADMIN!$D$5*3-1),Stats!$L41),0)</f>
        <v>0</v>
      </c>
      <c r="S41" s="526" t="n">
        <f aca="false">IFERROR(COUNTIF(ADMIN!$S$251:INDEX(ADMIN!$S$251:$JE$251,1,ADMIN!$D$5*3-1),Stats!$L41),0)</f>
        <v>0</v>
      </c>
      <c r="T41" s="527" t="n">
        <f aca="false">IFERROR(COUNTIF(ADMIN!$S$250:INDEX(ADMIN!$S$250:$JE$250,1,ADMIN!$D$5*3-1),Stats!$L41),0)</f>
        <v>0</v>
      </c>
      <c r="U41" s="315"/>
      <c r="V41" s="210" t="n">
        <f aca="false">SUM(M41:T41)</f>
        <v>40</v>
      </c>
      <c r="W41" s="210"/>
      <c r="X41" s="210"/>
      <c r="Y41" s="210"/>
      <c r="Z41" s="210"/>
      <c r="AA41" s="210"/>
      <c r="AB41" s="210"/>
      <c r="AC41" s="210"/>
      <c r="AD41" s="210"/>
      <c r="AE41" s="210"/>
      <c r="AF41" s="210"/>
      <c r="AG41" s="210"/>
      <c r="AH41" s="210"/>
      <c r="AI41" s="210"/>
      <c r="AJ41" s="210"/>
      <c r="AK41" s="210"/>
      <c r="AL41" s="210"/>
      <c r="AM41" s="210"/>
      <c r="AN41" s="210"/>
      <c r="AO41" s="210" t="str">
        <f aca="false">IFERROR(INDEX(DailyPrediction!$D$4:$D$35,MATCH(Stats!AG41,DailyPrediction!$A$4:$A$35,0)),"")</f>
        <v/>
      </c>
      <c r="AP41" s="210"/>
      <c r="AQ41" s="210"/>
      <c r="AR41" s="210"/>
      <c r="AS41" s="210"/>
      <c r="AT41" s="210"/>
      <c r="AU41" s="210"/>
      <c r="AV41" s="210"/>
      <c r="AW41" s="210"/>
      <c r="AX41" s="210"/>
      <c r="AY41" s="210"/>
      <c r="AZ41" s="210"/>
      <c r="BA41" s="210"/>
    </row>
    <row r="42" customFormat="false" ht="15" hidden="false" customHeight="false" outlineLevel="0" collapsed="false">
      <c r="A42" s="315" t="n">
        <v>21</v>
      </c>
      <c r="B42" s="315" t="n">
        <f aca="false">IFERROR(SUMIF(ADMIN!$G$6:$G$258,A42,ADMIN!$F$6:$F$258),"")</f>
        <v>176</v>
      </c>
      <c r="C42" s="248"/>
      <c r="D42" s="248"/>
      <c r="E42" s="248"/>
      <c r="F42" s="29"/>
      <c r="G42" s="248"/>
      <c r="H42" s="248"/>
      <c r="I42" s="248"/>
      <c r="J42" s="315"/>
      <c r="K42" s="315"/>
      <c r="L42" s="528" t="str">
        <f aca="false">Horarios!Q37</f>
        <v>Países Bajos</v>
      </c>
      <c r="M42" s="522" t="n">
        <f aca="false">ADMIN!$D$5-SUM(N42:T42)</f>
        <v>22</v>
      </c>
      <c r="N42" s="522" t="n">
        <f aca="false">IFERROR(COUNTIF(ADMIN!$S$130:INDEX(ADMIN!$S$130:$JE$161,32,ADMIN!$D$5*3-1),Stats!$L42)-SUM(O42:T42),0)</f>
        <v>8</v>
      </c>
      <c r="O42" s="522" t="n">
        <f aca="false">COUNTIF(ADMIN!$S$182:INDEX(ADMIN!$S$182:$JE$197,16,ADMIN!$D$5*3-1),Stats!$L42)-SUM(P42:T42)</f>
        <v>0</v>
      </c>
      <c r="P42" s="522" t="n">
        <f aca="false">COUNTIF(ADMIN!$S$210:INDEX(ADMIN!$S$210:$JE$217,8,ADMIN!$D$5*3-1),Stats!$L42)-SUM(Q42:T42)</f>
        <v>9</v>
      </c>
      <c r="Q42" s="522" t="n">
        <f aca="false">COUNTIF(ADMIN!$S$226:INDEX(ADMIN!$S$226:$JE$229,4,ADMIN!$D$5*3-1),Stats!$L42)-SUM(R42:T42)</f>
        <v>0</v>
      </c>
      <c r="R42" s="522" t="n">
        <f aca="false">IFERROR(COUNTIF(ADMIN!$S$252:INDEX(ADMIN!$S$252:$JE$252,1,ADMIN!$D$5*3-1),Stats!$L42),0)</f>
        <v>0</v>
      </c>
      <c r="S42" s="522" t="n">
        <f aca="false">IFERROR(COUNTIF(ADMIN!$S$251:INDEX(ADMIN!$S$251:$JE$251,1,ADMIN!$D$5*3-1),Stats!$L42),0)</f>
        <v>0</v>
      </c>
      <c r="T42" s="523" t="n">
        <f aca="false">IFERROR(COUNTIF(ADMIN!$S$250:INDEX(ADMIN!$S$250:$JE$250,1,ADMIN!$D$5*3-1),Stats!$L42),0)</f>
        <v>1</v>
      </c>
      <c r="U42" s="315"/>
      <c r="V42" s="210" t="n">
        <f aca="false">SUM(M42:T42)</f>
        <v>40</v>
      </c>
      <c r="W42" s="210"/>
      <c r="X42" s="210"/>
      <c r="Y42" s="210"/>
      <c r="Z42" s="210"/>
      <c r="AA42" s="210"/>
      <c r="AB42" s="210"/>
      <c r="AC42" s="210"/>
      <c r="AD42" s="210"/>
      <c r="AE42" s="210"/>
      <c r="AF42" s="210"/>
      <c r="AG42" s="210"/>
      <c r="AH42" s="210"/>
      <c r="AI42" s="210"/>
      <c r="AJ42" s="210"/>
      <c r="AK42" s="210"/>
      <c r="AL42" s="210"/>
      <c r="AM42" s="210"/>
      <c r="AN42" s="210"/>
      <c r="AO42" s="210" t="str">
        <f aca="false">IFERROR(INDEX(DailyPrediction!$D$4:$D$35,MATCH(Stats!AG42,DailyPrediction!$A$4:$A$35,0)),"")</f>
        <v/>
      </c>
      <c r="AP42" s="210"/>
      <c r="AQ42" s="210"/>
      <c r="AR42" s="210"/>
      <c r="AS42" s="210"/>
      <c r="AT42" s="210"/>
      <c r="AU42" s="210"/>
      <c r="AV42" s="210"/>
      <c r="AW42" s="210"/>
      <c r="AX42" s="210"/>
      <c r="AY42" s="210"/>
      <c r="AZ42" s="210"/>
      <c r="BA42" s="210"/>
    </row>
    <row r="43" customFormat="false" ht="15" hidden="false" customHeight="false" outlineLevel="0" collapsed="false">
      <c r="A43" s="315" t="n">
        <v>22</v>
      </c>
      <c r="B43" s="315" t="n">
        <f aca="false">IFERROR(SUMIF(ADMIN!$G$6:$G$258,A43,ADMIN!$F$6:$F$258),"")</f>
        <v>92</v>
      </c>
      <c r="C43" s="248"/>
      <c r="D43" s="248"/>
      <c r="E43" s="248"/>
      <c r="F43" s="29"/>
      <c r="G43" s="248"/>
      <c r="H43" s="248"/>
      <c r="I43" s="248"/>
      <c r="J43" s="315"/>
      <c r="K43" s="315"/>
      <c r="L43" s="525" t="str">
        <f aca="false">Horarios!Q38</f>
        <v>Panamá</v>
      </c>
      <c r="M43" s="526" t="n">
        <f aca="false">ADMIN!$D$5-SUM(N43:T43)</f>
        <v>39</v>
      </c>
      <c r="N43" s="526" t="n">
        <f aca="false">IFERROR(COUNTIF(ADMIN!$S$130:INDEX(ADMIN!$S$130:$JE$161,32,ADMIN!$D$5*3-1),Stats!$L43)-SUM(O43:T43),0)</f>
        <v>1</v>
      </c>
      <c r="O43" s="526" t="n">
        <f aca="false">COUNTIF(ADMIN!$S$182:INDEX(ADMIN!$S$182:$JE$197,16,ADMIN!$D$5*3-1),Stats!$L43)-SUM(P43:T43)</f>
        <v>0</v>
      </c>
      <c r="P43" s="526" t="n">
        <f aca="false">COUNTIF(ADMIN!$S$210:INDEX(ADMIN!$S$210:$JE$217,8,ADMIN!$D$5*3-1),Stats!$L43)-SUM(Q43:T43)</f>
        <v>0</v>
      </c>
      <c r="Q43" s="526" t="n">
        <f aca="false">COUNTIF(ADMIN!$S$226:INDEX(ADMIN!$S$226:$JE$229,4,ADMIN!$D$5*3-1),Stats!$L43)-SUM(R43:T43)</f>
        <v>0</v>
      </c>
      <c r="R43" s="526" t="n">
        <f aca="false">IFERROR(COUNTIF(ADMIN!$S$252:INDEX(ADMIN!$S$252:$JE$252,1,ADMIN!$D$5*3-1),Stats!$L43),0)</f>
        <v>0</v>
      </c>
      <c r="S43" s="526" t="n">
        <f aca="false">IFERROR(COUNTIF(ADMIN!$S$251:INDEX(ADMIN!$S$251:$JE$251,1,ADMIN!$D$5*3-1),Stats!$L43),0)</f>
        <v>0</v>
      </c>
      <c r="T43" s="527" t="n">
        <f aca="false">IFERROR(COUNTIF(ADMIN!$S$250:INDEX(ADMIN!$S$250:$JE$250,1,ADMIN!$D$5*3-1),Stats!$L43),0)</f>
        <v>0</v>
      </c>
      <c r="U43" s="315"/>
      <c r="V43" s="210" t="n">
        <f aca="false">SUM(M43:T43)</f>
        <v>40</v>
      </c>
      <c r="W43" s="210"/>
      <c r="X43" s="210"/>
      <c r="Y43" s="210"/>
      <c r="Z43" s="210"/>
      <c r="AA43" s="210"/>
      <c r="AB43" s="210"/>
      <c r="AC43" s="210"/>
      <c r="AD43" s="210"/>
      <c r="AE43" s="210"/>
      <c r="AF43" s="210"/>
      <c r="AG43" s="210"/>
      <c r="AH43" s="210"/>
      <c r="AI43" s="210"/>
      <c r="AJ43" s="210"/>
      <c r="AK43" s="210"/>
      <c r="AL43" s="210"/>
      <c r="AM43" s="210"/>
      <c r="AN43" s="210"/>
      <c r="AO43" s="210" t="str">
        <f aca="false">IFERROR(INDEX(DailyPrediction!$D$4:$D$35,MATCH(Stats!AG43,DailyPrediction!$A$4:$A$35,0)),"")</f>
        <v/>
      </c>
      <c r="AP43" s="210"/>
      <c r="AQ43" s="210"/>
      <c r="AR43" s="210"/>
      <c r="AS43" s="210"/>
      <c r="AT43" s="210"/>
      <c r="AU43" s="210"/>
      <c r="AV43" s="210"/>
      <c r="AW43" s="210"/>
      <c r="AX43" s="210"/>
      <c r="AY43" s="210"/>
      <c r="AZ43" s="210"/>
      <c r="BA43" s="210"/>
    </row>
    <row r="44" customFormat="false" ht="15" hidden="false" customHeight="false" outlineLevel="0" collapsed="false">
      <c r="A44" s="315" t="n">
        <v>23</v>
      </c>
      <c r="B44" s="315" t="n">
        <f aca="false">IFERROR(SUMIF(ADMIN!$G$6:$G$258,A44,ADMIN!$F$6:$F$258),"")</f>
        <v>64</v>
      </c>
      <c r="C44" s="248"/>
      <c r="D44" s="29"/>
      <c r="E44" s="29"/>
      <c r="F44" s="29"/>
      <c r="G44" s="248"/>
      <c r="H44" s="248"/>
      <c r="I44" s="248"/>
      <c r="J44" s="315"/>
      <c r="K44" s="315"/>
      <c r="L44" s="528" t="str">
        <f aca="false">Horarios!Q39</f>
        <v>Paraguay</v>
      </c>
      <c r="M44" s="522" t="n">
        <f aca="false">ADMIN!$D$5-SUM(N44:T44)</f>
        <v>25</v>
      </c>
      <c r="N44" s="522" t="n">
        <f aca="false">IFERROR(COUNTIF(ADMIN!$S$130:INDEX(ADMIN!$S$130:$JE$161,32,ADMIN!$D$5*3-1),Stats!$L44)-SUM(O44:T44),0)</f>
        <v>14</v>
      </c>
      <c r="O44" s="522" t="n">
        <f aca="false">COUNTIF(ADMIN!$S$182:INDEX(ADMIN!$S$182:$JE$197,16,ADMIN!$D$5*3-1),Stats!$L44)-SUM(P44:T44)</f>
        <v>1</v>
      </c>
      <c r="P44" s="522" t="n">
        <f aca="false">COUNTIF(ADMIN!$S$210:INDEX(ADMIN!$S$210:$JE$217,8,ADMIN!$D$5*3-1),Stats!$L44)-SUM(Q44:T44)</f>
        <v>0</v>
      </c>
      <c r="Q44" s="522" t="n">
        <f aca="false">COUNTIF(ADMIN!$S$226:INDEX(ADMIN!$S$226:$JE$229,4,ADMIN!$D$5*3-1),Stats!$L44)-SUM(R44:T44)</f>
        <v>0</v>
      </c>
      <c r="R44" s="522" t="n">
        <f aca="false">IFERROR(COUNTIF(ADMIN!$S$252:INDEX(ADMIN!$S$252:$JE$252,1,ADMIN!$D$5*3-1),Stats!$L44),0)</f>
        <v>0</v>
      </c>
      <c r="S44" s="522" t="n">
        <f aca="false">IFERROR(COUNTIF(ADMIN!$S$251:INDEX(ADMIN!$S$251:$JE$251,1,ADMIN!$D$5*3-1),Stats!$L44),0)</f>
        <v>0</v>
      </c>
      <c r="T44" s="523" t="n">
        <f aca="false">IFERROR(COUNTIF(ADMIN!$S$250:INDEX(ADMIN!$S$250:$JE$250,1,ADMIN!$D$5*3-1),Stats!$L44),0)</f>
        <v>0</v>
      </c>
      <c r="U44" s="315"/>
      <c r="V44" s="210" t="n">
        <f aca="false">SUM(M44:T44)</f>
        <v>40</v>
      </c>
      <c r="W44" s="210"/>
      <c r="X44" s="210"/>
      <c r="Y44" s="210"/>
      <c r="Z44" s="210"/>
      <c r="AA44" s="210"/>
      <c r="AB44" s="210"/>
      <c r="AC44" s="210"/>
      <c r="AD44" s="210"/>
      <c r="AE44" s="210"/>
      <c r="AF44" s="210"/>
      <c r="AG44" s="210"/>
      <c r="AH44" s="210"/>
      <c r="AI44" s="210"/>
      <c r="AJ44" s="210"/>
      <c r="AK44" s="210"/>
      <c r="AL44" s="210"/>
      <c r="AM44" s="210"/>
      <c r="AN44" s="210"/>
      <c r="AO44" s="210" t="str">
        <f aca="false">IFERROR(INDEX(DailyPrediction!$D$4:$D$35,MATCH(Stats!AG44,DailyPrediction!$A$4:$A$35,0)),"")</f>
        <v/>
      </c>
      <c r="AP44" s="210"/>
      <c r="AQ44" s="210"/>
      <c r="AR44" s="210"/>
      <c r="AS44" s="210"/>
      <c r="AT44" s="210"/>
      <c r="AU44" s="210"/>
      <c r="AV44" s="210"/>
      <c r="AW44" s="210"/>
      <c r="AX44" s="210"/>
      <c r="AY44" s="210"/>
      <c r="AZ44" s="210"/>
      <c r="BA44" s="210"/>
    </row>
    <row r="45" customFormat="false" ht="15" hidden="false" customHeight="false" outlineLevel="0" collapsed="false">
      <c r="A45" s="315" t="n">
        <v>24</v>
      </c>
      <c r="B45" s="315" t="n">
        <f aca="false">IFERROR(SUMIF(ADMIN!$G$6:$G$258,A45,ADMIN!$F$6:$F$258),"")</f>
        <v>214</v>
      </c>
      <c r="C45" s="248"/>
      <c r="D45" s="29"/>
      <c r="E45" s="29" t="str">
        <f aca="false">IF(Home!E41&lt;Home!E42,"",IF(Home!E41&gt;=Home!E42,Idiomas!D511&amp;" "&amp;SUM(WORLDCUP!$BJ$6:$BJ$53,WORLDCUP!$AC$101:$AD$147)&amp;" "&amp;Idiomas!D512,""))</f>
        <v>Se han marcado un total de 46 goles en el Mundial de Clubes sin contar tandas de penalti</v>
      </c>
      <c r="F45" s="29"/>
      <c r="G45" s="248"/>
      <c r="H45" s="248"/>
      <c r="I45" s="248"/>
      <c r="J45" s="315"/>
      <c r="K45" s="315"/>
      <c r="L45" s="525" t="str">
        <f aca="false">Horarios!Q40</f>
        <v>Portugal</v>
      </c>
      <c r="M45" s="526" t="n">
        <f aca="false">ADMIN!$D$5-SUM(N45:T45)</f>
        <v>22</v>
      </c>
      <c r="N45" s="526" t="n">
        <f aca="false">IFERROR(COUNTIF(ADMIN!$S$130:INDEX(ADMIN!$S$130:$JE$161,32,ADMIN!$D$5*3-1),Stats!$L45)-SUM(O45:T45),0)</f>
        <v>1</v>
      </c>
      <c r="O45" s="526" t="n">
        <f aca="false">COUNTIF(ADMIN!$S$182:INDEX(ADMIN!$S$182:$JE$197,16,ADMIN!$D$5*3-1),Stats!$L45)-SUM(P45:T45)</f>
        <v>0</v>
      </c>
      <c r="P45" s="526" t="n">
        <f aca="false">COUNTIF(ADMIN!$S$210:INDEX(ADMIN!$S$210:$JE$217,8,ADMIN!$D$5*3-1),Stats!$L45)-SUM(Q45:T45)</f>
        <v>8</v>
      </c>
      <c r="Q45" s="526" t="n">
        <f aca="false">COUNTIF(ADMIN!$S$226:INDEX(ADMIN!$S$226:$JE$229,4,ADMIN!$D$5*3-1),Stats!$L45)-SUM(R45:T45)</f>
        <v>5</v>
      </c>
      <c r="R45" s="526" t="n">
        <f aca="false">IFERROR(COUNTIF(ADMIN!$S$252:INDEX(ADMIN!$S$252:$JE$252,1,ADMIN!$D$5*3-1),Stats!$L45),0)</f>
        <v>0</v>
      </c>
      <c r="S45" s="526" t="n">
        <f aca="false">IFERROR(COUNTIF(ADMIN!$S$251:INDEX(ADMIN!$S$251:$JE$251,1,ADMIN!$D$5*3-1),Stats!$L45),0)</f>
        <v>3</v>
      </c>
      <c r="T45" s="527" t="n">
        <f aca="false">IFERROR(COUNTIF(ADMIN!$S$250:INDEX(ADMIN!$S$250:$JE$250,1,ADMIN!$D$5*3-1),Stats!$L45),0)</f>
        <v>1</v>
      </c>
      <c r="U45" s="315"/>
      <c r="V45" s="210" t="n">
        <f aca="false">SUM(M45:T45)</f>
        <v>40</v>
      </c>
      <c r="W45" s="210"/>
      <c r="X45" s="210"/>
      <c r="Y45" s="210"/>
      <c r="Z45" s="210"/>
      <c r="AA45" s="210"/>
      <c r="AB45" s="210"/>
      <c r="AC45" s="210"/>
      <c r="AD45" s="210"/>
      <c r="AE45" s="210"/>
      <c r="AF45" s="210"/>
      <c r="AG45" s="210"/>
      <c r="AH45" s="210"/>
      <c r="AI45" s="210"/>
      <c r="AJ45" s="210"/>
      <c r="AK45" s="210"/>
      <c r="AL45" s="210"/>
      <c r="AM45" s="210"/>
      <c r="AN45" s="210"/>
      <c r="AO45" s="210" t="str">
        <f aca="false">IFERROR(INDEX(DailyPrediction!$D$4:$D$35,MATCH(Stats!AG45,DailyPrediction!$A$4:$A$35,0)),"")</f>
        <v/>
      </c>
      <c r="AP45" s="210"/>
      <c r="AQ45" s="210"/>
      <c r="AR45" s="210"/>
      <c r="AS45" s="210"/>
      <c r="AT45" s="210"/>
      <c r="AU45" s="210"/>
      <c r="AV45" s="210"/>
      <c r="AW45" s="210"/>
      <c r="AX45" s="210"/>
      <c r="AY45" s="210"/>
      <c r="AZ45" s="210"/>
      <c r="BA45" s="210"/>
    </row>
    <row r="46" customFormat="false" ht="15" hidden="false" customHeight="false" outlineLevel="0" collapsed="false">
      <c r="A46" s="315"/>
      <c r="B46" s="538" t="n">
        <f aca="false">SUM(B22:B45)</f>
        <v>2442</v>
      </c>
      <c r="C46" s="248"/>
      <c r="D46" s="29"/>
      <c r="E46" s="29"/>
      <c r="F46" s="29"/>
      <c r="G46" s="248"/>
      <c r="H46" s="248"/>
      <c r="I46" s="248"/>
      <c r="J46" s="315"/>
      <c r="K46" s="315"/>
      <c r="L46" s="528" t="str">
        <f aca="false">Horarios!Q41</f>
        <v>RD Congo</v>
      </c>
      <c r="M46" s="522" t="n">
        <f aca="false">ADMIN!$D$5-SUM(N46:T46)</f>
        <v>40</v>
      </c>
      <c r="N46" s="522" t="n">
        <f aca="false">IFERROR(COUNTIF(ADMIN!$S$130:INDEX(ADMIN!$S$130:$JE$161,32,ADMIN!$D$5*3-1),Stats!$L46)-SUM(O46:T46),0)</f>
        <v>0</v>
      </c>
      <c r="O46" s="522" t="n">
        <f aca="false">COUNTIF(ADMIN!$S$182:INDEX(ADMIN!$S$182:$JE$197,16,ADMIN!$D$5*3-1),Stats!$L46)-SUM(P46:T46)</f>
        <v>0</v>
      </c>
      <c r="P46" s="522" t="n">
        <f aca="false">COUNTIF(ADMIN!$S$210:INDEX(ADMIN!$S$210:$JE$217,8,ADMIN!$D$5*3-1),Stats!$L46)-SUM(Q46:T46)</f>
        <v>0</v>
      </c>
      <c r="Q46" s="522" t="n">
        <f aca="false">COUNTIF(ADMIN!$S$226:INDEX(ADMIN!$S$226:$JE$229,4,ADMIN!$D$5*3-1),Stats!$L46)-SUM(R46:T46)</f>
        <v>0</v>
      </c>
      <c r="R46" s="522" t="n">
        <f aca="false">IFERROR(COUNTIF(ADMIN!$S$252:INDEX(ADMIN!$S$252:$JE$252,1,ADMIN!$D$5*3-1),Stats!$L46),0)</f>
        <v>0</v>
      </c>
      <c r="S46" s="522" t="n">
        <f aca="false">IFERROR(COUNTIF(ADMIN!$S$251:INDEX(ADMIN!$S$251:$JE$251,1,ADMIN!$D$5*3-1),Stats!$L46),0)</f>
        <v>0</v>
      </c>
      <c r="T46" s="523" t="n">
        <f aca="false">IFERROR(COUNTIF(ADMIN!$S$250:INDEX(ADMIN!$S$250:$JE$250,1,ADMIN!$D$5*3-1),Stats!$L46),0)</f>
        <v>0</v>
      </c>
      <c r="U46" s="315"/>
      <c r="V46" s="210" t="n">
        <f aca="false">SUM(M46:T46)</f>
        <v>40</v>
      </c>
      <c r="W46" s="210"/>
      <c r="X46" s="210"/>
      <c r="Y46" s="210"/>
      <c r="Z46" s="210"/>
      <c r="AA46" s="210"/>
      <c r="AB46" s="210"/>
      <c r="AC46" s="210"/>
      <c r="AD46" s="210"/>
      <c r="AE46" s="210"/>
      <c r="AF46" s="210"/>
      <c r="AG46" s="210"/>
      <c r="AH46" s="210"/>
      <c r="AI46" s="210"/>
      <c r="AJ46" s="210"/>
      <c r="AK46" s="210"/>
      <c r="AL46" s="210"/>
      <c r="AM46" s="210"/>
      <c r="AN46" s="210"/>
      <c r="AO46" s="210" t="str">
        <f aca="false">IFERROR(INDEX(DailyPrediction!$D$4:$D$35,MATCH(Stats!AG46,DailyPrediction!$A$4:$A$35,0)),"")</f>
        <v/>
      </c>
      <c r="AP46" s="210"/>
      <c r="AQ46" s="210"/>
      <c r="AR46" s="210"/>
      <c r="AS46" s="210"/>
      <c r="AT46" s="210"/>
      <c r="AU46" s="210"/>
      <c r="AV46" s="210"/>
      <c r="AW46" s="210"/>
      <c r="AX46" s="210"/>
      <c r="AY46" s="210"/>
      <c r="AZ46" s="210"/>
      <c r="BA46" s="210"/>
    </row>
    <row r="47" customFormat="false" ht="15" hidden="false" customHeight="false" outlineLevel="0" collapsed="false">
      <c r="A47" s="315"/>
      <c r="B47" s="315" t="n">
        <f aca="false">B46*ADMIN!$D$5</f>
        <v>97680</v>
      </c>
      <c r="C47" s="248"/>
      <c r="D47" s="29"/>
      <c r="E47" s="29"/>
      <c r="F47" s="29"/>
      <c r="G47" s="248"/>
      <c r="H47" s="248"/>
      <c r="I47" s="248"/>
      <c r="J47" s="315"/>
      <c r="K47" s="315"/>
      <c r="L47" s="525" t="str">
        <f aca="false">Horarios!Q42</f>
        <v>República Checa</v>
      </c>
      <c r="M47" s="526" t="n">
        <f aca="false">ADMIN!$D$5-SUM(N47:T47)</f>
        <v>27</v>
      </c>
      <c r="N47" s="526" t="n">
        <f aca="false">IFERROR(COUNTIF(ADMIN!$S$130:INDEX(ADMIN!$S$130:$JE$161,32,ADMIN!$D$5*3-1),Stats!$L47)-SUM(O47:T47),0)</f>
        <v>6</v>
      </c>
      <c r="O47" s="526" t="n">
        <f aca="false">COUNTIF(ADMIN!$S$182:INDEX(ADMIN!$S$182:$JE$197,16,ADMIN!$D$5*3-1),Stats!$L47)-SUM(P47:T47)</f>
        <v>6</v>
      </c>
      <c r="P47" s="526" t="n">
        <f aca="false">COUNTIF(ADMIN!$S$210:INDEX(ADMIN!$S$210:$JE$217,8,ADMIN!$D$5*3-1),Stats!$L47)-SUM(Q47:T47)</f>
        <v>0</v>
      </c>
      <c r="Q47" s="526" t="n">
        <f aca="false">COUNTIF(ADMIN!$S$226:INDEX(ADMIN!$S$226:$JE$229,4,ADMIN!$D$5*3-1),Stats!$L47)-SUM(R47:T47)</f>
        <v>1</v>
      </c>
      <c r="R47" s="526" t="n">
        <f aca="false">IFERROR(COUNTIF(ADMIN!$S$252:INDEX(ADMIN!$S$252:$JE$252,1,ADMIN!$D$5*3-1),Stats!$L47),0)</f>
        <v>0</v>
      </c>
      <c r="S47" s="526" t="n">
        <f aca="false">IFERROR(COUNTIF(ADMIN!$S$251:INDEX(ADMIN!$S$251:$JE$251,1,ADMIN!$D$5*3-1),Stats!$L47),0)</f>
        <v>0</v>
      </c>
      <c r="T47" s="527" t="n">
        <f aca="false">IFERROR(COUNTIF(ADMIN!$S$250:INDEX(ADMIN!$S$250:$JE$250,1,ADMIN!$D$5*3-1),Stats!$L47),0)</f>
        <v>0</v>
      </c>
      <c r="U47" s="315"/>
      <c r="V47" s="210" t="n">
        <f aca="false">SUM(M47:T47)</f>
        <v>40</v>
      </c>
      <c r="W47" s="210"/>
      <c r="X47" s="210"/>
      <c r="Y47" s="210"/>
      <c r="Z47" s="210"/>
      <c r="AA47" s="210"/>
      <c r="AB47" s="210"/>
      <c r="AC47" s="210"/>
      <c r="AD47" s="210"/>
      <c r="AE47" s="210"/>
      <c r="AF47" s="210"/>
      <c r="AG47" s="210"/>
      <c r="AH47" s="210"/>
      <c r="AI47" s="210"/>
      <c r="AJ47" s="210"/>
      <c r="AK47" s="210"/>
      <c r="AL47" s="210"/>
      <c r="AM47" s="210"/>
      <c r="AN47" s="210"/>
      <c r="AO47" s="210" t="str">
        <f aca="false">IFERROR(INDEX(DailyPrediction!$D$4:$D$35,MATCH(Stats!AG47,DailyPrediction!$A$4:$A$35,0)),"")</f>
        <v/>
      </c>
      <c r="AP47" s="210"/>
      <c r="AQ47" s="210"/>
      <c r="AR47" s="210"/>
      <c r="AS47" s="210"/>
      <c r="AT47" s="210"/>
      <c r="AU47" s="210"/>
      <c r="AV47" s="210"/>
      <c r="AW47" s="210"/>
      <c r="AX47" s="210"/>
      <c r="AY47" s="210"/>
      <c r="AZ47" s="210"/>
      <c r="BA47" s="210"/>
    </row>
    <row r="48" customFormat="false" ht="15" hidden="false" customHeight="false" outlineLevel="0" collapsed="false">
      <c r="A48" s="315"/>
      <c r="B48" s="315"/>
      <c r="C48" s="248"/>
      <c r="D48" s="248"/>
      <c r="E48" s="248"/>
      <c r="F48" s="248"/>
      <c r="G48" s="248"/>
      <c r="H48" s="248"/>
      <c r="I48" s="248"/>
      <c r="J48" s="315"/>
      <c r="K48" s="315"/>
      <c r="L48" s="528" t="str">
        <f aca="false">Horarios!Q43</f>
        <v>Senegal</v>
      </c>
      <c r="M48" s="522" t="n">
        <f aca="false">ADMIN!$D$5-SUM(N48:T48)</f>
        <v>24</v>
      </c>
      <c r="N48" s="522" t="n">
        <f aca="false">IFERROR(COUNTIF(ADMIN!$S$130:INDEX(ADMIN!$S$130:$JE$161,32,ADMIN!$D$5*3-1),Stats!$L48)-SUM(O48:T48),0)</f>
        <v>11</v>
      </c>
      <c r="O48" s="522" t="n">
        <f aca="false">COUNTIF(ADMIN!$S$182:INDEX(ADMIN!$S$182:$JE$197,16,ADMIN!$D$5*3-1),Stats!$L48)-SUM(P48:T48)</f>
        <v>5</v>
      </c>
      <c r="P48" s="522" t="n">
        <f aca="false">COUNTIF(ADMIN!$S$210:INDEX(ADMIN!$S$210:$JE$217,8,ADMIN!$D$5*3-1),Stats!$L48)-SUM(Q48:T48)</f>
        <v>0</v>
      </c>
      <c r="Q48" s="522" t="n">
        <f aca="false">COUNTIF(ADMIN!$S$226:INDEX(ADMIN!$S$226:$JE$229,4,ADMIN!$D$5*3-1),Stats!$L48)-SUM(R48:T48)</f>
        <v>0</v>
      </c>
      <c r="R48" s="522" t="n">
        <f aca="false">IFERROR(COUNTIF(ADMIN!$S$252:INDEX(ADMIN!$S$252:$JE$252,1,ADMIN!$D$5*3-1),Stats!$L48),0)</f>
        <v>0</v>
      </c>
      <c r="S48" s="522" t="n">
        <f aca="false">IFERROR(COUNTIF(ADMIN!$S$251:INDEX(ADMIN!$S$251:$JE$251,1,ADMIN!$D$5*3-1),Stats!$L48),0)</f>
        <v>0</v>
      </c>
      <c r="T48" s="523" t="n">
        <f aca="false">IFERROR(COUNTIF(ADMIN!$S$250:INDEX(ADMIN!$S$250:$JE$250,1,ADMIN!$D$5*3-1),Stats!$L48),0)</f>
        <v>0</v>
      </c>
      <c r="U48" s="315"/>
      <c r="V48" s="210" t="n">
        <f aca="false">SUM(M48:T48)</f>
        <v>40</v>
      </c>
      <c r="W48" s="210"/>
      <c r="X48" s="210"/>
      <c r="Y48" s="210"/>
      <c r="Z48" s="210"/>
      <c r="AA48" s="210"/>
      <c r="AB48" s="210"/>
      <c r="AC48" s="210"/>
      <c r="AD48" s="210"/>
      <c r="AE48" s="210"/>
      <c r="AF48" s="210"/>
      <c r="AG48" s="210"/>
      <c r="AH48" s="210"/>
      <c r="AI48" s="210"/>
      <c r="AJ48" s="210"/>
      <c r="AK48" s="210"/>
      <c r="AL48" s="210"/>
      <c r="AM48" s="210"/>
      <c r="AN48" s="210"/>
      <c r="AO48" s="210" t="str">
        <f aca="false">IFERROR(INDEX(DailyPrediction!$D$4:$D$35,MATCH(Stats!AG48,DailyPrediction!$A$4:$A$35,0)),"")</f>
        <v/>
      </c>
      <c r="AP48" s="210"/>
      <c r="AQ48" s="210"/>
      <c r="AR48" s="210"/>
      <c r="AS48" s="210"/>
      <c r="AT48" s="210"/>
      <c r="AU48" s="210"/>
      <c r="AV48" s="210"/>
      <c r="AW48" s="210"/>
      <c r="AX48" s="210"/>
      <c r="AY48" s="210"/>
      <c r="AZ48" s="210"/>
      <c r="BA48" s="210"/>
    </row>
    <row r="49" customFormat="false" ht="15" hidden="false" customHeight="false" outlineLevel="0" collapsed="false">
      <c r="A49" s="315"/>
      <c r="B49" s="315"/>
      <c r="C49" s="248"/>
      <c r="D49" s="248"/>
      <c r="E49" s="248"/>
      <c r="F49" s="248"/>
      <c r="G49" s="248"/>
      <c r="H49" s="248"/>
      <c r="I49" s="248"/>
      <c r="J49" s="315"/>
      <c r="K49" s="315"/>
      <c r="L49" s="525" t="str">
        <f aca="false">Horarios!Q44</f>
        <v>Sudáfrica</v>
      </c>
      <c r="M49" s="526" t="n">
        <f aca="false">ADMIN!$D$5-SUM(N49:T49)</f>
        <v>37</v>
      </c>
      <c r="N49" s="526" t="n">
        <f aca="false">IFERROR(COUNTIF(ADMIN!$S$130:INDEX(ADMIN!$S$130:$JE$161,32,ADMIN!$D$5*3-1),Stats!$L49)-SUM(O49:T49),0)</f>
        <v>3</v>
      </c>
      <c r="O49" s="526" t="n">
        <f aca="false">COUNTIF(ADMIN!$S$182:INDEX(ADMIN!$S$182:$JE$197,16,ADMIN!$D$5*3-1),Stats!$L49)-SUM(P49:T49)</f>
        <v>0</v>
      </c>
      <c r="P49" s="526" t="n">
        <f aca="false">COUNTIF(ADMIN!$S$210:INDEX(ADMIN!$S$210:$JE$217,8,ADMIN!$D$5*3-1),Stats!$L49)-SUM(Q49:T49)</f>
        <v>0</v>
      </c>
      <c r="Q49" s="526" t="n">
        <f aca="false">COUNTIF(ADMIN!$S$226:INDEX(ADMIN!$S$226:$JE$229,4,ADMIN!$D$5*3-1),Stats!$L49)-SUM(R49:T49)</f>
        <v>0</v>
      </c>
      <c r="R49" s="526" t="n">
        <f aca="false">IFERROR(COUNTIF(ADMIN!$S$252:INDEX(ADMIN!$S$252:$JE$252,1,ADMIN!$D$5*3-1),Stats!$L49),0)</f>
        <v>0</v>
      </c>
      <c r="S49" s="526" t="n">
        <f aca="false">IFERROR(COUNTIF(ADMIN!$S$251:INDEX(ADMIN!$S$251:$JE$251,1,ADMIN!$D$5*3-1),Stats!$L49),0)</f>
        <v>0</v>
      </c>
      <c r="T49" s="527" t="n">
        <f aca="false">IFERROR(COUNTIF(ADMIN!$S$250:INDEX(ADMIN!$S$250:$JE$250,1,ADMIN!$D$5*3-1),Stats!$L49),0)</f>
        <v>0</v>
      </c>
      <c r="U49" s="315"/>
      <c r="V49" s="210" t="n">
        <f aca="false">SUM(M49:T49)</f>
        <v>40</v>
      </c>
      <c r="W49" s="210"/>
      <c r="X49" s="210"/>
      <c r="Y49" s="210"/>
      <c r="Z49" s="210"/>
      <c r="AA49" s="210"/>
      <c r="AB49" s="210"/>
      <c r="AC49" s="210"/>
      <c r="AD49" s="210"/>
      <c r="AE49" s="210"/>
      <c r="AF49" s="210"/>
      <c r="AG49" s="210"/>
      <c r="AH49" s="210"/>
      <c r="AI49" s="210"/>
      <c r="AJ49" s="210"/>
      <c r="AK49" s="210"/>
      <c r="AL49" s="210"/>
      <c r="AM49" s="210"/>
      <c r="AN49" s="210"/>
      <c r="AO49" s="210" t="str">
        <f aca="false">IFERROR(INDEX(DailyPrediction!$D$4:$D$35,MATCH(Stats!AG49,DailyPrediction!$A$4:$A$35,0)),"")</f>
        <v/>
      </c>
      <c r="AP49" s="210"/>
      <c r="AQ49" s="210"/>
      <c r="AR49" s="210"/>
      <c r="AS49" s="210"/>
      <c r="AT49" s="210"/>
      <c r="AU49" s="210"/>
      <c r="AV49" s="210"/>
      <c r="AW49" s="210"/>
      <c r="AX49" s="210"/>
      <c r="AY49" s="210"/>
      <c r="AZ49" s="210"/>
      <c r="BA49" s="210"/>
    </row>
    <row r="50" customFormat="false" ht="15" hidden="false" customHeight="false" outlineLevel="0" collapsed="false">
      <c r="A50" s="315"/>
      <c r="B50" s="315"/>
      <c r="C50" s="248"/>
      <c r="D50" s="248"/>
      <c r="E50" s="248"/>
      <c r="F50" s="248"/>
      <c r="G50" s="248"/>
      <c r="H50" s="248"/>
      <c r="I50" s="248"/>
      <c r="J50" s="315"/>
      <c r="K50" s="315"/>
      <c r="L50" s="528" t="str">
        <f aca="false">Horarios!Q45</f>
        <v>Suecia</v>
      </c>
      <c r="M50" s="522" t="n">
        <f aca="false">ADMIN!$D$5-SUM(N50:T50)</f>
        <v>25</v>
      </c>
      <c r="N50" s="522" t="n">
        <f aca="false">IFERROR(COUNTIF(ADMIN!$S$130:INDEX(ADMIN!$S$130:$JE$161,32,ADMIN!$D$5*3-1),Stats!$L50)-SUM(O50:T50),0)</f>
        <v>14</v>
      </c>
      <c r="O50" s="522" t="n">
        <f aca="false">COUNTIF(ADMIN!$S$182:INDEX(ADMIN!$S$182:$JE$197,16,ADMIN!$D$5*3-1),Stats!$L50)-SUM(P50:T50)</f>
        <v>1</v>
      </c>
      <c r="P50" s="522" t="n">
        <f aca="false">COUNTIF(ADMIN!$S$210:INDEX(ADMIN!$S$210:$JE$217,8,ADMIN!$D$5*3-1),Stats!$L50)-SUM(Q50:T50)</f>
        <v>0</v>
      </c>
      <c r="Q50" s="522" t="n">
        <f aca="false">COUNTIF(ADMIN!$S$226:INDEX(ADMIN!$S$226:$JE$229,4,ADMIN!$D$5*3-1),Stats!$L50)-SUM(R50:T50)</f>
        <v>0</v>
      </c>
      <c r="R50" s="522" t="n">
        <f aca="false">IFERROR(COUNTIF(ADMIN!$S$252:INDEX(ADMIN!$S$252:$JE$252,1,ADMIN!$D$5*3-1),Stats!$L50),0)</f>
        <v>0</v>
      </c>
      <c r="S50" s="522" t="n">
        <f aca="false">IFERROR(COUNTIF(ADMIN!$S$251:INDEX(ADMIN!$S$251:$JE$251,1,ADMIN!$D$5*3-1),Stats!$L50),0)</f>
        <v>0</v>
      </c>
      <c r="T50" s="523" t="n">
        <f aca="false">IFERROR(COUNTIF(ADMIN!$S$250:INDEX(ADMIN!$S$250:$JE$250,1,ADMIN!$D$5*3-1),Stats!$L50),0)</f>
        <v>0</v>
      </c>
      <c r="U50" s="315"/>
      <c r="V50" s="210" t="n">
        <f aca="false">SUM(M50:T50)</f>
        <v>40</v>
      </c>
      <c r="W50" s="210"/>
      <c r="X50" s="210"/>
      <c r="Y50" s="210"/>
      <c r="Z50" s="210"/>
      <c r="AA50" s="210"/>
      <c r="AB50" s="210"/>
      <c r="AC50" s="210"/>
      <c r="AD50" s="210"/>
      <c r="AE50" s="210"/>
      <c r="AF50" s="210"/>
      <c r="AG50" s="210"/>
      <c r="AH50" s="210"/>
      <c r="AI50" s="210"/>
      <c r="AJ50" s="210"/>
      <c r="AK50" s="210"/>
      <c r="AL50" s="210"/>
      <c r="AM50" s="210"/>
      <c r="AN50" s="210"/>
      <c r="AO50" s="210" t="str">
        <f aca="false">IFERROR(INDEX(DailyPrediction!$D$4:$D$35,MATCH(Stats!AG50,DailyPrediction!$A$4:$A$35,0)),"")</f>
        <v/>
      </c>
      <c r="AP50" s="210"/>
      <c r="AQ50" s="210"/>
      <c r="AR50" s="210"/>
      <c r="AS50" s="210"/>
      <c r="AT50" s="210"/>
      <c r="AU50" s="210"/>
      <c r="AV50" s="210"/>
      <c r="AW50" s="210"/>
      <c r="AX50" s="210"/>
      <c r="AY50" s="210"/>
      <c r="AZ50" s="210"/>
      <c r="BA50" s="210"/>
    </row>
    <row r="51" customFormat="false" ht="15" hidden="false" customHeight="false" outlineLevel="0" collapsed="false">
      <c r="A51" s="315"/>
      <c r="B51" s="315"/>
      <c r="C51" s="248"/>
      <c r="D51" s="248"/>
      <c r="E51" s="248"/>
      <c r="F51" s="248"/>
      <c r="G51" s="248"/>
      <c r="H51" s="248"/>
      <c r="I51" s="248"/>
      <c r="J51" s="315"/>
      <c r="K51" s="315"/>
      <c r="L51" s="525" t="str">
        <f aca="false">Horarios!Q46</f>
        <v>Suiza</v>
      </c>
      <c r="M51" s="526" t="n">
        <f aca="false">ADMIN!$D$5-SUM(N51:T51)</f>
        <v>22</v>
      </c>
      <c r="N51" s="526" t="n">
        <f aca="false">IFERROR(COUNTIF(ADMIN!$S$130:INDEX(ADMIN!$S$130:$JE$161,32,ADMIN!$D$5*3-1),Stats!$L51)-SUM(O51:T51),0)</f>
        <v>8</v>
      </c>
      <c r="O51" s="526" t="n">
        <f aca="false">COUNTIF(ADMIN!$S$182:INDEX(ADMIN!$S$182:$JE$197,16,ADMIN!$D$5*3-1),Stats!$L51)-SUM(P51:T51)</f>
        <v>10</v>
      </c>
      <c r="P51" s="526" t="n">
        <f aca="false">COUNTIF(ADMIN!$S$210:INDEX(ADMIN!$S$210:$JE$217,8,ADMIN!$D$5*3-1),Stats!$L51)-SUM(Q51:T51)</f>
        <v>0</v>
      </c>
      <c r="Q51" s="526" t="n">
        <f aca="false">COUNTIF(ADMIN!$S$226:INDEX(ADMIN!$S$226:$JE$229,4,ADMIN!$D$5*3-1),Stats!$L51)-SUM(R51:T51)</f>
        <v>0</v>
      </c>
      <c r="R51" s="526" t="n">
        <f aca="false">IFERROR(COUNTIF(ADMIN!$S$252:INDEX(ADMIN!$S$252:$JE$252,1,ADMIN!$D$5*3-1),Stats!$L51),0)</f>
        <v>0</v>
      </c>
      <c r="S51" s="526" t="n">
        <f aca="false">IFERROR(COUNTIF(ADMIN!$S$251:INDEX(ADMIN!$S$251:$JE$251,1,ADMIN!$D$5*3-1),Stats!$L51),0)</f>
        <v>0</v>
      </c>
      <c r="T51" s="527" t="n">
        <f aca="false">IFERROR(COUNTIF(ADMIN!$S$250:INDEX(ADMIN!$S$250:$JE$250,1,ADMIN!$D$5*3-1),Stats!$L51),0)</f>
        <v>0</v>
      </c>
      <c r="U51" s="315"/>
      <c r="V51" s="210" t="n">
        <f aca="false">SUM(M51:T51)</f>
        <v>40</v>
      </c>
      <c r="W51" s="210"/>
      <c r="X51" s="210"/>
      <c r="Y51" s="210"/>
      <c r="Z51" s="210"/>
      <c r="AA51" s="210"/>
      <c r="AB51" s="210"/>
      <c r="AC51" s="210"/>
      <c r="AD51" s="210"/>
      <c r="AE51" s="210"/>
      <c r="AF51" s="210"/>
      <c r="AG51" s="210"/>
      <c r="AH51" s="210"/>
      <c r="AI51" s="210"/>
      <c r="AJ51" s="210"/>
      <c r="AK51" s="210"/>
      <c r="AL51" s="210"/>
      <c r="AM51" s="210"/>
      <c r="AN51" s="210"/>
      <c r="AO51" s="210" t="str">
        <f aca="false">IFERROR(INDEX(DailyPrediction!$D$4:$D$35,MATCH(Stats!AG51,DailyPrediction!$A$4:$A$35,0)),"")</f>
        <v/>
      </c>
      <c r="AP51" s="210"/>
      <c r="AQ51" s="210"/>
      <c r="AR51" s="210"/>
      <c r="AS51" s="210"/>
      <c r="AT51" s="210"/>
      <c r="AU51" s="210"/>
      <c r="AV51" s="210"/>
      <c r="AW51" s="210"/>
      <c r="AX51" s="210"/>
      <c r="AY51" s="210"/>
      <c r="AZ51" s="210"/>
      <c r="BA51" s="210"/>
    </row>
    <row r="52" customFormat="false" ht="15" hidden="false" customHeight="false" outlineLevel="0" collapsed="false">
      <c r="A52" s="315"/>
      <c r="B52" s="315"/>
      <c r="C52" s="248"/>
      <c r="D52" s="248"/>
      <c r="E52" s="248"/>
      <c r="F52" s="248"/>
      <c r="G52" s="248"/>
      <c r="H52" s="248"/>
      <c r="I52" s="248"/>
      <c r="J52" s="315"/>
      <c r="K52" s="315"/>
      <c r="L52" s="528" t="str">
        <f aca="false">Horarios!Q47</f>
        <v>Túnez</v>
      </c>
      <c r="M52" s="522" t="n">
        <f aca="false">ADMIN!$D$5-SUM(N52:T52)</f>
        <v>40</v>
      </c>
      <c r="N52" s="522" t="n">
        <f aca="false">IFERROR(COUNTIF(ADMIN!$S$130:INDEX(ADMIN!$S$130:$JE$161,32,ADMIN!$D$5*3-1),Stats!$L52)-SUM(O52:T52),0)</f>
        <v>0</v>
      </c>
      <c r="O52" s="522" t="n">
        <f aca="false">COUNTIF(ADMIN!$S$182:INDEX(ADMIN!$S$182:$JE$197,16,ADMIN!$D$5*3-1),Stats!$L52)-SUM(P52:T52)</f>
        <v>0</v>
      </c>
      <c r="P52" s="522" t="n">
        <f aca="false">COUNTIF(ADMIN!$S$210:INDEX(ADMIN!$S$210:$JE$217,8,ADMIN!$D$5*3-1),Stats!$L52)-SUM(Q52:T52)</f>
        <v>0</v>
      </c>
      <c r="Q52" s="522" t="n">
        <f aca="false">COUNTIF(ADMIN!$S$226:INDEX(ADMIN!$S$226:$JE$229,4,ADMIN!$D$5*3-1),Stats!$L52)-SUM(R52:T52)</f>
        <v>0</v>
      </c>
      <c r="R52" s="522" t="n">
        <f aca="false">IFERROR(COUNTIF(ADMIN!$S$252:INDEX(ADMIN!$S$252:$JE$252,1,ADMIN!$D$5*3-1),Stats!$L52),0)</f>
        <v>0</v>
      </c>
      <c r="S52" s="522" t="n">
        <f aca="false">IFERROR(COUNTIF(ADMIN!$S$251:INDEX(ADMIN!$S$251:$JE$251,1,ADMIN!$D$5*3-1),Stats!$L52),0)</f>
        <v>0</v>
      </c>
      <c r="T52" s="523" t="n">
        <f aca="false">IFERROR(COUNTIF(ADMIN!$S$250:INDEX(ADMIN!$S$250:$JE$250,1,ADMIN!$D$5*3-1),Stats!$L52),0)</f>
        <v>0</v>
      </c>
      <c r="U52" s="315"/>
      <c r="V52" s="210" t="n">
        <f aca="false">SUM(M52:T52)</f>
        <v>40</v>
      </c>
      <c r="W52" s="210"/>
      <c r="X52" s="210"/>
      <c r="Y52" s="210"/>
      <c r="Z52" s="210"/>
      <c r="AA52" s="210"/>
      <c r="AB52" s="210"/>
      <c r="AC52" s="210"/>
      <c r="AD52" s="210"/>
      <c r="AE52" s="210"/>
      <c r="AF52" s="210"/>
      <c r="AG52" s="210"/>
      <c r="AH52" s="210"/>
      <c r="AI52" s="210"/>
      <c r="AJ52" s="210"/>
      <c r="AK52" s="210"/>
      <c r="AL52" s="210"/>
      <c r="AM52" s="210"/>
      <c r="AN52" s="210"/>
      <c r="AO52" s="210" t="str">
        <f aca="false">IFERROR(INDEX(DailyPrediction!$D$4:$D$35,MATCH(Stats!AG52,DailyPrediction!$A$4:$A$35,0)),"")</f>
        <v/>
      </c>
      <c r="AP52" s="210"/>
      <c r="AQ52" s="210"/>
      <c r="AR52" s="210"/>
      <c r="AS52" s="210"/>
      <c r="AT52" s="210"/>
      <c r="AU52" s="210"/>
      <c r="AV52" s="210"/>
      <c r="AW52" s="210"/>
      <c r="AX52" s="210"/>
      <c r="AY52" s="210"/>
      <c r="AZ52" s="210"/>
      <c r="BA52" s="210"/>
    </row>
    <row r="53" customFormat="false" ht="15" hidden="false" customHeight="false" outlineLevel="0" collapsed="false">
      <c r="A53" s="315"/>
      <c r="B53" s="315"/>
      <c r="C53" s="248"/>
      <c r="D53" s="248"/>
      <c r="E53" s="248"/>
      <c r="F53" s="248"/>
      <c r="G53" s="248"/>
      <c r="H53" s="248"/>
      <c r="I53" s="248"/>
      <c r="J53" s="315"/>
      <c r="K53" s="315"/>
      <c r="L53" s="525" t="str">
        <f aca="false">Horarios!Q48</f>
        <v>Turquía</v>
      </c>
      <c r="M53" s="526" t="n">
        <f aca="false">ADMIN!$D$5-SUM(N53:T53)</f>
        <v>22</v>
      </c>
      <c r="N53" s="526" t="n">
        <f aca="false">IFERROR(COUNTIF(ADMIN!$S$130:INDEX(ADMIN!$S$130:$JE$161,32,ADMIN!$D$5*3-1),Stats!$L53)-SUM(O53:T53),0)</f>
        <v>1</v>
      </c>
      <c r="O53" s="526" t="n">
        <f aca="false">COUNTIF(ADMIN!$S$182:INDEX(ADMIN!$S$182:$JE$197,16,ADMIN!$D$5*3-1),Stats!$L53)-SUM(P53:T53)</f>
        <v>14</v>
      </c>
      <c r="P53" s="526" t="n">
        <f aca="false">COUNTIF(ADMIN!$S$210:INDEX(ADMIN!$S$210:$JE$217,8,ADMIN!$D$5*3-1),Stats!$L53)-SUM(Q53:T53)</f>
        <v>3</v>
      </c>
      <c r="Q53" s="526" t="n">
        <f aca="false">COUNTIF(ADMIN!$S$226:INDEX(ADMIN!$S$226:$JE$229,4,ADMIN!$D$5*3-1),Stats!$L53)-SUM(R53:T53)</f>
        <v>0</v>
      </c>
      <c r="R53" s="526" t="n">
        <f aca="false">IFERROR(COUNTIF(ADMIN!$S$252:INDEX(ADMIN!$S$252:$JE$252,1,ADMIN!$D$5*3-1),Stats!$L53),0)</f>
        <v>0</v>
      </c>
      <c r="S53" s="526" t="n">
        <f aca="false">IFERROR(COUNTIF(ADMIN!$S$251:INDEX(ADMIN!$S$251:$JE$251,1,ADMIN!$D$5*3-1),Stats!$L53),0)</f>
        <v>0</v>
      </c>
      <c r="T53" s="527" t="n">
        <f aca="false">IFERROR(COUNTIF(ADMIN!$S$250:INDEX(ADMIN!$S$250:$JE$250,1,ADMIN!$D$5*3-1),Stats!$L53),0)</f>
        <v>0</v>
      </c>
      <c r="U53" s="315"/>
      <c r="V53" s="210" t="n">
        <f aca="false">SUM(M53:T53)</f>
        <v>40</v>
      </c>
      <c r="W53" s="210"/>
      <c r="X53" s="210"/>
      <c r="Y53" s="210"/>
      <c r="Z53" s="210"/>
      <c r="AA53" s="210"/>
      <c r="AB53" s="210"/>
      <c r="AC53" s="210"/>
      <c r="AD53" s="210"/>
      <c r="AE53" s="210"/>
      <c r="AF53" s="210"/>
      <c r="AG53" s="210"/>
      <c r="AH53" s="210"/>
      <c r="AI53" s="210"/>
      <c r="AJ53" s="210"/>
      <c r="AK53" s="210"/>
      <c r="AL53" s="210"/>
      <c r="AM53" s="210"/>
      <c r="AN53" s="210"/>
      <c r="AO53" s="210" t="str">
        <f aca="false">IFERROR(INDEX(DailyPrediction!$D$4:$D$35,MATCH(Stats!AG53,DailyPrediction!$A$4:$A$35,0)),"")</f>
        <v/>
      </c>
      <c r="AP53" s="210"/>
      <c r="AQ53" s="210"/>
      <c r="AR53" s="210"/>
      <c r="AS53" s="210"/>
      <c r="AT53" s="210"/>
      <c r="AU53" s="210"/>
      <c r="AV53" s="210"/>
      <c r="AW53" s="210"/>
      <c r="AX53" s="210"/>
      <c r="AY53" s="210"/>
      <c r="AZ53" s="210"/>
      <c r="BA53" s="210"/>
    </row>
    <row r="54" customFormat="false" ht="15" hidden="false" customHeight="false" outlineLevel="0" collapsed="false">
      <c r="A54" s="315"/>
      <c r="B54" s="315"/>
      <c r="C54" s="248"/>
      <c r="D54" s="248"/>
      <c r="E54" s="248"/>
      <c r="F54" s="248"/>
      <c r="G54" s="248"/>
      <c r="H54" s="248"/>
      <c r="I54" s="248"/>
      <c r="J54" s="315"/>
      <c r="K54" s="315"/>
      <c r="L54" s="528" t="str">
        <f aca="false">Horarios!Q49</f>
        <v>Uruguay</v>
      </c>
      <c r="M54" s="522" t="n">
        <f aca="false">ADMIN!$D$5-SUM(N54:T54)</f>
        <v>22</v>
      </c>
      <c r="N54" s="522" t="n">
        <f aca="false">IFERROR(COUNTIF(ADMIN!$S$130:INDEX(ADMIN!$S$130:$JE$161,32,ADMIN!$D$5*3-1),Stats!$L54)-SUM(O54:T54),0)</f>
        <v>14</v>
      </c>
      <c r="O54" s="522" t="n">
        <f aca="false">COUNTIF(ADMIN!$S$182:INDEX(ADMIN!$S$182:$JE$197,16,ADMIN!$D$5*3-1),Stats!$L54)-SUM(P54:T54)</f>
        <v>3</v>
      </c>
      <c r="P54" s="522" t="n">
        <f aca="false">COUNTIF(ADMIN!$S$210:INDEX(ADMIN!$S$210:$JE$217,8,ADMIN!$D$5*3-1),Stats!$L54)-SUM(Q54:T54)</f>
        <v>1</v>
      </c>
      <c r="Q54" s="522" t="n">
        <f aca="false">COUNTIF(ADMIN!$S$226:INDEX(ADMIN!$S$226:$JE$229,4,ADMIN!$D$5*3-1),Stats!$L54)-SUM(R54:T54)</f>
        <v>0</v>
      </c>
      <c r="R54" s="522" t="n">
        <f aca="false">IFERROR(COUNTIF(ADMIN!$S$252:INDEX(ADMIN!$S$252:$JE$252,1,ADMIN!$D$5*3-1),Stats!$L54),0)</f>
        <v>0</v>
      </c>
      <c r="S54" s="522" t="n">
        <f aca="false">IFERROR(COUNTIF(ADMIN!$S$251:INDEX(ADMIN!$S$251:$JE$251,1,ADMIN!$D$5*3-1),Stats!$L54),0)</f>
        <v>0</v>
      </c>
      <c r="T54" s="523" t="n">
        <f aca="false">IFERROR(COUNTIF(ADMIN!$S$250:INDEX(ADMIN!$S$250:$JE$250,1,ADMIN!$D$5*3-1),Stats!$L54),0)</f>
        <v>0</v>
      </c>
      <c r="U54" s="315"/>
      <c r="V54" s="210" t="n">
        <f aca="false">SUM(M54:T54)</f>
        <v>40</v>
      </c>
      <c r="W54" s="210"/>
      <c r="X54" s="210"/>
      <c r="Y54" s="210"/>
      <c r="Z54" s="210"/>
      <c r="AA54" s="210"/>
      <c r="AB54" s="210"/>
      <c r="AC54" s="210"/>
      <c r="AD54" s="210"/>
      <c r="AE54" s="210"/>
      <c r="AF54" s="210"/>
      <c r="AG54" s="210"/>
      <c r="AH54" s="210"/>
      <c r="AI54" s="210"/>
      <c r="AJ54" s="210"/>
      <c r="AK54" s="210"/>
      <c r="AL54" s="210"/>
      <c r="AM54" s="210"/>
      <c r="AN54" s="210"/>
      <c r="AO54" s="210" t="str">
        <f aca="false">IFERROR(INDEX(DailyPrediction!$D$4:$D$35,MATCH(Stats!AG54,DailyPrediction!$A$4:$A$35,0)),"")</f>
        <v/>
      </c>
      <c r="AP54" s="210"/>
      <c r="AQ54" s="210"/>
      <c r="AR54" s="210"/>
      <c r="AS54" s="210"/>
      <c r="AT54" s="210"/>
      <c r="AU54" s="210"/>
      <c r="AV54" s="210"/>
      <c r="AW54" s="210"/>
      <c r="AX54" s="210"/>
      <c r="AY54" s="210"/>
      <c r="AZ54" s="210"/>
      <c r="BA54" s="210"/>
    </row>
    <row r="55" customFormat="false" ht="15" hidden="false" customHeight="false" outlineLevel="0" collapsed="false">
      <c r="A55" s="315"/>
      <c r="B55" s="315"/>
      <c r="C55" s="248"/>
      <c r="D55" s="248"/>
      <c r="E55" s="248"/>
      <c r="F55" s="248"/>
      <c r="G55" s="248"/>
      <c r="H55" s="248"/>
      <c r="I55" s="248"/>
      <c r="J55" s="315"/>
      <c r="K55" s="315"/>
      <c r="L55" s="539" t="str">
        <f aca="false">Horarios!Q50</f>
        <v>Uzbekistán</v>
      </c>
      <c r="M55" s="540" t="n">
        <f aca="false">ADMIN!$D$5-SUM(N55:T55)</f>
        <v>37</v>
      </c>
      <c r="N55" s="540" t="n">
        <f aca="false">IFERROR(COUNTIF(ADMIN!$S$130:INDEX(ADMIN!$S$130:$JE$161,32,ADMIN!$D$5*3-1),Stats!$L55)-SUM(O55:T55),0)</f>
        <v>3</v>
      </c>
      <c r="O55" s="540" t="n">
        <f aca="false">COUNTIF(ADMIN!$S$182:INDEX(ADMIN!$S$182:$JE$197,16,ADMIN!$D$5*3-1),Stats!$L55)-SUM(P55:T55)</f>
        <v>0</v>
      </c>
      <c r="P55" s="540" t="n">
        <f aca="false">COUNTIF(ADMIN!$S$210:INDEX(ADMIN!$S$210:$JE$217,8,ADMIN!$D$5*3-1),Stats!$L55)-SUM(Q55:T55)</f>
        <v>0</v>
      </c>
      <c r="Q55" s="540" t="n">
        <f aca="false">COUNTIF(ADMIN!$S$226:INDEX(ADMIN!$S$226:$JE$229,4,ADMIN!$D$5*3-1),Stats!$L55)-SUM(R55:T55)</f>
        <v>0</v>
      </c>
      <c r="R55" s="540" t="n">
        <f aca="false">IFERROR(COUNTIF(ADMIN!$S$252:INDEX(ADMIN!$S$252:$JE$252,1,ADMIN!$D$5*3-1),Stats!$L55),0)</f>
        <v>0</v>
      </c>
      <c r="S55" s="540" t="n">
        <f aca="false">IFERROR(COUNTIF(ADMIN!$S$251:INDEX(ADMIN!$S$251:$JE$251,1,ADMIN!$D$5*3-1),Stats!$L55),0)</f>
        <v>0</v>
      </c>
      <c r="T55" s="541" t="n">
        <f aca="false">IFERROR(COUNTIF(ADMIN!$S$250:INDEX(ADMIN!$S$250:$JE$250,1,ADMIN!$D$5*3-1),Stats!$L55),0)</f>
        <v>0</v>
      </c>
      <c r="U55" s="315"/>
      <c r="V55" s="210" t="n">
        <f aca="false">SUM(M55:T55)</f>
        <v>40</v>
      </c>
      <c r="W55" s="210"/>
      <c r="X55" s="210"/>
      <c r="Y55" s="210"/>
      <c r="Z55" s="210"/>
      <c r="AA55" s="210"/>
      <c r="AB55" s="210"/>
      <c r="AC55" s="210"/>
      <c r="AD55" s="210"/>
      <c r="AE55" s="210"/>
      <c r="AF55" s="210"/>
      <c r="AG55" s="210"/>
      <c r="AH55" s="210"/>
      <c r="AI55" s="210"/>
      <c r="AJ55" s="210"/>
      <c r="AK55" s="210"/>
      <c r="AL55" s="210"/>
      <c r="AM55" s="210"/>
      <c r="AN55" s="210"/>
      <c r="AO55" s="210" t="str">
        <f aca="false">IFERROR(INDEX(DailyPrediction!$D$4:$D$35,MATCH(Stats!AG55,DailyPrediction!$A$4:$A$35,0)),"")</f>
        <v/>
      </c>
      <c r="AP55" s="210"/>
      <c r="AQ55" s="210"/>
      <c r="AR55" s="210"/>
      <c r="AS55" s="210"/>
      <c r="AT55" s="210"/>
      <c r="AU55" s="210"/>
      <c r="AV55" s="210"/>
      <c r="AW55" s="210"/>
      <c r="AX55" s="210"/>
      <c r="AY55" s="210"/>
      <c r="AZ55" s="210"/>
      <c r="BA55" s="210"/>
    </row>
    <row r="56" customFormat="false" ht="15" hidden="false" customHeight="false" outlineLevel="0" collapsed="false">
      <c r="A56" s="315"/>
      <c r="B56" s="315"/>
      <c r="C56" s="248"/>
      <c r="D56" s="248"/>
      <c r="E56" s="248"/>
      <c r="F56" s="248"/>
      <c r="G56" s="248"/>
      <c r="H56" s="248"/>
      <c r="I56" s="248"/>
      <c r="J56" s="315"/>
      <c r="K56" s="315"/>
      <c r="L56" s="248"/>
      <c r="M56" s="248"/>
      <c r="N56" s="248"/>
      <c r="O56" s="248"/>
      <c r="P56" s="248"/>
      <c r="Q56" s="248"/>
      <c r="R56" s="248"/>
      <c r="S56" s="248"/>
      <c r="T56" s="248"/>
      <c r="U56" s="315"/>
      <c r="V56" s="210"/>
      <c r="W56" s="210"/>
      <c r="X56" s="210"/>
      <c r="Y56" s="210"/>
      <c r="Z56" s="210"/>
      <c r="AA56" s="210"/>
      <c r="AB56" s="210"/>
      <c r="AC56" s="210"/>
      <c r="AD56" s="210"/>
      <c r="AE56" s="210"/>
      <c r="AF56" s="210"/>
      <c r="AG56" s="210"/>
      <c r="AH56" s="210"/>
      <c r="AI56" s="210"/>
      <c r="AJ56" s="210"/>
      <c r="AK56" s="210"/>
      <c r="AL56" s="210"/>
      <c r="AM56" s="210"/>
      <c r="AN56" s="210"/>
      <c r="AO56" s="210" t="str">
        <f aca="false">IFERROR(INDEX(DailyPrediction!$D$4:$D$35,MATCH(Stats!AG56,DailyPrediction!$A$4:$A$35,0)),"")</f>
        <v/>
      </c>
      <c r="AP56" s="210"/>
      <c r="AQ56" s="210"/>
      <c r="AR56" s="210"/>
      <c r="AS56" s="210"/>
      <c r="AT56" s="210"/>
      <c r="AU56" s="210"/>
      <c r="AV56" s="210"/>
      <c r="AW56" s="210"/>
      <c r="AX56" s="210"/>
      <c r="AY56" s="210"/>
      <c r="AZ56" s="210"/>
      <c r="BA56" s="210"/>
    </row>
    <row r="57" customFormat="false" ht="15" hidden="false" customHeight="false" outlineLevel="0" collapsed="false">
      <c r="A57" s="315"/>
      <c r="B57" s="315"/>
      <c r="C57" s="248"/>
      <c r="D57" s="248"/>
      <c r="E57" s="248"/>
      <c r="F57" s="248"/>
      <c r="G57" s="248"/>
      <c r="H57" s="248"/>
      <c r="I57" s="248"/>
      <c r="J57" s="315"/>
      <c r="K57" s="315"/>
      <c r="L57" s="248"/>
      <c r="M57" s="248"/>
      <c r="N57" s="248"/>
      <c r="O57" s="248"/>
      <c r="P57" s="248"/>
      <c r="Q57" s="248"/>
      <c r="R57" s="248"/>
      <c r="S57" s="248"/>
      <c r="T57" s="248"/>
      <c r="U57" s="315"/>
      <c r="V57" s="210"/>
      <c r="W57" s="210"/>
      <c r="X57" s="210"/>
      <c r="Y57" s="210"/>
      <c r="Z57" s="210"/>
      <c r="AA57" s="210"/>
      <c r="AB57" s="210"/>
      <c r="AC57" s="210"/>
      <c r="AD57" s="210"/>
      <c r="AE57" s="210"/>
      <c r="AF57" s="210"/>
      <c r="AG57" s="210"/>
      <c r="AH57" s="210"/>
      <c r="AI57" s="210"/>
      <c r="AJ57" s="210"/>
      <c r="AK57" s="210"/>
      <c r="AL57" s="210"/>
      <c r="AM57" s="210"/>
      <c r="AN57" s="210"/>
      <c r="AO57" s="210" t="str">
        <f aca="false">IFERROR(INDEX(DailyPrediction!$D$4:$D$35,MATCH(Stats!AG57,DailyPrediction!$A$4:$A$35,0)),"")</f>
        <v/>
      </c>
      <c r="AP57" s="210"/>
      <c r="AQ57" s="210"/>
      <c r="AR57" s="210"/>
      <c r="AS57" s="210"/>
      <c r="AT57" s="210"/>
      <c r="AU57" s="210"/>
      <c r="AV57" s="210"/>
      <c r="AW57" s="210"/>
      <c r="AX57" s="210"/>
      <c r="AY57" s="210"/>
      <c r="AZ57" s="210"/>
      <c r="BA57" s="210"/>
    </row>
    <row r="58" customFormat="false" ht="15" hidden="false" customHeight="false" outlineLevel="0" collapsed="false">
      <c r="A58" s="315"/>
      <c r="B58" s="315"/>
      <c r="C58" s="248"/>
      <c r="D58" s="248"/>
      <c r="E58" s="248"/>
      <c r="F58" s="248"/>
      <c r="G58" s="248"/>
      <c r="H58" s="248"/>
      <c r="I58" s="248"/>
      <c r="J58" s="315"/>
      <c r="K58" s="315"/>
      <c r="L58" s="248"/>
      <c r="M58" s="248"/>
      <c r="N58" s="248"/>
      <c r="O58" s="248"/>
      <c r="P58" s="248"/>
      <c r="Q58" s="248"/>
      <c r="R58" s="248"/>
      <c r="S58" s="248"/>
      <c r="T58" s="248"/>
      <c r="U58" s="315"/>
      <c r="V58" s="210"/>
      <c r="W58" s="210"/>
      <c r="X58" s="210"/>
      <c r="Y58" s="210"/>
      <c r="Z58" s="210"/>
      <c r="AA58" s="210"/>
      <c r="AB58" s="210"/>
      <c r="AC58" s="210"/>
      <c r="AD58" s="210"/>
      <c r="AE58" s="210"/>
      <c r="AF58" s="210"/>
      <c r="AG58" s="210"/>
      <c r="AH58" s="210"/>
      <c r="AI58" s="210"/>
      <c r="AJ58" s="210"/>
      <c r="AK58" s="210"/>
      <c r="AL58" s="210"/>
      <c r="AM58" s="210"/>
      <c r="AN58" s="210"/>
      <c r="AO58" s="210" t="str">
        <f aca="false">IFERROR(INDEX(DailyPrediction!$D$4:$D$35,MATCH(Stats!AG58,DailyPrediction!$A$4:$A$35,0)),"")</f>
        <v/>
      </c>
      <c r="AP58" s="210"/>
      <c r="AQ58" s="210"/>
      <c r="AR58" s="210"/>
      <c r="AS58" s="210"/>
      <c r="AT58" s="210"/>
      <c r="AU58" s="210"/>
      <c r="AV58" s="210"/>
      <c r="AW58" s="210"/>
      <c r="AX58" s="210"/>
      <c r="AY58" s="210"/>
      <c r="AZ58" s="210"/>
      <c r="BA58" s="210"/>
    </row>
    <row r="59" customFormat="false" ht="15" hidden="false" customHeight="false" outlineLevel="0" collapsed="false">
      <c r="A59" s="315"/>
      <c r="B59" s="315"/>
      <c r="C59" s="248"/>
      <c r="D59" s="248"/>
      <c r="E59" s="248"/>
      <c r="F59" s="248"/>
      <c r="G59" s="248"/>
      <c r="H59" s="248"/>
      <c r="I59" s="248"/>
      <c r="J59" s="315"/>
      <c r="K59" s="315"/>
      <c r="L59" s="248"/>
      <c r="M59" s="248"/>
      <c r="N59" s="248"/>
      <c r="O59" s="248"/>
      <c r="P59" s="248"/>
      <c r="Q59" s="248"/>
      <c r="R59" s="248"/>
      <c r="S59" s="248"/>
      <c r="T59" s="248"/>
      <c r="U59" s="315"/>
      <c r="V59" s="210"/>
      <c r="W59" s="210"/>
      <c r="X59" s="210"/>
      <c r="Y59" s="210"/>
      <c r="Z59" s="210"/>
      <c r="AA59" s="210"/>
      <c r="AB59" s="210"/>
      <c r="AC59" s="210"/>
      <c r="AD59" s="210"/>
      <c r="AE59" s="210"/>
      <c r="AF59" s="210"/>
      <c r="AG59" s="210"/>
      <c r="AH59" s="210"/>
      <c r="AI59" s="210"/>
      <c r="AJ59" s="210"/>
      <c r="AK59" s="210"/>
      <c r="AL59" s="210"/>
      <c r="AM59" s="210"/>
      <c r="AN59" s="210"/>
      <c r="AO59" s="210" t="str">
        <f aca="false">IFERROR(INDEX(DailyPrediction!$D$4:$D$35,MATCH(Stats!AG59,DailyPrediction!$A$4:$A$35,0)),"")</f>
        <v/>
      </c>
      <c r="AP59" s="210"/>
      <c r="AQ59" s="210"/>
      <c r="AR59" s="210"/>
      <c r="AS59" s="210"/>
      <c r="AT59" s="210"/>
      <c r="AU59" s="210"/>
      <c r="AV59" s="210"/>
      <c r="AW59" s="210"/>
      <c r="AX59" s="210"/>
      <c r="AY59" s="210"/>
      <c r="AZ59" s="210"/>
      <c r="BA59" s="210"/>
    </row>
    <row r="60" customFormat="false" ht="15" hidden="false" customHeight="false" outlineLevel="0" collapsed="false">
      <c r="A60" s="315"/>
      <c r="B60" s="315"/>
      <c r="C60" s="248"/>
      <c r="D60" s="248"/>
      <c r="E60" s="248"/>
      <c r="F60" s="248"/>
      <c r="G60" s="248"/>
      <c r="H60" s="248"/>
      <c r="I60" s="248"/>
      <c r="J60" s="315"/>
      <c r="K60" s="315"/>
      <c r="L60" s="248"/>
      <c r="M60" s="248"/>
      <c r="N60" s="248"/>
      <c r="O60" s="248"/>
      <c r="P60" s="248"/>
      <c r="Q60" s="248"/>
      <c r="R60" s="248"/>
      <c r="S60" s="248"/>
      <c r="T60" s="248"/>
      <c r="U60" s="315"/>
      <c r="V60" s="210"/>
      <c r="W60" s="210"/>
      <c r="X60" s="210"/>
      <c r="Y60" s="210"/>
      <c r="Z60" s="210"/>
      <c r="AA60" s="210"/>
      <c r="AB60" s="210"/>
      <c r="AC60" s="210"/>
      <c r="AD60" s="210"/>
      <c r="AE60" s="210"/>
      <c r="AF60" s="210"/>
      <c r="AG60" s="210"/>
      <c r="AH60" s="210"/>
      <c r="AI60" s="210"/>
      <c r="AJ60" s="210"/>
      <c r="AK60" s="210"/>
      <c r="AL60" s="210"/>
      <c r="AM60" s="210"/>
      <c r="AN60" s="210"/>
      <c r="AO60" s="210" t="str">
        <f aca="false">IFERROR(INDEX(DailyPrediction!$D$4:$D$35,MATCH(Stats!AG60,DailyPrediction!$A$4:$A$35,0)),"")</f>
        <v/>
      </c>
      <c r="AP60" s="210"/>
      <c r="AQ60" s="210"/>
      <c r="AR60" s="210"/>
      <c r="AS60" s="210"/>
      <c r="AT60" s="210"/>
      <c r="AU60" s="210"/>
      <c r="AV60" s="210"/>
      <c r="AW60" s="210"/>
      <c r="AX60" s="210"/>
      <c r="AY60" s="210"/>
      <c r="AZ60" s="210"/>
      <c r="BA60" s="210"/>
    </row>
    <row r="61" customFormat="false" ht="15" hidden="false" customHeight="false" outlineLevel="0" collapsed="false">
      <c r="A61" s="315"/>
      <c r="B61" s="315"/>
      <c r="C61" s="248"/>
      <c r="D61" s="248"/>
      <c r="E61" s="248"/>
      <c r="F61" s="248"/>
      <c r="G61" s="248"/>
      <c r="H61" s="248"/>
      <c r="I61" s="248"/>
      <c r="J61" s="315"/>
      <c r="K61" s="315"/>
      <c r="L61" s="248"/>
      <c r="M61" s="248"/>
      <c r="N61" s="248"/>
      <c r="O61" s="248"/>
      <c r="P61" s="248"/>
      <c r="Q61" s="248"/>
      <c r="R61" s="248"/>
      <c r="S61" s="248"/>
      <c r="T61" s="248"/>
      <c r="U61" s="315"/>
      <c r="V61" s="210"/>
      <c r="W61" s="210"/>
      <c r="X61" s="210"/>
      <c r="Y61" s="210"/>
      <c r="Z61" s="210"/>
      <c r="AA61" s="210"/>
      <c r="AB61" s="210"/>
      <c r="AC61" s="210"/>
      <c r="AD61" s="210"/>
      <c r="AE61" s="210"/>
      <c r="AF61" s="210"/>
      <c r="AG61" s="210"/>
      <c r="AH61" s="210"/>
      <c r="AI61" s="210"/>
      <c r="AJ61" s="210"/>
      <c r="AK61" s="210"/>
      <c r="AL61" s="210"/>
      <c r="AM61" s="210"/>
      <c r="AN61" s="210"/>
      <c r="AO61" s="210" t="str">
        <f aca="false">IFERROR(INDEX(DailyPrediction!$D$4:$D$35,MATCH(Stats!AG61,DailyPrediction!$A$4:$A$35,0)),"")</f>
        <v/>
      </c>
      <c r="AP61" s="210"/>
      <c r="AQ61" s="210"/>
      <c r="AR61" s="210"/>
      <c r="AS61" s="210"/>
      <c r="AT61" s="210"/>
      <c r="AU61" s="210"/>
      <c r="AV61" s="210"/>
      <c r="AW61" s="210"/>
      <c r="AX61" s="210"/>
      <c r="AY61" s="210"/>
      <c r="AZ61" s="210"/>
      <c r="BA61" s="210"/>
    </row>
    <row r="62" customFormat="false" ht="15" hidden="false" customHeight="false" outlineLevel="0" collapsed="false">
      <c r="A62" s="315"/>
      <c r="B62" s="315"/>
      <c r="C62" s="248"/>
      <c r="D62" s="248"/>
      <c r="E62" s="248"/>
      <c r="F62" s="248"/>
      <c r="G62" s="248"/>
      <c r="H62" s="248"/>
      <c r="I62" s="248"/>
      <c r="J62" s="315"/>
      <c r="K62" s="315"/>
      <c r="L62" s="248"/>
      <c r="M62" s="248"/>
      <c r="N62" s="248"/>
      <c r="O62" s="248"/>
      <c r="P62" s="248"/>
      <c r="Q62" s="248"/>
      <c r="R62" s="248"/>
      <c r="S62" s="248"/>
      <c r="T62" s="248"/>
      <c r="U62" s="315"/>
      <c r="V62" s="210"/>
      <c r="W62" s="210"/>
      <c r="X62" s="210"/>
      <c r="Y62" s="210"/>
      <c r="Z62" s="210"/>
      <c r="AA62" s="210"/>
      <c r="AB62" s="210"/>
      <c r="AC62" s="210"/>
      <c r="AD62" s="210"/>
      <c r="AE62" s="210"/>
      <c r="AF62" s="210"/>
      <c r="AG62" s="210"/>
      <c r="AH62" s="210"/>
      <c r="AI62" s="210"/>
      <c r="AJ62" s="210"/>
      <c r="AK62" s="210"/>
      <c r="AL62" s="210"/>
      <c r="AM62" s="210"/>
      <c r="AN62" s="210"/>
      <c r="AO62" s="210" t="str">
        <f aca="false">IFERROR(INDEX(DailyPrediction!$D$4:$D$35,MATCH(Stats!AG62,DailyPrediction!$A$4:$A$35,0)),"")</f>
        <v/>
      </c>
      <c r="AP62" s="210"/>
      <c r="AQ62" s="210"/>
      <c r="AR62" s="210"/>
      <c r="AS62" s="210"/>
      <c r="AT62" s="210"/>
      <c r="AU62" s="210"/>
      <c r="AV62" s="210"/>
      <c r="AW62" s="210"/>
      <c r="AX62" s="210"/>
      <c r="AY62" s="210"/>
      <c r="AZ62" s="210"/>
      <c r="BA62" s="210"/>
    </row>
    <row r="63" customFormat="false" ht="15" hidden="false" customHeight="false" outlineLevel="0" collapsed="false">
      <c r="A63" s="315"/>
      <c r="B63" s="315"/>
      <c r="C63" s="248"/>
      <c r="D63" s="248"/>
      <c r="E63" s="248"/>
      <c r="F63" s="248"/>
      <c r="G63" s="248"/>
      <c r="H63" s="248"/>
      <c r="I63" s="248"/>
      <c r="J63" s="315"/>
      <c r="K63" s="315"/>
      <c r="L63" s="248"/>
      <c r="M63" s="248"/>
      <c r="N63" s="248"/>
      <c r="O63" s="248"/>
      <c r="P63" s="248"/>
      <c r="Q63" s="248"/>
      <c r="R63" s="248"/>
      <c r="S63" s="248"/>
      <c r="T63" s="248"/>
      <c r="U63" s="315"/>
      <c r="V63" s="210"/>
      <c r="W63" s="210"/>
      <c r="X63" s="210"/>
      <c r="Y63" s="210"/>
      <c r="Z63" s="210"/>
      <c r="AA63" s="210"/>
      <c r="AB63" s="210"/>
      <c r="AC63" s="210"/>
      <c r="AD63" s="210"/>
      <c r="AE63" s="210"/>
      <c r="AF63" s="210"/>
      <c r="AG63" s="210"/>
      <c r="AH63" s="210"/>
      <c r="AI63" s="210"/>
      <c r="AJ63" s="210"/>
      <c r="AK63" s="210"/>
      <c r="AL63" s="210"/>
      <c r="AM63" s="210"/>
      <c r="AN63" s="210"/>
      <c r="AO63" s="210" t="str">
        <f aca="false">IFERROR(INDEX(DailyPrediction!$D$4:$D$35,MATCH(Stats!AG63,DailyPrediction!$A$4:$A$35,0)),"")</f>
        <v/>
      </c>
      <c r="AP63" s="210"/>
      <c r="AQ63" s="210"/>
      <c r="AR63" s="210"/>
      <c r="AS63" s="210"/>
      <c r="AT63" s="210"/>
      <c r="AU63" s="210"/>
      <c r="AV63" s="210"/>
      <c r="AW63" s="210"/>
      <c r="AX63" s="210"/>
      <c r="AY63" s="210"/>
      <c r="AZ63" s="210"/>
      <c r="BA63" s="210"/>
    </row>
    <row r="64" customFormat="false" ht="15" hidden="false" customHeight="false" outlineLevel="0" collapsed="false">
      <c r="A64" s="315"/>
      <c r="B64" s="315"/>
      <c r="C64" s="248"/>
      <c r="D64" s="248"/>
      <c r="E64" s="248"/>
      <c r="F64" s="248"/>
      <c r="G64" s="248"/>
      <c r="H64" s="248"/>
      <c r="I64" s="248"/>
      <c r="J64" s="315"/>
      <c r="K64" s="315"/>
      <c r="L64" s="248"/>
      <c r="M64" s="248"/>
      <c r="N64" s="248"/>
      <c r="O64" s="248"/>
      <c r="P64" s="248"/>
      <c r="Q64" s="248"/>
      <c r="R64" s="248"/>
      <c r="S64" s="248"/>
      <c r="T64" s="248"/>
      <c r="U64" s="315"/>
      <c r="V64" s="210"/>
      <c r="W64" s="210"/>
      <c r="X64" s="210"/>
      <c r="Y64" s="210"/>
      <c r="Z64" s="210"/>
      <c r="AA64" s="210"/>
      <c r="AB64" s="210"/>
      <c r="AC64" s="210"/>
      <c r="AD64" s="210"/>
      <c r="AE64" s="210"/>
      <c r="AF64" s="210"/>
      <c r="AG64" s="210"/>
      <c r="AH64" s="210"/>
      <c r="AI64" s="210"/>
      <c r="AJ64" s="210"/>
      <c r="AK64" s="210"/>
      <c r="AL64" s="210"/>
      <c r="AM64" s="210"/>
      <c r="AN64" s="210"/>
      <c r="AO64" s="210" t="str">
        <f aca="false">IFERROR(INDEX(DailyPrediction!$D$4:$D$35,MATCH(Stats!AG64,DailyPrediction!$A$4:$A$35,0)),"")</f>
        <v/>
      </c>
      <c r="AP64" s="210"/>
      <c r="AQ64" s="210"/>
      <c r="AR64" s="210"/>
      <c r="AS64" s="210"/>
      <c r="AT64" s="210"/>
      <c r="AU64" s="210"/>
      <c r="AV64" s="210"/>
      <c r="AW64" s="210"/>
      <c r="AX64" s="210"/>
      <c r="AY64" s="210"/>
      <c r="AZ64" s="210"/>
      <c r="BA64" s="210"/>
    </row>
    <row r="65" customFormat="false" ht="15" hidden="false" customHeight="false" outlineLevel="0" collapsed="false">
      <c r="A65" s="315"/>
      <c r="B65" s="315"/>
      <c r="C65" s="248"/>
      <c r="D65" s="248"/>
      <c r="E65" s="248"/>
      <c r="F65" s="248"/>
      <c r="G65" s="248"/>
      <c r="H65" s="248"/>
      <c r="I65" s="248"/>
      <c r="J65" s="315"/>
      <c r="K65" s="315"/>
      <c r="L65" s="248"/>
      <c r="M65" s="248"/>
      <c r="N65" s="248"/>
      <c r="O65" s="248"/>
      <c r="P65" s="248"/>
      <c r="Q65" s="248"/>
      <c r="R65" s="248"/>
      <c r="S65" s="248"/>
      <c r="T65" s="248"/>
      <c r="U65" s="315"/>
      <c r="V65" s="210"/>
      <c r="W65" s="210"/>
      <c r="X65" s="210"/>
      <c r="Y65" s="210"/>
      <c r="Z65" s="210"/>
      <c r="AA65" s="210"/>
      <c r="AB65" s="210"/>
      <c r="AC65" s="210"/>
      <c r="AD65" s="210"/>
      <c r="AE65" s="210"/>
      <c r="AF65" s="210"/>
      <c r="AG65" s="210"/>
      <c r="AH65" s="210"/>
      <c r="AI65" s="210"/>
      <c r="AJ65" s="210"/>
      <c r="AK65" s="210"/>
      <c r="AL65" s="210"/>
      <c r="AM65" s="210"/>
      <c r="AN65" s="210"/>
      <c r="AO65" s="210" t="str">
        <f aca="false">IFERROR(INDEX(DailyPrediction!$D$4:$D$35,MATCH(Stats!AG65,DailyPrediction!$A$4:$A$35,0)),"")</f>
        <v/>
      </c>
      <c r="AP65" s="210"/>
      <c r="AQ65" s="210"/>
      <c r="AR65" s="210"/>
      <c r="AS65" s="210"/>
      <c r="AT65" s="210"/>
      <c r="AU65" s="210"/>
      <c r="AV65" s="210"/>
      <c r="AW65" s="210"/>
      <c r="AX65" s="210"/>
      <c r="AY65" s="210"/>
      <c r="AZ65" s="210"/>
      <c r="BA65" s="210"/>
    </row>
    <row r="66" customFormat="false" ht="15" hidden="false" customHeight="false" outlineLevel="0" collapsed="false">
      <c r="A66" s="315"/>
      <c r="B66" s="315"/>
      <c r="C66" s="248"/>
      <c r="D66" s="248"/>
      <c r="E66" s="248"/>
      <c r="F66" s="248"/>
      <c r="G66" s="248"/>
      <c r="H66" s="248"/>
      <c r="I66" s="248"/>
      <c r="J66" s="315"/>
      <c r="K66" s="315"/>
      <c r="L66" s="248"/>
      <c r="M66" s="248"/>
      <c r="N66" s="248"/>
      <c r="O66" s="248"/>
      <c r="P66" s="248"/>
      <c r="Q66" s="248"/>
      <c r="R66" s="248"/>
      <c r="S66" s="248"/>
      <c r="T66" s="248"/>
      <c r="U66" s="315"/>
      <c r="V66" s="210"/>
      <c r="W66" s="210"/>
      <c r="X66" s="210"/>
      <c r="Y66" s="210"/>
      <c r="Z66" s="210"/>
      <c r="AA66" s="210"/>
      <c r="AB66" s="210"/>
      <c r="AC66" s="210"/>
      <c r="AD66" s="210"/>
      <c r="AE66" s="210"/>
      <c r="AF66" s="210"/>
      <c r="AG66" s="210"/>
      <c r="AH66" s="210"/>
      <c r="AI66" s="210"/>
      <c r="AJ66" s="210"/>
      <c r="AK66" s="210"/>
      <c r="AL66" s="210"/>
      <c r="AM66" s="210"/>
      <c r="AN66" s="210"/>
      <c r="AO66" s="210" t="str">
        <f aca="false">IFERROR(INDEX(DailyPrediction!$D$4:$D$35,MATCH(Stats!AG66,DailyPrediction!$A$4:$A$35,0)),"")</f>
        <v/>
      </c>
      <c r="AP66" s="210"/>
      <c r="AQ66" s="210"/>
      <c r="AR66" s="210"/>
      <c r="AS66" s="210"/>
      <c r="AT66" s="210"/>
      <c r="AU66" s="210"/>
      <c r="AV66" s="210"/>
      <c r="AW66" s="210"/>
      <c r="AX66" s="210"/>
      <c r="AY66" s="210"/>
      <c r="AZ66" s="210"/>
      <c r="BA66" s="210"/>
    </row>
    <row r="67" customFormat="false" ht="15" hidden="false" customHeight="false" outlineLevel="0" collapsed="false">
      <c r="V67" s="210"/>
      <c r="W67" s="210"/>
      <c r="X67" s="210"/>
      <c r="Y67" s="210"/>
      <c r="Z67" s="210"/>
      <c r="AA67" s="210"/>
      <c r="AB67" s="210"/>
      <c r="AC67" s="210"/>
      <c r="AD67" s="210"/>
      <c r="AE67" s="210"/>
      <c r="AF67" s="210"/>
      <c r="AG67" s="210"/>
      <c r="AH67" s="210"/>
      <c r="AI67" s="210"/>
      <c r="AJ67" s="210"/>
      <c r="AK67" s="210"/>
      <c r="AL67" s="210"/>
      <c r="AM67" s="210"/>
      <c r="AN67" s="210"/>
      <c r="AO67" s="210"/>
      <c r="AP67" s="210"/>
      <c r="AQ67" s="210"/>
      <c r="AR67" s="210"/>
      <c r="AS67" s="210"/>
      <c r="AT67" s="210"/>
      <c r="AU67" s="210"/>
      <c r="AV67" s="210"/>
      <c r="AW67" s="210"/>
      <c r="AX67" s="210"/>
      <c r="AY67" s="210"/>
      <c r="AZ67" s="210"/>
      <c r="BA67" s="210"/>
    </row>
    <row r="68" customFormat="false" ht="15" hidden="false" customHeight="false" outlineLevel="0" collapsed="false">
      <c r="V68" s="210"/>
      <c r="W68" s="210"/>
      <c r="X68" s="210"/>
      <c r="Y68" s="210"/>
      <c r="Z68" s="210"/>
      <c r="AA68" s="210"/>
      <c r="AB68" s="210"/>
      <c r="AC68" s="210"/>
      <c r="AD68" s="210"/>
      <c r="AE68" s="210"/>
      <c r="AF68" s="210"/>
      <c r="AG68" s="210"/>
      <c r="AH68" s="210"/>
      <c r="AI68" s="210"/>
      <c r="AJ68" s="210"/>
      <c r="AK68" s="210"/>
      <c r="AL68" s="210"/>
      <c r="AM68" s="210"/>
      <c r="AN68" s="210"/>
      <c r="AO68" s="210"/>
      <c r="AP68" s="210"/>
      <c r="AQ68" s="210"/>
      <c r="AR68" s="210"/>
      <c r="AS68" s="210"/>
      <c r="AT68" s="210"/>
      <c r="AU68" s="210"/>
      <c r="AV68" s="210"/>
      <c r="AW68" s="210"/>
      <c r="AX68" s="210"/>
      <c r="AY68" s="210"/>
      <c r="AZ68" s="210"/>
      <c r="BA68" s="210"/>
    </row>
    <row r="69" customFormat="false" ht="15" hidden="false" customHeight="false" outlineLevel="0" collapsed="false">
      <c r="V69" s="210"/>
      <c r="W69" s="210"/>
      <c r="X69" s="210"/>
      <c r="Y69" s="210"/>
      <c r="Z69" s="210"/>
      <c r="AA69" s="210"/>
      <c r="AB69" s="210"/>
      <c r="AC69" s="210"/>
      <c r="AD69" s="210"/>
      <c r="AE69" s="210"/>
      <c r="AF69" s="210"/>
      <c r="AG69" s="210"/>
      <c r="AH69" s="210"/>
      <c r="AI69" s="210"/>
      <c r="AJ69" s="210"/>
      <c r="AK69" s="210"/>
      <c r="AL69" s="210"/>
      <c r="AM69" s="210"/>
      <c r="AN69" s="210"/>
      <c r="AO69" s="210"/>
      <c r="AP69" s="210"/>
      <c r="AQ69" s="210"/>
      <c r="AR69" s="210"/>
      <c r="AS69" s="210"/>
      <c r="AT69" s="210"/>
      <c r="AU69" s="210"/>
      <c r="AV69" s="210"/>
      <c r="AW69" s="210"/>
      <c r="AX69" s="210"/>
      <c r="AY69" s="210"/>
      <c r="AZ69" s="210"/>
      <c r="BA69" s="210"/>
    </row>
    <row r="70" customFormat="false" ht="15" hidden="false" customHeight="false" outlineLevel="0" collapsed="false">
      <c r="V70" s="210"/>
      <c r="W70" s="210"/>
      <c r="X70" s="210"/>
      <c r="Y70" s="210"/>
      <c r="Z70" s="210"/>
      <c r="AA70" s="210"/>
      <c r="AB70" s="210"/>
      <c r="AC70" s="210"/>
      <c r="AD70" s="210"/>
      <c r="AE70" s="210"/>
      <c r="AF70" s="210"/>
      <c r="AG70" s="210"/>
      <c r="AH70" s="210"/>
      <c r="AI70" s="210"/>
      <c r="AJ70" s="210"/>
      <c r="AK70" s="210"/>
      <c r="AL70" s="210"/>
      <c r="AM70" s="210"/>
      <c r="AN70" s="210"/>
      <c r="AO70" s="210"/>
      <c r="AP70" s="210"/>
      <c r="AQ70" s="210"/>
      <c r="AR70" s="210"/>
      <c r="AS70" s="210"/>
      <c r="AT70" s="210"/>
      <c r="AU70" s="210"/>
      <c r="AV70" s="210"/>
      <c r="AW70" s="210"/>
      <c r="AX70" s="210"/>
      <c r="AY70" s="210"/>
      <c r="AZ70" s="210"/>
      <c r="BA70" s="210"/>
    </row>
    <row r="71" customFormat="false" ht="15" hidden="false" customHeight="false" outlineLevel="0" collapsed="false">
      <c r="V71" s="210"/>
      <c r="W71" s="210"/>
      <c r="X71" s="210"/>
      <c r="Y71" s="210"/>
      <c r="Z71" s="210"/>
      <c r="AA71" s="210"/>
      <c r="AB71" s="210"/>
      <c r="AC71" s="210"/>
      <c r="AD71" s="210"/>
      <c r="AE71" s="210"/>
      <c r="AF71" s="210"/>
      <c r="AG71" s="210"/>
      <c r="AH71" s="210"/>
      <c r="AI71" s="210"/>
      <c r="AJ71" s="210"/>
      <c r="AK71" s="210"/>
      <c r="AL71" s="210"/>
      <c r="AM71" s="210"/>
      <c r="AN71" s="210"/>
      <c r="AO71" s="210"/>
      <c r="AP71" s="210"/>
      <c r="AQ71" s="210"/>
      <c r="AR71" s="210"/>
      <c r="AS71" s="210"/>
      <c r="AT71" s="210"/>
      <c r="AU71" s="210"/>
      <c r="AV71" s="210"/>
      <c r="AW71" s="210"/>
      <c r="AX71" s="210"/>
      <c r="AY71" s="210"/>
      <c r="AZ71" s="210"/>
      <c r="BA71" s="210"/>
    </row>
  </sheetData>
  <mergeCells count="1">
    <mergeCell ref="L5:T5"/>
  </mergeCells>
  <conditionalFormatting sqref="H8:I31">
    <cfRule type="expression" priority="2" aboveAverage="0" equalAverage="0" bottom="0" percent="0" rank="0" text="" dxfId="22">
      <formula>IF(AND($I8=$K8,$I8&lt;&gt;""),1,0)</formula>
    </cfRule>
  </conditionalFormatting>
  <conditionalFormatting sqref="H31:I31">
    <cfRule type="expression" priority="3" aboveAverage="0" equalAverage="0" bottom="0" percent="0" rank="0" text="" dxfId="23">
      <formula>IF(AND($I31=$J31,$I31&lt;&gt;""),1,0)</formula>
    </cfRule>
  </conditionalFormatting>
  <conditionalFormatting sqref="H8:I30">
    <cfRule type="expression" priority="4" aboveAverage="0" equalAverage="0" bottom="0" percent="0" rank="0" text="" dxfId="24">
      <formula>IF(AND($I8=$J8,$I8&lt;&gt;""),1,0)</formula>
    </cfRule>
  </conditionalFormatting>
  <conditionalFormatting sqref="T8:T55">
    <cfRule type="dataBar" priority="5">
      <dataBar showValue="1" minLength="10" maxLength="90">
        <cfvo type="formula" val="0"/>
        <cfvo type="formula" val="$V$5"/>
        <color rgb="FFF0B811"/>
      </dataBar>
      <extLst>
        <ext xmlns:x14="http://schemas.microsoft.com/office/spreadsheetml/2009/9/main" uri="{B025F937-C7B1-47D3-B67F-A62EFF666E3E}">
          <x14:id>{CD2BC69E-5C71-4000-ABED-55357E31FC34}</x14:id>
        </ext>
      </extLst>
    </cfRule>
  </conditionalFormatting>
  <conditionalFormatting sqref="S8:S55">
    <cfRule type="dataBar" priority="6">
      <dataBar showValue="1" minLength="10" maxLength="90">
        <cfvo type="formula" val="0"/>
        <cfvo type="formula" val="$V$5"/>
        <color rgb="FFC0C0C0"/>
      </dataBar>
      <extLst>
        <ext xmlns:x14="http://schemas.microsoft.com/office/spreadsheetml/2009/9/main" uri="{B025F937-C7B1-47D3-B67F-A62EFF666E3E}">
          <x14:id>{B0C16055-BF5E-4E75-82EB-225855DA4164}</x14:id>
        </ext>
      </extLst>
    </cfRule>
  </conditionalFormatting>
  <conditionalFormatting sqref="R8:R55">
    <cfRule type="dataBar" priority="7">
      <dataBar showValue="1" minLength="10" maxLength="90">
        <cfvo type="formula" val="0"/>
        <cfvo type="formula" val="$V$5"/>
        <color rgb="FFCD7F31"/>
      </dataBar>
      <extLst>
        <ext xmlns:x14="http://schemas.microsoft.com/office/spreadsheetml/2009/9/main" uri="{B025F937-C7B1-47D3-B67F-A62EFF666E3E}">
          <x14:id>{DC33B4EB-BEEC-4F96-81C8-31CD29C04B95}</x14:id>
        </ext>
      </extLst>
    </cfRule>
  </conditionalFormatting>
  <conditionalFormatting sqref="Q8:Q55">
    <cfRule type="dataBar" priority="8">
      <dataBar showValue="1" minLength="10" maxLength="90">
        <cfvo type="formula" val="0"/>
        <cfvo type="formula" val="$V$5"/>
        <color rgb="FFE4DFEC"/>
      </dataBar>
      <extLst>
        <ext xmlns:x14="http://schemas.microsoft.com/office/spreadsheetml/2009/9/main" uri="{B025F937-C7B1-47D3-B67F-A62EFF666E3E}">
          <x14:id>{414BB054-95A8-4BD1-A8E8-6A53B830B19A}</x14:id>
        </ext>
      </extLst>
    </cfRule>
  </conditionalFormatting>
  <conditionalFormatting sqref="P8:P55">
    <cfRule type="dataBar" priority="9">
      <dataBar showValue="1" minLength="10" maxLength="90">
        <cfvo type="formula" val="0"/>
        <cfvo type="formula" val="$V$5"/>
        <color rgb="FFEBF2DF"/>
      </dataBar>
      <extLst>
        <ext xmlns:x14="http://schemas.microsoft.com/office/spreadsheetml/2009/9/main" uri="{B025F937-C7B1-47D3-B67F-A62EFF666E3E}">
          <x14:id>{ED611019-7F2F-4AB4-9D37-7A8C588F5ECE}</x14:id>
        </ext>
      </extLst>
    </cfRule>
  </conditionalFormatting>
  <conditionalFormatting sqref="O8:O55">
    <cfRule type="dataBar" priority="10">
      <dataBar showValue="1" minLength="10" maxLength="90">
        <cfvo type="formula" val="0"/>
        <cfvo type="formula" val="$V$5"/>
        <color rgb="FFDDE7F2"/>
      </dataBar>
      <extLst>
        <ext xmlns:x14="http://schemas.microsoft.com/office/spreadsheetml/2009/9/main" uri="{B025F937-C7B1-47D3-B67F-A62EFF666E3E}">
          <x14:id>{FF5B23EC-A3E1-4DE3-BFCF-B960904EFA6D}</x14:id>
        </ext>
      </extLst>
    </cfRule>
  </conditionalFormatting>
  <conditionalFormatting sqref="N8:N55">
    <cfRule type="dataBar" priority="11">
      <dataBar showValue="1" minLength="10" maxLength="90">
        <cfvo type="formula" val="0"/>
        <cfvo type="formula" val="$V$5"/>
        <color rgb="FFFBE7D8"/>
      </dataBar>
      <extLst>
        <ext xmlns:x14="http://schemas.microsoft.com/office/spreadsheetml/2009/9/main" uri="{B025F937-C7B1-47D3-B67F-A62EFF666E3E}">
          <x14:id>{1DA0AE8B-31D6-40D0-A3A0-D2552598C0B5}</x14:id>
        </ext>
      </extLst>
    </cfRule>
  </conditionalFormatting>
  <conditionalFormatting sqref="M8:M55">
    <cfRule type="dataBar" priority="12">
      <dataBar showValue="1" minLength="10" maxLength="90">
        <cfvo type="formula" val="0"/>
        <cfvo type="formula" val="$V$5"/>
        <color rgb="FFFFC7CE"/>
      </dataBar>
      <extLst>
        <ext xmlns:x14="http://schemas.microsoft.com/office/spreadsheetml/2009/9/main" uri="{B025F937-C7B1-47D3-B67F-A62EFF666E3E}">
          <x14:id>{DAE25BF7-2D17-4091-9513-3B2D857DAB61}</x14:id>
        </ext>
      </extLst>
    </cfRule>
  </conditionalFormatting>
  <conditionalFormatting sqref="L5:T5">
    <cfRule type="dataBar" priority="13">
      <dataBar showValue="1" minLength="10" maxLength="90">
        <cfvo type="num" val="0"/>
        <cfvo type="num" val="1"/>
        <color rgb="FFC0C0C0"/>
      </dataBar>
      <extLst>
        <ext xmlns:x14="http://schemas.microsoft.com/office/spreadsheetml/2009/9/main" uri="{B025F937-C7B1-47D3-B67F-A62EFF666E3E}">
          <x14:id>{2F713058-4993-4D20-BB52-142225D5CF29}</x14:id>
        </ext>
      </extLst>
    </cfRule>
  </conditionalFormatting>
  <dataValidations count="1">
    <dataValidation allowBlank="true" errorStyle="stop" operator="between" showDropDown="false" showErrorMessage="true" showInputMessage="true" sqref="I5 AK35" type="list">
      <formula1>_xlfn.anchorarray($AG$35)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CD2BC69E-5C71-4000-ABED-55357E31FC34}">
            <x14:dataBar minLength="10" maxLength="90" axisPosition="automatic" gradient="false">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dataBar" id="{B0C16055-BF5E-4E75-82EB-225855DA4164}">
            <x14:dataBar minLength="10" maxLength="90" axisPosition="automatic" gradient="false">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DC33B4EB-BEEC-4F96-81C8-31CD29C04B95}">
            <x14:dataBar minLength="10" maxLength="90" axisPosition="automatic" gradient="false">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414BB054-95A8-4BD1-A8E8-6A53B830B19A}">
            <x14:dataBar minLength="10" maxLength="90" axisPosition="automatic" gradient="false">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ED611019-7F2F-4AB4-9D37-7A8C588F5ECE}">
            <x14:dataBar minLength="10" maxLength="90" axisPosition="automatic" gradient="false">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F5B23EC-A3E1-4DE3-BFCF-B960904EFA6D}">
            <x14:dataBar minLength="10" maxLength="90" axisPosition="automatic" gradient="false">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1DA0AE8B-31D6-40D0-A3A0-D2552598C0B5}">
            <x14:dataBar minLength="10" maxLength="90" axisPosition="automatic" gradient="false">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DAE25BF7-2D17-4091-9513-3B2D857DAB61}">
            <x14:dataBar minLength="10" maxLength="90" axisPosition="automatic" gradient="false">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2F713058-4993-4D20-BB52-142225D5CF29}">
            <x14:dataBar minLength="10" maxLength="90" axisPosition="automatic" gradient="false">
              <x14:cfvo type="num">
                <xm:f>0</xm:f>
              </x14:cfvo>
              <x14:cfvo type="num">
                <xm:f>1</xm:f>
              </x14:cfvo>
              <x14:negativeFillColor rgb="FFFF0000"/>
              <x14:axisColor rgb="FF000000"/>
            </x14:dataBar>
          </x14:cfRule>
          <xm:sqref>L5:T5</xm:sqref>
        </x14:conditionalFormatting>
        <x14:conditionalFormatting xmlns:xm="http://schemas.microsoft.com/office/excel/2006/main">
          <x14:cfRule type="expression" priority="14" id="{BAA7E091-E7E7-45D1-9CC6-331A92171069}">
            <xm:f>IF($H$8=Idiomas!$D$501,1,0)</xm:f>
            <x14:dxf>
              <font>
                <color rgb="FF1B4066"/>
              </font>
              <fill>
                <patternFill>
                  <bgColor theme="0" tint="-0.15"/>
                </patternFill>
              </fill>
            </x14:dxf>
          </x14:cfRule>
          <xm:sqref>H8:I8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O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0.84765625" defaultRowHeight="15" customHeight="true" zeroHeight="false" outlineLevelRow="0" outlineLevelCol="0"/>
  <cols>
    <col collapsed="false" customWidth="true" hidden="false" outlineLevel="0" max="1" min="1" style="320" width="3.29"/>
    <col collapsed="false" customWidth="true" hidden="false" outlineLevel="0" max="2" min="2" style="57" width="2.71"/>
    <col collapsed="false" customWidth="true" hidden="false" outlineLevel="0" max="3" min="3" style="38" width="5.71"/>
    <col collapsed="false" customWidth="true" hidden="false" outlineLevel="0" max="5" min="4" style="38" width="3.29"/>
    <col collapsed="false" customWidth="true" hidden="false" outlineLevel="0" max="6" min="6" style="38" width="6.14"/>
    <col collapsed="false" customWidth="true" hidden="false" outlineLevel="0" max="7" min="7" style="38" width="2.42"/>
    <col collapsed="false" customWidth="true" hidden="false" outlineLevel="0" max="9" min="8" style="38" width="3.86"/>
    <col collapsed="false" customWidth="true" hidden="false" outlineLevel="0" max="10" min="10" style="38" width="4.42"/>
    <col collapsed="false" customWidth="true" hidden="false" outlineLevel="0" max="11" min="11" style="38" width="4.86"/>
    <col collapsed="false" customWidth="true" hidden="true" outlineLevel="0" max="12" min="12" style="38" width="3.29"/>
    <col collapsed="false" customWidth="true" hidden="false" outlineLevel="0" max="13" min="13" style="320" width="1.71"/>
    <col collapsed="false" customWidth="true" hidden="false" outlineLevel="0" max="14" min="14" style="57" width="2.71"/>
    <col collapsed="false" customWidth="true" hidden="false" outlineLevel="0" max="15" min="15" style="38" width="4.29"/>
    <col collapsed="false" customWidth="true" hidden="false" outlineLevel="0" max="17" min="16" style="38" width="3.29"/>
    <col collapsed="false" customWidth="true" hidden="false" outlineLevel="0" max="18" min="18" style="38" width="5.14"/>
    <col collapsed="false" customWidth="true" hidden="false" outlineLevel="0" max="19" min="19" style="38" width="2.42"/>
    <col collapsed="false" customWidth="true" hidden="false" outlineLevel="0" max="20" min="20" style="38" width="4.29"/>
    <col collapsed="false" customWidth="true" hidden="false" outlineLevel="0" max="22" min="21" style="38" width="3.71"/>
    <col collapsed="false" customWidth="true" hidden="false" outlineLevel="0" max="23" min="23" style="38" width="4.86"/>
    <col collapsed="false" customWidth="true" hidden="true" outlineLevel="0" max="24" min="24" style="320" width="4.29"/>
    <col collapsed="false" customWidth="true" hidden="false" outlineLevel="0" max="25" min="25" style="57" width="2.86"/>
    <col collapsed="false" customWidth="true" hidden="false" outlineLevel="0" max="26" min="26" style="57" width="7.42"/>
    <col collapsed="false" customWidth="true" hidden="false" outlineLevel="0" max="27" min="27" style="38" width="5.86"/>
    <col collapsed="false" customWidth="true" hidden="false" outlineLevel="0" max="29" min="28" style="38" width="4.29"/>
    <col collapsed="false" customWidth="true" hidden="false" outlineLevel="0" max="30" min="30" style="57" width="2.86"/>
    <col collapsed="false" customWidth="true" hidden="false" outlineLevel="0" max="31" min="31" style="38" width="5.86"/>
    <col collapsed="false" customWidth="true" hidden="false" outlineLevel="0" max="33" min="32" style="38" width="4.29"/>
    <col collapsed="false" customWidth="true" hidden="false" outlineLevel="0" max="34" min="34" style="57" width="2.86"/>
    <col collapsed="false" customWidth="true" hidden="false" outlineLevel="0" max="35" min="35" style="38" width="5.86"/>
    <col collapsed="false" customWidth="true" hidden="false" outlineLevel="0" max="37" min="36" style="38" width="4.29"/>
    <col collapsed="false" customWidth="true" hidden="false" outlineLevel="0" max="38" min="38" style="57" width="2.86"/>
    <col collapsed="false" customWidth="true" hidden="false" outlineLevel="0" max="39" min="39" style="38" width="5.86"/>
    <col collapsed="false" customWidth="true" hidden="false" outlineLevel="0" max="41" min="40" style="38" width="4.29"/>
    <col collapsed="false" customWidth="true" hidden="false" outlineLevel="0" max="42" min="42" style="57" width="2.86"/>
    <col collapsed="false" customWidth="true" hidden="false" outlineLevel="0" max="43" min="43" style="38" width="5.86"/>
    <col collapsed="false" customWidth="true" hidden="false" outlineLevel="0" max="45" min="44" style="38" width="4.29"/>
    <col collapsed="false" customWidth="true" hidden="false" outlineLevel="0" max="46" min="46" style="57" width="2.86"/>
    <col collapsed="false" customWidth="true" hidden="false" outlineLevel="0" max="47" min="47" style="38" width="5.86"/>
    <col collapsed="false" customWidth="true" hidden="false" outlineLevel="0" max="49" min="48" style="38" width="4.29"/>
    <col collapsed="false" customWidth="true" hidden="false" outlineLevel="0" max="50" min="50" style="38" width="4"/>
    <col collapsed="false" customWidth="true" hidden="false" outlineLevel="0" max="51" min="51" style="38" width="3.29"/>
    <col collapsed="false" customWidth="true" hidden="false" outlineLevel="0" max="54" min="52" style="38" width="7.86"/>
    <col collapsed="false" customWidth="true" hidden="false" outlineLevel="0" max="55" min="55" style="38" width="3.29"/>
    <col collapsed="false" customWidth="true" hidden="false" outlineLevel="0" max="58" min="56" style="38" width="2.42"/>
    <col collapsed="false" customWidth="true" hidden="false" outlineLevel="0" max="59" min="59" style="38" width="18.42"/>
    <col collapsed="false" customWidth="true" hidden="false" outlineLevel="0" max="67" min="60" style="38" width="4.86"/>
    <col collapsed="false" customWidth="false" hidden="false" outlineLevel="0" max="68" min="68" style="38" width="10.85"/>
    <col collapsed="false" customWidth="false" hidden="true" outlineLevel="0" max="16384" min="69" style="38" width="10.85"/>
  </cols>
  <sheetData>
    <row r="1" customFormat="false" ht="7.5" hidden="false" customHeight="true" outlineLevel="0" collapsed="false">
      <c r="A1" s="85"/>
      <c r="B1" s="151"/>
      <c r="C1" s="244"/>
      <c r="D1" s="244"/>
      <c r="E1" s="244"/>
      <c r="F1" s="244"/>
      <c r="G1" s="244"/>
      <c r="H1" s="244"/>
      <c r="I1" s="244"/>
      <c r="J1" s="244"/>
      <c r="K1" s="244"/>
      <c r="L1" s="244"/>
      <c r="M1" s="85"/>
      <c r="N1" s="151"/>
      <c r="O1" s="244"/>
      <c r="P1" s="244"/>
      <c r="Q1" s="244"/>
      <c r="R1" s="244"/>
      <c r="S1" s="244"/>
      <c r="T1" s="244"/>
      <c r="U1" s="244"/>
      <c r="V1" s="244"/>
      <c r="W1" s="244"/>
      <c r="X1" s="85"/>
      <c r="Y1" s="151"/>
      <c r="Z1" s="151"/>
      <c r="AA1" s="244"/>
      <c r="AB1" s="244"/>
      <c r="AC1" s="244"/>
      <c r="AD1" s="85"/>
      <c r="AE1" s="244"/>
      <c r="AF1" s="244"/>
      <c r="AG1" s="244"/>
      <c r="AH1" s="151"/>
      <c r="AI1" s="244"/>
      <c r="AJ1" s="244"/>
      <c r="AK1" s="244"/>
      <c r="AL1" s="85"/>
      <c r="AM1" s="244"/>
      <c r="AN1" s="244"/>
      <c r="AO1" s="244"/>
      <c r="AP1" s="151"/>
      <c r="AQ1" s="244"/>
      <c r="AR1" s="244"/>
      <c r="AS1" s="244"/>
      <c r="AT1" s="85"/>
      <c r="AU1" s="244"/>
      <c r="AV1" s="244"/>
      <c r="AW1" s="244"/>
      <c r="AX1" s="244"/>
      <c r="AY1" s="244"/>
      <c r="AZ1" s="244"/>
      <c r="BA1" s="244"/>
      <c r="BB1" s="244"/>
      <c r="BC1" s="244"/>
      <c r="BD1" s="244"/>
      <c r="BE1" s="244"/>
    </row>
    <row r="2" customFormat="false" ht="9.75" hidden="false" customHeight="true" outlineLevel="0" collapsed="false">
      <c r="A2" s="85"/>
      <c r="B2" s="151"/>
      <c r="C2" s="49"/>
      <c r="D2" s="49"/>
      <c r="E2" s="49"/>
      <c r="F2" s="49"/>
      <c r="G2" s="49"/>
      <c r="H2" s="49"/>
      <c r="I2" s="49"/>
      <c r="J2" s="49"/>
      <c r="K2" s="49"/>
      <c r="L2" s="49"/>
      <c r="M2" s="50"/>
      <c r="N2" s="542"/>
      <c r="O2" s="543"/>
      <c r="P2" s="49"/>
      <c r="Q2" s="244"/>
      <c r="R2" s="244"/>
      <c r="S2" s="49"/>
      <c r="T2" s="244"/>
      <c r="U2" s="49"/>
      <c r="V2" s="49"/>
      <c r="W2" s="49"/>
      <c r="X2" s="50"/>
      <c r="Y2" s="542"/>
      <c r="Z2" s="542"/>
      <c r="AA2" s="244"/>
      <c r="AB2" s="244"/>
      <c r="AC2" s="244"/>
      <c r="AD2" s="50"/>
      <c r="AE2" s="244"/>
      <c r="AF2" s="244"/>
      <c r="AG2" s="244"/>
      <c r="AH2" s="151"/>
      <c r="AI2" s="544"/>
      <c r="AJ2" s="544"/>
      <c r="AK2" s="544"/>
      <c r="AL2" s="471"/>
      <c r="AM2" s="544"/>
      <c r="AN2" s="544"/>
      <c r="AO2" s="544"/>
      <c r="AP2" s="85"/>
      <c r="AQ2" s="544"/>
      <c r="AR2" s="544"/>
      <c r="AS2" s="544"/>
      <c r="AT2" s="85"/>
      <c r="AU2" s="544"/>
      <c r="AV2" s="544"/>
      <c r="AW2" s="544"/>
      <c r="AX2" s="244"/>
      <c r="AY2" s="244"/>
      <c r="AZ2" s="244"/>
      <c r="BA2" s="244"/>
      <c r="BB2" s="244"/>
      <c r="BC2" s="244"/>
      <c r="BD2" s="244"/>
      <c r="BE2" s="244"/>
    </row>
    <row r="3" customFormat="false" ht="15" hidden="false" customHeight="false" outlineLevel="0" collapsed="false">
      <c r="A3" s="85" t="n">
        <v>1</v>
      </c>
      <c r="B3" s="545" t="s">
        <v>24</v>
      </c>
      <c r="C3" s="546" t="str">
        <f aca="false">+MID(INDEX(WORLDCUP!$AA$4:$AA$147,MATCH(A3,WORLDCUP!$AH$4:$AH$147,0)),1,3)</f>
        <v>Méx</v>
      </c>
      <c r="D3" s="547" t="n">
        <f aca="false">IF(ISBLANK(INDEX(WORLDCUP!$AC$4:$AC$147,MATCH(A3,WORLDCUP!$AH$4:$AH$147,0))),"",INDEX(WORLDCUP!$AC$4:$AC$147,MATCH(A3,WORLDCUP!$AH$4:$AH$147,0)))</f>
        <v>2</v>
      </c>
      <c r="E3" s="547" t="n">
        <f aca="false">IF(ISBLANK(INDEX(WORLDCUP!$AD$4:$AD$147,MATCH(A3,WORLDCUP!$AH$4:$AH$147,0))),"",INDEX(WORLDCUP!$AD$4:$AD$147,MATCH(A3,WORLDCUP!$AH$4:$AH$147,0)))</f>
        <v>0</v>
      </c>
      <c r="F3" s="548" t="str">
        <f aca="false">+MID(INDEX(WORLDCUP!$AF$4:$AF$147,MATCH(A3,WORLDCUP!$AH$4:$AH$147,0)),1,3)</f>
        <v>Sud</v>
      </c>
      <c r="G3" s="549"/>
      <c r="H3" s="550" t="str">
        <f aca="false">MID(WORLDCUP!AL5,1,3)</f>
        <v>Sel</v>
      </c>
      <c r="I3" s="551" t="s">
        <v>552</v>
      </c>
      <c r="J3" s="551" t="str">
        <f aca="false">WORLDCUP!AT5</f>
        <v>DG</v>
      </c>
      <c r="K3" s="552" t="str">
        <f aca="false">WORLDCUP!AR5&amp;"-"&amp;WORLDCUP!AS5</f>
        <v>GF-GC</v>
      </c>
      <c r="L3" s="85"/>
      <c r="M3" s="85" t="n">
        <v>16</v>
      </c>
      <c r="N3" s="553" t="s">
        <v>129</v>
      </c>
      <c r="O3" s="546" t="str">
        <f aca="false">+MID(INDEX(WORLDCUP!$AA$4:$AA$147,MATCH(M3,WORLDCUP!$AH$4:$AH$147,0)),1,3)</f>
        <v>Bél</v>
      </c>
      <c r="P3" s="547" t="n">
        <f aca="false">IF(ISBLANK(INDEX(WORLDCUP!$AC$4:$AC$147,MATCH(M3,WORLDCUP!$AH$4:$AH$147,0))),"",INDEX(WORLDCUP!$AC$4:$AC$147,MATCH(M3,WORLDCUP!$AH$4:$AH$147,0)))</f>
        <v>1</v>
      </c>
      <c r="Q3" s="547" t="n">
        <f aca="false">IF(ISBLANK(INDEX(WORLDCUP!$AD$4:$AD$147,MATCH(M3,WORLDCUP!$AH$4:$AH$147,0))),"",INDEX(WORLDCUP!$AD$4:$AD$147,MATCH(M3,WORLDCUP!$AH$4:$AH$147,0)))</f>
        <v>1</v>
      </c>
      <c r="R3" s="548" t="str">
        <f aca="false">+MID(INDEX(WORLDCUP!$AF$4:$AF$147,MATCH(M3,WORLDCUP!$AH$4:$AH$147,0)),1,3)</f>
        <v>Egi</v>
      </c>
      <c r="S3" s="549"/>
      <c r="T3" s="550" t="str">
        <f aca="false">+H43</f>
        <v>Sel</v>
      </c>
      <c r="U3" s="551" t="str">
        <f aca="false">+I43</f>
        <v>Pts</v>
      </c>
      <c r="V3" s="551" t="str">
        <f aca="false">+J43</f>
        <v>DG</v>
      </c>
      <c r="W3" s="552" t="str">
        <f aca="false">+K43</f>
        <v>GF-GC</v>
      </c>
      <c r="X3" s="85"/>
      <c r="Y3" s="85" t="n">
        <v>74</v>
      </c>
      <c r="Z3" s="554" t="s">
        <v>96</v>
      </c>
      <c r="AA3" s="555" t="str">
        <f aca="false">+MID(INDEX(WORLDCUP!$AA$101:$AA$147,MATCH(Y3,WORLDCUP!$Z$101:$Z$147,0)),1,3)</f>
        <v>1E</v>
      </c>
      <c r="AB3" s="556" t="str">
        <f aca="false">+IF(ISBLANK(INDEX(WORLDCUP!$AC$101:$AC$147,MATCH(Y3,WORLDCUP!$Z$101:$Z$147,0))),"",INDEX(WORLDCUP!$AC$101:$AC$147,MATCH(Y3,WORLDCUP!$Z$101:$Z$147,0)))</f>
        <v/>
      </c>
      <c r="AC3" s="557" t="str">
        <f aca="false">+IF(ISBLANK(INDEX(WORLDCUP!$AB$101:$AB$147,MATCH(Y3,WORLDCUP!$Z$101:$Z$147,0))),"","( "&amp;INDEX(WORLDCUP!$AB$101:$AB$147,MATCH(Y3,WORLDCUP!$Z$101:$Z$147,0))&amp;" )")</f>
        <v/>
      </c>
      <c r="AD3" s="50"/>
      <c r="AE3" s="558"/>
      <c r="AF3" s="558"/>
      <c r="AG3" s="558"/>
      <c r="AH3" s="85"/>
      <c r="AI3" s="559"/>
      <c r="AJ3" s="559"/>
      <c r="AK3" s="559"/>
      <c r="AL3" s="471"/>
      <c r="AM3" s="560"/>
      <c r="AN3" s="560"/>
      <c r="AO3" s="560"/>
      <c r="AP3" s="85"/>
      <c r="AQ3" s="561"/>
      <c r="AR3" s="561"/>
      <c r="AS3" s="561"/>
      <c r="AT3" s="85"/>
      <c r="AU3" s="562"/>
      <c r="AV3" s="562"/>
      <c r="AW3" s="562"/>
      <c r="AX3" s="85"/>
      <c r="AY3" s="244"/>
      <c r="AZ3" s="244"/>
      <c r="BA3" s="244"/>
      <c r="BB3" s="244"/>
      <c r="BC3" s="244"/>
      <c r="BD3" s="244"/>
      <c r="BE3" s="244"/>
      <c r="BG3" s="563"/>
      <c r="BH3" s="564" t="s">
        <v>1357</v>
      </c>
      <c r="BI3" s="565" t="s">
        <v>147</v>
      </c>
      <c r="BJ3" s="566" t="s">
        <v>181</v>
      </c>
      <c r="BK3" s="567" t="s">
        <v>206</v>
      </c>
      <c r="BL3" s="568" t="s">
        <v>222</v>
      </c>
      <c r="BM3" s="569" t="s">
        <v>1358</v>
      </c>
      <c r="BN3" s="570" t="s">
        <v>1359</v>
      </c>
      <c r="BO3" s="571" t="s">
        <v>1360</v>
      </c>
    </row>
    <row r="4" customFormat="false" ht="15" hidden="false" customHeight="false" outlineLevel="0" collapsed="false">
      <c r="A4" s="85" t="n">
        <v>2</v>
      </c>
      <c r="B4" s="572"/>
      <c r="C4" s="573" t="str">
        <f aca="false">+MID(INDEX(WORLDCUP!$AA$4:$AA$147,MATCH(A4,WORLDCUP!$AH$4:$AH$147,0)),1,3)</f>
        <v>Cor</v>
      </c>
      <c r="D4" s="574" t="n">
        <f aca="false">IF(ISBLANK(INDEX(WORLDCUP!$AC$4:$AC$147,MATCH(A4,WORLDCUP!$AH$4:$AH$147,0))),"",INDEX(WORLDCUP!$AC$4:$AC$147,MATCH(A4,WORLDCUP!$AH$4:$AH$147,0)))</f>
        <v>2</v>
      </c>
      <c r="E4" s="574" t="n">
        <f aca="false">IF(ISBLANK(INDEX(WORLDCUP!$AD$4:$AD$147,MATCH(A4,WORLDCUP!$AH$4:$AH$147,0))),"",INDEX(WORLDCUP!$AD$4:$AD$147,MATCH(A4,WORLDCUP!$AH$4:$AH$147,0)))</f>
        <v>1</v>
      </c>
      <c r="F4" s="575" t="str">
        <f aca="false">+MID(INDEX(WORLDCUP!$AF$4:$AF$147,MATCH(A4,WORLDCUP!$AH$4:$AH$147,0)),1,3)</f>
        <v>Rep</v>
      </c>
      <c r="G4" s="576" t="n">
        <v>1</v>
      </c>
      <c r="H4" s="577" t="str">
        <f aca="false">+MID(INDEX(WORLDCUP!$AL$6:$AL$97,MATCH(L4,WORLDCUP!$AI$6:$AI$97,0)),1,3)</f>
        <v>Méx</v>
      </c>
      <c r="I4" s="578" t="n">
        <f aca="false">+INDEX(WORLDCUP!$AM$6:$AM$97,MATCH(L4,WORLDCUP!$AI$6:$AI$97,0))</f>
        <v>3</v>
      </c>
      <c r="J4" s="579" t="n">
        <f aca="false">+INDEX(WORLDCUP!$AT$6:$AT$97,MATCH(L4,WORLDCUP!$AI$6:$AI$97,0))</f>
        <v>2</v>
      </c>
      <c r="K4" s="580" t="str">
        <f aca="false">+INDEX(WORLDCUP!$AR$6:$AR$97,MATCH(L4,WORLDCUP!$AI$6:$AI$97,0))&amp;"-"&amp;INDEX(WORLDCUP!$AS$6:$AS$97,MATCH(L4,WORLDCUP!$AI$6:$AI$97,0))</f>
        <v>2-0</v>
      </c>
      <c r="L4" s="85" t="s">
        <v>78</v>
      </c>
      <c r="M4" s="85" t="n">
        <v>15</v>
      </c>
      <c r="N4" s="581"/>
      <c r="O4" s="573" t="str">
        <f aca="false">+MID(INDEX(WORLDCUP!$AA$4:$AA$147,MATCH(M4,WORLDCUP!$AH$4:$AH$147,0)),1,3)</f>
        <v>Irá</v>
      </c>
      <c r="P4" s="574" t="n">
        <f aca="false">IF(ISBLANK(INDEX(WORLDCUP!$AC$4:$AC$147,MATCH(M4,WORLDCUP!$AH$4:$AH$147,0))),"",INDEX(WORLDCUP!$AC$4:$AC$147,MATCH(M4,WORLDCUP!$AH$4:$AH$147,0)))</f>
        <v>2</v>
      </c>
      <c r="Q4" s="574" t="n">
        <f aca="false">IF(ISBLANK(INDEX(WORLDCUP!$AD$4:$AD$147,MATCH(M4,WORLDCUP!$AH$4:$AH$147,0))),"",INDEX(WORLDCUP!$AD$4:$AD$147,MATCH(M4,WORLDCUP!$AH$4:$AH$147,0)))</f>
        <v>2</v>
      </c>
      <c r="R4" s="575" t="str">
        <f aca="false">+MID(INDEX(WORLDCUP!$AF$4:$AF$147,MATCH(M4,WORLDCUP!$AH$4:$AH$147,0)),1,3)</f>
        <v>Nue</v>
      </c>
      <c r="S4" s="576" t="n">
        <v>1</v>
      </c>
      <c r="T4" s="577" t="str">
        <f aca="false">+MID(INDEX(WORLDCUP!$AL$6:$AL$97,MATCH(X4,WORLDCUP!$AI$6:$AI$97,0)),1,3)</f>
        <v>Irá</v>
      </c>
      <c r="U4" s="578" t="n">
        <f aca="false">+INDEX(WORLDCUP!$AM$6:$AM$97,MATCH(X4,WORLDCUP!$AI$6:$AI$97,0))</f>
        <v>1</v>
      </c>
      <c r="V4" s="579" t="n">
        <f aca="false">+INDEX(WORLDCUP!$AT$6:$AT$97,MATCH(X4,WORLDCUP!$AI$6:$AI$97,0))</f>
        <v>0</v>
      </c>
      <c r="W4" s="580" t="str">
        <f aca="false">+INDEX(WORLDCUP!$AR$6:$AR$97,MATCH(X4,WORLDCUP!$AI$6:$AI$97,0))&amp;"-"&amp;INDEX(WORLDCUP!$AS$6:$AS$97,MATCH(X4,WORLDCUP!$AI$6:$AI$97,0))</f>
        <v>2-2</v>
      </c>
      <c r="X4" s="85" t="s">
        <v>105</v>
      </c>
      <c r="Y4" s="85" t="n">
        <v>74</v>
      </c>
      <c r="Z4" s="554" t="s">
        <v>148</v>
      </c>
      <c r="AA4" s="555" t="str">
        <f aca="false">+MID(INDEX(WORLDCUP!$AF$101:$AF$147,MATCH(Y4,WORLDCUP!$Z$101:$Z$147,0)),1,IF(WORLDCUP!$H$113&lt;144,6,3))</f>
        <v>3ABCDF</v>
      </c>
      <c r="AB4" s="582" t="str">
        <f aca="false">+IF(ISBLANK(INDEX(WORLDCUP!$AD$101:$AD$147,MATCH(Y4,WORLDCUP!$Z$101:$Z$147,0))),"",INDEX(WORLDCUP!$AD$101:$AD$147,MATCH(Y4,WORLDCUP!$Z$101:$Z$147,0)))</f>
        <v/>
      </c>
      <c r="AC4" s="583" t="str">
        <f aca="false">+IF(ISBLANK(INDEX(WORLDCUP!$AE$101:$AE$147,MATCH(Y4,WORLDCUP!$Z$101:$Z$147,0))),"","( "&amp;INDEX(WORLDCUP!$AE$101:$AE$147,MATCH(Y4,WORLDCUP!$Z$101:$Z$147,0))&amp;" )")</f>
        <v/>
      </c>
      <c r="AD4" s="584" t="n">
        <v>89</v>
      </c>
      <c r="AE4" s="585" t="str">
        <f aca="false">+MID(INDEX(WORLDCUP!$AA$101:$AA$147,MATCH(AD4,WORLDCUP!$Z$101:$Z$147,0)),1,3)</f>
        <v>W74</v>
      </c>
      <c r="AF4" s="586" t="str">
        <f aca="false">+IF(ISBLANK(INDEX(WORLDCUP!$AC$101:$AC$147,MATCH(AD4,WORLDCUP!$Z$101:$Z$147,0))),"",INDEX(WORLDCUP!$AC$101:$AC$147,MATCH(AD4,WORLDCUP!$Z$101:$Z$147,0)))</f>
        <v/>
      </c>
      <c r="AG4" s="587" t="str">
        <f aca="false">+IF(ISBLANK(INDEX(WORLDCUP!$AB$101:$AB$147,MATCH(AD4,WORLDCUP!$Z$101:$Z$147,0))),"","( "&amp;INDEX(WORLDCUP!$AB$101:$AB$147,MATCH(AD4,WORLDCUP!$Z$101:$Z$147,0))&amp;" )")</f>
        <v/>
      </c>
      <c r="AH4" s="85"/>
      <c r="AI4" s="588"/>
      <c r="AJ4" s="588"/>
      <c r="AK4" s="588"/>
      <c r="AL4" s="471"/>
      <c r="AM4" s="560"/>
      <c r="AN4" s="560"/>
      <c r="AO4" s="560"/>
      <c r="AP4" s="85"/>
      <c r="AQ4" s="589"/>
      <c r="AR4" s="589"/>
      <c r="AS4" s="589"/>
      <c r="AT4" s="85"/>
      <c r="AU4" s="562"/>
      <c r="AV4" s="562"/>
      <c r="AW4" s="562"/>
      <c r="AX4" s="85"/>
      <c r="AY4" s="590"/>
      <c r="AZ4" s="244"/>
      <c r="BA4" s="244"/>
      <c r="BB4" s="244"/>
      <c r="BC4" s="244"/>
      <c r="BD4" s="244"/>
      <c r="BE4" s="244"/>
      <c r="BG4" s="591" t="str">
        <f aca="false">Horarios!Q3</f>
        <v>Alemania</v>
      </c>
      <c r="BH4" s="592" t="n">
        <f aca="false">1-SUM(BI4:BO4)</f>
        <v>1</v>
      </c>
      <c r="BI4" s="592" t="n">
        <f aca="false">COUNTIF(ADMIN!$M$130:$M$161,Fixture!BG4)-BJ4-BK4-BL4-BM4-BN4-BO4</f>
        <v>0</v>
      </c>
      <c r="BJ4" s="593" t="n">
        <f aca="false">COUNTIF(ADMIN!$M$182:$M$197,Fixture!BG4)-BK4-BL4-BM4-BN4-BO4</f>
        <v>0</v>
      </c>
      <c r="BK4" s="594" t="n">
        <f aca="false">COUNTIF(ADMIN!$M$210:$M$217,Fixture!BG4)-BL4-BM4-BN4-BO4</f>
        <v>0</v>
      </c>
      <c r="BL4" s="594" t="n">
        <f aca="false">COUNTIF(ADMIN!$M$226:$M$229,BG4)-BM4-BN4-BO4</f>
        <v>0</v>
      </c>
      <c r="BM4" s="592" t="n">
        <f aca="false">COUNTIF(ADMIN!$M$252,Fixture!BG4)</f>
        <v>0</v>
      </c>
      <c r="BN4" s="592" t="n">
        <f aca="false">COUNTIF(ADMIN!$M$251,Fixture!BG4)</f>
        <v>0</v>
      </c>
      <c r="BO4" s="595" t="n">
        <f aca="false">COUNTIF(ADMIN!$M$250,Fixture!BG4)</f>
        <v>0</v>
      </c>
    </row>
    <row r="5" customFormat="false" ht="15" hidden="false" customHeight="false" outlineLevel="0" collapsed="false">
      <c r="A5" s="85" t="n">
        <v>25</v>
      </c>
      <c r="B5" s="572"/>
      <c r="C5" s="573" t="str">
        <f aca="false">+MID(INDEX(WORLDCUP!$AA$4:$AA$147,MATCH(A5,WORLDCUP!$AH$4:$AH$147,0)),1,3)</f>
        <v>Rep</v>
      </c>
      <c r="D5" s="574" t="str">
        <f aca="false">IF(ISBLANK(INDEX(WORLDCUP!$AC$4:$AC$147,MATCH(A5,WORLDCUP!$AH$4:$AH$147,0))),"",INDEX(WORLDCUP!$AC$4:$AC$147,MATCH(A5,WORLDCUP!$AH$4:$AH$147,0)))</f>
        <v/>
      </c>
      <c r="E5" s="574" t="str">
        <f aca="false">IF(ISBLANK(INDEX(WORLDCUP!$AD$4:$AD$147,MATCH(A5,WORLDCUP!$AH$4:$AH$147,0))),"",INDEX(WORLDCUP!$AD$4:$AD$147,MATCH(A5,WORLDCUP!$AH$4:$AH$147,0)))</f>
        <v/>
      </c>
      <c r="F5" s="575" t="str">
        <f aca="false">+MID(INDEX(WORLDCUP!$AF$4:$AF$147,MATCH(A5,WORLDCUP!$AH$4:$AH$147,0)),1,3)</f>
        <v>Sud</v>
      </c>
      <c r="G5" s="596" t="n">
        <v>2</v>
      </c>
      <c r="H5" s="597" t="str">
        <f aca="false">+MID(INDEX(WORLDCUP!$AL$6:$AL$97,MATCH(L5,WORLDCUP!$AI$6:$AI$97,0)),1,3)</f>
        <v>Cor</v>
      </c>
      <c r="I5" s="124" t="n">
        <f aca="false">+INDEX(WORLDCUP!$AM$6:$AM$97,MATCH(L5,WORLDCUP!$AI$6:$AI$97,0))</f>
        <v>3</v>
      </c>
      <c r="J5" s="125" t="n">
        <f aca="false">+INDEX(WORLDCUP!$AT$6:$AT$97,MATCH(L5,WORLDCUP!$AI$6:$AI$97,0))</f>
        <v>1</v>
      </c>
      <c r="K5" s="231" t="str">
        <f aca="false">+INDEX(WORLDCUP!$AR$6:$AR$97,MATCH(L5,WORLDCUP!$AI$6:$AI$97,0))&amp;"-"&amp;INDEX(WORLDCUP!$AS$6:$AS$97,MATCH(L5,WORLDCUP!$AI$6:$AI$97,0))</f>
        <v>2-1</v>
      </c>
      <c r="L5" s="85" t="s">
        <v>79</v>
      </c>
      <c r="M5" s="85" t="n">
        <v>39</v>
      </c>
      <c r="N5" s="581"/>
      <c r="O5" s="573" t="str">
        <f aca="false">+MID(INDEX(WORLDCUP!$AA$4:$AA$147,MATCH(M5,WORLDCUP!$AH$4:$AH$147,0)),1,3)</f>
        <v>Bél</v>
      </c>
      <c r="P5" s="574" t="str">
        <f aca="false">IF(ISBLANK(INDEX(WORLDCUP!$AC$4:$AC$147,MATCH(M5,WORLDCUP!$AH$4:$AH$147,0))),"",INDEX(WORLDCUP!$AC$4:$AC$147,MATCH(M5,WORLDCUP!$AH$4:$AH$147,0)))</f>
        <v/>
      </c>
      <c r="Q5" s="574" t="str">
        <f aca="false">IF(ISBLANK(INDEX(WORLDCUP!$AD$4:$AD$147,MATCH(M5,WORLDCUP!$AH$4:$AH$147,0))),"",INDEX(WORLDCUP!$AD$4:$AD$147,MATCH(M5,WORLDCUP!$AH$4:$AH$147,0)))</f>
        <v/>
      </c>
      <c r="R5" s="575" t="str">
        <f aca="false">+MID(INDEX(WORLDCUP!$AF$4:$AF$147,MATCH(M5,WORLDCUP!$AH$4:$AH$147,0)),1,3)</f>
        <v>Irá</v>
      </c>
      <c r="S5" s="596" t="n">
        <v>2</v>
      </c>
      <c r="T5" s="597" t="str">
        <f aca="false">+MID(INDEX(WORLDCUP!$AL$6:$AL$97,MATCH(X5,WORLDCUP!$AI$6:$AI$97,0)),1,3)</f>
        <v>Nue</v>
      </c>
      <c r="U5" s="124" t="n">
        <f aca="false">+INDEX(WORLDCUP!$AM$6:$AM$97,MATCH(X5,WORLDCUP!$AI$6:$AI$97,0))</f>
        <v>1</v>
      </c>
      <c r="V5" s="125" t="n">
        <f aca="false">+INDEX(WORLDCUP!$AT$6:$AT$97,MATCH(X5,WORLDCUP!$AI$6:$AI$97,0))</f>
        <v>0</v>
      </c>
      <c r="W5" s="231" t="str">
        <f aca="false">+INDEX(WORLDCUP!$AR$6:$AR$97,MATCH(X5,WORLDCUP!$AI$6:$AI$97,0))&amp;"-"&amp;INDEX(WORLDCUP!$AS$6:$AS$97,MATCH(X5,WORLDCUP!$AI$6:$AI$97,0))</f>
        <v>2-2</v>
      </c>
      <c r="X5" s="85" t="s">
        <v>106</v>
      </c>
      <c r="Y5" s="85"/>
      <c r="Z5" s="554"/>
      <c r="AA5" s="598"/>
      <c r="AB5" s="598"/>
      <c r="AC5" s="599"/>
      <c r="AD5" s="85" t="n">
        <v>89</v>
      </c>
      <c r="AE5" s="585" t="str">
        <f aca="false">+MID(INDEX(WORLDCUP!$AF$101:$AF$147,MATCH(AD5,WORLDCUP!$Z$101:$Z$147,0)),1,3)</f>
        <v>W77</v>
      </c>
      <c r="AF5" s="586" t="str">
        <f aca="false">+IF(ISBLANK(INDEX(WORLDCUP!$AD$101:$AD$147,MATCH(AD5,WORLDCUP!$Z$101:$Z$147,0))),"",INDEX(WORLDCUP!$AD$101:$AD$147,MATCH(AD5,WORLDCUP!$Z$101:$Z$147,0)))</f>
        <v/>
      </c>
      <c r="AG5" s="600" t="str">
        <f aca="false">+IF(ISBLANK(INDEX(WORLDCUP!$AE$101:$AE$147,MATCH(AD5,WORLDCUP!$Z$101:$Z$147,0))),"","( "&amp;INDEX(WORLDCUP!$AE$101:$AE$147,MATCH(AD5,WORLDCUP!$Z$101:$Z$147,0))&amp;" )")</f>
        <v/>
      </c>
      <c r="AH5" s="85"/>
      <c r="AI5" s="588"/>
      <c r="AJ5" s="588"/>
      <c r="AK5" s="588"/>
      <c r="AL5" s="471"/>
      <c r="AM5" s="560"/>
      <c r="AN5" s="560"/>
      <c r="AO5" s="560"/>
      <c r="AP5" s="85"/>
      <c r="AQ5" s="589"/>
      <c r="AR5" s="589"/>
      <c r="AS5" s="589"/>
      <c r="AT5" s="85"/>
      <c r="AU5" s="562"/>
      <c r="AV5" s="562"/>
      <c r="AW5" s="562"/>
      <c r="AX5" s="85"/>
      <c r="AY5" s="244"/>
      <c r="AZ5" s="244"/>
      <c r="BA5" s="244"/>
      <c r="BB5" s="244"/>
      <c r="BC5" s="244"/>
      <c r="BD5" s="244"/>
      <c r="BE5" s="244"/>
      <c r="BG5" s="591" t="str">
        <f aca="false">Horarios!Q4</f>
        <v>Arabia Saudita</v>
      </c>
      <c r="BH5" s="592" t="n">
        <f aca="false">1-SUM(BI5:BO5)</f>
        <v>1</v>
      </c>
      <c r="BI5" s="592" t="n">
        <f aca="false">COUNTIF(ADMIN!$M$130:$M$161,Fixture!BG5)-BJ5-BK5-BL5-BM5-BN5-BO5</f>
        <v>0</v>
      </c>
      <c r="BJ5" s="593" t="n">
        <f aca="false">COUNTIF(ADMIN!$M$182:$M$197,Fixture!BG5)-BK5-BL5-BM5-BN5-BO5</f>
        <v>0</v>
      </c>
      <c r="BK5" s="594" t="n">
        <f aca="false">COUNTIF(ADMIN!$M$210:$M$217,Fixture!BG5)-BL5-BM5-BN5-BO5</f>
        <v>0</v>
      </c>
      <c r="BL5" s="594" t="n">
        <f aca="false">COUNTIF(ADMIN!$M$226:$M$229,BG5)-BM5-BN5-BO5</f>
        <v>0</v>
      </c>
      <c r="BM5" s="592" t="n">
        <f aca="false">COUNTIF(ADMIN!$M$252,Fixture!BG5)</f>
        <v>0</v>
      </c>
      <c r="BN5" s="592" t="n">
        <f aca="false">COUNTIF(ADMIN!$M$251,Fixture!BG5)</f>
        <v>0</v>
      </c>
      <c r="BO5" s="595" t="n">
        <f aca="false">COUNTIF(ADMIN!$M$250,Fixture!BG5)</f>
        <v>0</v>
      </c>
    </row>
    <row r="6" customFormat="false" ht="15" hidden="false" customHeight="false" outlineLevel="0" collapsed="false">
      <c r="A6" s="85" t="n">
        <v>28</v>
      </c>
      <c r="B6" s="572"/>
      <c r="C6" s="573" t="str">
        <f aca="false">+MID(INDEX(WORLDCUP!$AA$4:$AA$147,MATCH(A6,WORLDCUP!$AH$4:$AH$147,0)),1,3)</f>
        <v>Méx</v>
      </c>
      <c r="D6" s="574" t="str">
        <f aca="false">IF(ISBLANK(INDEX(WORLDCUP!$AC$4:$AC$147,MATCH(A6,WORLDCUP!$AH$4:$AH$147,0))),"",INDEX(WORLDCUP!$AC$4:$AC$147,MATCH(A6,WORLDCUP!$AH$4:$AH$147,0)))</f>
        <v/>
      </c>
      <c r="E6" s="574" t="str">
        <f aca="false">IF(ISBLANK(INDEX(WORLDCUP!$AD$4:$AD$147,MATCH(A6,WORLDCUP!$AH$4:$AH$147,0))),"",INDEX(WORLDCUP!$AD$4:$AD$147,MATCH(A6,WORLDCUP!$AH$4:$AH$147,0)))</f>
        <v/>
      </c>
      <c r="F6" s="575" t="str">
        <f aca="false">+MID(INDEX(WORLDCUP!$AF$4:$AF$147,MATCH(A6,WORLDCUP!$AH$4:$AH$147,0)),1,3)</f>
        <v>Cor</v>
      </c>
      <c r="G6" s="596" t="n">
        <v>3</v>
      </c>
      <c r="H6" s="597" t="str">
        <f aca="false">+MID(INDEX(WORLDCUP!$AL$6:$AL$97,MATCH(L6,WORLDCUP!$AI$6:$AI$97,0)),1,3)</f>
        <v>Rep</v>
      </c>
      <c r="I6" s="124" t="n">
        <f aca="false">+INDEX(WORLDCUP!$AM$6:$AM$97,MATCH(L6,WORLDCUP!$AI$6:$AI$97,0))</f>
        <v>0</v>
      </c>
      <c r="J6" s="125" t="n">
        <f aca="false">+INDEX(WORLDCUP!$AT$6:$AT$97,MATCH(L6,WORLDCUP!$AI$6:$AI$97,0))</f>
        <v>-1</v>
      </c>
      <c r="K6" s="231" t="str">
        <f aca="false">+INDEX(WORLDCUP!$AR$6:$AR$97,MATCH(L6,WORLDCUP!$AI$6:$AI$97,0))&amp;"-"&amp;INDEX(WORLDCUP!$AS$6:$AS$97,MATCH(L6,WORLDCUP!$AI$6:$AI$97,0))</f>
        <v>1-2</v>
      </c>
      <c r="L6" s="85" t="s">
        <v>80</v>
      </c>
      <c r="M6" s="85" t="n">
        <v>40</v>
      </c>
      <c r="N6" s="581"/>
      <c r="O6" s="573" t="str">
        <f aca="false">+MID(INDEX(WORLDCUP!$AA$4:$AA$147,MATCH(M6,WORLDCUP!$AH$4:$AH$147,0)),1,3)</f>
        <v>Nue</v>
      </c>
      <c r="P6" s="574" t="str">
        <f aca="false">IF(ISBLANK(INDEX(WORLDCUP!$AC$4:$AC$147,MATCH(M6,WORLDCUP!$AH$4:$AH$147,0))),"",INDEX(WORLDCUP!$AC$4:$AC$147,MATCH(M6,WORLDCUP!$AH$4:$AH$147,0)))</f>
        <v/>
      </c>
      <c r="Q6" s="574" t="str">
        <f aca="false">IF(ISBLANK(INDEX(WORLDCUP!$AD$4:$AD$147,MATCH(M6,WORLDCUP!$AH$4:$AH$147,0))),"",INDEX(WORLDCUP!$AD$4:$AD$147,MATCH(M6,WORLDCUP!$AH$4:$AH$147,0)))</f>
        <v/>
      </c>
      <c r="R6" s="575" t="str">
        <f aca="false">+MID(INDEX(WORLDCUP!$AF$4:$AF$147,MATCH(M6,WORLDCUP!$AH$4:$AH$147,0)),1,3)</f>
        <v>Egi</v>
      </c>
      <c r="S6" s="596" t="n">
        <v>3</v>
      </c>
      <c r="T6" s="597" t="str">
        <f aca="false">+MID(INDEX(WORLDCUP!$AL$6:$AL$97,MATCH(X6,WORLDCUP!$AI$6:$AI$97,0)),1,3)</f>
        <v>Bél</v>
      </c>
      <c r="U6" s="124" t="n">
        <f aca="false">+INDEX(WORLDCUP!$AM$6:$AM$97,MATCH(X6,WORLDCUP!$AI$6:$AI$97,0))</f>
        <v>1</v>
      </c>
      <c r="V6" s="125" t="n">
        <f aca="false">+INDEX(WORLDCUP!$AT$6:$AT$97,MATCH(X6,WORLDCUP!$AI$6:$AI$97,0))</f>
        <v>0</v>
      </c>
      <c r="W6" s="231" t="str">
        <f aca="false">+INDEX(WORLDCUP!$AR$6:$AR$97,MATCH(X6,WORLDCUP!$AI$6:$AI$97,0))&amp;"-"&amp;INDEX(WORLDCUP!$AS$6:$AS$97,MATCH(X6,WORLDCUP!$AI$6:$AI$97,0))</f>
        <v>1-1</v>
      </c>
      <c r="X6" s="85" t="s">
        <v>107</v>
      </c>
      <c r="Y6" s="85" t="n">
        <v>77</v>
      </c>
      <c r="Z6" s="554" t="s">
        <v>114</v>
      </c>
      <c r="AA6" s="555" t="str">
        <f aca="false">+MID(INDEX(WORLDCUP!$AA$101:$AA$147,MATCH(Y6,WORLDCUP!$Z$101:$Z$147,0)),1,3)</f>
        <v>1I</v>
      </c>
      <c r="AB6" s="601" t="str">
        <f aca="false">+IF(ISBLANK(INDEX(WORLDCUP!$AC$101:$AC$147,MATCH(Y6,WORLDCUP!$Z$101:$Z$147,0))),"",INDEX(WORLDCUP!$AC$101:$AC$147,MATCH(Y6,WORLDCUP!$Z$101:$Z$147,0)))</f>
        <v/>
      </c>
      <c r="AC6" s="602" t="str">
        <f aca="false">+IF(ISBLANK(INDEX(WORLDCUP!$AB$101:$AB$147,MATCH(Y6,WORLDCUP!$Z$101:$Z$147,0))),"","( "&amp;INDEX(WORLDCUP!$AB$101:$AB$147,MATCH(Y6,WORLDCUP!$Z$101:$Z$147,0))&amp;" )")</f>
        <v/>
      </c>
      <c r="AD6" s="85"/>
      <c r="AE6" s="603"/>
      <c r="AF6" s="603"/>
      <c r="AG6" s="604"/>
      <c r="AH6" s="85"/>
      <c r="AI6" s="588"/>
      <c r="AJ6" s="588"/>
      <c r="AK6" s="588"/>
      <c r="AL6" s="471"/>
      <c r="AM6" s="560"/>
      <c r="AN6" s="560"/>
      <c r="AO6" s="560"/>
      <c r="AP6" s="85"/>
      <c r="AQ6" s="589"/>
      <c r="AR6" s="589"/>
      <c r="AS6" s="589"/>
      <c r="AT6" s="85"/>
      <c r="AU6" s="562"/>
      <c r="AV6" s="562"/>
      <c r="AW6" s="562"/>
      <c r="AX6" s="85"/>
      <c r="AY6" s="244"/>
      <c r="AZ6" s="244"/>
      <c r="BA6" s="244"/>
      <c r="BB6" s="244"/>
      <c r="BC6" s="244"/>
      <c r="BD6" s="244"/>
      <c r="BE6" s="244"/>
      <c r="BG6" s="591" t="str">
        <f aca="false">Horarios!Q5</f>
        <v>Argelia</v>
      </c>
      <c r="BH6" s="592" t="n">
        <f aca="false">1-SUM(BI6:BO6)</f>
        <v>1</v>
      </c>
      <c r="BI6" s="592" t="n">
        <f aca="false">COUNTIF(ADMIN!$M$130:$M$161,Fixture!BG6)-BJ6-BK6-BL6-BM6-BN6-BO6</f>
        <v>0</v>
      </c>
      <c r="BJ6" s="593" t="n">
        <f aca="false">COUNTIF(ADMIN!$M$182:$M$197,Fixture!BG6)-BK6-BL6-BM6-BN6-BO6</f>
        <v>0</v>
      </c>
      <c r="BK6" s="594" t="n">
        <f aca="false">COUNTIF(ADMIN!$M$210:$M$217,Fixture!BG6)-BL6-BM6-BN6-BO6</f>
        <v>0</v>
      </c>
      <c r="BL6" s="594" t="n">
        <f aca="false">COUNTIF(ADMIN!$M$226:$M$229,BG6)-BM6-BN6-BO6</f>
        <v>0</v>
      </c>
      <c r="BM6" s="592" t="n">
        <f aca="false">COUNTIF(ADMIN!$M$252,Fixture!BG6)</f>
        <v>0</v>
      </c>
      <c r="BN6" s="592" t="n">
        <f aca="false">COUNTIF(ADMIN!$M$251,Fixture!BG6)</f>
        <v>0</v>
      </c>
      <c r="BO6" s="595" t="n">
        <f aca="false">COUNTIF(ADMIN!$M$250,Fixture!BG6)</f>
        <v>0</v>
      </c>
    </row>
    <row r="7" customFormat="false" ht="15" hidden="false" customHeight="false" outlineLevel="0" collapsed="false">
      <c r="A7" s="85" t="n">
        <v>53</v>
      </c>
      <c r="B7" s="572"/>
      <c r="C7" s="573" t="str">
        <f aca="false">+MID(INDEX(WORLDCUP!$AA$4:$AA$147,MATCH(A7,WORLDCUP!$AH$4:$AH$147,0)),1,3)</f>
        <v>Rep</v>
      </c>
      <c r="D7" s="574" t="str">
        <f aca="false">IF(ISBLANK(INDEX(WORLDCUP!$AC$4:$AC$147,MATCH(A7,WORLDCUP!$AH$4:$AH$147,0))),"",INDEX(WORLDCUP!$AC$4:$AC$147,MATCH(A7,WORLDCUP!$AH$4:$AH$147,0)))</f>
        <v/>
      </c>
      <c r="E7" s="574" t="str">
        <f aca="false">IF(ISBLANK(INDEX(WORLDCUP!$AD$4:$AD$147,MATCH(A7,WORLDCUP!$AH$4:$AH$147,0))),"",INDEX(WORLDCUP!$AD$4:$AD$147,MATCH(A7,WORLDCUP!$AH$4:$AH$147,0)))</f>
        <v/>
      </c>
      <c r="F7" s="575" t="str">
        <f aca="false">+MID(INDEX(WORLDCUP!$AF$4:$AF$147,MATCH(A7,WORLDCUP!$AH$4:$AH$147,0)),1,3)</f>
        <v>Méx</v>
      </c>
      <c r="G7" s="596" t="n">
        <v>4</v>
      </c>
      <c r="H7" s="605" t="str">
        <f aca="false">+MID(INDEX(WORLDCUP!$AL$6:$AL$97,MATCH(L7,WORLDCUP!$AI$6:$AI$97,0)),1,3)</f>
        <v>Sud</v>
      </c>
      <c r="I7" s="606" t="n">
        <f aca="false">+INDEX(WORLDCUP!$AM$6:$AM$97,MATCH(L7,WORLDCUP!$AI$6:$AI$97,0))</f>
        <v>0</v>
      </c>
      <c r="J7" s="607" t="n">
        <f aca="false">+INDEX(WORLDCUP!$AT$6:$AT$97,MATCH(L7,WORLDCUP!$AI$6:$AI$97,0))</f>
        <v>-2</v>
      </c>
      <c r="K7" s="608" t="str">
        <f aca="false">+INDEX(WORLDCUP!$AR$6:$AR$97,MATCH(L7,WORLDCUP!$AI$6:$AI$97,0))&amp;"-"&amp;INDEX(WORLDCUP!$AS$6:$AS$97,MATCH(L7,WORLDCUP!$AI$6:$AI$97,0))</f>
        <v>0-2</v>
      </c>
      <c r="L7" s="85" t="s">
        <v>81</v>
      </c>
      <c r="M7" s="85" t="n">
        <v>63</v>
      </c>
      <c r="N7" s="581"/>
      <c r="O7" s="573" t="str">
        <f aca="false">+MID(INDEX(WORLDCUP!$AA$4:$AA$147,MATCH(M7,WORLDCUP!$AH$4:$AH$147,0)),1,3)</f>
        <v>Egi</v>
      </c>
      <c r="P7" s="574" t="str">
        <f aca="false">IF(ISBLANK(INDEX(WORLDCUP!$AC$4:$AC$147,MATCH(M7,WORLDCUP!$AH$4:$AH$147,0))),"",INDEX(WORLDCUP!$AC$4:$AC$147,MATCH(M7,WORLDCUP!$AH$4:$AH$147,0)))</f>
        <v/>
      </c>
      <c r="Q7" s="574" t="str">
        <f aca="false">IF(ISBLANK(INDEX(WORLDCUP!$AD$4:$AD$147,MATCH(M7,WORLDCUP!$AH$4:$AH$147,0))),"",INDEX(WORLDCUP!$AD$4:$AD$147,MATCH(M7,WORLDCUP!$AH$4:$AH$147,0)))</f>
        <v/>
      </c>
      <c r="R7" s="575" t="str">
        <f aca="false">+MID(INDEX(WORLDCUP!$AF$4:$AF$147,MATCH(M7,WORLDCUP!$AH$4:$AH$147,0)),1,3)</f>
        <v>Irá</v>
      </c>
      <c r="S7" s="596" t="n">
        <v>4</v>
      </c>
      <c r="T7" s="605" t="str">
        <f aca="false">+MID(INDEX(WORLDCUP!$AL$6:$AL$97,MATCH(X7,WORLDCUP!$AI$6:$AI$97,0)),1,3)</f>
        <v>Egi</v>
      </c>
      <c r="U7" s="606" t="n">
        <f aca="false">+INDEX(WORLDCUP!$AM$6:$AM$97,MATCH(X7,WORLDCUP!$AI$6:$AI$97,0))</f>
        <v>1</v>
      </c>
      <c r="V7" s="607" t="n">
        <f aca="false">+INDEX(WORLDCUP!$AT$6:$AT$97,MATCH(X7,WORLDCUP!$AI$6:$AI$97,0))</f>
        <v>0</v>
      </c>
      <c r="W7" s="608" t="str">
        <f aca="false">+INDEX(WORLDCUP!$AR$6:$AR$97,MATCH(X7,WORLDCUP!$AI$6:$AI$97,0))&amp;"-"&amp;INDEX(WORLDCUP!$AS$6:$AS$97,MATCH(X7,WORLDCUP!$AI$6:$AI$97,0))</f>
        <v>1-1</v>
      </c>
      <c r="X7" s="85" t="s">
        <v>108</v>
      </c>
      <c r="Y7" s="85" t="n">
        <v>77</v>
      </c>
      <c r="Z7" s="554" t="s">
        <v>157</v>
      </c>
      <c r="AA7" s="609" t="str">
        <f aca="false">+MID(INDEX(WORLDCUP!$AF$101:$AF$147,MATCH(Y7,WORLDCUP!$Z$101:$Z$147,0)),1,IF(WORLDCUP!$H$113&lt;144,6,3))</f>
        <v>3CDFGH</v>
      </c>
      <c r="AB7" s="610" t="str">
        <f aca="false">+IF(ISBLANK(INDEX(WORLDCUP!$AD$101:$AD$147,MATCH(Y7,WORLDCUP!$Z$101:$Z$147,0))),"",INDEX(WORLDCUP!$AD$101:$AD$147,MATCH(Y7,WORLDCUP!$Z$101:$Z$147,0)))</f>
        <v/>
      </c>
      <c r="AC7" s="611" t="str">
        <f aca="false">+IF(ISBLANK(INDEX(WORLDCUP!$AE$101:$AE$147,MATCH(Y7,WORLDCUP!$Z$101:$Z$147,0))),"","( "&amp;INDEX(WORLDCUP!$AE$101:$AE$147,MATCH(Y7,WORLDCUP!$Z$101:$Z$147,0))&amp;" )")</f>
        <v/>
      </c>
      <c r="AD7" s="85"/>
      <c r="AE7" s="603"/>
      <c r="AF7" s="603"/>
      <c r="AG7" s="604"/>
      <c r="AH7" s="584" t="n">
        <v>97</v>
      </c>
      <c r="AI7" s="612" t="str">
        <f aca="false">+MID(INDEX(WORLDCUP!$AA$101:$AA$147,MATCH(AH7,WORLDCUP!$Z$101:$Z$147,0)),1,3)</f>
        <v>W89</v>
      </c>
      <c r="AJ7" s="613" t="str">
        <f aca="false">+IF(ISBLANK(INDEX(WORLDCUP!$AC$101:$AC$147,MATCH(AH7,WORLDCUP!$Z$101:$Z$147,0))),"",INDEX(WORLDCUP!$AC$101:$AC$147,MATCH(AH7,WORLDCUP!$Z$101:$Z$147,0)))</f>
        <v/>
      </c>
      <c r="AK7" s="614" t="str">
        <f aca="false">+IF(ISBLANK(INDEX(WORLDCUP!$AB$101:$AB$147,MATCH(AH7,WORLDCUP!$Z$101:$Z$147,0))),"","( "&amp;INDEX(WORLDCUP!$AB$101:$AB$147,MATCH(AH7,WORLDCUP!$Z$101:$Z$147,0))&amp;" )")</f>
        <v/>
      </c>
      <c r="AL7" s="471"/>
      <c r="AM7" s="560"/>
      <c r="AN7" s="560"/>
      <c r="AO7" s="560"/>
      <c r="AP7" s="85"/>
      <c r="AQ7" s="589"/>
      <c r="AR7" s="589"/>
      <c r="AS7" s="589"/>
      <c r="AT7" s="85"/>
      <c r="AU7" s="562"/>
      <c r="AV7" s="562"/>
      <c r="AW7" s="562"/>
      <c r="AX7" s="85"/>
      <c r="AY7" s="244"/>
      <c r="AZ7" s="244"/>
      <c r="BA7" s="244"/>
      <c r="BB7" s="244"/>
      <c r="BC7" s="244"/>
      <c r="BD7" s="244"/>
      <c r="BE7" s="244"/>
      <c r="BG7" s="591" t="str">
        <f aca="false">Horarios!Q6</f>
        <v>Argentina</v>
      </c>
      <c r="BH7" s="592" t="n">
        <f aca="false">1-SUM(BI7:BO7)</f>
        <v>1</v>
      </c>
      <c r="BI7" s="592" t="n">
        <f aca="false">COUNTIF(ADMIN!$M$130:$M$161,Fixture!BG7)-BJ7-BK7-BL7-BM7-BN7-BO7</f>
        <v>0</v>
      </c>
      <c r="BJ7" s="593" t="n">
        <f aca="false">COUNTIF(ADMIN!$M$182:$M$197,Fixture!BG7)-BK7-BL7-BM7-BN7-BO7</f>
        <v>0</v>
      </c>
      <c r="BK7" s="594" t="n">
        <f aca="false">COUNTIF(ADMIN!$M$210:$M$217,Fixture!BG7)-BL7-BM7-BN7-BO7</f>
        <v>0</v>
      </c>
      <c r="BL7" s="594" t="n">
        <f aca="false">COUNTIF(ADMIN!$M$226:$M$229,BG7)-BM7-BN7-BO7</f>
        <v>0</v>
      </c>
      <c r="BM7" s="592" t="n">
        <f aca="false">COUNTIF(ADMIN!$M$252,Fixture!BG7)</f>
        <v>0</v>
      </c>
      <c r="BN7" s="592" t="n">
        <f aca="false">COUNTIF(ADMIN!$M$251,Fixture!BG7)</f>
        <v>0</v>
      </c>
      <c r="BO7" s="595" t="n">
        <f aca="false">COUNTIF(ADMIN!$M$250,Fixture!BG7)</f>
        <v>0</v>
      </c>
    </row>
    <row r="8" customFormat="false" ht="15" hidden="false" customHeight="false" outlineLevel="0" collapsed="false">
      <c r="A8" s="85" t="n">
        <v>54</v>
      </c>
      <c r="B8" s="615"/>
      <c r="C8" s="616" t="str">
        <f aca="false">+MID(INDEX(WORLDCUP!$AA$4:$AA$147,MATCH(A8,WORLDCUP!$AH$4:$AH$147,0)),1,3)</f>
        <v>Sud</v>
      </c>
      <c r="D8" s="617" t="str">
        <f aca="false">IF(ISBLANK(INDEX(WORLDCUP!$AC$4:$AC$147,MATCH(A8,WORLDCUP!$AH$4:$AH$147,0))),"",INDEX(WORLDCUP!$AC$4:$AC$147,MATCH(A8,WORLDCUP!$AH$4:$AH$147,0)))</f>
        <v/>
      </c>
      <c r="E8" s="617" t="str">
        <f aca="false">IF(ISBLANK(INDEX(WORLDCUP!$AD$4:$AD$147,MATCH(A8,WORLDCUP!$AH$4:$AH$147,0))),"",INDEX(WORLDCUP!$AD$4:$AD$147,MATCH(A8,WORLDCUP!$AH$4:$AH$147,0)))</f>
        <v/>
      </c>
      <c r="F8" s="618" t="str">
        <f aca="false">+MID(INDEX(WORLDCUP!$AF$4:$AF$147,MATCH(A8,WORLDCUP!$AH$4:$AH$147,0)),1,3)</f>
        <v>Cor</v>
      </c>
      <c r="G8" s="619"/>
      <c r="H8" s="619"/>
      <c r="I8" s="620"/>
      <c r="J8" s="620"/>
      <c r="K8" s="621"/>
      <c r="L8" s="85"/>
      <c r="M8" s="85" t="n">
        <v>64</v>
      </c>
      <c r="N8" s="622"/>
      <c r="O8" s="616" t="str">
        <f aca="false">+MID(INDEX(WORLDCUP!$AA$4:$AA$147,MATCH(M8,WORLDCUP!$AH$4:$AH$147,0)),1,3)</f>
        <v>Nue</v>
      </c>
      <c r="P8" s="617" t="str">
        <f aca="false">IF(ISBLANK(INDEX(WORLDCUP!$AC$4:$AC$147,MATCH(M8,WORLDCUP!$AH$4:$AH$147,0))),"",INDEX(WORLDCUP!$AC$4:$AC$147,MATCH(M8,WORLDCUP!$AH$4:$AH$147,0)))</f>
        <v/>
      </c>
      <c r="Q8" s="617" t="str">
        <f aca="false">IF(ISBLANK(INDEX(WORLDCUP!$AD$4:$AD$147,MATCH(M8,WORLDCUP!$AH$4:$AH$147,0))),"",INDEX(WORLDCUP!$AD$4:$AD$147,MATCH(M8,WORLDCUP!$AH$4:$AH$147,0)))</f>
        <v/>
      </c>
      <c r="R8" s="618" t="str">
        <f aca="false">+MID(INDEX(WORLDCUP!$AF$4:$AF$147,MATCH(M8,WORLDCUP!$AH$4:$AH$147,0)),1,3)</f>
        <v>Bél</v>
      </c>
      <c r="S8" s="619"/>
      <c r="T8" s="619"/>
      <c r="U8" s="620"/>
      <c r="V8" s="620"/>
      <c r="W8" s="621"/>
      <c r="X8" s="85"/>
      <c r="Y8" s="85"/>
      <c r="Z8" s="554"/>
      <c r="AA8" s="623"/>
      <c r="AB8" s="623"/>
      <c r="AC8" s="623"/>
      <c r="AD8" s="85"/>
      <c r="AE8" s="558"/>
      <c r="AF8" s="558"/>
      <c r="AG8" s="604"/>
      <c r="AH8" s="85" t="n">
        <v>97</v>
      </c>
      <c r="AI8" s="612" t="str">
        <f aca="false">+MID(INDEX(WORLDCUP!$AF$101:$AF$147,MATCH(AH8,WORLDCUP!$Z$101:$Z$147,0)),1,3)</f>
        <v>W90</v>
      </c>
      <c r="AJ8" s="613" t="str">
        <f aca="false">+IF(ISBLANK(INDEX(WORLDCUP!$AD$101:$AD$147,MATCH(AH8,WORLDCUP!$Z$101:$Z$147,0))),"",INDEX(WORLDCUP!$AD$101:$AD$147,MATCH(AH8,WORLDCUP!$Z$101:$Z$147,0)))</f>
        <v/>
      </c>
      <c r="AK8" s="624" t="str">
        <f aca="false">+IF(ISBLANK(INDEX(WORLDCUP!$AE$101:$AE$147,MATCH(AH8,WORLDCUP!$Z$101:$Z$147,0))),"","( "&amp;INDEX(WORLDCUP!$AE$101:$AE$147,MATCH(AH8,WORLDCUP!$Z$101:$Z$147,0))&amp;" )")</f>
        <v/>
      </c>
      <c r="AL8" s="471"/>
      <c r="AM8" s="560"/>
      <c r="AN8" s="560"/>
      <c r="AO8" s="560"/>
      <c r="AP8" s="85"/>
      <c r="AQ8" s="589"/>
      <c r="AR8" s="589"/>
      <c r="AS8" s="589"/>
      <c r="AT8" s="85"/>
      <c r="AU8" s="562"/>
      <c r="AV8" s="562"/>
      <c r="AW8" s="562"/>
      <c r="AX8" s="85"/>
      <c r="AY8" s="244"/>
      <c r="AZ8" s="244"/>
      <c r="BA8" s="244"/>
      <c r="BB8" s="244"/>
      <c r="BC8" s="244"/>
      <c r="BD8" s="244"/>
      <c r="BE8" s="244"/>
      <c r="BG8" s="591" t="str">
        <f aca="false">Horarios!Q7</f>
        <v>Australia</v>
      </c>
      <c r="BH8" s="592" t="n">
        <f aca="false">1-SUM(BI8:BO8)</f>
        <v>1</v>
      </c>
      <c r="BI8" s="592" t="n">
        <f aca="false">COUNTIF(ADMIN!$M$130:$M$161,Fixture!BG8)-BJ8-BK8-BL8-BM8-BN8-BO8</f>
        <v>0</v>
      </c>
      <c r="BJ8" s="593" t="n">
        <f aca="false">COUNTIF(ADMIN!$M$182:$M$197,Fixture!BG8)-BK8-BL8-BM8-BN8-BO8</f>
        <v>0</v>
      </c>
      <c r="BK8" s="594" t="n">
        <f aca="false">COUNTIF(ADMIN!$M$210:$M$217,Fixture!BG8)-BL8-BM8-BN8-BO8</f>
        <v>0</v>
      </c>
      <c r="BL8" s="594" t="n">
        <f aca="false">COUNTIF(ADMIN!$M$226:$M$229,BG8)-BM8-BN8-BO8</f>
        <v>0</v>
      </c>
      <c r="BM8" s="592" t="n">
        <f aca="false">COUNTIF(ADMIN!$M$252,Fixture!BG8)</f>
        <v>0</v>
      </c>
      <c r="BN8" s="592" t="n">
        <f aca="false">COUNTIF(ADMIN!$M$251,Fixture!BG8)</f>
        <v>0</v>
      </c>
      <c r="BO8" s="595" t="n">
        <f aca="false">COUNTIF(ADMIN!$M$250,Fixture!BG8)</f>
        <v>0</v>
      </c>
    </row>
    <row r="9" customFormat="false" ht="15" hidden="false" customHeight="false" outlineLevel="0" collapsed="false">
      <c r="A9" s="85"/>
      <c r="B9" s="542"/>
      <c r="C9" s="625"/>
      <c r="D9" s="626"/>
      <c r="E9" s="626"/>
      <c r="F9" s="244"/>
      <c r="G9" s="244"/>
      <c r="H9" s="625"/>
      <c r="I9" s="244"/>
      <c r="J9" s="244"/>
      <c r="K9" s="244"/>
      <c r="L9" s="85"/>
      <c r="M9" s="85"/>
      <c r="N9" s="151"/>
      <c r="O9" s="625"/>
      <c r="P9" s="626"/>
      <c r="Q9" s="626"/>
      <c r="R9" s="244"/>
      <c r="S9" s="244"/>
      <c r="T9" s="625"/>
      <c r="U9" s="244"/>
      <c r="V9" s="244"/>
      <c r="W9" s="244"/>
      <c r="X9" s="85"/>
      <c r="Y9" s="85" t="n">
        <v>73</v>
      </c>
      <c r="Z9" s="554" t="s">
        <v>79</v>
      </c>
      <c r="AA9" s="555" t="str">
        <f aca="false">+MID(INDEX(WORLDCUP!$AA$101:$AA$147,MATCH(Y9,WORLDCUP!$Z$101:$Z$147,0)),1,3)</f>
        <v>2A</v>
      </c>
      <c r="AB9" s="556" t="str">
        <f aca="false">+IF(ISBLANK(INDEX(WORLDCUP!$AC$101:$AC$147,MATCH(Y9,WORLDCUP!$Z$101:$Z$147,0))),"",INDEX(WORLDCUP!$AC$101:$AC$147,MATCH(Y9,WORLDCUP!$Z$101:$Z$147,0)))</f>
        <v/>
      </c>
      <c r="AC9" s="627" t="str">
        <f aca="false">+IF(ISBLANK(INDEX(WORLDCUP!$AB$101:$AB$147,MATCH(Y9,WORLDCUP!$Z$101:$Z$147,0))),"","( "&amp;INDEX(WORLDCUP!$AB$101:$AB$147,MATCH(Y9,WORLDCUP!$Z$101:$Z$147,0))&amp;" )")</f>
        <v/>
      </c>
      <c r="AD9" s="50"/>
      <c r="AE9" s="558"/>
      <c r="AF9" s="558"/>
      <c r="AG9" s="604"/>
      <c r="AH9" s="85"/>
      <c r="AI9" s="588"/>
      <c r="AJ9" s="588"/>
      <c r="AK9" s="628"/>
      <c r="AL9" s="471"/>
      <c r="AM9" s="560"/>
      <c r="AN9" s="560"/>
      <c r="AO9" s="560"/>
      <c r="AP9" s="85"/>
      <c r="AQ9" s="589"/>
      <c r="AR9" s="589"/>
      <c r="AS9" s="589"/>
      <c r="AT9" s="85"/>
      <c r="AU9" s="562"/>
      <c r="AV9" s="562"/>
      <c r="AW9" s="562"/>
      <c r="AX9" s="85"/>
      <c r="AY9" s="244"/>
      <c r="AZ9" s="244"/>
      <c r="BA9" s="244"/>
      <c r="BB9" s="244"/>
      <c r="BC9" s="244"/>
      <c r="BD9" s="244"/>
      <c r="BE9" s="244"/>
      <c r="BG9" s="591" t="str">
        <f aca="false">Horarios!Q8</f>
        <v>Austria</v>
      </c>
      <c r="BH9" s="592" t="n">
        <f aca="false">1-SUM(BI9:BO9)</f>
        <v>1</v>
      </c>
      <c r="BI9" s="592" t="n">
        <f aca="false">COUNTIF(ADMIN!$M$130:$M$161,Fixture!BG9)-BJ9-BK9-BL9-BM9-BN9-BO9</f>
        <v>0</v>
      </c>
      <c r="BJ9" s="593" t="n">
        <f aca="false">COUNTIF(ADMIN!$M$182:$M$197,Fixture!BG9)-BK9-BL9-BM9-BN9-BO9</f>
        <v>0</v>
      </c>
      <c r="BK9" s="594" t="n">
        <f aca="false">COUNTIF(ADMIN!$M$210:$M$217,Fixture!BG9)-BL9-BM9-BN9-BO9</f>
        <v>0</v>
      </c>
      <c r="BL9" s="594" t="n">
        <f aca="false">COUNTIF(ADMIN!$M$226:$M$229,BG9)-BM9-BN9-BO9</f>
        <v>0</v>
      </c>
      <c r="BM9" s="592" t="n">
        <f aca="false">COUNTIF(ADMIN!$M$252,Fixture!BG9)</f>
        <v>0</v>
      </c>
      <c r="BN9" s="592" t="n">
        <f aca="false">COUNTIF(ADMIN!$M$251,Fixture!BG9)</f>
        <v>0</v>
      </c>
      <c r="BO9" s="595" t="n">
        <f aca="false">COUNTIF(ADMIN!$M$250,Fixture!BG9)</f>
        <v>0</v>
      </c>
    </row>
    <row r="10" customFormat="false" ht="15" hidden="false" customHeight="false" outlineLevel="0" collapsed="false">
      <c r="A10" s="85"/>
      <c r="B10" s="542"/>
      <c r="C10" s="625"/>
      <c r="D10" s="626"/>
      <c r="E10" s="626"/>
      <c r="F10" s="244"/>
      <c r="G10" s="244"/>
      <c r="H10" s="625"/>
      <c r="I10" s="244"/>
      <c r="J10" s="244"/>
      <c r="K10" s="244"/>
      <c r="L10" s="85"/>
      <c r="M10" s="85"/>
      <c r="N10" s="151"/>
      <c r="O10" s="625"/>
      <c r="P10" s="626"/>
      <c r="Q10" s="626"/>
      <c r="R10" s="244"/>
      <c r="S10" s="244"/>
      <c r="T10" s="625"/>
      <c r="U10" s="244"/>
      <c r="V10" s="244"/>
      <c r="W10" s="244"/>
      <c r="X10" s="85"/>
      <c r="Y10" s="85" t="n">
        <v>73</v>
      </c>
      <c r="Z10" s="554" t="s">
        <v>83</v>
      </c>
      <c r="AA10" s="555" t="str">
        <f aca="false">+MID(INDEX(WORLDCUP!$AF$101:$AF$147,MATCH(Y10,WORLDCUP!$Z$101:$Z$147,0)),1,3)</f>
        <v>2B</v>
      </c>
      <c r="AB10" s="582" t="str">
        <f aca="false">+IF(ISBLANK(INDEX(WORLDCUP!$AD$101:$AD$147,MATCH(Y10,WORLDCUP!$Z$101:$Z$147,0))),"",INDEX(WORLDCUP!$AD$101:$AD$147,MATCH(Y10,WORLDCUP!$Z$101:$Z$147,0)))</f>
        <v/>
      </c>
      <c r="AC10" s="583" t="str">
        <f aca="false">+IF(ISBLANK(INDEX(WORLDCUP!$AE$101:$AE$147,MATCH(Y10,WORLDCUP!$Z$101:$Z$147,0))),"","( "&amp;INDEX(WORLDCUP!$AE$101:$AE$147,MATCH(Y10,WORLDCUP!$Z$101:$Z$147,0))&amp;" )")</f>
        <v/>
      </c>
      <c r="AD10" s="629" t="n">
        <v>90</v>
      </c>
      <c r="AE10" s="585" t="str">
        <f aca="false">+MID(INDEX(WORLDCUP!$AA$101:$AA$147,MATCH(AD10,WORLDCUP!$Z$101:$Z$147,0)),1,3)</f>
        <v>W73</v>
      </c>
      <c r="AF10" s="586" t="str">
        <f aca="false">+IF(ISBLANK(INDEX(WORLDCUP!$AC$101:$AC$147,MATCH(AD10,WORLDCUP!$Z$101:$Z$147,0))),"",INDEX(WORLDCUP!$AC$101:$AC$147,MATCH(AD10,WORLDCUP!$Z$101:$Z$147,0)))</f>
        <v/>
      </c>
      <c r="AG10" s="630" t="str">
        <f aca="false">+IF(ISBLANK(INDEX(WORLDCUP!$AB$101:$AB$147,MATCH(AD10,WORLDCUP!$Z$101:$Z$147,0))),"","( "&amp;INDEX(WORLDCUP!$AB$101:$AB$147,MATCH(AD10,WORLDCUP!$Z$101:$Z$147,0))&amp;" )")</f>
        <v/>
      </c>
      <c r="AH10" s="85"/>
      <c r="AI10" s="588"/>
      <c r="AJ10" s="588"/>
      <c r="AK10" s="628"/>
      <c r="AL10" s="471"/>
      <c r="AM10" s="560"/>
      <c r="AN10" s="560"/>
      <c r="AO10" s="560"/>
      <c r="AP10" s="85"/>
      <c r="AQ10" s="589"/>
      <c r="AR10" s="589"/>
      <c r="AS10" s="589"/>
      <c r="AT10" s="85"/>
      <c r="AU10" s="562"/>
      <c r="AV10" s="562"/>
      <c r="AW10" s="562"/>
      <c r="AX10" s="85"/>
      <c r="AY10" s="244"/>
      <c r="AZ10" s="151"/>
      <c r="BA10" s="151"/>
      <c r="BB10" s="49"/>
      <c r="BC10" s="625"/>
      <c r="BD10" s="626"/>
      <c r="BE10" s="626"/>
      <c r="BF10" s="631"/>
      <c r="BG10" s="591" t="str">
        <f aca="false">Horarios!Q9</f>
        <v>Bélgica</v>
      </c>
      <c r="BH10" s="592" t="n">
        <f aca="false">1-SUM(BI10:BO10)</f>
        <v>1</v>
      </c>
      <c r="BI10" s="592" t="n">
        <f aca="false">COUNTIF(ADMIN!$M$130:$M$161,Fixture!BG10)-BJ10-BK10-BL10-BM10-BN10-BO10</f>
        <v>0</v>
      </c>
      <c r="BJ10" s="593" t="n">
        <f aca="false">COUNTIF(ADMIN!$M$182:$M$197,Fixture!BG10)-BK10-BL10-BM10-BN10-BO10</f>
        <v>0</v>
      </c>
      <c r="BK10" s="594" t="n">
        <f aca="false">COUNTIF(ADMIN!$M$210:$M$217,Fixture!BG10)-BL10-BM10-BN10-BO10</f>
        <v>0</v>
      </c>
      <c r="BL10" s="594" t="n">
        <f aca="false">COUNTIF(ADMIN!$M$226:$M$229,BG10)-BM10-BN10-BO10</f>
        <v>0</v>
      </c>
      <c r="BM10" s="592" t="n">
        <f aca="false">COUNTIF(ADMIN!$M$252,Fixture!BG10)</f>
        <v>0</v>
      </c>
      <c r="BN10" s="592" t="n">
        <f aca="false">COUNTIF(ADMIN!$M$251,Fixture!BG10)</f>
        <v>0</v>
      </c>
      <c r="BO10" s="595" t="n">
        <f aca="false">COUNTIF(ADMIN!$M$250,Fixture!BG10)</f>
        <v>0</v>
      </c>
    </row>
    <row r="11" customFormat="false" ht="15" hidden="false" customHeight="false" outlineLevel="0" collapsed="false">
      <c r="A11" s="85" t="n">
        <v>3</v>
      </c>
      <c r="B11" s="632" t="s">
        <v>84</v>
      </c>
      <c r="C11" s="546" t="str">
        <f aca="false">+MID(INDEX(WORLDCUP!$AA$4:$AA$147,MATCH(A11,WORLDCUP!$AH$4:$AH$147,0)),1,3)</f>
        <v>Can</v>
      </c>
      <c r="D11" s="547" t="n">
        <f aca="false">IF(ISBLANK(INDEX(WORLDCUP!$AC$4:$AC$147,MATCH(A11,WORLDCUP!$AH$4:$AH$147,0))),"",INDEX(WORLDCUP!$AC$4:$AC$147,MATCH(A11,WORLDCUP!$AH$4:$AH$147,0)))</f>
        <v>1</v>
      </c>
      <c r="E11" s="547" t="n">
        <f aca="false">IF(ISBLANK(INDEX(WORLDCUP!$AD$4:$AD$147,MATCH(A11,WORLDCUP!$AH$4:$AH$147,0))),"",INDEX(WORLDCUP!$AD$4:$AD$147,MATCH(A11,WORLDCUP!$AH$4:$AH$147,0)))</f>
        <v>1</v>
      </c>
      <c r="F11" s="548" t="str">
        <f aca="false">+MID(INDEX(WORLDCUP!$AF$4:$AF$147,MATCH(A11,WORLDCUP!$AH$4:$AH$147,0)),1,3)</f>
        <v>Bos</v>
      </c>
      <c r="G11" s="549"/>
      <c r="H11" s="550" t="str">
        <f aca="false">+H3</f>
        <v>Sel</v>
      </c>
      <c r="I11" s="551" t="str">
        <f aca="false">+I3</f>
        <v>Pts</v>
      </c>
      <c r="J11" s="551" t="str">
        <f aca="false">+J3</f>
        <v>DG</v>
      </c>
      <c r="K11" s="552" t="str">
        <f aca="false">+K3</f>
        <v>GF-GC</v>
      </c>
      <c r="L11" s="85"/>
      <c r="M11" s="85" t="n">
        <v>14</v>
      </c>
      <c r="N11" s="633" t="s">
        <v>133</v>
      </c>
      <c r="O11" s="546" t="str">
        <f aca="false">+MID(INDEX(WORLDCUP!$AA$4:$AA$147,MATCH(M11,WORLDCUP!$AH$4:$AH$147,0)),1,3)</f>
        <v>Esp</v>
      </c>
      <c r="P11" s="547" t="n">
        <f aca="false">IF(ISBLANK(INDEX(WORLDCUP!$AC$4:$AC$147,MATCH(M11,WORLDCUP!$AH$4:$AH$147,0))),"",INDEX(WORLDCUP!$AC$4:$AC$147,MATCH(M11,WORLDCUP!$AH$4:$AH$147,0)))</f>
        <v>0</v>
      </c>
      <c r="Q11" s="547" t="n">
        <f aca="false">IF(ISBLANK(INDEX(WORLDCUP!$AD$4:$AD$147,MATCH(M11,WORLDCUP!$AH$4:$AH$147,0))),"",INDEX(WORLDCUP!$AD$4:$AD$147,MATCH(M11,WORLDCUP!$AH$4:$AH$147,0)))</f>
        <v>0</v>
      </c>
      <c r="R11" s="548" t="str">
        <f aca="false">+MID(INDEX(WORLDCUP!$AF$4:$AF$147,MATCH(M11,WORLDCUP!$AH$4:$AH$147,0)),1,3)</f>
        <v>Cab</v>
      </c>
      <c r="S11" s="549"/>
      <c r="T11" s="550" t="str">
        <f aca="false">+T3</f>
        <v>Sel</v>
      </c>
      <c r="U11" s="551" t="str">
        <f aca="false">+U3</f>
        <v>Pts</v>
      </c>
      <c r="V11" s="551" t="str">
        <f aca="false">+V3</f>
        <v>DG</v>
      </c>
      <c r="W11" s="552" t="str">
        <f aca="false">+W3</f>
        <v>GF-GC</v>
      </c>
      <c r="X11" s="85"/>
      <c r="Y11" s="85"/>
      <c r="Z11" s="554"/>
      <c r="AA11" s="598"/>
      <c r="AB11" s="598"/>
      <c r="AC11" s="599"/>
      <c r="AD11" s="85" t="n">
        <v>90</v>
      </c>
      <c r="AE11" s="585" t="str">
        <f aca="false">+MID(INDEX(WORLDCUP!$AF$101:$AF$147,MATCH(AD11,WORLDCUP!$Z$101:$Z$147,0)),1,3)</f>
        <v>W75</v>
      </c>
      <c r="AF11" s="586" t="str">
        <f aca="false">+IF(ISBLANK(INDEX(WORLDCUP!$AD$101:$AD$147,MATCH(AD11,WORLDCUP!$Z$101:$Z$147,0))),"",INDEX(WORLDCUP!$AD$101:$AD$147,MATCH(AD11,WORLDCUP!$Z$101:$Z$147,0)))</f>
        <v/>
      </c>
      <c r="AG11" s="603" t="str">
        <f aca="false">+IF(ISBLANK(INDEX(WORLDCUP!$AE$101:$AE$147,MATCH(AD11,WORLDCUP!$Z$101:$Z$147,0))),"","( "&amp;INDEX(WORLDCUP!$AE$101:$AE$147,MATCH(AD11,WORLDCUP!$Z$101:$Z$147,0))&amp;" )")</f>
        <v/>
      </c>
      <c r="AH11" s="85"/>
      <c r="AI11" s="588"/>
      <c r="AJ11" s="588"/>
      <c r="AK11" s="628"/>
      <c r="AL11" s="471"/>
      <c r="AM11" s="560"/>
      <c r="AN11" s="560"/>
      <c r="AO11" s="560"/>
      <c r="AP11" s="85"/>
      <c r="AQ11" s="589"/>
      <c r="AR11" s="589"/>
      <c r="AS11" s="589"/>
      <c r="AT11" s="85"/>
      <c r="AU11" s="562"/>
      <c r="AV11" s="562"/>
      <c r="AW11" s="562"/>
      <c r="AX11" s="85"/>
      <c r="AY11" s="244"/>
      <c r="AZ11" s="244"/>
      <c r="BA11" s="244"/>
      <c r="BB11" s="244"/>
      <c r="BC11" s="244"/>
      <c r="BD11" s="244"/>
      <c r="BE11" s="244"/>
      <c r="BG11" s="591" t="str">
        <f aca="false">Horarios!Q10</f>
        <v>Bosnia y Herzegovina</v>
      </c>
      <c r="BH11" s="592" t="n">
        <f aca="false">1-SUM(BI11:BO11)</f>
        <v>1</v>
      </c>
      <c r="BI11" s="592" t="n">
        <f aca="false">COUNTIF(ADMIN!$M$130:$M$161,Fixture!BG11)-BJ11-BK11-BL11-BM11-BN11-BO11</f>
        <v>0</v>
      </c>
      <c r="BJ11" s="593" t="n">
        <f aca="false">COUNTIF(ADMIN!$M$182:$M$197,Fixture!BG11)-BK11-BL11-BM11-BN11-BO11</f>
        <v>0</v>
      </c>
      <c r="BK11" s="594" t="n">
        <f aca="false">COUNTIF(ADMIN!$M$210:$M$217,Fixture!BG11)-BL11-BM11-BN11-BO11</f>
        <v>0</v>
      </c>
      <c r="BL11" s="594" t="n">
        <f aca="false">COUNTIF(ADMIN!$M$226:$M$229,BG11)-BM11-BN11-BO11</f>
        <v>0</v>
      </c>
      <c r="BM11" s="592" t="n">
        <f aca="false">COUNTIF(ADMIN!$M$252,Fixture!BG11)</f>
        <v>0</v>
      </c>
      <c r="BN11" s="592" t="n">
        <f aca="false">COUNTIF(ADMIN!$M$251,Fixture!BG11)</f>
        <v>0</v>
      </c>
      <c r="BO11" s="595" t="n">
        <f aca="false">COUNTIF(ADMIN!$M$250,Fixture!BG11)</f>
        <v>0</v>
      </c>
    </row>
    <row r="12" customFormat="false" ht="15" hidden="false" customHeight="false" outlineLevel="0" collapsed="false">
      <c r="A12" s="85" t="n">
        <v>8</v>
      </c>
      <c r="B12" s="634"/>
      <c r="C12" s="573" t="str">
        <f aca="false">+MID(INDEX(WORLDCUP!$AA$4:$AA$147,MATCH(A12,WORLDCUP!$AH$4:$AH$147,0)),1,3)</f>
        <v>Cat</v>
      </c>
      <c r="D12" s="574" t="n">
        <f aca="false">IF(ISBLANK(INDEX(WORLDCUP!$AC$4:$AC$147,MATCH(A12,WORLDCUP!$AH$4:$AH$147,0))),"",INDEX(WORLDCUP!$AC$4:$AC$147,MATCH(A12,WORLDCUP!$AH$4:$AH$147,0)))</f>
        <v>1</v>
      </c>
      <c r="E12" s="574" t="n">
        <f aca="false">IF(ISBLANK(INDEX(WORLDCUP!$AD$4:$AD$147,MATCH(A12,WORLDCUP!$AH$4:$AH$147,0))),"",INDEX(WORLDCUP!$AD$4:$AD$147,MATCH(A12,WORLDCUP!$AH$4:$AH$147,0)))</f>
        <v>1</v>
      </c>
      <c r="F12" s="575" t="str">
        <f aca="false">+MID(INDEX(WORLDCUP!$AF$4:$AF$147,MATCH(A12,WORLDCUP!$AH$4:$AH$147,0)),1,3)</f>
        <v>Sui</v>
      </c>
      <c r="G12" s="576" t="n">
        <v>1</v>
      </c>
      <c r="H12" s="577" t="str">
        <f aca="false">+MID(INDEX(WORLDCUP!$AL$6:$AL$97,MATCH(L12,WORLDCUP!$AI$6:$AI$97,0)),1,3)</f>
        <v>Can</v>
      </c>
      <c r="I12" s="578" t="n">
        <f aca="false">+INDEX(WORLDCUP!$AM$6:$AM$97,MATCH(L12,WORLDCUP!$AI$6:$AI$97,0))</f>
        <v>1</v>
      </c>
      <c r="J12" s="579" t="n">
        <f aca="false">+INDEX(WORLDCUP!$AT$6:$AT$97,MATCH(L12,WORLDCUP!$AI$6:$AI$97,0))</f>
        <v>0</v>
      </c>
      <c r="K12" s="580" t="str">
        <f aca="false">+INDEX(WORLDCUP!$AR$6:$AR$97,MATCH(L12,WORLDCUP!$AI$6:$AI$97,0))&amp;"-"&amp;INDEX(WORLDCUP!$AS$6:$AS$97,MATCH(L12,WORLDCUP!$AI$6:$AI$97,0))</f>
        <v>1-1</v>
      </c>
      <c r="L12" s="85" t="s">
        <v>82</v>
      </c>
      <c r="M12" s="85" t="n">
        <v>13</v>
      </c>
      <c r="N12" s="635"/>
      <c r="O12" s="573" t="str">
        <f aca="false">+MID(INDEX(WORLDCUP!$AA$4:$AA$147,MATCH(M12,WORLDCUP!$AH$4:$AH$147,0)),1,3)</f>
        <v>Ara</v>
      </c>
      <c r="P12" s="574" t="n">
        <f aca="false">IF(ISBLANK(INDEX(WORLDCUP!$AC$4:$AC$147,MATCH(M12,WORLDCUP!$AH$4:$AH$147,0))),"",INDEX(WORLDCUP!$AC$4:$AC$147,MATCH(M12,WORLDCUP!$AH$4:$AH$147,0)))</f>
        <v>1</v>
      </c>
      <c r="Q12" s="574" t="n">
        <f aca="false">IF(ISBLANK(INDEX(WORLDCUP!$AD$4:$AD$147,MATCH(M12,WORLDCUP!$AH$4:$AH$147,0))),"",INDEX(WORLDCUP!$AD$4:$AD$147,MATCH(M12,WORLDCUP!$AH$4:$AH$147,0)))</f>
        <v>1</v>
      </c>
      <c r="R12" s="575" t="str">
        <f aca="false">+MID(INDEX(WORLDCUP!$AF$4:$AF$147,MATCH(M12,WORLDCUP!$AH$4:$AH$147,0)),1,3)</f>
        <v>Uru</v>
      </c>
      <c r="S12" s="576" t="n">
        <v>1</v>
      </c>
      <c r="T12" s="577" t="str">
        <f aca="false">+MID(INDEX(WORLDCUP!$AL$6:$AL$97,MATCH(X12,WORLDCUP!$AI$6:$AI$97,0)),1,3)</f>
        <v>Ara</v>
      </c>
      <c r="U12" s="578" t="n">
        <f aca="false">+INDEX(WORLDCUP!$AM$6:$AM$97,MATCH(X12,WORLDCUP!$AI$6:$AI$97,0))</f>
        <v>1</v>
      </c>
      <c r="V12" s="579" t="n">
        <f aca="false">+INDEX(WORLDCUP!$AT$6:$AT$97,MATCH(X12,WORLDCUP!$AI$6:$AI$97,0))</f>
        <v>0</v>
      </c>
      <c r="W12" s="580" t="str">
        <f aca="false">+INDEX(WORLDCUP!$AR$6:$AR$97,MATCH(X12,WORLDCUP!$AI$6:$AI$97,0))&amp;"-"&amp;INDEX(WORLDCUP!$AS$6:$AS$97,MATCH(X12,WORLDCUP!$AI$6:$AI$97,0))</f>
        <v>1-1</v>
      </c>
      <c r="X12" s="85" t="s">
        <v>109</v>
      </c>
      <c r="Y12" s="85" t="n">
        <v>75</v>
      </c>
      <c r="Z12" s="554" t="s">
        <v>100</v>
      </c>
      <c r="AA12" s="555" t="str">
        <f aca="false">+MID(INDEX(WORLDCUP!$AA$101:$AA$147,MATCH(Y12,WORLDCUP!$Z$101:$Z$147,0)),1,3)</f>
        <v>1F</v>
      </c>
      <c r="AB12" s="601" t="str">
        <f aca="false">+IF(ISBLANK(INDEX(WORLDCUP!$AC$101:$AC$147,MATCH(Y12,WORLDCUP!$Z$101:$Z$147,0))),"",INDEX(WORLDCUP!$AC$101:$AC$147,MATCH(Y12,WORLDCUP!$Z$101:$Z$147,0)))</f>
        <v/>
      </c>
      <c r="AC12" s="636" t="str">
        <f aca="false">+IF(ISBLANK(INDEX(WORLDCUP!$AB$101:$AB$147,MATCH(Y12,WORLDCUP!$Z$101:$Z$147,0))),"","( "&amp;INDEX(WORLDCUP!$AB$101:$AB$147,MATCH(Y12,WORLDCUP!$Z$101:$Z$147,0))&amp;" )")</f>
        <v/>
      </c>
      <c r="AD12" s="85"/>
      <c r="AE12" s="558"/>
      <c r="AF12" s="558"/>
      <c r="AG12" s="558"/>
      <c r="AH12" s="85"/>
      <c r="AI12" s="588"/>
      <c r="AJ12" s="588"/>
      <c r="AK12" s="628"/>
      <c r="AL12" s="471"/>
      <c r="AM12" s="560"/>
      <c r="AN12" s="560"/>
      <c r="AO12" s="560"/>
      <c r="AP12" s="85"/>
      <c r="AQ12" s="589"/>
      <c r="AR12" s="589"/>
      <c r="AS12" s="589"/>
      <c r="AT12" s="85"/>
      <c r="AU12" s="562"/>
      <c r="AV12" s="562"/>
      <c r="AW12" s="562"/>
      <c r="AX12" s="85"/>
      <c r="AY12" s="244"/>
      <c r="AZ12" s="244"/>
      <c r="BA12" s="244"/>
      <c r="BB12" s="244"/>
      <c r="BC12" s="244"/>
      <c r="BD12" s="244"/>
      <c r="BE12" s="244"/>
      <c r="BG12" s="591" t="str">
        <f aca="false">Horarios!Q11</f>
        <v>Brasil</v>
      </c>
      <c r="BH12" s="592" t="n">
        <f aca="false">1-SUM(BI12:BO12)</f>
        <v>1</v>
      </c>
      <c r="BI12" s="592" t="n">
        <f aca="false">COUNTIF(ADMIN!$M$130:$M$161,Fixture!BG12)-BJ12-BK12-BL12-BM12-BN12-BO12</f>
        <v>0</v>
      </c>
      <c r="BJ12" s="593" t="n">
        <f aca="false">COUNTIF(ADMIN!$M$182:$M$197,Fixture!BG12)-BK12-BL12-BM12-BN12-BO12</f>
        <v>0</v>
      </c>
      <c r="BK12" s="594" t="n">
        <f aca="false">COUNTIF(ADMIN!$M$210:$M$217,Fixture!BG12)-BL12-BM12-BN12-BO12</f>
        <v>0</v>
      </c>
      <c r="BL12" s="594" t="n">
        <f aca="false">COUNTIF(ADMIN!$M$226:$M$229,BG12)-BM12-BN12-BO12</f>
        <v>0</v>
      </c>
      <c r="BM12" s="592" t="n">
        <f aca="false">COUNTIF(ADMIN!$M$252,Fixture!BG12)</f>
        <v>0</v>
      </c>
      <c r="BN12" s="592" t="n">
        <f aca="false">COUNTIF(ADMIN!$M$251,Fixture!BG12)</f>
        <v>0</v>
      </c>
      <c r="BO12" s="595" t="n">
        <f aca="false">COUNTIF(ADMIN!$M$250,Fixture!BG12)</f>
        <v>0</v>
      </c>
    </row>
    <row r="13" customFormat="false" ht="15" hidden="false" customHeight="false" outlineLevel="0" collapsed="false">
      <c r="A13" s="85" t="n">
        <v>26</v>
      </c>
      <c r="B13" s="634"/>
      <c r="C13" s="573" t="str">
        <f aca="false">+MID(INDEX(WORLDCUP!$AA$4:$AA$147,MATCH(A13,WORLDCUP!$AH$4:$AH$147,0)),1,3)</f>
        <v>Sui</v>
      </c>
      <c r="D13" s="574" t="str">
        <f aca="false">IF(ISBLANK(INDEX(WORLDCUP!$AC$4:$AC$147,MATCH(A13,WORLDCUP!$AH$4:$AH$147,0))),"",INDEX(WORLDCUP!$AC$4:$AC$147,MATCH(A13,WORLDCUP!$AH$4:$AH$147,0)))</f>
        <v/>
      </c>
      <c r="E13" s="574" t="str">
        <f aca="false">IF(ISBLANK(INDEX(WORLDCUP!$AD$4:$AD$147,MATCH(A13,WORLDCUP!$AH$4:$AH$147,0))),"",INDEX(WORLDCUP!$AD$4:$AD$147,MATCH(A13,WORLDCUP!$AH$4:$AH$147,0)))</f>
        <v/>
      </c>
      <c r="F13" s="575" t="str">
        <f aca="false">+MID(INDEX(WORLDCUP!$AF$4:$AF$147,MATCH(A13,WORLDCUP!$AH$4:$AH$147,0)),1,3)</f>
        <v>Bos</v>
      </c>
      <c r="G13" s="596" t="n">
        <v>2</v>
      </c>
      <c r="H13" s="597" t="str">
        <f aca="false">+MID(INDEX(WORLDCUP!$AL$6:$AL$97,MATCH(L13,WORLDCUP!$AI$6:$AI$97,0)),1,3)</f>
        <v>Bos</v>
      </c>
      <c r="I13" s="124" t="n">
        <f aca="false">+INDEX(WORLDCUP!$AM$6:$AM$97,MATCH(L13,WORLDCUP!$AI$6:$AI$97,0))</f>
        <v>1</v>
      </c>
      <c r="J13" s="125" t="n">
        <f aca="false">+INDEX(WORLDCUP!$AT$6:$AT$97,MATCH(L13,WORLDCUP!$AI$6:$AI$97,0))</f>
        <v>0</v>
      </c>
      <c r="K13" s="231" t="str">
        <f aca="false">+INDEX(WORLDCUP!$AR$6:$AR$97,MATCH(L13,WORLDCUP!$AI$6:$AI$97,0))&amp;"-"&amp;INDEX(WORLDCUP!$AS$6:$AS$97,MATCH(L13,WORLDCUP!$AI$6:$AI$97,0))</f>
        <v>1-1</v>
      </c>
      <c r="L13" s="85" t="s">
        <v>83</v>
      </c>
      <c r="M13" s="85" t="n">
        <v>38</v>
      </c>
      <c r="N13" s="635"/>
      <c r="O13" s="573" t="str">
        <f aca="false">+MID(INDEX(WORLDCUP!$AA$4:$AA$147,MATCH(M13,WORLDCUP!$AH$4:$AH$147,0)),1,3)</f>
        <v>Esp</v>
      </c>
      <c r="P13" s="574" t="str">
        <f aca="false">IF(ISBLANK(INDEX(WORLDCUP!$AC$4:$AC$147,MATCH(M13,WORLDCUP!$AH$4:$AH$147,0))),"",INDEX(WORLDCUP!$AC$4:$AC$147,MATCH(M13,WORLDCUP!$AH$4:$AH$147,0)))</f>
        <v/>
      </c>
      <c r="Q13" s="574" t="str">
        <f aca="false">IF(ISBLANK(INDEX(WORLDCUP!$AD$4:$AD$147,MATCH(M13,WORLDCUP!$AH$4:$AH$147,0))),"",INDEX(WORLDCUP!$AD$4:$AD$147,MATCH(M13,WORLDCUP!$AH$4:$AH$147,0)))</f>
        <v/>
      </c>
      <c r="R13" s="575" t="str">
        <f aca="false">+MID(INDEX(WORLDCUP!$AF$4:$AF$147,MATCH(M13,WORLDCUP!$AH$4:$AH$147,0)),1,3)</f>
        <v>Ara</v>
      </c>
      <c r="S13" s="596" t="n">
        <v>2</v>
      </c>
      <c r="T13" s="597" t="str">
        <f aca="false">+MID(INDEX(WORLDCUP!$AL$6:$AL$97,MATCH(X13,WORLDCUP!$AI$6:$AI$97,0)),1,3)</f>
        <v>Uru</v>
      </c>
      <c r="U13" s="124" t="n">
        <f aca="false">+INDEX(WORLDCUP!$AM$6:$AM$97,MATCH(X13,WORLDCUP!$AI$6:$AI$97,0))</f>
        <v>1</v>
      </c>
      <c r="V13" s="125" t="n">
        <f aca="false">+INDEX(WORLDCUP!$AT$6:$AT$97,MATCH(X13,WORLDCUP!$AI$6:$AI$97,0))</f>
        <v>0</v>
      </c>
      <c r="W13" s="231" t="str">
        <f aca="false">+INDEX(WORLDCUP!$AR$6:$AR$97,MATCH(X13,WORLDCUP!$AI$6:$AI$97,0))&amp;"-"&amp;INDEX(WORLDCUP!$AS$6:$AS$97,MATCH(X13,WORLDCUP!$AI$6:$AI$97,0))</f>
        <v>1-1</v>
      </c>
      <c r="X13" s="85" t="s">
        <v>110</v>
      </c>
      <c r="Y13" s="85" t="n">
        <v>75</v>
      </c>
      <c r="Z13" s="554" t="s">
        <v>88</v>
      </c>
      <c r="AA13" s="609" t="str">
        <f aca="false">+MID(INDEX(WORLDCUP!$AF$101:$AF$147,MATCH(Y13,WORLDCUP!$Z$101:$Z$147,0)),1,3)</f>
        <v>2C</v>
      </c>
      <c r="AB13" s="610" t="str">
        <f aca="false">+IF(ISBLANK(INDEX(WORLDCUP!$AD$101:$AD$147,MATCH(Y13,WORLDCUP!$Z$101:$Z$147,0))),"",INDEX(WORLDCUP!$AD$101:$AD$147,MATCH(Y13,WORLDCUP!$Z$101:$Z$147,0)))</f>
        <v/>
      </c>
      <c r="AC13" s="637" t="str">
        <f aca="false">+IF(ISBLANK(INDEX(WORLDCUP!$AE$101:$AE$147,MATCH(Y13,WORLDCUP!$Z$101:$Z$147,0))),"","( "&amp;INDEX(WORLDCUP!$AE$101:$AE$147,MATCH(Y13,WORLDCUP!$Z$101:$Z$147,0))&amp;" )")</f>
        <v/>
      </c>
      <c r="AD13" s="85"/>
      <c r="AE13" s="558"/>
      <c r="AF13" s="558"/>
      <c r="AG13" s="558"/>
      <c r="AH13" s="85"/>
      <c r="AI13" s="588"/>
      <c r="AJ13" s="588"/>
      <c r="AK13" s="628"/>
      <c r="AL13" s="629" t="n">
        <v>101</v>
      </c>
      <c r="AM13" s="638" t="str">
        <f aca="false">+MID(INDEX(WORLDCUP!$AA$101:$AA$147,MATCH(AL13,WORLDCUP!$Z$101:$Z$147,0)),1,3)</f>
        <v>W97</v>
      </c>
      <c r="AN13" s="639" t="str">
        <f aca="false">+IF(ISBLANK(INDEX(WORLDCUP!$AC$101:$AC$147,MATCH(AL13,WORLDCUP!$Z$101:$Z$147,0))),"",INDEX(WORLDCUP!$AC$101:$AC$147,MATCH(AL13,WORLDCUP!$Z$101:$Z$147,0)))</f>
        <v/>
      </c>
      <c r="AO13" s="640" t="str">
        <f aca="false">+IF(ISBLANK(INDEX(WORLDCUP!$AB$101:$AB$147,MATCH(AL13,WORLDCUP!$Z$101:$Z$147,0))),"","( "&amp;INDEX(WORLDCUP!$AB$101:$AB$147,MATCH(AL13,WORLDCUP!$Z$101:$Z$147,0))&amp;" )")</f>
        <v/>
      </c>
      <c r="AP13" s="85"/>
      <c r="AQ13" s="589"/>
      <c r="AR13" s="589"/>
      <c r="AS13" s="589"/>
      <c r="AT13" s="85"/>
      <c r="AU13" s="562"/>
      <c r="AV13" s="562"/>
      <c r="AW13" s="562"/>
      <c r="AX13" s="85"/>
      <c r="AY13" s="244"/>
      <c r="AZ13" s="244"/>
      <c r="BA13" s="244"/>
      <c r="BB13" s="244"/>
      <c r="BC13" s="244"/>
      <c r="BD13" s="244"/>
      <c r="BE13" s="244"/>
      <c r="BG13" s="591" t="str">
        <f aca="false">Horarios!Q12</f>
        <v>Cabo Verde</v>
      </c>
      <c r="BH13" s="592" t="n">
        <f aca="false">1-SUM(BI13:BO13)</f>
        <v>1</v>
      </c>
      <c r="BI13" s="592" t="n">
        <f aca="false">COUNTIF(ADMIN!$M$130:$M$161,Fixture!BG13)-BJ13-BK13-BL13-BM13-BN13-BO13</f>
        <v>0</v>
      </c>
      <c r="BJ13" s="593" t="n">
        <f aca="false">COUNTIF(ADMIN!$M$182:$M$197,Fixture!BG13)-BK13-BL13-BM13-BN13-BO13</f>
        <v>0</v>
      </c>
      <c r="BK13" s="594" t="n">
        <f aca="false">COUNTIF(ADMIN!$M$210:$M$217,Fixture!BG13)-BL13-BM13-BN13-BO13</f>
        <v>0</v>
      </c>
      <c r="BL13" s="594" t="n">
        <f aca="false">COUNTIF(ADMIN!$M$226:$M$229,BG13)-BM13-BN13-BO13</f>
        <v>0</v>
      </c>
      <c r="BM13" s="592" t="n">
        <f aca="false">COUNTIF(ADMIN!$M$252,Fixture!BG13)</f>
        <v>0</v>
      </c>
      <c r="BN13" s="592" t="n">
        <f aca="false">COUNTIF(ADMIN!$M$251,Fixture!BG13)</f>
        <v>0</v>
      </c>
      <c r="BO13" s="595" t="n">
        <f aca="false">COUNTIF(ADMIN!$M$250,Fixture!BG13)</f>
        <v>0</v>
      </c>
    </row>
    <row r="14" customFormat="false" ht="15" hidden="false" customHeight="false" outlineLevel="0" collapsed="false">
      <c r="A14" s="85" t="n">
        <v>27</v>
      </c>
      <c r="B14" s="634"/>
      <c r="C14" s="573" t="str">
        <f aca="false">+MID(INDEX(WORLDCUP!$AA$4:$AA$147,MATCH(A14,WORLDCUP!$AH$4:$AH$147,0)),1,3)</f>
        <v>Can</v>
      </c>
      <c r="D14" s="574" t="str">
        <f aca="false">IF(ISBLANK(INDEX(WORLDCUP!$AC$4:$AC$147,MATCH(A14,WORLDCUP!$AH$4:$AH$147,0))),"",INDEX(WORLDCUP!$AC$4:$AC$147,MATCH(A14,WORLDCUP!$AH$4:$AH$147,0)))</f>
        <v/>
      </c>
      <c r="E14" s="574" t="str">
        <f aca="false">IF(ISBLANK(INDEX(WORLDCUP!$AD$4:$AD$147,MATCH(A14,WORLDCUP!$AH$4:$AH$147,0))),"",INDEX(WORLDCUP!$AD$4:$AD$147,MATCH(A14,WORLDCUP!$AH$4:$AH$147,0)))</f>
        <v/>
      </c>
      <c r="F14" s="575" t="str">
        <f aca="false">+MID(INDEX(WORLDCUP!$AF$4:$AF$147,MATCH(A14,WORLDCUP!$AH$4:$AH$147,0)),1,3)</f>
        <v>Cat</v>
      </c>
      <c r="G14" s="596" t="n">
        <v>3</v>
      </c>
      <c r="H14" s="597" t="str">
        <f aca="false">+MID(INDEX(WORLDCUP!$AL$6:$AL$97,MATCH(L14,WORLDCUP!$AI$6:$AI$97,0)),1,3)</f>
        <v>Cat</v>
      </c>
      <c r="I14" s="124" t="n">
        <f aca="false">+INDEX(WORLDCUP!$AM$6:$AM$97,MATCH(L14,WORLDCUP!$AI$6:$AI$97,0))</f>
        <v>1</v>
      </c>
      <c r="J14" s="125" t="n">
        <f aca="false">+INDEX(WORLDCUP!$AT$6:$AT$97,MATCH(L14,WORLDCUP!$AI$6:$AI$97,0))</f>
        <v>0</v>
      </c>
      <c r="K14" s="231" t="str">
        <f aca="false">+INDEX(WORLDCUP!$AR$6:$AR$97,MATCH(L14,WORLDCUP!$AI$6:$AI$97,0))&amp;"-"&amp;INDEX(WORLDCUP!$AS$6:$AS$97,MATCH(L14,WORLDCUP!$AI$6:$AI$97,0))</f>
        <v>1-1</v>
      </c>
      <c r="L14" s="85" t="s">
        <v>85</v>
      </c>
      <c r="M14" s="85" t="n">
        <v>37</v>
      </c>
      <c r="N14" s="635"/>
      <c r="O14" s="573" t="str">
        <f aca="false">+MID(INDEX(WORLDCUP!$AA$4:$AA$147,MATCH(M14,WORLDCUP!$AH$4:$AH$147,0)),1,3)</f>
        <v>Uru</v>
      </c>
      <c r="P14" s="574" t="str">
        <f aca="false">IF(ISBLANK(INDEX(WORLDCUP!$AC$4:$AC$147,MATCH(M14,WORLDCUP!$AH$4:$AH$147,0))),"",INDEX(WORLDCUP!$AC$4:$AC$147,MATCH(M14,WORLDCUP!$AH$4:$AH$147,0)))</f>
        <v/>
      </c>
      <c r="Q14" s="574" t="str">
        <f aca="false">IF(ISBLANK(INDEX(WORLDCUP!$AD$4:$AD$147,MATCH(M14,WORLDCUP!$AH$4:$AH$147,0))),"",INDEX(WORLDCUP!$AD$4:$AD$147,MATCH(M14,WORLDCUP!$AH$4:$AH$147,0)))</f>
        <v/>
      </c>
      <c r="R14" s="575" t="str">
        <f aca="false">+MID(INDEX(WORLDCUP!$AF$4:$AF$147,MATCH(M14,WORLDCUP!$AH$4:$AH$147,0)),1,3)</f>
        <v>Cab</v>
      </c>
      <c r="S14" s="596" t="n">
        <v>3</v>
      </c>
      <c r="T14" s="597" t="str">
        <f aca="false">+MID(INDEX(WORLDCUP!$AL$6:$AL$97,MATCH(X14,WORLDCUP!$AI$6:$AI$97,0)),1,3)</f>
        <v>Esp</v>
      </c>
      <c r="U14" s="124" t="n">
        <f aca="false">+INDEX(WORLDCUP!$AM$6:$AM$97,MATCH(X14,WORLDCUP!$AI$6:$AI$97,0))</f>
        <v>1</v>
      </c>
      <c r="V14" s="125" t="n">
        <f aca="false">+INDEX(WORLDCUP!$AT$6:$AT$97,MATCH(X14,WORLDCUP!$AI$6:$AI$97,0))</f>
        <v>0</v>
      </c>
      <c r="W14" s="231" t="str">
        <f aca="false">+INDEX(WORLDCUP!$AR$6:$AR$97,MATCH(X14,WORLDCUP!$AI$6:$AI$97,0))&amp;"-"&amp;INDEX(WORLDCUP!$AS$6:$AS$97,MATCH(X14,WORLDCUP!$AI$6:$AI$97,0))</f>
        <v>0-0</v>
      </c>
      <c r="X14" s="85" t="s">
        <v>112</v>
      </c>
      <c r="Y14" s="85"/>
      <c r="Z14" s="554"/>
      <c r="AA14" s="623"/>
      <c r="AB14" s="623"/>
      <c r="AC14" s="623"/>
      <c r="AD14" s="85"/>
      <c r="AE14" s="558"/>
      <c r="AF14" s="558"/>
      <c r="AG14" s="558"/>
      <c r="AH14" s="85"/>
      <c r="AI14" s="588"/>
      <c r="AJ14" s="588"/>
      <c r="AK14" s="628"/>
      <c r="AL14" s="85" t="n">
        <v>101</v>
      </c>
      <c r="AM14" s="638" t="str">
        <f aca="false">+MID(INDEX(WORLDCUP!$AF$101:$AF$147,MATCH(AL14,WORLDCUP!$Z$101:$Z$147,0)),1,3)</f>
        <v>W98</v>
      </c>
      <c r="AN14" s="639" t="str">
        <f aca="false">+IF(ISBLANK(INDEX(WORLDCUP!$AD$101:$AD$147,MATCH(AL14,WORLDCUP!$Z$101:$Z$147,0))),"",INDEX(WORLDCUP!$AD$101:$AD$147,MATCH(AL14,WORLDCUP!$Z$101:$Z$147,0)))</f>
        <v/>
      </c>
      <c r="AO14" s="641" t="str">
        <f aca="false">+IF(ISBLANK(INDEX(WORLDCUP!$AE$101:$AE$147,MATCH(AL14,WORLDCUP!$Z$101:$Z$147,0))),"","( "&amp;INDEX(WORLDCUP!$AE$101:$AE$147,MATCH(AL14,WORLDCUP!$Z$101:$Z$147,0))&amp;" )")</f>
        <v/>
      </c>
      <c r="AP14" s="85"/>
      <c r="AQ14" s="589"/>
      <c r="AR14" s="589"/>
      <c r="AS14" s="589"/>
      <c r="AT14" s="85"/>
      <c r="AU14" s="562"/>
      <c r="AV14" s="562"/>
      <c r="AW14" s="562"/>
      <c r="AX14" s="85"/>
      <c r="AY14" s="244"/>
      <c r="AZ14" s="244"/>
      <c r="BA14" s="244"/>
      <c r="BB14" s="244"/>
      <c r="BC14" s="244"/>
      <c r="BD14" s="244"/>
      <c r="BE14" s="244"/>
      <c r="BG14" s="591" t="str">
        <f aca="false">Horarios!Q13</f>
        <v>Canadá</v>
      </c>
      <c r="BH14" s="592" t="n">
        <f aca="false">1-SUM(BI14:BO14)</f>
        <v>1</v>
      </c>
      <c r="BI14" s="592" t="n">
        <f aca="false">COUNTIF(ADMIN!$M$130:$M$161,Fixture!BG14)-BJ14-BK14-BL14-BM14-BN14-BO14</f>
        <v>0</v>
      </c>
      <c r="BJ14" s="593" t="n">
        <f aca="false">COUNTIF(ADMIN!$M$182:$M$197,Fixture!BG14)-BK14-BL14-BM14-BN14-BO14</f>
        <v>0</v>
      </c>
      <c r="BK14" s="594" t="n">
        <f aca="false">COUNTIF(ADMIN!$M$210:$M$217,Fixture!BG14)-BL14-BM14-BN14-BO14</f>
        <v>0</v>
      </c>
      <c r="BL14" s="594" t="n">
        <f aca="false">COUNTIF(ADMIN!$M$226:$M$229,BG14)-BM14-BN14-BO14</f>
        <v>0</v>
      </c>
      <c r="BM14" s="592" t="n">
        <f aca="false">COUNTIF(ADMIN!$M$252,Fixture!BG14)</f>
        <v>0</v>
      </c>
      <c r="BN14" s="592" t="n">
        <f aca="false">COUNTIF(ADMIN!$M$251,Fixture!BG14)</f>
        <v>0</v>
      </c>
      <c r="BO14" s="595" t="n">
        <f aca="false">COUNTIF(ADMIN!$M$250,Fixture!BG14)</f>
        <v>0</v>
      </c>
    </row>
    <row r="15" customFormat="false" ht="15" hidden="false" customHeight="false" outlineLevel="0" collapsed="false">
      <c r="A15" s="85" t="n">
        <v>51</v>
      </c>
      <c r="B15" s="634"/>
      <c r="C15" s="573" t="str">
        <f aca="false">+MID(INDEX(WORLDCUP!$AA$4:$AA$147,MATCH(A15,WORLDCUP!$AH$4:$AH$147,0)),1,3)</f>
        <v>Sui</v>
      </c>
      <c r="D15" s="574" t="str">
        <f aca="false">IF(ISBLANK(INDEX(WORLDCUP!$AC$4:$AC$147,MATCH(A15,WORLDCUP!$AH$4:$AH$147,0))),"",INDEX(WORLDCUP!$AC$4:$AC$147,MATCH(A15,WORLDCUP!$AH$4:$AH$147,0)))</f>
        <v/>
      </c>
      <c r="E15" s="574" t="str">
        <f aca="false">IF(ISBLANK(INDEX(WORLDCUP!$AD$4:$AD$147,MATCH(A15,WORLDCUP!$AH$4:$AH$147,0))),"",INDEX(WORLDCUP!$AD$4:$AD$147,MATCH(A15,WORLDCUP!$AH$4:$AH$147,0)))</f>
        <v/>
      </c>
      <c r="F15" s="575" t="str">
        <f aca="false">+MID(INDEX(WORLDCUP!$AF$4:$AF$147,MATCH(A15,WORLDCUP!$AH$4:$AH$147,0)),1,3)</f>
        <v>Can</v>
      </c>
      <c r="G15" s="596" t="n">
        <v>4</v>
      </c>
      <c r="H15" s="605" t="str">
        <f aca="false">+MID(INDEX(WORLDCUP!$AL$6:$AL$97,MATCH(L15,WORLDCUP!$AI$6:$AI$97,0)),1,3)</f>
        <v>Sui</v>
      </c>
      <c r="I15" s="606" t="n">
        <f aca="false">+INDEX(WORLDCUP!$AM$6:$AM$97,MATCH(L15,WORLDCUP!$AI$6:$AI$97,0))</f>
        <v>1</v>
      </c>
      <c r="J15" s="607" t="n">
        <f aca="false">+INDEX(WORLDCUP!$AT$6:$AT$97,MATCH(L15,WORLDCUP!$AI$6:$AI$97,0))</f>
        <v>0</v>
      </c>
      <c r="K15" s="608" t="str">
        <f aca="false">+INDEX(WORLDCUP!$AR$6:$AR$97,MATCH(L15,WORLDCUP!$AI$6:$AI$97,0))&amp;"-"&amp;INDEX(WORLDCUP!$AS$6:$AS$97,MATCH(L15,WORLDCUP!$AI$6:$AI$97,0))</f>
        <v>1-1</v>
      </c>
      <c r="L15" s="85" t="s">
        <v>86</v>
      </c>
      <c r="M15" s="85" t="n">
        <v>65</v>
      </c>
      <c r="N15" s="635"/>
      <c r="O15" s="573" t="str">
        <f aca="false">+MID(INDEX(WORLDCUP!$AA$4:$AA$147,MATCH(M15,WORLDCUP!$AH$4:$AH$147,0)),1,3)</f>
        <v>Cab</v>
      </c>
      <c r="P15" s="574" t="str">
        <f aca="false">IF(ISBLANK(INDEX(WORLDCUP!$AC$4:$AC$147,MATCH(M15,WORLDCUP!$AH$4:$AH$147,0))),"",INDEX(WORLDCUP!$AC$4:$AC$147,MATCH(M15,WORLDCUP!$AH$4:$AH$147,0)))</f>
        <v/>
      </c>
      <c r="Q15" s="574" t="str">
        <f aca="false">IF(ISBLANK(INDEX(WORLDCUP!$AD$4:$AD$147,MATCH(M15,WORLDCUP!$AH$4:$AH$147,0))),"",INDEX(WORLDCUP!$AD$4:$AD$147,MATCH(M15,WORLDCUP!$AH$4:$AH$147,0)))</f>
        <v/>
      </c>
      <c r="R15" s="575" t="str">
        <f aca="false">+MID(INDEX(WORLDCUP!$AF$4:$AF$147,MATCH(M15,WORLDCUP!$AH$4:$AH$147,0)),1,3)</f>
        <v>Ara</v>
      </c>
      <c r="S15" s="596" t="n">
        <v>4</v>
      </c>
      <c r="T15" s="605" t="str">
        <f aca="false">+MID(INDEX(WORLDCUP!$AL$6:$AL$97,MATCH(X15,WORLDCUP!$AI$6:$AI$97,0)),1,3)</f>
        <v>Cab</v>
      </c>
      <c r="U15" s="606" t="n">
        <f aca="false">+INDEX(WORLDCUP!$AM$6:$AM$97,MATCH(X15,WORLDCUP!$AI$6:$AI$97,0))</f>
        <v>1</v>
      </c>
      <c r="V15" s="607" t="n">
        <f aca="false">+INDEX(WORLDCUP!$AT$6:$AT$97,MATCH(X15,WORLDCUP!$AI$6:$AI$97,0))</f>
        <v>0</v>
      </c>
      <c r="W15" s="608" t="str">
        <f aca="false">+INDEX(WORLDCUP!$AR$6:$AR$97,MATCH(X15,WORLDCUP!$AI$6:$AI$97,0))&amp;"-"&amp;INDEX(WORLDCUP!$AS$6:$AS$97,MATCH(X15,WORLDCUP!$AI$6:$AI$97,0))</f>
        <v>0-0</v>
      </c>
      <c r="X15" s="85" t="s">
        <v>113</v>
      </c>
      <c r="Y15" s="85" t="n">
        <v>83</v>
      </c>
      <c r="Z15" s="554" t="s">
        <v>124</v>
      </c>
      <c r="AA15" s="555" t="str">
        <f aca="false">+MID(INDEX(WORLDCUP!$AA$101:$AA$147,MATCH(Y15,WORLDCUP!$Z$101:$Z$147,0)),1,3)</f>
        <v>2K</v>
      </c>
      <c r="AB15" s="556" t="str">
        <f aca="false">+IF(ISBLANK(INDEX(WORLDCUP!$AC$101:$AC$147,MATCH(Y15,WORLDCUP!$Z$101:$Z$147,0))),"",INDEX(WORLDCUP!$AC$101:$AC$147,MATCH(Y15,WORLDCUP!$Z$101:$Z$147,0)))</f>
        <v/>
      </c>
      <c r="AC15" s="627" t="str">
        <f aca="false">+IF(ISBLANK(INDEX(WORLDCUP!$AB$101:$AB$147,MATCH(Y15,WORLDCUP!$Z$101:$Z$147,0))),"","( "&amp;INDEX(WORLDCUP!$AB$101:$AB$147,MATCH(Y15,WORLDCUP!$Z$101:$Z$147,0))&amp;" )")</f>
        <v/>
      </c>
      <c r="AD15" s="50"/>
      <c r="AE15" s="558"/>
      <c r="AF15" s="558"/>
      <c r="AG15" s="558"/>
      <c r="AH15" s="85"/>
      <c r="AI15" s="588"/>
      <c r="AJ15" s="588"/>
      <c r="AK15" s="628"/>
      <c r="AL15" s="471"/>
      <c r="AM15" s="560"/>
      <c r="AN15" s="560"/>
      <c r="AO15" s="642"/>
      <c r="AP15" s="471"/>
      <c r="AQ15" s="589"/>
      <c r="AR15" s="589"/>
      <c r="AS15" s="589"/>
      <c r="AT15" s="85"/>
      <c r="AU15" s="562"/>
      <c r="AV15" s="562"/>
      <c r="AW15" s="562"/>
      <c r="AX15" s="85"/>
      <c r="AY15" s="244"/>
      <c r="AZ15" s="244"/>
      <c r="BA15" s="244"/>
      <c r="BB15" s="244"/>
      <c r="BC15" s="244"/>
      <c r="BD15" s="244"/>
      <c r="BE15" s="244"/>
      <c r="BG15" s="591" t="str">
        <f aca="false">Horarios!Q14</f>
        <v>Catar</v>
      </c>
      <c r="BH15" s="592" t="n">
        <f aca="false">1-SUM(BI15:BO15)</f>
        <v>1</v>
      </c>
      <c r="BI15" s="592" t="n">
        <f aca="false">COUNTIF(ADMIN!$M$130:$M$161,Fixture!BG15)-BJ15-BK15-BL15-BM15-BN15-BO15</f>
        <v>0</v>
      </c>
      <c r="BJ15" s="593" t="n">
        <f aca="false">COUNTIF(ADMIN!$M$182:$M$197,Fixture!BG15)-BK15-BL15-BM15-BN15-BO15</f>
        <v>0</v>
      </c>
      <c r="BK15" s="594" t="n">
        <f aca="false">COUNTIF(ADMIN!$M$210:$M$217,Fixture!BG15)-BL15-BM15-BN15-BO15</f>
        <v>0</v>
      </c>
      <c r="BL15" s="594" t="n">
        <f aca="false">COUNTIF(ADMIN!$M$226:$M$229,BG15)-BM15-BN15-BO15</f>
        <v>0</v>
      </c>
      <c r="BM15" s="592" t="n">
        <f aca="false">COUNTIF(ADMIN!$M$252,Fixture!BG15)</f>
        <v>0</v>
      </c>
      <c r="BN15" s="592" t="n">
        <f aca="false">COUNTIF(ADMIN!$M$251,Fixture!BG15)</f>
        <v>0</v>
      </c>
      <c r="BO15" s="595" t="n">
        <f aca="false">COUNTIF(ADMIN!$M$250,Fixture!BG15)</f>
        <v>0</v>
      </c>
    </row>
    <row r="16" customFormat="false" ht="15" hidden="false" customHeight="false" outlineLevel="0" collapsed="false">
      <c r="A16" s="85" t="n">
        <v>52</v>
      </c>
      <c r="B16" s="643"/>
      <c r="C16" s="616" t="str">
        <f aca="false">+MID(INDEX(WORLDCUP!$AA$4:$AA$147,MATCH(A16,WORLDCUP!$AH$4:$AH$147,0)),1,3)</f>
        <v>Bos</v>
      </c>
      <c r="D16" s="617" t="str">
        <f aca="false">IF(ISBLANK(INDEX(WORLDCUP!$AC$4:$AC$147,MATCH(A16,WORLDCUP!$AH$4:$AH$147,0))),"",INDEX(WORLDCUP!$AC$4:$AC$147,MATCH(A16,WORLDCUP!$AH$4:$AH$147,0)))</f>
        <v/>
      </c>
      <c r="E16" s="617" t="str">
        <f aca="false">IF(ISBLANK(INDEX(WORLDCUP!$AD$4:$AD$147,MATCH(A16,WORLDCUP!$AH$4:$AH$147,0))),"",INDEX(WORLDCUP!$AD$4:$AD$147,MATCH(A16,WORLDCUP!$AH$4:$AH$147,0)))</f>
        <v/>
      </c>
      <c r="F16" s="618" t="str">
        <f aca="false">+MID(INDEX(WORLDCUP!$AF$4:$AF$147,MATCH(A16,WORLDCUP!$AH$4:$AH$147,0)),1,3)</f>
        <v>Cat</v>
      </c>
      <c r="G16" s="619"/>
      <c r="H16" s="619"/>
      <c r="I16" s="620"/>
      <c r="J16" s="620"/>
      <c r="K16" s="621"/>
      <c r="L16" s="85"/>
      <c r="M16" s="85" t="n">
        <v>66</v>
      </c>
      <c r="N16" s="644"/>
      <c r="O16" s="616" t="str">
        <f aca="false">+MID(INDEX(WORLDCUP!$AA$4:$AA$147,MATCH(M16,WORLDCUP!$AH$4:$AH$147,0)),1,3)</f>
        <v>Uru</v>
      </c>
      <c r="P16" s="617" t="str">
        <f aca="false">IF(ISBLANK(INDEX(WORLDCUP!$AC$4:$AC$147,MATCH(M16,WORLDCUP!$AH$4:$AH$147,0))),"",INDEX(WORLDCUP!$AC$4:$AC$147,MATCH(M16,WORLDCUP!$AH$4:$AH$147,0)))</f>
        <v/>
      </c>
      <c r="Q16" s="617" t="str">
        <f aca="false">IF(ISBLANK(INDEX(WORLDCUP!$AD$4:$AD$147,MATCH(M16,WORLDCUP!$AH$4:$AH$147,0))),"",INDEX(WORLDCUP!$AD$4:$AD$147,MATCH(M16,WORLDCUP!$AH$4:$AH$147,0)))</f>
        <v/>
      </c>
      <c r="R16" s="618" t="str">
        <f aca="false">+MID(INDEX(WORLDCUP!$AF$4:$AF$147,MATCH(M16,WORLDCUP!$AH$4:$AH$147,0)),1,3)</f>
        <v>Esp</v>
      </c>
      <c r="S16" s="619"/>
      <c r="T16" s="619"/>
      <c r="U16" s="620"/>
      <c r="V16" s="620"/>
      <c r="W16" s="621"/>
      <c r="X16" s="85"/>
      <c r="Y16" s="85" t="n">
        <v>83</v>
      </c>
      <c r="Z16" s="554" t="s">
        <v>128</v>
      </c>
      <c r="AA16" s="555" t="str">
        <f aca="false">+MID(INDEX(WORLDCUP!$AF$101:$AF$147,MATCH(Y16,WORLDCUP!$Z$101:$Z$147,0)),1,3)</f>
        <v>2L</v>
      </c>
      <c r="AB16" s="582" t="str">
        <f aca="false">+IF(ISBLANK(INDEX(WORLDCUP!$AD$101:$AD$147,MATCH(Y16,WORLDCUP!$Z$101:$Z$147,0))),"",INDEX(WORLDCUP!$AD$101:$AD$147,MATCH(Y16,WORLDCUP!$Z$101:$Z$147,0)))</f>
        <v/>
      </c>
      <c r="AC16" s="583" t="str">
        <f aca="false">+IF(ISBLANK(INDEX(WORLDCUP!$AE$101:$AE$147,MATCH(Y16,WORLDCUP!$Z$101:$Z$147,0))),"","( "&amp;INDEX(WORLDCUP!$AE$101:$AE$147,MATCH(Y16,WORLDCUP!$Z$101:$Z$147,0))&amp;" )")</f>
        <v/>
      </c>
      <c r="AD16" s="584" t="n">
        <v>93</v>
      </c>
      <c r="AE16" s="585" t="str">
        <f aca="false">+MID(INDEX(WORLDCUP!$AA$101:$AA$147,MATCH(AD16,WORLDCUP!$Z$101:$Z$147,0)),1,3)</f>
        <v>W83</v>
      </c>
      <c r="AF16" s="586" t="str">
        <f aca="false">+IF(ISBLANK(INDEX(WORLDCUP!$AC$101:$AC$147,MATCH(AD16,WORLDCUP!$Z$101:$Z$147,0))),"",INDEX(WORLDCUP!$AC$101:$AC$147,MATCH(AD16,WORLDCUP!$Z$101:$Z$147,0)))</f>
        <v/>
      </c>
      <c r="AG16" s="587" t="str">
        <f aca="false">+IF(ISBLANK(INDEX(WORLDCUP!$AB$101:$AB$147,MATCH(AD16,WORLDCUP!$Z$101:$Z$147,0))),"","( "&amp;INDEX(WORLDCUP!$AB$101:$AB$147,MATCH(AD16,WORLDCUP!$Z$101:$Z$147,0))&amp;" )")</f>
        <v/>
      </c>
      <c r="AH16" s="85"/>
      <c r="AI16" s="588"/>
      <c r="AJ16" s="588"/>
      <c r="AK16" s="628"/>
      <c r="AL16" s="85"/>
      <c r="AM16" s="560"/>
      <c r="AN16" s="560"/>
      <c r="AO16" s="642"/>
      <c r="AP16" s="471"/>
      <c r="AQ16" s="589"/>
      <c r="AR16" s="589"/>
      <c r="AS16" s="589"/>
      <c r="AT16" s="85"/>
      <c r="AU16" s="562"/>
      <c r="AV16" s="562"/>
      <c r="AW16" s="562"/>
      <c r="AX16" s="85"/>
      <c r="AY16" s="244"/>
      <c r="AZ16" s="244"/>
      <c r="BA16" s="244"/>
      <c r="BB16" s="244"/>
      <c r="BC16" s="244"/>
      <c r="BD16" s="244"/>
      <c r="BE16" s="244"/>
      <c r="BG16" s="591" t="str">
        <f aca="false">Horarios!Q15</f>
        <v>Colombia</v>
      </c>
      <c r="BH16" s="592" t="n">
        <f aca="false">1-SUM(BI16:BO16)</f>
        <v>1</v>
      </c>
      <c r="BI16" s="592" t="n">
        <f aca="false">COUNTIF(ADMIN!$M$130:$M$161,Fixture!BG16)-BJ16-BK16-BL16-BM16-BN16-BO16</f>
        <v>0</v>
      </c>
      <c r="BJ16" s="593" t="n">
        <f aca="false">COUNTIF(ADMIN!$M$182:$M$197,Fixture!BG16)-BK16-BL16-BM16-BN16-BO16</f>
        <v>0</v>
      </c>
      <c r="BK16" s="594" t="n">
        <f aca="false">COUNTIF(ADMIN!$M$210:$M$217,Fixture!BG16)-BL16-BM16-BN16-BO16</f>
        <v>0</v>
      </c>
      <c r="BL16" s="594" t="n">
        <f aca="false">COUNTIF(ADMIN!$M$226:$M$229,BG16)-BM16-BN16-BO16</f>
        <v>0</v>
      </c>
      <c r="BM16" s="592" t="n">
        <f aca="false">COUNTIF(ADMIN!$M$252,Fixture!BG16)</f>
        <v>0</v>
      </c>
      <c r="BN16" s="592" t="n">
        <f aca="false">COUNTIF(ADMIN!$M$251,Fixture!BG16)</f>
        <v>0</v>
      </c>
      <c r="BO16" s="595" t="n">
        <f aca="false">COUNTIF(ADMIN!$M$250,Fixture!BG16)</f>
        <v>0</v>
      </c>
    </row>
    <row r="17" customFormat="false" ht="15" hidden="false" customHeight="false" outlineLevel="0" collapsed="false">
      <c r="A17" s="85"/>
      <c r="B17" s="542"/>
      <c r="C17" s="625"/>
      <c r="D17" s="626"/>
      <c r="E17" s="626"/>
      <c r="F17" s="244"/>
      <c r="G17" s="244"/>
      <c r="H17" s="625"/>
      <c r="I17" s="244"/>
      <c r="J17" s="244"/>
      <c r="K17" s="244"/>
      <c r="L17" s="85"/>
      <c r="M17" s="85"/>
      <c r="N17" s="151"/>
      <c r="O17" s="625"/>
      <c r="P17" s="626"/>
      <c r="Q17" s="626"/>
      <c r="R17" s="244"/>
      <c r="S17" s="244"/>
      <c r="T17" s="625"/>
      <c r="U17" s="244"/>
      <c r="V17" s="244"/>
      <c r="W17" s="244"/>
      <c r="X17" s="85"/>
      <c r="Y17" s="85"/>
      <c r="Z17" s="554"/>
      <c r="AA17" s="598"/>
      <c r="AB17" s="598"/>
      <c r="AC17" s="599"/>
      <c r="AD17" s="85" t="n">
        <v>93</v>
      </c>
      <c r="AE17" s="585" t="str">
        <f aca="false">+MID(INDEX(WORLDCUP!$AF$101:$AF$147,MATCH(AD17,WORLDCUP!$Z$101:$Z$147,0)),1,3)</f>
        <v>W84</v>
      </c>
      <c r="AF17" s="586" t="str">
        <f aca="false">+IF(ISBLANK(INDEX(WORLDCUP!$AD$101:$AD$147,MATCH(AD17,WORLDCUP!$Z$101:$Z$147,0))),"",INDEX(WORLDCUP!$AD$101:$AD$147,MATCH(AD17,WORLDCUP!$Z$101:$Z$147,0)))</f>
        <v/>
      </c>
      <c r="AG17" s="645" t="str">
        <f aca="false">+IF(ISBLANK(INDEX(WORLDCUP!$AE$101:$AE$147,MATCH(AD17,WORLDCUP!$Z$101:$Z$147,0))),"","( "&amp;INDEX(WORLDCUP!$AE$101:$AE$147,MATCH(AD17,WORLDCUP!$Z$101:$Z$147,0))&amp;" )")</f>
        <v/>
      </c>
      <c r="AH17" s="85"/>
      <c r="AI17" s="588"/>
      <c r="AJ17" s="588"/>
      <c r="AK17" s="628"/>
      <c r="AL17" s="85"/>
      <c r="AM17" s="560"/>
      <c r="AN17" s="560"/>
      <c r="AO17" s="642"/>
      <c r="AP17" s="471"/>
      <c r="AQ17" s="589"/>
      <c r="AR17" s="589"/>
      <c r="AS17" s="589"/>
      <c r="AT17" s="85"/>
      <c r="AU17" s="562"/>
      <c r="AV17" s="562"/>
      <c r="AW17" s="562"/>
      <c r="AX17" s="85"/>
      <c r="AY17" s="244"/>
      <c r="AZ17" s="244"/>
      <c r="BA17" s="244"/>
      <c r="BB17" s="244"/>
      <c r="BC17" s="244"/>
      <c r="BD17" s="244"/>
      <c r="BE17" s="244"/>
      <c r="BG17" s="591" t="str">
        <f aca="false">Horarios!Q16</f>
        <v>Corea del Sur</v>
      </c>
      <c r="BH17" s="592" t="n">
        <f aca="false">1-SUM(BI17:BO17)</f>
        <v>1</v>
      </c>
      <c r="BI17" s="592" t="n">
        <f aca="false">COUNTIF(ADMIN!$M$130:$M$161,Fixture!BG17)-BJ17-BK17-BL17-BM17-BN17-BO17</f>
        <v>0</v>
      </c>
      <c r="BJ17" s="593" t="n">
        <f aca="false">COUNTIF(ADMIN!$M$182:$M$197,Fixture!BG17)-BK17-BL17-BM17-BN17-BO17</f>
        <v>0</v>
      </c>
      <c r="BK17" s="594" t="n">
        <f aca="false">COUNTIF(ADMIN!$M$210:$M$217,Fixture!BG17)-BL17-BM17-BN17-BO17</f>
        <v>0</v>
      </c>
      <c r="BL17" s="594" t="n">
        <f aca="false">COUNTIF(ADMIN!$M$226:$M$229,BG17)-BM17-BN17-BO17</f>
        <v>0</v>
      </c>
      <c r="BM17" s="592" t="n">
        <f aca="false">COUNTIF(ADMIN!$M$252,Fixture!BG17)</f>
        <v>0</v>
      </c>
      <c r="BN17" s="592" t="n">
        <f aca="false">COUNTIF(ADMIN!$M$251,Fixture!BG17)</f>
        <v>0</v>
      </c>
      <c r="BO17" s="595" t="n">
        <f aca="false">COUNTIF(ADMIN!$M$250,Fixture!BG17)</f>
        <v>0</v>
      </c>
    </row>
    <row r="18" customFormat="false" ht="15" hidden="false" customHeight="false" outlineLevel="0" collapsed="false">
      <c r="A18" s="85"/>
      <c r="B18" s="542"/>
      <c r="C18" s="625"/>
      <c r="D18" s="626"/>
      <c r="E18" s="626"/>
      <c r="F18" s="244"/>
      <c r="G18" s="244"/>
      <c r="H18" s="625"/>
      <c r="I18" s="244"/>
      <c r="J18" s="244"/>
      <c r="K18" s="244"/>
      <c r="L18" s="85"/>
      <c r="M18" s="85"/>
      <c r="N18" s="151"/>
      <c r="O18" s="625"/>
      <c r="P18" s="626"/>
      <c r="Q18" s="626"/>
      <c r="R18" s="244"/>
      <c r="S18" s="244"/>
      <c r="T18" s="625"/>
      <c r="U18" s="244"/>
      <c r="V18" s="244"/>
      <c r="W18" s="244"/>
      <c r="X18" s="85"/>
      <c r="Y18" s="85" t="n">
        <v>84</v>
      </c>
      <c r="Z18" s="554" t="s">
        <v>109</v>
      </c>
      <c r="AA18" s="555" t="str">
        <f aca="false">+MID(INDEX(WORLDCUP!$AA$101:$AA$147,MATCH(Y18,WORLDCUP!$Z$101:$Z$147,0)),1,3)</f>
        <v>1H</v>
      </c>
      <c r="AB18" s="601" t="str">
        <f aca="false">+IF(ISBLANK(INDEX(WORLDCUP!$AC$101:$AC$147,MATCH(Y18,WORLDCUP!$Z$101:$Z$147,0))),"",INDEX(WORLDCUP!$AC$101:$AC$147,MATCH(Y18,WORLDCUP!$Z$101:$Z$147,0)))</f>
        <v/>
      </c>
      <c r="AC18" s="636" t="str">
        <f aca="false">+IF(ISBLANK(INDEX(WORLDCUP!$AB$101:$AB$147,MATCH(Y18,WORLDCUP!$Z$101:$Z$147,0))),"","( "&amp;INDEX(WORLDCUP!$AB$101:$AB$147,MATCH(Y18,WORLDCUP!$Z$101:$Z$147,0))&amp;" )")</f>
        <v/>
      </c>
      <c r="AD18" s="85"/>
      <c r="AE18" s="603"/>
      <c r="AF18" s="603"/>
      <c r="AG18" s="604"/>
      <c r="AH18" s="85"/>
      <c r="AI18" s="588"/>
      <c r="AJ18" s="588"/>
      <c r="AK18" s="628"/>
      <c r="AL18" s="85"/>
      <c r="AM18" s="560"/>
      <c r="AN18" s="560"/>
      <c r="AO18" s="642"/>
      <c r="AP18" s="471"/>
      <c r="AQ18" s="589"/>
      <c r="AR18" s="589"/>
      <c r="AS18" s="589"/>
      <c r="AT18" s="85"/>
      <c r="AU18" s="562"/>
      <c r="AV18" s="562"/>
      <c r="AW18" s="562"/>
      <c r="AX18" s="646" t="str">
        <f aca="false">Idiomas!D8</f>
        <v>XXIII Mundial USA/MEX/CAN 2026</v>
      </c>
      <c r="AY18" s="646"/>
      <c r="AZ18" s="646"/>
      <c r="BA18" s="646"/>
      <c r="BB18" s="646"/>
      <c r="BC18" s="646"/>
      <c r="BD18" s="646"/>
      <c r="BE18" s="646"/>
      <c r="BG18" s="591" t="str">
        <f aca="false">Horarios!Q17</f>
        <v>Costa de Marfil</v>
      </c>
      <c r="BH18" s="592" t="n">
        <f aca="false">1-SUM(BI18:BO18)</f>
        <v>1</v>
      </c>
      <c r="BI18" s="592" t="n">
        <f aca="false">COUNTIF(ADMIN!$M$130:$M$161,Fixture!BG18)-BJ18-BK18-BL18-BM18-BN18-BO18</f>
        <v>0</v>
      </c>
      <c r="BJ18" s="593" t="n">
        <f aca="false">COUNTIF(ADMIN!$M$182:$M$197,Fixture!BG18)-BK18-BL18-BM18-BN18-BO18</f>
        <v>0</v>
      </c>
      <c r="BK18" s="594" t="n">
        <f aca="false">COUNTIF(ADMIN!$M$210:$M$217,Fixture!BG18)-BL18-BM18-BN18-BO18</f>
        <v>0</v>
      </c>
      <c r="BL18" s="594" t="n">
        <f aca="false">COUNTIF(ADMIN!$M$226:$M$229,BG18)-BM18-BN18-BO18</f>
        <v>0</v>
      </c>
      <c r="BM18" s="592" t="n">
        <f aca="false">COUNTIF(ADMIN!$M$252,Fixture!BG18)</f>
        <v>0</v>
      </c>
      <c r="BN18" s="592" t="n">
        <f aca="false">COUNTIF(ADMIN!$M$251,Fixture!BG18)</f>
        <v>0</v>
      </c>
      <c r="BO18" s="595" t="n">
        <f aca="false">COUNTIF(ADMIN!$M$250,Fixture!BG18)</f>
        <v>0</v>
      </c>
    </row>
    <row r="19" customFormat="false" ht="15" hidden="false" customHeight="false" outlineLevel="0" collapsed="false">
      <c r="A19" s="85" t="n">
        <v>7</v>
      </c>
      <c r="B19" s="647" t="s">
        <v>93</v>
      </c>
      <c r="C19" s="546" t="str">
        <f aca="false">+MID(INDEX(WORLDCUP!$AA$4:$AA$147,MATCH(A19,WORLDCUP!$AH$4:$AH$147,0)),1,3)</f>
        <v>Bra</v>
      </c>
      <c r="D19" s="547" t="n">
        <f aca="false">IF(ISBLANK(INDEX(WORLDCUP!$AC$4:$AC$147,MATCH(A19,WORLDCUP!$AH$4:$AH$147,0))),"",INDEX(WORLDCUP!$AC$4:$AC$147,MATCH(A19,WORLDCUP!$AH$4:$AH$147,0)))</f>
        <v>1</v>
      </c>
      <c r="E19" s="547" t="n">
        <f aca="false">IF(ISBLANK(INDEX(WORLDCUP!$AD$4:$AD$147,MATCH(A19,WORLDCUP!$AH$4:$AH$147,0))),"",INDEX(WORLDCUP!$AD$4:$AD$147,MATCH(A19,WORLDCUP!$AH$4:$AH$147,0)))</f>
        <v>1</v>
      </c>
      <c r="F19" s="548" t="str">
        <f aca="false">+MID(INDEX(WORLDCUP!$AF$4:$AF$147,MATCH(A19,WORLDCUP!$AH$4:$AH$147,0)),1,3)</f>
        <v>Mar</v>
      </c>
      <c r="G19" s="549"/>
      <c r="H19" s="550" t="str">
        <f aca="false">+H11</f>
        <v>Sel</v>
      </c>
      <c r="I19" s="551" t="str">
        <f aca="false">+I11</f>
        <v>Pts</v>
      </c>
      <c r="J19" s="551" t="str">
        <f aca="false">+J11</f>
        <v>DG</v>
      </c>
      <c r="K19" s="552" t="str">
        <f aca="false">+K11</f>
        <v>GF-GC</v>
      </c>
      <c r="L19" s="85"/>
      <c r="M19" s="85" t="n">
        <v>17</v>
      </c>
      <c r="N19" s="648" t="s">
        <v>134</v>
      </c>
      <c r="O19" s="546" t="str">
        <f aca="false">+MID(INDEX(WORLDCUP!$AA$4:$AA$147,MATCH(M19,WORLDCUP!$AH$4:$AH$147,0)),1,3)</f>
        <v>Fra</v>
      </c>
      <c r="P19" s="547" t="str">
        <f aca="false">IF(ISBLANK(INDEX(WORLDCUP!$AC$4:$AC$147,MATCH(M19,WORLDCUP!$AH$4:$AH$147,0))),"",INDEX(WORLDCUP!$AC$4:$AC$147,MATCH(M19,WORLDCUP!$AH$4:$AH$147,0)))</f>
        <v/>
      </c>
      <c r="Q19" s="547" t="str">
        <f aca="false">IF(ISBLANK(INDEX(WORLDCUP!$AD$4:$AD$147,MATCH(M19,WORLDCUP!$AH$4:$AH$147,0))),"",INDEX(WORLDCUP!$AD$4:$AD$147,MATCH(M19,WORLDCUP!$AH$4:$AH$147,0)))</f>
        <v/>
      </c>
      <c r="R19" s="548" t="str">
        <f aca="false">+MID(INDEX(WORLDCUP!$AF$4:$AF$147,MATCH(M19,WORLDCUP!$AH$4:$AH$147,0)),1,3)</f>
        <v>Sen</v>
      </c>
      <c r="S19" s="549"/>
      <c r="T19" s="550" t="str">
        <f aca="false">+T11</f>
        <v>Sel</v>
      </c>
      <c r="U19" s="551" t="str">
        <f aca="false">+U11</f>
        <v>Pts</v>
      </c>
      <c r="V19" s="551" t="str">
        <f aca="false">+V11</f>
        <v>DG</v>
      </c>
      <c r="W19" s="552" t="str">
        <f aca="false">+W11</f>
        <v>GF-GC</v>
      </c>
      <c r="X19" s="85"/>
      <c r="Y19" s="85" t="n">
        <v>84</v>
      </c>
      <c r="Z19" s="554" t="s">
        <v>119</v>
      </c>
      <c r="AA19" s="609" t="str">
        <f aca="false">+MID(INDEX(WORLDCUP!$AF$101:$AF$147,MATCH(Y19,WORLDCUP!$Z$101:$Z$147,0)),1,3)</f>
        <v>2J</v>
      </c>
      <c r="AB19" s="610" t="str">
        <f aca="false">+IF(ISBLANK(INDEX(WORLDCUP!$AD$101:$AD$147,MATCH(Y19,WORLDCUP!$Z$101:$Z$147,0))),"",INDEX(WORLDCUP!$AD$101:$AD$147,MATCH(Y19,WORLDCUP!$Z$101:$Z$147,0)))</f>
        <v/>
      </c>
      <c r="AC19" s="637" t="str">
        <f aca="false">+IF(ISBLANK(INDEX(WORLDCUP!$AE$101:$AE$147,MATCH(Y19,WORLDCUP!$Z$101:$Z$147,0))),"","( "&amp;INDEX(WORLDCUP!$AE$101:$AE$147,MATCH(Y19,WORLDCUP!$Z$101:$Z$147,0))&amp;" )")</f>
        <v/>
      </c>
      <c r="AD19" s="85"/>
      <c r="AE19" s="603"/>
      <c r="AF19" s="603"/>
      <c r="AG19" s="604"/>
      <c r="AH19" s="629" t="n">
        <v>98</v>
      </c>
      <c r="AI19" s="612" t="str">
        <f aca="false">+MID(INDEX(WORLDCUP!$AA$101:$AA$147,MATCH(AH19,WORLDCUP!$Z$101:$Z$147,0)),1,3)</f>
        <v>W93</v>
      </c>
      <c r="AJ19" s="613" t="str">
        <f aca="false">+IF(ISBLANK(INDEX(WORLDCUP!$AC$101:$AC$147,MATCH(AH19,WORLDCUP!$Z$101:$Z$147,0))),"",INDEX(WORLDCUP!$AC$101:$AC$147,MATCH(AH19,WORLDCUP!$Z$101:$Z$147,0)))</f>
        <v/>
      </c>
      <c r="AK19" s="649" t="str">
        <f aca="false">+IF(ISBLANK(INDEX(WORLDCUP!$AB$101:$AB$147,MATCH(AH19,WORLDCUP!$Z$101:$Z$147,0))),"","( "&amp;INDEX(WORLDCUP!$AB$101:$AB$147,MATCH(AH19,WORLDCUP!$Z$101:$Z$147,0))&amp;" )")</f>
        <v/>
      </c>
      <c r="AL19" s="85"/>
      <c r="AM19" s="560"/>
      <c r="AN19" s="560"/>
      <c r="AO19" s="642"/>
      <c r="AP19" s="471"/>
      <c r="AQ19" s="589"/>
      <c r="AR19" s="589"/>
      <c r="AS19" s="589"/>
      <c r="AT19" s="85"/>
      <c r="AU19" s="562"/>
      <c r="AV19" s="562"/>
      <c r="AW19" s="562"/>
      <c r="AX19" s="85"/>
      <c r="AY19" s="244"/>
      <c r="AZ19" s="244"/>
      <c r="BA19" s="244"/>
      <c r="BB19" s="244"/>
      <c r="BC19" s="244"/>
      <c r="BD19" s="244"/>
      <c r="BE19" s="244"/>
      <c r="BG19" s="591" t="str">
        <f aca="false">Horarios!Q18</f>
        <v>Croacia</v>
      </c>
      <c r="BH19" s="592" t="n">
        <f aca="false">1-SUM(BI19:BO19)</f>
        <v>1</v>
      </c>
      <c r="BI19" s="592" t="n">
        <f aca="false">COUNTIF(ADMIN!$M$130:$M$161,Fixture!BG19)-BJ19-BK19-BL19-BM19-BN19-BO19</f>
        <v>0</v>
      </c>
      <c r="BJ19" s="593" t="n">
        <f aca="false">COUNTIF(ADMIN!$M$182:$M$197,Fixture!BG19)-BK19-BL19-BM19-BN19-BO19</f>
        <v>0</v>
      </c>
      <c r="BK19" s="594" t="n">
        <f aca="false">COUNTIF(ADMIN!$M$210:$M$217,Fixture!BG19)-BL19-BM19-BN19-BO19</f>
        <v>0</v>
      </c>
      <c r="BL19" s="594" t="n">
        <f aca="false">COUNTIF(ADMIN!$M$226:$M$229,BG19)-BM19-BN19-BO19</f>
        <v>0</v>
      </c>
      <c r="BM19" s="592" t="n">
        <f aca="false">COUNTIF(ADMIN!$M$252,Fixture!BG19)</f>
        <v>0</v>
      </c>
      <c r="BN19" s="592" t="n">
        <f aca="false">COUNTIF(ADMIN!$M$251,Fixture!BG19)</f>
        <v>0</v>
      </c>
      <c r="BO19" s="595" t="n">
        <f aca="false">COUNTIF(ADMIN!$M$250,Fixture!BG19)</f>
        <v>0</v>
      </c>
    </row>
    <row r="20" customFormat="false" ht="15" hidden="false" customHeight="false" outlineLevel="0" collapsed="false">
      <c r="A20" s="85" t="n">
        <v>5</v>
      </c>
      <c r="B20" s="650"/>
      <c r="C20" s="573" t="str">
        <f aca="false">+MID(INDEX(WORLDCUP!$AA$4:$AA$147,MATCH(A20,WORLDCUP!$AH$4:$AH$147,0)),1,3)</f>
        <v>Hai</v>
      </c>
      <c r="D20" s="574" t="n">
        <f aca="false">IF(ISBLANK(INDEX(WORLDCUP!$AC$4:$AC$147,MATCH(A20,WORLDCUP!$AH$4:$AH$147,0))),"",INDEX(WORLDCUP!$AC$4:$AC$147,MATCH(A20,WORLDCUP!$AH$4:$AH$147,0)))</f>
        <v>0</v>
      </c>
      <c r="E20" s="574" t="n">
        <f aca="false">IF(ISBLANK(INDEX(WORLDCUP!$AD$4:$AD$147,MATCH(A20,WORLDCUP!$AH$4:$AH$147,0))),"",INDEX(WORLDCUP!$AD$4:$AD$147,MATCH(A20,WORLDCUP!$AH$4:$AH$147,0)))</f>
        <v>1</v>
      </c>
      <c r="F20" s="575" t="str">
        <f aca="false">+MID(INDEX(WORLDCUP!$AF$4:$AF$147,MATCH(A20,WORLDCUP!$AH$4:$AH$147,0)),1,3)</f>
        <v>Esc</v>
      </c>
      <c r="G20" s="576" t="n">
        <v>1</v>
      </c>
      <c r="H20" s="577" t="str">
        <f aca="false">+MID(INDEX(WORLDCUP!$AL$6:$AL$97,MATCH(L20,WORLDCUP!$AI$6:$AI$97,0)),1,3)</f>
        <v>Esc</v>
      </c>
      <c r="I20" s="578" t="n">
        <f aca="false">+INDEX(WORLDCUP!$AM$6:$AM$97,MATCH(L20,WORLDCUP!$AI$6:$AI$97,0))</f>
        <v>3</v>
      </c>
      <c r="J20" s="579" t="n">
        <f aca="false">+INDEX(WORLDCUP!$AT$6:$AT$97,MATCH(L20,WORLDCUP!$AI$6:$AI$97,0))</f>
        <v>1</v>
      </c>
      <c r="K20" s="580" t="str">
        <f aca="false">+INDEX(WORLDCUP!$AR$6:$AR$97,MATCH(L20,WORLDCUP!$AI$6:$AI$97,0))&amp;"-"&amp;INDEX(WORLDCUP!$AS$6:$AS$97,MATCH(L20,WORLDCUP!$AI$6:$AI$97,0))</f>
        <v>1-0</v>
      </c>
      <c r="L20" s="85" t="s">
        <v>87</v>
      </c>
      <c r="M20" s="85" t="n">
        <v>18</v>
      </c>
      <c r="N20" s="651"/>
      <c r="O20" s="573" t="str">
        <f aca="false">+MID(INDEX(WORLDCUP!$AA$4:$AA$147,MATCH(M20,WORLDCUP!$AH$4:$AH$147,0)),1,3)</f>
        <v>Ira</v>
      </c>
      <c r="P20" s="574" t="str">
        <f aca="false">IF(ISBLANK(INDEX(WORLDCUP!$AC$4:$AC$147,MATCH(M20,WORLDCUP!$AH$4:$AH$147,0))),"",INDEX(WORLDCUP!$AC$4:$AC$147,MATCH(M20,WORLDCUP!$AH$4:$AH$147,0)))</f>
        <v/>
      </c>
      <c r="Q20" s="574" t="str">
        <f aca="false">IF(ISBLANK(INDEX(WORLDCUP!$AD$4:$AD$147,MATCH(M20,WORLDCUP!$AH$4:$AH$147,0))),"",INDEX(WORLDCUP!$AD$4:$AD$147,MATCH(M20,WORLDCUP!$AH$4:$AH$147,0)))</f>
        <v/>
      </c>
      <c r="R20" s="575" t="str">
        <f aca="false">+MID(INDEX(WORLDCUP!$AF$4:$AF$147,MATCH(M20,WORLDCUP!$AH$4:$AH$147,0)),1,3)</f>
        <v>Nor</v>
      </c>
      <c r="S20" s="576" t="n">
        <v>1</v>
      </c>
      <c r="T20" s="577" t="str">
        <f aca="false">+MID(INDEX(WORLDCUP!$AL$6:$AL$97,MATCH(X20,WORLDCUP!$AI$6:$AI$97,0)),1,3)</f>
        <v>Fra</v>
      </c>
      <c r="U20" s="578" t="n">
        <f aca="false">+INDEX(WORLDCUP!$AM$6:$AM$97,MATCH(X20,WORLDCUP!$AI$6:$AI$97,0))</f>
        <v>0</v>
      </c>
      <c r="V20" s="579" t="n">
        <f aca="false">+INDEX(WORLDCUP!$AT$6:$AT$97,MATCH(X20,WORLDCUP!$AI$6:$AI$97,0))</f>
        <v>0</v>
      </c>
      <c r="W20" s="580" t="str">
        <f aca="false">+INDEX(WORLDCUP!$AR$6:$AR$97,MATCH(X20,WORLDCUP!$AI$6:$AI$97,0))&amp;"-"&amp;INDEX(WORLDCUP!$AS$6:$AS$97,MATCH(X20,WORLDCUP!$AI$6:$AI$97,0))</f>
        <v>0-0</v>
      </c>
      <c r="X20" s="85" t="s">
        <v>114</v>
      </c>
      <c r="Y20" s="85"/>
      <c r="Z20" s="554"/>
      <c r="AA20" s="623"/>
      <c r="AB20" s="623"/>
      <c r="AC20" s="623"/>
      <c r="AD20" s="85"/>
      <c r="AE20" s="558"/>
      <c r="AF20" s="558"/>
      <c r="AG20" s="604"/>
      <c r="AH20" s="85" t="n">
        <v>98</v>
      </c>
      <c r="AI20" s="612" t="str">
        <f aca="false">+MID(INDEX(WORLDCUP!$AF$101:$AF$147,MATCH(AH20,WORLDCUP!$Z$101:$Z$147,0)),1,3)</f>
        <v>W94</v>
      </c>
      <c r="AJ20" s="613" t="str">
        <f aca="false">+IF(ISBLANK(INDEX(WORLDCUP!$AD$101:$AD$147,MATCH(AH20,WORLDCUP!$Z$101:$Z$147,0))),"",INDEX(WORLDCUP!$AD$101:$AD$147,MATCH(AH20,WORLDCUP!$Z$101:$Z$147,0)))</f>
        <v/>
      </c>
      <c r="AK20" s="588" t="str">
        <f aca="false">+IF(ISBLANK(INDEX(WORLDCUP!$AE$101:$AE$147,MATCH(AH20,WORLDCUP!$Z$101:$Z$147,0))),"","( "&amp;INDEX(WORLDCUP!$AE$101:$AE$147,MATCH(AH20,WORLDCUP!$Z$101:$Z$147,0))&amp;" )")</f>
        <v/>
      </c>
      <c r="AL20" s="85"/>
      <c r="AM20" s="560"/>
      <c r="AN20" s="560"/>
      <c r="AO20" s="642"/>
      <c r="AP20" s="85"/>
      <c r="AQ20" s="589"/>
      <c r="AR20" s="589"/>
      <c r="AS20" s="589"/>
      <c r="AT20" s="85"/>
      <c r="AU20" s="652"/>
      <c r="AV20" s="653"/>
      <c r="AW20" s="562"/>
      <c r="AX20" s="85"/>
      <c r="AY20" s="654"/>
      <c r="AZ20" s="655"/>
      <c r="BA20" s="655"/>
      <c r="BB20" s="655"/>
      <c r="BC20" s="656"/>
      <c r="BD20" s="244"/>
      <c r="BE20" s="244"/>
      <c r="BG20" s="591" t="str">
        <f aca="false">Horarios!Q19</f>
        <v>Curazao</v>
      </c>
      <c r="BH20" s="592" t="n">
        <f aca="false">1-SUM(BI20:BO20)</f>
        <v>1</v>
      </c>
      <c r="BI20" s="592" t="n">
        <f aca="false">COUNTIF(ADMIN!$M$130:$M$161,Fixture!BG20)-BJ20-BK20-BL20-BM20-BN20-BO20</f>
        <v>0</v>
      </c>
      <c r="BJ20" s="593" t="n">
        <f aca="false">COUNTIF(ADMIN!$M$182:$M$197,Fixture!BG20)-BK20-BL20-BM20-BN20-BO20</f>
        <v>0</v>
      </c>
      <c r="BK20" s="594" t="n">
        <f aca="false">COUNTIF(ADMIN!$M$210:$M$217,Fixture!BG20)-BL20-BM20-BN20-BO20</f>
        <v>0</v>
      </c>
      <c r="BL20" s="594" t="n">
        <f aca="false">COUNTIF(ADMIN!$M$226:$M$229,BG20)-BM20-BN20-BO20</f>
        <v>0</v>
      </c>
      <c r="BM20" s="592" t="n">
        <f aca="false">COUNTIF(ADMIN!$M$252,Fixture!BG20)</f>
        <v>0</v>
      </c>
      <c r="BN20" s="592" t="n">
        <f aca="false">COUNTIF(ADMIN!$M$251,Fixture!BG20)</f>
        <v>0</v>
      </c>
      <c r="BO20" s="595" t="n">
        <f aca="false">COUNTIF(ADMIN!$M$250,Fixture!BG20)</f>
        <v>0</v>
      </c>
    </row>
    <row r="21" customFormat="false" ht="15" hidden="false" customHeight="false" outlineLevel="0" collapsed="false">
      <c r="A21" s="85" t="n">
        <v>30</v>
      </c>
      <c r="B21" s="650"/>
      <c r="C21" s="573" t="str">
        <f aca="false">+MID(INDEX(WORLDCUP!$AA$4:$AA$147,MATCH(A21,WORLDCUP!$AH$4:$AH$147,0)),1,3)</f>
        <v>Esc</v>
      </c>
      <c r="D21" s="574" t="str">
        <f aca="false">IF(ISBLANK(INDEX(WORLDCUP!$AC$4:$AC$147,MATCH(A21,WORLDCUP!$AH$4:$AH$147,0))),"",INDEX(WORLDCUP!$AC$4:$AC$147,MATCH(A21,WORLDCUP!$AH$4:$AH$147,0)))</f>
        <v/>
      </c>
      <c r="E21" s="574" t="str">
        <f aca="false">IF(ISBLANK(INDEX(WORLDCUP!$AD$4:$AD$147,MATCH(A21,WORLDCUP!$AH$4:$AH$147,0))),"",INDEX(WORLDCUP!$AD$4:$AD$147,MATCH(A21,WORLDCUP!$AH$4:$AH$147,0)))</f>
        <v/>
      </c>
      <c r="F21" s="575" t="str">
        <f aca="false">+MID(INDEX(WORLDCUP!$AF$4:$AF$147,MATCH(A21,WORLDCUP!$AH$4:$AH$147,0)),1,3)</f>
        <v>Mar</v>
      </c>
      <c r="G21" s="596" t="n">
        <v>2</v>
      </c>
      <c r="H21" s="597" t="str">
        <f aca="false">+MID(INDEX(WORLDCUP!$AL$6:$AL$97,MATCH(L21,WORLDCUP!$AI$6:$AI$97,0)),1,3)</f>
        <v>Bra</v>
      </c>
      <c r="I21" s="124" t="n">
        <f aca="false">+INDEX(WORLDCUP!$AM$6:$AM$97,MATCH(L21,WORLDCUP!$AI$6:$AI$97,0))</f>
        <v>1</v>
      </c>
      <c r="J21" s="125" t="n">
        <f aca="false">+INDEX(WORLDCUP!$AT$6:$AT$97,MATCH(L21,WORLDCUP!$AI$6:$AI$97,0))</f>
        <v>0</v>
      </c>
      <c r="K21" s="231" t="str">
        <f aca="false">+INDEX(WORLDCUP!$AR$6:$AR$97,MATCH(L21,WORLDCUP!$AI$6:$AI$97,0))&amp;"-"&amp;INDEX(WORLDCUP!$AS$6:$AS$97,MATCH(L21,WORLDCUP!$AI$6:$AI$97,0))</f>
        <v>1-1</v>
      </c>
      <c r="L21" s="85" t="s">
        <v>88</v>
      </c>
      <c r="M21" s="85" t="n">
        <v>42</v>
      </c>
      <c r="N21" s="651"/>
      <c r="O21" s="573" t="str">
        <f aca="false">+MID(INDEX(WORLDCUP!$AA$4:$AA$147,MATCH(M21,WORLDCUP!$AH$4:$AH$147,0)),1,3)</f>
        <v>Fra</v>
      </c>
      <c r="P21" s="574" t="str">
        <f aca="false">IF(ISBLANK(INDEX(WORLDCUP!$AC$4:$AC$147,MATCH(M21,WORLDCUP!$AH$4:$AH$147,0))),"",INDEX(WORLDCUP!$AC$4:$AC$147,MATCH(M21,WORLDCUP!$AH$4:$AH$147,0)))</f>
        <v/>
      </c>
      <c r="Q21" s="574" t="str">
        <f aca="false">IF(ISBLANK(INDEX(WORLDCUP!$AD$4:$AD$147,MATCH(M21,WORLDCUP!$AH$4:$AH$147,0))),"",INDEX(WORLDCUP!$AD$4:$AD$147,MATCH(M21,WORLDCUP!$AH$4:$AH$147,0)))</f>
        <v/>
      </c>
      <c r="R21" s="575" t="str">
        <f aca="false">+MID(INDEX(WORLDCUP!$AF$4:$AF$147,MATCH(M21,WORLDCUP!$AH$4:$AH$147,0)),1,3)</f>
        <v>Ira</v>
      </c>
      <c r="S21" s="596" t="n">
        <v>2</v>
      </c>
      <c r="T21" s="597" t="str">
        <f aca="false">+MID(INDEX(WORLDCUP!$AL$6:$AL$97,MATCH(X21,WORLDCUP!$AI$6:$AI$97,0)),1,3)</f>
        <v>Sen</v>
      </c>
      <c r="U21" s="124" t="n">
        <f aca="false">+INDEX(WORLDCUP!$AM$6:$AM$97,MATCH(X21,WORLDCUP!$AI$6:$AI$97,0))</f>
        <v>0</v>
      </c>
      <c r="V21" s="125" t="n">
        <f aca="false">+INDEX(WORLDCUP!$AT$6:$AT$97,MATCH(X21,WORLDCUP!$AI$6:$AI$97,0))</f>
        <v>0</v>
      </c>
      <c r="W21" s="231" t="str">
        <f aca="false">+INDEX(WORLDCUP!$AR$6:$AR$97,MATCH(X21,WORLDCUP!$AI$6:$AI$97,0))&amp;"-"&amp;INDEX(WORLDCUP!$AS$6:$AS$97,MATCH(X21,WORLDCUP!$AI$6:$AI$97,0))</f>
        <v>0-0</v>
      </c>
      <c r="X21" s="85" t="s">
        <v>115</v>
      </c>
      <c r="Y21" s="85" t="n">
        <v>81</v>
      </c>
      <c r="Z21" s="554" t="s">
        <v>91</v>
      </c>
      <c r="AA21" s="555" t="str">
        <f aca="false">+MID(INDEX(WORLDCUP!$AA$101:$AA$147,MATCH(Y21,WORLDCUP!$Z$101:$Z$147,0)),1,3)</f>
        <v>1D</v>
      </c>
      <c r="AB21" s="556" t="str">
        <f aca="false">+IF(ISBLANK(INDEX(WORLDCUP!$AC$101:$AC$147,MATCH(Y21,WORLDCUP!$Z$101:$Z$147,0))),"",INDEX(WORLDCUP!$AC$101:$AC$147,MATCH(Y21,WORLDCUP!$Z$101:$Z$147,0)))</f>
        <v/>
      </c>
      <c r="AC21" s="627" t="str">
        <f aca="false">+IF(ISBLANK(INDEX(WORLDCUP!$AB$101:$AB$147,MATCH(Y21,WORLDCUP!$Z$101:$Z$147,0))),"","( "&amp;INDEX(WORLDCUP!$AB$101:$AB$147,MATCH(Y21,WORLDCUP!$Z$101:$Z$147,0))&amp;" )")</f>
        <v/>
      </c>
      <c r="AD21" s="50"/>
      <c r="AE21" s="558"/>
      <c r="AF21" s="558"/>
      <c r="AG21" s="604"/>
      <c r="AH21" s="85"/>
      <c r="AI21" s="588"/>
      <c r="AJ21" s="588"/>
      <c r="AK21" s="588"/>
      <c r="AL21" s="85"/>
      <c r="AM21" s="560"/>
      <c r="AN21" s="560"/>
      <c r="AO21" s="642"/>
      <c r="AP21" s="85"/>
      <c r="AQ21" s="589"/>
      <c r="AR21" s="589"/>
      <c r="AS21" s="589"/>
      <c r="AT21" s="85"/>
      <c r="AU21" s="652"/>
      <c r="AV21" s="653"/>
      <c r="AW21" s="562"/>
      <c r="AX21" s="85"/>
      <c r="AY21" s="657"/>
      <c r="AZ21" s="658"/>
      <c r="BA21" s="658" t="str">
        <f aca="false">WORLDCUP!AA150</f>
        <v>WF</v>
      </c>
      <c r="BB21" s="658"/>
      <c r="BC21" s="659"/>
      <c r="BD21" s="244"/>
      <c r="BE21" s="244"/>
      <c r="BG21" s="591" t="str">
        <f aca="false">Horarios!Q20</f>
        <v>Ecuador</v>
      </c>
      <c r="BH21" s="592" t="n">
        <f aca="false">1-SUM(BI21:BO21)</f>
        <v>1</v>
      </c>
      <c r="BI21" s="592" t="n">
        <f aca="false">COUNTIF(ADMIN!$M$130:$M$161,Fixture!BG21)-BJ21-BK21-BL21-BM21-BN21-BO21</f>
        <v>0</v>
      </c>
      <c r="BJ21" s="593" t="n">
        <f aca="false">COUNTIF(ADMIN!$M$182:$M$197,Fixture!BG21)-BK21-BL21-BM21-BN21-BO21</f>
        <v>0</v>
      </c>
      <c r="BK21" s="594" t="n">
        <f aca="false">COUNTIF(ADMIN!$M$210:$M$217,Fixture!BG21)-BL21-BM21-BN21-BO21</f>
        <v>0</v>
      </c>
      <c r="BL21" s="594" t="n">
        <f aca="false">COUNTIF(ADMIN!$M$226:$M$229,BG21)-BM21-BN21-BO21</f>
        <v>0</v>
      </c>
      <c r="BM21" s="592" t="n">
        <f aca="false">COUNTIF(ADMIN!$M$252,Fixture!BG21)</f>
        <v>0</v>
      </c>
      <c r="BN21" s="592" t="n">
        <f aca="false">COUNTIF(ADMIN!$M$251,Fixture!BG21)</f>
        <v>0</v>
      </c>
      <c r="BO21" s="595" t="n">
        <f aca="false">COUNTIF(ADMIN!$M$250,Fixture!BG21)</f>
        <v>0</v>
      </c>
    </row>
    <row r="22" customFormat="false" ht="15" hidden="false" customHeight="false" outlineLevel="0" collapsed="false">
      <c r="A22" s="85" t="n">
        <v>29</v>
      </c>
      <c r="B22" s="650"/>
      <c r="C22" s="573" t="str">
        <f aca="false">+MID(INDEX(WORLDCUP!$AA$4:$AA$147,MATCH(A22,WORLDCUP!$AH$4:$AH$147,0)),1,3)</f>
        <v>Bra</v>
      </c>
      <c r="D22" s="574" t="str">
        <f aca="false">IF(ISBLANK(INDEX(WORLDCUP!$AC$4:$AC$147,MATCH(A22,WORLDCUP!$AH$4:$AH$147,0))),"",INDEX(WORLDCUP!$AC$4:$AC$147,MATCH(A22,WORLDCUP!$AH$4:$AH$147,0)))</f>
        <v/>
      </c>
      <c r="E22" s="574" t="str">
        <f aca="false">IF(ISBLANK(INDEX(WORLDCUP!$AD$4:$AD$147,MATCH(A22,WORLDCUP!$AH$4:$AH$147,0))),"",INDEX(WORLDCUP!$AD$4:$AD$147,MATCH(A22,WORLDCUP!$AH$4:$AH$147,0)))</f>
        <v/>
      </c>
      <c r="F22" s="575" t="str">
        <f aca="false">+MID(INDEX(WORLDCUP!$AF$4:$AF$147,MATCH(A22,WORLDCUP!$AH$4:$AH$147,0)),1,3)</f>
        <v>Hai</v>
      </c>
      <c r="G22" s="596" t="n">
        <v>3</v>
      </c>
      <c r="H22" s="597" t="str">
        <f aca="false">+MID(INDEX(WORLDCUP!$AL$6:$AL$97,MATCH(L22,WORLDCUP!$AI$6:$AI$97,0)),1,3)</f>
        <v>Mar</v>
      </c>
      <c r="I22" s="124" t="n">
        <f aca="false">+INDEX(WORLDCUP!$AM$6:$AM$97,MATCH(L22,WORLDCUP!$AI$6:$AI$97,0))</f>
        <v>1</v>
      </c>
      <c r="J22" s="125" t="n">
        <f aca="false">+INDEX(WORLDCUP!$AT$6:$AT$97,MATCH(L22,WORLDCUP!$AI$6:$AI$97,0))</f>
        <v>0</v>
      </c>
      <c r="K22" s="231" t="str">
        <f aca="false">+INDEX(WORLDCUP!$AR$6:$AR$97,MATCH(L22,WORLDCUP!$AI$6:$AI$97,0))&amp;"-"&amp;INDEX(WORLDCUP!$AS$6:$AS$97,MATCH(L22,WORLDCUP!$AI$6:$AI$97,0))</f>
        <v>1-1</v>
      </c>
      <c r="L22" s="85" t="s">
        <v>89</v>
      </c>
      <c r="M22" s="85" t="n">
        <v>41</v>
      </c>
      <c r="N22" s="651"/>
      <c r="O22" s="573" t="str">
        <f aca="false">+MID(INDEX(WORLDCUP!$AA$4:$AA$147,MATCH(M22,WORLDCUP!$AH$4:$AH$147,0)),1,3)</f>
        <v>Nor</v>
      </c>
      <c r="P22" s="574" t="str">
        <f aca="false">IF(ISBLANK(INDEX(WORLDCUP!$AC$4:$AC$147,MATCH(M22,WORLDCUP!$AH$4:$AH$147,0))),"",INDEX(WORLDCUP!$AC$4:$AC$147,MATCH(M22,WORLDCUP!$AH$4:$AH$147,0)))</f>
        <v/>
      </c>
      <c r="Q22" s="574" t="str">
        <f aca="false">IF(ISBLANK(INDEX(WORLDCUP!$AD$4:$AD$147,MATCH(M22,WORLDCUP!$AH$4:$AH$147,0))),"",INDEX(WORLDCUP!$AD$4:$AD$147,MATCH(M22,WORLDCUP!$AH$4:$AH$147,0)))</f>
        <v/>
      </c>
      <c r="R22" s="575" t="str">
        <f aca="false">+MID(INDEX(WORLDCUP!$AF$4:$AF$147,MATCH(M22,WORLDCUP!$AH$4:$AH$147,0)),1,3)</f>
        <v>Sen</v>
      </c>
      <c r="S22" s="596" t="n">
        <v>3</v>
      </c>
      <c r="T22" s="597" t="str">
        <f aca="false">+MID(INDEX(WORLDCUP!$AL$6:$AL$97,MATCH(X22,WORLDCUP!$AI$6:$AI$97,0)),1,3)</f>
        <v>Ira</v>
      </c>
      <c r="U22" s="124" t="n">
        <f aca="false">+INDEX(WORLDCUP!$AM$6:$AM$97,MATCH(X22,WORLDCUP!$AI$6:$AI$97,0))</f>
        <v>0</v>
      </c>
      <c r="V22" s="125" t="n">
        <f aca="false">+INDEX(WORLDCUP!$AT$6:$AT$97,MATCH(X22,WORLDCUP!$AI$6:$AI$97,0))</f>
        <v>0</v>
      </c>
      <c r="W22" s="231" t="str">
        <f aca="false">+INDEX(WORLDCUP!$AR$6:$AR$97,MATCH(X22,WORLDCUP!$AI$6:$AI$97,0))&amp;"-"&amp;INDEX(WORLDCUP!$AS$6:$AS$97,MATCH(X22,WORLDCUP!$AI$6:$AI$97,0))</f>
        <v>0-0</v>
      </c>
      <c r="X22" s="85" t="s">
        <v>116</v>
      </c>
      <c r="Y22" s="85" t="n">
        <v>81</v>
      </c>
      <c r="Z22" s="554" t="s">
        <v>164</v>
      </c>
      <c r="AA22" s="555" t="str">
        <f aca="false">+MID(INDEX(WORLDCUP!$AF$101:$AF$147,MATCH(Y22,WORLDCUP!$Z$101:$Z$147,0)),1,IF(WORLDCUP!$H$113&lt;144,6,3))</f>
        <v>3BEFIJ</v>
      </c>
      <c r="AB22" s="582" t="str">
        <f aca="false">+IF(ISBLANK(INDEX(WORLDCUP!$AD$101:$AD$147,MATCH(Y22,WORLDCUP!$Z$101:$Z$147,0))),"",INDEX(WORLDCUP!$AD$101:$AD$147,MATCH(Y22,WORLDCUP!$Z$101:$Z$147,0)))</f>
        <v/>
      </c>
      <c r="AC22" s="583" t="str">
        <f aca="false">+IF(ISBLANK(INDEX(WORLDCUP!$AE$101:$AE$147,MATCH(Y22,WORLDCUP!$Z$101:$Z$147,0))),"","( "&amp;INDEX(WORLDCUP!$AE$101:$AE$147,MATCH(Y22,WORLDCUP!$Z$101:$Z$147,0))&amp;" )")</f>
        <v/>
      </c>
      <c r="AD22" s="584" t="n">
        <v>94</v>
      </c>
      <c r="AE22" s="585" t="str">
        <f aca="false">+MID(INDEX(WORLDCUP!$AA$101:$AA$147,MATCH(AD22,WORLDCUP!$Z$101:$Z$147,0)),1,3)</f>
        <v>W81</v>
      </c>
      <c r="AF22" s="586" t="str">
        <f aca="false">+IF(ISBLANK(INDEX(WORLDCUP!$AC$101:$AC$147,MATCH(AD22,WORLDCUP!$Z$101:$Z$147,0))),"",INDEX(WORLDCUP!$AC$101:$AC$147,MATCH(AD22,WORLDCUP!$Z$101:$Z$147,0)))</f>
        <v/>
      </c>
      <c r="AG22" s="630" t="str">
        <f aca="false">+IF(ISBLANK(INDEX(WORLDCUP!$AB$101:$AB$147,MATCH(AD22,WORLDCUP!$Z$101:$Z$147,0))),"","( "&amp;INDEX(WORLDCUP!$AB$101:$AB$147,MATCH(AD22,WORLDCUP!$Z$101:$Z$147,0))&amp;" )")</f>
        <v/>
      </c>
      <c r="AH22" s="85"/>
      <c r="AI22" s="588"/>
      <c r="AJ22" s="588"/>
      <c r="AK22" s="588"/>
      <c r="AL22" s="85"/>
      <c r="AM22" s="560"/>
      <c r="AN22" s="560"/>
      <c r="AO22" s="642"/>
      <c r="AP22" s="85"/>
      <c r="AQ22" s="589"/>
      <c r="AR22" s="589"/>
      <c r="AS22" s="589"/>
      <c r="AT22" s="85"/>
      <c r="AU22" s="652"/>
      <c r="AV22" s="653"/>
      <c r="AW22" s="562"/>
      <c r="AX22" s="85"/>
      <c r="AY22" s="657"/>
      <c r="AZ22" s="658"/>
      <c r="BA22" s="660"/>
      <c r="BB22" s="658"/>
      <c r="BC22" s="659"/>
      <c r="BD22" s="244"/>
      <c r="BE22" s="244"/>
      <c r="BG22" s="591" t="str">
        <f aca="false">Horarios!Q21</f>
        <v>Egipto</v>
      </c>
      <c r="BH22" s="592" t="n">
        <f aca="false">1-SUM(BI22:BO22)</f>
        <v>1</v>
      </c>
      <c r="BI22" s="592" t="n">
        <f aca="false">COUNTIF(ADMIN!$M$130:$M$161,Fixture!BG22)-BJ22-BK22-BL22-BM22-BN22-BO22</f>
        <v>0</v>
      </c>
      <c r="BJ22" s="593" t="n">
        <f aca="false">COUNTIF(ADMIN!$M$182:$M$197,Fixture!BG22)-BK22-BL22-BM22-BN22-BO22</f>
        <v>0</v>
      </c>
      <c r="BK22" s="594" t="n">
        <f aca="false">COUNTIF(ADMIN!$M$210:$M$217,Fixture!BG22)-BL22-BM22-BN22-BO22</f>
        <v>0</v>
      </c>
      <c r="BL22" s="594" t="n">
        <f aca="false">COUNTIF(ADMIN!$M$226:$M$229,BG22)-BM22-BN22-BO22</f>
        <v>0</v>
      </c>
      <c r="BM22" s="592" t="n">
        <f aca="false">COUNTIF(ADMIN!$M$252,Fixture!BG22)</f>
        <v>0</v>
      </c>
      <c r="BN22" s="592" t="n">
        <f aca="false">COUNTIF(ADMIN!$M$251,Fixture!BG22)</f>
        <v>0</v>
      </c>
      <c r="BO22" s="595" t="n">
        <f aca="false">COUNTIF(ADMIN!$M$250,Fixture!BG22)</f>
        <v>0</v>
      </c>
    </row>
    <row r="23" customFormat="false" ht="15" hidden="false" customHeight="false" outlineLevel="0" collapsed="false">
      <c r="A23" s="85" t="n">
        <v>49</v>
      </c>
      <c r="B23" s="650"/>
      <c r="C23" s="573" t="str">
        <f aca="false">+MID(INDEX(WORLDCUP!$AA$4:$AA$147,MATCH(A23,WORLDCUP!$AH$4:$AH$147,0)),1,3)</f>
        <v>Esc</v>
      </c>
      <c r="D23" s="574" t="str">
        <f aca="false">IF(ISBLANK(INDEX(WORLDCUP!$AC$4:$AC$147,MATCH(A23,WORLDCUP!$AH$4:$AH$147,0))),"",INDEX(WORLDCUP!$AC$4:$AC$147,MATCH(A23,WORLDCUP!$AH$4:$AH$147,0)))</f>
        <v/>
      </c>
      <c r="E23" s="574" t="str">
        <f aca="false">IF(ISBLANK(INDEX(WORLDCUP!$AD$4:$AD$147,MATCH(A23,WORLDCUP!$AH$4:$AH$147,0))),"",INDEX(WORLDCUP!$AD$4:$AD$147,MATCH(A23,WORLDCUP!$AH$4:$AH$147,0)))</f>
        <v/>
      </c>
      <c r="F23" s="575" t="str">
        <f aca="false">+MID(INDEX(WORLDCUP!$AF$4:$AF$147,MATCH(A23,WORLDCUP!$AH$4:$AH$147,0)),1,3)</f>
        <v>Bra</v>
      </c>
      <c r="G23" s="596" t="n">
        <v>4</v>
      </c>
      <c r="H23" s="605" t="str">
        <f aca="false">+MID(INDEX(WORLDCUP!$AL$6:$AL$97,MATCH(L23,WORLDCUP!$AI$6:$AI$97,0)),1,3)</f>
        <v>Hai</v>
      </c>
      <c r="I23" s="606" t="n">
        <f aca="false">+INDEX(WORLDCUP!$AM$6:$AM$97,MATCH(L23,WORLDCUP!$AI$6:$AI$97,0))</f>
        <v>0</v>
      </c>
      <c r="J23" s="607" t="n">
        <f aca="false">+INDEX(WORLDCUP!$AT$6:$AT$97,MATCH(L23,WORLDCUP!$AI$6:$AI$97,0))</f>
        <v>-1</v>
      </c>
      <c r="K23" s="608" t="str">
        <f aca="false">+INDEX(WORLDCUP!$AR$6:$AR$97,MATCH(L23,WORLDCUP!$AI$6:$AI$97,0))&amp;"-"&amp;INDEX(WORLDCUP!$AS$6:$AS$97,MATCH(L23,WORLDCUP!$AI$6:$AI$97,0))</f>
        <v>0-1</v>
      </c>
      <c r="L23" s="85" t="s">
        <v>90</v>
      </c>
      <c r="M23" s="85" t="n">
        <v>61</v>
      </c>
      <c r="N23" s="651"/>
      <c r="O23" s="573" t="str">
        <f aca="false">+MID(INDEX(WORLDCUP!$AA$4:$AA$147,MATCH(M23,WORLDCUP!$AH$4:$AH$147,0)),1,3)</f>
        <v>Nor</v>
      </c>
      <c r="P23" s="574" t="str">
        <f aca="false">IF(ISBLANK(INDEX(WORLDCUP!$AC$4:$AC$147,MATCH(M23,WORLDCUP!$AH$4:$AH$147,0))),"",INDEX(WORLDCUP!$AC$4:$AC$147,MATCH(M23,WORLDCUP!$AH$4:$AH$147,0)))</f>
        <v/>
      </c>
      <c r="Q23" s="574" t="str">
        <f aca="false">IF(ISBLANK(INDEX(WORLDCUP!$AD$4:$AD$147,MATCH(M23,WORLDCUP!$AH$4:$AH$147,0))),"",INDEX(WORLDCUP!$AD$4:$AD$147,MATCH(M23,WORLDCUP!$AH$4:$AH$147,0)))</f>
        <v/>
      </c>
      <c r="R23" s="575" t="str">
        <f aca="false">+MID(INDEX(WORLDCUP!$AF$4:$AF$147,MATCH(M23,WORLDCUP!$AH$4:$AH$147,0)),1,3)</f>
        <v>Fra</v>
      </c>
      <c r="S23" s="596" t="n">
        <v>4</v>
      </c>
      <c r="T23" s="605" t="str">
        <f aca="false">+MID(INDEX(WORLDCUP!$AL$6:$AL$97,MATCH(X23,WORLDCUP!$AI$6:$AI$97,0)),1,3)</f>
        <v>Nor</v>
      </c>
      <c r="U23" s="606" t="n">
        <f aca="false">+INDEX(WORLDCUP!$AM$6:$AM$97,MATCH(X23,WORLDCUP!$AI$6:$AI$97,0))</f>
        <v>0</v>
      </c>
      <c r="V23" s="607" t="n">
        <f aca="false">+INDEX(WORLDCUP!$AT$6:$AT$97,MATCH(X23,WORLDCUP!$AI$6:$AI$97,0))</f>
        <v>0</v>
      </c>
      <c r="W23" s="608" t="str">
        <f aca="false">+INDEX(WORLDCUP!$AR$6:$AR$97,MATCH(X23,WORLDCUP!$AI$6:$AI$97,0))&amp;"-"&amp;INDEX(WORLDCUP!$AS$6:$AS$97,MATCH(X23,WORLDCUP!$AI$6:$AI$97,0))</f>
        <v>0-0</v>
      </c>
      <c r="X23" s="85" t="s">
        <v>117</v>
      </c>
      <c r="Y23" s="85"/>
      <c r="Z23" s="554"/>
      <c r="AA23" s="598"/>
      <c r="AB23" s="598"/>
      <c r="AC23" s="599"/>
      <c r="AD23" s="85" t="n">
        <v>94</v>
      </c>
      <c r="AE23" s="585" t="str">
        <f aca="false">+MID(INDEX(WORLDCUP!$AF$101:$AF$147,MATCH(AD23,WORLDCUP!$Z$101:$Z$147,0)),1,3)</f>
        <v>W82</v>
      </c>
      <c r="AF23" s="586" t="str">
        <f aca="false">+IF(ISBLANK(INDEX(WORLDCUP!$AD$101:$AD$147,MATCH(AD23,WORLDCUP!$Z$101:$Z$147,0))),"",INDEX(WORLDCUP!$AD$101:$AD$147,MATCH(AD23,WORLDCUP!$Z$101:$Z$147,0)))</f>
        <v/>
      </c>
      <c r="AG23" s="603" t="str">
        <f aca="false">+IF(ISBLANK(INDEX(WORLDCUP!$AE$101:$AE$147,MATCH(AD23,WORLDCUP!$Z$101:$Z$147,0))),"","( "&amp;INDEX(WORLDCUP!$AE$101:$AE$147,MATCH(AD23,WORLDCUP!$Z$101:$Z$147,0))&amp;" )")</f>
        <v/>
      </c>
      <c r="AH23" s="85"/>
      <c r="AI23" s="588"/>
      <c r="AJ23" s="588"/>
      <c r="AK23" s="588"/>
      <c r="AL23" s="85"/>
      <c r="AM23" s="560"/>
      <c r="AN23" s="560"/>
      <c r="AO23" s="642"/>
      <c r="AP23" s="471"/>
      <c r="AQ23" s="589"/>
      <c r="AR23" s="589"/>
      <c r="AS23" s="589"/>
      <c r="AT23" s="85"/>
      <c r="AU23" s="562"/>
      <c r="AV23" s="562"/>
      <c r="AW23" s="562"/>
      <c r="AX23" s="85"/>
      <c r="AY23" s="657"/>
      <c r="AZ23" s="658"/>
      <c r="BA23" s="660"/>
      <c r="BB23" s="658" t="str">
        <f aca="false">+WORLDCUP!AA151</f>
        <v>LF</v>
      </c>
      <c r="BC23" s="659"/>
      <c r="BD23" s="244"/>
      <c r="BE23" s="244"/>
      <c r="BG23" s="591" t="str">
        <f aca="false">Horarios!Q22</f>
        <v>Escocia</v>
      </c>
      <c r="BH23" s="592" t="n">
        <f aca="false">1-SUM(BI23:BO23)</f>
        <v>1</v>
      </c>
      <c r="BI23" s="592" t="n">
        <f aca="false">COUNTIF(ADMIN!$M$130:$M$161,Fixture!BG23)-BJ23-BK23-BL23-BM23-BN23-BO23</f>
        <v>0</v>
      </c>
      <c r="BJ23" s="593" t="n">
        <f aca="false">COUNTIF(ADMIN!$M$182:$M$197,Fixture!BG23)-BK23-BL23-BM23-BN23-BO23</f>
        <v>0</v>
      </c>
      <c r="BK23" s="594" t="n">
        <f aca="false">COUNTIF(ADMIN!$M$210:$M$217,Fixture!BG23)-BL23-BM23-BN23-BO23</f>
        <v>0</v>
      </c>
      <c r="BL23" s="594" t="n">
        <f aca="false">COUNTIF(ADMIN!$M$226:$M$229,BG23)-BM23-BN23-BO23</f>
        <v>0</v>
      </c>
      <c r="BM23" s="592" t="n">
        <f aca="false">COUNTIF(ADMIN!$M$252,Fixture!BG23)</f>
        <v>0</v>
      </c>
      <c r="BN23" s="592" t="n">
        <f aca="false">COUNTIF(ADMIN!$M$251,Fixture!BG23)</f>
        <v>0</v>
      </c>
      <c r="BO23" s="595" t="n">
        <f aca="false">COUNTIF(ADMIN!$M$250,Fixture!BG23)</f>
        <v>0</v>
      </c>
    </row>
    <row r="24" customFormat="false" ht="15" hidden="false" customHeight="false" outlineLevel="0" collapsed="false">
      <c r="A24" s="85" t="n">
        <v>50</v>
      </c>
      <c r="B24" s="661"/>
      <c r="C24" s="616" t="str">
        <f aca="false">+MID(INDEX(WORLDCUP!$AA$4:$AA$147,MATCH(A24,WORLDCUP!$AH$4:$AH$147,0)),1,3)</f>
        <v>Mar</v>
      </c>
      <c r="D24" s="617" t="str">
        <f aca="false">IF(ISBLANK(INDEX(WORLDCUP!$AC$4:$AC$147,MATCH(A24,WORLDCUP!$AH$4:$AH$147,0))),"",INDEX(WORLDCUP!$AC$4:$AC$147,MATCH(A24,WORLDCUP!$AH$4:$AH$147,0)))</f>
        <v/>
      </c>
      <c r="E24" s="617" t="str">
        <f aca="false">IF(ISBLANK(INDEX(WORLDCUP!$AD$4:$AD$147,MATCH(A24,WORLDCUP!$AH$4:$AH$147,0))),"",INDEX(WORLDCUP!$AD$4:$AD$147,MATCH(A24,WORLDCUP!$AH$4:$AH$147,0)))</f>
        <v/>
      </c>
      <c r="F24" s="618" t="str">
        <f aca="false">+MID(INDEX(WORLDCUP!$AF$4:$AF$147,MATCH(A24,WORLDCUP!$AH$4:$AH$147,0)),1,3)</f>
        <v>Hai</v>
      </c>
      <c r="G24" s="619"/>
      <c r="H24" s="619"/>
      <c r="I24" s="620"/>
      <c r="J24" s="620"/>
      <c r="K24" s="621"/>
      <c r="L24" s="85"/>
      <c r="M24" s="85" t="n">
        <v>62</v>
      </c>
      <c r="N24" s="662"/>
      <c r="O24" s="616" t="str">
        <f aca="false">+MID(INDEX(WORLDCUP!$AA$4:$AA$147,MATCH(M24,WORLDCUP!$AH$4:$AH$147,0)),1,3)</f>
        <v>Sen</v>
      </c>
      <c r="P24" s="617" t="str">
        <f aca="false">IF(ISBLANK(INDEX(WORLDCUP!$AC$4:$AC$147,MATCH(M24,WORLDCUP!$AH$4:$AH$147,0))),"",INDEX(WORLDCUP!$AC$4:$AC$147,MATCH(M24,WORLDCUP!$AH$4:$AH$147,0)))</f>
        <v/>
      </c>
      <c r="Q24" s="617" t="str">
        <f aca="false">IF(ISBLANK(INDEX(WORLDCUP!$AD$4:$AD$147,MATCH(M24,WORLDCUP!$AH$4:$AH$147,0))),"",INDEX(WORLDCUP!$AD$4:$AD$147,MATCH(M24,WORLDCUP!$AH$4:$AH$147,0)))</f>
        <v/>
      </c>
      <c r="R24" s="618" t="str">
        <f aca="false">+MID(INDEX(WORLDCUP!$AF$4:$AF$147,MATCH(M24,WORLDCUP!$AH$4:$AH$147,0)),1,3)</f>
        <v>Ira</v>
      </c>
      <c r="S24" s="619"/>
      <c r="T24" s="619"/>
      <c r="U24" s="620"/>
      <c r="V24" s="620"/>
      <c r="W24" s="621"/>
      <c r="X24" s="85"/>
      <c r="Y24" s="85" t="n">
        <v>82</v>
      </c>
      <c r="Z24" s="554" t="s">
        <v>105</v>
      </c>
      <c r="AA24" s="555" t="str">
        <f aca="false">+MID(INDEX(WORLDCUP!$AA$101:$AA$147,MATCH(Y24,WORLDCUP!$Z$101:$Z$147,0)),1,3)</f>
        <v>1G</v>
      </c>
      <c r="AB24" s="601" t="str">
        <f aca="false">+IF(ISBLANK(INDEX(WORLDCUP!$AC$101:$AC$147,MATCH(Y24,WORLDCUP!$Z$101:$Z$147,0))),"",INDEX(WORLDCUP!$AC$101:$AC$147,MATCH(Y24,WORLDCUP!$Z$101:$Z$147,0)))</f>
        <v/>
      </c>
      <c r="AC24" s="636" t="str">
        <f aca="false">+IF(ISBLANK(INDEX(WORLDCUP!$AB$101:$AB$147,MATCH(Y24,WORLDCUP!$Z$101:$Z$147,0))),"","( "&amp;INDEX(WORLDCUP!$AB$101:$AB$147,MATCH(Y24,WORLDCUP!$Z$101:$Z$147,0))&amp;" )")</f>
        <v/>
      </c>
      <c r="AD24" s="85"/>
      <c r="AE24" s="558"/>
      <c r="AF24" s="558"/>
      <c r="AG24" s="558"/>
      <c r="AH24" s="85"/>
      <c r="AI24" s="588"/>
      <c r="AJ24" s="588"/>
      <c r="AK24" s="588"/>
      <c r="AL24" s="85"/>
      <c r="AM24" s="560"/>
      <c r="AN24" s="560"/>
      <c r="AO24" s="642"/>
      <c r="AP24" s="471"/>
      <c r="AQ24" s="589"/>
      <c r="AR24" s="589"/>
      <c r="AS24" s="589"/>
      <c r="AT24" s="85"/>
      <c r="AU24" s="562"/>
      <c r="AV24" s="562"/>
      <c r="AW24" s="562"/>
      <c r="AX24" s="85"/>
      <c r="AY24" s="657"/>
      <c r="AZ24" s="658"/>
      <c r="BA24" s="660"/>
      <c r="BB24" s="663"/>
      <c r="BC24" s="659"/>
      <c r="BD24" s="244"/>
      <c r="BE24" s="244"/>
      <c r="BG24" s="591" t="str">
        <f aca="false">Horarios!Q23</f>
        <v>España</v>
      </c>
      <c r="BH24" s="592" t="n">
        <f aca="false">1-SUM(BI24:BO24)</f>
        <v>1</v>
      </c>
      <c r="BI24" s="592" t="n">
        <f aca="false">COUNTIF(ADMIN!$M$130:$M$161,Fixture!BG24)-BJ24-BK24-BL24-BM24-BN24-BO24</f>
        <v>0</v>
      </c>
      <c r="BJ24" s="593" t="n">
        <f aca="false">COUNTIF(ADMIN!$M$182:$M$197,Fixture!BG24)-BK24-BL24-BM24-BN24-BO24</f>
        <v>0</v>
      </c>
      <c r="BK24" s="594" t="n">
        <f aca="false">COUNTIF(ADMIN!$M$210:$M$217,Fixture!BG24)-BL24-BM24-BN24-BO24</f>
        <v>0</v>
      </c>
      <c r="BL24" s="594" t="n">
        <f aca="false">COUNTIF(ADMIN!$M$226:$M$229,BG24)-BM24-BN24-BO24</f>
        <v>0</v>
      </c>
      <c r="BM24" s="592" t="n">
        <f aca="false">COUNTIF(ADMIN!$M$252,Fixture!BG24)</f>
        <v>0</v>
      </c>
      <c r="BN24" s="592" t="n">
        <f aca="false">COUNTIF(ADMIN!$M$251,Fixture!BG24)</f>
        <v>0</v>
      </c>
      <c r="BO24" s="595" t="n">
        <f aca="false">COUNTIF(ADMIN!$M$250,Fixture!BG24)</f>
        <v>0</v>
      </c>
    </row>
    <row r="25" customFormat="false" ht="15" hidden="false" customHeight="false" outlineLevel="0" collapsed="false">
      <c r="A25" s="85"/>
      <c r="B25" s="542"/>
      <c r="C25" s="625"/>
      <c r="D25" s="626"/>
      <c r="E25" s="626"/>
      <c r="F25" s="244"/>
      <c r="G25" s="244"/>
      <c r="H25" s="625"/>
      <c r="I25" s="244"/>
      <c r="J25" s="244"/>
      <c r="K25" s="244"/>
      <c r="L25" s="85"/>
      <c r="M25" s="85"/>
      <c r="N25" s="151"/>
      <c r="O25" s="244"/>
      <c r="P25" s="244"/>
      <c r="Q25" s="244"/>
      <c r="R25" s="244"/>
      <c r="S25" s="244"/>
      <c r="T25" s="244"/>
      <c r="U25" s="244"/>
      <c r="V25" s="244"/>
      <c r="W25" s="244"/>
      <c r="X25" s="85"/>
      <c r="Y25" s="85" t="n">
        <v>82</v>
      </c>
      <c r="Z25" s="554" t="s">
        <v>166</v>
      </c>
      <c r="AA25" s="609" t="str">
        <f aca="false">+MID(INDEX(WORLDCUP!$AF$101:$AF$147,MATCH(Y25,WORLDCUP!$Z$101:$Z$147,0)),1,IF(WORLDCUP!$H$113&lt;144,6,3))</f>
        <v>3AEHIJ</v>
      </c>
      <c r="AB25" s="610" t="str">
        <f aca="false">+IF(ISBLANK(INDEX(WORLDCUP!$AD$101:$AD$147,MATCH(Y25,WORLDCUP!$Z$101:$Z$147,0))),"",INDEX(WORLDCUP!$AD$101:$AD$147,MATCH(Y25,WORLDCUP!$Z$101:$Z$147,0)))</f>
        <v/>
      </c>
      <c r="AC25" s="637" t="str">
        <f aca="false">+IF(ISBLANK(INDEX(WORLDCUP!$AE$101:$AE$147,MATCH(Y25,WORLDCUP!$Z$101:$Z$147,0))),"","( "&amp;INDEX(WORLDCUP!$AE$101:$AE$147,MATCH(Y25,WORLDCUP!$Z$101:$Z$147,0))&amp;" )")</f>
        <v/>
      </c>
      <c r="AD25" s="85"/>
      <c r="AE25" s="558"/>
      <c r="AF25" s="558"/>
      <c r="AG25" s="558"/>
      <c r="AH25" s="85"/>
      <c r="AI25" s="588"/>
      <c r="AJ25" s="588"/>
      <c r="AK25" s="588"/>
      <c r="AL25" s="85"/>
      <c r="AM25" s="560"/>
      <c r="AN25" s="560"/>
      <c r="AO25" s="642"/>
      <c r="AP25" s="664"/>
      <c r="AQ25" s="665"/>
      <c r="AR25" s="665"/>
      <c r="AS25" s="665"/>
      <c r="AT25" s="666" t="n">
        <v>104</v>
      </c>
      <c r="AU25" s="667" t="str">
        <f aca="false">+MID(INDEX(WORLDCUP!$AA$101:$AA$147,MATCH(AT25,WORLDCUP!$Z$101:$Z$147,0)),1,4)</f>
        <v>W101</v>
      </c>
      <c r="AV25" s="668" t="str">
        <f aca="false">+IF(ISBLANK(INDEX(WORLDCUP!$AC$101:$AC$147,MATCH(AT25,WORLDCUP!$Z$101:$Z$147,0))),"",INDEX(WORLDCUP!$AC$101:$AC$147,MATCH(AT25,WORLDCUP!$Z$101:$Z$147,0)))</f>
        <v/>
      </c>
      <c r="AW25" s="669" t="str">
        <f aca="false">+IF(ISBLANK(INDEX(WORLDCUP!$AB$101:$AB$147,MATCH(AT25,WORLDCUP!$Z$101:$Z$147,0))),"","( "&amp;INDEX(WORLDCUP!$AB$101:$AB$147,MATCH(AT25,WORLDCUP!$Z$101:$Z$147,0))&amp;" )")</f>
        <v/>
      </c>
      <c r="AX25" s="670"/>
      <c r="AY25" s="657"/>
      <c r="AZ25" s="658" t="str">
        <f aca="false">+WORLDCUP!AA152</f>
        <v>W34</v>
      </c>
      <c r="BA25" s="660"/>
      <c r="BB25" s="663"/>
      <c r="BC25" s="659"/>
      <c r="BD25" s="244"/>
      <c r="BE25" s="244"/>
      <c r="BG25" s="591" t="str">
        <f aca="false">Horarios!Q24</f>
        <v>Estados Unidos</v>
      </c>
      <c r="BH25" s="592" t="n">
        <f aca="false">1-SUM(BI25:BO25)</f>
        <v>1</v>
      </c>
      <c r="BI25" s="592" t="n">
        <f aca="false">COUNTIF(ADMIN!$M$130:$M$161,Fixture!BG25)-BJ25-BK25-BL25-BM25-BN25-BO25</f>
        <v>0</v>
      </c>
      <c r="BJ25" s="593" t="n">
        <f aca="false">COUNTIF(ADMIN!$M$182:$M$197,Fixture!BG25)-BK25-BL25-BM25-BN25-BO25</f>
        <v>0</v>
      </c>
      <c r="BK25" s="594" t="n">
        <f aca="false">COUNTIF(ADMIN!$M$210:$M$217,Fixture!BG25)-BL25-BM25-BN25-BO25</f>
        <v>0</v>
      </c>
      <c r="BL25" s="594" t="n">
        <f aca="false">COUNTIF(ADMIN!$M$226:$M$229,BG25)-BM25-BN25-BO25</f>
        <v>0</v>
      </c>
      <c r="BM25" s="592" t="n">
        <f aca="false">COUNTIF(ADMIN!$M$252,Fixture!BG25)</f>
        <v>0</v>
      </c>
      <c r="BN25" s="592" t="n">
        <f aca="false">COUNTIF(ADMIN!$M$251,Fixture!BG25)</f>
        <v>0</v>
      </c>
      <c r="BO25" s="595" t="n">
        <f aca="false">COUNTIF(ADMIN!$M$250,Fixture!BG25)</f>
        <v>0</v>
      </c>
    </row>
    <row r="26" customFormat="false" ht="15" hidden="false" customHeight="false" outlineLevel="0" collapsed="false">
      <c r="A26" s="85"/>
      <c r="B26" s="542"/>
      <c r="C26" s="625"/>
      <c r="D26" s="626"/>
      <c r="E26" s="626"/>
      <c r="F26" s="244"/>
      <c r="G26" s="244"/>
      <c r="H26" s="625"/>
      <c r="I26" s="244"/>
      <c r="J26" s="244"/>
      <c r="K26" s="244"/>
      <c r="L26" s="85"/>
      <c r="M26" s="85"/>
      <c r="N26" s="151"/>
      <c r="O26" s="244"/>
      <c r="P26" s="244"/>
      <c r="Q26" s="244"/>
      <c r="R26" s="244"/>
      <c r="S26" s="244"/>
      <c r="T26" s="244"/>
      <c r="U26" s="244"/>
      <c r="V26" s="244"/>
      <c r="W26" s="244"/>
      <c r="X26" s="85"/>
      <c r="Y26" s="85"/>
      <c r="Z26" s="554"/>
      <c r="AA26" s="623"/>
      <c r="AB26" s="623"/>
      <c r="AC26" s="623"/>
      <c r="AD26" s="85"/>
      <c r="AE26" s="558"/>
      <c r="AF26" s="558"/>
      <c r="AG26" s="603"/>
      <c r="AH26" s="85"/>
      <c r="AI26" s="588"/>
      <c r="AJ26" s="588"/>
      <c r="AK26" s="588"/>
      <c r="AL26" s="85"/>
      <c r="AM26" s="560"/>
      <c r="AN26" s="560"/>
      <c r="AO26" s="642"/>
      <c r="AP26" s="85"/>
      <c r="AQ26" s="589"/>
      <c r="AR26" s="589"/>
      <c r="AS26" s="589"/>
      <c r="AT26" s="85" t="n">
        <v>104</v>
      </c>
      <c r="AU26" s="667" t="str">
        <f aca="false">+MID(INDEX(WORLDCUP!$AF$101:$AF$147,MATCH(AT26,WORLDCUP!$Z$101:$Z$147,0)),1,4)</f>
        <v>W102</v>
      </c>
      <c r="AV26" s="668" t="str">
        <f aca="false">+IF(ISBLANK(INDEX(WORLDCUP!$AD$101:$AD$147,MATCH(AT26,WORLDCUP!$Z$101:$Z$147,0))),"",INDEX(WORLDCUP!$AD$101:$AD$147,MATCH(AT26,WORLDCUP!$Z$101:$Z$147,0)))</f>
        <v/>
      </c>
      <c r="AW26" s="562" t="str">
        <f aca="false">+IF(ISBLANK(INDEX(WORLDCUP!$AE$101:$AE$147,MATCH(AT26,WORLDCUP!$Z$101:$Z$147,0))),"","( "&amp;INDEX(WORLDCUP!$AE$101:$AE$147,MATCH(AT26,WORLDCUP!$Z$101:$Z$147,0))&amp;" )")</f>
        <v/>
      </c>
      <c r="AX26" s="85"/>
      <c r="AY26" s="657"/>
      <c r="AZ26" s="671"/>
      <c r="BA26" s="660"/>
      <c r="BB26" s="663"/>
      <c r="BC26" s="659"/>
      <c r="BD26" s="244"/>
      <c r="BE26" s="244"/>
      <c r="BG26" s="591" t="str">
        <f aca="false">Horarios!Q25</f>
        <v>Francia</v>
      </c>
      <c r="BH26" s="592" t="n">
        <f aca="false">1-SUM(BI26:BO26)</f>
        <v>1</v>
      </c>
      <c r="BI26" s="592" t="n">
        <f aca="false">COUNTIF(ADMIN!$M$130:$M$161,Fixture!BG26)-BJ26-BK26-BL26-BM26-BN26-BO26</f>
        <v>0</v>
      </c>
      <c r="BJ26" s="593" t="n">
        <f aca="false">COUNTIF(ADMIN!$M$182:$M$197,Fixture!BG26)-BK26-BL26-BM26-BN26-BO26</f>
        <v>0</v>
      </c>
      <c r="BK26" s="594" t="n">
        <f aca="false">COUNTIF(ADMIN!$M$210:$M$217,Fixture!BG26)-BL26-BM26-BN26-BO26</f>
        <v>0</v>
      </c>
      <c r="BL26" s="594" t="n">
        <f aca="false">COUNTIF(ADMIN!$M$226:$M$229,BG26)-BM26-BN26-BO26</f>
        <v>0</v>
      </c>
      <c r="BM26" s="592" t="n">
        <f aca="false">COUNTIF(ADMIN!$M$252,Fixture!BG26)</f>
        <v>0</v>
      </c>
      <c r="BN26" s="592" t="n">
        <f aca="false">COUNTIF(ADMIN!$M$251,Fixture!BG26)</f>
        <v>0</v>
      </c>
      <c r="BO26" s="595" t="n">
        <f aca="false">COUNTIF(ADMIN!$M$250,Fixture!BG26)</f>
        <v>0</v>
      </c>
    </row>
    <row r="27" customFormat="false" ht="15" hidden="false" customHeight="false" outlineLevel="0" collapsed="false">
      <c r="A27" s="85" t="n">
        <v>4</v>
      </c>
      <c r="B27" s="672" t="s">
        <v>102</v>
      </c>
      <c r="C27" s="546" t="str">
        <f aca="false">+MID(INDEX(WORLDCUP!$AA$4:$AA$147,MATCH(A27,WORLDCUP!$AH$4:$AH$147,0)),1,3)</f>
        <v>Est</v>
      </c>
      <c r="D27" s="547" t="n">
        <f aca="false">IF(ISBLANK(INDEX(WORLDCUP!$AC$4:$AC$147,MATCH(A27,WORLDCUP!$AH$4:$AH$147,0))),"",INDEX(WORLDCUP!$AC$4:$AC$147,MATCH(A27,WORLDCUP!$AH$4:$AH$147,0)))</f>
        <v>4</v>
      </c>
      <c r="E27" s="547" t="n">
        <f aca="false">IF(ISBLANK(INDEX(WORLDCUP!$AD$4:$AD$147,MATCH(A27,WORLDCUP!$AH$4:$AH$147,0))),"",INDEX(WORLDCUP!$AD$4:$AD$147,MATCH(A27,WORLDCUP!$AH$4:$AH$147,0)))</f>
        <v>1</v>
      </c>
      <c r="F27" s="548" t="str">
        <f aca="false">+MID(INDEX(WORLDCUP!$AF$4:$AF$147,MATCH(A27,WORLDCUP!$AH$4:$AH$147,0)),1,3)</f>
        <v>Par</v>
      </c>
      <c r="G27" s="549"/>
      <c r="H27" s="550" t="str">
        <f aca="false">+H19</f>
        <v>Sel</v>
      </c>
      <c r="I27" s="551" t="str">
        <f aca="false">+I19</f>
        <v>Pts</v>
      </c>
      <c r="J27" s="551" t="str">
        <f aca="false">+J19</f>
        <v>DG</v>
      </c>
      <c r="K27" s="552" t="str">
        <f aca="false">+K19</f>
        <v>GF-GC</v>
      </c>
      <c r="L27" s="85"/>
      <c r="M27" s="85" t="n">
        <v>19</v>
      </c>
      <c r="N27" s="673" t="s">
        <v>135</v>
      </c>
      <c r="O27" s="546" t="str">
        <f aca="false">+MID(INDEX(WORLDCUP!$AA$4:$AA$147,MATCH(M27,WORLDCUP!$AH$4:$AH$147,0)),1,3)</f>
        <v>Arg</v>
      </c>
      <c r="P27" s="547" t="str">
        <f aca="false">IF(ISBLANK(INDEX(WORLDCUP!$AC$4:$AC$147,MATCH(M27,WORLDCUP!$AH$4:$AH$147,0))),"",INDEX(WORLDCUP!$AC$4:$AC$147,MATCH(M27,WORLDCUP!$AH$4:$AH$147,0)))</f>
        <v/>
      </c>
      <c r="Q27" s="547" t="str">
        <f aca="false">IF(ISBLANK(INDEX(WORLDCUP!$AD$4:$AD$147,MATCH(M27,WORLDCUP!$AH$4:$AH$147,0))),"",INDEX(WORLDCUP!$AD$4:$AD$147,MATCH(M27,WORLDCUP!$AH$4:$AH$147,0)))</f>
        <v/>
      </c>
      <c r="R27" s="548" t="str">
        <f aca="false">+MID(INDEX(WORLDCUP!$AF$4:$AF$147,MATCH(M27,WORLDCUP!$AH$4:$AH$147,0)),1,3)</f>
        <v>Arg</v>
      </c>
      <c r="S27" s="549"/>
      <c r="T27" s="550" t="str">
        <f aca="false">+T19</f>
        <v>Sel</v>
      </c>
      <c r="U27" s="551" t="str">
        <f aca="false">+U19</f>
        <v>Pts</v>
      </c>
      <c r="V27" s="551" t="str">
        <f aca="false">+V19</f>
        <v>DG</v>
      </c>
      <c r="W27" s="552" t="str">
        <f aca="false">+W19</f>
        <v>GF-GC</v>
      </c>
      <c r="X27" s="85"/>
      <c r="Y27" s="85" t="n">
        <v>76</v>
      </c>
      <c r="Z27" s="554" t="s">
        <v>87</v>
      </c>
      <c r="AA27" s="555" t="str">
        <f aca="false">+MID(INDEX(WORLDCUP!$AA$101:$AA$147,MATCH(Y27,WORLDCUP!$Z$101:$Z$147,0)),1,3)</f>
        <v>1C</v>
      </c>
      <c r="AB27" s="556" t="str">
        <f aca="false">+IF(ISBLANK(INDEX(WORLDCUP!$AC$101:$AC$147,MATCH(Y27,WORLDCUP!$Z$101:$Z$147,0))),"",INDEX(WORLDCUP!$AC$101:$AC$147,MATCH(Y27,WORLDCUP!$Z$101:$Z$147,0)))</f>
        <v/>
      </c>
      <c r="AC27" s="627" t="str">
        <f aca="false">+IF(ISBLANK(INDEX(WORLDCUP!$AB$101:$AB$147,MATCH(Y27,WORLDCUP!$Z$101:$Z$147,0))),"","( "&amp;INDEX(WORLDCUP!$AB$101:$AB$147,MATCH(Y27,WORLDCUP!$Z$101:$Z$147,0))&amp;" )")</f>
        <v/>
      </c>
      <c r="AD27" s="50"/>
      <c r="AE27" s="558"/>
      <c r="AF27" s="558"/>
      <c r="AG27" s="558"/>
      <c r="AH27" s="85"/>
      <c r="AI27" s="588"/>
      <c r="AJ27" s="588"/>
      <c r="AK27" s="588"/>
      <c r="AL27" s="85"/>
      <c r="AM27" s="560"/>
      <c r="AN27" s="560"/>
      <c r="AO27" s="642"/>
      <c r="AP27" s="471"/>
      <c r="AQ27" s="589"/>
      <c r="AR27" s="589"/>
      <c r="AS27" s="589"/>
      <c r="AT27" s="85"/>
      <c r="AU27" s="562"/>
      <c r="AV27" s="562"/>
      <c r="AW27" s="562"/>
      <c r="AX27" s="85"/>
      <c r="AY27" s="657"/>
      <c r="AZ27" s="671"/>
      <c r="BA27" s="660"/>
      <c r="BB27" s="663"/>
      <c r="BC27" s="659"/>
      <c r="BD27" s="244"/>
      <c r="BE27" s="244"/>
      <c r="BG27" s="591" t="str">
        <f aca="false">Horarios!Q26</f>
        <v>Ghana</v>
      </c>
      <c r="BH27" s="592" t="n">
        <f aca="false">1-SUM(BI27:BO27)</f>
        <v>1</v>
      </c>
      <c r="BI27" s="592" t="n">
        <f aca="false">COUNTIF(ADMIN!$M$130:$M$161,Fixture!BG27)-BJ27-BK27-BL27-BM27-BN27-BO27</f>
        <v>0</v>
      </c>
      <c r="BJ27" s="593" t="n">
        <f aca="false">COUNTIF(ADMIN!$M$182:$M$197,Fixture!BG27)-BK27-BL27-BM27-BN27-BO27</f>
        <v>0</v>
      </c>
      <c r="BK27" s="594" t="n">
        <f aca="false">COUNTIF(ADMIN!$M$210:$M$217,Fixture!BG27)-BL27-BM27-BN27-BO27</f>
        <v>0</v>
      </c>
      <c r="BL27" s="594" t="n">
        <f aca="false">COUNTIF(ADMIN!$M$226:$M$229,BG27)-BM27-BN27-BO27</f>
        <v>0</v>
      </c>
      <c r="BM27" s="592" t="n">
        <f aca="false">COUNTIF(ADMIN!$M$252,Fixture!BG27)</f>
        <v>0</v>
      </c>
      <c r="BN27" s="592" t="n">
        <f aca="false">COUNTIF(ADMIN!$M$251,Fixture!BG27)</f>
        <v>0</v>
      </c>
      <c r="BO27" s="595" t="n">
        <f aca="false">COUNTIF(ADMIN!$M$250,Fixture!BG27)</f>
        <v>0</v>
      </c>
    </row>
    <row r="28" customFormat="false" ht="15" hidden="false" customHeight="false" outlineLevel="0" collapsed="false">
      <c r="A28" s="85" t="n">
        <v>6</v>
      </c>
      <c r="B28" s="674"/>
      <c r="C28" s="573" t="str">
        <f aca="false">+MID(INDEX(WORLDCUP!$AA$4:$AA$147,MATCH(A28,WORLDCUP!$AH$4:$AH$147,0)),1,3)</f>
        <v>Aus</v>
      </c>
      <c r="D28" s="574" t="n">
        <f aca="false">IF(ISBLANK(INDEX(WORLDCUP!$AC$4:$AC$147,MATCH(A28,WORLDCUP!$AH$4:$AH$147,0))),"",INDEX(WORLDCUP!$AC$4:$AC$147,MATCH(A28,WORLDCUP!$AH$4:$AH$147,0)))</f>
        <v>2</v>
      </c>
      <c r="E28" s="574" t="n">
        <f aca="false">IF(ISBLANK(INDEX(WORLDCUP!$AD$4:$AD$147,MATCH(A28,WORLDCUP!$AH$4:$AH$147,0))),"",INDEX(WORLDCUP!$AD$4:$AD$147,MATCH(A28,WORLDCUP!$AH$4:$AH$147,0)))</f>
        <v>0</v>
      </c>
      <c r="F28" s="575" t="str">
        <f aca="false">+MID(INDEX(WORLDCUP!$AF$4:$AF$147,MATCH(A28,WORLDCUP!$AH$4:$AH$147,0)),1,3)</f>
        <v>Tur</v>
      </c>
      <c r="G28" s="576" t="n">
        <v>1</v>
      </c>
      <c r="H28" s="577" t="str">
        <f aca="false">+MID(INDEX(WORLDCUP!$AL$6:$AL$97,MATCH(L28,WORLDCUP!$AI$6:$AI$97,0)),1,3)</f>
        <v>Est</v>
      </c>
      <c r="I28" s="578" t="n">
        <f aca="false">+INDEX(WORLDCUP!$AM$6:$AM$97,MATCH(L28,WORLDCUP!$AI$6:$AI$97,0))</f>
        <v>3</v>
      </c>
      <c r="J28" s="579" t="n">
        <f aca="false">+INDEX(WORLDCUP!$AT$6:$AT$97,MATCH(L28,WORLDCUP!$AI$6:$AI$97,0))</f>
        <v>3</v>
      </c>
      <c r="K28" s="580" t="str">
        <f aca="false">+INDEX(WORLDCUP!$AR$6:$AR$97,MATCH(L28,WORLDCUP!$AI$6:$AI$97,0))&amp;"-"&amp;INDEX(WORLDCUP!$AS$6:$AS$97,MATCH(L28,WORLDCUP!$AI$6:$AI$97,0))</f>
        <v>4-1</v>
      </c>
      <c r="L28" s="85" t="s">
        <v>91</v>
      </c>
      <c r="M28" s="85" t="n">
        <v>20</v>
      </c>
      <c r="N28" s="675"/>
      <c r="O28" s="573" t="str">
        <f aca="false">+MID(INDEX(WORLDCUP!$AA$4:$AA$147,MATCH(M28,WORLDCUP!$AH$4:$AH$147,0)),1,3)</f>
        <v>Aus</v>
      </c>
      <c r="P28" s="574" t="str">
        <f aca="false">IF(ISBLANK(INDEX(WORLDCUP!$AC$4:$AC$147,MATCH(M28,WORLDCUP!$AH$4:$AH$147,0))),"",INDEX(WORLDCUP!$AC$4:$AC$147,MATCH(M28,WORLDCUP!$AH$4:$AH$147,0)))</f>
        <v/>
      </c>
      <c r="Q28" s="574" t="str">
        <f aca="false">IF(ISBLANK(INDEX(WORLDCUP!$AD$4:$AD$147,MATCH(M28,WORLDCUP!$AH$4:$AH$147,0))),"",INDEX(WORLDCUP!$AD$4:$AD$147,MATCH(M28,WORLDCUP!$AH$4:$AH$147,0)))</f>
        <v/>
      </c>
      <c r="R28" s="575" t="str">
        <f aca="false">+MID(INDEX(WORLDCUP!$AF$4:$AF$147,MATCH(M28,WORLDCUP!$AH$4:$AH$147,0)),1,3)</f>
        <v>Jor</v>
      </c>
      <c r="S28" s="576" t="n">
        <v>1</v>
      </c>
      <c r="T28" s="577" t="str">
        <f aca="false">+MID(INDEX(WORLDCUP!$AL$6:$AL$97,MATCH(X28,WORLDCUP!$AI$6:$AI$97,0)),1,3)</f>
        <v>Arg</v>
      </c>
      <c r="U28" s="578" t="n">
        <f aca="false">+INDEX(WORLDCUP!$AM$6:$AM$97,MATCH(X28,WORLDCUP!$AI$6:$AI$97,0))</f>
        <v>0</v>
      </c>
      <c r="V28" s="579" t="n">
        <f aca="false">+INDEX(WORLDCUP!$AT$6:$AT$97,MATCH(X28,WORLDCUP!$AI$6:$AI$97,0))</f>
        <v>0</v>
      </c>
      <c r="W28" s="580" t="str">
        <f aca="false">+INDEX(WORLDCUP!$AR$6:$AR$97,MATCH(X28,WORLDCUP!$AI$6:$AI$97,0))&amp;"-"&amp;INDEX(WORLDCUP!$AS$6:$AS$97,MATCH(X28,WORLDCUP!$AI$6:$AI$97,0))</f>
        <v>0-0</v>
      </c>
      <c r="X28" s="85" t="s">
        <v>118</v>
      </c>
      <c r="Y28" s="85" t="n">
        <v>76</v>
      </c>
      <c r="Z28" s="554" t="s">
        <v>101</v>
      </c>
      <c r="AA28" s="555" t="str">
        <f aca="false">+MID(INDEX(WORLDCUP!$AF$101:$AF$147,MATCH(Y28,WORLDCUP!$Z$101:$Z$147,0)),1,3)</f>
        <v>2F</v>
      </c>
      <c r="AB28" s="582" t="str">
        <f aca="false">+IF(ISBLANK(INDEX(WORLDCUP!$AD$101:$AD$147,MATCH(Y28,WORLDCUP!$Z$101:$Z$147,0))),"",INDEX(WORLDCUP!$AD$101:$AD$147,MATCH(Y28,WORLDCUP!$Z$101:$Z$147,0)))</f>
        <v/>
      </c>
      <c r="AC28" s="583" t="str">
        <f aca="false">+IF(ISBLANK(INDEX(WORLDCUP!$AE$101:$AE$147,MATCH(Y28,WORLDCUP!$Z$101:$Z$147,0))),"","( "&amp;INDEX(WORLDCUP!$AE$101:$AE$147,MATCH(Y28,WORLDCUP!$Z$101:$Z$147,0))&amp;" )")</f>
        <v/>
      </c>
      <c r="AD28" s="584" t="n">
        <v>91</v>
      </c>
      <c r="AE28" s="585" t="str">
        <f aca="false">+MID(INDEX(WORLDCUP!$AA$101:$AA$147,MATCH(AD28,WORLDCUP!$Z$101:$Z$147,0)),1,3)</f>
        <v>W76</v>
      </c>
      <c r="AF28" s="586" t="str">
        <f aca="false">+IF(ISBLANK(INDEX(WORLDCUP!$AC$101:$AC$147,MATCH(AD28,WORLDCUP!$Z$101:$Z$147,0))),"",INDEX(WORLDCUP!$AC$101:$AC$147,MATCH(AD28,WORLDCUP!$Z$101:$Z$147,0)))</f>
        <v/>
      </c>
      <c r="AG28" s="587" t="str">
        <f aca="false">+IF(ISBLANK(INDEX(WORLDCUP!$AB$101:$AB$147,MATCH(AD28,WORLDCUP!$Z$101:$Z$147,0))),"","( "&amp;INDEX(WORLDCUP!$AB$101:$AB$147,MATCH(AD28,WORLDCUP!$Z$101:$Z$147,0))&amp;" )")</f>
        <v/>
      </c>
      <c r="AH28" s="85"/>
      <c r="AI28" s="588"/>
      <c r="AJ28" s="588"/>
      <c r="AK28" s="588"/>
      <c r="AL28" s="85"/>
      <c r="AM28" s="560"/>
      <c r="AN28" s="560"/>
      <c r="AO28" s="642"/>
      <c r="AP28" s="471"/>
      <c r="AQ28" s="589"/>
      <c r="AR28" s="589"/>
      <c r="AS28" s="589"/>
      <c r="AT28" s="85"/>
      <c r="AU28" s="562"/>
      <c r="AV28" s="562"/>
      <c r="AW28" s="562"/>
      <c r="AX28" s="85"/>
      <c r="AY28" s="657"/>
      <c r="AZ28" s="671"/>
      <c r="BA28" s="660"/>
      <c r="BB28" s="663"/>
      <c r="BC28" s="659"/>
      <c r="BD28" s="244"/>
      <c r="BE28" s="244"/>
      <c r="BG28" s="591" t="str">
        <f aca="false">Horarios!Q27</f>
        <v>Haití</v>
      </c>
      <c r="BH28" s="592" t="n">
        <f aca="false">1-SUM(BI28:BO28)</f>
        <v>1</v>
      </c>
      <c r="BI28" s="592" t="n">
        <f aca="false">COUNTIF(ADMIN!$M$130:$M$161,Fixture!BG28)-BJ28-BK28-BL28-BM28-BN28-BO28</f>
        <v>0</v>
      </c>
      <c r="BJ28" s="593" t="n">
        <f aca="false">COUNTIF(ADMIN!$M$182:$M$197,Fixture!BG28)-BK28-BL28-BM28-BN28-BO28</f>
        <v>0</v>
      </c>
      <c r="BK28" s="594" t="n">
        <f aca="false">COUNTIF(ADMIN!$M$210:$M$217,Fixture!BG28)-BL28-BM28-BN28-BO28</f>
        <v>0</v>
      </c>
      <c r="BL28" s="594" t="n">
        <f aca="false">COUNTIF(ADMIN!$M$226:$M$229,BG28)-BM28-BN28-BO28</f>
        <v>0</v>
      </c>
      <c r="BM28" s="592" t="n">
        <f aca="false">COUNTIF(ADMIN!$M$252,Fixture!BG28)</f>
        <v>0</v>
      </c>
      <c r="BN28" s="592" t="n">
        <f aca="false">COUNTIF(ADMIN!$M$251,Fixture!BG28)</f>
        <v>0</v>
      </c>
      <c r="BO28" s="595" t="n">
        <f aca="false">COUNTIF(ADMIN!$M$250,Fixture!BG28)</f>
        <v>0</v>
      </c>
    </row>
    <row r="29" customFormat="false" ht="15" hidden="false" customHeight="false" outlineLevel="0" collapsed="false">
      <c r="A29" s="85" t="n">
        <v>32</v>
      </c>
      <c r="B29" s="674"/>
      <c r="C29" s="573" t="str">
        <f aca="false">+MID(INDEX(WORLDCUP!$AA$4:$AA$147,MATCH(A29,WORLDCUP!$AH$4:$AH$147,0)),1,3)</f>
        <v>Est</v>
      </c>
      <c r="D29" s="574" t="str">
        <f aca="false">IF(ISBLANK(INDEX(WORLDCUP!$AC$4:$AC$147,MATCH(A29,WORLDCUP!$AH$4:$AH$147,0))),"",INDEX(WORLDCUP!$AC$4:$AC$147,MATCH(A29,WORLDCUP!$AH$4:$AH$147,0)))</f>
        <v/>
      </c>
      <c r="E29" s="574" t="str">
        <f aca="false">IF(ISBLANK(INDEX(WORLDCUP!$AD$4:$AD$147,MATCH(A29,WORLDCUP!$AH$4:$AH$147,0))),"",INDEX(WORLDCUP!$AD$4:$AD$147,MATCH(A29,WORLDCUP!$AH$4:$AH$147,0)))</f>
        <v/>
      </c>
      <c r="F29" s="575" t="str">
        <f aca="false">+MID(INDEX(WORLDCUP!$AF$4:$AF$147,MATCH(A29,WORLDCUP!$AH$4:$AH$147,0)),1,3)</f>
        <v>Aus</v>
      </c>
      <c r="G29" s="596" t="n">
        <v>2</v>
      </c>
      <c r="H29" s="597" t="str">
        <f aca="false">+MID(INDEX(WORLDCUP!$AL$6:$AL$97,MATCH(L29,WORLDCUP!$AI$6:$AI$97,0)),1,3)</f>
        <v>Aus</v>
      </c>
      <c r="I29" s="124" t="n">
        <f aca="false">+INDEX(WORLDCUP!$AM$6:$AM$97,MATCH(L29,WORLDCUP!$AI$6:$AI$97,0))</f>
        <v>3</v>
      </c>
      <c r="J29" s="125" t="n">
        <f aca="false">+INDEX(WORLDCUP!$AT$6:$AT$97,MATCH(L29,WORLDCUP!$AI$6:$AI$97,0))</f>
        <v>2</v>
      </c>
      <c r="K29" s="231" t="str">
        <f aca="false">+INDEX(WORLDCUP!$AR$6:$AR$97,MATCH(L29,WORLDCUP!$AI$6:$AI$97,0))&amp;"-"&amp;INDEX(WORLDCUP!$AS$6:$AS$97,MATCH(L29,WORLDCUP!$AI$6:$AI$97,0))</f>
        <v>2-0</v>
      </c>
      <c r="L29" s="85" t="s">
        <v>92</v>
      </c>
      <c r="M29" s="85" t="n">
        <v>43</v>
      </c>
      <c r="N29" s="675"/>
      <c r="O29" s="573" t="str">
        <f aca="false">+MID(INDEX(WORLDCUP!$AA$4:$AA$147,MATCH(M29,WORLDCUP!$AH$4:$AH$147,0)),1,3)</f>
        <v>Arg</v>
      </c>
      <c r="P29" s="574" t="str">
        <f aca="false">IF(ISBLANK(INDEX(WORLDCUP!$AC$4:$AC$147,MATCH(M29,WORLDCUP!$AH$4:$AH$147,0))),"",INDEX(WORLDCUP!$AC$4:$AC$147,MATCH(M29,WORLDCUP!$AH$4:$AH$147,0)))</f>
        <v/>
      </c>
      <c r="Q29" s="574" t="str">
        <f aca="false">IF(ISBLANK(INDEX(WORLDCUP!$AD$4:$AD$147,MATCH(M29,WORLDCUP!$AH$4:$AH$147,0))),"",INDEX(WORLDCUP!$AD$4:$AD$147,MATCH(M29,WORLDCUP!$AH$4:$AH$147,0)))</f>
        <v/>
      </c>
      <c r="R29" s="575" t="str">
        <f aca="false">+MID(INDEX(WORLDCUP!$AF$4:$AF$147,MATCH(M29,WORLDCUP!$AH$4:$AH$147,0)),1,3)</f>
        <v>Aus</v>
      </c>
      <c r="S29" s="596" t="n">
        <v>2</v>
      </c>
      <c r="T29" s="597" t="str">
        <f aca="false">+MID(INDEX(WORLDCUP!$AL$6:$AL$97,MATCH(X29,WORLDCUP!$AI$6:$AI$97,0)),1,3)</f>
        <v>Arg</v>
      </c>
      <c r="U29" s="124" t="n">
        <f aca="false">+INDEX(WORLDCUP!$AM$6:$AM$97,MATCH(X29,WORLDCUP!$AI$6:$AI$97,0))</f>
        <v>0</v>
      </c>
      <c r="V29" s="125" t="n">
        <f aca="false">+INDEX(WORLDCUP!$AT$6:$AT$97,MATCH(X29,WORLDCUP!$AI$6:$AI$97,0))</f>
        <v>0</v>
      </c>
      <c r="W29" s="231" t="str">
        <f aca="false">+INDEX(WORLDCUP!$AR$6:$AR$97,MATCH(X29,WORLDCUP!$AI$6:$AI$97,0))&amp;"-"&amp;INDEX(WORLDCUP!$AS$6:$AS$97,MATCH(X29,WORLDCUP!$AI$6:$AI$97,0))</f>
        <v>0-0</v>
      </c>
      <c r="X29" s="85" t="s">
        <v>119</v>
      </c>
      <c r="Y29" s="85"/>
      <c r="Z29" s="554"/>
      <c r="AA29" s="598"/>
      <c r="AB29" s="598"/>
      <c r="AC29" s="599"/>
      <c r="AD29" s="85" t="n">
        <v>91</v>
      </c>
      <c r="AE29" s="585" t="str">
        <f aca="false">+MID(INDEX(WORLDCUP!$AF$101:$AF$147,MATCH(AD29,WORLDCUP!$Z$101:$Z$147,0)),1,3)</f>
        <v>W78</v>
      </c>
      <c r="AF29" s="586" t="str">
        <f aca="false">+IF(ISBLANK(INDEX(WORLDCUP!$AD$101:$AD$147,MATCH(AD29,WORLDCUP!$Z$101:$Z$147,0))),"",INDEX(WORLDCUP!$AD$101:$AD$147,MATCH(AD29,WORLDCUP!$Z$101:$Z$147,0)))</f>
        <v/>
      </c>
      <c r="AG29" s="645" t="str">
        <f aca="false">+IF(ISBLANK(INDEX(WORLDCUP!$AE$101:$AE$147,MATCH(AD29,WORLDCUP!$Z$101:$Z$147,0))),"","( "&amp;INDEX(WORLDCUP!$AE$101:$AE$147,MATCH(AD29,WORLDCUP!$Z$101:$Z$147,0))&amp;" )")</f>
        <v/>
      </c>
      <c r="AH29" s="85"/>
      <c r="AI29" s="588"/>
      <c r="AJ29" s="588"/>
      <c r="AK29" s="588"/>
      <c r="AL29" s="85"/>
      <c r="AM29" s="560"/>
      <c r="AN29" s="560"/>
      <c r="AO29" s="642"/>
      <c r="AP29" s="471"/>
      <c r="AQ29" s="589"/>
      <c r="AR29" s="589"/>
      <c r="AS29" s="589"/>
      <c r="AT29" s="85"/>
      <c r="AU29" s="562"/>
      <c r="AV29" s="562"/>
      <c r="AW29" s="562"/>
      <c r="AX29" s="85"/>
      <c r="AY29" s="657"/>
      <c r="AZ29" s="671"/>
      <c r="BA29" s="660"/>
      <c r="BB29" s="663"/>
      <c r="BC29" s="659"/>
      <c r="BD29" s="244"/>
      <c r="BE29" s="244"/>
      <c r="BG29" s="591" t="str">
        <f aca="false">Horarios!Q28</f>
        <v>Inglaterra</v>
      </c>
      <c r="BH29" s="592" t="n">
        <f aca="false">1-SUM(BI29:BO29)</f>
        <v>1</v>
      </c>
      <c r="BI29" s="592" t="n">
        <f aca="false">COUNTIF(ADMIN!$M$130:$M$161,Fixture!BG29)-BJ29-BK29-BL29-BM29-BN29-BO29</f>
        <v>0</v>
      </c>
      <c r="BJ29" s="593" t="n">
        <f aca="false">COUNTIF(ADMIN!$M$182:$M$197,Fixture!BG29)-BK29-BL29-BM29-BN29-BO29</f>
        <v>0</v>
      </c>
      <c r="BK29" s="594" t="n">
        <f aca="false">COUNTIF(ADMIN!$M$210:$M$217,Fixture!BG29)-BL29-BM29-BN29-BO29</f>
        <v>0</v>
      </c>
      <c r="BL29" s="594" t="n">
        <f aca="false">COUNTIF(ADMIN!$M$226:$M$229,BG29)-BM29-BN29-BO29</f>
        <v>0</v>
      </c>
      <c r="BM29" s="592" t="n">
        <f aca="false">COUNTIF(ADMIN!$M$252,Fixture!BG29)</f>
        <v>0</v>
      </c>
      <c r="BN29" s="592" t="n">
        <f aca="false">COUNTIF(ADMIN!$M$251,Fixture!BG29)</f>
        <v>0</v>
      </c>
      <c r="BO29" s="595" t="n">
        <f aca="false">COUNTIF(ADMIN!$M$250,Fixture!BG29)</f>
        <v>0</v>
      </c>
    </row>
    <row r="30" customFormat="false" ht="15" hidden="false" customHeight="false" outlineLevel="0" collapsed="false">
      <c r="A30" s="85" t="n">
        <v>31</v>
      </c>
      <c r="B30" s="674"/>
      <c r="C30" s="573" t="str">
        <f aca="false">+MID(INDEX(WORLDCUP!$AA$4:$AA$147,MATCH(A30,WORLDCUP!$AH$4:$AH$147,0)),1,3)</f>
        <v>Tur</v>
      </c>
      <c r="D30" s="574" t="str">
        <f aca="false">IF(ISBLANK(INDEX(WORLDCUP!$AC$4:$AC$147,MATCH(A30,WORLDCUP!$AH$4:$AH$147,0))),"",INDEX(WORLDCUP!$AC$4:$AC$147,MATCH(A30,WORLDCUP!$AH$4:$AH$147,0)))</f>
        <v/>
      </c>
      <c r="E30" s="574" t="str">
        <f aca="false">IF(ISBLANK(INDEX(WORLDCUP!$AD$4:$AD$147,MATCH(A30,WORLDCUP!$AH$4:$AH$147,0))),"",INDEX(WORLDCUP!$AD$4:$AD$147,MATCH(A30,WORLDCUP!$AH$4:$AH$147,0)))</f>
        <v/>
      </c>
      <c r="F30" s="575" t="str">
        <f aca="false">+MID(INDEX(WORLDCUP!$AF$4:$AF$147,MATCH(A30,WORLDCUP!$AH$4:$AH$147,0)),1,3)</f>
        <v>Par</v>
      </c>
      <c r="G30" s="596" t="n">
        <v>3</v>
      </c>
      <c r="H30" s="597" t="str">
        <f aca="false">+MID(INDEX(WORLDCUP!$AL$6:$AL$97,MATCH(L30,WORLDCUP!$AI$6:$AI$97,0)),1,3)</f>
        <v>Tur</v>
      </c>
      <c r="I30" s="124" t="n">
        <f aca="false">+INDEX(WORLDCUP!$AM$6:$AM$97,MATCH(L30,WORLDCUP!$AI$6:$AI$97,0))</f>
        <v>0</v>
      </c>
      <c r="J30" s="125" t="n">
        <f aca="false">+INDEX(WORLDCUP!$AT$6:$AT$97,MATCH(L30,WORLDCUP!$AI$6:$AI$97,0))</f>
        <v>-2</v>
      </c>
      <c r="K30" s="231" t="str">
        <f aca="false">+INDEX(WORLDCUP!$AR$6:$AR$97,MATCH(L30,WORLDCUP!$AI$6:$AI$97,0))&amp;"-"&amp;INDEX(WORLDCUP!$AS$6:$AS$97,MATCH(L30,WORLDCUP!$AI$6:$AI$97,0))</f>
        <v>0-2</v>
      </c>
      <c r="L30" s="85" t="s">
        <v>94</v>
      </c>
      <c r="M30" s="85" t="n">
        <v>44</v>
      </c>
      <c r="N30" s="675"/>
      <c r="O30" s="573" t="str">
        <f aca="false">+MID(INDEX(WORLDCUP!$AA$4:$AA$147,MATCH(M30,WORLDCUP!$AH$4:$AH$147,0)),1,3)</f>
        <v>Jor</v>
      </c>
      <c r="P30" s="574" t="str">
        <f aca="false">IF(ISBLANK(INDEX(WORLDCUP!$AC$4:$AC$147,MATCH(M30,WORLDCUP!$AH$4:$AH$147,0))),"",INDEX(WORLDCUP!$AC$4:$AC$147,MATCH(M30,WORLDCUP!$AH$4:$AH$147,0)))</f>
        <v/>
      </c>
      <c r="Q30" s="574" t="str">
        <f aca="false">IF(ISBLANK(INDEX(WORLDCUP!$AD$4:$AD$147,MATCH(M30,WORLDCUP!$AH$4:$AH$147,0))),"",INDEX(WORLDCUP!$AD$4:$AD$147,MATCH(M30,WORLDCUP!$AH$4:$AH$147,0)))</f>
        <v/>
      </c>
      <c r="R30" s="575" t="str">
        <f aca="false">+MID(INDEX(WORLDCUP!$AF$4:$AF$147,MATCH(M30,WORLDCUP!$AH$4:$AH$147,0)),1,3)</f>
        <v>Arg</v>
      </c>
      <c r="S30" s="596" t="n">
        <v>3</v>
      </c>
      <c r="T30" s="597" t="str">
        <f aca="false">+MID(INDEX(WORLDCUP!$AL$6:$AL$97,MATCH(X30,WORLDCUP!$AI$6:$AI$97,0)),1,3)</f>
        <v>Aus</v>
      </c>
      <c r="U30" s="124" t="n">
        <f aca="false">+INDEX(WORLDCUP!$AM$6:$AM$97,MATCH(X30,WORLDCUP!$AI$6:$AI$97,0))</f>
        <v>0</v>
      </c>
      <c r="V30" s="125" t="n">
        <f aca="false">+INDEX(WORLDCUP!$AT$6:$AT$97,MATCH(X30,WORLDCUP!$AI$6:$AI$97,0))</f>
        <v>0</v>
      </c>
      <c r="W30" s="231" t="str">
        <f aca="false">+INDEX(WORLDCUP!$AR$6:$AR$97,MATCH(X30,WORLDCUP!$AI$6:$AI$97,0))&amp;"-"&amp;INDEX(WORLDCUP!$AS$6:$AS$97,MATCH(X30,WORLDCUP!$AI$6:$AI$97,0))</f>
        <v>0-0</v>
      </c>
      <c r="X30" s="85" t="s">
        <v>121</v>
      </c>
      <c r="Y30" s="85" t="n">
        <v>78</v>
      </c>
      <c r="Z30" s="554" t="s">
        <v>97</v>
      </c>
      <c r="AA30" s="555" t="str">
        <f aca="false">+MID(INDEX(WORLDCUP!$AA$101:$AA$147,MATCH(Y30,WORLDCUP!$Z$101:$Z$147,0)),1,3)</f>
        <v>2E</v>
      </c>
      <c r="AB30" s="601" t="str">
        <f aca="false">+IF(ISBLANK(INDEX(WORLDCUP!$AC$101:$AC$147,MATCH(Y30,WORLDCUP!$Z$101:$Z$147,0))),"",INDEX(WORLDCUP!$AC$101:$AC$147,MATCH(Y30,WORLDCUP!$Z$101:$Z$147,0)))</f>
        <v/>
      </c>
      <c r="AC30" s="636" t="str">
        <f aca="false">+IF(ISBLANK(INDEX(WORLDCUP!$AB$101:$AB$147,MATCH(Y30,WORLDCUP!$Z$101:$Z$147,0))),"","( "&amp;INDEX(WORLDCUP!$AB$101:$AB$147,MATCH(Y30,WORLDCUP!$Z$101:$Z$147,0))&amp;" )")</f>
        <v/>
      </c>
      <c r="AD30" s="85"/>
      <c r="AE30" s="603"/>
      <c r="AF30" s="603"/>
      <c r="AG30" s="604"/>
      <c r="AH30" s="85"/>
      <c r="AI30" s="588"/>
      <c r="AJ30" s="588"/>
      <c r="AK30" s="588"/>
      <c r="AL30" s="85"/>
      <c r="AM30" s="560"/>
      <c r="AN30" s="560"/>
      <c r="AO30" s="642"/>
      <c r="AP30" s="85"/>
      <c r="AQ30" s="589"/>
      <c r="AR30" s="589"/>
      <c r="AS30" s="589"/>
      <c r="AT30" s="85"/>
      <c r="AU30" s="562"/>
      <c r="AV30" s="562"/>
      <c r="AW30" s="562"/>
      <c r="AX30" s="85"/>
      <c r="AY30" s="657"/>
      <c r="AZ30" s="671"/>
      <c r="BA30" s="660"/>
      <c r="BB30" s="663"/>
      <c r="BC30" s="659"/>
      <c r="BD30" s="244"/>
      <c r="BE30" s="244"/>
      <c r="BG30" s="591" t="str">
        <f aca="false">Horarios!Q29</f>
        <v>Irak</v>
      </c>
      <c r="BH30" s="592" t="n">
        <f aca="false">1-SUM(BI30:BO30)</f>
        <v>1</v>
      </c>
      <c r="BI30" s="592" t="n">
        <f aca="false">COUNTIF(ADMIN!$M$130:$M$161,Fixture!BG30)-BJ30-BK30-BL30-BM30-BN30-BO30</f>
        <v>0</v>
      </c>
      <c r="BJ30" s="593" t="n">
        <f aca="false">COUNTIF(ADMIN!$M$182:$M$197,Fixture!BG30)-BK30-BL30-BM30-BN30-BO30</f>
        <v>0</v>
      </c>
      <c r="BK30" s="594" t="n">
        <f aca="false">COUNTIF(ADMIN!$M$210:$M$217,Fixture!BG30)-BL30-BM30-BN30-BO30</f>
        <v>0</v>
      </c>
      <c r="BL30" s="594" t="n">
        <f aca="false">COUNTIF(ADMIN!$M$226:$M$229,BG30)-BM30-BN30-BO30</f>
        <v>0</v>
      </c>
      <c r="BM30" s="592" t="n">
        <f aca="false">COUNTIF(ADMIN!$M$252,Fixture!BG30)</f>
        <v>0</v>
      </c>
      <c r="BN30" s="592" t="n">
        <f aca="false">COUNTIF(ADMIN!$M$251,Fixture!BG30)</f>
        <v>0</v>
      </c>
      <c r="BO30" s="595" t="n">
        <f aca="false">COUNTIF(ADMIN!$M$250,Fixture!BG30)</f>
        <v>0</v>
      </c>
    </row>
    <row r="31" customFormat="false" ht="15" hidden="false" customHeight="false" outlineLevel="0" collapsed="false">
      <c r="A31" s="85" t="n">
        <v>59</v>
      </c>
      <c r="B31" s="674"/>
      <c r="C31" s="573" t="str">
        <f aca="false">+MID(INDEX(WORLDCUP!$AA$4:$AA$147,MATCH(A31,WORLDCUP!$AH$4:$AH$147,0)),1,3)</f>
        <v>Tur</v>
      </c>
      <c r="D31" s="574" t="str">
        <f aca="false">IF(ISBLANK(INDEX(WORLDCUP!$AC$4:$AC$147,MATCH(A31,WORLDCUP!$AH$4:$AH$147,0))),"",INDEX(WORLDCUP!$AC$4:$AC$147,MATCH(A31,WORLDCUP!$AH$4:$AH$147,0)))</f>
        <v/>
      </c>
      <c r="E31" s="574" t="str">
        <f aca="false">IF(ISBLANK(INDEX(WORLDCUP!$AD$4:$AD$147,MATCH(A31,WORLDCUP!$AH$4:$AH$147,0))),"",INDEX(WORLDCUP!$AD$4:$AD$147,MATCH(A31,WORLDCUP!$AH$4:$AH$147,0)))</f>
        <v/>
      </c>
      <c r="F31" s="575" t="str">
        <f aca="false">+MID(INDEX(WORLDCUP!$AF$4:$AF$147,MATCH(A31,WORLDCUP!$AH$4:$AH$147,0)),1,3)</f>
        <v>Est</v>
      </c>
      <c r="G31" s="596" t="n">
        <v>4</v>
      </c>
      <c r="H31" s="605" t="str">
        <f aca="false">+MID(INDEX(WORLDCUP!$AL$6:$AL$97,MATCH(L31,WORLDCUP!$AI$6:$AI$97,0)),1,3)</f>
        <v>Par</v>
      </c>
      <c r="I31" s="606" t="n">
        <f aca="false">+INDEX(WORLDCUP!$AM$6:$AM$97,MATCH(L31,WORLDCUP!$AI$6:$AI$97,0))</f>
        <v>0</v>
      </c>
      <c r="J31" s="607" t="n">
        <f aca="false">+INDEX(WORLDCUP!$AT$6:$AT$97,MATCH(L31,WORLDCUP!$AI$6:$AI$97,0))</f>
        <v>-3</v>
      </c>
      <c r="K31" s="608" t="str">
        <f aca="false">+INDEX(WORLDCUP!$AR$6:$AR$97,MATCH(L31,WORLDCUP!$AI$6:$AI$97,0))&amp;"-"&amp;INDEX(WORLDCUP!$AS$6:$AS$97,MATCH(L31,WORLDCUP!$AI$6:$AI$97,0))</f>
        <v>1-4</v>
      </c>
      <c r="L31" s="85" t="s">
        <v>95</v>
      </c>
      <c r="M31" s="85" t="n">
        <v>69</v>
      </c>
      <c r="N31" s="675"/>
      <c r="O31" s="573" t="str">
        <f aca="false">+MID(INDEX(WORLDCUP!$AA$4:$AA$147,MATCH(M31,WORLDCUP!$AH$4:$AH$147,0)),1,3)</f>
        <v>Arg</v>
      </c>
      <c r="P31" s="574" t="str">
        <f aca="false">IF(ISBLANK(INDEX(WORLDCUP!$AC$4:$AC$147,MATCH(M31,WORLDCUP!$AH$4:$AH$147,0))),"",INDEX(WORLDCUP!$AC$4:$AC$147,MATCH(M31,WORLDCUP!$AH$4:$AH$147,0)))</f>
        <v/>
      </c>
      <c r="Q31" s="574" t="str">
        <f aca="false">IF(ISBLANK(INDEX(WORLDCUP!$AD$4:$AD$147,MATCH(M31,WORLDCUP!$AH$4:$AH$147,0))),"",INDEX(WORLDCUP!$AD$4:$AD$147,MATCH(M31,WORLDCUP!$AH$4:$AH$147,0)))</f>
        <v/>
      </c>
      <c r="R31" s="575" t="str">
        <f aca="false">+MID(INDEX(WORLDCUP!$AF$4:$AF$147,MATCH(M31,WORLDCUP!$AH$4:$AH$147,0)),1,3)</f>
        <v>Aus</v>
      </c>
      <c r="S31" s="596" t="n">
        <v>4</v>
      </c>
      <c r="T31" s="605" t="str">
        <f aca="false">+MID(INDEX(WORLDCUP!$AL$6:$AL$97,MATCH(X31,WORLDCUP!$AI$6:$AI$97,0)),1,3)</f>
        <v>Jor</v>
      </c>
      <c r="U31" s="606" t="n">
        <f aca="false">+INDEX(WORLDCUP!$AM$6:$AM$97,MATCH(X31,WORLDCUP!$AI$6:$AI$97,0))</f>
        <v>0</v>
      </c>
      <c r="V31" s="607" t="n">
        <f aca="false">+INDEX(WORLDCUP!$AT$6:$AT$97,MATCH(X31,WORLDCUP!$AI$6:$AI$97,0))</f>
        <v>0</v>
      </c>
      <c r="W31" s="608" t="str">
        <f aca="false">+INDEX(WORLDCUP!$AR$6:$AR$97,MATCH(X31,WORLDCUP!$AI$6:$AI$97,0))&amp;"-"&amp;INDEX(WORLDCUP!$AS$6:$AS$97,MATCH(X31,WORLDCUP!$AI$6:$AI$97,0))</f>
        <v>0-0</v>
      </c>
      <c r="X31" s="85" t="s">
        <v>122</v>
      </c>
      <c r="Y31" s="85" t="n">
        <v>78</v>
      </c>
      <c r="Z31" s="554" t="s">
        <v>115</v>
      </c>
      <c r="AA31" s="609" t="str">
        <f aca="false">+MID(INDEX(WORLDCUP!$AF$101:$AF$147,MATCH(Y31,WORLDCUP!$Z$101:$Z$147,0)),1,3)</f>
        <v>2I</v>
      </c>
      <c r="AB31" s="610" t="str">
        <f aca="false">+IF(ISBLANK(INDEX(WORLDCUP!$AD$101:$AD$147,MATCH(Y31,WORLDCUP!$Z$101:$Z$147,0))),"",INDEX(WORLDCUP!$AD$101:$AD$147,MATCH(Y31,WORLDCUP!$Z$101:$Z$147,0)))</f>
        <v/>
      </c>
      <c r="AC31" s="637" t="str">
        <f aca="false">+IF(ISBLANK(INDEX(WORLDCUP!$AE$101:$AE$147,MATCH(Y31,WORLDCUP!$Z$101:$Z$147,0))),"","( "&amp;INDEX(WORLDCUP!$AE$101:$AE$147,MATCH(Y31,WORLDCUP!$Z$101:$Z$147,0))&amp;" )")</f>
        <v/>
      </c>
      <c r="AD31" s="85"/>
      <c r="AE31" s="603"/>
      <c r="AF31" s="603"/>
      <c r="AG31" s="604"/>
      <c r="AH31" s="629" t="n">
        <v>99</v>
      </c>
      <c r="AI31" s="612" t="str">
        <f aca="false">+MID(INDEX(WORLDCUP!$AA$101:$AA$147,MATCH(AH31,WORLDCUP!$Z$101:$Z$147,0)),1,3)</f>
        <v>W91</v>
      </c>
      <c r="AJ31" s="613" t="str">
        <f aca="false">+IF(ISBLANK(INDEX(WORLDCUP!$AC$101:$AC$147,MATCH(AH31,WORLDCUP!$Z$101:$Z$147,0))),"",INDEX(WORLDCUP!$AC$101:$AC$147,MATCH(AH31,WORLDCUP!$Z$101:$Z$147,0)))</f>
        <v/>
      </c>
      <c r="AK31" s="614" t="str">
        <f aca="false">+IF(ISBLANK(INDEX(WORLDCUP!$AB$101:$AB$147,MATCH(AH31,WORLDCUP!$Z$101:$Z$147,0))),"","( "&amp;INDEX(WORLDCUP!$AB$101:$AB$147,MATCH(AH31,WORLDCUP!$Z$101:$Z$147,0))&amp;" )")</f>
        <v/>
      </c>
      <c r="AL31" s="85"/>
      <c r="AM31" s="560"/>
      <c r="AN31" s="560"/>
      <c r="AO31" s="642"/>
      <c r="AP31" s="676" t="n">
        <v>103</v>
      </c>
      <c r="AQ31" s="677" t="str">
        <f aca="false">+MID(INDEX(WORLDCUP!$AA$101:$AA$147,MATCH(AP31,WORLDCUP!$Z$101:$Z$147,0)),1,4)</f>
        <v>L101</v>
      </c>
      <c r="AR31" s="678" t="str">
        <f aca="false">+IF(ISBLANK(INDEX(WORLDCUP!$AC$101:$AC$147,MATCH(AP31,WORLDCUP!$Z$101:$Z$147,0))),"",INDEX(WORLDCUP!$AC$101:$AC$147,MATCH(AP31,WORLDCUP!$Z$101:$Z$147,0)))</f>
        <v/>
      </c>
      <c r="AS31" s="679" t="str">
        <f aca="false">+IF(ISBLANK(INDEX(WORLDCUP!$AB$101:$AB$147,MATCH(AP31,WORLDCUP!$Z$101:$Z$147,0))),"","( "&amp;INDEX(WORLDCUP!$AB$101:$AB$147,MATCH(AP31,WORLDCUP!$Z$101:$Z$147,0))&amp;" )")</f>
        <v/>
      </c>
      <c r="AT31" s="670"/>
      <c r="AU31" s="680"/>
      <c r="AV31" s="680"/>
      <c r="AW31" s="680"/>
      <c r="AX31" s="670"/>
      <c r="AY31" s="681"/>
      <c r="AZ31" s="682"/>
      <c r="BA31" s="682"/>
      <c r="BB31" s="682"/>
      <c r="BC31" s="683"/>
      <c r="BD31" s="244"/>
      <c r="BE31" s="244"/>
      <c r="BG31" s="591" t="str">
        <f aca="false">Horarios!Q30</f>
        <v>Irán</v>
      </c>
      <c r="BH31" s="592" t="n">
        <f aca="false">1-SUM(BI31:BO31)</f>
        <v>1</v>
      </c>
      <c r="BI31" s="592" t="n">
        <f aca="false">COUNTIF(ADMIN!$M$130:$M$161,Fixture!BG31)-BJ31-BK31-BL31-BM31-BN31-BO31</f>
        <v>0</v>
      </c>
      <c r="BJ31" s="593" t="n">
        <f aca="false">COUNTIF(ADMIN!$M$182:$M$197,Fixture!BG31)-BK31-BL31-BM31-BN31-BO31</f>
        <v>0</v>
      </c>
      <c r="BK31" s="594" t="n">
        <f aca="false">COUNTIF(ADMIN!$M$210:$M$217,Fixture!BG31)-BL31-BM31-BN31-BO31</f>
        <v>0</v>
      </c>
      <c r="BL31" s="594" t="n">
        <f aca="false">COUNTIF(ADMIN!$M$226:$M$229,BG31)-BM31-BN31-BO31</f>
        <v>0</v>
      </c>
      <c r="BM31" s="592" t="n">
        <f aca="false">COUNTIF(ADMIN!$M$252,Fixture!BG31)</f>
        <v>0</v>
      </c>
      <c r="BN31" s="592" t="n">
        <f aca="false">COUNTIF(ADMIN!$M$251,Fixture!BG31)</f>
        <v>0</v>
      </c>
      <c r="BO31" s="595" t="n">
        <f aca="false">COUNTIF(ADMIN!$M$250,Fixture!BG31)</f>
        <v>0</v>
      </c>
    </row>
    <row r="32" customFormat="false" ht="15" hidden="false" customHeight="false" outlineLevel="0" collapsed="false">
      <c r="A32" s="85" t="n">
        <v>60</v>
      </c>
      <c r="B32" s="684"/>
      <c r="C32" s="616" t="str">
        <f aca="false">+MID(INDEX(WORLDCUP!$AA$4:$AA$147,MATCH(A32,WORLDCUP!$AH$4:$AH$147,0)),1,3)</f>
        <v>Par</v>
      </c>
      <c r="D32" s="617" t="str">
        <f aca="false">IF(ISBLANK(INDEX(WORLDCUP!$AC$4:$AC$147,MATCH(A32,WORLDCUP!$AH$4:$AH$147,0))),"",INDEX(WORLDCUP!$AC$4:$AC$147,MATCH(A32,WORLDCUP!$AH$4:$AH$147,0)))</f>
        <v/>
      </c>
      <c r="E32" s="617" t="str">
        <f aca="false">IF(ISBLANK(INDEX(WORLDCUP!$AD$4:$AD$147,MATCH(A32,WORLDCUP!$AH$4:$AH$147,0))),"",INDEX(WORLDCUP!$AD$4:$AD$147,MATCH(A32,WORLDCUP!$AH$4:$AH$147,0)))</f>
        <v/>
      </c>
      <c r="F32" s="618" t="str">
        <f aca="false">+MID(INDEX(WORLDCUP!$AF$4:$AF$147,MATCH(A32,WORLDCUP!$AH$4:$AH$147,0)),1,3)</f>
        <v>Aus</v>
      </c>
      <c r="G32" s="619"/>
      <c r="H32" s="619"/>
      <c r="I32" s="620"/>
      <c r="J32" s="620"/>
      <c r="K32" s="621"/>
      <c r="L32" s="85"/>
      <c r="M32" s="85" t="n">
        <v>70</v>
      </c>
      <c r="N32" s="685"/>
      <c r="O32" s="616" t="str">
        <f aca="false">+MID(INDEX(WORLDCUP!$AA$4:$AA$147,MATCH(M32,WORLDCUP!$AH$4:$AH$147,0)),1,3)</f>
        <v>Jor</v>
      </c>
      <c r="P32" s="617" t="str">
        <f aca="false">IF(ISBLANK(INDEX(WORLDCUP!$AC$4:$AC$147,MATCH(M32,WORLDCUP!$AH$4:$AH$147,0))),"",INDEX(WORLDCUP!$AC$4:$AC$147,MATCH(M32,WORLDCUP!$AH$4:$AH$147,0)))</f>
        <v/>
      </c>
      <c r="Q32" s="617" t="str">
        <f aca="false">IF(ISBLANK(INDEX(WORLDCUP!$AD$4:$AD$147,MATCH(M32,WORLDCUP!$AH$4:$AH$147,0))),"",INDEX(WORLDCUP!$AD$4:$AD$147,MATCH(M32,WORLDCUP!$AH$4:$AH$147,0)))</f>
        <v/>
      </c>
      <c r="R32" s="618" t="str">
        <f aca="false">+MID(INDEX(WORLDCUP!$AF$4:$AF$147,MATCH(M32,WORLDCUP!$AH$4:$AH$147,0)),1,3)</f>
        <v>Arg</v>
      </c>
      <c r="S32" s="619"/>
      <c r="T32" s="619"/>
      <c r="U32" s="620"/>
      <c r="V32" s="620"/>
      <c r="W32" s="621"/>
      <c r="X32" s="85"/>
      <c r="Y32" s="85"/>
      <c r="Z32" s="554"/>
      <c r="AA32" s="623"/>
      <c r="AB32" s="623"/>
      <c r="AC32" s="623"/>
      <c r="AD32" s="85"/>
      <c r="AE32" s="558"/>
      <c r="AF32" s="558"/>
      <c r="AG32" s="604"/>
      <c r="AH32" s="85" t="n">
        <v>99</v>
      </c>
      <c r="AI32" s="612" t="str">
        <f aca="false">+MID(INDEX(WORLDCUP!$AF$101:$AF$147,MATCH(AH32,WORLDCUP!$Z$101:$Z$147,0)),1,3)</f>
        <v>W92</v>
      </c>
      <c r="AJ32" s="613" t="str">
        <f aca="false">+IF(ISBLANK(INDEX(WORLDCUP!$AD$101:$AD$147,MATCH(AH32,WORLDCUP!$Z$101:$Z$147,0))),"",INDEX(WORLDCUP!$AD$101:$AD$147,MATCH(AH32,WORLDCUP!$Z$101:$Z$147,0)))</f>
        <v/>
      </c>
      <c r="AK32" s="624" t="str">
        <f aca="false">+IF(ISBLANK(INDEX(WORLDCUP!$AE$101:$AE$147,MATCH(AH32,WORLDCUP!$Z$101:$Z$147,0))),"","( "&amp;INDEX(WORLDCUP!$AE$101:$AE$147,MATCH(AH32,WORLDCUP!$Z$101:$Z$147,0))&amp;" )")</f>
        <v/>
      </c>
      <c r="AL32" s="85"/>
      <c r="AM32" s="560"/>
      <c r="AN32" s="560"/>
      <c r="AO32" s="642"/>
      <c r="AP32" s="471" t="n">
        <v>103</v>
      </c>
      <c r="AQ32" s="677" t="str">
        <f aca="false">+MID(INDEX(WORLDCUP!$AF$101:$AF$147,MATCH(AP32,WORLDCUP!$Z$101:$Z$147,0)),1,4)</f>
        <v>L102</v>
      </c>
      <c r="AR32" s="678" t="str">
        <f aca="false">+IF(ISBLANK(INDEX(WORLDCUP!$AD$101:$AD$147,MATCH(AP32,WORLDCUP!$Z$101:$Z$147,0))),"",INDEX(WORLDCUP!$AD$101:$AD$147,MATCH(AP32,WORLDCUP!$Z$101:$Z$147,0)))</f>
        <v/>
      </c>
      <c r="AS32" s="589" t="str">
        <f aca="false">+IF(ISBLANK(INDEX(WORLDCUP!$AE$101:$AE$147,MATCH(AP32,WORLDCUP!$Z$101:$Z$147,0))),"","( "&amp;INDEX(WORLDCUP!$AE$101:$AE$147,MATCH(AP32,WORLDCUP!$Z$101:$Z$147,0))&amp;" )")</f>
        <v/>
      </c>
      <c r="AT32" s="85"/>
      <c r="AU32" s="562"/>
      <c r="AV32" s="562"/>
      <c r="AW32" s="562"/>
      <c r="AX32" s="85"/>
      <c r="AY32" s="244"/>
      <c r="AZ32" s="244"/>
      <c r="BA32" s="244"/>
      <c r="BB32" s="244"/>
      <c r="BC32" s="244"/>
      <c r="BD32" s="244"/>
      <c r="BE32" s="244"/>
      <c r="BG32" s="591" t="str">
        <f aca="false">Horarios!Q31</f>
        <v>Japón</v>
      </c>
      <c r="BH32" s="592" t="n">
        <f aca="false">1-SUM(BI32:BO32)</f>
        <v>1</v>
      </c>
      <c r="BI32" s="592" t="n">
        <f aca="false">COUNTIF(ADMIN!$M$130:$M$161,Fixture!BG32)-BJ32-BK32-BL32-BM32-BN32-BO32</f>
        <v>0</v>
      </c>
      <c r="BJ32" s="593" t="n">
        <f aca="false">COUNTIF(ADMIN!$M$182:$M$197,Fixture!BG32)-BK32-BL32-BM32-BN32-BO32</f>
        <v>0</v>
      </c>
      <c r="BK32" s="594" t="n">
        <f aca="false">COUNTIF(ADMIN!$M$210:$M$217,Fixture!BG32)-BL32-BM32-BN32-BO32</f>
        <v>0</v>
      </c>
      <c r="BL32" s="594" t="n">
        <f aca="false">COUNTIF(ADMIN!$M$226:$M$229,BG32)-BM32-BN32-BO32</f>
        <v>0</v>
      </c>
      <c r="BM32" s="592" t="n">
        <f aca="false">COUNTIF(ADMIN!$M$252,Fixture!BG32)</f>
        <v>0</v>
      </c>
      <c r="BN32" s="592" t="n">
        <f aca="false">COUNTIF(ADMIN!$M$251,Fixture!BG32)</f>
        <v>0</v>
      </c>
      <c r="BO32" s="595" t="n">
        <f aca="false">COUNTIF(ADMIN!$M$250,Fixture!BG32)</f>
        <v>0</v>
      </c>
    </row>
    <row r="33" customFormat="false" ht="15" hidden="false" customHeight="false" outlineLevel="0" collapsed="false">
      <c r="A33" s="85"/>
      <c r="B33" s="542"/>
      <c r="C33" s="625"/>
      <c r="D33" s="626"/>
      <c r="E33" s="626"/>
      <c r="F33" s="244"/>
      <c r="G33" s="244"/>
      <c r="H33" s="625"/>
      <c r="I33" s="244"/>
      <c r="J33" s="244"/>
      <c r="K33" s="244"/>
      <c r="L33" s="85"/>
      <c r="M33" s="85"/>
      <c r="N33" s="151"/>
      <c r="O33" s="625"/>
      <c r="P33" s="626"/>
      <c r="Q33" s="626"/>
      <c r="R33" s="244"/>
      <c r="S33" s="244"/>
      <c r="T33" s="625"/>
      <c r="U33" s="244"/>
      <c r="V33" s="244"/>
      <c r="W33" s="244"/>
      <c r="X33" s="85"/>
      <c r="Y33" s="85" t="n">
        <v>79</v>
      </c>
      <c r="Z33" s="554" t="s">
        <v>78</v>
      </c>
      <c r="AA33" s="555" t="str">
        <f aca="false">+MID(INDEX(WORLDCUP!$AA$101:$AA$147,MATCH(Y33,WORLDCUP!$Z$101:$Z$147,0)),1,3)</f>
        <v>1A</v>
      </c>
      <c r="AB33" s="556" t="str">
        <f aca="false">+IF(ISBLANK(INDEX(WORLDCUP!$AC$101:$AC$147,MATCH(Y33,WORLDCUP!$Z$101:$Z$147,0))),"",INDEX(WORLDCUP!$AC$101:$AC$147,MATCH(Y33,WORLDCUP!$Z$101:$Z$147,0)))</f>
        <v/>
      </c>
      <c r="AC33" s="627" t="str">
        <f aca="false">+IF(ISBLANK(INDEX(WORLDCUP!$AB$101:$AB$147,MATCH(Y33,WORLDCUP!$Z$101:$Z$147,0))),"","( "&amp;INDEX(WORLDCUP!$AB$101:$AB$147,MATCH(Y33,WORLDCUP!$Z$101:$Z$147,0))&amp;" )")</f>
        <v/>
      </c>
      <c r="AD33" s="50"/>
      <c r="AE33" s="558"/>
      <c r="AF33" s="558"/>
      <c r="AG33" s="604"/>
      <c r="AH33" s="85"/>
      <c r="AI33" s="588"/>
      <c r="AJ33" s="588"/>
      <c r="AK33" s="628"/>
      <c r="AL33" s="471"/>
      <c r="AM33" s="560"/>
      <c r="AN33" s="560"/>
      <c r="AO33" s="642"/>
      <c r="AP33" s="85"/>
      <c r="AQ33" s="589"/>
      <c r="AR33" s="589"/>
      <c r="AS33" s="589"/>
      <c r="AT33" s="85"/>
      <c r="AU33" s="562"/>
      <c r="AV33" s="562"/>
      <c r="AW33" s="562"/>
      <c r="AX33" s="85"/>
      <c r="AY33" s="244"/>
      <c r="AZ33" s="244"/>
      <c r="BA33" s="244"/>
      <c r="BB33" s="244"/>
      <c r="BC33" s="244"/>
      <c r="BD33" s="244"/>
      <c r="BE33" s="244"/>
      <c r="BG33" s="591" t="str">
        <f aca="false">Horarios!Q32</f>
        <v>Jordania</v>
      </c>
      <c r="BH33" s="592" t="n">
        <f aca="false">1-SUM(BI33:BO33)</f>
        <v>1</v>
      </c>
      <c r="BI33" s="592" t="n">
        <f aca="false">COUNTIF(ADMIN!$M$130:$M$161,Fixture!BG33)-BJ33-BK33-BL33-BM33-BN33-BO33</f>
        <v>0</v>
      </c>
      <c r="BJ33" s="593" t="n">
        <f aca="false">COUNTIF(ADMIN!$M$182:$M$197,Fixture!BG33)-BK33-BL33-BM33-BN33-BO33</f>
        <v>0</v>
      </c>
      <c r="BK33" s="594" t="n">
        <f aca="false">COUNTIF(ADMIN!$M$210:$M$217,Fixture!BG33)-BL33-BM33-BN33-BO33</f>
        <v>0</v>
      </c>
      <c r="BL33" s="594" t="n">
        <f aca="false">COUNTIF(ADMIN!$M$226:$M$229,BG33)-BM33-BN33-BO33</f>
        <v>0</v>
      </c>
      <c r="BM33" s="592" t="n">
        <f aca="false">COUNTIF(ADMIN!$M$252,Fixture!BG33)</f>
        <v>0</v>
      </c>
      <c r="BN33" s="592" t="n">
        <f aca="false">COUNTIF(ADMIN!$M$251,Fixture!BG33)</f>
        <v>0</v>
      </c>
      <c r="BO33" s="595" t="n">
        <f aca="false">COUNTIF(ADMIN!$M$250,Fixture!BG33)</f>
        <v>0</v>
      </c>
    </row>
    <row r="34" customFormat="false" ht="15" hidden="false" customHeight="false" outlineLevel="0" collapsed="false">
      <c r="A34" s="85"/>
      <c r="B34" s="542"/>
      <c r="C34" s="625"/>
      <c r="D34" s="626"/>
      <c r="E34" s="626"/>
      <c r="F34" s="244"/>
      <c r="G34" s="244"/>
      <c r="H34" s="625"/>
      <c r="I34" s="244"/>
      <c r="J34" s="244"/>
      <c r="K34" s="244"/>
      <c r="L34" s="85"/>
      <c r="M34" s="85"/>
      <c r="N34" s="151"/>
      <c r="O34" s="625"/>
      <c r="P34" s="626"/>
      <c r="Q34" s="626"/>
      <c r="R34" s="244"/>
      <c r="S34" s="244"/>
      <c r="T34" s="625"/>
      <c r="U34" s="244"/>
      <c r="V34" s="244"/>
      <c r="W34" s="244"/>
      <c r="X34" s="85"/>
      <c r="Y34" s="85" t="n">
        <v>79</v>
      </c>
      <c r="Z34" s="554" t="s">
        <v>160</v>
      </c>
      <c r="AA34" s="555" t="str">
        <f aca="false">+MID(INDEX(WORLDCUP!$AF$101:$AF$147,MATCH(Y34,WORLDCUP!$Z$101:$Z$147,0)),1,IF(WORLDCUP!$H$113&lt;144,6,3))</f>
        <v>3CEFHI</v>
      </c>
      <c r="AB34" s="582" t="str">
        <f aca="false">+IF(ISBLANK(INDEX(WORLDCUP!$AD$101:$AD$147,MATCH(Y34,WORLDCUP!$Z$101:$Z$147,0))),"",INDEX(WORLDCUP!$AD$101:$AD$147,MATCH(Y34,WORLDCUP!$Z$101:$Z$147,0)))</f>
        <v/>
      </c>
      <c r="AC34" s="583" t="str">
        <f aca="false">+IF(ISBLANK(INDEX(WORLDCUP!$AE$101:$AE$147,MATCH(Y34,WORLDCUP!$Z$101:$Z$147,0))),"","( "&amp;INDEX(WORLDCUP!$AE$101:$AE$147,MATCH(Y34,WORLDCUP!$Z$101:$Z$147,0))&amp;" )")</f>
        <v/>
      </c>
      <c r="AD34" s="584" t="n">
        <v>92</v>
      </c>
      <c r="AE34" s="585" t="str">
        <f aca="false">+MID(INDEX(WORLDCUP!$AA$101:$AA$147,MATCH(AD34,WORLDCUP!$Z$101:$Z$147,0)),1,3)</f>
        <v>W79</v>
      </c>
      <c r="AF34" s="586" t="str">
        <f aca="false">+IF(ISBLANK(INDEX(WORLDCUP!$AC$101:$AC$147,MATCH(AD34,WORLDCUP!$Z$101:$Z$147,0))),"",INDEX(WORLDCUP!$AC$101:$AC$147,MATCH(AD34,WORLDCUP!$Z$101:$Z$147,0)))</f>
        <v/>
      </c>
      <c r="AG34" s="630" t="str">
        <f aca="false">+IF(ISBLANK(INDEX(WORLDCUP!$AB$101:$AB$147,MATCH(AD34,WORLDCUP!$Z$101:$Z$147,0))),"","( "&amp;INDEX(WORLDCUP!$AB$101:$AB$147,MATCH(AD34,WORLDCUP!$Z$101:$Z$147,0))&amp;" )")</f>
        <v/>
      </c>
      <c r="AH34" s="85"/>
      <c r="AI34" s="588"/>
      <c r="AJ34" s="588"/>
      <c r="AK34" s="628"/>
      <c r="AL34" s="471"/>
      <c r="AM34" s="560"/>
      <c r="AN34" s="560"/>
      <c r="AO34" s="642"/>
      <c r="AP34" s="85"/>
      <c r="AQ34" s="589"/>
      <c r="AR34" s="589"/>
      <c r="AS34" s="589"/>
      <c r="AT34" s="85"/>
      <c r="AU34" s="562"/>
      <c r="AV34" s="562"/>
      <c r="AW34" s="562"/>
      <c r="AX34" s="85"/>
      <c r="AY34" s="244"/>
      <c r="AZ34" s="244"/>
      <c r="BA34" s="244"/>
      <c r="BB34" s="244"/>
      <c r="BC34" s="244"/>
      <c r="BD34" s="244"/>
      <c r="BE34" s="244"/>
      <c r="BG34" s="591" t="str">
        <f aca="false">Horarios!Q33</f>
        <v>Marruecos</v>
      </c>
      <c r="BH34" s="592" t="n">
        <f aca="false">1-SUM(BI34:BO34)</f>
        <v>1</v>
      </c>
      <c r="BI34" s="592" t="n">
        <f aca="false">COUNTIF(ADMIN!$M$130:$M$161,Fixture!BG34)-BJ34-BK34-BL34-BM34-BN34-BO34</f>
        <v>0</v>
      </c>
      <c r="BJ34" s="593" t="n">
        <f aca="false">COUNTIF(ADMIN!$M$182:$M$197,Fixture!BG34)-BK34-BL34-BM34-BN34-BO34</f>
        <v>0</v>
      </c>
      <c r="BK34" s="594" t="n">
        <f aca="false">COUNTIF(ADMIN!$M$210:$M$217,Fixture!BG34)-BL34-BM34-BN34-BO34</f>
        <v>0</v>
      </c>
      <c r="BL34" s="594" t="n">
        <f aca="false">COUNTIF(ADMIN!$M$226:$M$229,BG34)-BM34-BN34-BO34</f>
        <v>0</v>
      </c>
      <c r="BM34" s="592" t="n">
        <f aca="false">COUNTIF(ADMIN!$M$252,Fixture!BG34)</f>
        <v>0</v>
      </c>
      <c r="BN34" s="592" t="n">
        <f aca="false">COUNTIF(ADMIN!$M$251,Fixture!BG34)</f>
        <v>0</v>
      </c>
      <c r="BO34" s="595" t="n">
        <f aca="false">COUNTIF(ADMIN!$M$250,Fixture!BG34)</f>
        <v>0</v>
      </c>
    </row>
    <row r="35" customFormat="false" ht="15" hidden="false" customHeight="false" outlineLevel="0" collapsed="false">
      <c r="A35" s="85" t="n">
        <v>10</v>
      </c>
      <c r="B35" s="686" t="s">
        <v>111</v>
      </c>
      <c r="C35" s="546" t="str">
        <f aca="false">+MID(INDEX(WORLDCUP!$AA$4:$AA$147,MATCH(A35,WORLDCUP!$AH$4:$AH$147,0)),1,3)</f>
        <v>Ale</v>
      </c>
      <c r="D35" s="547" t="n">
        <f aca="false">IF(ISBLANK(INDEX(WORLDCUP!$AC$4:$AC$147,MATCH(A35,WORLDCUP!$AH$4:$AH$147,0))),"",INDEX(WORLDCUP!$AC$4:$AC$147,MATCH(A35,WORLDCUP!$AH$4:$AH$147,0)))</f>
        <v>7</v>
      </c>
      <c r="E35" s="547" t="n">
        <f aca="false">IF(ISBLANK(INDEX(WORLDCUP!$AD$4:$AD$147,MATCH(A35,WORLDCUP!$AH$4:$AH$147,0))),"",INDEX(WORLDCUP!$AD$4:$AD$147,MATCH(A35,WORLDCUP!$AH$4:$AH$147,0)))</f>
        <v>1</v>
      </c>
      <c r="F35" s="548" t="str">
        <f aca="false">+MID(INDEX(WORLDCUP!$AF$4:$AF$147,MATCH(A35,WORLDCUP!$AH$4:$AH$147,0)),1,3)</f>
        <v>Cur</v>
      </c>
      <c r="G35" s="549"/>
      <c r="H35" s="550" t="str">
        <f aca="false">+H27</f>
        <v>Sel</v>
      </c>
      <c r="I35" s="551" t="str">
        <f aca="false">+I27</f>
        <v>Pts</v>
      </c>
      <c r="J35" s="551" t="str">
        <f aca="false">+J27</f>
        <v>DG</v>
      </c>
      <c r="K35" s="552" t="str">
        <f aca="false">+K27</f>
        <v>GF-GC</v>
      </c>
      <c r="L35" s="85"/>
      <c r="M35" s="85" t="n">
        <v>23</v>
      </c>
      <c r="N35" s="687" t="s">
        <v>136</v>
      </c>
      <c r="O35" s="546" t="str">
        <f aca="false">+MID(INDEX(WORLDCUP!$AA$4:$AA$147,MATCH(M35,WORLDCUP!$AH$4:$AH$147,0)),1,3)</f>
        <v>Por</v>
      </c>
      <c r="P35" s="547" t="str">
        <f aca="false">IF(ISBLANK(INDEX(WORLDCUP!$AC$4:$AC$147,MATCH(M35,WORLDCUP!$AH$4:$AH$147,0))),"",INDEX(WORLDCUP!$AC$4:$AC$147,MATCH(M35,WORLDCUP!$AH$4:$AH$147,0)))</f>
        <v/>
      </c>
      <c r="Q35" s="547" t="str">
        <f aca="false">IF(ISBLANK(INDEX(WORLDCUP!$AD$4:$AD$147,MATCH(M35,WORLDCUP!$AH$4:$AH$147,0))),"",INDEX(WORLDCUP!$AD$4:$AD$147,MATCH(M35,WORLDCUP!$AH$4:$AH$147,0)))</f>
        <v/>
      </c>
      <c r="R35" s="548" t="str">
        <f aca="false">+MID(INDEX(WORLDCUP!$AF$4:$AF$147,MATCH(M35,WORLDCUP!$AH$4:$AH$147,0)),1,3)</f>
        <v>RD </v>
      </c>
      <c r="S35" s="549"/>
      <c r="T35" s="550" t="str">
        <f aca="false">+T27</f>
        <v>Sel</v>
      </c>
      <c r="U35" s="551" t="str">
        <f aca="false">+U27</f>
        <v>Pts</v>
      </c>
      <c r="V35" s="551" t="str">
        <f aca="false">+V27</f>
        <v>DG</v>
      </c>
      <c r="W35" s="552" t="str">
        <f aca="false">+W27</f>
        <v>GF-GC</v>
      </c>
      <c r="X35" s="85"/>
      <c r="Y35" s="85"/>
      <c r="Z35" s="554"/>
      <c r="AA35" s="598"/>
      <c r="AB35" s="598"/>
      <c r="AC35" s="599"/>
      <c r="AD35" s="85" t="n">
        <v>92</v>
      </c>
      <c r="AE35" s="585" t="str">
        <f aca="false">+MID(INDEX(WORLDCUP!$AF$101:$AF$147,MATCH(AD35,WORLDCUP!$Z$101:$Z$147,0)),1,3)</f>
        <v>W80</v>
      </c>
      <c r="AF35" s="586" t="str">
        <f aca="false">+IF(ISBLANK(INDEX(WORLDCUP!$AD$101:$AD$147,MATCH(AD35,WORLDCUP!$Z$101:$Z$147,0))),"",INDEX(WORLDCUP!$AD$101:$AD$147,MATCH(AD35,WORLDCUP!$Z$101:$Z$147,0)))</f>
        <v/>
      </c>
      <c r="AG35" s="603" t="str">
        <f aca="false">+IF(ISBLANK(INDEX(WORLDCUP!$AE$101:$AE$147,MATCH(AD35,WORLDCUP!$Z$101:$Z$147,0))),"","( "&amp;INDEX(WORLDCUP!$AE$101:$AE$147,MATCH(AD35,WORLDCUP!$Z$101:$Z$147,0))&amp;" )")</f>
        <v/>
      </c>
      <c r="AH35" s="85"/>
      <c r="AI35" s="588"/>
      <c r="AJ35" s="588"/>
      <c r="AK35" s="628"/>
      <c r="AL35" s="471"/>
      <c r="AM35" s="560"/>
      <c r="AN35" s="688"/>
      <c r="AO35" s="642"/>
      <c r="AP35" s="471"/>
      <c r="AQ35" s="589"/>
      <c r="AR35" s="589"/>
      <c r="AS35" s="589"/>
      <c r="AT35" s="85"/>
      <c r="AU35" s="562"/>
      <c r="AV35" s="562"/>
      <c r="AW35" s="562"/>
      <c r="AX35" s="85"/>
      <c r="AY35" s="244"/>
      <c r="AZ35" s="244"/>
      <c r="BA35" s="244"/>
      <c r="BB35" s="244"/>
      <c r="BC35" s="244"/>
      <c r="BD35" s="244"/>
      <c r="BE35" s="244"/>
      <c r="BG35" s="591" t="str">
        <f aca="false">Horarios!Q34</f>
        <v>México</v>
      </c>
      <c r="BH35" s="592" t="n">
        <f aca="false">1-SUM(BI35:BO35)</f>
        <v>1</v>
      </c>
      <c r="BI35" s="592" t="n">
        <f aca="false">COUNTIF(ADMIN!$M$130:$M$161,Fixture!BG35)-BJ35-BK35-BL35-BM35-BN35-BO35</f>
        <v>0</v>
      </c>
      <c r="BJ35" s="593" t="n">
        <f aca="false">COUNTIF(ADMIN!$M$182:$M$197,Fixture!BG35)-BK35-BL35-BM35-BN35-BO35</f>
        <v>0</v>
      </c>
      <c r="BK35" s="594" t="n">
        <f aca="false">COUNTIF(ADMIN!$M$210:$M$217,Fixture!BG35)-BL35-BM35-BN35-BO35</f>
        <v>0</v>
      </c>
      <c r="BL35" s="594" t="n">
        <f aca="false">COUNTIF(ADMIN!$M$226:$M$229,BG35)-BM35-BN35-BO35</f>
        <v>0</v>
      </c>
      <c r="BM35" s="592" t="n">
        <f aca="false">COUNTIF(ADMIN!$M$252,Fixture!BG35)</f>
        <v>0</v>
      </c>
      <c r="BN35" s="592" t="n">
        <f aca="false">COUNTIF(ADMIN!$M$251,Fixture!BG35)</f>
        <v>0</v>
      </c>
      <c r="BO35" s="595" t="n">
        <f aca="false">COUNTIF(ADMIN!$M$250,Fixture!BG35)</f>
        <v>0</v>
      </c>
    </row>
    <row r="36" customFormat="false" ht="15" hidden="false" customHeight="false" outlineLevel="0" collapsed="false">
      <c r="A36" s="85" t="n">
        <v>9</v>
      </c>
      <c r="B36" s="689"/>
      <c r="C36" s="573" t="str">
        <f aca="false">+MID(INDEX(WORLDCUP!$AA$4:$AA$147,MATCH(A36,WORLDCUP!$AH$4:$AH$147,0)),1,3)</f>
        <v>Cos</v>
      </c>
      <c r="D36" s="574" t="n">
        <f aca="false">IF(ISBLANK(INDEX(WORLDCUP!$AC$4:$AC$147,MATCH(A36,WORLDCUP!$AH$4:$AH$147,0))),"",INDEX(WORLDCUP!$AC$4:$AC$147,MATCH(A36,WORLDCUP!$AH$4:$AH$147,0)))</f>
        <v>1</v>
      </c>
      <c r="E36" s="574" t="n">
        <f aca="false">IF(ISBLANK(INDEX(WORLDCUP!$AD$4:$AD$147,MATCH(A36,WORLDCUP!$AH$4:$AH$147,0))),"",INDEX(WORLDCUP!$AD$4:$AD$147,MATCH(A36,WORLDCUP!$AH$4:$AH$147,0)))</f>
        <v>0</v>
      </c>
      <c r="F36" s="575" t="str">
        <f aca="false">+MID(INDEX(WORLDCUP!$AF$4:$AF$147,MATCH(A36,WORLDCUP!$AH$4:$AH$147,0)),1,3)</f>
        <v>Ecu</v>
      </c>
      <c r="G36" s="576" t="n">
        <v>1</v>
      </c>
      <c r="H36" s="577" t="str">
        <f aca="false">+MID(INDEX(WORLDCUP!$AL$6:$AL$97,MATCH(L36,WORLDCUP!$AI$6:$AI$97,0)),1,3)</f>
        <v>Ale</v>
      </c>
      <c r="I36" s="578" t="n">
        <f aca="false">+INDEX(WORLDCUP!$AM$6:$AM$97,MATCH(L36,WORLDCUP!$AI$6:$AI$97,0))</f>
        <v>3</v>
      </c>
      <c r="J36" s="579" t="n">
        <f aca="false">+INDEX(WORLDCUP!$AT$6:$AT$97,MATCH(L36,WORLDCUP!$AI$6:$AI$97,0))</f>
        <v>6</v>
      </c>
      <c r="K36" s="580" t="str">
        <f aca="false">+INDEX(WORLDCUP!$AR$6:$AR$97,MATCH(L36,WORLDCUP!$AI$6:$AI$97,0))&amp;"-"&amp;INDEX(WORLDCUP!$AS$6:$AS$97,MATCH(L36,WORLDCUP!$AI$6:$AI$97,0))</f>
        <v>7-1</v>
      </c>
      <c r="L36" s="85" t="s">
        <v>96</v>
      </c>
      <c r="M36" s="85" t="n">
        <v>24</v>
      </c>
      <c r="N36" s="690"/>
      <c r="O36" s="573" t="str">
        <f aca="false">+MID(INDEX(WORLDCUP!$AA$4:$AA$147,MATCH(M36,WORLDCUP!$AH$4:$AH$147,0)),1,3)</f>
        <v>Uzb</v>
      </c>
      <c r="P36" s="574" t="str">
        <f aca="false">IF(ISBLANK(INDEX(WORLDCUP!$AC$4:$AC$147,MATCH(M36,WORLDCUP!$AH$4:$AH$147,0))),"",INDEX(WORLDCUP!$AC$4:$AC$147,MATCH(M36,WORLDCUP!$AH$4:$AH$147,0)))</f>
        <v/>
      </c>
      <c r="Q36" s="574" t="str">
        <f aca="false">IF(ISBLANK(INDEX(WORLDCUP!$AD$4:$AD$147,MATCH(M36,WORLDCUP!$AH$4:$AH$147,0))),"",INDEX(WORLDCUP!$AD$4:$AD$147,MATCH(M36,WORLDCUP!$AH$4:$AH$147,0)))</f>
        <v/>
      </c>
      <c r="R36" s="575" t="str">
        <f aca="false">+MID(INDEX(WORLDCUP!$AF$4:$AF$147,MATCH(M36,WORLDCUP!$AH$4:$AH$147,0)),1,3)</f>
        <v>Col</v>
      </c>
      <c r="S36" s="576" t="n">
        <v>1</v>
      </c>
      <c r="T36" s="577" t="str">
        <f aca="false">+MID(INDEX(WORLDCUP!$AL$6:$AL$97,MATCH(X36,WORLDCUP!$AI$6:$AI$97,0)),1,3)</f>
        <v>Por</v>
      </c>
      <c r="U36" s="578" t="n">
        <f aca="false">+INDEX(WORLDCUP!$AM$6:$AM$97,MATCH(X36,WORLDCUP!$AI$6:$AI$97,0))</f>
        <v>0</v>
      </c>
      <c r="V36" s="579" t="n">
        <f aca="false">+INDEX(WORLDCUP!$AT$6:$AT$97,MATCH(X36,WORLDCUP!$AI$6:$AI$97,0))</f>
        <v>0</v>
      </c>
      <c r="W36" s="580" t="str">
        <f aca="false">+INDEX(WORLDCUP!$AR$6:$AR$97,MATCH(X36,WORLDCUP!$AI$6:$AI$97,0))&amp;"-"&amp;INDEX(WORLDCUP!$AS$6:$AS$97,MATCH(X36,WORLDCUP!$AI$6:$AI$97,0))</f>
        <v>0-0</v>
      </c>
      <c r="X36" s="85" t="s">
        <v>123</v>
      </c>
      <c r="Y36" s="85" t="n">
        <v>80</v>
      </c>
      <c r="Z36" s="554" t="s">
        <v>127</v>
      </c>
      <c r="AA36" s="555" t="str">
        <f aca="false">+MID(INDEX(WORLDCUP!$AA$101:$AA$147,MATCH(Y36,WORLDCUP!$Z$101:$Z$147,0)),1,3)</f>
        <v>1L</v>
      </c>
      <c r="AB36" s="601" t="str">
        <f aca="false">+IF(ISBLANK(INDEX(WORLDCUP!$AC$101:$AC$147,MATCH(Y36,WORLDCUP!$Z$101:$Z$147,0))),"",INDEX(WORLDCUP!$AC$101:$AC$147,MATCH(Y36,WORLDCUP!$Z$101:$Z$147,0)))</f>
        <v/>
      </c>
      <c r="AC36" s="636" t="str">
        <f aca="false">+IF(ISBLANK(INDEX(WORLDCUP!$AB$101:$AB$147,MATCH(Y36,WORLDCUP!$Z$101:$Z$147,0))),"","( "&amp;INDEX(WORLDCUP!$AB$101:$AB$147,MATCH(Y36,WORLDCUP!$Z$101:$Z$147,0))&amp;" )")</f>
        <v/>
      </c>
      <c r="AD36" s="85"/>
      <c r="AE36" s="558"/>
      <c r="AF36" s="558"/>
      <c r="AG36" s="558"/>
      <c r="AH36" s="85"/>
      <c r="AI36" s="588"/>
      <c r="AJ36" s="588"/>
      <c r="AK36" s="628"/>
      <c r="AL36" s="471"/>
      <c r="AM36" s="560"/>
      <c r="AN36" s="560"/>
      <c r="AO36" s="642"/>
      <c r="AP36" s="471"/>
      <c r="AQ36" s="589"/>
      <c r="AR36" s="589"/>
      <c r="AS36" s="589"/>
      <c r="AT36" s="85"/>
      <c r="AU36" s="562"/>
      <c r="AV36" s="562"/>
      <c r="AW36" s="562"/>
      <c r="AX36" s="85"/>
      <c r="AY36" s="244"/>
      <c r="AZ36" s="244"/>
      <c r="BA36" s="244"/>
      <c r="BB36" s="244"/>
      <c r="BC36" s="244"/>
      <c r="BD36" s="244"/>
      <c r="BE36" s="244"/>
      <c r="BG36" s="591" t="str">
        <f aca="false">Horarios!Q35</f>
        <v>Noruega</v>
      </c>
      <c r="BH36" s="592" t="n">
        <f aca="false">1-SUM(BI36:BO36)</f>
        <v>1</v>
      </c>
      <c r="BI36" s="592" t="n">
        <f aca="false">COUNTIF(ADMIN!$M$130:$M$161,Fixture!BG36)-BJ36-BK36-BL36-BM36-BN36-BO36</f>
        <v>0</v>
      </c>
      <c r="BJ36" s="593" t="n">
        <f aca="false">COUNTIF(ADMIN!$M$182:$M$197,Fixture!BG36)-BK36-BL36-BM36-BN36-BO36</f>
        <v>0</v>
      </c>
      <c r="BK36" s="594" t="n">
        <f aca="false">COUNTIF(ADMIN!$M$210:$M$217,Fixture!BG36)-BL36-BM36-BN36-BO36</f>
        <v>0</v>
      </c>
      <c r="BL36" s="594" t="n">
        <f aca="false">COUNTIF(ADMIN!$M$226:$M$229,BG36)-BM36-BN36-BO36</f>
        <v>0</v>
      </c>
      <c r="BM36" s="592" t="n">
        <f aca="false">COUNTIF(ADMIN!$M$252,Fixture!BG36)</f>
        <v>0</v>
      </c>
      <c r="BN36" s="592" t="n">
        <f aca="false">COUNTIF(ADMIN!$M$251,Fixture!BG36)</f>
        <v>0</v>
      </c>
      <c r="BO36" s="595" t="n">
        <f aca="false">COUNTIF(ADMIN!$M$250,Fixture!BG36)</f>
        <v>0</v>
      </c>
    </row>
    <row r="37" customFormat="false" ht="15" hidden="false" customHeight="false" outlineLevel="0" collapsed="false">
      <c r="A37" s="85" t="n">
        <v>33</v>
      </c>
      <c r="B37" s="689"/>
      <c r="C37" s="573" t="str">
        <f aca="false">+MID(INDEX(WORLDCUP!$AA$4:$AA$147,MATCH(A37,WORLDCUP!$AH$4:$AH$147,0)),1,3)</f>
        <v>Ale</v>
      </c>
      <c r="D37" s="574" t="str">
        <f aca="false">IF(ISBLANK(INDEX(WORLDCUP!$AC$4:$AC$147,MATCH(A37,WORLDCUP!$AH$4:$AH$147,0))),"",INDEX(WORLDCUP!$AC$4:$AC$147,MATCH(A37,WORLDCUP!$AH$4:$AH$147,0)))</f>
        <v/>
      </c>
      <c r="E37" s="574" t="str">
        <f aca="false">IF(ISBLANK(INDEX(WORLDCUP!$AD$4:$AD$147,MATCH(A37,WORLDCUP!$AH$4:$AH$147,0))),"",INDEX(WORLDCUP!$AD$4:$AD$147,MATCH(A37,WORLDCUP!$AH$4:$AH$147,0)))</f>
        <v/>
      </c>
      <c r="F37" s="575" t="str">
        <f aca="false">+MID(INDEX(WORLDCUP!$AF$4:$AF$147,MATCH(A37,WORLDCUP!$AH$4:$AH$147,0)),1,3)</f>
        <v>Cos</v>
      </c>
      <c r="G37" s="596" t="n">
        <v>2</v>
      </c>
      <c r="H37" s="597" t="str">
        <f aca="false">+MID(INDEX(WORLDCUP!$AL$6:$AL$97,MATCH(L37,WORLDCUP!$AI$6:$AI$97,0)),1,3)</f>
        <v>Cos</v>
      </c>
      <c r="I37" s="124" t="n">
        <f aca="false">+INDEX(WORLDCUP!$AM$6:$AM$97,MATCH(L37,WORLDCUP!$AI$6:$AI$97,0))</f>
        <v>3</v>
      </c>
      <c r="J37" s="125" t="n">
        <f aca="false">+INDEX(WORLDCUP!$AT$6:$AT$97,MATCH(L37,WORLDCUP!$AI$6:$AI$97,0))</f>
        <v>1</v>
      </c>
      <c r="K37" s="231" t="str">
        <f aca="false">+INDEX(WORLDCUP!$AR$6:$AR$97,MATCH(L37,WORLDCUP!$AI$6:$AI$97,0))&amp;"-"&amp;INDEX(WORLDCUP!$AS$6:$AS$97,MATCH(L37,WORLDCUP!$AI$6:$AI$97,0))</f>
        <v>1-0</v>
      </c>
      <c r="L37" s="85" t="s">
        <v>97</v>
      </c>
      <c r="M37" s="85" t="n">
        <v>47</v>
      </c>
      <c r="N37" s="690"/>
      <c r="O37" s="573" t="str">
        <f aca="false">+MID(INDEX(WORLDCUP!$AA$4:$AA$147,MATCH(M37,WORLDCUP!$AH$4:$AH$147,0)),1,3)</f>
        <v>Por</v>
      </c>
      <c r="P37" s="574" t="str">
        <f aca="false">IF(ISBLANK(INDEX(WORLDCUP!$AC$4:$AC$147,MATCH(M37,WORLDCUP!$AH$4:$AH$147,0))),"",INDEX(WORLDCUP!$AC$4:$AC$147,MATCH(M37,WORLDCUP!$AH$4:$AH$147,0)))</f>
        <v/>
      </c>
      <c r="Q37" s="574" t="str">
        <f aca="false">IF(ISBLANK(INDEX(WORLDCUP!$AD$4:$AD$147,MATCH(M37,WORLDCUP!$AH$4:$AH$147,0))),"",INDEX(WORLDCUP!$AD$4:$AD$147,MATCH(M37,WORLDCUP!$AH$4:$AH$147,0)))</f>
        <v/>
      </c>
      <c r="R37" s="575" t="str">
        <f aca="false">+MID(INDEX(WORLDCUP!$AF$4:$AF$147,MATCH(M37,WORLDCUP!$AH$4:$AH$147,0)),1,3)</f>
        <v>Uzb</v>
      </c>
      <c r="S37" s="596" t="n">
        <v>2</v>
      </c>
      <c r="T37" s="597" t="str">
        <f aca="false">+MID(INDEX(WORLDCUP!$AL$6:$AL$97,MATCH(X37,WORLDCUP!$AI$6:$AI$97,0)),1,3)</f>
        <v>RD </v>
      </c>
      <c r="U37" s="124" t="n">
        <f aca="false">+INDEX(WORLDCUP!$AM$6:$AM$97,MATCH(X37,WORLDCUP!$AI$6:$AI$97,0))</f>
        <v>0</v>
      </c>
      <c r="V37" s="125" t="n">
        <f aca="false">+INDEX(WORLDCUP!$AT$6:$AT$97,MATCH(X37,WORLDCUP!$AI$6:$AI$97,0))</f>
        <v>0</v>
      </c>
      <c r="W37" s="231" t="str">
        <f aca="false">+INDEX(WORLDCUP!$AR$6:$AR$97,MATCH(X37,WORLDCUP!$AI$6:$AI$97,0))&amp;"-"&amp;INDEX(WORLDCUP!$AS$6:$AS$97,MATCH(X37,WORLDCUP!$AI$6:$AI$97,0))</f>
        <v>0-0</v>
      </c>
      <c r="X37" s="85" t="s">
        <v>124</v>
      </c>
      <c r="Y37" s="85" t="n">
        <v>80</v>
      </c>
      <c r="Z37" s="554" t="s">
        <v>162</v>
      </c>
      <c r="AA37" s="609" t="str">
        <f aca="false">+MID(INDEX(WORLDCUP!$AF$101:$AF$147,MATCH(Y37,WORLDCUP!$Z$101:$Z$147,0)),1,IF(WORLDCUP!$H$113&lt;144,6,3))</f>
        <v>3EHIJK</v>
      </c>
      <c r="AB37" s="610" t="str">
        <f aca="false">+IF(ISBLANK(INDEX(WORLDCUP!$AD$101:$AD$147,MATCH(Y37,WORLDCUP!$Z$101:$Z$147,0))),"",INDEX(WORLDCUP!$AD$101:$AD$147,MATCH(Y37,WORLDCUP!$Z$101:$Z$147,0)))</f>
        <v/>
      </c>
      <c r="AC37" s="637" t="str">
        <f aca="false">+IF(ISBLANK(INDEX(WORLDCUP!$AE$101:$AE$147,MATCH(Y37,WORLDCUP!$Z$101:$Z$147,0))),"","( "&amp;INDEX(WORLDCUP!$AE$101:$AE$147,MATCH(Y37,WORLDCUP!$Z$101:$Z$147,0))&amp;" )")</f>
        <v/>
      </c>
      <c r="AD37" s="85"/>
      <c r="AE37" s="558"/>
      <c r="AF37" s="558"/>
      <c r="AG37" s="558"/>
      <c r="AH37" s="85"/>
      <c r="AI37" s="588"/>
      <c r="AJ37" s="588"/>
      <c r="AK37" s="628"/>
      <c r="AL37" s="629" t="n">
        <v>102</v>
      </c>
      <c r="AM37" s="638" t="str">
        <f aca="false">+MID(INDEX(WORLDCUP!$AA$101:$AA$147,MATCH(AL37,WORLDCUP!$Z$101:$Z$147,0)),1,3)</f>
        <v>W99</v>
      </c>
      <c r="AN37" s="639" t="str">
        <f aca="false">+IF(ISBLANK(INDEX(WORLDCUP!$AC$101:$AC$147,MATCH(AL37,WORLDCUP!$Z$101:$Z$147,0))),"",INDEX(WORLDCUP!$AC$101:$AC$147,MATCH(AL37,WORLDCUP!$Z$101:$Z$147,0)))</f>
        <v/>
      </c>
      <c r="AO37" s="691" t="str">
        <f aca="false">+IF(ISBLANK(INDEX(WORLDCUP!$AB$101:$AB$147,MATCH(AL37,WORLDCUP!$Z$101:$Z$147,0))),"","( "&amp;INDEX(WORLDCUP!$AB$101:$AB$147,MATCH(AL37,WORLDCUP!$Z$101:$Z$147,0))&amp;" )")</f>
        <v/>
      </c>
      <c r="AP37" s="85"/>
      <c r="AQ37" s="589"/>
      <c r="AR37" s="589"/>
      <c r="AS37" s="589"/>
      <c r="AT37" s="85"/>
      <c r="AU37" s="562"/>
      <c r="AV37" s="562"/>
      <c r="AW37" s="562"/>
      <c r="AX37" s="85"/>
      <c r="AY37" s="244"/>
      <c r="AZ37" s="244"/>
      <c r="BA37" s="244"/>
      <c r="BB37" s="244"/>
      <c r="BC37" s="244"/>
      <c r="BD37" s="244"/>
      <c r="BE37" s="244"/>
      <c r="BG37" s="591" t="str">
        <f aca="false">Horarios!Q36</f>
        <v>Nueva Zelanda</v>
      </c>
      <c r="BH37" s="592" t="n">
        <f aca="false">1-SUM(BI37:BO37)</f>
        <v>1</v>
      </c>
      <c r="BI37" s="592" t="n">
        <f aca="false">COUNTIF(ADMIN!$M$130:$M$161,Fixture!BG37)-BJ37-BK37-BL37-BM37-BN37-BO37</f>
        <v>0</v>
      </c>
      <c r="BJ37" s="593" t="n">
        <f aca="false">COUNTIF(ADMIN!$M$182:$M$197,Fixture!BG37)-BK37-BL37-BM37-BN37-BO37</f>
        <v>0</v>
      </c>
      <c r="BK37" s="594" t="n">
        <f aca="false">COUNTIF(ADMIN!$M$210:$M$217,Fixture!BG37)-BL37-BM37-BN37-BO37</f>
        <v>0</v>
      </c>
      <c r="BL37" s="594" t="n">
        <f aca="false">COUNTIF(ADMIN!$M$226:$M$229,BG37)-BM37-BN37-BO37</f>
        <v>0</v>
      </c>
      <c r="BM37" s="592" t="n">
        <f aca="false">COUNTIF(ADMIN!$M$252,Fixture!BG37)</f>
        <v>0</v>
      </c>
      <c r="BN37" s="592" t="n">
        <f aca="false">COUNTIF(ADMIN!$M$251,Fixture!BG37)</f>
        <v>0</v>
      </c>
      <c r="BO37" s="595" t="n">
        <f aca="false">COUNTIF(ADMIN!$M$250,Fixture!BG37)</f>
        <v>0</v>
      </c>
    </row>
    <row r="38" customFormat="false" ht="15" hidden="false" customHeight="false" outlineLevel="0" collapsed="false">
      <c r="A38" s="85" t="n">
        <v>34</v>
      </c>
      <c r="B38" s="689"/>
      <c r="C38" s="573" t="str">
        <f aca="false">+MID(INDEX(WORLDCUP!$AA$4:$AA$147,MATCH(A38,WORLDCUP!$AH$4:$AH$147,0)),1,3)</f>
        <v>Ecu</v>
      </c>
      <c r="D38" s="574" t="str">
        <f aca="false">IF(ISBLANK(INDEX(WORLDCUP!$AC$4:$AC$147,MATCH(A38,WORLDCUP!$AH$4:$AH$147,0))),"",INDEX(WORLDCUP!$AC$4:$AC$147,MATCH(A38,WORLDCUP!$AH$4:$AH$147,0)))</f>
        <v/>
      </c>
      <c r="E38" s="574" t="str">
        <f aca="false">IF(ISBLANK(INDEX(WORLDCUP!$AD$4:$AD$147,MATCH(A38,WORLDCUP!$AH$4:$AH$147,0))),"",INDEX(WORLDCUP!$AD$4:$AD$147,MATCH(A38,WORLDCUP!$AH$4:$AH$147,0)))</f>
        <v/>
      </c>
      <c r="F38" s="575" t="str">
        <f aca="false">+MID(INDEX(WORLDCUP!$AF$4:$AF$147,MATCH(A38,WORLDCUP!$AH$4:$AH$147,0)),1,3)</f>
        <v>Cur</v>
      </c>
      <c r="G38" s="596" t="n">
        <v>3</v>
      </c>
      <c r="H38" s="597" t="str">
        <f aca="false">+MID(INDEX(WORLDCUP!$AL$6:$AL$97,MATCH(L38,WORLDCUP!$AI$6:$AI$97,0)),1,3)</f>
        <v>Ecu</v>
      </c>
      <c r="I38" s="124" t="n">
        <f aca="false">+INDEX(WORLDCUP!$AM$6:$AM$97,MATCH(L38,WORLDCUP!$AI$6:$AI$97,0))</f>
        <v>0</v>
      </c>
      <c r="J38" s="125" t="n">
        <f aca="false">+INDEX(WORLDCUP!$AT$6:$AT$97,MATCH(L38,WORLDCUP!$AI$6:$AI$97,0))</f>
        <v>-1</v>
      </c>
      <c r="K38" s="231" t="str">
        <f aca="false">+INDEX(WORLDCUP!$AR$6:$AR$97,MATCH(L38,WORLDCUP!$AI$6:$AI$97,0))&amp;"-"&amp;INDEX(WORLDCUP!$AS$6:$AS$97,MATCH(L38,WORLDCUP!$AI$6:$AI$97,0))</f>
        <v>0-1</v>
      </c>
      <c r="L38" s="85" t="s">
        <v>98</v>
      </c>
      <c r="M38" s="85" t="n">
        <v>48</v>
      </c>
      <c r="N38" s="690"/>
      <c r="O38" s="573" t="str">
        <f aca="false">+MID(INDEX(WORLDCUP!$AA$4:$AA$147,MATCH(M38,WORLDCUP!$AH$4:$AH$147,0)),1,3)</f>
        <v>Col</v>
      </c>
      <c r="P38" s="574" t="str">
        <f aca="false">IF(ISBLANK(INDEX(WORLDCUP!$AC$4:$AC$147,MATCH(M38,WORLDCUP!$AH$4:$AH$147,0))),"",INDEX(WORLDCUP!$AC$4:$AC$147,MATCH(M38,WORLDCUP!$AH$4:$AH$147,0)))</f>
        <v/>
      </c>
      <c r="Q38" s="574" t="str">
        <f aca="false">IF(ISBLANK(INDEX(WORLDCUP!$AD$4:$AD$147,MATCH(M38,WORLDCUP!$AH$4:$AH$147,0))),"",INDEX(WORLDCUP!$AD$4:$AD$147,MATCH(M38,WORLDCUP!$AH$4:$AH$147,0)))</f>
        <v/>
      </c>
      <c r="R38" s="575" t="str">
        <f aca="false">+MID(INDEX(WORLDCUP!$AF$4:$AF$147,MATCH(M38,WORLDCUP!$AH$4:$AH$147,0)),1,3)</f>
        <v>RD </v>
      </c>
      <c r="S38" s="596" t="n">
        <v>3</v>
      </c>
      <c r="T38" s="597" t="str">
        <f aca="false">+MID(INDEX(WORLDCUP!$AL$6:$AL$97,MATCH(X38,WORLDCUP!$AI$6:$AI$97,0)),1,3)</f>
        <v>Uzb</v>
      </c>
      <c r="U38" s="124" t="n">
        <f aca="false">+INDEX(WORLDCUP!$AM$6:$AM$97,MATCH(X38,WORLDCUP!$AI$6:$AI$97,0))</f>
        <v>0</v>
      </c>
      <c r="V38" s="125" t="n">
        <f aca="false">+INDEX(WORLDCUP!$AT$6:$AT$97,MATCH(X38,WORLDCUP!$AI$6:$AI$97,0))</f>
        <v>0</v>
      </c>
      <c r="W38" s="231" t="str">
        <f aca="false">+INDEX(WORLDCUP!$AR$6:$AR$97,MATCH(X38,WORLDCUP!$AI$6:$AI$97,0))&amp;"-"&amp;INDEX(WORLDCUP!$AS$6:$AS$97,MATCH(X38,WORLDCUP!$AI$6:$AI$97,0))</f>
        <v>0-0</v>
      </c>
      <c r="X38" s="85" t="s">
        <v>125</v>
      </c>
      <c r="Y38" s="85"/>
      <c r="Z38" s="554"/>
      <c r="AA38" s="623"/>
      <c r="AB38" s="623"/>
      <c r="AC38" s="623"/>
      <c r="AD38" s="85"/>
      <c r="AE38" s="558"/>
      <c r="AF38" s="558"/>
      <c r="AG38" s="558"/>
      <c r="AH38" s="85"/>
      <c r="AI38" s="588"/>
      <c r="AJ38" s="588"/>
      <c r="AK38" s="628"/>
      <c r="AL38" s="85" t="n">
        <v>102</v>
      </c>
      <c r="AM38" s="638" t="str">
        <f aca="false" t="array" ref="AM38:AM38">+MID(INDEX(WORLDCUP!$AF$101:$AF$147,MATCH(AL38,WORLDCUP!$Z$101:$Z$147,0)),1,IF(OR(ISBLANK(AC86:AD86)),4,3))</f>
        <v>W100</v>
      </c>
      <c r="AN38" s="639" t="str">
        <f aca="false">+IF(ISBLANK(INDEX(WORLDCUP!$AD$101:$AD$147,MATCH(AL38,WORLDCUP!$Z$101:$Z$147,0))),"",INDEX(WORLDCUP!$AD$101:$AD$147,MATCH(AL38,WORLDCUP!$Z$101:$Z$147,0)))</f>
        <v/>
      </c>
      <c r="AO38" s="560" t="str">
        <f aca="false">+IF(ISBLANK(INDEX(WORLDCUP!$AE$101:$AE$147,MATCH(AL38,WORLDCUP!$Z$101:$Z$147,0))),"","( "&amp;INDEX(WORLDCUP!$AE$101:$AE$147,MATCH(AL38,WORLDCUP!$Z$101:$Z$147,0))&amp;" )")</f>
        <v/>
      </c>
      <c r="AP38" s="85"/>
      <c r="AQ38" s="589"/>
      <c r="AR38" s="589"/>
      <c r="AS38" s="589"/>
      <c r="AT38" s="85"/>
      <c r="AU38" s="562"/>
      <c r="AV38" s="562"/>
      <c r="AW38" s="562"/>
      <c r="AX38" s="85"/>
      <c r="AY38" s="244"/>
      <c r="AZ38" s="244"/>
      <c r="BA38" s="244"/>
      <c r="BB38" s="244"/>
      <c r="BC38" s="244"/>
      <c r="BD38" s="244"/>
      <c r="BE38" s="244"/>
      <c r="BG38" s="591" t="str">
        <f aca="false">Horarios!Q37</f>
        <v>Países Bajos</v>
      </c>
      <c r="BH38" s="592" t="n">
        <f aca="false">1-SUM(BI38:BO38)</f>
        <v>1</v>
      </c>
      <c r="BI38" s="592" t="n">
        <f aca="false">COUNTIF(ADMIN!$M$130:$M$161,Fixture!BG38)-BJ38-BK38-BL38-BM38-BN38-BO38</f>
        <v>0</v>
      </c>
      <c r="BJ38" s="593" t="n">
        <f aca="false">COUNTIF(ADMIN!$M$182:$M$197,Fixture!BG38)-BK38-BL38-BM38-BN38-BO38</f>
        <v>0</v>
      </c>
      <c r="BK38" s="594" t="n">
        <f aca="false">COUNTIF(ADMIN!$M$210:$M$217,Fixture!BG38)-BL38-BM38-BN38-BO38</f>
        <v>0</v>
      </c>
      <c r="BL38" s="594" t="n">
        <f aca="false">COUNTIF(ADMIN!$M$226:$M$229,BG38)-BM38-BN38-BO38</f>
        <v>0</v>
      </c>
      <c r="BM38" s="592" t="n">
        <f aca="false">COUNTIF(ADMIN!$M$252,Fixture!BG38)</f>
        <v>0</v>
      </c>
      <c r="BN38" s="592" t="n">
        <f aca="false">COUNTIF(ADMIN!$M$251,Fixture!BG38)</f>
        <v>0</v>
      </c>
      <c r="BO38" s="595" t="n">
        <f aca="false">COUNTIF(ADMIN!$M$250,Fixture!BG38)</f>
        <v>0</v>
      </c>
    </row>
    <row r="39" customFormat="false" ht="15" hidden="false" customHeight="false" outlineLevel="0" collapsed="false">
      <c r="A39" s="85" t="n">
        <v>55</v>
      </c>
      <c r="B39" s="689"/>
      <c r="C39" s="573" t="str">
        <f aca="false">+MID(INDEX(WORLDCUP!$AA$4:$AA$147,MATCH(A39,WORLDCUP!$AH$4:$AH$147,0)),1,3)</f>
        <v>Cur</v>
      </c>
      <c r="D39" s="574" t="str">
        <f aca="false">IF(ISBLANK(INDEX(WORLDCUP!$AC$4:$AC$147,MATCH(A39,WORLDCUP!$AH$4:$AH$147,0))),"",INDEX(WORLDCUP!$AC$4:$AC$147,MATCH(A39,WORLDCUP!$AH$4:$AH$147,0)))</f>
        <v/>
      </c>
      <c r="E39" s="574" t="str">
        <f aca="false">IF(ISBLANK(INDEX(WORLDCUP!$AD$4:$AD$147,MATCH(A39,WORLDCUP!$AH$4:$AH$147,0))),"",INDEX(WORLDCUP!$AD$4:$AD$147,MATCH(A39,WORLDCUP!$AH$4:$AH$147,0)))</f>
        <v/>
      </c>
      <c r="F39" s="575" t="str">
        <f aca="false">+MID(INDEX(WORLDCUP!$AF$4:$AF$147,MATCH(A39,WORLDCUP!$AH$4:$AH$147,0)),1,3)</f>
        <v>Cos</v>
      </c>
      <c r="G39" s="596" t="n">
        <v>4</v>
      </c>
      <c r="H39" s="605" t="str">
        <f aca="false">+MID(INDEX(WORLDCUP!$AL$6:$AL$97,MATCH(L39,WORLDCUP!$AI$6:$AI$97,0)),1,3)</f>
        <v>Cur</v>
      </c>
      <c r="I39" s="606" t="n">
        <f aca="false">+INDEX(WORLDCUP!$AM$6:$AM$97,MATCH(L39,WORLDCUP!$AI$6:$AI$97,0))</f>
        <v>0</v>
      </c>
      <c r="J39" s="607" t="n">
        <f aca="false">+INDEX(WORLDCUP!$AT$6:$AT$97,MATCH(L39,WORLDCUP!$AI$6:$AI$97,0))</f>
        <v>-6</v>
      </c>
      <c r="K39" s="608" t="str">
        <f aca="false">+INDEX(WORLDCUP!$AR$6:$AR$97,MATCH(L39,WORLDCUP!$AI$6:$AI$97,0))&amp;"-"&amp;INDEX(WORLDCUP!$AS$6:$AS$97,MATCH(L39,WORLDCUP!$AI$6:$AI$97,0))</f>
        <v>1-7</v>
      </c>
      <c r="L39" s="85" t="s">
        <v>99</v>
      </c>
      <c r="M39" s="85" t="n">
        <v>71</v>
      </c>
      <c r="N39" s="690"/>
      <c r="O39" s="573" t="str">
        <f aca="false">+MID(INDEX(WORLDCUP!$AA$4:$AA$147,MATCH(M39,WORLDCUP!$AH$4:$AH$147,0)),1,3)</f>
        <v>Col</v>
      </c>
      <c r="P39" s="574" t="str">
        <f aca="false">IF(ISBLANK(INDEX(WORLDCUP!$AC$4:$AC$147,MATCH(M39,WORLDCUP!$AH$4:$AH$147,0))),"",INDEX(WORLDCUP!$AC$4:$AC$147,MATCH(M39,WORLDCUP!$AH$4:$AH$147,0)))</f>
        <v/>
      </c>
      <c r="Q39" s="574" t="str">
        <f aca="false">IF(ISBLANK(INDEX(WORLDCUP!$AD$4:$AD$147,MATCH(M39,WORLDCUP!$AH$4:$AH$147,0))),"",INDEX(WORLDCUP!$AD$4:$AD$147,MATCH(M39,WORLDCUP!$AH$4:$AH$147,0)))</f>
        <v/>
      </c>
      <c r="R39" s="575" t="str">
        <f aca="false">+MID(INDEX(WORLDCUP!$AF$4:$AF$147,MATCH(M39,WORLDCUP!$AH$4:$AH$147,0)),1,3)</f>
        <v>Por</v>
      </c>
      <c r="S39" s="596" t="n">
        <v>4</v>
      </c>
      <c r="T39" s="605" t="str">
        <f aca="false">+MID(INDEX(WORLDCUP!$AL$6:$AL$97,MATCH(X39,WORLDCUP!$AI$6:$AI$97,0)),1,3)</f>
        <v>Col</v>
      </c>
      <c r="U39" s="606" t="n">
        <f aca="false">+INDEX(WORLDCUP!$AM$6:$AM$97,MATCH(X39,WORLDCUP!$AI$6:$AI$97,0))</f>
        <v>0</v>
      </c>
      <c r="V39" s="607" t="n">
        <f aca="false">+INDEX(WORLDCUP!$AT$6:$AT$97,MATCH(X39,WORLDCUP!$AI$6:$AI$97,0))</f>
        <v>0</v>
      </c>
      <c r="W39" s="608" t="str">
        <f aca="false">+INDEX(WORLDCUP!$AR$6:$AR$97,MATCH(X39,WORLDCUP!$AI$6:$AI$97,0))&amp;"-"&amp;INDEX(WORLDCUP!$AS$6:$AS$97,MATCH(X39,WORLDCUP!$AI$6:$AI$97,0))</f>
        <v>0-0</v>
      </c>
      <c r="X39" s="85" t="s">
        <v>126</v>
      </c>
      <c r="Y39" s="85" t="n">
        <v>86</v>
      </c>
      <c r="Z39" s="554" t="s">
        <v>118</v>
      </c>
      <c r="AA39" s="555" t="str">
        <f aca="false">+MID(INDEX(WORLDCUP!$AA$101:$AA$147,MATCH(Y39,WORLDCUP!$Z$101:$Z$147,0)),1,3)</f>
        <v>1J</v>
      </c>
      <c r="AB39" s="556" t="str">
        <f aca="false">+IF(ISBLANK(INDEX(WORLDCUP!$AC$101:$AC$147,MATCH(Y39,WORLDCUP!$Z$101:$Z$147,0))),"",INDEX(WORLDCUP!$AC$101:$AC$147,MATCH(Y39,WORLDCUP!$Z$101:$Z$147,0)))</f>
        <v/>
      </c>
      <c r="AC39" s="627" t="str">
        <f aca="false">+IF(ISBLANK(INDEX(WORLDCUP!$AB$101:$AB$147,MATCH(Y39,WORLDCUP!$Z$101:$Z$147,0))),"","( "&amp;INDEX(WORLDCUP!$AB$101:$AB$147,MATCH(Y39,WORLDCUP!$Z$101:$Z$147,0))&amp;" )")</f>
        <v/>
      </c>
      <c r="AD39" s="50"/>
      <c r="AE39" s="558"/>
      <c r="AF39" s="558"/>
      <c r="AG39" s="558"/>
      <c r="AH39" s="85"/>
      <c r="AI39" s="588"/>
      <c r="AJ39" s="588"/>
      <c r="AK39" s="628"/>
      <c r="AL39" s="471"/>
      <c r="AM39" s="560"/>
      <c r="AN39" s="560"/>
      <c r="AO39" s="560"/>
      <c r="AP39" s="85"/>
      <c r="AQ39" s="589"/>
      <c r="AR39" s="589"/>
      <c r="AS39" s="589"/>
      <c r="AT39" s="85"/>
      <c r="AU39" s="562"/>
      <c r="AV39" s="562"/>
      <c r="AW39" s="562"/>
      <c r="AX39" s="85"/>
      <c r="AY39" s="244"/>
      <c r="AZ39" s="244"/>
      <c r="BA39" s="244"/>
      <c r="BB39" s="244"/>
      <c r="BC39" s="244"/>
      <c r="BD39" s="244"/>
      <c r="BE39" s="244"/>
      <c r="BG39" s="591" t="str">
        <f aca="false">Horarios!Q38</f>
        <v>Panamá</v>
      </c>
      <c r="BH39" s="592" t="n">
        <f aca="false">1-SUM(BI39:BO39)</f>
        <v>1</v>
      </c>
      <c r="BI39" s="592" t="n">
        <f aca="false">COUNTIF(ADMIN!$M$130:$M$161,Fixture!BG39)-BJ39-BK39-BL39-BM39-BN39-BO39</f>
        <v>0</v>
      </c>
      <c r="BJ39" s="593" t="n">
        <f aca="false">COUNTIF(ADMIN!$M$182:$M$197,Fixture!BG39)-BK39-BL39-BM39-BN39-BO39</f>
        <v>0</v>
      </c>
      <c r="BK39" s="594" t="n">
        <f aca="false">COUNTIF(ADMIN!$M$210:$M$217,Fixture!BG39)-BL39-BM39-BN39-BO39</f>
        <v>0</v>
      </c>
      <c r="BL39" s="594" t="n">
        <f aca="false">COUNTIF(ADMIN!$M$226:$M$229,BG39)-BM39-BN39-BO39</f>
        <v>0</v>
      </c>
      <c r="BM39" s="592" t="n">
        <f aca="false">COUNTIF(ADMIN!$M$252,Fixture!BG39)</f>
        <v>0</v>
      </c>
      <c r="BN39" s="592" t="n">
        <f aca="false">COUNTIF(ADMIN!$M$251,Fixture!BG39)</f>
        <v>0</v>
      </c>
      <c r="BO39" s="595" t="n">
        <f aca="false">COUNTIF(ADMIN!$M$250,Fixture!BG39)</f>
        <v>0</v>
      </c>
    </row>
    <row r="40" customFormat="false" ht="15" hidden="false" customHeight="false" outlineLevel="0" collapsed="false">
      <c r="A40" s="85" t="n">
        <v>56</v>
      </c>
      <c r="B40" s="692"/>
      <c r="C40" s="616" t="str">
        <f aca="false">+MID(INDEX(WORLDCUP!$AA$4:$AA$147,MATCH(A40,WORLDCUP!$AH$4:$AH$147,0)),1,3)</f>
        <v>Ecu</v>
      </c>
      <c r="D40" s="617" t="str">
        <f aca="false">IF(ISBLANK(INDEX(WORLDCUP!$AC$4:$AC$147,MATCH(A40,WORLDCUP!$AH$4:$AH$147,0))),"",INDEX(WORLDCUP!$AC$4:$AC$147,MATCH(A40,WORLDCUP!$AH$4:$AH$147,0)))</f>
        <v/>
      </c>
      <c r="E40" s="617" t="str">
        <f aca="false">IF(ISBLANK(INDEX(WORLDCUP!$AD$4:$AD$147,MATCH(A40,WORLDCUP!$AH$4:$AH$147,0))),"",INDEX(WORLDCUP!$AD$4:$AD$147,MATCH(A40,WORLDCUP!$AH$4:$AH$147,0)))</f>
        <v/>
      </c>
      <c r="F40" s="618" t="str">
        <f aca="false">+MID(INDEX(WORLDCUP!$AF$4:$AF$147,MATCH(A40,WORLDCUP!$AH$4:$AH$147,0)),1,3)</f>
        <v>Ale</v>
      </c>
      <c r="G40" s="619"/>
      <c r="H40" s="619"/>
      <c r="I40" s="620"/>
      <c r="J40" s="620"/>
      <c r="K40" s="621"/>
      <c r="L40" s="85"/>
      <c r="M40" s="85" t="n">
        <v>72</v>
      </c>
      <c r="N40" s="693"/>
      <c r="O40" s="616" t="str">
        <f aca="false">+MID(INDEX(WORLDCUP!$AA$4:$AA$147,MATCH(M40,WORLDCUP!$AH$4:$AH$147,0)),1,3)</f>
        <v>RD </v>
      </c>
      <c r="P40" s="617" t="str">
        <f aca="false">IF(ISBLANK(INDEX(WORLDCUP!$AC$4:$AC$147,MATCH(M40,WORLDCUP!$AH$4:$AH$147,0))),"",INDEX(WORLDCUP!$AC$4:$AC$147,MATCH(M40,WORLDCUP!$AH$4:$AH$147,0)))</f>
        <v/>
      </c>
      <c r="Q40" s="617" t="str">
        <f aca="false">IF(ISBLANK(INDEX(WORLDCUP!$AD$4:$AD$147,MATCH(M40,WORLDCUP!$AH$4:$AH$147,0))),"",INDEX(WORLDCUP!$AD$4:$AD$147,MATCH(M40,WORLDCUP!$AH$4:$AH$147,0)))</f>
        <v/>
      </c>
      <c r="R40" s="618" t="str">
        <f aca="false">+MID(INDEX(WORLDCUP!$AF$4:$AF$147,MATCH(M40,WORLDCUP!$AH$4:$AH$147,0)),1,3)</f>
        <v>Uzb</v>
      </c>
      <c r="S40" s="619"/>
      <c r="T40" s="619"/>
      <c r="U40" s="620"/>
      <c r="V40" s="620"/>
      <c r="W40" s="621"/>
      <c r="X40" s="85"/>
      <c r="Y40" s="85" t="n">
        <v>86</v>
      </c>
      <c r="Z40" s="554" t="s">
        <v>110</v>
      </c>
      <c r="AA40" s="555" t="str">
        <f aca="false">+MID(INDEX(WORLDCUP!$AF$101:$AF$147,MATCH(Y40,WORLDCUP!$Z$101:$Z$147,0)),1,3)</f>
        <v>2H</v>
      </c>
      <c r="AB40" s="582" t="str">
        <f aca="false">+IF(ISBLANK(INDEX(WORLDCUP!$AD$101:$AD$147,MATCH(Y40,WORLDCUP!$Z$101:$Z$147,0))),"",INDEX(WORLDCUP!$AD$101:$AD$147,MATCH(Y40,WORLDCUP!$Z$101:$Z$147,0)))</f>
        <v/>
      </c>
      <c r="AC40" s="583" t="str">
        <f aca="false">+IF(ISBLANK(INDEX(WORLDCUP!$AE$101:$AE$147,MATCH(Y40,WORLDCUP!$Z$101:$Z$147,0))),"","( "&amp;INDEX(WORLDCUP!$AE$101:$AE$147,MATCH(Y40,WORLDCUP!$Z$101:$Z$147,0))&amp;" )")</f>
        <v/>
      </c>
      <c r="AD40" s="584" t="n">
        <v>95</v>
      </c>
      <c r="AE40" s="585" t="str">
        <f aca="false">+MID(INDEX(WORLDCUP!$AA$101:$AA$147,MATCH(AD40,WORLDCUP!$Z$101:$Z$147,0)),1,3)</f>
        <v>W86</v>
      </c>
      <c r="AF40" s="586" t="str">
        <f aca="false">+IF(ISBLANK(INDEX(WORLDCUP!$AC$101:$AC$147,MATCH(AD40,WORLDCUP!$Z$101:$Z$147,0))),"",INDEX(WORLDCUP!$AC$101:$AC$147,MATCH(AD40,WORLDCUP!$Z$101:$Z$147,0)))</f>
        <v/>
      </c>
      <c r="AG40" s="587" t="str">
        <f aca="false">+IF(ISBLANK(INDEX(WORLDCUP!$AB$101:$AB$147,MATCH(AD40,WORLDCUP!$Z$101:$Z$147,0))),"","( "&amp;INDEX(WORLDCUP!$AB$101:$AB$147,MATCH(AD40,WORLDCUP!$Z$101:$Z$147,0))&amp;" )")</f>
        <v/>
      </c>
      <c r="AH40" s="85"/>
      <c r="AI40" s="588"/>
      <c r="AJ40" s="588"/>
      <c r="AK40" s="628"/>
      <c r="AL40" s="471"/>
      <c r="AM40" s="560"/>
      <c r="AN40" s="560"/>
      <c r="AO40" s="560"/>
      <c r="AP40" s="85"/>
      <c r="AQ40" s="589"/>
      <c r="AR40" s="589"/>
      <c r="AS40" s="589"/>
      <c r="AT40" s="85"/>
      <c r="AU40" s="562"/>
      <c r="AV40" s="562"/>
      <c r="AW40" s="562"/>
      <c r="AX40" s="85"/>
      <c r="AY40" s="244"/>
      <c r="AZ40" s="244"/>
      <c r="BA40" s="244"/>
      <c r="BB40" s="244"/>
      <c r="BC40" s="244"/>
      <c r="BD40" s="244"/>
      <c r="BE40" s="244"/>
      <c r="BG40" s="591" t="str">
        <f aca="false">Horarios!Q39</f>
        <v>Paraguay</v>
      </c>
      <c r="BH40" s="592" t="n">
        <f aca="false">1-SUM(BI40:BO40)</f>
        <v>1</v>
      </c>
      <c r="BI40" s="592" t="n">
        <f aca="false">COUNTIF(ADMIN!$M$130:$M$161,Fixture!BG40)-BJ40-BK40-BL40-BM40-BN40-BO40</f>
        <v>0</v>
      </c>
      <c r="BJ40" s="593" t="n">
        <f aca="false">COUNTIF(ADMIN!$M$182:$M$197,Fixture!BG40)-BK40-BL40-BM40-BN40-BO40</f>
        <v>0</v>
      </c>
      <c r="BK40" s="594" t="n">
        <f aca="false">COUNTIF(ADMIN!$M$210:$M$217,Fixture!BG40)-BL40-BM40-BN40-BO40</f>
        <v>0</v>
      </c>
      <c r="BL40" s="594" t="n">
        <f aca="false">COUNTIF(ADMIN!$M$226:$M$229,BG40)-BM40-BN40-BO40</f>
        <v>0</v>
      </c>
      <c r="BM40" s="592" t="n">
        <f aca="false">COUNTIF(ADMIN!$M$252,Fixture!BG40)</f>
        <v>0</v>
      </c>
      <c r="BN40" s="592" t="n">
        <f aca="false">COUNTIF(ADMIN!$M$251,Fixture!BG40)</f>
        <v>0</v>
      </c>
      <c r="BO40" s="595" t="n">
        <f aca="false">COUNTIF(ADMIN!$M$250,Fixture!BG40)</f>
        <v>0</v>
      </c>
    </row>
    <row r="41" customFormat="false" ht="15" hidden="false" customHeight="false" outlineLevel="0" collapsed="false">
      <c r="A41" s="85"/>
      <c r="B41" s="542"/>
      <c r="C41" s="625"/>
      <c r="D41" s="626"/>
      <c r="E41" s="626"/>
      <c r="F41" s="244"/>
      <c r="G41" s="244"/>
      <c r="H41" s="625"/>
      <c r="I41" s="244"/>
      <c r="J41" s="244"/>
      <c r="K41" s="244"/>
      <c r="L41" s="85"/>
      <c r="M41" s="85"/>
      <c r="N41" s="151"/>
      <c r="O41" s="625"/>
      <c r="P41" s="626"/>
      <c r="Q41" s="626"/>
      <c r="R41" s="244"/>
      <c r="S41" s="244"/>
      <c r="T41" s="625"/>
      <c r="U41" s="244"/>
      <c r="V41" s="244"/>
      <c r="W41" s="244"/>
      <c r="X41" s="85"/>
      <c r="Y41" s="85"/>
      <c r="Z41" s="554"/>
      <c r="AA41" s="598"/>
      <c r="AB41" s="598"/>
      <c r="AC41" s="599"/>
      <c r="AD41" s="85" t="n">
        <v>95</v>
      </c>
      <c r="AE41" s="585" t="str">
        <f aca="false">+MID(INDEX(WORLDCUP!$AF$101:$AF$147,MATCH(AD41,WORLDCUP!$Z$101:$Z$147,0)),1,3)</f>
        <v>W88</v>
      </c>
      <c r="AF41" s="586" t="str">
        <f aca="false">+IF(ISBLANK(INDEX(WORLDCUP!$AD$101:$AD$147,MATCH(AD41,WORLDCUP!$Z$101:$Z$147,0))),"",INDEX(WORLDCUP!$AD$101:$AD$147,MATCH(AD41,WORLDCUP!$Z$101:$Z$147,0)))</f>
        <v/>
      </c>
      <c r="AG41" s="645" t="str">
        <f aca="false">+IF(ISBLANK(INDEX(WORLDCUP!$AE$101:$AE$147,MATCH(AD41,WORLDCUP!$Z$101:$Z$147,0))),"","( "&amp;INDEX(WORLDCUP!$AE$101:$AE$147,MATCH(AD41,WORLDCUP!$Z$101:$Z$147,0))&amp;" )")</f>
        <v/>
      </c>
      <c r="AH41" s="85"/>
      <c r="AI41" s="588"/>
      <c r="AJ41" s="588"/>
      <c r="AK41" s="628"/>
      <c r="AL41" s="471"/>
      <c r="AM41" s="560"/>
      <c r="AN41" s="560"/>
      <c r="AO41" s="560"/>
      <c r="AP41" s="85"/>
      <c r="AQ41" s="589"/>
      <c r="AR41" s="589"/>
      <c r="AS41" s="589"/>
      <c r="AT41" s="85"/>
      <c r="AU41" s="562"/>
      <c r="AV41" s="562"/>
      <c r="AW41" s="562"/>
      <c r="AX41" s="85"/>
      <c r="AY41" s="244"/>
      <c r="AZ41" s="244"/>
      <c r="BA41" s="244"/>
      <c r="BB41" s="244"/>
      <c r="BC41" s="244"/>
      <c r="BD41" s="244"/>
      <c r="BE41" s="244"/>
      <c r="BG41" s="591" t="str">
        <f aca="false">Horarios!Q40</f>
        <v>Portugal</v>
      </c>
      <c r="BH41" s="592" t="n">
        <f aca="false">1-SUM(BI41:BO41)</f>
        <v>1</v>
      </c>
      <c r="BI41" s="592" t="n">
        <f aca="false">COUNTIF(ADMIN!$M$130:$M$161,Fixture!BG41)-BJ41-BK41-BL41-BM41-BN41-BO41</f>
        <v>0</v>
      </c>
      <c r="BJ41" s="593" t="n">
        <f aca="false">COUNTIF(ADMIN!$M$182:$M$197,Fixture!BG41)-BK41-BL41-BM41-BN41-BO41</f>
        <v>0</v>
      </c>
      <c r="BK41" s="594" t="n">
        <f aca="false">COUNTIF(ADMIN!$M$210:$M$217,Fixture!BG41)-BL41-BM41-BN41-BO41</f>
        <v>0</v>
      </c>
      <c r="BL41" s="594" t="n">
        <f aca="false">COUNTIF(ADMIN!$M$226:$M$229,BG41)-BM41-BN41-BO41</f>
        <v>0</v>
      </c>
      <c r="BM41" s="592" t="n">
        <f aca="false">COUNTIF(ADMIN!$M$252,Fixture!BG41)</f>
        <v>0</v>
      </c>
      <c r="BN41" s="592" t="n">
        <f aca="false">COUNTIF(ADMIN!$M$251,Fixture!BG41)</f>
        <v>0</v>
      </c>
      <c r="BO41" s="595" t="n">
        <f aca="false">COUNTIF(ADMIN!$M$250,Fixture!BG41)</f>
        <v>0</v>
      </c>
    </row>
    <row r="42" customFormat="false" ht="15" hidden="false" customHeight="false" outlineLevel="0" collapsed="false">
      <c r="A42" s="85"/>
      <c r="B42" s="542"/>
      <c r="C42" s="625"/>
      <c r="D42" s="626"/>
      <c r="E42" s="626"/>
      <c r="F42" s="244"/>
      <c r="G42" s="244"/>
      <c r="H42" s="625"/>
      <c r="I42" s="244"/>
      <c r="J42" s="244"/>
      <c r="K42" s="244"/>
      <c r="L42" s="85"/>
      <c r="M42" s="85"/>
      <c r="N42" s="151"/>
      <c r="O42" s="625"/>
      <c r="P42" s="626"/>
      <c r="Q42" s="626"/>
      <c r="R42" s="244"/>
      <c r="S42" s="244"/>
      <c r="T42" s="625"/>
      <c r="U42" s="244"/>
      <c r="V42" s="244"/>
      <c r="W42" s="244"/>
      <c r="X42" s="85"/>
      <c r="Y42" s="85" t="n">
        <v>88</v>
      </c>
      <c r="Z42" s="554" t="s">
        <v>92</v>
      </c>
      <c r="AA42" s="555" t="str">
        <f aca="false">+MID(INDEX(WORLDCUP!$AA$101:$AA$147,MATCH(Y42,WORLDCUP!$Z$101:$Z$147,0)),1,3)</f>
        <v>2D</v>
      </c>
      <c r="AB42" s="601" t="str">
        <f aca="false">+IF(ISBLANK(INDEX(WORLDCUP!$AC$101:$AC$147,MATCH(Y42,WORLDCUP!$Z$101:$Z$147,0))),"",INDEX(WORLDCUP!$AC$101:$AC$147,MATCH(Y42,WORLDCUP!$Z$101:$Z$147,0)))</f>
        <v/>
      </c>
      <c r="AC42" s="636" t="str">
        <f aca="false">+IF(ISBLANK(INDEX(WORLDCUP!$AB$101:$AB$147,MATCH(Y42,WORLDCUP!$Z$101:$Z$147,0))),"","( "&amp;INDEX(WORLDCUP!$AB$101:$AB$147,MATCH(Y42,WORLDCUP!$Z$101:$Z$147,0))&amp;" )")</f>
        <v/>
      </c>
      <c r="AD42" s="85"/>
      <c r="AE42" s="603"/>
      <c r="AF42" s="603"/>
      <c r="AG42" s="604"/>
      <c r="AH42" s="85"/>
      <c r="AI42" s="588"/>
      <c r="AJ42" s="588"/>
      <c r="AK42" s="628"/>
      <c r="AL42" s="471"/>
      <c r="AM42" s="560"/>
      <c r="AN42" s="560"/>
      <c r="AO42" s="560"/>
      <c r="AP42" s="85"/>
      <c r="AQ42" s="589"/>
      <c r="AR42" s="589"/>
      <c r="AS42" s="589"/>
      <c r="AT42" s="85"/>
      <c r="AU42" s="562"/>
      <c r="AV42" s="562"/>
      <c r="AW42" s="562"/>
      <c r="AX42" s="85"/>
      <c r="AY42" s="244"/>
      <c r="AZ42" s="244"/>
      <c r="BA42" s="244"/>
      <c r="BB42" s="244"/>
      <c r="BC42" s="244"/>
      <c r="BD42" s="244"/>
      <c r="BE42" s="244"/>
      <c r="BG42" s="591" t="str">
        <f aca="false">Horarios!Q41</f>
        <v>RD Congo</v>
      </c>
      <c r="BH42" s="592" t="n">
        <f aca="false">1-SUM(BI42:BO42)</f>
        <v>1</v>
      </c>
      <c r="BI42" s="592" t="n">
        <f aca="false">COUNTIF(ADMIN!$M$130:$M$161,Fixture!BG42)-BJ42-BK42-BL42-BM42-BN42-BO42</f>
        <v>0</v>
      </c>
      <c r="BJ42" s="593" t="n">
        <f aca="false">COUNTIF(ADMIN!$M$182:$M$197,Fixture!BG42)-BK42-BL42-BM42-BN42-BO42</f>
        <v>0</v>
      </c>
      <c r="BK42" s="594" t="n">
        <f aca="false">COUNTIF(ADMIN!$M$210:$M$217,Fixture!BG42)-BL42-BM42-BN42-BO42</f>
        <v>0</v>
      </c>
      <c r="BL42" s="594" t="n">
        <f aca="false">COUNTIF(ADMIN!$M$226:$M$229,BG42)-BM42-BN42-BO42</f>
        <v>0</v>
      </c>
      <c r="BM42" s="592" t="n">
        <f aca="false">COUNTIF(ADMIN!$M$252,Fixture!BG42)</f>
        <v>0</v>
      </c>
      <c r="BN42" s="592" t="n">
        <f aca="false">COUNTIF(ADMIN!$M$251,Fixture!BG42)</f>
        <v>0</v>
      </c>
      <c r="BO42" s="595" t="n">
        <f aca="false">COUNTIF(ADMIN!$M$250,Fixture!BG42)</f>
        <v>0</v>
      </c>
    </row>
    <row r="43" customFormat="false" ht="15" hidden="false" customHeight="false" outlineLevel="0" collapsed="false">
      <c r="A43" s="85" t="n">
        <v>11</v>
      </c>
      <c r="B43" s="694" t="s">
        <v>120</v>
      </c>
      <c r="C43" s="546" t="str">
        <f aca="false">+MID(INDEX(WORLDCUP!$AA$4:$AA$147,MATCH(A43,WORLDCUP!$AH$4:$AH$147,0)),1,3)</f>
        <v>Paí</v>
      </c>
      <c r="D43" s="547" t="n">
        <f aca="false">IF(ISBLANK(INDEX(WORLDCUP!$AC$4:$AC$147,MATCH(A43,WORLDCUP!$AH$4:$AH$147,0))),"",INDEX(WORLDCUP!$AC$4:$AC$147,MATCH(A43,WORLDCUP!$AH$4:$AH$147,0)))</f>
        <v>2</v>
      </c>
      <c r="E43" s="547" t="n">
        <f aca="false">IF(ISBLANK(INDEX(WORLDCUP!$AD$4:$AD$147,MATCH(A43,WORLDCUP!$AH$4:$AH$147,0))),"",INDEX(WORLDCUP!$AD$4:$AD$147,MATCH(A43,WORLDCUP!$AH$4:$AH$147,0)))</f>
        <v>2</v>
      </c>
      <c r="F43" s="548" t="str">
        <f aca="false">+MID(INDEX(WORLDCUP!$AF$4:$AF$147,MATCH(A43,WORLDCUP!$AH$4:$AH$147,0)),1,3)</f>
        <v>Jap</v>
      </c>
      <c r="G43" s="549"/>
      <c r="H43" s="550" t="str">
        <f aca="false">+H35</f>
        <v>Sel</v>
      </c>
      <c r="I43" s="551" t="str">
        <f aca="false">+I35</f>
        <v>Pts</v>
      </c>
      <c r="J43" s="551" t="str">
        <f aca="false">+J35</f>
        <v>DG</v>
      </c>
      <c r="K43" s="552" t="str">
        <f aca="false">+K35</f>
        <v>GF-GC</v>
      </c>
      <c r="L43" s="85"/>
      <c r="M43" s="85" t="n">
        <v>22</v>
      </c>
      <c r="N43" s="695" t="s">
        <v>137</v>
      </c>
      <c r="O43" s="546" t="str">
        <f aca="false">+MID(INDEX(WORLDCUP!$AA$4:$AA$147,MATCH(M43,WORLDCUP!$AH$4:$AH$147,0)),1,3)</f>
        <v>Ing</v>
      </c>
      <c r="P43" s="547" t="str">
        <f aca="false">IF(ISBLANK(INDEX(WORLDCUP!$AC$4:$AC$147,MATCH(M43,WORLDCUP!$AH$4:$AH$147,0))),"",INDEX(WORLDCUP!$AC$4:$AC$147,MATCH(M43,WORLDCUP!$AH$4:$AH$147,0)))</f>
        <v/>
      </c>
      <c r="Q43" s="547" t="str">
        <f aca="false">IF(ISBLANK(INDEX(WORLDCUP!$AD$4:$AD$147,MATCH(M43,WORLDCUP!$AH$4:$AH$147,0))),"",INDEX(WORLDCUP!$AD$4:$AD$147,MATCH(M43,WORLDCUP!$AH$4:$AH$147,0)))</f>
        <v/>
      </c>
      <c r="R43" s="548" t="str">
        <f aca="false">+MID(INDEX(WORLDCUP!$AF$4:$AF$147,MATCH(M43,WORLDCUP!$AH$4:$AH$147,0)),1,3)</f>
        <v>Cro</v>
      </c>
      <c r="S43" s="549"/>
      <c r="T43" s="550" t="str">
        <f aca="false">+T35</f>
        <v>Sel</v>
      </c>
      <c r="U43" s="551" t="str">
        <f aca="false">+U35</f>
        <v>Pts</v>
      </c>
      <c r="V43" s="551" t="str">
        <f aca="false">+V35</f>
        <v>DG</v>
      </c>
      <c r="W43" s="552" t="str">
        <f aca="false">+W35</f>
        <v>GF-GC</v>
      </c>
      <c r="X43" s="85"/>
      <c r="Y43" s="85" t="n">
        <v>88</v>
      </c>
      <c r="Z43" s="554" t="s">
        <v>106</v>
      </c>
      <c r="AA43" s="609" t="str">
        <f aca="false">+MID(INDEX(WORLDCUP!$AF$101:$AF$147,MATCH(Y43,WORLDCUP!$Z$101:$Z$147,0)),1,3)</f>
        <v>2G</v>
      </c>
      <c r="AB43" s="610" t="str">
        <f aca="false">+IF(ISBLANK(INDEX(WORLDCUP!$AD$101:$AD$147,MATCH(Y43,WORLDCUP!$Z$101:$Z$147,0))),"",INDEX(WORLDCUP!$AD$101:$AD$147,MATCH(Y43,WORLDCUP!$Z$101:$Z$147,0)))</f>
        <v/>
      </c>
      <c r="AC43" s="637" t="str">
        <f aca="false">+IF(ISBLANK(INDEX(WORLDCUP!$AE$101:$AE$147,MATCH(Y43,WORLDCUP!$Z$101:$Z$147,0))),"","( "&amp;INDEX(WORLDCUP!$AE$101:$AE$147,MATCH(Y43,WORLDCUP!$Z$101:$Z$147,0))&amp;" )")</f>
        <v/>
      </c>
      <c r="AD43" s="85"/>
      <c r="AE43" s="603"/>
      <c r="AF43" s="603"/>
      <c r="AG43" s="604"/>
      <c r="AH43" s="629" t="n">
        <v>100</v>
      </c>
      <c r="AI43" s="612" t="str">
        <f aca="false">+MID(INDEX(WORLDCUP!$AA$101:$AA$147,MATCH(AH43,WORLDCUP!$Z$101:$Z$147,0)),1,3)</f>
        <v>W95</v>
      </c>
      <c r="AJ43" s="613" t="str">
        <f aca="false">+IF(ISBLANK(INDEX(WORLDCUP!$AC$101:$AC$147,MATCH(AH43,WORLDCUP!$Z$101:$Z$147,0))),"",INDEX(WORLDCUP!$AC$101:$AC$147,MATCH(AH43,WORLDCUP!$Z$101:$Z$147,0)))</f>
        <v/>
      </c>
      <c r="AK43" s="649" t="str">
        <f aca="false">+IF(ISBLANK(INDEX(WORLDCUP!$AB$101:$AB$147,MATCH(AH43,WORLDCUP!$Z$101:$Z$147,0))),"","( "&amp;INDEX(WORLDCUP!$AB$101:$AB$147,MATCH(AH43,WORLDCUP!$Z$101:$Z$147,0))&amp;" )")</f>
        <v/>
      </c>
      <c r="AL43" s="471"/>
      <c r="AM43" s="560"/>
      <c r="AN43" s="560"/>
      <c r="AO43" s="560"/>
      <c r="AP43" s="85"/>
      <c r="AQ43" s="589"/>
      <c r="AR43" s="589"/>
      <c r="AS43" s="589"/>
      <c r="AT43" s="85"/>
      <c r="AU43" s="562"/>
      <c r="AV43" s="562"/>
      <c r="AW43" s="562"/>
      <c r="AX43" s="85"/>
      <c r="AY43" s="244"/>
      <c r="AZ43" s="244"/>
      <c r="BA43" s="244"/>
      <c r="BB43" s="244"/>
      <c r="BC43" s="244"/>
      <c r="BD43" s="244"/>
      <c r="BE43" s="244"/>
      <c r="BG43" s="591" t="str">
        <f aca="false">Horarios!Q42</f>
        <v>República Checa</v>
      </c>
      <c r="BH43" s="592" t="n">
        <f aca="false">1-SUM(BI43:BO43)</f>
        <v>1</v>
      </c>
      <c r="BI43" s="592" t="n">
        <f aca="false">COUNTIF(ADMIN!$M$130:$M$161,Fixture!BG43)-BJ43-BK43-BL43-BM43-BN43-BO43</f>
        <v>0</v>
      </c>
      <c r="BJ43" s="593" t="n">
        <f aca="false">COUNTIF(ADMIN!$M$182:$M$197,Fixture!BG43)-BK43-BL43-BM43-BN43-BO43</f>
        <v>0</v>
      </c>
      <c r="BK43" s="594" t="n">
        <f aca="false">COUNTIF(ADMIN!$M$210:$M$217,Fixture!BG43)-BL43-BM43-BN43-BO43</f>
        <v>0</v>
      </c>
      <c r="BL43" s="594" t="n">
        <f aca="false">COUNTIF(ADMIN!$M$226:$M$229,BG43)-BM43-BN43-BO43</f>
        <v>0</v>
      </c>
      <c r="BM43" s="592" t="n">
        <f aca="false">COUNTIF(ADMIN!$M$252,Fixture!BG43)</f>
        <v>0</v>
      </c>
      <c r="BN43" s="592" t="n">
        <f aca="false">COUNTIF(ADMIN!$M$251,Fixture!BG43)</f>
        <v>0</v>
      </c>
      <c r="BO43" s="595" t="n">
        <f aca="false">COUNTIF(ADMIN!$M$250,Fixture!BG43)</f>
        <v>0</v>
      </c>
    </row>
    <row r="44" customFormat="false" ht="15" hidden="false" customHeight="false" outlineLevel="0" collapsed="false">
      <c r="A44" s="85" t="n">
        <v>12</v>
      </c>
      <c r="B44" s="696"/>
      <c r="C44" s="573" t="str">
        <f aca="false">+MID(INDEX(WORLDCUP!$AA$4:$AA$147,MATCH(A44,WORLDCUP!$AH$4:$AH$147,0)),1,3)</f>
        <v>Sue</v>
      </c>
      <c r="D44" s="574" t="n">
        <f aca="false">IF(ISBLANK(INDEX(WORLDCUP!$AC$4:$AC$147,MATCH(A44,WORLDCUP!$AH$4:$AH$147,0))),"",INDEX(WORLDCUP!$AC$4:$AC$147,MATCH(A44,WORLDCUP!$AH$4:$AH$147,0)))</f>
        <v>5</v>
      </c>
      <c r="E44" s="574" t="n">
        <f aca="false">IF(ISBLANK(INDEX(WORLDCUP!$AD$4:$AD$147,MATCH(A44,WORLDCUP!$AH$4:$AH$147,0))),"",INDEX(WORLDCUP!$AD$4:$AD$147,MATCH(A44,WORLDCUP!$AH$4:$AH$147,0)))</f>
        <v>1</v>
      </c>
      <c r="F44" s="575" t="str">
        <f aca="false">+MID(INDEX(WORLDCUP!$AF$4:$AF$147,MATCH(A44,WORLDCUP!$AH$4:$AH$147,0)),1,3)</f>
        <v>Tún</v>
      </c>
      <c r="G44" s="576" t="n">
        <v>1</v>
      </c>
      <c r="H44" s="577" t="str">
        <f aca="false">+MID(INDEX(WORLDCUP!$AL$6:$AL$97,MATCH(L44,WORLDCUP!$AI$6:$AI$97,0)),1,3)</f>
        <v>Sue</v>
      </c>
      <c r="I44" s="578" t="n">
        <f aca="false">+INDEX(WORLDCUP!$AM$6:$AM$97,MATCH(L44,WORLDCUP!$AI$6:$AI$97,0))</f>
        <v>3</v>
      </c>
      <c r="J44" s="579" t="n">
        <f aca="false">+INDEX(WORLDCUP!$AT$6:$AT$97,MATCH(L44,WORLDCUP!$AI$6:$AI$97,0))</f>
        <v>4</v>
      </c>
      <c r="K44" s="580" t="str">
        <f aca="false">+INDEX(WORLDCUP!$AR$6:$AR$97,MATCH(L44,WORLDCUP!$AI$6:$AI$97,0))&amp;"-"&amp;INDEX(WORLDCUP!$AS$6:$AS$97,MATCH(L44,WORLDCUP!$AI$6:$AI$97,0))</f>
        <v>5-1</v>
      </c>
      <c r="L44" s="85" t="s">
        <v>100</v>
      </c>
      <c r="M44" s="85" t="n">
        <v>21</v>
      </c>
      <c r="N44" s="697"/>
      <c r="O44" s="573" t="str">
        <f aca="false">+MID(INDEX(WORLDCUP!$AA$4:$AA$147,MATCH(M44,WORLDCUP!$AH$4:$AH$147,0)),1,3)</f>
        <v>Gha</v>
      </c>
      <c r="P44" s="574" t="str">
        <f aca="false">IF(ISBLANK(INDEX(WORLDCUP!$AC$4:$AC$147,MATCH(M44,WORLDCUP!$AH$4:$AH$147,0))),"",INDEX(WORLDCUP!$AC$4:$AC$147,MATCH(M44,WORLDCUP!$AH$4:$AH$147,0)))</f>
        <v/>
      </c>
      <c r="Q44" s="574" t="str">
        <f aca="false">IF(ISBLANK(INDEX(WORLDCUP!$AD$4:$AD$147,MATCH(M44,WORLDCUP!$AH$4:$AH$147,0))),"",INDEX(WORLDCUP!$AD$4:$AD$147,MATCH(M44,WORLDCUP!$AH$4:$AH$147,0)))</f>
        <v/>
      </c>
      <c r="R44" s="575" t="str">
        <f aca="false">+MID(INDEX(WORLDCUP!$AF$4:$AF$147,MATCH(M44,WORLDCUP!$AH$4:$AH$147,0)),1,3)</f>
        <v>Pan</v>
      </c>
      <c r="S44" s="576" t="n">
        <v>1</v>
      </c>
      <c r="T44" s="577" t="str">
        <f aca="false">+MID(INDEX(WORLDCUP!$AL$6:$AL$97,MATCH(X44,WORLDCUP!$AI$6:$AI$97,0)),1,3)</f>
        <v>Ing</v>
      </c>
      <c r="U44" s="578" t="n">
        <f aca="false">+INDEX(WORLDCUP!$AM$6:$AM$97,MATCH(X44,WORLDCUP!$AI$6:$AI$97,0))</f>
        <v>0</v>
      </c>
      <c r="V44" s="579" t="n">
        <f aca="false">+INDEX(WORLDCUP!$AT$6:$AT$97,MATCH(X44,WORLDCUP!$AI$6:$AI$97,0))</f>
        <v>0</v>
      </c>
      <c r="W44" s="580" t="str">
        <f aca="false">+INDEX(WORLDCUP!$AR$6:$AR$97,MATCH(X44,WORLDCUP!$AI$6:$AI$97,0))&amp;"-"&amp;INDEX(WORLDCUP!$AS$6:$AS$97,MATCH(X44,WORLDCUP!$AI$6:$AI$97,0))</f>
        <v>0-0</v>
      </c>
      <c r="X44" s="85" t="s">
        <v>127</v>
      </c>
      <c r="Y44" s="85"/>
      <c r="Z44" s="554"/>
      <c r="AA44" s="623"/>
      <c r="AB44" s="623"/>
      <c r="AC44" s="623"/>
      <c r="AD44" s="85"/>
      <c r="AE44" s="558"/>
      <c r="AF44" s="558"/>
      <c r="AG44" s="604"/>
      <c r="AH44" s="85" t="n">
        <v>100</v>
      </c>
      <c r="AI44" s="612" t="str">
        <f aca="false">+MID(INDEX(WORLDCUP!$AF$101:$AF$147,MATCH(AH44,WORLDCUP!$Z$101:$Z$147,0)),1,3)</f>
        <v>W96</v>
      </c>
      <c r="AJ44" s="613" t="str">
        <f aca="false">+IF(ISBLANK(INDEX(WORLDCUP!$AD$101:$AD$147,MATCH(AH44,WORLDCUP!$Z$101:$Z$147,0))),"",INDEX(WORLDCUP!$AD$101:$AD$147,MATCH(AH44,WORLDCUP!$Z$101:$Z$147,0)))</f>
        <v/>
      </c>
      <c r="AK44" s="588" t="str">
        <f aca="false">+IF(ISBLANK(INDEX(WORLDCUP!$AE$101:$AE$147,MATCH(AH44,WORLDCUP!$Z$101:$Z$147,0))),"","( "&amp;INDEX(WORLDCUP!$AE$101:$AE$147,MATCH(AH44,WORLDCUP!$Z$101:$Z$147,0))&amp;" )")</f>
        <v/>
      </c>
      <c r="AL44" s="471"/>
      <c r="AM44" s="560"/>
      <c r="AN44" s="560"/>
      <c r="AO44" s="560"/>
      <c r="AP44" s="85"/>
      <c r="AQ44" s="589"/>
      <c r="AR44" s="589"/>
      <c r="AS44" s="589"/>
      <c r="AT44" s="85"/>
      <c r="AU44" s="562"/>
      <c r="AV44" s="562"/>
      <c r="AW44" s="562"/>
      <c r="AX44" s="85"/>
      <c r="AY44" s="244"/>
      <c r="AZ44" s="244"/>
      <c r="BA44" s="244"/>
      <c r="BB44" s="244"/>
      <c r="BC44" s="244"/>
      <c r="BD44" s="244"/>
      <c r="BE44" s="244"/>
      <c r="BG44" s="591" t="str">
        <f aca="false">Horarios!Q43</f>
        <v>Senegal</v>
      </c>
      <c r="BH44" s="592" t="n">
        <f aca="false">1-SUM(BI44:BO44)</f>
        <v>1</v>
      </c>
      <c r="BI44" s="592" t="n">
        <f aca="false">COUNTIF(ADMIN!$M$130:$M$161,Fixture!BG44)-BJ44-BK44-BL44-BM44-BN44-BO44</f>
        <v>0</v>
      </c>
      <c r="BJ44" s="593" t="n">
        <f aca="false">COUNTIF(ADMIN!$M$182:$M$197,Fixture!BG44)-BK44-BL44-BM44-BN44-BO44</f>
        <v>0</v>
      </c>
      <c r="BK44" s="594" t="n">
        <f aca="false">COUNTIF(ADMIN!$M$210:$M$217,Fixture!BG44)-BL44-BM44-BN44-BO44</f>
        <v>0</v>
      </c>
      <c r="BL44" s="594" t="n">
        <f aca="false">COUNTIF(ADMIN!$M$226:$M$229,BG44)-BM44-BN44-BO44</f>
        <v>0</v>
      </c>
      <c r="BM44" s="592" t="n">
        <f aca="false">COUNTIF(ADMIN!$M$252,Fixture!BG44)</f>
        <v>0</v>
      </c>
      <c r="BN44" s="592" t="n">
        <f aca="false">COUNTIF(ADMIN!$M$251,Fixture!BG44)</f>
        <v>0</v>
      </c>
      <c r="BO44" s="595" t="n">
        <f aca="false">COUNTIF(ADMIN!$M$250,Fixture!BG44)</f>
        <v>0</v>
      </c>
    </row>
    <row r="45" customFormat="false" ht="15" hidden="false" customHeight="false" outlineLevel="0" collapsed="false">
      <c r="A45" s="85" t="n">
        <v>35</v>
      </c>
      <c r="B45" s="696"/>
      <c r="C45" s="573" t="str">
        <f aca="false">+MID(INDEX(WORLDCUP!$AA$4:$AA$147,MATCH(A45,WORLDCUP!$AH$4:$AH$147,0)),1,3)</f>
        <v>Paí</v>
      </c>
      <c r="D45" s="574" t="str">
        <f aca="false">IF(ISBLANK(INDEX(WORLDCUP!$AC$4:$AC$147,MATCH(A45,WORLDCUP!$AH$4:$AH$147,0))),"",INDEX(WORLDCUP!$AC$4:$AC$147,MATCH(A45,WORLDCUP!$AH$4:$AH$147,0)))</f>
        <v/>
      </c>
      <c r="E45" s="574" t="str">
        <f aca="false">IF(ISBLANK(INDEX(WORLDCUP!$AD$4:$AD$147,MATCH(A45,WORLDCUP!$AH$4:$AH$147,0))),"",INDEX(WORLDCUP!$AD$4:$AD$147,MATCH(A45,WORLDCUP!$AH$4:$AH$147,0)))</f>
        <v/>
      </c>
      <c r="F45" s="575" t="str">
        <f aca="false">+MID(INDEX(WORLDCUP!$AF$4:$AF$147,MATCH(A45,WORLDCUP!$AH$4:$AH$147,0)),1,3)</f>
        <v>Sue</v>
      </c>
      <c r="G45" s="596" t="n">
        <v>2</v>
      </c>
      <c r="H45" s="597" t="str">
        <f aca="false">+MID(INDEX(WORLDCUP!$AL$6:$AL$97,MATCH(L45,WORLDCUP!$AI$6:$AI$97,0)),1,3)</f>
        <v>Paí</v>
      </c>
      <c r="I45" s="124" t="n">
        <f aca="false">+INDEX(WORLDCUP!$AM$6:$AM$97,MATCH(L45,WORLDCUP!$AI$6:$AI$97,0))</f>
        <v>1</v>
      </c>
      <c r="J45" s="125" t="n">
        <f aca="false">+INDEX(WORLDCUP!$AT$6:$AT$97,MATCH(L45,WORLDCUP!$AI$6:$AI$97,0))</f>
        <v>0</v>
      </c>
      <c r="K45" s="231" t="str">
        <f aca="false">+INDEX(WORLDCUP!$AR$6:$AR$97,MATCH(L45,WORLDCUP!$AI$6:$AI$97,0))&amp;"-"&amp;INDEX(WORLDCUP!$AS$6:$AS$97,MATCH(L45,WORLDCUP!$AI$6:$AI$97,0))</f>
        <v>2-2</v>
      </c>
      <c r="L45" s="85" t="s">
        <v>101</v>
      </c>
      <c r="M45" s="85" t="n">
        <v>45</v>
      </c>
      <c r="N45" s="697"/>
      <c r="O45" s="573" t="str">
        <f aca="false">+MID(INDEX(WORLDCUP!$AA$4:$AA$147,MATCH(M45,WORLDCUP!$AH$4:$AH$147,0)),1,3)</f>
        <v>Ing</v>
      </c>
      <c r="P45" s="574" t="str">
        <f aca="false">IF(ISBLANK(INDEX(WORLDCUP!$AC$4:$AC$147,MATCH(M45,WORLDCUP!$AH$4:$AH$147,0))),"",INDEX(WORLDCUP!$AC$4:$AC$147,MATCH(M45,WORLDCUP!$AH$4:$AH$147,0)))</f>
        <v/>
      </c>
      <c r="Q45" s="574" t="str">
        <f aca="false">IF(ISBLANK(INDEX(WORLDCUP!$AD$4:$AD$147,MATCH(M45,WORLDCUP!$AH$4:$AH$147,0))),"",INDEX(WORLDCUP!$AD$4:$AD$147,MATCH(M45,WORLDCUP!$AH$4:$AH$147,0)))</f>
        <v/>
      </c>
      <c r="R45" s="575" t="str">
        <f aca="false">+MID(INDEX(WORLDCUP!$AF$4:$AF$147,MATCH(M45,WORLDCUP!$AH$4:$AH$147,0)),1,3)</f>
        <v>Gha</v>
      </c>
      <c r="S45" s="596" t="n">
        <v>2</v>
      </c>
      <c r="T45" s="597" t="str">
        <f aca="false">+MID(INDEX(WORLDCUP!$AL$6:$AL$97,MATCH(X45,WORLDCUP!$AI$6:$AI$97,0)),1,3)</f>
        <v>Cro</v>
      </c>
      <c r="U45" s="124" t="n">
        <f aca="false">+INDEX(WORLDCUP!$AM$6:$AM$97,MATCH(X45,WORLDCUP!$AI$6:$AI$97,0))</f>
        <v>0</v>
      </c>
      <c r="V45" s="125" t="n">
        <f aca="false">+INDEX(WORLDCUP!$AT$6:$AT$97,MATCH(X45,WORLDCUP!$AI$6:$AI$97,0))</f>
        <v>0</v>
      </c>
      <c r="W45" s="231" t="str">
        <f aca="false">+INDEX(WORLDCUP!$AR$6:$AR$97,MATCH(X45,WORLDCUP!$AI$6:$AI$97,0))&amp;"-"&amp;INDEX(WORLDCUP!$AS$6:$AS$97,MATCH(X45,WORLDCUP!$AI$6:$AI$97,0))</f>
        <v>0-0</v>
      </c>
      <c r="X45" s="85" t="s">
        <v>128</v>
      </c>
      <c r="Y45" s="85" t="n">
        <v>85</v>
      </c>
      <c r="Z45" s="554" t="s">
        <v>82</v>
      </c>
      <c r="AA45" s="555" t="str">
        <f aca="false">+MID(INDEX(WORLDCUP!$AA$101:$AA$147,MATCH(Y45,WORLDCUP!$Z$101:$Z$147,0)),1,3)</f>
        <v>1B</v>
      </c>
      <c r="AB45" s="556" t="str">
        <f aca="false">+IF(ISBLANK(INDEX(WORLDCUP!$AC$101:$AC$147,MATCH(Y45,WORLDCUP!$Z$101:$Z$147,0))),"",INDEX(WORLDCUP!$AC$101:$AC$147,MATCH(Y45,WORLDCUP!$Z$101:$Z$147,0)))</f>
        <v/>
      </c>
      <c r="AC45" s="627" t="str">
        <f aca="false">+IF(ISBLANK(INDEX(WORLDCUP!$AB$101:$AB$147,MATCH(Y45,WORLDCUP!$Z$101:$Z$147,0))),"","( "&amp;INDEX(WORLDCUP!$AB$101:$AB$147,MATCH(Y45,WORLDCUP!$Z$101:$Z$147,0))&amp;" )")</f>
        <v/>
      </c>
      <c r="AD45" s="50"/>
      <c r="AE45" s="558"/>
      <c r="AF45" s="558"/>
      <c r="AG45" s="604"/>
      <c r="AH45" s="85"/>
      <c r="AI45" s="588"/>
      <c r="AJ45" s="588"/>
      <c r="AK45" s="588"/>
      <c r="AL45" s="471"/>
      <c r="AM45" s="560"/>
      <c r="AN45" s="560"/>
      <c r="AO45" s="560"/>
      <c r="AP45" s="85"/>
      <c r="AQ45" s="589"/>
      <c r="AR45" s="589"/>
      <c r="AS45" s="589"/>
      <c r="AT45" s="85"/>
      <c r="AU45" s="562"/>
      <c r="AV45" s="562"/>
      <c r="AW45" s="562"/>
      <c r="AX45" s="85"/>
      <c r="AY45" s="244"/>
      <c r="AZ45" s="244"/>
      <c r="BA45" s="244"/>
      <c r="BB45" s="244"/>
      <c r="BC45" s="244"/>
      <c r="BD45" s="244"/>
      <c r="BE45" s="244"/>
      <c r="BG45" s="591" t="str">
        <f aca="false">Horarios!Q44</f>
        <v>Sudáfrica</v>
      </c>
      <c r="BH45" s="592" t="n">
        <f aca="false">1-SUM(BI45:BO45)</f>
        <v>1</v>
      </c>
      <c r="BI45" s="592" t="n">
        <f aca="false">COUNTIF(ADMIN!$M$130:$M$161,Fixture!BG45)-BJ45-BK45-BL45-BM45-BN45-BO45</f>
        <v>0</v>
      </c>
      <c r="BJ45" s="593" t="n">
        <f aca="false">COUNTIF(ADMIN!$M$182:$M$197,Fixture!BG45)-BK45-BL45-BM45-BN45-BO45</f>
        <v>0</v>
      </c>
      <c r="BK45" s="594" t="n">
        <f aca="false">COUNTIF(ADMIN!$M$210:$M$217,Fixture!BG45)-BL45-BM45-BN45-BO45</f>
        <v>0</v>
      </c>
      <c r="BL45" s="594" t="n">
        <f aca="false">COUNTIF(ADMIN!$M$226:$M$229,BG45)-BM45-BN45-BO45</f>
        <v>0</v>
      </c>
      <c r="BM45" s="592" t="n">
        <f aca="false">COUNTIF(ADMIN!$M$252,Fixture!BG45)</f>
        <v>0</v>
      </c>
      <c r="BN45" s="592" t="n">
        <f aca="false">COUNTIF(ADMIN!$M$251,Fixture!BG45)</f>
        <v>0</v>
      </c>
      <c r="BO45" s="595" t="n">
        <f aca="false">COUNTIF(ADMIN!$M$250,Fixture!BG45)</f>
        <v>0</v>
      </c>
    </row>
    <row r="46" customFormat="false" ht="15" hidden="false" customHeight="false" outlineLevel="0" collapsed="false">
      <c r="A46" s="85" t="n">
        <v>36</v>
      </c>
      <c r="B46" s="696"/>
      <c r="C46" s="573" t="str">
        <f aca="false">+MID(INDEX(WORLDCUP!$AA$4:$AA$147,MATCH(A46,WORLDCUP!$AH$4:$AH$147,0)),1,3)</f>
        <v>Tún</v>
      </c>
      <c r="D46" s="574" t="str">
        <f aca="false">IF(ISBLANK(INDEX(WORLDCUP!$AC$4:$AC$147,MATCH(A46,WORLDCUP!$AH$4:$AH$147,0))),"",INDEX(WORLDCUP!$AC$4:$AC$147,MATCH(A46,WORLDCUP!$AH$4:$AH$147,0)))</f>
        <v/>
      </c>
      <c r="E46" s="574" t="str">
        <f aca="false">IF(ISBLANK(INDEX(WORLDCUP!$AD$4:$AD$147,MATCH(A46,WORLDCUP!$AH$4:$AH$147,0))),"",INDEX(WORLDCUP!$AD$4:$AD$147,MATCH(A46,WORLDCUP!$AH$4:$AH$147,0)))</f>
        <v/>
      </c>
      <c r="F46" s="575" t="str">
        <f aca="false">+MID(INDEX(WORLDCUP!$AF$4:$AF$147,MATCH(A46,WORLDCUP!$AH$4:$AH$147,0)),1,3)</f>
        <v>Jap</v>
      </c>
      <c r="G46" s="596" t="n">
        <v>3</v>
      </c>
      <c r="H46" s="597" t="str">
        <f aca="false">+MID(INDEX(WORLDCUP!$AL$6:$AL$97,MATCH(L46,WORLDCUP!$AI$6:$AI$97,0)),1,3)</f>
        <v>Jap</v>
      </c>
      <c r="I46" s="124" t="n">
        <f aca="false">+INDEX(WORLDCUP!$AM$6:$AM$97,MATCH(L46,WORLDCUP!$AI$6:$AI$97,0))</f>
        <v>1</v>
      </c>
      <c r="J46" s="125" t="n">
        <f aca="false">+INDEX(WORLDCUP!$AT$6:$AT$97,MATCH(L46,WORLDCUP!$AI$6:$AI$97,0))</f>
        <v>0</v>
      </c>
      <c r="K46" s="231" t="str">
        <f aca="false">+INDEX(WORLDCUP!$AR$6:$AR$97,MATCH(L46,WORLDCUP!$AI$6:$AI$97,0))&amp;"-"&amp;INDEX(WORLDCUP!$AS$6:$AS$97,MATCH(L46,WORLDCUP!$AI$6:$AI$97,0))</f>
        <v>2-2</v>
      </c>
      <c r="L46" s="85" t="s">
        <v>103</v>
      </c>
      <c r="M46" s="85" t="n">
        <v>46</v>
      </c>
      <c r="N46" s="697"/>
      <c r="O46" s="573" t="str">
        <f aca="false">+MID(INDEX(WORLDCUP!$AA$4:$AA$147,MATCH(M46,WORLDCUP!$AH$4:$AH$147,0)),1,3)</f>
        <v>Pan</v>
      </c>
      <c r="P46" s="574" t="str">
        <f aca="false">IF(ISBLANK(INDEX(WORLDCUP!$AC$4:$AC$147,MATCH(M46,WORLDCUP!$AH$4:$AH$147,0))),"",INDEX(WORLDCUP!$AC$4:$AC$147,MATCH(M46,WORLDCUP!$AH$4:$AH$147,0)))</f>
        <v/>
      </c>
      <c r="Q46" s="574" t="str">
        <f aca="false">IF(ISBLANK(INDEX(WORLDCUP!$AD$4:$AD$147,MATCH(M46,WORLDCUP!$AH$4:$AH$147,0))),"",INDEX(WORLDCUP!$AD$4:$AD$147,MATCH(M46,WORLDCUP!$AH$4:$AH$147,0)))</f>
        <v/>
      </c>
      <c r="R46" s="575" t="str">
        <f aca="false">+MID(INDEX(WORLDCUP!$AF$4:$AF$147,MATCH(M46,WORLDCUP!$AH$4:$AH$147,0)),1,3)</f>
        <v>Cro</v>
      </c>
      <c r="S46" s="596" t="n">
        <v>3</v>
      </c>
      <c r="T46" s="597" t="str">
        <f aca="false">+MID(INDEX(WORLDCUP!$AL$6:$AL$97,MATCH(X46,WORLDCUP!$AI$6:$AI$97,0)),1,3)</f>
        <v>Gha</v>
      </c>
      <c r="U46" s="124" t="n">
        <f aca="false">+INDEX(WORLDCUP!$AM$6:$AM$97,MATCH(X46,WORLDCUP!$AI$6:$AI$97,0))</f>
        <v>0</v>
      </c>
      <c r="V46" s="125" t="n">
        <f aca="false">+INDEX(WORLDCUP!$AT$6:$AT$97,MATCH(X46,WORLDCUP!$AI$6:$AI$97,0))</f>
        <v>0</v>
      </c>
      <c r="W46" s="231" t="str">
        <f aca="false">+INDEX(WORLDCUP!$AR$6:$AR$97,MATCH(X46,WORLDCUP!$AI$6:$AI$97,0))&amp;"-"&amp;INDEX(WORLDCUP!$AS$6:$AS$97,MATCH(X46,WORLDCUP!$AI$6:$AI$97,0))</f>
        <v>0-0</v>
      </c>
      <c r="X46" s="85" t="s">
        <v>130</v>
      </c>
      <c r="Y46" s="85" t="n">
        <v>85</v>
      </c>
      <c r="Z46" s="554" t="s">
        <v>171</v>
      </c>
      <c r="AA46" s="555" t="str">
        <f aca="false">+MID(INDEX(WORLDCUP!$AF$101:$AF$147,MATCH(Y46,WORLDCUP!$Z$101:$Z$147,0)),1,IF(WORLDCUP!$H$113&lt;144,6,3))</f>
        <v>3EFGIJ</v>
      </c>
      <c r="AB46" s="582" t="str">
        <f aca="false">+IF(ISBLANK(INDEX(WORLDCUP!$AD$101:$AD$147,MATCH(Y46,WORLDCUP!$Z$101:$Z$147,0))),"",INDEX(WORLDCUP!$AD$101:$AD$147,MATCH(Y46,WORLDCUP!$Z$101:$Z$147,0)))</f>
        <v/>
      </c>
      <c r="AC46" s="583" t="str">
        <f aca="false">+IF(ISBLANK(INDEX(WORLDCUP!$AE$101:$AE$147,MATCH(Y46,WORLDCUP!$Z$101:$Z$147,0))),"","( "&amp;INDEX(WORLDCUP!$AE$101:$AE$147,MATCH(Y46,WORLDCUP!$Z$101:$Z$147,0))&amp;" )")</f>
        <v/>
      </c>
      <c r="AD46" s="584" t="n">
        <v>96</v>
      </c>
      <c r="AE46" s="585" t="str">
        <f aca="false">+MID(INDEX(WORLDCUP!$AA$101:$AA$147,MATCH(AD46,WORLDCUP!$Z$101:$Z$147,0)),1,3)</f>
        <v>W85</v>
      </c>
      <c r="AF46" s="586" t="str">
        <f aca="false">+IF(ISBLANK(INDEX(WORLDCUP!$AC$101:$AC$147,MATCH(AD46,WORLDCUP!$Z$101:$Z$147,0))),"",INDEX(WORLDCUP!$AC$101:$AC$147,MATCH(AD46,WORLDCUP!$Z$101:$Z$147,0)))</f>
        <v/>
      </c>
      <c r="AG46" s="630" t="str">
        <f aca="false">+IF(ISBLANK(INDEX(WORLDCUP!$AB$101:$AB$147,MATCH(AD46,WORLDCUP!$Z$101:$Z$147,0))),"","( "&amp;INDEX(WORLDCUP!$AB$101:$AB$147,MATCH(AD46,WORLDCUP!$Z$101:$Z$147,0))&amp;" )")</f>
        <v/>
      </c>
      <c r="AH46" s="85"/>
      <c r="AI46" s="588"/>
      <c r="AJ46" s="588"/>
      <c r="AK46" s="588"/>
      <c r="AL46" s="471"/>
      <c r="AM46" s="560"/>
      <c r="AN46" s="560"/>
      <c r="AO46" s="560"/>
      <c r="AP46" s="85"/>
      <c r="AQ46" s="589"/>
      <c r="AR46" s="589"/>
      <c r="AS46" s="589"/>
      <c r="AT46" s="85"/>
      <c r="AU46" s="562"/>
      <c r="AV46" s="562"/>
      <c r="AW46" s="562"/>
      <c r="AX46" s="85"/>
      <c r="AY46" s="244"/>
      <c r="AZ46" s="244"/>
      <c r="BA46" s="244"/>
      <c r="BB46" s="244"/>
      <c r="BC46" s="244"/>
      <c r="BD46" s="244"/>
      <c r="BE46" s="244"/>
      <c r="BG46" s="591" t="str">
        <f aca="false">Horarios!Q45</f>
        <v>Suecia</v>
      </c>
      <c r="BH46" s="592" t="n">
        <f aca="false">1-SUM(BI46:BO46)</f>
        <v>1</v>
      </c>
      <c r="BI46" s="592" t="n">
        <f aca="false">COUNTIF(ADMIN!$M$130:$M$161,Fixture!BG46)-BJ46-BK46-BL46-BM46-BN46-BO46</f>
        <v>0</v>
      </c>
      <c r="BJ46" s="593" t="n">
        <f aca="false">COUNTIF(ADMIN!$M$182:$M$197,Fixture!BG46)-BK46-BL46-BM46-BN46-BO46</f>
        <v>0</v>
      </c>
      <c r="BK46" s="594" t="n">
        <f aca="false">COUNTIF(ADMIN!$M$210:$M$217,Fixture!BG46)-BL46-BM46-BN46-BO46</f>
        <v>0</v>
      </c>
      <c r="BL46" s="594" t="n">
        <f aca="false">COUNTIF(ADMIN!$M$226:$M$229,BG46)-BM46-BN46-BO46</f>
        <v>0</v>
      </c>
      <c r="BM46" s="592" t="n">
        <f aca="false">COUNTIF(ADMIN!$M$252,Fixture!BG46)</f>
        <v>0</v>
      </c>
      <c r="BN46" s="592" t="n">
        <f aca="false">COUNTIF(ADMIN!$M$251,Fixture!BG46)</f>
        <v>0</v>
      </c>
      <c r="BO46" s="595" t="n">
        <f aca="false">COUNTIF(ADMIN!$M$250,Fixture!BG46)</f>
        <v>0</v>
      </c>
    </row>
    <row r="47" customFormat="false" ht="15" hidden="false" customHeight="false" outlineLevel="0" collapsed="false">
      <c r="A47" s="85" t="n">
        <v>57</v>
      </c>
      <c r="B47" s="696"/>
      <c r="C47" s="573" t="str">
        <f aca="false">+MID(INDEX(WORLDCUP!$AA$4:$AA$147,MATCH(A47,WORLDCUP!$AH$4:$AH$147,0)),1,3)</f>
        <v>Jap</v>
      </c>
      <c r="D47" s="574" t="str">
        <f aca="false">IF(ISBLANK(INDEX(WORLDCUP!$AC$4:$AC$147,MATCH(A47,WORLDCUP!$AH$4:$AH$147,0))),"",INDEX(WORLDCUP!$AC$4:$AC$147,MATCH(A47,WORLDCUP!$AH$4:$AH$147,0)))</f>
        <v/>
      </c>
      <c r="E47" s="574" t="str">
        <f aca="false">IF(ISBLANK(INDEX(WORLDCUP!$AD$4:$AD$147,MATCH(A47,WORLDCUP!$AH$4:$AH$147,0))),"",INDEX(WORLDCUP!$AD$4:$AD$147,MATCH(A47,WORLDCUP!$AH$4:$AH$147,0)))</f>
        <v/>
      </c>
      <c r="F47" s="575" t="str">
        <f aca="false">+MID(INDEX(WORLDCUP!$AF$4:$AF$147,MATCH(A47,WORLDCUP!$AH$4:$AH$147,0)),1,3)</f>
        <v>Sue</v>
      </c>
      <c r="G47" s="596" t="n">
        <v>4</v>
      </c>
      <c r="H47" s="605" t="str">
        <f aca="false">+MID(INDEX(WORLDCUP!$AL$6:$AL$97,MATCH(L47,WORLDCUP!$AI$6:$AI$97,0)),1,3)</f>
        <v>Tún</v>
      </c>
      <c r="I47" s="606" t="n">
        <f aca="false">+INDEX(WORLDCUP!$AM$6:$AM$97,MATCH(L47,WORLDCUP!$AI$6:$AI$97,0))</f>
        <v>0</v>
      </c>
      <c r="J47" s="607" t="n">
        <f aca="false">+INDEX(WORLDCUP!$AT$6:$AT$97,MATCH(L47,WORLDCUP!$AI$6:$AI$97,0))</f>
        <v>-4</v>
      </c>
      <c r="K47" s="608" t="str">
        <f aca="false">+INDEX(WORLDCUP!$AR$6:$AR$97,MATCH(L47,WORLDCUP!$AI$6:$AI$97,0))&amp;"-"&amp;INDEX(WORLDCUP!$AS$6:$AS$97,MATCH(L47,WORLDCUP!$AI$6:$AI$97,0))</f>
        <v>1-5</v>
      </c>
      <c r="L47" s="85" t="s">
        <v>104</v>
      </c>
      <c r="M47" s="85" t="n">
        <v>67</v>
      </c>
      <c r="N47" s="697"/>
      <c r="O47" s="573" t="str">
        <f aca="false">+MID(INDEX(WORLDCUP!$AA$4:$AA$147,MATCH(M47,WORLDCUP!$AH$4:$AH$147,0)),1,3)</f>
        <v>Pan</v>
      </c>
      <c r="P47" s="574" t="str">
        <f aca="false">IF(ISBLANK(INDEX(WORLDCUP!$AC$4:$AC$147,MATCH(M47,WORLDCUP!$AH$4:$AH$147,0))),"",INDEX(WORLDCUP!$AC$4:$AC$147,MATCH(M47,WORLDCUP!$AH$4:$AH$147,0)))</f>
        <v/>
      </c>
      <c r="Q47" s="574" t="str">
        <f aca="false">IF(ISBLANK(INDEX(WORLDCUP!$AD$4:$AD$147,MATCH(M47,WORLDCUP!$AH$4:$AH$147,0))),"",INDEX(WORLDCUP!$AD$4:$AD$147,MATCH(M47,WORLDCUP!$AH$4:$AH$147,0)))</f>
        <v/>
      </c>
      <c r="R47" s="575" t="str">
        <f aca="false">+MID(INDEX(WORLDCUP!$AF$4:$AF$147,MATCH(M47,WORLDCUP!$AH$4:$AH$147,0)),1,3)</f>
        <v>Ing</v>
      </c>
      <c r="S47" s="596" t="n">
        <v>4</v>
      </c>
      <c r="T47" s="605" t="str">
        <f aca="false">+MID(INDEX(WORLDCUP!$AL$6:$AL$97,MATCH(X47,WORLDCUP!$AI$6:$AI$97,0)),1,3)</f>
        <v>Pan</v>
      </c>
      <c r="U47" s="606" t="n">
        <f aca="false">+INDEX(WORLDCUP!$AM$6:$AM$97,MATCH(X47,WORLDCUP!$AI$6:$AI$97,0))</f>
        <v>0</v>
      </c>
      <c r="V47" s="607" t="n">
        <f aca="false">+INDEX(WORLDCUP!$AT$6:$AT$97,MATCH(X47,WORLDCUP!$AI$6:$AI$97,0))</f>
        <v>0</v>
      </c>
      <c r="W47" s="608" t="str">
        <f aca="false">+INDEX(WORLDCUP!$AR$6:$AR$97,MATCH(X47,WORLDCUP!$AI$6:$AI$97,0))&amp;"-"&amp;INDEX(WORLDCUP!$AS$6:$AS$97,MATCH(X47,WORLDCUP!$AI$6:$AI$97,0))</f>
        <v>0-0</v>
      </c>
      <c r="X47" s="85" t="s">
        <v>131</v>
      </c>
      <c r="Y47" s="85"/>
      <c r="Z47" s="554"/>
      <c r="AA47" s="598"/>
      <c r="AB47" s="598"/>
      <c r="AC47" s="599"/>
      <c r="AD47" s="85" t="n">
        <v>96</v>
      </c>
      <c r="AE47" s="585" t="str">
        <f aca="false">+MID(INDEX(WORLDCUP!$AF$101:$AF$147,MATCH(AD47,WORLDCUP!$Z$101:$Z$147,0)),1,3)</f>
        <v>W87</v>
      </c>
      <c r="AF47" s="586" t="str">
        <f aca="false">+IF(ISBLANK(INDEX(WORLDCUP!$AD$101:$AD$147,MATCH(AD47,WORLDCUP!$Z$101:$Z$147,0))),"",INDEX(WORLDCUP!$AD$101:$AD$147,MATCH(AD47,WORLDCUP!$Z$101:$Z$147,0)))</f>
        <v/>
      </c>
      <c r="AG47" s="603" t="str">
        <f aca="false">+IF(ISBLANK(INDEX(WORLDCUP!$AE$101:$AE$147,MATCH(AD47,WORLDCUP!$Z$101:$Z$147,0))),"","( "&amp;INDEX(WORLDCUP!$AE$101:$AE$147,MATCH(AD47,WORLDCUP!$Z$101:$Z$147,0))&amp;" )")</f>
        <v/>
      </c>
      <c r="AH47" s="85"/>
      <c r="AI47" s="588"/>
      <c r="AJ47" s="588"/>
      <c r="AK47" s="588"/>
      <c r="AL47" s="471"/>
      <c r="AM47" s="560"/>
      <c r="AN47" s="560"/>
      <c r="AO47" s="560"/>
      <c r="AP47" s="85"/>
      <c r="AQ47" s="589"/>
      <c r="AR47" s="589"/>
      <c r="AS47" s="589"/>
      <c r="AT47" s="85"/>
      <c r="AU47" s="562"/>
      <c r="AV47" s="562"/>
      <c r="AW47" s="562"/>
      <c r="AX47" s="85"/>
      <c r="AY47" s="244"/>
      <c r="AZ47" s="244"/>
      <c r="BA47" s="244"/>
      <c r="BB47" s="244"/>
      <c r="BC47" s="244"/>
      <c r="BD47" s="244"/>
      <c r="BE47" s="244"/>
      <c r="BG47" s="591" t="str">
        <f aca="false">Horarios!Q46</f>
        <v>Suiza</v>
      </c>
      <c r="BH47" s="592" t="n">
        <f aca="false">1-SUM(BI47:BO47)</f>
        <v>1</v>
      </c>
      <c r="BI47" s="592" t="n">
        <f aca="false">COUNTIF(ADMIN!$M$130:$M$161,Fixture!BG47)-BJ47-BK47-BL47-BM47-BN47-BO47</f>
        <v>0</v>
      </c>
      <c r="BJ47" s="593" t="n">
        <f aca="false">COUNTIF(ADMIN!$M$182:$M$197,Fixture!BG47)-BK47-BL47-BM47-BN47-BO47</f>
        <v>0</v>
      </c>
      <c r="BK47" s="594" t="n">
        <f aca="false">COUNTIF(ADMIN!$M$210:$M$217,Fixture!BG47)-BL47-BM47-BN47-BO47</f>
        <v>0</v>
      </c>
      <c r="BL47" s="594" t="n">
        <f aca="false">COUNTIF(ADMIN!$M$226:$M$229,BG47)-BM47-BN47-BO47</f>
        <v>0</v>
      </c>
      <c r="BM47" s="592" t="n">
        <f aca="false">COUNTIF(ADMIN!$M$252,Fixture!BG47)</f>
        <v>0</v>
      </c>
      <c r="BN47" s="592" t="n">
        <f aca="false">COUNTIF(ADMIN!$M$251,Fixture!BG47)</f>
        <v>0</v>
      </c>
      <c r="BO47" s="595" t="n">
        <f aca="false">COUNTIF(ADMIN!$M$250,Fixture!BG47)</f>
        <v>0</v>
      </c>
    </row>
    <row r="48" customFormat="false" ht="15" hidden="false" customHeight="false" outlineLevel="0" collapsed="false">
      <c r="A48" s="85" t="n">
        <v>58</v>
      </c>
      <c r="B48" s="698"/>
      <c r="C48" s="616" t="str">
        <f aca="false">+MID(INDEX(WORLDCUP!$AA$4:$AA$147,MATCH(A48,WORLDCUP!$AH$4:$AH$147,0)),1,3)</f>
        <v>Tún</v>
      </c>
      <c r="D48" s="617" t="str">
        <f aca="false">IF(ISBLANK(INDEX(WORLDCUP!$AC$4:$AC$147,MATCH(A48,WORLDCUP!$AH$4:$AH$147,0))),"",INDEX(WORLDCUP!$AC$4:$AC$147,MATCH(A48,WORLDCUP!$AH$4:$AH$147,0)))</f>
        <v/>
      </c>
      <c r="E48" s="617" t="str">
        <f aca="false">IF(ISBLANK(INDEX(WORLDCUP!$AD$4:$AD$147,MATCH(A48,WORLDCUP!$AH$4:$AH$147,0))),"",INDEX(WORLDCUP!$AD$4:$AD$147,MATCH(A48,WORLDCUP!$AH$4:$AH$147,0)))</f>
        <v/>
      </c>
      <c r="F48" s="618" t="str">
        <f aca="false">+MID(INDEX(WORLDCUP!$AF$4:$AF$147,MATCH(A48,WORLDCUP!$AH$4:$AH$147,0)),1,3)</f>
        <v>Paí</v>
      </c>
      <c r="G48" s="619"/>
      <c r="H48" s="619"/>
      <c r="I48" s="620"/>
      <c r="J48" s="620"/>
      <c r="K48" s="621"/>
      <c r="L48" s="85"/>
      <c r="M48" s="85" t="n">
        <v>68</v>
      </c>
      <c r="N48" s="699"/>
      <c r="O48" s="616" t="str">
        <f aca="false">+MID(INDEX(WORLDCUP!$AA$4:$AA$147,MATCH(M48,WORLDCUP!$AH$4:$AH$147,0)),1,3)</f>
        <v>Cro</v>
      </c>
      <c r="P48" s="617" t="str">
        <f aca="false">IF(ISBLANK(INDEX(WORLDCUP!$AC$4:$AC$147,MATCH(M48,WORLDCUP!$AH$4:$AH$147,0))),"",INDEX(WORLDCUP!$AC$4:$AC$147,MATCH(M48,WORLDCUP!$AH$4:$AH$147,0)))</f>
        <v/>
      </c>
      <c r="Q48" s="617" t="str">
        <f aca="false">IF(ISBLANK(INDEX(WORLDCUP!$AD$4:$AD$147,MATCH(M48,WORLDCUP!$AH$4:$AH$147,0))),"",INDEX(WORLDCUP!$AD$4:$AD$147,MATCH(M48,WORLDCUP!$AH$4:$AH$147,0)))</f>
        <v/>
      </c>
      <c r="R48" s="618" t="str">
        <f aca="false">+MID(INDEX(WORLDCUP!$AF$4:$AF$147,MATCH(M48,WORLDCUP!$AH$4:$AH$147,0)),1,3)</f>
        <v>Gha</v>
      </c>
      <c r="S48" s="619"/>
      <c r="T48" s="619"/>
      <c r="U48" s="620"/>
      <c r="V48" s="620"/>
      <c r="W48" s="621"/>
      <c r="X48" s="85"/>
      <c r="Y48" s="85" t="n">
        <v>87</v>
      </c>
      <c r="Z48" s="554" t="s">
        <v>123</v>
      </c>
      <c r="AA48" s="555" t="str">
        <f aca="false">+MID(INDEX(WORLDCUP!$AA$101:$AA$147,MATCH(Y48,WORLDCUP!$Z$101:$Z$147,0)),1,3)</f>
        <v>1K</v>
      </c>
      <c r="AB48" s="601" t="str">
        <f aca="false">+IF(ISBLANK(INDEX(WORLDCUP!$AC$101:$AC$147,MATCH(Y48,WORLDCUP!$Z$101:$Z$147,0))),"",INDEX(WORLDCUP!$AC$101:$AC$147,MATCH(Y48,WORLDCUP!$Z$101:$Z$147,0)))</f>
        <v/>
      </c>
      <c r="AC48" s="636" t="str">
        <f aca="false">+IF(ISBLANK(INDEX(WORLDCUP!$AB$101:$AB$147,MATCH(Y48,WORLDCUP!$Z$101:$Z$147,0))),"","( "&amp;INDEX(WORLDCUP!$AB$101:$AB$147,MATCH(Y48,WORLDCUP!$Z$101:$Z$147,0))&amp;" )")</f>
        <v/>
      </c>
      <c r="AD48" s="85"/>
      <c r="AE48" s="558"/>
      <c r="AF48" s="558"/>
      <c r="AG48" s="558"/>
      <c r="AH48" s="85"/>
      <c r="AI48" s="588"/>
      <c r="AJ48" s="588"/>
      <c r="AK48" s="588"/>
      <c r="AL48" s="471"/>
      <c r="AM48" s="560"/>
      <c r="AN48" s="560"/>
      <c r="AO48" s="560"/>
      <c r="AP48" s="85"/>
      <c r="AQ48" s="589"/>
      <c r="AR48" s="589"/>
      <c r="AS48" s="589"/>
      <c r="AT48" s="85"/>
      <c r="AU48" s="562"/>
      <c r="AV48" s="562"/>
      <c r="AW48" s="562"/>
      <c r="AX48" s="85"/>
      <c r="AY48" s="244"/>
      <c r="AZ48" s="244"/>
      <c r="BA48" s="244"/>
      <c r="BB48" s="244"/>
      <c r="BC48" s="244"/>
      <c r="BD48" s="244"/>
      <c r="BE48" s="244"/>
      <c r="BG48" s="591" t="str">
        <f aca="false">Horarios!Q47</f>
        <v>Túnez</v>
      </c>
      <c r="BH48" s="592" t="n">
        <f aca="false">1-SUM(BI48:BO48)</f>
        <v>1</v>
      </c>
      <c r="BI48" s="592" t="n">
        <f aca="false">COUNTIF(ADMIN!$M$130:$M$161,Fixture!BG48)-BJ48-BK48-BL48-BM48-BN48-BO48</f>
        <v>0</v>
      </c>
      <c r="BJ48" s="593" t="n">
        <f aca="false">COUNTIF(ADMIN!$M$182:$M$197,Fixture!BG48)-BK48-BL48-BM48-BN48-BO48</f>
        <v>0</v>
      </c>
      <c r="BK48" s="594" t="n">
        <f aca="false">COUNTIF(ADMIN!$M$210:$M$217,Fixture!BG48)-BL48-BM48-BN48-BO48</f>
        <v>0</v>
      </c>
      <c r="BL48" s="594" t="n">
        <f aca="false">COUNTIF(ADMIN!$M$226:$M$229,BG48)-BM48-BN48-BO48</f>
        <v>0</v>
      </c>
      <c r="BM48" s="592" t="n">
        <f aca="false">COUNTIF(ADMIN!$M$252,Fixture!BG48)</f>
        <v>0</v>
      </c>
      <c r="BN48" s="592" t="n">
        <f aca="false">COUNTIF(ADMIN!$M$251,Fixture!BG48)</f>
        <v>0</v>
      </c>
      <c r="BO48" s="595" t="n">
        <f aca="false">COUNTIF(ADMIN!$M$250,Fixture!BG48)</f>
        <v>0</v>
      </c>
    </row>
    <row r="49" customFormat="false" ht="15" hidden="false" customHeight="false" outlineLevel="0" collapsed="false">
      <c r="A49" s="85"/>
      <c r="B49" s="151"/>
      <c r="C49" s="244"/>
      <c r="D49" s="244"/>
      <c r="E49" s="244"/>
      <c r="F49" s="244"/>
      <c r="G49" s="244"/>
      <c r="H49" s="244"/>
      <c r="I49" s="244"/>
      <c r="J49" s="244"/>
      <c r="K49" s="244"/>
      <c r="L49" s="244"/>
      <c r="M49" s="85"/>
      <c r="N49" s="151"/>
      <c r="O49" s="244"/>
      <c r="P49" s="244"/>
      <c r="Q49" s="244"/>
      <c r="R49" s="244"/>
      <c r="S49" s="244"/>
      <c r="T49" s="244"/>
      <c r="U49" s="244"/>
      <c r="V49" s="244"/>
      <c r="W49" s="244"/>
      <c r="X49" s="85"/>
      <c r="Y49" s="85" t="n">
        <v>87</v>
      </c>
      <c r="Z49" s="554" t="s">
        <v>174</v>
      </c>
      <c r="AA49" s="609" t="str">
        <f aca="false">+MID(INDEX(WORLDCUP!$AF$101:$AF$147,MATCH(Y49,WORLDCUP!$Z$101:$Z$147,0)),1,IF(WORLDCUP!$H$113&lt;144,6,3))</f>
        <v>3DEIJL</v>
      </c>
      <c r="AB49" s="610" t="str">
        <f aca="false">+IF(ISBLANK(INDEX(WORLDCUP!$AD$101:$AD$147,MATCH(Y49,WORLDCUP!$Z$101:$Z$147,0))),"",INDEX(WORLDCUP!$AD$101:$AD$147,MATCH(Y49,WORLDCUP!$Z$101:$Z$147,0)))</f>
        <v/>
      </c>
      <c r="AC49" s="637" t="str">
        <f aca="false">+IF(ISBLANK(INDEX(WORLDCUP!$AE$101:$AE$147,MATCH(Y49,WORLDCUP!$Z$101:$Z$147,0))),"","( "&amp;INDEX(WORLDCUP!$AE$101:$AE$147,MATCH(Y49,WORLDCUP!$Z$101:$Z$147,0))&amp;" )")</f>
        <v/>
      </c>
      <c r="AD49" s="85"/>
      <c r="AE49" s="558"/>
      <c r="AF49" s="558"/>
      <c r="AG49" s="558"/>
      <c r="AH49" s="85"/>
      <c r="AI49" s="588"/>
      <c r="AJ49" s="588"/>
      <c r="AK49" s="588"/>
      <c r="AL49" s="471"/>
      <c r="AM49" s="560"/>
      <c r="AN49" s="560"/>
      <c r="AO49" s="560"/>
      <c r="AP49" s="85"/>
      <c r="AQ49" s="589"/>
      <c r="AR49" s="589"/>
      <c r="AS49" s="589"/>
      <c r="AT49" s="85"/>
      <c r="AU49" s="562"/>
      <c r="AV49" s="562"/>
      <c r="AW49" s="562"/>
      <c r="AX49" s="85"/>
      <c r="AY49" s="244"/>
      <c r="AZ49" s="244"/>
      <c r="BA49" s="244"/>
      <c r="BB49" s="244"/>
      <c r="BC49" s="244"/>
      <c r="BD49" s="244"/>
      <c r="BE49" s="244"/>
      <c r="BG49" s="591" t="str">
        <f aca="false">Horarios!Q48</f>
        <v>Turquía</v>
      </c>
      <c r="BH49" s="592" t="n">
        <f aca="false">1-SUM(BI49:BO49)</f>
        <v>1</v>
      </c>
      <c r="BI49" s="592" t="n">
        <f aca="false">COUNTIF(ADMIN!$M$130:$M$161,Fixture!BG49)-BJ49-BK49-BL49-BM49-BN49-BO49</f>
        <v>0</v>
      </c>
      <c r="BJ49" s="593" t="n">
        <f aca="false">COUNTIF(ADMIN!$M$182:$M$197,Fixture!BG49)-BK49-BL49-BM49-BN49-BO49</f>
        <v>0</v>
      </c>
      <c r="BK49" s="594" t="n">
        <f aca="false">COUNTIF(ADMIN!$M$210:$M$217,Fixture!BG49)-BL49-BM49-BN49-BO49</f>
        <v>0</v>
      </c>
      <c r="BL49" s="594" t="n">
        <f aca="false">COUNTIF(ADMIN!$M$226:$M$229,BG49)-BM49-BN49-BO49</f>
        <v>0</v>
      </c>
      <c r="BM49" s="592" t="n">
        <f aca="false">COUNTIF(ADMIN!$M$252,Fixture!BG49)</f>
        <v>0</v>
      </c>
      <c r="BN49" s="592" t="n">
        <f aca="false">COUNTIF(ADMIN!$M$251,Fixture!BG49)</f>
        <v>0</v>
      </c>
      <c r="BO49" s="595" t="n">
        <f aca="false">COUNTIF(ADMIN!$M$250,Fixture!BG49)</f>
        <v>0</v>
      </c>
    </row>
    <row r="50" customFormat="false" ht="15" hidden="false" customHeight="true" outlineLevel="0" collapsed="false">
      <c r="A50" s="85"/>
      <c r="B50" s="151"/>
      <c r="C50" s="244"/>
      <c r="D50" s="244"/>
      <c r="E50" s="244"/>
      <c r="F50" s="244"/>
      <c r="G50" s="244"/>
      <c r="H50" s="244"/>
      <c r="I50" s="244"/>
      <c r="J50" s="244"/>
      <c r="K50" s="244"/>
      <c r="L50" s="244"/>
      <c r="M50" s="85"/>
      <c r="N50" s="151"/>
      <c r="O50" s="244"/>
      <c r="P50" s="244"/>
      <c r="Q50" s="244"/>
      <c r="R50" s="244"/>
      <c r="S50" s="244"/>
      <c r="T50" s="244"/>
      <c r="U50" s="244"/>
      <c r="V50" s="244"/>
      <c r="W50" s="244"/>
      <c r="X50" s="244"/>
      <c r="Y50" s="50"/>
      <c r="Z50" s="50"/>
      <c r="AA50" s="700"/>
      <c r="AB50" s="700"/>
      <c r="AC50" s="700"/>
      <c r="AD50" s="85"/>
      <c r="AE50" s="701"/>
      <c r="AF50" s="701"/>
      <c r="AG50" s="701"/>
      <c r="AH50" s="85"/>
      <c r="AI50" s="588"/>
      <c r="AJ50" s="588"/>
      <c r="AK50" s="588"/>
      <c r="AL50" s="471"/>
      <c r="AM50" s="560"/>
      <c r="AN50" s="560"/>
      <c r="AO50" s="560"/>
      <c r="AP50" s="85"/>
      <c r="AQ50" s="561"/>
      <c r="AR50" s="561"/>
      <c r="AS50" s="561"/>
      <c r="AT50" s="85"/>
      <c r="AU50" s="702"/>
      <c r="AV50" s="702"/>
      <c r="AW50" s="702"/>
      <c r="AX50" s="85"/>
      <c r="AY50" s="244"/>
      <c r="AZ50" s="244"/>
      <c r="BA50" s="244"/>
      <c r="BB50" s="244"/>
      <c r="BC50" s="244"/>
      <c r="BD50" s="244"/>
      <c r="BE50" s="244"/>
      <c r="BG50" s="591" t="str">
        <f aca="false">Horarios!Q49</f>
        <v>Uruguay</v>
      </c>
      <c r="BH50" s="592" t="n">
        <f aca="false">1-SUM(BI50:BO50)</f>
        <v>1</v>
      </c>
      <c r="BI50" s="592" t="n">
        <f aca="false">COUNTIF(ADMIN!$M$130:$M$161,Fixture!BG50)-BJ50-BK50-BL50-BM50-BN50-BO50</f>
        <v>0</v>
      </c>
      <c r="BJ50" s="593" t="n">
        <f aca="false">COUNTIF(ADMIN!$M$182:$M$197,Fixture!BG50)-BK50-BL50-BM50-BN50-BO50</f>
        <v>0</v>
      </c>
      <c r="BK50" s="594" t="n">
        <f aca="false">COUNTIF(ADMIN!$M$210:$M$217,Fixture!BG50)-BL50-BM50-BN50-BO50</f>
        <v>0</v>
      </c>
      <c r="BL50" s="594" t="n">
        <f aca="false">COUNTIF(ADMIN!$M$226:$M$229,BG50)-BM50-BN50-BO50</f>
        <v>0</v>
      </c>
      <c r="BM50" s="592" t="n">
        <f aca="false">COUNTIF(ADMIN!$M$252,Fixture!BG50)</f>
        <v>0</v>
      </c>
      <c r="BN50" s="592" t="n">
        <f aca="false">COUNTIF(ADMIN!$M$251,Fixture!BG50)</f>
        <v>0</v>
      </c>
      <c r="BO50" s="595" t="n">
        <f aca="false">COUNTIF(ADMIN!$M$250,Fixture!BG50)</f>
        <v>0</v>
      </c>
    </row>
    <row r="51" customFormat="false" ht="15" hidden="false" customHeight="false" outlineLevel="0" collapsed="false">
      <c r="A51" s="85"/>
      <c r="B51" s="151"/>
      <c r="C51" s="244"/>
      <c r="D51" s="244"/>
      <c r="E51" s="244"/>
      <c r="F51" s="244"/>
      <c r="G51" s="244"/>
      <c r="H51" s="244"/>
      <c r="I51" s="244"/>
      <c r="J51" s="244"/>
      <c r="K51" s="244"/>
      <c r="L51" s="244"/>
      <c r="M51" s="85"/>
      <c r="N51" s="151"/>
      <c r="O51" s="244"/>
      <c r="P51" s="244"/>
      <c r="Q51" s="244"/>
      <c r="R51" s="244"/>
      <c r="S51" s="244"/>
      <c r="T51" s="244"/>
      <c r="U51" s="244"/>
      <c r="V51" s="244"/>
      <c r="W51" s="244"/>
      <c r="X51" s="244"/>
      <c r="Y51" s="151"/>
      <c r="Z51" s="151"/>
      <c r="AA51" s="244"/>
      <c r="AB51" s="244"/>
      <c r="AC51" s="244"/>
      <c r="AD51" s="151"/>
      <c r="AE51" s="244"/>
      <c r="AF51" s="244"/>
      <c r="AG51" s="244"/>
      <c r="AH51" s="151"/>
      <c r="AI51" s="244"/>
      <c r="AJ51" s="244"/>
      <c r="AK51" s="244"/>
      <c r="AL51" s="151"/>
      <c r="AM51" s="244"/>
      <c r="AN51" s="244"/>
      <c r="AO51" s="244"/>
      <c r="AP51" s="151"/>
      <c r="AQ51" s="244"/>
      <c r="AR51" s="244"/>
      <c r="AS51" s="244"/>
      <c r="AT51" s="151"/>
      <c r="AU51" s="244"/>
      <c r="AV51" s="244"/>
      <c r="AW51" s="244"/>
      <c r="AX51" s="244"/>
      <c r="AY51" s="244"/>
      <c r="AZ51" s="244"/>
      <c r="BA51" s="244"/>
      <c r="BB51" s="244"/>
      <c r="BC51" s="244"/>
      <c r="BD51" s="244"/>
      <c r="BE51" s="244"/>
      <c r="BG51" s="703" t="str">
        <f aca="false">Horarios!Q50</f>
        <v>Uzbekistán</v>
      </c>
      <c r="BH51" s="704" t="n">
        <f aca="false">1-SUM(BI51:BO51)</f>
        <v>1</v>
      </c>
      <c r="BI51" s="704" t="n">
        <f aca="false">COUNTIF(ADMIN!$M$130:$M$161,Fixture!BG51)-BJ51-BK51-BL51-BM51-BN51-BO51</f>
        <v>0</v>
      </c>
      <c r="BJ51" s="705" t="n">
        <f aca="false">COUNTIF(ADMIN!$M$182:$M$197,Fixture!BG51)-BK51-BL51-BM51-BN51-BO51</f>
        <v>0</v>
      </c>
      <c r="BK51" s="706" t="n">
        <f aca="false">COUNTIF(ADMIN!$M$210:$M$217,Fixture!BG51)-BL51-BM51-BN51-BO51</f>
        <v>0</v>
      </c>
      <c r="BL51" s="706" t="n">
        <f aca="false">COUNTIF(ADMIN!$M$226:$M$229,BG51)-BM51-BN51-BO51</f>
        <v>0</v>
      </c>
      <c r="BM51" s="704" t="n">
        <f aca="false">COUNTIF(ADMIN!$M$252,Fixture!BG51)</f>
        <v>0</v>
      </c>
      <c r="BN51" s="704" t="n">
        <f aca="false">COUNTIF(ADMIN!$M$251,Fixture!BG51)</f>
        <v>0</v>
      </c>
      <c r="BO51" s="707" t="n">
        <f aca="false">COUNTIF(ADMIN!$M$250,Fixture!BG51)</f>
        <v>0</v>
      </c>
    </row>
    <row r="52" customFormat="false" ht="15" hidden="false" customHeight="false" outlineLevel="0" collapsed="false">
      <c r="A52" s="85"/>
      <c r="B52" s="151"/>
      <c r="C52" s="244"/>
      <c r="D52" s="244"/>
      <c r="E52" s="244"/>
      <c r="F52" s="244"/>
      <c r="G52" s="244"/>
      <c r="H52" s="244"/>
      <c r="I52" s="244"/>
      <c r="J52" s="244"/>
      <c r="K52" s="244"/>
      <c r="L52" s="244"/>
      <c r="M52" s="85"/>
      <c r="N52" s="151"/>
      <c r="O52" s="244"/>
      <c r="P52" s="244"/>
      <c r="Q52" s="244"/>
      <c r="R52" s="244"/>
      <c r="S52" s="244"/>
      <c r="T52" s="244"/>
      <c r="U52" s="244"/>
      <c r="V52" s="244"/>
      <c r="W52" s="244"/>
      <c r="X52" s="244"/>
      <c r="Y52" s="151"/>
      <c r="Z52" s="151"/>
      <c r="AA52" s="244"/>
      <c r="AB52" s="244"/>
      <c r="AC52" s="244"/>
      <c r="AD52" s="151"/>
      <c r="AE52" s="244"/>
      <c r="AF52" s="244"/>
      <c r="AG52" s="244"/>
      <c r="AH52" s="151"/>
      <c r="AI52" s="244"/>
      <c r="AJ52" s="244"/>
      <c r="AK52" s="244"/>
      <c r="AL52" s="151"/>
      <c r="AM52" s="244"/>
      <c r="AN52" s="244"/>
      <c r="AO52" s="244"/>
      <c r="AP52" s="151"/>
      <c r="AQ52" s="244"/>
      <c r="AR52" s="244"/>
      <c r="AS52" s="244"/>
      <c r="AT52" s="151"/>
      <c r="AU52" s="244"/>
      <c r="AV52" s="244"/>
      <c r="AW52" s="244"/>
      <c r="AX52" s="244"/>
      <c r="AY52" s="244"/>
      <c r="AZ52" s="244"/>
      <c r="BA52" s="244"/>
      <c r="BB52" s="244"/>
      <c r="BC52" s="244"/>
      <c r="BD52" s="244"/>
      <c r="BE52" s="244"/>
    </row>
    <row r="53" customFormat="false" ht="15" hidden="false" customHeight="false" outlineLevel="0" collapsed="false">
      <c r="W53" s="57"/>
      <c r="X53" s="38"/>
      <c r="BB53" s="631"/>
    </row>
    <row r="54" customFormat="false" ht="15" hidden="false" customHeight="false" outlineLevel="0" collapsed="false">
      <c r="W54" s="57"/>
      <c r="X54" s="38"/>
      <c r="BB54" s="631"/>
    </row>
    <row r="55" customFormat="false" ht="15" hidden="false" customHeight="false" outlineLevel="0" collapsed="false">
      <c r="W55" s="57"/>
      <c r="X55" s="38"/>
      <c r="BB55" s="631"/>
    </row>
    <row r="56" customFormat="false" ht="15" hidden="false" customHeight="false" outlineLevel="0" collapsed="false">
      <c r="W56" s="57"/>
      <c r="X56" s="38"/>
      <c r="BB56" s="631"/>
    </row>
    <row r="57" customFormat="false" ht="15" hidden="false" customHeight="false" outlineLevel="0" collapsed="false">
      <c r="W57" s="57"/>
      <c r="X57" s="38"/>
      <c r="BB57" s="631"/>
    </row>
  </sheetData>
  <mergeCells count="1">
    <mergeCell ref="AX18:BE18"/>
  </mergeCells>
  <conditionalFormatting sqref="BH4:BH51">
    <cfRule type="expression" priority="2" aboveAverage="0" equalAverage="0" bottom="0" percent="0" rank="0" text="" dxfId="26">
      <formula>$BH4=1</formula>
    </cfRule>
  </conditionalFormatting>
  <conditionalFormatting sqref="BH4:BI51">
    <cfRule type="expression" priority="3" aboveAverage="0" equalAverage="0" bottom="0" percent="0" rank="0" text="" dxfId="27">
      <formula>$BI4=1</formula>
    </cfRule>
  </conditionalFormatting>
  <conditionalFormatting sqref="BH4:BJ51">
    <cfRule type="expression" priority="4" aboveAverage="0" equalAverage="0" bottom="0" percent="0" rank="0" text="" dxfId="28">
      <formula>$BJ4=1</formula>
    </cfRule>
  </conditionalFormatting>
  <conditionalFormatting sqref="BH4:BK51">
    <cfRule type="expression" priority="5" aboveAverage="0" equalAverage="0" bottom="0" percent="0" rank="0" text="" dxfId="29">
      <formula>$BK4=1</formula>
    </cfRule>
  </conditionalFormatting>
  <conditionalFormatting sqref="BH4:BL51">
    <cfRule type="expression" priority="6" aboveAverage="0" equalAverage="0" bottom="0" percent="0" rank="0" text="" dxfId="30">
      <formula>$BL4=1</formula>
    </cfRule>
  </conditionalFormatting>
  <conditionalFormatting sqref="BH4:BM51">
    <cfRule type="expression" priority="7" aboveAverage="0" equalAverage="0" bottom="0" percent="0" rank="0" text="" dxfId="31">
      <formula>$BM4=1</formula>
    </cfRule>
  </conditionalFormatting>
  <conditionalFormatting sqref="BH4:BN51">
    <cfRule type="expression" priority="8" aboveAverage="0" equalAverage="0" bottom="0" percent="0" rank="0" text="" dxfId="32">
      <formula>$BN4=1</formula>
    </cfRule>
  </conditionalFormatting>
  <conditionalFormatting sqref="BH4:BO51">
    <cfRule type="expression" priority="9" aboveAverage="0" equalAverage="0" bottom="0" percent="0" rank="0" text="" dxfId="33">
      <formula>$BO4=1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4" activeCellId="0" sqref="B34"/>
    </sheetView>
  </sheetViews>
  <sheetFormatPr defaultColWidth="10.859375" defaultRowHeight="15" customHeight="true" zeroHeight="false" outlineLevelRow="0" outlineLevelCol="0"/>
  <cols>
    <col collapsed="false" customWidth="true" hidden="false" outlineLevel="0" max="1" min="1" style="1" width="6"/>
    <col collapsed="false" customWidth="true" hidden="false" outlineLevel="0" max="2" min="2" style="1" width="13.29"/>
    <col collapsed="false" customWidth="true" hidden="false" outlineLevel="0" max="3" min="3" style="1" width="32.86"/>
    <col collapsed="false" customWidth="true" hidden="false" outlineLevel="0" max="4" min="4" style="1" width="0.42"/>
    <col collapsed="false" customWidth="true" hidden="false" outlineLevel="0" max="6" min="6" style="1" width="0.42"/>
    <col collapsed="false" customWidth="true" hidden="false" outlineLevel="0" max="11" min="11" style="1" width="3.42"/>
    <col collapsed="false" customWidth="true" hidden="false" outlineLevel="0" max="17" min="14" style="1" width="15.85"/>
    <col collapsed="false" customWidth="true" hidden="false" outlineLevel="0" max="18" min="18" style="1" width="17.42"/>
    <col collapsed="false" customWidth="false" hidden="false" outlineLevel="0" max="22" min="19" style="210" width="10.85"/>
    <col collapsed="false" customWidth="false" hidden="true" outlineLevel="0" max="24" min="23" style="210" width="10.85"/>
    <col collapsed="false" customWidth="false" hidden="false" outlineLevel="0" max="25" min="25" style="210" width="10.85"/>
    <col collapsed="false" customWidth="false" hidden="false" outlineLevel="0" max="28" min="26" style="31" width="10.85"/>
  </cols>
  <sheetData>
    <row r="1" customFormat="false" ht="15" hidden="false" customHeight="false" outlineLevel="0" collapsed="false">
      <c r="A1" s="708"/>
      <c r="B1" s="708"/>
      <c r="C1" s="708"/>
      <c r="D1" s="708"/>
      <c r="E1" s="709"/>
      <c r="F1" s="709"/>
      <c r="G1" s="709"/>
      <c r="H1" s="709"/>
      <c r="I1" s="709"/>
      <c r="J1" s="709"/>
      <c r="K1" s="710"/>
      <c r="L1" s="710"/>
      <c r="M1" s="710"/>
      <c r="N1" s="710"/>
    </row>
    <row r="2" customFormat="false" ht="15" hidden="false" customHeight="false" outlineLevel="0" collapsed="false">
      <c r="A2" s="708"/>
      <c r="B2" s="711" t="str">
        <f aca="false">Idiomas!D84</f>
        <v>Limitación de responsabilidad:</v>
      </c>
      <c r="C2" s="712"/>
      <c r="D2" s="712"/>
      <c r="E2" s="713"/>
      <c r="F2" s="713"/>
      <c r="G2" s="713"/>
      <c r="H2" s="713"/>
      <c r="I2" s="713"/>
      <c r="J2" s="713"/>
      <c r="K2" s="710"/>
      <c r="L2" s="711" t="s">
        <v>459</v>
      </c>
      <c r="M2" s="710"/>
      <c r="N2" s="710"/>
      <c r="O2" s="710"/>
      <c r="P2" s="710"/>
      <c r="Q2" s="710"/>
      <c r="R2" s="714"/>
      <c r="S2" s="715"/>
      <c r="T2" s="715"/>
    </row>
    <row r="3" customFormat="false" ht="15" hidden="false" customHeight="false" outlineLevel="0" collapsed="false">
      <c r="A3" s="708"/>
      <c r="B3" s="716" t="str">
        <f aca="false">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716"/>
      <c r="D3" s="716"/>
      <c r="E3" s="716"/>
      <c r="F3" s="716"/>
      <c r="G3" s="716"/>
      <c r="H3" s="716"/>
      <c r="I3" s="716"/>
      <c r="J3" s="716"/>
      <c r="K3" s="710"/>
      <c r="L3" s="717"/>
      <c r="M3" s="718"/>
      <c r="N3" s="718"/>
      <c r="O3" s="718"/>
      <c r="P3" s="718"/>
      <c r="Q3" s="718"/>
      <c r="R3" s="718"/>
      <c r="S3" s="719"/>
      <c r="T3" s="720"/>
    </row>
    <row r="4" customFormat="false" ht="15" hidden="false" customHeight="false" outlineLevel="0" collapsed="false">
      <c r="A4" s="708"/>
      <c r="B4" s="716"/>
      <c r="C4" s="716"/>
      <c r="D4" s="716"/>
      <c r="E4" s="716"/>
      <c r="F4" s="716"/>
      <c r="G4" s="716"/>
      <c r="H4" s="716"/>
      <c r="I4" s="716"/>
      <c r="J4" s="716"/>
      <c r="K4" s="710"/>
      <c r="L4" s="721" t="str">
        <f aca="false">Idiomas!D86</f>
        <v>· Selecciona el idioma en el que quieras hacer la porra y la zona horaria</v>
      </c>
      <c r="M4" s="722"/>
      <c r="N4" s="722"/>
      <c r="O4" s="722"/>
      <c r="P4" s="722"/>
      <c r="Q4" s="722"/>
      <c r="R4" s="722"/>
      <c r="S4" s="723"/>
      <c r="T4" s="724"/>
    </row>
    <row r="5" customFormat="false" ht="15" hidden="false" customHeight="false" outlineLevel="0" collapsed="false">
      <c r="A5" s="708"/>
      <c r="B5" s="716"/>
      <c r="C5" s="716"/>
      <c r="D5" s="716"/>
      <c r="E5" s="716"/>
      <c r="F5" s="716"/>
      <c r="G5" s="716"/>
      <c r="H5" s="716"/>
      <c r="I5" s="716"/>
      <c r="J5" s="716"/>
      <c r="K5" s="710"/>
      <c r="L5" s="721" t="str">
        <f aca="false">Idiomas!D87</f>
        <v>· Escribe el nombre del grupo de la porra/quiniela</v>
      </c>
      <c r="M5" s="722"/>
      <c r="N5" s="722"/>
      <c r="O5" s="722"/>
      <c r="P5" s="722"/>
      <c r="Q5" s="722"/>
      <c r="R5" s="722"/>
      <c r="S5" s="723"/>
      <c r="T5" s="724"/>
    </row>
    <row r="6" customFormat="false" ht="15" hidden="false" customHeight="false" outlineLevel="0" collapsed="false">
      <c r="A6" s="708"/>
      <c r="B6" s="716"/>
      <c r="C6" s="716"/>
      <c r="D6" s="716"/>
      <c r="E6" s="716"/>
      <c r="F6" s="716"/>
      <c r="G6" s="716"/>
      <c r="H6" s="716"/>
      <c r="I6" s="716"/>
      <c r="J6" s="716"/>
      <c r="K6" s="710"/>
      <c r="L6" s="725" t="str">
        <f aca="false">HYPERLINK(Idiomas!D103,Idiomas!D88)</f>
        <v>· El archivo de participante lo puedes descargar desde aquí</v>
      </c>
      <c r="M6" s="725"/>
      <c r="N6" s="725"/>
      <c r="O6" s="725"/>
      <c r="P6" s="722"/>
      <c r="Q6" s="722"/>
      <c r="R6" s="722"/>
      <c r="S6" s="723"/>
      <c r="T6" s="724"/>
    </row>
    <row r="7" customFormat="false" ht="15" hidden="false" customHeight="false" outlineLevel="0" collapsed="false">
      <c r="A7" s="708"/>
      <c r="B7" s="716"/>
      <c r="C7" s="716"/>
      <c r="D7" s="716"/>
      <c r="E7" s="716"/>
      <c r="F7" s="716"/>
      <c r="G7" s="716"/>
      <c r="H7" s="716"/>
      <c r="I7" s="716"/>
      <c r="J7" s="716"/>
      <c r="K7" s="710"/>
      <c r="L7" s="726"/>
      <c r="M7" s="727"/>
      <c r="N7" s="727"/>
      <c r="O7" s="727"/>
      <c r="P7" s="727"/>
      <c r="Q7" s="727"/>
      <c r="R7" s="727"/>
      <c r="S7" s="728"/>
      <c r="T7" s="729"/>
    </row>
    <row r="8" customFormat="false" ht="15" hidden="false" customHeight="false" outlineLevel="0" collapsed="false">
      <c r="A8" s="708"/>
      <c r="B8" s="716"/>
      <c r="C8" s="716"/>
      <c r="D8" s="716"/>
      <c r="E8" s="716"/>
      <c r="F8" s="716"/>
      <c r="G8" s="716"/>
      <c r="H8" s="716"/>
      <c r="I8" s="716"/>
      <c r="J8" s="716"/>
      <c r="K8" s="710"/>
      <c r="L8" s="714"/>
      <c r="M8" s="714"/>
      <c r="N8" s="714"/>
      <c r="O8" s="714"/>
      <c r="P8" s="714"/>
      <c r="Q8" s="714"/>
      <c r="R8" s="714"/>
      <c r="S8" s="715"/>
      <c r="T8" s="715"/>
    </row>
    <row r="9" customFormat="false" ht="15" hidden="false" customHeight="false" outlineLevel="0" collapsed="false">
      <c r="A9" s="708"/>
      <c r="B9" s="716"/>
      <c r="C9" s="716"/>
      <c r="D9" s="716"/>
      <c r="E9" s="716"/>
      <c r="F9" s="716"/>
      <c r="G9" s="716"/>
      <c r="H9" s="716"/>
      <c r="I9" s="716"/>
      <c r="J9" s="716"/>
      <c r="K9" s="710"/>
      <c r="L9" s="711" t="str">
        <f aca="false">"ADMIN"&amp;" "&amp;Idiomas!D89</f>
        <v>ADMIN (Antes de empezar el mundial)</v>
      </c>
      <c r="M9" s="730"/>
      <c r="N9" s="714"/>
      <c r="O9" s="714"/>
      <c r="P9" s="714"/>
      <c r="Q9" s="714"/>
      <c r="R9" s="714"/>
      <c r="S9" s="715"/>
      <c r="T9" s="715"/>
    </row>
    <row r="10" customFormat="false" ht="15" hidden="false" customHeight="false" outlineLevel="0" collapsed="false">
      <c r="A10" s="708"/>
      <c r="B10" s="716"/>
      <c r="C10" s="716"/>
      <c r="D10" s="716"/>
      <c r="E10" s="716"/>
      <c r="F10" s="716"/>
      <c r="G10" s="716"/>
      <c r="H10" s="716"/>
      <c r="I10" s="716"/>
      <c r="J10" s="716"/>
      <c r="K10" s="710"/>
      <c r="L10" s="717"/>
      <c r="M10" s="718"/>
      <c r="N10" s="718"/>
      <c r="O10" s="718"/>
      <c r="P10" s="718"/>
      <c r="Q10" s="718"/>
      <c r="R10" s="718"/>
      <c r="S10" s="719"/>
      <c r="T10" s="720"/>
    </row>
    <row r="11" customFormat="false" ht="15" hidden="false" customHeight="false" outlineLevel="0" collapsed="false">
      <c r="A11" s="708"/>
      <c r="B11" s="716"/>
      <c r="C11" s="716"/>
      <c r="D11" s="716"/>
      <c r="E11" s="716"/>
      <c r="F11" s="716"/>
      <c r="G11" s="716"/>
      <c r="H11" s="716"/>
      <c r="I11" s="716"/>
      <c r="J11" s="716"/>
      <c r="K11" s="710"/>
      <c r="L11" s="721" t="str">
        <f aca="false">Idiomas!D91</f>
        <v>· Esta hoja sirve para administrar la porra/quiniela</v>
      </c>
      <c r="M11" s="722"/>
      <c r="N11" s="722"/>
      <c r="O11" s="722"/>
      <c r="P11" s="722"/>
      <c r="Q11" s="722"/>
      <c r="R11" s="722"/>
      <c r="S11" s="723"/>
      <c r="T11" s="724"/>
    </row>
    <row r="12" customFormat="false" ht="15" hidden="false" customHeight="false" outlineLevel="0" collapsed="false">
      <c r="A12" s="708"/>
      <c r="B12" s="716"/>
      <c r="C12" s="716"/>
      <c r="D12" s="716"/>
      <c r="E12" s="716"/>
      <c r="F12" s="716"/>
      <c r="G12" s="716"/>
      <c r="H12" s="716"/>
      <c r="I12" s="716"/>
      <c r="J12" s="716"/>
      <c r="K12" s="710"/>
      <c r="L12" s="721" t="str">
        <f aca="false">Idiomas!D92</f>
        <v>· Lo primero, establece la puntuación para cada criterio y comparte la puntuación con los participantes</v>
      </c>
      <c r="M12" s="722"/>
      <c r="N12" s="722"/>
      <c r="O12" s="722"/>
      <c r="P12" s="722"/>
      <c r="Q12" s="722"/>
      <c r="R12" s="731"/>
      <c r="S12" s="723"/>
      <c r="T12" s="724"/>
    </row>
    <row r="13" customFormat="false" ht="15" hidden="false" customHeight="false" outlineLevel="0" collapsed="false">
      <c r="A13" s="708"/>
      <c r="B13" s="732"/>
      <c r="C13" s="732"/>
      <c r="D13" s="732"/>
      <c r="E13" s="732"/>
      <c r="F13" s="732"/>
      <c r="G13" s="732"/>
      <c r="H13" s="732"/>
      <c r="I13" s="732"/>
      <c r="J13" s="732"/>
      <c r="K13" s="710"/>
      <c r="L13" s="725" t="str">
        <f aca="false">HYPERLINK(Idiomas!D302,Idiomas!D93)</f>
        <v>· Aquí explicamos cada criterio de puntuación</v>
      </c>
      <c r="M13" s="725"/>
      <c r="N13" s="725"/>
      <c r="O13" s="725"/>
      <c r="P13" s="722"/>
      <c r="Q13" s="722"/>
      <c r="R13" s="722"/>
      <c r="S13" s="723"/>
      <c r="T13" s="724"/>
    </row>
    <row r="14" customFormat="false" ht="15" hidden="false" customHeight="false" outlineLevel="0" collapsed="false">
      <c r="A14" s="708"/>
      <c r="B14" s="733"/>
      <c r="C14" s="734"/>
      <c r="D14" s="734"/>
      <c r="E14" s="734"/>
      <c r="F14" s="734"/>
      <c r="G14" s="734"/>
      <c r="H14" s="734"/>
      <c r="I14" s="734"/>
      <c r="J14" s="735"/>
      <c r="K14" s="710"/>
      <c r="L14" s="736" t="str">
        <f aca="false">Idiomas!D94</f>
        <v>· Cuando los participantes te envíen su archivo, copia sus pronósticos de la hoja “Pool”, en esta hoja ADMIN</v>
      </c>
      <c r="M14" s="722"/>
      <c r="N14" s="722"/>
      <c r="O14" s="722"/>
      <c r="P14" s="722"/>
      <c r="Q14" s="722"/>
      <c r="R14" s="722"/>
      <c r="S14" s="723"/>
      <c r="T14" s="724"/>
    </row>
    <row r="15" customFormat="false" ht="15" hidden="false" customHeight="false" outlineLevel="0" collapsed="false">
      <c r="A15" s="708"/>
      <c r="B15" s="737" t="str">
        <f aca="false">Idiomas!D82</f>
        <v>Autor:</v>
      </c>
      <c r="C15" s="738" t="s">
        <v>1361</v>
      </c>
      <c r="D15" s="738"/>
      <c r="E15" s="738" t="s">
        <v>1362</v>
      </c>
      <c r="F15" s="722"/>
      <c r="G15" s="738" t="s">
        <v>1363</v>
      </c>
      <c r="H15" s="722"/>
      <c r="I15" s="739"/>
      <c r="J15" s="740"/>
      <c r="K15" s="710"/>
      <c r="L15" s="721" t="str">
        <f aca="false">Idiomas!D95</f>
        <v>· Cuando tengas todos los pronósticos, selecciona el número de jugadores en la hoja ADMIN</v>
      </c>
      <c r="M15" s="722"/>
      <c r="N15" s="722"/>
      <c r="O15" s="722"/>
      <c r="P15" s="722"/>
      <c r="Q15" s="722"/>
      <c r="R15" s="722"/>
      <c r="S15" s="723"/>
      <c r="T15" s="724"/>
    </row>
    <row r="16" customFormat="false" ht="15" hidden="false" customHeight="false" outlineLevel="0" collapsed="false">
      <c r="A16" s="708"/>
      <c r="B16" s="741" t="str">
        <f aca="false">Idiomas!D83</f>
        <v>Útima versión</v>
      </c>
      <c r="C16" s="742" t="n">
        <v>46125</v>
      </c>
      <c r="D16" s="742"/>
      <c r="E16" s="743"/>
      <c r="F16" s="743"/>
      <c r="G16" s="743"/>
      <c r="H16" s="743"/>
      <c r="I16" s="744"/>
      <c r="J16" s="745"/>
      <c r="K16" s="710"/>
      <c r="L16" s="726"/>
      <c r="M16" s="727"/>
      <c r="N16" s="727"/>
      <c r="O16" s="727"/>
      <c r="P16" s="727"/>
      <c r="Q16" s="727"/>
      <c r="R16" s="727"/>
      <c r="S16" s="728"/>
      <c r="T16" s="729"/>
    </row>
    <row r="17" customFormat="false" ht="15" hidden="false" customHeight="false" outlineLevel="0" collapsed="false">
      <c r="A17" s="708"/>
      <c r="B17" s="746"/>
      <c r="C17" s="747"/>
      <c r="D17" s="747"/>
      <c r="E17" s="747"/>
      <c r="F17" s="747"/>
      <c r="G17" s="747"/>
      <c r="H17" s="747"/>
      <c r="I17" s="747"/>
      <c r="J17" s="748"/>
      <c r="K17" s="710"/>
      <c r="L17" s="710"/>
      <c r="M17" s="710"/>
      <c r="N17" s="710"/>
      <c r="O17" s="710"/>
      <c r="P17" s="710"/>
      <c r="Q17" s="710"/>
      <c r="R17" s="710"/>
      <c r="S17" s="715"/>
      <c r="T17" s="715"/>
    </row>
    <row r="18" customFormat="false" ht="15" hidden="false" customHeight="false" outlineLevel="0" collapsed="false">
      <c r="A18" s="708"/>
      <c r="B18" s="749"/>
      <c r="C18" s="749"/>
      <c r="D18" s="749"/>
      <c r="E18" s="750"/>
      <c r="F18" s="750"/>
      <c r="G18" s="708"/>
      <c r="H18" s="708"/>
      <c r="I18" s="708"/>
      <c r="J18" s="751"/>
      <c r="K18" s="710"/>
      <c r="L18" s="711" t="str">
        <f aca="false">"WORLDCUP"&amp;" "&amp;Idiomas!D96</f>
        <v>WORLDCUP (Una vez ha empezado el mundial)</v>
      </c>
      <c r="M18" s="730"/>
      <c r="N18" s="714"/>
      <c r="O18" s="714"/>
      <c r="P18" s="714"/>
      <c r="Q18" s="714"/>
      <c r="R18" s="714"/>
      <c r="S18" s="715"/>
      <c r="T18" s="715"/>
    </row>
    <row r="19" customFormat="false" ht="19.5" hidden="false" customHeight="true" outlineLevel="0" collapsed="false">
      <c r="A19" s="710"/>
      <c r="B19" s="752"/>
      <c r="C19" s="753" t="str">
        <f aca="false">Idiomas!D85</f>
        <v>PARA DESCARGAR, CLICK EN</v>
      </c>
      <c r="D19" s="753"/>
      <c r="E19" s="754" t="n">
        <v>2</v>
      </c>
      <c r="F19" s="755"/>
      <c r="G19" s="753"/>
      <c r="H19" s="756"/>
      <c r="I19" s="756"/>
      <c r="J19" s="757"/>
      <c r="K19" s="710"/>
      <c r="L19" s="717"/>
      <c r="M19" s="718"/>
      <c r="N19" s="718"/>
      <c r="O19" s="718"/>
      <c r="P19" s="718"/>
      <c r="Q19" s="718"/>
      <c r="R19" s="718"/>
      <c r="S19" s="719"/>
      <c r="T19" s="720"/>
    </row>
    <row r="20" customFormat="false" ht="15" hidden="false" customHeight="false" outlineLevel="0" collapsed="false">
      <c r="A20" s="710"/>
      <c r="B20" s="758"/>
      <c r="C20" s="759" t="s">
        <v>1364</v>
      </c>
      <c r="D20" s="759"/>
      <c r="E20" s="760" t="s">
        <v>0</v>
      </c>
      <c r="F20" s="760"/>
      <c r="G20" s="760" t="s">
        <v>419</v>
      </c>
      <c r="H20" s="761"/>
      <c r="I20" s="761"/>
      <c r="J20" s="745"/>
      <c r="K20" s="710"/>
      <c r="L20" s="721" t="str">
        <f aca="false">Idiomas!D97</f>
        <v>· Cuando empiece el mundial, rellena los cuadros grises con los resultados reales de la fase de grupos</v>
      </c>
      <c r="M20" s="722"/>
      <c r="N20" s="722"/>
      <c r="O20" s="722"/>
      <c r="P20" s="722"/>
      <c r="Q20" s="722"/>
      <c r="R20" s="722"/>
      <c r="S20" s="723"/>
      <c r="T20" s="724"/>
    </row>
    <row r="21" customFormat="false" ht="19.5" hidden="false" customHeight="true" outlineLevel="0" collapsed="false">
      <c r="A21" s="762"/>
      <c r="B21" s="763"/>
      <c r="C21" s="764" t="s">
        <v>1365</v>
      </c>
      <c r="D21" s="765"/>
      <c r="E21" s="766" t="n">
        <v>2</v>
      </c>
      <c r="F21" s="765"/>
      <c r="G21" s="766" t="n">
        <v>2</v>
      </c>
      <c r="H21" s="767"/>
      <c r="I21" s="761"/>
      <c r="J21" s="768"/>
      <c r="K21" s="762"/>
      <c r="L21" s="721" t="str">
        <f aca="false">Idiomas!D98</f>
        <v>· En caso de empate en la posición de un grupo o en los mejores terceros, selcciona el orden de los empatados</v>
      </c>
      <c r="M21" s="722"/>
      <c r="N21" s="722"/>
      <c r="O21" s="722"/>
      <c r="P21" s="722"/>
      <c r="Q21" s="722"/>
      <c r="R21" s="722"/>
      <c r="S21" s="723"/>
      <c r="T21" s="724"/>
    </row>
    <row r="22" customFormat="false" ht="1.5" hidden="false" customHeight="true" outlineLevel="0" collapsed="false">
      <c r="A22" s="762"/>
      <c r="B22" s="763"/>
      <c r="C22" s="767"/>
      <c r="D22" s="767"/>
      <c r="E22" s="767"/>
      <c r="F22" s="767"/>
      <c r="G22" s="767"/>
      <c r="H22" s="767"/>
      <c r="I22" s="761"/>
      <c r="J22" s="768"/>
      <c r="K22" s="762"/>
      <c r="L22" s="721"/>
      <c r="M22" s="722"/>
      <c r="N22" s="722"/>
      <c r="O22" s="722"/>
      <c r="P22" s="722"/>
      <c r="Q22" s="722"/>
      <c r="R22" s="722"/>
      <c r="S22" s="723"/>
      <c r="T22" s="724"/>
    </row>
    <row r="23" customFormat="false" ht="19.5" hidden="false" customHeight="true" outlineLevel="0" collapsed="false">
      <c r="A23" s="762"/>
      <c r="B23" s="763"/>
      <c r="C23" s="764" t="s">
        <v>1366</v>
      </c>
      <c r="D23" s="765"/>
      <c r="E23" s="769" t="n">
        <v>2</v>
      </c>
      <c r="F23" s="765"/>
      <c r="G23" s="769" t="n">
        <v>2</v>
      </c>
      <c r="H23" s="767"/>
      <c r="I23" s="767"/>
      <c r="J23" s="768"/>
      <c r="K23" s="762"/>
      <c r="L23" s="721" t="str">
        <f aca="false">Idiomas!D99</f>
        <v>· Las eliminatorias se establecen de forma automática</v>
      </c>
      <c r="M23" s="722"/>
      <c r="N23" s="722"/>
      <c r="O23" s="722"/>
      <c r="P23" s="722"/>
      <c r="Q23" s="722"/>
      <c r="R23" s="722"/>
      <c r="S23" s="723"/>
      <c r="T23" s="724"/>
    </row>
    <row r="24" customFormat="false" ht="1.5" hidden="false" customHeight="true" outlineLevel="0" collapsed="false">
      <c r="A24" s="762"/>
      <c r="B24" s="763"/>
      <c r="C24" s="767"/>
      <c r="D24" s="767"/>
      <c r="E24" s="767"/>
      <c r="F24" s="767"/>
      <c r="G24" s="767"/>
      <c r="H24" s="767"/>
      <c r="I24" s="767"/>
      <c r="J24" s="768"/>
      <c r="K24" s="762"/>
      <c r="L24" s="721"/>
      <c r="M24" s="722"/>
      <c r="N24" s="722"/>
      <c r="O24" s="722"/>
      <c r="P24" s="722"/>
      <c r="Q24" s="722"/>
      <c r="R24" s="722"/>
      <c r="S24" s="723"/>
      <c r="T24" s="724"/>
    </row>
    <row r="25" customFormat="false" ht="19.5" hidden="false" customHeight="true" outlineLevel="0" collapsed="false">
      <c r="A25" s="762"/>
      <c r="B25" s="763"/>
      <c r="C25" s="764" t="s">
        <v>1367</v>
      </c>
      <c r="D25" s="765"/>
      <c r="E25" s="769" t="n">
        <v>2</v>
      </c>
      <c r="F25" s="765"/>
      <c r="G25" s="770" t="n">
        <v>0</v>
      </c>
      <c r="H25" s="767"/>
      <c r="I25" s="767"/>
      <c r="J25" s="768"/>
      <c r="K25" s="762"/>
      <c r="L25" s="721" t="str">
        <f aca="false">Idiomas!D100</f>
        <v>· Rellena los resultados de las fases eliminatorias. En caso de empate, se abren dos celdas a los lados para poner el resultado de los penaltis</v>
      </c>
      <c r="M25" s="722"/>
      <c r="N25" s="722"/>
      <c r="O25" s="722"/>
      <c r="P25" s="722"/>
      <c r="Q25" s="722"/>
      <c r="R25" s="722"/>
      <c r="S25" s="723"/>
      <c r="T25" s="724"/>
    </row>
    <row r="26" customFormat="false" ht="1.5" hidden="false" customHeight="true" outlineLevel="0" collapsed="false">
      <c r="A26" s="762"/>
      <c r="B26" s="763"/>
      <c r="C26" s="767"/>
      <c r="D26" s="767"/>
      <c r="E26" s="767"/>
      <c r="F26" s="767"/>
      <c r="G26" s="767"/>
      <c r="H26" s="767"/>
      <c r="I26" s="767"/>
      <c r="J26" s="768"/>
      <c r="K26" s="762"/>
      <c r="L26" s="721"/>
      <c r="M26" s="722"/>
      <c r="N26" s="722"/>
      <c r="O26" s="722"/>
      <c r="P26" s="722"/>
      <c r="Q26" s="722"/>
      <c r="R26" s="722"/>
      <c r="S26" s="723"/>
      <c r="T26" s="724"/>
    </row>
    <row r="27" customFormat="false" ht="19.5" hidden="false" customHeight="true" outlineLevel="0" collapsed="false">
      <c r="A27" s="762"/>
      <c r="B27" s="763"/>
      <c r="C27" s="764" t="s">
        <v>1368</v>
      </c>
      <c r="D27" s="765"/>
      <c r="E27" s="769" t="n">
        <v>2</v>
      </c>
      <c r="F27" s="765"/>
      <c r="G27" s="770" t="n">
        <v>0</v>
      </c>
      <c r="H27" s="767"/>
      <c r="I27" s="767"/>
      <c r="J27" s="768"/>
      <c r="K27" s="762"/>
      <c r="L27" s="726" t="str">
        <f aca="false">Idiomas!D101</f>
        <v>· Rellenar los mejores jugadores y los máximos goleadores</v>
      </c>
      <c r="M27" s="727"/>
      <c r="N27" s="727"/>
      <c r="O27" s="727"/>
      <c r="P27" s="727"/>
      <c r="Q27" s="727"/>
      <c r="R27" s="727"/>
      <c r="S27" s="728"/>
      <c r="T27" s="729"/>
    </row>
    <row r="28" customFormat="false" ht="1.5" hidden="false" customHeight="true" outlineLevel="0" collapsed="false">
      <c r="A28" s="762"/>
      <c r="B28" s="763"/>
      <c r="C28" s="767"/>
      <c r="D28" s="767"/>
      <c r="E28" s="767"/>
      <c r="F28" s="767"/>
      <c r="G28" s="767"/>
      <c r="H28" s="767"/>
      <c r="I28" s="767"/>
      <c r="J28" s="768"/>
      <c r="K28" s="762"/>
    </row>
    <row r="29" customFormat="false" ht="19.5" hidden="false" customHeight="true" outlineLevel="0" collapsed="false">
      <c r="A29" s="762"/>
      <c r="B29" s="763"/>
      <c r="C29" s="764" t="s">
        <v>1369</v>
      </c>
      <c r="D29" s="765"/>
      <c r="E29" s="770" t="n">
        <v>0</v>
      </c>
      <c r="F29" s="765"/>
      <c r="G29" s="769" t="n">
        <v>2</v>
      </c>
      <c r="H29" s="767"/>
      <c r="I29" s="767"/>
      <c r="J29" s="768"/>
      <c r="K29" s="762"/>
    </row>
    <row r="30" customFormat="false" ht="1.5" hidden="false" customHeight="true" outlineLevel="0" collapsed="false">
      <c r="A30" s="762"/>
      <c r="B30" s="763"/>
      <c r="C30" s="767"/>
      <c r="D30" s="767"/>
      <c r="E30" s="767"/>
      <c r="F30" s="767"/>
      <c r="G30" s="767"/>
      <c r="H30" s="767"/>
      <c r="I30" s="767"/>
      <c r="J30" s="768"/>
      <c r="K30" s="762"/>
      <c r="L30" s="711"/>
    </row>
    <row r="31" customFormat="false" ht="19.5" hidden="false" customHeight="true" outlineLevel="0" collapsed="false">
      <c r="A31" s="762"/>
      <c r="B31" s="763"/>
      <c r="C31" s="764" t="s">
        <v>1370</v>
      </c>
      <c r="D31" s="765"/>
      <c r="E31" s="769" t="n">
        <v>2</v>
      </c>
      <c r="F31" s="765"/>
      <c r="G31" s="770" t="n">
        <v>0</v>
      </c>
      <c r="H31" s="767"/>
      <c r="I31" s="767"/>
      <c r="J31" s="768"/>
      <c r="K31" s="762"/>
      <c r="L31" s="771" t="s">
        <v>1371</v>
      </c>
    </row>
    <row r="32" customFormat="false" ht="18" hidden="false" customHeight="true" outlineLevel="0" collapsed="false">
      <c r="A32" s="710"/>
      <c r="B32" s="772"/>
      <c r="C32" s="773"/>
      <c r="D32" s="773"/>
      <c r="E32" s="773"/>
      <c r="F32" s="773"/>
      <c r="G32" s="773"/>
      <c r="H32" s="773"/>
      <c r="I32" s="773"/>
      <c r="J32" s="774"/>
      <c r="K32" s="710"/>
      <c r="L32" s="775" t="str">
        <f aca="false">Idiomas!D104</f>
        <v>· En esta hoja se puede ver la clasificación general según se vayan introduciendo los resultados de los partidos</v>
      </c>
      <c r="M32" s="776"/>
      <c r="N32" s="776"/>
      <c r="O32" s="776"/>
      <c r="P32" s="776"/>
      <c r="Q32" s="776"/>
      <c r="R32" s="776"/>
      <c r="S32" s="777"/>
      <c r="T32" s="778"/>
    </row>
    <row r="33" customFormat="false" ht="15" hidden="false" customHeight="false" outlineLevel="0" collapsed="false">
      <c r="A33" s="710"/>
      <c r="B33" s="779"/>
      <c r="C33" s="779"/>
      <c r="D33" s="779"/>
      <c r="E33" s="779"/>
      <c r="F33" s="779"/>
      <c r="G33" s="779"/>
      <c r="H33" s="779"/>
      <c r="I33" s="779"/>
      <c r="J33" s="779"/>
      <c r="K33" s="710"/>
      <c r="L33" s="710"/>
    </row>
    <row r="34" customFormat="false" ht="27.75" hidden="false" customHeight="true" outlineLevel="0" collapsed="false">
      <c r="A34" s="710"/>
      <c r="B34" s="780" t="str">
        <f aca="false">HYPERLINK(Idiomas!D10,Idiomas!D9)</f>
        <v>Versiones para más participantes</v>
      </c>
      <c r="C34" s="780"/>
      <c r="D34" s="780"/>
      <c r="E34" s="780"/>
      <c r="F34" s="780"/>
      <c r="G34" s="780"/>
      <c r="H34" s="780"/>
      <c r="I34" s="780"/>
      <c r="J34" s="780"/>
      <c r="K34" s="710"/>
      <c r="L34" s="771" t="s">
        <v>1372</v>
      </c>
    </row>
    <row r="35" customFormat="false" ht="18" hidden="false" customHeight="true" outlineLevel="0" collapsed="false">
      <c r="A35" s="710"/>
      <c r="B35" s="714"/>
      <c r="C35" s="710"/>
      <c r="D35" s="710"/>
      <c r="E35" s="710"/>
      <c r="F35" s="710"/>
      <c r="G35" s="710"/>
      <c r="H35" s="710"/>
      <c r="I35" s="710"/>
      <c r="J35" s="710"/>
      <c r="K35" s="710"/>
      <c r="L35" s="775" t="str">
        <f aca="false">Idiomas!D105</f>
        <v>· Esta hoja permite filtrar los pronósticos por día de la fase de grupos o por eliminatoria.</v>
      </c>
      <c r="M35" s="776"/>
      <c r="N35" s="776"/>
      <c r="O35" s="776"/>
      <c r="P35" s="776"/>
      <c r="Q35" s="776"/>
      <c r="R35" s="776"/>
      <c r="S35" s="777"/>
      <c r="T35" s="778"/>
    </row>
    <row r="36" customFormat="false" ht="17.35" hidden="false" customHeight="false" outlineLevel="0" collapsed="false">
      <c r="A36" s="710"/>
      <c r="B36" s="714"/>
      <c r="C36" s="781" t="s">
        <v>1373</v>
      </c>
      <c r="D36" s="710"/>
      <c r="E36" s="710"/>
      <c r="F36" s="710"/>
      <c r="G36" s="710"/>
      <c r="H36" s="13" t="str">
        <f aca="false">HYPERLINK(Idiomas!D13,"FAQ")</f>
        <v>FAQ</v>
      </c>
      <c r="I36" s="710"/>
      <c r="J36" s="710"/>
      <c r="K36" s="710"/>
      <c r="L36" s="710"/>
      <c r="M36" s="708"/>
      <c r="N36" s="710"/>
    </row>
    <row r="37" customFormat="false" ht="15" hidden="false" customHeight="true" outlineLevel="0" collapsed="false">
      <c r="A37" s="710"/>
      <c r="B37" s="714"/>
      <c r="C37" s="714"/>
      <c r="D37" s="714"/>
      <c r="E37" s="714"/>
      <c r="F37" s="714"/>
      <c r="G37" s="714"/>
      <c r="H37" s="714"/>
      <c r="I37" s="714"/>
      <c r="J37" s="714"/>
      <c r="K37" s="710"/>
      <c r="L37" s="771" t="s">
        <v>1374</v>
      </c>
      <c r="M37" s="708"/>
      <c r="N37" s="710"/>
    </row>
    <row r="38" customFormat="false" ht="33.75" hidden="false" customHeight="true" outlineLevel="0" collapsed="false">
      <c r="A38" s="710"/>
      <c r="C38" s="710"/>
      <c r="D38" s="710"/>
      <c r="E38" s="710"/>
      <c r="F38" s="710"/>
      <c r="G38" s="710"/>
      <c r="H38" s="710"/>
      <c r="I38" s="710"/>
      <c r="J38" s="710"/>
      <c r="K38" s="710"/>
      <c r="L38" s="775" t="str">
        <f aca="false">Idiomas!D106</f>
        <v> · Aquí puedes ver la clasificación del dia/ronda seleccionado en la hoja "DailyPredcition"</v>
      </c>
      <c r="M38" s="776"/>
      <c r="N38" s="776"/>
      <c r="O38" s="776"/>
      <c r="P38" s="776"/>
      <c r="Q38" s="776"/>
      <c r="R38" s="776"/>
      <c r="S38" s="777"/>
      <c r="T38" s="778"/>
    </row>
    <row r="40" customFormat="false" ht="15" hidden="false" customHeight="false" outlineLevel="0" collapsed="false">
      <c r="L40" s="771" t="s">
        <v>1272</v>
      </c>
      <c r="M40" s="782"/>
      <c r="N40" s="782"/>
      <c r="O40" s="782"/>
      <c r="P40" s="782"/>
      <c r="Q40" s="782"/>
      <c r="R40" s="782"/>
      <c r="S40" s="783"/>
      <c r="T40" s="783"/>
    </row>
    <row r="41" customFormat="false" ht="15" hidden="false" customHeight="false" outlineLevel="0" collapsed="false">
      <c r="L41" s="717" t="str">
        <f aca="false">Idiomas!D108</f>
        <v>· En estas hoja podrás ver diferentes estadísticas generales y por partido</v>
      </c>
      <c r="M41" s="718"/>
      <c r="N41" s="718"/>
      <c r="O41" s="718"/>
      <c r="P41" s="718"/>
      <c r="Q41" s="718"/>
      <c r="R41" s="718"/>
      <c r="S41" s="719"/>
      <c r="T41" s="720"/>
    </row>
    <row r="42" customFormat="false" ht="15" hidden="false" customHeight="false" outlineLevel="0" collapsed="false">
      <c r="L42" s="784" t="str">
        <f aca="false">Idiomas!D109</f>
        <v>· Para verlas correctamente necesitas una versión posterior a excel 2021</v>
      </c>
      <c r="M42" s="785"/>
      <c r="N42" s="785"/>
      <c r="O42" s="785"/>
      <c r="P42" s="785"/>
      <c r="Q42" s="785"/>
      <c r="R42" s="785"/>
      <c r="S42" s="786"/>
      <c r="T42" s="787"/>
    </row>
    <row r="44" customFormat="false" ht="15" hidden="false" customHeight="false" outlineLevel="0" collapsed="false">
      <c r="L44" s="771" t="s">
        <v>233</v>
      </c>
      <c r="M44" s="782"/>
      <c r="N44" s="782"/>
      <c r="O44" s="782"/>
      <c r="P44" s="782"/>
      <c r="Q44" s="782"/>
      <c r="R44" s="782"/>
      <c r="S44" s="783"/>
      <c r="T44" s="783"/>
    </row>
    <row r="45" customFormat="false" ht="18" hidden="false" customHeight="true" outlineLevel="0" collapsed="false">
      <c r="L45" s="775" t="str">
        <f aca="false">Idiomas!D110</f>
        <v>· En esta hoja puedes ver de un vistazo el cuadro del mundial </v>
      </c>
      <c r="M45" s="776"/>
      <c r="N45" s="776"/>
      <c r="O45" s="776"/>
      <c r="P45" s="776"/>
      <c r="Q45" s="776"/>
      <c r="R45" s="776"/>
      <c r="S45" s="777"/>
      <c r="T45" s="778"/>
    </row>
    <row r="84" customFormat="false" ht="60" hidden="false" customHeight="true" outlineLevel="0" collapsed="false">
      <c r="M84" s="788" t="str">
        <f aca="false">Idiomas!D107</f>
        <v>Si Irán no participa en el mundial y le sustituye otra selección, selecciona el país sustituto en el desplegable. Si no aparece, elige 'Otro' e ingresa manualmente el nombre (español e inglés), su zona UTC y, opcionalmente, la imagen de su bandera.</v>
      </c>
      <c r="N84" s="788"/>
      <c r="O84" s="788"/>
      <c r="P84" s="788"/>
      <c r="Q84" s="788"/>
      <c r="R84" s="788"/>
    </row>
    <row r="86" customFormat="false" ht="15" hidden="false" customHeight="false" outlineLevel="0" collapsed="false">
      <c r="M86" s="208" t="s">
        <v>1375</v>
      </c>
      <c r="T86" s="208" t="s">
        <v>1376</v>
      </c>
      <c r="U86" s="208" t="s">
        <v>1377</v>
      </c>
      <c r="V86" s="208" t="s">
        <v>1378</v>
      </c>
      <c r="W86" s="208" t="s">
        <v>1379</v>
      </c>
      <c r="X86" s="208" t="s">
        <v>1380</v>
      </c>
      <c r="Y86" s="208" t="s">
        <v>1381</v>
      </c>
    </row>
    <row r="87" customFormat="false" ht="15" hidden="false" customHeight="false" outlineLevel="0" collapsed="false">
      <c r="M87" s="789" t="s">
        <v>1382</v>
      </c>
      <c r="N87" s="210" t="str">
        <f aca="false">IFERROR(IF(J18="",$U$87,INDEX($U$87:$U$91,MATCH(M87,$T$87:$T$91,0))),"")</f>
        <v>Irán</v>
      </c>
      <c r="O87" s="210" t="str">
        <f aca="false">IFERROR(IF(J18="",$V$87,INDEX($V$87:$V$91,MATCH(M87,$T$87:$T$91,0))),"")</f>
        <v>Iran</v>
      </c>
      <c r="T87" s="790" t="s">
        <v>1382</v>
      </c>
      <c r="U87" s="57" t="s">
        <v>357</v>
      </c>
      <c r="V87" s="57" t="s">
        <v>1383</v>
      </c>
      <c r="W87" s="57" t="s">
        <v>1384</v>
      </c>
      <c r="X87" s="57" t="e">
        <f aca="false">#VALUE!</f>
        <v>#VALUE!</v>
      </c>
      <c r="Y87" s="57" t="n">
        <v>3.5</v>
      </c>
    </row>
    <row r="88" customFormat="false" ht="15" hidden="false" customHeight="false" outlineLevel="0" collapsed="false">
      <c r="T88" s="790" t="s">
        <v>1385</v>
      </c>
      <c r="U88" s="57" t="s">
        <v>1386</v>
      </c>
      <c r="V88" s="57" t="s">
        <v>1387</v>
      </c>
      <c r="W88" s="57" t="s">
        <v>1388</v>
      </c>
      <c r="X88" s="790" t="e">
        <f aca="false">#VALUE!</f>
        <v>#VALUE!</v>
      </c>
      <c r="Y88" s="57" t="n">
        <v>4</v>
      </c>
    </row>
    <row r="89" customFormat="false" ht="15" hidden="false" customHeight="false" outlineLevel="0" collapsed="false">
      <c r="T89" s="790" t="s">
        <v>1389</v>
      </c>
      <c r="U89" s="57" t="s">
        <v>1390</v>
      </c>
      <c r="V89" s="57" t="s">
        <v>1390</v>
      </c>
      <c r="W89" s="791" t="s">
        <v>1391</v>
      </c>
      <c r="X89" s="790" t="e">
        <f aca="false">#VALUE!</f>
        <v>#VALUE!</v>
      </c>
      <c r="Y89" s="57" t="n">
        <v>-4</v>
      </c>
    </row>
    <row r="90" customFormat="false" ht="15" hidden="false" customHeight="false" outlineLevel="0" collapsed="false">
      <c r="T90" s="790" t="s">
        <v>1392</v>
      </c>
      <c r="U90" s="57" t="s">
        <v>1393</v>
      </c>
      <c r="V90" s="57" t="s">
        <v>1394</v>
      </c>
      <c r="W90" s="791" t="s">
        <v>1395</v>
      </c>
      <c r="X90" s="790" t="e">
        <f aca="false">#VALUE!</f>
        <v>#VALUE!</v>
      </c>
      <c r="Y90" s="57" t="n">
        <v>-3</v>
      </c>
    </row>
    <row r="91" customFormat="false" ht="15" hidden="false" customHeight="false" outlineLevel="0" collapsed="false">
      <c r="T91" s="790" t="s">
        <v>1396</v>
      </c>
      <c r="U91" s="57" t="str">
        <f aca="false">N93</f>
        <v>Escribe la selección</v>
      </c>
      <c r="V91" s="57" t="str">
        <f aca="false">O93</f>
        <v>Write the nation</v>
      </c>
      <c r="W91" s="57" t="str">
        <f aca="false">IF(Q93="","",Q93)</f>
        <v/>
      </c>
      <c r="X91" s="57" t="str">
        <f aca="false">IF(R93="","",R93)</f>
        <v/>
      </c>
      <c r="Y91" s="57" t="n">
        <f aca="false">IF(P93="",-4,P93)</f>
        <v>-4</v>
      </c>
    </row>
    <row r="92" customFormat="false" ht="18.75" hidden="false" customHeight="true" outlineLevel="0" collapsed="false">
      <c r="N92" s="208" t="s">
        <v>1377</v>
      </c>
      <c r="O92" s="208" t="s">
        <v>1378</v>
      </c>
      <c r="P92" s="208" t="s">
        <v>1397</v>
      </c>
      <c r="Q92" s="208" t="s">
        <v>1398</v>
      </c>
      <c r="R92" s="208" t="s">
        <v>1380</v>
      </c>
    </row>
    <row r="93" customFormat="false" ht="24.75" hidden="false" customHeight="true" outlineLevel="0" collapsed="false">
      <c r="N93" s="792" t="s">
        <v>1399</v>
      </c>
      <c r="O93" s="792" t="s">
        <v>1400</v>
      </c>
      <c r="P93" s="792"/>
      <c r="Q93" s="792"/>
      <c r="R93" s="792"/>
    </row>
  </sheetData>
  <mergeCells count="5">
    <mergeCell ref="B3:J12"/>
    <mergeCell ref="L6:O6"/>
    <mergeCell ref="L13:O13"/>
    <mergeCell ref="B34:J34"/>
    <mergeCell ref="M84:R84"/>
  </mergeCells>
  <conditionalFormatting sqref="M86">
    <cfRule type="expression" priority="2" aboveAverage="0" equalAverage="0" bottom="0" percent="0" rank="0" text="" dxfId="34">
      <formula>$J$18=1</formula>
    </cfRule>
  </conditionalFormatting>
  <conditionalFormatting sqref="M84:R84 M87">
    <cfRule type="expression" priority="3" aboveAverage="0" equalAverage="0" bottom="0" percent="0" rank="0" text="" dxfId="35">
      <formula>$J$18=1</formula>
    </cfRule>
  </conditionalFormatting>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N92:R93">
    <cfRule type="expression" priority="6" aboveAverage="0" equalAverage="0" bottom="0" percent="0" rank="0" text="" dxfId="36">
      <formula>IF($M$87=$T$91,1,0)</formula>
    </cfRule>
  </conditionalFormatting>
  <dataValidations count="1">
    <dataValidation allowBlank="true" errorStyle="stop" operator="between" showDropDown="false" showErrorMessage="true" showInputMessage="true" sqref="M87" type="list">
      <formula1>$T$87:$T$91</formula1>
      <formula2>0</formula2>
    </dataValidation>
  </dataValidations>
  <hyperlinks>
    <hyperlink ref="C15" r:id="rId1" display="Miguel Angel Tejero"/>
    <hyperlink ref="E15" r:id="rId2" display="matejero.es"/>
    <hyperlink ref="G15" r:id="rId3" display="matejero.com"/>
    <hyperlink ref="E21" r:id="rId4" display="https://matejero.es/download/excel-mundial-2026/"/>
    <hyperlink ref="G21" r:id="rId5" display="https://matejero.com/download/excel-world-cup-2026"/>
    <hyperlink ref="E23" r:id="rId6" display="https://matejero.es/excel-champions-league/"/>
    <hyperlink ref="G23" r:id="rId7" display="https://matejero.com/excel-champions-league/"/>
    <hyperlink ref="E25" r:id="rId8" display="https://matejero.es/calendario-excel-liga/"/>
    <hyperlink ref="E27" r:id="rId9" location="Descarga_el_Calendario_2a_Division_Liga_23_24_Excel" display="https://matejero.es/calendario-excel-liga/#Descarga_el_Calendario_2a_Division_Liga_23_24_Excel"/>
    <hyperlink ref="G29" r:id="rId10" display="https://matejero.com/premier-league-excel-schedule/"/>
    <hyperlink ref="E31" r:id="rId11" display="https://matejero.es/excel-copa-libertadores/"/>
    <hyperlink ref="C36" r:id="rId12" display="Video►Tutori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4"/>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P10" activeCellId="0" sqref="P10"/>
    </sheetView>
  </sheetViews>
  <sheetFormatPr defaultColWidth="20.42578125" defaultRowHeight="15" customHeight="true" zeroHeight="false" outlineLevelRow="0" outlineLevelCol="0"/>
  <cols>
    <col collapsed="false" customWidth="true" hidden="false" outlineLevel="0" max="1" min="1" style="30" width="6.85"/>
    <col collapsed="false" customWidth="true" hidden="false" outlineLevel="0" max="2" min="2" style="30" width="16.84"/>
    <col collapsed="false" customWidth="true" hidden="false" outlineLevel="0" max="3" min="3" style="30" width="11.43"/>
    <col collapsed="false" customWidth="true" hidden="false" outlineLevel="0" max="4" min="4" style="30" width="8.86"/>
    <col collapsed="false" customWidth="true" hidden="false" outlineLevel="0" max="5" min="5" style="30" width="11.29"/>
    <col collapsed="false" customWidth="true" hidden="false" outlineLevel="0" max="6" min="6" style="30" width="15.29"/>
    <col collapsed="false" customWidth="true" hidden="false" outlineLevel="0" max="7" min="7" style="30" width="4.14"/>
    <col collapsed="false" customWidth="false" hidden="false" outlineLevel="0" max="8" min="8" style="30" width="20.42"/>
    <col collapsed="false" customWidth="true" hidden="false" outlineLevel="0" max="9" min="9" style="30" width="13"/>
    <col collapsed="false" customWidth="true" hidden="false" outlineLevel="0" max="10" min="10" style="30" width="12"/>
    <col collapsed="false" customWidth="false" hidden="false" outlineLevel="0" max="13" min="11" style="30" width="20.42"/>
    <col collapsed="false" customWidth="true" hidden="false" outlineLevel="0" max="14" min="14" style="322" width="4.42"/>
    <col collapsed="false" customWidth="false" hidden="false" outlineLevel="0" max="20" min="15" style="793" width="20.42"/>
    <col collapsed="false" customWidth="false" hidden="false" outlineLevel="0" max="16384" min="21" style="31" width="20.42"/>
  </cols>
  <sheetData>
    <row r="1" customFormat="false" ht="15" hidden="false" customHeight="true" outlineLevel="0" collapsed="false">
      <c r="A1" s="794" t="s">
        <v>1401</v>
      </c>
      <c r="B1" s="794" t="s">
        <v>23</v>
      </c>
      <c r="C1" s="794" t="s">
        <v>465</v>
      </c>
      <c r="D1" s="794" t="s">
        <v>1402</v>
      </c>
      <c r="F1" s="30" t="s">
        <v>1403</v>
      </c>
      <c r="H1" s="794"/>
      <c r="I1" s="794"/>
      <c r="K1" s="30" t="s">
        <v>549</v>
      </c>
      <c r="L1" s="30" t="s">
        <v>1404</v>
      </c>
      <c r="Q1" s="795" t="s">
        <v>1405</v>
      </c>
      <c r="R1" s="795" t="s">
        <v>1406</v>
      </c>
      <c r="T1" s="796" t="str">
        <f aca="false">+Idiomas!D442</f>
        <v>None</v>
      </c>
    </row>
    <row r="2" customFormat="false" ht="15" hidden="false" customHeight="true" outlineLevel="0" collapsed="false">
      <c r="A2" s="30" t="n">
        <v>1</v>
      </c>
      <c r="B2" s="30" t="str">
        <f aca="false">+INDEX(Idiomas!$D$212:$D$259,MATCH(T_Equipos[[#This Row],[Num]],Idiomas!$C$212:$C$259,0))</f>
        <v>México</v>
      </c>
      <c r="C2" s="30" t="s">
        <v>24</v>
      </c>
      <c r="D2" s="30" t="n">
        <v>1</v>
      </c>
      <c r="F2" s="30" t="s">
        <v>24</v>
      </c>
      <c r="K2" s="30" t="str">
        <f aca="false">Idiomas!D212</f>
        <v>Alemania</v>
      </c>
      <c r="L2" s="30" t="s">
        <v>1407</v>
      </c>
      <c r="M2" s="30" t="e">
        <f aca="false">#VALUE!</f>
        <v>#VALUE!</v>
      </c>
      <c r="O2" s="797" t="n">
        <v>1</v>
      </c>
      <c r="P2" s="798"/>
      <c r="Q2" s="798" t="n">
        <f aca="false" t="array" ref="Q2:Q2">IFERROR(MIN(IF(COUNTIF($Q$1:Q1,ADMIN!$H$6:$H$77)=0,ADMIN!$H$6:$H$77)),"")</f>
        <v>46184</v>
      </c>
      <c r="R2" s="795" t="n">
        <v>1</v>
      </c>
      <c r="S2" s="799"/>
      <c r="T2" s="796" t="n">
        <v>0.05</v>
      </c>
    </row>
    <row r="3" customFormat="false" ht="15" hidden="false" customHeight="true" outlineLevel="0" collapsed="false">
      <c r="A3" s="30" t="n">
        <v>2</v>
      </c>
      <c r="B3" s="30" t="str">
        <f aca="false">+INDEX(Idiomas!$D$212:$D$259,MATCH(T_Equipos[[#This Row],[Num]],Idiomas!$C$212:$C$259,0))</f>
        <v>Sudáfrica</v>
      </c>
      <c r="C3" s="30" t="s">
        <v>24</v>
      </c>
      <c r="D3" s="30" t="n">
        <v>2</v>
      </c>
      <c r="F3" s="30" t="s">
        <v>84</v>
      </c>
      <c r="K3" s="30" t="str">
        <f aca="false">Idiomas!D213</f>
        <v>Arabia Saudita</v>
      </c>
      <c r="L3" s="30" t="s">
        <v>1408</v>
      </c>
      <c r="M3" s="30" t="e">
        <f aca="false">#VALUE!</f>
        <v>#VALUE!</v>
      </c>
      <c r="O3" s="797" t="n">
        <v>2</v>
      </c>
      <c r="P3" s="798"/>
      <c r="Q3" s="798" t="n">
        <f aca="false" t="array" ref="Q3:Q3">IFERROR(MIN(IF(COUNTIF($Q$1:Q2,ADMIN!$H$6:$H$77)=0,ADMIN!$H$6:$H$77)),"")</f>
        <v>46185</v>
      </c>
      <c r="R3" s="795" t="n">
        <v>2</v>
      </c>
      <c r="S3" s="799"/>
      <c r="T3" s="796" t="n">
        <v>0.1</v>
      </c>
    </row>
    <row r="4" customFormat="false" ht="15" hidden="false" customHeight="true" outlineLevel="0" collapsed="false">
      <c r="A4" s="30" t="n">
        <v>3</v>
      </c>
      <c r="B4" s="30" t="str">
        <f aca="false">+INDEX(Idiomas!$D$212:$D$259,MATCH(T_Equipos[[#This Row],[Num]],Idiomas!$C$212:$C$259,0))</f>
        <v>Corea del Sur</v>
      </c>
      <c r="C4" s="30" t="s">
        <v>24</v>
      </c>
      <c r="D4" s="30" t="n">
        <v>3</v>
      </c>
      <c r="F4" s="30" t="s">
        <v>93</v>
      </c>
      <c r="K4" s="30" t="str">
        <f aca="false">Idiomas!D214</f>
        <v>Argelia</v>
      </c>
      <c r="L4" s="30" t="s">
        <v>1409</v>
      </c>
      <c r="M4" s="30" t="e">
        <f aca="false">#VALUE!</f>
        <v>#VALUE!</v>
      </c>
      <c r="O4" s="797" t="n">
        <v>3</v>
      </c>
      <c r="P4" s="798"/>
      <c r="Q4" s="798" t="n">
        <f aca="false" t="array" ref="Q4:Q4">IFERROR(MIN(IF(COUNTIF($Q$1:Q3,ADMIN!$H$6:$H$77)=0,ADMIN!$H$6:$H$77)),"")</f>
        <v>46186</v>
      </c>
      <c r="R4" s="795" t="n">
        <v>3</v>
      </c>
      <c r="S4" s="799"/>
      <c r="T4" s="796" t="n">
        <v>0.15</v>
      </c>
    </row>
    <row r="5" customFormat="false" ht="15" hidden="false" customHeight="true" outlineLevel="0" collapsed="false">
      <c r="A5" s="30" t="n">
        <v>4</v>
      </c>
      <c r="B5" s="30" t="str">
        <f aca="false">+INDEX(Idiomas!$D$212:$D$259,MATCH(T_Equipos[[#This Row],[Num]],Idiomas!$C$212:$C$259,0))</f>
        <v>República Checa</v>
      </c>
      <c r="C5" s="30" t="s">
        <v>24</v>
      </c>
      <c r="D5" s="30" t="n">
        <v>4</v>
      </c>
      <c r="F5" s="30" t="s">
        <v>102</v>
      </c>
      <c r="K5" s="30" t="str">
        <f aca="false">Idiomas!D215</f>
        <v>Argentina</v>
      </c>
      <c r="L5" s="30" t="s">
        <v>1410</v>
      </c>
      <c r="M5" s="30" t="e">
        <f aca="false">#VALUE!</f>
        <v>#VALUE!</v>
      </c>
      <c r="O5" s="797" t="n">
        <v>4</v>
      </c>
      <c r="P5" s="798"/>
      <c r="Q5" s="798" t="n">
        <f aca="false" t="array" ref="Q5:Q5">IFERROR(MIN(IF(COUNTIF($Q$1:Q4,ADMIN!$H$6:$H$77)=0,ADMIN!$H$6:$H$77)),"")</f>
        <v>46187</v>
      </c>
      <c r="R5" s="795" t="n">
        <v>4</v>
      </c>
      <c r="S5" s="799"/>
      <c r="T5" s="796" t="n">
        <v>0.2</v>
      </c>
    </row>
    <row r="6" customFormat="false" ht="15" hidden="false" customHeight="true" outlineLevel="0" collapsed="false">
      <c r="A6" s="30" t="n">
        <v>5</v>
      </c>
      <c r="B6" s="30" t="str">
        <f aca="false">+INDEX(Idiomas!$D$212:$D$259,MATCH(T_Equipos[[#This Row],[Num]],Idiomas!$C$212:$C$259,0))</f>
        <v>Canadá</v>
      </c>
      <c r="C6" s="30" t="s">
        <v>84</v>
      </c>
      <c r="D6" s="30" t="n">
        <v>1</v>
      </c>
      <c r="F6" s="30" t="s">
        <v>111</v>
      </c>
      <c r="K6" s="30" t="str">
        <f aca="false">Idiomas!D216</f>
        <v>Australia</v>
      </c>
      <c r="L6" s="30" t="s">
        <v>1411</v>
      </c>
      <c r="M6" s="30" t="e">
        <f aca="false">#VALUE!</f>
        <v>#VALUE!</v>
      </c>
      <c r="O6" s="797" t="n">
        <v>5</v>
      </c>
      <c r="P6" s="798"/>
      <c r="Q6" s="798" t="n">
        <f aca="false" t="array" ref="Q6:Q6">IFERROR(MIN(IF(COUNTIF($Q$1:Q5,ADMIN!$H$6:$H$77)=0,ADMIN!$H$6:$H$77)),"")</f>
        <v>46188</v>
      </c>
      <c r="R6" s="795" t="n">
        <v>5</v>
      </c>
      <c r="S6" s="799"/>
      <c r="T6" s="796" t="n">
        <v>0.25</v>
      </c>
    </row>
    <row r="7" customFormat="false" ht="15" hidden="false" customHeight="true" outlineLevel="0" collapsed="false">
      <c r="A7" s="30" t="n">
        <v>6</v>
      </c>
      <c r="B7" s="30" t="str">
        <f aca="false">+INDEX(Idiomas!$D$212:$D$259,MATCH(T_Equipos[[#This Row],[Num]],Idiomas!$C$212:$C$259,0))</f>
        <v>Bosnia y Herzegovina</v>
      </c>
      <c r="C7" s="30" t="s">
        <v>84</v>
      </c>
      <c r="D7" s="30" t="n">
        <v>2</v>
      </c>
      <c r="F7" s="30" t="s">
        <v>120</v>
      </c>
      <c r="K7" s="30" t="str">
        <f aca="false">Idiomas!D217</f>
        <v>Austria</v>
      </c>
      <c r="L7" s="797" t="s">
        <v>1412</v>
      </c>
      <c r="M7" s="797" t="e">
        <f aca="false">#VALUE!</f>
        <v>#VALUE!</v>
      </c>
      <c r="O7" s="797" t="n">
        <v>6</v>
      </c>
      <c r="P7" s="798"/>
      <c r="Q7" s="798" t="n">
        <f aca="false" t="array" ref="Q7:Q7">IFERROR(MIN(IF(COUNTIF($Q$1:Q6,ADMIN!$H$6:$H$77)=0,ADMIN!$H$6:$H$77)),"")</f>
        <v>46189</v>
      </c>
      <c r="R7" s="795" t="n">
        <v>6</v>
      </c>
      <c r="S7" s="799"/>
      <c r="T7" s="796" t="n">
        <v>0.3</v>
      </c>
    </row>
    <row r="8" customFormat="false" ht="15" hidden="false" customHeight="true" outlineLevel="0" collapsed="false">
      <c r="A8" s="30" t="n">
        <v>7</v>
      </c>
      <c r="B8" s="30" t="str">
        <f aca="false">+INDEX(Idiomas!$D$212:$D$259,MATCH(T_Equipos[[#This Row],[Num]],Idiomas!$C$212:$C$259,0))</f>
        <v>Catar</v>
      </c>
      <c r="C8" s="30" t="s">
        <v>84</v>
      </c>
      <c r="D8" s="30" t="n">
        <v>3</v>
      </c>
      <c r="F8" s="30" t="s">
        <v>129</v>
      </c>
      <c r="K8" s="30" t="str">
        <f aca="false">Idiomas!D218</f>
        <v>Bélgica</v>
      </c>
      <c r="L8" s="30" t="s">
        <v>1413</v>
      </c>
      <c r="M8" s="30" t="e">
        <f aca="false">#VALUE!</f>
        <v>#VALUE!</v>
      </c>
      <c r="O8" s="797" t="n">
        <v>7</v>
      </c>
      <c r="P8" s="798"/>
      <c r="Q8" s="798" t="n">
        <f aca="false" t="array" ref="Q8:Q8">IFERROR(MIN(IF(COUNTIF($Q$1:Q7,ADMIN!$H$6:$H$77)=0,ADMIN!$H$6:$H$77)),"")</f>
        <v>46190</v>
      </c>
      <c r="R8" s="795" t="n">
        <v>7</v>
      </c>
      <c r="S8" s="799"/>
      <c r="T8" s="796" t="n">
        <v>0.35</v>
      </c>
    </row>
    <row r="9" customFormat="false" ht="15" hidden="false" customHeight="true" outlineLevel="0" collapsed="false">
      <c r="A9" s="30" t="n">
        <v>8</v>
      </c>
      <c r="B9" s="30" t="str">
        <f aca="false">+INDEX(Idiomas!$D$212:$D$259,MATCH(T_Equipos[[#This Row],[Num]],Idiomas!$C$212:$C$259,0))</f>
        <v>Suiza</v>
      </c>
      <c r="C9" s="30" t="s">
        <v>84</v>
      </c>
      <c r="D9" s="30" t="n">
        <v>4</v>
      </c>
      <c r="F9" s="30" t="s">
        <v>133</v>
      </c>
      <c r="K9" s="30" t="str">
        <f aca="false">Idiomas!D219</f>
        <v>Brasil</v>
      </c>
      <c r="L9" s="30" t="s">
        <v>1414</v>
      </c>
      <c r="M9" s="30" t="e">
        <f aca="false">#VALUE!</f>
        <v>#VALUE!</v>
      </c>
      <c r="O9" s="797" t="n">
        <v>8</v>
      </c>
      <c r="P9" s="798"/>
      <c r="Q9" s="798" t="n">
        <f aca="false" t="array" ref="Q9:Q9">IFERROR(MIN(IF(COUNTIF($Q$1:Q8,ADMIN!$H$6:$H$77)=0,ADMIN!$H$6:$H$77)),"")</f>
        <v>46191</v>
      </c>
      <c r="R9" s="795" t="n">
        <v>8</v>
      </c>
      <c r="S9" s="799"/>
      <c r="T9" s="796" t="n">
        <v>0.4</v>
      </c>
    </row>
    <row r="10" customFormat="false" ht="15" hidden="false" customHeight="true" outlineLevel="0" collapsed="false">
      <c r="A10" s="30" t="n">
        <v>9</v>
      </c>
      <c r="B10" s="30" t="str">
        <f aca="false">+INDEX(Idiomas!$D$212:$D$259,MATCH(T_Equipos[[#This Row],[Num]],Idiomas!$C$212:$C$259,0))</f>
        <v>Brasil</v>
      </c>
      <c r="C10" s="30" t="s">
        <v>93</v>
      </c>
      <c r="D10" s="30" t="n">
        <v>1</v>
      </c>
      <c r="F10" s="30" t="s">
        <v>134</v>
      </c>
      <c r="K10" s="30" t="str">
        <f aca="false">Idiomas!D220</f>
        <v>Cabo Verde</v>
      </c>
      <c r="L10" s="30" t="s">
        <v>1415</v>
      </c>
      <c r="M10" s="30" t="e">
        <f aca="false">#VALUE!</f>
        <v>#VALUE!</v>
      </c>
      <c r="O10" s="797" t="n">
        <v>9</v>
      </c>
      <c r="P10" s="798"/>
      <c r="Q10" s="798" t="n">
        <f aca="false" t="array" ref="Q10:Q10">IFERROR(MIN(IF(COUNTIF($Q$1:Q9,ADMIN!$H$6:$H$77)=0,ADMIN!$H$6:$H$77)),"")</f>
        <v>46192</v>
      </c>
      <c r="R10" s="795" t="n">
        <v>9</v>
      </c>
      <c r="S10" s="799"/>
      <c r="T10" s="796" t="n">
        <v>0.45</v>
      </c>
    </row>
    <row r="11" customFormat="false" ht="15" hidden="false" customHeight="true" outlineLevel="0" collapsed="false">
      <c r="A11" s="30" t="n">
        <v>10</v>
      </c>
      <c r="B11" s="30" t="str">
        <f aca="false">+INDEX(Idiomas!$D$212:$D$259,MATCH(T_Equipos[[#This Row],[Num]],Idiomas!$C$212:$C$259,0))</f>
        <v>Marruecos</v>
      </c>
      <c r="C11" s="30" t="s">
        <v>93</v>
      </c>
      <c r="D11" s="30" t="n">
        <v>2</v>
      </c>
      <c r="F11" s="30" t="s">
        <v>135</v>
      </c>
      <c r="K11" s="30" t="str">
        <f aca="false">Idiomas!D221</f>
        <v>Canadá</v>
      </c>
      <c r="L11" s="30" t="s">
        <v>1416</v>
      </c>
      <c r="M11" s="30" t="e">
        <f aca="false">#VALUE!</f>
        <v>#VALUE!</v>
      </c>
      <c r="O11" s="797" t="n">
        <v>10</v>
      </c>
      <c r="P11" s="798"/>
      <c r="Q11" s="798" t="n">
        <f aca="false" t="array" ref="Q11:Q11">IFERROR(MIN(IF(COUNTIF($Q$1:Q10,ADMIN!$H$6:$H$77)=0,ADMIN!$H$6:$H$77)),"")</f>
        <v>46193</v>
      </c>
      <c r="R11" s="795" t="n">
        <v>10</v>
      </c>
      <c r="S11" s="799"/>
      <c r="T11" s="796" t="n">
        <v>0.5</v>
      </c>
    </row>
    <row r="12" customFormat="false" ht="15" hidden="false" customHeight="true" outlineLevel="0" collapsed="false">
      <c r="A12" s="30" t="n">
        <v>11</v>
      </c>
      <c r="B12" s="30" t="str">
        <f aca="false">+INDEX(Idiomas!$D$212:$D$259,MATCH(T_Equipos[[#This Row],[Num]],Idiomas!$C$212:$C$259,0))</f>
        <v>Haití</v>
      </c>
      <c r="C12" s="30" t="s">
        <v>93</v>
      </c>
      <c r="D12" s="30" t="n">
        <v>3</v>
      </c>
      <c r="F12" s="30" t="s">
        <v>136</v>
      </c>
      <c r="K12" s="30" t="str">
        <f aca="false">Idiomas!D222</f>
        <v>Catar</v>
      </c>
      <c r="L12" s="30" t="s">
        <v>1417</v>
      </c>
      <c r="M12" s="30" t="e">
        <f aca="false">#VALUE!</f>
        <v>#VALUE!</v>
      </c>
      <c r="O12" s="797" t="n">
        <v>11</v>
      </c>
      <c r="P12" s="798"/>
      <c r="Q12" s="798" t="n">
        <f aca="false" t="array" ref="Q12:Q12">IFERROR(MIN(IF(COUNTIF($Q$1:Q11,ADMIN!$H$6:$H$77)=0,ADMIN!$H$6:$H$77)),"")</f>
        <v>46194</v>
      </c>
      <c r="R12" s="795" t="n">
        <v>11</v>
      </c>
      <c r="S12" s="799"/>
      <c r="T12" s="796" t="n">
        <v>0.55</v>
      </c>
    </row>
    <row r="13" customFormat="false" ht="15" hidden="false" customHeight="true" outlineLevel="0" collapsed="false">
      <c r="A13" s="30" t="n">
        <v>12</v>
      </c>
      <c r="B13" s="30" t="str">
        <f aca="false">+INDEX(Idiomas!$D$212:$D$259,MATCH(T_Equipos[[#This Row],[Num]],Idiomas!$C$212:$C$259,0))</f>
        <v>Escocia</v>
      </c>
      <c r="C13" s="30" t="s">
        <v>93</v>
      </c>
      <c r="D13" s="30" t="n">
        <v>4</v>
      </c>
      <c r="F13" s="30" t="s">
        <v>137</v>
      </c>
      <c r="K13" s="30" t="str">
        <f aca="false">Idiomas!D223</f>
        <v>Colombia</v>
      </c>
      <c r="L13" s="30" t="s">
        <v>1418</v>
      </c>
      <c r="M13" s="30" t="e">
        <f aca="false">#VALUE!</f>
        <v>#VALUE!</v>
      </c>
      <c r="O13" s="797" t="n">
        <v>12</v>
      </c>
      <c r="P13" s="798"/>
      <c r="Q13" s="798" t="n">
        <f aca="false" t="array" ref="Q13:Q13">IFERROR(MIN(IF(COUNTIF($Q$1:Q12,ADMIN!$H$6:$H$77)=0,ADMIN!$H$6:$H$77)),"")</f>
        <v>46195</v>
      </c>
      <c r="R13" s="795" t="n">
        <v>12</v>
      </c>
      <c r="S13" s="799"/>
      <c r="T13" s="796" t="n">
        <v>0.6</v>
      </c>
    </row>
    <row r="14" customFormat="false" ht="15" hidden="false" customHeight="true" outlineLevel="0" collapsed="false">
      <c r="A14" s="30" t="n">
        <v>13</v>
      </c>
      <c r="B14" s="30" t="str">
        <f aca="false">+INDEX(Idiomas!$D$212:$D$259,MATCH(T_Equipos[[#This Row],[Num]],Idiomas!$C$212:$C$259,0))</f>
        <v>Estados Unidos</v>
      </c>
      <c r="C14" s="30" t="s">
        <v>102</v>
      </c>
      <c r="D14" s="30" t="n">
        <v>1</v>
      </c>
      <c r="K14" s="30" t="str">
        <f aca="false">Idiomas!D224</f>
        <v>Corea del Sur</v>
      </c>
      <c r="L14" s="30" t="s">
        <v>1419</v>
      </c>
      <c r="M14" s="30" t="e">
        <f aca="false">#VALUE!</f>
        <v>#VALUE!</v>
      </c>
      <c r="O14" s="797" t="n">
        <v>13</v>
      </c>
      <c r="P14" s="798"/>
      <c r="Q14" s="798" t="n">
        <f aca="false" t="array" ref="Q14:Q14">IFERROR(MIN(IF(COUNTIF($Q$1:Q13,ADMIN!$H$6:$H$77)=0,ADMIN!$H$6:$H$77)),"")</f>
        <v>46196</v>
      </c>
      <c r="R14" s="795" t="n">
        <v>13</v>
      </c>
      <c r="S14" s="799"/>
      <c r="T14" s="796" t="n">
        <v>0.65</v>
      </c>
    </row>
    <row r="15" customFormat="false" ht="15" hidden="false" customHeight="true" outlineLevel="0" collapsed="false">
      <c r="A15" s="30" t="n">
        <v>14</v>
      </c>
      <c r="B15" s="30" t="str">
        <f aca="false">+INDEX(Idiomas!$D$212:$D$259,MATCH(T_Equipos[[#This Row],[Num]],Idiomas!$C$212:$C$259,0))</f>
        <v>Paraguay</v>
      </c>
      <c r="C15" s="30" t="s">
        <v>102</v>
      </c>
      <c r="D15" s="30" t="n">
        <v>2</v>
      </c>
      <c r="K15" s="30" t="str">
        <f aca="false">Idiomas!D225</f>
        <v>Costa de Marfil</v>
      </c>
      <c r="L15" s="30" t="s">
        <v>1420</v>
      </c>
      <c r="M15" s="31" t="e">
        <f aca="false">#VALUE!</f>
        <v>#VALUE!</v>
      </c>
      <c r="O15" s="797" t="n">
        <v>14</v>
      </c>
      <c r="P15" s="798"/>
      <c r="Q15" s="798" t="n">
        <f aca="false" t="array" ref="Q15:Q15">IFERROR(MIN(IF(COUNTIF($Q$1:Q14,ADMIN!$H$6:$H$77)=0,ADMIN!$H$6:$H$77)),"")</f>
        <v>46197</v>
      </c>
      <c r="R15" s="795" t="n">
        <v>14</v>
      </c>
      <c r="S15" s="799"/>
      <c r="T15" s="796" t="n">
        <v>0.7</v>
      </c>
    </row>
    <row r="16" customFormat="false" ht="15" hidden="false" customHeight="true" outlineLevel="0" collapsed="false">
      <c r="A16" s="30" t="n">
        <v>15</v>
      </c>
      <c r="B16" s="30" t="str">
        <f aca="false">+INDEX(Idiomas!$D$212:$D$259,MATCH(T_Equipos[[#This Row],[Num]],Idiomas!$C$212:$C$259,0))</f>
        <v>Australia</v>
      </c>
      <c r="C16" s="30" t="s">
        <v>102</v>
      </c>
      <c r="D16" s="30" t="n">
        <v>3</v>
      </c>
      <c r="K16" s="30" t="str">
        <f aca="false">Idiomas!D226</f>
        <v>Croacia</v>
      </c>
      <c r="L16" s="30" t="s">
        <v>1421</v>
      </c>
      <c r="M16" s="30" t="e">
        <f aca="false">#VALUE!</f>
        <v>#VALUE!</v>
      </c>
      <c r="O16" s="797" t="n">
        <v>15</v>
      </c>
      <c r="P16" s="798"/>
      <c r="Q16" s="798" t="n">
        <f aca="false" t="array" ref="Q16:Q16">IFERROR(MIN(IF(COUNTIF($Q$1:Q15,ADMIN!$H$6:$H$77)=0,ADMIN!$H$6:$H$77)),"")</f>
        <v>46198</v>
      </c>
      <c r="R16" s="795" t="n">
        <v>15</v>
      </c>
      <c r="S16" s="799"/>
      <c r="T16" s="796" t="n">
        <v>0.75</v>
      </c>
    </row>
    <row r="17" customFormat="false" ht="15" hidden="false" customHeight="true" outlineLevel="0" collapsed="false">
      <c r="A17" s="30" t="n">
        <v>16</v>
      </c>
      <c r="B17" s="30" t="str">
        <f aca="false">+INDEX(Idiomas!$D$212:$D$259,MATCH(T_Equipos[[#This Row],[Num]],Idiomas!$C$212:$C$259,0))</f>
        <v>Turquía</v>
      </c>
      <c r="C17" s="30" t="s">
        <v>102</v>
      </c>
      <c r="D17" s="30" t="n">
        <v>4</v>
      </c>
      <c r="K17" s="30" t="str">
        <f aca="false">Idiomas!D227</f>
        <v>Curazao</v>
      </c>
      <c r="L17" s="30" t="s">
        <v>1422</v>
      </c>
      <c r="M17" s="30" t="e">
        <f aca="false">#VALUE!</f>
        <v>#VALUE!</v>
      </c>
      <c r="O17" s="797" t="n">
        <v>16</v>
      </c>
      <c r="P17" s="798"/>
      <c r="Q17" s="798" t="n">
        <f aca="false" t="array" ref="Q17:Q17">IFERROR(MIN(IF(COUNTIF($Q$1:Q16,ADMIN!$H$6:$H$77)=0,ADMIN!$H$6:$H$77)),"")</f>
        <v>46199</v>
      </c>
      <c r="R17" s="795" t="n">
        <v>16</v>
      </c>
      <c r="S17" s="799"/>
      <c r="T17" s="796" t="n">
        <v>0.8</v>
      </c>
    </row>
    <row r="18" customFormat="false" ht="15" hidden="false" customHeight="true" outlineLevel="0" collapsed="false">
      <c r="A18" s="30" t="n">
        <v>17</v>
      </c>
      <c r="B18" s="30" t="str">
        <f aca="false">+INDEX(Idiomas!$D$212:$D$259,MATCH(T_Equipos[[#This Row],[Num]],Idiomas!$C$212:$C$259,0))</f>
        <v>Alemania</v>
      </c>
      <c r="C18" s="30" t="s">
        <v>111</v>
      </c>
      <c r="D18" s="30" t="n">
        <v>1</v>
      </c>
      <c r="K18" s="30" t="str">
        <f aca="false">Idiomas!D228</f>
        <v>Ecuador</v>
      </c>
      <c r="L18" s="30" t="s">
        <v>1423</v>
      </c>
      <c r="M18" s="31" t="e">
        <f aca="false">#VALUE!</f>
        <v>#VALUE!</v>
      </c>
      <c r="O18" s="797" t="n">
        <v>17</v>
      </c>
      <c r="P18" s="798"/>
      <c r="Q18" s="798" t="n">
        <f aca="false" t="array" ref="Q18:Q18">IFERROR(MIN(IF(COUNTIF($Q$1:Q17,ADMIN!$H$6:$H$77)=0,ADMIN!$H$6:$H$77)),"")</f>
        <v>46200</v>
      </c>
      <c r="R18" s="795" t="n">
        <v>17</v>
      </c>
      <c r="S18" s="799"/>
      <c r="T18" s="796" t="n">
        <v>0.85</v>
      </c>
    </row>
    <row r="19" customFormat="false" ht="15" hidden="false" customHeight="true" outlineLevel="0" collapsed="false">
      <c r="A19" s="30" t="n">
        <v>18</v>
      </c>
      <c r="B19" s="30" t="str">
        <f aca="false">+INDEX(Idiomas!$D$212:$D$259,MATCH(T_Equipos[[#This Row],[Num]],Idiomas!$C$212:$C$259,0))</f>
        <v>Curazao</v>
      </c>
      <c r="C19" s="30" t="s">
        <v>111</v>
      </c>
      <c r="D19" s="30" t="n">
        <v>2</v>
      </c>
      <c r="K19" s="30" t="str">
        <f aca="false">Idiomas!D229</f>
        <v>Egipto</v>
      </c>
      <c r="L19" s="30" t="s">
        <v>1424</v>
      </c>
      <c r="M19" s="31" t="e">
        <f aca="false">#VALUE!</f>
        <v>#VALUE!</v>
      </c>
      <c r="O19" s="797" t="n">
        <v>18</v>
      </c>
      <c r="P19" s="798"/>
      <c r="Q19" s="798" t="n">
        <f aca="false" t="array" ref="Q19:Q19">IFERROR(MIN(IF(COUNTIF($Q$1:Q18,ADMIN!$H$6:$H$77)=0,ADMIN!$H$6:$H$77)),"")</f>
        <v>46201</v>
      </c>
      <c r="R19" s="795" t="n">
        <v>18</v>
      </c>
      <c r="S19" s="799"/>
      <c r="T19" s="796" t="n">
        <v>0.9</v>
      </c>
    </row>
    <row r="20" customFormat="false" ht="15" hidden="false" customHeight="true" outlineLevel="0" collapsed="false">
      <c r="A20" s="30" t="n">
        <v>19</v>
      </c>
      <c r="B20" s="30" t="str">
        <f aca="false">+INDEX(Idiomas!$D$212:$D$259,MATCH(T_Equipos[[#This Row],[Num]],Idiomas!$C$212:$C$259,0))</f>
        <v>Costa de Marfil</v>
      </c>
      <c r="C20" s="30" t="s">
        <v>111</v>
      </c>
      <c r="D20" s="30" t="n">
        <v>3</v>
      </c>
      <c r="K20" s="30" t="str">
        <f aca="false">Idiomas!D230</f>
        <v>Escocia</v>
      </c>
      <c r="L20" s="30" t="s">
        <v>1425</v>
      </c>
      <c r="M20" s="30" t="e">
        <f aca="false">#VALUE!</f>
        <v>#VALUE!</v>
      </c>
      <c r="O20" s="797" t="n">
        <v>19</v>
      </c>
      <c r="P20" s="798"/>
      <c r="Q20" s="797" t="str">
        <f aca="false">+PROPER(Idiomas!D137)</f>
        <v>Clasificados Para Dieciseisavos</v>
      </c>
      <c r="R20" s="797" t="n">
        <v>19</v>
      </c>
      <c r="T20" s="796" t="n">
        <v>0.95</v>
      </c>
    </row>
    <row r="21" customFormat="false" ht="15" hidden="false" customHeight="true" outlineLevel="0" collapsed="false">
      <c r="A21" s="30" t="n">
        <v>20</v>
      </c>
      <c r="B21" s="30" t="str">
        <f aca="false">+INDEX(Idiomas!$D$212:$D$259,MATCH(T_Equipos[[#This Row],[Num]],Idiomas!$C$212:$C$259,0))</f>
        <v>Ecuador</v>
      </c>
      <c r="C21" s="30" t="s">
        <v>111</v>
      </c>
      <c r="D21" s="30" t="n">
        <v>4</v>
      </c>
      <c r="K21" s="30" t="str">
        <f aca="false">Idiomas!D231</f>
        <v>España</v>
      </c>
      <c r="L21" s="30" t="s">
        <v>1426</v>
      </c>
      <c r="M21" s="30" t="e">
        <f aca="false">#VALUE!</f>
        <v>#VALUE!</v>
      </c>
      <c r="O21" s="797" t="n">
        <v>20</v>
      </c>
      <c r="Q21" s="798" t="str">
        <f aca="false">Idiomas!D260</f>
        <v>Dieciseisavos de final</v>
      </c>
      <c r="R21" s="795" t="n">
        <v>20</v>
      </c>
      <c r="T21" s="796"/>
    </row>
    <row r="22" customFormat="false" ht="15" hidden="false" customHeight="true" outlineLevel="0" collapsed="false">
      <c r="A22" s="30" t="n">
        <v>21</v>
      </c>
      <c r="B22" s="30" t="str">
        <f aca="false">+INDEX(Idiomas!$D$212:$D$259,MATCH(T_Equipos[[#This Row],[Num]],Idiomas!$C$212:$C$259,0))</f>
        <v>Países Bajos</v>
      </c>
      <c r="C22" s="30" t="s">
        <v>120</v>
      </c>
      <c r="D22" s="30" t="n">
        <v>1</v>
      </c>
      <c r="K22" s="30" t="str">
        <f aca="false">Idiomas!D232</f>
        <v>Estados Unidos</v>
      </c>
      <c r="L22" s="30" t="s">
        <v>1427</v>
      </c>
      <c r="M22" s="30" t="e">
        <f aca="false">#VALUE!</f>
        <v>#VALUE!</v>
      </c>
      <c r="O22" s="797" t="n">
        <v>21</v>
      </c>
      <c r="Q22" s="798" t="str">
        <f aca="false">Idiomas!D261</f>
        <v>Octavos de final</v>
      </c>
      <c r="R22" s="795" t="n">
        <v>21</v>
      </c>
      <c r="T22" s="796"/>
    </row>
    <row r="23" customFormat="false" ht="15" hidden="false" customHeight="true" outlineLevel="0" collapsed="false">
      <c r="A23" s="30" t="n">
        <v>22</v>
      </c>
      <c r="B23" s="30" t="str">
        <f aca="false">+INDEX(Idiomas!$D$212:$D$259,MATCH(T_Equipos[[#This Row],[Num]],Idiomas!$C$212:$C$259,0))</f>
        <v>Japón</v>
      </c>
      <c r="C23" s="30" t="s">
        <v>120</v>
      </c>
      <c r="D23" s="30" t="n">
        <v>2</v>
      </c>
      <c r="K23" s="30" t="str">
        <f aca="false">Idiomas!D233</f>
        <v>Francia</v>
      </c>
      <c r="L23" s="30" t="s">
        <v>1428</v>
      </c>
      <c r="M23" s="30" t="e">
        <f aca="false">#VALUE!</f>
        <v>#VALUE!</v>
      </c>
      <c r="O23" s="797" t="n">
        <v>22</v>
      </c>
      <c r="Q23" s="798" t="str">
        <f aca="false">Idiomas!D262</f>
        <v>Cuartos de final</v>
      </c>
      <c r="R23" s="795" t="n">
        <v>22</v>
      </c>
    </row>
    <row r="24" customFormat="false" ht="15" hidden="false" customHeight="true" outlineLevel="0" collapsed="false">
      <c r="A24" s="30" t="n">
        <v>23</v>
      </c>
      <c r="B24" s="30" t="str">
        <f aca="false">+INDEX(Idiomas!$D$212:$D$259,MATCH(T_Equipos[[#This Row],[Num]],Idiomas!$C$212:$C$259,0))</f>
        <v>Suecia</v>
      </c>
      <c r="C24" s="30" t="s">
        <v>120</v>
      </c>
      <c r="D24" s="30" t="n">
        <v>3</v>
      </c>
      <c r="K24" s="30" t="str">
        <f aca="false">Idiomas!D234</f>
        <v>Ghana</v>
      </c>
      <c r="L24" s="30" t="s">
        <v>1429</v>
      </c>
      <c r="M24" s="30" t="e">
        <f aca="false">#VALUE!</f>
        <v>#VALUE!</v>
      </c>
      <c r="O24" s="797" t="n">
        <v>23</v>
      </c>
      <c r="Q24" s="798" t="str">
        <f aca="false">Idiomas!D263</f>
        <v>Semifinales</v>
      </c>
      <c r="R24" s="795" t="n">
        <v>23</v>
      </c>
    </row>
    <row r="25" customFormat="false" ht="15" hidden="false" customHeight="true" outlineLevel="0" collapsed="false">
      <c r="A25" s="30" t="n">
        <v>24</v>
      </c>
      <c r="B25" s="30" t="str">
        <f aca="false">+INDEX(Idiomas!$D$212:$D$259,MATCH(T_Equipos[[#This Row],[Num]],Idiomas!$C$212:$C$259,0))</f>
        <v>Túnez</v>
      </c>
      <c r="C25" s="30" t="s">
        <v>120</v>
      </c>
      <c r="D25" s="30" t="n">
        <v>4</v>
      </c>
      <c r="K25" s="30" t="str">
        <f aca="false">Idiomas!D235</f>
        <v>Haití</v>
      </c>
      <c r="L25" s="30" t="s">
        <v>1430</v>
      </c>
      <c r="M25" s="30" t="e">
        <f aca="false">#VALUE!</f>
        <v>#VALUE!</v>
      </c>
      <c r="O25" s="797" t="n">
        <v>24</v>
      </c>
      <c r="Q25" s="798" t="str">
        <f aca="false">Idiomas!D264</f>
        <v>3-4 &amp; Final</v>
      </c>
      <c r="R25" s="795" t="n">
        <v>24</v>
      </c>
    </row>
    <row r="26" customFormat="false" ht="15" hidden="false" customHeight="true" outlineLevel="0" collapsed="false">
      <c r="A26" s="30" t="n">
        <v>25</v>
      </c>
      <c r="B26" s="30" t="str">
        <f aca="false">+INDEX(Idiomas!$D$212:$D$259,MATCH(T_Equipos[[#This Row],[Num]],Idiomas!$C$212:$C$259,0))</f>
        <v>Bélgica</v>
      </c>
      <c r="C26" s="30" t="s">
        <v>129</v>
      </c>
      <c r="D26" s="30" t="n">
        <v>1</v>
      </c>
      <c r="K26" s="30" t="str">
        <f aca="false">Idiomas!D236</f>
        <v>Inglaterra</v>
      </c>
      <c r="L26" s="30" t="s">
        <v>1431</v>
      </c>
      <c r="M26" s="30" t="e">
        <f aca="false">#VALUE!</f>
        <v>#VALUE!</v>
      </c>
      <c r="O26" s="797" t="n">
        <v>25</v>
      </c>
      <c r="Q26" s="797" t="str">
        <f aca="false">+PROPER(Idiomas!G137)</f>
        <v>Clasificados Para Dieciseisavos</v>
      </c>
      <c r="R26" s="797" t="n">
        <v>19</v>
      </c>
    </row>
    <row r="27" customFormat="false" ht="15" hidden="false" customHeight="true" outlineLevel="0" collapsed="false">
      <c r="A27" s="30" t="n">
        <v>26</v>
      </c>
      <c r="B27" s="30" t="str">
        <f aca="false">+INDEX(Idiomas!$D$212:$D$259,MATCH(T_Equipos[[#This Row],[Num]],Idiomas!$C$212:$C$259,0))</f>
        <v>Egipto</v>
      </c>
      <c r="C27" s="30" t="s">
        <v>129</v>
      </c>
      <c r="D27" s="30" t="n">
        <v>2</v>
      </c>
      <c r="K27" s="30" t="str">
        <f aca="false">Idiomas!D237</f>
        <v>Irán</v>
      </c>
      <c r="L27" s="30" t="str">
        <f aca="false">+INDEX(Credits!$W$87:$W$91,MATCH(Credits!$N$87,Credits!$U$87:$U$91,0))</f>
        <v>🇮🇷</v>
      </c>
      <c r="M27" s="30" t="e">
        <f aca="false">+INDEX(Credits!$X$87:$X$91,MATCH(Credits!$N$87,Credits!$U$87:$U$91,0))</f>
        <v>#VALUE!</v>
      </c>
      <c r="O27" s="797" t="n">
        <v>26</v>
      </c>
      <c r="P27" s="799"/>
      <c r="Q27" s="798" t="str">
        <f aca="false">Idiomas!G260</f>
        <v>Dieciseisavos de final</v>
      </c>
      <c r="R27" s="795" t="n">
        <v>20</v>
      </c>
    </row>
    <row r="28" customFormat="false" ht="15" hidden="false" customHeight="true" outlineLevel="0" collapsed="false">
      <c r="A28" s="30" t="n">
        <v>27</v>
      </c>
      <c r="B28" s="30" t="str">
        <f aca="false">+INDEX(Idiomas!$D$212:$D$259,MATCH(T_Equipos[[#This Row],[Num]],Idiomas!$C$212:$C$259,0))</f>
        <v>Irán</v>
      </c>
      <c r="C28" s="30" t="s">
        <v>129</v>
      </c>
      <c r="D28" s="30" t="n">
        <v>3</v>
      </c>
      <c r="K28" s="30" t="str">
        <f aca="false">Idiomas!D238</f>
        <v>Japón</v>
      </c>
      <c r="L28" s="30" t="s">
        <v>1432</v>
      </c>
      <c r="M28" s="30" t="e">
        <f aca="false">#VALUE!</f>
        <v>#VALUE!</v>
      </c>
      <c r="O28" s="797" t="n">
        <v>27</v>
      </c>
      <c r="P28" s="799"/>
      <c r="Q28" s="798" t="str">
        <f aca="false">Idiomas!G261</f>
        <v>Octavos de final</v>
      </c>
      <c r="R28" s="795" t="n">
        <v>21</v>
      </c>
    </row>
    <row r="29" customFormat="false" ht="15" hidden="false" customHeight="true" outlineLevel="0" collapsed="false">
      <c r="A29" s="30" t="n">
        <v>28</v>
      </c>
      <c r="B29" s="30" t="str">
        <f aca="false">+INDEX(Idiomas!$D$212:$D$259,MATCH(T_Equipos[[#This Row],[Num]],Idiomas!$C$212:$C$259,0))</f>
        <v>Nueva Zelanda</v>
      </c>
      <c r="C29" s="30" t="s">
        <v>129</v>
      </c>
      <c r="D29" s="30" t="n">
        <v>4</v>
      </c>
      <c r="K29" s="30" t="str">
        <f aca="false">Idiomas!D239</f>
        <v>Jordania</v>
      </c>
      <c r="L29" s="30" t="s">
        <v>1433</v>
      </c>
      <c r="M29" s="30" t="e">
        <f aca="false">#VALUE!</f>
        <v>#VALUE!</v>
      </c>
      <c r="O29" s="797" t="n">
        <v>28</v>
      </c>
      <c r="P29" s="799"/>
      <c r="Q29" s="798" t="str">
        <f aca="false">Idiomas!G262</f>
        <v>Cuartos de final</v>
      </c>
      <c r="R29" s="795" t="n">
        <v>22</v>
      </c>
    </row>
    <row r="30" customFormat="false" ht="15" hidden="false" customHeight="true" outlineLevel="0" collapsed="false">
      <c r="A30" s="30" t="n">
        <v>29</v>
      </c>
      <c r="B30" s="30" t="str">
        <f aca="false">+INDEX(Idiomas!$D$212:$D$259,MATCH(T_Equipos[[#This Row],[Num]],Idiomas!$C$212:$C$259,0))</f>
        <v>España</v>
      </c>
      <c r="C30" s="30" t="s">
        <v>133</v>
      </c>
      <c r="D30" s="30" t="n">
        <v>1</v>
      </c>
      <c r="K30" s="30" t="str">
        <f aca="false">Idiomas!D240</f>
        <v>Marruecos</v>
      </c>
      <c r="L30" s="30" t="s">
        <v>1434</v>
      </c>
      <c r="M30" s="30" t="e">
        <f aca="false">#VALUE!</f>
        <v>#VALUE!</v>
      </c>
      <c r="O30" s="797" t="n">
        <v>29</v>
      </c>
      <c r="Q30" s="798" t="str">
        <f aca="false">Idiomas!G263</f>
        <v>Semifinales</v>
      </c>
      <c r="R30" s="795" t="n">
        <v>23</v>
      </c>
    </row>
    <row r="31" customFormat="false" ht="15" hidden="false" customHeight="true" outlineLevel="0" collapsed="false">
      <c r="A31" s="30" t="n">
        <v>30</v>
      </c>
      <c r="B31" s="30" t="str">
        <f aca="false">+INDEX(Idiomas!$D$212:$D$259,MATCH(T_Equipos[[#This Row],[Num]],Idiomas!$C$212:$C$259,0))</f>
        <v>Cabo Verde</v>
      </c>
      <c r="C31" s="30" t="s">
        <v>133</v>
      </c>
      <c r="D31" s="30" t="n">
        <v>2</v>
      </c>
      <c r="K31" s="30" t="str">
        <f aca="false">Idiomas!D241</f>
        <v>México</v>
      </c>
      <c r="L31" s="30" t="s">
        <v>1435</v>
      </c>
      <c r="M31" s="30" t="e">
        <f aca="false">#VALUE!</f>
        <v>#VALUE!</v>
      </c>
      <c r="O31" s="797" t="n">
        <v>30</v>
      </c>
      <c r="Q31" s="798" t="str">
        <f aca="false">Idiomas!G264</f>
        <v>3-4 &amp; Final</v>
      </c>
      <c r="R31" s="795" t="n">
        <v>24</v>
      </c>
    </row>
    <row r="32" customFormat="false" ht="15" hidden="false" customHeight="true" outlineLevel="0" collapsed="false">
      <c r="A32" s="30" t="n">
        <v>31</v>
      </c>
      <c r="B32" s="30" t="str">
        <f aca="false">+INDEX(Idiomas!$D$212:$D$259,MATCH(T_Equipos[[#This Row],[Num]],Idiomas!$C$212:$C$259,0))</f>
        <v>Arabia Saudita</v>
      </c>
      <c r="C32" s="30" t="s">
        <v>133</v>
      </c>
      <c r="D32" s="30" t="n">
        <v>3</v>
      </c>
      <c r="K32" s="30" t="str">
        <f aca="false">Idiomas!D242</f>
        <v>Noruega</v>
      </c>
      <c r="L32" s="30" t="s">
        <v>1436</v>
      </c>
      <c r="M32" s="30" t="e">
        <f aca="false">#VALUE!</f>
        <v>#VALUE!</v>
      </c>
      <c r="O32" s="797" t="n">
        <v>31</v>
      </c>
      <c r="Q32" s="797" t="str">
        <f aca="false">+PROPER(Idiomas!H137)</f>
        <v>Qualified For Round Of 32</v>
      </c>
      <c r="R32" s="797" t="n">
        <v>19</v>
      </c>
    </row>
    <row r="33" customFormat="false" ht="15" hidden="false" customHeight="true" outlineLevel="0" collapsed="false">
      <c r="A33" s="30" t="n">
        <v>32</v>
      </c>
      <c r="B33" s="30" t="str">
        <f aca="false">+INDEX(Idiomas!$D$212:$D$259,MATCH(T_Equipos[[#This Row],[Num]],Idiomas!$C$212:$C$259,0))</f>
        <v>Uruguay</v>
      </c>
      <c r="C33" s="30" t="s">
        <v>133</v>
      </c>
      <c r="D33" s="30" t="n">
        <v>4</v>
      </c>
      <c r="K33" s="30" t="str">
        <f aca="false">Idiomas!D243</f>
        <v>Nueva Zelanda</v>
      </c>
      <c r="L33" s="30" t="s">
        <v>1437</v>
      </c>
      <c r="M33" s="30" t="e">
        <f aca="false">#VALUE!</f>
        <v>#VALUE!</v>
      </c>
      <c r="O33" s="797" t="n">
        <v>32</v>
      </c>
      <c r="Q33" s="798" t="str">
        <f aca="false">Idiomas!H260</f>
        <v>Round of 32</v>
      </c>
      <c r="R33" s="795" t="n">
        <v>20</v>
      </c>
    </row>
    <row r="34" customFormat="false" ht="15" hidden="false" customHeight="true" outlineLevel="0" collapsed="false">
      <c r="A34" s="30" t="n">
        <v>33</v>
      </c>
      <c r="B34" s="30" t="str">
        <f aca="false">+INDEX(Idiomas!$D$212:$D$259,MATCH(T_Equipos[[#This Row],[Num]],Idiomas!$C$212:$C$259,0))</f>
        <v>Francia</v>
      </c>
      <c r="C34" s="30" t="s">
        <v>134</v>
      </c>
      <c r="D34" s="30" t="n">
        <v>1</v>
      </c>
      <c r="K34" s="30" t="str">
        <f aca="false">Idiomas!D244</f>
        <v>Países Bajos</v>
      </c>
      <c r="L34" s="30" t="s">
        <v>1438</v>
      </c>
      <c r="M34" s="30" t="e">
        <f aca="false">#VALUE!</f>
        <v>#VALUE!</v>
      </c>
      <c r="O34" s="797" t="n">
        <v>33</v>
      </c>
      <c r="Q34" s="798" t="str">
        <f aca="false">Idiomas!H261</f>
        <v>Round Of 16</v>
      </c>
      <c r="R34" s="795" t="n">
        <v>21</v>
      </c>
    </row>
    <row r="35" customFormat="false" ht="15" hidden="false" customHeight="true" outlineLevel="0" collapsed="false">
      <c r="A35" s="30" t="n">
        <v>34</v>
      </c>
      <c r="B35" s="30" t="str">
        <f aca="false">+INDEX(Idiomas!$D$212:$D$259,MATCH(T_Equipos[[#This Row],[Num]],Idiomas!$C$212:$C$259,0))</f>
        <v>Senegal</v>
      </c>
      <c r="C35" s="30" t="s">
        <v>134</v>
      </c>
      <c r="D35" s="30" t="n">
        <v>2</v>
      </c>
      <c r="K35" s="30" t="str">
        <f aca="false">Idiomas!D245</f>
        <v>Panamá</v>
      </c>
      <c r="L35" s="30" t="s">
        <v>1439</v>
      </c>
      <c r="M35" s="30" t="e">
        <f aca="false">#VALUE!</f>
        <v>#VALUE!</v>
      </c>
      <c r="O35" s="797" t="n">
        <v>34</v>
      </c>
      <c r="Q35" s="798" t="str">
        <f aca="false">Idiomas!H262</f>
        <v>Quarterfinals</v>
      </c>
      <c r="R35" s="795" t="n">
        <v>22</v>
      </c>
    </row>
    <row r="36" customFormat="false" ht="15" hidden="false" customHeight="true" outlineLevel="0" collapsed="false">
      <c r="A36" s="30" t="n">
        <v>35</v>
      </c>
      <c r="B36" s="30" t="str">
        <f aca="false">+INDEX(Idiomas!$D$212:$D$259,MATCH(T_Equipos[[#This Row],[Num]],Idiomas!$C$212:$C$259,0))</f>
        <v>Irak</v>
      </c>
      <c r="C36" s="30" t="s">
        <v>134</v>
      </c>
      <c r="D36" s="30" t="n">
        <v>3</v>
      </c>
      <c r="K36" s="30" t="str">
        <f aca="false">Idiomas!D246</f>
        <v>Paraguay</v>
      </c>
      <c r="L36" s="30" t="s">
        <v>1440</v>
      </c>
      <c r="M36" s="30" t="e">
        <f aca="false">#VALUE!</f>
        <v>#VALUE!</v>
      </c>
      <c r="O36" s="797" t="n">
        <v>35</v>
      </c>
      <c r="Q36" s="798" t="str">
        <f aca="false">Idiomas!H263</f>
        <v>Semifinals</v>
      </c>
      <c r="R36" s="795" t="n">
        <v>23</v>
      </c>
    </row>
    <row r="37" customFormat="false" ht="15" hidden="false" customHeight="true" outlineLevel="0" collapsed="false">
      <c r="A37" s="30" t="n">
        <v>36</v>
      </c>
      <c r="B37" s="30" t="str">
        <f aca="false">+INDEX(Idiomas!$D$212:$D$259,MATCH(T_Equipos[[#This Row],[Num]],Idiomas!$C$212:$C$259,0))</f>
        <v>Noruega</v>
      </c>
      <c r="C37" s="30" t="s">
        <v>134</v>
      </c>
      <c r="D37" s="30" t="n">
        <v>4</v>
      </c>
      <c r="K37" s="30" t="str">
        <f aca="false">Idiomas!D247</f>
        <v>Portugal</v>
      </c>
      <c r="L37" s="30" t="s">
        <v>1441</v>
      </c>
      <c r="M37" s="30" t="e">
        <f aca="false">#VALUE!</f>
        <v>#VALUE!</v>
      </c>
      <c r="O37" s="797" t="n">
        <v>36</v>
      </c>
      <c r="Q37" s="798" t="str">
        <f aca="false">Idiomas!H264</f>
        <v>3-4 &amp; Final</v>
      </c>
      <c r="R37" s="795" t="n">
        <v>24</v>
      </c>
      <c r="T37" s="798"/>
    </row>
    <row r="38" customFormat="false" ht="15" hidden="false" customHeight="true" outlineLevel="0" collapsed="false">
      <c r="A38" s="30" t="n">
        <v>37</v>
      </c>
      <c r="B38" s="30" t="str">
        <f aca="false">+INDEX(Idiomas!$D$212:$D$259,MATCH(T_Equipos[[#This Row],[Num]],Idiomas!$C$212:$C$259,0))</f>
        <v>Argentina</v>
      </c>
      <c r="C38" s="30" t="s">
        <v>135</v>
      </c>
      <c r="D38" s="30" t="n">
        <v>1</v>
      </c>
      <c r="K38" s="30" t="str">
        <f aca="false">Idiomas!D248</f>
        <v>Senegal</v>
      </c>
      <c r="L38" s="30" t="s">
        <v>1442</v>
      </c>
      <c r="M38" s="30" t="e">
        <f aca="false">#VALUE!</f>
        <v>#VALUE!</v>
      </c>
      <c r="O38" s="797" t="n">
        <v>37</v>
      </c>
      <c r="T38" s="798"/>
    </row>
    <row r="39" customFormat="false" ht="15" hidden="false" customHeight="true" outlineLevel="0" collapsed="false">
      <c r="A39" s="30" t="n">
        <v>38</v>
      </c>
      <c r="B39" s="30" t="str">
        <f aca="false">+INDEX(Idiomas!$D$212:$D$259,MATCH(T_Equipos[[#This Row],[Num]],Idiomas!$C$212:$C$259,0))</f>
        <v>Argelia</v>
      </c>
      <c r="C39" s="30" t="s">
        <v>135</v>
      </c>
      <c r="D39" s="30" t="n">
        <v>2</v>
      </c>
      <c r="K39" s="30" t="str">
        <f aca="false">Idiomas!D249</f>
        <v>Sudáfrica</v>
      </c>
      <c r="L39" s="30" t="s">
        <v>1443</v>
      </c>
      <c r="M39" s="30" t="e">
        <f aca="false">#VALUE!</f>
        <v>#VALUE!</v>
      </c>
      <c r="O39" s="797" t="n">
        <v>38</v>
      </c>
      <c r="Q39" s="797" t="s">
        <v>1444</v>
      </c>
      <c r="R39" s="797" t="s">
        <v>1445</v>
      </c>
      <c r="S39" s="797"/>
      <c r="T39" s="798"/>
    </row>
    <row r="40" customFormat="false" ht="15" hidden="false" customHeight="true" outlineLevel="0" collapsed="false">
      <c r="A40" s="30" t="n">
        <v>39</v>
      </c>
      <c r="B40" s="30" t="str">
        <f aca="false">+INDEX(Idiomas!$D$212:$D$259,MATCH(T_Equipos[[#This Row],[Num]],Idiomas!$C$212:$C$259,0))</f>
        <v>Austria</v>
      </c>
      <c r="C40" s="30" t="s">
        <v>135</v>
      </c>
      <c r="D40" s="30" t="n">
        <v>3</v>
      </c>
      <c r="K40" s="30" t="str">
        <f aca="false">Idiomas!D250</f>
        <v>Suiza</v>
      </c>
      <c r="L40" s="30" t="s">
        <v>1446</v>
      </c>
      <c r="M40" s="30" t="e">
        <f aca="false">#VALUE!</f>
        <v>#VALUE!</v>
      </c>
      <c r="O40" s="797" t="n">
        <v>39</v>
      </c>
      <c r="Q40" s="798" t="n">
        <f aca="false" t="array" ref="Q40:Q40">IFERROR(INDEX($Q$2:$Q$25,SMALL(IF(($Q$2:$Q$25)=0,"",ROW($Q$2:$Q$25)),ROW(Q1))-MIN(ROW($Q$2:$Q$25))+1),"")</f>
        <v>46184</v>
      </c>
      <c r="R40" s="798" t="n">
        <f aca="false" t="array" ref="R40:R63">Equipos!$Q$40:INDEX(Equipos!$Q$40:$Q$63,SUMPRODUCT((NOT(ISERROR(Equipos!$Q$40:$Q$63)))*(Equipos!$Q$40:$Q$63&lt;&gt;"")))</f>
        <v>46184</v>
      </c>
      <c r="S40" s="797"/>
      <c r="T40" s="798"/>
    </row>
    <row r="41" customFormat="false" ht="15" hidden="false" customHeight="true" outlineLevel="0" collapsed="false">
      <c r="A41" s="30" t="n">
        <v>40</v>
      </c>
      <c r="B41" s="30" t="str">
        <f aca="false">+INDEX(Idiomas!$D$212:$D$259,MATCH(T_Equipos[[#This Row],[Num]],Idiomas!$C$212:$C$259,0))</f>
        <v>Jordania</v>
      </c>
      <c r="C41" s="30" t="s">
        <v>135</v>
      </c>
      <c r="D41" s="30" t="n">
        <v>4</v>
      </c>
      <c r="K41" s="30" t="str">
        <f aca="false">Idiomas!D251</f>
        <v>Túnez</v>
      </c>
      <c r="L41" s="30" t="s">
        <v>1447</v>
      </c>
      <c r="M41" s="30" t="e">
        <f aca="false">#VALUE!</f>
        <v>#VALUE!</v>
      </c>
      <c r="O41" s="797" t="n">
        <v>40</v>
      </c>
      <c r="Q41" s="798" t="n">
        <f aca="false" t="array" ref="Q41:Q41">IFERROR(INDEX($Q$2:$Q$25,SMALL(IF(($Q$2:$Q$25)=0,"",ROW($Q$2:$Q$25)),ROW(Q2))-MIN(ROW($Q$2:$Q$25))+1),"")</f>
        <v>46185</v>
      </c>
      <c r="R41" s="798" t="n">
        <v>46185</v>
      </c>
      <c r="T41" s="798"/>
    </row>
    <row r="42" customFormat="false" ht="15" hidden="false" customHeight="true" outlineLevel="0" collapsed="false">
      <c r="A42" s="30" t="n">
        <v>41</v>
      </c>
      <c r="B42" s="30" t="str">
        <f aca="false">+INDEX(Idiomas!$D$212:$D$259,MATCH(T_Equipos[[#This Row],[Num]],Idiomas!$C$212:$C$259,0))</f>
        <v>Portugal</v>
      </c>
      <c r="C42" s="30" t="s">
        <v>136</v>
      </c>
      <c r="D42" s="30" t="n">
        <v>1</v>
      </c>
      <c r="K42" s="30" t="str">
        <f aca="false">Idiomas!D252</f>
        <v>Uruguay</v>
      </c>
      <c r="L42" s="30" t="s">
        <v>1448</v>
      </c>
      <c r="M42" s="30" t="e">
        <f aca="false">#VALUE!</f>
        <v>#VALUE!</v>
      </c>
      <c r="O42" s="797"/>
      <c r="Q42" s="798" t="n">
        <f aca="false" t="array" ref="Q42:Q42">IFERROR(INDEX($Q$2:$Q$25,SMALL(IF(($Q$2:$Q$25)=0,"",ROW($Q$2:$Q$25)),ROW(Q3))-MIN(ROW($Q$2:$Q$25))+1),"")</f>
        <v>46186</v>
      </c>
      <c r="R42" s="798" t="n">
        <v>46186</v>
      </c>
      <c r="T42" s="798"/>
    </row>
    <row r="43" customFormat="false" ht="15" hidden="false" customHeight="true" outlineLevel="0" collapsed="false">
      <c r="A43" s="30" t="n">
        <v>42</v>
      </c>
      <c r="B43" s="30" t="str">
        <f aca="false">+INDEX(Idiomas!$D$212:$D$259,MATCH(T_Equipos[[#This Row],[Num]],Idiomas!$C$212:$C$259,0))</f>
        <v>RD Congo</v>
      </c>
      <c r="C43" s="30" t="s">
        <v>136</v>
      </c>
      <c r="D43" s="30" t="n">
        <v>2</v>
      </c>
      <c r="K43" s="30" t="str">
        <f aca="false">Idiomas!D253</f>
        <v>Uzbekistán</v>
      </c>
      <c r="L43" s="30" t="s">
        <v>1449</v>
      </c>
      <c r="M43" s="30" t="e">
        <f aca="false">#VALUE!</f>
        <v>#VALUE!</v>
      </c>
      <c r="O43" s="797"/>
      <c r="Q43" s="798" t="n">
        <f aca="false" t="array" ref="Q43:Q43">IFERROR(INDEX($Q$2:$Q$25,SMALL(IF(($Q$2:$Q$25)=0,"",ROW($Q$2:$Q$25)),ROW(Q4))-MIN(ROW($Q$2:$Q$25))+1),"")</f>
        <v>46187</v>
      </c>
      <c r="R43" s="798" t="n">
        <v>46187</v>
      </c>
      <c r="T43" s="798"/>
    </row>
    <row r="44" customFormat="false" ht="15" hidden="false" customHeight="true" outlineLevel="0" collapsed="false">
      <c r="A44" s="30" t="n">
        <v>43</v>
      </c>
      <c r="B44" s="30" t="str">
        <f aca="false">+INDEX(Idiomas!$D$212:$D$259,MATCH(T_Equipos[[#This Row],[Num]],Idiomas!$C$212:$C$259,0))</f>
        <v>Uzbekistán</v>
      </c>
      <c r="C44" s="30" t="s">
        <v>136</v>
      </c>
      <c r="D44" s="30" t="n">
        <v>3</v>
      </c>
      <c r="K44" s="30" t="str">
        <f aca="false">Idiomas!D254</f>
        <v>RD Congo</v>
      </c>
      <c r="L44" s="800" t="s">
        <v>1450</v>
      </c>
      <c r="M44" s="30" t="e">
        <f aca="false">#VALUE!</f>
        <v>#VALUE!</v>
      </c>
      <c r="O44" s="797"/>
      <c r="Q44" s="798" t="n">
        <f aca="false" t="array" ref="Q44:Q44">IFERROR(INDEX($Q$2:$Q$25,SMALL(IF(($Q$2:$Q$25)=0,"",ROW($Q$2:$Q$25)),ROW(Q5))-MIN(ROW($Q$2:$Q$25))+1),"")</f>
        <v>46188</v>
      </c>
      <c r="R44" s="798" t="n">
        <v>46188</v>
      </c>
      <c r="T44" s="798"/>
    </row>
    <row r="45" customFormat="false" ht="15" hidden="false" customHeight="true" outlineLevel="0" collapsed="false">
      <c r="A45" s="30" t="n">
        <v>44</v>
      </c>
      <c r="B45" s="30" t="str">
        <f aca="false">+INDEX(Idiomas!$D$212:$D$259,MATCH(T_Equipos[[#This Row],[Num]],Idiomas!$C$212:$C$259,0))</f>
        <v>Colombia</v>
      </c>
      <c r="C45" s="30" t="s">
        <v>136</v>
      </c>
      <c r="D45" s="30" t="n">
        <v>4</v>
      </c>
      <c r="K45" s="30" t="str">
        <f aca="false">Idiomas!D255</f>
        <v>Irak</v>
      </c>
      <c r="L45" s="800" t="s">
        <v>1451</v>
      </c>
      <c r="M45" s="30" t="e">
        <f aca="false">#VALUE!</f>
        <v>#VALUE!</v>
      </c>
      <c r="O45" s="797"/>
      <c r="Q45" s="798" t="n">
        <f aca="false" t="array" ref="Q45:Q45">IFERROR(INDEX($Q$2:$Q$25,SMALL(IF(($Q$2:$Q$25)=0,"",ROW($Q$2:$Q$25)),ROW(Q6))-MIN(ROW($Q$2:$Q$25))+1),"")</f>
        <v>46189</v>
      </c>
      <c r="R45" s="798" t="n">
        <v>46189</v>
      </c>
      <c r="T45" s="798"/>
    </row>
    <row r="46" customFormat="false" ht="15" hidden="false" customHeight="true" outlineLevel="0" collapsed="false">
      <c r="A46" s="30" t="n">
        <v>45</v>
      </c>
      <c r="B46" s="30" t="str">
        <f aca="false">+INDEX(Idiomas!$D$212:$D$259,MATCH(T_Equipos[[#This Row],[Num]],Idiomas!$C$212:$C$259,0))</f>
        <v>Inglaterra</v>
      </c>
      <c r="C46" s="30" t="s">
        <v>137</v>
      </c>
      <c r="D46" s="30" t="n">
        <v>1</v>
      </c>
      <c r="K46" s="30" t="str">
        <f aca="false">Idiomas!D256</f>
        <v>Bosnia y Herzegovina</v>
      </c>
      <c r="L46" s="800" t="s">
        <v>1452</v>
      </c>
      <c r="M46" s="30" t="e">
        <f aca="false">#VALUE!</f>
        <v>#VALUE!</v>
      </c>
      <c r="O46" s="797"/>
      <c r="Q46" s="798" t="n">
        <f aca="false" t="array" ref="Q46:Q46">IFERROR(INDEX($Q$2:$Q$25,SMALL(IF(($Q$2:$Q$25)=0,"",ROW($Q$2:$Q$25)),ROW(Q7))-MIN(ROW($Q$2:$Q$25))+1),"")</f>
        <v>46190</v>
      </c>
      <c r="R46" s="798" t="n">
        <v>46190</v>
      </c>
      <c r="T46" s="798"/>
    </row>
    <row r="47" customFormat="false" ht="15" hidden="false" customHeight="true" outlineLevel="0" collapsed="false">
      <c r="A47" s="30" t="n">
        <v>46</v>
      </c>
      <c r="B47" s="30" t="str">
        <f aca="false">+INDEX(Idiomas!$D$212:$D$259,MATCH(T_Equipos[[#This Row],[Num]],Idiomas!$C$212:$C$259,0))</f>
        <v>Croacia</v>
      </c>
      <c r="C47" s="30" t="s">
        <v>137</v>
      </c>
      <c r="D47" s="30" t="n">
        <v>2</v>
      </c>
      <c r="K47" s="30" t="str">
        <f aca="false">Idiomas!D257</f>
        <v>Suecia</v>
      </c>
      <c r="L47" s="800" t="s">
        <v>1453</v>
      </c>
      <c r="M47" s="30" t="e">
        <f aca="false">#VALUE!</f>
        <v>#VALUE!</v>
      </c>
      <c r="O47" s="797"/>
      <c r="Q47" s="798" t="n">
        <f aca="false" t="array" ref="Q47:Q47">IFERROR(INDEX($Q$2:$Q$25,SMALL(IF(($Q$2:$Q$25)=0,"",ROW($Q$2:$Q$25)),ROW(Q8))-MIN(ROW($Q$2:$Q$25))+1),"")</f>
        <v>46191</v>
      </c>
      <c r="R47" s="798" t="n">
        <v>46191</v>
      </c>
      <c r="T47" s="798"/>
    </row>
    <row r="48" customFormat="false" ht="15" hidden="false" customHeight="true" outlineLevel="0" collapsed="false">
      <c r="A48" s="30" t="n">
        <v>47</v>
      </c>
      <c r="B48" s="30" t="str">
        <f aca="false">+INDEX(Idiomas!$D$212:$D$259,MATCH(T_Equipos[[#This Row],[Num]],Idiomas!$C$212:$C$259,0))</f>
        <v>Ghana</v>
      </c>
      <c r="C48" s="30" t="s">
        <v>137</v>
      </c>
      <c r="D48" s="30" t="n">
        <v>3</v>
      </c>
      <c r="K48" s="30" t="str">
        <f aca="false">Idiomas!D258</f>
        <v>Turquía</v>
      </c>
      <c r="L48" s="800" t="s">
        <v>1454</v>
      </c>
      <c r="M48" s="30" t="e">
        <f aca="false">#VALUE!</f>
        <v>#VALUE!</v>
      </c>
      <c r="O48" s="797"/>
      <c r="Q48" s="798" t="n">
        <f aca="false" t="array" ref="Q48:Q48">IFERROR(INDEX($Q$2:$Q$25,SMALL(IF(($Q$2:$Q$25)=0,"",ROW($Q$2:$Q$25)),ROW(Q9))-MIN(ROW($Q$2:$Q$25))+1),"")</f>
        <v>46192</v>
      </c>
      <c r="R48" s="798" t="n">
        <v>46192</v>
      </c>
      <c r="T48" s="798"/>
    </row>
    <row r="49" customFormat="false" ht="15" hidden="false" customHeight="true" outlineLevel="0" collapsed="false">
      <c r="A49" s="30" t="n">
        <v>48</v>
      </c>
      <c r="B49" s="30" t="str">
        <f aca="false">+INDEX(Idiomas!$D$212:$D$259,MATCH(T_Equipos[[#This Row],[Num]],Idiomas!$C$212:$C$259,0))</f>
        <v>Panamá</v>
      </c>
      <c r="C49" s="30" t="s">
        <v>137</v>
      </c>
      <c r="D49" s="30" t="n">
        <v>4</v>
      </c>
      <c r="K49" s="30" t="str">
        <f aca="false">Idiomas!D259</f>
        <v>República Checa</v>
      </c>
      <c r="L49" s="800" t="s">
        <v>1455</v>
      </c>
      <c r="M49" s="30" t="e">
        <f aca="false">#VALUE!</f>
        <v>#VALUE!</v>
      </c>
      <c r="O49" s="797"/>
      <c r="Q49" s="798" t="n">
        <f aca="false" t="array" ref="Q49:Q49">IFERROR(INDEX($Q$2:$Q$25,SMALL(IF(($Q$2:$Q$25)=0,"",ROW($Q$2:$Q$25)),ROW(Q10))-MIN(ROW($Q$2:$Q$25))+1),"")</f>
        <v>46193</v>
      </c>
      <c r="R49" s="798" t="n">
        <v>46193</v>
      </c>
      <c r="T49" s="798"/>
    </row>
    <row r="50" customFormat="false" ht="15" hidden="false" customHeight="true" outlineLevel="0" collapsed="false">
      <c r="L50" s="30" t="s">
        <v>5</v>
      </c>
      <c r="O50" s="797"/>
      <c r="Q50" s="798" t="n">
        <f aca="false" t="array" ref="Q50:Q50">IFERROR(INDEX($Q$2:$Q$25,SMALL(IF(($Q$2:$Q$25)=0,"",ROW($Q$2:$Q$25)),ROW(Q11))-MIN(ROW($Q$2:$Q$25))+1),"")</f>
        <v>46194</v>
      </c>
      <c r="R50" s="798" t="n">
        <v>46194</v>
      </c>
      <c r="T50" s="798"/>
    </row>
    <row r="51" customFormat="false" ht="15" hidden="false" customHeight="true" outlineLevel="0" collapsed="false">
      <c r="O51" s="797"/>
      <c r="Q51" s="798" t="n">
        <f aca="false" t="array" ref="Q51:Q51">IFERROR(INDEX($Q$2:$Q$25,SMALL(IF(($Q$2:$Q$25)=0,"",ROW($Q$2:$Q$25)),ROW(Q12))-MIN(ROW($Q$2:$Q$25))+1),"")</f>
        <v>46195</v>
      </c>
      <c r="R51" s="798" t="n">
        <v>46195</v>
      </c>
      <c r="T51" s="798"/>
    </row>
    <row r="52" customFormat="false" ht="15" hidden="false" customHeight="true" outlineLevel="0" collapsed="false">
      <c r="O52" s="797"/>
      <c r="Q52" s="798" t="n">
        <f aca="false" t="array" ref="Q52:Q52">IFERROR(INDEX($Q$2:$Q$25,SMALL(IF(($Q$2:$Q$25)=0,"",ROW($Q$2:$Q$25)),ROW(Q13))-MIN(ROW($Q$2:$Q$25))+1),"")</f>
        <v>46196</v>
      </c>
      <c r="R52" s="798" t="n">
        <v>46196</v>
      </c>
      <c r="T52" s="798"/>
    </row>
    <row r="53" customFormat="false" ht="15" hidden="false" customHeight="true" outlineLevel="0" collapsed="false">
      <c r="O53" s="797"/>
      <c r="P53" s="799"/>
      <c r="Q53" s="798" t="n">
        <f aca="false" t="array" ref="Q53:Q53">IFERROR(INDEX($Q$2:$Q$25,SMALL(IF(($Q$2:$Q$25)=0,"",ROW($Q$2:$Q$25)),ROW(Q14))-MIN(ROW($Q$2:$Q$25))+1),"")</f>
        <v>46197</v>
      </c>
      <c r="R53" s="798" t="n">
        <v>46197</v>
      </c>
      <c r="T53" s="798"/>
    </row>
    <row r="54" customFormat="false" ht="15" hidden="false" customHeight="true" outlineLevel="0" collapsed="false">
      <c r="O54" s="797"/>
      <c r="Q54" s="798" t="n">
        <f aca="false" t="array" ref="Q54:Q54">IFERROR(INDEX($Q$2:$Q$25,SMALL(IF(($Q$2:$Q$25)=0,"",ROW($Q$2:$Q$25)),ROW(Q15))-MIN(ROW($Q$2:$Q$25))+1),"")</f>
        <v>46198</v>
      </c>
      <c r="R54" s="798" t="n">
        <v>46198</v>
      </c>
      <c r="T54" s="798"/>
    </row>
    <row r="55" customFormat="false" ht="15" hidden="false" customHeight="true" outlineLevel="0" collapsed="false">
      <c r="O55" s="797"/>
      <c r="Q55" s="798" t="n">
        <f aca="false" t="array" ref="Q55:Q55">IFERROR(INDEX($Q$2:$Q$25,SMALL(IF(($Q$2:$Q$25)=0,"",ROW($Q$2:$Q$25)),ROW(Q16))-MIN(ROW($Q$2:$Q$25))+1),"")</f>
        <v>46199</v>
      </c>
      <c r="R55" s="798" t="n">
        <v>46199</v>
      </c>
      <c r="T55" s="798"/>
    </row>
    <row r="56" customFormat="false" ht="15" hidden="false" customHeight="true" outlineLevel="0" collapsed="false">
      <c r="O56" s="797"/>
      <c r="Q56" s="798" t="n">
        <f aca="false" t="array" ref="Q56:Q56">IFERROR(INDEX($Q$2:$Q$25,SMALL(IF(($Q$2:$Q$25)=0,"",ROW($Q$2:$Q$25)),ROW(Q17))-MIN(ROW($Q$2:$Q$25))+1),"")</f>
        <v>46200</v>
      </c>
      <c r="R56" s="798" t="n">
        <v>46200</v>
      </c>
      <c r="T56" s="798"/>
    </row>
    <row r="57" customFormat="false" ht="15" hidden="false" customHeight="true" outlineLevel="0" collapsed="false">
      <c r="O57" s="797"/>
      <c r="Q57" s="798" t="n">
        <f aca="false" t="array" ref="Q57:Q57">IFERROR(INDEX($Q$2:$Q$25,SMALL(IF(($Q$2:$Q$25)=0,"",ROW($Q$2:$Q$25)),ROW(Q18))-MIN(ROW($Q$2:$Q$25))+1),"")</f>
        <v>46201</v>
      </c>
      <c r="R57" s="798" t="n">
        <v>46201</v>
      </c>
      <c r="T57" s="798"/>
    </row>
    <row r="58" customFormat="false" ht="15" hidden="false" customHeight="true" outlineLevel="0" collapsed="false">
      <c r="O58" s="797"/>
      <c r="Q58" s="798" t="str">
        <f aca="false" t="array" ref="Q58:Q58">IFERROR(INDEX($Q$2:$Q$25,SMALL(IF(($Q$2:$Q$25)=0,"",ROW($Q$2:$Q$25)),ROW(Q19))-MIN(ROW($Q$2:$Q$25))+1),"")</f>
        <v>Clasificados Para Dieciseisavos</v>
      </c>
      <c r="R58" s="797" t="str">
        <v>Clasificados Para Dieciseisavos</v>
      </c>
      <c r="T58" s="798"/>
    </row>
    <row r="59" customFormat="false" ht="15" hidden="false" customHeight="true" outlineLevel="0" collapsed="false">
      <c r="O59" s="797"/>
      <c r="Q59" s="798" t="str">
        <f aca="false" t="array" ref="Q59:Q59">IFERROR(INDEX($Q$2:$Q$25,SMALL(IF(($Q$2:$Q$25)=0,"",ROW($Q$2:$Q$25)),ROW(Q20))-MIN(ROW($Q$2:$Q$25))+1),"")</f>
        <v>Dieciseisavos de final</v>
      </c>
      <c r="R59" s="797" t="str">
        <v>Dieciseisavos de final</v>
      </c>
      <c r="T59" s="798"/>
    </row>
    <row r="60" customFormat="false" ht="15" hidden="false" customHeight="true" outlineLevel="0" collapsed="false">
      <c r="O60" s="797"/>
      <c r="Q60" s="798" t="str">
        <f aca="false" t="array" ref="Q60:Q60">IFERROR(INDEX($Q$2:$Q$25,SMALL(IF(($Q$2:$Q$25)=0,"",ROW($Q$2:$Q$25)),ROW(Q21))-MIN(ROW($Q$2:$Q$25))+1),"")</f>
        <v>Octavos de final</v>
      </c>
      <c r="R60" s="797" t="str">
        <v>Octavos de final</v>
      </c>
      <c r="T60" s="798"/>
    </row>
    <row r="61" customFormat="false" ht="15" hidden="false" customHeight="true" outlineLevel="0" collapsed="false">
      <c r="O61" s="797"/>
      <c r="Q61" s="798" t="str">
        <f aca="false" t="array" ref="Q61:Q61">IFERROR(INDEX($Q$2:$Q$25,SMALL(IF(($Q$2:$Q$25)=0,"",ROW($Q$2:$Q$25)),ROW(Q22))-MIN(ROW($Q$2:$Q$25))+1),"")</f>
        <v>Cuartos de final</v>
      </c>
      <c r="R61" s="797" t="str">
        <v>Cuartos de final</v>
      </c>
    </row>
    <row r="62" customFormat="false" ht="15" hidden="false" customHeight="true" outlineLevel="0" collapsed="false">
      <c r="O62" s="797"/>
      <c r="Q62" s="798" t="str">
        <f aca="false" t="array" ref="Q62:Q62">IFERROR(INDEX($Q$2:$Q$25,SMALL(IF(($Q$2:$Q$25)=0,"",ROW($Q$2:$Q$25)),ROW(Q23))-MIN(ROW($Q$2:$Q$25))+1),"")</f>
        <v>Semifinales</v>
      </c>
      <c r="R62" s="797" t="str">
        <v>Semifinales</v>
      </c>
    </row>
    <row r="63" customFormat="false" ht="15" hidden="false" customHeight="true" outlineLevel="0" collapsed="false">
      <c r="O63" s="797"/>
      <c r="Q63" s="798" t="str">
        <f aca="false" t="array" ref="Q63:Q63">IFERROR(INDEX($Q$2:$Q$25,SMALL(IF(($Q$2:$Q$25)=0,"",ROW($Q$2:$Q$25)),ROW(Q24))-MIN(ROW($Q$2:$Q$25))+1),"")</f>
        <v>3-4 &amp; Final</v>
      </c>
      <c r="R63" s="797" t="str">
        <v>3-4 &amp; Final</v>
      </c>
    </row>
    <row r="64" customFormat="false" ht="15" hidden="false" customHeight="true" outlineLevel="0" collapsed="false">
      <c r="O64" s="797"/>
      <c r="Q64" s="799" t="str">
        <f aca="false" t="array" ref="Q64:Q64">IFERROR(INDEX($Q$2:$Q$25,SMALL(IF(($Q$2:$Q$25)=0,"",ROW($Q$2:$Q$25)),ROW(Q25))-MIN(ROW($Q$2:$Q$25))+1),"")</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47"/>
  <sheetViews>
    <sheetView showFormulas="false" showGridLines="true" showRowColHeaders="true" showZeros="true" rightToLeft="false" tabSelected="false" showOutlineSymbols="true" defaultGridColor="true" view="normal" topLeftCell="A7" colorId="64" zoomScale="99" zoomScaleNormal="99" zoomScalePageLayoutView="100" workbookViewId="0">
      <selection pane="topLeft" activeCell="P27" activeCellId="0" sqref="P27"/>
    </sheetView>
  </sheetViews>
  <sheetFormatPr defaultColWidth="10.84765625" defaultRowHeight="15" customHeight="true" zeroHeight="false" outlineLevelRow="0" outlineLevelCol="0"/>
  <cols>
    <col collapsed="false" customWidth="true" hidden="false" outlineLevel="0" max="1" min="1" style="31" width="16.14"/>
    <col collapsed="false" customWidth="true" hidden="false" outlineLevel="0" max="2" min="2" style="31" width="5"/>
    <col collapsed="false" customWidth="true" hidden="false" outlineLevel="0" max="3" min="3" style="31" width="15.85"/>
    <col collapsed="false" customWidth="true" hidden="false" outlineLevel="0" max="4" min="4" style="31" width="13.15"/>
    <col collapsed="false" customWidth="true" hidden="false" outlineLevel="0" max="5" min="5" style="31" width="12.29"/>
    <col collapsed="false" customWidth="false" hidden="false" outlineLevel="0" max="6" min="6" style="31" width="10.85"/>
    <col collapsed="false" customWidth="true" hidden="false" outlineLevel="0" max="7" min="7" style="31" width="12.29"/>
    <col collapsed="false" customWidth="false" hidden="false" outlineLevel="0" max="10" min="8" style="31" width="10.85"/>
    <col collapsed="false" customWidth="true" hidden="false" outlineLevel="0" max="11" min="11" style="31" width="46.57"/>
    <col collapsed="false" customWidth="true" hidden="false" outlineLevel="0" max="12" min="12" style="31" width="14.42"/>
    <col collapsed="false" customWidth="true" hidden="false" outlineLevel="0" max="13" min="13" style="31" width="4.42"/>
    <col collapsed="false" customWidth="true" hidden="false" outlineLevel="0" max="14" min="14" style="31" width="8.71"/>
    <col collapsed="false" customWidth="false" hidden="false" outlineLevel="0" max="15" min="15" style="31" width="10.85"/>
    <col collapsed="false" customWidth="true" hidden="false" outlineLevel="0" max="16" min="16" style="31" width="27.86"/>
    <col collapsed="false" customWidth="true" hidden="false" outlineLevel="0" max="17" min="17" style="31" width="20"/>
    <col collapsed="false" customWidth="true" hidden="false" outlineLevel="0" max="18" min="18" style="31" width="13"/>
    <col collapsed="false" customWidth="true" hidden="false" outlineLevel="0" max="19" min="19" style="31" width="12.71"/>
    <col collapsed="false" customWidth="true" hidden="false" outlineLevel="0" max="20" min="20" style="31" width="11.85"/>
    <col collapsed="false" customWidth="true" hidden="false" outlineLevel="0" max="21" min="21" style="31" width="25.14"/>
    <col collapsed="false" customWidth="true" hidden="false" outlineLevel="0" max="22" min="22" style="31" width="12.15"/>
    <col collapsed="false" customWidth="true" hidden="false" outlineLevel="0" max="23" min="23" style="31" width="3.57"/>
    <col collapsed="false" customWidth="true" hidden="false" outlineLevel="0" max="24" min="24" style="31" width="11.85"/>
    <col collapsed="false" customWidth="false" hidden="false" outlineLevel="0" max="26" min="25" style="31" width="10.85"/>
    <col collapsed="false" customWidth="true" hidden="false" outlineLevel="0" max="27" min="27" style="31" width="5.29"/>
    <col collapsed="false" customWidth="true" hidden="false" outlineLevel="0" max="28" min="28" style="31" width="20"/>
    <col collapsed="false" customWidth="true" hidden="false" outlineLevel="0" max="29" min="29" style="31" width="13"/>
    <col collapsed="false" customWidth="true" hidden="false" outlineLevel="0" max="30" min="30" style="31" width="12.71"/>
    <col collapsed="false" customWidth="true" hidden="false" outlineLevel="0" max="31" min="31" style="31" width="11.85"/>
    <col collapsed="false" customWidth="true" hidden="false" outlineLevel="0" max="32" min="32" style="31" width="25.14"/>
    <col collapsed="false" customWidth="true" hidden="false" outlineLevel="0" max="33" min="33" style="31" width="12.15"/>
    <col collapsed="false" customWidth="true" hidden="false" outlineLevel="0" max="34" min="34" style="31" width="3.57"/>
    <col collapsed="false" customWidth="true" hidden="false" outlineLevel="0" max="35" min="35" style="31" width="6.57"/>
    <col collapsed="false" customWidth="false" hidden="false" outlineLevel="0" max="16384" min="36" style="31" width="10.85"/>
  </cols>
  <sheetData>
    <row r="1" customFormat="false" ht="15" hidden="false" customHeight="false" outlineLevel="0" collapsed="false">
      <c r="A1" s="490"/>
      <c r="K1" s="801" t="s">
        <v>1456</v>
      </c>
      <c r="L1" s="801" t="s">
        <v>1457</v>
      </c>
      <c r="M1" s="801" t="s">
        <v>1458</v>
      </c>
      <c r="N1" s="801" t="s">
        <v>1459</v>
      </c>
      <c r="P1" s="31" t="s">
        <v>1460</v>
      </c>
    </row>
    <row r="2" customFormat="false" ht="15" hidden="false" customHeight="false" outlineLevel="0" collapsed="false">
      <c r="K2" s="801" t="s">
        <v>1461</v>
      </c>
      <c r="L2" s="801" t="str">
        <f aca="false">Idiomas!D266</f>
        <v>Estados Unidos</v>
      </c>
      <c r="M2" s="801" t="n">
        <f aca="false">+INDEX($R$3:$R$86,MATCH($L$2,$Q$3:$Q$86,0))</f>
        <v>-4</v>
      </c>
      <c r="N2" s="802" t="n">
        <f aca="false">+INDEX($S$3:$S$86,MATCH($L$2,$Q$3:$Q$86,0))</f>
        <v>0.166666666666667</v>
      </c>
      <c r="P2" s="803" t="s">
        <v>1401</v>
      </c>
      <c r="Q2" s="803" t="s">
        <v>1457</v>
      </c>
      <c r="R2" s="803" t="s">
        <v>1462</v>
      </c>
      <c r="S2" s="803" t="s">
        <v>1463</v>
      </c>
      <c r="T2" s="803" t="s">
        <v>1464</v>
      </c>
      <c r="U2" s="803" t="s">
        <v>1465</v>
      </c>
      <c r="V2" s="803" t="s">
        <v>1466</v>
      </c>
      <c r="W2" s="803" t="s">
        <v>1467</v>
      </c>
      <c r="X2" s="803" t="s">
        <v>1464</v>
      </c>
      <c r="AA2" s="803" t="s">
        <v>1401</v>
      </c>
      <c r="AB2" s="803" t="s">
        <v>1457</v>
      </c>
      <c r="AC2" s="803" t="s">
        <v>1462</v>
      </c>
      <c r="AD2" s="803" t="s">
        <v>1463</v>
      </c>
      <c r="AE2" s="803" t="s">
        <v>1464</v>
      </c>
      <c r="AF2" s="803" t="s">
        <v>1465</v>
      </c>
      <c r="AG2" s="803" t="s">
        <v>1466</v>
      </c>
      <c r="AH2" s="803" t="s">
        <v>1467</v>
      </c>
      <c r="AI2" s="803" t="s">
        <v>1468</v>
      </c>
    </row>
    <row r="3" customFormat="false" ht="15" hidden="false" customHeight="false" outlineLevel="0" collapsed="false">
      <c r="A3" s="30" t="s">
        <v>1469</v>
      </c>
      <c r="C3" s="31" t="n">
        <f aca="false">+IFERROR(INDEX($P$3:$P$86,MATCH(Home!$C$8,Horarios!$Q$3:$Q$86,0)),INDEX($P$3:$P$86,MATCH(1,$T$3:$T$86,0)))</f>
        <v>21</v>
      </c>
      <c r="K3" s="31" t="s">
        <v>1470</v>
      </c>
      <c r="P3" s="31" t="n">
        <v>1</v>
      </c>
      <c r="Q3" s="31" t="str">
        <f aca="false">+INDEX($AB$3:$AB$50,MATCH(P3,$AI$3:$AI$50,0))</f>
        <v>Alemania</v>
      </c>
      <c r="R3" s="31" t="n">
        <f aca="false">+INDEX($AC$3:$AH$86,MATCH($Q3,$AB$3:$AB$86,0),MATCH(R$2,$AC$2:$AH$2,0))</f>
        <v>2</v>
      </c>
      <c r="S3" s="804" t="n">
        <f aca="false">+INDEX($AC$3:$AH$86,MATCH($Q3,$AB$3:$AB$86,0),MATCH(S$2,$AC$2:$AH$2,0))</f>
        <v>0.0833333333333333</v>
      </c>
      <c r="T3" s="31" t="n">
        <f aca="false">+INDEX($AC$3:$AH$86,MATCH($Q3,$AB$3:$AB$86,0),MATCH(T$2,$AC$2:$AH$2,0))</f>
        <v>0</v>
      </c>
      <c r="U3" s="31" t="n">
        <f aca="false">+INDEX($AC$3:$AH$86,MATCH($Q3,$AB$3:$AB$86,0),MATCH(U$2,$AC$2:$AH$2,0))</f>
        <v>6</v>
      </c>
      <c r="V3" s="804" t="n">
        <f aca="false">+INDEX($AC$3:$AH$86,MATCH($Q3,$AB$3:$AB$86,0),MATCH(V$2,$AC$2:$AH$2,0))</f>
        <v>0.25</v>
      </c>
      <c r="W3" s="31" t="n">
        <f aca="false">+INDEX($AC$3:$AH$86,MATCH($Q3,$AB$3:$AB$86,0),MATCH(W$2,$AC$2:$AH$2,0))</f>
        <v>1</v>
      </c>
      <c r="X3" s="31" t="n">
        <f aca="false">IFERROR(IF(Q3=$L$2,1,0),0)</f>
        <v>0</v>
      </c>
      <c r="AA3" s="31" t="n">
        <v>1</v>
      </c>
      <c r="AB3" s="31" t="str">
        <f aca="false">Idiomas!D212</f>
        <v>Alemania</v>
      </c>
      <c r="AC3" s="31" t="n">
        <v>2</v>
      </c>
      <c r="AD3" s="804" t="n">
        <f aca="false">ABS(AC3/24)</f>
        <v>0.0833333333333333</v>
      </c>
      <c r="AE3" s="31" t="n">
        <v>0</v>
      </c>
      <c r="AF3" s="31" t="n">
        <f aca="false">AC3-$M$2</f>
        <v>6</v>
      </c>
      <c r="AG3" s="804" t="n">
        <f aca="false">ABS(AF3/24)</f>
        <v>0.25</v>
      </c>
      <c r="AH3" s="31" t="n">
        <f aca="false">IF(AC3&gt;$M$2,1,IF(AC3=$M$2,0,-1))</f>
        <v>1</v>
      </c>
      <c r="AI3" s="31" t="n">
        <f aca="false">+COUNTIF($AB$3:$AB$50,"&lt;="&amp;AB3)</f>
        <v>1</v>
      </c>
    </row>
    <row r="4" customFormat="false" ht="15" hidden="false" customHeight="false" outlineLevel="0" collapsed="false">
      <c r="A4" s="490" t="n">
        <v>46184.625</v>
      </c>
      <c r="C4" s="490" t="n">
        <f aca="false">A4+INDEX($V$3:$V$86,MATCH($C$3,$P$3:$P$86,0))*INDEX($W$3:$W$86,MATCH($C$3,$P$3:$P$86,0))</f>
        <v>46184.875</v>
      </c>
      <c r="D4" s="490"/>
      <c r="E4" s="490"/>
      <c r="P4" s="31" t="n">
        <v>2</v>
      </c>
      <c r="Q4" s="31" t="str">
        <f aca="false">+INDEX($AB$3:$AB$50,MATCH(P4,$AI$3:$AI$50,0))</f>
        <v>Arabia Saudita</v>
      </c>
      <c r="R4" s="31" t="n">
        <f aca="false">+INDEX($AC$3:$AH$86,MATCH($Q4,$AB$3:$AB$86,0),MATCH(R$2,$AC$2:$AH$2,0))</f>
        <v>3</v>
      </c>
      <c r="S4" s="804" t="n">
        <f aca="false">+INDEX($AC$3:$AH$86,MATCH($Q4,$AB$3:$AB$86,0),MATCH(S$2,$AC$2:$AH$2,0))</f>
        <v>0.125</v>
      </c>
      <c r="T4" s="31" t="n">
        <f aca="false">+INDEX($AC$3:$AH$86,MATCH($Q4,$AB$3:$AB$86,0),MATCH(T$2,$AC$2:$AH$2,0))</f>
        <v>0</v>
      </c>
      <c r="U4" s="31" t="n">
        <f aca="false">+INDEX($AC$3:$AH$86,MATCH($Q4,$AB$3:$AB$86,0),MATCH(U$2,$AC$2:$AH$2,0))</f>
        <v>7</v>
      </c>
      <c r="V4" s="804" t="n">
        <f aca="false">+INDEX($AC$3:$AH$86,MATCH($Q4,$AB$3:$AB$86,0),MATCH(V$2,$AC$2:$AH$2,0))</f>
        <v>0.291666666666667</v>
      </c>
      <c r="W4" s="31" t="n">
        <f aca="false">+INDEX($AC$3:$AH$86,MATCH($Q4,$AB$3:$AB$86,0),MATCH(W$2,$AC$2:$AH$2,0))</f>
        <v>1</v>
      </c>
      <c r="X4" s="31" t="n">
        <f aca="false">IFERROR(IF(Q4=$L$2,1,0),0)</f>
        <v>0</v>
      </c>
      <c r="AA4" s="31" t="n">
        <v>2</v>
      </c>
      <c r="AB4" s="31" t="str">
        <f aca="false">Idiomas!D213</f>
        <v>Arabia Saudita</v>
      </c>
      <c r="AC4" s="31" t="n">
        <v>3</v>
      </c>
      <c r="AD4" s="804" t="n">
        <f aca="false">ABS(AC4/24)</f>
        <v>0.125</v>
      </c>
      <c r="AE4" s="31" t="n">
        <v>0</v>
      </c>
      <c r="AF4" s="31" t="n">
        <f aca="false">AC4-$M$2</f>
        <v>7</v>
      </c>
      <c r="AG4" s="804" t="n">
        <f aca="false">ABS(AF4/24)</f>
        <v>0.291666666666667</v>
      </c>
      <c r="AH4" s="31" t="n">
        <f aca="false">IF(AC4&gt;$M$2,1,IF(AC4=$M$2,0,-1))</f>
        <v>1</v>
      </c>
      <c r="AI4" s="31" t="n">
        <f aca="false">+COUNTIF($AB$3:$AB$50,"&lt;="&amp;AB4)</f>
        <v>2</v>
      </c>
    </row>
    <row r="5" customFormat="false" ht="15" hidden="false" customHeight="false" outlineLevel="0" collapsed="false">
      <c r="A5" s="490" t="n">
        <v>46184.9166666667</v>
      </c>
      <c r="C5" s="490" t="n">
        <f aca="false">A5+INDEX($V$3:$V$86,MATCH($C$3,$P$3:$P$86,0))*INDEX($W$3:$W$86,MATCH($C$3,$P$3:$P$86,0))</f>
        <v>46185.1666666667</v>
      </c>
      <c r="D5" s="490"/>
      <c r="E5" s="490"/>
      <c r="P5" s="31" t="n">
        <v>3</v>
      </c>
      <c r="Q5" s="31" t="str">
        <f aca="false">+INDEX($AB$3:$AB$50,MATCH(P5,$AI$3:$AI$50,0))</f>
        <v>Argelia</v>
      </c>
      <c r="R5" s="31" t="n">
        <f aca="false">+INDEX($AC$3:$AH$86,MATCH($Q5,$AB$3:$AB$86,0),MATCH(R$2,$AC$2:$AH$2,0))</f>
        <v>1</v>
      </c>
      <c r="S5" s="804" t="n">
        <f aca="false">+INDEX($AC$3:$AH$86,MATCH($Q5,$AB$3:$AB$86,0),MATCH(S$2,$AC$2:$AH$2,0))</f>
        <v>0.0416666666666667</v>
      </c>
      <c r="T5" s="31" t="n">
        <f aca="false">+INDEX($AC$3:$AH$86,MATCH($Q5,$AB$3:$AB$86,0),MATCH(T$2,$AC$2:$AH$2,0))</f>
        <v>0</v>
      </c>
      <c r="U5" s="31" t="n">
        <f aca="false">+INDEX($AC$3:$AH$86,MATCH($Q5,$AB$3:$AB$86,0),MATCH(U$2,$AC$2:$AH$2,0))</f>
        <v>5</v>
      </c>
      <c r="V5" s="804" t="n">
        <f aca="false">+INDEX($AC$3:$AH$86,MATCH($Q5,$AB$3:$AB$86,0),MATCH(V$2,$AC$2:$AH$2,0))</f>
        <v>0.208333333333333</v>
      </c>
      <c r="W5" s="31" t="n">
        <f aca="false">+INDEX($AC$3:$AH$86,MATCH($Q5,$AB$3:$AB$86,0),MATCH(W$2,$AC$2:$AH$2,0))</f>
        <v>1</v>
      </c>
      <c r="X5" s="31" t="n">
        <f aca="false">IFERROR(IF(Q5=$L$2,1,0),0)</f>
        <v>0</v>
      </c>
      <c r="AA5" s="31" t="n">
        <v>3</v>
      </c>
      <c r="AB5" s="31" t="str">
        <f aca="false">Idiomas!D214</f>
        <v>Argelia</v>
      </c>
      <c r="AC5" s="31" t="n">
        <v>1</v>
      </c>
      <c r="AD5" s="804" t="n">
        <f aca="false">ABS(AC5/24)</f>
        <v>0.0416666666666667</v>
      </c>
      <c r="AE5" s="31" t="n">
        <v>0</v>
      </c>
      <c r="AF5" s="31" t="n">
        <f aca="false">AC5-$M$2</f>
        <v>5</v>
      </c>
      <c r="AG5" s="804" t="n">
        <f aca="false">ABS(AF5/24)</f>
        <v>0.208333333333333</v>
      </c>
      <c r="AH5" s="31" t="n">
        <f aca="false">IF(AC5&gt;$M$2,1,IF(AC5=$M$2,0,-1))</f>
        <v>1</v>
      </c>
      <c r="AI5" s="31" t="n">
        <f aca="false">+COUNTIF($AB$3:$AB$50,"&lt;="&amp;AB5)</f>
        <v>3</v>
      </c>
    </row>
    <row r="6" customFormat="false" ht="15" hidden="false" customHeight="false" outlineLevel="0" collapsed="false">
      <c r="A6" s="490" t="n">
        <v>46191.5</v>
      </c>
      <c r="C6" s="490" t="n">
        <f aca="false">A6+INDEX($V$3:$V$86,MATCH($C$3,$P$3:$P$86,0))*INDEX($W$3:$W$86,MATCH($C$3,$P$3:$P$86,0))</f>
        <v>46191.75</v>
      </c>
      <c r="D6" s="490"/>
      <c r="E6" s="490"/>
      <c r="P6" s="31" t="n">
        <v>4</v>
      </c>
      <c r="Q6" s="31" t="str">
        <f aca="false">+INDEX($AB$3:$AB$50,MATCH(P6,$AI$3:$AI$50,0))</f>
        <v>Argentina</v>
      </c>
      <c r="R6" s="31" t="n">
        <f aca="false">+INDEX($AC$3:$AH$86,MATCH($Q6,$AB$3:$AB$86,0),MATCH(R$2,$AC$2:$AH$2,0))</f>
        <v>-3</v>
      </c>
      <c r="S6" s="804" t="n">
        <f aca="false">+INDEX($AC$3:$AH$86,MATCH($Q6,$AB$3:$AB$86,0),MATCH(S$2,$AC$2:$AH$2,0))</f>
        <v>0.125</v>
      </c>
      <c r="T6" s="31" t="n">
        <f aca="false">+INDEX($AC$3:$AH$86,MATCH($Q6,$AB$3:$AB$86,0),MATCH(T$2,$AC$2:$AH$2,0))</f>
        <v>0</v>
      </c>
      <c r="U6" s="31" t="n">
        <f aca="false">+INDEX($AC$3:$AH$86,MATCH($Q6,$AB$3:$AB$86,0),MATCH(U$2,$AC$2:$AH$2,0))</f>
        <v>1</v>
      </c>
      <c r="V6" s="804" t="n">
        <f aca="false">+INDEX($AC$3:$AH$86,MATCH($Q6,$AB$3:$AB$86,0),MATCH(V$2,$AC$2:$AH$2,0))</f>
        <v>0.0416666666666667</v>
      </c>
      <c r="W6" s="31" t="n">
        <f aca="false">+INDEX($AC$3:$AH$86,MATCH($Q6,$AB$3:$AB$86,0),MATCH(W$2,$AC$2:$AH$2,0))</f>
        <v>1</v>
      </c>
      <c r="X6" s="31" t="n">
        <f aca="false">IFERROR(IF(Q6=$L$2,1,0),0)</f>
        <v>0</v>
      </c>
      <c r="AA6" s="31" t="n">
        <v>4</v>
      </c>
      <c r="AB6" s="31" t="str">
        <f aca="false">Idiomas!D215</f>
        <v>Argentina</v>
      </c>
      <c r="AC6" s="31" t="n">
        <v>-3</v>
      </c>
      <c r="AD6" s="804" t="n">
        <f aca="false">ABS(AC6/24)</f>
        <v>0.125</v>
      </c>
      <c r="AE6" s="31" t="n">
        <v>0</v>
      </c>
      <c r="AF6" s="31" t="n">
        <f aca="false">AC6-$M$2</f>
        <v>1</v>
      </c>
      <c r="AG6" s="804" t="n">
        <f aca="false">ABS(AF6/24)</f>
        <v>0.0416666666666667</v>
      </c>
      <c r="AH6" s="31" t="n">
        <f aca="false">IF(AC6&gt;$M$2,1,IF(AC6=$M$2,0,-1))</f>
        <v>1</v>
      </c>
      <c r="AI6" s="31" t="n">
        <f aca="false">+COUNTIF($AB$3:$AB$50,"&lt;="&amp;AB6)</f>
        <v>4</v>
      </c>
    </row>
    <row r="7" customFormat="false" ht="15" hidden="false" customHeight="false" outlineLevel="0" collapsed="false">
      <c r="A7" s="490" t="n">
        <v>46191.875</v>
      </c>
      <c r="C7" s="490" t="n">
        <f aca="false">A7+INDEX($V$3:$V$86,MATCH($C$3,$P$3:$P$86,0))*INDEX($W$3:$W$86,MATCH($C$3,$P$3:$P$86,0))</f>
        <v>46192.125</v>
      </c>
      <c r="D7" s="490"/>
      <c r="E7" s="490"/>
      <c r="P7" s="31" t="n">
        <v>5</v>
      </c>
      <c r="Q7" s="31" t="str">
        <f aca="false">+INDEX($AB$3:$AB$50,MATCH(P7,$AI$3:$AI$50,0))</f>
        <v>Australia</v>
      </c>
      <c r="R7" s="31" t="n">
        <f aca="false">+INDEX($AC$3:$AH$86,MATCH($Q7,$AB$3:$AB$86,0),MATCH(R$2,$AC$2:$AH$2,0))</f>
        <v>10.5</v>
      </c>
      <c r="S7" s="804" t="n">
        <f aca="false">+INDEX($AC$3:$AH$86,MATCH($Q7,$AB$3:$AB$86,0),MATCH(S$2,$AC$2:$AH$2,0))</f>
        <v>0.4375</v>
      </c>
      <c r="T7" s="31" t="n">
        <f aca="false">+INDEX($AC$3:$AH$86,MATCH($Q7,$AB$3:$AB$86,0),MATCH(T$2,$AC$2:$AH$2,0))</f>
        <v>0</v>
      </c>
      <c r="U7" s="31" t="n">
        <f aca="false">+INDEX($AC$3:$AH$86,MATCH($Q7,$AB$3:$AB$86,0),MATCH(U$2,$AC$2:$AH$2,0))</f>
        <v>14.5</v>
      </c>
      <c r="V7" s="804" t="n">
        <f aca="false">+INDEX($AC$3:$AH$86,MATCH($Q7,$AB$3:$AB$86,0),MATCH(V$2,$AC$2:$AH$2,0))</f>
        <v>0.604166666666667</v>
      </c>
      <c r="W7" s="31" t="n">
        <f aca="false">+INDEX($AC$3:$AH$86,MATCH($Q7,$AB$3:$AB$86,0),MATCH(W$2,$AC$2:$AH$2,0))</f>
        <v>1</v>
      </c>
      <c r="X7" s="31" t="n">
        <f aca="false">IFERROR(IF(Q7=$L$2,1,0),0)</f>
        <v>0</v>
      </c>
      <c r="AA7" s="31" t="n">
        <v>5</v>
      </c>
      <c r="AB7" s="31" t="str">
        <f aca="false">Idiomas!D216</f>
        <v>Australia</v>
      </c>
      <c r="AC7" s="31" t="n">
        <v>10.5</v>
      </c>
      <c r="AD7" s="804" t="n">
        <f aca="false">ABS(AC7/24)</f>
        <v>0.4375</v>
      </c>
      <c r="AE7" s="31" t="n">
        <v>0</v>
      </c>
      <c r="AF7" s="31" t="n">
        <f aca="false">AC7-$M$2</f>
        <v>14.5</v>
      </c>
      <c r="AG7" s="804" t="n">
        <f aca="false">ABS(AF7/24)</f>
        <v>0.604166666666667</v>
      </c>
      <c r="AH7" s="31" t="n">
        <f aca="false">IF(AC7&gt;$M$2,1,IF(AC7=$M$2,0,-1))</f>
        <v>1</v>
      </c>
      <c r="AI7" s="31" t="n">
        <f aca="false">+COUNTIF($AB$3:$AB$50,"&lt;="&amp;AB7)</f>
        <v>5</v>
      </c>
    </row>
    <row r="8" customFormat="false" ht="15" hidden="false" customHeight="false" outlineLevel="0" collapsed="false">
      <c r="A8" s="490" t="n">
        <v>46197.875</v>
      </c>
      <c r="C8" s="490" t="n">
        <f aca="false">A8+INDEX($V$3:$V$86,MATCH($C$3,$P$3:$P$86,0))*INDEX($W$3:$W$86,MATCH($C$3,$P$3:$P$86,0))</f>
        <v>46198.125</v>
      </c>
      <c r="D8" s="490"/>
      <c r="E8" s="490"/>
      <c r="P8" s="31" t="n">
        <v>6</v>
      </c>
      <c r="Q8" s="31" t="str">
        <f aca="false">+INDEX($AB$3:$AB$50,MATCH(P8,$AI$3:$AI$50,0))</f>
        <v>Austria</v>
      </c>
      <c r="R8" s="31" t="n">
        <f aca="false">+INDEX($AC$3:$AH$86,MATCH($Q8,$AB$3:$AB$86,0),MATCH(R$2,$AC$2:$AH$2,0))</f>
        <v>2</v>
      </c>
      <c r="S8" s="804" t="n">
        <f aca="false">+INDEX($AC$3:$AH$86,MATCH($Q8,$AB$3:$AB$86,0),MATCH(S$2,$AC$2:$AH$2,0))</f>
        <v>0.0833333333333333</v>
      </c>
      <c r="T8" s="31" t="n">
        <f aca="false">+INDEX($AC$3:$AH$86,MATCH($Q8,$AB$3:$AB$86,0),MATCH(T$2,$AC$2:$AH$2,0))</f>
        <v>0</v>
      </c>
      <c r="U8" s="31" t="n">
        <f aca="false">+INDEX($AC$3:$AH$86,MATCH($Q8,$AB$3:$AB$86,0),MATCH(U$2,$AC$2:$AH$2,0))</f>
        <v>6</v>
      </c>
      <c r="V8" s="804" t="n">
        <f aca="false">+INDEX($AC$3:$AH$86,MATCH($Q8,$AB$3:$AB$86,0),MATCH(V$2,$AC$2:$AH$2,0))</f>
        <v>0.25</v>
      </c>
      <c r="W8" s="31" t="n">
        <f aca="false">+INDEX($AC$3:$AH$86,MATCH($Q8,$AB$3:$AB$86,0),MATCH(W$2,$AC$2:$AH$2,0))</f>
        <v>1</v>
      </c>
      <c r="X8" s="31" t="n">
        <f aca="false">IFERROR(IF(Q8=$L$2,1,0),0)</f>
        <v>0</v>
      </c>
      <c r="AA8" s="31" t="n">
        <v>6</v>
      </c>
      <c r="AB8" s="31" t="str">
        <f aca="false">Idiomas!D217</f>
        <v>Austria</v>
      </c>
      <c r="AC8" s="31" t="n">
        <v>2</v>
      </c>
      <c r="AD8" s="804" t="n">
        <f aca="false">ABS(AC8/24)</f>
        <v>0.0833333333333333</v>
      </c>
      <c r="AE8" s="31" t="n">
        <v>0</v>
      </c>
      <c r="AF8" s="31" t="n">
        <f aca="false">AC8-$M$2</f>
        <v>6</v>
      </c>
      <c r="AG8" s="804" t="n">
        <f aca="false">ABS(AF8/24)</f>
        <v>0.25</v>
      </c>
      <c r="AH8" s="31" t="n">
        <f aca="false">IF(AC8&gt;$M$2,1,IF(AC8=$M$2,0,-1))</f>
        <v>1</v>
      </c>
      <c r="AI8" s="31" t="n">
        <f aca="false">+COUNTIF($AB$3:$AB$50,"&lt;="&amp;AB8)</f>
        <v>6</v>
      </c>
    </row>
    <row r="9" customFormat="false" ht="15" hidden="false" customHeight="false" outlineLevel="0" collapsed="false">
      <c r="A9" s="490" t="n">
        <v>46197.875</v>
      </c>
      <c r="C9" s="490" t="n">
        <f aca="false">A9+INDEX($V$3:$V$86,MATCH($C$3,$P$3:$P$86,0))*INDEX($W$3:$W$86,MATCH($C$3,$P$3:$P$86,0))</f>
        <v>46198.125</v>
      </c>
      <c r="D9" s="490"/>
      <c r="E9" s="490"/>
      <c r="P9" s="31" t="n">
        <v>7</v>
      </c>
      <c r="Q9" s="31" t="str">
        <f aca="false">+INDEX($AB$3:$AB$50,MATCH(P9,$AI$3:$AI$50,0))</f>
        <v>Bélgica</v>
      </c>
      <c r="R9" s="31" t="n">
        <f aca="false">+INDEX($AC$3:$AH$86,MATCH($Q9,$AB$3:$AB$86,0),MATCH(R$2,$AC$2:$AH$2,0))</f>
        <v>2</v>
      </c>
      <c r="S9" s="804" t="n">
        <f aca="false">+INDEX($AC$3:$AH$86,MATCH($Q9,$AB$3:$AB$86,0),MATCH(S$2,$AC$2:$AH$2,0))</f>
        <v>0.0833333333333333</v>
      </c>
      <c r="T9" s="31" t="n">
        <f aca="false">+INDEX($AC$3:$AH$86,MATCH($Q9,$AB$3:$AB$86,0),MATCH(T$2,$AC$2:$AH$2,0))</f>
        <v>0</v>
      </c>
      <c r="U9" s="31" t="n">
        <f aca="false">+INDEX($AC$3:$AH$86,MATCH($Q9,$AB$3:$AB$86,0),MATCH(U$2,$AC$2:$AH$2,0))</f>
        <v>6</v>
      </c>
      <c r="V9" s="804" t="n">
        <f aca="false">+INDEX($AC$3:$AH$86,MATCH($Q9,$AB$3:$AB$86,0),MATCH(V$2,$AC$2:$AH$2,0))</f>
        <v>0.25</v>
      </c>
      <c r="W9" s="31" t="n">
        <f aca="false">+INDEX($AC$3:$AH$86,MATCH($Q9,$AB$3:$AB$86,0),MATCH(W$2,$AC$2:$AH$2,0))</f>
        <v>1</v>
      </c>
      <c r="X9" s="31" t="n">
        <f aca="false">IFERROR(IF(Q9=$L$2,1,0),0)</f>
        <v>0</v>
      </c>
      <c r="AA9" s="31" t="n">
        <v>7</v>
      </c>
      <c r="AB9" s="31" t="str">
        <f aca="false">Idiomas!D218</f>
        <v>Bélgica</v>
      </c>
      <c r="AC9" s="31" t="n">
        <v>2</v>
      </c>
      <c r="AD9" s="804" t="n">
        <f aca="false">ABS(AC9/24)</f>
        <v>0.0833333333333333</v>
      </c>
      <c r="AE9" s="31" t="n">
        <v>0</v>
      </c>
      <c r="AF9" s="31" t="n">
        <f aca="false">AC9-$M$2</f>
        <v>6</v>
      </c>
      <c r="AG9" s="804" t="n">
        <f aca="false">ABS(AF9/24)</f>
        <v>0.25</v>
      </c>
      <c r="AH9" s="31" t="n">
        <f aca="false">IF(AC9&gt;$M$2,1,IF(AC9=$M$2,0,-1))</f>
        <v>1</v>
      </c>
      <c r="AI9" s="31" t="n">
        <f aca="false">+COUNTIF($AB$3:$AB$50,"&lt;="&amp;AB9)</f>
        <v>7</v>
      </c>
    </row>
    <row r="10" customFormat="false" ht="15" hidden="false" customHeight="false" outlineLevel="0" collapsed="false">
      <c r="C10" s="490"/>
      <c r="E10" s="490"/>
      <c r="P10" s="31" t="n">
        <v>8</v>
      </c>
      <c r="Q10" s="31" t="str">
        <f aca="false">+INDEX($AB$3:$AB$50,MATCH(P10,$AI$3:$AI$50,0))</f>
        <v>Bosnia y Herzegovina</v>
      </c>
      <c r="R10" s="31" t="n">
        <f aca="false">+INDEX($AC$3:$AH$86,MATCH($Q10,$AB$3:$AB$86,0),MATCH(R$2,$AC$2:$AH$2,0))</f>
        <v>2</v>
      </c>
      <c r="S10" s="804" t="n">
        <f aca="false">+INDEX($AC$3:$AH$86,MATCH($Q10,$AB$3:$AB$86,0),MATCH(S$2,$AC$2:$AH$2,0))</f>
        <v>0.0833333333333333</v>
      </c>
      <c r="T10" s="31" t="n">
        <f aca="false">+INDEX($AC$3:$AH$86,MATCH($Q10,$AB$3:$AB$86,0),MATCH(T$2,$AC$2:$AH$2,0))</f>
        <v>0</v>
      </c>
      <c r="U10" s="31" t="n">
        <f aca="false">+INDEX($AC$3:$AH$86,MATCH($Q10,$AB$3:$AB$86,0),MATCH(U$2,$AC$2:$AH$2,0))</f>
        <v>6</v>
      </c>
      <c r="V10" s="804" t="n">
        <f aca="false">+INDEX($AC$3:$AH$86,MATCH($Q10,$AB$3:$AB$86,0),MATCH(V$2,$AC$2:$AH$2,0))</f>
        <v>0.25</v>
      </c>
      <c r="W10" s="31" t="n">
        <f aca="false">+INDEX($AC$3:$AH$86,MATCH($Q10,$AB$3:$AB$86,0),MATCH(W$2,$AC$2:$AH$2,0))</f>
        <v>1</v>
      </c>
      <c r="X10" s="31" t="n">
        <f aca="false">IFERROR(IF(Q10=$L$2,1,0),0)</f>
        <v>0</v>
      </c>
      <c r="AA10" s="31" t="n">
        <v>8</v>
      </c>
      <c r="AB10" s="31" t="str">
        <f aca="false">Idiomas!D219</f>
        <v>Brasil</v>
      </c>
      <c r="AC10" s="31" t="n">
        <v>-3</v>
      </c>
      <c r="AD10" s="804" t="n">
        <f aca="false">ABS(AC10/24)</f>
        <v>0.125</v>
      </c>
      <c r="AE10" s="31" t="n">
        <v>0</v>
      </c>
      <c r="AF10" s="31" t="n">
        <f aca="false">AC10-$M$2</f>
        <v>1</v>
      </c>
      <c r="AG10" s="804" t="n">
        <f aca="false">ABS(AF10/24)</f>
        <v>0.0416666666666667</v>
      </c>
      <c r="AH10" s="31" t="n">
        <f aca="false">IF(AC10&gt;$M$2,1,IF(AC10=$M$2,0,-1))</f>
        <v>1</v>
      </c>
      <c r="AI10" s="31" t="n">
        <f aca="false">+COUNTIF($AB$3:$AB$50,"&lt;="&amp;AB10)</f>
        <v>9</v>
      </c>
    </row>
    <row r="11" customFormat="false" ht="15" hidden="false" customHeight="false" outlineLevel="0" collapsed="false">
      <c r="A11" s="30" t="s">
        <v>1471</v>
      </c>
      <c r="C11" s="490"/>
      <c r="E11" s="490"/>
      <c r="P11" s="31" t="n">
        <v>9</v>
      </c>
      <c r="Q11" s="31" t="str">
        <f aca="false">+INDEX($AB$3:$AB$50,MATCH(P11,$AI$3:$AI$50,0))</f>
        <v>Brasil</v>
      </c>
      <c r="R11" s="31" t="n">
        <f aca="false">+INDEX($AC$3:$AH$86,MATCH($Q11,$AB$3:$AB$86,0),MATCH(R$2,$AC$2:$AH$2,0))</f>
        <v>-3</v>
      </c>
      <c r="S11" s="804" t="n">
        <f aca="false">+INDEX($AC$3:$AH$86,MATCH($Q11,$AB$3:$AB$86,0),MATCH(S$2,$AC$2:$AH$2,0))</f>
        <v>0.125</v>
      </c>
      <c r="T11" s="31" t="n">
        <f aca="false">+INDEX($AC$3:$AH$86,MATCH($Q11,$AB$3:$AB$86,0),MATCH(T$2,$AC$2:$AH$2,0))</f>
        <v>0</v>
      </c>
      <c r="U11" s="31" t="n">
        <f aca="false">+INDEX($AC$3:$AH$86,MATCH($Q11,$AB$3:$AB$86,0),MATCH(U$2,$AC$2:$AH$2,0))</f>
        <v>1</v>
      </c>
      <c r="V11" s="804" t="n">
        <f aca="false">+INDEX($AC$3:$AH$86,MATCH($Q11,$AB$3:$AB$86,0),MATCH(V$2,$AC$2:$AH$2,0))</f>
        <v>0.0416666666666667</v>
      </c>
      <c r="W11" s="31" t="n">
        <f aca="false">+INDEX($AC$3:$AH$86,MATCH($Q11,$AB$3:$AB$86,0),MATCH(W$2,$AC$2:$AH$2,0))</f>
        <v>1</v>
      </c>
      <c r="X11" s="31" t="n">
        <f aca="false">IFERROR(IF(Q11=$L$2,1,0),0)</f>
        <v>0</v>
      </c>
      <c r="AA11" s="31" t="n">
        <v>9</v>
      </c>
      <c r="AB11" s="31" t="str">
        <f aca="false">Idiomas!D220</f>
        <v>Cabo Verde</v>
      </c>
      <c r="AC11" s="31" t="n">
        <v>-1</v>
      </c>
      <c r="AD11" s="804" t="n">
        <f aca="false">ABS(AC11/24)</f>
        <v>0.0416666666666667</v>
      </c>
      <c r="AE11" s="31" t="n">
        <v>0</v>
      </c>
      <c r="AF11" s="31" t="n">
        <f aca="false">AC11-$M$2</f>
        <v>3</v>
      </c>
      <c r="AG11" s="804" t="n">
        <f aca="false">ABS(AF11/24)</f>
        <v>0.125</v>
      </c>
      <c r="AH11" s="31" t="n">
        <f aca="false">IF(AC11&gt;$M$2,1,IF(AC11=$M$2,0,-1))</f>
        <v>1</v>
      </c>
      <c r="AI11" s="31" t="n">
        <f aca="false">+COUNTIF($AB$3:$AB$50,"&lt;="&amp;AB11)</f>
        <v>10</v>
      </c>
    </row>
    <row r="12" customFormat="false" ht="15" hidden="false" customHeight="false" outlineLevel="0" collapsed="false">
      <c r="A12" s="490" t="n">
        <v>46185.625</v>
      </c>
      <c r="C12" s="490" t="n">
        <f aca="false">A12+INDEX($V$3:$V$86,MATCH($C$3,$P$3:$P$86,0))*INDEX($W$3:$W$86,MATCH($C$3,$P$3:$P$86,0))</f>
        <v>46185.875</v>
      </c>
      <c r="D12" s="490"/>
      <c r="E12" s="490"/>
      <c r="P12" s="31" t="n">
        <v>10</v>
      </c>
      <c r="Q12" s="31" t="str">
        <f aca="false">+INDEX($AB$3:$AB$50,MATCH(P12,$AI$3:$AI$50,0))</f>
        <v>Cabo Verde</v>
      </c>
      <c r="R12" s="31" t="n">
        <f aca="false">+INDEX($AC$3:$AH$86,MATCH($Q12,$AB$3:$AB$86,0),MATCH(R$2,$AC$2:$AH$2,0))</f>
        <v>-1</v>
      </c>
      <c r="S12" s="804" t="n">
        <f aca="false">+INDEX($AC$3:$AH$86,MATCH($Q12,$AB$3:$AB$86,0),MATCH(S$2,$AC$2:$AH$2,0))</f>
        <v>0.0416666666666667</v>
      </c>
      <c r="T12" s="31" t="n">
        <f aca="false">+INDEX($AC$3:$AH$86,MATCH($Q12,$AB$3:$AB$86,0),MATCH(T$2,$AC$2:$AH$2,0))</f>
        <v>0</v>
      </c>
      <c r="U12" s="31" t="n">
        <f aca="false">+INDEX($AC$3:$AH$86,MATCH($Q12,$AB$3:$AB$86,0),MATCH(U$2,$AC$2:$AH$2,0))</f>
        <v>3</v>
      </c>
      <c r="V12" s="804" t="n">
        <f aca="false">+INDEX($AC$3:$AH$86,MATCH($Q12,$AB$3:$AB$86,0),MATCH(V$2,$AC$2:$AH$2,0))</f>
        <v>0.125</v>
      </c>
      <c r="W12" s="31" t="n">
        <f aca="false">+INDEX($AC$3:$AH$86,MATCH($Q12,$AB$3:$AB$86,0),MATCH(W$2,$AC$2:$AH$2,0))</f>
        <v>1</v>
      </c>
      <c r="X12" s="31" t="n">
        <f aca="false">IFERROR(IF(Q12=$L$2,1,0),0)</f>
        <v>0</v>
      </c>
      <c r="AA12" s="31" t="n">
        <v>10</v>
      </c>
      <c r="AB12" s="31" t="str">
        <f aca="false">Idiomas!D221</f>
        <v>Canadá</v>
      </c>
      <c r="AC12" s="31" t="n">
        <v>-4</v>
      </c>
      <c r="AD12" s="804" t="n">
        <f aca="false">ABS(AC12/24)</f>
        <v>0.166666666666667</v>
      </c>
      <c r="AE12" s="31" t="n">
        <v>0</v>
      </c>
      <c r="AF12" s="31" t="n">
        <f aca="false">AC12-$M$2</f>
        <v>0</v>
      </c>
      <c r="AG12" s="804" t="n">
        <f aca="false">ABS(AF12/24)</f>
        <v>0</v>
      </c>
      <c r="AH12" s="31" t="n">
        <f aca="false">IF(AC12&gt;$M$2,1,IF(AC12=$M$2,0,-1))</f>
        <v>0</v>
      </c>
      <c r="AI12" s="31" t="n">
        <f aca="false">+COUNTIF($AB$3:$AB$50,"&lt;="&amp;AB12)</f>
        <v>11</v>
      </c>
    </row>
    <row r="13" customFormat="false" ht="15" hidden="false" customHeight="false" outlineLevel="0" collapsed="false">
      <c r="A13" s="490" t="n">
        <v>46186.625</v>
      </c>
      <c r="C13" s="490" t="n">
        <f aca="false">A13+INDEX($V$3:$V$86,MATCH($C$3,$P$3:$P$86,0))*INDEX($W$3:$W$86,MATCH($C$3,$P$3:$P$86,0))</f>
        <v>46186.875</v>
      </c>
      <c r="D13" s="490"/>
      <c r="E13" s="490"/>
      <c r="P13" s="31" t="n">
        <v>11</v>
      </c>
      <c r="Q13" s="31" t="str">
        <f aca="false">+INDEX($AB$3:$AB$50,MATCH(P13,$AI$3:$AI$50,0))</f>
        <v>Canadá</v>
      </c>
      <c r="R13" s="31" t="n">
        <f aca="false">+INDEX($AC$3:$AH$86,MATCH($Q13,$AB$3:$AB$86,0),MATCH(R$2,$AC$2:$AH$2,0))</f>
        <v>-4</v>
      </c>
      <c r="S13" s="804" t="n">
        <f aca="false">+INDEX($AC$3:$AH$86,MATCH($Q13,$AB$3:$AB$86,0),MATCH(S$2,$AC$2:$AH$2,0))</f>
        <v>0.166666666666667</v>
      </c>
      <c r="T13" s="31" t="n">
        <f aca="false">+INDEX($AC$3:$AH$86,MATCH($Q13,$AB$3:$AB$86,0),MATCH(T$2,$AC$2:$AH$2,0))</f>
        <v>0</v>
      </c>
      <c r="U13" s="31" t="n">
        <f aca="false">+INDEX($AC$3:$AH$86,MATCH($Q13,$AB$3:$AB$86,0),MATCH(U$2,$AC$2:$AH$2,0))</f>
        <v>0</v>
      </c>
      <c r="V13" s="804" t="n">
        <f aca="false">+INDEX($AC$3:$AH$86,MATCH($Q13,$AB$3:$AB$86,0),MATCH(V$2,$AC$2:$AH$2,0))</f>
        <v>0</v>
      </c>
      <c r="W13" s="31" t="n">
        <f aca="false">+INDEX($AC$3:$AH$86,MATCH($Q13,$AB$3:$AB$86,0),MATCH(W$2,$AC$2:$AH$2,0))</f>
        <v>0</v>
      </c>
      <c r="X13" s="31" t="n">
        <f aca="false">IFERROR(IF(Q13=$L$2,1,0),0)</f>
        <v>0</v>
      </c>
      <c r="AA13" s="31" t="n">
        <v>11</v>
      </c>
      <c r="AB13" s="31" t="str">
        <f aca="false">Idiomas!D222</f>
        <v>Catar</v>
      </c>
      <c r="AC13" s="31" t="n">
        <v>3</v>
      </c>
      <c r="AD13" s="804" t="n">
        <f aca="false">ABS(AC13/24)</f>
        <v>0.125</v>
      </c>
      <c r="AE13" s="31" t="n">
        <v>0</v>
      </c>
      <c r="AF13" s="31" t="n">
        <f aca="false">AC13-$M$2</f>
        <v>7</v>
      </c>
      <c r="AG13" s="804" t="n">
        <f aca="false">ABS(AF13/24)</f>
        <v>0.291666666666667</v>
      </c>
      <c r="AH13" s="31" t="n">
        <f aca="false">IF(AC13&gt;$M$2,1,IF(AC13=$M$2,0,-1))</f>
        <v>1</v>
      </c>
      <c r="AI13" s="31" t="n">
        <f aca="false">+COUNTIF($AB$3:$AB$50,"&lt;="&amp;AB13)</f>
        <v>12</v>
      </c>
    </row>
    <row r="14" customFormat="false" ht="15" hidden="false" customHeight="false" outlineLevel="0" collapsed="false">
      <c r="A14" s="490" t="n">
        <v>46191.625</v>
      </c>
      <c r="C14" s="490" t="n">
        <f aca="false">A14+INDEX($V$3:$V$86,MATCH($C$3,$P$3:$P$86,0))*INDEX($W$3:$W$86,MATCH($C$3,$P$3:$P$86,0))</f>
        <v>46191.875</v>
      </c>
      <c r="D14" s="490"/>
      <c r="E14" s="490"/>
      <c r="P14" s="31" t="n">
        <v>12</v>
      </c>
      <c r="Q14" s="31" t="str">
        <f aca="false">+INDEX($AB$3:$AB$50,MATCH(P14,$AI$3:$AI$50,0))</f>
        <v>Catar</v>
      </c>
      <c r="R14" s="31" t="n">
        <f aca="false">+INDEX($AC$3:$AH$86,MATCH($Q14,$AB$3:$AB$86,0),MATCH(R$2,$AC$2:$AH$2,0))</f>
        <v>3</v>
      </c>
      <c r="S14" s="804" t="n">
        <f aca="false">+INDEX($AC$3:$AH$86,MATCH($Q14,$AB$3:$AB$86,0),MATCH(S$2,$AC$2:$AH$2,0))</f>
        <v>0.125</v>
      </c>
      <c r="T14" s="31" t="n">
        <f aca="false">+INDEX($AC$3:$AH$86,MATCH($Q14,$AB$3:$AB$86,0),MATCH(T$2,$AC$2:$AH$2,0))</f>
        <v>0</v>
      </c>
      <c r="U14" s="31" t="n">
        <f aca="false">+INDEX($AC$3:$AH$86,MATCH($Q14,$AB$3:$AB$86,0),MATCH(U$2,$AC$2:$AH$2,0))</f>
        <v>7</v>
      </c>
      <c r="V14" s="804" t="n">
        <f aca="false">+INDEX($AC$3:$AH$86,MATCH($Q14,$AB$3:$AB$86,0),MATCH(V$2,$AC$2:$AH$2,0))</f>
        <v>0.291666666666667</v>
      </c>
      <c r="W14" s="31" t="n">
        <f aca="false">+INDEX($AC$3:$AH$86,MATCH($Q14,$AB$3:$AB$86,0),MATCH(W$2,$AC$2:$AH$2,0))</f>
        <v>1</v>
      </c>
      <c r="X14" s="31" t="n">
        <f aca="false">IFERROR(IF(Q14=$L$2,1,0),0)</f>
        <v>0</v>
      </c>
      <c r="AA14" s="31" t="n">
        <v>12</v>
      </c>
      <c r="AB14" s="31" t="str">
        <f aca="false">Idiomas!D223</f>
        <v>Colombia</v>
      </c>
      <c r="AC14" s="31" t="n">
        <v>-5</v>
      </c>
      <c r="AD14" s="804" t="n">
        <f aca="false">ABS(AC14/24)</f>
        <v>0.208333333333333</v>
      </c>
      <c r="AE14" s="31" t="n">
        <v>0</v>
      </c>
      <c r="AF14" s="31" t="n">
        <f aca="false">AC14-$M$2</f>
        <v>-1</v>
      </c>
      <c r="AG14" s="804" t="n">
        <f aca="false">ABS(AF14/24)</f>
        <v>0.0416666666666667</v>
      </c>
      <c r="AH14" s="31" t="n">
        <f aca="false">IF(AC14&gt;$M$2,1,IF(AC14=$M$2,0,-1))</f>
        <v>-1</v>
      </c>
      <c r="AI14" s="31" t="n">
        <f aca="false">+COUNTIF($AB$3:$AB$50,"&lt;="&amp;AB14)</f>
        <v>13</v>
      </c>
    </row>
    <row r="15" customFormat="false" ht="15" hidden="false" customHeight="false" outlineLevel="0" collapsed="false">
      <c r="A15" s="490" t="n">
        <v>46191.75</v>
      </c>
      <c r="C15" s="490" t="n">
        <f aca="false">A15+INDEX($V$3:$V$86,MATCH($C$3,$P$3:$P$86,0))*INDEX($W$3:$W$86,MATCH($C$3,$P$3:$P$86,0))</f>
        <v>46192</v>
      </c>
      <c r="D15" s="490"/>
      <c r="E15" s="490"/>
      <c r="P15" s="31" t="n">
        <v>13</v>
      </c>
      <c r="Q15" s="31" t="str">
        <f aca="false">+INDEX($AB$3:$AB$50,MATCH(P15,$AI$3:$AI$50,0))</f>
        <v>Colombia</v>
      </c>
      <c r="R15" s="31" t="n">
        <f aca="false">+INDEX($AC$3:$AH$86,MATCH($Q15,$AB$3:$AB$86,0),MATCH(R$2,$AC$2:$AH$2,0))</f>
        <v>-5</v>
      </c>
      <c r="S15" s="804" t="n">
        <f aca="false">+INDEX($AC$3:$AH$86,MATCH($Q15,$AB$3:$AB$86,0),MATCH(S$2,$AC$2:$AH$2,0))</f>
        <v>0.208333333333333</v>
      </c>
      <c r="T15" s="31" t="n">
        <f aca="false">+INDEX($AC$3:$AH$86,MATCH($Q15,$AB$3:$AB$86,0),MATCH(T$2,$AC$2:$AH$2,0))</f>
        <v>0</v>
      </c>
      <c r="U15" s="31" t="n">
        <f aca="false">+INDEX($AC$3:$AH$86,MATCH($Q15,$AB$3:$AB$86,0),MATCH(U$2,$AC$2:$AH$2,0))</f>
        <v>-1</v>
      </c>
      <c r="V15" s="804" t="n">
        <f aca="false">+INDEX($AC$3:$AH$86,MATCH($Q15,$AB$3:$AB$86,0),MATCH(V$2,$AC$2:$AH$2,0))</f>
        <v>0.0416666666666667</v>
      </c>
      <c r="W15" s="31" t="n">
        <f aca="false">+INDEX($AC$3:$AH$86,MATCH($Q15,$AB$3:$AB$86,0),MATCH(W$2,$AC$2:$AH$2,0))</f>
        <v>-1</v>
      </c>
      <c r="X15" s="31" t="n">
        <f aca="false">IFERROR(IF(Q15=$L$2,1,0),0)</f>
        <v>0</v>
      </c>
      <c r="AA15" s="31" t="n">
        <v>13</v>
      </c>
      <c r="AB15" s="31" t="str">
        <f aca="false">Idiomas!D224</f>
        <v>Corea del Sur</v>
      </c>
      <c r="AC15" s="31" t="n">
        <v>9</v>
      </c>
      <c r="AD15" s="804" t="n">
        <f aca="false">ABS(AC15/24)</f>
        <v>0.375</v>
      </c>
      <c r="AE15" s="31" t="n">
        <v>0</v>
      </c>
      <c r="AF15" s="31" t="n">
        <f aca="false">AC15-$M$2</f>
        <v>13</v>
      </c>
      <c r="AG15" s="804" t="n">
        <f aca="false">ABS(AF15/24)</f>
        <v>0.541666666666667</v>
      </c>
      <c r="AH15" s="31" t="n">
        <f aca="false">IF(AC15&gt;$M$2,1,IF(AC15=$M$2,0,-1))</f>
        <v>1</v>
      </c>
      <c r="AI15" s="31" t="n">
        <f aca="false">+COUNTIF($AB$3:$AB$50,"&lt;="&amp;AB15)</f>
        <v>14</v>
      </c>
    </row>
    <row r="16" customFormat="false" ht="15" hidden="false" customHeight="false" outlineLevel="0" collapsed="false">
      <c r="A16" s="490" t="n">
        <v>46197.625</v>
      </c>
      <c r="C16" s="490" t="n">
        <f aca="false">A16+INDEX($V$3:$V$86,MATCH($C$3,$P$3:$P$86,0))*INDEX($W$3:$W$86,MATCH($C$3,$P$3:$P$86,0))</f>
        <v>46197.875</v>
      </c>
      <c r="D16" s="490"/>
      <c r="E16" s="490"/>
      <c r="P16" s="31" t="n">
        <v>14</v>
      </c>
      <c r="Q16" s="31" t="str">
        <f aca="false">+INDEX($AB$3:$AB$50,MATCH(P16,$AI$3:$AI$50,0))</f>
        <v>Corea del Sur</v>
      </c>
      <c r="R16" s="31" t="n">
        <f aca="false">+INDEX($AC$3:$AH$86,MATCH($Q16,$AB$3:$AB$86,0),MATCH(R$2,$AC$2:$AH$2,0))</f>
        <v>9</v>
      </c>
      <c r="S16" s="804" t="n">
        <f aca="false">+INDEX($AC$3:$AH$86,MATCH($Q16,$AB$3:$AB$86,0),MATCH(S$2,$AC$2:$AH$2,0))</f>
        <v>0.375</v>
      </c>
      <c r="T16" s="31" t="n">
        <f aca="false">+INDEX($AC$3:$AH$86,MATCH($Q16,$AB$3:$AB$86,0),MATCH(T$2,$AC$2:$AH$2,0))</f>
        <v>0</v>
      </c>
      <c r="U16" s="31" t="n">
        <f aca="false">+INDEX($AC$3:$AH$86,MATCH($Q16,$AB$3:$AB$86,0),MATCH(U$2,$AC$2:$AH$2,0))</f>
        <v>13</v>
      </c>
      <c r="V16" s="804" t="n">
        <f aca="false">+INDEX($AC$3:$AH$86,MATCH($Q16,$AB$3:$AB$86,0),MATCH(V$2,$AC$2:$AH$2,0))</f>
        <v>0.541666666666667</v>
      </c>
      <c r="W16" s="31" t="n">
        <f aca="false">+INDEX($AC$3:$AH$86,MATCH($Q16,$AB$3:$AB$86,0),MATCH(W$2,$AC$2:$AH$2,0))</f>
        <v>1</v>
      </c>
      <c r="X16" s="31" t="n">
        <f aca="false">IFERROR(IF(Q16=$L$2,1,0),0)</f>
        <v>0</v>
      </c>
      <c r="AA16" s="31" t="n">
        <v>14</v>
      </c>
      <c r="AB16" s="31" t="str">
        <f aca="false">Idiomas!D225</f>
        <v>Costa de Marfil</v>
      </c>
      <c r="AC16" s="31" t="n">
        <v>0</v>
      </c>
      <c r="AD16" s="804" t="n">
        <f aca="false">ABS(AC16/24)</f>
        <v>0</v>
      </c>
      <c r="AE16" s="31" t="n">
        <v>0</v>
      </c>
      <c r="AF16" s="31" t="n">
        <f aca="false">AC16-$M$2</f>
        <v>4</v>
      </c>
      <c r="AG16" s="804" t="n">
        <f aca="false">ABS(AF16/24)</f>
        <v>0.166666666666667</v>
      </c>
      <c r="AH16" s="31" t="n">
        <f aca="false">IF(AC16&gt;$M$2,1,IF(AC16=$M$2,0,-1))</f>
        <v>1</v>
      </c>
      <c r="AI16" s="31" t="n">
        <f aca="false">+COUNTIF($AB$3:$AB$50,"&lt;="&amp;AB16)</f>
        <v>15</v>
      </c>
    </row>
    <row r="17" customFormat="false" ht="15" hidden="false" customHeight="false" outlineLevel="0" collapsed="false">
      <c r="A17" s="490" t="n">
        <v>46197.625</v>
      </c>
      <c r="C17" s="490" t="n">
        <f aca="false">A17+INDEX($V$3:$V$86,MATCH($C$3,$P$3:$P$86,0))*INDEX($W$3:$W$86,MATCH($C$3,$P$3:$P$86,0))</f>
        <v>46197.875</v>
      </c>
      <c r="D17" s="490"/>
      <c r="E17" s="490"/>
      <c r="P17" s="31" t="n">
        <v>15</v>
      </c>
      <c r="Q17" s="31" t="str">
        <f aca="false">+INDEX($AB$3:$AB$50,MATCH(P17,$AI$3:$AI$50,0))</f>
        <v>Costa de Marfil</v>
      </c>
      <c r="R17" s="31" t="n">
        <f aca="false">+INDEX($AC$3:$AH$86,MATCH($Q17,$AB$3:$AB$86,0),MATCH(R$2,$AC$2:$AH$2,0))</f>
        <v>0</v>
      </c>
      <c r="S17" s="804" t="n">
        <f aca="false">+INDEX($AC$3:$AH$86,MATCH($Q17,$AB$3:$AB$86,0),MATCH(S$2,$AC$2:$AH$2,0))</f>
        <v>0</v>
      </c>
      <c r="T17" s="31" t="n">
        <f aca="false">+INDEX($AC$3:$AH$86,MATCH($Q17,$AB$3:$AB$86,0),MATCH(T$2,$AC$2:$AH$2,0))</f>
        <v>0</v>
      </c>
      <c r="U17" s="31" t="n">
        <f aca="false">+INDEX($AC$3:$AH$86,MATCH($Q17,$AB$3:$AB$86,0),MATCH(U$2,$AC$2:$AH$2,0))</f>
        <v>4</v>
      </c>
      <c r="V17" s="804" t="n">
        <f aca="false">+INDEX($AC$3:$AH$86,MATCH($Q17,$AB$3:$AB$86,0),MATCH(V$2,$AC$2:$AH$2,0))</f>
        <v>0.166666666666667</v>
      </c>
      <c r="W17" s="31" t="n">
        <f aca="false">+INDEX($AC$3:$AH$86,MATCH($Q17,$AB$3:$AB$86,0),MATCH(W$2,$AC$2:$AH$2,0))</f>
        <v>1</v>
      </c>
      <c r="X17" s="31" t="n">
        <f aca="false">IFERROR(IF(Q17=$L$2,1,0),0)</f>
        <v>0</v>
      </c>
      <c r="AA17" s="31" t="n">
        <v>15</v>
      </c>
      <c r="AB17" s="31" t="str">
        <f aca="false">Idiomas!D226</f>
        <v>Croacia</v>
      </c>
      <c r="AC17" s="31" t="n">
        <v>2</v>
      </c>
      <c r="AD17" s="804" t="n">
        <f aca="false">ABS(AC17/24)</f>
        <v>0.0833333333333333</v>
      </c>
      <c r="AE17" s="31" t="n">
        <v>0</v>
      </c>
      <c r="AF17" s="31" t="n">
        <f aca="false">AC17-$M$2</f>
        <v>6</v>
      </c>
      <c r="AG17" s="804" t="n">
        <f aca="false">ABS(AF17/24)</f>
        <v>0.25</v>
      </c>
      <c r="AH17" s="31" t="n">
        <f aca="false">IF(AC17&gt;$M$2,1,IF(AC17=$M$2,0,-1))</f>
        <v>1</v>
      </c>
      <c r="AI17" s="31" t="n">
        <f aca="false">+COUNTIF($AB$3:$AB$50,"&lt;="&amp;AB17)</f>
        <v>16</v>
      </c>
    </row>
    <row r="18" customFormat="false" ht="15" hidden="false" customHeight="false" outlineLevel="0" collapsed="false">
      <c r="C18" s="490"/>
      <c r="E18" s="490"/>
      <c r="P18" s="31" t="n">
        <v>16</v>
      </c>
      <c r="Q18" s="31" t="str">
        <f aca="false">+INDEX($AB$3:$AB$50,MATCH(P18,$AI$3:$AI$50,0))</f>
        <v>Croacia</v>
      </c>
      <c r="R18" s="31" t="n">
        <f aca="false">+INDEX($AC$3:$AH$86,MATCH($Q18,$AB$3:$AB$86,0),MATCH(R$2,$AC$2:$AH$2,0))</f>
        <v>2</v>
      </c>
      <c r="S18" s="804" t="n">
        <f aca="false">+INDEX($AC$3:$AH$86,MATCH($Q18,$AB$3:$AB$86,0),MATCH(S$2,$AC$2:$AH$2,0))</f>
        <v>0.0833333333333333</v>
      </c>
      <c r="T18" s="31" t="n">
        <f aca="false">+INDEX($AC$3:$AH$86,MATCH($Q18,$AB$3:$AB$86,0),MATCH(T$2,$AC$2:$AH$2,0))</f>
        <v>0</v>
      </c>
      <c r="U18" s="31" t="n">
        <f aca="false">+INDEX($AC$3:$AH$86,MATCH($Q18,$AB$3:$AB$86,0),MATCH(U$2,$AC$2:$AH$2,0))</f>
        <v>6</v>
      </c>
      <c r="V18" s="804" t="n">
        <f aca="false">+INDEX($AC$3:$AH$86,MATCH($Q18,$AB$3:$AB$86,0),MATCH(V$2,$AC$2:$AH$2,0))</f>
        <v>0.25</v>
      </c>
      <c r="W18" s="31" t="n">
        <f aca="false">+INDEX($AC$3:$AH$86,MATCH($Q18,$AB$3:$AB$86,0),MATCH(W$2,$AC$2:$AH$2,0))</f>
        <v>1</v>
      </c>
      <c r="X18" s="31" t="n">
        <f aca="false">IFERROR(IF(Q18=$L$2,1,0),0)</f>
        <v>0</v>
      </c>
      <c r="AA18" s="31" t="n">
        <v>16</v>
      </c>
      <c r="AB18" s="31" t="str">
        <f aca="false">Idiomas!D227</f>
        <v>Curazao</v>
      </c>
      <c r="AC18" s="31" t="n">
        <v>-4</v>
      </c>
      <c r="AD18" s="804" t="n">
        <f aca="false">ABS(AC18/24)</f>
        <v>0.166666666666667</v>
      </c>
      <c r="AE18" s="31" t="n">
        <v>0</v>
      </c>
      <c r="AF18" s="31" t="n">
        <f aca="false">AC18-$M$2</f>
        <v>0</v>
      </c>
      <c r="AG18" s="804" t="n">
        <f aca="false">ABS(AF18/24)</f>
        <v>0</v>
      </c>
      <c r="AH18" s="31" t="n">
        <f aca="false">IF(AC18&gt;$M$2,1,IF(AC18=$M$2,0,-1))</f>
        <v>0</v>
      </c>
      <c r="AI18" s="31" t="n">
        <f aca="false">+COUNTIF($AB$3:$AB$50,"&lt;="&amp;AB18)</f>
        <v>17</v>
      </c>
    </row>
    <row r="19" customFormat="false" ht="15" hidden="false" customHeight="false" outlineLevel="0" collapsed="false">
      <c r="A19" s="30" t="s">
        <v>561</v>
      </c>
      <c r="C19" s="490"/>
      <c r="E19" s="490"/>
      <c r="P19" s="31" t="n">
        <v>17</v>
      </c>
      <c r="Q19" s="31" t="str">
        <f aca="false">+INDEX($AB$3:$AB$50,MATCH(P19,$AI$3:$AI$50,0))</f>
        <v>Curazao</v>
      </c>
      <c r="R19" s="31" t="n">
        <f aca="false">+INDEX($AC$3:$AH$86,MATCH($Q19,$AB$3:$AB$86,0),MATCH(R$2,$AC$2:$AH$2,0))</f>
        <v>-4</v>
      </c>
      <c r="S19" s="804" t="n">
        <f aca="false">+INDEX($AC$3:$AH$86,MATCH($Q19,$AB$3:$AB$86,0),MATCH(S$2,$AC$2:$AH$2,0))</f>
        <v>0.166666666666667</v>
      </c>
      <c r="T19" s="31" t="n">
        <f aca="false">+INDEX($AC$3:$AH$86,MATCH($Q19,$AB$3:$AB$86,0),MATCH(T$2,$AC$2:$AH$2,0))</f>
        <v>0</v>
      </c>
      <c r="U19" s="31" t="n">
        <f aca="false">+INDEX($AC$3:$AH$86,MATCH($Q19,$AB$3:$AB$86,0),MATCH(U$2,$AC$2:$AH$2,0))</f>
        <v>0</v>
      </c>
      <c r="V19" s="804" t="n">
        <f aca="false">+INDEX($AC$3:$AH$86,MATCH($Q19,$AB$3:$AB$86,0),MATCH(V$2,$AC$2:$AH$2,0))</f>
        <v>0</v>
      </c>
      <c r="W19" s="31" t="n">
        <f aca="false">+INDEX($AC$3:$AH$86,MATCH($Q19,$AB$3:$AB$86,0),MATCH(W$2,$AC$2:$AH$2,0))</f>
        <v>0</v>
      </c>
      <c r="X19" s="31" t="n">
        <f aca="false">IFERROR(IF(Q19=$L$2,1,0),0)</f>
        <v>0</v>
      </c>
      <c r="AA19" s="31" t="n">
        <v>17</v>
      </c>
      <c r="AB19" s="31" t="str">
        <f aca="false">Idiomas!D228</f>
        <v>Ecuador</v>
      </c>
      <c r="AC19" s="31" t="n">
        <v>-5</v>
      </c>
      <c r="AD19" s="804" t="n">
        <f aca="false">ABS(AC19/24)</f>
        <v>0.208333333333333</v>
      </c>
      <c r="AE19" s="31" t="n">
        <v>0</v>
      </c>
      <c r="AF19" s="31" t="n">
        <f aca="false">AC19-$M$2</f>
        <v>-1</v>
      </c>
      <c r="AG19" s="804" t="n">
        <f aca="false">ABS(AF19/24)</f>
        <v>0.0416666666666667</v>
      </c>
      <c r="AH19" s="31" t="n">
        <f aca="false">IF(AC19&gt;$M$2,1,IF(AC19=$M$2,0,-1))</f>
        <v>-1</v>
      </c>
      <c r="AI19" s="31" t="n">
        <f aca="false">+COUNTIF($AB$3:$AB$50,"&lt;="&amp;AB19)</f>
        <v>18</v>
      </c>
    </row>
    <row r="20" customFormat="false" ht="15" hidden="false" customHeight="false" outlineLevel="0" collapsed="false">
      <c r="A20" s="490" t="n">
        <v>46186.75</v>
      </c>
      <c r="C20" s="490" t="n">
        <f aca="false">A20+INDEX($V$3:$V$86,MATCH($C$3,$P$3:$P$86,0))*INDEX($W$3:$W$86,MATCH($C$3,$P$3:$P$86,0))</f>
        <v>46187</v>
      </c>
      <c r="D20" s="490"/>
      <c r="E20" s="490"/>
      <c r="P20" s="31" t="n">
        <v>18</v>
      </c>
      <c r="Q20" s="31" t="str">
        <f aca="false">+INDEX($AB$3:$AB$50,MATCH(P20,$AI$3:$AI$50,0))</f>
        <v>Ecuador</v>
      </c>
      <c r="R20" s="31" t="n">
        <f aca="false">+INDEX($AC$3:$AH$86,MATCH($Q20,$AB$3:$AB$86,0),MATCH(R$2,$AC$2:$AH$2,0))</f>
        <v>-5</v>
      </c>
      <c r="S20" s="804" t="n">
        <f aca="false">+INDEX($AC$3:$AH$86,MATCH($Q20,$AB$3:$AB$86,0),MATCH(S$2,$AC$2:$AH$2,0))</f>
        <v>0.208333333333333</v>
      </c>
      <c r="T20" s="31" t="n">
        <f aca="false">+INDEX($AC$3:$AH$86,MATCH($Q20,$AB$3:$AB$86,0),MATCH(T$2,$AC$2:$AH$2,0))</f>
        <v>0</v>
      </c>
      <c r="U20" s="31" t="n">
        <f aca="false">+INDEX($AC$3:$AH$86,MATCH($Q20,$AB$3:$AB$86,0),MATCH(U$2,$AC$2:$AH$2,0))</f>
        <v>-1</v>
      </c>
      <c r="V20" s="804" t="n">
        <f aca="false">+INDEX($AC$3:$AH$86,MATCH($Q20,$AB$3:$AB$86,0),MATCH(V$2,$AC$2:$AH$2,0))</f>
        <v>0.0416666666666667</v>
      </c>
      <c r="W20" s="31" t="n">
        <f aca="false">+INDEX($AC$3:$AH$86,MATCH($Q20,$AB$3:$AB$86,0),MATCH(W$2,$AC$2:$AH$2,0))</f>
        <v>-1</v>
      </c>
      <c r="X20" s="31" t="n">
        <f aca="false">IFERROR(IF(Q20=$L$2,1,0),0)</f>
        <v>0</v>
      </c>
      <c r="AA20" s="31" t="n">
        <v>18</v>
      </c>
      <c r="AB20" s="31" t="str">
        <f aca="false">Idiomas!D229</f>
        <v>Egipto</v>
      </c>
      <c r="AC20" s="31" t="n">
        <v>3</v>
      </c>
      <c r="AD20" s="804" t="n">
        <f aca="false">ABS(AC20/24)</f>
        <v>0.125</v>
      </c>
      <c r="AE20" s="31" t="n">
        <v>0</v>
      </c>
      <c r="AF20" s="31" t="n">
        <f aca="false">AC20-$M$2</f>
        <v>7</v>
      </c>
      <c r="AG20" s="804" t="n">
        <f aca="false">ABS(AF20/24)</f>
        <v>0.291666666666667</v>
      </c>
      <c r="AH20" s="31" t="n">
        <f aca="false">IF(AC20&gt;$M$2,1,IF(AC20=$M$2,0,-1))</f>
        <v>1</v>
      </c>
      <c r="AI20" s="31" t="n">
        <f aca="false">+COUNTIF($AB$3:$AB$50,"&lt;="&amp;AB20)</f>
        <v>19</v>
      </c>
    </row>
    <row r="21" customFormat="false" ht="15" hidden="false" customHeight="false" outlineLevel="0" collapsed="false">
      <c r="A21" s="490" t="n">
        <v>46186.875</v>
      </c>
      <c r="C21" s="490" t="n">
        <f aca="false">A21+INDEX($V$3:$V$86,MATCH($C$3,$P$3:$P$86,0))*INDEX($W$3:$W$86,MATCH($C$3,$P$3:$P$86,0))</f>
        <v>46187.125</v>
      </c>
      <c r="D21" s="490"/>
      <c r="E21" s="490"/>
      <c r="P21" s="31" t="n">
        <v>19</v>
      </c>
      <c r="Q21" s="31" t="str">
        <f aca="false">+INDEX($AB$3:$AB$50,MATCH(P21,$AI$3:$AI$50,0))</f>
        <v>Egipto</v>
      </c>
      <c r="R21" s="31" t="n">
        <f aca="false">+INDEX($AC$3:$AH$86,MATCH($Q21,$AB$3:$AB$86,0),MATCH(R$2,$AC$2:$AH$2,0))</f>
        <v>3</v>
      </c>
      <c r="S21" s="804" t="n">
        <f aca="false">+INDEX($AC$3:$AH$86,MATCH($Q21,$AB$3:$AB$86,0),MATCH(S$2,$AC$2:$AH$2,0))</f>
        <v>0.125</v>
      </c>
      <c r="T21" s="31" t="n">
        <f aca="false">+INDEX($AC$3:$AH$86,MATCH($Q21,$AB$3:$AB$86,0),MATCH(T$2,$AC$2:$AH$2,0))</f>
        <v>0</v>
      </c>
      <c r="U21" s="31" t="n">
        <f aca="false">+INDEX($AC$3:$AH$86,MATCH($Q21,$AB$3:$AB$86,0),MATCH(U$2,$AC$2:$AH$2,0))</f>
        <v>7</v>
      </c>
      <c r="V21" s="804" t="n">
        <f aca="false">+INDEX($AC$3:$AH$86,MATCH($Q21,$AB$3:$AB$86,0),MATCH(V$2,$AC$2:$AH$2,0))</f>
        <v>0.291666666666667</v>
      </c>
      <c r="W21" s="31" t="n">
        <f aca="false">+INDEX($AC$3:$AH$86,MATCH($Q21,$AB$3:$AB$86,0),MATCH(W$2,$AC$2:$AH$2,0))</f>
        <v>1</v>
      </c>
      <c r="X21" s="31" t="n">
        <f aca="false">IFERROR(IF(Q21=$L$2,1,0),0)</f>
        <v>0</v>
      </c>
      <c r="AA21" s="31" t="n">
        <v>19</v>
      </c>
      <c r="AB21" s="31" t="str">
        <f aca="false">Idiomas!D230</f>
        <v>Escocia</v>
      </c>
      <c r="AC21" s="31" t="n">
        <v>1</v>
      </c>
      <c r="AD21" s="804" t="n">
        <f aca="false">ABS(AC21/24)</f>
        <v>0.0416666666666667</v>
      </c>
      <c r="AE21" s="31" t="n">
        <v>0</v>
      </c>
      <c r="AF21" s="31" t="n">
        <f aca="false">AC21-$M$2</f>
        <v>5</v>
      </c>
      <c r="AG21" s="804" t="n">
        <f aca="false">ABS(AF21/24)</f>
        <v>0.208333333333333</v>
      </c>
      <c r="AH21" s="31" t="n">
        <f aca="false">IF(AC21&gt;$M$2,1,IF(AC21=$M$2,0,-1))</f>
        <v>1</v>
      </c>
      <c r="AI21" s="31" t="n">
        <f aca="false">+COUNTIF($AB$3:$AB$50,"&lt;="&amp;AB21)</f>
        <v>20</v>
      </c>
    </row>
    <row r="22" customFormat="false" ht="15" hidden="false" customHeight="false" outlineLevel="0" collapsed="false">
      <c r="A22" s="490" t="n">
        <v>46192.75</v>
      </c>
      <c r="C22" s="490" t="n">
        <f aca="false">A22+INDEX($V$3:$V$86,MATCH($C$3,$P$3:$P$86,0))*INDEX($W$3:$W$86,MATCH($C$3,$P$3:$P$86,0))</f>
        <v>46193</v>
      </c>
      <c r="D22" s="490"/>
      <c r="E22" s="490"/>
      <c r="P22" s="31" t="n">
        <v>20</v>
      </c>
      <c r="Q22" s="31" t="str">
        <f aca="false">+INDEX($AB$3:$AB$50,MATCH(P22,$AI$3:$AI$50,0))</f>
        <v>Escocia</v>
      </c>
      <c r="R22" s="31" t="n">
        <f aca="false">+INDEX($AC$3:$AH$86,MATCH($Q22,$AB$3:$AB$86,0),MATCH(R$2,$AC$2:$AH$2,0))</f>
        <v>1</v>
      </c>
      <c r="S22" s="804" t="n">
        <f aca="false">+INDEX($AC$3:$AH$86,MATCH($Q22,$AB$3:$AB$86,0),MATCH(S$2,$AC$2:$AH$2,0))</f>
        <v>0.0416666666666667</v>
      </c>
      <c r="T22" s="31" t="n">
        <f aca="false">+INDEX($AC$3:$AH$86,MATCH($Q22,$AB$3:$AB$86,0),MATCH(T$2,$AC$2:$AH$2,0))</f>
        <v>0</v>
      </c>
      <c r="U22" s="31" t="n">
        <f aca="false">+INDEX($AC$3:$AH$86,MATCH($Q22,$AB$3:$AB$86,0),MATCH(U$2,$AC$2:$AH$2,0))</f>
        <v>5</v>
      </c>
      <c r="V22" s="804" t="n">
        <f aca="false">+INDEX($AC$3:$AH$86,MATCH($Q22,$AB$3:$AB$86,0),MATCH(V$2,$AC$2:$AH$2,0))</f>
        <v>0.208333333333333</v>
      </c>
      <c r="W22" s="31" t="n">
        <f aca="false">+INDEX($AC$3:$AH$86,MATCH($Q22,$AB$3:$AB$86,0),MATCH(W$2,$AC$2:$AH$2,0))</f>
        <v>1</v>
      </c>
      <c r="X22" s="31" t="n">
        <f aca="false">IFERROR(IF(Q22=$L$2,1,0),0)</f>
        <v>0</v>
      </c>
      <c r="AA22" s="31" t="n">
        <v>20</v>
      </c>
      <c r="AB22" s="31" t="str">
        <f aca="false">Idiomas!D231</f>
        <v>España</v>
      </c>
      <c r="AC22" s="31" t="n">
        <v>2</v>
      </c>
      <c r="AD22" s="804" t="n">
        <f aca="false">ABS(AC22/24)</f>
        <v>0.0833333333333333</v>
      </c>
      <c r="AE22" s="31" t="n">
        <v>0</v>
      </c>
      <c r="AF22" s="31" t="n">
        <f aca="false">AC22-$M$2</f>
        <v>6</v>
      </c>
      <c r="AG22" s="804" t="n">
        <f aca="false">ABS(AF22/24)</f>
        <v>0.25</v>
      </c>
      <c r="AH22" s="31" t="n">
        <f aca="false">IF(AC22&gt;$M$2,1,IF(AC22=$M$2,0,-1))</f>
        <v>1</v>
      </c>
      <c r="AI22" s="31" t="n">
        <f aca="false">+COUNTIF($AB$3:$AB$50,"&lt;="&amp;AB22)</f>
        <v>21</v>
      </c>
    </row>
    <row r="23" customFormat="false" ht="15" hidden="false" customHeight="false" outlineLevel="0" collapsed="false">
      <c r="A23" s="490" t="n">
        <v>46192.8541666667</v>
      </c>
      <c r="C23" s="490" t="n">
        <f aca="false">A23+INDEX($V$3:$V$86,MATCH($C$3,$P$3:$P$86,0))*INDEX($W$3:$W$86,MATCH($C$3,$P$3:$P$86,0))</f>
        <v>46193.1041666667</v>
      </c>
      <c r="D23" s="490"/>
      <c r="E23" s="490"/>
      <c r="P23" s="31" t="n">
        <v>21</v>
      </c>
      <c r="Q23" s="31" t="str">
        <f aca="false">+INDEX($AB$3:$AB$50,MATCH(P23,$AI$3:$AI$50,0))</f>
        <v>España</v>
      </c>
      <c r="R23" s="31" t="n">
        <f aca="false">+INDEX($AC$3:$AH$86,MATCH($Q23,$AB$3:$AB$86,0),MATCH(R$2,$AC$2:$AH$2,0))</f>
        <v>2</v>
      </c>
      <c r="S23" s="804" t="n">
        <f aca="false">+INDEX($AC$3:$AH$86,MATCH($Q23,$AB$3:$AB$86,0),MATCH(S$2,$AC$2:$AH$2,0))</f>
        <v>0.0833333333333333</v>
      </c>
      <c r="T23" s="31" t="n">
        <f aca="false">+INDEX($AC$3:$AH$86,MATCH($Q23,$AB$3:$AB$86,0),MATCH(T$2,$AC$2:$AH$2,0))</f>
        <v>0</v>
      </c>
      <c r="U23" s="31" t="n">
        <f aca="false">+INDEX($AC$3:$AH$86,MATCH($Q23,$AB$3:$AB$86,0),MATCH(U$2,$AC$2:$AH$2,0))</f>
        <v>6</v>
      </c>
      <c r="V23" s="804" t="n">
        <f aca="false">+INDEX($AC$3:$AH$86,MATCH($Q23,$AB$3:$AB$86,0),MATCH(V$2,$AC$2:$AH$2,0))</f>
        <v>0.25</v>
      </c>
      <c r="W23" s="31" t="n">
        <f aca="false">+INDEX($AC$3:$AH$86,MATCH($Q23,$AB$3:$AB$86,0),MATCH(W$2,$AC$2:$AH$2,0))</f>
        <v>1</v>
      </c>
      <c r="X23" s="31" t="n">
        <f aca="false">IFERROR(IF(Q23=$L$2,1,0),0)</f>
        <v>0</v>
      </c>
      <c r="AA23" s="31" t="n">
        <v>21</v>
      </c>
      <c r="AB23" s="31" t="str">
        <f aca="false">Idiomas!D232</f>
        <v>Estados Unidos</v>
      </c>
      <c r="AC23" s="31" t="n">
        <v>-4</v>
      </c>
      <c r="AD23" s="804" t="n">
        <f aca="false">ABS(AC23/24)</f>
        <v>0.166666666666667</v>
      </c>
      <c r="AE23" s="31" t="n">
        <v>1</v>
      </c>
      <c r="AF23" s="31" t="n">
        <f aca="false">AC23-$M$2</f>
        <v>0</v>
      </c>
      <c r="AG23" s="804" t="n">
        <f aca="false">ABS(AF23/24)</f>
        <v>0</v>
      </c>
      <c r="AH23" s="31" t="n">
        <f aca="false">IF(AC23&gt;$M$2,1,IF(AC23=$M$2,0,-1))</f>
        <v>0</v>
      </c>
      <c r="AI23" s="31" t="n">
        <f aca="false">+COUNTIF($AB$3:$AB$50,"&lt;="&amp;AB23)</f>
        <v>22</v>
      </c>
    </row>
    <row r="24" customFormat="false" ht="15" hidden="false" customHeight="false" outlineLevel="0" collapsed="false">
      <c r="A24" s="490" t="n">
        <v>46197.75</v>
      </c>
      <c r="C24" s="490" t="n">
        <f aca="false">A24+INDEX($V$3:$V$86,MATCH($C$3,$P$3:$P$86,0))*INDEX($W$3:$W$86,MATCH($C$3,$P$3:$P$86,0))</f>
        <v>46198</v>
      </c>
      <c r="D24" s="490"/>
      <c r="E24" s="490"/>
      <c r="P24" s="31" t="n">
        <v>22</v>
      </c>
      <c r="Q24" s="31" t="str">
        <f aca="false">+INDEX($AB$3:$AB$50,MATCH(P24,$AI$3:$AI$50,0))</f>
        <v>Estados Unidos</v>
      </c>
      <c r="R24" s="31" t="n">
        <f aca="false">+INDEX($AC$3:$AH$86,MATCH($Q24,$AB$3:$AB$86,0),MATCH(R$2,$AC$2:$AH$2,0))</f>
        <v>-4</v>
      </c>
      <c r="S24" s="804" t="n">
        <f aca="false">+INDEX($AC$3:$AH$86,MATCH($Q24,$AB$3:$AB$86,0),MATCH(S$2,$AC$2:$AH$2,0))</f>
        <v>0.166666666666667</v>
      </c>
      <c r="T24" s="31" t="n">
        <f aca="false">+INDEX($AC$3:$AH$86,MATCH($Q24,$AB$3:$AB$86,0),MATCH(T$2,$AC$2:$AH$2,0))</f>
        <v>1</v>
      </c>
      <c r="U24" s="31" t="n">
        <f aca="false">+INDEX($AC$3:$AH$86,MATCH($Q24,$AB$3:$AB$86,0),MATCH(U$2,$AC$2:$AH$2,0))</f>
        <v>0</v>
      </c>
      <c r="V24" s="804" t="n">
        <f aca="false">+INDEX($AC$3:$AH$86,MATCH($Q24,$AB$3:$AB$86,0),MATCH(V$2,$AC$2:$AH$2,0))</f>
        <v>0</v>
      </c>
      <c r="W24" s="31" t="n">
        <f aca="false">+INDEX($AC$3:$AH$86,MATCH($Q24,$AB$3:$AB$86,0),MATCH(W$2,$AC$2:$AH$2,0))</f>
        <v>0</v>
      </c>
      <c r="X24" s="31" t="n">
        <f aca="false">IFERROR(IF(Q24=$L$2,1,0),0)</f>
        <v>1</v>
      </c>
      <c r="AA24" s="31" t="n">
        <v>22</v>
      </c>
      <c r="AB24" s="31" t="str">
        <f aca="false">Idiomas!D233</f>
        <v>Francia</v>
      </c>
      <c r="AC24" s="31" t="n">
        <v>2</v>
      </c>
      <c r="AD24" s="804" t="n">
        <f aca="false">ABS(AC24/24)</f>
        <v>0.0833333333333333</v>
      </c>
      <c r="AE24" s="31" t="n">
        <v>0</v>
      </c>
      <c r="AF24" s="31" t="n">
        <f aca="false">AC24-$M$2</f>
        <v>6</v>
      </c>
      <c r="AG24" s="804" t="n">
        <f aca="false">ABS(AF24/24)</f>
        <v>0.25</v>
      </c>
      <c r="AH24" s="31" t="n">
        <f aca="false">IF(AC24&gt;$M$2,1,IF(AC24=$M$2,0,-1))</f>
        <v>1</v>
      </c>
      <c r="AI24" s="31" t="n">
        <f aca="false">+COUNTIF($AB$3:$AB$50,"&lt;="&amp;AB24)</f>
        <v>23</v>
      </c>
    </row>
    <row r="25" customFormat="false" ht="15" hidden="false" customHeight="false" outlineLevel="0" collapsed="false">
      <c r="A25" s="490" t="n">
        <v>46197.75</v>
      </c>
      <c r="C25" s="490" t="n">
        <f aca="false">A25+INDEX($V$3:$V$86,MATCH($C$3,$P$3:$P$86,0))*INDEX($W$3:$W$86,MATCH($C$3,$P$3:$P$86,0))</f>
        <v>46198</v>
      </c>
      <c r="D25" s="490"/>
      <c r="E25" s="490"/>
      <c r="P25" s="31" t="n">
        <v>23</v>
      </c>
      <c r="Q25" s="31" t="str">
        <f aca="false">+INDEX($AB$3:$AB$50,MATCH(P25,$AI$3:$AI$50,0))</f>
        <v>Francia</v>
      </c>
      <c r="R25" s="31" t="n">
        <f aca="false">+INDEX($AC$3:$AH$86,MATCH($Q25,$AB$3:$AB$86,0),MATCH(R$2,$AC$2:$AH$2,0))</f>
        <v>2</v>
      </c>
      <c r="S25" s="804" t="n">
        <f aca="false">+INDEX($AC$3:$AH$86,MATCH($Q25,$AB$3:$AB$86,0),MATCH(S$2,$AC$2:$AH$2,0))</f>
        <v>0.0833333333333333</v>
      </c>
      <c r="T25" s="31" t="n">
        <f aca="false">+INDEX($AC$3:$AH$86,MATCH($Q25,$AB$3:$AB$86,0),MATCH(T$2,$AC$2:$AH$2,0))</f>
        <v>0</v>
      </c>
      <c r="U25" s="31" t="n">
        <f aca="false">+INDEX($AC$3:$AH$86,MATCH($Q25,$AB$3:$AB$86,0),MATCH(U$2,$AC$2:$AH$2,0))</f>
        <v>6</v>
      </c>
      <c r="V25" s="804" t="n">
        <f aca="false">+INDEX($AC$3:$AH$86,MATCH($Q25,$AB$3:$AB$86,0),MATCH(V$2,$AC$2:$AH$2,0))</f>
        <v>0.25</v>
      </c>
      <c r="W25" s="31" t="n">
        <f aca="false">+INDEX($AC$3:$AH$86,MATCH($Q25,$AB$3:$AB$86,0),MATCH(W$2,$AC$2:$AH$2,0))</f>
        <v>1</v>
      </c>
      <c r="X25" s="31" t="n">
        <f aca="false">IFERROR(IF(Q25=$L$2,1,0),0)</f>
        <v>0</v>
      </c>
      <c r="AA25" s="31" t="n">
        <v>23</v>
      </c>
      <c r="AB25" s="31" t="str">
        <f aca="false">Idiomas!D234</f>
        <v>Ghana</v>
      </c>
      <c r="AC25" s="31" t="n">
        <v>0</v>
      </c>
      <c r="AD25" s="804" t="n">
        <f aca="false">ABS(AC25/24)</f>
        <v>0</v>
      </c>
      <c r="AE25" s="31" t="n">
        <v>0</v>
      </c>
      <c r="AF25" s="31" t="n">
        <f aca="false">AC25-$M$2</f>
        <v>4</v>
      </c>
      <c r="AG25" s="804" t="n">
        <f aca="false">ABS(AF25/24)</f>
        <v>0.166666666666667</v>
      </c>
      <c r="AH25" s="31" t="n">
        <f aca="false">IF(AC25&gt;$M$2,1,IF(AC25=$M$2,0,-1))</f>
        <v>1</v>
      </c>
      <c r="AI25" s="31" t="n">
        <f aca="false">+COUNTIF($AB$3:$AB$50,"&lt;="&amp;AB25)</f>
        <v>24</v>
      </c>
    </row>
    <row r="26" customFormat="false" ht="15" hidden="false" customHeight="false" outlineLevel="0" collapsed="false">
      <c r="C26" s="490"/>
      <c r="E26" s="490"/>
      <c r="P26" s="31" t="n">
        <v>24</v>
      </c>
      <c r="Q26" s="31" t="str">
        <f aca="false">+INDEX($AB$3:$AB$50,MATCH(P26,$AI$3:$AI$50,0))</f>
        <v>Ghana</v>
      </c>
      <c r="R26" s="31" t="n">
        <f aca="false">+INDEX($AC$3:$AH$86,MATCH($Q26,$AB$3:$AB$86,0),MATCH(R$2,$AC$2:$AH$2,0))</f>
        <v>0</v>
      </c>
      <c r="S26" s="804" t="n">
        <f aca="false">+INDEX($AC$3:$AH$86,MATCH($Q26,$AB$3:$AB$86,0),MATCH(S$2,$AC$2:$AH$2,0))</f>
        <v>0</v>
      </c>
      <c r="T26" s="31" t="n">
        <f aca="false">+INDEX($AC$3:$AH$86,MATCH($Q26,$AB$3:$AB$86,0),MATCH(T$2,$AC$2:$AH$2,0))</f>
        <v>0</v>
      </c>
      <c r="U26" s="31" t="n">
        <f aca="false">+INDEX($AC$3:$AH$86,MATCH($Q26,$AB$3:$AB$86,0),MATCH(U$2,$AC$2:$AH$2,0))</f>
        <v>4</v>
      </c>
      <c r="V26" s="804" t="n">
        <f aca="false">+INDEX($AC$3:$AH$86,MATCH($Q26,$AB$3:$AB$86,0),MATCH(V$2,$AC$2:$AH$2,0))</f>
        <v>0.166666666666667</v>
      </c>
      <c r="W26" s="31" t="n">
        <f aca="false">+INDEX($AC$3:$AH$86,MATCH($Q26,$AB$3:$AB$86,0),MATCH(W$2,$AC$2:$AH$2,0))</f>
        <v>1</v>
      </c>
      <c r="X26" s="31" t="n">
        <f aca="false">IFERROR(IF(Q26=$L$2,1,0),0)</f>
        <v>0</v>
      </c>
      <c r="AA26" s="31" t="n">
        <v>24</v>
      </c>
      <c r="AB26" s="31" t="str">
        <f aca="false">Idiomas!D235</f>
        <v>Haití</v>
      </c>
      <c r="AC26" s="31" t="n">
        <v>-4</v>
      </c>
      <c r="AD26" s="804" t="n">
        <f aca="false">ABS(AC26/24)</f>
        <v>0.166666666666667</v>
      </c>
      <c r="AE26" s="31" t="n">
        <v>0</v>
      </c>
      <c r="AF26" s="31" t="n">
        <f aca="false">AC26-$M$2</f>
        <v>0</v>
      </c>
      <c r="AG26" s="804" t="n">
        <f aca="false">ABS(AF26/24)</f>
        <v>0</v>
      </c>
      <c r="AH26" s="31" t="n">
        <f aca="false">IF(AC26&gt;$M$2,1,IF(AC26=$M$2,0,-1))</f>
        <v>0</v>
      </c>
      <c r="AI26" s="31" t="n">
        <f aca="false">+COUNTIF($AB$3:$AB$50,"&lt;="&amp;AB26)</f>
        <v>25</v>
      </c>
    </row>
    <row r="27" customFormat="false" ht="15" hidden="false" customHeight="false" outlineLevel="0" collapsed="false">
      <c r="A27" s="30" t="s">
        <v>563</v>
      </c>
      <c r="C27" s="490"/>
      <c r="E27" s="490"/>
      <c r="P27" s="31" t="n">
        <v>25</v>
      </c>
      <c r="Q27" s="31" t="str">
        <f aca="false">+INDEX($AB$3:$AB$50,MATCH(P27,$AI$3:$AI$50,0))</f>
        <v>Haití</v>
      </c>
      <c r="R27" s="31" t="n">
        <f aca="false">+INDEX($AC$3:$AH$86,MATCH($Q27,$AB$3:$AB$86,0),MATCH(R$2,$AC$2:$AH$2,0))</f>
        <v>-4</v>
      </c>
      <c r="S27" s="804" t="n">
        <f aca="false">+INDEX($AC$3:$AH$86,MATCH($Q27,$AB$3:$AB$86,0),MATCH(S$2,$AC$2:$AH$2,0))</f>
        <v>0.166666666666667</v>
      </c>
      <c r="T27" s="31" t="n">
        <f aca="false">+INDEX($AC$3:$AH$86,MATCH($Q27,$AB$3:$AB$86,0),MATCH(T$2,$AC$2:$AH$2,0))</f>
        <v>0</v>
      </c>
      <c r="U27" s="31" t="n">
        <f aca="false">+INDEX($AC$3:$AH$86,MATCH($Q27,$AB$3:$AB$86,0),MATCH(U$2,$AC$2:$AH$2,0))</f>
        <v>0</v>
      </c>
      <c r="V27" s="804" t="n">
        <f aca="false">+INDEX($AC$3:$AH$86,MATCH($Q27,$AB$3:$AB$86,0),MATCH(V$2,$AC$2:$AH$2,0))</f>
        <v>0</v>
      </c>
      <c r="W27" s="31" t="n">
        <f aca="false">+INDEX($AC$3:$AH$86,MATCH($Q27,$AB$3:$AB$86,0),MATCH(W$2,$AC$2:$AH$2,0))</f>
        <v>0</v>
      </c>
      <c r="X27" s="31" t="n">
        <f aca="false">IFERROR(IF(Q27=$L$2,1,0),0)</f>
        <v>0</v>
      </c>
      <c r="AA27" s="31" t="n">
        <v>25</v>
      </c>
      <c r="AB27" s="31" t="str">
        <f aca="false">Idiomas!D236</f>
        <v>Inglaterra</v>
      </c>
      <c r="AC27" s="31" t="n">
        <v>1</v>
      </c>
      <c r="AD27" s="804" t="n">
        <f aca="false">ABS(AC27/24)</f>
        <v>0.0416666666666667</v>
      </c>
      <c r="AE27" s="31" t="n">
        <v>0</v>
      </c>
      <c r="AF27" s="31" t="n">
        <f aca="false">AC27-$M$2</f>
        <v>5</v>
      </c>
      <c r="AG27" s="804" t="n">
        <f aca="false">ABS(AF27/24)</f>
        <v>0.208333333333333</v>
      </c>
      <c r="AH27" s="31" t="n">
        <f aca="false">IF(AC27&gt;$M$2,1,IF(AC27=$M$2,0,-1))</f>
        <v>1</v>
      </c>
      <c r="AI27" s="31" t="n">
        <f aca="false">+COUNTIF($AB$3:$AB$50,"&lt;="&amp;AB27)</f>
        <v>26</v>
      </c>
    </row>
    <row r="28" customFormat="false" ht="15" hidden="false" customHeight="false" outlineLevel="0" collapsed="false">
      <c r="A28" s="490" t="n">
        <v>46185.875</v>
      </c>
      <c r="C28" s="490" t="n">
        <f aca="false">A28+INDEX($V$3:$V$86,MATCH($C$3,$P$3:$P$86,0))*INDEX($W$3:$W$86,MATCH($C$3,$P$3:$P$86,0))</f>
        <v>46186.125</v>
      </c>
      <c r="D28" s="490"/>
      <c r="E28" s="490"/>
      <c r="P28" s="31" t="n">
        <v>26</v>
      </c>
      <c r="Q28" s="31" t="str">
        <f aca="false">+INDEX($AB$3:$AB$50,MATCH(P28,$AI$3:$AI$50,0))</f>
        <v>Inglaterra</v>
      </c>
      <c r="R28" s="31" t="n">
        <f aca="false">+INDEX($AC$3:$AH$86,MATCH($Q28,$AB$3:$AB$86,0),MATCH(R$2,$AC$2:$AH$2,0))</f>
        <v>1</v>
      </c>
      <c r="S28" s="804" t="n">
        <f aca="false">+INDEX($AC$3:$AH$86,MATCH($Q28,$AB$3:$AB$86,0),MATCH(S$2,$AC$2:$AH$2,0))</f>
        <v>0.0416666666666667</v>
      </c>
      <c r="T28" s="31" t="n">
        <f aca="false">+INDEX($AC$3:$AH$86,MATCH($Q28,$AB$3:$AB$86,0),MATCH(T$2,$AC$2:$AH$2,0))</f>
        <v>0</v>
      </c>
      <c r="U28" s="31" t="n">
        <f aca="false">+INDEX($AC$3:$AH$86,MATCH($Q28,$AB$3:$AB$86,0),MATCH(U$2,$AC$2:$AH$2,0))</f>
        <v>5</v>
      </c>
      <c r="V28" s="804" t="n">
        <f aca="false">+INDEX($AC$3:$AH$86,MATCH($Q28,$AB$3:$AB$86,0),MATCH(V$2,$AC$2:$AH$2,0))</f>
        <v>0.208333333333333</v>
      </c>
      <c r="W28" s="31" t="n">
        <f aca="false">+INDEX($AC$3:$AH$86,MATCH($Q28,$AB$3:$AB$86,0),MATCH(W$2,$AC$2:$AH$2,0))</f>
        <v>1</v>
      </c>
      <c r="X28" s="31" t="n">
        <f aca="false">IFERROR(IF(Q28=$L$2,1,0),0)</f>
        <v>0</v>
      </c>
      <c r="AA28" s="31" t="n">
        <v>26</v>
      </c>
      <c r="AB28" s="31" t="str">
        <f aca="false">Idiomas!D237</f>
        <v>Irán</v>
      </c>
      <c r="AC28" s="31" t="n">
        <f aca="false">+INDEX(Credits!$Y$87:$Y$91,MATCH(Credits!$N$87,Credits!$U$87:$U$91,0))</f>
        <v>3.5</v>
      </c>
      <c r="AD28" s="804" t="n">
        <f aca="false">ABS(AC28/24)</f>
        <v>0.145833333333333</v>
      </c>
      <c r="AE28" s="31" t="n">
        <v>0</v>
      </c>
      <c r="AF28" s="31" t="n">
        <f aca="false">AC28-$M$2</f>
        <v>7.5</v>
      </c>
      <c r="AG28" s="804" t="n">
        <f aca="false">ABS(AF28/24)</f>
        <v>0.3125</v>
      </c>
      <c r="AH28" s="31" t="n">
        <f aca="false">IF(AC28&gt;$M$2,1,IF(AC28=$M$2,0,-1))</f>
        <v>1</v>
      </c>
      <c r="AI28" s="31" t="n">
        <f aca="false">+COUNTIF($AB$3:$AB$50,"&lt;="&amp;AB28)</f>
        <v>28</v>
      </c>
    </row>
    <row r="29" customFormat="false" ht="15" hidden="false" customHeight="false" outlineLevel="0" collapsed="false">
      <c r="A29" s="490" t="n">
        <v>46187</v>
      </c>
      <c r="C29" s="490" t="n">
        <f aca="false">A29+INDEX($V$3:$V$86,MATCH($C$3,$P$3:$P$86,0))*INDEX($W$3:$W$86,MATCH($C$3,$P$3:$P$86,0))</f>
        <v>46187.25</v>
      </c>
      <c r="D29" s="490"/>
      <c r="E29" s="490"/>
      <c r="P29" s="31" t="n">
        <v>27</v>
      </c>
      <c r="Q29" s="31" t="str">
        <f aca="false">+INDEX($AB$3:$AB$50,MATCH(P29,$AI$3:$AI$50,0))</f>
        <v>Irak</v>
      </c>
      <c r="R29" s="31" t="n">
        <f aca="false">+INDEX($AC$3:$AH$86,MATCH($Q29,$AB$3:$AB$86,0),MATCH(R$2,$AC$2:$AH$2,0))</f>
        <v>3</v>
      </c>
      <c r="S29" s="804" t="n">
        <f aca="false">+INDEX($AC$3:$AH$86,MATCH($Q29,$AB$3:$AB$86,0),MATCH(S$2,$AC$2:$AH$2,0))</f>
        <v>0.125</v>
      </c>
      <c r="T29" s="31" t="n">
        <f aca="false">+INDEX($AC$3:$AH$86,MATCH($Q29,$AB$3:$AB$86,0),MATCH(T$2,$AC$2:$AH$2,0))</f>
        <v>0</v>
      </c>
      <c r="U29" s="31" t="n">
        <f aca="false">+INDEX($AC$3:$AH$86,MATCH($Q29,$AB$3:$AB$86,0),MATCH(U$2,$AC$2:$AH$2,0))</f>
        <v>7</v>
      </c>
      <c r="V29" s="804" t="n">
        <f aca="false">+INDEX($AC$3:$AH$86,MATCH($Q29,$AB$3:$AB$86,0),MATCH(V$2,$AC$2:$AH$2,0))</f>
        <v>0.291666666666667</v>
      </c>
      <c r="W29" s="31" t="n">
        <f aca="false">+INDEX($AC$3:$AH$86,MATCH($Q29,$AB$3:$AB$86,0),MATCH(W$2,$AC$2:$AH$2,0))</f>
        <v>1</v>
      </c>
      <c r="X29" s="31" t="n">
        <f aca="false">IFERROR(IF(Q29=$L$2,1,0),0)</f>
        <v>0</v>
      </c>
      <c r="AA29" s="31" t="n">
        <v>27</v>
      </c>
      <c r="AB29" s="31" t="str">
        <f aca="false">Idiomas!D238</f>
        <v>Japón</v>
      </c>
      <c r="AC29" s="31" t="n">
        <v>9</v>
      </c>
      <c r="AD29" s="804" t="n">
        <f aca="false">ABS(AC29/24)</f>
        <v>0.375</v>
      </c>
      <c r="AE29" s="31" t="n">
        <v>0</v>
      </c>
      <c r="AF29" s="31" t="n">
        <f aca="false">AC29-$M$2</f>
        <v>13</v>
      </c>
      <c r="AG29" s="804" t="n">
        <f aca="false">ABS(AF29/24)</f>
        <v>0.541666666666667</v>
      </c>
      <c r="AH29" s="31" t="n">
        <f aca="false">IF(AC29&gt;$M$2,1,IF(AC29=$M$2,0,-1))</f>
        <v>1</v>
      </c>
      <c r="AI29" s="31" t="n">
        <f aca="false">+COUNTIF($AB$3:$AB$50,"&lt;="&amp;AB29)</f>
        <v>29</v>
      </c>
    </row>
    <row r="30" customFormat="false" ht="15" hidden="false" customHeight="false" outlineLevel="0" collapsed="false">
      <c r="A30" s="490" t="n">
        <v>46192.625</v>
      </c>
      <c r="C30" s="490" t="n">
        <f aca="false">A30+INDEX($V$3:$V$86,MATCH($C$3,$P$3:$P$86,0))*INDEX($W$3:$W$86,MATCH($C$3,$P$3:$P$86,0))</f>
        <v>46192.875</v>
      </c>
      <c r="D30" s="490"/>
      <c r="E30" s="490"/>
      <c r="P30" s="31" t="n">
        <v>28</v>
      </c>
      <c r="Q30" s="31" t="str">
        <f aca="false">+INDEX($AB$3:$AB$50,MATCH(P30,$AI$3:$AI$50,0))</f>
        <v>Irán</v>
      </c>
      <c r="R30" s="31" t="n">
        <f aca="false">+INDEX($AC$3:$AH$86,MATCH($Q30,$AB$3:$AB$86,0),MATCH(R$2,$AC$2:$AH$2,0))</f>
        <v>3.5</v>
      </c>
      <c r="S30" s="804" t="n">
        <f aca="false">+INDEX($AC$3:$AH$86,MATCH($Q30,$AB$3:$AB$86,0),MATCH(S$2,$AC$2:$AH$2,0))</f>
        <v>0.145833333333333</v>
      </c>
      <c r="T30" s="31" t="n">
        <f aca="false">+INDEX($AC$3:$AH$86,MATCH($Q30,$AB$3:$AB$86,0),MATCH(T$2,$AC$2:$AH$2,0))</f>
        <v>0</v>
      </c>
      <c r="U30" s="31" t="n">
        <f aca="false">+INDEX($AC$3:$AH$86,MATCH($Q30,$AB$3:$AB$86,0),MATCH(U$2,$AC$2:$AH$2,0))</f>
        <v>7.5</v>
      </c>
      <c r="V30" s="804" t="n">
        <f aca="false">+INDEX($AC$3:$AH$86,MATCH($Q30,$AB$3:$AB$86,0),MATCH(V$2,$AC$2:$AH$2,0))</f>
        <v>0.3125</v>
      </c>
      <c r="W30" s="31" t="n">
        <f aca="false">+INDEX($AC$3:$AH$86,MATCH($Q30,$AB$3:$AB$86,0),MATCH(W$2,$AC$2:$AH$2,0))</f>
        <v>1</v>
      </c>
      <c r="X30" s="31" t="n">
        <f aca="false">IFERROR(IF(Q30=$L$2,1,0),0)</f>
        <v>0</v>
      </c>
      <c r="AA30" s="31" t="n">
        <v>28</v>
      </c>
      <c r="AB30" s="31" t="str">
        <f aca="false">Idiomas!D239</f>
        <v>Jordania</v>
      </c>
      <c r="AC30" s="31" t="n">
        <v>3</v>
      </c>
      <c r="AD30" s="804" t="n">
        <f aca="false">ABS(AC30/24)</f>
        <v>0.125</v>
      </c>
      <c r="AE30" s="31" t="n">
        <v>0</v>
      </c>
      <c r="AF30" s="31" t="n">
        <f aca="false">AC30-$M$2</f>
        <v>7</v>
      </c>
      <c r="AG30" s="804" t="n">
        <f aca="false">ABS(AF30/24)</f>
        <v>0.291666666666667</v>
      </c>
      <c r="AH30" s="31" t="n">
        <f aca="false">IF(AC30&gt;$M$2,1,IF(AC30=$M$2,0,-1))</f>
        <v>1</v>
      </c>
      <c r="AI30" s="31" t="n">
        <f aca="false">+COUNTIF($AB$3:$AB$50,"&lt;="&amp;AB30)</f>
        <v>30</v>
      </c>
    </row>
    <row r="31" customFormat="false" ht="15" hidden="false" customHeight="false" outlineLevel="0" collapsed="false">
      <c r="A31" s="490" t="n">
        <v>46192.9583333333</v>
      </c>
      <c r="C31" s="490" t="n">
        <f aca="false">A31+INDEX($V$3:$V$86,MATCH($C$3,$P$3:$P$86,0))*INDEX($W$3:$W$86,MATCH($C$3,$P$3:$P$86,0))</f>
        <v>46193.2083333333</v>
      </c>
      <c r="D31" s="490"/>
      <c r="E31" s="490"/>
      <c r="P31" s="31" t="n">
        <v>29</v>
      </c>
      <c r="Q31" s="31" t="str">
        <f aca="false">+INDEX($AB$3:$AB$50,MATCH(P31,$AI$3:$AI$50,0))</f>
        <v>Japón</v>
      </c>
      <c r="R31" s="31" t="n">
        <f aca="false">+INDEX($AC$3:$AH$86,MATCH($Q31,$AB$3:$AB$86,0),MATCH(R$2,$AC$2:$AH$2,0))</f>
        <v>9</v>
      </c>
      <c r="S31" s="804" t="n">
        <f aca="false">+INDEX($AC$3:$AH$86,MATCH($Q31,$AB$3:$AB$86,0),MATCH(S$2,$AC$2:$AH$2,0))</f>
        <v>0.375</v>
      </c>
      <c r="T31" s="31" t="n">
        <f aca="false">+INDEX($AC$3:$AH$86,MATCH($Q31,$AB$3:$AB$86,0),MATCH(T$2,$AC$2:$AH$2,0))</f>
        <v>0</v>
      </c>
      <c r="U31" s="31" t="n">
        <f aca="false">+INDEX($AC$3:$AH$86,MATCH($Q31,$AB$3:$AB$86,0),MATCH(U$2,$AC$2:$AH$2,0))</f>
        <v>13</v>
      </c>
      <c r="V31" s="804" t="n">
        <f aca="false">+INDEX($AC$3:$AH$86,MATCH($Q31,$AB$3:$AB$86,0),MATCH(V$2,$AC$2:$AH$2,0))</f>
        <v>0.541666666666667</v>
      </c>
      <c r="W31" s="31" t="n">
        <f aca="false">+INDEX($AC$3:$AH$86,MATCH($Q31,$AB$3:$AB$86,0),MATCH(W$2,$AC$2:$AH$2,0))</f>
        <v>1</v>
      </c>
      <c r="X31" s="31" t="n">
        <f aca="false">IFERROR(IF(Q31=$L$2,1,0),0)</f>
        <v>0</v>
      </c>
      <c r="AA31" s="31" t="n">
        <v>29</v>
      </c>
      <c r="AB31" s="31" t="str">
        <f aca="false">Idiomas!D240</f>
        <v>Marruecos</v>
      </c>
      <c r="AC31" s="31" t="n">
        <v>1</v>
      </c>
      <c r="AD31" s="804" t="n">
        <f aca="false">ABS(AC31/24)</f>
        <v>0.0416666666666667</v>
      </c>
      <c r="AE31" s="31" t="n">
        <v>0</v>
      </c>
      <c r="AF31" s="31" t="n">
        <f aca="false">AC31-$M$2</f>
        <v>5</v>
      </c>
      <c r="AG31" s="804" t="n">
        <f aca="false">ABS(AF31/24)</f>
        <v>0.208333333333333</v>
      </c>
      <c r="AH31" s="31" t="n">
        <f aca="false">IF(AC31&gt;$M$2,1,IF(AC31=$M$2,0,-1))</f>
        <v>1</v>
      </c>
      <c r="AI31" s="31" t="n">
        <f aca="false">+COUNTIF($AB$3:$AB$50,"&lt;="&amp;AB31)</f>
        <v>31</v>
      </c>
    </row>
    <row r="32" customFormat="false" ht="15" hidden="false" customHeight="false" outlineLevel="0" collapsed="false">
      <c r="A32" s="490" t="n">
        <v>46198.9166666667</v>
      </c>
      <c r="C32" s="490" t="n">
        <f aca="false">A32+INDEX($V$3:$V$86,MATCH($C$3,$P$3:$P$86,0))*INDEX($W$3:$W$86,MATCH($C$3,$P$3:$P$86,0))</f>
        <v>46199.1666666667</v>
      </c>
      <c r="D32" s="490"/>
      <c r="E32" s="490"/>
      <c r="P32" s="31" t="n">
        <v>30</v>
      </c>
      <c r="Q32" s="31" t="str">
        <f aca="false">+INDEX($AB$3:$AB$50,MATCH(P32,$AI$3:$AI$50,0))</f>
        <v>Jordania</v>
      </c>
      <c r="R32" s="31" t="n">
        <f aca="false">+INDEX($AC$3:$AH$86,MATCH($Q32,$AB$3:$AB$86,0),MATCH(R$2,$AC$2:$AH$2,0))</f>
        <v>3</v>
      </c>
      <c r="S32" s="804" t="n">
        <f aca="false">+INDEX($AC$3:$AH$86,MATCH($Q32,$AB$3:$AB$86,0),MATCH(S$2,$AC$2:$AH$2,0))</f>
        <v>0.125</v>
      </c>
      <c r="T32" s="31" t="n">
        <f aca="false">+INDEX($AC$3:$AH$86,MATCH($Q32,$AB$3:$AB$86,0),MATCH(T$2,$AC$2:$AH$2,0))</f>
        <v>0</v>
      </c>
      <c r="U32" s="31" t="n">
        <f aca="false">+INDEX($AC$3:$AH$86,MATCH($Q32,$AB$3:$AB$86,0),MATCH(U$2,$AC$2:$AH$2,0))</f>
        <v>7</v>
      </c>
      <c r="V32" s="804" t="n">
        <f aca="false">+INDEX($AC$3:$AH$86,MATCH($Q32,$AB$3:$AB$86,0),MATCH(V$2,$AC$2:$AH$2,0))</f>
        <v>0.291666666666667</v>
      </c>
      <c r="W32" s="31" t="n">
        <f aca="false">+INDEX($AC$3:$AH$86,MATCH($Q32,$AB$3:$AB$86,0),MATCH(W$2,$AC$2:$AH$2,0))</f>
        <v>1</v>
      </c>
      <c r="X32" s="31" t="n">
        <f aca="false">IFERROR(IF(Q32=$L$2,1,0),0)</f>
        <v>0</v>
      </c>
      <c r="AA32" s="31" t="n">
        <v>30</v>
      </c>
      <c r="AB32" s="31" t="str">
        <f aca="false">Idiomas!D241</f>
        <v>México</v>
      </c>
      <c r="AC32" s="31" t="n">
        <v>-6</v>
      </c>
      <c r="AD32" s="804" t="n">
        <f aca="false">ABS(AC32/24)</f>
        <v>0.25</v>
      </c>
      <c r="AE32" s="31" t="n">
        <v>0</v>
      </c>
      <c r="AF32" s="31" t="n">
        <f aca="false">AC32-$M$2</f>
        <v>-2</v>
      </c>
      <c r="AG32" s="804" t="n">
        <f aca="false">ABS(AF32/24)</f>
        <v>0.0833333333333333</v>
      </c>
      <c r="AH32" s="31" t="n">
        <f aca="false">IF(AC32&gt;$M$2,1,IF(AC32=$M$2,0,-1))</f>
        <v>-1</v>
      </c>
      <c r="AI32" s="31" t="n">
        <f aca="false">+COUNTIF($AB$3:$AB$50,"&lt;="&amp;AB32)</f>
        <v>32</v>
      </c>
    </row>
    <row r="33" customFormat="false" ht="15" hidden="false" customHeight="false" outlineLevel="0" collapsed="false">
      <c r="A33" s="490" t="n">
        <v>46198.9166666667</v>
      </c>
      <c r="C33" s="490" t="n">
        <f aca="false">A33+INDEX($V$3:$V$86,MATCH($C$3,$P$3:$P$86,0))*INDEX($W$3:$W$86,MATCH($C$3,$P$3:$P$86,0))</f>
        <v>46199.1666666667</v>
      </c>
      <c r="D33" s="490"/>
      <c r="E33" s="490"/>
      <c r="P33" s="31" t="n">
        <v>31</v>
      </c>
      <c r="Q33" s="31" t="str">
        <f aca="false">+INDEX($AB$3:$AB$50,MATCH(P33,$AI$3:$AI$50,0))</f>
        <v>Marruecos</v>
      </c>
      <c r="R33" s="31" t="n">
        <f aca="false">+INDEX($AC$3:$AH$86,MATCH($Q33,$AB$3:$AB$86,0),MATCH(R$2,$AC$2:$AH$2,0))</f>
        <v>1</v>
      </c>
      <c r="S33" s="804" t="n">
        <f aca="false">+INDEX($AC$3:$AH$86,MATCH($Q33,$AB$3:$AB$86,0),MATCH(S$2,$AC$2:$AH$2,0))</f>
        <v>0.0416666666666667</v>
      </c>
      <c r="T33" s="31" t="n">
        <f aca="false">+INDEX($AC$3:$AH$86,MATCH($Q33,$AB$3:$AB$86,0),MATCH(T$2,$AC$2:$AH$2,0))</f>
        <v>0</v>
      </c>
      <c r="U33" s="31" t="n">
        <f aca="false">+INDEX($AC$3:$AH$86,MATCH($Q33,$AB$3:$AB$86,0),MATCH(U$2,$AC$2:$AH$2,0))</f>
        <v>5</v>
      </c>
      <c r="V33" s="804" t="n">
        <f aca="false">+INDEX($AC$3:$AH$86,MATCH($Q33,$AB$3:$AB$86,0),MATCH(V$2,$AC$2:$AH$2,0))</f>
        <v>0.208333333333333</v>
      </c>
      <c r="W33" s="31" t="n">
        <f aca="false">+INDEX($AC$3:$AH$86,MATCH($Q33,$AB$3:$AB$86,0),MATCH(W$2,$AC$2:$AH$2,0))</f>
        <v>1</v>
      </c>
      <c r="X33" s="31" t="n">
        <f aca="false">IFERROR(IF(Q33=$L$2,1,0),0)</f>
        <v>0</v>
      </c>
      <c r="AA33" s="31" t="n">
        <v>31</v>
      </c>
      <c r="AB33" s="31" t="str">
        <f aca="false">Idiomas!D242</f>
        <v>Noruega</v>
      </c>
      <c r="AC33" s="31" t="n">
        <v>2</v>
      </c>
      <c r="AD33" s="804" t="n">
        <f aca="false">ABS(AC33/24)</f>
        <v>0.0833333333333333</v>
      </c>
      <c r="AE33" s="31" t="n">
        <v>0</v>
      </c>
      <c r="AF33" s="31" t="n">
        <f aca="false">AC33-$M$2</f>
        <v>6</v>
      </c>
      <c r="AG33" s="804" t="n">
        <f aca="false">ABS(AF33/24)</f>
        <v>0.25</v>
      </c>
      <c r="AH33" s="31" t="n">
        <f aca="false">IF(AC33&gt;$M$2,1,IF(AC33=$M$2,0,-1))</f>
        <v>1</v>
      </c>
      <c r="AI33" s="31" t="n">
        <f aca="false">+COUNTIF($AB$3:$AB$50,"&lt;="&amp;AB33)</f>
        <v>33</v>
      </c>
    </row>
    <row r="34" customFormat="false" ht="15" hidden="false" customHeight="false" outlineLevel="0" collapsed="false">
      <c r="C34" s="490"/>
      <c r="E34" s="490"/>
      <c r="P34" s="31" t="n">
        <v>32</v>
      </c>
      <c r="Q34" s="31" t="str">
        <f aca="false">+INDEX($AB$3:$AB$50,MATCH(P34,$AI$3:$AI$50,0))</f>
        <v>México</v>
      </c>
      <c r="R34" s="31" t="n">
        <f aca="false">+INDEX($AC$3:$AH$86,MATCH($Q34,$AB$3:$AB$86,0),MATCH(R$2,$AC$2:$AH$2,0))</f>
        <v>-6</v>
      </c>
      <c r="S34" s="804" t="n">
        <f aca="false">+INDEX($AC$3:$AH$86,MATCH($Q34,$AB$3:$AB$86,0),MATCH(S$2,$AC$2:$AH$2,0))</f>
        <v>0.25</v>
      </c>
      <c r="T34" s="31" t="n">
        <f aca="false">+INDEX($AC$3:$AH$86,MATCH($Q34,$AB$3:$AB$86,0),MATCH(T$2,$AC$2:$AH$2,0))</f>
        <v>0</v>
      </c>
      <c r="U34" s="31" t="n">
        <f aca="false">+INDEX($AC$3:$AH$86,MATCH($Q34,$AB$3:$AB$86,0),MATCH(U$2,$AC$2:$AH$2,0))</f>
        <v>-2</v>
      </c>
      <c r="V34" s="804" t="n">
        <f aca="false">+INDEX($AC$3:$AH$86,MATCH($Q34,$AB$3:$AB$86,0),MATCH(V$2,$AC$2:$AH$2,0))</f>
        <v>0.0833333333333333</v>
      </c>
      <c r="W34" s="31" t="n">
        <f aca="false">+INDEX($AC$3:$AH$86,MATCH($Q34,$AB$3:$AB$86,0),MATCH(W$2,$AC$2:$AH$2,0))</f>
        <v>-1</v>
      </c>
      <c r="X34" s="31" t="n">
        <f aca="false">IFERROR(IF(Q34=$L$2,1,0),0)</f>
        <v>0</v>
      </c>
      <c r="AA34" s="31" t="n">
        <v>32</v>
      </c>
      <c r="AB34" s="31" t="str">
        <f aca="false">Idiomas!D243</f>
        <v>Nueva Zelanda</v>
      </c>
      <c r="AC34" s="31" t="n">
        <v>12</v>
      </c>
      <c r="AD34" s="804" t="n">
        <f aca="false">ABS(AC34/24)</f>
        <v>0.5</v>
      </c>
      <c r="AE34" s="31" t="n">
        <v>0</v>
      </c>
      <c r="AF34" s="31" t="n">
        <f aca="false">AC34-$M$2</f>
        <v>16</v>
      </c>
      <c r="AG34" s="804" t="n">
        <f aca="false">ABS(AF34/24)</f>
        <v>0.666666666666667</v>
      </c>
      <c r="AH34" s="31" t="n">
        <f aca="false">IF(AC34&gt;$M$2,1,IF(AC34=$M$2,0,-1))</f>
        <v>1</v>
      </c>
      <c r="AI34" s="31" t="n">
        <f aca="false">+COUNTIF($AB$3:$AB$50,"&lt;="&amp;AB34)</f>
        <v>34</v>
      </c>
    </row>
    <row r="35" customFormat="false" ht="15" hidden="false" customHeight="false" outlineLevel="0" collapsed="false">
      <c r="A35" s="30" t="s">
        <v>1472</v>
      </c>
      <c r="C35" s="490"/>
      <c r="E35" s="490"/>
      <c r="P35" s="31" t="n">
        <v>33</v>
      </c>
      <c r="Q35" s="31" t="str">
        <f aca="false">+INDEX($AB$3:$AB$50,MATCH(P35,$AI$3:$AI$50,0))</f>
        <v>Noruega</v>
      </c>
      <c r="R35" s="31" t="n">
        <f aca="false">+INDEX($AC$3:$AH$86,MATCH($Q35,$AB$3:$AB$86,0),MATCH(R$2,$AC$2:$AH$2,0))</f>
        <v>2</v>
      </c>
      <c r="S35" s="804" t="n">
        <f aca="false">+INDEX($AC$3:$AH$86,MATCH($Q35,$AB$3:$AB$86,0),MATCH(S$2,$AC$2:$AH$2,0))</f>
        <v>0.0833333333333333</v>
      </c>
      <c r="T35" s="31" t="n">
        <f aca="false">+INDEX($AC$3:$AH$86,MATCH($Q35,$AB$3:$AB$86,0),MATCH(T$2,$AC$2:$AH$2,0))</f>
        <v>0</v>
      </c>
      <c r="U35" s="31" t="n">
        <f aca="false">+INDEX($AC$3:$AH$86,MATCH($Q35,$AB$3:$AB$86,0),MATCH(U$2,$AC$2:$AH$2,0))</f>
        <v>6</v>
      </c>
      <c r="V35" s="804" t="n">
        <f aca="false">+INDEX($AC$3:$AH$86,MATCH($Q35,$AB$3:$AB$86,0),MATCH(V$2,$AC$2:$AH$2,0))</f>
        <v>0.25</v>
      </c>
      <c r="W35" s="31" t="n">
        <f aca="false">+INDEX($AC$3:$AH$86,MATCH($Q35,$AB$3:$AB$86,0),MATCH(W$2,$AC$2:$AH$2,0))</f>
        <v>1</v>
      </c>
      <c r="X35" s="31" t="n">
        <f aca="false">IFERROR(IF(Q35=$L$2,1,0),0)</f>
        <v>0</v>
      </c>
      <c r="AA35" s="31" t="n">
        <v>33</v>
      </c>
      <c r="AB35" s="31" t="str">
        <f aca="false">Idiomas!D244</f>
        <v>Países Bajos</v>
      </c>
      <c r="AC35" s="31" t="n">
        <v>2</v>
      </c>
      <c r="AD35" s="804" t="n">
        <f aca="false">ABS(AC35/24)</f>
        <v>0.0833333333333333</v>
      </c>
      <c r="AE35" s="31" t="n">
        <v>0</v>
      </c>
      <c r="AF35" s="31" t="n">
        <f aca="false">AC35-$M$2</f>
        <v>6</v>
      </c>
      <c r="AG35" s="804" t="n">
        <f aca="false">ABS(AF35/24)</f>
        <v>0.25</v>
      </c>
      <c r="AH35" s="31" t="n">
        <f aca="false">IF(AC35&gt;$M$2,1,IF(AC35=$M$2,0,-1))</f>
        <v>1</v>
      </c>
      <c r="AI35" s="31" t="n">
        <f aca="false">+COUNTIF($AB$3:$AB$50,"&lt;="&amp;AB35)</f>
        <v>35</v>
      </c>
    </row>
    <row r="36" customFormat="false" ht="15" hidden="false" customHeight="false" outlineLevel="0" collapsed="false">
      <c r="A36" s="490" t="n">
        <v>46187.5416666667</v>
      </c>
      <c r="C36" s="490" t="n">
        <f aca="false">A36+INDEX($V$3:$V$86,MATCH($C$3,$P$3:$P$86,0))*INDEX($W$3:$W$86,MATCH($C$3,$P$3:$P$86,0))</f>
        <v>46187.7916666667</v>
      </c>
      <c r="D36" s="490"/>
      <c r="E36" s="490"/>
      <c r="P36" s="31" t="n">
        <v>34</v>
      </c>
      <c r="Q36" s="31" t="str">
        <f aca="false">+INDEX($AB$3:$AB$50,MATCH(P36,$AI$3:$AI$50,0))</f>
        <v>Nueva Zelanda</v>
      </c>
      <c r="R36" s="31" t="n">
        <f aca="false">+INDEX($AC$3:$AH$86,MATCH($Q36,$AB$3:$AB$86,0),MATCH(R$2,$AC$2:$AH$2,0))</f>
        <v>12</v>
      </c>
      <c r="S36" s="804" t="n">
        <f aca="false">+INDEX($AC$3:$AH$86,MATCH($Q36,$AB$3:$AB$86,0),MATCH(S$2,$AC$2:$AH$2,0))</f>
        <v>0.5</v>
      </c>
      <c r="T36" s="31" t="n">
        <f aca="false">+INDEX($AC$3:$AH$86,MATCH($Q36,$AB$3:$AB$86,0),MATCH(T$2,$AC$2:$AH$2,0))</f>
        <v>0</v>
      </c>
      <c r="U36" s="31" t="n">
        <f aca="false">+INDEX($AC$3:$AH$86,MATCH($Q36,$AB$3:$AB$86,0),MATCH(U$2,$AC$2:$AH$2,0))</f>
        <v>16</v>
      </c>
      <c r="V36" s="804" t="n">
        <f aca="false">+INDEX($AC$3:$AH$86,MATCH($Q36,$AB$3:$AB$86,0),MATCH(V$2,$AC$2:$AH$2,0))</f>
        <v>0.666666666666667</v>
      </c>
      <c r="W36" s="31" t="n">
        <f aca="false">+INDEX($AC$3:$AH$86,MATCH($Q36,$AB$3:$AB$86,0),MATCH(W$2,$AC$2:$AH$2,0))</f>
        <v>1</v>
      </c>
      <c r="X36" s="31" t="n">
        <f aca="false">IFERROR(IF(Q36=$L$2,1,0),0)</f>
        <v>0</v>
      </c>
      <c r="AA36" s="31" t="n">
        <v>34</v>
      </c>
      <c r="AB36" s="31" t="str">
        <f aca="false">Idiomas!D245</f>
        <v>Panamá</v>
      </c>
      <c r="AC36" s="31" t="n">
        <v>-5</v>
      </c>
      <c r="AD36" s="804" t="n">
        <f aca="false">ABS(AC36/24)</f>
        <v>0.208333333333333</v>
      </c>
      <c r="AE36" s="31" t="n">
        <v>0</v>
      </c>
      <c r="AF36" s="31" t="n">
        <f aca="false">AC36-$M$2</f>
        <v>-1</v>
      </c>
      <c r="AG36" s="804" t="n">
        <f aca="false">ABS(AF36/24)</f>
        <v>0.0416666666666667</v>
      </c>
      <c r="AH36" s="31" t="n">
        <f aca="false">IF(AC36&gt;$M$2,1,IF(AC36=$M$2,0,-1))</f>
        <v>-1</v>
      </c>
      <c r="AI36" s="31" t="n">
        <f aca="false">+COUNTIF($AB$3:$AB$50,"&lt;="&amp;AB36)</f>
        <v>36</v>
      </c>
    </row>
    <row r="37" customFormat="false" ht="15" hidden="false" customHeight="false" outlineLevel="0" collapsed="false">
      <c r="A37" s="490" t="n">
        <v>46187.7916666667</v>
      </c>
      <c r="C37" s="490" t="n">
        <f aca="false">A37+INDEX($V$3:$V$86,MATCH($C$3,$P$3:$P$86,0))*INDEX($W$3:$W$86,MATCH($C$3,$P$3:$P$86,0))</f>
        <v>46188.0416666667</v>
      </c>
      <c r="D37" s="490"/>
      <c r="E37" s="490"/>
      <c r="P37" s="31" t="n">
        <v>35</v>
      </c>
      <c r="Q37" s="31" t="str">
        <f aca="false">+INDEX($AB$3:$AB$50,MATCH(P37,$AI$3:$AI$50,0))</f>
        <v>Países Bajos</v>
      </c>
      <c r="R37" s="31" t="n">
        <f aca="false">+INDEX($AC$3:$AH$86,MATCH($Q37,$AB$3:$AB$86,0),MATCH(R$2,$AC$2:$AH$2,0))</f>
        <v>2</v>
      </c>
      <c r="S37" s="804" t="n">
        <f aca="false">+INDEX($AC$3:$AH$86,MATCH($Q37,$AB$3:$AB$86,0),MATCH(S$2,$AC$2:$AH$2,0))</f>
        <v>0.0833333333333333</v>
      </c>
      <c r="T37" s="31" t="n">
        <f aca="false">+INDEX($AC$3:$AH$86,MATCH($Q37,$AB$3:$AB$86,0),MATCH(T$2,$AC$2:$AH$2,0))</f>
        <v>0</v>
      </c>
      <c r="U37" s="31" t="n">
        <f aca="false">+INDEX($AC$3:$AH$86,MATCH($Q37,$AB$3:$AB$86,0),MATCH(U$2,$AC$2:$AH$2,0))</f>
        <v>6</v>
      </c>
      <c r="V37" s="804" t="n">
        <f aca="false">+INDEX($AC$3:$AH$86,MATCH($Q37,$AB$3:$AB$86,0),MATCH(V$2,$AC$2:$AH$2,0))</f>
        <v>0.25</v>
      </c>
      <c r="W37" s="31" t="n">
        <f aca="false">+INDEX($AC$3:$AH$86,MATCH($Q37,$AB$3:$AB$86,0),MATCH(W$2,$AC$2:$AH$2,0))</f>
        <v>1</v>
      </c>
      <c r="X37" s="31" t="n">
        <f aca="false">IFERROR(IF(Q37=$L$2,1,0),0)</f>
        <v>0</v>
      </c>
      <c r="AA37" s="31" t="n">
        <v>35</v>
      </c>
      <c r="AB37" s="31" t="str">
        <f aca="false">Idiomas!D246</f>
        <v>Paraguay</v>
      </c>
      <c r="AC37" s="31" t="n">
        <v>-4</v>
      </c>
      <c r="AD37" s="804" t="n">
        <f aca="false">ABS(AC37/24)</f>
        <v>0.166666666666667</v>
      </c>
      <c r="AE37" s="31" t="n">
        <v>0</v>
      </c>
      <c r="AF37" s="31" t="n">
        <f aca="false">AC37-$M$2</f>
        <v>0</v>
      </c>
      <c r="AG37" s="804" t="n">
        <f aca="false">ABS(AF37/24)</f>
        <v>0</v>
      </c>
      <c r="AH37" s="31" t="n">
        <f aca="false">IF(AC37&gt;$M$2,1,IF(AC37=$M$2,0,-1))</f>
        <v>0</v>
      </c>
      <c r="AI37" s="31" t="n">
        <f aca="false">+COUNTIF($AB$3:$AB$50,"&lt;="&amp;AB37)</f>
        <v>37</v>
      </c>
    </row>
    <row r="38" customFormat="false" ht="15" hidden="false" customHeight="false" outlineLevel="0" collapsed="false">
      <c r="A38" s="490" t="n">
        <v>46193.6666666667</v>
      </c>
      <c r="C38" s="490" t="n">
        <f aca="false">A38+INDEX($V$3:$V$86,MATCH($C$3,$P$3:$P$86,0))*INDEX($W$3:$W$86,MATCH($C$3,$P$3:$P$86,0))</f>
        <v>46193.9166666667</v>
      </c>
      <c r="D38" s="490"/>
      <c r="E38" s="490"/>
      <c r="P38" s="31" t="n">
        <v>36</v>
      </c>
      <c r="Q38" s="31" t="str">
        <f aca="false">+INDEX($AB$3:$AB$50,MATCH(P38,$AI$3:$AI$50,0))</f>
        <v>Panamá</v>
      </c>
      <c r="R38" s="31" t="n">
        <f aca="false">+INDEX($AC$3:$AH$86,MATCH($Q38,$AB$3:$AB$86,0),MATCH(R$2,$AC$2:$AH$2,0))</f>
        <v>-5</v>
      </c>
      <c r="S38" s="804" t="n">
        <f aca="false">+INDEX($AC$3:$AH$86,MATCH($Q38,$AB$3:$AB$86,0),MATCH(S$2,$AC$2:$AH$2,0))</f>
        <v>0.208333333333333</v>
      </c>
      <c r="T38" s="31" t="n">
        <f aca="false">+INDEX($AC$3:$AH$86,MATCH($Q38,$AB$3:$AB$86,0),MATCH(T$2,$AC$2:$AH$2,0))</f>
        <v>0</v>
      </c>
      <c r="U38" s="31" t="n">
        <f aca="false">+INDEX($AC$3:$AH$86,MATCH($Q38,$AB$3:$AB$86,0),MATCH(U$2,$AC$2:$AH$2,0))</f>
        <v>-1</v>
      </c>
      <c r="V38" s="804" t="n">
        <f aca="false">+INDEX($AC$3:$AH$86,MATCH($Q38,$AB$3:$AB$86,0),MATCH(V$2,$AC$2:$AH$2,0))</f>
        <v>0.0416666666666667</v>
      </c>
      <c r="W38" s="31" t="n">
        <f aca="false">+INDEX($AC$3:$AH$86,MATCH($Q38,$AB$3:$AB$86,0),MATCH(W$2,$AC$2:$AH$2,0))</f>
        <v>-1</v>
      </c>
      <c r="X38" s="31" t="n">
        <f aca="false">IFERROR(IF(Q38=$L$2,1,0),0)</f>
        <v>0</v>
      </c>
      <c r="AA38" s="31" t="n">
        <v>36</v>
      </c>
      <c r="AB38" s="31" t="str">
        <f aca="false">Idiomas!D247</f>
        <v>Portugal</v>
      </c>
      <c r="AC38" s="31" t="n">
        <v>1</v>
      </c>
      <c r="AD38" s="804" t="n">
        <f aca="false">ABS(AC38/24)</f>
        <v>0.0416666666666667</v>
      </c>
      <c r="AE38" s="31" t="n">
        <v>0</v>
      </c>
      <c r="AF38" s="31" t="n">
        <f aca="false">AC38-$M$2</f>
        <v>5</v>
      </c>
      <c r="AG38" s="804" t="n">
        <f aca="false">ABS(AF38/24)</f>
        <v>0.208333333333333</v>
      </c>
      <c r="AH38" s="31" t="n">
        <f aca="false">IF(AC38&gt;$M$2,1,IF(AC38=$M$2,0,-1))</f>
        <v>1</v>
      </c>
      <c r="AI38" s="31" t="n">
        <f aca="false">+COUNTIF($AB$3:$AB$50,"&lt;="&amp;AB38)</f>
        <v>38</v>
      </c>
    </row>
    <row r="39" customFormat="false" ht="15" hidden="false" customHeight="false" outlineLevel="0" collapsed="false">
      <c r="A39" s="490" t="n">
        <v>46193.8333333333</v>
      </c>
      <c r="C39" s="490" t="n">
        <f aca="false">A39+INDEX($V$3:$V$86,MATCH($C$3,$P$3:$P$86,0))*INDEX($W$3:$W$86,MATCH($C$3,$P$3:$P$86,0))</f>
        <v>46194.0833333333</v>
      </c>
      <c r="D39" s="490"/>
      <c r="E39" s="490"/>
      <c r="P39" s="31" t="n">
        <v>37</v>
      </c>
      <c r="Q39" s="31" t="str">
        <f aca="false">+INDEX($AB$3:$AB$50,MATCH(P39,$AI$3:$AI$50,0))</f>
        <v>Paraguay</v>
      </c>
      <c r="R39" s="31" t="n">
        <f aca="false">+INDEX($AC$3:$AH$86,MATCH($Q39,$AB$3:$AB$86,0),MATCH(R$2,$AC$2:$AH$2,0))</f>
        <v>-4</v>
      </c>
      <c r="S39" s="804" t="n">
        <f aca="false">+INDEX($AC$3:$AH$86,MATCH($Q39,$AB$3:$AB$86,0),MATCH(S$2,$AC$2:$AH$2,0))</f>
        <v>0.166666666666667</v>
      </c>
      <c r="T39" s="31" t="n">
        <f aca="false">+INDEX($AC$3:$AH$86,MATCH($Q39,$AB$3:$AB$86,0),MATCH(T$2,$AC$2:$AH$2,0))</f>
        <v>0</v>
      </c>
      <c r="U39" s="31" t="n">
        <f aca="false">+INDEX($AC$3:$AH$86,MATCH($Q39,$AB$3:$AB$86,0),MATCH(U$2,$AC$2:$AH$2,0))</f>
        <v>0</v>
      </c>
      <c r="V39" s="804" t="n">
        <f aca="false">+INDEX($AC$3:$AH$86,MATCH($Q39,$AB$3:$AB$86,0),MATCH(V$2,$AC$2:$AH$2,0))</f>
        <v>0</v>
      </c>
      <c r="W39" s="31" t="n">
        <f aca="false">+INDEX($AC$3:$AH$86,MATCH($Q39,$AB$3:$AB$86,0),MATCH(W$2,$AC$2:$AH$2,0))</f>
        <v>0</v>
      </c>
      <c r="X39" s="31" t="n">
        <f aca="false">IFERROR(IF(Q39=$L$2,1,0),0)</f>
        <v>0</v>
      </c>
      <c r="AA39" s="31" t="n">
        <v>37</v>
      </c>
      <c r="AB39" s="31" t="str">
        <f aca="false">Idiomas!D248</f>
        <v>Senegal</v>
      </c>
      <c r="AC39" s="31" t="n">
        <v>0</v>
      </c>
      <c r="AD39" s="804" t="n">
        <f aca="false">ABS(AC39/24)</f>
        <v>0</v>
      </c>
      <c r="AE39" s="31" t="n">
        <v>0</v>
      </c>
      <c r="AF39" s="31" t="n">
        <f aca="false">AC39-$M$2</f>
        <v>4</v>
      </c>
      <c r="AG39" s="804" t="n">
        <f aca="false">ABS(AF39/24)</f>
        <v>0.166666666666667</v>
      </c>
      <c r="AH39" s="31" t="n">
        <f aca="false">IF(AC39&gt;$M$2,1,IF(AC39=$M$2,0,-1))</f>
        <v>1</v>
      </c>
      <c r="AI39" s="31" t="n">
        <f aca="false">+COUNTIF($AB$3:$AB$50,"&lt;="&amp;AB39)</f>
        <v>41</v>
      </c>
    </row>
    <row r="40" customFormat="false" ht="15" hidden="false" customHeight="false" outlineLevel="0" collapsed="false">
      <c r="A40" s="490" t="n">
        <v>46198.6666666667</v>
      </c>
      <c r="C40" s="490" t="n">
        <f aca="false">A40+INDEX($V$3:$V$86,MATCH($C$3,$P$3:$P$86,0))*INDEX($W$3:$W$86,MATCH($C$3,$P$3:$P$86,0))</f>
        <v>46198.9166666667</v>
      </c>
      <c r="D40" s="490"/>
      <c r="E40" s="490"/>
      <c r="P40" s="31" t="n">
        <v>38</v>
      </c>
      <c r="Q40" s="31" t="str">
        <f aca="false">+INDEX($AB$3:$AB$50,MATCH(P40,$AI$3:$AI$50,0))</f>
        <v>Portugal</v>
      </c>
      <c r="R40" s="31" t="n">
        <f aca="false">+INDEX($AC$3:$AH$86,MATCH($Q40,$AB$3:$AB$86,0),MATCH(R$2,$AC$2:$AH$2,0))</f>
        <v>1</v>
      </c>
      <c r="S40" s="804" t="n">
        <f aca="false">+INDEX($AC$3:$AH$86,MATCH($Q40,$AB$3:$AB$86,0),MATCH(S$2,$AC$2:$AH$2,0))</f>
        <v>0.0416666666666667</v>
      </c>
      <c r="T40" s="31" t="n">
        <f aca="false">+INDEX($AC$3:$AH$86,MATCH($Q40,$AB$3:$AB$86,0),MATCH(T$2,$AC$2:$AH$2,0))</f>
        <v>0</v>
      </c>
      <c r="U40" s="31" t="n">
        <f aca="false">+INDEX($AC$3:$AH$86,MATCH($Q40,$AB$3:$AB$86,0),MATCH(U$2,$AC$2:$AH$2,0))</f>
        <v>5</v>
      </c>
      <c r="V40" s="804" t="n">
        <f aca="false">+INDEX($AC$3:$AH$86,MATCH($Q40,$AB$3:$AB$86,0),MATCH(V$2,$AC$2:$AH$2,0))</f>
        <v>0.208333333333333</v>
      </c>
      <c r="W40" s="31" t="n">
        <f aca="false">+INDEX($AC$3:$AH$86,MATCH($Q40,$AB$3:$AB$86,0),MATCH(W$2,$AC$2:$AH$2,0))</f>
        <v>1</v>
      </c>
      <c r="X40" s="31" t="n">
        <f aca="false">IFERROR(IF(Q40=$L$2,1,0),0)</f>
        <v>0</v>
      </c>
      <c r="AA40" s="31" t="n">
        <v>38</v>
      </c>
      <c r="AB40" s="31" t="str">
        <f aca="false">Idiomas!D249</f>
        <v>Sudáfrica</v>
      </c>
      <c r="AC40" s="31" t="n">
        <v>2</v>
      </c>
      <c r="AD40" s="804" t="n">
        <f aca="false">ABS(AC40/24)</f>
        <v>0.0833333333333333</v>
      </c>
      <c r="AE40" s="31" t="n">
        <v>0</v>
      </c>
      <c r="AF40" s="31" t="n">
        <f aca="false">AC40-$M$2</f>
        <v>6</v>
      </c>
      <c r="AG40" s="804" t="n">
        <f aca="false">ABS(AF40/24)</f>
        <v>0.25</v>
      </c>
      <c r="AH40" s="31" t="n">
        <f aca="false">IF(AC40&gt;$M$2,1,IF(AC40=$M$2,0,-1))</f>
        <v>1</v>
      </c>
      <c r="AI40" s="31" t="n">
        <f aca="false">+COUNTIF($AB$3:$AB$50,"&lt;="&amp;AB40)</f>
        <v>42</v>
      </c>
    </row>
    <row r="41" customFormat="false" ht="15" hidden="false" customHeight="false" outlineLevel="0" collapsed="false">
      <c r="A41" s="490" t="n">
        <v>46198.6666666667</v>
      </c>
      <c r="C41" s="490" t="n">
        <f aca="false">A41+INDEX($V$3:$V$86,MATCH($C$3,$P$3:$P$86,0))*INDEX($W$3:$W$86,MATCH($C$3,$P$3:$P$86,0))</f>
        <v>46198.9166666667</v>
      </c>
      <c r="D41" s="490"/>
      <c r="E41" s="490"/>
      <c r="P41" s="31" t="n">
        <v>39</v>
      </c>
      <c r="Q41" s="31" t="str">
        <f aca="false">+INDEX($AB$3:$AB$50,MATCH(P41,$AI$3:$AI$50,0))</f>
        <v>RD Congo</v>
      </c>
      <c r="R41" s="31" t="n">
        <f aca="false">+INDEX($AC$3:$AH$86,MATCH($Q41,$AB$3:$AB$86,0),MATCH(R$2,$AC$2:$AH$2,0))</f>
        <v>1</v>
      </c>
      <c r="S41" s="804" t="n">
        <f aca="false">+INDEX($AC$3:$AH$86,MATCH($Q41,$AB$3:$AB$86,0),MATCH(S$2,$AC$2:$AH$2,0))</f>
        <v>0.0416666666666667</v>
      </c>
      <c r="T41" s="31" t="n">
        <f aca="false">+INDEX($AC$3:$AH$86,MATCH($Q41,$AB$3:$AB$86,0),MATCH(T$2,$AC$2:$AH$2,0))</f>
        <v>0</v>
      </c>
      <c r="U41" s="31" t="n">
        <f aca="false">+INDEX($AC$3:$AH$86,MATCH($Q41,$AB$3:$AB$86,0),MATCH(U$2,$AC$2:$AH$2,0))</f>
        <v>5</v>
      </c>
      <c r="V41" s="804" t="n">
        <f aca="false">+INDEX($AC$3:$AH$86,MATCH($Q41,$AB$3:$AB$86,0),MATCH(V$2,$AC$2:$AH$2,0))</f>
        <v>0.208333333333333</v>
      </c>
      <c r="W41" s="31" t="n">
        <f aca="false">+INDEX($AC$3:$AH$86,MATCH($Q41,$AB$3:$AB$86,0),MATCH(W$2,$AC$2:$AH$2,0))</f>
        <v>1</v>
      </c>
      <c r="X41" s="31" t="n">
        <f aca="false">IFERROR(IF(Q41=$L$2,1,0),0)</f>
        <v>0</v>
      </c>
      <c r="AA41" s="31" t="n">
        <v>39</v>
      </c>
      <c r="AB41" s="31" t="str">
        <f aca="false">Idiomas!D250</f>
        <v>Suiza</v>
      </c>
      <c r="AC41" s="31" t="n">
        <v>2</v>
      </c>
      <c r="AD41" s="804" t="n">
        <f aca="false">ABS(AC41/24)</f>
        <v>0.0833333333333333</v>
      </c>
      <c r="AE41" s="31" t="n">
        <v>0</v>
      </c>
      <c r="AF41" s="31" t="n">
        <f aca="false">AC41-$M$2</f>
        <v>6</v>
      </c>
      <c r="AG41" s="804" t="n">
        <f aca="false">ABS(AF41/24)</f>
        <v>0.25</v>
      </c>
      <c r="AH41" s="31" t="n">
        <f aca="false">IF(AC41&gt;$M$2,1,IF(AC41=$M$2,0,-1))</f>
        <v>1</v>
      </c>
      <c r="AI41" s="31" t="n">
        <f aca="false">+COUNTIF($AB$3:$AB$50,"&lt;="&amp;AB41)</f>
        <v>44</v>
      </c>
    </row>
    <row r="42" customFormat="false" ht="15" hidden="false" customHeight="false" outlineLevel="0" collapsed="false">
      <c r="C42" s="490"/>
      <c r="E42" s="490"/>
      <c r="P42" s="31" t="n">
        <v>40</v>
      </c>
      <c r="Q42" s="31" t="str">
        <f aca="false">+INDEX($AB$3:$AB$50,MATCH(P42,$AI$3:$AI$50,0))</f>
        <v>República Checa</v>
      </c>
      <c r="R42" s="31" t="n">
        <f aca="false">+INDEX($AC$3:$AH$86,MATCH($Q42,$AB$3:$AB$86,0),MATCH(R$2,$AC$2:$AH$2,0))</f>
        <v>2</v>
      </c>
      <c r="S42" s="804" t="n">
        <f aca="false">+INDEX($AC$3:$AH$86,MATCH($Q42,$AB$3:$AB$86,0),MATCH(S$2,$AC$2:$AH$2,0))</f>
        <v>0.0833333333333333</v>
      </c>
      <c r="T42" s="31" t="n">
        <f aca="false">+INDEX($AC$3:$AH$86,MATCH($Q42,$AB$3:$AB$86,0),MATCH(T$2,$AC$2:$AH$2,0))</f>
        <v>0</v>
      </c>
      <c r="U42" s="31" t="n">
        <f aca="false">+INDEX($AC$3:$AH$86,MATCH($Q42,$AB$3:$AB$86,0),MATCH(U$2,$AC$2:$AH$2,0))</f>
        <v>6</v>
      </c>
      <c r="V42" s="804" t="n">
        <f aca="false">+INDEX($AC$3:$AH$86,MATCH($Q42,$AB$3:$AB$86,0),MATCH(V$2,$AC$2:$AH$2,0))</f>
        <v>0.25</v>
      </c>
      <c r="W42" s="31" t="n">
        <f aca="false">+INDEX($AC$3:$AH$86,MATCH($Q42,$AB$3:$AB$86,0),MATCH(W$2,$AC$2:$AH$2,0))</f>
        <v>1</v>
      </c>
      <c r="X42" s="31" t="n">
        <f aca="false">IFERROR(IF(Q42=$L$2,1,0),0)</f>
        <v>0</v>
      </c>
      <c r="AA42" s="31" t="n">
        <v>40</v>
      </c>
      <c r="AB42" s="31" t="str">
        <f aca="false">Idiomas!D251</f>
        <v>Túnez</v>
      </c>
      <c r="AC42" s="31" t="n">
        <v>1</v>
      </c>
      <c r="AD42" s="804" t="n">
        <f aca="false">ABS(AC42/24)</f>
        <v>0.0416666666666667</v>
      </c>
      <c r="AE42" s="31" t="n">
        <v>0</v>
      </c>
      <c r="AF42" s="31" t="n">
        <f aca="false">AC42-$M$2</f>
        <v>5</v>
      </c>
      <c r="AG42" s="804" t="n">
        <f aca="false">ABS(AF42/24)</f>
        <v>0.208333333333333</v>
      </c>
      <c r="AH42" s="31" t="n">
        <f aca="false">IF(AC42&gt;$M$2,1,IF(AC42=$M$2,0,-1))</f>
        <v>1</v>
      </c>
      <c r="AI42" s="31" t="n">
        <f aca="false">+COUNTIF($AB$3:$AB$50,"&lt;="&amp;AB42)</f>
        <v>45</v>
      </c>
    </row>
    <row r="43" customFormat="false" ht="15" hidden="false" customHeight="false" outlineLevel="0" collapsed="false">
      <c r="A43" s="30" t="s">
        <v>63</v>
      </c>
      <c r="C43" s="490"/>
      <c r="E43" s="490"/>
      <c r="P43" s="31" t="n">
        <v>41</v>
      </c>
      <c r="Q43" s="31" t="str">
        <f aca="false">+INDEX($AB$3:$AB$50,MATCH(P43,$AI$3:$AI$50,0))</f>
        <v>Senegal</v>
      </c>
      <c r="R43" s="31" t="n">
        <f aca="false">+INDEX($AC$3:$AH$86,MATCH($Q43,$AB$3:$AB$86,0),MATCH(R$2,$AC$2:$AH$2,0))</f>
        <v>0</v>
      </c>
      <c r="S43" s="804" t="n">
        <f aca="false">+INDEX($AC$3:$AH$86,MATCH($Q43,$AB$3:$AB$86,0),MATCH(S$2,$AC$2:$AH$2,0))</f>
        <v>0</v>
      </c>
      <c r="T43" s="31" t="n">
        <f aca="false">+INDEX($AC$3:$AH$86,MATCH($Q43,$AB$3:$AB$86,0),MATCH(T$2,$AC$2:$AH$2,0))</f>
        <v>0</v>
      </c>
      <c r="U43" s="31" t="n">
        <f aca="false">+INDEX($AC$3:$AH$86,MATCH($Q43,$AB$3:$AB$86,0),MATCH(U$2,$AC$2:$AH$2,0))</f>
        <v>4</v>
      </c>
      <c r="V43" s="804" t="n">
        <f aca="false">+INDEX($AC$3:$AH$86,MATCH($Q43,$AB$3:$AB$86,0),MATCH(V$2,$AC$2:$AH$2,0))</f>
        <v>0.166666666666667</v>
      </c>
      <c r="W43" s="31" t="n">
        <f aca="false">+INDEX($AC$3:$AH$86,MATCH($Q43,$AB$3:$AB$86,0),MATCH(W$2,$AC$2:$AH$2,0))</f>
        <v>1</v>
      </c>
      <c r="X43" s="31" t="n">
        <f aca="false">IFERROR(IF(Q43=$L$2,1,0),0)</f>
        <v>0</v>
      </c>
      <c r="AA43" s="31" t="n">
        <v>41</v>
      </c>
      <c r="AB43" s="31" t="str">
        <f aca="false">Idiomas!D252</f>
        <v>Uruguay</v>
      </c>
      <c r="AC43" s="31" t="n">
        <v>-3</v>
      </c>
      <c r="AD43" s="804" t="n">
        <f aca="false">ABS(AC43/24)</f>
        <v>0.125</v>
      </c>
      <c r="AE43" s="31" t="n">
        <v>0</v>
      </c>
      <c r="AF43" s="31" t="n">
        <f aca="false">AC43-$M$2</f>
        <v>1</v>
      </c>
      <c r="AG43" s="804" t="n">
        <f aca="false">ABS(AF43/24)</f>
        <v>0.0416666666666667</v>
      </c>
      <c r="AH43" s="31" t="n">
        <f aca="false">IF(AC43&gt;$M$2,1,IF(AC43=$M$2,0,-1))</f>
        <v>1</v>
      </c>
      <c r="AI43" s="31" t="n">
        <f aca="false">+COUNTIF($AB$3:$AB$50,"&lt;="&amp;AB43)</f>
        <v>47</v>
      </c>
    </row>
    <row r="44" customFormat="false" ht="15" hidden="false" customHeight="false" outlineLevel="0" collapsed="false">
      <c r="A44" s="490" t="n">
        <v>46187.6666666667</v>
      </c>
      <c r="C44" s="490" t="n">
        <f aca="false">A44+INDEX($V$3:$V$86,MATCH($C$3,$P$3:$P$86,0))*INDEX($W$3:$W$86,MATCH($C$3,$P$3:$P$86,0))</f>
        <v>46187.9166666667</v>
      </c>
      <c r="D44" s="490"/>
      <c r="E44" s="490"/>
      <c r="P44" s="31" t="n">
        <v>42</v>
      </c>
      <c r="Q44" s="31" t="str">
        <f aca="false">+INDEX($AB$3:$AB$50,MATCH(P44,$AI$3:$AI$50,0))</f>
        <v>Sudáfrica</v>
      </c>
      <c r="R44" s="31" t="n">
        <f aca="false">+INDEX($AC$3:$AH$86,MATCH($Q44,$AB$3:$AB$86,0),MATCH(R$2,$AC$2:$AH$2,0))</f>
        <v>2</v>
      </c>
      <c r="S44" s="804" t="n">
        <f aca="false">+INDEX($AC$3:$AH$86,MATCH($Q44,$AB$3:$AB$86,0),MATCH(S$2,$AC$2:$AH$2,0))</f>
        <v>0.0833333333333333</v>
      </c>
      <c r="T44" s="31" t="n">
        <f aca="false">+INDEX($AC$3:$AH$86,MATCH($Q44,$AB$3:$AB$86,0),MATCH(T$2,$AC$2:$AH$2,0))</f>
        <v>0</v>
      </c>
      <c r="U44" s="31" t="n">
        <f aca="false">+INDEX($AC$3:$AH$86,MATCH($Q44,$AB$3:$AB$86,0),MATCH(U$2,$AC$2:$AH$2,0))</f>
        <v>6</v>
      </c>
      <c r="V44" s="804" t="n">
        <f aca="false">+INDEX($AC$3:$AH$86,MATCH($Q44,$AB$3:$AB$86,0),MATCH(V$2,$AC$2:$AH$2,0))</f>
        <v>0.25</v>
      </c>
      <c r="W44" s="31" t="n">
        <f aca="false">+INDEX($AC$3:$AH$86,MATCH($Q44,$AB$3:$AB$86,0),MATCH(W$2,$AC$2:$AH$2,0))</f>
        <v>1</v>
      </c>
      <c r="X44" s="31" t="n">
        <f aca="false">IFERROR(IF(Q44=$L$2,1,0),0)</f>
        <v>0</v>
      </c>
      <c r="AA44" s="31" t="n">
        <v>42</v>
      </c>
      <c r="AB44" s="31" t="str">
        <f aca="false">Idiomas!D253</f>
        <v>Uzbekistán</v>
      </c>
      <c r="AC44" s="31" t="n">
        <v>5</v>
      </c>
      <c r="AD44" s="804" t="n">
        <f aca="false">ABS(AC44/24)</f>
        <v>0.208333333333333</v>
      </c>
      <c r="AE44" s="31" t="n">
        <v>0</v>
      </c>
      <c r="AF44" s="31" t="n">
        <f aca="false">AC44-$M$2</f>
        <v>9</v>
      </c>
      <c r="AG44" s="804" t="n">
        <f aca="false">ABS(AF44/24)</f>
        <v>0.375</v>
      </c>
      <c r="AH44" s="31" t="n">
        <f aca="false">IF(AC44&gt;$M$2,1,IF(AC44=$M$2,0,-1))</f>
        <v>1</v>
      </c>
      <c r="AI44" s="31" t="n">
        <f aca="false">+COUNTIF($AB$3:$AB$50,"&lt;="&amp;AB44)</f>
        <v>48</v>
      </c>
    </row>
    <row r="45" customFormat="false" ht="15" hidden="false" customHeight="false" outlineLevel="0" collapsed="false">
      <c r="A45" s="490" t="n">
        <v>46187.9166666667</v>
      </c>
      <c r="C45" s="490" t="n">
        <f aca="false">A45+INDEX($V$3:$V$86,MATCH($C$3,$P$3:$P$86,0))*INDEX($W$3:$W$86,MATCH($C$3,$P$3:$P$86,0))</f>
        <v>46188.1666666667</v>
      </c>
      <c r="D45" s="490"/>
      <c r="E45" s="490"/>
      <c r="P45" s="31" t="n">
        <v>43</v>
      </c>
      <c r="Q45" s="31" t="str">
        <f aca="false">+INDEX($AB$3:$AB$50,MATCH(P45,$AI$3:$AI$50,0))</f>
        <v>Suecia</v>
      </c>
      <c r="R45" s="31" t="n">
        <f aca="false">+INDEX($AC$3:$AH$86,MATCH($Q45,$AB$3:$AB$86,0),MATCH(R$2,$AC$2:$AH$2,0))</f>
        <v>2</v>
      </c>
      <c r="S45" s="804" t="n">
        <f aca="false">+INDEX($AC$3:$AH$86,MATCH($Q45,$AB$3:$AB$86,0),MATCH(S$2,$AC$2:$AH$2,0))</f>
        <v>0.0833333333333333</v>
      </c>
      <c r="T45" s="31" t="n">
        <f aca="false">+INDEX($AC$3:$AH$86,MATCH($Q45,$AB$3:$AB$86,0),MATCH(T$2,$AC$2:$AH$2,0))</f>
        <v>0</v>
      </c>
      <c r="U45" s="31" t="n">
        <f aca="false">+INDEX($AC$3:$AH$86,MATCH($Q45,$AB$3:$AB$86,0),MATCH(U$2,$AC$2:$AH$2,0))</f>
        <v>6</v>
      </c>
      <c r="V45" s="804" t="n">
        <f aca="false">+INDEX($AC$3:$AH$86,MATCH($Q45,$AB$3:$AB$86,0),MATCH(V$2,$AC$2:$AH$2,0))</f>
        <v>0.25</v>
      </c>
      <c r="W45" s="31" t="n">
        <f aca="false">+INDEX($AC$3:$AH$86,MATCH($Q45,$AB$3:$AB$86,0),MATCH(W$2,$AC$2:$AH$2,0))</f>
        <v>1</v>
      </c>
      <c r="X45" s="31" t="n">
        <f aca="false">IFERROR(IF(Q45=$L$2,1,0),0)</f>
        <v>0</v>
      </c>
      <c r="AA45" s="31" t="n">
        <v>43</v>
      </c>
      <c r="AB45" s="31" t="str">
        <f aca="false">Idiomas!D254</f>
        <v>RD Congo</v>
      </c>
      <c r="AC45" s="31" t="n">
        <v>1</v>
      </c>
      <c r="AD45" s="804" t="n">
        <f aca="false">ABS(AC45/24)</f>
        <v>0.0416666666666667</v>
      </c>
      <c r="AE45" s="31" t="n">
        <v>0</v>
      </c>
      <c r="AF45" s="31" t="n">
        <f aca="false">AC45-$M$2</f>
        <v>5</v>
      </c>
      <c r="AG45" s="804" t="n">
        <f aca="false">ABS(AF45/24)</f>
        <v>0.208333333333333</v>
      </c>
      <c r="AH45" s="31" t="n">
        <f aca="false">IF(AC45&gt;$M$2,1,IF(AC45=$M$2,0,-1))</f>
        <v>1</v>
      </c>
      <c r="AI45" s="31" t="n">
        <f aca="false">+COUNTIF($AB$3:$AB$50,"&lt;="&amp;AB45)</f>
        <v>39</v>
      </c>
    </row>
    <row r="46" customFormat="false" ht="15" hidden="false" customHeight="false" outlineLevel="0" collapsed="false">
      <c r="A46" s="490" t="n">
        <v>46193.5416666667</v>
      </c>
      <c r="C46" s="490" t="n">
        <f aca="false">A46+INDEX($V$3:$V$86,MATCH($C$3,$P$3:$P$86,0))*INDEX($W$3:$W$86,MATCH($C$3,$P$3:$P$86,0))</f>
        <v>46193.7916666667</v>
      </c>
      <c r="D46" s="490"/>
      <c r="E46" s="490"/>
      <c r="P46" s="31" t="n">
        <v>44</v>
      </c>
      <c r="Q46" s="31" t="str">
        <f aca="false">+INDEX($AB$3:$AB$50,MATCH(P46,$AI$3:$AI$50,0))</f>
        <v>Suiza</v>
      </c>
      <c r="R46" s="31" t="n">
        <f aca="false">+INDEX($AC$3:$AH$86,MATCH($Q46,$AB$3:$AB$86,0),MATCH(R$2,$AC$2:$AH$2,0))</f>
        <v>2</v>
      </c>
      <c r="S46" s="804" t="n">
        <f aca="false">+INDEX($AC$3:$AH$86,MATCH($Q46,$AB$3:$AB$86,0),MATCH(S$2,$AC$2:$AH$2,0))</f>
        <v>0.0833333333333333</v>
      </c>
      <c r="T46" s="31" t="n">
        <f aca="false">+INDEX($AC$3:$AH$86,MATCH($Q46,$AB$3:$AB$86,0),MATCH(T$2,$AC$2:$AH$2,0))</f>
        <v>0</v>
      </c>
      <c r="U46" s="31" t="n">
        <f aca="false">+INDEX($AC$3:$AH$86,MATCH($Q46,$AB$3:$AB$86,0),MATCH(U$2,$AC$2:$AH$2,0))</f>
        <v>6</v>
      </c>
      <c r="V46" s="804" t="n">
        <f aca="false">+INDEX($AC$3:$AH$86,MATCH($Q46,$AB$3:$AB$86,0),MATCH(V$2,$AC$2:$AH$2,0))</f>
        <v>0.25</v>
      </c>
      <c r="W46" s="31" t="n">
        <f aca="false">+INDEX($AC$3:$AH$86,MATCH($Q46,$AB$3:$AB$86,0),MATCH(W$2,$AC$2:$AH$2,0))</f>
        <v>1</v>
      </c>
      <c r="X46" s="31" t="n">
        <f aca="false">IFERROR(IF(Q46=$L$2,1,0),0)</f>
        <v>0</v>
      </c>
      <c r="AA46" s="31" t="n">
        <v>44</v>
      </c>
      <c r="AB46" s="31" t="str">
        <f aca="false">Idiomas!D255</f>
        <v>Irak</v>
      </c>
      <c r="AC46" s="31" t="n">
        <v>3</v>
      </c>
      <c r="AD46" s="804" t="n">
        <f aca="false">ABS(AC46/24)</f>
        <v>0.125</v>
      </c>
      <c r="AE46" s="31" t="n">
        <v>0</v>
      </c>
      <c r="AF46" s="31" t="n">
        <f aca="false">AC46-$M$2</f>
        <v>7</v>
      </c>
      <c r="AG46" s="804" t="n">
        <f aca="false">ABS(AF46/24)</f>
        <v>0.291666666666667</v>
      </c>
      <c r="AH46" s="31" t="n">
        <f aca="false">IF(AC46&gt;$M$2,1,IF(AC46=$M$2,0,-1))</f>
        <v>1</v>
      </c>
      <c r="AI46" s="31" t="n">
        <f aca="false">+COUNTIF($AB$3:$AB$50,"&lt;="&amp;AB46)</f>
        <v>27</v>
      </c>
    </row>
    <row r="47" customFormat="false" ht="15" hidden="false" customHeight="false" outlineLevel="0" collapsed="false">
      <c r="A47" s="490" t="n">
        <v>46194</v>
      </c>
      <c r="C47" s="490" t="n">
        <f aca="false">A47+INDEX($V$3:$V$86,MATCH($C$3,$P$3:$P$86,0))*INDEX($W$3:$W$86,MATCH($C$3,$P$3:$P$86,0))</f>
        <v>46194.25</v>
      </c>
      <c r="D47" s="490"/>
      <c r="E47" s="490"/>
      <c r="P47" s="31" t="n">
        <v>45</v>
      </c>
      <c r="Q47" s="31" t="str">
        <f aca="false">+INDEX($AB$3:$AB$50,MATCH(P47,$AI$3:$AI$50,0))</f>
        <v>Túnez</v>
      </c>
      <c r="R47" s="31" t="n">
        <f aca="false">+INDEX($AC$3:$AH$86,MATCH($Q47,$AB$3:$AB$86,0),MATCH(R$2,$AC$2:$AH$2,0))</f>
        <v>1</v>
      </c>
      <c r="S47" s="804" t="n">
        <f aca="false">+INDEX($AC$3:$AH$86,MATCH($Q47,$AB$3:$AB$86,0),MATCH(S$2,$AC$2:$AH$2,0))</f>
        <v>0.0416666666666667</v>
      </c>
      <c r="T47" s="31" t="n">
        <f aca="false">+INDEX($AC$3:$AH$86,MATCH($Q47,$AB$3:$AB$86,0),MATCH(T$2,$AC$2:$AH$2,0))</f>
        <v>0</v>
      </c>
      <c r="U47" s="31" t="n">
        <f aca="false">+INDEX($AC$3:$AH$86,MATCH($Q47,$AB$3:$AB$86,0),MATCH(U$2,$AC$2:$AH$2,0))</f>
        <v>5</v>
      </c>
      <c r="V47" s="804" t="n">
        <f aca="false">+INDEX($AC$3:$AH$86,MATCH($Q47,$AB$3:$AB$86,0),MATCH(V$2,$AC$2:$AH$2,0))</f>
        <v>0.208333333333333</v>
      </c>
      <c r="W47" s="31" t="n">
        <f aca="false">+INDEX($AC$3:$AH$86,MATCH($Q47,$AB$3:$AB$86,0),MATCH(W$2,$AC$2:$AH$2,0))</f>
        <v>1</v>
      </c>
      <c r="X47" s="31" t="n">
        <f aca="false">IFERROR(IF(Q47=$L$2,1,0),0)</f>
        <v>0</v>
      </c>
      <c r="AA47" s="31" t="n">
        <v>45</v>
      </c>
      <c r="AB47" s="31" t="str">
        <f aca="false">Idiomas!D256</f>
        <v>Bosnia y Herzegovina</v>
      </c>
      <c r="AC47" s="31" t="n">
        <v>2</v>
      </c>
      <c r="AD47" s="804" t="n">
        <f aca="false">ABS(AC47/24)</f>
        <v>0.0833333333333333</v>
      </c>
      <c r="AE47" s="31" t="n">
        <v>0</v>
      </c>
      <c r="AF47" s="31" t="n">
        <f aca="false">AC47-$M$2</f>
        <v>6</v>
      </c>
      <c r="AG47" s="804" t="n">
        <f aca="false">ABS(AF47/24)</f>
        <v>0.25</v>
      </c>
      <c r="AH47" s="31" t="n">
        <f aca="false">IF(AC47&gt;$M$2,1,IF(AC47=$M$2,0,-1))</f>
        <v>1</v>
      </c>
      <c r="AI47" s="31" t="n">
        <f aca="false">+COUNTIF($AB$3:$AB$50,"&lt;="&amp;AB47)</f>
        <v>8</v>
      </c>
    </row>
    <row r="48" customFormat="false" ht="15" hidden="false" customHeight="false" outlineLevel="0" collapsed="false">
      <c r="A48" s="490" t="n">
        <v>46198.7916666667</v>
      </c>
      <c r="C48" s="490" t="n">
        <f aca="false">A48+INDEX($V$3:$V$86,MATCH($C$3,$P$3:$P$86,0))*INDEX($W$3:$W$86,MATCH($C$3,$P$3:$P$86,0))</f>
        <v>46199.0416666667</v>
      </c>
      <c r="D48" s="490"/>
      <c r="E48" s="490"/>
      <c r="P48" s="31" t="n">
        <v>46</v>
      </c>
      <c r="Q48" s="31" t="str">
        <f aca="false">+INDEX($AB$3:$AB$50,MATCH(P48,$AI$3:$AI$50,0))</f>
        <v>Turquía</v>
      </c>
      <c r="R48" s="31" t="n">
        <f aca="false">+INDEX($AC$3:$AH$86,MATCH($Q48,$AB$3:$AB$86,0),MATCH(R$2,$AC$2:$AH$2,0))</f>
        <v>3</v>
      </c>
      <c r="S48" s="804" t="n">
        <f aca="false">+INDEX($AC$3:$AH$86,MATCH($Q48,$AB$3:$AB$86,0),MATCH(S$2,$AC$2:$AH$2,0))</f>
        <v>0.125</v>
      </c>
      <c r="T48" s="31" t="n">
        <f aca="false">+INDEX($AC$3:$AH$86,MATCH($Q48,$AB$3:$AB$86,0),MATCH(T$2,$AC$2:$AH$2,0))</f>
        <v>0</v>
      </c>
      <c r="U48" s="31" t="n">
        <f aca="false">+INDEX($AC$3:$AH$86,MATCH($Q48,$AB$3:$AB$86,0),MATCH(U$2,$AC$2:$AH$2,0))</f>
        <v>7</v>
      </c>
      <c r="V48" s="804" t="n">
        <f aca="false">+INDEX($AC$3:$AH$86,MATCH($Q48,$AB$3:$AB$86,0),MATCH(V$2,$AC$2:$AH$2,0))</f>
        <v>0.291666666666667</v>
      </c>
      <c r="W48" s="31" t="n">
        <f aca="false">+INDEX($AC$3:$AH$86,MATCH($Q48,$AB$3:$AB$86,0),MATCH(W$2,$AC$2:$AH$2,0))</f>
        <v>1</v>
      </c>
      <c r="X48" s="31" t="n">
        <f aca="false">IFERROR(IF(Q48=$L$2,1,0),0)</f>
        <v>0</v>
      </c>
      <c r="AA48" s="31" t="n">
        <v>46</v>
      </c>
      <c r="AB48" s="31" t="str">
        <f aca="false">Idiomas!D257</f>
        <v>Suecia</v>
      </c>
      <c r="AC48" s="31" t="n">
        <v>2</v>
      </c>
      <c r="AD48" s="804" t="n">
        <f aca="false">ABS(AC48/24)</f>
        <v>0.0833333333333333</v>
      </c>
      <c r="AE48" s="31" t="n">
        <v>0</v>
      </c>
      <c r="AF48" s="31" t="n">
        <f aca="false">AC48-$M$2</f>
        <v>6</v>
      </c>
      <c r="AG48" s="804" t="n">
        <f aca="false">ABS(AF48/24)</f>
        <v>0.25</v>
      </c>
      <c r="AH48" s="31" t="n">
        <f aca="false">IF(AC48&gt;$M$2,1,IF(AC48=$M$2,0,-1))</f>
        <v>1</v>
      </c>
      <c r="AI48" s="31" t="n">
        <f aca="false">+COUNTIF($AB$3:$AB$50,"&lt;="&amp;AB48)</f>
        <v>43</v>
      </c>
    </row>
    <row r="49" customFormat="false" ht="15" hidden="false" customHeight="false" outlineLevel="0" collapsed="false">
      <c r="A49" s="490" t="n">
        <v>46198.7916666667</v>
      </c>
      <c r="C49" s="490" t="n">
        <f aca="false">A49+INDEX($V$3:$V$86,MATCH($C$3,$P$3:$P$86,0))*INDEX($W$3:$W$86,MATCH($C$3,$P$3:$P$86,0))</f>
        <v>46199.0416666667</v>
      </c>
      <c r="D49" s="490"/>
      <c r="E49" s="490"/>
      <c r="P49" s="31" t="n">
        <v>47</v>
      </c>
      <c r="Q49" s="31" t="str">
        <f aca="false">+INDEX($AB$3:$AB$50,MATCH(P49,$AI$3:$AI$50,0))</f>
        <v>Uruguay</v>
      </c>
      <c r="R49" s="31" t="n">
        <f aca="false">+INDEX($AC$3:$AH$86,MATCH($Q49,$AB$3:$AB$86,0),MATCH(R$2,$AC$2:$AH$2,0))</f>
        <v>-3</v>
      </c>
      <c r="S49" s="804" t="n">
        <f aca="false">+INDEX($AC$3:$AH$86,MATCH($Q49,$AB$3:$AB$86,0),MATCH(S$2,$AC$2:$AH$2,0))</f>
        <v>0.125</v>
      </c>
      <c r="T49" s="31" t="n">
        <f aca="false">+INDEX($AC$3:$AH$86,MATCH($Q49,$AB$3:$AB$86,0),MATCH(T$2,$AC$2:$AH$2,0))</f>
        <v>0</v>
      </c>
      <c r="U49" s="31" t="n">
        <f aca="false">+INDEX($AC$3:$AH$86,MATCH($Q49,$AB$3:$AB$86,0),MATCH(U$2,$AC$2:$AH$2,0))</f>
        <v>1</v>
      </c>
      <c r="V49" s="804" t="n">
        <f aca="false">+INDEX($AC$3:$AH$86,MATCH($Q49,$AB$3:$AB$86,0),MATCH(V$2,$AC$2:$AH$2,0))</f>
        <v>0.0416666666666667</v>
      </c>
      <c r="W49" s="31" t="n">
        <f aca="false">+INDEX($AC$3:$AH$86,MATCH($Q49,$AB$3:$AB$86,0),MATCH(W$2,$AC$2:$AH$2,0))</f>
        <v>1</v>
      </c>
      <c r="X49" s="31" t="n">
        <f aca="false">IFERROR(IF(Q49=$L$2,1,0),0)</f>
        <v>0</v>
      </c>
      <c r="AA49" s="31" t="n">
        <v>47</v>
      </c>
      <c r="AB49" s="31" t="str">
        <f aca="false">Idiomas!D258</f>
        <v>Turquía</v>
      </c>
      <c r="AC49" s="31" t="n">
        <v>3</v>
      </c>
      <c r="AD49" s="804" t="n">
        <f aca="false">ABS(AC49/24)</f>
        <v>0.125</v>
      </c>
      <c r="AE49" s="31" t="n">
        <v>0</v>
      </c>
      <c r="AF49" s="31" t="n">
        <f aca="false">AC49-$M$2</f>
        <v>7</v>
      </c>
      <c r="AG49" s="804" t="n">
        <f aca="false">ABS(AF49/24)</f>
        <v>0.291666666666667</v>
      </c>
      <c r="AH49" s="31" t="n">
        <f aca="false">IF(AC49&gt;$M$2,1,IF(AC49=$M$2,0,-1))</f>
        <v>1</v>
      </c>
      <c r="AI49" s="31" t="n">
        <f aca="false">+COUNTIF($AB$3:$AB$50,"&lt;="&amp;AB49)</f>
        <v>46</v>
      </c>
    </row>
    <row r="50" customFormat="false" ht="15" hidden="false" customHeight="false" outlineLevel="0" collapsed="false">
      <c r="C50" s="490"/>
      <c r="E50" s="490"/>
      <c r="P50" s="31" t="n">
        <v>48</v>
      </c>
      <c r="Q50" s="31" t="str">
        <f aca="false">+INDEX($AB$3:$AB$50,MATCH(P50,$AI$3:$AI$50,0))</f>
        <v>Uzbekistán</v>
      </c>
      <c r="R50" s="31" t="n">
        <f aca="false">+INDEX($AC$3:$AH$86,MATCH($Q50,$AB$3:$AB$86,0),MATCH(R$2,$AC$2:$AH$2,0))</f>
        <v>5</v>
      </c>
      <c r="S50" s="804" t="n">
        <f aca="false">+INDEX($AC$3:$AH$86,MATCH($Q50,$AB$3:$AB$86,0),MATCH(S$2,$AC$2:$AH$2,0))</f>
        <v>0.208333333333333</v>
      </c>
      <c r="T50" s="31" t="n">
        <f aca="false">+INDEX($AC$3:$AH$86,MATCH($Q50,$AB$3:$AB$86,0),MATCH(T$2,$AC$2:$AH$2,0))</f>
        <v>0</v>
      </c>
      <c r="U50" s="31" t="n">
        <f aca="false">+INDEX($AC$3:$AH$86,MATCH($Q50,$AB$3:$AB$86,0),MATCH(U$2,$AC$2:$AH$2,0))</f>
        <v>9</v>
      </c>
      <c r="V50" s="804" t="n">
        <f aca="false">+INDEX($AC$3:$AH$86,MATCH($Q50,$AB$3:$AB$86,0),MATCH(V$2,$AC$2:$AH$2,0))</f>
        <v>0.375</v>
      </c>
      <c r="W50" s="31" t="n">
        <f aca="false">+INDEX($AC$3:$AH$86,MATCH($Q50,$AB$3:$AB$86,0),MATCH(W$2,$AC$2:$AH$2,0))</f>
        <v>1</v>
      </c>
      <c r="X50" s="31" t="n">
        <f aca="false">IFERROR(IF(Q50=$L$2,1,0),0)</f>
        <v>0</v>
      </c>
      <c r="AA50" s="31" t="n">
        <v>48</v>
      </c>
      <c r="AB50" s="31" t="str">
        <f aca="false">Idiomas!D259</f>
        <v>República Checa</v>
      </c>
      <c r="AC50" s="31" t="n">
        <v>2</v>
      </c>
      <c r="AD50" s="804" t="n">
        <f aca="false">ABS(AC50/24)</f>
        <v>0.0833333333333333</v>
      </c>
      <c r="AE50" s="31" t="n">
        <v>0</v>
      </c>
      <c r="AF50" s="31" t="n">
        <f aca="false">AC50-$M$2</f>
        <v>6</v>
      </c>
      <c r="AG50" s="804" t="n">
        <f aca="false">ABS(AF50/24)</f>
        <v>0.25</v>
      </c>
      <c r="AH50" s="31" t="n">
        <f aca="false">IF(AC50&gt;$M$2,1,IF(AC50=$M$2,0,-1))</f>
        <v>1</v>
      </c>
      <c r="AI50" s="31" t="n">
        <f aca="false">+COUNTIF($AB$3:$AB$50,"&lt;="&amp;AB50)</f>
        <v>40</v>
      </c>
    </row>
    <row r="51" customFormat="false" ht="15" hidden="false" customHeight="false" outlineLevel="0" collapsed="false">
      <c r="A51" s="30" t="s">
        <v>1473</v>
      </c>
      <c r="C51" s="490"/>
      <c r="E51" s="490"/>
      <c r="P51" s="31" t="n">
        <v>49</v>
      </c>
      <c r="Q51" s="31" t="s">
        <v>1474</v>
      </c>
      <c r="R51" s="31" t="n">
        <f aca="false">+INDEX($AC$3:$AH$86,MATCH($Q51,$AB$3:$AB$86,0),MATCH(R$2,$AC$2:$AH$2,0))</f>
        <v>-12</v>
      </c>
      <c r="S51" s="804" t="n">
        <f aca="false">+INDEX($AC$3:$AH$86,MATCH($Q51,$AB$3:$AB$86,0),MATCH(S$2,$AC$2:$AH$2,0))</f>
        <v>0.5</v>
      </c>
      <c r="T51" s="31" t="n">
        <f aca="false">+INDEX($AC$3:$AH$86,MATCH($Q51,$AB$3:$AB$86,0),MATCH(T$2,$AC$2:$AH$2,0))</f>
        <v>0</v>
      </c>
      <c r="U51" s="31" t="n">
        <f aca="false">+INDEX($AC$3:$AH$86,MATCH($Q51,$AB$3:$AB$86,0),MATCH(U$2,$AC$2:$AH$2,0))</f>
        <v>-8</v>
      </c>
      <c r="V51" s="804" t="n">
        <f aca="false">+INDEX($AC$3:$AH$86,MATCH($Q51,$AB$3:$AB$86,0),MATCH(V$2,$AC$2:$AH$2,0))</f>
        <v>0.333333333333333</v>
      </c>
      <c r="W51" s="31" t="n">
        <f aca="false">IF(R51&gt;$M$2,1,IF(R51=$M$2,0,-1))</f>
        <v>-1</v>
      </c>
      <c r="AA51" s="31" t="n">
        <v>49</v>
      </c>
      <c r="AB51" s="31" t="s">
        <v>1474</v>
      </c>
      <c r="AC51" s="31" t="n">
        <v>-12</v>
      </c>
      <c r="AD51" s="804" t="n">
        <f aca="false">ABS(AC51/24)</f>
        <v>0.5</v>
      </c>
      <c r="AE51" s="31" t="n">
        <v>0</v>
      </c>
      <c r="AF51" s="31" t="n">
        <f aca="false">AC51-$M$2</f>
        <v>-8</v>
      </c>
      <c r="AG51" s="804" t="n">
        <f aca="false">ABS(AF51/24)</f>
        <v>0.333333333333333</v>
      </c>
      <c r="AH51" s="31" t="n">
        <f aca="false">IF(AC51&gt;$M$2,1,IF(AC51=$M$2,0,-1))</f>
        <v>-1</v>
      </c>
    </row>
    <row r="52" customFormat="false" ht="15" hidden="false" customHeight="false" outlineLevel="0" collapsed="false">
      <c r="A52" s="490" t="n">
        <v>46188.625</v>
      </c>
      <c r="C52" s="490" t="n">
        <f aca="false">A52+INDEX($V$3:$V$86,MATCH($C$3,$P$3:$P$86,0))*INDEX($W$3:$W$86,MATCH($C$3,$P$3:$P$86,0))</f>
        <v>46188.875</v>
      </c>
      <c r="D52" s="490"/>
      <c r="E52" s="490"/>
      <c r="P52" s="31" t="n">
        <v>50</v>
      </c>
      <c r="Q52" s="31" t="s">
        <v>1475</v>
      </c>
      <c r="R52" s="31" t="n">
        <f aca="false">+INDEX($AC$3:$AH$86,MATCH($Q52,$AB$3:$AB$86,0),MATCH(R$2,$AC$2:$AH$2,0))</f>
        <v>-11</v>
      </c>
      <c r="S52" s="804" t="n">
        <f aca="false">+INDEX($AC$3:$AH$86,MATCH($Q52,$AB$3:$AB$86,0),MATCH(S$2,$AC$2:$AH$2,0))</f>
        <v>0.458333333333333</v>
      </c>
      <c r="T52" s="31" t="n">
        <f aca="false">+INDEX($AC$3:$AH$86,MATCH($Q52,$AB$3:$AB$86,0),MATCH(T$2,$AC$2:$AH$2,0))</f>
        <v>0</v>
      </c>
      <c r="U52" s="31" t="n">
        <f aca="false">+INDEX($AC$3:$AH$86,MATCH($Q52,$AB$3:$AB$86,0),MATCH(U$2,$AC$2:$AH$2,0))</f>
        <v>-7</v>
      </c>
      <c r="V52" s="804" t="n">
        <f aca="false">+INDEX($AC$3:$AH$86,MATCH($Q52,$AB$3:$AB$86,0),MATCH(V$2,$AC$2:$AH$2,0))</f>
        <v>0.291666666666667</v>
      </c>
      <c r="W52" s="31" t="n">
        <f aca="false">IF(R52&gt;$M$2,1,IF(R52=$M$2,0,-1))</f>
        <v>-1</v>
      </c>
      <c r="AA52" s="31" t="n">
        <v>50</v>
      </c>
      <c r="AB52" s="31" t="s">
        <v>1475</v>
      </c>
      <c r="AC52" s="31" t="n">
        <v>-11</v>
      </c>
      <c r="AD52" s="804" t="n">
        <f aca="false">ABS(AC52/24)</f>
        <v>0.458333333333333</v>
      </c>
      <c r="AE52" s="31" t="n">
        <v>0</v>
      </c>
      <c r="AF52" s="31" t="n">
        <f aca="false">AC52-$M$2</f>
        <v>-7</v>
      </c>
      <c r="AG52" s="804" t="n">
        <f aca="false">ABS(AF52/24)</f>
        <v>0.291666666666667</v>
      </c>
      <c r="AH52" s="31" t="n">
        <f aca="false">IF(AC52&gt;$M$2,1,IF(AC52=$M$2,0,-1))</f>
        <v>-1</v>
      </c>
    </row>
    <row r="53" customFormat="false" ht="15" hidden="false" customHeight="false" outlineLevel="0" collapsed="false">
      <c r="A53" s="490" t="n">
        <v>46188.875</v>
      </c>
      <c r="C53" s="490" t="n">
        <f aca="false">A53+INDEX($V$3:$V$86,MATCH($C$3,$P$3:$P$86,0))*INDEX($W$3:$W$86,MATCH($C$3,$P$3:$P$86,0))</f>
        <v>46189.125</v>
      </c>
      <c r="D53" s="490"/>
      <c r="E53" s="490"/>
      <c r="P53" s="31" t="n">
        <v>51</v>
      </c>
      <c r="Q53" s="31" t="s">
        <v>1476</v>
      </c>
      <c r="R53" s="31" t="n">
        <f aca="false">+INDEX($AC$3:$AH$86,MATCH($Q53,$AB$3:$AB$86,0),MATCH(R$2,$AC$2:$AH$2,0))</f>
        <v>-10</v>
      </c>
      <c r="S53" s="804" t="n">
        <f aca="false">+INDEX($AC$3:$AH$86,MATCH($Q53,$AB$3:$AB$86,0),MATCH(S$2,$AC$2:$AH$2,0))</f>
        <v>0.416666666666667</v>
      </c>
      <c r="T53" s="31" t="n">
        <f aca="false">+INDEX($AC$3:$AH$86,MATCH($Q53,$AB$3:$AB$86,0),MATCH(T$2,$AC$2:$AH$2,0))</f>
        <v>0</v>
      </c>
      <c r="U53" s="31" t="n">
        <f aca="false">+INDEX($AC$3:$AH$86,MATCH($Q53,$AB$3:$AB$86,0),MATCH(U$2,$AC$2:$AH$2,0))</f>
        <v>-6</v>
      </c>
      <c r="V53" s="804" t="n">
        <f aca="false">+INDEX($AC$3:$AH$86,MATCH($Q53,$AB$3:$AB$86,0),MATCH(V$2,$AC$2:$AH$2,0))</f>
        <v>0.25</v>
      </c>
      <c r="W53" s="31" t="n">
        <f aca="false">IF(R53&gt;$M$2,1,IF(R53=$M$2,0,-1))</f>
        <v>-1</v>
      </c>
      <c r="AA53" s="31" t="n">
        <v>51</v>
      </c>
      <c r="AB53" s="31" t="s">
        <v>1476</v>
      </c>
      <c r="AC53" s="31" t="n">
        <v>-10</v>
      </c>
      <c r="AD53" s="804" t="n">
        <f aca="false">ABS(AC53/24)</f>
        <v>0.416666666666667</v>
      </c>
      <c r="AE53" s="31" t="n">
        <v>0</v>
      </c>
      <c r="AF53" s="31" t="n">
        <f aca="false">AC53-$M$2</f>
        <v>-6</v>
      </c>
      <c r="AG53" s="804" t="n">
        <f aca="false">ABS(AF53/24)</f>
        <v>0.25</v>
      </c>
      <c r="AH53" s="31" t="n">
        <f aca="false">IF(AC53&gt;$M$2,1,IF(AC53=$M$2,0,-1))</f>
        <v>-1</v>
      </c>
    </row>
    <row r="54" customFormat="false" ht="15" hidden="false" customHeight="false" outlineLevel="0" collapsed="false">
      <c r="A54" s="490" t="n">
        <v>46194.625</v>
      </c>
      <c r="C54" s="490" t="n">
        <f aca="false">A54+INDEX($V$3:$V$86,MATCH($C$3,$P$3:$P$86,0))*INDEX($W$3:$W$86,MATCH($C$3,$P$3:$P$86,0))</f>
        <v>46194.875</v>
      </c>
      <c r="D54" s="490"/>
      <c r="E54" s="490"/>
      <c r="P54" s="31" t="n">
        <v>52</v>
      </c>
      <c r="Q54" s="31" t="s">
        <v>1477</v>
      </c>
      <c r="R54" s="31" t="n">
        <f aca="false">+INDEX($AC$3:$AH$86,MATCH($Q54,$AB$3:$AB$86,0),MATCH(R$2,$AC$2:$AH$2,0))</f>
        <v>-9</v>
      </c>
      <c r="S54" s="804" t="n">
        <f aca="false">+INDEX($AC$3:$AH$86,MATCH($Q54,$AB$3:$AB$86,0),MATCH(S$2,$AC$2:$AH$2,0))</f>
        <v>0.375</v>
      </c>
      <c r="T54" s="31" t="n">
        <f aca="false">+INDEX($AC$3:$AH$86,MATCH($Q54,$AB$3:$AB$86,0),MATCH(T$2,$AC$2:$AH$2,0))</f>
        <v>0</v>
      </c>
      <c r="U54" s="31" t="n">
        <f aca="false">+INDEX($AC$3:$AH$86,MATCH($Q54,$AB$3:$AB$86,0),MATCH(U$2,$AC$2:$AH$2,0))</f>
        <v>-5</v>
      </c>
      <c r="V54" s="804" t="n">
        <f aca="false">+INDEX($AC$3:$AH$86,MATCH($Q54,$AB$3:$AB$86,0),MATCH(V$2,$AC$2:$AH$2,0))</f>
        <v>0.208333333333333</v>
      </c>
      <c r="W54" s="31" t="n">
        <f aca="false">IF(R54&gt;$M$2,1,IF(R54=$M$2,0,-1))</f>
        <v>-1</v>
      </c>
      <c r="AA54" s="31" t="n">
        <v>52</v>
      </c>
      <c r="AB54" s="31" t="s">
        <v>1477</v>
      </c>
      <c r="AC54" s="31" t="n">
        <v>-9</v>
      </c>
      <c r="AD54" s="804" t="n">
        <f aca="false">ABS(AC54/24)</f>
        <v>0.375</v>
      </c>
      <c r="AE54" s="31" t="n">
        <v>0</v>
      </c>
      <c r="AF54" s="31" t="n">
        <f aca="false">AC54-$M$2</f>
        <v>-5</v>
      </c>
      <c r="AG54" s="804" t="n">
        <f aca="false">ABS(AF54/24)</f>
        <v>0.208333333333333</v>
      </c>
      <c r="AH54" s="31" t="n">
        <f aca="false">IF(AC54&gt;$M$2,1,IF(AC54=$M$2,0,-1))</f>
        <v>-1</v>
      </c>
    </row>
    <row r="55" customFormat="false" ht="15" hidden="false" customHeight="false" outlineLevel="0" collapsed="false">
      <c r="A55" s="490" t="n">
        <v>46194.875</v>
      </c>
      <c r="C55" s="490" t="n">
        <f aca="false">A55+INDEX($V$3:$V$86,MATCH($C$3,$P$3:$P$86,0))*INDEX($W$3:$W$86,MATCH($C$3,$P$3:$P$86,0))</f>
        <v>46195.125</v>
      </c>
      <c r="D55" s="490"/>
      <c r="E55" s="490"/>
      <c r="P55" s="31" t="n">
        <v>53</v>
      </c>
      <c r="Q55" s="31" t="s">
        <v>1478</v>
      </c>
      <c r="R55" s="31" t="n">
        <f aca="false">+INDEX($AC$3:$AH$86,MATCH($Q55,$AB$3:$AB$86,0),MATCH(R$2,$AC$2:$AH$2,0))</f>
        <v>-8</v>
      </c>
      <c r="S55" s="804" t="n">
        <f aca="false">+INDEX($AC$3:$AH$86,MATCH($Q55,$AB$3:$AB$86,0),MATCH(S$2,$AC$2:$AH$2,0))</f>
        <v>0.333333333333333</v>
      </c>
      <c r="T55" s="31" t="n">
        <f aca="false">+INDEX($AC$3:$AH$86,MATCH($Q55,$AB$3:$AB$86,0),MATCH(T$2,$AC$2:$AH$2,0))</f>
        <v>0</v>
      </c>
      <c r="U55" s="31" t="n">
        <f aca="false">+INDEX($AC$3:$AH$86,MATCH($Q55,$AB$3:$AB$86,0),MATCH(U$2,$AC$2:$AH$2,0))</f>
        <v>-4</v>
      </c>
      <c r="V55" s="804" t="n">
        <f aca="false">+INDEX($AC$3:$AH$86,MATCH($Q55,$AB$3:$AB$86,0),MATCH(V$2,$AC$2:$AH$2,0))</f>
        <v>0.166666666666667</v>
      </c>
      <c r="W55" s="31" t="n">
        <f aca="false">IF(R55&gt;$M$2,1,IF(R55=$M$2,0,-1))</f>
        <v>-1</v>
      </c>
      <c r="AA55" s="31" t="n">
        <v>53</v>
      </c>
      <c r="AB55" s="31" t="s">
        <v>1478</v>
      </c>
      <c r="AC55" s="31" t="n">
        <v>-8</v>
      </c>
      <c r="AD55" s="804" t="n">
        <f aca="false">ABS(AC55/24)</f>
        <v>0.333333333333333</v>
      </c>
      <c r="AE55" s="31" t="n">
        <v>0</v>
      </c>
      <c r="AF55" s="31" t="n">
        <f aca="false">AC55-$M$2</f>
        <v>-4</v>
      </c>
      <c r="AG55" s="804" t="n">
        <f aca="false">ABS(AF55/24)</f>
        <v>0.166666666666667</v>
      </c>
      <c r="AH55" s="31" t="n">
        <f aca="false">IF(AC55&gt;$M$2,1,IF(AC55=$M$2,0,-1))</f>
        <v>-1</v>
      </c>
    </row>
    <row r="56" customFormat="false" ht="15" hidden="false" customHeight="false" outlineLevel="0" collapsed="false">
      <c r="A56" s="490" t="n">
        <v>46199.9583333333</v>
      </c>
      <c r="C56" s="490" t="n">
        <f aca="false">A56+INDEX($V$3:$V$86,MATCH($C$3,$P$3:$P$86,0))*INDEX($W$3:$W$86,MATCH($C$3,$P$3:$P$86,0))</f>
        <v>46200.2083333333</v>
      </c>
      <c r="D56" s="490"/>
      <c r="E56" s="490"/>
      <c r="P56" s="31" t="n">
        <v>54</v>
      </c>
      <c r="Q56" s="31" t="s">
        <v>1479</v>
      </c>
      <c r="R56" s="31" t="n">
        <f aca="false">+INDEX($AC$3:$AH$86,MATCH($Q56,$AB$3:$AB$86,0),MATCH(R$2,$AC$2:$AH$2,0))</f>
        <v>-7</v>
      </c>
      <c r="S56" s="804" t="n">
        <f aca="false">+INDEX($AC$3:$AH$86,MATCH($Q56,$AB$3:$AB$86,0),MATCH(S$2,$AC$2:$AH$2,0))</f>
        <v>0.291666666666667</v>
      </c>
      <c r="T56" s="31" t="n">
        <f aca="false">+INDEX($AC$3:$AH$86,MATCH($Q56,$AB$3:$AB$86,0),MATCH(T$2,$AC$2:$AH$2,0))</f>
        <v>0</v>
      </c>
      <c r="U56" s="31" t="n">
        <f aca="false">+INDEX($AC$3:$AH$86,MATCH($Q56,$AB$3:$AB$86,0),MATCH(U$2,$AC$2:$AH$2,0))</f>
        <v>-3</v>
      </c>
      <c r="V56" s="804" t="n">
        <f aca="false">+INDEX($AC$3:$AH$86,MATCH($Q56,$AB$3:$AB$86,0),MATCH(V$2,$AC$2:$AH$2,0))</f>
        <v>0.125</v>
      </c>
      <c r="W56" s="31" t="n">
        <f aca="false">IF(R56&gt;$M$2,1,IF(R56=$M$2,0,-1))</f>
        <v>-1</v>
      </c>
      <c r="AA56" s="31" t="n">
        <v>54</v>
      </c>
      <c r="AB56" s="31" t="s">
        <v>1479</v>
      </c>
      <c r="AC56" s="31" t="n">
        <v>-7</v>
      </c>
      <c r="AD56" s="804" t="n">
        <f aca="false">ABS(AC56/24)</f>
        <v>0.291666666666667</v>
      </c>
      <c r="AE56" s="31" t="n">
        <v>0</v>
      </c>
      <c r="AF56" s="31" t="n">
        <f aca="false">AC56-$M$2</f>
        <v>-3</v>
      </c>
      <c r="AG56" s="804" t="n">
        <f aca="false">ABS(AF56/24)</f>
        <v>0.125</v>
      </c>
      <c r="AH56" s="31" t="n">
        <f aca="false">IF(AC56&gt;$M$2,1,IF(AC56=$M$2,0,-1))</f>
        <v>-1</v>
      </c>
    </row>
    <row r="57" customFormat="false" ht="15" hidden="false" customHeight="false" outlineLevel="0" collapsed="false">
      <c r="A57" s="490" t="n">
        <v>46199.9583333333</v>
      </c>
      <c r="C57" s="490" t="n">
        <f aca="false">A57+INDEX($V$3:$V$86,MATCH($C$3,$P$3:$P$86,0))*INDEX($W$3:$W$86,MATCH($C$3,$P$3:$P$86,0))</f>
        <v>46200.2083333333</v>
      </c>
      <c r="D57" s="490"/>
      <c r="E57" s="490"/>
      <c r="P57" s="31" t="n">
        <v>55</v>
      </c>
      <c r="Q57" s="31" t="s">
        <v>1480</v>
      </c>
      <c r="R57" s="31" t="n">
        <f aca="false">+INDEX($AC$3:$AH$86,MATCH($Q57,$AB$3:$AB$86,0),MATCH(R$2,$AC$2:$AH$2,0))</f>
        <v>-6</v>
      </c>
      <c r="S57" s="804" t="n">
        <f aca="false">+INDEX($AC$3:$AH$86,MATCH($Q57,$AB$3:$AB$86,0),MATCH(S$2,$AC$2:$AH$2,0))</f>
        <v>0.25</v>
      </c>
      <c r="T57" s="31" t="n">
        <f aca="false">+INDEX($AC$3:$AH$86,MATCH($Q57,$AB$3:$AB$86,0),MATCH(T$2,$AC$2:$AH$2,0))</f>
        <v>0</v>
      </c>
      <c r="U57" s="31" t="n">
        <f aca="false">+INDEX($AC$3:$AH$86,MATCH($Q57,$AB$3:$AB$86,0),MATCH(U$2,$AC$2:$AH$2,0))</f>
        <v>-2</v>
      </c>
      <c r="V57" s="804" t="n">
        <f aca="false">+INDEX($AC$3:$AH$86,MATCH($Q57,$AB$3:$AB$86,0),MATCH(V$2,$AC$2:$AH$2,0))</f>
        <v>0.0833333333333333</v>
      </c>
      <c r="W57" s="31" t="n">
        <f aca="false">IF(R57&gt;$M$2,1,IF(R57=$M$2,0,-1))</f>
        <v>-1</v>
      </c>
      <c r="AA57" s="31" t="n">
        <v>55</v>
      </c>
      <c r="AB57" s="31" t="s">
        <v>1480</v>
      </c>
      <c r="AC57" s="31" t="n">
        <v>-6</v>
      </c>
      <c r="AD57" s="804" t="n">
        <f aca="false">ABS(AC57/24)</f>
        <v>0.25</v>
      </c>
      <c r="AE57" s="31" t="n">
        <v>0</v>
      </c>
      <c r="AF57" s="31" t="n">
        <f aca="false">AC57-$M$2</f>
        <v>-2</v>
      </c>
      <c r="AG57" s="804" t="n">
        <f aca="false">ABS(AF57/24)</f>
        <v>0.0833333333333333</v>
      </c>
      <c r="AH57" s="31" t="n">
        <f aca="false">IF(AC57&gt;$M$2,1,IF(AC57=$M$2,0,-1))</f>
        <v>-1</v>
      </c>
    </row>
    <row r="58" customFormat="false" ht="15" hidden="false" customHeight="false" outlineLevel="0" collapsed="false">
      <c r="C58" s="490"/>
      <c r="E58" s="490"/>
      <c r="P58" s="31" t="n">
        <v>56</v>
      </c>
      <c r="Q58" s="31" t="s">
        <v>1481</v>
      </c>
      <c r="R58" s="31" t="n">
        <f aca="false">+INDEX($AC$3:$AH$86,MATCH($Q58,$AB$3:$AB$86,0),MATCH(R$2,$AC$2:$AH$2,0))</f>
        <v>-5</v>
      </c>
      <c r="S58" s="804" t="n">
        <f aca="false">+INDEX($AC$3:$AH$86,MATCH($Q58,$AB$3:$AB$86,0),MATCH(S$2,$AC$2:$AH$2,0))</f>
        <v>0.208333333333333</v>
      </c>
      <c r="T58" s="31" t="n">
        <f aca="false">+INDEX($AC$3:$AH$86,MATCH($Q58,$AB$3:$AB$86,0),MATCH(T$2,$AC$2:$AH$2,0))</f>
        <v>0</v>
      </c>
      <c r="U58" s="31" t="n">
        <f aca="false">+INDEX($AC$3:$AH$86,MATCH($Q58,$AB$3:$AB$86,0),MATCH(U$2,$AC$2:$AH$2,0))</f>
        <v>-1</v>
      </c>
      <c r="V58" s="804" t="n">
        <f aca="false">+INDEX($AC$3:$AH$86,MATCH($Q58,$AB$3:$AB$86,0),MATCH(V$2,$AC$2:$AH$2,0))</f>
        <v>0.0416666666666667</v>
      </c>
      <c r="W58" s="31" t="n">
        <f aca="false">IF(R58&gt;$M$2,1,IF(R58=$M$2,0,-1))</f>
        <v>-1</v>
      </c>
      <c r="AA58" s="31" t="n">
        <v>56</v>
      </c>
      <c r="AB58" s="31" t="s">
        <v>1481</v>
      </c>
      <c r="AC58" s="31" t="n">
        <v>-5</v>
      </c>
      <c r="AD58" s="804" t="n">
        <f aca="false">ABS(AC58/24)</f>
        <v>0.208333333333333</v>
      </c>
      <c r="AE58" s="31" t="n">
        <v>0</v>
      </c>
      <c r="AF58" s="31" t="n">
        <f aca="false">AC58-$M$2</f>
        <v>-1</v>
      </c>
      <c r="AG58" s="804" t="n">
        <f aca="false">ABS(AF58/24)</f>
        <v>0.0416666666666667</v>
      </c>
      <c r="AH58" s="31" t="n">
        <f aca="false">IF(AC58&gt;$M$2,1,IF(AC58=$M$2,0,-1))</f>
        <v>-1</v>
      </c>
    </row>
    <row r="59" customFormat="false" ht="15" hidden="false" customHeight="false" outlineLevel="0" collapsed="false">
      <c r="A59" s="30" t="s">
        <v>1482</v>
      </c>
      <c r="C59" s="490"/>
      <c r="E59" s="490"/>
      <c r="P59" s="31" t="n">
        <v>57</v>
      </c>
      <c r="Q59" s="31" t="s">
        <v>1483</v>
      </c>
      <c r="R59" s="31" t="n">
        <f aca="false">+INDEX($AC$3:$AH$86,MATCH($Q59,$AB$3:$AB$86,0),MATCH(R$2,$AC$2:$AH$2,0))</f>
        <v>-4</v>
      </c>
      <c r="S59" s="804" t="n">
        <f aca="false">+INDEX($AC$3:$AH$86,MATCH($Q59,$AB$3:$AB$86,0),MATCH(S$2,$AC$2:$AH$2,0))</f>
        <v>0.166666666666667</v>
      </c>
      <c r="T59" s="31" t="n">
        <f aca="false">+INDEX($AC$3:$AH$86,MATCH($Q59,$AB$3:$AB$86,0),MATCH(T$2,$AC$2:$AH$2,0))</f>
        <v>0</v>
      </c>
      <c r="U59" s="31" t="n">
        <f aca="false">+INDEX($AC$3:$AH$86,MATCH($Q59,$AB$3:$AB$86,0),MATCH(U$2,$AC$2:$AH$2,0))</f>
        <v>0</v>
      </c>
      <c r="V59" s="804" t="n">
        <f aca="false">+INDEX($AC$3:$AH$86,MATCH($Q59,$AB$3:$AB$86,0),MATCH(V$2,$AC$2:$AH$2,0))</f>
        <v>0</v>
      </c>
      <c r="W59" s="31" t="n">
        <f aca="false">IF(R59&gt;$M$2,1,IF(R59=$M$2,0,-1))</f>
        <v>0</v>
      </c>
      <c r="AA59" s="31" t="n">
        <v>57</v>
      </c>
      <c r="AB59" s="31" t="s">
        <v>1483</v>
      </c>
      <c r="AC59" s="31" t="n">
        <v>-4</v>
      </c>
      <c r="AD59" s="804" t="n">
        <f aca="false">ABS(AC59/24)</f>
        <v>0.166666666666667</v>
      </c>
      <c r="AE59" s="31" t="n">
        <v>0</v>
      </c>
      <c r="AF59" s="31" t="n">
        <f aca="false">AC59-$M$2</f>
        <v>0</v>
      </c>
      <c r="AG59" s="804" t="n">
        <f aca="false">ABS(AF59/24)</f>
        <v>0</v>
      </c>
      <c r="AH59" s="31" t="n">
        <f aca="false">IF(AC59&gt;$M$2,1,IF(AC59=$M$2,0,-1))</f>
        <v>0</v>
      </c>
    </row>
    <row r="60" customFormat="false" ht="15" hidden="false" customHeight="false" outlineLevel="0" collapsed="false">
      <c r="A60" s="490" t="n">
        <v>46188.5</v>
      </c>
      <c r="C60" s="490" t="n">
        <f aca="false">A60+INDEX($V$3:$V$86,MATCH($C$3,$P$3:$P$86,0))*INDEX($W$3:$W$86,MATCH($C$3,$P$3:$P$86,0))</f>
        <v>46188.75</v>
      </c>
      <c r="D60" s="490"/>
      <c r="E60" s="490"/>
      <c r="P60" s="31" t="n">
        <v>58</v>
      </c>
      <c r="Q60" s="31" t="s">
        <v>1484</v>
      </c>
      <c r="R60" s="31" t="n">
        <f aca="false">+INDEX($AC$3:$AH$86,MATCH($Q60,$AB$3:$AB$86,0),MATCH(R$2,$AC$2:$AH$2,0))</f>
        <v>-3.5</v>
      </c>
      <c r="S60" s="804" t="n">
        <f aca="false">+INDEX($AC$3:$AH$86,MATCH($Q60,$AB$3:$AB$86,0),MATCH(S$2,$AC$2:$AH$2,0))</f>
        <v>0.145833333333333</v>
      </c>
      <c r="T60" s="31" t="n">
        <f aca="false">+INDEX($AC$3:$AH$86,MATCH($Q60,$AB$3:$AB$86,0),MATCH(T$2,$AC$2:$AH$2,0))</f>
        <v>0</v>
      </c>
      <c r="U60" s="31" t="n">
        <f aca="false">+INDEX($AC$3:$AH$86,MATCH($Q60,$AB$3:$AB$86,0),MATCH(U$2,$AC$2:$AH$2,0))</f>
        <v>0.5</v>
      </c>
      <c r="V60" s="804" t="n">
        <f aca="false">+INDEX($AC$3:$AH$86,MATCH($Q60,$AB$3:$AB$86,0),MATCH(V$2,$AC$2:$AH$2,0))</f>
        <v>0.0208333333333333</v>
      </c>
      <c r="W60" s="31" t="n">
        <f aca="false">IF(R60&gt;$M$2,1,IF(R60=$M$2,0,-1))</f>
        <v>1</v>
      </c>
      <c r="AA60" s="31" t="n">
        <v>58</v>
      </c>
      <c r="AB60" s="31" t="s">
        <v>1484</v>
      </c>
      <c r="AC60" s="31" t="n">
        <v>-3.5</v>
      </c>
      <c r="AD60" s="804" t="n">
        <f aca="false">ABS(AC60/24)</f>
        <v>0.145833333333333</v>
      </c>
      <c r="AE60" s="31" t="n">
        <v>0</v>
      </c>
      <c r="AF60" s="31" t="n">
        <f aca="false">AC60-$M$2</f>
        <v>0.5</v>
      </c>
      <c r="AG60" s="804" t="n">
        <f aca="false">ABS(AF60/24)</f>
        <v>0.0208333333333333</v>
      </c>
      <c r="AH60" s="31" t="n">
        <f aca="false">IF(AC60&gt;$M$2,1,IF(AC60=$M$2,0,-1))</f>
        <v>1</v>
      </c>
    </row>
    <row r="61" customFormat="false" ht="15" hidden="false" customHeight="false" outlineLevel="0" collapsed="false">
      <c r="A61" s="490" t="n">
        <v>46188.75</v>
      </c>
      <c r="C61" s="490" t="n">
        <f aca="false">A61+INDEX($V$3:$V$86,MATCH($C$3,$P$3:$P$86,0))*INDEX($W$3:$W$86,MATCH($C$3,$P$3:$P$86,0))</f>
        <v>46189</v>
      </c>
      <c r="D61" s="490"/>
      <c r="E61" s="490"/>
      <c r="P61" s="31" t="n">
        <v>59</v>
      </c>
      <c r="Q61" s="31" t="s">
        <v>1485</v>
      </c>
      <c r="R61" s="31" t="n">
        <f aca="false">+INDEX($AC$3:$AH$86,MATCH($Q61,$AB$3:$AB$86,0),MATCH(R$2,$AC$2:$AH$2,0))</f>
        <v>-3</v>
      </c>
      <c r="S61" s="804" t="n">
        <f aca="false">+INDEX($AC$3:$AH$86,MATCH($Q61,$AB$3:$AB$86,0),MATCH(S$2,$AC$2:$AH$2,0))</f>
        <v>0.125</v>
      </c>
      <c r="T61" s="31" t="n">
        <f aca="false">+INDEX($AC$3:$AH$86,MATCH($Q61,$AB$3:$AB$86,0),MATCH(T$2,$AC$2:$AH$2,0))</f>
        <v>0</v>
      </c>
      <c r="U61" s="31" t="n">
        <f aca="false">+INDEX($AC$3:$AH$86,MATCH($Q61,$AB$3:$AB$86,0),MATCH(U$2,$AC$2:$AH$2,0))</f>
        <v>1</v>
      </c>
      <c r="V61" s="804" t="n">
        <f aca="false">+INDEX($AC$3:$AH$86,MATCH($Q61,$AB$3:$AB$86,0),MATCH(V$2,$AC$2:$AH$2,0))</f>
        <v>0.0416666666666667</v>
      </c>
      <c r="W61" s="31" t="n">
        <f aca="false">IF(R61&gt;$M$2,1,IF(R61=$M$2,0,-1))</f>
        <v>1</v>
      </c>
      <c r="AA61" s="31" t="n">
        <v>59</v>
      </c>
      <c r="AB61" s="31" t="s">
        <v>1485</v>
      </c>
      <c r="AC61" s="31" t="n">
        <v>-3</v>
      </c>
      <c r="AD61" s="804" t="n">
        <f aca="false">ABS(AC61/24)</f>
        <v>0.125</v>
      </c>
      <c r="AE61" s="31" t="n">
        <v>0</v>
      </c>
      <c r="AF61" s="31" t="n">
        <f aca="false">AC61-$M$2</f>
        <v>1</v>
      </c>
      <c r="AG61" s="804" t="n">
        <f aca="false">ABS(AF61/24)</f>
        <v>0.0416666666666667</v>
      </c>
      <c r="AH61" s="31" t="n">
        <f aca="false">IF(AC61&gt;$M$2,1,IF(AC61=$M$2,0,-1))</f>
        <v>1</v>
      </c>
    </row>
    <row r="62" customFormat="false" ht="15" hidden="false" customHeight="false" outlineLevel="0" collapsed="false">
      <c r="A62" s="490" t="n">
        <v>46194.5</v>
      </c>
      <c r="C62" s="490" t="n">
        <f aca="false">A62+INDEX($V$3:$V$86,MATCH($C$3,$P$3:$P$86,0))*INDEX($W$3:$W$86,MATCH($C$3,$P$3:$P$86,0))</f>
        <v>46194.75</v>
      </c>
      <c r="D62" s="490"/>
      <c r="E62" s="490"/>
      <c r="P62" s="31" t="n">
        <v>60</v>
      </c>
      <c r="Q62" s="31" t="s">
        <v>1486</v>
      </c>
      <c r="R62" s="31" t="n">
        <f aca="false">+INDEX($AC$3:$AH$86,MATCH($Q62,$AB$3:$AB$86,0),MATCH(R$2,$AC$2:$AH$2,0))</f>
        <v>-2</v>
      </c>
      <c r="S62" s="804" t="n">
        <f aca="false">+INDEX($AC$3:$AH$86,MATCH($Q62,$AB$3:$AB$86,0),MATCH(S$2,$AC$2:$AH$2,0))</f>
        <v>0.0833333333333333</v>
      </c>
      <c r="T62" s="31" t="n">
        <f aca="false">+INDEX($AC$3:$AH$86,MATCH($Q62,$AB$3:$AB$86,0),MATCH(T$2,$AC$2:$AH$2,0))</f>
        <v>0</v>
      </c>
      <c r="U62" s="31" t="n">
        <f aca="false">+INDEX($AC$3:$AH$86,MATCH($Q62,$AB$3:$AB$86,0),MATCH(U$2,$AC$2:$AH$2,0))</f>
        <v>2</v>
      </c>
      <c r="V62" s="804" t="n">
        <f aca="false">+INDEX($AC$3:$AH$86,MATCH($Q62,$AB$3:$AB$86,0),MATCH(V$2,$AC$2:$AH$2,0))</f>
        <v>0.0833333333333333</v>
      </c>
      <c r="W62" s="31" t="n">
        <f aca="false">IF(R62&gt;$M$2,1,IF(R62=$M$2,0,-1))</f>
        <v>1</v>
      </c>
      <c r="AA62" s="31" t="n">
        <v>60</v>
      </c>
      <c r="AB62" s="31" t="s">
        <v>1486</v>
      </c>
      <c r="AC62" s="31" t="n">
        <v>-2</v>
      </c>
      <c r="AD62" s="804" t="n">
        <f aca="false">ABS(AC62/24)</f>
        <v>0.0833333333333333</v>
      </c>
      <c r="AE62" s="31" t="n">
        <v>0</v>
      </c>
      <c r="AF62" s="31" t="n">
        <f aca="false">AC62-$M$2</f>
        <v>2</v>
      </c>
      <c r="AG62" s="804" t="n">
        <f aca="false">ABS(AF62/24)</f>
        <v>0.0833333333333333</v>
      </c>
      <c r="AH62" s="31" t="n">
        <f aca="false">IF(AC62&gt;$M$2,1,IF(AC62=$M$2,0,-1))</f>
        <v>1</v>
      </c>
    </row>
    <row r="63" customFormat="false" ht="15" hidden="false" customHeight="false" outlineLevel="0" collapsed="false">
      <c r="A63" s="490" t="n">
        <v>46194.75</v>
      </c>
      <c r="C63" s="490" t="n">
        <f aca="false">A63+INDEX($V$3:$V$86,MATCH($C$3,$P$3:$P$86,0))*INDEX($W$3:$W$86,MATCH($C$3,$P$3:$P$86,0))</f>
        <v>46195</v>
      </c>
      <c r="D63" s="490"/>
      <c r="E63" s="490"/>
      <c r="P63" s="31" t="n">
        <v>61</v>
      </c>
      <c r="Q63" s="31" t="s">
        <v>1487</v>
      </c>
      <c r="R63" s="31" t="n">
        <f aca="false">+INDEX($AC$3:$AH$86,MATCH($Q63,$AB$3:$AB$86,0),MATCH(R$2,$AC$2:$AH$2,0))</f>
        <v>-1</v>
      </c>
      <c r="S63" s="804" t="n">
        <f aca="false">+INDEX($AC$3:$AH$86,MATCH($Q63,$AB$3:$AB$86,0),MATCH(S$2,$AC$2:$AH$2,0))</f>
        <v>0.0416666666666667</v>
      </c>
      <c r="T63" s="31" t="n">
        <f aca="false">+INDEX($AC$3:$AH$86,MATCH($Q63,$AB$3:$AB$86,0),MATCH(T$2,$AC$2:$AH$2,0))</f>
        <v>0</v>
      </c>
      <c r="U63" s="31" t="n">
        <f aca="false">+INDEX($AC$3:$AH$86,MATCH($Q63,$AB$3:$AB$86,0),MATCH(U$2,$AC$2:$AH$2,0))</f>
        <v>3</v>
      </c>
      <c r="V63" s="804" t="n">
        <f aca="false">+INDEX($AC$3:$AH$86,MATCH($Q63,$AB$3:$AB$86,0),MATCH(V$2,$AC$2:$AH$2,0))</f>
        <v>0.125</v>
      </c>
      <c r="W63" s="31" t="n">
        <f aca="false">IF(R63&gt;$M$2,1,IF(R63=$M$2,0,-1))</f>
        <v>1</v>
      </c>
      <c r="AA63" s="31" t="n">
        <v>61</v>
      </c>
      <c r="AB63" s="31" t="s">
        <v>1487</v>
      </c>
      <c r="AC63" s="31" t="n">
        <v>-1</v>
      </c>
      <c r="AD63" s="804" t="n">
        <f aca="false">ABS(AC63/24)</f>
        <v>0.0416666666666667</v>
      </c>
      <c r="AE63" s="31" t="n">
        <v>0</v>
      </c>
      <c r="AF63" s="31" t="n">
        <f aca="false">AC63-$M$2</f>
        <v>3</v>
      </c>
      <c r="AG63" s="804" t="n">
        <f aca="false">ABS(AF63/24)</f>
        <v>0.125</v>
      </c>
      <c r="AH63" s="31" t="n">
        <f aca="false">IF(AC63&gt;$M$2,1,IF(AC63=$M$2,0,-1))</f>
        <v>1</v>
      </c>
    </row>
    <row r="64" customFormat="false" ht="15" hidden="false" customHeight="false" outlineLevel="0" collapsed="false">
      <c r="A64" s="490" t="n">
        <v>46199.8333333333</v>
      </c>
      <c r="C64" s="490" t="n">
        <f aca="false">A64+INDEX($V$3:$V$86,MATCH($C$3,$P$3:$P$86,0))*INDEX($W$3:$W$86,MATCH($C$3,$P$3:$P$86,0))</f>
        <v>46200.0833333333</v>
      </c>
      <c r="D64" s="490"/>
      <c r="E64" s="490"/>
      <c r="P64" s="31" t="n">
        <v>62</v>
      </c>
      <c r="Q64" s="31" t="s">
        <v>1458</v>
      </c>
      <c r="R64" s="31" t="n">
        <f aca="false">+INDEX($AC$3:$AH$86,MATCH($Q64,$AB$3:$AB$86,0),MATCH(R$2,$AC$2:$AH$2,0))</f>
        <v>0</v>
      </c>
      <c r="S64" s="804" t="n">
        <f aca="false">+INDEX($AC$3:$AH$86,MATCH($Q64,$AB$3:$AB$86,0),MATCH(S$2,$AC$2:$AH$2,0))</f>
        <v>0</v>
      </c>
      <c r="T64" s="31" t="n">
        <f aca="false">+INDEX($AC$3:$AH$86,MATCH($Q64,$AB$3:$AB$86,0),MATCH(T$2,$AC$2:$AH$2,0))</f>
        <v>0</v>
      </c>
      <c r="U64" s="31" t="n">
        <f aca="false">+INDEX($AC$3:$AH$86,MATCH($Q64,$AB$3:$AB$86,0),MATCH(U$2,$AC$2:$AH$2,0))</f>
        <v>4</v>
      </c>
      <c r="V64" s="804" t="n">
        <f aca="false">+INDEX($AC$3:$AH$86,MATCH($Q64,$AB$3:$AB$86,0),MATCH(V$2,$AC$2:$AH$2,0))</f>
        <v>0.166666666666667</v>
      </c>
      <c r="W64" s="31" t="n">
        <f aca="false">IF(R64&gt;$M$2,1,IF(R64=$M$2,0,-1))</f>
        <v>1</v>
      </c>
      <c r="AA64" s="31" t="n">
        <v>62</v>
      </c>
      <c r="AB64" s="31" t="s">
        <v>1458</v>
      </c>
      <c r="AC64" s="31" t="n">
        <v>0</v>
      </c>
      <c r="AD64" s="804" t="n">
        <f aca="false">ABS(AC64/24)</f>
        <v>0</v>
      </c>
      <c r="AE64" s="31" t="n">
        <v>0</v>
      </c>
      <c r="AF64" s="31" t="n">
        <f aca="false">AC64-$M$2</f>
        <v>4</v>
      </c>
      <c r="AG64" s="804" t="n">
        <f aca="false">ABS(AF64/24)</f>
        <v>0.166666666666667</v>
      </c>
      <c r="AH64" s="31" t="n">
        <f aca="false">IF(AC64&gt;$M$2,1,IF(AC64=$M$2,0,-1))</f>
        <v>1</v>
      </c>
    </row>
    <row r="65" customFormat="false" ht="15" hidden="false" customHeight="false" outlineLevel="0" collapsed="false">
      <c r="A65" s="490" t="n">
        <v>46199.8333333333</v>
      </c>
      <c r="C65" s="490" t="n">
        <f aca="false">A65+INDEX($V$3:$V$86,MATCH($C$3,$P$3:$P$86,0))*INDEX($W$3:$W$86,MATCH($C$3,$P$3:$P$86,0))</f>
        <v>46200.0833333333</v>
      </c>
      <c r="D65" s="490"/>
      <c r="E65" s="490"/>
      <c r="P65" s="31" t="n">
        <v>63</v>
      </c>
      <c r="Q65" s="31" t="s">
        <v>1488</v>
      </c>
      <c r="R65" s="31" t="n">
        <f aca="false">+INDEX($AC$3:$AH$86,MATCH($Q65,$AB$3:$AB$86,0),MATCH(R$2,$AC$2:$AH$2,0))</f>
        <v>1</v>
      </c>
      <c r="S65" s="804" t="n">
        <f aca="false">+INDEX($AC$3:$AH$86,MATCH($Q65,$AB$3:$AB$86,0),MATCH(S$2,$AC$2:$AH$2,0))</f>
        <v>0.0416666666666667</v>
      </c>
      <c r="T65" s="31" t="n">
        <f aca="false">+INDEX($AC$3:$AH$86,MATCH($Q65,$AB$3:$AB$86,0),MATCH(T$2,$AC$2:$AH$2,0))</f>
        <v>0</v>
      </c>
      <c r="U65" s="31" t="n">
        <f aca="false">+INDEX($AC$3:$AH$86,MATCH($Q65,$AB$3:$AB$86,0),MATCH(U$2,$AC$2:$AH$2,0))</f>
        <v>5</v>
      </c>
      <c r="V65" s="804" t="n">
        <f aca="false">+INDEX($AC$3:$AH$86,MATCH($Q65,$AB$3:$AB$86,0),MATCH(V$2,$AC$2:$AH$2,0))</f>
        <v>0.208333333333333</v>
      </c>
      <c r="W65" s="31" t="n">
        <f aca="false">IF(R65&gt;$M$2,1,IF(R65=$M$2,0,-1))</f>
        <v>1</v>
      </c>
      <c r="AA65" s="31" t="n">
        <v>63</v>
      </c>
      <c r="AB65" s="31" t="s">
        <v>1488</v>
      </c>
      <c r="AC65" s="31" t="n">
        <v>1</v>
      </c>
      <c r="AD65" s="804" t="n">
        <f aca="false">ABS(AC65/24)</f>
        <v>0.0416666666666667</v>
      </c>
      <c r="AE65" s="31" t="n">
        <v>0</v>
      </c>
      <c r="AF65" s="31" t="n">
        <f aca="false">AC65-$M$2</f>
        <v>5</v>
      </c>
      <c r="AG65" s="804" t="n">
        <f aca="false">ABS(AF65/24)</f>
        <v>0.208333333333333</v>
      </c>
      <c r="AH65" s="31" t="n">
        <f aca="false">IF(AC65&gt;$M$2,1,IF(AC65=$M$2,0,-1))</f>
        <v>1</v>
      </c>
    </row>
    <row r="66" customFormat="false" ht="15" hidden="false" customHeight="false" outlineLevel="0" collapsed="false">
      <c r="C66" s="490"/>
      <c r="E66" s="490"/>
      <c r="P66" s="31" t="n">
        <v>64</v>
      </c>
      <c r="Q66" s="31" t="s">
        <v>1489</v>
      </c>
      <c r="R66" s="31" t="n">
        <f aca="false">+INDEX($AC$3:$AH$86,MATCH($Q66,$AB$3:$AB$86,0),MATCH(R$2,$AC$2:$AH$2,0))</f>
        <v>2</v>
      </c>
      <c r="S66" s="804" t="n">
        <f aca="false">+INDEX($AC$3:$AH$86,MATCH($Q66,$AB$3:$AB$86,0),MATCH(S$2,$AC$2:$AH$2,0))</f>
        <v>0.0833333333333333</v>
      </c>
      <c r="T66" s="31" t="n">
        <f aca="false">+INDEX($AC$3:$AH$86,MATCH($Q66,$AB$3:$AB$86,0),MATCH(T$2,$AC$2:$AH$2,0))</f>
        <v>0</v>
      </c>
      <c r="U66" s="31" t="n">
        <f aca="false">+INDEX($AC$3:$AH$86,MATCH($Q66,$AB$3:$AB$86,0),MATCH(U$2,$AC$2:$AH$2,0))</f>
        <v>6</v>
      </c>
      <c r="V66" s="804" t="n">
        <f aca="false">+INDEX($AC$3:$AH$86,MATCH($Q66,$AB$3:$AB$86,0),MATCH(V$2,$AC$2:$AH$2,0))</f>
        <v>0.25</v>
      </c>
      <c r="W66" s="31" t="n">
        <f aca="false">IF(R66&gt;$M$2,1,IF(R66=$M$2,0,-1))</f>
        <v>1</v>
      </c>
      <c r="AA66" s="31" t="n">
        <v>64</v>
      </c>
      <c r="AB66" s="31" t="s">
        <v>1489</v>
      </c>
      <c r="AC66" s="31" t="n">
        <v>2</v>
      </c>
      <c r="AD66" s="804" t="n">
        <f aca="false">ABS(AC66/24)</f>
        <v>0.0833333333333333</v>
      </c>
      <c r="AE66" s="31" t="n">
        <v>0</v>
      </c>
      <c r="AF66" s="31" t="n">
        <f aca="false">AC66-$M$2</f>
        <v>6</v>
      </c>
      <c r="AG66" s="804" t="n">
        <f aca="false">ABS(AF66/24)</f>
        <v>0.25</v>
      </c>
      <c r="AH66" s="31" t="n">
        <f aca="false">IF(AC66&gt;$M$2,1,IF(AC66=$M$2,0,-1))</f>
        <v>1</v>
      </c>
    </row>
    <row r="67" customFormat="false" ht="15" hidden="false" customHeight="false" outlineLevel="0" collapsed="false">
      <c r="A67" s="30" t="s">
        <v>1490</v>
      </c>
      <c r="C67" s="490"/>
      <c r="E67" s="490"/>
      <c r="P67" s="31" t="n">
        <v>65</v>
      </c>
      <c r="Q67" s="31" t="s">
        <v>1491</v>
      </c>
      <c r="R67" s="31" t="n">
        <f aca="false">+INDEX($AC$3:$AH$86,MATCH($Q67,$AB$3:$AB$86,0),MATCH(R$2,$AC$2:$AH$2,0))</f>
        <v>3</v>
      </c>
      <c r="S67" s="804" t="n">
        <f aca="false">+INDEX($AC$3:$AH$86,MATCH($Q67,$AB$3:$AB$86,0),MATCH(S$2,$AC$2:$AH$2,0))</f>
        <v>0.125</v>
      </c>
      <c r="T67" s="31" t="n">
        <f aca="false">+INDEX($AC$3:$AH$86,MATCH($Q67,$AB$3:$AB$86,0),MATCH(T$2,$AC$2:$AH$2,0))</f>
        <v>0</v>
      </c>
      <c r="U67" s="31" t="n">
        <f aca="false">+INDEX($AC$3:$AH$86,MATCH($Q67,$AB$3:$AB$86,0),MATCH(U$2,$AC$2:$AH$2,0))</f>
        <v>7</v>
      </c>
      <c r="V67" s="804" t="n">
        <f aca="false">+INDEX($AC$3:$AH$86,MATCH($Q67,$AB$3:$AB$86,0),MATCH(V$2,$AC$2:$AH$2,0))</f>
        <v>0.291666666666667</v>
      </c>
      <c r="W67" s="31" t="n">
        <f aca="false">IF(R67&gt;$M$2,1,IF(R67=$M$2,0,-1))</f>
        <v>1</v>
      </c>
      <c r="AA67" s="31" t="n">
        <v>65</v>
      </c>
      <c r="AB67" s="31" t="s">
        <v>1491</v>
      </c>
      <c r="AC67" s="31" t="n">
        <v>3</v>
      </c>
      <c r="AD67" s="804" t="n">
        <f aca="false">ABS(AC67/24)</f>
        <v>0.125</v>
      </c>
      <c r="AE67" s="31" t="n">
        <v>0</v>
      </c>
      <c r="AF67" s="31" t="n">
        <f aca="false">AC67-$M$2</f>
        <v>7</v>
      </c>
      <c r="AG67" s="804" t="n">
        <f aca="false">ABS(AF67/24)</f>
        <v>0.291666666666667</v>
      </c>
      <c r="AH67" s="31" t="n">
        <f aca="false">IF(AC67&gt;$M$2,1,IF(AC67=$M$2,0,-1))</f>
        <v>1</v>
      </c>
    </row>
    <row r="68" customFormat="false" ht="15" hidden="false" customHeight="false" outlineLevel="0" collapsed="false">
      <c r="A68" s="490" t="n">
        <v>46189.625</v>
      </c>
      <c r="C68" s="490" t="n">
        <f aca="false">A68+INDEX($V$3:$V$86,MATCH($C$3,$P$3:$P$86,0))*INDEX($W$3:$W$86,MATCH($C$3,$P$3:$P$86,0))</f>
        <v>46189.875</v>
      </c>
      <c r="D68" s="490"/>
      <c r="E68" s="490"/>
      <c r="P68" s="31" t="n">
        <v>66</v>
      </c>
      <c r="Q68" s="31" t="s">
        <v>1492</v>
      </c>
      <c r="R68" s="31" t="n">
        <f aca="false">+INDEX($AC$3:$AH$86,MATCH($Q68,$AB$3:$AB$86,0),MATCH(R$2,$AC$2:$AH$2,0))</f>
        <v>3.5</v>
      </c>
      <c r="S68" s="804" t="n">
        <f aca="false">+INDEX($AC$3:$AH$86,MATCH($Q68,$AB$3:$AB$86,0),MATCH(S$2,$AC$2:$AH$2,0))</f>
        <v>0.145833333333333</v>
      </c>
      <c r="T68" s="31" t="n">
        <f aca="false">+INDEX($AC$3:$AH$86,MATCH($Q68,$AB$3:$AB$86,0),MATCH(T$2,$AC$2:$AH$2,0))</f>
        <v>0</v>
      </c>
      <c r="U68" s="31" t="n">
        <f aca="false">+INDEX($AC$3:$AH$86,MATCH($Q68,$AB$3:$AB$86,0),MATCH(U$2,$AC$2:$AH$2,0))</f>
        <v>7.5</v>
      </c>
      <c r="V68" s="804" t="n">
        <f aca="false">+INDEX($AC$3:$AH$86,MATCH($Q68,$AB$3:$AB$86,0),MATCH(V$2,$AC$2:$AH$2,0))</f>
        <v>0.3125</v>
      </c>
      <c r="W68" s="31" t="n">
        <f aca="false">IF(R68&gt;$M$2,1,IF(R68=$M$2,0,-1))</f>
        <v>1</v>
      </c>
      <c r="AA68" s="31" t="n">
        <v>66</v>
      </c>
      <c r="AB68" s="31" t="s">
        <v>1492</v>
      </c>
      <c r="AC68" s="31" t="n">
        <v>3.5</v>
      </c>
      <c r="AD68" s="804" t="n">
        <f aca="false">ABS(AC68/24)</f>
        <v>0.145833333333333</v>
      </c>
      <c r="AE68" s="31" t="n">
        <v>0</v>
      </c>
      <c r="AF68" s="31" t="n">
        <f aca="false">AC68-$M$2</f>
        <v>7.5</v>
      </c>
      <c r="AG68" s="804" t="n">
        <f aca="false">ABS(AF68/24)</f>
        <v>0.3125</v>
      </c>
      <c r="AH68" s="31" t="n">
        <f aca="false">IF(AC68&gt;$M$2,1,IF(AC68=$M$2,0,-1))</f>
        <v>1</v>
      </c>
    </row>
    <row r="69" customFormat="false" ht="15" hidden="false" customHeight="false" outlineLevel="0" collapsed="false">
      <c r="A69" s="490" t="n">
        <v>46189.75</v>
      </c>
      <c r="C69" s="490" t="n">
        <f aca="false">A69+INDEX($V$3:$V$86,MATCH($C$3,$P$3:$P$86,0))*INDEX($W$3:$W$86,MATCH($C$3,$P$3:$P$86,0))</f>
        <v>46190</v>
      </c>
      <c r="D69" s="490"/>
      <c r="E69" s="490"/>
      <c r="P69" s="31" t="n">
        <v>67</v>
      </c>
      <c r="Q69" s="31" t="s">
        <v>1493</v>
      </c>
      <c r="R69" s="31" t="n">
        <f aca="false">+INDEX($AC$3:$AH$86,MATCH($Q69,$AB$3:$AB$86,0),MATCH(R$2,$AC$2:$AH$2,0))</f>
        <v>4</v>
      </c>
      <c r="S69" s="804" t="n">
        <f aca="false">+INDEX($AC$3:$AH$86,MATCH($Q69,$AB$3:$AB$86,0),MATCH(S$2,$AC$2:$AH$2,0))</f>
        <v>0.166666666666667</v>
      </c>
      <c r="T69" s="31" t="n">
        <f aca="false">+INDEX($AC$3:$AH$86,MATCH($Q69,$AB$3:$AB$86,0),MATCH(T$2,$AC$2:$AH$2,0))</f>
        <v>0</v>
      </c>
      <c r="U69" s="31" t="n">
        <f aca="false">+INDEX($AC$3:$AH$86,MATCH($Q69,$AB$3:$AB$86,0),MATCH(U$2,$AC$2:$AH$2,0))</f>
        <v>8</v>
      </c>
      <c r="V69" s="804" t="n">
        <f aca="false">+INDEX($AC$3:$AH$86,MATCH($Q69,$AB$3:$AB$86,0),MATCH(V$2,$AC$2:$AH$2,0))</f>
        <v>0.333333333333333</v>
      </c>
      <c r="W69" s="31" t="n">
        <f aca="false">IF(R69&gt;$M$2,1,IF(R69=$M$2,0,-1))</f>
        <v>1</v>
      </c>
      <c r="AA69" s="31" t="n">
        <v>67</v>
      </c>
      <c r="AB69" s="31" t="s">
        <v>1493</v>
      </c>
      <c r="AC69" s="31" t="n">
        <v>4</v>
      </c>
      <c r="AD69" s="804" t="n">
        <f aca="false">ABS(AC69/24)</f>
        <v>0.166666666666667</v>
      </c>
      <c r="AE69" s="31" t="n">
        <v>0</v>
      </c>
      <c r="AF69" s="31" t="n">
        <f aca="false">AC69-$M$2</f>
        <v>8</v>
      </c>
      <c r="AG69" s="804" t="n">
        <f aca="false">ABS(AF69/24)</f>
        <v>0.333333333333333</v>
      </c>
      <c r="AH69" s="31" t="n">
        <f aca="false">IF(AC69&gt;$M$2,1,IF(AC69=$M$2,0,-1))</f>
        <v>1</v>
      </c>
    </row>
    <row r="70" customFormat="false" ht="15" hidden="false" customHeight="false" outlineLevel="0" collapsed="false">
      <c r="A70" s="490" t="n">
        <v>46195.7083333333</v>
      </c>
      <c r="C70" s="490" t="n">
        <f aca="false">A70+INDEX($V$3:$V$86,MATCH($C$3,$P$3:$P$86,0))*INDEX($W$3:$W$86,MATCH($C$3,$P$3:$P$86,0))</f>
        <v>46195.9583333333</v>
      </c>
      <c r="D70" s="490"/>
      <c r="E70" s="490"/>
      <c r="P70" s="31" t="n">
        <v>68</v>
      </c>
      <c r="Q70" s="31" t="s">
        <v>1494</v>
      </c>
      <c r="R70" s="31" t="n">
        <f aca="false">+INDEX($AC$3:$AH$86,MATCH($Q70,$AB$3:$AB$86,0),MATCH(R$2,$AC$2:$AH$2,0))</f>
        <v>4.5</v>
      </c>
      <c r="S70" s="804" t="n">
        <f aca="false">+INDEX($AC$3:$AH$86,MATCH($Q70,$AB$3:$AB$86,0),MATCH(S$2,$AC$2:$AH$2,0))</f>
        <v>0.1875</v>
      </c>
      <c r="T70" s="31" t="n">
        <f aca="false">+INDEX($AC$3:$AH$86,MATCH($Q70,$AB$3:$AB$86,0),MATCH(T$2,$AC$2:$AH$2,0))</f>
        <v>0</v>
      </c>
      <c r="U70" s="31" t="n">
        <f aca="false">+INDEX($AC$3:$AH$86,MATCH($Q70,$AB$3:$AB$86,0),MATCH(U$2,$AC$2:$AH$2,0))</f>
        <v>8.5</v>
      </c>
      <c r="V70" s="804" t="n">
        <f aca="false">+INDEX($AC$3:$AH$86,MATCH($Q70,$AB$3:$AB$86,0),MATCH(V$2,$AC$2:$AH$2,0))</f>
        <v>0.354166666666667</v>
      </c>
      <c r="W70" s="31" t="n">
        <f aca="false">IF(R70&gt;$M$2,1,IF(R70=$M$2,0,-1))</f>
        <v>1</v>
      </c>
      <c r="AA70" s="31" t="n">
        <v>68</v>
      </c>
      <c r="AB70" s="31" t="s">
        <v>1494</v>
      </c>
      <c r="AC70" s="31" t="n">
        <v>4.5</v>
      </c>
      <c r="AD70" s="804" t="n">
        <f aca="false">ABS(AC70/24)</f>
        <v>0.1875</v>
      </c>
      <c r="AE70" s="31" t="n">
        <v>0</v>
      </c>
      <c r="AF70" s="31" t="n">
        <f aca="false">AC70-$M$2</f>
        <v>8.5</v>
      </c>
      <c r="AG70" s="804" t="n">
        <f aca="false">ABS(AF70/24)</f>
        <v>0.354166666666667</v>
      </c>
      <c r="AH70" s="31" t="n">
        <f aca="false">IF(AC70&gt;$M$2,1,IF(AC70=$M$2,0,-1))</f>
        <v>1</v>
      </c>
    </row>
    <row r="71" customFormat="false" ht="15" hidden="false" customHeight="false" outlineLevel="0" collapsed="false">
      <c r="A71" s="490" t="n">
        <v>46195.8333333333</v>
      </c>
      <c r="C71" s="490" t="n">
        <f aca="false">A71+INDEX($V$3:$V$86,MATCH($C$3,$P$3:$P$86,0))*INDEX($W$3:$W$86,MATCH($C$3,$P$3:$P$86,0))</f>
        <v>46196.0833333333</v>
      </c>
      <c r="D71" s="490"/>
      <c r="E71" s="490"/>
      <c r="P71" s="31" t="n">
        <v>69</v>
      </c>
      <c r="Q71" s="31" t="s">
        <v>1495</v>
      </c>
      <c r="R71" s="31" t="n">
        <f aca="false">+INDEX($AC$3:$AH$86,MATCH($Q71,$AB$3:$AB$86,0),MATCH(R$2,$AC$2:$AH$2,0))</f>
        <v>5</v>
      </c>
      <c r="S71" s="804" t="n">
        <f aca="false">+INDEX($AC$3:$AH$86,MATCH($Q71,$AB$3:$AB$86,0),MATCH(S$2,$AC$2:$AH$2,0))</f>
        <v>0.208333333333333</v>
      </c>
      <c r="T71" s="31" t="n">
        <f aca="false">+INDEX($AC$3:$AH$86,MATCH($Q71,$AB$3:$AB$86,0),MATCH(T$2,$AC$2:$AH$2,0))</f>
        <v>0</v>
      </c>
      <c r="U71" s="31" t="n">
        <f aca="false">+INDEX($AC$3:$AH$86,MATCH($Q71,$AB$3:$AB$86,0),MATCH(U$2,$AC$2:$AH$2,0))</f>
        <v>9</v>
      </c>
      <c r="V71" s="804" t="n">
        <f aca="false">+INDEX($AC$3:$AH$86,MATCH($Q71,$AB$3:$AB$86,0),MATCH(V$2,$AC$2:$AH$2,0))</f>
        <v>0.375</v>
      </c>
      <c r="W71" s="31" t="n">
        <f aca="false">IF(R71&gt;$M$2,1,IF(R71=$M$2,0,-1))</f>
        <v>1</v>
      </c>
      <c r="AA71" s="31" t="n">
        <v>69</v>
      </c>
      <c r="AB71" s="31" t="s">
        <v>1495</v>
      </c>
      <c r="AC71" s="31" t="n">
        <v>5</v>
      </c>
      <c r="AD71" s="804" t="n">
        <f aca="false">ABS(AC71/24)</f>
        <v>0.208333333333333</v>
      </c>
      <c r="AE71" s="31" t="n">
        <v>0</v>
      </c>
      <c r="AF71" s="31" t="n">
        <f aca="false">AC71-$M$2</f>
        <v>9</v>
      </c>
      <c r="AG71" s="804" t="n">
        <f aca="false">ABS(AF71/24)</f>
        <v>0.375</v>
      </c>
      <c r="AH71" s="31" t="n">
        <f aca="false">IF(AC71&gt;$M$2,1,IF(AC71=$M$2,0,-1))</f>
        <v>1</v>
      </c>
    </row>
    <row r="72" customFormat="false" ht="15" hidden="false" customHeight="false" outlineLevel="0" collapsed="false">
      <c r="A72" s="490" t="n">
        <v>46199.625</v>
      </c>
      <c r="C72" s="490" t="n">
        <f aca="false">A72+INDEX($V$3:$V$86,MATCH($C$3,$P$3:$P$86,0))*INDEX($W$3:$W$86,MATCH($C$3,$P$3:$P$86,0))</f>
        <v>46199.875</v>
      </c>
      <c r="D72" s="490"/>
      <c r="E72" s="490"/>
      <c r="P72" s="31" t="n">
        <v>70</v>
      </c>
      <c r="Q72" s="31" t="s">
        <v>1496</v>
      </c>
      <c r="R72" s="31" t="n">
        <f aca="false">+INDEX($AC$3:$AH$86,MATCH($Q72,$AB$3:$AB$86,0),MATCH(R$2,$AC$2:$AH$2,0))</f>
        <v>5.5</v>
      </c>
      <c r="S72" s="804" t="n">
        <f aca="false">+INDEX($AC$3:$AH$86,MATCH($Q72,$AB$3:$AB$86,0),MATCH(S$2,$AC$2:$AH$2,0))</f>
        <v>0.229166666666667</v>
      </c>
      <c r="T72" s="31" t="n">
        <f aca="false">+INDEX($AC$3:$AH$86,MATCH($Q72,$AB$3:$AB$86,0),MATCH(T$2,$AC$2:$AH$2,0))</f>
        <v>0</v>
      </c>
      <c r="U72" s="31" t="n">
        <f aca="false">+INDEX($AC$3:$AH$86,MATCH($Q72,$AB$3:$AB$86,0),MATCH(U$2,$AC$2:$AH$2,0))</f>
        <v>9.5</v>
      </c>
      <c r="V72" s="804" t="n">
        <f aca="false">+INDEX($AC$3:$AH$86,MATCH($Q72,$AB$3:$AB$86,0),MATCH(V$2,$AC$2:$AH$2,0))</f>
        <v>0.395833333333333</v>
      </c>
      <c r="W72" s="31" t="n">
        <f aca="false">IF(R72&gt;$M$2,1,IF(R72=$M$2,0,-1))</f>
        <v>1</v>
      </c>
      <c r="AA72" s="31" t="n">
        <v>70</v>
      </c>
      <c r="AB72" s="31" t="s">
        <v>1496</v>
      </c>
      <c r="AC72" s="31" t="n">
        <v>5.5</v>
      </c>
      <c r="AD72" s="804" t="n">
        <f aca="false">ABS(AC72/24)</f>
        <v>0.229166666666667</v>
      </c>
      <c r="AE72" s="31" t="n">
        <v>0</v>
      </c>
      <c r="AF72" s="31" t="n">
        <f aca="false">AC72-$M$2</f>
        <v>9.5</v>
      </c>
      <c r="AG72" s="804" t="n">
        <f aca="false">ABS(AF72/24)</f>
        <v>0.395833333333333</v>
      </c>
      <c r="AH72" s="31" t="n">
        <f aca="false">IF(AC72&gt;$M$2,1,IF(AC72=$M$2,0,-1))</f>
        <v>1</v>
      </c>
    </row>
    <row r="73" customFormat="false" ht="15" hidden="false" customHeight="false" outlineLevel="0" collapsed="false">
      <c r="A73" s="490" t="n">
        <v>46199.625</v>
      </c>
      <c r="C73" s="490" t="n">
        <f aca="false">A73+INDEX($V$3:$V$86,MATCH($C$3,$P$3:$P$86,0))*INDEX($W$3:$W$86,MATCH($C$3,$P$3:$P$86,0))</f>
        <v>46199.875</v>
      </c>
      <c r="D73" s="490"/>
      <c r="E73" s="490"/>
      <c r="P73" s="31" t="n">
        <v>71</v>
      </c>
      <c r="Q73" s="31" t="s">
        <v>1497</v>
      </c>
      <c r="R73" s="31" t="n">
        <f aca="false">+INDEX($AC$3:$AH$86,MATCH($Q73,$AB$3:$AB$86,0),MATCH(R$2,$AC$2:$AH$2,0))</f>
        <v>5.75</v>
      </c>
      <c r="S73" s="804" t="n">
        <f aca="false">+INDEX($AC$3:$AH$86,MATCH($Q73,$AB$3:$AB$86,0),MATCH(S$2,$AC$2:$AH$2,0))</f>
        <v>0.239583333333333</v>
      </c>
      <c r="T73" s="31" t="n">
        <f aca="false">+INDEX($AC$3:$AH$86,MATCH($Q73,$AB$3:$AB$86,0),MATCH(T$2,$AC$2:$AH$2,0))</f>
        <v>0</v>
      </c>
      <c r="U73" s="31" t="n">
        <f aca="false">+INDEX($AC$3:$AH$86,MATCH($Q73,$AB$3:$AB$86,0),MATCH(U$2,$AC$2:$AH$2,0))</f>
        <v>9.75</v>
      </c>
      <c r="V73" s="804" t="n">
        <f aca="false">+INDEX($AC$3:$AH$86,MATCH($Q73,$AB$3:$AB$86,0),MATCH(V$2,$AC$2:$AH$2,0))</f>
        <v>0.40625</v>
      </c>
      <c r="W73" s="31" t="n">
        <f aca="false">IF(R73&gt;$M$2,1,IF(R73=$M$2,0,-1))</f>
        <v>1</v>
      </c>
      <c r="AA73" s="31" t="n">
        <v>71</v>
      </c>
      <c r="AB73" s="31" t="s">
        <v>1497</v>
      </c>
      <c r="AC73" s="31" t="n">
        <v>5.75</v>
      </c>
      <c r="AD73" s="804" t="n">
        <f aca="false">ABS(AC73/24)</f>
        <v>0.239583333333333</v>
      </c>
      <c r="AE73" s="31" t="n">
        <v>0</v>
      </c>
      <c r="AF73" s="31" t="n">
        <f aca="false">AC73-$M$2</f>
        <v>9.75</v>
      </c>
      <c r="AG73" s="804" t="n">
        <f aca="false">ABS(AF73/24)</f>
        <v>0.40625</v>
      </c>
      <c r="AH73" s="31" t="n">
        <f aca="false">IF(AC73&gt;$M$2,1,IF(AC73=$M$2,0,-1))</f>
        <v>1</v>
      </c>
    </row>
    <row r="74" customFormat="false" ht="15" hidden="false" customHeight="false" outlineLevel="0" collapsed="false">
      <c r="C74" s="490"/>
      <c r="E74" s="490"/>
      <c r="P74" s="31" t="n">
        <v>72</v>
      </c>
      <c r="Q74" s="31" t="s">
        <v>1498</v>
      </c>
      <c r="R74" s="31" t="n">
        <f aca="false">+INDEX($AC$3:$AH$86,MATCH($Q74,$AB$3:$AB$86,0),MATCH(R$2,$AC$2:$AH$2,0))</f>
        <v>6</v>
      </c>
      <c r="S74" s="804" t="n">
        <f aca="false">+INDEX($AC$3:$AH$86,MATCH($Q74,$AB$3:$AB$86,0),MATCH(S$2,$AC$2:$AH$2,0))</f>
        <v>0.25</v>
      </c>
      <c r="T74" s="31" t="n">
        <f aca="false">+INDEX($AC$3:$AH$86,MATCH($Q74,$AB$3:$AB$86,0),MATCH(T$2,$AC$2:$AH$2,0))</f>
        <v>0</v>
      </c>
      <c r="U74" s="31" t="n">
        <f aca="false">+INDEX($AC$3:$AH$86,MATCH($Q74,$AB$3:$AB$86,0),MATCH(U$2,$AC$2:$AH$2,0))</f>
        <v>10</v>
      </c>
      <c r="V74" s="804" t="n">
        <f aca="false">+INDEX($AC$3:$AH$86,MATCH($Q74,$AB$3:$AB$86,0),MATCH(V$2,$AC$2:$AH$2,0))</f>
        <v>0.416666666666667</v>
      </c>
      <c r="W74" s="31" t="n">
        <f aca="false">IF(R74&gt;$M$2,1,IF(R74=$M$2,0,-1))</f>
        <v>1</v>
      </c>
      <c r="AA74" s="31" t="n">
        <v>72</v>
      </c>
      <c r="AB74" s="31" t="s">
        <v>1498</v>
      </c>
      <c r="AC74" s="31" t="n">
        <v>6</v>
      </c>
      <c r="AD74" s="804" t="n">
        <f aca="false">ABS(AC74/24)</f>
        <v>0.25</v>
      </c>
      <c r="AE74" s="31" t="n">
        <v>0</v>
      </c>
      <c r="AF74" s="31" t="n">
        <f aca="false">AC74-$M$2</f>
        <v>10</v>
      </c>
      <c r="AG74" s="804" t="n">
        <f aca="false">ABS(AF74/24)</f>
        <v>0.416666666666667</v>
      </c>
      <c r="AH74" s="31" t="n">
        <f aca="false">IF(AC74&gt;$M$2,1,IF(AC74=$M$2,0,-1))</f>
        <v>1</v>
      </c>
    </row>
    <row r="75" customFormat="false" ht="15" hidden="false" customHeight="false" outlineLevel="0" collapsed="false">
      <c r="A75" s="30" t="s">
        <v>1499</v>
      </c>
      <c r="C75" s="490"/>
      <c r="E75" s="490"/>
      <c r="P75" s="31" t="n">
        <v>73</v>
      </c>
      <c r="Q75" s="31" t="s">
        <v>1500</v>
      </c>
      <c r="R75" s="31" t="n">
        <f aca="false">+INDEX($AC$3:$AH$86,MATCH($Q75,$AB$3:$AB$86,0),MATCH(R$2,$AC$2:$AH$2,0))</f>
        <v>6.5</v>
      </c>
      <c r="S75" s="804" t="n">
        <f aca="false">+INDEX($AC$3:$AH$86,MATCH($Q75,$AB$3:$AB$86,0),MATCH(S$2,$AC$2:$AH$2,0))</f>
        <v>0.270833333333333</v>
      </c>
      <c r="T75" s="31" t="n">
        <f aca="false">+INDEX($AC$3:$AH$86,MATCH($Q75,$AB$3:$AB$86,0),MATCH(T$2,$AC$2:$AH$2,0))</f>
        <v>0</v>
      </c>
      <c r="U75" s="31" t="n">
        <f aca="false">+INDEX($AC$3:$AH$86,MATCH($Q75,$AB$3:$AB$86,0),MATCH(U$2,$AC$2:$AH$2,0))</f>
        <v>10.5</v>
      </c>
      <c r="V75" s="804" t="n">
        <f aca="false">+INDEX($AC$3:$AH$86,MATCH($Q75,$AB$3:$AB$86,0),MATCH(V$2,$AC$2:$AH$2,0))</f>
        <v>0.4375</v>
      </c>
      <c r="W75" s="31" t="n">
        <f aca="false">IF(R75&gt;$M$2,1,IF(R75=$M$2,0,-1))</f>
        <v>1</v>
      </c>
      <c r="AA75" s="31" t="n">
        <v>73</v>
      </c>
      <c r="AB75" s="31" t="s">
        <v>1500</v>
      </c>
      <c r="AC75" s="31" t="n">
        <v>6.5</v>
      </c>
      <c r="AD75" s="804" t="n">
        <f aca="false">ABS(AC75/24)</f>
        <v>0.270833333333333</v>
      </c>
      <c r="AE75" s="31" t="n">
        <v>0</v>
      </c>
      <c r="AF75" s="31" t="n">
        <f aca="false">AC75-$M$2</f>
        <v>10.5</v>
      </c>
      <c r="AG75" s="804" t="n">
        <f aca="false">ABS(AF75/24)</f>
        <v>0.4375</v>
      </c>
      <c r="AH75" s="31" t="n">
        <f aca="false">IF(AC75&gt;$M$2,1,IF(AC75=$M$2,0,-1))</f>
        <v>1</v>
      </c>
    </row>
    <row r="76" customFormat="false" ht="15" hidden="false" customHeight="false" outlineLevel="0" collapsed="false">
      <c r="A76" s="490" t="n">
        <v>46189.875</v>
      </c>
      <c r="C76" s="490" t="n">
        <f aca="false">A76+INDEX($V$3:$V$86,MATCH($C$3,$P$3:$P$86,0))*INDEX($W$3:$W$86,MATCH($C$3,$P$3:$P$86,0))</f>
        <v>46190.125</v>
      </c>
      <c r="D76" s="490"/>
      <c r="E76" s="490"/>
      <c r="P76" s="31" t="n">
        <v>74</v>
      </c>
      <c r="Q76" s="31" t="s">
        <v>1501</v>
      </c>
      <c r="R76" s="31" t="n">
        <f aca="false">+INDEX($AC$3:$AH$86,MATCH($Q76,$AB$3:$AB$86,0),MATCH(R$2,$AC$2:$AH$2,0))</f>
        <v>7</v>
      </c>
      <c r="S76" s="804" t="n">
        <f aca="false">+INDEX($AC$3:$AH$86,MATCH($Q76,$AB$3:$AB$86,0),MATCH(S$2,$AC$2:$AH$2,0))</f>
        <v>0.291666666666667</v>
      </c>
      <c r="T76" s="31" t="n">
        <f aca="false">+INDEX($AC$3:$AH$86,MATCH($Q76,$AB$3:$AB$86,0),MATCH(T$2,$AC$2:$AH$2,0))</f>
        <v>0</v>
      </c>
      <c r="U76" s="31" t="n">
        <f aca="false">+INDEX($AC$3:$AH$86,MATCH($Q76,$AB$3:$AB$86,0),MATCH(U$2,$AC$2:$AH$2,0))</f>
        <v>11</v>
      </c>
      <c r="V76" s="804" t="n">
        <f aca="false">+INDEX($AC$3:$AH$86,MATCH($Q76,$AB$3:$AB$86,0),MATCH(V$2,$AC$2:$AH$2,0))</f>
        <v>0.458333333333333</v>
      </c>
      <c r="W76" s="31" t="n">
        <f aca="false">IF(R76&gt;$M$2,1,IF(R76=$M$2,0,-1))</f>
        <v>1</v>
      </c>
      <c r="AA76" s="31" t="n">
        <v>74</v>
      </c>
      <c r="AB76" s="31" t="s">
        <v>1501</v>
      </c>
      <c r="AC76" s="31" t="n">
        <v>7</v>
      </c>
      <c r="AD76" s="804" t="n">
        <f aca="false">ABS(AC76/24)</f>
        <v>0.291666666666667</v>
      </c>
      <c r="AE76" s="31" t="n">
        <v>0</v>
      </c>
      <c r="AF76" s="31" t="n">
        <f aca="false">AC76-$M$2</f>
        <v>11</v>
      </c>
      <c r="AG76" s="804" t="n">
        <f aca="false">ABS(AF76/24)</f>
        <v>0.458333333333333</v>
      </c>
      <c r="AH76" s="31" t="n">
        <f aca="false">IF(AC76&gt;$M$2,1,IF(AC76=$M$2,0,-1))</f>
        <v>1</v>
      </c>
    </row>
    <row r="77" customFormat="false" ht="15" hidden="false" customHeight="false" outlineLevel="0" collapsed="false">
      <c r="A77" s="490" t="n">
        <v>46190</v>
      </c>
      <c r="C77" s="490" t="n">
        <f aca="false">A77+INDEX($V$3:$V$86,MATCH($C$3,$P$3:$P$86,0))*INDEX($W$3:$W$86,MATCH($C$3,$P$3:$P$86,0))</f>
        <v>46190.25</v>
      </c>
      <c r="D77" s="490"/>
      <c r="E77" s="490"/>
      <c r="P77" s="31" t="n">
        <v>75</v>
      </c>
      <c r="Q77" s="31" t="s">
        <v>1502</v>
      </c>
      <c r="R77" s="31" t="n">
        <f aca="false">+INDEX($AC$3:$AH$86,MATCH($Q77,$AB$3:$AB$86,0),MATCH(R$2,$AC$2:$AH$2,0))</f>
        <v>8</v>
      </c>
      <c r="S77" s="804" t="n">
        <f aca="false">+INDEX($AC$3:$AH$86,MATCH($Q77,$AB$3:$AB$86,0),MATCH(S$2,$AC$2:$AH$2,0))</f>
        <v>0.333333333333333</v>
      </c>
      <c r="T77" s="31" t="n">
        <f aca="false">+INDEX($AC$3:$AH$86,MATCH($Q77,$AB$3:$AB$86,0),MATCH(T$2,$AC$2:$AH$2,0))</f>
        <v>0</v>
      </c>
      <c r="U77" s="31" t="n">
        <f aca="false">+INDEX($AC$3:$AH$86,MATCH($Q77,$AB$3:$AB$86,0),MATCH(U$2,$AC$2:$AH$2,0))</f>
        <v>12</v>
      </c>
      <c r="V77" s="804" t="n">
        <f aca="false">+INDEX($AC$3:$AH$86,MATCH($Q77,$AB$3:$AB$86,0),MATCH(V$2,$AC$2:$AH$2,0))</f>
        <v>0.5</v>
      </c>
      <c r="W77" s="31" t="n">
        <f aca="false">IF(R77&gt;$M$2,1,IF(R77=$M$2,0,-1))</f>
        <v>1</v>
      </c>
      <c r="AA77" s="31" t="n">
        <v>75</v>
      </c>
      <c r="AB77" s="31" t="s">
        <v>1502</v>
      </c>
      <c r="AC77" s="31" t="n">
        <v>8</v>
      </c>
      <c r="AD77" s="804" t="n">
        <f aca="false">ABS(AC77/24)</f>
        <v>0.333333333333333</v>
      </c>
      <c r="AE77" s="31" t="n">
        <v>0</v>
      </c>
      <c r="AF77" s="31" t="n">
        <f aca="false">AC77-$M$2</f>
        <v>12</v>
      </c>
      <c r="AG77" s="804" t="n">
        <f aca="false">ABS(AF77/24)</f>
        <v>0.5</v>
      </c>
      <c r="AH77" s="31" t="n">
        <f aca="false">IF(AC77&gt;$M$2,1,IF(AC77=$M$2,0,-1))</f>
        <v>1</v>
      </c>
    </row>
    <row r="78" customFormat="false" ht="15" hidden="false" customHeight="false" outlineLevel="0" collapsed="false">
      <c r="A78" s="490" t="n">
        <v>46195.5416666667</v>
      </c>
      <c r="C78" s="490" t="n">
        <f aca="false">A78+INDEX($V$3:$V$86,MATCH($C$3,$P$3:$P$86,0))*INDEX($W$3:$W$86,MATCH($C$3,$P$3:$P$86,0))</f>
        <v>46195.7916666667</v>
      </c>
      <c r="D78" s="490"/>
      <c r="E78" s="490"/>
      <c r="P78" s="31" t="n">
        <v>76</v>
      </c>
      <c r="Q78" s="31" t="s">
        <v>1503</v>
      </c>
      <c r="R78" s="31" t="n">
        <f aca="false">+INDEX($AC$3:$AH$86,MATCH($Q78,$AB$3:$AB$86,0),MATCH(R$2,$AC$2:$AH$2,0))</f>
        <v>9</v>
      </c>
      <c r="S78" s="804" t="n">
        <f aca="false">+INDEX($AC$3:$AH$86,MATCH($Q78,$AB$3:$AB$86,0),MATCH(S$2,$AC$2:$AH$2,0))</f>
        <v>0.375</v>
      </c>
      <c r="T78" s="31" t="n">
        <f aca="false">+INDEX($AC$3:$AH$86,MATCH($Q78,$AB$3:$AB$86,0),MATCH(T$2,$AC$2:$AH$2,0))</f>
        <v>0</v>
      </c>
      <c r="U78" s="31" t="n">
        <f aca="false">+INDEX($AC$3:$AH$86,MATCH($Q78,$AB$3:$AB$86,0),MATCH(U$2,$AC$2:$AH$2,0))</f>
        <v>13</v>
      </c>
      <c r="V78" s="804" t="n">
        <f aca="false">+INDEX($AC$3:$AH$86,MATCH($Q78,$AB$3:$AB$86,0),MATCH(V$2,$AC$2:$AH$2,0))</f>
        <v>0.541666666666667</v>
      </c>
      <c r="W78" s="31" t="n">
        <f aca="false">IF(R78&gt;$M$2,1,IF(R78=$M$2,0,-1))</f>
        <v>1</v>
      </c>
      <c r="AA78" s="31" t="n">
        <v>76</v>
      </c>
      <c r="AB78" s="31" t="s">
        <v>1503</v>
      </c>
      <c r="AC78" s="31" t="n">
        <v>9</v>
      </c>
      <c r="AD78" s="804" t="n">
        <f aca="false">ABS(AC78/24)</f>
        <v>0.375</v>
      </c>
      <c r="AE78" s="31" t="n">
        <v>0</v>
      </c>
      <c r="AF78" s="31" t="n">
        <f aca="false">AC78-$M$2</f>
        <v>13</v>
      </c>
      <c r="AG78" s="804" t="n">
        <f aca="false">ABS(AF78/24)</f>
        <v>0.541666666666667</v>
      </c>
      <c r="AH78" s="31" t="n">
        <f aca="false">IF(AC78&gt;$M$2,1,IF(AC78=$M$2,0,-1))</f>
        <v>1</v>
      </c>
    </row>
    <row r="79" customFormat="false" ht="15" hidden="false" customHeight="false" outlineLevel="0" collapsed="false">
      <c r="A79" s="490" t="n">
        <v>46195.9583333333</v>
      </c>
      <c r="C79" s="490" t="n">
        <f aca="false">A79+INDEX($V$3:$V$86,MATCH($C$3,$P$3:$P$86,0))*INDEX($W$3:$W$86,MATCH($C$3,$P$3:$P$86,0))</f>
        <v>46196.2083333333</v>
      </c>
      <c r="D79" s="490"/>
      <c r="E79" s="490"/>
      <c r="P79" s="31" t="n">
        <v>77</v>
      </c>
      <c r="Q79" s="31" t="s">
        <v>1504</v>
      </c>
      <c r="R79" s="31" t="n">
        <f aca="false">+INDEX($AC$3:$AH$86,MATCH($Q79,$AB$3:$AB$86,0),MATCH(R$2,$AC$2:$AH$2,0))</f>
        <v>9.5</v>
      </c>
      <c r="S79" s="804" t="n">
        <f aca="false">+INDEX($AC$3:$AH$86,MATCH($Q79,$AB$3:$AB$86,0),MATCH(S$2,$AC$2:$AH$2,0))</f>
        <v>0.395833333333333</v>
      </c>
      <c r="T79" s="31" t="n">
        <f aca="false">+INDEX($AC$3:$AH$86,MATCH($Q79,$AB$3:$AB$86,0),MATCH(T$2,$AC$2:$AH$2,0))</f>
        <v>0</v>
      </c>
      <c r="U79" s="31" t="n">
        <f aca="false">+INDEX($AC$3:$AH$86,MATCH($Q79,$AB$3:$AB$86,0),MATCH(U$2,$AC$2:$AH$2,0))</f>
        <v>13.5</v>
      </c>
      <c r="V79" s="804" t="n">
        <f aca="false">+INDEX($AC$3:$AH$86,MATCH($Q79,$AB$3:$AB$86,0),MATCH(V$2,$AC$2:$AH$2,0))</f>
        <v>0.5625</v>
      </c>
      <c r="W79" s="31" t="n">
        <f aca="false">IF(R79&gt;$M$2,1,IF(R79=$M$2,0,-1))</f>
        <v>1</v>
      </c>
      <c r="AA79" s="31" t="n">
        <v>77</v>
      </c>
      <c r="AB79" s="31" t="s">
        <v>1504</v>
      </c>
      <c r="AC79" s="31" t="n">
        <v>9.5</v>
      </c>
      <c r="AD79" s="804" t="n">
        <f aca="false">ABS(AC79/24)</f>
        <v>0.395833333333333</v>
      </c>
      <c r="AE79" s="31" t="n">
        <v>0</v>
      </c>
      <c r="AF79" s="31" t="n">
        <f aca="false">AC79-$M$2</f>
        <v>13.5</v>
      </c>
      <c r="AG79" s="804" t="n">
        <f aca="false">ABS(AF79/24)</f>
        <v>0.5625</v>
      </c>
      <c r="AH79" s="31" t="n">
        <f aca="false">IF(AC79&gt;$M$2,1,IF(AC79=$M$2,0,-1))</f>
        <v>1</v>
      </c>
    </row>
    <row r="80" customFormat="false" ht="15" hidden="false" customHeight="false" outlineLevel="0" collapsed="false">
      <c r="A80" s="490" t="n">
        <v>46200.9166666667</v>
      </c>
      <c r="C80" s="490" t="n">
        <f aca="false">A80+INDEX($V$3:$V$86,MATCH($C$3,$P$3:$P$86,0))*INDEX($W$3:$W$86,MATCH($C$3,$P$3:$P$86,0))</f>
        <v>46201.1666666667</v>
      </c>
      <c r="D80" s="490"/>
      <c r="E80" s="490"/>
      <c r="P80" s="31" t="n">
        <v>78</v>
      </c>
      <c r="Q80" s="31" t="s">
        <v>1505</v>
      </c>
      <c r="R80" s="31" t="n">
        <f aca="false">+INDEX($AC$3:$AH$86,MATCH($Q80,$AB$3:$AB$86,0),MATCH(R$2,$AC$2:$AH$2,0))</f>
        <v>10</v>
      </c>
      <c r="S80" s="804" t="n">
        <f aca="false">+INDEX($AC$3:$AH$86,MATCH($Q80,$AB$3:$AB$86,0),MATCH(S$2,$AC$2:$AH$2,0))</f>
        <v>0.416666666666667</v>
      </c>
      <c r="T80" s="31" t="n">
        <f aca="false">+INDEX($AC$3:$AH$86,MATCH($Q80,$AB$3:$AB$86,0),MATCH(T$2,$AC$2:$AH$2,0))</f>
        <v>0</v>
      </c>
      <c r="U80" s="31" t="n">
        <f aca="false">+INDEX($AC$3:$AH$86,MATCH($Q80,$AB$3:$AB$86,0),MATCH(U$2,$AC$2:$AH$2,0))</f>
        <v>14</v>
      </c>
      <c r="V80" s="804" t="n">
        <f aca="false">+INDEX($AC$3:$AH$86,MATCH($Q80,$AB$3:$AB$86,0),MATCH(V$2,$AC$2:$AH$2,0))</f>
        <v>0.583333333333333</v>
      </c>
      <c r="W80" s="31" t="n">
        <f aca="false">IF(R80&gt;$M$2,1,IF(R80=$M$2,0,-1))</f>
        <v>1</v>
      </c>
      <c r="AA80" s="31" t="n">
        <v>78</v>
      </c>
      <c r="AB80" s="31" t="s">
        <v>1505</v>
      </c>
      <c r="AC80" s="31" t="n">
        <v>10</v>
      </c>
      <c r="AD80" s="804" t="n">
        <f aca="false">ABS(AC80/24)</f>
        <v>0.416666666666667</v>
      </c>
      <c r="AE80" s="31" t="n">
        <v>0</v>
      </c>
      <c r="AF80" s="31" t="n">
        <f aca="false">AC80-$M$2</f>
        <v>14</v>
      </c>
      <c r="AG80" s="804" t="n">
        <f aca="false">ABS(AF80/24)</f>
        <v>0.583333333333333</v>
      </c>
      <c r="AH80" s="31" t="n">
        <f aca="false">IF(AC80&gt;$M$2,1,IF(AC80=$M$2,0,-1))</f>
        <v>1</v>
      </c>
    </row>
    <row r="81" customFormat="false" ht="15" hidden="false" customHeight="false" outlineLevel="0" collapsed="false">
      <c r="A81" s="490" t="n">
        <v>46200.9166666667</v>
      </c>
      <c r="C81" s="490" t="n">
        <f aca="false">A81+INDEX($V$3:$V$86,MATCH($C$3,$P$3:$P$86,0))*INDEX($W$3:$W$86,MATCH($C$3,$P$3:$P$86,0))</f>
        <v>46201.1666666667</v>
      </c>
      <c r="D81" s="490"/>
      <c r="E81" s="490"/>
      <c r="P81" s="31" t="n">
        <v>79</v>
      </c>
      <c r="Q81" s="31" t="s">
        <v>1506</v>
      </c>
      <c r="R81" s="31" t="n">
        <f aca="false">+INDEX($AC$3:$AH$86,MATCH($Q81,$AB$3:$AB$86,0),MATCH(R$2,$AC$2:$AH$2,0))</f>
        <v>10.5</v>
      </c>
      <c r="S81" s="804" t="n">
        <f aca="false">+INDEX($AC$3:$AH$86,MATCH($Q81,$AB$3:$AB$86,0),MATCH(S$2,$AC$2:$AH$2,0))</f>
        <v>0.4375</v>
      </c>
      <c r="T81" s="31" t="n">
        <f aca="false">+INDEX($AC$3:$AH$86,MATCH($Q81,$AB$3:$AB$86,0),MATCH(T$2,$AC$2:$AH$2,0))</f>
        <v>0</v>
      </c>
      <c r="U81" s="31" t="n">
        <f aca="false">+INDEX($AC$3:$AH$86,MATCH($Q81,$AB$3:$AB$86,0),MATCH(U$2,$AC$2:$AH$2,0))</f>
        <v>14.5</v>
      </c>
      <c r="V81" s="804" t="n">
        <f aca="false">+INDEX($AC$3:$AH$86,MATCH($Q81,$AB$3:$AB$86,0),MATCH(V$2,$AC$2:$AH$2,0))</f>
        <v>0.604166666666667</v>
      </c>
      <c r="W81" s="31" t="n">
        <f aca="false">IF(R81&gt;$M$2,1,IF(R81=$M$2,0,-1))</f>
        <v>1</v>
      </c>
      <c r="AA81" s="31" t="n">
        <v>79</v>
      </c>
      <c r="AB81" s="31" t="s">
        <v>1506</v>
      </c>
      <c r="AC81" s="31" t="n">
        <v>10.5</v>
      </c>
      <c r="AD81" s="804" t="n">
        <f aca="false">ABS(AC81/24)</f>
        <v>0.4375</v>
      </c>
      <c r="AE81" s="31" t="n">
        <v>0</v>
      </c>
      <c r="AF81" s="31" t="n">
        <f aca="false">AC81-$M$2</f>
        <v>14.5</v>
      </c>
      <c r="AG81" s="804" t="n">
        <f aca="false">ABS(AF81/24)</f>
        <v>0.604166666666667</v>
      </c>
      <c r="AH81" s="31" t="n">
        <f aca="false">IF(AC81&gt;$M$2,1,IF(AC81=$M$2,0,-1))</f>
        <v>1</v>
      </c>
    </row>
    <row r="82" customFormat="false" ht="15" hidden="false" customHeight="false" outlineLevel="0" collapsed="false">
      <c r="C82" s="490"/>
      <c r="E82" s="490"/>
      <c r="P82" s="31" t="n">
        <v>80</v>
      </c>
      <c r="Q82" s="31" t="s">
        <v>1507</v>
      </c>
      <c r="R82" s="31" t="n">
        <f aca="false">+INDEX($AC$3:$AH$86,MATCH($Q82,$AB$3:$AB$86,0),MATCH(R$2,$AC$2:$AH$2,0))</f>
        <v>11</v>
      </c>
      <c r="S82" s="804" t="n">
        <f aca="false">+INDEX($AC$3:$AH$86,MATCH($Q82,$AB$3:$AB$86,0),MATCH(S$2,$AC$2:$AH$2,0))</f>
        <v>0.458333333333333</v>
      </c>
      <c r="T82" s="31" t="n">
        <f aca="false">+INDEX($AC$3:$AH$86,MATCH($Q82,$AB$3:$AB$86,0),MATCH(T$2,$AC$2:$AH$2,0))</f>
        <v>0</v>
      </c>
      <c r="U82" s="31" t="n">
        <f aca="false">+INDEX($AC$3:$AH$86,MATCH($Q82,$AB$3:$AB$86,0),MATCH(U$2,$AC$2:$AH$2,0))</f>
        <v>15</v>
      </c>
      <c r="V82" s="804" t="n">
        <f aca="false">+INDEX($AC$3:$AH$86,MATCH($Q82,$AB$3:$AB$86,0),MATCH(V$2,$AC$2:$AH$2,0))</f>
        <v>0.625</v>
      </c>
      <c r="W82" s="31" t="n">
        <f aca="false">IF(R82&gt;$M$2,1,IF(R82=$M$2,0,-1))</f>
        <v>1</v>
      </c>
      <c r="AA82" s="31" t="n">
        <v>80</v>
      </c>
      <c r="AB82" s="31" t="s">
        <v>1507</v>
      </c>
      <c r="AC82" s="31" t="n">
        <v>11</v>
      </c>
      <c r="AD82" s="804" t="n">
        <f aca="false">ABS(AC82/24)</f>
        <v>0.458333333333333</v>
      </c>
      <c r="AE82" s="31" t="n">
        <v>0</v>
      </c>
      <c r="AF82" s="31" t="n">
        <f aca="false">AC82-$M$2</f>
        <v>15</v>
      </c>
      <c r="AG82" s="804" t="n">
        <f aca="false">ABS(AF82/24)</f>
        <v>0.625</v>
      </c>
      <c r="AH82" s="31" t="n">
        <f aca="false">IF(AC82&gt;$M$2,1,IF(AC82=$M$2,0,-1))</f>
        <v>1</v>
      </c>
    </row>
    <row r="83" customFormat="false" ht="15" hidden="false" customHeight="false" outlineLevel="0" collapsed="false">
      <c r="A83" s="30" t="s">
        <v>1508</v>
      </c>
      <c r="C83" s="490"/>
      <c r="E83" s="490"/>
      <c r="P83" s="31" t="n">
        <v>81</v>
      </c>
      <c r="Q83" s="31" t="s">
        <v>1509</v>
      </c>
      <c r="R83" s="31" t="n">
        <f aca="false">+INDEX($AC$3:$AH$86,MATCH($Q83,$AB$3:$AB$86,0),MATCH(R$2,$AC$2:$AH$2,0))</f>
        <v>12</v>
      </c>
      <c r="S83" s="804" t="n">
        <f aca="false">+INDEX($AC$3:$AH$86,MATCH($Q83,$AB$3:$AB$86,0),MATCH(S$2,$AC$2:$AH$2,0))</f>
        <v>0.5</v>
      </c>
      <c r="T83" s="31" t="n">
        <f aca="false">+INDEX($AC$3:$AH$86,MATCH($Q83,$AB$3:$AB$86,0),MATCH(T$2,$AC$2:$AH$2,0))</f>
        <v>0</v>
      </c>
      <c r="U83" s="31" t="n">
        <f aca="false">+INDEX($AC$3:$AH$86,MATCH($Q83,$AB$3:$AB$86,0),MATCH(U$2,$AC$2:$AH$2,0))</f>
        <v>16</v>
      </c>
      <c r="V83" s="804" t="n">
        <f aca="false">+INDEX($AC$3:$AH$86,MATCH($Q83,$AB$3:$AB$86,0),MATCH(V$2,$AC$2:$AH$2,0))</f>
        <v>0.666666666666667</v>
      </c>
      <c r="W83" s="31" t="n">
        <f aca="false">IF(R83&gt;$M$2,1,IF(R83=$M$2,0,-1))</f>
        <v>1</v>
      </c>
      <c r="AA83" s="31" t="n">
        <v>81</v>
      </c>
      <c r="AB83" s="31" t="s">
        <v>1509</v>
      </c>
      <c r="AC83" s="31" t="n">
        <v>12</v>
      </c>
      <c r="AD83" s="804" t="n">
        <f aca="false">ABS(AC83/24)</f>
        <v>0.5</v>
      </c>
      <c r="AE83" s="31" t="n">
        <v>0</v>
      </c>
      <c r="AF83" s="31" t="n">
        <f aca="false">AC83-$M$2</f>
        <v>16</v>
      </c>
      <c r="AG83" s="804" t="n">
        <f aca="false">ABS(AF83/24)</f>
        <v>0.666666666666667</v>
      </c>
      <c r="AH83" s="31" t="n">
        <f aca="false">IF(AC83&gt;$M$2,1,IF(AC83=$M$2,0,-1))</f>
        <v>1</v>
      </c>
    </row>
    <row r="84" customFormat="false" ht="15" hidden="false" customHeight="false" outlineLevel="0" collapsed="false">
      <c r="A84" s="490" t="n">
        <v>46190.5416666667</v>
      </c>
      <c r="C84" s="490" t="n">
        <f aca="false">A84+INDEX($V$3:$V$86,MATCH($C$3,$P$3:$P$86,0))*INDEX($W$3:$W$86,MATCH($C$3,$P$3:$P$86,0))</f>
        <v>46190.7916666667</v>
      </c>
      <c r="D84" s="490"/>
      <c r="E84" s="490"/>
      <c r="P84" s="31" t="n">
        <v>82</v>
      </c>
      <c r="Q84" s="31" t="s">
        <v>1510</v>
      </c>
      <c r="R84" s="31" t="n">
        <f aca="false">+INDEX($AC$3:$AH$86,MATCH($Q84,$AB$3:$AB$86,0),MATCH(R$2,$AC$2:$AH$2,0))</f>
        <v>12.75</v>
      </c>
      <c r="S84" s="804" t="n">
        <f aca="false">+INDEX($AC$3:$AH$86,MATCH($Q84,$AB$3:$AB$86,0),MATCH(S$2,$AC$2:$AH$2,0))</f>
        <v>0.53125</v>
      </c>
      <c r="T84" s="31" t="n">
        <f aca="false">+INDEX($AC$3:$AH$86,MATCH($Q84,$AB$3:$AB$86,0),MATCH(T$2,$AC$2:$AH$2,0))</f>
        <v>0</v>
      </c>
      <c r="U84" s="31" t="n">
        <f aca="false">+INDEX($AC$3:$AH$86,MATCH($Q84,$AB$3:$AB$86,0),MATCH(U$2,$AC$2:$AH$2,0))</f>
        <v>16.75</v>
      </c>
      <c r="V84" s="804" t="n">
        <f aca="false">+INDEX($AC$3:$AH$86,MATCH($Q84,$AB$3:$AB$86,0),MATCH(V$2,$AC$2:$AH$2,0))</f>
        <v>0.697916666666667</v>
      </c>
      <c r="W84" s="31" t="n">
        <f aca="false">IF(R84&gt;$M$2,1,IF(R84=$M$2,0,-1))</f>
        <v>1</v>
      </c>
      <c r="AA84" s="31" t="n">
        <v>82</v>
      </c>
      <c r="AB84" s="31" t="s">
        <v>1510</v>
      </c>
      <c r="AC84" s="31" t="n">
        <v>12.75</v>
      </c>
      <c r="AD84" s="804" t="n">
        <f aca="false">ABS(AC84/24)</f>
        <v>0.53125</v>
      </c>
      <c r="AE84" s="31" t="n">
        <v>0</v>
      </c>
      <c r="AF84" s="31" t="n">
        <f aca="false">AC84-$M$2</f>
        <v>16.75</v>
      </c>
      <c r="AG84" s="804" t="n">
        <f aca="false">ABS(AF84/24)</f>
        <v>0.697916666666667</v>
      </c>
      <c r="AH84" s="31" t="n">
        <f aca="false">IF(AC84&gt;$M$2,1,IF(AC84=$M$2,0,-1))</f>
        <v>1</v>
      </c>
    </row>
    <row r="85" customFormat="false" ht="15" hidden="false" customHeight="false" outlineLevel="0" collapsed="false">
      <c r="A85" s="490" t="n">
        <v>46190.9166666667</v>
      </c>
      <c r="C85" s="490" t="n">
        <f aca="false">A85+INDEX($V$3:$V$86,MATCH($C$3,$P$3:$P$86,0))*INDEX($W$3:$W$86,MATCH($C$3,$P$3:$P$86,0))</f>
        <v>46191.1666666667</v>
      </c>
      <c r="D85" s="490"/>
      <c r="E85" s="490"/>
      <c r="P85" s="31" t="n">
        <v>83</v>
      </c>
      <c r="Q85" s="31" t="s">
        <v>1511</v>
      </c>
      <c r="R85" s="31" t="n">
        <f aca="false">+INDEX($AC$3:$AH$86,MATCH($Q85,$AB$3:$AB$86,0),MATCH(R$2,$AC$2:$AH$2,0))</f>
        <v>13</v>
      </c>
      <c r="S85" s="804" t="n">
        <f aca="false">+INDEX($AC$3:$AH$86,MATCH($Q85,$AB$3:$AB$86,0),MATCH(S$2,$AC$2:$AH$2,0))</f>
        <v>0.541666666666667</v>
      </c>
      <c r="T85" s="31" t="n">
        <f aca="false">+INDEX($AC$3:$AH$86,MATCH($Q85,$AB$3:$AB$86,0),MATCH(T$2,$AC$2:$AH$2,0))</f>
        <v>0</v>
      </c>
      <c r="U85" s="31" t="n">
        <f aca="false">+INDEX($AC$3:$AH$86,MATCH($Q85,$AB$3:$AB$86,0),MATCH(U$2,$AC$2:$AH$2,0))</f>
        <v>17</v>
      </c>
      <c r="V85" s="804" t="n">
        <f aca="false">+INDEX($AC$3:$AH$86,MATCH($Q85,$AB$3:$AB$86,0),MATCH(V$2,$AC$2:$AH$2,0))</f>
        <v>0.708333333333333</v>
      </c>
      <c r="W85" s="31" t="n">
        <f aca="false">IF(R85&gt;$M$2,1,IF(R85=$M$2,0,-1))</f>
        <v>1</v>
      </c>
      <c r="AA85" s="31" t="n">
        <v>83</v>
      </c>
      <c r="AB85" s="31" t="s">
        <v>1511</v>
      </c>
      <c r="AC85" s="31" t="n">
        <v>13</v>
      </c>
      <c r="AD85" s="804" t="n">
        <f aca="false">ABS(AC85/24)</f>
        <v>0.541666666666667</v>
      </c>
      <c r="AE85" s="31" t="n">
        <v>0</v>
      </c>
      <c r="AF85" s="31" t="n">
        <f aca="false">AC85-$M$2</f>
        <v>17</v>
      </c>
      <c r="AG85" s="804" t="n">
        <f aca="false">ABS(AF85/24)</f>
        <v>0.708333333333333</v>
      </c>
      <c r="AH85" s="31" t="n">
        <f aca="false">IF(AC85&gt;$M$2,1,IF(AC85=$M$2,0,-1))</f>
        <v>1</v>
      </c>
    </row>
    <row r="86" customFormat="false" ht="15" hidden="false" customHeight="false" outlineLevel="0" collapsed="false">
      <c r="A86" s="490" t="n">
        <v>46196.5416666667</v>
      </c>
      <c r="C86" s="490" t="n">
        <f aca="false">A86+INDEX($V$3:$V$86,MATCH($C$3,$P$3:$P$86,0))*INDEX($W$3:$W$86,MATCH($C$3,$P$3:$P$86,0))</f>
        <v>46196.7916666667</v>
      </c>
      <c r="D86" s="490"/>
      <c r="E86" s="490"/>
      <c r="P86" s="31" t="n">
        <v>84</v>
      </c>
      <c r="Q86" s="31" t="s">
        <v>1512</v>
      </c>
      <c r="R86" s="31" t="n">
        <f aca="false">+INDEX($AC$3:$AH$86,MATCH($Q86,$AB$3:$AB$86,0),MATCH(R$2,$AC$2:$AH$2,0))</f>
        <v>14</v>
      </c>
      <c r="S86" s="804" t="n">
        <f aca="false">+INDEX($AC$3:$AH$86,MATCH($Q86,$AB$3:$AB$86,0),MATCH(S$2,$AC$2:$AH$2,0))</f>
        <v>0.583333333333333</v>
      </c>
      <c r="T86" s="31" t="n">
        <f aca="false">+INDEX($AC$3:$AH$86,MATCH($Q86,$AB$3:$AB$86,0),MATCH(T$2,$AC$2:$AH$2,0))</f>
        <v>0</v>
      </c>
      <c r="U86" s="31" t="n">
        <f aca="false">+INDEX($AC$3:$AH$86,MATCH($Q86,$AB$3:$AB$86,0),MATCH(U$2,$AC$2:$AH$2,0))</f>
        <v>18</v>
      </c>
      <c r="V86" s="804" t="n">
        <f aca="false">+INDEX($AC$3:$AH$86,MATCH($Q86,$AB$3:$AB$86,0),MATCH(V$2,$AC$2:$AH$2,0))</f>
        <v>0.75</v>
      </c>
      <c r="W86" s="31" t="n">
        <f aca="false">IF(R86&gt;$M$2,1,IF(R86=$M$2,0,-1))</f>
        <v>1</v>
      </c>
      <c r="AA86" s="31" t="n">
        <v>84</v>
      </c>
      <c r="AB86" s="31" t="s">
        <v>1512</v>
      </c>
      <c r="AC86" s="31" t="n">
        <v>14</v>
      </c>
      <c r="AD86" s="804" t="n">
        <f aca="false">ABS(AC86/24)</f>
        <v>0.583333333333333</v>
      </c>
      <c r="AE86" s="31" t="n">
        <v>0</v>
      </c>
      <c r="AF86" s="31" t="n">
        <f aca="false">AC86-$M$2</f>
        <v>18</v>
      </c>
      <c r="AG86" s="804" t="n">
        <f aca="false">ABS(AF86/24)</f>
        <v>0.75</v>
      </c>
      <c r="AH86" s="31" t="n">
        <f aca="false">IF(AC86&gt;$M$2,1,IF(AC86=$M$2,0,-1))</f>
        <v>1</v>
      </c>
    </row>
    <row r="87" customFormat="false" ht="15" hidden="false" customHeight="false" outlineLevel="0" collapsed="false">
      <c r="A87" s="490" t="n">
        <v>46196.9166666667</v>
      </c>
      <c r="C87" s="490" t="n">
        <f aca="false">A87+INDEX($V$3:$V$86,MATCH($C$3,$P$3:$P$86,0))*INDEX($W$3:$W$86,MATCH($C$3,$P$3:$P$86,0))</f>
        <v>46197.1666666667</v>
      </c>
    </row>
    <row r="88" customFormat="false" ht="15" hidden="false" customHeight="false" outlineLevel="0" collapsed="false">
      <c r="A88" s="490" t="n">
        <v>46200.8125</v>
      </c>
      <c r="C88" s="490" t="n">
        <f aca="false">A88+INDEX($V$3:$V$86,MATCH($C$3,$P$3:$P$86,0))*INDEX($W$3:$W$86,MATCH($C$3,$P$3:$P$86,0))</f>
        <v>46201.0625</v>
      </c>
    </row>
    <row r="89" customFormat="false" ht="15" hidden="false" customHeight="false" outlineLevel="0" collapsed="false">
      <c r="A89" s="490" t="n">
        <v>46200.8125</v>
      </c>
      <c r="C89" s="490" t="n">
        <f aca="false">A89+INDEX($V$3:$V$86,MATCH($C$3,$P$3:$P$86,0))*INDEX($W$3:$W$86,MATCH($C$3,$P$3:$P$86,0))</f>
        <v>46201.0625</v>
      </c>
    </row>
    <row r="90" customFormat="false" ht="15" hidden="false" customHeight="false" outlineLevel="0" collapsed="false">
      <c r="C90" s="490"/>
    </row>
    <row r="91" customFormat="false" ht="15" hidden="false" customHeight="false" outlineLevel="0" collapsed="false">
      <c r="A91" s="30" t="s">
        <v>1513</v>
      </c>
      <c r="C91" s="490"/>
    </row>
    <row r="92" customFormat="false" ht="15" hidden="false" customHeight="false" outlineLevel="0" collapsed="false">
      <c r="A92" s="490" t="n">
        <v>46190.6666666667</v>
      </c>
      <c r="C92" s="490" t="n">
        <f aca="false">A92+INDEX($V$3:$V$86,MATCH($C$3,$P$3:$P$86,0))*INDEX($W$3:$W$86,MATCH($C$3,$P$3:$P$86,0))</f>
        <v>46190.9166666667</v>
      </c>
    </row>
    <row r="93" customFormat="false" ht="15" hidden="false" customHeight="false" outlineLevel="0" collapsed="false">
      <c r="A93" s="490" t="n">
        <v>46190.7916666667</v>
      </c>
      <c r="C93" s="490" t="n">
        <f aca="false">A93+INDEX($V$3:$V$86,MATCH($C$3,$P$3:$P$86,0))*INDEX($W$3:$W$86,MATCH($C$3,$P$3:$P$86,0))</f>
        <v>46191.0416666667</v>
      </c>
    </row>
    <row r="94" customFormat="false" ht="15" hidden="false" customHeight="false" outlineLevel="0" collapsed="false">
      <c r="A94" s="490" t="n">
        <v>46196.6666666667</v>
      </c>
      <c r="C94" s="490" t="n">
        <f aca="false">A94+INDEX($V$3:$V$86,MATCH($C$3,$P$3:$P$86,0))*INDEX($W$3:$W$86,MATCH($C$3,$P$3:$P$86,0))</f>
        <v>46196.9166666667</v>
      </c>
    </row>
    <row r="95" customFormat="false" ht="15" hidden="false" customHeight="false" outlineLevel="0" collapsed="false">
      <c r="A95" s="490" t="n">
        <v>46196.7916666667</v>
      </c>
      <c r="C95" s="490" t="n">
        <f aca="false">A95+INDEX($V$3:$V$86,MATCH($C$3,$P$3:$P$86,0))*INDEX($W$3:$W$86,MATCH($C$3,$P$3:$P$86,0))</f>
        <v>46197.0416666667</v>
      </c>
    </row>
    <row r="96" customFormat="false" ht="15" hidden="false" customHeight="false" outlineLevel="0" collapsed="false">
      <c r="A96" s="490" t="n">
        <v>46200.7083333333</v>
      </c>
      <c r="C96" s="490" t="n">
        <f aca="false">A96+INDEX($V$3:$V$86,MATCH($C$3,$P$3:$P$86,0))*INDEX($W$3:$W$86,MATCH($C$3,$P$3:$P$86,0))</f>
        <v>46200.9583333333</v>
      </c>
    </row>
    <row r="97" customFormat="false" ht="15" hidden="false" customHeight="false" outlineLevel="0" collapsed="false">
      <c r="A97" s="490" t="n">
        <v>46200.7083333333</v>
      </c>
      <c r="C97" s="490" t="n">
        <f aca="false">A97+INDEX($V$3:$V$86,MATCH($C$3,$P$3:$P$86,0))*INDEX($W$3:$W$86,MATCH($C$3,$P$3:$P$86,0))</f>
        <v>46200.9583333333</v>
      </c>
    </row>
    <row r="100" customFormat="false" ht="15" hidden="false" customHeight="false" outlineLevel="0" collapsed="false">
      <c r="A100" s="805" t="s">
        <v>1514</v>
      </c>
      <c r="C100" s="490"/>
    </row>
    <row r="101" customFormat="false" ht="15" hidden="false" customHeight="false" outlineLevel="0" collapsed="false">
      <c r="A101" s="490" t="n">
        <v>46201.625</v>
      </c>
      <c r="C101" s="490" t="n">
        <f aca="false">A101+INDEX($V$3:$V$86,MATCH($C$3,$P$3:$P$86,0))*INDEX($W$3:$W$86,MATCH($C$3,$P$3:$P$86,0))</f>
        <v>46201.875</v>
      </c>
    </row>
    <row r="102" customFormat="false" ht="15" hidden="false" customHeight="false" outlineLevel="0" collapsed="false">
      <c r="A102" s="490" t="n">
        <v>46202.5416666667</v>
      </c>
      <c r="C102" s="490" t="n">
        <f aca="false">A102+INDEX($V$3:$V$86,MATCH($C$3,$P$3:$P$86,0))*INDEX($W$3:$W$86,MATCH($C$3,$P$3:$P$86,0))</f>
        <v>46202.7916666667</v>
      </c>
    </row>
    <row r="103" customFormat="false" ht="15" hidden="false" customHeight="false" outlineLevel="0" collapsed="false">
      <c r="A103" s="490" t="n">
        <v>46202.6875</v>
      </c>
      <c r="C103" s="490" t="n">
        <f aca="false">A103+INDEX($V$3:$V$86,MATCH($C$3,$P$3:$P$86,0))*INDEX($W$3:$W$86,MATCH($C$3,$P$3:$P$86,0))</f>
        <v>46202.9375</v>
      </c>
    </row>
    <row r="104" customFormat="false" ht="15" hidden="false" customHeight="false" outlineLevel="0" collapsed="false">
      <c r="A104" s="490" t="n">
        <v>46202.875</v>
      </c>
      <c r="C104" s="490" t="n">
        <f aca="false">A104+INDEX($V$3:$V$86,MATCH($C$3,$P$3:$P$86,0))*INDEX($W$3:$W$86,MATCH($C$3,$P$3:$P$86,0))</f>
        <v>46203.125</v>
      </c>
    </row>
    <row r="105" customFormat="false" ht="15" hidden="false" customHeight="false" outlineLevel="0" collapsed="false">
      <c r="A105" s="490" t="n">
        <v>46203.5416666667</v>
      </c>
      <c r="C105" s="490" t="n">
        <f aca="false">A105+INDEX($V$3:$V$86,MATCH($C$3,$P$3:$P$86,0))*INDEX($W$3:$W$86,MATCH($C$3,$P$3:$P$86,0))</f>
        <v>46203.7916666667</v>
      </c>
    </row>
    <row r="106" customFormat="false" ht="15" hidden="false" customHeight="false" outlineLevel="0" collapsed="false">
      <c r="A106" s="490" t="n">
        <v>46203.7083333333</v>
      </c>
      <c r="C106" s="490" t="n">
        <f aca="false">A106+INDEX($V$3:$V$86,MATCH($C$3,$P$3:$P$86,0))*INDEX($W$3:$W$86,MATCH($C$3,$P$3:$P$86,0))</f>
        <v>46203.9583333333</v>
      </c>
    </row>
    <row r="107" customFormat="false" ht="15" hidden="false" customHeight="false" outlineLevel="0" collapsed="false">
      <c r="A107" s="490" t="n">
        <v>46203.875</v>
      </c>
      <c r="C107" s="490" t="n">
        <f aca="false">A107+INDEX($V$3:$V$86,MATCH($C$3,$P$3:$P$86,0))*INDEX($W$3:$W$86,MATCH($C$3,$P$3:$P$86,0))</f>
        <v>46204.125</v>
      </c>
    </row>
    <row r="108" customFormat="false" ht="15" hidden="false" customHeight="false" outlineLevel="0" collapsed="false">
      <c r="A108" s="490" t="n">
        <v>46204.5</v>
      </c>
      <c r="C108" s="490" t="n">
        <f aca="false">A108+INDEX($V$3:$V$86,MATCH($C$3,$P$3:$P$86,0))*INDEX($W$3:$W$86,MATCH($C$3,$P$3:$P$86,0))</f>
        <v>46204.75</v>
      </c>
    </row>
    <row r="109" customFormat="false" ht="15" hidden="false" customHeight="false" outlineLevel="0" collapsed="false">
      <c r="A109" s="490" t="n">
        <v>46204.6666666667</v>
      </c>
      <c r="C109" s="490" t="n">
        <f aca="false">A109+INDEX($V$3:$V$86,MATCH($C$3,$P$3:$P$86,0))*INDEX($W$3:$W$86,MATCH($C$3,$P$3:$P$86,0))</f>
        <v>46204.9166666667</v>
      </c>
    </row>
    <row r="110" customFormat="false" ht="15" hidden="false" customHeight="false" outlineLevel="0" collapsed="false">
      <c r="A110" s="490" t="n">
        <v>46204.8333333333</v>
      </c>
      <c r="C110" s="490" t="n">
        <f aca="false">A110+INDEX($V$3:$V$86,MATCH($C$3,$P$3:$P$86,0))*INDEX($W$3:$W$86,MATCH($C$3,$P$3:$P$86,0))</f>
        <v>46205.0833333333</v>
      </c>
    </row>
    <row r="111" customFormat="false" ht="15" hidden="false" customHeight="false" outlineLevel="0" collapsed="false">
      <c r="A111" s="490" t="n">
        <v>46205.625</v>
      </c>
      <c r="C111" s="490" t="n">
        <f aca="false">A111+INDEX($V$3:$V$86,MATCH($C$3,$P$3:$P$86,0))*INDEX($W$3:$W$86,MATCH($C$3,$P$3:$P$86,0))</f>
        <v>46205.875</v>
      </c>
    </row>
    <row r="112" customFormat="false" ht="15" hidden="false" customHeight="false" outlineLevel="0" collapsed="false">
      <c r="A112" s="490" t="n">
        <v>46205.7916666667</v>
      </c>
      <c r="C112" s="490" t="n">
        <f aca="false">A112+INDEX($V$3:$V$86,MATCH($C$3,$P$3:$P$86,0))*INDEX($W$3:$W$86,MATCH($C$3,$P$3:$P$86,0))</f>
        <v>46206.0416666667</v>
      </c>
    </row>
    <row r="113" customFormat="false" ht="15" hidden="false" customHeight="false" outlineLevel="0" collapsed="false">
      <c r="A113" s="490" t="n">
        <v>46205.9583333333</v>
      </c>
      <c r="C113" s="490" t="n">
        <f aca="false">A113+INDEX($V$3:$V$86,MATCH($C$3,$P$3:$P$86,0))*INDEX($W$3:$W$86,MATCH($C$3,$P$3:$P$86,0))</f>
        <v>46206.2083333333</v>
      </c>
    </row>
    <row r="114" customFormat="false" ht="15" hidden="false" customHeight="false" outlineLevel="0" collapsed="false">
      <c r="A114" s="490" t="n">
        <v>46206.5833333333</v>
      </c>
      <c r="C114" s="490" t="n">
        <f aca="false">A114+INDEX($V$3:$V$86,MATCH($C$3,$P$3:$P$86,0))*INDEX($W$3:$W$86,MATCH($C$3,$P$3:$P$86,0))</f>
        <v>46206.8333333333</v>
      </c>
    </row>
    <row r="115" customFormat="false" ht="15" hidden="false" customHeight="false" outlineLevel="0" collapsed="false">
      <c r="A115" s="490" t="n">
        <v>46206.75</v>
      </c>
      <c r="C115" s="490" t="n">
        <f aca="false">A115+INDEX($V$3:$V$86,MATCH($C$3,$P$3:$P$86,0))*INDEX($W$3:$W$86,MATCH($C$3,$P$3:$P$86,0))</f>
        <v>46207</v>
      </c>
    </row>
    <row r="116" customFormat="false" ht="15" hidden="false" customHeight="false" outlineLevel="0" collapsed="false">
      <c r="A116" s="490" t="n">
        <v>46206.8958333333</v>
      </c>
      <c r="C116" s="490" t="n">
        <f aca="false">A116+INDEX($V$3:$V$86,MATCH($C$3,$P$3:$P$86,0))*INDEX($W$3:$W$86,MATCH($C$3,$P$3:$P$86,0))</f>
        <v>46207.1458333333</v>
      </c>
    </row>
    <row r="117" customFormat="false" ht="15" hidden="false" customHeight="false" outlineLevel="0" collapsed="false">
      <c r="C117" s="490"/>
    </row>
    <row r="118" customFormat="false" ht="15" hidden="false" customHeight="false" outlineLevel="0" collapsed="false">
      <c r="C118" s="490"/>
    </row>
    <row r="119" customFormat="false" ht="15" hidden="false" customHeight="false" outlineLevel="0" collapsed="false">
      <c r="A119" s="805" t="s">
        <v>1515</v>
      </c>
    </row>
    <row r="120" customFormat="false" ht="15" hidden="false" customHeight="false" outlineLevel="0" collapsed="false">
      <c r="A120" s="490" t="n">
        <v>46207.5416666667</v>
      </c>
      <c r="C120" s="490" t="n">
        <f aca="false">A120+INDEX($V$3:$V$86,MATCH($C$3,$P$3:$P$86,0))*INDEX($W$3:$W$86,MATCH($C$3,$P$3:$P$86,0))</f>
        <v>46207.7916666667</v>
      </c>
    </row>
    <row r="121" customFormat="false" ht="15" hidden="false" customHeight="false" outlineLevel="0" collapsed="false">
      <c r="A121" s="490" t="n">
        <v>46207.7083333333</v>
      </c>
      <c r="C121" s="490" t="n">
        <f aca="false">A121+INDEX($V$3:$V$86,MATCH($C$3,$P$3:$P$86,0))*INDEX($W$3:$W$86,MATCH($C$3,$P$3:$P$86,0))</f>
        <v>46207.9583333333</v>
      </c>
    </row>
    <row r="122" customFormat="false" ht="15" hidden="false" customHeight="false" outlineLevel="0" collapsed="false">
      <c r="A122" s="490" t="n">
        <v>46208.6666666667</v>
      </c>
      <c r="C122" s="490" t="n">
        <f aca="false">A122+INDEX($V$3:$V$86,MATCH($C$3,$P$3:$P$86,0))*INDEX($W$3:$W$86,MATCH($C$3,$P$3:$P$86,0))</f>
        <v>46208.9166666667</v>
      </c>
    </row>
    <row r="123" customFormat="false" ht="15" hidden="false" customHeight="false" outlineLevel="0" collapsed="false">
      <c r="A123" s="490" t="n">
        <v>46208.8333333333</v>
      </c>
      <c r="C123" s="490" t="n">
        <f aca="false">A123+INDEX($V$3:$V$86,MATCH($C$3,$P$3:$P$86,0))*INDEX($W$3:$W$86,MATCH($C$3,$P$3:$P$86,0))</f>
        <v>46209.0833333333</v>
      </c>
    </row>
    <row r="124" customFormat="false" ht="15" hidden="false" customHeight="false" outlineLevel="0" collapsed="false">
      <c r="A124" s="490" t="n">
        <v>46209.625</v>
      </c>
      <c r="C124" s="490" t="n">
        <f aca="false">A124+INDEX($V$3:$V$86,MATCH($C$3,$P$3:$P$86,0))*INDEX($W$3:$W$86,MATCH($C$3,$P$3:$P$86,0))</f>
        <v>46209.875</v>
      </c>
    </row>
    <row r="125" customFormat="false" ht="15" hidden="false" customHeight="false" outlineLevel="0" collapsed="false">
      <c r="A125" s="490" t="n">
        <v>46209.8333333333</v>
      </c>
      <c r="C125" s="490" t="n">
        <f aca="false">A125+INDEX($V$3:$V$86,MATCH($C$3,$P$3:$P$86,0))*INDEX($W$3:$W$86,MATCH($C$3,$P$3:$P$86,0))</f>
        <v>46210.0833333333</v>
      </c>
    </row>
    <row r="126" customFormat="false" ht="15" hidden="false" customHeight="false" outlineLevel="0" collapsed="false">
      <c r="A126" s="490" t="n">
        <v>46210.5</v>
      </c>
      <c r="C126" s="490" t="n">
        <f aca="false">A126+INDEX($V$3:$V$86,MATCH($C$3,$P$3:$P$86,0))*INDEX($W$3:$W$86,MATCH($C$3,$P$3:$P$86,0))</f>
        <v>46210.75</v>
      </c>
    </row>
    <row r="127" customFormat="false" ht="15" hidden="false" customHeight="false" outlineLevel="0" collapsed="false">
      <c r="A127" s="490" t="n">
        <v>46210.6666666667</v>
      </c>
      <c r="C127" s="490" t="n">
        <f aca="false">A127+INDEX($V$3:$V$86,MATCH($C$3,$P$3:$P$86,0))*INDEX($W$3:$W$86,MATCH($C$3,$P$3:$P$86,0))</f>
        <v>46210.9166666667</v>
      </c>
    </row>
    <row r="130" customFormat="false" ht="15" hidden="false" customHeight="false" outlineLevel="0" collapsed="false">
      <c r="A130" s="805" t="s">
        <v>1516</v>
      </c>
      <c r="C130" s="490"/>
    </row>
    <row r="131" customFormat="false" ht="15" hidden="false" customHeight="false" outlineLevel="0" collapsed="false">
      <c r="A131" s="490" t="n">
        <v>46212.6666666667</v>
      </c>
      <c r="C131" s="490" t="n">
        <f aca="false">A131+INDEX($V$3:$V$86,MATCH($C$3,$P$3:$P$86,0))*INDEX($W$3:$W$86,MATCH($C$3,$P$3:$P$86,0))</f>
        <v>46212.9166666667</v>
      </c>
    </row>
    <row r="132" customFormat="false" ht="15" hidden="false" customHeight="false" outlineLevel="0" collapsed="false">
      <c r="A132" s="490" t="n">
        <v>46213.625</v>
      </c>
      <c r="C132" s="490" t="n">
        <f aca="false">A132+INDEX($V$3:$V$86,MATCH($C$3,$P$3:$P$86,0))*INDEX($W$3:$W$86,MATCH($C$3,$P$3:$P$86,0))</f>
        <v>46213.875</v>
      </c>
    </row>
    <row r="133" customFormat="false" ht="15" hidden="false" customHeight="false" outlineLevel="0" collapsed="false">
      <c r="A133" s="490" t="n">
        <v>46214.7083333333</v>
      </c>
      <c r="C133" s="490" t="n">
        <f aca="false">A133+INDEX($V$3:$V$86,MATCH($C$3,$P$3:$P$86,0))*INDEX($W$3:$W$86,MATCH($C$3,$P$3:$P$86,0))</f>
        <v>46214.9583333333</v>
      </c>
    </row>
    <row r="134" customFormat="false" ht="15" hidden="false" customHeight="false" outlineLevel="0" collapsed="false">
      <c r="A134" s="490" t="n">
        <v>46214.875</v>
      </c>
      <c r="C134" s="490" t="n">
        <f aca="false">A134+INDEX($V$3:$V$86,MATCH($C$3,$P$3:$P$86,0))*INDEX($W$3:$W$86,MATCH($C$3,$P$3:$P$86,0))</f>
        <v>46215.125</v>
      </c>
    </row>
    <row r="135" customFormat="false" ht="15" hidden="false" customHeight="false" outlineLevel="0" collapsed="false">
      <c r="C135" s="490"/>
    </row>
    <row r="137" customFormat="false" ht="15" hidden="false" customHeight="false" outlineLevel="0" collapsed="false">
      <c r="A137" s="806" t="s">
        <v>1517</v>
      </c>
      <c r="C137" s="490"/>
    </row>
    <row r="138" customFormat="false" ht="15" hidden="false" customHeight="false" outlineLevel="0" collapsed="false">
      <c r="A138" s="490" t="n">
        <v>46217.625</v>
      </c>
      <c r="C138" s="490" t="n">
        <f aca="false">A138+INDEX($V$3:$V$86,MATCH($C$3,$P$3:$P$86,0))*INDEX($W$3:$W$86,MATCH($C$3,$P$3:$P$86,0))</f>
        <v>46217.875</v>
      </c>
    </row>
    <row r="139" customFormat="false" ht="15" hidden="false" customHeight="false" outlineLevel="0" collapsed="false">
      <c r="A139" s="490" t="n">
        <v>46218.625</v>
      </c>
      <c r="C139" s="490" t="n">
        <f aca="false">A139+INDEX($V$3:$V$86,MATCH($C$3,$P$3:$P$86,0))*INDEX($W$3:$W$86,MATCH($C$3,$P$3:$P$86,0))</f>
        <v>46218.875</v>
      </c>
    </row>
    <row r="140" customFormat="false" ht="15" hidden="false" customHeight="false" outlineLevel="0" collapsed="false">
      <c r="C140" s="490"/>
    </row>
    <row r="142" customFormat="false" ht="15" hidden="false" customHeight="false" outlineLevel="0" collapsed="false">
      <c r="A142" s="31" t="s">
        <v>229</v>
      </c>
    </row>
    <row r="143" customFormat="false" ht="15" hidden="false" customHeight="false" outlineLevel="0" collapsed="false">
      <c r="A143" s="490" t="n">
        <v>46221.7083333333</v>
      </c>
      <c r="C143" s="490" t="n">
        <f aca="false">A143+INDEX($V$3:$V$86,MATCH($C$3,$P$3:$P$86,0))*INDEX($W$3:$W$86,MATCH($C$3,$P$3:$P$86,0))</f>
        <v>46221.9583333333</v>
      </c>
    </row>
    <row r="146" customFormat="false" ht="15" hidden="false" customHeight="false" outlineLevel="0" collapsed="false">
      <c r="A146" s="807" t="s">
        <v>120</v>
      </c>
      <c r="C146" s="490"/>
    </row>
    <row r="147" customFormat="false" ht="15" hidden="false" customHeight="false" outlineLevel="0" collapsed="false">
      <c r="A147" s="490" t="n">
        <v>46222.625</v>
      </c>
      <c r="C147" s="490" t="n">
        <f aca="false">A147+INDEX($V$3:$V$86,MATCH($C$3,$P$3:$P$86,0))*INDEX($W$3:$W$86,MATCH($C$3,$P$3:$P$86,0))</f>
        <v>46222.875</v>
      </c>
    </row>
  </sheetData>
  <conditionalFormatting sqref="F4:F27">
    <cfRule type="duplicateValues" priority="2" aboveAverage="0" equalAverage="0" bottom="0" percent="0" rank="0" text="" dxfId="38"/>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10.84765625" defaultRowHeight="15" customHeight="true" zeroHeight="false" outlineLevelRow="0" outlineLevelCol="0"/>
  <cols>
    <col collapsed="false" customWidth="true" hidden="false" outlineLevel="0" max="1" min="1" style="31" width="9.42"/>
    <col collapsed="false" customWidth="true" hidden="false" outlineLevel="0" max="2" min="2" style="31" width="6"/>
    <col collapsed="false" customWidth="false" hidden="false" outlineLevel="0" max="13" min="3" style="31" width="10.85"/>
    <col collapsed="false" customWidth="true" hidden="false" outlineLevel="0" max="14" min="14" style="31" width="9.42"/>
    <col collapsed="false" customWidth="true" hidden="false" outlineLevel="0" max="15" min="15" style="31" width="6.43"/>
    <col collapsed="false" customWidth="false" hidden="false" outlineLevel="0" max="16384" min="16" style="31" width="10.85"/>
  </cols>
  <sheetData>
    <row r="1" customFormat="false" ht="15" hidden="false" customHeight="false" outlineLevel="0" collapsed="false">
      <c r="A1" s="31" t="s">
        <v>1468</v>
      </c>
      <c r="B1" s="31" t="s">
        <v>1518</v>
      </c>
      <c r="C1" s="31" t="s">
        <v>24</v>
      </c>
      <c r="D1" s="31" t="s">
        <v>84</v>
      </c>
      <c r="E1" s="31" t="s">
        <v>102</v>
      </c>
      <c r="F1" s="31" t="s">
        <v>111</v>
      </c>
      <c r="G1" s="31" t="s">
        <v>129</v>
      </c>
      <c r="H1" s="31" t="s">
        <v>134</v>
      </c>
      <c r="I1" s="31" t="s">
        <v>136</v>
      </c>
      <c r="J1" s="31" t="s">
        <v>137</v>
      </c>
      <c r="N1" s="31" t="s">
        <v>153</v>
      </c>
      <c r="O1" s="31" t="s">
        <v>1519</v>
      </c>
      <c r="P1" s="31" t="s">
        <v>78</v>
      </c>
      <c r="Q1" s="31" t="s">
        <v>82</v>
      </c>
      <c r="R1" s="31" t="s">
        <v>91</v>
      </c>
      <c r="S1" s="31" t="s">
        <v>96</v>
      </c>
      <c r="T1" s="31" t="s">
        <v>105</v>
      </c>
      <c r="U1" s="31" t="s">
        <v>114</v>
      </c>
      <c r="V1" s="31" t="s">
        <v>123</v>
      </c>
      <c r="W1" s="31" t="s">
        <v>127</v>
      </c>
    </row>
    <row r="2" customFormat="false" ht="15" hidden="false" customHeight="false" outlineLevel="0" collapsed="false">
      <c r="A2" s="31" t="s">
        <v>1520</v>
      </c>
      <c r="B2" s="31" t="n">
        <f aca="false">+IF(A2=WORLDCUP!$BI$112,1,0)</f>
        <v>0</v>
      </c>
      <c r="C2" s="31" t="str">
        <f aca="false">+WORLDCUP!BD62</f>
        <v>Ecuador</v>
      </c>
      <c r="D2" s="31" t="str">
        <f aca="false">+WORLDCUP!BD67</f>
        <v>Austria</v>
      </c>
      <c r="E2" s="31" t="str">
        <f aca="false">+WORLDCUP!BD66</f>
        <v>Irak</v>
      </c>
      <c r="F2" s="31" t="str">
        <f aca="false">+WORLDCUP!BD63</f>
        <v>Japón</v>
      </c>
      <c r="G2" s="31" t="str">
        <f aca="false">+WORLDCUP!BD65</f>
        <v>España</v>
      </c>
      <c r="H2" s="31" t="str">
        <f aca="false">+WORLDCUP!BD64</f>
        <v>Bélgica</v>
      </c>
      <c r="I2" s="31" t="str">
        <f aca="false">+WORLDCUP!BD69</f>
        <v>Ghana</v>
      </c>
      <c r="J2" s="31" t="str">
        <f aca="false">+WORLDCUP!BD68</f>
        <v>Uzbekistán</v>
      </c>
      <c r="N2" s="31" t="s">
        <v>1520</v>
      </c>
      <c r="O2" s="31" t="n">
        <v>1</v>
      </c>
      <c r="P2" s="31" t="s">
        <v>98</v>
      </c>
      <c r="Q2" s="31" t="s">
        <v>121</v>
      </c>
      <c r="R2" s="31" t="s">
        <v>116</v>
      </c>
      <c r="S2" s="31" t="s">
        <v>103</v>
      </c>
      <c r="T2" s="31" t="s">
        <v>112</v>
      </c>
      <c r="U2" s="31" t="s">
        <v>107</v>
      </c>
      <c r="V2" s="31" t="s">
        <v>130</v>
      </c>
      <c r="W2" s="31" t="s">
        <v>125</v>
      </c>
    </row>
    <row r="3" customFormat="false" ht="15" hidden="false" customHeight="false" outlineLevel="0" collapsed="false">
      <c r="A3" s="31" t="s">
        <v>1521</v>
      </c>
      <c r="B3" s="31" t="n">
        <f aca="false">+IF(A3=WORLDCUP!$BI$112,1,0)</f>
        <v>0</v>
      </c>
      <c r="C3" s="31" t="str">
        <f aca="false">+WORLDCUP!BD65</f>
        <v>España</v>
      </c>
      <c r="D3" s="31" t="str">
        <f aca="false">+WORLDCUP!BD64</f>
        <v>Bélgica</v>
      </c>
      <c r="E3" s="31" t="str">
        <f aca="false">+WORLDCUP!BD66</f>
        <v>Irak</v>
      </c>
      <c r="F3" s="31" t="str">
        <f aca="false">+WORLDCUP!BD61</f>
        <v>Turquía</v>
      </c>
      <c r="G3" s="31" t="str">
        <f aca="false">+WORLDCUP!BD67</f>
        <v>Austria</v>
      </c>
      <c r="H3" s="31" t="str">
        <f aca="false">+WORLDCUP!BD63</f>
        <v>Japón</v>
      </c>
      <c r="I3" s="31" t="str">
        <f aca="false">+WORLDCUP!BD69</f>
        <v>Ghana</v>
      </c>
      <c r="J3" s="31" t="str">
        <f aca="false">+WORLDCUP!BD68</f>
        <v>Uzbekistán</v>
      </c>
      <c r="N3" s="31" t="s">
        <v>1521</v>
      </c>
      <c r="O3" s="31" t="n">
        <v>2</v>
      </c>
      <c r="P3" s="31" t="s">
        <v>112</v>
      </c>
      <c r="Q3" s="31" t="s">
        <v>107</v>
      </c>
      <c r="R3" s="31" t="s">
        <v>116</v>
      </c>
      <c r="S3" s="31" t="s">
        <v>94</v>
      </c>
      <c r="T3" s="31" t="s">
        <v>121</v>
      </c>
      <c r="U3" s="31" t="s">
        <v>103</v>
      </c>
      <c r="V3" s="31" t="s">
        <v>130</v>
      </c>
      <c r="W3" s="31" t="s">
        <v>125</v>
      </c>
    </row>
    <row r="4" customFormat="false" ht="15" hidden="false" customHeight="false" outlineLevel="0" collapsed="false">
      <c r="A4" s="31" t="s">
        <v>1522</v>
      </c>
      <c r="B4" s="31" t="n">
        <f aca="false">+IF(A4=WORLDCUP!$BI$112,1,0)</f>
        <v>0</v>
      </c>
      <c r="C4" s="31" t="str">
        <f aca="false">+WORLDCUP!BD62</f>
        <v>Ecuador</v>
      </c>
      <c r="D4" s="31" t="str">
        <f aca="false">+WORLDCUP!BD67</f>
        <v>Austria</v>
      </c>
      <c r="E4" s="31" t="str">
        <f aca="false">+WORLDCUP!BD66</f>
        <v>Irak</v>
      </c>
      <c r="F4" s="31" t="str">
        <f aca="false">+WORLDCUP!BD61</f>
        <v>Turquía</v>
      </c>
      <c r="G4" s="31" t="str">
        <f aca="false">+WORLDCUP!BD65</f>
        <v>España</v>
      </c>
      <c r="H4" s="31" t="str">
        <f aca="false">+WORLDCUP!BD64</f>
        <v>Bélgica</v>
      </c>
      <c r="I4" s="31" t="str">
        <f aca="false">+WORLDCUP!BD69</f>
        <v>Ghana</v>
      </c>
      <c r="J4" s="31" t="str">
        <f aca="false">+WORLDCUP!BD68</f>
        <v>Uzbekistán</v>
      </c>
      <c r="N4" s="31" t="s">
        <v>1522</v>
      </c>
      <c r="O4" s="31" t="n">
        <v>3</v>
      </c>
      <c r="P4" s="31" t="s">
        <v>98</v>
      </c>
      <c r="Q4" s="31" t="s">
        <v>121</v>
      </c>
      <c r="R4" s="31" t="s">
        <v>116</v>
      </c>
      <c r="S4" s="31" t="s">
        <v>94</v>
      </c>
      <c r="T4" s="31" t="s">
        <v>112</v>
      </c>
      <c r="U4" s="31" t="s">
        <v>107</v>
      </c>
      <c r="V4" s="31" t="s">
        <v>130</v>
      </c>
      <c r="W4" s="31" t="s">
        <v>125</v>
      </c>
    </row>
    <row r="5" customFormat="false" ht="15" hidden="false" customHeight="false" outlineLevel="0" collapsed="false">
      <c r="A5" s="31" t="s">
        <v>1523</v>
      </c>
      <c r="B5" s="31" t="n">
        <f aca="false">+IF(A5=WORLDCUP!$BI$112,1,0)</f>
        <v>0</v>
      </c>
      <c r="C5" s="31" t="str">
        <f aca="false">+WORLDCUP!BD62</f>
        <v>Ecuador</v>
      </c>
      <c r="D5" s="31" t="str">
        <f aca="false">+WORLDCUP!BD67</f>
        <v>Austria</v>
      </c>
      <c r="E5" s="31" t="str">
        <f aca="false">+WORLDCUP!BD66</f>
        <v>Irak</v>
      </c>
      <c r="F5" s="31" t="str">
        <f aca="false">+WORLDCUP!BD61</f>
        <v>Turquía</v>
      </c>
      <c r="G5" s="31" t="str">
        <f aca="false">+WORLDCUP!BD65</f>
        <v>España</v>
      </c>
      <c r="H5" s="31" t="str">
        <f aca="false">+WORLDCUP!BD63</f>
        <v>Japón</v>
      </c>
      <c r="I5" s="31" t="str">
        <f aca="false">+WORLDCUP!BD69</f>
        <v>Ghana</v>
      </c>
      <c r="J5" s="31" t="str">
        <f aca="false">+WORLDCUP!BD68</f>
        <v>Uzbekistán</v>
      </c>
      <c r="N5" s="31" t="s">
        <v>1523</v>
      </c>
      <c r="O5" s="31" t="n">
        <v>4</v>
      </c>
      <c r="P5" s="31" t="s">
        <v>98</v>
      </c>
      <c r="Q5" s="31" t="s">
        <v>121</v>
      </c>
      <c r="R5" s="31" t="s">
        <v>116</v>
      </c>
      <c r="S5" s="31" t="s">
        <v>94</v>
      </c>
      <c r="T5" s="31" t="s">
        <v>112</v>
      </c>
      <c r="U5" s="31" t="s">
        <v>103</v>
      </c>
      <c r="V5" s="31" t="s">
        <v>130</v>
      </c>
      <c r="W5" s="31" t="s">
        <v>125</v>
      </c>
    </row>
    <row r="6" customFormat="false" ht="15" hidden="false" customHeight="false" outlineLevel="0" collapsed="false">
      <c r="A6" s="31" t="s">
        <v>1524</v>
      </c>
      <c r="B6" s="31" t="n">
        <f aca="false">+IF(A6=WORLDCUP!$BI$112,1,0)</f>
        <v>0</v>
      </c>
      <c r="C6" s="31" t="str">
        <f aca="false">+WORLDCUP!BD62</f>
        <v>Ecuador</v>
      </c>
      <c r="D6" s="31" t="str">
        <f aca="false">+WORLDCUP!BD64</f>
        <v>Bélgica</v>
      </c>
      <c r="E6" s="31" t="str">
        <f aca="false">+WORLDCUP!BD66</f>
        <v>Irak</v>
      </c>
      <c r="F6" s="31" t="str">
        <f aca="false">+WORLDCUP!BD61</f>
        <v>Turquía</v>
      </c>
      <c r="G6" s="31" t="str">
        <f aca="false">+WORLDCUP!BD67</f>
        <v>Austria</v>
      </c>
      <c r="H6" s="31" t="str">
        <f aca="false">+WORLDCUP!BD63</f>
        <v>Japón</v>
      </c>
      <c r="I6" s="31" t="str">
        <f aca="false">+WORLDCUP!BD69</f>
        <v>Ghana</v>
      </c>
      <c r="J6" s="31" t="str">
        <f aca="false">+WORLDCUP!BD68</f>
        <v>Uzbekistán</v>
      </c>
      <c r="N6" s="31" t="s">
        <v>1524</v>
      </c>
      <c r="O6" s="31" t="n">
        <v>5</v>
      </c>
      <c r="P6" s="31" t="s">
        <v>98</v>
      </c>
      <c r="Q6" s="31" t="s">
        <v>107</v>
      </c>
      <c r="R6" s="31" t="s">
        <v>116</v>
      </c>
      <c r="S6" s="31" t="s">
        <v>94</v>
      </c>
      <c r="T6" s="31" t="s">
        <v>121</v>
      </c>
      <c r="U6" s="31" t="s">
        <v>103</v>
      </c>
      <c r="V6" s="31" t="s">
        <v>130</v>
      </c>
      <c r="W6" s="31" t="s">
        <v>125</v>
      </c>
    </row>
    <row r="7" customFormat="false" ht="15" hidden="false" customHeight="false" outlineLevel="0" collapsed="false">
      <c r="A7" s="31" t="s">
        <v>1525</v>
      </c>
      <c r="B7" s="31" t="n">
        <f aca="false">+IF(A7=WORLDCUP!$BI$112,1,0)</f>
        <v>0</v>
      </c>
      <c r="C7" s="31" t="str">
        <f aca="false">+WORLDCUP!BD62</f>
        <v>Ecuador</v>
      </c>
      <c r="D7" s="31" t="str">
        <f aca="false">+WORLDCUP!BD64</f>
        <v>Bélgica</v>
      </c>
      <c r="E7" s="31" t="str">
        <f aca="false">+WORLDCUP!BD67</f>
        <v>Austria</v>
      </c>
      <c r="F7" s="31" t="str">
        <f aca="false">+WORLDCUP!BD61</f>
        <v>Turquía</v>
      </c>
      <c r="G7" s="31" t="str">
        <f aca="false">+WORLDCUP!BD65</f>
        <v>España</v>
      </c>
      <c r="H7" s="31" t="str">
        <f aca="false">+WORLDCUP!BD63</f>
        <v>Japón</v>
      </c>
      <c r="I7" s="31" t="str">
        <f aca="false">+WORLDCUP!BD69</f>
        <v>Ghana</v>
      </c>
      <c r="J7" s="31" t="str">
        <f aca="false">+WORLDCUP!BD68</f>
        <v>Uzbekistán</v>
      </c>
      <c r="N7" s="31" t="s">
        <v>1525</v>
      </c>
      <c r="O7" s="31" t="n">
        <v>6</v>
      </c>
      <c r="P7" s="31" t="s">
        <v>98</v>
      </c>
      <c r="Q7" s="31" t="s">
        <v>107</v>
      </c>
      <c r="R7" s="31" t="s">
        <v>121</v>
      </c>
      <c r="S7" s="31" t="s">
        <v>94</v>
      </c>
      <c r="T7" s="31" t="s">
        <v>112</v>
      </c>
      <c r="U7" s="31" t="s">
        <v>103</v>
      </c>
      <c r="V7" s="31" t="s">
        <v>130</v>
      </c>
      <c r="W7" s="31" t="s">
        <v>125</v>
      </c>
    </row>
    <row r="8" customFormat="false" ht="15" hidden="false" customHeight="false" outlineLevel="0" collapsed="false">
      <c r="A8" s="31" t="s">
        <v>1526</v>
      </c>
      <c r="B8" s="31" t="n">
        <f aca="false">+IF(A8=WORLDCUP!$BI$112,1,0)</f>
        <v>0</v>
      </c>
      <c r="C8" s="31" t="str">
        <f aca="false">+WORLDCUP!BD62</f>
        <v>Ecuador</v>
      </c>
      <c r="D8" s="31" t="str">
        <f aca="false">+WORLDCUP!BD64</f>
        <v>Bélgica</v>
      </c>
      <c r="E8" s="31" t="str">
        <f aca="false">+WORLDCUP!BD66</f>
        <v>Irak</v>
      </c>
      <c r="F8" s="31" t="str">
        <f aca="false">+WORLDCUP!BD61</f>
        <v>Turquía</v>
      </c>
      <c r="G8" s="31" t="str">
        <f aca="false">+WORLDCUP!BD65</f>
        <v>España</v>
      </c>
      <c r="H8" s="31" t="str">
        <f aca="false">+WORLDCUP!BD63</f>
        <v>Japón</v>
      </c>
      <c r="I8" s="31" t="str">
        <f aca="false">+WORLDCUP!BD69</f>
        <v>Ghana</v>
      </c>
      <c r="J8" s="31" t="str">
        <f aca="false">+WORLDCUP!BD68</f>
        <v>Uzbekistán</v>
      </c>
      <c r="N8" s="31" t="s">
        <v>1526</v>
      </c>
      <c r="O8" s="31" t="n">
        <v>7</v>
      </c>
      <c r="P8" s="31" t="s">
        <v>98</v>
      </c>
      <c r="Q8" s="31" t="s">
        <v>107</v>
      </c>
      <c r="R8" s="31" t="s">
        <v>116</v>
      </c>
      <c r="S8" s="31" t="s">
        <v>94</v>
      </c>
      <c r="T8" s="31" t="s">
        <v>112</v>
      </c>
      <c r="U8" s="31" t="s">
        <v>103</v>
      </c>
      <c r="V8" s="31" t="s">
        <v>130</v>
      </c>
      <c r="W8" s="31" t="s">
        <v>125</v>
      </c>
    </row>
    <row r="9" customFormat="false" ht="15" hidden="false" customHeight="false" outlineLevel="0" collapsed="false">
      <c r="A9" s="31" t="s">
        <v>1527</v>
      </c>
      <c r="B9" s="31" t="n">
        <f aca="false">+IF(A9=WORLDCUP!$BI$112,1,0)</f>
        <v>0</v>
      </c>
      <c r="C9" s="31" t="str">
        <f aca="false">+WORLDCUP!BD62</f>
        <v>Ecuador</v>
      </c>
      <c r="D9" s="31" t="str">
        <f aca="false">+WORLDCUP!BD64</f>
        <v>Bélgica</v>
      </c>
      <c r="E9" s="31" t="str">
        <f aca="false">+WORLDCUP!BD67</f>
        <v>Austria</v>
      </c>
      <c r="F9" s="31" t="str">
        <f aca="false">+WORLDCUP!BD61</f>
        <v>Turquía</v>
      </c>
      <c r="G9" s="31" t="str">
        <f aca="false">+WORLDCUP!BD65</f>
        <v>España</v>
      </c>
      <c r="H9" s="31" t="str">
        <f aca="false">+WORLDCUP!BD63</f>
        <v>Japón</v>
      </c>
      <c r="I9" s="31" t="str">
        <f aca="false">+WORLDCUP!BD69</f>
        <v>Ghana</v>
      </c>
      <c r="J9" s="31" t="str">
        <f aca="false">+WORLDCUP!BD66</f>
        <v>Irak</v>
      </c>
      <c r="N9" s="31" t="s">
        <v>1527</v>
      </c>
      <c r="O9" s="31" t="n">
        <v>8</v>
      </c>
      <c r="P9" s="31" t="s">
        <v>98</v>
      </c>
      <c r="Q9" s="31" t="s">
        <v>107</v>
      </c>
      <c r="R9" s="31" t="s">
        <v>121</v>
      </c>
      <c r="S9" s="31" t="s">
        <v>94</v>
      </c>
      <c r="T9" s="31" t="s">
        <v>112</v>
      </c>
      <c r="U9" s="31" t="s">
        <v>103</v>
      </c>
      <c r="V9" s="31" t="s">
        <v>130</v>
      </c>
      <c r="W9" s="31" t="s">
        <v>116</v>
      </c>
    </row>
    <row r="10" customFormat="false" ht="15" hidden="false" customHeight="false" outlineLevel="0" collapsed="false">
      <c r="A10" s="31" t="s">
        <v>1528</v>
      </c>
      <c r="B10" s="31" t="n">
        <f aca="false">+IF(A10=WORLDCUP!$BI$112,1,0)</f>
        <v>0</v>
      </c>
      <c r="C10" s="31" t="str">
        <f aca="false">+WORLDCUP!BD62</f>
        <v>Ecuador</v>
      </c>
      <c r="D10" s="31" t="str">
        <f aca="false">+WORLDCUP!BD64</f>
        <v>Bélgica</v>
      </c>
      <c r="E10" s="31" t="str">
        <f aca="false">+WORLDCUP!BD67</f>
        <v>Austria</v>
      </c>
      <c r="F10" s="31" t="str">
        <f aca="false">+WORLDCUP!BD61</f>
        <v>Turquía</v>
      </c>
      <c r="G10" s="31" t="str">
        <f aca="false">+WORLDCUP!BD65</f>
        <v>España</v>
      </c>
      <c r="H10" s="31" t="str">
        <f aca="false">+WORLDCUP!BD63</f>
        <v>Japón</v>
      </c>
      <c r="I10" s="31" t="str">
        <f aca="false">+WORLDCUP!BD66</f>
        <v>Irak</v>
      </c>
      <c r="J10" s="31" t="str">
        <f aca="false">+WORLDCUP!BD68</f>
        <v>Uzbekistán</v>
      </c>
      <c r="N10" s="31" t="s">
        <v>1528</v>
      </c>
      <c r="O10" s="31" t="n">
        <v>9</v>
      </c>
      <c r="P10" s="31" t="s">
        <v>98</v>
      </c>
      <c r="Q10" s="31" t="s">
        <v>107</v>
      </c>
      <c r="R10" s="31" t="s">
        <v>121</v>
      </c>
      <c r="S10" s="31" t="s">
        <v>94</v>
      </c>
      <c r="T10" s="31" t="s">
        <v>112</v>
      </c>
      <c r="U10" s="31" t="s">
        <v>103</v>
      </c>
      <c r="V10" s="31" t="s">
        <v>116</v>
      </c>
      <c r="W10" s="31" t="s">
        <v>125</v>
      </c>
    </row>
    <row r="11" customFormat="false" ht="15" hidden="false" customHeight="false" outlineLevel="0" collapsed="false">
      <c r="A11" s="31" t="s">
        <v>1529</v>
      </c>
      <c r="B11" s="31" t="n">
        <f aca="false">+IF(A11=WORLDCUP!$BI$112,1,0)</f>
        <v>0</v>
      </c>
      <c r="C11" s="31" t="str">
        <f aca="false">+WORLDCUP!BD65</f>
        <v>España</v>
      </c>
      <c r="D11" s="31" t="str">
        <f aca="false">+WORLDCUP!BD64</f>
        <v>Bélgica</v>
      </c>
      <c r="E11" s="31" t="str">
        <f aca="false">+WORLDCUP!BD66</f>
        <v>Irak</v>
      </c>
      <c r="F11" s="31" t="str">
        <f aca="false">+WORLDCUP!BD60</f>
        <v>Marruecos</v>
      </c>
      <c r="G11" s="31" t="str">
        <f aca="false">+WORLDCUP!BD67</f>
        <v>Austria</v>
      </c>
      <c r="H11" s="31" t="str">
        <f aca="false">+WORLDCUP!BD63</f>
        <v>Japón</v>
      </c>
      <c r="I11" s="31" t="str">
        <f aca="false">+WORLDCUP!BD69</f>
        <v>Ghana</v>
      </c>
      <c r="J11" s="31" t="str">
        <f aca="false">+WORLDCUP!BD68</f>
        <v>Uzbekistán</v>
      </c>
      <c r="N11" s="31" t="s">
        <v>1529</v>
      </c>
      <c r="O11" s="31" t="n">
        <v>10</v>
      </c>
      <c r="P11" s="31" t="s">
        <v>112</v>
      </c>
      <c r="Q11" s="31" t="s">
        <v>107</v>
      </c>
      <c r="R11" s="31" t="s">
        <v>116</v>
      </c>
      <c r="S11" s="31" t="s">
        <v>89</v>
      </c>
      <c r="T11" s="31" t="s">
        <v>121</v>
      </c>
      <c r="U11" s="31" t="s">
        <v>103</v>
      </c>
      <c r="V11" s="31" t="s">
        <v>130</v>
      </c>
      <c r="W11" s="31" t="s">
        <v>125</v>
      </c>
    </row>
    <row r="12" customFormat="false" ht="15" hidden="false" customHeight="false" outlineLevel="0" collapsed="false">
      <c r="A12" s="31" t="s">
        <v>1530</v>
      </c>
      <c r="B12" s="31" t="n">
        <f aca="false">+IF(A12=WORLDCUP!$BI$112,1,0)</f>
        <v>0</v>
      </c>
      <c r="C12" s="31" t="str">
        <f aca="false">+WORLDCUP!BD62</f>
        <v>Ecuador</v>
      </c>
      <c r="D12" s="31" t="str">
        <f aca="false">+WORLDCUP!BD67</f>
        <v>Austria</v>
      </c>
      <c r="E12" s="31" t="str">
        <f aca="false">+WORLDCUP!BD66</f>
        <v>Irak</v>
      </c>
      <c r="F12" s="31" t="str">
        <f aca="false">+WORLDCUP!BD60</f>
        <v>Marruecos</v>
      </c>
      <c r="G12" s="31" t="str">
        <f aca="false">+WORLDCUP!BD65</f>
        <v>España</v>
      </c>
      <c r="H12" s="31" t="str">
        <f aca="false">+WORLDCUP!BD64</f>
        <v>Bélgica</v>
      </c>
      <c r="I12" s="31" t="str">
        <f aca="false">+WORLDCUP!BD69</f>
        <v>Ghana</v>
      </c>
      <c r="J12" s="31" t="str">
        <f aca="false">+WORLDCUP!BD68</f>
        <v>Uzbekistán</v>
      </c>
      <c r="N12" s="31" t="s">
        <v>1530</v>
      </c>
      <c r="O12" s="31" t="n">
        <v>11</v>
      </c>
      <c r="P12" s="31" t="s">
        <v>98</v>
      </c>
      <c r="Q12" s="31" t="s">
        <v>121</v>
      </c>
      <c r="R12" s="31" t="s">
        <v>116</v>
      </c>
      <c r="S12" s="31" t="s">
        <v>89</v>
      </c>
      <c r="T12" s="31" t="s">
        <v>112</v>
      </c>
      <c r="U12" s="31" t="s">
        <v>107</v>
      </c>
      <c r="V12" s="31" t="s">
        <v>130</v>
      </c>
      <c r="W12" s="31" t="s">
        <v>125</v>
      </c>
    </row>
    <row r="13" customFormat="false" ht="15" hidden="false" customHeight="false" outlineLevel="0" collapsed="false">
      <c r="A13" s="31" t="s">
        <v>1531</v>
      </c>
      <c r="B13" s="31" t="n">
        <f aca="false">+IF(A13=WORLDCUP!$BI$112,1,0)</f>
        <v>0</v>
      </c>
      <c r="C13" s="31" t="str">
        <f aca="false">+WORLDCUP!BD62</f>
        <v>Ecuador</v>
      </c>
      <c r="D13" s="31" t="str">
        <f aca="false">+WORLDCUP!BD67</f>
        <v>Austria</v>
      </c>
      <c r="E13" s="31" t="str">
        <f aca="false">+WORLDCUP!BD66</f>
        <v>Irak</v>
      </c>
      <c r="F13" s="31" t="str">
        <f aca="false">+WORLDCUP!BD60</f>
        <v>Marruecos</v>
      </c>
      <c r="G13" s="31" t="str">
        <f aca="false">+WORLDCUP!BD65</f>
        <v>España</v>
      </c>
      <c r="H13" s="31" t="str">
        <f aca="false">+WORLDCUP!BD63</f>
        <v>Japón</v>
      </c>
      <c r="I13" s="31" t="str">
        <f aca="false">+WORLDCUP!BD69</f>
        <v>Ghana</v>
      </c>
      <c r="J13" s="31" t="str">
        <f aca="false">+WORLDCUP!BD68</f>
        <v>Uzbekistán</v>
      </c>
      <c r="N13" s="31" t="s">
        <v>1531</v>
      </c>
      <c r="O13" s="31" t="n">
        <v>12</v>
      </c>
      <c r="P13" s="31" t="s">
        <v>98</v>
      </c>
      <c r="Q13" s="31" t="s">
        <v>121</v>
      </c>
      <c r="R13" s="31" t="s">
        <v>116</v>
      </c>
      <c r="S13" s="31" t="s">
        <v>89</v>
      </c>
      <c r="T13" s="31" t="s">
        <v>112</v>
      </c>
      <c r="U13" s="31" t="s">
        <v>103</v>
      </c>
      <c r="V13" s="31" t="s">
        <v>130</v>
      </c>
      <c r="W13" s="31" t="s">
        <v>125</v>
      </c>
    </row>
    <row r="14" customFormat="false" ht="15" hidden="false" customHeight="false" outlineLevel="0" collapsed="false">
      <c r="A14" s="31" t="s">
        <v>1532</v>
      </c>
      <c r="B14" s="31" t="n">
        <f aca="false">+IF(A14=WORLDCUP!$BI$112,1,0)</f>
        <v>0</v>
      </c>
      <c r="C14" s="31" t="str">
        <f aca="false">+WORLDCUP!BD62</f>
        <v>Ecuador</v>
      </c>
      <c r="D14" s="31" t="str">
        <f aca="false">+WORLDCUP!BD64</f>
        <v>Bélgica</v>
      </c>
      <c r="E14" s="31" t="str">
        <f aca="false">+WORLDCUP!BD66</f>
        <v>Irak</v>
      </c>
      <c r="F14" s="31" t="str">
        <f aca="false">+WORLDCUP!BD60</f>
        <v>Marruecos</v>
      </c>
      <c r="G14" s="31" t="str">
        <f aca="false">+WORLDCUP!BD67</f>
        <v>Austria</v>
      </c>
      <c r="H14" s="31" t="str">
        <f aca="false">+WORLDCUP!BD63</f>
        <v>Japón</v>
      </c>
      <c r="I14" s="31" t="str">
        <f aca="false">+WORLDCUP!BD69</f>
        <v>Ghana</v>
      </c>
      <c r="J14" s="31" t="str">
        <f aca="false">+WORLDCUP!BD68</f>
        <v>Uzbekistán</v>
      </c>
      <c r="N14" s="31" t="s">
        <v>1532</v>
      </c>
      <c r="O14" s="31" t="n">
        <v>13</v>
      </c>
      <c r="P14" s="31" t="s">
        <v>98</v>
      </c>
      <c r="Q14" s="31" t="s">
        <v>107</v>
      </c>
      <c r="R14" s="31" t="s">
        <v>116</v>
      </c>
      <c r="S14" s="31" t="s">
        <v>89</v>
      </c>
      <c r="T14" s="31" t="s">
        <v>121</v>
      </c>
      <c r="U14" s="31" t="s">
        <v>103</v>
      </c>
      <c r="V14" s="31" t="s">
        <v>130</v>
      </c>
      <c r="W14" s="31" t="s">
        <v>125</v>
      </c>
    </row>
    <row r="15" customFormat="false" ht="15" hidden="false" customHeight="false" outlineLevel="0" collapsed="false">
      <c r="A15" s="31" t="s">
        <v>1533</v>
      </c>
      <c r="B15" s="31" t="n">
        <f aca="false">+IF(A15=WORLDCUP!$BI$112,1,0)</f>
        <v>0</v>
      </c>
      <c r="C15" s="31" t="str">
        <f aca="false">+WORLDCUP!BD62</f>
        <v>Ecuador</v>
      </c>
      <c r="D15" s="31" t="str">
        <f aca="false">+WORLDCUP!BD64</f>
        <v>Bélgica</v>
      </c>
      <c r="E15" s="31" t="str">
        <f aca="false">+WORLDCUP!BD67</f>
        <v>Austria</v>
      </c>
      <c r="F15" s="31" t="str">
        <f aca="false">+WORLDCUP!BD60</f>
        <v>Marruecos</v>
      </c>
      <c r="G15" s="31" t="str">
        <f aca="false">+WORLDCUP!BD65</f>
        <v>España</v>
      </c>
      <c r="H15" s="31" t="str">
        <f aca="false">+WORLDCUP!BD63</f>
        <v>Japón</v>
      </c>
      <c r="I15" s="31" t="str">
        <f aca="false">+WORLDCUP!BD69</f>
        <v>Ghana</v>
      </c>
      <c r="J15" s="31" t="str">
        <f aca="false">+WORLDCUP!BD68</f>
        <v>Uzbekistán</v>
      </c>
      <c r="N15" s="31" t="s">
        <v>1533</v>
      </c>
      <c r="O15" s="31" t="n">
        <v>14</v>
      </c>
      <c r="P15" s="31" t="s">
        <v>98</v>
      </c>
      <c r="Q15" s="31" t="s">
        <v>107</v>
      </c>
      <c r="R15" s="31" t="s">
        <v>121</v>
      </c>
      <c r="S15" s="31" t="s">
        <v>89</v>
      </c>
      <c r="T15" s="31" t="s">
        <v>112</v>
      </c>
      <c r="U15" s="31" t="s">
        <v>103</v>
      </c>
      <c r="V15" s="31" t="s">
        <v>130</v>
      </c>
      <c r="W15" s="31" t="s">
        <v>125</v>
      </c>
    </row>
    <row r="16" customFormat="false" ht="15" hidden="false" customHeight="false" outlineLevel="0" collapsed="false">
      <c r="A16" s="31" t="s">
        <v>1534</v>
      </c>
      <c r="B16" s="31" t="n">
        <f aca="false">+IF(A16=WORLDCUP!$BI$112,1,0)</f>
        <v>0</v>
      </c>
      <c r="C16" s="31" t="str">
        <f aca="false">+WORLDCUP!BD62</f>
        <v>Ecuador</v>
      </c>
      <c r="D16" s="31" t="str">
        <f aca="false">+WORLDCUP!BD64</f>
        <v>Bélgica</v>
      </c>
      <c r="E16" s="31" t="str">
        <f aca="false">+WORLDCUP!BD66</f>
        <v>Irak</v>
      </c>
      <c r="F16" s="31" t="str">
        <f aca="false">+WORLDCUP!BD60</f>
        <v>Marruecos</v>
      </c>
      <c r="G16" s="31" t="str">
        <f aca="false">+WORLDCUP!BD65</f>
        <v>España</v>
      </c>
      <c r="H16" s="31" t="str">
        <f aca="false">+WORLDCUP!BD63</f>
        <v>Japón</v>
      </c>
      <c r="I16" s="31" t="str">
        <f aca="false">+WORLDCUP!BD69</f>
        <v>Ghana</v>
      </c>
      <c r="J16" s="31" t="str">
        <f aca="false">+WORLDCUP!BD68</f>
        <v>Uzbekistán</v>
      </c>
      <c r="N16" s="31" t="s">
        <v>1534</v>
      </c>
      <c r="O16" s="31" t="n">
        <v>15</v>
      </c>
      <c r="P16" s="31" t="s">
        <v>98</v>
      </c>
      <c r="Q16" s="31" t="s">
        <v>107</v>
      </c>
      <c r="R16" s="31" t="s">
        <v>116</v>
      </c>
      <c r="S16" s="31" t="s">
        <v>89</v>
      </c>
      <c r="T16" s="31" t="s">
        <v>112</v>
      </c>
      <c r="U16" s="31" t="s">
        <v>103</v>
      </c>
      <c r="V16" s="31" t="s">
        <v>130</v>
      </c>
      <c r="W16" s="31" t="s">
        <v>125</v>
      </c>
    </row>
    <row r="17" customFormat="false" ht="15" hidden="false" customHeight="false" outlineLevel="0" collapsed="false">
      <c r="A17" s="31" t="s">
        <v>1535</v>
      </c>
      <c r="B17" s="31" t="n">
        <f aca="false">+IF(A17=WORLDCUP!$BI$112,1,0)</f>
        <v>0</v>
      </c>
      <c r="C17" s="31" t="str">
        <f aca="false">+WORLDCUP!BD62</f>
        <v>Ecuador</v>
      </c>
      <c r="D17" s="31" t="str">
        <f aca="false">+WORLDCUP!BD64</f>
        <v>Bélgica</v>
      </c>
      <c r="E17" s="31" t="str">
        <f aca="false">+WORLDCUP!BD67</f>
        <v>Austria</v>
      </c>
      <c r="F17" s="31" t="str">
        <f aca="false">+WORLDCUP!BD60</f>
        <v>Marruecos</v>
      </c>
      <c r="G17" s="31" t="str">
        <f aca="false">+WORLDCUP!BD65</f>
        <v>España</v>
      </c>
      <c r="H17" s="31" t="str">
        <f aca="false">+WORLDCUP!BD63</f>
        <v>Japón</v>
      </c>
      <c r="I17" s="31" t="str">
        <f aca="false">+WORLDCUP!BD69</f>
        <v>Ghana</v>
      </c>
      <c r="J17" s="31" t="str">
        <f aca="false">+WORLDCUP!BD66</f>
        <v>Irak</v>
      </c>
      <c r="N17" s="31" t="s">
        <v>1535</v>
      </c>
      <c r="O17" s="31" t="n">
        <v>16</v>
      </c>
      <c r="P17" s="31" t="s">
        <v>98</v>
      </c>
      <c r="Q17" s="31" t="s">
        <v>107</v>
      </c>
      <c r="R17" s="31" t="s">
        <v>121</v>
      </c>
      <c r="S17" s="31" t="s">
        <v>89</v>
      </c>
      <c r="T17" s="31" t="s">
        <v>112</v>
      </c>
      <c r="U17" s="31" t="s">
        <v>103</v>
      </c>
      <c r="V17" s="31" t="s">
        <v>130</v>
      </c>
      <c r="W17" s="31" t="s">
        <v>116</v>
      </c>
    </row>
    <row r="18" customFormat="false" ht="15" hidden="false" customHeight="false" outlineLevel="0" collapsed="false">
      <c r="A18" s="31" t="s">
        <v>1536</v>
      </c>
      <c r="B18" s="31" t="n">
        <f aca="false">+IF(A18=WORLDCUP!$BI$112,1,0)</f>
        <v>0</v>
      </c>
      <c r="C18" s="31" t="str">
        <f aca="false">+WORLDCUP!BD62</f>
        <v>Ecuador</v>
      </c>
      <c r="D18" s="31" t="str">
        <f aca="false">+WORLDCUP!BD64</f>
        <v>Bélgica</v>
      </c>
      <c r="E18" s="31" t="str">
        <f aca="false">+WORLDCUP!BD67</f>
        <v>Austria</v>
      </c>
      <c r="F18" s="31" t="str">
        <f aca="false">+WORLDCUP!BD60</f>
        <v>Marruecos</v>
      </c>
      <c r="G18" s="31" t="str">
        <f aca="false">+WORLDCUP!BD65</f>
        <v>España</v>
      </c>
      <c r="H18" s="31" t="str">
        <f aca="false">+WORLDCUP!BD63</f>
        <v>Japón</v>
      </c>
      <c r="I18" s="31" t="str">
        <f aca="false">+WORLDCUP!BD66</f>
        <v>Irak</v>
      </c>
      <c r="J18" s="31" t="str">
        <f aca="false">+WORLDCUP!BD68</f>
        <v>Uzbekistán</v>
      </c>
      <c r="N18" s="31" t="s">
        <v>1536</v>
      </c>
      <c r="O18" s="31" t="n">
        <v>17</v>
      </c>
      <c r="P18" s="31" t="s">
        <v>98</v>
      </c>
      <c r="Q18" s="31" t="s">
        <v>107</v>
      </c>
      <c r="R18" s="31" t="s">
        <v>121</v>
      </c>
      <c r="S18" s="31" t="s">
        <v>89</v>
      </c>
      <c r="T18" s="31" t="s">
        <v>112</v>
      </c>
      <c r="U18" s="31" t="s">
        <v>103</v>
      </c>
      <c r="V18" s="31" t="s">
        <v>116</v>
      </c>
      <c r="W18" s="31" t="s">
        <v>125</v>
      </c>
    </row>
    <row r="19" customFormat="false" ht="15" hidden="false" customHeight="false" outlineLevel="0" collapsed="false">
      <c r="A19" s="31" t="s">
        <v>1537</v>
      </c>
      <c r="B19" s="31" t="n">
        <f aca="false">+IF(A19=WORLDCUP!$BI$112,1,0)</f>
        <v>0</v>
      </c>
      <c r="C19" s="31" t="str">
        <f aca="false">+WORLDCUP!BD65</f>
        <v>España</v>
      </c>
      <c r="D19" s="31" t="str">
        <f aca="false">+WORLDCUP!BD64</f>
        <v>Bélgica</v>
      </c>
      <c r="E19" s="31" t="str">
        <f aca="false">+WORLDCUP!BD66</f>
        <v>Irak</v>
      </c>
      <c r="F19" s="31" t="str">
        <f aca="false">+WORLDCUP!BD60</f>
        <v>Marruecos</v>
      </c>
      <c r="G19" s="31" t="str">
        <f aca="false">+WORLDCUP!BD67</f>
        <v>Austria</v>
      </c>
      <c r="H19" s="31" t="str">
        <f aca="false">+WORLDCUP!BD61</f>
        <v>Turquía</v>
      </c>
      <c r="I19" s="31" t="str">
        <f aca="false">+WORLDCUP!BD69</f>
        <v>Ghana</v>
      </c>
      <c r="J19" s="31" t="str">
        <f aca="false">+WORLDCUP!BD68</f>
        <v>Uzbekistán</v>
      </c>
      <c r="N19" s="31" t="s">
        <v>1537</v>
      </c>
      <c r="O19" s="31" t="n">
        <v>18</v>
      </c>
      <c r="P19" s="31" t="s">
        <v>112</v>
      </c>
      <c r="Q19" s="31" t="s">
        <v>107</v>
      </c>
      <c r="R19" s="31" t="s">
        <v>116</v>
      </c>
      <c r="S19" s="31" t="s">
        <v>89</v>
      </c>
      <c r="T19" s="31" t="s">
        <v>121</v>
      </c>
      <c r="U19" s="31" t="s">
        <v>94</v>
      </c>
      <c r="V19" s="31" t="s">
        <v>130</v>
      </c>
      <c r="W19" s="31" t="s">
        <v>125</v>
      </c>
    </row>
    <row r="20" customFormat="false" ht="15" hidden="false" customHeight="false" outlineLevel="0" collapsed="false">
      <c r="A20" s="31" t="s">
        <v>1538</v>
      </c>
      <c r="B20" s="31" t="n">
        <f aca="false">+IF(A20=WORLDCUP!$BI$112,1,0)</f>
        <v>0</v>
      </c>
      <c r="C20" s="31" t="str">
        <f aca="false">+WORLDCUP!BD60</f>
        <v>Marruecos</v>
      </c>
      <c r="D20" s="31" t="str">
        <f aca="false">+WORLDCUP!BD67</f>
        <v>Austria</v>
      </c>
      <c r="E20" s="31" t="str">
        <f aca="false">+WORLDCUP!BD66</f>
        <v>Irak</v>
      </c>
      <c r="F20" s="31" t="str">
        <f aca="false">+WORLDCUP!BD61</f>
        <v>Turquía</v>
      </c>
      <c r="G20" s="31" t="str">
        <f aca="false">+WORLDCUP!BD65</f>
        <v>España</v>
      </c>
      <c r="H20" s="31" t="str">
        <f aca="false">+WORLDCUP!BD63</f>
        <v>Japón</v>
      </c>
      <c r="I20" s="31" t="str">
        <f aca="false">+WORLDCUP!BD69</f>
        <v>Ghana</v>
      </c>
      <c r="J20" s="31" t="str">
        <f aca="false">+WORLDCUP!BD68</f>
        <v>Uzbekistán</v>
      </c>
      <c r="N20" s="31" t="s">
        <v>1538</v>
      </c>
      <c r="O20" s="31" t="n">
        <v>19</v>
      </c>
      <c r="P20" s="31" t="s">
        <v>89</v>
      </c>
      <c r="Q20" s="31" t="s">
        <v>121</v>
      </c>
      <c r="R20" s="31" t="s">
        <v>116</v>
      </c>
      <c r="S20" s="31" t="s">
        <v>94</v>
      </c>
      <c r="T20" s="31" t="s">
        <v>112</v>
      </c>
      <c r="U20" s="31" t="s">
        <v>103</v>
      </c>
      <c r="V20" s="31" t="s">
        <v>130</v>
      </c>
      <c r="W20" s="31" t="s">
        <v>125</v>
      </c>
    </row>
    <row r="21" customFormat="false" ht="15" hidden="false" customHeight="false" outlineLevel="0" collapsed="false">
      <c r="A21" s="31" t="s">
        <v>1539</v>
      </c>
      <c r="B21" s="31" t="n">
        <f aca="false">+IF(A21=WORLDCUP!$BI$112,1,0)</f>
        <v>0</v>
      </c>
      <c r="C21" s="31" t="str">
        <f aca="false">+WORLDCUP!BD60</f>
        <v>Marruecos</v>
      </c>
      <c r="D21" s="31" t="str">
        <f aca="false">+WORLDCUP!BD64</f>
        <v>Bélgica</v>
      </c>
      <c r="E21" s="31" t="str">
        <f aca="false">+WORLDCUP!BD66</f>
        <v>Irak</v>
      </c>
      <c r="F21" s="31" t="str">
        <f aca="false">+WORLDCUP!BD61</f>
        <v>Turquía</v>
      </c>
      <c r="G21" s="31" t="str">
        <f aca="false">+WORLDCUP!BD67</f>
        <v>Austria</v>
      </c>
      <c r="H21" s="31" t="str">
        <f aca="false">+WORLDCUP!BD63</f>
        <v>Japón</v>
      </c>
      <c r="I21" s="31" t="str">
        <f aca="false">+WORLDCUP!BD69</f>
        <v>Ghana</v>
      </c>
      <c r="J21" s="31" t="str">
        <f aca="false">+WORLDCUP!BD68</f>
        <v>Uzbekistán</v>
      </c>
      <c r="N21" s="31" t="s">
        <v>1539</v>
      </c>
      <c r="O21" s="31" t="n">
        <v>20</v>
      </c>
      <c r="P21" s="31" t="s">
        <v>89</v>
      </c>
      <c r="Q21" s="31" t="s">
        <v>107</v>
      </c>
      <c r="R21" s="31" t="s">
        <v>116</v>
      </c>
      <c r="S21" s="31" t="s">
        <v>94</v>
      </c>
      <c r="T21" s="31" t="s">
        <v>121</v>
      </c>
      <c r="U21" s="31" t="s">
        <v>103</v>
      </c>
      <c r="V21" s="31" t="s">
        <v>130</v>
      </c>
      <c r="W21" s="31" t="s">
        <v>125</v>
      </c>
    </row>
    <row r="22" customFormat="false" ht="15" hidden="false" customHeight="false" outlineLevel="0" collapsed="false">
      <c r="A22" s="31" t="s">
        <v>1540</v>
      </c>
      <c r="B22" s="31" t="n">
        <f aca="false">+IF(A22=WORLDCUP!$BI$112,1,0)</f>
        <v>0</v>
      </c>
      <c r="C22" s="31" t="str">
        <f aca="false">+WORLDCUP!BD60</f>
        <v>Marruecos</v>
      </c>
      <c r="D22" s="31" t="str">
        <f aca="false">+WORLDCUP!BD64</f>
        <v>Bélgica</v>
      </c>
      <c r="E22" s="31" t="str">
        <f aca="false">+WORLDCUP!BD67</f>
        <v>Austria</v>
      </c>
      <c r="F22" s="31" t="str">
        <f aca="false">+WORLDCUP!BD61</f>
        <v>Turquía</v>
      </c>
      <c r="G22" s="31" t="str">
        <f aca="false">+WORLDCUP!BD65</f>
        <v>España</v>
      </c>
      <c r="H22" s="31" t="str">
        <f aca="false">+WORLDCUP!BD63</f>
        <v>Japón</v>
      </c>
      <c r="I22" s="31" t="str">
        <f aca="false">+WORLDCUP!BD69</f>
        <v>Ghana</v>
      </c>
      <c r="J22" s="31" t="str">
        <f aca="false">+WORLDCUP!BD68</f>
        <v>Uzbekistán</v>
      </c>
      <c r="N22" s="31" t="s">
        <v>1540</v>
      </c>
      <c r="O22" s="31" t="n">
        <v>21</v>
      </c>
      <c r="P22" s="31" t="s">
        <v>89</v>
      </c>
      <c r="Q22" s="31" t="s">
        <v>107</v>
      </c>
      <c r="R22" s="31" t="s">
        <v>121</v>
      </c>
      <c r="S22" s="31" t="s">
        <v>94</v>
      </c>
      <c r="T22" s="31" t="s">
        <v>112</v>
      </c>
      <c r="U22" s="31" t="s">
        <v>103</v>
      </c>
      <c r="V22" s="31" t="s">
        <v>130</v>
      </c>
      <c r="W22" s="31" t="s">
        <v>125</v>
      </c>
    </row>
    <row r="23" customFormat="false" ht="15" hidden="false" customHeight="false" outlineLevel="0" collapsed="false">
      <c r="A23" s="31" t="s">
        <v>1541</v>
      </c>
      <c r="B23" s="31" t="n">
        <f aca="false">+IF(A23=WORLDCUP!$BI$112,1,0)</f>
        <v>0</v>
      </c>
      <c r="C23" s="31" t="str">
        <f aca="false">+WORLDCUP!BD60</f>
        <v>Marruecos</v>
      </c>
      <c r="D23" s="31" t="str">
        <f aca="false">+WORLDCUP!BD64</f>
        <v>Bélgica</v>
      </c>
      <c r="E23" s="31" t="str">
        <f aca="false">+WORLDCUP!BD66</f>
        <v>Irak</v>
      </c>
      <c r="F23" s="31" t="str">
        <f aca="false">+WORLDCUP!BD61</f>
        <v>Turquía</v>
      </c>
      <c r="G23" s="31" t="str">
        <f aca="false">+WORLDCUP!BD65</f>
        <v>España</v>
      </c>
      <c r="H23" s="31" t="str">
        <f aca="false">+WORLDCUP!BD63</f>
        <v>Japón</v>
      </c>
      <c r="I23" s="31" t="str">
        <f aca="false">+WORLDCUP!BD69</f>
        <v>Ghana</v>
      </c>
      <c r="J23" s="31" t="str">
        <f aca="false">+WORLDCUP!BD68</f>
        <v>Uzbekistán</v>
      </c>
      <c r="N23" s="31" t="s">
        <v>1541</v>
      </c>
      <c r="O23" s="31" t="n">
        <v>22</v>
      </c>
      <c r="P23" s="31" t="s">
        <v>89</v>
      </c>
      <c r="Q23" s="31" t="s">
        <v>107</v>
      </c>
      <c r="R23" s="31" t="s">
        <v>116</v>
      </c>
      <c r="S23" s="31" t="s">
        <v>94</v>
      </c>
      <c r="T23" s="31" t="s">
        <v>112</v>
      </c>
      <c r="U23" s="31" t="s">
        <v>103</v>
      </c>
      <c r="V23" s="31" t="s">
        <v>130</v>
      </c>
      <c r="W23" s="31" t="s">
        <v>125</v>
      </c>
    </row>
    <row r="24" customFormat="false" ht="15" hidden="false" customHeight="false" outlineLevel="0" collapsed="false">
      <c r="A24" s="31" t="s">
        <v>1542</v>
      </c>
      <c r="B24" s="31" t="n">
        <f aca="false">+IF(A24=WORLDCUP!$BI$112,1,0)</f>
        <v>0</v>
      </c>
      <c r="C24" s="31" t="str">
        <f aca="false">+WORLDCUP!BD60</f>
        <v>Marruecos</v>
      </c>
      <c r="D24" s="31" t="str">
        <f aca="false">+WORLDCUP!BD64</f>
        <v>Bélgica</v>
      </c>
      <c r="E24" s="31" t="str">
        <f aca="false">+WORLDCUP!BD67</f>
        <v>Austria</v>
      </c>
      <c r="F24" s="31" t="str">
        <f aca="false">+WORLDCUP!BD61</f>
        <v>Turquía</v>
      </c>
      <c r="G24" s="31" t="str">
        <f aca="false">+WORLDCUP!BD65</f>
        <v>España</v>
      </c>
      <c r="H24" s="31" t="str">
        <f aca="false">+WORLDCUP!BD63</f>
        <v>Japón</v>
      </c>
      <c r="I24" s="31" t="str">
        <f aca="false">+WORLDCUP!BD69</f>
        <v>Ghana</v>
      </c>
      <c r="J24" s="31" t="str">
        <f aca="false">+WORLDCUP!BD66</f>
        <v>Irak</v>
      </c>
      <c r="N24" s="31" t="s">
        <v>1542</v>
      </c>
      <c r="O24" s="31" t="n">
        <v>23</v>
      </c>
      <c r="P24" s="31" t="s">
        <v>89</v>
      </c>
      <c r="Q24" s="31" t="s">
        <v>107</v>
      </c>
      <c r="R24" s="31" t="s">
        <v>121</v>
      </c>
      <c r="S24" s="31" t="s">
        <v>94</v>
      </c>
      <c r="T24" s="31" t="s">
        <v>112</v>
      </c>
      <c r="U24" s="31" t="s">
        <v>103</v>
      </c>
      <c r="V24" s="31" t="s">
        <v>130</v>
      </c>
      <c r="W24" s="31" t="s">
        <v>116</v>
      </c>
    </row>
    <row r="25" customFormat="false" ht="15" hidden="false" customHeight="false" outlineLevel="0" collapsed="false">
      <c r="A25" s="31" t="s">
        <v>1543</v>
      </c>
      <c r="B25" s="31" t="n">
        <f aca="false">+IF(A25=WORLDCUP!$BI$112,1,0)</f>
        <v>0</v>
      </c>
      <c r="C25" s="31" t="str">
        <f aca="false">+WORLDCUP!BD60</f>
        <v>Marruecos</v>
      </c>
      <c r="D25" s="31" t="str">
        <f aca="false">+WORLDCUP!BD64</f>
        <v>Bélgica</v>
      </c>
      <c r="E25" s="31" t="str">
        <f aca="false">+WORLDCUP!BD67</f>
        <v>Austria</v>
      </c>
      <c r="F25" s="31" t="str">
        <f aca="false">+WORLDCUP!BD61</f>
        <v>Turquía</v>
      </c>
      <c r="G25" s="31" t="str">
        <f aca="false">+WORLDCUP!BD65</f>
        <v>España</v>
      </c>
      <c r="H25" s="31" t="str">
        <f aca="false">+WORLDCUP!BD63</f>
        <v>Japón</v>
      </c>
      <c r="I25" s="31" t="str">
        <f aca="false">+WORLDCUP!BD66</f>
        <v>Irak</v>
      </c>
      <c r="J25" s="31" t="str">
        <f aca="false">+WORLDCUP!BD68</f>
        <v>Uzbekistán</v>
      </c>
      <c r="N25" s="31" t="s">
        <v>1543</v>
      </c>
      <c r="O25" s="31" t="n">
        <v>24</v>
      </c>
      <c r="P25" s="31" t="s">
        <v>89</v>
      </c>
      <c r="Q25" s="31" t="s">
        <v>107</v>
      </c>
      <c r="R25" s="31" t="s">
        <v>121</v>
      </c>
      <c r="S25" s="31" t="s">
        <v>94</v>
      </c>
      <c r="T25" s="31" t="s">
        <v>112</v>
      </c>
      <c r="U25" s="31" t="s">
        <v>103</v>
      </c>
      <c r="V25" s="31" t="s">
        <v>116</v>
      </c>
      <c r="W25" s="31" t="s">
        <v>125</v>
      </c>
    </row>
    <row r="26" customFormat="false" ht="15" hidden="false" customHeight="false" outlineLevel="0" collapsed="false">
      <c r="A26" s="31" t="s">
        <v>1544</v>
      </c>
      <c r="B26" s="31" t="n">
        <f aca="false">+IF(A26=WORLDCUP!$BI$112,1,0)</f>
        <v>0</v>
      </c>
      <c r="C26" s="31" t="str">
        <f aca="false">+WORLDCUP!BD62</f>
        <v>Ecuador</v>
      </c>
      <c r="D26" s="31" t="str">
        <f aca="false">+WORLDCUP!BD67</f>
        <v>Austria</v>
      </c>
      <c r="E26" s="31" t="str">
        <f aca="false">+WORLDCUP!BD66</f>
        <v>Irak</v>
      </c>
      <c r="F26" s="31" t="str">
        <f aca="false">+WORLDCUP!BD60</f>
        <v>Marruecos</v>
      </c>
      <c r="G26" s="31" t="str">
        <f aca="false">+WORLDCUP!BD65</f>
        <v>España</v>
      </c>
      <c r="H26" s="31" t="str">
        <f aca="false">+WORLDCUP!BD61</f>
        <v>Turquía</v>
      </c>
      <c r="I26" s="31" t="str">
        <f aca="false">+WORLDCUP!BD69</f>
        <v>Ghana</v>
      </c>
      <c r="J26" s="31" t="str">
        <f aca="false">+WORLDCUP!BD68</f>
        <v>Uzbekistán</v>
      </c>
      <c r="N26" s="31" t="s">
        <v>1544</v>
      </c>
      <c r="O26" s="31" t="n">
        <v>25</v>
      </c>
      <c r="P26" s="31" t="s">
        <v>98</v>
      </c>
      <c r="Q26" s="31" t="s">
        <v>121</v>
      </c>
      <c r="R26" s="31" t="s">
        <v>116</v>
      </c>
      <c r="S26" s="31" t="s">
        <v>89</v>
      </c>
      <c r="T26" s="31" t="s">
        <v>112</v>
      </c>
      <c r="U26" s="31" t="s">
        <v>94</v>
      </c>
      <c r="V26" s="31" t="s">
        <v>130</v>
      </c>
      <c r="W26" s="31" t="s">
        <v>125</v>
      </c>
    </row>
    <row r="27" customFormat="false" ht="15" hidden="false" customHeight="false" outlineLevel="0" collapsed="false">
      <c r="A27" s="31" t="s">
        <v>1545</v>
      </c>
      <c r="B27" s="31" t="n">
        <f aca="false">+IF(A27=WORLDCUP!$BI$112,1,0)</f>
        <v>0</v>
      </c>
      <c r="C27" s="31" t="str">
        <f aca="false">+WORLDCUP!BD62</f>
        <v>Ecuador</v>
      </c>
      <c r="D27" s="31" t="str">
        <f aca="false">+WORLDCUP!BD64</f>
        <v>Bélgica</v>
      </c>
      <c r="E27" s="31" t="str">
        <f aca="false">+WORLDCUP!BD66</f>
        <v>Irak</v>
      </c>
      <c r="F27" s="31" t="str">
        <f aca="false">+WORLDCUP!BD60</f>
        <v>Marruecos</v>
      </c>
      <c r="G27" s="31" t="str">
        <f aca="false">+WORLDCUP!BD67</f>
        <v>Austria</v>
      </c>
      <c r="H27" s="31" t="str">
        <f aca="false">+WORLDCUP!BD61</f>
        <v>Turquía</v>
      </c>
      <c r="I27" s="31" t="str">
        <f aca="false">+WORLDCUP!BD69</f>
        <v>Ghana</v>
      </c>
      <c r="J27" s="31" t="str">
        <f aca="false">+WORLDCUP!BD68</f>
        <v>Uzbekistán</v>
      </c>
      <c r="N27" s="31" t="s">
        <v>1545</v>
      </c>
      <c r="O27" s="31" t="n">
        <v>26</v>
      </c>
      <c r="P27" s="31" t="s">
        <v>98</v>
      </c>
      <c r="Q27" s="31" t="s">
        <v>107</v>
      </c>
      <c r="R27" s="31" t="s">
        <v>116</v>
      </c>
      <c r="S27" s="31" t="s">
        <v>89</v>
      </c>
      <c r="T27" s="31" t="s">
        <v>121</v>
      </c>
      <c r="U27" s="31" t="s">
        <v>94</v>
      </c>
      <c r="V27" s="31" t="s">
        <v>130</v>
      </c>
      <c r="W27" s="31" t="s">
        <v>125</v>
      </c>
    </row>
    <row r="28" customFormat="false" ht="15" hidden="false" customHeight="false" outlineLevel="0" collapsed="false">
      <c r="A28" s="31" t="s">
        <v>1546</v>
      </c>
      <c r="B28" s="31" t="n">
        <f aca="false">+IF(A28=WORLDCUP!$BI$112,1,0)</f>
        <v>0</v>
      </c>
      <c r="C28" s="31" t="str">
        <f aca="false">+WORLDCUP!BD62</f>
        <v>Ecuador</v>
      </c>
      <c r="D28" s="31" t="str">
        <f aca="false">+WORLDCUP!BD64</f>
        <v>Bélgica</v>
      </c>
      <c r="E28" s="31" t="str">
        <f aca="false">+WORLDCUP!BD67</f>
        <v>Austria</v>
      </c>
      <c r="F28" s="31" t="str">
        <f aca="false">+WORLDCUP!BD60</f>
        <v>Marruecos</v>
      </c>
      <c r="G28" s="31" t="str">
        <f aca="false">+WORLDCUP!BD65</f>
        <v>España</v>
      </c>
      <c r="H28" s="31" t="str">
        <f aca="false">+WORLDCUP!BD61</f>
        <v>Turquía</v>
      </c>
      <c r="I28" s="31" t="str">
        <f aca="false">+WORLDCUP!BD69</f>
        <v>Ghana</v>
      </c>
      <c r="J28" s="31" t="str">
        <f aca="false">+WORLDCUP!BD68</f>
        <v>Uzbekistán</v>
      </c>
      <c r="N28" s="31" t="s">
        <v>1546</v>
      </c>
      <c r="O28" s="31" t="n">
        <v>27</v>
      </c>
      <c r="P28" s="31" t="s">
        <v>98</v>
      </c>
      <c r="Q28" s="31" t="s">
        <v>107</v>
      </c>
      <c r="R28" s="31" t="s">
        <v>121</v>
      </c>
      <c r="S28" s="31" t="s">
        <v>89</v>
      </c>
      <c r="T28" s="31" t="s">
        <v>112</v>
      </c>
      <c r="U28" s="31" t="s">
        <v>94</v>
      </c>
      <c r="V28" s="31" t="s">
        <v>130</v>
      </c>
      <c r="W28" s="31" t="s">
        <v>125</v>
      </c>
    </row>
    <row r="29" customFormat="false" ht="15" hidden="false" customHeight="false" outlineLevel="0" collapsed="false">
      <c r="A29" s="31" t="s">
        <v>1547</v>
      </c>
      <c r="B29" s="31" t="n">
        <f aca="false">+IF(A29=WORLDCUP!$BI$112,1,0)</f>
        <v>0</v>
      </c>
      <c r="C29" s="31" t="str">
        <f aca="false">+WORLDCUP!BD62</f>
        <v>Ecuador</v>
      </c>
      <c r="D29" s="31" t="str">
        <f aca="false">+WORLDCUP!BD64</f>
        <v>Bélgica</v>
      </c>
      <c r="E29" s="31" t="str">
        <f aca="false">+WORLDCUP!BD66</f>
        <v>Irak</v>
      </c>
      <c r="F29" s="31" t="str">
        <f aca="false">+WORLDCUP!BD60</f>
        <v>Marruecos</v>
      </c>
      <c r="G29" s="31" t="str">
        <f aca="false">+WORLDCUP!BD65</f>
        <v>España</v>
      </c>
      <c r="H29" s="31" t="str">
        <f aca="false">+WORLDCUP!BD61</f>
        <v>Turquía</v>
      </c>
      <c r="I29" s="31" t="str">
        <f aca="false">+WORLDCUP!BD69</f>
        <v>Ghana</v>
      </c>
      <c r="J29" s="31" t="str">
        <f aca="false">+WORLDCUP!BD68</f>
        <v>Uzbekistán</v>
      </c>
      <c r="N29" s="31" t="s">
        <v>1547</v>
      </c>
      <c r="O29" s="31" t="n">
        <v>28</v>
      </c>
      <c r="P29" s="31" t="s">
        <v>98</v>
      </c>
      <c r="Q29" s="31" t="s">
        <v>107</v>
      </c>
      <c r="R29" s="31" t="s">
        <v>116</v>
      </c>
      <c r="S29" s="31" t="s">
        <v>89</v>
      </c>
      <c r="T29" s="31" t="s">
        <v>112</v>
      </c>
      <c r="U29" s="31" t="s">
        <v>94</v>
      </c>
      <c r="V29" s="31" t="s">
        <v>130</v>
      </c>
      <c r="W29" s="31" t="s">
        <v>125</v>
      </c>
    </row>
    <row r="30" customFormat="false" ht="15" hidden="false" customHeight="false" outlineLevel="0" collapsed="false">
      <c r="A30" s="31" t="s">
        <v>1548</v>
      </c>
      <c r="B30" s="31" t="n">
        <f aca="false">+IF(A30=WORLDCUP!$BI$112,1,0)</f>
        <v>0</v>
      </c>
      <c r="C30" s="31" t="str">
        <f aca="false">+WORLDCUP!BD62</f>
        <v>Ecuador</v>
      </c>
      <c r="D30" s="31" t="str">
        <f aca="false">+WORLDCUP!BD64</f>
        <v>Bélgica</v>
      </c>
      <c r="E30" s="31" t="str">
        <f aca="false">+WORLDCUP!BD67</f>
        <v>Austria</v>
      </c>
      <c r="F30" s="31" t="str">
        <f aca="false">+WORLDCUP!BD60</f>
        <v>Marruecos</v>
      </c>
      <c r="G30" s="31" t="str">
        <f aca="false">+WORLDCUP!BD65</f>
        <v>España</v>
      </c>
      <c r="H30" s="31" t="str">
        <f aca="false">+WORLDCUP!BD61</f>
        <v>Turquía</v>
      </c>
      <c r="I30" s="31" t="str">
        <f aca="false">+WORLDCUP!BD69</f>
        <v>Ghana</v>
      </c>
      <c r="J30" s="31" t="str">
        <f aca="false">+WORLDCUP!BD66</f>
        <v>Irak</v>
      </c>
      <c r="N30" s="31" t="s">
        <v>1548</v>
      </c>
      <c r="O30" s="31" t="n">
        <v>29</v>
      </c>
      <c r="P30" s="31" t="s">
        <v>98</v>
      </c>
      <c r="Q30" s="31" t="s">
        <v>107</v>
      </c>
      <c r="R30" s="31" t="s">
        <v>121</v>
      </c>
      <c r="S30" s="31" t="s">
        <v>89</v>
      </c>
      <c r="T30" s="31" t="s">
        <v>112</v>
      </c>
      <c r="U30" s="31" t="s">
        <v>94</v>
      </c>
      <c r="V30" s="31" t="s">
        <v>130</v>
      </c>
      <c r="W30" s="31" t="s">
        <v>116</v>
      </c>
    </row>
    <row r="31" customFormat="false" ht="15" hidden="false" customHeight="false" outlineLevel="0" collapsed="false">
      <c r="A31" s="31" t="s">
        <v>1549</v>
      </c>
      <c r="B31" s="31" t="n">
        <f aca="false">+IF(A31=WORLDCUP!$BI$112,1,0)</f>
        <v>0</v>
      </c>
      <c r="C31" s="31" t="str">
        <f aca="false">+WORLDCUP!BD62</f>
        <v>Ecuador</v>
      </c>
      <c r="D31" s="31" t="str">
        <f aca="false">+WORLDCUP!BD64</f>
        <v>Bélgica</v>
      </c>
      <c r="E31" s="31" t="str">
        <f aca="false">+WORLDCUP!BD67</f>
        <v>Austria</v>
      </c>
      <c r="F31" s="31" t="str">
        <f aca="false">+WORLDCUP!BD60</f>
        <v>Marruecos</v>
      </c>
      <c r="G31" s="31" t="str">
        <f aca="false">+WORLDCUP!BD65</f>
        <v>España</v>
      </c>
      <c r="H31" s="31" t="str">
        <f aca="false">+WORLDCUP!BD61</f>
        <v>Turquía</v>
      </c>
      <c r="I31" s="31" t="str">
        <f aca="false">+WORLDCUP!BD66</f>
        <v>Irak</v>
      </c>
      <c r="J31" s="31" t="str">
        <f aca="false">+WORLDCUP!BD68</f>
        <v>Uzbekistán</v>
      </c>
      <c r="N31" s="31" t="s">
        <v>1549</v>
      </c>
      <c r="O31" s="31" t="n">
        <v>30</v>
      </c>
      <c r="P31" s="31" t="s">
        <v>98</v>
      </c>
      <c r="Q31" s="31" t="s">
        <v>107</v>
      </c>
      <c r="R31" s="31" t="s">
        <v>121</v>
      </c>
      <c r="S31" s="31" t="s">
        <v>89</v>
      </c>
      <c r="T31" s="31" t="s">
        <v>112</v>
      </c>
      <c r="U31" s="31" t="s">
        <v>94</v>
      </c>
      <c r="V31" s="31" t="s">
        <v>116</v>
      </c>
      <c r="W31" s="31" t="s">
        <v>125</v>
      </c>
    </row>
    <row r="32" customFormat="false" ht="15" hidden="false" customHeight="false" outlineLevel="0" collapsed="false">
      <c r="A32" s="31" t="s">
        <v>1550</v>
      </c>
      <c r="B32" s="31" t="n">
        <f aca="false">+IF(A32=WORLDCUP!$BI$112,1,0)</f>
        <v>0</v>
      </c>
      <c r="C32" s="31" t="str">
        <f aca="false">+WORLDCUP!BD60</f>
        <v>Marruecos</v>
      </c>
      <c r="D32" s="31" t="str">
        <f aca="false">+WORLDCUP!BD67</f>
        <v>Austria</v>
      </c>
      <c r="E32" s="31" t="str">
        <f aca="false">+WORLDCUP!BD62</f>
        <v>Ecuador</v>
      </c>
      <c r="F32" s="31" t="str">
        <f aca="false">+WORLDCUP!BD61</f>
        <v>Turquía</v>
      </c>
      <c r="G32" s="31" t="str">
        <f aca="false">+WORLDCUP!BD66</f>
        <v>Irak</v>
      </c>
      <c r="H32" s="31" t="str">
        <f aca="false">+WORLDCUP!BD63</f>
        <v>Japón</v>
      </c>
      <c r="I32" s="31" t="str">
        <f aca="false">+WORLDCUP!BD69</f>
        <v>Ghana</v>
      </c>
      <c r="J32" s="31" t="str">
        <f aca="false">+WORLDCUP!BD68</f>
        <v>Uzbekistán</v>
      </c>
      <c r="N32" s="31" t="s">
        <v>1550</v>
      </c>
      <c r="O32" s="31" t="n">
        <v>31</v>
      </c>
      <c r="P32" s="31" t="s">
        <v>89</v>
      </c>
      <c r="Q32" s="31" t="s">
        <v>121</v>
      </c>
      <c r="R32" s="31" t="s">
        <v>98</v>
      </c>
      <c r="S32" s="31" t="s">
        <v>94</v>
      </c>
      <c r="T32" s="31" t="s">
        <v>116</v>
      </c>
      <c r="U32" s="31" t="s">
        <v>103</v>
      </c>
      <c r="V32" s="31" t="s">
        <v>130</v>
      </c>
      <c r="W32" s="31" t="s">
        <v>125</v>
      </c>
    </row>
    <row r="33" customFormat="false" ht="15" hidden="false" customHeight="false" outlineLevel="0" collapsed="false">
      <c r="A33" s="31" t="s">
        <v>1551</v>
      </c>
      <c r="B33" s="31" t="n">
        <f aca="false">+IF(A33=WORLDCUP!$BI$112,1,0)</f>
        <v>0</v>
      </c>
      <c r="C33" s="31" t="str">
        <f aca="false">+WORLDCUP!BD60</f>
        <v>Marruecos</v>
      </c>
      <c r="D33" s="31" t="str">
        <f aca="false">+WORLDCUP!BD67</f>
        <v>Austria</v>
      </c>
      <c r="E33" s="31" t="str">
        <f aca="false">+WORLDCUP!BD62</f>
        <v>Ecuador</v>
      </c>
      <c r="F33" s="31" t="str">
        <f aca="false">+WORLDCUP!BD61</f>
        <v>Turquía</v>
      </c>
      <c r="G33" s="31" t="str">
        <f aca="false">+WORLDCUP!BD65</f>
        <v>España</v>
      </c>
      <c r="H33" s="31" t="str">
        <f aca="false">+WORLDCUP!BD63</f>
        <v>Japón</v>
      </c>
      <c r="I33" s="31" t="str">
        <f aca="false">+WORLDCUP!BD69</f>
        <v>Ghana</v>
      </c>
      <c r="J33" s="31" t="str">
        <f aca="false">+WORLDCUP!BD68</f>
        <v>Uzbekistán</v>
      </c>
      <c r="N33" s="31" t="s">
        <v>1551</v>
      </c>
      <c r="O33" s="31" t="n">
        <v>32</v>
      </c>
      <c r="P33" s="31" t="s">
        <v>89</v>
      </c>
      <c r="Q33" s="31" t="s">
        <v>121</v>
      </c>
      <c r="R33" s="31" t="s">
        <v>98</v>
      </c>
      <c r="S33" s="31" t="s">
        <v>94</v>
      </c>
      <c r="T33" s="31" t="s">
        <v>112</v>
      </c>
      <c r="U33" s="31" t="s">
        <v>103</v>
      </c>
      <c r="V33" s="31" t="s">
        <v>130</v>
      </c>
      <c r="W33" s="31" t="s">
        <v>125</v>
      </c>
    </row>
    <row r="34" customFormat="false" ht="15" hidden="false" customHeight="false" outlineLevel="0" collapsed="false">
      <c r="A34" s="31" t="s">
        <v>1552</v>
      </c>
      <c r="B34" s="31" t="n">
        <f aca="false">+IF(A34=WORLDCUP!$BI$112,1,0)</f>
        <v>0</v>
      </c>
      <c r="C34" s="31" t="str">
        <f aca="false">+WORLDCUP!BD60</f>
        <v>Marruecos</v>
      </c>
      <c r="D34" s="31" t="str">
        <f aca="false">+WORLDCUP!BD62</f>
        <v>Ecuador</v>
      </c>
      <c r="E34" s="31" t="str">
        <f aca="false">+WORLDCUP!BD66</f>
        <v>Irak</v>
      </c>
      <c r="F34" s="31" t="str">
        <f aca="false">+WORLDCUP!BD61</f>
        <v>Turquía</v>
      </c>
      <c r="G34" s="31" t="str">
        <f aca="false">+WORLDCUP!BD65</f>
        <v>España</v>
      </c>
      <c r="H34" s="31" t="str">
        <f aca="false">+WORLDCUP!BD63</f>
        <v>Japón</v>
      </c>
      <c r="I34" s="31" t="str">
        <f aca="false">+WORLDCUP!BD69</f>
        <v>Ghana</v>
      </c>
      <c r="J34" s="31" t="str">
        <f aca="false">+WORLDCUP!BD68</f>
        <v>Uzbekistán</v>
      </c>
      <c r="N34" s="31" t="s">
        <v>1552</v>
      </c>
      <c r="O34" s="31" t="n">
        <v>33</v>
      </c>
      <c r="P34" s="31" t="s">
        <v>89</v>
      </c>
      <c r="Q34" s="31" t="s">
        <v>98</v>
      </c>
      <c r="R34" s="31" t="s">
        <v>116</v>
      </c>
      <c r="S34" s="31" t="s">
        <v>94</v>
      </c>
      <c r="T34" s="31" t="s">
        <v>112</v>
      </c>
      <c r="U34" s="31" t="s">
        <v>103</v>
      </c>
      <c r="V34" s="31" t="s">
        <v>130</v>
      </c>
      <c r="W34" s="31" t="s">
        <v>125</v>
      </c>
    </row>
    <row r="35" customFormat="false" ht="15" hidden="false" customHeight="false" outlineLevel="0" collapsed="false">
      <c r="A35" s="31" t="s">
        <v>1553</v>
      </c>
      <c r="B35" s="31" t="n">
        <f aca="false">+IF(A35=WORLDCUP!$BI$112,1,0)</f>
        <v>0</v>
      </c>
      <c r="C35" s="31" t="str">
        <f aca="false">+WORLDCUP!BD60</f>
        <v>Marruecos</v>
      </c>
      <c r="D35" s="31" t="str">
        <f aca="false">+WORLDCUP!BD67</f>
        <v>Austria</v>
      </c>
      <c r="E35" s="31" t="str">
        <f aca="false">+WORLDCUP!BD62</f>
        <v>Ecuador</v>
      </c>
      <c r="F35" s="31" t="str">
        <f aca="false">+WORLDCUP!BD61</f>
        <v>Turquía</v>
      </c>
      <c r="G35" s="31" t="str">
        <f aca="false">+WORLDCUP!BD65</f>
        <v>España</v>
      </c>
      <c r="H35" s="31" t="str">
        <f aca="false">+WORLDCUP!BD63</f>
        <v>Japón</v>
      </c>
      <c r="I35" s="31" t="str">
        <f aca="false">+WORLDCUP!BD69</f>
        <v>Ghana</v>
      </c>
      <c r="J35" s="31" t="str">
        <f aca="false">+WORLDCUP!BD66</f>
        <v>Irak</v>
      </c>
      <c r="N35" s="31" t="s">
        <v>1553</v>
      </c>
      <c r="O35" s="31" t="n">
        <v>34</v>
      </c>
      <c r="P35" s="31" t="s">
        <v>89</v>
      </c>
      <c r="Q35" s="31" t="s">
        <v>121</v>
      </c>
      <c r="R35" s="31" t="s">
        <v>98</v>
      </c>
      <c r="S35" s="31" t="s">
        <v>94</v>
      </c>
      <c r="T35" s="31" t="s">
        <v>112</v>
      </c>
      <c r="U35" s="31" t="s">
        <v>103</v>
      </c>
      <c r="V35" s="31" t="s">
        <v>130</v>
      </c>
      <c r="W35" s="31" t="s">
        <v>116</v>
      </c>
    </row>
    <row r="36" customFormat="false" ht="15" hidden="false" customHeight="false" outlineLevel="0" collapsed="false">
      <c r="A36" s="31" t="s">
        <v>1554</v>
      </c>
      <c r="B36" s="31" t="n">
        <f aca="false">+IF(A36=WORLDCUP!$BI$112,1,0)</f>
        <v>0</v>
      </c>
      <c r="C36" s="31" t="str">
        <f aca="false">+WORLDCUP!BD60</f>
        <v>Marruecos</v>
      </c>
      <c r="D36" s="31" t="str">
        <f aca="false">+WORLDCUP!BD67</f>
        <v>Austria</v>
      </c>
      <c r="E36" s="31" t="str">
        <f aca="false">+WORLDCUP!BD62</f>
        <v>Ecuador</v>
      </c>
      <c r="F36" s="31" t="str">
        <f aca="false">+WORLDCUP!BD61</f>
        <v>Turquía</v>
      </c>
      <c r="G36" s="31" t="str">
        <f aca="false">+WORLDCUP!BD65</f>
        <v>España</v>
      </c>
      <c r="H36" s="31" t="str">
        <f aca="false">+WORLDCUP!BD63</f>
        <v>Japón</v>
      </c>
      <c r="I36" s="31" t="str">
        <f aca="false">+WORLDCUP!BD66</f>
        <v>Irak</v>
      </c>
      <c r="J36" s="31" t="str">
        <f aca="false">+WORLDCUP!BD68</f>
        <v>Uzbekistán</v>
      </c>
      <c r="N36" s="31" t="s">
        <v>1554</v>
      </c>
      <c r="O36" s="31" t="n">
        <v>35</v>
      </c>
      <c r="P36" s="31" t="s">
        <v>89</v>
      </c>
      <c r="Q36" s="31" t="s">
        <v>121</v>
      </c>
      <c r="R36" s="31" t="s">
        <v>98</v>
      </c>
      <c r="S36" s="31" t="s">
        <v>94</v>
      </c>
      <c r="T36" s="31" t="s">
        <v>112</v>
      </c>
      <c r="U36" s="31" t="s">
        <v>103</v>
      </c>
      <c r="V36" s="31" t="s">
        <v>116</v>
      </c>
      <c r="W36" s="31" t="s">
        <v>125</v>
      </c>
    </row>
    <row r="37" customFormat="false" ht="15" hidden="false" customHeight="false" outlineLevel="0" collapsed="false">
      <c r="A37" s="31" t="s">
        <v>1555</v>
      </c>
      <c r="B37" s="31" t="n">
        <f aca="false">+IF(A37=WORLDCUP!$BI$112,1,0)</f>
        <v>0</v>
      </c>
      <c r="C37" s="31" t="str">
        <f aca="false">+WORLDCUP!BD60</f>
        <v>Marruecos</v>
      </c>
      <c r="D37" s="31" t="str">
        <f aca="false">+WORLDCUP!BD64</f>
        <v>Bélgica</v>
      </c>
      <c r="E37" s="31" t="str">
        <f aca="false">+WORLDCUP!BD62</f>
        <v>Ecuador</v>
      </c>
      <c r="F37" s="31" t="str">
        <f aca="false">+WORLDCUP!BD61</f>
        <v>Turquía</v>
      </c>
      <c r="G37" s="31" t="str">
        <f aca="false">+WORLDCUP!BD67</f>
        <v>Austria</v>
      </c>
      <c r="H37" s="31" t="str">
        <f aca="false">+WORLDCUP!BD63</f>
        <v>Japón</v>
      </c>
      <c r="I37" s="31" t="str">
        <f aca="false">+WORLDCUP!BD69</f>
        <v>Ghana</v>
      </c>
      <c r="J37" s="31" t="str">
        <f aca="false">+WORLDCUP!BD68</f>
        <v>Uzbekistán</v>
      </c>
      <c r="N37" s="31" t="s">
        <v>1555</v>
      </c>
      <c r="O37" s="31" t="n">
        <v>36</v>
      </c>
      <c r="P37" s="31" t="s">
        <v>89</v>
      </c>
      <c r="Q37" s="31" t="s">
        <v>107</v>
      </c>
      <c r="R37" s="31" t="s">
        <v>98</v>
      </c>
      <c r="S37" s="31" t="s">
        <v>94</v>
      </c>
      <c r="T37" s="31" t="s">
        <v>121</v>
      </c>
      <c r="U37" s="31" t="s">
        <v>103</v>
      </c>
      <c r="V37" s="31" t="s">
        <v>130</v>
      </c>
      <c r="W37" s="31" t="s">
        <v>125</v>
      </c>
    </row>
    <row r="38" customFormat="false" ht="15" hidden="false" customHeight="false" outlineLevel="0" collapsed="false">
      <c r="A38" s="31" t="s">
        <v>1556</v>
      </c>
      <c r="B38" s="31" t="n">
        <f aca="false">+IF(A38=WORLDCUP!$BI$112,1,0)</f>
        <v>0</v>
      </c>
      <c r="C38" s="31" t="str">
        <f aca="false">+WORLDCUP!BD60</f>
        <v>Marruecos</v>
      </c>
      <c r="D38" s="31" t="str">
        <f aca="false">+WORLDCUP!BD64</f>
        <v>Bélgica</v>
      </c>
      <c r="E38" s="31" t="str">
        <f aca="false">+WORLDCUP!BD62</f>
        <v>Ecuador</v>
      </c>
      <c r="F38" s="31" t="str">
        <f aca="false">+WORLDCUP!BD61</f>
        <v>Turquía</v>
      </c>
      <c r="G38" s="31" t="str">
        <f aca="false">+WORLDCUP!BD66</f>
        <v>Irak</v>
      </c>
      <c r="H38" s="31" t="str">
        <f aca="false">+WORLDCUP!BD63</f>
        <v>Japón</v>
      </c>
      <c r="I38" s="31" t="str">
        <f aca="false">+WORLDCUP!BD69</f>
        <v>Ghana</v>
      </c>
      <c r="J38" s="31" t="str">
        <f aca="false">+WORLDCUP!BD68</f>
        <v>Uzbekistán</v>
      </c>
      <c r="N38" s="31" t="s">
        <v>1556</v>
      </c>
      <c r="O38" s="31" t="n">
        <v>37</v>
      </c>
      <c r="P38" s="31" t="s">
        <v>89</v>
      </c>
      <c r="Q38" s="31" t="s">
        <v>107</v>
      </c>
      <c r="R38" s="31" t="s">
        <v>98</v>
      </c>
      <c r="S38" s="31" t="s">
        <v>94</v>
      </c>
      <c r="T38" s="31" t="s">
        <v>116</v>
      </c>
      <c r="U38" s="31" t="s">
        <v>103</v>
      </c>
      <c r="V38" s="31" t="s">
        <v>130</v>
      </c>
      <c r="W38" s="31" t="s">
        <v>125</v>
      </c>
    </row>
    <row r="39" customFormat="false" ht="15" hidden="false" customHeight="false" outlineLevel="0" collapsed="false">
      <c r="A39" s="31" t="s">
        <v>1557</v>
      </c>
      <c r="B39" s="31" t="n">
        <f aca="false">+IF(A39=WORLDCUP!$BI$112,1,0)</f>
        <v>0</v>
      </c>
      <c r="C39" s="31" t="str">
        <f aca="false">+WORLDCUP!BD60</f>
        <v>Marruecos</v>
      </c>
      <c r="D39" s="31" t="str">
        <f aca="false">+WORLDCUP!BD64</f>
        <v>Bélgica</v>
      </c>
      <c r="E39" s="31" t="str">
        <f aca="false">+WORLDCUP!BD62</f>
        <v>Ecuador</v>
      </c>
      <c r="F39" s="31" t="str">
        <f aca="false">+WORLDCUP!BD61</f>
        <v>Turquía</v>
      </c>
      <c r="G39" s="31" t="str">
        <f aca="false">+WORLDCUP!BD67</f>
        <v>Austria</v>
      </c>
      <c r="H39" s="31" t="str">
        <f aca="false">+WORLDCUP!BD63</f>
        <v>Japón</v>
      </c>
      <c r="I39" s="31" t="str">
        <f aca="false">+WORLDCUP!BD69</f>
        <v>Ghana</v>
      </c>
      <c r="J39" s="31" t="str">
        <f aca="false">+WORLDCUP!BD66</f>
        <v>Irak</v>
      </c>
      <c r="N39" s="31" t="s">
        <v>1557</v>
      </c>
      <c r="O39" s="31" t="n">
        <v>38</v>
      </c>
      <c r="P39" s="31" t="s">
        <v>89</v>
      </c>
      <c r="Q39" s="31" t="s">
        <v>107</v>
      </c>
      <c r="R39" s="31" t="s">
        <v>98</v>
      </c>
      <c r="S39" s="31" t="s">
        <v>94</v>
      </c>
      <c r="T39" s="31" t="s">
        <v>121</v>
      </c>
      <c r="U39" s="31" t="s">
        <v>103</v>
      </c>
      <c r="V39" s="31" t="s">
        <v>130</v>
      </c>
      <c r="W39" s="31" t="s">
        <v>116</v>
      </c>
    </row>
    <row r="40" customFormat="false" ht="15" hidden="false" customHeight="false" outlineLevel="0" collapsed="false">
      <c r="A40" s="31" t="s">
        <v>1558</v>
      </c>
      <c r="B40" s="31" t="n">
        <f aca="false">+IF(A40=WORLDCUP!$BI$112,1,0)</f>
        <v>0</v>
      </c>
      <c r="C40" s="31" t="str">
        <f aca="false">+WORLDCUP!BD60</f>
        <v>Marruecos</v>
      </c>
      <c r="D40" s="31" t="str">
        <f aca="false">+WORLDCUP!BD64</f>
        <v>Bélgica</v>
      </c>
      <c r="E40" s="31" t="str">
        <f aca="false">+WORLDCUP!BD62</f>
        <v>Ecuador</v>
      </c>
      <c r="F40" s="31" t="str">
        <f aca="false">+WORLDCUP!BD61</f>
        <v>Turquía</v>
      </c>
      <c r="G40" s="31" t="str">
        <f aca="false">+WORLDCUP!BD67</f>
        <v>Austria</v>
      </c>
      <c r="H40" s="31" t="str">
        <f aca="false">+WORLDCUP!BD63</f>
        <v>Japón</v>
      </c>
      <c r="I40" s="31" t="str">
        <f aca="false">+WORLDCUP!BD66</f>
        <v>Irak</v>
      </c>
      <c r="J40" s="31" t="str">
        <f aca="false">+WORLDCUP!BD68</f>
        <v>Uzbekistán</v>
      </c>
      <c r="N40" s="31" t="s">
        <v>1558</v>
      </c>
      <c r="O40" s="31" t="n">
        <v>39</v>
      </c>
      <c r="P40" s="31" t="s">
        <v>89</v>
      </c>
      <c r="Q40" s="31" t="s">
        <v>107</v>
      </c>
      <c r="R40" s="31" t="s">
        <v>98</v>
      </c>
      <c r="S40" s="31" t="s">
        <v>94</v>
      </c>
      <c r="T40" s="31" t="s">
        <v>121</v>
      </c>
      <c r="U40" s="31" t="s">
        <v>103</v>
      </c>
      <c r="V40" s="31" t="s">
        <v>116</v>
      </c>
      <c r="W40" s="31" t="s">
        <v>125</v>
      </c>
    </row>
    <row r="41" customFormat="false" ht="15" hidden="false" customHeight="false" outlineLevel="0" collapsed="false">
      <c r="A41" s="31" t="s">
        <v>1559</v>
      </c>
      <c r="B41" s="31" t="n">
        <f aca="false">+IF(A41=WORLDCUP!$BI$112,1,0)</f>
        <v>0</v>
      </c>
      <c r="C41" s="31" t="str">
        <f aca="false">+WORLDCUP!BD60</f>
        <v>Marruecos</v>
      </c>
      <c r="D41" s="31" t="str">
        <f aca="false">+WORLDCUP!BD64</f>
        <v>Bélgica</v>
      </c>
      <c r="E41" s="31" t="str">
        <f aca="false">+WORLDCUP!BD62</f>
        <v>Ecuador</v>
      </c>
      <c r="F41" s="31" t="str">
        <f aca="false">+WORLDCUP!BD61</f>
        <v>Turquía</v>
      </c>
      <c r="G41" s="31" t="str">
        <f aca="false">+WORLDCUP!BD65</f>
        <v>España</v>
      </c>
      <c r="H41" s="31" t="str">
        <f aca="false">+WORLDCUP!BD63</f>
        <v>Japón</v>
      </c>
      <c r="I41" s="31" t="str">
        <f aca="false">+WORLDCUP!BD69</f>
        <v>Ghana</v>
      </c>
      <c r="J41" s="31" t="str">
        <f aca="false">+WORLDCUP!BD68</f>
        <v>Uzbekistán</v>
      </c>
      <c r="N41" s="31" t="s">
        <v>1559</v>
      </c>
      <c r="O41" s="31" t="n">
        <v>40</v>
      </c>
      <c r="P41" s="31" t="s">
        <v>89</v>
      </c>
      <c r="Q41" s="31" t="s">
        <v>107</v>
      </c>
      <c r="R41" s="31" t="s">
        <v>98</v>
      </c>
      <c r="S41" s="31" t="s">
        <v>94</v>
      </c>
      <c r="T41" s="31" t="s">
        <v>112</v>
      </c>
      <c r="U41" s="31" t="s">
        <v>103</v>
      </c>
      <c r="V41" s="31" t="s">
        <v>130</v>
      </c>
      <c r="W41" s="31" t="s">
        <v>125</v>
      </c>
    </row>
    <row r="42" customFormat="false" ht="15" hidden="false" customHeight="false" outlineLevel="0" collapsed="false">
      <c r="A42" s="31" t="s">
        <v>1560</v>
      </c>
      <c r="B42" s="31" t="n">
        <f aca="false">+IF(A42=WORLDCUP!$BI$112,1,0)</f>
        <v>0</v>
      </c>
      <c r="C42" s="31" t="str">
        <f aca="false">+WORLDCUP!BD60</f>
        <v>Marruecos</v>
      </c>
      <c r="D42" s="31" t="str">
        <f aca="false">+WORLDCUP!BD64</f>
        <v>Bélgica</v>
      </c>
      <c r="E42" s="31" t="str">
        <f aca="false">+WORLDCUP!BD67</f>
        <v>Austria</v>
      </c>
      <c r="F42" s="31" t="str">
        <f aca="false">+WORLDCUP!BD61</f>
        <v>Turquía</v>
      </c>
      <c r="G42" s="31" t="str">
        <f aca="false">+WORLDCUP!BD65</f>
        <v>España</v>
      </c>
      <c r="H42" s="31" t="str">
        <f aca="false">+WORLDCUP!BD63</f>
        <v>Japón</v>
      </c>
      <c r="I42" s="31" t="str">
        <f aca="false">+WORLDCUP!BD69</f>
        <v>Ghana</v>
      </c>
      <c r="J42" s="31" t="str">
        <f aca="false">+WORLDCUP!BD62</f>
        <v>Ecuador</v>
      </c>
      <c r="N42" s="31" t="s">
        <v>1560</v>
      </c>
      <c r="O42" s="31" t="n">
        <v>41</v>
      </c>
      <c r="P42" s="31" t="s">
        <v>89</v>
      </c>
      <c r="Q42" s="31" t="s">
        <v>107</v>
      </c>
      <c r="R42" s="31" t="s">
        <v>121</v>
      </c>
      <c r="S42" s="31" t="s">
        <v>94</v>
      </c>
      <c r="T42" s="31" t="s">
        <v>112</v>
      </c>
      <c r="U42" s="31" t="s">
        <v>103</v>
      </c>
      <c r="V42" s="31" t="s">
        <v>130</v>
      </c>
      <c r="W42" s="31" t="s">
        <v>98</v>
      </c>
    </row>
    <row r="43" customFormat="false" ht="15" hidden="false" customHeight="false" outlineLevel="0" collapsed="false">
      <c r="A43" s="31" t="s">
        <v>1561</v>
      </c>
      <c r="B43" s="31" t="n">
        <f aca="false">+IF(A43=WORLDCUP!$BI$112,1,0)</f>
        <v>0</v>
      </c>
      <c r="C43" s="31" t="str">
        <f aca="false">+WORLDCUP!BD60</f>
        <v>Marruecos</v>
      </c>
      <c r="D43" s="31" t="str">
        <f aca="false">+WORLDCUP!BD64</f>
        <v>Bélgica</v>
      </c>
      <c r="E43" s="31" t="str">
        <f aca="false">+WORLDCUP!BD67</f>
        <v>Austria</v>
      </c>
      <c r="F43" s="31" t="str">
        <f aca="false">+WORLDCUP!BD61</f>
        <v>Turquía</v>
      </c>
      <c r="G43" s="31" t="str">
        <f aca="false">+WORLDCUP!BD65</f>
        <v>España</v>
      </c>
      <c r="H43" s="31" t="str">
        <f aca="false">+WORLDCUP!BD63</f>
        <v>Japón</v>
      </c>
      <c r="I43" s="31" t="str">
        <f aca="false">+WORLDCUP!BD62</f>
        <v>Ecuador</v>
      </c>
      <c r="J43" s="31" t="str">
        <f aca="false">+WORLDCUP!BD68</f>
        <v>Uzbekistán</v>
      </c>
      <c r="N43" s="31" t="s">
        <v>1561</v>
      </c>
      <c r="O43" s="31" t="n">
        <v>42</v>
      </c>
      <c r="P43" s="31" t="s">
        <v>89</v>
      </c>
      <c r="Q43" s="31" t="s">
        <v>107</v>
      </c>
      <c r="R43" s="31" t="s">
        <v>121</v>
      </c>
      <c r="S43" s="31" t="s">
        <v>94</v>
      </c>
      <c r="T43" s="31" t="s">
        <v>112</v>
      </c>
      <c r="U43" s="31" t="s">
        <v>103</v>
      </c>
      <c r="V43" s="31" t="s">
        <v>98</v>
      </c>
      <c r="W43" s="31" t="s">
        <v>125</v>
      </c>
    </row>
    <row r="44" customFormat="false" ht="15" hidden="false" customHeight="false" outlineLevel="0" collapsed="false">
      <c r="A44" s="31" t="s">
        <v>1562</v>
      </c>
      <c r="B44" s="31" t="n">
        <f aca="false">+IF(A44=WORLDCUP!$BI$112,1,0)</f>
        <v>0</v>
      </c>
      <c r="C44" s="31" t="str">
        <f aca="false">+WORLDCUP!BD60</f>
        <v>Marruecos</v>
      </c>
      <c r="D44" s="31" t="str">
        <f aca="false">+WORLDCUP!BD64</f>
        <v>Bélgica</v>
      </c>
      <c r="E44" s="31" t="str">
        <f aca="false">+WORLDCUP!BD62</f>
        <v>Ecuador</v>
      </c>
      <c r="F44" s="31" t="str">
        <f aca="false">+WORLDCUP!BD61</f>
        <v>Turquía</v>
      </c>
      <c r="G44" s="31" t="str">
        <f aca="false">+WORLDCUP!BD65</f>
        <v>España</v>
      </c>
      <c r="H44" s="31" t="str">
        <f aca="false">+WORLDCUP!BD63</f>
        <v>Japón</v>
      </c>
      <c r="I44" s="31" t="str">
        <f aca="false">+WORLDCUP!BD69</f>
        <v>Ghana</v>
      </c>
      <c r="J44" s="31" t="str">
        <f aca="false">+WORLDCUP!BD66</f>
        <v>Irak</v>
      </c>
      <c r="N44" s="31" t="s">
        <v>1562</v>
      </c>
      <c r="O44" s="31" t="n">
        <v>43</v>
      </c>
      <c r="P44" s="31" t="s">
        <v>89</v>
      </c>
      <c r="Q44" s="31" t="s">
        <v>107</v>
      </c>
      <c r="R44" s="31" t="s">
        <v>98</v>
      </c>
      <c r="S44" s="31" t="s">
        <v>94</v>
      </c>
      <c r="T44" s="31" t="s">
        <v>112</v>
      </c>
      <c r="U44" s="31" t="s">
        <v>103</v>
      </c>
      <c r="V44" s="31" t="s">
        <v>130</v>
      </c>
      <c r="W44" s="31" t="s">
        <v>116</v>
      </c>
    </row>
    <row r="45" customFormat="false" ht="15" hidden="false" customHeight="false" outlineLevel="0" collapsed="false">
      <c r="A45" s="31" t="s">
        <v>1563</v>
      </c>
      <c r="B45" s="31" t="n">
        <f aca="false">+IF(A45=WORLDCUP!$BI$112,1,0)</f>
        <v>0</v>
      </c>
      <c r="C45" s="31" t="str">
        <f aca="false">+WORLDCUP!BD60</f>
        <v>Marruecos</v>
      </c>
      <c r="D45" s="31" t="str">
        <f aca="false">+WORLDCUP!BD64</f>
        <v>Bélgica</v>
      </c>
      <c r="E45" s="31" t="str">
        <f aca="false">+WORLDCUP!BD62</f>
        <v>Ecuador</v>
      </c>
      <c r="F45" s="31" t="str">
        <f aca="false">+WORLDCUP!BD61</f>
        <v>Turquía</v>
      </c>
      <c r="G45" s="31" t="str">
        <f aca="false">+WORLDCUP!BD65</f>
        <v>España</v>
      </c>
      <c r="H45" s="31" t="str">
        <f aca="false">+WORLDCUP!BD63</f>
        <v>Japón</v>
      </c>
      <c r="I45" s="31" t="str">
        <f aca="false">+WORLDCUP!BD66</f>
        <v>Irak</v>
      </c>
      <c r="J45" s="31" t="str">
        <f aca="false">+WORLDCUP!BD68</f>
        <v>Uzbekistán</v>
      </c>
      <c r="N45" s="31" t="s">
        <v>1563</v>
      </c>
      <c r="O45" s="31" t="n">
        <v>44</v>
      </c>
      <c r="P45" s="31" t="s">
        <v>89</v>
      </c>
      <c r="Q45" s="31" t="s">
        <v>107</v>
      </c>
      <c r="R45" s="31" t="s">
        <v>98</v>
      </c>
      <c r="S45" s="31" t="s">
        <v>94</v>
      </c>
      <c r="T45" s="31" t="s">
        <v>112</v>
      </c>
      <c r="U45" s="31" t="s">
        <v>103</v>
      </c>
      <c r="V45" s="31" t="s">
        <v>116</v>
      </c>
      <c r="W45" s="31" t="s">
        <v>125</v>
      </c>
    </row>
    <row r="46" customFormat="false" ht="15" hidden="false" customHeight="false" outlineLevel="0" collapsed="false">
      <c r="A46" s="31" t="s">
        <v>1564</v>
      </c>
      <c r="B46" s="31" t="n">
        <f aca="false">+IF(A46=WORLDCUP!$BI$112,1,0)</f>
        <v>0</v>
      </c>
      <c r="C46" s="31" t="str">
        <f aca="false">+WORLDCUP!BD60</f>
        <v>Marruecos</v>
      </c>
      <c r="D46" s="31" t="str">
        <f aca="false">+WORLDCUP!BD64</f>
        <v>Bélgica</v>
      </c>
      <c r="E46" s="31" t="str">
        <f aca="false">+WORLDCUP!BD67</f>
        <v>Austria</v>
      </c>
      <c r="F46" s="31" t="str">
        <f aca="false">+WORLDCUP!BD61</f>
        <v>Turquía</v>
      </c>
      <c r="G46" s="31" t="str">
        <f aca="false">+WORLDCUP!BD65</f>
        <v>España</v>
      </c>
      <c r="H46" s="31" t="str">
        <f aca="false">+WORLDCUP!BD63</f>
        <v>Japón</v>
      </c>
      <c r="I46" s="31" t="str">
        <f aca="false">+WORLDCUP!BD62</f>
        <v>Ecuador</v>
      </c>
      <c r="J46" s="31" t="str">
        <f aca="false">+WORLDCUP!BD66</f>
        <v>Irak</v>
      </c>
      <c r="N46" s="31" t="s">
        <v>1564</v>
      </c>
      <c r="O46" s="31" t="n">
        <v>45</v>
      </c>
      <c r="P46" s="31" t="s">
        <v>89</v>
      </c>
      <c r="Q46" s="31" t="s">
        <v>107</v>
      </c>
      <c r="R46" s="31" t="s">
        <v>121</v>
      </c>
      <c r="S46" s="31" t="s">
        <v>94</v>
      </c>
      <c r="T46" s="31" t="s">
        <v>112</v>
      </c>
      <c r="U46" s="31" t="s">
        <v>103</v>
      </c>
      <c r="V46" s="31" t="s">
        <v>98</v>
      </c>
      <c r="W46" s="31" t="s">
        <v>116</v>
      </c>
    </row>
    <row r="47" customFormat="false" ht="15" hidden="false" customHeight="false" outlineLevel="0" collapsed="false">
      <c r="A47" s="31" t="s">
        <v>1565</v>
      </c>
      <c r="B47" s="31" t="n">
        <f aca="false">+IF(A47=WORLDCUP!$BI$112,1,0)</f>
        <v>0</v>
      </c>
      <c r="C47" s="31" t="str">
        <f aca="false">+WORLDCUP!BD65</f>
        <v>España</v>
      </c>
      <c r="D47" s="31" t="str">
        <f aca="false">+WORLDCUP!BD67</f>
        <v>Austria</v>
      </c>
      <c r="E47" s="31" t="str">
        <f aca="false">+WORLDCUP!BD59</f>
        <v>Catar</v>
      </c>
      <c r="F47" s="31" t="str">
        <f aca="false">+WORLDCUP!BD63</f>
        <v>Japón</v>
      </c>
      <c r="G47" s="31" t="str">
        <f aca="false">+WORLDCUP!BD66</f>
        <v>Irak</v>
      </c>
      <c r="H47" s="31" t="str">
        <f aca="false">+WORLDCUP!BD64</f>
        <v>Bélgica</v>
      </c>
      <c r="I47" s="31" t="str">
        <f aca="false">+WORLDCUP!BD69</f>
        <v>Ghana</v>
      </c>
      <c r="J47" s="31" t="str">
        <f aca="false">+WORLDCUP!BD68</f>
        <v>Uzbekistán</v>
      </c>
      <c r="N47" s="31" t="s">
        <v>1565</v>
      </c>
      <c r="O47" s="31" t="n">
        <v>46</v>
      </c>
      <c r="P47" s="31" t="s">
        <v>112</v>
      </c>
      <c r="Q47" s="31" t="s">
        <v>121</v>
      </c>
      <c r="R47" s="31" t="s">
        <v>85</v>
      </c>
      <c r="S47" s="31" t="s">
        <v>103</v>
      </c>
      <c r="T47" s="31" t="s">
        <v>116</v>
      </c>
      <c r="U47" s="31" t="s">
        <v>107</v>
      </c>
      <c r="V47" s="31" t="s">
        <v>130</v>
      </c>
      <c r="W47" s="31" t="s">
        <v>125</v>
      </c>
    </row>
    <row r="48" customFormat="false" ht="15" hidden="false" customHeight="false" outlineLevel="0" collapsed="false">
      <c r="A48" s="31" t="s">
        <v>1566</v>
      </c>
      <c r="B48" s="31" t="n">
        <f aca="false">+IF(A48=WORLDCUP!$BI$112,1,0)</f>
        <v>0</v>
      </c>
      <c r="C48" s="31" t="str">
        <f aca="false">+WORLDCUP!BD62</f>
        <v>Ecuador</v>
      </c>
      <c r="D48" s="31" t="str">
        <f aca="false">+WORLDCUP!BD67</f>
        <v>Austria</v>
      </c>
      <c r="E48" s="31" t="str">
        <f aca="false">+WORLDCUP!BD66</f>
        <v>Irak</v>
      </c>
      <c r="F48" s="31" t="str">
        <f aca="false">+WORLDCUP!BD59</f>
        <v>Catar</v>
      </c>
      <c r="G48" s="31" t="str">
        <f aca="false">+WORLDCUP!BD65</f>
        <v>España</v>
      </c>
      <c r="H48" s="31" t="str">
        <f aca="false">+WORLDCUP!BD64</f>
        <v>Bélgica</v>
      </c>
      <c r="I48" s="31" t="str">
        <f aca="false">+WORLDCUP!BD69</f>
        <v>Ghana</v>
      </c>
      <c r="J48" s="31" t="str">
        <f aca="false">+WORLDCUP!BD68</f>
        <v>Uzbekistán</v>
      </c>
      <c r="N48" s="31" t="s">
        <v>1566</v>
      </c>
      <c r="O48" s="31" t="n">
        <v>47</v>
      </c>
      <c r="P48" s="31" t="s">
        <v>98</v>
      </c>
      <c r="Q48" s="31" t="s">
        <v>121</v>
      </c>
      <c r="R48" s="31" t="s">
        <v>116</v>
      </c>
      <c r="S48" s="31" t="s">
        <v>85</v>
      </c>
      <c r="T48" s="31" t="s">
        <v>112</v>
      </c>
      <c r="U48" s="31" t="s">
        <v>107</v>
      </c>
      <c r="V48" s="31" t="s">
        <v>130</v>
      </c>
      <c r="W48" s="31" t="s">
        <v>125</v>
      </c>
    </row>
    <row r="49" customFormat="false" ht="15" hidden="false" customHeight="false" outlineLevel="0" collapsed="false">
      <c r="A49" s="31" t="s">
        <v>1567</v>
      </c>
      <c r="B49" s="31" t="n">
        <f aca="false">+IF(A49=WORLDCUP!$BI$112,1,0)</f>
        <v>0</v>
      </c>
      <c r="C49" s="31" t="str">
        <f aca="false">+WORLDCUP!BD62</f>
        <v>Ecuador</v>
      </c>
      <c r="D49" s="31" t="str">
        <f aca="false">+WORLDCUP!BD67</f>
        <v>Austria</v>
      </c>
      <c r="E49" s="31" t="str">
        <f aca="false">+WORLDCUP!BD59</f>
        <v>Catar</v>
      </c>
      <c r="F49" s="31" t="str">
        <f aca="false">+WORLDCUP!BD63</f>
        <v>Japón</v>
      </c>
      <c r="G49" s="31" t="str">
        <f aca="false">+WORLDCUP!BD66</f>
        <v>Irak</v>
      </c>
      <c r="H49" s="31" t="str">
        <f aca="false">+WORLDCUP!BD65</f>
        <v>España</v>
      </c>
      <c r="I49" s="31" t="str">
        <f aca="false">+WORLDCUP!BD69</f>
        <v>Ghana</v>
      </c>
      <c r="J49" s="31" t="str">
        <f aca="false">+WORLDCUP!BD68</f>
        <v>Uzbekistán</v>
      </c>
      <c r="N49" s="31" t="s">
        <v>1567</v>
      </c>
      <c r="O49" s="31" t="n">
        <v>48</v>
      </c>
      <c r="P49" s="31" t="s">
        <v>98</v>
      </c>
      <c r="Q49" s="31" t="s">
        <v>121</v>
      </c>
      <c r="R49" s="31" t="s">
        <v>85</v>
      </c>
      <c r="S49" s="31" t="s">
        <v>103</v>
      </c>
      <c r="T49" s="31" t="s">
        <v>116</v>
      </c>
      <c r="U49" s="31" t="s">
        <v>112</v>
      </c>
      <c r="V49" s="31" t="s">
        <v>130</v>
      </c>
      <c r="W49" s="31" t="s">
        <v>125</v>
      </c>
    </row>
    <row r="50" customFormat="false" ht="15" hidden="false" customHeight="false" outlineLevel="0" collapsed="false">
      <c r="A50" s="31" t="s">
        <v>1568</v>
      </c>
      <c r="B50" s="31" t="n">
        <f aca="false">+IF(A50=WORLDCUP!$BI$112,1,0)</f>
        <v>0</v>
      </c>
      <c r="C50" s="31" t="str">
        <f aca="false">+WORLDCUP!BD62</f>
        <v>Ecuador</v>
      </c>
      <c r="D50" s="31" t="str">
        <f aca="false">+WORLDCUP!BD67</f>
        <v>Austria</v>
      </c>
      <c r="E50" s="31" t="str">
        <f aca="false">+WORLDCUP!BD59</f>
        <v>Catar</v>
      </c>
      <c r="F50" s="31" t="str">
        <f aca="false">+WORLDCUP!BD63</f>
        <v>Japón</v>
      </c>
      <c r="G50" s="31" t="str">
        <f aca="false">+WORLDCUP!BD66</f>
        <v>Irak</v>
      </c>
      <c r="H50" s="31" t="str">
        <f aca="false">+WORLDCUP!BD64</f>
        <v>Bélgica</v>
      </c>
      <c r="I50" s="31" t="str">
        <f aca="false">+WORLDCUP!BD69</f>
        <v>Ghana</v>
      </c>
      <c r="J50" s="31" t="str">
        <f aca="false">+WORLDCUP!BD68</f>
        <v>Uzbekistán</v>
      </c>
      <c r="N50" s="31" t="s">
        <v>1568</v>
      </c>
      <c r="O50" s="31" t="n">
        <v>49</v>
      </c>
      <c r="P50" s="31" t="s">
        <v>98</v>
      </c>
      <c r="Q50" s="31" t="s">
        <v>121</v>
      </c>
      <c r="R50" s="31" t="s">
        <v>85</v>
      </c>
      <c r="S50" s="31" t="s">
        <v>103</v>
      </c>
      <c r="T50" s="31" t="s">
        <v>116</v>
      </c>
      <c r="U50" s="31" t="s">
        <v>107</v>
      </c>
      <c r="V50" s="31" t="s">
        <v>130</v>
      </c>
      <c r="W50" s="31" t="s">
        <v>125</v>
      </c>
    </row>
    <row r="51" customFormat="false" ht="15" hidden="false" customHeight="false" outlineLevel="0" collapsed="false">
      <c r="A51" s="31" t="s">
        <v>1569</v>
      </c>
      <c r="B51" s="31" t="n">
        <f aca="false">+IF(A51=WORLDCUP!$BI$112,1,0)</f>
        <v>0</v>
      </c>
      <c r="C51" s="31" t="str">
        <f aca="false">+WORLDCUP!BD62</f>
        <v>Ecuador</v>
      </c>
      <c r="D51" s="31" t="str">
        <f aca="false">+WORLDCUP!BD67</f>
        <v>Austria</v>
      </c>
      <c r="E51" s="31" t="str">
        <f aca="false">+WORLDCUP!BD59</f>
        <v>Catar</v>
      </c>
      <c r="F51" s="31" t="str">
        <f aca="false">+WORLDCUP!BD63</f>
        <v>Japón</v>
      </c>
      <c r="G51" s="31" t="str">
        <f aca="false">+WORLDCUP!BD65</f>
        <v>España</v>
      </c>
      <c r="H51" s="31" t="str">
        <f aca="false">+WORLDCUP!BD64</f>
        <v>Bélgica</v>
      </c>
      <c r="I51" s="31" t="str">
        <f aca="false">+WORLDCUP!BD69</f>
        <v>Ghana</v>
      </c>
      <c r="J51" s="31" t="str">
        <f aca="false">+WORLDCUP!BD68</f>
        <v>Uzbekistán</v>
      </c>
      <c r="N51" s="31" t="s">
        <v>1569</v>
      </c>
      <c r="O51" s="31" t="n">
        <v>50</v>
      </c>
      <c r="P51" s="31" t="s">
        <v>98</v>
      </c>
      <c r="Q51" s="31" t="s">
        <v>121</v>
      </c>
      <c r="R51" s="31" t="s">
        <v>85</v>
      </c>
      <c r="S51" s="31" t="s">
        <v>103</v>
      </c>
      <c r="T51" s="31" t="s">
        <v>112</v>
      </c>
      <c r="U51" s="31" t="s">
        <v>107</v>
      </c>
      <c r="V51" s="31" t="s">
        <v>130</v>
      </c>
      <c r="W51" s="31" t="s">
        <v>125</v>
      </c>
    </row>
    <row r="52" customFormat="false" ht="15" hidden="false" customHeight="false" outlineLevel="0" collapsed="false">
      <c r="A52" s="31" t="s">
        <v>1570</v>
      </c>
      <c r="B52" s="31" t="n">
        <f aca="false">+IF(A52=WORLDCUP!$BI$112,1,0)</f>
        <v>0</v>
      </c>
      <c r="C52" s="31" t="str">
        <f aca="false">+WORLDCUP!BD62</f>
        <v>Ecuador</v>
      </c>
      <c r="D52" s="31" t="str">
        <f aca="false">+WORLDCUP!BD64</f>
        <v>Bélgica</v>
      </c>
      <c r="E52" s="31" t="str">
        <f aca="false">+WORLDCUP!BD59</f>
        <v>Catar</v>
      </c>
      <c r="F52" s="31" t="str">
        <f aca="false">+WORLDCUP!BD63</f>
        <v>Japón</v>
      </c>
      <c r="G52" s="31" t="str">
        <f aca="false">+WORLDCUP!BD66</f>
        <v>Irak</v>
      </c>
      <c r="H52" s="31" t="str">
        <f aca="false">+WORLDCUP!BD65</f>
        <v>España</v>
      </c>
      <c r="I52" s="31" t="str">
        <f aca="false">+WORLDCUP!BD69</f>
        <v>Ghana</v>
      </c>
      <c r="J52" s="31" t="str">
        <f aca="false">+WORLDCUP!BD68</f>
        <v>Uzbekistán</v>
      </c>
      <c r="N52" s="31" t="s">
        <v>1570</v>
      </c>
      <c r="O52" s="31" t="n">
        <v>51</v>
      </c>
      <c r="P52" s="31" t="s">
        <v>98</v>
      </c>
      <c r="Q52" s="31" t="s">
        <v>107</v>
      </c>
      <c r="R52" s="31" t="s">
        <v>85</v>
      </c>
      <c r="S52" s="31" t="s">
        <v>103</v>
      </c>
      <c r="T52" s="31" t="s">
        <v>116</v>
      </c>
      <c r="U52" s="31" t="s">
        <v>112</v>
      </c>
      <c r="V52" s="31" t="s">
        <v>130</v>
      </c>
      <c r="W52" s="31" t="s">
        <v>125</v>
      </c>
    </row>
    <row r="53" customFormat="false" ht="15" hidden="false" customHeight="false" outlineLevel="0" collapsed="false">
      <c r="A53" s="31" t="s">
        <v>1571</v>
      </c>
      <c r="B53" s="31" t="n">
        <f aca="false">+IF(A53=WORLDCUP!$BI$112,1,0)</f>
        <v>0</v>
      </c>
      <c r="C53" s="31" t="str">
        <f aca="false">+WORLDCUP!BD62</f>
        <v>Ecuador</v>
      </c>
      <c r="D53" s="31" t="str">
        <f aca="false">+WORLDCUP!BD67</f>
        <v>Austria</v>
      </c>
      <c r="E53" s="31" t="str">
        <f aca="false">+WORLDCUP!BD59</f>
        <v>Catar</v>
      </c>
      <c r="F53" s="31" t="str">
        <f aca="false">+WORLDCUP!BD63</f>
        <v>Japón</v>
      </c>
      <c r="G53" s="31" t="str">
        <f aca="false">+WORLDCUP!BD65</f>
        <v>España</v>
      </c>
      <c r="H53" s="31" t="str">
        <f aca="false">+WORLDCUP!BD64</f>
        <v>Bélgica</v>
      </c>
      <c r="I53" s="31" t="str">
        <f aca="false">+WORLDCUP!BD69</f>
        <v>Ghana</v>
      </c>
      <c r="J53" s="31" t="str">
        <f aca="false">+WORLDCUP!BD66</f>
        <v>Irak</v>
      </c>
      <c r="N53" s="31" t="s">
        <v>1571</v>
      </c>
      <c r="O53" s="31" t="n">
        <v>52</v>
      </c>
      <c r="P53" s="31" t="s">
        <v>98</v>
      </c>
      <c r="Q53" s="31" t="s">
        <v>121</v>
      </c>
      <c r="R53" s="31" t="s">
        <v>85</v>
      </c>
      <c r="S53" s="31" t="s">
        <v>103</v>
      </c>
      <c r="T53" s="31" t="s">
        <v>112</v>
      </c>
      <c r="U53" s="31" t="s">
        <v>107</v>
      </c>
      <c r="V53" s="31" t="s">
        <v>130</v>
      </c>
      <c r="W53" s="31" t="s">
        <v>116</v>
      </c>
    </row>
    <row r="54" customFormat="false" ht="15" hidden="false" customHeight="false" outlineLevel="0" collapsed="false">
      <c r="A54" s="31" t="s">
        <v>1572</v>
      </c>
      <c r="B54" s="31" t="n">
        <f aca="false">+IF(A54=WORLDCUP!$BI$112,1,0)</f>
        <v>0</v>
      </c>
      <c r="C54" s="31" t="str">
        <f aca="false">+WORLDCUP!BD62</f>
        <v>Ecuador</v>
      </c>
      <c r="D54" s="31" t="str">
        <f aca="false">+WORLDCUP!BD67</f>
        <v>Austria</v>
      </c>
      <c r="E54" s="31" t="str">
        <f aca="false">+WORLDCUP!BD59</f>
        <v>Catar</v>
      </c>
      <c r="F54" s="31" t="str">
        <f aca="false">+WORLDCUP!BD63</f>
        <v>Japón</v>
      </c>
      <c r="G54" s="31" t="str">
        <f aca="false">+WORLDCUP!BD65</f>
        <v>España</v>
      </c>
      <c r="H54" s="31" t="str">
        <f aca="false">+WORLDCUP!BD64</f>
        <v>Bélgica</v>
      </c>
      <c r="I54" s="31" t="str">
        <f aca="false">+WORLDCUP!BD66</f>
        <v>Irak</v>
      </c>
      <c r="J54" s="31" t="str">
        <f aca="false">+WORLDCUP!BD68</f>
        <v>Uzbekistán</v>
      </c>
      <c r="N54" s="31" t="s">
        <v>1572</v>
      </c>
      <c r="O54" s="31" t="n">
        <v>53</v>
      </c>
      <c r="P54" s="31" t="s">
        <v>98</v>
      </c>
      <c r="Q54" s="31" t="s">
        <v>121</v>
      </c>
      <c r="R54" s="31" t="s">
        <v>85</v>
      </c>
      <c r="S54" s="31" t="s">
        <v>103</v>
      </c>
      <c r="T54" s="31" t="s">
        <v>112</v>
      </c>
      <c r="U54" s="31" t="s">
        <v>107</v>
      </c>
      <c r="V54" s="31" t="s">
        <v>116</v>
      </c>
      <c r="W54" s="31" t="s">
        <v>125</v>
      </c>
    </row>
    <row r="55" customFormat="false" ht="15" hidden="false" customHeight="false" outlineLevel="0" collapsed="false">
      <c r="A55" s="31" t="s">
        <v>1573</v>
      </c>
      <c r="B55" s="31" t="n">
        <f aca="false">+IF(A55=WORLDCUP!$BI$112,1,0)</f>
        <v>0</v>
      </c>
      <c r="C55" s="31" t="str">
        <f aca="false">+WORLDCUP!BD65</f>
        <v>España</v>
      </c>
      <c r="D55" s="31" t="str">
        <f aca="false">+WORLDCUP!BD67</f>
        <v>Austria</v>
      </c>
      <c r="E55" s="31" t="str">
        <f aca="false">+WORLDCUP!BD59</f>
        <v>Catar</v>
      </c>
      <c r="F55" s="31" t="str">
        <f aca="false">+WORLDCUP!BD61</f>
        <v>Turquía</v>
      </c>
      <c r="G55" s="31" t="str">
        <f aca="false">+WORLDCUP!BD66</f>
        <v>Irak</v>
      </c>
      <c r="H55" s="31" t="str">
        <f aca="false">+WORLDCUP!BD64</f>
        <v>Bélgica</v>
      </c>
      <c r="I55" s="31" t="str">
        <f aca="false">+WORLDCUP!BD69</f>
        <v>Ghana</v>
      </c>
      <c r="J55" s="31" t="str">
        <f aca="false">+WORLDCUP!BD68</f>
        <v>Uzbekistán</v>
      </c>
      <c r="N55" s="31" t="s">
        <v>1573</v>
      </c>
      <c r="O55" s="31" t="n">
        <v>54</v>
      </c>
      <c r="P55" s="31" t="s">
        <v>112</v>
      </c>
      <c r="Q55" s="31" t="s">
        <v>121</v>
      </c>
      <c r="R55" s="31" t="s">
        <v>85</v>
      </c>
      <c r="S55" s="31" t="s">
        <v>94</v>
      </c>
      <c r="T55" s="31" t="s">
        <v>116</v>
      </c>
      <c r="U55" s="31" t="s">
        <v>107</v>
      </c>
      <c r="V55" s="31" t="s">
        <v>130</v>
      </c>
      <c r="W55" s="31" t="s">
        <v>125</v>
      </c>
    </row>
    <row r="56" customFormat="false" ht="15" hidden="false" customHeight="false" outlineLevel="0" collapsed="false">
      <c r="A56" s="31" t="s">
        <v>1574</v>
      </c>
      <c r="B56" s="31" t="n">
        <f aca="false">+IF(A56=WORLDCUP!$BI$112,1,0)</f>
        <v>0</v>
      </c>
      <c r="C56" s="31" t="str">
        <f aca="false">+WORLDCUP!BD65</f>
        <v>España</v>
      </c>
      <c r="D56" s="31" t="str">
        <f aca="false">+WORLDCUP!BD67</f>
        <v>Austria</v>
      </c>
      <c r="E56" s="31" t="str">
        <f aca="false">+WORLDCUP!BD59</f>
        <v>Catar</v>
      </c>
      <c r="F56" s="31" t="str">
        <f aca="false">+WORLDCUP!BD61</f>
        <v>Turquía</v>
      </c>
      <c r="G56" s="31" t="str">
        <f aca="false">+WORLDCUP!BD66</f>
        <v>Irak</v>
      </c>
      <c r="H56" s="31" t="str">
        <f aca="false">+WORLDCUP!BD63</f>
        <v>Japón</v>
      </c>
      <c r="I56" s="31" t="str">
        <f aca="false">+WORLDCUP!BD69</f>
        <v>Ghana</v>
      </c>
      <c r="J56" s="31" t="str">
        <f aca="false">+WORLDCUP!BD68</f>
        <v>Uzbekistán</v>
      </c>
      <c r="N56" s="31" t="s">
        <v>1574</v>
      </c>
      <c r="O56" s="31" t="n">
        <v>55</v>
      </c>
      <c r="P56" s="31" t="s">
        <v>112</v>
      </c>
      <c r="Q56" s="31" t="s">
        <v>121</v>
      </c>
      <c r="R56" s="31" t="s">
        <v>85</v>
      </c>
      <c r="S56" s="31" t="s">
        <v>94</v>
      </c>
      <c r="T56" s="31" t="s">
        <v>116</v>
      </c>
      <c r="U56" s="31" t="s">
        <v>103</v>
      </c>
      <c r="V56" s="31" t="s">
        <v>130</v>
      </c>
      <c r="W56" s="31" t="s">
        <v>125</v>
      </c>
    </row>
    <row r="57" customFormat="false" ht="15" hidden="false" customHeight="false" outlineLevel="0" collapsed="false">
      <c r="A57" s="31" t="s">
        <v>1575</v>
      </c>
      <c r="B57" s="31" t="n">
        <f aca="false">+IF(A57=WORLDCUP!$BI$112,1,0)</f>
        <v>0</v>
      </c>
      <c r="C57" s="31" t="str">
        <f aca="false">+WORLDCUP!BD66</f>
        <v>Irak</v>
      </c>
      <c r="D57" s="31" t="str">
        <f aca="false">+WORLDCUP!BD64</f>
        <v>Bélgica</v>
      </c>
      <c r="E57" s="31" t="str">
        <f aca="false">+WORLDCUP!BD59</f>
        <v>Catar</v>
      </c>
      <c r="F57" s="31" t="str">
        <f aca="false">+WORLDCUP!BD61</f>
        <v>Turquía</v>
      </c>
      <c r="G57" s="31" t="str">
        <f aca="false">+WORLDCUP!BD67</f>
        <v>Austria</v>
      </c>
      <c r="H57" s="31" t="str">
        <f aca="false">+WORLDCUP!BD63</f>
        <v>Japón</v>
      </c>
      <c r="I57" s="31" t="str">
        <f aca="false">+WORLDCUP!BD69</f>
        <v>Ghana</v>
      </c>
      <c r="J57" s="31" t="str">
        <f aca="false">+WORLDCUP!BD68</f>
        <v>Uzbekistán</v>
      </c>
      <c r="N57" s="31" t="s">
        <v>1575</v>
      </c>
      <c r="O57" s="31" t="n">
        <v>56</v>
      </c>
      <c r="P57" s="31" t="s">
        <v>116</v>
      </c>
      <c r="Q57" s="31" t="s">
        <v>107</v>
      </c>
      <c r="R57" s="31" t="s">
        <v>85</v>
      </c>
      <c r="S57" s="31" t="s">
        <v>94</v>
      </c>
      <c r="T57" s="31" t="s">
        <v>121</v>
      </c>
      <c r="U57" s="31" t="s">
        <v>103</v>
      </c>
      <c r="V57" s="31" t="s">
        <v>130</v>
      </c>
      <c r="W57" s="31" t="s">
        <v>125</v>
      </c>
    </row>
    <row r="58" customFormat="false" ht="15" hidden="false" customHeight="false" outlineLevel="0" collapsed="false">
      <c r="A58" s="31" t="s">
        <v>1576</v>
      </c>
      <c r="B58" s="31" t="n">
        <f aca="false">+IF(A58=WORLDCUP!$BI$112,1,0)</f>
        <v>0</v>
      </c>
      <c r="C58" s="31" t="str">
        <f aca="false">+WORLDCUP!BD65</f>
        <v>España</v>
      </c>
      <c r="D58" s="31" t="str">
        <f aca="false">+WORLDCUP!BD64</f>
        <v>Bélgica</v>
      </c>
      <c r="E58" s="31" t="str">
        <f aca="false">+WORLDCUP!BD59</f>
        <v>Catar</v>
      </c>
      <c r="F58" s="31" t="str">
        <f aca="false">+WORLDCUP!BD61</f>
        <v>Turquía</v>
      </c>
      <c r="G58" s="31" t="str">
        <f aca="false">+WORLDCUP!BD67</f>
        <v>Austria</v>
      </c>
      <c r="H58" s="31" t="str">
        <f aca="false">+WORLDCUP!BD63</f>
        <v>Japón</v>
      </c>
      <c r="I58" s="31" t="str">
        <f aca="false">+WORLDCUP!BD69</f>
        <v>Ghana</v>
      </c>
      <c r="J58" s="31" t="str">
        <f aca="false">+WORLDCUP!BD68</f>
        <v>Uzbekistán</v>
      </c>
      <c r="N58" s="31" t="s">
        <v>1576</v>
      </c>
      <c r="O58" s="31" t="n">
        <v>57</v>
      </c>
      <c r="P58" s="31" t="s">
        <v>112</v>
      </c>
      <c r="Q58" s="31" t="s">
        <v>107</v>
      </c>
      <c r="R58" s="31" t="s">
        <v>85</v>
      </c>
      <c r="S58" s="31" t="s">
        <v>94</v>
      </c>
      <c r="T58" s="31" t="s">
        <v>121</v>
      </c>
      <c r="U58" s="31" t="s">
        <v>103</v>
      </c>
      <c r="V58" s="31" t="s">
        <v>130</v>
      </c>
      <c r="W58" s="31" t="s">
        <v>125</v>
      </c>
    </row>
    <row r="59" customFormat="false" ht="15" hidden="false" customHeight="false" outlineLevel="0" collapsed="false">
      <c r="A59" s="31" t="s">
        <v>1577</v>
      </c>
      <c r="B59" s="31" t="n">
        <f aca="false">+IF(A59=WORLDCUP!$BI$112,1,0)</f>
        <v>0</v>
      </c>
      <c r="C59" s="31" t="str">
        <f aca="false">+WORLDCUP!BD65</f>
        <v>España</v>
      </c>
      <c r="D59" s="31" t="str">
        <f aca="false">+WORLDCUP!BD64</f>
        <v>Bélgica</v>
      </c>
      <c r="E59" s="31" t="str">
        <f aca="false">+WORLDCUP!BD59</f>
        <v>Catar</v>
      </c>
      <c r="F59" s="31" t="str">
        <f aca="false">+WORLDCUP!BD61</f>
        <v>Turquía</v>
      </c>
      <c r="G59" s="31" t="str">
        <f aca="false">+WORLDCUP!BD66</f>
        <v>Irak</v>
      </c>
      <c r="H59" s="31" t="str">
        <f aca="false">+WORLDCUP!BD63</f>
        <v>Japón</v>
      </c>
      <c r="I59" s="31" t="str">
        <f aca="false">+WORLDCUP!BD69</f>
        <v>Ghana</v>
      </c>
      <c r="J59" s="31" t="str">
        <f aca="false">+WORLDCUP!BD68</f>
        <v>Uzbekistán</v>
      </c>
      <c r="N59" s="31" t="s">
        <v>1577</v>
      </c>
      <c r="O59" s="31" t="n">
        <v>58</v>
      </c>
      <c r="P59" s="31" t="s">
        <v>112</v>
      </c>
      <c r="Q59" s="31" t="s">
        <v>107</v>
      </c>
      <c r="R59" s="31" t="s">
        <v>85</v>
      </c>
      <c r="S59" s="31" t="s">
        <v>94</v>
      </c>
      <c r="T59" s="31" t="s">
        <v>116</v>
      </c>
      <c r="U59" s="31" t="s">
        <v>103</v>
      </c>
      <c r="V59" s="31" t="s">
        <v>130</v>
      </c>
      <c r="W59" s="31" t="s">
        <v>125</v>
      </c>
    </row>
    <row r="60" customFormat="false" ht="15" hidden="false" customHeight="false" outlineLevel="0" collapsed="false">
      <c r="A60" s="31" t="s">
        <v>1578</v>
      </c>
      <c r="B60" s="31" t="n">
        <f aca="false">+IF(A60=WORLDCUP!$BI$112,1,0)</f>
        <v>0</v>
      </c>
      <c r="C60" s="31" t="str">
        <f aca="false">+WORLDCUP!BD65</f>
        <v>España</v>
      </c>
      <c r="D60" s="31" t="str">
        <f aca="false">+WORLDCUP!BD64</f>
        <v>Bélgica</v>
      </c>
      <c r="E60" s="31" t="str">
        <f aca="false">+WORLDCUP!BD59</f>
        <v>Catar</v>
      </c>
      <c r="F60" s="31" t="str">
        <f aca="false">+WORLDCUP!BD61</f>
        <v>Turquía</v>
      </c>
      <c r="G60" s="31" t="str">
        <f aca="false">+WORLDCUP!BD67</f>
        <v>Austria</v>
      </c>
      <c r="H60" s="31" t="str">
        <f aca="false">+WORLDCUP!BD63</f>
        <v>Japón</v>
      </c>
      <c r="I60" s="31" t="str">
        <f aca="false">+WORLDCUP!BD69</f>
        <v>Ghana</v>
      </c>
      <c r="J60" s="31" t="str">
        <f aca="false">+WORLDCUP!BD66</f>
        <v>Irak</v>
      </c>
      <c r="N60" s="31" t="s">
        <v>1578</v>
      </c>
      <c r="O60" s="31" t="n">
        <v>59</v>
      </c>
      <c r="P60" s="31" t="s">
        <v>112</v>
      </c>
      <c r="Q60" s="31" t="s">
        <v>107</v>
      </c>
      <c r="R60" s="31" t="s">
        <v>85</v>
      </c>
      <c r="S60" s="31" t="s">
        <v>94</v>
      </c>
      <c r="T60" s="31" t="s">
        <v>121</v>
      </c>
      <c r="U60" s="31" t="s">
        <v>103</v>
      </c>
      <c r="V60" s="31" t="s">
        <v>130</v>
      </c>
      <c r="W60" s="31" t="s">
        <v>116</v>
      </c>
    </row>
    <row r="61" customFormat="false" ht="15" hidden="false" customHeight="false" outlineLevel="0" collapsed="false">
      <c r="A61" s="31" t="s">
        <v>1579</v>
      </c>
      <c r="B61" s="31" t="n">
        <f aca="false">+IF(A61=WORLDCUP!$BI$112,1,0)</f>
        <v>0</v>
      </c>
      <c r="C61" s="31" t="str">
        <f aca="false">+WORLDCUP!BD65</f>
        <v>España</v>
      </c>
      <c r="D61" s="31" t="str">
        <f aca="false">+WORLDCUP!BD64</f>
        <v>Bélgica</v>
      </c>
      <c r="E61" s="31" t="str">
        <f aca="false">+WORLDCUP!BD59</f>
        <v>Catar</v>
      </c>
      <c r="F61" s="31" t="str">
        <f aca="false">+WORLDCUP!BD61</f>
        <v>Turquía</v>
      </c>
      <c r="G61" s="31" t="str">
        <f aca="false">+WORLDCUP!BD67</f>
        <v>Austria</v>
      </c>
      <c r="H61" s="31" t="str">
        <f aca="false">+WORLDCUP!BD63</f>
        <v>Japón</v>
      </c>
      <c r="I61" s="31" t="str">
        <f aca="false">+WORLDCUP!BD66</f>
        <v>Irak</v>
      </c>
      <c r="J61" s="31" t="str">
        <f aca="false">+WORLDCUP!BD68</f>
        <v>Uzbekistán</v>
      </c>
      <c r="N61" s="31" t="s">
        <v>1579</v>
      </c>
      <c r="O61" s="31" t="n">
        <v>60</v>
      </c>
      <c r="P61" s="31" t="s">
        <v>112</v>
      </c>
      <c r="Q61" s="31" t="s">
        <v>107</v>
      </c>
      <c r="R61" s="31" t="s">
        <v>85</v>
      </c>
      <c r="S61" s="31" t="s">
        <v>94</v>
      </c>
      <c r="T61" s="31" t="s">
        <v>121</v>
      </c>
      <c r="U61" s="31" t="s">
        <v>103</v>
      </c>
      <c r="V61" s="31" t="s">
        <v>116</v>
      </c>
      <c r="W61" s="31" t="s">
        <v>125</v>
      </c>
    </row>
    <row r="62" customFormat="false" ht="15" hidden="false" customHeight="false" outlineLevel="0" collapsed="false">
      <c r="A62" s="31" t="s">
        <v>1580</v>
      </c>
      <c r="B62" s="31" t="n">
        <f aca="false">+IF(A62=WORLDCUP!$BI$112,1,0)</f>
        <v>0</v>
      </c>
      <c r="C62" s="31" t="str">
        <f aca="false">+WORLDCUP!BD62</f>
        <v>Ecuador</v>
      </c>
      <c r="D62" s="31" t="str">
        <f aca="false">+WORLDCUP!BD67</f>
        <v>Austria</v>
      </c>
      <c r="E62" s="31" t="str">
        <f aca="false">+WORLDCUP!BD59</f>
        <v>Catar</v>
      </c>
      <c r="F62" s="31" t="str">
        <f aca="false">+WORLDCUP!BD61</f>
        <v>Turquía</v>
      </c>
      <c r="G62" s="31" t="str">
        <f aca="false">+WORLDCUP!BD66</f>
        <v>Irak</v>
      </c>
      <c r="H62" s="31" t="str">
        <f aca="false">+WORLDCUP!BD65</f>
        <v>España</v>
      </c>
      <c r="I62" s="31" t="str">
        <f aca="false">+WORLDCUP!BD69</f>
        <v>Ghana</v>
      </c>
      <c r="J62" s="31" t="str">
        <f aca="false">+WORLDCUP!BD68</f>
        <v>Uzbekistán</v>
      </c>
      <c r="N62" s="31" t="s">
        <v>1580</v>
      </c>
      <c r="O62" s="31" t="n">
        <v>61</v>
      </c>
      <c r="P62" s="31" t="s">
        <v>98</v>
      </c>
      <c r="Q62" s="31" t="s">
        <v>121</v>
      </c>
      <c r="R62" s="31" t="s">
        <v>85</v>
      </c>
      <c r="S62" s="31" t="s">
        <v>94</v>
      </c>
      <c r="T62" s="31" t="s">
        <v>116</v>
      </c>
      <c r="U62" s="31" t="s">
        <v>112</v>
      </c>
      <c r="V62" s="31" t="s">
        <v>130</v>
      </c>
      <c r="W62" s="31" t="s">
        <v>125</v>
      </c>
    </row>
    <row r="63" customFormat="false" ht="15" hidden="false" customHeight="false" outlineLevel="0" collapsed="false">
      <c r="A63" s="31" t="s">
        <v>1581</v>
      </c>
      <c r="B63" s="31" t="n">
        <f aca="false">+IF(A63=WORLDCUP!$BI$112,1,0)</f>
        <v>0</v>
      </c>
      <c r="C63" s="31" t="str">
        <f aca="false">+WORLDCUP!BD62</f>
        <v>Ecuador</v>
      </c>
      <c r="D63" s="31" t="str">
        <f aca="false">+WORLDCUP!BD67</f>
        <v>Austria</v>
      </c>
      <c r="E63" s="31" t="str">
        <f aca="false">+WORLDCUP!BD59</f>
        <v>Catar</v>
      </c>
      <c r="F63" s="31" t="str">
        <f aca="false">+WORLDCUP!BD61</f>
        <v>Turquía</v>
      </c>
      <c r="G63" s="31" t="str">
        <f aca="false">+WORLDCUP!BD66</f>
        <v>Irak</v>
      </c>
      <c r="H63" s="31" t="str">
        <f aca="false">+WORLDCUP!BD64</f>
        <v>Bélgica</v>
      </c>
      <c r="I63" s="31" t="str">
        <f aca="false">+WORLDCUP!BD69</f>
        <v>Ghana</v>
      </c>
      <c r="J63" s="31" t="str">
        <f aca="false">+WORLDCUP!BD68</f>
        <v>Uzbekistán</v>
      </c>
      <c r="N63" s="31" t="s">
        <v>1581</v>
      </c>
      <c r="O63" s="31" t="n">
        <v>62</v>
      </c>
      <c r="P63" s="31" t="s">
        <v>98</v>
      </c>
      <c r="Q63" s="31" t="s">
        <v>121</v>
      </c>
      <c r="R63" s="31" t="s">
        <v>85</v>
      </c>
      <c r="S63" s="31" t="s">
        <v>94</v>
      </c>
      <c r="T63" s="31" t="s">
        <v>116</v>
      </c>
      <c r="U63" s="31" t="s">
        <v>107</v>
      </c>
      <c r="V63" s="31" t="s">
        <v>130</v>
      </c>
      <c r="W63" s="31" t="s">
        <v>125</v>
      </c>
    </row>
    <row r="64" customFormat="false" ht="15" hidden="false" customHeight="false" outlineLevel="0" collapsed="false">
      <c r="A64" s="31" t="s">
        <v>1582</v>
      </c>
      <c r="B64" s="31" t="n">
        <f aca="false">+IF(A64=WORLDCUP!$BI$112,1,0)</f>
        <v>0</v>
      </c>
      <c r="C64" s="31" t="str">
        <f aca="false">+WORLDCUP!BD62</f>
        <v>Ecuador</v>
      </c>
      <c r="D64" s="31" t="str">
        <f aca="false">+WORLDCUP!BD67</f>
        <v>Austria</v>
      </c>
      <c r="E64" s="31" t="str">
        <f aca="false">+WORLDCUP!BD59</f>
        <v>Catar</v>
      </c>
      <c r="F64" s="31" t="str">
        <f aca="false">+WORLDCUP!BD61</f>
        <v>Turquía</v>
      </c>
      <c r="G64" s="31" t="str">
        <f aca="false">+WORLDCUP!BD65</f>
        <v>España</v>
      </c>
      <c r="H64" s="31" t="str">
        <f aca="false">+WORLDCUP!BD64</f>
        <v>Bélgica</v>
      </c>
      <c r="I64" s="31" t="str">
        <f aca="false">+WORLDCUP!BD69</f>
        <v>Ghana</v>
      </c>
      <c r="J64" s="31" t="str">
        <f aca="false">+WORLDCUP!BD68</f>
        <v>Uzbekistán</v>
      </c>
      <c r="N64" s="31" t="s">
        <v>1582</v>
      </c>
      <c r="O64" s="31" t="n">
        <v>63</v>
      </c>
      <c r="P64" s="31" t="s">
        <v>98</v>
      </c>
      <c r="Q64" s="31" t="s">
        <v>121</v>
      </c>
      <c r="R64" s="31" t="s">
        <v>85</v>
      </c>
      <c r="S64" s="31" t="s">
        <v>94</v>
      </c>
      <c r="T64" s="31" t="s">
        <v>112</v>
      </c>
      <c r="U64" s="31" t="s">
        <v>107</v>
      </c>
      <c r="V64" s="31" t="s">
        <v>130</v>
      </c>
      <c r="W64" s="31" t="s">
        <v>125</v>
      </c>
    </row>
    <row r="65" customFormat="false" ht="15" hidden="false" customHeight="false" outlineLevel="0" collapsed="false">
      <c r="A65" s="31" t="s">
        <v>1583</v>
      </c>
      <c r="B65" s="31" t="n">
        <f aca="false">+IF(A65=WORLDCUP!$BI$112,1,0)</f>
        <v>0</v>
      </c>
      <c r="C65" s="31" t="str">
        <f aca="false">+WORLDCUP!BD62</f>
        <v>Ecuador</v>
      </c>
      <c r="D65" s="31" t="str">
        <f aca="false">+WORLDCUP!BD64</f>
        <v>Bélgica</v>
      </c>
      <c r="E65" s="31" t="str">
        <f aca="false">+WORLDCUP!BD59</f>
        <v>Catar</v>
      </c>
      <c r="F65" s="31" t="str">
        <f aca="false">+WORLDCUP!BD61</f>
        <v>Turquía</v>
      </c>
      <c r="G65" s="31" t="str">
        <f aca="false">+WORLDCUP!BD66</f>
        <v>Irak</v>
      </c>
      <c r="H65" s="31" t="str">
        <f aca="false">+WORLDCUP!BD65</f>
        <v>España</v>
      </c>
      <c r="I65" s="31" t="str">
        <f aca="false">+WORLDCUP!BD69</f>
        <v>Ghana</v>
      </c>
      <c r="J65" s="31" t="str">
        <f aca="false">+WORLDCUP!BD68</f>
        <v>Uzbekistán</v>
      </c>
      <c r="N65" s="31" t="s">
        <v>1583</v>
      </c>
      <c r="O65" s="31" t="n">
        <v>64</v>
      </c>
      <c r="P65" s="31" t="s">
        <v>98</v>
      </c>
      <c r="Q65" s="31" t="s">
        <v>107</v>
      </c>
      <c r="R65" s="31" t="s">
        <v>85</v>
      </c>
      <c r="S65" s="31" t="s">
        <v>94</v>
      </c>
      <c r="T65" s="31" t="s">
        <v>116</v>
      </c>
      <c r="U65" s="31" t="s">
        <v>112</v>
      </c>
      <c r="V65" s="31" t="s">
        <v>130</v>
      </c>
      <c r="W65" s="31" t="s">
        <v>125</v>
      </c>
    </row>
    <row r="66" customFormat="false" ht="15" hidden="false" customHeight="false" outlineLevel="0" collapsed="false">
      <c r="A66" s="31" t="s">
        <v>1584</v>
      </c>
      <c r="B66" s="31" t="n">
        <f aca="false">+IF(A66=WORLDCUP!$BI$112,1,0)</f>
        <v>0</v>
      </c>
      <c r="C66" s="31" t="str">
        <f aca="false">+WORLDCUP!BD62</f>
        <v>Ecuador</v>
      </c>
      <c r="D66" s="31" t="str">
        <f aca="false">+WORLDCUP!BD67</f>
        <v>Austria</v>
      </c>
      <c r="E66" s="31" t="str">
        <f aca="false">+WORLDCUP!BD59</f>
        <v>Catar</v>
      </c>
      <c r="F66" s="31" t="str">
        <f aca="false">+WORLDCUP!BD61</f>
        <v>Turquía</v>
      </c>
      <c r="G66" s="31" t="str">
        <f aca="false">+WORLDCUP!BD65</f>
        <v>España</v>
      </c>
      <c r="H66" s="31" t="str">
        <f aca="false">+WORLDCUP!BD64</f>
        <v>Bélgica</v>
      </c>
      <c r="I66" s="31" t="str">
        <f aca="false">+WORLDCUP!BD69</f>
        <v>Ghana</v>
      </c>
      <c r="J66" s="31" t="str">
        <f aca="false">+WORLDCUP!BD66</f>
        <v>Irak</v>
      </c>
      <c r="N66" s="31" t="s">
        <v>1584</v>
      </c>
      <c r="O66" s="31" t="n">
        <v>65</v>
      </c>
      <c r="P66" s="31" t="s">
        <v>98</v>
      </c>
      <c r="Q66" s="31" t="s">
        <v>121</v>
      </c>
      <c r="R66" s="31" t="s">
        <v>85</v>
      </c>
      <c r="S66" s="31" t="s">
        <v>94</v>
      </c>
      <c r="T66" s="31" t="s">
        <v>112</v>
      </c>
      <c r="U66" s="31" t="s">
        <v>107</v>
      </c>
      <c r="V66" s="31" t="s">
        <v>130</v>
      </c>
      <c r="W66" s="31" t="s">
        <v>116</v>
      </c>
    </row>
    <row r="67" customFormat="false" ht="15" hidden="false" customHeight="false" outlineLevel="0" collapsed="false">
      <c r="A67" s="31" t="s">
        <v>1585</v>
      </c>
      <c r="B67" s="31" t="n">
        <f aca="false">+IF(A67=WORLDCUP!$BI$112,1,0)</f>
        <v>0</v>
      </c>
      <c r="C67" s="31" t="str">
        <f aca="false">+WORLDCUP!BD62</f>
        <v>Ecuador</v>
      </c>
      <c r="D67" s="31" t="str">
        <f aca="false">+WORLDCUP!BD67</f>
        <v>Austria</v>
      </c>
      <c r="E67" s="31" t="str">
        <f aca="false">+WORLDCUP!BD59</f>
        <v>Catar</v>
      </c>
      <c r="F67" s="31" t="str">
        <f aca="false">+WORLDCUP!BD61</f>
        <v>Turquía</v>
      </c>
      <c r="G67" s="31" t="str">
        <f aca="false">+WORLDCUP!BD65</f>
        <v>España</v>
      </c>
      <c r="H67" s="31" t="str">
        <f aca="false">+WORLDCUP!BD64</f>
        <v>Bélgica</v>
      </c>
      <c r="I67" s="31" t="str">
        <f aca="false">+WORLDCUP!BD66</f>
        <v>Irak</v>
      </c>
      <c r="J67" s="31" t="str">
        <f aca="false">+WORLDCUP!BD68</f>
        <v>Uzbekistán</v>
      </c>
      <c r="N67" s="31" t="s">
        <v>1585</v>
      </c>
      <c r="O67" s="31" t="n">
        <v>66</v>
      </c>
      <c r="P67" s="31" t="s">
        <v>98</v>
      </c>
      <c r="Q67" s="31" t="s">
        <v>121</v>
      </c>
      <c r="R67" s="31" t="s">
        <v>85</v>
      </c>
      <c r="S67" s="31" t="s">
        <v>94</v>
      </c>
      <c r="T67" s="31" t="s">
        <v>112</v>
      </c>
      <c r="U67" s="31" t="s">
        <v>107</v>
      </c>
      <c r="V67" s="31" t="s">
        <v>116</v>
      </c>
      <c r="W67" s="31" t="s">
        <v>125</v>
      </c>
    </row>
    <row r="68" customFormat="false" ht="15" hidden="false" customHeight="false" outlineLevel="0" collapsed="false">
      <c r="A68" s="31" t="s">
        <v>1586</v>
      </c>
      <c r="B68" s="31" t="n">
        <f aca="false">+IF(A68=WORLDCUP!$BI$112,1,0)</f>
        <v>0</v>
      </c>
      <c r="C68" s="31" t="str">
        <f aca="false">+WORLDCUP!BD62</f>
        <v>Ecuador</v>
      </c>
      <c r="D68" s="31" t="str">
        <f aca="false">+WORLDCUP!BD67</f>
        <v>Austria</v>
      </c>
      <c r="E68" s="31" t="str">
        <f aca="false">+WORLDCUP!BD59</f>
        <v>Catar</v>
      </c>
      <c r="F68" s="31" t="str">
        <f aca="false">+WORLDCUP!BD61</f>
        <v>Turquía</v>
      </c>
      <c r="G68" s="31" t="str">
        <f aca="false">+WORLDCUP!BD66</f>
        <v>Irak</v>
      </c>
      <c r="H68" s="31" t="str">
        <f aca="false">+WORLDCUP!BD63</f>
        <v>Japón</v>
      </c>
      <c r="I68" s="31" t="str">
        <f aca="false">+WORLDCUP!BD69</f>
        <v>Ghana</v>
      </c>
      <c r="J68" s="31" t="str">
        <f aca="false">+WORLDCUP!BD68</f>
        <v>Uzbekistán</v>
      </c>
      <c r="N68" s="31" t="s">
        <v>1586</v>
      </c>
      <c r="O68" s="31" t="n">
        <v>67</v>
      </c>
      <c r="P68" s="31" t="s">
        <v>98</v>
      </c>
      <c r="Q68" s="31" t="s">
        <v>121</v>
      </c>
      <c r="R68" s="31" t="s">
        <v>85</v>
      </c>
      <c r="S68" s="31" t="s">
        <v>94</v>
      </c>
      <c r="T68" s="31" t="s">
        <v>116</v>
      </c>
      <c r="U68" s="31" t="s">
        <v>103</v>
      </c>
      <c r="V68" s="31" t="s">
        <v>130</v>
      </c>
      <c r="W68" s="31" t="s">
        <v>125</v>
      </c>
    </row>
    <row r="69" customFormat="false" ht="15" hidden="false" customHeight="false" outlineLevel="0" collapsed="false">
      <c r="A69" s="31" t="s">
        <v>1587</v>
      </c>
      <c r="B69" s="31" t="n">
        <f aca="false">+IF(A69=WORLDCUP!$BI$112,1,0)</f>
        <v>0</v>
      </c>
      <c r="C69" s="31" t="str">
        <f aca="false">+WORLDCUP!BD62</f>
        <v>Ecuador</v>
      </c>
      <c r="D69" s="31" t="str">
        <f aca="false">+WORLDCUP!BD67</f>
        <v>Austria</v>
      </c>
      <c r="E69" s="31" t="str">
        <f aca="false">+WORLDCUP!BD59</f>
        <v>Catar</v>
      </c>
      <c r="F69" s="31" t="str">
        <f aca="false">+WORLDCUP!BD61</f>
        <v>Turquía</v>
      </c>
      <c r="G69" s="31" t="str">
        <f aca="false">+WORLDCUP!BD65</f>
        <v>España</v>
      </c>
      <c r="H69" s="31" t="str">
        <f aca="false">+WORLDCUP!BD63</f>
        <v>Japón</v>
      </c>
      <c r="I69" s="31" t="str">
        <f aca="false">+WORLDCUP!BD69</f>
        <v>Ghana</v>
      </c>
      <c r="J69" s="31" t="str">
        <f aca="false">+WORLDCUP!BD68</f>
        <v>Uzbekistán</v>
      </c>
      <c r="N69" s="31" t="s">
        <v>1587</v>
      </c>
      <c r="O69" s="31" t="n">
        <v>68</v>
      </c>
      <c r="P69" s="31" t="s">
        <v>98</v>
      </c>
      <c r="Q69" s="31" t="s">
        <v>121</v>
      </c>
      <c r="R69" s="31" t="s">
        <v>85</v>
      </c>
      <c r="S69" s="31" t="s">
        <v>94</v>
      </c>
      <c r="T69" s="31" t="s">
        <v>112</v>
      </c>
      <c r="U69" s="31" t="s">
        <v>103</v>
      </c>
      <c r="V69" s="31" t="s">
        <v>130</v>
      </c>
      <c r="W69" s="31" t="s">
        <v>125</v>
      </c>
    </row>
    <row r="70" customFormat="false" ht="15" hidden="false" customHeight="false" outlineLevel="0" collapsed="false">
      <c r="A70" s="31" t="s">
        <v>1588</v>
      </c>
      <c r="B70" s="31" t="n">
        <f aca="false">+IF(A70=WORLDCUP!$BI$112,1,0)</f>
        <v>0</v>
      </c>
      <c r="C70" s="31" t="str">
        <f aca="false">+WORLDCUP!BD62</f>
        <v>Ecuador</v>
      </c>
      <c r="D70" s="31" t="str">
        <f aca="false">+WORLDCUP!BD66</f>
        <v>Irak</v>
      </c>
      <c r="E70" s="31" t="str">
        <f aca="false">+WORLDCUP!BD59</f>
        <v>Catar</v>
      </c>
      <c r="F70" s="31" t="str">
        <f aca="false">+WORLDCUP!BD61</f>
        <v>Turquía</v>
      </c>
      <c r="G70" s="31" t="str">
        <f aca="false">+WORLDCUP!BD65</f>
        <v>España</v>
      </c>
      <c r="H70" s="31" t="str">
        <f aca="false">+WORLDCUP!BD63</f>
        <v>Japón</v>
      </c>
      <c r="I70" s="31" t="str">
        <f aca="false">+WORLDCUP!BD69</f>
        <v>Ghana</v>
      </c>
      <c r="J70" s="31" t="str">
        <f aca="false">+WORLDCUP!BD68</f>
        <v>Uzbekistán</v>
      </c>
      <c r="N70" s="31" t="s">
        <v>1588</v>
      </c>
      <c r="O70" s="31" t="n">
        <v>69</v>
      </c>
      <c r="P70" s="31" t="s">
        <v>98</v>
      </c>
      <c r="Q70" s="31" t="s">
        <v>116</v>
      </c>
      <c r="R70" s="31" t="s">
        <v>85</v>
      </c>
      <c r="S70" s="31" t="s">
        <v>94</v>
      </c>
      <c r="T70" s="31" t="s">
        <v>112</v>
      </c>
      <c r="U70" s="31" t="s">
        <v>103</v>
      </c>
      <c r="V70" s="31" t="s">
        <v>130</v>
      </c>
      <c r="W70" s="31" t="s">
        <v>125</v>
      </c>
    </row>
    <row r="71" customFormat="false" ht="15" hidden="false" customHeight="false" outlineLevel="0" collapsed="false">
      <c r="A71" s="31" t="s">
        <v>1589</v>
      </c>
      <c r="B71" s="31" t="n">
        <f aca="false">+IF(A71=WORLDCUP!$BI$112,1,0)</f>
        <v>0</v>
      </c>
      <c r="C71" s="31" t="str">
        <f aca="false">+WORLDCUP!BD62</f>
        <v>Ecuador</v>
      </c>
      <c r="D71" s="31" t="str">
        <f aca="false">+WORLDCUP!BD67</f>
        <v>Austria</v>
      </c>
      <c r="E71" s="31" t="str">
        <f aca="false">+WORLDCUP!BD59</f>
        <v>Catar</v>
      </c>
      <c r="F71" s="31" t="str">
        <f aca="false">+WORLDCUP!BD61</f>
        <v>Turquía</v>
      </c>
      <c r="G71" s="31" t="str">
        <f aca="false">+WORLDCUP!BD65</f>
        <v>España</v>
      </c>
      <c r="H71" s="31" t="str">
        <f aca="false">+WORLDCUP!BD63</f>
        <v>Japón</v>
      </c>
      <c r="I71" s="31" t="str">
        <f aca="false">+WORLDCUP!BD69</f>
        <v>Ghana</v>
      </c>
      <c r="J71" s="31" t="str">
        <f aca="false">+WORLDCUP!BD66</f>
        <v>Irak</v>
      </c>
      <c r="N71" s="31" t="s">
        <v>1589</v>
      </c>
      <c r="O71" s="31" t="n">
        <v>70</v>
      </c>
      <c r="P71" s="31" t="s">
        <v>98</v>
      </c>
      <c r="Q71" s="31" t="s">
        <v>121</v>
      </c>
      <c r="R71" s="31" t="s">
        <v>85</v>
      </c>
      <c r="S71" s="31" t="s">
        <v>94</v>
      </c>
      <c r="T71" s="31" t="s">
        <v>112</v>
      </c>
      <c r="U71" s="31" t="s">
        <v>103</v>
      </c>
      <c r="V71" s="31" t="s">
        <v>130</v>
      </c>
      <c r="W71" s="31" t="s">
        <v>116</v>
      </c>
    </row>
    <row r="72" customFormat="false" ht="15" hidden="false" customHeight="false" outlineLevel="0" collapsed="false">
      <c r="A72" s="31" t="s">
        <v>1590</v>
      </c>
      <c r="B72" s="31" t="n">
        <f aca="false">+IF(A72=WORLDCUP!$BI$112,1,0)</f>
        <v>0</v>
      </c>
      <c r="C72" s="31" t="str">
        <f aca="false">+WORLDCUP!BD62</f>
        <v>Ecuador</v>
      </c>
      <c r="D72" s="31" t="str">
        <f aca="false">+WORLDCUP!BD67</f>
        <v>Austria</v>
      </c>
      <c r="E72" s="31" t="str">
        <f aca="false">+WORLDCUP!BD59</f>
        <v>Catar</v>
      </c>
      <c r="F72" s="31" t="str">
        <f aca="false">+WORLDCUP!BD61</f>
        <v>Turquía</v>
      </c>
      <c r="G72" s="31" t="str">
        <f aca="false">+WORLDCUP!BD65</f>
        <v>España</v>
      </c>
      <c r="H72" s="31" t="str">
        <f aca="false">+WORLDCUP!BD63</f>
        <v>Japón</v>
      </c>
      <c r="I72" s="31" t="str">
        <f aca="false">+WORLDCUP!BD66</f>
        <v>Irak</v>
      </c>
      <c r="J72" s="31" t="str">
        <f aca="false">+WORLDCUP!BD68</f>
        <v>Uzbekistán</v>
      </c>
      <c r="N72" s="31" t="s">
        <v>1590</v>
      </c>
      <c r="O72" s="31" t="n">
        <v>71</v>
      </c>
      <c r="P72" s="31" t="s">
        <v>98</v>
      </c>
      <c r="Q72" s="31" t="s">
        <v>121</v>
      </c>
      <c r="R72" s="31" t="s">
        <v>85</v>
      </c>
      <c r="S72" s="31" t="s">
        <v>94</v>
      </c>
      <c r="T72" s="31" t="s">
        <v>112</v>
      </c>
      <c r="U72" s="31" t="s">
        <v>103</v>
      </c>
      <c r="V72" s="31" t="s">
        <v>116</v>
      </c>
      <c r="W72" s="31" t="s">
        <v>125</v>
      </c>
    </row>
    <row r="73" customFormat="false" ht="15" hidden="false" customHeight="false" outlineLevel="0" collapsed="false">
      <c r="A73" s="31" t="s">
        <v>1591</v>
      </c>
      <c r="B73" s="31" t="n">
        <f aca="false">+IF(A73=WORLDCUP!$BI$112,1,0)</f>
        <v>0</v>
      </c>
      <c r="C73" s="31" t="str">
        <f aca="false">+WORLDCUP!BD62</f>
        <v>Ecuador</v>
      </c>
      <c r="D73" s="31" t="str">
        <f aca="false">+WORLDCUP!BD64</f>
        <v>Bélgica</v>
      </c>
      <c r="E73" s="31" t="str">
        <f aca="false">+WORLDCUP!BD59</f>
        <v>Catar</v>
      </c>
      <c r="F73" s="31" t="str">
        <f aca="false">+WORLDCUP!BD61</f>
        <v>Turquía</v>
      </c>
      <c r="G73" s="31" t="str">
        <f aca="false">+WORLDCUP!BD67</f>
        <v>Austria</v>
      </c>
      <c r="H73" s="31" t="str">
        <f aca="false">+WORLDCUP!BD63</f>
        <v>Japón</v>
      </c>
      <c r="I73" s="31" t="str">
        <f aca="false">+WORLDCUP!BD69</f>
        <v>Ghana</v>
      </c>
      <c r="J73" s="31" t="str">
        <f aca="false">+WORLDCUP!BD68</f>
        <v>Uzbekistán</v>
      </c>
      <c r="N73" s="31" t="s">
        <v>1591</v>
      </c>
      <c r="O73" s="31" t="n">
        <v>72</v>
      </c>
      <c r="P73" s="31" t="s">
        <v>98</v>
      </c>
      <c r="Q73" s="31" t="s">
        <v>107</v>
      </c>
      <c r="R73" s="31" t="s">
        <v>85</v>
      </c>
      <c r="S73" s="31" t="s">
        <v>94</v>
      </c>
      <c r="T73" s="31" t="s">
        <v>121</v>
      </c>
      <c r="U73" s="31" t="s">
        <v>103</v>
      </c>
      <c r="V73" s="31" t="s">
        <v>130</v>
      </c>
      <c r="W73" s="31" t="s">
        <v>125</v>
      </c>
    </row>
    <row r="74" customFormat="false" ht="15" hidden="false" customHeight="false" outlineLevel="0" collapsed="false">
      <c r="A74" s="31" t="s">
        <v>1592</v>
      </c>
      <c r="B74" s="31" t="n">
        <f aca="false">+IF(A74=WORLDCUP!$BI$112,1,0)</f>
        <v>0</v>
      </c>
      <c r="C74" s="31" t="str">
        <f aca="false">+WORLDCUP!BD62</f>
        <v>Ecuador</v>
      </c>
      <c r="D74" s="31" t="str">
        <f aca="false">+WORLDCUP!BD64</f>
        <v>Bélgica</v>
      </c>
      <c r="E74" s="31" t="str">
        <f aca="false">+WORLDCUP!BD59</f>
        <v>Catar</v>
      </c>
      <c r="F74" s="31" t="str">
        <f aca="false">+WORLDCUP!BD61</f>
        <v>Turquía</v>
      </c>
      <c r="G74" s="31" t="str">
        <f aca="false">+WORLDCUP!BD66</f>
        <v>Irak</v>
      </c>
      <c r="H74" s="31" t="str">
        <f aca="false">+WORLDCUP!BD63</f>
        <v>Japón</v>
      </c>
      <c r="I74" s="31" t="str">
        <f aca="false">+WORLDCUP!BD69</f>
        <v>Ghana</v>
      </c>
      <c r="J74" s="31" t="str">
        <f aca="false">+WORLDCUP!BD68</f>
        <v>Uzbekistán</v>
      </c>
      <c r="N74" s="31" t="s">
        <v>1592</v>
      </c>
      <c r="O74" s="31" t="n">
        <v>73</v>
      </c>
      <c r="P74" s="31" t="s">
        <v>98</v>
      </c>
      <c r="Q74" s="31" t="s">
        <v>107</v>
      </c>
      <c r="R74" s="31" t="s">
        <v>85</v>
      </c>
      <c r="S74" s="31" t="s">
        <v>94</v>
      </c>
      <c r="T74" s="31" t="s">
        <v>116</v>
      </c>
      <c r="U74" s="31" t="s">
        <v>103</v>
      </c>
      <c r="V74" s="31" t="s">
        <v>130</v>
      </c>
      <c r="W74" s="31" t="s">
        <v>125</v>
      </c>
    </row>
    <row r="75" customFormat="false" ht="15" hidden="false" customHeight="false" outlineLevel="0" collapsed="false">
      <c r="A75" s="31" t="s">
        <v>1593</v>
      </c>
      <c r="B75" s="31" t="n">
        <f aca="false">+IF(A75=WORLDCUP!$BI$112,1,0)</f>
        <v>0</v>
      </c>
      <c r="C75" s="31" t="str">
        <f aca="false">+WORLDCUP!BD62</f>
        <v>Ecuador</v>
      </c>
      <c r="D75" s="31" t="str">
        <f aca="false">+WORLDCUP!BD64</f>
        <v>Bélgica</v>
      </c>
      <c r="E75" s="31" t="str">
        <f aca="false">+WORLDCUP!BD59</f>
        <v>Catar</v>
      </c>
      <c r="F75" s="31" t="str">
        <f aca="false">+WORLDCUP!BD61</f>
        <v>Turquía</v>
      </c>
      <c r="G75" s="31" t="str">
        <f aca="false">+WORLDCUP!BD67</f>
        <v>Austria</v>
      </c>
      <c r="H75" s="31" t="str">
        <f aca="false">+WORLDCUP!BD63</f>
        <v>Japón</v>
      </c>
      <c r="I75" s="31" t="str">
        <f aca="false">+WORLDCUP!BD69</f>
        <v>Ghana</v>
      </c>
      <c r="J75" s="31" t="str">
        <f aca="false">+WORLDCUP!BD66</f>
        <v>Irak</v>
      </c>
      <c r="N75" s="31" t="s">
        <v>1593</v>
      </c>
      <c r="O75" s="31" t="n">
        <v>74</v>
      </c>
      <c r="P75" s="31" t="s">
        <v>98</v>
      </c>
      <c r="Q75" s="31" t="s">
        <v>107</v>
      </c>
      <c r="R75" s="31" t="s">
        <v>85</v>
      </c>
      <c r="S75" s="31" t="s">
        <v>94</v>
      </c>
      <c r="T75" s="31" t="s">
        <v>121</v>
      </c>
      <c r="U75" s="31" t="s">
        <v>103</v>
      </c>
      <c r="V75" s="31" t="s">
        <v>130</v>
      </c>
      <c r="W75" s="31" t="s">
        <v>116</v>
      </c>
    </row>
    <row r="76" customFormat="false" ht="15" hidden="false" customHeight="false" outlineLevel="0" collapsed="false">
      <c r="A76" s="31" t="s">
        <v>1594</v>
      </c>
      <c r="B76" s="31" t="n">
        <f aca="false">+IF(A76=WORLDCUP!$BI$112,1,0)</f>
        <v>0</v>
      </c>
      <c r="C76" s="31" t="str">
        <f aca="false">+WORLDCUP!BD62</f>
        <v>Ecuador</v>
      </c>
      <c r="D76" s="31" t="str">
        <f aca="false">+WORLDCUP!BD64</f>
        <v>Bélgica</v>
      </c>
      <c r="E76" s="31" t="str">
        <f aca="false">+WORLDCUP!BD59</f>
        <v>Catar</v>
      </c>
      <c r="F76" s="31" t="str">
        <f aca="false">+WORLDCUP!BD61</f>
        <v>Turquía</v>
      </c>
      <c r="G76" s="31" t="str">
        <f aca="false">+WORLDCUP!BD67</f>
        <v>Austria</v>
      </c>
      <c r="H76" s="31" t="str">
        <f aca="false">+WORLDCUP!BD63</f>
        <v>Japón</v>
      </c>
      <c r="I76" s="31" t="str">
        <f aca="false">+WORLDCUP!BD66</f>
        <v>Irak</v>
      </c>
      <c r="J76" s="31" t="str">
        <f aca="false">+WORLDCUP!BD68</f>
        <v>Uzbekistán</v>
      </c>
      <c r="N76" s="31" t="s">
        <v>1594</v>
      </c>
      <c r="O76" s="31" t="n">
        <v>75</v>
      </c>
      <c r="P76" s="31" t="s">
        <v>98</v>
      </c>
      <c r="Q76" s="31" t="s">
        <v>107</v>
      </c>
      <c r="R76" s="31" t="s">
        <v>85</v>
      </c>
      <c r="S76" s="31" t="s">
        <v>94</v>
      </c>
      <c r="T76" s="31" t="s">
        <v>121</v>
      </c>
      <c r="U76" s="31" t="s">
        <v>103</v>
      </c>
      <c r="V76" s="31" t="s">
        <v>116</v>
      </c>
      <c r="W76" s="31" t="s">
        <v>125</v>
      </c>
    </row>
    <row r="77" customFormat="false" ht="15" hidden="false" customHeight="false" outlineLevel="0" collapsed="false">
      <c r="A77" s="31" t="s">
        <v>1595</v>
      </c>
      <c r="B77" s="31" t="n">
        <f aca="false">+IF(A77=WORLDCUP!$BI$112,1,0)</f>
        <v>0</v>
      </c>
      <c r="C77" s="31" t="str">
        <f aca="false">+WORLDCUP!BD62</f>
        <v>Ecuador</v>
      </c>
      <c r="D77" s="31" t="str">
        <f aca="false">+WORLDCUP!BD64</f>
        <v>Bélgica</v>
      </c>
      <c r="E77" s="31" t="str">
        <f aca="false">+WORLDCUP!BD59</f>
        <v>Catar</v>
      </c>
      <c r="F77" s="31" t="str">
        <f aca="false">+WORLDCUP!BD61</f>
        <v>Turquía</v>
      </c>
      <c r="G77" s="31" t="str">
        <f aca="false">+WORLDCUP!BD65</f>
        <v>España</v>
      </c>
      <c r="H77" s="31" t="str">
        <f aca="false">+WORLDCUP!BD63</f>
        <v>Japón</v>
      </c>
      <c r="I77" s="31" t="str">
        <f aca="false">+WORLDCUP!BD69</f>
        <v>Ghana</v>
      </c>
      <c r="J77" s="31" t="str">
        <f aca="false">+WORLDCUP!BD68</f>
        <v>Uzbekistán</v>
      </c>
      <c r="N77" s="31" t="s">
        <v>1595</v>
      </c>
      <c r="O77" s="31" t="n">
        <v>76</v>
      </c>
      <c r="P77" s="31" t="s">
        <v>98</v>
      </c>
      <c r="Q77" s="31" t="s">
        <v>107</v>
      </c>
      <c r="R77" s="31" t="s">
        <v>85</v>
      </c>
      <c r="S77" s="31" t="s">
        <v>94</v>
      </c>
      <c r="T77" s="31" t="s">
        <v>112</v>
      </c>
      <c r="U77" s="31" t="s">
        <v>103</v>
      </c>
      <c r="V77" s="31" t="s">
        <v>130</v>
      </c>
      <c r="W77" s="31" t="s">
        <v>125</v>
      </c>
    </row>
    <row r="78" customFormat="false" ht="15" hidden="false" customHeight="false" outlineLevel="0" collapsed="false">
      <c r="A78" s="31" t="s">
        <v>1596</v>
      </c>
      <c r="B78" s="31" t="n">
        <f aca="false">+IF(A78=WORLDCUP!$BI$112,1,0)</f>
        <v>0</v>
      </c>
      <c r="C78" s="31" t="str">
        <f aca="false">+WORLDCUP!BD65</f>
        <v>España</v>
      </c>
      <c r="D78" s="31" t="str">
        <f aca="false">+WORLDCUP!BD64</f>
        <v>Bélgica</v>
      </c>
      <c r="E78" s="31" t="str">
        <f aca="false">+WORLDCUP!BD59</f>
        <v>Catar</v>
      </c>
      <c r="F78" s="31" t="str">
        <f aca="false">+WORLDCUP!BD61</f>
        <v>Turquía</v>
      </c>
      <c r="G78" s="31" t="str">
        <f aca="false">+WORLDCUP!BD67</f>
        <v>Austria</v>
      </c>
      <c r="H78" s="31" t="str">
        <f aca="false">+WORLDCUP!BD63</f>
        <v>Japón</v>
      </c>
      <c r="I78" s="31" t="str">
        <f aca="false">+WORLDCUP!BD69</f>
        <v>Ghana</v>
      </c>
      <c r="J78" s="31" t="str">
        <f aca="false">+WORLDCUP!BD62</f>
        <v>Ecuador</v>
      </c>
      <c r="N78" s="31" t="s">
        <v>1596</v>
      </c>
      <c r="O78" s="31" t="n">
        <v>77</v>
      </c>
      <c r="P78" s="31" t="s">
        <v>112</v>
      </c>
      <c r="Q78" s="31" t="s">
        <v>107</v>
      </c>
      <c r="R78" s="31" t="s">
        <v>85</v>
      </c>
      <c r="S78" s="31" t="s">
        <v>94</v>
      </c>
      <c r="T78" s="31" t="s">
        <v>121</v>
      </c>
      <c r="U78" s="31" t="s">
        <v>103</v>
      </c>
      <c r="V78" s="31" t="s">
        <v>130</v>
      </c>
      <c r="W78" s="31" t="s">
        <v>98</v>
      </c>
    </row>
    <row r="79" customFormat="false" ht="15" hidden="false" customHeight="false" outlineLevel="0" collapsed="false">
      <c r="A79" s="31" t="s">
        <v>1597</v>
      </c>
      <c r="B79" s="31" t="n">
        <f aca="false">+IF(A79=WORLDCUP!$BI$112,1,0)</f>
        <v>0</v>
      </c>
      <c r="C79" s="31" t="str">
        <f aca="false">+WORLDCUP!BD65</f>
        <v>España</v>
      </c>
      <c r="D79" s="31" t="str">
        <f aca="false">+WORLDCUP!BD64</f>
        <v>Bélgica</v>
      </c>
      <c r="E79" s="31" t="str">
        <f aca="false">+WORLDCUP!BD59</f>
        <v>Catar</v>
      </c>
      <c r="F79" s="31" t="str">
        <f aca="false">+WORLDCUP!BD61</f>
        <v>Turquía</v>
      </c>
      <c r="G79" s="31" t="str">
        <f aca="false">+WORLDCUP!BD67</f>
        <v>Austria</v>
      </c>
      <c r="H79" s="31" t="str">
        <f aca="false">+WORLDCUP!BD63</f>
        <v>Japón</v>
      </c>
      <c r="I79" s="31" t="str">
        <f aca="false">+WORLDCUP!BD62</f>
        <v>Ecuador</v>
      </c>
      <c r="J79" s="31" t="str">
        <f aca="false">+WORLDCUP!BD68</f>
        <v>Uzbekistán</v>
      </c>
      <c r="N79" s="31" t="s">
        <v>1597</v>
      </c>
      <c r="O79" s="31" t="n">
        <v>78</v>
      </c>
      <c r="P79" s="31" t="s">
        <v>112</v>
      </c>
      <c r="Q79" s="31" t="s">
        <v>107</v>
      </c>
      <c r="R79" s="31" t="s">
        <v>85</v>
      </c>
      <c r="S79" s="31" t="s">
        <v>94</v>
      </c>
      <c r="T79" s="31" t="s">
        <v>121</v>
      </c>
      <c r="U79" s="31" t="s">
        <v>103</v>
      </c>
      <c r="V79" s="31" t="s">
        <v>98</v>
      </c>
      <c r="W79" s="31" t="s">
        <v>125</v>
      </c>
    </row>
    <row r="80" customFormat="false" ht="15" hidden="false" customHeight="false" outlineLevel="0" collapsed="false">
      <c r="A80" s="31" t="s">
        <v>1598</v>
      </c>
      <c r="B80" s="31" t="n">
        <f aca="false">+IF(A80=WORLDCUP!$BI$112,1,0)</f>
        <v>0</v>
      </c>
      <c r="C80" s="31" t="str">
        <f aca="false">+WORLDCUP!BD62</f>
        <v>Ecuador</v>
      </c>
      <c r="D80" s="31" t="str">
        <f aca="false">+WORLDCUP!BD64</f>
        <v>Bélgica</v>
      </c>
      <c r="E80" s="31" t="str">
        <f aca="false">+WORLDCUP!BD59</f>
        <v>Catar</v>
      </c>
      <c r="F80" s="31" t="str">
        <f aca="false">+WORLDCUP!BD61</f>
        <v>Turquía</v>
      </c>
      <c r="G80" s="31" t="str">
        <f aca="false">+WORLDCUP!BD65</f>
        <v>España</v>
      </c>
      <c r="H80" s="31" t="str">
        <f aca="false">+WORLDCUP!BD63</f>
        <v>Japón</v>
      </c>
      <c r="I80" s="31" t="str">
        <f aca="false">+WORLDCUP!BD69</f>
        <v>Ghana</v>
      </c>
      <c r="J80" s="31" t="str">
        <f aca="false">+WORLDCUP!BD66</f>
        <v>Irak</v>
      </c>
      <c r="N80" s="31" t="s">
        <v>1598</v>
      </c>
      <c r="O80" s="31" t="n">
        <v>79</v>
      </c>
      <c r="P80" s="31" t="s">
        <v>98</v>
      </c>
      <c r="Q80" s="31" t="s">
        <v>107</v>
      </c>
      <c r="R80" s="31" t="s">
        <v>85</v>
      </c>
      <c r="S80" s="31" t="s">
        <v>94</v>
      </c>
      <c r="T80" s="31" t="s">
        <v>112</v>
      </c>
      <c r="U80" s="31" t="s">
        <v>103</v>
      </c>
      <c r="V80" s="31" t="s">
        <v>130</v>
      </c>
      <c r="W80" s="31" t="s">
        <v>116</v>
      </c>
    </row>
    <row r="81" customFormat="false" ht="15" hidden="false" customHeight="false" outlineLevel="0" collapsed="false">
      <c r="A81" s="31" t="s">
        <v>1599</v>
      </c>
      <c r="B81" s="31" t="n">
        <f aca="false">+IF(A81=WORLDCUP!$BI$112,1,0)</f>
        <v>0</v>
      </c>
      <c r="C81" s="31" t="str">
        <f aca="false">+WORLDCUP!BD62</f>
        <v>Ecuador</v>
      </c>
      <c r="D81" s="31" t="str">
        <f aca="false">+WORLDCUP!BD64</f>
        <v>Bélgica</v>
      </c>
      <c r="E81" s="31" t="str">
        <f aca="false">+WORLDCUP!BD59</f>
        <v>Catar</v>
      </c>
      <c r="F81" s="31" t="str">
        <f aca="false">+WORLDCUP!BD61</f>
        <v>Turquía</v>
      </c>
      <c r="G81" s="31" t="str">
        <f aca="false">+WORLDCUP!BD65</f>
        <v>España</v>
      </c>
      <c r="H81" s="31" t="str">
        <f aca="false">+WORLDCUP!BD63</f>
        <v>Japón</v>
      </c>
      <c r="I81" s="31" t="str">
        <f aca="false">+WORLDCUP!BD66</f>
        <v>Irak</v>
      </c>
      <c r="J81" s="31" t="str">
        <f aca="false">+WORLDCUP!BD68</f>
        <v>Uzbekistán</v>
      </c>
      <c r="N81" s="31" t="s">
        <v>1599</v>
      </c>
      <c r="O81" s="31" t="n">
        <v>80</v>
      </c>
      <c r="P81" s="31" t="s">
        <v>98</v>
      </c>
      <c r="Q81" s="31" t="s">
        <v>107</v>
      </c>
      <c r="R81" s="31" t="s">
        <v>85</v>
      </c>
      <c r="S81" s="31" t="s">
        <v>94</v>
      </c>
      <c r="T81" s="31" t="s">
        <v>112</v>
      </c>
      <c r="U81" s="31" t="s">
        <v>103</v>
      </c>
      <c r="V81" s="31" t="s">
        <v>116</v>
      </c>
      <c r="W81" s="31" t="s">
        <v>125</v>
      </c>
    </row>
    <row r="82" customFormat="false" ht="15" hidden="false" customHeight="false" outlineLevel="0" collapsed="false">
      <c r="A82" s="31" t="s">
        <v>1600</v>
      </c>
      <c r="B82" s="31" t="n">
        <f aca="false">+IF(A82=WORLDCUP!$BI$112,1,0)</f>
        <v>0</v>
      </c>
      <c r="C82" s="31" t="str">
        <f aca="false">+WORLDCUP!BD65</f>
        <v>España</v>
      </c>
      <c r="D82" s="31" t="str">
        <f aca="false">+WORLDCUP!BD64</f>
        <v>Bélgica</v>
      </c>
      <c r="E82" s="31" t="str">
        <f aca="false">+WORLDCUP!BD59</f>
        <v>Catar</v>
      </c>
      <c r="F82" s="31" t="str">
        <f aca="false">+WORLDCUP!BD61</f>
        <v>Turquía</v>
      </c>
      <c r="G82" s="31" t="str">
        <f aca="false">+WORLDCUP!BD67</f>
        <v>Austria</v>
      </c>
      <c r="H82" s="31" t="str">
        <f aca="false">+WORLDCUP!BD63</f>
        <v>Japón</v>
      </c>
      <c r="I82" s="31" t="str">
        <f aca="false">+WORLDCUP!BD62</f>
        <v>Ecuador</v>
      </c>
      <c r="J82" s="31" t="str">
        <f aca="false">+WORLDCUP!BD66</f>
        <v>Irak</v>
      </c>
      <c r="N82" s="31" t="s">
        <v>1600</v>
      </c>
      <c r="O82" s="31" t="n">
        <v>81</v>
      </c>
      <c r="P82" s="31" t="s">
        <v>112</v>
      </c>
      <c r="Q82" s="31" t="s">
        <v>107</v>
      </c>
      <c r="R82" s="31" t="s">
        <v>85</v>
      </c>
      <c r="S82" s="31" t="s">
        <v>94</v>
      </c>
      <c r="T82" s="31" t="s">
        <v>121</v>
      </c>
      <c r="U82" s="31" t="s">
        <v>103</v>
      </c>
      <c r="V82" s="31" t="s">
        <v>98</v>
      </c>
      <c r="W82" s="31" t="s">
        <v>116</v>
      </c>
    </row>
    <row r="83" customFormat="false" ht="15" hidden="false" customHeight="false" outlineLevel="0" collapsed="false">
      <c r="A83" s="31" t="s">
        <v>1601</v>
      </c>
      <c r="B83" s="31" t="n">
        <f aca="false">+IF(A83=WORLDCUP!$BI$112,1,0)</f>
        <v>0</v>
      </c>
      <c r="C83" s="31" t="str">
        <f aca="false">+WORLDCUP!BD65</f>
        <v>España</v>
      </c>
      <c r="D83" s="31" t="str">
        <f aca="false">+WORLDCUP!BD67</f>
        <v>Austria</v>
      </c>
      <c r="E83" s="31" t="str">
        <f aca="false">+WORLDCUP!BD59</f>
        <v>Catar</v>
      </c>
      <c r="F83" s="31" t="str">
        <f aca="false">+WORLDCUP!BD60</f>
        <v>Marruecos</v>
      </c>
      <c r="G83" s="31" t="str">
        <f aca="false">+WORLDCUP!BD66</f>
        <v>Irak</v>
      </c>
      <c r="H83" s="31" t="str">
        <f aca="false">+WORLDCUP!BD64</f>
        <v>Bélgica</v>
      </c>
      <c r="I83" s="31" t="str">
        <f aca="false">+WORLDCUP!BD69</f>
        <v>Ghana</v>
      </c>
      <c r="J83" s="31" t="str">
        <f aca="false">+WORLDCUP!BD68</f>
        <v>Uzbekistán</v>
      </c>
      <c r="N83" s="31" t="s">
        <v>1601</v>
      </c>
      <c r="O83" s="31" t="n">
        <v>82</v>
      </c>
      <c r="P83" s="31" t="s">
        <v>112</v>
      </c>
      <c r="Q83" s="31" t="s">
        <v>121</v>
      </c>
      <c r="R83" s="31" t="s">
        <v>85</v>
      </c>
      <c r="S83" s="31" t="s">
        <v>89</v>
      </c>
      <c r="T83" s="31" t="s">
        <v>116</v>
      </c>
      <c r="U83" s="31" t="s">
        <v>107</v>
      </c>
      <c r="V83" s="31" t="s">
        <v>130</v>
      </c>
      <c r="W83" s="31" t="s">
        <v>125</v>
      </c>
    </row>
    <row r="84" customFormat="false" ht="15" hidden="false" customHeight="false" outlineLevel="0" collapsed="false">
      <c r="A84" s="31" t="s">
        <v>1602</v>
      </c>
      <c r="B84" s="31" t="n">
        <f aca="false">+IF(A84=WORLDCUP!$BI$112,1,0)</f>
        <v>0</v>
      </c>
      <c r="C84" s="31" t="str">
        <f aca="false">+WORLDCUP!BD65</f>
        <v>España</v>
      </c>
      <c r="D84" s="31" t="str">
        <f aca="false">+WORLDCUP!BD67</f>
        <v>Austria</v>
      </c>
      <c r="E84" s="31" t="str">
        <f aca="false">+WORLDCUP!BD59</f>
        <v>Catar</v>
      </c>
      <c r="F84" s="31" t="str">
        <f aca="false">+WORLDCUP!BD60</f>
        <v>Marruecos</v>
      </c>
      <c r="G84" s="31" t="str">
        <f aca="false">+WORLDCUP!BD66</f>
        <v>Irak</v>
      </c>
      <c r="H84" s="31" t="str">
        <f aca="false">+WORLDCUP!BD63</f>
        <v>Japón</v>
      </c>
      <c r="I84" s="31" t="str">
        <f aca="false">+WORLDCUP!BD69</f>
        <v>Ghana</v>
      </c>
      <c r="J84" s="31" t="str">
        <f aca="false">+WORLDCUP!BD68</f>
        <v>Uzbekistán</v>
      </c>
      <c r="N84" s="31" t="s">
        <v>1602</v>
      </c>
      <c r="O84" s="31" t="n">
        <v>83</v>
      </c>
      <c r="P84" s="31" t="s">
        <v>112</v>
      </c>
      <c r="Q84" s="31" t="s">
        <v>121</v>
      </c>
      <c r="R84" s="31" t="s">
        <v>85</v>
      </c>
      <c r="S84" s="31" t="s">
        <v>89</v>
      </c>
      <c r="T84" s="31" t="s">
        <v>116</v>
      </c>
      <c r="U84" s="31" t="s">
        <v>103</v>
      </c>
      <c r="V84" s="31" t="s">
        <v>130</v>
      </c>
      <c r="W84" s="31" t="s">
        <v>125</v>
      </c>
    </row>
    <row r="85" customFormat="false" ht="15" hidden="false" customHeight="false" outlineLevel="0" collapsed="false">
      <c r="A85" s="31" t="s">
        <v>1603</v>
      </c>
      <c r="B85" s="31" t="n">
        <f aca="false">+IF(A85=WORLDCUP!$BI$112,1,0)</f>
        <v>0</v>
      </c>
      <c r="C85" s="31" t="str">
        <f aca="false">+WORLDCUP!BD66</f>
        <v>Irak</v>
      </c>
      <c r="D85" s="31" t="str">
        <f aca="false">+WORLDCUP!BD64</f>
        <v>Bélgica</v>
      </c>
      <c r="E85" s="31" t="str">
        <f aca="false">+WORLDCUP!BD59</f>
        <v>Catar</v>
      </c>
      <c r="F85" s="31" t="str">
        <f aca="false">+WORLDCUP!BD60</f>
        <v>Marruecos</v>
      </c>
      <c r="G85" s="31" t="str">
        <f aca="false">+WORLDCUP!BD67</f>
        <v>Austria</v>
      </c>
      <c r="H85" s="31" t="str">
        <f aca="false">+WORLDCUP!BD63</f>
        <v>Japón</v>
      </c>
      <c r="I85" s="31" t="str">
        <f aca="false">+WORLDCUP!BD69</f>
        <v>Ghana</v>
      </c>
      <c r="J85" s="31" t="str">
        <f aca="false">+WORLDCUP!BD68</f>
        <v>Uzbekistán</v>
      </c>
      <c r="N85" s="31" t="s">
        <v>1603</v>
      </c>
      <c r="O85" s="31" t="n">
        <v>84</v>
      </c>
      <c r="P85" s="31" t="s">
        <v>116</v>
      </c>
      <c r="Q85" s="31" t="s">
        <v>107</v>
      </c>
      <c r="R85" s="31" t="s">
        <v>85</v>
      </c>
      <c r="S85" s="31" t="s">
        <v>89</v>
      </c>
      <c r="T85" s="31" t="s">
        <v>121</v>
      </c>
      <c r="U85" s="31" t="s">
        <v>103</v>
      </c>
      <c r="V85" s="31" t="s">
        <v>130</v>
      </c>
      <c r="W85" s="31" t="s">
        <v>125</v>
      </c>
    </row>
    <row r="86" customFormat="false" ht="15" hidden="false" customHeight="false" outlineLevel="0" collapsed="false">
      <c r="A86" s="31" t="s">
        <v>1604</v>
      </c>
      <c r="B86" s="31" t="n">
        <f aca="false">+IF(A86=WORLDCUP!$BI$112,1,0)</f>
        <v>0</v>
      </c>
      <c r="C86" s="31" t="str">
        <f aca="false">+WORLDCUP!BD65</f>
        <v>España</v>
      </c>
      <c r="D86" s="31" t="str">
        <f aca="false">+WORLDCUP!BD64</f>
        <v>Bélgica</v>
      </c>
      <c r="E86" s="31" t="str">
        <f aca="false">+WORLDCUP!BD59</f>
        <v>Catar</v>
      </c>
      <c r="F86" s="31" t="str">
        <f aca="false">+WORLDCUP!BD60</f>
        <v>Marruecos</v>
      </c>
      <c r="G86" s="31" t="str">
        <f aca="false">+WORLDCUP!BD67</f>
        <v>Austria</v>
      </c>
      <c r="H86" s="31" t="str">
        <f aca="false">+WORLDCUP!BD63</f>
        <v>Japón</v>
      </c>
      <c r="I86" s="31" t="str">
        <f aca="false">+WORLDCUP!BD69</f>
        <v>Ghana</v>
      </c>
      <c r="J86" s="31" t="str">
        <f aca="false">+WORLDCUP!BD68</f>
        <v>Uzbekistán</v>
      </c>
      <c r="N86" s="31" t="s">
        <v>1604</v>
      </c>
      <c r="O86" s="31" t="n">
        <v>85</v>
      </c>
      <c r="P86" s="31" t="s">
        <v>112</v>
      </c>
      <c r="Q86" s="31" t="s">
        <v>107</v>
      </c>
      <c r="R86" s="31" t="s">
        <v>85</v>
      </c>
      <c r="S86" s="31" t="s">
        <v>89</v>
      </c>
      <c r="T86" s="31" t="s">
        <v>121</v>
      </c>
      <c r="U86" s="31" t="s">
        <v>103</v>
      </c>
      <c r="V86" s="31" t="s">
        <v>130</v>
      </c>
      <c r="W86" s="31" t="s">
        <v>125</v>
      </c>
    </row>
    <row r="87" customFormat="false" ht="15" hidden="false" customHeight="false" outlineLevel="0" collapsed="false">
      <c r="A87" s="31" t="s">
        <v>1605</v>
      </c>
      <c r="B87" s="31" t="n">
        <f aca="false">+IF(A87=WORLDCUP!$BI$112,1,0)</f>
        <v>0</v>
      </c>
      <c r="C87" s="31" t="str">
        <f aca="false">+WORLDCUP!BD65</f>
        <v>España</v>
      </c>
      <c r="D87" s="31" t="str">
        <f aca="false">+WORLDCUP!BD64</f>
        <v>Bélgica</v>
      </c>
      <c r="E87" s="31" t="str">
        <f aca="false">+WORLDCUP!BD59</f>
        <v>Catar</v>
      </c>
      <c r="F87" s="31" t="str">
        <f aca="false">+WORLDCUP!BD60</f>
        <v>Marruecos</v>
      </c>
      <c r="G87" s="31" t="str">
        <f aca="false">+WORLDCUP!BD66</f>
        <v>Irak</v>
      </c>
      <c r="H87" s="31" t="str">
        <f aca="false">+WORLDCUP!BD63</f>
        <v>Japón</v>
      </c>
      <c r="I87" s="31" t="str">
        <f aca="false">+WORLDCUP!BD69</f>
        <v>Ghana</v>
      </c>
      <c r="J87" s="31" t="str">
        <f aca="false">+WORLDCUP!BD68</f>
        <v>Uzbekistán</v>
      </c>
      <c r="N87" s="31" t="s">
        <v>1605</v>
      </c>
      <c r="O87" s="31" t="n">
        <v>86</v>
      </c>
      <c r="P87" s="31" t="s">
        <v>112</v>
      </c>
      <c r="Q87" s="31" t="s">
        <v>107</v>
      </c>
      <c r="R87" s="31" t="s">
        <v>85</v>
      </c>
      <c r="S87" s="31" t="s">
        <v>89</v>
      </c>
      <c r="T87" s="31" t="s">
        <v>116</v>
      </c>
      <c r="U87" s="31" t="s">
        <v>103</v>
      </c>
      <c r="V87" s="31" t="s">
        <v>130</v>
      </c>
      <c r="W87" s="31" t="s">
        <v>125</v>
      </c>
    </row>
    <row r="88" customFormat="false" ht="15" hidden="false" customHeight="false" outlineLevel="0" collapsed="false">
      <c r="A88" s="31" t="s">
        <v>1606</v>
      </c>
      <c r="B88" s="31" t="n">
        <f aca="false">+IF(A88=WORLDCUP!$BI$112,1,0)</f>
        <v>0</v>
      </c>
      <c r="C88" s="31" t="str">
        <f aca="false">+WORLDCUP!BD65</f>
        <v>España</v>
      </c>
      <c r="D88" s="31" t="str">
        <f aca="false">+WORLDCUP!BD64</f>
        <v>Bélgica</v>
      </c>
      <c r="E88" s="31" t="str">
        <f aca="false">+WORLDCUP!BD59</f>
        <v>Catar</v>
      </c>
      <c r="F88" s="31" t="str">
        <f aca="false">+WORLDCUP!BD60</f>
        <v>Marruecos</v>
      </c>
      <c r="G88" s="31" t="str">
        <f aca="false">+WORLDCUP!BD67</f>
        <v>Austria</v>
      </c>
      <c r="H88" s="31" t="str">
        <f aca="false">+WORLDCUP!BD63</f>
        <v>Japón</v>
      </c>
      <c r="I88" s="31" t="str">
        <f aca="false">+WORLDCUP!BD69</f>
        <v>Ghana</v>
      </c>
      <c r="J88" s="31" t="str">
        <f aca="false">+WORLDCUP!BD66</f>
        <v>Irak</v>
      </c>
      <c r="N88" s="31" t="s">
        <v>1606</v>
      </c>
      <c r="O88" s="31" t="n">
        <v>87</v>
      </c>
      <c r="P88" s="31" t="s">
        <v>112</v>
      </c>
      <c r="Q88" s="31" t="s">
        <v>107</v>
      </c>
      <c r="R88" s="31" t="s">
        <v>85</v>
      </c>
      <c r="S88" s="31" t="s">
        <v>89</v>
      </c>
      <c r="T88" s="31" t="s">
        <v>121</v>
      </c>
      <c r="U88" s="31" t="s">
        <v>103</v>
      </c>
      <c r="V88" s="31" t="s">
        <v>130</v>
      </c>
      <c r="W88" s="31" t="s">
        <v>116</v>
      </c>
    </row>
    <row r="89" customFormat="false" ht="15" hidden="false" customHeight="false" outlineLevel="0" collapsed="false">
      <c r="A89" s="31" t="s">
        <v>1607</v>
      </c>
      <c r="B89" s="31" t="n">
        <f aca="false">+IF(A89=WORLDCUP!$BI$112,1,0)</f>
        <v>0</v>
      </c>
      <c r="C89" s="31" t="str">
        <f aca="false">+WORLDCUP!BD65</f>
        <v>España</v>
      </c>
      <c r="D89" s="31" t="str">
        <f aca="false">+WORLDCUP!BD64</f>
        <v>Bélgica</v>
      </c>
      <c r="E89" s="31" t="str">
        <f aca="false">+WORLDCUP!BD59</f>
        <v>Catar</v>
      </c>
      <c r="F89" s="31" t="str">
        <f aca="false">+WORLDCUP!BD60</f>
        <v>Marruecos</v>
      </c>
      <c r="G89" s="31" t="str">
        <f aca="false">+WORLDCUP!BD67</f>
        <v>Austria</v>
      </c>
      <c r="H89" s="31" t="str">
        <f aca="false">+WORLDCUP!BD63</f>
        <v>Japón</v>
      </c>
      <c r="I89" s="31" t="str">
        <f aca="false">+WORLDCUP!BD66</f>
        <v>Irak</v>
      </c>
      <c r="J89" s="31" t="str">
        <f aca="false">+WORLDCUP!BD68</f>
        <v>Uzbekistán</v>
      </c>
      <c r="N89" s="31" t="s">
        <v>1607</v>
      </c>
      <c r="O89" s="31" t="n">
        <v>88</v>
      </c>
      <c r="P89" s="31" t="s">
        <v>112</v>
      </c>
      <c r="Q89" s="31" t="s">
        <v>107</v>
      </c>
      <c r="R89" s="31" t="s">
        <v>85</v>
      </c>
      <c r="S89" s="31" t="s">
        <v>89</v>
      </c>
      <c r="T89" s="31" t="s">
        <v>121</v>
      </c>
      <c r="U89" s="31" t="s">
        <v>103</v>
      </c>
      <c r="V89" s="31" t="s">
        <v>116</v>
      </c>
      <c r="W89" s="31" t="s">
        <v>125</v>
      </c>
    </row>
    <row r="90" customFormat="false" ht="15" hidden="false" customHeight="false" outlineLevel="0" collapsed="false">
      <c r="A90" s="31" t="s">
        <v>1608</v>
      </c>
      <c r="B90" s="31" t="n">
        <f aca="false">+IF(A90=WORLDCUP!$BI$112,1,0)</f>
        <v>0</v>
      </c>
      <c r="C90" s="31" t="str">
        <f aca="false">+WORLDCUP!BD62</f>
        <v>Ecuador</v>
      </c>
      <c r="D90" s="31" t="str">
        <f aca="false">+WORLDCUP!BD67</f>
        <v>Austria</v>
      </c>
      <c r="E90" s="31" t="str">
        <f aca="false">+WORLDCUP!BD59</f>
        <v>Catar</v>
      </c>
      <c r="F90" s="31" t="str">
        <f aca="false">+WORLDCUP!BD60</f>
        <v>Marruecos</v>
      </c>
      <c r="G90" s="31" t="str">
        <f aca="false">+WORLDCUP!BD66</f>
        <v>Irak</v>
      </c>
      <c r="H90" s="31" t="str">
        <f aca="false">+WORLDCUP!BD65</f>
        <v>España</v>
      </c>
      <c r="I90" s="31" t="str">
        <f aca="false">+WORLDCUP!BD69</f>
        <v>Ghana</v>
      </c>
      <c r="J90" s="31" t="str">
        <f aca="false">+WORLDCUP!BD68</f>
        <v>Uzbekistán</v>
      </c>
      <c r="N90" s="31" t="s">
        <v>1608</v>
      </c>
      <c r="O90" s="31" t="n">
        <v>89</v>
      </c>
      <c r="P90" s="31" t="s">
        <v>98</v>
      </c>
      <c r="Q90" s="31" t="s">
        <v>121</v>
      </c>
      <c r="R90" s="31" t="s">
        <v>85</v>
      </c>
      <c r="S90" s="31" t="s">
        <v>89</v>
      </c>
      <c r="T90" s="31" t="s">
        <v>116</v>
      </c>
      <c r="U90" s="31" t="s">
        <v>112</v>
      </c>
      <c r="V90" s="31" t="s">
        <v>130</v>
      </c>
      <c r="W90" s="31" t="s">
        <v>125</v>
      </c>
    </row>
    <row r="91" customFormat="false" ht="15" hidden="false" customHeight="false" outlineLevel="0" collapsed="false">
      <c r="A91" s="31" t="s">
        <v>1609</v>
      </c>
      <c r="B91" s="31" t="n">
        <f aca="false">+IF(A91=WORLDCUP!$BI$112,1,0)</f>
        <v>0</v>
      </c>
      <c r="C91" s="31" t="str">
        <f aca="false">+WORLDCUP!BD62</f>
        <v>Ecuador</v>
      </c>
      <c r="D91" s="31" t="str">
        <f aca="false">+WORLDCUP!BD67</f>
        <v>Austria</v>
      </c>
      <c r="E91" s="31" t="str">
        <f aca="false">+WORLDCUP!BD59</f>
        <v>Catar</v>
      </c>
      <c r="F91" s="31" t="str">
        <f aca="false">+WORLDCUP!BD60</f>
        <v>Marruecos</v>
      </c>
      <c r="G91" s="31" t="str">
        <f aca="false">+WORLDCUP!BD66</f>
        <v>Irak</v>
      </c>
      <c r="H91" s="31" t="str">
        <f aca="false">+WORLDCUP!BD64</f>
        <v>Bélgica</v>
      </c>
      <c r="I91" s="31" t="str">
        <f aca="false">+WORLDCUP!BD69</f>
        <v>Ghana</v>
      </c>
      <c r="J91" s="31" t="str">
        <f aca="false">+WORLDCUP!BD68</f>
        <v>Uzbekistán</v>
      </c>
      <c r="N91" s="31" t="s">
        <v>1609</v>
      </c>
      <c r="O91" s="31" t="n">
        <v>90</v>
      </c>
      <c r="P91" s="31" t="s">
        <v>98</v>
      </c>
      <c r="Q91" s="31" t="s">
        <v>121</v>
      </c>
      <c r="R91" s="31" t="s">
        <v>85</v>
      </c>
      <c r="S91" s="31" t="s">
        <v>89</v>
      </c>
      <c r="T91" s="31" t="s">
        <v>116</v>
      </c>
      <c r="U91" s="31" t="s">
        <v>107</v>
      </c>
      <c r="V91" s="31" t="s">
        <v>130</v>
      </c>
      <c r="W91" s="31" t="s">
        <v>125</v>
      </c>
    </row>
    <row r="92" customFormat="false" ht="15" hidden="false" customHeight="false" outlineLevel="0" collapsed="false">
      <c r="A92" s="31" t="s">
        <v>1610</v>
      </c>
      <c r="B92" s="31" t="n">
        <f aca="false">+IF(A92=WORLDCUP!$BI$112,1,0)</f>
        <v>0</v>
      </c>
      <c r="C92" s="31" t="str">
        <f aca="false">+WORLDCUP!BD62</f>
        <v>Ecuador</v>
      </c>
      <c r="D92" s="31" t="str">
        <f aca="false">+WORLDCUP!BD67</f>
        <v>Austria</v>
      </c>
      <c r="E92" s="31" t="str">
        <f aca="false">+WORLDCUP!BD59</f>
        <v>Catar</v>
      </c>
      <c r="F92" s="31" t="str">
        <f aca="false">+WORLDCUP!BD60</f>
        <v>Marruecos</v>
      </c>
      <c r="G92" s="31" t="str">
        <f aca="false">+WORLDCUP!BD65</f>
        <v>España</v>
      </c>
      <c r="H92" s="31" t="str">
        <f aca="false">+WORLDCUP!BD64</f>
        <v>Bélgica</v>
      </c>
      <c r="I92" s="31" t="str">
        <f aca="false">+WORLDCUP!BD69</f>
        <v>Ghana</v>
      </c>
      <c r="J92" s="31" t="str">
        <f aca="false">+WORLDCUP!BD68</f>
        <v>Uzbekistán</v>
      </c>
      <c r="N92" s="31" t="s">
        <v>1610</v>
      </c>
      <c r="O92" s="31" t="n">
        <v>91</v>
      </c>
      <c r="P92" s="31" t="s">
        <v>98</v>
      </c>
      <c r="Q92" s="31" t="s">
        <v>121</v>
      </c>
      <c r="R92" s="31" t="s">
        <v>85</v>
      </c>
      <c r="S92" s="31" t="s">
        <v>89</v>
      </c>
      <c r="T92" s="31" t="s">
        <v>112</v>
      </c>
      <c r="U92" s="31" t="s">
        <v>107</v>
      </c>
      <c r="V92" s="31" t="s">
        <v>130</v>
      </c>
      <c r="W92" s="31" t="s">
        <v>125</v>
      </c>
    </row>
    <row r="93" customFormat="false" ht="15" hidden="false" customHeight="false" outlineLevel="0" collapsed="false">
      <c r="A93" s="31" t="s">
        <v>1611</v>
      </c>
      <c r="B93" s="31" t="n">
        <f aca="false">+IF(A93=WORLDCUP!$BI$112,1,0)</f>
        <v>0</v>
      </c>
      <c r="C93" s="31" t="str">
        <f aca="false">+WORLDCUP!BD62</f>
        <v>Ecuador</v>
      </c>
      <c r="D93" s="31" t="str">
        <f aca="false">+WORLDCUP!BD64</f>
        <v>Bélgica</v>
      </c>
      <c r="E93" s="31" t="str">
        <f aca="false">+WORLDCUP!BD59</f>
        <v>Catar</v>
      </c>
      <c r="F93" s="31" t="str">
        <f aca="false">+WORLDCUP!BD60</f>
        <v>Marruecos</v>
      </c>
      <c r="G93" s="31" t="str">
        <f aca="false">+WORLDCUP!BD66</f>
        <v>Irak</v>
      </c>
      <c r="H93" s="31" t="str">
        <f aca="false">+WORLDCUP!BD65</f>
        <v>España</v>
      </c>
      <c r="I93" s="31" t="str">
        <f aca="false">+WORLDCUP!BD69</f>
        <v>Ghana</v>
      </c>
      <c r="J93" s="31" t="str">
        <f aca="false">+WORLDCUP!BD68</f>
        <v>Uzbekistán</v>
      </c>
      <c r="N93" s="31" t="s">
        <v>1611</v>
      </c>
      <c r="O93" s="31" t="n">
        <v>92</v>
      </c>
      <c r="P93" s="31" t="s">
        <v>98</v>
      </c>
      <c r="Q93" s="31" t="s">
        <v>107</v>
      </c>
      <c r="R93" s="31" t="s">
        <v>85</v>
      </c>
      <c r="S93" s="31" t="s">
        <v>89</v>
      </c>
      <c r="T93" s="31" t="s">
        <v>116</v>
      </c>
      <c r="U93" s="31" t="s">
        <v>112</v>
      </c>
      <c r="V93" s="31" t="s">
        <v>130</v>
      </c>
      <c r="W93" s="31" t="s">
        <v>125</v>
      </c>
    </row>
    <row r="94" customFormat="false" ht="15" hidden="false" customHeight="false" outlineLevel="0" collapsed="false">
      <c r="A94" s="31" t="s">
        <v>1612</v>
      </c>
      <c r="B94" s="31" t="n">
        <f aca="false">+IF(A94=WORLDCUP!$BI$112,1,0)</f>
        <v>0</v>
      </c>
      <c r="C94" s="31" t="str">
        <f aca="false">+WORLDCUP!BD62</f>
        <v>Ecuador</v>
      </c>
      <c r="D94" s="31" t="str">
        <f aca="false">+WORLDCUP!BD67</f>
        <v>Austria</v>
      </c>
      <c r="E94" s="31" t="str">
        <f aca="false">+WORLDCUP!BD59</f>
        <v>Catar</v>
      </c>
      <c r="F94" s="31" t="str">
        <f aca="false">+WORLDCUP!BD60</f>
        <v>Marruecos</v>
      </c>
      <c r="G94" s="31" t="str">
        <f aca="false">+WORLDCUP!BD65</f>
        <v>España</v>
      </c>
      <c r="H94" s="31" t="str">
        <f aca="false">+WORLDCUP!BD64</f>
        <v>Bélgica</v>
      </c>
      <c r="I94" s="31" t="str">
        <f aca="false">+WORLDCUP!BD69</f>
        <v>Ghana</v>
      </c>
      <c r="J94" s="31" t="str">
        <f aca="false">+WORLDCUP!BD66</f>
        <v>Irak</v>
      </c>
      <c r="N94" s="31" t="s">
        <v>1612</v>
      </c>
      <c r="O94" s="31" t="n">
        <v>93</v>
      </c>
      <c r="P94" s="31" t="s">
        <v>98</v>
      </c>
      <c r="Q94" s="31" t="s">
        <v>121</v>
      </c>
      <c r="R94" s="31" t="s">
        <v>85</v>
      </c>
      <c r="S94" s="31" t="s">
        <v>89</v>
      </c>
      <c r="T94" s="31" t="s">
        <v>112</v>
      </c>
      <c r="U94" s="31" t="s">
        <v>107</v>
      </c>
      <c r="V94" s="31" t="s">
        <v>130</v>
      </c>
      <c r="W94" s="31" t="s">
        <v>116</v>
      </c>
    </row>
    <row r="95" customFormat="false" ht="15" hidden="false" customHeight="false" outlineLevel="0" collapsed="false">
      <c r="A95" s="31" t="s">
        <v>1613</v>
      </c>
      <c r="B95" s="31" t="n">
        <f aca="false">+IF(A95=WORLDCUP!$BI$112,1,0)</f>
        <v>0</v>
      </c>
      <c r="C95" s="31" t="str">
        <f aca="false">+WORLDCUP!BD62</f>
        <v>Ecuador</v>
      </c>
      <c r="D95" s="31" t="str">
        <f aca="false">+WORLDCUP!BD67</f>
        <v>Austria</v>
      </c>
      <c r="E95" s="31" t="str">
        <f aca="false">+WORLDCUP!BD59</f>
        <v>Catar</v>
      </c>
      <c r="F95" s="31" t="str">
        <f aca="false">+WORLDCUP!BD60</f>
        <v>Marruecos</v>
      </c>
      <c r="G95" s="31" t="str">
        <f aca="false">+WORLDCUP!BD65</f>
        <v>España</v>
      </c>
      <c r="H95" s="31" t="str">
        <f aca="false">+WORLDCUP!BD64</f>
        <v>Bélgica</v>
      </c>
      <c r="I95" s="31" t="str">
        <f aca="false">+WORLDCUP!BD66</f>
        <v>Irak</v>
      </c>
      <c r="J95" s="31" t="str">
        <f aca="false">+WORLDCUP!BD68</f>
        <v>Uzbekistán</v>
      </c>
      <c r="N95" s="31" t="s">
        <v>1613</v>
      </c>
      <c r="O95" s="31" t="n">
        <v>94</v>
      </c>
      <c r="P95" s="31" t="s">
        <v>98</v>
      </c>
      <c r="Q95" s="31" t="s">
        <v>121</v>
      </c>
      <c r="R95" s="31" t="s">
        <v>85</v>
      </c>
      <c r="S95" s="31" t="s">
        <v>89</v>
      </c>
      <c r="T95" s="31" t="s">
        <v>112</v>
      </c>
      <c r="U95" s="31" t="s">
        <v>107</v>
      </c>
      <c r="V95" s="31" t="s">
        <v>116</v>
      </c>
      <c r="W95" s="31" t="s">
        <v>125</v>
      </c>
    </row>
    <row r="96" customFormat="false" ht="15" hidden="false" customHeight="false" outlineLevel="0" collapsed="false">
      <c r="A96" s="31" t="s">
        <v>1614</v>
      </c>
      <c r="B96" s="31" t="n">
        <f aca="false">+IF(A96=WORLDCUP!$BI$112,1,0)</f>
        <v>0</v>
      </c>
      <c r="C96" s="31" t="str">
        <f aca="false">+WORLDCUP!BD62</f>
        <v>Ecuador</v>
      </c>
      <c r="D96" s="31" t="str">
        <f aca="false">+WORLDCUP!BD67</f>
        <v>Austria</v>
      </c>
      <c r="E96" s="31" t="str">
        <f aca="false">+WORLDCUP!BD59</f>
        <v>Catar</v>
      </c>
      <c r="F96" s="31" t="str">
        <f aca="false">+WORLDCUP!BD60</f>
        <v>Marruecos</v>
      </c>
      <c r="G96" s="31" t="str">
        <f aca="false">+WORLDCUP!BD66</f>
        <v>Irak</v>
      </c>
      <c r="H96" s="31" t="str">
        <f aca="false">+WORLDCUP!BD63</f>
        <v>Japón</v>
      </c>
      <c r="I96" s="31" t="str">
        <f aca="false">+WORLDCUP!BD69</f>
        <v>Ghana</v>
      </c>
      <c r="J96" s="31" t="str">
        <f aca="false">+WORLDCUP!BD68</f>
        <v>Uzbekistán</v>
      </c>
      <c r="N96" s="31" t="s">
        <v>1614</v>
      </c>
      <c r="O96" s="31" t="n">
        <v>95</v>
      </c>
      <c r="P96" s="31" t="s">
        <v>98</v>
      </c>
      <c r="Q96" s="31" t="s">
        <v>121</v>
      </c>
      <c r="R96" s="31" t="s">
        <v>85</v>
      </c>
      <c r="S96" s="31" t="s">
        <v>89</v>
      </c>
      <c r="T96" s="31" t="s">
        <v>116</v>
      </c>
      <c r="U96" s="31" t="s">
        <v>103</v>
      </c>
      <c r="V96" s="31" t="s">
        <v>130</v>
      </c>
      <c r="W96" s="31" t="s">
        <v>125</v>
      </c>
    </row>
    <row r="97" customFormat="false" ht="15" hidden="false" customHeight="false" outlineLevel="0" collapsed="false">
      <c r="A97" s="31" t="s">
        <v>1615</v>
      </c>
      <c r="B97" s="31" t="n">
        <f aca="false">+IF(A97=WORLDCUP!$BI$112,1,0)</f>
        <v>0</v>
      </c>
      <c r="C97" s="31" t="str">
        <f aca="false">+WORLDCUP!BD62</f>
        <v>Ecuador</v>
      </c>
      <c r="D97" s="31" t="str">
        <f aca="false">+WORLDCUP!BD67</f>
        <v>Austria</v>
      </c>
      <c r="E97" s="31" t="str">
        <f aca="false">+WORLDCUP!BD59</f>
        <v>Catar</v>
      </c>
      <c r="F97" s="31" t="str">
        <f aca="false">+WORLDCUP!BD60</f>
        <v>Marruecos</v>
      </c>
      <c r="G97" s="31" t="str">
        <f aca="false">+WORLDCUP!BD65</f>
        <v>España</v>
      </c>
      <c r="H97" s="31" t="str">
        <f aca="false">+WORLDCUP!BD63</f>
        <v>Japón</v>
      </c>
      <c r="I97" s="31" t="str">
        <f aca="false">+WORLDCUP!BD69</f>
        <v>Ghana</v>
      </c>
      <c r="J97" s="31" t="str">
        <f aca="false">+WORLDCUP!BD68</f>
        <v>Uzbekistán</v>
      </c>
      <c r="N97" s="31" t="s">
        <v>1615</v>
      </c>
      <c r="O97" s="31" t="n">
        <v>96</v>
      </c>
      <c r="P97" s="31" t="s">
        <v>98</v>
      </c>
      <c r="Q97" s="31" t="s">
        <v>121</v>
      </c>
      <c r="R97" s="31" t="s">
        <v>85</v>
      </c>
      <c r="S97" s="31" t="s">
        <v>89</v>
      </c>
      <c r="T97" s="31" t="s">
        <v>112</v>
      </c>
      <c r="U97" s="31" t="s">
        <v>103</v>
      </c>
      <c r="V97" s="31" t="s">
        <v>130</v>
      </c>
      <c r="W97" s="31" t="s">
        <v>125</v>
      </c>
    </row>
    <row r="98" customFormat="false" ht="15" hidden="false" customHeight="false" outlineLevel="0" collapsed="false">
      <c r="A98" s="31" t="s">
        <v>1616</v>
      </c>
      <c r="B98" s="31" t="n">
        <f aca="false">+IF(A98=WORLDCUP!$BI$112,1,0)</f>
        <v>0</v>
      </c>
      <c r="C98" s="31" t="str">
        <f aca="false">+WORLDCUP!BD62</f>
        <v>Ecuador</v>
      </c>
      <c r="D98" s="31" t="str">
        <f aca="false">+WORLDCUP!BD66</f>
        <v>Irak</v>
      </c>
      <c r="E98" s="31" t="str">
        <f aca="false">+WORLDCUP!BD59</f>
        <v>Catar</v>
      </c>
      <c r="F98" s="31" t="str">
        <f aca="false">+WORLDCUP!BD60</f>
        <v>Marruecos</v>
      </c>
      <c r="G98" s="31" t="str">
        <f aca="false">+WORLDCUP!BD65</f>
        <v>España</v>
      </c>
      <c r="H98" s="31" t="str">
        <f aca="false">+WORLDCUP!BD63</f>
        <v>Japón</v>
      </c>
      <c r="I98" s="31" t="str">
        <f aca="false">+WORLDCUP!BD69</f>
        <v>Ghana</v>
      </c>
      <c r="J98" s="31" t="str">
        <f aca="false">+WORLDCUP!BD68</f>
        <v>Uzbekistán</v>
      </c>
      <c r="N98" s="31" t="s">
        <v>1616</v>
      </c>
      <c r="O98" s="31" t="n">
        <v>97</v>
      </c>
      <c r="P98" s="31" t="s">
        <v>98</v>
      </c>
      <c r="Q98" s="31" t="s">
        <v>116</v>
      </c>
      <c r="R98" s="31" t="s">
        <v>85</v>
      </c>
      <c r="S98" s="31" t="s">
        <v>89</v>
      </c>
      <c r="T98" s="31" t="s">
        <v>112</v>
      </c>
      <c r="U98" s="31" t="s">
        <v>103</v>
      </c>
      <c r="V98" s="31" t="s">
        <v>130</v>
      </c>
      <c r="W98" s="31" t="s">
        <v>125</v>
      </c>
    </row>
    <row r="99" customFormat="false" ht="15" hidden="false" customHeight="false" outlineLevel="0" collapsed="false">
      <c r="A99" s="31" t="s">
        <v>1617</v>
      </c>
      <c r="B99" s="31" t="n">
        <f aca="false">+IF(A99=WORLDCUP!$BI$112,1,0)</f>
        <v>0</v>
      </c>
      <c r="C99" s="31" t="str">
        <f aca="false">+WORLDCUP!BD62</f>
        <v>Ecuador</v>
      </c>
      <c r="D99" s="31" t="str">
        <f aca="false">+WORLDCUP!BD67</f>
        <v>Austria</v>
      </c>
      <c r="E99" s="31" t="str">
        <f aca="false">+WORLDCUP!BD59</f>
        <v>Catar</v>
      </c>
      <c r="F99" s="31" t="str">
        <f aca="false">+WORLDCUP!BD60</f>
        <v>Marruecos</v>
      </c>
      <c r="G99" s="31" t="str">
        <f aca="false">+WORLDCUP!BD65</f>
        <v>España</v>
      </c>
      <c r="H99" s="31" t="str">
        <f aca="false">+WORLDCUP!BD63</f>
        <v>Japón</v>
      </c>
      <c r="I99" s="31" t="str">
        <f aca="false">+WORLDCUP!BD69</f>
        <v>Ghana</v>
      </c>
      <c r="J99" s="31" t="str">
        <f aca="false">+WORLDCUP!BD66</f>
        <v>Irak</v>
      </c>
      <c r="N99" s="31" t="s">
        <v>1617</v>
      </c>
      <c r="O99" s="31" t="n">
        <v>98</v>
      </c>
      <c r="P99" s="31" t="s">
        <v>98</v>
      </c>
      <c r="Q99" s="31" t="s">
        <v>121</v>
      </c>
      <c r="R99" s="31" t="s">
        <v>85</v>
      </c>
      <c r="S99" s="31" t="s">
        <v>89</v>
      </c>
      <c r="T99" s="31" t="s">
        <v>112</v>
      </c>
      <c r="U99" s="31" t="s">
        <v>103</v>
      </c>
      <c r="V99" s="31" t="s">
        <v>130</v>
      </c>
      <c r="W99" s="31" t="s">
        <v>116</v>
      </c>
    </row>
    <row r="100" customFormat="false" ht="15" hidden="false" customHeight="false" outlineLevel="0" collapsed="false">
      <c r="A100" s="31" t="s">
        <v>1618</v>
      </c>
      <c r="B100" s="31" t="n">
        <f aca="false">+IF(A100=WORLDCUP!$BI$112,1,0)</f>
        <v>0</v>
      </c>
      <c r="C100" s="31" t="str">
        <f aca="false">+WORLDCUP!BD62</f>
        <v>Ecuador</v>
      </c>
      <c r="D100" s="31" t="str">
        <f aca="false">+WORLDCUP!BD67</f>
        <v>Austria</v>
      </c>
      <c r="E100" s="31" t="str">
        <f aca="false">+WORLDCUP!BD59</f>
        <v>Catar</v>
      </c>
      <c r="F100" s="31" t="str">
        <f aca="false">+WORLDCUP!BD60</f>
        <v>Marruecos</v>
      </c>
      <c r="G100" s="31" t="str">
        <f aca="false">+WORLDCUP!BD65</f>
        <v>España</v>
      </c>
      <c r="H100" s="31" t="str">
        <f aca="false">+WORLDCUP!BD63</f>
        <v>Japón</v>
      </c>
      <c r="I100" s="31" t="str">
        <f aca="false">+WORLDCUP!BD66</f>
        <v>Irak</v>
      </c>
      <c r="J100" s="31" t="str">
        <f aca="false">+WORLDCUP!BD68</f>
        <v>Uzbekistán</v>
      </c>
      <c r="N100" s="31" t="s">
        <v>1618</v>
      </c>
      <c r="O100" s="31" t="n">
        <v>99</v>
      </c>
      <c r="P100" s="31" t="s">
        <v>98</v>
      </c>
      <c r="Q100" s="31" t="s">
        <v>121</v>
      </c>
      <c r="R100" s="31" t="s">
        <v>85</v>
      </c>
      <c r="S100" s="31" t="s">
        <v>89</v>
      </c>
      <c r="T100" s="31" t="s">
        <v>112</v>
      </c>
      <c r="U100" s="31" t="s">
        <v>103</v>
      </c>
      <c r="V100" s="31" t="s">
        <v>116</v>
      </c>
      <c r="W100" s="31" t="s">
        <v>125</v>
      </c>
    </row>
    <row r="101" customFormat="false" ht="15" hidden="false" customHeight="false" outlineLevel="0" collapsed="false">
      <c r="A101" s="31" t="s">
        <v>1619</v>
      </c>
      <c r="B101" s="31" t="n">
        <f aca="false">+IF(A101=WORLDCUP!$BI$112,1,0)</f>
        <v>0</v>
      </c>
      <c r="C101" s="31" t="str">
        <f aca="false">+WORLDCUP!BD62</f>
        <v>Ecuador</v>
      </c>
      <c r="D101" s="31" t="str">
        <f aca="false">+WORLDCUP!BD64</f>
        <v>Bélgica</v>
      </c>
      <c r="E101" s="31" t="str">
        <f aca="false">+WORLDCUP!BD59</f>
        <v>Catar</v>
      </c>
      <c r="F101" s="31" t="str">
        <f aca="false">+WORLDCUP!BD60</f>
        <v>Marruecos</v>
      </c>
      <c r="G101" s="31" t="str">
        <f aca="false">+WORLDCUP!BD67</f>
        <v>Austria</v>
      </c>
      <c r="H101" s="31" t="str">
        <f aca="false">+WORLDCUP!BD63</f>
        <v>Japón</v>
      </c>
      <c r="I101" s="31" t="str">
        <f aca="false">+WORLDCUP!BD69</f>
        <v>Ghana</v>
      </c>
      <c r="J101" s="31" t="str">
        <f aca="false">+WORLDCUP!BD68</f>
        <v>Uzbekistán</v>
      </c>
      <c r="N101" s="31" t="s">
        <v>1619</v>
      </c>
      <c r="O101" s="31" t="n">
        <v>100</v>
      </c>
      <c r="P101" s="31" t="s">
        <v>98</v>
      </c>
      <c r="Q101" s="31" t="s">
        <v>107</v>
      </c>
      <c r="R101" s="31" t="s">
        <v>85</v>
      </c>
      <c r="S101" s="31" t="s">
        <v>89</v>
      </c>
      <c r="T101" s="31" t="s">
        <v>121</v>
      </c>
      <c r="U101" s="31" t="s">
        <v>103</v>
      </c>
      <c r="V101" s="31" t="s">
        <v>130</v>
      </c>
      <c r="W101" s="31" t="s">
        <v>125</v>
      </c>
    </row>
    <row r="102" customFormat="false" ht="15" hidden="false" customHeight="false" outlineLevel="0" collapsed="false">
      <c r="A102" s="31" t="s">
        <v>1620</v>
      </c>
      <c r="B102" s="31" t="n">
        <f aca="false">+IF(A102=WORLDCUP!$BI$112,1,0)</f>
        <v>0</v>
      </c>
      <c r="C102" s="31" t="str">
        <f aca="false">+WORLDCUP!BD62</f>
        <v>Ecuador</v>
      </c>
      <c r="D102" s="31" t="str">
        <f aca="false">+WORLDCUP!BD64</f>
        <v>Bélgica</v>
      </c>
      <c r="E102" s="31" t="str">
        <f aca="false">+WORLDCUP!BD59</f>
        <v>Catar</v>
      </c>
      <c r="F102" s="31" t="str">
        <f aca="false">+WORLDCUP!BD60</f>
        <v>Marruecos</v>
      </c>
      <c r="G102" s="31" t="str">
        <f aca="false">+WORLDCUP!BD66</f>
        <v>Irak</v>
      </c>
      <c r="H102" s="31" t="str">
        <f aca="false">+WORLDCUP!BD63</f>
        <v>Japón</v>
      </c>
      <c r="I102" s="31" t="str">
        <f aca="false">+WORLDCUP!BD69</f>
        <v>Ghana</v>
      </c>
      <c r="J102" s="31" t="str">
        <f aca="false">+WORLDCUP!BD68</f>
        <v>Uzbekistán</v>
      </c>
      <c r="N102" s="31" t="s">
        <v>1620</v>
      </c>
      <c r="O102" s="31" t="n">
        <v>101</v>
      </c>
      <c r="P102" s="31" t="s">
        <v>98</v>
      </c>
      <c r="Q102" s="31" t="s">
        <v>107</v>
      </c>
      <c r="R102" s="31" t="s">
        <v>85</v>
      </c>
      <c r="S102" s="31" t="s">
        <v>89</v>
      </c>
      <c r="T102" s="31" t="s">
        <v>116</v>
      </c>
      <c r="U102" s="31" t="s">
        <v>103</v>
      </c>
      <c r="V102" s="31" t="s">
        <v>130</v>
      </c>
      <c r="W102" s="31" t="s">
        <v>125</v>
      </c>
    </row>
    <row r="103" customFormat="false" ht="15" hidden="false" customHeight="false" outlineLevel="0" collapsed="false">
      <c r="A103" s="31" t="s">
        <v>1621</v>
      </c>
      <c r="B103" s="31" t="n">
        <f aca="false">+IF(A103=WORLDCUP!$BI$112,1,0)</f>
        <v>0</v>
      </c>
      <c r="C103" s="31" t="str">
        <f aca="false">+WORLDCUP!BD62</f>
        <v>Ecuador</v>
      </c>
      <c r="D103" s="31" t="str">
        <f aca="false">+WORLDCUP!BD64</f>
        <v>Bélgica</v>
      </c>
      <c r="E103" s="31" t="str">
        <f aca="false">+WORLDCUP!BD59</f>
        <v>Catar</v>
      </c>
      <c r="F103" s="31" t="str">
        <f aca="false">+WORLDCUP!BD60</f>
        <v>Marruecos</v>
      </c>
      <c r="G103" s="31" t="str">
        <f aca="false">+WORLDCUP!BD67</f>
        <v>Austria</v>
      </c>
      <c r="H103" s="31" t="str">
        <f aca="false">+WORLDCUP!BD63</f>
        <v>Japón</v>
      </c>
      <c r="I103" s="31" t="str">
        <f aca="false">+WORLDCUP!BD69</f>
        <v>Ghana</v>
      </c>
      <c r="J103" s="31" t="str">
        <f aca="false">+WORLDCUP!BD66</f>
        <v>Irak</v>
      </c>
      <c r="N103" s="31" t="s">
        <v>1621</v>
      </c>
      <c r="O103" s="31" t="n">
        <v>102</v>
      </c>
      <c r="P103" s="31" t="s">
        <v>98</v>
      </c>
      <c r="Q103" s="31" t="s">
        <v>107</v>
      </c>
      <c r="R103" s="31" t="s">
        <v>85</v>
      </c>
      <c r="S103" s="31" t="s">
        <v>89</v>
      </c>
      <c r="T103" s="31" t="s">
        <v>121</v>
      </c>
      <c r="U103" s="31" t="s">
        <v>103</v>
      </c>
      <c r="V103" s="31" t="s">
        <v>130</v>
      </c>
      <c r="W103" s="31" t="s">
        <v>116</v>
      </c>
    </row>
    <row r="104" customFormat="false" ht="15" hidden="false" customHeight="false" outlineLevel="0" collapsed="false">
      <c r="A104" s="31" t="s">
        <v>1622</v>
      </c>
      <c r="B104" s="31" t="n">
        <f aca="false">+IF(A104=WORLDCUP!$BI$112,1,0)</f>
        <v>0</v>
      </c>
      <c r="C104" s="31" t="str">
        <f aca="false">+WORLDCUP!BD62</f>
        <v>Ecuador</v>
      </c>
      <c r="D104" s="31" t="str">
        <f aca="false">+WORLDCUP!BD64</f>
        <v>Bélgica</v>
      </c>
      <c r="E104" s="31" t="str">
        <f aca="false">+WORLDCUP!BD59</f>
        <v>Catar</v>
      </c>
      <c r="F104" s="31" t="str">
        <f aca="false">+WORLDCUP!BD60</f>
        <v>Marruecos</v>
      </c>
      <c r="G104" s="31" t="str">
        <f aca="false">+WORLDCUP!BD67</f>
        <v>Austria</v>
      </c>
      <c r="H104" s="31" t="str">
        <f aca="false">+WORLDCUP!BD63</f>
        <v>Japón</v>
      </c>
      <c r="I104" s="31" t="str">
        <f aca="false">+WORLDCUP!BD66</f>
        <v>Irak</v>
      </c>
      <c r="J104" s="31" t="str">
        <f aca="false">+WORLDCUP!BD68</f>
        <v>Uzbekistán</v>
      </c>
      <c r="N104" s="31" t="s">
        <v>1622</v>
      </c>
      <c r="O104" s="31" t="n">
        <v>103</v>
      </c>
      <c r="P104" s="31" t="s">
        <v>98</v>
      </c>
      <c r="Q104" s="31" t="s">
        <v>107</v>
      </c>
      <c r="R104" s="31" t="s">
        <v>85</v>
      </c>
      <c r="S104" s="31" t="s">
        <v>89</v>
      </c>
      <c r="T104" s="31" t="s">
        <v>121</v>
      </c>
      <c r="U104" s="31" t="s">
        <v>103</v>
      </c>
      <c r="V104" s="31" t="s">
        <v>116</v>
      </c>
      <c r="W104" s="31" t="s">
        <v>125</v>
      </c>
    </row>
    <row r="105" customFormat="false" ht="15" hidden="false" customHeight="false" outlineLevel="0" collapsed="false">
      <c r="A105" s="31" t="s">
        <v>1623</v>
      </c>
      <c r="B105" s="31" t="n">
        <f aca="false">+IF(A105=WORLDCUP!$BI$112,1,0)</f>
        <v>0</v>
      </c>
      <c r="C105" s="31" t="str">
        <f aca="false">+WORLDCUP!BD62</f>
        <v>Ecuador</v>
      </c>
      <c r="D105" s="31" t="str">
        <f aca="false">+WORLDCUP!BD64</f>
        <v>Bélgica</v>
      </c>
      <c r="E105" s="31" t="str">
        <f aca="false">+WORLDCUP!BD59</f>
        <v>Catar</v>
      </c>
      <c r="F105" s="31" t="str">
        <f aca="false">+WORLDCUP!BD60</f>
        <v>Marruecos</v>
      </c>
      <c r="G105" s="31" t="str">
        <f aca="false">+WORLDCUP!BD65</f>
        <v>España</v>
      </c>
      <c r="H105" s="31" t="str">
        <f aca="false">+WORLDCUP!BD63</f>
        <v>Japón</v>
      </c>
      <c r="I105" s="31" t="str">
        <f aca="false">+WORLDCUP!BD69</f>
        <v>Ghana</v>
      </c>
      <c r="J105" s="31" t="str">
        <f aca="false">+WORLDCUP!BD68</f>
        <v>Uzbekistán</v>
      </c>
      <c r="N105" s="31" t="s">
        <v>1623</v>
      </c>
      <c r="O105" s="31" t="n">
        <v>104</v>
      </c>
      <c r="P105" s="31" t="s">
        <v>98</v>
      </c>
      <c r="Q105" s="31" t="s">
        <v>107</v>
      </c>
      <c r="R105" s="31" t="s">
        <v>85</v>
      </c>
      <c r="S105" s="31" t="s">
        <v>89</v>
      </c>
      <c r="T105" s="31" t="s">
        <v>112</v>
      </c>
      <c r="U105" s="31" t="s">
        <v>103</v>
      </c>
      <c r="V105" s="31" t="s">
        <v>130</v>
      </c>
      <c r="W105" s="31" t="s">
        <v>125</v>
      </c>
    </row>
    <row r="106" customFormat="false" ht="15" hidden="false" customHeight="false" outlineLevel="0" collapsed="false">
      <c r="A106" s="31" t="s">
        <v>1624</v>
      </c>
      <c r="B106" s="31" t="n">
        <f aca="false">+IF(A106=WORLDCUP!$BI$112,1,0)</f>
        <v>0</v>
      </c>
      <c r="C106" s="31" t="str">
        <f aca="false">+WORLDCUP!BD65</f>
        <v>España</v>
      </c>
      <c r="D106" s="31" t="str">
        <f aca="false">+WORLDCUP!BD64</f>
        <v>Bélgica</v>
      </c>
      <c r="E106" s="31" t="str">
        <f aca="false">+WORLDCUP!BD59</f>
        <v>Catar</v>
      </c>
      <c r="F106" s="31" t="str">
        <f aca="false">+WORLDCUP!BD60</f>
        <v>Marruecos</v>
      </c>
      <c r="G106" s="31" t="str">
        <f aca="false">+WORLDCUP!BD67</f>
        <v>Austria</v>
      </c>
      <c r="H106" s="31" t="str">
        <f aca="false">+WORLDCUP!BD63</f>
        <v>Japón</v>
      </c>
      <c r="I106" s="31" t="str">
        <f aca="false">+WORLDCUP!BD69</f>
        <v>Ghana</v>
      </c>
      <c r="J106" s="31" t="str">
        <f aca="false">+WORLDCUP!BD62</f>
        <v>Ecuador</v>
      </c>
      <c r="N106" s="31" t="s">
        <v>1624</v>
      </c>
      <c r="O106" s="31" t="n">
        <v>105</v>
      </c>
      <c r="P106" s="31" t="s">
        <v>112</v>
      </c>
      <c r="Q106" s="31" t="s">
        <v>107</v>
      </c>
      <c r="R106" s="31" t="s">
        <v>85</v>
      </c>
      <c r="S106" s="31" t="s">
        <v>89</v>
      </c>
      <c r="T106" s="31" t="s">
        <v>121</v>
      </c>
      <c r="U106" s="31" t="s">
        <v>103</v>
      </c>
      <c r="V106" s="31" t="s">
        <v>130</v>
      </c>
      <c r="W106" s="31" t="s">
        <v>98</v>
      </c>
    </row>
    <row r="107" customFormat="false" ht="15" hidden="false" customHeight="false" outlineLevel="0" collapsed="false">
      <c r="A107" s="31" t="s">
        <v>1625</v>
      </c>
      <c r="B107" s="31" t="n">
        <f aca="false">+IF(A107=WORLDCUP!$BI$112,1,0)</f>
        <v>0</v>
      </c>
      <c r="C107" s="31" t="str">
        <f aca="false">+WORLDCUP!BD65</f>
        <v>España</v>
      </c>
      <c r="D107" s="31" t="str">
        <f aca="false">+WORLDCUP!BD64</f>
        <v>Bélgica</v>
      </c>
      <c r="E107" s="31" t="str">
        <f aca="false">+WORLDCUP!BD59</f>
        <v>Catar</v>
      </c>
      <c r="F107" s="31" t="str">
        <f aca="false">+WORLDCUP!BD60</f>
        <v>Marruecos</v>
      </c>
      <c r="G107" s="31" t="str">
        <f aca="false">+WORLDCUP!BD67</f>
        <v>Austria</v>
      </c>
      <c r="H107" s="31" t="str">
        <f aca="false">+WORLDCUP!BD63</f>
        <v>Japón</v>
      </c>
      <c r="I107" s="31" t="str">
        <f aca="false">+WORLDCUP!BD62</f>
        <v>Ecuador</v>
      </c>
      <c r="J107" s="31" t="str">
        <f aca="false">+WORLDCUP!BD68</f>
        <v>Uzbekistán</v>
      </c>
      <c r="N107" s="31" t="s">
        <v>1625</v>
      </c>
      <c r="O107" s="31" t="n">
        <v>106</v>
      </c>
      <c r="P107" s="31" t="s">
        <v>112</v>
      </c>
      <c r="Q107" s="31" t="s">
        <v>107</v>
      </c>
      <c r="R107" s="31" t="s">
        <v>85</v>
      </c>
      <c r="S107" s="31" t="s">
        <v>89</v>
      </c>
      <c r="T107" s="31" t="s">
        <v>121</v>
      </c>
      <c r="U107" s="31" t="s">
        <v>103</v>
      </c>
      <c r="V107" s="31" t="s">
        <v>98</v>
      </c>
      <c r="W107" s="31" t="s">
        <v>125</v>
      </c>
    </row>
    <row r="108" customFormat="false" ht="15" hidden="false" customHeight="false" outlineLevel="0" collapsed="false">
      <c r="A108" s="31" t="s">
        <v>1626</v>
      </c>
      <c r="B108" s="31" t="n">
        <f aca="false">+IF(A108=WORLDCUP!$BI$112,1,0)</f>
        <v>0</v>
      </c>
      <c r="C108" s="31" t="str">
        <f aca="false">+WORLDCUP!BD62</f>
        <v>Ecuador</v>
      </c>
      <c r="D108" s="31" t="str">
        <f aca="false">+WORLDCUP!BD64</f>
        <v>Bélgica</v>
      </c>
      <c r="E108" s="31" t="str">
        <f aca="false">+WORLDCUP!BD59</f>
        <v>Catar</v>
      </c>
      <c r="F108" s="31" t="str">
        <f aca="false">+WORLDCUP!BD60</f>
        <v>Marruecos</v>
      </c>
      <c r="G108" s="31" t="str">
        <f aca="false">+WORLDCUP!BD65</f>
        <v>España</v>
      </c>
      <c r="H108" s="31" t="str">
        <f aca="false">+WORLDCUP!BD63</f>
        <v>Japón</v>
      </c>
      <c r="I108" s="31" t="str">
        <f aca="false">+WORLDCUP!BD69</f>
        <v>Ghana</v>
      </c>
      <c r="J108" s="31" t="str">
        <f aca="false">+WORLDCUP!BD66</f>
        <v>Irak</v>
      </c>
      <c r="N108" s="31" t="s">
        <v>1626</v>
      </c>
      <c r="O108" s="31" t="n">
        <v>107</v>
      </c>
      <c r="P108" s="31" t="s">
        <v>98</v>
      </c>
      <c r="Q108" s="31" t="s">
        <v>107</v>
      </c>
      <c r="R108" s="31" t="s">
        <v>85</v>
      </c>
      <c r="S108" s="31" t="s">
        <v>89</v>
      </c>
      <c r="T108" s="31" t="s">
        <v>112</v>
      </c>
      <c r="U108" s="31" t="s">
        <v>103</v>
      </c>
      <c r="V108" s="31" t="s">
        <v>130</v>
      </c>
      <c r="W108" s="31" t="s">
        <v>116</v>
      </c>
    </row>
    <row r="109" customFormat="false" ht="15" hidden="false" customHeight="false" outlineLevel="0" collapsed="false">
      <c r="A109" s="31" t="s">
        <v>1627</v>
      </c>
      <c r="B109" s="31" t="n">
        <f aca="false">+IF(A109=WORLDCUP!$BI$112,1,0)</f>
        <v>0</v>
      </c>
      <c r="C109" s="31" t="str">
        <f aca="false">+WORLDCUP!BD62</f>
        <v>Ecuador</v>
      </c>
      <c r="D109" s="31" t="str">
        <f aca="false">+WORLDCUP!BD64</f>
        <v>Bélgica</v>
      </c>
      <c r="E109" s="31" t="str">
        <f aca="false">+WORLDCUP!BD59</f>
        <v>Catar</v>
      </c>
      <c r="F109" s="31" t="str">
        <f aca="false">+WORLDCUP!BD60</f>
        <v>Marruecos</v>
      </c>
      <c r="G109" s="31" t="str">
        <f aca="false">+WORLDCUP!BD65</f>
        <v>España</v>
      </c>
      <c r="H109" s="31" t="str">
        <f aca="false">+WORLDCUP!BD63</f>
        <v>Japón</v>
      </c>
      <c r="I109" s="31" t="str">
        <f aca="false">+WORLDCUP!BD66</f>
        <v>Irak</v>
      </c>
      <c r="J109" s="31" t="str">
        <f aca="false">+WORLDCUP!BD68</f>
        <v>Uzbekistán</v>
      </c>
      <c r="N109" s="31" t="s">
        <v>1627</v>
      </c>
      <c r="O109" s="31" t="n">
        <v>108</v>
      </c>
      <c r="P109" s="31" t="s">
        <v>98</v>
      </c>
      <c r="Q109" s="31" t="s">
        <v>107</v>
      </c>
      <c r="R109" s="31" t="s">
        <v>85</v>
      </c>
      <c r="S109" s="31" t="s">
        <v>89</v>
      </c>
      <c r="T109" s="31" t="s">
        <v>112</v>
      </c>
      <c r="U109" s="31" t="s">
        <v>103</v>
      </c>
      <c r="V109" s="31" t="s">
        <v>116</v>
      </c>
      <c r="W109" s="31" t="s">
        <v>125</v>
      </c>
    </row>
    <row r="110" customFormat="false" ht="15" hidden="false" customHeight="false" outlineLevel="0" collapsed="false">
      <c r="A110" s="31" t="s">
        <v>1628</v>
      </c>
      <c r="B110" s="31" t="n">
        <f aca="false">+IF(A110=WORLDCUP!$BI$112,1,0)</f>
        <v>0</v>
      </c>
      <c r="C110" s="31" t="str">
        <f aca="false">+WORLDCUP!BD65</f>
        <v>España</v>
      </c>
      <c r="D110" s="31" t="str">
        <f aca="false">+WORLDCUP!BD64</f>
        <v>Bélgica</v>
      </c>
      <c r="E110" s="31" t="str">
        <f aca="false">+WORLDCUP!BD59</f>
        <v>Catar</v>
      </c>
      <c r="F110" s="31" t="str">
        <f aca="false">+WORLDCUP!BD60</f>
        <v>Marruecos</v>
      </c>
      <c r="G110" s="31" t="str">
        <f aca="false">+WORLDCUP!BD67</f>
        <v>Austria</v>
      </c>
      <c r="H110" s="31" t="str">
        <f aca="false">+WORLDCUP!BD63</f>
        <v>Japón</v>
      </c>
      <c r="I110" s="31" t="str">
        <f aca="false">+WORLDCUP!BD62</f>
        <v>Ecuador</v>
      </c>
      <c r="J110" s="31" t="str">
        <f aca="false">+WORLDCUP!BD66</f>
        <v>Irak</v>
      </c>
      <c r="N110" s="31" t="s">
        <v>1628</v>
      </c>
      <c r="O110" s="31" t="n">
        <v>109</v>
      </c>
      <c r="P110" s="31" t="s">
        <v>112</v>
      </c>
      <c r="Q110" s="31" t="s">
        <v>107</v>
      </c>
      <c r="R110" s="31" t="s">
        <v>85</v>
      </c>
      <c r="S110" s="31" t="s">
        <v>89</v>
      </c>
      <c r="T110" s="31" t="s">
        <v>121</v>
      </c>
      <c r="U110" s="31" t="s">
        <v>103</v>
      </c>
      <c r="V110" s="31" t="s">
        <v>98</v>
      </c>
      <c r="W110" s="31" t="s">
        <v>116</v>
      </c>
    </row>
    <row r="111" customFormat="false" ht="15" hidden="false" customHeight="false" outlineLevel="0" collapsed="false">
      <c r="A111" s="31" t="s">
        <v>1629</v>
      </c>
      <c r="B111" s="31" t="n">
        <f aca="false">+IF(A111=WORLDCUP!$BI$112,1,0)</f>
        <v>0</v>
      </c>
      <c r="C111" s="31" t="str">
        <f aca="false">+WORLDCUP!BD65</f>
        <v>España</v>
      </c>
      <c r="D111" s="31" t="str">
        <f aca="false">+WORLDCUP!BD67</f>
        <v>Austria</v>
      </c>
      <c r="E111" s="31" t="str">
        <f aca="false">+WORLDCUP!BD59</f>
        <v>Catar</v>
      </c>
      <c r="F111" s="31" t="str">
        <f aca="false">+WORLDCUP!BD60</f>
        <v>Marruecos</v>
      </c>
      <c r="G111" s="31" t="str">
        <f aca="false">+WORLDCUP!BD66</f>
        <v>Irak</v>
      </c>
      <c r="H111" s="31" t="str">
        <f aca="false">+WORLDCUP!BD61</f>
        <v>Turquía</v>
      </c>
      <c r="I111" s="31" t="str">
        <f aca="false">+WORLDCUP!BD69</f>
        <v>Ghana</v>
      </c>
      <c r="J111" s="31" t="str">
        <f aca="false">+WORLDCUP!BD68</f>
        <v>Uzbekistán</v>
      </c>
      <c r="N111" s="31" t="s">
        <v>1629</v>
      </c>
      <c r="O111" s="31" t="n">
        <v>110</v>
      </c>
      <c r="P111" s="31" t="s">
        <v>112</v>
      </c>
      <c r="Q111" s="31" t="s">
        <v>121</v>
      </c>
      <c r="R111" s="31" t="s">
        <v>85</v>
      </c>
      <c r="S111" s="31" t="s">
        <v>89</v>
      </c>
      <c r="T111" s="31" t="s">
        <v>116</v>
      </c>
      <c r="U111" s="31" t="s">
        <v>94</v>
      </c>
      <c r="V111" s="31" t="s">
        <v>130</v>
      </c>
      <c r="W111" s="31" t="s">
        <v>125</v>
      </c>
    </row>
    <row r="112" customFormat="false" ht="15" hidden="false" customHeight="false" outlineLevel="0" collapsed="false">
      <c r="A112" s="31" t="s">
        <v>1630</v>
      </c>
      <c r="B112" s="31" t="n">
        <f aca="false">+IF(A112=WORLDCUP!$BI$112,1,0)</f>
        <v>0</v>
      </c>
      <c r="C112" s="31" t="str">
        <f aca="false">+WORLDCUP!BD66</f>
        <v>Irak</v>
      </c>
      <c r="D112" s="31" t="str">
        <f aca="false">+WORLDCUP!BD64</f>
        <v>Bélgica</v>
      </c>
      <c r="E112" s="31" t="str">
        <f aca="false">+WORLDCUP!BD59</f>
        <v>Catar</v>
      </c>
      <c r="F112" s="31" t="str">
        <f aca="false">+WORLDCUP!BD60</f>
        <v>Marruecos</v>
      </c>
      <c r="G112" s="31" t="str">
        <f aca="false">+WORLDCUP!BD67</f>
        <v>Austria</v>
      </c>
      <c r="H112" s="31" t="str">
        <f aca="false">+WORLDCUP!BD61</f>
        <v>Turquía</v>
      </c>
      <c r="I112" s="31" t="str">
        <f aca="false">+WORLDCUP!BD69</f>
        <v>Ghana</v>
      </c>
      <c r="J112" s="31" t="str">
        <f aca="false">+WORLDCUP!BD68</f>
        <v>Uzbekistán</v>
      </c>
      <c r="N112" s="31" t="s">
        <v>1630</v>
      </c>
      <c r="O112" s="31" t="n">
        <v>111</v>
      </c>
      <c r="P112" s="31" t="s">
        <v>116</v>
      </c>
      <c r="Q112" s="31" t="s">
        <v>107</v>
      </c>
      <c r="R112" s="31" t="s">
        <v>85</v>
      </c>
      <c r="S112" s="31" t="s">
        <v>89</v>
      </c>
      <c r="T112" s="31" t="s">
        <v>121</v>
      </c>
      <c r="U112" s="31" t="s">
        <v>94</v>
      </c>
      <c r="V112" s="31" t="s">
        <v>130</v>
      </c>
      <c r="W112" s="31" t="s">
        <v>125</v>
      </c>
    </row>
    <row r="113" customFormat="false" ht="15" hidden="false" customHeight="false" outlineLevel="0" collapsed="false">
      <c r="A113" s="31" t="s">
        <v>1631</v>
      </c>
      <c r="B113" s="31" t="n">
        <f aca="false">+IF(A113=WORLDCUP!$BI$112,1,0)</f>
        <v>0</v>
      </c>
      <c r="C113" s="31" t="str">
        <f aca="false">+WORLDCUP!BD65</f>
        <v>España</v>
      </c>
      <c r="D113" s="31" t="str">
        <f aca="false">+WORLDCUP!BD64</f>
        <v>Bélgica</v>
      </c>
      <c r="E113" s="31" t="str">
        <f aca="false">+WORLDCUP!BD59</f>
        <v>Catar</v>
      </c>
      <c r="F113" s="31" t="str">
        <f aca="false">+WORLDCUP!BD60</f>
        <v>Marruecos</v>
      </c>
      <c r="G113" s="31" t="str">
        <f aca="false">+WORLDCUP!BD67</f>
        <v>Austria</v>
      </c>
      <c r="H113" s="31" t="str">
        <f aca="false">+WORLDCUP!BD61</f>
        <v>Turquía</v>
      </c>
      <c r="I113" s="31" t="str">
        <f aca="false">+WORLDCUP!BD69</f>
        <v>Ghana</v>
      </c>
      <c r="J113" s="31" t="str">
        <f aca="false">+WORLDCUP!BD68</f>
        <v>Uzbekistán</v>
      </c>
      <c r="N113" s="31" t="s">
        <v>1631</v>
      </c>
      <c r="O113" s="31" t="n">
        <v>112</v>
      </c>
      <c r="P113" s="31" t="s">
        <v>112</v>
      </c>
      <c r="Q113" s="31" t="s">
        <v>107</v>
      </c>
      <c r="R113" s="31" t="s">
        <v>85</v>
      </c>
      <c r="S113" s="31" t="s">
        <v>89</v>
      </c>
      <c r="T113" s="31" t="s">
        <v>121</v>
      </c>
      <c r="U113" s="31" t="s">
        <v>94</v>
      </c>
      <c r="V113" s="31" t="s">
        <v>130</v>
      </c>
      <c r="W113" s="31" t="s">
        <v>125</v>
      </c>
    </row>
    <row r="114" customFormat="false" ht="15" hidden="false" customHeight="false" outlineLevel="0" collapsed="false">
      <c r="A114" s="31" t="s">
        <v>1632</v>
      </c>
      <c r="B114" s="31" t="n">
        <f aca="false">+IF(A114=WORLDCUP!$BI$112,1,0)</f>
        <v>0</v>
      </c>
      <c r="C114" s="31" t="str">
        <f aca="false">+WORLDCUP!BD65</f>
        <v>España</v>
      </c>
      <c r="D114" s="31" t="str">
        <f aca="false">+WORLDCUP!BD64</f>
        <v>Bélgica</v>
      </c>
      <c r="E114" s="31" t="str">
        <f aca="false">+WORLDCUP!BD59</f>
        <v>Catar</v>
      </c>
      <c r="F114" s="31" t="str">
        <f aca="false">+WORLDCUP!BD60</f>
        <v>Marruecos</v>
      </c>
      <c r="G114" s="31" t="str">
        <f aca="false">+WORLDCUP!BD66</f>
        <v>Irak</v>
      </c>
      <c r="H114" s="31" t="str">
        <f aca="false">+WORLDCUP!BD61</f>
        <v>Turquía</v>
      </c>
      <c r="I114" s="31" t="str">
        <f aca="false">+WORLDCUP!BD69</f>
        <v>Ghana</v>
      </c>
      <c r="J114" s="31" t="str">
        <f aca="false">+WORLDCUP!BD68</f>
        <v>Uzbekistán</v>
      </c>
      <c r="N114" s="31" t="s">
        <v>1632</v>
      </c>
      <c r="O114" s="31" t="n">
        <v>113</v>
      </c>
      <c r="P114" s="31" t="s">
        <v>112</v>
      </c>
      <c r="Q114" s="31" t="s">
        <v>107</v>
      </c>
      <c r="R114" s="31" t="s">
        <v>85</v>
      </c>
      <c r="S114" s="31" t="s">
        <v>89</v>
      </c>
      <c r="T114" s="31" t="s">
        <v>116</v>
      </c>
      <c r="U114" s="31" t="s">
        <v>94</v>
      </c>
      <c r="V114" s="31" t="s">
        <v>130</v>
      </c>
      <c r="W114" s="31" t="s">
        <v>125</v>
      </c>
    </row>
    <row r="115" customFormat="false" ht="15" hidden="false" customHeight="false" outlineLevel="0" collapsed="false">
      <c r="A115" s="31" t="s">
        <v>1633</v>
      </c>
      <c r="B115" s="31" t="n">
        <f aca="false">+IF(A115=WORLDCUP!$BI$112,1,0)</f>
        <v>0</v>
      </c>
      <c r="C115" s="31" t="str">
        <f aca="false">+WORLDCUP!BD65</f>
        <v>España</v>
      </c>
      <c r="D115" s="31" t="str">
        <f aca="false">+WORLDCUP!BD64</f>
        <v>Bélgica</v>
      </c>
      <c r="E115" s="31" t="str">
        <f aca="false">+WORLDCUP!BD59</f>
        <v>Catar</v>
      </c>
      <c r="F115" s="31" t="str">
        <f aca="false">+WORLDCUP!BD60</f>
        <v>Marruecos</v>
      </c>
      <c r="G115" s="31" t="str">
        <f aca="false">+WORLDCUP!BD67</f>
        <v>Austria</v>
      </c>
      <c r="H115" s="31" t="str">
        <f aca="false">+WORLDCUP!BD61</f>
        <v>Turquía</v>
      </c>
      <c r="I115" s="31" t="str">
        <f aca="false">+WORLDCUP!BD69</f>
        <v>Ghana</v>
      </c>
      <c r="J115" s="31" t="str">
        <f aca="false">+WORLDCUP!BD66</f>
        <v>Irak</v>
      </c>
      <c r="N115" s="31" t="s">
        <v>1633</v>
      </c>
      <c r="O115" s="31" t="n">
        <v>114</v>
      </c>
      <c r="P115" s="31" t="s">
        <v>112</v>
      </c>
      <c r="Q115" s="31" t="s">
        <v>107</v>
      </c>
      <c r="R115" s="31" t="s">
        <v>85</v>
      </c>
      <c r="S115" s="31" t="s">
        <v>89</v>
      </c>
      <c r="T115" s="31" t="s">
        <v>121</v>
      </c>
      <c r="U115" s="31" t="s">
        <v>94</v>
      </c>
      <c r="V115" s="31" t="s">
        <v>130</v>
      </c>
      <c r="W115" s="31" t="s">
        <v>116</v>
      </c>
    </row>
    <row r="116" customFormat="false" ht="15" hidden="false" customHeight="false" outlineLevel="0" collapsed="false">
      <c r="A116" s="31" t="s">
        <v>1634</v>
      </c>
      <c r="B116" s="31" t="n">
        <f aca="false">+IF(A116=WORLDCUP!$BI$112,1,0)</f>
        <v>0</v>
      </c>
      <c r="C116" s="31" t="str">
        <f aca="false">+WORLDCUP!BD65</f>
        <v>España</v>
      </c>
      <c r="D116" s="31" t="str">
        <f aca="false">+WORLDCUP!BD64</f>
        <v>Bélgica</v>
      </c>
      <c r="E116" s="31" t="str">
        <f aca="false">+WORLDCUP!BD59</f>
        <v>Catar</v>
      </c>
      <c r="F116" s="31" t="str">
        <f aca="false">+WORLDCUP!BD60</f>
        <v>Marruecos</v>
      </c>
      <c r="G116" s="31" t="str">
        <f aca="false">+WORLDCUP!BD67</f>
        <v>Austria</v>
      </c>
      <c r="H116" s="31" t="str">
        <f aca="false">+WORLDCUP!BD61</f>
        <v>Turquía</v>
      </c>
      <c r="I116" s="31" t="str">
        <f aca="false">+WORLDCUP!BD66</f>
        <v>Irak</v>
      </c>
      <c r="J116" s="31" t="str">
        <f aca="false">+WORLDCUP!BD68</f>
        <v>Uzbekistán</v>
      </c>
      <c r="N116" s="31" t="s">
        <v>1634</v>
      </c>
      <c r="O116" s="31" t="n">
        <v>115</v>
      </c>
      <c r="P116" s="31" t="s">
        <v>112</v>
      </c>
      <c r="Q116" s="31" t="s">
        <v>107</v>
      </c>
      <c r="R116" s="31" t="s">
        <v>85</v>
      </c>
      <c r="S116" s="31" t="s">
        <v>89</v>
      </c>
      <c r="T116" s="31" t="s">
        <v>121</v>
      </c>
      <c r="U116" s="31" t="s">
        <v>94</v>
      </c>
      <c r="V116" s="31" t="s">
        <v>116</v>
      </c>
      <c r="W116" s="31" t="s">
        <v>125</v>
      </c>
    </row>
    <row r="117" customFormat="false" ht="15" hidden="false" customHeight="false" outlineLevel="0" collapsed="false">
      <c r="A117" s="31" t="s">
        <v>1635</v>
      </c>
      <c r="B117" s="31" t="n">
        <f aca="false">+IF(A117=WORLDCUP!$BI$112,1,0)</f>
        <v>0</v>
      </c>
      <c r="C117" s="31" t="str">
        <f aca="false">+WORLDCUP!BD60</f>
        <v>Marruecos</v>
      </c>
      <c r="D117" s="31" t="str">
        <f aca="false">+WORLDCUP!BD67</f>
        <v>Austria</v>
      </c>
      <c r="E117" s="31" t="str">
        <f aca="false">+WORLDCUP!BD59</f>
        <v>Catar</v>
      </c>
      <c r="F117" s="31" t="str">
        <f aca="false">+WORLDCUP!BD61</f>
        <v>Turquía</v>
      </c>
      <c r="G117" s="31" t="str">
        <f aca="false">+WORLDCUP!BD66</f>
        <v>Irak</v>
      </c>
      <c r="H117" s="31" t="str">
        <f aca="false">+WORLDCUP!BD63</f>
        <v>Japón</v>
      </c>
      <c r="I117" s="31" t="str">
        <f aca="false">+WORLDCUP!BD69</f>
        <v>Ghana</v>
      </c>
      <c r="J117" s="31" t="str">
        <f aca="false">+WORLDCUP!BD68</f>
        <v>Uzbekistán</v>
      </c>
      <c r="N117" s="31" t="s">
        <v>1635</v>
      </c>
      <c r="O117" s="31" t="n">
        <v>116</v>
      </c>
      <c r="P117" s="31" t="s">
        <v>89</v>
      </c>
      <c r="Q117" s="31" t="s">
        <v>121</v>
      </c>
      <c r="R117" s="31" t="s">
        <v>85</v>
      </c>
      <c r="S117" s="31" t="s">
        <v>94</v>
      </c>
      <c r="T117" s="31" t="s">
        <v>116</v>
      </c>
      <c r="U117" s="31" t="s">
        <v>103</v>
      </c>
      <c r="V117" s="31" t="s">
        <v>130</v>
      </c>
      <c r="W117" s="31" t="s">
        <v>125</v>
      </c>
    </row>
    <row r="118" customFormat="false" ht="15" hidden="false" customHeight="false" outlineLevel="0" collapsed="false">
      <c r="A118" s="31" t="s">
        <v>1636</v>
      </c>
      <c r="B118" s="31" t="n">
        <f aca="false">+IF(A118=WORLDCUP!$BI$112,1,0)</f>
        <v>0</v>
      </c>
      <c r="C118" s="31" t="str">
        <f aca="false">+WORLDCUP!BD60</f>
        <v>Marruecos</v>
      </c>
      <c r="D118" s="31" t="str">
        <f aca="false">+WORLDCUP!BD67</f>
        <v>Austria</v>
      </c>
      <c r="E118" s="31" t="str">
        <f aca="false">+WORLDCUP!BD59</f>
        <v>Catar</v>
      </c>
      <c r="F118" s="31" t="str">
        <f aca="false">+WORLDCUP!BD61</f>
        <v>Turquía</v>
      </c>
      <c r="G118" s="31" t="str">
        <f aca="false">+WORLDCUP!BD65</f>
        <v>España</v>
      </c>
      <c r="H118" s="31" t="str">
        <f aca="false">+WORLDCUP!BD63</f>
        <v>Japón</v>
      </c>
      <c r="I118" s="31" t="str">
        <f aca="false">+WORLDCUP!BD69</f>
        <v>Ghana</v>
      </c>
      <c r="J118" s="31" t="str">
        <f aca="false">+WORLDCUP!BD68</f>
        <v>Uzbekistán</v>
      </c>
      <c r="N118" s="31" t="s">
        <v>1636</v>
      </c>
      <c r="O118" s="31" t="n">
        <v>117</v>
      </c>
      <c r="P118" s="31" t="s">
        <v>89</v>
      </c>
      <c r="Q118" s="31" t="s">
        <v>121</v>
      </c>
      <c r="R118" s="31" t="s">
        <v>85</v>
      </c>
      <c r="S118" s="31" t="s">
        <v>94</v>
      </c>
      <c r="T118" s="31" t="s">
        <v>112</v>
      </c>
      <c r="U118" s="31" t="s">
        <v>103</v>
      </c>
      <c r="V118" s="31" t="s">
        <v>130</v>
      </c>
      <c r="W118" s="31" t="s">
        <v>125</v>
      </c>
    </row>
    <row r="119" customFormat="false" ht="15" hidden="false" customHeight="false" outlineLevel="0" collapsed="false">
      <c r="A119" s="31" t="s">
        <v>1637</v>
      </c>
      <c r="B119" s="31" t="n">
        <f aca="false">+IF(A119=WORLDCUP!$BI$112,1,0)</f>
        <v>0</v>
      </c>
      <c r="C119" s="31" t="str">
        <f aca="false">+WORLDCUP!BD60</f>
        <v>Marruecos</v>
      </c>
      <c r="D119" s="31" t="str">
        <f aca="false">+WORLDCUP!BD66</f>
        <v>Irak</v>
      </c>
      <c r="E119" s="31" t="str">
        <f aca="false">+WORLDCUP!BD59</f>
        <v>Catar</v>
      </c>
      <c r="F119" s="31" t="str">
        <f aca="false">+WORLDCUP!BD61</f>
        <v>Turquía</v>
      </c>
      <c r="G119" s="31" t="str">
        <f aca="false">+WORLDCUP!BD65</f>
        <v>España</v>
      </c>
      <c r="H119" s="31" t="str">
        <f aca="false">+WORLDCUP!BD63</f>
        <v>Japón</v>
      </c>
      <c r="I119" s="31" t="str">
        <f aca="false">+WORLDCUP!BD69</f>
        <v>Ghana</v>
      </c>
      <c r="J119" s="31" t="str">
        <f aca="false">+WORLDCUP!BD68</f>
        <v>Uzbekistán</v>
      </c>
      <c r="N119" s="31" t="s">
        <v>1637</v>
      </c>
      <c r="O119" s="31" t="n">
        <v>118</v>
      </c>
      <c r="P119" s="31" t="s">
        <v>89</v>
      </c>
      <c r="Q119" s="31" t="s">
        <v>116</v>
      </c>
      <c r="R119" s="31" t="s">
        <v>85</v>
      </c>
      <c r="S119" s="31" t="s">
        <v>94</v>
      </c>
      <c r="T119" s="31" t="s">
        <v>112</v>
      </c>
      <c r="U119" s="31" t="s">
        <v>103</v>
      </c>
      <c r="V119" s="31" t="s">
        <v>130</v>
      </c>
      <c r="W119" s="31" t="s">
        <v>125</v>
      </c>
    </row>
    <row r="120" customFormat="false" ht="15" hidden="false" customHeight="false" outlineLevel="0" collapsed="false">
      <c r="A120" s="31" t="s">
        <v>1638</v>
      </c>
      <c r="B120" s="31" t="n">
        <f aca="false">+IF(A120=WORLDCUP!$BI$112,1,0)</f>
        <v>0</v>
      </c>
      <c r="C120" s="31" t="str">
        <f aca="false">+WORLDCUP!BD60</f>
        <v>Marruecos</v>
      </c>
      <c r="D120" s="31" t="str">
        <f aca="false">+WORLDCUP!BD67</f>
        <v>Austria</v>
      </c>
      <c r="E120" s="31" t="str">
        <f aca="false">+WORLDCUP!BD59</f>
        <v>Catar</v>
      </c>
      <c r="F120" s="31" t="str">
        <f aca="false">+WORLDCUP!BD61</f>
        <v>Turquía</v>
      </c>
      <c r="G120" s="31" t="str">
        <f aca="false">+WORLDCUP!BD65</f>
        <v>España</v>
      </c>
      <c r="H120" s="31" t="str">
        <f aca="false">+WORLDCUP!BD63</f>
        <v>Japón</v>
      </c>
      <c r="I120" s="31" t="str">
        <f aca="false">+WORLDCUP!BD69</f>
        <v>Ghana</v>
      </c>
      <c r="J120" s="31" t="str">
        <f aca="false">+WORLDCUP!BD66</f>
        <v>Irak</v>
      </c>
      <c r="N120" s="31" t="s">
        <v>1638</v>
      </c>
      <c r="O120" s="31" t="n">
        <v>119</v>
      </c>
      <c r="P120" s="31" t="s">
        <v>89</v>
      </c>
      <c r="Q120" s="31" t="s">
        <v>121</v>
      </c>
      <c r="R120" s="31" t="s">
        <v>85</v>
      </c>
      <c r="S120" s="31" t="s">
        <v>94</v>
      </c>
      <c r="T120" s="31" t="s">
        <v>112</v>
      </c>
      <c r="U120" s="31" t="s">
        <v>103</v>
      </c>
      <c r="V120" s="31" t="s">
        <v>130</v>
      </c>
      <c r="W120" s="31" t="s">
        <v>116</v>
      </c>
    </row>
    <row r="121" customFormat="false" ht="15" hidden="false" customHeight="false" outlineLevel="0" collapsed="false">
      <c r="A121" s="31" t="s">
        <v>1639</v>
      </c>
      <c r="B121" s="31" t="n">
        <f aca="false">+IF(A121=WORLDCUP!$BI$112,1,0)</f>
        <v>0</v>
      </c>
      <c r="C121" s="31" t="str">
        <f aca="false">+WORLDCUP!BD60</f>
        <v>Marruecos</v>
      </c>
      <c r="D121" s="31" t="str">
        <f aca="false">+WORLDCUP!BD67</f>
        <v>Austria</v>
      </c>
      <c r="E121" s="31" t="str">
        <f aca="false">+WORLDCUP!BD59</f>
        <v>Catar</v>
      </c>
      <c r="F121" s="31" t="str">
        <f aca="false">+WORLDCUP!BD61</f>
        <v>Turquía</v>
      </c>
      <c r="G121" s="31" t="str">
        <f aca="false">+WORLDCUP!BD65</f>
        <v>España</v>
      </c>
      <c r="H121" s="31" t="str">
        <f aca="false">+WORLDCUP!BD63</f>
        <v>Japón</v>
      </c>
      <c r="I121" s="31" t="str">
        <f aca="false">+WORLDCUP!BD66</f>
        <v>Irak</v>
      </c>
      <c r="J121" s="31" t="str">
        <f aca="false">+WORLDCUP!BD68</f>
        <v>Uzbekistán</v>
      </c>
      <c r="N121" s="31" t="s">
        <v>1639</v>
      </c>
      <c r="O121" s="31" t="n">
        <v>120</v>
      </c>
      <c r="P121" s="31" t="s">
        <v>89</v>
      </c>
      <c r="Q121" s="31" t="s">
        <v>121</v>
      </c>
      <c r="R121" s="31" t="s">
        <v>85</v>
      </c>
      <c r="S121" s="31" t="s">
        <v>94</v>
      </c>
      <c r="T121" s="31" t="s">
        <v>112</v>
      </c>
      <c r="U121" s="31" t="s">
        <v>103</v>
      </c>
      <c r="V121" s="31" t="s">
        <v>116</v>
      </c>
      <c r="W121" s="31" t="s">
        <v>125</v>
      </c>
    </row>
    <row r="122" customFormat="false" ht="15" hidden="false" customHeight="false" outlineLevel="0" collapsed="false">
      <c r="A122" s="31" t="s">
        <v>1640</v>
      </c>
      <c r="B122" s="31" t="n">
        <f aca="false">+IF(A122=WORLDCUP!$BI$112,1,0)</f>
        <v>0</v>
      </c>
      <c r="C122" s="31" t="str">
        <f aca="false">+WORLDCUP!BD60</f>
        <v>Marruecos</v>
      </c>
      <c r="D122" s="31" t="str">
        <f aca="false">+WORLDCUP!BD64</f>
        <v>Bélgica</v>
      </c>
      <c r="E122" s="31" t="str">
        <f aca="false">+WORLDCUP!BD59</f>
        <v>Catar</v>
      </c>
      <c r="F122" s="31" t="str">
        <f aca="false">+WORLDCUP!BD61</f>
        <v>Turquía</v>
      </c>
      <c r="G122" s="31" t="str">
        <f aca="false">+WORLDCUP!BD67</f>
        <v>Austria</v>
      </c>
      <c r="H122" s="31" t="str">
        <f aca="false">+WORLDCUP!BD63</f>
        <v>Japón</v>
      </c>
      <c r="I122" s="31" t="str">
        <f aca="false">+WORLDCUP!BD69</f>
        <v>Ghana</v>
      </c>
      <c r="J122" s="31" t="str">
        <f aca="false">+WORLDCUP!BD68</f>
        <v>Uzbekistán</v>
      </c>
      <c r="N122" s="31" t="s">
        <v>1640</v>
      </c>
      <c r="O122" s="31" t="n">
        <v>121</v>
      </c>
      <c r="P122" s="31" t="s">
        <v>89</v>
      </c>
      <c r="Q122" s="31" t="s">
        <v>107</v>
      </c>
      <c r="R122" s="31" t="s">
        <v>85</v>
      </c>
      <c r="S122" s="31" t="s">
        <v>94</v>
      </c>
      <c r="T122" s="31" t="s">
        <v>121</v>
      </c>
      <c r="U122" s="31" t="s">
        <v>103</v>
      </c>
      <c r="V122" s="31" t="s">
        <v>130</v>
      </c>
      <c r="W122" s="31" t="s">
        <v>125</v>
      </c>
    </row>
    <row r="123" customFormat="false" ht="15" hidden="false" customHeight="false" outlineLevel="0" collapsed="false">
      <c r="A123" s="31" t="s">
        <v>1641</v>
      </c>
      <c r="B123" s="31" t="n">
        <f aca="false">+IF(A123=WORLDCUP!$BI$112,1,0)</f>
        <v>0</v>
      </c>
      <c r="C123" s="31" t="str">
        <f aca="false">+WORLDCUP!BD60</f>
        <v>Marruecos</v>
      </c>
      <c r="D123" s="31" t="str">
        <f aca="false">+WORLDCUP!BD64</f>
        <v>Bélgica</v>
      </c>
      <c r="E123" s="31" t="str">
        <f aca="false">+WORLDCUP!BD59</f>
        <v>Catar</v>
      </c>
      <c r="F123" s="31" t="str">
        <f aca="false">+WORLDCUP!BD61</f>
        <v>Turquía</v>
      </c>
      <c r="G123" s="31" t="str">
        <f aca="false">+WORLDCUP!BD66</f>
        <v>Irak</v>
      </c>
      <c r="H123" s="31" t="str">
        <f aca="false">+WORLDCUP!BD63</f>
        <v>Japón</v>
      </c>
      <c r="I123" s="31" t="str">
        <f aca="false">+WORLDCUP!BD69</f>
        <v>Ghana</v>
      </c>
      <c r="J123" s="31" t="str">
        <f aca="false">+WORLDCUP!BD68</f>
        <v>Uzbekistán</v>
      </c>
      <c r="N123" s="31" t="s">
        <v>1641</v>
      </c>
      <c r="O123" s="31" t="n">
        <v>122</v>
      </c>
      <c r="P123" s="31" t="s">
        <v>89</v>
      </c>
      <c r="Q123" s="31" t="s">
        <v>107</v>
      </c>
      <c r="R123" s="31" t="s">
        <v>85</v>
      </c>
      <c r="S123" s="31" t="s">
        <v>94</v>
      </c>
      <c r="T123" s="31" t="s">
        <v>116</v>
      </c>
      <c r="U123" s="31" t="s">
        <v>103</v>
      </c>
      <c r="V123" s="31" t="s">
        <v>130</v>
      </c>
      <c r="W123" s="31" t="s">
        <v>125</v>
      </c>
    </row>
    <row r="124" customFormat="false" ht="15" hidden="false" customHeight="false" outlineLevel="0" collapsed="false">
      <c r="A124" s="31" t="s">
        <v>1642</v>
      </c>
      <c r="B124" s="31" t="n">
        <f aca="false">+IF(A124=WORLDCUP!$BI$112,1,0)</f>
        <v>0</v>
      </c>
      <c r="C124" s="31" t="str">
        <f aca="false">+WORLDCUP!BD60</f>
        <v>Marruecos</v>
      </c>
      <c r="D124" s="31" t="str">
        <f aca="false">+WORLDCUP!BD64</f>
        <v>Bélgica</v>
      </c>
      <c r="E124" s="31" t="str">
        <f aca="false">+WORLDCUP!BD59</f>
        <v>Catar</v>
      </c>
      <c r="F124" s="31" t="str">
        <f aca="false">+WORLDCUP!BD61</f>
        <v>Turquía</v>
      </c>
      <c r="G124" s="31" t="str">
        <f aca="false">+WORLDCUP!BD67</f>
        <v>Austria</v>
      </c>
      <c r="H124" s="31" t="str">
        <f aca="false">+WORLDCUP!BD63</f>
        <v>Japón</v>
      </c>
      <c r="I124" s="31" t="str">
        <f aca="false">+WORLDCUP!BD69</f>
        <v>Ghana</v>
      </c>
      <c r="J124" s="31" t="str">
        <f aca="false">+WORLDCUP!BD66</f>
        <v>Irak</v>
      </c>
      <c r="N124" s="31" t="s">
        <v>1642</v>
      </c>
      <c r="O124" s="31" t="n">
        <v>123</v>
      </c>
      <c r="P124" s="31" t="s">
        <v>89</v>
      </c>
      <c r="Q124" s="31" t="s">
        <v>107</v>
      </c>
      <c r="R124" s="31" t="s">
        <v>85</v>
      </c>
      <c r="S124" s="31" t="s">
        <v>94</v>
      </c>
      <c r="T124" s="31" t="s">
        <v>121</v>
      </c>
      <c r="U124" s="31" t="s">
        <v>103</v>
      </c>
      <c r="V124" s="31" t="s">
        <v>130</v>
      </c>
      <c r="W124" s="31" t="s">
        <v>116</v>
      </c>
    </row>
    <row r="125" customFormat="false" ht="15" hidden="false" customHeight="false" outlineLevel="0" collapsed="false">
      <c r="A125" s="31" t="s">
        <v>1643</v>
      </c>
      <c r="B125" s="31" t="n">
        <f aca="false">+IF(A125=WORLDCUP!$BI$112,1,0)</f>
        <v>0</v>
      </c>
      <c r="C125" s="31" t="str">
        <f aca="false">+WORLDCUP!BD60</f>
        <v>Marruecos</v>
      </c>
      <c r="D125" s="31" t="str">
        <f aca="false">+WORLDCUP!BD64</f>
        <v>Bélgica</v>
      </c>
      <c r="E125" s="31" t="str">
        <f aca="false">+WORLDCUP!BD59</f>
        <v>Catar</v>
      </c>
      <c r="F125" s="31" t="str">
        <f aca="false">+WORLDCUP!BD61</f>
        <v>Turquía</v>
      </c>
      <c r="G125" s="31" t="str">
        <f aca="false">+WORLDCUP!BD67</f>
        <v>Austria</v>
      </c>
      <c r="H125" s="31" t="str">
        <f aca="false">+WORLDCUP!BD63</f>
        <v>Japón</v>
      </c>
      <c r="I125" s="31" t="str">
        <f aca="false">+WORLDCUP!BD66</f>
        <v>Irak</v>
      </c>
      <c r="J125" s="31" t="str">
        <f aca="false">+WORLDCUP!BD68</f>
        <v>Uzbekistán</v>
      </c>
      <c r="N125" s="31" t="s">
        <v>1643</v>
      </c>
      <c r="O125" s="31" t="n">
        <v>124</v>
      </c>
      <c r="P125" s="31" t="s">
        <v>89</v>
      </c>
      <c r="Q125" s="31" t="s">
        <v>107</v>
      </c>
      <c r="R125" s="31" t="s">
        <v>85</v>
      </c>
      <c r="S125" s="31" t="s">
        <v>94</v>
      </c>
      <c r="T125" s="31" t="s">
        <v>121</v>
      </c>
      <c r="U125" s="31" t="s">
        <v>103</v>
      </c>
      <c r="V125" s="31" t="s">
        <v>116</v>
      </c>
      <c r="W125" s="31" t="s">
        <v>125</v>
      </c>
    </row>
    <row r="126" customFormat="false" ht="15" hidden="false" customHeight="false" outlineLevel="0" collapsed="false">
      <c r="A126" s="31" t="s">
        <v>1644</v>
      </c>
      <c r="B126" s="31" t="n">
        <f aca="false">+IF(A126=WORLDCUP!$BI$112,1,0)</f>
        <v>0</v>
      </c>
      <c r="C126" s="31" t="str">
        <f aca="false">+WORLDCUP!BD60</f>
        <v>Marruecos</v>
      </c>
      <c r="D126" s="31" t="str">
        <f aca="false">+WORLDCUP!BD64</f>
        <v>Bélgica</v>
      </c>
      <c r="E126" s="31" t="str">
        <f aca="false">+WORLDCUP!BD59</f>
        <v>Catar</v>
      </c>
      <c r="F126" s="31" t="str">
        <f aca="false">+WORLDCUP!BD61</f>
        <v>Turquía</v>
      </c>
      <c r="G126" s="31" t="str">
        <f aca="false">+WORLDCUP!BD65</f>
        <v>España</v>
      </c>
      <c r="H126" s="31" t="str">
        <f aca="false">+WORLDCUP!BD63</f>
        <v>Japón</v>
      </c>
      <c r="I126" s="31" t="str">
        <f aca="false">+WORLDCUP!BD69</f>
        <v>Ghana</v>
      </c>
      <c r="J126" s="31" t="str">
        <f aca="false">+WORLDCUP!BD68</f>
        <v>Uzbekistán</v>
      </c>
      <c r="N126" s="31" t="s">
        <v>1644</v>
      </c>
      <c r="O126" s="31" t="n">
        <v>125</v>
      </c>
      <c r="P126" s="31" t="s">
        <v>89</v>
      </c>
      <c r="Q126" s="31" t="s">
        <v>107</v>
      </c>
      <c r="R126" s="31" t="s">
        <v>85</v>
      </c>
      <c r="S126" s="31" t="s">
        <v>94</v>
      </c>
      <c r="T126" s="31" t="s">
        <v>112</v>
      </c>
      <c r="U126" s="31" t="s">
        <v>103</v>
      </c>
      <c r="V126" s="31" t="s">
        <v>130</v>
      </c>
      <c r="W126" s="31" t="s">
        <v>125</v>
      </c>
    </row>
    <row r="127" customFormat="false" ht="15" hidden="false" customHeight="false" outlineLevel="0" collapsed="false">
      <c r="A127" s="31" t="s">
        <v>1645</v>
      </c>
      <c r="B127" s="31" t="n">
        <f aca="false">+IF(A127=WORLDCUP!$BI$112,1,0)</f>
        <v>0</v>
      </c>
      <c r="C127" s="31" t="str">
        <f aca="false">+WORLDCUP!BD60</f>
        <v>Marruecos</v>
      </c>
      <c r="D127" s="31" t="str">
        <f aca="false">+WORLDCUP!BD64</f>
        <v>Bélgica</v>
      </c>
      <c r="E127" s="31" t="str">
        <f aca="false">+WORLDCUP!BD59</f>
        <v>Catar</v>
      </c>
      <c r="F127" s="31" t="str">
        <f aca="false">+WORLDCUP!BD61</f>
        <v>Turquía</v>
      </c>
      <c r="G127" s="31" t="str">
        <f aca="false">+WORLDCUP!BD65</f>
        <v>España</v>
      </c>
      <c r="H127" s="31" t="str">
        <f aca="false">+WORLDCUP!BD63</f>
        <v>Japón</v>
      </c>
      <c r="I127" s="31" t="str">
        <f aca="false">+WORLDCUP!BD69</f>
        <v>Ghana</v>
      </c>
      <c r="J127" s="31" t="str">
        <f aca="false">+WORLDCUP!BD67</f>
        <v>Austria</v>
      </c>
      <c r="N127" s="31" t="s">
        <v>1645</v>
      </c>
      <c r="O127" s="31" t="n">
        <v>126</v>
      </c>
      <c r="P127" s="31" t="s">
        <v>89</v>
      </c>
      <c r="Q127" s="31" t="s">
        <v>107</v>
      </c>
      <c r="R127" s="31" t="s">
        <v>85</v>
      </c>
      <c r="S127" s="31" t="s">
        <v>94</v>
      </c>
      <c r="T127" s="31" t="s">
        <v>112</v>
      </c>
      <c r="U127" s="31" t="s">
        <v>103</v>
      </c>
      <c r="V127" s="31" t="s">
        <v>130</v>
      </c>
      <c r="W127" s="31" t="s">
        <v>121</v>
      </c>
    </row>
    <row r="128" customFormat="false" ht="15" hidden="false" customHeight="false" outlineLevel="0" collapsed="false">
      <c r="A128" s="31" t="s">
        <v>1646</v>
      </c>
      <c r="B128" s="31" t="n">
        <f aca="false">+IF(A128=WORLDCUP!$BI$112,1,0)</f>
        <v>0</v>
      </c>
      <c r="C128" s="31" t="str">
        <f aca="false">+WORLDCUP!BD65</f>
        <v>España</v>
      </c>
      <c r="D128" s="31" t="str">
        <f aca="false">+WORLDCUP!BD64</f>
        <v>Bélgica</v>
      </c>
      <c r="E128" s="31" t="str">
        <f aca="false">+WORLDCUP!BD59</f>
        <v>Catar</v>
      </c>
      <c r="F128" s="31" t="str">
        <f aca="false">+WORLDCUP!BD60</f>
        <v>Marruecos</v>
      </c>
      <c r="G128" s="31" t="str">
        <f aca="false">+WORLDCUP!BD67</f>
        <v>Austria</v>
      </c>
      <c r="H128" s="31" t="str">
        <f aca="false">+WORLDCUP!BD63</f>
        <v>Japón</v>
      </c>
      <c r="I128" s="31" t="str">
        <f aca="false">+WORLDCUP!BD61</f>
        <v>Turquía</v>
      </c>
      <c r="J128" s="31" t="str">
        <f aca="false">+WORLDCUP!BD68</f>
        <v>Uzbekistán</v>
      </c>
      <c r="N128" s="31" t="s">
        <v>1646</v>
      </c>
      <c r="O128" s="31" t="n">
        <v>127</v>
      </c>
      <c r="P128" s="31" t="s">
        <v>112</v>
      </c>
      <c r="Q128" s="31" t="s">
        <v>107</v>
      </c>
      <c r="R128" s="31" t="s">
        <v>85</v>
      </c>
      <c r="S128" s="31" t="s">
        <v>89</v>
      </c>
      <c r="T128" s="31" t="s">
        <v>121</v>
      </c>
      <c r="U128" s="31" t="s">
        <v>103</v>
      </c>
      <c r="V128" s="31" t="s">
        <v>94</v>
      </c>
      <c r="W128" s="31" t="s">
        <v>125</v>
      </c>
    </row>
    <row r="129" customFormat="false" ht="15" hidden="false" customHeight="false" outlineLevel="0" collapsed="false">
      <c r="A129" s="31" t="s">
        <v>1647</v>
      </c>
      <c r="B129" s="31" t="n">
        <f aca="false">+IF(A129=WORLDCUP!$BI$112,1,0)</f>
        <v>0</v>
      </c>
      <c r="C129" s="31" t="str">
        <f aca="false">+WORLDCUP!BD60</f>
        <v>Marruecos</v>
      </c>
      <c r="D129" s="31" t="str">
        <f aca="false">+WORLDCUP!BD64</f>
        <v>Bélgica</v>
      </c>
      <c r="E129" s="31" t="str">
        <f aca="false">+WORLDCUP!BD59</f>
        <v>Catar</v>
      </c>
      <c r="F129" s="31" t="str">
        <f aca="false">+WORLDCUP!BD61</f>
        <v>Turquía</v>
      </c>
      <c r="G129" s="31" t="str">
        <f aca="false">+WORLDCUP!BD65</f>
        <v>España</v>
      </c>
      <c r="H129" s="31" t="str">
        <f aca="false">+WORLDCUP!BD63</f>
        <v>Japón</v>
      </c>
      <c r="I129" s="31" t="str">
        <f aca="false">+WORLDCUP!BD69</f>
        <v>Ghana</v>
      </c>
      <c r="J129" s="31" t="str">
        <f aca="false">+WORLDCUP!BD66</f>
        <v>Irak</v>
      </c>
      <c r="N129" s="31" t="s">
        <v>1647</v>
      </c>
      <c r="O129" s="31" t="n">
        <v>128</v>
      </c>
      <c r="P129" s="31" t="s">
        <v>89</v>
      </c>
      <c r="Q129" s="31" t="s">
        <v>107</v>
      </c>
      <c r="R129" s="31" t="s">
        <v>85</v>
      </c>
      <c r="S129" s="31" t="s">
        <v>94</v>
      </c>
      <c r="T129" s="31" t="s">
        <v>112</v>
      </c>
      <c r="U129" s="31" t="s">
        <v>103</v>
      </c>
      <c r="V129" s="31" t="s">
        <v>130</v>
      </c>
      <c r="W129" s="31" t="s">
        <v>116</v>
      </c>
    </row>
    <row r="130" customFormat="false" ht="15" hidden="false" customHeight="false" outlineLevel="0" collapsed="false">
      <c r="A130" s="31" t="s">
        <v>1648</v>
      </c>
      <c r="B130" s="31" t="n">
        <f aca="false">+IF(A130=WORLDCUP!$BI$112,1,0)</f>
        <v>0</v>
      </c>
      <c r="C130" s="31" t="str">
        <f aca="false">+WORLDCUP!BD60</f>
        <v>Marruecos</v>
      </c>
      <c r="D130" s="31" t="str">
        <f aca="false">+WORLDCUP!BD64</f>
        <v>Bélgica</v>
      </c>
      <c r="E130" s="31" t="str">
        <f aca="false">+WORLDCUP!BD59</f>
        <v>Catar</v>
      </c>
      <c r="F130" s="31" t="str">
        <f aca="false">+WORLDCUP!BD61</f>
        <v>Turquía</v>
      </c>
      <c r="G130" s="31" t="str">
        <f aca="false">+WORLDCUP!BD65</f>
        <v>España</v>
      </c>
      <c r="H130" s="31" t="str">
        <f aca="false">+WORLDCUP!BD63</f>
        <v>Japón</v>
      </c>
      <c r="I130" s="31" t="str">
        <f aca="false">+WORLDCUP!BD66</f>
        <v>Irak</v>
      </c>
      <c r="J130" s="31" t="str">
        <f aca="false">+WORLDCUP!BD68</f>
        <v>Uzbekistán</v>
      </c>
      <c r="N130" s="31" t="s">
        <v>1648</v>
      </c>
      <c r="O130" s="31" t="n">
        <v>129</v>
      </c>
      <c r="P130" s="31" t="s">
        <v>89</v>
      </c>
      <c r="Q130" s="31" t="s">
        <v>107</v>
      </c>
      <c r="R130" s="31" t="s">
        <v>85</v>
      </c>
      <c r="S130" s="31" t="s">
        <v>94</v>
      </c>
      <c r="T130" s="31" t="s">
        <v>112</v>
      </c>
      <c r="U130" s="31" t="s">
        <v>103</v>
      </c>
      <c r="V130" s="31" t="s">
        <v>116</v>
      </c>
      <c r="W130" s="31" t="s">
        <v>125</v>
      </c>
    </row>
    <row r="131" customFormat="false" ht="15" hidden="false" customHeight="false" outlineLevel="0" collapsed="false">
      <c r="A131" s="31" t="s">
        <v>1649</v>
      </c>
      <c r="B131" s="31" t="n">
        <f aca="false">+IF(A131=WORLDCUP!$BI$112,1,0)</f>
        <v>0</v>
      </c>
      <c r="C131" s="31" t="str">
        <f aca="false">+WORLDCUP!BD65</f>
        <v>España</v>
      </c>
      <c r="D131" s="31" t="str">
        <f aca="false">+WORLDCUP!BD64</f>
        <v>Bélgica</v>
      </c>
      <c r="E131" s="31" t="str">
        <f aca="false">+WORLDCUP!BD59</f>
        <v>Catar</v>
      </c>
      <c r="F131" s="31" t="str">
        <f aca="false">+WORLDCUP!BD60</f>
        <v>Marruecos</v>
      </c>
      <c r="G131" s="31" t="str">
        <f aca="false">+WORLDCUP!BD67</f>
        <v>Austria</v>
      </c>
      <c r="H131" s="31" t="str">
        <f aca="false">+WORLDCUP!BD63</f>
        <v>Japón</v>
      </c>
      <c r="I131" s="31" t="str">
        <f aca="false">+WORLDCUP!BD61</f>
        <v>Turquía</v>
      </c>
      <c r="J131" s="31" t="str">
        <f aca="false">+WORLDCUP!BD66</f>
        <v>Irak</v>
      </c>
      <c r="N131" s="31" t="s">
        <v>1649</v>
      </c>
      <c r="O131" s="31" t="n">
        <v>130</v>
      </c>
      <c r="P131" s="31" t="s">
        <v>112</v>
      </c>
      <c r="Q131" s="31" t="s">
        <v>107</v>
      </c>
      <c r="R131" s="31" t="s">
        <v>85</v>
      </c>
      <c r="S131" s="31" t="s">
        <v>89</v>
      </c>
      <c r="T131" s="31" t="s">
        <v>121</v>
      </c>
      <c r="U131" s="31" t="s">
        <v>103</v>
      </c>
      <c r="V131" s="31" t="s">
        <v>94</v>
      </c>
      <c r="W131" s="31" t="s">
        <v>116</v>
      </c>
    </row>
    <row r="132" customFormat="false" ht="15" hidden="false" customHeight="false" outlineLevel="0" collapsed="false">
      <c r="A132" s="31" t="s">
        <v>1650</v>
      </c>
      <c r="B132" s="31" t="n">
        <f aca="false">+IF(A132=WORLDCUP!$BI$112,1,0)</f>
        <v>0</v>
      </c>
      <c r="C132" s="31" t="str">
        <f aca="false">+WORLDCUP!BD62</f>
        <v>Ecuador</v>
      </c>
      <c r="D132" s="31" t="str">
        <f aca="false">+WORLDCUP!BD67</f>
        <v>Austria</v>
      </c>
      <c r="E132" s="31" t="str">
        <f aca="false">+WORLDCUP!BD59</f>
        <v>Catar</v>
      </c>
      <c r="F132" s="31" t="str">
        <f aca="false">+WORLDCUP!BD60</f>
        <v>Marruecos</v>
      </c>
      <c r="G132" s="31" t="str">
        <f aca="false">+WORLDCUP!BD66</f>
        <v>Irak</v>
      </c>
      <c r="H132" s="31" t="str">
        <f aca="false">+WORLDCUP!BD61</f>
        <v>Turquía</v>
      </c>
      <c r="I132" s="31" t="str">
        <f aca="false">+WORLDCUP!BD69</f>
        <v>Ghana</v>
      </c>
      <c r="J132" s="31" t="str">
        <f aca="false">+WORLDCUP!BD68</f>
        <v>Uzbekistán</v>
      </c>
      <c r="N132" s="31" t="s">
        <v>1650</v>
      </c>
      <c r="O132" s="31" t="n">
        <v>131</v>
      </c>
      <c r="P132" s="31" t="s">
        <v>98</v>
      </c>
      <c r="Q132" s="31" t="s">
        <v>121</v>
      </c>
      <c r="R132" s="31" t="s">
        <v>85</v>
      </c>
      <c r="S132" s="31" t="s">
        <v>89</v>
      </c>
      <c r="T132" s="31" t="s">
        <v>116</v>
      </c>
      <c r="U132" s="31" t="s">
        <v>94</v>
      </c>
      <c r="V132" s="31" t="s">
        <v>130</v>
      </c>
      <c r="W132" s="31" t="s">
        <v>125</v>
      </c>
    </row>
    <row r="133" customFormat="false" ht="15" hidden="false" customHeight="false" outlineLevel="0" collapsed="false">
      <c r="A133" s="31" t="s">
        <v>1651</v>
      </c>
      <c r="B133" s="31" t="n">
        <f aca="false">+IF(A133=WORLDCUP!$BI$112,1,0)</f>
        <v>0</v>
      </c>
      <c r="C133" s="31" t="str">
        <f aca="false">+WORLDCUP!BD62</f>
        <v>Ecuador</v>
      </c>
      <c r="D133" s="31" t="str">
        <f aca="false">+WORLDCUP!BD67</f>
        <v>Austria</v>
      </c>
      <c r="E133" s="31" t="str">
        <f aca="false">+WORLDCUP!BD59</f>
        <v>Catar</v>
      </c>
      <c r="F133" s="31" t="str">
        <f aca="false">+WORLDCUP!BD60</f>
        <v>Marruecos</v>
      </c>
      <c r="G133" s="31" t="str">
        <f aca="false">+WORLDCUP!BD65</f>
        <v>España</v>
      </c>
      <c r="H133" s="31" t="str">
        <f aca="false">+WORLDCUP!BD61</f>
        <v>Turquía</v>
      </c>
      <c r="I133" s="31" t="str">
        <f aca="false">+WORLDCUP!BD69</f>
        <v>Ghana</v>
      </c>
      <c r="J133" s="31" t="str">
        <f aca="false">+WORLDCUP!BD68</f>
        <v>Uzbekistán</v>
      </c>
      <c r="N133" s="31" t="s">
        <v>1651</v>
      </c>
      <c r="O133" s="31" t="n">
        <v>132</v>
      </c>
      <c r="P133" s="31" t="s">
        <v>98</v>
      </c>
      <c r="Q133" s="31" t="s">
        <v>121</v>
      </c>
      <c r="R133" s="31" t="s">
        <v>85</v>
      </c>
      <c r="S133" s="31" t="s">
        <v>89</v>
      </c>
      <c r="T133" s="31" t="s">
        <v>112</v>
      </c>
      <c r="U133" s="31" t="s">
        <v>94</v>
      </c>
      <c r="V133" s="31" t="s">
        <v>130</v>
      </c>
      <c r="W133" s="31" t="s">
        <v>125</v>
      </c>
    </row>
    <row r="134" customFormat="false" ht="15" hidden="false" customHeight="false" outlineLevel="0" collapsed="false">
      <c r="A134" s="31" t="s">
        <v>1652</v>
      </c>
      <c r="B134" s="31" t="n">
        <f aca="false">+IF(A134=WORLDCUP!$BI$112,1,0)</f>
        <v>0</v>
      </c>
      <c r="C134" s="31" t="str">
        <f aca="false">+WORLDCUP!BD62</f>
        <v>Ecuador</v>
      </c>
      <c r="D134" s="31" t="str">
        <f aca="false">+WORLDCUP!BD66</f>
        <v>Irak</v>
      </c>
      <c r="E134" s="31" t="str">
        <f aca="false">+WORLDCUP!BD59</f>
        <v>Catar</v>
      </c>
      <c r="F134" s="31" t="str">
        <f aca="false">+WORLDCUP!BD60</f>
        <v>Marruecos</v>
      </c>
      <c r="G134" s="31" t="str">
        <f aca="false">+WORLDCUP!BD65</f>
        <v>España</v>
      </c>
      <c r="H134" s="31" t="str">
        <f aca="false">+WORLDCUP!BD61</f>
        <v>Turquía</v>
      </c>
      <c r="I134" s="31" t="str">
        <f aca="false">+WORLDCUP!BD69</f>
        <v>Ghana</v>
      </c>
      <c r="J134" s="31" t="str">
        <f aca="false">+WORLDCUP!BD68</f>
        <v>Uzbekistán</v>
      </c>
      <c r="N134" s="31" t="s">
        <v>1652</v>
      </c>
      <c r="O134" s="31" t="n">
        <v>133</v>
      </c>
      <c r="P134" s="31" t="s">
        <v>98</v>
      </c>
      <c r="Q134" s="31" t="s">
        <v>116</v>
      </c>
      <c r="R134" s="31" t="s">
        <v>85</v>
      </c>
      <c r="S134" s="31" t="s">
        <v>89</v>
      </c>
      <c r="T134" s="31" t="s">
        <v>112</v>
      </c>
      <c r="U134" s="31" t="s">
        <v>94</v>
      </c>
      <c r="V134" s="31" t="s">
        <v>130</v>
      </c>
      <c r="W134" s="31" t="s">
        <v>125</v>
      </c>
    </row>
    <row r="135" customFormat="false" ht="15" hidden="false" customHeight="false" outlineLevel="0" collapsed="false">
      <c r="A135" s="31" t="s">
        <v>1653</v>
      </c>
      <c r="B135" s="31" t="n">
        <f aca="false">+IF(A135=WORLDCUP!$BI$112,1,0)</f>
        <v>0</v>
      </c>
      <c r="C135" s="31" t="str">
        <f aca="false">+WORLDCUP!BD62</f>
        <v>Ecuador</v>
      </c>
      <c r="D135" s="31" t="str">
        <f aca="false">+WORLDCUP!BD67</f>
        <v>Austria</v>
      </c>
      <c r="E135" s="31" t="str">
        <f aca="false">+WORLDCUP!BD59</f>
        <v>Catar</v>
      </c>
      <c r="F135" s="31" t="str">
        <f aca="false">+WORLDCUP!BD60</f>
        <v>Marruecos</v>
      </c>
      <c r="G135" s="31" t="str">
        <f aca="false">+WORLDCUP!BD65</f>
        <v>España</v>
      </c>
      <c r="H135" s="31" t="str">
        <f aca="false">+WORLDCUP!BD61</f>
        <v>Turquía</v>
      </c>
      <c r="I135" s="31" t="str">
        <f aca="false">+WORLDCUP!BD69</f>
        <v>Ghana</v>
      </c>
      <c r="J135" s="31" t="str">
        <f aca="false">+WORLDCUP!BD66</f>
        <v>Irak</v>
      </c>
      <c r="N135" s="31" t="s">
        <v>1653</v>
      </c>
      <c r="O135" s="31" t="n">
        <v>134</v>
      </c>
      <c r="P135" s="31" t="s">
        <v>98</v>
      </c>
      <c r="Q135" s="31" t="s">
        <v>121</v>
      </c>
      <c r="R135" s="31" t="s">
        <v>85</v>
      </c>
      <c r="S135" s="31" t="s">
        <v>89</v>
      </c>
      <c r="T135" s="31" t="s">
        <v>112</v>
      </c>
      <c r="U135" s="31" t="s">
        <v>94</v>
      </c>
      <c r="V135" s="31" t="s">
        <v>130</v>
      </c>
      <c r="W135" s="31" t="s">
        <v>116</v>
      </c>
    </row>
    <row r="136" customFormat="false" ht="15" hidden="false" customHeight="false" outlineLevel="0" collapsed="false">
      <c r="A136" s="31" t="s">
        <v>1654</v>
      </c>
      <c r="B136" s="31" t="n">
        <f aca="false">+IF(A136=WORLDCUP!$BI$112,1,0)</f>
        <v>0</v>
      </c>
      <c r="C136" s="31" t="str">
        <f aca="false">+WORLDCUP!BD62</f>
        <v>Ecuador</v>
      </c>
      <c r="D136" s="31" t="str">
        <f aca="false">+WORLDCUP!BD67</f>
        <v>Austria</v>
      </c>
      <c r="E136" s="31" t="str">
        <f aca="false">+WORLDCUP!BD59</f>
        <v>Catar</v>
      </c>
      <c r="F136" s="31" t="str">
        <f aca="false">+WORLDCUP!BD60</f>
        <v>Marruecos</v>
      </c>
      <c r="G136" s="31" t="str">
        <f aca="false">+WORLDCUP!BD65</f>
        <v>España</v>
      </c>
      <c r="H136" s="31" t="str">
        <f aca="false">+WORLDCUP!BD61</f>
        <v>Turquía</v>
      </c>
      <c r="I136" s="31" t="str">
        <f aca="false">+WORLDCUP!BD66</f>
        <v>Irak</v>
      </c>
      <c r="J136" s="31" t="str">
        <f aca="false">+WORLDCUP!BD68</f>
        <v>Uzbekistán</v>
      </c>
      <c r="N136" s="31" t="s">
        <v>1654</v>
      </c>
      <c r="O136" s="31" t="n">
        <v>135</v>
      </c>
      <c r="P136" s="31" t="s">
        <v>98</v>
      </c>
      <c r="Q136" s="31" t="s">
        <v>121</v>
      </c>
      <c r="R136" s="31" t="s">
        <v>85</v>
      </c>
      <c r="S136" s="31" t="s">
        <v>89</v>
      </c>
      <c r="T136" s="31" t="s">
        <v>112</v>
      </c>
      <c r="U136" s="31" t="s">
        <v>94</v>
      </c>
      <c r="V136" s="31" t="s">
        <v>116</v>
      </c>
      <c r="W136" s="31" t="s">
        <v>125</v>
      </c>
    </row>
    <row r="137" customFormat="false" ht="15" hidden="false" customHeight="false" outlineLevel="0" collapsed="false">
      <c r="A137" s="31" t="s">
        <v>1655</v>
      </c>
      <c r="B137" s="31" t="n">
        <f aca="false">+IF(A137=WORLDCUP!$BI$112,1,0)</f>
        <v>0</v>
      </c>
      <c r="C137" s="31" t="str">
        <f aca="false">+WORLDCUP!BD62</f>
        <v>Ecuador</v>
      </c>
      <c r="D137" s="31" t="str">
        <f aca="false">+WORLDCUP!BD64</f>
        <v>Bélgica</v>
      </c>
      <c r="E137" s="31" t="str">
        <f aca="false">+WORLDCUP!BD59</f>
        <v>Catar</v>
      </c>
      <c r="F137" s="31" t="str">
        <f aca="false">+WORLDCUP!BD60</f>
        <v>Marruecos</v>
      </c>
      <c r="G137" s="31" t="str">
        <f aca="false">+WORLDCUP!BD67</f>
        <v>Austria</v>
      </c>
      <c r="H137" s="31" t="str">
        <f aca="false">+WORLDCUP!BD61</f>
        <v>Turquía</v>
      </c>
      <c r="I137" s="31" t="str">
        <f aca="false">+WORLDCUP!BD69</f>
        <v>Ghana</v>
      </c>
      <c r="J137" s="31" t="str">
        <f aca="false">+WORLDCUP!BD68</f>
        <v>Uzbekistán</v>
      </c>
      <c r="N137" s="31" t="s">
        <v>1655</v>
      </c>
      <c r="O137" s="31" t="n">
        <v>136</v>
      </c>
      <c r="P137" s="31" t="s">
        <v>98</v>
      </c>
      <c r="Q137" s="31" t="s">
        <v>107</v>
      </c>
      <c r="R137" s="31" t="s">
        <v>85</v>
      </c>
      <c r="S137" s="31" t="s">
        <v>89</v>
      </c>
      <c r="T137" s="31" t="s">
        <v>121</v>
      </c>
      <c r="U137" s="31" t="s">
        <v>94</v>
      </c>
      <c r="V137" s="31" t="s">
        <v>130</v>
      </c>
      <c r="W137" s="31" t="s">
        <v>125</v>
      </c>
    </row>
    <row r="138" customFormat="false" ht="15" hidden="false" customHeight="false" outlineLevel="0" collapsed="false">
      <c r="A138" s="31" t="s">
        <v>1656</v>
      </c>
      <c r="B138" s="31" t="n">
        <f aca="false">+IF(A138=WORLDCUP!$BI$112,1,0)</f>
        <v>0</v>
      </c>
      <c r="C138" s="31" t="str">
        <f aca="false">+WORLDCUP!BD62</f>
        <v>Ecuador</v>
      </c>
      <c r="D138" s="31" t="str">
        <f aca="false">+WORLDCUP!BD64</f>
        <v>Bélgica</v>
      </c>
      <c r="E138" s="31" t="str">
        <f aca="false">+WORLDCUP!BD59</f>
        <v>Catar</v>
      </c>
      <c r="F138" s="31" t="str">
        <f aca="false">+WORLDCUP!BD60</f>
        <v>Marruecos</v>
      </c>
      <c r="G138" s="31" t="str">
        <f aca="false">+WORLDCUP!BD66</f>
        <v>Irak</v>
      </c>
      <c r="H138" s="31" t="str">
        <f aca="false">+WORLDCUP!BD61</f>
        <v>Turquía</v>
      </c>
      <c r="I138" s="31" t="str">
        <f aca="false">+WORLDCUP!BD69</f>
        <v>Ghana</v>
      </c>
      <c r="J138" s="31" t="str">
        <f aca="false">+WORLDCUP!BD68</f>
        <v>Uzbekistán</v>
      </c>
      <c r="N138" s="31" t="s">
        <v>1656</v>
      </c>
      <c r="O138" s="31" t="n">
        <v>137</v>
      </c>
      <c r="P138" s="31" t="s">
        <v>98</v>
      </c>
      <c r="Q138" s="31" t="s">
        <v>107</v>
      </c>
      <c r="R138" s="31" t="s">
        <v>85</v>
      </c>
      <c r="S138" s="31" t="s">
        <v>89</v>
      </c>
      <c r="T138" s="31" t="s">
        <v>116</v>
      </c>
      <c r="U138" s="31" t="s">
        <v>94</v>
      </c>
      <c r="V138" s="31" t="s">
        <v>130</v>
      </c>
      <c r="W138" s="31" t="s">
        <v>125</v>
      </c>
    </row>
    <row r="139" customFormat="false" ht="15" hidden="false" customHeight="false" outlineLevel="0" collapsed="false">
      <c r="A139" s="31" t="s">
        <v>1657</v>
      </c>
      <c r="B139" s="31" t="n">
        <f aca="false">+IF(A139=WORLDCUP!$BI$112,1,0)</f>
        <v>0</v>
      </c>
      <c r="C139" s="31" t="str">
        <f aca="false">+WORLDCUP!BD62</f>
        <v>Ecuador</v>
      </c>
      <c r="D139" s="31" t="str">
        <f aca="false">+WORLDCUP!BD64</f>
        <v>Bélgica</v>
      </c>
      <c r="E139" s="31" t="str">
        <f aca="false">+WORLDCUP!BD59</f>
        <v>Catar</v>
      </c>
      <c r="F139" s="31" t="str">
        <f aca="false">+WORLDCUP!BD60</f>
        <v>Marruecos</v>
      </c>
      <c r="G139" s="31" t="str">
        <f aca="false">+WORLDCUP!BD67</f>
        <v>Austria</v>
      </c>
      <c r="H139" s="31" t="str">
        <f aca="false">+WORLDCUP!BD61</f>
        <v>Turquía</v>
      </c>
      <c r="I139" s="31" t="str">
        <f aca="false">+WORLDCUP!BD69</f>
        <v>Ghana</v>
      </c>
      <c r="J139" s="31" t="str">
        <f aca="false">+WORLDCUP!BD66</f>
        <v>Irak</v>
      </c>
      <c r="N139" s="31" t="s">
        <v>1657</v>
      </c>
      <c r="O139" s="31" t="n">
        <v>138</v>
      </c>
      <c r="P139" s="31" t="s">
        <v>98</v>
      </c>
      <c r="Q139" s="31" t="s">
        <v>107</v>
      </c>
      <c r="R139" s="31" t="s">
        <v>85</v>
      </c>
      <c r="S139" s="31" t="s">
        <v>89</v>
      </c>
      <c r="T139" s="31" t="s">
        <v>121</v>
      </c>
      <c r="U139" s="31" t="s">
        <v>94</v>
      </c>
      <c r="V139" s="31" t="s">
        <v>130</v>
      </c>
      <c r="W139" s="31" t="s">
        <v>116</v>
      </c>
    </row>
    <row r="140" customFormat="false" ht="15" hidden="false" customHeight="false" outlineLevel="0" collapsed="false">
      <c r="A140" s="31" t="s">
        <v>1658</v>
      </c>
      <c r="B140" s="31" t="n">
        <f aca="false">+IF(A140=WORLDCUP!$BI$112,1,0)</f>
        <v>0</v>
      </c>
      <c r="C140" s="31" t="str">
        <f aca="false">+WORLDCUP!BD62</f>
        <v>Ecuador</v>
      </c>
      <c r="D140" s="31" t="str">
        <f aca="false">+WORLDCUP!BD64</f>
        <v>Bélgica</v>
      </c>
      <c r="E140" s="31" t="str">
        <f aca="false">+WORLDCUP!BD59</f>
        <v>Catar</v>
      </c>
      <c r="F140" s="31" t="str">
        <f aca="false">+WORLDCUP!BD60</f>
        <v>Marruecos</v>
      </c>
      <c r="G140" s="31" t="str">
        <f aca="false">+WORLDCUP!BD67</f>
        <v>Austria</v>
      </c>
      <c r="H140" s="31" t="str">
        <f aca="false">+WORLDCUP!BD61</f>
        <v>Turquía</v>
      </c>
      <c r="I140" s="31" t="str">
        <f aca="false">+WORLDCUP!BD66</f>
        <v>Irak</v>
      </c>
      <c r="J140" s="31" t="str">
        <f aca="false">+WORLDCUP!BD68</f>
        <v>Uzbekistán</v>
      </c>
      <c r="N140" s="31" t="s">
        <v>1658</v>
      </c>
      <c r="O140" s="31" t="n">
        <v>139</v>
      </c>
      <c r="P140" s="31" t="s">
        <v>98</v>
      </c>
      <c r="Q140" s="31" t="s">
        <v>107</v>
      </c>
      <c r="R140" s="31" t="s">
        <v>85</v>
      </c>
      <c r="S140" s="31" t="s">
        <v>89</v>
      </c>
      <c r="T140" s="31" t="s">
        <v>121</v>
      </c>
      <c r="U140" s="31" t="s">
        <v>94</v>
      </c>
      <c r="V140" s="31" t="s">
        <v>116</v>
      </c>
      <c r="W140" s="31" t="s">
        <v>125</v>
      </c>
    </row>
    <row r="141" customFormat="false" ht="15" hidden="false" customHeight="false" outlineLevel="0" collapsed="false">
      <c r="A141" s="31" t="s">
        <v>1659</v>
      </c>
      <c r="B141" s="31" t="n">
        <f aca="false">+IF(A141=WORLDCUP!$BI$112,1,0)</f>
        <v>0</v>
      </c>
      <c r="C141" s="31" t="str">
        <f aca="false">+WORLDCUP!BD62</f>
        <v>Ecuador</v>
      </c>
      <c r="D141" s="31" t="str">
        <f aca="false">+WORLDCUP!BD64</f>
        <v>Bélgica</v>
      </c>
      <c r="E141" s="31" t="str">
        <f aca="false">+WORLDCUP!BD59</f>
        <v>Catar</v>
      </c>
      <c r="F141" s="31" t="str">
        <f aca="false">+WORLDCUP!BD60</f>
        <v>Marruecos</v>
      </c>
      <c r="G141" s="31" t="str">
        <f aca="false">+WORLDCUP!BD65</f>
        <v>España</v>
      </c>
      <c r="H141" s="31" t="str">
        <f aca="false">+WORLDCUP!BD61</f>
        <v>Turquía</v>
      </c>
      <c r="I141" s="31" t="str">
        <f aca="false">+WORLDCUP!BD69</f>
        <v>Ghana</v>
      </c>
      <c r="J141" s="31" t="str">
        <f aca="false">+WORLDCUP!BD68</f>
        <v>Uzbekistán</v>
      </c>
      <c r="N141" s="31" t="s">
        <v>1659</v>
      </c>
      <c r="O141" s="31" t="n">
        <v>140</v>
      </c>
      <c r="P141" s="31" t="s">
        <v>98</v>
      </c>
      <c r="Q141" s="31" t="s">
        <v>107</v>
      </c>
      <c r="R141" s="31" t="s">
        <v>85</v>
      </c>
      <c r="S141" s="31" t="s">
        <v>89</v>
      </c>
      <c r="T141" s="31" t="s">
        <v>112</v>
      </c>
      <c r="U141" s="31" t="s">
        <v>94</v>
      </c>
      <c r="V141" s="31" t="s">
        <v>130</v>
      </c>
      <c r="W141" s="31" t="s">
        <v>125</v>
      </c>
    </row>
    <row r="142" customFormat="false" ht="15" hidden="false" customHeight="false" outlineLevel="0" collapsed="false">
      <c r="A142" s="31" t="s">
        <v>1660</v>
      </c>
      <c r="B142" s="31" t="n">
        <f aca="false">+IF(A142=WORLDCUP!$BI$112,1,0)</f>
        <v>0</v>
      </c>
      <c r="C142" s="31" t="str">
        <f aca="false">+WORLDCUP!BD65</f>
        <v>España</v>
      </c>
      <c r="D142" s="31" t="str">
        <f aca="false">+WORLDCUP!BD64</f>
        <v>Bélgica</v>
      </c>
      <c r="E142" s="31" t="str">
        <f aca="false">+WORLDCUP!BD59</f>
        <v>Catar</v>
      </c>
      <c r="F142" s="31" t="str">
        <f aca="false">+WORLDCUP!BD60</f>
        <v>Marruecos</v>
      </c>
      <c r="G142" s="31" t="str">
        <f aca="false">+WORLDCUP!BD67</f>
        <v>Austria</v>
      </c>
      <c r="H142" s="31" t="str">
        <f aca="false">+WORLDCUP!BD61</f>
        <v>Turquía</v>
      </c>
      <c r="I142" s="31" t="str">
        <f aca="false">+WORLDCUP!BD69</f>
        <v>Ghana</v>
      </c>
      <c r="J142" s="31" t="str">
        <f aca="false">+WORLDCUP!BD62</f>
        <v>Ecuador</v>
      </c>
      <c r="N142" s="31" t="s">
        <v>1660</v>
      </c>
      <c r="O142" s="31" t="n">
        <v>141</v>
      </c>
      <c r="P142" s="31" t="s">
        <v>112</v>
      </c>
      <c r="Q142" s="31" t="s">
        <v>107</v>
      </c>
      <c r="R142" s="31" t="s">
        <v>85</v>
      </c>
      <c r="S142" s="31" t="s">
        <v>89</v>
      </c>
      <c r="T142" s="31" t="s">
        <v>121</v>
      </c>
      <c r="U142" s="31" t="s">
        <v>94</v>
      </c>
      <c r="V142" s="31" t="s">
        <v>130</v>
      </c>
      <c r="W142" s="31" t="s">
        <v>98</v>
      </c>
    </row>
    <row r="143" customFormat="false" ht="15" hidden="false" customHeight="false" outlineLevel="0" collapsed="false">
      <c r="A143" s="31" t="s">
        <v>1661</v>
      </c>
      <c r="B143" s="31" t="n">
        <f aca="false">+IF(A143=WORLDCUP!$BI$112,1,0)</f>
        <v>0</v>
      </c>
      <c r="C143" s="31" t="str">
        <f aca="false">+WORLDCUP!BD65</f>
        <v>España</v>
      </c>
      <c r="D143" s="31" t="str">
        <f aca="false">+WORLDCUP!BD64</f>
        <v>Bélgica</v>
      </c>
      <c r="E143" s="31" t="str">
        <f aca="false">+WORLDCUP!BD59</f>
        <v>Catar</v>
      </c>
      <c r="F143" s="31" t="str">
        <f aca="false">+WORLDCUP!BD60</f>
        <v>Marruecos</v>
      </c>
      <c r="G143" s="31" t="str">
        <f aca="false">+WORLDCUP!BD67</f>
        <v>Austria</v>
      </c>
      <c r="H143" s="31" t="str">
        <f aca="false">+WORLDCUP!BD61</f>
        <v>Turquía</v>
      </c>
      <c r="I143" s="31" t="str">
        <f aca="false">+WORLDCUP!BD62</f>
        <v>Ecuador</v>
      </c>
      <c r="J143" s="31" t="str">
        <f aca="false">+WORLDCUP!BD68</f>
        <v>Uzbekistán</v>
      </c>
      <c r="N143" s="31" t="s">
        <v>1661</v>
      </c>
      <c r="O143" s="31" t="n">
        <v>142</v>
      </c>
      <c r="P143" s="31" t="s">
        <v>112</v>
      </c>
      <c r="Q143" s="31" t="s">
        <v>107</v>
      </c>
      <c r="R143" s="31" t="s">
        <v>85</v>
      </c>
      <c r="S143" s="31" t="s">
        <v>89</v>
      </c>
      <c r="T143" s="31" t="s">
        <v>121</v>
      </c>
      <c r="U143" s="31" t="s">
        <v>94</v>
      </c>
      <c r="V143" s="31" t="s">
        <v>98</v>
      </c>
      <c r="W143" s="31" t="s">
        <v>125</v>
      </c>
    </row>
    <row r="144" customFormat="false" ht="15" hidden="false" customHeight="false" outlineLevel="0" collapsed="false">
      <c r="A144" s="31" t="s">
        <v>1662</v>
      </c>
      <c r="B144" s="31" t="n">
        <f aca="false">+IF(A144=WORLDCUP!$BI$112,1,0)</f>
        <v>0</v>
      </c>
      <c r="C144" s="31" t="str">
        <f aca="false">+WORLDCUP!BD62</f>
        <v>Ecuador</v>
      </c>
      <c r="D144" s="31" t="str">
        <f aca="false">+WORLDCUP!BD64</f>
        <v>Bélgica</v>
      </c>
      <c r="E144" s="31" t="str">
        <f aca="false">+WORLDCUP!BD59</f>
        <v>Catar</v>
      </c>
      <c r="F144" s="31" t="str">
        <f aca="false">+WORLDCUP!BD60</f>
        <v>Marruecos</v>
      </c>
      <c r="G144" s="31" t="str">
        <f aca="false">+WORLDCUP!BD65</f>
        <v>España</v>
      </c>
      <c r="H144" s="31" t="str">
        <f aca="false">+WORLDCUP!BD61</f>
        <v>Turquía</v>
      </c>
      <c r="I144" s="31" t="str">
        <f aca="false">+WORLDCUP!BD69</f>
        <v>Ghana</v>
      </c>
      <c r="J144" s="31" t="str">
        <f aca="false">+WORLDCUP!BD66</f>
        <v>Irak</v>
      </c>
      <c r="N144" s="31" t="s">
        <v>1662</v>
      </c>
      <c r="O144" s="31" t="n">
        <v>143</v>
      </c>
      <c r="P144" s="31" t="s">
        <v>98</v>
      </c>
      <c r="Q144" s="31" t="s">
        <v>107</v>
      </c>
      <c r="R144" s="31" t="s">
        <v>85</v>
      </c>
      <c r="S144" s="31" t="s">
        <v>89</v>
      </c>
      <c r="T144" s="31" t="s">
        <v>112</v>
      </c>
      <c r="U144" s="31" t="s">
        <v>94</v>
      </c>
      <c r="V144" s="31" t="s">
        <v>130</v>
      </c>
      <c r="W144" s="31" t="s">
        <v>116</v>
      </c>
    </row>
    <row r="145" customFormat="false" ht="15" hidden="false" customHeight="false" outlineLevel="0" collapsed="false">
      <c r="A145" s="31" t="s">
        <v>1663</v>
      </c>
      <c r="B145" s="31" t="n">
        <f aca="false">+IF(A145=WORLDCUP!$BI$112,1,0)</f>
        <v>0</v>
      </c>
      <c r="C145" s="31" t="str">
        <f aca="false">+WORLDCUP!BD62</f>
        <v>Ecuador</v>
      </c>
      <c r="D145" s="31" t="str">
        <f aca="false">+WORLDCUP!BD64</f>
        <v>Bélgica</v>
      </c>
      <c r="E145" s="31" t="str">
        <f aca="false">+WORLDCUP!BD59</f>
        <v>Catar</v>
      </c>
      <c r="F145" s="31" t="str">
        <f aca="false">+WORLDCUP!BD60</f>
        <v>Marruecos</v>
      </c>
      <c r="G145" s="31" t="str">
        <f aca="false">+WORLDCUP!BD65</f>
        <v>España</v>
      </c>
      <c r="H145" s="31" t="str">
        <f aca="false">+WORLDCUP!BD61</f>
        <v>Turquía</v>
      </c>
      <c r="I145" s="31" t="str">
        <f aca="false">+WORLDCUP!BD66</f>
        <v>Irak</v>
      </c>
      <c r="J145" s="31" t="str">
        <f aca="false">+WORLDCUP!BD68</f>
        <v>Uzbekistán</v>
      </c>
      <c r="N145" s="31" t="s">
        <v>1663</v>
      </c>
      <c r="O145" s="31" t="n">
        <v>144</v>
      </c>
      <c r="P145" s="31" t="s">
        <v>98</v>
      </c>
      <c r="Q145" s="31" t="s">
        <v>107</v>
      </c>
      <c r="R145" s="31" t="s">
        <v>85</v>
      </c>
      <c r="S145" s="31" t="s">
        <v>89</v>
      </c>
      <c r="T145" s="31" t="s">
        <v>112</v>
      </c>
      <c r="U145" s="31" t="s">
        <v>94</v>
      </c>
      <c r="V145" s="31" t="s">
        <v>116</v>
      </c>
      <c r="W145" s="31" t="s">
        <v>125</v>
      </c>
    </row>
    <row r="146" customFormat="false" ht="15" hidden="false" customHeight="false" outlineLevel="0" collapsed="false">
      <c r="A146" s="31" t="s">
        <v>1664</v>
      </c>
      <c r="B146" s="31" t="n">
        <f aca="false">+IF(A146=WORLDCUP!$BI$112,1,0)</f>
        <v>0</v>
      </c>
      <c r="C146" s="31" t="str">
        <f aca="false">+WORLDCUP!BD65</f>
        <v>España</v>
      </c>
      <c r="D146" s="31" t="str">
        <f aca="false">+WORLDCUP!BD64</f>
        <v>Bélgica</v>
      </c>
      <c r="E146" s="31" t="str">
        <f aca="false">+WORLDCUP!BD59</f>
        <v>Catar</v>
      </c>
      <c r="F146" s="31" t="str">
        <f aca="false">+WORLDCUP!BD60</f>
        <v>Marruecos</v>
      </c>
      <c r="G146" s="31" t="str">
        <f aca="false">+WORLDCUP!BD67</f>
        <v>Austria</v>
      </c>
      <c r="H146" s="31" t="str">
        <f aca="false">+WORLDCUP!BD61</f>
        <v>Turquía</v>
      </c>
      <c r="I146" s="31" t="str">
        <f aca="false">+WORLDCUP!BD62</f>
        <v>Ecuador</v>
      </c>
      <c r="J146" s="31" t="str">
        <f aca="false">+WORLDCUP!BD66</f>
        <v>Irak</v>
      </c>
      <c r="N146" s="31" t="s">
        <v>1664</v>
      </c>
      <c r="O146" s="31" t="n">
        <v>145</v>
      </c>
      <c r="P146" s="31" t="s">
        <v>112</v>
      </c>
      <c r="Q146" s="31" t="s">
        <v>107</v>
      </c>
      <c r="R146" s="31" t="s">
        <v>85</v>
      </c>
      <c r="S146" s="31" t="s">
        <v>89</v>
      </c>
      <c r="T146" s="31" t="s">
        <v>121</v>
      </c>
      <c r="U146" s="31" t="s">
        <v>94</v>
      </c>
      <c r="V146" s="31" t="s">
        <v>98</v>
      </c>
      <c r="W146" s="31" t="s">
        <v>116</v>
      </c>
    </row>
    <row r="147" customFormat="false" ht="15" hidden="false" customHeight="false" outlineLevel="0" collapsed="false">
      <c r="A147" s="31" t="s">
        <v>1665</v>
      </c>
      <c r="B147" s="31" t="n">
        <f aca="false">+IF(A147=WORLDCUP!$BI$112,1,0)</f>
        <v>0</v>
      </c>
      <c r="C147" s="31" t="str">
        <f aca="false">+WORLDCUP!BD60</f>
        <v>Marruecos</v>
      </c>
      <c r="D147" s="31" t="str">
        <f aca="false">+WORLDCUP!BD67</f>
        <v>Austria</v>
      </c>
      <c r="E147" s="31" t="str">
        <f aca="false">+WORLDCUP!BD59</f>
        <v>Catar</v>
      </c>
      <c r="F147" s="31" t="str">
        <f aca="false">+WORLDCUP!BD61</f>
        <v>Turquía</v>
      </c>
      <c r="G147" s="31" t="str">
        <f aca="false">+WORLDCUP!BD62</f>
        <v>Ecuador</v>
      </c>
      <c r="H147" s="31" t="str">
        <f aca="false">+WORLDCUP!BD63</f>
        <v>Japón</v>
      </c>
      <c r="I147" s="31" t="str">
        <f aca="false">+WORLDCUP!BD69</f>
        <v>Ghana</v>
      </c>
      <c r="J147" s="31" t="str">
        <f aca="false">+WORLDCUP!BD68</f>
        <v>Uzbekistán</v>
      </c>
      <c r="N147" s="31" t="s">
        <v>1665</v>
      </c>
      <c r="O147" s="31" t="n">
        <v>146</v>
      </c>
      <c r="P147" s="31" t="s">
        <v>89</v>
      </c>
      <c r="Q147" s="31" t="s">
        <v>121</v>
      </c>
      <c r="R147" s="31" t="s">
        <v>85</v>
      </c>
      <c r="S147" s="31" t="s">
        <v>94</v>
      </c>
      <c r="T147" s="31" t="s">
        <v>98</v>
      </c>
      <c r="U147" s="31" t="s">
        <v>103</v>
      </c>
      <c r="V147" s="31" t="s">
        <v>130</v>
      </c>
      <c r="W147" s="31" t="s">
        <v>125</v>
      </c>
    </row>
    <row r="148" customFormat="false" ht="15" hidden="false" customHeight="false" outlineLevel="0" collapsed="false">
      <c r="A148" s="31" t="s">
        <v>1666</v>
      </c>
      <c r="B148" s="31" t="n">
        <f aca="false">+IF(A148=WORLDCUP!$BI$112,1,0)</f>
        <v>0</v>
      </c>
      <c r="C148" s="31" t="str">
        <f aca="false">+WORLDCUP!BD60</f>
        <v>Marruecos</v>
      </c>
      <c r="D148" s="31" t="str">
        <f aca="false">+WORLDCUP!BD62</f>
        <v>Ecuador</v>
      </c>
      <c r="E148" s="31" t="str">
        <f aca="false">+WORLDCUP!BD59</f>
        <v>Catar</v>
      </c>
      <c r="F148" s="31" t="str">
        <f aca="false">+WORLDCUP!BD61</f>
        <v>Turquía</v>
      </c>
      <c r="G148" s="31" t="str">
        <f aca="false">+WORLDCUP!BD66</f>
        <v>Irak</v>
      </c>
      <c r="H148" s="31" t="str">
        <f aca="false">+WORLDCUP!BD63</f>
        <v>Japón</v>
      </c>
      <c r="I148" s="31" t="str">
        <f aca="false">+WORLDCUP!BD69</f>
        <v>Ghana</v>
      </c>
      <c r="J148" s="31" t="str">
        <f aca="false">+WORLDCUP!BD68</f>
        <v>Uzbekistán</v>
      </c>
      <c r="N148" s="31" t="s">
        <v>1666</v>
      </c>
      <c r="O148" s="31" t="n">
        <v>147</v>
      </c>
      <c r="P148" s="31" t="s">
        <v>89</v>
      </c>
      <c r="Q148" s="31" t="s">
        <v>98</v>
      </c>
      <c r="R148" s="31" t="s">
        <v>85</v>
      </c>
      <c r="S148" s="31" t="s">
        <v>94</v>
      </c>
      <c r="T148" s="31" t="s">
        <v>116</v>
      </c>
      <c r="U148" s="31" t="s">
        <v>103</v>
      </c>
      <c r="V148" s="31" t="s">
        <v>130</v>
      </c>
      <c r="W148" s="31" t="s">
        <v>125</v>
      </c>
    </row>
    <row r="149" customFormat="false" ht="15" hidden="false" customHeight="false" outlineLevel="0" collapsed="false">
      <c r="A149" s="31" t="s">
        <v>1667</v>
      </c>
      <c r="B149" s="31" t="n">
        <f aca="false">+IF(A149=WORLDCUP!$BI$112,1,0)</f>
        <v>0</v>
      </c>
      <c r="C149" s="31" t="str">
        <f aca="false">+WORLDCUP!BD60</f>
        <v>Marruecos</v>
      </c>
      <c r="D149" s="31" t="str">
        <f aca="false">+WORLDCUP!BD67</f>
        <v>Austria</v>
      </c>
      <c r="E149" s="31" t="str">
        <f aca="false">+WORLDCUP!BD59</f>
        <v>Catar</v>
      </c>
      <c r="F149" s="31" t="str">
        <f aca="false">+WORLDCUP!BD61</f>
        <v>Turquía</v>
      </c>
      <c r="G149" s="31" t="str">
        <f aca="false">+WORLDCUP!BD62</f>
        <v>Ecuador</v>
      </c>
      <c r="H149" s="31" t="str">
        <f aca="false">+WORLDCUP!BD63</f>
        <v>Japón</v>
      </c>
      <c r="I149" s="31" t="str">
        <f aca="false">+WORLDCUP!BD69</f>
        <v>Ghana</v>
      </c>
      <c r="J149" s="31" t="str">
        <f aca="false">+WORLDCUP!BD66</f>
        <v>Irak</v>
      </c>
      <c r="N149" s="31" t="s">
        <v>1667</v>
      </c>
      <c r="O149" s="31" t="n">
        <v>148</v>
      </c>
      <c r="P149" s="31" t="s">
        <v>89</v>
      </c>
      <c r="Q149" s="31" t="s">
        <v>121</v>
      </c>
      <c r="R149" s="31" t="s">
        <v>85</v>
      </c>
      <c r="S149" s="31" t="s">
        <v>94</v>
      </c>
      <c r="T149" s="31" t="s">
        <v>98</v>
      </c>
      <c r="U149" s="31" t="s">
        <v>103</v>
      </c>
      <c r="V149" s="31" t="s">
        <v>130</v>
      </c>
      <c r="W149" s="31" t="s">
        <v>116</v>
      </c>
    </row>
    <row r="150" customFormat="false" ht="15" hidden="false" customHeight="false" outlineLevel="0" collapsed="false">
      <c r="A150" s="31" t="s">
        <v>1668</v>
      </c>
      <c r="B150" s="31" t="n">
        <f aca="false">+IF(A150=WORLDCUP!$BI$112,1,0)</f>
        <v>0</v>
      </c>
      <c r="C150" s="31" t="str">
        <f aca="false">+WORLDCUP!BD60</f>
        <v>Marruecos</v>
      </c>
      <c r="D150" s="31" t="str">
        <f aca="false">+WORLDCUP!BD67</f>
        <v>Austria</v>
      </c>
      <c r="E150" s="31" t="str">
        <f aca="false">+WORLDCUP!BD59</f>
        <v>Catar</v>
      </c>
      <c r="F150" s="31" t="str">
        <f aca="false">+WORLDCUP!BD61</f>
        <v>Turquía</v>
      </c>
      <c r="G150" s="31" t="str">
        <f aca="false">+WORLDCUP!BD62</f>
        <v>Ecuador</v>
      </c>
      <c r="H150" s="31" t="str">
        <f aca="false">+WORLDCUP!BD63</f>
        <v>Japón</v>
      </c>
      <c r="I150" s="31" t="str">
        <f aca="false">+WORLDCUP!BD66</f>
        <v>Irak</v>
      </c>
      <c r="J150" s="31" t="str">
        <f aca="false">+WORLDCUP!BD68</f>
        <v>Uzbekistán</v>
      </c>
      <c r="N150" s="31" t="s">
        <v>1668</v>
      </c>
      <c r="O150" s="31" t="n">
        <v>149</v>
      </c>
      <c r="P150" s="31" t="s">
        <v>89</v>
      </c>
      <c r="Q150" s="31" t="s">
        <v>121</v>
      </c>
      <c r="R150" s="31" t="s">
        <v>85</v>
      </c>
      <c r="S150" s="31" t="s">
        <v>94</v>
      </c>
      <c r="T150" s="31" t="s">
        <v>98</v>
      </c>
      <c r="U150" s="31" t="s">
        <v>103</v>
      </c>
      <c r="V150" s="31" t="s">
        <v>116</v>
      </c>
      <c r="W150" s="31" t="s">
        <v>125</v>
      </c>
    </row>
    <row r="151" customFormat="false" ht="15" hidden="false" customHeight="false" outlineLevel="0" collapsed="false">
      <c r="A151" s="31" t="s">
        <v>1669</v>
      </c>
      <c r="B151" s="31" t="n">
        <f aca="false">+IF(A151=WORLDCUP!$BI$112,1,0)</f>
        <v>0</v>
      </c>
      <c r="C151" s="31" t="str">
        <f aca="false">+WORLDCUP!BD60</f>
        <v>Marruecos</v>
      </c>
      <c r="D151" s="31" t="str">
        <f aca="false">+WORLDCUP!BD62</f>
        <v>Ecuador</v>
      </c>
      <c r="E151" s="31" t="str">
        <f aca="false">+WORLDCUP!BD59</f>
        <v>Catar</v>
      </c>
      <c r="F151" s="31" t="str">
        <f aca="false">+WORLDCUP!BD61</f>
        <v>Turquía</v>
      </c>
      <c r="G151" s="31" t="str">
        <f aca="false">+WORLDCUP!BD65</f>
        <v>España</v>
      </c>
      <c r="H151" s="31" t="str">
        <f aca="false">+WORLDCUP!BD63</f>
        <v>Japón</v>
      </c>
      <c r="I151" s="31" t="str">
        <f aca="false">+WORLDCUP!BD69</f>
        <v>Ghana</v>
      </c>
      <c r="J151" s="31" t="str">
        <f aca="false">+WORLDCUP!BD68</f>
        <v>Uzbekistán</v>
      </c>
      <c r="N151" s="31" t="s">
        <v>1669</v>
      </c>
      <c r="O151" s="31" t="n">
        <v>150</v>
      </c>
      <c r="P151" s="31" t="s">
        <v>89</v>
      </c>
      <c r="Q151" s="31" t="s">
        <v>98</v>
      </c>
      <c r="R151" s="31" t="s">
        <v>85</v>
      </c>
      <c r="S151" s="31" t="s">
        <v>94</v>
      </c>
      <c r="T151" s="31" t="s">
        <v>112</v>
      </c>
      <c r="U151" s="31" t="s">
        <v>103</v>
      </c>
      <c r="V151" s="31" t="s">
        <v>130</v>
      </c>
      <c r="W151" s="31" t="s">
        <v>125</v>
      </c>
    </row>
    <row r="152" customFormat="false" ht="15" hidden="false" customHeight="false" outlineLevel="0" collapsed="false">
      <c r="A152" s="31" t="s">
        <v>1670</v>
      </c>
      <c r="B152" s="31" t="n">
        <f aca="false">+IF(A152=WORLDCUP!$BI$112,1,0)</f>
        <v>0</v>
      </c>
      <c r="C152" s="31" t="str">
        <f aca="false">+WORLDCUP!BD60</f>
        <v>Marruecos</v>
      </c>
      <c r="D152" s="31" t="str">
        <f aca="false">+WORLDCUP!BD67</f>
        <v>Austria</v>
      </c>
      <c r="E152" s="31" t="str">
        <f aca="false">+WORLDCUP!BD59</f>
        <v>Catar</v>
      </c>
      <c r="F152" s="31" t="str">
        <f aca="false">+WORLDCUP!BD61</f>
        <v>Turquía</v>
      </c>
      <c r="G152" s="31" t="str">
        <f aca="false">+WORLDCUP!BD65</f>
        <v>España</v>
      </c>
      <c r="H152" s="31" t="str">
        <f aca="false">+WORLDCUP!BD63</f>
        <v>Japón</v>
      </c>
      <c r="I152" s="31" t="str">
        <f aca="false">+WORLDCUP!BD69</f>
        <v>Ghana</v>
      </c>
      <c r="J152" s="31" t="str">
        <f aca="false">+WORLDCUP!BD62</f>
        <v>Ecuador</v>
      </c>
      <c r="N152" s="31" t="s">
        <v>1670</v>
      </c>
      <c r="O152" s="31" t="n">
        <v>151</v>
      </c>
      <c r="P152" s="31" t="s">
        <v>89</v>
      </c>
      <c r="Q152" s="31" t="s">
        <v>121</v>
      </c>
      <c r="R152" s="31" t="s">
        <v>85</v>
      </c>
      <c r="S152" s="31" t="s">
        <v>94</v>
      </c>
      <c r="T152" s="31" t="s">
        <v>112</v>
      </c>
      <c r="U152" s="31" t="s">
        <v>103</v>
      </c>
      <c r="V152" s="31" t="s">
        <v>130</v>
      </c>
      <c r="W152" s="31" t="s">
        <v>98</v>
      </c>
    </row>
    <row r="153" customFormat="false" ht="15" hidden="false" customHeight="false" outlineLevel="0" collapsed="false">
      <c r="A153" s="31" t="s">
        <v>1671</v>
      </c>
      <c r="B153" s="31" t="n">
        <f aca="false">+IF(A153=WORLDCUP!$BI$112,1,0)</f>
        <v>0</v>
      </c>
      <c r="C153" s="31" t="str">
        <f aca="false">+WORLDCUP!BD60</f>
        <v>Marruecos</v>
      </c>
      <c r="D153" s="31" t="str">
        <f aca="false">+WORLDCUP!BD67</f>
        <v>Austria</v>
      </c>
      <c r="E153" s="31" t="str">
        <f aca="false">+WORLDCUP!BD59</f>
        <v>Catar</v>
      </c>
      <c r="F153" s="31" t="str">
        <f aca="false">+WORLDCUP!BD61</f>
        <v>Turquía</v>
      </c>
      <c r="G153" s="31" t="str">
        <f aca="false">+WORLDCUP!BD65</f>
        <v>España</v>
      </c>
      <c r="H153" s="31" t="str">
        <f aca="false">+WORLDCUP!BD63</f>
        <v>Japón</v>
      </c>
      <c r="I153" s="31" t="str">
        <f aca="false">+WORLDCUP!BD62</f>
        <v>Ecuador</v>
      </c>
      <c r="J153" s="31" t="str">
        <f aca="false">+WORLDCUP!BD68</f>
        <v>Uzbekistán</v>
      </c>
      <c r="N153" s="31" t="s">
        <v>1671</v>
      </c>
      <c r="O153" s="31" t="n">
        <v>152</v>
      </c>
      <c r="P153" s="31" t="s">
        <v>89</v>
      </c>
      <c r="Q153" s="31" t="s">
        <v>121</v>
      </c>
      <c r="R153" s="31" t="s">
        <v>85</v>
      </c>
      <c r="S153" s="31" t="s">
        <v>94</v>
      </c>
      <c r="T153" s="31" t="s">
        <v>112</v>
      </c>
      <c r="U153" s="31" t="s">
        <v>103</v>
      </c>
      <c r="V153" s="31" t="s">
        <v>98</v>
      </c>
      <c r="W153" s="31" t="s">
        <v>125</v>
      </c>
    </row>
    <row r="154" customFormat="false" ht="15" hidden="false" customHeight="false" outlineLevel="0" collapsed="false">
      <c r="A154" s="31" t="s">
        <v>1672</v>
      </c>
      <c r="B154" s="31" t="n">
        <f aca="false">+IF(A154=WORLDCUP!$BI$112,1,0)</f>
        <v>0</v>
      </c>
      <c r="C154" s="31" t="str">
        <f aca="false">+WORLDCUP!BD60</f>
        <v>Marruecos</v>
      </c>
      <c r="D154" s="31" t="str">
        <f aca="false">+WORLDCUP!BD62</f>
        <v>Ecuador</v>
      </c>
      <c r="E154" s="31" t="str">
        <f aca="false">+WORLDCUP!BD59</f>
        <v>Catar</v>
      </c>
      <c r="F154" s="31" t="str">
        <f aca="false">+WORLDCUP!BD61</f>
        <v>Turquía</v>
      </c>
      <c r="G154" s="31" t="str">
        <f aca="false">+WORLDCUP!BD65</f>
        <v>España</v>
      </c>
      <c r="H154" s="31" t="str">
        <f aca="false">+WORLDCUP!BD63</f>
        <v>Japón</v>
      </c>
      <c r="I154" s="31" t="str">
        <f aca="false">+WORLDCUP!BD69</f>
        <v>Ghana</v>
      </c>
      <c r="J154" s="31" t="str">
        <f aca="false">+WORLDCUP!BD66</f>
        <v>Irak</v>
      </c>
      <c r="N154" s="31" t="s">
        <v>1672</v>
      </c>
      <c r="O154" s="31" t="n">
        <v>153</v>
      </c>
      <c r="P154" s="31" t="s">
        <v>89</v>
      </c>
      <c r="Q154" s="31" t="s">
        <v>98</v>
      </c>
      <c r="R154" s="31" t="s">
        <v>85</v>
      </c>
      <c r="S154" s="31" t="s">
        <v>94</v>
      </c>
      <c r="T154" s="31" t="s">
        <v>112</v>
      </c>
      <c r="U154" s="31" t="s">
        <v>103</v>
      </c>
      <c r="V154" s="31" t="s">
        <v>130</v>
      </c>
      <c r="W154" s="31" t="s">
        <v>116</v>
      </c>
    </row>
    <row r="155" customFormat="false" ht="15" hidden="false" customHeight="false" outlineLevel="0" collapsed="false">
      <c r="A155" s="31" t="s">
        <v>1673</v>
      </c>
      <c r="B155" s="31" t="n">
        <f aca="false">+IF(A155=WORLDCUP!$BI$112,1,0)</f>
        <v>0</v>
      </c>
      <c r="C155" s="31" t="str">
        <f aca="false">+WORLDCUP!BD60</f>
        <v>Marruecos</v>
      </c>
      <c r="D155" s="31" t="str">
        <f aca="false">+WORLDCUP!BD62</f>
        <v>Ecuador</v>
      </c>
      <c r="E155" s="31" t="str">
        <f aca="false">+WORLDCUP!BD59</f>
        <v>Catar</v>
      </c>
      <c r="F155" s="31" t="str">
        <f aca="false">+WORLDCUP!BD61</f>
        <v>Turquía</v>
      </c>
      <c r="G155" s="31" t="str">
        <f aca="false">+WORLDCUP!BD65</f>
        <v>España</v>
      </c>
      <c r="H155" s="31" t="str">
        <f aca="false">+WORLDCUP!BD63</f>
        <v>Japón</v>
      </c>
      <c r="I155" s="31" t="str">
        <f aca="false">+WORLDCUP!BD66</f>
        <v>Irak</v>
      </c>
      <c r="J155" s="31" t="str">
        <f aca="false">+WORLDCUP!BD68</f>
        <v>Uzbekistán</v>
      </c>
      <c r="N155" s="31" t="s">
        <v>1673</v>
      </c>
      <c r="O155" s="31" t="n">
        <v>154</v>
      </c>
      <c r="P155" s="31" t="s">
        <v>89</v>
      </c>
      <c r="Q155" s="31" t="s">
        <v>98</v>
      </c>
      <c r="R155" s="31" t="s">
        <v>85</v>
      </c>
      <c r="S155" s="31" t="s">
        <v>94</v>
      </c>
      <c r="T155" s="31" t="s">
        <v>112</v>
      </c>
      <c r="U155" s="31" t="s">
        <v>103</v>
      </c>
      <c r="V155" s="31" t="s">
        <v>116</v>
      </c>
      <c r="W155" s="31" t="s">
        <v>125</v>
      </c>
    </row>
    <row r="156" customFormat="false" ht="15" hidden="false" customHeight="false" outlineLevel="0" collapsed="false">
      <c r="A156" s="31" t="s">
        <v>1674</v>
      </c>
      <c r="B156" s="31" t="n">
        <f aca="false">+IF(A156=WORLDCUP!$BI$112,1,0)</f>
        <v>0</v>
      </c>
      <c r="C156" s="31" t="str">
        <f aca="false">+WORLDCUP!BD60</f>
        <v>Marruecos</v>
      </c>
      <c r="D156" s="31" t="str">
        <f aca="false">+WORLDCUP!BD67</f>
        <v>Austria</v>
      </c>
      <c r="E156" s="31" t="str">
        <f aca="false">+WORLDCUP!BD59</f>
        <v>Catar</v>
      </c>
      <c r="F156" s="31" t="str">
        <f aca="false">+WORLDCUP!BD61</f>
        <v>Turquía</v>
      </c>
      <c r="G156" s="31" t="str">
        <f aca="false">+WORLDCUP!BD65</f>
        <v>España</v>
      </c>
      <c r="H156" s="31" t="str">
        <f aca="false">+WORLDCUP!BD63</f>
        <v>Japón</v>
      </c>
      <c r="I156" s="31" t="str">
        <f aca="false">+WORLDCUP!BD62</f>
        <v>Ecuador</v>
      </c>
      <c r="J156" s="31" t="str">
        <f aca="false">+WORLDCUP!BD66</f>
        <v>Irak</v>
      </c>
      <c r="N156" s="31" t="s">
        <v>1674</v>
      </c>
      <c r="O156" s="31" t="n">
        <v>155</v>
      </c>
      <c r="P156" s="31" t="s">
        <v>89</v>
      </c>
      <c r="Q156" s="31" t="s">
        <v>121</v>
      </c>
      <c r="R156" s="31" t="s">
        <v>85</v>
      </c>
      <c r="S156" s="31" t="s">
        <v>94</v>
      </c>
      <c r="T156" s="31" t="s">
        <v>112</v>
      </c>
      <c r="U156" s="31" t="s">
        <v>103</v>
      </c>
      <c r="V156" s="31" t="s">
        <v>98</v>
      </c>
      <c r="W156" s="31" t="s">
        <v>116</v>
      </c>
    </row>
    <row r="157" customFormat="false" ht="15" hidden="false" customHeight="false" outlineLevel="0" collapsed="false">
      <c r="A157" s="31" t="s">
        <v>1675</v>
      </c>
      <c r="B157" s="31" t="n">
        <f aca="false">+IF(A157=WORLDCUP!$BI$112,1,0)</f>
        <v>0</v>
      </c>
      <c r="C157" s="31" t="str">
        <f aca="false">+WORLDCUP!BD60</f>
        <v>Marruecos</v>
      </c>
      <c r="D157" s="31" t="str">
        <f aca="false">+WORLDCUP!BD64</f>
        <v>Bélgica</v>
      </c>
      <c r="E157" s="31" t="str">
        <f aca="false">+WORLDCUP!BD59</f>
        <v>Catar</v>
      </c>
      <c r="F157" s="31" t="str">
        <f aca="false">+WORLDCUP!BD61</f>
        <v>Turquía</v>
      </c>
      <c r="G157" s="31" t="str">
        <f aca="false">+WORLDCUP!BD62</f>
        <v>Ecuador</v>
      </c>
      <c r="H157" s="31" t="str">
        <f aca="false">+WORLDCUP!BD63</f>
        <v>Japón</v>
      </c>
      <c r="I157" s="31" t="str">
        <f aca="false">+WORLDCUP!BD69</f>
        <v>Ghana</v>
      </c>
      <c r="J157" s="31" t="str">
        <f aca="false">+WORLDCUP!BD68</f>
        <v>Uzbekistán</v>
      </c>
      <c r="N157" s="31" t="s">
        <v>1675</v>
      </c>
      <c r="O157" s="31" t="n">
        <v>156</v>
      </c>
      <c r="P157" s="31" t="s">
        <v>89</v>
      </c>
      <c r="Q157" s="31" t="s">
        <v>107</v>
      </c>
      <c r="R157" s="31" t="s">
        <v>85</v>
      </c>
      <c r="S157" s="31" t="s">
        <v>94</v>
      </c>
      <c r="T157" s="31" t="s">
        <v>98</v>
      </c>
      <c r="U157" s="31" t="s">
        <v>103</v>
      </c>
      <c r="V157" s="31" t="s">
        <v>130</v>
      </c>
      <c r="W157" s="31" t="s">
        <v>125</v>
      </c>
    </row>
    <row r="158" customFormat="false" ht="15" hidden="false" customHeight="false" outlineLevel="0" collapsed="false">
      <c r="A158" s="31" t="s">
        <v>1676</v>
      </c>
      <c r="B158" s="31" t="n">
        <f aca="false">+IF(A158=WORLDCUP!$BI$112,1,0)</f>
        <v>0</v>
      </c>
      <c r="C158" s="31" t="str">
        <f aca="false">+WORLDCUP!BD60</f>
        <v>Marruecos</v>
      </c>
      <c r="D158" s="31" t="str">
        <f aca="false">+WORLDCUP!BD64</f>
        <v>Bélgica</v>
      </c>
      <c r="E158" s="31" t="str">
        <f aca="false">+WORLDCUP!BD59</f>
        <v>Catar</v>
      </c>
      <c r="F158" s="31" t="str">
        <f aca="false">+WORLDCUP!BD61</f>
        <v>Turquía</v>
      </c>
      <c r="G158" s="31" t="str">
        <f aca="false">+WORLDCUP!BD67</f>
        <v>Austria</v>
      </c>
      <c r="H158" s="31" t="str">
        <f aca="false">+WORLDCUP!BD63</f>
        <v>Japón</v>
      </c>
      <c r="I158" s="31" t="str">
        <f aca="false">+WORLDCUP!BD69</f>
        <v>Ghana</v>
      </c>
      <c r="J158" s="31" t="str">
        <f aca="false">+WORLDCUP!BD62</f>
        <v>Ecuador</v>
      </c>
      <c r="N158" s="31" t="s">
        <v>1676</v>
      </c>
      <c r="O158" s="31" t="n">
        <v>157</v>
      </c>
      <c r="P158" s="31" t="s">
        <v>89</v>
      </c>
      <c r="Q158" s="31" t="s">
        <v>107</v>
      </c>
      <c r="R158" s="31" t="s">
        <v>85</v>
      </c>
      <c r="S158" s="31" t="s">
        <v>94</v>
      </c>
      <c r="T158" s="31" t="s">
        <v>121</v>
      </c>
      <c r="U158" s="31" t="s">
        <v>103</v>
      </c>
      <c r="V158" s="31" t="s">
        <v>130</v>
      </c>
      <c r="W158" s="31" t="s">
        <v>98</v>
      </c>
    </row>
    <row r="159" customFormat="false" ht="15" hidden="false" customHeight="false" outlineLevel="0" collapsed="false">
      <c r="A159" s="31" t="s">
        <v>1677</v>
      </c>
      <c r="B159" s="31" t="n">
        <f aca="false">+IF(A159=WORLDCUP!$BI$112,1,0)</f>
        <v>0</v>
      </c>
      <c r="C159" s="31" t="str">
        <f aca="false">+WORLDCUP!BD60</f>
        <v>Marruecos</v>
      </c>
      <c r="D159" s="31" t="str">
        <f aca="false">+WORLDCUP!BD64</f>
        <v>Bélgica</v>
      </c>
      <c r="E159" s="31" t="str">
        <f aca="false">+WORLDCUP!BD59</f>
        <v>Catar</v>
      </c>
      <c r="F159" s="31" t="str">
        <f aca="false">+WORLDCUP!BD61</f>
        <v>Turquía</v>
      </c>
      <c r="G159" s="31" t="str">
        <f aca="false">+WORLDCUP!BD67</f>
        <v>Austria</v>
      </c>
      <c r="H159" s="31" t="str">
        <f aca="false">+WORLDCUP!BD63</f>
        <v>Japón</v>
      </c>
      <c r="I159" s="31" t="str">
        <f aca="false">+WORLDCUP!BD62</f>
        <v>Ecuador</v>
      </c>
      <c r="J159" s="31" t="str">
        <f aca="false">+WORLDCUP!BD68</f>
        <v>Uzbekistán</v>
      </c>
      <c r="N159" s="31" t="s">
        <v>1677</v>
      </c>
      <c r="O159" s="31" t="n">
        <v>158</v>
      </c>
      <c r="P159" s="31" t="s">
        <v>89</v>
      </c>
      <c r="Q159" s="31" t="s">
        <v>107</v>
      </c>
      <c r="R159" s="31" t="s">
        <v>85</v>
      </c>
      <c r="S159" s="31" t="s">
        <v>94</v>
      </c>
      <c r="T159" s="31" t="s">
        <v>121</v>
      </c>
      <c r="U159" s="31" t="s">
        <v>103</v>
      </c>
      <c r="V159" s="31" t="s">
        <v>98</v>
      </c>
      <c r="W159" s="31" t="s">
        <v>125</v>
      </c>
    </row>
    <row r="160" customFormat="false" ht="15" hidden="false" customHeight="false" outlineLevel="0" collapsed="false">
      <c r="A160" s="31" t="s">
        <v>1678</v>
      </c>
      <c r="B160" s="31" t="n">
        <f aca="false">+IF(A160=WORLDCUP!$BI$112,1,0)</f>
        <v>0</v>
      </c>
      <c r="C160" s="31" t="str">
        <f aca="false">+WORLDCUP!BD60</f>
        <v>Marruecos</v>
      </c>
      <c r="D160" s="31" t="str">
        <f aca="false">+WORLDCUP!BD64</f>
        <v>Bélgica</v>
      </c>
      <c r="E160" s="31" t="str">
        <f aca="false">+WORLDCUP!BD59</f>
        <v>Catar</v>
      </c>
      <c r="F160" s="31" t="str">
        <f aca="false">+WORLDCUP!BD61</f>
        <v>Turquía</v>
      </c>
      <c r="G160" s="31" t="str">
        <f aca="false">+WORLDCUP!BD62</f>
        <v>Ecuador</v>
      </c>
      <c r="H160" s="31" t="str">
        <f aca="false">+WORLDCUP!BD63</f>
        <v>Japón</v>
      </c>
      <c r="I160" s="31" t="str">
        <f aca="false">+WORLDCUP!BD69</f>
        <v>Ghana</v>
      </c>
      <c r="J160" s="31" t="str">
        <f aca="false">+WORLDCUP!BD66</f>
        <v>Irak</v>
      </c>
      <c r="N160" s="31" t="s">
        <v>1678</v>
      </c>
      <c r="O160" s="31" t="n">
        <v>159</v>
      </c>
      <c r="P160" s="31" t="s">
        <v>89</v>
      </c>
      <c r="Q160" s="31" t="s">
        <v>107</v>
      </c>
      <c r="R160" s="31" t="s">
        <v>85</v>
      </c>
      <c r="S160" s="31" t="s">
        <v>94</v>
      </c>
      <c r="T160" s="31" t="s">
        <v>98</v>
      </c>
      <c r="U160" s="31" t="s">
        <v>103</v>
      </c>
      <c r="V160" s="31" t="s">
        <v>130</v>
      </c>
      <c r="W160" s="31" t="s">
        <v>116</v>
      </c>
    </row>
    <row r="161" customFormat="false" ht="15" hidden="false" customHeight="false" outlineLevel="0" collapsed="false">
      <c r="A161" s="31" t="s">
        <v>1679</v>
      </c>
      <c r="B161" s="31" t="n">
        <f aca="false">+IF(A161=WORLDCUP!$BI$112,1,0)</f>
        <v>0</v>
      </c>
      <c r="C161" s="31" t="str">
        <f aca="false">+WORLDCUP!BD60</f>
        <v>Marruecos</v>
      </c>
      <c r="D161" s="31" t="str">
        <f aca="false">+WORLDCUP!BD64</f>
        <v>Bélgica</v>
      </c>
      <c r="E161" s="31" t="str">
        <f aca="false">+WORLDCUP!BD59</f>
        <v>Catar</v>
      </c>
      <c r="F161" s="31" t="str">
        <f aca="false">+WORLDCUP!BD61</f>
        <v>Turquía</v>
      </c>
      <c r="G161" s="31" t="str">
        <f aca="false">+WORLDCUP!BD62</f>
        <v>Ecuador</v>
      </c>
      <c r="H161" s="31" t="str">
        <f aca="false">+WORLDCUP!BD63</f>
        <v>Japón</v>
      </c>
      <c r="I161" s="31" t="str">
        <f aca="false">+WORLDCUP!BD66</f>
        <v>Irak</v>
      </c>
      <c r="J161" s="31" t="str">
        <f aca="false">+WORLDCUP!BD68</f>
        <v>Uzbekistán</v>
      </c>
      <c r="N161" s="31" t="s">
        <v>1679</v>
      </c>
      <c r="O161" s="31" t="n">
        <v>160</v>
      </c>
      <c r="P161" s="31" t="s">
        <v>89</v>
      </c>
      <c r="Q161" s="31" t="s">
        <v>107</v>
      </c>
      <c r="R161" s="31" t="s">
        <v>85</v>
      </c>
      <c r="S161" s="31" t="s">
        <v>94</v>
      </c>
      <c r="T161" s="31" t="s">
        <v>98</v>
      </c>
      <c r="U161" s="31" t="s">
        <v>103</v>
      </c>
      <c r="V161" s="31" t="s">
        <v>116</v>
      </c>
      <c r="W161" s="31" t="s">
        <v>125</v>
      </c>
    </row>
    <row r="162" customFormat="false" ht="15" hidden="false" customHeight="false" outlineLevel="0" collapsed="false">
      <c r="A162" s="31" t="s">
        <v>1680</v>
      </c>
      <c r="B162" s="31" t="n">
        <f aca="false">+IF(A162=WORLDCUP!$BI$112,1,0)</f>
        <v>0</v>
      </c>
      <c r="C162" s="31" t="str">
        <f aca="false">+WORLDCUP!BD60</f>
        <v>Marruecos</v>
      </c>
      <c r="D162" s="31" t="str">
        <f aca="false">+WORLDCUP!BD64</f>
        <v>Bélgica</v>
      </c>
      <c r="E162" s="31" t="str">
        <f aca="false">+WORLDCUP!BD59</f>
        <v>Catar</v>
      </c>
      <c r="F162" s="31" t="str">
        <f aca="false">+WORLDCUP!BD61</f>
        <v>Turquía</v>
      </c>
      <c r="G162" s="31" t="str">
        <f aca="false">+WORLDCUP!BD67</f>
        <v>Austria</v>
      </c>
      <c r="H162" s="31" t="str">
        <f aca="false">+WORLDCUP!BD63</f>
        <v>Japón</v>
      </c>
      <c r="I162" s="31" t="str">
        <f aca="false">+WORLDCUP!BD62</f>
        <v>Ecuador</v>
      </c>
      <c r="J162" s="31" t="str">
        <f aca="false">+WORLDCUP!BD66</f>
        <v>Irak</v>
      </c>
      <c r="N162" s="31" t="s">
        <v>1680</v>
      </c>
      <c r="O162" s="31" t="n">
        <v>161</v>
      </c>
      <c r="P162" s="31" t="s">
        <v>89</v>
      </c>
      <c r="Q162" s="31" t="s">
        <v>107</v>
      </c>
      <c r="R162" s="31" t="s">
        <v>85</v>
      </c>
      <c r="S162" s="31" t="s">
        <v>94</v>
      </c>
      <c r="T162" s="31" t="s">
        <v>121</v>
      </c>
      <c r="U162" s="31" t="s">
        <v>103</v>
      </c>
      <c r="V162" s="31" t="s">
        <v>98</v>
      </c>
      <c r="W162" s="31" t="s">
        <v>116</v>
      </c>
    </row>
    <row r="163" customFormat="false" ht="15" hidden="false" customHeight="false" outlineLevel="0" collapsed="false">
      <c r="A163" s="31" t="s">
        <v>1681</v>
      </c>
      <c r="B163" s="31" t="n">
        <f aca="false">+IF(A163=WORLDCUP!$BI$112,1,0)</f>
        <v>0</v>
      </c>
      <c r="C163" s="31" t="str">
        <f aca="false">+WORLDCUP!BD60</f>
        <v>Marruecos</v>
      </c>
      <c r="D163" s="31" t="str">
        <f aca="false">+WORLDCUP!BD64</f>
        <v>Bélgica</v>
      </c>
      <c r="E163" s="31" t="str">
        <f aca="false">+WORLDCUP!BD59</f>
        <v>Catar</v>
      </c>
      <c r="F163" s="31" t="str">
        <f aca="false">+WORLDCUP!BD61</f>
        <v>Turquía</v>
      </c>
      <c r="G163" s="31" t="str">
        <f aca="false">+WORLDCUP!BD65</f>
        <v>España</v>
      </c>
      <c r="H163" s="31" t="str">
        <f aca="false">+WORLDCUP!BD63</f>
        <v>Japón</v>
      </c>
      <c r="I163" s="31" t="str">
        <f aca="false">+WORLDCUP!BD69</f>
        <v>Ghana</v>
      </c>
      <c r="J163" s="31" t="str">
        <f aca="false">+WORLDCUP!BD62</f>
        <v>Ecuador</v>
      </c>
      <c r="N163" s="31" t="s">
        <v>1681</v>
      </c>
      <c r="O163" s="31" t="n">
        <v>162</v>
      </c>
      <c r="P163" s="31" t="s">
        <v>89</v>
      </c>
      <c r="Q163" s="31" t="s">
        <v>107</v>
      </c>
      <c r="R163" s="31" t="s">
        <v>85</v>
      </c>
      <c r="S163" s="31" t="s">
        <v>94</v>
      </c>
      <c r="T163" s="31" t="s">
        <v>112</v>
      </c>
      <c r="U163" s="31" t="s">
        <v>103</v>
      </c>
      <c r="V163" s="31" t="s">
        <v>130</v>
      </c>
      <c r="W163" s="31" t="s">
        <v>98</v>
      </c>
    </row>
    <row r="164" customFormat="false" ht="15" hidden="false" customHeight="false" outlineLevel="0" collapsed="false">
      <c r="A164" s="31" t="s">
        <v>1682</v>
      </c>
      <c r="B164" s="31" t="n">
        <f aca="false">+IF(A164=WORLDCUP!$BI$112,1,0)</f>
        <v>0</v>
      </c>
      <c r="C164" s="31" t="str">
        <f aca="false">+WORLDCUP!BD60</f>
        <v>Marruecos</v>
      </c>
      <c r="D164" s="31" t="str">
        <f aca="false">+WORLDCUP!BD64</f>
        <v>Bélgica</v>
      </c>
      <c r="E164" s="31" t="str">
        <f aca="false">+WORLDCUP!BD59</f>
        <v>Catar</v>
      </c>
      <c r="F164" s="31" t="str">
        <f aca="false">+WORLDCUP!BD61</f>
        <v>Turquía</v>
      </c>
      <c r="G164" s="31" t="str">
        <f aca="false">+WORLDCUP!BD65</f>
        <v>España</v>
      </c>
      <c r="H164" s="31" t="str">
        <f aca="false">+WORLDCUP!BD63</f>
        <v>Japón</v>
      </c>
      <c r="I164" s="31" t="str">
        <f aca="false">+WORLDCUP!BD62</f>
        <v>Ecuador</v>
      </c>
      <c r="J164" s="31" t="str">
        <f aca="false">+WORLDCUP!BD68</f>
        <v>Uzbekistán</v>
      </c>
      <c r="N164" s="31" t="s">
        <v>1682</v>
      </c>
      <c r="O164" s="31" t="n">
        <v>163</v>
      </c>
      <c r="P164" s="31" t="s">
        <v>89</v>
      </c>
      <c r="Q164" s="31" t="s">
        <v>107</v>
      </c>
      <c r="R164" s="31" t="s">
        <v>85</v>
      </c>
      <c r="S164" s="31" t="s">
        <v>94</v>
      </c>
      <c r="T164" s="31" t="s">
        <v>112</v>
      </c>
      <c r="U164" s="31" t="s">
        <v>103</v>
      </c>
      <c r="V164" s="31" t="s">
        <v>98</v>
      </c>
      <c r="W164" s="31" t="s">
        <v>125</v>
      </c>
    </row>
    <row r="165" customFormat="false" ht="15" hidden="false" customHeight="false" outlineLevel="0" collapsed="false">
      <c r="A165" s="31" t="s">
        <v>1683</v>
      </c>
      <c r="B165" s="31" t="n">
        <f aca="false">+IF(A165=WORLDCUP!$BI$112,1,0)</f>
        <v>0</v>
      </c>
      <c r="C165" s="31" t="str">
        <f aca="false">+WORLDCUP!BD65</f>
        <v>España</v>
      </c>
      <c r="D165" s="31" t="str">
        <f aca="false">+WORLDCUP!BD64</f>
        <v>Bélgica</v>
      </c>
      <c r="E165" s="31" t="str">
        <f aca="false">+WORLDCUP!BD59</f>
        <v>Catar</v>
      </c>
      <c r="F165" s="31" t="str">
        <f aca="false">+WORLDCUP!BD60</f>
        <v>Marruecos</v>
      </c>
      <c r="G165" s="31" t="str">
        <f aca="false">+WORLDCUP!BD67</f>
        <v>Austria</v>
      </c>
      <c r="H165" s="31" t="str">
        <f aca="false">+WORLDCUP!BD63</f>
        <v>Japón</v>
      </c>
      <c r="I165" s="31" t="str">
        <f aca="false">+WORLDCUP!BD61</f>
        <v>Turquía</v>
      </c>
      <c r="J165" s="31" t="str">
        <f aca="false">+WORLDCUP!BD62</f>
        <v>Ecuador</v>
      </c>
      <c r="N165" s="31" t="s">
        <v>1683</v>
      </c>
      <c r="O165" s="31" t="n">
        <v>164</v>
      </c>
      <c r="P165" s="31" t="s">
        <v>112</v>
      </c>
      <c r="Q165" s="31" t="s">
        <v>107</v>
      </c>
      <c r="R165" s="31" t="s">
        <v>85</v>
      </c>
      <c r="S165" s="31" t="s">
        <v>89</v>
      </c>
      <c r="T165" s="31" t="s">
        <v>121</v>
      </c>
      <c r="U165" s="31" t="s">
        <v>103</v>
      </c>
      <c r="V165" s="31" t="s">
        <v>94</v>
      </c>
      <c r="W165" s="31" t="s">
        <v>98</v>
      </c>
    </row>
    <row r="166" customFormat="false" ht="15" hidden="false" customHeight="false" outlineLevel="0" collapsed="false">
      <c r="A166" s="31" t="s">
        <v>1684</v>
      </c>
      <c r="B166" s="31" t="n">
        <f aca="false">+IF(A166=WORLDCUP!$BI$112,1,0)</f>
        <v>0</v>
      </c>
      <c r="C166" s="31" t="str">
        <f aca="false">+WORLDCUP!BD60</f>
        <v>Marruecos</v>
      </c>
      <c r="D166" s="31" t="str">
        <f aca="false">+WORLDCUP!BD64</f>
        <v>Bélgica</v>
      </c>
      <c r="E166" s="31" t="str">
        <f aca="false">+WORLDCUP!BD59</f>
        <v>Catar</v>
      </c>
      <c r="F166" s="31" t="str">
        <f aca="false">+WORLDCUP!BD61</f>
        <v>Turquía</v>
      </c>
      <c r="G166" s="31" t="str">
        <f aca="false">+WORLDCUP!BD65</f>
        <v>España</v>
      </c>
      <c r="H166" s="31" t="str">
        <f aca="false">+WORLDCUP!BD63</f>
        <v>Japón</v>
      </c>
      <c r="I166" s="31" t="str">
        <f aca="false">+WORLDCUP!BD62</f>
        <v>Ecuador</v>
      </c>
      <c r="J166" s="31" t="str">
        <f aca="false">+WORLDCUP!BD66</f>
        <v>Irak</v>
      </c>
      <c r="N166" s="31" t="s">
        <v>1684</v>
      </c>
      <c r="O166" s="31" t="n">
        <v>165</v>
      </c>
      <c r="P166" s="31" t="s">
        <v>89</v>
      </c>
      <c r="Q166" s="31" t="s">
        <v>107</v>
      </c>
      <c r="R166" s="31" t="s">
        <v>85</v>
      </c>
      <c r="S166" s="31" t="s">
        <v>94</v>
      </c>
      <c r="T166" s="31" t="s">
        <v>112</v>
      </c>
      <c r="U166" s="31" t="s">
        <v>103</v>
      </c>
      <c r="V166" s="31" t="s">
        <v>98</v>
      </c>
      <c r="W166" s="31" t="s">
        <v>116</v>
      </c>
    </row>
    <row r="167" customFormat="false" ht="15" hidden="false" customHeight="false" outlineLevel="0" collapsed="false">
      <c r="A167" s="31" t="s">
        <v>1685</v>
      </c>
      <c r="B167" s="31" t="n">
        <f aca="false">+IF(A167=WORLDCUP!$BI$112,1,0)</f>
        <v>0</v>
      </c>
      <c r="C167" s="31" t="str">
        <f aca="false">+WORLDCUP!BD65</f>
        <v>España</v>
      </c>
      <c r="D167" s="31" t="str">
        <f aca="false">+WORLDCUP!BD67</f>
        <v>Austria</v>
      </c>
      <c r="E167" s="31" t="str">
        <f aca="false">+WORLDCUP!BD66</f>
        <v>Irak</v>
      </c>
      <c r="F167" s="31" t="str">
        <f aca="false">+WORLDCUP!BD63</f>
        <v>Japón</v>
      </c>
      <c r="G167" s="31" t="str">
        <f aca="false">+WORLDCUP!BD58</f>
        <v>República Checa</v>
      </c>
      <c r="H167" s="31" t="str">
        <f aca="false">+WORLDCUP!BD64</f>
        <v>Bélgica</v>
      </c>
      <c r="I167" s="31" t="str">
        <f aca="false">+WORLDCUP!BD69</f>
        <v>Ghana</v>
      </c>
      <c r="J167" s="31" t="str">
        <f aca="false">+WORLDCUP!BD68</f>
        <v>Uzbekistán</v>
      </c>
      <c r="N167" s="31" t="s">
        <v>1685</v>
      </c>
      <c r="O167" s="31" t="n">
        <v>166</v>
      </c>
      <c r="P167" s="31" t="s">
        <v>112</v>
      </c>
      <c r="Q167" s="31" t="s">
        <v>121</v>
      </c>
      <c r="R167" s="31" t="s">
        <v>116</v>
      </c>
      <c r="S167" s="31" t="s">
        <v>103</v>
      </c>
      <c r="T167" s="31" t="s">
        <v>80</v>
      </c>
      <c r="U167" s="31" t="s">
        <v>107</v>
      </c>
      <c r="V167" s="31" t="s">
        <v>130</v>
      </c>
      <c r="W167" s="31" t="s">
        <v>125</v>
      </c>
    </row>
    <row r="168" customFormat="false" ht="15" hidden="false" customHeight="false" outlineLevel="0" collapsed="false">
      <c r="A168" s="31" t="s">
        <v>1686</v>
      </c>
      <c r="B168" s="31" t="n">
        <f aca="false">+IF(A168=WORLDCUP!$BI$112,1,0)</f>
        <v>0</v>
      </c>
      <c r="C168" s="31" t="str">
        <f aca="false">+WORLDCUP!BD62</f>
        <v>Ecuador</v>
      </c>
      <c r="D168" s="31" t="str">
        <f aca="false">+WORLDCUP!BD67</f>
        <v>Austria</v>
      </c>
      <c r="E168" s="31" t="str">
        <f aca="false">+WORLDCUP!BD66</f>
        <v>Irak</v>
      </c>
      <c r="F168" s="31" t="str">
        <f aca="false">+WORLDCUP!BD58</f>
        <v>República Checa</v>
      </c>
      <c r="G168" s="31" t="str">
        <f aca="false">+WORLDCUP!BD65</f>
        <v>España</v>
      </c>
      <c r="H168" s="31" t="str">
        <f aca="false">+WORLDCUP!BD64</f>
        <v>Bélgica</v>
      </c>
      <c r="I168" s="31" t="str">
        <f aca="false">+WORLDCUP!BD69</f>
        <v>Ghana</v>
      </c>
      <c r="J168" s="31" t="str">
        <f aca="false">+WORLDCUP!BD68</f>
        <v>Uzbekistán</v>
      </c>
      <c r="N168" s="31" t="s">
        <v>1686</v>
      </c>
      <c r="O168" s="31" t="n">
        <v>167</v>
      </c>
      <c r="P168" s="31" t="s">
        <v>98</v>
      </c>
      <c r="Q168" s="31" t="s">
        <v>121</v>
      </c>
      <c r="R168" s="31" t="s">
        <v>116</v>
      </c>
      <c r="S168" s="31" t="s">
        <v>80</v>
      </c>
      <c r="T168" s="31" t="s">
        <v>112</v>
      </c>
      <c r="U168" s="31" t="s">
        <v>107</v>
      </c>
      <c r="V168" s="31" t="s">
        <v>130</v>
      </c>
      <c r="W168" s="31" t="s">
        <v>125</v>
      </c>
    </row>
    <row r="169" customFormat="false" ht="15" hidden="false" customHeight="false" outlineLevel="0" collapsed="false">
      <c r="A169" s="31" t="s">
        <v>1687</v>
      </c>
      <c r="B169" s="31" t="n">
        <f aca="false">+IF(A169=WORLDCUP!$BI$112,1,0)</f>
        <v>0</v>
      </c>
      <c r="C169" s="31" t="str">
        <f aca="false">+WORLDCUP!BD62</f>
        <v>Ecuador</v>
      </c>
      <c r="D169" s="31" t="str">
        <f aca="false">+WORLDCUP!BD67</f>
        <v>Austria</v>
      </c>
      <c r="E169" s="31" t="str">
        <f aca="false">+WORLDCUP!BD66</f>
        <v>Irak</v>
      </c>
      <c r="F169" s="31" t="str">
        <f aca="false">+WORLDCUP!BD63</f>
        <v>Japón</v>
      </c>
      <c r="G169" s="31" t="str">
        <f aca="false">+WORLDCUP!BD58</f>
        <v>República Checa</v>
      </c>
      <c r="H169" s="31" t="str">
        <f aca="false">+WORLDCUP!BD65</f>
        <v>España</v>
      </c>
      <c r="I169" s="31" t="str">
        <f aca="false">+WORLDCUP!BD69</f>
        <v>Ghana</v>
      </c>
      <c r="J169" s="31" t="str">
        <f aca="false">+WORLDCUP!BD68</f>
        <v>Uzbekistán</v>
      </c>
      <c r="N169" s="31" t="s">
        <v>1687</v>
      </c>
      <c r="O169" s="31" t="n">
        <v>168</v>
      </c>
      <c r="P169" s="31" t="s">
        <v>98</v>
      </c>
      <c r="Q169" s="31" t="s">
        <v>121</v>
      </c>
      <c r="R169" s="31" t="s">
        <v>116</v>
      </c>
      <c r="S169" s="31" t="s">
        <v>103</v>
      </c>
      <c r="T169" s="31" t="s">
        <v>80</v>
      </c>
      <c r="U169" s="31" t="s">
        <v>112</v>
      </c>
      <c r="V169" s="31" t="s">
        <v>130</v>
      </c>
      <c r="W169" s="31" t="s">
        <v>125</v>
      </c>
    </row>
    <row r="170" customFormat="false" ht="15" hidden="false" customHeight="false" outlineLevel="0" collapsed="false">
      <c r="A170" s="31" t="s">
        <v>1688</v>
      </c>
      <c r="B170" s="31" t="n">
        <f aca="false">+IF(A170=WORLDCUP!$BI$112,1,0)</f>
        <v>0</v>
      </c>
      <c r="C170" s="31" t="str">
        <f aca="false">+WORLDCUP!BD62</f>
        <v>Ecuador</v>
      </c>
      <c r="D170" s="31" t="str">
        <f aca="false">+WORLDCUP!BD67</f>
        <v>Austria</v>
      </c>
      <c r="E170" s="31" t="str">
        <f aca="false">+WORLDCUP!BD66</f>
        <v>Irak</v>
      </c>
      <c r="F170" s="31" t="str">
        <f aca="false">+WORLDCUP!BD63</f>
        <v>Japón</v>
      </c>
      <c r="G170" s="31" t="str">
        <f aca="false">+WORLDCUP!BD58</f>
        <v>República Checa</v>
      </c>
      <c r="H170" s="31" t="str">
        <f aca="false">+WORLDCUP!BD64</f>
        <v>Bélgica</v>
      </c>
      <c r="I170" s="31" t="str">
        <f aca="false">+WORLDCUP!BD69</f>
        <v>Ghana</v>
      </c>
      <c r="J170" s="31" t="str">
        <f aca="false">+WORLDCUP!BD68</f>
        <v>Uzbekistán</v>
      </c>
      <c r="N170" s="31" t="s">
        <v>1688</v>
      </c>
      <c r="O170" s="31" t="n">
        <v>169</v>
      </c>
      <c r="P170" s="31" t="s">
        <v>98</v>
      </c>
      <c r="Q170" s="31" t="s">
        <v>121</v>
      </c>
      <c r="R170" s="31" t="s">
        <v>116</v>
      </c>
      <c r="S170" s="31" t="s">
        <v>103</v>
      </c>
      <c r="T170" s="31" t="s">
        <v>80</v>
      </c>
      <c r="U170" s="31" t="s">
        <v>107</v>
      </c>
      <c r="V170" s="31" t="s">
        <v>130</v>
      </c>
      <c r="W170" s="31" t="s">
        <v>125</v>
      </c>
    </row>
    <row r="171" customFormat="false" ht="15" hidden="false" customHeight="false" outlineLevel="0" collapsed="false">
      <c r="A171" s="31" t="s">
        <v>1689</v>
      </c>
      <c r="B171" s="31" t="n">
        <f aca="false">+IF(A171=WORLDCUP!$BI$112,1,0)</f>
        <v>0</v>
      </c>
      <c r="C171" s="31" t="str">
        <f aca="false">+WORLDCUP!BD62</f>
        <v>Ecuador</v>
      </c>
      <c r="D171" s="31" t="str">
        <f aca="false">+WORLDCUP!BD64</f>
        <v>Bélgica</v>
      </c>
      <c r="E171" s="31" t="str">
        <f aca="false">+WORLDCUP!BD67</f>
        <v>Austria</v>
      </c>
      <c r="F171" s="31" t="str">
        <f aca="false">+WORLDCUP!BD63</f>
        <v>Japón</v>
      </c>
      <c r="G171" s="31" t="str">
        <f aca="false">+WORLDCUP!BD58</f>
        <v>República Checa</v>
      </c>
      <c r="H171" s="31" t="str">
        <f aca="false">+WORLDCUP!BD65</f>
        <v>España</v>
      </c>
      <c r="I171" s="31" t="str">
        <f aca="false">+WORLDCUP!BD69</f>
        <v>Ghana</v>
      </c>
      <c r="J171" s="31" t="str">
        <f aca="false">+WORLDCUP!BD68</f>
        <v>Uzbekistán</v>
      </c>
      <c r="N171" s="31" t="s">
        <v>1689</v>
      </c>
      <c r="O171" s="31" t="n">
        <v>170</v>
      </c>
      <c r="P171" s="31" t="s">
        <v>98</v>
      </c>
      <c r="Q171" s="31" t="s">
        <v>107</v>
      </c>
      <c r="R171" s="31" t="s">
        <v>121</v>
      </c>
      <c r="S171" s="31" t="s">
        <v>103</v>
      </c>
      <c r="T171" s="31" t="s">
        <v>80</v>
      </c>
      <c r="U171" s="31" t="s">
        <v>112</v>
      </c>
      <c r="V171" s="31" t="s">
        <v>130</v>
      </c>
      <c r="W171" s="31" t="s">
        <v>125</v>
      </c>
    </row>
    <row r="172" customFormat="false" ht="15" hidden="false" customHeight="false" outlineLevel="0" collapsed="false">
      <c r="A172" s="31" t="s">
        <v>1690</v>
      </c>
      <c r="B172" s="31" t="n">
        <f aca="false">+IF(A172=WORLDCUP!$BI$112,1,0)</f>
        <v>0</v>
      </c>
      <c r="C172" s="31" t="str">
        <f aca="false">+WORLDCUP!BD62</f>
        <v>Ecuador</v>
      </c>
      <c r="D172" s="31" t="str">
        <f aca="false">+WORLDCUP!BD64</f>
        <v>Bélgica</v>
      </c>
      <c r="E172" s="31" t="str">
        <f aca="false">+WORLDCUP!BD66</f>
        <v>Irak</v>
      </c>
      <c r="F172" s="31" t="str">
        <f aca="false">+WORLDCUP!BD63</f>
        <v>Japón</v>
      </c>
      <c r="G172" s="31" t="str">
        <f aca="false">+WORLDCUP!BD58</f>
        <v>República Checa</v>
      </c>
      <c r="H172" s="31" t="str">
        <f aca="false">+WORLDCUP!BD65</f>
        <v>España</v>
      </c>
      <c r="I172" s="31" t="str">
        <f aca="false">+WORLDCUP!BD69</f>
        <v>Ghana</v>
      </c>
      <c r="J172" s="31" t="str">
        <f aca="false">+WORLDCUP!BD68</f>
        <v>Uzbekistán</v>
      </c>
      <c r="N172" s="31" t="s">
        <v>1690</v>
      </c>
      <c r="O172" s="31" t="n">
        <v>171</v>
      </c>
      <c r="P172" s="31" t="s">
        <v>98</v>
      </c>
      <c r="Q172" s="31" t="s">
        <v>107</v>
      </c>
      <c r="R172" s="31" t="s">
        <v>116</v>
      </c>
      <c r="S172" s="31" t="s">
        <v>103</v>
      </c>
      <c r="T172" s="31" t="s">
        <v>80</v>
      </c>
      <c r="U172" s="31" t="s">
        <v>112</v>
      </c>
      <c r="V172" s="31" t="s">
        <v>130</v>
      </c>
      <c r="W172" s="31" t="s">
        <v>125</v>
      </c>
    </row>
    <row r="173" customFormat="false" ht="15" hidden="false" customHeight="false" outlineLevel="0" collapsed="false">
      <c r="A173" s="31" t="s">
        <v>1691</v>
      </c>
      <c r="B173" s="31" t="n">
        <f aca="false">+IF(A173=WORLDCUP!$BI$112,1,0)</f>
        <v>0</v>
      </c>
      <c r="C173" s="31" t="str">
        <f aca="false">+WORLDCUP!BD62</f>
        <v>Ecuador</v>
      </c>
      <c r="D173" s="31" t="str">
        <f aca="false">+WORLDCUP!BD64</f>
        <v>Bélgica</v>
      </c>
      <c r="E173" s="31" t="str">
        <f aca="false">+WORLDCUP!BD67</f>
        <v>Austria</v>
      </c>
      <c r="F173" s="31" t="str">
        <f aca="false">+WORLDCUP!BD63</f>
        <v>Japón</v>
      </c>
      <c r="G173" s="31" t="str">
        <f aca="false">+WORLDCUP!BD58</f>
        <v>República Checa</v>
      </c>
      <c r="H173" s="31" t="str">
        <f aca="false">+WORLDCUP!BD65</f>
        <v>España</v>
      </c>
      <c r="I173" s="31" t="str">
        <f aca="false">+WORLDCUP!BD69</f>
        <v>Ghana</v>
      </c>
      <c r="J173" s="31" t="str">
        <f aca="false">+WORLDCUP!BD66</f>
        <v>Irak</v>
      </c>
      <c r="N173" s="31" t="s">
        <v>1691</v>
      </c>
      <c r="O173" s="31" t="n">
        <v>172</v>
      </c>
      <c r="P173" s="31" t="s">
        <v>98</v>
      </c>
      <c r="Q173" s="31" t="s">
        <v>107</v>
      </c>
      <c r="R173" s="31" t="s">
        <v>121</v>
      </c>
      <c r="S173" s="31" t="s">
        <v>103</v>
      </c>
      <c r="T173" s="31" t="s">
        <v>80</v>
      </c>
      <c r="U173" s="31" t="s">
        <v>112</v>
      </c>
      <c r="V173" s="31" t="s">
        <v>130</v>
      </c>
      <c r="W173" s="31" t="s">
        <v>116</v>
      </c>
    </row>
    <row r="174" customFormat="false" ht="15" hidden="false" customHeight="false" outlineLevel="0" collapsed="false">
      <c r="A174" s="31" t="s">
        <v>1692</v>
      </c>
      <c r="B174" s="31" t="n">
        <f aca="false">+IF(A174=WORLDCUP!$BI$112,1,0)</f>
        <v>0</v>
      </c>
      <c r="C174" s="31" t="str">
        <f aca="false">+WORLDCUP!BD62</f>
        <v>Ecuador</v>
      </c>
      <c r="D174" s="31" t="str">
        <f aca="false">+WORLDCUP!BD64</f>
        <v>Bélgica</v>
      </c>
      <c r="E174" s="31" t="str">
        <f aca="false">+WORLDCUP!BD67</f>
        <v>Austria</v>
      </c>
      <c r="F174" s="31" t="str">
        <f aca="false">+WORLDCUP!BD63</f>
        <v>Japón</v>
      </c>
      <c r="G174" s="31" t="str">
        <f aca="false">+WORLDCUP!BD58</f>
        <v>República Checa</v>
      </c>
      <c r="H174" s="31" t="str">
        <f aca="false">+WORLDCUP!BD65</f>
        <v>España</v>
      </c>
      <c r="I174" s="31" t="str">
        <f aca="false">+WORLDCUP!BD66</f>
        <v>Irak</v>
      </c>
      <c r="J174" s="31" t="str">
        <f aca="false">+WORLDCUP!BD68</f>
        <v>Uzbekistán</v>
      </c>
      <c r="N174" s="31" t="s">
        <v>1692</v>
      </c>
      <c r="O174" s="31" t="n">
        <v>173</v>
      </c>
      <c r="P174" s="31" t="s">
        <v>98</v>
      </c>
      <c r="Q174" s="31" t="s">
        <v>107</v>
      </c>
      <c r="R174" s="31" t="s">
        <v>121</v>
      </c>
      <c r="S174" s="31" t="s">
        <v>103</v>
      </c>
      <c r="T174" s="31" t="s">
        <v>80</v>
      </c>
      <c r="U174" s="31" t="s">
        <v>112</v>
      </c>
      <c r="V174" s="31" t="s">
        <v>116</v>
      </c>
      <c r="W174" s="31" t="s">
        <v>125</v>
      </c>
    </row>
    <row r="175" customFormat="false" ht="15" hidden="false" customHeight="false" outlineLevel="0" collapsed="false">
      <c r="A175" s="31" t="s">
        <v>1693</v>
      </c>
      <c r="B175" s="31" t="n">
        <f aca="false">+IF(A175=WORLDCUP!$BI$112,1,0)</f>
        <v>0</v>
      </c>
      <c r="C175" s="31" t="str">
        <f aca="false">+WORLDCUP!BD65</f>
        <v>España</v>
      </c>
      <c r="D175" s="31" t="str">
        <f aca="false">+WORLDCUP!BD67</f>
        <v>Austria</v>
      </c>
      <c r="E175" s="31" t="str">
        <f aca="false">+WORLDCUP!BD66</f>
        <v>Irak</v>
      </c>
      <c r="F175" s="31" t="str">
        <f aca="false">+WORLDCUP!BD61</f>
        <v>Turquía</v>
      </c>
      <c r="G175" s="31" t="str">
        <f aca="false">+WORLDCUP!BD58</f>
        <v>República Checa</v>
      </c>
      <c r="H175" s="31" t="str">
        <f aca="false">+WORLDCUP!BD64</f>
        <v>Bélgica</v>
      </c>
      <c r="I175" s="31" t="str">
        <f aca="false">+WORLDCUP!BD69</f>
        <v>Ghana</v>
      </c>
      <c r="J175" s="31" t="str">
        <f aca="false">+WORLDCUP!BD68</f>
        <v>Uzbekistán</v>
      </c>
      <c r="N175" s="31" t="s">
        <v>1693</v>
      </c>
      <c r="O175" s="31" t="n">
        <v>174</v>
      </c>
      <c r="P175" s="31" t="s">
        <v>112</v>
      </c>
      <c r="Q175" s="31" t="s">
        <v>121</v>
      </c>
      <c r="R175" s="31" t="s">
        <v>116</v>
      </c>
      <c r="S175" s="31" t="s">
        <v>94</v>
      </c>
      <c r="T175" s="31" t="s">
        <v>80</v>
      </c>
      <c r="U175" s="31" t="s">
        <v>107</v>
      </c>
      <c r="V175" s="31" t="s">
        <v>130</v>
      </c>
      <c r="W175" s="31" t="s">
        <v>125</v>
      </c>
    </row>
    <row r="176" customFormat="false" ht="15" hidden="false" customHeight="false" outlineLevel="0" collapsed="false">
      <c r="A176" s="31" t="s">
        <v>1694</v>
      </c>
      <c r="B176" s="31" t="n">
        <f aca="false">+IF(A176=WORLDCUP!$BI$112,1,0)</f>
        <v>0</v>
      </c>
      <c r="C176" s="31" t="str">
        <f aca="false">+WORLDCUP!BD65</f>
        <v>España</v>
      </c>
      <c r="D176" s="31" t="str">
        <f aca="false">+WORLDCUP!BD67</f>
        <v>Austria</v>
      </c>
      <c r="E176" s="31" t="str">
        <f aca="false">+WORLDCUP!BD66</f>
        <v>Irak</v>
      </c>
      <c r="F176" s="31" t="str">
        <f aca="false">+WORLDCUP!BD61</f>
        <v>Turquía</v>
      </c>
      <c r="G176" s="31" t="str">
        <f aca="false">+WORLDCUP!BD58</f>
        <v>República Checa</v>
      </c>
      <c r="H176" s="31" t="str">
        <f aca="false">+WORLDCUP!BD63</f>
        <v>Japón</v>
      </c>
      <c r="I176" s="31" t="str">
        <f aca="false">+WORLDCUP!BD69</f>
        <v>Ghana</v>
      </c>
      <c r="J176" s="31" t="str">
        <f aca="false">+WORLDCUP!BD68</f>
        <v>Uzbekistán</v>
      </c>
      <c r="N176" s="31" t="s">
        <v>1694</v>
      </c>
      <c r="O176" s="31" t="n">
        <v>175</v>
      </c>
      <c r="P176" s="31" t="s">
        <v>112</v>
      </c>
      <c r="Q176" s="31" t="s">
        <v>121</v>
      </c>
      <c r="R176" s="31" t="s">
        <v>116</v>
      </c>
      <c r="S176" s="31" t="s">
        <v>94</v>
      </c>
      <c r="T176" s="31" t="s">
        <v>80</v>
      </c>
      <c r="U176" s="31" t="s">
        <v>103</v>
      </c>
      <c r="V176" s="31" t="s">
        <v>130</v>
      </c>
      <c r="W176" s="31" t="s">
        <v>125</v>
      </c>
    </row>
    <row r="177" customFormat="false" ht="15" hidden="false" customHeight="false" outlineLevel="0" collapsed="false">
      <c r="A177" s="31" t="s">
        <v>1695</v>
      </c>
      <c r="B177" s="31" t="n">
        <f aca="false">+IF(A177=WORLDCUP!$BI$112,1,0)</f>
        <v>0</v>
      </c>
      <c r="C177" s="31" t="str">
        <f aca="false">+WORLDCUP!BD66</f>
        <v>Irak</v>
      </c>
      <c r="D177" s="31" t="str">
        <f aca="false">+WORLDCUP!BD64</f>
        <v>Bélgica</v>
      </c>
      <c r="E177" s="31" t="str">
        <f aca="false">+WORLDCUP!BD67</f>
        <v>Austria</v>
      </c>
      <c r="F177" s="31" t="str">
        <f aca="false">+WORLDCUP!BD61</f>
        <v>Turquía</v>
      </c>
      <c r="G177" s="31" t="str">
        <f aca="false">+WORLDCUP!BD58</f>
        <v>República Checa</v>
      </c>
      <c r="H177" s="31" t="str">
        <f aca="false">+WORLDCUP!BD63</f>
        <v>Japón</v>
      </c>
      <c r="I177" s="31" t="str">
        <f aca="false">+WORLDCUP!BD69</f>
        <v>Ghana</v>
      </c>
      <c r="J177" s="31" t="str">
        <f aca="false">+WORLDCUP!BD68</f>
        <v>Uzbekistán</v>
      </c>
      <c r="N177" s="31" t="s">
        <v>1695</v>
      </c>
      <c r="O177" s="31" t="n">
        <v>176</v>
      </c>
      <c r="P177" s="31" t="s">
        <v>116</v>
      </c>
      <c r="Q177" s="31" t="s">
        <v>107</v>
      </c>
      <c r="R177" s="31" t="s">
        <v>121</v>
      </c>
      <c r="S177" s="31" t="s">
        <v>94</v>
      </c>
      <c r="T177" s="31" t="s">
        <v>80</v>
      </c>
      <c r="U177" s="31" t="s">
        <v>103</v>
      </c>
      <c r="V177" s="31" t="s">
        <v>130</v>
      </c>
      <c r="W177" s="31" t="s">
        <v>125</v>
      </c>
    </row>
    <row r="178" customFormat="false" ht="15" hidden="false" customHeight="false" outlineLevel="0" collapsed="false">
      <c r="A178" s="31" t="s">
        <v>1696</v>
      </c>
      <c r="B178" s="31" t="n">
        <f aca="false">+IF(A178=WORLDCUP!$BI$112,1,0)</f>
        <v>0</v>
      </c>
      <c r="C178" s="31" t="str">
        <f aca="false">+WORLDCUP!BD65</f>
        <v>España</v>
      </c>
      <c r="D178" s="31" t="str">
        <f aca="false">+WORLDCUP!BD64</f>
        <v>Bélgica</v>
      </c>
      <c r="E178" s="31" t="str">
        <f aca="false">+WORLDCUP!BD67</f>
        <v>Austria</v>
      </c>
      <c r="F178" s="31" t="str">
        <f aca="false">+WORLDCUP!BD61</f>
        <v>Turquía</v>
      </c>
      <c r="G178" s="31" t="str">
        <f aca="false">+WORLDCUP!BD58</f>
        <v>República Checa</v>
      </c>
      <c r="H178" s="31" t="str">
        <f aca="false">+WORLDCUP!BD63</f>
        <v>Japón</v>
      </c>
      <c r="I178" s="31" t="str">
        <f aca="false">+WORLDCUP!BD69</f>
        <v>Ghana</v>
      </c>
      <c r="J178" s="31" t="str">
        <f aca="false">+WORLDCUP!BD68</f>
        <v>Uzbekistán</v>
      </c>
      <c r="N178" s="31" t="s">
        <v>1696</v>
      </c>
      <c r="O178" s="31" t="n">
        <v>177</v>
      </c>
      <c r="P178" s="31" t="s">
        <v>112</v>
      </c>
      <c r="Q178" s="31" t="s">
        <v>107</v>
      </c>
      <c r="R178" s="31" t="s">
        <v>121</v>
      </c>
      <c r="S178" s="31" t="s">
        <v>94</v>
      </c>
      <c r="T178" s="31" t="s">
        <v>80</v>
      </c>
      <c r="U178" s="31" t="s">
        <v>103</v>
      </c>
      <c r="V178" s="31" t="s">
        <v>130</v>
      </c>
      <c r="W178" s="31" t="s">
        <v>125</v>
      </c>
    </row>
    <row r="179" customFormat="false" ht="15" hidden="false" customHeight="false" outlineLevel="0" collapsed="false">
      <c r="A179" s="31" t="s">
        <v>1697</v>
      </c>
      <c r="B179" s="31" t="n">
        <f aca="false">+IF(A179=WORLDCUP!$BI$112,1,0)</f>
        <v>0</v>
      </c>
      <c r="C179" s="31" t="str">
        <f aca="false">+WORLDCUP!BD65</f>
        <v>España</v>
      </c>
      <c r="D179" s="31" t="str">
        <f aca="false">+WORLDCUP!BD64</f>
        <v>Bélgica</v>
      </c>
      <c r="E179" s="31" t="str">
        <f aca="false">+WORLDCUP!BD66</f>
        <v>Irak</v>
      </c>
      <c r="F179" s="31" t="str">
        <f aca="false">+WORLDCUP!BD61</f>
        <v>Turquía</v>
      </c>
      <c r="G179" s="31" t="str">
        <f aca="false">+WORLDCUP!BD58</f>
        <v>República Checa</v>
      </c>
      <c r="H179" s="31" t="str">
        <f aca="false">+WORLDCUP!BD63</f>
        <v>Japón</v>
      </c>
      <c r="I179" s="31" t="str">
        <f aca="false">+WORLDCUP!BD69</f>
        <v>Ghana</v>
      </c>
      <c r="J179" s="31" t="str">
        <f aca="false">+WORLDCUP!BD68</f>
        <v>Uzbekistán</v>
      </c>
      <c r="N179" s="31" t="s">
        <v>1697</v>
      </c>
      <c r="O179" s="31" t="n">
        <v>178</v>
      </c>
      <c r="P179" s="31" t="s">
        <v>112</v>
      </c>
      <c r="Q179" s="31" t="s">
        <v>107</v>
      </c>
      <c r="R179" s="31" t="s">
        <v>116</v>
      </c>
      <c r="S179" s="31" t="s">
        <v>94</v>
      </c>
      <c r="T179" s="31" t="s">
        <v>80</v>
      </c>
      <c r="U179" s="31" t="s">
        <v>103</v>
      </c>
      <c r="V179" s="31" t="s">
        <v>130</v>
      </c>
      <c r="W179" s="31" t="s">
        <v>125</v>
      </c>
    </row>
    <row r="180" customFormat="false" ht="15" hidden="false" customHeight="false" outlineLevel="0" collapsed="false">
      <c r="A180" s="31" t="s">
        <v>1698</v>
      </c>
      <c r="B180" s="31" t="n">
        <f aca="false">+IF(A180=WORLDCUP!$BI$112,1,0)</f>
        <v>0</v>
      </c>
      <c r="C180" s="31" t="str">
        <f aca="false">+WORLDCUP!BD65</f>
        <v>España</v>
      </c>
      <c r="D180" s="31" t="str">
        <f aca="false">+WORLDCUP!BD64</f>
        <v>Bélgica</v>
      </c>
      <c r="E180" s="31" t="str">
        <f aca="false">+WORLDCUP!BD67</f>
        <v>Austria</v>
      </c>
      <c r="F180" s="31" t="str">
        <f aca="false">+WORLDCUP!BD61</f>
        <v>Turquía</v>
      </c>
      <c r="G180" s="31" t="str">
        <f aca="false">+WORLDCUP!BD58</f>
        <v>República Checa</v>
      </c>
      <c r="H180" s="31" t="str">
        <f aca="false">+WORLDCUP!BD63</f>
        <v>Japón</v>
      </c>
      <c r="I180" s="31" t="str">
        <f aca="false">+WORLDCUP!BD69</f>
        <v>Ghana</v>
      </c>
      <c r="J180" s="31" t="str">
        <f aca="false">+WORLDCUP!BD66</f>
        <v>Irak</v>
      </c>
      <c r="N180" s="31" t="s">
        <v>1698</v>
      </c>
      <c r="O180" s="31" t="n">
        <v>179</v>
      </c>
      <c r="P180" s="31" t="s">
        <v>112</v>
      </c>
      <c r="Q180" s="31" t="s">
        <v>107</v>
      </c>
      <c r="R180" s="31" t="s">
        <v>121</v>
      </c>
      <c r="S180" s="31" t="s">
        <v>94</v>
      </c>
      <c r="T180" s="31" t="s">
        <v>80</v>
      </c>
      <c r="U180" s="31" t="s">
        <v>103</v>
      </c>
      <c r="V180" s="31" t="s">
        <v>130</v>
      </c>
      <c r="W180" s="31" t="s">
        <v>116</v>
      </c>
    </row>
    <row r="181" customFormat="false" ht="15" hidden="false" customHeight="false" outlineLevel="0" collapsed="false">
      <c r="A181" s="31" t="s">
        <v>1699</v>
      </c>
      <c r="B181" s="31" t="n">
        <f aca="false">+IF(A181=WORLDCUP!$BI$112,1,0)</f>
        <v>0</v>
      </c>
      <c r="C181" s="31" t="str">
        <f aca="false">+WORLDCUP!BD65</f>
        <v>España</v>
      </c>
      <c r="D181" s="31" t="str">
        <f aca="false">+WORLDCUP!BD64</f>
        <v>Bélgica</v>
      </c>
      <c r="E181" s="31" t="str">
        <f aca="false">+WORLDCUP!BD67</f>
        <v>Austria</v>
      </c>
      <c r="F181" s="31" t="str">
        <f aca="false">+WORLDCUP!BD61</f>
        <v>Turquía</v>
      </c>
      <c r="G181" s="31" t="str">
        <f aca="false">+WORLDCUP!BD58</f>
        <v>República Checa</v>
      </c>
      <c r="H181" s="31" t="str">
        <f aca="false">+WORLDCUP!BD63</f>
        <v>Japón</v>
      </c>
      <c r="I181" s="31" t="str">
        <f aca="false">+WORLDCUP!BD66</f>
        <v>Irak</v>
      </c>
      <c r="J181" s="31" t="str">
        <f aca="false">+WORLDCUP!BD68</f>
        <v>Uzbekistán</v>
      </c>
      <c r="N181" s="31" t="s">
        <v>1699</v>
      </c>
      <c r="O181" s="31" t="n">
        <v>180</v>
      </c>
      <c r="P181" s="31" t="s">
        <v>112</v>
      </c>
      <c r="Q181" s="31" t="s">
        <v>107</v>
      </c>
      <c r="R181" s="31" t="s">
        <v>121</v>
      </c>
      <c r="S181" s="31" t="s">
        <v>94</v>
      </c>
      <c r="T181" s="31" t="s">
        <v>80</v>
      </c>
      <c r="U181" s="31" t="s">
        <v>103</v>
      </c>
      <c r="V181" s="31" t="s">
        <v>116</v>
      </c>
      <c r="W181" s="31" t="s">
        <v>125</v>
      </c>
    </row>
    <row r="182" customFormat="false" ht="15" hidden="false" customHeight="false" outlineLevel="0" collapsed="false">
      <c r="A182" s="31" t="s">
        <v>1700</v>
      </c>
      <c r="B182" s="31" t="n">
        <f aca="false">+IF(A182=WORLDCUP!$BI$112,1,0)</f>
        <v>0</v>
      </c>
      <c r="C182" s="31" t="str">
        <f aca="false">+WORLDCUP!BD62</f>
        <v>Ecuador</v>
      </c>
      <c r="D182" s="31" t="str">
        <f aca="false">+WORLDCUP!BD67</f>
        <v>Austria</v>
      </c>
      <c r="E182" s="31" t="str">
        <f aca="false">+WORLDCUP!BD66</f>
        <v>Irak</v>
      </c>
      <c r="F182" s="31" t="str">
        <f aca="false">+WORLDCUP!BD61</f>
        <v>Turquía</v>
      </c>
      <c r="G182" s="31" t="str">
        <f aca="false">+WORLDCUP!BD58</f>
        <v>República Checa</v>
      </c>
      <c r="H182" s="31" t="str">
        <f aca="false">+WORLDCUP!BD65</f>
        <v>España</v>
      </c>
      <c r="I182" s="31" t="str">
        <f aca="false">+WORLDCUP!BD69</f>
        <v>Ghana</v>
      </c>
      <c r="J182" s="31" t="str">
        <f aca="false">+WORLDCUP!BD68</f>
        <v>Uzbekistán</v>
      </c>
      <c r="N182" s="31" t="s">
        <v>1700</v>
      </c>
      <c r="O182" s="31" t="n">
        <v>181</v>
      </c>
      <c r="P182" s="31" t="s">
        <v>98</v>
      </c>
      <c r="Q182" s="31" t="s">
        <v>121</v>
      </c>
      <c r="R182" s="31" t="s">
        <v>116</v>
      </c>
      <c r="S182" s="31" t="s">
        <v>94</v>
      </c>
      <c r="T182" s="31" t="s">
        <v>80</v>
      </c>
      <c r="U182" s="31" t="s">
        <v>112</v>
      </c>
      <c r="V182" s="31" t="s">
        <v>130</v>
      </c>
      <c r="W182" s="31" t="s">
        <v>125</v>
      </c>
    </row>
    <row r="183" customFormat="false" ht="15" hidden="false" customHeight="false" outlineLevel="0" collapsed="false">
      <c r="A183" s="31" t="s">
        <v>1701</v>
      </c>
      <c r="B183" s="31" t="n">
        <f aca="false">+IF(A183=WORLDCUP!$BI$112,1,0)</f>
        <v>0</v>
      </c>
      <c r="C183" s="31" t="str">
        <f aca="false">+WORLDCUP!BD62</f>
        <v>Ecuador</v>
      </c>
      <c r="D183" s="31" t="str">
        <f aca="false">+WORLDCUP!BD67</f>
        <v>Austria</v>
      </c>
      <c r="E183" s="31" t="str">
        <f aca="false">+WORLDCUP!BD66</f>
        <v>Irak</v>
      </c>
      <c r="F183" s="31" t="str">
        <f aca="false">+WORLDCUP!BD61</f>
        <v>Turquía</v>
      </c>
      <c r="G183" s="31" t="str">
        <f aca="false">+WORLDCUP!BD58</f>
        <v>República Checa</v>
      </c>
      <c r="H183" s="31" t="str">
        <f aca="false">+WORLDCUP!BD64</f>
        <v>Bélgica</v>
      </c>
      <c r="I183" s="31" t="str">
        <f aca="false">+WORLDCUP!BD69</f>
        <v>Ghana</v>
      </c>
      <c r="J183" s="31" t="str">
        <f aca="false">+WORLDCUP!BD68</f>
        <v>Uzbekistán</v>
      </c>
      <c r="N183" s="31" t="s">
        <v>1701</v>
      </c>
      <c r="O183" s="31" t="n">
        <v>182</v>
      </c>
      <c r="P183" s="31" t="s">
        <v>98</v>
      </c>
      <c r="Q183" s="31" t="s">
        <v>121</v>
      </c>
      <c r="R183" s="31" t="s">
        <v>116</v>
      </c>
      <c r="S183" s="31" t="s">
        <v>94</v>
      </c>
      <c r="T183" s="31" t="s">
        <v>80</v>
      </c>
      <c r="U183" s="31" t="s">
        <v>107</v>
      </c>
      <c r="V183" s="31" t="s">
        <v>130</v>
      </c>
      <c r="W183" s="31" t="s">
        <v>125</v>
      </c>
    </row>
    <row r="184" customFormat="false" ht="15" hidden="false" customHeight="false" outlineLevel="0" collapsed="false">
      <c r="A184" s="31" t="s">
        <v>1702</v>
      </c>
      <c r="B184" s="31" t="n">
        <f aca="false">+IF(A184=WORLDCUP!$BI$112,1,0)</f>
        <v>0</v>
      </c>
      <c r="C184" s="31" t="str">
        <f aca="false">+WORLDCUP!BD62</f>
        <v>Ecuador</v>
      </c>
      <c r="D184" s="31" t="str">
        <f aca="false">+WORLDCUP!BD64</f>
        <v>Bélgica</v>
      </c>
      <c r="E184" s="31" t="str">
        <f aca="false">+WORLDCUP!BD67</f>
        <v>Austria</v>
      </c>
      <c r="F184" s="31" t="str">
        <f aca="false">+WORLDCUP!BD61</f>
        <v>Turquía</v>
      </c>
      <c r="G184" s="31" t="str">
        <f aca="false">+WORLDCUP!BD58</f>
        <v>República Checa</v>
      </c>
      <c r="H184" s="31" t="str">
        <f aca="false">+WORLDCUP!BD65</f>
        <v>España</v>
      </c>
      <c r="I184" s="31" t="str">
        <f aca="false">+WORLDCUP!BD69</f>
        <v>Ghana</v>
      </c>
      <c r="J184" s="31" t="str">
        <f aca="false">+WORLDCUP!BD68</f>
        <v>Uzbekistán</v>
      </c>
      <c r="N184" s="31" t="s">
        <v>1702</v>
      </c>
      <c r="O184" s="31" t="n">
        <v>183</v>
      </c>
      <c r="P184" s="31" t="s">
        <v>98</v>
      </c>
      <c r="Q184" s="31" t="s">
        <v>107</v>
      </c>
      <c r="R184" s="31" t="s">
        <v>121</v>
      </c>
      <c r="S184" s="31" t="s">
        <v>94</v>
      </c>
      <c r="T184" s="31" t="s">
        <v>80</v>
      </c>
      <c r="U184" s="31" t="s">
        <v>112</v>
      </c>
      <c r="V184" s="31" t="s">
        <v>130</v>
      </c>
      <c r="W184" s="31" t="s">
        <v>125</v>
      </c>
    </row>
    <row r="185" customFormat="false" ht="15" hidden="false" customHeight="false" outlineLevel="0" collapsed="false">
      <c r="A185" s="31" t="s">
        <v>1703</v>
      </c>
      <c r="B185" s="31" t="n">
        <f aca="false">+IF(A185=WORLDCUP!$BI$112,1,0)</f>
        <v>0</v>
      </c>
      <c r="C185" s="31" t="str">
        <f aca="false">+WORLDCUP!BD62</f>
        <v>Ecuador</v>
      </c>
      <c r="D185" s="31" t="str">
        <f aca="false">+WORLDCUP!BD64</f>
        <v>Bélgica</v>
      </c>
      <c r="E185" s="31" t="str">
        <f aca="false">+WORLDCUP!BD66</f>
        <v>Irak</v>
      </c>
      <c r="F185" s="31" t="str">
        <f aca="false">+WORLDCUP!BD61</f>
        <v>Turquía</v>
      </c>
      <c r="G185" s="31" t="str">
        <f aca="false">+WORLDCUP!BD58</f>
        <v>República Checa</v>
      </c>
      <c r="H185" s="31" t="str">
        <f aca="false">+WORLDCUP!BD65</f>
        <v>España</v>
      </c>
      <c r="I185" s="31" t="str">
        <f aca="false">+WORLDCUP!BD69</f>
        <v>Ghana</v>
      </c>
      <c r="J185" s="31" t="str">
        <f aca="false">+WORLDCUP!BD68</f>
        <v>Uzbekistán</v>
      </c>
      <c r="N185" s="31" t="s">
        <v>1703</v>
      </c>
      <c r="O185" s="31" t="n">
        <v>184</v>
      </c>
      <c r="P185" s="31" t="s">
        <v>98</v>
      </c>
      <c r="Q185" s="31" t="s">
        <v>107</v>
      </c>
      <c r="R185" s="31" t="s">
        <v>116</v>
      </c>
      <c r="S185" s="31" t="s">
        <v>94</v>
      </c>
      <c r="T185" s="31" t="s">
        <v>80</v>
      </c>
      <c r="U185" s="31" t="s">
        <v>112</v>
      </c>
      <c r="V185" s="31" t="s">
        <v>130</v>
      </c>
      <c r="W185" s="31" t="s">
        <v>125</v>
      </c>
    </row>
    <row r="186" customFormat="false" ht="15" hidden="false" customHeight="false" outlineLevel="0" collapsed="false">
      <c r="A186" s="31" t="s">
        <v>1704</v>
      </c>
      <c r="B186" s="31" t="n">
        <f aca="false">+IF(A186=WORLDCUP!$BI$112,1,0)</f>
        <v>0</v>
      </c>
      <c r="C186" s="31" t="str">
        <f aca="false">+WORLDCUP!BD62</f>
        <v>Ecuador</v>
      </c>
      <c r="D186" s="31" t="str">
        <f aca="false">+WORLDCUP!BD64</f>
        <v>Bélgica</v>
      </c>
      <c r="E186" s="31" t="str">
        <f aca="false">+WORLDCUP!BD67</f>
        <v>Austria</v>
      </c>
      <c r="F186" s="31" t="str">
        <f aca="false">+WORLDCUP!BD61</f>
        <v>Turquía</v>
      </c>
      <c r="G186" s="31" t="str">
        <f aca="false">+WORLDCUP!BD58</f>
        <v>República Checa</v>
      </c>
      <c r="H186" s="31" t="str">
        <f aca="false">+WORLDCUP!BD65</f>
        <v>España</v>
      </c>
      <c r="I186" s="31" t="str">
        <f aca="false">+WORLDCUP!BD69</f>
        <v>Ghana</v>
      </c>
      <c r="J186" s="31" t="str">
        <f aca="false">+WORLDCUP!BD66</f>
        <v>Irak</v>
      </c>
      <c r="N186" s="31" t="s">
        <v>1704</v>
      </c>
      <c r="O186" s="31" t="n">
        <v>185</v>
      </c>
      <c r="P186" s="31" t="s">
        <v>98</v>
      </c>
      <c r="Q186" s="31" t="s">
        <v>107</v>
      </c>
      <c r="R186" s="31" t="s">
        <v>121</v>
      </c>
      <c r="S186" s="31" t="s">
        <v>94</v>
      </c>
      <c r="T186" s="31" t="s">
        <v>80</v>
      </c>
      <c r="U186" s="31" t="s">
        <v>112</v>
      </c>
      <c r="V186" s="31" t="s">
        <v>130</v>
      </c>
      <c r="W186" s="31" t="s">
        <v>116</v>
      </c>
    </row>
    <row r="187" customFormat="false" ht="15" hidden="false" customHeight="false" outlineLevel="0" collapsed="false">
      <c r="A187" s="31" t="s">
        <v>1705</v>
      </c>
      <c r="B187" s="31" t="n">
        <f aca="false">+IF(A187=WORLDCUP!$BI$112,1,0)</f>
        <v>0</v>
      </c>
      <c r="C187" s="31" t="str">
        <f aca="false">+WORLDCUP!BD62</f>
        <v>Ecuador</v>
      </c>
      <c r="D187" s="31" t="str">
        <f aca="false">+WORLDCUP!BD64</f>
        <v>Bélgica</v>
      </c>
      <c r="E187" s="31" t="str">
        <f aca="false">+WORLDCUP!BD67</f>
        <v>Austria</v>
      </c>
      <c r="F187" s="31" t="str">
        <f aca="false">+WORLDCUP!BD61</f>
        <v>Turquía</v>
      </c>
      <c r="G187" s="31" t="str">
        <f aca="false">+WORLDCUP!BD58</f>
        <v>República Checa</v>
      </c>
      <c r="H187" s="31" t="str">
        <f aca="false">+WORLDCUP!BD65</f>
        <v>España</v>
      </c>
      <c r="I187" s="31" t="str">
        <f aca="false">+WORLDCUP!BD66</f>
        <v>Irak</v>
      </c>
      <c r="J187" s="31" t="str">
        <f aca="false">+WORLDCUP!BD68</f>
        <v>Uzbekistán</v>
      </c>
      <c r="N187" s="31" t="s">
        <v>1705</v>
      </c>
      <c r="O187" s="31" t="n">
        <v>186</v>
      </c>
      <c r="P187" s="31" t="s">
        <v>98</v>
      </c>
      <c r="Q187" s="31" t="s">
        <v>107</v>
      </c>
      <c r="R187" s="31" t="s">
        <v>121</v>
      </c>
      <c r="S187" s="31" t="s">
        <v>94</v>
      </c>
      <c r="T187" s="31" t="s">
        <v>80</v>
      </c>
      <c r="U187" s="31" t="s">
        <v>112</v>
      </c>
      <c r="V187" s="31" t="s">
        <v>116</v>
      </c>
      <c r="W187" s="31" t="s">
        <v>125</v>
      </c>
    </row>
    <row r="188" customFormat="false" ht="15" hidden="false" customHeight="false" outlineLevel="0" collapsed="false">
      <c r="A188" s="31" t="s">
        <v>1706</v>
      </c>
      <c r="B188" s="31" t="n">
        <f aca="false">+IF(A188=WORLDCUP!$BI$112,1,0)</f>
        <v>0</v>
      </c>
      <c r="C188" s="31" t="str">
        <f aca="false">+WORLDCUP!BD62</f>
        <v>Ecuador</v>
      </c>
      <c r="D188" s="31" t="str">
        <f aca="false">+WORLDCUP!BD67</f>
        <v>Austria</v>
      </c>
      <c r="E188" s="31" t="str">
        <f aca="false">+WORLDCUP!BD66</f>
        <v>Irak</v>
      </c>
      <c r="F188" s="31" t="str">
        <f aca="false">+WORLDCUP!BD61</f>
        <v>Turquía</v>
      </c>
      <c r="G188" s="31" t="str">
        <f aca="false">+WORLDCUP!BD58</f>
        <v>República Checa</v>
      </c>
      <c r="H188" s="31" t="str">
        <f aca="false">+WORLDCUP!BD63</f>
        <v>Japón</v>
      </c>
      <c r="I188" s="31" t="str">
        <f aca="false">+WORLDCUP!BD69</f>
        <v>Ghana</v>
      </c>
      <c r="J188" s="31" t="str">
        <f aca="false">+WORLDCUP!BD68</f>
        <v>Uzbekistán</v>
      </c>
      <c r="N188" s="31" t="s">
        <v>1706</v>
      </c>
      <c r="O188" s="31" t="n">
        <v>187</v>
      </c>
      <c r="P188" s="31" t="s">
        <v>98</v>
      </c>
      <c r="Q188" s="31" t="s">
        <v>121</v>
      </c>
      <c r="R188" s="31" t="s">
        <v>116</v>
      </c>
      <c r="S188" s="31" t="s">
        <v>94</v>
      </c>
      <c r="T188" s="31" t="s">
        <v>80</v>
      </c>
      <c r="U188" s="31" t="s">
        <v>103</v>
      </c>
      <c r="V188" s="31" t="s">
        <v>130</v>
      </c>
      <c r="W188" s="31" t="s">
        <v>125</v>
      </c>
    </row>
    <row r="189" customFormat="false" ht="15" hidden="false" customHeight="false" outlineLevel="0" collapsed="false">
      <c r="A189" s="31" t="s">
        <v>1707</v>
      </c>
      <c r="B189" s="31" t="n">
        <f aca="false">+IF(A189=WORLDCUP!$BI$112,1,0)</f>
        <v>0</v>
      </c>
      <c r="C189" s="31" t="str">
        <f aca="false">+WORLDCUP!BD65</f>
        <v>España</v>
      </c>
      <c r="D189" s="31" t="str">
        <f aca="false">+WORLDCUP!BD67</f>
        <v>Austria</v>
      </c>
      <c r="E189" s="31" t="str">
        <f aca="false">+WORLDCUP!BD62</f>
        <v>Ecuador</v>
      </c>
      <c r="F189" s="31" t="str">
        <f aca="false">+WORLDCUP!BD61</f>
        <v>Turquía</v>
      </c>
      <c r="G189" s="31" t="str">
        <f aca="false">+WORLDCUP!BD58</f>
        <v>República Checa</v>
      </c>
      <c r="H189" s="31" t="str">
        <f aca="false">+WORLDCUP!BD63</f>
        <v>Japón</v>
      </c>
      <c r="I189" s="31" t="str">
        <f aca="false">+WORLDCUP!BD69</f>
        <v>Ghana</v>
      </c>
      <c r="J189" s="31" t="str">
        <f aca="false">+WORLDCUP!BD68</f>
        <v>Uzbekistán</v>
      </c>
      <c r="N189" s="31" t="s">
        <v>1707</v>
      </c>
      <c r="O189" s="31" t="n">
        <v>188</v>
      </c>
      <c r="P189" s="31" t="s">
        <v>112</v>
      </c>
      <c r="Q189" s="31" t="s">
        <v>121</v>
      </c>
      <c r="R189" s="31" t="s">
        <v>98</v>
      </c>
      <c r="S189" s="31" t="s">
        <v>94</v>
      </c>
      <c r="T189" s="31" t="s">
        <v>80</v>
      </c>
      <c r="U189" s="31" t="s">
        <v>103</v>
      </c>
      <c r="V189" s="31" t="s">
        <v>130</v>
      </c>
      <c r="W189" s="31" t="s">
        <v>125</v>
      </c>
    </row>
    <row r="190" customFormat="false" ht="15" hidden="false" customHeight="false" outlineLevel="0" collapsed="false">
      <c r="A190" s="31" t="s">
        <v>1708</v>
      </c>
      <c r="B190" s="31" t="n">
        <f aca="false">+IF(A190=WORLDCUP!$BI$112,1,0)</f>
        <v>0</v>
      </c>
      <c r="C190" s="31" t="str">
        <f aca="false">+WORLDCUP!BD65</f>
        <v>España</v>
      </c>
      <c r="D190" s="31" t="str">
        <f aca="false">+WORLDCUP!BD62</f>
        <v>Ecuador</v>
      </c>
      <c r="E190" s="31" t="str">
        <f aca="false">+WORLDCUP!BD66</f>
        <v>Irak</v>
      </c>
      <c r="F190" s="31" t="str">
        <f aca="false">+WORLDCUP!BD61</f>
        <v>Turquía</v>
      </c>
      <c r="G190" s="31" t="str">
        <f aca="false">+WORLDCUP!BD58</f>
        <v>República Checa</v>
      </c>
      <c r="H190" s="31" t="str">
        <f aca="false">+WORLDCUP!BD63</f>
        <v>Japón</v>
      </c>
      <c r="I190" s="31" t="str">
        <f aca="false">+WORLDCUP!BD69</f>
        <v>Ghana</v>
      </c>
      <c r="J190" s="31" t="str">
        <f aca="false">+WORLDCUP!BD68</f>
        <v>Uzbekistán</v>
      </c>
      <c r="N190" s="31" t="s">
        <v>1708</v>
      </c>
      <c r="O190" s="31" t="n">
        <v>189</v>
      </c>
      <c r="P190" s="31" t="s">
        <v>112</v>
      </c>
      <c r="Q190" s="31" t="s">
        <v>98</v>
      </c>
      <c r="R190" s="31" t="s">
        <v>116</v>
      </c>
      <c r="S190" s="31" t="s">
        <v>94</v>
      </c>
      <c r="T190" s="31" t="s">
        <v>80</v>
      </c>
      <c r="U190" s="31" t="s">
        <v>103</v>
      </c>
      <c r="V190" s="31" t="s">
        <v>130</v>
      </c>
      <c r="W190" s="31" t="s">
        <v>125</v>
      </c>
    </row>
    <row r="191" customFormat="false" ht="15" hidden="false" customHeight="false" outlineLevel="0" collapsed="false">
      <c r="A191" s="31" t="s">
        <v>1709</v>
      </c>
      <c r="B191" s="31" t="n">
        <f aca="false">+IF(A191=WORLDCUP!$BI$112,1,0)</f>
        <v>0</v>
      </c>
      <c r="C191" s="31" t="str">
        <f aca="false">+WORLDCUP!BD65</f>
        <v>España</v>
      </c>
      <c r="D191" s="31" t="str">
        <f aca="false">+WORLDCUP!BD67</f>
        <v>Austria</v>
      </c>
      <c r="E191" s="31" t="str">
        <f aca="false">+WORLDCUP!BD62</f>
        <v>Ecuador</v>
      </c>
      <c r="F191" s="31" t="str">
        <f aca="false">+WORLDCUP!BD61</f>
        <v>Turquía</v>
      </c>
      <c r="G191" s="31" t="str">
        <f aca="false">+WORLDCUP!BD58</f>
        <v>República Checa</v>
      </c>
      <c r="H191" s="31" t="str">
        <f aca="false">+WORLDCUP!BD63</f>
        <v>Japón</v>
      </c>
      <c r="I191" s="31" t="str">
        <f aca="false">+WORLDCUP!BD69</f>
        <v>Ghana</v>
      </c>
      <c r="J191" s="31" t="str">
        <f aca="false">+WORLDCUP!BD66</f>
        <v>Irak</v>
      </c>
      <c r="N191" s="31" t="s">
        <v>1709</v>
      </c>
      <c r="O191" s="31" t="n">
        <v>190</v>
      </c>
      <c r="P191" s="31" t="s">
        <v>112</v>
      </c>
      <c r="Q191" s="31" t="s">
        <v>121</v>
      </c>
      <c r="R191" s="31" t="s">
        <v>98</v>
      </c>
      <c r="S191" s="31" t="s">
        <v>94</v>
      </c>
      <c r="T191" s="31" t="s">
        <v>80</v>
      </c>
      <c r="U191" s="31" t="s">
        <v>103</v>
      </c>
      <c r="V191" s="31" t="s">
        <v>130</v>
      </c>
      <c r="W191" s="31" t="s">
        <v>116</v>
      </c>
    </row>
    <row r="192" customFormat="false" ht="15" hidden="false" customHeight="false" outlineLevel="0" collapsed="false">
      <c r="A192" s="31" t="s">
        <v>1710</v>
      </c>
      <c r="B192" s="31" t="n">
        <f aca="false">+IF(A192=WORLDCUP!$BI$112,1,0)</f>
        <v>0</v>
      </c>
      <c r="C192" s="31" t="str">
        <f aca="false">+WORLDCUP!BD65</f>
        <v>España</v>
      </c>
      <c r="D192" s="31" t="str">
        <f aca="false">+WORLDCUP!BD67</f>
        <v>Austria</v>
      </c>
      <c r="E192" s="31" t="str">
        <f aca="false">+WORLDCUP!BD62</f>
        <v>Ecuador</v>
      </c>
      <c r="F192" s="31" t="str">
        <f aca="false">+WORLDCUP!BD61</f>
        <v>Turquía</v>
      </c>
      <c r="G192" s="31" t="str">
        <f aca="false">+WORLDCUP!BD58</f>
        <v>República Checa</v>
      </c>
      <c r="H192" s="31" t="str">
        <f aca="false">+WORLDCUP!BD63</f>
        <v>Japón</v>
      </c>
      <c r="I192" s="31" t="str">
        <f aca="false">+WORLDCUP!BD66</f>
        <v>Irak</v>
      </c>
      <c r="J192" s="31" t="str">
        <f aca="false">+WORLDCUP!BD68</f>
        <v>Uzbekistán</v>
      </c>
      <c r="N192" s="31" t="s">
        <v>1710</v>
      </c>
      <c r="O192" s="31" t="n">
        <v>191</v>
      </c>
      <c r="P192" s="31" t="s">
        <v>112</v>
      </c>
      <c r="Q192" s="31" t="s">
        <v>121</v>
      </c>
      <c r="R192" s="31" t="s">
        <v>98</v>
      </c>
      <c r="S192" s="31" t="s">
        <v>94</v>
      </c>
      <c r="T192" s="31" t="s">
        <v>80</v>
      </c>
      <c r="U192" s="31" t="s">
        <v>103</v>
      </c>
      <c r="V192" s="31" t="s">
        <v>116</v>
      </c>
      <c r="W192" s="31" t="s">
        <v>125</v>
      </c>
    </row>
    <row r="193" customFormat="false" ht="15" hidden="false" customHeight="false" outlineLevel="0" collapsed="false">
      <c r="A193" s="31" t="s">
        <v>1711</v>
      </c>
      <c r="B193" s="31" t="n">
        <f aca="false">+IF(A193=WORLDCUP!$BI$112,1,0)</f>
        <v>0</v>
      </c>
      <c r="C193" s="31" t="str">
        <f aca="false">+WORLDCUP!BD62</f>
        <v>Ecuador</v>
      </c>
      <c r="D193" s="31" t="str">
        <f aca="false">+WORLDCUP!BD64</f>
        <v>Bélgica</v>
      </c>
      <c r="E193" s="31" t="str">
        <f aca="false">+WORLDCUP!BD67</f>
        <v>Austria</v>
      </c>
      <c r="F193" s="31" t="str">
        <f aca="false">+WORLDCUP!BD61</f>
        <v>Turquía</v>
      </c>
      <c r="G193" s="31" t="str">
        <f aca="false">+WORLDCUP!BD58</f>
        <v>República Checa</v>
      </c>
      <c r="H193" s="31" t="str">
        <f aca="false">+WORLDCUP!BD63</f>
        <v>Japón</v>
      </c>
      <c r="I193" s="31" t="str">
        <f aca="false">+WORLDCUP!BD69</f>
        <v>Ghana</v>
      </c>
      <c r="J193" s="31" t="str">
        <f aca="false">+WORLDCUP!BD68</f>
        <v>Uzbekistán</v>
      </c>
      <c r="N193" s="31" t="s">
        <v>1711</v>
      </c>
      <c r="O193" s="31" t="n">
        <v>192</v>
      </c>
      <c r="P193" s="31" t="s">
        <v>98</v>
      </c>
      <c r="Q193" s="31" t="s">
        <v>107</v>
      </c>
      <c r="R193" s="31" t="s">
        <v>121</v>
      </c>
      <c r="S193" s="31" t="s">
        <v>94</v>
      </c>
      <c r="T193" s="31" t="s">
        <v>80</v>
      </c>
      <c r="U193" s="31" t="s">
        <v>103</v>
      </c>
      <c r="V193" s="31" t="s">
        <v>130</v>
      </c>
      <c r="W193" s="31" t="s">
        <v>125</v>
      </c>
    </row>
    <row r="194" customFormat="false" ht="15" hidden="false" customHeight="false" outlineLevel="0" collapsed="false">
      <c r="A194" s="31" t="s">
        <v>1712</v>
      </c>
      <c r="B194" s="31" t="n">
        <f aca="false">+IF(A194=WORLDCUP!$BI$112,1,0)</f>
        <v>0</v>
      </c>
      <c r="C194" s="31" t="str">
        <f aca="false">+WORLDCUP!BD62</f>
        <v>Ecuador</v>
      </c>
      <c r="D194" s="31" t="str">
        <f aca="false">+WORLDCUP!BD64</f>
        <v>Bélgica</v>
      </c>
      <c r="E194" s="31" t="str">
        <f aca="false">+WORLDCUP!BD66</f>
        <v>Irak</v>
      </c>
      <c r="F194" s="31" t="str">
        <f aca="false">+WORLDCUP!BD61</f>
        <v>Turquía</v>
      </c>
      <c r="G194" s="31" t="str">
        <f aca="false">+WORLDCUP!BD58</f>
        <v>República Checa</v>
      </c>
      <c r="H194" s="31" t="str">
        <f aca="false">+WORLDCUP!BD63</f>
        <v>Japón</v>
      </c>
      <c r="I194" s="31" t="str">
        <f aca="false">+WORLDCUP!BD69</f>
        <v>Ghana</v>
      </c>
      <c r="J194" s="31" t="str">
        <f aca="false">+WORLDCUP!BD68</f>
        <v>Uzbekistán</v>
      </c>
      <c r="N194" s="31" t="s">
        <v>1712</v>
      </c>
      <c r="O194" s="31" t="n">
        <v>193</v>
      </c>
      <c r="P194" s="31" t="s">
        <v>98</v>
      </c>
      <c r="Q194" s="31" t="s">
        <v>107</v>
      </c>
      <c r="R194" s="31" t="s">
        <v>116</v>
      </c>
      <c r="S194" s="31" t="s">
        <v>94</v>
      </c>
      <c r="T194" s="31" t="s">
        <v>80</v>
      </c>
      <c r="U194" s="31" t="s">
        <v>103</v>
      </c>
      <c r="V194" s="31" t="s">
        <v>130</v>
      </c>
      <c r="W194" s="31" t="s">
        <v>125</v>
      </c>
    </row>
    <row r="195" customFormat="false" ht="15" hidden="false" customHeight="false" outlineLevel="0" collapsed="false">
      <c r="A195" s="31" t="s">
        <v>1713</v>
      </c>
      <c r="B195" s="31" t="n">
        <f aca="false">+IF(A195=WORLDCUP!$BI$112,1,0)</f>
        <v>0</v>
      </c>
      <c r="C195" s="31" t="str">
        <f aca="false">+WORLDCUP!BD62</f>
        <v>Ecuador</v>
      </c>
      <c r="D195" s="31" t="str">
        <f aca="false">+WORLDCUP!BD64</f>
        <v>Bélgica</v>
      </c>
      <c r="E195" s="31" t="str">
        <f aca="false">+WORLDCUP!BD67</f>
        <v>Austria</v>
      </c>
      <c r="F195" s="31" t="str">
        <f aca="false">+WORLDCUP!BD61</f>
        <v>Turquía</v>
      </c>
      <c r="G195" s="31" t="str">
        <f aca="false">+WORLDCUP!BD58</f>
        <v>República Checa</v>
      </c>
      <c r="H195" s="31" t="str">
        <f aca="false">+WORLDCUP!BD63</f>
        <v>Japón</v>
      </c>
      <c r="I195" s="31" t="str">
        <f aca="false">+WORLDCUP!BD69</f>
        <v>Ghana</v>
      </c>
      <c r="J195" s="31" t="str">
        <f aca="false">+WORLDCUP!BD66</f>
        <v>Irak</v>
      </c>
      <c r="N195" s="31" t="s">
        <v>1713</v>
      </c>
      <c r="O195" s="31" t="n">
        <v>194</v>
      </c>
      <c r="P195" s="31" t="s">
        <v>98</v>
      </c>
      <c r="Q195" s="31" t="s">
        <v>107</v>
      </c>
      <c r="R195" s="31" t="s">
        <v>121</v>
      </c>
      <c r="S195" s="31" t="s">
        <v>94</v>
      </c>
      <c r="T195" s="31" t="s">
        <v>80</v>
      </c>
      <c r="U195" s="31" t="s">
        <v>103</v>
      </c>
      <c r="V195" s="31" t="s">
        <v>130</v>
      </c>
      <c r="W195" s="31" t="s">
        <v>116</v>
      </c>
    </row>
    <row r="196" customFormat="false" ht="15" hidden="false" customHeight="false" outlineLevel="0" collapsed="false">
      <c r="A196" s="31" t="s">
        <v>1714</v>
      </c>
      <c r="B196" s="31" t="n">
        <f aca="false">+IF(A196=WORLDCUP!$BI$112,1,0)</f>
        <v>0</v>
      </c>
      <c r="C196" s="31" t="str">
        <f aca="false">+WORLDCUP!BD62</f>
        <v>Ecuador</v>
      </c>
      <c r="D196" s="31" t="str">
        <f aca="false">+WORLDCUP!BD64</f>
        <v>Bélgica</v>
      </c>
      <c r="E196" s="31" t="str">
        <f aca="false">+WORLDCUP!BD67</f>
        <v>Austria</v>
      </c>
      <c r="F196" s="31" t="str">
        <f aca="false">+WORLDCUP!BD61</f>
        <v>Turquía</v>
      </c>
      <c r="G196" s="31" t="str">
        <f aca="false">+WORLDCUP!BD58</f>
        <v>República Checa</v>
      </c>
      <c r="H196" s="31" t="str">
        <f aca="false">+WORLDCUP!BD63</f>
        <v>Japón</v>
      </c>
      <c r="I196" s="31" t="str">
        <f aca="false">+WORLDCUP!BD66</f>
        <v>Irak</v>
      </c>
      <c r="J196" s="31" t="str">
        <f aca="false">+WORLDCUP!BD68</f>
        <v>Uzbekistán</v>
      </c>
      <c r="N196" s="31" t="s">
        <v>1714</v>
      </c>
      <c r="O196" s="31" t="n">
        <v>195</v>
      </c>
      <c r="P196" s="31" t="s">
        <v>98</v>
      </c>
      <c r="Q196" s="31" t="s">
        <v>107</v>
      </c>
      <c r="R196" s="31" t="s">
        <v>121</v>
      </c>
      <c r="S196" s="31" t="s">
        <v>94</v>
      </c>
      <c r="T196" s="31" t="s">
        <v>80</v>
      </c>
      <c r="U196" s="31" t="s">
        <v>103</v>
      </c>
      <c r="V196" s="31" t="s">
        <v>116</v>
      </c>
      <c r="W196" s="31" t="s">
        <v>125</v>
      </c>
    </row>
    <row r="197" customFormat="false" ht="15" hidden="false" customHeight="false" outlineLevel="0" collapsed="false">
      <c r="A197" s="31" t="s">
        <v>1715</v>
      </c>
      <c r="B197" s="31" t="n">
        <f aca="false">+IF(A197=WORLDCUP!$BI$112,1,0)</f>
        <v>0</v>
      </c>
      <c r="C197" s="31" t="str">
        <f aca="false">+WORLDCUP!BD65</f>
        <v>España</v>
      </c>
      <c r="D197" s="31" t="str">
        <f aca="false">+WORLDCUP!BD64</f>
        <v>Bélgica</v>
      </c>
      <c r="E197" s="31" t="str">
        <f aca="false">+WORLDCUP!BD62</f>
        <v>Ecuador</v>
      </c>
      <c r="F197" s="31" t="str">
        <f aca="false">+WORLDCUP!BD61</f>
        <v>Turquía</v>
      </c>
      <c r="G197" s="31" t="str">
        <f aca="false">+WORLDCUP!BD58</f>
        <v>República Checa</v>
      </c>
      <c r="H197" s="31" t="str">
        <f aca="false">+WORLDCUP!BD63</f>
        <v>Japón</v>
      </c>
      <c r="I197" s="31" t="str">
        <f aca="false">+WORLDCUP!BD69</f>
        <v>Ghana</v>
      </c>
      <c r="J197" s="31" t="str">
        <f aca="false">+WORLDCUP!BD68</f>
        <v>Uzbekistán</v>
      </c>
      <c r="N197" s="31" t="s">
        <v>1715</v>
      </c>
      <c r="O197" s="31" t="n">
        <v>196</v>
      </c>
      <c r="P197" s="31" t="s">
        <v>112</v>
      </c>
      <c r="Q197" s="31" t="s">
        <v>107</v>
      </c>
      <c r="R197" s="31" t="s">
        <v>98</v>
      </c>
      <c r="S197" s="31" t="s">
        <v>94</v>
      </c>
      <c r="T197" s="31" t="s">
        <v>80</v>
      </c>
      <c r="U197" s="31" t="s">
        <v>103</v>
      </c>
      <c r="V197" s="31" t="s">
        <v>130</v>
      </c>
      <c r="W197" s="31" t="s">
        <v>125</v>
      </c>
    </row>
    <row r="198" customFormat="false" ht="15" hidden="false" customHeight="false" outlineLevel="0" collapsed="false">
      <c r="A198" s="31" t="s">
        <v>1716</v>
      </c>
      <c r="B198" s="31" t="n">
        <f aca="false">+IF(A198=WORLDCUP!$BI$112,1,0)</f>
        <v>0</v>
      </c>
      <c r="C198" s="31" t="str">
        <f aca="false">+WORLDCUP!BD65</f>
        <v>España</v>
      </c>
      <c r="D198" s="31" t="str">
        <f aca="false">+WORLDCUP!BD64</f>
        <v>Bélgica</v>
      </c>
      <c r="E198" s="31" t="str">
        <f aca="false">+WORLDCUP!BD67</f>
        <v>Austria</v>
      </c>
      <c r="F198" s="31" t="str">
        <f aca="false">+WORLDCUP!BD61</f>
        <v>Turquía</v>
      </c>
      <c r="G198" s="31" t="str">
        <f aca="false">+WORLDCUP!BD58</f>
        <v>República Checa</v>
      </c>
      <c r="H198" s="31" t="str">
        <f aca="false">+WORLDCUP!BD63</f>
        <v>Japón</v>
      </c>
      <c r="I198" s="31" t="str">
        <f aca="false">+WORLDCUP!BD69</f>
        <v>Ghana</v>
      </c>
      <c r="J198" s="31" t="str">
        <f aca="false">+WORLDCUP!BD62</f>
        <v>Ecuador</v>
      </c>
      <c r="N198" s="31" t="s">
        <v>1716</v>
      </c>
      <c r="O198" s="31" t="n">
        <v>197</v>
      </c>
      <c r="P198" s="31" t="s">
        <v>112</v>
      </c>
      <c r="Q198" s="31" t="s">
        <v>107</v>
      </c>
      <c r="R198" s="31" t="s">
        <v>121</v>
      </c>
      <c r="S198" s="31" t="s">
        <v>94</v>
      </c>
      <c r="T198" s="31" t="s">
        <v>80</v>
      </c>
      <c r="U198" s="31" t="s">
        <v>103</v>
      </c>
      <c r="V198" s="31" t="s">
        <v>130</v>
      </c>
      <c r="W198" s="31" t="s">
        <v>98</v>
      </c>
    </row>
    <row r="199" customFormat="false" ht="15" hidden="false" customHeight="false" outlineLevel="0" collapsed="false">
      <c r="A199" s="31" t="s">
        <v>1717</v>
      </c>
      <c r="B199" s="31" t="n">
        <f aca="false">+IF(A199=WORLDCUP!$BI$112,1,0)</f>
        <v>0</v>
      </c>
      <c r="C199" s="31" t="str">
        <f aca="false">+WORLDCUP!BD65</f>
        <v>España</v>
      </c>
      <c r="D199" s="31" t="str">
        <f aca="false">+WORLDCUP!BD64</f>
        <v>Bélgica</v>
      </c>
      <c r="E199" s="31" t="str">
        <f aca="false">+WORLDCUP!BD67</f>
        <v>Austria</v>
      </c>
      <c r="F199" s="31" t="str">
        <f aca="false">+WORLDCUP!BD61</f>
        <v>Turquía</v>
      </c>
      <c r="G199" s="31" t="str">
        <f aca="false">+WORLDCUP!BD58</f>
        <v>República Checa</v>
      </c>
      <c r="H199" s="31" t="str">
        <f aca="false">+WORLDCUP!BD63</f>
        <v>Japón</v>
      </c>
      <c r="I199" s="31" t="str">
        <f aca="false">+WORLDCUP!BD62</f>
        <v>Ecuador</v>
      </c>
      <c r="J199" s="31" t="str">
        <f aca="false">+WORLDCUP!BD68</f>
        <v>Uzbekistán</v>
      </c>
      <c r="N199" s="31" t="s">
        <v>1717</v>
      </c>
      <c r="O199" s="31" t="n">
        <v>198</v>
      </c>
      <c r="P199" s="31" t="s">
        <v>112</v>
      </c>
      <c r="Q199" s="31" t="s">
        <v>107</v>
      </c>
      <c r="R199" s="31" t="s">
        <v>121</v>
      </c>
      <c r="S199" s="31" t="s">
        <v>94</v>
      </c>
      <c r="T199" s="31" t="s">
        <v>80</v>
      </c>
      <c r="U199" s="31" t="s">
        <v>103</v>
      </c>
      <c r="V199" s="31" t="s">
        <v>98</v>
      </c>
      <c r="W199" s="31" t="s">
        <v>125</v>
      </c>
    </row>
    <row r="200" customFormat="false" ht="15" hidden="false" customHeight="false" outlineLevel="0" collapsed="false">
      <c r="A200" s="31" t="s">
        <v>1718</v>
      </c>
      <c r="B200" s="31" t="n">
        <f aca="false">+IF(A200=WORLDCUP!$BI$112,1,0)</f>
        <v>0</v>
      </c>
      <c r="C200" s="31" t="str">
        <f aca="false">+WORLDCUP!BD65</f>
        <v>España</v>
      </c>
      <c r="D200" s="31" t="str">
        <f aca="false">+WORLDCUP!BD64</f>
        <v>Bélgica</v>
      </c>
      <c r="E200" s="31" t="str">
        <f aca="false">+WORLDCUP!BD62</f>
        <v>Ecuador</v>
      </c>
      <c r="F200" s="31" t="str">
        <f aca="false">+WORLDCUP!BD61</f>
        <v>Turquía</v>
      </c>
      <c r="G200" s="31" t="str">
        <f aca="false">+WORLDCUP!BD58</f>
        <v>República Checa</v>
      </c>
      <c r="H200" s="31" t="str">
        <f aca="false">+WORLDCUP!BD63</f>
        <v>Japón</v>
      </c>
      <c r="I200" s="31" t="str">
        <f aca="false">+WORLDCUP!BD69</f>
        <v>Ghana</v>
      </c>
      <c r="J200" s="31" t="str">
        <f aca="false">+WORLDCUP!BD66</f>
        <v>Irak</v>
      </c>
      <c r="N200" s="31" t="s">
        <v>1718</v>
      </c>
      <c r="O200" s="31" t="n">
        <v>199</v>
      </c>
      <c r="P200" s="31" t="s">
        <v>112</v>
      </c>
      <c r="Q200" s="31" t="s">
        <v>107</v>
      </c>
      <c r="R200" s="31" t="s">
        <v>98</v>
      </c>
      <c r="S200" s="31" t="s">
        <v>94</v>
      </c>
      <c r="T200" s="31" t="s">
        <v>80</v>
      </c>
      <c r="U200" s="31" t="s">
        <v>103</v>
      </c>
      <c r="V200" s="31" t="s">
        <v>130</v>
      </c>
      <c r="W200" s="31" t="s">
        <v>116</v>
      </c>
    </row>
    <row r="201" customFormat="false" ht="15" hidden="false" customHeight="false" outlineLevel="0" collapsed="false">
      <c r="A201" s="31" t="s">
        <v>1719</v>
      </c>
      <c r="B201" s="31" t="n">
        <f aca="false">+IF(A201=WORLDCUP!$BI$112,1,0)</f>
        <v>0</v>
      </c>
      <c r="C201" s="31" t="str">
        <f aca="false">+WORLDCUP!BD65</f>
        <v>España</v>
      </c>
      <c r="D201" s="31" t="str">
        <f aca="false">+WORLDCUP!BD64</f>
        <v>Bélgica</v>
      </c>
      <c r="E201" s="31" t="str">
        <f aca="false">+WORLDCUP!BD62</f>
        <v>Ecuador</v>
      </c>
      <c r="F201" s="31" t="str">
        <f aca="false">+WORLDCUP!BD61</f>
        <v>Turquía</v>
      </c>
      <c r="G201" s="31" t="str">
        <f aca="false">+WORLDCUP!BD58</f>
        <v>República Checa</v>
      </c>
      <c r="H201" s="31" t="str">
        <f aca="false">+WORLDCUP!BD63</f>
        <v>Japón</v>
      </c>
      <c r="I201" s="31" t="str">
        <f aca="false">+WORLDCUP!BD66</f>
        <v>Irak</v>
      </c>
      <c r="J201" s="31" t="str">
        <f aca="false">+WORLDCUP!BD68</f>
        <v>Uzbekistán</v>
      </c>
      <c r="N201" s="31" t="s">
        <v>1719</v>
      </c>
      <c r="O201" s="31" t="n">
        <v>200</v>
      </c>
      <c r="P201" s="31" t="s">
        <v>112</v>
      </c>
      <c r="Q201" s="31" t="s">
        <v>107</v>
      </c>
      <c r="R201" s="31" t="s">
        <v>98</v>
      </c>
      <c r="S201" s="31" t="s">
        <v>94</v>
      </c>
      <c r="T201" s="31" t="s">
        <v>80</v>
      </c>
      <c r="U201" s="31" t="s">
        <v>103</v>
      </c>
      <c r="V201" s="31" t="s">
        <v>116</v>
      </c>
      <c r="W201" s="31" t="s">
        <v>125</v>
      </c>
    </row>
    <row r="202" customFormat="false" ht="15" hidden="false" customHeight="false" outlineLevel="0" collapsed="false">
      <c r="A202" s="31" t="s">
        <v>1720</v>
      </c>
      <c r="B202" s="31" t="n">
        <f aca="false">+IF(A202=WORLDCUP!$BI$112,1,0)</f>
        <v>0</v>
      </c>
      <c r="C202" s="31" t="str">
        <f aca="false">+WORLDCUP!BD65</f>
        <v>España</v>
      </c>
      <c r="D202" s="31" t="str">
        <f aca="false">+WORLDCUP!BD64</f>
        <v>Bélgica</v>
      </c>
      <c r="E202" s="31" t="str">
        <f aca="false">+WORLDCUP!BD67</f>
        <v>Austria</v>
      </c>
      <c r="F202" s="31" t="str">
        <f aca="false">+WORLDCUP!BD61</f>
        <v>Turquía</v>
      </c>
      <c r="G202" s="31" t="str">
        <f aca="false">+WORLDCUP!BD58</f>
        <v>República Checa</v>
      </c>
      <c r="H202" s="31" t="str">
        <f aca="false">+WORLDCUP!BD63</f>
        <v>Japón</v>
      </c>
      <c r="I202" s="31" t="str">
        <f aca="false">+WORLDCUP!BD62</f>
        <v>Ecuador</v>
      </c>
      <c r="J202" s="31" t="str">
        <f aca="false">+WORLDCUP!BD66</f>
        <v>Irak</v>
      </c>
      <c r="N202" s="31" t="s">
        <v>1720</v>
      </c>
      <c r="O202" s="31" t="n">
        <v>201</v>
      </c>
      <c r="P202" s="31" t="s">
        <v>112</v>
      </c>
      <c r="Q202" s="31" t="s">
        <v>107</v>
      </c>
      <c r="R202" s="31" t="s">
        <v>121</v>
      </c>
      <c r="S202" s="31" t="s">
        <v>94</v>
      </c>
      <c r="T202" s="31" t="s">
        <v>80</v>
      </c>
      <c r="U202" s="31" t="s">
        <v>103</v>
      </c>
      <c r="V202" s="31" t="s">
        <v>98</v>
      </c>
      <c r="W202" s="31" t="s">
        <v>116</v>
      </c>
    </row>
    <row r="203" customFormat="false" ht="15" hidden="false" customHeight="false" outlineLevel="0" collapsed="false">
      <c r="A203" s="31" t="s">
        <v>1721</v>
      </c>
      <c r="B203" s="31" t="n">
        <f aca="false">+IF(A203=WORLDCUP!$BI$112,1,0)</f>
        <v>0</v>
      </c>
      <c r="C203" s="31" t="str">
        <f aca="false">+WORLDCUP!BD65</f>
        <v>España</v>
      </c>
      <c r="D203" s="31" t="str">
        <f aca="false">+WORLDCUP!BD67</f>
        <v>Austria</v>
      </c>
      <c r="E203" s="31" t="str">
        <f aca="false">+WORLDCUP!BD66</f>
        <v>Irak</v>
      </c>
      <c r="F203" s="31" t="str">
        <f aca="false">+WORLDCUP!BD60</f>
        <v>Marruecos</v>
      </c>
      <c r="G203" s="31" t="str">
        <f aca="false">+WORLDCUP!BD58</f>
        <v>República Checa</v>
      </c>
      <c r="H203" s="31" t="str">
        <f aca="false">+WORLDCUP!BD64</f>
        <v>Bélgica</v>
      </c>
      <c r="I203" s="31" t="str">
        <f aca="false">+WORLDCUP!BD69</f>
        <v>Ghana</v>
      </c>
      <c r="J203" s="31" t="str">
        <f aca="false">+WORLDCUP!BD68</f>
        <v>Uzbekistán</v>
      </c>
      <c r="N203" s="31" t="s">
        <v>1721</v>
      </c>
      <c r="O203" s="31" t="n">
        <v>202</v>
      </c>
      <c r="P203" s="31" t="s">
        <v>112</v>
      </c>
      <c r="Q203" s="31" t="s">
        <v>121</v>
      </c>
      <c r="R203" s="31" t="s">
        <v>116</v>
      </c>
      <c r="S203" s="31" t="s">
        <v>89</v>
      </c>
      <c r="T203" s="31" t="s">
        <v>80</v>
      </c>
      <c r="U203" s="31" t="s">
        <v>107</v>
      </c>
      <c r="V203" s="31" t="s">
        <v>130</v>
      </c>
      <c r="W203" s="31" t="s">
        <v>125</v>
      </c>
    </row>
    <row r="204" customFormat="false" ht="15" hidden="false" customHeight="false" outlineLevel="0" collapsed="false">
      <c r="A204" s="31" t="s">
        <v>1722</v>
      </c>
      <c r="B204" s="31" t="n">
        <f aca="false">+IF(A204=WORLDCUP!$BI$112,1,0)</f>
        <v>0</v>
      </c>
      <c r="C204" s="31" t="str">
        <f aca="false">+WORLDCUP!BD65</f>
        <v>España</v>
      </c>
      <c r="D204" s="31" t="str">
        <f aca="false">+WORLDCUP!BD67</f>
        <v>Austria</v>
      </c>
      <c r="E204" s="31" t="str">
        <f aca="false">+WORLDCUP!BD66</f>
        <v>Irak</v>
      </c>
      <c r="F204" s="31" t="str">
        <f aca="false">+WORLDCUP!BD60</f>
        <v>Marruecos</v>
      </c>
      <c r="G204" s="31" t="str">
        <f aca="false">+WORLDCUP!BD58</f>
        <v>República Checa</v>
      </c>
      <c r="H204" s="31" t="str">
        <f aca="false">+WORLDCUP!BD63</f>
        <v>Japón</v>
      </c>
      <c r="I204" s="31" t="str">
        <f aca="false">+WORLDCUP!BD69</f>
        <v>Ghana</v>
      </c>
      <c r="J204" s="31" t="str">
        <f aca="false">+WORLDCUP!BD68</f>
        <v>Uzbekistán</v>
      </c>
      <c r="N204" s="31" t="s">
        <v>1722</v>
      </c>
      <c r="O204" s="31" t="n">
        <v>203</v>
      </c>
      <c r="P204" s="31" t="s">
        <v>112</v>
      </c>
      <c r="Q204" s="31" t="s">
        <v>121</v>
      </c>
      <c r="R204" s="31" t="s">
        <v>116</v>
      </c>
      <c r="S204" s="31" t="s">
        <v>89</v>
      </c>
      <c r="T204" s="31" t="s">
        <v>80</v>
      </c>
      <c r="U204" s="31" t="s">
        <v>103</v>
      </c>
      <c r="V204" s="31" t="s">
        <v>130</v>
      </c>
      <c r="W204" s="31" t="s">
        <v>125</v>
      </c>
    </row>
    <row r="205" customFormat="false" ht="15" hidden="false" customHeight="false" outlineLevel="0" collapsed="false">
      <c r="A205" s="31" t="s">
        <v>1723</v>
      </c>
      <c r="B205" s="31" t="n">
        <f aca="false">+IF(A205=WORLDCUP!$BI$112,1,0)</f>
        <v>0</v>
      </c>
      <c r="C205" s="31" t="str">
        <f aca="false">+WORLDCUP!BD66</f>
        <v>Irak</v>
      </c>
      <c r="D205" s="31" t="str">
        <f aca="false">+WORLDCUP!BD64</f>
        <v>Bélgica</v>
      </c>
      <c r="E205" s="31" t="str">
        <f aca="false">+WORLDCUP!BD67</f>
        <v>Austria</v>
      </c>
      <c r="F205" s="31" t="str">
        <f aca="false">+WORLDCUP!BD60</f>
        <v>Marruecos</v>
      </c>
      <c r="G205" s="31" t="str">
        <f aca="false">+WORLDCUP!BD58</f>
        <v>República Checa</v>
      </c>
      <c r="H205" s="31" t="str">
        <f aca="false">+WORLDCUP!BD63</f>
        <v>Japón</v>
      </c>
      <c r="I205" s="31" t="str">
        <f aca="false">+WORLDCUP!BD69</f>
        <v>Ghana</v>
      </c>
      <c r="J205" s="31" t="str">
        <f aca="false">+WORLDCUP!BD68</f>
        <v>Uzbekistán</v>
      </c>
      <c r="N205" s="31" t="s">
        <v>1723</v>
      </c>
      <c r="O205" s="31" t="n">
        <v>204</v>
      </c>
      <c r="P205" s="31" t="s">
        <v>116</v>
      </c>
      <c r="Q205" s="31" t="s">
        <v>107</v>
      </c>
      <c r="R205" s="31" t="s">
        <v>121</v>
      </c>
      <c r="S205" s="31" t="s">
        <v>89</v>
      </c>
      <c r="T205" s="31" t="s">
        <v>80</v>
      </c>
      <c r="U205" s="31" t="s">
        <v>103</v>
      </c>
      <c r="V205" s="31" t="s">
        <v>130</v>
      </c>
      <c r="W205" s="31" t="s">
        <v>125</v>
      </c>
    </row>
    <row r="206" customFormat="false" ht="15" hidden="false" customHeight="false" outlineLevel="0" collapsed="false">
      <c r="A206" s="31" t="s">
        <v>1724</v>
      </c>
      <c r="B206" s="31" t="n">
        <f aca="false">+IF(A206=WORLDCUP!$BI$112,1,0)</f>
        <v>0</v>
      </c>
      <c r="C206" s="31" t="str">
        <f aca="false">+WORLDCUP!BD65</f>
        <v>España</v>
      </c>
      <c r="D206" s="31" t="str">
        <f aca="false">+WORLDCUP!BD64</f>
        <v>Bélgica</v>
      </c>
      <c r="E206" s="31" t="str">
        <f aca="false">+WORLDCUP!BD67</f>
        <v>Austria</v>
      </c>
      <c r="F206" s="31" t="str">
        <f aca="false">+WORLDCUP!BD60</f>
        <v>Marruecos</v>
      </c>
      <c r="G206" s="31" t="str">
        <f aca="false">+WORLDCUP!BD58</f>
        <v>República Checa</v>
      </c>
      <c r="H206" s="31" t="str">
        <f aca="false">+WORLDCUP!BD63</f>
        <v>Japón</v>
      </c>
      <c r="I206" s="31" t="str">
        <f aca="false">+WORLDCUP!BD69</f>
        <v>Ghana</v>
      </c>
      <c r="J206" s="31" t="str">
        <f aca="false">+WORLDCUP!BD68</f>
        <v>Uzbekistán</v>
      </c>
      <c r="N206" s="31" t="s">
        <v>1724</v>
      </c>
      <c r="O206" s="31" t="n">
        <v>205</v>
      </c>
      <c r="P206" s="31" t="s">
        <v>112</v>
      </c>
      <c r="Q206" s="31" t="s">
        <v>107</v>
      </c>
      <c r="R206" s="31" t="s">
        <v>121</v>
      </c>
      <c r="S206" s="31" t="s">
        <v>89</v>
      </c>
      <c r="T206" s="31" t="s">
        <v>80</v>
      </c>
      <c r="U206" s="31" t="s">
        <v>103</v>
      </c>
      <c r="V206" s="31" t="s">
        <v>130</v>
      </c>
      <c r="W206" s="31" t="s">
        <v>125</v>
      </c>
    </row>
    <row r="207" customFormat="false" ht="15" hidden="false" customHeight="false" outlineLevel="0" collapsed="false">
      <c r="A207" s="31" t="s">
        <v>1725</v>
      </c>
      <c r="B207" s="31" t="n">
        <f aca="false">+IF(A207=WORLDCUP!$BI$112,1,0)</f>
        <v>0</v>
      </c>
      <c r="C207" s="31" t="str">
        <f aca="false">+WORLDCUP!BD65</f>
        <v>España</v>
      </c>
      <c r="D207" s="31" t="str">
        <f aca="false">+WORLDCUP!BD64</f>
        <v>Bélgica</v>
      </c>
      <c r="E207" s="31" t="str">
        <f aca="false">+WORLDCUP!BD66</f>
        <v>Irak</v>
      </c>
      <c r="F207" s="31" t="str">
        <f aca="false">+WORLDCUP!BD60</f>
        <v>Marruecos</v>
      </c>
      <c r="G207" s="31" t="str">
        <f aca="false">+WORLDCUP!BD58</f>
        <v>República Checa</v>
      </c>
      <c r="H207" s="31" t="str">
        <f aca="false">+WORLDCUP!BD63</f>
        <v>Japón</v>
      </c>
      <c r="I207" s="31" t="str">
        <f aca="false">+WORLDCUP!BD69</f>
        <v>Ghana</v>
      </c>
      <c r="J207" s="31" t="str">
        <f aca="false">+WORLDCUP!BD68</f>
        <v>Uzbekistán</v>
      </c>
      <c r="N207" s="31" t="s">
        <v>1725</v>
      </c>
      <c r="O207" s="31" t="n">
        <v>206</v>
      </c>
      <c r="P207" s="31" t="s">
        <v>112</v>
      </c>
      <c r="Q207" s="31" t="s">
        <v>107</v>
      </c>
      <c r="R207" s="31" t="s">
        <v>116</v>
      </c>
      <c r="S207" s="31" t="s">
        <v>89</v>
      </c>
      <c r="T207" s="31" t="s">
        <v>80</v>
      </c>
      <c r="U207" s="31" t="s">
        <v>103</v>
      </c>
      <c r="V207" s="31" t="s">
        <v>130</v>
      </c>
      <c r="W207" s="31" t="s">
        <v>125</v>
      </c>
    </row>
    <row r="208" customFormat="false" ht="15" hidden="false" customHeight="false" outlineLevel="0" collapsed="false">
      <c r="A208" s="31" t="s">
        <v>1726</v>
      </c>
      <c r="B208" s="31" t="n">
        <f aca="false">+IF(A208=WORLDCUP!$BI$112,1,0)</f>
        <v>0</v>
      </c>
      <c r="C208" s="31" t="str">
        <f aca="false">+WORLDCUP!BD65</f>
        <v>España</v>
      </c>
      <c r="D208" s="31" t="str">
        <f aca="false">+WORLDCUP!BD64</f>
        <v>Bélgica</v>
      </c>
      <c r="E208" s="31" t="str">
        <f aca="false">+WORLDCUP!BD67</f>
        <v>Austria</v>
      </c>
      <c r="F208" s="31" t="str">
        <f aca="false">+WORLDCUP!BD60</f>
        <v>Marruecos</v>
      </c>
      <c r="G208" s="31" t="str">
        <f aca="false">+WORLDCUP!BD58</f>
        <v>República Checa</v>
      </c>
      <c r="H208" s="31" t="str">
        <f aca="false">+WORLDCUP!BD63</f>
        <v>Japón</v>
      </c>
      <c r="I208" s="31" t="str">
        <f aca="false">+WORLDCUP!BD69</f>
        <v>Ghana</v>
      </c>
      <c r="J208" s="31" t="str">
        <f aca="false">+WORLDCUP!BD66</f>
        <v>Irak</v>
      </c>
      <c r="N208" s="31" t="s">
        <v>1726</v>
      </c>
      <c r="O208" s="31" t="n">
        <v>207</v>
      </c>
      <c r="P208" s="31" t="s">
        <v>112</v>
      </c>
      <c r="Q208" s="31" t="s">
        <v>107</v>
      </c>
      <c r="R208" s="31" t="s">
        <v>121</v>
      </c>
      <c r="S208" s="31" t="s">
        <v>89</v>
      </c>
      <c r="T208" s="31" t="s">
        <v>80</v>
      </c>
      <c r="U208" s="31" t="s">
        <v>103</v>
      </c>
      <c r="V208" s="31" t="s">
        <v>130</v>
      </c>
      <c r="W208" s="31" t="s">
        <v>116</v>
      </c>
    </row>
    <row r="209" customFormat="false" ht="15" hidden="false" customHeight="false" outlineLevel="0" collapsed="false">
      <c r="A209" s="31" t="s">
        <v>1727</v>
      </c>
      <c r="B209" s="31" t="n">
        <f aca="false">+IF(A209=WORLDCUP!$BI$112,1,0)</f>
        <v>0</v>
      </c>
      <c r="C209" s="31" t="str">
        <f aca="false">+WORLDCUP!BD65</f>
        <v>España</v>
      </c>
      <c r="D209" s="31" t="str">
        <f aca="false">+WORLDCUP!BD64</f>
        <v>Bélgica</v>
      </c>
      <c r="E209" s="31" t="str">
        <f aca="false">+WORLDCUP!BD67</f>
        <v>Austria</v>
      </c>
      <c r="F209" s="31" t="str">
        <f aca="false">+WORLDCUP!BD60</f>
        <v>Marruecos</v>
      </c>
      <c r="G209" s="31" t="str">
        <f aca="false">+WORLDCUP!BD58</f>
        <v>República Checa</v>
      </c>
      <c r="H209" s="31" t="str">
        <f aca="false">+WORLDCUP!BD63</f>
        <v>Japón</v>
      </c>
      <c r="I209" s="31" t="str">
        <f aca="false">+WORLDCUP!BD66</f>
        <v>Irak</v>
      </c>
      <c r="J209" s="31" t="str">
        <f aca="false">+WORLDCUP!BD68</f>
        <v>Uzbekistán</v>
      </c>
      <c r="N209" s="31" t="s">
        <v>1727</v>
      </c>
      <c r="O209" s="31" t="n">
        <v>208</v>
      </c>
      <c r="P209" s="31" t="s">
        <v>112</v>
      </c>
      <c r="Q209" s="31" t="s">
        <v>107</v>
      </c>
      <c r="R209" s="31" t="s">
        <v>121</v>
      </c>
      <c r="S209" s="31" t="s">
        <v>89</v>
      </c>
      <c r="T209" s="31" t="s">
        <v>80</v>
      </c>
      <c r="U209" s="31" t="s">
        <v>103</v>
      </c>
      <c r="V209" s="31" t="s">
        <v>116</v>
      </c>
      <c r="W209" s="31" t="s">
        <v>125</v>
      </c>
    </row>
    <row r="210" customFormat="false" ht="15" hidden="false" customHeight="false" outlineLevel="0" collapsed="false">
      <c r="A210" s="31" t="s">
        <v>1728</v>
      </c>
      <c r="B210" s="31" t="n">
        <f aca="false">+IF(A210=WORLDCUP!$BI$112,1,0)</f>
        <v>0</v>
      </c>
      <c r="C210" s="31" t="str">
        <f aca="false">+WORLDCUP!BD62</f>
        <v>Ecuador</v>
      </c>
      <c r="D210" s="31" t="str">
        <f aca="false">+WORLDCUP!BD67</f>
        <v>Austria</v>
      </c>
      <c r="E210" s="31" t="str">
        <f aca="false">+WORLDCUP!BD66</f>
        <v>Irak</v>
      </c>
      <c r="F210" s="31" t="str">
        <f aca="false">+WORLDCUP!BD60</f>
        <v>Marruecos</v>
      </c>
      <c r="G210" s="31" t="str">
        <f aca="false">+WORLDCUP!BD58</f>
        <v>República Checa</v>
      </c>
      <c r="H210" s="31" t="str">
        <f aca="false">+WORLDCUP!BD65</f>
        <v>España</v>
      </c>
      <c r="I210" s="31" t="str">
        <f aca="false">+WORLDCUP!BD69</f>
        <v>Ghana</v>
      </c>
      <c r="J210" s="31" t="str">
        <f aca="false">+WORLDCUP!BD68</f>
        <v>Uzbekistán</v>
      </c>
      <c r="N210" s="31" t="s">
        <v>1728</v>
      </c>
      <c r="O210" s="31" t="n">
        <v>209</v>
      </c>
      <c r="P210" s="31" t="s">
        <v>98</v>
      </c>
      <c r="Q210" s="31" t="s">
        <v>121</v>
      </c>
      <c r="R210" s="31" t="s">
        <v>116</v>
      </c>
      <c r="S210" s="31" t="s">
        <v>89</v>
      </c>
      <c r="T210" s="31" t="s">
        <v>80</v>
      </c>
      <c r="U210" s="31" t="s">
        <v>112</v>
      </c>
      <c r="V210" s="31" t="s">
        <v>130</v>
      </c>
      <c r="W210" s="31" t="s">
        <v>125</v>
      </c>
    </row>
    <row r="211" customFormat="false" ht="15" hidden="false" customHeight="false" outlineLevel="0" collapsed="false">
      <c r="A211" s="31" t="s">
        <v>1729</v>
      </c>
      <c r="B211" s="31" t="n">
        <f aca="false">+IF(A211=WORLDCUP!$BI$112,1,0)</f>
        <v>0</v>
      </c>
      <c r="C211" s="31" t="str">
        <f aca="false">+WORLDCUP!BD62</f>
        <v>Ecuador</v>
      </c>
      <c r="D211" s="31" t="str">
        <f aca="false">+WORLDCUP!BD67</f>
        <v>Austria</v>
      </c>
      <c r="E211" s="31" t="str">
        <f aca="false">+WORLDCUP!BD66</f>
        <v>Irak</v>
      </c>
      <c r="F211" s="31" t="str">
        <f aca="false">+WORLDCUP!BD60</f>
        <v>Marruecos</v>
      </c>
      <c r="G211" s="31" t="str">
        <f aca="false">+WORLDCUP!BD58</f>
        <v>República Checa</v>
      </c>
      <c r="H211" s="31" t="str">
        <f aca="false">+WORLDCUP!BD64</f>
        <v>Bélgica</v>
      </c>
      <c r="I211" s="31" t="str">
        <f aca="false">+WORLDCUP!BD69</f>
        <v>Ghana</v>
      </c>
      <c r="J211" s="31" t="str">
        <f aca="false">+WORLDCUP!BD68</f>
        <v>Uzbekistán</v>
      </c>
      <c r="N211" s="31" t="s">
        <v>1729</v>
      </c>
      <c r="O211" s="31" t="n">
        <v>210</v>
      </c>
      <c r="P211" s="31" t="s">
        <v>98</v>
      </c>
      <c r="Q211" s="31" t="s">
        <v>121</v>
      </c>
      <c r="R211" s="31" t="s">
        <v>116</v>
      </c>
      <c r="S211" s="31" t="s">
        <v>89</v>
      </c>
      <c r="T211" s="31" t="s">
        <v>80</v>
      </c>
      <c r="U211" s="31" t="s">
        <v>107</v>
      </c>
      <c r="V211" s="31" t="s">
        <v>130</v>
      </c>
      <c r="W211" s="31" t="s">
        <v>125</v>
      </c>
    </row>
    <row r="212" customFormat="false" ht="15" hidden="false" customHeight="false" outlineLevel="0" collapsed="false">
      <c r="A212" s="31" t="s">
        <v>1730</v>
      </c>
      <c r="B212" s="31" t="n">
        <f aca="false">+IF(A212=WORLDCUP!$BI$112,1,0)</f>
        <v>0</v>
      </c>
      <c r="C212" s="31" t="str">
        <f aca="false">+WORLDCUP!BD62</f>
        <v>Ecuador</v>
      </c>
      <c r="D212" s="31" t="str">
        <f aca="false">+WORLDCUP!BD64</f>
        <v>Bélgica</v>
      </c>
      <c r="E212" s="31" t="str">
        <f aca="false">+WORLDCUP!BD67</f>
        <v>Austria</v>
      </c>
      <c r="F212" s="31" t="str">
        <f aca="false">+WORLDCUP!BD60</f>
        <v>Marruecos</v>
      </c>
      <c r="G212" s="31" t="str">
        <f aca="false">+WORLDCUP!BD58</f>
        <v>República Checa</v>
      </c>
      <c r="H212" s="31" t="str">
        <f aca="false">+WORLDCUP!BD65</f>
        <v>España</v>
      </c>
      <c r="I212" s="31" t="str">
        <f aca="false">+WORLDCUP!BD69</f>
        <v>Ghana</v>
      </c>
      <c r="J212" s="31" t="str">
        <f aca="false">+WORLDCUP!BD68</f>
        <v>Uzbekistán</v>
      </c>
      <c r="N212" s="31" t="s">
        <v>1730</v>
      </c>
      <c r="O212" s="31" t="n">
        <v>211</v>
      </c>
      <c r="P212" s="31" t="s">
        <v>98</v>
      </c>
      <c r="Q212" s="31" t="s">
        <v>107</v>
      </c>
      <c r="R212" s="31" t="s">
        <v>121</v>
      </c>
      <c r="S212" s="31" t="s">
        <v>89</v>
      </c>
      <c r="T212" s="31" t="s">
        <v>80</v>
      </c>
      <c r="U212" s="31" t="s">
        <v>112</v>
      </c>
      <c r="V212" s="31" t="s">
        <v>130</v>
      </c>
      <c r="W212" s="31" t="s">
        <v>125</v>
      </c>
    </row>
    <row r="213" customFormat="false" ht="15" hidden="false" customHeight="false" outlineLevel="0" collapsed="false">
      <c r="A213" s="31" t="s">
        <v>1731</v>
      </c>
      <c r="B213" s="31" t="n">
        <f aca="false">+IF(A213=WORLDCUP!$BI$112,1,0)</f>
        <v>0</v>
      </c>
      <c r="C213" s="31" t="str">
        <f aca="false">+WORLDCUP!BD62</f>
        <v>Ecuador</v>
      </c>
      <c r="D213" s="31" t="str">
        <f aca="false">+WORLDCUP!BD64</f>
        <v>Bélgica</v>
      </c>
      <c r="E213" s="31" t="str">
        <f aca="false">+WORLDCUP!BD66</f>
        <v>Irak</v>
      </c>
      <c r="F213" s="31" t="str">
        <f aca="false">+WORLDCUP!BD60</f>
        <v>Marruecos</v>
      </c>
      <c r="G213" s="31" t="str">
        <f aca="false">+WORLDCUP!BD58</f>
        <v>República Checa</v>
      </c>
      <c r="H213" s="31" t="str">
        <f aca="false">+WORLDCUP!BD65</f>
        <v>España</v>
      </c>
      <c r="I213" s="31" t="str">
        <f aca="false">+WORLDCUP!BD69</f>
        <v>Ghana</v>
      </c>
      <c r="J213" s="31" t="str">
        <f aca="false">+WORLDCUP!BD68</f>
        <v>Uzbekistán</v>
      </c>
      <c r="N213" s="31" t="s">
        <v>1731</v>
      </c>
      <c r="O213" s="31" t="n">
        <v>212</v>
      </c>
      <c r="P213" s="31" t="s">
        <v>98</v>
      </c>
      <c r="Q213" s="31" t="s">
        <v>107</v>
      </c>
      <c r="R213" s="31" t="s">
        <v>116</v>
      </c>
      <c r="S213" s="31" t="s">
        <v>89</v>
      </c>
      <c r="T213" s="31" t="s">
        <v>80</v>
      </c>
      <c r="U213" s="31" t="s">
        <v>112</v>
      </c>
      <c r="V213" s="31" t="s">
        <v>130</v>
      </c>
      <c r="W213" s="31" t="s">
        <v>125</v>
      </c>
    </row>
    <row r="214" customFormat="false" ht="15" hidden="false" customHeight="false" outlineLevel="0" collapsed="false">
      <c r="A214" s="31" t="s">
        <v>1732</v>
      </c>
      <c r="B214" s="31" t="n">
        <f aca="false">+IF(A214=WORLDCUP!$BI$112,1,0)</f>
        <v>0</v>
      </c>
      <c r="C214" s="31" t="str">
        <f aca="false">+WORLDCUP!BD62</f>
        <v>Ecuador</v>
      </c>
      <c r="D214" s="31" t="str">
        <f aca="false">+WORLDCUP!BD64</f>
        <v>Bélgica</v>
      </c>
      <c r="E214" s="31" t="str">
        <f aca="false">+WORLDCUP!BD67</f>
        <v>Austria</v>
      </c>
      <c r="F214" s="31" t="str">
        <f aca="false">+WORLDCUP!BD60</f>
        <v>Marruecos</v>
      </c>
      <c r="G214" s="31" t="str">
        <f aca="false">+WORLDCUP!BD58</f>
        <v>República Checa</v>
      </c>
      <c r="H214" s="31" t="str">
        <f aca="false">+WORLDCUP!BD65</f>
        <v>España</v>
      </c>
      <c r="I214" s="31" t="str">
        <f aca="false">+WORLDCUP!BD69</f>
        <v>Ghana</v>
      </c>
      <c r="J214" s="31" t="str">
        <f aca="false">+WORLDCUP!BD66</f>
        <v>Irak</v>
      </c>
      <c r="N214" s="31" t="s">
        <v>1732</v>
      </c>
      <c r="O214" s="31" t="n">
        <v>213</v>
      </c>
      <c r="P214" s="31" t="s">
        <v>98</v>
      </c>
      <c r="Q214" s="31" t="s">
        <v>107</v>
      </c>
      <c r="R214" s="31" t="s">
        <v>121</v>
      </c>
      <c r="S214" s="31" t="s">
        <v>89</v>
      </c>
      <c r="T214" s="31" t="s">
        <v>80</v>
      </c>
      <c r="U214" s="31" t="s">
        <v>112</v>
      </c>
      <c r="V214" s="31" t="s">
        <v>130</v>
      </c>
      <c r="W214" s="31" t="s">
        <v>116</v>
      </c>
    </row>
    <row r="215" customFormat="false" ht="15" hidden="false" customHeight="false" outlineLevel="0" collapsed="false">
      <c r="A215" s="31" t="s">
        <v>1733</v>
      </c>
      <c r="B215" s="31" t="n">
        <f aca="false">+IF(A215=WORLDCUP!$BI$112,1,0)</f>
        <v>0</v>
      </c>
      <c r="C215" s="31" t="str">
        <f aca="false">+WORLDCUP!BD62</f>
        <v>Ecuador</v>
      </c>
      <c r="D215" s="31" t="str">
        <f aca="false">+WORLDCUP!BD64</f>
        <v>Bélgica</v>
      </c>
      <c r="E215" s="31" t="str">
        <f aca="false">+WORLDCUP!BD67</f>
        <v>Austria</v>
      </c>
      <c r="F215" s="31" t="str">
        <f aca="false">+WORLDCUP!BD60</f>
        <v>Marruecos</v>
      </c>
      <c r="G215" s="31" t="str">
        <f aca="false">+WORLDCUP!BD58</f>
        <v>República Checa</v>
      </c>
      <c r="H215" s="31" t="str">
        <f aca="false">+WORLDCUP!BD65</f>
        <v>España</v>
      </c>
      <c r="I215" s="31" t="str">
        <f aca="false">+WORLDCUP!BD66</f>
        <v>Irak</v>
      </c>
      <c r="J215" s="31" t="str">
        <f aca="false">+WORLDCUP!BD68</f>
        <v>Uzbekistán</v>
      </c>
      <c r="N215" s="31" t="s">
        <v>1733</v>
      </c>
      <c r="O215" s="31" t="n">
        <v>214</v>
      </c>
      <c r="P215" s="31" t="s">
        <v>98</v>
      </c>
      <c r="Q215" s="31" t="s">
        <v>107</v>
      </c>
      <c r="R215" s="31" t="s">
        <v>121</v>
      </c>
      <c r="S215" s="31" t="s">
        <v>89</v>
      </c>
      <c r="T215" s="31" t="s">
        <v>80</v>
      </c>
      <c r="U215" s="31" t="s">
        <v>112</v>
      </c>
      <c r="V215" s="31" t="s">
        <v>116</v>
      </c>
      <c r="W215" s="31" t="s">
        <v>125</v>
      </c>
    </row>
    <row r="216" customFormat="false" ht="15" hidden="false" customHeight="false" outlineLevel="0" collapsed="false">
      <c r="A216" s="31" t="s">
        <v>1734</v>
      </c>
      <c r="B216" s="31" t="n">
        <f aca="false">+IF(A216=WORLDCUP!$BI$112,1,0)</f>
        <v>0</v>
      </c>
      <c r="C216" s="31" t="str">
        <f aca="false">+WORLDCUP!BD62</f>
        <v>Ecuador</v>
      </c>
      <c r="D216" s="31" t="str">
        <f aca="false">+WORLDCUP!BD67</f>
        <v>Austria</v>
      </c>
      <c r="E216" s="31" t="str">
        <f aca="false">+WORLDCUP!BD66</f>
        <v>Irak</v>
      </c>
      <c r="F216" s="31" t="str">
        <f aca="false">+WORLDCUP!BD60</f>
        <v>Marruecos</v>
      </c>
      <c r="G216" s="31" t="str">
        <f aca="false">+WORLDCUP!BD58</f>
        <v>República Checa</v>
      </c>
      <c r="H216" s="31" t="str">
        <f aca="false">+WORLDCUP!BD63</f>
        <v>Japón</v>
      </c>
      <c r="I216" s="31" t="str">
        <f aca="false">+WORLDCUP!BD69</f>
        <v>Ghana</v>
      </c>
      <c r="J216" s="31" t="str">
        <f aca="false">+WORLDCUP!BD68</f>
        <v>Uzbekistán</v>
      </c>
      <c r="N216" s="31" t="s">
        <v>1734</v>
      </c>
      <c r="O216" s="31" t="n">
        <v>215</v>
      </c>
      <c r="P216" s="31" t="s">
        <v>98</v>
      </c>
      <c r="Q216" s="31" t="s">
        <v>121</v>
      </c>
      <c r="R216" s="31" t="s">
        <v>116</v>
      </c>
      <c r="S216" s="31" t="s">
        <v>89</v>
      </c>
      <c r="T216" s="31" t="s">
        <v>80</v>
      </c>
      <c r="U216" s="31" t="s">
        <v>103</v>
      </c>
      <c r="V216" s="31" t="s">
        <v>130</v>
      </c>
      <c r="W216" s="31" t="s">
        <v>125</v>
      </c>
    </row>
    <row r="217" customFormat="false" ht="15" hidden="false" customHeight="false" outlineLevel="0" collapsed="false">
      <c r="A217" s="31" t="s">
        <v>1735</v>
      </c>
      <c r="B217" s="31" t="n">
        <f aca="false">+IF(A217=WORLDCUP!$BI$112,1,0)</f>
        <v>0</v>
      </c>
      <c r="C217" s="31" t="str">
        <f aca="false">+WORLDCUP!BD65</f>
        <v>España</v>
      </c>
      <c r="D217" s="31" t="str">
        <f aca="false">+WORLDCUP!BD67</f>
        <v>Austria</v>
      </c>
      <c r="E217" s="31" t="str">
        <f aca="false">+WORLDCUP!BD62</f>
        <v>Ecuador</v>
      </c>
      <c r="F217" s="31" t="str">
        <f aca="false">+WORLDCUP!BD60</f>
        <v>Marruecos</v>
      </c>
      <c r="G217" s="31" t="str">
        <f aca="false">+WORLDCUP!BD58</f>
        <v>República Checa</v>
      </c>
      <c r="H217" s="31" t="str">
        <f aca="false">+WORLDCUP!BD63</f>
        <v>Japón</v>
      </c>
      <c r="I217" s="31" t="str">
        <f aca="false">+WORLDCUP!BD69</f>
        <v>Ghana</v>
      </c>
      <c r="J217" s="31" t="str">
        <f aca="false">+WORLDCUP!BD68</f>
        <v>Uzbekistán</v>
      </c>
      <c r="N217" s="31" t="s">
        <v>1735</v>
      </c>
      <c r="O217" s="31" t="n">
        <v>216</v>
      </c>
      <c r="P217" s="31" t="s">
        <v>112</v>
      </c>
      <c r="Q217" s="31" t="s">
        <v>121</v>
      </c>
      <c r="R217" s="31" t="s">
        <v>98</v>
      </c>
      <c r="S217" s="31" t="s">
        <v>89</v>
      </c>
      <c r="T217" s="31" t="s">
        <v>80</v>
      </c>
      <c r="U217" s="31" t="s">
        <v>103</v>
      </c>
      <c r="V217" s="31" t="s">
        <v>130</v>
      </c>
      <c r="W217" s="31" t="s">
        <v>125</v>
      </c>
    </row>
    <row r="218" customFormat="false" ht="15" hidden="false" customHeight="false" outlineLevel="0" collapsed="false">
      <c r="A218" s="31" t="s">
        <v>1736</v>
      </c>
      <c r="B218" s="31" t="n">
        <f aca="false">+IF(A218=WORLDCUP!$BI$112,1,0)</f>
        <v>0</v>
      </c>
      <c r="C218" s="31" t="str">
        <f aca="false">+WORLDCUP!BD65</f>
        <v>España</v>
      </c>
      <c r="D218" s="31" t="str">
        <f aca="false">+WORLDCUP!BD62</f>
        <v>Ecuador</v>
      </c>
      <c r="E218" s="31" t="str">
        <f aca="false">+WORLDCUP!BD66</f>
        <v>Irak</v>
      </c>
      <c r="F218" s="31" t="str">
        <f aca="false">+WORLDCUP!BD60</f>
        <v>Marruecos</v>
      </c>
      <c r="G218" s="31" t="str">
        <f aca="false">+WORLDCUP!BD58</f>
        <v>República Checa</v>
      </c>
      <c r="H218" s="31" t="str">
        <f aca="false">+WORLDCUP!BD63</f>
        <v>Japón</v>
      </c>
      <c r="I218" s="31" t="str">
        <f aca="false">+WORLDCUP!BD69</f>
        <v>Ghana</v>
      </c>
      <c r="J218" s="31" t="str">
        <f aca="false">+WORLDCUP!BD68</f>
        <v>Uzbekistán</v>
      </c>
      <c r="N218" s="31" t="s">
        <v>1736</v>
      </c>
      <c r="O218" s="31" t="n">
        <v>217</v>
      </c>
      <c r="P218" s="31" t="s">
        <v>112</v>
      </c>
      <c r="Q218" s="31" t="s">
        <v>98</v>
      </c>
      <c r="R218" s="31" t="s">
        <v>116</v>
      </c>
      <c r="S218" s="31" t="s">
        <v>89</v>
      </c>
      <c r="T218" s="31" t="s">
        <v>80</v>
      </c>
      <c r="U218" s="31" t="s">
        <v>103</v>
      </c>
      <c r="V218" s="31" t="s">
        <v>130</v>
      </c>
      <c r="W218" s="31" t="s">
        <v>125</v>
      </c>
    </row>
    <row r="219" customFormat="false" ht="15" hidden="false" customHeight="false" outlineLevel="0" collapsed="false">
      <c r="A219" s="31" t="s">
        <v>1737</v>
      </c>
      <c r="B219" s="31" t="n">
        <f aca="false">+IF(A219=WORLDCUP!$BI$112,1,0)</f>
        <v>0</v>
      </c>
      <c r="C219" s="31" t="str">
        <f aca="false">+WORLDCUP!BD65</f>
        <v>España</v>
      </c>
      <c r="D219" s="31" t="str">
        <f aca="false">+WORLDCUP!BD67</f>
        <v>Austria</v>
      </c>
      <c r="E219" s="31" t="str">
        <f aca="false">+WORLDCUP!BD62</f>
        <v>Ecuador</v>
      </c>
      <c r="F219" s="31" t="str">
        <f aca="false">+WORLDCUP!BD60</f>
        <v>Marruecos</v>
      </c>
      <c r="G219" s="31" t="str">
        <f aca="false">+WORLDCUP!BD58</f>
        <v>República Checa</v>
      </c>
      <c r="H219" s="31" t="str">
        <f aca="false">+WORLDCUP!BD63</f>
        <v>Japón</v>
      </c>
      <c r="I219" s="31" t="str">
        <f aca="false">+WORLDCUP!BD69</f>
        <v>Ghana</v>
      </c>
      <c r="J219" s="31" t="str">
        <f aca="false">+WORLDCUP!BD66</f>
        <v>Irak</v>
      </c>
      <c r="N219" s="31" t="s">
        <v>1737</v>
      </c>
      <c r="O219" s="31" t="n">
        <v>218</v>
      </c>
      <c r="P219" s="31" t="s">
        <v>112</v>
      </c>
      <c r="Q219" s="31" t="s">
        <v>121</v>
      </c>
      <c r="R219" s="31" t="s">
        <v>98</v>
      </c>
      <c r="S219" s="31" t="s">
        <v>89</v>
      </c>
      <c r="T219" s="31" t="s">
        <v>80</v>
      </c>
      <c r="U219" s="31" t="s">
        <v>103</v>
      </c>
      <c r="V219" s="31" t="s">
        <v>130</v>
      </c>
      <c r="W219" s="31" t="s">
        <v>116</v>
      </c>
    </row>
    <row r="220" customFormat="false" ht="15" hidden="false" customHeight="false" outlineLevel="0" collapsed="false">
      <c r="A220" s="31" t="s">
        <v>1738</v>
      </c>
      <c r="B220" s="31" t="n">
        <f aca="false">+IF(A220=WORLDCUP!$BI$112,1,0)</f>
        <v>0</v>
      </c>
      <c r="C220" s="31" t="str">
        <f aca="false">+WORLDCUP!BD65</f>
        <v>España</v>
      </c>
      <c r="D220" s="31" t="str">
        <f aca="false">+WORLDCUP!BD67</f>
        <v>Austria</v>
      </c>
      <c r="E220" s="31" t="str">
        <f aca="false">+WORLDCUP!BD62</f>
        <v>Ecuador</v>
      </c>
      <c r="F220" s="31" t="str">
        <f aca="false">+WORLDCUP!BD60</f>
        <v>Marruecos</v>
      </c>
      <c r="G220" s="31" t="str">
        <f aca="false">+WORLDCUP!BD58</f>
        <v>República Checa</v>
      </c>
      <c r="H220" s="31" t="str">
        <f aca="false">+WORLDCUP!BD63</f>
        <v>Japón</v>
      </c>
      <c r="I220" s="31" t="str">
        <f aca="false">+WORLDCUP!BD66</f>
        <v>Irak</v>
      </c>
      <c r="J220" s="31" t="str">
        <f aca="false">+WORLDCUP!BD68</f>
        <v>Uzbekistán</v>
      </c>
      <c r="N220" s="31" t="s">
        <v>1738</v>
      </c>
      <c r="O220" s="31" t="n">
        <v>219</v>
      </c>
      <c r="P220" s="31" t="s">
        <v>112</v>
      </c>
      <c r="Q220" s="31" t="s">
        <v>121</v>
      </c>
      <c r="R220" s="31" t="s">
        <v>98</v>
      </c>
      <c r="S220" s="31" t="s">
        <v>89</v>
      </c>
      <c r="T220" s="31" t="s">
        <v>80</v>
      </c>
      <c r="U220" s="31" t="s">
        <v>103</v>
      </c>
      <c r="V220" s="31" t="s">
        <v>116</v>
      </c>
      <c r="W220" s="31" t="s">
        <v>125</v>
      </c>
    </row>
    <row r="221" customFormat="false" ht="15" hidden="false" customHeight="false" outlineLevel="0" collapsed="false">
      <c r="A221" s="31" t="s">
        <v>1739</v>
      </c>
      <c r="B221" s="31" t="n">
        <f aca="false">+IF(A221=WORLDCUP!$BI$112,1,0)</f>
        <v>0</v>
      </c>
      <c r="C221" s="31" t="str">
        <f aca="false">+WORLDCUP!BD62</f>
        <v>Ecuador</v>
      </c>
      <c r="D221" s="31" t="str">
        <f aca="false">+WORLDCUP!BD64</f>
        <v>Bélgica</v>
      </c>
      <c r="E221" s="31" t="str">
        <f aca="false">+WORLDCUP!BD67</f>
        <v>Austria</v>
      </c>
      <c r="F221" s="31" t="str">
        <f aca="false">+WORLDCUP!BD60</f>
        <v>Marruecos</v>
      </c>
      <c r="G221" s="31" t="str">
        <f aca="false">+WORLDCUP!BD58</f>
        <v>República Checa</v>
      </c>
      <c r="H221" s="31" t="str">
        <f aca="false">+WORLDCUP!BD63</f>
        <v>Japón</v>
      </c>
      <c r="I221" s="31" t="str">
        <f aca="false">+WORLDCUP!BD69</f>
        <v>Ghana</v>
      </c>
      <c r="J221" s="31" t="str">
        <f aca="false">+WORLDCUP!BD68</f>
        <v>Uzbekistán</v>
      </c>
      <c r="N221" s="31" t="s">
        <v>1739</v>
      </c>
      <c r="O221" s="31" t="n">
        <v>220</v>
      </c>
      <c r="P221" s="31" t="s">
        <v>98</v>
      </c>
      <c r="Q221" s="31" t="s">
        <v>107</v>
      </c>
      <c r="R221" s="31" t="s">
        <v>121</v>
      </c>
      <c r="S221" s="31" t="s">
        <v>89</v>
      </c>
      <c r="T221" s="31" t="s">
        <v>80</v>
      </c>
      <c r="U221" s="31" t="s">
        <v>103</v>
      </c>
      <c r="V221" s="31" t="s">
        <v>130</v>
      </c>
      <c r="W221" s="31" t="s">
        <v>125</v>
      </c>
    </row>
    <row r="222" customFormat="false" ht="15" hidden="false" customHeight="false" outlineLevel="0" collapsed="false">
      <c r="A222" s="31" t="s">
        <v>1740</v>
      </c>
      <c r="B222" s="31" t="n">
        <f aca="false">+IF(A222=WORLDCUP!$BI$112,1,0)</f>
        <v>0</v>
      </c>
      <c r="C222" s="31" t="str">
        <f aca="false">+WORLDCUP!BD62</f>
        <v>Ecuador</v>
      </c>
      <c r="D222" s="31" t="str">
        <f aca="false">+WORLDCUP!BD64</f>
        <v>Bélgica</v>
      </c>
      <c r="E222" s="31" t="str">
        <f aca="false">+WORLDCUP!BD66</f>
        <v>Irak</v>
      </c>
      <c r="F222" s="31" t="str">
        <f aca="false">+WORLDCUP!BD60</f>
        <v>Marruecos</v>
      </c>
      <c r="G222" s="31" t="str">
        <f aca="false">+WORLDCUP!BD58</f>
        <v>República Checa</v>
      </c>
      <c r="H222" s="31" t="str">
        <f aca="false">+WORLDCUP!BD63</f>
        <v>Japón</v>
      </c>
      <c r="I222" s="31" t="str">
        <f aca="false">+WORLDCUP!BD69</f>
        <v>Ghana</v>
      </c>
      <c r="J222" s="31" t="str">
        <f aca="false">+WORLDCUP!BD68</f>
        <v>Uzbekistán</v>
      </c>
      <c r="N222" s="31" t="s">
        <v>1740</v>
      </c>
      <c r="O222" s="31" t="n">
        <v>221</v>
      </c>
      <c r="P222" s="31" t="s">
        <v>98</v>
      </c>
      <c r="Q222" s="31" t="s">
        <v>107</v>
      </c>
      <c r="R222" s="31" t="s">
        <v>116</v>
      </c>
      <c r="S222" s="31" t="s">
        <v>89</v>
      </c>
      <c r="T222" s="31" t="s">
        <v>80</v>
      </c>
      <c r="U222" s="31" t="s">
        <v>103</v>
      </c>
      <c r="V222" s="31" t="s">
        <v>130</v>
      </c>
      <c r="W222" s="31" t="s">
        <v>125</v>
      </c>
    </row>
    <row r="223" customFormat="false" ht="15" hidden="false" customHeight="false" outlineLevel="0" collapsed="false">
      <c r="A223" s="31" t="s">
        <v>1741</v>
      </c>
      <c r="B223" s="31" t="n">
        <f aca="false">+IF(A223=WORLDCUP!$BI$112,1,0)</f>
        <v>0</v>
      </c>
      <c r="C223" s="31" t="str">
        <f aca="false">+WORLDCUP!BD62</f>
        <v>Ecuador</v>
      </c>
      <c r="D223" s="31" t="str">
        <f aca="false">+WORLDCUP!BD64</f>
        <v>Bélgica</v>
      </c>
      <c r="E223" s="31" t="str">
        <f aca="false">+WORLDCUP!BD67</f>
        <v>Austria</v>
      </c>
      <c r="F223" s="31" t="str">
        <f aca="false">+WORLDCUP!BD60</f>
        <v>Marruecos</v>
      </c>
      <c r="G223" s="31" t="str">
        <f aca="false">+WORLDCUP!BD58</f>
        <v>República Checa</v>
      </c>
      <c r="H223" s="31" t="str">
        <f aca="false">+WORLDCUP!BD63</f>
        <v>Japón</v>
      </c>
      <c r="I223" s="31" t="str">
        <f aca="false">+WORLDCUP!BD69</f>
        <v>Ghana</v>
      </c>
      <c r="J223" s="31" t="str">
        <f aca="false">+WORLDCUP!BD66</f>
        <v>Irak</v>
      </c>
      <c r="N223" s="31" t="s">
        <v>1741</v>
      </c>
      <c r="O223" s="31" t="n">
        <v>222</v>
      </c>
      <c r="P223" s="31" t="s">
        <v>98</v>
      </c>
      <c r="Q223" s="31" t="s">
        <v>107</v>
      </c>
      <c r="R223" s="31" t="s">
        <v>121</v>
      </c>
      <c r="S223" s="31" t="s">
        <v>89</v>
      </c>
      <c r="T223" s="31" t="s">
        <v>80</v>
      </c>
      <c r="U223" s="31" t="s">
        <v>103</v>
      </c>
      <c r="V223" s="31" t="s">
        <v>130</v>
      </c>
      <c r="W223" s="31" t="s">
        <v>116</v>
      </c>
    </row>
    <row r="224" customFormat="false" ht="15" hidden="false" customHeight="false" outlineLevel="0" collapsed="false">
      <c r="A224" s="31" t="s">
        <v>1742</v>
      </c>
      <c r="B224" s="31" t="n">
        <f aca="false">+IF(A224=WORLDCUP!$BI$112,1,0)</f>
        <v>0</v>
      </c>
      <c r="C224" s="31" t="str">
        <f aca="false">+WORLDCUP!BD62</f>
        <v>Ecuador</v>
      </c>
      <c r="D224" s="31" t="str">
        <f aca="false">+WORLDCUP!BD64</f>
        <v>Bélgica</v>
      </c>
      <c r="E224" s="31" t="str">
        <f aca="false">+WORLDCUP!BD67</f>
        <v>Austria</v>
      </c>
      <c r="F224" s="31" t="str">
        <f aca="false">+WORLDCUP!BD60</f>
        <v>Marruecos</v>
      </c>
      <c r="G224" s="31" t="str">
        <f aca="false">+WORLDCUP!BD58</f>
        <v>República Checa</v>
      </c>
      <c r="H224" s="31" t="str">
        <f aca="false">+WORLDCUP!BD63</f>
        <v>Japón</v>
      </c>
      <c r="I224" s="31" t="str">
        <f aca="false">+WORLDCUP!BD66</f>
        <v>Irak</v>
      </c>
      <c r="J224" s="31" t="str">
        <f aca="false">+WORLDCUP!BD68</f>
        <v>Uzbekistán</v>
      </c>
      <c r="N224" s="31" t="s">
        <v>1742</v>
      </c>
      <c r="O224" s="31" t="n">
        <v>223</v>
      </c>
      <c r="P224" s="31" t="s">
        <v>98</v>
      </c>
      <c r="Q224" s="31" t="s">
        <v>107</v>
      </c>
      <c r="R224" s="31" t="s">
        <v>121</v>
      </c>
      <c r="S224" s="31" t="s">
        <v>89</v>
      </c>
      <c r="T224" s="31" t="s">
        <v>80</v>
      </c>
      <c r="U224" s="31" t="s">
        <v>103</v>
      </c>
      <c r="V224" s="31" t="s">
        <v>116</v>
      </c>
      <c r="W224" s="31" t="s">
        <v>125</v>
      </c>
    </row>
    <row r="225" customFormat="false" ht="15" hidden="false" customHeight="false" outlineLevel="0" collapsed="false">
      <c r="A225" s="31" t="s">
        <v>1743</v>
      </c>
      <c r="B225" s="31" t="n">
        <f aca="false">+IF(A225=WORLDCUP!$BI$112,1,0)</f>
        <v>0</v>
      </c>
      <c r="C225" s="31" t="str">
        <f aca="false">+WORLDCUP!BD65</f>
        <v>España</v>
      </c>
      <c r="D225" s="31" t="str">
        <f aca="false">+WORLDCUP!BD64</f>
        <v>Bélgica</v>
      </c>
      <c r="E225" s="31" t="str">
        <f aca="false">+WORLDCUP!BD62</f>
        <v>Ecuador</v>
      </c>
      <c r="F225" s="31" t="str">
        <f aca="false">+WORLDCUP!BD60</f>
        <v>Marruecos</v>
      </c>
      <c r="G225" s="31" t="str">
        <f aca="false">+WORLDCUP!BD58</f>
        <v>República Checa</v>
      </c>
      <c r="H225" s="31" t="str">
        <f aca="false">+WORLDCUP!BD63</f>
        <v>Japón</v>
      </c>
      <c r="I225" s="31" t="str">
        <f aca="false">+WORLDCUP!BD69</f>
        <v>Ghana</v>
      </c>
      <c r="J225" s="31" t="str">
        <f aca="false">+WORLDCUP!BD68</f>
        <v>Uzbekistán</v>
      </c>
      <c r="N225" s="31" t="s">
        <v>1743</v>
      </c>
      <c r="O225" s="31" t="n">
        <v>224</v>
      </c>
      <c r="P225" s="31" t="s">
        <v>112</v>
      </c>
      <c r="Q225" s="31" t="s">
        <v>107</v>
      </c>
      <c r="R225" s="31" t="s">
        <v>98</v>
      </c>
      <c r="S225" s="31" t="s">
        <v>89</v>
      </c>
      <c r="T225" s="31" t="s">
        <v>80</v>
      </c>
      <c r="U225" s="31" t="s">
        <v>103</v>
      </c>
      <c r="V225" s="31" t="s">
        <v>130</v>
      </c>
      <c r="W225" s="31" t="s">
        <v>125</v>
      </c>
    </row>
    <row r="226" customFormat="false" ht="15" hidden="false" customHeight="false" outlineLevel="0" collapsed="false">
      <c r="A226" s="31" t="s">
        <v>1744</v>
      </c>
      <c r="B226" s="31" t="n">
        <f aca="false">+IF(A226=WORLDCUP!$BI$112,1,0)</f>
        <v>0</v>
      </c>
      <c r="C226" s="31" t="str">
        <f aca="false">+WORLDCUP!BD65</f>
        <v>España</v>
      </c>
      <c r="D226" s="31" t="str">
        <f aca="false">+WORLDCUP!BD64</f>
        <v>Bélgica</v>
      </c>
      <c r="E226" s="31" t="str">
        <f aca="false">+WORLDCUP!BD67</f>
        <v>Austria</v>
      </c>
      <c r="F226" s="31" t="str">
        <f aca="false">+WORLDCUP!BD60</f>
        <v>Marruecos</v>
      </c>
      <c r="G226" s="31" t="str">
        <f aca="false">+WORLDCUP!BD58</f>
        <v>República Checa</v>
      </c>
      <c r="H226" s="31" t="str">
        <f aca="false">+WORLDCUP!BD63</f>
        <v>Japón</v>
      </c>
      <c r="I226" s="31" t="str">
        <f aca="false">+WORLDCUP!BD69</f>
        <v>Ghana</v>
      </c>
      <c r="J226" s="31" t="str">
        <f aca="false">+WORLDCUP!BD62</f>
        <v>Ecuador</v>
      </c>
      <c r="N226" s="31" t="s">
        <v>1744</v>
      </c>
      <c r="O226" s="31" t="n">
        <v>225</v>
      </c>
      <c r="P226" s="31" t="s">
        <v>112</v>
      </c>
      <c r="Q226" s="31" t="s">
        <v>107</v>
      </c>
      <c r="R226" s="31" t="s">
        <v>121</v>
      </c>
      <c r="S226" s="31" t="s">
        <v>89</v>
      </c>
      <c r="T226" s="31" t="s">
        <v>80</v>
      </c>
      <c r="U226" s="31" t="s">
        <v>103</v>
      </c>
      <c r="V226" s="31" t="s">
        <v>130</v>
      </c>
      <c r="W226" s="31" t="s">
        <v>98</v>
      </c>
    </row>
    <row r="227" customFormat="false" ht="15" hidden="false" customHeight="false" outlineLevel="0" collapsed="false">
      <c r="A227" s="31" t="s">
        <v>1745</v>
      </c>
      <c r="B227" s="31" t="n">
        <f aca="false">+IF(A227=WORLDCUP!$BI$112,1,0)</f>
        <v>0</v>
      </c>
      <c r="C227" s="31" t="str">
        <f aca="false">+WORLDCUP!BD65</f>
        <v>España</v>
      </c>
      <c r="D227" s="31" t="str">
        <f aca="false">+WORLDCUP!BD64</f>
        <v>Bélgica</v>
      </c>
      <c r="E227" s="31" t="str">
        <f aca="false">+WORLDCUP!BD67</f>
        <v>Austria</v>
      </c>
      <c r="F227" s="31" t="str">
        <f aca="false">+WORLDCUP!BD60</f>
        <v>Marruecos</v>
      </c>
      <c r="G227" s="31" t="str">
        <f aca="false">+WORLDCUP!BD58</f>
        <v>República Checa</v>
      </c>
      <c r="H227" s="31" t="str">
        <f aca="false">+WORLDCUP!BD63</f>
        <v>Japón</v>
      </c>
      <c r="I227" s="31" t="str">
        <f aca="false">+WORLDCUP!BD62</f>
        <v>Ecuador</v>
      </c>
      <c r="J227" s="31" t="str">
        <f aca="false">+WORLDCUP!BD68</f>
        <v>Uzbekistán</v>
      </c>
      <c r="N227" s="31" t="s">
        <v>1745</v>
      </c>
      <c r="O227" s="31" t="n">
        <v>226</v>
      </c>
      <c r="P227" s="31" t="s">
        <v>112</v>
      </c>
      <c r="Q227" s="31" t="s">
        <v>107</v>
      </c>
      <c r="R227" s="31" t="s">
        <v>121</v>
      </c>
      <c r="S227" s="31" t="s">
        <v>89</v>
      </c>
      <c r="T227" s="31" t="s">
        <v>80</v>
      </c>
      <c r="U227" s="31" t="s">
        <v>103</v>
      </c>
      <c r="V227" s="31" t="s">
        <v>98</v>
      </c>
      <c r="W227" s="31" t="s">
        <v>125</v>
      </c>
    </row>
    <row r="228" customFormat="false" ht="15" hidden="false" customHeight="false" outlineLevel="0" collapsed="false">
      <c r="A228" s="31" t="s">
        <v>1746</v>
      </c>
      <c r="B228" s="31" t="n">
        <f aca="false">+IF(A228=WORLDCUP!$BI$112,1,0)</f>
        <v>0</v>
      </c>
      <c r="C228" s="31" t="str">
        <f aca="false">+WORLDCUP!BD65</f>
        <v>España</v>
      </c>
      <c r="D228" s="31" t="str">
        <f aca="false">+WORLDCUP!BD64</f>
        <v>Bélgica</v>
      </c>
      <c r="E228" s="31" t="str">
        <f aca="false">+WORLDCUP!BD62</f>
        <v>Ecuador</v>
      </c>
      <c r="F228" s="31" t="str">
        <f aca="false">+WORLDCUP!BD60</f>
        <v>Marruecos</v>
      </c>
      <c r="G228" s="31" t="str">
        <f aca="false">+WORLDCUP!BD58</f>
        <v>República Checa</v>
      </c>
      <c r="H228" s="31" t="str">
        <f aca="false">+WORLDCUP!BD63</f>
        <v>Japón</v>
      </c>
      <c r="I228" s="31" t="str">
        <f aca="false">+WORLDCUP!BD69</f>
        <v>Ghana</v>
      </c>
      <c r="J228" s="31" t="str">
        <f aca="false">+WORLDCUP!BD66</f>
        <v>Irak</v>
      </c>
      <c r="N228" s="31" t="s">
        <v>1746</v>
      </c>
      <c r="O228" s="31" t="n">
        <v>227</v>
      </c>
      <c r="P228" s="31" t="s">
        <v>112</v>
      </c>
      <c r="Q228" s="31" t="s">
        <v>107</v>
      </c>
      <c r="R228" s="31" t="s">
        <v>98</v>
      </c>
      <c r="S228" s="31" t="s">
        <v>89</v>
      </c>
      <c r="T228" s="31" t="s">
        <v>80</v>
      </c>
      <c r="U228" s="31" t="s">
        <v>103</v>
      </c>
      <c r="V228" s="31" t="s">
        <v>130</v>
      </c>
      <c r="W228" s="31" t="s">
        <v>116</v>
      </c>
    </row>
    <row r="229" customFormat="false" ht="15" hidden="false" customHeight="false" outlineLevel="0" collapsed="false">
      <c r="A229" s="31" t="s">
        <v>1747</v>
      </c>
      <c r="B229" s="31" t="n">
        <f aca="false">+IF(A229=WORLDCUP!$BI$112,1,0)</f>
        <v>0</v>
      </c>
      <c r="C229" s="31" t="str">
        <f aca="false">+WORLDCUP!BD65</f>
        <v>España</v>
      </c>
      <c r="D229" s="31" t="str">
        <f aca="false">+WORLDCUP!BD64</f>
        <v>Bélgica</v>
      </c>
      <c r="E229" s="31" t="str">
        <f aca="false">+WORLDCUP!BD62</f>
        <v>Ecuador</v>
      </c>
      <c r="F229" s="31" t="str">
        <f aca="false">+WORLDCUP!BD60</f>
        <v>Marruecos</v>
      </c>
      <c r="G229" s="31" t="str">
        <f aca="false">+WORLDCUP!BD58</f>
        <v>República Checa</v>
      </c>
      <c r="H229" s="31" t="str">
        <f aca="false">+WORLDCUP!BD63</f>
        <v>Japón</v>
      </c>
      <c r="I229" s="31" t="str">
        <f aca="false">+WORLDCUP!BD66</f>
        <v>Irak</v>
      </c>
      <c r="J229" s="31" t="str">
        <f aca="false">+WORLDCUP!BD68</f>
        <v>Uzbekistán</v>
      </c>
      <c r="N229" s="31" t="s">
        <v>1747</v>
      </c>
      <c r="O229" s="31" t="n">
        <v>228</v>
      </c>
      <c r="P229" s="31" t="s">
        <v>112</v>
      </c>
      <c r="Q229" s="31" t="s">
        <v>107</v>
      </c>
      <c r="R229" s="31" t="s">
        <v>98</v>
      </c>
      <c r="S229" s="31" t="s">
        <v>89</v>
      </c>
      <c r="T229" s="31" t="s">
        <v>80</v>
      </c>
      <c r="U229" s="31" t="s">
        <v>103</v>
      </c>
      <c r="V229" s="31" t="s">
        <v>116</v>
      </c>
      <c r="W229" s="31" t="s">
        <v>125</v>
      </c>
    </row>
    <row r="230" customFormat="false" ht="15" hidden="false" customHeight="false" outlineLevel="0" collapsed="false">
      <c r="A230" s="31" t="s">
        <v>1748</v>
      </c>
      <c r="B230" s="31" t="n">
        <f aca="false">+IF(A230=WORLDCUP!$BI$112,1,0)</f>
        <v>0</v>
      </c>
      <c r="C230" s="31" t="str">
        <f aca="false">+WORLDCUP!BD65</f>
        <v>España</v>
      </c>
      <c r="D230" s="31" t="str">
        <f aca="false">+WORLDCUP!BD64</f>
        <v>Bélgica</v>
      </c>
      <c r="E230" s="31" t="str">
        <f aca="false">+WORLDCUP!BD67</f>
        <v>Austria</v>
      </c>
      <c r="F230" s="31" t="str">
        <f aca="false">+WORLDCUP!BD60</f>
        <v>Marruecos</v>
      </c>
      <c r="G230" s="31" t="str">
        <f aca="false">+WORLDCUP!BD58</f>
        <v>República Checa</v>
      </c>
      <c r="H230" s="31" t="str">
        <f aca="false">+WORLDCUP!BD63</f>
        <v>Japón</v>
      </c>
      <c r="I230" s="31" t="str">
        <f aca="false">+WORLDCUP!BD62</f>
        <v>Ecuador</v>
      </c>
      <c r="J230" s="31" t="str">
        <f aca="false">+WORLDCUP!BD66</f>
        <v>Irak</v>
      </c>
      <c r="N230" s="31" t="s">
        <v>1748</v>
      </c>
      <c r="O230" s="31" t="n">
        <v>229</v>
      </c>
      <c r="P230" s="31" t="s">
        <v>112</v>
      </c>
      <c r="Q230" s="31" t="s">
        <v>107</v>
      </c>
      <c r="R230" s="31" t="s">
        <v>121</v>
      </c>
      <c r="S230" s="31" t="s">
        <v>89</v>
      </c>
      <c r="T230" s="31" t="s">
        <v>80</v>
      </c>
      <c r="U230" s="31" t="s">
        <v>103</v>
      </c>
      <c r="V230" s="31" t="s">
        <v>98</v>
      </c>
      <c r="W230" s="31" t="s">
        <v>116</v>
      </c>
    </row>
    <row r="231" customFormat="false" ht="15" hidden="false" customHeight="false" outlineLevel="0" collapsed="false">
      <c r="A231" s="31" t="s">
        <v>1749</v>
      </c>
      <c r="B231" s="31" t="n">
        <f aca="false">+IF(A231=WORLDCUP!$BI$112,1,0)</f>
        <v>0</v>
      </c>
      <c r="C231" s="31" t="str">
        <f aca="false">+WORLDCUP!BD65</f>
        <v>España</v>
      </c>
      <c r="D231" s="31" t="str">
        <f aca="false">+WORLDCUP!BD67</f>
        <v>Austria</v>
      </c>
      <c r="E231" s="31" t="str">
        <f aca="false">+WORLDCUP!BD66</f>
        <v>Irak</v>
      </c>
      <c r="F231" s="31" t="str">
        <f aca="false">+WORLDCUP!BD60</f>
        <v>Marruecos</v>
      </c>
      <c r="G231" s="31" t="str">
        <f aca="false">+WORLDCUP!BD58</f>
        <v>República Checa</v>
      </c>
      <c r="H231" s="31" t="str">
        <f aca="false">+WORLDCUP!BD61</f>
        <v>Turquía</v>
      </c>
      <c r="I231" s="31" t="str">
        <f aca="false">+WORLDCUP!BD69</f>
        <v>Ghana</v>
      </c>
      <c r="J231" s="31" t="str">
        <f aca="false">+WORLDCUP!BD68</f>
        <v>Uzbekistán</v>
      </c>
      <c r="N231" s="31" t="s">
        <v>1749</v>
      </c>
      <c r="O231" s="31" t="n">
        <v>230</v>
      </c>
      <c r="P231" s="31" t="s">
        <v>112</v>
      </c>
      <c r="Q231" s="31" t="s">
        <v>121</v>
      </c>
      <c r="R231" s="31" t="s">
        <v>116</v>
      </c>
      <c r="S231" s="31" t="s">
        <v>89</v>
      </c>
      <c r="T231" s="31" t="s">
        <v>80</v>
      </c>
      <c r="U231" s="31" t="s">
        <v>94</v>
      </c>
      <c r="V231" s="31" t="s">
        <v>130</v>
      </c>
      <c r="W231" s="31" t="s">
        <v>125</v>
      </c>
    </row>
    <row r="232" customFormat="false" ht="15" hidden="false" customHeight="false" outlineLevel="0" collapsed="false">
      <c r="A232" s="31" t="s">
        <v>1750</v>
      </c>
      <c r="B232" s="31" t="n">
        <f aca="false">+IF(A232=WORLDCUP!$BI$112,1,0)</f>
        <v>0</v>
      </c>
      <c r="C232" s="31" t="str">
        <f aca="false">+WORLDCUP!BD66</f>
        <v>Irak</v>
      </c>
      <c r="D232" s="31" t="str">
        <f aca="false">+WORLDCUP!BD64</f>
        <v>Bélgica</v>
      </c>
      <c r="E232" s="31" t="str">
        <f aca="false">+WORLDCUP!BD67</f>
        <v>Austria</v>
      </c>
      <c r="F232" s="31" t="str">
        <f aca="false">+WORLDCUP!BD60</f>
        <v>Marruecos</v>
      </c>
      <c r="G232" s="31" t="str">
        <f aca="false">+WORLDCUP!BD58</f>
        <v>República Checa</v>
      </c>
      <c r="H232" s="31" t="str">
        <f aca="false">+WORLDCUP!BD61</f>
        <v>Turquía</v>
      </c>
      <c r="I232" s="31" t="str">
        <f aca="false">+WORLDCUP!BD69</f>
        <v>Ghana</v>
      </c>
      <c r="J232" s="31" t="str">
        <f aca="false">+WORLDCUP!BD68</f>
        <v>Uzbekistán</v>
      </c>
      <c r="N232" s="31" t="s">
        <v>1750</v>
      </c>
      <c r="O232" s="31" t="n">
        <v>231</v>
      </c>
      <c r="P232" s="31" t="s">
        <v>116</v>
      </c>
      <c r="Q232" s="31" t="s">
        <v>107</v>
      </c>
      <c r="R232" s="31" t="s">
        <v>121</v>
      </c>
      <c r="S232" s="31" t="s">
        <v>89</v>
      </c>
      <c r="T232" s="31" t="s">
        <v>80</v>
      </c>
      <c r="U232" s="31" t="s">
        <v>94</v>
      </c>
      <c r="V232" s="31" t="s">
        <v>130</v>
      </c>
      <c r="W232" s="31" t="s">
        <v>125</v>
      </c>
    </row>
    <row r="233" customFormat="false" ht="15" hidden="false" customHeight="false" outlineLevel="0" collapsed="false">
      <c r="A233" s="31" t="s">
        <v>1751</v>
      </c>
      <c r="B233" s="31" t="n">
        <f aca="false">+IF(A233=WORLDCUP!$BI$112,1,0)</f>
        <v>0</v>
      </c>
      <c r="C233" s="31" t="str">
        <f aca="false">+WORLDCUP!BD65</f>
        <v>España</v>
      </c>
      <c r="D233" s="31" t="str">
        <f aca="false">+WORLDCUP!BD64</f>
        <v>Bélgica</v>
      </c>
      <c r="E233" s="31" t="str">
        <f aca="false">+WORLDCUP!BD67</f>
        <v>Austria</v>
      </c>
      <c r="F233" s="31" t="str">
        <f aca="false">+WORLDCUP!BD60</f>
        <v>Marruecos</v>
      </c>
      <c r="G233" s="31" t="str">
        <f aca="false">+WORLDCUP!BD58</f>
        <v>República Checa</v>
      </c>
      <c r="H233" s="31" t="str">
        <f aca="false">+WORLDCUP!BD61</f>
        <v>Turquía</v>
      </c>
      <c r="I233" s="31" t="str">
        <f aca="false">+WORLDCUP!BD69</f>
        <v>Ghana</v>
      </c>
      <c r="J233" s="31" t="str">
        <f aca="false">+WORLDCUP!BD68</f>
        <v>Uzbekistán</v>
      </c>
      <c r="N233" s="31" t="s">
        <v>1751</v>
      </c>
      <c r="O233" s="31" t="n">
        <v>232</v>
      </c>
      <c r="P233" s="31" t="s">
        <v>112</v>
      </c>
      <c r="Q233" s="31" t="s">
        <v>107</v>
      </c>
      <c r="R233" s="31" t="s">
        <v>121</v>
      </c>
      <c r="S233" s="31" t="s">
        <v>89</v>
      </c>
      <c r="T233" s="31" t="s">
        <v>80</v>
      </c>
      <c r="U233" s="31" t="s">
        <v>94</v>
      </c>
      <c r="V233" s="31" t="s">
        <v>130</v>
      </c>
      <c r="W233" s="31" t="s">
        <v>125</v>
      </c>
    </row>
    <row r="234" customFormat="false" ht="15" hidden="false" customHeight="false" outlineLevel="0" collapsed="false">
      <c r="A234" s="31" t="s">
        <v>1752</v>
      </c>
      <c r="B234" s="31" t="n">
        <f aca="false">+IF(A234=WORLDCUP!$BI$112,1,0)</f>
        <v>0</v>
      </c>
      <c r="C234" s="31" t="str">
        <f aca="false">+WORLDCUP!BD65</f>
        <v>España</v>
      </c>
      <c r="D234" s="31" t="str">
        <f aca="false">+WORLDCUP!BD64</f>
        <v>Bélgica</v>
      </c>
      <c r="E234" s="31" t="str">
        <f aca="false">+WORLDCUP!BD66</f>
        <v>Irak</v>
      </c>
      <c r="F234" s="31" t="str">
        <f aca="false">+WORLDCUP!BD60</f>
        <v>Marruecos</v>
      </c>
      <c r="G234" s="31" t="str">
        <f aca="false">+WORLDCUP!BD58</f>
        <v>República Checa</v>
      </c>
      <c r="H234" s="31" t="str">
        <f aca="false">+WORLDCUP!BD61</f>
        <v>Turquía</v>
      </c>
      <c r="I234" s="31" t="str">
        <f aca="false">+WORLDCUP!BD69</f>
        <v>Ghana</v>
      </c>
      <c r="J234" s="31" t="str">
        <f aca="false">+WORLDCUP!BD68</f>
        <v>Uzbekistán</v>
      </c>
      <c r="N234" s="31" t="s">
        <v>1752</v>
      </c>
      <c r="O234" s="31" t="n">
        <v>233</v>
      </c>
      <c r="P234" s="31" t="s">
        <v>112</v>
      </c>
      <c r="Q234" s="31" t="s">
        <v>107</v>
      </c>
      <c r="R234" s="31" t="s">
        <v>116</v>
      </c>
      <c r="S234" s="31" t="s">
        <v>89</v>
      </c>
      <c r="T234" s="31" t="s">
        <v>80</v>
      </c>
      <c r="U234" s="31" t="s">
        <v>94</v>
      </c>
      <c r="V234" s="31" t="s">
        <v>130</v>
      </c>
      <c r="W234" s="31" t="s">
        <v>125</v>
      </c>
    </row>
    <row r="235" customFormat="false" ht="15" hidden="false" customHeight="false" outlineLevel="0" collapsed="false">
      <c r="A235" s="31" t="s">
        <v>1753</v>
      </c>
      <c r="B235" s="31" t="n">
        <f aca="false">+IF(A235=WORLDCUP!$BI$112,1,0)</f>
        <v>0</v>
      </c>
      <c r="C235" s="31" t="str">
        <f aca="false">+WORLDCUP!BD65</f>
        <v>España</v>
      </c>
      <c r="D235" s="31" t="str">
        <f aca="false">+WORLDCUP!BD64</f>
        <v>Bélgica</v>
      </c>
      <c r="E235" s="31" t="str">
        <f aca="false">+WORLDCUP!BD67</f>
        <v>Austria</v>
      </c>
      <c r="F235" s="31" t="str">
        <f aca="false">+WORLDCUP!BD60</f>
        <v>Marruecos</v>
      </c>
      <c r="G235" s="31" t="str">
        <f aca="false">+WORLDCUP!BD58</f>
        <v>República Checa</v>
      </c>
      <c r="H235" s="31" t="str">
        <f aca="false">+WORLDCUP!BD61</f>
        <v>Turquía</v>
      </c>
      <c r="I235" s="31" t="str">
        <f aca="false">+WORLDCUP!BD69</f>
        <v>Ghana</v>
      </c>
      <c r="J235" s="31" t="str">
        <f aca="false">+WORLDCUP!BD66</f>
        <v>Irak</v>
      </c>
      <c r="N235" s="31" t="s">
        <v>1753</v>
      </c>
      <c r="O235" s="31" t="n">
        <v>234</v>
      </c>
      <c r="P235" s="31" t="s">
        <v>112</v>
      </c>
      <c r="Q235" s="31" t="s">
        <v>107</v>
      </c>
      <c r="R235" s="31" t="s">
        <v>121</v>
      </c>
      <c r="S235" s="31" t="s">
        <v>89</v>
      </c>
      <c r="T235" s="31" t="s">
        <v>80</v>
      </c>
      <c r="U235" s="31" t="s">
        <v>94</v>
      </c>
      <c r="V235" s="31" t="s">
        <v>130</v>
      </c>
      <c r="W235" s="31" t="s">
        <v>116</v>
      </c>
    </row>
    <row r="236" customFormat="false" ht="15" hidden="false" customHeight="false" outlineLevel="0" collapsed="false">
      <c r="A236" s="31" t="s">
        <v>1754</v>
      </c>
      <c r="B236" s="31" t="n">
        <f aca="false">+IF(A236=WORLDCUP!$BI$112,1,0)</f>
        <v>0</v>
      </c>
      <c r="C236" s="31" t="str">
        <f aca="false">+WORLDCUP!BD65</f>
        <v>España</v>
      </c>
      <c r="D236" s="31" t="str">
        <f aca="false">+WORLDCUP!BD64</f>
        <v>Bélgica</v>
      </c>
      <c r="E236" s="31" t="str">
        <f aca="false">+WORLDCUP!BD67</f>
        <v>Austria</v>
      </c>
      <c r="F236" s="31" t="str">
        <f aca="false">+WORLDCUP!BD60</f>
        <v>Marruecos</v>
      </c>
      <c r="G236" s="31" t="str">
        <f aca="false">+WORLDCUP!BD58</f>
        <v>República Checa</v>
      </c>
      <c r="H236" s="31" t="str">
        <f aca="false">+WORLDCUP!BD61</f>
        <v>Turquía</v>
      </c>
      <c r="I236" s="31" t="str">
        <f aca="false">+WORLDCUP!BD66</f>
        <v>Irak</v>
      </c>
      <c r="J236" s="31" t="str">
        <f aca="false">+WORLDCUP!BD68</f>
        <v>Uzbekistán</v>
      </c>
      <c r="N236" s="31" t="s">
        <v>1754</v>
      </c>
      <c r="O236" s="31" t="n">
        <v>235</v>
      </c>
      <c r="P236" s="31" t="s">
        <v>112</v>
      </c>
      <c r="Q236" s="31" t="s">
        <v>107</v>
      </c>
      <c r="R236" s="31" t="s">
        <v>121</v>
      </c>
      <c r="S236" s="31" t="s">
        <v>89</v>
      </c>
      <c r="T236" s="31" t="s">
        <v>80</v>
      </c>
      <c r="U236" s="31" t="s">
        <v>94</v>
      </c>
      <c r="V236" s="31" t="s">
        <v>116</v>
      </c>
      <c r="W236" s="31" t="s">
        <v>125</v>
      </c>
    </row>
    <row r="237" customFormat="false" ht="15" hidden="false" customHeight="false" outlineLevel="0" collapsed="false">
      <c r="A237" s="31" t="s">
        <v>1755</v>
      </c>
      <c r="B237" s="31" t="n">
        <f aca="false">+IF(A237=WORLDCUP!$BI$112,1,0)</f>
        <v>0</v>
      </c>
      <c r="C237" s="31" t="str">
        <f aca="false">+WORLDCUP!BD60</f>
        <v>Marruecos</v>
      </c>
      <c r="D237" s="31" t="str">
        <f aca="false">+WORLDCUP!BD67</f>
        <v>Austria</v>
      </c>
      <c r="E237" s="31" t="str">
        <f aca="false">+WORLDCUP!BD66</f>
        <v>Irak</v>
      </c>
      <c r="F237" s="31" t="str">
        <f aca="false">+WORLDCUP!BD61</f>
        <v>Turquía</v>
      </c>
      <c r="G237" s="31" t="str">
        <f aca="false">+WORLDCUP!BD58</f>
        <v>República Checa</v>
      </c>
      <c r="H237" s="31" t="str">
        <f aca="false">+WORLDCUP!BD63</f>
        <v>Japón</v>
      </c>
      <c r="I237" s="31" t="str">
        <f aca="false">+WORLDCUP!BD69</f>
        <v>Ghana</v>
      </c>
      <c r="J237" s="31" t="str">
        <f aca="false">+WORLDCUP!BD68</f>
        <v>Uzbekistán</v>
      </c>
      <c r="N237" s="31" t="s">
        <v>1755</v>
      </c>
      <c r="O237" s="31" t="n">
        <v>236</v>
      </c>
      <c r="P237" s="31" t="s">
        <v>89</v>
      </c>
      <c r="Q237" s="31" t="s">
        <v>121</v>
      </c>
      <c r="R237" s="31" t="s">
        <v>116</v>
      </c>
      <c r="S237" s="31" t="s">
        <v>94</v>
      </c>
      <c r="T237" s="31" t="s">
        <v>80</v>
      </c>
      <c r="U237" s="31" t="s">
        <v>103</v>
      </c>
      <c r="V237" s="31" t="s">
        <v>130</v>
      </c>
      <c r="W237" s="31" t="s">
        <v>125</v>
      </c>
    </row>
    <row r="238" customFormat="false" ht="15" hidden="false" customHeight="false" outlineLevel="0" collapsed="false">
      <c r="A238" s="31" t="s">
        <v>1756</v>
      </c>
      <c r="B238" s="31" t="n">
        <f aca="false">+IF(A238=WORLDCUP!$BI$112,1,0)</f>
        <v>0</v>
      </c>
      <c r="C238" s="31" t="str">
        <f aca="false">+WORLDCUP!BD65</f>
        <v>España</v>
      </c>
      <c r="D238" s="31" t="str">
        <f aca="false">+WORLDCUP!BD67</f>
        <v>Austria</v>
      </c>
      <c r="E238" s="31" t="str">
        <f aca="false">+WORLDCUP!BD63</f>
        <v>Japón</v>
      </c>
      <c r="F238" s="31" t="str">
        <f aca="false">+WORLDCUP!BD60</f>
        <v>Marruecos</v>
      </c>
      <c r="G238" s="31" t="str">
        <f aca="false">+WORLDCUP!BD58</f>
        <v>República Checa</v>
      </c>
      <c r="H238" s="31" t="str">
        <f aca="false">+WORLDCUP!BD61</f>
        <v>Turquía</v>
      </c>
      <c r="I238" s="31" t="str">
        <f aca="false">+WORLDCUP!BD69</f>
        <v>Ghana</v>
      </c>
      <c r="J238" s="31" t="str">
        <f aca="false">+WORLDCUP!BD68</f>
        <v>Uzbekistán</v>
      </c>
      <c r="N238" s="31" t="s">
        <v>1756</v>
      </c>
      <c r="O238" s="31" t="n">
        <v>237</v>
      </c>
      <c r="P238" s="31" t="s">
        <v>112</v>
      </c>
      <c r="Q238" s="31" t="s">
        <v>121</v>
      </c>
      <c r="R238" s="31" t="s">
        <v>103</v>
      </c>
      <c r="S238" s="31" t="s">
        <v>89</v>
      </c>
      <c r="T238" s="31" t="s">
        <v>80</v>
      </c>
      <c r="U238" s="31" t="s">
        <v>94</v>
      </c>
      <c r="V238" s="31" t="s">
        <v>130</v>
      </c>
      <c r="W238" s="31" t="s">
        <v>125</v>
      </c>
    </row>
    <row r="239" customFormat="false" ht="15" hidden="false" customHeight="false" outlineLevel="0" collapsed="false">
      <c r="A239" s="31" t="s">
        <v>1757</v>
      </c>
      <c r="B239" s="31" t="n">
        <f aca="false">+IF(A239=WORLDCUP!$BI$112,1,0)</f>
        <v>0</v>
      </c>
      <c r="C239" s="31" t="str">
        <f aca="false">+WORLDCUP!BD65</f>
        <v>España</v>
      </c>
      <c r="D239" s="31" t="str">
        <f aca="false">+WORLDCUP!BD63</f>
        <v>Japón</v>
      </c>
      <c r="E239" s="31" t="str">
        <f aca="false">+WORLDCUP!BD66</f>
        <v>Irak</v>
      </c>
      <c r="F239" s="31" t="str">
        <f aca="false">+WORLDCUP!BD60</f>
        <v>Marruecos</v>
      </c>
      <c r="G239" s="31" t="str">
        <f aca="false">+WORLDCUP!BD58</f>
        <v>República Checa</v>
      </c>
      <c r="H239" s="31" t="str">
        <f aca="false">+WORLDCUP!BD61</f>
        <v>Turquía</v>
      </c>
      <c r="I239" s="31" t="str">
        <f aca="false">+WORLDCUP!BD69</f>
        <v>Ghana</v>
      </c>
      <c r="J239" s="31" t="str">
        <f aca="false">+WORLDCUP!BD68</f>
        <v>Uzbekistán</v>
      </c>
      <c r="N239" s="31" t="s">
        <v>1757</v>
      </c>
      <c r="O239" s="31" t="n">
        <v>238</v>
      </c>
      <c r="P239" s="31" t="s">
        <v>112</v>
      </c>
      <c r="Q239" s="31" t="s">
        <v>103</v>
      </c>
      <c r="R239" s="31" t="s">
        <v>116</v>
      </c>
      <c r="S239" s="31" t="s">
        <v>89</v>
      </c>
      <c r="T239" s="31" t="s">
        <v>80</v>
      </c>
      <c r="U239" s="31" t="s">
        <v>94</v>
      </c>
      <c r="V239" s="31" t="s">
        <v>130</v>
      </c>
      <c r="W239" s="31" t="s">
        <v>125</v>
      </c>
    </row>
    <row r="240" customFormat="false" ht="15" hidden="false" customHeight="false" outlineLevel="0" collapsed="false">
      <c r="A240" s="31" t="s">
        <v>1758</v>
      </c>
      <c r="B240" s="31" t="n">
        <f aca="false">+IF(A240=WORLDCUP!$BI$112,1,0)</f>
        <v>0</v>
      </c>
      <c r="C240" s="31" t="str">
        <f aca="false">+WORLDCUP!BD65</f>
        <v>España</v>
      </c>
      <c r="D240" s="31" t="str">
        <f aca="false">+WORLDCUP!BD67</f>
        <v>Austria</v>
      </c>
      <c r="E240" s="31" t="str">
        <f aca="false">+WORLDCUP!BD63</f>
        <v>Japón</v>
      </c>
      <c r="F240" s="31" t="str">
        <f aca="false">+WORLDCUP!BD60</f>
        <v>Marruecos</v>
      </c>
      <c r="G240" s="31" t="str">
        <f aca="false">+WORLDCUP!BD58</f>
        <v>República Checa</v>
      </c>
      <c r="H240" s="31" t="str">
        <f aca="false">+WORLDCUP!BD61</f>
        <v>Turquía</v>
      </c>
      <c r="I240" s="31" t="str">
        <f aca="false">+WORLDCUP!BD69</f>
        <v>Ghana</v>
      </c>
      <c r="J240" s="31" t="str">
        <f aca="false">+WORLDCUP!BD66</f>
        <v>Irak</v>
      </c>
      <c r="N240" s="31" t="s">
        <v>1758</v>
      </c>
      <c r="O240" s="31" t="n">
        <v>239</v>
      </c>
      <c r="P240" s="31" t="s">
        <v>112</v>
      </c>
      <c r="Q240" s="31" t="s">
        <v>121</v>
      </c>
      <c r="R240" s="31" t="s">
        <v>103</v>
      </c>
      <c r="S240" s="31" t="s">
        <v>89</v>
      </c>
      <c r="T240" s="31" t="s">
        <v>80</v>
      </c>
      <c r="U240" s="31" t="s">
        <v>94</v>
      </c>
      <c r="V240" s="31" t="s">
        <v>130</v>
      </c>
      <c r="W240" s="31" t="s">
        <v>116</v>
      </c>
    </row>
    <row r="241" customFormat="false" ht="15" hidden="false" customHeight="false" outlineLevel="0" collapsed="false">
      <c r="A241" s="31" t="s">
        <v>1759</v>
      </c>
      <c r="B241" s="31" t="n">
        <f aca="false">+IF(A241=WORLDCUP!$BI$112,1,0)</f>
        <v>0</v>
      </c>
      <c r="C241" s="31" t="str">
        <f aca="false">+WORLDCUP!BD65</f>
        <v>España</v>
      </c>
      <c r="D241" s="31" t="str">
        <f aca="false">+WORLDCUP!BD67</f>
        <v>Austria</v>
      </c>
      <c r="E241" s="31" t="str">
        <f aca="false">+WORLDCUP!BD63</f>
        <v>Japón</v>
      </c>
      <c r="F241" s="31" t="str">
        <f aca="false">+WORLDCUP!BD60</f>
        <v>Marruecos</v>
      </c>
      <c r="G241" s="31" t="str">
        <f aca="false">+WORLDCUP!BD58</f>
        <v>República Checa</v>
      </c>
      <c r="H241" s="31" t="str">
        <f aca="false">+WORLDCUP!BD61</f>
        <v>Turquía</v>
      </c>
      <c r="I241" s="31" t="str">
        <f aca="false">+WORLDCUP!BD66</f>
        <v>Irak</v>
      </c>
      <c r="J241" s="31" t="str">
        <f aca="false">+WORLDCUP!BD68</f>
        <v>Uzbekistán</v>
      </c>
      <c r="N241" s="31" t="s">
        <v>1759</v>
      </c>
      <c r="O241" s="31" t="n">
        <v>240</v>
      </c>
      <c r="P241" s="31" t="s">
        <v>112</v>
      </c>
      <c r="Q241" s="31" t="s">
        <v>121</v>
      </c>
      <c r="R241" s="31" t="s">
        <v>103</v>
      </c>
      <c r="S241" s="31" t="s">
        <v>89</v>
      </c>
      <c r="T241" s="31" t="s">
        <v>80</v>
      </c>
      <c r="U241" s="31" t="s">
        <v>94</v>
      </c>
      <c r="V241" s="31" t="s">
        <v>116</v>
      </c>
      <c r="W241" s="31" t="s">
        <v>125</v>
      </c>
    </row>
    <row r="242" customFormat="false" ht="15" hidden="false" customHeight="false" outlineLevel="0" collapsed="false">
      <c r="A242" s="31" t="s">
        <v>1760</v>
      </c>
      <c r="B242" s="31" t="n">
        <f aca="false">+IF(A242=WORLDCUP!$BI$112,1,0)</f>
        <v>0</v>
      </c>
      <c r="C242" s="31" t="str">
        <f aca="false">+WORLDCUP!BD60</f>
        <v>Marruecos</v>
      </c>
      <c r="D242" s="31" t="str">
        <f aca="false">+WORLDCUP!BD64</f>
        <v>Bélgica</v>
      </c>
      <c r="E242" s="31" t="str">
        <f aca="false">+WORLDCUP!BD67</f>
        <v>Austria</v>
      </c>
      <c r="F242" s="31" t="str">
        <f aca="false">+WORLDCUP!BD61</f>
        <v>Turquía</v>
      </c>
      <c r="G242" s="31" t="str">
        <f aca="false">+WORLDCUP!BD58</f>
        <v>República Checa</v>
      </c>
      <c r="H242" s="31" t="str">
        <f aca="false">+WORLDCUP!BD63</f>
        <v>Japón</v>
      </c>
      <c r="I242" s="31" t="str">
        <f aca="false">+WORLDCUP!BD69</f>
        <v>Ghana</v>
      </c>
      <c r="J242" s="31" t="str">
        <f aca="false">+WORLDCUP!BD68</f>
        <v>Uzbekistán</v>
      </c>
      <c r="N242" s="31" t="s">
        <v>1760</v>
      </c>
      <c r="O242" s="31" t="n">
        <v>241</v>
      </c>
      <c r="P242" s="31" t="s">
        <v>89</v>
      </c>
      <c r="Q242" s="31" t="s">
        <v>107</v>
      </c>
      <c r="R242" s="31" t="s">
        <v>121</v>
      </c>
      <c r="S242" s="31" t="s">
        <v>94</v>
      </c>
      <c r="T242" s="31" t="s">
        <v>80</v>
      </c>
      <c r="U242" s="31" t="s">
        <v>103</v>
      </c>
      <c r="V242" s="31" t="s">
        <v>130</v>
      </c>
      <c r="W242" s="31" t="s">
        <v>125</v>
      </c>
    </row>
    <row r="243" customFormat="false" ht="15" hidden="false" customHeight="false" outlineLevel="0" collapsed="false">
      <c r="A243" s="31" t="s">
        <v>1761</v>
      </c>
      <c r="B243" s="31" t="n">
        <f aca="false">+IF(A243=WORLDCUP!$BI$112,1,0)</f>
        <v>0</v>
      </c>
      <c r="C243" s="31" t="str">
        <f aca="false">+WORLDCUP!BD60</f>
        <v>Marruecos</v>
      </c>
      <c r="D243" s="31" t="str">
        <f aca="false">+WORLDCUP!BD64</f>
        <v>Bélgica</v>
      </c>
      <c r="E243" s="31" t="str">
        <f aca="false">+WORLDCUP!BD66</f>
        <v>Irak</v>
      </c>
      <c r="F243" s="31" t="str">
        <f aca="false">+WORLDCUP!BD61</f>
        <v>Turquía</v>
      </c>
      <c r="G243" s="31" t="str">
        <f aca="false">+WORLDCUP!BD58</f>
        <v>República Checa</v>
      </c>
      <c r="H243" s="31" t="str">
        <f aca="false">+WORLDCUP!BD63</f>
        <v>Japón</v>
      </c>
      <c r="I243" s="31" t="str">
        <f aca="false">+WORLDCUP!BD69</f>
        <v>Ghana</v>
      </c>
      <c r="J243" s="31" t="str">
        <f aca="false">+WORLDCUP!BD68</f>
        <v>Uzbekistán</v>
      </c>
      <c r="N243" s="31" t="s">
        <v>1761</v>
      </c>
      <c r="O243" s="31" t="n">
        <v>242</v>
      </c>
      <c r="P243" s="31" t="s">
        <v>89</v>
      </c>
      <c r="Q243" s="31" t="s">
        <v>107</v>
      </c>
      <c r="R243" s="31" t="s">
        <v>116</v>
      </c>
      <c r="S243" s="31" t="s">
        <v>94</v>
      </c>
      <c r="T243" s="31" t="s">
        <v>80</v>
      </c>
      <c r="U243" s="31" t="s">
        <v>103</v>
      </c>
      <c r="V243" s="31" t="s">
        <v>130</v>
      </c>
      <c r="W243" s="31" t="s">
        <v>125</v>
      </c>
    </row>
    <row r="244" customFormat="false" ht="15" hidden="false" customHeight="false" outlineLevel="0" collapsed="false">
      <c r="A244" s="31" t="s">
        <v>1762</v>
      </c>
      <c r="B244" s="31" t="n">
        <f aca="false">+IF(A244=WORLDCUP!$BI$112,1,0)</f>
        <v>0</v>
      </c>
      <c r="C244" s="31" t="str">
        <f aca="false">+WORLDCUP!BD60</f>
        <v>Marruecos</v>
      </c>
      <c r="D244" s="31" t="str">
        <f aca="false">+WORLDCUP!BD64</f>
        <v>Bélgica</v>
      </c>
      <c r="E244" s="31" t="str">
        <f aca="false">+WORLDCUP!BD67</f>
        <v>Austria</v>
      </c>
      <c r="F244" s="31" t="str">
        <f aca="false">+WORLDCUP!BD61</f>
        <v>Turquía</v>
      </c>
      <c r="G244" s="31" t="str">
        <f aca="false">+WORLDCUP!BD58</f>
        <v>República Checa</v>
      </c>
      <c r="H244" s="31" t="str">
        <f aca="false">+WORLDCUP!BD63</f>
        <v>Japón</v>
      </c>
      <c r="I244" s="31" t="str">
        <f aca="false">+WORLDCUP!BD69</f>
        <v>Ghana</v>
      </c>
      <c r="J244" s="31" t="str">
        <f aca="false">+WORLDCUP!BD66</f>
        <v>Irak</v>
      </c>
      <c r="N244" s="31" t="s">
        <v>1762</v>
      </c>
      <c r="O244" s="31" t="n">
        <v>243</v>
      </c>
      <c r="P244" s="31" t="s">
        <v>89</v>
      </c>
      <c r="Q244" s="31" t="s">
        <v>107</v>
      </c>
      <c r="R244" s="31" t="s">
        <v>121</v>
      </c>
      <c r="S244" s="31" t="s">
        <v>94</v>
      </c>
      <c r="T244" s="31" t="s">
        <v>80</v>
      </c>
      <c r="U244" s="31" t="s">
        <v>103</v>
      </c>
      <c r="V244" s="31" t="s">
        <v>130</v>
      </c>
      <c r="W244" s="31" t="s">
        <v>116</v>
      </c>
    </row>
    <row r="245" customFormat="false" ht="15" hidden="false" customHeight="false" outlineLevel="0" collapsed="false">
      <c r="A245" s="31" t="s">
        <v>1763</v>
      </c>
      <c r="B245" s="31" t="n">
        <f aca="false">+IF(A245=WORLDCUP!$BI$112,1,0)</f>
        <v>0</v>
      </c>
      <c r="C245" s="31" t="str">
        <f aca="false">+WORLDCUP!BD60</f>
        <v>Marruecos</v>
      </c>
      <c r="D245" s="31" t="str">
        <f aca="false">+WORLDCUP!BD64</f>
        <v>Bélgica</v>
      </c>
      <c r="E245" s="31" t="str">
        <f aca="false">+WORLDCUP!BD67</f>
        <v>Austria</v>
      </c>
      <c r="F245" s="31" t="str">
        <f aca="false">+WORLDCUP!BD61</f>
        <v>Turquía</v>
      </c>
      <c r="G245" s="31" t="str">
        <f aca="false">+WORLDCUP!BD58</f>
        <v>República Checa</v>
      </c>
      <c r="H245" s="31" t="str">
        <f aca="false">+WORLDCUP!BD63</f>
        <v>Japón</v>
      </c>
      <c r="I245" s="31" t="str">
        <f aca="false">+WORLDCUP!BD66</f>
        <v>Irak</v>
      </c>
      <c r="J245" s="31" t="str">
        <f aca="false">+WORLDCUP!BD68</f>
        <v>Uzbekistán</v>
      </c>
      <c r="N245" s="31" t="s">
        <v>1763</v>
      </c>
      <c r="O245" s="31" t="n">
        <v>244</v>
      </c>
      <c r="P245" s="31" t="s">
        <v>89</v>
      </c>
      <c r="Q245" s="31" t="s">
        <v>107</v>
      </c>
      <c r="R245" s="31" t="s">
        <v>121</v>
      </c>
      <c r="S245" s="31" t="s">
        <v>94</v>
      </c>
      <c r="T245" s="31" t="s">
        <v>80</v>
      </c>
      <c r="U245" s="31" t="s">
        <v>103</v>
      </c>
      <c r="V245" s="31" t="s">
        <v>116</v>
      </c>
      <c r="W245" s="31" t="s">
        <v>125</v>
      </c>
    </row>
    <row r="246" customFormat="false" ht="15" hidden="false" customHeight="false" outlineLevel="0" collapsed="false">
      <c r="A246" s="31" t="s">
        <v>1764</v>
      </c>
      <c r="B246" s="31" t="n">
        <f aca="false">+IF(A246=WORLDCUP!$BI$112,1,0)</f>
        <v>0</v>
      </c>
      <c r="C246" s="31" t="str">
        <f aca="false">+WORLDCUP!BD65</f>
        <v>España</v>
      </c>
      <c r="D246" s="31" t="str">
        <f aca="false">+WORLDCUP!BD64</f>
        <v>Bélgica</v>
      </c>
      <c r="E246" s="31" t="str">
        <f aca="false">+WORLDCUP!BD63</f>
        <v>Japón</v>
      </c>
      <c r="F246" s="31" t="str">
        <f aca="false">+WORLDCUP!BD60</f>
        <v>Marruecos</v>
      </c>
      <c r="G246" s="31" t="str">
        <f aca="false">+WORLDCUP!BD58</f>
        <v>República Checa</v>
      </c>
      <c r="H246" s="31" t="str">
        <f aca="false">+WORLDCUP!BD61</f>
        <v>Turquía</v>
      </c>
      <c r="I246" s="31" t="str">
        <f aca="false">+WORLDCUP!BD69</f>
        <v>Ghana</v>
      </c>
      <c r="J246" s="31" t="str">
        <f aca="false">+WORLDCUP!BD68</f>
        <v>Uzbekistán</v>
      </c>
      <c r="N246" s="31" t="s">
        <v>1764</v>
      </c>
      <c r="O246" s="31" t="n">
        <v>245</v>
      </c>
      <c r="P246" s="31" t="s">
        <v>112</v>
      </c>
      <c r="Q246" s="31" t="s">
        <v>107</v>
      </c>
      <c r="R246" s="31" t="s">
        <v>103</v>
      </c>
      <c r="S246" s="31" t="s">
        <v>89</v>
      </c>
      <c r="T246" s="31" t="s">
        <v>80</v>
      </c>
      <c r="U246" s="31" t="s">
        <v>94</v>
      </c>
      <c r="V246" s="31" t="s">
        <v>130</v>
      </c>
      <c r="W246" s="31" t="s">
        <v>125</v>
      </c>
    </row>
    <row r="247" customFormat="false" ht="15" hidden="false" customHeight="false" outlineLevel="0" collapsed="false">
      <c r="A247" s="31" t="s">
        <v>1765</v>
      </c>
      <c r="B247" s="31" t="n">
        <f aca="false">+IF(A247=WORLDCUP!$BI$112,1,0)</f>
        <v>0</v>
      </c>
      <c r="C247" s="31" t="str">
        <f aca="false">+WORLDCUP!BD60</f>
        <v>Marruecos</v>
      </c>
      <c r="D247" s="31" t="str">
        <f aca="false">+WORLDCUP!BD64</f>
        <v>Bélgica</v>
      </c>
      <c r="E247" s="31" t="str">
        <f aca="false">+WORLDCUP!BD67</f>
        <v>Austria</v>
      </c>
      <c r="F247" s="31" t="str">
        <f aca="false">+WORLDCUP!BD61</f>
        <v>Turquía</v>
      </c>
      <c r="G247" s="31" t="str">
        <f aca="false">+WORLDCUP!BD58</f>
        <v>República Checa</v>
      </c>
      <c r="H247" s="31" t="str">
        <f aca="false">+WORLDCUP!BD63</f>
        <v>Japón</v>
      </c>
      <c r="I247" s="31" t="str">
        <f aca="false">+WORLDCUP!BD69</f>
        <v>Ghana</v>
      </c>
      <c r="J247" s="31" t="str">
        <f aca="false">+WORLDCUP!BD65</f>
        <v>España</v>
      </c>
      <c r="N247" s="31" t="s">
        <v>1765</v>
      </c>
      <c r="O247" s="31" t="n">
        <v>246</v>
      </c>
      <c r="P247" s="31" t="s">
        <v>89</v>
      </c>
      <c r="Q247" s="31" t="s">
        <v>107</v>
      </c>
      <c r="R247" s="31" t="s">
        <v>121</v>
      </c>
      <c r="S247" s="31" t="s">
        <v>94</v>
      </c>
      <c r="T247" s="31" t="s">
        <v>80</v>
      </c>
      <c r="U247" s="31" t="s">
        <v>103</v>
      </c>
      <c r="V247" s="31" t="s">
        <v>130</v>
      </c>
      <c r="W247" s="31" t="s">
        <v>112</v>
      </c>
    </row>
    <row r="248" customFormat="false" ht="15" hidden="false" customHeight="false" outlineLevel="0" collapsed="false">
      <c r="A248" s="31" t="s">
        <v>1766</v>
      </c>
      <c r="B248" s="31" t="n">
        <f aca="false">+IF(A248=WORLDCUP!$BI$112,1,0)</f>
        <v>0</v>
      </c>
      <c r="C248" s="31" t="str">
        <f aca="false">+WORLDCUP!BD65</f>
        <v>España</v>
      </c>
      <c r="D248" s="31" t="str">
        <f aca="false">+WORLDCUP!BD64</f>
        <v>Bélgica</v>
      </c>
      <c r="E248" s="31" t="str">
        <f aca="false">+WORLDCUP!BD67</f>
        <v>Austria</v>
      </c>
      <c r="F248" s="31" t="str">
        <f aca="false">+WORLDCUP!BD60</f>
        <v>Marruecos</v>
      </c>
      <c r="G248" s="31" t="str">
        <f aca="false">+WORLDCUP!BD58</f>
        <v>República Checa</v>
      </c>
      <c r="H248" s="31" t="str">
        <f aca="false">+WORLDCUP!BD63</f>
        <v>Japón</v>
      </c>
      <c r="I248" s="31" t="str">
        <f aca="false">+WORLDCUP!BD61</f>
        <v>Turquía</v>
      </c>
      <c r="J248" s="31" t="str">
        <f aca="false">+WORLDCUP!BD68</f>
        <v>Uzbekistán</v>
      </c>
      <c r="N248" s="31" t="s">
        <v>1766</v>
      </c>
      <c r="O248" s="31" t="n">
        <v>247</v>
      </c>
      <c r="P248" s="31" t="s">
        <v>112</v>
      </c>
      <c r="Q248" s="31" t="s">
        <v>107</v>
      </c>
      <c r="R248" s="31" t="s">
        <v>121</v>
      </c>
      <c r="S248" s="31" t="s">
        <v>89</v>
      </c>
      <c r="T248" s="31" t="s">
        <v>80</v>
      </c>
      <c r="U248" s="31" t="s">
        <v>103</v>
      </c>
      <c r="V248" s="31" t="s">
        <v>94</v>
      </c>
      <c r="W248" s="31" t="s">
        <v>125</v>
      </c>
    </row>
    <row r="249" customFormat="false" ht="15" hidden="false" customHeight="false" outlineLevel="0" collapsed="false">
      <c r="A249" s="31" t="s">
        <v>1767</v>
      </c>
      <c r="B249" s="31" t="n">
        <f aca="false">+IF(A249=WORLDCUP!$BI$112,1,0)</f>
        <v>0</v>
      </c>
      <c r="C249" s="31" t="str">
        <f aca="false">+WORLDCUP!BD65</f>
        <v>España</v>
      </c>
      <c r="D249" s="31" t="str">
        <f aca="false">+WORLDCUP!BD64</f>
        <v>Bélgica</v>
      </c>
      <c r="E249" s="31" t="str">
        <f aca="false">+WORLDCUP!BD63</f>
        <v>Japón</v>
      </c>
      <c r="F249" s="31" t="str">
        <f aca="false">+WORLDCUP!BD60</f>
        <v>Marruecos</v>
      </c>
      <c r="G249" s="31" t="str">
        <f aca="false">+WORLDCUP!BD58</f>
        <v>República Checa</v>
      </c>
      <c r="H249" s="31" t="str">
        <f aca="false">+WORLDCUP!BD61</f>
        <v>Turquía</v>
      </c>
      <c r="I249" s="31" t="str">
        <f aca="false">+WORLDCUP!BD69</f>
        <v>Ghana</v>
      </c>
      <c r="J249" s="31" t="str">
        <f aca="false">+WORLDCUP!BD66</f>
        <v>Irak</v>
      </c>
      <c r="N249" s="31" t="s">
        <v>1767</v>
      </c>
      <c r="O249" s="31" t="n">
        <v>248</v>
      </c>
      <c r="P249" s="31" t="s">
        <v>112</v>
      </c>
      <c r="Q249" s="31" t="s">
        <v>107</v>
      </c>
      <c r="R249" s="31" t="s">
        <v>103</v>
      </c>
      <c r="S249" s="31" t="s">
        <v>89</v>
      </c>
      <c r="T249" s="31" t="s">
        <v>80</v>
      </c>
      <c r="U249" s="31" t="s">
        <v>94</v>
      </c>
      <c r="V249" s="31" t="s">
        <v>130</v>
      </c>
      <c r="W249" s="31" t="s">
        <v>116</v>
      </c>
    </row>
    <row r="250" customFormat="false" ht="15" hidden="false" customHeight="false" outlineLevel="0" collapsed="false">
      <c r="A250" s="31" t="s">
        <v>1768</v>
      </c>
      <c r="B250" s="31" t="n">
        <f aca="false">+IF(A250=WORLDCUP!$BI$112,1,0)</f>
        <v>0</v>
      </c>
      <c r="C250" s="31" t="str">
        <f aca="false">+WORLDCUP!BD65</f>
        <v>España</v>
      </c>
      <c r="D250" s="31" t="str">
        <f aca="false">+WORLDCUP!BD64</f>
        <v>Bélgica</v>
      </c>
      <c r="E250" s="31" t="str">
        <f aca="false">+WORLDCUP!BD63</f>
        <v>Japón</v>
      </c>
      <c r="F250" s="31" t="str">
        <f aca="false">+WORLDCUP!BD60</f>
        <v>Marruecos</v>
      </c>
      <c r="G250" s="31" t="str">
        <f aca="false">+WORLDCUP!BD58</f>
        <v>República Checa</v>
      </c>
      <c r="H250" s="31" t="str">
        <f aca="false">+WORLDCUP!BD61</f>
        <v>Turquía</v>
      </c>
      <c r="I250" s="31" t="str">
        <f aca="false">+WORLDCUP!BD66</f>
        <v>Irak</v>
      </c>
      <c r="J250" s="31" t="str">
        <f aca="false">+WORLDCUP!BD68</f>
        <v>Uzbekistán</v>
      </c>
      <c r="N250" s="31" t="s">
        <v>1768</v>
      </c>
      <c r="O250" s="31" t="n">
        <v>249</v>
      </c>
      <c r="P250" s="31" t="s">
        <v>112</v>
      </c>
      <c r="Q250" s="31" t="s">
        <v>107</v>
      </c>
      <c r="R250" s="31" t="s">
        <v>103</v>
      </c>
      <c r="S250" s="31" t="s">
        <v>89</v>
      </c>
      <c r="T250" s="31" t="s">
        <v>80</v>
      </c>
      <c r="U250" s="31" t="s">
        <v>94</v>
      </c>
      <c r="V250" s="31" t="s">
        <v>116</v>
      </c>
      <c r="W250" s="31" t="s">
        <v>125</v>
      </c>
    </row>
    <row r="251" customFormat="false" ht="15" hidden="false" customHeight="false" outlineLevel="0" collapsed="false">
      <c r="A251" s="31" t="s">
        <v>1769</v>
      </c>
      <c r="B251" s="31" t="n">
        <f aca="false">+IF(A251=WORLDCUP!$BI$112,1,0)</f>
        <v>0</v>
      </c>
      <c r="C251" s="31" t="str">
        <f aca="false">+WORLDCUP!BD65</f>
        <v>España</v>
      </c>
      <c r="D251" s="31" t="str">
        <f aca="false">+WORLDCUP!BD64</f>
        <v>Bélgica</v>
      </c>
      <c r="E251" s="31" t="str">
        <f aca="false">+WORLDCUP!BD67</f>
        <v>Austria</v>
      </c>
      <c r="F251" s="31" t="str">
        <f aca="false">+WORLDCUP!BD60</f>
        <v>Marruecos</v>
      </c>
      <c r="G251" s="31" t="str">
        <f aca="false">+WORLDCUP!BD58</f>
        <v>República Checa</v>
      </c>
      <c r="H251" s="31" t="str">
        <f aca="false">+WORLDCUP!BD63</f>
        <v>Japón</v>
      </c>
      <c r="I251" s="31" t="str">
        <f aca="false">+WORLDCUP!BD61</f>
        <v>Turquía</v>
      </c>
      <c r="J251" s="31" t="str">
        <f aca="false">+WORLDCUP!BD66</f>
        <v>Irak</v>
      </c>
      <c r="N251" s="31" t="s">
        <v>1769</v>
      </c>
      <c r="O251" s="31" t="n">
        <v>250</v>
      </c>
      <c r="P251" s="31" t="s">
        <v>112</v>
      </c>
      <c r="Q251" s="31" t="s">
        <v>107</v>
      </c>
      <c r="R251" s="31" t="s">
        <v>121</v>
      </c>
      <c r="S251" s="31" t="s">
        <v>89</v>
      </c>
      <c r="T251" s="31" t="s">
        <v>80</v>
      </c>
      <c r="U251" s="31" t="s">
        <v>103</v>
      </c>
      <c r="V251" s="31" t="s">
        <v>94</v>
      </c>
      <c r="W251" s="31" t="s">
        <v>116</v>
      </c>
    </row>
    <row r="252" customFormat="false" ht="15" hidden="false" customHeight="false" outlineLevel="0" collapsed="false">
      <c r="A252" s="31" t="s">
        <v>1770</v>
      </c>
      <c r="B252" s="31" t="n">
        <f aca="false">+IF(A252=WORLDCUP!$BI$112,1,0)</f>
        <v>0</v>
      </c>
      <c r="C252" s="31" t="str">
        <f aca="false">+WORLDCUP!BD62</f>
        <v>Ecuador</v>
      </c>
      <c r="D252" s="31" t="str">
        <f aca="false">+WORLDCUP!BD67</f>
        <v>Austria</v>
      </c>
      <c r="E252" s="31" t="str">
        <f aca="false">+WORLDCUP!BD66</f>
        <v>Irak</v>
      </c>
      <c r="F252" s="31" t="str">
        <f aca="false">+WORLDCUP!BD60</f>
        <v>Marruecos</v>
      </c>
      <c r="G252" s="31" t="str">
        <f aca="false">+WORLDCUP!BD58</f>
        <v>República Checa</v>
      </c>
      <c r="H252" s="31" t="str">
        <f aca="false">+WORLDCUP!BD61</f>
        <v>Turquía</v>
      </c>
      <c r="I252" s="31" t="str">
        <f aca="false">+WORLDCUP!BD69</f>
        <v>Ghana</v>
      </c>
      <c r="J252" s="31" t="str">
        <f aca="false">+WORLDCUP!BD68</f>
        <v>Uzbekistán</v>
      </c>
      <c r="N252" s="31" t="s">
        <v>1770</v>
      </c>
      <c r="O252" s="31" t="n">
        <v>251</v>
      </c>
      <c r="P252" s="31" t="s">
        <v>98</v>
      </c>
      <c r="Q252" s="31" t="s">
        <v>121</v>
      </c>
      <c r="R252" s="31" t="s">
        <v>116</v>
      </c>
      <c r="S252" s="31" t="s">
        <v>89</v>
      </c>
      <c r="T252" s="31" t="s">
        <v>80</v>
      </c>
      <c r="U252" s="31" t="s">
        <v>94</v>
      </c>
      <c r="V252" s="31" t="s">
        <v>130</v>
      </c>
      <c r="W252" s="31" t="s">
        <v>125</v>
      </c>
    </row>
    <row r="253" customFormat="false" ht="15" hidden="false" customHeight="false" outlineLevel="0" collapsed="false">
      <c r="A253" s="31" t="s">
        <v>1771</v>
      </c>
      <c r="B253" s="31" t="n">
        <f aca="false">+IF(A253=WORLDCUP!$BI$112,1,0)</f>
        <v>0</v>
      </c>
      <c r="C253" s="31" t="str">
        <f aca="false">+WORLDCUP!BD65</f>
        <v>España</v>
      </c>
      <c r="D253" s="31" t="str">
        <f aca="false">+WORLDCUP!BD67</f>
        <v>Austria</v>
      </c>
      <c r="E253" s="31" t="str">
        <f aca="false">+WORLDCUP!BD62</f>
        <v>Ecuador</v>
      </c>
      <c r="F253" s="31" t="str">
        <f aca="false">+WORLDCUP!BD60</f>
        <v>Marruecos</v>
      </c>
      <c r="G253" s="31" t="str">
        <f aca="false">+WORLDCUP!BD58</f>
        <v>República Checa</v>
      </c>
      <c r="H253" s="31" t="str">
        <f aca="false">+WORLDCUP!BD61</f>
        <v>Turquía</v>
      </c>
      <c r="I253" s="31" t="str">
        <f aca="false">+WORLDCUP!BD69</f>
        <v>Ghana</v>
      </c>
      <c r="J253" s="31" t="str">
        <f aca="false">+WORLDCUP!BD68</f>
        <v>Uzbekistán</v>
      </c>
      <c r="N253" s="31" t="s">
        <v>1771</v>
      </c>
      <c r="O253" s="31" t="n">
        <v>252</v>
      </c>
      <c r="P253" s="31" t="s">
        <v>112</v>
      </c>
      <c r="Q253" s="31" t="s">
        <v>121</v>
      </c>
      <c r="R253" s="31" t="s">
        <v>98</v>
      </c>
      <c r="S253" s="31" t="s">
        <v>89</v>
      </c>
      <c r="T253" s="31" t="s">
        <v>80</v>
      </c>
      <c r="U253" s="31" t="s">
        <v>94</v>
      </c>
      <c r="V253" s="31" t="s">
        <v>130</v>
      </c>
      <c r="W253" s="31" t="s">
        <v>125</v>
      </c>
    </row>
    <row r="254" customFormat="false" ht="15" hidden="false" customHeight="false" outlineLevel="0" collapsed="false">
      <c r="A254" s="31" t="s">
        <v>1772</v>
      </c>
      <c r="B254" s="31" t="n">
        <f aca="false">+IF(A254=WORLDCUP!$BI$112,1,0)</f>
        <v>0</v>
      </c>
      <c r="C254" s="31" t="str">
        <f aca="false">+WORLDCUP!BD65</f>
        <v>España</v>
      </c>
      <c r="D254" s="31" t="str">
        <f aca="false">+WORLDCUP!BD62</f>
        <v>Ecuador</v>
      </c>
      <c r="E254" s="31" t="str">
        <f aca="false">+WORLDCUP!BD66</f>
        <v>Irak</v>
      </c>
      <c r="F254" s="31" t="str">
        <f aca="false">+WORLDCUP!BD60</f>
        <v>Marruecos</v>
      </c>
      <c r="G254" s="31" t="str">
        <f aca="false">+WORLDCUP!BD58</f>
        <v>República Checa</v>
      </c>
      <c r="H254" s="31" t="str">
        <f aca="false">+WORLDCUP!BD61</f>
        <v>Turquía</v>
      </c>
      <c r="I254" s="31" t="str">
        <f aca="false">+WORLDCUP!BD69</f>
        <v>Ghana</v>
      </c>
      <c r="J254" s="31" t="str">
        <f aca="false">+WORLDCUP!BD68</f>
        <v>Uzbekistán</v>
      </c>
      <c r="N254" s="31" t="s">
        <v>1772</v>
      </c>
      <c r="O254" s="31" t="n">
        <v>253</v>
      </c>
      <c r="P254" s="31" t="s">
        <v>112</v>
      </c>
      <c r="Q254" s="31" t="s">
        <v>98</v>
      </c>
      <c r="R254" s="31" t="s">
        <v>116</v>
      </c>
      <c r="S254" s="31" t="s">
        <v>89</v>
      </c>
      <c r="T254" s="31" t="s">
        <v>80</v>
      </c>
      <c r="U254" s="31" t="s">
        <v>94</v>
      </c>
      <c r="V254" s="31" t="s">
        <v>130</v>
      </c>
      <c r="W254" s="31" t="s">
        <v>125</v>
      </c>
    </row>
    <row r="255" customFormat="false" ht="15" hidden="false" customHeight="false" outlineLevel="0" collapsed="false">
      <c r="A255" s="31" t="s">
        <v>1773</v>
      </c>
      <c r="B255" s="31" t="n">
        <f aca="false">+IF(A255=WORLDCUP!$BI$112,1,0)</f>
        <v>0</v>
      </c>
      <c r="C255" s="31" t="str">
        <f aca="false">+WORLDCUP!BD65</f>
        <v>España</v>
      </c>
      <c r="D255" s="31" t="str">
        <f aca="false">+WORLDCUP!BD67</f>
        <v>Austria</v>
      </c>
      <c r="E255" s="31" t="str">
        <f aca="false">+WORLDCUP!BD62</f>
        <v>Ecuador</v>
      </c>
      <c r="F255" s="31" t="str">
        <f aca="false">+WORLDCUP!BD60</f>
        <v>Marruecos</v>
      </c>
      <c r="G255" s="31" t="str">
        <f aca="false">+WORLDCUP!BD58</f>
        <v>República Checa</v>
      </c>
      <c r="H255" s="31" t="str">
        <f aca="false">+WORLDCUP!BD61</f>
        <v>Turquía</v>
      </c>
      <c r="I255" s="31" t="str">
        <f aca="false">+WORLDCUP!BD69</f>
        <v>Ghana</v>
      </c>
      <c r="J255" s="31" t="str">
        <f aca="false">+WORLDCUP!BD66</f>
        <v>Irak</v>
      </c>
      <c r="N255" s="31" t="s">
        <v>1773</v>
      </c>
      <c r="O255" s="31" t="n">
        <v>254</v>
      </c>
      <c r="P255" s="31" t="s">
        <v>112</v>
      </c>
      <c r="Q255" s="31" t="s">
        <v>121</v>
      </c>
      <c r="R255" s="31" t="s">
        <v>98</v>
      </c>
      <c r="S255" s="31" t="s">
        <v>89</v>
      </c>
      <c r="T255" s="31" t="s">
        <v>80</v>
      </c>
      <c r="U255" s="31" t="s">
        <v>94</v>
      </c>
      <c r="V255" s="31" t="s">
        <v>130</v>
      </c>
      <c r="W255" s="31" t="s">
        <v>116</v>
      </c>
    </row>
    <row r="256" customFormat="false" ht="15" hidden="false" customHeight="false" outlineLevel="0" collapsed="false">
      <c r="A256" s="31" t="s">
        <v>1774</v>
      </c>
      <c r="B256" s="31" t="n">
        <f aca="false">+IF(A256=WORLDCUP!$BI$112,1,0)</f>
        <v>0</v>
      </c>
      <c r="C256" s="31" t="str">
        <f aca="false">+WORLDCUP!BD65</f>
        <v>España</v>
      </c>
      <c r="D256" s="31" t="str">
        <f aca="false">+WORLDCUP!BD67</f>
        <v>Austria</v>
      </c>
      <c r="E256" s="31" t="str">
        <f aca="false">+WORLDCUP!BD62</f>
        <v>Ecuador</v>
      </c>
      <c r="F256" s="31" t="str">
        <f aca="false">+WORLDCUP!BD60</f>
        <v>Marruecos</v>
      </c>
      <c r="G256" s="31" t="str">
        <f aca="false">+WORLDCUP!BD58</f>
        <v>República Checa</v>
      </c>
      <c r="H256" s="31" t="str">
        <f aca="false">+WORLDCUP!BD61</f>
        <v>Turquía</v>
      </c>
      <c r="I256" s="31" t="str">
        <f aca="false">+WORLDCUP!BD66</f>
        <v>Irak</v>
      </c>
      <c r="J256" s="31" t="str">
        <f aca="false">+WORLDCUP!BD68</f>
        <v>Uzbekistán</v>
      </c>
      <c r="N256" s="31" t="s">
        <v>1774</v>
      </c>
      <c r="O256" s="31" t="n">
        <v>255</v>
      </c>
      <c r="P256" s="31" t="s">
        <v>112</v>
      </c>
      <c r="Q256" s="31" t="s">
        <v>121</v>
      </c>
      <c r="R256" s="31" t="s">
        <v>98</v>
      </c>
      <c r="S256" s="31" t="s">
        <v>89</v>
      </c>
      <c r="T256" s="31" t="s">
        <v>80</v>
      </c>
      <c r="U256" s="31" t="s">
        <v>94</v>
      </c>
      <c r="V256" s="31" t="s">
        <v>116</v>
      </c>
      <c r="W256" s="31" t="s">
        <v>125</v>
      </c>
    </row>
    <row r="257" customFormat="false" ht="15" hidden="false" customHeight="false" outlineLevel="0" collapsed="false">
      <c r="A257" s="31" t="s">
        <v>1775</v>
      </c>
      <c r="B257" s="31" t="n">
        <f aca="false">+IF(A257=WORLDCUP!$BI$112,1,0)</f>
        <v>0</v>
      </c>
      <c r="C257" s="31" t="str">
        <f aca="false">+WORLDCUP!BD62</f>
        <v>Ecuador</v>
      </c>
      <c r="D257" s="31" t="str">
        <f aca="false">+WORLDCUP!BD64</f>
        <v>Bélgica</v>
      </c>
      <c r="E257" s="31" t="str">
        <f aca="false">+WORLDCUP!BD67</f>
        <v>Austria</v>
      </c>
      <c r="F257" s="31" t="str">
        <f aca="false">+WORLDCUP!BD60</f>
        <v>Marruecos</v>
      </c>
      <c r="G257" s="31" t="str">
        <f aca="false">+WORLDCUP!BD58</f>
        <v>República Checa</v>
      </c>
      <c r="H257" s="31" t="str">
        <f aca="false">+WORLDCUP!BD61</f>
        <v>Turquía</v>
      </c>
      <c r="I257" s="31" t="str">
        <f aca="false">+WORLDCUP!BD69</f>
        <v>Ghana</v>
      </c>
      <c r="J257" s="31" t="str">
        <f aca="false">+WORLDCUP!BD68</f>
        <v>Uzbekistán</v>
      </c>
      <c r="N257" s="31" t="s">
        <v>1775</v>
      </c>
      <c r="O257" s="31" t="n">
        <v>256</v>
      </c>
      <c r="P257" s="31" t="s">
        <v>98</v>
      </c>
      <c r="Q257" s="31" t="s">
        <v>107</v>
      </c>
      <c r="R257" s="31" t="s">
        <v>121</v>
      </c>
      <c r="S257" s="31" t="s">
        <v>89</v>
      </c>
      <c r="T257" s="31" t="s">
        <v>80</v>
      </c>
      <c r="U257" s="31" t="s">
        <v>94</v>
      </c>
      <c r="V257" s="31" t="s">
        <v>130</v>
      </c>
      <c r="W257" s="31" t="s">
        <v>125</v>
      </c>
    </row>
    <row r="258" customFormat="false" ht="15" hidden="false" customHeight="false" outlineLevel="0" collapsed="false">
      <c r="A258" s="31" t="s">
        <v>1776</v>
      </c>
      <c r="B258" s="31" t="n">
        <f aca="false">+IF(A258=WORLDCUP!$BI$112,1,0)</f>
        <v>0</v>
      </c>
      <c r="C258" s="31" t="str">
        <f aca="false">+WORLDCUP!BD62</f>
        <v>Ecuador</v>
      </c>
      <c r="D258" s="31" t="str">
        <f aca="false">+WORLDCUP!BD64</f>
        <v>Bélgica</v>
      </c>
      <c r="E258" s="31" t="str">
        <f aca="false">+WORLDCUP!BD66</f>
        <v>Irak</v>
      </c>
      <c r="F258" s="31" t="str">
        <f aca="false">+WORLDCUP!BD60</f>
        <v>Marruecos</v>
      </c>
      <c r="G258" s="31" t="str">
        <f aca="false">+WORLDCUP!BD58</f>
        <v>República Checa</v>
      </c>
      <c r="H258" s="31" t="str">
        <f aca="false">+WORLDCUP!BD61</f>
        <v>Turquía</v>
      </c>
      <c r="I258" s="31" t="str">
        <f aca="false">+WORLDCUP!BD69</f>
        <v>Ghana</v>
      </c>
      <c r="J258" s="31" t="str">
        <f aca="false">+WORLDCUP!BD68</f>
        <v>Uzbekistán</v>
      </c>
      <c r="N258" s="31" t="s">
        <v>1776</v>
      </c>
      <c r="O258" s="31" t="n">
        <v>257</v>
      </c>
      <c r="P258" s="31" t="s">
        <v>98</v>
      </c>
      <c r="Q258" s="31" t="s">
        <v>107</v>
      </c>
      <c r="R258" s="31" t="s">
        <v>116</v>
      </c>
      <c r="S258" s="31" t="s">
        <v>89</v>
      </c>
      <c r="T258" s="31" t="s">
        <v>80</v>
      </c>
      <c r="U258" s="31" t="s">
        <v>94</v>
      </c>
      <c r="V258" s="31" t="s">
        <v>130</v>
      </c>
      <c r="W258" s="31" t="s">
        <v>125</v>
      </c>
    </row>
    <row r="259" customFormat="false" ht="15" hidden="false" customHeight="false" outlineLevel="0" collapsed="false">
      <c r="A259" s="31" t="s">
        <v>1777</v>
      </c>
      <c r="B259" s="31" t="n">
        <f aca="false">+IF(A259=WORLDCUP!$BI$112,1,0)</f>
        <v>0</v>
      </c>
      <c r="C259" s="31" t="str">
        <f aca="false">+WORLDCUP!BD62</f>
        <v>Ecuador</v>
      </c>
      <c r="D259" s="31" t="str">
        <f aca="false">+WORLDCUP!BD64</f>
        <v>Bélgica</v>
      </c>
      <c r="E259" s="31" t="str">
        <f aca="false">+WORLDCUP!BD67</f>
        <v>Austria</v>
      </c>
      <c r="F259" s="31" t="str">
        <f aca="false">+WORLDCUP!BD60</f>
        <v>Marruecos</v>
      </c>
      <c r="G259" s="31" t="str">
        <f aca="false">+WORLDCUP!BD58</f>
        <v>República Checa</v>
      </c>
      <c r="H259" s="31" t="str">
        <f aca="false">+WORLDCUP!BD61</f>
        <v>Turquía</v>
      </c>
      <c r="I259" s="31" t="str">
        <f aca="false">+WORLDCUP!BD69</f>
        <v>Ghana</v>
      </c>
      <c r="J259" s="31" t="str">
        <f aca="false">+WORLDCUP!BD66</f>
        <v>Irak</v>
      </c>
      <c r="N259" s="31" t="s">
        <v>1777</v>
      </c>
      <c r="O259" s="31" t="n">
        <v>258</v>
      </c>
      <c r="P259" s="31" t="s">
        <v>98</v>
      </c>
      <c r="Q259" s="31" t="s">
        <v>107</v>
      </c>
      <c r="R259" s="31" t="s">
        <v>121</v>
      </c>
      <c r="S259" s="31" t="s">
        <v>89</v>
      </c>
      <c r="T259" s="31" t="s">
        <v>80</v>
      </c>
      <c r="U259" s="31" t="s">
        <v>94</v>
      </c>
      <c r="V259" s="31" t="s">
        <v>130</v>
      </c>
      <c r="W259" s="31" t="s">
        <v>116</v>
      </c>
    </row>
    <row r="260" customFormat="false" ht="15" hidden="false" customHeight="false" outlineLevel="0" collapsed="false">
      <c r="A260" s="31" t="s">
        <v>1778</v>
      </c>
      <c r="B260" s="31" t="n">
        <f aca="false">+IF(A260=WORLDCUP!$BI$112,1,0)</f>
        <v>0</v>
      </c>
      <c r="C260" s="31" t="str">
        <f aca="false">+WORLDCUP!BD62</f>
        <v>Ecuador</v>
      </c>
      <c r="D260" s="31" t="str">
        <f aca="false">+WORLDCUP!BD64</f>
        <v>Bélgica</v>
      </c>
      <c r="E260" s="31" t="str">
        <f aca="false">+WORLDCUP!BD67</f>
        <v>Austria</v>
      </c>
      <c r="F260" s="31" t="str">
        <f aca="false">+WORLDCUP!BD60</f>
        <v>Marruecos</v>
      </c>
      <c r="G260" s="31" t="str">
        <f aca="false">+WORLDCUP!BD58</f>
        <v>República Checa</v>
      </c>
      <c r="H260" s="31" t="str">
        <f aca="false">+WORLDCUP!BD61</f>
        <v>Turquía</v>
      </c>
      <c r="I260" s="31" t="str">
        <f aca="false">+WORLDCUP!BD66</f>
        <v>Irak</v>
      </c>
      <c r="J260" s="31" t="str">
        <f aca="false">+WORLDCUP!BD68</f>
        <v>Uzbekistán</v>
      </c>
      <c r="N260" s="31" t="s">
        <v>1778</v>
      </c>
      <c r="O260" s="31" t="n">
        <v>259</v>
      </c>
      <c r="P260" s="31" t="s">
        <v>98</v>
      </c>
      <c r="Q260" s="31" t="s">
        <v>107</v>
      </c>
      <c r="R260" s="31" t="s">
        <v>121</v>
      </c>
      <c r="S260" s="31" t="s">
        <v>89</v>
      </c>
      <c r="T260" s="31" t="s">
        <v>80</v>
      </c>
      <c r="U260" s="31" t="s">
        <v>94</v>
      </c>
      <c r="V260" s="31" t="s">
        <v>116</v>
      </c>
      <c r="W260" s="31" t="s">
        <v>125</v>
      </c>
    </row>
    <row r="261" customFormat="false" ht="15" hidden="false" customHeight="false" outlineLevel="0" collapsed="false">
      <c r="A261" s="31" t="s">
        <v>1779</v>
      </c>
      <c r="B261" s="31" t="n">
        <f aca="false">+IF(A261=WORLDCUP!$BI$112,1,0)</f>
        <v>0</v>
      </c>
      <c r="C261" s="31" t="str">
        <f aca="false">+WORLDCUP!BD65</f>
        <v>España</v>
      </c>
      <c r="D261" s="31" t="str">
        <f aca="false">+WORLDCUP!BD64</f>
        <v>Bélgica</v>
      </c>
      <c r="E261" s="31" t="str">
        <f aca="false">+WORLDCUP!BD62</f>
        <v>Ecuador</v>
      </c>
      <c r="F261" s="31" t="str">
        <f aca="false">+WORLDCUP!BD60</f>
        <v>Marruecos</v>
      </c>
      <c r="G261" s="31" t="str">
        <f aca="false">+WORLDCUP!BD58</f>
        <v>República Checa</v>
      </c>
      <c r="H261" s="31" t="str">
        <f aca="false">+WORLDCUP!BD61</f>
        <v>Turquía</v>
      </c>
      <c r="I261" s="31" t="str">
        <f aca="false">+WORLDCUP!BD69</f>
        <v>Ghana</v>
      </c>
      <c r="J261" s="31" t="str">
        <f aca="false">+WORLDCUP!BD68</f>
        <v>Uzbekistán</v>
      </c>
      <c r="N261" s="31" t="s">
        <v>1779</v>
      </c>
      <c r="O261" s="31" t="n">
        <v>260</v>
      </c>
      <c r="P261" s="31" t="s">
        <v>112</v>
      </c>
      <c r="Q261" s="31" t="s">
        <v>107</v>
      </c>
      <c r="R261" s="31" t="s">
        <v>98</v>
      </c>
      <c r="S261" s="31" t="s">
        <v>89</v>
      </c>
      <c r="T261" s="31" t="s">
        <v>80</v>
      </c>
      <c r="U261" s="31" t="s">
        <v>94</v>
      </c>
      <c r="V261" s="31" t="s">
        <v>130</v>
      </c>
      <c r="W261" s="31" t="s">
        <v>125</v>
      </c>
    </row>
    <row r="262" customFormat="false" ht="15" hidden="false" customHeight="false" outlineLevel="0" collapsed="false">
      <c r="A262" s="31" t="s">
        <v>1780</v>
      </c>
      <c r="B262" s="31" t="n">
        <f aca="false">+IF(A262=WORLDCUP!$BI$112,1,0)</f>
        <v>0</v>
      </c>
      <c r="C262" s="31" t="str">
        <f aca="false">+WORLDCUP!BD65</f>
        <v>España</v>
      </c>
      <c r="D262" s="31" t="str">
        <f aca="false">+WORLDCUP!BD64</f>
        <v>Bélgica</v>
      </c>
      <c r="E262" s="31" t="str">
        <f aca="false">+WORLDCUP!BD67</f>
        <v>Austria</v>
      </c>
      <c r="F262" s="31" t="str">
        <f aca="false">+WORLDCUP!BD60</f>
        <v>Marruecos</v>
      </c>
      <c r="G262" s="31" t="str">
        <f aca="false">+WORLDCUP!BD58</f>
        <v>República Checa</v>
      </c>
      <c r="H262" s="31" t="str">
        <f aca="false">+WORLDCUP!BD61</f>
        <v>Turquía</v>
      </c>
      <c r="I262" s="31" t="str">
        <f aca="false">+WORLDCUP!BD69</f>
        <v>Ghana</v>
      </c>
      <c r="J262" s="31" t="str">
        <f aca="false">+WORLDCUP!BD62</f>
        <v>Ecuador</v>
      </c>
      <c r="N262" s="31" t="s">
        <v>1780</v>
      </c>
      <c r="O262" s="31" t="n">
        <v>261</v>
      </c>
      <c r="P262" s="31" t="s">
        <v>112</v>
      </c>
      <c r="Q262" s="31" t="s">
        <v>107</v>
      </c>
      <c r="R262" s="31" t="s">
        <v>121</v>
      </c>
      <c r="S262" s="31" t="s">
        <v>89</v>
      </c>
      <c r="T262" s="31" t="s">
        <v>80</v>
      </c>
      <c r="U262" s="31" t="s">
        <v>94</v>
      </c>
      <c r="V262" s="31" t="s">
        <v>130</v>
      </c>
      <c r="W262" s="31" t="s">
        <v>98</v>
      </c>
    </row>
    <row r="263" customFormat="false" ht="15" hidden="false" customHeight="false" outlineLevel="0" collapsed="false">
      <c r="A263" s="31" t="s">
        <v>1781</v>
      </c>
      <c r="B263" s="31" t="n">
        <f aca="false">+IF(A263=WORLDCUP!$BI$112,1,0)</f>
        <v>0</v>
      </c>
      <c r="C263" s="31" t="str">
        <f aca="false">+WORLDCUP!BD65</f>
        <v>España</v>
      </c>
      <c r="D263" s="31" t="str">
        <f aca="false">+WORLDCUP!BD64</f>
        <v>Bélgica</v>
      </c>
      <c r="E263" s="31" t="str">
        <f aca="false">+WORLDCUP!BD67</f>
        <v>Austria</v>
      </c>
      <c r="F263" s="31" t="str">
        <f aca="false">+WORLDCUP!BD60</f>
        <v>Marruecos</v>
      </c>
      <c r="G263" s="31" t="str">
        <f aca="false">+WORLDCUP!BD58</f>
        <v>República Checa</v>
      </c>
      <c r="H263" s="31" t="str">
        <f aca="false">+WORLDCUP!BD61</f>
        <v>Turquía</v>
      </c>
      <c r="I263" s="31" t="str">
        <f aca="false">+WORLDCUP!BD62</f>
        <v>Ecuador</v>
      </c>
      <c r="J263" s="31" t="str">
        <f aca="false">+WORLDCUP!BD68</f>
        <v>Uzbekistán</v>
      </c>
      <c r="N263" s="31" t="s">
        <v>1781</v>
      </c>
      <c r="O263" s="31" t="n">
        <v>262</v>
      </c>
      <c r="P263" s="31" t="s">
        <v>112</v>
      </c>
      <c r="Q263" s="31" t="s">
        <v>107</v>
      </c>
      <c r="R263" s="31" t="s">
        <v>121</v>
      </c>
      <c r="S263" s="31" t="s">
        <v>89</v>
      </c>
      <c r="T263" s="31" t="s">
        <v>80</v>
      </c>
      <c r="U263" s="31" t="s">
        <v>94</v>
      </c>
      <c r="V263" s="31" t="s">
        <v>98</v>
      </c>
      <c r="W263" s="31" t="s">
        <v>125</v>
      </c>
    </row>
    <row r="264" customFormat="false" ht="15" hidden="false" customHeight="false" outlineLevel="0" collapsed="false">
      <c r="A264" s="31" t="s">
        <v>1782</v>
      </c>
      <c r="B264" s="31" t="n">
        <f aca="false">+IF(A264=WORLDCUP!$BI$112,1,0)</f>
        <v>0</v>
      </c>
      <c r="C264" s="31" t="str">
        <f aca="false">+WORLDCUP!BD65</f>
        <v>España</v>
      </c>
      <c r="D264" s="31" t="str">
        <f aca="false">+WORLDCUP!BD64</f>
        <v>Bélgica</v>
      </c>
      <c r="E264" s="31" t="str">
        <f aca="false">+WORLDCUP!BD62</f>
        <v>Ecuador</v>
      </c>
      <c r="F264" s="31" t="str">
        <f aca="false">+WORLDCUP!BD60</f>
        <v>Marruecos</v>
      </c>
      <c r="G264" s="31" t="str">
        <f aca="false">+WORLDCUP!BD58</f>
        <v>República Checa</v>
      </c>
      <c r="H264" s="31" t="str">
        <f aca="false">+WORLDCUP!BD61</f>
        <v>Turquía</v>
      </c>
      <c r="I264" s="31" t="str">
        <f aca="false">+WORLDCUP!BD69</f>
        <v>Ghana</v>
      </c>
      <c r="J264" s="31" t="str">
        <f aca="false">+WORLDCUP!BD66</f>
        <v>Irak</v>
      </c>
      <c r="N264" s="31" t="s">
        <v>1782</v>
      </c>
      <c r="O264" s="31" t="n">
        <v>263</v>
      </c>
      <c r="P264" s="31" t="s">
        <v>112</v>
      </c>
      <c r="Q264" s="31" t="s">
        <v>107</v>
      </c>
      <c r="R264" s="31" t="s">
        <v>98</v>
      </c>
      <c r="S264" s="31" t="s">
        <v>89</v>
      </c>
      <c r="T264" s="31" t="s">
        <v>80</v>
      </c>
      <c r="U264" s="31" t="s">
        <v>94</v>
      </c>
      <c r="V264" s="31" t="s">
        <v>130</v>
      </c>
      <c r="W264" s="31" t="s">
        <v>116</v>
      </c>
    </row>
    <row r="265" customFormat="false" ht="15" hidden="false" customHeight="false" outlineLevel="0" collapsed="false">
      <c r="A265" s="31" t="s">
        <v>1783</v>
      </c>
      <c r="B265" s="31" t="n">
        <f aca="false">+IF(A265=WORLDCUP!$BI$112,1,0)</f>
        <v>0</v>
      </c>
      <c r="C265" s="31" t="str">
        <f aca="false">+WORLDCUP!BD65</f>
        <v>España</v>
      </c>
      <c r="D265" s="31" t="str">
        <f aca="false">+WORLDCUP!BD64</f>
        <v>Bélgica</v>
      </c>
      <c r="E265" s="31" t="str">
        <f aca="false">+WORLDCUP!BD62</f>
        <v>Ecuador</v>
      </c>
      <c r="F265" s="31" t="str">
        <f aca="false">+WORLDCUP!BD60</f>
        <v>Marruecos</v>
      </c>
      <c r="G265" s="31" t="str">
        <f aca="false">+WORLDCUP!BD58</f>
        <v>República Checa</v>
      </c>
      <c r="H265" s="31" t="str">
        <f aca="false">+WORLDCUP!BD61</f>
        <v>Turquía</v>
      </c>
      <c r="I265" s="31" t="str">
        <f aca="false">+WORLDCUP!BD66</f>
        <v>Irak</v>
      </c>
      <c r="J265" s="31" t="str">
        <f aca="false">+WORLDCUP!BD68</f>
        <v>Uzbekistán</v>
      </c>
      <c r="N265" s="31" t="s">
        <v>1783</v>
      </c>
      <c r="O265" s="31" t="n">
        <v>264</v>
      </c>
      <c r="P265" s="31" t="s">
        <v>112</v>
      </c>
      <c r="Q265" s="31" t="s">
        <v>107</v>
      </c>
      <c r="R265" s="31" t="s">
        <v>98</v>
      </c>
      <c r="S265" s="31" t="s">
        <v>89</v>
      </c>
      <c r="T265" s="31" t="s">
        <v>80</v>
      </c>
      <c r="U265" s="31" t="s">
        <v>94</v>
      </c>
      <c r="V265" s="31" t="s">
        <v>116</v>
      </c>
      <c r="W265" s="31" t="s">
        <v>125</v>
      </c>
    </row>
    <row r="266" customFormat="false" ht="15" hidden="false" customHeight="false" outlineLevel="0" collapsed="false">
      <c r="A266" s="31" t="s">
        <v>1784</v>
      </c>
      <c r="B266" s="31" t="n">
        <f aca="false">+IF(A266=WORLDCUP!$BI$112,1,0)</f>
        <v>0</v>
      </c>
      <c r="C266" s="31" t="str">
        <f aca="false">+WORLDCUP!BD65</f>
        <v>España</v>
      </c>
      <c r="D266" s="31" t="str">
        <f aca="false">+WORLDCUP!BD64</f>
        <v>Bélgica</v>
      </c>
      <c r="E266" s="31" t="str">
        <f aca="false">+WORLDCUP!BD67</f>
        <v>Austria</v>
      </c>
      <c r="F266" s="31" t="str">
        <f aca="false">+WORLDCUP!BD60</f>
        <v>Marruecos</v>
      </c>
      <c r="G266" s="31" t="str">
        <f aca="false">+WORLDCUP!BD58</f>
        <v>República Checa</v>
      </c>
      <c r="H266" s="31" t="str">
        <f aca="false">+WORLDCUP!BD61</f>
        <v>Turquía</v>
      </c>
      <c r="I266" s="31" t="str">
        <f aca="false">+WORLDCUP!BD62</f>
        <v>Ecuador</v>
      </c>
      <c r="J266" s="31" t="str">
        <f aca="false">+WORLDCUP!BD66</f>
        <v>Irak</v>
      </c>
      <c r="N266" s="31" t="s">
        <v>1784</v>
      </c>
      <c r="O266" s="31" t="n">
        <v>265</v>
      </c>
      <c r="P266" s="31" t="s">
        <v>112</v>
      </c>
      <c r="Q266" s="31" t="s">
        <v>107</v>
      </c>
      <c r="R266" s="31" t="s">
        <v>121</v>
      </c>
      <c r="S266" s="31" t="s">
        <v>89</v>
      </c>
      <c r="T266" s="31" t="s">
        <v>80</v>
      </c>
      <c r="U266" s="31" t="s">
        <v>94</v>
      </c>
      <c r="V266" s="31" t="s">
        <v>98</v>
      </c>
      <c r="W266" s="31" t="s">
        <v>116</v>
      </c>
    </row>
    <row r="267" customFormat="false" ht="15" hidden="false" customHeight="false" outlineLevel="0" collapsed="false">
      <c r="A267" s="31" t="s">
        <v>1785</v>
      </c>
      <c r="B267" s="31" t="n">
        <f aca="false">+IF(A267=WORLDCUP!$BI$112,1,0)</f>
        <v>0</v>
      </c>
      <c r="C267" s="31" t="str">
        <f aca="false">+WORLDCUP!BD60</f>
        <v>Marruecos</v>
      </c>
      <c r="D267" s="31" t="str">
        <f aca="false">+WORLDCUP!BD67</f>
        <v>Austria</v>
      </c>
      <c r="E267" s="31" t="str">
        <f aca="false">+WORLDCUP!BD62</f>
        <v>Ecuador</v>
      </c>
      <c r="F267" s="31" t="str">
        <f aca="false">+WORLDCUP!BD61</f>
        <v>Turquía</v>
      </c>
      <c r="G267" s="31" t="str">
        <f aca="false">+WORLDCUP!BD58</f>
        <v>República Checa</v>
      </c>
      <c r="H267" s="31" t="str">
        <f aca="false">+WORLDCUP!BD63</f>
        <v>Japón</v>
      </c>
      <c r="I267" s="31" t="str">
        <f aca="false">+WORLDCUP!BD69</f>
        <v>Ghana</v>
      </c>
      <c r="J267" s="31" t="str">
        <f aca="false">+WORLDCUP!BD68</f>
        <v>Uzbekistán</v>
      </c>
      <c r="N267" s="31" t="s">
        <v>1785</v>
      </c>
      <c r="O267" s="31" t="n">
        <v>266</v>
      </c>
      <c r="P267" s="31" t="s">
        <v>89</v>
      </c>
      <c r="Q267" s="31" t="s">
        <v>121</v>
      </c>
      <c r="R267" s="31" t="s">
        <v>98</v>
      </c>
      <c r="S267" s="31" t="s">
        <v>94</v>
      </c>
      <c r="T267" s="31" t="s">
        <v>80</v>
      </c>
      <c r="U267" s="31" t="s">
        <v>103</v>
      </c>
      <c r="V267" s="31" t="s">
        <v>130</v>
      </c>
      <c r="W267" s="31" t="s">
        <v>125</v>
      </c>
    </row>
    <row r="268" customFormat="false" ht="15" hidden="false" customHeight="false" outlineLevel="0" collapsed="false">
      <c r="A268" s="31" t="s">
        <v>1786</v>
      </c>
      <c r="B268" s="31" t="n">
        <f aca="false">+IF(A268=WORLDCUP!$BI$112,1,0)</f>
        <v>0</v>
      </c>
      <c r="C268" s="31" t="str">
        <f aca="false">+WORLDCUP!BD60</f>
        <v>Marruecos</v>
      </c>
      <c r="D268" s="31" t="str">
        <f aca="false">+WORLDCUP!BD62</f>
        <v>Ecuador</v>
      </c>
      <c r="E268" s="31" t="str">
        <f aca="false">+WORLDCUP!BD66</f>
        <v>Irak</v>
      </c>
      <c r="F268" s="31" t="str">
        <f aca="false">+WORLDCUP!BD61</f>
        <v>Turquía</v>
      </c>
      <c r="G268" s="31" t="str">
        <f aca="false">+WORLDCUP!BD58</f>
        <v>República Checa</v>
      </c>
      <c r="H268" s="31" t="str">
        <f aca="false">+WORLDCUP!BD63</f>
        <v>Japón</v>
      </c>
      <c r="I268" s="31" t="str">
        <f aca="false">+WORLDCUP!BD69</f>
        <v>Ghana</v>
      </c>
      <c r="J268" s="31" t="str">
        <f aca="false">+WORLDCUP!BD68</f>
        <v>Uzbekistán</v>
      </c>
      <c r="N268" s="31" t="s">
        <v>1786</v>
      </c>
      <c r="O268" s="31" t="n">
        <v>267</v>
      </c>
      <c r="P268" s="31" t="s">
        <v>89</v>
      </c>
      <c r="Q268" s="31" t="s">
        <v>98</v>
      </c>
      <c r="R268" s="31" t="s">
        <v>116</v>
      </c>
      <c r="S268" s="31" t="s">
        <v>94</v>
      </c>
      <c r="T268" s="31" t="s">
        <v>80</v>
      </c>
      <c r="U268" s="31" t="s">
        <v>103</v>
      </c>
      <c r="V268" s="31" t="s">
        <v>130</v>
      </c>
      <c r="W268" s="31" t="s">
        <v>125</v>
      </c>
    </row>
    <row r="269" customFormat="false" ht="15" hidden="false" customHeight="false" outlineLevel="0" collapsed="false">
      <c r="A269" s="31" t="s">
        <v>1787</v>
      </c>
      <c r="B269" s="31" t="n">
        <f aca="false">+IF(A269=WORLDCUP!$BI$112,1,0)</f>
        <v>0</v>
      </c>
      <c r="C269" s="31" t="str">
        <f aca="false">+WORLDCUP!BD60</f>
        <v>Marruecos</v>
      </c>
      <c r="D269" s="31" t="str">
        <f aca="false">+WORLDCUP!BD67</f>
        <v>Austria</v>
      </c>
      <c r="E269" s="31" t="str">
        <f aca="false">+WORLDCUP!BD62</f>
        <v>Ecuador</v>
      </c>
      <c r="F269" s="31" t="str">
        <f aca="false">+WORLDCUP!BD61</f>
        <v>Turquía</v>
      </c>
      <c r="G269" s="31" t="str">
        <f aca="false">+WORLDCUP!BD58</f>
        <v>República Checa</v>
      </c>
      <c r="H269" s="31" t="str">
        <f aca="false">+WORLDCUP!BD63</f>
        <v>Japón</v>
      </c>
      <c r="I269" s="31" t="str">
        <f aca="false">+WORLDCUP!BD69</f>
        <v>Ghana</v>
      </c>
      <c r="J269" s="31" t="str">
        <f aca="false">+WORLDCUP!BD66</f>
        <v>Irak</v>
      </c>
      <c r="N269" s="31" t="s">
        <v>1787</v>
      </c>
      <c r="O269" s="31" t="n">
        <v>268</v>
      </c>
      <c r="P269" s="31" t="s">
        <v>89</v>
      </c>
      <c r="Q269" s="31" t="s">
        <v>121</v>
      </c>
      <c r="R269" s="31" t="s">
        <v>98</v>
      </c>
      <c r="S269" s="31" t="s">
        <v>94</v>
      </c>
      <c r="T269" s="31" t="s">
        <v>80</v>
      </c>
      <c r="U269" s="31" t="s">
        <v>103</v>
      </c>
      <c r="V269" s="31" t="s">
        <v>130</v>
      </c>
      <c r="W269" s="31" t="s">
        <v>116</v>
      </c>
    </row>
    <row r="270" customFormat="false" ht="15" hidden="false" customHeight="false" outlineLevel="0" collapsed="false">
      <c r="A270" s="31" t="s">
        <v>1788</v>
      </c>
      <c r="B270" s="31" t="n">
        <f aca="false">+IF(A270=WORLDCUP!$BI$112,1,0)</f>
        <v>0</v>
      </c>
      <c r="C270" s="31" t="str">
        <f aca="false">+WORLDCUP!BD60</f>
        <v>Marruecos</v>
      </c>
      <c r="D270" s="31" t="str">
        <f aca="false">+WORLDCUP!BD67</f>
        <v>Austria</v>
      </c>
      <c r="E270" s="31" t="str">
        <f aca="false">+WORLDCUP!BD62</f>
        <v>Ecuador</v>
      </c>
      <c r="F270" s="31" t="str">
        <f aca="false">+WORLDCUP!BD61</f>
        <v>Turquía</v>
      </c>
      <c r="G270" s="31" t="str">
        <f aca="false">+WORLDCUP!BD58</f>
        <v>República Checa</v>
      </c>
      <c r="H270" s="31" t="str">
        <f aca="false">+WORLDCUP!BD63</f>
        <v>Japón</v>
      </c>
      <c r="I270" s="31" t="str">
        <f aca="false">+WORLDCUP!BD66</f>
        <v>Irak</v>
      </c>
      <c r="J270" s="31" t="str">
        <f aca="false">+WORLDCUP!BD68</f>
        <v>Uzbekistán</v>
      </c>
      <c r="N270" s="31" t="s">
        <v>1788</v>
      </c>
      <c r="O270" s="31" t="n">
        <v>269</v>
      </c>
      <c r="P270" s="31" t="s">
        <v>89</v>
      </c>
      <c r="Q270" s="31" t="s">
        <v>121</v>
      </c>
      <c r="R270" s="31" t="s">
        <v>98</v>
      </c>
      <c r="S270" s="31" t="s">
        <v>94</v>
      </c>
      <c r="T270" s="31" t="s">
        <v>80</v>
      </c>
      <c r="U270" s="31" t="s">
        <v>103</v>
      </c>
      <c r="V270" s="31" t="s">
        <v>116</v>
      </c>
      <c r="W270" s="31" t="s">
        <v>125</v>
      </c>
    </row>
    <row r="271" customFormat="false" ht="15" hidden="false" customHeight="false" outlineLevel="0" collapsed="false">
      <c r="A271" s="31" t="s">
        <v>1789</v>
      </c>
      <c r="B271" s="31" t="n">
        <f aca="false">+IF(A271=WORLDCUP!$BI$112,1,0)</f>
        <v>0</v>
      </c>
      <c r="C271" s="31" t="str">
        <f aca="false">+WORLDCUP!BD65</f>
        <v>España</v>
      </c>
      <c r="D271" s="31" t="str">
        <f aca="false">+WORLDCUP!BD62</f>
        <v>Ecuador</v>
      </c>
      <c r="E271" s="31" t="str">
        <f aca="false">+WORLDCUP!BD63</f>
        <v>Japón</v>
      </c>
      <c r="F271" s="31" t="str">
        <f aca="false">+WORLDCUP!BD60</f>
        <v>Marruecos</v>
      </c>
      <c r="G271" s="31" t="str">
        <f aca="false">+WORLDCUP!BD58</f>
        <v>República Checa</v>
      </c>
      <c r="H271" s="31" t="str">
        <f aca="false">+WORLDCUP!BD61</f>
        <v>Turquía</v>
      </c>
      <c r="I271" s="31" t="str">
        <f aca="false">+WORLDCUP!BD69</f>
        <v>Ghana</v>
      </c>
      <c r="J271" s="31" t="str">
        <f aca="false">+WORLDCUP!BD68</f>
        <v>Uzbekistán</v>
      </c>
      <c r="N271" s="31" t="s">
        <v>1789</v>
      </c>
      <c r="O271" s="31" t="n">
        <v>270</v>
      </c>
      <c r="P271" s="31" t="s">
        <v>112</v>
      </c>
      <c r="Q271" s="31" t="s">
        <v>98</v>
      </c>
      <c r="R271" s="31" t="s">
        <v>103</v>
      </c>
      <c r="S271" s="31" t="s">
        <v>89</v>
      </c>
      <c r="T271" s="31" t="s">
        <v>80</v>
      </c>
      <c r="U271" s="31" t="s">
        <v>94</v>
      </c>
      <c r="V271" s="31" t="s">
        <v>130</v>
      </c>
      <c r="W271" s="31" t="s">
        <v>125</v>
      </c>
    </row>
    <row r="272" customFormat="false" ht="15" hidden="false" customHeight="false" outlineLevel="0" collapsed="false">
      <c r="A272" s="31" t="s">
        <v>1790</v>
      </c>
      <c r="B272" s="31" t="n">
        <f aca="false">+IF(A272=WORLDCUP!$BI$112,1,0)</f>
        <v>0</v>
      </c>
      <c r="C272" s="31" t="str">
        <f aca="false">+WORLDCUP!BD65</f>
        <v>España</v>
      </c>
      <c r="D272" s="31" t="str">
        <f aca="false">+WORLDCUP!BD67</f>
        <v>Austria</v>
      </c>
      <c r="E272" s="31" t="str">
        <f aca="false">+WORLDCUP!BD63</f>
        <v>Japón</v>
      </c>
      <c r="F272" s="31" t="str">
        <f aca="false">+WORLDCUP!BD60</f>
        <v>Marruecos</v>
      </c>
      <c r="G272" s="31" t="str">
        <f aca="false">+WORLDCUP!BD58</f>
        <v>República Checa</v>
      </c>
      <c r="H272" s="31" t="str">
        <f aca="false">+WORLDCUP!BD61</f>
        <v>Turquía</v>
      </c>
      <c r="I272" s="31" t="str">
        <f aca="false">+WORLDCUP!BD69</f>
        <v>Ghana</v>
      </c>
      <c r="J272" s="31" t="str">
        <f aca="false">+WORLDCUP!BD62</f>
        <v>Ecuador</v>
      </c>
      <c r="N272" s="31" t="s">
        <v>1790</v>
      </c>
      <c r="O272" s="31" t="n">
        <v>271</v>
      </c>
      <c r="P272" s="31" t="s">
        <v>112</v>
      </c>
      <c r="Q272" s="31" t="s">
        <v>121</v>
      </c>
      <c r="R272" s="31" t="s">
        <v>103</v>
      </c>
      <c r="S272" s="31" t="s">
        <v>89</v>
      </c>
      <c r="T272" s="31" t="s">
        <v>80</v>
      </c>
      <c r="U272" s="31" t="s">
        <v>94</v>
      </c>
      <c r="V272" s="31" t="s">
        <v>130</v>
      </c>
      <c r="W272" s="31" t="s">
        <v>98</v>
      </c>
    </row>
    <row r="273" customFormat="false" ht="15" hidden="false" customHeight="false" outlineLevel="0" collapsed="false">
      <c r="A273" s="31" t="s">
        <v>1791</v>
      </c>
      <c r="B273" s="31" t="n">
        <f aca="false">+IF(A273=WORLDCUP!$BI$112,1,0)</f>
        <v>0</v>
      </c>
      <c r="C273" s="31" t="str">
        <f aca="false">+WORLDCUP!BD65</f>
        <v>España</v>
      </c>
      <c r="D273" s="31" t="str">
        <f aca="false">+WORLDCUP!BD67</f>
        <v>Austria</v>
      </c>
      <c r="E273" s="31" t="str">
        <f aca="false">+WORLDCUP!BD62</f>
        <v>Ecuador</v>
      </c>
      <c r="F273" s="31" t="str">
        <f aca="false">+WORLDCUP!BD60</f>
        <v>Marruecos</v>
      </c>
      <c r="G273" s="31" t="str">
        <f aca="false">+WORLDCUP!BD58</f>
        <v>República Checa</v>
      </c>
      <c r="H273" s="31" t="str">
        <f aca="false">+WORLDCUP!BD63</f>
        <v>Japón</v>
      </c>
      <c r="I273" s="31" t="str">
        <f aca="false">+WORLDCUP!BD61</f>
        <v>Turquía</v>
      </c>
      <c r="J273" s="31" t="str">
        <f aca="false">+WORLDCUP!BD68</f>
        <v>Uzbekistán</v>
      </c>
      <c r="N273" s="31" t="s">
        <v>1791</v>
      </c>
      <c r="O273" s="31" t="n">
        <v>272</v>
      </c>
      <c r="P273" s="31" t="s">
        <v>112</v>
      </c>
      <c r="Q273" s="31" t="s">
        <v>121</v>
      </c>
      <c r="R273" s="31" t="s">
        <v>98</v>
      </c>
      <c r="S273" s="31" t="s">
        <v>89</v>
      </c>
      <c r="T273" s="31" t="s">
        <v>80</v>
      </c>
      <c r="U273" s="31" t="s">
        <v>103</v>
      </c>
      <c r="V273" s="31" t="s">
        <v>94</v>
      </c>
      <c r="W273" s="31" t="s">
        <v>125</v>
      </c>
    </row>
    <row r="274" customFormat="false" ht="15" hidden="false" customHeight="false" outlineLevel="0" collapsed="false">
      <c r="A274" s="31" t="s">
        <v>1792</v>
      </c>
      <c r="B274" s="31" t="n">
        <f aca="false">+IF(A274=WORLDCUP!$BI$112,1,0)</f>
        <v>0</v>
      </c>
      <c r="C274" s="31" t="str">
        <f aca="false">+WORLDCUP!BD65</f>
        <v>España</v>
      </c>
      <c r="D274" s="31" t="str">
        <f aca="false">+WORLDCUP!BD62</f>
        <v>Ecuador</v>
      </c>
      <c r="E274" s="31" t="str">
        <f aca="false">+WORLDCUP!BD63</f>
        <v>Japón</v>
      </c>
      <c r="F274" s="31" t="str">
        <f aca="false">+WORLDCUP!BD60</f>
        <v>Marruecos</v>
      </c>
      <c r="G274" s="31" t="str">
        <f aca="false">+WORLDCUP!BD58</f>
        <v>República Checa</v>
      </c>
      <c r="H274" s="31" t="str">
        <f aca="false">+WORLDCUP!BD61</f>
        <v>Turquía</v>
      </c>
      <c r="I274" s="31" t="str">
        <f aca="false">+WORLDCUP!BD69</f>
        <v>Ghana</v>
      </c>
      <c r="J274" s="31" t="str">
        <f aca="false">+WORLDCUP!BD66</f>
        <v>Irak</v>
      </c>
      <c r="N274" s="31" t="s">
        <v>1792</v>
      </c>
      <c r="O274" s="31" t="n">
        <v>273</v>
      </c>
      <c r="P274" s="31" t="s">
        <v>112</v>
      </c>
      <c r="Q274" s="31" t="s">
        <v>98</v>
      </c>
      <c r="R274" s="31" t="s">
        <v>103</v>
      </c>
      <c r="S274" s="31" t="s">
        <v>89</v>
      </c>
      <c r="T274" s="31" t="s">
        <v>80</v>
      </c>
      <c r="U274" s="31" t="s">
        <v>94</v>
      </c>
      <c r="V274" s="31" t="s">
        <v>130</v>
      </c>
      <c r="W274" s="31" t="s">
        <v>116</v>
      </c>
    </row>
    <row r="275" customFormat="false" ht="15" hidden="false" customHeight="false" outlineLevel="0" collapsed="false">
      <c r="A275" s="31" t="s">
        <v>1793</v>
      </c>
      <c r="B275" s="31" t="n">
        <f aca="false">+IF(A275=WORLDCUP!$BI$112,1,0)</f>
        <v>0</v>
      </c>
      <c r="C275" s="31" t="str">
        <f aca="false">+WORLDCUP!BD65</f>
        <v>España</v>
      </c>
      <c r="D275" s="31" t="str">
        <f aca="false">+WORLDCUP!BD62</f>
        <v>Ecuador</v>
      </c>
      <c r="E275" s="31" t="str">
        <f aca="false">+WORLDCUP!BD63</f>
        <v>Japón</v>
      </c>
      <c r="F275" s="31" t="str">
        <f aca="false">+WORLDCUP!BD60</f>
        <v>Marruecos</v>
      </c>
      <c r="G275" s="31" t="str">
        <f aca="false">+WORLDCUP!BD58</f>
        <v>República Checa</v>
      </c>
      <c r="H275" s="31" t="str">
        <f aca="false">+WORLDCUP!BD61</f>
        <v>Turquía</v>
      </c>
      <c r="I275" s="31" t="str">
        <f aca="false">+WORLDCUP!BD66</f>
        <v>Irak</v>
      </c>
      <c r="J275" s="31" t="str">
        <f aca="false">+WORLDCUP!BD68</f>
        <v>Uzbekistán</v>
      </c>
      <c r="N275" s="31" t="s">
        <v>1793</v>
      </c>
      <c r="O275" s="31" t="n">
        <v>274</v>
      </c>
      <c r="P275" s="31" t="s">
        <v>112</v>
      </c>
      <c r="Q275" s="31" t="s">
        <v>98</v>
      </c>
      <c r="R275" s="31" t="s">
        <v>103</v>
      </c>
      <c r="S275" s="31" t="s">
        <v>89</v>
      </c>
      <c r="T275" s="31" t="s">
        <v>80</v>
      </c>
      <c r="U275" s="31" t="s">
        <v>94</v>
      </c>
      <c r="V275" s="31" t="s">
        <v>116</v>
      </c>
      <c r="W275" s="31" t="s">
        <v>125</v>
      </c>
    </row>
    <row r="276" customFormat="false" ht="15" hidden="false" customHeight="false" outlineLevel="0" collapsed="false">
      <c r="A276" s="31" t="s">
        <v>1794</v>
      </c>
      <c r="B276" s="31" t="n">
        <f aca="false">+IF(A276=WORLDCUP!$BI$112,1,0)</f>
        <v>0</v>
      </c>
      <c r="C276" s="31" t="str">
        <f aca="false">+WORLDCUP!BD65</f>
        <v>España</v>
      </c>
      <c r="D276" s="31" t="str">
        <f aca="false">+WORLDCUP!BD67</f>
        <v>Austria</v>
      </c>
      <c r="E276" s="31" t="str">
        <f aca="false">+WORLDCUP!BD62</f>
        <v>Ecuador</v>
      </c>
      <c r="F276" s="31" t="str">
        <f aca="false">+WORLDCUP!BD60</f>
        <v>Marruecos</v>
      </c>
      <c r="G276" s="31" t="str">
        <f aca="false">+WORLDCUP!BD58</f>
        <v>República Checa</v>
      </c>
      <c r="H276" s="31" t="str">
        <f aca="false">+WORLDCUP!BD63</f>
        <v>Japón</v>
      </c>
      <c r="I276" s="31" t="str">
        <f aca="false">+WORLDCUP!BD61</f>
        <v>Turquía</v>
      </c>
      <c r="J276" s="31" t="str">
        <f aca="false">+WORLDCUP!BD66</f>
        <v>Irak</v>
      </c>
      <c r="N276" s="31" t="s">
        <v>1794</v>
      </c>
      <c r="O276" s="31" t="n">
        <v>275</v>
      </c>
      <c r="P276" s="31" t="s">
        <v>112</v>
      </c>
      <c r="Q276" s="31" t="s">
        <v>121</v>
      </c>
      <c r="R276" s="31" t="s">
        <v>98</v>
      </c>
      <c r="S276" s="31" t="s">
        <v>89</v>
      </c>
      <c r="T276" s="31" t="s">
        <v>80</v>
      </c>
      <c r="U276" s="31" t="s">
        <v>103</v>
      </c>
      <c r="V276" s="31" t="s">
        <v>94</v>
      </c>
      <c r="W276" s="31" t="s">
        <v>116</v>
      </c>
    </row>
    <row r="277" customFormat="false" ht="15" hidden="false" customHeight="false" outlineLevel="0" collapsed="false">
      <c r="A277" s="31" t="s">
        <v>1795</v>
      </c>
      <c r="B277" s="31" t="n">
        <f aca="false">+IF(A277=WORLDCUP!$BI$112,1,0)</f>
        <v>0</v>
      </c>
      <c r="C277" s="31" t="str">
        <f aca="false">+WORLDCUP!BD60</f>
        <v>Marruecos</v>
      </c>
      <c r="D277" s="31" t="str">
        <f aca="false">+WORLDCUP!BD64</f>
        <v>Bélgica</v>
      </c>
      <c r="E277" s="31" t="str">
        <f aca="false">+WORLDCUP!BD62</f>
        <v>Ecuador</v>
      </c>
      <c r="F277" s="31" t="str">
        <f aca="false">+WORLDCUP!BD61</f>
        <v>Turquía</v>
      </c>
      <c r="G277" s="31" t="str">
        <f aca="false">+WORLDCUP!BD58</f>
        <v>República Checa</v>
      </c>
      <c r="H277" s="31" t="str">
        <f aca="false">+WORLDCUP!BD63</f>
        <v>Japón</v>
      </c>
      <c r="I277" s="31" t="str">
        <f aca="false">+WORLDCUP!BD69</f>
        <v>Ghana</v>
      </c>
      <c r="J277" s="31" t="str">
        <f aca="false">+WORLDCUP!BD68</f>
        <v>Uzbekistán</v>
      </c>
      <c r="N277" s="31" t="s">
        <v>1795</v>
      </c>
      <c r="O277" s="31" t="n">
        <v>276</v>
      </c>
      <c r="P277" s="31" t="s">
        <v>89</v>
      </c>
      <c r="Q277" s="31" t="s">
        <v>107</v>
      </c>
      <c r="R277" s="31" t="s">
        <v>98</v>
      </c>
      <c r="S277" s="31" t="s">
        <v>94</v>
      </c>
      <c r="T277" s="31" t="s">
        <v>80</v>
      </c>
      <c r="U277" s="31" t="s">
        <v>103</v>
      </c>
      <c r="V277" s="31" t="s">
        <v>130</v>
      </c>
      <c r="W277" s="31" t="s">
        <v>125</v>
      </c>
    </row>
    <row r="278" customFormat="false" ht="15" hidden="false" customHeight="false" outlineLevel="0" collapsed="false">
      <c r="A278" s="31" t="s">
        <v>1796</v>
      </c>
      <c r="B278" s="31" t="n">
        <f aca="false">+IF(A278=WORLDCUP!$BI$112,1,0)</f>
        <v>0</v>
      </c>
      <c r="C278" s="31" t="str">
        <f aca="false">+WORLDCUP!BD60</f>
        <v>Marruecos</v>
      </c>
      <c r="D278" s="31" t="str">
        <f aca="false">+WORLDCUP!BD64</f>
        <v>Bélgica</v>
      </c>
      <c r="E278" s="31" t="str">
        <f aca="false">+WORLDCUP!BD67</f>
        <v>Austria</v>
      </c>
      <c r="F278" s="31" t="str">
        <f aca="false">+WORLDCUP!BD61</f>
        <v>Turquía</v>
      </c>
      <c r="G278" s="31" t="str">
        <f aca="false">+WORLDCUP!BD58</f>
        <v>República Checa</v>
      </c>
      <c r="H278" s="31" t="str">
        <f aca="false">+WORLDCUP!BD63</f>
        <v>Japón</v>
      </c>
      <c r="I278" s="31" t="str">
        <f aca="false">+WORLDCUP!BD69</f>
        <v>Ghana</v>
      </c>
      <c r="J278" s="31" t="str">
        <f aca="false">+WORLDCUP!BD62</f>
        <v>Ecuador</v>
      </c>
      <c r="N278" s="31" t="s">
        <v>1796</v>
      </c>
      <c r="O278" s="31" t="n">
        <v>277</v>
      </c>
      <c r="P278" s="31" t="s">
        <v>89</v>
      </c>
      <c r="Q278" s="31" t="s">
        <v>107</v>
      </c>
      <c r="R278" s="31" t="s">
        <v>121</v>
      </c>
      <c r="S278" s="31" t="s">
        <v>94</v>
      </c>
      <c r="T278" s="31" t="s">
        <v>80</v>
      </c>
      <c r="U278" s="31" t="s">
        <v>103</v>
      </c>
      <c r="V278" s="31" t="s">
        <v>130</v>
      </c>
      <c r="W278" s="31" t="s">
        <v>98</v>
      </c>
    </row>
    <row r="279" customFormat="false" ht="15" hidden="false" customHeight="false" outlineLevel="0" collapsed="false">
      <c r="A279" s="31" t="s">
        <v>1797</v>
      </c>
      <c r="B279" s="31" t="n">
        <f aca="false">+IF(A279=WORLDCUP!$BI$112,1,0)</f>
        <v>0</v>
      </c>
      <c r="C279" s="31" t="str">
        <f aca="false">+WORLDCUP!BD60</f>
        <v>Marruecos</v>
      </c>
      <c r="D279" s="31" t="str">
        <f aca="false">+WORLDCUP!BD64</f>
        <v>Bélgica</v>
      </c>
      <c r="E279" s="31" t="str">
        <f aca="false">+WORLDCUP!BD67</f>
        <v>Austria</v>
      </c>
      <c r="F279" s="31" t="str">
        <f aca="false">+WORLDCUP!BD61</f>
        <v>Turquía</v>
      </c>
      <c r="G279" s="31" t="str">
        <f aca="false">+WORLDCUP!BD58</f>
        <v>República Checa</v>
      </c>
      <c r="H279" s="31" t="str">
        <f aca="false">+WORLDCUP!BD63</f>
        <v>Japón</v>
      </c>
      <c r="I279" s="31" t="str">
        <f aca="false">+WORLDCUP!BD62</f>
        <v>Ecuador</v>
      </c>
      <c r="J279" s="31" t="str">
        <f aca="false">+WORLDCUP!BD68</f>
        <v>Uzbekistán</v>
      </c>
      <c r="N279" s="31" t="s">
        <v>1797</v>
      </c>
      <c r="O279" s="31" t="n">
        <v>278</v>
      </c>
      <c r="P279" s="31" t="s">
        <v>89</v>
      </c>
      <c r="Q279" s="31" t="s">
        <v>107</v>
      </c>
      <c r="R279" s="31" t="s">
        <v>121</v>
      </c>
      <c r="S279" s="31" t="s">
        <v>94</v>
      </c>
      <c r="T279" s="31" t="s">
        <v>80</v>
      </c>
      <c r="U279" s="31" t="s">
        <v>103</v>
      </c>
      <c r="V279" s="31" t="s">
        <v>98</v>
      </c>
      <c r="W279" s="31" t="s">
        <v>125</v>
      </c>
    </row>
    <row r="280" customFormat="false" ht="15" hidden="false" customHeight="false" outlineLevel="0" collapsed="false">
      <c r="A280" s="31" t="s">
        <v>1798</v>
      </c>
      <c r="B280" s="31" t="n">
        <f aca="false">+IF(A280=WORLDCUP!$BI$112,1,0)</f>
        <v>0</v>
      </c>
      <c r="C280" s="31" t="str">
        <f aca="false">+WORLDCUP!BD60</f>
        <v>Marruecos</v>
      </c>
      <c r="D280" s="31" t="str">
        <f aca="false">+WORLDCUP!BD64</f>
        <v>Bélgica</v>
      </c>
      <c r="E280" s="31" t="str">
        <f aca="false">+WORLDCUP!BD62</f>
        <v>Ecuador</v>
      </c>
      <c r="F280" s="31" t="str">
        <f aca="false">+WORLDCUP!BD61</f>
        <v>Turquía</v>
      </c>
      <c r="G280" s="31" t="str">
        <f aca="false">+WORLDCUP!BD58</f>
        <v>República Checa</v>
      </c>
      <c r="H280" s="31" t="str">
        <f aca="false">+WORLDCUP!BD63</f>
        <v>Japón</v>
      </c>
      <c r="I280" s="31" t="str">
        <f aca="false">+WORLDCUP!BD69</f>
        <v>Ghana</v>
      </c>
      <c r="J280" s="31" t="str">
        <f aca="false">+WORLDCUP!BD66</f>
        <v>Irak</v>
      </c>
      <c r="N280" s="31" t="s">
        <v>1798</v>
      </c>
      <c r="O280" s="31" t="n">
        <v>279</v>
      </c>
      <c r="P280" s="31" t="s">
        <v>89</v>
      </c>
      <c r="Q280" s="31" t="s">
        <v>107</v>
      </c>
      <c r="R280" s="31" t="s">
        <v>98</v>
      </c>
      <c r="S280" s="31" t="s">
        <v>94</v>
      </c>
      <c r="T280" s="31" t="s">
        <v>80</v>
      </c>
      <c r="U280" s="31" t="s">
        <v>103</v>
      </c>
      <c r="V280" s="31" t="s">
        <v>130</v>
      </c>
      <c r="W280" s="31" t="s">
        <v>116</v>
      </c>
    </row>
    <row r="281" customFormat="false" ht="15" hidden="false" customHeight="false" outlineLevel="0" collapsed="false">
      <c r="A281" s="31" t="s">
        <v>1799</v>
      </c>
      <c r="B281" s="31" t="n">
        <f aca="false">+IF(A281=WORLDCUP!$BI$112,1,0)</f>
        <v>0</v>
      </c>
      <c r="C281" s="31" t="str">
        <f aca="false">+WORLDCUP!BD60</f>
        <v>Marruecos</v>
      </c>
      <c r="D281" s="31" t="str">
        <f aca="false">+WORLDCUP!BD64</f>
        <v>Bélgica</v>
      </c>
      <c r="E281" s="31" t="str">
        <f aca="false">+WORLDCUP!BD62</f>
        <v>Ecuador</v>
      </c>
      <c r="F281" s="31" t="str">
        <f aca="false">+WORLDCUP!BD61</f>
        <v>Turquía</v>
      </c>
      <c r="G281" s="31" t="str">
        <f aca="false">+WORLDCUP!BD58</f>
        <v>República Checa</v>
      </c>
      <c r="H281" s="31" t="str">
        <f aca="false">+WORLDCUP!BD63</f>
        <v>Japón</v>
      </c>
      <c r="I281" s="31" t="str">
        <f aca="false">+WORLDCUP!BD66</f>
        <v>Irak</v>
      </c>
      <c r="J281" s="31" t="str">
        <f aca="false">+WORLDCUP!BD68</f>
        <v>Uzbekistán</v>
      </c>
      <c r="N281" s="31" t="s">
        <v>1799</v>
      </c>
      <c r="O281" s="31" t="n">
        <v>280</v>
      </c>
      <c r="P281" s="31" t="s">
        <v>89</v>
      </c>
      <c r="Q281" s="31" t="s">
        <v>107</v>
      </c>
      <c r="R281" s="31" t="s">
        <v>98</v>
      </c>
      <c r="S281" s="31" t="s">
        <v>94</v>
      </c>
      <c r="T281" s="31" t="s">
        <v>80</v>
      </c>
      <c r="U281" s="31" t="s">
        <v>103</v>
      </c>
      <c r="V281" s="31" t="s">
        <v>116</v>
      </c>
      <c r="W281" s="31" t="s">
        <v>125</v>
      </c>
    </row>
    <row r="282" customFormat="false" ht="15" hidden="false" customHeight="false" outlineLevel="0" collapsed="false">
      <c r="A282" s="31" t="s">
        <v>1800</v>
      </c>
      <c r="B282" s="31" t="n">
        <f aca="false">+IF(A282=WORLDCUP!$BI$112,1,0)</f>
        <v>0</v>
      </c>
      <c r="C282" s="31" t="str">
        <f aca="false">+WORLDCUP!BD60</f>
        <v>Marruecos</v>
      </c>
      <c r="D282" s="31" t="str">
        <f aca="false">+WORLDCUP!BD64</f>
        <v>Bélgica</v>
      </c>
      <c r="E282" s="31" t="str">
        <f aca="false">+WORLDCUP!BD67</f>
        <v>Austria</v>
      </c>
      <c r="F282" s="31" t="str">
        <f aca="false">+WORLDCUP!BD61</f>
        <v>Turquía</v>
      </c>
      <c r="G282" s="31" t="str">
        <f aca="false">+WORLDCUP!BD58</f>
        <v>República Checa</v>
      </c>
      <c r="H282" s="31" t="str">
        <f aca="false">+WORLDCUP!BD63</f>
        <v>Japón</v>
      </c>
      <c r="I282" s="31" t="str">
        <f aca="false">+WORLDCUP!BD62</f>
        <v>Ecuador</v>
      </c>
      <c r="J282" s="31" t="str">
        <f aca="false">+WORLDCUP!BD66</f>
        <v>Irak</v>
      </c>
      <c r="N282" s="31" t="s">
        <v>1800</v>
      </c>
      <c r="O282" s="31" t="n">
        <v>281</v>
      </c>
      <c r="P282" s="31" t="s">
        <v>89</v>
      </c>
      <c r="Q282" s="31" t="s">
        <v>107</v>
      </c>
      <c r="R282" s="31" t="s">
        <v>121</v>
      </c>
      <c r="S282" s="31" t="s">
        <v>94</v>
      </c>
      <c r="T282" s="31" t="s">
        <v>80</v>
      </c>
      <c r="U282" s="31" t="s">
        <v>103</v>
      </c>
      <c r="V282" s="31" t="s">
        <v>98</v>
      </c>
      <c r="W282" s="31" t="s">
        <v>116</v>
      </c>
    </row>
    <row r="283" customFormat="false" ht="15" hidden="false" customHeight="false" outlineLevel="0" collapsed="false">
      <c r="A283" s="31" t="s">
        <v>1801</v>
      </c>
      <c r="B283" s="31" t="n">
        <f aca="false">+IF(A283=WORLDCUP!$BI$112,1,0)</f>
        <v>0</v>
      </c>
      <c r="C283" s="31" t="str">
        <f aca="false">+WORLDCUP!BD65</f>
        <v>España</v>
      </c>
      <c r="D283" s="31" t="str">
        <f aca="false">+WORLDCUP!BD64</f>
        <v>Bélgica</v>
      </c>
      <c r="E283" s="31" t="str">
        <f aca="false">+WORLDCUP!BD63</f>
        <v>Japón</v>
      </c>
      <c r="F283" s="31" t="str">
        <f aca="false">+WORLDCUP!BD60</f>
        <v>Marruecos</v>
      </c>
      <c r="G283" s="31" t="str">
        <f aca="false">+WORLDCUP!BD58</f>
        <v>República Checa</v>
      </c>
      <c r="H283" s="31" t="str">
        <f aca="false">+WORLDCUP!BD61</f>
        <v>Turquía</v>
      </c>
      <c r="I283" s="31" t="str">
        <f aca="false">+WORLDCUP!BD69</f>
        <v>Ghana</v>
      </c>
      <c r="J283" s="31" t="str">
        <f aca="false">+WORLDCUP!BD62</f>
        <v>Ecuador</v>
      </c>
      <c r="N283" s="31" t="s">
        <v>1801</v>
      </c>
      <c r="O283" s="31" t="n">
        <v>282</v>
      </c>
      <c r="P283" s="31" t="s">
        <v>112</v>
      </c>
      <c r="Q283" s="31" t="s">
        <v>107</v>
      </c>
      <c r="R283" s="31" t="s">
        <v>103</v>
      </c>
      <c r="S283" s="31" t="s">
        <v>89</v>
      </c>
      <c r="T283" s="31" t="s">
        <v>80</v>
      </c>
      <c r="U283" s="31" t="s">
        <v>94</v>
      </c>
      <c r="V283" s="31" t="s">
        <v>130</v>
      </c>
      <c r="W283" s="31" t="s">
        <v>98</v>
      </c>
    </row>
    <row r="284" customFormat="false" ht="15" hidden="false" customHeight="false" outlineLevel="0" collapsed="false">
      <c r="A284" s="31" t="s">
        <v>1802</v>
      </c>
      <c r="B284" s="31" t="n">
        <f aca="false">+IF(A284=WORLDCUP!$BI$112,1,0)</f>
        <v>0</v>
      </c>
      <c r="C284" s="31" t="str">
        <f aca="false">+WORLDCUP!BD65</f>
        <v>España</v>
      </c>
      <c r="D284" s="31" t="str">
        <f aca="false">+WORLDCUP!BD64</f>
        <v>Bélgica</v>
      </c>
      <c r="E284" s="31" t="str">
        <f aca="false">+WORLDCUP!BD62</f>
        <v>Ecuador</v>
      </c>
      <c r="F284" s="31" t="str">
        <f aca="false">+WORLDCUP!BD60</f>
        <v>Marruecos</v>
      </c>
      <c r="G284" s="31" t="str">
        <f aca="false">+WORLDCUP!BD58</f>
        <v>República Checa</v>
      </c>
      <c r="H284" s="31" t="str">
        <f aca="false">+WORLDCUP!BD63</f>
        <v>Japón</v>
      </c>
      <c r="I284" s="31" t="str">
        <f aca="false">+WORLDCUP!BD61</f>
        <v>Turquía</v>
      </c>
      <c r="J284" s="31" t="str">
        <f aca="false">+WORLDCUP!BD68</f>
        <v>Uzbekistán</v>
      </c>
      <c r="N284" s="31" t="s">
        <v>1802</v>
      </c>
      <c r="O284" s="31" t="n">
        <v>283</v>
      </c>
      <c r="P284" s="31" t="s">
        <v>112</v>
      </c>
      <c r="Q284" s="31" t="s">
        <v>107</v>
      </c>
      <c r="R284" s="31" t="s">
        <v>98</v>
      </c>
      <c r="S284" s="31" t="s">
        <v>89</v>
      </c>
      <c r="T284" s="31" t="s">
        <v>80</v>
      </c>
      <c r="U284" s="31" t="s">
        <v>103</v>
      </c>
      <c r="V284" s="31" t="s">
        <v>94</v>
      </c>
      <c r="W284" s="31" t="s">
        <v>125</v>
      </c>
    </row>
    <row r="285" customFormat="false" ht="15" hidden="false" customHeight="false" outlineLevel="0" collapsed="false">
      <c r="A285" s="31" t="s">
        <v>1803</v>
      </c>
      <c r="B285" s="31" t="n">
        <f aca="false">+IF(A285=WORLDCUP!$BI$112,1,0)</f>
        <v>0</v>
      </c>
      <c r="C285" s="31" t="str">
        <f aca="false">+WORLDCUP!BD65</f>
        <v>España</v>
      </c>
      <c r="D285" s="31" t="str">
        <f aca="false">+WORLDCUP!BD64</f>
        <v>Bélgica</v>
      </c>
      <c r="E285" s="31" t="str">
        <f aca="false">+WORLDCUP!BD67</f>
        <v>Austria</v>
      </c>
      <c r="F285" s="31" t="str">
        <f aca="false">+WORLDCUP!BD60</f>
        <v>Marruecos</v>
      </c>
      <c r="G285" s="31" t="str">
        <f aca="false">+WORLDCUP!BD58</f>
        <v>República Checa</v>
      </c>
      <c r="H285" s="31" t="str">
        <f aca="false">+WORLDCUP!BD63</f>
        <v>Japón</v>
      </c>
      <c r="I285" s="31" t="str">
        <f aca="false">+WORLDCUP!BD61</f>
        <v>Turquía</v>
      </c>
      <c r="J285" s="31" t="str">
        <f aca="false">+WORLDCUP!BD62</f>
        <v>Ecuador</v>
      </c>
      <c r="N285" s="31" t="s">
        <v>1803</v>
      </c>
      <c r="O285" s="31" t="n">
        <v>284</v>
      </c>
      <c r="P285" s="31" t="s">
        <v>112</v>
      </c>
      <c r="Q285" s="31" t="s">
        <v>107</v>
      </c>
      <c r="R285" s="31" t="s">
        <v>121</v>
      </c>
      <c r="S285" s="31" t="s">
        <v>89</v>
      </c>
      <c r="T285" s="31" t="s">
        <v>80</v>
      </c>
      <c r="U285" s="31" t="s">
        <v>103</v>
      </c>
      <c r="V285" s="31" t="s">
        <v>94</v>
      </c>
      <c r="W285" s="31" t="s">
        <v>98</v>
      </c>
    </row>
    <row r="286" customFormat="false" ht="15" hidden="false" customHeight="false" outlineLevel="0" collapsed="false">
      <c r="A286" s="31" t="s">
        <v>1804</v>
      </c>
      <c r="B286" s="31" t="n">
        <f aca="false">+IF(A286=WORLDCUP!$BI$112,1,0)</f>
        <v>0</v>
      </c>
      <c r="C286" s="31" t="str">
        <f aca="false">+WORLDCUP!BD65</f>
        <v>España</v>
      </c>
      <c r="D286" s="31" t="str">
        <f aca="false">+WORLDCUP!BD64</f>
        <v>Bélgica</v>
      </c>
      <c r="E286" s="31" t="str">
        <f aca="false">+WORLDCUP!BD62</f>
        <v>Ecuador</v>
      </c>
      <c r="F286" s="31" t="str">
        <f aca="false">+WORLDCUP!BD60</f>
        <v>Marruecos</v>
      </c>
      <c r="G286" s="31" t="str">
        <f aca="false">+WORLDCUP!BD58</f>
        <v>República Checa</v>
      </c>
      <c r="H286" s="31" t="str">
        <f aca="false">+WORLDCUP!BD63</f>
        <v>Japón</v>
      </c>
      <c r="I286" s="31" t="str">
        <f aca="false">+WORLDCUP!BD61</f>
        <v>Turquía</v>
      </c>
      <c r="J286" s="31" t="str">
        <f aca="false">+WORLDCUP!BD66</f>
        <v>Irak</v>
      </c>
      <c r="N286" s="31" t="s">
        <v>1804</v>
      </c>
      <c r="O286" s="31" t="n">
        <v>285</v>
      </c>
      <c r="P286" s="31" t="s">
        <v>112</v>
      </c>
      <c r="Q286" s="31" t="s">
        <v>107</v>
      </c>
      <c r="R286" s="31" t="s">
        <v>98</v>
      </c>
      <c r="S286" s="31" t="s">
        <v>89</v>
      </c>
      <c r="T286" s="31" t="s">
        <v>80</v>
      </c>
      <c r="U286" s="31" t="s">
        <v>103</v>
      </c>
      <c r="V286" s="31" t="s">
        <v>94</v>
      </c>
      <c r="W286" s="31" t="s">
        <v>116</v>
      </c>
    </row>
    <row r="287" customFormat="false" ht="15" hidden="false" customHeight="false" outlineLevel="0" collapsed="false">
      <c r="A287" s="31" t="s">
        <v>1805</v>
      </c>
      <c r="B287" s="31" t="n">
        <f aca="false">+IF(A287=WORLDCUP!$BI$112,1,0)</f>
        <v>0</v>
      </c>
      <c r="C287" s="31" t="str">
        <f aca="false">+WORLDCUP!BD65</f>
        <v>España</v>
      </c>
      <c r="D287" s="31" t="str">
        <f aca="false">+WORLDCUP!BD67</f>
        <v>Austria</v>
      </c>
      <c r="E287" s="31" t="str">
        <f aca="false">+WORLDCUP!BD59</f>
        <v>Catar</v>
      </c>
      <c r="F287" s="31" t="str">
        <f aca="false">+WORLDCUP!BD58</f>
        <v>República Checa</v>
      </c>
      <c r="G287" s="31" t="str">
        <f aca="false">+WORLDCUP!BD66</f>
        <v>Irak</v>
      </c>
      <c r="H287" s="31" t="str">
        <f aca="false">+WORLDCUP!BD64</f>
        <v>Bélgica</v>
      </c>
      <c r="I287" s="31" t="str">
        <f aca="false">+WORLDCUP!BD69</f>
        <v>Ghana</v>
      </c>
      <c r="J287" s="31" t="str">
        <f aca="false">+WORLDCUP!BD68</f>
        <v>Uzbekistán</v>
      </c>
      <c r="N287" s="31" t="s">
        <v>1805</v>
      </c>
      <c r="O287" s="31" t="n">
        <v>286</v>
      </c>
      <c r="P287" s="31" t="s">
        <v>112</v>
      </c>
      <c r="Q287" s="31" t="s">
        <v>121</v>
      </c>
      <c r="R287" s="31" t="s">
        <v>85</v>
      </c>
      <c r="S287" s="31" t="s">
        <v>80</v>
      </c>
      <c r="T287" s="31" t="s">
        <v>116</v>
      </c>
      <c r="U287" s="31" t="s">
        <v>107</v>
      </c>
      <c r="V287" s="31" t="s">
        <v>130</v>
      </c>
      <c r="W287" s="31" t="s">
        <v>125</v>
      </c>
    </row>
    <row r="288" customFormat="false" ht="15" hidden="false" customHeight="false" outlineLevel="0" collapsed="false">
      <c r="A288" s="31" t="s">
        <v>1806</v>
      </c>
      <c r="B288" s="31" t="n">
        <f aca="false">+IF(A288=WORLDCUP!$BI$112,1,0)</f>
        <v>0</v>
      </c>
      <c r="C288" s="31" t="str">
        <f aca="false">+WORLDCUP!BD65</f>
        <v>España</v>
      </c>
      <c r="D288" s="31" t="str">
        <f aca="false">+WORLDCUP!BD67</f>
        <v>Austria</v>
      </c>
      <c r="E288" s="31" t="str">
        <f aca="false">+WORLDCUP!BD59</f>
        <v>Catar</v>
      </c>
      <c r="F288" s="31" t="str">
        <f aca="false">+WORLDCUP!BD58</f>
        <v>República Checa</v>
      </c>
      <c r="G288" s="31" t="str">
        <f aca="false">+WORLDCUP!BD66</f>
        <v>Irak</v>
      </c>
      <c r="H288" s="31" t="str">
        <f aca="false">+WORLDCUP!BD63</f>
        <v>Japón</v>
      </c>
      <c r="I288" s="31" t="str">
        <f aca="false">+WORLDCUP!BD69</f>
        <v>Ghana</v>
      </c>
      <c r="J288" s="31" t="str">
        <f aca="false">+WORLDCUP!BD68</f>
        <v>Uzbekistán</v>
      </c>
      <c r="N288" s="31" t="s">
        <v>1806</v>
      </c>
      <c r="O288" s="31" t="n">
        <v>287</v>
      </c>
      <c r="P288" s="31" t="s">
        <v>112</v>
      </c>
      <c r="Q288" s="31" t="s">
        <v>121</v>
      </c>
      <c r="R288" s="31" t="s">
        <v>85</v>
      </c>
      <c r="S288" s="31" t="s">
        <v>80</v>
      </c>
      <c r="T288" s="31" t="s">
        <v>116</v>
      </c>
      <c r="U288" s="31" t="s">
        <v>103</v>
      </c>
      <c r="V288" s="31" t="s">
        <v>130</v>
      </c>
      <c r="W288" s="31" t="s">
        <v>125</v>
      </c>
    </row>
    <row r="289" customFormat="false" ht="15" hidden="false" customHeight="false" outlineLevel="0" collapsed="false">
      <c r="A289" s="31" t="s">
        <v>1807</v>
      </c>
      <c r="B289" s="31" t="n">
        <f aca="false">+IF(A289=WORLDCUP!$BI$112,1,0)</f>
        <v>0</v>
      </c>
      <c r="C289" s="31" t="str">
        <f aca="false">+WORLDCUP!BD66</f>
        <v>Irak</v>
      </c>
      <c r="D289" s="31" t="str">
        <f aca="false">+WORLDCUP!BD67</f>
        <v>Austria</v>
      </c>
      <c r="E289" s="31" t="str">
        <f aca="false">+WORLDCUP!BD59</f>
        <v>Catar</v>
      </c>
      <c r="F289" s="31" t="str">
        <f aca="false">+WORLDCUP!BD63</f>
        <v>Japón</v>
      </c>
      <c r="G289" s="31" t="str">
        <f aca="false">+WORLDCUP!BD58</f>
        <v>República Checa</v>
      </c>
      <c r="H289" s="31" t="str">
        <f aca="false">+WORLDCUP!BD64</f>
        <v>Bélgica</v>
      </c>
      <c r="I289" s="31" t="str">
        <f aca="false">+WORLDCUP!BD69</f>
        <v>Ghana</v>
      </c>
      <c r="J289" s="31" t="str">
        <f aca="false">+WORLDCUP!BD68</f>
        <v>Uzbekistán</v>
      </c>
      <c r="N289" s="31" t="s">
        <v>1807</v>
      </c>
      <c r="O289" s="31" t="n">
        <v>288</v>
      </c>
      <c r="P289" s="31" t="s">
        <v>116</v>
      </c>
      <c r="Q289" s="31" t="s">
        <v>121</v>
      </c>
      <c r="R289" s="31" t="s">
        <v>85</v>
      </c>
      <c r="S289" s="31" t="s">
        <v>103</v>
      </c>
      <c r="T289" s="31" t="s">
        <v>80</v>
      </c>
      <c r="U289" s="31" t="s">
        <v>107</v>
      </c>
      <c r="V289" s="31" t="s">
        <v>130</v>
      </c>
      <c r="W289" s="31" t="s">
        <v>125</v>
      </c>
    </row>
    <row r="290" customFormat="false" ht="15" hidden="false" customHeight="false" outlineLevel="0" collapsed="false">
      <c r="A290" s="31" t="s">
        <v>1808</v>
      </c>
      <c r="B290" s="31" t="n">
        <f aca="false">+IF(A290=WORLDCUP!$BI$112,1,0)</f>
        <v>0</v>
      </c>
      <c r="C290" s="31" t="str">
        <f aca="false">+WORLDCUP!BD65</f>
        <v>España</v>
      </c>
      <c r="D290" s="31" t="str">
        <f aca="false">+WORLDCUP!BD67</f>
        <v>Austria</v>
      </c>
      <c r="E290" s="31" t="str">
        <f aca="false">+WORLDCUP!BD59</f>
        <v>Catar</v>
      </c>
      <c r="F290" s="31" t="str">
        <f aca="false">+WORLDCUP!BD63</f>
        <v>Japón</v>
      </c>
      <c r="G290" s="31" t="str">
        <f aca="false">+WORLDCUP!BD58</f>
        <v>República Checa</v>
      </c>
      <c r="H290" s="31" t="str">
        <f aca="false">+WORLDCUP!BD64</f>
        <v>Bélgica</v>
      </c>
      <c r="I290" s="31" t="str">
        <f aca="false">+WORLDCUP!BD69</f>
        <v>Ghana</v>
      </c>
      <c r="J290" s="31" t="str">
        <f aca="false">+WORLDCUP!BD68</f>
        <v>Uzbekistán</v>
      </c>
      <c r="N290" s="31" t="s">
        <v>1808</v>
      </c>
      <c r="O290" s="31" t="n">
        <v>289</v>
      </c>
      <c r="P290" s="31" t="s">
        <v>112</v>
      </c>
      <c r="Q290" s="31" t="s">
        <v>121</v>
      </c>
      <c r="R290" s="31" t="s">
        <v>85</v>
      </c>
      <c r="S290" s="31" t="s">
        <v>103</v>
      </c>
      <c r="T290" s="31" t="s">
        <v>80</v>
      </c>
      <c r="U290" s="31" t="s">
        <v>107</v>
      </c>
      <c r="V290" s="31" t="s">
        <v>130</v>
      </c>
      <c r="W290" s="31" t="s">
        <v>125</v>
      </c>
    </row>
    <row r="291" customFormat="false" ht="15" hidden="false" customHeight="false" outlineLevel="0" collapsed="false">
      <c r="A291" s="31" t="s">
        <v>1809</v>
      </c>
      <c r="B291" s="31" t="n">
        <f aca="false">+IF(A291=WORLDCUP!$BI$112,1,0)</f>
        <v>0</v>
      </c>
      <c r="C291" s="31" t="str">
        <f aca="false">+WORLDCUP!BD65</f>
        <v>España</v>
      </c>
      <c r="D291" s="31" t="str">
        <f aca="false">+WORLDCUP!BD64</f>
        <v>Bélgica</v>
      </c>
      <c r="E291" s="31" t="str">
        <f aca="false">+WORLDCUP!BD59</f>
        <v>Catar</v>
      </c>
      <c r="F291" s="31" t="str">
        <f aca="false">+WORLDCUP!BD58</f>
        <v>República Checa</v>
      </c>
      <c r="G291" s="31" t="str">
        <f aca="false">+WORLDCUP!BD66</f>
        <v>Irak</v>
      </c>
      <c r="H291" s="31" t="str">
        <f aca="false">+WORLDCUP!BD63</f>
        <v>Japón</v>
      </c>
      <c r="I291" s="31" t="str">
        <f aca="false">+WORLDCUP!BD69</f>
        <v>Ghana</v>
      </c>
      <c r="J291" s="31" t="str">
        <f aca="false">+WORLDCUP!BD68</f>
        <v>Uzbekistán</v>
      </c>
      <c r="N291" s="31" t="s">
        <v>1809</v>
      </c>
      <c r="O291" s="31" t="n">
        <v>290</v>
      </c>
      <c r="P291" s="31" t="s">
        <v>112</v>
      </c>
      <c r="Q291" s="31" t="s">
        <v>107</v>
      </c>
      <c r="R291" s="31" t="s">
        <v>85</v>
      </c>
      <c r="S291" s="31" t="s">
        <v>80</v>
      </c>
      <c r="T291" s="31" t="s">
        <v>116</v>
      </c>
      <c r="U291" s="31" t="s">
        <v>103</v>
      </c>
      <c r="V291" s="31" t="s">
        <v>130</v>
      </c>
      <c r="W291" s="31" t="s">
        <v>125</v>
      </c>
    </row>
    <row r="292" customFormat="false" ht="15" hidden="false" customHeight="false" outlineLevel="0" collapsed="false">
      <c r="A292" s="31" t="s">
        <v>1810</v>
      </c>
      <c r="B292" s="31" t="n">
        <f aca="false">+IF(A292=WORLDCUP!$BI$112,1,0)</f>
        <v>0</v>
      </c>
      <c r="C292" s="31" t="str">
        <f aca="false">+WORLDCUP!BD65</f>
        <v>España</v>
      </c>
      <c r="D292" s="31" t="str">
        <f aca="false">+WORLDCUP!BD67</f>
        <v>Austria</v>
      </c>
      <c r="E292" s="31" t="str">
        <f aca="false">+WORLDCUP!BD59</f>
        <v>Catar</v>
      </c>
      <c r="F292" s="31" t="str">
        <f aca="false">+WORLDCUP!BD63</f>
        <v>Japón</v>
      </c>
      <c r="G292" s="31" t="str">
        <f aca="false">+WORLDCUP!BD58</f>
        <v>República Checa</v>
      </c>
      <c r="H292" s="31" t="str">
        <f aca="false">+WORLDCUP!BD64</f>
        <v>Bélgica</v>
      </c>
      <c r="I292" s="31" t="str">
        <f aca="false">+WORLDCUP!BD69</f>
        <v>Ghana</v>
      </c>
      <c r="J292" s="31" t="str">
        <f aca="false">+WORLDCUP!BD66</f>
        <v>Irak</v>
      </c>
      <c r="N292" s="31" t="s">
        <v>1810</v>
      </c>
      <c r="O292" s="31" t="n">
        <v>291</v>
      </c>
      <c r="P292" s="31" t="s">
        <v>112</v>
      </c>
      <c r="Q292" s="31" t="s">
        <v>121</v>
      </c>
      <c r="R292" s="31" t="s">
        <v>85</v>
      </c>
      <c r="S292" s="31" t="s">
        <v>103</v>
      </c>
      <c r="T292" s="31" t="s">
        <v>80</v>
      </c>
      <c r="U292" s="31" t="s">
        <v>107</v>
      </c>
      <c r="V292" s="31" t="s">
        <v>130</v>
      </c>
      <c r="W292" s="31" t="s">
        <v>116</v>
      </c>
    </row>
    <row r="293" customFormat="false" ht="15" hidden="false" customHeight="false" outlineLevel="0" collapsed="false">
      <c r="A293" s="31" t="s">
        <v>1811</v>
      </c>
      <c r="B293" s="31" t="n">
        <f aca="false">+IF(A293=WORLDCUP!$BI$112,1,0)</f>
        <v>0</v>
      </c>
      <c r="C293" s="31" t="str">
        <f aca="false">+WORLDCUP!BD65</f>
        <v>España</v>
      </c>
      <c r="D293" s="31" t="str">
        <f aca="false">+WORLDCUP!BD67</f>
        <v>Austria</v>
      </c>
      <c r="E293" s="31" t="str">
        <f aca="false">+WORLDCUP!BD59</f>
        <v>Catar</v>
      </c>
      <c r="F293" s="31" t="str">
        <f aca="false">+WORLDCUP!BD63</f>
        <v>Japón</v>
      </c>
      <c r="G293" s="31" t="str">
        <f aca="false">+WORLDCUP!BD58</f>
        <v>República Checa</v>
      </c>
      <c r="H293" s="31" t="str">
        <f aca="false">+WORLDCUP!BD64</f>
        <v>Bélgica</v>
      </c>
      <c r="I293" s="31" t="str">
        <f aca="false">+WORLDCUP!BD66</f>
        <v>Irak</v>
      </c>
      <c r="J293" s="31" t="str">
        <f aca="false">+WORLDCUP!BD68</f>
        <v>Uzbekistán</v>
      </c>
      <c r="N293" s="31" t="s">
        <v>1811</v>
      </c>
      <c r="O293" s="31" t="n">
        <v>292</v>
      </c>
      <c r="P293" s="31" t="s">
        <v>112</v>
      </c>
      <c r="Q293" s="31" t="s">
        <v>121</v>
      </c>
      <c r="R293" s="31" t="s">
        <v>85</v>
      </c>
      <c r="S293" s="31" t="s">
        <v>103</v>
      </c>
      <c r="T293" s="31" t="s">
        <v>80</v>
      </c>
      <c r="U293" s="31" t="s">
        <v>107</v>
      </c>
      <c r="V293" s="31" t="s">
        <v>116</v>
      </c>
      <c r="W293" s="31" t="s">
        <v>125</v>
      </c>
    </row>
    <row r="294" customFormat="false" ht="15" hidden="false" customHeight="false" outlineLevel="0" collapsed="false">
      <c r="A294" s="31" t="s">
        <v>1812</v>
      </c>
      <c r="B294" s="31" t="n">
        <f aca="false">+IF(A294=WORLDCUP!$BI$112,1,0)</f>
        <v>0</v>
      </c>
      <c r="C294" s="31" t="str">
        <f aca="false">+WORLDCUP!BD62</f>
        <v>Ecuador</v>
      </c>
      <c r="D294" s="31" t="str">
        <f aca="false">+WORLDCUP!BD67</f>
        <v>Austria</v>
      </c>
      <c r="E294" s="31" t="str">
        <f aca="false">+WORLDCUP!BD59</f>
        <v>Catar</v>
      </c>
      <c r="F294" s="31" t="str">
        <f aca="false">+WORLDCUP!BD58</f>
        <v>República Checa</v>
      </c>
      <c r="G294" s="31" t="str">
        <f aca="false">+WORLDCUP!BD66</f>
        <v>Irak</v>
      </c>
      <c r="H294" s="31" t="str">
        <f aca="false">+WORLDCUP!BD65</f>
        <v>España</v>
      </c>
      <c r="I294" s="31" t="str">
        <f aca="false">+WORLDCUP!BD69</f>
        <v>Ghana</v>
      </c>
      <c r="J294" s="31" t="str">
        <f aca="false">+WORLDCUP!BD68</f>
        <v>Uzbekistán</v>
      </c>
      <c r="N294" s="31" t="s">
        <v>1812</v>
      </c>
      <c r="O294" s="31" t="n">
        <v>293</v>
      </c>
      <c r="P294" s="31" t="s">
        <v>98</v>
      </c>
      <c r="Q294" s="31" t="s">
        <v>121</v>
      </c>
      <c r="R294" s="31" t="s">
        <v>85</v>
      </c>
      <c r="S294" s="31" t="s">
        <v>80</v>
      </c>
      <c r="T294" s="31" t="s">
        <v>116</v>
      </c>
      <c r="U294" s="31" t="s">
        <v>112</v>
      </c>
      <c r="V294" s="31" t="s">
        <v>130</v>
      </c>
      <c r="W294" s="31" t="s">
        <v>125</v>
      </c>
    </row>
    <row r="295" customFormat="false" ht="15" hidden="false" customHeight="false" outlineLevel="0" collapsed="false">
      <c r="A295" s="31" t="s">
        <v>1813</v>
      </c>
      <c r="B295" s="31" t="n">
        <f aca="false">+IF(A295=WORLDCUP!$BI$112,1,0)</f>
        <v>0</v>
      </c>
      <c r="C295" s="31" t="str">
        <f aca="false">+WORLDCUP!BD62</f>
        <v>Ecuador</v>
      </c>
      <c r="D295" s="31" t="str">
        <f aca="false">+WORLDCUP!BD67</f>
        <v>Austria</v>
      </c>
      <c r="E295" s="31" t="str">
        <f aca="false">+WORLDCUP!BD59</f>
        <v>Catar</v>
      </c>
      <c r="F295" s="31" t="str">
        <f aca="false">+WORLDCUP!BD58</f>
        <v>República Checa</v>
      </c>
      <c r="G295" s="31" t="str">
        <f aca="false">+WORLDCUP!BD66</f>
        <v>Irak</v>
      </c>
      <c r="H295" s="31" t="str">
        <f aca="false">+WORLDCUP!BD64</f>
        <v>Bélgica</v>
      </c>
      <c r="I295" s="31" t="str">
        <f aca="false">+WORLDCUP!BD69</f>
        <v>Ghana</v>
      </c>
      <c r="J295" s="31" t="str">
        <f aca="false">+WORLDCUP!BD68</f>
        <v>Uzbekistán</v>
      </c>
      <c r="N295" s="31" t="s">
        <v>1813</v>
      </c>
      <c r="O295" s="31" t="n">
        <v>294</v>
      </c>
      <c r="P295" s="31" t="s">
        <v>98</v>
      </c>
      <c r="Q295" s="31" t="s">
        <v>121</v>
      </c>
      <c r="R295" s="31" t="s">
        <v>85</v>
      </c>
      <c r="S295" s="31" t="s">
        <v>80</v>
      </c>
      <c r="T295" s="31" t="s">
        <v>116</v>
      </c>
      <c r="U295" s="31" t="s">
        <v>107</v>
      </c>
      <c r="V295" s="31" t="s">
        <v>130</v>
      </c>
      <c r="W295" s="31" t="s">
        <v>125</v>
      </c>
    </row>
    <row r="296" customFormat="false" ht="15" hidden="false" customHeight="false" outlineLevel="0" collapsed="false">
      <c r="A296" s="31" t="s">
        <v>1814</v>
      </c>
      <c r="B296" s="31" t="n">
        <f aca="false">+IF(A296=WORLDCUP!$BI$112,1,0)</f>
        <v>0</v>
      </c>
      <c r="C296" s="31" t="str">
        <f aca="false">+WORLDCUP!BD62</f>
        <v>Ecuador</v>
      </c>
      <c r="D296" s="31" t="str">
        <f aca="false">+WORLDCUP!BD67</f>
        <v>Austria</v>
      </c>
      <c r="E296" s="31" t="str">
        <f aca="false">+WORLDCUP!BD59</f>
        <v>Catar</v>
      </c>
      <c r="F296" s="31" t="str">
        <f aca="false">+WORLDCUP!BD58</f>
        <v>República Checa</v>
      </c>
      <c r="G296" s="31" t="str">
        <f aca="false">+WORLDCUP!BD65</f>
        <v>España</v>
      </c>
      <c r="H296" s="31" t="str">
        <f aca="false">+WORLDCUP!BD64</f>
        <v>Bélgica</v>
      </c>
      <c r="I296" s="31" t="str">
        <f aca="false">+WORLDCUP!BD69</f>
        <v>Ghana</v>
      </c>
      <c r="J296" s="31" t="str">
        <f aca="false">+WORLDCUP!BD68</f>
        <v>Uzbekistán</v>
      </c>
      <c r="N296" s="31" t="s">
        <v>1814</v>
      </c>
      <c r="O296" s="31" t="n">
        <v>295</v>
      </c>
      <c r="P296" s="31" t="s">
        <v>98</v>
      </c>
      <c r="Q296" s="31" t="s">
        <v>121</v>
      </c>
      <c r="R296" s="31" t="s">
        <v>85</v>
      </c>
      <c r="S296" s="31" t="s">
        <v>80</v>
      </c>
      <c r="T296" s="31" t="s">
        <v>112</v>
      </c>
      <c r="U296" s="31" t="s">
        <v>107</v>
      </c>
      <c r="V296" s="31" t="s">
        <v>130</v>
      </c>
      <c r="W296" s="31" t="s">
        <v>125</v>
      </c>
    </row>
    <row r="297" customFormat="false" ht="15" hidden="false" customHeight="false" outlineLevel="0" collapsed="false">
      <c r="A297" s="31" t="s">
        <v>1815</v>
      </c>
      <c r="B297" s="31" t="n">
        <f aca="false">+IF(A297=WORLDCUP!$BI$112,1,0)</f>
        <v>0</v>
      </c>
      <c r="C297" s="31" t="str">
        <f aca="false">+WORLDCUP!BD62</f>
        <v>Ecuador</v>
      </c>
      <c r="D297" s="31" t="str">
        <f aca="false">+WORLDCUP!BD64</f>
        <v>Bélgica</v>
      </c>
      <c r="E297" s="31" t="str">
        <f aca="false">+WORLDCUP!BD59</f>
        <v>Catar</v>
      </c>
      <c r="F297" s="31" t="str">
        <f aca="false">+WORLDCUP!BD58</f>
        <v>República Checa</v>
      </c>
      <c r="G297" s="31" t="str">
        <f aca="false">+WORLDCUP!BD66</f>
        <v>Irak</v>
      </c>
      <c r="H297" s="31" t="str">
        <f aca="false">+WORLDCUP!BD65</f>
        <v>España</v>
      </c>
      <c r="I297" s="31" t="str">
        <f aca="false">+WORLDCUP!BD69</f>
        <v>Ghana</v>
      </c>
      <c r="J297" s="31" t="str">
        <f aca="false">+WORLDCUP!BD68</f>
        <v>Uzbekistán</v>
      </c>
      <c r="N297" s="31" t="s">
        <v>1815</v>
      </c>
      <c r="O297" s="31" t="n">
        <v>296</v>
      </c>
      <c r="P297" s="31" t="s">
        <v>98</v>
      </c>
      <c r="Q297" s="31" t="s">
        <v>107</v>
      </c>
      <c r="R297" s="31" t="s">
        <v>85</v>
      </c>
      <c r="S297" s="31" t="s">
        <v>80</v>
      </c>
      <c r="T297" s="31" t="s">
        <v>116</v>
      </c>
      <c r="U297" s="31" t="s">
        <v>112</v>
      </c>
      <c r="V297" s="31" t="s">
        <v>130</v>
      </c>
      <c r="W297" s="31" t="s">
        <v>125</v>
      </c>
    </row>
    <row r="298" customFormat="false" ht="15" hidden="false" customHeight="false" outlineLevel="0" collapsed="false">
      <c r="A298" s="31" t="s">
        <v>1816</v>
      </c>
      <c r="B298" s="31" t="n">
        <f aca="false">+IF(A298=WORLDCUP!$BI$112,1,0)</f>
        <v>0</v>
      </c>
      <c r="C298" s="31" t="str">
        <f aca="false">+WORLDCUP!BD62</f>
        <v>Ecuador</v>
      </c>
      <c r="D298" s="31" t="str">
        <f aca="false">+WORLDCUP!BD67</f>
        <v>Austria</v>
      </c>
      <c r="E298" s="31" t="str">
        <f aca="false">+WORLDCUP!BD59</f>
        <v>Catar</v>
      </c>
      <c r="F298" s="31" t="str">
        <f aca="false">+WORLDCUP!BD58</f>
        <v>República Checa</v>
      </c>
      <c r="G298" s="31" t="str">
        <f aca="false">+WORLDCUP!BD65</f>
        <v>España</v>
      </c>
      <c r="H298" s="31" t="str">
        <f aca="false">+WORLDCUP!BD64</f>
        <v>Bélgica</v>
      </c>
      <c r="I298" s="31" t="str">
        <f aca="false">+WORLDCUP!BD69</f>
        <v>Ghana</v>
      </c>
      <c r="J298" s="31" t="str">
        <f aca="false">+WORLDCUP!BD66</f>
        <v>Irak</v>
      </c>
      <c r="N298" s="31" t="s">
        <v>1816</v>
      </c>
      <c r="O298" s="31" t="n">
        <v>297</v>
      </c>
      <c r="P298" s="31" t="s">
        <v>98</v>
      </c>
      <c r="Q298" s="31" t="s">
        <v>121</v>
      </c>
      <c r="R298" s="31" t="s">
        <v>85</v>
      </c>
      <c r="S298" s="31" t="s">
        <v>80</v>
      </c>
      <c r="T298" s="31" t="s">
        <v>112</v>
      </c>
      <c r="U298" s="31" t="s">
        <v>107</v>
      </c>
      <c r="V298" s="31" t="s">
        <v>130</v>
      </c>
      <c r="W298" s="31" t="s">
        <v>116</v>
      </c>
    </row>
    <row r="299" customFormat="false" ht="15" hidden="false" customHeight="false" outlineLevel="0" collapsed="false">
      <c r="A299" s="31" t="s">
        <v>1817</v>
      </c>
      <c r="B299" s="31" t="n">
        <f aca="false">+IF(A299=WORLDCUP!$BI$112,1,0)</f>
        <v>0</v>
      </c>
      <c r="C299" s="31" t="str">
        <f aca="false">+WORLDCUP!BD62</f>
        <v>Ecuador</v>
      </c>
      <c r="D299" s="31" t="str">
        <f aca="false">+WORLDCUP!BD67</f>
        <v>Austria</v>
      </c>
      <c r="E299" s="31" t="str">
        <f aca="false">+WORLDCUP!BD59</f>
        <v>Catar</v>
      </c>
      <c r="F299" s="31" t="str">
        <f aca="false">+WORLDCUP!BD58</f>
        <v>República Checa</v>
      </c>
      <c r="G299" s="31" t="str">
        <f aca="false">+WORLDCUP!BD65</f>
        <v>España</v>
      </c>
      <c r="H299" s="31" t="str">
        <f aca="false">+WORLDCUP!BD64</f>
        <v>Bélgica</v>
      </c>
      <c r="I299" s="31" t="str">
        <f aca="false">+WORLDCUP!BD66</f>
        <v>Irak</v>
      </c>
      <c r="J299" s="31" t="str">
        <f aca="false">+WORLDCUP!BD68</f>
        <v>Uzbekistán</v>
      </c>
      <c r="N299" s="31" t="s">
        <v>1817</v>
      </c>
      <c r="O299" s="31" t="n">
        <v>298</v>
      </c>
      <c r="P299" s="31" t="s">
        <v>98</v>
      </c>
      <c r="Q299" s="31" t="s">
        <v>121</v>
      </c>
      <c r="R299" s="31" t="s">
        <v>85</v>
      </c>
      <c r="S299" s="31" t="s">
        <v>80</v>
      </c>
      <c r="T299" s="31" t="s">
        <v>112</v>
      </c>
      <c r="U299" s="31" t="s">
        <v>107</v>
      </c>
      <c r="V299" s="31" t="s">
        <v>116</v>
      </c>
      <c r="W299" s="31" t="s">
        <v>125</v>
      </c>
    </row>
    <row r="300" customFormat="false" ht="15" hidden="false" customHeight="false" outlineLevel="0" collapsed="false">
      <c r="A300" s="31" t="s">
        <v>1818</v>
      </c>
      <c r="B300" s="31" t="n">
        <f aca="false">+IF(A300=WORLDCUP!$BI$112,1,0)</f>
        <v>0</v>
      </c>
      <c r="C300" s="31" t="str">
        <f aca="false">+WORLDCUP!BD62</f>
        <v>Ecuador</v>
      </c>
      <c r="D300" s="31" t="str">
        <f aca="false">+WORLDCUP!BD67</f>
        <v>Austria</v>
      </c>
      <c r="E300" s="31" t="str">
        <f aca="false">+WORLDCUP!BD59</f>
        <v>Catar</v>
      </c>
      <c r="F300" s="31" t="str">
        <f aca="false">+WORLDCUP!BD58</f>
        <v>República Checa</v>
      </c>
      <c r="G300" s="31" t="str">
        <f aca="false">+WORLDCUP!BD66</f>
        <v>Irak</v>
      </c>
      <c r="H300" s="31" t="str">
        <f aca="false">+WORLDCUP!BD63</f>
        <v>Japón</v>
      </c>
      <c r="I300" s="31" t="str">
        <f aca="false">+WORLDCUP!BD69</f>
        <v>Ghana</v>
      </c>
      <c r="J300" s="31" t="str">
        <f aca="false">+WORLDCUP!BD68</f>
        <v>Uzbekistán</v>
      </c>
      <c r="N300" s="31" t="s">
        <v>1818</v>
      </c>
      <c r="O300" s="31" t="n">
        <v>299</v>
      </c>
      <c r="P300" s="31" t="s">
        <v>98</v>
      </c>
      <c r="Q300" s="31" t="s">
        <v>121</v>
      </c>
      <c r="R300" s="31" t="s">
        <v>85</v>
      </c>
      <c r="S300" s="31" t="s">
        <v>80</v>
      </c>
      <c r="T300" s="31" t="s">
        <v>116</v>
      </c>
      <c r="U300" s="31" t="s">
        <v>103</v>
      </c>
      <c r="V300" s="31" t="s">
        <v>130</v>
      </c>
      <c r="W300" s="31" t="s">
        <v>125</v>
      </c>
    </row>
    <row r="301" customFormat="false" ht="15" hidden="false" customHeight="false" outlineLevel="0" collapsed="false">
      <c r="A301" s="31" t="s">
        <v>1819</v>
      </c>
      <c r="B301" s="31" t="n">
        <f aca="false">+IF(A301=WORLDCUP!$BI$112,1,0)</f>
        <v>0</v>
      </c>
      <c r="C301" s="31" t="str">
        <f aca="false">+WORLDCUP!BD62</f>
        <v>Ecuador</v>
      </c>
      <c r="D301" s="31" t="str">
        <f aca="false">+WORLDCUP!BD67</f>
        <v>Austria</v>
      </c>
      <c r="E301" s="31" t="str">
        <f aca="false">+WORLDCUP!BD59</f>
        <v>Catar</v>
      </c>
      <c r="F301" s="31" t="str">
        <f aca="false">+WORLDCUP!BD63</f>
        <v>Japón</v>
      </c>
      <c r="G301" s="31" t="str">
        <f aca="false">+WORLDCUP!BD58</f>
        <v>República Checa</v>
      </c>
      <c r="H301" s="31" t="str">
        <f aca="false">+WORLDCUP!BD65</f>
        <v>España</v>
      </c>
      <c r="I301" s="31" t="str">
        <f aca="false">+WORLDCUP!BD69</f>
        <v>Ghana</v>
      </c>
      <c r="J301" s="31" t="str">
        <f aca="false">+WORLDCUP!BD68</f>
        <v>Uzbekistán</v>
      </c>
      <c r="N301" s="31" t="s">
        <v>1819</v>
      </c>
      <c r="O301" s="31" t="n">
        <v>300</v>
      </c>
      <c r="P301" s="31" t="s">
        <v>98</v>
      </c>
      <c r="Q301" s="31" t="s">
        <v>121</v>
      </c>
      <c r="R301" s="31" t="s">
        <v>85</v>
      </c>
      <c r="S301" s="31" t="s">
        <v>103</v>
      </c>
      <c r="T301" s="31" t="s">
        <v>80</v>
      </c>
      <c r="U301" s="31" t="s">
        <v>112</v>
      </c>
      <c r="V301" s="31" t="s">
        <v>130</v>
      </c>
      <c r="W301" s="31" t="s">
        <v>125</v>
      </c>
    </row>
    <row r="302" customFormat="false" ht="15" hidden="false" customHeight="false" outlineLevel="0" collapsed="false">
      <c r="A302" s="31" t="s">
        <v>1820</v>
      </c>
      <c r="B302" s="31" t="n">
        <f aca="false">+IF(A302=WORLDCUP!$BI$112,1,0)</f>
        <v>0</v>
      </c>
      <c r="C302" s="31" t="str">
        <f aca="false">+WORLDCUP!BD62</f>
        <v>Ecuador</v>
      </c>
      <c r="D302" s="31" t="str">
        <f aca="false">+WORLDCUP!BD66</f>
        <v>Irak</v>
      </c>
      <c r="E302" s="31" t="str">
        <f aca="false">+WORLDCUP!BD59</f>
        <v>Catar</v>
      </c>
      <c r="F302" s="31" t="str">
        <f aca="false">+WORLDCUP!BD63</f>
        <v>Japón</v>
      </c>
      <c r="G302" s="31" t="str">
        <f aca="false">+WORLDCUP!BD58</f>
        <v>República Checa</v>
      </c>
      <c r="H302" s="31" t="str">
        <f aca="false">+WORLDCUP!BD65</f>
        <v>España</v>
      </c>
      <c r="I302" s="31" t="str">
        <f aca="false">+WORLDCUP!BD69</f>
        <v>Ghana</v>
      </c>
      <c r="J302" s="31" t="str">
        <f aca="false">+WORLDCUP!BD68</f>
        <v>Uzbekistán</v>
      </c>
      <c r="N302" s="31" t="s">
        <v>1820</v>
      </c>
      <c r="O302" s="31" t="n">
        <v>301</v>
      </c>
      <c r="P302" s="31" t="s">
        <v>98</v>
      </c>
      <c r="Q302" s="31" t="s">
        <v>116</v>
      </c>
      <c r="R302" s="31" t="s">
        <v>85</v>
      </c>
      <c r="S302" s="31" t="s">
        <v>103</v>
      </c>
      <c r="T302" s="31" t="s">
        <v>80</v>
      </c>
      <c r="U302" s="31" t="s">
        <v>112</v>
      </c>
      <c r="V302" s="31" t="s">
        <v>130</v>
      </c>
      <c r="W302" s="31" t="s">
        <v>125</v>
      </c>
    </row>
    <row r="303" customFormat="false" ht="15" hidden="false" customHeight="false" outlineLevel="0" collapsed="false">
      <c r="A303" s="31" t="s">
        <v>1821</v>
      </c>
      <c r="B303" s="31" t="n">
        <f aca="false">+IF(A303=WORLDCUP!$BI$112,1,0)</f>
        <v>0</v>
      </c>
      <c r="C303" s="31" t="str">
        <f aca="false">+WORLDCUP!BD62</f>
        <v>Ecuador</v>
      </c>
      <c r="D303" s="31" t="str">
        <f aca="false">+WORLDCUP!BD67</f>
        <v>Austria</v>
      </c>
      <c r="E303" s="31" t="str">
        <f aca="false">+WORLDCUP!BD59</f>
        <v>Catar</v>
      </c>
      <c r="F303" s="31" t="str">
        <f aca="false">+WORLDCUP!BD63</f>
        <v>Japón</v>
      </c>
      <c r="G303" s="31" t="str">
        <f aca="false">+WORLDCUP!BD58</f>
        <v>República Checa</v>
      </c>
      <c r="H303" s="31" t="str">
        <f aca="false">+WORLDCUP!BD65</f>
        <v>España</v>
      </c>
      <c r="I303" s="31" t="str">
        <f aca="false">+WORLDCUP!BD69</f>
        <v>Ghana</v>
      </c>
      <c r="J303" s="31" t="str">
        <f aca="false">+WORLDCUP!BD66</f>
        <v>Irak</v>
      </c>
      <c r="N303" s="31" t="s">
        <v>1821</v>
      </c>
      <c r="O303" s="31" t="n">
        <v>302</v>
      </c>
      <c r="P303" s="31" t="s">
        <v>98</v>
      </c>
      <c r="Q303" s="31" t="s">
        <v>121</v>
      </c>
      <c r="R303" s="31" t="s">
        <v>85</v>
      </c>
      <c r="S303" s="31" t="s">
        <v>103</v>
      </c>
      <c r="T303" s="31" t="s">
        <v>80</v>
      </c>
      <c r="U303" s="31" t="s">
        <v>112</v>
      </c>
      <c r="V303" s="31" t="s">
        <v>130</v>
      </c>
      <c r="W303" s="31" t="s">
        <v>116</v>
      </c>
    </row>
    <row r="304" customFormat="false" ht="15" hidden="false" customHeight="false" outlineLevel="0" collapsed="false">
      <c r="A304" s="31" t="s">
        <v>1822</v>
      </c>
      <c r="B304" s="31" t="n">
        <f aca="false">+IF(A304=WORLDCUP!$BI$112,1,0)</f>
        <v>0</v>
      </c>
      <c r="C304" s="31" t="str">
        <f aca="false">+WORLDCUP!BD62</f>
        <v>Ecuador</v>
      </c>
      <c r="D304" s="31" t="str">
        <f aca="false">+WORLDCUP!BD67</f>
        <v>Austria</v>
      </c>
      <c r="E304" s="31" t="str">
        <f aca="false">+WORLDCUP!BD59</f>
        <v>Catar</v>
      </c>
      <c r="F304" s="31" t="str">
        <f aca="false">+WORLDCUP!BD63</f>
        <v>Japón</v>
      </c>
      <c r="G304" s="31" t="str">
        <f aca="false">+WORLDCUP!BD58</f>
        <v>República Checa</v>
      </c>
      <c r="H304" s="31" t="str">
        <f aca="false">+WORLDCUP!BD65</f>
        <v>España</v>
      </c>
      <c r="I304" s="31" t="str">
        <f aca="false">+WORLDCUP!BD66</f>
        <v>Irak</v>
      </c>
      <c r="J304" s="31" t="str">
        <f aca="false">+WORLDCUP!BD68</f>
        <v>Uzbekistán</v>
      </c>
      <c r="N304" s="31" t="s">
        <v>1822</v>
      </c>
      <c r="O304" s="31" t="n">
        <v>303</v>
      </c>
      <c r="P304" s="31" t="s">
        <v>98</v>
      </c>
      <c r="Q304" s="31" t="s">
        <v>121</v>
      </c>
      <c r="R304" s="31" t="s">
        <v>85</v>
      </c>
      <c r="S304" s="31" t="s">
        <v>103</v>
      </c>
      <c r="T304" s="31" t="s">
        <v>80</v>
      </c>
      <c r="U304" s="31" t="s">
        <v>112</v>
      </c>
      <c r="V304" s="31" t="s">
        <v>116</v>
      </c>
      <c r="W304" s="31" t="s">
        <v>125</v>
      </c>
    </row>
    <row r="305" customFormat="false" ht="15" hidden="false" customHeight="false" outlineLevel="0" collapsed="false">
      <c r="A305" s="31" t="s">
        <v>1823</v>
      </c>
      <c r="B305" s="31" t="n">
        <f aca="false">+IF(A305=WORLDCUP!$BI$112,1,0)</f>
        <v>0</v>
      </c>
      <c r="C305" s="31" t="str">
        <f aca="false">+WORLDCUP!BD62</f>
        <v>Ecuador</v>
      </c>
      <c r="D305" s="31" t="str">
        <f aca="false">+WORLDCUP!BD67</f>
        <v>Austria</v>
      </c>
      <c r="E305" s="31" t="str">
        <f aca="false">+WORLDCUP!BD59</f>
        <v>Catar</v>
      </c>
      <c r="F305" s="31" t="str">
        <f aca="false">+WORLDCUP!BD63</f>
        <v>Japón</v>
      </c>
      <c r="G305" s="31" t="str">
        <f aca="false">+WORLDCUP!BD58</f>
        <v>República Checa</v>
      </c>
      <c r="H305" s="31" t="str">
        <f aca="false">+WORLDCUP!BD64</f>
        <v>Bélgica</v>
      </c>
      <c r="I305" s="31" t="str">
        <f aca="false">+WORLDCUP!BD69</f>
        <v>Ghana</v>
      </c>
      <c r="J305" s="31" t="str">
        <f aca="false">+WORLDCUP!BD68</f>
        <v>Uzbekistán</v>
      </c>
      <c r="N305" s="31" t="s">
        <v>1823</v>
      </c>
      <c r="O305" s="31" t="n">
        <v>304</v>
      </c>
      <c r="P305" s="31" t="s">
        <v>98</v>
      </c>
      <c r="Q305" s="31" t="s">
        <v>121</v>
      </c>
      <c r="R305" s="31" t="s">
        <v>85</v>
      </c>
      <c r="S305" s="31" t="s">
        <v>103</v>
      </c>
      <c r="T305" s="31" t="s">
        <v>80</v>
      </c>
      <c r="U305" s="31" t="s">
        <v>107</v>
      </c>
      <c r="V305" s="31" t="s">
        <v>130</v>
      </c>
      <c r="W305" s="31" t="s">
        <v>125</v>
      </c>
    </row>
    <row r="306" customFormat="false" ht="15" hidden="false" customHeight="false" outlineLevel="0" collapsed="false">
      <c r="A306" s="31" t="s">
        <v>1824</v>
      </c>
      <c r="B306" s="31" t="n">
        <f aca="false">+IF(A306=WORLDCUP!$BI$112,1,0)</f>
        <v>0</v>
      </c>
      <c r="C306" s="31" t="str">
        <f aca="false">+WORLDCUP!BD62</f>
        <v>Ecuador</v>
      </c>
      <c r="D306" s="31" t="str">
        <f aca="false">+WORLDCUP!BD64</f>
        <v>Bélgica</v>
      </c>
      <c r="E306" s="31" t="str">
        <f aca="false">+WORLDCUP!BD59</f>
        <v>Catar</v>
      </c>
      <c r="F306" s="31" t="str">
        <f aca="false">+WORLDCUP!BD58</f>
        <v>República Checa</v>
      </c>
      <c r="G306" s="31" t="str">
        <f aca="false">+WORLDCUP!BD66</f>
        <v>Irak</v>
      </c>
      <c r="H306" s="31" t="str">
        <f aca="false">+WORLDCUP!BD63</f>
        <v>Japón</v>
      </c>
      <c r="I306" s="31" t="str">
        <f aca="false">+WORLDCUP!BD69</f>
        <v>Ghana</v>
      </c>
      <c r="J306" s="31" t="str">
        <f aca="false">+WORLDCUP!BD68</f>
        <v>Uzbekistán</v>
      </c>
      <c r="N306" s="31" t="s">
        <v>1824</v>
      </c>
      <c r="O306" s="31" t="n">
        <v>305</v>
      </c>
      <c r="P306" s="31" t="s">
        <v>98</v>
      </c>
      <c r="Q306" s="31" t="s">
        <v>107</v>
      </c>
      <c r="R306" s="31" t="s">
        <v>85</v>
      </c>
      <c r="S306" s="31" t="s">
        <v>80</v>
      </c>
      <c r="T306" s="31" t="s">
        <v>116</v>
      </c>
      <c r="U306" s="31" t="s">
        <v>103</v>
      </c>
      <c r="V306" s="31" t="s">
        <v>130</v>
      </c>
      <c r="W306" s="31" t="s">
        <v>125</v>
      </c>
    </row>
    <row r="307" customFormat="false" ht="15" hidden="false" customHeight="false" outlineLevel="0" collapsed="false">
      <c r="A307" s="31" t="s">
        <v>1825</v>
      </c>
      <c r="B307" s="31" t="n">
        <f aca="false">+IF(A307=WORLDCUP!$BI$112,1,0)</f>
        <v>0</v>
      </c>
      <c r="C307" s="31" t="str">
        <f aca="false">+WORLDCUP!BD62</f>
        <v>Ecuador</v>
      </c>
      <c r="D307" s="31" t="str">
        <f aca="false">+WORLDCUP!BD67</f>
        <v>Austria</v>
      </c>
      <c r="E307" s="31" t="str">
        <f aca="false">+WORLDCUP!BD59</f>
        <v>Catar</v>
      </c>
      <c r="F307" s="31" t="str">
        <f aca="false">+WORLDCUP!BD63</f>
        <v>Japón</v>
      </c>
      <c r="G307" s="31" t="str">
        <f aca="false">+WORLDCUP!BD58</f>
        <v>República Checa</v>
      </c>
      <c r="H307" s="31" t="str">
        <f aca="false">+WORLDCUP!BD64</f>
        <v>Bélgica</v>
      </c>
      <c r="I307" s="31" t="str">
        <f aca="false">+WORLDCUP!BD69</f>
        <v>Ghana</v>
      </c>
      <c r="J307" s="31" t="str">
        <f aca="false">+WORLDCUP!BD66</f>
        <v>Irak</v>
      </c>
      <c r="N307" s="31" t="s">
        <v>1825</v>
      </c>
      <c r="O307" s="31" t="n">
        <v>306</v>
      </c>
      <c r="P307" s="31" t="s">
        <v>98</v>
      </c>
      <c r="Q307" s="31" t="s">
        <v>121</v>
      </c>
      <c r="R307" s="31" t="s">
        <v>85</v>
      </c>
      <c r="S307" s="31" t="s">
        <v>103</v>
      </c>
      <c r="T307" s="31" t="s">
        <v>80</v>
      </c>
      <c r="U307" s="31" t="s">
        <v>107</v>
      </c>
      <c r="V307" s="31" t="s">
        <v>130</v>
      </c>
      <c r="W307" s="31" t="s">
        <v>116</v>
      </c>
    </row>
    <row r="308" customFormat="false" ht="15" hidden="false" customHeight="false" outlineLevel="0" collapsed="false">
      <c r="A308" s="31" t="s">
        <v>1826</v>
      </c>
      <c r="B308" s="31" t="n">
        <f aca="false">+IF(A308=WORLDCUP!$BI$112,1,0)</f>
        <v>0</v>
      </c>
      <c r="C308" s="31" t="str">
        <f aca="false">+WORLDCUP!BD62</f>
        <v>Ecuador</v>
      </c>
      <c r="D308" s="31" t="str">
        <f aca="false">+WORLDCUP!BD67</f>
        <v>Austria</v>
      </c>
      <c r="E308" s="31" t="str">
        <f aca="false">+WORLDCUP!BD59</f>
        <v>Catar</v>
      </c>
      <c r="F308" s="31" t="str">
        <f aca="false">+WORLDCUP!BD63</f>
        <v>Japón</v>
      </c>
      <c r="G308" s="31" t="str">
        <f aca="false">+WORLDCUP!BD58</f>
        <v>República Checa</v>
      </c>
      <c r="H308" s="31" t="str">
        <f aca="false">+WORLDCUP!BD64</f>
        <v>Bélgica</v>
      </c>
      <c r="I308" s="31" t="str">
        <f aca="false">+WORLDCUP!BD66</f>
        <v>Irak</v>
      </c>
      <c r="J308" s="31" t="str">
        <f aca="false">+WORLDCUP!BD68</f>
        <v>Uzbekistán</v>
      </c>
      <c r="N308" s="31" t="s">
        <v>1826</v>
      </c>
      <c r="O308" s="31" t="n">
        <v>307</v>
      </c>
      <c r="P308" s="31" t="s">
        <v>98</v>
      </c>
      <c r="Q308" s="31" t="s">
        <v>121</v>
      </c>
      <c r="R308" s="31" t="s">
        <v>85</v>
      </c>
      <c r="S308" s="31" t="s">
        <v>103</v>
      </c>
      <c r="T308" s="31" t="s">
        <v>80</v>
      </c>
      <c r="U308" s="31" t="s">
        <v>107</v>
      </c>
      <c r="V308" s="31" t="s">
        <v>116</v>
      </c>
      <c r="W308" s="31" t="s">
        <v>125</v>
      </c>
    </row>
    <row r="309" customFormat="false" ht="15" hidden="false" customHeight="false" outlineLevel="0" collapsed="false">
      <c r="A309" s="31" t="s">
        <v>1827</v>
      </c>
      <c r="B309" s="31" t="n">
        <f aca="false">+IF(A309=WORLDCUP!$BI$112,1,0)</f>
        <v>0</v>
      </c>
      <c r="C309" s="31" t="str">
        <f aca="false">+WORLDCUP!BD62</f>
        <v>Ecuador</v>
      </c>
      <c r="D309" s="31" t="str">
        <f aca="false">+WORLDCUP!BD64</f>
        <v>Bélgica</v>
      </c>
      <c r="E309" s="31" t="str">
        <f aca="false">+WORLDCUP!BD59</f>
        <v>Catar</v>
      </c>
      <c r="F309" s="31" t="str">
        <f aca="false">+WORLDCUP!BD63</f>
        <v>Japón</v>
      </c>
      <c r="G309" s="31" t="str">
        <f aca="false">+WORLDCUP!BD58</f>
        <v>República Checa</v>
      </c>
      <c r="H309" s="31" t="str">
        <f aca="false">+WORLDCUP!BD65</f>
        <v>España</v>
      </c>
      <c r="I309" s="31" t="str">
        <f aca="false">+WORLDCUP!BD69</f>
        <v>Ghana</v>
      </c>
      <c r="J309" s="31" t="str">
        <f aca="false">+WORLDCUP!BD68</f>
        <v>Uzbekistán</v>
      </c>
      <c r="N309" s="31" t="s">
        <v>1827</v>
      </c>
      <c r="O309" s="31" t="n">
        <v>308</v>
      </c>
      <c r="P309" s="31" t="s">
        <v>98</v>
      </c>
      <c r="Q309" s="31" t="s">
        <v>107</v>
      </c>
      <c r="R309" s="31" t="s">
        <v>85</v>
      </c>
      <c r="S309" s="31" t="s">
        <v>103</v>
      </c>
      <c r="T309" s="31" t="s">
        <v>80</v>
      </c>
      <c r="U309" s="31" t="s">
        <v>112</v>
      </c>
      <c r="V309" s="31" t="s">
        <v>130</v>
      </c>
      <c r="W309" s="31" t="s">
        <v>125</v>
      </c>
    </row>
    <row r="310" customFormat="false" ht="15" hidden="false" customHeight="false" outlineLevel="0" collapsed="false">
      <c r="A310" s="31" t="s">
        <v>1828</v>
      </c>
      <c r="B310" s="31" t="n">
        <f aca="false">+IF(A310=WORLDCUP!$BI$112,1,0)</f>
        <v>0</v>
      </c>
      <c r="C310" s="31" t="str">
        <f aca="false">+WORLDCUP!BD65</f>
        <v>España</v>
      </c>
      <c r="D310" s="31" t="str">
        <f aca="false">+WORLDCUP!BD67</f>
        <v>Austria</v>
      </c>
      <c r="E310" s="31" t="str">
        <f aca="false">+WORLDCUP!BD59</f>
        <v>Catar</v>
      </c>
      <c r="F310" s="31" t="str">
        <f aca="false">+WORLDCUP!BD63</f>
        <v>Japón</v>
      </c>
      <c r="G310" s="31" t="str">
        <f aca="false">+WORLDCUP!BD58</f>
        <v>República Checa</v>
      </c>
      <c r="H310" s="31" t="str">
        <f aca="false">+WORLDCUP!BD64</f>
        <v>Bélgica</v>
      </c>
      <c r="I310" s="31" t="str">
        <f aca="false">+WORLDCUP!BD69</f>
        <v>Ghana</v>
      </c>
      <c r="J310" s="31" t="str">
        <f aca="false">+WORLDCUP!BD62</f>
        <v>Ecuador</v>
      </c>
      <c r="N310" s="31" t="s">
        <v>1828</v>
      </c>
      <c r="O310" s="31" t="n">
        <v>309</v>
      </c>
      <c r="P310" s="31" t="s">
        <v>112</v>
      </c>
      <c r="Q310" s="31" t="s">
        <v>121</v>
      </c>
      <c r="R310" s="31" t="s">
        <v>85</v>
      </c>
      <c r="S310" s="31" t="s">
        <v>103</v>
      </c>
      <c r="T310" s="31" t="s">
        <v>80</v>
      </c>
      <c r="U310" s="31" t="s">
        <v>107</v>
      </c>
      <c r="V310" s="31" t="s">
        <v>130</v>
      </c>
      <c r="W310" s="31" t="s">
        <v>98</v>
      </c>
    </row>
    <row r="311" customFormat="false" ht="15" hidden="false" customHeight="false" outlineLevel="0" collapsed="false">
      <c r="A311" s="31" t="s">
        <v>1829</v>
      </c>
      <c r="B311" s="31" t="n">
        <f aca="false">+IF(A311=WORLDCUP!$BI$112,1,0)</f>
        <v>0</v>
      </c>
      <c r="C311" s="31" t="str">
        <f aca="false">+WORLDCUP!BD65</f>
        <v>España</v>
      </c>
      <c r="D311" s="31" t="str">
        <f aca="false">+WORLDCUP!BD67</f>
        <v>Austria</v>
      </c>
      <c r="E311" s="31" t="str">
        <f aca="false">+WORLDCUP!BD59</f>
        <v>Catar</v>
      </c>
      <c r="F311" s="31" t="str">
        <f aca="false">+WORLDCUP!BD63</f>
        <v>Japón</v>
      </c>
      <c r="G311" s="31" t="str">
        <f aca="false">+WORLDCUP!BD58</f>
        <v>República Checa</v>
      </c>
      <c r="H311" s="31" t="str">
        <f aca="false">+WORLDCUP!BD64</f>
        <v>Bélgica</v>
      </c>
      <c r="I311" s="31" t="str">
        <f aca="false">+WORLDCUP!BD62</f>
        <v>Ecuador</v>
      </c>
      <c r="J311" s="31" t="str">
        <f aca="false">+WORLDCUP!BD68</f>
        <v>Uzbekistán</v>
      </c>
      <c r="N311" s="31" t="s">
        <v>1829</v>
      </c>
      <c r="O311" s="31" t="n">
        <v>310</v>
      </c>
      <c r="P311" s="31" t="s">
        <v>112</v>
      </c>
      <c r="Q311" s="31" t="s">
        <v>121</v>
      </c>
      <c r="R311" s="31" t="s">
        <v>85</v>
      </c>
      <c r="S311" s="31" t="s">
        <v>103</v>
      </c>
      <c r="T311" s="31" t="s">
        <v>80</v>
      </c>
      <c r="U311" s="31" t="s">
        <v>107</v>
      </c>
      <c r="V311" s="31" t="s">
        <v>98</v>
      </c>
      <c r="W311" s="31" t="s">
        <v>125</v>
      </c>
    </row>
    <row r="312" customFormat="false" ht="15" hidden="false" customHeight="false" outlineLevel="0" collapsed="false">
      <c r="A312" s="31" t="s">
        <v>1830</v>
      </c>
      <c r="B312" s="31" t="n">
        <f aca="false">+IF(A312=WORLDCUP!$BI$112,1,0)</f>
        <v>0</v>
      </c>
      <c r="C312" s="31" t="str">
        <f aca="false">+WORLDCUP!BD62</f>
        <v>Ecuador</v>
      </c>
      <c r="D312" s="31" t="str">
        <f aca="false">+WORLDCUP!BD64</f>
        <v>Bélgica</v>
      </c>
      <c r="E312" s="31" t="str">
        <f aca="false">+WORLDCUP!BD59</f>
        <v>Catar</v>
      </c>
      <c r="F312" s="31" t="str">
        <f aca="false">+WORLDCUP!BD63</f>
        <v>Japón</v>
      </c>
      <c r="G312" s="31" t="str">
        <f aca="false">+WORLDCUP!BD58</f>
        <v>República Checa</v>
      </c>
      <c r="H312" s="31" t="str">
        <f aca="false">+WORLDCUP!BD65</f>
        <v>España</v>
      </c>
      <c r="I312" s="31" t="str">
        <f aca="false">+WORLDCUP!BD69</f>
        <v>Ghana</v>
      </c>
      <c r="J312" s="31" t="str">
        <f aca="false">+WORLDCUP!BD66</f>
        <v>Irak</v>
      </c>
      <c r="N312" s="31" t="s">
        <v>1830</v>
      </c>
      <c r="O312" s="31" t="n">
        <v>311</v>
      </c>
      <c r="P312" s="31" t="s">
        <v>98</v>
      </c>
      <c r="Q312" s="31" t="s">
        <v>107</v>
      </c>
      <c r="R312" s="31" t="s">
        <v>85</v>
      </c>
      <c r="S312" s="31" t="s">
        <v>103</v>
      </c>
      <c r="T312" s="31" t="s">
        <v>80</v>
      </c>
      <c r="U312" s="31" t="s">
        <v>112</v>
      </c>
      <c r="V312" s="31" t="s">
        <v>130</v>
      </c>
      <c r="W312" s="31" t="s">
        <v>116</v>
      </c>
    </row>
    <row r="313" customFormat="false" ht="15" hidden="false" customHeight="false" outlineLevel="0" collapsed="false">
      <c r="A313" s="31" t="s">
        <v>1831</v>
      </c>
      <c r="B313" s="31" t="n">
        <f aca="false">+IF(A313=WORLDCUP!$BI$112,1,0)</f>
        <v>0</v>
      </c>
      <c r="C313" s="31" t="str">
        <f aca="false">+WORLDCUP!BD62</f>
        <v>Ecuador</v>
      </c>
      <c r="D313" s="31" t="str">
        <f aca="false">+WORLDCUP!BD64</f>
        <v>Bélgica</v>
      </c>
      <c r="E313" s="31" t="str">
        <f aca="false">+WORLDCUP!BD59</f>
        <v>Catar</v>
      </c>
      <c r="F313" s="31" t="str">
        <f aca="false">+WORLDCUP!BD63</f>
        <v>Japón</v>
      </c>
      <c r="G313" s="31" t="str">
        <f aca="false">+WORLDCUP!BD58</f>
        <v>República Checa</v>
      </c>
      <c r="H313" s="31" t="str">
        <f aca="false">+WORLDCUP!BD65</f>
        <v>España</v>
      </c>
      <c r="I313" s="31" t="str">
        <f aca="false">+WORLDCUP!BD66</f>
        <v>Irak</v>
      </c>
      <c r="J313" s="31" t="str">
        <f aca="false">+WORLDCUP!BD68</f>
        <v>Uzbekistán</v>
      </c>
      <c r="N313" s="31" t="s">
        <v>1831</v>
      </c>
      <c r="O313" s="31" t="n">
        <v>312</v>
      </c>
      <c r="P313" s="31" t="s">
        <v>98</v>
      </c>
      <c r="Q313" s="31" t="s">
        <v>107</v>
      </c>
      <c r="R313" s="31" t="s">
        <v>85</v>
      </c>
      <c r="S313" s="31" t="s">
        <v>103</v>
      </c>
      <c r="T313" s="31" t="s">
        <v>80</v>
      </c>
      <c r="U313" s="31" t="s">
        <v>112</v>
      </c>
      <c r="V313" s="31" t="s">
        <v>116</v>
      </c>
      <c r="W313" s="31" t="s">
        <v>125</v>
      </c>
    </row>
    <row r="314" customFormat="false" ht="15" hidden="false" customHeight="false" outlineLevel="0" collapsed="false">
      <c r="A314" s="31" t="s">
        <v>1832</v>
      </c>
      <c r="B314" s="31" t="n">
        <f aca="false">+IF(A314=WORLDCUP!$BI$112,1,0)</f>
        <v>0</v>
      </c>
      <c r="C314" s="31" t="str">
        <f aca="false">+WORLDCUP!BD65</f>
        <v>España</v>
      </c>
      <c r="D314" s="31" t="str">
        <f aca="false">+WORLDCUP!BD67</f>
        <v>Austria</v>
      </c>
      <c r="E314" s="31" t="str">
        <f aca="false">+WORLDCUP!BD59</f>
        <v>Catar</v>
      </c>
      <c r="F314" s="31" t="str">
        <f aca="false">+WORLDCUP!BD63</f>
        <v>Japón</v>
      </c>
      <c r="G314" s="31" t="str">
        <f aca="false">+WORLDCUP!BD58</f>
        <v>República Checa</v>
      </c>
      <c r="H314" s="31" t="str">
        <f aca="false">+WORLDCUP!BD64</f>
        <v>Bélgica</v>
      </c>
      <c r="I314" s="31" t="str">
        <f aca="false">+WORLDCUP!BD62</f>
        <v>Ecuador</v>
      </c>
      <c r="J314" s="31" t="str">
        <f aca="false">+WORLDCUP!BD66</f>
        <v>Irak</v>
      </c>
      <c r="N314" s="31" t="s">
        <v>1832</v>
      </c>
      <c r="O314" s="31" t="n">
        <v>313</v>
      </c>
      <c r="P314" s="31" t="s">
        <v>112</v>
      </c>
      <c r="Q314" s="31" t="s">
        <v>121</v>
      </c>
      <c r="R314" s="31" t="s">
        <v>85</v>
      </c>
      <c r="S314" s="31" t="s">
        <v>103</v>
      </c>
      <c r="T314" s="31" t="s">
        <v>80</v>
      </c>
      <c r="U314" s="31" t="s">
        <v>107</v>
      </c>
      <c r="V314" s="31" t="s">
        <v>98</v>
      </c>
      <c r="W314" s="31" t="s">
        <v>116</v>
      </c>
    </row>
    <row r="315" customFormat="false" ht="15" hidden="false" customHeight="false" outlineLevel="0" collapsed="false">
      <c r="A315" s="31" t="s">
        <v>1833</v>
      </c>
      <c r="B315" s="31" t="n">
        <f aca="false">+IF(A315=WORLDCUP!$BI$112,1,0)</f>
        <v>0</v>
      </c>
      <c r="C315" s="31" t="str">
        <f aca="false">+WORLDCUP!BD66</f>
        <v>Irak</v>
      </c>
      <c r="D315" s="31" t="str">
        <f aca="false">+WORLDCUP!BD67</f>
        <v>Austria</v>
      </c>
      <c r="E315" s="31" t="str">
        <f aca="false">+WORLDCUP!BD59</f>
        <v>Catar</v>
      </c>
      <c r="F315" s="31" t="str">
        <f aca="false">+WORLDCUP!BD61</f>
        <v>Turquía</v>
      </c>
      <c r="G315" s="31" t="str">
        <f aca="false">+WORLDCUP!BD58</f>
        <v>República Checa</v>
      </c>
      <c r="H315" s="31" t="str">
        <f aca="false">+WORLDCUP!BD65</f>
        <v>España</v>
      </c>
      <c r="I315" s="31" t="str">
        <f aca="false">+WORLDCUP!BD69</f>
        <v>Ghana</v>
      </c>
      <c r="J315" s="31" t="str">
        <f aca="false">+WORLDCUP!BD68</f>
        <v>Uzbekistán</v>
      </c>
      <c r="N315" s="31" t="s">
        <v>1833</v>
      </c>
      <c r="O315" s="31" t="n">
        <v>314</v>
      </c>
      <c r="P315" s="31" t="s">
        <v>116</v>
      </c>
      <c r="Q315" s="31" t="s">
        <v>121</v>
      </c>
      <c r="R315" s="31" t="s">
        <v>85</v>
      </c>
      <c r="S315" s="31" t="s">
        <v>94</v>
      </c>
      <c r="T315" s="31" t="s">
        <v>80</v>
      </c>
      <c r="U315" s="31" t="s">
        <v>112</v>
      </c>
      <c r="V315" s="31" t="s">
        <v>130</v>
      </c>
      <c r="W315" s="31" t="s">
        <v>125</v>
      </c>
    </row>
    <row r="316" customFormat="false" ht="15" hidden="false" customHeight="false" outlineLevel="0" collapsed="false">
      <c r="A316" s="31" t="s">
        <v>1834</v>
      </c>
      <c r="B316" s="31" t="n">
        <f aca="false">+IF(A316=WORLDCUP!$BI$112,1,0)</f>
        <v>0</v>
      </c>
      <c r="C316" s="31" t="str">
        <f aca="false">+WORLDCUP!BD66</f>
        <v>Irak</v>
      </c>
      <c r="D316" s="31" t="str">
        <f aca="false">+WORLDCUP!BD67</f>
        <v>Austria</v>
      </c>
      <c r="E316" s="31" t="str">
        <f aca="false">+WORLDCUP!BD59</f>
        <v>Catar</v>
      </c>
      <c r="F316" s="31" t="str">
        <f aca="false">+WORLDCUP!BD61</f>
        <v>Turquía</v>
      </c>
      <c r="G316" s="31" t="str">
        <f aca="false">+WORLDCUP!BD58</f>
        <v>República Checa</v>
      </c>
      <c r="H316" s="31" t="str">
        <f aca="false">+WORLDCUP!BD64</f>
        <v>Bélgica</v>
      </c>
      <c r="I316" s="31" t="str">
        <f aca="false">+WORLDCUP!BD69</f>
        <v>Ghana</v>
      </c>
      <c r="J316" s="31" t="str">
        <f aca="false">+WORLDCUP!BD68</f>
        <v>Uzbekistán</v>
      </c>
      <c r="N316" s="31" t="s">
        <v>1834</v>
      </c>
      <c r="O316" s="31" t="n">
        <v>315</v>
      </c>
      <c r="P316" s="31" t="s">
        <v>116</v>
      </c>
      <c r="Q316" s="31" t="s">
        <v>121</v>
      </c>
      <c r="R316" s="31" t="s">
        <v>85</v>
      </c>
      <c r="S316" s="31" t="s">
        <v>94</v>
      </c>
      <c r="T316" s="31" t="s">
        <v>80</v>
      </c>
      <c r="U316" s="31" t="s">
        <v>107</v>
      </c>
      <c r="V316" s="31" t="s">
        <v>130</v>
      </c>
      <c r="W316" s="31" t="s">
        <v>125</v>
      </c>
    </row>
    <row r="317" customFormat="false" ht="15" hidden="false" customHeight="false" outlineLevel="0" collapsed="false">
      <c r="A317" s="31" t="s">
        <v>1835</v>
      </c>
      <c r="B317" s="31" t="n">
        <f aca="false">+IF(A317=WORLDCUP!$BI$112,1,0)</f>
        <v>0</v>
      </c>
      <c r="C317" s="31" t="str">
        <f aca="false">+WORLDCUP!BD65</f>
        <v>España</v>
      </c>
      <c r="D317" s="31" t="str">
        <f aca="false">+WORLDCUP!BD67</f>
        <v>Austria</v>
      </c>
      <c r="E317" s="31" t="str">
        <f aca="false">+WORLDCUP!BD59</f>
        <v>Catar</v>
      </c>
      <c r="F317" s="31" t="str">
        <f aca="false">+WORLDCUP!BD61</f>
        <v>Turquía</v>
      </c>
      <c r="G317" s="31" t="str">
        <f aca="false">+WORLDCUP!BD58</f>
        <v>República Checa</v>
      </c>
      <c r="H317" s="31" t="str">
        <f aca="false">+WORLDCUP!BD64</f>
        <v>Bélgica</v>
      </c>
      <c r="I317" s="31" t="str">
        <f aca="false">+WORLDCUP!BD69</f>
        <v>Ghana</v>
      </c>
      <c r="J317" s="31" t="str">
        <f aca="false">+WORLDCUP!BD68</f>
        <v>Uzbekistán</v>
      </c>
      <c r="N317" s="31" t="s">
        <v>1835</v>
      </c>
      <c r="O317" s="31" t="n">
        <v>316</v>
      </c>
      <c r="P317" s="31" t="s">
        <v>112</v>
      </c>
      <c r="Q317" s="31" t="s">
        <v>121</v>
      </c>
      <c r="R317" s="31" t="s">
        <v>85</v>
      </c>
      <c r="S317" s="31" t="s">
        <v>94</v>
      </c>
      <c r="T317" s="31" t="s">
        <v>80</v>
      </c>
      <c r="U317" s="31" t="s">
        <v>107</v>
      </c>
      <c r="V317" s="31" t="s">
        <v>130</v>
      </c>
      <c r="W317" s="31" t="s">
        <v>125</v>
      </c>
    </row>
    <row r="318" customFormat="false" ht="15" hidden="false" customHeight="false" outlineLevel="0" collapsed="false">
      <c r="A318" s="31" t="s">
        <v>1836</v>
      </c>
      <c r="B318" s="31" t="n">
        <f aca="false">+IF(A318=WORLDCUP!$BI$112,1,0)</f>
        <v>0</v>
      </c>
      <c r="C318" s="31" t="str">
        <f aca="false">+WORLDCUP!BD66</f>
        <v>Irak</v>
      </c>
      <c r="D318" s="31" t="str">
        <f aca="false">+WORLDCUP!BD64</f>
        <v>Bélgica</v>
      </c>
      <c r="E318" s="31" t="str">
        <f aca="false">+WORLDCUP!BD59</f>
        <v>Catar</v>
      </c>
      <c r="F318" s="31" t="str">
        <f aca="false">+WORLDCUP!BD61</f>
        <v>Turquía</v>
      </c>
      <c r="G318" s="31" t="str">
        <f aca="false">+WORLDCUP!BD58</f>
        <v>República Checa</v>
      </c>
      <c r="H318" s="31" t="str">
        <f aca="false">+WORLDCUP!BD65</f>
        <v>España</v>
      </c>
      <c r="I318" s="31" t="str">
        <f aca="false">+WORLDCUP!BD69</f>
        <v>Ghana</v>
      </c>
      <c r="J318" s="31" t="str">
        <f aca="false">+WORLDCUP!BD68</f>
        <v>Uzbekistán</v>
      </c>
      <c r="N318" s="31" t="s">
        <v>1836</v>
      </c>
      <c r="O318" s="31" t="n">
        <v>317</v>
      </c>
      <c r="P318" s="31" t="s">
        <v>116</v>
      </c>
      <c r="Q318" s="31" t="s">
        <v>107</v>
      </c>
      <c r="R318" s="31" t="s">
        <v>85</v>
      </c>
      <c r="S318" s="31" t="s">
        <v>94</v>
      </c>
      <c r="T318" s="31" t="s">
        <v>80</v>
      </c>
      <c r="U318" s="31" t="s">
        <v>112</v>
      </c>
      <c r="V318" s="31" t="s">
        <v>130</v>
      </c>
      <c r="W318" s="31" t="s">
        <v>125</v>
      </c>
    </row>
    <row r="319" customFormat="false" ht="15" hidden="false" customHeight="false" outlineLevel="0" collapsed="false">
      <c r="A319" s="31" t="s">
        <v>1837</v>
      </c>
      <c r="B319" s="31" t="n">
        <f aca="false">+IF(A319=WORLDCUP!$BI$112,1,0)</f>
        <v>0</v>
      </c>
      <c r="C319" s="31" t="str">
        <f aca="false">+WORLDCUP!BD65</f>
        <v>España</v>
      </c>
      <c r="D319" s="31" t="str">
        <f aca="false">+WORLDCUP!BD67</f>
        <v>Austria</v>
      </c>
      <c r="E319" s="31" t="str">
        <f aca="false">+WORLDCUP!BD59</f>
        <v>Catar</v>
      </c>
      <c r="F319" s="31" t="str">
        <f aca="false">+WORLDCUP!BD61</f>
        <v>Turquía</v>
      </c>
      <c r="G319" s="31" t="str">
        <f aca="false">+WORLDCUP!BD58</f>
        <v>República Checa</v>
      </c>
      <c r="H319" s="31" t="str">
        <f aca="false">+WORLDCUP!BD64</f>
        <v>Bélgica</v>
      </c>
      <c r="I319" s="31" t="str">
        <f aca="false">+WORLDCUP!BD69</f>
        <v>Ghana</v>
      </c>
      <c r="J319" s="31" t="str">
        <f aca="false">+WORLDCUP!BD66</f>
        <v>Irak</v>
      </c>
      <c r="N319" s="31" t="s">
        <v>1837</v>
      </c>
      <c r="O319" s="31" t="n">
        <v>318</v>
      </c>
      <c r="P319" s="31" t="s">
        <v>112</v>
      </c>
      <c r="Q319" s="31" t="s">
        <v>121</v>
      </c>
      <c r="R319" s="31" t="s">
        <v>85</v>
      </c>
      <c r="S319" s="31" t="s">
        <v>94</v>
      </c>
      <c r="T319" s="31" t="s">
        <v>80</v>
      </c>
      <c r="U319" s="31" t="s">
        <v>107</v>
      </c>
      <c r="V319" s="31" t="s">
        <v>130</v>
      </c>
      <c r="W319" s="31" t="s">
        <v>116</v>
      </c>
    </row>
    <row r="320" customFormat="false" ht="15" hidden="false" customHeight="false" outlineLevel="0" collapsed="false">
      <c r="A320" s="31" t="s">
        <v>1838</v>
      </c>
      <c r="B320" s="31" t="n">
        <f aca="false">+IF(A320=WORLDCUP!$BI$112,1,0)</f>
        <v>0</v>
      </c>
      <c r="C320" s="31" t="str">
        <f aca="false">+WORLDCUP!BD65</f>
        <v>España</v>
      </c>
      <c r="D320" s="31" t="str">
        <f aca="false">+WORLDCUP!BD67</f>
        <v>Austria</v>
      </c>
      <c r="E320" s="31" t="str">
        <f aca="false">+WORLDCUP!BD59</f>
        <v>Catar</v>
      </c>
      <c r="F320" s="31" t="str">
        <f aca="false">+WORLDCUP!BD61</f>
        <v>Turquía</v>
      </c>
      <c r="G320" s="31" t="str">
        <f aca="false">+WORLDCUP!BD58</f>
        <v>República Checa</v>
      </c>
      <c r="H320" s="31" t="str">
        <f aca="false">+WORLDCUP!BD64</f>
        <v>Bélgica</v>
      </c>
      <c r="I320" s="31" t="str">
        <f aca="false">+WORLDCUP!BD66</f>
        <v>Irak</v>
      </c>
      <c r="J320" s="31" t="str">
        <f aca="false">+WORLDCUP!BD68</f>
        <v>Uzbekistán</v>
      </c>
      <c r="N320" s="31" t="s">
        <v>1838</v>
      </c>
      <c r="O320" s="31" t="n">
        <v>319</v>
      </c>
      <c r="P320" s="31" t="s">
        <v>112</v>
      </c>
      <c r="Q320" s="31" t="s">
        <v>121</v>
      </c>
      <c r="R320" s="31" t="s">
        <v>85</v>
      </c>
      <c r="S320" s="31" t="s">
        <v>94</v>
      </c>
      <c r="T320" s="31" t="s">
        <v>80</v>
      </c>
      <c r="U320" s="31" t="s">
        <v>107</v>
      </c>
      <c r="V320" s="31" t="s">
        <v>116</v>
      </c>
      <c r="W320" s="31" t="s">
        <v>125</v>
      </c>
    </row>
    <row r="321" customFormat="false" ht="15" hidden="false" customHeight="false" outlineLevel="0" collapsed="false">
      <c r="A321" s="31" t="s">
        <v>1839</v>
      </c>
      <c r="B321" s="31" t="n">
        <f aca="false">+IF(A321=WORLDCUP!$BI$112,1,0)</f>
        <v>0</v>
      </c>
      <c r="C321" s="31" t="str">
        <f aca="false">+WORLDCUP!BD66</f>
        <v>Irak</v>
      </c>
      <c r="D321" s="31" t="str">
        <f aca="false">+WORLDCUP!BD67</f>
        <v>Austria</v>
      </c>
      <c r="E321" s="31" t="str">
        <f aca="false">+WORLDCUP!BD59</f>
        <v>Catar</v>
      </c>
      <c r="F321" s="31" t="str">
        <f aca="false">+WORLDCUP!BD61</f>
        <v>Turquía</v>
      </c>
      <c r="G321" s="31" t="str">
        <f aca="false">+WORLDCUP!BD58</f>
        <v>República Checa</v>
      </c>
      <c r="H321" s="31" t="str">
        <f aca="false">+WORLDCUP!BD63</f>
        <v>Japón</v>
      </c>
      <c r="I321" s="31" t="str">
        <f aca="false">+WORLDCUP!BD69</f>
        <v>Ghana</v>
      </c>
      <c r="J321" s="31" t="str">
        <f aca="false">+WORLDCUP!BD68</f>
        <v>Uzbekistán</v>
      </c>
      <c r="N321" s="31" t="s">
        <v>1839</v>
      </c>
      <c r="O321" s="31" t="n">
        <v>320</v>
      </c>
      <c r="P321" s="31" t="s">
        <v>116</v>
      </c>
      <c r="Q321" s="31" t="s">
        <v>121</v>
      </c>
      <c r="R321" s="31" t="s">
        <v>85</v>
      </c>
      <c r="S321" s="31" t="s">
        <v>94</v>
      </c>
      <c r="T321" s="31" t="s">
        <v>80</v>
      </c>
      <c r="U321" s="31" t="s">
        <v>103</v>
      </c>
      <c r="V321" s="31" t="s">
        <v>130</v>
      </c>
      <c r="W321" s="31" t="s">
        <v>125</v>
      </c>
    </row>
    <row r="322" customFormat="false" ht="15" hidden="false" customHeight="false" outlineLevel="0" collapsed="false">
      <c r="A322" s="31" t="s">
        <v>1840</v>
      </c>
      <c r="B322" s="31" t="n">
        <f aca="false">+IF(A322=WORLDCUP!$BI$112,1,0)</f>
        <v>0</v>
      </c>
      <c r="C322" s="31" t="str">
        <f aca="false">+WORLDCUP!BD65</f>
        <v>España</v>
      </c>
      <c r="D322" s="31" t="str">
        <f aca="false">+WORLDCUP!BD67</f>
        <v>Austria</v>
      </c>
      <c r="E322" s="31" t="str">
        <f aca="false">+WORLDCUP!BD59</f>
        <v>Catar</v>
      </c>
      <c r="F322" s="31" t="str">
        <f aca="false">+WORLDCUP!BD61</f>
        <v>Turquía</v>
      </c>
      <c r="G322" s="31" t="str">
        <f aca="false">+WORLDCUP!BD58</f>
        <v>República Checa</v>
      </c>
      <c r="H322" s="31" t="str">
        <f aca="false">+WORLDCUP!BD63</f>
        <v>Japón</v>
      </c>
      <c r="I322" s="31" t="str">
        <f aca="false">+WORLDCUP!BD69</f>
        <v>Ghana</v>
      </c>
      <c r="J322" s="31" t="str">
        <f aca="false">+WORLDCUP!BD68</f>
        <v>Uzbekistán</v>
      </c>
      <c r="N322" s="31" t="s">
        <v>1840</v>
      </c>
      <c r="O322" s="31" t="n">
        <v>321</v>
      </c>
      <c r="P322" s="31" t="s">
        <v>112</v>
      </c>
      <c r="Q322" s="31" t="s">
        <v>121</v>
      </c>
      <c r="R322" s="31" t="s">
        <v>85</v>
      </c>
      <c r="S322" s="31" t="s">
        <v>94</v>
      </c>
      <c r="T322" s="31" t="s">
        <v>80</v>
      </c>
      <c r="U322" s="31" t="s">
        <v>103</v>
      </c>
      <c r="V322" s="31" t="s">
        <v>130</v>
      </c>
      <c r="W322" s="31" t="s">
        <v>125</v>
      </c>
    </row>
    <row r="323" customFormat="false" ht="15" hidden="false" customHeight="false" outlineLevel="0" collapsed="false">
      <c r="A323" s="31" t="s">
        <v>1841</v>
      </c>
      <c r="B323" s="31" t="n">
        <f aca="false">+IF(A323=WORLDCUP!$BI$112,1,0)</f>
        <v>0</v>
      </c>
      <c r="C323" s="31" t="str">
        <f aca="false">+WORLDCUP!BD65</f>
        <v>España</v>
      </c>
      <c r="D323" s="31" t="str">
        <f aca="false">+WORLDCUP!BD66</f>
        <v>Irak</v>
      </c>
      <c r="E323" s="31" t="str">
        <f aca="false">+WORLDCUP!BD59</f>
        <v>Catar</v>
      </c>
      <c r="F323" s="31" t="str">
        <f aca="false">+WORLDCUP!BD61</f>
        <v>Turquía</v>
      </c>
      <c r="G323" s="31" t="str">
        <f aca="false">+WORLDCUP!BD58</f>
        <v>República Checa</v>
      </c>
      <c r="H323" s="31" t="str">
        <f aca="false">+WORLDCUP!BD63</f>
        <v>Japón</v>
      </c>
      <c r="I323" s="31" t="str">
        <f aca="false">+WORLDCUP!BD69</f>
        <v>Ghana</v>
      </c>
      <c r="J323" s="31" t="str">
        <f aca="false">+WORLDCUP!BD68</f>
        <v>Uzbekistán</v>
      </c>
      <c r="N323" s="31" t="s">
        <v>1841</v>
      </c>
      <c r="O323" s="31" t="n">
        <v>322</v>
      </c>
      <c r="P323" s="31" t="s">
        <v>112</v>
      </c>
      <c r="Q323" s="31" t="s">
        <v>116</v>
      </c>
      <c r="R323" s="31" t="s">
        <v>85</v>
      </c>
      <c r="S323" s="31" t="s">
        <v>94</v>
      </c>
      <c r="T323" s="31" t="s">
        <v>80</v>
      </c>
      <c r="U323" s="31" t="s">
        <v>103</v>
      </c>
      <c r="V323" s="31" t="s">
        <v>130</v>
      </c>
      <c r="W323" s="31" t="s">
        <v>125</v>
      </c>
    </row>
    <row r="324" customFormat="false" ht="15" hidden="false" customHeight="false" outlineLevel="0" collapsed="false">
      <c r="A324" s="31" t="s">
        <v>1842</v>
      </c>
      <c r="B324" s="31" t="n">
        <f aca="false">+IF(A324=WORLDCUP!$BI$112,1,0)</f>
        <v>0</v>
      </c>
      <c r="C324" s="31" t="str">
        <f aca="false">+WORLDCUP!BD65</f>
        <v>España</v>
      </c>
      <c r="D324" s="31" t="str">
        <f aca="false">+WORLDCUP!BD67</f>
        <v>Austria</v>
      </c>
      <c r="E324" s="31" t="str">
        <f aca="false">+WORLDCUP!BD59</f>
        <v>Catar</v>
      </c>
      <c r="F324" s="31" t="str">
        <f aca="false">+WORLDCUP!BD61</f>
        <v>Turquía</v>
      </c>
      <c r="G324" s="31" t="str">
        <f aca="false">+WORLDCUP!BD58</f>
        <v>República Checa</v>
      </c>
      <c r="H324" s="31" t="str">
        <f aca="false">+WORLDCUP!BD63</f>
        <v>Japón</v>
      </c>
      <c r="I324" s="31" t="str">
        <f aca="false">+WORLDCUP!BD69</f>
        <v>Ghana</v>
      </c>
      <c r="J324" s="31" t="str">
        <f aca="false">+WORLDCUP!BD66</f>
        <v>Irak</v>
      </c>
      <c r="N324" s="31" t="s">
        <v>1842</v>
      </c>
      <c r="O324" s="31" t="n">
        <v>323</v>
      </c>
      <c r="P324" s="31" t="s">
        <v>112</v>
      </c>
      <c r="Q324" s="31" t="s">
        <v>121</v>
      </c>
      <c r="R324" s="31" t="s">
        <v>85</v>
      </c>
      <c r="S324" s="31" t="s">
        <v>94</v>
      </c>
      <c r="T324" s="31" t="s">
        <v>80</v>
      </c>
      <c r="U324" s="31" t="s">
        <v>103</v>
      </c>
      <c r="V324" s="31" t="s">
        <v>130</v>
      </c>
      <c r="W324" s="31" t="s">
        <v>116</v>
      </c>
    </row>
    <row r="325" customFormat="false" ht="15" hidden="false" customHeight="false" outlineLevel="0" collapsed="false">
      <c r="A325" s="31" t="s">
        <v>1843</v>
      </c>
      <c r="B325" s="31" t="n">
        <f aca="false">+IF(A325=WORLDCUP!$BI$112,1,0)</f>
        <v>0</v>
      </c>
      <c r="C325" s="31" t="str">
        <f aca="false">+WORLDCUP!BD65</f>
        <v>España</v>
      </c>
      <c r="D325" s="31" t="str">
        <f aca="false">+WORLDCUP!BD67</f>
        <v>Austria</v>
      </c>
      <c r="E325" s="31" t="str">
        <f aca="false">+WORLDCUP!BD59</f>
        <v>Catar</v>
      </c>
      <c r="F325" s="31" t="str">
        <f aca="false">+WORLDCUP!BD61</f>
        <v>Turquía</v>
      </c>
      <c r="G325" s="31" t="str">
        <f aca="false">+WORLDCUP!BD58</f>
        <v>República Checa</v>
      </c>
      <c r="H325" s="31" t="str">
        <f aca="false">+WORLDCUP!BD63</f>
        <v>Japón</v>
      </c>
      <c r="I325" s="31" t="str">
        <f aca="false">+WORLDCUP!BD66</f>
        <v>Irak</v>
      </c>
      <c r="J325" s="31" t="str">
        <f aca="false">+WORLDCUP!BD68</f>
        <v>Uzbekistán</v>
      </c>
      <c r="N325" s="31" t="s">
        <v>1843</v>
      </c>
      <c r="O325" s="31" t="n">
        <v>324</v>
      </c>
      <c r="P325" s="31" t="s">
        <v>112</v>
      </c>
      <c r="Q325" s="31" t="s">
        <v>121</v>
      </c>
      <c r="R325" s="31" t="s">
        <v>85</v>
      </c>
      <c r="S325" s="31" t="s">
        <v>94</v>
      </c>
      <c r="T325" s="31" t="s">
        <v>80</v>
      </c>
      <c r="U325" s="31" t="s">
        <v>103</v>
      </c>
      <c r="V325" s="31" t="s">
        <v>116</v>
      </c>
      <c r="W325" s="31" t="s">
        <v>125</v>
      </c>
    </row>
    <row r="326" customFormat="false" ht="15" hidden="false" customHeight="false" outlineLevel="0" collapsed="false">
      <c r="A326" s="31" t="s">
        <v>1844</v>
      </c>
      <c r="B326" s="31" t="n">
        <f aca="false">+IF(A326=WORLDCUP!$BI$112,1,0)</f>
        <v>0</v>
      </c>
      <c r="C326" s="31" t="str">
        <f aca="false">+WORLDCUP!BD63</f>
        <v>Japón</v>
      </c>
      <c r="D326" s="31" t="str">
        <f aca="false">+WORLDCUP!BD67</f>
        <v>Austria</v>
      </c>
      <c r="E326" s="31" t="str">
        <f aca="false">+WORLDCUP!BD59</f>
        <v>Catar</v>
      </c>
      <c r="F326" s="31" t="str">
        <f aca="false">+WORLDCUP!BD61</f>
        <v>Turquía</v>
      </c>
      <c r="G326" s="31" t="str">
        <f aca="false">+WORLDCUP!BD58</f>
        <v>República Checa</v>
      </c>
      <c r="H326" s="31" t="str">
        <f aca="false">+WORLDCUP!BD64</f>
        <v>Bélgica</v>
      </c>
      <c r="I326" s="31" t="str">
        <f aca="false">+WORLDCUP!BD69</f>
        <v>Ghana</v>
      </c>
      <c r="J326" s="31" t="str">
        <f aca="false">+WORLDCUP!BD68</f>
        <v>Uzbekistán</v>
      </c>
      <c r="N326" s="31" t="s">
        <v>1844</v>
      </c>
      <c r="O326" s="31" t="n">
        <v>325</v>
      </c>
      <c r="P326" s="31" t="s">
        <v>103</v>
      </c>
      <c r="Q326" s="31" t="s">
        <v>121</v>
      </c>
      <c r="R326" s="31" t="s">
        <v>85</v>
      </c>
      <c r="S326" s="31" t="s">
        <v>94</v>
      </c>
      <c r="T326" s="31" t="s">
        <v>80</v>
      </c>
      <c r="U326" s="31" t="s">
        <v>107</v>
      </c>
      <c r="V326" s="31" t="s">
        <v>130</v>
      </c>
      <c r="W326" s="31" t="s">
        <v>125</v>
      </c>
    </row>
    <row r="327" customFormat="false" ht="15" hidden="false" customHeight="false" outlineLevel="0" collapsed="false">
      <c r="A327" s="31" t="s">
        <v>1845</v>
      </c>
      <c r="B327" s="31" t="n">
        <f aca="false">+IF(A327=WORLDCUP!$BI$112,1,0)</f>
        <v>0</v>
      </c>
      <c r="C327" s="31" t="str">
        <f aca="false">+WORLDCUP!BD66</f>
        <v>Irak</v>
      </c>
      <c r="D327" s="31" t="str">
        <f aca="false">+WORLDCUP!BD64</f>
        <v>Bélgica</v>
      </c>
      <c r="E327" s="31" t="str">
        <f aca="false">+WORLDCUP!BD59</f>
        <v>Catar</v>
      </c>
      <c r="F327" s="31" t="str">
        <f aca="false">+WORLDCUP!BD61</f>
        <v>Turquía</v>
      </c>
      <c r="G327" s="31" t="str">
        <f aca="false">+WORLDCUP!BD58</f>
        <v>República Checa</v>
      </c>
      <c r="H327" s="31" t="str">
        <f aca="false">+WORLDCUP!BD63</f>
        <v>Japón</v>
      </c>
      <c r="I327" s="31" t="str">
        <f aca="false">+WORLDCUP!BD69</f>
        <v>Ghana</v>
      </c>
      <c r="J327" s="31" t="str">
        <f aca="false">+WORLDCUP!BD68</f>
        <v>Uzbekistán</v>
      </c>
      <c r="N327" s="31" t="s">
        <v>1845</v>
      </c>
      <c r="O327" s="31" t="n">
        <v>326</v>
      </c>
      <c r="P327" s="31" t="s">
        <v>116</v>
      </c>
      <c r="Q327" s="31" t="s">
        <v>107</v>
      </c>
      <c r="R327" s="31" t="s">
        <v>85</v>
      </c>
      <c r="S327" s="31" t="s">
        <v>94</v>
      </c>
      <c r="T327" s="31" t="s">
        <v>80</v>
      </c>
      <c r="U327" s="31" t="s">
        <v>103</v>
      </c>
      <c r="V327" s="31" t="s">
        <v>130</v>
      </c>
      <c r="W327" s="31" t="s">
        <v>125</v>
      </c>
    </row>
    <row r="328" customFormat="false" ht="15" hidden="false" customHeight="false" outlineLevel="0" collapsed="false">
      <c r="A328" s="31" t="s">
        <v>1846</v>
      </c>
      <c r="B328" s="31" t="n">
        <f aca="false">+IF(A328=WORLDCUP!$BI$112,1,0)</f>
        <v>0</v>
      </c>
      <c r="C328" s="31" t="str">
        <f aca="false">+WORLDCUP!BD63</f>
        <v>Japón</v>
      </c>
      <c r="D328" s="31" t="str">
        <f aca="false">+WORLDCUP!BD67</f>
        <v>Austria</v>
      </c>
      <c r="E328" s="31" t="str">
        <f aca="false">+WORLDCUP!BD59</f>
        <v>Catar</v>
      </c>
      <c r="F328" s="31" t="str">
        <f aca="false">+WORLDCUP!BD61</f>
        <v>Turquía</v>
      </c>
      <c r="G328" s="31" t="str">
        <f aca="false">+WORLDCUP!BD58</f>
        <v>República Checa</v>
      </c>
      <c r="H328" s="31" t="str">
        <f aca="false">+WORLDCUP!BD64</f>
        <v>Bélgica</v>
      </c>
      <c r="I328" s="31" t="str">
        <f aca="false">+WORLDCUP!BD69</f>
        <v>Ghana</v>
      </c>
      <c r="J328" s="31" t="str">
        <f aca="false">+WORLDCUP!BD66</f>
        <v>Irak</v>
      </c>
      <c r="N328" s="31" t="s">
        <v>1846</v>
      </c>
      <c r="O328" s="31" t="n">
        <v>327</v>
      </c>
      <c r="P328" s="31" t="s">
        <v>103</v>
      </c>
      <c r="Q328" s="31" t="s">
        <v>121</v>
      </c>
      <c r="R328" s="31" t="s">
        <v>85</v>
      </c>
      <c r="S328" s="31" t="s">
        <v>94</v>
      </c>
      <c r="T328" s="31" t="s">
        <v>80</v>
      </c>
      <c r="U328" s="31" t="s">
        <v>107</v>
      </c>
      <c r="V328" s="31" t="s">
        <v>130</v>
      </c>
      <c r="W328" s="31" t="s">
        <v>116</v>
      </c>
    </row>
    <row r="329" customFormat="false" ht="15" hidden="false" customHeight="false" outlineLevel="0" collapsed="false">
      <c r="A329" s="31" t="s">
        <v>1847</v>
      </c>
      <c r="B329" s="31" t="n">
        <f aca="false">+IF(A329=WORLDCUP!$BI$112,1,0)</f>
        <v>0</v>
      </c>
      <c r="C329" s="31" t="str">
        <f aca="false">+WORLDCUP!BD63</f>
        <v>Japón</v>
      </c>
      <c r="D329" s="31" t="str">
        <f aca="false">+WORLDCUP!BD67</f>
        <v>Austria</v>
      </c>
      <c r="E329" s="31" t="str">
        <f aca="false">+WORLDCUP!BD59</f>
        <v>Catar</v>
      </c>
      <c r="F329" s="31" t="str">
        <f aca="false">+WORLDCUP!BD61</f>
        <v>Turquía</v>
      </c>
      <c r="G329" s="31" t="str">
        <f aca="false">+WORLDCUP!BD58</f>
        <v>República Checa</v>
      </c>
      <c r="H329" s="31" t="str">
        <f aca="false">+WORLDCUP!BD64</f>
        <v>Bélgica</v>
      </c>
      <c r="I329" s="31" t="str">
        <f aca="false">+WORLDCUP!BD66</f>
        <v>Irak</v>
      </c>
      <c r="J329" s="31" t="str">
        <f aca="false">+WORLDCUP!BD68</f>
        <v>Uzbekistán</v>
      </c>
      <c r="N329" s="31" t="s">
        <v>1847</v>
      </c>
      <c r="O329" s="31" t="n">
        <v>328</v>
      </c>
      <c r="P329" s="31" t="s">
        <v>103</v>
      </c>
      <c r="Q329" s="31" t="s">
        <v>121</v>
      </c>
      <c r="R329" s="31" t="s">
        <v>85</v>
      </c>
      <c r="S329" s="31" t="s">
        <v>94</v>
      </c>
      <c r="T329" s="31" t="s">
        <v>80</v>
      </c>
      <c r="U329" s="31" t="s">
        <v>107</v>
      </c>
      <c r="V329" s="31" t="s">
        <v>116</v>
      </c>
      <c r="W329" s="31" t="s">
        <v>125</v>
      </c>
    </row>
    <row r="330" customFormat="false" ht="15" hidden="false" customHeight="false" outlineLevel="0" collapsed="false">
      <c r="A330" s="31" t="s">
        <v>1848</v>
      </c>
      <c r="B330" s="31" t="n">
        <f aca="false">+IF(A330=WORLDCUP!$BI$112,1,0)</f>
        <v>0</v>
      </c>
      <c r="C330" s="31" t="str">
        <f aca="false">+WORLDCUP!BD65</f>
        <v>España</v>
      </c>
      <c r="D330" s="31" t="str">
        <f aca="false">+WORLDCUP!BD64</f>
        <v>Bélgica</v>
      </c>
      <c r="E330" s="31" t="str">
        <f aca="false">+WORLDCUP!BD59</f>
        <v>Catar</v>
      </c>
      <c r="F330" s="31" t="str">
        <f aca="false">+WORLDCUP!BD61</f>
        <v>Turquía</v>
      </c>
      <c r="G330" s="31" t="str">
        <f aca="false">+WORLDCUP!BD58</f>
        <v>República Checa</v>
      </c>
      <c r="H330" s="31" t="str">
        <f aca="false">+WORLDCUP!BD63</f>
        <v>Japón</v>
      </c>
      <c r="I330" s="31" t="str">
        <f aca="false">+WORLDCUP!BD69</f>
        <v>Ghana</v>
      </c>
      <c r="J330" s="31" t="str">
        <f aca="false">+WORLDCUP!BD68</f>
        <v>Uzbekistán</v>
      </c>
      <c r="N330" s="31" t="s">
        <v>1848</v>
      </c>
      <c r="O330" s="31" t="n">
        <v>329</v>
      </c>
      <c r="P330" s="31" t="s">
        <v>112</v>
      </c>
      <c r="Q330" s="31" t="s">
        <v>107</v>
      </c>
      <c r="R330" s="31" t="s">
        <v>85</v>
      </c>
      <c r="S330" s="31" t="s">
        <v>94</v>
      </c>
      <c r="T330" s="31" t="s">
        <v>80</v>
      </c>
      <c r="U330" s="31" t="s">
        <v>103</v>
      </c>
      <c r="V330" s="31" t="s">
        <v>130</v>
      </c>
      <c r="W330" s="31" t="s">
        <v>125</v>
      </c>
    </row>
    <row r="331" customFormat="false" ht="15" hidden="false" customHeight="false" outlineLevel="0" collapsed="false">
      <c r="A331" s="31" t="s">
        <v>1849</v>
      </c>
      <c r="B331" s="31" t="n">
        <f aca="false">+IF(A331=WORLDCUP!$BI$112,1,0)</f>
        <v>0</v>
      </c>
      <c r="C331" s="31" t="str">
        <f aca="false">+WORLDCUP!BD65</f>
        <v>España</v>
      </c>
      <c r="D331" s="31" t="str">
        <f aca="false">+WORLDCUP!BD64</f>
        <v>Bélgica</v>
      </c>
      <c r="E331" s="31" t="str">
        <f aca="false">+WORLDCUP!BD59</f>
        <v>Catar</v>
      </c>
      <c r="F331" s="31" t="str">
        <f aca="false">+WORLDCUP!BD61</f>
        <v>Turquía</v>
      </c>
      <c r="G331" s="31" t="str">
        <f aca="false">+WORLDCUP!BD58</f>
        <v>República Checa</v>
      </c>
      <c r="H331" s="31" t="str">
        <f aca="false">+WORLDCUP!BD63</f>
        <v>Japón</v>
      </c>
      <c r="I331" s="31" t="str">
        <f aca="false">+WORLDCUP!BD69</f>
        <v>Ghana</v>
      </c>
      <c r="J331" s="31" t="str">
        <f aca="false">+WORLDCUP!BD67</f>
        <v>Austria</v>
      </c>
      <c r="N331" s="31" t="s">
        <v>1849</v>
      </c>
      <c r="O331" s="31" t="n">
        <v>330</v>
      </c>
      <c r="P331" s="31" t="s">
        <v>112</v>
      </c>
      <c r="Q331" s="31" t="s">
        <v>107</v>
      </c>
      <c r="R331" s="31" t="s">
        <v>85</v>
      </c>
      <c r="S331" s="31" t="s">
        <v>94</v>
      </c>
      <c r="T331" s="31" t="s">
        <v>80</v>
      </c>
      <c r="U331" s="31" t="s">
        <v>103</v>
      </c>
      <c r="V331" s="31" t="s">
        <v>130</v>
      </c>
      <c r="W331" s="31" t="s">
        <v>121</v>
      </c>
    </row>
    <row r="332" customFormat="false" ht="15" hidden="false" customHeight="false" outlineLevel="0" collapsed="false">
      <c r="A332" s="31" t="s">
        <v>1850</v>
      </c>
      <c r="B332" s="31" t="n">
        <f aca="false">+IF(A332=WORLDCUP!$BI$112,1,0)</f>
        <v>0</v>
      </c>
      <c r="C332" s="31" t="str">
        <f aca="false">+WORLDCUP!BD65</f>
        <v>España</v>
      </c>
      <c r="D332" s="31" t="str">
        <f aca="false">+WORLDCUP!BD64</f>
        <v>Bélgica</v>
      </c>
      <c r="E332" s="31" t="str">
        <f aca="false">+WORLDCUP!BD59</f>
        <v>Catar</v>
      </c>
      <c r="F332" s="31" t="str">
        <f aca="false">+WORLDCUP!BD61</f>
        <v>Turquía</v>
      </c>
      <c r="G332" s="31" t="str">
        <f aca="false">+WORLDCUP!BD58</f>
        <v>República Checa</v>
      </c>
      <c r="H332" s="31" t="str">
        <f aca="false">+WORLDCUP!BD63</f>
        <v>Japón</v>
      </c>
      <c r="I332" s="31" t="str">
        <f aca="false">+WORLDCUP!BD67</f>
        <v>Austria</v>
      </c>
      <c r="J332" s="31" t="str">
        <f aca="false">+WORLDCUP!BD68</f>
        <v>Uzbekistán</v>
      </c>
      <c r="N332" s="31" t="s">
        <v>1850</v>
      </c>
      <c r="O332" s="31" t="n">
        <v>331</v>
      </c>
      <c r="P332" s="31" t="s">
        <v>112</v>
      </c>
      <c r="Q332" s="31" t="s">
        <v>107</v>
      </c>
      <c r="R332" s="31" t="s">
        <v>85</v>
      </c>
      <c r="S332" s="31" t="s">
        <v>94</v>
      </c>
      <c r="T332" s="31" t="s">
        <v>80</v>
      </c>
      <c r="U332" s="31" t="s">
        <v>103</v>
      </c>
      <c r="V332" s="31" t="s">
        <v>121</v>
      </c>
      <c r="W332" s="31" t="s">
        <v>125</v>
      </c>
    </row>
    <row r="333" customFormat="false" ht="15" hidden="false" customHeight="false" outlineLevel="0" collapsed="false">
      <c r="A333" s="31" t="s">
        <v>1851</v>
      </c>
      <c r="B333" s="31" t="n">
        <f aca="false">+IF(A333=WORLDCUP!$BI$112,1,0)</f>
        <v>0</v>
      </c>
      <c r="C333" s="31" t="str">
        <f aca="false">+WORLDCUP!BD65</f>
        <v>España</v>
      </c>
      <c r="D333" s="31" t="str">
        <f aca="false">+WORLDCUP!BD64</f>
        <v>Bélgica</v>
      </c>
      <c r="E333" s="31" t="str">
        <f aca="false">+WORLDCUP!BD59</f>
        <v>Catar</v>
      </c>
      <c r="F333" s="31" t="str">
        <f aca="false">+WORLDCUP!BD61</f>
        <v>Turquía</v>
      </c>
      <c r="G333" s="31" t="str">
        <f aca="false">+WORLDCUP!BD58</f>
        <v>República Checa</v>
      </c>
      <c r="H333" s="31" t="str">
        <f aca="false">+WORLDCUP!BD63</f>
        <v>Japón</v>
      </c>
      <c r="I333" s="31" t="str">
        <f aca="false">+WORLDCUP!BD69</f>
        <v>Ghana</v>
      </c>
      <c r="J333" s="31" t="str">
        <f aca="false">+WORLDCUP!BD66</f>
        <v>Irak</v>
      </c>
      <c r="N333" s="31" t="s">
        <v>1851</v>
      </c>
      <c r="O333" s="31" t="n">
        <v>332</v>
      </c>
      <c r="P333" s="31" t="s">
        <v>112</v>
      </c>
      <c r="Q333" s="31" t="s">
        <v>107</v>
      </c>
      <c r="R333" s="31" t="s">
        <v>85</v>
      </c>
      <c r="S333" s="31" t="s">
        <v>94</v>
      </c>
      <c r="T333" s="31" t="s">
        <v>80</v>
      </c>
      <c r="U333" s="31" t="s">
        <v>103</v>
      </c>
      <c r="V333" s="31" t="s">
        <v>130</v>
      </c>
      <c r="W333" s="31" t="s">
        <v>116</v>
      </c>
    </row>
    <row r="334" customFormat="false" ht="15" hidden="false" customHeight="false" outlineLevel="0" collapsed="false">
      <c r="A334" s="31" t="s">
        <v>1852</v>
      </c>
      <c r="B334" s="31" t="n">
        <f aca="false">+IF(A334=WORLDCUP!$BI$112,1,0)</f>
        <v>0</v>
      </c>
      <c r="C334" s="31" t="str">
        <f aca="false">+WORLDCUP!BD65</f>
        <v>España</v>
      </c>
      <c r="D334" s="31" t="str">
        <f aca="false">+WORLDCUP!BD64</f>
        <v>Bélgica</v>
      </c>
      <c r="E334" s="31" t="str">
        <f aca="false">+WORLDCUP!BD59</f>
        <v>Catar</v>
      </c>
      <c r="F334" s="31" t="str">
        <f aca="false">+WORLDCUP!BD61</f>
        <v>Turquía</v>
      </c>
      <c r="G334" s="31" t="str">
        <f aca="false">+WORLDCUP!BD58</f>
        <v>República Checa</v>
      </c>
      <c r="H334" s="31" t="str">
        <f aca="false">+WORLDCUP!BD63</f>
        <v>Japón</v>
      </c>
      <c r="I334" s="31" t="str">
        <f aca="false">+WORLDCUP!BD66</f>
        <v>Irak</v>
      </c>
      <c r="J334" s="31" t="str">
        <f aca="false">+WORLDCUP!BD68</f>
        <v>Uzbekistán</v>
      </c>
      <c r="N334" s="31" t="s">
        <v>1852</v>
      </c>
      <c r="O334" s="31" t="n">
        <v>333</v>
      </c>
      <c r="P334" s="31" t="s">
        <v>112</v>
      </c>
      <c r="Q334" s="31" t="s">
        <v>107</v>
      </c>
      <c r="R334" s="31" t="s">
        <v>85</v>
      </c>
      <c r="S334" s="31" t="s">
        <v>94</v>
      </c>
      <c r="T334" s="31" t="s">
        <v>80</v>
      </c>
      <c r="U334" s="31" t="s">
        <v>103</v>
      </c>
      <c r="V334" s="31" t="s">
        <v>116</v>
      </c>
      <c r="W334" s="31" t="s">
        <v>125</v>
      </c>
    </row>
    <row r="335" customFormat="false" ht="15" hidden="false" customHeight="false" outlineLevel="0" collapsed="false">
      <c r="A335" s="31" t="s">
        <v>1853</v>
      </c>
      <c r="B335" s="31" t="n">
        <f aca="false">+IF(A335=WORLDCUP!$BI$112,1,0)</f>
        <v>0</v>
      </c>
      <c r="C335" s="31" t="str">
        <f aca="false">+WORLDCUP!BD65</f>
        <v>España</v>
      </c>
      <c r="D335" s="31" t="str">
        <f aca="false">+WORLDCUP!BD64</f>
        <v>Bélgica</v>
      </c>
      <c r="E335" s="31" t="str">
        <f aca="false">+WORLDCUP!BD59</f>
        <v>Catar</v>
      </c>
      <c r="F335" s="31" t="str">
        <f aca="false">+WORLDCUP!BD61</f>
        <v>Turquía</v>
      </c>
      <c r="G335" s="31" t="str">
        <f aca="false">+WORLDCUP!BD58</f>
        <v>República Checa</v>
      </c>
      <c r="H335" s="31" t="str">
        <f aca="false">+WORLDCUP!BD63</f>
        <v>Japón</v>
      </c>
      <c r="I335" s="31" t="str">
        <f aca="false">+WORLDCUP!BD66</f>
        <v>Irak</v>
      </c>
      <c r="J335" s="31" t="str">
        <f aca="false">+WORLDCUP!BD67</f>
        <v>Austria</v>
      </c>
      <c r="N335" s="31" t="s">
        <v>1853</v>
      </c>
      <c r="O335" s="31" t="n">
        <v>334</v>
      </c>
      <c r="P335" s="31" t="s">
        <v>112</v>
      </c>
      <c r="Q335" s="31" t="s">
        <v>107</v>
      </c>
      <c r="R335" s="31" t="s">
        <v>85</v>
      </c>
      <c r="S335" s="31" t="s">
        <v>94</v>
      </c>
      <c r="T335" s="31" t="s">
        <v>80</v>
      </c>
      <c r="U335" s="31" t="s">
        <v>103</v>
      </c>
      <c r="V335" s="31" t="s">
        <v>116</v>
      </c>
      <c r="W335" s="31" t="s">
        <v>121</v>
      </c>
    </row>
    <row r="336" customFormat="false" ht="15" hidden="false" customHeight="false" outlineLevel="0" collapsed="false">
      <c r="A336" s="31" t="s">
        <v>1854</v>
      </c>
      <c r="B336" s="31" t="n">
        <f aca="false">+IF(A336=WORLDCUP!$BI$112,1,0)</f>
        <v>0</v>
      </c>
      <c r="C336" s="31" t="str">
        <f aca="false">+WORLDCUP!BD62</f>
        <v>Ecuador</v>
      </c>
      <c r="D336" s="31" t="str">
        <f aca="false">+WORLDCUP!BD67</f>
        <v>Austria</v>
      </c>
      <c r="E336" s="31" t="str">
        <f aca="false">+WORLDCUP!BD59</f>
        <v>Catar</v>
      </c>
      <c r="F336" s="31" t="str">
        <f aca="false">+WORLDCUP!BD58</f>
        <v>República Checa</v>
      </c>
      <c r="G336" s="31" t="str">
        <f aca="false">+WORLDCUP!BD66</f>
        <v>Irak</v>
      </c>
      <c r="H336" s="31" t="str">
        <f aca="false">+WORLDCUP!BD61</f>
        <v>Turquía</v>
      </c>
      <c r="I336" s="31" t="str">
        <f aca="false">+WORLDCUP!BD69</f>
        <v>Ghana</v>
      </c>
      <c r="J336" s="31" t="str">
        <f aca="false">+WORLDCUP!BD68</f>
        <v>Uzbekistán</v>
      </c>
      <c r="N336" s="31" t="s">
        <v>1854</v>
      </c>
      <c r="O336" s="31" t="n">
        <v>335</v>
      </c>
      <c r="P336" s="31" t="s">
        <v>98</v>
      </c>
      <c r="Q336" s="31" t="s">
        <v>121</v>
      </c>
      <c r="R336" s="31" t="s">
        <v>85</v>
      </c>
      <c r="S336" s="31" t="s">
        <v>80</v>
      </c>
      <c r="T336" s="31" t="s">
        <v>116</v>
      </c>
      <c r="U336" s="31" t="s">
        <v>94</v>
      </c>
      <c r="V336" s="31" t="s">
        <v>130</v>
      </c>
      <c r="W336" s="31" t="s">
        <v>125</v>
      </c>
    </row>
    <row r="337" customFormat="false" ht="15" hidden="false" customHeight="false" outlineLevel="0" collapsed="false">
      <c r="A337" s="31" t="s">
        <v>1855</v>
      </c>
      <c r="B337" s="31" t="n">
        <f aca="false">+IF(A337=WORLDCUP!$BI$112,1,0)</f>
        <v>0</v>
      </c>
      <c r="C337" s="31" t="str">
        <f aca="false">+WORLDCUP!BD62</f>
        <v>Ecuador</v>
      </c>
      <c r="D337" s="31" t="str">
        <f aca="false">+WORLDCUP!BD67</f>
        <v>Austria</v>
      </c>
      <c r="E337" s="31" t="str">
        <f aca="false">+WORLDCUP!BD59</f>
        <v>Catar</v>
      </c>
      <c r="F337" s="31" t="str">
        <f aca="false">+WORLDCUP!BD61</f>
        <v>Turquía</v>
      </c>
      <c r="G337" s="31" t="str">
        <f aca="false">+WORLDCUP!BD58</f>
        <v>República Checa</v>
      </c>
      <c r="H337" s="31" t="str">
        <f aca="false">+WORLDCUP!BD65</f>
        <v>España</v>
      </c>
      <c r="I337" s="31" t="str">
        <f aca="false">+WORLDCUP!BD69</f>
        <v>Ghana</v>
      </c>
      <c r="J337" s="31" t="str">
        <f aca="false">+WORLDCUP!BD68</f>
        <v>Uzbekistán</v>
      </c>
      <c r="N337" s="31" t="s">
        <v>1855</v>
      </c>
      <c r="O337" s="31" t="n">
        <v>336</v>
      </c>
      <c r="P337" s="31" t="s">
        <v>98</v>
      </c>
      <c r="Q337" s="31" t="s">
        <v>121</v>
      </c>
      <c r="R337" s="31" t="s">
        <v>85</v>
      </c>
      <c r="S337" s="31" t="s">
        <v>94</v>
      </c>
      <c r="T337" s="31" t="s">
        <v>80</v>
      </c>
      <c r="U337" s="31" t="s">
        <v>112</v>
      </c>
      <c r="V337" s="31" t="s">
        <v>130</v>
      </c>
      <c r="W337" s="31" t="s">
        <v>125</v>
      </c>
    </row>
    <row r="338" customFormat="false" ht="15" hidden="false" customHeight="false" outlineLevel="0" collapsed="false">
      <c r="A338" s="31" t="s">
        <v>1856</v>
      </c>
      <c r="B338" s="31" t="n">
        <f aca="false">+IF(A338=WORLDCUP!$BI$112,1,0)</f>
        <v>0</v>
      </c>
      <c r="C338" s="31" t="str">
        <f aca="false">+WORLDCUP!BD62</f>
        <v>Ecuador</v>
      </c>
      <c r="D338" s="31" t="str">
        <f aca="false">+WORLDCUP!BD66</f>
        <v>Irak</v>
      </c>
      <c r="E338" s="31" t="str">
        <f aca="false">+WORLDCUP!BD59</f>
        <v>Catar</v>
      </c>
      <c r="F338" s="31" t="str">
        <f aca="false">+WORLDCUP!BD61</f>
        <v>Turquía</v>
      </c>
      <c r="G338" s="31" t="str">
        <f aca="false">+WORLDCUP!BD58</f>
        <v>República Checa</v>
      </c>
      <c r="H338" s="31" t="str">
        <f aca="false">+WORLDCUP!BD65</f>
        <v>España</v>
      </c>
      <c r="I338" s="31" t="str">
        <f aca="false">+WORLDCUP!BD69</f>
        <v>Ghana</v>
      </c>
      <c r="J338" s="31" t="str">
        <f aca="false">+WORLDCUP!BD68</f>
        <v>Uzbekistán</v>
      </c>
      <c r="N338" s="31" t="s">
        <v>1856</v>
      </c>
      <c r="O338" s="31" t="n">
        <v>337</v>
      </c>
      <c r="P338" s="31" t="s">
        <v>98</v>
      </c>
      <c r="Q338" s="31" t="s">
        <v>116</v>
      </c>
      <c r="R338" s="31" t="s">
        <v>85</v>
      </c>
      <c r="S338" s="31" t="s">
        <v>94</v>
      </c>
      <c r="T338" s="31" t="s">
        <v>80</v>
      </c>
      <c r="U338" s="31" t="s">
        <v>112</v>
      </c>
      <c r="V338" s="31" t="s">
        <v>130</v>
      </c>
      <c r="W338" s="31" t="s">
        <v>125</v>
      </c>
    </row>
    <row r="339" customFormat="false" ht="15" hidden="false" customHeight="false" outlineLevel="0" collapsed="false">
      <c r="A339" s="31" t="s">
        <v>1857</v>
      </c>
      <c r="B339" s="31" t="n">
        <f aca="false">+IF(A339=WORLDCUP!$BI$112,1,0)</f>
        <v>0</v>
      </c>
      <c r="C339" s="31" t="str">
        <f aca="false">+WORLDCUP!BD62</f>
        <v>Ecuador</v>
      </c>
      <c r="D339" s="31" t="str">
        <f aca="false">+WORLDCUP!BD67</f>
        <v>Austria</v>
      </c>
      <c r="E339" s="31" t="str">
        <f aca="false">+WORLDCUP!BD59</f>
        <v>Catar</v>
      </c>
      <c r="F339" s="31" t="str">
        <f aca="false">+WORLDCUP!BD61</f>
        <v>Turquía</v>
      </c>
      <c r="G339" s="31" t="str">
        <f aca="false">+WORLDCUP!BD58</f>
        <v>República Checa</v>
      </c>
      <c r="H339" s="31" t="str">
        <f aca="false">+WORLDCUP!BD65</f>
        <v>España</v>
      </c>
      <c r="I339" s="31" t="str">
        <f aca="false">+WORLDCUP!BD69</f>
        <v>Ghana</v>
      </c>
      <c r="J339" s="31" t="str">
        <f aca="false">+WORLDCUP!BD66</f>
        <v>Irak</v>
      </c>
      <c r="N339" s="31" t="s">
        <v>1857</v>
      </c>
      <c r="O339" s="31" t="n">
        <v>338</v>
      </c>
      <c r="P339" s="31" t="s">
        <v>98</v>
      </c>
      <c r="Q339" s="31" t="s">
        <v>121</v>
      </c>
      <c r="R339" s="31" t="s">
        <v>85</v>
      </c>
      <c r="S339" s="31" t="s">
        <v>94</v>
      </c>
      <c r="T339" s="31" t="s">
        <v>80</v>
      </c>
      <c r="U339" s="31" t="s">
        <v>112</v>
      </c>
      <c r="V339" s="31" t="s">
        <v>130</v>
      </c>
      <c r="W339" s="31" t="s">
        <v>116</v>
      </c>
    </row>
    <row r="340" customFormat="false" ht="15" hidden="false" customHeight="false" outlineLevel="0" collapsed="false">
      <c r="A340" s="31" t="s">
        <v>1858</v>
      </c>
      <c r="B340" s="31" t="n">
        <f aca="false">+IF(A340=WORLDCUP!$BI$112,1,0)</f>
        <v>0</v>
      </c>
      <c r="C340" s="31" t="str">
        <f aca="false">+WORLDCUP!BD62</f>
        <v>Ecuador</v>
      </c>
      <c r="D340" s="31" t="str">
        <f aca="false">+WORLDCUP!BD67</f>
        <v>Austria</v>
      </c>
      <c r="E340" s="31" t="str">
        <f aca="false">+WORLDCUP!BD59</f>
        <v>Catar</v>
      </c>
      <c r="F340" s="31" t="str">
        <f aca="false">+WORLDCUP!BD61</f>
        <v>Turquía</v>
      </c>
      <c r="G340" s="31" t="str">
        <f aca="false">+WORLDCUP!BD58</f>
        <v>República Checa</v>
      </c>
      <c r="H340" s="31" t="str">
        <f aca="false">+WORLDCUP!BD65</f>
        <v>España</v>
      </c>
      <c r="I340" s="31" t="str">
        <f aca="false">+WORLDCUP!BD66</f>
        <v>Irak</v>
      </c>
      <c r="J340" s="31" t="str">
        <f aca="false">+WORLDCUP!BD68</f>
        <v>Uzbekistán</v>
      </c>
      <c r="N340" s="31" t="s">
        <v>1858</v>
      </c>
      <c r="O340" s="31" t="n">
        <v>339</v>
      </c>
      <c r="P340" s="31" t="s">
        <v>98</v>
      </c>
      <c r="Q340" s="31" t="s">
        <v>121</v>
      </c>
      <c r="R340" s="31" t="s">
        <v>85</v>
      </c>
      <c r="S340" s="31" t="s">
        <v>94</v>
      </c>
      <c r="T340" s="31" t="s">
        <v>80</v>
      </c>
      <c r="U340" s="31" t="s">
        <v>112</v>
      </c>
      <c r="V340" s="31" t="s">
        <v>116</v>
      </c>
      <c r="W340" s="31" t="s">
        <v>125</v>
      </c>
    </row>
    <row r="341" customFormat="false" ht="15" hidden="false" customHeight="false" outlineLevel="0" collapsed="false">
      <c r="A341" s="31" t="s">
        <v>1859</v>
      </c>
      <c r="B341" s="31" t="n">
        <f aca="false">+IF(A341=WORLDCUP!$BI$112,1,0)</f>
        <v>0</v>
      </c>
      <c r="C341" s="31" t="str">
        <f aca="false">+WORLDCUP!BD62</f>
        <v>Ecuador</v>
      </c>
      <c r="D341" s="31" t="str">
        <f aca="false">+WORLDCUP!BD67</f>
        <v>Austria</v>
      </c>
      <c r="E341" s="31" t="str">
        <f aca="false">+WORLDCUP!BD59</f>
        <v>Catar</v>
      </c>
      <c r="F341" s="31" t="str">
        <f aca="false">+WORLDCUP!BD61</f>
        <v>Turquía</v>
      </c>
      <c r="G341" s="31" t="str">
        <f aca="false">+WORLDCUP!BD58</f>
        <v>República Checa</v>
      </c>
      <c r="H341" s="31" t="str">
        <f aca="false">+WORLDCUP!BD64</f>
        <v>Bélgica</v>
      </c>
      <c r="I341" s="31" t="str">
        <f aca="false">+WORLDCUP!BD69</f>
        <v>Ghana</v>
      </c>
      <c r="J341" s="31" t="str">
        <f aca="false">+WORLDCUP!BD68</f>
        <v>Uzbekistán</v>
      </c>
      <c r="N341" s="31" t="s">
        <v>1859</v>
      </c>
      <c r="O341" s="31" t="n">
        <v>340</v>
      </c>
      <c r="P341" s="31" t="s">
        <v>98</v>
      </c>
      <c r="Q341" s="31" t="s">
        <v>121</v>
      </c>
      <c r="R341" s="31" t="s">
        <v>85</v>
      </c>
      <c r="S341" s="31" t="s">
        <v>94</v>
      </c>
      <c r="T341" s="31" t="s">
        <v>80</v>
      </c>
      <c r="U341" s="31" t="s">
        <v>107</v>
      </c>
      <c r="V341" s="31" t="s">
        <v>130</v>
      </c>
      <c r="W341" s="31" t="s">
        <v>125</v>
      </c>
    </row>
    <row r="342" customFormat="false" ht="15" hidden="false" customHeight="false" outlineLevel="0" collapsed="false">
      <c r="A342" s="31" t="s">
        <v>1860</v>
      </c>
      <c r="B342" s="31" t="n">
        <f aca="false">+IF(A342=WORLDCUP!$BI$112,1,0)</f>
        <v>0</v>
      </c>
      <c r="C342" s="31" t="str">
        <f aca="false">+WORLDCUP!BD62</f>
        <v>Ecuador</v>
      </c>
      <c r="D342" s="31" t="str">
        <f aca="false">+WORLDCUP!BD64</f>
        <v>Bélgica</v>
      </c>
      <c r="E342" s="31" t="str">
        <f aca="false">+WORLDCUP!BD59</f>
        <v>Catar</v>
      </c>
      <c r="F342" s="31" t="str">
        <f aca="false">+WORLDCUP!BD58</f>
        <v>República Checa</v>
      </c>
      <c r="G342" s="31" t="str">
        <f aca="false">+WORLDCUP!BD66</f>
        <v>Irak</v>
      </c>
      <c r="H342" s="31" t="str">
        <f aca="false">+WORLDCUP!BD61</f>
        <v>Turquía</v>
      </c>
      <c r="I342" s="31" t="str">
        <f aca="false">+WORLDCUP!BD69</f>
        <v>Ghana</v>
      </c>
      <c r="J342" s="31" t="str">
        <f aca="false">+WORLDCUP!BD68</f>
        <v>Uzbekistán</v>
      </c>
      <c r="N342" s="31" t="s">
        <v>1860</v>
      </c>
      <c r="O342" s="31" t="n">
        <v>341</v>
      </c>
      <c r="P342" s="31" t="s">
        <v>98</v>
      </c>
      <c r="Q342" s="31" t="s">
        <v>107</v>
      </c>
      <c r="R342" s="31" t="s">
        <v>85</v>
      </c>
      <c r="S342" s="31" t="s">
        <v>80</v>
      </c>
      <c r="T342" s="31" t="s">
        <v>116</v>
      </c>
      <c r="U342" s="31" t="s">
        <v>94</v>
      </c>
      <c r="V342" s="31" t="s">
        <v>130</v>
      </c>
      <c r="W342" s="31" t="s">
        <v>125</v>
      </c>
    </row>
    <row r="343" customFormat="false" ht="15" hidden="false" customHeight="false" outlineLevel="0" collapsed="false">
      <c r="A343" s="31" t="s">
        <v>1861</v>
      </c>
      <c r="B343" s="31" t="n">
        <f aca="false">+IF(A343=WORLDCUP!$BI$112,1,0)</f>
        <v>0</v>
      </c>
      <c r="C343" s="31" t="str">
        <f aca="false">+WORLDCUP!BD62</f>
        <v>Ecuador</v>
      </c>
      <c r="D343" s="31" t="str">
        <f aca="false">+WORLDCUP!BD67</f>
        <v>Austria</v>
      </c>
      <c r="E343" s="31" t="str">
        <f aca="false">+WORLDCUP!BD59</f>
        <v>Catar</v>
      </c>
      <c r="F343" s="31" t="str">
        <f aca="false">+WORLDCUP!BD61</f>
        <v>Turquía</v>
      </c>
      <c r="G343" s="31" t="str">
        <f aca="false">+WORLDCUP!BD58</f>
        <v>República Checa</v>
      </c>
      <c r="H343" s="31" t="str">
        <f aca="false">+WORLDCUP!BD64</f>
        <v>Bélgica</v>
      </c>
      <c r="I343" s="31" t="str">
        <f aca="false">+WORLDCUP!BD69</f>
        <v>Ghana</v>
      </c>
      <c r="J343" s="31" t="str">
        <f aca="false">+WORLDCUP!BD66</f>
        <v>Irak</v>
      </c>
      <c r="N343" s="31" t="s">
        <v>1861</v>
      </c>
      <c r="O343" s="31" t="n">
        <v>342</v>
      </c>
      <c r="P343" s="31" t="s">
        <v>98</v>
      </c>
      <c r="Q343" s="31" t="s">
        <v>121</v>
      </c>
      <c r="R343" s="31" t="s">
        <v>85</v>
      </c>
      <c r="S343" s="31" t="s">
        <v>94</v>
      </c>
      <c r="T343" s="31" t="s">
        <v>80</v>
      </c>
      <c r="U343" s="31" t="s">
        <v>107</v>
      </c>
      <c r="V343" s="31" t="s">
        <v>130</v>
      </c>
      <c r="W343" s="31" t="s">
        <v>116</v>
      </c>
    </row>
    <row r="344" customFormat="false" ht="15" hidden="false" customHeight="false" outlineLevel="0" collapsed="false">
      <c r="A344" s="31" t="s">
        <v>1862</v>
      </c>
      <c r="B344" s="31" t="n">
        <f aca="false">+IF(A344=WORLDCUP!$BI$112,1,0)</f>
        <v>0</v>
      </c>
      <c r="C344" s="31" t="str">
        <f aca="false">+WORLDCUP!BD62</f>
        <v>Ecuador</v>
      </c>
      <c r="D344" s="31" t="str">
        <f aca="false">+WORLDCUP!BD67</f>
        <v>Austria</v>
      </c>
      <c r="E344" s="31" t="str">
        <f aca="false">+WORLDCUP!BD59</f>
        <v>Catar</v>
      </c>
      <c r="F344" s="31" t="str">
        <f aca="false">+WORLDCUP!BD61</f>
        <v>Turquía</v>
      </c>
      <c r="G344" s="31" t="str">
        <f aca="false">+WORLDCUP!BD58</f>
        <v>República Checa</v>
      </c>
      <c r="H344" s="31" t="str">
        <f aca="false">+WORLDCUP!BD64</f>
        <v>Bélgica</v>
      </c>
      <c r="I344" s="31" t="str">
        <f aca="false">+WORLDCUP!BD66</f>
        <v>Irak</v>
      </c>
      <c r="J344" s="31" t="str">
        <f aca="false">+WORLDCUP!BD68</f>
        <v>Uzbekistán</v>
      </c>
      <c r="N344" s="31" t="s">
        <v>1862</v>
      </c>
      <c r="O344" s="31" t="n">
        <v>343</v>
      </c>
      <c r="P344" s="31" t="s">
        <v>98</v>
      </c>
      <c r="Q344" s="31" t="s">
        <v>121</v>
      </c>
      <c r="R344" s="31" t="s">
        <v>85</v>
      </c>
      <c r="S344" s="31" t="s">
        <v>94</v>
      </c>
      <c r="T344" s="31" t="s">
        <v>80</v>
      </c>
      <c r="U344" s="31" t="s">
        <v>107</v>
      </c>
      <c r="V344" s="31" t="s">
        <v>116</v>
      </c>
      <c r="W344" s="31" t="s">
        <v>125</v>
      </c>
    </row>
    <row r="345" customFormat="false" ht="15" hidden="false" customHeight="false" outlineLevel="0" collapsed="false">
      <c r="A345" s="31" t="s">
        <v>1863</v>
      </c>
      <c r="B345" s="31" t="n">
        <f aca="false">+IF(A345=WORLDCUP!$BI$112,1,0)</f>
        <v>0</v>
      </c>
      <c r="C345" s="31" t="str">
        <f aca="false">+WORLDCUP!BD62</f>
        <v>Ecuador</v>
      </c>
      <c r="D345" s="31" t="str">
        <f aca="false">+WORLDCUP!BD64</f>
        <v>Bélgica</v>
      </c>
      <c r="E345" s="31" t="str">
        <f aca="false">+WORLDCUP!BD59</f>
        <v>Catar</v>
      </c>
      <c r="F345" s="31" t="str">
        <f aca="false">+WORLDCUP!BD61</f>
        <v>Turquía</v>
      </c>
      <c r="G345" s="31" t="str">
        <f aca="false">+WORLDCUP!BD58</f>
        <v>República Checa</v>
      </c>
      <c r="H345" s="31" t="str">
        <f aca="false">+WORLDCUP!BD65</f>
        <v>España</v>
      </c>
      <c r="I345" s="31" t="str">
        <f aca="false">+WORLDCUP!BD69</f>
        <v>Ghana</v>
      </c>
      <c r="J345" s="31" t="str">
        <f aca="false">+WORLDCUP!BD68</f>
        <v>Uzbekistán</v>
      </c>
      <c r="N345" s="31" t="s">
        <v>1863</v>
      </c>
      <c r="O345" s="31" t="n">
        <v>344</v>
      </c>
      <c r="P345" s="31" t="s">
        <v>98</v>
      </c>
      <c r="Q345" s="31" t="s">
        <v>107</v>
      </c>
      <c r="R345" s="31" t="s">
        <v>85</v>
      </c>
      <c r="S345" s="31" t="s">
        <v>94</v>
      </c>
      <c r="T345" s="31" t="s">
        <v>80</v>
      </c>
      <c r="U345" s="31" t="s">
        <v>112</v>
      </c>
      <c r="V345" s="31" t="s">
        <v>130</v>
      </c>
      <c r="W345" s="31" t="s">
        <v>125</v>
      </c>
    </row>
    <row r="346" customFormat="false" ht="15" hidden="false" customHeight="false" outlineLevel="0" collapsed="false">
      <c r="A346" s="31" t="s">
        <v>1864</v>
      </c>
      <c r="B346" s="31" t="n">
        <f aca="false">+IF(A346=WORLDCUP!$BI$112,1,0)</f>
        <v>0</v>
      </c>
      <c r="C346" s="31" t="str">
        <f aca="false">+WORLDCUP!BD65</f>
        <v>España</v>
      </c>
      <c r="D346" s="31" t="str">
        <f aca="false">+WORLDCUP!BD67</f>
        <v>Austria</v>
      </c>
      <c r="E346" s="31" t="str">
        <f aca="false">+WORLDCUP!BD59</f>
        <v>Catar</v>
      </c>
      <c r="F346" s="31" t="str">
        <f aca="false">+WORLDCUP!BD61</f>
        <v>Turquía</v>
      </c>
      <c r="G346" s="31" t="str">
        <f aca="false">+WORLDCUP!BD58</f>
        <v>República Checa</v>
      </c>
      <c r="H346" s="31" t="str">
        <f aca="false">+WORLDCUP!BD64</f>
        <v>Bélgica</v>
      </c>
      <c r="I346" s="31" t="str">
        <f aca="false">+WORLDCUP!BD69</f>
        <v>Ghana</v>
      </c>
      <c r="J346" s="31" t="str">
        <f aca="false">+WORLDCUP!BD62</f>
        <v>Ecuador</v>
      </c>
      <c r="N346" s="31" t="s">
        <v>1864</v>
      </c>
      <c r="O346" s="31" t="n">
        <v>345</v>
      </c>
      <c r="P346" s="31" t="s">
        <v>112</v>
      </c>
      <c r="Q346" s="31" t="s">
        <v>121</v>
      </c>
      <c r="R346" s="31" t="s">
        <v>85</v>
      </c>
      <c r="S346" s="31" t="s">
        <v>94</v>
      </c>
      <c r="T346" s="31" t="s">
        <v>80</v>
      </c>
      <c r="U346" s="31" t="s">
        <v>107</v>
      </c>
      <c r="V346" s="31" t="s">
        <v>130</v>
      </c>
      <c r="W346" s="31" t="s">
        <v>98</v>
      </c>
    </row>
    <row r="347" customFormat="false" ht="15" hidden="false" customHeight="false" outlineLevel="0" collapsed="false">
      <c r="A347" s="31" t="s">
        <v>1865</v>
      </c>
      <c r="B347" s="31" t="n">
        <f aca="false">+IF(A347=WORLDCUP!$BI$112,1,0)</f>
        <v>0</v>
      </c>
      <c r="C347" s="31" t="str">
        <f aca="false">+WORLDCUP!BD65</f>
        <v>España</v>
      </c>
      <c r="D347" s="31" t="str">
        <f aca="false">+WORLDCUP!BD67</f>
        <v>Austria</v>
      </c>
      <c r="E347" s="31" t="str">
        <f aca="false">+WORLDCUP!BD59</f>
        <v>Catar</v>
      </c>
      <c r="F347" s="31" t="str">
        <f aca="false">+WORLDCUP!BD61</f>
        <v>Turquía</v>
      </c>
      <c r="G347" s="31" t="str">
        <f aca="false">+WORLDCUP!BD58</f>
        <v>República Checa</v>
      </c>
      <c r="H347" s="31" t="str">
        <f aca="false">+WORLDCUP!BD64</f>
        <v>Bélgica</v>
      </c>
      <c r="I347" s="31" t="str">
        <f aca="false">+WORLDCUP!BD62</f>
        <v>Ecuador</v>
      </c>
      <c r="J347" s="31" t="str">
        <f aca="false">+WORLDCUP!BD68</f>
        <v>Uzbekistán</v>
      </c>
      <c r="N347" s="31" t="s">
        <v>1865</v>
      </c>
      <c r="O347" s="31" t="n">
        <v>346</v>
      </c>
      <c r="P347" s="31" t="s">
        <v>112</v>
      </c>
      <c r="Q347" s="31" t="s">
        <v>121</v>
      </c>
      <c r="R347" s="31" t="s">
        <v>85</v>
      </c>
      <c r="S347" s="31" t="s">
        <v>94</v>
      </c>
      <c r="T347" s="31" t="s">
        <v>80</v>
      </c>
      <c r="U347" s="31" t="s">
        <v>107</v>
      </c>
      <c r="V347" s="31" t="s">
        <v>98</v>
      </c>
      <c r="W347" s="31" t="s">
        <v>125</v>
      </c>
    </row>
    <row r="348" customFormat="false" ht="15" hidden="false" customHeight="false" outlineLevel="0" collapsed="false">
      <c r="A348" s="31" t="s">
        <v>1866</v>
      </c>
      <c r="B348" s="31" t="n">
        <f aca="false">+IF(A348=WORLDCUP!$BI$112,1,0)</f>
        <v>0</v>
      </c>
      <c r="C348" s="31" t="str">
        <f aca="false">+WORLDCUP!BD62</f>
        <v>Ecuador</v>
      </c>
      <c r="D348" s="31" t="str">
        <f aca="false">+WORLDCUP!BD64</f>
        <v>Bélgica</v>
      </c>
      <c r="E348" s="31" t="str">
        <f aca="false">+WORLDCUP!BD59</f>
        <v>Catar</v>
      </c>
      <c r="F348" s="31" t="str">
        <f aca="false">+WORLDCUP!BD61</f>
        <v>Turquía</v>
      </c>
      <c r="G348" s="31" t="str">
        <f aca="false">+WORLDCUP!BD58</f>
        <v>República Checa</v>
      </c>
      <c r="H348" s="31" t="str">
        <f aca="false">+WORLDCUP!BD65</f>
        <v>España</v>
      </c>
      <c r="I348" s="31" t="str">
        <f aca="false">+WORLDCUP!BD69</f>
        <v>Ghana</v>
      </c>
      <c r="J348" s="31" t="str">
        <f aca="false">+WORLDCUP!BD66</f>
        <v>Irak</v>
      </c>
      <c r="N348" s="31" t="s">
        <v>1866</v>
      </c>
      <c r="O348" s="31" t="n">
        <v>347</v>
      </c>
      <c r="P348" s="31" t="s">
        <v>98</v>
      </c>
      <c r="Q348" s="31" t="s">
        <v>107</v>
      </c>
      <c r="R348" s="31" t="s">
        <v>85</v>
      </c>
      <c r="S348" s="31" t="s">
        <v>94</v>
      </c>
      <c r="T348" s="31" t="s">
        <v>80</v>
      </c>
      <c r="U348" s="31" t="s">
        <v>112</v>
      </c>
      <c r="V348" s="31" t="s">
        <v>130</v>
      </c>
      <c r="W348" s="31" t="s">
        <v>116</v>
      </c>
    </row>
    <row r="349" customFormat="false" ht="15" hidden="false" customHeight="false" outlineLevel="0" collapsed="false">
      <c r="A349" s="31" t="s">
        <v>1867</v>
      </c>
      <c r="B349" s="31" t="n">
        <f aca="false">+IF(A349=WORLDCUP!$BI$112,1,0)</f>
        <v>0</v>
      </c>
      <c r="C349" s="31" t="str">
        <f aca="false">+WORLDCUP!BD62</f>
        <v>Ecuador</v>
      </c>
      <c r="D349" s="31" t="str">
        <f aca="false">+WORLDCUP!BD64</f>
        <v>Bélgica</v>
      </c>
      <c r="E349" s="31" t="str">
        <f aca="false">+WORLDCUP!BD59</f>
        <v>Catar</v>
      </c>
      <c r="F349" s="31" t="str">
        <f aca="false">+WORLDCUP!BD61</f>
        <v>Turquía</v>
      </c>
      <c r="G349" s="31" t="str">
        <f aca="false">+WORLDCUP!BD58</f>
        <v>República Checa</v>
      </c>
      <c r="H349" s="31" t="str">
        <f aca="false">+WORLDCUP!BD65</f>
        <v>España</v>
      </c>
      <c r="I349" s="31" t="str">
        <f aca="false">+WORLDCUP!BD66</f>
        <v>Irak</v>
      </c>
      <c r="J349" s="31" t="str">
        <f aca="false">+WORLDCUP!BD68</f>
        <v>Uzbekistán</v>
      </c>
      <c r="N349" s="31" t="s">
        <v>1867</v>
      </c>
      <c r="O349" s="31" t="n">
        <v>348</v>
      </c>
      <c r="P349" s="31" t="s">
        <v>98</v>
      </c>
      <c r="Q349" s="31" t="s">
        <v>107</v>
      </c>
      <c r="R349" s="31" t="s">
        <v>85</v>
      </c>
      <c r="S349" s="31" t="s">
        <v>94</v>
      </c>
      <c r="T349" s="31" t="s">
        <v>80</v>
      </c>
      <c r="U349" s="31" t="s">
        <v>112</v>
      </c>
      <c r="V349" s="31" t="s">
        <v>116</v>
      </c>
      <c r="W349" s="31" t="s">
        <v>125</v>
      </c>
    </row>
    <row r="350" customFormat="false" ht="15" hidden="false" customHeight="false" outlineLevel="0" collapsed="false">
      <c r="A350" s="31" t="s">
        <v>1868</v>
      </c>
      <c r="B350" s="31" t="n">
        <f aca="false">+IF(A350=WORLDCUP!$BI$112,1,0)</f>
        <v>0</v>
      </c>
      <c r="C350" s="31" t="str">
        <f aca="false">+WORLDCUP!BD65</f>
        <v>España</v>
      </c>
      <c r="D350" s="31" t="str">
        <f aca="false">+WORLDCUP!BD67</f>
        <v>Austria</v>
      </c>
      <c r="E350" s="31" t="str">
        <f aca="false">+WORLDCUP!BD59</f>
        <v>Catar</v>
      </c>
      <c r="F350" s="31" t="str">
        <f aca="false">+WORLDCUP!BD61</f>
        <v>Turquía</v>
      </c>
      <c r="G350" s="31" t="str">
        <f aca="false">+WORLDCUP!BD58</f>
        <v>República Checa</v>
      </c>
      <c r="H350" s="31" t="str">
        <f aca="false">+WORLDCUP!BD64</f>
        <v>Bélgica</v>
      </c>
      <c r="I350" s="31" t="str">
        <f aca="false">+WORLDCUP!BD62</f>
        <v>Ecuador</v>
      </c>
      <c r="J350" s="31" t="str">
        <f aca="false">+WORLDCUP!BD66</f>
        <v>Irak</v>
      </c>
      <c r="N350" s="31" t="s">
        <v>1868</v>
      </c>
      <c r="O350" s="31" t="n">
        <v>349</v>
      </c>
      <c r="P350" s="31" t="s">
        <v>112</v>
      </c>
      <c r="Q350" s="31" t="s">
        <v>121</v>
      </c>
      <c r="R350" s="31" t="s">
        <v>85</v>
      </c>
      <c r="S350" s="31" t="s">
        <v>94</v>
      </c>
      <c r="T350" s="31" t="s">
        <v>80</v>
      </c>
      <c r="U350" s="31" t="s">
        <v>107</v>
      </c>
      <c r="V350" s="31" t="s">
        <v>98</v>
      </c>
      <c r="W350" s="31" t="s">
        <v>116</v>
      </c>
    </row>
    <row r="351" customFormat="false" ht="15" hidden="false" customHeight="false" outlineLevel="0" collapsed="false">
      <c r="A351" s="31" t="s">
        <v>1869</v>
      </c>
      <c r="B351" s="31" t="n">
        <f aca="false">+IF(A351=WORLDCUP!$BI$112,1,0)</f>
        <v>0</v>
      </c>
      <c r="C351" s="31" t="str">
        <f aca="false">+WORLDCUP!BD62</f>
        <v>Ecuador</v>
      </c>
      <c r="D351" s="31" t="str">
        <f aca="false">+WORLDCUP!BD67</f>
        <v>Austria</v>
      </c>
      <c r="E351" s="31" t="str">
        <f aca="false">+WORLDCUP!BD59</f>
        <v>Catar</v>
      </c>
      <c r="F351" s="31" t="str">
        <f aca="false">+WORLDCUP!BD61</f>
        <v>Turquía</v>
      </c>
      <c r="G351" s="31" t="str">
        <f aca="false">+WORLDCUP!BD58</f>
        <v>República Checa</v>
      </c>
      <c r="H351" s="31" t="str">
        <f aca="false">+WORLDCUP!BD63</f>
        <v>Japón</v>
      </c>
      <c r="I351" s="31" t="str">
        <f aca="false">+WORLDCUP!BD69</f>
        <v>Ghana</v>
      </c>
      <c r="J351" s="31" t="str">
        <f aca="false">+WORLDCUP!BD68</f>
        <v>Uzbekistán</v>
      </c>
      <c r="N351" s="31" t="s">
        <v>1869</v>
      </c>
      <c r="O351" s="31" t="n">
        <v>350</v>
      </c>
      <c r="P351" s="31" t="s">
        <v>98</v>
      </c>
      <c r="Q351" s="31" t="s">
        <v>121</v>
      </c>
      <c r="R351" s="31" t="s">
        <v>85</v>
      </c>
      <c r="S351" s="31" t="s">
        <v>94</v>
      </c>
      <c r="T351" s="31" t="s">
        <v>80</v>
      </c>
      <c r="U351" s="31" t="s">
        <v>103</v>
      </c>
      <c r="V351" s="31" t="s">
        <v>130</v>
      </c>
      <c r="W351" s="31" t="s">
        <v>125</v>
      </c>
    </row>
    <row r="352" customFormat="false" ht="15" hidden="false" customHeight="false" outlineLevel="0" collapsed="false">
      <c r="A352" s="31" t="s">
        <v>1870</v>
      </c>
      <c r="B352" s="31" t="n">
        <f aca="false">+IF(A352=WORLDCUP!$BI$112,1,0)</f>
        <v>0</v>
      </c>
      <c r="C352" s="31" t="str">
        <f aca="false">+WORLDCUP!BD62</f>
        <v>Ecuador</v>
      </c>
      <c r="D352" s="31" t="str">
        <f aca="false">+WORLDCUP!BD66</f>
        <v>Irak</v>
      </c>
      <c r="E352" s="31" t="str">
        <f aca="false">+WORLDCUP!BD59</f>
        <v>Catar</v>
      </c>
      <c r="F352" s="31" t="str">
        <f aca="false">+WORLDCUP!BD61</f>
        <v>Turquía</v>
      </c>
      <c r="G352" s="31" t="str">
        <f aca="false">+WORLDCUP!BD58</f>
        <v>República Checa</v>
      </c>
      <c r="H352" s="31" t="str">
        <f aca="false">+WORLDCUP!BD63</f>
        <v>Japón</v>
      </c>
      <c r="I352" s="31" t="str">
        <f aca="false">+WORLDCUP!BD69</f>
        <v>Ghana</v>
      </c>
      <c r="J352" s="31" t="str">
        <f aca="false">+WORLDCUP!BD68</f>
        <v>Uzbekistán</v>
      </c>
      <c r="N352" s="31" t="s">
        <v>1870</v>
      </c>
      <c r="O352" s="31" t="n">
        <v>351</v>
      </c>
      <c r="P352" s="31" t="s">
        <v>98</v>
      </c>
      <c r="Q352" s="31" t="s">
        <v>116</v>
      </c>
      <c r="R352" s="31" t="s">
        <v>85</v>
      </c>
      <c r="S352" s="31" t="s">
        <v>94</v>
      </c>
      <c r="T352" s="31" t="s">
        <v>80</v>
      </c>
      <c r="U352" s="31" t="s">
        <v>103</v>
      </c>
      <c r="V352" s="31" t="s">
        <v>130</v>
      </c>
      <c r="W352" s="31" t="s">
        <v>125</v>
      </c>
    </row>
    <row r="353" customFormat="false" ht="15" hidden="false" customHeight="false" outlineLevel="0" collapsed="false">
      <c r="A353" s="31" t="s">
        <v>1871</v>
      </c>
      <c r="B353" s="31" t="n">
        <f aca="false">+IF(A353=WORLDCUP!$BI$112,1,0)</f>
        <v>0</v>
      </c>
      <c r="C353" s="31" t="str">
        <f aca="false">+WORLDCUP!BD62</f>
        <v>Ecuador</v>
      </c>
      <c r="D353" s="31" t="str">
        <f aca="false">+WORLDCUP!BD67</f>
        <v>Austria</v>
      </c>
      <c r="E353" s="31" t="str">
        <f aca="false">+WORLDCUP!BD59</f>
        <v>Catar</v>
      </c>
      <c r="F353" s="31" t="str">
        <f aca="false">+WORLDCUP!BD61</f>
        <v>Turquía</v>
      </c>
      <c r="G353" s="31" t="str">
        <f aca="false">+WORLDCUP!BD58</f>
        <v>República Checa</v>
      </c>
      <c r="H353" s="31" t="str">
        <f aca="false">+WORLDCUP!BD63</f>
        <v>Japón</v>
      </c>
      <c r="I353" s="31" t="str">
        <f aca="false">+WORLDCUP!BD69</f>
        <v>Ghana</v>
      </c>
      <c r="J353" s="31" t="str">
        <f aca="false">+WORLDCUP!BD66</f>
        <v>Irak</v>
      </c>
      <c r="N353" s="31" t="s">
        <v>1871</v>
      </c>
      <c r="O353" s="31" t="n">
        <v>352</v>
      </c>
      <c r="P353" s="31" t="s">
        <v>98</v>
      </c>
      <c r="Q353" s="31" t="s">
        <v>121</v>
      </c>
      <c r="R353" s="31" t="s">
        <v>85</v>
      </c>
      <c r="S353" s="31" t="s">
        <v>94</v>
      </c>
      <c r="T353" s="31" t="s">
        <v>80</v>
      </c>
      <c r="U353" s="31" t="s">
        <v>103</v>
      </c>
      <c r="V353" s="31" t="s">
        <v>130</v>
      </c>
      <c r="W353" s="31" t="s">
        <v>116</v>
      </c>
    </row>
    <row r="354" customFormat="false" ht="15" hidden="false" customHeight="false" outlineLevel="0" collapsed="false">
      <c r="A354" s="31" t="s">
        <v>1872</v>
      </c>
      <c r="B354" s="31" t="n">
        <f aca="false">+IF(A354=WORLDCUP!$BI$112,1,0)</f>
        <v>0</v>
      </c>
      <c r="C354" s="31" t="str">
        <f aca="false">+WORLDCUP!BD62</f>
        <v>Ecuador</v>
      </c>
      <c r="D354" s="31" t="str">
        <f aca="false">+WORLDCUP!BD67</f>
        <v>Austria</v>
      </c>
      <c r="E354" s="31" t="str">
        <f aca="false">+WORLDCUP!BD59</f>
        <v>Catar</v>
      </c>
      <c r="F354" s="31" t="str">
        <f aca="false">+WORLDCUP!BD61</f>
        <v>Turquía</v>
      </c>
      <c r="G354" s="31" t="str">
        <f aca="false">+WORLDCUP!BD58</f>
        <v>República Checa</v>
      </c>
      <c r="H354" s="31" t="str">
        <f aca="false">+WORLDCUP!BD63</f>
        <v>Japón</v>
      </c>
      <c r="I354" s="31" t="str">
        <f aca="false">+WORLDCUP!BD66</f>
        <v>Irak</v>
      </c>
      <c r="J354" s="31" t="str">
        <f aca="false">+WORLDCUP!BD68</f>
        <v>Uzbekistán</v>
      </c>
      <c r="N354" s="31" t="s">
        <v>1872</v>
      </c>
      <c r="O354" s="31" t="n">
        <v>353</v>
      </c>
      <c r="P354" s="31" t="s">
        <v>98</v>
      </c>
      <c r="Q354" s="31" t="s">
        <v>121</v>
      </c>
      <c r="R354" s="31" t="s">
        <v>85</v>
      </c>
      <c r="S354" s="31" t="s">
        <v>94</v>
      </c>
      <c r="T354" s="31" t="s">
        <v>80</v>
      </c>
      <c r="U354" s="31" t="s">
        <v>103</v>
      </c>
      <c r="V354" s="31" t="s">
        <v>116</v>
      </c>
      <c r="W354" s="31" t="s">
        <v>125</v>
      </c>
    </row>
    <row r="355" customFormat="false" ht="15" hidden="false" customHeight="false" outlineLevel="0" collapsed="false">
      <c r="A355" s="31" t="s">
        <v>1873</v>
      </c>
      <c r="B355" s="31" t="n">
        <f aca="false">+IF(A355=WORLDCUP!$BI$112,1,0)</f>
        <v>0</v>
      </c>
      <c r="C355" s="31" t="str">
        <f aca="false">+WORLDCUP!BD65</f>
        <v>España</v>
      </c>
      <c r="D355" s="31" t="str">
        <f aca="false">+WORLDCUP!BD62</f>
        <v>Ecuador</v>
      </c>
      <c r="E355" s="31" t="str">
        <f aca="false">+WORLDCUP!BD59</f>
        <v>Catar</v>
      </c>
      <c r="F355" s="31" t="str">
        <f aca="false">+WORLDCUP!BD61</f>
        <v>Turquía</v>
      </c>
      <c r="G355" s="31" t="str">
        <f aca="false">+WORLDCUP!BD58</f>
        <v>República Checa</v>
      </c>
      <c r="H355" s="31" t="str">
        <f aca="false">+WORLDCUP!BD63</f>
        <v>Japón</v>
      </c>
      <c r="I355" s="31" t="str">
        <f aca="false">+WORLDCUP!BD69</f>
        <v>Ghana</v>
      </c>
      <c r="J355" s="31" t="str">
        <f aca="false">+WORLDCUP!BD68</f>
        <v>Uzbekistán</v>
      </c>
      <c r="N355" s="31" t="s">
        <v>1873</v>
      </c>
      <c r="O355" s="31" t="n">
        <v>354</v>
      </c>
      <c r="P355" s="31" t="s">
        <v>112</v>
      </c>
      <c r="Q355" s="31" t="s">
        <v>98</v>
      </c>
      <c r="R355" s="31" t="s">
        <v>85</v>
      </c>
      <c r="S355" s="31" t="s">
        <v>94</v>
      </c>
      <c r="T355" s="31" t="s">
        <v>80</v>
      </c>
      <c r="U355" s="31" t="s">
        <v>103</v>
      </c>
      <c r="V355" s="31" t="s">
        <v>130</v>
      </c>
      <c r="W355" s="31" t="s">
        <v>125</v>
      </c>
    </row>
    <row r="356" customFormat="false" ht="15" hidden="false" customHeight="false" outlineLevel="0" collapsed="false">
      <c r="A356" s="31" t="s">
        <v>1874</v>
      </c>
      <c r="B356" s="31" t="n">
        <f aca="false">+IF(A356=WORLDCUP!$BI$112,1,0)</f>
        <v>0</v>
      </c>
      <c r="C356" s="31" t="str">
        <f aca="false">+WORLDCUP!BD65</f>
        <v>España</v>
      </c>
      <c r="D356" s="31" t="str">
        <f aca="false">+WORLDCUP!BD67</f>
        <v>Austria</v>
      </c>
      <c r="E356" s="31" t="str">
        <f aca="false">+WORLDCUP!BD59</f>
        <v>Catar</v>
      </c>
      <c r="F356" s="31" t="str">
        <f aca="false">+WORLDCUP!BD61</f>
        <v>Turquía</v>
      </c>
      <c r="G356" s="31" t="str">
        <f aca="false">+WORLDCUP!BD58</f>
        <v>República Checa</v>
      </c>
      <c r="H356" s="31" t="str">
        <f aca="false">+WORLDCUP!BD63</f>
        <v>Japón</v>
      </c>
      <c r="I356" s="31" t="str">
        <f aca="false">+WORLDCUP!BD69</f>
        <v>Ghana</v>
      </c>
      <c r="J356" s="31" t="str">
        <f aca="false">+WORLDCUP!BD62</f>
        <v>Ecuador</v>
      </c>
      <c r="N356" s="31" t="s">
        <v>1874</v>
      </c>
      <c r="O356" s="31" t="n">
        <v>355</v>
      </c>
      <c r="P356" s="31" t="s">
        <v>112</v>
      </c>
      <c r="Q356" s="31" t="s">
        <v>121</v>
      </c>
      <c r="R356" s="31" t="s">
        <v>85</v>
      </c>
      <c r="S356" s="31" t="s">
        <v>94</v>
      </c>
      <c r="T356" s="31" t="s">
        <v>80</v>
      </c>
      <c r="U356" s="31" t="s">
        <v>103</v>
      </c>
      <c r="V356" s="31" t="s">
        <v>130</v>
      </c>
      <c r="W356" s="31" t="s">
        <v>98</v>
      </c>
    </row>
    <row r="357" customFormat="false" ht="15" hidden="false" customHeight="false" outlineLevel="0" collapsed="false">
      <c r="A357" s="31" t="s">
        <v>1875</v>
      </c>
      <c r="B357" s="31" t="n">
        <f aca="false">+IF(A357=WORLDCUP!$BI$112,1,0)</f>
        <v>0</v>
      </c>
      <c r="C357" s="31" t="str">
        <f aca="false">+WORLDCUP!BD65</f>
        <v>España</v>
      </c>
      <c r="D357" s="31" t="str">
        <f aca="false">+WORLDCUP!BD67</f>
        <v>Austria</v>
      </c>
      <c r="E357" s="31" t="str">
        <f aca="false">+WORLDCUP!BD59</f>
        <v>Catar</v>
      </c>
      <c r="F357" s="31" t="str">
        <f aca="false">+WORLDCUP!BD61</f>
        <v>Turquía</v>
      </c>
      <c r="G357" s="31" t="str">
        <f aca="false">+WORLDCUP!BD58</f>
        <v>República Checa</v>
      </c>
      <c r="H357" s="31" t="str">
        <f aca="false">+WORLDCUP!BD63</f>
        <v>Japón</v>
      </c>
      <c r="I357" s="31" t="str">
        <f aca="false">+WORLDCUP!BD62</f>
        <v>Ecuador</v>
      </c>
      <c r="J357" s="31" t="str">
        <f aca="false">+WORLDCUP!BD68</f>
        <v>Uzbekistán</v>
      </c>
      <c r="N357" s="31" t="s">
        <v>1875</v>
      </c>
      <c r="O357" s="31" t="n">
        <v>356</v>
      </c>
      <c r="P357" s="31" t="s">
        <v>112</v>
      </c>
      <c r="Q357" s="31" t="s">
        <v>121</v>
      </c>
      <c r="R357" s="31" t="s">
        <v>85</v>
      </c>
      <c r="S357" s="31" t="s">
        <v>94</v>
      </c>
      <c r="T357" s="31" t="s">
        <v>80</v>
      </c>
      <c r="U357" s="31" t="s">
        <v>103</v>
      </c>
      <c r="V357" s="31" t="s">
        <v>98</v>
      </c>
      <c r="W357" s="31" t="s">
        <v>125</v>
      </c>
    </row>
    <row r="358" customFormat="false" ht="15" hidden="false" customHeight="false" outlineLevel="0" collapsed="false">
      <c r="A358" s="31" t="s">
        <v>1876</v>
      </c>
      <c r="B358" s="31" t="n">
        <f aca="false">+IF(A358=WORLDCUP!$BI$112,1,0)</f>
        <v>0</v>
      </c>
      <c r="C358" s="31" t="str">
        <f aca="false">+WORLDCUP!BD65</f>
        <v>España</v>
      </c>
      <c r="D358" s="31" t="str">
        <f aca="false">+WORLDCUP!BD62</f>
        <v>Ecuador</v>
      </c>
      <c r="E358" s="31" t="str">
        <f aca="false">+WORLDCUP!BD59</f>
        <v>Catar</v>
      </c>
      <c r="F358" s="31" t="str">
        <f aca="false">+WORLDCUP!BD61</f>
        <v>Turquía</v>
      </c>
      <c r="G358" s="31" t="str">
        <f aca="false">+WORLDCUP!BD58</f>
        <v>República Checa</v>
      </c>
      <c r="H358" s="31" t="str">
        <f aca="false">+WORLDCUP!BD63</f>
        <v>Japón</v>
      </c>
      <c r="I358" s="31" t="str">
        <f aca="false">+WORLDCUP!BD69</f>
        <v>Ghana</v>
      </c>
      <c r="J358" s="31" t="str">
        <f aca="false">+WORLDCUP!BD66</f>
        <v>Irak</v>
      </c>
      <c r="N358" s="31" t="s">
        <v>1876</v>
      </c>
      <c r="O358" s="31" t="n">
        <v>357</v>
      </c>
      <c r="P358" s="31" t="s">
        <v>112</v>
      </c>
      <c r="Q358" s="31" t="s">
        <v>98</v>
      </c>
      <c r="R358" s="31" t="s">
        <v>85</v>
      </c>
      <c r="S358" s="31" t="s">
        <v>94</v>
      </c>
      <c r="T358" s="31" t="s">
        <v>80</v>
      </c>
      <c r="U358" s="31" t="s">
        <v>103</v>
      </c>
      <c r="V358" s="31" t="s">
        <v>130</v>
      </c>
      <c r="W358" s="31" t="s">
        <v>116</v>
      </c>
    </row>
    <row r="359" customFormat="false" ht="15" hidden="false" customHeight="false" outlineLevel="0" collapsed="false">
      <c r="A359" s="31" t="s">
        <v>1877</v>
      </c>
      <c r="B359" s="31" t="n">
        <f aca="false">+IF(A359=WORLDCUP!$BI$112,1,0)</f>
        <v>0</v>
      </c>
      <c r="C359" s="31" t="str">
        <f aca="false">+WORLDCUP!BD65</f>
        <v>España</v>
      </c>
      <c r="D359" s="31" t="str">
        <f aca="false">+WORLDCUP!BD62</f>
        <v>Ecuador</v>
      </c>
      <c r="E359" s="31" t="str">
        <f aca="false">+WORLDCUP!BD59</f>
        <v>Catar</v>
      </c>
      <c r="F359" s="31" t="str">
        <f aca="false">+WORLDCUP!BD61</f>
        <v>Turquía</v>
      </c>
      <c r="G359" s="31" t="str">
        <f aca="false">+WORLDCUP!BD58</f>
        <v>República Checa</v>
      </c>
      <c r="H359" s="31" t="str">
        <f aca="false">+WORLDCUP!BD63</f>
        <v>Japón</v>
      </c>
      <c r="I359" s="31" t="str">
        <f aca="false">+WORLDCUP!BD66</f>
        <v>Irak</v>
      </c>
      <c r="J359" s="31" t="str">
        <f aca="false">+WORLDCUP!BD68</f>
        <v>Uzbekistán</v>
      </c>
      <c r="N359" s="31" t="s">
        <v>1877</v>
      </c>
      <c r="O359" s="31" t="n">
        <v>358</v>
      </c>
      <c r="P359" s="31" t="s">
        <v>112</v>
      </c>
      <c r="Q359" s="31" t="s">
        <v>98</v>
      </c>
      <c r="R359" s="31" t="s">
        <v>85</v>
      </c>
      <c r="S359" s="31" t="s">
        <v>94</v>
      </c>
      <c r="T359" s="31" t="s">
        <v>80</v>
      </c>
      <c r="U359" s="31" t="s">
        <v>103</v>
      </c>
      <c r="V359" s="31" t="s">
        <v>116</v>
      </c>
      <c r="W359" s="31" t="s">
        <v>125</v>
      </c>
    </row>
    <row r="360" customFormat="false" ht="15" hidden="false" customHeight="false" outlineLevel="0" collapsed="false">
      <c r="A360" s="31" t="s">
        <v>1878</v>
      </c>
      <c r="B360" s="31" t="n">
        <f aca="false">+IF(A360=WORLDCUP!$BI$112,1,0)</f>
        <v>0</v>
      </c>
      <c r="C360" s="31" t="str">
        <f aca="false">+WORLDCUP!BD65</f>
        <v>España</v>
      </c>
      <c r="D360" s="31" t="str">
        <f aca="false">+WORLDCUP!BD67</f>
        <v>Austria</v>
      </c>
      <c r="E360" s="31" t="str">
        <f aca="false">+WORLDCUP!BD59</f>
        <v>Catar</v>
      </c>
      <c r="F360" s="31" t="str">
        <f aca="false">+WORLDCUP!BD61</f>
        <v>Turquía</v>
      </c>
      <c r="G360" s="31" t="str">
        <f aca="false">+WORLDCUP!BD58</f>
        <v>República Checa</v>
      </c>
      <c r="H360" s="31" t="str">
        <f aca="false">+WORLDCUP!BD63</f>
        <v>Japón</v>
      </c>
      <c r="I360" s="31" t="str">
        <f aca="false">+WORLDCUP!BD62</f>
        <v>Ecuador</v>
      </c>
      <c r="J360" s="31" t="str">
        <f aca="false">+WORLDCUP!BD66</f>
        <v>Irak</v>
      </c>
      <c r="N360" s="31" t="s">
        <v>1878</v>
      </c>
      <c r="O360" s="31" t="n">
        <v>359</v>
      </c>
      <c r="P360" s="31" t="s">
        <v>112</v>
      </c>
      <c r="Q360" s="31" t="s">
        <v>121</v>
      </c>
      <c r="R360" s="31" t="s">
        <v>85</v>
      </c>
      <c r="S360" s="31" t="s">
        <v>94</v>
      </c>
      <c r="T360" s="31" t="s">
        <v>80</v>
      </c>
      <c r="U360" s="31" t="s">
        <v>103</v>
      </c>
      <c r="V360" s="31" t="s">
        <v>98</v>
      </c>
      <c r="W360" s="31" t="s">
        <v>116</v>
      </c>
    </row>
    <row r="361" customFormat="false" ht="15" hidden="false" customHeight="false" outlineLevel="0" collapsed="false">
      <c r="A361" s="31" t="s">
        <v>1879</v>
      </c>
      <c r="B361" s="31" t="n">
        <f aca="false">+IF(A361=WORLDCUP!$BI$112,1,0)</f>
        <v>0</v>
      </c>
      <c r="C361" s="31" t="str">
        <f aca="false">+WORLDCUP!BD62</f>
        <v>Ecuador</v>
      </c>
      <c r="D361" s="31" t="str">
        <f aca="false">+WORLDCUP!BD64</f>
        <v>Bélgica</v>
      </c>
      <c r="E361" s="31" t="str">
        <f aca="false">+WORLDCUP!BD59</f>
        <v>Catar</v>
      </c>
      <c r="F361" s="31" t="str">
        <f aca="false">+WORLDCUP!BD61</f>
        <v>Turquía</v>
      </c>
      <c r="G361" s="31" t="str">
        <f aca="false">+WORLDCUP!BD58</f>
        <v>República Checa</v>
      </c>
      <c r="H361" s="31" t="str">
        <f aca="false">+WORLDCUP!BD63</f>
        <v>Japón</v>
      </c>
      <c r="I361" s="31" t="str">
        <f aca="false">+WORLDCUP!BD69</f>
        <v>Ghana</v>
      </c>
      <c r="J361" s="31" t="str">
        <f aca="false">+WORLDCUP!BD68</f>
        <v>Uzbekistán</v>
      </c>
      <c r="N361" s="31" t="s">
        <v>1879</v>
      </c>
      <c r="O361" s="31" t="n">
        <v>360</v>
      </c>
      <c r="P361" s="31" t="s">
        <v>98</v>
      </c>
      <c r="Q361" s="31" t="s">
        <v>107</v>
      </c>
      <c r="R361" s="31" t="s">
        <v>85</v>
      </c>
      <c r="S361" s="31" t="s">
        <v>94</v>
      </c>
      <c r="T361" s="31" t="s">
        <v>80</v>
      </c>
      <c r="U361" s="31" t="s">
        <v>103</v>
      </c>
      <c r="V361" s="31" t="s">
        <v>130</v>
      </c>
      <c r="W361" s="31" t="s">
        <v>125</v>
      </c>
    </row>
    <row r="362" customFormat="false" ht="15" hidden="false" customHeight="false" outlineLevel="0" collapsed="false">
      <c r="A362" s="31" t="s">
        <v>1880</v>
      </c>
      <c r="B362" s="31" t="n">
        <f aca="false">+IF(A362=WORLDCUP!$BI$112,1,0)</f>
        <v>0</v>
      </c>
      <c r="C362" s="31" t="str">
        <f aca="false">+WORLDCUP!BD62</f>
        <v>Ecuador</v>
      </c>
      <c r="D362" s="31" t="str">
        <f aca="false">+WORLDCUP!BD64</f>
        <v>Bélgica</v>
      </c>
      <c r="E362" s="31" t="str">
        <f aca="false">+WORLDCUP!BD59</f>
        <v>Catar</v>
      </c>
      <c r="F362" s="31" t="str">
        <f aca="false">+WORLDCUP!BD61</f>
        <v>Turquía</v>
      </c>
      <c r="G362" s="31" t="str">
        <f aca="false">+WORLDCUP!BD58</f>
        <v>República Checa</v>
      </c>
      <c r="H362" s="31" t="str">
        <f aca="false">+WORLDCUP!BD63</f>
        <v>Japón</v>
      </c>
      <c r="I362" s="31" t="str">
        <f aca="false">+WORLDCUP!BD69</f>
        <v>Ghana</v>
      </c>
      <c r="J362" s="31" t="str">
        <f aca="false">+WORLDCUP!BD67</f>
        <v>Austria</v>
      </c>
      <c r="N362" s="31" t="s">
        <v>1880</v>
      </c>
      <c r="O362" s="31" t="n">
        <v>361</v>
      </c>
      <c r="P362" s="31" t="s">
        <v>98</v>
      </c>
      <c r="Q362" s="31" t="s">
        <v>107</v>
      </c>
      <c r="R362" s="31" t="s">
        <v>85</v>
      </c>
      <c r="S362" s="31" t="s">
        <v>94</v>
      </c>
      <c r="T362" s="31" t="s">
        <v>80</v>
      </c>
      <c r="U362" s="31" t="s">
        <v>103</v>
      </c>
      <c r="V362" s="31" t="s">
        <v>130</v>
      </c>
      <c r="W362" s="31" t="s">
        <v>121</v>
      </c>
    </row>
    <row r="363" customFormat="false" ht="15" hidden="false" customHeight="false" outlineLevel="0" collapsed="false">
      <c r="A363" s="31" t="s">
        <v>1881</v>
      </c>
      <c r="B363" s="31" t="n">
        <f aca="false">+IF(A363=WORLDCUP!$BI$112,1,0)</f>
        <v>0</v>
      </c>
      <c r="C363" s="31" t="str">
        <f aca="false">+WORLDCUP!BD62</f>
        <v>Ecuador</v>
      </c>
      <c r="D363" s="31" t="str">
        <f aca="false">+WORLDCUP!BD64</f>
        <v>Bélgica</v>
      </c>
      <c r="E363" s="31" t="str">
        <f aca="false">+WORLDCUP!BD59</f>
        <v>Catar</v>
      </c>
      <c r="F363" s="31" t="str">
        <f aca="false">+WORLDCUP!BD61</f>
        <v>Turquía</v>
      </c>
      <c r="G363" s="31" t="str">
        <f aca="false">+WORLDCUP!BD58</f>
        <v>República Checa</v>
      </c>
      <c r="H363" s="31" t="str">
        <f aca="false">+WORLDCUP!BD63</f>
        <v>Japón</v>
      </c>
      <c r="I363" s="31" t="str">
        <f aca="false">+WORLDCUP!BD67</f>
        <v>Austria</v>
      </c>
      <c r="J363" s="31" t="str">
        <f aca="false">+WORLDCUP!BD68</f>
        <v>Uzbekistán</v>
      </c>
      <c r="N363" s="31" t="s">
        <v>1881</v>
      </c>
      <c r="O363" s="31" t="n">
        <v>362</v>
      </c>
      <c r="P363" s="31" t="s">
        <v>98</v>
      </c>
      <c r="Q363" s="31" t="s">
        <v>107</v>
      </c>
      <c r="R363" s="31" t="s">
        <v>85</v>
      </c>
      <c r="S363" s="31" t="s">
        <v>94</v>
      </c>
      <c r="T363" s="31" t="s">
        <v>80</v>
      </c>
      <c r="U363" s="31" t="s">
        <v>103</v>
      </c>
      <c r="V363" s="31" t="s">
        <v>121</v>
      </c>
      <c r="W363" s="31" t="s">
        <v>125</v>
      </c>
    </row>
    <row r="364" customFormat="false" ht="15" hidden="false" customHeight="false" outlineLevel="0" collapsed="false">
      <c r="A364" s="31" t="s">
        <v>1882</v>
      </c>
      <c r="B364" s="31" t="n">
        <f aca="false">+IF(A364=WORLDCUP!$BI$112,1,0)</f>
        <v>0</v>
      </c>
      <c r="C364" s="31" t="str">
        <f aca="false">+WORLDCUP!BD62</f>
        <v>Ecuador</v>
      </c>
      <c r="D364" s="31" t="str">
        <f aca="false">+WORLDCUP!BD64</f>
        <v>Bélgica</v>
      </c>
      <c r="E364" s="31" t="str">
        <f aca="false">+WORLDCUP!BD59</f>
        <v>Catar</v>
      </c>
      <c r="F364" s="31" t="str">
        <f aca="false">+WORLDCUP!BD61</f>
        <v>Turquía</v>
      </c>
      <c r="G364" s="31" t="str">
        <f aca="false">+WORLDCUP!BD58</f>
        <v>República Checa</v>
      </c>
      <c r="H364" s="31" t="str">
        <f aca="false">+WORLDCUP!BD63</f>
        <v>Japón</v>
      </c>
      <c r="I364" s="31" t="str">
        <f aca="false">+WORLDCUP!BD69</f>
        <v>Ghana</v>
      </c>
      <c r="J364" s="31" t="str">
        <f aca="false">+WORLDCUP!BD66</f>
        <v>Irak</v>
      </c>
      <c r="N364" s="31" t="s">
        <v>1882</v>
      </c>
      <c r="O364" s="31" t="n">
        <v>363</v>
      </c>
      <c r="P364" s="31" t="s">
        <v>98</v>
      </c>
      <c r="Q364" s="31" t="s">
        <v>107</v>
      </c>
      <c r="R364" s="31" t="s">
        <v>85</v>
      </c>
      <c r="S364" s="31" t="s">
        <v>94</v>
      </c>
      <c r="T364" s="31" t="s">
        <v>80</v>
      </c>
      <c r="U364" s="31" t="s">
        <v>103</v>
      </c>
      <c r="V364" s="31" t="s">
        <v>130</v>
      </c>
      <c r="W364" s="31" t="s">
        <v>116</v>
      </c>
    </row>
    <row r="365" customFormat="false" ht="15" hidden="false" customHeight="false" outlineLevel="0" collapsed="false">
      <c r="A365" s="31" t="s">
        <v>1883</v>
      </c>
      <c r="B365" s="31" t="n">
        <f aca="false">+IF(A365=WORLDCUP!$BI$112,1,0)</f>
        <v>0</v>
      </c>
      <c r="C365" s="31" t="str">
        <f aca="false">+WORLDCUP!BD62</f>
        <v>Ecuador</v>
      </c>
      <c r="D365" s="31" t="str">
        <f aca="false">+WORLDCUP!BD64</f>
        <v>Bélgica</v>
      </c>
      <c r="E365" s="31" t="str">
        <f aca="false">+WORLDCUP!BD59</f>
        <v>Catar</v>
      </c>
      <c r="F365" s="31" t="str">
        <f aca="false">+WORLDCUP!BD61</f>
        <v>Turquía</v>
      </c>
      <c r="G365" s="31" t="str">
        <f aca="false">+WORLDCUP!BD58</f>
        <v>República Checa</v>
      </c>
      <c r="H365" s="31" t="str">
        <f aca="false">+WORLDCUP!BD63</f>
        <v>Japón</v>
      </c>
      <c r="I365" s="31" t="str">
        <f aca="false">+WORLDCUP!BD66</f>
        <v>Irak</v>
      </c>
      <c r="J365" s="31" t="str">
        <f aca="false">+WORLDCUP!BD68</f>
        <v>Uzbekistán</v>
      </c>
      <c r="N365" s="31" t="s">
        <v>1883</v>
      </c>
      <c r="O365" s="31" t="n">
        <v>364</v>
      </c>
      <c r="P365" s="31" t="s">
        <v>98</v>
      </c>
      <c r="Q365" s="31" t="s">
        <v>107</v>
      </c>
      <c r="R365" s="31" t="s">
        <v>85</v>
      </c>
      <c r="S365" s="31" t="s">
        <v>94</v>
      </c>
      <c r="T365" s="31" t="s">
        <v>80</v>
      </c>
      <c r="U365" s="31" t="s">
        <v>103</v>
      </c>
      <c r="V365" s="31" t="s">
        <v>116</v>
      </c>
      <c r="W365" s="31" t="s">
        <v>125</v>
      </c>
    </row>
    <row r="366" customFormat="false" ht="15" hidden="false" customHeight="false" outlineLevel="0" collapsed="false">
      <c r="A366" s="31" t="s">
        <v>1884</v>
      </c>
      <c r="B366" s="31" t="n">
        <f aca="false">+IF(A366=WORLDCUP!$BI$112,1,0)</f>
        <v>0</v>
      </c>
      <c r="C366" s="31" t="str">
        <f aca="false">+WORLDCUP!BD62</f>
        <v>Ecuador</v>
      </c>
      <c r="D366" s="31" t="str">
        <f aca="false">+WORLDCUP!BD64</f>
        <v>Bélgica</v>
      </c>
      <c r="E366" s="31" t="str">
        <f aca="false">+WORLDCUP!BD59</f>
        <v>Catar</v>
      </c>
      <c r="F366" s="31" t="str">
        <f aca="false">+WORLDCUP!BD61</f>
        <v>Turquía</v>
      </c>
      <c r="G366" s="31" t="str">
        <f aca="false">+WORLDCUP!BD58</f>
        <v>República Checa</v>
      </c>
      <c r="H366" s="31" t="str">
        <f aca="false">+WORLDCUP!BD63</f>
        <v>Japón</v>
      </c>
      <c r="I366" s="31" t="str">
        <f aca="false">+WORLDCUP!BD66</f>
        <v>Irak</v>
      </c>
      <c r="J366" s="31" t="str">
        <f aca="false">+WORLDCUP!BD67</f>
        <v>Austria</v>
      </c>
      <c r="N366" s="31" t="s">
        <v>1884</v>
      </c>
      <c r="O366" s="31" t="n">
        <v>365</v>
      </c>
      <c r="P366" s="31" t="s">
        <v>98</v>
      </c>
      <c r="Q366" s="31" t="s">
        <v>107</v>
      </c>
      <c r="R366" s="31" t="s">
        <v>85</v>
      </c>
      <c r="S366" s="31" t="s">
        <v>94</v>
      </c>
      <c r="T366" s="31" t="s">
        <v>80</v>
      </c>
      <c r="U366" s="31" t="s">
        <v>103</v>
      </c>
      <c r="V366" s="31" t="s">
        <v>116</v>
      </c>
      <c r="W366" s="31" t="s">
        <v>121</v>
      </c>
    </row>
    <row r="367" customFormat="false" ht="15" hidden="false" customHeight="false" outlineLevel="0" collapsed="false">
      <c r="A367" s="31" t="s">
        <v>1885</v>
      </c>
      <c r="B367" s="31" t="n">
        <f aca="false">+IF(A367=WORLDCUP!$BI$112,1,0)</f>
        <v>0</v>
      </c>
      <c r="C367" s="31" t="str">
        <f aca="false">+WORLDCUP!BD65</f>
        <v>España</v>
      </c>
      <c r="D367" s="31" t="str">
        <f aca="false">+WORLDCUP!BD64</f>
        <v>Bélgica</v>
      </c>
      <c r="E367" s="31" t="str">
        <f aca="false">+WORLDCUP!BD59</f>
        <v>Catar</v>
      </c>
      <c r="F367" s="31" t="str">
        <f aca="false">+WORLDCUP!BD61</f>
        <v>Turquía</v>
      </c>
      <c r="G367" s="31" t="str">
        <f aca="false">+WORLDCUP!BD58</f>
        <v>República Checa</v>
      </c>
      <c r="H367" s="31" t="str">
        <f aca="false">+WORLDCUP!BD63</f>
        <v>Japón</v>
      </c>
      <c r="I367" s="31" t="str">
        <f aca="false">+WORLDCUP!BD69</f>
        <v>Ghana</v>
      </c>
      <c r="J367" s="31" t="str">
        <f aca="false">+WORLDCUP!BD62</f>
        <v>Ecuador</v>
      </c>
      <c r="N367" s="31" t="s">
        <v>1885</v>
      </c>
      <c r="O367" s="31" t="n">
        <v>366</v>
      </c>
      <c r="P367" s="31" t="s">
        <v>112</v>
      </c>
      <c r="Q367" s="31" t="s">
        <v>107</v>
      </c>
      <c r="R367" s="31" t="s">
        <v>85</v>
      </c>
      <c r="S367" s="31" t="s">
        <v>94</v>
      </c>
      <c r="T367" s="31" t="s">
        <v>80</v>
      </c>
      <c r="U367" s="31" t="s">
        <v>103</v>
      </c>
      <c r="V367" s="31" t="s">
        <v>130</v>
      </c>
      <c r="W367" s="31" t="s">
        <v>98</v>
      </c>
    </row>
    <row r="368" customFormat="false" ht="15" hidden="false" customHeight="false" outlineLevel="0" collapsed="false">
      <c r="A368" s="31" t="s">
        <v>1886</v>
      </c>
      <c r="B368" s="31" t="n">
        <f aca="false">+IF(A368=WORLDCUP!$BI$112,1,0)</f>
        <v>0</v>
      </c>
      <c r="C368" s="31" t="str">
        <f aca="false">+WORLDCUP!BD65</f>
        <v>España</v>
      </c>
      <c r="D368" s="31" t="str">
        <f aca="false">+WORLDCUP!BD64</f>
        <v>Bélgica</v>
      </c>
      <c r="E368" s="31" t="str">
        <f aca="false">+WORLDCUP!BD59</f>
        <v>Catar</v>
      </c>
      <c r="F368" s="31" t="str">
        <f aca="false">+WORLDCUP!BD61</f>
        <v>Turquía</v>
      </c>
      <c r="G368" s="31" t="str">
        <f aca="false">+WORLDCUP!BD58</f>
        <v>República Checa</v>
      </c>
      <c r="H368" s="31" t="str">
        <f aca="false">+WORLDCUP!BD63</f>
        <v>Japón</v>
      </c>
      <c r="I368" s="31" t="str">
        <f aca="false">+WORLDCUP!BD62</f>
        <v>Ecuador</v>
      </c>
      <c r="J368" s="31" t="str">
        <f aca="false">+WORLDCUP!BD68</f>
        <v>Uzbekistán</v>
      </c>
      <c r="N368" s="31" t="s">
        <v>1886</v>
      </c>
      <c r="O368" s="31" t="n">
        <v>367</v>
      </c>
      <c r="P368" s="31" t="s">
        <v>112</v>
      </c>
      <c r="Q368" s="31" t="s">
        <v>107</v>
      </c>
      <c r="R368" s="31" t="s">
        <v>85</v>
      </c>
      <c r="S368" s="31" t="s">
        <v>94</v>
      </c>
      <c r="T368" s="31" t="s">
        <v>80</v>
      </c>
      <c r="U368" s="31" t="s">
        <v>103</v>
      </c>
      <c r="V368" s="31" t="s">
        <v>98</v>
      </c>
      <c r="W368" s="31" t="s">
        <v>125</v>
      </c>
    </row>
    <row r="369" customFormat="false" ht="15" hidden="false" customHeight="false" outlineLevel="0" collapsed="false">
      <c r="A369" s="31" t="s">
        <v>1887</v>
      </c>
      <c r="B369" s="31" t="n">
        <f aca="false">+IF(A369=WORLDCUP!$BI$112,1,0)</f>
        <v>0</v>
      </c>
      <c r="C369" s="31" t="str">
        <f aca="false">+WORLDCUP!BD65</f>
        <v>España</v>
      </c>
      <c r="D369" s="31" t="str">
        <f aca="false">+WORLDCUP!BD64</f>
        <v>Bélgica</v>
      </c>
      <c r="E369" s="31" t="str">
        <f aca="false">+WORLDCUP!BD59</f>
        <v>Catar</v>
      </c>
      <c r="F369" s="31" t="str">
        <f aca="false">+WORLDCUP!BD61</f>
        <v>Turquía</v>
      </c>
      <c r="G369" s="31" t="str">
        <f aca="false">+WORLDCUP!BD58</f>
        <v>República Checa</v>
      </c>
      <c r="H369" s="31" t="str">
        <f aca="false">+WORLDCUP!BD63</f>
        <v>Japón</v>
      </c>
      <c r="I369" s="31" t="str">
        <f aca="false">+WORLDCUP!BD62</f>
        <v>Ecuador</v>
      </c>
      <c r="J369" s="31" t="str">
        <f aca="false">+WORLDCUP!BD67</f>
        <v>Austria</v>
      </c>
      <c r="N369" s="31" t="s">
        <v>1887</v>
      </c>
      <c r="O369" s="31" t="n">
        <v>368</v>
      </c>
      <c r="P369" s="31" t="s">
        <v>112</v>
      </c>
      <c r="Q369" s="31" t="s">
        <v>107</v>
      </c>
      <c r="R369" s="31" t="s">
        <v>85</v>
      </c>
      <c r="S369" s="31" t="s">
        <v>94</v>
      </c>
      <c r="T369" s="31" t="s">
        <v>80</v>
      </c>
      <c r="U369" s="31" t="s">
        <v>103</v>
      </c>
      <c r="V369" s="31" t="s">
        <v>98</v>
      </c>
      <c r="W369" s="31" t="s">
        <v>121</v>
      </c>
    </row>
    <row r="370" customFormat="false" ht="15" hidden="false" customHeight="false" outlineLevel="0" collapsed="false">
      <c r="A370" s="31" t="s">
        <v>1888</v>
      </c>
      <c r="B370" s="31" t="n">
        <f aca="false">+IF(A370=WORLDCUP!$BI$112,1,0)</f>
        <v>0</v>
      </c>
      <c r="C370" s="31" t="str">
        <f aca="false">+WORLDCUP!BD65</f>
        <v>España</v>
      </c>
      <c r="D370" s="31" t="str">
        <f aca="false">+WORLDCUP!BD64</f>
        <v>Bélgica</v>
      </c>
      <c r="E370" s="31" t="str">
        <f aca="false">+WORLDCUP!BD59</f>
        <v>Catar</v>
      </c>
      <c r="F370" s="31" t="str">
        <f aca="false">+WORLDCUP!BD61</f>
        <v>Turquía</v>
      </c>
      <c r="G370" s="31" t="str">
        <f aca="false">+WORLDCUP!BD58</f>
        <v>República Checa</v>
      </c>
      <c r="H370" s="31" t="str">
        <f aca="false">+WORLDCUP!BD63</f>
        <v>Japón</v>
      </c>
      <c r="I370" s="31" t="str">
        <f aca="false">+WORLDCUP!BD62</f>
        <v>Ecuador</v>
      </c>
      <c r="J370" s="31" t="str">
        <f aca="false">+WORLDCUP!BD66</f>
        <v>Irak</v>
      </c>
      <c r="N370" s="31" t="s">
        <v>1888</v>
      </c>
      <c r="O370" s="31" t="n">
        <v>369</v>
      </c>
      <c r="P370" s="31" t="s">
        <v>112</v>
      </c>
      <c r="Q370" s="31" t="s">
        <v>107</v>
      </c>
      <c r="R370" s="31" t="s">
        <v>85</v>
      </c>
      <c r="S370" s="31" t="s">
        <v>94</v>
      </c>
      <c r="T370" s="31" t="s">
        <v>80</v>
      </c>
      <c r="U370" s="31" t="s">
        <v>103</v>
      </c>
      <c r="V370" s="31" t="s">
        <v>98</v>
      </c>
      <c r="W370" s="31" t="s">
        <v>116</v>
      </c>
    </row>
    <row r="371" customFormat="false" ht="15" hidden="false" customHeight="false" outlineLevel="0" collapsed="false">
      <c r="A371" s="31" t="s">
        <v>1889</v>
      </c>
      <c r="B371" s="31" t="n">
        <f aca="false">+IF(A371=WORLDCUP!$BI$112,1,0)</f>
        <v>0</v>
      </c>
      <c r="C371" s="31" t="str">
        <f aca="false">+WORLDCUP!BD66</f>
        <v>Irak</v>
      </c>
      <c r="D371" s="31" t="str">
        <f aca="false">+WORLDCUP!BD67</f>
        <v>Austria</v>
      </c>
      <c r="E371" s="31" t="str">
        <f aca="false">+WORLDCUP!BD59</f>
        <v>Catar</v>
      </c>
      <c r="F371" s="31" t="str">
        <f aca="false">+WORLDCUP!BD60</f>
        <v>Marruecos</v>
      </c>
      <c r="G371" s="31" t="str">
        <f aca="false">+WORLDCUP!BD58</f>
        <v>República Checa</v>
      </c>
      <c r="H371" s="31" t="str">
        <f aca="false">+WORLDCUP!BD65</f>
        <v>España</v>
      </c>
      <c r="I371" s="31" t="str">
        <f aca="false">+WORLDCUP!BD69</f>
        <v>Ghana</v>
      </c>
      <c r="J371" s="31" t="str">
        <f aca="false">+WORLDCUP!BD68</f>
        <v>Uzbekistán</v>
      </c>
      <c r="N371" s="31" t="s">
        <v>1889</v>
      </c>
      <c r="O371" s="31" t="n">
        <v>370</v>
      </c>
      <c r="P371" s="31" t="s">
        <v>116</v>
      </c>
      <c r="Q371" s="31" t="s">
        <v>121</v>
      </c>
      <c r="R371" s="31" t="s">
        <v>85</v>
      </c>
      <c r="S371" s="31" t="s">
        <v>89</v>
      </c>
      <c r="T371" s="31" t="s">
        <v>80</v>
      </c>
      <c r="U371" s="31" t="s">
        <v>112</v>
      </c>
      <c r="V371" s="31" t="s">
        <v>130</v>
      </c>
      <c r="W371" s="31" t="s">
        <v>125</v>
      </c>
    </row>
    <row r="372" customFormat="false" ht="15" hidden="false" customHeight="false" outlineLevel="0" collapsed="false">
      <c r="A372" s="31" t="s">
        <v>1890</v>
      </c>
      <c r="B372" s="31" t="n">
        <f aca="false">+IF(A372=WORLDCUP!$BI$112,1,0)</f>
        <v>0</v>
      </c>
      <c r="C372" s="31" t="str">
        <f aca="false">+WORLDCUP!BD66</f>
        <v>Irak</v>
      </c>
      <c r="D372" s="31" t="str">
        <f aca="false">+WORLDCUP!BD67</f>
        <v>Austria</v>
      </c>
      <c r="E372" s="31" t="str">
        <f aca="false">+WORLDCUP!BD59</f>
        <v>Catar</v>
      </c>
      <c r="F372" s="31" t="str">
        <f aca="false">+WORLDCUP!BD60</f>
        <v>Marruecos</v>
      </c>
      <c r="G372" s="31" t="str">
        <f aca="false">+WORLDCUP!BD58</f>
        <v>República Checa</v>
      </c>
      <c r="H372" s="31" t="str">
        <f aca="false">+WORLDCUP!BD64</f>
        <v>Bélgica</v>
      </c>
      <c r="I372" s="31" t="str">
        <f aca="false">+WORLDCUP!BD69</f>
        <v>Ghana</v>
      </c>
      <c r="J372" s="31" t="str">
        <f aca="false">+WORLDCUP!BD68</f>
        <v>Uzbekistán</v>
      </c>
      <c r="N372" s="31" t="s">
        <v>1890</v>
      </c>
      <c r="O372" s="31" t="n">
        <v>371</v>
      </c>
      <c r="P372" s="31" t="s">
        <v>116</v>
      </c>
      <c r="Q372" s="31" t="s">
        <v>121</v>
      </c>
      <c r="R372" s="31" t="s">
        <v>85</v>
      </c>
      <c r="S372" s="31" t="s">
        <v>89</v>
      </c>
      <c r="T372" s="31" t="s">
        <v>80</v>
      </c>
      <c r="U372" s="31" t="s">
        <v>107</v>
      </c>
      <c r="V372" s="31" t="s">
        <v>130</v>
      </c>
      <c r="W372" s="31" t="s">
        <v>125</v>
      </c>
    </row>
    <row r="373" customFormat="false" ht="15" hidden="false" customHeight="false" outlineLevel="0" collapsed="false">
      <c r="A373" s="31" t="s">
        <v>1891</v>
      </c>
      <c r="B373" s="31" t="n">
        <f aca="false">+IF(A373=WORLDCUP!$BI$112,1,0)</f>
        <v>0</v>
      </c>
      <c r="C373" s="31" t="str">
        <f aca="false">+WORLDCUP!BD65</f>
        <v>España</v>
      </c>
      <c r="D373" s="31" t="str">
        <f aca="false">+WORLDCUP!BD67</f>
        <v>Austria</v>
      </c>
      <c r="E373" s="31" t="str">
        <f aca="false">+WORLDCUP!BD59</f>
        <v>Catar</v>
      </c>
      <c r="F373" s="31" t="str">
        <f aca="false">+WORLDCUP!BD60</f>
        <v>Marruecos</v>
      </c>
      <c r="G373" s="31" t="str">
        <f aca="false">+WORLDCUP!BD58</f>
        <v>República Checa</v>
      </c>
      <c r="H373" s="31" t="str">
        <f aca="false">+WORLDCUP!BD64</f>
        <v>Bélgica</v>
      </c>
      <c r="I373" s="31" t="str">
        <f aca="false">+WORLDCUP!BD69</f>
        <v>Ghana</v>
      </c>
      <c r="J373" s="31" t="str">
        <f aca="false">+WORLDCUP!BD68</f>
        <v>Uzbekistán</v>
      </c>
      <c r="N373" s="31" t="s">
        <v>1891</v>
      </c>
      <c r="O373" s="31" t="n">
        <v>372</v>
      </c>
      <c r="P373" s="31" t="s">
        <v>112</v>
      </c>
      <c r="Q373" s="31" t="s">
        <v>121</v>
      </c>
      <c r="R373" s="31" t="s">
        <v>85</v>
      </c>
      <c r="S373" s="31" t="s">
        <v>89</v>
      </c>
      <c r="T373" s="31" t="s">
        <v>80</v>
      </c>
      <c r="U373" s="31" t="s">
        <v>107</v>
      </c>
      <c r="V373" s="31" t="s">
        <v>130</v>
      </c>
      <c r="W373" s="31" t="s">
        <v>125</v>
      </c>
    </row>
    <row r="374" customFormat="false" ht="15" hidden="false" customHeight="false" outlineLevel="0" collapsed="false">
      <c r="A374" s="31" t="s">
        <v>1892</v>
      </c>
      <c r="B374" s="31" t="n">
        <f aca="false">+IF(A374=WORLDCUP!$BI$112,1,0)</f>
        <v>0</v>
      </c>
      <c r="C374" s="31" t="str">
        <f aca="false">+WORLDCUP!BD66</f>
        <v>Irak</v>
      </c>
      <c r="D374" s="31" t="str">
        <f aca="false">+WORLDCUP!BD64</f>
        <v>Bélgica</v>
      </c>
      <c r="E374" s="31" t="str">
        <f aca="false">+WORLDCUP!BD59</f>
        <v>Catar</v>
      </c>
      <c r="F374" s="31" t="str">
        <f aca="false">+WORLDCUP!BD60</f>
        <v>Marruecos</v>
      </c>
      <c r="G374" s="31" t="str">
        <f aca="false">+WORLDCUP!BD58</f>
        <v>República Checa</v>
      </c>
      <c r="H374" s="31" t="str">
        <f aca="false">+WORLDCUP!BD65</f>
        <v>España</v>
      </c>
      <c r="I374" s="31" t="str">
        <f aca="false">+WORLDCUP!BD69</f>
        <v>Ghana</v>
      </c>
      <c r="J374" s="31" t="str">
        <f aca="false">+WORLDCUP!BD68</f>
        <v>Uzbekistán</v>
      </c>
      <c r="N374" s="31" t="s">
        <v>1892</v>
      </c>
      <c r="O374" s="31" t="n">
        <v>373</v>
      </c>
      <c r="P374" s="31" t="s">
        <v>116</v>
      </c>
      <c r="Q374" s="31" t="s">
        <v>107</v>
      </c>
      <c r="R374" s="31" t="s">
        <v>85</v>
      </c>
      <c r="S374" s="31" t="s">
        <v>89</v>
      </c>
      <c r="T374" s="31" t="s">
        <v>80</v>
      </c>
      <c r="U374" s="31" t="s">
        <v>112</v>
      </c>
      <c r="V374" s="31" t="s">
        <v>130</v>
      </c>
      <c r="W374" s="31" t="s">
        <v>125</v>
      </c>
    </row>
    <row r="375" customFormat="false" ht="15" hidden="false" customHeight="false" outlineLevel="0" collapsed="false">
      <c r="A375" s="31" t="s">
        <v>1893</v>
      </c>
      <c r="B375" s="31" t="n">
        <f aca="false">+IF(A375=WORLDCUP!$BI$112,1,0)</f>
        <v>0</v>
      </c>
      <c r="C375" s="31" t="str">
        <f aca="false">+WORLDCUP!BD65</f>
        <v>España</v>
      </c>
      <c r="D375" s="31" t="str">
        <f aca="false">+WORLDCUP!BD67</f>
        <v>Austria</v>
      </c>
      <c r="E375" s="31" t="str">
        <f aca="false">+WORLDCUP!BD59</f>
        <v>Catar</v>
      </c>
      <c r="F375" s="31" t="str">
        <f aca="false">+WORLDCUP!BD60</f>
        <v>Marruecos</v>
      </c>
      <c r="G375" s="31" t="str">
        <f aca="false">+WORLDCUP!BD58</f>
        <v>República Checa</v>
      </c>
      <c r="H375" s="31" t="str">
        <f aca="false">+WORLDCUP!BD64</f>
        <v>Bélgica</v>
      </c>
      <c r="I375" s="31" t="str">
        <f aca="false">+WORLDCUP!BD69</f>
        <v>Ghana</v>
      </c>
      <c r="J375" s="31" t="str">
        <f aca="false">+WORLDCUP!BD66</f>
        <v>Irak</v>
      </c>
      <c r="N375" s="31" t="s">
        <v>1893</v>
      </c>
      <c r="O375" s="31" t="n">
        <v>374</v>
      </c>
      <c r="P375" s="31" t="s">
        <v>112</v>
      </c>
      <c r="Q375" s="31" t="s">
        <v>121</v>
      </c>
      <c r="R375" s="31" t="s">
        <v>85</v>
      </c>
      <c r="S375" s="31" t="s">
        <v>89</v>
      </c>
      <c r="T375" s="31" t="s">
        <v>80</v>
      </c>
      <c r="U375" s="31" t="s">
        <v>107</v>
      </c>
      <c r="V375" s="31" t="s">
        <v>130</v>
      </c>
      <c r="W375" s="31" t="s">
        <v>116</v>
      </c>
    </row>
    <row r="376" customFormat="false" ht="15" hidden="false" customHeight="false" outlineLevel="0" collapsed="false">
      <c r="A376" s="31" t="s">
        <v>1894</v>
      </c>
      <c r="B376" s="31" t="n">
        <f aca="false">+IF(A376=WORLDCUP!$BI$112,1,0)</f>
        <v>0</v>
      </c>
      <c r="C376" s="31" t="str">
        <f aca="false">+WORLDCUP!BD65</f>
        <v>España</v>
      </c>
      <c r="D376" s="31" t="str">
        <f aca="false">+WORLDCUP!BD67</f>
        <v>Austria</v>
      </c>
      <c r="E376" s="31" t="str">
        <f aca="false">+WORLDCUP!BD59</f>
        <v>Catar</v>
      </c>
      <c r="F376" s="31" t="str">
        <f aca="false">+WORLDCUP!BD60</f>
        <v>Marruecos</v>
      </c>
      <c r="G376" s="31" t="str">
        <f aca="false">+WORLDCUP!BD58</f>
        <v>República Checa</v>
      </c>
      <c r="H376" s="31" t="str">
        <f aca="false">+WORLDCUP!BD64</f>
        <v>Bélgica</v>
      </c>
      <c r="I376" s="31" t="str">
        <f aca="false">+WORLDCUP!BD66</f>
        <v>Irak</v>
      </c>
      <c r="J376" s="31" t="str">
        <f aca="false">+WORLDCUP!BD68</f>
        <v>Uzbekistán</v>
      </c>
      <c r="N376" s="31" t="s">
        <v>1894</v>
      </c>
      <c r="O376" s="31" t="n">
        <v>375</v>
      </c>
      <c r="P376" s="31" t="s">
        <v>112</v>
      </c>
      <c r="Q376" s="31" t="s">
        <v>121</v>
      </c>
      <c r="R376" s="31" t="s">
        <v>85</v>
      </c>
      <c r="S376" s="31" t="s">
        <v>89</v>
      </c>
      <c r="T376" s="31" t="s">
        <v>80</v>
      </c>
      <c r="U376" s="31" t="s">
        <v>107</v>
      </c>
      <c r="V376" s="31" t="s">
        <v>116</v>
      </c>
      <c r="W376" s="31" t="s">
        <v>125</v>
      </c>
    </row>
    <row r="377" customFormat="false" ht="15" hidden="false" customHeight="false" outlineLevel="0" collapsed="false">
      <c r="A377" s="31" t="s">
        <v>1895</v>
      </c>
      <c r="B377" s="31" t="n">
        <f aca="false">+IF(A377=WORLDCUP!$BI$112,1,0)</f>
        <v>0</v>
      </c>
      <c r="C377" s="31" t="str">
        <f aca="false">+WORLDCUP!BD66</f>
        <v>Irak</v>
      </c>
      <c r="D377" s="31" t="str">
        <f aca="false">+WORLDCUP!BD67</f>
        <v>Austria</v>
      </c>
      <c r="E377" s="31" t="str">
        <f aca="false">+WORLDCUP!BD59</f>
        <v>Catar</v>
      </c>
      <c r="F377" s="31" t="str">
        <f aca="false">+WORLDCUP!BD60</f>
        <v>Marruecos</v>
      </c>
      <c r="G377" s="31" t="str">
        <f aca="false">+WORLDCUP!BD58</f>
        <v>República Checa</v>
      </c>
      <c r="H377" s="31" t="str">
        <f aca="false">+WORLDCUP!BD63</f>
        <v>Japón</v>
      </c>
      <c r="I377" s="31" t="str">
        <f aca="false">+WORLDCUP!BD69</f>
        <v>Ghana</v>
      </c>
      <c r="J377" s="31" t="str">
        <f aca="false">+WORLDCUP!BD68</f>
        <v>Uzbekistán</v>
      </c>
      <c r="N377" s="31" t="s">
        <v>1895</v>
      </c>
      <c r="O377" s="31" t="n">
        <v>376</v>
      </c>
      <c r="P377" s="31" t="s">
        <v>116</v>
      </c>
      <c r="Q377" s="31" t="s">
        <v>121</v>
      </c>
      <c r="R377" s="31" t="s">
        <v>85</v>
      </c>
      <c r="S377" s="31" t="s">
        <v>89</v>
      </c>
      <c r="T377" s="31" t="s">
        <v>80</v>
      </c>
      <c r="U377" s="31" t="s">
        <v>103</v>
      </c>
      <c r="V377" s="31" t="s">
        <v>130</v>
      </c>
      <c r="W377" s="31" t="s">
        <v>125</v>
      </c>
    </row>
    <row r="378" customFormat="false" ht="15" hidden="false" customHeight="false" outlineLevel="0" collapsed="false">
      <c r="A378" s="31" t="s">
        <v>1896</v>
      </c>
      <c r="B378" s="31" t="n">
        <f aca="false">+IF(A378=WORLDCUP!$BI$112,1,0)</f>
        <v>0</v>
      </c>
      <c r="C378" s="31" t="str">
        <f aca="false">+WORLDCUP!BD65</f>
        <v>España</v>
      </c>
      <c r="D378" s="31" t="str">
        <f aca="false">+WORLDCUP!BD67</f>
        <v>Austria</v>
      </c>
      <c r="E378" s="31" t="str">
        <f aca="false">+WORLDCUP!BD59</f>
        <v>Catar</v>
      </c>
      <c r="F378" s="31" t="str">
        <f aca="false">+WORLDCUP!BD60</f>
        <v>Marruecos</v>
      </c>
      <c r="G378" s="31" t="str">
        <f aca="false">+WORLDCUP!BD58</f>
        <v>República Checa</v>
      </c>
      <c r="H378" s="31" t="str">
        <f aca="false">+WORLDCUP!BD63</f>
        <v>Japón</v>
      </c>
      <c r="I378" s="31" t="str">
        <f aca="false">+WORLDCUP!BD69</f>
        <v>Ghana</v>
      </c>
      <c r="J378" s="31" t="str">
        <f aca="false">+WORLDCUP!BD68</f>
        <v>Uzbekistán</v>
      </c>
      <c r="N378" s="31" t="s">
        <v>1896</v>
      </c>
      <c r="O378" s="31" t="n">
        <v>377</v>
      </c>
      <c r="P378" s="31" t="s">
        <v>112</v>
      </c>
      <c r="Q378" s="31" t="s">
        <v>121</v>
      </c>
      <c r="R378" s="31" t="s">
        <v>85</v>
      </c>
      <c r="S378" s="31" t="s">
        <v>89</v>
      </c>
      <c r="T378" s="31" t="s">
        <v>80</v>
      </c>
      <c r="U378" s="31" t="s">
        <v>103</v>
      </c>
      <c r="V378" s="31" t="s">
        <v>130</v>
      </c>
      <c r="W378" s="31" t="s">
        <v>125</v>
      </c>
    </row>
    <row r="379" customFormat="false" ht="15" hidden="false" customHeight="false" outlineLevel="0" collapsed="false">
      <c r="A379" s="31" t="s">
        <v>1897</v>
      </c>
      <c r="B379" s="31" t="n">
        <f aca="false">+IF(A379=WORLDCUP!$BI$112,1,0)</f>
        <v>0</v>
      </c>
      <c r="C379" s="31" t="str">
        <f aca="false">+WORLDCUP!BD65</f>
        <v>España</v>
      </c>
      <c r="D379" s="31" t="str">
        <f aca="false">+WORLDCUP!BD66</f>
        <v>Irak</v>
      </c>
      <c r="E379" s="31" t="str">
        <f aca="false">+WORLDCUP!BD59</f>
        <v>Catar</v>
      </c>
      <c r="F379" s="31" t="str">
        <f aca="false">+WORLDCUP!BD60</f>
        <v>Marruecos</v>
      </c>
      <c r="G379" s="31" t="str">
        <f aca="false">+WORLDCUP!BD58</f>
        <v>República Checa</v>
      </c>
      <c r="H379" s="31" t="str">
        <f aca="false">+WORLDCUP!BD63</f>
        <v>Japón</v>
      </c>
      <c r="I379" s="31" t="str">
        <f aca="false">+WORLDCUP!BD69</f>
        <v>Ghana</v>
      </c>
      <c r="J379" s="31" t="str">
        <f aca="false">+WORLDCUP!BD68</f>
        <v>Uzbekistán</v>
      </c>
      <c r="N379" s="31" t="s">
        <v>1897</v>
      </c>
      <c r="O379" s="31" t="n">
        <v>378</v>
      </c>
      <c r="P379" s="31" t="s">
        <v>112</v>
      </c>
      <c r="Q379" s="31" t="s">
        <v>116</v>
      </c>
      <c r="R379" s="31" t="s">
        <v>85</v>
      </c>
      <c r="S379" s="31" t="s">
        <v>89</v>
      </c>
      <c r="T379" s="31" t="s">
        <v>80</v>
      </c>
      <c r="U379" s="31" t="s">
        <v>103</v>
      </c>
      <c r="V379" s="31" t="s">
        <v>130</v>
      </c>
      <c r="W379" s="31" t="s">
        <v>125</v>
      </c>
    </row>
    <row r="380" customFormat="false" ht="15" hidden="false" customHeight="false" outlineLevel="0" collapsed="false">
      <c r="A380" s="31" t="s">
        <v>1898</v>
      </c>
      <c r="B380" s="31" t="n">
        <f aca="false">+IF(A380=WORLDCUP!$BI$112,1,0)</f>
        <v>0</v>
      </c>
      <c r="C380" s="31" t="str">
        <f aca="false">+WORLDCUP!BD65</f>
        <v>España</v>
      </c>
      <c r="D380" s="31" t="str">
        <f aca="false">+WORLDCUP!BD67</f>
        <v>Austria</v>
      </c>
      <c r="E380" s="31" t="str">
        <f aca="false">+WORLDCUP!BD59</f>
        <v>Catar</v>
      </c>
      <c r="F380" s="31" t="str">
        <f aca="false">+WORLDCUP!BD60</f>
        <v>Marruecos</v>
      </c>
      <c r="G380" s="31" t="str">
        <f aca="false">+WORLDCUP!BD58</f>
        <v>República Checa</v>
      </c>
      <c r="H380" s="31" t="str">
        <f aca="false">+WORLDCUP!BD63</f>
        <v>Japón</v>
      </c>
      <c r="I380" s="31" t="str">
        <f aca="false">+WORLDCUP!BD69</f>
        <v>Ghana</v>
      </c>
      <c r="J380" s="31" t="str">
        <f aca="false">+WORLDCUP!BD66</f>
        <v>Irak</v>
      </c>
      <c r="N380" s="31" t="s">
        <v>1898</v>
      </c>
      <c r="O380" s="31" t="n">
        <v>379</v>
      </c>
      <c r="P380" s="31" t="s">
        <v>112</v>
      </c>
      <c r="Q380" s="31" t="s">
        <v>121</v>
      </c>
      <c r="R380" s="31" t="s">
        <v>85</v>
      </c>
      <c r="S380" s="31" t="s">
        <v>89</v>
      </c>
      <c r="T380" s="31" t="s">
        <v>80</v>
      </c>
      <c r="U380" s="31" t="s">
        <v>103</v>
      </c>
      <c r="V380" s="31" t="s">
        <v>130</v>
      </c>
      <c r="W380" s="31" t="s">
        <v>116</v>
      </c>
    </row>
    <row r="381" customFormat="false" ht="15" hidden="false" customHeight="false" outlineLevel="0" collapsed="false">
      <c r="A381" s="31" t="s">
        <v>1899</v>
      </c>
      <c r="B381" s="31" t="n">
        <f aca="false">+IF(A381=WORLDCUP!$BI$112,1,0)</f>
        <v>0</v>
      </c>
      <c r="C381" s="31" t="str">
        <f aca="false">+WORLDCUP!BD65</f>
        <v>España</v>
      </c>
      <c r="D381" s="31" t="str">
        <f aca="false">+WORLDCUP!BD67</f>
        <v>Austria</v>
      </c>
      <c r="E381" s="31" t="str">
        <f aca="false">+WORLDCUP!BD59</f>
        <v>Catar</v>
      </c>
      <c r="F381" s="31" t="str">
        <f aca="false">+WORLDCUP!BD60</f>
        <v>Marruecos</v>
      </c>
      <c r="G381" s="31" t="str">
        <f aca="false">+WORLDCUP!BD58</f>
        <v>República Checa</v>
      </c>
      <c r="H381" s="31" t="str">
        <f aca="false">+WORLDCUP!BD63</f>
        <v>Japón</v>
      </c>
      <c r="I381" s="31" t="str">
        <f aca="false">+WORLDCUP!BD66</f>
        <v>Irak</v>
      </c>
      <c r="J381" s="31" t="str">
        <f aca="false">+WORLDCUP!BD68</f>
        <v>Uzbekistán</v>
      </c>
      <c r="N381" s="31" t="s">
        <v>1899</v>
      </c>
      <c r="O381" s="31" t="n">
        <v>380</v>
      </c>
      <c r="P381" s="31" t="s">
        <v>112</v>
      </c>
      <c r="Q381" s="31" t="s">
        <v>121</v>
      </c>
      <c r="R381" s="31" t="s">
        <v>85</v>
      </c>
      <c r="S381" s="31" t="s">
        <v>89</v>
      </c>
      <c r="T381" s="31" t="s">
        <v>80</v>
      </c>
      <c r="U381" s="31" t="s">
        <v>103</v>
      </c>
      <c r="V381" s="31" t="s">
        <v>116</v>
      </c>
      <c r="W381" s="31" t="s">
        <v>125</v>
      </c>
    </row>
    <row r="382" customFormat="false" ht="15" hidden="false" customHeight="false" outlineLevel="0" collapsed="false">
      <c r="A382" s="31" t="s">
        <v>1900</v>
      </c>
      <c r="B382" s="31" t="n">
        <f aca="false">+IF(A382=WORLDCUP!$BI$112,1,0)</f>
        <v>0</v>
      </c>
      <c r="C382" s="31" t="str">
        <f aca="false">+WORLDCUP!BD60</f>
        <v>Marruecos</v>
      </c>
      <c r="D382" s="31" t="str">
        <f aca="false">+WORLDCUP!BD67</f>
        <v>Austria</v>
      </c>
      <c r="E382" s="31" t="str">
        <f aca="false">+WORLDCUP!BD59</f>
        <v>Catar</v>
      </c>
      <c r="F382" s="31" t="str">
        <f aca="false">+WORLDCUP!BD63</f>
        <v>Japón</v>
      </c>
      <c r="G382" s="31" t="str">
        <f aca="false">+WORLDCUP!BD58</f>
        <v>República Checa</v>
      </c>
      <c r="H382" s="31" t="str">
        <f aca="false">+WORLDCUP!BD64</f>
        <v>Bélgica</v>
      </c>
      <c r="I382" s="31" t="str">
        <f aca="false">+WORLDCUP!BD69</f>
        <v>Ghana</v>
      </c>
      <c r="J382" s="31" t="str">
        <f aca="false">+WORLDCUP!BD68</f>
        <v>Uzbekistán</v>
      </c>
      <c r="N382" s="31" t="s">
        <v>1900</v>
      </c>
      <c r="O382" s="31" t="n">
        <v>381</v>
      </c>
      <c r="P382" s="31" t="s">
        <v>89</v>
      </c>
      <c r="Q382" s="31" t="s">
        <v>121</v>
      </c>
      <c r="R382" s="31" t="s">
        <v>85</v>
      </c>
      <c r="S382" s="31" t="s">
        <v>103</v>
      </c>
      <c r="T382" s="31" t="s">
        <v>80</v>
      </c>
      <c r="U382" s="31" t="s">
        <v>107</v>
      </c>
      <c r="V382" s="31" t="s">
        <v>130</v>
      </c>
      <c r="W382" s="31" t="s">
        <v>125</v>
      </c>
    </row>
    <row r="383" customFormat="false" ht="15" hidden="false" customHeight="false" outlineLevel="0" collapsed="false">
      <c r="A383" s="31" t="s">
        <v>1901</v>
      </c>
      <c r="B383" s="31" t="n">
        <f aca="false">+IF(A383=WORLDCUP!$BI$112,1,0)</f>
        <v>0</v>
      </c>
      <c r="C383" s="31" t="str">
        <f aca="false">+WORLDCUP!BD66</f>
        <v>Irak</v>
      </c>
      <c r="D383" s="31" t="str">
        <f aca="false">+WORLDCUP!BD64</f>
        <v>Bélgica</v>
      </c>
      <c r="E383" s="31" t="str">
        <f aca="false">+WORLDCUP!BD59</f>
        <v>Catar</v>
      </c>
      <c r="F383" s="31" t="str">
        <f aca="false">+WORLDCUP!BD60</f>
        <v>Marruecos</v>
      </c>
      <c r="G383" s="31" t="str">
        <f aca="false">+WORLDCUP!BD58</f>
        <v>República Checa</v>
      </c>
      <c r="H383" s="31" t="str">
        <f aca="false">+WORLDCUP!BD63</f>
        <v>Japón</v>
      </c>
      <c r="I383" s="31" t="str">
        <f aca="false">+WORLDCUP!BD69</f>
        <v>Ghana</v>
      </c>
      <c r="J383" s="31" t="str">
        <f aca="false">+WORLDCUP!BD68</f>
        <v>Uzbekistán</v>
      </c>
      <c r="N383" s="31" t="s">
        <v>1901</v>
      </c>
      <c r="O383" s="31" t="n">
        <v>382</v>
      </c>
      <c r="P383" s="31" t="s">
        <v>116</v>
      </c>
      <c r="Q383" s="31" t="s">
        <v>107</v>
      </c>
      <c r="R383" s="31" t="s">
        <v>85</v>
      </c>
      <c r="S383" s="31" t="s">
        <v>89</v>
      </c>
      <c r="T383" s="31" t="s">
        <v>80</v>
      </c>
      <c r="U383" s="31" t="s">
        <v>103</v>
      </c>
      <c r="V383" s="31" t="s">
        <v>130</v>
      </c>
      <c r="W383" s="31" t="s">
        <v>125</v>
      </c>
    </row>
    <row r="384" customFormat="false" ht="15" hidden="false" customHeight="false" outlineLevel="0" collapsed="false">
      <c r="A384" s="31" t="s">
        <v>1902</v>
      </c>
      <c r="B384" s="31" t="n">
        <f aca="false">+IF(A384=WORLDCUP!$BI$112,1,0)</f>
        <v>0</v>
      </c>
      <c r="C384" s="31" t="str">
        <f aca="false">+WORLDCUP!BD60</f>
        <v>Marruecos</v>
      </c>
      <c r="D384" s="31" t="str">
        <f aca="false">+WORLDCUP!BD67</f>
        <v>Austria</v>
      </c>
      <c r="E384" s="31" t="str">
        <f aca="false">+WORLDCUP!BD59</f>
        <v>Catar</v>
      </c>
      <c r="F384" s="31" t="str">
        <f aca="false">+WORLDCUP!BD63</f>
        <v>Japón</v>
      </c>
      <c r="G384" s="31" t="str">
        <f aca="false">+WORLDCUP!BD58</f>
        <v>República Checa</v>
      </c>
      <c r="H384" s="31" t="str">
        <f aca="false">+WORLDCUP!BD64</f>
        <v>Bélgica</v>
      </c>
      <c r="I384" s="31" t="str">
        <f aca="false">+WORLDCUP!BD69</f>
        <v>Ghana</v>
      </c>
      <c r="J384" s="31" t="str">
        <f aca="false">+WORLDCUP!BD66</f>
        <v>Irak</v>
      </c>
      <c r="N384" s="31" t="s">
        <v>1902</v>
      </c>
      <c r="O384" s="31" t="n">
        <v>383</v>
      </c>
      <c r="P384" s="31" t="s">
        <v>89</v>
      </c>
      <c r="Q384" s="31" t="s">
        <v>121</v>
      </c>
      <c r="R384" s="31" t="s">
        <v>85</v>
      </c>
      <c r="S384" s="31" t="s">
        <v>103</v>
      </c>
      <c r="T384" s="31" t="s">
        <v>80</v>
      </c>
      <c r="U384" s="31" t="s">
        <v>107</v>
      </c>
      <c r="V384" s="31" t="s">
        <v>130</v>
      </c>
      <c r="W384" s="31" t="s">
        <v>116</v>
      </c>
    </row>
    <row r="385" customFormat="false" ht="15" hidden="false" customHeight="false" outlineLevel="0" collapsed="false">
      <c r="A385" s="31" t="s">
        <v>1903</v>
      </c>
      <c r="B385" s="31" t="n">
        <f aca="false">+IF(A385=WORLDCUP!$BI$112,1,0)</f>
        <v>0</v>
      </c>
      <c r="C385" s="31" t="str">
        <f aca="false">+WORLDCUP!BD60</f>
        <v>Marruecos</v>
      </c>
      <c r="D385" s="31" t="str">
        <f aca="false">+WORLDCUP!BD67</f>
        <v>Austria</v>
      </c>
      <c r="E385" s="31" t="str">
        <f aca="false">+WORLDCUP!BD59</f>
        <v>Catar</v>
      </c>
      <c r="F385" s="31" t="str">
        <f aca="false">+WORLDCUP!BD63</f>
        <v>Japón</v>
      </c>
      <c r="G385" s="31" t="str">
        <f aca="false">+WORLDCUP!BD58</f>
        <v>República Checa</v>
      </c>
      <c r="H385" s="31" t="str">
        <f aca="false">+WORLDCUP!BD64</f>
        <v>Bélgica</v>
      </c>
      <c r="I385" s="31" t="str">
        <f aca="false">+WORLDCUP!BD66</f>
        <v>Irak</v>
      </c>
      <c r="J385" s="31" t="str">
        <f aca="false">+WORLDCUP!BD68</f>
        <v>Uzbekistán</v>
      </c>
      <c r="N385" s="31" t="s">
        <v>1903</v>
      </c>
      <c r="O385" s="31" t="n">
        <v>384</v>
      </c>
      <c r="P385" s="31" t="s">
        <v>89</v>
      </c>
      <c r="Q385" s="31" t="s">
        <v>121</v>
      </c>
      <c r="R385" s="31" t="s">
        <v>85</v>
      </c>
      <c r="S385" s="31" t="s">
        <v>103</v>
      </c>
      <c r="T385" s="31" t="s">
        <v>80</v>
      </c>
      <c r="U385" s="31" t="s">
        <v>107</v>
      </c>
      <c r="V385" s="31" t="s">
        <v>116</v>
      </c>
      <c r="W385" s="31" t="s">
        <v>125</v>
      </c>
    </row>
    <row r="386" customFormat="false" ht="15" hidden="false" customHeight="false" outlineLevel="0" collapsed="false">
      <c r="A386" s="31" t="s">
        <v>1904</v>
      </c>
      <c r="B386" s="31" t="n">
        <f aca="false">+IF(A386=WORLDCUP!$BI$112,1,0)</f>
        <v>0</v>
      </c>
      <c r="C386" s="31" t="str">
        <f aca="false">+WORLDCUP!BD65</f>
        <v>España</v>
      </c>
      <c r="D386" s="31" t="str">
        <f aca="false">+WORLDCUP!BD64</f>
        <v>Bélgica</v>
      </c>
      <c r="E386" s="31" t="str">
        <f aca="false">+WORLDCUP!BD59</f>
        <v>Catar</v>
      </c>
      <c r="F386" s="31" t="str">
        <f aca="false">+WORLDCUP!BD60</f>
        <v>Marruecos</v>
      </c>
      <c r="G386" s="31" t="str">
        <f aca="false">+WORLDCUP!BD58</f>
        <v>República Checa</v>
      </c>
      <c r="H386" s="31" t="str">
        <f aca="false">+WORLDCUP!BD63</f>
        <v>Japón</v>
      </c>
      <c r="I386" s="31" t="str">
        <f aca="false">+WORLDCUP!BD69</f>
        <v>Ghana</v>
      </c>
      <c r="J386" s="31" t="str">
        <f aca="false">+WORLDCUP!BD68</f>
        <v>Uzbekistán</v>
      </c>
      <c r="N386" s="31" t="s">
        <v>1904</v>
      </c>
      <c r="O386" s="31" t="n">
        <v>385</v>
      </c>
      <c r="P386" s="31" t="s">
        <v>112</v>
      </c>
      <c r="Q386" s="31" t="s">
        <v>107</v>
      </c>
      <c r="R386" s="31" t="s">
        <v>85</v>
      </c>
      <c r="S386" s="31" t="s">
        <v>89</v>
      </c>
      <c r="T386" s="31" t="s">
        <v>80</v>
      </c>
      <c r="U386" s="31" t="s">
        <v>103</v>
      </c>
      <c r="V386" s="31" t="s">
        <v>130</v>
      </c>
      <c r="W386" s="31" t="s">
        <v>125</v>
      </c>
    </row>
    <row r="387" customFormat="false" ht="15" hidden="false" customHeight="false" outlineLevel="0" collapsed="false">
      <c r="A387" s="31" t="s">
        <v>1905</v>
      </c>
      <c r="B387" s="31" t="n">
        <f aca="false">+IF(A387=WORLDCUP!$BI$112,1,0)</f>
        <v>0</v>
      </c>
      <c r="C387" s="31" t="str">
        <f aca="false">+WORLDCUP!BD65</f>
        <v>España</v>
      </c>
      <c r="D387" s="31" t="str">
        <f aca="false">+WORLDCUP!BD64</f>
        <v>Bélgica</v>
      </c>
      <c r="E387" s="31" t="str">
        <f aca="false">+WORLDCUP!BD59</f>
        <v>Catar</v>
      </c>
      <c r="F387" s="31" t="str">
        <f aca="false">+WORLDCUP!BD60</f>
        <v>Marruecos</v>
      </c>
      <c r="G387" s="31" t="str">
        <f aca="false">+WORLDCUP!BD58</f>
        <v>República Checa</v>
      </c>
      <c r="H387" s="31" t="str">
        <f aca="false">+WORLDCUP!BD63</f>
        <v>Japón</v>
      </c>
      <c r="I387" s="31" t="str">
        <f aca="false">+WORLDCUP!BD69</f>
        <v>Ghana</v>
      </c>
      <c r="J387" s="31" t="str">
        <f aca="false">+WORLDCUP!BD67</f>
        <v>Austria</v>
      </c>
      <c r="N387" s="31" t="s">
        <v>1905</v>
      </c>
      <c r="O387" s="31" t="n">
        <v>386</v>
      </c>
      <c r="P387" s="31" t="s">
        <v>112</v>
      </c>
      <c r="Q387" s="31" t="s">
        <v>107</v>
      </c>
      <c r="R387" s="31" t="s">
        <v>85</v>
      </c>
      <c r="S387" s="31" t="s">
        <v>89</v>
      </c>
      <c r="T387" s="31" t="s">
        <v>80</v>
      </c>
      <c r="U387" s="31" t="s">
        <v>103</v>
      </c>
      <c r="V387" s="31" t="s">
        <v>130</v>
      </c>
      <c r="W387" s="31" t="s">
        <v>121</v>
      </c>
    </row>
    <row r="388" customFormat="false" ht="15" hidden="false" customHeight="false" outlineLevel="0" collapsed="false">
      <c r="A388" s="31" t="s">
        <v>1906</v>
      </c>
      <c r="B388" s="31" t="n">
        <f aca="false">+IF(A388=WORLDCUP!$BI$112,1,0)</f>
        <v>0</v>
      </c>
      <c r="C388" s="31" t="str">
        <f aca="false">+WORLDCUP!BD65</f>
        <v>España</v>
      </c>
      <c r="D388" s="31" t="str">
        <f aca="false">+WORLDCUP!BD64</f>
        <v>Bélgica</v>
      </c>
      <c r="E388" s="31" t="str">
        <f aca="false">+WORLDCUP!BD59</f>
        <v>Catar</v>
      </c>
      <c r="F388" s="31" t="str">
        <f aca="false">+WORLDCUP!BD60</f>
        <v>Marruecos</v>
      </c>
      <c r="G388" s="31" t="str">
        <f aca="false">+WORLDCUP!BD58</f>
        <v>República Checa</v>
      </c>
      <c r="H388" s="31" t="str">
        <f aca="false">+WORLDCUP!BD63</f>
        <v>Japón</v>
      </c>
      <c r="I388" s="31" t="str">
        <f aca="false">+WORLDCUP!BD67</f>
        <v>Austria</v>
      </c>
      <c r="J388" s="31" t="str">
        <f aca="false">+WORLDCUP!BD68</f>
        <v>Uzbekistán</v>
      </c>
      <c r="N388" s="31" t="s">
        <v>1906</v>
      </c>
      <c r="O388" s="31" t="n">
        <v>387</v>
      </c>
      <c r="P388" s="31" t="s">
        <v>112</v>
      </c>
      <c r="Q388" s="31" t="s">
        <v>107</v>
      </c>
      <c r="R388" s="31" t="s">
        <v>85</v>
      </c>
      <c r="S388" s="31" t="s">
        <v>89</v>
      </c>
      <c r="T388" s="31" t="s">
        <v>80</v>
      </c>
      <c r="U388" s="31" t="s">
        <v>103</v>
      </c>
      <c r="V388" s="31" t="s">
        <v>121</v>
      </c>
      <c r="W388" s="31" t="s">
        <v>125</v>
      </c>
    </row>
    <row r="389" customFormat="false" ht="15" hidden="false" customHeight="false" outlineLevel="0" collapsed="false">
      <c r="A389" s="31" t="s">
        <v>1907</v>
      </c>
      <c r="B389" s="31" t="n">
        <f aca="false">+IF(A389=WORLDCUP!$BI$112,1,0)</f>
        <v>0</v>
      </c>
      <c r="C389" s="31" t="str">
        <f aca="false">+WORLDCUP!BD65</f>
        <v>España</v>
      </c>
      <c r="D389" s="31" t="str">
        <f aca="false">+WORLDCUP!BD64</f>
        <v>Bélgica</v>
      </c>
      <c r="E389" s="31" t="str">
        <f aca="false">+WORLDCUP!BD59</f>
        <v>Catar</v>
      </c>
      <c r="F389" s="31" t="str">
        <f aca="false">+WORLDCUP!BD60</f>
        <v>Marruecos</v>
      </c>
      <c r="G389" s="31" t="str">
        <f aca="false">+WORLDCUP!BD58</f>
        <v>República Checa</v>
      </c>
      <c r="H389" s="31" t="str">
        <f aca="false">+WORLDCUP!BD63</f>
        <v>Japón</v>
      </c>
      <c r="I389" s="31" t="str">
        <f aca="false">+WORLDCUP!BD69</f>
        <v>Ghana</v>
      </c>
      <c r="J389" s="31" t="str">
        <f aca="false">+WORLDCUP!BD66</f>
        <v>Irak</v>
      </c>
      <c r="N389" s="31" t="s">
        <v>1907</v>
      </c>
      <c r="O389" s="31" t="n">
        <v>388</v>
      </c>
      <c r="P389" s="31" t="s">
        <v>112</v>
      </c>
      <c r="Q389" s="31" t="s">
        <v>107</v>
      </c>
      <c r="R389" s="31" t="s">
        <v>85</v>
      </c>
      <c r="S389" s="31" t="s">
        <v>89</v>
      </c>
      <c r="T389" s="31" t="s">
        <v>80</v>
      </c>
      <c r="U389" s="31" t="s">
        <v>103</v>
      </c>
      <c r="V389" s="31" t="s">
        <v>130</v>
      </c>
      <c r="W389" s="31" t="s">
        <v>116</v>
      </c>
    </row>
    <row r="390" customFormat="false" ht="15" hidden="false" customHeight="false" outlineLevel="0" collapsed="false">
      <c r="A390" s="31" t="s">
        <v>1908</v>
      </c>
      <c r="B390" s="31" t="n">
        <f aca="false">+IF(A390=WORLDCUP!$BI$112,1,0)</f>
        <v>0</v>
      </c>
      <c r="C390" s="31" t="str">
        <f aca="false">+WORLDCUP!BD65</f>
        <v>España</v>
      </c>
      <c r="D390" s="31" t="str">
        <f aca="false">+WORLDCUP!BD64</f>
        <v>Bélgica</v>
      </c>
      <c r="E390" s="31" t="str">
        <f aca="false">+WORLDCUP!BD59</f>
        <v>Catar</v>
      </c>
      <c r="F390" s="31" t="str">
        <f aca="false">+WORLDCUP!BD60</f>
        <v>Marruecos</v>
      </c>
      <c r="G390" s="31" t="str">
        <f aca="false">+WORLDCUP!BD58</f>
        <v>República Checa</v>
      </c>
      <c r="H390" s="31" t="str">
        <f aca="false">+WORLDCUP!BD63</f>
        <v>Japón</v>
      </c>
      <c r="I390" s="31" t="str">
        <f aca="false">+WORLDCUP!BD66</f>
        <v>Irak</v>
      </c>
      <c r="J390" s="31" t="str">
        <f aca="false">+WORLDCUP!BD68</f>
        <v>Uzbekistán</v>
      </c>
      <c r="N390" s="31" t="s">
        <v>1908</v>
      </c>
      <c r="O390" s="31" t="n">
        <v>389</v>
      </c>
      <c r="P390" s="31" t="s">
        <v>112</v>
      </c>
      <c r="Q390" s="31" t="s">
        <v>107</v>
      </c>
      <c r="R390" s="31" t="s">
        <v>85</v>
      </c>
      <c r="S390" s="31" t="s">
        <v>89</v>
      </c>
      <c r="T390" s="31" t="s">
        <v>80</v>
      </c>
      <c r="U390" s="31" t="s">
        <v>103</v>
      </c>
      <c r="V390" s="31" t="s">
        <v>116</v>
      </c>
      <c r="W390" s="31" t="s">
        <v>125</v>
      </c>
    </row>
    <row r="391" customFormat="false" ht="15" hidden="false" customHeight="false" outlineLevel="0" collapsed="false">
      <c r="A391" s="31" t="s">
        <v>1909</v>
      </c>
      <c r="B391" s="31" t="n">
        <f aca="false">+IF(A391=WORLDCUP!$BI$112,1,0)</f>
        <v>0</v>
      </c>
      <c r="C391" s="31" t="str">
        <f aca="false">+WORLDCUP!BD65</f>
        <v>España</v>
      </c>
      <c r="D391" s="31" t="str">
        <f aca="false">+WORLDCUP!BD64</f>
        <v>Bélgica</v>
      </c>
      <c r="E391" s="31" t="str">
        <f aca="false">+WORLDCUP!BD59</f>
        <v>Catar</v>
      </c>
      <c r="F391" s="31" t="str">
        <f aca="false">+WORLDCUP!BD60</f>
        <v>Marruecos</v>
      </c>
      <c r="G391" s="31" t="str">
        <f aca="false">+WORLDCUP!BD58</f>
        <v>República Checa</v>
      </c>
      <c r="H391" s="31" t="str">
        <f aca="false">+WORLDCUP!BD63</f>
        <v>Japón</v>
      </c>
      <c r="I391" s="31" t="str">
        <f aca="false">+WORLDCUP!BD66</f>
        <v>Irak</v>
      </c>
      <c r="J391" s="31" t="str">
        <f aca="false">+WORLDCUP!BD67</f>
        <v>Austria</v>
      </c>
      <c r="N391" s="31" t="s">
        <v>1909</v>
      </c>
      <c r="O391" s="31" t="n">
        <v>390</v>
      </c>
      <c r="P391" s="31" t="s">
        <v>112</v>
      </c>
      <c r="Q391" s="31" t="s">
        <v>107</v>
      </c>
      <c r="R391" s="31" t="s">
        <v>85</v>
      </c>
      <c r="S391" s="31" t="s">
        <v>89</v>
      </c>
      <c r="T391" s="31" t="s">
        <v>80</v>
      </c>
      <c r="U391" s="31" t="s">
        <v>103</v>
      </c>
      <c r="V391" s="31" t="s">
        <v>116</v>
      </c>
      <c r="W391" s="31" t="s">
        <v>121</v>
      </c>
    </row>
    <row r="392" customFormat="false" ht="15" hidden="false" customHeight="false" outlineLevel="0" collapsed="false">
      <c r="A392" s="31" t="s">
        <v>1910</v>
      </c>
      <c r="B392" s="31" t="n">
        <f aca="false">+IF(A392=WORLDCUP!$BI$112,1,0)</f>
        <v>0</v>
      </c>
      <c r="C392" s="31" t="str">
        <f aca="false">+WORLDCUP!BD62</f>
        <v>Ecuador</v>
      </c>
      <c r="D392" s="31" t="str">
        <f aca="false">+WORLDCUP!BD67</f>
        <v>Austria</v>
      </c>
      <c r="E392" s="31" t="str">
        <f aca="false">+WORLDCUP!BD59</f>
        <v>Catar</v>
      </c>
      <c r="F392" s="31" t="str">
        <f aca="false">+WORLDCUP!BD58</f>
        <v>República Checa</v>
      </c>
      <c r="G392" s="31" t="str">
        <f aca="false">+WORLDCUP!BD66</f>
        <v>Irak</v>
      </c>
      <c r="H392" s="31" t="str">
        <f aca="false">+WORLDCUP!BD60</f>
        <v>Marruecos</v>
      </c>
      <c r="I392" s="31" t="str">
        <f aca="false">+WORLDCUP!BD69</f>
        <v>Ghana</v>
      </c>
      <c r="J392" s="31" t="str">
        <f aca="false">+WORLDCUP!BD68</f>
        <v>Uzbekistán</v>
      </c>
      <c r="N392" s="31" t="s">
        <v>1910</v>
      </c>
      <c r="O392" s="31" t="n">
        <v>391</v>
      </c>
      <c r="P392" s="31" t="s">
        <v>98</v>
      </c>
      <c r="Q392" s="31" t="s">
        <v>121</v>
      </c>
      <c r="R392" s="31" t="s">
        <v>85</v>
      </c>
      <c r="S392" s="31" t="s">
        <v>80</v>
      </c>
      <c r="T392" s="31" t="s">
        <v>116</v>
      </c>
      <c r="U392" s="31" t="s">
        <v>89</v>
      </c>
      <c r="V392" s="31" t="s">
        <v>130</v>
      </c>
      <c r="W392" s="31" t="s">
        <v>125</v>
      </c>
    </row>
    <row r="393" customFormat="false" ht="15" hidden="false" customHeight="false" outlineLevel="0" collapsed="false">
      <c r="A393" s="31" t="s">
        <v>1911</v>
      </c>
      <c r="B393" s="31" t="n">
        <f aca="false">+IF(A393=WORLDCUP!$BI$112,1,0)</f>
        <v>0</v>
      </c>
      <c r="C393" s="31" t="str">
        <f aca="false">+WORLDCUP!BD62</f>
        <v>Ecuador</v>
      </c>
      <c r="D393" s="31" t="str">
        <f aca="false">+WORLDCUP!BD67</f>
        <v>Austria</v>
      </c>
      <c r="E393" s="31" t="str">
        <f aca="false">+WORLDCUP!BD59</f>
        <v>Catar</v>
      </c>
      <c r="F393" s="31" t="str">
        <f aca="false">+WORLDCUP!BD60</f>
        <v>Marruecos</v>
      </c>
      <c r="G393" s="31" t="str">
        <f aca="false">+WORLDCUP!BD58</f>
        <v>República Checa</v>
      </c>
      <c r="H393" s="31" t="str">
        <f aca="false">+WORLDCUP!BD65</f>
        <v>España</v>
      </c>
      <c r="I393" s="31" t="str">
        <f aca="false">+WORLDCUP!BD69</f>
        <v>Ghana</v>
      </c>
      <c r="J393" s="31" t="str">
        <f aca="false">+WORLDCUP!BD68</f>
        <v>Uzbekistán</v>
      </c>
      <c r="N393" s="31" t="s">
        <v>1911</v>
      </c>
      <c r="O393" s="31" t="n">
        <v>392</v>
      </c>
      <c r="P393" s="31" t="s">
        <v>98</v>
      </c>
      <c r="Q393" s="31" t="s">
        <v>121</v>
      </c>
      <c r="R393" s="31" t="s">
        <v>85</v>
      </c>
      <c r="S393" s="31" t="s">
        <v>89</v>
      </c>
      <c r="T393" s="31" t="s">
        <v>80</v>
      </c>
      <c r="U393" s="31" t="s">
        <v>112</v>
      </c>
      <c r="V393" s="31" t="s">
        <v>130</v>
      </c>
      <c r="W393" s="31" t="s">
        <v>125</v>
      </c>
    </row>
    <row r="394" customFormat="false" ht="15" hidden="false" customHeight="false" outlineLevel="0" collapsed="false">
      <c r="A394" s="31" t="s">
        <v>1912</v>
      </c>
      <c r="B394" s="31" t="n">
        <f aca="false">+IF(A394=WORLDCUP!$BI$112,1,0)</f>
        <v>0</v>
      </c>
      <c r="C394" s="31" t="str">
        <f aca="false">+WORLDCUP!BD62</f>
        <v>Ecuador</v>
      </c>
      <c r="D394" s="31" t="str">
        <f aca="false">+WORLDCUP!BD66</f>
        <v>Irak</v>
      </c>
      <c r="E394" s="31" t="str">
        <f aca="false">+WORLDCUP!BD59</f>
        <v>Catar</v>
      </c>
      <c r="F394" s="31" t="str">
        <f aca="false">+WORLDCUP!BD60</f>
        <v>Marruecos</v>
      </c>
      <c r="G394" s="31" t="str">
        <f aca="false">+WORLDCUP!BD58</f>
        <v>República Checa</v>
      </c>
      <c r="H394" s="31" t="str">
        <f aca="false">+WORLDCUP!BD65</f>
        <v>España</v>
      </c>
      <c r="I394" s="31" t="str">
        <f aca="false">+WORLDCUP!BD69</f>
        <v>Ghana</v>
      </c>
      <c r="J394" s="31" t="str">
        <f aca="false">+WORLDCUP!BD68</f>
        <v>Uzbekistán</v>
      </c>
      <c r="N394" s="31" t="s">
        <v>1912</v>
      </c>
      <c r="O394" s="31" t="n">
        <v>393</v>
      </c>
      <c r="P394" s="31" t="s">
        <v>98</v>
      </c>
      <c r="Q394" s="31" t="s">
        <v>116</v>
      </c>
      <c r="R394" s="31" t="s">
        <v>85</v>
      </c>
      <c r="S394" s="31" t="s">
        <v>89</v>
      </c>
      <c r="T394" s="31" t="s">
        <v>80</v>
      </c>
      <c r="U394" s="31" t="s">
        <v>112</v>
      </c>
      <c r="V394" s="31" t="s">
        <v>130</v>
      </c>
      <c r="W394" s="31" t="s">
        <v>125</v>
      </c>
    </row>
    <row r="395" customFormat="false" ht="15" hidden="false" customHeight="false" outlineLevel="0" collapsed="false">
      <c r="A395" s="31" t="s">
        <v>1913</v>
      </c>
      <c r="B395" s="31" t="n">
        <f aca="false">+IF(A395=WORLDCUP!$BI$112,1,0)</f>
        <v>0</v>
      </c>
      <c r="C395" s="31" t="str">
        <f aca="false">+WORLDCUP!BD62</f>
        <v>Ecuador</v>
      </c>
      <c r="D395" s="31" t="str">
        <f aca="false">+WORLDCUP!BD67</f>
        <v>Austria</v>
      </c>
      <c r="E395" s="31" t="str">
        <f aca="false">+WORLDCUP!BD59</f>
        <v>Catar</v>
      </c>
      <c r="F395" s="31" t="str">
        <f aca="false">+WORLDCUP!BD60</f>
        <v>Marruecos</v>
      </c>
      <c r="G395" s="31" t="str">
        <f aca="false">+WORLDCUP!BD58</f>
        <v>República Checa</v>
      </c>
      <c r="H395" s="31" t="str">
        <f aca="false">+WORLDCUP!BD65</f>
        <v>España</v>
      </c>
      <c r="I395" s="31" t="str">
        <f aca="false">+WORLDCUP!BD69</f>
        <v>Ghana</v>
      </c>
      <c r="J395" s="31" t="str">
        <f aca="false">+WORLDCUP!BD66</f>
        <v>Irak</v>
      </c>
      <c r="N395" s="31" t="s">
        <v>1913</v>
      </c>
      <c r="O395" s="31" t="n">
        <v>394</v>
      </c>
      <c r="P395" s="31" t="s">
        <v>98</v>
      </c>
      <c r="Q395" s="31" t="s">
        <v>121</v>
      </c>
      <c r="R395" s="31" t="s">
        <v>85</v>
      </c>
      <c r="S395" s="31" t="s">
        <v>89</v>
      </c>
      <c r="T395" s="31" t="s">
        <v>80</v>
      </c>
      <c r="U395" s="31" t="s">
        <v>112</v>
      </c>
      <c r="V395" s="31" t="s">
        <v>130</v>
      </c>
      <c r="W395" s="31" t="s">
        <v>116</v>
      </c>
    </row>
    <row r="396" customFormat="false" ht="15" hidden="false" customHeight="false" outlineLevel="0" collapsed="false">
      <c r="A396" s="31" t="s">
        <v>1914</v>
      </c>
      <c r="B396" s="31" t="n">
        <f aca="false">+IF(A396=WORLDCUP!$BI$112,1,0)</f>
        <v>0</v>
      </c>
      <c r="C396" s="31" t="str">
        <f aca="false">+WORLDCUP!BD62</f>
        <v>Ecuador</v>
      </c>
      <c r="D396" s="31" t="str">
        <f aca="false">+WORLDCUP!BD67</f>
        <v>Austria</v>
      </c>
      <c r="E396" s="31" t="str">
        <f aca="false">+WORLDCUP!BD59</f>
        <v>Catar</v>
      </c>
      <c r="F396" s="31" t="str">
        <f aca="false">+WORLDCUP!BD60</f>
        <v>Marruecos</v>
      </c>
      <c r="G396" s="31" t="str">
        <f aca="false">+WORLDCUP!BD58</f>
        <v>República Checa</v>
      </c>
      <c r="H396" s="31" t="str">
        <f aca="false">+WORLDCUP!BD65</f>
        <v>España</v>
      </c>
      <c r="I396" s="31" t="str">
        <f aca="false">+WORLDCUP!BD66</f>
        <v>Irak</v>
      </c>
      <c r="J396" s="31" t="str">
        <f aca="false">+WORLDCUP!BD68</f>
        <v>Uzbekistán</v>
      </c>
      <c r="N396" s="31" t="s">
        <v>1914</v>
      </c>
      <c r="O396" s="31" t="n">
        <v>395</v>
      </c>
      <c r="P396" s="31" t="s">
        <v>98</v>
      </c>
      <c r="Q396" s="31" t="s">
        <v>121</v>
      </c>
      <c r="R396" s="31" t="s">
        <v>85</v>
      </c>
      <c r="S396" s="31" t="s">
        <v>89</v>
      </c>
      <c r="T396" s="31" t="s">
        <v>80</v>
      </c>
      <c r="U396" s="31" t="s">
        <v>112</v>
      </c>
      <c r="V396" s="31" t="s">
        <v>116</v>
      </c>
      <c r="W396" s="31" t="s">
        <v>125</v>
      </c>
    </row>
    <row r="397" customFormat="false" ht="15" hidden="false" customHeight="false" outlineLevel="0" collapsed="false">
      <c r="A397" s="31" t="s">
        <v>1915</v>
      </c>
      <c r="B397" s="31" t="n">
        <f aca="false">+IF(A397=WORLDCUP!$BI$112,1,0)</f>
        <v>0</v>
      </c>
      <c r="C397" s="31" t="str">
        <f aca="false">+WORLDCUP!BD62</f>
        <v>Ecuador</v>
      </c>
      <c r="D397" s="31" t="str">
        <f aca="false">+WORLDCUP!BD67</f>
        <v>Austria</v>
      </c>
      <c r="E397" s="31" t="str">
        <f aca="false">+WORLDCUP!BD59</f>
        <v>Catar</v>
      </c>
      <c r="F397" s="31" t="str">
        <f aca="false">+WORLDCUP!BD60</f>
        <v>Marruecos</v>
      </c>
      <c r="G397" s="31" t="str">
        <f aca="false">+WORLDCUP!BD58</f>
        <v>República Checa</v>
      </c>
      <c r="H397" s="31" t="str">
        <f aca="false">+WORLDCUP!BD64</f>
        <v>Bélgica</v>
      </c>
      <c r="I397" s="31" t="str">
        <f aca="false">+WORLDCUP!BD69</f>
        <v>Ghana</v>
      </c>
      <c r="J397" s="31" t="str">
        <f aca="false">+WORLDCUP!BD68</f>
        <v>Uzbekistán</v>
      </c>
      <c r="N397" s="31" t="s">
        <v>1915</v>
      </c>
      <c r="O397" s="31" t="n">
        <v>396</v>
      </c>
      <c r="P397" s="31" t="s">
        <v>98</v>
      </c>
      <c r="Q397" s="31" t="s">
        <v>121</v>
      </c>
      <c r="R397" s="31" t="s">
        <v>85</v>
      </c>
      <c r="S397" s="31" t="s">
        <v>89</v>
      </c>
      <c r="T397" s="31" t="s">
        <v>80</v>
      </c>
      <c r="U397" s="31" t="s">
        <v>107</v>
      </c>
      <c r="V397" s="31" t="s">
        <v>130</v>
      </c>
      <c r="W397" s="31" t="s">
        <v>125</v>
      </c>
    </row>
    <row r="398" customFormat="false" ht="15" hidden="false" customHeight="false" outlineLevel="0" collapsed="false">
      <c r="A398" s="31" t="s">
        <v>1916</v>
      </c>
      <c r="B398" s="31" t="n">
        <f aca="false">+IF(A398=WORLDCUP!$BI$112,1,0)</f>
        <v>0</v>
      </c>
      <c r="C398" s="31" t="str">
        <f aca="false">+WORLDCUP!BD62</f>
        <v>Ecuador</v>
      </c>
      <c r="D398" s="31" t="str">
        <f aca="false">+WORLDCUP!BD64</f>
        <v>Bélgica</v>
      </c>
      <c r="E398" s="31" t="str">
        <f aca="false">+WORLDCUP!BD59</f>
        <v>Catar</v>
      </c>
      <c r="F398" s="31" t="str">
        <f aca="false">+WORLDCUP!BD58</f>
        <v>República Checa</v>
      </c>
      <c r="G398" s="31" t="str">
        <f aca="false">+WORLDCUP!BD66</f>
        <v>Irak</v>
      </c>
      <c r="H398" s="31" t="str">
        <f aca="false">+WORLDCUP!BD60</f>
        <v>Marruecos</v>
      </c>
      <c r="I398" s="31" t="str">
        <f aca="false">+WORLDCUP!BD69</f>
        <v>Ghana</v>
      </c>
      <c r="J398" s="31" t="str">
        <f aca="false">+WORLDCUP!BD68</f>
        <v>Uzbekistán</v>
      </c>
      <c r="N398" s="31" t="s">
        <v>1916</v>
      </c>
      <c r="O398" s="31" t="n">
        <v>397</v>
      </c>
      <c r="P398" s="31" t="s">
        <v>98</v>
      </c>
      <c r="Q398" s="31" t="s">
        <v>107</v>
      </c>
      <c r="R398" s="31" t="s">
        <v>85</v>
      </c>
      <c r="S398" s="31" t="s">
        <v>80</v>
      </c>
      <c r="T398" s="31" t="s">
        <v>116</v>
      </c>
      <c r="U398" s="31" t="s">
        <v>89</v>
      </c>
      <c r="V398" s="31" t="s">
        <v>130</v>
      </c>
      <c r="W398" s="31" t="s">
        <v>125</v>
      </c>
    </row>
    <row r="399" customFormat="false" ht="15" hidden="false" customHeight="false" outlineLevel="0" collapsed="false">
      <c r="A399" s="31" t="s">
        <v>1917</v>
      </c>
      <c r="B399" s="31" t="n">
        <f aca="false">+IF(A399=WORLDCUP!$BI$112,1,0)</f>
        <v>0</v>
      </c>
      <c r="C399" s="31" t="str">
        <f aca="false">+WORLDCUP!BD62</f>
        <v>Ecuador</v>
      </c>
      <c r="D399" s="31" t="str">
        <f aca="false">+WORLDCUP!BD67</f>
        <v>Austria</v>
      </c>
      <c r="E399" s="31" t="str">
        <f aca="false">+WORLDCUP!BD59</f>
        <v>Catar</v>
      </c>
      <c r="F399" s="31" t="str">
        <f aca="false">+WORLDCUP!BD60</f>
        <v>Marruecos</v>
      </c>
      <c r="G399" s="31" t="str">
        <f aca="false">+WORLDCUP!BD58</f>
        <v>República Checa</v>
      </c>
      <c r="H399" s="31" t="str">
        <f aca="false">+WORLDCUP!BD64</f>
        <v>Bélgica</v>
      </c>
      <c r="I399" s="31" t="str">
        <f aca="false">+WORLDCUP!BD69</f>
        <v>Ghana</v>
      </c>
      <c r="J399" s="31" t="str">
        <f aca="false">+WORLDCUP!BD66</f>
        <v>Irak</v>
      </c>
      <c r="N399" s="31" t="s">
        <v>1917</v>
      </c>
      <c r="O399" s="31" t="n">
        <v>398</v>
      </c>
      <c r="P399" s="31" t="s">
        <v>98</v>
      </c>
      <c r="Q399" s="31" t="s">
        <v>121</v>
      </c>
      <c r="R399" s="31" t="s">
        <v>85</v>
      </c>
      <c r="S399" s="31" t="s">
        <v>89</v>
      </c>
      <c r="T399" s="31" t="s">
        <v>80</v>
      </c>
      <c r="U399" s="31" t="s">
        <v>107</v>
      </c>
      <c r="V399" s="31" t="s">
        <v>130</v>
      </c>
      <c r="W399" s="31" t="s">
        <v>116</v>
      </c>
    </row>
    <row r="400" customFormat="false" ht="15" hidden="false" customHeight="false" outlineLevel="0" collapsed="false">
      <c r="A400" s="31" t="s">
        <v>1918</v>
      </c>
      <c r="B400" s="31" t="n">
        <f aca="false">+IF(A400=WORLDCUP!$BI$112,1,0)</f>
        <v>0</v>
      </c>
      <c r="C400" s="31" t="str">
        <f aca="false">+WORLDCUP!BD62</f>
        <v>Ecuador</v>
      </c>
      <c r="D400" s="31" t="str">
        <f aca="false">+WORLDCUP!BD67</f>
        <v>Austria</v>
      </c>
      <c r="E400" s="31" t="str">
        <f aca="false">+WORLDCUP!BD59</f>
        <v>Catar</v>
      </c>
      <c r="F400" s="31" t="str">
        <f aca="false">+WORLDCUP!BD60</f>
        <v>Marruecos</v>
      </c>
      <c r="G400" s="31" t="str">
        <f aca="false">+WORLDCUP!BD58</f>
        <v>República Checa</v>
      </c>
      <c r="H400" s="31" t="str">
        <f aca="false">+WORLDCUP!BD64</f>
        <v>Bélgica</v>
      </c>
      <c r="I400" s="31" t="str">
        <f aca="false">+WORLDCUP!BD66</f>
        <v>Irak</v>
      </c>
      <c r="J400" s="31" t="str">
        <f aca="false">+WORLDCUP!BD68</f>
        <v>Uzbekistán</v>
      </c>
      <c r="N400" s="31" t="s">
        <v>1918</v>
      </c>
      <c r="O400" s="31" t="n">
        <v>399</v>
      </c>
      <c r="P400" s="31" t="s">
        <v>98</v>
      </c>
      <c r="Q400" s="31" t="s">
        <v>121</v>
      </c>
      <c r="R400" s="31" t="s">
        <v>85</v>
      </c>
      <c r="S400" s="31" t="s">
        <v>89</v>
      </c>
      <c r="T400" s="31" t="s">
        <v>80</v>
      </c>
      <c r="U400" s="31" t="s">
        <v>107</v>
      </c>
      <c r="V400" s="31" t="s">
        <v>116</v>
      </c>
      <c r="W400" s="31" t="s">
        <v>125</v>
      </c>
    </row>
    <row r="401" customFormat="false" ht="15" hidden="false" customHeight="false" outlineLevel="0" collapsed="false">
      <c r="A401" s="31" t="s">
        <v>1919</v>
      </c>
      <c r="B401" s="31" t="n">
        <f aca="false">+IF(A401=WORLDCUP!$BI$112,1,0)</f>
        <v>0</v>
      </c>
      <c r="C401" s="31" t="str">
        <f aca="false">+WORLDCUP!BD62</f>
        <v>Ecuador</v>
      </c>
      <c r="D401" s="31" t="str">
        <f aca="false">+WORLDCUP!BD64</f>
        <v>Bélgica</v>
      </c>
      <c r="E401" s="31" t="str">
        <f aca="false">+WORLDCUP!BD59</f>
        <v>Catar</v>
      </c>
      <c r="F401" s="31" t="str">
        <f aca="false">+WORLDCUP!BD60</f>
        <v>Marruecos</v>
      </c>
      <c r="G401" s="31" t="str">
        <f aca="false">+WORLDCUP!BD58</f>
        <v>República Checa</v>
      </c>
      <c r="H401" s="31" t="str">
        <f aca="false">+WORLDCUP!BD65</f>
        <v>España</v>
      </c>
      <c r="I401" s="31" t="str">
        <f aca="false">+WORLDCUP!BD69</f>
        <v>Ghana</v>
      </c>
      <c r="J401" s="31" t="str">
        <f aca="false">+WORLDCUP!BD68</f>
        <v>Uzbekistán</v>
      </c>
      <c r="N401" s="31" t="s">
        <v>1919</v>
      </c>
      <c r="O401" s="31" t="n">
        <v>400</v>
      </c>
      <c r="P401" s="31" t="s">
        <v>98</v>
      </c>
      <c r="Q401" s="31" t="s">
        <v>107</v>
      </c>
      <c r="R401" s="31" t="s">
        <v>85</v>
      </c>
      <c r="S401" s="31" t="s">
        <v>89</v>
      </c>
      <c r="T401" s="31" t="s">
        <v>80</v>
      </c>
      <c r="U401" s="31" t="s">
        <v>112</v>
      </c>
      <c r="V401" s="31" t="s">
        <v>130</v>
      </c>
      <c r="W401" s="31" t="s">
        <v>125</v>
      </c>
    </row>
    <row r="402" customFormat="false" ht="15" hidden="false" customHeight="false" outlineLevel="0" collapsed="false">
      <c r="A402" s="31" t="s">
        <v>1920</v>
      </c>
      <c r="B402" s="31" t="n">
        <f aca="false">+IF(A402=WORLDCUP!$BI$112,1,0)</f>
        <v>0</v>
      </c>
      <c r="C402" s="31" t="str">
        <f aca="false">+WORLDCUP!BD65</f>
        <v>España</v>
      </c>
      <c r="D402" s="31" t="str">
        <f aca="false">+WORLDCUP!BD67</f>
        <v>Austria</v>
      </c>
      <c r="E402" s="31" t="str">
        <f aca="false">+WORLDCUP!BD59</f>
        <v>Catar</v>
      </c>
      <c r="F402" s="31" t="str">
        <f aca="false">+WORLDCUP!BD60</f>
        <v>Marruecos</v>
      </c>
      <c r="G402" s="31" t="str">
        <f aca="false">+WORLDCUP!BD58</f>
        <v>República Checa</v>
      </c>
      <c r="H402" s="31" t="str">
        <f aca="false">+WORLDCUP!BD64</f>
        <v>Bélgica</v>
      </c>
      <c r="I402" s="31" t="str">
        <f aca="false">+WORLDCUP!BD69</f>
        <v>Ghana</v>
      </c>
      <c r="J402" s="31" t="str">
        <f aca="false">+WORLDCUP!BD62</f>
        <v>Ecuador</v>
      </c>
      <c r="N402" s="31" t="s">
        <v>1920</v>
      </c>
      <c r="O402" s="31" t="n">
        <v>401</v>
      </c>
      <c r="P402" s="31" t="s">
        <v>112</v>
      </c>
      <c r="Q402" s="31" t="s">
        <v>121</v>
      </c>
      <c r="R402" s="31" t="s">
        <v>85</v>
      </c>
      <c r="S402" s="31" t="s">
        <v>89</v>
      </c>
      <c r="T402" s="31" t="s">
        <v>80</v>
      </c>
      <c r="U402" s="31" t="s">
        <v>107</v>
      </c>
      <c r="V402" s="31" t="s">
        <v>130</v>
      </c>
      <c r="W402" s="31" t="s">
        <v>98</v>
      </c>
    </row>
    <row r="403" customFormat="false" ht="15" hidden="false" customHeight="false" outlineLevel="0" collapsed="false">
      <c r="A403" s="31" t="s">
        <v>1921</v>
      </c>
      <c r="B403" s="31" t="n">
        <f aca="false">+IF(A403=WORLDCUP!$BI$112,1,0)</f>
        <v>0</v>
      </c>
      <c r="C403" s="31" t="str">
        <f aca="false">+WORLDCUP!BD65</f>
        <v>España</v>
      </c>
      <c r="D403" s="31" t="str">
        <f aca="false">+WORLDCUP!BD67</f>
        <v>Austria</v>
      </c>
      <c r="E403" s="31" t="str">
        <f aca="false">+WORLDCUP!BD59</f>
        <v>Catar</v>
      </c>
      <c r="F403" s="31" t="str">
        <f aca="false">+WORLDCUP!BD60</f>
        <v>Marruecos</v>
      </c>
      <c r="G403" s="31" t="str">
        <f aca="false">+WORLDCUP!BD58</f>
        <v>República Checa</v>
      </c>
      <c r="H403" s="31" t="str">
        <f aca="false">+WORLDCUP!BD64</f>
        <v>Bélgica</v>
      </c>
      <c r="I403" s="31" t="str">
        <f aca="false">+WORLDCUP!BD62</f>
        <v>Ecuador</v>
      </c>
      <c r="J403" s="31" t="str">
        <f aca="false">+WORLDCUP!BD68</f>
        <v>Uzbekistán</v>
      </c>
      <c r="N403" s="31" t="s">
        <v>1921</v>
      </c>
      <c r="O403" s="31" t="n">
        <v>402</v>
      </c>
      <c r="P403" s="31" t="s">
        <v>112</v>
      </c>
      <c r="Q403" s="31" t="s">
        <v>121</v>
      </c>
      <c r="R403" s="31" t="s">
        <v>85</v>
      </c>
      <c r="S403" s="31" t="s">
        <v>89</v>
      </c>
      <c r="T403" s="31" t="s">
        <v>80</v>
      </c>
      <c r="U403" s="31" t="s">
        <v>107</v>
      </c>
      <c r="V403" s="31" t="s">
        <v>98</v>
      </c>
      <c r="W403" s="31" t="s">
        <v>125</v>
      </c>
    </row>
    <row r="404" customFormat="false" ht="15" hidden="false" customHeight="false" outlineLevel="0" collapsed="false">
      <c r="A404" s="31" t="s">
        <v>1922</v>
      </c>
      <c r="B404" s="31" t="n">
        <f aca="false">+IF(A404=WORLDCUP!$BI$112,1,0)</f>
        <v>0</v>
      </c>
      <c r="C404" s="31" t="str">
        <f aca="false">+WORLDCUP!BD62</f>
        <v>Ecuador</v>
      </c>
      <c r="D404" s="31" t="str">
        <f aca="false">+WORLDCUP!BD64</f>
        <v>Bélgica</v>
      </c>
      <c r="E404" s="31" t="str">
        <f aca="false">+WORLDCUP!BD59</f>
        <v>Catar</v>
      </c>
      <c r="F404" s="31" t="str">
        <f aca="false">+WORLDCUP!BD60</f>
        <v>Marruecos</v>
      </c>
      <c r="G404" s="31" t="str">
        <f aca="false">+WORLDCUP!BD58</f>
        <v>República Checa</v>
      </c>
      <c r="H404" s="31" t="str">
        <f aca="false">+WORLDCUP!BD65</f>
        <v>España</v>
      </c>
      <c r="I404" s="31" t="str">
        <f aca="false">+WORLDCUP!BD69</f>
        <v>Ghana</v>
      </c>
      <c r="J404" s="31" t="str">
        <f aca="false">+WORLDCUP!BD66</f>
        <v>Irak</v>
      </c>
      <c r="N404" s="31" t="s">
        <v>1922</v>
      </c>
      <c r="O404" s="31" t="n">
        <v>403</v>
      </c>
      <c r="P404" s="31" t="s">
        <v>98</v>
      </c>
      <c r="Q404" s="31" t="s">
        <v>107</v>
      </c>
      <c r="R404" s="31" t="s">
        <v>85</v>
      </c>
      <c r="S404" s="31" t="s">
        <v>89</v>
      </c>
      <c r="T404" s="31" t="s">
        <v>80</v>
      </c>
      <c r="U404" s="31" t="s">
        <v>112</v>
      </c>
      <c r="V404" s="31" t="s">
        <v>130</v>
      </c>
      <c r="W404" s="31" t="s">
        <v>116</v>
      </c>
    </row>
    <row r="405" customFormat="false" ht="15" hidden="false" customHeight="false" outlineLevel="0" collapsed="false">
      <c r="A405" s="31" t="s">
        <v>1923</v>
      </c>
      <c r="B405" s="31" t="n">
        <f aca="false">+IF(A405=WORLDCUP!$BI$112,1,0)</f>
        <v>0</v>
      </c>
      <c r="C405" s="31" t="str">
        <f aca="false">+WORLDCUP!BD62</f>
        <v>Ecuador</v>
      </c>
      <c r="D405" s="31" t="str">
        <f aca="false">+WORLDCUP!BD64</f>
        <v>Bélgica</v>
      </c>
      <c r="E405" s="31" t="str">
        <f aca="false">+WORLDCUP!BD59</f>
        <v>Catar</v>
      </c>
      <c r="F405" s="31" t="str">
        <f aca="false">+WORLDCUP!BD60</f>
        <v>Marruecos</v>
      </c>
      <c r="G405" s="31" t="str">
        <f aca="false">+WORLDCUP!BD58</f>
        <v>República Checa</v>
      </c>
      <c r="H405" s="31" t="str">
        <f aca="false">+WORLDCUP!BD65</f>
        <v>España</v>
      </c>
      <c r="I405" s="31" t="str">
        <f aca="false">+WORLDCUP!BD66</f>
        <v>Irak</v>
      </c>
      <c r="J405" s="31" t="str">
        <f aca="false">+WORLDCUP!BD68</f>
        <v>Uzbekistán</v>
      </c>
      <c r="N405" s="31" t="s">
        <v>1923</v>
      </c>
      <c r="O405" s="31" t="n">
        <v>404</v>
      </c>
      <c r="P405" s="31" t="s">
        <v>98</v>
      </c>
      <c r="Q405" s="31" t="s">
        <v>107</v>
      </c>
      <c r="R405" s="31" t="s">
        <v>85</v>
      </c>
      <c r="S405" s="31" t="s">
        <v>89</v>
      </c>
      <c r="T405" s="31" t="s">
        <v>80</v>
      </c>
      <c r="U405" s="31" t="s">
        <v>112</v>
      </c>
      <c r="V405" s="31" t="s">
        <v>116</v>
      </c>
      <c r="W405" s="31" t="s">
        <v>125</v>
      </c>
    </row>
    <row r="406" customFormat="false" ht="15" hidden="false" customHeight="false" outlineLevel="0" collapsed="false">
      <c r="A406" s="31" t="s">
        <v>1924</v>
      </c>
      <c r="B406" s="31" t="n">
        <f aca="false">+IF(A406=WORLDCUP!$BI$112,1,0)</f>
        <v>0</v>
      </c>
      <c r="C406" s="31" t="str">
        <f aca="false">+WORLDCUP!BD65</f>
        <v>España</v>
      </c>
      <c r="D406" s="31" t="str">
        <f aca="false">+WORLDCUP!BD67</f>
        <v>Austria</v>
      </c>
      <c r="E406" s="31" t="str">
        <f aca="false">+WORLDCUP!BD59</f>
        <v>Catar</v>
      </c>
      <c r="F406" s="31" t="str">
        <f aca="false">+WORLDCUP!BD60</f>
        <v>Marruecos</v>
      </c>
      <c r="G406" s="31" t="str">
        <f aca="false">+WORLDCUP!BD58</f>
        <v>República Checa</v>
      </c>
      <c r="H406" s="31" t="str">
        <f aca="false">+WORLDCUP!BD64</f>
        <v>Bélgica</v>
      </c>
      <c r="I406" s="31" t="str">
        <f aca="false">+WORLDCUP!BD62</f>
        <v>Ecuador</v>
      </c>
      <c r="J406" s="31" t="str">
        <f aca="false">+WORLDCUP!BD66</f>
        <v>Irak</v>
      </c>
      <c r="N406" s="31" t="s">
        <v>1924</v>
      </c>
      <c r="O406" s="31" t="n">
        <v>405</v>
      </c>
      <c r="P406" s="31" t="s">
        <v>112</v>
      </c>
      <c r="Q406" s="31" t="s">
        <v>121</v>
      </c>
      <c r="R406" s="31" t="s">
        <v>85</v>
      </c>
      <c r="S406" s="31" t="s">
        <v>89</v>
      </c>
      <c r="T406" s="31" t="s">
        <v>80</v>
      </c>
      <c r="U406" s="31" t="s">
        <v>107</v>
      </c>
      <c r="V406" s="31" t="s">
        <v>98</v>
      </c>
      <c r="W406" s="31" t="s">
        <v>116</v>
      </c>
    </row>
    <row r="407" customFormat="false" ht="15" hidden="false" customHeight="false" outlineLevel="0" collapsed="false">
      <c r="A407" s="31" t="s">
        <v>1925</v>
      </c>
      <c r="B407" s="31" t="n">
        <f aca="false">+IF(A407=WORLDCUP!$BI$112,1,0)</f>
        <v>0</v>
      </c>
      <c r="C407" s="31" t="str">
        <f aca="false">+WORLDCUP!BD62</f>
        <v>Ecuador</v>
      </c>
      <c r="D407" s="31" t="str">
        <f aca="false">+WORLDCUP!BD67</f>
        <v>Austria</v>
      </c>
      <c r="E407" s="31" t="str">
        <f aca="false">+WORLDCUP!BD59</f>
        <v>Catar</v>
      </c>
      <c r="F407" s="31" t="str">
        <f aca="false">+WORLDCUP!BD60</f>
        <v>Marruecos</v>
      </c>
      <c r="G407" s="31" t="str">
        <f aca="false">+WORLDCUP!BD58</f>
        <v>República Checa</v>
      </c>
      <c r="H407" s="31" t="str">
        <f aca="false">+WORLDCUP!BD63</f>
        <v>Japón</v>
      </c>
      <c r="I407" s="31" t="str">
        <f aca="false">+WORLDCUP!BD69</f>
        <v>Ghana</v>
      </c>
      <c r="J407" s="31" t="str">
        <f aca="false">+WORLDCUP!BD68</f>
        <v>Uzbekistán</v>
      </c>
      <c r="N407" s="31" t="s">
        <v>1925</v>
      </c>
      <c r="O407" s="31" t="n">
        <v>406</v>
      </c>
      <c r="P407" s="31" t="s">
        <v>98</v>
      </c>
      <c r="Q407" s="31" t="s">
        <v>121</v>
      </c>
      <c r="R407" s="31" t="s">
        <v>85</v>
      </c>
      <c r="S407" s="31" t="s">
        <v>89</v>
      </c>
      <c r="T407" s="31" t="s">
        <v>80</v>
      </c>
      <c r="U407" s="31" t="s">
        <v>103</v>
      </c>
      <c r="V407" s="31" t="s">
        <v>130</v>
      </c>
      <c r="W407" s="31" t="s">
        <v>125</v>
      </c>
    </row>
    <row r="408" customFormat="false" ht="15" hidden="false" customHeight="false" outlineLevel="0" collapsed="false">
      <c r="A408" s="31" t="s">
        <v>1926</v>
      </c>
      <c r="B408" s="31" t="n">
        <f aca="false">+IF(A408=WORLDCUP!$BI$112,1,0)</f>
        <v>0</v>
      </c>
      <c r="C408" s="31" t="str">
        <f aca="false">+WORLDCUP!BD62</f>
        <v>Ecuador</v>
      </c>
      <c r="D408" s="31" t="str">
        <f aca="false">+WORLDCUP!BD66</f>
        <v>Irak</v>
      </c>
      <c r="E408" s="31" t="str">
        <f aca="false">+WORLDCUP!BD59</f>
        <v>Catar</v>
      </c>
      <c r="F408" s="31" t="str">
        <f aca="false">+WORLDCUP!BD60</f>
        <v>Marruecos</v>
      </c>
      <c r="G408" s="31" t="str">
        <f aca="false">+WORLDCUP!BD58</f>
        <v>República Checa</v>
      </c>
      <c r="H408" s="31" t="str">
        <f aca="false">+WORLDCUP!BD63</f>
        <v>Japón</v>
      </c>
      <c r="I408" s="31" t="str">
        <f aca="false">+WORLDCUP!BD69</f>
        <v>Ghana</v>
      </c>
      <c r="J408" s="31" t="str">
        <f aca="false">+WORLDCUP!BD68</f>
        <v>Uzbekistán</v>
      </c>
      <c r="N408" s="31" t="s">
        <v>1926</v>
      </c>
      <c r="O408" s="31" t="n">
        <v>407</v>
      </c>
      <c r="P408" s="31" t="s">
        <v>98</v>
      </c>
      <c r="Q408" s="31" t="s">
        <v>116</v>
      </c>
      <c r="R408" s="31" t="s">
        <v>85</v>
      </c>
      <c r="S408" s="31" t="s">
        <v>89</v>
      </c>
      <c r="T408" s="31" t="s">
        <v>80</v>
      </c>
      <c r="U408" s="31" t="s">
        <v>103</v>
      </c>
      <c r="V408" s="31" t="s">
        <v>130</v>
      </c>
      <c r="W408" s="31" t="s">
        <v>125</v>
      </c>
    </row>
    <row r="409" customFormat="false" ht="15" hidden="false" customHeight="false" outlineLevel="0" collapsed="false">
      <c r="A409" s="31" t="s">
        <v>1927</v>
      </c>
      <c r="B409" s="31" t="n">
        <f aca="false">+IF(A409=WORLDCUP!$BI$112,1,0)</f>
        <v>0</v>
      </c>
      <c r="C409" s="31" t="str">
        <f aca="false">+WORLDCUP!BD62</f>
        <v>Ecuador</v>
      </c>
      <c r="D409" s="31" t="str">
        <f aca="false">+WORLDCUP!BD67</f>
        <v>Austria</v>
      </c>
      <c r="E409" s="31" t="str">
        <f aca="false">+WORLDCUP!BD59</f>
        <v>Catar</v>
      </c>
      <c r="F409" s="31" t="str">
        <f aca="false">+WORLDCUP!BD60</f>
        <v>Marruecos</v>
      </c>
      <c r="G409" s="31" t="str">
        <f aca="false">+WORLDCUP!BD58</f>
        <v>República Checa</v>
      </c>
      <c r="H409" s="31" t="str">
        <f aca="false">+WORLDCUP!BD63</f>
        <v>Japón</v>
      </c>
      <c r="I409" s="31" t="str">
        <f aca="false">+WORLDCUP!BD69</f>
        <v>Ghana</v>
      </c>
      <c r="J409" s="31" t="str">
        <f aca="false">+WORLDCUP!BD66</f>
        <v>Irak</v>
      </c>
      <c r="N409" s="31" t="s">
        <v>1927</v>
      </c>
      <c r="O409" s="31" t="n">
        <v>408</v>
      </c>
      <c r="P409" s="31" t="s">
        <v>98</v>
      </c>
      <c r="Q409" s="31" t="s">
        <v>121</v>
      </c>
      <c r="R409" s="31" t="s">
        <v>85</v>
      </c>
      <c r="S409" s="31" t="s">
        <v>89</v>
      </c>
      <c r="T409" s="31" t="s">
        <v>80</v>
      </c>
      <c r="U409" s="31" t="s">
        <v>103</v>
      </c>
      <c r="V409" s="31" t="s">
        <v>130</v>
      </c>
      <c r="W409" s="31" t="s">
        <v>116</v>
      </c>
    </row>
    <row r="410" customFormat="false" ht="15" hidden="false" customHeight="false" outlineLevel="0" collapsed="false">
      <c r="A410" s="31" t="s">
        <v>1928</v>
      </c>
      <c r="B410" s="31" t="n">
        <f aca="false">+IF(A410=WORLDCUP!$BI$112,1,0)</f>
        <v>0</v>
      </c>
      <c r="C410" s="31" t="str">
        <f aca="false">+WORLDCUP!BD62</f>
        <v>Ecuador</v>
      </c>
      <c r="D410" s="31" t="str">
        <f aca="false">+WORLDCUP!BD67</f>
        <v>Austria</v>
      </c>
      <c r="E410" s="31" t="str">
        <f aca="false">+WORLDCUP!BD59</f>
        <v>Catar</v>
      </c>
      <c r="F410" s="31" t="str">
        <f aca="false">+WORLDCUP!BD60</f>
        <v>Marruecos</v>
      </c>
      <c r="G410" s="31" t="str">
        <f aca="false">+WORLDCUP!BD58</f>
        <v>República Checa</v>
      </c>
      <c r="H410" s="31" t="str">
        <f aca="false">+WORLDCUP!BD63</f>
        <v>Japón</v>
      </c>
      <c r="I410" s="31" t="str">
        <f aca="false">+WORLDCUP!BD66</f>
        <v>Irak</v>
      </c>
      <c r="J410" s="31" t="str">
        <f aca="false">+WORLDCUP!BD68</f>
        <v>Uzbekistán</v>
      </c>
      <c r="N410" s="31" t="s">
        <v>1928</v>
      </c>
      <c r="O410" s="31" t="n">
        <v>409</v>
      </c>
      <c r="P410" s="31" t="s">
        <v>98</v>
      </c>
      <c r="Q410" s="31" t="s">
        <v>121</v>
      </c>
      <c r="R410" s="31" t="s">
        <v>85</v>
      </c>
      <c r="S410" s="31" t="s">
        <v>89</v>
      </c>
      <c r="T410" s="31" t="s">
        <v>80</v>
      </c>
      <c r="U410" s="31" t="s">
        <v>103</v>
      </c>
      <c r="V410" s="31" t="s">
        <v>116</v>
      </c>
      <c r="W410" s="31" t="s">
        <v>125</v>
      </c>
    </row>
    <row r="411" customFormat="false" ht="15" hidden="false" customHeight="false" outlineLevel="0" collapsed="false">
      <c r="A411" s="31" t="s">
        <v>1929</v>
      </c>
      <c r="B411" s="31" t="n">
        <f aca="false">+IF(A411=WORLDCUP!$BI$112,1,0)</f>
        <v>0</v>
      </c>
      <c r="C411" s="31" t="str">
        <f aca="false">+WORLDCUP!BD65</f>
        <v>España</v>
      </c>
      <c r="D411" s="31" t="str">
        <f aca="false">+WORLDCUP!BD62</f>
        <v>Ecuador</v>
      </c>
      <c r="E411" s="31" t="str">
        <f aca="false">+WORLDCUP!BD59</f>
        <v>Catar</v>
      </c>
      <c r="F411" s="31" t="str">
        <f aca="false">+WORLDCUP!BD60</f>
        <v>Marruecos</v>
      </c>
      <c r="G411" s="31" t="str">
        <f aca="false">+WORLDCUP!BD58</f>
        <v>República Checa</v>
      </c>
      <c r="H411" s="31" t="str">
        <f aca="false">+WORLDCUP!BD63</f>
        <v>Japón</v>
      </c>
      <c r="I411" s="31" t="str">
        <f aca="false">+WORLDCUP!BD69</f>
        <v>Ghana</v>
      </c>
      <c r="J411" s="31" t="str">
        <f aca="false">+WORLDCUP!BD68</f>
        <v>Uzbekistán</v>
      </c>
      <c r="N411" s="31" t="s">
        <v>1929</v>
      </c>
      <c r="O411" s="31" t="n">
        <v>410</v>
      </c>
      <c r="P411" s="31" t="s">
        <v>112</v>
      </c>
      <c r="Q411" s="31" t="s">
        <v>98</v>
      </c>
      <c r="R411" s="31" t="s">
        <v>85</v>
      </c>
      <c r="S411" s="31" t="s">
        <v>89</v>
      </c>
      <c r="T411" s="31" t="s">
        <v>80</v>
      </c>
      <c r="U411" s="31" t="s">
        <v>103</v>
      </c>
      <c r="V411" s="31" t="s">
        <v>130</v>
      </c>
      <c r="W411" s="31" t="s">
        <v>125</v>
      </c>
    </row>
    <row r="412" customFormat="false" ht="15" hidden="false" customHeight="false" outlineLevel="0" collapsed="false">
      <c r="A412" s="31" t="s">
        <v>1930</v>
      </c>
      <c r="B412" s="31" t="n">
        <f aca="false">+IF(A412=WORLDCUP!$BI$112,1,0)</f>
        <v>0</v>
      </c>
      <c r="C412" s="31" t="str">
        <f aca="false">+WORLDCUP!BD65</f>
        <v>España</v>
      </c>
      <c r="D412" s="31" t="str">
        <f aca="false">+WORLDCUP!BD67</f>
        <v>Austria</v>
      </c>
      <c r="E412" s="31" t="str">
        <f aca="false">+WORLDCUP!BD59</f>
        <v>Catar</v>
      </c>
      <c r="F412" s="31" t="str">
        <f aca="false">+WORLDCUP!BD60</f>
        <v>Marruecos</v>
      </c>
      <c r="G412" s="31" t="str">
        <f aca="false">+WORLDCUP!BD58</f>
        <v>República Checa</v>
      </c>
      <c r="H412" s="31" t="str">
        <f aca="false">+WORLDCUP!BD63</f>
        <v>Japón</v>
      </c>
      <c r="I412" s="31" t="str">
        <f aca="false">+WORLDCUP!BD69</f>
        <v>Ghana</v>
      </c>
      <c r="J412" s="31" t="str">
        <f aca="false">+WORLDCUP!BD62</f>
        <v>Ecuador</v>
      </c>
      <c r="N412" s="31" t="s">
        <v>1930</v>
      </c>
      <c r="O412" s="31" t="n">
        <v>411</v>
      </c>
      <c r="P412" s="31" t="s">
        <v>112</v>
      </c>
      <c r="Q412" s="31" t="s">
        <v>121</v>
      </c>
      <c r="R412" s="31" t="s">
        <v>85</v>
      </c>
      <c r="S412" s="31" t="s">
        <v>89</v>
      </c>
      <c r="T412" s="31" t="s">
        <v>80</v>
      </c>
      <c r="U412" s="31" t="s">
        <v>103</v>
      </c>
      <c r="V412" s="31" t="s">
        <v>130</v>
      </c>
      <c r="W412" s="31" t="s">
        <v>98</v>
      </c>
    </row>
    <row r="413" customFormat="false" ht="15" hidden="false" customHeight="false" outlineLevel="0" collapsed="false">
      <c r="A413" s="31" t="s">
        <v>1931</v>
      </c>
      <c r="B413" s="31" t="n">
        <f aca="false">+IF(A413=WORLDCUP!$BI$112,1,0)</f>
        <v>0</v>
      </c>
      <c r="C413" s="31" t="str">
        <f aca="false">+WORLDCUP!BD65</f>
        <v>España</v>
      </c>
      <c r="D413" s="31" t="str">
        <f aca="false">+WORLDCUP!BD67</f>
        <v>Austria</v>
      </c>
      <c r="E413" s="31" t="str">
        <f aca="false">+WORLDCUP!BD59</f>
        <v>Catar</v>
      </c>
      <c r="F413" s="31" t="str">
        <f aca="false">+WORLDCUP!BD60</f>
        <v>Marruecos</v>
      </c>
      <c r="G413" s="31" t="str">
        <f aca="false">+WORLDCUP!BD58</f>
        <v>República Checa</v>
      </c>
      <c r="H413" s="31" t="str">
        <f aca="false">+WORLDCUP!BD63</f>
        <v>Japón</v>
      </c>
      <c r="I413" s="31" t="str">
        <f aca="false">+WORLDCUP!BD62</f>
        <v>Ecuador</v>
      </c>
      <c r="J413" s="31" t="str">
        <f aca="false">+WORLDCUP!BD68</f>
        <v>Uzbekistán</v>
      </c>
      <c r="N413" s="31" t="s">
        <v>1931</v>
      </c>
      <c r="O413" s="31" t="n">
        <v>412</v>
      </c>
      <c r="P413" s="31" t="s">
        <v>112</v>
      </c>
      <c r="Q413" s="31" t="s">
        <v>121</v>
      </c>
      <c r="R413" s="31" t="s">
        <v>85</v>
      </c>
      <c r="S413" s="31" t="s">
        <v>89</v>
      </c>
      <c r="T413" s="31" t="s">
        <v>80</v>
      </c>
      <c r="U413" s="31" t="s">
        <v>103</v>
      </c>
      <c r="V413" s="31" t="s">
        <v>98</v>
      </c>
      <c r="W413" s="31" t="s">
        <v>125</v>
      </c>
    </row>
    <row r="414" customFormat="false" ht="15" hidden="false" customHeight="false" outlineLevel="0" collapsed="false">
      <c r="A414" s="31" t="s">
        <v>1932</v>
      </c>
      <c r="B414" s="31" t="n">
        <f aca="false">+IF(A414=WORLDCUP!$BI$112,1,0)</f>
        <v>0</v>
      </c>
      <c r="C414" s="31" t="str">
        <f aca="false">+WORLDCUP!BD65</f>
        <v>España</v>
      </c>
      <c r="D414" s="31" t="str">
        <f aca="false">+WORLDCUP!BD62</f>
        <v>Ecuador</v>
      </c>
      <c r="E414" s="31" t="str">
        <f aca="false">+WORLDCUP!BD59</f>
        <v>Catar</v>
      </c>
      <c r="F414" s="31" t="str">
        <f aca="false">+WORLDCUP!BD60</f>
        <v>Marruecos</v>
      </c>
      <c r="G414" s="31" t="str">
        <f aca="false">+WORLDCUP!BD58</f>
        <v>República Checa</v>
      </c>
      <c r="H414" s="31" t="str">
        <f aca="false">+WORLDCUP!BD63</f>
        <v>Japón</v>
      </c>
      <c r="I414" s="31" t="str">
        <f aca="false">+WORLDCUP!BD69</f>
        <v>Ghana</v>
      </c>
      <c r="J414" s="31" t="str">
        <f aca="false">+WORLDCUP!BD66</f>
        <v>Irak</v>
      </c>
      <c r="N414" s="31" t="s">
        <v>1932</v>
      </c>
      <c r="O414" s="31" t="n">
        <v>413</v>
      </c>
      <c r="P414" s="31" t="s">
        <v>112</v>
      </c>
      <c r="Q414" s="31" t="s">
        <v>98</v>
      </c>
      <c r="R414" s="31" t="s">
        <v>85</v>
      </c>
      <c r="S414" s="31" t="s">
        <v>89</v>
      </c>
      <c r="T414" s="31" t="s">
        <v>80</v>
      </c>
      <c r="U414" s="31" t="s">
        <v>103</v>
      </c>
      <c r="V414" s="31" t="s">
        <v>130</v>
      </c>
      <c r="W414" s="31" t="s">
        <v>116</v>
      </c>
    </row>
    <row r="415" customFormat="false" ht="15" hidden="false" customHeight="false" outlineLevel="0" collapsed="false">
      <c r="A415" s="31" t="s">
        <v>1933</v>
      </c>
      <c r="B415" s="31" t="n">
        <f aca="false">+IF(A415=WORLDCUP!$BI$112,1,0)</f>
        <v>0</v>
      </c>
      <c r="C415" s="31" t="str">
        <f aca="false">+WORLDCUP!BD65</f>
        <v>España</v>
      </c>
      <c r="D415" s="31" t="str">
        <f aca="false">+WORLDCUP!BD62</f>
        <v>Ecuador</v>
      </c>
      <c r="E415" s="31" t="str">
        <f aca="false">+WORLDCUP!BD59</f>
        <v>Catar</v>
      </c>
      <c r="F415" s="31" t="str">
        <f aca="false">+WORLDCUP!BD60</f>
        <v>Marruecos</v>
      </c>
      <c r="G415" s="31" t="str">
        <f aca="false">+WORLDCUP!BD58</f>
        <v>República Checa</v>
      </c>
      <c r="H415" s="31" t="str">
        <f aca="false">+WORLDCUP!BD63</f>
        <v>Japón</v>
      </c>
      <c r="I415" s="31" t="str">
        <f aca="false">+WORLDCUP!BD66</f>
        <v>Irak</v>
      </c>
      <c r="J415" s="31" t="str">
        <f aca="false">+WORLDCUP!BD68</f>
        <v>Uzbekistán</v>
      </c>
      <c r="N415" s="31" t="s">
        <v>1933</v>
      </c>
      <c r="O415" s="31" t="n">
        <v>414</v>
      </c>
      <c r="P415" s="31" t="s">
        <v>112</v>
      </c>
      <c r="Q415" s="31" t="s">
        <v>98</v>
      </c>
      <c r="R415" s="31" t="s">
        <v>85</v>
      </c>
      <c r="S415" s="31" t="s">
        <v>89</v>
      </c>
      <c r="T415" s="31" t="s">
        <v>80</v>
      </c>
      <c r="U415" s="31" t="s">
        <v>103</v>
      </c>
      <c r="V415" s="31" t="s">
        <v>116</v>
      </c>
      <c r="W415" s="31" t="s">
        <v>125</v>
      </c>
    </row>
    <row r="416" customFormat="false" ht="15" hidden="false" customHeight="false" outlineLevel="0" collapsed="false">
      <c r="A416" s="31" t="s">
        <v>1934</v>
      </c>
      <c r="B416" s="31" t="n">
        <f aca="false">+IF(A416=WORLDCUP!$BI$112,1,0)</f>
        <v>0</v>
      </c>
      <c r="C416" s="31" t="str">
        <f aca="false">+WORLDCUP!BD65</f>
        <v>España</v>
      </c>
      <c r="D416" s="31" t="str">
        <f aca="false">+WORLDCUP!BD67</f>
        <v>Austria</v>
      </c>
      <c r="E416" s="31" t="str">
        <f aca="false">+WORLDCUP!BD59</f>
        <v>Catar</v>
      </c>
      <c r="F416" s="31" t="str">
        <f aca="false">+WORLDCUP!BD60</f>
        <v>Marruecos</v>
      </c>
      <c r="G416" s="31" t="str">
        <f aca="false">+WORLDCUP!BD58</f>
        <v>República Checa</v>
      </c>
      <c r="H416" s="31" t="str">
        <f aca="false">+WORLDCUP!BD63</f>
        <v>Japón</v>
      </c>
      <c r="I416" s="31" t="str">
        <f aca="false">+WORLDCUP!BD62</f>
        <v>Ecuador</v>
      </c>
      <c r="J416" s="31" t="str">
        <f aca="false">+WORLDCUP!BD66</f>
        <v>Irak</v>
      </c>
      <c r="N416" s="31" t="s">
        <v>1934</v>
      </c>
      <c r="O416" s="31" t="n">
        <v>415</v>
      </c>
      <c r="P416" s="31" t="s">
        <v>112</v>
      </c>
      <c r="Q416" s="31" t="s">
        <v>121</v>
      </c>
      <c r="R416" s="31" t="s">
        <v>85</v>
      </c>
      <c r="S416" s="31" t="s">
        <v>89</v>
      </c>
      <c r="T416" s="31" t="s">
        <v>80</v>
      </c>
      <c r="U416" s="31" t="s">
        <v>103</v>
      </c>
      <c r="V416" s="31" t="s">
        <v>98</v>
      </c>
      <c r="W416" s="31" t="s">
        <v>116</v>
      </c>
    </row>
    <row r="417" customFormat="false" ht="15" hidden="false" customHeight="false" outlineLevel="0" collapsed="false">
      <c r="A417" s="31" t="s">
        <v>1935</v>
      </c>
      <c r="B417" s="31" t="n">
        <f aca="false">+IF(A417=WORLDCUP!$BI$112,1,0)</f>
        <v>0</v>
      </c>
      <c r="C417" s="31" t="str">
        <f aca="false">+WORLDCUP!BD62</f>
        <v>Ecuador</v>
      </c>
      <c r="D417" s="31" t="str">
        <f aca="false">+WORLDCUP!BD64</f>
        <v>Bélgica</v>
      </c>
      <c r="E417" s="31" t="str">
        <f aca="false">+WORLDCUP!BD59</f>
        <v>Catar</v>
      </c>
      <c r="F417" s="31" t="str">
        <f aca="false">+WORLDCUP!BD60</f>
        <v>Marruecos</v>
      </c>
      <c r="G417" s="31" t="str">
        <f aca="false">+WORLDCUP!BD58</f>
        <v>República Checa</v>
      </c>
      <c r="H417" s="31" t="str">
        <f aca="false">+WORLDCUP!BD63</f>
        <v>Japón</v>
      </c>
      <c r="I417" s="31" t="str">
        <f aca="false">+WORLDCUP!BD69</f>
        <v>Ghana</v>
      </c>
      <c r="J417" s="31" t="str">
        <f aca="false">+WORLDCUP!BD68</f>
        <v>Uzbekistán</v>
      </c>
      <c r="N417" s="31" t="s">
        <v>1935</v>
      </c>
      <c r="O417" s="31" t="n">
        <v>416</v>
      </c>
      <c r="P417" s="31" t="s">
        <v>98</v>
      </c>
      <c r="Q417" s="31" t="s">
        <v>107</v>
      </c>
      <c r="R417" s="31" t="s">
        <v>85</v>
      </c>
      <c r="S417" s="31" t="s">
        <v>89</v>
      </c>
      <c r="T417" s="31" t="s">
        <v>80</v>
      </c>
      <c r="U417" s="31" t="s">
        <v>103</v>
      </c>
      <c r="V417" s="31" t="s">
        <v>130</v>
      </c>
      <c r="W417" s="31" t="s">
        <v>125</v>
      </c>
    </row>
    <row r="418" customFormat="false" ht="15" hidden="false" customHeight="false" outlineLevel="0" collapsed="false">
      <c r="A418" s="31" t="s">
        <v>1936</v>
      </c>
      <c r="B418" s="31" t="n">
        <f aca="false">+IF(A418=WORLDCUP!$BI$112,1,0)</f>
        <v>0</v>
      </c>
      <c r="C418" s="31" t="str">
        <f aca="false">+WORLDCUP!BD62</f>
        <v>Ecuador</v>
      </c>
      <c r="D418" s="31" t="str">
        <f aca="false">+WORLDCUP!BD64</f>
        <v>Bélgica</v>
      </c>
      <c r="E418" s="31" t="str">
        <f aca="false">+WORLDCUP!BD59</f>
        <v>Catar</v>
      </c>
      <c r="F418" s="31" t="str">
        <f aca="false">+WORLDCUP!BD60</f>
        <v>Marruecos</v>
      </c>
      <c r="G418" s="31" t="str">
        <f aca="false">+WORLDCUP!BD58</f>
        <v>República Checa</v>
      </c>
      <c r="H418" s="31" t="str">
        <f aca="false">+WORLDCUP!BD63</f>
        <v>Japón</v>
      </c>
      <c r="I418" s="31" t="str">
        <f aca="false">+WORLDCUP!BD69</f>
        <v>Ghana</v>
      </c>
      <c r="J418" s="31" t="str">
        <f aca="false">+WORLDCUP!BD67</f>
        <v>Austria</v>
      </c>
      <c r="N418" s="31" t="s">
        <v>1936</v>
      </c>
      <c r="O418" s="31" t="n">
        <v>417</v>
      </c>
      <c r="P418" s="31" t="s">
        <v>98</v>
      </c>
      <c r="Q418" s="31" t="s">
        <v>107</v>
      </c>
      <c r="R418" s="31" t="s">
        <v>85</v>
      </c>
      <c r="S418" s="31" t="s">
        <v>89</v>
      </c>
      <c r="T418" s="31" t="s">
        <v>80</v>
      </c>
      <c r="U418" s="31" t="s">
        <v>103</v>
      </c>
      <c r="V418" s="31" t="s">
        <v>130</v>
      </c>
      <c r="W418" s="31" t="s">
        <v>121</v>
      </c>
    </row>
    <row r="419" customFormat="false" ht="15" hidden="false" customHeight="false" outlineLevel="0" collapsed="false">
      <c r="A419" s="31" t="s">
        <v>1937</v>
      </c>
      <c r="B419" s="31" t="n">
        <f aca="false">+IF(A419=WORLDCUP!$BI$112,1,0)</f>
        <v>0</v>
      </c>
      <c r="C419" s="31" t="str">
        <f aca="false">+WORLDCUP!BD62</f>
        <v>Ecuador</v>
      </c>
      <c r="D419" s="31" t="str">
        <f aca="false">+WORLDCUP!BD64</f>
        <v>Bélgica</v>
      </c>
      <c r="E419" s="31" t="str">
        <f aca="false">+WORLDCUP!BD59</f>
        <v>Catar</v>
      </c>
      <c r="F419" s="31" t="str">
        <f aca="false">+WORLDCUP!BD60</f>
        <v>Marruecos</v>
      </c>
      <c r="G419" s="31" t="str">
        <f aca="false">+WORLDCUP!BD58</f>
        <v>República Checa</v>
      </c>
      <c r="H419" s="31" t="str">
        <f aca="false">+WORLDCUP!BD63</f>
        <v>Japón</v>
      </c>
      <c r="I419" s="31" t="str">
        <f aca="false">+WORLDCUP!BD67</f>
        <v>Austria</v>
      </c>
      <c r="J419" s="31" t="str">
        <f aca="false">+WORLDCUP!BD68</f>
        <v>Uzbekistán</v>
      </c>
      <c r="N419" s="31" t="s">
        <v>1937</v>
      </c>
      <c r="O419" s="31" t="n">
        <v>418</v>
      </c>
      <c r="P419" s="31" t="s">
        <v>98</v>
      </c>
      <c r="Q419" s="31" t="s">
        <v>107</v>
      </c>
      <c r="R419" s="31" t="s">
        <v>85</v>
      </c>
      <c r="S419" s="31" t="s">
        <v>89</v>
      </c>
      <c r="T419" s="31" t="s">
        <v>80</v>
      </c>
      <c r="U419" s="31" t="s">
        <v>103</v>
      </c>
      <c r="V419" s="31" t="s">
        <v>121</v>
      </c>
      <c r="W419" s="31" t="s">
        <v>125</v>
      </c>
    </row>
    <row r="420" customFormat="false" ht="15" hidden="false" customHeight="false" outlineLevel="0" collapsed="false">
      <c r="A420" s="31" t="s">
        <v>1938</v>
      </c>
      <c r="B420" s="31" t="n">
        <f aca="false">+IF(A420=WORLDCUP!$BI$112,1,0)</f>
        <v>0</v>
      </c>
      <c r="C420" s="31" t="str">
        <f aca="false">+WORLDCUP!BD62</f>
        <v>Ecuador</v>
      </c>
      <c r="D420" s="31" t="str">
        <f aca="false">+WORLDCUP!BD64</f>
        <v>Bélgica</v>
      </c>
      <c r="E420" s="31" t="str">
        <f aca="false">+WORLDCUP!BD59</f>
        <v>Catar</v>
      </c>
      <c r="F420" s="31" t="str">
        <f aca="false">+WORLDCUP!BD60</f>
        <v>Marruecos</v>
      </c>
      <c r="G420" s="31" t="str">
        <f aca="false">+WORLDCUP!BD58</f>
        <v>República Checa</v>
      </c>
      <c r="H420" s="31" t="str">
        <f aca="false">+WORLDCUP!BD63</f>
        <v>Japón</v>
      </c>
      <c r="I420" s="31" t="str">
        <f aca="false">+WORLDCUP!BD69</f>
        <v>Ghana</v>
      </c>
      <c r="J420" s="31" t="str">
        <f aca="false">+WORLDCUP!BD66</f>
        <v>Irak</v>
      </c>
      <c r="N420" s="31" t="s">
        <v>1938</v>
      </c>
      <c r="O420" s="31" t="n">
        <v>419</v>
      </c>
      <c r="P420" s="31" t="s">
        <v>98</v>
      </c>
      <c r="Q420" s="31" t="s">
        <v>107</v>
      </c>
      <c r="R420" s="31" t="s">
        <v>85</v>
      </c>
      <c r="S420" s="31" t="s">
        <v>89</v>
      </c>
      <c r="T420" s="31" t="s">
        <v>80</v>
      </c>
      <c r="U420" s="31" t="s">
        <v>103</v>
      </c>
      <c r="V420" s="31" t="s">
        <v>130</v>
      </c>
      <c r="W420" s="31" t="s">
        <v>116</v>
      </c>
    </row>
    <row r="421" customFormat="false" ht="15" hidden="false" customHeight="false" outlineLevel="0" collapsed="false">
      <c r="A421" s="31" t="s">
        <v>1939</v>
      </c>
      <c r="B421" s="31" t="n">
        <f aca="false">+IF(A421=WORLDCUP!$BI$112,1,0)</f>
        <v>0</v>
      </c>
      <c r="C421" s="31" t="str">
        <f aca="false">+WORLDCUP!BD62</f>
        <v>Ecuador</v>
      </c>
      <c r="D421" s="31" t="str">
        <f aca="false">+WORLDCUP!BD64</f>
        <v>Bélgica</v>
      </c>
      <c r="E421" s="31" t="str">
        <f aca="false">+WORLDCUP!BD59</f>
        <v>Catar</v>
      </c>
      <c r="F421" s="31" t="str">
        <f aca="false">+WORLDCUP!BD60</f>
        <v>Marruecos</v>
      </c>
      <c r="G421" s="31" t="str">
        <f aca="false">+WORLDCUP!BD58</f>
        <v>República Checa</v>
      </c>
      <c r="H421" s="31" t="str">
        <f aca="false">+WORLDCUP!BD63</f>
        <v>Japón</v>
      </c>
      <c r="I421" s="31" t="str">
        <f aca="false">+WORLDCUP!BD66</f>
        <v>Irak</v>
      </c>
      <c r="J421" s="31" t="str">
        <f aca="false">+WORLDCUP!BD68</f>
        <v>Uzbekistán</v>
      </c>
      <c r="N421" s="31" t="s">
        <v>1939</v>
      </c>
      <c r="O421" s="31" t="n">
        <v>420</v>
      </c>
      <c r="P421" s="31" t="s">
        <v>98</v>
      </c>
      <c r="Q421" s="31" t="s">
        <v>107</v>
      </c>
      <c r="R421" s="31" t="s">
        <v>85</v>
      </c>
      <c r="S421" s="31" t="s">
        <v>89</v>
      </c>
      <c r="T421" s="31" t="s">
        <v>80</v>
      </c>
      <c r="U421" s="31" t="s">
        <v>103</v>
      </c>
      <c r="V421" s="31" t="s">
        <v>116</v>
      </c>
      <c r="W421" s="31" t="s">
        <v>125</v>
      </c>
    </row>
    <row r="422" customFormat="false" ht="15" hidden="false" customHeight="false" outlineLevel="0" collapsed="false">
      <c r="A422" s="31" t="s">
        <v>1940</v>
      </c>
      <c r="B422" s="31" t="n">
        <f aca="false">+IF(A422=WORLDCUP!$BI$112,1,0)</f>
        <v>0</v>
      </c>
      <c r="C422" s="31" t="str">
        <f aca="false">+WORLDCUP!BD62</f>
        <v>Ecuador</v>
      </c>
      <c r="D422" s="31" t="str">
        <f aca="false">+WORLDCUP!BD64</f>
        <v>Bélgica</v>
      </c>
      <c r="E422" s="31" t="str">
        <f aca="false">+WORLDCUP!BD59</f>
        <v>Catar</v>
      </c>
      <c r="F422" s="31" t="str">
        <f aca="false">+WORLDCUP!BD60</f>
        <v>Marruecos</v>
      </c>
      <c r="G422" s="31" t="str">
        <f aca="false">+WORLDCUP!BD58</f>
        <v>República Checa</v>
      </c>
      <c r="H422" s="31" t="str">
        <f aca="false">+WORLDCUP!BD63</f>
        <v>Japón</v>
      </c>
      <c r="I422" s="31" t="str">
        <f aca="false">+WORLDCUP!BD66</f>
        <v>Irak</v>
      </c>
      <c r="J422" s="31" t="str">
        <f aca="false">+WORLDCUP!BD67</f>
        <v>Austria</v>
      </c>
      <c r="N422" s="31" t="s">
        <v>1940</v>
      </c>
      <c r="O422" s="31" t="n">
        <v>421</v>
      </c>
      <c r="P422" s="31" t="s">
        <v>98</v>
      </c>
      <c r="Q422" s="31" t="s">
        <v>107</v>
      </c>
      <c r="R422" s="31" t="s">
        <v>85</v>
      </c>
      <c r="S422" s="31" t="s">
        <v>89</v>
      </c>
      <c r="T422" s="31" t="s">
        <v>80</v>
      </c>
      <c r="U422" s="31" t="s">
        <v>103</v>
      </c>
      <c r="V422" s="31" t="s">
        <v>116</v>
      </c>
      <c r="W422" s="31" t="s">
        <v>121</v>
      </c>
    </row>
    <row r="423" customFormat="false" ht="15" hidden="false" customHeight="false" outlineLevel="0" collapsed="false">
      <c r="A423" s="31" t="s">
        <v>1941</v>
      </c>
      <c r="B423" s="31" t="n">
        <f aca="false">+IF(A423=WORLDCUP!$BI$112,1,0)</f>
        <v>0</v>
      </c>
      <c r="C423" s="31" t="str">
        <f aca="false">+WORLDCUP!BD65</f>
        <v>España</v>
      </c>
      <c r="D423" s="31" t="str">
        <f aca="false">+WORLDCUP!BD64</f>
        <v>Bélgica</v>
      </c>
      <c r="E423" s="31" t="str">
        <f aca="false">+WORLDCUP!BD59</f>
        <v>Catar</v>
      </c>
      <c r="F423" s="31" t="str">
        <f aca="false">+WORLDCUP!BD60</f>
        <v>Marruecos</v>
      </c>
      <c r="G423" s="31" t="str">
        <f aca="false">+WORLDCUP!BD58</f>
        <v>República Checa</v>
      </c>
      <c r="H423" s="31" t="str">
        <f aca="false">+WORLDCUP!BD63</f>
        <v>Japón</v>
      </c>
      <c r="I423" s="31" t="str">
        <f aca="false">+WORLDCUP!BD69</f>
        <v>Ghana</v>
      </c>
      <c r="J423" s="31" t="str">
        <f aca="false">+WORLDCUP!BD62</f>
        <v>Ecuador</v>
      </c>
      <c r="N423" s="31" t="s">
        <v>1941</v>
      </c>
      <c r="O423" s="31" t="n">
        <v>422</v>
      </c>
      <c r="P423" s="31" t="s">
        <v>112</v>
      </c>
      <c r="Q423" s="31" t="s">
        <v>107</v>
      </c>
      <c r="R423" s="31" t="s">
        <v>85</v>
      </c>
      <c r="S423" s="31" t="s">
        <v>89</v>
      </c>
      <c r="T423" s="31" t="s">
        <v>80</v>
      </c>
      <c r="U423" s="31" t="s">
        <v>103</v>
      </c>
      <c r="V423" s="31" t="s">
        <v>130</v>
      </c>
      <c r="W423" s="31" t="s">
        <v>98</v>
      </c>
    </row>
    <row r="424" customFormat="false" ht="15" hidden="false" customHeight="false" outlineLevel="0" collapsed="false">
      <c r="A424" s="31" t="s">
        <v>1942</v>
      </c>
      <c r="B424" s="31" t="n">
        <f aca="false">+IF(A424=WORLDCUP!$BI$112,1,0)</f>
        <v>0</v>
      </c>
      <c r="C424" s="31" t="str">
        <f aca="false">+WORLDCUP!BD65</f>
        <v>España</v>
      </c>
      <c r="D424" s="31" t="str">
        <f aca="false">+WORLDCUP!BD64</f>
        <v>Bélgica</v>
      </c>
      <c r="E424" s="31" t="str">
        <f aca="false">+WORLDCUP!BD59</f>
        <v>Catar</v>
      </c>
      <c r="F424" s="31" t="str">
        <f aca="false">+WORLDCUP!BD60</f>
        <v>Marruecos</v>
      </c>
      <c r="G424" s="31" t="str">
        <f aca="false">+WORLDCUP!BD58</f>
        <v>República Checa</v>
      </c>
      <c r="H424" s="31" t="str">
        <f aca="false">+WORLDCUP!BD63</f>
        <v>Japón</v>
      </c>
      <c r="I424" s="31" t="str">
        <f aca="false">+WORLDCUP!BD62</f>
        <v>Ecuador</v>
      </c>
      <c r="J424" s="31" t="str">
        <f aca="false">+WORLDCUP!BD68</f>
        <v>Uzbekistán</v>
      </c>
      <c r="N424" s="31" t="s">
        <v>1942</v>
      </c>
      <c r="O424" s="31" t="n">
        <v>423</v>
      </c>
      <c r="P424" s="31" t="s">
        <v>112</v>
      </c>
      <c r="Q424" s="31" t="s">
        <v>107</v>
      </c>
      <c r="R424" s="31" t="s">
        <v>85</v>
      </c>
      <c r="S424" s="31" t="s">
        <v>89</v>
      </c>
      <c r="T424" s="31" t="s">
        <v>80</v>
      </c>
      <c r="U424" s="31" t="s">
        <v>103</v>
      </c>
      <c r="V424" s="31" t="s">
        <v>98</v>
      </c>
      <c r="W424" s="31" t="s">
        <v>125</v>
      </c>
    </row>
    <row r="425" customFormat="false" ht="15" hidden="false" customHeight="false" outlineLevel="0" collapsed="false">
      <c r="A425" s="31" t="s">
        <v>1943</v>
      </c>
      <c r="B425" s="31" t="n">
        <f aca="false">+IF(A425=WORLDCUP!$BI$112,1,0)</f>
        <v>0</v>
      </c>
      <c r="C425" s="31" t="str">
        <f aca="false">+WORLDCUP!BD65</f>
        <v>España</v>
      </c>
      <c r="D425" s="31" t="str">
        <f aca="false">+WORLDCUP!BD64</f>
        <v>Bélgica</v>
      </c>
      <c r="E425" s="31" t="str">
        <f aca="false">+WORLDCUP!BD59</f>
        <v>Catar</v>
      </c>
      <c r="F425" s="31" t="str">
        <f aca="false">+WORLDCUP!BD60</f>
        <v>Marruecos</v>
      </c>
      <c r="G425" s="31" t="str">
        <f aca="false">+WORLDCUP!BD58</f>
        <v>República Checa</v>
      </c>
      <c r="H425" s="31" t="str">
        <f aca="false">+WORLDCUP!BD63</f>
        <v>Japón</v>
      </c>
      <c r="I425" s="31" t="str">
        <f aca="false">+WORLDCUP!BD62</f>
        <v>Ecuador</v>
      </c>
      <c r="J425" s="31" t="str">
        <f aca="false">+WORLDCUP!BD67</f>
        <v>Austria</v>
      </c>
      <c r="N425" s="31" t="s">
        <v>1943</v>
      </c>
      <c r="O425" s="31" t="n">
        <v>424</v>
      </c>
      <c r="P425" s="31" t="s">
        <v>112</v>
      </c>
      <c r="Q425" s="31" t="s">
        <v>107</v>
      </c>
      <c r="R425" s="31" t="s">
        <v>85</v>
      </c>
      <c r="S425" s="31" t="s">
        <v>89</v>
      </c>
      <c r="T425" s="31" t="s">
        <v>80</v>
      </c>
      <c r="U425" s="31" t="s">
        <v>103</v>
      </c>
      <c r="V425" s="31" t="s">
        <v>98</v>
      </c>
      <c r="W425" s="31" t="s">
        <v>121</v>
      </c>
    </row>
    <row r="426" customFormat="false" ht="15" hidden="false" customHeight="false" outlineLevel="0" collapsed="false">
      <c r="A426" s="31" t="s">
        <v>1944</v>
      </c>
      <c r="B426" s="31" t="n">
        <f aca="false">+IF(A426=WORLDCUP!$BI$112,1,0)</f>
        <v>0</v>
      </c>
      <c r="C426" s="31" t="str">
        <f aca="false">+WORLDCUP!BD65</f>
        <v>España</v>
      </c>
      <c r="D426" s="31" t="str">
        <f aca="false">+WORLDCUP!BD64</f>
        <v>Bélgica</v>
      </c>
      <c r="E426" s="31" t="str">
        <f aca="false">+WORLDCUP!BD59</f>
        <v>Catar</v>
      </c>
      <c r="F426" s="31" t="str">
        <f aca="false">+WORLDCUP!BD60</f>
        <v>Marruecos</v>
      </c>
      <c r="G426" s="31" t="str">
        <f aca="false">+WORLDCUP!BD58</f>
        <v>República Checa</v>
      </c>
      <c r="H426" s="31" t="str">
        <f aca="false">+WORLDCUP!BD63</f>
        <v>Japón</v>
      </c>
      <c r="I426" s="31" t="str">
        <f aca="false">+WORLDCUP!BD62</f>
        <v>Ecuador</v>
      </c>
      <c r="J426" s="31" t="str">
        <f aca="false">+WORLDCUP!BD66</f>
        <v>Irak</v>
      </c>
      <c r="N426" s="31" t="s">
        <v>1944</v>
      </c>
      <c r="O426" s="31" t="n">
        <v>425</v>
      </c>
      <c r="P426" s="31" t="s">
        <v>112</v>
      </c>
      <c r="Q426" s="31" t="s">
        <v>107</v>
      </c>
      <c r="R426" s="31" t="s">
        <v>85</v>
      </c>
      <c r="S426" s="31" t="s">
        <v>89</v>
      </c>
      <c r="T426" s="31" t="s">
        <v>80</v>
      </c>
      <c r="U426" s="31" t="s">
        <v>103</v>
      </c>
      <c r="V426" s="31" t="s">
        <v>98</v>
      </c>
      <c r="W426" s="31" t="s">
        <v>116</v>
      </c>
    </row>
    <row r="427" customFormat="false" ht="15" hidden="false" customHeight="false" outlineLevel="0" collapsed="false">
      <c r="A427" s="31" t="s">
        <v>1945</v>
      </c>
      <c r="B427" s="31" t="n">
        <f aca="false">+IF(A427=WORLDCUP!$BI$112,1,0)</f>
        <v>0</v>
      </c>
      <c r="C427" s="31" t="str">
        <f aca="false">+WORLDCUP!BD66</f>
        <v>Irak</v>
      </c>
      <c r="D427" s="31" t="str">
        <f aca="false">+WORLDCUP!BD67</f>
        <v>Austria</v>
      </c>
      <c r="E427" s="31" t="str">
        <f aca="false">+WORLDCUP!BD59</f>
        <v>Catar</v>
      </c>
      <c r="F427" s="31" t="str">
        <f aca="false">+WORLDCUP!BD60</f>
        <v>Marruecos</v>
      </c>
      <c r="G427" s="31" t="str">
        <f aca="false">+WORLDCUP!BD58</f>
        <v>República Checa</v>
      </c>
      <c r="H427" s="31" t="str">
        <f aca="false">+WORLDCUP!BD61</f>
        <v>Turquía</v>
      </c>
      <c r="I427" s="31" t="str">
        <f aca="false">+WORLDCUP!BD69</f>
        <v>Ghana</v>
      </c>
      <c r="J427" s="31" t="str">
        <f aca="false">+WORLDCUP!BD68</f>
        <v>Uzbekistán</v>
      </c>
      <c r="N427" s="31" t="s">
        <v>1945</v>
      </c>
      <c r="O427" s="31" t="n">
        <v>426</v>
      </c>
      <c r="P427" s="31" t="s">
        <v>116</v>
      </c>
      <c r="Q427" s="31" t="s">
        <v>121</v>
      </c>
      <c r="R427" s="31" t="s">
        <v>85</v>
      </c>
      <c r="S427" s="31" t="s">
        <v>89</v>
      </c>
      <c r="T427" s="31" t="s">
        <v>80</v>
      </c>
      <c r="U427" s="31" t="s">
        <v>94</v>
      </c>
      <c r="V427" s="31" t="s">
        <v>130</v>
      </c>
      <c r="W427" s="31" t="s">
        <v>125</v>
      </c>
    </row>
    <row r="428" customFormat="false" ht="15" hidden="false" customHeight="false" outlineLevel="0" collapsed="false">
      <c r="A428" s="31" t="s">
        <v>1946</v>
      </c>
      <c r="B428" s="31" t="n">
        <f aca="false">+IF(A428=WORLDCUP!$BI$112,1,0)</f>
        <v>0</v>
      </c>
      <c r="C428" s="31" t="str">
        <f aca="false">+WORLDCUP!BD65</f>
        <v>España</v>
      </c>
      <c r="D428" s="31" t="str">
        <f aca="false">+WORLDCUP!BD67</f>
        <v>Austria</v>
      </c>
      <c r="E428" s="31" t="str">
        <f aca="false">+WORLDCUP!BD59</f>
        <v>Catar</v>
      </c>
      <c r="F428" s="31" t="str">
        <f aca="false">+WORLDCUP!BD60</f>
        <v>Marruecos</v>
      </c>
      <c r="G428" s="31" t="str">
        <f aca="false">+WORLDCUP!BD58</f>
        <v>República Checa</v>
      </c>
      <c r="H428" s="31" t="str">
        <f aca="false">+WORLDCUP!BD61</f>
        <v>Turquía</v>
      </c>
      <c r="I428" s="31" t="str">
        <f aca="false">+WORLDCUP!BD69</f>
        <v>Ghana</v>
      </c>
      <c r="J428" s="31" t="str">
        <f aca="false">+WORLDCUP!BD68</f>
        <v>Uzbekistán</v>
      </c>
      <c r="N428" s="31" t="s">
        <v>1946</v>
      </c>
      <c r="O428" s="31" t="n">
        <v>427</v>
      </c>
      <c r="P428" s="31" t="s">
        <v>112</v>
      </c>
      <c r="Q428" s="31" t="s">
        <v>121</v>
      </c>
      <c r="R428" s="31" t="s">
        <v>85</v>
      </c>
      <c r="S428" s="31" t="s">
        <v>89</v>
      </c>
      <c r="T428" s="31" t="s">
        <v>80</v>
      </c>
      <c r="U428" s="31" t="s">
        <v>94</v>
      </c>
      <c r="V428" s="31" t="s">
        <v>130</v>
      </c>
      <c r="W428" s="31" t="s">
        <v>125</v>
      </c>
    </row>
    <row r="429" customFormat="false" ht="15" hidden="false" customHeight="false" outlineLevel="0" collapsed="false">
      <c r="A429" s="31" t="s">
        <v>1947</v>
      </c>
      <c r="B429" s="31" t="n">
        <f aca="false">+IF(A429=WORLDCUP!$BI$112,1,0)</f>
        <v>0</v>
      </c>
      <c r="C429" s="31" t="str">
        <f aca="false">+WORLDCUP!BD65</f>
        <v>España</v>
      </c>
      <c r="D429" s="31" t="str">
        <f aca="false">+WORLDCUP!BD66</f>
        <v>Irak</v>
      </c>
      <c r="E429" s="31" t="str">
        <f aca="false">+WORLDCUP!BD59</f>
        <v>Catar</v>
      </c>
      <c r="F429" s="31" t="str">
        <f aca="false">+WORLDCUP!BD60</f>
        <v>Marruecos</v>
      </c>
      <c r="G429" s="31" t="str">
        <f aca="false">+WORLDCUP!BD58</f>
        <v>República Checa</v>
      </c>
      <c r="H429" s="31" t="str">
        <f aca="false">+WORLDCUP!BD61</f>
        <v>Turquía</v>
      </c>
      <c r="I429" s="31" t="str">
        <f aca="false">+WORLDCUP!BD69</f>
        <v>Ghana</v>
      </c>
      <c r="J429" s="31" t="str">
        <f aca="false">+WORLDCUP!BD68</f>
        <v>Uzbekistán</v>
      </c>
      <c r="N429" s="31" t="s">
        <v>1947</v>
      </c>
      <c r="O429" s="31" t="n">
        <v>428</v>
      </c>
      <c r="P429" s="31" t="s">
        <v>112</v>
      </c>
      <c r="Q429" s="31" t="s">
        <v>116</v>
      </c>
      <c r="R429" s="31" t="s">
        <v>85</v>
      </c>
      <c r="S429" s="31" t="s">
        <v>89</v>
      </c>
      <c r="T429" s="31" t="s">
        <v>80</v>
      </c>
      <c r="U429" s="31" t="s">
        <v>94</v>
      </c>
      <c r="V429" s="31" t="s">
        <v>130</v>
      </c>
      <c r="W429" s="31" t="s">
        <v>125</v>
      </c>
    </row>
    <row r="430" customFormat="false" ht="15" hidden="false" customHeight="false" outlineLevel="0" collapsed="false">
      <c r="A430" s="31" t="s">
        <v>1948</v>
      </c>
      <c r="B430" s="31" t="n">
        <f aca="false">+IF(A430=WORLDCUP!$BI$112,1,0)</f>
        <v>0</v>
      </c>
      <c r="C430" s="31" t="str">
        <f aca="false">+WORLDCUP!BD65</f>
        <v>España</v>
      </c>
      <c r="D430" s="31" t="str">
        <f aca="false">+WORLDCUP!BD67</f>
        <v>Austria</v>
      </c>
      <c r="E430" s="31" t="str">
        <f aca="false">+WORLDCUP!BD59</f>
        <v>Catar</v>
      </c>
      <c r="F430" s="31" t="str">
        <f aca="false">+WORLDCUP!BD60</f>
        <v>Marruecos</v>
      </c>
      <c r="G430" s="31" t="str">
        <f aca="false">+WORLDCUP!BD58</f>
        <v>República Checa</v>
      </c>
      <c r="H430" s="31" t="str">
        <f aca="false">+WORLDCUP!BD61</f>
        <v>Turquía</v>
      </c>
      <c r="I430" s="31" t="str">
        <f aca="false">+WORLDCUP!BD69</f>
        <v>Ghana</v>
      </c>
      <c r="J430" s="31" t="str">
        <f aca="false">+WORLDCUP!BD66</f>
        <v>Irak</v>
      </c>
      <c r="N430" s="31" t="s">
        <v>1948</v>
      </c>
      <c r="O430" s="31" t="n">
        <v>429</v>
      </c>
      <c r="P430" s="31" t="s">
        <v>112</v>
      </c>
      <c r="Q430" s="31" t="s">
        <v>121</v>
      </c>
      <c r="R430" s="31" t="s">
        <v>85</v>
      </c>
      <c r="S430" s="31" t="s">
        <v>89</v>
      </c>
      <c r="T430" s="31" t="s">
        <v>80</v>
      </c>
      <c r="U430" s="31" t="s">
        <v>94</v>
      </c>
      <c r="V430" s="31" t="s">
        <v>130</v>
      </c>
      <c r="W430" s="31" t="s">
        <v>116</v>
      </c>
    </row>
    <row r="431" customFormat="false" ht="15" hidden="false" customHeight="false" outlineLevel="0" collapsed="false">
      <c r="A431" s="31" t="s">
        <v>1949</v>
      </c>
      <c r="B431" s="31" t="n">
        <f aca="false">+IF(A431=WORLDCUP!$BI$112,1,0)</f>
        <v>0</v>
      </c>
      <c r="C431" s="31" t="str">
        <f aca="false">+WORLDCUP!BD65</f>
        <v>España</v>
      </c>
      <c r="D431" s="31" t="str">
        <f aca="false">+WORLDCUP!BD67</f>
        <v>Austria</v>
      </c>
      <c r="E431" s="31" t="str">
        <f aca="false">+WORLDCUP!BD59</f>
        <v>Catar</v>
      </c>
      <c r="F431" s="31" t="str">
        <f aca="false">+WORLDCUP!BD60</f>
        <v>Marruecos</v>
      </c>
      <c r="G431" s="31" t="str">
        <f aca="false">+WORLDCUP!BD58</f>
        <v>República Checa</v>
      </c>
      <c r="H431" s="31" t="str">
        <f aca="false">+WORLDCUP!BD61</f>
        <v>Turquía</v>
      </c>
      <c r="I431" s="31" t="str">
        <f aca="false">+WORLDCUP!BD66</f>
        <v>Irak</v>
      </c>
      <c r="J431" s="31" t="str">
        <f aca="false">+WORLDCUP!BD68</f>
        <v>Uzbekistán</v>
      </c>
      <c r="N431" s="31" t="s">
        <v>1949</v>
      </c>
      <c r="O431" s="31" t="n">
        <v>430</v>
      </c>
      <c r="P431" s="31" t="s">
        <v>112</v>
      </c>
      <c r="Q431" s="31" t="s">
        <v>121</v>
      </c>
      <c r="R431" s="31" t="s">
        <v>85</v>
      </c>
      <c r="S431" s="31" t="s">
        <v>89</v>
      </c>
      <c r="T431" s="31" t="s">
        <v>80</v>
      </c>
      <c r="U431" s="31" t="s">
        <v>94</v>
      </c>
      <c r="V431" s="31" t="s">
        <v>116</v>
      </c>
      <c r="W431" s="31" t="s">
        <v>125</v>
      </c>
    </row>
    <row r="432" customFormat="false" ht="15" hidden="false" customHeight="false" outlineLevel="0" collapsed="false">
      <c r="A432" s="31" t="s">
        <v>1950</v>
      </c>
      <c r="B432" s="31" t="n">
        <f aca="false">+IF(A432=WORLDCUP!$BI$112,1,0)</f>
        <v>0</v>
      </c>
      <c r="C432" s="31" t="str">
        <f aca="false">+WORLDCUP!BD60</f>
        <v>Marruecos</v>
      </c>
      <c r="D432" s="31" t="str">
        <f aca="false">+WORLDCUP!BD67</f>
        <v>Austria</v>
      </c>
      <c r="E432" s="31" t="str">
        <f aca="false">+WORLDCUP!BD59</f>
        <v>Catar</v>
      </c>
      <c r="F432" s="31" t="str">
        <f aca="false">+WORLDCUP!BD61</f>
        <v>Turquía</v>
      </c>
      <c r="G432" s="31" t="str">
        <f aca="false">+WORLDCUP!BD58</f>
        <v>República Checa</v>
      </c>
      <c r="H432" s="31" t="str">
        <f aca="false">+WORLDCUP!BD64</f>
        <v>Bélgica</v>
      </c>
      <c r="I432" s="31" t="str">
        <f aca="false">+WORLDCUP!BD69</f>
        <v>Ghana</v>
      </c>
      <c r="J432" s="31" t="str">
        <f aca="false">+WORLDCUP!BD68</f>
        <v>Uzbekistán</v>
      </c>
      <c r="N432" s="31" t="s">
        <v>1950</v>
      </c>
      <c r="O432" s="31" t="n">
        <v>431</v>
      </c>
      <c r="P432" s="31" t="s">
        <v>89</v>
      </c>
      <c r="Q432" s="31" t="s">
        <v>121</v>
      </c>
      <c r="R432" s="31" t="s">
        <v>85</v>
      </c>
      <c r="S432" s="31" t="s">
        <v>94</v>
      </c>
      <c r="T432" s="31" t="s">
        <v>80</v>
      </c>
      <c r="U432" s="31" t="s">
        <v>107</v>
      </c>
      <c r="V432" s="31" t="s">
        <v>130</v>
      </c>
      <c r="W432" s="31" t="s">
        <v>125</v>
      </c>
    </row>
    <row r="433" customFormat="false" ht="15" hidden="false" customHeight="false" outlineLevel="0" collapsed="false">
      <c r="A433" s="31" t="s">
        <v>1951</v>
      </c>
      <c r="B433" s="31" t="n">
        <f aca="false">+IF(A433=WORLDCUP!$BI$112,1,0)</f>
        <v>0</v>
      </c>
      <c r="C433" s="31" t="str">
        <f aca="false">+WORLDCUP!BD66</f>
        <v>Irak</v>
      </c>
      <c r="D433" s="31" t="str">
        <f aca="false">+WORLDCUP!BD64</f>
        <v>Bélgica</v>
      </c>
      <c r="E433" s="31" t="str">
        <f aca="false">+WORLDCUP!BD59</f>
        <v>Catar</v>
      </c>
      <c r="F433" s="31" t="str">
        <f aca="false">+WORLDCUP!BD60</f>
        <v>Marruecos</v>
      </c>
      <c r="G433" s="31" t="str">
        <f aca="false">+WORLDCUP!BD58</f>
        <v>República Checa</v>
      </c>
      <c r="H433" s="31" t="str">
        <f aca="false">+WORLDCUP!BD61</f>
        <v>Turquía</v>
      </c>
      <c r="I433" s="31" t="str">
        <f aca="false">+WORLDCUP!BD69</f>
        <v>Ghana</v>
      </c>
      <c r="J433" s="31" t="str">
        <f aca="false">+WORLDCUP!BD68</f>
        <v>Uzbekistán</v>
      </c>
      <c r="N433" s="31" t="s">
        <v>1951</v>
      </c>
      <c r="O433" s="31" t="n">
        <v>432</v>
      </c>
      <c r="P433" s="31" t="s">
        <v>116</v>
      </c>
      <c r="Q433" s="31" t="s">
        <v>107</v>
      </c>
      <c r="R433" s="31" t="s">
        <v>85</v>
      </c>
      <c r="S433" s="31" t="s">
        <v>89</v>
      </c>
      <c r="T433" s="31" t="s">
        <v>80</v>
      </c>
      <c r="U433" s="31" t="s">
        <v>94</v>
      </c>
      <c r="V433" s="31" t="s">
        <v>130</v>
      </c>
      <c r="W433" s="31" t="s">
        <v>125</v>
      </c>
    </row>
    <row r="434" customFormat="false" ht="15" hidden="false" customHeight="false" outlineLevel="0" collapsed="false">
      <c r="A434" s="31" t="s">
        <v>1952</v>
      </c>
      <c r="B434" s="31" t="n">
        <f aca="false">+IF(A434=WORLDCUP!$BI$112,1,0)</f>
        <v>0</v>
      </c>
      <c r="C434" s="31" t="str">
        <f aca="false">+WORLDCUP!BD60</f>
        <v>Marruecos</v>
      </c>
      <c r="D434" s="31" t="str">
        <f aca="false">+WORLDCUP!BD67</f>
        <v>Austria</v>
      </c>
      <c r="E434" s="31" t="str">
        <f aca="false">+WORLDCUP!BD59</f>
        <v>Catar</v>
      </c>
      <c r="F434" s="31" t="str">
        <f aca="false">+WORLDCUP!BD61</f>
        <v>Turquía</v>
      </c>
      <c r="G434" s="31" t="str">
        <f aca="false">+WORLDCUP!BD58</f>
        <v>República Checa</v>
      </c>
      <c r="H434" s="31" t="str">
        <f aca="false">+WORLDCUP!BD64</f>
        <v>Bélgica</v>
      </c>
      <c r="I434" s="31" t="str">
        <f aca="false">+WORLDCUP!BD69</f>
        <v>Ghana</v>
      </c>
      <c r="J434" s="31" t="str">
        <f aca="false">+WORLDCUP!BD66</f>
        <v>Irak</v>
      </c>
      <c r="N434" s="31" t="s">
        <v>1952</v>
      </c>
      <c r="O434" s="31" t="n">
        <v>433</v>
      </c>
      <c r="P434" s="31" t="s">
        <v>89</v>
      </c>
      <c r="Q434" s="31" t="s">
        <v>121</v>
      </c>
      <c r="R434" s="31" t="s">
        <v>85</v>
      </c>
      <c r="S434" s="31" t="s">
        <v>94</v>
      </c>
      <c r="T434" s="31" t="s">
        <v>80</v>
      </c>
      <c r="U434" s="31" t="s">
        <v>107</v>
      </c>
      <c r="V434" s="31" t="s">
        <v>130</v>
      </c>
      <c r="W434" s="31" t="s">
        <v>116</v>
      </c>
    </row>
    <row r="435" customFormat="false" ht="15" hidden="false" customHeight="false" outlineLevel="0" collapsed="false">
      <c r="A435" s="31" t="s">
        <v>1953</v>
      </c>
      <c r="B435" s="31" t="n">
        <f aca="false">+IF(A435=WORLDCUP!$BI$112,1,0)</f>
        <v>0</v>
      </c>
      <c r="C435" s="31" t="str">
        <f aca="false">+WORLDCUP!BD60</f>
        <v>Marruecos</v>
      </c>
      <c r="D435" s="31" t="str">
        <f aca="false">+WORLDCUP!BD67</f>
        <v>Austria</v>
      </c>
      <c r="E435" s="31" t="str">
        <f aca="false">+WORLDCUP!BD59</f>
        <v>Catar</v>
      </c>
      <c r="F435" s="31" t="str">
        <f aca="false">+WORLDCUP!BD61</f>
        <v>Turquía</v>
      </c>
      <c r="G435" s="31" t="str">
        <f aca="false">+WORLDCUP!BD58</f>
        <v>República Checa</v>
      </c>
      <c r="H435" s="31" t="str">
        <f aca="false">+WORLDCUP!BD64</f>
        <v>Bélgica</v>
      </c>
      <c r="I435" s="31" t="str">
        <f aca="false">+WORLDCUP!BD66</f>
        <v>Irak</v>
      </c>
      <c r="J435" s="31" t="str">
        <f aca="false">+WORLDCUP!BD68</f>
        <v>Uzbekistán</v>
      </c>
      <c r="N435" s="31" t="s">
        <v>1953</v>
      </c>
      <c r="O435" s="31" t="n">
        <v>434</v>
      </c>
      <c r="P435" s="31" t="s">
        <v>89</v>
      </c>
      <c r="Q435" s="31" t="s">
        <v>121</v>
      </c>
      <c r="R435" s="31" t="s">
        <v>85</v>
      </c>
      <c r="S435" s="31" t="s">
        <v>94</v>
      </c>
      <c r="T435" s="31" t="s">
        <v>80</v>
      </c>
      <c r="U435" s="31" t="s">
        <v>107</v>
      </c>
      <c r="V435" s="31" t="s">
        <v>116</v>
      </c>
      <c r="W435" s="31" t="s">
        <v>125</v>
      </c>
    </row>
    <row r="436" customFormat="false" ht="15" hidden="false" customHeight="false" outlineLevel="0" collapsed="false">
      <c r="A436" s="31" t="s">
        <v>1954</v>
      </c>
      <c r="B436" s="31" t="n">
        <f aca="false">+IF(A436=WORLDCUP!$BI$112,1,0)</f>
        <v>0</v>
      </c>
      <c r="C436" s="31" t="str">
        <f aca="false">+WORLDCUP!BD65</f>
        <v>España</v>
      </c>
      <c r="D436" s="31" t="str">
        <f aca="false">+WORLDCUP!BD64</f>
        <v>Bélgica</v>
      </c>
      <c r="E436" s="31" t="str">
        <f aca="false">+WORLDCUP!BD59</f>
        <v>Catar</v>
      </c>
      <c r="F436" s="31" t="str">
        <f aca="false">+WORLDCUP!BD60</f>
        <v>Marruecos</v>
      </c>
      <c r="G436" s="31" t="str">
        <f aca="false">+WORLDCUP!BD58</f>
        <v>República Checa</v>
      </c>
      <c r="H436" s="31" t="str">
        <f aca="false">+WORLDCUP!BD61</f>
        <v>Turquía</v>
      </c>
      <c r="I436" s="31" t="str">
        <f aca="false">+WORLDCUP!BD69</f>
        <v>Ghana</v>
      </c>
      <c r="J436" s="31" t="str">
        <f aca="false">+WORLDCUP!BD68</f>
        <v>Uzbekistán</v>
      </c>
      <c r="N436" s="31" t="s">
        <v>1954</v>
      </c>
      <c r="O436" s="31" t="n">
        <v>435</v>
      </c>
      <c r="P436" s="31" t="s">
        <v>112</v>
      </c>
      <c r="Q436" s="31" t="s">
        <v>107</v>
      </c>
      <c r="R436" s="31" t="s">
        <v>85</v>
      </c>
      <c r="S436" s="31" t="s">
        <v>89</v>
      </c>
      <c r="T436" s="31" t="s">
        <v>80</v>
      </c>
      <c r="U436" s="31" t="s">
        <v>94</v>
      </c>
      <c r="V436" s="31" t="s">
        <v>130</v>
      </c>
      <c r="W436" s="31" t="s">
        <v>125</v>
      </c>
    </row>
    <row r="437" customFormat="false" ht="15" hidden="false" customHeight="false" outlineLevel="0" collapsed="false">
      <c r="A437" s="31" t="s">
        <v>1955</v>
      </c>
      <c r="B437" s="31" t="n">
        <f aca="false">+IF(A437=WORLDCUP!$BI$112,1,0)</f>
        <v>0</v>
      </c>
      <c r="C437" s="31" t="str">
        <f aca="false">+WORLDCUP!BD65</f>
        <v>España</v>
      </c>
      <c r="D437" s="31" t="str">
        <f aca="false">+WORLDCUP!BD64</f>
        <v>Bélgica</v>
      </c>
      <c r="E437" s="31" t="str">
        <f aca="false">+WORLDCUP!BD59</f>
        <v>Catar</v>
      </c>
      <c r="F437" s="31" t="str">
        <f aca="false">+WORLDCUP!BD60</f>
        <v>Marruecos</v>
      </c>
      <c r="G437" s="31" t="str">
        <f aca="false">+WORLDCUP!BD58</f>
        <v>República Checa</v>
      </c>
      <c r="H437" s="31" t="str">
        <f aca="false">+WORLDCUP!BD61</f>
        <v>Turquía</v>
      </c>
      <c r="I437" s="31" t="str">
        <f aca="false">+WORLDCUP!BD69</f>
        <v>Ghana</v>
      </c>
      <c r="J437" s="31" t="str">
        <f aca="false">+WORLDCUP!BD67</f>
        <v>Austria</v>
      </c>
      <c r="N437" s="31" t="s">
        <v>1955</v>
      </c>
      <c r="O437" s="31" t="n">
        <v>436</v>
      </c>
      <c r="P437" s="31" t="s">
        <v>112</v>
      </c>
      <c r="Q437" s="31" t="s">
        <v>107</v>
      </c>
      <c r="R437" s="31" t="s">
        <v>85</v>
      </c>
      <c r="S437" s="31" t="s">
        <v>89</v>
      </c>
      <c r="T437" s="31" t="s">
        <v>80</v>
      </c>
      <c r="U437" s="31" t="s">
        <v>94</v>
      </c>
      <c r="V437" s="31" t="s">
        <v>130</v>
      </c>
      <c r="W437" s="31" t="s">
        <v>121</v>
      </c>
    </row>
    <row r="438" customFormat="false" ht="15" hidden="false" customHeight="false" outlineLevel="0" collapsed="false">
      <c r="A438" s="31" t="s">
        <v>1956</v>
      </c>
      <c r="B438" s="31" t="n">
        <f aca="false">+IF(A438=WORLDCUP!$BI$112,1,0)</f>
        <v>0</v>
      </c>
      <c r="C438" s="31" t="str">
        <f aca="false">+WORLDCUP!BD65</f>
        <v>España</v>
      </c>
      <c r="D438" s="31" t="str">
        <f aca="false">+WORLDCUP!BD64</f>
        <v>Bélgica</v>
      </c>
      <c r="E438" s="31" t="str">
        <f aca="false">+WORLDCUP!BD59</f>
        <v>Catar</v>
      </c>
      <c r="F438" s="31" t="str">
        <f aca="false">+WORLDCUP!BD60</f>
        <v>Marruecos</v>
      </c>
      <c r="G438" s="31" t="str">
        <f aca="false">+WORLDCUP!BD58</f>
        <v>República Checa</v>
      </c>
      <c r="H438" s="31" t="str">
        <f aca="false">+WORLDCUP!BD61</f>
        <v>Turquía</v>
      </c>
      <c r="I438" s="31" t="str">
        <f aca="false">+WORLDCUP!BD67</f>
        <v>Austria</v>
      </c>
      <c r="J438" s="31" t="str">
        <f aca="false">+WORLDCUP!BD68</f>
        <v>Uzbekistán</v>
      </c>
      <c r="N438" s="31" t="s">
        <v>1956</v>
      </c>
      <c r="O438" s="31" t="n">
        <v>437</v>
      </c>
      <c r="P438" s="31" t="s">
        <v>112</v>
      </c>
      <c r="Q438" s="31" t="s">
        <v>107</v>
      </c>
      <c r="R438" s="31" t="s">
        <v>85</v>
      </c>
      <c r="S438" s="31" t="s">
        <v>89</v>
      </c>
      <c r="T438" s="31" t="s">
        <v>80</v>
      </c>
      <c r="U438" s="31" t="s">
        <v>94</v>
      </c>
      <c r="V438" s="31" t="s">
        <v>121</v>
      </c>
      <c r="W438" s="31" t="s">
        <v>125</v>
      </c>
    </row>
    <row r="439" customFormat="false" ht="15" hidden="false" customHeight="false" outlineLevel="0" collapsed="false">
      <c r="A439" s="31" t="s">
        <v>1957</v>
      </c>
      <c r="B439" s="31" t="n">
        <f aca="false">+IF(A439=WORLDCUP!$BI$112,1,0)</f>
        <v>0</v>
      </c>
      <c r="C439" s="31" t="str">
        <f aca="false">+WORLDCUP!BD65</f>
        <v>España</v>
      </c>
      <c r="D439" s="31" t="str">
        <f aca="false">+WORLDCUP!BD64</f>
        <v>Bélgica</v>
      </c>
      <c r="E439" s="31" t="str">
        <f aca="false">+WORLDCUP!BD59</f>
        <v>Catar</v>
      </c>
      <c r="F439" s="31" t="str">
        <f aca="false">+WORLDCUP!BD60</f>
        <v>Marruecos</v>
      </c>
      <c r="G439" s="31" t="str">
        <f aca="false">+WORLDCUP!BD58</f>
        <v>República Checa</v>
      </c>
      <c r="H439" s="31" t="str">
        <f aca="false">+WORLDCUP!BD61</f>
        <v>Turquía</v>
      </c>
      <c r="I439" s="31" t="str">
        <f aca="false">+WORLDCUP!BD69</f>
        <v>Ghana</v>
      </c>
      <c r="J439" s="31" t="str">
        <f aca="false">+WORLDCUP!BD66</f>
        <v>Irak</v>
      </c>
      <c r="N439" s="31" t="s">
        <v>1957</v>
      </c>
      <c r="O439" s="31" t="n">
        <v>438</v>
      </c>
      <c r="P439" s="31" t="s">
        <v>112</v>
      </c>
      <c r="Q439" s="31" t="s">
        <v>107</v>
      </c>
      <c r="R439" s="31" t="s">
        <v>85</v>
      </c>
      <c r="S439" s="31" t="s">
        <v>89</v>
      </c>
      <c r="T439" s="31" t="s">
        <v>80</v>
      </c>
      <c r="U439" s="31" t="s">
        <v>94</v>
      </c>
      <c r="V439" s="31" t="s">
        <v>130</v>
      </c>
      <c r="W439" s="31" t="s">
        <v>116</v>
      </c>
    </row>
    <row r="440" customFormat="false" ht="15" hidden="false" customHeight="false" outlineLevel="0" collapsed="false">
      <c r="A440" s="31" t="s">
        <v>1958</v>
      </c>
      <c r="B440" s="31" t="n">
        <f aca="false">+IF(A440=WORLDCUP!$BI$112,1,0)</f>
        <v>0</v>
      </c>
      <c r="C440" s="31" t="str">
        <f aca="false">+WORLDCUP!BD65</f>
        <v>España</v>
      </c>
      <c r="D440" s="31" t="str">
        <f aca="false">+WORLDCUP!BD64</f>
        <v>Bélgica</v>
      </c>
      <c r="E440" s="31" t="str">
        <f aca="false">+WORLDCUP!BD59</f>
        <v>Catar</v>
      </c>
      <c r="F440" s="31" t="str">
        <f aca="false">+WORLDCUP!BD60</f>
        <v>Marruecos</v>
      </c>
      <c r="G440" s="31" t="str">
        <f aca="false">+WORLDCUP!BD58</f>
        <v>República Checa</v>
      </c>
      <c r="H440" s="31" t="str">
        <f aca="false">+WORLDCUP!BD61</f>
        <v>Turquía</v>
      </c>
      <c r="I440" s="31" t="str">
        <f aca="false">+WORLDCUP!BD66</f>
        <v>Irak</v>
      </c>
      <c r="J440" s="31" t="str">
        <f aca="false">+WORLDCUP!BD68</f>
        <v>Uzbekistán</v>
      </c>
      <c r="N440" s="31" t="s">
        <v>1958</v>
      </c>
      <c r="O440" s="31" t="n">
        <v>439</v>
      </c>
      <c r="P440" s="31" t="s">
        <v>112</v>
      </c>
      <c r="Q440" s="31" t="s">
        <v>107</v>
      </c>
      <c r="R440" s="31" t="s">
        <v>85</v>
      </c>
      <c r="S440" s="31" t="s">
        <v>89</v>
      </c>
      <c r="T440" s="31" t="s">
        <v>80</v>
      </c>
      <c r="U440" s="31" t="s">
        <v>94</v>
      </c>
      <c r="V440" s="31" t="s">
        <v>116</v>
      </c>
      <c r="W440" s="31" t="s">
        <v>125</v>
      </c>
    </row>
    <row r="441" customFormat="false" ht="15" hidden="false" customHeight="false" outlineLevel="0" collapsed="false">
      <c r="A441" s="31" t="s">
        <v>1959</v>
      </c>
      <c r="B441" s="31" t="n">
        <f aca="false">+IF(A441=WORLDCUP!$BI$112,1,0)</f>
        <v>0</v>
      </c>
      <c r="C441" s="31" t="str">
        <f aca="false">+WORLDCUP!BD65</f>
        <v>España</v>
      </c>
      <c r="D441" s="31" t="str">
        <f aca="false">+WORLDCUP!BD64</f>
        <v>Bélgica</v>
      </c>
      <c r="E441" s="31" t="str">
        <f aca="false">+WORLDCUP!BD59</f>
        <v>Catar</v>
      </c>
      <c r="F441" s="31" t="str">
        <f aca="false">+WORLDCUP!BD60</f>
        <v>Marruecos</v>
      </c>
      <c r="G441" s="31" t="str">
        <f aca="false">+WORLDCUP!BD58</f>
        <v>República Checa</v>
      </c>
      <c r="H441" s="31" t="str">
        <f aca="false">+WORLDCUP!BD61</f>
        <v>Turquía</v>
      </c>
      <c r="I441" s="31" t="str">
        <f aca="false">+WORLDCUP!BD66</f>
        <v>Irak</v>
      </c>
      <c r="J441" s="31" t="str">
        <f aca="false">+WORLDCUP!BD67</f>
        <v>Austria</v>
      </c>
      <c r="N441" s="31" t="s">
        <v>1959</v>
      </c>
      <c r="O441" s="31" t="n">
        <v>440</v>
      </c>
      <c r="P441" s="31" t="s">
        <v>112</v>
      </c>
      <c r="Q441" s="31" t="s">
        <v>107</v>
      </c>
      <c r="R441" s="31" t="s">
        <v>85</v>
      </c>
      <c r="S441" s="31" t="s">
        <v>89</v>
      </c>
      <c r="T441" s="31" t="s">
        <v>80</v>
      </c>
      <c r="U441" s="31" t="s">
        <v>94</v>
      </c>
      <c r="V441" s="31" t="s">
        <v>116</v>
      </c>
      <c r="W441" s="31" t="s">
        <v>121</v>
      </c>
    </row>
    <row r="442" customFormat="false" ht="15" hidden="false" customHeight="false" outlineLevel="0" collapsed="false">
      <c r="A442" s="31" t="s">
        <v>1960</v>
      </c>
      <c r="B442" s="31" t="n">
        <f aca="false">+IF(A442=WORLDCUP!$BI$112,1,0)</f>
        <v>0</v>
      </c>
      <c r="C442" s="31" t="str">
        <f aca="false">+WORLDCUP!BD60</f>
        <v>Marruecos</v>
      </c>
      <c r="D442" s="31" t="str">
        <f aca="false">+WORLDCUP!BD67</f>
        <v>Austria</v>
      </c>
      <c r="E442" s="31" t="str">
        <f aca="false">+WORLDCUP!BD59</f>
        <v>Catar</v>
      </c>
      <c r="F442" s="31" t="str">
        <f aca="false">+WORLDCUP!BD61</f>
        <v>Turquía</v>
      </c>
      <c r="G442" s="31" t="str">
        <f aca="false">+WORLDCUP!BD58</f>
        <v>República Checa</v>
      </c>
      <c r="H442" s="31" t="str">
        <f aca="false">+WORLDCUP!BD63</f>
        <v>Japón</v>
      </c>
      <c r="I442" s="31" t="str">
        <f aca="false">+WORLDCUP!BD69</f>
        <v>Ghana</v>
      </c>
      <c r="J442" s="31" t="str">
        <f aca="false">+WORLDCUP!BD68</f>
        <v>Uzbekistán</v>
      </c>
      <c r="N442" s="31" t="s">
        <v>1960</v>
      </c>
      <c r="O442" s="31" t="n">
        <v>441</v>
      </c>
      <c r="P442" s="31" t="s">
        <v>89</v>
      </c>
      <c r="Q442" s="31" t="s">
        <v>121</v>
      </c>
      <c r="R442" s="31" t="s">
        <v>85</v>
      </c>
      <c r="S442" s="31" t="s">
        <v>94</v>
      </c>
      <c r="T442" s="31" t="s">
        <v>80</v>
      </c>
      <c r="U442" s="31" t="s">
        <v>103</v>
      </c>
      <c r="V442" s="31" t="s">
        <v>130</v>
      </c>
      <c r="W442" s="31" t="s">
        <v>125</v>
      </c>
    </row>
    <row r="443" customFormat="false" ht="15" hidden="false" customHeight="false" outlineLevel="0" collapsed="false">
      <c r="A443" s="31" t="s">
        <v>1961</v>
      </c>
      <c r="B443" s="31" t="n">
        <f aca="false">+IF(A443=WORLDCUP!$BI$112,1,0)</f>
        <v>0</v>
      </c>
      <c r="C443" s="31" t="str">
        <f aca="false">+WORLDCUP!BD60</f>
        <v>Marruecos</v>
      </c>
      <c r="D443" s="31" t="str">
        <f aca="false">+WORLDCUP!BD66</f>
        <v>Irak</v>
      </c>
      <c r="E443" s="31" t="str">
        <f aca="false">+WORLDCUP!BD59</f>
        <v>Catar</v>
      </c>
      <c r="F443" s="31" t="str">
        <f aca="false">+WORLDCUP!BD61</f>
        <v>Turquía</v>
      </c>
      <c r="G443" s="31" t="str">
        <f aca="false">+WORLDCUP!BD58</f>
        <v>República Checa</v>
      </c>
      <c r="H443" s="31" t="str">
        <f aca="false">+WORLDCUP!BD63</f>
        <v>Japón</v>
      </c>
      <c r="I443" s="31" t="str">
        <f aca="false">+WORLDCUP!BD69</f>
        <v>Ghana</v>
      </c>
      <c r="J443" s="31" t="str">
        <f aca="false">+WORLDCUP!BD68</f>
        <v>Uzbekistán</v>
      </c>
      <c r="N443" s="31" t="s">
        <v>1961</v>
      </c>
      <c r="O443" s="31" t="n">
        <v>442</v>
      </c>
      <c r="P443" s="31" t="s">
        <v>89</v>
      </c>
      <c r="Q443" s="31" t="s">
        <v>116</v>
      </c>
      <c r="R443" s="31" t="s">
        <v>85</v>
      </c>
      <c r="S443" s="31" t="s">
        <v>94</v>
      </c>
      <c r="T443" s="31" t="s">
        <v>80</v>
      </c>
      <c r="U443" s="31" t="s">
        <v>103</v>
      </c>
      <c r="V443" s="31" t="s">
        <v>130</v>
      </c>
      <c r="W443" s="31" t="s">
        <v>125</v>
      </c>
    </row>
    <row r="444" customFormat="false" ht="15" hidden="false" customHeight="false" outlineLevel="0" collapsed="false">
      <c r="A444" s="31" t="s">
        <v>1962</v>
      </c>
      <c r="B444" s="31" t="n">
        <f aca="false">+IF(A444=WORLDCUP!$BI$112,1,0)</f>
        <v>0</v>
      </c>
      <c r="C444" s="31" t="str">
        <f aca="false">+WORLDCUP!BD60</f>
        <v>Marruecos</v>
      </c>
      <c r="D444" s="31" t="str">
        <f aca="false">+WORLDCUP!BD67</f>
        <v>Austria</v>
      </c>
      <c r="E444" s="31" t="str">
        <f aca="false">+WORLDCUP!BD59</f>
        <v>Catar</v>
      </c>
      <c r="F444" s="31" t="str">
        <f aca="false">+WORLDCUP!BD61</f>
        <v>Turquía</v>
      </c>
      <c r="G444" s="31" t="str">
        <f aca="false">+WORLDCUP!BD58</f>
        <v>República Checa</v>
      </c>
      <c r="H444" s="31" t="str">
        <f aca="false">+WORLDCUP!BD63</f>
        <v>Japón</v>
      </c>
      <c r="I444" s="31" t="str">
        <f aca="false">+WORLDCUP!BD69</f>
        <v>Ghana</v>
      </c>
      <c r="J444" s="31" t="str">
        <f aca="false">+WORLDCUP!BD66</f>
        <v>Irak</v>
      </c>
      <c r="N444" s="31" t="s">
        <v>1962</v>
      </c>
      <c r="O444" s="31" t="n">
        <v>443</v>
      </c>
      <c r="P444" s="31" t="s">
        <v>89</v>
      </c>
      <c r="Q444" s="31" t="s">
        <v>121</v>
      </c>
      <c r="R444" s="31" t="s">
        <v>85</v>
      </c>
      <c r="S444" s="31" t="s">
        <v>94</v>
      </c>
      <c r="T444" s="31" t="s">
        <v>80</v>
      </c>
      <c r="U444" s="31" t="s">
        <v>103</v>
      </c>
      <c r="V444" s="31" t="s">
        <v>130</v>
      </c>
      <c r="W444" s="31" t="s">
        <v>116</v>
      </c>
    </row>
    <row r="445" customFormat="false" ht="15" hidden="false" customHeight="false" outlineLevel="0" collapsed="false">
      <c r="A445" s="31" t="s">
        <v>1963</v>
      </c>
      <c r="B445" s="31" t="n">
        <f aca="false">+IF(A445=WORLDCUP!$BI$112,1,0)</f>
        <v>0</v>
      </c>
      <c r="C445" s="31" t="str">
        <f aca="false">+WORLDCUP!BD60</f>
        <v>Marruecos</v>
      </c>
      <c r="D445" s="31" t="str">
        <f aca="false">+WORLDCUP!BD67</f>
        <v>Austria</v>
      </c>
      <c r="E445" s="31" t="str">
        <f aca="false">+WORLDCUP!BD59</f>
        <v>Catar</v>
      </c>
      <c r="F445" s="31" t="str">
        <f aca="false">+WORLDCUP!BD61</f>
        <v>Turquía</v>
      </c>
      <c r="G445" s="31" t="str">
        <f aca="false">+WORLDCUP!BD58</f>
        <v>República Checa</v>
      </c>
      <c r="H445" s="31" t="str">
        <f aca="false">+WORLDCUP!BD63</f>
        <v>Japón</v>
      </c>
      <c r="I445" s="31" t="str">
        <f aca="false">+WORLDCUP!BD66</f>
        <v>Irak</v>
      </c>
      <c r="J445" s="31" t="str">
        <f aca="false">+WORLDCUP!BD68</f>
        <v>Uzbekistán</v>
      </c>
      <c r="N445" s="31" t="s">
        <v>1963</v>
      </c>
      <c r="O445" s="31" t="n">
        <v>444</v>
      </c>
      <c r="P445" s="31" t="s">
        <v>89</v>
      </c>
      <c r="Q445" s="31" t="s">
        <v>121</v>
      </c>
      <c r="R445" s="31" t="s">
        <v>85</v>
      </c>
      <c r="S445" s="31" t="s">
        <v>94</v>
      </c>
      <c r="T445" s="31" t="s">
        <v>80</v>
      </c>
      <c r="U445" s="31" t="s">
        <v>103</v>
      </c>
      <c r="V445" s="31" t="s">
        <v>116</v>
      </c>
      <c r="W445" s="31" t="s">
        <v>125</v>
      </c>
    </row>
    <row r="446" customFormat="false" ht="15" hidden="false" customHeight="false" outlineLevel="0" collapsed="false">
      <c r="A446" s="31" t="s">
        <v>1964</v>
      </c>
      <c r="B446" s="31" t="n">
        <f aca="false">+IF(A446=WORLDCUP!$BI$112,1,0)</f>
        <v>0</v>
      </c>
      <c r="C446" s="31" t="str">
        <f aca="false">+WORLDCUP!BD65</f>
        <v>España</v>
      </c>
      <c r="D446" s="31" t="str">
        <f aca="false">+WORLDCUP!BD63</f>
        <v>Japón</v>
      </c>
      <c r="E446" s="31" t="str">
        <f aca="false">+WORLDCUP!BD59</f>
        <v>Catar</v>
      </c>
      <c r="F446" s="31" t="str">
        <f aca="false">+WORLDCUP!BD60</f>
        <v>Marruecos</v>
      </c>
      <c r="G446" s="31" t="str">
        <f aca="false">+WORLDCUP!BD58</f>
        <v>República Checa</v>
      </c>
      <c r="H446" s="31" t="str">
        <f aca="false">+WORLDCUP!BD61</f>
        <v>Turquía</v>
      </c>
      <c r="I446" s="31" t="str">
        <f aca="false">+WORLDCUP!BD69</f>
        <v>Ghana</v>
      </c>
      <c r="J446" s="31" t="str">
        <f aca="false">+WORLDCUP!BD68</f>
        <v>Uzbekistán</v>
      </c>
      <c r="N446" s="31" t="s">
        <v>1964</v>
      </c>
      <c r="O446" s="31" t="n">
        <v>445</v>
      </c>
      <c r="P446" s="31" t="s">
        <v>112</v>
      </c>
      <c r="Q446" s="31" t="s">
        <v>103</v>
      </c>
      <c r="R446" s="31" t="s">
        <v>85</v>
      </c>
      <c r="S446" s="31" t="s">
        <v>89</v>
      </c>
      <c r="T446" s="31" t="s">
        <v>80</v>
      </c>
      <c r="U446" s="31" t="s">
        <v>94</v>
      </c>
      <c r="V446" s="31" t="s">
        <v>130</v>
      </c>
      <c r="W446" s="31" t="s">
        <v>125</v>
      </c>
    </row>
    <row r="447" customFormat="false" ht="15" hidden="false" customHeight="false" outlineLevel="0" collapsed="false">
      <c r="A447" s="31" t="s">
        <v>1965</v>
      </c>
      <c r="B447" s="31" t="n">
        <f aca="false">+IF(A447=WORLDCUP!$BI$112,1,0)</f>
        <v>0</v>
      </c>
      <c r="C447" s="31" t="str">
        <f aca="false">+WORLDCUP!BD60</f>
        <v>Marruecos</v>
      </c>
      <c r="D447" s="31" t="str">
        <f aca="false">+WORLDCUP!BD67</f>
        <v>Austria</v>
      </c>
      <c r="E447" s="31" t="str">
        <f aca="false">+WORLDCUP!BD59</f>
        <v>Catar</v>
      </c>
      <c r="F447" s="31" t="str">
        <f aca="false">+WORLDCUP!BD61</f>
        <v>Turquía</v>
      </c>
      <c r="G447" s="31" t="str">
        <f aca="false">+WORLDCUP!BD58</f>
        <v>República Checa</v>
      </c>
      <c r="H447" s="31" t="str">
        <f aca="false">+WORLDCUP!BD63</f>
        <v>Japón</v>
      </c>
      <c r="I447" s="31" t="str">
        <f aca="false">+WORLDCUP!BD69</f>
        <v>Ghana</v>
      </c>
      <c r="J447" s="31" t="str">
        <f aca="false">+WORLDCUP!BD65</f>
        <v>España</v>
      </c>
      <c r="N447" s="31" t="s">
        <v>1965</v>
      </c>
      <c r="O447" s="31" t="n">
        <v>446</v>
      </c>
      <c r="P447" s="31" t="s">
        <v>89</v>
      </c>
      <c r="Q447" s="31" t="s">
        <v>121</v>
      </c>
      <c r="R447" s="31" t="s">
        <v>85</v>
      </c>
      <c r="S447" s="31" t="s">
        <v>94</v>
      </c>
      <c r="T447" s="31" t="s">
        <v>80</v>
      </c>
      <c r="U447" s="31" t="s">
        <v>103</v>
      </c>
      <c r="V447" s="31" t="s">
        <v>130</v>
      </c>
      <c r="W447" s="31" t="s">
        <v>112</v>
      </c>
    </row>
    <row r="448" customFormat="false" ht="15" hidden="false" customHeight="false" outlineLevel="0" collapsed="false">
      <c r="A448" s="31" t="s">
        <v>1966</v>
      </c>
      <c r="B448" s="31" t="n">
        <f aca="false">+IF(A448=WORLDCUP!$BI$112,1,0)</f>
        <v>0</v>
      </c>
      <c r="C448" s="31" t="str">
        <f aca="false">+WORLDCUP!BD65</f>
        <v>España</v>
      </c>
      <c r="D448" s="31" t="str">
        <f aca="false">+WORLDCUP!BD67</f>
        <v>Austria</v>
      </c>
      <c r="E448" s="31" t="str">
        <f aca="false">+WORLDCUP!BD59</f>
        <v>Catar</v>
      </c>
      <c r="F448" s="31" t="str">
        <f aca="false">+WORLDCUP!BD60</f>
        <v>Marruecos</v>
      </c>
      <c r="G448" s="31" t="str">
        <f aca="false">+WORLDCUP!BD58</f>
        <v>República Checa</v>
      </c>
      <c r="H448" s="31" t="str">
        <f aca="false">+WORLDCUP!BD63</f>
        <v>Japón</v>
      </c>
      <c r="I448" s="31" t="str">
        <f aca="false">+WORLDCUP!BD61</f>
        <v>Turquía</v>
      </c>
      <c r="J448" s="31" t="str">
        <f aca="false">+WORLDCUP!BD68</f>
        <v>Uzbekistán</v>
      </c>
      <c r="N448" s="31" t="s">
        <v>1966</v>
      </c>
      <c r="O448" s="31" t="n">
        <v>447</v>
      </c>
      <c r="P448" s="31" t="s">
        <v>112</v>
      </c>
      <c r="Q448" s="31" t="s">
        <v>121</v>
      </c>
      <c r="R448" s="31" t="s">
        <v>85</v>
      </c>
      <c r="S448" s="31" t="s">
        <v>89</v>
      </c>
      <c r="T448" s="31" t="s">
        <v>80</v>
      </c>
      <c r="U448" s="31" t="s">
        <v>103</v>
      </c>
      <c r="V448" s="31" t="s">
        <v>94</v>
      </c>
      <c r="W448" s="31" t="s">
        <v>125</v>
      </c>
    </row>
    <row r="449" customFormat="false" ht="15" hidden="false" customHeight="false" outlineLevel="0" collapsed="false">
      <c r="A449" s="31" t="s">
        <v>1967</v>
      </c>
      <c r="B449" s="31" t="n">
        <f aca="false">+IF(A449=WORLDCUP!$BI$112,1,0)</f>
        <v>0</v>
      </c>
      <c r="C449" s="31" t="str">
        <f aca="false">+WORLDCUP!BD65</f>
        <v>España</v>
      </c>
      <c r="D449" s="31" t="str">
        <f aca="false">+WORLDCUP!BD63</f>
        <v>Japón</v>
      </c>
      <c r="E449" s="31" t="str">
        <f aca="false">+WORLDCUP!BD59</f>
        <v>Catar</v>
      </c>
      <c r="F449" s="31" t="str">
        <f aca="false">+WORLDCUP!BD60</f>
        <v>Marruecos</v>
      </c>
      <c r="G449" s="31" t="str">
        <f aca="false">+WORLDCUP!BD58</f>
        <v>República Checa</v>
      </c>
      <c r="H449" s="31" t="str">
        <f aca="false">+WORLDCUP!BD61</f>
        <v>Turquía</v>
      </c>
      <c r="I449" s="31" t="str">
        <f aca="false">+WORLDCUP!BD69</f>
        <v>Ghana</v>
      </c>
      <c r="J449" s="31" t="str">
        <f aca="false">+WORLDCUP!BD66</f>
        <v>Irak</v>
      </c>
      <c r="N449" s="31" t="s">
        <v>1967</v>
      </c>
      <c r="O449" s="31" t="n">
        <v>448</v>
      </c>
      <c r="P449" s="31" t="s">
        <v>112</v>
      </c>
      <c r="Q449" s="31" t="s">
        <v>103</v>
      </c>
      <c r="R449" s="31" t="s">
        <v>85</v>
      </c>
      <c r="S449" s="31" t="s">
        <v>89</v>
      </c>
      <c r="T449" s="31" t="s">
        <v>80</v>
      </c>
      <c r="U449" s="31" t="s">
        <v>94</v>
      </c>
      <c r="V449" s="31" t="s">
        <v>130</v>
      </c>
      <c r="W449" s="31" t="s">
        <v>116</v>
      </c>
    </row>
    <row r="450" customFormat="false" ht="15" hidden="false" customHeight="false" outlineLevel="0" collapsed="false">
      <c r="A450" s="31" t="s">
        <v>1968</v>
      </c>
      <c r="B450" s="31" t="n">
        <f aca="false">+IF(A450=WORLDCUP!$BI$112,1,0)</f>
        <v>0</v>
      </c>
      <c r="C450" s="31" t="str">
        <f aca="false">+WORLDCUP!BD65</f>
        <v>España</v>
      </c>
      <c r="D450" s="31" t="str">
        <f aca="false">+WORLDCUP!BD63</f>
        <v>Japón</v>
      </c>
      <c r="E450" s="31" t="str">
        <f aca="false">+WORLDCUP!BD59</f>
        <v>Catar</v>
      </c>
      <c r="F450" s="31" t="str">
        <f aca="false">+WORLDCUP!BD60</f>
        <v>Marruecos</v>
      </c>
      <c r="G450" s="31" t="str">
        <f aca="false">+WORLDCUP!BD58</f>
        <v>República Checa</v>
      </c>
      <c r="H450" s="31" t="str">
        <f aca="false">+WORLDCUP!BD61</f>
        <v>Turquía</v>
      </c>
      <c r="I450" s="31" t="str">
        <f aca="false">+WORLDCUP!BD66</f>
        <v>Irak</v>
      </c>
      <c r="J450" s="31" t="str">
        <f aca="false">+WORLDCUP!BD68</f>
        <v>Uzbekistán</v>
      </c>
      <c r="N450" s="31" t="s">
        <v>1968</v>
      </c>
      <c r="O450" s="31" t="n">
        <v>449</v>
      </c>
      <c r="P450" s="31" t="s">
        <v>112</v>
      </c>
      <c r="Q450" s="31" t="s">
        <v>103</v>
      </c>
      <c r="R450" s="31" t="s">
        <v>85</v>
      </c>
      <c r="S450" s="31" t="s">
        <v>89</v>
      </c>
      <c r="T450" s="31" t="s">
        <v>80</v>
      </c>
      <c r="U450" s="31" t="s">
        <v>94</v>
      </c>
      <c r="V450" s="31" t="s">
        <v>116</v>
      </c>
      <c r="W450" s="31" t="s">
        <v>125</v>
      </c>
    </row>
    <row r="451" customFormat="false" ht="15" hidden="false" customHeight="false" outlineLevel="0" collapsed="false">
      <c r="A451" s="31" t="s">
        <v>1969</v>
      </c>
      <c r="B451" s="31" t="n">
        <f aca="false">+IF(A451=WORLDCUP!$BI$112,1,0)</f>
        <v>0</v>
      </c>
      <c r="C451" s="31" t="str">
        <f aca="false">+WORLDCUP!BD65</f>
        <v>España</v>
      </c>
      <c r="D451" s="31" t="str">
        <f aca="false">+WORLDCUP!BD67</f>
        <v>Austria</v>
      </c>
      <c r="E451" s="31" t="str">
        <f aca="false">+WORLDCUP!BD59</f>
        <v>Catar</v>
      </c>
      <c r="F451" s="31" t="str">
        <f aca="false">+WORLDCUP!BD60</f>
        <v>Marruecos</v>
      </c>
      <c r="G451" s="31" t="str">
        <f aca="false">+WORLDCUP!BD58</f>
        <v>República Checa</v>
      </c>
      <c r="H451" s="31" t="str">
        <f aca="false">+WORLDCUP!BD63</f>
        <v>Japón</v>
      </c>
      <c r="I451" s="31" t="str">
        <f aca="false">+WORLDCUP!BD61</f>
        <v>Turquía</v>
      </c>
      <c r="J451" s="31" t="str">
        <f aca="false">+WORLDCUP!BD66</f>
        <v>Irak</v>
      </c>
      <c r="N451" s="31" t="s">
        <v>1969</v>
      </c>
      <c r="O451" s="31" t="n">
        <v>450</v>
      </c>
      <c r="P451" s="31" t="s">
        <v>112</v>
      </c>
      <c r="Q451" s="31" t="s">
        <v>121</v>
      </c>
      <c r="R451" s="31" t="s">
        <v>85</v>
      </c>
      <c r="S451" s="31" t="s">
        <v>89</v>
      </c>
      <c r="T451" s="31" t="s">
        <v>80</v>
      </c>
      <c r="U451" s="31" t="s">
        <v>103</v>
      </c>
      <c r="V451" s="31" t="s">
        <v>94</v>
      </c>
      <c r="W451" s="31" t="s">
        <v>116</v>
      </c>
    </row>
    <row r="452" customFormat="false" ht="15" hidden="false" customHeight="false" outlineLevel="0" collapsed="false">
      <c r="A452" s="31" t="s">
        <v>1970</v>
      </c>
      <c r="B452" s="31" t="n">
        <f aca="false">+IF(A452=WORLDCUP!$BI$112,1,0)</f>
        <v>0</v>
      </c>
      <c r="C452" s="31" t="str">
        <f aca="false">+WORLDCUP!BD60</f>
        <v>Marruecos</v>
      </c>
      <c r="D452" s="31" t="str">
        <f aca="false">+WORLDCUP!BD64</f>
        <v>Bélgica</v>
      </c>
      <c r="E452" s="31" t="str">
        <f aca="false">+WORLDCUP!BD59</f>
        <v>Catar</v>
      </c>
      <c r="F452" s="31" t="str">
        <f aca="false">+WORLDCUP!BD61</f>
        <v>Turquía</v>
      </c>
      <c r="G452" s="31" t="str">
        <f aca="false">+WORLDCUP!BD58</f>
        <v>República Checa</v>
      </c>
      <c r="H452" s="31" t="str">
        <f aca="false">+WORLDCUP!BD63</f>
        <v>Japón</v>
      </c>
      <c r="I452" s="31" t="str">
        <f aca="false">+WORLDCUP!BD69</f>
        <v>Ghana</v>
      </c>
      <c r="J452" s="31" t="str">
        <f aca="false">+WORLDCUP!BD68</f>
        <v>Uzbekistán</v>
      </c>
      <c r="N452" s="31" t="s">
        <v>1970</v>
      </c>
      <c r="O452" s="31" t="n">
        <v>451</v>
      </c>
      <c r="P452" s="31" t="s">
        <v>89</v>
      </c>
      <c r="Q452" s="31" t="s">
        <v>107</v>
      </c>
      <c r="R452" s="31" t="s">
        <v>85</v>
      </c>
      <c r="S452" s="31" t="s">
        <v>94</v>
      </c>
      <c r="T452" s="31" t="s">
        <v>80</v>
      </c>
      <c r="U452" s="31" t="s">
        <v>103</v>
      </c>
      <c r="V452" s="31" t="s">
        <v>130</v>
      </c>
      <c r="W452" s="31" t="s">
        <v>125</v>
      </c>
    </row>
    <row r="453" customFormat="false" ht="15" hidden="false" customHeight="false" outlineLevel="0" collapsed="false">
      <c r="A453" s="31" t="s">
        <v>1971</v>
      </c>
      <c r="B453" s="31" t="n">
        <f aca="false">+IF(A453=WORLDCUP!$BI$112,1,0)</f>
        <v>0</v>
      </c>
      <c r="C453" s="31" t="str">
        <f aca="false">+WORLDCUP!BD60</f>
        <v>Marruecos</v>
      </c>
      <c r="D453" s="31" t="str">
        <f aca="false">+WORLDCUP!BD64</f>
        <v>Bélgica</v>
      </c>
      <c r="E453" s="31" t="str">
        <f aca="false">+WORLDCUP!BD59</f>
        <v>Catar</v>
      </c>
      <c r="F453" s="31" t="str">
        <f aca="false">+WORLDCUP!BD61</f>
        <v>Turquía</v>
      </c>
      <c r="G453" s="31" t="str">
        <f aca="false">+WORLDCUP!BD58</f>
        <v>República Checa</v>
      </c>
      <c r="H453" s="31" t="str">
        <f aca="false">+WORLDCUP!BD63</f>
        <v>Japón</v>
      </c>
      <c r="I453" s="31" t="str">
        <f aca="false">+WORLDCUP!BD69</f>
        <v>Ghana</v>
      </c>
      <c r="J453" s="31" t="str">
        <f aca="false">+WORLDCUP!BD67</f>
        <v>Austria</v>
      </c>
      <c r="N453" s="31" t="s">
        <v>1971</v>
      </c>
      <c r="O453" s="31" t="n">
        <v>452</v>
      </c>
      <c r="P453" s="31" t="s">
        <v>89</v>
      </c>
      <c r="Q453" s="31" t="s">
        <v>107</v>
      </c>
      <c r="R453" s="31" t="s">
        <v>85</v>
      </c>
      <c r="S453" s="31" t="s">
        <v>94</v>
      </c>
      <c r="T453" s="31" t="s">
        <v>80</v>
      </c>
      <c r="U453" s="31" t="s">
        <v>103</v>
      </c>
      <c r="V453" s="31" t="s">
        <v>130</v>
      </c>
      <c r="W453" s="31" t="s">
        <v>121</v>
      </c>
    </row>
    <row r="454" customFormat="false" ht="15" hidden="false" customHeight="false" outlineLevel="0" collapsed="false">
      <c r="A454" s="31" t="s">
        <v>1972</v>
      </c>
      <c r="B454" s="31" t="n">
        <f aca="false">+IF(A454=WORLDCUP!$BI$112,1,0)</f>
        <v>0</v>
      </c>
      <c r="C454" s="31" t="str">
        <f aca="false">+WORLDCUP!BD60</f>
        <v>Marruecos</v>
      </c>
      <c r="D454" s="31" t="str">
        <f aca="false">+WORLDCUP!BD64</f>
        <v>Bélgica</v>
      </c>
      <c r="E454" s="31" t="str">
        <f aca="false">+WORLDCUP!BD59</f>
        <v>Catar</v>
      </c>
      <c r="F454" s="31" t="str">
        <f aca="false">+WORLDCUP!BD61</f>
        <v>Turquía</v>
      </c>
      <c r="G454" s="31" t="str">
        <f aca="false">+WORLDCUP!BD58</f>
        <v>República Checa</v>
      </c>
      <c r="H454" s="31" t="str">
        <f aca="false">+WORLDCUP!BD63</f>
        <v>Japón</v>
      </c>
      <c r="I454" s="31" t="str">
        <f aca="false">+WORLDCUP!BD67</f>
        <v>Austria</v>
      </c>
      <c r="J454" s="31" t="str">
        <f aca="false">+WORLDCUP!BD68</f>
        <v>Uzbekistán</v>
      </c>
      <c r="N454" s="31" t="s">
        <v>1972</v>
      </c>
      <c r="O454" s="31" t="n">
        <v>453</v>
      </c>
      <c r="P454" s="31" t="s">
        <v>89</v>
      </c>
      <c r="Q454" s="31" t="s">
        <v>107</v>
      </c>
      <c r="R454" s="31" t="s">
        <v>85</v>
      </c>
      <c r="S454" s="31" t="s">
        <v>94</v>
      </c>
      <c r="T454" s="31" t="s">
        <v>80</v>
      </c>
      <c r="U454" s="31" t="s">
        <v>103</v>
      </c>
      <c r="V454" s="31" t="s">
        <v>121</v>
      </c>
      <c r="W454" s="31" t="s">
        <v>125</v>
      </c>
    </row>
    <row r="455" customFormat="false" ht="15" hidden="false" customHeight="false" outlineLevel="0" collapsed="false">
      <c r="A455" s="31" t="s">
        <v>1973</v>
      </c>
      <c r="B455" s="31" t="n">
        <f aca="false">+IF(A455=WORLDCUP!$BI$112,1,0)</f>
        <v>0</v>
      </c>
      <c r="C455" s="31" t="str">
        <f aca="false">+WORLDCUP!BD60</f>
        <v>Marruecos</v>
      </c>
      <c r="D455" s="31" t="str">
        <f aca="false">+WORLDCUP!BD64</f>
        <v>Bélgica</v>
      </c>
      <c r="E455" s="31" t="str">
        <f aca="false">+WORLDCUP!BD59</f>
        <v>Catar</v>
      </c>
      <c r="F455" s="31" t="str">
        <f aca="false">+WORLDCUP!BD61</f>
        <v>Turquía</v>
      </c>
      <c r="G455" s="31" t="str">
        <f aca="false">+WORLDCUP!BD58</f>
        <v>República Checa</v>
      </c>
      <c r="H455" s="31" t="str">
        <f aca="false">+WORLDCUP!BD63</f>
        <v>Japón</v>
      </c>
      <c r="I455" s="31" t="str">
        <f aca="false">+WORLDCUP!BD69</f>
        <v>Ghana</v>
      </c>
      <c r="J455" s="31" t="str">
        <f aca="false">+WORLDCUP!BD66</f>
        <v>Irak</v>
      </c>
      <c r="N455" s="31" t="s">
        <v>1973</v>
      </c>
      <c r="O455" s="31" t="n">
        <v>454</v>
      </c>
      <c r="P455" s="31" t="s">
        <v>89</v>
      </c>
      <c r="Q455" s="31" t="s">
        <v>107</v>
      </c>
      <c r="R455" s="31" t="s">
        <v>85</v>
      </c>
      <c r="S455" s="31" t="s">
        <v>94</v>
      </c>
      <c r="T455" s="31" t="s">
        <v>80</v>
      </c>
      <c r="U455" s="31" t="s">
        <v>103</v>
      </c>
      <c r="V455" s="31" t="s">
        <v>130</v>
      </c>
      <c r="W455" s="31" t="s">
        <v>116</v>
      </c>
    </row>
    <row r="456" customFormat="false" ht="15" hidden="false" customHeight="false" outlineLevel="0" collapsed="false">
      <c r="A456" s="31" t="s">
        <v>1974</v>
      </c>
      <c r="B456" s="31" t="n">
        <f aca="false">+IF(A456=WORLDCUP!$BI$112,1,0)</f>
        <v>0</v>
      </c>
      <c r="C456" s="31" t="str">
        <f aca="false">+WORLDCUP!BD60</f>
        <v>Marruecos</v>
      </c>
      <c r="D456" s="31" t="str">
        <f aca="false">+WORLDCUP!BD64</f>
        <v>Bélgica</v>
      </c>
      <c r="E456" s="31" t="str">
        <f aca="false">+WORLDCUP!BD59</f>
        <v>Catar</v>
      </c>
      <c r="F456" s="31" t="str">
        <f aca="false">+WORLDCUP!BD61</f>
        <v>Turquía</v>
      </c>
      <c r="G456" s="31" t="str">
        <f aca="false">+WORLDCUP!BD58</f>
        <v>República Checa</v>
      </c>
      <c r="H456" s="31" t="str">
        <f aca="false">+WORLDCUP!BD63</f>
        <v>Japón</v>
      </c>
      <c r="I456" s="31" t="str">
        <f aca="false">+WORLDCUP!BD66</f>
        <v>Irak</v>
      </c>
      <c r="J456" s="31" t="str">
        <f aca="false">+WORLDCUP!BD68</f>
        <v>Uzbekistán</v>
      </c>
      <c r="N456" s="31" t="s">
        <v>1974</v>
      </c>
      <c r="O456" s="31" t="n">
        <v>455</v>
      </c>
      <c r="P456" s="31" t="s">
        <v>89</v>
      </c>
      <c r="Q456" s="31" t="s">
        <v>107</v>
      </c>
      <c r="R456" s="31" t="s">
        <v>85</v>
      </c>
      <c r="S456" s="31" t="s">
        <v>94</v>
      </c>
      <c r="T456" s="31" t="s">
        <v>80</v>
      </c>
      <c r="U456" s="31" t="s">
        <v>103</v>
      </c>
      <c r="V456" s="31" t="s">
        <v>116</v>
      </c>
      <c r="W456" s="31" t="s">
        <v>125</v>
      </c>
    </row>
    <row r="457" customFormat="false" ht="15" hidden="false" customHeight="false" outlineLevel="0" collapsed="false">
      <c r="A457" s="31" t="s">
        <v>1975</v>
      </c>
      <c r="B457" s="31" t="n">
        <f aca="false">+IF(A457=WORLDCUP!$BI$112,1,0)</f>
        <v>0</v>
      </c>
      <c r="C457" s="31" t="str">
        <f aca="false">+WORLDCUP!BD60</f>
        <v>Marruecos</v>
      </c>
      <c r="D457" s="31" t="str">
        <f aca="false">+WORLDCUP!BD64</f>
        <v>Bélgica</v>
      </c>
      <c r="E457" s="31" t="str">
        <f aca="false">+WORLDCUP!BD59</f>
        <v>Catar</v>
      </c>
      <c r="F457" s="31" t="str">
        <f aca="false">+WORLDCUP!BD61</f>
        <v>Turquía</v>
      </c>
      <c r="G457" s="31" t="str">
        <f aca="false">+WORLDCUP!BD58</f>
        <v>República Checa</v>
      </c>
      <c r="H457" s="31" t="str">
        <f aca="false">+WORLDCUP!BD63</f>
        <v>Japón</v>
      </c>
      <c r="I457" s="31" t="str">
        <f aca="false">+WORLDCUP!BD66</f>
        <v>Irak</v>
      </c>
      <c r="J457" s="31" t="str">
        <f aca="false">+WORLDCUP!BD67</f>
        <v>Austria</v>
      </c>
      <c r="N457" s="31" t="s">
        <v>1975</v>
      </c>
      <c r="O457" s="31" t="n">
        <v>456</v>
      </c>
      <c r="P457" s="31" t="s">
        <v>89</v>
      </c>
      <c r="Q457" s="31" t="s">
        <v>107</v>
      </c>
      <c r="R457" s="31" t="s">
        <v>85</v>
      </c>
      <c r="S457" s="31" t="s">
        <v>94</v>
      </c>
      <c r="T457" s="31" t="s">
        <v>80</v>
      </c>
      <c r="U457" s="31" t="s">
        <v>103</v>
      </c>
      <c r="V457" s="31" t="s">
        <v>116</v>
      </c>
      <c r="W457" s="31" t="s">
        <v>121</v>
      </c>
    </row>
    <row r="458" customFormat="false" ht="15" hidden="false" customHeight="false" outlineLevel="0" collapsed="false">
      <c r="A458" s="31" t="s">
        <v>1976</v>
      </c>
      <c r="B458" s="31" t="n">
        <f aca="false">+IF(A458=WORLDCUP!$BI$112,1,0)</f>
        <v>0</v>
      </c>
      <c r="C458" s="31" t="str">
        <f aca="false">+WORLDCUP!BD60</f>
        <v>Marruecos</v>
      </c>
      <c r="D458" s="31" t="str">
        <f aca="false">+WORLDCUP!BD64</f>
        <v>Bélgica</v>
      </c>
      <c r="E458" s="31" t="str">
        <f aca="false">+WORLDCUP!BD59</f>
        <v>Catar</v>
      </c>
      <c r="F458" s="31" t="str">
        <f aca="false">+WORLDCUP!BD61</f>
        <v>Turquía</v>
      </c>
      <c r="G458" s="31" t="str">
        <f aca="false">+WORLDCUP!BD58</f>
        <v>República Checa</v>
      </c>
      <c r="H458" s="31" t="str">
        <f aca="false">+WORLDCUP!BD63</f>
        <v>Japón</v>
      </c>
      <c r="I458" s="31" t="str">
        <f aca="false">+WORLDCUP!BD69</f>
        <v>Ghana</v>
      </c>
      <c r="J458" s="31" t="str">
        <f aca="false">+WORLDCUP!BD65</f>
        <v>España</v>
      </c>
      <c r="N458" s="31" t="s">
        <v>1976</v>
      </c>
      <c r="O458" s="31" t="n">
        <v>457</v>
      </c>
      <c r="P458" s="31" t="s">
        <v>89</v>
      </c>
      <c r="Q458" s="31" t="s">
        <v>107</v>
      </c>
      <c r="R458" s="31" t="s">
        <v>85</v>
      </c>
      <c r="S458" s="31" t="s">
        <v>94</v>
      </c>
      <c r="T458" s="31" t="s">
        <v>80</v>
      </c>
      <c r="U458" s="31" t="s">
        <v>103</v>
      </c>
      <c r="V458" s="31" t="s">
        <v>130</v>
      </c>
      <c r="W458" s="31" t="s">
        <v>112</v>
      </c>
    </row>
    <row r="459" customFormat="false" ht="15" hidden="false" customHeight="false" outlineLevel="0" collapsed="false">
      <c r="A459" s="31" t="s">
        <v>1977</v>
      </c>
      <c r="B459" s="31" t="n">
        <f aca="false">+IF(A459=WORLDCUP!$BI$112,1,0)</f>
        <v>0</v>
      </c>
      <c r="C459" s="31" t="str">
        <f aca="false">+WORLDCUP!BD65</f>
        <v>España</v>
      </c>
      <c r="D459" s="31" t="str">
        <f aca="false">+WORLDCUP!BD64</f>
        <v>Bélgica</v>
      </c>
      <c r="E459" s="31" t="str">
        <f aca="false">+WORLDCUP!BD59</f>
        <v>Catar</v>
      </c>
      <c r="F459" s="31" t="str">
        <f aca="false">+WORLDCUP!BD60</f>
        <v>Marruecos</v>
      </c>
      <c r="G459" s="31" t="str">
        <f aca="false">+WORLDCUP!BD58</f>
        <v>República Checa</v>
      </c>
      <c r="H459" s="31" t="str">
        <f aca="false">+WORLDCUP!BD63</f>
        <v>Japón</v>
      </c>
      <c r="I459" s="31" t="str">
        <f aca="false">+WORLDCUP!BD61</f>
        <v>Turquía</v>
      </c>
      <c r="J459" s="31" t="str">
        <f aca="false">+WORLDCUP!BD68</f>
        <v>Uzbekistán</v>
      </c>
      <c r="N459" s="31" t="s">
        <v>1977</v>
      </c>
      <c r="O459" s="31" t="n">
        <v>458</v>
      </c>
      <c r="P459" s="31" t="s">
        <v>112</v>
      </c>
      <c r="Q459" s="31" t="s">
        <v>107</v>
      </c>
      <c r="R459" s="31" t="s">
        <v>85</v>
      </c>
      <c r="S459" s="31" t="s">
        <v>89</v>
      </c>
      <c r="T459" s="31" t="s">
        <v>80</v>
      </c>
      <c r="U459" s="31" t="s">
        <v>103</v>
      </c>
      <c r="V459" s="31" t="s">
        <v>94</v>
      </c>
      <c r="W459" s="31" t="s">
        <v>125</v>
      </c>
    </row>
    <row r="460" customFormat="false" ht="15" hidden="false" customHeight="false" outlineLevel="0" collapsed="false">
      <c r="A460" s="31" t="s">
        <v>1978</v>
      </c>
      <c r="B460" s="31" t="n">
        <f aca="false">+IF(A460=WORLDCUP!$BI$112,1,0)</f>
        <v>0</v>
      </c>
      <c r="C460" s="31" t="str">
        <f aca="false">+WORLDCUP!BD65</f>
        <v>España</v>
      </c>
      <c r="D460" s="31" t="str">
        <f aca="false">+WORLDCUP!BD64</f>
        <v>Bélgica</v>
      </c>
      <c r="E460" s="31" t="str">
        <f aca="false">+WORLDCUP!BD59</f>
        <v>Catar</v>
      </c>
      <c r="F460" s="31" t="str">
        <f aca="false">+WORLDCUP!BD60</f>
        <v>Marruecos</v>
      </c>
      <c r="G460" s="31" t="str">
        <f aca="false">+WORLDCUP!BD58</f>
        <v>República Checa</v>
      </c>
      <c r="H460" s="31" t="str">
        <f aca="false">+WORLDCUP!BD63</f>
        <v>Japón</v>
      </c>
      <c r="I460" s="31" t="str">
        <f aca="false">+WORLDCUP!BD61</f>
        <v>Turquía</v>
      </c>
      <c r="J460" s="31" t="str">
        <f aca="false">+WORLDCUP!BD67</f>
        <v>Austria</v>
      </c>
      <c r="N460" s="31" t="s">
        <v>1978</v>
      </c>
      <c r="O460" s="31" t="n">
        <v>459</v>
      </c>
      <c r="P460" s="31" t="s">
        <v>112</v>
      </c>
      <c r="Q460" s="31" t="s">
        <v>107</v>
      </c>
      <c r="R460" s="31" t="s">
        <v>85</v>
      </c>
      <c r="S460" s="31" t="s">
        <v>89</v>
      </c>
      <c r="T460" s="31" t="s">
        <v>80</v>
      </c>
      <c r="U460" s="31" t="s">
        <v>103</v>
      </c>
      <c r="V460" s="31" t="s">
        <v>94</v>
      </c>
      <c r="W460" s="31" t="s">
        <v>121</v>
      </c>
    </row>
    <row r="461" customFormat="false" ht="15" hidden="false" customHeight="false" outlineLevel="0" collapsed="false">
      <c r="A461" s="31" t="s">
        <v>1979</v>
      </c>
      <c r="B461" s="31" t="n">
        <f aca="false">+IF(A461=WORLDCUP!$BI$112,1,0)</f>
        <v>0</v>
      </c>
      <c r="C461" s="31" t="str">
        <f aca="false">+WORLDCUP!BD65</f>
        <v>España</v>
      </c>
      <c r="D461" s="31" t="str">
        <f aca="false">+WORLDCUP!BD64</f>
        <v>Bélgica</v>
      </c>
      <c r="E461" s="31" t="str">
        <f aca="false">+WORLDCUP!BD59</f>
        <v>Catar</v>
      </c>
      <c r="F461" s="31" t="str">
        <f aca="false">+WORLDCUP!BD60</f>
        <v>Marruecos</v>
      </c>
      <c r="G461" s="31" t="str">
        <f aca="false">+WORLDCUP!BD58</f>
        <v>República Checa</v>
      </c>
      <c r="H461" s="31" t="str">
        <f aca="false">+WORLDCUP!BD63</f>
        <v>Japón</v>
      </c>
      <c r="I461" s="31" t="str">
        <f aca="false">+WORLDCUP!BD61</f>
        <v>Turquía</v>
      </c>
      <c r="J461" s="31" t="str">
        <f aca="false">+WORLDCUP!BD66</f>
        <v>Irak</v>
      </c>
      <c r="N461" s="31" t="s">
        <v>1979</v>
      </c>
      <c r="O461" s="31" t="n">
        <v>460</v>
      </c>
      <c r="P461" s="31" t="s">
        <v>112</v>
      </c>
      <c r="Q461" s="31" t="s">
        <v>107</v>
      </c>
      <c r="R461" s="31" t="s">
        <v>85</v>
      </c>
      <c r="S461" s="31" t="s">
        <v>89</v>
      </c>
      <c r="T461" s="31" t="s">
        <v>80</v>
      </c>
      <c r="U461" s="31" t="s">
        <v>103</v>
      </c>
      <c r="V461" s="31" t="s">
        <v>94</v>
      </c>
      <c r="W461" s="31" t="s">
        <v>116</v>
      </c>
    </row>
    <row r="462" customFormat="false" ht="15" hidden="false" customHeight="false" outlineLevel="0" collapsed="false">
      <c r="A462" s="31" t="s">
        <v>1980</v>
      </c>
      <c r="B462" s="31" t="n">
        <f aca="false">+IF(A462=WORLDCUP!$BI$112,1,0)</f>
        <v>0</v>
      </c>
      <c r="C462" s="31" t="str">
        <f aca="false">+WORLDCUP!BD62</f>
        <v>Ecuador</v>
      </c>
      <c r="D462" s="31" t="str">
        <f aca="false">+WORLDCUP!BD67</f>
        <v>Austria</v>
      </c>
      <c r="E462" s="31" t="str">
        <f aca="false">+WORLDCUP!BD59</f>
        <v>Catar</v>
      </c>
      <c r="F462" s="31" t="str">
        <f aca="false">+WORLDCUP!BD60</f>
        <v>Marruecos</v>
      </c>
      <c r="G462" s="31" t="str">
        <f aca="false">+WORLDCUP!BD58</f>
        <v>República Checa</v>
      </c>
      <c r="H462" s="31" t="str">
        <f aca="false">+WORLDCUP!BD61</f>
        <v>Turquía</v>
      </c>
      <c r="I462" s="31" t="str">
        <f aca="false">+WORLDCUP!BD69</f>
        <v>Ghana</v>
      </c>
      <c r="J462" s="31" t="str">
        <f aca="false">+WORLDCUP!BD68</f>
        <v>Uzbekistán</v>
      </c>
      <c r="N462" s="31" t="s">
        <v>1980</v>
      </c>
      <c r="O462" s="31" t="n">
        <v>461</v>
      </c>
      <c r="P462" s="31" t="s">
        <v>98</v>
      </c>
      <c r="Q462" s="31" t="s">
        <v>121</v>
      </c>
      <c r="R462" s="31" t="s">
        <v>85</v>
      </c>
      <c r="S462" s="31" t="s">
        <v>89</v>
      </c>
      <c r="T462" s="31" t="s">
        <v>80</v>
      </c>
      <c r="U462" s="31" t="s">
        <v>94</v>
      </c>
      <c r="V462" s="31" t="s">
        <v>130</v>
      </c>
      <c r="W462" s="31" t="s">
        <v>125</v>
      </c>
    </row>
    <row r="463" customFormat="false" ht="15" hidden="false" customHeight="false" outlineLevel="0" collapsed="false">
      <c r="A463" s="31" t="s">
        <v>1981</v>
      </c>
      <c r="B463" s="31" t="n">
        <f aca="false">+IF(A463=WORLDCUP!$BI$112,1,0)</f>
        <v>0</v>
      </c>
      <c r="C463" s="31" t="str">
        <f aca="false">+WORLDCUP!BD62</f>
        <v>Ecuador</v>
      </c>
      <c r="D463" s="31" t="str">
        <f aca="false">+WORLDCUP!BD66</f>
        <v>Irak</v>
      </c>
      <c r="E463" s="31" t="str">
        <f aca="false">+WORLDCUP!BD59</f>
        <v>Catar</v>
      </c>
      <c r="F463" s="31" t="str">
        <f aca="false">+WORLDCUP!BD60</f>
        <v>Marruecos</v>
      </c>
      <c r="G463" s="31" t="str">
        <f aca="false">+WORLDCUP!BD58</f>
        <v>República Checa</v>
      </c>
      <c r="H463" s="31" t="str">
        <f aca="false">+WORLDCUP!BD61</f>
        <v>Turquía</v>
      </c>
      <c r="I463" s="31" t="str">
        <f aca="false">+WORLDCUP!BD69</f>
        <v>Ghana</v>
      </c>
      <c r="J463" s="31" t="str">
        <f aca="false">+WORLDCUP!BD68</f>
        <v>Uzbekistán</v>
      </c>
      <c r="N463" s="31" t="s">
        <v>1981</v>
      </c>
      <c r="O463" s="31" t="n">
        <v>462</v>
      </c>
      <c r="P463" s="31" t="s">
        <v>98</v>
      </c>
      <c r="Q463" s="31" t="s">
        <v>116</v>
      </c>
      <c r="R463" s="31" t="s">
        <v>85</v>
      </c>
      <c r="S463" s="31" t="s">
        <v>89</v>
      </c>
      <c r="T463" s="31" t="s">
        <v>80</v>
      </c>
      <c r="U463" s="31" t="s">
        <v>94</v>
      </c>
      <c r="V463" s="31" t="s">
        <v>130</v>
      </c>
      <c r="W463" s="31" t="s">
        <v>125</v>
      </c>
    </row>
    <row r="464" customFormat="false" ht="15" hidden="false" customHeight="false" outlineLevel="0" collapsed="false">
      <c r="A464" s="31" t="s">
        <v>1982</v>
      </c>
      <c r="B464" s="31" t="n">
        <f aca="false">+IF(A464=WORLDCUP!$BI$112,1,0)</f>
        <v>0</v>
      </c>
      <c r="C464" s="31" t="str">
        <f aca="false">+WORLDCUP!BD62</f>
        <v>Ecuador</v>
      </c>
      <c r="D464" s="31" t="str">
        <f aca="false">+WORLDCUP!BD67</f>
        <v>Austria</v>
      </c>
      <c r="E464" s="31" t="str">
        <f aca="false">+WORLDCUP!BD59</f>
        <v>Catar</v>
      </c>
      <c r="F464" s="31" t="str">
        <f aca="false">+WORLDCUP!BD60</f>
        <v>Marruecos</v>
      </c>
      <c r="G464" s="31" t="str">
        <f aca="false">+WORLDCUP!BD58</f>
        <v>República Checa</v>
      </c>
      <c r="H464" s="31" t="str">
        <f aca="false">+WORLDCUP!BD61</f>
        <v>Turquía</v>
      </c>
      <c r="I464" s="31" t="str">
        <f aca="false">+WORLDCUP!BD69</f>
        <v>Ghana</v>
      </c>
      <c r="J464" s="31" t="str">
        <f aca="false">+WORLDCUP!BD66</f>
        <v>Irak</v>
      </c>
      <c r="N464" s="31" t="s">
        <v>1982</v>
      </c>
      <c r="O464" s="31" t="n">
        <v>463</v>
      </c>
      <c r="P464" s="31" t="s">
        <v>98</v>
      </c>
      <c r="Q464" s="31" t="s">
        <v>121</v>
      </c>
      <c r="R464" s="31" t="s">
        <v>85</v>
      </c>
      <c r="S464" s="31" t="s">
        <v>89</v>
      </c>
      <c r="T464" s="31" t="s">
        <v>80</v>
      </c>
      <c r="U464" s="31" t="s">
        <v>94</v>
      </c>
      <c r="V464" s="31" t="s">
        <v>130</v>
      </c>
      <c r="W464" s="31" t="s">
        <v>116</v>
      </c>
    </row>
    <row r="465" customFormat="false" ht="15" hidden="false" customHeight="false" outlineLevel="0" collapsed="false">
      <c r="A465" s="31" t="s">
        <v>1983</v>
      </c>
      <c r="B465" s="31" t="n">
        <f aca="false">+IF(A465=WORLDCUP!$BI$112,1,0)</f>
        <v>0</v>
      </c>
      <c r="C465" s="31" t="str">
        <f aca="false">+WORLDCUP!BD62</f>
        <v>Ecuador</v>
      </c>
      <c r="D465" s="31" t="str">
        <f aca="false">+WORLDCUP!BD67</f>
        <v>Austria</v>
      </c>
      <c r="E465" s="31" t="str">
        <f aca="false">+WORLDCUP!BD59</f>
        <v>Catar</v>
      </c>
      <c r="F465" s="31" t="str">
        <f aca="false">+WORLDCUP!BD60</f>
        <v>Marruecos</v>
      </c>
      <c r="G465" s="31" t="str">
        <f aca="false">+WORLDCUP!BD58</f>
        <v>República Checa</v>
      </c>
      <c r="H465" s="31" t="str">
        <f aca="false">+WORLDCUP!BD61</f>
        <v>Turquía</v>
      </c>
      <c r="I465" s="31" t="str">
        <f aca="false">+WORLDCUP!BD66</f>
        <v>Irak</v>
      </c>
      <c r="J465" s="31" t="str">
        <f aca="false">+WORLDCUP!BD68</f>
        <v>Uzbekistán</v>
      </c>
      <c r="N465" s="31" t="s">
        <v>1983</v>
      </c>
      <c r="O465" s="31" t="n">
        <v>464</v>
      </c>
      <c r="P465" s="31" t="s">
        <v>98</v>
      </c>
      <c r="Q465" s="31" t="s">
        <v>121</v>
      </c>
      <c r="R465" s="31" t="s">
        <v>85</v>
      </c>
      <c r="S465" s="31" t="s">
        <v>89</v>
      </c>
      <c r="T465" s="31" t="s">
        <v>80</v>
      </c>
      <c r="U465" s="31" t="s">
        <v>94</v>
      </c>
      <c r="V465" s="31" t="s">
        <v>116</v>
      </c>
      <c r="W465" s="31" t="s">
        <v>125</v>
      </c>
    </row>
    <row r="466" customFormat="false" ht="15" hidden="false" customHeight="false" outlineLevel="0" collapsed="false">
      <c r="A466" s="31" t="s">
        <v>1984</v>
      </c>
      <c r="B466" s="31" t="n">
        <f aca="false">+IF(A466=WORLDCUP!$BI$112,1,0)</f>
        <v>0</v>
      </c>
      <c r="C466" s="31" t="str">
        <f aca="false">+WORLDCUP!BD65</f>
        <v>España</v>
      </c>
      <c r="D466" s="31" t="str">
        <f aca="false">+WORLDCUP!BD62</f>
        <v>Ecuador</v>
      </c>
      <c r="E466" s="31" t="str">
        <f aca="false">+WORLDCUP!BD59</f>
        <v>Catar</v>
      </c>
      <c r="F466" s="31" t="str">
        <f aca="false">+WORLDCUP!BD60</f>
        <v>Marruecos</v>
      </c>
      <c r="G466" s="31" t="str">
        <f aca="false">+WORLDCUP!BD58</f>
        <v>República Checa</v>
      </c>
      <c r="H466" s="31" t="str">
        <f aca="false">+WORLDCUP!BD61</f>
        <v>Turquía</v>
      </c>
      <c r="I466" s="31" t="str">
        <f aca="false">+WORLDCUP!BD69</f>
        <v>Ghana</v>
      </c>
      <c r="J466" s="31" t="str">
        <f aca="false">+WORLDCUP!BD68</f>
        <v>Uzbekistán</v>
      </c>
      <c r="N466" s="31" t="s">
        <v>1984</v>
      </c>
      <c r="O466" s="31" t="n">
        <v>465</v>
      </c>
      <c r="P466" s="31" t="s">
        <v>112</v>
      </c>
      <c r="Q466" s="31" t="s">
        <v>98</v>
      </c>
      <c r="R466" s="31" t="s">
        <v>85</v>
      </c>
      <c r="S466" s="31" t="s">
        <v>89</v>
      </c>
      <c r="T466" s="31" t="s">
        <v>80</v>
      </c>
      <c r="U466" s="31" t="s">
        <v>94</v>
      </c>
      <c r="V466" s="31" t="s">
        <v>130</v>
      </c>
      <c r="W466" s="31" t="s">
        <v>125</v>
      </c>
    </row>
    <row r="467" customFormat="false" ht="15" hidden="false" customHeight="false" outlineLevel="0" collapsed="false">
      <c r="A467" s="31" t="s">
        <v>1985</v>
      </c>
      <c r="B467" s="31" t="n">
        <f aca="false">+IF(A467=WORLDCUP!$BI$112,1,0)</f>
        <v>0</v>
      </c>
      <c r="C467" s="31" t="str">
        <f aca="false">+WORLDCUP!BD65</f>
        <v>España</v>
      </c>
      <c r="D467" s="31" t="str">
        <f aca="false">+WORLDCUP!BD67</f>
        <v>Austria</v>
      </c>
      <c r="E467" s="31" t="str">
        <f aca="false">+WORLDCUP!BD59</f>
        <v>Catar</v>
      </c>
      <c r="F467" s="31" t="str">
        <f aca="false">+WORLDCUP!BD60</f>
        <v>Marruecos</v>
      </c>
      <c r="G467" s="31" t="str">
        <f aca="false">+WORLDCUP!BD58</f>
        <v>República Checa</v>
      </c>
      <c r="H467" s="31" t="str">
        <f aca="false">+WORLDCUP!BD61</f>
        <v>Turquía</v>
      </c>
      <c r="I467" s="31" t="str">
        <f aca="false">+WORLDCUP!BD69</f>
        <v>Ghana</v>
      </c>
      <c r="J467" s="31" t="str">
        <f aca="false">+WORLDCUP!BD62</f>
        <v>Ecuador</v>
      </c>
      <c r="N467" s="31" t="s">
        <v>1985</v>
      </c>
      <c r="O467" s="31" t="n">
        <v>466</v>
      </c>
      <c r="P467" s="31" t="s">
        <v>112</v>
      </c>
      <c r="Q467" s="31" t="s">
        <v>121</v>
      </c>
      <c r="R467" s="31" t="s">
        <v>85</v>
      </c>
      <c r="S467" s="31" t="s">
        <v>89</v>
      </c>
      <c r="T467" s="31" t="s">
        <v>80</v>
      </c>
      <c r="U467" s="31" t="s">
        <v>94</v>
      </c>
      <c r="V467" s="31" t="s">
        <v>130</v>
      </c>
      <c r="W467" s="31" t="s">
        <v>98</v>
      </c>
    </row>
    <row r="468" customFormat="false" ht="15" hidden="false" customHeight="false" outlineLevel="0" collapsed="false">
      <c r="A468" s="31" t="s">
        <v>1986</v>
      </c>
      <c r="B468" s="31" t="n">
        <f aca="false">+IF(A468=WORLDCUP!$BI$112,1,0)</f>
        <v>0</v>
      </c>
      <c r="C468" s="31" t="str">
        <f aca="false">+WORLDCUP!BD65</f>
        <v>España</v>
      </c>
      <c r="D468" s="31" t="str">
        <f aca="false">+WORLDCUP!BD67</f>
        <v>Austria</v>
      </c>
      <c r="E468" s="31" t="str">
        <f aca="false">+WORLDCUP!BD59</f>
        <v>Catar</v>
      </c>
      <c r="F468" s="31" t="str">
        <f aca="false">+WORLDCUP!BD60</f>
        <v>Marruecos</v>
      </c>
      <c r="G468" s="31" t="str">
        <f aca="false">+WORLDCUP!BD58</f>
        <v>República Checa</v>
      </c>
      <c r="H468" s="31" t="str">
        <f aca="false">+WORLDCUP!BD61</f>
        <v>Turquía</v>
      </c>
      <c r="I468" s="31" t="str">
        <f aca="false">+WORLDCUP!BD62</f>
        <v>Ecuador</v>
      </c>
      <c r="J468" s="31" t="str">
        <f aca="false">+WORLDCUP!BD68</f>
        <v>Uzbekistán</v>
      </c>
      <c r="N468" s="31" t="s">
        <v>1986</v>
      </c>
      <c r="O468" s="31" t="n">
        <v>467</v>
      </c>
      <c r="P468" s="31" t="s">
        <v>112</v>
      </c>
      <c r="Q468" s="31" t="s">
        <v>121</v>
      </c>
      <c r="R468" s="31" t="s">
        <v>85</v>
      </c>
      <c r="S468" s="31" t="s">
        <v>89</v>
      </c>
      <c r="T468" s="31" t="s">
        <v>80</v>
      </c>
      <c r="U468" s="31" t="s">
        <v>94</v>
      </c>
      <c r="V468" s="31" t="s">
        <v>98</v>
      </c>
      <c r="W468" s="31" t="s">
        <v>125</v>
      </c>
    </row>
    <row r="469" customFormat="false" ht="15" hidden="false" customHeight="false" outlineLevel="0" collapsed="false">
      <c r="A469" s="31" t="s">
        <v>1987</v>
      </c>
      <c r="B469" s="31" t="n">
        <f aca="false">+IF(A469=WORLDCUP!$BI$112,1,0)</f>
        <v>0</v>
      </c>
      <c r="C469" s="31" t="str">
        <f aca="false">+WORLDCUP!BD65</f>
        <v>España</v>
      </c>
      <c r="D469" s="31" t="str">
        <f aca="false">+WORLDCUP!BD62</f>
        <v>Ecuador</v>
      </c>
      <c r="E469" s="31" t="str">
        <f aca="false">+WORLDCUP!BD59</f>
        <v>Catar</v>
      </c>
      <c r="F469" s="31" t="str">
        <f aca="false">+WORLDCUP!BD60</f>
        <v>Marruecos</v>
      </c>
      <c r="G469" s="31" t="str">
        <f aca="false">+WORLDCUP!BD58</f>
        <v>República Checa</v>
      </c>
      <c r="H469" s="31" t="str">
        <f aca="false">+WORLDCUP!BD61</f>
        <v>Turquía</v>
      </c>
      <c r="I469" s="31" t="str">
        <f aca="false">+WORLDCUP!BD69</f>
        <v>Ghana</v>
      </c>
      <c r="J469" s="31" t="str">
        <f aca="false">+WORLDCUP!BD66</f>
        <v>Irak</v>
      </c>
      <c r="N469" s="31" t="s">
        <v>1987</v>
      </c>
      <c r="O469" s="31" t="n">
        <v>468</v>
      </c>
      <c r="P469" s="31" t="s">
        <v>112</v>
      </c>
      <c r="Q469" s="31" t="s">
        <v>98</v>
      </c>
      <c r="R469" s="31" t="s">
        <v>85</v>
      </c>
      <c r="S469" s="31" t="s">
        <v>89</v>
      </c>
      <c r="T469" s="31" t="s">
        <v>80</v>
      </c>
      <c r="U469" s="31" t="s">
        <v>94</v>
      </c>
      <c r="V469" s="31" t="s">
        <v>130</v>
      </c>
      <c r="W469" s="31" t="s">
        <v>116</v>
      </c>
    </row>
    <row r="470" customFormat="false" ht="15" hidden="false" customHeight="false" outlineLevel="0" collapsed="false">
      <c r="A470" s="31" t="s">
        <v>1988</v>
      </c>
      <c r="B470" s="31" t="n">
        <f aca="false">+IF(A470=WORLDCUP!$BI$112,1,0)</f>
        <v>0</v>
      </c>
      <c r="C470" s="31" t="str">
        <f aca="false">+WORLDCUP!BD65</f>
        <v>España</v>
      </c>
      <c r="D470" s="31" t="str">
        <f aca="false">+WORLDCUP!BD62</f>
        <v>Ecuador</v>
      </c>
      <c r="E470" s="31" t="str">
        <f aca="false">+WORLDCUP!BD59</f>
        <v>Catar</v>
      </c>
      <c r="F470" s="31" t="str">
        <f aca="false">+WORLDCUP!BD60</f>
        <v>Marruecos</v>
      </c>
      <c r="G470" s="31" t="str">
        <f aca="false">+WORLDCUP!BD58</f>
        <v>República Checa</v>
      </c>
      <c r="H470" s="31" t="str">
        <f aca="false">+WORLDCUP!BD61</f>
        <v>Turquía</v>
      </c>
      <c r="I470" s="31" t="str">
        <f aca="false">+WORLDCUP!BD66</f>
        <v>Irak</v>
      </c>
      <c r="J470" s="31" t="str">
        <f aca="false">+WORLDCUP!BD68</f>
        <v>Uzbekistán</v>
      </c>
      <c r="N470" s="31" t="s">
        <v>1988</v>
      </c>
      <c r="O470" s="31" t="n">
        <v>469</v>
      </c>
      <c r="P470" s="31" t="s">
        <v>112</v>
      </c>
      <c r="Q470" s="31" t="s">
        <v>98</v>
      </c>
      <c r="R470" s="31" t="s">
        <v>85</v>
      </c>
      <c r="S470" s="31" t="s">
        <v>89</v>
      </c>
      <c r="T470" s="31" t="s">
        <v>80</v>
      </c>
      <c r="U470" s="31" t="s">
        <v>94</v>
      </c>
      <c r="V470" s="31" t="s">
        <v>116</v>
      </c>
      <c r="W470" s="31" t="s">
        <v>125</v>
      </c>
    </row>
    <row r="471" customFormat="false" ht="15" hidden="false" customHeight="false" outlineLevel="0" collapsed="false">
      <c r="A471" s="31" t="s">
        <v>1989</v>
      </c>
      <c r="B471" s="31" t="n">
        <f aca="false">+IF(A471=WORLDCUP!$BI$112,1,0)</f>
        <v>0</v>
      </c>
      <c r="C471" s="31" t="str">
        <f aca="false">+WORLDCUP!BD65</f>
        <v>España</v>
      </c>
      <c r="D471" s="31" t="str">
        <f aca="false">+WORLDCUP!BD67</f>
        <v>Austria</v>
      </c>
      <c r="E471" s="31" t="str">
        <f aca="false">+WORLDCUP!BD59</f>
        <v>Catar</v>
      </c>
      <c r="F471" s="31" t="str">
        <f aca="false">+WORLDCUP!BD60</f>
        <v>Marruecos</v>
      </c>
      <c r="G471" s="31" t="str">
        <f aca="false">+WORLDCUP!BD58</f>
        <v>República Checa</v>
      </c>
      <c r="H471" s="31" t="str">
        <f aca="false">+WORLDCUP!BD61</f>
        <v>Turquía</v>
      </c>
      <c r="I471" s="31" t="str">
        <f aca="false">+WORLDCUP!BD62</f>
        <v>Ecuador</v>
      </c>
      <c r="J471" s="31" t="str">
        <f aca="false">+WORLDCUP!BD66</f>
        <v>Irak</v>
      </c>
      <c r="N471" s="31" t="s">
        <v>1989</v>
      </c>
      <c r="O471" s="31" t="n">
        <v>470</v>
      </c>
      <c r="P471" s="31" t="s">
        <v>112</v>
      </c>
      <c r="Q471" s="31" t="s">
        <v>121</v>
      </c>
      <c r="R471" s="31" t="s">
        <v>85</v>
      </c>
      <c r="S471" s="31" t="s">
        <v>89</v>
      </c>
      <c r="T471" s="31" t="s">
        <v>80</v>
      </c>
      <c r="U471" s="31" t="s">
        <v>94</v>
      </c>
      <c r="V471" s="31" t="s">
        <v>98</v>
      </c>
      <c r="W471" s="31" t="s">
        <v>116</v>
      </c>
    </row>
    <row r="472" customFormat="false" ht="15" hidden="false" customHeight="false" outlineLevel="0" collapsed="false">
      <c r="A472" s="31" t="s">
        <v>1990</v>
      </c>
      <c r="B472" s="31" t="n">
        <f aca="false">+IF(A472=WORLDCUP!$BI$112,1,0)</f>
        <v>0</v>
      </c>
      <c r="C472" s="31" t="str">
        <f aca="false">+WORLDCUP!BD62</f>
        <v>Ecuador</v>
      </c>
      <c r="D472" s="31" t="str">
        <f aca="false">+WORLDCUP!BD64</f>
        <v>Bélgica</v>
      </c>
      <c r="E472" s="31" t="str">
        <f aca="false">+WORLDCUP!BD59</f>
        <v>Catar</v>
      </c>
      <c r="F472" s="31" t="str">
        <f aca="false">+WORLDCUP!BD60</f>
        <v>Marruecos</v>
      </c>
      <c r="G472" s="31" t="str">
        <f aca="false">+WORLDCUP!BD58</f>
        <v>República Checa</v>
      </c>
      <c r="H472" s="31" t="str">
        <f aca="false">+WORLDCUP!BD61</f>
        <v>Turquía</v>
      </c>
      <c r="I472" s="31" t="str">
        <f aca="false">+WORLDCUP!BD69</f>
        <v>Ghana</v>
      </c>
      <c r="J472" s="31" t="str">
        <f aca="false">+WORLDCUP!BD68</f>
        <v>Uzbekistán</v>
      </c>
      <c r="N472" s="31" t="s">
        <v>1990</v>
      </c>
      <c r="O472" s="31" t="n">
        <v>471</v>
      </c>
      <c r="P472" s="31" t="s">
        <v>98</v>
      </c>
      <c r="Q472" s="31" t="s">
        <v>107</v>
      </c>
      <c r="R472" s="31" t="s">
        <v>85</v>
      </c>
      <c r="S472" s="31" t="s">
        <v>89</v>
      </c>
      <c r="T472" s="31" t="s">
        <v>80</v>
      </c>
      <c r="U472" s="31" t="s">
        <v>94</v>
      </c>
      <c r="V472" s="31" t="s">
        <v>130</v>
      </c>
      <c r="W472" s="31" t="s">
        <v>125</v>
      </c>
    </row>
    <row r="473" customFormat="false" ht="15" hidden="false" customHeight="false" outlineLevel="0" collapsed="false">
      <c r="A473" s="31" t="s">
        <v>1991</v>
      </c>
      <c r="B473" s="31" t="n">
        <f aca="false">+IF(A473=WORLDCUP!$BI$112,1,0)</f>
        <v>0</v>
      </c>
      <c r="C473" s="31" t="str">
        <f aca="false">+WORLDCUP!BD62</f>
        <v>Ecuador</v>
      </c>
      <c r="D473" s="31" t="str">
        <f aca="false">+WORLDCUP!BD64</f>
        <v>Bélgica</v>
      </c>
      <c r="E473" s="31" t="str">
        <f aca="false">+WORLDCUP!BD59</f>
        <v>Catar</v>
      </c>
      <c r="F473" s="31" t="str">
        <f aca="false">+WORLDCUP!BD60</f>
        <v>Marruecos</v>
      </c>
      <c r="G473" s="31" t="str">
        <f aca="false">+WORLDCUP!BD58</f>
        <v>República Checa</v>
      </c>
      <c r="H473" s="31" t="str">
        <f aca="false">+WORLDCUP!BD61</f>
        <v>Turquía</v>
      </c>
      <c r="I473" s="31" t="str">
        <f aca="false">+WORLDCUP!BD69</f>
        <v>Ghana</v>
      </c>
      <c r="J473" s="31" t="str">
        <f aca="false">+WORLDCUP!BD67</f>
        <v>Austria</v>
      </c>
      <c r="N473" s="31" t="s">
        <v>1991</v>
      </c>
      <c r="O473" s="31" t="n">
        <v>472</v>
      </c>
      <c r="P473" s="31" t="s">
        <v>98</v>
      </c>
      <c r="Q473" s="31" t="s">
        <v>107</v>
      </c>
      <c r="R473" s="31" t="s">
        <v>85</v>
      </c>
      <c r="S473" s="31" t="s">
        <v>89</v>
      </c>
      <c r="T473" s="31" t="s">
        <v>80</v>
      </c>
      <c r="U473" s="31" t="s">
        <v>94</v>
      </c>
      <c r="V473" s="31" t="s">
        <v>130</v>
      </c>
      <c r="W473" s="31" t="s">
        <v>121</v>
      </c>
    </row>
    <row r="474" customFormat="false" ht="15" hidden="false" customHeight="false" outlineLevel="0" collapsed="false">
      <c r="A474" s="31" t="s">
        <v>1992</v>
      </c>
      <c r="B474" s="31" t="n">
        <f aca="false">+IF(A474=WORLDCUP!$BI$112,1,0)</f>
        <v>0</v>
      </c>
      <c r="C474" s="31" t="str">
        <f aca="false">+WORLDCUP!BD62</f>
        <v>Ecuador</v>
      </c>
      <c r="D474" s="31" t="str">
        <f aca="false">+WORLDCUP!BD64</f>
        <v>Bélgica</v>
      </c>
      <c r="E474" s="31" t="str">
        <f aca="false">+WORLDCUP!BD59</f>
        <v>Catar</v>
      </c>
      <c r="F474" s="31" t="str">
        <f aca="false">+WORLDCUP!BD60</f>
        <v>Marruecos</v>
      </c>
      <c r="G474" s="31" t="str">
        <f aca="false">+WORLDCUP!BD58</f>
        <v>República Checa</v>
      </c>
      <c r="H474" s="31" t="str">
        <f aca="false">+WORLDCUP!BD61</f>
        <v>Turquía</v>
      </c>
      <c r="I474" s="31" t="str">
        <f aca="false">+WORLDCUP!BD67</f>
        <v>Austria</v>
      </c>
      <c r="J474" s="31" t="str">
        <f aca="false">+WORLDCUP!BD68</f>
        <v>Uzbekistán</v>
      </c>
      <c r="N474" s="31" t="s">
        <v>1992</v>
      </c>
      <c r="O474" s="31" t="n">
        <v>473</v>
      </c>
      <c r="P474" s="31" t="s">
        <v>98</v>
      </c>
      <c r="Q474" s="31" t="s">
        <v>107</v>
      </c>
      <c r="R474" s="31" t="s">
        <v>85</v>
      </c>
      <c r="S474" s="31" t="s">
        <v>89</v>
      </c>
      <c r="T474" s="31" t="s">
        <v>80</v>
      </c>
      <c r="U474" s="31" t="s">
        <v>94</v>
      </c>
      <c r="V474" s="31" t="s">
        <v>121</v>
      </c>
      <c r="W474" s="31" t="s">
        <v>125</v>
      </c>
    </row>
    <row r="475" customFormat="false" ht="15" hidden="false" customHeight="false" outlineLevel="0" collapsed="false">
      <c r="A475" s="31" t="s">
        <v>1993</v>
      </c>
      <c r="B475" s="31" t="n">
        <f aca="false">+IF(A475=WORLDCUP!$BI$112,1,0)</f>
        <v>0</v>
      </c>
      <c r="C475" s="31" t="str">
        <f aca="false">+WORLDCUP!BD62</f>
        <v>Ecuador</v>
      </c>
      <c r="D475" s="31" t="str">
        <f aca="false">+WORLDCUP!BD64</f>
        <v>Bélgica</v>
      </c>
      <c r="E475" s="31" t="str">
        <f aca="false">+WORLDCUP!BD59</f>
        <v>Catar</v>
      </c>
      <c r="F475" s="31" t="str">
        <f aca="false">+WORLDCUP!BD60</f>
        <v>Marruecos</v>
      </c>
      <c r="G475" s="31" t="str">
        <f aca="false">+WORLDCUP!BD58</f>
        <v>República Checa</v>
      </c>
      <c r="H475" s="31" t="str">
        <f aca="false">+WORLDCUP!BD61</f>
        <v>Turquía</v>
      </c>
      <c r="I475" s="31" t="str">
        <f aca="false">+WORLDCUP!BD69</f>
        <v>Ghana</v>
      </c>
      <c r="J475" s="31" t="str">
        <f aca="false">+WORLDCUP!BD66</f>
        <v>Irak</v>
      </c>
      <c r="N475" s="31" t="s">
        <v>1993</v>
      </c>
      <c r="O475" s="31" t="n">
        <v>474</v>
      </c>
      <c r="P475" s="31" t="s">
        <v>98</v>
      </c>
      <c r="Q475" s="31" t="s">
        <v>107</v>
      </c>
      <c r="R475" s="31" t="s">
        <v>85</v>
      </c>
      <c r="S475" s="31" t="s">
        <v>89</v>
      </c>
      <c r="T475" s="31" t="s">
        <v>80</v>
      </c>
      <c r="U475" s="31" t="s">
        <v>94</v>
      </c>
      <c r="V475" s="31" t="s">
        <v>130</v>
      </c>
      <c r="W475" s="31" t="s">
        <v>116</v>
      </c>
    </row>
    <row r="476" customFormat="false" ht="15" hidden="false" customHeight="false" outlineLevel="0" collapsed="false">
      <c r="A476" s="31" t="s">
        <v>1994</v>
      </c>
      <c r="B476" s="31" t="n">
        <f aca="false">+IF(A476=WORLDCUP!$BI$112,1,0)</f>
        <v>0</v>
      </c>
      <c r="C476" s="31" t="str">
        <f aca="false">+WORLDCUP!BD62</f>
        <v>Ecuador</v>
      </c>
      <c r="D476" s="31" t="str">
        <f aca="false">+WORLDCUP!BD64</f>
        <v>Bélgica</v>
      </c>
      <c r="E476" s="31" t="str">
        <f aca="false">+WORLDCUP!BD59</f>
        <v>Catar</v>
      </c>
      <c r="F476" s="31" t="str">
        <f aca="false">+WORLDCUP!BD60</f>
        <v>Marruecos</v>
      </c>
      <c r="G476" s="31" t="str">
        <f aca="false">+WORLDCUP!BD58</f>
        <v>República Checa</v>
      </c>
      <c r="H476" s="31" t="str">
        <f aca="false">+WORLDCUP!BD61</f>
        <v>Turquía</v>
      </c>
      <c r="I476" s="31" t="str">
        <f aca="false">+WORLDCUP!BD66</f>
        <v>Irak</v>
      </c>
      <c r="J476" s="31" t="str">
        <f aca="false">+WORLDCUP!BD68</f>
        <v>Uzbekistán</v>
      </c>
      <c r="N476" s="31" t="s">
        <v>1994</v>
      </c>
      <c r="O476" s="31" t="n">
        <v>475</v>
      </c>
      <c r="P476" s="31" t="s">
        <v>98</v>
      </c>
      <c r="Q476" s="31" t="s">
        <v>107</v>
      </c>
      <c r="R476" s="31" t="s">
        <v>85</v>
      </c>
      <c r="S476" s="31" t="s">
        <v>89</v>
      </c>
      <c r="T476" s="31" t="s">
        <v>80</v>
      </c>
      <c r="U476" s="31" t="s">
        <v>94</v>
      </c>
      <c r="V476" s="31" t="s">
        <v>116</v>
      </c>
      <c r="W476" s="31" t="s">
        <v>125</v>
      </c>
    </row>
    <row r="477" customFormat="false" ht="15" hidden="false" customHeight="false" outlineLevel="0" collapsed="false">
      <c r="A477" s="31" t="s">
        <v>1995</v>
      </c>
      <c r="B477" s="31" t="n">
        <f aca="false">+IF(A477=WORLDCUP!$BI$112,1,0)</f>
        <v>0</v>
      </c>
      <c r="C477" s="31" t="str">
        <f aca="false">+WORLDCUP!BD62</f>
        <v>Ecuador</v>
      </c>
      <c r="D477" s="31" t="str">
        <f aca="false">+WORLDCUP!BD64</f>
        <v>Bélgica</v>
      </c>
      <c r="E477" s="31" t="str">
        <f aca="false">+WORLDCUP!BD59</f>
        <v>Catar</v>
      </c>
      <c r="F477" s="31" t="str">
        <f aca="false">+WORLDCUP!BD60</f>
        <v>Marruecos</v>
      </c>
      <c r="G477" s="31" t="str">
        <f aca="false">+WORLDCUP!BD58</f>
        <v>República Checa</v>
      </c>
      <c r="H477" s="31" t="str">
        <f aca="false">+WORLDCUP!BD61</f>
        <v>Turquía</v>
      </c>
      <c r="I477" s="31" t="str">
        <f aca="false">+WORLDCUP!BD66</f>
        <v>Irak</v>
      </c>
      <c r="J477" s="31" t="str">
        <f aca="false">+WORLDCUP!BD67</f>
        <v>Austria</v>
      </c>
      <c r="N477" s="31" t="s">
        <v>1995</v>
      </c>
      <c r="O477" s="31" t="n">
        <v>476</v>
      </c>
      <c r="P477" s="31" t="s">
        <v>98</v>
      </c>
      <c r="Q477" s="31" t="s">
        <v>107</v>
      </c>
      <c r="R477" s="31" t="s">
        <v>85</v>
      </c>
      <c r="S477" s="31" t="s">
        <v>89</v>
      </c>
      <c r="T477" s="31" t="s">
        <v>80</v>
      </c>
      <c r="U477" s="31" t="s">
        <v>94</v>
      </c>
      <c r="V477" s="31" t="s">
        <v>116</v>
      </c>
      <c r="W477" s="31" t="s">
        <v>121</v>
      </c>
    </row>
    <row r="478" customFormat="false" ht="15" hidden="false" customHeight="false" outlineLevel="0" collapsed="false">
      <c r="A478" s="31" t="s">
        <v>1996</v>
      </c>
      <c r="B478" s="31" t="n">
        <f aca="false">+IF(A478=WORLDCUP!$BI$112,1,0)</f>
        <v>0</v>
      </c>
      <c r="C478" s="31" t="str">
        <f aca="false">+WORLDCUP!BD65</f>
        <v>España</v>
      </c>
      <c r="D478" s="31" t="str">
        <f aca="false">+WORLDCUP!BD64</f>
        <v>Bélgica</v>
      </c>
      <c r="E478" s="31" t="str">
        <f aca="false">+WORLDCUP!BD59</f>
        <v>Catar</v>
      </c>
      <c r="F478" s="31" t="str">
        <f aca="false">+WORLDCUP!BD60</f>
        <v>Marruecos</v>
      </c>
      <c r="G478" s="31" t="str">
        <f aca="false">+WORLDCUP!BD58</f>
        <v>República Checa</v>
      </c>
      <c r="H478" s="31" t="str">
        <f aca="false">+WORLDCUP!BD61</f>
        <v>Turquía</v>
      </c>
      <c r="I478" s="31" t="str">
        <f aca="false">+WORLDCUP!BD69</f>
        <v>Ghana</v>
      </c>
      <c r="J478" s="31" t="str">
        <f aca="false">+WORLDCUP!BD62</f>
        <v>Ecuador</v>
      </c>
      <c r="N478" s="31" t="s">
        <v>1996</v>
      </c>
      <c r="O478" s="31" t="n">
        <v>477</v>
      </c>
      <c r="P478" s="31" t="s">
        <v>112</v>
      </c>
      <c r="Q478" s="31" t="s">
        <v>107</v>
      </c>
      <c r="R478" s="31" t="s">
        <v>85</v>
      </c>
      <c r="S478" s="31" t="s">
        <v>89</v>
      </c>
      <c r="T478" s="31" t="s">
        <v>80</v>
      </c>
      <c r="U478" s="31" t="s">
        <v>94</v>
      </c>
      <c r="V478" s="31" t="s">
        <v>130</v>
      </c>
      <c r="W478" s="31" t="s">
        <v>98</v>
      </c>
    </row>
    <row r="479" customFormat="false" ht="15" hidden="false" customHeight="false" outlineLevel="0" collapsed="false">
      <c r="A479" s="31" t="s">
        <v>1997</v>
      </c>
      <c r="B479" s="31" t="n">
        <f aca="false">+IF(A479=WORLDCUP!$BI$112,1,0)</f>
        <v>0</v>
      </c>
      <c r="C479" s="31" t="str">
        <f aca="false">+WORLDCUP!BD65</f>
        <v>España</v>
      </c>
      <c r="D479" s="31" t="str">
        <f aca="false">+WORLDCUP!BD64</f>
        <v>Bélgica</v>
      </c>
      <c r="E479" s="31" t="str">
        <f aca="false">+WORLDCUP!BD59</f>
        <v>Catar</v>
      </c>
      <c r="F479" s="31" t="str">
        <f aca="false">+WORLDCUP!BD60</f>
        <v>Marruecos</v>
      </c>
      <c r="G479" s="31" t="str">
        <f aca="false">+WORLDCUP!BD58</f>
        <v>República Checa</v>
      </c>
      <c r="H479" s="31" t="str">
        <f aca="false">+WORLDCUP!BD61</f>
        <v>Turquía</v>
      </c>
      <c r="I479" s="31" t="str">
        <f aca="false">+WORLDCUP!BD62</f>
        <v>Ecuador</v>
      </c>
      <c r="J479" s="31" t="str">
        <f aca="false">+WORLDCUP!BD68</f>
        <v>Uzbekistán</v>
      </c>
      <c r="N479" s="31" t="s">
        <v>1997</v>
      </c>
      <c r="O479" s="31" t="n">
        <v>478</v>
      </c>
      <c r="P479" s="31" t="s">
        <v>112</v>
      </c>
      <c r="Q479" s="31" t="s">
        <v>107</v>
      </c>
      <c r="R479" s="31" t="s">
        <v>85</v>
      </c>
      <c r="S479" s="31" t="s">
        <v>89</v>
      </c>
      <c r="T479" s="31" t="s">
        <v>80</v>
      </c>
      <c r="U479" s="31" t="s">
        <v>94</v>
      </c>
      <c r="V479" s="31" t="s">
        <v>98</v>
      </c>
      <c r="W479" s="31" t="s">
        <v>125</v>
      </c>
    </row>
    <row r="480" customFormat="false" ht="15" hidden="false" customHeight="false" outlineLevel="0" collapsed="false">
      <c r="A480" s="31" t="s">
        <v>1998</v>
      </c>
      <c r="B480" s="31" t="n">
        <f aca="false">+IF(A480=WORLDCUP!$BI$112,1,0)</f>
        <v>0</v>
      </c>
      <c r="C480" s="31" t="str">
        <f aca="false">+WORLDCUP!BD65</f>
        <v>España</v>
      </c>
      <c r="D480" s="31" t="str">
        <f aca="false">+WORLDCUP!BD64</f>
        <v>Bélgica</v>
      </c>
      <c r="E480" s="31" t="str">
        <f aca="false">+WORLDCUP!BD59</f>
        <v>Catar</v>
      </c>
      <c r="F480" s="31" t="str">
        <f aca="false">+WORLDCUP!BD60</f>
        <v>Marruecos</v>
      </c>
      <c r="G480" s="31" t="str">
        <f aca="false">+WORLDCUP!BD58</f>
        <v>República Checa</v>
      </c>
      <c r="H480" s="31" t="str">
        <f aca="false">+WORLDCUP!BD61</f>
        <v>Turquía</v>
      </c>
      <c r="I480" s="31" t="str">
        <f aca="false">+WORLDCUP!BD62</f>
        <v>Ecuador</v>
      </c>
      <c r="J480" s="31" t="str">
        <f aca="false">+WORLDCUP!BD67</f>
        <v>Austria</v>
      </c>
      <c r="N480" s="31" t="s">
        <v>1998</v>
      </c>
      <c r="O480" s="31" t="n">
        <v>479</v>
      </c>
      <c r="P480" s="31" t="s">
        <v>112</v>
      </c>
      <c r="Q480" s="31" t="s">
        <v>107</v>
      </c>
      <c r="R480" s="31" t="s">
        <v>85</v>
      </c>
      <c r="S480" s="31" t="s">
        <v>89</v>
      </c>
      <c r="T480" s="31" t="s">
        <v>80</v>
      </c>
      <c r="U480" s="31" t="s">
        <v>94</v>
      </c>
      <c r="V480" s="31" t="s">
        <v>98</v>
      </c>
      <c r="W480" s="31" t="s">
        <v>121</v>
      </c>
    </row>
    <row r="481" customFormat="false" ht="15" hidden="false" customHeight="false" outlineLevel="0" collapsed="false">
      <c r="A481" s="31" t="s">
        <v>1999</v>
      </c>
      <c r="B481" s="31" t="n">
        <f aca="false">+IF(A481=WORLDCUP!$BI$112,1,0)</f>
        <v>0</v>
      </c>
      <c r="C481" s="31" t="str">
        <f aca="false">+WORLDCUP!BD65</f>
        <v>España</v>
      </c>
      <c r="D481" s="31" t="str">
        <f aca="false">+WORLDCUP!BD64</f>
        <v>Bélgica</v>
      </c>
      <c r="E481" s="31" t="str">
        <f aca="false">+WORLDCUP!BD59</f>
        <v>Catar</v>
      </c>
      <c r="F481" s="31" t="str">
        <f aca="false">+WORLDCUP!BD60</f>
        <v>Marruecos</v>
      </c>
      <c r="G481" s="31" t="str">
        <f aca="false">+WORLDCUP!BD58</f>
        <v>República Checa</v>
      </c>
      <c r="H481" s="31" t="str">
        <f aca="false">+WORLDCUP!BD61</f>
        <v>Turquía</v>
      </c>
      <c r="I481" s="31" t="str">
        <f aca="false">+WORLDCUP!BD62</f>
        <v>Ecuador</v>
      </c>
      <c r="J481" s="31" t="str">
        <f aca="false">+WORLDCUP!BD66</f>
        <v>Irak</v>
      </c>
      <c r="N481" s="31" t="s">
        <v>1999</v>
      </c>
      <c r="O481" s="31" t="n">
        <v>480</v>
      </c>
      <c r="P481" s="31" t="s">
        <v>112</v>
      </c>
      <c r="Q481" s="31" t="s">
        <v>107</v>
      </c>
      <c r="R481" s="31" t="s">
        <v>85</v>
      </c>
      <c r="S481" s="31" t="s">
        <v>89</v>
      </c>
      <c r="T481" s="31" t="s">
        <v>80</v>
      </c>
      <c r="U481" s="31" t="s">
        <v>94</v>
      </c>
      <c r="V481" s="31" t="s">
        <v>98</v>
      </c>
      <c r="W481" s="31" t="s">
        <v>116</v>
      </c>
    </row>
    <row r="482" customFormat="false" ht="15" hidden="false" customHeight="false" outlineLevel="0" collapsed="false">
      <c r="A482" s="31" t="s">
        <v>2000</v>
      </c>
      <c r="B482" s="31" t="n">
        <f aca="false">+IF(A482=WORLDCUP!$BI$112,1,0)</f>
        <v>0</v>
      </c>
      <c r="C482" s="31" t="str">
        <f aca="false">+WORLDCUP!BD60</f>
        <v>Marruecos</v>
      </c>
      <c r="D482" s="31" t="str">
        <f aca="false">+WORLDCUP!BD62</f>
        <v>Ecuador</v>
      </c>
      <c r="E482" s="31" t="str">
        <f aca="false">+WORLDCUP!BD59</f>
        <v>Catar</v>
      </c>
      <c r="F482" s="31" t="str">
        <f aca="false">+WORLDCUP!BD61</f>
        <v>Turquía</v>
      </c>
      <c r="G482" s="31" t="str">
        <f aca="false">+WORLDCUP!BD58</f>
        <v>República Checa</v>
      </c>
      <c r="H482" s="31" t="str">
        <f aca="false">+WORLDCUP!BD63</f>
        <v>Japón</v>
      </c>
      <c r="I482" s="31" t="str">
        <f aca="false">+WORLDCUP!BD69</f>
        <v>Ghana</v>
      </c>
      <c r="J482" s="31" t="str">
        <f aca="false">+WORLDCUP!BD68</f>
        <v>Uzbekistán</v>
      </c>
      <c r="N482" s="31" t="s">
        <v>2000</v>
      </c>
      <c r="O482" s="31" t="n">
        <v>481</v>
      </c>
      <c r="P482" s="31" t="s">
        <v>89</v>
      </c>
      <c r="Q482" s="31" t="s">
        <v>98</v>
      </c>
      <c r="R482" s="31" t="s">
        <v>85</v>
      </c>
      <c r="S482" s="31" t="s">
        <v>94</v>
      </c>
      <c r="T482" s="31" t="s">
        <v>80</v>
      </c>
      <c r="U482" s="31" t="s">
        <v>103</v>
      </c>
      <c r="V482" s="31" t="s">
        <v>130</v>
      </c>
      <c r="W482" s="31" t="s">
        <v>125</v>
      </c>
    </row>
    <row r="483" customFormat="false" ht="15" hidden="false" customHeight="false" outlineLevel="0" collapsed="false">
      <c r="A483" s="31" t="s">
        <v>2001</v>
      </c>
      <c r="B483" s="31" t="n">
        <f aca="false">+IF(A483=WORLDCUP!$BI$112,1,0)</f>
        <v>0</v>
      </c>
      <c r="C483" s="31" t="str">
        <f aca="false">+WORLDCUP!BD60</f>
        <v>Marruecos</v>
      </c>
      <c r="D483" s="31" t="str">
        <f aca="false">+WORLDCUP!BD67</f>
        <v>Austria</v>
      </c>
      <c r="E483" s="31" t="str">
        <f aca="false">+WORLDCUP!BD59</f>
        <v>Catar</v>
      </c>
      <c r="F483" s="31" t="str">
        <f aca="false">+WORLDCUP!BD61</f>
        <v>Turquía</v>
      </c>
      <c r="G483" s="31" t="str">
        <f aca="false">+WORLDCUP!BD58</f>
        <v>República Checa</v>
      </c>
      <c r="H483" s="31" t="str">
        <f aca="false">+WORLDCUP!BD63</f>
        <v>Japón</v>
      </c>
      <c r="I483" s="31" t="str">
        <f aca="false">+WORLDCUP!BD69</f>
        <v>Ghana</v>
      </c>
      <c r="J483" s="31" t="str">
        <f aca="false">+WORLDCUP!BD62</f>
        <v>Ecuador</v>
      </c>
      <c r="N483" s="31" t="s">
        <v>2001</v>
      </c>
      <c r="O483" s="31" t="n">
        <v>482</v>
      </c>
      <c r="P483" s="31" t="s">
        <v>89</v>
      </c>
      <c r="Q483" s="31" t="s">
        <v>121</v>
      </c>
      <c r="R483" s="31" t="s">
        <v>85</v>
      </c>
      <c r="S483" s="31" t="s">
        <v>94</v>
      </c>
      <c r="T483" s="31" t="s">
        <v>80</v>
      </c>
      <c r="U483" s="31" t="s">
        <v>103</v>
      </c>
      <c r="V483" s="31" t="s">
        <v>130</v>
      </c>
      <c r="W483" s="31" t="s">
        <v>98</v>
      </c>
    </row>
    <row r="484" customFormat="false" ht="15" hidden="false" customHeight="false" outlineLevel="0" collapsed="false">
      <c r="A484" s="31" t="s">
        <v>2002</v>
      </c>
      <c r="B484" s="31" t="n">
        <f aca="false">+IF(A484=WORLDCUP!$BI$112,1,0)</f>
        <v>0</v>
      </c>
      <c r="C484" s="31" t="str">
        <f aca="false">+WORLDCUP!BD60</f>
        <v>Marruecos</v>
      </c>
      <c r="D484" s="31" t="str">
        <f aca="false">+WORLDCUP!BD67</f>
        <v>Austria</v>
      </c>
      <c r="E484" s="31" t="str">
        <f aca="false">+WORLDCUP!BD59</f>
        <v>Catar</v>
      </c>
      <c r="F484" s="31" t="str">
        <f aca="false">+WORLDCUP!BD61</f>
        <v>Turquía</v>
      </c>
      <c r="G484" s="31" t="str">
        <f aca="false">+WORLDCUP!BD58</f>
        <v>República Checa</v>
      </c>
      <c r="H484" s="31" t="str">
        <f aca="false">+WORLDCUP!BD63</f>
        <v>Japón</v>
      </c>
      <c r="I484" s="31" t="str">
        <f aca="false">+WORLDCUP!BD62</f>
        <v>Ecuador</v>
      </c>
      <c r="J484" s="31" t="str">
        <f aca="false">+WORLDCUP!BD68</f>
        <v>Uzbekistán</v>
      </c>
      <c r="N484" s="31" t="s">
        <v>2002</v>
      </c>
      <c r="O484" s="31" t="n">
        <v>483</v>
      </c>
      <c r="P484" s="31" t="s">
        <v>89</v>
      </c>
      <c r="Q484" s="31" t="s">
        <v>121</v>
      </c>
      <c r="R484" s="31" t="s">
        <v>85</v>
      </c>
      <c r="S484" s="31" t="s">
        <v>94</v>
      </c>
      <c r="T484" s="31" t="s">
        <v>80</v>
      </c>
      <c r="U484" s="31" t="s">
        <v>103</v>
      </c>
      <c r="V484" s="31" t="s">
        <v>98</v>
      </c>
      <c r="W484" s="31" t="s">
        <v>125</v>
      </c>
    </row>
    <row r="485" customFormat="false" ht="15" hidden="false" customHeight="false" outlineLevel="0" collapsed="false">
      <c r="A485" s="31" t="s">
        <v>2003</v>
      </c>
      <c r="B485" s="31" t="n">
        <f aca="false">+IF(A485=WORLDCUP!$BI$112,1,0)</f>
        <v>0</v>
      </c>
      <c r="C485" s="31" t="str">
        <f aca="false">+WORLDCUP!BD60</f>
        <v>Marruecos</v>
      </c>
      <c r="D485" s="31" t="str">
        <f aca="false">+WORLDCUP!BD62</f>
        <v>Ecuador</v>
      </c>
      <c r="E485" s="31" t="str">
        <f aca="false">+WORLDCUP!BD59</f>
        <v>Catar</v>
      </c>
      <c r="F485" s="31" t="str">
        <f aca="false">+WORLDCUP!BD61</f>
        <v>Turquía</v>
      </c>
      <c r="G485" s="31" t="str">
        <f aca="false">+WORLDCUP!BD58</f>
        <v>República Checa</v>
      </c>
      <c r="H485" s="31" t="str">
        <f aca="false">+WORLDCUP!BD63</f>
        <v>Japón</v>
      </c>
      <c r="I485" s="31" t="str">
        <f aca="false">+WORLDCUP!BD69</f>
        <v>Ghana</v>
      </c>
      <c r="J485" s="31" t="str">
        <f aca="false">+WORLDCUP!BD66</f>
        <v>Irak</v>
      </c>
      <c r="N485" s="31" t="s">
        <v>2003</v>
      </c>
      <c r="O485" s="31" t="n">
        <v>484</v>
      </c>
      <c r="P485" s="31" t="s">
        <v>89</v>
      </c>
      <c r="Q485" s="31" t="s">
        <v>98</v>
      </c>
      <c r="R485" s="31" t="s">
        <v>85</v>
      </c>
      <c r="S485" s="31" t="s">
        <v>94</v>
      </c>
      <c r="T485" s="31" t="s">
        <v>80</v>
      </c>
      <c r="U485" s="31" t="s">
        <v>103</v>
      </c>
      <c r="V485" s="31" t="s">
        <v>130</v>
      </c>
      <c r="W485" s="31" t="s">
        <v>116</v>
      </c>
    </row>
    <row r="486" customFormat="false" ht="15" hidden="false" customHeight="false" outlineLevel="0" collapsed="false">
      <c r="A486" s="31" t="s">
        <v>2004</v>
      </c>
      <c r="B486" s="31" t="n">
        <f aca="false">+IF(A486=WORLDCUP!$BI$112,1,0)</f>
        <v>0</v>
      </c>
      <c r="C486" s="31" t="str">
        <f aca="false">+WORLDCUP!BD60</f>
        <v>Marruecos</v>
      </c>
      <c r="D486" s="31" t="str">
        <f aca="false">+WORLDCUP!BD62</f>
        <v>Ecuador</v>
      </c>
      <c r="E486" s="31" t="str">
        <f aca="false">+WORLDCUP!BD59</f>
        <v>Catar</v>
      </c>
      <c r="F486" s="31" t="str">
        <f aca="false">+WORLDCUP!BD61</f>
        <v>Turquía</v>
      </c>
      <c r="G486" s="31" t="str">
        <f aca="false">+WORLDCUP!BD58</f>
        <v>República Checa</v>
      </c>
      <c r="H486" s="31" t="str">
        <f aca="false">+WORLDCUP!BD63</f>
        <v>Japón</v>
      </c>
      <c r="I486" s="31" t="str">
        <f aca="false">+WORLDCUP!BD66</f>
        <v>Irak</v>
      </c>
      <c r="J486" s="31" t="str">
        <f aca="false">+WORLDCUP!BD68</f>
        <v>Uzbekistán</v>
      </c>
      <c r="N486" s="31" t="s">
        <v>2004</v>
      </c>
      <c r="O486" s="31" t="n">
        <v>485</v>
      </c>
      <c r="P486" s="31" t="s">
        <v>89</v>
      </c>
      <c r="Q486" s="31" t="s">
        <v>98</v>
      </c>
      <c r="R486" s="31" t="s">
        <v>85</v>
      </c>
      <c r="S486" s="31" t="s">
        <v>94</v>
      </c>
      <c r="T486" s="31" t="s">
        <v>80</v>
      </c>
      <c r="U486" s="31" t="s">
        <v>103</v>
      </c>
      <c r="V486" s="31" t="s">
        <v>116</v>
      </c>
      <c r="W486" s="31" t="s">
        <v>125</v>
      </c>
    </row>
    <row r="487" customFormat="false" ht="15" hidden="false" customHeight="false" outlineLevel="0" collapsed="false">
      <c r="A487" s="31" t="s">
        <v>2005</v>
      </c>
      <c r="B487" s="31" t="n">
        <f aca="false">+IF(A487=WORLDCUP!$BI$112,1,0)</f>
        <v>0</v>
      </c>
      <c r="C487" s="31" t="str">
        <f aca="false">+WORLDCUP!BD60</f>
        <v>Marruecos</v>
      </c>
      <c r="D487" s="31" t="str">
        <f aca="false">+WORLDCUP!BD67</f>
        <v>Austria</v>
      </c>
      <c r="E487" s="31" t="str">
        <f aca="false">+WORLDCUP!BD59</f>
        <v>Catar</v>
      </c>
      <c r="F487" s="31" t="str">
        <f aca="false">+WORLDCUP!BD61</f>
        <v>Turquía</v>
      </c>
      <c r="G487" s="31" t="str">
        <f aca="false">+WORLDCUP!BD58</f>
        <v>República Checa</v>
      </c>
      <c r="H487" s="31" t="str">
        <f aca="false">+WORLDCUP!BD63</f>
        <v>Japón</v>
      </c>
      <c r="I487" s="31" t="str">
        <f aca="false">+WORLDCUP!BD62</f>
        <v>Ecuador</v>
      </c>
      <c r="J487" s="31" t="str">
        <f aca="false">+WORLDCUP!BD66</f>
        <v>Irak</v>
      </c>
      <c r="N487" s="31" t="s">
        <v>2005</v>
      </c>
      <c r="O487" s="31" t="n">
        <v>486</v>
      </c>
      <c r="P487" s="31" t="s">
        <v>89</v>
      </c>
      <c r="Q487" s="31" t="s">
        <v>121</v>
      </c>
      <c r="R487" s="31" t="s">
        <v>85</v>
      </c>
      <c r="S487" s="31" t="s">
        <v>94</v>
      </c>
      <c r="T487" s="31" t="s">
        <v>80</v>
      </c>
      <c r="U487" s="31" t="s">
        <v>103</v>
      </c>
      <c r="V487" s="31" t="s">
        <v>98</v>
      </c>
      <c r="W487" s="31" t="s">
        <v>116</v>
      </c>
    </row>
    <row r="488" customFormat="false" ht="15" hidden="false" customHeight="false" outlineLevel="0" collapsed="false">
      <c r="A488" s="31" t="s">
        <v>2006</v>
      </c>
      <c r="B488" s="31" t="n">
        <f aca="false">+IF(A488=WORLDCUP!$BI$112,1,0)</f>
        <v>0</v>
      </c>
      <c r="C488" s="31" t="str">
        <f aca="false">+WORLDCUP!BD65</f>
        <v>España</v>
      </c>
      <c r="D488" s="31" t="str">
        <f aca="false">+WORLDCUP!BD63</f>
        <v>Japón</v>
      </c>
      <c r="E488" s="31" t="str">
        <f aca="false">+WORLDCUP!BD59</f>
        <v>Catar</v>
      </c>
      <c r="F488" s="31" t="str">
        <f aca="false">+WORLDCUP!BD60</f>
        <v>Marruecos</v>
      </c>
      <c r="G488" s="31" t="str">
        <f aca="false">+WORLDCUP!BD58</f>
        <v>República Checa</v>
      </c>
      <c r="H488" s="31" t="str">
        <f aca="false">+WORLDCUP!BD61</f>
        <v>Turquía</v>
      </c>
      <c r="I488" s="31" t="str">
        <f aca="false">+WORLDCUP!BD69</f>
        <v>Ghana</v>
      </c>
      <c r="J488" s="31" t="str">
        <f aca="false">+WORLDCUP!BD62</f>
        <v>Ecuador</v>
      </c>
      <c r="N488" s="31" t="s">
        <v>2006</v>
      </c>
      <c r="O488" s="31" t="n">
        <v>487</v>
      </c>
      <c r="P488" s="31" t="s">
        <v>112</v>
      </c>
      <c r="Q488" s="31" t="s">
        <v>103</v>
      </c>
      <c r="R488" s="31" t="s">
        <v>85</v>
      </c>
      <c r="S488" s="31" t="s">
        <v>89</v>
      </c>
      <c r="T488" s="31" t="s">
        <v>80</v>
      </c>
      <c r="U488" s="31" t="s">
        <v>94</v>
      </c>
      <c r="V488" s="31" t="s">
        <v>130</v>
      </c>
      <c r="W488" s="31" t="s">
        <v>98</v>
      </c>
    </row>
    <row r="489" customFormat="false" ht="15" hidden="false" customHeight="false" outlineLevel="0" collapsed="false">
      <c r="A489" s="31" t="s">
        <v>2007</v>
      </c>
      <c r="B489" s="31" t="n">
        <f aca="false">+IF(A489=WORLDCUP!$BI$112,1,0)</f>
        <v>0</v>
      </c>
      <c r="C489" s="31" t="str">
        <f aca="false">+WORLDCUP!BD65</f>
        <v>España</v>
      </c>
      <c r="D489" s="31" t="str">
        <f aca="false">+WORLDCUP!BD62</f>
        <v>Ecuador</v>
      </c>
      <c r="E489" s="31" t="str">
        <f aca="false">+WORLDCUP!BD59</f>
        <v>Catar</v>
      </c>
      <c r="F489" s="31" t="str">
        <f aca="false">+WORLDCUP!BD60</f>
        <v>Marruecos</v>
      </c>
      <c r="G489" s="31" t="str">
        <f aca="false">+WORLDCUP!BD58</f>
        <v>República Checa</v>
      </c>
      <c r="H489" s="31" t="str">
        <f aca="false">+WORLDCUP!BD63</f>
        <v>Japón</v>
      </c>
      <c r="I489" s="31" t="str">
        <f aca="false">+WORLDCUP!BD61</f>
        <v>Turquía</v>
      </c>
      <c r="J489" s="31" t="str">
        <f aca="false">+WORLDCUP!BD68</f>
        <v>Uzbekistán</v>
      </c>
      <c r="N489" s="31" t="s">
        <v>2007</v>
      </c>
      <c r="O489" s="31" t="n">
        <v>488</v>
      </c>
      <c r="P489" s="31" t="s">
        <v>112</v>
      </c>
      <c r="Q489" s="31" t="s">
        <v>98</v>
      </c>
      <c r="R489" s="31" t="s">
        <v>85</v>
      </c>
      <c r="S489" s="31" t="s">
        <v>89</v>
      </c>
      <c r="T489" s="31" t="s">
        <v>80</v>
      </c>
      <c r="U489" s="31" t="s">
        <v>103</v>
      </c>
      <c r="V489" s="31" t="s">
        <v>94</v>
      </c>
      <c r="W489" s="31" t="s">
        <v>125</v>
      </c>
    </row>
    <row r="490" customFormat="false" ht="15" hidden="false" customHeight="false" outlineLevel="0" collapsed="false">
      <c r="A490" s="31" t="s">
        <v>2008</v>
      </c>
      <c r="B490" s="31" t="n">
        <f aca="false">+IF(A490=WORLDCUP!$BI$112,1,0)</f>
        <v>0</v>
      </c>
      <c r="C490" s="31" t="str">
        <f aca="false">+WORLDCUP!BD65</f>
        <v>España</v>
      </c>
      <c r="D490" s="31" t="str">
        <f aca="false">+WORLDCUP!BD67</f>
        <v>Austria</v>
      </c>
      <c r="E490" s="31" t="str">
        <f aca="false">+WORLDCUP!BD59</f>
        <v>Catar</v>
      </c>
      <c r="F490" s="31" t="str">
        <f aca="false">+WORLDCUP!BD60</f>
        <v>Marruecos</v>
      </c>
      <c r="G490" s="31" t="str">
        <f aca="false">+WORLDCUP!BD58</f>
        <v>República Checa</v>
      </c>
      <c r="H490" s="31" t="str">
        <f aca="false">+WORLDCUP!BD63</f>
        <v>Japón</v>
      </c>
      <c r="I490" s="31" t="str">
        <f aca="false">+WORLDCUP!BD61</f>
        <v>Turquía</v>
      </c>
      <c r="J490" s="31" t="str">
        <f aca="false">+WORLDCUP!BD62</f>
        <v>Ecuador</v>
      </c>
      <c r="N490" s="31" t="s">
        <v>2008</v>
      </c>
      <c r="O490" s="31" t="n">
        <v>489</v>
      </c>
      <c r="P490" s="31" t="s">
        <v>112</v>
      </c>
      <c r="Q490" s="31" t="s">
        <v>121</v>
      </c>
      <c r="R490" s="31" t="s">
        <v>85</v>
      </c>
      <c r="S490" s="31" t="s">
        <v>89</v>
      </c>
      <c r="T490" s="31" t="s">
        <v>80</v>
      </c>
      <c r="U490" s="31" t="s">
        <v>103</v>
      </c>
      <c r="V490" s="31" t="s">
        <v>94</v>
      </c>
      <c r="W490" s="31" t="s">
        <v>98</v>
      </c>
    </row>
    <row r="491" customFormat="false" ht="15" hidden="false" customHeight="false" outlineLevel="0" collapsed="false">
      <c r="A491" s="31" t="s">
        <v>2009</v>
      </c>
      <c r="B491" s="31" t="n">
        <f aca="false">+IF(A491=WORLDCUP!$BI$112,1,0)</f>
        <v>0</v>
      </c>
      <c r="C491" s="31" t="str">
        <f aca="false">+WORLDCUP!BD65</f>
        <v>España</v>
      </c>
      <c r="D491" s="31" t="str">
        <f aca="false">+WORLDCUP!BD62</f>
        <v>Ecuador</v>
      </c>
      <c r="E491" s="31" t="str">
        <f aca="false">+WORLDCUP!BD59</f>
        <v>Catar</v>
      </c>
      <c r="F491" s="31" t="str">
        <f aca="false">+WORLDCUP!BD60</f>
        <v>Marruecos</v>
      </c>
      <c r="G491" s="31" t="str">
        <f aca="false">+WORLDCUP!BD58</f>
        <v>República Checa</v>
      </c>
      <c r="H491" s="31" t="str">
        <f aca="false">+WORLDCUP!BD63</f>
        <v>Japón</v>
      </c>
      <c r="I491" s="31" t="str">
        <f aca="false">+WORLDCUP!BD61</f>
        <v>Turquía</v>
      </c>
      <c r="J491" s="31" t="str">
        <f aca="false">+WORLDCUP!BD66</f>
        <v>Irak</v>
      </c>
      <c r="N491" s="31" t="s">
        <v>2009</v>
      </c>
      <c r="O491" s="31" t="n">
        <v>490</v>
      </c>
      <c r="P491" s="31" t="s">
        <v>112</v>
      </c>
      <c r="Q491" s="31" t="s">
        <v>98</v>
      </c>
      <c r="R491" s="31" t="s">
        <v>85</v>
      </c>
      <c r="S491" s="31" t="s">
        <v>89</v>
      </c>
      <c r="T491" s="31" t="s">
        <v>80</v>
      </c>
      <c r="U491" s="31" t="s">
        <v>103</v>
      </c>
      <c r="V491" s="31" t="s">
        <v>94</v>
      </c>
      <c r="W491" s="31" t="s">
        <v>116</v>
      </c>
    </row>
    <row r="492" customFormat="false" ht="15" hidden="false" customHeight="false" outlineLevel="0" collapsed="false">
      <c r="A492" s="31" t="s">
        <v>2010</v>
      </c>
      <c r="B492" s="31" t="n">
        <f aca="false">+IF(A492=WORLDCUP!$BI$112,1,0)</f>
        <v>0</v>
      </c>
      <c r="C492" s="31" t="str">
        <f aca="false">+WORLDCUP!BD60</f>
        <v>Marruecos</v>
      </c>
      <c r="D492" s="31" t="str">
        <f aca="false">+WORLDCUP!BD64</f>
        <v>Bélgica</v>
      </c>
      <c r="E492" s="31" t="str">
        <f aca="false">+WORLDCUP!BD59</f>
        <v>Catar</v>
      </c>
      <c r="F492" s="31" t="str">
        <f aca="false">+WORLDCUP!BD61</f>
        <v>Turquía</v>
      </c>
      <c r="G492" s="31" t="str">
        <f aca="false">+WORLDCUP!BD58</f>
        <v>República Checa</v>
      </c>
      <c r="H492" s="31" t="str">
        <f aca="false">+WORLDCUP!BD63</f>
        <v>Japón</v>
      </c>
      <c r="I492" s="31" t="str">
        <f aca="false">+WORLDCUP!BD69</f>
        <v>Ghana</v>
      </c>
      <c r="J492" s="31" t="str">
        <f aca="false">+WORLDCUP!BD62</f>
        <v>Ecuador</v>
      </c>
      <c r="N492" s="31" t="s">
        <v>2010</v>
      </c>
      <c r="O492" s="31" t="n">
        <v>491</v>
      </c>
      <c r="P492" s="31" t="s">
        <v>89</v>
      </c>
      <c r="Q492" s="31" t="s">
        <v>107</v>
      </c>
      <c r="R492" s="31" t="s">
        <v>85</v>
      </c>
      <c r="S492" s="31" t="s">
        <v>94</v>
      </c>
      <c r="T492" s="31" t="s">
        <v>80</v>
      </c>
      <c r="U492" s="31" t="s">
        <v>103</v>
      </c>
      <c r="V492" s="31" t="s">
        <v>130</v>
      </c>
      <c r="W492" s="31" t="s">
        <v>98</v>
      </c>
    </row>
    <row r="493" customFormat="false" ht="15" hidden="false" customHeight="false" outlineLevel="0" collapsed="false">
      <c r="A493" s="31" t="s">
        <v>2011</v>
      </c>
      <c r="B493" s="31" t="n">
        <f aca="false">+IF(A493=WORLDCUP!$BI$112,1,0)</f>
        <v>0</v>
      </c>
      <c r="C493" s="31" t="str">
        <f aca="false">+WORLDCUP!BD60</f>
        <v>Marruecos</v>
      </c>
      <c r="D493" s="31" t="str">
        <f aca="false">+WORLDCUP!BD64</f>
        <v>Bélgica</v>
      </c>
      <c r="E493" s="31" t="str">
        <f aca="false">+WORLDCUP!BD59</f>
        <v>Catar</v>
      </c>
      <c r="F493" s="31" t="str">
        <f aca="false">+WORLDCUP!BD61</f>
        <v>Turquía</v>
      </c>
      <c r="G493" s="31" t="str">
        <f aca="false">+WORLDCUP!BD58</f>
        <v>República Checa</v>
      </c>
      <c r="H493" s="31" t="str">
        <f aca="false">+WORLDCUP!BD63</f>
        <v>Japón</v>
      </c>
      <c r="I493" s="31" t="str">
        <f aca="false">+WORLDCUP!BD62</f>
        <v>Ecuador</v>
      </c>
      <c r="J493" s="31" t="str">
        <f aca="false">+WORLDCUP!BD68</f>
        <v>Uzbekistán</v>
      </c>
      <c r="N493" s="31" t="s">
        <v>2011</v>
      </c>
      <c r="O493" s="31" t="n">
        <v>492</v>
      </c>
      <c r="P493" s="31" t="s">
        <v>89</v>
      </c>
      <c r="Q493" s="31" t="s">
        <v>107</v>
      </c>
      <c r="R493" s="31" t="s">
        <v>85</v>
      </c>
      <c r="S493" s="31" t="s">
        <v>94</v>
      </c>
      <c r="T493" s="31" t="s">
        <v>80</v>
      </c>
      <c r="U493" s="31" t="s">
        <v>103</v>
      </c>
      <c r="V493" s="31" t="s">
        <v>98</v>
      </c>
      <c r="W493" s="31" t="s">
        <v>125</v>
      </c>
    </row>
    <row r="494" customFormat="false" ht="15" hidden="false" customHeight="false" outlineLevel="0" collapsed="false">
      <c r="A494" s="31" t="s">
        <v>2012</v>
      </c>
      <c r="B494" s="31" t="n">
        <f aca="false">+IF(A494=WORLDCUP!$BI$112,1,0)</f>
        <v>0</v>
      </c>
      <c r="C494" s="31" t="str">
        <f aca="false">+WORLDCUP!BD60</f>
        <v>Marruecos</v>
      </c>
      <c r="D494" s="31" t="str">
        <f aca="false">+WORLDCUP!BD64</f>
        <v>Bélgica</v>
      </c>
      <c r="E494" s="31" t="str">
        <f aca="false">+WORLDCUP!BD59</f>
        <v>Catar</v>
      </c>
      <c r="F494" s="31" t="str">
        <f aca="false">+WORLDCUP!BD61</f>
        <v>Turquía</v>
      </c>
      <c r="G494" s="31" t="str">
        <f aca="false">+WORLDCUP!BD58</f>
        <v>República Checa</v>
      </c>
      <c r="H494" s="31" t="str">
        <f aca="false">+WORLDCUP!BD63</f>
        <v>Japón</v>
      </c>
      <c r="I494" s="31" t="str">
        <f aca="false">+WORLDCUP!BD62</f>
        <v>Ecuador</v>
      </c>
      <c r="J494" s="31" t="str">
        <f aca="false">+WORLDCUP!BD67</f>
        <v>Austria</v>
      </c>
      <c r="N494" s="31" t="s">
        <v>2012</v>
      </c>
      <c r="O494" s="31" t="n">
        <v>493</v>
      </c>
      <c r="P494" s="31" t="s">
        <v>89</v>
      </c>
      <c r="Q494" s="31" t="s">
        <v>107</v>
      </c>
      <c r="R494" s="31" t="s">
        <v>85</v>
      </c>
      <c r="S494" s="31" t="s">
        <v>94</v>
      </c>
      <c r="T494" s="31" t="s">
        <v>80</v>
      </c>
      <c r="U494" s="31" t="s">
        <v>103</v>
      </c>
      <c r="V494" s="31" t="s">
        <v>98</v>
      </c>
      <c r="W494" s="31" t="s">
        <v>121</v>
      </c>
    </row>
    <row r="495" customFormat="false" ht="15" hidden="false" customHeight="false" outlineLevel="0" collapsed="false">
      <c r="A495" s="31" t="s">
        <v>2013</v>
      </c>
      <c r="B495" s="31" t="n">
        <f aca="false">+IF(A495=WORLDCUP!$BI$112,1,0)</f>
        <v>0</v>
      </c>
      <c r="C495" s="31" t="str">
        <f aca="false">+WORLDCUP!BD60</f>
        <v>Marruecos</v>
      </c>
      <c r="D495" s="31" t="str">
        <f aca="false">+WORLDCUP!BD64</f>
        <v>Bélgica</v>
      </c>
      <c r="E495" s="31" t="str">
        <f aca="false">+WORLDCUP!BD59</f>
        <v>Catar</v>
      </c>
      <c r="F495" s="31" t="str">
        <f aca="false">+WORLDCUP!BD61</f>
        <v>Turquía</v>
      </c>
      <c r="G495" s="31" t="str">
        <f aca="false">+WORLDCUP!BD58</f>
        <v>República Checa</v>
      </c>
      <c r="H495" s="31" t="str">
        <f aca="false">+WORLDCUP!BD63</f>
        <v>Japón</v>
      </c>
      <c r="I495" s="31" t="str">
        <f aca="false">+WORLDCUP!BD62</f>
        <v>Ecuador</v>
      </c>
      <c r="J495" s="31" t="str">
        <f aca="false">+WORLDCUP!BD66</f>
        <v>Irak</v>
      </c>
      <c r="N495" s="31" t="s">
        <v>2013</v>
      </c>
      <c r="O495" s="31" t="n">
        <v>494</v>
      </c>
      <c r="P495" s="31" t="s">
        <v>89</v>
      </c>
      <c r="Q495" s="31" t="s">
        <v>107</v>
      </c>
      <c r="R495" s="31" t="s">
        <v>85</v>
      </c>
      <c r="S495" s="31" t="s">
        <v>94</v>
      </c>
      <c r="T495" s="31" t="s">
        <v>80</v>
      </c>
      <c r="U495" s="31" t="s">
        <v>103</v>
      </c>
      <c r="V495" s="31" t="s">
        <v>98</v>
      </c>
      <c r="W495" s="31" t="s">
        <v>116</v>
      </c>
    </row>
    <row r="496" customFormat="false" ht="15" hidden="false" customHeight="false" outlineLevel="0" collapsed="false">
      <c r="A496" s="31" t="s">
        <v>2014</v>
      </c>
      <c r="B496" s="31" t="n">
        <f aca="false">+IF(A496=WORLDCUP!$BI$112,1,0)</f>
        <v>0</v>
      </c>
      <c r="C496" s="31" t="str">
        <f aca="false">+WORLDCUP!BD65</f>
        <v>España</v>
      </c>
      <c r="D496" s="31" t="str">
        <f aca="false">+WORLDCUP!BD64</f>
        <v>Bélgica</v>
      </c>
      <c r="E496" s="31" t="str">
        <f aca="false">+WORLDCUP!BD59</f>
        <v>Catar</v>
      </c>
      <c r="F496" s="31" t="str">
        <f aca="false">+WORLDCUP!BD60</f>
        <v>Marruecos</v>
      </c>
      <c r="G496" s="31" t="str">
        <f aca="false">+WORLDCUP!BD58</f>
        <v>República Checa</v>
      </c>
      <c r="H496" s="31" t="str">
        <f aca="false">+WORLDCUP!BD63</f>
        <v>Japón</v>
      </c>
      <c r="I496" s="31" t="str">
        <f aca="false">+WORLDCUP!BD61</f>
        <v>Turquía</v>
      </c>
      <c r="J496" s="31" t="str">
        <f aca="false">+WORLDCUP!BD62</f>
        <v>Ecuador</v>
      </c>
      <c r="N496" s="31" t="s">
        <v>2014</v>
      </c>
      <c r="O496" s="31" t="n">
        <v>495</v>
      </c>
      <c r="P496" s="31" t="s">
        <v>112</v>
      </c>
      <c r="Q496" s="31" t="s">
        <v>107</v>
      </c>
      <c r="R496" s="31" t="s">
        <v>85</v>
      </c>
      <c r="S496" s="31" t="s">
        <v>89</v>
      </c>
      <c r="T496" s="31" t="s">
        <v>80</v>
      </c>
      <c r="U496" s="31" t="s">
        <v>103</v>
      </c>
      <c r="V496" s="31" t="s">
        <v>94</v>
      </c>
      <c r="W496" s="31" t="s">
        <v>98</v>
      </c>
    </row>
    <row r="497" customFormat="false" ht="15" hidden="false" customHeight="false" outlineLevel="0" collapsed="false">
      <c r="A497" s="31" t="s">
        <v>149</v>
      </c>
      <c r="B497" s="31" t="str">
        <f aca="false">+IF(AND(WORLDCUP!$H$113=144,SUM(Combinaciones3!$B$2:$B$496)=1),"OK",IF(AND(WORLDCUP!$H$113=144,SUM(Combinaciones3!$B$2:$B$496)=0),"Error1",IF(AND(WORLDCUP!$H$113&lt;&gt;144,SUM(Combinaciones3!$B$2:$B$496)=1),"Error2",IF(AND(WORLDCUP!$H$113&lt;&gt;144,SUM(Combinaciones3!$B$2:$B$496)=0),"Faltan partidos","OTRA COSA"))))</f>
        <v>Faltan partidos</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
    </sheetView>
  </sheetViews>
  <sheetFormatPr defaultColWidth="11.43359375" defaultRowHeight="15" customHeight="true" zeroHeight="false" outlineLevelRow="0" outlineLevelCol="0"/>
  <cols>
    <col collapsed="false" customWidth="false" hidden="false" outlineLevel="0" max="3" min="1" style="31" width="11.43"/>
    <col collapsed="false" customWidth="true" hidden="false" outlineLevel="0" max="4" min="4" style="31" width="10.85"/>
    <col collapsed="false" customWidth="false" hidden="false" outlineLevel="0" max="16384" min="5" style="31" width="11.43"/>
  </cols>
  <sheetData>
    <row r="1" customFormat="false" ht="15" hidden="false" customHeight="false" outlineLevel="0" collapsed="false">
      <c r="A1" s="808"/>
      <c r="B1" s="809" t="str">
        <f aca="false">Idiomas!D515</f>
        <v>Gráfico solo en fase de grupos</v>
      </c>
      <c r="C1" s="808"/>
      <c r="D1" s="808"/>
      <c r="F1" s="808"/>
    </row>
    <row r="2" customFormat="false" ht="15" hidden="false" customHeight="false" outlineLevel="0" collapsed="false">
      <c r="A2" s="810"/>
      <c r="B2" s="332"/>
      <c r="C2" s="332"/>
      <c r="D2" s="332"/>
    </row>
    <row r="3" customFormat="false" ht="15" hidden="false" customHeight="false" outlineLevel="0" collapsed="false">
      <c r="A3" s="810"/>
      <c r="B3" s="332"/>
      <c r="C3" s="332"/>
      <c r="D3" s="332"/>
    </row>
    <row r="4" customFormat="false" ht="15" hidden="false" customHeight="false" outlineLevel="0" collapsed="false">
      <c r="A4" s="810"/>
      <c r="B4" s="332"/>
      <c r="C4" s="332"/>
      <c r="D4" s="332"/>
    </row>
    <row r="5" customFormat="false" ht="15" hidden="false" customHeight="false" outlineLevel="0" collapsed="false">
      <c r="A5" s="810"/>
      <c r="B5" s="332"/>
      <c r="C5" s="332"/>
      <c r="D5" s="332"/>
    </row>
    <row r="6" customFormat="false" ht="15" hidden="false" customHeight="false" outlineLevel="0" collapsed="false">
      <c r="A6" s="810"/>
      <c r="B6" s="332"/>
      <c r="C6" s="332"/>
      <c r="D6" s="332"/>
    </row>
    <row r="7" customFormat="false" ht="15" hidden="false" customHeight="false" outlineLevel="0" collapsed="false">
      <c r="A7" s="810"/>
      <c r="B7" s="332"/>
      <c r="C7" s="332"/>
      <c r="D7" s="332"/>
    </row>
    <row r="8" customFormat="false" ht="15" hidden="false" customHeight="false" outlineLevel="0" collapsed="false">
      <c r="A8" s="810"/>
      <c r="B8" s="332"/>
      <c r="C8" s="332"/>
      <c r="D8" s="332"/>
    </row>
    <row r="9" customFormat="false" ht="15" hidden="false" customHeight="false" outlineLevel="0" collapsed="false">
      <c r="A9" s="810"/>
      <c r="B9" s="332"/>
      <c r="C9" s="332"/>
      <c r="D9" s="332"/>
    </row>
    <row r="10" customFormat="false" ht="15" hidden="false" customHeight="false" outlineLevel="0" collapsed="false">
      <c r="A10" s="810"/>
      <c r="B10" s="332"/>
      <c r="C10" s="332"/>
      <c r="D10" s="332"/>
    </row>
    <row r="11" customFormat="false" ht="15" hidden="false" customHeight="false" outlineLevel="0" collapsed="false">
      <c r="A11" s="810"/>
      <c r="B11" s="332"/>
      <c r="C11" s="332"/>
      <c r="D11" s="332"/>
    </row>
    <row r="12" customFormat="false" ht="15" hidden="false" customHeight="false" outlineLevel="0" collapsed="false">
      <c r="A12" s="810"/>
      <c r="B12" s="332"/>
      <c r="C12" s="332"/>
      <c r="D12" s="332"/>
    </row>
    <row r="13" customFormat="false" ht="15" hidden="false" customHeight="false" outlineLevel="0" collapsed="false">
      <c r="A13" s="810"/>
      <c r="B13" s="332"/>
      <c r="C13" s="332"/>
      <c r="D13" s="332"/>
    </row>
    <row r="14" customFormat="false" ht="15" hidden="false" customHeight="false" outlineLevel="0" collapsed="false">
      <c r="A14" s="810"/>
      <c r="B14" s="332"/>
      <c r="C14" s="332"/>
      <c r="D14" s="332"/>
    </row>
    <row r="15" customFormat="false" ht="15" hidden="false" customHeight="false" outlineLevel="0" collapsed="false">
      <c r="A15" s="811"/>
      <c r="B15" s="812"/>
      <c r="C15" s="812"/>
      <c r="D15" s="812"/>
    </row>
    <row r="20" customFormat="false" ht="15" hidden="false" customHeight="false" outlineLevel="0" collapsed="false">
      <c r="A20" s="483"/>
      <c r="B20" s="483"/>
    </row>
    <row r="32" customFormat="false" ht="15" hidden="false" customHeight="false" outlineLevel="0" collapsed="false">
      <c r="A32" s="813"/>
      <c r="B32" s="814"/>
    </row>
    <row r="33" customFormat="false" ht="15" hidden="false" customHeight="false" outlineLevel="0" collapsed="false">
      <c r="A33" s="813"/>
      <c r="B33" s="814"/>
    </row>
    <row r="34" customFormat="false" ht="15" hidden="false" customHeight="false" outlineLevel="0" collapsed="false">
      <c r="A34" s="813"/>
      <c r="B34" s="814"/>
    </row>
    <row r="35" customFormat="false" ht="15" hidden="false" customHeight="false" outlineLevel="0" collapsed="false">
      <c r="A35" s="813"/>
      <c r="B35" s="814"/>
    </row>
    <row r="36" customFormat="false" ht="15" hidden="false" customHeight="false" outlineLevel="0" collapsed="false">
      <c r="A36" s="815"/>
      <c r="B36" s="483"/>
    </row>
    <row r="37" customFormat="false" ht="15" hidden="false" customHeight="false" outlineLevel="0" collapsed="false">
      <c r="A37" s="815"/>
      <c r="B37" s="483"/>
    </row>
    <row r="38" customFormat="false" ht="15" hidden="false" customHeight="false" outlineLevel="0" collapsed="false">
      <c r="A38" s="815"/>
      <c r="B38" s="48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2015-10-31T09:41:54Z</dcterms:created>
  <dc:creator>matejero</dc:creator>
  <dc:description/>
  <dc:language>es-ES</dc:language>
  <cp:lastModifiedBy/>
  <cp:lastPrinted>2018-12-06T18:06:35Z</cp:lastPrinted>
  <dcterms:modified xsi:type="dcterms:W3CDTF">2026-06-16T09:17:43Z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